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1-0.4*MIN(1,(Summary!$B$17-1)/1.5)</f>
        <v/>
      </c>
      <c r="E6" t="b">
        <v>0</v>
      </c>
      <c r="F6" t="n">
        <v>1</v>
      </c>
      <c r="G6" t="n">
        <v>1</v>
      </c>
      <c r="H6" t="n">
        <v>0</v>
      </c>
      <c r="I6" t="n">
        <v>0</v>
      </c>
      <c r="J6" t="n">
        <v>100</v>
      </c>
      <c r="K6" t="n">
        <v>1</v>
      </c>
      <c r="L6" t="n">
        <v>500</v>
      </c>
      <c r="M6" t="n">
        <v>21</v>
      </c>
      <c r="N6" t="b">
        <v>1</v>
      </c>
      <c r="O6">
        <f>SUMPRODUCT((Inputs!$B$3&gt;={44})*{50})</f>
        <v/>
      </c>
      <c r="P6" t="n">
        <v>0</v>
      </c>
      <c r="Q6" t="n">
        <v>0</v>
      </c>
      <c r="R6">
        <f>3+IF(Inputs!$B$3&gt;=107,3,0)</f>
        <v/>
      </c>
      <c r="S6" t="inlineStr"/>
      <c r="T6" t="n">
        <v>0</v>
      </c>
      <c r="U6" t="inlineStr"/>
      <c r="V6" t="inlineStr"/>
      <c r="W6" t="inlineStr">
        <is>
          <t>AUDIT 2026-10-21 (supersedes the tick/hit statements below): ONE hit per tick on up to 3 targets (6 after Enchanted Quiver) per the game table (hitCount 1) — HitsPerCast was wrongly 3/6. Tick interval: 'improves by up to 0.4 SEC based on Attack Speed' (site wording, user-confirmed) =&gt; 1s at 0% AS down to 0.6s at the 150% AS cap. Mastery Lv.44 +50% added; the unsupported +200% Normal Monster Damage removed. 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ENCHANTED_QUIVER_DRAIN</t>
        </is>
      </c>
      <c r="B8" t="inlineStr">
        <is>
          <t>Enchanted Quiver - Drain (Mastery Lv.130)</t>
        </is>
      </c>
      <c r="C8" t="n">
        <v>4</v>
      </c>
      <c r="D8">
        <f>1-0.4*MIN(1,(Summary!$B$17-1)/1.5)</f>
        <v/>
      </c>
      <c r="E8" t="b">
        <v>0</v>
      </c>
      <c r="F8" t="n">
        <v>1</v>
      </c>
      <c r="G8" t="n">
        <v>1</v>
      </c>
      <c r="H8" t="n">
        <v>0</v>
      </c>
      <c r="I8" t="n">
        <v>0</v>
      </c>
      <c r="J8" t="n">
        <v>30</v>
      </c>
      <c r="K8" t="n">
        <v>1</v>
      </c>
      <c r="L8" t="n">
        <v>10500</v>
      </c>
      <c r="M8" t="n">
        <v>21</v>
      </c>
      <c r="N8" t="b">
        <v>1</v>
      </c>
      <c r="O8" t="n">
        <v>0</v>
      </c>
      <c r="P8" t="n">
        <v>0</v>
      </c>
      <c r="Q8" t="n">
        <v>0</v>
      </c>
      <c r="R8">
        <f>3+IF(Inputs!$B$3&gt;=107,3,0)</f>
        <v/>
      </c>
      <c r="S8" t="inlineStr"/>
      <c r="T8" t="n">
        <v>0</v>
      </c>
      <c r="U8" t="inlineStr"/>
      <c r="V8" t="inlineStr"/>
      <c r="W8" t="inlineStr">
        <is>
          <t>NEW (audit 2026-10-21): Mastery Lv.130 'Enchanted Quiver - Drain': when hitting with Quiver Cartridge, 30% chance to deal an additional 1050*(1+0.004*skillLevel)% damage to the target (wiki expression; user decision: LITERAL percent, i.e. baseDamage 10500 tenths%, factorIndex 21 = the 0.004/level slope; HP recovery not modeled). Rides Quiver Cartridge's tick timing (same Cooldown(s) formula, CostsActionSlot=False) and its target count (each target hit rolls the 30%).</t>
        </is>
      </c>
    </row>
    <row r="9">
      <c r="A9" t="inlineStr">
        <is>
          <t>PHOENIX</t>
        </is>
      </c>
      <c r="B9" t="inlineStr">
        <is>
          <t>Phoenix</t>
        </is>
      </c>
      <c r="C9" t="n">
        <v>3</v>
      </c>
      <c r="D9">
        <f>IF(Inputs!$B$3&gt;=104,60*0.6,60)</f>
        <v/>
      </c>
      <c r="E9" t="b">
        <v>1</v>
      </c>
      <c r="F9" t="n">
        <v>1</v>
      </c>
      <c r="G9" t="n">
        <v>1</v>
      </c>
      <c r="H9">
        <f>IF(Inputs!$B$3&gt;=82,3*0.7,3)</f>
        <v/>
      </c>
      <c r="I9" t="n">
        <v>30</v>
      </c>
      <c r="J9" t="n">
        <v>100</v>
      </c>
      <c r="K9" t="n">
        <v>1</v>
      </c>
      <c r="L9" t="n">
        <v>6000</v>
      </c>
      <c r="M9" t="n">
        <v>12</v>
      </c>
      <c r="N9" t="b">
        <v>1</v>
      </c>
      <c r="O9" t="n">
        <v>0</v>
      </c>
      <c r="P9" t="n">
        <v>0</v>
      </c>
      <c r="Q9">
        <f>IF(Inputs!$B$3&gt;=94,100,0)</f>
        <v/>
      </c>
      <c r="R9">
        <f>5+IF(Inputs!$B$3&gt;=78,3,0)</f>
        <v/>
      </c>
      <c r="S9" t="inlineStr"/>
      <c r="T9" t="n">
        <v>0</v>
      </c>
      <c r="U9" t="n">
        <v>250</v>
      </c>
      <c r="V9" t="n">
        <v>0</v>
      </c>
      <c r="W9"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10">
      <c r="A10" t="inlineStr">
        <is>
          <t>ARROW_PLATTER</t>
        </is>
      </c>
      <c r="B10" t="inlineStr">
        <is>
          <t>Arrow Platter</t>
        </is>
      </c>
      <c r="C10" t="n">
        <v>3</v>
      </c>
      <c r="D10" t="n">
        <v>40</v>
      </c>
      <c r="E10" t="b">
        <v>1</v>
      </c>
      <c r="F10" t="n">
        <v>1</v>
      </c>
      <c r="G10" t="n">
        <v>1</v>
      </c>
      <c r="H10" t="n">
        <v>0.3</v>
      </c>
      <c r="I10" t="n">
        <v>60</v>
      </c>
      <c r="J10" t="n">
        <v>100</v>
      </c>
      <c r="K10" t="n">
        <v>1</v>
      </c>
      <c r="L10" t="n">
        <v>500</v>
      </c>
      <c r="M10" t="n">
        <v>12</v>
      </c>
      <c r="N10" t="b">
        <v>1</v>
      </c>
      <c r="O10">
        <f>SUMPRODUCT((Inputs!$B$3&gt;={73})*{50})</f>
        <v/>
      </c>
      <c r="P10" t="n">
        <v>0</v>
      </c>
      <c r="Q10" t="n">
        <v>200</v>
      </c>
      <c r="R10">
        <f>3+IF(Inputs!$B$3&gt;=98,1,0)</f>
        <v/>
      </c>
      <c r="S10" t="inlineStr"/>
      <c r="T10" t="n">
        <v>0</v>
      </c>
      <c r="U10" t="n">
        <v>250</v>
      </c>
      <c r="V10" t="n">
        <v>0</v>
      </c>
      <c r="W10"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1">
      <c r="A11" t="inlineStr">
        <is>
          <t>HURRICANE</t>
        </is>
      </c>
      <c r="B11" t="inlineStr">
        <is>
          <t>Hurricane</t>
        </is>
      </c>
      <c r="C11" t="n">
        <v>4</v>
      </c>
      <c r="D11" t="n">
        <v>40</v>
      </c>
      <c r="E11" t="b">
        <v>1</v>
      </c>
      <c r="F11" t="n">
        <v>1</v>
      </c>
      <c r="G11">
        <f>20+IF(Inputs!$B$3&gt;=134,15,0)</f>
        <v/>
      </c>
      <c r="H11" t="n">
        <v>0</v>
      </c>
      <c r="I11" t="n">
        <v>0</v>
      </c>
      <c r="J11" t="n">
        <v>100</v>
      </c>
      <c r="K11" t="n">
        <v>1</v>
      </c>
      <c r="L11" t="n">
        <v>8000</v>
      </c>
      <c r="M11" t="n">
        <v>12</v>
      </c>
      <c r="N11" t="b">
        <v>1</v>
      </c>
      <c r="O11">
        <f>SUMPRODUCT((Inputs!$B$3&gt;={108})*{50})</f>
        <v/>
      </c>
      <c r="P11" t="n">
        <v>0</v>
      </c>
      <c r="Q11" t="n">
        <v>0</v>
      </c>
      <c r="R11" t="n">
        <v>11</v>
      </c>
      <c r="S11" t="inlineStr"/>
      <c r="T11" t="n">
        <v>0</v>
      </c>
      <c r="U11" t="inlineStr"/>
      <c r="V11" t="inlineStr"/>
      <c r="W11"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2">
      <c r="A12" t="inlineStr">
        <is>
          <t>MAPLE_HERO_HELPER</t>
        </is>
      </c>
      <c r="B12" t="inlineStr">
        <is>
          <t>Maple Hero (helper)</t>
        </is>
      </c>
      <c r="C12" t="n">
        <v>4</v>
      </c>
      <c r="D12" t="inlineStr"/>
      <c r="E12" t="b">
        <v>0</v>
      </c>
      <c r="F12" t="n">
        <v>1</v>
      </c>
      <c r="G12" t="n">
        <v>1</v>
      </c>
      <c r="H12" t="n">
        <v>0</v>
      </c>
      <c r="I12" t="n">
        <v>0</v>
      </c>
      <c r="J12" t="n">
        <v>100</v>
      </c>
      <c r="K12" t="n">
        <v>1</v>
      </c>
      <c r="L12" t="n">
        <v>250</v>
      </c>
      <c r="M12" t="n">
        <v>23</v>
      </c>
      <c r="N12" t="b">
        <v>1</v>
      </c>
      <c r="O12" t="n">
        <v>0</v>
      </c>
      <c r="P12" t="n">
        <v>0</v>
      </c>
      <c r="Q12" t="n">
        <v>0</v>
      </c>
      <c r="R12" t="n">
        <v>0</v>
      </c>
      <c r="S12" t="inlineStr"/>
      <c r="T12" t="n">
        <v>0</v>
      </c>
      <c r="U12" t="inlineStr"/>
      <c r="V12" t="inlineStr"/>
      <c r="W12"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3">
      <c r="A13" t="inlineStr">
        <is>
          <t>FLASH_MIRAGE</t>
        </is>
      </c>
      <c r="B13" t="inlineStr">
        <is>
          <t>Flash Mirage</t>
        </is>
      </c>
      <c r="C13" t="n">
        <v>3</v>
      </c>
      <c r="D13">
        <f>IF(Inputs!$B$3&gt;=122,3,5)+1/(((20+30*(Summary!$B$17-1)*100/150)/100)*Summary!$B$17)</f>
        <v/>
      </c>
      <c r="E13" t="b">
        <v>0</v>
      </c>
      <c r="F13" t="n">
        <v>1</v>
      </c>
      <c r="G13" t="n">
        <v>1</v>
      </c>
      <c r="H13" t="n">
        <v>0</v>
      </c>
      <c r="I13" t="n">
        <v>0</v>
      </c>
      <c r="J13" t="n">
        <v>100</v>
      </c>
      <c r="K13" t="n">
        <v>1</v>
      </c>
      <c r="L13" t="n">
        <v>5500</v>
      </c>
      <c r="M13" t="n">
        <v>21</v>
      </c>
      <c r="N13" t="b">
        <v>1</v>
      </c>
      <c r="O13">
        <f>SUMPRODUCT((Inputs!$B$3&gt;={68})*{50})</f>
        <v/>
      </c>
      <c r="P13" t="n">
        <v>0</v>
      </c>
      <c r="Q13" t="n">
        <v>0</v>
      </c>
      <c r="R13">
        <f>7+IF(Inputs!$B$3&gt;=110,4,0)+IF(Inputs!$B$3&gt;=138,1,0)</f>
        <v/>
      </c>
      <c r="S13" t="inlineStr"/>
      <c r="T13" t="n">
        <v>0</v>
      </c>
      <c r="U13" t="inlineStr"/>
      <c r="V13" t="inlineStr"/>
      <c r="W13" t="inlineStr">
        <is>
          <t>AUDIT 2026-10-21: targets 7 (patch 5-&gt;7) +4 once Flash Mirage II unlocks (Lv110, game table MaxHitCount +4) +1 at Lv138 (patched mastery +3-&gt;+1); Flash Mirage II - Reuse (Lv122) cuts the 5s floor by 40% =&gt; 3s. 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4">
      <c r="A14" t="inlineStr">
        <is>
          <t>FLASH_MIRAGE_II_HELPER</t>
        </is>
      </c>
      <c r="B14" t="inlineStr">
        <is>
          <t>Flash Mirage II (helper)</t>
        </is>
      </c>
      <c r="C14" t="n">
        <v>4</v>
      </c>
      <c r="D14" t="inlineStr"/>
      <c r="E14" t="b">
        <v>0</v>
      </c>
      <c r="F14" t="n">
        <v>1</v>
      </c>
      <c r="G14" t="n">
        <v>1</v>
      </c>
      <c r="H14" t="n">
        <v>0</v>
      </c>
      <c r="I14" t="n">
        <v>0</v>
      </c>
      <c r="J14" t="n">
        <v>100</v>
      </c>
      <c r="K14" t="n">
        <v>1</v>
      </c>
      <c r="L14" t="n">
        <v>4000</v>
      </c>
      <c r="M14" t="n">
        <v>21</v>
      </c>
      <c r="N14" t="b">
        <v>1</v>
      </c>
      <c r="O14" t="n">
        <v>0</v>
      </c>
      <c r="P14" t="n">
        <v>0</v>
      </c>
      <c r="Q14" t="n">
        <v>0</v>
      </c>
      <c r="R14" t="n">
        <v>0</v>
      </c>
      <c r="S14" t="inlineStr"/>
      <c r="T14" t="n">
        <v>0</v>
      </c>
      <c r="U14" t="inlineStr"/>
      <c r="V14" t="inlineStr"/>
      <c r="W14"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5">
      <c r="A15" t="inlineStr">
        <is>
          <t>MARKSMANSHIP_BASE</t>
        </is>
      </c>
      <c r="B15" t="inlineStr">
        <is>
          <t>Marksmanship (unconditional half)</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t>
        </is>
      </c>
      <c r="T15" t="n">
        <v>0</v>
      </c>
      <c r="U15" t="inlineStr"/>
      <c r="V15" t="inlineStr"/>
      <c r="W15"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6">
      <c r="A16" t="inlineStr">
        <is>
          <t>MARKSMANSHIP_COND</t>
        </is>
      </c>
      <c r="B16" t="inlineStr">
        <is>
          <t>Marksmanship (conditional half, 1 target)</t>
        </is>
      </c>
      <c r="C16" t="n">
        <v>3</v>
      </c>
      <c r="D16" t="inlineStr"/>
      <c r="E16" t="b">
        <v>0</v>
      </c>
      <c r="F16" t="n">
        <v>1</v>
      </c>
      <c r="G16" t="n">
        <v>1</v>
      </c>
      <c r="H16" t="n">
        <v>0</v>
      </c>
      <c r="I16" t="n">
        <v>0</v>
      </c>
      <c r="J16" t="n">
        <v>100</v>
      </c>
      <c r="K16" t="n">
        <v>1</v>
      </c>
      <c r="L16" t="n">
        <v>100</v>
      </c>
      <c r="M16" t="n">
        <v>22</v>
      </c>
      <c r="N16" t="b">
        <v>1</v>
      </c>
      <c r="O16" t="n">
        <v>0</v>
      </c>
      <c r="P16" t="n">
        <v>0</v>
      </c>
      <c r="Q16" t="n">
        <v>0</v>
      </c>
      <c r="R16" t="n">
        <v>0</v>
      </c>
      <c r="S16" t="inlineStr">
        <is>
          <t>ATTACK_COND_1TARGET</t>
        </is>
      </c>
      <c r="T16" t="n">
        <v>0</v>
      </c>
      <c r="U16" t="inlineStr"/>
      <c r="V16" t="inlineStr"/>
      <c r="W16"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7">
      <c r="A17" t="inlineStr">
        <is>
          <t>ILLUSION_STEP</t>
        </is>
      </c>
      <c r="B17" t="inlineStr">
        <is>
          <t>Illusion Step</t>
        </is>
      </c>
      <c r="C17" t="n">
        <v>4</v>
      </c>
      <c r="D17" t="n">
        <v>24</v>
      </c>
      <c r="E17" t="b">
        <v>0</v>
      </c>
      <c r="F17" t="n">
        <v>1</v>
      </c>
      <c r="G17" t="n">
        <v>1</v>
      </c>
      <c r="H17" t="n">
        <v>0</v>
      </c>
      <c r="I17" t="n">
        <v>0</v>
      </c>
      <c r="J17" t="n">
        <v>100</v>
      </c>
      <c r="K17" t="n">
        <v>1</v>
      </c>
      <c r="L17" t="n">
        <v>140</v>
      </c>
      <c r="M17" t="n">
        <v>22</v>
      </c>
      <c r="N17" t="b">
        <v>1</v>
      </c>
      <c r="O17">
        <f>IF(Inputs!$B$3&gt;=118,5.25*Calc!E17/1000,0)</f>
        <v/>
      </c>
      <c r="P17" t="n">
        <v>0</v>
      </c>
      <c r="Q17" t="n">
        <v>0</v>
      </c>
      <c r="R17" t="n">
        <v>0</v>
      </c>
      <c r="S17" t="inlineStr">
        <is>
          <t>ATTACK</t>
        </is>
      </c>
      <c r="T17">
        <f>IF(Inputs!$B$3&gt;=118,24,15)</f>
        <v/>
      </c>
      <c r="U17" t="inlineStr"/>
      <c r="V17" t="inlineStr"/>
      <c r="W17" t="inlineStr">
        <is>
          <t>AUDIT 2026-10-21: Mastery Lv.118 'Illusion Step - Enhance': the Attack bonus no longer disappears and is doubled during the 9s Illusion Step window =&gt; from Lv118 it is always on (BuffDuration = cycle 24s), averaging 14% x (15 + 2x9)/24 = 1.375x the base value (SkillMasteryBonus% adds the +0.375x). My interpretation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8">
      <c r="A18" t="inlineStr">
        <is>
          <t>SHARP_EYES</t>
        </is>
      </c>
      <c r="B18" t="inlineStr">
        <is>
          <t>Sharp Eyes</t>
        </is>
      </c>
      <c r="C18" t="n">
        <v>4</v>
      </c>
      <c r="D18" t="n">
        <v>35</v>
      </c>
      <c r="E18" t="b">
        <v>1</v>
      </c>
      <c r="F18" t="n">
        <v>1</v>
      </c>
      <c r="G18" t="n">
        <v>1</v>
      </c>
      <c r="H18" t="n">
        <v>0</v>
      </c>
      <c r="I18" t="n">
        <v>0</v>
      </c>
      <c r="J18" t="n">
        <v>100</v>
      </c>
      <c r="K18" t="n">
        <v>1</v>
      </c>
      <c r="L18" t="n">
        <v>400</v>
      </c>
      <c r="M18" t="n">
        <v>21</v>
      </c>
      <c r="N18" t="b">
        <v>1</v>
      </c>
      <c r="O18" t="n">
        <v>0</v>
      </c>
      <c r="P18" t="n">
        <v>0</v>
      </c>
      <c r="Q18" t="n">
        <v>0</v>
      </c>
      <c r="R18" t="n">
        <v>0</v>
      </c>
      <c r="S18" t="inlineStr">
        <is>
          <t>CRIT_DAMAGE</t>
        </is>
      </c>
      <c r="T18">
        <f>IF(Inputs!$B$3&gt;=126,27,18)</f>
        <v/>
      </c>
      <c r="U18" t="inlineStr"/>
      <c r="V18" t="inlineStr"/>
      <c r="W18" t="inlineStr">
        <is>
          <t>AUDIT 2026-10-21 (supersedes the Crit Rate statement below): the site AND the game table give Sharp Eyes NO Crit Rate component (allies +20% of your Crit Damage; self +40%-&gt;72% Crit Damage),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9">
      <c r="A19" t="inlineStr">
        <is>
          <t>CONCENTRATION</t>
        </is>
      </c>
      <c r="B19" t="inlineStr">
        <is>
          <t>Concentration</t>
        </is>
      </c>
      <c r="C19" t="n">
        <v>3</v>
      </c>
      <c r="D19" t="inlineStr"/>
      <c r="E19" t="b">
        <v>0</v>
      </c>
      <c r="F19" t="n">
        <v>1</v>
      </c>
      <c r="G19" t="n">
        <v>1</v>
      </c>
      <c r="H19" t="n">
        <v>0</v>
      </c>
      <c r="I19" t="n">
        <v>0</v>
      </c>
      <c r="J19" t="n">
        <v>100</v>
      </c>
      <c r="K19" t="n">
        <v>1</v>
      </c>
      <c r="L19" t="n">
        <v>30</v>
      </c>
      <c r="M19" t="n">
        <v>22</v>
      </c>
      <c r="N19" t="b">
        <v>1</v>
      </c>
      <c r="O19" t="n">
        <v>0</v>
      </c>
      <c r="P19" t="n">
        <v>0</v>
      </c>
      <c r="Q19" t="n">
        <v>0</v>
      </c>
      <c r="R19" t="n">
        <v>0</v>
      </c>
      <c r="S19" t="inlineStr">
        <is>
          <t>CRIT_DAMAGE</t>
        </is>
      </c>
      <c r="T19" t="n">
        <v>0</v>
      </c>
      <c r="U19" t="inlineStr"/>
      <c r="V19" t="inlineStr"/>
      <c r="W19" t="inlineStr">
        <is>
          <t>AUDIT 2026-10-21 (supersedes the flat-30 statements below): 7 stacks (site; wiki said 10) of 3% Crit Damage each, and the per-stack value SCALES with skill level (game table: CriticalPower = stacks*30 tenths%, factorIndex 22) =&gt; steady-state bonus = 7 x Calc!F. 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20">
      <c r="A20" t="inlineStr">
        <is>
          <t>MORTAL_BLOW</t>
        </is>
      </c>
      <c r="B20" t="inlineStr">
        <is>
          <t>Mortal Blow</t>
        </is>
      </c>
      <c r="C20" t="n">
        <v>3</v>
      </c>
      <c r="D20" t="inlineStr"/>
      <c r="E20" t="b">
        <v>0</v>
      </c>
      <c r="F20" t="n">
        <v>1</v>
      </c>
      <c r="G20" t="n">
        <v>1</v>
      </c>
      <c r="H20" t="n">
        <v>0</v>
      </c>
      <c r="I20" t="n">
        <v>0</v>
      </c>
      <c r="J20" t="n">
        <v>100</v>
      </c>
      <c r="K20" t="n">
        <v>1</v>
      </c>
      <c r="L20" t="n">
        <v>120</v>
      </c>
      <c r="M20" t="n">
        <v>22</v>
      </c>
      <c r="N20" t="b">
        <v>1</v>
      </c>
      <c r="O20" t="n">
        <v>0</v>
      </c>
      <c r="P20" t="n">
        <v>0</v>
      </c>
      <c r="Q20" t="n">
        <v>0</v>
      </c>
      <c r="R20" t="n">
        <v>0</v>
      </c>
      <c r="S20" t="inlineStr">
        <is>
          <t>FINAL_DAMAGE</t>
        </is>
      </c>
      <c r="T20" t="n">
        <v>0</v>
      </c>
      <c r="U20" t="inlineStr"/>
      <c r="V20" t="inlineStr"/>
      <c r="W20"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Night Lord/Shadower/FP-Mage (byte-identical wiki wording — '+15% Attack Speed, +10% Speed for 15 sec'). Flat +15% Attack Speed / +10% Speed for 15s, 60s cooldown, non-scaling. FactorIndex unused placeholder.</t>
        </is>
      </c>
    </row>
    <row r="22">
      <c r="A22" t="inlineStr">
        <is>
          <t>CRITICAL_SHOT</t>
        </is>
      </c>
      <c r="B22" t="inlineStr">
        <is>
          <t>Critical Shot</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CRIT_RATE</t>
        </is>
      </c>
      <c r="T22" t="n">
        <v>0</v>
      </c>
      <c r="U22" t="inlineStr"/>
      <c r="V22" t="inlineStr"/>
      <c r="W22" t="inlineStr">
        <is>
          <t>Magic Critical pattern — already baked into Inputs!CRIT_RATE%; feeds the 1st-Job Skill Level Bonus delta. factorIndex 22, baseDamage 50 tenths% (5%-&gt;6.5%, levels 1-100).</t>
        </is>
      </c>
    </row>
    <row r="23">
      <c r="A23" t="inlineStr">
        <is>
          <t>ARCHER_MASTERY</t>
        </is>
      </c>
      <c r="B23" t="inlineStr">
        <is>
          <t>Archer Mastery (Attack Speed)</t>
        </is>
      </c>
      <c r="C23" t="n">
        <v>1</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1st-Job Skill Level Bonus delta. factorIndex 22, baseDamage 50 tenths% (5%-&gt;6.5%, levels 1-100). Own Speed component not modeled.</t>
        </is>
      </c>
    </row>
    <row r="24">
      <c r="A24" t="inlineStr">
        <is>
          <t>BOW_ACCELERATION</t>
        </is>
      </c>
      <c r="B24" t="inlineStr">
        <is>
          <t>Bow Acceleration</t>
        </is>
      </c>
      <c r="C24" t="n">
        <v>2</v>
      </c>
      <c r="D24" t="inlineStr"/>
      <c r="E24" t="b">
        <v>0</v>
      </c>
      <c r="F24" t="n">
        <v>1</v>
      </c>
      <c r="G24" t="n">
        <v>1</v>
      </c>
      <c r="H24" t="n">
        <v>0</v>
      </c>
      <c r="I24" t="n">
        <v>0</v>
      </c>
      <c r="J24" t="n">
        <v>100</v>
      </c>
      <c r="K24" t="n">
        <v>1</v>
      </c>
      <c r="L24" t="n">
        <v>50</v>
      </c>
      <c r="M24" t="n">
        <v>22</v>
      </c>
      <c r="N24" t="b">
        <v>1</v>
      </c>
      <c r="O24" t="n">
        <v>0</v>
      </c>
      <c r="P24" t="n">
        <v>0</v>
      </c>
      <c r="Q24" t="n">
        <v>0</v>
      </c>
      <c r="R24" t="n">
        <v>0</v>
      </c>
      <c r="S24" t="inlineStr">
        <is>
          <t>ATTACK_SPEED</t>
        </is>
      </c>
      <c r="T24" t="n">
        <v>0</v>
      </c>
      <c r="U24" t="inlineStr"/>
      <c r="V24" t="inlineStr"/>
      <c r="W24" t="inlineStr">
        <is>
          <t>Magic Critical pattern — already baked into Inputs!ATTACK_SPEED%; feeds the 2nd-Job Skill Level Bonus delta. factorIndex 22, baseDamage 50 tenths% (5%-&gt;6.5%, levels 1-100).</t>
        </is>
      </c>
    </row>
    <row r="25">
      <c r="A25" t="inlineStr">
        <is>
          <t>PHYSICAL_TRAINING</t>
        </is>
      </c>
      <c r="B25" t="inlineStr">
        <is>
          <t>Physical Training</t>
        </is>
      </c>
      <c r="C25" t="n">
        <v>2</v>
      </c>
      <c r="D25" t="inlineStr"/>
      <c r="E25" t="b">
        <v>0</v>
      </c>
      <c r="F25" t="n">
        <v>1</v>
      </c>
      <c r="G25" t="n">
        <v>1</v>
      </c>
      <c r="H25" t="n">
        <v>0</v>
      </c>
      <c r="I25" t="n">
        <v>0</v>
      </c>
      <c r="J25" t="n">
        <v>100</v>
      </c>
      <c r="K25" t="n">
        <v>1</v>
      </c>
      <c r="L25" t="n">
        <v>100</v>
      </c>
      <c r="M25" t="n">
        <v>22</v>
      </c>
      <c r="N25" t="b">
        <v>1</v>
      </c>
      <c r="O25" t="n">
        <v>0</v>
      </c>
      <c r="P25" t="n">
        <v>0</v>
      </c>
      <c r="Q25" t="n">
        <v>0</v>
      </c>
      <c r="R25" t="n">
        <v>0</v>
      </c>
      <c r="S25" t="inlineStr">
        <is>
          <t>BASIC_ATTACK_DAMAGE</t>
        </is>
      </c>
      <c r="T25" t="n">
        <v>0</v>
      </c>
      <c r="U25" t="inlineStr"/>
      <c r="V25" t="inlineStr"/>
      <c r="W25" t="inlineStr">
        <is>
          <t>Magic Critical pattern — already baked into Inputs!BASIC_ATTACK_DAMAGE%; feeds the 2nd-Job Skill Level Bonus delta. factorIndex 22, baseDamage 100 tenths% (10%-&gt;13%, levels 1-100).</t>
        </is>
      </c>
    </row>
    <row r="26">
      <c r="A26" t="inlineStr">
        <is>
          <t>BOW_MASTERY</t>
        </is>
      </c>
      <c r="B26" t="inlineStr">
        <is>
          <t>Bow Mastery</t>
        </is>
      </c>
      <c r="C26" t="n">
        <v>2</v>
      </c>
      <c r="D26" t="inlineStr"/>
      <c r="E26" t="b">
        <v>0</v>
      </c>
      <c r="F26" t="n">
        <v>1</v>
      </c>
      <c r="G26" t="n">
        <v>1</v>
      </c>
      <c r="H26" t="n">
        <v>0</v>
      </c>
      <c r="I26" t="n">
        <v>0</v>
      </c>
      <c r="J26" t="n">
        <v>100</v>
      </c>
      <c r="K26" t="n">
        <v>1</v>
      </c>
      <c r="L26" t="n">
        <v>150</v>
      </c>
      <c r="M26" t="n">
        <v>22</v>
      </c>
      <c r="N26" t="b">
        <v>1</v>
      </c>
      <c r="O26" t="n">
        <v>0</v>
      </c>
      <c r="P26" t="n">
        <v>0</v>
      </c>
      <c r="Q26" t="n">
        <v>0</v>
      </c>
      <c r="R26" t="n">
        <v>0</v>
      </c>
      <c r="S26" t="inlineStr">
        <is>
          <t>MIN_DAMAGE</t>
        </is>
      </c>
      <c r="T26" t="n">
        <v>0</v>
      </c>
      <c r="U26" t="inlineStr"/>
      <c r="V26" t="inlineStr"/>
      <c r="W26" t="inlineStr">
        <is>
          <t>Magic Critical pattern — already baked into Inputs!MIN_DAMAGE%; feeds the 2nd-Job Skill Level Bonus delta. factorIndex 22, baseDamage 150 tenths% (15%-&gt;19.5%, levels 1-100).</t>
        </is>
      </c>
    </row>
    <row r="27">
      <c r="A27" t="inlineStr">
        <is>
          <t>EXTREME_ARCHERY_BOW</t>
        </is>
      </c>
      <c r="B27" t="inlineStr">
        <is>
          <t>Extreme Archery / Reckless Hunt: Bow</t>
        </is>
      </c>
      <c r="C27" t="n">
        <v>3</v>
      </c>
      <c r="D27" t="inlineStr"/>
      <c r="E27" t="b">
        <v>0</v>
      </c>
      <c r="F27" t="n">
        <v>1</v>
      </c>
      <c r="G27" t="n">
        <v>1</v>
      </c>
      <c r="H27" t="n">
        <v>0</v>
      </c>
      <c r="I27" t="n">
        <v>0</v>
      </c>
      <c r="J27" t="n">
        <v>100</v>
      </c>
      <c r="K27" t="n">
        <v>1</v>
      </c>
      <c r="L27" t="n">
        <v>150</v>
      </c>
      <c r="M27" t="n">
        <v>22</v>
      </c>
      <c r="N27" t="b">
        <v>1</v>
      </c>
      <c r="O27" t="n">
        <v>0</v>
      </c>
      <c r="P27" t="n">
        <v>0</v>
      </c>
      <c r="Q27" t="n">
        <v>0</v>
      </c>
      <c r="R27" t="n">
        <v>0</v>
      </c>
      <c r="S27" t="inlineStr">
        <is>
          <t>FINAL_DAMAGE</t>
        </is>
      </c>
      <c r="T27" t="n">
        <v>0</v>
      </c>
      <c r="U27" t="inlineStr"/>
      <c r="V27" t="inlineStr"/>
      <c r="W27"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8">
      <c r="A28" t="inlineStr">
        <is>
          <t>ARMOR_BREAK_FD</t>
        </is>
      </c>
      <c r="B28" t="inlineStr">
        <is>
          <t>Armor Break (Final Damage)</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FINAL_DAMAGE</t>
        </is>
      </c>
      <c r="T28" t="n">
        <v>0</v>
      </c>
      <c r="U28" t="inlineStr"/>
      <c r="V28" t="inlineStr"/>
      <c r="W28"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9">
      <c r="A29" t="inlineStr">
        <is>
          <t>ARMOR_BREAK_DEFPEN</t>
        </is>
      </c>
      <c r="B29" t="inlineStr">
        <is>
          <t>Armor Break (Defense Penetration)</t>
        </is>
      </c>
      <c r="C29" t="n">
        <v>4</v>
      </c>
      <c r="D29" t="inlineStr"/>
      <c r="E29" t="b">
        <v>0</v>
      </c>
      <c r="F29" t="n">
        <v>1</v>
      </c>
      <c r="G29" t="n">
        <v>1</v>
      </c>
      <c r="H29" t="n">
        <v>0</v>
      </c>
      <c r="I29" t="n">
        <v>0</v>
      </c>
      <c r="J29" t="n">
        <v>100</v>
      </c>
      <c r="K29" t="n">
        <v>1</v>
      </c>
      <c r="L29" t="n">
        <v>100</v>
      </c>
      <c r="M29" t="n">
        <v>22</v>
      </c>
      <c r="N29" t="b">
        <v>1</v>
      </c>
      <c r="O29" t="n">
        <v>0</v>
      </c>
      <c r="P29" t="n">
        <v>0</v>
      </c>
      <c r="Q29" t="n">
        <v>0</v>
      </c>
      <c r="R29" t="n">
        <v>0</v>
      </c>
      <c r="S29" t="inlineStr">
        <is>
          <t>DEF_PEN</t>
        </is>
      </c>
      <c r="T29" t="n">
        <v>0</v>
      </c>
      <c r="U29" t="inlineStr"/>
      <c r="V29" t="inlineStr"/>
      <c r="W29" t="inlineStr">
        <is>
          <t>Same skill as Armor Break (Final Damage) above, +10%-&gt;16% Defense Penetration. Magic Critical pattern — already baked into Inputs!DEF_PEN%; feeds the 4th-Job Skill Level Bonus delta (Defense Penetration side). factorIndex 22, baseDamage 100 tenths%.</t>
        </is>
      </c>
    </row>
    <row r="30">
      <c r="A30" t="inlineStr">
        <is>
          <t>BOW_EXPERT_SKILL</t>
        </is>
      </c>
      <c r="B30" t="inlineStr">
        <is>
          <t>Bow Expert (Skill Damage)</t>
        </is>
      </c>
      <c r="C30" t="n">
        <v>4</v>
      </c>
      <c r="D30" t="inlineStr"/>
      <c r="E30" t="b">
        <v>0</v>
      </c>
      <c r="F30" t="n">
        <v>1</v>
      </c>
      <c r="G30" t="n">
        <v>1</v>
      </c>
      <c r="H30" t="n">
        <v>0</v>
      </c>
      <c r="I30" t="n">
        <v>0</v>
      </c>
      <c r="J30" t="n">
        <v>100</v>
      </c>
      <c r="K30" t="n">
        <v>1</v>
      </c>
      <c r="L30" t="n">
        <v>150</v>
      </c>
      <c r="M30" t="n">
        <v>22</v>
      </c>
      <c r="N30" t="b">
        <v>1</v>
      </c>
      <c r="O30" t="n">
        <v>0</v>
      </c>
      <c r="P30" t="n">
        <v>0</v>
      </c>
      <c r="Q30" t="n">
        <v>0</v>
      </c>
      <c r="R30" t="n">
        <v>0</v>
      </c>
      <c r="S30" t="inlineStr">
        <is>
          <t>SKILL_DAMAGE</t>
        </is>
      </c>
      <c r="T30" t="n">
        <v>0</v>
      </c>
      <c r="U30" t="inlineStr"/>
      <c r="V30" t="inlineStr"/>
      <c r="W30" t="inlineStr">
        <is>
          <t>Magic Critical pattern — already baked into Inputs!SKILL_DAMAGE%; feeds the 4th-Job Skill Level Bonus delta (Skill Damage side). factorIndex 22, baseDamage 150 tenths% (15%-&gt;24%, levels 1-200). Not patched.</t>
        </is>
      </c>
    </row>
    <row r="31">
      <c r="A31" t="inlineStr">
        <is>
          <t>BOW_EXPERT_MAXDMG</t>
        </is>
      </c>
      <c r="B31" t="inlineStr">
        <is>
          <t>Bow Expert (Max Damage Multiplier)</t>
        </is>
      </c>
      <c r="C31" t="n">
        <v>4</v>
      </c>
      <c r="D31" t="inlineStr"/>
      <c r="E31" t="b">
        <v>0</v>
      </c>
      <c r="F31" t="n">
        <v>1</v>
      </c>
      <c r="G31" t="n">
        <v>1</v>
      </c>
      <c r="H31" t="n">
        <v>0</v>
      </c>
      <c r="I31" t="n">
        <v>0</v>
      </c>
      <c r="J31" t="n">
        <v>100</v>
      </c>
      <c r="K31" t="n">
        <v>1</v>
      </c>
      <c r="L31" t="n">
        <v>200</v>
      </c>
      <c r="M31" t="n">
        <v>22</v>
      </c>
      <c r="N31" t="b">
        <v>1</v>
      </c>
      <c r="O31" t="n">
        <v>0</v>
      </c>
      <c r="P31" t="n">
        <v>0</v>
      </c>
      <c r="Q31" t="n">
        <v>0</v>
      </c>
      <c r="R31" t="n">
        <v>0</v>
      </c>
      <c r="S31" t="inlineStr">
        <is>
          <t>MAX_DAMAGE</t>
        </is>
      </c>
      <c r="T31" t="n">
        <v>0</v>
      </c>
      <c r="U31" t="inlineStr"/>
      <c r="V31" t="inlineStr"/>
      <c r="W31" t="inlineStr">
        <is>
          <t>Same skill as Bow Expert (Skill Damage) above, +20%-&gt;32% Max Damage Multiplier. Magic Critical pattern — already baked into Inputs!MAX_DAMAGE%; feeds the 4th-Job Skill Level Bonus delta (Max Damage Multiplier side). factorIndex 22, baseDamage 200 tenths%.</t>
        </is>
      </c>
    </row>
    <row r="32">
      <c r="A32" t="inlineStr">
        <is>
          <t>SOUL_ARROW_BOW_ATK</t>
        </is>
      </c>
      <c r="B32" t="inlineStr">
        <is>
          <t>Soul Arrow: Bow (Attack%)</t>
        </is>
      </c>
      <c r="C32" t="n">
        <v>2</v>
      </c>
      <c r="D32" t="inlineStr"/>
      <c r="E32" t="b">
        <v>0</v>
      </c>
      <c r="F32" t="n">
        <v>1</v>
      </c>
      <c r="G32" t="n">
        <v>1</v>
      </c>
      <c r="H32" t="n">
        <v>0</v>
      </c>
      <c r="I32" t="n">
        <v>0</v>
      </c>
      <c r="J32" t="n">
        <v>100</v>
      </c>
      <c r="K32" t="n">
        <v>1</v>
      </c>
      <c r="L32" t="n">
        <v>80</v>
      </c>
      <c r="M32" t="n">
        <v>22</v>
      </c>
      <c r="N32" t="b">
        <v>1</v>
      </c>
      <c r="O32" t="n">
        <v>0</v>
      </c>
      <c r="P32" t="n">
        <v>0</v>
      </c>
      <c r="Q32" t="n">
        <v>0</v>
      </c>
      <c r="R32" t="n">
        <v>0</v>
      </c>
      <c r="S32" t="inlineStr">
        <is>
          <t>ATTACK</t>
        </is>
      </c>
      <c r="T32" t="n">
        <v>0</v>
      </c>
      <c r="U32" t="inlineStr"/>
      <c r="V32" t="inlineStr"/>
      <c r="W32"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Skills!G2*IF(Skills!H2&gt;0,INT(IF(Inputs!$B$38="pvp",MIN(Skills!I2,15),Skills!I2)/Skills!H2+0.000000001),1)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Skills!G3*IF(Skills!H3&gt;0,INT(IF(Inputs!$B$38="pvp",MIN(Skills!I3,15),Skills!I3)/Skills!H3+0.000000001),1)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IFERROR(1/(IF(Inputs!$B$38="pvp",15,MAX(0.1,Skills!D3-IF(FALSE=TRUE,Inputs!$B$32,0)))*(1-IF(AND(ArtifactsInput!$M$27,Inputs!$B$4="Chapter Hunt"),CHOOSE(ArtifactsInput!$N$27+1,20,24,28,32,36,40),0)/100)),0)</f>
        <v/>
      </c>
      <c r="R3">
        <f>IF(AND(Inputs!$B$38&lt;&gt;"pvp",Inputs!$B$43&gt;0),IF(MAX(0,Inputs!$B$43-Summary!$B$23)&lt;=0,0,(INT(MAX(0,Inputs!$B$43-Summary!$B$23)/(IF(Inputs!$B$38="pvp",15,MAX(0.1,Skills!D3-IF(FALSE=TRUE,Inputs!$B$32,0)))*(1-IF(AND(ArtifactsInput!$M$27,Inputs!$B$4="Chapter Hunt"),CHOOSE(ArtifactsInput!$N$27+1,20,24,28,32,36,40),0)/100)))+1)),0)</f>
        <v/>
      </c>
      <c r="S3">
        <f>IFERROR(O3/N3,0)</f>
        <v/>
      </c>
      <c r="T3">
        <f>IF(C3,(H3*N3*IF(AND(Inputs!$B$38&lt;&gt;"pvp",Inputs!$B$43&gt;0),((Skills!G3*((R3-1)*IF(Skills!H3&gt;0,INT(Skills!I3/Skills!H3+0.000000001),1)+IF(Skills!H3&gt;0,INT(MIN(Skills!I3,MAX(0,MAX(0,Inputs!$B$43-Summary!$B$23)-((R3-1)*(IF(Inputs!$B$38="pvp",15,MAX(0.1,Skills!D3-IF(FALSE=TRUE,Inputs!$B$32,0)))*(1-IF(AND(ArtifactsInput!$M$27,Inputs!$B$4="Chapter Hunt"),CHOOSE(ArtifactsInput!$N$27+1,20,24,28,32,36,40),0)/100)))))/Skills!H3+0.000000001),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INT(Skills!I3/Skills!H3+0.000000001),1)+IF(Skills!H3&gt;0,INT(MIN(Skills!I3,MAX(0,MAX(0,Inputs!$B$43-Summary!$B$23)-((R3-1)*(IF(Inputs!$B$38="pvp",15,MAX(0.1,Skills!D3-IF(FALSE=TRUE,Inputs!$B$32,0)))*(1-IF(AND(ArtifactsInput!$M$27,Inputs!$B$4="Chapter Hunt"),CHOOSE(ArtifactsInput!$N$27+1,20,24,28,32,36,40),0)/100)))))/Skills!H3+0.000000001),1)))/Inputs!$B$43),G3*Q3))*IF(Inputs!$B$38="pvp",1,(1+(Inputs!$B$21+Skills!Q3+Summary!$B$15+Artifacts!$B$80)/100)*(MIN(Skills!R3,Inputs!$B$37)))*((1+Artifacts!$B$53/100)),0)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Skills!G5*IF(Skills!H5&gt;0,INT(IF(Inputs!$B$38="pvp",MIN(Skills!I5,15),Skills!I5)/Skills!H5+0.000000001),1)</f>
        <v/>
      </c>
      <c r="H5">
        <f>1-(1-Skills!J5/100)^Skills!K5</f>
        <v/>
      </c>
      <c r="I5" t="inlineStr">
        <is>
          <t>1</t>
        </is>
      </c>
      <c r="J5">
        <f>Summary!$B$6*(F5/100)</f>
        <v/>
      </c>
      <c r="K5">
        <f>J5*(1+Summary!$B$7/100)*(1+Inputs!$B$15/100)*(1+Inputs!$B$16/100)*(5000/(6000+Inputs!$B$42*(1-Inputs!$B$19/100)))*(1+(Inputs!$B$24+Summary!$B$21)/100)*(1+Artifacts!$B$34/100)*(1+4.0*IF(C12=TRUE,F12,0)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NT(Skills!I5/Skills!H5+0.000000001),1)+IF(Skills!H5&gt;0,INT(MIN(Skills!I5,MAX(0,MAX(0,Inputs!$B$43-Summary!$B$23)-((R5-1)*(IF(Inputs!$B$38="pvp",15,MAX(0.1,Skills!D5-IF(TRUE=TRUE,Inputs!$B$32,0)))*(1-IF(AND(ArtifactsInput!$M$27,Inputs!$B$4="Chapter Hunt"),CHOOSE(ArtifactsInput!$N$27+1,20,24,28,32,36,40),0)/100)))))/Skills!H5+0.000000001),1)))/Inputs!$B$43),G5*Q5))*IF(Inputs!$B$38="pvp",1,(1+(Inputs!$B$21+Skills!Q5+Summary!$B$15+Artifacts!$B$80)/100)*(MIN(Skills!R5,Inputs!$B$37)))*((1+Artifacts!$B$53/100)),0)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Skills!G6*IF(Skills!H6&gt;0,INT(IF(Inputs!$B$38="pvp",MIN(Skills!I6,15),Skills!I6)/Skills!H6+0.000000001),1)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IFERROR(1/(IF(Inputs!$B$38="pvp",15,MAX(0.1,Skills!D6-IF(FALSE=TRUE,Inputs!$B$32,0)))*(1-IF(AND(ArtifactsInput!$M$27,Inputs!$B$4="Chapter Hunt"),CHOOSE(ArtifactsInput!$N$27+1,20,24,28,32,36,40),0)/100)),0)</f>
        <v/>
      </c>
      <c r="R6">
        <f>IF(AND(Inputs!$B$38&lt;&gt;"pvp",Inputs!$B$43&gt;0),IF(MAX(0,Inputs!$B$43-Summary!$B$23)&lt;=0,0,(INT(MAX(0,Inputs!$B$43-Summary!$B$23)/(IF(Inputs!$B$38="pvp",15,MAX(0.1,Skills!D6-IF(FALSE=TRUE,Inputs!$B$32,0)))*(1-IF(AND(ArtifactsInput!$M$27,Inputs!$B$4="Chapter Hunt"),CHOOSE(ArtifactsInput!$N$27+1,20,24,28,32,36,40),0)/100)))+1)),0)</f>
        <v/>
      </c>
      <c r="S6">
        <f>IFERROR(O6/N6,0)</f>
        <v/>
      </c>
      <c r="T6">
        <f>IF(C6,(H6*N6*IF(AND(Inputs!$B$38&lt;&gt;"pvp",Inputs!$B$43&gt;0),((Skills!G6*((R6-1)*IF(Skills!H6&gt;0,INT(Skills!I6/Skills!H6+0.000000001),1)+IF(Skills!H6&gt;0,INT(MIN(Skills!I6,MAX(0,MAX(0,Inputs!$B$43-Summary!$B$23)-((R6-1)*(IF(Inputs!$B$38="pvp",15,MAX(0.1,Skills!D6-IF(FALSE=TRUE,Inputs!$B$32,0)))*(1-IF(AND(ArtifactsInput!$M$27,Inputs!$B$4="Chapter Hunt"),CHOOSE(ArtifactsInput!$N$27+1,20,24,28,32,36,40),0)/100)))))/Skills!H6+0.000000001),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INT(Skills!I6/Skills!H6+0.000000001),1)+IF(Skills!H6&gt;0,INT(MIN(Skills!I6,MAX(0,MAX(0,Inputs!$B$43-Summary!$B$23)-((R6-1)*(IF(Inputs!$B$38="pvp",15,MAX(0.1,Skills!D6-IF(FALSE=TRUE,Inputs!$B$32,0)))*(1-IF(AND(ArtifactsInput!$M$27,Inputs!$B$4="Chapter Hunt"),CHOOSE(ArtifactsInput!$N$27+1,20,24,28,32,36,40),0)/100)))))/Skills!H6+0.000000001),1)))/Inputs!$B$43),G6*Q6))*IF(Inputs!$B$38="pvp",1,(1+(Inputs!$B$21+Skills!Q6+Summary!$B$15+Artifacts!$B$80)/100)*(MIN(Skills!R6,Inputs!$B$37)))*((1+Artifacts!$B$53/100)),0)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Inputs!$B$3&gt;=130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Skills!G8*IF(Skills!H8&gt;0,INT(IF(Inputs!$B$38="pvp",MIN(Skills!I8,15),Skills!I8)/Skills!H8+0.000000001),1)</f>
        <v/>
      </c>
      <c r="H8">
        <f>1-(1-Skills!J8/100)^Skills!K8</f>
        <v/>
      </c>
      <c r="I8" t="inlineStr">
        <is>
          <t>1</t>
        </is>
      </c>
      <c r="J8">
        <f>Summary!$B$6*(F8/100)</f>
        <v/>
      </c>
      <c r="K8">
        <f>J8*(1+Summary!$B$7/100)*(1+Inputs!$B$15/100)*(1+Inputs!$B$16/100)*(5000/(6000+Inputs!$B$42*(1-Inputs!$B$19/100)))*(1+(Inputs!$B$24+Summary!$B$21)/100)*(1+Artifacts!$B$34/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IFERROR(1/(IF(Inputs!$B$38="pvp",15,MAX(0.1,Skills!D8-IF(FALSE=TRUE,Inputs!$B$32,0)))*(1-IF(AND(ArtifactsInput!$M$27,Inputs!$B$4="Chapter Hunt"),CHOOSE(ArtifactsInput!$N$27+1,20,24,28,32,36,40),0)/100)),0)</f>
        <v/>
      </c>
      <c r="R8">
        <f>IF(AND(Inputs!$B$38&lt;&gt;"pvp",Inputs!$B$43&gt;0),IF(MAX(0,Inputs!$B$43-Summary!$B$23)&lt;=0,0,(INT(MAX(0,Inputs!$B$43-Summary!$B$23)/(IF(Inputs!$B$38="pvp",15,MAX(0.1,Skills!D8-IF(FALSE=TRUE,Inputs!$B$32,0)))*(1-IF(AND(ArtifactsInput!$M$27,Inputs!$B$4="Chapter Hunt"),CHOOSE(ArtifactsInput!$N$27+1,20,24,28,32,36,40),0)/100)))+1)),0)</f>
        <v/>
      </c>
      <c r="S8">
        <f>IFERROR(O8/N8,0)</f>
        <v/>
      </c>
      <c r="T8">
        <f>IF(C8,(H8*N8*IF(AND(Inputs!$B$38&lt;&gt;"pvp",Inputs!$B$43&gt;0),((Skills!G8*((R8-1)*IF(Skills!H8&gt;0,INT(Skills!I8/Skills!H8+0.000000001),1)+IF(Skills!H8&gt;0,INT(MIN(Skills!I8,MAX(0,MAX(0,Inputs!$B$43-Summary!$B$23)-((R8-1)*(IF(Inputs!$B$38="pvp",15,MAX(0.1,Skills!D8-IF(FALSE=TRUE,Inputs!$B$32,0)))*(1-IF(AND(ArtifactsInput!$M$27,Inputs!$B$4="Chapter Hunt"),CHOOSE(ArtifactsInput!$N$27+1,20,24,28,32,36,40),0)/100)))))/Skills!H8+0.000000001),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INT(Skills!I8/Skills!H8+0.000000001),1)+IF(Skills!H8&gt;0,INT(MIN(Skills!I8,MAX(0,MAX(0,Inputs!$B$43-Summary!$B$23)-((R8-1)*(IF(Inputs!$B$38="pvp",15,MAX(0.1,Skills!D8-IF(FALSE=TRUE,Inputs!$B$32,0)))*(1-IF(AND(ArtifactsInput!$M$27,Inputs!$B$4="Chapter Hunt"),CHOOSE(ArtifactsInput!$N$27+1,20,24,28,32,36,40),0)/100)))))/Skills!H8+0.000000001),1)))/Inputs!$B$43),G8*Q8))*IF(Inputs!$B$38="pvp",1,(1+(Inputs!$B$21+Skills!Q8+Summary!$B$15+Artifacts!$B$80)/100)*(MIN(Skills!R8,Inputs!$B$37)))*((1+Artifacts!$B$53/100)),0)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Skills!G9*IF(Skills!H9&gt;0,INT(IF(Inputs!$B$38="pvp",MIN(Skills!I9,15),Skills!I9)/Skills!H9+0.000000001),1)</f>
        <v/>
      </c>
      <c r="H9">
        <f>1-(1-Skills!J9/100)^Skills!K9</f>
        <v/>
      </c>
      <c r="I9" t="inlineStr">
        <is>
          <t>1</t>
        </is>
      </c>
      <c r="J9">
        <f>Summary!$B$6*(F9/100)</f>
        <v/>
      </c>
      <c r="K9">
        <f>J9*(1+Summary!$B$7/100)*(1+Inputs!$B$15/100)*(1+Inputs!$B$16/100)*(5000/(6000+Inputs!$B$42*(1-Inputs!$B$19/100)))*(1+(Inputs!$B$24+Summary!$B$21)/100)*(1+Artifacts!$B$34/100)*(1+1.2*IF(C12=TRUE,F12,0)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Skills!G10*IF(Skills!H10&gt;0,INT(IF(Inputs!$B$38="pvp",MIN(Skills!I10,15),Skills!I10)/Skills!H10+0.000000001),1)</f>
        <v/>
      </c>
      <c r="H10">
        <f>1-(1-Skills!J10/100)^Skills!K10</f>
        <v/>
      </c>
      <c r="I10" t="inlineStr">
        <is>
          <t>1</t>
        </is>
      </c>
      <c r="J10">
        <f>Summary!$B$6*(F10/100)</f>
        <v/>
      </c>
      <c r="K10">
        <f>J10*(1+Summary!$B$7/100)*(1+Inputs!$B$15/100)*(1+Inputs!$B$16/100)*(5000/(6000+Inputs!$B$42*(1-Inputs!$B$19/100)))*(1+(Inputs!$B$24+Summary!$B$21)/100)*(1+Artifacts!$B$34/100)*(1+1.0*IF(C12=TRUE,F12,0)/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Hunt"),CHOOSE(ArtifactsInput!$N$27+1,20,24,28,32,36,40),0)/100)))))/Skills!H10+0.000000001),1)))/Inputs!$B$43),G10*Q10))*IF(Inputs!$B$38="pvp",1,(1+(Inputs!$B$21+Skills!Q10+Summary!$B$15+Artifacts!$B$80)/100)*(MIN(Skills!R10,Inputs!$B$37)))*((1+Artifacts!$B$53/100)),0)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Skills!G11*IF(Skills!H11&gt;0,INT(IF(Inputs!$B$38="pvp",MIN(Skills!I11,15),Skills!I11)/Skills!H11+0.000000001),1)</f>
        <v/>
      </c>
      <c r="H11">
        <f>1-(1-Skills!J11/100)^Skills!K11</f>
        <v/>
      </c>
      <c r="I11" t="inlineStr">
        <is>
          <t>1</t>
        </is>
      </c>
      <c r="J11">
        <f>Summary!$B$6*(F11/100)</f>
        <v/>
      </c>
      <c r="K11">
        <f>J11*(1+Summary!$B$7/100)*(1+Inputs!$B$15/100)*(1+Inputs!$B$16/100)*(5000/(6000+Inputs!$B$42*(1-Inputs!$B$19/100)))*(1+(Inputs!$B$24+Summary!$B$21)/100)*(1+Artifacts!$B$34/100)*(1+(IF(Skills!A11="ARROW_STREAM",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INT(Skills!I11/Skills!H11+0.000000001),1)+IF(Skills!H11&gt;0,INT(MIN(Skills!I11,MAX(0,MAX(0,Inputs!$B$43-Summary!$B$23)-((R11-1)*(IF(Inputs!$B$38="pvp",15,MAX(0.1,Skills!D11-IF(TRUE=TRUE,Inputs!$B$32,0)))*(1-IF(AND(ArtifactsInput!$M$27,Inputs!$B$4="Chapter Hunt"),CHOOSE(ArtifactsInput!$N$27+1,20,24,28,32,36,40),0)/100)))))/Skills!H11+0.000000001),1)))/Inputs!$B$43),G11*Q11))*IF(Inputs!$B$38="pvp",1,(1+(Inputs!$B$21+Skills!Q11+Summary!$B$15+Artifacts!$B$80)/100)*(MIN(Skills!R11,Inputs!$B$37)))*((1+Artifacts!$B$53/100)),0)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Skills!G13*IF(Skills!H13&gt;0,INT(IF(Inputs!$B$38="pvp",MIN(Skills!I13,15),Skills!I13)/Skills!H13+0.000000001),1)</f>
        <v/>
      </c>
      <c r="H13">
        <f>1-(1-Skills!J13/100)^Skills!K13</f>
        <v/>
      </c>
      <c r="I13" t="inlineStr">
        <is>
          <t>1</t>
        </is>
      </c>
      <c r="J13">
        <f>Summary!$B$6*(F13/100)</f>
        <v/>
      </c>
      <c r="K13">
        <f>J13*(1+Summary!$B$7/100)*(1+Inputs!$B$15/100)*(1+Inputs!$B$16/100)*(5000/(6000+Inputs!$B$42*(1-Inputs!$B$19/100)))*(1+(Inputs!$B$24+Summary!$B$21)/100)*(1+Artifacts!$B$34/100)*(1+IF(C14=TRUE,F14,0)/100)*(1+(IF(Skills!A13="ARROW_STREAM",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IFERROR(1/(IF(Inputs!$B$38="pvp",15,MAX(0.1,Skills!D13-IF(FALSE=TRUE,Inputs!$B$32,0)))*(1-IF(AND(ArtifactsInput!$M$27,Inputs!$B$4="Chapter Hunt"),CHOOSE(ArtifactsInput!$N$27+1,20,24,28,32,36,40),0)/100)),0)</f>
        <v/>
      </c>
      <c r="R13">
        <f>IF(AND(Inputs!$B$38&lt;&gt;"pvp",Inputs!$B$43&gt;0),IF(MAX(0,Inputs!$B$43-Summary!$B$23)&lt;=0,0,(INT(MAX(0,Inputs!$B$43-Summary!$B$23)/(IF(Inputs!$B$38="pvp",15,MAX(0.1,Skills!D13-IF(FALSE=TRUE,Inputs!$B$32,0)))*(1-IF(AND(ArtifactsInput!$M$27,Inputs!$B$4="Chapter Hunt"),CHOOSE(ArtifactsInput!$N$27+1,20,24,28,32,36,40),0)/100)))+1)),0)</f>
        <v/>
      </c>
      <c r="S13">
        <f>IFERROR(O13/N13,0)</f>
        <v/>
      </c>
      <c r="T13">
        <f>IF(C13,(H13*N13*IF(AND(Inputs!$B$38&lt;&gt;"pvp",Inputs!$B$43&gt;0),((Skills!G13*((R13-1)*IF(Skills!H13&gt;0,INT(Skills!I13/Skills!H13+0.000000001),1)+IF(Skills!H13&gt;0,INT(MIN(Skills!I13,MAX(0,MAX(0,Inputs!$B$43-Summary!$B$23)-((R13-1)*(IF(Inputs!$B$38="pvp",15,MAX(0.1,Skills!D13-IF(FALSE=TRUE,Inputs!$B$32,0)))*(1-IF(AND(ArtifactsInput!$M$27,Inputs!$B$4="Chapter Hunt"),CHOOSE(ArtifactsInput!$N$27+1,20,24,28,32,36,40),0)/100)))))/Skills!H13+0.000000001),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INT(Skills!I13/Skills!H13+0.000000001),1)+IF(Skills!H13&gt;0,INT(MIN(Skills!I13,MAX(0,MAX(0,Inputs!$B$43-Summary!$B$23)-((R13-1)*(IF(Inputs!$B$38="pvp",15,MAX(0.1,Skills!D13-IF(FALSE=TRUE,Inputs!$B$32,0)))*(1-IF(AND(ArtifactsInput!$M$27,Inputs!$B$4="Chapter Hunt"),CHOOSE(ArtifactsInput!$N$27+1,20,24,28,32,36,40),0)/100)))))/Skills!H13+0.000000001),1)))/Inputs!$B$43),G13*Q13))*IF(Inputs!$B$38="pvp",1,(1+(Inputs!$B$21+Skills!Q13+Summary!$B$15+Artifacts!$B$80)/100)*(MIN(Skills!R13,Inputs!$B$37)))*((1+Artifacts!$B$53/100)),0)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t="inlineStr"/>
      <c r="H14" t="inlineStr"/>
      <c r="I14" t="inlineStr">
        <is>
          <t>1</t>
        </is>
      </c>
      <c r="J14" t="inlineStr"/>
      <c r="K14" t="inlineStr"/>
      <c r="L14" t="inlineStr"/>
      <c r="M14" t="inlineStr"/>
      <c r="N14" t="inlineStr"/>
      <c r="O14" t="inlineStr"/>
      <c r="P14" t="inlineStr"/>
      <c r="Q14" t="inlineStr"/>
      <c r="R14" t="inlineStr"/>
      <c r="S14" t="inlineStr"/>
      <c r="T14" t="inlineStr"/>
      <c r="V14" t="inlineStr"/>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Skills!G15*IF(Skills!H15&gt;0,INT(IF(Inputs!$B$38="pvp",MIN(Skills!I15,15),Skills!I15)/Skills!H15+0.000000001),1)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Inputs!$B$3&gt;=74</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Skills!G16*IF(Skills!H16&gt;0,INT(IF(Inputs!$B$38="pvp",MIN(Skills!I16,15),Skills!I16)/Skills!H16+0.000000001),1)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Inputs!$B$3&gt;=117</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Skills!G17*IF(Skills!H17&gt;0,INT(IF(Inputs!$B$38="pvp",MIN(Skills!I17,15),Skills!I17)/Skills!H17+0.000000001),1)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Skills!G18*IF(Skills!H18&gt;0,INT(IF(Inputs!$B$38="pvp",MIN(Skills!I18,15),Skills!I18)/Skills!H18+0.000000001),1)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Inputs!$B$3&gt;=66</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Skills!G19*IF(Skills!H19&gt;0,INT(IF(Inputs!$B$38="pvp",MIN(Skills!I19,15),Skills!I19)/Skills!H19+0.000000001),1)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Skills!G20*IF(Skills!H20&gt;0,INT(IF(Inputs!$B$38="pvp",MIN(Skills!I20,15),Skills!I20)/Skills!H20+0.000000001),1)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Skills!G21*IF(Skills!H21&gt;0,INT(IF(Inputs!$B$38="pvp",MIN(Skills!I21,15),Skills!I21)/Skills!H21+0.000000001),1)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Inputs!$B$3&gt;=15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Skills!G22*IF(Skills!H22&gt;0,INT(IF(Inputs!$B$38="pvp",MIN(Skills!I22,15),Skills!I22)/Skills!H22+0.000000001),1)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Skills!G23*IF(Skills!H23&gt;0,INT(IF(Inputs!$B$38="pvp",MIN(Skills!I23,15),Skills!I23)/Skills!H23+0.000000001),1)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Skills!G24*IF(Skills!H24&gt;0,INT(IF(Inputs!$B$38="pvp",MIN(Skills!I24,15),Skills!I24)/Skills!H24+0.000000001),1)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Inputs!$B$3&gt;=38</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Skills!G25*IF(Skills!H25&gt;0,INT(IF(Inputs!$B$38="pvp",MIN(Skills!I25,15),Skills!I25)/Skills!H25+0.000000001),1)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Inputs!$B$3&gt;=43</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Skills!G26*IF(Skills!H26&gt;0,INT(IF(Inputs!$B$38="pvp",MIN(Skills!I26,15),Skills!I26)/Skills!H26+0.000000001),1)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Skills!G27*IF(Skills!H27&gt;0,INT(IF(Inputs!$B$38="pvp",MIN(Skills!I27,15),Skills!I27)/Skills!H27+0.000000001),1)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Skills!G28*IF(Skills!H28&gt;0,INT(IF(Inputs!$B$38="pvp",MIN(Skills!I28,15),Skills!I28)/Skills!H28+0.000000001),1)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Skills!G29*IF(Skills!H29&gt;0,INT(IF(Inputs!$B$38="pvp",MIN(Skills!I29,15),Skills!I29)/Skills!H29+0.000000001),1)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Skills!G30*IF(Skills!H30&gt;0,INT(IF(Inputs!$B$38="pvp",MIN(Skills!I30,15),Skills!I30)/Skills!H30+0.000000001),1)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Inputs!$B$3&gt;=120</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Skills!G31*IF(Skills!H31&gt;0,INT(IF(Inputs!$B$38="pvp",MIN(Skills!I31,15),Skills!I31)/Skills!H31+0.000000001),1)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row r="32">
      <c r="A32">
        <f>Skills!A32</f>
        <v/>
      </c>
      <c r="B32">
        <f>Skills!B32</f>
        <v/>
      </c>
      <c r="C32">
        <f>Inputs!$B$3&gt;=45</f>
        <v/>
      </c>
      <c r="D32">
        <f>IF(Skills!C32=1,60+Inputs!$B$25+Inputs!$B$29,IF(Skills!C32=2,90+Inputs!$B$26+Inputs!$B$29,IF(Skills!C32=3,120+Inputs!$B$27+Inputs!$B$29,MAX(0,(Inputs!$B$3-100)*3)+Inputs!$B$28+Inputs!$B$29)))</f>
        <v/>
      </c>
      <c r="E32">
        <f>INDEX(FactorTable!$B$2:$Y$301, MATCH(ROUND(MIN(300,MAX(1,D32)),0), FactorTable!$A$2:$A$301,0), Skills!M32+1)</f>
        <v/>
      </c>
      <c r="F32">
        <f>IF(Skills!N32=TRUE,(Skills!L32/10)*(E32/1000),Skills!L32/10)+Skills!O32</f>
        <v/>
      </c>
      <c r="G32">
        <f>Skills!G32*IF(Skills!H32&gt;0,INT(IF(Inputs!$B$38="pvp",MIN(Skills!I32,15),Skills!I32)/Skills!H32+0.000000001),1)</f>
        <v/>
      </c>
      <c r="H32">
        <f>1-(1-Skills!J32/100)^Skills!K32</f>
        <v/>
      </c>
      <c r="I32" t="inlineStr">
        <is>
          <t>1</t>
        </is>
      </c>
      <c r="J32" t="inlineStr"/>
      <c r="K32" t="inlineStr"/>
      <c r="L32" t="inlineStr"/>
      <c r="M32" t="inlineStr"/>
      <c r="N32" t="inlineStr"/>
      <c r="O32">
        <f>(1-Summary!$B$11)*T32+Summary!$B$11*V32</f>
        <v/>
      </c>
      <c r="P32">
        <f>IF(Summary!$B$3=0,0,O32/Summary!$B$3)</f>
        <v/>
      </c>
      <c r="Q32" t="n">
        <v>0</v>
      </c>
      <c r="R32" t="n">
        <v>0</v>
      </c>
      <c r="S32">
        <f>IFERROR(O32/N32,0)</f>
        <v/>
      </c>
      <c r="T32" t="n">
        <v>0</v>
      </c>
      <c r="V3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SUM(Calc!O2:O32)</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15=TRUE)*Calc!F15)+((Calc!C16=TRUE)*IF(Inputs!$B$38="pvp",Calc!F16,(1-Summary!$B$11)*(Calc!F16)+Summary!$B$11*(0)))+((Calc!C17=TRUE)*Calc!F17*IF(AND(Inputs!$B$38&lt;&gt;"pvp",Inputs!$B$43&gt;0),(((Calc!R17-1)*MIN((Skills!T17*(1+Inputs!$B$34/100)),(1/Calc!Q17))+MIN((Skills!T17*(1+Inputs!$B$34/100)),MAX(0,Inputs!$B$43-((Calc!R17-1)*(1/Calc!Q17)))))/Inputs!$B$43),IF(Inputs!$B$38="pvp",MIN((Skills!T17*(1+Inputs!$B$34/100)),15)/15,MIN(1,(Skills!T17*(1+Inputs!$B$34/100))/(1/Calc!Q17)))))+Artifacts!$B$52)/100</f>
        <v/>
      </c>
    </row>
    <row r="14">
      <c r="A14" t="inlineStr">
        <is>
          <t>Global Crit Rate Bonus % (no live source — Sharp Eyes has no Crit Rate component)</t>
        </is>
      </c>
      <c r="B14" t="n">
        <v>0</v>
      </c>
    </row>
    <row r="15">
      <c r="A15" t="inlineStr">
        <is>
          <t>Global Monster Damage-Taken Bonus % (Artifact Enemy Damage Taken Bonus)</t>
        </is>
      </c>
      <c r="B15">
        <f>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Arrow Stream, 1/s)</t>
        </is>
      </c>
      <c r="B18">
        <f>IF(AND(Inputs!$B$38&lt;&gt;"pvp",Inputs!$B$43&gt;0),SUMPRODUCT((Skills!E2:E32=TRUE)*(Calc!C2:C32=TRUE)*Calc!R2:R32*Skills!F2:F32)/Inputs!$B$43,SUMPRODUCT((Skills!E2:E32=TRUE)*(Calc!C2:C32=TRUE)*Calc!Q2:Q32*Skills!F2:F32))</f>
        <v/>
      </c>
    </row>
    <row r="19">
      <c r="A19" t="inlineStr">
        <is>
          <t>Arrow Stream (Basic Attack) Casts Per Second</t>
        </is>
      </c>
      <c r="B19">
        <f>MAX(0,B17-B18)</f>
        <v/>
      </c>
    </row>
    <row r="20">
      <c r="A20" t="inlineStr">
        <is>
          <t>Global Critical Damage Bonus % (Sharp Eyes scaling + Concentration steady-state max stacks)</t>
        </is>
      </c>
      <c r="B20">
        <f>(Calc!C18=TRUE)*Calc!F18*IF(AND(Inputs!$B$38&lt;&gt;"pvp",Inputs!$B$43&gt;0),(((Calc!R18-1)*MIN((Skills!T18*(1+Inputs!$B$34/100)),(1/Calc!Q18))+MIN((Skills!T18*(1+Inputs!$B$34/100)),MAX(0,Inputs!$B$43-((Calc!R18-1)*(1/Calc!Q18)))))/Inputs!$B$43),IF(Inputs!$B$38="pvp",MIN((Skills!T18*(1+Inputs!$B$34/100)),15)/15,MIN(1,(Skills!T18*(1+Inputs!$B$34/100))/(1/Calc!Q18))))+(Calc!C19=TRUE)*7*Calc!F19</f>
        <v/>
      </c>
    </row>
    <row r="21">
      <c r="A21" t="inlineStr">
        <is>
          <t>Global Final Damage Bonus % (Mortal Blow, steady-state always-active)</t>
        </is>
      </c>
      <c r="B21">
        <f>(Calc!C20=TRUE)*Calc!F20</f>
        <v/>
      </c>
    </row>
    <row r="22">
      <c r="A22" t="inlineStr">
        <is>
          <t>Arrow Stream (Basic Attack) DPS</t>
        </is>
      </c>
      <c r="B22">
        <f>Calc!O2</f>
        <v/>
      </c>
    </row>
    <row r="23">
      <c r="A23" t="inlineStr">
        <is>
          <t>Buff-Casting Startup Delay (s, before first damage-skill cast; fixed-duration only)</t>
        </is>
      </c>
      <c r="B23">
        <f>IF(AND(Inputs!$B$38&lt;&gt;"pvp",Inputs!$B$43&gt;0),SUMPRODUCT((Skills!T2:T32&gt;0)*(Skills!E2:E32=TRUE)*(Calc!C2:C32=TRUE))/B17,0)</f>
        <v/>
      </c>
    </row>
    <row r="24">
      <c r="A24" t="inlineStr">
        <is>
          <t>Boss-Only Total DPS (Sensitivity baseline)</t>
        </is>
      </c>
      <c r="B24">
        <f>SUM(Calc!T2:T32)</f>
        <v/>
      </c>
    </row>
    <row r="25">
      <c r="A25" t="inlineStr">
        <is>
          <t>Normal-Only Total DPS (Sensitivity baseline)</t>
        </is>
      </c>
      <c r="B25">
        <f>SUM(Calc!V2:V32)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f>Calc!B13</f>
        <v/>
      </c>
      <c r="B37">
        <f>Calc!O13</f>
        <v/>
      </c>
      <c r="C37">
        <f>Calc!P13*100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5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B116</f>
        <v/>
      </c>
      <c r="H5">
        <f>Summary!$B$3*(((1-Summary!$B$11)*IFERROR(B114/Summary!$B$24,1)+Summary!$B$11*IFERROR(B115/Summary!$B$25,1))-1)</f>
        <v/>
      </c>
      <c r="I5">
        <f>((1-Summary!$B$11)*IFERROR(B114/Summary!$B$24,1)+Summary!$B$11*IFERROR(B115/Summary!$B$25,1))*100</f>
        <v/>
      </c>
    </row>
    <row r="6">
      <c r="A6" t="inlineStr">
        <is>
          <t>DEX %</t>
        </is>
      </c>
      <c r="B6">
        <f>IFERROR(1/(I6-100),"n/a")</f>
        <v/>
      </c>
      <c r="C6" t="inlineStr">
        <is>
          <t>pct</t>
        </is>
      </c>
      <c r="D6">
        <f>Inputs!$B$13+0</f>
        <v/>
      </c>
      <c r="E6">
        <f>(Inputs!$B$13+1)+0</f>
        <v/>
      </c>
      <c r="F6">
        <f>Summary!$B$3</f>
        <v/>
      </c>
      <c r="G6">
        <f>B164</f>
        <v/>
      </c>
      <c r="H6">
        <f>Summary!$B$3*(((1-Summary!$B$11)*IFERROR(B162/Summary!$B$24,1)+Summary!$B$11*IFERROR(B163/Summary!$B$25,1))-1)</f>
        <v/>
      </c>
      <c r="I6">
        <f>((1-Summary!$B$11)*IFERROR(B162/Summary!$B$24,1)+Summary!$B$11*IFERROR(B163/Summary!$B$25,1))*100</f>
        <v/>
      </c>
    </row>
    <row r="7">
      <c r="A7" t="inlineStr">
        <is>
          <t>STR</t>
        </is>
      </c>
      <c r="B7">
        <f>IFERROR(1/(I7-100),"n/a")</f>
        <v/>
      </c>
      <c r="C7" t="inlineStr">
        <is>
          <t>flat</t>
        </is>
      </c>
      <c r="D7">
        <f>Inputs!$B$14+0</f>
        <v/>
      </c>
      <c r="E7">
        <f>(Inputs!$B$14+1)+0</f>
        <v/>
      </c>
      <c r="F7">
        <f>Summary!$B$3</f>
        <v/>
      </c>
      <c r="G7">
        <f>B212</f>
        <v/>
      </c>
      <c r="H7">
        <f>Summary!$B$3*(((1-Summary!$B$11)*IFERROR(B210/Summary!$B$24,1)+Summary!$B$11*IFERROR(B211/Summary!$B$25,1))-1)</f>
        <v/>
      </c>
      <c r="I7">
        <f>((1-Summary!$B$11)*IFERROR(B210/Summary!$B$24,1)+Summary!$B$11*IFERROR(B211/Summary!$B$25,1))*100</f>
        <v/>
      </c>
    </row>
    <row r="8">
      <c r="A8" t="inlineStr">
        <is>
          <t>DAMAGE %</t>
        </is>
      </c>
      <c r="B8">
        <f>IFERROR(1/(I8-100),"n/a")</f>
        <v/>
      </c>
      <c r="C8" t="inlineStr">
        <is>
          <t>pct</t>
        </is>
      </c>
      <c r="D8">
        <f>Inputs!$B$15+0</f>
        <v/>
      </c>
      <c r="E8">
        <f>(Inputs!$B$15+1)+0</f>
        <v/>
      </c>
      <c r="F8">
        <f>Summary!$B$3</f>
        <v/>
      </c>
      <c r="G8">
        <f>B260</f>
        <v/>
      </c>
      <c r="H8">
        <f>Summary!$B$3*(((1-Summary!$B$11)*IFERROR(B258/Summary!$B$24,1)+Summary!$B$11*IFERROR(B259/Summary!$B$25,1))-1)</f>
        <v/>
      </c>
      <c r="I8">
        <f>((1-Summary!$B$11)*IFERROR(B258/Summary!$B$24,1)+Summary!$B$11*IFERROR(B259/Summary!$B$25,1))*100</f>
        <v/>
      </c>
    </row>
    <row r="9">
      <c r="A9" t="inlineStr">
        <is>
          <t>DAMAGE_AMP %</t>
        </is>
      </c>
      <c r="B9">
        <f>IFERROR(1/(I9-100),"n/a")</f>
        <v/>
      </c>
      <c r="C9" t="inlineStr">
        <is>
          <t>pct</t>
        </is>
      </c>
      <c r="D9">
        <f>Inputs!$B$16+0</f>
        <v/>
      </c>
      <c r="E9">
        <f>(Inputs!$B$16+1)+0</f>
        <v/>
      </c>
      <c r="F9">
        <f>Summary!$B$3</f>
        <v/>
      </c>
      <c r="G9">
        <f>B308</f>
        <v/>
      </c>
      <c r="H9">
        <f>Summary!$B$3*(((1-Summary!$B$11)*IFERROR(B306/Summary!$B$24,1)+Summary!$B$11*IFERROR(B307/Summary!$B$25,1))-1)</f>
        <v/>
      </c>
      <c r="I9">
        <f>((1-Summary!$B$11)*IFERROR(B306/Summary!$B$24,1)+Summary!$B$11*IFERROR(B307/Summary!$B$25,1))*100</f>
        <v/>
      </c>
    </row>
    <row r="10">
      <c r="A10" t="inlineStr">
        <is>
          <t>BOSS_DAMAGE %</t>
        </is>
      </c>
      <c r="B10">
        <f>IFERROR(1/(I10-100),"n/a")</f>
        <v/>
      </c>
      <c r="C10" t="inlineStr">
        <is>
          <t>pct</t>
        </is>
      </c>
      <c r="D10">
        <f>Inputs!$B$20+0</f>
        <v/>
      </c>
      <c r="E10">
        <f>(Inputs!$B$20+1)+0</f>
        <v/>
      </c>
      <c r="F10">
        <f>Summary!$B$3</f>
        <v/>
      </c>
      <c r="G10">
        <f>B356</f>
        <v/>
      </c>
      <c r="H10">
        <f>Summary!$B$3*(((1-Summary!$B$11)*IFERROR(B354/Summary!$B$24,1)+Summary!$B$11*IFERROR(B355/Summary!$B$25,1))-1)</f>
        <v/>
      </c>
      <c r="I10">
        <f>((1-Summary!$B$11)*IFERROR(B354/Summary!$B$24,1)+Summary!$B$11*IFERROR(B355/Summary!$B$25,1))*100</f>
        <v/>
      </c>
    </row>
    <row r="11">
      <c r="A11" t="inlineStr">
        <is>
          <t>NORMAL_DAMAGE %</t>
        </is>
      </c>
      <c r="B11">
        <f>IFERROR(1/(I11-100),"n/a")</f>
        <v/>
      </c>
      <c r="C11" t="inlineStr">
        <is>
          <t>pct</t>
        </is>
      </c>
      <c r="D11">
        <f>Inputs!$B$21+0</f>
        <v/>
      </c>
      <c r="E11">
        <f>(Inputs!$B$21+1)+0</f>
        <v/>
      </c>
      <c r="F11">
        <f>Summary!$B$3</f>
        <v/>
      </c>
      <c r="G11">
        <f>B404</f>
        <v/>
      </c>
      <c r="H11">
        <f>Summary!$B$3*(((1-Summary!$B$11)*IFERROR(B402/Summary!$B$24,1)+Summary!$B$11*IFERROR(B403/Summary!$B$25,1))-1)</f>
        <v/>
      </c>
      <c r="I11">
        <f>((1-Summary!$B$11)*IFERROR(B402/Summary!$B$24,1)+Summary!$B$11*IFERROR(B403/Summary!$B$25,1))*100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B452</f>
        <v/>
      </c>
      <c r="H12">
        <f>Summary!$B$3*(((1-Summary!$B$11)*IFERROR(B450/Summary!$B$24,1)+Summary!$B$11*IFERROR(B451/Summary!$B$25,1))-1)</f>
        <v/>
      </c>
      <c r="I12">
        <f>((1-Summary!$B$11)*IFERROR(B450/Summary!$B$24,1)+Summary!$B$11*IFERROR(B451/Summary!$B$25,1))*100</f>
        <v/>
      </c>
    </row>
    <row r="13">
      <c r="A13" t="inlineStr">
        <is>
          <t>MIN_DAMAGE %</t>
        </is>
      </c>
      <c r="B13">
        <f>IFERROR(1/(I13-100),"n/a")</f>
        <v/>
      </c>
      <c r="C13" t="inlineStr">
        <is>
          <t>pct</t>
        </is>
      </c>
      <c r="D13">
        <f>Inputs!$B$22+0</f>
        <v/>
      </c>
      <c r="E13">
        <f>(Inputs!$B$22+1)+0</f>
        <v/>
      </c>
      <c r="F13">
        <f>Summary!$B$3</f>
        <v/>
      </c>
      <c r="G13">
        <f>B500</f>
        <v/>
      </c>
      <c r="H13">
        <f>Summary!$B$3*(((1-Summary!$B$11)*IFERROR(B498/Summary!$B$24,1)+Summary!$B$11*IFERROR(B499/Summary!$B$25,1))-1)</f>
        <v/>
      </c>
      <c r="I13">
        <f>((1-Summary!$B$11)*IFERROR(B498/Summary!$B$24,1)+Summary!$B$11*IFERROR(B499/Summary!$B$25,1))*100</f>
        <v/>
      </c>
    </row>
    <row r="14">
      <c r="A14" t="inlineStr">
        <is>
          <t>MAX_DAMAGE %</t>
        </is>
      </c>
      <c r="B14">
        <f>IFERROR(1/(I14-100),"n/a")</f>
        <v/>
      </c>
      <c r="C14" t="inlineStr">
        <is>
          <t>pct</t>
        </is>
      </c>
      <c r="D14">
        <f>Inputs!$B$23+0</f>
        <v/>
      </c>
      <c r="E14">
        <f>(Inputs!$B$23+1)+0</f>
        <v/>
      </c>
      <c r="F14">
        <f>Summary!$B$3</f>
        <v/>
      </c>
      <c r="G14">
        <f>B548</f>
        <v/>
      </c>
      <c r="H14">
        <f>Summary!$B$3*(((1-Summary!$B$11)*IFERROR(B546/Summary!$B$24,1)+Summary!$B$11*IFERROR(B547/Summary!$B$25,1))-1)</f>
        <v/>
      </c>
      <c r="I14">
        <f>((1-Summary!$B$11)*IFERROR(B546/Summary!$B$24,1)+Summary!$B$11*IFERROR(B547/Summary!$B$25,1))*100</f>
        <v/>
      </c>
    </row>
    <row r="15">
      <c r="A15" t="inlineStr">
        <is>
          <t>CRIT_RATE %</t>
        </is>
      </c>
      <c r="B15">
        <f>IFERROR(1/(I15-100),"n/a")</f>
        <v/>
      </c>
      <c r="C15" t="inlineStr">
        <is>
          <t>pct</t>
        </is>
      </c>
      <c r="D15">
        <f>Inputs!$B$9+0</f>
        <v/>
      </c>
      <c r="E15">
        <f>(Inputs!$B$9+1)+0</f>
        <v/>
      </c>
      <c r="F15">
        <f>Summary!$B$3</f>
        <v/>
      </c>
      <c r="G15">
        <f>B596</f>
        <v/>
      </c>
      <c r="H15">
        <f>Summary!$B$3*(((1-Summary!$B$11)*IFERROR(B594/Summary!$B$24,1)+Summary!$B$11*IFERROR(B595/Summary!$B$25,1))-1)</f>
        <v/>
      </c>
      <c r="I15">
        <f>((1-Summary!$B$11)*IFERROR(B594/Summary!$B$24,1)+Summary!$B$11*IFERROR(B595/Summary!$B$25,1))*100</f>
        <v/>
      </c>
    </row>
    <row r="16">
      <c r="A16" t="inlineStr">
        <is>
          <t>CRIT_DAMAGE %</t>
        </is>
      </c>
      <c r="B16">
        <f>IFERROR(1/(I16-100),"n/a")</f>
        <v/>
      </c>
      <c r="C16" t="inlineStr">
        <is>
          <t>pct</t>
        </is>
      </c>
      <c r="D16">
        <f>Inputs!$B$10+0</f>
        <v/>
      </c>
      <c r="E16">
        <f>(Inputs!$B$10+1)+0</f>
        <v/>
      </c>
      <c r="F16">
        <f>Summary!$B$3</f>
        <v/>
      </c>
      <c r="G16">
        <f>B644</f>
        <v/>
      </c>
      <c r="H16">
        <f>Summary!$B$3*(((1-Summary!$B$11)*IFERROR(B642/Summary!$B$24,1)+Summary!$B$11*IFERROR(B643/Summary!$B$25,1))-1)</f>
        <v/>
      </c>
      <c r="I16">
        <f>((1-Summary!$B$11)*IFERROR(B642/Summary!$B$24,1)+Summary!$B$11*IFERROR(B643/Summary!$B$25,1))*100</f>
        <v/>
      </c>
    </row>
    <row r="17">
      <c r="A17" t="inlineStr">
        <is>
          <t>ATTACK_SPEED % (diminishing returns, factor 150)</t>
        </is>
      </c>
      <c r="B17">
        <f>IFERROR(1/(I17-100),"n/a")</f>
        <v/>
      </c>
      <c r="C17" t="inlineStr">
        <is>
          <t>dr150</t>
        </is>
      </c>
      <c r="D17">
        <f>Inputs!$B$11+0</f>
        <v/>
      </c>
      <c r="E17">
        <f>((1-(1-Inputs!$B$11/150)*(1-1/150))*150)+0</f>
        <v/>
      </c>
      <c r="F17">
        <f>Summary!$B$3</f>
        <v/>
      </c>
      <c r="G17">
        <f>B692</f>
        <v/>
      </c>
      <c r="H17">
        <f>Summary!$B$3*(((1-Summary!$B$11)*IFERROR(B690/Summary!$B$24,1)+Summary!$B$11*IFERROR(B691/Summary!$B$25,1))-1)</f>
        <v/>
      </c>
      <c r="I17">
        <f>((1-Summary!$B$11)*IFERROR(B690/Summary!$B$24,1)+Summary!$B$11*IFERROR(B691/Summary!$B$25,1))*100</f>
        <v/>
      </c>
    </row>
    <row r="18">
      <c r="A18" t="inlineStr">
        <is>
          <t>DEF_PEN % (diminishing returns, factor 100)</t>
        </is>
      </c>
      <c r="B18">
        <f>IFERROR(1/(I18-100),"n/a")</f>
        <v/>
      </c>
      <c r="C18" t="inlineStr">
        <is>
          <t>dr100</t>
        </is>
      </c>
      <c r="D18">
        <f>Inputs!$B$19+0</f>
        <v/>
      </c>
      <c r="E18">
        <f>((1-(1-Inputs!$B$19/100)*(1-1/100))*100)+0</f>
        <v/>
      </c>
      <c r="F18">
        <f>Summary!$B$3</f>
        <v/>
      </c>
      <c r="G18">
        <f>B740</f>
        <v/>
      </c>
      <c r="H18">
        <f>Summary!$B$3*(((1-Summary!$B$11)*IFERROR(B738/Summary!$B$24,1)+Summary!$B$11*IFERROR(B739/Summary!$B$25,1))-1)</f>
        <v/>
      </c>
      <c r="I18">
        <f>((1-Summary!$B$11)*IFERROR(B738/Summary!$B$24,1)+Summary!$B$11*IFERROR(B739/Summary!$B$25,1))*100</f>
        <v/>
      </c>
    </row>
    <row r="19">
      <c r="A19" t="inlineStr">
        <is>
          <t>BASIC_ATTACK_DAMAGE %</t>
        </is>
      </c>
      <c r="B19">
        <f>IFERROR(1/(I19-100),"n/a")</f>
        <v/>
      </c>
      <c r="C19" t="inlineStr">
        <is>
          <t>pct</t>
        </is>
      </c>
      <c r="D19">
        <f>Inputs!$B$17+0</f>
        <v/>
      </c>
      <c r="E19">
        <f>(Inputs!$B$17+1)+0</f>
        <v/>
      </c>
      <c r="F19">
        <f>Summary!$B$3</f>
        <v/>
      </c>
      <c r="G19">
        <f>B788</f>
        <v/>
      </c>
      <c r="H19">
        <f>Summary!$B$3*(((1-Summary!$B$11)*IFERROR(B786/Summary!$B$24,1)+Summary!$B$11*IFERROR(B787/Summary!$B$25,1))-1)</f>
        <v/>
      </c>
      <c r="I19">
        <f>((1-Summary!$B$11)*IFERROR(B786/Summary!$B$24,1)+Summary!$B$11*IFERROR(B787/Summary!$B$25,1))*100</f>
        <v/>
      </c>
    </row>
    <row r="20">
      <c r="A20" t="inlineStr">
        <is>
          <t>SKILL_DAMAGE %</t>
        </is>
      </c>
      <c r="B20">
        <f>IFERROR(1/(I20-100),"n/a")</f>
        <v/>
      </c>
      <c r="C20" t="inlineStr">
        <is>
          <t>pct</t>
        </is>
      </c>
      <c r="D20">
        <f>Inputs!$B$18+0</f>
        <v/>
      </c>
      <c r="E20">
        <f>(Inputs!$B$18+1)+0</f>
        <v/>
      </c>
      <c r="F20">
        <f>Summary!$B$3</f>
        <v/>
      </c>
      <c r="G20">
        <f>B836</f>
        <v/>
      </c>
      <c r="H20">
        <f>Summary!$B$3*(((1-Summary!$B$11)*IFERROR(B834/Summary!$B$24,1)+Summary!$B$11*IFERROR(B835/Summary!$B$25,1))-1)</f>
        <v/>
      </c>
      <c r="I20">
        <f>((1-Summary!$B$11)*IFERROR(B834/Summary!$B$24,1)+Summary!$B$11*IFERROR(B835/Summary!$B$25,1))*100</f>
        <v/>
      </c>
    </row>
    <row r="21">
      <c r="A21" t="inlineStr">
        <is>
          <t>Skill Level Bonus — 1st Job</t>
        </is>
      </c>
      <c r="B21">
        <f>IFERROR(1/(I21-100),"n/a")</f>
        <v/>
      </c>
      <c r="C21" t="inlineStr">
        <is>
          <t>level</t>
        </is>
      </c>
      <c r="D21">
        <f>Inputs!$B$25+0</f>
        <v/>
      </c>
      <c r="E21">
        <f>(Inputs!$B$25+1)+0</f>
        <v/>
      </c>
      <c r="F21">
        <f>Summary!$B$3</f>
        <v/>
      </c>
      <c r="G21">
        <f>B884</f>
        <v/>
      </c>
      <c r="H21">
        <f>Summary!$B$3*(((1-Summary!$B$11)*IFERROR(B882/Summary!$B$24,1)+Summary!$B$11*IFERROR(B883/Summary!$B$25,1))-1)</f>
        <v/>
      </c>
      <c r="I21">
        <f>((1-Summary!$B$11)*IFERROR(B882/Summary!$B$24,1)+Summary!$B$11*IFERROR(B883/Summary!$B$25,1))*100</f>
        <v/>
      </c>
    </row>
    <row r="22">
      <c r="A22" t="inlineStr">
        <is>
          <t>Skill Level Bonus — 2nd Job</t>
        </is>
      </c>
      <c r="B22">
        <f>IFERROR(1/(I22-100),"n/a")</f>
        <v/>
      </c>
      <c r="C22" t="inlineStr">
        <is>
          <t>level</t>
        </is>
      </c>
      <c r="D22">
        <f>Inputs!$B$26+0</f>
        <v/>
      </c>
      <c r="E22">
        <f>(Inputs!$B$26+1)+0</f>
        <v/>
      </c>
      <c r="F22">
        <f>Summary!$B$3</f>
        <v/>
      </c>
      <c r="G22">
        <f>B932</f>
        <v/>
      </c>
      <c r="H22">
        <f>Summary!$B$3*(((1-Summary!$B$11)*IFERROR(B930/Summary!$B$24,1)+Summary!$B$11*IFERROR(B931/Summary!$B$25,1))-1)</f>
        <v/>
      </c>
      <c r="I22">
        <f>((1-Summary!$B$11)*IFERROR(B930/Summary!$B$24,1)+Summary!$B$11*IFERROR(B931/Summary!$B$25,1))*100</f>
        <v/>
      </c>
    </row>
    <row r="23">
      <c r="A23" t="inlineStr">
        <is>
          <t>Skill Level Bonus — 3rd Job</t>
        </is>
      </c>
      <c r="B23">
        <f>IFERROR(1/(I23-100),"n/a")</f>
        <v/>
      </c>
      <c r="C23" t="inlineStr">
        <is>
          <t>level</t>
        </is>
      </c>
      <c r="D23">
        <f>Inputs!$B$27+0</f>
        <v/>
      </c>
      <c r="E23">
        <f>(Inputs!$B$27+1)+0</f>
        <v/>
      </c>
      <c r="F23">
        <f>Summary!$B$3</f>
        <v/>
      </c>
      <c r="G23">
        <f>B980</f>
        <v/>
      </c>
      <c r="H23">
        <f>Summary!$B$3*(((1-Summary!$B$11)*IFERROR(B978/Summary!$B$24,1)+Summary!$B$11*IFERROR(B979/Summary!$B$25,1))-1)</f>
        <v/>
      </c>
      <c r="I23">
        <f>((1-Summary!$B$11)*IFERROR(B978/Summary!$B$24,1)+Summary!$B$11*IFERROR(B979/Summary!$B$25,1))*100</f>
        <v/>
      </c>
    </row>
    <row r="24">
      <c r="A24" t="inlineStr">
        <is>
          <t>Skill Level Bonus — 4th Job</t>
        </is>
      </c>
      <c r="B24">
        <f>IFERROR(1/(I24-100),"n/a")</f>
        <v/>
      </c>
      <c r="C24" t="inlineStr">
        <is>
          <t>level</t>
        </is>
      </c>
      <c r="D24">
        <f>Inputs!$B$28+0</f>
        <v/>
      </c>
      <c r="E24">
        <f>(Inputs!$B$28+1)+0</f>
        <v/>
      </c>
      <c r="F24">
        <f>Summary!$B$3</f>
        <v/>
      </c>
      <c r="G24">
        <f>B1028</f>
        <v/>
      </c>
      <c r="H24">
        <f>Summary!$B$3*(((1-Summary!$B$11)*IFERROR(B1026/Summary!$B$24,1)+Summary!$B$11*IFERROR(B1027/Summary!$B$25,1))-1)</f>
        <v/>
      </c>
      <c r="I24">
        <f>((1-Summary!$B$11)*IFERROR(B1026/Summary!$B$24,1)+Summary!$B$11*IFERROR(B1027/Summary!$B$25,1))*100</f>
        <v/>
      </c>
    </row>
    <row r="25">
      <c r="A25" t="inlineStr">
        <is>
          <t>Skill Level Bonus — All Skills</t>
        </is>
      </c>
      <c r="B25">
        <f>IFERROR(1/(I25-100),"n/a")</f>
        <v/>
      </c>
      <c r="C25" t="inlineStr">
        <is>
          <t>level</t>
        </is>
      </c>
      <c r="D25">
        <f>Inputs!$B$29+0</f>
        <v/>
      </c>
      <c r="E25">
        <f>(Inputs!$B$29+1)+0</f>
        <v/>
      </c>
      <c r="F25">
        <f>Summary!$B$3</f>
        <v/>
      </c>
      <c r="G25">
        <f>B1076</f>
        <v/>
      </c>
      <c r="H25">
        <f>Summary!$B$3*(((1-Summary!$B$11)*IFERROR(B1074/Summary!$B$24,1)+Summary!$B$11*IFERROR(B1075/Summary!$B$25,1))-1)</f>
        <v/>
      </c>
      <c r="I25">
        <f>((1-Summary!$B$11)*IFERROR(B1074/Summary!$B$24,1)+Summary!$B$11*IFERROR(B1075/Summary!$B$25,1))*100</f>
        <v/>
      </c>
    </row>
    <row r="26">
      <c r="A26" t="inlineStr">
        <is>
          <t>Flat ATTACK</t>
        </is>
      </c>
      <c r="B26">
        <f>IFERROR(1/(I26-100),"n/a")</f>
        <v/>
      </c>
      <c r="C26" t="inlineStr">
        <is>
          <t>flat</t>
        </is>
      </c>
      <c r="D26">
        <f>Inputs!$B$6+0</f>
        <v/>
      </c>
      <c r="E26">
        <f>(Inputs!$B$6+1)+0</f>
        <v/>
      </c>
      <c r="F26">
        <f>Summary!$B$3</f>
        <v/>
      </c>
      <c r="G26">
        <f>B1124</f>
        <v/>
      </c>
      <c r="H26">
        <f>Summary!$B$3*(((1-Summary!$B$11)*IFERROR(B1122/Summary!$B$24,1)+Summary!$B$11*IFERROR(B1123/Summary!$B$25,1))-1)</f>
        <v/>
      </c>
      <c r="I26">
        <f>((1-Summary!$B$11)*IFERROR(B1122/Summary!$B$24,1)+Summary!$B$11*IFERROR(B1123/Summary!$B$25,1))*100</f>
        <v/>
      </c>
    </row>
    <row r="27">
      <c r="A27" t="inlineStr">
        <is>
          <t>ATTACK %</t>
        </is>
      </c>
      <c r="B27">
        <f>IFERROR(1/(I27-100),"n/a")</f>
        <v/>
      </c>
      <c r="C27" t="inlineStr">
        <is>
          <t>pct</t>
        </is>
      </c>
      <c r="D27">
        <f>Inputs!$B$7+0</f>
        <v/>
      </c>
      <c r="E27">
        <f>(Inputs!$B$7+1)+0</f>
        <v/>
      </c>
      <c r="F27">
        <f>Summary!$B$3</f>
        <v/>
      </c>
      <c r="G27">
        <f>B1172</f>
        <v/>
      </c>
      <c r="H27">
        <f>Summary!$B$3*(((1-Summary!$B$11)*IFERROR(B1170/Summary!$B$24,1)+Summary!$B$11*IFERROR(B1171/Summary!$B$25,1))-1)</f>
        <v/>
      </c>
      <c r="I27">
        <f>((1-Summary!$B$11)*IFERROR(B1170/Summary!$B$24,1)+Summary!$B$11*IFERROR(B1171/Summary!$B$25,1))*100</f>
        <v/>
      </c>
    </row>
    <row r="28">
      <c r="A28" t="inlineStr">
        <is>
          <t>Skill Cooldown Decrease (seconds)</t>
        </is>
      </c>
      <c r="B28">
        <f>IFERROR(1/(I28-100),"n/a")</f>
        <v/>
      </c>
      <c r="C28" t="inlineStr">
        <is>
          <t>flat</t>
        </is>
      </c>
      <c r="D28">
        <f>Inputs!$B$32+0</f>
        <v/>
      </c>
      <c r="E28">
        <f>(Inputs!$B$32+1)+0</f>
        <v/>
      </c>
      <c r="F28">
        <f>Summary!$B$3</f>
        <v/>
      </c>
      <c r="G28">
        <f>B1220</f>
        <v/>
      </c>
      <c r="H28">
        <f>Summary!$B$3*(((1-Summary!$B$11)*IFERROR(B1218/Summary!$B$24,1)+Summary!$B$11*IFERROR(B1219/Summary!$B$25,1))-1)</f>
        <v/>
      </c>
      <c r="I28">
        <f>((1-Summary!$B$11)*IFERROR(B1218/Summary!$B$24,1)+Summary!$B$11*IFERROR(B1219/Summary!$B$25,1))*100</f>
        <v/>
      </c>
    </row>
    <row r="29">
      <c r="A29" t="inlineStr">
        <is>
          <t>Basic Attack Target Increase (flat)</t>
        </is>
      </c>
      <c r="B29">
        <f>IFERROR(1/(I29-100),"n/a")</f>
        <v/>
      </c>
      <c r="C29" t="inlineStr">
        <is>
          <t>flat</t>
        </is>
      </c>
      <c r="D29">
        <f>Inputs!$B$33+0</f>
        <v/>
      </c>
      <c r="E29">
        <f>(Inputs!$B$33+1)+0</f>
        <v/>
      </c>
      <c r="F29">
        <f>Summary!$B$3</f>
        <v/>
      </c>
      <c r="G29">
        <f>B1268</f>
        <v/>
      </c>
      <c r="H29">
        <f>Summary!$B$3*(((1-Summary!$B$11)*IFERROR(B1266/Summary!$B$24,1)+Summary!$B$11*IFERROR(B1267/Summary!$B$25,1))-1)</f>
        <v/>
      </c>
      <c r="I29">
        <f>((1-Summary!$B$11)*IFERROR(B1266/Summary!$B$24,1)+Summary!$B$11*IFERROR(B1267/Summary!$B$25,1))*100</f>
        <v/>
      </c>
    </row>
    <row r="30">
      <c r="A30" t="inlineStr">
        <is>
          <t>Buff Duration Increase %</t>
        </is>
      </c>
      <c r="B30">
        <f>IFERROR(1/(I30-100),"n/a")</f>
        <v/>
      </c>
      <c r="C30" t="inlineStr">
        <is>
          <t>pct</t>
        </is>
      </c>
      <c r="D30">
        <f>Inputs!$B$34+0</f>
        <v/>
      </c>
      <c r="E30">
        <f>(Inputs!$B$34+1)+0</f>
        <v/>
      </c>
      <c r="F30">
        <f>Summary!$B$3</f>
        <v/>
      </c>
      <c r="G30">
        <f>B1316</f>
        <v/>
      </c>
      <c r="H30">
        <f>Summary!$B$3*(((1-Summary!$B$11)*IFERROR(B1314/Summary!$B$24,1)+Summary!$B$11*IFERROR(B1315/Summary!$B$25,1))-1)</f>
        <v/>
      </c>
      <c r="I30">
        <f>((1-Summary!$B$11)*IFERROR(B1314/Summary!$B$24,1)+Summary!$B$11*IFERROR(B1315/Summary!$B$25,1))*100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(IF(ArtifactsInput!$M$5,-1,1)*Summary!$B$3*(((1-Summary!$B$11)*IFERROR(B1362/Summary!$B$24,1)+Summary!$B$11*IFERROR(B1363/Summary!$B$25,1))-1)+ArtifactsInput!$L$5)</f>
        <v/>
      </c>
      <c r="AC33">
        <f>IF(ArtifactsInput!$M$5,Summary!$B$3/(Summary!$B$3-(IF(ArtifactsInput!$M$5,-1,1)*Summary!$B$3*(((1-Summary!$B$11)*IFERROR(B1362/Summary!$B$24,1)+Summary!$B$11*IFERROR(B1363/Summary!$B$25,1))-1)+ArtifactsInput!$L$5))*100,(Summary!$B$3+(IF(ArtifactsInput!$M$5,-1,1)*Summary!$B$3*(((1-Summary!$B$11)*IFERROR(B1362/Summary!$B$24,1)+Summary!$B$11*IFERROR(B1363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(IF(ArtifactsInput!$M$6,-1,1)*Summary!$B$3*(((1-Summary!$B$11)*IFERROR(B1410/Summary!$B$24,1)+Summary!$B$11*IFERROR(B1411/Summary!$B$25,1))-1)+ArtifactsInput!$L$6)</f>
        <v/>
      </c>
      <c r="AC34">
        <f>IF(ArtifactsInput!$M$6,Summary!$B$3/(Summary!$B$3-(IF(ArtifactsInput!$M$6,-1,1)*Summary!$B$3*(((1-Summary!$B$11)*IFERROR(B1410/Summary!$B$24,1)+Summary!$B$11*IFERROR(B1411/Summary!$B$25,1))-1)+ArtifactsInput!$L$6))*100,(Summary!$B$3+(IF(ArtifactsInput!$M$6,-1,1)*Summary!$B$3*(((1-Summary!$B$11)*IFERROR(B1410/Summary!$B$24,1)+Summary!$B$11*IFERROR(B1411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(IF(ArtifactsInput!$M$7,-1,1)*Summary!$B$3*(((1-Summary!$B$11)*IFERROR(B1458/Summary!$B$24,1)+Summary!$B$11*IFERROR(B1459/Summary!$B$25,1))-1)+ArtifactsInput!$L$7)</f>
        <v/>
      </c>
      <c r="AC35">
        <f>IF(ArtifactsInput!$M$7,Summary!$B$3/(Summary!$B$3-(IF(ArtifactsInput!$M$7,-1,1)*Summary!$B$3*(((1-Summary!$B$11)*IFERROR(B1458/Summary!$B$24,1)+Summary!$B$11*IFERROR(B1459/Summary!$B$25,1))-1)+ArtifactsInput!$L$7))*100,(Summary!$B$3+(IF(ArtifactsInput!$M$7,-1,1)*Summary!$B$3*(((1-Summary!$B$11)*IFERROR(B1458/Summary!$B$24,1)+Summary!$B$11*IFERROR(B1459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(IF(ArtifactsInput!$M$8,-1,1)*Summary!$B$3*(((1-Summary!$B$11)*IFERROR(B1506/Summary!$B$24,1)+Summary!$B$11*IFERROR(B1507/Summary!$B$25,1))-1)+ArtifactsInput!$L$8)</f>
        <v/>
      </c>
      <c r="AC36">
        <f>IF(ArtifactsInput!$M$8,Summary!$B$3/(Summary!$B$3-(IF(ArtifactsInput!$M$8,-1,1)*Summary!$B$3*(((1-Summary!$B$11)*IFERROR(B1506/Summary!$B$24,1)+Summary!$B$11*IFERROR(B1507/Summary!$B$25,1))-1)+ArtifactsInput!$L$8))*100,(Summary!$B$3+(IF(ArtifactsInput!$M$8,-1,1)*Summary!$B$3*(((1-Summary!$B$11)*IFERROR(B1506/Summary!$B$24,1)+Summary!$B$11*IFERROR(B1507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(IF(ArtifactsInput!$M$10,-1,1)*Summary!$B$3*(((1-Summary!$B$11)*IFERROR(B1554/Summary!$B$24,1)+Summary!$B$11*IFERROR(B1555/Summary!$B$25,1))-1)+ArtifactsInput!$L$10)</f>
        <v/>
      </c>
      <c r="AC37">
        <f>IF(ArtifactsInput!$M$10,Summary!$B$3/(Summary!$B$3-(IF(ArtifactsInput!$M$10,-1,1)*Summary!$B$3*(((1-Summary!$B$11)*IFERROR(B1554/Summary!$B$24,1)+Summary!$B$11*IFERROR(B1555/Summary!$B$25,1))-1)+ArtifactsInput!$L$10))*100,(Summary!$B$3+(IF(ArtifactsInput!$M$10,-1,1)*Summary!$B$3*(((1-Summary!$B$11)*IFERROR(B1554/Summary!$B$24,1)+Summary!$B$11*IFERROR(B1555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(IF(ArtifactsInput!$M$11,-1,1)*Summary!$B$3*(((1-Summary!$B$11)*IFERROR(B1602/Summary!$B$24,1)+Summary!$B$11*IFERROR(B1603/Summary!$B$25,1))-1)+ArtifactsInput!$L$11)</f>
        <v/>
      </c>
      <c r="AC38">
        <f>IF(ArtifactsInput!$M$11,Summary!$B$3/(Summary!$B$3-(IF(ArtifactsInput!$M$11,-1,1)*Summary!$B$3*(((1-Summary!$B$11)*IFERROR(B1602/Summary!$B$24,1)+Summary!$B$11*IFERROR(B1603/Summary!$B$25,1))-1)+ArtifactsInput!$L$11))*100,(Summary!$B$3+(IF(ArtifactsInput!$M$11,-1,1)*Summary!$B$3*(((1-Summary!$B$11)*IFERROR(B1602/Summary!$B$24,1)+Summary!$B$11*IFERROR(B1603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(IF(ArtifactsInput!$M$12,-1,1)*Summary!$B$3*(((1-Summary!$B$11)*IFERROR(B1650/Summary!$B$24,1)+Summary!$B$11*IFERROR(B1651/Summary!$B$25,1))-1)+ArtifactsInput!$L$12)</f>
        <v/>
      </c>
      <c r="AC39">
        <f>IF(ArtifactsInput!$M$12,Summary!$B$3/(Summary!$B$3-(IF(ArtifactsInput!$M$12,-1,1)*Summary!$B$3*(((1-Summary!$B$11)*IFERROR(B1650/Summary!$B$24,1)+Summary!$B$11*IFERROR(B1651/Summary!$B$25,1))-1)+ArtifactsInput!$L$12))*100,(Summary!$B$3+(IF(ArtifactsInput!$M$12,-1,1)*Summary!$B$3*(((1-Summary!$B$11)*IFERROR(B1650/Summary!$B$24,1)+Summary!$B$11*IFERROR(B1651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(IF(ArtifactsInput!$M$13,-1,1)*Summary!$B$3*(((1-Summary!$B$11)*IFERROR(B1698/Summary!$B$24,1)+Summary!$B$11*IFERROR(B1699/Summary!$B$25,1))-1)+ArtifactsInput!$L$13)</f>
        <v/>
      </c>
      <c r="AC40">
        <f>IF(ArtifactsInput!$M$13,Summary!$B$3/(Summary!$B$3-(IF(ArtifactsInput!$M$13,-1,1)*Summary!$B$3*(((1-Summary!$B$11)*IFERROR(B1698/Summary!$B$24,1)+Summary!$B$11*IFERROR(B1699/Summary!$B$25,1))-1)+ArtifactsInput!$L$13))*100,(Summary!$B$3+(IF(ArtifactsInput!$M$13,-1,1)*Summary!$B$3*(((1-Summary!$B$11)*IFERROR(B1698/Summary!$B$24,1)+Summary!$B$11*IFERROR(B1699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(IF(ArtifactsInput!$M$14,-1,1)*Summary!$B$3*(((1-Summary!$B$11)*IFERROR(B1746/Summary!$B$24,1)+Summary!$B$11*IFERROR(B1747/Summary!$B$25,1))-1)+ArtifactsInput!$L$14)</f>
        <v/>
      </c>
      <c r="AC41">
        <f>IF(ArtifactsInput!$M$14,Summary!$B$3/(Summary!$B$3-(IF(ArtifactsInput!$M$14,-1,1)*Summary!$B$3*(((1-Summary!$B$11)*IFERROR(B1746/Summary!$B$24,1)+Summary!$B$11*IFERROR(B1747/Summary!$B$25,1))-1)+ArtifactsInput!$L$14))*100,(Summary!$B$3+(IF(ArtifactsInput!$M$14,-1,1)*Summary!$B$3*(((1-Summary!$B$11)*IFERROR(B1746/Summary!$B$24,1)+Summary!$B$11*IFERROR(B1747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(IF(ArtifactsInput!$M$15,-1,1)*Summary!$B$3*(((1-Summary!$B$11)*IFERROR(B1794/Summary!$B$24,1)+Summary!$B$11*IFERROR(B1795/Summary!$B$25,1))-1)+ArtifactsInput!$L$15)</f>
        <v/>
      </c>
      <c r="AC42">
        <f>IF(ArtifactsInput!$M$15,Summary!$B$3/(Summary!$B$3-(IF(ArtifactsInput!$M$15,-1,1)*Summary!$B$3*(((1-Summary!$B$11)*IFERROR(B1794/Summary!$B$24,1)+Summary!$B$11*IFERROR(B1795/Summary!$B$25,1))-1)+ArtifactsInput!$L$15))*100,(Summary!$B$3+(IF(ArtifactsInput!$M$15,-1,1)*Summary!$B$3*(((1-Summary!$B$11)*IFERROR(B1794/Summary!$B$24,1)+Summary!$B$11*IFERROR(B1795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(IF(ArtifactsInput!$M$16,-1,1)*Summary!$B$3*(((1-Summary!$B$11)*IFERROR(B1842/Summary!$B$24,1)+Summary!$B$11*IFERROR(B1843/Summary!$B$25,1))-1)+ArtifactsInput!$L$16)</f>
        <v/>
      </c>
      <c r="AC43">
        <f>IF(ArtifactsInput!$M$16,Summary!$B$3/(Summary!$B$3-(IF(ArtifactsInput!$M$16,-1,1)*Summary!$B$3*(((1-Summary!$B$11)*IFERROR(B1842/Summary!$B$24,1)+Summary!$B$11*IFERROR(B1843/Summary!$B$25,1))-1)+ArtifactsInput!$L$16))*100,(Summary!$B$3+(IF(ArtifactsInput!$M$16,-1,1)*Summary!$B$3*(((1-Summary!$B$11)*IFERROR(B1842/Summary!$B$24,1)+Summary!$B$11*IFERROR(B1843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(IF(ArtifactsInput!$M$17,-1,1)*Summary!$B$3*(((1-Summary!$B$11)*IFERROR(B1890/Summary!$B$24,1)+Summary!$B$11*IFERROR(B1891/Summary!$B$25,1))-1)+ArtifactsInput!$L$17)</f>
        <v/>
      </c>
      <c r="AC44">
        <f>IF(ArtifactsInput!$M$17,Summary!$B$3/(Summary!$B$3-(IF(ArtifactsInput!$M$17,-1,1)*Summary!$B$3*(((1-Summary!$B$11)*IFERROR(B1890/Summary!$B$24,1)+Summary!$B$11*IFERROR(B1891/Summary!$B$25,1))-1)+ArtifactsInput!$L$17))*100,(Summary!$B$3+(IF(ArtifactsInput!$M$17,-1,1)*Summary!$B$3*(((1-Summary!$B$11)*IFERROR(B1890/Summary!$B$24,1)+Summary!$B$11*IFERROR(B1891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(IF(ArtifactsInput!$M$18,-1,1)*Summary!$B$3*(((1-Summary!$B$11)*IFERROR(B1938/Summary!$B$24,1)+Summary!$B$11*IFERROR(B1939/Summary!$B$25,1))-1)+ArtifactsInput!$L$18)</f>
        <v/>
      </c>
      <c r="AC45">
        <f>IF(ArtifactsInput!$M$18,Summary!$B$3/(Summary!$B$3-(IF(ArtifactsInput!$M$18,-1,1)*Summary!$B$3*(((1-Summary!$B$11)*IFERROR(B1938/Summary!$B$24,1)+Summary!$B$11*IFERROR(B1939/Summary!$B$25,1))-1)+ArtifactsInput!$L$18))*100,(Summary!$B$3+(IF(ArtifactsInput!$M$18,-1,1)*Summary!$B$3*(((1-Summary!$B$11)*IFERROR(B1938/Summary!$B$24,1)+Summary!$B$11*IFERROR(B1939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(IF(ArtifactsInput!$M$20,-1,1)*Summary!$B$3*(((1-Summary!$B$11)*IFERROR(B1986/Summary!$B$24,1)+Summary!$B$11*IFERROR(B1987/Summary!$B$25,1))-1)+ArtifactsInput!$L$20)</f>
        <v/>
      </c>
      <c r="AC46">
        <f>IF(ArtifactsInput!$M$20,Summary!$B$3/(Summary!$B$3-(IF(ArtifactsInput!$M$20,-1,1)*Summary!$B$3*(((1-Summary!$B$11)*IFERROR(B1986/Summary!$B$24,1)+Summary!$B$11*IFERROR(B1987/Summary!$B$25,1))-1)+ArtifactsInput!$L$20))*100,(Summary!$B$3+(IF(ArtifactsInput!$M$20,-1,1)*Summary!$B$3*(((1-Summary!$B$11)*IFERROR(B1986/Summary!$B$24,1)+Summary!$B$11*IFERROR(B1987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(IF(ArtifactsInput!$M$21,-1,1)*Summary!$B$3*(((1-Summary!$B$11)*IFERROR(B2034/Summary!$B$24,1)+Summary!$B$11*IFERROR(B2035/Summary!$B$25,1))-1)+ArtifactsInput!$L$21)</f>
        <v/>
      </c>
      <c r="AC47">
        <f>IF(ArtifactsInput!$M$21,Summary!$B$3/(Summary!$B$3-(IF(ArtifactsInput!$M$21,-1,1)*Summary!$B$3*(((1-Summary!$B$11)*IFERROR(B2034/Summary!$B$24,1)+Summary!$B$11*IFERROR(B2035/Summary!$B$25,1))-1)+ArtifactsInput!$L$21))*100,(Summary!$B$3+(IF(ArtifactsInput!$M$21,-1,1)*Summary!$B$3*(((1-Summary!$B$11)*IFERROR(B2034/Summary!$B$24,1)+Summary!$B$11*IFERROR(B2035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(IF(ArtifactsInput!$M$22,-1,1)*Summary!$B$3*(((1-Summary!$B$11)*IFERROR(B2082/Summary!$B$24,1)+Summary!$B$11*IFERROR(B2083/Summary!$B$25,1))-1)+ArtifactsInput!$L$22)</f>
        <v/>
      </c>
      <c r="AC48">
        <f>IF(ArtifactsInput!$M$22,Summary!$B$3/(Summary!$B$3-(IF(ArtifactsInput!$M$22,-1,1)*Summary!$B$3*(((1-Summary!$B$11)*IFERROR(B2082/Summary!$B$24,1)+Summary!$B$11*IFERROR(B2083/Summary!$B$25,1))-1)+ArtifactsInput!$L$22))*100,(Summary!$B$3+(IF(ArtifactsInput!$M$22,-1,1)*Summary!$B$3*(((1-Summary!$B$11)*IFERROR(B2082/Summary!$B$24,1)+Summary!$B$11*IFERROR(B2083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(IF(ArtifactsInput!$M$23,-1,1)*Summary!$B$3*(((1-Summary!$B$11)*IFERROR(B2130/Summary!$B$24,1)+Summary!$B$11*IFERROR(B2131/Summary!$B$25,1))-1)+ArtifactsInput!$L$23)</f>
        <v/>
      </c>
      <c r="AC49">
        <f>IF(ArtifactsInput!$M$23,Summary!$B$3/(Summary!$B$3-(IF(ArtifactsInput!$M$23,-1,1)*Summary!$B$3*(((1-Summary!$B$11)*IFERROR(B2130/Summary!$B$24,1)+Summary!$B$11*IFERROR(B2131/Summary!$B$25,1))-1)+ArtifactsInput!$L$23))*100,(Summary!$B$3+(IF(ArtifactsInput!$M$23,-1,1)*Summary!$B$3*(((1-Summary!$B$11)*IFERROR(B2130/Summary!$B$24,1)+Summary!$B$11*IFERROR(B2131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(IF(ArtifactsInput!$M$24,-1,1)*Summary!$B$3*(((1-Summary!$B$11)*IFERROR(B2178/Summary!$B$24,1)+Summary!$B$11*IFERROR(B2179/Summary!$B$25,1))-1)+ArtifactsInput!$L$24)</f>
        <v/>
      </c>
      <c r="AC50">
        <f>IF(ArtifactsInput!$M$24,Summary!$B$3/(Summary!$B$3-(IF(ArtifactsInput!$M$24,-1,1)*Summary!$B$3*(((1-Summary!$B$11)*IFERROR(B2178/Summary!$B$24,1)+Summary!$B$11*IFERROR(B2179/Summary!$B$25,1))-1)+ArtifactsInput!$L$24))*100,(Summary!$B$3+(IF(ArtifactsInput!$M$24,-1,1)*Summary!$B$3*(((1-Summary!$B$11)*IFERROR(B2178/Summary!$B$24,1)+Summary!$B$11*IFERROR(B2179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(IF(ArtifactsInput!$M$25,-1,1)*Summary!$B$3*(((1-Summary!$B$11)*IFERROR(B2226/Summary!$B$24,1)+Summary!$B$11*IFERROR(B2227/Summary!$B$25,1))-1)+ArtifactsInput!$L$25)</f>
        <v/>
      </c>
      <c r="AC51">
        <f>IF(ArtifactsInput!$M$25,Summary!$B$3/(Summary!$B$3-(IF(ArtifactsInput!$M$25,-1,1)*Summary!$B$3*(((1-Summary!$B$11)*IFERROR(B2226/Summary!$B$24,1)+Summary!$B$11*IFERROR(B2227/Summary!$B$25,1))-1)+ArtifactsInput!$L$25))*100,(Summary!$B$3+(IF(ArtifactsInput!$M$25,-1,1)*Summary!$B$3*(((1-Summary!$B$11)*IFERROR(B2226/Summary!$B$24,1)+Summary!$B$11*IFERROR(B2227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(IF(ArtifactsInput!$M$26,-1,1)*Summary!$B$3*(((1-Summary!$B$11)*IFERROR(B2274/Summary!$B$24,1)+Summary!$B$11*IFERROR(B2275/Summary!$B$25,1))-1)+ArtifactsInput!$L$26)</f>
        <v/>
      </c>
      <c r="AC52">
        <f>IF(ArtifactsInput!$M$26,Summary!$B$3/(Summary!$B$3-(IF(ArtifactsInput!$M$26,-1,1)*Summary!$B$3*(((1-Summary!$B$11)*IFERROR(B2274/Summary!$B$24,1)+Summary!$B$11*IFERROR(B2275/Summary!$B$25,1))-1)+ArtifactsInput!$L$26))*100,(Summary!$B$3+(IF(ArtifactsInput!$M$26,-1,1)*Summary!$B$3*(((1-Summary!$B$11)*IFERROR(B2274/Summary!$B$24,1)+Summary!$B$11*IFERROR(B2275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(IF(ArtifactsInput!$M$27,-1,1)*Summary!$B$3*(((1-Summary!$B$11)*IFERROR(B2322/Summary!$B$24,1)+Summary!$B$11*IFERROR(B2323/Summary!$B$25,1))-1)+ArtifactsInput!$L$27)</f>
        <v/>
      </c>
      <c r="AC53">
        <f>IF(ArtifactsInput!$M$27,Summary!$B$3/(Summary!$B$3-(IF(ArtifactsInput!$M$27,-1,1)*Summary!$B$3*(((1-Summary!$B$11)*IFERROR(B2322/Summary!$B$24,1)+Summary!$B$11*IFERROR(B2323/Summary!$B$25,1))-1)+ArtifactsInput!$L$27))*100,(Summary!$B$3+(IF(ArtifactsInput!$M$27,-1,1)*Summary!$B$3*(((1-Summary!$B$11)*IFERROR(B2322/Summary!$B$24,1)+Summary!$B$11*IFERROR(B2323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(IF(ArtifactsInput!$M$28,-1,1)*Summary!$B$3*(((1-Summary!$B$11)*IFERROR(B2370/Summary!$B$24,1)+Summary!$B$11*IFERROR(B2371/Summary!$B$25,1))-1)+ArtifactsInput!$L$28)</f>
        <v/>
      </c>
      <c r="AC54">
        <f>IF(ArtifactsInput!$M$28,Summary!$B$3/(Summary!$B$3-(IF(ArtifactsInput!$M$28,-1,1)*Summary!$B$3*(((1-Summary!$B$11)*IFERROR(B2370/Summary!$B$24,1)+Summary!$B$11*IFERROR(B2371/Summary!$B$25,1))-1)+ArtifactsInput!$L$28))*100,(Summary!$B$3+(IF(ArtifactsInput!$M$28,-1,1)*Summary!$B$3*(((1-Summary!$B$11)*IFERROR(B2370/Summary!$B$24,1)+Summary!$B$11*IFERROR(B2371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(IF(ArtifactsInput!$M$29,-1,1)*Summary!$B$3*(((1-Summary!$B$11)*IFERROR(B2418/Summary!$B$24,1)+Summary!$B$11*IFERROR(B2419/Summary!$B$25,1))-1)+ArtifactsInput!$L$29)</f>
        <v/>
      </c>
      <c r="AC55">
        <f>IF(ArtifactsInput!$M$29,Summary!$B$3/(Summary!$B$3-(IF(ArtifactsInput!$M$29,-1,1)*Summary!$B$3*(((1-Summary!$B$11)*IFERROR(B2418/Summary!$B$24,1)+Summary!$B$11*IFERROR(B2419/Summary!$B$25,1))-1)+ArtifactsInput!$L$29))*100,(Summary!$B$3+(IF(ArtifactsInput!$M$29,-1,1)*Summary!$B$3*(((1-Summary!$B$11)*IFERROR(B2418/Summary!$B$24,1)+Summary!$B$11*IFERROR(B2419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(IF(ArtifactsInput!$M$30,-1,1)*Summary!$B$3*(((1-Summary!$B$11)*IFERROR(B2466/Summary!$B$24,1)+Summary!$B$11*IFERROR(B2467/Summary!$B$25,1))-1)+ArtifactsInput!$L$30)</f>
        <v/>
      </c>
      <c r="AC56">
        <f>IF(ArtifactsInput!$M$30,Summary!$B$3/(Summary!$B$3-(IF(ArtifactsInput!$M$30,-1,1)*Summary!$B$3*(((1-Summary!$B$11)*IFERROR(B2466/Summary!$B$24,1)+Summary!$B$11*IFERROR(B2467/Summary!$B$25,1))-1)+ArtifactsInput!$L$30))*100,(Summary!$B$3+(IF(ArtifactsInput!$M$30,-1,1)*Summary!$B$3*(((1-Summary!$B$11)*IFERROR(B2466/Summary!$B$24,1)+Summary!$B$11*IFERROR(B2467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(IF(ArtifactsInput!$M$31,-1,1)*Summary!$B$3*(((1-Summary!$B$11)*IFERROR(B2514/Summary!$B$24,1)+Summary!$B$11*IFERROR(B2515/Summary!$B$25,1))-1)+ArtifactsInput!$L$31)</f>
        <v/>
      </c>
      <c r="AC57">
        <f>IF(ArtifactsInput!$M$31,Summary!$B$3/(Summary!$B$3-(IF(ArtifactsInput!$M$31,-1,1)*Summary!$B$3*(((1-Summary!$B$11)*IFERROR(B2514/Summary!$B$24,1)+Summary!$B$11*IFERROR(B2515/Summary!$B$25,1))-1)+ArtifactsInput!$L$31))*100,(Summary!$B$3+(IF(ArtifactsInput!$M$31,-1,1)*Summary!$B$3*(((1-Summary!$B$11)*IFERROR(B2514/Summary!$B$24,1)+Summary!$B$11*IFERROR(B2515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(IF(ArtifactsInput!$M$32,-1,1)*Summary!$B$3*(((1-Summary!$B$11)*IFERROR(B2562/Summary!$B$24,1)+Summary!$B$11*IFERROR(B2563/Summary!$B$25,1))-1)+ArtifactsInput!$L$32)</f>
        <v/>
      </c>
      <c r="AC58">
        <f>IF(ArtifactsInput!$M$32,Summary!$B$3/(Summary!$B$3-(IF(ArtifactsInput!$M$32,-1,1)*Summary!$B$3*(((1-Summary!$B$11)*IFERROR(B2562/Summary!$B$24,1)+Summary!$B$11*IFERROR(B2563/Summary!$B$25,1))-1)+ArtifactsInput!$L$32))*100,(Summary!$B$3+(IF(ArtifactsInput!$M$32,-1,1)*Summary!$B$3*(((1-Summary!$B$11)*IFERROR(B2562/Summary!$B$24,1)+Summary!$B$11*IFERROR(B2563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(IF(ArtifactsInput!$M$33,-1,1)*Summary!$B$3*(((1-Summary!$B$11)*IFERROR(B2610/Summary!$B$24,1)+Summary!$B$11*IFERROR(B2611/Summary!$B$25,1))-1)+ArtifactsInput!$L$33)</f>
        <v/>
      </c>
      <c r="AC59">
        <f>IF(ArtifactsInput!$M$33,Summary!$B$3/(Summary!$B$3-(IF(ArtifactsInput!$M$33,-1,1)*Summary!$B$3*(((1-Summary!$B$11)*IFERROR(B2610/Summary!$B$24,1)+Summary!$B$11*IFERROR(B2611/Summary!$B$25,1))-1)+ArtifactsInput!$L$33))*100,(Summary!$B$3+(IF(ArtifactsInput!$M$33,-1,1)*Summary!$B$3*(((1-Summary!$B$11)*IFERROR(B2610/Summary!$B$24,1)+Summary!$B$11*IFERROR(B2611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(IF(ArtifactsInput!$M$34,-1,1)*Summary!$B$3*(((1-Summary!$B$11)*IFERROR(B2658/Summary!$B$24,1)+Summary!$B$11*IFERROR(B2659/Summary!$B$25,1))-1)+ArtifactsInput!$L$34)</f>
        <v/>
      </c>
      <c r="AC60">
        <f>IF(ArtifactsInput!$M$34,Summary!$B$3/(Summary!$B$3-(IF(ArtifactsInput!$M$34,-1,1)*Summary!$B$3*(((1-Summary!$B$11)*IFERROR(B2658/Summary!$B$24,1)+Summary!$B$11*IFERROR(B2659/Summary!$B$25,1))-1)+ArtifactsInput!$L$34))*100,(Summary!$B$3+(IF(ArtifactsInput!$M$34,-1,1)*Summary!$B$3*(((1-Summary!$B$11)*IFERROR(B2658/Summary!$B$24,1)+Summary!$B$11*IFERROR(B2659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(IF(ArtifactsInput!$M$35,-1,1)*Summary!$B$3*(((1-Summary!$B$11)*IFERROR(B2706/Summary!$B$24,1)+Summary!$B$11*IFERROR(B2707/Summary!$B$25,1))-1)+ArtifactsInput!$L$35)</f>
        <v/>
      </c>
      <c r="AC61">
        <f>IF(ArtifactsInput!$M$35,Summary!$B$3/(Summary!$B$3-(IF(ArtifactsInput!$M$35,-1,1)*Summary!$B$3*(((1-Summary!$B$11)*IFERROR(B2706/Summary!$B$24,1)+Summary!$B$11*IFERROR(B2707/Summary!$B$25,1))-1)+ArtifactsInput!$L$35))*100,(Summary!$B$3+(IF(ArtifactsInput!$M$35,-1,1)*Summary!$B$3*(((1-Summary!$B$11)*IFERROR(B2706/Summary!$B$24,1)+Summary!$B$11*IFERROR(B2707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(IF(ArtifactsInput!$M$36,-1,1)*Summary!$B$3*(((1-Summary!$B$11)*IFERROR(B2754/Summary!$B$24,1)+Summary!$B$11*IFERROR(B2755/Summary!$B$25,1))-1)+ArtifactsInput!$L$36)</f>
        <v/>
      </c>
      <c r="AC62">
        <f>IF(ArtifactsInput!$M$36,Summary!$B$3/(Summary!$B$3-(IF(ArtifactsInput!$M$36,-1,1)*Summary!$B$3*(((1-Summary!$B$11)*IFERROR(B2754/Summary!$B$24,1)+Summary!$B$11*IFERROR(B2755/Summary!$B$25,1))-1)+ArtifactsInput!$L$36))*100,(Summary!$B$3+(IF(ArtifactsInput!$M$36,-1,1)*Summary!$B$3*(((1-Summary!$B$11)*IFERROR(B2754/Summary!$B$24,1)+Summary!$B$11*IFERROR(B2755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(IF(ArtifactsInput!$M$37,-1,1)*Summary!$B$3*(((1-Summary!$B$11)*IFERROR(B2802/Summary!$B$24,1)+Summary!$B$11*IFERROR(B2803/Summary!$B$25,1))-1)+ArtifactsInput!$L$37)</f>
        <v/>
      </c>
      <c r="AC63">
        <f>IF(ArtifactsInput!$M$37,Summary!$B$3/(Summary!$B$3-(IF(ArtifactsInput!$M$37,-1,1)*Summary!$B$3*(((1-Summary!$B$11)*IFERROR(B2802/Summary!$B$24,1)+Summary!$B$11*IFERROR(B2803/Summary!$B$25,1))-1)+ArtifactsInput!$L$37))*100,(Summary!$B$3+(IF(ArtifactsInput!$M$37,-1,1)*Summary!$B$3*(((1-Summary!$B$11)*IFERROR(B2802/Summary!$B$24,1)+Summary!$B$11*IFERROR(B2803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(IF(ArtifactsInput!$M$38,-1,1)*Summary!$B$3*(((1-Summary!$B$11)*IFERROR(B2850/Summary!$B$24,1)+Summary!$B$11*IFERROR(B2851/Summary!$B$25,1))-1)+ArtifactsInput!$L$38)</f>
        <v/>
      </c>
      <c r="AC64">
        <f>IF(ArtifactsInput!$M$38,Summary!$B$3/(Summary!$B$3-(IF(ArtifactsInput!$M$38,-1,1)*Summary!$B$3*(((1-Summary!$B$11)*IFERROR(B2850/Summary!$B$24,1)+Summary!$B$11*IFERROR(B2851/Summary!$B$25,1))-1)+ArtifactsInput!$L$38))*100,(Summary!$B$3+(IF(ArtifactsInput!$M$38,-1,1)*Summary!$B$3*(((1-Summary!$B$11)*IFERROR(B2850/Summary!$B$24,1)+Summary!$B$11*IFERROR(B2851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(IF(ArtifactsInput!$M$39,-1,1)*Summary!$B$3*(((1-Summary!$B$11)*IFERROR(B2898/Summary!$B$24,1)+Summary!$B$11*IFERROR(B2899/Summary!$B$25,1))-1)+ArtifactsInput!$L$39)</f>
        <v/>
      </c>
      <c r="AC65">
        <f>IF(ArtifactsInput!$M$39,Summary!$B$3/(Summary!$B$3-(IF(ArtifactsInput!$M$39,-1,1)*Summary!$B$3*(((1-Summary!$B$11)*IFERROR(B2898/Summary!$B$24,1)+Summary!$B$11*IFERROR(B2899/Summary!$B$25,1))-1)+ArtifactsInput!$L$39))*100,(Summary!$B$3+(IF(ArtifactsInput!$M$39,-1,1)*Summary!$B$3*(((1-Summary!$B$11)*IFERROR(B2898/Summary!$B$24,1)+Summary!$B$11*IFERROR(B2899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(IF(ArtifactsInput!$M$40,-1,1)*Summary!$B$3*(((1-Summary!$B$11)*IFERROR(B2946/Summary!$B$24,1)+Summary!$B$11*IFERROR(B2947/Summary!$B$25,1))-1)+ArtifactsInput!$L$40)</f>
        <v/>
      </c>
      <c r="AC66">
        <f>IF(ArtifactsInput!$M$40,Summary!$B$3/(Summary!$B$3-(IF(ArtifactsInput!$M$40,-1,1)*Summary!$B$3*(((1-Summary!$B$11)*IFERROR(B2946/Summary!$B$24,1)+Summary!$B$11*IFERROR(B2947/Summary!$B$25,1))-1)+ArtifactsInput!$L$40))*100,(Summary!$B$3+(IF(ArtifactsInput!$M$40,-1,1)*Summary!$B$3*(((1-Summary!$B$11)*IFERROR(B2946/Summary!$B$24,1)+Summary!$B$11*IFERROR(B2947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(IF(ArtifactsInput!$M$41,-1,1)*Summary!$B$3*(((1-Summary!$B$11)*IFERROR(B2994/Summary!$B$24,1)+Summary!$B$11*IFERROR(B2995/Summary!$B$25,1))-1)+ArtifactsInput!$L$41)</f>
        <v/>
      </c>
      <c r="AC67">
        <f>IF(ArtifactsInput!$M$41,Summary!$B$3/(Summary!$B$3-(IF(ArtifactsInput!$M$41,-1,1)*Summary!$B$3*(((1-Summary!$B$11)*IFERROR(B2994/Summary!$B$24,1)+Summary!$B$11*IFERROR(B2995/Summary!$B$25,1))-1)+ArtifactsInput!$L$41))*100,(Summary!$B$3+(IF(ArtifactsInput!$M$41,-1,1)*Summary!$B$3*(((1-Summary!$B$11)*IFERROR(B2994/Summary!$B$24,1)+Summary!$B$11*IFERROR(B2995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(IF(ArtifactsInput!$M$42,-1,1)*Summary!$B$3*(((1-Summary!$B$11)*IFERROR(B3042/Summary!$B$24,1)+Summary!$B$11*IFERROR(B3043/Summary!$B$25,1))-1)+ArtifactsInput!$L$42)</f>
        <v/>
      </c>
      <c r="AC68">
        <f>IF(ArtifactsInput!$M$42,Summary!$B$3/(Summary!$B$3-(IF(ArtifactsInput!$M$42,-1,1)*Summary!$B$3*(((1-Summary!$B$11)*IFERROR(B3042/Summary!$B$24,1)+Summary!$B$11*IFERROR(B3043/Summary!$B$25,1))-1)+ArtifactsInput!$L$42))*100,(Summary!$B$3+(IF(ArtifactsInput!$M$42,-1,1)*Summary!$B$3*(((1-Summary!$B$11)*IFERROR(B3042/Summary!$B$24,1)+Summary!$B$11*IFERROR(B3043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Skills!G2*IF(Skills!H2&gt;0,INT(IF(Inputs!$B$38="pvp",MIN(Skills!I2,15),Skills!I2)/Skills!H2+0.000000001),1)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97=TRUE)*(F97-Calc!F26)),(Inputs!$B$23+((C102=TRUE)*(F102-Calc!F31))+(IF(ArtifactsInput!$M$15,CHOOSE(ArtifactsInput!$N$15+1,25,30,35,40,45,50)/100*(Inputs!$B$11-Inputs!$B$11),0))))/100+(Inputs!$B$23+((C102=TRUE)*(F102-Calc!F31))+(IF(ArtifactsInput!$M$15,CHOOSE(ArtifactsInput!$N$15+1,25,30,35,40,45,50)/100*(Inputs!$B$11-Inputs!$B$11),0)))/100)/2</f>
        <v/>
      </c>
      <c r="M73">
        <f>L73*(1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IF(B116=0,0,O73/B116)</f>
        <v/>
      </c>
      <c r="Q73" t="n">
        <v>0</v>
      </c>
      <c r="R73" t="n">
        <v>0</v>
      </c>
      <c r="S73">
        <f>IFERROR(O73/N73,0)</f>
        <v/>
      </c>
      <c r="T73">
        <f>IF(C73,(Skills!G2*N73*B110)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IF(C73,(Skills!G2*N73*B110)*IF(Inputs!$B$38="pvp",1,(1+(Inputs!$B$21+Skills!Q2+(IF(ArtifactsInput!$M$33,CHOOSE(ArtifactsInput!$N$33+1,30,36,42,48,54,60),0))+(IF(AND(ArtifactsInput!$M$35,Inputs!$B$4&lt;&gt;"Chapter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Skills!G3*IF(Skills!H3&gt;0,INT(IF(Inputs!$B$38="pvp",MIN(Skills!I3,15),Skills!I3)/Skills!H3+0.000000001),1)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97=TRUE)*(F97-Calc!F26)),(Inputs!$B$23+((C102=TRUE)*(F102-Calc!F31))+(IF(ArtifactsInput!$M$15,CHOOSE(ArtifactsInput!$N$15+1,25,30,35,40,45,50)/100*(Inputs!$B$11-Inputs!$B$11),0))))/100+(Inputs!$B$23+((C102=TRUE)*(F102-Calc!F31))+(IF(ArtifactsInput!$M$15,CHOOSE(ArtifactsInput!$N$15+1,25,30,35,40,45,50)/100*(Inputs!$B$11-Inputs!$B$11),0)))/100)/2</f>
        <v/>
      </c>
      <c r="M74">
        <f>L74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IF(B116=0,0,O74/B116)</f>
        <v/>
      </c>
      <c r="Q74">
        <f>IFERROR(1/(IF(Inputs!$B$38="pvp",15,MAX(0.1,1/B108-IF(FALSE=TRUE,Inputs!$B$32,0)))*(1-IF(AND(ArtifactsInput!$M$27,Inputs!$B$4="Chapter Hunt"),CHOOSE(ArtifactsInput!$N$27+1,20,24,28,32,36,40),0)/100)),0)</f>
        <v/>
      </c>
      <c r="R74">
        <f>IF(AND(Inputs!$B$38&lt;&gt;"pvp",Inputs!$B$43&gt;0),IF(MAX(0,Inputs!$B$43-B113)&lt;=0,0,(INT(MAX(0,Inputs!$B$43-B113)/(IF(Inputs!$B$38="pvp",15,MAX(0.1,1/B108-IF(FALSE=TRUE,Inputs!$B$32,0)))*(1-IF(AND(ArtifactsInput!$M$27,Inputs!$B$4="Chapter Hunt"),CHOOSE(ArtifactsInput!$N$27+1,20,24,28,32,36,40),0)/100)))+1)),0)</f>
        <v/>
      </c>
      <c r="S74">
        <f>IFERROR(O74/N74,0)</f>
        <v/>
      </c>
      <c r="T74">
        <f>IF(C74,(H74*N74*IF(AND(Inputs!$B$38&lt;&gt;"pvp",Inputs!$B$43&gt;0),((Skills!G3*((R74-1)*IF(Skills!H3&gt;0,INT(Skills!I3/Skills!H3+0.000000001),1)+IF(Skills!H3&gt;0,INT(MIN(Skills!I3,MAX(0,MAX(0,Inputs!$B$43-B113)-((R74-1)*(IF(Inputs!$B$38="pvp",15,MAX(0.1,1/B108-IF(FALSE=TRUE,Inputs!$B$32,0)))*(1-IF(AND(ArtifactsInput!$M$27,Inputs!$B$4="Chapter Hunt"),CHOOSE(ArtifactsInput!$N$27+1,20,24,28,32,36,40),0)/100)))))/Skills!H3+0.000000001),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INT(Skills!I3/Skills!H3+0.000000001),1)+IF(Skills!H3&gt;0,INT(MIN(Skills!I3,MAX(0,MAX(0,Inputs!$B$43-B113)-((R74-1)*(IF(Inputs!$B$38="pvp",15,MAX(0.1,1/B108-IF(FALSE=TRUE,Inputs!$B$32,0)))*(1-IF(AND(ArtifactsInput!$M$27,Inputs!$B$4="Chapter Hunt"),CHOOSE(ArtifactsInput!$N$27+1,20,24,28,32,36,40),0)/100)))))/Skills!H3+0.000000001),1)))/Inputs!$B$43),G74*Q74))*IF(Inputs!$B$38="pvp",1,(1+(Inputs!$B$21+Skills!Q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Skills!G5*IF(Skills!H5&gt;0,INT(IF(Inputs!$B$38="pvp",MIN(Skills!I5,15),Skills!I5)/Skills!H5+0.000000001),1)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5="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97=TRUE)*(F97-Calc!F26)),(Inputs!$B$23+((C102=TRUE)*(F102-Calc!F31))+(IF(ArtifactsInput!$M$15,CHOOSE(ArtifactsInput!$N$15+1,25,30,35,40,45,50)/100*(Inputs!$B$11-Inputs!$B$11),0))))/100+(Inputs!$B$23+((C102=TRUE)*(F102-Calc!F31))+(IF(ArtifactsInput!$M$15,CHOOSE(ArtifactsInput!$N$15+1,25,30,35,40,45,50)/100*(Inputs!$B$11-Inputs!$B$11),0)))/100)/2</f>
        <v/>
      </c>
      <c r="M76">
        <f>L76*(1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IF(B116=0,0,O76/B116)</f>
        <v/>
      </c>
      <c r="Q76">
        <f>IFERROR(1/(IF(Inputs!$B$38="pvp",15,MAX(0.1,Skills!D5-IF(TRUE=TRUE,Inputs!$B$32,0)))*(1-IF(AND(ArtifactsInput!$M$27,Inputs!$B$4="Chapter Hunt"),CHOOSE(ArtifactsInput!$N$27+1,20,24,28,32,36,40),0)/100)),0)</f>
        <v/>
      </c>
      <c r="R76">
        <f>IF(AND(Inputs!$B$38&lt;&gt;"pvp",Inputs!$B$43&gt;0),IF(MAX(0,Inputs!$B$43-B113)&lt;=0,0,(INT(MAX(0,Inputs!$B$43-B113)/(IF(Inputs!$B$38="pvp",15,MAX(0.1,Skills!D5-IF(TRUE=TRUE,Inputs!$B$32,0)))*(1-IF(AND(ArtifactsInput!$M$27,Inputs!$B$4="Chapter Hunt"),CHOOSE(ArtifactsInput!$N$27+1,20,24,28,32,36,40),0)/100)))+1)),0)</f>
        <v/>
      </c>
      <c r="S76">
        <f>IFERROR(O76/N76,0)</f>
        <v/>
      </c>
      <c r="T76">
        <f>IF(C76,(H76*N76*IF(AND(Inputs!$B$38&lt;&gt;"pvp",Inputs!$B$43&gt;0),((Skills!G5*((R76-1)*IF(Skills!H5&gt;0,INT(Skills!I5/Skills!H5+0.000000001),1)+IF(Skills!H5&gt;0,INT(MIN(Skills!I5,MAX(0,MAX(0,Inputs!$B$43-B113)-((R76-1)*(IF(Inputs!$B$38="pvp",15,MAX(0.1,Skills!D5-IF(TRUE=TRUE,Inputs!$B$32,0)))*(1-IF(AND(ArtifactsInput!$M$27,Inputs!$B$4="Chapter Hunt"),CHOOSE(ArtifactsInput!$N$27+1,20,24,28,32,36,40),0)/100)))))/Skills!H5+0.000000001),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NT(Skills!I5/Skills!H5+0.000000001),1)+IF(Skills!H5&gt;0,INT(MIN(Skills!I5,MAX(0,MAX(0,Inputs!$B$43-B113)-((R76-1)*(IF(Inputs!$B$38="pvp",15,MAX(0.1,Skills!D5-IF(TRUE=TRUE,Inputs!$B$32,0)))*(1-IF(AND(ArtifactsInput!$M$27,Inputs!$B$4="Chapter Hunt"),CHOOSE(ArtifactsInput!$N$27+1,20,24,28,32,36,40),0)/100)))))/Skills!H5+0.000000001),1)))/Inputs!$B$43),G76*Q76))*IF(Inputs!$B$38="pvp",1,(1+(Inputs!$B$21+Skills!Q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Skills!G6*IF(Skills!H6&gt;0,INT(IF(Inputs!$B$38="pvp",MIN(Skills!I6,15),Skills!I6)/Skills!H6+0.000000001),1)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97=TRUE)*(F97-Calc!F26)),(Inputs!$B$23+((C102=TRUE)*(F102-Calc!F31))+(IF(ArtifactsInput!$M$15,CHOOSE(ArtifactsInput!$N$15+1,25,30,35,40,45,50)/100*(Inputs!$B$11-Inputs!$B$11),0))))/100+(Inputs!$B$23+((C102=TRUE)*(F102-Calc!F31))+(IF(ArtifactsInput!$M$15,CHOOSE(ArtifactsInput!$N$15+1,25,30,35,40,45,50)/100*(Inputs!$B$11-Inputs!$B$11),0)))/100)/2</f>
        <v/>
      </c>
      <c r="M77">
        <f>L77*(1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IF(B116=0,0,O77/B116)</f>
        <v/>
      </c>
      <c r="Q77">
        <f>IFERROR(1/(IF(Inputs!$B$38="pvp",15,MAX(0.1,1-0.4*MIN(1,(B108-1)/1.5)-IF(FALSE=TRUE,Inputs!$B$32,0)))*(1-IF(AND(ArtifactsInput!$M$27,Inputs!$B$4="Chapter Hunt"),CHOOSE(ArtifactsInput!$N$27+1,20,24,28,32,36,40),0)/100)),0)</f>
        <v/>
      </c>
      <c r="R77">
        <f>IF(AND(Inputs!$B$38&lt;&gt;"pvp",Inputs!$B$43&gt;0),IF(MAX(0,Inputs!$B$43-B113)&lt;=0,0,(INT(MAX(0,Inputs!$B$43-B113)/(IF(Inputs!$B$38="pvp",15,MAX(0.1,1-0.4*MIN(1,(B108-1)/1.5)-IF(FALSE=TRUE,Inputs!$B$32,0)))*(1-IF(AND(ArtifactsInput!$M$27,Inputs!$B$4="Chapter Hunt"),CHOOSE(ArtifactsInput!$N$27+1,20,24,28,32,36,40),0)/100)))+1)),0)</f>
        <v/>
      </c>
      <c r="S77">
        <f>IFERROR(O77/N77,0)</f>
        <v/>
      </c>
      <c r="T77">
        <f>IF(C77,(H77*N77*IF(AND(Inputs!$B$38&lt;&gt;"pvp",Inputs!$B$43&gt;0),((Skills!G6*((R77-1)*IF(Skills!H6&gt;0,INT(Skills!I6/Skills!H6+0.000000001),1)+IF(Skills!H6&gt;0,INT(MIN(Skills!I6,MAX(0,MAX(0,Inputs!$B$43-B113)-((R77-1)*(IF(Inputs!$B$38="pvp",15,MAX(0.1,1-0.4*MIN(1,(B108-1)/1.5)-IF(FALSE=TRUE,Inputs!$B$32,0)))*(1-IF(AND(ArtifactsInput!$M$27,Inputs!$B$4="Chapter Hunt"),CHOOSE(ArtifactsInput!$N$27+1,20,24,28,32,36,40),0)/100)))))/Skills!H6+0.000000001),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INT(Skills!I6/Skills!H6+0.000000001),1)+IF(Skills!H6&gt;0,INT(MIN(Skills!I6,MAX(0,MAX(0,Inputs!$B$43-B113)-((R77-1)*(IF(Inputs!$B$38="pvp",15,MAX(0.1,1-0.4*MIN(1,(B108-1)/1.5)-IF(FALSE=TRUE,Inputs!$B$32,0)))*(1-IF(AND(ArtifactsInput!$M$27,Inputs!$B$4="Chapter Hunt"),CHOOSE(ArtifactsInput!$N$27+1,20,24,28,32,36,40),0)/100)))))/Skills!H6+0.000000001),1)))/Inputs!$B$43),G77*Q77))*IF(Inputs!$B$38="pvp",1,(1+(Inputs!$B$21+Skills!Q6+(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Inputs!$B$3&gt;=130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Skills!G8*IF(Skills!H8&gt;0,INT(IF(Inputs!$B$38="pvp",MIN(Skills!I8,15),Skills!I8)/Skills!H8+0.000000001),1)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97=TRUE)*(F97-Calc!F26)),(Inputs!$B$23+((C102=TRUE)*(F102-Calc!F31))+(IF(ArtifactsInput!$M$15,CHOOSE(ArtifactsInput!$N$15+1,25,30,35,40,45,50)/100*(Inputs!$B$11-Inputs!$B$11),0))))/100+(Inputs!$B$23+((C102=TRUE)*(F102-Calc!F31))+(IF(ArtifactsInput!$M$15,CHOOSE(ArtifactsInput!$N$15+1,25,30,35,40,45,50)/100*(Inputs!$B$11-Inputs!$B$11),0)))/100)/2</f>
        <v/>
      </c>
      <c r="M79">
        <f>L79*(1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IF(B116=0,0,O79/B116)</f>
        <v/>
      </c>
      <c r="Q79">
        <f>IFERROR(1/(IF(Inputs!$B$38="pvp",15,MAX(0.1,1-0.4*MIN(1,(B108-1)/1.5)-IF(FALSE=TRUE,Inputs!$B$32,0)))*(1-IF(AND(ArtifactsInput!$M$27,Inputs!$B$4="Chapter Hunt"),CHOOSE(ArtifactsInput!$N$27+1,20,24,28,32,36,40),0)/100)),0)</f>
        <v/>
      </c>
      <c r="R79">
        <f>IF(AND(Inputs!$B$38&lt;&gt;"pvp",Inputs!$B$43&gt;0),IF(MAX(0,Inputs!$B$43-B113)&lt;=0,0,(INT(MAX(0,Inputs!$B$43-B113)/(IF(Inputs!$B$38="pvp",15,MAX(0.1,1-0.4*MIN(1,(B108-1)/1.5)-IF(FALSE=TRUE,Inputs!$B$32,0)))*(1-IF(AND(ArtifactsInput!$M$27,Inputs!$B$4="Chapter Hunt"),CHOOSE(ArtifactsInput!$N$27+1,20,24,28,32,36,40),0)/100)))+1)),0)</f>
        <v/>
      </c>
      <c r="S79">
        <f>IFERROR(O79/N79,0)</f>
        <v/>
      </c>
      <c r="T79">
        <f>IF(C79,(H79*N79*IF(AND(Inputs!$B$38&lt;&gt;"pvp",Inputs!$B$43&gt;0),((Skills!G8*((R79-1)*IF(Skills!H8&gt;0,INT(Skills!I8/Skills!H8+0.000000001),1)+IF(Skills!H8&gt;0,INT(MIN(Skills!I8,MAX(0,MAX(0,Inputs!$B$43-B113)-((R79-1)*(IF(Inputs!$B$38="pvp",15,MAX(0.1,1-0.4*MIN(1,(B108-1)/1.5)-IF(FALSE=TRUE,Inputs!$B$32,0)))*(1-IF(AND(ArtifactsInput!$M$27,Inputs!$B$4="Chapter Hunt"),CHOOSE(ArtifactsInput!$N$27+1,20,24,28,32,36,40),0)/100)))))/Skills!H8+0.000000001),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INT(Skills!I8/Skills!H8+0.000000001),1)+IF(Skills!H8&gt;0,INT(MIN(Skills!I8,MAX(0,MAX(0,Inputs!$B$43-B113)-((R79-1)*(IF(Inputs!$B$38="pvp",15,MAX(0.1,1-0.4*MIN(1,(B108-1)/1.5)-IF(FALSE=TRUE,Inputs!$B$32,0)))*(1-IF(AND(ArtifactsInput!$M$27,Inputs!$B$4="Chapter Hunt"),CHOOSE(ArtifactsInput!$N$27+1,20,24,28,32,36,40),0)/100)))))/Skills!H8+0.000000001),1)))/Inputs!$B$43),G79*Q79))*IF(Inputs!$B$38="pvp",1,(1+(Inputs!$B$21+Skills!Q8+(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Skills!G9*IF(Skills!H9&gt;0,INT(IF(Inputs!$B$38="pvp",MIN(Skills!I9,15),Skills!I9)/Skills!H9+0.000000001),1)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TRUE,F83,0)/100)*(1+(IF(Skills!A9="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97=TRUE)*(F97-Calc!F26)),(Inputs!$B$23+((C102=TRUE)*(F102-Calc!F31))+(IF(ArtifactsInput!$M$15,CHOOSE(ArtifactsInput!$N$15+1,25,30,35,40,45,50)/100*(Inputs!$B$11-Inputs!$B$11),0))))/100+(Inputs!$B$23+((C102=TRUE)*(F102-Calc!F31))+(IF(ArtifactsInput!$M$15,CHOOSE(ArtifactsInput!$N$15+1,25,30,35,40,45,50)/100*(Inputs!$B$11-Inputs!$B$11),0)))/100)/2</f>
        <v/>
      </c>
      <c r="M80">
        <f>L80*(1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IF(B116=0,0,O80/B116)</f>
        <v/>
      </c>
      <c r="Q80">
        <f>IFERROR(1/(IF(Inputs!$B$38="pvp",15,MAX(0.1,Skills!D9-IF(TRUE=TRUE,Inputs!$B$32,0)))*(1-IF(AND(ArtifactsInput!$M$27,Inputs!$B$4="Chapter Hunt"),CHOOSE(ArtifactsInput!$N$27+1,20,24,28,32,36,40),0)/100)),0)</f>
        <v/>
      </c>
      <c r="R80">
        <f>IF(AND(Inputs!$B$38&lt;&gt;"pvp",Inputs!$B$43&gt;0),IF(MAX(0,Inputs!$B$43-B113)&lt;=0,0,(INT(MAX(0,Inputs!$B$43-B113)/(IF(Inputs!$B$38="pvp",15,MAX(0.1,Skills!D9-IF(TRUE=TRUE,Inputs!$B$32,0)))*(1-IF(AND(ArtifactsInput!$M$27,Inputs!$B$4="Chapter Hunt"),CHOOSE(ArtifactsInput!$N$27+1,20,24,28,32,36,40),0)/100)))+1)),0)</f>
        <v/>
      </c>
      <c r="S80">
        <f>IFERROR(O80/N80,0)</f>
        <v/>
      </c>
      <c r="T80">
        <f>IF(C80,(H80*N80*IF(AND(Inputs!$B$38&lt;&gt;"pvp",Inputs!$B$43&gt;0),((Skills!G9*((R80-1)*IF(Skills!H9&gt;0,INT(Skills!I9/Skills!H9+0.000000001),1)+IF(Skills!H9&gt;0,INT(MIN(Skills!I9,MAX(0,MAX(0,Inputs!$B$43-B113)-((R80-1)*(IF(Inputs!$B$38="pvp",15,MAX(0.1,Skills!D9-IF(TRUE=TRUE,Inputs!$B$32,0)))*(1-IF(AND(ArtifactsInput!$M$27,Inputs!$B$4="Chapter Hunt"),CHOOSE(ArtifactsInput!$N$27+1,20,24,28,32,36,40),0)/100)))))/Skills!H9+0.000000001),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INT(Skills!I9/Skills!H9+0.000000001),1)+IF(Skills!H9&gt;0,INT(MIN(Skills!I9,MAX(0,MAX(0,Inputs!$B$43-B113)-((R80-1)*(IF(Inputs!$B$38="pvp",15,MAX(0.1,Skills!D9-IF(TRUE=TRUE,Inputs!$B$32,0)))*(1-IF(AND(ArtifactsInput!$M$27,Inputs!$B$4="Chapter Hunt"),CHOOSE(ArtifactsInput!$N$27+1,20,24,28,32,36,40),0)/100)))))/Skills!H9+0.000000001),1)))/Inputs!$B$43),G80*Q80))*IF(Inputs!$B$38="pvp",1,(1+(Inputs!$B$21+Skills!Q9+(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Skills!G10*IF(Skills!H10&gt;0,INT(IF(Inputs!$B$38="pvp",MIN(Skills!I10,15),Skills!I10)/Skills!H10+0.000000001),1)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10="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97=TRUE)*(F97-Calc!F26)),(Inputs!$B$23+((C102=TRUE)*(F102-Calc!F31))+(IF(ArtifactsInput!$M$15,CHOOSE(ArtifactsInput!$N$15+1,25,30,35,40,45,50)/100*(Inputs!$B$11-Inputs!$B$11),0))))/100+(Inputs!$B$23+((C102=TRUE)*(F102-Calc!F31))+(IF(ArtifactsInput!$M$15,CHOOSE(ArtifactsInput!$N$15+1,25,30,35,40,45,50)/100*(Inputs!$B$11-Inputs!$B$11),0)))/100)/2</f>
        <v/>
      </c>
      <c r="M81">
        <f>L81*(1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IF(B116=0,0,O81/B116)</f>
        <v/>
      </c>
      <c r="Q81">
        <f>IFERROR(1/(IF(Inputs!$B$38="pvp",15,MAX(0.1,Skills!D10-IF(TRUE=TRUE,Inputs!$B$32,0)))*(1-IF(AND(ArtifactsInput!$M$27,Inputs!$B$4="Chapter Hunt"),CHOOSE(ArtifactsInput!$N$27+1,20,24,28,32,36,40),0)/100)),0)</f>
        <v/>
      </c>
      <c r="R81">
        <f>IF(AND(Inputs!$B$38&lt;&gt;"pvp",Inputs!$B$43&gt;0),IF(MAX(0,Inputs!$B$43-B113)&lt;=0,0,(INT(MAX(0,Inputs!$B$43-B113)/(IF(Inputs!$B$38="pvp",15,MAX(0.1,Skills!D10-IF(TRUE=TRUE,Inputs!$B$32,0)))*(1-IF(AND(ArtifactsInput!$M$27,Inputs!$B$4="Chapter Hunt"),CHOOSE(ArtifactsInput!$N$27+1,20,24,28,32,36,40),0)/100)))+1)),0)</f>
        <v/>
      </c>
      <c r="S81">
        <f>IFERROR(O81/N81,0)</f>
        <v/>
      </c>
      <c r="T81">
        <f>IF(C81,(H81*N81*IF(AND(Inputs!$B$38&lt;&gt;"pvp",Inputs!$B$43&gt;0),((Skills!G10*((R81-1)*IF(Skills!H10&gt;0,INT(Skills!I10/Skills!H10+0.000000001),1)+IF(Skills!H10&gt;0,INT(MIN(Skills!I10,MAX(0,MAX(0,Inputs!$B$43-B113)-((R81-1)*(IF(Inputs!$B$38="pvp",15,MAX(0.1,Skills!D10-IF(TRUE=TRUE,Inputs!$B$32,0)))*(1-IF(AND(ArtifactsInput!$M$27,Inputs!$B$4="Chapter Hunt"),CHOOSE(ArtifactsInput!$N$27+1,20,24,28,32,36,40),0)/100)))))/Skills!H10+0.000000001),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INT(Skills!I10/Skills!H10+0.000000001),1)+IF(Skills!H10&gt;0,INT(MIN(Skills!I10,MAX(0,MAX(0,Inputs!$B$43-B113)-((R81-1)*(IF(Inputs!$B$38="pvp",15,MAX(0.1,Skills!D10-IF(TRUE=TRUE,Inputs!$B$32,0)))*(1-IF(AND(ArtifactsInput!$M$27,Inputs!$B$4="Chapter Hunt"),CHOOSE(ArtifactsInput!$N$27+1,20,24,28,32,36,40),0)/100)))))/Skills!H10+0.000000001),1)))/Inputs!$B$43),G81*Q81))*IF(Inputs!$B$38="pvp",1,(1+(Inputs!$B$21+Skills!Q10+(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Skills!G11*IF(Skills!H11&gt;0,INT(IF(Inputs!$B$38="pvp",MIN(Skills!I11,15),Skills!I11)/Skills!H11+0.000000001),1)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97=TRUE)*(F97-Calc!F26)),(Inputs!$B$23+((C102=TRUE)*(F102-Calc!F31))+(IF(ArtifactsInput!$M$15,CHOOSE(ArtifactsInput!$N$15+1,25,30,35,40,45,50)/100*(Inputs!$B$11-Inputs!$B$11),0))))/100+(Inputs!$B$23+((C102=TRUE)*(F102-Calc!F31))+(IF(ArtifactsInput!$M$15,CHOOSE(ArtifactsInput!$N$15+1,25,30,35,40,45,50)/100*(Inputs!$B$11-Inputs!$B$11),0)))/100)/2</f>
        <v/>
      </c>
      <c r="M82">
        <f>L82*(1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IF(B116=0,0,O82/B116)</f>
        <v/>
      </c>
      <c r="Q82">
        <f>IFERROR(1/(IF(Inputs!$B$38="pvp",15,MAX(0.1,Skills!D11-IF(TRUE=TRUE,Inputs!$B$32,0)))*(1-IF(AND(ArtifactsInput!$M$27,Inputs!$B$4="Chapter Hunt"),CHOOSE(ArtifactsInput!$N$27+1,20,24,28,32,36,40),0)/100)),0)</f>
        <v/>
      </c>
      <c r="R82">
        <f>IF(AND(Inputs!$B$38&lt;&gt;"pvp",Inputs!$B$43&gt;0),IF(MAX(0,Inputs!$B$43-B113)&lt;=0,0,(INT(MAX(0,Inputs!$B$43-B113)/(IF(Inputs!$B$38="pvp",15,MAX(0.1,Skills!D11-IF(TRUE=TRUE,Inputs!$B$32,0)))*(1-IF(AND(ArtifactsInput!$M$27,Inputs!$B$4="Chapter Hunt"),CHOOSE(ArtifactsInput!$N$27+1,20,24,28,32,36,40),0)/100)))+1)),0)</f>
        <v/>
      </c>
      <c r="S82">
        <f>IFERROR(O82/N82,0)</f>
        <v/>
      </c>
      <c r="T82">
        <f>IF(C82,(H82*N82*IF(AND(Inputs!$B$38&lt;&gt;"pvp",Inputs!$B$43&gt;0),((Skills!G11*((R82-1)*IF(Skills!H11&gt;0,INT(Skills!I11/Skills!H11+0.000000001),1)+IF(Skills!H11&gt;0,INT(MIN(Skills!I11,MAX(0,MAX(0,Inputs!$B$43-B113)-((R82-1)*(IF(Inputs!$B$38="pvp",15,MAX(0.1,Skills!D11-IF(TRUE=TRUE,Inputs!$B$32,0)))*(1-IF(AND(ArtifactsInput!$M$27,Inputs!$B$4="Chapter Hunt"),CHOOSE(ArtifactsInput!$N$27+1,20,24,28,32,36,40),0)/100)))))/Skills!H11+0.000000001)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INT(Skills!I11/Skills!H11+0.000000001),1)+IF(Skills!H11&gt;0,INT(MIN(Skills!I11,MAX(0,MAX(0,Inputs!$B$43-B113)-((R82-1)*(IF(Inputs!$B$38="pvp",15,MAX(0.1,Skills!D11-IF(TRUE=TRUE,Inputs!$B$32,0)))*(1-IF(AND(ArtifactsInput!$M$27,Inputs!$B$4="Chapter Hunt"),CHOOSE(ArtifactsInput!$N$27+1,20,24,28,32,36,40),0)/100)))))/Skills!H11+0.000000001),1)))/Inputs!$B$43),G82*Q82))*IF(Inputs!$B$38="pvp",1,(1+(Inputs!$B$21+Skills!Q11+(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Skills!G13*IF(Skills!H13&gt;0,INT(IF(Inputs!$B$38="pvp",MIN(Skills!I13,15),Skills!I13)/Skills!H13+0.000000001),1)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Skills!A13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97=TRUE)*(F97-Calc!F26)),(Inputs!$B$23+((C102=TRUE)*(F102-Calc!F31))+(IF(ArtifactsInput!$M$15,CHOOSE(ArtifactsInput!$N$15+1,25,30,35,40,45,50)/100*(Inputs!$B$11-Inputs!$B$11),0))))/100+(Inputs!$B$23+((C102=TRUE)*(F102-Calc!F31))+(IF(ArtifactsInput!$M$15,CHOOSE(ArtifactsInput!$N$15+1,25,30,35,40,45,50)/100*(Inputs!$B$11-Inputs!$B$11),0)))/100)/2</f>
        <v/>
      </c>
      <c r="M84">
        <f>L84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IF(B116=0,0,O84/B116)</f>
        <v/>
      </c>
      <c r="Q84">
        <f>IFERROR(1/(IF(Inputs!$B$38="pvp",15,MAX(0.1,IF(Inputs!$B$3&gt;=122,3,5)+1/(((20+30*(B108-1)*100/150)/100)*B108)-IF(FALSE=TRUE,Inputs!$B$32,0)))*(1-IF(AND(ArtifactsInput!$M$27,Inputs!$B$4="Chapter Hunt"),CHOOSE(ArtifactsInput!$N$27+1,20,24,28,32,36,40),0)/100)),0)</f>
        <v/>
      </c>
      <c r="R84">
        <f>IF(AND(Inputs!$B$38&lt;&gt;"pvp",Inputs!$B$43&gt;0),IF(MAX(0,Inputs!$B$43-B113)&lt;=0,0,(INT(MAX(0,Inputs!$B$43-B113)/(IF(Inputs!$B$38="pvp",15,MAX(0.1,IF(Inputs!$B$3&gt;=122,3,5)+1/(((20+30*(B108-1)*100/150)/100)*B108)-IF(FALSE=TRUE,Inputs!$B$32,0)))*(1-IF(AND(ArtifactsInput!$M$27,Inputs!$B$4="Chapter Hunt"),CHOOSE(ArtifactsInput!$N$27+1,20,24,28,32,36,40),0)/100)))+1)),0)</f>
        <v/>
      </c>
      <c r="S84">
        <f>IFERROR(O84/N84,0)</f>
        <v/>
      </c>
      <c r="T84">
        <f>IF(C84,(H84*N84*IF(AND(Inputs!$B$38&lt;&gt;"pvp",Inputs!$B$43&gt;0),((Skills!G13*((R84-1)*IF(Skills!H13&gt;0,INT(Skills!I13/Skills!H13+0.000000001),1)+IF(Skills!H13&gt;0,INT(MIN(Skills!I13,MAX(0,MAX(0,Inputs!$B$43-B113)-((R84-1)*(IF(Inputs!$B$38="pvp",15,MAX(0.1,IF(Inputs!$B$3&gt;=122,3,5)+1/(((20+30*(B108-1)*100/150)/100)*B108)-IF(FALSE=TRUE,Inputs!$B$32,0)))*(1-IF(AND(ArtifactsInput!$M$27,Inputs!$B$4="Chapter Hunt"),CHOOSE(ArtifactsInput!$N$27+1,20,24,28,32,36,40),0)/100)))))/Skills!H13+0.000000001),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INT(Skills!I13/Skills!H13+0.000000001),1)+IF(Skills!H13&gt;0,INT(MIN(Skills!I13,MAX(0,MAX(0,Inputs!$B$43-B113)-((R84-1)*(IF(Inputs!$B$38="pvp",15,MAX(0.1,IF(Inputs!$B$3&gt;=122,3,5)+1/(((20+30*(B108-1)*100/150)/100)*B108)-IF(FALSE=TRUE,Inputs!$B$32,0)))*(1-IF(AND(ArtifactsInput!$M$27,Inputs!$B$4="Chapter Hunt"),CHOOSE(ArtifactsInput!$N$27+1,20,24,28,32,36,40),0)/100)))))/Skills!H13+0.000000001),1)))/Inputs!$B$43),G84*Q84))*IF(Inputs!$B$38="pvp",1,(1+(Inputs!$B$21+Skills!Q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t="inlineStr"/>
      <c r="H85" t="inlineStr"/>
      <c r="I85" t="inlineStr">
        <is>
          <t>1</t>
        </is>
      </c>
      <c r="J85" t="inlineStr"/>
      <c r="K85" t="inlineStr"/>
      <c r="L85" t="inlineStr"/>
      <c r="M85" t="inlineStr"/>
      <c r="N85" t="inlineStr"/>
      <c r="O85" t="inlineStr"/>
      <c r="P85" t="inlineStr"/>
      <c r="Q85" t="inlineStr"/>
      <c r="R85" t="inlineStr"/>
      <c r="S85" t="inlineStr"/>
      <c r="T85" t="inlineStr"/>
      <c r="V85" t="inlineStr"/>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Skills!G15*IF(Skills!H15&gt;0,INT(IF(Inputs!$B$38="pvp",MIN(Skills!I15,15),Skills!I15)/Skills!H15+0.000000001),1)</f>
        <v/>
      </c>
      <c r="H86">
        <f>1-(1-Skills!J15/100)^Skills!K15</f>
        <v/>
      </c>
      <c r="I86" t="inlineStr">
        <is>
          <t>1</t>
        </is>
      </c>
      <c r="J86" t="inlineStr"/>
      <c r="K86" t="inlineStr"/>
      <c r="L86" t="inlineStr"/>
      <c r="M86" t="inlineStr"/>
      <c r="N86" t="inlineStr"/>
      <c r="O86">
        <f>(1-Summary!$B$11)*T86+Summary!$B$11*V86</f>
        <v/>
      </c>
      <c r="P86">
        <f>IF(B116=0,0,O86/B116)</f>
        <v/>
      </c>
      <c r="Q86" t="n">
        <v>0</v>
      </c>
      <c r="R86" t="n">
        <v>0</v>
      </c>
      <c r="S86">
        <f>IFERROR(O86/N86,0)</f>
        <v/>
      </c>
      <c r="T86" t="n">
        <v>0</v>
      </c>
      <c r="V86" t="n">
        <v>0</v>
      </c>
    </row>
    <row r="87">
      <c r="A87">
        <f>Skills!A16</f>
        <v/>
      </c>
      <c r="B87">
        <f>Skills!B16</f>
        <v/>
      </c>
      <c r="C87">
        <f>Inputs!$B$3&gt;=74</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Skills!G16*IF(Skills!H16&gt;0,INT(IF(Inputs!$B$38="pvp",MIN(Skills!I16,15),Skills!I16)/Skills!H16+0.000000001),1)</f>
        <v/>
      </c>
      <c r="H87">
        <f>1-(1-Skills!J16/100)^Skills!K16</f>
        <v/>
      </c>
      <c r="I87" t="inlineStr">
        <is>
          <t>1</t>
        </is>
      </c>
      <c r="J87" t="inlineStr"/>
      <c r="K87" t="inlineStr"/>
      <c r="L87" t="inlineStr"/>
      <c r="M87" t="inlineStr"/>
      <c r="N87" t="inlineStr"/>
      <c r="O87">
        <f>(1-Summary!$B$11)*T87+Summary!$B$11*V87</f>
        <v/>
      </c>
      <c r="P87">
        <f>IF(B116=0,0,O87/B116)</f>
        <v/>
      </c>
      <c r="Q87" t="n">
        <v>0</v>
      </c>
      <c r="R87" t="n">
        <v>0</v>
      </c>
      <c r="S87">
        <f>IFERROR(O87/N87,0)</f>
        <v/>
      </c>
      <c r="T87" t="n">
        <v>0</v>
      </c>
      <c r="V87" t="n">
        <v>0</v>
      </c>
    </row>
    <row r="88">
      <c r="A88">
        <f>Skills!A17</f>
        <v/>
      </c>
      <c r="B88">
        <f>Skills!B17</f>
        <v/>
      </c>
      <c r="C88">
        <f>Inputs!$B$3&gt;=117</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Skills!G17*IF(Skills!H17&gt;0,INT(IF(Inputs!$B$38="pvp",MIN(Skills!I17,15),Skills!I17)/Skills!H17+0.000000001),1)</f>
        <v/>
      </c>
      <c r="H88">
        <f>1-(1-Skills!J17/100)^Skills!K17</f>
        <v/>
      </c>
      <c r="I88" t="inlineStr">
        <is>
          <t>1</t>
        </is>
      </c>
      <c r="J88" t="inlineStr"/>
      <c r="K88" t="inlineStr"/>
      <c r="L88" t="inlineStr"/>
      <c r="M88" t="inlineStr"/>
      <c r="N88" t="inlineStr"/>
      <c r="O88">
        <f>(1-Summary!$B$11)*T88+Summary!$B$11*V88</f>
        <v/>
      </c>
      <c r="P88">
        <f>IF(B116=0,0,O88/B116)</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Skills!G18*IF(Skills!H18&gt;0,INT(IF(Inputs!$B$38="pvp",MIN(Skills!I18,15),Skills!I18)/Skills!H18+0.000000001),1)</f>
        <v/>
      </c>
      <c r="H89">
        <f>1-(1-Skills!J18/100)^Skills!K18</f>
        <v/>
      </c>
      <c r="I89" t="inlineStr">
        <is>
          <t>1</t>
        </is>
      </c>
      <c r="J89" t="inlineStr"/>
      <c r="K89" t="inlineStr"/>
      <c r="L89" t="inlineStr"/>
      <c r="M89" t="inlineStr"/>
      <c r="N89" t="inlineStr"/>
      <c r="O89">
        <f>(1-Summary!$B$11)*T89+Summary!$B$11*V89</f>
        <v/>
      </c>
      <c r="P89">
        <f>IF(B116=0,0,O89/B116)</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Inputs!$B$3&gt;=66</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Skills!G19*IF(Skills!H19&gt;0,INT(IF(Inputs!$B$38="pvp",MIN(Skills!I19,15),Skills!I19)/Skills!H19+0.000000001),1)</f>
        <v/>
      </c>
      <c r="H90">
        <f>1-(1-Skills!J19/100)^Skills!K19</f>
        <v/>
      </c>
      <c r="I90" t="inlineStr">
        <is>
          <t>1</t>
        </is>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Skills!G20*IF(Skills!H20&gt;0,INT(IF(Inputs!$B$38="pvp",MIN(Skills!I20,15),Skills!I20)/Skills!H20+0.000000001),1)</f>
        <v/>
      </c>
      <c r="H91">
        <f>1-(1-Skills!J20/100)^Skills!K20</f>
        <v/>
      </c>
      <c r="I91" t="inlineStr">
        <is>
          <t>1</t>
        </is>
      </c>
      <c r="J91" t="inlineStr"/>
      <c r="K91" t="inlineStr"/>
      <c r="L91" t="inlineStr"/>
      <c r="M91" t="inlineStr"/>
      <c r="N91" t="inlineStr"/>
      <c r="O91">
        <f>(1-Summary!$B$11)*T91+Summary!$B$11*V91</f>
        <v/>
      </c>
      <c r="P91">
        <f>IF(B116=0,0,O91/B116)</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Skills!G21*IF(Skills!H21&gt;0,INT(IF(Inputs!$B$38="pvp",MIN(Skills!I21,15),Skills!I21)/Skills!H21+0.000000001),1)</f>
        <v/>
      </c>
      <c r="H92">
        <f>1-(1-Skills!J21/100)^Skills!K21</f>
        <v/>
      </c>
      <c r="I92" t="inlineStr">
        <is>
          <t>1</t>
        </is>
      </c>
      <c r="J92" t="inlineStr"/>
      <c r="K92" t="inlineStr"/>
      <c r="L92" t="inlineStr"/>
      <c r="M92" t="inlineStr"/>
      <c r="N92" t="inlineStr"/>
      <c r="O92">
        <f>(1-Summary!$B$11)*T92+Summary!$B$11*V92</f>
        <v/>
      </c>
      <c r="P92">
        <f>IF(B116=0,0,O92/B116)</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Inputs!$B$3&gt;=15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Skills!G22*IF(Skills!H22&gt;0,INT(IF(Inputs!$B$38="pvp",MIN(Skills!I22,15),Skills!I22)/Skills!H22+0.000000001),1)</f>
        <v/>
      </c>
      <c r="H93">
        <f>1-(1-Skills!J22/100)^Skills!K22</f>
        <v/>
      </c>
      <c r="I93" t="inlineStr">
        <is>
          <t>1</t>
        </is>
      </c>
      <c r="J93" t="inlineStr"/>
      <c r="K93" t="inlineStr"/>
      <c r="L93" t="inlineStr"/>
      <c r="M93" t="inlineStr"/>
      <c r="N93" t="inlineStr"/>
      <c r="O93">
        <f>(1-Summary!$B$11)*T93+Summary!$B$11*V93</f>
        <v/>
      </c>
      <c r="P93">
        <f>IF(B116=0,0,O93/B116)</f>
        <v/>
      </c>
      <c r="Q93" t="n">
        <v>0</v>
      </c>
      <c r="R93" t="n">
        <v>0</v>
      </c>
      <c r="S93">
        <f>IFERROR(O93/N93,0)</f>
        <v/>
      </c>
      <c r="T93" t="n">
        <v>0</v>
      </c>
      <c r="V93" t="n">
        <v>0</v>
      </c>
    </row>
    <row r="94">
      <c r="A94">
        <f>Skills!A23</f>
        <v/>
      </c>
      <c r="B94">
        <f>Skills!B23</f>
        <v/>
      </c>
      <c r="C94">
        <f>Inputs!$B$3&gt;=10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Skills!G23*IF(Skills!H23&gt;0,INT(IF(Inputs!$B$38="pvp",MIN(Skills!I23,15),Skills!I23)/Skills!H23+0.000000001),1)</f>
        <v/>
      </c>
      <c r="H94">
        <f>1-(1-Skills!J23/100)^Skills!K23</f>
        <v/>
      </c>
      <c r="I94" t="inlineStr">
        <is>
          <t>1</t>
        </is>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Skills!A24</f>
        <v/>
      </c>
      <c r="B95">
        <f>Skills!B24</f>
        <v/>
      </c>
      <c r="C95">
        <f>Inputs!$B$3&gt;=33</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Skills!G24*IF(Skills!H24&gt;0,INT(IF(Inputs!$B$38="pvp",MIN(Skills!I24,15),Skills!I24)/Skills!H24+0.000000001),1)</f>
        <v/>
      </c>
      <c r="H95">
        <f>1-(1-Skills!J24/100)^Skills!K24</f>
        <v/>
      </c>
      <c r="I95" t="inlineStr">
        <is>
          <t>1</t>
        </is>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Skills!A25</f>
        <v/>
      </c>
      <c r="B96">
        <f>Skills!B25</f>
        <v/>
      </c>
      <c r="C96">
        <f>Inputs!$B$3&gt;=38</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Skills!G25*IF(Skills!H25&gt;0,INT(IF(Inputs!$B$38="pvp",MIN(Skills!I25,15),Skills!I25)/Skills!H25+0.000000001),1)</f>
        <v/>
      </c>
      <c r="H96">
        <f>1-(1-Skills!J25/100)^Skills!K25</f>
        <v/>
      </c>
      <c r="I96" t="inlineStr">
        <is>
          <t>1</t>
        </is>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Skills!A26</f>
        <v/>
      </c>
      <c r="B97">
        <f>Skills!B26</f>
        <v/>
      </c>
      <c r="C97">
        <f>Inputs!$B$3&gt;=43</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Skills!G26*IF(Skills!H26&gt;0,INT(IF(Inputs!$B$38="pvp",MIN(Skills!I26,15),Skills!I26)/Skills!H26+0.000000001),1)</f>
        <v/>
      </c>
      <c r="H97">
        <f>1-(1-Skills!J26/100)^Skills!K26</f>
        <v/>
      </c>
      <c r="I97" t="inlineStr">
        <is>
          <t>1</t>
        </is>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Skills!A27</f>
        <v/>
      </c>
      <c r="B98">
        <f>Skills!B27</f>
        <v/>
      </c>
      <c r="C98">
        <f>Inputs!$B$3&gt;=75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Skills!G27*IF(Skills!H27&gt;0,INT(IF(Inputs!$B$38="pvp",MIN(Skills!I27,15),Skills!I27)/Skills!H27+0.000000001),1)</f>
        <v/>
      </c>
      <c r="H98">
        <f>1-(1-Skills!J27/100)^Skills!K27</f>
        <v/>
      </c>
      <c r="I98" t="inlineStr">
        <is>
          <t>1</t>
        </is>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Skills!G28*IF(Skills!H28&gt;0,INT(IF(Inputs!$B$38="pvp",MIN(Skills!I28,15),Skills!I28)/Skills!H28+0.000000001),1)</f>
        <v/>
      </c>
      <c r="H99">
        <f>1-(1-Skills!J28/100)^Skills!K28</f>
        <v/>
      </c>
      <c r="I99" t="inlineStr">
        <is>
          <t>1</t>
        </is>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Skills!A29</f>
        <v/>
      </c>
      <c r="B100">
        <f>Skills!B29</f>
        <v/>
      </c>
      <c r="C100">
        <f>Inputs!$B$3&gt;=125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Skills!G29*IF(Skills!H29&gt;0,INT(IF(Inputs!$B$38="pvp",MIN(Skills!I29,15),Skills!I29)/Skills!H29+0.000000001),1)</f>
        <v/>
      </c>
      <c r="H100">
        <f>1-(1-Skills!J29/100)^Skills!K29</f>
        <v/>
      </c>
      <c r="I100" t="inlineStr">
        <is>
          <t>1</t>
        </is>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Skills!G30*IF(Skills!H30&gt;0,INT(IF(Inputs!$B$38="pvp",MIN(Skills!I30,15),Skills!I30)/Skills!H30+0.000000001),1)</f>
        <v/>
      </c>
      <c r="H101">
        <f>1-(1-Skills!J30/100)^Skills!K30</f>
        <v/>
      </c>
      <c r="I101" t="inlineStr">
        <is>
          <t>1</t>
        </is>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Skills!A31</f>
        <v/>
      </c>
      <c r="B102">
        <f>Skills!B31</f>
        <v/>
      </c>
      <c r="C102">
        <f>Inputs!$B$3&gt;=120</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Skills!G31*IF(Skills!H31&gt;0,INT(IF(Inputs!$B$38="pvp",MIN(Skills!I31,15),Skills!I31)/Skills!H31+0.000000001),1)</f>
        <v/>
      </c>
      <c r="H102">
        <f>1-(1-Skills!J31/100)^Skills!K31</f>
        <v/>
      </c>
      <c r="I102" t="inlineStr">
        <is>
          <t>1</t>
        </is>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Skills!A32</f>
        <v/>
      </c>
      <c r="B103">
        <f>Skills!B32</f>
        <v/>
      </c>
      <c r="C103">
        <f>Inputs!$B$3&gt;=45</f>
        <v/>
      </c>
      <c r="D103">
        <f>IF(Skills!C32=1,60+Inputs!$B$25+Inputs!$B$29,IF(Skills!C32=2,90+Inputs!$B$26+Inputs!$B$29,IF(Skills!C32=3,120+Inputs!$B$27+Inputs!$B$29,MAX(0,(Inputs!$B$3-100)*3)+Inputs!$B$28+Inputs!$B$29)))</f>
        <v/>
      </c>
      <c r="E103">
        <f>INDEX(FactorTable!$B$2:$Y$301, MATCH(ROUND(MIN(300,MAX(1,D103)),0), FactorTable!$A$2:$A$301,0), Skills!M32+1)</f>
        <v/>
      </c>
      <c r="F103">
        <f>IF(Skills!N32=TRUE,(Skills!L32/10)*(E103/1000),Skills!L32/10)+Skills!O32</f>
        <v/>
      </c>
      <c r="G103">
        <f>Skills!G32*IF(Skills!H32&gt;0,INT(IF(Inputs!$B$38="pvp",MIN(Skills!I32,15),Skills!I32)/Skills!H32+0.000000001),1)</f>
        <v/>
      </c>
      <c r="H103">
        <f>1-(1-Skills!J32/100)^Skills!K32</f>
        <v/>
      </c>
      <c r="I103" t="inlineStr">
        <is>
          <t>1</t>
        </is>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Attack% Bucket Multiplier</t>
        </is>
      </c>
      <c r="B105">
        <f>(1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
      <c r="A106" t="inlineStr">
        <is>
          <t>Global Crit Rate Bonus %</t>
        </is>
      </c>
      <c r="B106" t="n">
        <v>0</v>
      </c>
    </row>
    <row r="107">
      <c r="A107" t="inlineStr">
        <is>
          <t>Attack Speed Buff Bonus %</t>
        </is>
      </c>
      <c r="B107">
        <f>((C92=TRUE)*F92*IF(AND(Inputs!$B$38&lt;&gt;"pvp",Inputs!$B$43&gt;0),(((R92-1)*MIN((Skills!T21*(1+Inputs!$B$34/100)),(1/Q92))+MIN((Skills!T21*(1+Inputs!$B$34/100)),MAX(0,Inputs!$B$43-((R92-1)*(1/Q92)))))/Inputs!$B$43),IF(Inputs!$B$38="pvp",MIN((Skills!T21*(1+Inputs!$B$34/100)),15)/15,MIN(1,(Skills!T21*(1+Inputs!$B$34/100))/(1/Q92)))))</f>
        <v/>
      </c>
    </row>
    <row r="108">
      <c r="A108" t="inlineStr">
        <is>
          <t>Actions Per Second</t>
        </is>
      </c>
      <c r="B108">
        <f>1+MIN(150,150*(1-(1-(Inputs!$B$11+((C94=TRUE)*(F94-Calc!F23))+((C95=TRUE)*(F95-Calc!F24)))/150)*(1-B107/150)))/100</f>
        <v/>
      </c>
    </row>
    <row r="109">
      <c r="A109" t="inlineStr">
        <is>
          <t>Skill + Buff Cast Rate</t>
        </is>
      </c>
      <c r="B109">
        <f>IF(AND(Inputs!$B$38&lt;&gt;"pvp",Inputs!$B$43&gt;0),SUMPRODUCT((Skills!E2:E32=TRUE)*(C73:C103=TRUE)*R73:R103*Skills!F2:F32)/Inputs!$B$43,SUMPRODUCT((Skills!E2:E32=TRUE)*(C73:C103=TRUE)*Q73:Q103*Skills!F2:F32))</f>
        <v/>
      </c>
    </row>
    <row r="110">
      <c r="A110" t="inlineStr">
        <is>
          <t>Arrow Stream Casts Per Second</t>
        </is>
      </c>
      <c r="B110">
        <f>MAX(0,B108-B109)</f>
        <v/>
      </c>
    </row>
    <row r="111">
      <c r="A111" t="inlineStr">
        <is>
          <t>Global Critical Damage Bonus % (Sharp Eyes + Concentration)</t>
        </is>
      </c>
      <c r="B111">
        <f>(C89=TRUE)*F89*IF(AND(Inputs!$B$38&lt;&gt;"pvp",Inputs!$B$43&gt;0),(((R89-1)*MIN((Skills!T18*(1+Inputs!$B$34/100)),(1/Q89))+MIN((Skills!T18*(1+Inputs!$B$34/100)),MAX(0,Inputs!$B$43-((R89-1)*(1/Q89)))))/Inputs!$B$43),IF(Inputs!$B$38="pvp",MIN((Skills!T18*(1+Inputs!$B$34/100)),15)/15,MIN(1,(Skills!T18*(1+Inputs!$B$34/100))/(1/Q89))))+(C90=TRUE)*7*F90</f>
        <v/>
      </c>
    </row>
    <row r="112">
      <c r="A112" t="inlineStr">
        <is>
          <t>Global Final Damage Bonus % (Mortal Blow)</t>
        </is>
      </c>
      <c r="B112">
        <f>(C91=TRUE)*F91</f>
        <v/>
      </c>
    </row>
    <row r="113">
      <c r="A113" t="inlineStr">
        <is>
          <t>Buff-Casting Startup Delay (s, fixed-duration only)</t>
        </is>
      </c>
      <c r="B113">
        <f>IF(AND(Inputs!$B$38&lt;&gt;"pvp",Inputs!$B$43&gt;0),SUMPRODUCT((Skills!T2:T32&gt;0)*(Skills!E2:E32=TRUE)*(C73:C103=TRUE))/B108,0)</f>
        <v/>
      </c>
    </row>
    <row r="114">
      <c r="A114" t="inlineStr">
        <is>
          <t>Boss-Only Total DPS (this block's swept value)</t>
        </is>
      </c>
      <c r="B114">
        <f>SUM(T73:T103)</f>
        <v/>
      </c>
    </row>
    <row r="115">
      <c r="A115" t="inlineStr">
        <is>
          <t>Normal-Only Total DPS (this block's swept value)</t>
        </is>
      </c>
      <c r="B115">
        <f>SUM(V73:V103)</f>
        <v/>
      </c>
    </row>
    <row r="116">
      <c r="A116" s="6" t="inlineStr">
        <is>
          <t>TOTAL DPS</t>
        </is>
      </c>
      <c r="B116" s="6">
        <f>SUM(O73:O103)</f>
        <v/>
      </c>
    </row>
    <row r="119">
      <c r="A119" s="6" t="inlineStr">
        <is>
          <t>Stat: DEX %</t>
        </is>
      </c>
    </row>
    <row r="120">
      <c r="A120" s="5" t="inlineStr">
        <is>
          <t>Key</t>
        </is>
      </c>
      <c r="B120" s="5" t="inlineStr">
        <is>
          <t>Name</t>
        </is>
      </c>
      <c r="C120" s="5" t="inlineStr">
        <is>
          <t>Unlocked</t>
        </is>
      </c>
      <c r="D120" s="5" t="inlineStr">
        <is>
          <t>InputLevel</t>
        </is>
      </c>
      <c r="E120" s="5" t="inlineStr">
        <is>
          <t>Factor</t>
        </is>
      </c>
      <c r="F120" s="5" t="inlineStr">
        <is>
          <t>CoefficientPercent</t>
        </is>
      </c>
      <c r="G120" s="5" t="inlineStr">
        <is>
          <t>EffectiveHits</t>
        </is>
      </c>
      <c r="H120" s="5" t="inlineStr">
        <is>
          <t>ProcProbability</t>
        </is>
      </c>
      <c r="I120" s="5" t="inlineStr">
        <is>
          <t>MapleHeroMultiplier</t>
        </is>
      </c>
      <c r="J120" s="5" t="inlineStr">
        <is>
          <t>BaseDamage</t>
        </is>
      </c>
      <c r="K120" s="5" t="inlineStr">
        <is>
          <t>BaseHitDamage</t>
        </is>
      </c>
      <c r="L120" s="5" t="inlineStr">
        <is>
          <t>NonCritAvg</t>
        </is>
      </c>
      <c r="M120" s="5" t="inlineStr">
        <is>
          <t>CritAvg</t>
        </is>
      </c>
      <c r="N120" s="5" t="inlineStr">
        <is>
          <t>ExpectedDamage(perHit)</t>
        </is>
      </c>
      <c r="O120" s="5" t="inlineStr">
        <is>
          <t>DPS</t>
        </is>
      </c>
      <c r="P120" s="5" t="inlineStr">
        <is>
          <t>% of Total</t>
        </is>
      </c>
      <c r="Q120" s="5" t="inlineStr">
        <is>
          <t>InvCooldown</t>
        </is>
      </c>
      <c r="R120" s="5" t="inlineStr">
        <is>
          <t>CastsInFight</t>
        </is>
      </c>
      <c r="S120" s="5" t="inlineStr">
        <is>
          <t>HitRate(perSec)</t>
        </is>
      </c>
      <c r="U120" t="inlineStr">
        <is>
          <t>helpers</t>
        </is>
      </c>
    </row>
    <row r="121">
      <c r="A121">
        <f>Skills!A2</f>
        <v/>
      </c>
      <c r="B121">
        <f>Skills!B2</f>
        <v/>
      </c>
      <c r="C121">
        <f>Inputs!$B$3&gt;=100</f>
        <v/>
      </c>
      <c r="D121" t="inlineStr"/>
      <c r="E121" t="inlineStr"/>
      <c r="F121">
        <f>U123+Skills!O2</f>
        <v/>
      </c>
      <c r="G121">
        <f>Skills!G2*IF(Skills!H2&gt;0,INT(IF(Inputs!$B$38="pvp",MIN(Skills!I2,15),Skills!I2)/Skills!H2+0.000000001),1)</f>
        <v/>
      </c>
      <c r="H121">
        <f>1-(1-Skills!J2/100)^Skills!K2</f>
        <v/>
      </c>
      <c r="I121" t="inlineStr">
        <is>
          <t>1</t>
        </is>
      </c>
      <c r="J121">
        <f>((Inputs!$B$6*(1+Inputs!$B$7/100))+(((Inputs!$B$12*(1+(Inputs!$B$13+1)/100))-(Inputs!$B$12*(1+Inputs!$B$13/100)))+0.25*(Inputs!$B$14-Inputs!$B$14))*(1+Inputs!$B$7/100))*(F121/100)</f>
        <v/>
      </c>
      <c r="K121">
        <f>J121*(1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145=TRUE)*(F145-Calc!F26)),(Inputs!$B$23+((C150=TRUE)*(F150-Calc!F31))+(IF(ArtifactsInput!$M$15,CHOOSE(ArtifactsInput!$N$15+1,25,30,35,40,45,50)/100*(Inputs!$B$11-Inputs!$B$11),0))))/100+(Inputs!$B$23+((C150=TRUE)*(F150-Calc!F31))+(IF(ArtifactsInput!$M$15,CHOOSE(ArtifactsInput!$N$15+1,25,30,35,40,45,50)/100*(Inputs!$B$11-Inputs!$B$11),0)))/100)/2</f>
        <v/>
      </c>
      <c r="M121">
        <f>L121*(1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IF(B164=0,0,O121/B164)</f>
        <v/>
      </c>
      <c r="Q121" t="n">
        <v>0</v>
      </c>
      <c r="R121" t="n">
        <v>0</v>
      </c>
      <c r="S121">
        <f>IFERROR(O121/N121,0)</f>
        <v/>
      </c>
      <c r="T121">
        <f>IF(C121,(Skills!G2*N121*B158)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MAX(0,(Inputs!$B$3-100)*3)+Inputs!$B$28+Inputs!$B$29</f>
        <v/>
      </c>
      <c r="V121">
        <f>IF(C121,(Skills!G2*N121*B158)*IF(Inputs!$B$38="pvp",1,(1+(Inputs!$B$21+Skills!Q2+(IF(ArtifactsInput!$M$33,CHOOSE(ArtifactsInput!$N$33+1,30,36,42,48,54,60),0))+(IF(AND(ArtifactsInput!$M$35,Inputs!$B$4&lt;&gt;"Chapter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f>Skills!G3*IF(Skills!H3&gt;0,INT(IF(Inputs!$B$38="pvp",MIN(Skills!I3,15),Skills!I3)/Skills!H3+0.000000001),1)</f>
        <v/>
      </c>
      <c r="H122">
        <f>1-(1-Skills!J3/100)^Skills!K3</f>
        <v/>
      </c>
      <c r="I122" t="inlineStr">
        <is>
          <t>1</t>
        </is>
      </c>
      <c r="J122">
        <f>((Inputs!$B$6*(1+Inputs!$B$7/100))+(((Inputs!$B$12*(1+(Inputs!$B$13+1)/100))-(Inputs!$B$12*(1+Inputs!$B$13/100)))+0.25*(Inputs!$B$14-Inputs!$B$14))*(1+Inputs!$B$7/100))*(F122/100)</f>
        <v/>
      </c>
      <c r="K122">
        <f>J122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TRUE,F123,0)/100)*(1+(IF(Skills!A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145=TRUE)*(F145-Calc!F26)),(Inputs!$B$23+((C150=TRUE)*(F150-Calc!F31))+(IF(ArtifactsInput!$M$15,CHOOSE(ArtifactsInput!$N$15+1,25,30,35,40,45,50)/100*(Inputs!$B$11-Inputs!$B$11),0))))/100+(Inputs!$B$23+((C150=TRUE)*(F150-Calc!F31))+(IF(ArtifactsInput!$M$15,CHOOSE(ArtifactsInput!$N$15+1,25,30,35,40,45,50)/100*(Inputs!$B$11-Inputs!$B$11),0)))/100)/2</f>
        <v/>
      </c>
      <c r="M122">
        <f>L122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IF(B164=0,0,O122/B164)</f>
        <v/>
      </c>
      <c r="Q122">
        <f>IFERROR(1/(IF(Inputs!$B$38="pvp",15,MAX(0.1,1/B156-IF(FALSE=TRUE,Inputs!$B$32,0)))*(1-IF(AND(ArtifactsInput!$M$27,Inputs!$B$4="Chapter Hunt"),CHOOSE(ArtifactsInput!$N$27+1,20,24,28,32,36,40),0)/100)),0)</f>
        <v/>
      </c>
      <c r="R122">
        <f>IF(AND(Inputs!$B$38&lt;&gt;"pvp",Inputs!$B$43&gt;0),IF(MAX(0,Inputs!$B$43-B161)&lt;=0,0,(INT(MAX(0,Inputs!$B$43-B161)/(IF(Inputs!$B$38="pvp",15,MAX(0.1,1/B156-IF(FALSE=TRUE,Inputs!$B$32,0)))*(1-IF(AND(ArtifactsInput!$M$27,Inputs!$B$4="Chapter Hunt"),CHOOSE(ArtifactsInput!$N$27+1,20,24,28,32,36,40),0)/100)))+1)),0)</f>
        <v/>
      </c>
      <c r="S122">
        <f>IFERROR(O122/N122,0)</f>
        <v/>
      </c>
      <c r="T122">
        <f>IF(C122,(H122*N122*IF(AND(Inputs!$B$38&lt;&gt;"pvp",Inputs!$B$43&gt;0),((Skills!G3*((R122-1)*IF(Skills!H3&gt;0,INT(Skills!I3/Skills!H3+0.000000001),1)+IF(Skills!H3&gt;0,INT(MIN(Skills!I3,MAX(0,MAX(0,Inputs!$B$43-B161)-((R122-1)*(IF(Inputs!$B$38="pvp",15,MAX(0.1,1/B156-IF(FALSE=TRUE,Inputs!$B$32,0)))*(1-IF(AND(ArtifactsInput!$M$27,Inputs!$B$4="Chapter Hunt"),CHOOSE(ArtifactsInput!$N$27+1,20,24,28,32,36,40),0)/100)))))/Skills!H3+0.000000001),1)))/Inputs!$B$43),G122*Q122)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INDEX(FactorTable!$B$2:$Y$301, MATCH(ROUND(MIN(300,MAX(1,U121)),0), FactorTable!$A$2:$A$301,0), 22)</f>
        <v/>
      </c>
      <c r="V122">
        <f>IF(C122,(H122*N122*IF(AND(Inputs!$B$38&lt;&gt;"pvp",Inputs!$B$43&gt;0),((Skills!G3*((R122-1)*IF(Skills!H3&gt;0,INT(Skills!I3/Skills!H3+0.000000001),1)+IF(Skills!H3&gt;0,INT(MIN(Skills!I3,MAX(0,MAX(0,Inputs!$B$43-B161)-((R122-1)*(IF(Inputs!$B$38="pvp",15,MAX(0.1,1/B156-IF(FALSE=TRUE,Inputs!$B$32,0)))*(1-IF(AND(ArtifactsInput!$M$27,Inputs!$B$4="Chapter Hunt"),CHOOSE(ArtifactsInput!$N$27+1,20,24,28,32,36,40),0)/100)))))/Skills!H3+0.000000001),1)))/Inputs!$B$43),G122*Q122))*IF(Inputs!$B$38="pvp",1,(1+(Inputs!$B$21+Skills!Q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T123" t="inlineStr"/>
      <c r="U123">
        <f>290*U122/1000</f>
        <v/>
      </c>
      <c r="V123" t="inlineStr"/>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Skills!G5*IF(Skills!H5&gt;0,INT(IF(Inputs!$B$38="pvp",MIN(Skills!I5,15),Skills!I5)/Skills!H5+0.000000001),1)</f>
        <v/>
      </c>
      <c r="H124">
        <f>1-(1-Skills!J5/100)^Skills!K5</f>
        <v/>
      </c>
      <c r="I124" t="inlineStr">
        <is>
          <t>1</t>
        </is>
      </c>
      <c r="J124">
        <f>((Inputs!$B$6*(1+Inputs!$B$7/100))+(((Inputs!$B$12*(1+(Inputs!$B$13+1)/100))-(Inputs!$B$12*(1+Inputs!$B$13/100)))+0.25*(Inputs!$B$14-Inputs!$B$14))*(1+Inputs!$B$7/100))*(F124/100)</f>
        <v/>
      </c>
      <c r="K124">
        <f>J124*(1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TRUE,F131,0)/100)*(1+(IF(Skills!A5="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145=TRUE)*(F145-Calc!F26)),(Inputs!$B$23+((C150=TRUE)*(F150-Calc!F31))+(IF(ArtifactsInput!$M$15,CHOOSE(ArtifactsInput!$N$15+1,25,30,35,40,45,50)/100*(Inputs!$B$11-Inputs!$B$11),0))))/100+(Inputs!$B$23+((C150=TRUE)*(F150-Calc!F31))+(IF(ArtifactsInput!$M$15,CHOOSE(ArtifactsInput!$N$15+1,25,30,35,40,45,50)/100*(Inputs!$B$11-Inputs!$B$11),0)))/100)/2</f>
        <v/>
      </c>
      <c r="M124">
        <f>L124*(1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IF(B164=0,0,O124/B164)</f>
        <v/>
      </c>
      <c r="Q124">
        <f>IFERROR(1/(IF(Inputs!$B$38="pvp",15,MAX(0.1,Skills!D5-IF(TRUE=TRUE,Inputs!$B$32,0)))*(1-IF(AND(ArtifactsInput!$M$27,Inputs!$B$4="Chapter Hunt"),CHOOSE(ArtifactsInput!$N$27+1,20,24,28,32,36,40),0)/100)),0)</f>
        <v/>
      </c>
      <c r="R124">
        <f>IF(AND(Inputs!$B$38&lt;&gt;"pvp",Inputs!$B$43&gt;0),IF(MAX(0,Inputs!$B$43-B161)&lt;=0,0,(INT(MAX(0,Inputs!$B$43-B161)/(IF(Inputs!$B$38="pvp",15,MAX(0.1,Skills!D5-IF(TRUE=TRUE,Inputs!$B$32,0)))*(1-IF(AND(ArtifactsInput!$M$27,Inputs!$B$4="Chapter Hunt"),CHOOSE(ArtifactsInput!$N$27+1,20,24,28,32,36,40),0)/100)))+1)),0)</f>
        <v/>
      </c>
      <c r="S124">
        <f>IFERROR(O124/N124,0)</f>
        <v/>
      </c>
      <c r="T124">
        <f>IF(C124,(H124*N124*IF(AND(Inputs!$B$38&lt;&gt;"pvp",Inputs!$B$43&gt;0),((Skills!G5*((R124-1)*IF(Skills!H5&gt;0,INT(Skills!I5/Skills!H5+0.000000001),1)+IF(Skills!H5&gt;0,INT(MIN(Skills!I5,MAX(0,MAX(0,Inputs!$B$43-B161)-((R124-1)*(IF(Inputs!$B$38="pvp",15,MAX(0.1,Skills!D5-IF(TRUE=TRUE,Inputs!$B$32,0)))*(1-IF(AND(ArtifactsInput!$M$27,Inputs!$B$4="Chapter Hunt"),CHOOSE(ArtifactsInput!$N$27+1,20,24,28,32,36,40),0)/100)))))/Skills!H5+0.000000001),1)))/Inputs!$B$43),G124*Q124)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5*((R124-1)*IF(Skills!H5&gt;0,INT(Skills!I5/Skills!H5+0.000000001),1)+IF(Skills!H5&gt;0,INT(MIN(Skills!I5,MAX(0,MAX(0,Inputs!$B$43-B161)-((R124-1)*(IF(Inputs!$B$38="pvp",15,MAX(0.1,Skills!D5-IF(TRUE=TRUE,Inputs!$B$32,0)))*(1-IF(AND(ArtifactsInput!$M$27,Inputs!$B$4="Chapter Hunt"),CHOOSE(ArtifactsInput!$N$27+1,20,24,28,32,36,40),0)/100)))))/Skills!H5+0.000000001),1)))/Inputs!$B$43),G124*Q124))*IF(Inputs!$B$38="pvp",1,(1+(Inputs!$B$21+Skills!Q5+(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Skills!A6</f>
        <v/>
      </c>
      <c r="B125">
        <f>Skills!B6</f>
        <v/>
      </c>
      <c r="C125">
        <f>Inputs!$B$3&gt;=40</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Skills!G6*IF(Skills!H6&gt;0,INT(IF(Inputs!$B$38="pvp",MIN(Skills!I6,15),Skills!I6)/Skills!H6+0.000000001),1)</f>
        <v/>
      </c>
      <c r="H125">
        <f>1-(1-Skills!J6/100)^Skills!K6</f>
        <v/>
      </c>
      <c r="I125" t="inlineStr">
        <is>
          <t>1</t>
        </is>
      </c>
      <c r="J125">
        <f>((Inputs!$B$6*(1+Inputs!$B$7/100))+(((Inputs!$B$12*(1+(Inputs!$B$13+1)/100))-(Inputs!$B$12*(1+Inputs!$B$13/100)))+0.25*(Inputs!$B$14-Inputs!$B$14))*(1+Inputs!$B$7/100))*(F125/100)</f>
        <v/>
      </c>
      <c r="K125">
        <f>J125*(1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Skills!A6="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145=TRUE)*(F145-Calc!F26)),(Inputs!$B$23+((C150=TRUE)*(F150-Calc!F31))+(IF(ArtifactsInput!$M$15,CHOOSE(ArtifactsInput!$N$15+1,25,30,35,40,45,50)/100*(Inputs!$B$11-Inputs!$B$11),0))))/100+(Inputs!$B$23+((C150=TRUE)*(F150-Calc!F31))+(IF(ArtifactsInput!$M$15,CHOOSE(ArtifactsInput!$N$15+1,25,30,35,40,45,50)/100*(Inputs!$B$11-Inputs!$B$11),0)))/100)/2</f>
        <v/>
      </c>
      <c r="M125">
        <f>L125*(1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IF(B164=0,0,O125/B164)</f>
        <v/>
      </c>
      <c r="Q125">
        <f>IFERROR(1/(IF(Inputs!$B$38="pvp",15,MAX(0.1,1-0.4*MIN(1,(B156-1)/1.5)-IF(FALSE=TRUE,Inputs!$B$32,0)))*(1-IF(AND(ArtifactsInput!$M$27,Inputs!$B$4="Chapter Hunt"),CHOOSE(ArtifactsInput!$N$27+1,20,24,28,32,36,40),0)/100)),0)</f>
        <v/>
      </c>
      <c r="R125">
        <f>IF(AND(Inputs!$B$38&lt;&gt;"pvp",Inputs!$B$43&gt;0),IF(MAX(0,Inputs!$B$43-B161)&lt;=0,0,(INT(MAX(0,Inputs!$B$43-B161)/(IF(Inputs!$B$38="pvp",15,MAX(0.1,1-0.4*MIN(1,(B156-1)/1.5)-IF(FALSE=TRUE,Inputs!$B$32,0)))*(1-IF(AND(ArtifactsInput!$M$27,Inputs!$B$4="Chapter Hunt"),CHOOSE(ArtifactsInput!$N$27+1,20,24,28,32,36,40),0)/100)))+1)),0)</f>
        <v/>
      </c>
      <c r="S125">
        <f>IFERROR(O125/N125,0)</f>
        <v/>
      </c>
      <c r="T125">
        <f>IF(C125,(H125*N125*IF(AND(Inputs!$B$38&lt;&gt;"pvp",Inputs!$B$43&gt;0),((Skills!G6*((R125-1)*IF(Skills!H6&gt;0,INT(Skills!I6/Skills!H6+0.000000001),1)+IF(Skills!H6&gt;0,INT(MIN(Skills!I6,MAX(0,MAX(0,Inputs!$B$43-B161)-((R125-1)*(IF(Inputs!$B$38="pvp",15,MAX(0.1,1-0.4*MIN(1,(B156-1)/1.5)-IF(FALSE=TRUE,Inputs!$B$32,0)))*(1-IF(AND(ArtifactsInput!$M$27,Inputs!$B$4="Chapter Hunt"),CHOOSE(ArtifactsInput!$N$27+1,20,24,28,32,36,40),0)/100)))))/Skills!H6+0.000000001),1)))/Inputs!$B$43),G125*Q125)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6*((R125-1)*IF(Skills!H6&gt;0,INT(Skills!I6/Skills!H6+0.000000001),1)+IF(Skills!H6&gt;0,INT(MIN(Skills!I6,MAX(0,MAX(0,Inputs!$B$43-B161)-((R125-1)*(IF(Inputs!$B$38="pvp",15,MAX(0.1,1-0.4*MIN(1,(B156-1)/1.5)-IF(FALSE=TRUE,Inputs!$B$32,0)))*(1-IF(AND(ArtifactsInput!$M$27,Inputs!$B$4="Chapter Hunt"),CHOOSE(ArtifactsInput!$N$27+1,20,24,28,32,36,40),0)/100)))))/Skills!H6+0.000000001),1)))/Inputs!$B$43),G125*Q125))*IF(Inputs!$B$38="pvp",1,(1+(Inputs!$B$21+Skills!Q6+(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Skills!A7</f>
        <v/>
      </c>
      <c r="B126">
        <f>Skills!B7</f>
        <v/>
      </c>
      <c r="C126">
        <f>Inputs!$B$3&gt;=107</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t="inlineStr"/>
      <c r="H126" t="inlineStr"/>
      <c r="I126" t="inlineStr">
        <is>
          <t>1</t>
        </is>
      </c>
      <c r="J126" t="inlineStr"/>
      <c r="K126" t="inlineStr"/>
      <c r="L126" t="inlineStr"/>
      <c r="M126" t="inlineStr"/>
      <c r="N126" t="inlineStr"/>
      <c r="O126" t="inlineStr"/>
      <c r="P126" t="inlineStr"/>
      <c r="Q126" t="inlineStr"/>
      <c r="R126" t="inlineStr"/>
      <c r="S126" t="inlineStr"/>
      <c r="T126" t="inlineStr"/>
      <c r="V126" t="inlineStr"/>
    </row>
    <row r="127">
      <c r="A127">
        <f>Skills!A8</f>
        <v/>
      </c>
      <c r="B127">
        <f>Skills!B8</f>
        <v/>
      </c>
      <c r="C127">
        <f>Inputs!$B$3&gt;=130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f>Skills!G8*IF(Skills!H8&gt;0,INT(IF(Inputs!$B$38="pvp",MIN(Skills!I8,15),Skills!I8)/Skills!H8+0.000000001),1)</f>
        <v/>
      </c>
      <c r="H127">
        <f>1-(1-Skills!J8/100)^Skills!K8</f>
        <v/>
      </c>
      <c r="I127" t="inlineStr">
        <is>
          <t>1</t>
        </is>
      </c>
      <c r="J127">
        <f>((Inputs!$B$6*(1+Inputs!$B$7/100))+(((Inputs!$B$12*(1+(Inputs!$B$13+1)/100))-(Inputs!$B$12*(1+Inputs!$B$13/100)))+0.25*(Inputs!$B$14-Inputs!$B$14))*(1+Inputs!$B$7/100))*(F127/100)</f>
        <v/>
      </c>
      <c r="K127">
        <f>J127*(1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145=TRUE)*(F145-Calc!F26)),(Inputs!$B$23+((C150=TRUE)*(F150-Calc!F31))+(IF(ArtifactsInput!$M$15,CHOOSE(ArtifactsInput!$N$15+1,25,30,35,40,45,50)/100*(Inputs!$B$11-Inputs!$B$11),0))))/100+(Inputs!$B$23+((C150=TRUE)*(F150-Calc!F31))+(IF(ArtifactsInput!$M$15,CHOOSE(ArtifactsInput!$N$15+1,25,30,35,40,45,50)/100*(Inputs!$B$11-Inputs!$B$11),0)))/100)/2</f>
        <v/>
      </c>
      <c r="M127">
        <f>L127*(1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IF(B164=0,0,O127/B164)</f>
        <v/>
      </c>
      <c r="Q127">
        <f>IFERROR(1/(IF(Inputs!$B$38="pvp",15,MAX(0.1,1-0.4*MIN(1,(B156-1)/1.5)-IF(FALSE=TRUE,Inputs!$B$32,0)))*(1-IF(AND(ArtifactsInput!$M$27,Inputs!$B$4="Chapter Hunt"),CHOOSE(ArtifactsInput!$N$27+1,20,24,28,32,36,40),0)/100)),0)</f>
        <v/>
      </c>
      <c r="R127">
        <f>IF(AND(Inputs!$B$38&lt;&gt;"pvp",Inputs!$B$43&gt;0),IF(MAX(0,Inputs!$B$43-B161)&lt;=0,0,(INT(MAX(0,Inputs!$B$43-B161)/(IF(Inputs!$B$38="pvp",15,MAX(0.1,1-0.4*MIN(1,(B156-1)/1.5)-IF(FALSE=TRUE,Inputs!$B$32,0)))*(1-IF(AND(ArtifactsInput!$M$27,Inputs!$B$4="Chapter Hunt"),CHOOSE(ArtifactsInput!$N$27+1,20,24,28,32,36,40),0)/100)))+1)),0)</f>
        <v/>
      </c>
      <c r="S127">
        <f>IFERROR(O127/N127,0)</f>
        <v/>
      </c>
      <c r="T127">
        <f>IF(C127,(H127*N127*IF(AND(Inputs!$B$38&lt;&gt;"pvp",Inputs!$B$43&gt;0),((Skills!G8*((R127-1)*IF(Skills!H8&gt;0,INT(Skills!I8/Skills!H8+0.000000001),1)+IF(Skills!H8&gt;0,INT(MIN(Skills!I8,MAX(0,MAX(0,Inputs!$B$43-B161)-((R127-1)*(IF(Inputs!$B$38="pvp",15,MAX(0.1,1-0.4*MIN(1,(B156-1)/1.5)-IF(FALSE=TRUE,Inputs!$B$32,0)))*(1-IF(AND(ArtifactsInput!$M$27,Inputs!$B$4="Chapter Hunt"),CHOOSE(ArtifactsInput!$N$27+1,20,24,28,32,36,40),0)/100)))))/Skills!H8+0.000000001),1)))/Inputs!$B$43),G127*Q127)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8*((R127-1)*IF(Skills!H8&gt;0,INT(Skills!I8/Skills!H8+0.000000001),1)+IF(Skills!H8&gt;0,INT(MIN(Skills!I8,MAX(0,MAX(0,Inputs!$B$43-B161)-((R127-1)*(IF(Inputs!$B$38="pvp",15,MAX(0.1,1-0.4*MIN(1,(B156-1)/1.5)-IF(FALSE=TRUE,Inputs!$B$32,0)))*(1-IF(AND(ArtifactsInput!$M$27,Inputs!$B$4="Chapter Hunt"),CHOOSE(ArtifactsInput!$N$27+1,20,24,28,32,36,40),0)/100)))))/Skills!H8+0.000000001),1)))/Inputs!$B$43),G127*Q127))*IF(Inputs!$B$38="pvp",1,(1+(Inputs!$B$21+Skills!Q8+(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Skills!A9</f>
        <v/>
      </c>
      <c r="B128">
        <f>Skills!B9</f>
        <v/>
      </c>
      <c r="C128">
        <f>Inputs!$B$3&gt;=69</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Skills!G9*IF(Skills!H9&gt;0,INT(IF(Inputs!$B$38="pvp",MIN(Skills!I9,15),Skills!I9)/Skills!H9+0.000000001),1)</f>
        <v/>
      </c>
      <c r="H128">
        <f>1-(1-Skills!J9/100)^Skills!K9</f>
        <v/>
      </c>
      <c r="I128" t="inlineStr">
        <is>
          <t>1</t>
        </is>
      </c>
      <c r="J128">
        <f>((Inputs!$B$6*(1+Inputs!$B$7/100))+(((Inputs!$B$12*(1+(Inputs!$B$13+1)/100))-(Inputs!$B$12*(1+Inputs!$B$13/100)))+0.25*(Inputs!$B$14-Inputs!$B$14))*(1+Inputs!$B$7/100))*(F128/100)</f>
        <v/>
      </c>
      <c r="K128">
        <f>J128*(1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131=TRUE,F131,0)/100)*(1+(IF(Skills!A9="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145=TRUE)*(F145-Calc!F26)),(Inputs!$B$23+((C150=TRUE)*(F150-Calc!F31))+(IF(ArtifactsInput!$M$15,CHOOSE(ArtifactsInput!$N$15+1,25,30,35,40,45,50)/100*(Inputs!$B$11-Inputs!$B$11),0))))/100+(Inputs!$B$23+((C150=TRUE)*(F150-Calc!F31))+(IF(ArtifactsInput!$M$15,CHOOSE(ArtifactsInput!$N$15+1,25,30,35,40,45,50)/100*(Inputs!$B$11-Inputs!$B$11),0)))/100)/2</f>
        <v/>
      </c>
      <c r="M128">
        <f>L128*(1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IF(B164=0,0,O128/B164)</f>
        <v/>
      </c>
      <c r="Q128">
        <f>IFERROR(1/(IF(Inputs!$B$38="pvp",15,MAX(0.1,Skills!D9-IF(TRUE=TRUE,Inputs!$B$32,0)))*(1-IF(AND(ArtifactsInput!$M$27,Inputs!$B$4="Chapter Hunt"),CHOOSE(ArtifactsInput!$N$27+1,20,24,28,32,36,40),0)/100)),0)</f>
        <v/>
      </c>
      <c r="R128">
        <f>IF(AND(Inputs!$B$38&lt;&gt;"pvp",Inputs!$B$43&gt;0),IF(MAX(0,Inputs!$B$43-B161)&lt;=0,0,(INT(MAX(0,Inputs!$B$43-B161)/(IF(Inputs!$B$38="pvp",15,MAX(0.1,Skills!D9-IF(TRUE=TRUE,Inputs!$B$32,0)))*(1-IF(AND(ArtifactsInput!$M$27,Inputs!$B$4="Chapter Hunt"),CHOOSE(ArtifactsInput!$N$27+1,20,24,28,32,36,40),0)/100)))+1)),0)</f>
        <v/>
      </c>
      <c r="S128">
        <f>IFERROR(O128/N128,0)</f>
        <v/>
      </c>
      <c r="T128">
        <f>IF(C128,(H128*N128*IF(AND(Inputs!$B$38&lt;&gt;"pvp",Inputs!$B$43&gt;0),((Skills!G9*((R128-1)*IF(Skills!H9&gt;0,INT(Skills!I9/Skills!H9+0.000000001),1)+IF(Skills!H9&gt;0,INT(MIN(Skills!I9,MAX(0,MAX(0,Inputs!$B$43-B161)-((R128-1)*(IF(Inputs!$B$38="pvp",15,MAX(0.1,Skills!D9-IF(TRUE=TRUE,Inputs!$B$32,0)))*(1-IF(AND(ArtifactsInput!$M$27,Inputs!$B$4="Chapter Hunt"),CHOOSE(ArtifactsInput!$N$27+1,20,24,28,32,36,40),0)/100)))))/Skills!H9+0.000000001),1)))/Inputs!$B$43),G128*Q128)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9*((R128-1)*IF(Skills!H9&gt;0,INT(Skills!I9/Skills!H9+0.000000001),1)+IF(Skills!H9&gt;0,INT(MIN(Skills!I9,MAX(0,MAX(0,Inputs!$B$43-B161)-((R128-1)*(IF(Inputs!$B$38="pvp",15,MAX(0.1,Skills!D9-IF(TRUE=TRUE,Inputs!$B$32,0)))*(1-IF(AND(ArtifactsInput!$M$27,Inputs!$B$4="Chapter Hunt"),CHOOSE(ArtifactsInput!$N$27+1,20,24,28,32,36,40),0)/100)))))/Skills!H9+0.000000001),1)))/Inputs!$B$43),G128*Q128))*IF(Inputs!$B$38="pvp",1,(1+(Inputs!$B$21+Skills!Q9+(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Skills!A10</f>
        <v/>
      </c>
      <c r="B129">
        <f>Skills!B10</f>
        <v/>
      </c>
      <c r="C129">
        <f>Inputs!$B$3&gt;=63</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Skills!G10*IF(Skills!H10&gt;0,INT(IF(Inputs!$B$38="pvp",MIN(Skills!I10,15),Skills!I10)/Skills!H10+0.000000001),1)</f>
        <v/>
      </c>
      <c r="H129">
        <f>1-(1-Skills!J10/100)^Skills!K10</f>
        <v/>
      </c>
      <c r="I129" t="inlineStr">
        <is>
          <t>1</t>
        </is>
      </c>
      <c r="J129">
        <f>((Inputs!$B$6*(1+Inputs!$B$7/100))+(((Inputs!$B$12*(1+(Inputs!$B$13+1)/100))-(Inputs!$B$12*(1+Inputs!$B$13/100)))+0.25*(Inputs!$B$14-Inputs!$B$14))*(1+Inputs!$B$7/100))*(F129/100)</f>
        <v/>
      </c>
      <c r="K129">
        <f>J129*(1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10="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145=TRUE)*(F145-Calc!F26)),(Inputs!$B$23+((C150=TRUE)*(F150-Calc!F31))+(IF(ArtifactsInput!$M$15,CHOOSE(ArtifactsInput!$N$15+1,25,30,35,40,45,50)/100*(Inputs!$B$11-Inputs!$B$11),0))))/100+(Inputs!$B$23+((C150=TRUE)*(F150-Calc!F31))+(IF(ArtifactsInput!$M$15,CHOOSE(ArtifactsInput!$N$15+1,25,30,35,40,45,50)/100*(Inputs!$B$11-Inputs!$B$11),0)))/100)/2</f>
        <v/>
      </c>
      <c r="M129">
        <f>L129*(1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IF(B164=0,0,O129/B164)</f>
        <v/>
      </c>
      <c r="Q129">
        <f>IFERROR(1/(IF(Inputs!$B$38="pvp",15,MAX(0.1,Skills!D10-IF(TRUE=TRUE,Inputs!$B$32,0)))*(1-IF(AND(ArtifactsInput!$M$27,Inputs!$B$4="Chapter Hunt"),CHOOSE(ArtifactsInput!$N$27+1,20,24,28,32,36,40),0)/100)),0)</f>
        <v/>
      </c>
      <c r="R129">
        <f>IF(AND(Inputs!$B$38&lt;&gt;"pvp",Inputs!$B$43&gt;0),IF(MAX(0,Inputs!$B$43-B161)&lt;=0,0,(INT(MAX(0,Inputs!$B$43-B161)/(IF(Inputs!$B$38="pvp",15,MAX(0.1,Skills!D10-IF(TRUE=TRUE,Inputs!$B$32,0)))*(1-IF(AND(ArtifactsInput!$M$27,Inputs!$B$4="Chapter Hunt"),CHOOSE(ArtifactsInput!$N$27+1,20,24,28,32,36,40),0)/100)))+1)),0)</f>
        <v/>
      </c>
      <c r="S129">
        <f>IFERROR(O129/N129,0)</f>
        <v/>
      </c>
      <c r="T129">
        <f>IF(C129,(H129*N129*IF(AND(Inputs!$B$38&lt;&gt;"pvp",Inputs!$B$43&gt;0),((Skills!G10*((R129-1)*IF(Skills!H10&gt;0,INT(Skills!I10/Skills!H10+0.000000001),1)+IF(Skills!H10&gt;0,INT(MIN(Skills!I10,MAX(0,MAX(0,Inputs!$B$43-B161)-((R129-1)*(IF(Inputs!$B$38="pvp",15,MAX(0.1,Skills!D10-IF(TRUE=TRUE,Inputs!$B$32,0)))*(1-IF(AND(ArtifactsInput!$M$27,Inputs!$B$4="Chapter Hunt"),CHOOSE(ArtifactsInput!$N$27+1,20,24,28,32,36,40),0)/100)))))/Skills!H10+0.000000001),1)))/Inputs!$B$43),G129*Q129)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IF(AND(Inputs!$B$38&lt;&gt;"pvp",Inputs!$B$43&gt;0),((Skills!G10*((R129-1)*IF(Skills!H10&gt;0,INT(Skills!I10/Skills!H10+0.000000001),1)+IF(Skills!H10&gt;0,INT(MIN(Skills!I10,MAX(0,MAX(0,Inputs!$B$43-B161)-((R129-1)*(IF(Inputs!$B$38="pvp",15,MAX(0.1,Skills!D10-IF(TRUE=TRUE,Inputs!$B$32,0)))*(1-IF(AND(ArtifactsInput!$M$27,Inputs!$B$4="Chapter Hunt"),CHOOSE(ArtifactsInput!$N$27+1,20,24,28,32,36,40),0)/100)))))/Skills!H10+0.000000001),1)))/Inputs!$B$43),G129*Q129))*IF(Inputs!$B$38="pvp",1,(1+(Inputs!$B$21+Skills!Q10+(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Skills!A11</f>
        <v/>
      </c>
      <c r="B130">
        <f>Skills!B11</f>
        <v/>
      </c>
      <c r="C130">
        <f>Inputs!$B$3&gt;=103</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Skills!G11*IF(Skills!H11&gt;0,INT(IF(Inputs!$B$38="pvp",MIN(Skills!I11,15),Skills!I11)/Skills!H11+0.000000001),1)</f>
        <v/>
      </c>
      <c r="H130">
        <f>1-(1-Skills!J11/100)^Skills!K11</f>
        <v/>
      </c>
      <c r="I130" t="inlineStr">
        <is>
          <t>1</t>
        </is>
      </c>
      <c r="J130">
        <f>((Inputs!$B$6*(1+Inputs!$B$7/100))+(((Inputs!$B$12*(1+(Inputs!$B$13+1)/100))-(Inputs!$B$12*(1+Inputs!$B$13/100)))+0.25*(Inputs!$B$14-Inputs!$B$14))*(1+Inputs!$B$7/100))*(F130/100)</f>
        <v/>
      </c>
      <c r="K130">
        <f>J130*(1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145=TRUE)*(F145-Calc!F26)),(Inputs!$B$23+((C150=TRUE)*(F150-Calc!F31))+(IF(ArtifactsInput!$M$15,CHOOSE(ArtifactsInput!$N$15+1,25,30,35,40,45,50)/100*(Inputs!$B$11-Inputs!$B$11),0))))/100+(Inputs!$B$23+((C150=TRUE)*(F150-Calc!F31))+(IF(ArtifactsInput!$M$15,CHOOSE(ArtifactsInput!$N$15+1,25,30,35,40,45,50)/100*(Inputs!$B$11-Inputs!$B$11),0)))/100)/2</f>
        <v/>
      </c>
      <c r="M130">
        <f>L130*(1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IF(B164=0,0,O130/B164)</f>
        <v/>
      </c>
      <c r="Q130">
        <f>IFERROR(1/(IF(Inputs!$B$38="pvp",15,MAX(0.1,Skills!D11-IF(TRUE=TRUE,Inputs!$B$32,0)))*(1-IF(AND(ArtifactsInput!$M$27,Inputs!$B$4="Chapter Hunt"),CHOOSE(ArtifactsInput!$N$27+1,20,24,28,32,36,40),0)/100)),0)</f>
        <v/>
      </c>
      <c r="R130">
        <f>IF(AND(Inputs!$B$38&lt;&gt;"pvp",Inputs!$B$43&gt;0),IF(MAX(0,Inputs!$B$43-B161)&lt;=0,0,(INT(MAX(0,Inputs!$B$43-B161)/(IF(Inputs!$B$38="pvp",15,MAX(0.1,Skills!D11-IF(TRUE=TRUE,Inputs!$B$32,0)))*(1-IF(AND(ArtifactsInput!$M$27,Inputs!$B$4="Chapter Hunt"),CHOOSE(ArtifactsInput!$N$27+1,20,24,28,32,36,40),0)/100)))+1)),0)</f>
        <v/>
      </c>
      <c r="S130">
        <f>IFERROR(O130/N130,0)</f>
        <v/>
      </c>
      <c r="T130">
        <f>IF(C130,(H130*N130*IF(AND(Inputs!$B$38&lt;&gt;"pvp",Inputs!$B$43&gt;0),((Skills!G11*((R130-1)*IF(Skills!H11&gt;0,INT(Skills!I11/Skills!H11+0.000000001),1)+IF(Skills!H11&gt;0,INT(MIN(Skills!I11,MAX(0,MAX(0,Inputs!$B$43-B161)-((R130-1)*(IF(Inputs!$B$38="pvp",15,MAX(0.1,Skills!D11-IF(TRUE=TRUE,Inputs!$B$32,0)))*(1-IF(AND(ArtifactsInput!$M$27,Inputs!$B$4="Chapter Hunt"),CHOOSE(ArtifactsInput!$N$27+1,20,24,28,32,36,40),0)/100)))))/Skills!H11+0.000000001),1)))/Inputs!$B$43),G130*Q130)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11*((R130-1)*IF(Skills!H11&gt;0,INT(Skills!I11/Skills!H11+0.000000001),1)+IF(Skills!H11&gt;0,INT(MIN(Skills!I11,MAX(0,MAX(0,Inputs!$B$43-B161)-((R130-1)*(IF(Inputs!$B$38="pvp",15,MAX(0.1,Skills!D11-IF(TRUE=TRUE,Inputs!$B$32,0)))*(1-IF(AND(ArtifactsInput!$M$27,Inputs!$B$4="Chapter Hunt"),CHOOSE(ArtifactsInput!$N$27+1,20,24,28,32,36,40),0)/100)))))/Skills!H11+0.000000001),1)))/Inputs!$B$43),G130*Q130))*IF(Inputs!$B$38="pvp",1,(1+(Inputs!$B$21+Skills!Q11+(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Skills!A12</f>
        <v/>
      </c>
      <c r="B131">
        <f>Skills!B12</f>
        <v/>
      </c>
      <c r="C131">
        <f>Inputs!$B$3&gt;=100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Skills!A13</f>
        <v/>
      </c>
      <c r="B132">
        <f>Skills!B13</f>
        <v/>
      </c>
      <c r="C132">
        <f>Inputs!$B$3&gt;=60</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Skills!G13*IF(Skills!H13&gt;0,INT(IF(Inputs!$B$38="pvp",MIN(Skills!I13,15),Skills!I13)/Skills!H13+0.000000001),1)</f>
        <v/>
      </c>
      <c r="H132">
        <f>1-(1-Skills!J13/100)^Skills!K13</f>
        <v/>
      </c>
      <c r="I132" t="inlineStr">
        <is>
          <t>1</t>
        </is>
      </c>
      <c r="J132">
        <f>((Inputs!$B$6*(1+Inputs!$B$7/100))+(((Inputs!$B$12*(1+(Inputs!$B$13+1)/100))-(Inputs!$B$12*(1+Inputs!$B$13/100)))+0.25*(Inputs!$B$14-Inputs!$B$14))*(1+Inputs!$B$7/100))*(F132/100)</f>
        <v/>
      </c>
      <c r="K132">
        <f>J132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TRUE,F133,0)/100)*(1+(IF(Skills!A13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f>
        <v/>
      </c>
      <c r="L132">
        <f>K132*(MIN(Inputs!$B$22+((C145=TRUE)*(F145-Calc!F26)),(Inputs!$B$23+((C150=TRUE)*(F150-Calc!F31))+(IF(ArtifactsInput!$M$15,CHOOSE(ArtifactsInput!$N$15+1,25,30,35,40,45,50)/100*(Inputs!$B$11-Inputs!$B$11),0))))/100+(Inputs!$B$23+((C150=TRUE)*(F150-Calc!F31))+(IF(ArtifactsInput!$M$15,CHOOSE(ArtifactsInput!$N$15+1,25,30,35,40,45,50)/100*(Inputs!$B$11-Inputs!$B$11),0)))/100)/2</f>
        <v/>
      </c>
      <c r="M132">
        <f>L132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
        <f>L132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
        <f>(1-Summary!$B$11)*T132+Summary!$B$11*V132</f>
        <v/>
      </c>
      <c r="P132">
        <f>IF(B164=0,0,O132/B164)</f>
        <v/>
      </c>
      <c r="Q132">
        <f>IFERROR(1/(IF(Inputs!$B$38="pvp",15,MAX(0.1,IF(Inputs!$B$3&gt;=122,3,5)+1/(((20+30*(B156-1)*100/150)/100)*B156)-IF(FALSE=TRUE,Inputs!$B$32,0)))*(1-IF(AND(ArtifactsInput!$M$27,Inputs!$B$4="Chapter Hunt"),CHOOSE(ArtifactsInput!$N$27+1,20,24,28,32,36,40),0)/100)),0)</f>
        <v/>
      </c>
      <c r="R132">
        <f>IF(AND(Inputs!$B$38&lt;&gt;"pvp",Inputs!$B$43&gt;0),IF(MAX(0,Inputs!$B$43-B161)&lt;=0,0,(INT(MAX(0,Inputs!$B$43-B161)/(IF(Inputs!$B$38="pvp",15,MAX(0.1,IF(Inputs!$B$3&gt;=122,3,5)+1/(((20+30*(B156-1)*100/150)/100)*B156)-IF(FALSE=TRUE,Inputs!$B$32,0)))*(1-IF(AND(ArtifactsInput!$M$27,Inputs!$B$4="Chapter Hunt"),CHOOSE(ArtifactsInput!$N$27+1,20,24,28,32,36,40),0)/100)))+1)),0)</f>
        <v/>
      </c>
      <c r="S132">
        <f>IFERROR(O132/N132,0)</f>
        <v/>
      </c>
      <c r="T132">
        <f>IF(C132,(H132*N132*IF(AND(Inputs!$B$38&lt;&gt;"pvp",Inputs!$B$43&gt;0),((Skills!G13*((R132-1)*IF(Skills!H13&gt;0,INT(Skills!I13/Skills!H13+0.000000001),1)+IF(Skills!H13&gt;0,INT(MIN(Skills!I13,MAX(0,MAX(0,Inputs!$B$43-B161)-((R132-1)*(IF(Inputs!$B$38="pvp",15,MAX(0.1,IF(Inputs!$B$3&gt;=122,3,5)+1/(((20+30*(B156-1)*100/150)/100)*B156)-IF(FALSE=TRUE,Inputs!$B$32,0)))*(1-IF(AND(ArtifactsInput!$M$27,Inputs!$B$4="Chapter Hunt"),CHOOSE(ArtifactsInput!$N$27+1,20,24,28,32,36,40),0)/100)))))/Skills!H13+0.000000001),1)))/Inputs!$B$43),G132*Q132)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
        <f>IF(C132,(H132*N132*IF(AND(Inputs!$B$38&lt;&gt;"pvp",Inputs!$B$43&gt;0),((Skills!G13*((R132-1)*IF(Skills!H13&gt;0,INT(Skills!I13/Skills!H13+0.000000001),1)+IF(Skills!H13&gt;0,INT(MIN(Skills!I13,MAX(0,MAX(0,Inputs!$B$43-B161)-((R132-1)*(IF(Inputs!$B$38="pvp",15,MAX(0.1,IF(Inputs!$B$3&gt;=122,3,5)+1/(((20+30*(B156-1)*100/150)/100)*B156)-IF(FALSE=TRUE,Inputs!$B$32,0)))*(1-IF(AND(ArtifactsInput!$M$27,Inputs!$B$4="Chapter Hunt"),CHOOSE(ArtifactsInput!$N$27+1,20,24,28,32,36,40),0)/100)))))/Skills!H13+0.000000001),1)))/Inputs!$B$43),G132*Q132))*IF(Inputs!$B$38="pvp",1,(1+(Inputs!$B$21+Skills!Q13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
      <c r="A133">
        <f>Skills!A14</f>
        <v/>
      </c>
      <c r="B133">
        <f>Skills!B14</f>
        <v/>
      </c>
      <c r="C133">
        <f>Inputs!$B$3&gt;=110</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t="inlineStr"/>
      <c r="H133" t="inlineStr"/>
      <c r="I133" t="inlineStr">
        <is>
          <t>1</t>
        </is>
      </c>
      <c r="J133" t="inlineStr"/>
      <c r="K133" t="inlineStr"/>
      <c r="L133" t="inlineStr"/>
      <c r="M133" t="inlineStr"/>
      <c r="N133" t="inlineStr"/>
      <c r="O133" t="inlineStr"/>
      <c r="P133" t="inlineStr"/>
      <c r="Q133" t="inlineStr"/>
      <c r="R133" t="inlineStr"/>
      <c r="S133" t="inlineStr"/>
      <c r="T133" t="inlineStr"/>
      <c r="V133" t="inlineStr"/>
    </row>
    <row r="134">
      <c r="A134">
        <f>Skills!A15</f>
        <v/>
      </c>
      <c r="B134">
        <f>Skills!B15</f>
        <v/>
      </c>
      <c r="C134">
        <f>Inputs!$B$3&gt;=74</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Skills!G15*IF(Skills!H15&gt;0,INT(IF(Inputs!$B$38="pvp",MIN(Skills!I15,15),Skills!I15)/Skills!H15+0.000000001),1)</f>
        <v/>
      </c>
      <c r="H134">
        <f>1-(1-Skills!J15/100)^Skills!K15</f>
        <v/>
      </c>
      <c r="I134" t="inlineStr">
        <is>
          <t>1</t>
        </is>
      </c>
      <c r="J134" t="inlineStr"/>
      <c r="K134" t="inlineStr"/>
      <c r="L134" t="inlineStr"/>
      <c r="M134" t="inlineStr"/>
      <c r="N134" t="inlineStr"/>
      <c r="O134">
        <f>(1-Summary!$B$11)*T134+Summary!$B$11*V134</f>
        <v/>
      </c>
      <c r="P134">
        <f>IF(B164=0,0,O134/B164)</f>
        <v/>
      </c>
      <c r="Q134" t="n">
        <v>0</v>
      </c>
      <c r="R134" t="n">
        <v>0</v>
      </c>
      <c r="S134">
        <f>IFERROR(O134/N134,0)</f>
        <v/>
      </c>
      <c r="T134" t="n">
        <v>0</v>
      </c>
      <c r="V134" t="n">
        <v>0</v>
      </c>
    </row>
    <row r="135">
      <c r="A135">
        <f>Skills!A16</f>
        <v/>
      </c>
      <c r="B135">
        <f>Skills!B16</f>
        <v/>
      </c>
      <c r="C135">
        <f>Inputs!$B$3&gt;=74</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Skills!G16*IF(Skills!H16&gt;0,INT(IF(Inputs!$B$38="pvp",MIN(Skills!I16,15),Skills!I16)/Skills!H16+0.000000001),1)</f>
        <v/>
      </c>
      <c r="H135">
        <f>1-(1-Skills!J16/100)^Skills!K16</f>
        <v/>
      </c>
      <c r="I135" t="inlineStr">
        <is>
          <t>1</t>
        </is>
      </c>
      <c r="J135" t="inlineStr"/>
      <c r="K135" t="inlineStr"/>
      <c r="L135" t="inlineStr"/>
      <c r="M135" t="inlineStr"/>
      <c r="N135" t="inlineStr"/>
      <c r="O135">
        <f>(1-Summary!$B$11)*T135+Summary!$B$11*V135</f>
        <v/>
      </c>
      <c r="P135">
        <f>IF(B164=0,0,O135/B164)</f>
        <v/>
      </c>
      <c r="Q135" t="n">
        <v>0</v>
      </c>
      <c r="R135" t="n">
        <v>0</v>
      </c>
      <c r="S135">
        <f>IFERROR(O135/N135,0)</f>
        <v/>
      </c>
      <c r="T135" t="n">
        <v>0</v>
      </c>
      <c r="V135" t="n">
        <v>0</v>
      </c>
    </row>
    <row r="136">
      <c r="A136">
        <f>Skills!A17</f>
        <v/>
      </c>
      <c r="B136">
        <f>Skills!B17</f>
        <v/>
      </c>
      <c r="C136">
        <f>Inputs!$B$3&gt;=117</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Skills!G17*IF(Skills!H17&gt;0,INT(IF(Inputs!$B$38="pvp",MIN(Skills!I17,15),Skills!I17)/Skills!H17+0.000000001),1)</f>
        <v/>
      </c>
      <c r="H136">
        <f>1-(1-Skills!J17/100)^Skills!K17</f>
        <v/>
      </c>
      <c r="I136" t="inlineStr">
        <is>
          <t>1</t>
        </is>
      </c>
      <c r="J136" t="inlineStr"/>
      <c r="K136" t="inlineStr"/>
      <c r="L136" t="inlineStr"/>
      <c r="M136" t="inlineStr"/>
      <c r="N136" t="inlineStr"/>
      <c r="O136">
        <f>(1-Summary!$B$11)*T136+Summary!$B$11*V136</f>
        <v/>
      </c>
      <c r="P136">
        <f>IF(B164=0,0,O136/B164)</f>
        <v/>
      </c>
      <c r="Q136">
        <f>IFERROR(1/(IF(Inputs!$B$38="pvp",15,MAX(0.1,Skills!D17-IF(TRUE=TRUE,Inputs!$B$32,0)))*(1-IF(AND(ArtifactsInput!$M$27,Inputs!$B$4="Chapter Hunt"),CHOOSE(ArtifactsInput!$N$27+1,20,24,28,32,36,40),0)/100)),0)</f>
        <v/>
      </c>
      <c r="R136">
        <f>IF(AND(Inputs!$B$38&lt;&gt;"pvp",Inputs!$B$43&gt;0),IF(Inputs!$B$43&lt;=0,0,(INT(Inputs!$B$43/(IF(Inputs!$B$38="pvp",15,MAX(0.1,Skills!D17-IF(TRUE=TRUE,Inputs!$B$32,0)))*(1-IF(AND(ArtifactsInput!$M$27,Inputs!$B$4="Chapter Hunt"),CHOOSE(ArtifactsInput!$N$27+1,20,24,28,32,36,40),0)/100)))+1)),0)</f>
        <v/>
      </c>
      <c r="S136">
        <f>IFERROR(O136/N136,0)</f>
        <v/>
      </c>
      <c r="T136" t="n">
        <v>0</v>
      </c>
      <c r="V136" t="n">
        <v>0</v>
      </c>
    </row>
    <row r="137">
      <c r="A137">
        <f>Skills!A18</f>
        <v/>
      </c>
      <c r="B137">
        <f>Skills!B18</f>
        <v/>
      </c>
      <c r="C137">
        <f>Inputs!$B$3&gt;=115</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Skills!G18*IF(Skills!H18&gt;0,INT(IF(Inputs!$B$38="pvp",MIN(Skills!I18,15),Skills!I18)/Skills!H18+0.000000001),1)</f>
        <v/>
      </c>
      <c r="H137">
        <f>1-(1-Skills!J18/100)^Skills!K18</f>
        <v/>
      </c>
      <c r="I137" t="inlineStr">
        <is>
          <t>1</t>
        </is>
      </c>
      <c r="J137" t="inlineStr"/>
      <c r="K137" t="inlineStr"/>
      <c r="L137" t="inlineStr"/>
      <c r="M137" t="inlineStr"/>
      <c r="N137" t="inlineStr"/>
      <c r="O137">
        <f>(1-Summary!$B$11)*T137+Summary!$B$11*V137</f>
        <v/>
      </c>
      <c r="P137">
        <f>IF(B164=0,0,O137/B164)</f>
        <v/>
      </c>
      <c r="Q137">
        <f>IFERROR(1/(IF(Inputs!$B$38="pvp",15,MAX(0.1,Skills!D18-IF(TRUE=TRUE,Inputs!$B$32,0)))*(1-IF(AND(ArtifactsInput!$M$27,Inputs!$B$4="Chapter Hunt"),CHOOSE(ArtifactsInput!$N$27+1,20,24,28,32,36,40),0)/100)),0)</f>
        <v/>
      </c>
      <c r="R137">
        <f>IF(AND(Inputs!$B$38&lt;&gt;"pvp",Inputs!$B$43&gt;0),IF(Inputs!$B$43&lt;=0,0,(INT(Inputs!$B$43/(IF(Inputs!$B$38="pvp",15,MAX(0.1,Skills!D18-IF(TRUE=TRUE,Inputs!$B$32,0)))*(1-IF(AND(ArtifactsInput!$M$27,Inputs!$B$4="Chapter Hunt"),CHOOSE(ArtifactsInput!$N$27+1,20,24,28,32,36,40),0)/100)))+1)),0)</f>
        <v/>
      </c>
      <c r="S137">
        <f>IFERROR(O137/N137,0)</f>
        <v/>
      </c>
      <c r="T137" t="n">
        <v>0</v>
      </c>
      <c r="V137" t="n">
        <v>0</v>
      </c>
    </row>
    <row r="138">
      <c r="A138">
        <f>Skills!A19</f>
        <v/>
      </c>
      <c r="B138">
        <f>Skills!B19</f>
        <v/>
      </c>
      <c r="C138">
        <f>Inputs!$B$3&gt;=66</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Skills!G19*IF(Skills!H19&gt;0,INT(IF(Inputs!$B$38="pvp",MIN(Skills!I19,15),Skills!I19)/Skills!H19+0.000000001),1)</f>
        <v/>
      </c>
      <c r="H138">
        <f>1-(1-Skills!J19/100)^Skills!K19</f>
        <v/>
      </c>
      <c r="I138" t="inlineStr">
        <is>
          <t>1</t>
        </is>
      </c>
      <c r="J138" t="inlineStr"/>
      <c r="K138" t="inlineStr"/>
      <c r="L138" t="inlineStr"/>
      <c r="M138" t="inlineStr"/>
      <c r="N138" t="inlineStr"/>
      <c r="O138">
        <f>(1-Summary!$B$11)*T138+Summary!$B$11*V138</f>
        <v/>
      </c>
      <c r="P138">
        <f>IF(B164=0,0,O138/B164)</f>
        <v/>
      </c>
      <c r="Q138" t="n">
        <v>0</v>
      </c>
      <c r="R138" t="n">
        <v>0</v>
      </c>
      <c r="S138">
        <f>IFERROR(O138/N138,0)</f>
        <v/>
      </c>
      <c r="T138" t="n">
        <v>0</v>
      </c>
      <c r="V138" t="n">
        <v>0</v>
      </c>
    </row>
    <row r="139">
      <c r="A139">
        <f>Skills!A20</f>
        <v/>
      </c>
      <c r="B139">
        <f>Skills!B20</f>
        <v/>
      </c>
      <c r="C139">
        <f>Inputs!$B$3&gt;=72</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Skills!G20*IF(Skills!H20&gt;0,INT(IF(Inputs!$B$38="pvp",MIN(Skills!I20,15),Skills!I20)/Skills!H20+0.000000001),1)</f>
        <v/>
      </c>
      <c r="H139">
        <f>1-(1-Skills!J20/100)^Skills!K20</f>
        <v/>
      </c>
      <c r="I139" t="inlineStr">
        <is>
          <t>1</t>
        </is>
      </c>
      <c r="J139" t="inlineStr"/>
      <c r="K139" t="inlineStr"/>
      <c r="L139" t="inlineStr"/>
      <c r="M139" t="inlineStr"/>
      <c r="N139" t="inlineStr"/>
      <c r="O139">
        <f>(1-Summary!$B$11)*T139+Summary!$B$11*V139</f>
        <v/>
      </c>
      <c r="P139">
        <f>IF(B164=0,0,O139/B164)</f>
        <v/>
      </c>
      <c r="Q139" t="n">
        <v>0</v>
      </c>
      <c r="R139" t="n">
        <v>0</v>
      </c>
      <c r="S139">
        <f>IFERROR(O139/N139,0)</f>
        <v/>
      </c>
      <c r="T139" t="n">
        <v>0</v>
      </c>
      <c r="V139" t="n">
        <v>0</v>
      </c>
    </row>
    <row r="140">
      <c r="A140">
        <f>Skills!A21</f>
        <v/>
      </c>
      <c r="B140">
        <f>Skills!B21</f>
        <v/>
      </c>
      <c r="C140">
        <f>TRUE</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Skills!G21*IF(Skills!H21&gt;0,INT(IF(Inputs!$B$38="pvp",MIN(Skills!I21,15),Skills!I21)/Skills!H21+0.000000001),1)</f>
        <v/>
      </c>
      <c r="H140">
        <f>1-(1-Skills!J21/100)^Skills!K21</f>
        <v/>
      </c>
      <c r="I140" t="inlineStr">
        <is>
          <t>1</t>
        </is>
      </c>
      <c r="J140" t="inlineStr"/>
      <c r="K140" t="inlineStr"/>
      <c r="L140" t="inlineStr"/>
      <c r="M140" t="inlineStr"/>
      <c r="N140" t="inlineStr"/>
      <c r="O140">
        <f>(1-Summary!$B$11)*T140+Summary!$B$11*V140</f>
        <v/>
      </c>
      <c r="P140">
        <f>IF(B164=0,0,O140/B164)</f>
        <v/>
      </c>
      <c r="Q140">
        <f>IFERROR(1/(IF(Inputs!$B$38="pvp",15,MAX(0.1,Skills!D21-IF(TRUE=TRUE,Inputs!$B$32,0)))*(1-IF(AND(ArtifactsInput!$M$27,Inputs!$B$4="Chapter Hunt"),CHOOSE(ArtifactsInput!$N$27+1,20,24,28,32,36,40),0)/100)),0)</f>
        <v/>
      </c>
      <c r="R140">
        <f>IF(AND(Inputs!$B$38&lt;&gt;"pvp",Inputs!$B$43&gt;0),IF(Inputs!$B$43&lt;=0,0,(INT(Inputs!$B$43/(IF(Inputs!$B$38="pvp",15,MAX(0.1,Skills!D21-IF(TRUE=TRUE,Inputs!$B$32,0)))*(1-IF(AND(ArtifactsInput!$M$27,Inputs!$B$4="Chapter Hunt"),CHOOSE(ArtifactsInput!$N$27+1,20,24,28,32,36,40),0)/100)))+1)),0)</f>
        <v/>
      </c>
      <c r="S140">
        <f>IFERROR(O140/N140,0)</f>
        <v/>
      </c>
      <c r="T140" t="n">
        <v>0</v>
      </c>
      <c r="V140" t="n">
        <v>0</v>
      </c>
    </row>
    <row r="141">
      <c r="A141">
        <f>Skills!A22</f>
        <v/>
      </c>
      <c r="B141">
        <f>Skills!B22</f>
        <v/>
      </c>
      <c r="C141">
        <f>Inputs!$B$3&gt;=15</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Skills!G22*IF(Skills!H22&gt;0,INT(IF(Inputs!$B$38="pvp",MIN(Skills!I22,15),Skills!I22)/Skills!H22+0.000000001),1)</f>
        <v/>
      </c>
      <c r="H141">
        <f>1-(1-Skills!J22/100)^Skills!K22</f>
        <v/>
      </c>
      <c r="I141" t="inlineStr">
        <is>
          <t>1</t>
        </is>
      </c>
      <c r="J141" t="inlineStr"/>
      <c r="K141" t="inlineStr"/>
      <c r="L141" t="inlineStr"/>
      <c r="M141" t="inlineStr"/>
      <c r="N141" t="inlineStr"/>
      <c r="O141">
        <f>(1-Summary!$B$11)*T141+Summary!$B$11*V141</f>
        <v/>
      </c>
      <c r="P141">
        <f>IF(B164=0,0,O141/B164)</f>
        <v/>
      </c>
      <c r="Q141" t="n">
        <v>0</v>
      </c>
      <c r="R141" t="n">
        <v>0</v>
      </c>
      <c r="S141">
        <f>IFERROR(O141/N141,0)</f>
        <v/>
      </c>
      <c r="T141" t="n">
        <v>0</v>
      </c>
      <c r="V141" t="n">
        <v>0</v>
      </c>
    </row>
    <row r="142">
      <c r="A142">
        <f>Skills!A23</f>
        <v/>
      </c>
      <c r="B142">
        <f>Skills!B23</f>
        <v/>
      </c>
      <c r="C142">
        <f>Inputs!$B$3&gt;=10</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Skills!G23*IF(Skills!H23&gt;0,INT(IF(Inputs!$B$38="pvp",MIN(Skills!I23,15),Skills!I23)/Skills!H23+0.000000001),1)</f>
        <v/>
      </c>
      <c r="H142">
        <f>1-(1-Skills!J23/100)^Skills!K23</f>
        <v/>
      </c>
      <c r="I142" t="inlineStr">
        <is>
          <t>1</t>
        </is>
      </c>
      <c r="J142" t="inlineStr"/>
      <c r="K142" t="inlineStr"/>
      <c r="L142" t="inlineStr"/>
      <c r="M142" t="inlineStr"/>
      <c r="N142" t="inlineStr"/>
      <c r="O142">
        <f>(1-Summary!$B$11)*T142+Summary!$B$11*V142</f>
        <v/>
      </c>
      <c r="P142">
        <f>IF(B164=0,0,O142/B164)</f>
        <v/>
      </c>
      <c r="Q142" t="n">
        <v>0</v>
      </c>
      <c r="R142" t="n">
        <v>0</v>
      </c>
      <c r="S142">
        <f>IFERROR(O142/N142,0)</f>
        <v/>
      </c>
      <c r="T142" t="n">
        <v>0</v>
      </c>
      <c r="V142" t="n">
        <v>0</v>
      </c>
    </row>
    <row r="143">
      <c r="A143">
        <f>Skills!A24</f>
        <v/>
      </c>
      <c r="B143">
        <f>Skills!B24</f>
        <v/>
      </c>
      <c r="C143">
        <f>Inputs!$B$3&gt;=33</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Skills!G24*IF(Skills!H24&gt;0,INT(IF(Inputs!$B$38="pvp",MIN(Skills!I24,15),Skills!I24)/Skills!H24+0.000000001),1)</f>
        <v/>
      </c>
      <c r="H143">
        <f>1-(1-Skills!J24/100)^Skills!K24</f>
        <v/>
      </c>
      <c r="I143" t="inlineStr">
        <is>
          <t>1</t>
        </is>
      </c>
      <c r="J143" t="inlineStr"/>
      <c r="K143" t="inlineStr"/>
      <c r="L143" t="inlineStr"/>
      <c r="M143" t="inlineStr"/>
      <c r="N143" t="inlineStr"/>
      <c r="O143">
        <f>(1-Summary!$B$11)*T143+Summary!$B$11*V143</f>
        <v/>
      </c>
      <c r="P143">
        <f>IF(B164=0,0,O143/B164)</f>
        <v/>
      </c>
      <c r="Q143" t="n">
        <v>0</v>
      </c>
      <c r="R143" t="n">
        <v>0</v>
      </c>
      <c r="S143">
        <f>IFERROR(O143/N143,0)</f>
        <v/>
      </c>
      <c r="T143" t="n">
        <v>0</v>
      </c>
      <c r="V143" t="n">
        <v>0</v>
      </c>
    </row>
    <row r="144">
      <c r="A144">
        <f>Skills!A25</f>
        <v/>
      </c>
      <c r="B144">
        <f>Skills!B25</f>
        <v/>
      </c>
      <c r="C144">
        <f>Inputs!$B$3&gt;=38</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Skills!G25*IF(Skills!H25&gt;0,INT(IF(Inputs!$B$38="pvp",MIN(Skills!I25,15),Skills!I25)/Skills!H25+0.000000001),1)</f>
        <v/>
      </c>
      <c r="H144">
        <f>1-(1-Skills!J25/100)^Skills!K25</f>
        <v/>
      </c>
      <c r="I144" t="inlineStr">
        <is>
          <t>1</t>
        </is>
      </c>
      <c r="J144" t="inlineStr"/>
      <c r="K144" t="inlineStr"/>
      <c r="L144" t="inlineStr"/>
      <c r="M144" t="inlineStr"/>
      <c r="N144" t="inlineStr"/>
      <c r="O144">
        <f>(1-Summary!$B$11)*T144+Summary!$B$11*V144</f>
        <v/>
      </c>
      <c r="P144">
        <f>IF(B164=0,0,O144/B164)</f>
        <v/>
      </c>
      <c r="Q144" t="n">
        <v>0</v>
      </c>
      <c r="R144" t="n">
        <v>0</v>
      </c>
      <c r="S144">
        <f>IFERROR(O144/N144,0)</f>
        <v/>
      </c>
      <c r="T144" t="n">
        <v>0</v>
      </c>
      <c r="V144" t="n">
        <v>0</v>
      </c>
    </row>
    <row r="145">
      <c r="A145">
        <f>Skills!A26</f>
        <v/>
      </c>
      <c r="B145">
        <f>Skills!B26</f>
        <v/>
      </c>
      <c r="C145">
        <f>Inputs!$B$3&gt;=43</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Skills!G26*IF(Skills!H26&gt;0,INT(IF(Inputs!$B$38="pvp",MIN(Skills!I26,15),Skills!I26)/Skills!H26+0.000000001),1)</f>
        <v/>
      </c>
      <c r="H145">
        <f>1-(1-Skills!J26/100)^Skills!K26</f>
        <v/>
      </c>
      <c r="I145" t="inlineStr">
        <is>
          <t>1</t>
        </is>
      </c>
      <c r="J145" t="inlineStr"/>
      <c r="K145" t="inlineStr"/>
      <c r="L145" t="inlineStr"/>
      <c r="M145" t="inlineStr"/>
      <c r="N145" t="inlineStr"/>
      <c r="O145">
        <f>(1-Summary!$B$11)*T145+Summary!$B$11*V145</f>
        <v/>
      </c>
      <c r="P145">
        <f>IF(B164=0,0,O145/B164)</f>
        <v/>
      </c>
      <c r="Q145" t="n">
        <v>0</v>
      </c>
      <c r="R145" t="n">
        <v>0</v>
      </c>
      <c r="S145">
        <f>IFERROR(O145/N145,0)</f>
        <v/>
      </c>
      <c r="T145" t="n">
        <v>0</v>
      </c>
      <c r="V145" t="n">
        <v>0</v>
      </c>
    </row>
    <row r="146">
      <c r="A146">
        <f>Skills!A27</f>
        <v/>
      </c>
      <c r="B146">
        <f>Skills!B27</f>
        <v/>
      </c>
      <c r="C146">
        <f>Inputs!$B$3&gt;=75</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Skills!G27*IF(Skills!H27&gt;0,INT(IF(Inputs!$B$38="pvp",MIN(Skills!I27,15),Skills!I27)/Skills!H27+0.000000001),1)</f>
        <v/>
      </c>
      <c r="H146">
        <f>1-(1-Skills!J27/100)^Skills!K27</f>
        <v/>
      </c>
      <c r="I146" t="inlineStr">
        <is>
          <t>1</t>
        </is>
      </c>
      <c r="J146" t="inlineStr"/>
      <c r="K146" t="inlineStr"/>
      <c r="L146" t="inlineStr"/>
      <c r="M146" t="inlineStr"/>
      <c r="N146" t="inlineStr"/>
      <c r="O146">
        <f>(1-Summary!$B$11)*T146+Summary!$B$11*V146</f>
        <v/>
      </c>
      <c r="P146">
        <f>IF(B164=0,0,O146/B164)</f>
        <v/>
      </c>
      <c r="Q146" t="n">
        <v>0</v>
      </c>
      <c r="R146" t="n">
        <v>0</v>
      </c>
      <c r="S146">
        <f>IFERROR(O146/N146,0)</f>
        <v/>
      </c>
      <c r="T146" t="n">
        <v>0</v>
      </c>
      <c r="V146" t="n">
        <v>0</v>
      </c>
    </row>
    <row r="147">
      <c r="A147">
        <f>Skills!A28</f>
        <v/>
      </c>
      <c r="B147">
        <f>Skills!B28</f>
        <v/>
      </c>
      <c r="C147">
        <f>Inputs!$B$3&gt;=125</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Skills!G28*IF(Skills!H28&gt;0,INT(IF(Inputs!$B$38="pvp",MIN(Skills!I28,15),Skills!I28)/Skills!H28+0.000000001),1)</f>
        <v/>
      </c>
      <c r="H147">
        <f>1-(1-Skills!J28/100)^Skills!K28</f>
        <v/>
      </c>
      <c r="I147" t="inlineStr">
        <is>
          <t>1</t>
        </is>
      </c>
      <c r="J147" t="inlineStr"/>
      <c r="K147" t="inlineStr"/>
      <c r="L147" t="inlineStr"/>
      <c r="M147" t="inlineStr"/>
      <c r="N147" t="inlineStr"/>
      <c r="O147">
        <f>(1-Summary!$B$11)*T147+Summary!$B$11*V147</f>
        <v/>
      </c>
      <c r="P147">
        <f>IF(B164=0,0,O147/B164)</f>
        <v/>
      </c>
      <c r="Q147" t="n">
        <v>0</v>
      </c>
      <c r="R147" t="n">
        <v>0</v>
      </c>
      <c r="S147">
        <f>IFERROR(O147/N147,0)</f>
        <v/>
      </c>
      <c r="T147" t="n">
        <v>0</v>
      </c>
      <c r="V147" t="n">
        <v>0</v>
      </c>
    </row>
    <row r="148">
      <c r="A148">
        <f>Skills!A29</f>
        <v/>
      </c>
      <c r="B148">
        <f>Skills!B29</f>
        <v/>
      </c>
      <c r="C148">
        <f>Inputs!$B$3&gt;=125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Skills!G29*IF(Skills!H29&gt;0,INT(IF(Inputs!$B$38="pvp",MIN(Skills!I29,15),Skills!I29)/Skills!H29+0.000000001),1)</f>
        <v/>
      </c>
      <c r="H148">
        <f>1-(1-Skills!J29/100)^Skills!K29</f>
        <v/>
      </c>
      <c r="I148" t="inlineStr">
        <is>
          <t>1</t>
        </is>
      </c>
      <c r="J148" t="inlineStr"/>
      <c r="K148" t="inlineStr"/>
      <c r="L148" t="inlineStr"/>
      <c r="M148" t="inlineStr"/>
      <c r="N148" t="inlineStr"/>
      <c r="O148">
        <f>(1-Summary!$B$11)*T148+Summary!$B$11*V148</f>
        <v/>
      </c>
      <c r="P148">
        <f>IF(B164=0,0,O148/B164)</f>
        <v/>
      </c>
      <c r="Q148" t="n">
        <v>0</v>
      </c>
      <c r="R148" t="n">
        <v>0</v>
      </c>
      <c r="S148">
        <f>IFERROR(O148/N148,0)</f>
        <v/>
      </c>
      <c r="T148" t="n">
        <v>0</v>
      </c>
      <c r="V148" t="n">
        <v>0</v>
      </c>
    </row>
    <row r="149">
      <c r="A149">
        <f>Skills!A30</f>
        <v/>
      </c>
      <c r="B149">
        <f>Skills!B30</f>
        <v/>
      </c>
      <c r="C149">
        <f>Inputs!$B$3&gt;=120</f>
        <v/>
      </c>
      <c r="D149">
        <f>IF(Skills!C30=1,60+Inputs!$B$25+Inputs!$B$29,IF(Skills!C30=2,90+Inputs!$B$26+Inputs!$B$29,IF(Skills!C30=3,120+Inputs!$B$27+Inputs!$B$29,MAX(0,(Inputs!$B$3-100)*3)+Inputs!$B$28+Inputs!$B$29)))</f>
        <v/>
      </c>
      <c r="E149">
        <f>INDEX(FactorTable!$B$2:$Y$301, MATCH(ROUND(MIN(300,MAX(1,D149)),0), FactorTable!$A$2:$A$301,0), Skills!M30+1)</f>
        <v/>
      </c>
      <c r="F149">
        <f>IF(Skills!N30=TRUE,(Skills!L30/10)*(E149/1000),Skills!L30/10)+Skills!O30</f>
        <v/>
      </c>
      <c r="G149">
        <f>Skills!G30*IF(Skills!H30&gt;0,INT(IF(Inputs!$B$38="pvp",MIN(Skills!I30,15),Skills!I30)/Skills!H30+0.000000001),1)</f>
        <v/>
      </c>
      <c r="H149">
        <f>1-(1-Skills!J30/100)^Skills!K30</f>
        <v/>
      </c>
      <c r="I149" t="inlineStr">
        <is>
          <t>1</t>
        </is>
      </c>
      <c r="J149" t="inlineStr"/>
      <c r="K149" t="inlineStr"/>
      <c r="L149" t="inlineStr"/>
      <c r="M149" t="inlineStr"/>
      <c r="N149" t="inlineStr"/>
      <c r="O149">
        <f>(1-Summary!$B$11)*T149+Summary!$B$11*V149</f>
        <v/>
      </c>
      <c r="P149">
        <f>IF(B164=0,0,O149/B164)</f>
        <v/>
      </c>
      <c r="Q149" t="n">
        <v>0</v>
      </c>
      <c r="R149" t="n">
        <v>0</v>
      </c>
      <c r="S149">
        <f>IFERROR(O149/N149,0)</f>
        <v/>
      </c>
      <c r="T149" t="n">
        <v>0</v>
      </c>
      <c r="V149" t="n">
        <v>0</v>
      </c>
    </row>
    <row r="150">
      <c r="A150">
        <f>Skills!A31</f>
        <v/>
      </c>
      <c r="B150">
        <f>Skills!B31</f>
        <v/>
      </c>
      <c r="C150">
        <f>Inputs!$B$3&gt;=120</f>
        <v/>
      </c>
      <c r="D150">
        <f>IF(Skills!C31=1,60+Inputs!$B$25+Inputs!$B$29,IF(Skills!C31=2,90+Inputs!$B$26+Inputs!$B$29,IF(Skills!C31=3,120+Inputs!$B$27+Inputs!$B$29,MAX(0,(Inputs!$B$3-100)*3)+Inputs!$B$28+Inputs!$B$29)))</f>
        <v/>
      </c>
      <c r="E150">
        <f>INDEX(FactorTable!$B$2:$Y$301, MATCH(ROUND(MIN(300,MAX(1,D150)),0), FactorTable!$A$2:$A$301,0), Skills!M31+1)</f>
        <v/>
      </c>
      <c r="F150">
        <f>IF(Skills!N31=TRUE,(Skills!L31/10)*(E150/1000),Skills!L31/10)+Skills!O31</f>
        <v/>
      </c>
      <c r="G150">
        <f>Skills!G31*IF(Skills!H31&gt;0,INT(IF(Inputs!$B$38="pvp",MIN(Skills!I31,15),Skills!I31)/Skills!H31+0.000000001),1)</f>
        <v/>
      </c>
      <c r="H150">
        <f>1-(1-Skills!J31/100)^Skills!K31</f>
        <v/>
      </c>
      <c r="I150" t="inlineStr">
        <is>
          <t>1</t>
        </is>
      </c>
      <c r="J150" t="inlineStr"/>
      <c r="K150" t="inlineStr"/>
      <c r="L150" t="inlineStr"/>
      <c r="M150" t="inlineStr"/>
      <c r="N150" t="inlineStr"/>
      <c r="O150">
        <f>(1-Summary!$B$11)*T150+Summary!$B$11*V150</f>
        <v/>
      </c>
      <c r="P150">
        <f>IF(B164=0,0,O150/B164)</f>
        <v/>
      </c>
      <c r="Q150" t="n">
        <v>0</v>
      </c>
      <c r="R150" t="n">
        <v>0</v>
      </c>
      <c r="S150">
        <f>IFERROR(O150/N150,0)</f>
        <v/>
      </c>
      <c r="T150" t="n">
        <v>0</v>
      </c>
      <c r="V150" t="n">
        <v>0</v>
      </c>
    </row>
    <row r="151">
      <c r="A151">
        <f>Skills!A32</f>
        <v/>
      </c>
      <c r="B151">
        <f>Skills!B32</f>
        <v/>
      </c>
      <c r="C151">
        <f>Inputs!$B$3&gt;=45</f>
        <v/>
      </c>
      <c r="D151">
        <f>IF(Skills!C32=1,60+Inputs!$B$25+Inputs!$B$29,IF(Skills!C32=2,90+Inputs!$B$26+Inputs!$B$29,IF(Skills!C32=3,120+Inputs!$B$27+Inputs!$B$29,MAX(0,(Inputs!$B$3-100)*3)+Inputs!$B$28+Inputs!$B$29)))</f>
        <v/>
      </c>
      <c r="E151">
        <f>INDEX(FactorTable!$B$2:$Y$301, MATCH(ROUND(MIN(300,MAX(1,D151)),0), FactorTable!$A$2:$A$301,0), Skills!M32+1)</f>
        <v/>
      </c>
      <c r="F151">
        <f>IF(Skills!N32=TRUE,(Skills!L32/10)*(E151/1000),Skills!L32/10)+Skills!O32</f>
        <v/>
      </c>
      <c r="G151">
        <f>Skills!G32*IF(Skills!H32&gt;0,INT(IF(Inputs!$B$38="pvp",MIN(Skills!I32,15),Skills!I32)/Skills!H32+0.000000001),1)</f>
        <v/>
      </c>
      <c r="H151">
        <f>1-(1-Skills!J32/100)^Skills!K32</f>
        <v/>
      </c>
      <c r="I151" t="inlineStr">
        <is>
          <t>1</t>
        </is>
      </c>
      <c r="J151" t="inlineStr"/>
      <c r="K151" t="inlineStr"/>
      <c r="L151" t="inlineStr"/>
      <c r="M151" t="inlineStr"/>
      <c r="N151" t="inlineStr"/>
      <c r="O151">
        <f>(1-Summary!$B$11)*T151+Summary!$B$11*V151</f>
        <v/>
      </c>
      <c r="P151">
        <f>IF(B164=0,0,O151/B164)</f>
        <v/>
      </c>
      <c r="Q151" t="n">
        <v>0</v>
      </c>
      <c r="R151" t="n">
        <v>0</v>
      </c>
      <c r="S151">
        <f>IFERROR(O151/N151,0)</f>
        <v/>
      </c>
      <c r="T151" t="n">
        <v>0</v>
      </c>
      <c r="V151" t="n">
        <v>0</v>
      </c>
    </row>
    <row r="153">
      <c r="A153" t="inlineStr">
        <is>
          <t>Attack% Bucket Multiplier</t>
        </is>
      </c>
      <c r="B153">
        <f>(1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
      <c r="A154" t="inlineStr">
        <is>
          <t>Global Crit Rate Bonus %</t>
        </is>
      </c>
      <c r="B154" t="n">
        <v>0</v>
      </c>
    </row>
    <row r="155">
      <c r="A155" t="inlineStr">
        <is>
          <t>Attack Speed Buff Bonus %</t>
        </is>
      </c>
      <c r="B155">
        <f>((C140=TRUE)*F140*IF(AND(Inputs!$B$38&lt;&gt;"pvp",Inputs!$B$43&gt;0),(((R140-1)*MIN((Skills!T21*(1+Inputs!$B$34/100)),(1/Q140))+MIN((Skills!T21*(1+Inputs!$B$34/100)),MAX(0,Inputs!$B$43-((R140-1)*(1/Q140)))))/Inputs!$B$43),IF(Inputs!$B$38="pvp",MIN((Skills!T21*(1+Inputs!$B$34/100)),15)/15,MIN(1,(Skills!T21*(1+Inputs!$B$34/100))/(1/Q140)))))</f>
        <v/>
      </c>
    </row>
    <row r="156">
      <c r="A156" t="inlineStr">
        <is>
          <t>Actions Per Second</t>
        </is>
      </c>
      <c r="B156">
        <f>1+MIN(150,150*(1-(1-(Inputs!$B$11+((C142=TRUE)*(F142-Calc!F23))+((C143=TRUE)*(F143-Calc!F24)))/150)*(1-B155/150)))/100</f>
        <v/>
      </c>
    </row>
    <row r="157">
      <c r="A157" t="inlineStr">
        <is>
          <t>Skill + Buff Cast Rate</t>
        </is>
      </c>
      <c r="B157">
        <f>IF(AND(Inputs!$B$38&lt;&gt;"pvp",Inputs!$B$43&gt;0),SUMPRODUCT((Skills!E2:E32=TRUE)*(C121:C151=TRUE)*R121:R151*Skills!F2:F32)/Inputs!$B$43,SUMPRODUCT((Skills!E2:E32=TRUE)*(C121:C151=TRUE)*Q121:Q151*Skills!F2:F32))</f>
        <v/>
      </c>
    </row>
    <row r="158">
      <c r="A158" t="inlineStr">
        <is>
          <t>Arrow Stream Casts Per Second</t>
        </is>
      </c>
      <c r="B158">
        <f>MAX(0,B156-B157)</f>
        <v/>
      </c>
    </row>
    <row r="159">
      <c r="A159" t="inlineStr">
        <is>
          <t>Global Critical Damage Bonus % (Sharp Eyes + Concentration)</t>
        </is>
      </c>
      <c r="B159">
        <f>(C137=TRUE)*F137*IF(AND(Inputs!$B$38&lt;&gt;"pvp",Inputs!$B$43&gt;0),(((R137-1)*MIN((Skills!T18*(1+Inputs!$B$34/100)),(1/Q137))+MIN((Skills!T18*(1+Inputs!$B$34/100)),MAX(0,Inputs!$B$43-((R137-1)*(1/Q137)))))/Inputs!$B$43),IF(Inputs!$B$38="pvp",MIN((Skills!T18*(1+Inputs!$B$34/100)),15)/15,MIN(1,(Skills!T18*(1+Inputs!$B$34/100))/(1/Q137))))+(C138=TRUE)*7*F138</f>
        <v/>
      </c>
    </row>
    <row r="160">
      <c r="A160" t="inlineStr">
        <is>
          <t>Global Final Damage Bonus % (Mortal Blow)</t>
        </is>
      </c>
      <c r="B160">
        <f>(C139=TRUE)*F139</f>
        <v/>
      </c>
    </row>
    <row r="161">
      <c r="A161" t="inlineStr">
        <is>
          <t>Buff-Casting Startup Delay (s, fixed-duration only)</t>
        </is>
      </c>
      <c r="B161">
        <f>IF(AND(Inputs!$B$38&lt;&gt;"pvp",Inputs!$B$43&gt;0),SUMPRODUCT((Skills!T2:T32&gt;0)*(Skills!E2:E32=TRUE)*(C121:C151=TRUE))/B156,0)</f>
        <v/>
      </c>
    </row>
    <row r="162">
      <c r="A162" t="inlineStr">
        <is>
          <t>Boss-Only Total DPS (this block's swept value)</t>
        </is>
      </c>
      <c r="B162">
        <f>SUM(T121:T151)</f>
        <v/>
      </c>
    </row>
    <row r="163">
      <c r="A163" t="inlineStr">
        <is>
          <t>Normal-Only Total DPS (this block's swept value)</t>
        </is>
      </c>
      <c r="B163">
        <f>SUM(V121:V151)</f>
        <v/>
      </c>
    </row>
    <row r="164">
      <c r="A164" s="6" t="inlineStr">
        <is>
          <t>TOTAL DPS</t>
        </is>
      </c>
      <c r="B164" s="6">
        <f>SUM(O121:O151)</f>
        <v/>
      </c>
    </row>
    <row r="167">
      <c r="A167" s="6" t="inlineStr">
        <is>
          <t>Stat: STR</t>
        </is>
      </c>
    </row>
    <row r="168">
      <c r="A168" s="5" t="inlineStr">
        <is>
          <t>Key</t>
        </is>
      </c>
      <c r="B168" s="5" t="inlineStr">
        <is>
          <t>Name</t>
        </is>
      </c>
      <c r="C168" s="5" t="inlineStr">
        <is>
          <t>Unlocked</t>
        </is>
      </c>
      <c r="D168" s="5" t="inlineStr">
        <is>
          <t>InputLevel</t>
        </is>
      </c>
      <c r="E168" s="5" t="inlineStr">
        <is>
          <t>Factor</t>
        </is>
      </c>
      <c r="F168" s="5" t="inlineStr">
        <is>
          <t>CoefficientPercent</t>
        </is>
      </c>
      <c r="G168" s="5" t="inlineStr">
        <is>
          <t>EffectiveHits</t>
        </is>
      </c>
      <c r="H168" s="5" t="inlineStr">
        <is>
          <t>ProcProbability</t>
        </is>
      </c>
      <c r="I168" s="5" t="inlineStr">
        <is>
          <t>MapleHeroMultiplier</t>
        </is>
      </c>
      <c r="J168" s="5" t="inlineStr">
        <is>
          <t>BaseDamage</t>
        </is>
      </c>
      <c r="K168" s="5" t="inlineStr">
        <is>
          <t>BaseHitDamage</t>
        </is>
      </c>
      <c r="L168" s="5" t="inlineStr">
        <is>
          <t>NonCritAvg</t>
        </is>
      </c>
      <c r="M168" s="5" t="inlineStr">
        <is>
          <t>CritAvg</t>
        </is>
      </c>
      <c r="N168" s="5" t="inlineStr">
        <is>
          <t>ExpectedDamage(perHit)</t>
        </is>
      </c>
      <c r="O168" s="5" t="inlineStr">
        <is>
          <t>DPS</t>
        </is>
      </c>
      <c r="P168" s="5" t="inlineStr">
        <is>
          <t>% of Total</t>
        </is>
      </c>
      <c r="Q168" s="5" t="inlineStr">
        <is>
          <t>InvCooldown</t>
        </is>
      </c>
      <c r="R168" s="5" t="inlineStr">
        <is>
          <t>CastsInFight</t>
        </is>
      </c>
      <c r="S168" s="5" t="inlineStr">
        <is>
          <t>HitRate(perSec)</t>
        </is>
      </c>
      <c r="U168" t="inlineStr">
        <is>
          <t>helpers</t>
        </is>
      </c>
    </row>
    <row r="169">
      <c r="A169">
        <f>Skills!A2</f>
        <v/>
      </c>
      <c r="B169">
        <f>Skills!B2</f>
        <v/>
      </c>
      <c r="C169">
        <f>Inputs!$B$3&gt;=100</f>
        <v/>
      </c>
      <c r="D169" t="inlineStr"/>
      <c r="E169" t="inlineStr"/>
      <c r="F169">
        <f>U171+Skills!O2</f>
        <v/>
      </c>
      <c r="G169">
        <f>Skills!G2*IF(Skills!H2&gt;0,INT(IF(Inputs!$B$38="pvp",MIN(Skills!I2,15),Skills!I2)/Skills!H2+0.000000001),1)</f>
        <v/>
      </c>
      <c r="H169">
        <f>1-(1-Skills!J2/100)^Skills!K2</f>
        <v/>
      </c>
      <c r="I169" t="inlineStr">
        <is>
          <t>1</t>
        </is>
      </c>
      <c r="J169">
        <f>((Inputs!$B$6*(1+Inputs!$B$7/100))+(((Inputs!$B$12*(1+Inputs!$B$13/100))-(Inputs!$B$12*(1+Inputs!$B$13/100)))+0.25*((Inputs!$B$14+1)-Inputs!$B$14))*(1+Inputs!$B$7/100))*(F169/100)</f>
        <v/>
      </c>
      <c r="K169">
        <f>J169*(1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193=TRUE)*(F193-Calc!F26)),(Inputs!$B$23+((C198=TRUE)*(F198-Calc!F31))+(IF(ArtifactsInput!$M$15,CHOOSE(ArtifactsInput!$N$15+1,25,30,35,40,45,50)/100*(Inputs!$B$11-Inputs!$B$11),0))))/100+(Inputs!$B$23+((C198=TRUE)*(F198-Calc!F31))+(IF(ArtifactsInput!$M$15,CHOOSE(ArtifactsInput!$N$15+1,25,30,35,40,45,50)/100*(Inputs!$B$11-Inputs!$B$11),0)))/100)/2</f>
        <v/>
      </c>
      <c r="M169">
        <f>L169*(1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IF(B212=0,0,O169/B212)</f>
        <v/>
      </c>
      <c r="Q169" t="n">
        <v>0</v>
      </c>
      <c r="R169" t="n">
        <v>0</v>
      </c>
      <c r="S169">
        <f>IFERROR(O169/N169,0)</f>
        <v/>
      </c>
      <c r="T169">
        <f>IF(C169,(Skills!G2*N169*B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
        <f>MAX(0,(Inputs!$B$3-100)*3)+Inputs!$B$28+Inputs!$B$29</f>
        <v/>
      </c>
      <c r="V169">
        <f>IF(C169,(Skills!G2*N169*B206)*IF(Inputs!$B$38="pvp",1,(1+(Inputs!$B$21+Skills!Q2+(IF(ArtifactsInput!$M$33,CHOOSE(ArtifactsInput!$N$33+1,30,36,42,48,54,60),0))+(IF(AND(ArtifactsInput!$M$35,Inputs!$B$4&lt;&gt;"Chapter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Skills!A3</f>
        <v/>
      </c>
      <c r="B170">
        <f>Skills!B3</f>
        <v/>
      </c>
      <c r="C170">
        <f>Inputs!$B$3&gt;=50</f>
        <v/>
      </c>
      <c r="D170">
        <f>IF(Skills!C3=1,60+Inputs!$B$25+Inputs!$B$29,IF(Skills!C3=2,90+Inputs!$B$26+Inputs!$B$29,IF(Skills!C3=3,120+Inputs!$B$27+Inputs!$B$29,MAX(0,(Inputs!$B$3-100)*3)+Inputs!$B$28+Inputs!$B$29)))</f>
        <v/>
      </c>
      <c r="E170">
        <f>INDEX(FactorTable!$B$2:$Y$301, MATCH(ROUND(MIN(300,MAX(1,D170)),0), FactorTable!$A$2:$A$301,0), Skills!M3+1)</f>
        <v/>
      </c>
      <c r="F170">
        <f>IF(Skills!N3=TRUE,(Skills!L3/10)*(E170/1000),Skills!L3/10)+Skills!O3</f>
        <v/>
      </c>
      <c r="G170">
        <f>Skills!G3*IF(Skills!H3&gt;0,INT(IF(Inputs!$B$38="pvp",MIN(Skills!I3,15),Skills!I3)/Skills!H3+0.000000001),1)</f>
        <v/>
      </c>
      <c r="H170">
        <f>1-(1-Skills!J3/100)^Skills!K3</f>
        <v/>
      </c>
      <c r="I170" t="inlineStr">
        <is>
          <t>1</t>
        </is>
      </c>
      <c r="J170">
        <f>((Inputs!$B$6*(1+Inputs!$B$7/100))+(((Inputs!$B$12*(1+Inputs!$B$13/100))-(Inputs!$B$12*(1+Inputs!$B$13/100)))+0.25*((Inputs!$B$14+1)-Inputs!$B$14))*(1+Inputs!$B$7/100))*(F170/100)</f>
        <v/>
      </c>
      <c r="K170">
        <f>J170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TRUE,F171,0)/100)*(1+(IF(Skills!A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193=TRUE)*(F193-Calc!F26)),(Inputs!$B$23+((C198=TRUE)*(F198-Calc!F31))+(IF(ArtifactsInput!$M$15,CHOOSE(ArtifactsInput!$N$15+1,25,30,35,40,45,50)/100*(Inputs!$B$11-Inputs!$B$11),0))))/100+(Inputs!$B$23+((C198=TRUE)*(F198-Calc!F31))+(IF(ArtifactsInput!$M$15,CHOOSE(ArtifactsInput!$N$15+1,25,30,35,40,45,50)/100*(Inputs!$B$11-Inputs!$B$11),0)))/100)/2</f>
        <v/>
      </c>
      <c r="M170">
        <f>L170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IF(B212=0,0,O170/B212)</f>
        <v/>
      </c>
      <c r="Q170">
        <f>IFERROR(1/(IF(Inputs!$B$38="pvp",15,MAX(0.1,1/B204-IF(FALSE=TRUE,Inputs!$B$32,0)))*(1-IF(AND(ArtifactsInput!$M$27,Inputs!$B$4="Chapter Hunt"),CHOOSE(ArtifactsInput!$N$27+1,20,24,28,32,36,40),0)/100)),0)</f>
        <v/>
      </c>
      <c r="R170">
        <f>IF(AND(Inputs!$B$38&lt;&gt;"pvp",Inputs!$B$43&gt;0),IF(MAX(0,Inputs!$B$43-B209)&lt;=0,0,(INT(MAX(0,Inputs!$B$43-B209)/(IF(Inputs!$B$38="pvp",15,MAX(0.1,1/B204-IF(FALSE=TRUE,Inputs!$B$32,0)))*(1-IF(AND(ArtifactsInput!$M$27,Inputs!$B$4="Chapter Hunt"),CHOOSE(ArtifactsInput!$N$27+1,20,24,28,32,36,40),0)/100)))+1)),0)</f>
        <v/>
      </c>
      <c r="S170">
        <f>IFERROR(O170/N170,0)</f>
        <v/>
      </c>
      <c r="T170">
        <f>IF(C170,(H170*N170*IF(AND(Inputs!$B$38&lt;&gt;"pvp",Inputs!$B$43&gt;0),((Skills!G3*((R170-1)*IF(Skills!H3&gt;0,INT(Skills!I3/Skills!H3+0.000000001),1)+IF(Skills!H3&gt;0,INT(MIN(Skills!I3,MAX(0,MAX(0,Inputs!$B$43-B209)-((R170-1)*(IF(Inputs!$B$38="pvp",15,MAX(0.1,1/B204-IF(FALSE=TRUE,Inputs!$B$32,0)))*(1-IF(AND(ArtifactsInput!$M$27,Inputs!$B$4="Chapter Hunt"),CHOOSE(ArtifactsInput!$N$27+1,20,24,28,32,36,40),0)/100)))))/Skills!H3+0.000000001),1)))/Inputs!$B$43),G170*Q170)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
        <f>INDEX(FactorTable!$B$2:$Y$301, MATCH(ROUND(MIN(300,MAX(1,U169)),0), FactorTable!$A$2:$A$301,0), 22)</f>
        <v/>
      </c>
      <c r="V170">
        <f>IF(C170,(H170*N170*IF(AND(Inputs!$B$38&lt;&gt;"pvp",Inputs!$B$43&gt;0),((Skills!G3*((R170-1)*IF(Skills!H3&gt;0,INT(Skills!I3/Skills!H3+0.000000001),1)+IF(Skills!H3&gt;0,INT(MIN(Skills!I3,MAX(0,MAX(0,Inputs!$B$43-B209)-((R170-1)*(IF(Inputs!$B$38="pvp",15,MAX(0.1,1/B204-IF(FALSE=TRUE,Inputs!$B$32,0)))*(1-IF(AND(ArtifactsInput!$M$27,Inputs!$B$4="Chapter Hunt"),CHOOSE(ArtifactsInput!$N$27+1,20,24,28,32,36,40),0)/100)))))/Skills!H3+0.000000001),1)))/Inputs!$B$43),G170*Q170))*IF(Inputs!$B$38="pvp",1,(1+(Inputs!$B$21+Skills!Q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Skills!A4</f>
        <v/>
      </c>
      <c r="B171">
        <f>Skills!B4</f>
        <v/>
      </c>
      <c r="C171">
        <f>Inputs!$B$3&gt;=105</f>
        <v/>
      </c>
      <c r="D171">
        <f>IF(Skills!C4=1,60+Inputs!$B$25+Inputs!$B$29,IF(Skills!C4=2,90+Inputs!$B$26+Inputs!$B$29,IF(Skills!C4=3,120+Inputs!$B$27+Inputs!$B$29,MAX(0,(Inputs!$B$3-100)*3)+Inputs!$B$28+Inputs!$B$29)))</f>
        <v/>
      </c>
      <c r="E171">
        <f>INDEX(FactorTable!$B$2:$Y$301, MATCH(ROUND(MIN(300,MAX(1,D171)),0), FactorTable!$A$2:$A$301,0), Skills!M4+1)</f>
        <v/>
      </c>
      <c r="F171">
        <f>IF(Skills!N4=TRUE,(Skills!L4/10)*(E171/1000),Skills!L4/10)+Skills!O4</f>
        <v/>
      </c>
      <c r="G171" t="inlineStr"/>
      <c r="H171" t="inlineStr"/>
      <c r="I171" t="inlineStr">
        <is>
          <t>1</t>
        </is>
      </c>
      <c r="J171" t="inlineStr"/>
      <c r="K171" t="inlineStr"/>
      <c r="L171" t="inlineStr"/>
      <c r="M171" t="inlineStr"/>
      <c r="N171" t="inlineStr"/>
      <c r="O171" t="inlineStr"/>
      <c r="P171" t="inlineStr"/>
      <c r="Q171" t="inlineStr"/>
      <c r="R171" t="inlineStr"/>
      <c r="S171" t="inlineStr"/>
      <c r="T171" t="inlineStr"/>
      <c r="U171">
        <f>290*U170/1000</f>
        <v/>
      </c>
      <c r="V171" t="inlineStr"/>
    </row>
    <row r="172">
      <c r="A172">
        <f>Skills!A5</f>
        <v/>
      </c>
      <c r="B172">
        <f>Skills!B5</f>
        <v/>
      </c>
      <c r="C172">
        <f>Inputs!$B$3&gt;=35</f>
        <v/>
      </c>
      <c r="D172">
        <f>IF(Skills!C5=1,60+Inputs!$B$25+Inputs!$B$29,IF(Skills!C5=2,90+Inputs!$B$26+Inputs!$B$29,IF(Skills!C5=3,120+Inputs!$B$27+Inputs!$B$29,MAX(0,(Inputs!$B$3-100)*3)+Inputs!$B$28+Inputs!$B$29)))</f>
        <v/>
      </c>
      <c r="E172">
        <f>INDEX(FactorTable!$B$2:$Y$301, MATCH(ROUND(MIN(300,MAX(1,D172)),0), FactorTable!$A$2:$A$301,0), Skills!M5+1)</f>
        <v/>
      </c>
      <c r="F172">
        <f>IF(Skills!N5=TRUE,(Skills!L5/10)*(E172/1000),Skills!L5/10)+Skills!O5</f>
        <v/>
      </c>
      <c r="G172">
        <f>Skills!G5*IF(Skills!H5&gt;0,INT(IF(Inputs!$B$38="pvp",MIN(Skills!I5,15),Skills!I5)/Skills!H5+0.000000001),1)</f>
        <v/>
      </c>
      <c r="H172">
        <f>1-(1-Skills!J5/100)^Skills!K5</f>
        <v/>
      </c>
      <c r="I172" t="inlineStr">
        <is>
          <t>1</t>
        </is>
      </c>
      <c r="J172">
        <f>((Inputs!$B$6*(1+Inputs!$B$7/100))+(((Inputs!$B$12*(1+Inputs!$B$13/100))-(Inputs!$B$12*(1+Inputs!$B$13/100)))+0.25*((Inputs!$B$14+1)-Inputs!$B$14))*(1+Inputs!$B$7/100))*(F172/100)</f>
        <v/>
      </c>
      <c r="K172">
        <f>J172*(1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179=TRUE,F179,0)/100)*(1+(IF(Skills!A5="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193=TRUE)*(F193-Calc!F26)),(Inputs!$B$23+((C198=TRUE)*(F198-Calc!F31))+(IF(ArtifactsInput!$M$15,CHOOSE(ArtifactsInput!$N$15+1,25,30,35,40,45,50)/100*(Inputs!$B$11-Inputs!$B$11),0))))/100+(Inputs!$B$23+((C198=TRUE)*(F198-Calc!F31))+(IF(ArtifactsInput!$M$15,CHOOSE(ArtifactsInput!$N$15+1,25,30,35,40,45,50)/100*(Inputs!$B$11-Inputs!$B$11),0)))/100)/2</f>
        <v/>
      </c>
      <c r="M172">
        <f>L172*(1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IF(B212=0,0,O172/B212)</f>
        <v/>
      </c>
      <c r="Q172">
        <f>IFERROR(1/(IF(Inputs!$B$38="pvp",15,MAX(0.1,Skills!D5-IF(TRUE=TRUE,Inputs!$B$32,0)))*(1-IF(AND(ArtifactsInput!$M$27,Inputs!$B$4="Chapter Hunt"),CHOOSE(ArtifactsInput!$N$27+1,20,24,28,32,36,40),0)/100)),0)</f>
        <v/>
      </c>
      <c r="R172">
        <f>IF(AND(Inputs!$B$38&lt;&gt;"pvp",Inputs!$B$43&gt;0),IF(MAX(0,Inputs!$B$43-B209)&lt;=0,0,(INT(MAX(0,Inputs!$B$43-B209)/(IF(Inputs!$B$38="pvp",15,MAX(0.1,Skills!D5-IF(TRUE=TRUE,Inputs!$B$32,0)))*(1-IF(AND(ArtifactsInput!$M$27,Inputs!$B$4="Chapter Hunt"),CHOOSE(ArtifactsInput!$N$27+1,20,24,28,32,36,40),0)/100)))+1)),0)</f>
        <v/>
      </c>
      <c r="S172">
        <f>IFERROR(O172/N172,0)</f>
        <v/>
      </c>
      <c r="T172">
        <f>IF(C172,(H172*N172*IF(AND(Inputs!$B$38&lt;&gt;"pvp",Inputs!$B$43&gt;0),((Skills!G5*((R172-1)*IF(Skills!H5&gt;0,INT(Skills!I5/Skills!H5+0.000000001),1)+IF(Skills!H5&gt;0,INT(MIN(Skills!I5,MAX(0,MAX(0,Inputs!$B$43-B209)-((R172-1)*(IF(Inputs!$B$38="pvp",15,MAX(0.1,Skills!D5-IF(TRUE=TRUE,Inputs!$B$32,0)))*(1-IF(AND(ArtifactsInput!$M$27,Inputs!$B$4="Chapter Hunt"),CHOOSE(ArtifactsInput!$N$27+1,20,24,28,32,36,40),0)/100)))))/Skills!H5+0.000000001),1)))/Inputs!$B$43),G172*Q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5*((R172-1)*IF(Skills!H5&gt;0,INT(Skills!I5/Skills!H5+0.000000001),1)+IF(Skills!H5&gt;0,INT(MIN(Skills!I5,MAX(0,MAX(0,Inputs!$B$43-B209)-((R172-1)*(IF(Inputs!$B$38="pvp",15,MAX(0.1,Skills!D5-IF(TRUE=TRUE,Inputs!$B$32,0)))*(1-IF(AND(ArtifactsInput!$M$27,Inputs!$B$4="Chapter Hunt"),CHOOSE(ArtifactsInput!$N$27+1,20,24,28,32,36,40),0)/100)))))/Skills!H5+0.000000001),1)))/Inputs!$B$43),G172*Q172))*IF(Inputs!$B$38="pvp",1,(1+(Inputs!$B$21+Skills!Q5+(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Skills!A6</f>
        <v/>
      </c>
      <c r="B173">
        <f>Skills!B6</f>
        <v/>
      </c>
      <c r="C173">
        <f>Inputs!$B$3&gt;=40</f>
        <v/>
      </c>
      <c r="D173">
        <f>IF(Skills!C6=1,60+Inputs!$B$25+Inputs!$B$29,IF(Skills!C6=2,90+Inputs!$B$26+Inputs!$B$29,IF(Skills!C6=3,120+Inputs!$B$27+Inputs!$B$29,MAX(0,(Inputs!$B$3-100)*3)+Inputs!$B$28+Inputs!$B$29)))</f>
        <v/>
      </c>
      <c r="E173">
        <f>INDEX(FactorTable!$B$2:$Y$301, MATCH(ROUND(MIN(300,MAX(1,D173)),0), FactorTable!$A$2:$A$301,0), Skills!M6+1)</f>
        <v/>
      </c>
      <c r="F173">
        <f>IF(Skills!N6=TRUE,(Skills!L6/10)*(E173/1000),Skills!L6/10)+Skills!O6</f>
        <v/>
      </c>
      <c r="G173">
        <f>Skills!G6*IF(Skills!H6&gt;0,INT(IF(Inputs!$B$38="pvp",MIN(Skills!I6,15),Skills!I6)/Skills!H6+0.000000001),1)</f>
        <v/>
      </c>
      <c r="H173">
        <f>1-(1-Skills!J6/100)^Skills!K6</f>
        <v/>
      </c>
      <c r="I173" t="inlineStr">
        <is>
          <t>1</t>
        </is>
      </c>
      <c r="J173">
        <f>((Inputs!$B$6*(1+Inputs!$B$7/100))+(((Inputs!$B$12*(1+Inputs!$B$13/100))-(Inputs!$B$12*(1+Inputs!$B$13/100)))+0.25*((Inputs!$B$14+1)-Inputs!$B$14))*(1+Inputs!$B$7/100))*(F173/100)</f>
        <v/>
      </c>
      <c r="K173">
        <f>J173*(1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174=TRUE,F174,0)/100)*(1+(IF(Skills!A6="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193=TRUE)*(F193-Calc!F26)),(Inputs!$B$23+((C198=TRUE)*(F198-Calc!F31))+(IF(ArtifactsInput!$M$15,CHOOSE(ArtifactsInput!$N$15+1,25,30,35,40,45,50)/100*(Inputs!$B$11-Inputs!$B$11),0))))/100+(Inputs!$B$23+((C198=TRUE)*(F198-Calc!F31))+(IF(ArtifactsInput!$M$15,CHOOSE(ArtifactsInput!$N$15+1,25,30,35,40,45,50)/100*(Inputs!$B$11-Inputs!$B$11),0)))/100)/2</f>
        <v/>
      </c>
      <c r="M173">
        <f>L173*(1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IF(B212=0,0,O173/B212)</f>
        <v/>
      </c>
      <c r="Q173">
        <f>IFERROR(1/(IF(Inputs!$B$38="pvp",15,MAX(0.1,1-0.4*MIN(1,(B204-1)/1.5)-IF(FALSE=TRUE,Inputs!$B$32,0)))*(1-IF(AND(ArtifactsInput!$M$27,Inputs!$B$4="Chapter Hunt"),CHOOSE(ArtifactsInput!$N$27+1,20,24,28,32,36,40),0)/100)),0)</f>
        <v/>
      </c>
      <c r="R173">
        <f>IF(AND(Inputs!$B$38&lt;&gt;"pvp",Inputs!$B$43&gt;0),IF(MAX(0,Inputs!$B$43-B209)&lt;=0,0,(INT(MAX(0,Inputs!$B$43-B209)/(IF(Inputs!$B$38="pvp",15,MAX(0.1,1-0.4*MIN(1,(B204-1)/1.5)-IF(FALSE=TRUE,Inputs!$B$32,0)))*(1-IF(AND(ArtifactsInput!$M$27,Inputs!$B$4="Chapter Hunt"),CHOOSE(ArtifactsInput!$N$27+1,20,24,28,32,36,40),0)/100)))+1)),0)</f>
        <v/>
      </c>
      <c r="S173">
        <f>IFERROR(O173/N173,0)</f>
        <v/>
      </c>
      <c r="T173">
        <f>IF(C173,(H173*N173*IF(AND(Inputs!$B$38&lt;&gt;"pvp",Inputs!$B$43&gt;0),((Skills!G6*((R173-1)*IF(Skills!H6&gt;0,INT(Skills!I6/Skills!H6+0.000000001),1)+IF(Skills!H6&gt;0,INT(MIN(Skills!I6,MAX(0,MAX(0,Inputs!$B$43-B209)-((R173-1)*(IF(Inputs!$B$38="pvp",15,MAX(0.1,1-0.4*MIN(1,(B204-1)/1.5)-IF(FALSE=TRUE,Inputs!$B$32,0)))*(1-IF(AND(ArtifactsInput!$M$27,Inputs!$B$4="Chapter Hunt"),CHOOSE(ArtifactsInput!$N$27+1,20,24,28,32,36,40),0)/100)))))/Skills!H6+0.000000001),1)))/Inputs!$B$43),G173*Q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6*((R173-1)*IF(Skills!H6&gt;0,INT(Skills!I6/Skills!H6+0.000000001),1)+IF(Skills!H6&gt;0,INT(MIN(Skills!I6,MAX(0,MAX(0,Inputs!$B$43-B209)-((R173-1)*(IF(Inputs!$B$38="pvp",15,MAX(0.1,1-0.4*MIN(1,(B204-1)/1.5)-IF(FALSE=TRUE,Inputs!$B$32,0)))*(1-IF(AND(ArtifactsInput!$M$27,Inputs!$B$4="Chapter Hunt"),CHOOSE(ArtifactsInput!$N$27+1,20,24,28,32,36,40),0)/100)))))/Skills!H6+0.000000001),1)))/Inputs!$B$43),G173*Q173))*IF(Inputs!$B$38="pvp",1,(1+(Inputs!$B$21+Skills!Q6+(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Skills!A7</f>
        <v/>
      </c>
      <c r="B174">
        <f>Skills!B7</f>
        <v/>
      </c>
      <c r="C174">
        <f>Inputs!$B$3&gt;=107</f>
        <v/>
      </c>
      <c r="D174">
        <f>IF(Skills!C7=1,60+Inputs!$B$25+Inputs!$B$29,IF(Skills!C7=2,90+Inputs!$B$26+Inputs!$B$29,IF(Skills!C7=3,120+Inputs!$B$27+Inputs!$B$29,MAX(0,(Inputs!$B$3-100)*3)+Inputs!$B$28+Inputs!$B$29)))</f>
        <v/>
      </c>
      <c r="E174">
        <f>INDEX(FactorTable!$B$2:$Y$301, MATCH(ROUND(MIN(300,MAX(1,D174)),0), FactorTable!$A$2:$A$301,0), Skills!M7+1)</f>
        <v/>
      </c>
      <c r="F174">
        <f>IF(Skills!N7=TRUE,(Skills!L7/10)*(E174/1000),Skills!L7/10)+Skills!O7</f>
        <v/>
      </c>
      <c r="G174" t="inlineStr"/>
      <c r="H174" t="inlineStr"/>
      <c r="I174" t="inlineStr">
        <is>
          <t>1</t>
        </is>
      </c>
      <c r="J174" t="inlineStr"/>
      <c r="K174" t="inlineStr"/>
      <c r="L174" t="inlineStr"/>
      <c r="M174" t="inlineStr"/>
      <c r="N174" t="inlineStr"/>
      <c r="O174" t="inlineStr"/>
      <c r="P174" t="inlineStr"/>
      <c r="Q174" t="inlineStr"/>
      <c r="R174" t="inlineStr"/>
      <c r="S174" t="inlineStr"/>
      <c r="T174" t="inlineStr"/>
      <c r="V174" t="inlineStr"/>
    </row>
    <row r="175">
      <c r="A175">
        <f>Skills!A8</f>
        <v/>
      </c>
      <c r="B175">
        <f>Skills!B8</f>
        <v/>
      </c>
      <c r="C175">
        <f>Inputs!$B$3&gt;=130</f>
        <v/>
      </c>
      <c r="D175">
        <f>IF(Skills!C8=1,60+Inputs!$B$25+Inputs!$B$29,IF(Skills!C8=2,90+Inputs!$B$26+Inputs!$B$29,IF(Skills!C8=3,120+Inputs!$B$27+Inputs!$B$29,MAX(0,(Inputs!$B$3-100)*3)+Inputs!$B$28+Inputs!$B$29)))</f>
        <v/>
      </c>
      <c r="E175">
        <f>INDEX(FactorTable!$B$2:$Y$301, MATCH(ROUND(MIN(300,MAX(1,D175)),0), FactorTable!$A$2:$A$301,0), Skills!M8+1)</f>
        <v/>
      </c>
      <c r="F175">
        <f>IF(Skills!N8=TRUE,(Skills!L8/10)*(E175/1000),Skills!L8/10)+Skills!O8</f>
        <v/>
      </c>
      <c r="G175">
        <f>Skills!G8*IF(Skills!H8&gt;0,INT(IF(Inputs!$B$38="pvp",MIN(Skills!I8,15),Skills!I8)/Skills!H8+0.000000001),1)</f>
        <v/>
      </c>
      <c r="H175">
        <f>1-(1-Skills!J8/100)^Skills!K8</f>
        <v/>
      </c>
      <c r="I175" t="inlineStr">
        <is>
          <t>1</t>
        </is>
      </c>
      <c r="J175">
        <f>((Inputs!$B$6*(1+Inputs!$B$7/100))+(((Inputs!$B$12*(1+Inputs!$B$13/100))-(Inputs!$B$12*(1+Inputs!$B$13/100)))+0.25*((Inputs!$B$14+1)-Inputs!$B$14))*(1+Inputs!$B$7/100))*(F175/100)</f>
        <v/>
      </c>
      <c r="K175">
        <f>J175*(1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193=TRUE)*(F193-Calc!F26)),(Inputs!$B$23+((C198=TRUE)*(F198-Calc!F31))+(IF(ArtifactsInput!$M$15,CHOOSE(ArtifactsInput!$N$15+1,25,30,35,40,45,50)/100*(Inputs!$B$11-Inputs!$B$11),0))))/100+(Inputs!$B$23+((C198=TRUE)*(F198-Calc!F31))+(IF(ArtifactsInput!$M$15,CHOOSE(ArtifactsInput!$N$15+1,25,30,35,40,45,50)/100*(Inputs!$B$11-Inputs!$B$11),0)))/100)/2</f>
        <v/>
      </c>
      <c r="M175">
        <f>L175*(1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IF(B212=0,0,O175/B212)</f>
        <v/>
      </c>
      <c r="Q175">
        <f>IFERROR(1/(IF(Inputs!$B$38="pvp",15,MAX(0.1,1-0.4*MIN(1,(B204-1)/1.5)-IF(FALSE=TRUE,Inputs!$B$32,0)))*(1-IF(AND(ArtifactsInput!$M$27,Inputs!$B$4="Chapter Hunt"),CHOOSE(ArtifactsInput!$N$27+1,20,24,28,32,36,40),0)/100)),0)</f>
        <v/>
      </c>
      <c r="R175">
        <f>IF(AND(Inputs!$B$38&lt;&gt;"pvp",Inputs!$B$43&gt;0),IF(MAX(0,Inputs!$B$43-B209)&lt;=0,0,(INT(MAX(0,Inputs!$B$43-B209)/(IF(Inputs!$B$38="pvp",15,MAX(0.1,1-0.4*MIN(1,(B204-1)/1.5)-IF(FALSE=TRUE,Inputs!$B$32,0)))*(1-IF(AND(ArtifactsInput!$M$27,Inputs!$B$4="Chapter Hunt"),CHOOSE(ArtifactsInput!$N$27+1,20,24,28,32,36,40),0)/100)))+1)),0)</f>
        <v/>
      </c>
      <c r="S175">
        <f>IFERROR(O175/N175,0)</f>
        <v/>
      </c>
      <c r="T175">
        <f>IF(C175,(H175*N175*IF(AND(Inputs!$B$38&lt;&gt;"pvp",Inputs!$B$43&gt;0),((Skills!G8*((R175-1)*IF(Skills!H8&gt;0,INT(Skills!I8/Skills!H8+0.000000001),1)+IF(Skills!H8&gt;0,INT(MIN(Skills!I8,MAX(0,MAX(0,Inputs!$B$43-B209)-((R175-1)*(IF(Inputs!$B$38="pvp",15,MAX(0.1,1-0.4*MIN(1,(B204-1)/1.5)-IF(FALSE=TRUE,Inputs!$B$32,0)))*(1-IF(AND(ArtifactsInput!$M$27,Inputs!$B$4="Chapter Hunt"),CHOOSE(ArtifactsInput!$N$27+1,20,24,28,32,36,40),0)/100)))))/Skills!H8+0.000000001),1)))/Inputs!$B$43),G175*Q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8*((R175-1)*IF(Skills!H8&gt;0,INT(Skills!I8/Skills!H8+0.000000001),1)+IF(Skills!H8&gt;0,INT(MIN(Skills!I8,MAX(0,MAX(0,Inputs!$B$43-B209)-((R175-1)*(IF(Inputs!$B$38="pvp",15,MAX(0.1,1-0.4*MIN(1,(B204-1)/1.5)-IF(FALSE=TRUE,Inputs!$B$32,0)))*(1-IF(AND(ArtifactsInput!$M$27,Inputs!$B$4="Chapter Hunt"),CHOOSE(ArtifactsInput!$N$27+1,20,24,28,32,36,40),0)/100)))))/Skills!H8+0.000000001),1)))/Inputs!$B$43),G175*Q175))*IF(Inputs!$B$38="pvp",1,(1+(Inputs!$B$21+Skills!Q8+(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Skills!A9</f>
        <v/>
      </c>
      <c r="B176">
        <f>Skills!B9</f>
        <v/>
      </c>
      <c r="C176">
        <f>Inputs!$B$3&gt;=69</f>
        <v/>
      </c>
      <c r="D176">
        <f>IF(Skills!C9=1,60+Inputs!$B$25+Inputs!$B$29,IF(Skills!C9=2,90+Inputs!$B$26+Inputs!$B$29,IF(Skills!C9=3,120+Inputs!$B$27+Inputs!$B$29,MAX(0,(Inputs!$B$3-100)*3)+Inputs!$B$28+Inputs!$B$29)))</f>
        <v/>
      </c>
      <c r="E176">
        <f>INDEX(FactorTable!$B$2:$Y$301, MATCH(ROUND(MIN(300,MAX(1,D176)),0), FactorTable!$A$2:$A$301,0), Skills!M9+1)</f>
        <v/>
      </c>
      <c r="F176">
        <f>IF(Skills!N9=TRUE,(Skills!L9/10)*(E176/1000),Skills!L9/10)+Skills!O9</f>
        <v/>
      </c>
      <c r="G176">
        <f>Skills!G9*IF(Skills!H9&gt;0,INT(IF(Inputs!$B$38="pvp",MIN(Skills!I9,15),Skills!I9)/Skills!H9+0.000000001),1)</f>
        <v/>
      </c>
      <c r="H176">
        <f>1-(1-Skills!J9/100)^Skills!K9</f>
        <v/>
      </c>
      <c r="I176" t="inlineStr">
        <is>
          <t>1</t>
        </is>
      </c>
      <c r="J176">
        <f>((Inputs!$B$6*(1+Inputs!$B$7/100))+(((Inputs!$B$12*(1+Inputs!$B$13/100))-(Inputs!$B$12*(1+Inputs!$B$13/100)))+0.25*((Inputs!$B$14+1)-Inputs!$B$14))*(1+Inputs!$B$7/100))*(F176/100)</f>
        <v/>
      </c>
      <c r="K176">
        <f>J176*(1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179=TRUE,F179,0)/100)*(1+(IF(Skills!A9="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f>
        <v/>
      </c>
      <c r="L176">
        <f>K176*(MIN(Inputs!$B$22+((C193=TRUE)*(F193-Calc!F26)),(Inputs!$B$23+((C198=TRUE)*(F198-Calc!F31))+(IF(ArtifactsInput!$M$15,CHOOSE(ArtifactsInput!$N$15+1,25,30,35,40,45,50)/100*(Inputs!$B$11-Inputs!$B$11),0))))/100+(Inputs!$B$23+((C198=TRUE)*(F198-Calc!F31))+(IF(ArtifactsInput!$M$15,CHOOSE(ArtifactsInput!$N$15+1,25,30,35,40,45,50)/100*(Inputs!$B$11-Inputs!$B$11),0)))/100)/2</f>
        <v/>
      </c>
      <c r="M176">
        <f>L176*(1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
        <f>L176*(1-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
        <f>(1-Summary!$B$11)*T176+Summary!$B$11*V176</f>
        <v/>
      </c>
      <c r="P176">
        <f>IF(B212=0,0,O176/B212)</f>
        <v/>
      </c>
      <c r="Q176">
        <f>IFERROR(1/(IF(Inputs!$B$38="pvp",15,MAX(0.1,Skills!D9-IF(TRUE=TRUE,Inputs!$B$32,0)))*(1-IF(AND(ArtifactsInput!$M$27,Inputs!$B$4="Chapter Hunt"),CHOOSE(ArtifactsInput!$N$27+1,20,24,28,32,36,40),0)/100)),0)</f>
        <v/>
      </c>
      <c r="R176">
        <f>IF(AND(Inputs!$B$38&lt;&gt;"pvp",Inputs!$B$43&gt;0),IF(MAX(0,Inputs!$B$43-B209)&lt;=0,0,(INT(MAX(0,Inputs!$B$43-B209)/(IF(Inputs!$B$38="pvp",15,MAX(0.1,Skills!D9-IF(TRUE=TRUE,Inputs!$B$32,0)))*(1-IF(AND(ArtifactsInput!$M$27,Inputs!$B$4="Chapter Hunt"),CHOOSE(ArtifactsInput!$N$27+1,20,24,28,32,36,40),0)/100)))+1)),0)</f>
        <v/>
      </c>
      <c r="S176">
        <f>IFERROR(O176/N176,0)</f>
        <v/>
      </c>
      <c r="T176">
        <f>IF(C176,(H176*N176*IF(AND(Inputs!$B$38&lt;&gt;"pvp",Inputs!$B$43&gt;0),((Skills!G9*((R176-1)*IF(Skills!H9&gt;0,INT(Skills!I9/Skills!H9+0.000000001),1)+IF(Skills!H9&gt;0,INT(MIN(Skills!I9,MAX(0,MAX(0,Inputs!$B$43-B209)-((R176-1)*(IF(Inputs!$B$38="pvp",15,MAX(0.1,Skills!D9-IF(TRUE=TRUE,Inputs!$B$32,0)))*(1-IF(AND(ArtifactsInput!$M$27,Inputs!$B$4="Chapter Hunt"),CHOOSE(ArtifactsInput!$N$27+1,20,24,28,32,36,40),0)/100)))))/Skills!H9+0.000000001),1)))/Inputs!$B$43),G176*Q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
        <f>IF(C176,(H176*N176*IF(AND(Inputs!$B$38&lt;&gt;"pvp",Inputs!$B$43&gt;0),((Skills!G9*((R176-1)*IF(Skills!H9&gt;0,INT(Skills!I9/Skills!H9+0.000000001),1)+IF(Skills!H9&gt;0,INT(MIN(Skills!I9,MAX(0,MAX(0,Inputs!$B$43-B209)-((R176-1)*(IF(Inputs!$B$38="pvp",15,MAX(0.1,Skills!D9-IF(TRUE=TRUE,Inputs!$B$32,0)))*(1-IF(AND(ArtifactsInput!$M$27,Inputs!$B$4="Chapter Hunt"),CHOOSE(ArtifactsInput!$N$27+1,20,24,28,32,36,40),0)/100)))))/Skills!H9+0.000000001),1)))/Inputs!$B$43),G176*Q176))*IF(Inputs!$B$38="pvp",1,(1+(Inputs!$B$21+Skills!Q9+(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
      <c r="A177">
        <f>Skills!A10</f>
        <v/>
      </c>
      <c r="B177">
        <f>Skills!B10</f>
        <v/>
      </c>
      <c r="C177">
        <f>Inputs!$B$3&gt;=63</f>
        <v/>
      </c>
      <c r="D177">
        <f>IF(Skills!C10=1,60+Inputs!$B$25+Inputs!$B$29,IF(Skills!C10=2,90+Inputs!$B$26+Inputs!$B$29,IF(Skills!C10=3,120+Inputs!$B$27+Inputs!$B$29,MAX(0,(Inputs!$B$3-100)*3)+Inputs!$B$28+Inputs!$B$29)))</f>
        <v/>
      </c>
      <c r="E177">
        <f>INDEX(FactorTable!$B$2:$Y$301, MATCH(ROUND(MIN(300,MAX(1,D177)),0), FactorTable!$A$2:$A$301,0), Skills!M10+1)</f>
        <v/>
      </c>
      <c r="F177">
        <f>IF(Skills!N10=TRUE,(Skills!L10/10)*(E177/1000),Skills!L10/10)+Skills!O10</f>
        <v/>
      </c>
      <c r="G177">
        <f>Skills!G10*IF(Skills!H10&gt;0,INT(IF(Inputs!$B$38="pvp",MIN(Skills!I10,15),Skills!I10)/Skills!H10+0.000000001),1)</f>
        <v/>
      </c>
      <c r="H177">
        <f>1-(1-Skills!J10/100)^Skills!K10</f>
        <v/>
      </c>
      <c r="I177" t="inlineStr">
        <is>
          <t>1</t>
        </is>
      </c>
      <c r="J177">
        <f>((Inputs!$B$6*(1+Inputs!$B$7/100))+(((Inputs!$B$12*(1+Inputs!$B$13/100))-(Inputs!$B$12*(1+Inputs!$B$13/100)))+0.25*((Inputs!$B$14+1)-Inputs!$B$14))*(1+Inputs!$B$7/100))*(F177/100)</f>
        <v/>
      </c>
      <c r="K177">
        <f>J177*(1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TRUE,F179,0)/100)*(1+(IF(Skills!A10="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193=TRUE)*(F193-Calc!F26)),(Inputs!$B$23+((C198=TRUE)*(F198-Calc!F31))+(IF(ArtifactsInput!$M$15,CHOOSE(ArtifactsInput!$N$15+1,25,30,35,40,45,50)/100*(Inputs!$B$11-Inputs!$B$11),0))))/100+(Inputs!$B$23+((C198=TRUE)*(F198-Calc!F31))+(IF(ArtifactsInput!$M$15,CHOOSE(ArtifactsInput!$N$15+1,25,30,35,40,45,50)/100*(Inputs!$B$11-Inputs!$B$11),0)))/100)/2</f>
        <v/>
      </c>
      <c r="M177">
        <f>L177*(1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IF(B212=0,0,O177/B212)</f>
        <v/>
      </c>
      <c r="Q177">
        <f>IFERROR(1/(IF(Inputs!$B$38="pvp",15,MAX(0.1,Skills!D10-IF(TRUE=TRUE,Inputs!$B$32,0)))*(1-IF(AND(ArtifactsInput!$M$27,Inputs!$B$4="Chapter Hunt"),CHOOSE(ArtifactsInput!$N$27+1,20,24,28,32,36,40),0)/100)),0)</f>
        <v/>
      </c>
      <c r="R177">
        <f>IF(AND(Inputs!$B$38&lt;&gt;"pvp",Inputs!$B$43&gt;0),IF(MAX(0,Inputs!$B$43-B209)&lt;=0,0,(INT(MAX(0,Inputs!$B$43-B209)/(IF(Inputs!$B$38="pvp",15,MAX(0.1,Skills!D10-IF(TRUE=TRUE,Inputs!$B$32,0)))*(1-IF(AND(ArtifactsInput!$M$27,Inputs!$B$4="Chapter Hunt"),CHOOSE(ArtifactsInput!$N$27+1,20,24,28,32,36,40),0)/100)))+1)),0)</f>
        <v/>
      </c>
      <c r="S177">
        <f>IFERROR(O177/N177,0)</f>
        <v/>
      </c>
      <c r="T177">
        <f>IF(C177,(H177*N177*IF(AND(Inputs!$B$38&lt;&gt;"pvp",Inputs!$B$43&gt;0),((Skills!G10*((R177-1)*IF(Skills!H10&gt;0,INT(Skills!I10/Skills!H10+0.000000001),1)+IF(Skills!H10&gt;0,INT(MIN(Skills!I10,MAX(0,MAX(0,Inputs!$B$43-B209)-((R177-1)*(IF(Inputs!$B$38="pvp",15,MAX(0.1,Skills!D10-IF(TRUE=TRUE,Inputs!$B$32,0)))*(1-IF(AND(ArtifactsInput!$M$27,Inputs!$B$4="Chapter Hunt"),CHOOSE(ArtifactsInput!$N$27+1,20,24,28,32,36,40),0)/100)))))/Skills!H10+0.000000001),1)))/Inputs!$B$43),G177*Q177)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10*((R177-1)*IF(Skills!H10&gt;0,INT(Skills!I10/Skills!H10+0.000000001),1)+IF(Skills!H10&gt;0,INT(MIN(Skills!I10,MAX(0,MAX(0,Inputs!$B$43-B209)-((R177-1)*(IF(Inputs!$B$38="pvp",15,MAX(0.1,Skills!D10-IF(TRUE=TRUE,Inputs!$B$32,0)))*(1-IF(AND(ArtifactsInput!$M$27,Inputs!$B$4="Chapter Hunt"),CHOOSE(ArtifactsInput!$N$27+1,20,24,28,32,36,40),0)/100)))))/Skills!H10+0.000000001),1)))/Inputs!$B$43),G177*Q177))*IF(Inputs!$B$38="pvp",1,(1+(Inputs!$B$21+Skills!Q10+(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Skills!A11</f>
        <v/>
      </c>
      <c r="B178">
        <f>Skills!B11</f>
        <v/>
      </c>
      <c r="C178">
        <f>Inputs!$B$3&gt;=103</f>
        <v/>
      </c>
      <c r="D178">
        <f>IF(Skills!C11=1,60+Inputs!$B$25+Inputs!$B$29,IF(Skills!C11=2,90+Inputs!$B$26+Inputs!$B$29,IF(Skills!C11=3,120+Inputs!$B$27+Inputs!$B$29,MAX(0,(Inputs!$B$3-100)*3)+Inputs!$B$28+Inputs!$B$29)))</f>
        <v/>
      </c>
      <c r="E178">
        <f>INDEX(FactorTable!$B$2:$Y$301, MATCH(ROUND(MIN(300,MAX(1,D178)),0), FactorTable!$A$2:$A$301,0), Skills!M11+1)</f>
        <v/>
      </c>
      <c r="F178">
        <f>IF(Skills!N11=TRUE,(Skills!L11/10)*(E178/1000),Skills!L11/10)+Skills!O11</f>
        <v/>
      </c>
      <c r="G178">
        <f>Skills!G11*IF(Skills!H11&gt;0,INT(IF(Inputs!$B$38="pvp",MIN(Skills!I11,15),Skills!I11)/Skills!H11+0.000000001),1)</f>
        <v/>
      </c>
      <c r="H178">
        <f>1-(1-Skills!J11/100)^Skills!K11</f>
        <v/>
      </c>
      <c r="I178" t="inlineStr">
        <is>
          <t>1</t>
        </is>
      </c>
      <c r="J178">
        <f>((Inputs!$B$6*(1+Inputs!$B$7/100))+(((Inputs!$B$12*(1+Inputs!$B$13/100))-(Inputs!$B$12*(1+Inputs!$B$13/100)))+0.25*((Inputs!$B$14+1)-Inputs!$B$14))*(1+Inputs!$B$7/100))*(F178/100)</f>
        <v/>
      </c>
      <c r="K178">
        <f>J178*(1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f>
        <v/>
      </c>
      <c r="L178">
        <f>K178*(MIN(Inputs!$B$22+((C193=TRUE)*(F193-Calc!F26)),(Inputs!$B$23+((C198=TRUE)*(F198-Calc!F31))+(IF(ArtifactsInput!$M$15,CHOOSE(ArtifactsInput!$N$15+1,25,30,35,40,45,50)/100*(Inputs!$B$11-Inputs!$B$11),0))))/100+(Inputs!$B$23+((C198=TRUE)*(F198-Calc!F31))+(IF(ArtifactsInput!$M$15,CHOOSE(ArtifactsInput!$N$15+1,25,30,35,40,45,50)/100*(Inputs!$B$11-Inputs!$B$11),0)))/100)/2</f>
        <v/>
      </c>
      <c r="M178">
        <f>L178*(1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
        <f>L178*(1-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
        <f>(1-Summary!$B$11)*T178+Summary!$B$11*V178</f>
        <v/>
      </c>
      <c r="P178">
        <f>IF(B212=0,0,O178/B212)</f>
        <v/>
      </c>
      <c r="Q178">
        <f>IFERROR(1/(IF(Inputs!$B$38="pvp",15,MAX(0.1,Skills!D11-IF(TRUE=TRUE,Inputs!$B$32,0)))*(1-IF(AND(ArtifactsInput!$M$27,Inputs!$B$4="Chapter Hunt"),CHOOSE(ArtifactsInput!$N$27+1,20,24,28,32,36,40),0)/100)),0)</f>
        <v/>
      </c>
      <c r="R178">
        <f>IF(AND(Inputs!$B$38&lt;&gt;"pvp",Inputs!$B$43&gt;0),IF(MAX(0,Inputs!$B$43-B209)&lt;=0,0,(INT(MAX(0,Inputs!$B$43-B209)/(IF(Inputs!$B$38="pvp",15,MAX(0.1,Skills!D11-IF(TRUE=TRUE,Inputs!$B$32,0)))*(1-IF(AND(ArtifactsInput!$M$27,Inputs!$B$4="Chapter Hunt"),CHOOSE(ArtifactsInput!$N$27+1,20,24,28,32,36,40),0)/100)))+1)),0)</f>
        <v/>
      </c>
      <c r="S178">
        <f>IFERROR(O178/N178,0)</f>
        <v/>
      </c>
      <c r="T178">
        <f>IF(C178,(H178*N178*IF(AND(Inputs!$B$38&lt;&gt;"pvp",Inputs!$B$43&gt;0),((Skills!G11*((R178-1)*IF(Skills!H11&gt;0,INT(Skills!I11/Skills!H11+0.000000001),1)+IF(Skills!H11&gt;0,INT(MIN(Skills!I11,MAX(0,MAX(0,Inputs!$B$43-B209)-((R178-1)*(IF(Inputs!$B$38="pvp",15,MAX(0.1,Skills!D11-IF(TRUE=TRUE,Inputs!$B$32,0)))*(1-IF(AND(ArtifactsInput!$M$27,Inputs!$B$4="Chapter Hunt"),CHOOSE(ArtifactsInput!$N$27+1,20,24,28,32,36,40),0)/100)))))/Skills!H11+0.000000001),1)))/Inputs!$B$43),G178*Q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
        <f>IF(C178,(H178*N178*IF(AND(Inputs!$B$38&lt;&gt;"pvp",Inputs!$B$43&gt;0),((Skills!G11*((R178-1)*IF(Skills!H11&gt;0,INT(Skills!I11/Skills!H11+0.000000001),1)+IF(Skills!H11&gt;0,INT(MIN(Skills!I11,MAX(0,MAX(0,Inputs!$B$43-B209)-((R178-1)*(IF(Inputs!$B$38="pvp",15,MAX(0.1,Skills!D11-IF(TRUE=TRUE,Inputs!$B$32,0)))*(1-IF(AND(ArtifactsInput!$M$27,Inputs!$B$4="Chapter Hunt"),CHOOSE(ArtifactsInput!$N$27+1,20,24,28,32,36,40),0)/100)))))/Skills!H11+0.000000001),1)))/Inputs!$B$43),G178*Q178))*IF(Inputs!$B$38="pvp",1,(1+(Inputs!$B$21+Skills!Q11+(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
      <c r="A179">
        <f>Skills!A12</f>
        <v/>
      </c>
      <c r="B179">
        <f>Skills!B12</f>
        <v/>
      </c>
      <c r="C179">
        <f>Inputs!$B$3&gt;=100</f>
        <v/>
      </c>
      <c r="D179">
        <f>IF(Skills!C12=1,60+Inputs!$B$25+Inputs!$B$29,IF(Skills!C12=2,90+Inputs!$B$26+Inputs!$B$29,IF(Skills!C12=3,120+Inputs!$B$27+Inputs!$B$29,MAX(0,(Inputs!$B$3-100)*3)+Inputs!$B$28+Inputs!$B$29)))</f>
        <v/>
      </c>
      <c r="E179">
        <f>INDEX(FactorTable!$B$2:$Y$301, MATCH(ROUND(MIN(300,MAX(1,D179)),0), FactorTable!$A$2:$A$301,0), Skills!M12+1)</f>
        <v/>
      </c>
      <c r="F179">
        <f>IF(Skills!N12=TRUE,(Skills!L12/10)*(E179/1000),Skills!L12/10)+Skills!O12</f>
        <v/>
      </c>
      <c r="G179" t="inlineStr"/>
      <c r="H179" t="inlineStr"/>
      <c r="I179" t="inlineStr">
        <is>
          <t>1</t>
        </is>
      </c>
      <c r="J179" t="inlineStr"/>
      <c r="K179" t="inlineStr"/>
      <c r="L179" t="inlineStr"/>
      <c r="M179" t="inlineStr"/>
      <c r="N179" t="inlineStr"/>
      <c r="O179" t="inlineStr"/>
      <c r="P179" t="inlineStr"/>
      <c r="Q179" t="inlineStr"/>
      <c r="R179" t="inlineStr"/>
      <c r="S179" t="inlineStr"/>
      <c r="T179" t="inlineStr"/>
      <c r="V179" t="inlineStr"/>
    </row>
    <row r="180">
      <c r="A180">
        <f>Skills!A13</f>
        <v/>
      </c>
      <c r="B180">
        <f>Skills!B13</f>
        <v/>
      </c>
      <c r="C180">
        <f>Inputs!$B$3&gt;=60</f>
        <v/>
      </c>
      <c r="D180">
        <f>IF(Skills!C13=1,60+Inputs!$B$25+Inputs!$B$29,IF(Skills!C13=2,90+Inputs!$B$26+Inputs!$B$29,IF(Skills!C13=3,120+Inputs!$B$27+Inputs!$B$29,MAX(0,(Inputs!$B$3-100)*3)+Inputs!$B$28+Inputs!$B$29)))</f>
        <v/>
      </c>
      <c r="E180">
        <f>INDEX(FactorTable!$B$2:$Y$301, MATCH(ROUND(MIN(300,MAX(1,D180)),0), FactorTable!$A$2:$A$301,0), Skills!M13+1)</f>
        <v/>
      </c>
      <c r="F180">
        <f>IF(Skills!N13=TRUE,(Skills!L13/10)*(E180/1000),Skills!L13/10)+Skills!O13</f>
        <v/>
      </c>
      <c r="G180">
        <f>Skills!G13*IF(Skills!H13&gt;0,INT(IF(Inputs!$B$38="pvp",MIN(Skills!I13,15),Skills!I13)/Skills!H13+0.000000001),1)</f>
        <v/>
      </c>
      <c r="H180">
        <f>1-(1-Skills!J13/100)^Skills!K13</f>
        <v/>
      </c>
      <c r="I180" t="inlineStr">
        <is>
          <t>1</t>
        </is>
      </c>
      <c r="J180">
        <f>((Inputs!$B$6*(1+Inputs!$B$7/100))+(((Inputs!$B$12*(1+Inputs!$B$13/100))-(Inputs!$B$12*(1+Inputs!$B$13/100)))+0.25*((Inputs!$B$14+1)-Inputs!$B$14))*(1+Inputs!$B$7/100))*(F180/100)</f>
        <v/>
      </c>
      <c r="K180">
        <f>J180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TRUE,F181,0)/100)*(1+(IF(Skills!A13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f>
        <v/>
      </c>
      <c r="L180">
        <f>K180*(MIN(Inputs!$B$22+((C193=TRUE)*(F193-Calc!F26)),(Inputs!$B$23+((C198=TRUE)*(F198-Calc!F31))+(IF(ArtifactsInput!$M$15,CHOOSE(ArtifactsInput!$N$15+1,25,30,35,40,45,50)/100*(Inputs!$B$11-Inputs!$B$11),0))))/100+(Inputs!$B$23+((C198=TRUE)*(F198-Calc!F31))+(IF(ArtifactsInput!$M$15,CHOOSE(ArtifactsInput!$N$15+1,25,30,35,40,45,50)/100*(Inputs!$B$11-Inputs!$B$11),0)))/100)/2</f>
        <v/>
      </c>
      <c r="M180">
        <f>L180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
        <f>L180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
        <f>(1-Summary!$B$11)*T180+Summary!$B$11*V180</f>
        <v/>
      </c>
      <c r="P180">
        <f>IF(B212=0,0,O180/B212)</f>
        <v/>
      </c>
      <c r="Q180">
        <f>IFERROR(1/(IF(Inputs!$B$38="pvp",15,MAX(0.1,IF(Inputs!$B$3&gt;=122,3,5)+1/(((20+30*(B204-1)*100/150)/100)*B204)-IF(FALSE=TRUE,Inputs!$B$32,0)))*(1-IF(AND(ArtifactsInput!$M$27,Inputs!$B$4="Chapter Hunt"),CHOOSE(ArtifactsInput!$N$27+1,20,24,28,32,36,40),0)/100)),0)</f>
        <v/>
      </c>
      <c r="R180">
        <f>IF(AND(Inputs!$B$38&lt;&gt;"pvp",Inputs!$B$43&gt;0),IF(MAX(0,Inputs!$B$43-B209)&lt;=0,0,(INT(MAX(0,Inputs!$B$43-B209)/(IF(Inputs!$B$38="pvp",15,MAX(0.1,IF(Inputs!$B$3&gt;=122,3,5)+1/(((20+30*(B204-1)*100/150)/100)*B204)-IF(FALSE=TRUE,Inputs!$B$32,0)))*(1-IF(AND(ArtifactsInput!$M$27,Inputs!$B$4="Chapter Hunt"),CHOOSE(ArtifactsInput!$N$27+1,20,24,28,32,36,40),0)/100)))+1)),0)</f>
        <v/>
      </c>
      <c r="S180">
        <f>IFERROR(O180/N180,0)</f>
        <v/>
      </c>
      <c r="T180">
        <f>IF(C180,(H180*N180*IF(AND(Inputs!$B$38&lt;&gt;"pvp",Inputs!$B$43&gt;0),((Skills!G13*((R180-1)*IF(Skills!H13&gt;0,INT(Skills!I13/Skills!H13+0.000000001),1)+IF(Skills!H13&gt;0,INT(MIN(Skills!I13,MAX(0,MAX(0,Inputs!$B$43-B209)-((R180-1)*(IF(Inputs!$B$38="pvp",15,MAX(0.1,IF(Inputs!$B$3&gt;=122,3,5)+1/(((20+30*(B204-1)*100/150)/100)*B204)-IF(FALSE=TRUE,Inputs!$B$32,0)))*(1-IF(AND(ArtifactsInput!$M$27,Inputs!$B$4="Chapter Hunt"),CHOOSE(ArtifactsInput!$N$27+1,20,24,28,32,36,40),0)/100)))))/Skills!H13+0.000000001),1)))/Inputs!$B$43),G180*Q180)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
        <f>IF(C180,(H180*N180*IF(AND(Inputs!$B$38&lt;&gt;"pvp",Inputs!$B$43&gt;0),((Skills!G13*((R180-1)*IF(Skills!H13&gt;0,INT(Skills!I13/Skills!H13+0.000000001),1)+IF(Skills!H13&gt;0,INT(MIN(Skills!I13,MAX(0,MAX(0,Inputs!$B$43-B209)-((R180-1)*(IF(Inputs!$B$38="pvp",15,MAX(0.1,IF(Inputs!$B$3&gt;=122,3,5)+1/(((20+30*(B204-1)*100/150)/100)*B204)-IF(FALSE=TRUE,Inputs!$B$32,0)))*(1-IF(AND(ArtifactsInput!$M$27,Inputs!$B$4="Chapter Hunt"),CHOOSE(ArtifactsInput!$N$27+1,20,24,28,32,36,40),0)/100)))))/Skills!H13+0.000000001),1)))/Inputs!$B$43),G180*Q180))*IF(Inputs!$B$38="pvp",1,(1+(Inputs!$B$21+Skills!Q13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
      <c r="A181">
        <f>Skills!A14</f>
        <v/>
      </c>
      <c r="B181">
        <f>Skills!B14</f>
        <v/>
      </c>
      <c r="C181">
        <f>Inputs!$B$3&gt;=110</f>
        <v/>
      </c>
      <c r="D181">
        <f>IF(Skills!C14=1,60+Inputs!$B$25+Inputs!$B$29,IF(Skills!C14=2,90+Inputs!$B$26+Inputs!$B$29,IF(Skills!C14=3,120+Inputs!$B$27+Inputs!$B$29,MAX(0,(Inputs!$B$3-100)*3)+Inputs!$B$28+Inputs!$B$29)))</f>
        <v/>
      </c>
      <c r="E181">
        <f>INDEX(FactorTable!$B$2:$Y$301, MATCH(ROUND(MIN(300,MAX(1,D181)),0), FactorTable!$A$2:$A$301,0), Skills!M14+1)</f>
        <v/>
      </c>
      <c r="F181">
        <f>IF(Skills!N14=TRUE,(Skills!L14/10)*(E181/1000),Skills!L14/10)+Skills!O14</f>
        <v/>
      </c>
      <c r="G181" t="inlineStr"/>
      <c r="H181" t="inlineStr"/>
      <c r="I181" t="inlineStr">
        <is>
          <t>1</t>
        </is>
      </c>
      <c r="J181" t="inlineStr"/>
      <c r="K181" t="inlineStr"/>
      <c r="L181" t="inlineStr"/>
      <c r="M181" t="inlineStr"/>
      <c r="N181" t="inlineStr"/>
      <c r="O181" t="inlineStr"/>
      <c r="P181" t="inlineStr"/>
      <c r="Q181" t="inlineStr"/>
      <c r="R181" t="inlineStr"/>
      <c r="S181" t="inlineStr"/>
      <c r="T181" t="inlineStr"/>
      <c r="V181" t="inlineStr"/>
    </row>
    <row r="182">
      <c r="A182">
        <f>Skills!A15</f>
        <v/>
      </c>
      <c r="B182">
        <f>Skills!B15</f>
        <v/>
      </c>
      <c r="C182">
        <f>Inputs!$B$3&gt;=74</f>
        <v/>
      </c>
      <c r="D182">
        <f>IF(Skills!C15=1,60+Inputs!$B$25+Inputs!$B$29,IF(Skills!C15=2,90+Inputs!$B$26+Inputs!$B$29,IF(Skills!C15=3,120+Inputs!$B$27+Inputs!$B$29,MAX(0,(Inputs!$B$3-100)*3)+Inputs!$B$28+Inputs!$B$29)))</f>
        <v/>
      </c>
      <c r="E182">
        <f>INDEX(FactorTable!$B$2:$Y$301, MATCH(ROUND(MIN(300,MAX(1,D182)),0), FactorTable!$A$2:$A$301,0), Skills!M15+1)</f>
        <v/>
      </c>
      <c r="F182">
        <f>IF(Skills!N15=TRUE,(Skills!L15/10)*(E182/1000),Skills!L15/10)+Skills!O15</f>
        <v/>
      </c>
      <c r="G182">
        <f>Skills!G15*IF(Skills!H15&gt;0,INT(IF(Inputs!$B$38="pvp",MIN(Skills!I15,15),Skills!I15)/Skills!H15+0.000000001),1)</f>
        <v/>
      </c>
      <c r="H182">
        <f>1-(1-Skills!J15/100)^Skills!K15</f>
        <v/>
      </c>
      <c r="I182" t="inlineStr">
        <is>
          <t>1</t>
        </is>
      </c>
      <c r="J182" t="inlineStr"/>
      <c r="K182" t="inlineStr"/>
      <c r="L182" t="inlineStr"/>
      <c r="M182" t="inlineStr"/>
      <c r="N182" t="inlineStr"/>
      <c r="O182">
        <f>(1-Summary!$B$11)*T182+Summary!$B$11*V182</f>
        <v/>
      </c>
      <c r="P182">
        <f>IF(B212=0,0,O182/B212)</f>
        <v/>
      </c>
      <c r="Q182" t="n">
        <v>0</v>
      </c>
      <c r="R182" t="n">
        <v>0</v>
      </c>
      <c r="S182">
        <f>IFERROR(O182/N182,0)</f>
        <v/>
      </c>
      <c r="T182" t="n">
        <v>0</v>
      </c>
      <c r="V182" t="n">
        <v>0</v>
      </c>
    </row>
    <row r="183">
      <c r="A183">
        <f>Skills!A16</f>
        <v/>
      </c>
      <c r="B183">
        <f>Skills!B16</f>
        <v/>
      </c>
      <c r="C183">
        <f>Inputs!$B$3&gt;=74</f>
        <v/>
      </c>
      <c r="D183">
        <f>IF(Skills!C16=1,60+Inputs!$B$25+Inputs!$B$29,IF(Skills!C16=2,90+Inputs!$B$26+Inputs!$B$29,IF(Skills!C16=3,120+Inputs!$B$27+Inputs!$B$29,MAX(0,(Inputs!$B$3-100)*3)+Inputs!$B$28+Inputs!$B$29)))</f>
        <v/>
      </c>
      <c r="E183">
        <f>INDEX(FactorTable!$B$2:$Y$301, MATCH(ROUND(MIN(300,MAX(1,D183)),0), FactorTable!$A$2:$A$301,0), Skills!M16+1)</f>
        <v/>
      </c>
      <c r="F183">
        <f>IF(Skills!N16=TRUE,(Skills!L16/10)*(E183/1000),Skills!L16/10)+Skills!O16</f>
        <v/>
      </c>
      <c r="G183">
        <f>Skills!G16*IF(Skills!H16&gt;0,INT(IF(Inputs!$B$38="pvp",MIN(Skills!I16,15),Skills!I16)/Skills!H16+0.000000001),1)</f>
        <v/>
      </c>
      <c r="H183">
        <f>1-(1-Skills!J16/100)^Skills!K16</f>
        <v/>
      </c>
      <c r="I183" t="inlineStr">
        <is>
          <t>1</t>
        </is>
      </c>
      <c r="J183" t="inlineStr"/>
      <c r="K183" t="inlineStr"/>
      <c r="L183" t="inlineStr"/>
      <c r="M183" t="inlineStr"/>
      <c r="N183" t="inlineStr"/>
      <c r="O183">
        <f>(1-Summary!$B$11)*T183+Summary!$B$11*V183</f>
        <v/>
      </c>
      <c r="P183">
        <f>IF(B212=0,0,O183/B212)</f>
        <v/>
      </c>
      <c r="Q183" t="n">
        <v>0</v>
      </c>
      <c r="R183" t="n">
        <v>0</v>
      </c>
      <c r="S183">
        <f>IFERROR(O183/N183,0)</f>
        <v/>
      </c>
      <c r="T183" t="n">
        <v>0</v>
      </c>
      <c r="V183" t="n">
        <v>0</v>
      </c>
    </row>
    <row r="184">
      <c r="A184">
        <f>Skills!A17</f>
        <v/>
      </c>
      <c r="B184">
        <f>Skills!B17</f>
        <v/>
      </c>
      <c r="C184">
        <f>Inputs!$B$3&gt;=117</f>
        <v/>
      </c>
      <c r="D184">
        <f>IF(Skills!C17=1,60+Inputs!$B$25+Inputs!$B$29,IF(Skills!C17=2,90+Inputs!$B$26+Inputs!$B$29,IF(Skills!C17=3,120+Inputs!$B$27+Inputs!$B$29,MAX(0,(Inputs!$B$3-100)*3)+Inputs!$B$28+Inputs!$B$29)))</f>
        <v/>
      </c>
      <c r="E184">
        <f>INDEX(FactorTable!$B$2:$Y$301, MATCH(ROUND(MIN(300,MAX(1,D184)),0), FactorTable!$A$2:$A$301,0), Skills!M17+1)</f>
        <v/>
      </c>
      <c r="F184">
        <f>IF(Skills!N17=TRUE,(Skills!L17/10)*(E184/1000),Skills!L17/10)+Skills!O17</f>
        <v/>
      </c>
      <c r="G184">
        <f>Skills!G17*IF(Skills!H17&gt;0,INT(IF(Inputs!$B$38="pvp",MIN(Skills!I17,15),Skills!I17)/Skills!H17+0.000000001),1)</f>
        <v/>
      </c>
      <c r="H184">
        <f>1-(1-Skills!J17/100)^Skills!K17</f>
        <v/>
      </c>
      <c r="I184" t="inlineStr">
        <is>
          <t>1</t>
        </is>
      </c>
      <c r="J184" t="inlineStr"/>
      <c r="K184" t="inlineStr"/>
      <c r="L184" t="inlineStr"/>
      <c r="M184" t="inlineStr"/>
      <c r="N184" t="inlineStr"/>
      <c r="O184">
        <f>(1-Summary!$B$11)*T184+Summary!$B$11*V184</f>
        <v/>
      </c>
      <c r="P184">
        <f>IF(B212=0,0,O184/B212)</f>
        <v/>
      </c>
      <c r="Q184">
        <f>IFERROR(1/(IF(Inputs!$B$38="pvp",15,MAX(0.1,Skills!D17-IF(TRUE=TRUE,Inputs!$B$32,0)))*(1-IF(AND(ArtifactsInput!$M$27,Inputs!$B$4="Chapter Hunt"),CHOOSE(ArtifactsInput!$N$27+1,20,24,28,32,36,40),0)/100)),0)</f>
        <v/>
      </c>
      <c r="R184">
        <f>IF(AND(Inputs!$B$38&lt;&gt;"pvp",Inputs!$B$43&gt;0),IF(Inputs!$B$43&lt;=0,0,(INT(Inputs!$B$43/(IF(Inputs!$B$38="pvp",15,MAX(0.1,Skills!D17-IF(TRUE=TRUE,Inputs!$B$32,0)))*(1-IF(AND(ArtifactsInput!$M$27,Inputs!$B$4="Chapter Hunt"),CHOOSE(ArtifactsInput!$N$27+1,20,24,28,32,36,40),0)/100)))+1)),0)</f>
        <v/>
      </c>
      <c r="S184">
        <f>IFERROR(O184/N184,0)</f>
        <v/>
      </c>
      <c r="T184" t="n">
        <v>0</v>
      </c>
      <c r="V184" t="n">
        <v>0</v>
      </c>
    </row>
    <row r="185">
      <c r="A185">
        <f>Skills!A18</f>
        <v/>
      </c>
      <c r="B185">
        <f>Skills!B18</f>
        <v/>
      </c>
      <c r="C185">
        <f>Inputs!$B$3&gt;=115</f>
        <v/>
      </c>
      <c r="D185">
        <f>IF(Skills!C18=1,60+Inputs!$B$25+Inputs!$B$29,IF(Skills!C18=2,90+Inputs!$B$26+Inputs!$B$29,IF(Skills!C18=3,120+Inputs!$B$27+Inputs!$B$29,MAX(0,(Inputs!$B$3-100)*3)+Inputs!$B$28+Inputs!$B$29)))</f>
        <v/>
      </c>
      <c r="E185">
        <f>INDEX(FactorTable!$B$2:$Y$301, MATCH(ROUND(MIN(300,MAX(1,D185)),0), FactorTable!$A$2:$A$301,0), Skills!M18+1)</f>
        <v/>
      </c>
      <c r="F185">
        <f>IF(Skills!N18=TRUE,(Skills!L18/10)*(E185/1000),Skills!L18/10)+Skills!O18</f>
        <v/>
      </c>
      <c r="G185">
        <f>Skills!G18*IF(Skills!H18&gt;0,INT(IF(Inputs!$B$38="pvp",MIN(Skills!I18,15),Skills!I18)/Skills!H18+0.000000001),1)</f>
        <v/>
      </c>
      <c r="H185">
        <f>1-(1-Skills!J18/100)^Skills!K18</f>
        <v/>
      </c>
      <c r="I185" t="inlineStr">
        <is>
          <t>1</t>
        </is>
      </c>
      <c r="J185" t="inlineStr"/>
      <c r="K185" t="inlineStr"/>
      <c r="L185" t="inlineStr"/>
      <c r="M185" t="inlineStr"/>
      <c r="N185" t="inlineStr"/>
      <c r="O185">
        <f>(1-Summary!$B$11)*T185+Summary!$B$11*V185</f>
        <v/>
      </c>
      <c r="P185">
        <f>IF(B212=0,0,O185/B212)</f>
        <v/>
      </c>
      <c r="Q185">
        <f>IFERROR(1/(IF(Inputs!$B$38="pvp",15,MAX(0.1,Skills!D18-IF(TRUE=TRUE,Inputs!$B$32,0)))*(1-IF(AND(ArtifactsInput!$M$27,Inputs!$B$4="Chapter Hunt"),CHOOSE(ArtifactsInput!$N$27+1,20,24,28,32,36,40),0)/100)),0)</f>
        <v/>
      </c>
      <c r="R185">
        <f>IF(AND(Inputs!$B$38&lt;&gt;"pvp",Inputs!$B$43&gt;0),IF(Inputs!$B$43&lt;=0,0,(INT(Inputs!$B$43/(IF(Inputs!$B$38="pvp",15,MAX(0.1,Skills!D18-IF(TRUE=TRUE,Inputs!$B$32,0)))*(1-IF(AND(ArtifactsInput!$M$27,Inputs!$B$4="Chapter Hunt"),CHOOSE(ArtifactsInput!$N$27+1,20,24,28,32,36,40),0)/100)))+1)),0)</f>
        <v/>
      </c>
      <c r="S185">
        <f>IFERROR(O185/N185,0)</f>
        <v/>
      </c>
      <c r="T185" t="n">
        <v>0</v>
      </c>
      <c r="V185" t="n">
        <v>0</v>
      </c>
    </row>
    <row r="186">
      <c r="A186">
        <f>Skills!A19</f>
        <v/>
      </c>
      <c r="B186">
        <f>Skills!B19</f>
        <v/>
      </c>
      <c r="C186">
        <f>Inputs!$B$3&gt;=66</f>
        <v/>
      </c>
      <c r="D186">
        <f>IF(Skills!C19=1,60+Inputs!$B$25+Inputs!$B$29,IF(Skills!C19=2,90+Inputs!$B$26+Inputs!$B$29,IF(Skills!C19=3,120+Inputs!$B$27+Inputs!$B$29,MAX(0,(Inputs!$B$3-100)*3)+Inputs!$B$28+Inputs!$B$29)))</f>
        <v/>
      </c>
      <c r="E186">
        <f>INDEX(FactorTable!$B$2:$Y$301, MATCH(ROUND(MIN(300,MAX(1,D186)),0), FactorTable!$A$2:$A$301,0), Skills!M19+1)</f>
        <v/>
      </c>
      <c r="F186">
        <f>IF(Skills!N19=TRUE,(Skills!L19/10)*(E186/1000),Skills!L19/10)+Skills!O19</f>
        <v/>
      </c>
      <c r="G186">
        <f>Skills!G19*IF(Skills!H19&gt;0,INT(IF(Inputs!$B$38="pvp",MIN(Skills!I19,15),Skills!I19)/Skills!H19+0.000000001),1)</f>
        <v/>
      </c>
      <c r="H186">
        <f>1-(1-Skills!J19/100)^Skills!K19</f>
        <v/>
      </c>
      <c r="I186" t="inlineStr">
        <is>
          <t>1</t>
        </is>
      </c>
      <c r="J186" t="inlineStr"/>
      <c r="K186" t="inlineStr"/>
      <c r="L186" t="inlineStr"/>
      <c r="M186" t="inlineStr"/>
      <c r="N186" t="inlineStr"/>
      <c r="O186">
        <f>(1-Summary!$B$11)*T186+Summary!$B$11*V186</f>
        <v/>
      </c>
      <c r="P186">
        <f>IF(B212=0,0,O186/B212)</f>
        <v/>
      </c>
      <c r="Q186" t="n">
        <v>0</v>
      </c>
      <c r="R186" t="n">
        <v>0</v>
      </c>
      <c r="S186">
        <f>IFERROR(O186/N186,0)</f>
        <v/>
      </c>
      <c r="T186" t="n">
        <v>0</v>
      </c>
      <c r="V186" t="n">
        <v>0</v>
      </c>
    </row>
    <row r="187">
      <c r="A187">
        <f>Skills!A20</f>
        <v/>
      </c>
      <c r="B187">
        <f>Skills!B20</f>
        <v/>
      </c>
      <c r="C187">
        <f>Inputs!$B$3&gt;=72</f>
        <v/>
      </c>
      <c r="D187">
        <f>IF(Skills!C20=1,60+Inputs!$B$25+Inputs!$B$29,IF(Skills!C20=2,90+Inputs!$B$26+Inputs!$B$29,IF(Skills!C20=3,120+Inputs!$B$27+Inputs!$B$29,MAX(0,(Inputs!$B$3-100)*3)+Inputs!$B$28+Inputs!$B$29)))</f>
        <v/>
      </c>
      <c r="E187">
        <f>INDEX(FactorTable!$B$2:$Y$301, MATCH(ROUND(MIN(300,MAX(1,D187)),0), FactorTable!$A$2:$A$301,0), Skills!M20+1)</f>
        <v/>
      </c>
      <c r="F187">
        <f>IF(Skills!N20=TRUE,(Skills!L20/10)*(E187/1000),Skills!L20/10)+Skills!O20</f>
        <v/>
      </c>
      <c r="G187">
        <f>Skills!G20*IF(Skills!H20&gt;0,INT(IF(Inputs!$B$38="pvp",MIN(Skills!I20,15),Skills!I20)/Skills!H20+0.000000001),1)</f>
        <v/>
      </c>
      <c r="H187">
        <f>1-(1-Skills!J20/100)^Skills!K20</f>
        <v/>
      </c>
      <c r="I187" t="inlineStr">
        <is>
          <t>1</t>
        </is>
      </c>
      <c r="J187" t="inlineStr"/>
      <c r="K187" t="inlineStr"/>
      <c r="L187" t="inlineStr"/>
      <c r="M187" t="inlineStr"/>
      <c r="N187" t="inlineStr"/>
      <c r="O187">
        <f>(1-Summary!$B$11)*T187+Summary!$B$11*V187</f>
        <v/>
      </c>
      <c r="P187">
        <f>IF(B212=0,0,O187/B212)</f>
        <v/>
      </c>
      <c r="Q187" t="n">
        <v>0</v>
      </c>
      <c r="R187" t="n">
        <v>0</v>
      </c>
      <c r="S187">
        <f>IFERROR(O187/N187,0)</f>
        <v/>
      </c>
      <c r="T187" t="n">
        <v>0</v>
      </c>
      <c r="V187" t="n">
        <v>0</v>
      </c>
    </row>
    <row r="188">
      <c r="A188">
        <f>Skills!A21</f>
        <v/>
      </c>
      <c r="B188">
        <f>Skills!B21</f>
        <v/>
      </c>
      <c r="C188">
        <f>TRUE</f>
        <v/>
      </c>
      <c r="D188">
        <f>IF(Skills!C21=1,60+Inputs!$B$25+Inputs!$B$29,IF(Skills!C21=2,90+Inputs!$B$26+Inputs!$B$29,IF(Skills!C21=3,120+Inputs!$B$27+Inputs!$B$29,MAX(0,(Inputs!$B$3-100)*3)+Inputs!$B$28+Inputs!$B$29)))</f>
        <v/>
      </c>
      <c r="E188">
        <f>INDEX(FactorTable!$B$2:$Y$301, MATCH(ROUND(MIN(300,MAX(1,D188)),0), FactorTable!$A$2:$A$301,0), Skills!M21+1)</f>
        <v/>
      </c>
      <c r="F188">
        <f>IF(Skills!N21=TRUE,(Skills!L21/10)*(E188/1000),Skills!L21/10)+Skills!O21</f>
        <v/>
      </c>
      <c r="G188">
        <f>Skills!G21*IF(Skills!H21&gt;0,INT(IF(Inputs!$B$38="pvp",MIN(Skills!I21,15),Skills!I21)/Skills!H21+0.000000001),1)</f>
        <v/>
      </c>
      <c r="H188">
        <f>1-(1-Skills!J21/100)^Skills!K21</f>
        <v/>
      </c>
      <c r="I188" t="inlineStr">
        <is>
          <t>1</t>
        </is>
      </c>
      <c r="J188" t="inlineStr"/>
      <c r="K188" t="inlineStr"/>
      <c r="L188" t="inlineStr"/>
      <c r="M188" t="inlineStr"/>
      <c r="N188" t="inlineStr"/>
      <c r="O188">
        <f>(1-Summary!$B$11)*T188+Summary!$B$11*V188</f>
        <v/>
      </c>
      <c r="P188">
        <f>IF(B212=0,0,O188/B212)</f>
        <v/>
      </c>
      <c r="Q188">
        <f>IFERROR(1/(IF(Inputs!$B$38="pvp",15,MAX(0.1,Skills!D21-IF(TRUE=TRUE,Inputs!$B$32,0)))*(1-IF(AND(ArtifactsInput!$M$27,Inputs!$B$4="Chapter Hunt"),CHOOSE(ArtifactsInput!$N$27+1,20,24,28,32,36,40),0)/100)),0)</f>
        <v/>
      </c>
      <c r="R188">
        <f>IF(AND(Inputs!$B$38&lt;&gt;"pvp",Inputs!$B$43&gt;0),IF(Inputs!$B$43&lt;=0,0,(INT(Inputs!$B$43/(IF(Inputs!$B$38="pvp",15,MAX(0.1,Skills!D21-IF(TRUE=TRUE,Inputs!$B$32,0)))*(1-IF(AND(ArtifactsInput!$M$27,Inputs!$B$4="Chapter Hunt"),CHOOSE(ArtifactsInput!$N$27+1,20,24,28,32,36,40),0)/100)))+1)),0)</f>
        <v/>
      </c>
      <c r="S188">
        <f>IFERROR(O188/N188,0)</f>
        <v/>
      </c>
      <c r="T188" t="n">
        <v>0</v>
      </c>
      <c r="V188" t="n">
        <v>0</v>
      </c>
    </row>
    <row r="189">
      <c r="A189">
        <f>Skills!A22</f>
        <v/>
      </c>
      <c r="B189">
        <f>Skills!B22</f>
        <v/>
      </c>
      <c r="C189">
        <f>Inputs!$B$3&gt;=15</f>
        <v/>
      </c>
      <c r="D189">
        <f>IF(Skills!C22=1,60+Inputs!$B$25+Inputs!$B$29,IF(Skills!C22=2,90+Inputs!$B$26+Inputs!$B$29,IF(Skills!C22=3,120+Inputs!$B$27+Inputs!$B$29,MAX(0,(Inputs!$B$3-100)*3)+Inputs!$B$28+Inputs!$B$29)))</f>
        <v/>
      </c>
      <c r="E189">
        <f>INDEX(FactorTable!$B$2:$Y$301, MATCH(ROUND(MIN(300,MAX(1,D189)),0), FactorTable!$A$2:$A$301,0), Skills!M22+1)</f>
        <v/>
      </c>
      <c r="F189">
        <f>IF(Skills!N22=TRUE,(Skills!L22/10)*(E189/1000),Skills!L22/10)+Skills!O22</f>
        <v/>
      </c>
      <c r="G189">
        <f>Skills!G22*IF(Skills!H22&gt;0,INT(IF(Inputs!$B$38="pvp",MIN(Skills!I22,15),Skills!I22)/Skills!H22+0.000000001),1)</f>
        <v/>
      </c>
      <c r="H189">
        <f>1-(1-Skills!J22/100)^Skills!K22</f>
        <v/>
      </c>
      <c r="I189" t="inlineStr">
        <is>
          <t>1</t>
        </is>
      </c>
      <c r="J189" t="inlineStr"/>
      <c r="K189" t="inlineStr"/>
      <c r="L189" t="inlineStr"/>
      <c r="M189" t="inlineStr"/>
      <c r="N189" t="inlineStr"/>
      <c r="O189">
        <f>(1-Summary!$B$11)*T189+Summary!$B$11*V189</f>
        <v/>
      </c>
      <c r="P189">
        <f>IF(B212=0,0,O189/B212)</f>
        <v/>
      </c>
      <c r="Q189" t="n">
        <v>0</v>
      </c>
      <c r="R189" t="n">
        <v>0</v>
      </c>
      <c r="S189">
        <f>IFERROR(O189/N189,0)</f>
        <v/>
      </c>
      <c r="T189" t="n">
        <v>0</v>
      </c>
      <c r="V189" t="n">
        <v>0</v>
      </c>
    </row>
    <row r="190">
      <c r="A190">
        <f>Skills!A23</f>
        <v/>
      </c>
      <c r="B190">
        <f>Skills!B23</f>
        <v/>
      </c>
      <c r="C190">
        <f>Inputs!$B$3&gt;=10</f>
        <v/>
      </c>
      <c r="D190">
        <f>IF(Skills!C23=1,60+Inputs!$B$25+Inputs!$B$29,IF(Skills!C23=2,90+Inputs!$B$26+Inputs!$B$29,IF(Skills!C23=3,120+Inputs!$B$27+Inputs!$B$29,MAX(0,(Inputs!$B$3-100)*3)+Inputs!$B$28+Inputs!$B$29)))</f>
        <v/>
      </c>
      <c r="E190">
        <f>INDEX(FactorTable!$B$2:$Y$301, MATCH(ROUND(MIN(300,MAX(1,D190)),0), FactorTable!$A$2:$A$301,0), Skills!M23+1)</f>
        <v/>
      </c>
      <c r="F190">
        <f>IF(Skills!N23=TRUE,(Skills!L23/10)*(E190/1000),Skills!L23/10)+Skills!O23</f>
        <v/>
      </c>
      <c r="G190">
        <f>Skills!G23*IF(Skills!H23&gt;0,INT(IF(Inputs!$B$38="pvp",MIN(Skills!I23,15),Skills!I23)/Skills!H23+0.000000001),1)</f>
        <v/>
      </c>
      <c r="H190">
        <f>1-(1-Skills!J23/100)^Skills!K23</f>
        <v/>
      </c>
      <c r="I190" t="inlineStr">
        <is>
          <t>1</t>
        </is>
      </c>
      <c r="J190" t="inlineStr"/>
      <c r="K190" t="inlineStr"/>
      <c r="L190" t="inlineStr"/>
      <c r="M190" t="inlineStr"/>
      <c r="N190" t="inlineStr"/>
      <c r="O190">
        <f>(1-Summary!$B$11)*T190+Summary!$B$11*V190</f>
        <v/>
      </c>
      <c r="P190">
        <f>IF(B212=0,0,O190/B212)</f>
        <v/>
      </c>
      <c r="Q190" t="n">
        <v>0</v>
      </c>
      <c r="R190" t="n">
        <v>0</v>
      </c>
      <c r="S190">
        <f>IFERROR(O190/N190,0)</f>
        <v/>
      </c>
      <c r="T190" t="n">
        <v>0</v>
      </c>
      <c r="V190" t="n">
        <v>0</v>
      </c>
    </row>
    <row r="191">
      <c r="A191">
        <f>Skills!A24</f>
        <v/>
      </c>
      <c r="B191">
        <f>Skills!B24</f>
        <v/>
      </c>
      <c r="C191">
        <f>Inputs!$B$3&gt;=33</f>
        <v/>
      </c>
      <c r="D191">
        <f>IF(Skills!C24=1,60+Inputs!$B$25+Inputs!$B$29,IF(Skills!C24=2,90+Inputs!$B$26+Inputs!$B$29,IF(Skills!C24=3,120+Inputs!$B$27+Inputs!$B$29,MAX(0,(Inputs!$B$3-100)*3)+Inputs!$B$28+Inputs!$B$29)))</f>
        <v/>
      </c>
      <c r="E191">
        <f>INDEX(FactorTable!$B$2:$Y$301, MATCH(ROUND(MIN(300,MAX(1,D191)),0), FactorTable!$A$2:$A$301,0), Skills!M24+1)</f>
        <v/>
      </c>
      <c r="F191">
        <f>IF(Skills!N24=TRUE,(Skills!L24/10)*(E191/1000),Skills!L24/10)+Skills!O24</f>
        <v/>
      </c>
      <c r="G191">
        <f>Skills!G24*IF(Skills!H24&gt;0,INT(IF(Inputs!$B$38="pvp",MIN(Skills!I24,15),Skills!I24)/Skills!H24+0.000000001),1)</f>
        <v/>
      </c>
      <c r="H191">
        <f>1-(1-Skills!J24/100)^Skills!K24</f>
        <v/>
      </c>
      <c r="I191" t="inlineStr">
        <is>
          <t>1</t>
        </is>
      </c>
      <c r="J191" t="inlineStr"/>
      <c r="K191" t="inlineStr"/>
      <c r="L191" t="inlineStr"/>
      <c r="M191" t="inlineStr"/>
      <c r="N191" t="inlineStr"/>
      <c r="O191">
        <f>(1-Summary!$B$11)*T191+Summary!$B$11*V191</f>
        <v/>
      </c>
      <c r="P191">
        <f>IF(B212=0,0,O191/B212)</f>
        <v/>
      </c>
      <c r="Q191" t="n">
        <v>0</v>
      </c>
      <c r="R191" t="n">
        <v>0</v>
      </c>
      <c r="S191">
        <f>IFERROR(O191/N191,0)</f>
        <v/>
      </c>
      <c r="T191" t="n">
        <v>0</v>
      </c>
      <c r="V191" t="n">
        <v>0</v>
      </c>
    </row>
    <row r="192">
      <c r="A192">
        <f>Skills!A25</f>
        <v/>
      </c>
      <c r="B192">
        <f>Skills!B25</f>
        <v/>
      </c>
      <c r="C192">
        <f>Inputs!$B$3&gt;=38</f>
        <v/>
      </c>
      <c r="D192">
        <f>IF(Skills!C25=1,60+Inputs!$B$25+Inputs!$B$29,IF(Skills!C25=2,90+Inputs!$B$26+Inputs!$B$29,IF(Skills!C25=3,120+Inputs!$B$27+Inputs!$B$29,MAX(0,(Inputs!$B$3-100)*3)+Inputs!$B$28+Inputs!$B$29)))</f>
        <v/>
      </c>
      <c r="E192">
        <f>INDEX(FactorTable!$B$2:$Y$301, MATCH(ROUND(MIN(300,MAX(1,D192)),0), FactorTable!$A$2:$A$301,0), Skills!M25+1)</f>
        <v/>
      </c>
      <c r="F192">
        <f>IF(Skills!N25=TRUE,(Skills!L25/10)*(E192/1000),Skills!L25/10)+Skills!O25</f>
        <v/>
      </c>
      <c r="G192">
        <f>Skills!G25*IF(Skills!H25&gt;0,INT(IF(Inputs!$B$38="pvp",MIN(Skills!I25,15),Skills!I25)/Skills!H25+0.000000001),1)</f>
        <v/>
      </c>
      <c r="H192">
        <f>1-(1-Skills!J25/100)^Skills!K25</f>
        <v/>
      </c>
      <c r="I192" t="inlineStr">
        <is>
          <t>1</t>
        </is>
      </c>
      <c r="J192" t="inlineStr"/>
      <c r="K192" t="inlineStr"/>
      <c r="L192" t="inlineStr"/>
      <c r="M192" t="inlineStr"/>
      <c r="N192" t="inlineStr"/>
      <c r="O192">
        <f>(1-Summary!$B$11)*T192+Summary!$B$11*V192</f>
        <v/>
      </c>
      <c r="P192">
        <f>IF(B212=0,0,O192/B212)</f>
        <v/>
      </c>
      <c r="Q192" t="n">
        <v>0</v>
      </c>
      <c r="R192" t="n">
        <v>0</v>
      </c>
      <c r="S192">
        <f>IFERROR(O192/N192,0)</f>
        <v/>
      </c>
      <c r="T192" t="n">
        <v>0</v>
      </c>
      <c r="V192" t="n">
        <v>0</v>
      </c>
    </row>
    <row r="193">
      <c r="A193">
        <f>Skills!A26</f>
        <v/>
      </c>
      <c r="B193">
        <f>Skills!B26</f>
        <v/>
      </c>
      <c r="C193">
        <f>Inputs!$B$3&gt;=43</f>
        <v/>
      </c>
      <c r="D193">
        <f>IF(Skills!C26=1,60+Inputs!$B$25+Inputs!$B$29,IF(Skills!C26=2,90+Inputs!$B$26+Inputs!$B$29,IF(Skills!C26=3,120+Inputs!$B$27+Inputs!$B$29,MAX(0,(Inputs!$B$3-100)*3)+Inputs!$B$28+Inputs!$B$29)))</f>
        <v/>
      </c>
      <c r="E193">
        <f>INDEX(FactorTable!$B$2:$Y$301, MATCH(ROUND(MIN(300,MAX(1,D193)),0), FactorTable!$A$2:$A$301,0), Skills!M26+1)</f>
        <v/>
      </c>
      <c r="F193">
        <f>IF(Skills!N26=TRUE,(Skills!L26/10)*(E193/1000),Skills!L26/10)+Skills!O26</f>
        <v/>
      </c>
      <c r="G193">
        <f>Skills!G26*IF(Skills!H26&gt;0,INT(IF(Inputs!$B$38="pvp",MIN(Skills!I26,15),Skills!I26)/Skills!H26+0.000000001),1)</f>
        <v/>
      </c>
      <c r="H193">
        <f>1-(1-Skills!J26/100)^Skills!K26</f>
        <v/>
      </c>
      <c r="I193" t="inlineStr">
        <is>
          <t>1</t>
        </is>
      </c>
      <c r="J193" t="inlineStr"/>
      <c r="K193" t="inlineStr"/>
      <c r="L193" t="inlineStr"/>
      <c r="M193" t="inlineStr"/>
      <c r="N193" t="inlineStr"/>
      <c r="O193">
        <f>(1-Summary!$B$11)*T193+Summary!$B$11*V193</f>
        <v/>
      </c>
      <c r="P193">
        <f>IF(B212=0,0,O193/B212)</f>
        <v/>
      </c>
      <c r="Q193" t="n">
        <v>0</v>
      </c>
      <c r="R193" t="n">
        <v>0</v>
      </c>
      <c r="S193">
        <f>IFERROR(O193/N193,0)</f>
        <v/>
      </c>
      <c r="T193" t="n">
        <v>0</v>
      </c>
      <c r="V193" t="n">
        <v>0</v>
      </c>
    </row>
    <row r="194">
      <c r="A194">
        <f>Skills!A27</f>
        <v/>
      </c>
      <c r="B194">
        <f>Skills!B27</f>
        <v/>
      </c>
      <c r="C194">
        <f>Inputs!$B$3&gt;=75</f>
        <v/>
      </c>
      <c r="D194">
        <f>IF(Skills!C27=1,60+Inputs!$B$25+Inputs!$B$29,IF(Skills!C27=2,90+Inputs!$B$26+Inputs!$B$29,IF(Skills!C27=3,120+Inputs!$B$27+Inputs!$B$29,MAX(0,(Inputs!$B$3-100)*3)+Inputs!$B$28+Inputs!$B$29)))</f>
        <v/>
      </c>
      <c r="E194">
        <f>INDEX(FactorTable!$B$2:$Y$301, MATCH(ROUND(MIN(300,MAX(1,D194)),0), FactorTable!$A$2:$A$301,0), Skills!M27+1)</f>
        <v/>
      </c>
      <c r="F194">
        <f>IF(Skills!N27=TRUE,(Skills!L27/10)*(E194/1000),Skills!L27/10)+Skills!O27</f>
        <v/>
      </c>
      <c r="G194">
        <f>Skills!G27*IF(Skills!H27&gt;0,INT(IF(Inputs!$B$38="pvp",MIN(Skills!I27,15),Skills!I27)/Skills!H27+0.000000001),1)</f>
        <v/>
      </c>
      <c r="H194">
        <f>1-(1-Skills!J27/100)^Skills!K27</f>
        <v/>
      </c>
      <c r="I194" t="inlineStr">
        <is>
          <t>1</t>
        </is>
      </c>
      <c r="J194" t="inlineStr"/>
      <c r="K194" t="inlineStr"/>
      <c r="L194" t="inlineStr"/>
      <c r="M194" t="inlineStr"/>
      <c r="N194" t="inlineStr"/>
      <c r="O194">
        <f>(1-Summary!$B$11)*T194+Summary!$B$11*V194</f>
        <v/>
      </c>
      <c r="P194">
        <f>IF(B212=0,0,O194/B212)</f>
        <v/>
      </c>
      <c r="Q194" t="n">
        <v>0</v>
      </c>
      <c r="R194" t="n">
        <v>0</v>
      </c>
      <c r="S194">
        <f>IFERROR(O194/N194,0)</f>
        <v/>
      </c>
      <c r="T194" t="n">
        <v>0</v>
      </c>
      <c r="V194" t="n">
        <v>0</v>
      </c>
    </row>
    <row r="195">
      <c r="A195">
        <f>Skills!A28</f>
        <v/>
      </c>
      <c r="B195">
        <f>Skills!B28</f>
        <v/>
      </c>
      <c r="C195">
        <f>Inputs!$B$3&gt;=125</f>
        <v/>
      </c>
      <c r="D195">
        <f>IF(Skills!C28=1,60+Inputs!$B$25+Inputs!$B$29,IF(Skills!C28=2,90+Inputs!$B$26+Inputs!$B$29,IF(Skills!C28=3,120+Inputs!$B$27+Inputs!$B$29,MAX(0,(Inputs!$B$3-100)*3)+Inputs!$B$28+Inputs!$B$29)))</f>
        <v/>
      </c>
      <c r="E195">
        <f>INDEX(FactorTable!$B$2:$Y$301, MATCH(ROUND(MIN(300,MAX(1,D195)),0), FactorTable!$A$2:$A$301,0), Skills!M28+1)</f>
        <v/>
      </c>
      <c r="F195">
        <f>IF(Skills!N28=TRUE,(Skills!L28/10)*(E195/1000),Skills!L28/10)+Skills!O28</f>
        <v/>
      </c>
      <c r="G195">
        <f>Skills!G28*IF(Skills!H28&gt;0,INT(IF(Inputs!$B$38="pvp",MIN(Skills!I28,15),Skills!I28)/Skills!H28+0.000000001),1)</f>
        <v/>
      </c>
      <c r="H195">
        <f>1-(1-Skills!J28/100)^Skills!K28</f>
        <v/>
      </c>
      <c r="I195" t="inlineStr">
        <is>
          <t>1</t>
        </is>
      </c>
      <c r="J195" t="inlineStr"/>
      <c r="K195" t="inlineStr"/>
      <c r="L195" t="inlineStr"/>
      <c r="M195" t="inlineStr"/>
      <c r="N195" t="inlineStr"/>
      <c r="O195">
        <f>(1-Summary!$B$11)*T195+Summary!$B$11*V195</f>
        <v/>
      </c>
      <c r="P195">
        <f>IF(B212=0,0,O195/B212)</f>
        <v/>
      </c>
      <c r="Q195" t="n">
        <v>0</v>
      </c>
      <c r="R195" t="n">
        <v>0</v>
      </c>
      <c r="S195">
        <f>IFERROR(O195/N195,0)</f>
        <v/>
      </c>
      <c r="T195" t="n">
        <v>0</v>
      </c>
      <c r="V195" t="n">
        <v>0</v>
      </c>
    </row>
    <row r="196">
      <c r="A196">
        <f>Skills!A29</f>
        <v/>
      </c>
      <c r="B196">
        <f>Skills!B29</f>
        <v/>
      </c>
      <c r="C196">
        <f>Inputs!$B$3&gt;=125</f>
        <v/>
      </c>
      <c r="D196">
        <f>IF(Skills!C29=1,60+Inputs!$B$25+Inputs!$B$29,IF(Skills!C29=2,90+Inputs!$B$26+Inputs!$B$29,IF(Skills!C29=3,120+Inputs!$B$27+Inputs!$B$29,MAX(0,(Inputs!$B$3-100)*3)+Inputs!$B$28+Inputs!$B$29)))</f>
        <v/>
      </c>
      <c r="E196">
        <f>INDEX(FactorTable!$B$2:$Y$301, MATCH(ROUND(MIN(300,MAX(1,D196)),0), FactorTable!$A$2:$A$301,0), Skills!M29+1)</f>
        <v/>
      </c>
      <c r="F196">
        <f>IF(Skills!N29=TRUE,(Skills!L29/10)*(E196/1000),Skills!L29/10)+Skills!O29</f>
        <v/>
      </c>
      <c r="G196">
        <f>Skills!G29*IF(Skills!H29&gt;0,INT(IF(Inputs!$B$38="pvp",MIN(Skills!I29,15),Skills!I29)/Skills!H29+0.000000001),1)</f>
        <v/>
      </c>
      <c r="H196">
        <f>1-(1-Skills!J29/100)^Skills!K29</f>
        <v/>
      </c>
      <c r="I196" t="inlineStr">
        <is>
          <t>1</t>
        </is>
      </c>
      <c r="J196" t="inlineStr"/>
      <c r="K196" t="inlineStr"/>
      <c r="L196" t="inlineStr"/>
      <c r="M196" t="inlineStr"/>
      <c r="N196" t="inlineStr"/>
      <c r="O196">
        <f>(1-Summary!$B$11)*T196+Summary!$B$11*V196</f>
        <v/>
      </c>
      <c r="P196">
        <f>IF(B212=0,0,O196/B212)</f>
        <v/>
      </c>
      <c r="Q196" t="n">
        <v>0</v>
      </c>
      <c r="R196" t="n">
        <v>0</v>
      </c>
      <c r="S196">
        <f>IFERROR(O196/N196,0)</f>
        <v/>
      </c>
      <c r="T196" t="n">
        <v>0</v>
      </c>
      <c r="V196" t="n">
        <v>0</v>
      </c>
    </row>
    <row r="197">
      <c r="A197">
        <f>Skills!A30</f>
        <v/>
      </c>
      <c r="B197">
        <f>Skills!B30</f>
        <v/>
      </c>
      <c r="C197">
        <f>Inputs!$B$3&gt;=120</f>
        <v/>
      </c>
      <c r="D197">
        <f>IF(Skills!C30=1,60+Inputs!$B$25+Inputs!$B$29,IF(Skills!C30=2,90+Inputs!$B$26+Inputs!$B$29,IF(Skills!C30=3,120+Inputs!$B$27+Inputs!$B$29,MAX(0,(Inputs!$B$3-100)*3)+Inputs!$B$28+Inputs!$B$29)))</f>
        <v/>
      </c>
      <c r="E197">
        <f>INDEX(FactorTable!$B$2:$Y$301, MATCH(ROUND(MIN(300,MAX(1,D197)),0), FactorTable!$A$2:$A$301,0), Skills!M30+1)</f>
        <v/>
      </c>
      <c r="F197">
        <f>IF(Skills!N30=TRUE,(Skills!L30/10)*(E197/1000),Skills!L30/10)+Skills!O30</f>
        <v/>
      </c>
      <c r="G197">
        <f>Skills!G30*IF(Skills!H30&gt;0,INT(IF(Inputs!$B$38="pvp",MIN(Skills!I30,15),Skills!I30)/Skills!H30+0.000000001),1)</f>
        <v/>
      </c>
      <c r="H197">
        <f>1-(1-Skills!J30/100)^Skills!K30</f>
        <v/>
      </c>
      <c r="I197" t="inlineStr">
        <is>
          <t>1</t>
        </is>
      </c>
      <c r="J197" t="inlineStr"/>
      <c r="K197" t="inlineStr"/>
      <c r="L197" t="inlineStr"/>
      <c r="M197" t="inlineStr"/>
      <c r="N197" t="inlineStr"/>
      <c r="O197">
        <f>(1-Summary!$B$11)*T197+Summary!$B$11*V197</f>
        <v/>
      </c>
      <c r="P197">
        <f>IF(B212=0,0,O197/B212)</f>
        <v/>
      </c>
      <c r="Q197" t="n">
        <v>0</v>
      </c>
      <c r="R197" t="n">
        <v>0</v>
      </c>
      <c r="S197">
        <f>IFERROR(O197/N197,0)</f>
        <v/>
      </c>
      <c r="T197" t="n">
        <v>0</v>
      </c>
      <c r="V197" t="n">
        <v>0</v>
      </c>
    </row>
    <row r="198">
      <c r="A198">
        <f>Skills!A31</f>
        <v/>
      </c>
      <c r="B198">
        <f>Skills!B31</f>
        <v/>
      </c>
      <c r="C198">
        <f>Inputs!$B$3&gt;=120</f>
        <v/>
      </c>
      <c r="D198">
        <f>IF(Skills!C31=1,60+Inputs!$B$25+Inputs!$B$29,IF(Skills!C31=2,90+Inputs!$B$26+Inputs!$B$29,IF(Skills!C31=3,120+Inputs!$B$27+Inputs!$B$29,MAX(0,(Inputs!$B$3-100)*3)+Inputs!$B$28+Inputs!$B$29)))</f>
        <v/>
      </c>
      <c r="E198">
        <f>INDEX(FactorTable!$B$2:$Y$301, MATCH(ROUND(MIN(300,MAX(1,D198)),0), FactorTable!$A$2:$A$301,0), Skills!M31+1)</f>
        <v/>
      </c>
      <c r="F198">
        <f>IF(Skills!N31=TRUE,(Skills!L31/10)*(E198/1000),Skills!L31/10)+Skills!O31</f>
        <v/>
      </c>
      <c r="G198">
        <f>Skills!G31*IF(Skills!H31&gt;0,INT(IF(Inputs!$B$38="pvp",MIN(Skills!I31,15),Skills!I31)/Skills!H31+0.000000001),1)</f>
        <v/>
      </c>
      <c r="H198">
        <f>1-(1-Skills!J31/100)^Skills!K31</f>
        <v/>
      </c>
      <c r="I198" t="inlineStr">
        <is>
          <t>1</t>
        </is>
      </c>
      <c r="J198" t="inlineStr"/>
      <c r="K198" t="inlineStr"/>
      <c r="L198" t="inlineStr"/>
      <c r="M198" t="inlineStr"/>
      <c r="N198" t="inlineStr"/>
      <c r="O198">
        <f>(1-Summary!$B$11)*T198+Summary!$B$11*V198</f>
        <v/>
      </c>
      <c r="P198">
        <f>IF(B212=0,0,O198/B212)</f>
        <v/>
      </c>
      <c r="Q198" t="n">
        <v>0</v>
      </c>
      <c r="R198" t="n">
        <v>0</v>
      </c>
      <c r="S198">
        <f>IFERROR(O198/N198,0)</f>
        <v/>
      </c>
      <c r="T198" t="n">
        <v>0</v>
      </c>
      <c r="V198" t="n">
        <v>0</v>
      </c>
    </row>
    <row r="199">
      <c r="A199">
        <f>Skills!A32</f>
        <v/>
      </c>
      <c r="B199">
        <f>Skills!B32</f>
        <v/>
      </c>
      <c r="C199">
        <f>Inputs!$B$3&gt;=45</f>
        <v/>
      </c>
      <c r="D199">
        <f>IF(Skills!C32=1,60+Inputs!$B$25+Inputs!$B$29,IF(Skills!C32=2,90+Inputs!$B$26+Inputs!$B$29,IF(Skills!C32=3,120+Inputs!$B$27+Inputs!$B$29,MAX(0,(Inputs!$B$3-100)*3)+Inputs!$B$28+Inputs!$B$29)))</f>
        <v/>
      </c>
      <c r="E199">
        <f>INDEX(FactorTable!$B$2:$Y$301, MATCH(ROUND(MIN(300,MAX(1,D199)),0), FactorTable!$A$2:$A$301,0), Skills!M32+1)</f>
        <v/>
      </c>
      <c r="F199">
        <f>IF(Skills!N32=TRUE,(Skills!L32/10)*(E199/1000),Skills!L32/10)+Skills!O32</f>
        <v/>
      </c>
      <c r="G199">
        <f>Skills!G32*IF(Skills!H32&gt;0,INT(IF(Inputs!$B$38="pvp",MIN(Skills!I32,15),Skills!I32)/Skills!H32+0.000000001),1)</f>
        <v/>
      </c>
      <c r="H199">
        <f>1-(1-Skills!J32/100)^Skills!K32</f>
        <v/>
      </c>
      <c r="I199" t="inlineStr">
        <is>
          <t>1</t>
        </is>
      </c>
      <c r="J199" t="inlineStr"/>
      <c r="K199" t="inlineStr"/>
      <c r="L199" t="inlineStr"/>
      <c r="M199" t="inlineStr"/>
      <c r="N199" t="inlineStr"/>
      <c r="O199">
        <f>(1-Summary!$B$11)*T199+Summary!$B$11*V199</f>
        <v/>
      </c>
      <c r="P199">
        <f>IF(B212=0,0,O199/B212)</f>
        <v/>
      </c>
      <c r="Q199" t="n">
        <v>0</v>
      </c>
      <c r="R199" t="n">
        <v>0</v>
      </c>
      <c r="S199">
        <f>IFERROR(O199/N199,0)</f>
        <v/>
      </c>
      <c r="T199" t="n">
        <v>0</v>
      </c>
      <c r="V199" t="n">
        <v>0</v>
      </c>
    </row>
    <row r="201">
      <c r="A201" t="inlineStr">
        <is>
          <t>Attack% Bucket Multiplier</t>
        </is>
      </c>
      <c r="B201">
        <f>(1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
      <c r="A202" t="inlineStr">
        <is>
          <t>Global Crit Rate Bonus %</t>
        </is>
      </c>
      <c r="B202" t="n">
        <v>0</v>
      </c>
    </row>
    <row r="203">
      <c r="A203" t="inlineStr">
        <is>
          <t>Attack Speed Buff Bonus %</t>
        </is>
      </c>
      <c r="B203">
        <f>((C188=TRUE)*F188*IF(AND(Inputs!$B$38&lt;&gt;"pvp",Inputs!$B$43&gt;0),(((R188-1)*MIN((Skills!T21*(1+Inputs!$B$34/100)),(1/Q188))+MIN((Skills!T21*(1+Inputs!$B$34/100)),MAX(0,Inputs!$B$43-((R188-1)*(1/Q188)))))/Inputs!$B$43),IF(Inputs!$B$38="pvp",MIN((Skills!T21*(1+Inputs!$B$34/100)),15)/15,MIN(1,(Skills!T21*(1+Inputs!$B$34/100))/(1/Q188)))))</f>
        <v/>
      </c>
    </row>
    <row r="204">
      <c r="A204" t="inlineStr">
        <is>
          <t>Actions Per Second</t>
        </is>
      </c>
      <c r="B204">
        <f>1+MIN(150,150*(1-(1-(Inputs!$B$11+((C190=TRUE)*(F190-Calc!F23))+((C191=TRUE)*(F191-Calc!F24)))/150)*(1-B203/150)))/100</f>
        <v/>
      </c>
    </row>
    <row r="205">
      <c r="A205" t="inlineStr">
        <is>
          <t>Skill + Buff Cast Rate</t>
        </is>
      </c>
      <c r="B205">
        <f>IF(AND(Inputs!$B$38&lt;&gt;"pvp",Inputs!$B$43&gt;0),SUMPRODUCT((Skills!E2:E32=TRUE)*(C169:C199=TRUE)*R169:R199*Skills!F2:F32)/Inputs!$B$43,SUMPRODUCT((Skills!E2:E32=TRUE)*(C169:C199=TRUE)*Q169:Q199*Skills!F2:F32))</f>
        <v/>
      </c>
    </row>
    <row r="206">
      <c r="A206" t="inlineStr">
        <is>
          <t>Arrow Stream Casts Per Second</t>
        </is>
      </c>
      <c r="B206">
        <f>MAX(0,B204-B205)</f>
        <v/>
      </c>
    </row>
    <row r="207">
      <c r="A207" t="inlineStr">
        <is>
          <t>Global Critical Damage Bonus % (Sharp Eyes + Concentration)</t>
        </is>
      </c>
      <c r="B207">
        <f>(C185=TRUE)*F185*IF(AND(Inputs!$B$38&lt;&gt;"pvp",Inputs!$B$43&gt;0),(((R185-1)*MIN((Skills!T18*(1+Inputs!$B$34/100)),(1/Q185))+MIN((Skills!T18*(1+Inputs!$B$34/100)),MAX(0,Inputs!$B$43-((R185-1)*(1/Q185)))))/Inputs!$B$43),IF(Inputs!$B$38="pvp",MIN((Skills!T18*(1+Inputs!$B$34/100)),15)/15,MIN(1,(Skills!T18*(1+Inputs!$B$34/100))/(1/Q185))))+(C186=TRUE)*7*F186</f>
        <v/>
      </c>
    </row>
    <row r="208">
      <c r="A208" t="inlineStr">
        <is>
          <t>Global Final Damage Bonus % (Mortal Blow)</t>
        </is>
      </c>
      <c r="B208">
        <f>(C187=TRUE)*F187</f>
        <v/>
      </c>
    </row>
    <row r="209">
      <c r="A209" t="inlineStr">
        <is>
          <t>Buff-Casting Startup Delay (s, fixed-duration only)</t>
        </is>
      </c>
      <c r="B209">
        <f>IF(AND(Inputs!$B$38&lt;&gt;"pvp",Inputs!$B$43&gt;0),SUMPRODUCT((Skills!T2:T32&gt;0)*(Skills!E2:E32=TRUE)*(C169:C199=TRUE))/B204,0)</f>
        <v/>
      </c>
    </row>
    <row r="210">
      <c r="A210" t="inlineStr">
        <is>
          <t>Boss-Only Total DPS (this block's swept value)</t>
        </is>
      </c>
      <c r="B210">
        <f>SUM(T169:T199)</f>
        <v/>
      </c>
    </row>
    <row r="211">
      <c r="A211" t="inlineStr">
        <is>
          <t>Normal-Only Total DPS (this block's swept value)</t>
        </is>
      </c>
      <c r="B211">
        <f>SUM(V169:V199)</f>
        <v/>
      </c>
    </row>
    <row r="212">
      <c r="A212" s="6" t="inlineStr">
        <is>
          <t>TOTAL DPS</t>
        </is>
      </c>
      <c r="B212" s="6">
        <f>SUM(O169:O199)</f>
        <v/>
      </c>
    </row>
    <row r="215">
      <c r="A215" s="6" t="inlineStr">
        <is>
          <t>Stat: DAMAGE %</t>
        </is>
      </c>
    </row>
    <row r="216">
      <c r="A216" s="5" t="inlineStr">
        <is>
          <t>Key</t>
        </is>
      </c>
      <c r="B216" s="5" t="inlineStr">
        <is>
          <t>Name</t>
        </is>
      </c>
      <c r="C216" s="5" t="inlineStr">
        <is>
          <t>Unlocked</t>
        </is>
      </c>
      <c r="D216" s="5" t="inlineStr">
        <is>
          <t>InputLevel</t>
        </is>
      </c>
      <c r="E216" s="5" t="inlineStr">
        <is>
          <t>Factor</t>
        </is>
      </c>
      <c r="F216" s="5" t="inlineStr">
        <is>
          <t>CoefficientPercent</t>
        </is>
      </c>
      <c r="G216" s="5" t="inlineStr">
        <is>
          <t>EffectiveHits</t>
        </is>
      </c>
      <c r="H216" s="5" t="inlineStr">
        <is>
          <t>ProcProbability</t>
        </is>
      </c>
      <c r="I216" s="5" t="inlineStr">
        <is>
          <t>MapleHeroMultiplier</t>
        </is>
      </c>
      <c r="J216" s="5" t="inlineStr">
        <is>
          <t>BaseDamage</t>
        </is>
      </c>
      <c r="K216" s="5" t="inlineStr">
        <is>
          <t>BaseHitDamage</t>
        </is>
      </c>
      <c r="L216" s="5" t="inlineStr">
        <is>
          <t>NonCritAvg</t>
        </is>
      </c>
      <c r="M216" s="5" t="inlineStr">
        <is>
          <t>CritAvg</t>
        </is>
      </c>
      <c r="N216" s="5" t="inlineStr">
        <is>
          <t>ExpectedDamage(perHit)</t>
        </is>
      </c>
      <c r="O216" s="5" t="inlineStr">
        <is>
          <t>DPS</t>
        </is>
      </c>
      <c r="P216" s="5" t="inlineStr">
        <is>
          <t>% of Total</t>
        </is>
      </c>
      <c r="Q216" s="5" t="inlineStr">
        <is>
          <t>InvCooldown</t>
        </is>
      </c>
      <c r="R216" s="5" t="inlineStr">
        <is>
          <t>CastsInFight</t>
        </is>
      </c>
      <c r="S216" s="5" t="inlineStr">
        <is>
          <t>HitRate(perSec)</t>
        </is>
      </c>
      <c r="U216" t="inlineStr">
        <is>
          <t>helpers</t>
        </is>
      </c>
    </row>
    <row r="217">
      <c r="A217">
        <f>Skills!A2</f>
        <v/>
      </c>
      <c r="B217">
        <f>Skills!B2</f>
        <v/>
      </c>
      <c r="C217">
        <f>Inputs!$B$3&gt;=100</f>
        <v/>
      </c>
      <c r="D217" t="inlineStr"/>
      <c r="E217" t="inlineStr"/>
      <c r="F217">
        <f>U219+Skills!O2</f>
        <v/>
      </c>
      <c r="G217">
        <f>Skills!G2*IF(Skills!H2&gt;0,INT(IF(Inputs!$B$38="pvp",MIN(Skills!I2,15),Skills!I2)/Skills!H2+0.000000001),1)</f>
        <v/>
      </c>
      <c r="H217">
        <f>1-(1-Skills!J2/100)^Skills!K2</f>
        <v/>
      </c>
      <c r="I217" t="inlineStr">
        <is>
          <t>1</t>
        </is>
      </c>
      <c r="J217">
        <f>((Inputs!$B$6*(1+Inputs!$B$7/100))+(((Inputs!$B$12*(1+Inputs!$B$13/100))-(Inputs!$B$12*(1+Inputs!$B$13/100)))+0.25*(Inputs!$B$14-Inputs!$B$14))*(1+Inputs!$B$7/100))*(F217/100)</f>
        <v/>
      </c>
      <c r="K217">
        <f>J217*(1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241=TRUE)*(F241-Calc!F26)),(Inputs!$B$23+((C246=TRUE)*(F246-Calc!F31))+(IF(ArtifactsInput!$M$15,CHOOSE(ArtifactsInput!$N$15+1,25,30,35,40,45,50)/100*(Inputs!$B$11-Inputs!$B$11),0))))/100+(Inputs!$B$23+((C246=TRUE)*(F246-Calc!F31))+(IF(ArtifactsInput!$M$15,CHOOSE(ArtifactsInput!$N$15+1,25,30,35,40,45,50)/100*(Inputs!$B$11-Inputs!$B$11),0)))/100)/2</f>
        <v/>
      </c>
      <c r="M217">
        <f>L217*(1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IF(B260=0,0,O217/B260)</f>
        <v/>
      </c>
      <c r="Q217" t="n">
        <v>0</v>
      </c>
      <c r="R217" t="n">
        <v>0</v>
      </c>
      <c r="S217">
        <f>IFERROR(O217/N217,0)</f>
        <v/>
      </c>
      <c r="T217">
        <f>IF(C217,(Skills!G2*N217*B254)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MAX(0,(Inputs!$B$3-100)*3)+Inputs!$B$28+Inputs!$B$29</f>
        <v/>
      </c>
      <c r="V217">
        <f>IF(C217,(Skills!G2*N217*B254)*IF(Inputs!$B$38="pvp",1,(1+(Inputs!$B$21+Skills!Q2+(IF(ArtifactsInput!$M$33,CHOOSE(ArtifactsInput!$N$33+1,30,36,42,48,54,60),0))+(IF(AND(ArtifactsInput!$M$35,Inputs!$B$4&lt;&gt;"Chapter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Skills!A3</f>
        <v/>
      </c>
      <c r="B218">
        <f>Skills!B3</f>
        <v/>
      </c>
      <c r="C218">
        <f>Inputs!$B$3&gt;=50</f>
        <v/>
      </c>
      <c r="D218">
        <f>IF(Skills!C3=1,60+Inputs!$B$25+Inputs!$B$29,IF(Skills!C3=2,90+Inputs!$B$26+Inputs!$B$29,IF(Skills!C3=3,120+Inputs!$B$27+Inputs!$B$29,MAX(0,(Inputs!$B$3-100)*3)+Inputs!$B$28+Inputs!$B$29)))</f>
        <v/>
      </c>
      <c r="E218">
        <f>INDEX(FactorTable!$B$2:$Y$301, MATCH(ROUND(MIN(300,MAX(1,D218)),0), FactorTable!$A$2:$A$301,0), Skills!M3+1)</f>
        <v/>
      </c>
      <c r="F218">
        <f>IF(Skills!N3=TRUE,(Skills!L3/10)*(E218/1000),Skills!L3/10)+Skills!O3</f>
        <v/>
      </c>
      <c r="G218">
        <f>Skills!G3*IF(Skills!H3&gt;0,INT(IF(Inputs!$B$38="pvp",MIN(Skills!I3,15),Skills!I3)/Skills!H3+0.000000001),1)</f>
        <v/>
      </c>
      <c r="H218">
        <f>1-(1-Skills!J3/100)^Skills!K3</f>
        <v/>
      </c>
      <c r="I218" t="inlineStr">
        <is>
          <t>1</t>
        </is>
      </c>
      <c r="J218">
        <f>((Inputs!$B$6*(1+Inputs!$B$7/100))+(((Inputs!$B$12*(1+Inputs!$B$13/100))-(Inputs!$B$12*(1+Inputs!$B$13/100)))+0.25*(Inputs!$B$14-Inputs!$B$14))*(1+Inputs!$B$7/100))*(F218/100)</f>
        <v/>
      </c>
      <c r="K218">
        <f>J218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241=TRUE)*(F241-Calc!F26)),(Inputs!$B$23+((C246=TRUE)*(F246-Calc!F31))+(IF(ArtifactsInput!$M$15,CHOOSE(ArtifactsInput!$N$15+1,25,30,35,40,45,50)/100*(Inputs!$B$11-Inputs!$B$11),0))))/100+(Inputs!$B$23+((C246=TRUE)*(F246-Calc!F31))+(IF(ArtifactsInput!$M$15,CHOOSE(ArtifactsInput!$N$15+1,25,30,35,40,45,50)/100*(Inputs!$B$11-Inputs!$B$11),0)))/100)/2</f>
        <v/>
      </c>
      <c r="M218">
        <f>L218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IF(B260=0,0,O218/B260)</f>
        <v/>
      </c>
      <c r="Q218">
        <f>IFERROR(1/(IF(Inputs!$B$38="pvp",15,MAX(0.1,1/B252-IF(FALSE=TRUE,Inputs!$B$32,0)))*(1-IF(AND(ArtifactsInput!$M$27,Inputs!$B$4="Chapter Hunt"),CHOOSE(ArtifactsInput!$N$27+1,20,24,28,32,36,40),0)/100)),0)</f>
        <v/>
      </c>
      <c r="R218">
        <f>IF(AND(Inputs!$B$38&lt;&gt;"pvp",Inputs!$B$43&gt;0),IF(MAX(0,Inputs!$B$43-B257)&lt;=0,0,(INT(MAX(0,Inputs!$B$43-B257)/(IF(Inputs!$B$38="pvp",15,MAX(0.1,1/B252-IF(FALSE=TRUE,Inputs!$B$32,0)))*(1-IF(AND(ArtifactsInput!$M$27,Inputs!$B$4="Chapter Hunt"),CHOOSE(ArtifactsInput!$N$27+1,20,24,28,32,36,40),0)/100)))+1)),0)</f>
        <v/>
      </c>
      <c r="S218">
        <f>IFERROR(O218/N218,0)</f>
        <v/>
      </c>
      <c r="T218">
        <f>IF(C218,(H218*N218*IF(AND(Inputs!$B$38&lt;&gt;"pvp",Inputs!$B$43&gt;0),((Skills!G3*((R218-1)*IF(Skills!H3&gt;0,INT(Skills!I3/Skills!H3+0.000000001),1)+IF(Skills!H3&gt;0,INT(MIN(Skills!I3,MAX(0,MAX(0,Inputs!$B$43-B257)-((R218-1)*(IF(Inputs!$B$38="pvp",15,MAX(0.1,1/B252-IF(FALSE=TRUE,Inputs!$B$32,0)))*(1-IF(AND(ArtifactsInput!$M$27,Inputs!$B$4="Chapter Hunt"),CHOOSE(ArtifactsInput!$N$27+1,20,24,28,32,36,40),0)/100)))))/Skills!H3+0.000000001),1)))/Inputs!$B$43),G218*Q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INDEX(FactorTable!$B$2:$Y$301, MATCH(ROUND(MIN(300,MAX(1,U217)),0), FactorTable!$A$2:$A$301,0), 22)</f>
        <v/>
      </c>
      <c r="V218">
        <f>IF(C218,(H218*N218*IF(AND(Inputs!$B$38&lt;&gt;"pvp",Inputs!$B$43&gt;0),((Skills!G3*((R218-1)*IF(Skills!H3&gt;0,INT(Skills!I3/Skills!H3+0.000000001),1)+IF(Skills!H3&gt;0,INT(MIN(Skills!I3,MAX(0,MAX(0,Inputs!$B$43-B257)-((R218-1)*(IF(Inputs!$B$38="pvp",15,MAX(0.1,1/B252-IF(FALSE=TRUE,Inputs!$B$32,0)))*(1-IF(AND(ArtifactsInput!$M$27,Inputs!$B$4="Chapter Hunt"),CHOOSE(ArtifactsInput!$N$27+1,20,24,28,32,36,40),0)/100)))))/Skills!H3+0.000000001),1)))/Inputs!$B$43),G218*Q218))*IF(Inputs!$B$38="pvp",1,(1+(Inputs!$B$21+Skills!Q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Skills!A4</f>
        <v/>
      </c>
      <c r="B219">
        <f>Skills!B4</f>
        <v/>
      </c>
      <c r="C219">
        <f>Inputs!$B$3&gt;=105</f>
        <v/>
      </c>
      <c r="D219">
        <f>IF(Skills!C4=1,60+Inputs!$B$25+Inputs!$B$29,IF(Skills!C4=2,90+Inputs!$B$26+Inputs!$B$29,IF(Skills!C4=3,120+Inputs!$B$27+Inputs!$B$29,MAX(0,(Inputs!$B$3-100)*3)+Inputs!$B$28+Inputs!$B$29)))</f>
        <v/>
      </c>
      <c r="E219">
        <f>INDEX(FactorTable!$B$2:$Y$301, MATCH(ROUND(MIN(300,MAX(1,D219)),0), FactorTable!$A$2:$A$301,0), Skills!M4+1)</f>
        <v/>
      </c>
      <c r="F219">
        <f>IF(Skills!N4=TRUE,(Skills!L4/10)*(E219/1000),Skills!L4/10)+Skills!O4</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U219">
        <f>290*U218/1000</f>
        <v/>
      </c>
      <c r="V219" t="inlineStr"/>
    </row>
    <row r="220">
      <c r="A220">
        <f>Skills!A5</f>
        <v/>
      </c>
      <c r="B220">
        <f>Skills!B5</f>
        <v/>
      </c>
      <c r="C220">
        <f>Inputs!$B$3&gt;=35</f>
        <v/>
      </c>
      <c r="D220">
        <f>IF(Skills!C5=1,60+Inputs!$B$25+Inputs!$B$29,IF(Skills!C5=2,90+Inputs!$B$26+Inputs!$B$29,IF(Skills!C5=3,120+Inputs!$B$27+Inputs!$B$29,MAX(0,(Inputs!$B$3-100)*3)+Inputs!$B$28+Inputs!$B$29)))</f>
        <v/>
      </c>
      <c r="E220">
        <f>INDEX(FactorTable!$B$2:$Y$301, MATCH(ROUND(MIN(300,MAX(1,D220)),0), FactorTable!$A$2:$A$301,0), Skills!M5+1)</f>
        <v/>
      </c>
      <c r="F220">
        <f>IF(Skills!N5=TRUE,(Skills!L5/10)*(E220/1000),Skills!L5/10)+Skills!O5</f>
        <v/>
      </c>
      <c r="G220">
        <f>Skills!G5*IF(Skills!H5&gt;0,INT(IF(Inputs!$B$38="pvp",MIN(Skills!I5,15),Skills!I5)/Skills!H5+0.000000001),1)</f>
        <v/>
      </c>
      <c r="H220">
        <f>1-(1-Skills!J5/100)^Skills!K5</f>
        <v/>
      </c>
      <c r="I220" t="inlineStr">
        <is>
          <t>1</t>
        </is>
      </c>
      <c r="J220">
        <f>((Inputs!$B$6*(1+Inputs!$B$7/100))+(((Inputs!$B$12*(1+Inputs!$B$13/100))-(Inputs!$B$12*(1+Inputs!$B$13/100)))+0.25*(Inputs!$B$14-Inputs!$B$14))*(1+Inputs!$B$7/100))*(F220/100)</f>
        <v/>
      </c>
      <c r="K220">
        <f>J220*(1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TRUE,F227,0)/100)*(1+(IF(Skills!A5="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241=TRUE)*(F241-Calc!F26)),(Inputs!$B$23+((C246=TRUE)*(F246-Calc!F31))+(IF(ArtifactsInput!$M$15,CHOOSE(ArtifactsInput!$N$15+1,25,30,35,40,45,50)/100*(Inputs!$B$11-Inputs!$B$11),0))))/100+(Inputs!$B$23+((C246=TRUE)*(F246-Calc!F31))+(IF(ArtifactsInput!$M$15,CHOOSE(ArtifactsInput!$N$15+1,25,30,35,40,45,50)/100*(Inputs!$B$11-Inputs!$B$11),0)))/100)/2</f>
        <v/>
      </c>
      <c r="M220">
        <f>L220*(1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IF(B260=0,0,O220/B260)</f>
        <v/>
      </c>
      <c r="Q220">
        <f>IFERROR(1/(IF(Inputs!$B$38="pvp",15,MAX(0.1,Skills!D5-IF(TRUE=TRUE,Inputs!$B$32,0)))*(1-IF(AND(ArtifactsInput!$M$27,Inputs!$B$4="Chapter Hunt"),CHOOSE(ArtifactsInput!$N$27+1,20,24,28,32,36,40),0)/100)),0)</f>
        <v/>
      </c>
      <c r="R220">
        <f>IF(AND(Inputs!$B$38&lt;&gt;"pvp",Inputs!$B$43&gt;0),IF(MAX(0,Inputs!$B$43-B257)&lt;=0,0,(INT(MAX(0,Inputs!$B$43-B257)/(IF(Inputs!$B$38="pvp",15,MAX(0.1,Skills!D5-IF(TRUE=TRUE,Inputs!$B$32,0)))*(1-IF(AND(ArtifactsInput!$M$27,Inputs!$B$4="Chapter Hunt"),CHOOSE(ArtifactsInput!$N$27+1,20,24,28,32,36,40),0)/100)))+1)),0)</f>
        <v/>
      </c>
      <c r="S220">
        <f>IFERROR(O220/N220,0)</f>
        <v/>
      </c>
      <c r="T220">
        <f>IF(C220,(H220*N220*IF(AND(Inputs!$B$38&lt;&gt;"pvp",Inputs!$B$43&gt;0),((Skills!G5*((R220-1)*IF(Skills!H5&gt;0,INT(Skills!I5/Skills!H5+0.000000001),1)+IF(Skills!H5&gt;0,INT(MIN(Skills!I5,MAX(0,MAX(0,Inputs!$B$43-B257)-((R220-1)*(IF(Inputs!$B$38="pvp",15,MAX(0.1,Skills!D5-IF(TRUE=TRUE,Inputs!$B$32,0)))*(1-IF(AND(ArtifactsInput!$M$27,Inputs!$B$4="Chapter Hunt"),CHOOSE(ArtifactsInput!$N$27+1,20,24,28,32,36,40),0)/100)))))/Skills!H5+0.000000001),1)))/Inputs!$B$43),G220*Q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5*((R220-1)*IF(Skills!H5&gt;0,INT(Skills!I5/Skills!H5+0.000000001),1)+IF(Skills!H5&gt;0,INT(MIN(Skills!I5,MAX(0,MAX(0,Inputs!$B$43-B257)-((R220-1)*(IF(Inputs!$B$38="pvp",15,MAX(0.1,Skills!D5-IF(TRUE=TRUE,Inputs!$B$32,0)))*(1-IF(AND(ArtifactsInput!$M$27,Inputs!$B$4="Chapter Hunt"),CHOOSE(ArtifactsInput!$N$27+1,20,24,28,32,36,40),0)/100)))))/Skills!H5+0.000000001),1)))/Inputs!$B$43),G220*Q220))*IF(Inputs!$B$38="pvp",1,(1+(Inputs!$B$21+Skills!Q5+(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Skills!A6</f>
        <v/>
      </c>
      <c r="B221">
        <f>Skills!B6</f>
        <v/>
      </c>
      <c r="C221">
        <f>Inputs!$B$3&gt;=40</f>
        <v/>
      </c>
      <c r="D221">
        <f>IF(Skills!C6=1,60+Inputs!$B$25+Inputs!$B$29,IF(Skills!C6=2,90+Inputs!$B$26+Inputs!$B$29,IF(Skills!C6=3,120+Inputs!$B$27+Inputs!$B$29,MAX(0,(Inputs!$B$3-100)*3)+Inputs!$B$28+Inputs!$B$29)))</f>
        <v/>
      </c>
      <c r="E221">
        <f>INDEX(FactorTable!$B$2:$Y$301, MATCH(ROUND(MIN(300,MAX(1,D221)),0), FactorTable!$A$2:$A$301,0), Skills!M6+1)</f>
        <v/>
      </c>
      <c r="F221">
        <f>IF(Skills!N6=TRUE,(Skills!L6/10)*(E221/1000),Skills!L6/10)+Skills!O6</f>
        <v/>
      </c>
      <c r="G221">
        <f>Skills!G6*IF(Skills!H6&gt;0,INT(IF(Inputs!$B$38="pvp",MIN(Skills!I6,15),Skills!I6)/Skills!H6+0.000000001),1)</f>
        <v/>
      </c>
      <c r="H221">
        <f>1-(1-Skills!J6/100)^Skills!K6</f>
        <v/>
      </c>
      <c r="I221" t="inlineStr">
        <is>
          <t>1</t>
        </is>
      </c>
      <c r="J221">
        <f>((Inputs!$B$6*(1+Inputs!$B$7/100))+(((Inputs!$B$12*(1+Inputs!$B$13/100))-(Inputs!$B$12*(1+Inputs!$B$13/100)))+0.25*(Inputs!$B$14-Inputs!$B$14))*(1+Inputs!$B$7/100))*(F221/100)</f>
        <v/>
      </c>
      <c r="K221">
        <f>J221*(1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222=TRUE,F222,0)/100)*(1+(IF(Skills!A6="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241=TRUE)*(F241-Calc!F26)),(Inputs!$B$23+((C246=TRUE)*(F246-Calc!F31))+(IF(ArtifactsInput!$M$15,CHOOSE(ArtifactsInput!$N$15+1,25,30,35,40,45,50)/100*(Inputs!$B$11-Inputs!$B$11),0))))/100+(Inputs!$B$23+((C246=TRUE)*(F246-Calc!F31))+(IF(ArtifactsInput!$M$15,CHOOSE(ArtifactsInput!$N$15+1,25,30,35,40,45,50)/100*(Inputs!$B$11-Inputs!$B$11),0)))/100)/2</f>
        <v/>
      </c>
      <c r="M221">
        <f>L221*(1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IF(B260=0,0,O221/B260)</f>
        <v/>
      </c>
      <c r="Q221">
        <f>IFERROR(1/(IF(Inputs!$B$38="pvp",15,MAX(0.1,1-0.4*MIN(1,(B252-1)/1.5)-IF(FALSE=TRUE,Inputs!$B$32,0)))*(1-IF(AND(ArtifactsInput!$M$27,Inputs!$B$4="Chapter Hunt"),CHOOSE(ArtifactsInput!$N$27+1,20,24,28,32,36,40),0)/100)),0)</f>
        <v/>
      </c>
      <c r="R221">
        <f>IF(AND(Inputs!$B$38&lt;&gt;"pvp",Inputs!$B$43&gt;0),IF(MAX(0,Inputs!$B$43-B257)&lt;=0,0,(INT(MAX(0,Inputs!$B$43-B257)/(IF(Inputs!$B$38="pvp",15,MAX(0.1,1-0.4*MIN(1,(B252-1)/1.5)-IF(FALSE=TRUE,Inputs!$B$32,0)))*(1-IF(AND(ArtifactsInput!$M$27,Inputs!$B$4="Chapter Hunt"),CHOOSE(ArtifactsInput!$N$27+1,20,24,28,32,36,40),0)/100)))+1)),0)</f>
        <v/>
      </c>
      <c r="S221">
        <f>IFERROR(O221/N221,0)</f>
        <v/>
      </c>
      <c r="T221">
        <f>IF(C221,(H221*N221*IF(AND(Inputs!$B$38&lt;&gt;"pvp",Inputs!$B$43&gt;0),((Skills!G6*((R221-1)*IF(Skills!H6&gt;0,INT(Skills!I6/Skills!H6+0.000000001),1)+IF(Skills!H6&gt;0,INT(MIN(Skills!I6,MAX(0,MAX(0,Inputs!$B$43-B257)-((R221-1)*(IF(Inputs!$B$38="pvp",15,MAX(0.1,1-0.4*MIN(1,(B252-1)/1.5)-IF(FALSE=TRUE,Inputs!$B$32,0)))*(1-IF(AND(ArtifactsInput!$M$27,Inputs!$B$4="Chapter Hunt"),CHOOSE(ArtifactsInput!$N$27+1,20,24,28,32,36,40),0)/100)))))/Skills!H6+0.000000001),1)))/Inputs!$B$43),G221*Q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6*((R221-1)*IF(Skills!H6&gt;0,INT(Skills!I6/Skills!H6+0.000000001),1)+IF(Skills!H6&gt;0,INT(MIN(Skills!I6,MAX(0,MAX(0,Inputs!$B$43-B257)-((R221-1)*(IF(Inputs!$B$38="pvp",15,MAX(0.1,1-0.4*MIN(1,(B252-1)/1.5)-IF(FALSE=TRUE,Inputs!$B$32,0)))*(1-IF(AND(ArtifactsInput!$M$27,Inputs!$B$4="Chapter Hunt"),CHOOSE(ArtifactsInput!$N$27+1,20,24,28,32,36,40),0)/100)))))/Skills!H6+0.000000001),1)))/Inputs!$B$43),G221*Q221))*IF(Inputs!$B$38="pvp",1,(1+(Inputs!$B$21+Skills!Q6+(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Skills!A7</f>
        <v/>
      </c>
      <c r="B222">
        <f>Skills!B7</f>
        <v/>
      </c>
      <c r="C222">
        <f>Inputs!$B$3&gt;=107</f>
        <v/>
      </c>
      <c r="D222">
        <f>IF(Skills!C7=1,60+Inputs!$B$25+Inputs!$B$29,IF(Skills!C7=2,90+Inputs!$B$26+Inputs!$B$29,IF(Skills!C7=3,120+Inputs!$B$27+Inputs!$B$29,MAX(0,(Inputs!$B$3-100)*3)+Inputs!$B$28+Inputs!$B$29)))</f>
        <v/>
      </c>
      <c r="E222">
        <f>INDEX(FactorTable!$B$2:$Y$301, MATCH(ROUND(MIN(300,MAX(1,D222)),0), FactorTable!$A$2:$A$301,0), Skills!M7+1)</f>
        <v/>
      </c>
      <c r="F222">
        <f>IF(Skills!N7=TRUE,(Skills!L7/10)*(E222/1000),Skills!L7/10)+Skills!O7</f>
        <v/>
      </c>
      <c r="G222" t="inlineStr"/>
      <c r="H222" t="inlineStr"/>
      <c r="I222" t="inlineStr">
        <is>
          <t>1</t>
        </is>
      </c>
      <c r="J222" t="inlineStr"/>
      <c r="K222" t="inlineStr"/>
      <c r="L222" t="inlineStr"/>
      <c r="M222" t="inlineStr"/>
      <c r="N222" t="inlineStr"/>
      <c r="O222" t="inlineStr"/>
      <c r="P222" t="inlineStr"/>
      <c r="Q222" t="inlineStr"/>
      <c r="R222" t="inlineStr"/>
      <c r="S222" t="inlineStr"/>
      <c r="T222" t="inlineStr"/>
      <c r="V222" t="inlineStr"/>
    </row>
    <row r="223">
      <c r="A223">
        <f>Skills!A8</f>
        <v/>
      </c>
      <c r="B223">
        <f>Skills!B8</f>
        <v/>
      </c>
      <c r="C223">
        <f>Inputs!$B$3&gt;=130</f>
        <v/>
      </c>
      <c r="D223">
        <f>IF(Skills!C8=1,60+Inputs!$B$25+Inputs!$B$29,IF(Skills!C8=2,90+Inputs!$B$26+Inputs!$B$29,IF(Skills!C8=3,120+Inputs!$B$27+Inputs!$B$29,MAX(0,(Inputs!$B$3-100)*3)+Inputs!$B$28+Inputs!$B$29)))</f>
        <v/>
      </c>
      <c r="E223">
        <f>INDEX(FactorTable!$B$2:$Y$301, MATCH(ROUND(MIN(300,MAX(1,D223)),0), FactorTable!$A$2:$A$301,0), Skills!M8+1)</f>
        <v/>
      </c>
      <c r="F223">
        <f>IF(Skills!N8=TRUE,(Skills!L8/10)*(E223/1000),Skills!L8/10)+Skills!O8</f>
        <v/>
      </c>
      <c r="G223">
        <f>Skills!G8*IF(Skills!H8&gt;0,INT(IF(Inputs!$B$38="pvp",MIN(Skills!I8,15),Skills!I8)/Skills!H8+0.000000001),1)</f>
        <v/>
      </c>
      <c r="H223">
        <f>1-(1-Skills!J8/100)^Skills!K8</f>
        <v/>
      </c>
      <c r="I223" t="inlineStr">
        <is>
          <t>1</t>
        </is>
      </c>
      <c r="J223">
        <f>((Inputs!$B$6*(1+Inputs!$B$7/100))+(((Inputs!$B$12*(1+Inputs!$B$13/100))-(Inputs!$B$12*(1+Inputs!$B$13/100)))+0.25*(Inputs!$B$14-Inputs!$B$14))*(1+Inputs!$B$7/100))*(F223/100)</f>
        <v/>
      </c>
      <c r="K223">
        <f>J223*(1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f>
        <v/>
      </c>
      <c r="L223">
        <f>K223*(MIN(Inputs!$B$22+((C241=TRUE)*(F241-Calc!F26)),(Inputs!$B$23+((C246=TRUE)*(F246-Calc!F31))+(IF(ArtifactsInput!$M$15,CHOOSE(ArtifactsInput!$N$15+1,25,30,35,40,45,50)/100*(Inputs!$B$11-Inputs!$B$11),0))))/100+(Inputs!$B$23+((C246=TRUE)*(F246-Calc!F31))+(IF(ArtifactsInput!$M$15,CHOOSE(ArtifactsInput!$N$15+1,25,30,35,40,45,50)/100*(Inputs!$B$11-Inputs!$B$11),0)))/100)/2</f>
        <v/>
      </c>
      <c r="M223">
        <f>L223*(1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
        <f>L223*(1-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
        <f>(1-Summary!$B$11)*T223+Summary!$B$11*V223</f>
        <v/>
      </c>
      <c r="P223">
        <f>IF(B260=0,0,O223/B260)</f>
        <v/>
      </c>
      <c r="Q223">
        <f>IFERROR(1/(IF(Inputs!$B$38="pvp",15,MAX(0.1,1-0.4*MIN(1,(B252-1)/1.5)-IF(FALSE=TRUE,Inputs!$B$32,0)))*(1-IF(AND(ArtifactsInput!$M$27,Inputs!$B$4="Chapter Hunt"),CHOOSE(ArtifactsInput!$N$27+1,20,24,28,32,36,40),0)/100)),0)</f>
        <v/>
      </c>
      <c r="R223">
        <f>IF(AND(Inputs!$B$38&lt;&gt;"pvp",Inputs!$B$43&gt;0),IF(MAX(0,Inputs!$B$43-B257)&lt;=0,0,(INT(MAX(0,Inputs!$B$43-B257)/(IF(Inputs!$B$38="pvp",15,MAX(0.1,1-0.4*MIN(1,(B252-1)/1.5)-IF(FALSE=TRUE,Inputs!$B$32,0)))*(1-IF(AND(ArtifactsInput!$M$27,Inputs!$B$4="Chapter Hunt"),CHOOSE(ArtifactsInput!$N$27+1,20,24,28,32,36,40),0)/100)))+1)),0)</f>
        <v/>
      </c>
      <c r="S223">
        <f>IFERROR(O223/N223,0)</f>
        <v/>
      </c>
      <c r="T223">
        <f>IF(C223,(H223*N223*IF(AND(Inputs!$B$38&lt;&gt;"pvp",Inputs!$B$43&gt;0),((Skills!G8*((R223-1)*IF(Skills!H8&gt;0,INT(Skills!I8/Skills!H8+0.000000001),1)+IF(Skills!H8&gt;0,INT(MIN(Skills!I8,MAX(0,MAX(0,Inputs!$B$43-B257)-((R223-1)*(IF(Inputs!$B$38="pvp",15,MAX(0.1,1-0.4*MIN(1,(B252-1)/1.5)-IF(FALSE=TRUE,Inputs!$B$32,0)))*(1-IF(AND(ArtifactsInput!$M$27,Inputs!$B$4="Chapter Hunt"),CHOOSE(ArtifactsInput!$N$27+1,20,24,28,32,36,40),0)/100)))))/Skills!H8+0.000000001),1)))/Inputs!$B$43),G223*Q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
        <f>IF(C223,(H223*N223*IF(AND(Inputs!$B$38&lt;&gt;"pvp",Inputs!$B$43&gt;0),((Skills!G8*((R223-1)*IF(Skills!H8&gt;0,INT(Skills!I8/Skills!H8+0.000000001),1)+IF(Skills!H8&gt;0,INT(MIN(Skills!I8,MAX(0,MAX(0,Inputs!$B$43-B257)-((R223-1)*(IF(Inputs!$B$38="pvp",15,MAX(0.1,1-0.4*MIN(1,(B252-1)/1.5)-IF(FALSE=TRUE,Inputs!$B$32,0)))*(1-IF(AND(ArtifactsInput!$M$27,Inputs!$B$4="Chapter Hunt"),CHOOSE(ArtifactsInput!$N$27+1,20,24,28,32,36,40),0)/100)))))/Skills!H8+0.000000001),1)))/Inputs!$B$43),G223*Q223))*IF(Inputs!$B$38="pvp",1,(1+(Inputs!$B$21+Skills!Q8+(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
      <c r="A224">
        <f>Skills!A9</f>
        <v/>
      </c>
      <c r="B224">
        <f>Skills!B9</f>
        <v/>
      </c>
      <c r="C224">
        <f>Inputs!$B$3&gt;=69</f>
        <v/>
      </c>
      <c r="D224">
        <f>IF(Skills!C9=1,60+Inputs!$B$25+Inputs!$B$29,IF(Skills!C9=2,90+Inputs!$B$26+Inputs!$B$29,IF(Skills!C9=3,120+Inputs!$B$27+Inputs!$B$29,MAX(0,(Inputs!$B$3-100)*3)+Inputs!$B$28+Inputs!$B$29)))</f>
        <v/>
      </c>
      <c r="E224">
        <f>INDEX(FactorTable!$B$2:$Y$301, MATCH(ROUND(MIN(300,MAX(1,D224)),0), FactorTable!$A$2:$A$301,0), Skills!M9+1)</f>
        <v/>
      </c>
      <c r="F224">
        <f>IF(Skills!N9=TRUE,(Skills!L9/10)*(E224/1000),Skills!L9/10)+Skills!O9</f>
        <v/>
      </c>
      <c r="G224">
        <f>Skills!G9*IF(Skills!H9&gt;0,INT(IF(Inputs!$B$38="pvp",MIN(Skills!I9,15),Skills!I9)/Skills!H9+0.000000001),1)</f>
        <v/>
      </c>
      <c r="H224">
        <f>1-(1-Skills!J9/100)^Skills!K9</f>
        <v/>
      </c>
      <c r="I224" t="inlineStr">
        <is>
          <t>1</t>
        </is>
      </c>
      <c r="J224">
        <f>((Inputs!$B$6*(1+Inputs!$B$7/100))+(((Inputs!$B$12*(1+Inputs!$B$13/100))-(Inputs!$B$12*(1+Inputs!$B$13/100)))+0.25*(Inputs!$B$14-Inputs!$B$14))*(1+Inputs!$B$7/100))*(F224/100)</f>
        <v/>
      </c>
      <c r="K224">
        <f>J224*(1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227=TRUE,F227,0)/100)*(1+(IF(Skills!A9="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241=TRUE)*(F241-Calc!F26)),(Inputs!$B$23+((C246=TRUE)*(F246-Calc!F31))+(IF(ArtifactsInput!$M$15,CHOOSE(ArtifactsInput!$N$15+1,25,30,35,40,45,50)/100*(Inputs!$B$11-Inputs!$B$11),0))))/100+(Inputs!$B$23+((C246=TRUE)*(F246-Calc!F31))+(IF(ArtifactsInput!$M$15,CHOOSE(ArtifactsInput!$N$15+1,25,30,35,40,45,50)/100*(Inputs!$B$11-Inputs!$B$11),0)))/100)/2</f>
        <v/>
      </c>
      <c r="M224">
        <f>L224*(1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IF(B260=0,0,O224/B260)</f>
        <v/>
      </c>
      <c r="Q224">
        <f>IFERROR(1/(IF(Inputs!$B$38="pvp",15,MAX(0.1,Skills!D9-IF(TRUE=TRUE,Inputs!$B$32,0)))*(1-IF(AND(ArtifactsInput!$M$27,Inputs!$B$4="Chapter Hunt"),CHOOSE(ArtifactsInput!$N$27+1,20,24,28,32,36,40),0)/100)),0)</f>
        <v/>
      </c>
      <c r="R224">
        <f>IF(AND(Inputs!$B$38&lt;&gt;"pvp",Inputs!$B$43&gt;0),IF(MAX(0,Inputs!$B$43-B257)&lt;=0,0,(INT(MAX(0,Inputs!$B$43-B257)/(IF(Inputs!$B$38="pvp",15,MAX(0.1,Skills!D9-IF(TRUE=TRUE,Inputs!$B$32,0)))*(1-IF(AND(ArtifactsInput!$M$27,Inputs!$B$4="Chapter Hunt"),CHOOSE(ArtifactsInput!$N$27+1,20,24,28,32,36,40),0)/100)))+1)),0)</f>
        <v/>
      </c>
      <c r="S224">
        <f>IFERROR(O224/N224,0)</f>
        <v/>
      </c>
      <c r="T224">
        <f>IF(C224,(H224*N224*IF(AND(Inputs!$B$38&lt;&gt;"pvp",Inputs!$B$43&gt;0),((Skills!G9*((R224-1)*IF(Skills!H9&gt;0,INT(Skills!I9/Skills!H9+0.000000001),1)+IF(Skills!H9&gt;0,INT(MIN(Skills!I9,MAX(0,MAX(0,Inputs!$B$43-B257)-((R224-1)*(IF(Inputs!$B$38="pvp",15,MAX(0.1,Skills!D9-IF(TRUE=TRUE,Inputs!$B$32,0)))*(1-IF(AND(ArtifactsInput!$M$27,Inputs!$B$4="Chapter Hunt"),CHOOSE(ArtifactsInput!$N$27+1,20,24,28,32,36,40),0)/100)))))/Skills!H9+0.000000001),1)))/Inputs!$B$43),G224*Q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9*((R224-1)*IF(Skills!H9&gt;0,INT(Skills!I9/Skills!H9+0.000000001),1)+IF(Skills!H9&gt;0,INT(MIN(Skills!I9,MAX(0,MAX(0,Inputs!$B$43-B257)-((R224-1)*(IF(Inputs!$B$38="pvp",15,MAX(0.1,Skills!D9-IF(TRUE=TRUE,Inputs!$B$32,0)))*(1-IF(AND(ArtifactsInput!$M$27,Inputs!$B$4="Chapter Hunt"),CHOOSE(ArtifactsInput!$N$27+1,20,24,28,32,36,40),0)/100)))))/Skills!H9+0.000000001),1)))/Inputs!$B$43),G224*Q224))*IF(Inputs!$B$38="pvp",1,(1+(Inputs!$B$21+Skills!Q9+(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Skills!A10</f>
        <v/>
      </c>
      <c r="B225">
        <f>Skills!B10</f>
        <v/>
      </c>
      <c r="C225">
        <f>Inputs!$B$3&gt;=63</f>
        <v/>
      </c>
      <c r="D225">
        <f>IF(Skills!C10=1,60+Inputs!$B$25+Inputs!$B$29,IF(Skills!C10=2,90+Inputs!$B$26+Inputs!$B$29,IF(Skills!C10=3,120+Inputs!$B$27+Inputs!$B$29,MAX(0,(Inputs!$B$3-100)*3)+Inputs!$B$28+Inputs!$B$29)))</f>
        <v/>
      </c>
      <c r="E225">
        <f>INDEX(FactorTable!$B$2:$Y$301, MATCH(ROUND(MIN(300,MAX(1,D225)),0), FactorTable!$A$2:$A$301,0), Skills!M10+1)</f>
        <v/>
      </c>
      <c r="F225">
        <f>IF(Skills!N10=TRUE,(Skills!L10/10)*(E225/1000),Skills!L10/10)+Skills!O10</f>
        <v/>
      </c>
      <c r="G225">
        <f>Skills!G10*IF(Skills!H10&gt;0,INT(IF(Inputs!$B$38="pvp",MIN(Skills!I10,15),Skills!I10)/Skills!H10+0.000000001),1)</f>
        <v/>
      </c>
      <c r="H225">
        <f>1-(1-Skills!J10/100)^Skills!K10</f>
        <v/>
      </c>
      <c r="I225" t="inlineStr">
        <is>
          <t>1</t>
        </is>
      </c>
      <c r="J225">
        <f>((Inputs!$B$6*(1+Inputs!$B$7/100))+(((Inputs!$B$12*(1+Inputs!$B$13/100))-(Inputs!$B$12*(1+Inputs!$B$13/100)))+0.25*(Inputs!$B$14-Inputs!$B$14))*(1+Inputs!$B$7/100))*(F225/100)</f>
        <v/>
      </c>
      <c r="K225">
        <f>J225*(1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TRUE,F227,0)/100)*(1+(IF(Skills!A10="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241=TRUE)*(F241-Calc!F26)),(Inputs!$B$23+((C246=TRUE)*(F246-Calc!F31))+(IF(ArtifactsInput!$M$15,CHOOSE(ArtifactsInput!$N$15+1,25,30,35,40,45,50)/100*(Inputs!$B$11-Inputs!$B$11),0))))/100+(Inputs!$B$23+((C246=TRUE)*(F246-Calc!F31))+(IF(ArtifactsInput!$M$15,CHOOSE(ArtifactsInput!$N$15+1,25,30,35,40,45,50)/100*(Inputs!$B$11-Inputs!$B$11),0)))/100)/2</f>
        <v/>
      </c>
      <c r="M225">
        <f>L225*(1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IF(B260=0,0,O225/B260)</f>
        <v/>
      </c>
      <c r="Q225">
        <f>IFERROR(1/(IF(Inputs!$B$38="pvp",15,MAX(0.1,Skills!D10-IF(TRUE=TRUE,Inputs!$B$32,0)))*(1-IF(AND(ArtifactsInput!$M$27,Inputs!$B$4="Chapter Hunt"),CHOOSE(ArtifactsInput!$N$27+1,20,24,28,32,36,40),0)/100)),0)</f>
        <v/>
      </c>
      <c r="R225">
        <f>IF(AND(Inputs!$B$38&lt;&gt;"pvp",Inputs!$B$43&gt;0),IF(MAX(0,Inputs!$B$43-B257)&lt;=0,0,(INT(MAX(0,Inputs!$B$43-B257)/(IF(Inputs!$B$38="pvp",15,MAX(0.1,Skills!D10-IF(TRUE=TRUE,Inputs!$B$32,0)))*(1-IF(AND(ArtifactsInput!$M$27,Inputs!$B$4="Chapter Hunt"),CHOOSE(ArtifactsInput!$N$27+1,20,24,28,32,36,40),0)/100)))+1)),0)</f>
        <v/>
      </c>
      <c r="S225">
        <f>IFERROR(O225/N225,0)</f>
        <v/>
      </c>
      <c r="T225">
        <f>IF(C225,(H225*N225*IF(AND(Inputs!$B$38&lt;&gt;"pvp",Inputs!$B$43&gt;0),((Skills!G10*((R225-1)*IF(Skills!H10&gt;0,INT(Skills!I10/Skills!H10+0.000000001),1)+IF(Skills!H10&gt;0,INT(MIN(Skills!I10,MAX(0,MAX(0,Inputs!$B$43-B257)-((R225-1)*(IF(Inputs!$B$38="pvp",15,MAX(0.1,Skills!D10-IF(TRUE=TRUE,Inputs!$B$32,0)))*(1-IF(AND(ArtifactsInput!$M$27,Inputs!$B$4="Chapter Hunt"),CHOOSE(ArtifactsInput!$N$27+1,20,24,28,32,36,40),0)/100)))))/Skills!H10+0.000000001),1)))/Inputs!$B$43),G225*Q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5">
        <f>IF(C225,(H225*N225*IF(AND(Inputs!$B$38&lt;&gt;"pvp",Inputs!$B$43&gt;0),((Skills!G10*((R225-1)*IF(Skills!H10&gt;0,INT(Skills!I10/Skills!H10+0.000000001),1)+IF(Skills!H10&gt;0,INT(MIN(Skills!I10,MAX(0,MAX(0,Inputs!$B$43-B257)-((R225-1)*(IF(Inputs!$B$38="pvp",15,MAX(0.1,Skills!D10-IF(TRUE=TRUE,Inputs!$B$32,0)))*(1-IF(AND(ArtifactsInput!$M$27,Inputs!$B$4="Chapter Hunt"),CHOOSE(ArtifactsInput!$N$27+1,20,24,28,32,36,40),0)/100)))))/Skills!H10+0.000000001),1)))/Inputs!$B$43),G225*Q225))*IF(Inputs!$B$38="pvp",1,(1+(Inputs!$B$21+Skills!Q10+(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Skills!A11</f>
        <v/>
      </c>
      <c r="B226">
        <f>Skills!B11</f>
        <v/>
      </c>
      <c r="C226">
        <f>Inputs!$B$3&gt;=103</f>
        <v/>
      </c>
      <c r="D226">
        <f>IF(Skills!C11=1,60+Inputs!$B$25+Inputs!$B$29,IF(Skills!C11=2,90+Inputs!$B$26+Inputs!$B$29,IF(Skills!C11=3,120+Inputs!$B$27+Inputs!$B$29,MAX(0,(Inputs!$B$3-100)*3)+Inputs!$B$28+Inputs!$B$29)))</f>
        <v/>
      </c>
      <c r="E226">
        <f>INDEX(FactorTable!$B$2:$Y$301, MATCH(ROUND(MIN(300,MAX(1,D226)),0), FactorTable!$A$2:$A$301,0), Skills!M11+1)</f>
        <v/>
      </c>
      <c r="F226">
        <f>IF(Skills!N11=TRUE,(Skills!L11/10)*(E226/1000),Skills!L11/10)+Skills!O11</f>
        <v/>
      </c>
      <c r="G226">
        <f>Skills!G11*IF(Skills!H11&gt;0,INT(IF(Inputs!$B$38="pvp",MIN(Skills!I11,15),Skills!I11)/Skills!H11+0.000000001),1)</f>
        <v/>
      </c>
      <c r="H226">
        <f>1-(1-Skills!J11/100)^Skills!K11</f>
        <v/>
      </c>
      <c r="I226" t="inlineStr">
        <is>
          <t>1</t>
        </is>
      </c>
      <c r="J226">
        <f>((Inputs!$B$6*(1+Inputs!$B$7/100))+(((Inputs!$B$12*(1+Inputs!$B$13/100))-(Inputs!$B$12*(1+Inputs!$B$13/100)))+0.25*(Inputs!$B$14-Inputs!$B$14))*(1+Inputs!$B$7/100))*(F226/100)</f>
        <v/>
      </c>
      <c r="K226">
        <f>J226*(1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241=TRUE)*(F241-Calc!F26)),(Inputs!$B$23+((C246=TRUE)*(F246-Calc!F31))+(IF(ArtifactsInput!$M$15,CHOOSE(ArtifactsInput!$N$15+1,25,30,35,40,45,50)/100*(Inputs!$B$11-Inputs!$B$11),0))))/100+(Inputs!$B$23+((C246=TRUE)*(F246-Calc!F31))+(IF(ArtifactsInput!$M$15,CHOOSE(ArtifactsInput!$N$15+1,25,30,35,40,45,50)/100*(Inputs!$B$11-Inputs!$B$11),0)))/100)/2</f>
        <v/>
      </c>
      <c r="M226">
        <f>L226*(1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IF(B260=0,0,O226/B260)</f>
        <v/>
      </c>
      <c r="Q226">
        <f>IFERROR(1/(IF(Inputs!$B$38="pvp",15,MAX(0.1,Skills!D11-IF(TRUE=TRUE,Inputs!$B$32,0)))*(1-IF(AND(ArtifactsInput!$M$27,Inputs!$B$4="Chapter Hunt"),CHOOSE(ArtifactsInput!$N$27+1,20,24,28,32,36,40),0)/100)),0)</f>
        <v/>
      </c>
      <c r="R226">
        <f>IF(AND(Inputs!$B$38&lt;&gt;"pvp",Inputs!$B$43&gt;0),IF(MAX(0,Inputs!$B$43-B257)&lt;=0,0,(INT(MAX(0,Inputs!$B$43-B257)/(IF(Inputs!$B$38="pvp",15,MAX(0.1,Skills!D11-IF(TRUE=TRUE,Inputs!$B$32,0)))*(1-IF(AND(ArtifactsInput!$M$27,Inputs!$B$4="Chapter Hunt"),CHOOSE(ArtifactsInput!$N$27+1,20,24,28,32,36,40),0)/100)))+1)),0)</f>
        <v/>
      </c>
      <c r="S226">
        <f>IFERROR(O226/N226,0)</f>
        <v/>
      </c>
      <c r="T226">
        <f>IF(C226,(H226*N226*IF(AND(Inputs!$B$38&lt;&gt;"pvp",Inputs!$B$43&gt;0),((Skills!G11*((R226-1)*IF(Skills!H11&gt;0,INT(Skills!I11/Skills!H11+0.000000001),1)+IF(Skills!H11&gt;0,INT(MIN(Skills!I11,MAX(0,MAX(0,Inputs!$B$43-B257)-((R226-1)*(IF(Inputs!$B$38="pvp",15,MAX(0.1,Skills!D11-IF(TRUE=TRUE,Inputs!$B$32,0)))*(1-IF(AND(ArtifactsInput!$M$27,Inputs!$B$4="Chapter Hunt"),CHOOSE(ArtifactsInput!$N$27+1,20,24,28,32,36,40),0)/100)))))/Skills!H11+0.000000001),1)))/Inputs!$B$43),G226*Q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
        <f>IF(C226,(H226*N226*IF(AND(Inputs!$B$38&lt;&gt;"pvp",Inputs!$B$43&gt;0),((Skills!G11*((R226-1)*IF(Skills!H11&gt;0,INT(Skills!I11/Skills!H11+0.000000001),1)+IF(Skills!H11&gt;0,INT(MIN(Skills!I11,MAX(0,MAX(0,Inputs!$B$43-B257)-((R226-1)*(IF(Inputs!$B$38="pvp",15,MAX(0.1,Skills!D11-IF(TRUE=TRUE,Inputs!$B$32,0)))*(1-IF(AND(ArtifactsInput!$M$27,Inputs!$B$4="Chapter Hunt"),CHOOSE(ArtifactsInput!$N$27+1,20,24,28,32,36,40),0)/100)))))/Skills!H11+0.000000001),1)))/Inputs!$B$43),G226*Q226))*IF(Inputs!$B$38="pvp",1,(1+(Inputs!$B$21+Skills!Q11+(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Skills!A12</f>
        <v/>
      </c>
      <c r="B227">
        <f>Skills!B12</f>
        <v/>
      </c>
      <c r="C227">
        <f>Inputs!$B$3&gt;=100</f>
        <v/>
      </c>
      <c r="D227">
        <f>IF(Skills!C12=1,60+Inputs!$B$25+Inputs!$B$29,IF(Skills!C12=2,90+Inputs!$B$26+Inputs!$B$29,IF(Skills!C12=3,120+Inputs!$B$27+Inputs!$B$29,MAX(0,(Inputs!$B$3-100)*3)+Inputs!$B$28+Inputs!$B$29)))</f>
        <v/>
      </c>
      <c r="E227">
        <f>INDEX(FactorTable!$B$2:$Y$301, MATCH(ROUND(MIN(300,MAX(1,D227)),0), FactorTable!$A$2:$A$301,0), Skills!M12+1)</f>
        <v/>
      </c>
      <c r="F227">
        <f>IF(Skills!N12=TRUE,(Skills!L12/10)*(E227/1000),Skills!L12/10)+Skills!O12</f>
        <v/>
      </c>
      <c r="G227" t="inlineStr"/>
      <c r="H227" t="inlineStr"/>
      <c r="I227" t="inlineStr">
        <is>
          <t>1</t>
        </is>
      </c>
      <c r="J227" t="inlineStr"/>
      <c r="K227" t="inlineStr"/>
      <c r="L227" t="inlineStr"/>
      <c r="M227" t="inlineStr"/>
      <c r="N227" t="inlineStr"/>
      <c r="O227" t="inlineStr"/>
      <c r="P227" t="inlineStr"/>
      <c r="Q227" t="inlineStr"/>
      <c r="R227" t="inlineStr"/>
      <c r="S227" t="inlineStr"/>
      <c r="T227" t="inlineStr"/>
      <c r="V227" t="inlineStr"/>
    </row>
    <row r="228">
      <c r="A228">
        <f>Skills!A13</f>
        <v/>
      </c>
      <c r="B228">
        <f>Skills!B13</f>
        <v/>
      </c>
      <c r="C228">
        <f>Inputs!$B$3&gt;=60</f>
        <v/>
      </c>
      <c r="D228">
        <f>IF(Skills!C13=1,60+Inputs!$B$25+Inputs!$B$29,IF(Skills!C13=2,90+Inputs!$B$26+Inputs!$B$29,IF(Skills!C13=3,120+Inputs!$B$27+Inputs!$B$29,MAX(0,(Inputs!$B$3-100)*3)+Inputs!$B$28+Inputs!$B$29)))</f>
        <v/>
      </c>
      <c r="E228">
        <f>INDEX(FactorTable!$B$2:$Y$301, MATCH(ROUND(MIN(300,MAX(1,D228)),0), FactorTable!$A$2:$A$301,0), Skills!M13+1)</f>
        <v/>
      </c>
      <c r="F228">
        <f>IF(Skills!N13=TRUE,(Skills!L13/10)*(E228/1000),Skills!L13/10)+Skills!O13</f>
        <v/>
      </c>
      <c r="G228">
        <f>Skills!G13*IF(Skills!H13&gt;0,INT(IF(Inputs!$B$38="pvp",MIN(Skills!I13,15),Skills!I13)/Skills!H13+0.000000001),1)</f>
        <v/>
      </c>
      <c r="H228">
        <f>1-(1-Skills!J13/100)^Skills!K13</f>
        <v/>
      </c>
      <c r="I228" t="inlineStr">
        <is>
          <t>1</t>
        </is>
      </c>
      <c r="J228">
        <f>((Inputs!$B$6*(1+Inputs!$B$7/100))+(((Inputs!$B$12*(1+Inputs!$B$13/100))-(Inputs!$B$12*(1+Inputs!$B$13/100)))+0.25*(Inputs!$B$14-Inputs!$B$14))*(1+Inputs!$B$7/100))*(F228/100)</f>
        <v/>
      </c>
      <c r="K228">
        <f>J228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TRUE,F229,0)/100)*(1+(IF(Skills!A13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f>
        <v/>
      </c>
      <c r="L228">
        <f>K228*(MIN(Inputs!$B$22+((C241=TRUE)*(F241-Calc!F26)),(Inputs!$B$23+((C246=TRUE)*(F246-Calc!F31))+(IF(ArtifactsInput!$M$15,CHOOSE(ArtifactsInput!$N$15+1,25,30,35,40,45,50)/100*(Inputs!$B$11-Inputs!$B$11),0))))/100+(Inputs!$B$23+((C246=TRUE)*(F246-Calc!F31))+(IF(ArtifactsInput!$M$15,CHOOSE(ArtifactsInput!$N$15+1,25,30,35,40,45,50)/100*(Inputs!$B$11-Inputs!$B$11),0)))/100)/2</f>
        <v/>
      </c>
      <c r="M228">
        <f>L228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
        <f>L228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
        <f>(1-Summary!$B$11)*T228+Summary!$B$11*V228</f>
        <v/>
      </c>
      <c r="P228">
        <f>IF(B260=0,0,O228/B260)</f>
        <v/>
      </c>
      <c r="Q228">
        <f>IFERROR(1/(IF(Inputs!$B$38="pvp",15,MAX(0.1,IF(Inputs!$B$3&gt;=122,3,5)+1/(((20+30*(B252-1)*100/150)/100)*B252)-IF(FALSE=TRUE,Inputs!$B$32,0)))*(1-IF(AND(ArtifactsInput!$M$27,Inputs!$B$4="Chapter Hunt"),CHOOSE(ArtifactsInput!$N$27+1,20,24,28,32,36,40),0)/100)),0)</f>
        <v/>
      </c>
      <c r="R228">
        <f>IF(AND(Inputs!$B$38&lt;&gt;"pvp",Inputs!$B$43&gt;0),IF(MAX(0,Inputs!$B$43-B257)&lt;=0,0,(INT(MAX(0,Inputs!$B$43-B257)/(IF(Inputs!$B$38="pvp",15,MAX(0.1,IF(Inputs!$B$3&gt;=122,3,5)+1/(((20+30*(B252-1)*100/150)/100)*B252)-IF(FALSE=TRUE,Inputs!$B$32,0)))*(1-IF(AND(ArtifactsInput!$M$27,Inputs!$B$4="Chapter Hunt"),CHOOSE(ArtifactsInput!$N$27+1,20,24,28,32,36,40),0)/100)))+1)),0)</f>
        <v/>
      </c>
      <c r="S228">
        <f>IFERROR(O228/N228,0)</f>
        <v/>
      </c>
      <c r="T228">
        <f>IF(C228,(H228*N228*IF(AND(Inputs!$B$38&lt;&gt;"pvp",Inputs!$B$43&gt;0),((Skills!G13*((R228-1)*IF(Skills!H13&gt;0,INT(Skills!I13/Skills!H13+0.000000001),1)+IF(Skills!H13&gt;0,INT(MIN(Skills!I13,MAX(0,MAX(0,Inputs!$B$43-B257)-((R228-1)*(IF(Inputs!$B$38="pvp",15,MAX(0.1,IF(Inputs!$B$3&gt;=122,3,5)+1/(((20+30*(B252-1)*100/150)/100)*B252)-IF(FALSE=TRUE,Inputs!$B$32,0)))*(1-IF(AND(ArtifactsInput!$M$27,Inputs!$B$4="Chapter Hunt"),CHOOSE(ArtifactsInput!$N$27+1,20,24,28,32,36,40),0)/100)))))/Skills!H13+0.000000001),1)))/Inputs!$B$43),G228*Q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
        <f>IF(C228,(H228*N228*IF(AND(Inputs!$B$38&lt;&gt;"pvp",Inputs!$B$43&gt;0),((Skills!G13*((R228-1)*IF(Skills!H13&gt;0,INT(Skills!I13/Skills!H13+0.000000001),1)+IF(Skills!H13&gt;0,INT(MIN(Skills!I13,MAX(0,MAX(0,Inputs!$B$43-B257)-((R228-1)*(IF(Inputs!$B$38="pvp",15,MAX(0.1,IF(Inputs!$B$3&gt;=122,3,5)+1/(((20+30*(B252-1)*100/150)/100)*B252)-IF(FALSE=TRUE,Inputs!$B$32,0)))*(1-IF(AND(ArtifactsInput!$M$27,Inputs!$B$4="Chapter Hunt"),CHOOSE(ArtifactsInput!$N$27+1,20,24,28,32,36,40),0)/100)))))/Skills!H13+0.000000001),1)))/Inputs!$B$43),G228*Q228))*IF(Inputs!$B$38="pvp",1,(1+(Inputs!$B$21+Skills!Q13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
      <c r="A229">
        <f>Skills!A14</f>
        <v/>
      </c>
      <c r="B229">
        <f>Skills!B14</f>
        <v/>
      </c>
      <c r="C229">
        <f>Inputs!$B$3&gt;=110</f>
        <v/>
      </c>
      <c r="D229">
        <f>IF(Skills!C14=1,60+Inputs!$B$25+Inputs!$B$29,IF(Skills!C14=2,90+Inputs!$B$26+Inputs!$B$29,IF(Skills!C14=3,120+Inputs!$B$27+Inputs!$B$29,MAX(0,(Inputs!$B$3-100)*3)+Inputs!$B$28+Inputs!$B$29)))</f>
        <v/>
      </c>
      <c r="E229">
        <f>INDEX(FactorTable!$B$2:$Y$301, MATCH(ROUND(MIN(300,MAX(1,D229)),0), FactorTable!$A$2:$A$301,0), Skills!M14+1)</f>
        <v/>
      </c>
      <c r="F229">
        <f>IF(Skills!N14=TRUE,(Skills!L14/10)*(E229/1000),Skills!L14/10)+Skills!O14</f>
        <v/>
      </c>
      <c r="G229" t="inlineStr"/>
      <c r="H229" t="inlineStr"/>
      <c r="I229" t="inlineStr">
        <is>
          <t>1</t>
        </is>
      </c>
      <c r="J229" t="inlineStr"/>
      <c r="K229" t="inlineStr"/>
      <c r="L229" t="inlineStr"/>
      <c r="M229" t="inlineStr"/>
      <c r="N229" t="inlineStr"/>
      <c r="O229" t="inlineStr"/>
      <c r="P229" t="inlineStr"/>
      <c r="Q229" t="inlineStr"/>
      <c r="R229" t="inlineStr"/>
      <c r="S229" t="inlineStr"/>
      <c r="T229" t="inlineStr"/>
      <c r="V229" t="inlineStr"/>
    </row>
    <row r="230">
      <c r="A230">
        <f>Skills!A15</f>
        <v/>
      </c>
      <c r="B230">
        <f>Skills!B15</f>
        <v/>
      </c>
      <c r="C230">
        <f>Inputs!$B$3&gt;=74</f>
        <v/>
      </c>
      <c r="D230">
        <f>IF(Skills!C15=1,60+Inputs!$B$25+Inputs!$B$29,IF(Skills!C15=2,90+Inputs!$B$26+Inputs!$B$29,IF(Skills!C15=3,120+Inputs!$B$27+Inputs!$B$29,MAX(0,(Inputs!$B$3-100)*3)+Inputs!$B$28+Inputs!$B$29)))</f>
        <v/>
      </c>
      <c r="E230">
        <f>INDEX(FactorTable!$B$2:$Y$301, MATCH(ROUND(MIN(300,MAX(1,D230)),0), FactorTable!$A$2:$A$301,0), Skills!M15+1)</f>
        <v/>
      </c>
      <c r="F230">
        <f>IF(Skills!N15=TRUE,(Skills!L15/10)*(E230/1000),Skills!L15/10)+Skills!O15</f>
        <v/>
      </c>
      <c r="G230">
        <f>Skills!G15*IF(Skills!H15&gt;0,INT(IF(Inputs!$B$38="pvp",MIN(Skills!I15,15),Skills!I15)/Skills!H15+0.000000001),1)</f>
        <v/>
      </c>
      <c r="H230">
        <f>1-(1-Skills!J15/100)^Skills!K15</f>
        <v/>
      </c>
      <c r="I230" t="inlineStr">
        <is>
          <t>1</t>
        </is>
      </c>
      <c r="J230" t="inlineStr"/>
      <c r="K230" t="inlineStr"/>
      <c r="L230" t="inlineStr"/>
      <c r="M230" t="inlineStr"/>
      <c r="N230" t="inlineStr"/>
      <c r="O230">
        <f>(1-Summary!$B$11)*T230+Summary!$B$11*V230</f>
        <v/>
      </c>
      <c r="P230">
        <f>IF(B260=0,0,O230/B260)</f>
        <v/>
      </c>
      <c r="Q230" t="n">
        <v>0</v>
      </c>
      <c r="R230" t="n">
        <v>0</v>
      </c>
      <c r="S230">
        <f>IFERROR(O230/N230,0)</f>
        <v/>
      </c>
      <c r="T230" t="n">
        <v>0</v>
      </c>
      <c r="V230" t="n">
        <v>0</v>
      </c>
    </row>
    <row r="231">
      <c r="A231">
        <f>Skills!A16</f>
        <v/>
      </c>
      <c r="B231">
        <f>Skills!B16</f>
        <v/>
      </c>
      <c r="C231">
        <f>Inputs!$B$3&gt;=74</f>
        <v/>
      </c>
      <c r="D231">
        <f>IF(Skills!C16=1,60+Inputs!$B$25+Inputs!$B$29,IF(Skills!C16=2,90+Inputs!$B$26+Inputs!$B$29,IF(Skills!C16=3,120+Inputs!$B$27+Inputs!$B$29,MAX(0,(Inputs!$B$3-100)*3)+Inputs!$B$28+Inputs!$B$29)))</f>
        <v/>
      </c>
      <c r="E231">
        <f>INDEX(FactorTable!$B$2:$Y$301, MATCH(ROUND(MIN(300,MAX(1,D231)),0), FactorTable!$A$2:$A$301,0), Skills!M16+1)</f>
        <v/>
      </c>
      <c r="F231">
        <f>IF(Skills!N16=TRUE,(Skills!L16/10)*(E231/1000),Skills!L16/10)+Skills!O16</f>
        <v/>
      </c>
      <c r="G231">
        <f>Skills!G16*IF(Skills!H16&gt;0,INT(IF(Inputs!$B$38="pvp",MIN(Skills!I16,15),Skills!I16)/Skills!H16+0.000000001),1)</f>
        <v/>
      </c>
      <c r="H231">
        <f>1-(1-Skills!J16/100)^Skills!K16</f>
        <v/>
      </c>
      <c r="I231" t="inlineStr">
        <is>
          <t>1</t>
        </is>
      </c>
      <c r="J231" t="inlineStr"/>
      <c r="K231" t="inlineStr"/>
      <c r="L231" t="inlineStr"/>
      <c r="M231" t="inlineStr"/>
      <c r="N231" t="inlineStr"/>
      <c r="O231">
        <f>(1-Summary!$B$11)*T231+Summary!$B$11*V231</f>
        <v/>
      </c>
      <c r="P231">
        <f>IF(B260=0,0,O231/B260)</f>
        <v/>
      </c>
      <c r="Q231" t="n">
        <v>0</v>
      </c>
      <c r="R231" t="n">
        <v>0</v>
      </c>
      <c r="S231">
        <f>IFERROR(O231/N231,0)</f>
        <v/>
      </c>
      <c r="T231" t="n">
        <v>0</v>
      </c>
      <c r="V231" t="n">
        <v>0</v>
      </c>
    </row>
    <row r="232">
      <c r="A232">
        <f>Skills!A17</f>
        <v/>
      </c>
      <c r="B232">
        <f>Skills!B17</f>
        <v/>
      </c>
      <c r="C232">
        <f>Inputs!$B$3&gt;=117</f>
        <v/>
      </c>
      <c r="D232">
        <f>IF(Skills!C17=1,60+Inputs!$B$25+Inputs!$B$29,IF(Skills!C17=2,90+Inputs!$B$26+Inputs!$B$29,IF(Skills!C17=3,120+Inputs!$B$27+Inputs!$B$29,MAX(0,(Inputs!$B$3-100)*3)+Inputs!$B$28+Inputs!$B$29)))</f>
        <v/>
      </c>
      <c r="E232">
        <f>INDEX(FactorTable!$B$2:$Y$301, MATCH(ROUND(MIN(300,MAX(1,D232)),0), FactorTable!$A$2:$A$301,0), Skills!M17+1)</f>
        <v/>
      </c>
      <c r="F232">
        <f>IF(Skills!N17=TRUE,(Skills!L17/10)*(E232/1000),Skills!L17/10)+Skills!O17</f>
        <v/>
      </c>
      <c r="G232">
        <f>Skills!G17*IF(Skills!H17&gt;0,INT(IF(Inputs!$B$38="pvp",MIN(Skills!I17,15),Skills!I17)/Skills!H17+0.000000001),1)</f>
        <v/>
      </c>
      <c r="H232">
        <f>1-(1-Skills!J17/100)^Skills!K17</f>
        <v/>
      </c>
      <c r="I232" t="inlineStr">
        <is>
          <t>1</t>
        </is>
      </c>
      <c r="J232" t="inlineStr"/>
      <c r="K232" t="inlineStr"/>
      <c r="L232" t="inlineStr"/>
      <c r="M232" t="inlineStr"/>
      <c r="N232" t="inlineStr"/>
      <c r="O232">
        <f>(1-Summary!$B$11)*T232+Summary!$B$11*V232</f>
        <v/>
      </c>
      <c r="P232">
        <f>IF(B260=0,0,O232/B260)</f>
        <v/>
      </c>
      <c r="Q232">
        <f>IFERROR(1/(IF(Inputs!$B$38="pvp",15,MAX(0.1,Skills!D17-IF(TRUE=TRUE,Inputs!$B$32,0)))*(1-IF(AND(ArtifactsInput!$M$27,Inputs!$B$4="Chapter Hunt"),CHOOSE(ArtifactsInput!$N$27+1,20,24,28,32,36,40),0)/100)),0)</f>
        <v/>
      </c>
      <c r="R232">
        <f>IF(AND(Inputs!$B$38&lt;&gt;"pvp",Inputs!$B$43&gt;0),IF(Inputs!$B$43&lt;=0,0,(INT(Inputs!$B$43/(IF(Inputs!$B$38="pvp",15,MAX(0.1,Skills!D17-IF(TRUE=TRUE,Inputs!$B$32,0)))*(1-IF(AND(ArtifactsInput!$M$27,Inputs!$B$4="Chapter Hunt"),CHOOSE(ArtifactsInput!$N$27+1,20,24,28,32,36,40),0)/100)))+1)),0)</f>
        <v/>
      </c>
      <c r="S232">
        <f>IFERROR(O232/N232,0)</f>
        <v/>
      </c>
      <c r="T232" t="n">
        <v>0</v>
      </c>
      <c r="V232" t="n">
        <v>0</v>
      </c>
    </row>
    <row r="233">
      <c r="A233">
        <f>Skills!A18</f>
        <v/>
      </c>
      <c r="B233">
        <f>Skills!B18</f>
        <v/>
      </c>
      <c r="C233">
        <f>Inputs!$B$3&gt;=115</f>
        <v/>
      </c>
      <c r="D233">
        <f>IF(Skills!C18=1,60+Inputs!$B$25+Inputs!$B$29,IF(Skills!C18=2,90+Inputs!$B$26+Inputs!$B$29,IF(Skills!C18=3,120+Inputs!$B$27+Inputs!$B$29,MAX(0,(Inputs!$B$3-100)*3)+Inputs!$B$28+Inputs!$B$29)))</f>
        <v/>
      </c>
      <c r="E233">
        <f>INDEX(FactorTable!$B$2:$Y$301, MATCH(ROUND(MIN(300,MAX(1,D233)),0), FactorTable!$A$2:$A$301,0), Skills!M18+1)</f>
        <v/>
      </c>
      <c r="F233">
        <f>IF(Skills!N18=TRUE,(Skills!L18/10)*(E233/1000),Skills!L18/10)+Skills!O18</f>
        <v/>
      </c>
      <c r="G233">
        <f>Skills!G18*IF(Skills!H18&gt;0,INT(IF(Inputs!$B$38="pvp",MIN(Skills!I18,15),Skills!I18)/Skills!H18+0.000000001),1)</f>
        <v/>
      </c>
      <c r="H233">
        <f>1-(1-Skills!J18/100)^Skills!K18</f>
        <v/>
      </c>
      <c r="I233" t="inlineStr">
        <is>
          <t>1</t>
        </is>
      </c>
      <c r="J233" t="inlineStr"/>
      <c r="K233" t="inlineStr"/>
      <c r="L233" t="inlineStr"/>
      <c r="M233" t="inlineStr"/>
      <c r="N233" t="inlineStr"/>
      <c r="O233">
        <f>(1-Summary!$B$11)*T233+Summary!$B$11*V233</f>
        <v/>
      </c>
      <c r="P233">
        <f>IF(B260=0,0,O233/B260)</f>
        <v/>
      </c>
      <c r="Q233">
        <f>IFERROR(1/(IF(Inputs!$B$38="pvp",15,MAX(0.1,Skills!D18-IF(TRUE=TRUE,Inputs!$B$32,0)))*(1-IF(AND(ArtifactsInput!$M$27,Inputs!$B$4="Chapter Hunt"),CHOOSE(ArtifactsInput!$N$27+1,20,24,28,32,36,40),0)/100)),0)</f>
        <v/>
      </c>
      <c r="R233">
        <f>IF(AND(Inputs!$B$38&lt;&gt;"pvp",Inputs!$B$43&gt;0),IF(Inputs!$B$43&lt;=0,0,(INT(Inputs!$B$43/(IF(Inputs!$B$38="pvp",15,MAX(0.1,Skills!D18-IF(TRUE=TRUE,Inputs!$B$32,0)))*(1-IF(AND(ArtifactsInput!$M$27,Inputs!$B$4="Chapter Hunt"),CHOOSE(ArtifactsInput!$N$27+1,20,24,28,32,36,40),0)/100)))+1)),0)</f>
        <v/>
      </c>
      <c r="S233">
        <f>IFERROR(O233/N233,0)</f>
        <v/>
      </c>
      <c r="T233" t="n">
        <v>0</v>
      </c>
      <c r="V233" t="n">
        <v>0</v>
      </c>
    </row>
    <row r="234">
      <c r="A234">
        <f>Skills!A19</f>
        <v/>
      </c>
      <c r="B234">
        <f>Skills!B19</f>
        <v/>
      </c>
      <c r="C234">
        <f>Inputs!$B$3&gt;=66</f>
        <v/>
      </c>
      <c r="D234">
        <f>IF(Skills!C19=1,60+Inputs!$B$25+Inputs!$B$29,IF(Skills!C19=2,90+Inputs!$B$26+Inputs!$B$29,IF(Skills!C19=3,120+Inputs!$B$27+Inputs!$B$29,MAX(0,(Inputs!$B$3-100)*3)+Inputs!$B$28+Inputs!$B$29)))</f>
        <v/>
      </c>
      <c r="E234">
        <f>INDEX(FactorTable!$B$2:$Y$301, MATCH(ROUND(MIN(300,MAX(1,D234)),0), FactorTable!$A$2:$A$301,0), Skills!M19+1)</f>
        <v/>
      </c>
      <c r="F234">
        <f>IF(Skills!N19=TRUE,(Skills!L19/10)*(E234/1000),Skills!L19/10)+Skills!O19</f>
        <v/>
      </c>
      <c r="G234">
        <f>Skills!G19*IF(Skills!H19&gt;0,INT(IF(Inputs!$B$38="pvp",MIN(Skills!I19,15),Skills!I19)/Skills!H19+0.000000001),1)</f>
        <v/>
      </c>
      <c r="H234">
        <f>1-(1-Skills!J19/100)^Skills!K19</f>
        <v/>
      </c>
      <c r="I234" t="inlineStr">
        <is>
          <t>1</t>
        </is>
      </c>
      <c r="J234" t="inlineStr"/>
      <c r="K234" t="inlineStr"/>
      <c r="L234" t="inlineStr"/>
      <c r="M234" t="inlineStr"/>
      <c r="N234" t="inlineStr"/>
      <c r="O234">
        <f>(1-Summary!$B$11)*T234+Summary!$B$11*V234</f>
        <v/>
      </c>
      <c r="P234">
        <f>IF(B260=0,0,O234/B260)</f>
        <v/>
      </c>
      <c r="Q234" t="n">
        <v>0</v>
      </c>
      <c r="R234" t="n">
        <v>0</v>
      </c>
      <c r="S234">
        <f>IFERROR(O234/N234,0)</f>
        <v/>
      </c>
      <c r="T234" t="n">
        <v>0</v>
      </c>
      <c r="V234" t="n">
        <v>0</v>
      </c>
    </row>
    <row r="235">
      <c r="A235">
        <f>Skills!A20</f>
        <v/>
      </c>
      <c r="B235">
        <f>Skills!B20</f>
        <v/>
      </c>
      <c r="C235">
        <f>Inputs!$B$3&gt;=72</f>
        <v/>
      </c>
      <c r="D235">
        <f>IF(Skills!C20=1,60+Inputs!$B$25+Inputs!$B$29,IF(Skills!C20=2,90+Inputs!$B$26+Inputs!$B$29,IF(Skills!C20=3,120+Inputs!$B$27+Inputs!$B$29,MAX(0,(Inputs!$B$3-100)*3)+Inputs!$B$28+Inputs!$B$29)))</f>
        <v/>
      </c>
      <c r="E235">
        <f>INDEX(FactorTable!$B$2:$Y$301, MATCH(ROUND(MIN(300,MAX(1,D235)),0), FactorTable!$A$2:$A$301,0), Skills!M20+1)</f>
        <v/>
      </c>
      <c r="F235">
        <f>IF(Skills!N20=TRUE,(Skills!L20/10)*(E235/1000),Skills!L20/10)+Skills!O20</f>
        <v/>
      </c>
      <c r="G235">
        <f>Skills!G20*IF(Skills!H20&gt;0,INT(IF(Inputs!$B$38="pvp",MIN(Skills!I20,15),Skills!I20)/Skills!H20+0.000000001),1)</f>
        <v/>
      </c>
      <c r="H235">
        <f>1-(1-Skills!J20/100)^Skills!K20</f>
        <v/>
      </c>
      <c r="I235" t="inlineStr">
        <is>
          <t>1</t>
        </is>
      </c>
      <c r="J235" t="inlineStr"/>
      <c r="K235" t="inlineStr"/>
      <c r="L235" t="inlineStr"/>
      <c r="M235" t="inlineStr"/>
      <c r="N235" t="inlineStr"/>
      <c r="O235">
        <f>(1-Summary!$B$11)*T235+Summary!$B$11*V235</f>
        <v/>
      </c>
      <c r="P235">
        <f>IF(B260=0,0,O235/B260)</f>
        <v/>
      </c>
      <c r="Q235" t="n">
        <v>0</v>
      </c>
      <c r="R235" t="n">
        <v>0</v>
      </c>
      <c r="S235">
        <f>IFERROR(O235/N235,0)</f>
        <v/>
      </c>
      <c r="T235" t="n">
        <v>0</v>
      </c>
      <c r="V235" t="n">
        <v>0</v>
      </c>
    </row>
    <row r="236">
      <c r="A236">
        <f>Skills!A21</f>
        <v/>
      </c>
      <c r="B236">
        <f>Skills!B21</f>
        <v/>
      </c>
      <c r="C236">
        <f>TRUE</f>
        <v/>
      </c>
      <c r="D236">
        <f>IF(Skills!C21=1,60+Inputs!$B$25+Inputs!$B$29,IF(Skills!C21=2,90+Inputs!$B$26+Inputs!$B$29,IF(Skills!C21=3,120+Inputs!$B$27+Inputs!$B$29,MAX(0,(Inputs!$B$3-100)*3)+Inputs!$B$28+Inputs!$B$29)))</f>
        <v/>
      </c>
      <c r="E236">
        <f>INDEX(FactorTable!$B$2:$Y$301, MATCH(ROUND(MIN(300,MAX(1,D236)),0), FactorTable!$A$2:$A$301,0), Skills!M21+1)</f>
        <v/>
      </c>
      <c r="F236">
        <f>IF(Skills!N21=TRUE,(Skills!L21/10)*(E236/1000),Skills!L21/10)+Skills!O21</f>
        <v/>
      </c>
      <c r="G236">
        <f>Skills!G21*IF(Skills!H21&gt;0,INT(IF(Inputs!$B$38="pvp",MIN(Skills!I21,15),Skills!I21)/Skills!H21+0.000000001),1)</f>
        <v/>
      </c>
      <c r="H236">
        <f>1-(1-Skills!J21/100)^Skills!K21</f>
        <v/>
      </c>
      <c r="I236" t="inlineStr">
        <is>
          <t>1</t>
        </is>
      </c>
      <c r="J236" t="inlineStr"/>
      <c r="K236" t="inlineStr"/>
      <c r="L236" t="inlineStr"/>
      <c r="M236" t="inlineStr"/>
      <c r="N236" t="inlineStr"/>
      <c r="O236">
        <f>(1-Summary!$B$11)*T236+Summary!$B$11*V236</f>
        <v/>
      </c>
      <c r="P236">
        <f>IF(B260=0,0,O236/B260)</f>
        <v/>
      </c>
      <c r="Q236">
        <f>IFERROR(1/(IF(Inputs!$B$38="pvp",15,MAX(0.1,Skills!D21-IF(TRUE=TRUE,Inputs!$B$32,0)))*(1-IF(AND(ArtifactsInput!$M$27,Inputs!$B$4="Chapter Hunt"),CHOOSE(ArtifactsInput!$N$27+1,20,24,28,32,36,40),0)/100)),0)</f>
        <v/>
      </c>
      <c r="R236">
        <f>IF(AND(Inputs!$B$38&lt;&gt;"pvp",Inputs!$B$43&gt;0),IF(Inputs!$B$43&lt;=0,0,(INT(Inputs!$B$43/(IF(Inputs!$B$38="pvp",15,MAX(0.1,Skills!D21-IF(TRUE=TRUE,Inputs!$B$32,0)))*(1-IF(AND(ArtifactsInput!$M$27,Inputs!$B$4="Chapter Hunt"),CHOOSE(ArtifactsInput!$N$27+1,20,24,28,32,36,40),0)/100)))+1)),0)</f>
        <v/>
      </c>
      <c r="S236">
        <f>IFERROR(O236/N236,0)</f>
        <v/>
      </c>
      <c r="T236" t="n">
        <v>0</v>
      </c>
      <c r="V236" t="n">
        <v>0</v>
      </c>
    </row>
    <row r="237">
      <c r="A237">
        <f>Skills!A22</f>
        <v/>
      </c>
      <c r="B237">
        <f>Skills!B22</f>
        <v/>
      </c>
      <c r="C237">
        <f>Inputs!$B$3&gt;=15</f>
        <v/>
      </c>
      <c r="D237">
        <f>IF(Skills!C22=1,60+Inputs!$B$25+Inputs!$B$29,IF(Skills!C22=2,90+Inputs!$B$26+Inputs!$B$29,IF(Skills!C22=3,120+Inputs!$B$27+Inputs!$B$29,MAX(0,(Inputs!$B$3-100)*3)+Inputs!$B$28+Inputs!$B$29)))</f>
        <v/>
      </c>
      <c r="E237">
        <f>INDEX(FactorTable!$B$2:$Y$301, MATCH(ROUND(MIN(300,MAX(1,D237)),0), FactorTable!$A$2:$A$301,0), Skills!M22+1)</f>
        <v/>
      </c>
      <c r="F237">
        <f>IF(Skills!N22=TRUE,(Skills!L22/10)*(E237/1000),Skills!L22/10)+Skills!O22</f>
        <v/>
      </c>
      <c r="G237">
        <f>Skills!G22*IF(Skills!H22&gt;0,INT(IF(Inputs!$B$38="pvp",MIN(Skills!I22,15),Skills!I22)/Skills!H22+0.000000001),1)</f>
        <v/>
      </c>
      <c r="H237">
        <f>1-(1-Skills!J22/100)^Skills!K22</f>
        <v/>
      </c>
      <c r="I237" t="inlineStr">
        <is>
          <t>1</t>
        </is>
      </c>
      <c r="J237" t="inlineStr"/>
      <c r="K237" t="inlineStr"/>
      <c r="L237" t="inlineStr"/>
      <c r="M237" t="inlineStr"/>
      <c r="N237" t="inlineStr"/>
      <c r="O237">
        <f>(1-Summary!$B$11)*T237+Summary!$B$11*V237</f>
        <v/>
      </c>
      <c r="P237">
        <f>IF(B260=0,0,O237/B260)</f>
        <v/>
      </c>
      <c r="Q237" t="n">
        <v>0</v>
      </c>
      <c r="R237" t="n">
        <v>0</v>
      </c>
      <c r="S237">
        <f>IFERROR(O237/N237,0)</f>
        <v/>
      </c>
      <c r="T237" t="n">
        <v>0</v>
      </c>
      <c r="V237" t="n">
        <v>0</v>
      </c>
    </row>
    <row r="238">
      <c r="A238">
        <f>Skills!A23</f>
        <v/>
      </c>
      <c r="B238">
        <f>Skills!B23</f>
        <v/>
      </c>
      <c r="C238">
        <f>Inputs!$B$3&gt;=10</f>
        <v/>
      </c>
      <c r="D238">
        <f>IF(Skills!C23=1,60+Inputs!$B$25+Inputs!$B$29,IF(Skills!C23=2,90+Inputs!$B$26+Inputs!$B$29,IF(Skills!C23=3,120+Inputs!$B$27+Inputs!$B$29,MAX(0,(Inputs!$B$3-100)*3)+Inputs!$B$28+Inputs!$B$29)))</f>
        <v/>
      </c>
      <c r="E238">
        <f>INDEX(FactorTable!$B$2:$Y$301, MATCH(ROUND(MIN(300,MAX(1,D238)),0), FactorTable!$A$2:$A$301,0), Skills!M23+1)</f>
        <v/>
      </c>
      <c r="F238">
        <f>IF(Skills!N23=TRUE,(Skills!L23/10)*(E238/1000),Skills!L23/10)+Skills!O23</f>
        <v/>
      </c>
      <c r="G238">
        <f>Skills!G23*IF(Skills!H23&gt;0,INT(IF(Inputs!$B$38="pvp",MIN(Skills!I23,15),Skills!I23)/Skills!H23+0.000000001),1)</f>
        <v/>
      </c>
      <c r="H238">
        <f>1-(1-Skills!J23/100)^Skills!K23</f>
        <v/>
      </c>
      <c r="I238" t="inlineStr">
        <is>
          <t>1</t>
        </is>
      </c>
      <c r="J238" t="inlineStr"/>
      <c r="K238" t="inlineStr"/>
      <c r="L238" t="inlineStr"/>
      <c r="M238" t="inlineStr"/>
      <c r="N238" t="inlineStr"/>
      <c r="O238">
        <f>(1-Summary!$B$11)*T238+Summary!$B$11*V238</f>
        <v/>
      </c>
      <c r="P238">
        <f>IF(B260=0,0,O238/B260)</f>
        <v/>
      </c>
      <c r="Q238" t="n">
        <v>0</v>
      </c>
      <c r="R238" t="n">
        <v>0</v>
      </c>
      <c r="S238">
        <f>IFERROR(O238/N238,0)</f>
        <v/>
      </c>
      <c r="T238" t="n">
        <v>0</v>
      </c>
      <c r="V238" t="n">
        <v>0</v>
      </c>
    </row>
    <row r="239">
      <c r="A239">
        <f>Skills!A24</f>
        <v/>
      </c>
      <c r="B239">
        <f>Skills!B24</f>
        <v/>
      </c>
      <c r="C239">
        <f>Inputs!$B$3&gt;=33</f>
        <v/>
      </c>
      <c r="D239">
        <f>IF(Skills!C24=1,60+Inputs!$B$25+Inputs!$B$29,IF(Skills!C24=2,90+Inputs!$B$26+Inputs!$B$29,IF(Skills!C24=3,120+Inputs!$B$27+Inputs!$B$29,MAX(0,(Inputs!$B$3-100)*3)+Inputs!$B$28+Inputs!$B$29)))</f>
        <v/>
      </c>
      <c r="E239">
        <f>INDEX(FactorTable!$B$2:$Y$301, MATCH(ROUND(MIN(300,MAX(1,D239)),0), FactorTable!$A$2:$A$301,0), Skills!M24+1)</f>
        <v/>
      </c>
      <c r="F239">
        <f>IF(Skills!N24=TRUE,(Skills!L24/10)*(E239/1000),Skills!L24/10)+Skills!O24</f>
        <v/>
      </c>
      <c r="G239">
        <f>Skills!G24*IF(Skills!H24&gt;0,INT(IF(Inputs!$B$38="pvp",MIN(Skills!I24,15),Skills!I24)/Skills!H24+0.000000001),1)</f>
        <v/>
      </c>
      <c r="H239">
        <f>1-(1-Skills!J24/100)^Skills!K24</f>
        <v/>
      </c>
      <c r="I239" t="inlineStr">
        <is>
          <t>1</t>
        </is>
      </c>
      <c r="J239" t="inlineStr"/>
      <c r="K239" t="inlineStr"/>
      <c r="L239" t="inlineStr"/>
      <c r="M239" t="inlineStr"/>
      <c r="N239" t="inlineStr"/>
      <c r="O239">
        <f>(1-Summary!$B$11)*T239+Summary!$B$11*V239</f>
        <v/>
      </c>
      <c r="P239">
        <f>IF(B260=0,0,O239/B260)</f>
        <v/>
      </c>
      <c r="Q239" t="n">
        <v>0</v>
      </c>
      <c r="R239" t="n">
        <v>0</v>
      </c>
      <c r="S239">
        <f>IFERROR(O239/N239,0)</f>
        <v/>
      </c>
      <c r="T239" t="n">
        <v>0</v>
      </c>
      <c r="V239" t="n">
        <v>0</v>
      </c>
    </row>
    <row r="240">
      <c r="A240">
        <f>Skills!A25</f>
        <v/>
      </c>
      <c r="B240">
        <f>Skills!B25</f>
        <v/>
      </c>
      <c r="C240">
        <f>Inputs!$B$3&gt;=38</f>
        <v/>
      </c>
      <c r="D240">
        <f>IF(Skills!C25=1,60+Inputs!$B$25+Inputs!$B$29,IF(Skills!C25=2,90+Inputs!$B$26+Inputs!$B$29,IF(Skills!C25=3,120+Inputs!$B$27+Inputs!$B$29,MAX(0,(Inputs!$B$3-100)*3)+Inputs!$B$28+Inputs!$B$29)))</f>
        <v/>
      </c>
      <c r="E240">
        <f>INDEX(FactorTable!$B$2:$Y$301, MATCH(ROUND(MIN(300,MAX(1,D240)),0), FactorTable!$A$2:$A$301,0), Skills!M25+1)</f>
        <v/>
      </c>
      <c r="F240">
        <f>IF(Skills!N25=TRUE,(Skills!L25/10)*(E240/1000),Skills!L25/10)+Skills!O25</f>
        <v/>
      </c>
      <c r="G240">
        <f>Skills!G25*IF(Skills!H25&gt;0,INT(IF(Inputs!$B$38="pvp",MIN(Skills!I25,15),Skills!I25)/Skills!H25+0.000000001),1)</f>
        <v/>
      </c>
      <c r="H240">
        <f>1-(1-Skills!J25/100)^Skills!K25</f>
        <v/>
      </c>
      <c r="I240" t="inlineStr">
        <is>
          <t>1</t>
        </is>
      </c>
      <c r="J240" t="inlineStr"/>
      <c r="K240" t="inlineStr"/>
      <c r="L240" t="inlineStr"/>
      <c r="M240" t="inlineStr"/>
      <c r="N240" t="inlineStr"/>
      <c r="O240">
        <f>(1-Summary!$B$11)*T240+Summary!$B$11*V240</f>
        <v/>
      </c>
      <c r="P240">
        <f>IF(B260=0,0,O240/B260)</f>
        <v/>
      </c>
      <c r="Q240" t="n">
        <v>0</v>
      </c>
      <c r="R240" t="n">
        <v>0</v>
      </c>
      <c r="S240">
        <f>IFERROR(O240/N240,0)</f>
        <v/>
      </c>
      <c r="T240" t="n">
        <v>0</v>
      </c>
      <c r="V240" t="n">
        <v>0</v>
      </c>
    </row>
    <row r="241">
      <c r="A241">
        <f>Skills!A26</f>
        <v/>
      </c>
      <c r="B241">
        <f>Skills!B26</f>
        <v/>
      </c>
      <c r="C241">
        <f>Inputs!$B$3&gt;=43</f>
        <v/>
      </c>
      <c r="D241">
        <f>IF(Skills!C26=1,60+Inputs!$B$25+Inputs!$B$29,IF(Skills!C26=2,90+Inputs!$B$26+Inputs!$B$29,IF(Skills!C26=3,120+Inputs!$B$27+Inputs!$B$29,MAX(0,(Inputs!$B$3-100)*3)+Inputs!$B$28+Inputs!$B$29)))</f>
        <v/>
      </c>
      <c r="E241">
        <f>INDEX(FactorTable!$B$2:$Y$301, MATCH(ROUND(MIN(300,MAX(1,D241)),0), FactorTable!$A$2:$A$301,0), Skills!M26+1)</f>
        <v/>
      </c>
      <c r="F241">
        <f>IF(Skills!N26=TRUE,(Skills!L26/10)*(E241/1000),Skills!L26/10)+Skills!O26</f>
        <v/>
      </c>
      <c r="G241">
        <f>Skills!G26*IF(Skills!H26&gt;0,INT(IF(Inputs!$B$38="pvp",MIN(Skills!I26,15),Skills!I26)/Skills!H26+0.000000001),1)</f>
        <v/>
      </c>
      <c r="H241">
        <f>1-(1-Skills!J26/100)^Skills!K26</f>
        <v/>
      </c>
      <c r="I241" t="inlineStr">
        <is>
          <t>1</t>
        </is>
      </c>
      <c r="J241" t="inlineStr"/>
      <c r="K241" t="inlineStr"/>
      <c r="L241" t="inlineStr"/>
      <c r="M241" t="inlineStr"/>
      <c r="N241" t="inlineStr"/>
      <c r="O241">
        <f>(1-Summary!$B$11)*T241+Summary!$B$11*V241</f>
        <v/>
      </c>
      <c r="P241">
        <f>IF(B260=0,0,O241/B260)</f>
        <v/>
      </c>
      <c r="Q241" t="n">
        <v>0</v>
      </c>
      <c r="R241" t="n">
        <v>0</v>
      </c>
      <c r="S241">
        <f>IFERROR(O241/N241,0)</f>
        <v/>
      </c>
      <c r="T241" t="n">
        <v>0</v>
      </c>
      <c r="V241" t="n">
        <v>0</v>
      </c>
    </row>
    <row r="242">
      <c r="A242">
        <f>Skills!A27</f>
        <v/>
      </c>
      <c r="B242">
        <f>Skills!B27</f>
        <v/>
      </c>
      <c r="C242">
        <f>Inputs!$B$3&gt;=75</f>
        <v/>
      </c>
      <c r="D242">
        <f>IF(Skills!C27=1,60+Inputs!$B$25+Inputs!$B$29,IF(Skills!C27=2,90+Inputs!$B$26+Inputs!$B$29,IF(Skills!C27=3,120+Inputs!$B$27+Inputs!$B$29,MAX(0,(Inputs!$B$3-100)*3)+Inputs!$B$28+Inputs!$B$29)))</f>
        <v/>
      </c>
      <c r="E242">
        <f>INDEX(FactorTable!$B$2:$Y$301, MATCH(ROUND(MIN(300,MAX(1,D242)),0), FactorTable!$A$2:$A$301,0), Skills!M27+1)</f>
        <v/>
      </c>
      <c r="F242">
        <f>IF(Skills!N27=TRUE,(Skills!L27/10)*(E242/1000),Skills!L27/10)+Skills!O27</f>
        <v/>
      </c>
      <c r="G242">
        <f>Skills!G27*IF(Skills!H27&gt;0,INT(IF(Inputs!$B$38="pvp",MIN(Skills!I27,15),Skills!I27)/Skills!H27+0.000000001),1)</f>
        <v/>
      </c>
      <c r="H242">
        <f>1-(1-Skills!J27/100)^Skills!K27</f>
        <v/>
      </c>
      <c r="I242" t="inlineStr">
        <is>
          <t>1</t>
        </is>
      </c>
      <c r="J242" t="inlineStr"/>
      <c r="K242" t="inlineStr"/>
      <c r="L242" t="inlineStr"/>
      <c r="M242" t="inlineStr"/>
      <c r="N242" t="inlineStr"/>
      <c r="O242">
        <f>(1-Summary!$B$11)*T242+Summary!$B$11*V242</f>
        <v/>
      </c>
      <c r="P242">
        <f>IF(B260=0,0,O242/B260)</f>
        <v/>
      </c>
      <c r="Q242" t="n">
        <v>0</v>
      </c>
      <c r="R242" t="n">
        <v>0</v>
      </c>
      <c r="S242">
        <f>IFERROR(O242/N242,0)</f>
        <v/>
      </c>
      <c r="T242" t="n">
        <v>0</v>
      </c>
      <c r="V242" t="n">
        <v>0</v>
      </c>
    </row>
    <row r="243">
      <c r="A243">
        <f>Skills!A28</f>
        <v/>
      </c>
      <c r="B243">
        <f>Skills!B28</f>
        <v/>
      </c>
      <c r="C243">
        <f>Inputs!$B$3&gt;=125</f>
        <v/>
      </c>
      <c r="D243">
        <f>IF(Skills!C28=1,60+Inputs!$B$25+Inputs!$B$29,IF(Skills!C28=2,90+Inputs!$B$26+Inputs!$B$29,IF(Skills!C28=3,120+Inputs!$B$27+Inputs!$B$29,MAX(0,(Inputs!$B$3-100)*3)+Inputs!$B$28+Inputs!$B$29)))</f>
        <v/>
      </c>
      <c r="E243">
        <f>INDEX(FactorTable!$B$2:$Y$301, MATCH(ROUND(MIN(300,MAX(1,D243)),0), FactorTable!$A$2:$A$301,0), Skills!M28+1)</f>
        <v/>
      </c>
      <c r="F243">
        <f>IF(Skills!N28=TRUE,(Skills!L28/10)*(E243/1000),Skills!L28/10)+Skills!O28</f>
        <v/>
      </c>
      <c r="G243">
        <f>Skills!G28*IF(Skills!H28&gt;0,INT(IF(Inputs!$B$38="pvp",MIN(Skills!I28,15),Skills!I28)/Skills!H28+0.000000001),1)</f>
        <v/>
      </c>
      <c r="H243">
        <f>1-(1-Skills!J28/100)^Skills!K28</f>
        <v/>
      </c>
      <c r="I243" t="inlineStr">
        <is>
          <t>1</t>
        </is>
      </c>
      <c r="J243" t="inlineStr"/>
      <c r="K243" t="inlineStr"/>
      <c r="L243" t="inlineStr"/>
      <c r="M243" t="inlineStr"/>
      <c r="N243" t="inlineStr"/>
      <c r="O243">
        <f>(1-Summary!$B$11)*T243+Summary!$B$11*V243</f>
        <v/>
      </c>
      <c r="P243">
        <f>IF(B260=0,0,O243/B260)</f>
        <v/>
      </c>
      <c r="Q243" t="n">
        <v>0</v>
      </c>
      <c r="R243" t="n">
        <v>0</v>
      </c>
      <c r="S243">
        <f>IFERROR(O243/N243,0)</f>
        <v/>
      </c>
      <c r="T243" t="n">
        <v>0</v>
      </c>
      <c r="V243" t="n">
        <v>0</v>
      </c>
    </row>
    <row r="244">
      <c r="A244">
        <f>Skills!A29</f>
        <v/>
      </c>
      <c r="B244">
        <f>Skills!B29</f>
        <v/>
      </c>
      <c r="C244">
        <f>Inputs!$B$3&gt;=125</f>
        <v/>
      </c>
      <c r="D244">
        <f>IF(Skills!C29=1,60+Inputs!$B$25+Inputs!$B$29,IF(Skills!C29=2,90+Inputs!$B$26+Inputs!$B$29,IF(Skills!C29=3,120+Inputs!$B$27+Inputs!$B$29,MAX(0,(Inputs!$B$3-100)*3)+Inputs!$B$28+Inputs!$B$29)))</f>
        <v/>
      </c>
      <c r="E244">
        <f>INDEX(FactorTable!$B$2:$Y$301, MATCH(ROUND(MIN(300,MAX(1,D244)),0), FactorTable!$A$2:$A$301,0), Skills!M29+1)</f>
        <v/>
      </c>
      <c r="F244">
        <f>IF(Skills!N29=TRUE,(Skills!L29/10)*(E244/1000),Skills!L29/10)+Skills!O29</f>
        <v/>
      </c>
      <c r="G244">
        <f>Skills!G29*IF(Skills!H29&gt;0,INT(IF(Inputs!$B$38="pvp",MIN(Skills!I29,15),Skills!I29)/Skills!H29+0.000000001),1)</f>
        <v/>
      </c>
      <c r="H244">
        <f>1-(1-Skills!J29/100)^Skills!K29</f>
        <v/>
      </c>
      <c r="I244" t="inlineStr">
        <is>
          <t>1</t>
        </is>
      </c>
      <c r="J244" t="inlineStr"/>
      <c r="K244" t="inlineStr"/>
      <c r="L244" t="inlineStr"/>
      <c r="M244" t="inlineStr"/>
      <c r="N244" t="inlineStr"/>
      <c r="O244">
        <f>(1-Summary!$B$11)*T244+Summary!$B$11*V244</f>
        <v/>
      </c>
      <c r="P244">
        <f>IF(B260=0,0,O244/B260)</f>
        <v/>
      </c>
      <c r="Q244" t="n">
        <v>0</v>
      </c>
      <c r="R244" t="n">
        <v>0</v>
      </c>
      <c r="S244">
        <f>IFERROR(O244/N244,0)</f>
        <v/>
      </c>
      <c r="T244" t="n">
        <v>0</v>
      </c>
      <c r="V244" t="n">
        <v>0</v>
      </c>
    </row>
    <row r="245">
      <c r="A245">
        <f>Skills!A30</f>
        <v/>
      </c>
      <c r="B245">
        <f>Skills!B30</f>
        <v/>
      </c>
      <c r="C245">
        <f>Inputs!$B$3&gt;=120</f>
        <v/>
      </c>
      <c r="D245">
        <f>IF(Skills!C30=1,60+Inputs!$B$25+Inputs!$B$29,IF(Skills!C30=2,90+Inputs!$B$26+Inputs!$B$29,IF(Skills!C30=3,120+Inputs!$B$27+Inputs!$B$29,MAX(0,(Inputs!$B$3-100)*3)+Inputs!$B$28+Inputs!$B$29)))</f>
        <v/>
      </c>
      <c r="E245">
        <f>INDEX(FactorTable!$B$2:$Y$301, MATCH(ROUND(MIN(300,MAX(1,D245)),0), FactorTable!$A$2:$A$301,0), Skills!M30+1)</f>
        <v/>
      </c>
      <c r="F245">
        <f>IF(Skills!N30=TRUE,(Skills!L30/10)*(E245/1000),Skills!L30/10)+Skills!O30</f>
        <v/>
      </c>
      <c r="G245">
        <f>Skills!G30*IF(Skills!H30&gt;0,INT(IF(Inputs!$B$38="pvp",MIN(Skills!I30,15),Skills!I30)/Skills!H30+0.000000001),1)</f>
        <v/>
      </c>
      <c r="H245">
        <f>1-(1-Skills!J30/100)^Skills!K30</f>
        <v/>
      </c>
      <c r="I245" t="inlineStr">
        <is>
          <t>1</t>
        </is>
      </c>
      <c r="J245" t="inlineStr"/>
      <c r="K245" t="inlineStr"/>
      <c r="L245" t="inlineStr"/>
      <c r="M245" t="inlineStr"/>
      <c r="N245" t="inlineStr"/>
      <c r="O245">
        <f>(1-Summary!$B$11)*T245+Summary!$B$11*V245</f>
        <v/>
      </c>
      <c r="P245">
        <f>IF(B260=0,0,O245/B260)</f>
        <v/>
      </c>
      <c r="Q245" t="n">
        <v>0</v>
      </c>
      <c r="R245" t="n">
        <v>0</v>
      </c>
      <c r="S245">
        <f>IFERROR(O245/N245,0)</f>
        <v/>
      </c>
      <c r="T245" t="n">
        <v>0</v>
      </c>
      <c r="V245" t="n">
        <v>0</v>
      </c>
    </row>
    <row r="246">
      <c r="A246">
        <f>Skills!A31</f>
        <v/>
      </c>
      <c r="B246">
        <f>Skills!B31</f>
        <v/>
      </c>
      <c r="C246">
        <f>Inputs!$B$3&gt;=120</f>
        <v/>
      </c>
      <c r="D246">
        <f>IF(Skills!C31=1,60+Inputs!$B$25+Inputs!$B$29,IF(Skills!C31=2,90+Inputs!$B$26+Inputs!$B$29,IF(Skills!C31=3,120+Inputs!$B$27+Inputs!$B$29,MAX(0,(Inputs!$B$3-100)*3)+Inputs!$B$28+Inputs!$B$29)))</f>
        <v/>
      </c>
      <c r="E246">
        <f>INDEX(FactorTable!$B$2:$Y$301, MATCH(ROUND(MIN(300,MAX(1,D246)),0), FactorTable!$A$2:$A$301,0), Skills!M31+1)</f>
        <v/>
      </c>
      <c r="F246">
        <f>IF(Skills!N31=TRUE,(Skills!L31/10)*(E246/1000),Skills!L31/10)+Skills!O31</f>
        <v/>
      </c>
      <c r="G246">
        <f>Skills!G31*IF(Skills!H31&gt;0,INT(IF(Inputs!$B$38="pvp",MIN(Skills!I31,15),Skills!I31)/Skills!H31+0.000000001),1)</f>
        <v/>
      </c>
      <c r="H246">
        <f>1-(1-Skills!J31/100)^Skills!K31</f>
        <v/>
      </c>
      <c r="I246" t="inlineStr">
        <is>
          <t>1</t>
        </is>
      </c>
      <c r="J246" t="inlineStr"/>
      <c r="K246" t="inlineStr"/>
      <c r="L246" t="inlineStr"/>
      <c r="M246" t="inlineStr"/>
      <c r="N246" t="inlineStr"/>
      <c r="O246">
        <f>(1-Summary!$B$11)*T246+Summary!$B$11*V246</f>
        <v/>
      </c>
      <c r="P246">
        <f>IF(B260=0,0,O246/B260)</f>
        <v/>
      </c>
      <c r="Q246" t="n">
        <v>0</v>
      </c>
      <c r="R246" t="n">
        <v>0</v>
      </c>
      <c r="S246">
        <f>IFERROR(O246/N246,0)</f>
        <v/>
      </c>
      <c r="T246" t="n">
        <v>0</v>
      </c>
      <c r="V246" t="n">
        <v>0</v>
      </c>
    </row>
    <row r="247">
      <c r="A247">
        <f>Skills!A32</f>
        <v/>
      </c>
      <c r="B247">
        <f>Skills!B32</f>
        <v/>
      </c>
      <c r="C247">
        <f>Inputs!$B$3&gt;=45</f>
        <v/>
      </c>
      <c r="D247">
        <f>IF(Skills!C32=1,60+Inputs!$B$25+Inputs!$B$29,IF(Skills!C32=2,90+Inputs!$B$26+Inputs!$B$29,IF(Skills!C32=3,120+Inputs!$B$27+Inputs!$B$29,MAX(0,(Inputs!$B$3-100)*3)+Inputs!$B$28+Inputs!$B$29)))</f>
        <v/>
      </c>
      <c r="E247">
        <f>INDEX(FactorTable!$B$2:$Y$301, MATCH(ROUND(MIN(300,MAX(1,D247)),0), FactorTable!$A$2:$A$301,0), Skills!M32+1)</f>
        <v/>
      </c>
      <c r="F247">
        <f>IF(Skills!N32=TRUE,(Skills!L32/10)*(E247/1000),Skills!L32/10)+Skills!O32</f>
        <v/>
      </c>
      <c r="G247">
        <f>Skills!G32*IF(Skills!H32&gt;0,INT(IF(Inputs!$B$38="pvp",MIN(Skills!I32,15),Skills!I32)/Skills!H32+0.000000001),1)</f>
        <v/>
      </c>
      <c r="H247">
        <f>1-(1-Skills!J32/100)^Skills!K32</f>
        <v/>
      </c>
      <c r="I247" t="inlineStr">
        <is>
          <t>1</t>
        </is>
      </c>
      <c r="J247" t="inlineStr"/>
      <c r="K247" t="inlineStr"/>
      <c r="L247" t="inlineStr"/>
      <c r="M247" t="inlineStr"/>
      <c r="N247" t="inlineStr"/>
      <c r="O247">
        <f>(1-Summary!$B$11)*T247+Summary!$B$11*V247</f>
        <v/>
      </c>
      <c r="P247">
        <f>IF(B260=0,0,O247/B260)</f>
        <v/>
      </c>
      <c r="Q247" t="n">
        <v>0</v>
      </c>
      <c r="R247" t="n">
        <v>0</v>
      </c>
      <c r="S247">
        <f>IFERROR(O247/N247,0)</f>
        <v/>
      </c>
      <c r="T247" t="n">
        <v>0</v>
      </c>
      <c r="V247" t="n">
        <v>0</v>
      </c>
    </row>
    <row r="249">
      <c r="A249" t="inlineStr">
        <is>
          <t>Attack% Bucket Multiplier</t>
        </is>
      </c>
      <c r="B249">
        <f>(1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
      <c r="A250" t="inlineStr">
        <is>
          <t>Global Crit Rate Bonus %</t>
        </is>
      </c>
      <c r="B250" t="n">
        <v>0</v>
      </c>
    </row>
    <row r="251">
      <c r="A251" t="inlineStr">
        <is>
          <t>Attack Speed Buff Bonus %</t>
        </is>
      </c>
      <c r="B251">
        <f>((C236=TRUE)*F236*IF(AND(Inputs!$B$38&lt;&gt;"pvp",Inputs!$B$43&gt;0),(((R236-1)*MIN((Skills!T21*(1+Inputs!$B$34/100)),(1/Q236))+MIN((Skills!T21*(1+Inputs!$B$34/100)),MAX(0,Inputs!$B$43-((R236-1)*(1/Q236)))))/Inputs!$B$43),IF(Inputs!$B$38="pvp",MIN((Skills!T21*(1+Inputs!$B$34/100)),15)/15,MIN(1,(Skills!T21*(1+Inputs!$B$34/100))/(1/Q236)))))</f>
        <v/>
      </c>
    </row>
    <row r="252">
      <c r="A252" t="inlineStr">
        <is>
          <t>Actions Per Second</t>
        </is>
      </c>
      <c r="B252">
        <f>1+MIN(150,150*(1-(1-(Inputs!$B$11+((C238=TRUE)*(F238-Calc!F23))+((C239=TRUE)*(F239-Calc!F24)))/150)*(1-B251/150)))/100</f>
        <v/>
      </c>
    </row>
    <row r="253">
      <c r="A253" t="inlineStr">
        <is>
          <t>Skill + Buff Cast Rate</t>
        </is>
      </c>
      <c r="B253">
        <f>IF(AND(Inputs!$B$38&lt;&gt;"pvp",Inputs!$B$43&gt;0),SUMPRODUCT((Skills!E2:E32=TRUE)*(C217:C247=TRUE)*R217:R247*Skills!F2:F32)/Inputs!$B$43,SUMPRODUCT((Skills!E2:E32=TRUE)*(C217:C247=TRUE)*Q217:Q247*Skills!F2:F32))</f>
        <v/>
      </c>
    </row>
    <row r="254">
      <c r="A254" t="inlineStr">
        <is>
          <t>Arrow Stream Casts Per Second</t>
        </is>
      </c>
      <c r="B254">
        <f>MAX(0,B252-B253)</f>
        <v/>
      </c>
    </row>
    <row r="255">
      <c r="A255" t="inlineStr">
        <is>
          <t>Global Critical Damage Bonus % (Sharp Eyes + Concentration)</t>
        </is>
      </c>
      <c r="B255">
        <f>(C233=TRUE)*F233*IF(AND(Inputs!$B$38&lt;&gt;"pvp",Inputs!$B$43&gt;0),(((R233-1)*MIN((Skills!T18*(1+Inputs!$B$34/100)),(1/Q233))+MIN((Skills!T18*(1+Inputs!$B$34/100)),MAX(0,Inputs!$B$43-((R233-1)*(1/Q233)))))/Inputs!$B$43),IF(Inputs!$B$38="pvp",MIN((Skills!T18*(1+Inputs!$B$34/100)),15)/15,MIN(1,(Skills!T18*(1+Inputs!$B$34/100))/(1/Q233))))+(C234=TRUE)*7*F234</f>
        <v/>
      </c>
    </row>
    <row r="256">
      <c r="A256" t="inlineStr">
        <is>
          <t>Global Final Damage Bonus % (Mortal Blow)</t>
        </is>
      </c>
      <c r="B256">
        <f>(C235=TRUE)*F235</f>
        <v/>
      </c>
    </row>
    <row r="257">
      <c r="A257" t="inlineStr">
        <is>
          <t>Buff-Casting Startup Delay (s, fixed-duration only)</t>
        </is>
      </c>
      <c r="B257">
        <f>IF(AND(Inputs!$B$38&lt;&gt;"pvp",Inputs!$B$43&gt;0),SUMPRODUCT((Skills!T2:T32&gt;0)*(Skills!E2:E32=TRUE)*(C217:C247=TRUE))/B252,0)</f>
        <v/>
      </c>
    </row>
    <row r="258">
      <c r="A258" t="inlineStr">
        <is>
          <t>Boss-Only Total DPS (this block's swept value)</t>
        </is>
      </c>
      <c r="B258">
        <f>SUM(T217:T247)</f>
        <v/>
      </c>
    </row>
    <row r="259">
      <c r="A259" t="inlineStr">
        <is>
          <t>Normal-Only Total DPS (this block's swept value)</t>
        </is>
      </c>
      <c r="B259">
        <f>SUM(V217:V247)</f>
        <v/>
      </c>
    </row>
    <row r="260">
      <c r="A260" s="6" t="inlineStr">
        <is>
          <t>TOTAL DPS</t>
        </is>
      </c>
      <c r="B260" s="6">
        <f>SUM(O217:O247)</f>
        <v/>
      </c>
    </row>
    <row r="263">
      <c r="A263" s="6" t="inlineStr">
        <is>
          <t>Stat: DAMAGE_AMP %</t>
        </is>
      </c>
    </row>
    <row r="264">
      <c r="A264" s="5" t="inlineStr">
        <is>
          <t>Key</t>
        </is>
      </c>
      <c r="B264" s="5" t="inlineStr">
        <is>
          <t>Name</t>
        </is>
      </c>
      <c r="C264" s="5" t="inlineStr">
        <is>
          <t>Unlocked</t>
        </is>
      </c>
      <c r="D264" s="5" t="inlineStr">
        <is>
          <t>InputLevel</t>
        </is>
      </c>
      <c r="E264" s="5" t="inlineStr">
        <is>
          <t>Factor</t>
        </is>
      </c>
      <c r="F264" s="5" t="inlineStr">
        <is>
          <t>CoefficientPercent</t>
        </is>
      </c>
      <c r="G264" s="5" t="inlineStr">
        <is>
          <t>EffectiveHits</t>
        </is>
      </c>
      <c r="H264" s="5" t="inlineStr">
        <is>
          <t>ProcProbability</t>
        </is>
      </c>
      <c r="I264" s="5" t="inlineStr">
        <is>
          <t>MapleHeroMultiplier</t>
        </is>
      </c>
      <c r="J264" s="5" t="inlineStr">
        <is>
          <t>BaseDamage</t>
        </is>
      </c>
      <c r="K264" s="5" t="inlineStr">
        <is>
          <t>BaseHitDamage</t>
        </is>
      </c>
      <c r="L264" s="5" t="inlineStr">
        <is>
          <t>NonCritAvg</t>
        </is>
      </c>
      <c r="M264" s="5" t="inlineStr">
        <is>
          <t>CritAvg</t>
        </is>
      </c>
      <c r="N264" s="5" t="inlineStr">
        <is>
          <t>ExpectedDamage(perHit)</t>
        </is>
      </c>
      <c r="O264" s="5" t="inlineStr">
        <is>
          <t>DPS</t>
        </is>
      </c>
      <c r="P264" s="5" t="inlineStr">
        <is>
          <t>% of Total</t>
        </is>
      </c>
      <c r="Q264" s="5" t="inlineStr">
        <is>
          <t>InvCooldown</t>
        </is>
      </c>
      <c r="R264" s="5" t="inlineStr">
        <is>
          <t>CastsInFight</t>
        </is>
      </c>
      <c r="S264" s="5" t="inlineStr">
        <is>
          <t>HitRate(perSec)</t>
        </is>
      </c>
      <c r="U264" t="inlineStr">
        <is>
          <t>helpers</t>
        </is>
      </c>
    </row>
    <row r="265">
      <c r="A265">
        <f>Skills!A2</f>
        <v/>
      </c>
      <c r="B265">
        <f>Skills!B2</f>
        <v/>
      </c>
      <c r="C265">
        <f>Inputs!$B$3&gt;=100</f>
        <v/>
      </c>
      <c r="D265" t="inlineStr"/>
      <c r="E265" t="inlineStr"/>
      <c r="F265">
        <f>U267+Skills!O2</f>
        <v/>
      </c>
      <c r="G265">
        <f>Skills!G2*IF(Skills!H2&gt;0,INT(IF(Inputs!$B$38="pvp",MIN(Skills!I2,15),Skills!I2)/Skills!H2+0.000000001),1)</f>
        <v/>
      </c>
      <c r="H265">
        <f>1-(1-Skills!J2/100)^Skills!K2</f>
        <v/>
      </c>
      <c r="I265" t="inlineStr">
        <is>
          <t>1</t>
        </is>
      </c>
      <c r="J265">
        <f>((Inputs!$B$6*(1+Inputs!$B$7/100))+(((Inputs!$B$12*(1+Inputs!$B$13/100))-(Inputs!$B$12*(1+Inputs!$B$13/100)))+0.25*(Inputs!$B$14-Inputs!$B$14))*(1+Inputs!$B$7/100))*(F265/100)</f>
        <v/>
      </c>
      <c r="K265">
        <f>J265*(1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289=TRUE)*(F289-Calc!F26)),(Inputs!$B$23+((C294=TRUE)*(F294-Calc!F31))+(IF(ArtifactsInput!$M$15,CHOOSE(ArtifactsInput!$N$15+1,25,30,35,40,45,50)/100*(Inputs!$B$11-Inputs!$B$11),0))))/100+(Inputs!$B$23+((C294=TRUE)*(F294-Calc!F31))+(IF(ArtifactsInput!$M$15,CHOOSE(ArtifactsInput!$N$15+1,25,30,35,40,45,50)/100*(Inputs!$B$11-Inputs!$B$11),0)))/100)/2</f>
        <v/>
      </c>
      <c r="M265">
        <f>L265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IF(B308=0,0,O265/B308)</f>
        <v/>
      </c>
      <c r="Q265" t="n">
        <v>0</v>
      </c>
      <c r="R265" t="n">
        <v>0</v>
      </c>
      <c r="S265">
        <f>IFERROR(O265/N265,0)</f>
        <v/>
      </c>
      <c r="T265">
        <f>IF(C265,(Skills!G2*N265*B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MAX(0,(Inputs!$B$3-100)*3)+Inputs!$B$28+Inputs!$B$29</f>
        <v/>
      </c>
      <c r="V265">
        <f>IF(C265,(Skills!G2*N265*B302)*IF(Inputs!$B$38="pvp",1,(1+(Inputs!$B$21+Skills!Q2+(IF(ArtifactsInput!$M$33,CHOOSE(ArtifactsInput!$N$33+1,30,36,42,48,54,60),0))+(IF(AND(ArtifactsInput!$M$35,Inputs!$B$4&lt;&gt;"Chapter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Skills!A3</f>
        <v/>
      </c>
      <c r="B266">
        <f>Skills!B3</f>
        <v/>
      </c>
      <c r="C266">
        <f>Inputs!$B$3&gt;=50</f>
        <v/>
      </c>
      <c r="D266">
        <f>IF(Skills!C3=1,60+Inputs!$B$25+Inputs!$B$29,IF(Skills!C3=2,90+Inputs!$B$26+Inputs!$B$29,IF(Skills!C3=3,120+Inputs!$B$27+Inputs!$B$29,MAX(0,(Inputs!$B$3-100)*3)+Inputs!$B$28+Inputs!$B$29)))</f>
        <v/>
      </c>
      <c r="E266">
        <f>INDEX(FactorTable!$B$2:$Y$301, MATCH(ROUND(MIN(300,MAX(1,D266)),0), FactorTable!$A$2:$A$301,0), Skills!M3+1)</f>
        <v/>
      </c>
      <c r="F266">
        <f>IF(Skills!N3=TRUE,(Skills!L3/10)*(E266/1000),Skills!L3/10)+Skills!O3</f>
        <v/>
      </c>
      <c r="G266">
        <f>Skills!G3*IF(Skills!H3&gt;0,INT(IF(Inputs!$B$38="pvp",MIN(Skills!I3,15),Skills!I3)/Skills!H3+0.000000001),1)</f>
        <v/>
      </c>
      <c r="H266">
        <f>1-(1-Skills!J3/100)^Skills!K3</f>
        <v/>
      </c>
      <c r="I266" t="inlineStr">
        <is>
          <t>1</t>
        </is>
      </c>
      <c r="J266">
        <f>((Inputs!$B$6*(1+Inputs!$B$7/100))+(((Inputs!$B$12*(1+Inputs!$B$13/100))-(Inputs!$B$12*(1+Inputs!$B$13/100)))+0.25*(Inputs!$B$14-Inputs!$B$14))*(1+Inputs!$B$7/100))*(F266/100)</f>
        <v/>
      </c>
      <c r="K266">
        <f>J266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TRUE,F267,0)/100)*(1+(IF(Skills!A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289=TRUE)*(F289-Calc!F26)),(Inputs!$B$23+((C294=TRUE)*(F294-Calc!F31))+(IF(ArtifactsInput!$M$15,CHOOSE(ArtifactsInput!$N$15+1,25,30,35,40,45,50)/100*(Inputs!$B$11-Inputs!$B$11),0))))/100+(Inputs!$B$23+((C294=TRUE)*(F294-Calc!F31))+(IF(ArtifactsInput!$M$15,CHOOSE(ArtifactsInput!$N$15+1,25,30,35,40,45,50)/100*(Inputs!$B$11-Inputs!$B$11),0)))/100)/2</f>
        <v/>
      </c>
      <c r="M266">
        <f>L266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IF(B308=0,0,O266/B308)</f>
        <v/>
      </c>
      <c r="Q266">
        <f>IFERROR(1/(IF(Inputs!$B$38="pvp",15,MAX(0.1,1/B300-IF(FALSE=TRUE,Inputs!$B$32,0)))*(1-IF(AND(ArtifactsInput!$M$27,Inputs!$B$4="Chapter Hunt"),CHOOSE(ArtifactsInput!$N$27+1,20,24,28,32,36,40),0)/100)),0)</f>
        <v/>
      </c>
      <c r="R266">
        <f>IF(AND(Inputs!$B$38&lt;&gt;"pvp",Inputs!$B$43&gt;0),IF(MAX(0,Inputs!$B$43-B305)&lt;=0,0,(INT(MAX(0,Inputs!$B$43-B305)/(IF(Inputs!$B$38="pvp",15,MAX(0.1,1/B300-IF(FALSE=TRUE,Inputs!$B$32,0)))*(1-IF(AND(ArtifactsInput!$M$27,Inputs!$B$4="Chapter Hunt"),CHOOSE(ArtifactsInput!$N$27+1,20,24,28,32,36,40),0)/100)))+1)),0)</f>
        <v/>
      </c>
      <c r="S266">
        <f>IFERROR(O266/N266,0)</f>
        <v/>
      </c>
      <c r="T266">
        <f>IF(C266,(H266*N266*IF(AND(Inputs!$B$38&lt;&gt;"pvp",Inputs!$B$43&gt;0),((Skills!G3*((R266-1)*IF(Skills!H3&gt;0,INT(Skills!I3/Skills!H3+0.000000001),1)+IF(Skills!H3&gt;0,INT(MIN(Skills!I3,MAX(0,MAX(0,Inputs!$B$43-B305)-((R266-1)*(IF(Inputs!$B$38="pvp",15,MAX(0.1,1/B300-IF(FALSE=TRUE,Inputs!$B$32,0)))*(1-IF(AND(ArtifactsInput!$M$27,Inputs!$B$4="Chapter Hunt"),CHOOSE(ArtifactsInput!$N$27+1,20,24,28,32,36,40),0)/100)))))/Skills!H3+0.000000001),1)))/Inputs!$B$43),G266*Q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
        <f>INDEX(FactorTable!$B$2:$Y$301, MATCH(ROUND(MIN(300,MAX(1,U265)),0), FactorTable!$A$2:$A$301,0), 22)</f>
        <v/>
      </c>
      <c r="V266">
        <f>IF(C266,(H266*N266*IF(AND(Inputs!$B$38&lt;&gt;"pvp",Inputs!$B$43&gt;0),((Skills!G3*((R266-1)*IF(Skills!H3&gt;0,INT(Skills!I3/Skills!H3+0.000000001),1)+IF(Skills!H3&gt;0,INT(MIN(Skills!I3,MAX(0,MAX(0,Inputs!$B$43-B305)-((R266-1)*(IF(Inputs!$B$38="pvp",15,MAX(0.1,1/B300-IF(FALSE=TRUE,Inputs!$B$32,0)))*(1-IF(AND(ArtifactsInput!$M$27,Inputs!$B$4="Chapter Hunt"),CHOOSE(ArtifactsInput!$N$27+1,20,24,28,32,36,40),0)/100)))))/Skills!H3+0.000000001),1)))/Inputs!$B$43),G266*Q266))*IF(Inputs!$B$38="pvp",1,(1+(Inputs!$B$21+Skills!Q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Skills!A4</f>
        <v/>
      </c>
      <c r="B267">
        <f>Skills!B4</f>
        <v/>
      </c>
      <c r="C267">
        <f>Inputs!$B$3&gt;=105</f>
        <v/>
      </c>
      <c r="D267">
        <f>IF(Skills!C4=1,60+Inputs!$B$25+Inputs!$B$29,IF(Skills!C4=2,90+Inputs!$B$26+Inputs!$B$29,IF(Skills!C4=3,120+Inputs!$B$27+Inputs!$B$29,MAX(0,(Inputs!$B$3-100)*3)+Inputs!$B$28+Inputs!$B$29)))</f>
        <v/>
      </c>
      <c r="E267">
        <f>INDEX(FactorTable!$B$2:$Y$301, MATCH(ROUND(MIN(300,MAX(1,D267)),0), FactorTable!$A$2:$A$301,0), Skills!M4+1)</f>
        <v/>
      </c>
      <c r="F267">
        <f>IF(Skills!N4=TRUE,(Skills!L4/10)*(E267/1000),Skills!L4/10)+Skills!O4</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U267">
        <f>290*U266/1000</f>
        <v/>
      </c>
      <c r="V267" t="inlineStr"/>
    </row>
    <row r="268">
      <c r="A268">
        <f>Skills!A5</f>
        <v/>
      </c>
      <c r="B268">
        <f>Skills!B5</f>
        <v/>
      </c>
      <c r="C268">
        <f>Inputs!$B$3&gt;=35</f>
        <v/>
      </c>
      <c r="D268">
        <f>IF(Skills!C5=1,60+Inputs!$B$25+Inputs!$B$29,IF(Skills!C5=2,90+Inputs!$B$26+Inputs!$B$29,IF(Skills!C5=3,120+Inputs!$B$27+Inputs!$B$29,MAX(0,(Inputs!$B$3-100)*3)+Inputs!$B$28+Inputs!$B$29)))</f>
        <v/>
      </c>
      <c r="E268">
        <f>INDEX(FactorTable!$B$2:$Y$301, MATCH(ROUND(MIN(300,MAX(1,D268)),0), FactorTable!$A$2:$A$301,0), Skills!M5+1)</f>
        <v/>
      </c>
      <c r="F268">
        <f>IF(Skills!N5=TRUE,(Skills!L5/10)*(E268/1000),Skills!L5/10)+Skills!O5</f>
        <v/>
      </c>
      <c r="G268">
        <f>Skills!G5*IF(Skills!H5&gt;0,INT(IF(Inputs!$B$38="pvp",MIN(Skills!I5,15),Skills!I5)/Skills!H5+0.000000001),1)</f>
        <v/>
      </c>
      <c r="H268">
        <f>1-(1-Skills!J5/100)^Skills!K5</f>
        <v/>
      </c>
      <c r="I268" t="inlineStr">
        <is>
          <t>1</t>
        </is>
      </c>
      <c r="J268">
        <f>((Inputs!$B$6*(1+Inputs!$B$7/100))+(((Inputs!$B$12*(1+Inputs!$B$13/100))-(Inputs!$B$12*(1+Inputs!$B$13/100)))+0.25*(Inputs!$B$14-Inputs!$B$14))*(1+Inputs!$B$7/100))*(F268/100)</f>
        <v/>
      </c>
      <c r="K268">
        <f>J268*(1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275=TRUE,F275,0)/100)*(1+(IF(Skills!A5="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289=TRUE)*(F289-Calc!F26)),(Inputs!$B$23+((C294=TRUE)*(F294-Calc!F31))+(IF(ArtifactsInput!$M$15,CHOOSE(ArtifactsInput!$N$15+1,25,30,35,40,45,50)/100*(Inputs!$B$11-Inputs!$B$11),0))))/100+(Inputs!$B$23+((C294=TRUE)*(F294-Calc!F31))+(IF(ArtifactsInput!$M$15,CHOOSE(ArtifactsInput!$N$15+1,25,30,35,40,45,50)/100*(Inputs!$B$11-Inputs!$B$11),0)))/100)/2</f>
        <v/>
      </c>
      <c r="M268">
        <f>L268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IF(B308=0,0,O268/B308)</f>
        <v/>
      </c>
      <c r="Q268">
        <f>IFERROR(1/(IF(Inputs!$B$38="pvp",15,MAX(0.1,Skills!D5-IF(TRUE=TRUE,Inputs!$B$32,0)))*(1-IF(AND(ArtifactsInput!$M$27,Inputs!$B$4="Chapter Hunt"),CHOOSE(ArtifactsInput!$N$27+1,20,24,28,32,36,40),0)/100)),0)</f>
        <v/>
      </c>
      <c r="R268">
        <f>IF(AND(Inputs!$B$38&lt;&gt;"pvp",Inputs!$B$43&gt;0),IF(MAX(0,Inputs!$B$43-B305)&lt;=0,0,(INT(MAX(0,Inputs!$B$43-B305)/(IF(Inputs!$B$38="pvp",15,MAX(0.1,Skills!D5-IF(TRUE=TRUE,Inputs!$B$32,0)))*(1-IF(AND(ArtifactsInput!$M$27,Inputs!$B$4="Chapter Hunt"),CHOOSE(ArtifactsInput!$N$27+1,20,24,28,32,36,40),0)/100)))+1)),0)</f>
        <v/>
      </c>
      <c r="S268">
        <f>IFERROR(O268/N268,0)</f>
        <v/>
      </c>
      <c r="T268">
        <f>IF(C268,(H268*N268*IF(AND(Inputs!$B$38&lt;&gt;"pvp",Inputs!$B$43&gt;0),((Skills!G5*((R268-1)*IF(Skills!H5&gt;0,INT(Skills!I5/Skills!H5+0.000000001),1)+IF(Skills!H5&gt;0,INT(MIN(Skills!I5,MAX(0,MAX(0,Inputs!$B$43-B305)-((R268-1)*(IF(Inputs!$B$38="pvp",15,MAX(0.1,Skills!D5-IF(TRUE=TRUE,Inputs!$B$32,0)))*(1-IF(AND(ArtifactsInput!$M$27,Inputs!$B$4="Chapter Hunt"),CHOOSE(ArtifactsInput!$N$27+1,20,24,28,32,36,40),0)/100)))))/Skills!H5+0.000000001),1)))/Inputs!$B$43),G268*Q268)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5*((R268-1)*IF(Skills!H5&gt;0,INT(Skills!I5/Skills!H5+0.000000001),1)+IF(Skills!H5&gt;0,INT(MIN(Skills!I5,MAX(0,MAX(0,Inputs!$B$43-B305)-((R268-1)*(IF(Inputs!$B$38="pvp",15,MAX(0.1,Skills!D5-IF(TRUE=TRUE,Inputs!$B$32,0)))*(1-IF(AND(ArtifactsInput!$M$27,Inputs!$B$4="Chapter Hunt"),CHOOSE(ArtifactsInput!$N$27+1,20,24,28,32,36,40),0)/100)))))/Skills!H5+0.000000001),1)))/Inputs!$B$43),G268*Q268))*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Skills!A6</f>
        <v/>
      </c>
      <c r="B269">
        <f>Skills!B6</f>
        <v/>
      </c>
      <c r="C269">
        <f>Inputs!$B$3&gt;=40</f>
        <v/>
      </c>
      <c r="D269">
        <f>IF(Skills!C6=1,60+Inputs!$B$25+Inputs!$B$29,IF(Skills!C6=2,90+Inputs!$B$26+Inputs!$B$29,IF(Skills!C6=3,120+Inputs!$B$27+Inputs!$B$29,MAX(0,(Inputs!$B$3-100)*3)+Inputs!$B$28+Inputs!$B$29)))</f>
        <v/>
      </c>
      <c r="E269">
        <f>INDEX(FactorTable!$B$2:$Y$301, MATCH(ROUND(MIN(300,MAX(1,D269)),0), FactorTable!$A$2:$A$301,0), Skills!M6+1)</f>
        <v/>
      </c>
      <c r="F269">
        <f>IF(Skills!N6=TRUE,(Skills!L6/10)*(E269/1000),Skills!L6/10)+Skills!O6</f>
        <v/>
      </c>
      <c r="G269">
        <f>Skills!G6*IF(Skills!H6&gt;0,INT(IF(Inputs!$B$38="pvp",MIN(Skills!I6,15),Skills!I6)/Skills!H6+0.000000001),1)</f>
        <v/>
      </c>
      <c r="H269">
        <f>1-(1-Skills!J6/100)^Skills!K6</f>
        <v/>
      </c>
      <c r="I269" t="inlineStr">
        <is>
          <t>1</t>
        </is>
      </c>
      <c r="J269">
        <f>((Inputs!$B$6*(1+Inputs!$B$7/100))+(((Inputs!$B$12*(1+Inputs!$B$13/100))-(Inputs!$B$12*(1+Inputs!$B$13/100)))+0.25*(Inputs!$B$14-Inputs!$B$14))*(1+Inputs!$B$7/100))*(F269/100)</f>
        <v/>
      </c>
      <c r="K269">
        <f>J269*(1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TRUE,F270,0)/100)*(1+(IF(Skills!A6="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289=TRUE)*(F289-Calc!F26)),(Inputs!$B$23+((C294=TRUE)*(F294-Calc!F31))+(IF(ArtifactsInput!$M$15,CHOOSE(ArtifactsInput!$N$15+1,25,30,35,40,45,50)/100*(Inputs!$B$11-Inputs!$B$11),0))))/100+(Inputs!$B$23+((C294=TRUE)*(F294-Calc!F31))+(IF(ArtifactsInput!$M$15,CHOOSE(ArtifactsInput!$N$15+1,25,30,35,40,45,50)/100*(Inputs!$B$11-Inputs!$B$11),0)))/100)/2</f>
        <v/>
      </c>
      <c r="M269">
        <f>L269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IF(B308=0,0,O269/B308)</f>
        <v/>
      </c>
      <c r="Q269">
        <f>IFERROR(1/(IF(Inputs!$B$38="pvp",15,MAX(0.1,1-0.4*MIN(1,(B300-1)/1.5)-IF(FALSE=TRUE,Inputs!$B$32,0)))*(1-IF(AND(ArtifactsInput!$M$27,Inputs!$B$4="Chapter Hunt"),CHOOSE(ArtifactsInput!$N$27+1,20,24,28,32,36,40),0)/100)),0)</f>
        <v/>
      </c>
      <c r="R269">
        <f>IF(AND(Inputs!$B$38&lt;&gt;"pvp",Inputs!$B$43&gt;0),IF(MAX(0,Inputs!$B$43-B305)&lt;=0,0,(INT(MAX(0,Inputs!$B$43-B305)/(IF(Inputs!$B$38="pvp",15,MAX(0.1,1-0.4*MIN(1,(B300-1)/1.5)-IF(FALSE=TRUE,Inputs!$B$32,0)))*(1-IF(AND(ArtifactsInput!$M$27,Inputs!$B$4="Chapter Hunt"),CHOOSE(ArtifactsInput!$N$27+1,20,24,28,32,36,40),0)/100)))+1)),0)</f>
        <v/>
      </c>
      <c r="S269">
        <f>IFERROR(O269/N269,0)</f>
        <v/>
      </c>
      <c r="T269">
        <f>IF(C269,(H269*N269*IF(AND(Inputs!$B$38&lt;&gt;"pvp",Inputs!$B$43&gt;0),((Skills!G6*((R269-1)*IF(Skills!H6&gt;0,INT(Skills!I6/Skills!H6+0.000000001),1)+IF(Skills!H6&gt;0,INT(MIN(Skills!I6,MAX(0,MAX(0,Inputs!$B$43-B305)-((R269-1)*(IF(Inputs!$B$38="pvp",15,MAX(0.1,1-0.4*MIN(1,(B300-1)/1.5)-IF(FALSE=TRUE,Inputs!$B$32,0)))*(1-IF(AND(ArtifactsInput!$M$27,Inputs!$B$4="Chapter Hunt"),CHOOSE(ArtifactsInput!$N$27+1,20,24,28,32,36,40),0)/100)))))/Skills!H6+0.000000001),1)))/Inputs!$B$43),G269*Q269)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6*((R269-1)*IF(Skills!H6&gt;0,INT(Skills!I6/Skills!H6+0.000000001),1)+IF(Skills!H6&gt;0,INT(MIN(Skills!I6,MAX(0,MAX(0,Inputs!$B$43-B305)-((R269-1)*(IF(Inputs!$B$38="pvp",15,MAX(0.1,1-0.4*MIN(1,(B300-1)/1.5)-IF(FALSE=TRUE,Inputs!$B$32,0)))*(1-IF(AND(ArtifactsInput!$M$27,Inputs!$B$4="Chapter Hunt"),CHOOSE(ArtifactsInput!$N$27+1,20,24,28,32,36,40),0)/100)))))/Skills!H6+0.000000001),1)))/Inputs!$B$43),G269*Q269))*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Skills!A7</f>
        <v/>
      </c>
      <c r="B270">
        <f>Skills!B7</f>
        <v/>
      </c>
      <c r="C270">
        <f>Inputs!$B$3&gt;=107</f>
        <v/>
      </c>
      <c r="D270">
        <f>IF(Skills!C7=1,60+Inputs!$B$25+Inputs!$B$29,IF(Skills!C7=2,90+Inputs!$B$26+Inputs!$B$29,IF(Skills!C7=3,120+Inputs!$B$27+Inputs!$B$29,MAX(0,(Inputs!$B$3-100)*3)+Inputs!$B$28+Inputs!$B$29)))</f>
        <v/>
      </c>
      <c r="E270">
        <f>INDEX(FactorTable!$B$2:$Y$301, MATCH(ROUND(MIN(300,MAX(1,D270)),0), FactorTable!$A$2:$A$301,0), Skills!M7+1)</f>
        <v/>
      </c>
      <c r="F270">
        <f>IF(Skills!N7=TRUE,(Skills!L7/10)*(E270/1000),Skills!L7/10)+Skills!O7</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Skills!A8</f>
        <v/>
      </c>
      <c r="B271">
        <f>Skills!B8</f>
        <v/>
      </c>
      <c r="C271">
        <f>Inputs!$B$3&gt;=130</f>
        <v/>
      </c>
      <c r="D271">
        <f>IF(Skills!C8=1,60+Inputs!$B$25+Inputs!$B$29,IF(Skills!C8=2,90+Inputs!$B$26+Inputs!$B$29,IF(Skills!C8=3,120+Inputs!$B$27+Inputs!$B$29,MAX(0,(Inputs!$B$3-100)*3)+Inputs!$B$28+Inputs!$B$29)))</f>
        <v/>
      </c>
      <c r="E271">
        <f>INDEX(FactorTable!$B$2:$Y$301, MATCH(ROUND(MIN(300,MAX(1,D271)),0), FactorTable!$A$2:$A$301,0), Skills!M8+1)</f>
        <v/>
      </c>
      <c r="F271">
        <f>IF(Skills!N8=TRUE,(Skills!L8/10)*(E271/1000),Skills!L8/10)+Skills!O8</f>
        <v/>
      </c>
      <c r="G271">
        <f>Skills!G8*IF(Skills!H8&gt;0,INT(IF(Inputs!$B$38="pvp",MIN(Skills!I8,15),Skills!I8)/Skills!H8+0.000000001),1)</f>
        <v/>
      </c>
      <c r="H271">
        <f>1-(1-Skills!J8/100)^Skills!K8</f>
        <v/>
      </c>
      <c r="I271" t="inlineStr">
        <is>
          <t>1</t>
        </is>
      </c>
      <c r="J271">
        <f>((Inputs!$B$6*(1+Inputs!$B$7/100))+(((Inputs!$B$12*(1+Inputs!$B$13/100))-(Inputs!$B$12*(1+Inputs!$B$13/100)))+0.25*(Inputs!$B$14-Inputs!$B$14))*(1+Inputs!$B$7/100))*(F271/100)</f>
        <v/>
      </c>
      <c r="K271">
        <f>J271*(1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289=TRUE)*(F289-Calc!F26)),(Inputs!$B$23+((C294=TRUE)*(F294-Calc!F31))+(IF(ArtifactsInput!$M$15,CHOOSE(ArtifactsInput!$N$15+1,25,30,35,40,45,50)/100*(Inputs!$B$11-Inputs!$B$11),0))))/100+(Inputs!$B$23+((C294=TRUE)*(F294-Calc!F31))+(IF(ArtifactsInput!$M$15,CHOOSE(ArtifactsInput!$N$15+1,25,30,35,40,45,50)/100*(Inputs!$B$11-Inputs!$B$11),0)))/100)/2</f>
        <v/>
      </c>
      <c r="M271">
        <f>L271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IF(B308=0,0,O271/B308)</f>
        <v/>
      </c>
      <c r="Q271">
        <f>IFERROR(1/(IF(Inputs!$B$38="pvp",15,MAX(0.1,1-0.4*MIN(1,(B300-1)/1.5)-IF(FALSE=TRUE,Inputs!$B$32,0)))*(1-IF(AND(ArtifactsInput!$M$27,Inputs!$B$4="Chapter Hunt"),CHOOSE(ArtifactsInput!$N$27+1,20,24,28,32,36,40),0)/100)),0)</f>
        <v/>
      </c>
      <c r="R271">
        <f>IF(AND(Inputs!$B$38&lt;&gt;"pvp",Inputs!$B$43&gt;0),IF(MAX(0,Inputs!$B$43-B305)&lt;=0,0,(INT(MAX(0,Inputs!$B$43-B305)/(IF(Inputs!$B$38="pvp",15,MAX(0.1,1-0.4*MIN(1,(B300-1)/1.5)-IF(FALSE=TRUE,Inputs!$B$32,0)))*(1-IF(AND(ArtifactsInput!$M$27,Inputs!$B$4="Chapter Hunt"),CHOOSE(ArtifactsInput!$N$27+1,20,24,28,32,36,40),0)/100)))+1)),0)</f>
        <v/>
      </c>
      <c r="S271">
        <f>IFERROR(O271/N271,0)</f>
        <v/>
      </c>
      <c r="T271">
        <f>IF(C271,(H271*N271*IF(AND(Inputs!$B$38&lt;&gt;"pvp",Inputs!$B$43&gt;0),((Skills!G8*((R271-1)*IF(Skills!H8&gt;0,INT(Skills!I8/Skills!H8+0.000000001),1)+IF(Skills!H8&gt;0,INT(MIN(Skills!I8,MAX(0,MAX(0,Inputs!$B$43-B305)-((R271-1)*(IF(Inputs!$B$38="pvp",15,MAX(0.1,1-0.4*MIN(1,(B300-1)/1.5)-IF(FALSE=TRUE,Inputs!$B$32,0)))*(1-IF(AND(ArtifactsInput!$M$27,Inputs!$B$4="Chapter Hunt"),CHOOSE(ArtifactsInput!$N$27+1,20,24,28,32,36,40),0)/100)))))/Skills!H8+0.000000001),1)))/Inputs!$B$43),G271*Q271)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8*((R271-1)*IF(Skills!H8&gt;0,INT(Skills!I8/Skills!H8+0.000000001),1)+IF(Skills!H8&gt;0,INT(MIN(Skills!I8,MAX(0,MAX(0,Inputs!$B$43-B305)-((R271-1)*(IF(Inputs!$B$38="pvp",15,MAX(0.1,1-0.4*MIN(1,(B300-1)/1.5)-IF(FALSE=TRUE,Inputs!$B$32,0)))*(1-IF(AND(ArtifactsInput!$M$27,Inputs!$B$4="Chapter Hunt"),CHOOSE(ArtifactsInput!$N$27+1,20,24,28,32,36,40),0)/100)))))/Skills!H8+0.000000001),1)))/Inputs!$B$43),G271*Q271))*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Skills!A9</f>
        <v/>
      </c>
      <c r="B272">
        <f>Skills!B9</f>
        <v/>
      </c>
      <c r="C272">
        <f>Inputs!$B$3&gt;=69</f>
        <v/>
      </c>
      <c r="D272">
        <f>IF(Skills!C9=1,60+Inputs!$B$25+Inputs!$B$29,IF(Skills!C9=2,90+Inputs!$B$26+Inputs!$B$29,IF(Skills!C9=3,120+Inputs!$B$27+Inputs!$B$29,MAX(0,(Inputs!$B$3-100)*3)+Inputs!$B$28+Inputs!$B$29)))</f>
        <v/>
      </c>
      <c r="E272">
        <f>INDEX(FactorTable!$B$2:$Y$301, MATCH(ROUND(MIN(300,MAX(1,D272)),0), FactorTable!$A$2:$A$301,0), Skills!M9+1)</f>
        <v/>
      </c>
      <c r="F272">
        <f>IF(Skills!N9=TRUE,(Skills!L9/10)*(E272/1000),Skills!L9/10)+Skills!O9</f>
        <v/>
      </c>
      <c r="G272">
        <f>Skills!G9*IF(Skills!H9&gt;0,INT(IF(Inputs!$B$38="pvp",MIN(Skills!I9,15),Skills!I9)/Skills!H9+0.000000001),1)</f>
        <v/>
      </c>
      <c r="H272">
        <f>1-(1-Skills!J9/100)^Skills!K9</f>
        <v/>
      </c>
      <c r="I272" t="inlineStr">
        <is>
          <t>1</t>
        </is>
      </c>
      <c r="J272">
        <f>((Inputs!$B$6*(1+Inputs!$B$7/100))+(((Inputs!$B$12*(1+Inputs!$B$13/100))-(Inputs!$B$12*(1+Inputs!$B$13/100)))+0.25*(Inputs!$B$14-Inputs!$B$14))*(1+Inputs!$B$7/100))*(F272/100)</f>
        <v/>
      </c>
      <c r="K272">
        <f>J272*(1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275=TRUE,F275,0)/100)*(1+(IF(Skills!A9="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289=TRUE)*(F289-Calc!F26)),(Inputs!$B$23+((C294=TRUE)*(F294-Calc!F31))+(IF(ArtifactsInput!$M$15,CHOOSE(ArtifactsInput!$N$15+1,25,30,35,40,45,50)/100*(Inputs!$B$11-Inputs!$B$11),0))))/100+(Inputs!$B$23+((C294=TRUE)*(F294-Calc!F31))+(IF(ArtifactsInput!$M$15,CHOOSE(ArtifactsInput!$N$15+1,25,30,35,40,45,50)/100*(Inputs!$B$11-Inputs!$B$11),0)))/100)/2</f>
        <v/>
      </c>
      <c r="M272">
        <f>L272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IF(B308=0,0,O272/B308)</f>
        <v/>
      </c>
      <c r="Q272">
        <f>IFERROR(1/(IF(Inputs!$B$38="pvp",15,MAX(0.1,Skills!D9-IF(TRUE=TRUE,Inputs!$B$32,0)))*(1-IF(AND(ArtifactsInput!$M$27,Inputs!$B$4="Chapter Hunt"),CHOOSE(ArtifactsInput!$N$27+1,20,24,28,32,36,40),0)/100)),0)</f>
        <v/>
      </c>
      <c r="R272">
        <f>IF(AND(Inputs!$B$38&lt;&gt;"pvp",Inputs!$B$43&gt;0),IF(MAX(0,Inputs!$B$43-B305)&lt;=0,0,(INT(MAX(0,Inputs!$B$43-B305)/(IF(Inputs!$B$38="pvp",15,MAX(0.1,Skills!D9-IF(TRUE=TRUE,Inputs!$B$32,0)))*(1-IF(AND(ArtifactsInput!$M$27,Inputs!$B$4="Chapter Hunt"),CHOOSE(ArtifactsInput!$N$27+1,20,24,28,32,36,40),0)/100)))+1)),0)</f>
        <v/>
      </c>
      <c r="S272">
        <f>IFERROR(O272/N272,0)</f>
        <v/>
      </c>
      <c r="T272">
        <f>IF(C272,(H272*N272*IF(AND(Inputs!$B$38&lt;&gt;"pvp",Inputs!$B$43&gt;0),((Skills!G9*((R272-1)*IF(Skills!H9&gt;0,INT(Skills!I9/Skills!H9+0.000000001),1)+IF(Skills!H9&gt;0,INT(MIN(Skills!I9,MAX(0,MAX(0,Inputs!$B$43-B305)-((R272-1)*(IF(Inputs!$B$38="pvp",15,MAX(0.1,Skills!D9-IF(TRUE=TRUE,Inputs!$B$32,0)))*(1-IF(AND(ArtifactsInput!$M$27,Inputs!$B$4="Chapter Hunt"),CHOOSE(ArtifactsInput!$N$27+1,20,24,28,32,36,40),0)/100)))))/Skills!H9+0.000000001),1)))/Inputs!$B$43),G272*Q272)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9*((R272-1)*IF(Skills!H9&gt;0,INT(Skills!I9/Skills!H9+0.000000001),1)+IF(Skills!H9&gt;0,INT(MIN(Skills!I9,MAX(0,MAX(0,Inputs!$B$43-B305)-((R272-1)*(IF(Inputs!$B$38="pvp",15,MAX(0.1,Skills!D9-IF(TRUE=TRUE,Inputs!$B$32,0)))*(1-IF(AND(ArtifactsInput!$M$27,Inputs!$B$4="Chapter Hunt"),CHOOSE(ArtifactsInput!$N$27+1,20,24,28,32,36,40),0)/100)))))/Skills!H9+0.000000001),1)))/Inputs!$B$43),G272*Q272))*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Skills!A10</f>
        <v/>
      </c>
      <c r="B273">
        <f>Skills!B10</f>
        <v/>
      </c>
      <c r="C273">
        <f>Inputs!$B$3&gt;=63</f>
        <v/>
      </c>
      <c r="D273">
        <f>IF(Skills!C10=1,60+Inputs!$B$25+Inputs!$B$29,IF(Skills!C10=2,90+Inputs!$B$26+Inputs!$B$29,IF(Skills!C10=3,120+Inputs!$B$27+Inputs!$B$29,MAX(0,(Inputs!$B$3-100)*3)+Inputs!$B$28+Inputs!$B$29)))</f>
        <v/>
      </c>
      <c r="E273">
        <f>INDEX(FactorTable!$B$2:$Y$301, MATCH(ROUND(MIN(300,MAX(1,D273)),0), FactorTable!$A$2:$A$301,0), Skills!M10+1)</f>
        <v/>
      </c>
      <c r="F273">
        <f>IF(Skills!N10=TRUE,(Skills!L10/10)*(E273/1000),Skills!L10/10)+Skills!O10</f>
        <v/>
      </c>
      <c r="G273">
        <f>Skills!G10*IF(Skills!H10&gt;0,INT(IF(Inputs!$B$38="pvp",MIN(Skills!I10,15),Skills!I10)/Skills!H10+0.000000001),1)</f>
        <v/>
      </c>
      <c r="H273">
        <f>1-(1-Skills!J10/100)^Skills!K10</f>
        <v/>
      </c>
      <c r="I273" t="inlineStr">
        <is>
          <t>1</t>
        </is>
      </c>
      <c r="J273">
        <f>((Inputs!$B$6*(1+Inputs!$B$7/100))+(((Inputs!$B$12*(1+Inputs!$B$13/100))-(Inputs!$B$12*(1+Inputs!$B$13/100)))+0.25*(Inputs!$B$14-Inputs!$B$14))*(1+Inputs!$B$7/100))*(F273/100)</f>
        <v/>
      </c>
      <c r="K273">
        <f>J273*(1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TRUE,F275,0)/100)*(1+(IF(Skills!A10="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289=TRUE)*(F289-Calc!F26)),(Inputs!$B$23+((C294=TRUE)*(F294-Calc!F31))+(IF(ArtifactsInput!$M$15,CHOOSE(ArtifactsInput!$N$15+1,25,30,35,40,45,50)/100*(Inputs!$B$11-Inputs!$B$11),0))))/100+(Inputs!$B$23+((C294=TRUE)*(F294-Calc!F31))+(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f>IFERROR(1/(IF(Inputs!$B$38="pvp",15,MAX(0.1,Skills!D10-IF(TRUE=TRUE,Inputs!$B$32,0)))*(1-IF(AND(ArtifactsInput!$M$27,Inputs!$B$4="Chapter Hunt"),CHOOSE(ArtifactsInput!$N$27+1,20,24,28,32,36,40),0)/100)),0)</f>
        <v/>
      </c>
      <c r="R273">
        <f>IF(AND(Inputs!$B$38&lt;&gt;"pvp",Inputs!$B$43&gt;0),IF(MAX(0,Inputs!$B$43-B305)&lt;=0,0,(INT(MAX(0,Inputs!$B$43-B305)/(IF(Inputs!$B$38="pvp",15,MAX(0.1,Skills!D10-IF(TRUE=TRUE,Inputs!$B$32,0)))*(1-IF(AND(ArtifactsInput!$M$27,Inputs!$B$4="Chapter Hunt"),CHOOSE(ArtifactsInput!$N$27+1,20,24,28,32,36,40),0)/100)))+1)),0)</f>
        <v/>
      </c>
      <c r="S273">
        <f>IFERROR(O273/N273,0)</f>
        <v/>
      </c>
      <c r="T273">
        <f>IF(C273,(H273*N273*IF(AND(Inputs!$B$38&lt;&gt;"pvp",Inputs!$B$43&gt;0),((Skills!G10*((R273-1)*IF(Skills!H10&gt;0,INT(Skills!I10/Skills!H10+0.000000001),1)+IF(Skills!H10&gt;0,INT(MIN(Skills!I10,MAX(0,MAX(0,Inputs!$B$43-B305)-((R273-1)*(IF(Inputs!$B$38="pvp",15,MAX(0.1,Skills!D10-IF(TRUE=TRUE,Inputs!$B$32,0)))*(1-IF(AND(ArtifactsInput!$M$27,Inputs!$B$4="Chapter Hunt"),CHOOSE(ArtifactsInput!$N$27+1,20,24,28,32,36,40),0)/100)))))/Skills!H10+0.000000001),1)))/Inputs!$B$43),G273*Q273)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10*((R273-1)*IF(Skills!H10&gt;0,INT(Skills!I10/Skills!H10+0.000000001),1)+IF(Skills!H10&gt;0,INT(MIN(Skills!I10,MAX(0,MAX(0,Inputs!$B$43-B305)-((R273-1)*(IF(Inputs!$B$38="pvp",15,MAX(0.1,Skills!D10-IF(TRUE=TRUE,Inputs!$B$32,0)))*(1-IF(AND(ArtifactsInput!$M$27,Inputs!$B$4="Chapter Hunt"),CHOOSE(ArtifactsInput!$N$27+1,20,24,28,32,36,40),0)/100)))))/Skills!H10+0.000000001),1)))/Inputs!$B$43),G273*Q273))*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Skills!A11</f>
        <v/>
      </c>
      <c r="B274">
        <f>Skills!B11</f>
        <v/>
      </c>
      <c r="C274">
        <f>Inputs!$B$3&gt;=103</f>
        <v/>
      </c>
      <c r="D274">
        <f>IF(Skills!C11=1,60+Inputs!$B$25+Inputs!$B$29,IF(Skills!C11=2,90+Inputs!$B$26+Inputs!$B$29,IF(Skills!C11=3,120+Inputs!$B$27+Inputs!$B$29,MAX(0,(Inputs!$B$3-100)*3)+Inputs!$B$28+Inputs!$B$29)))</f>
        <v/>
      </c>
      <c r="E274">
        <f>INDEX(FactorTable!$B$2:$Y$301, MATCH(ROUND(MIN(300,MAX(1,D274)),0), FactorTable!$A$2:$A$301,0), Skills!M11+1)</f>
        <v/>
      </c>
      <c r="F274">
        <f>IF(Skills!N11=TRUE,(Skills!L11/10)*(E274/1000),Skills!L11/10)+Skills!O11</f>
        <v/>
      </c>
      <c r="G274">
        <f>Skills!G11*IF(Skills!H11&gt;0,INT(IF(Inputs!$B$38="pvp",MIN(Skills!I11,15),Skills!I11)/Skills!H11+0.000000001),1)</f>
        <v/>
      </c>
      <c r="H274">
        <f>1-(1-Skills!J11/100)^Skills!K11</f>
        <v/>
      </c>
      <c r="I274" t="inlineStr">
        <is>
          <t>1</t>
        </is>
      </c>
      <c r="J274">
        <f>((Inputs!$B$6*(1+Inputs!$B$7/100))+(((Inputs!$B$12*(1+Inputs!$B$13/100))-(Inputs!$B$12*(1+Inputs!$B$13/100)))+0.25*(Inputs!$B$14-Inputs!$B$14))*(1+Inputs!$B$7/100))*(F274/100)</f>
        <v/>
      </c>
      <c r="K274">
        <f>J274*(1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289=TRUE)*(F289-Calc!F26)),(Inputs!$B$23+((C294=TRUE)*(F294-Calc!F31))+(IF(ArtifactsInput!$M$15,CHOOSE(ArtifactsInput!$N$15+1,25,30,35,40,45,50)/100*(Inputs!$B$11-Inputs!$B$11),0))))/100+(Inputs!$B$23+((C294=TRUE)*(F294-Calc!F31))+(IF(ArtifactsInput!$M$15,CHOOSE(ArtifactsInput!$N$15+1,25,30,35,40,45,50)/100*(Inputs!$B$11-Inputs!$B$11),0)))/100)/2</f>
        <v/>
      </c>
      <c r="M274">
        <f>L274*(1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IF(B308=0,0,O274/B308)</f>
        <v/>
      </c>
      <c r="Q274">
        <f>IFERROR(1/(IF(Inputs!$B$38="pvp",15,MAX(0.1,Skills!D11-IF(TRUE=TRUE,Inputs!$B$32,0)))*(1-IF(AND(ArtifactsInput!$M$27,Inputs!$B$4="Chapter Hunt"),CHOOSE(ArtifactsInput!$N$27+1,20,24,28,32,36,40),0)/100)),0)</f>
        <v/>
      </c>
      <c r="R274">
        <f>IF(AND(Inputs!$B$38&lt;&gt;"pvp",Inputs!$B$43&gt;0),IF(MAX(0,Inputs!$B$43-B305)&lt;=0,0,(INT(MAX(0,Inputs!$B$43-B305)/(IF(Inputs!$B$38="pvp",15,MAX(0.1,Skills!D11-IF(TRUE=TRUE,Inputs!$B$32,0)))*(1-IF(AND(ArtifactsInput!$M$27,Inputs!$B$4="Chapter Hunt"),CHOOSE(ArtifactsInput!$N$27+1,20,24,28,32,36,40),0)/100)))+1)),0)</f>
        <v/>
      </c>
      <c r="S274">
        <f>IFERROR(O274/N274,0)</f>
        <v/>
      </c>
      <c r="T274">
        <f>IF(C274,(H274*N274*IF(AND(Inputs!$B$38&lt;&gt;"pvp",Inputs!$B$43&gt;0),((Skills!G11*((R274-1)*IF(Skills!H11&gt;0,INT(Skills!I11/Skills!H11+0.000000001),1)+IF(Skills!H11&gt;0,INT(MIN(Skills!I11,MAX(0,MAX(0,Inputs!$B$43-B305)-((R274-1)*(IF(Inputs!$B$38="pvp",15,MAX(0.1,Skills!D11-IF(TRUE=TRUE,Inputs!$B$32,0)))*(1-IF(AND(ArtifactsInput!$M$27,Inputs!$B$4="Chapter Hunt"),CHOOSE(ArtifactsInput!$N$27+1,20,24,28,32,36,40),0)/100)))))/Skills!H11+0.000000001),1)))/Inputs!$B$43),G274*Q274)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11*((R274-1)*IF(Skills!H11&gt;0,INT(Skills!I11/Skills!H11+0.000000001),1)+IF(Skills!H11&gt;0,INT(MIN(Skills!I11,MAX(0,MAX(0,Inputs!$B$43-B305)-((R274-1)*(IF(Inputs!$B$38="pvp",15,MAX(0.1,Skills!D11-IF(TRUE=TRUE,Inputs!$B$32,0)))*(1-IF(AND(ArtifactsInput!$M$27,Inputs!$B$4="Chapter Hunt"),CHOOSE(ArtifactsInput!$N$27+1,20,24,28,32,36,40),0)/100)))))/Skills!H11+0.000000001),1)))/Inputs!$B$43),G274*Q274))*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Skills!A12</f>
        <v/>
      </c>
      <c r="B275">
        <f>Skills!B12</f>
        <v/>
      </c>
      <c r="C275">
        <f>Inputs!$B$3&gt;=100</f>
        <v/>
      </c>
      <c r="D275">
        <f>IF(Skills!C12=1,60+Inputs!$B$25+Inputs!$B$29,IF(Skills!C12=2,90+Inputs!$B$26+Inputs!$B$29,IF(Skills!C12=3,120+Inputs!$B$27+Inputs!$B$29,MAX(0,(Inputs!$B$3-100)*3)+Inputs!$B$28+Inputs!$B$29)))</f>
        <v/>
      </c>
      <c r="E275">
        <f>INDEX(FactorTable!$B$2:$Y$301, MATCH(ROUND(MIN(300,MAX(1,D275)),0), FactorTable!$A$2:$A$301,0), Skills!M12+1)</f>
        <v/>
      </c>
      <c r="F275">
        <f>IF(Skills!N12=TRUE,(Skills!L12/10)*(E275/1000),Skills!L12/10)+Skills!O12</f>
        <v/>
      </c>
      <c r="G275" t="inlineStr"/>
      <c r="H275" t="inlineStr"/>
      <c r="I275" t="inlineStr">
        <is>
          <t>1</t>
        </is>
      </c>
      <c r="J275" t="inlineStr"/>
      <c r="K275" t="inlineStr"/>
      <c r="L275" t="inlineStr"/>
      <c r="M275" t="inlineStr"/>
      <c r="N275" t="inlineStr"/>
      <c r="O275" t="inlineStr"/>
      <c r="P275" t="inlineStr"/>
      <c r="Q275" t="inlineStr"/>
      <c r="R275" t="inlineStr"/>
      <c r="S275" t="inlineStr"/>
      <c r="T275" t="inlineStr"/>
      <c r="V275" t="inlineStr"/>
    </row>
    <row r="276">
      <c r="A276">
        <f>Skills!A13</f>
        <v/>
      </c>
      <c r="B276">
        <f>Skills!B13</f>
        <v/>
      </c>
      <c r="C276">
        <f>Inputs!$B$3&gt;=60</f>
        <v/>
      </c>
      <c r="D276">
        <f>IF(Skills!C13=1,60+Inputs!$B$25+Inputs!$B$29,IF(Skills!C13=2,90+Inputs!$B$26+Inputs!$B$29,IF(Skills!C13=3,120+Inputs!$B$27+Inputs!$B$29,MAX(0,(Inputs!$B$3-100)*3)+Inputs!$B$28+Inputs!$B$29)))</f>
        <v/>
      </c>
      <c r="E276">
        <f>INDEX(FactorTable!$B$2:$Y$301, MATCH(ROUND(MIN(300,MAX(1,D276)),0), FactorTable!$A$2:$A$301,0), Skills!M13+1)</f>
        <v/>
      </c>
      <c r="F276">
        <f>IF(Skills!N13=TRUE,(Skills!L13/10)*(E276/1000),Skills!L13/10)+Skills!O13</f>
        <v/>
      </c>
      <c r="G276">
        <f>Skills!G13*IF(Skills!H13&gt;0,INT(IF(Inputs!$B$38="pvp",MIN(Skills!I13,15),Skills!I13)/Skills!H13+0.000000001),1)</f>
        <v/>
      </c>
      <c r="H276">
        <f>1-(1-Skills!J13/100)^Skills!K13</f>
        <v/>
      </c>
      <c r="I276" t="inlineStr">
        <is>
          <t>1</t>
        </is>
      </c>
      <c r="J276">
        <f>((Inputs!$B$6*(1+Inputs!$B$7/100))+(((Inputs!$B$12*(1+Inputs!$B$13/100))-(Inputs!$B$12*(1+Inputs!$B$13/100)))+0.25*(Inputs!$B$14-Inputs!$B$14))*(1+Inputs!$B$7/100))*(F276/100)</f>
        <v/>
      </c>
      <c r="K276">
        <f>J276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TRUE,F277,0)/100)*(1+(IF(Skills!A13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289=TRUE)*(F289-Calc!F26)),(Inputs!$B$23+((C294=TRUE)*(F294-Calc!F31))+(IF(ArtifactsInput!$M$15,CHOOSE(ArtifactsInput!$N$15+1,25,30,35,40,45,50)/100*(Inputs!$B$11-Inputs!$B$11),0))))/100+(Inputs!$B$23+((C294=TRUE)*(F294-Calc!F31))+(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IFERROR(1/(IF(Inputs!$B$38="pvp",15,MAX(0.1,IF(Inputs!$B$3&gt;=122,3,5)+1/(((20+30*(B300-1)*100/150)/100)*B300)-IF(FALSE=TRUE,Inputs!$B$32,0)))*(1-IF(AND(ArtifactsInput!$M$27,Inputs!$B$4="Chapter Hunt"),CHOOSE(ArtifactsInput!$N$27+1,20,24,28,32,36,40),0)/100)),0)</f>
        <v/>
      </c>
      <c r="R276">
        <f>IF(AND(Inputs!$B$38&lt;&gt;"pvp",Inputs!$B$43&gt;0),IF(MAX(0,Inputs!$B$43-B305)&lt;=0,0,(INT(MAX(0,Inputs!$B$43-B305)/(IF(Inputs!$B$38="pvp",15,MAX(0.1,IF(Inputs!$B$3&gt;=122,3,5)+1/(((20+30*(B300-1)*100/150)/100)*B300)-IF(FALSE=TRUE,Inputs!$B$32,0)))*(1-IF(AND(ArtifactsInput!$M$27,Inputs!$B$4="Chapter Hunt"),CHOOSE(ArtifactsInput!$N$27+1,20,24,28,32,36,40),0)/100)))+1)),0)</f>
        <v/>
      </c>
      <c r="S276">
        <f>IFERROR(O276/N276,0)</f>
        <v/>
      </c>
      <c r="T276">
        <f>IF(C276,(H276*N276*IF(AND(Inputs!$B$38&lt;&gt;"pvp",Inputs!$B$43&gt;0),((Skills!G13*((R276-1)*IF(Skills!H13&gt;0,INT(Skills!I13/Skills!H13+0.000000001),1)+IF(Skills!H13&gt;0,INT(MIN(Skills!I13,MAX(0,MAX(0,Inputs!$B$43-B305)-((R276-1)*(IF(Inputs!$B$38="pvp",15,MAX(0.1,IF(Inputs!$B$3&gt;=122,3,5)+1/(((20+30*(B300-1)*100/150)/100)*B300)-IF(FALSE=TRUE,Inputs!$B$32,0)))*(1-IF(AND(ArtifactsInput!$M$27,Inputs!$B$4="Chapter Hunt"),CHOOSE(ArtifactsInput!$N$27+1,20,24,28,32,36,40),0)/100)))))/Skills!H13+0.000000001),1)))/Inputs!$B$43),G276*Q276)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13*((R276-1)*IF(Skills!H13&gt;0,INT(Skills!I13/Skills!H13+0.000000001),1)+IF(Skills!H13&gt;0,INT(MIN(Skills!I13,MAX(0,MAX(0,Inputs!$B$43-B305)-((R276-1)*(IF(Inputs!$B$38="pvp",15,MAX(0.1,IF(Inputs!$B$3&gt;=122,3,5)+1/(((20+30*(B300-1)*100/150)/100)*B300)-IF(FALSE=TRUE,Inputs!$B$32,0)))*(1-IF(AND(ArtifactsInput!$M$27,Inputs!$B$4="Chapter Hunt"),CHOOSE(ArtifactsInput!$N$27+1,20,24,28,32,36,40),0)/100)))))/Skills!H13+0.000000001),1)))/Inputs!$B$43),G276*Q276))*IF(Inputs!$B$38="pvp",1,(1+(Inputs!$B$21+Skills!Q13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Skills!A14</f>
        <v/>
      </c>
      <c r="B277">
        <f>Skills!B14</f>
        <v/>
      </c>
      <c r="C277">
        <f>Inputs!$B$3&gt;=110</f>
        <v/>
      </c>
      <c r="D277">
        <f>IF(Skills!C14=1,60+Inputs!$B$25+Inputs!$B$29,IF(Skills!C14=2,90+Inputs!$B$26+Inputs!$B$29,IF(Skills!C14=3,120+Inputs!$B$27+Inputs!$B$29,MAX(0,(Inputs!$B$3-100)*3)+Inputs!$B$28+Inputs!$B$29)))</f>
        <v/>
      </c>
      <c r="E277">
        <f>INDEX(FactorTable!$B$2:$Y$301, MATCH(ROUND(MIN(300,MAX(1,D277)),0), FactorTable!$A$2:$A$301,0), Skills!M14+1)</f>
        <v/>
      </c>
      <c r="F277">
        <f>IF(Skills!N14=TRUE,(Skills!L14/10)*(E277/1000),Skills!L14/10)+Skills!O14</f>
        <v/>
      </c>
      <c r="G277" t="inlineStr"/>
      <c r="H277" t="inlineStr"/>
      <c r="I277" t="inlineStr">
        <is>
          <t>1</t>
        </is>
      </c>
      <c r="J277" t="inlineStr"/>
      <c r="K277" t="inlineStr"/>
      <c r="L277" t="inlineStr"/>
      <c r="M277" t="inlineStr"/>
      <c r="N277" t="inlineStr"/>
      <c r="O277" t="inlineStr"/>
      <c r="P277" t="inlineStr"/>
      <c r="Q277" t="inlineStr"/>
      <c r="R277" t="inlineStr"/>
      <c r="S277" t="inlineStr"/>
      <c r="T277" t="inlineStr"/>
      <c r="V277" t="inlineStr"/>
    </row>
    <row r="278">
      <c r="A278">
        <f>Skills!A15</f>
        <v/>
      </c>
      <c r="B278">
        <f>Skills!B15</f>
        <v/>
      </c>
      <c r="C278">
        <f>Inputs!$B$3&gt;=74</f>
        <v/>
      </c>
      <c r="D278">
        <f>IF(Skills!C15=1,60+Inputs!$B$25+Inputs!$B$29,IF(Skills!C15=2,90+Inputs!$B$26+Inputs!$B$29,IF(Skills!C15=3,120+Inputs!$B$27+Inputs!$B$29,MAX(0,(Inputs!$B$3-100)*3)+Inputs!$B$28+Inputs!$B$29)))</f>
        <v/>
      </c>
      <c r="E278">
        <f>INDEX(FactorTable!$B$2:$Y$301, MATCH(ROUND(MIN(300,MAX(1,D278)),0), FactorTable!$A$2:$A$301,0), Skills!M15+1)</f>
        <v/>
      </c>
      <c r="F278">
        <f>IF(Skills!N15=TRUE,(Skills!L15/10)*(E278/1000),Skills!L15/10)+Skills!O15</f>
        <v/>
      </c>
      <c r="G278">
        <f>Skills!G15*IF(Skills!H15&gt;0,INT(IF(Inputs!$B$38="pvp",MIN(Skills!I15,15),Skills!I15)/Skills!H15+0.000000001),1)</f>
        <v/>
      </c>
      <c r="H278">
        <f>1-(1-Skills!J15/100)^Skills!K15</f>
        <v/>
      </c>
      <c r="I278" t="inlineStr">
        <is>
          <t>1</t>
        </is>
      </c>
      <c r="J278" t="inlineStr"/>
      <c r="K278" t="inlineStr"/>
      <c r="L278" t="inlineStr"/>
      <c r="M278" t="inlineStr"/>
      <c r="N278" t="inlineStr"/>
      <c r="O278">
        <f>(1-Summary!$B$11)*T278+Summary!$B$11*V278</f>
        <v/>
      </c>
      <c r="P278">
        <f>IF(B308=0,0,O278/B308)</f>
        <v/>
      </c>
      <c r="Q278" t="n">
        <v>0</v>
      </c>
      <c r="R278" t="n">
        <v>0</v>
      </c>
      <c r="S278">
        <f>IFERROR(O278/N278,0)</f>
        <v/>
      </c>
      <c r="T278" t="n">
        <v>0</v>
      </c>
      <c r="V278" t="n">
        <v>0</v>
      </c>
    </row>
    <row r="279">
      <c r="A279">
        <f>Skills!A16</f>
        <v/>
      </c>
      <c r="B279">
        <f>Skills!B16</f>
        <v/>
      </c>
      <c r="C279">
        <f>Inputs!$B$3&gt;=74</f>
        <v/>
      </c>
      <c r="D279">
        <f>IF(Skills!C16=1,60+Inputs!$B$25+Inputs!$B$29,IF(Skills!C16=2,90+Inputs!$B$26+Inputs!$B$29,IF(Skills!C16=3,120+Inputs!$B$27+Inputs!$B$29,MAX(0,(Inputs!$B$3-100)*3)+Inputs!$B$28+Inputs!$B$29)))</f>
        <v/>
      </c>
      <c r="E279">
        <f>INDEX(FactorTable!$B$2:$Y$301, MATCH(ROUND(MIN(300,MAX(1,D279)),0), FactorTable!$A$2:$A$301,0), Skills!M16+1)</f>
        <v/>
      </c>
      <c r="F279">
        <f>IF(Skills!N16=TRUE,(Skills!L16/10)*(E279/1000),Skills!L16/10)+Skills!O16</f>
        <v/>
      </c>
      <c r="G279">
        <f>Skills!G16*IF(Skills!H16&gt;0,INT(IF(Inputs!$B$38="pvp",MIN(Skills!I16,15),Skills!I16)/Skills!H16+0.000000001),1)</f>
        <v/>
      </c>
      <c r="H279">
        <f>1-(1-Skills!J16/100)^Skills!K16</f>
        <v/>
      </c>
      <c r="I279" t="inlineStr">
        <is>
          <t>1</t>
        </is>
      </c>
      <c r="J279" t="inlineStr"/>
      <c r="K279" t="inlineStr"/>
      <c r="L279" t="inlineStr"/>
      <c r="M279" t="inlineStr"/>
      <c r="N279" t="inlineStr"/>
      <c r="O279">
        <f>(1-Summary!$B$11)*T279+Summary!$B$11*V279</f>
        <v/>
      </c>
      <c r="P279">
        <f>IF(B308=0,0,O279/B308)</f>
        <v/>
      </c>
      <c r="Q279" t="n">
        <v>0</v>
      </c>
      <c r="R279" t="n">
        <v>0</v>
      </c>
      <c r="S279">
        <f>IFERROR(O279/N279,0)</f>
        <v/>
      </c>
      <c r="T279" t="n">
        <v>0</v>
      </c>
      <c r="V279" t="n">
        <v>0</v>
      </c>
    </row>
    <row r="280">
      <c r="A280">
        <f>Skills!A17</f>
        <v/>
      </c>
      <c r="B280">
        <f>Skills!B17</f>
        <v/>
      </c>
      <c r="C280">
        <f>Inputs!$B$3&gt;=117</f>
        <v/>
      </c>
      <c r="D280">
        <f>IF(Skills!C17=1,60+Inputs!$B$25+Inputs!$B$29,IF(Skills!C17=2,90+Inputs!$B$26+Inputs!$B$29,IF(Skills!C17=3,120+Inputs!$B$27+Inputs!$B$29,MAX(0,(Inputs!$B$3-100)*3)+Inputs!$B$28+Inputs!$B$29)))</f>
        <v/>
      </c>
      <c r="E280">
        <f>INDEX(FactorTable!$B$2:$Y$301, MATCH(ROUND(MIN(300,MAX(1,D280)),0), FactorTable!$A$2:$A$301,0), Skills!M17+1)</f>
        <v/>
      </c>
      <c r="F280">
        <f>IF(Skills!N17=TRUE,(Skills!L17/10)*(E280/1000),Skills!L17/10)+Skills!O17</f>
        <v/>
      </c>
      <c r="G280">
        <f>Skills!G17*IF(Skills!H17&gt;0,INT(IF(Inputs!$B$38="pvp",MIN(Skills!I17,15),Skills!I17)/Skills!H17+0.000000001),1)</f>
        <v/>
      </c>
      <c r="H280">
        <f>1-(1-Skills!J17/100)^Skills!K17</f>
        <v/>
      </c>
      <c r="I280" t="inlineStr">
        <is>
          <t>1</t>
        </is>
      </c>
      <c r="J280" t="inlineStr"/>
      <c r="K280" t="inlineStr"/>
      <c r="L280" t="inlineStr"/>
      <c r="M280" t="inlineStr"/>
      <c r="N280" t="inlineStr"/>
      <c r="O280">
        <f>(1-Summary!$B$11)*T280+Summary!$B$11*V280</f>
        <v/>
      </c>
      <c r="P280">
        <f>IF(B308=0,0,O280/B308)</f>
        <v/>
      </c>
      <c r="Q280">
        <f>IFERROR(1/(IF(Inputs!$B$38="pvp",15,MAX(0.1,Skills!D17-IF(TRUE=TRUE,Inputs!$B$32,0)))*(1-IF(AND(ArtifactsInput!$M$27,Inputs!$B$4="Chapter Hunt"),CHOOSE(ArtifactsInput!$N$27+1,20,24,28,32,36,40),0)/100)),0)</f>
        <v/>
      </c>
      <c r="R280">
        <f>IF(AND(Inputs!$B$38&lt;&gt;"pvp",Inputs!$B$43&gt;0),IF(Inputs!$B$43&lt;=0,0,(INT(Inputs!$B$43/(IF(Inputs!$B$38="pvp",15,MAX(0.1,Skills!D17-IF(TRUE=TRUE,Inputs!$B$32,0)))*(1-IF(AND(ArtifactsInput!$M$27,Inputs!$B$4="Chapter Hunt"),CHOOSE(ArtifactsInput!$N$27+1,20,24,28,32,36,40),0)/100)))+1)),0)</f>
        <v/>
      </c>
      <c r="S280">
        <f>IFERROR(O280/N280,0)</f>
        <v/>
      </c>
      <c r="T280" t="n">
        <v>0</v>
      </c>
      <c r="V280" t="n">
        <v>0</v>
      </c>
    </row>
    <row r="281">
      <c r="A281">
        <f>Skills!A18</f>
        <v/>
      </c>
      <c r="B281">
        <f>Skills!B18</f>
        <v/>
      </c>
      <c r="C281">
        <f>Inputs!$B$3&gt;=115</f>
        <v/>
      </c>
      <c r="D281">
        <f>IF(Skills!C18=1,60+Inputs!$B$25+Inputs!$B$29,IF(Skills!C18=2,90+Inputs!$B$26+Inputs!$B$29,IF(Skills!C18=3,120+Inputs!$B$27+Inputs!$B$29,MAX(0,(Inputs!$B$3-100)*3)+Inputs!$B$28+Inputs!$B$29)))</f>
        <v/>
      </c>
      <c r="E281">
        <f>INDEX(FactorTable!$B$2:$Y$301, MATCH(ROUND(MIN(300,MAX(1,D281)),0), FactorTable!$A$2:$A$301,0), Skills!M18+1)</f>
        <v/>
      </c>
      <c r="F281">
        <f>IF(Skills!N18=TRUE,(Skills!L18/10)*(E281/1000),Skills!L18/10)+Skills!O18</f>
        <v/>
      </c>
      <c r="G281">
        <f>Skills!G18*IF(Skills!H18&gt;0,INT(IF(Inputs!$B$38="pvp",MIN(Skills!I18,15),Skills!I18)/Skills!H18+0.000000001),1)</f>
        <v/>
      </c>
      <c r="H281">
        <f>1-(1-Skills!J18/100)^Skills!K18</f>
        <v/>
      </c>
      <c r="I281" t="inlineStr">
        <is>
          <t>1</t>
        </is>
      </c>
      <c r="J281" t="inlineStr"/>
      <c r="K281" t="inlineStr"/>
      <c r="L281" t="inlineStr"/>
      <c r="M281" t="inlineStr"/>
      <c r="N281" t="inlineStr"/>
      <c r="O281">
        <f>(1-Summary!$B$11)*T281+Summary!$B$11*V281</f>
        <v/>
      </c>
      <c r="P281">
        <f>IF(B308=0,0,O281/B308)</f>
        <v/>
      </c>
      <c r="Q281">
        <f>IFERROR(1/(IF(Inputs!$B$38="pvp",15,MAX(0.1,Skills!D18-IF(TRUE=TRUE,Inputs!$B$32,0)))*(1-IF(AND(ArtifactsInput!$M$27,Inputs!$B$4="Chapter Hunt"),CHOOSE(ArtifactsInput!$N$27+1,20,24,28,32,36,40),0)/100)),0)</f>
        <v/>
      </c>
      <c r="R281">
        <f>IF(AND(Inputs!$B$38&lt;&gt;"pvp",Inputs!$B$43&gt;0),IF(Inputs!$B$43&lt;=0,0,(INT(Inputs!$B$43/(IF(Inputs!$B$38="pvp",15,MAX(0.1,Skills!D18-IF(TRUE=TRUE,Inputs!$B$32,0)))*(1-IF(AND(ArtifactsInput!$M$27,Inputs!$B$4="Chapter Hunt"),CHOOSE(ArtifactsInput!$N$27+1,20,24,28,32,36,40),0)/100)))+1)),0)</f>
        <v/>
      </c>
      <c r="S281">
        <f>IFERROR(O281/N281,0)</f>
        <v/>
      </c>
      <c r="T281" t="n">
        <v>0</v>
      </c>
      <c r="V281" t="n">
        <v>0</v>
      </c>
    </row>
    <row r="282">
      <c r="A282">
        <f>Skills!A19</f>
        <v/>
      </c>
      <c r="B282">
        <f>Skills!B19</f>
        <v/>
      </c>
      <c r="C282">
        <f>Inputs!$B$3&gt;=66</f>
        <v/>
      </c>
      <c r="D282">
        <f>IF(Skills!C19=1,60+Inputs!$B$25+Inputs!$B$29,IF(Skills!C19=2,90+Inputs!$B$26+Inputs!$B$29,IF(Skills!C19=3,120+Inputs!$B$27+Inputs!$B$29,MAX(0,(Inputs!$B$3-100)*3)+Inputs!$B$28+Inputs!$B$29)))</f>
        <v/>
      </c>
      <c r="E282">
        <f>INDEX(FactorTable!$B$2:$Y$301, MATCH(ROUND(MIN(300,MAX(1,D282)),0), FactorTable!$A$2:$A$301,0), Skills!M19+1)</f>
        <v/>
      </c>
      <c r="F282">
        <f>IF(Skills!N19=TRUE,(Skills!L19/10)*(E282/1000),Skills!L19/10)+Skills!O19</f>
        <v/>
      </c>
      <c r="G282">
        <f>Skills!G19*IF(Skills!H19&gt;0,INT(IF(Inputs!$B$38="pvp",MIN(Skills!I19,15),Skills!I19)/Skills!H19+0.000000001),1)</f>
        <v/>
      </c>
      <c r="H282">
        <f>1-(1-Skills!J19/100)^Skills!K19</f>
        <v/>
      </c>
      <c r="I282" t="inlineStr">
        <is>
          <t>1</t>
        </is>
      </c>
      <c r="J282" t="inlineStr"/>
      <c r="K282" t="inlineStr"/>
      <c r="L282" t="inlineStr"/>
      <c r="M282" t="inlineStr"/>
      <c r="N282" t="inlineStr"/>
      <c r="O282">
        <f>(1-Summary!$B$11)*T282+Summary!$B$11*V282</f>
        <v/>
      </c>
      <c r="P282">
        <f>IF(B308=0,0,O282/B308)</f>
        <v/>
      </c>
      <c r="Q282" t="n">
        <v>0</v>
      </c>
      <c r="R282" t="n">
        <v>0</v>
      </c>
      <c r="S282">
        <f>IFERROR(O282/N282,0)</f>
        <v/>
      </c>
      <c r="T282" t="n">
        <v>0</v>
      </c>
      <c r="V282" t="n">
        <v>0</v>
      </c>
    </row>
    <row r="283">
      <c r="A283">
        <f>Skills!A20</f>
        <v/>
      </c>
      <c r="B283">
        <f>Skills!B20</f>
        <v/>
      </c>
      <c r="C283">
        <f>Inputs!$B$3&gt;=72</f>
        <v/>
      </c>
      <c r="D283">
        <f>IF(Skills!C20=1,60+Inputs!$B$25+Inputs!$B$29,IF(Skills!C20=2,90+Inputs!$B$26+Inputs!$B$29,IF(Skills!C20=3,120+Inputs!$B$27+Inputs!$B$29,MAX(0,(Inputs!$B$3-100)*3)+Inputs!$B$28+Inputs!$B$29)))</f>
        <v/>
      </c>
      <c r="E283">
        <f>INDEX(FactorTable!$B$2:$Y$301, MATCH(ROUND(MIN(300,MAX(1,D283)),0), FactorTable!$A$2:$A$301,0), Skills!M20+1)</f>
        <v/>
      </c>
      <c r="F283">
        <f>IF(Skills!N20=TRUE,(Skills!L20/10)*(E283/1000),Skills!L20/10)+Skills!O20</f>
        <v/>
      </c>
      <c r="G283">
        <f>Skills!G20*IF(Skills!H20&gt;0,INT(IF(Inputs!$B$38="pvp",MIN(Skills!I20,15),Skills!I20)/Skills!H20+0.000000001),1)</f>
        <v/>
      </c>
      <c r="H283">
        <f>1-(1-Skills!J20/100)^Skills!K20</f>
        <v/>
      </c>
      <c r="I283" t="inlineStr">
        <is>
          <t>1</t>
        </is>
      </c>
      <c r="J283" t="inlineStr"/>
      <c r="K283" t="inlineStr"/>
      <c r="L283" t="inlineStr"/>
      <c r="M283" t="inlineStr"/>
      <c r="N283" t="inlineStr"/>
      <c r="O283">
        <f>(1-Summary!$B$11)*T283+Summary!$B$11*V283</f>
        <v/>
      </c>
      <c r="P283">
        <f>IF(B308=0,0,O283/B308)</f>
        <v/>
      </c>
      <c r="Q283" t="n">
        <v>0</v>
      </c>
      <c r="R283" t="n">
        <v>0</v>
      </c>
      <c r="S283">
        <f>IFERROR(O283/N283,0)</f>
        <v/>
      </c>
      <c r="T283" t="n">
        <v>0</v>
      </c>
      <c r="V283" t="n">
        <v>0</v>
      </c>
    </row>
    <row r="284">
      <c r="A284">
        <f>Skills!A21</f>
        <v/>
      </c>
      <c r="B284">
        <f>Skills!B21</f>
        <v/>
      </c>
      <c r="C284">
        <f>TRUE</f>
        <v/>
      </c>
      <c r="D284">
        <f>IF(Skills!C21=1,60+Inputs!$B$25+Inputs!$B$29,IF(Skills!C21=2,90+Inputs!$B$26+Inputs!$B$29,IF(Skills!C21=3,120+Inputs!$B$27+Inputs!$B$29,MAX(0,(Inputs!$B$3-100)*3)+Inputs!$B$28+Inputs!$B$29)))</f>
        <v/>
      </c>
      <c r="E284">
        <f>INDEX(FactorTable!$B$2:$Y$301, MATCH(ROUND(MIN(300,MAX(1,D284)),0), FactorTable!$A$2:$A$301,0), Skills!M21+1)</f>
        <v/>
      </c>
      <c r="F284">
        <f>IF(Skills!N21=TRUE,(Skills!L21/10)*(E284/1000),Skills!L21/10)+Skills!O21</f>
        <v/>
      </c>
      <c r="G284">
        <f>Skills!G21*IF(Skills!H21&gt;0,INT(IF(Inputs!$B$38="pvp",MIN(Skills!I21,15),Skills!I21)/Skills!H21+0.000000001),1)</f>
        <v/>
      </c>
      <c r="H284">
        <f>1-(1-Skills!J21/100)^Skills!K21</f>
        <v/>
      </c>
      <c r="I284" t="inlineStr">
        <is>
          <t>1</t>
        </is>
      </c>
      <c r="J284" t="inlineStr"/>
      <c r="K284" t="inlineStr"/>
      <c r="L284" t="inlineStr"/>
      <c r="M284" t="inlineStr"/>
      <c r="N284" t="inlineStr"/>
      <c r="O284">
        <f>(1-Summary!$B$11)*T284+Summary!$B$11*V284</f>
        <v/>
      </c>
      <c r="P284">
        <f>IF(B308=0,0,O284/B308)</f>
        <v/>
      </c>
      <c r="Q284">
        <f>IFERROR(1/(IF(Inputs!$B$38="pvp",15,MAX(0.1,Skills!D21-IF(TRUE=TRUE,Inputs!$B$32,0)))*(1-IF(AND(ArtifactsInput!$M$27,Inputs!$B$4="Chapter Hunt"),CHOOSE(ArtifactsInput!$N$27+1,20,24,28,32,36,40),0)/100)),0)</f>
        <v/>
      </c>
      <c r="R284">
        <f>IF(AND(Inputs!$B$38&lt;&gt;"pvp",Inputs!$B$43&gt;0),IF(Inputs!$B$43&lt;=0,0,(INT(Inputs!$B$43/(IF(Inputs!$B$38="pvp",15,MAX(0.1,Skills!D21-IF(TRUE=TRUE,Inputs!$B$32,0)))*(1-IF(AND(ArtifactsInput!$M$27,Inputs!$B$4="Chapter Hunt"),CHOOSE(ArtifactsInput!$N$27+1,20,24,28,32,36,40),0)/100)))+1)),0)</f>
        <v/>
      </c>
      <c r="S284">
        <f>IFERROR(O284/N284,0)</f>
        <v/>
      </c>
      <c r="T284" t="n">
        <v>0</v>
      </c>
      <c r="V284" t="n">
        <v>0</v>
      </c>
    </row>
    <row r="285">
      <c r="A285">
        <f>Skills!A22</f>
        <v/>
      </c>
      <c r="B285">
        <f>Skills!B22</f>
        <v/>
      </c>
      <c r="C285">
        <f>Inputs!$B$3&gt;=15</f>
        <v/>
      </c>
      <c r="D285">
        <f>IF(Skills!C22=1,60+Inputs!$B$25+Inputs!$B$29,IF(Skills!C22=2,90+Inputs!$B$26+Inputs!$B$29,IF(Skills!C22=3,120+Inputs!$B$27+Inputs!$B$29,MAX(0,(Inputs!$B$3-100)*3)+Inputs!$B$28+Inputs!$B$29)))</f>
        <v/>
      </c>
      <c r="E285">
        <f>INDEX(FactorTable!$B$2:$Y$301, MATCH(ROUND(MIN(300,MAX(1,D285)),0), FactorTable!$A$2:$A$301,0), Skills!M22+1)</f>
        <v/>
      </c>
      <c r="F285">
        <f>IF(Skills!N22=TRUE,(Skills!L22/10)*(E285/1000),Skills!L22/10)+Skills!O22</f>
        <v/>
      </c>
      <c r="G285">
        <f>Skills!G22*IF(Skills!H22&gt;0,INT(IF(Inputs!$B$38="pvp",MIN(Skills!I22,15),Skills!I22)/Skills!H22+0.000000001),1)</f>
        <v/>
      </c>
      <c r="H285">
        <f>1-(1-Skills!J22/100)^Skills!K22</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Skills!A23</f>
        <v/>
      </c>
      <c r="B286">
        <f>Skills!B23</f>
        <v/>
      </c>
      <c r="C286">
        <f>Inputs!$B$3&gt;=10</f>
        <v/>
      </c>
      <c r="D286">
        <f>IF(Skills!C23=1,60+Inputs!$B$25+Inputs!$B$29,IF(Skills!C23=2,90+Inputs!$B$26+Inputs!$B$29,IF(Skills!C23=3,120+Inputs!$B$27+Inputs!$B$29,MAX(0,(Inputs!$B$3-100)*3)+Inputs!$B$28+Inputs!$B$29)))</f>
        <v/>
      </c>
      <c r="E286">
        <f>INDEX(FactorTable!$B$2:$Y$301, MATCH(ROUND(MIN(300,MAX(1,D286)),0), FactorTable!$A$2:$A$301,0), Skills!M23+1)</f>
        <v/>
      </c>
      <c r="F286">
        <f>IF(Skills!N23=TRUE,(Skills!L23/10)*(E286/1000),Skills!L23/10)+Skills!O23</f>
        <v/>
      </c>
      <c r="G286">
        <f>Skills!G23*IF(Skills!H23&gt;0,INT(IF(Inputs!$B$38="pvp",MIN(Skills!I23,15),Skills!I23)/Skills!H23+0.000000001),1)</f>
        <v/>
      </c>
      <c r="H286">
        <f>1-(1-Skills!J23/100)^Skills!K23</f>
        <v/>
      </c>
      <c r="I286" t="inlineStr">
        <is>
          <t>1</t>
        </is>
      </c>
      <c r="J286" t="inlineStr"/>
      <c r="K286" t="inlineStr"/>
      <c r="L286" t="inlineStr"/>
      <c r="M286" t="inlineStr"/>
      <c r="N286" t="inlineStr"/>
      <c r="O286">
        <f>(1-Summary!$B$11)*T286+Summary!$B$11*V286</f>
        <v/>
      </c>
      <c r="P286">
        <f>IF(B308=0,0,O286/B308)</f>
        <v/>
      </c>
      <c r="Q286" t="n">
        <v>0</v>
      </c>
      <c r="R286" t="n">
        <v>0</v>
      </c>
      <c r="S286">
        <f>IFERROR(O286/N286,0)</f>
        <v/>
      </c>
      <c r="T286" t="n">
        <v>0</v>
      </c>
      <c r="V286" t="n">
        <v>0</v>
      </c>
    </row>
    <row r="287">
      <c r="A287">
        <f>Skills!A24</f>
        <v/>
      </c>
      <c r="B287">
        <f>Skills!B24</f>
        <v/>
      </c>
      <c r="C287">
        <f>Inputs!$B$3&gt;=33</f>
        <v/>
      </c>
      <c r="D287">
        <f>IF(Skills!C24=1,60+Inputs!$B$25+Inputs!$B$29,IF(Skills!C24=2,90+Inputs!$B$26+Inputs!$B$29,IF(Skills!C24=3,120+Inputs!$B$27+Inputs!$B$29,MAX(0,(Inputs!$B$3-100)*3)+Inputs!$B$28+Inputs!$B$29)))</f>
        <v/>
      </c>
      <c r="E287">
        <f>INDEX(FactorTable!$B$2:$Y$301, MATCH(ROUND(MIN(300,MAX(1,D287)),0), FactorTable!$A$2:$A$301,0), Skills!M24+1)</f>
        <v/>
      </c>
      <c r="F287">
        <f>IF(Skills!N24=TRUE,(Skills!L24/10)*(E287/1000),Skills!L24/10)+Skills!O24</f>
        <v/>
      </c>
      <c r="G287">
        <f>Skills!G24*IF(Skills!H24&gt;0,INT(IF(Inputs!$B$38="pvp",MIN(Skills!I24,15),Skills!I24)/Skills!H24+0.000000001),1)</f>
        <v/>
      </c>
      <c r="H287">
        <f>1-(1-Skills!J24/100)^Skills!K24</f>
        <v/>
      </c>
      <c r="I287" t="inlineStr">
        <is>
          <t>1</t>
        </is>
      </c>
      <c r="J287" t="inlineStr"/>
      <c r="K287" t="inlineStr"/>
      <c r="L287" t="inlineStr"/>
      <c r="M287" t="inlineStr"/>
      <c r="N287" t="inlineStr"/>
      <c r="O287">
        <f>(1-Summary!$B$11)*T287+Summary!$B$11*V287</f>
        <v/>
      </c>
      <c r="P287">
        <f>IF(B308=0,0,O287/B308)</f>
        <v/>
      </c>
      <c r="Q287" t="n">
        <v>0</v>
      </c>
      <c r="R287" t="n">
        <v>0</v>
      </c>
      <c r="S287">
        <f>IFERROR(O287/N287,0)</f>
        <v/>
      </c>
      <c r="T287" t="n">
        <v>0</v>
      </c>
      <c r="V287" t="n">
        <v>0</v>
      </c>
    </row>
    <row r="288">
      <c r="A288">
        <f>Skills!A25</f>
        <v/>
      </c>
      <c r="B288">
        <f>Skills!B25</f>
        <v/>
      </c>
      <c r="C288">
        <f>Inputs!$B$3&gt;=38</f>
        <v/>
      </c>
      <c r="D288">
        <f>IF(Skills!C25=1,60+Inputs!$B$25+Inputs!$B$29,IF(Skills!C25=2,90+Inputs!$B$26+Inputs!$B$29,IF(Skills!C25=3,120+Inputs!$B$27+Inputs!$B$29,MAX(0,(Inputs!$B$3-100)*3)+Inputs!$B$28+Inputs!$B$29)))</f>
        <v/>
      </c>
      <c r="E288">
        <f>INDEX(FactorTable!$B$2:$Y$301, MATCH(ROUND(MIN(300,MAX(1,D288)),0), FactorTable!$A$2:$A$301,0), Skills!M25+1)</f>
        <v/>
      </c>
      <c r="F288">
        <f>IF(Skills!N25=TRUE,(Skills!L25/10)*(E288/1000),Skills!L25/10)+Skills!O25</f>
        <v/>
      </c>
      <c r="G288">
        <f>Skills!G25*IF(Skills!H25&gt;0,INT(IF(Inputs!$B$38="pvp",MIN(Skills!I25,15),Skills!I25)/Skills!H25+0.000000001),1)</f>
        <v/>
      </c>
      <c r="H288">
        <f>1-(1-Skills!J25/100)^Skills!K25</f>
        <v/>
      </c>
      <c r="I288" t="inlineStr">
        <is>
          <t>1</t>
        </is>
      </c>
      <c r="J288" t="inlineStr"/>
      <c r="K288" t="inlineStr"/>
      <c r="L288" t="inlineStr"/>
      <c r="M288" t="inlineStr"/>
      <c r="N288" t="inlineStr"/>
      <c r="O288">
        <f>(1-Summary!$B$11)*T288+Summary!$B$11*V288</f>
        <v/>
      </c>
      <c r="P288">
        <f>IF(B308=0,0,O288/B308)</f>
        <v/>
      </c>
      <c r="Q288" t="n">
        <v>0</v>
      </c>
      <c r="R288" t="n">
        <v>0</v>
      </c>
      <c r="S288">
        <f>IFERROR(O288/N288,0)</f>
        <v/>
      </c>
      <c r="T288" t="n">
        <v>0</v>
      </c>
      <c r="V288" t="n">
        <v>0</v>
      </c>
    </row>
    <row r="289">
      <c r="A289">
        <f>Skills!A26</f>
        <v/>
      </c>
      <c r="B289">
        <f>Skills!B26</f>
        <v/>
      </c>
      <c r="C289">
        <f>Inputs!$B$3&gt;=43</f>
        <v/>
      </c>
      <c r="D289">
        <f>IF(Skills!C26=1,60+Inputs!$B$25+Inputs!$B$29,IF(Skills!C26=2,90+Inputs!$B$26+Inputs!$B$29,IF(Skills!C26=3,120+Inputs!$B$27+Inputs!$B$29,MAX(0,(Inputs!$B$3-100)*3)+Inputs!$B$28+Inputs!$B$29)))</f>
        <v/>
      </c>
      <c r="E289">
        <f>INDEX(FactorTable!$B$2:$Y$301, MATCH(ROUND(MIN(300,MAX(1,D289)),0), FactorTable!$A$2:$A$301,0), Skills!M26+1)</f>
        <v/>
      </c>
      <c r="F289">
        <f>IF(Skills!N26=TRUE,(Skills!L26/10)*(E289/1000),Skills!L26/10)+Skills!O26</f>
        <v/>
      </c>
      <c r="G289">
        <f>Skills!G26*IF(Skills!H26&gt;0,INT(IF(Inputs!$B$38="pvp",MIN(Skills!I26,15),Skills!I26)/Skills!H26+0.000000001),1)</f>
        <v/>
      </c>
      <c r="H289">
        <f>1-(1-Skills!J26/100)^Skills!K26</f>
        <v/>
      </c>
      <c r="I289" t="inlineStr">
        <is>
          <t>1</t>
        </is>
      </c>
      <c r="J289" t="inlineStr"/>
      <c r="K289" t="inlineStr"/>
      <c r="L289" t="inlineStr"/>
      <c r="M289" t="inlineStr"/>
      <c r="N289" t="inlineStr"/>
      <c r="O289">
        <f>(1-Summary!$B$11)*T289+Summary!$B$11*V289</f>
        <v/>
      </c>
      <c r="P289">
        <f>IF(B308=0,0,O289/B308)</f>
        <v/>
      </c>
      <c r="Q289" t="n">
        <v>0</v>
      </c>
      <c r="R289" t="n">
        <v>0</v>
      </c>
      <c r="S289">
        <f>IFERROR(O289/N289,0)</f>
        <v/>
      </c>
      <c r="T289" t="n">
        <v>0</v>
      </c>
      <c r="V289" t="n">
        <v>0</v>
      </c>
    </row>
    <row r="290">
      <c r="A290">
        <f>Skills!A27</f>
        <v/>
      </c>
      <c r="B290">
        <f>Skills!B27</f>
        <v/>
      </c>
      <c r="C290">
        <f>Inputs!$B$3&gt;=75</f>
        <v/>
      </c>
      <c r="D290">
        <f>IF(Skills!C27=1,60+Inputs!$B$25+Inputs!$B$29,IF(Skills!C27=2,90+Inputs!$B$26+Inputs!$B$29,IF(Skills!C27=3,120+Inputs!$B$27+Inputs!$B$29,MAX(0,(Inputs!$B$3-100)*3)+Inputs!$B$28+Inputs!$B$29)))</f>
        <v/>
      </c>
      <c r="E290">
        <f>INDEX(FactorTable!$B$2:$Y$301, MATCH(ROUND(MIN(300,MAX(1,D290)),0), FactorTable!$A$2:$A$301,0), Skills!M27+1)</f>
        <v/>
      </c>
      <c r="F290">
        <f>IF(Skills!N27=TRUE,(Skills!L27/10)*(E290/1000),Skills!L27/10)+Skills!O27</f>
        <v/>
      </c>
      <c r="G290">
        <f>Skills!G27*IF(Skills!H27&gt;0,INT(IF(Inputs!$B$38="pvp",MIN(Skills!I27,15),Skills!I27)/Skills!H27+0.000000001),1)</f>
        <v/>
      </c>
      <c r="H290">
        <f>1-(1-Skills!J27/100)^Skills!K27</f>
        <v/>
      </c>
      <c r="I290" t="inlineStr">
        <is>
          <t>1</t>
        </is>
      </c>
      <c r="J290" t="inlineStr"/>
      <c r="K290" t="inlineStr"/>
      <c r="L290" t="inlineStr"/>
      <c r="M290" t="inlineStr"/>
      <c r="N290" t="inlineStr"/>
      <c r="O290">
        <f>(1-Summary!$B$11)*T290+Summary!$B$11*V290</f>
        <v/>
      </c>
      <c r="P290">
        <f>IF(B308=0,0,O290/B308)</f>
        <v/>
      </c>
      <c r="Q290" t="n">
        <v>0</v>
      </c>
      <c r="R290" t="n">
        <v>0</v>
      </c>
      <c r="S290">
        <f>IFERROR(O290/N290,0)</f>
        <v/>
      </c>
      <c r="T290" t="n">
        <v>0</v>
      </c>
      <c r="V290" t="n">
        <v>0</v>
      </c>
    </row>
    <row r="291">
      <c r="A291">
        <f>Skills!A28</f>
        <v/>
      </c>
      <c r="B291">
        <f>Skills!B28</f>
        <v/>
      </c>
      <c r="C291">
        <f>Inputs!$B$3&gt;=125</f>
        <v/>
      </c>
      <c r="D291">
        <f>IF(Skills!C28=1,60+Inputs!$B$25+Inputs!$B$29,IF(Skills!C28=2,90+Inputs!$B$26+Inputs!$B$29,IF(Skills!C28=3,120+Inputs!$B$27+Inputs!$B$29,MAX(0,(Inputs!$B$3-100)*3)+Inputs!$B$28+Inputs!$B$29)))</f>
        <v/>
      </c>
      <c r="E291">
        <f>INDEX(FactorTable!$B$2:$Y$301, MATCH(ROUND(MIN(300,MAX(1,D291)),0), FactorTable!$A$2:$A$301,0), Skills!M28+1)</f>
        <v/>
      </c>
      <c r="F291">
        <f>IF(Skills!N28=TRUE,(Skills!L28/10)*(E291/1000),Skills!L28/10)+Skills!O28</f>
        <v/>
      </c>
      <c r="G291">
        <f>Skills!G28*IF(Skills!H28&gt;0,INT(IF(Inputs!$B$38="pvp",MIN(Skills!I28,15),Skills!I28)/Skills!H28+0.000000001),1)</f>
        <v/>
      </c>
      <c r="H291">
        <f>1-(1-Skills!J28/100)^Skills!K28</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Skills!A29</f>
        <v/>
      </c>
      <c r="B292">
        <f>Skills!B29</f>
        <v/>
      </c>
      <c r="C292">
        <f>Inputs!$B$3&gt;=125</f>
        <v/>
      </c>
      <c r="D292">
        <f>IF(Skills!C29=1,60+Inputs!$B$25+Inputs!$B$29,IF(Skills!C29=2,90+Inputs!$B$26+Inputs!$B$29,IF(Skills!C29=3,120+Inputs!$B$27+Inputs!$B$29,MAX(0,(Inputs!$B$3-100)*3)+Inputs!$B$28+Inputs!$B$29)))</f>
        <v/>
      </c>
      <c r="E292">
        <f>INDEX(FactorTable!$B$2:$Y$301, MATCH(ROUND(MIN(300,MAX(1,D292)),0), FactorTable!$A$2:$A$301,0), Skills!M29+1)</f>
        <v/>
      </c>
      <c r="F292">
        <f>IF(Skills!N29=TRUE,(Skills!L29/10)*(E292/1000),Skills!L29/10)+Skills!O29</f>
        <v/>
      </c>
      <c r="G292">
        <f>Skills!G29*IF(Skills!H29&gt;0,INT(IF(Inputs!$B$38="pvp",MIN(Skills!I29,15),Skills!I29)/Skills!H29+0.000000001),1)</f>
        <v/>
      </c>
      <c r="H292">
        <f>1-(1-Skills!J29/100)^Skills!K29</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Skills!A30</f>
        <v/>
      </c>
      <c r="B293">
        <f>Skills!B30</f>
        <v/>
      </c>
      <c r="C293">
        <f>Inputs!$B$3&gt;=120</f>
        <v/>
      </c>
      <c r="D293">
        <f>IF(Skills!C30=1,60+Inputs!$B$25+Inputs!$B$29,IF(Skills!C30=2,90+Inputs!$B$26+Inputs!$B$29,IF(Skills!C30=3,120+Inputs!$B$27+Inputs!$B$29,MAX(0,(Inputs!$B$3-100)*3)+Inputs!$B$28+Inputs!$B$29)))</f>
        <v/>
      </c>
      <c r="E293">
        <f>INDEX(FactorTable!$B$2:$Y$301, MATCH(ROUND(MIN(300,MAX(1,D293)),0), FactorTable!$A$2:$A$301,0), Skills!M30+1)</f>
        <v/>
      </c>
      <c r="F293">
        <f>IF(Skills!N30=TRUE,(Skills!L30/10)*(E293/1000),Skills!L30/10)+Skills!O30</f>
        <v/>
      </c>
      <c r="G293">
        <f>Skills!G30*IF(Skills!H30&gt;0,INT(IF(Inputs!$B$38="pvp",MIN(Skills!I30,15),Skills!I30)/Skills!H30+0.000000001),1)</f>
        <v/>
      </c>
      <c r="H293">
        <f>1-(1-Skills!J30/100)^Skills!K30</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Skills!A31</f>
        <v/>
      </c>
      <c r="B294">
        <f>Skills!B31</f>
        <v/>
      </c>
      <c r="C294">
        <f>Inputs!$B$3&gt;=120</f>
        <v/>
      </c>
      <c r="D294">
        <f>IF(Skills!C31=1,60+Inputs!$B$25+Inputs!$B$29,IF(Skills!C31=2,90+Inputs!$B$26+Inputs!$B$29,IF(Skills!C31=3,120+Inputs!$B$27+Inputs!$B$29,MAX(0,(Inputs!$B$3-100)*3)+Inputs!$B$28+Inputs!$B$29)))</f>
        <v/>
      </c>
      <c r="E294">
        <f>INDEX(FactorTable!$B$2:$Y$301, MATCH(ROUND(MIN(300,MAX(1,D294)),0), FactorTable!$A$2:$A$301,0), Skills!M31+1)</f>
        <v/>
      </c>
      <c r="F294">
        <f>IF(Skills!N31=TRUE,(Skills!L31/10)*(E294/1000),Skills!L31/10)+Skills!O31</f>
        <v/>
      </c>
      <c r="G294">
        <f>Skills!G31*IF(Skills!H31&gt;0,INT(IF(Inputs!$B$38="pvp",MIN(Skills!I31,15),Skills!I31)/Skills!H31+0.000000001),1)</f>
        <v/>
      </c>
      <c r="H294">
        <f>1-(1-Skills!J31/100)^Skills!K31</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Skills!A32</f>
        <v/>
      </c>
      <c r="B295">
        <f>Skills!B32</f>
        <v/>
      </c>
      <c r="C295">
        <f>Inputs!$B$3&gt;=45</f>
        <v/>
      </c>
      <c r="D295">
        <f>IF(Skills!C32=1,60+Inputs!$B$25+Inputs!$B$29,IF(Skills!C32=2,90+Inputs!$B$26+Inputs!$B$29,IF(Skills!C32=3,120+Inputs!$B$27+Inputs!$B$29,MAX(0,(Inputs!$B$3-100)*3)+Inputs!$B$28+Inputs!$B$29)))</f>
        <v/>
      </c>
      <c r="E295">
        <f>INDEX(FactorTable!$B$2:$Y$301, MATCH(ROUND(MIN(300,MAX(1,D295)),0), FactorTable!$A$2:$A$301,0), Skills!M32+1)</f>
        <v/>
      </c>
      <c r="F295">
        <f>IF(Skills!N32=TRUE,(Skills!L32/10)*(E295/1000),Skills!L32/10)+Skills!O32</f>
        <v/>
      </c>
      <c r="G295">
        <f>Skills!G32*IF(Skills!H32&gt;0,INT(IF(Inputs!$B$38="pvp",MIN(Skills!I32,15),Skills!I32)/Skills!H32+0.000000001),1)</f>
        <v/>
      </c>
      <c r="H295">
        <f>1-(1-Skills!J32/100)^Skills!K32</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284=TRUE)*F284*IF(AND(Inputs!$B$38&lt;&gt;"pvp",Inputs!$B$43&gt;0),(((R284-1)*MIN((Skills!T21*(1+Inputs!$B$34/100)),(1/Q284))+MIN((Skills!T21*(1+Inputs!$B$34/100)),MAX(0,Inputs!$B$43-((R284-1)*(1/Q284)))))/Inputs!$B$43),IF(Inputs!$B$38="pvp",MIN((Skills!T21*(1+Inputs!$B$34/100)),15)/15,MIN(1,(Skills!T21*(1+Inputs!$B$34/100))/(1/Q284)))))</f>
        <v/>
      </c>
    </row>
    <row r="300">
      <c r="A300" t="inlineStr">
        <is>
          <t>Actions Per Second</t>
        </is>
      </c>
      <c r="B300">
        <f>1+MIN(150,150*(1-(1-(Inputs!$B$11+((C286=TRUE)*(F286-Calc!F23))+((C287=TRUE)*(F287-Calc!F24)))/150)*(1-B299/150)))/100</f>
        <v/>
      </c>
    </row>
    <row r="301">
      <c r="A301" t="inlineStr">
        <is>
          <t>Skill + Buff Cast Rate</t>
        </is>
      </c>
      <c r="B301">
        <f>IF(AND(Inputs!$B$38&lt;&gt;"pvp",Inputs!$B$43&gt;0),SUMPRODUCT((Skills!E2:E32=TRUE)*(C265:C295=TRUE)*R265:R295*Skills!F2:F32)/Inputs!$B$43,SUMPRODUCT((Skills!E2:E32=TRUE)*(C265:C295=TRUE)*Q265:Q295*Skills!F2:F32))</f>
        <v/>
      </c>
    </row>
    <row r="302">
      <c r="A302" t="inlineStr">
        <is>
          <t>Arrow Stream Casts Per Second</t>
        </is>
      </c>
      <c r="B302">
        <f>MAX(0,B300-B301)</f>
        <v/>
      </c>
    </row>
    <row r="303">
      <c r="A303" t="inlineStr">
        <is>
          <t>Global Critical Damage Bonus % (Sharp Eyes + Concentration)</t>
        </is>
      </c>
      <c r="B303">
        <f>(C281=TRUE)*F281*IF(AND(Inputs!$B$38&lt;&gt;"pvp",Inputs!$B$43&gt;0),(((R281-1)*MIN((Skills!T18*(1+Inputs!$B$34/100)),(1/Q281))+MIN((Skills!T18*(1+Inputs!$B$34/100)),MAX(0,Inputs!$B$43-((R281-1)*(1/Q281)))))/Inputs!$B$43),IF(Inputs!$B$38="pvp",MIN((Skills!T18*(1+Inputs!$B$34/100)),15)/15,MIN(1,(Skills!T18*(1+Inputs!$B$34/100))/(1/Q281))))+(C282=TRUE)*7*F282</f>
        <v/>
      </c>
    </row>
    <row r="304">
      <c r="A304" t="inlineStr">
        <is>
          <t>Global Final Damage Bonus % (Mortal Blow)</t>
        </is>
      </c>
      <c r="B304">
        <f>(C283=TRUE)*F283</f>
        <v/>
      </c>
    </row>
    <row r="305">
      <c r="A305" t="inlineStr">
        <is>
          <t>Buff-Casting Startup Delay (s, fixed-duration only)</t>
        </is>
      </c>
      <c r="B305">
        <f>IF(AND(Inputs!$B$38&lt;&gt;"pvp",Inputs!$B$43&gt;0),SUMPRODUCT((Skills!T2:T32&gt;0)*(Skills!E2:E32=TRUE)*(C265:C295=TRUE))/B300,0)</f>
        <v/>
      </c>
    </row>
    <row r="306">
      <c r="A306" t="inlineStr">
        <is>
          <t>Boss-Only Total DPS (this block's swept value)</t>
        </is>
      </c>
      <c r="B306">
        <f>SUM(T265:T295)</f>
        <v/>
      </c>
    </row>
    <row r="307">
      <c r="A307" t="inlineStr">
        <is>
          <t>Normal-Only Total DPS (this block's swept value)</t>
        </is>
      </c>
      <c r="B307">
        <f>SUM(V265:V295)</f>
        <v/>
      </c>
    </row>
    <row r="308">
      <c r="A308" s="6" t="inlineStr">
        <is>
          <t>TOTAL DPS</t>
        </is>
      </c>
      <c r="B308" s="6">
        <f>SUM(O265:O295)</f>
        <v/>
      </c>
    </row>
    <row r="311">
      <c r="A311" s="6" t="inlineStr">
        <is>
          <t>Stat: BOSS_DAMAGE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Skills!G2*IF(Skills!H2&gt;0,INT(IF(Inputs!$B$38="pvp",MIN(Skills!I2,15),Skills!I2)/Skills!H2+0.000000001),1)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337=TRUE)*(F337-Calc!F26)),(Inputs!$B$23+((C342=TRUE)*(F342-Calc!F31))+(IF(ArtifactsInput!$M$15,CHOOSE(ArtifactsInput!$N$15+1,25,30,35,40,45,50)/100*(Inputs!$B$11-Inputs!$B$11),0))))/100+(Inputs!$B$23+((C342=TRUE)*(F342-Calc!F31))+(IF(ArtifactsInput!$M$15,CHOOSE(ArtifactsInput!$N$15+1,25,30,35,40,45,50)/100*(Inputs!$B$11-Inputs!$B$11),0)))/100)/2</f>
        <v/>
      </c>
      <c r="M313">
        <f>L313*(1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IF(B356=0,0,O313/B356)</f>
        <v/>
      </c>
      <c r="Q313" t="n">
        <v>0</v>
      </c>
      <c r="R313" t="n">
        <v>0</v>
      </c>
      <c r="S313">
        <f>IFERROR(O313/N313,0)</f>
        <v/>
      </c>
      <c r="T313">
        <f>IF(C313,(Skills!G2*N313*B350)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IF(C313,(Skills!G2*N313*B350)*IF(Inputs!$B$38="pvp",1,(1+(Inputs!$B$21+Skills!Q2+(IF(ArtifactsInput!$M$33,CHOOSE(ArtifactsInput!$N$33+1,30,36,42,48,54,60),0))+(IF(AND(ArtifactsInput!$M$35,Inputs!$B$4&lt;&gt;"Chapter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f>Skills!G3*IF(Skills!H3&gt;0,INT(IF(Inputs!$B$38="pvp",MIN(Skills!I3,15),Skills!I3)/Skills!H3+0.000000001),1)</f>
        <v/>
      </c>
      <c r="H314">
        <f>1-(1-Skills!J3/100)^Skills!K3</f>
        <v/>
      </c>
      <c r="I314" t="inlineStr">
        <is>
          <t>1</t>
        </is>
      </c>
      <c r="J314">
        <f>((Inputs!$B$6*(1+Inputs!$B$7/100))+(((Inputs!$B$12*(1+Inputs!$B$13/100))-(Inputs!$B$12*(1+Inputs!$B$13/100)))+0.25*(Inputs!$B$14-Inputs!$B$14))*(1+Inputs!$B$7/100))*(F314/100)</f>
        <v/>
      </c>
      <c r="K314">
        <f>J314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TRUE,F315,0)/100)*(1+(IF(Skills!A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337=TRUE)*(F337-Calc!F26)),(Inputs!$B$23+((C342=TRUE)*(F342-Calc!F31))+(IF(ArtifactsInput!$M$15,CHOOSE(ArtifactsInput!$N$15+1,25,30,35,40,45,50)/100*(Inputs!$B$11-Inputs!$B$11),0))))/100+(Inputs!$B$23+((C342=TRUE)*(F342-Calc!F31))+(IF(ArtifactsInput!$M$15,CHOOSE(ArtifactsInput!$N$15+1,25,30,35,40,45,50)/100*(Inputs!$B$11-Inputs!$B$11),0)))/100)/2</f>
        <v/>
      </c>
      <c r="M314">
        <f>L314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IF(B356=0,0,O314/B356)</f>
        <v/>
      </c>
      <c r="Q314">
        <f>IFERROR(1/(IF(Inputs!$B$38="pvp",15,MAX(0.1,1/B348-IF(FALSE=TRUE,Inputs!$B$32,0)))*(1-IF(AND(ArtifactsInput!$M$27,Inputs!$B$4="Chapter Hunt"),CHOOSE(ArtifactsInput!$N$27+1,20,24,28,32,36,40),0)/100)),0)</f>
        <v/>
      </c>
      <c r="R314">
        <f>IF(AND(Inputs!$B$38&lt;&gt;"pvp",Inputs!$B$43&gt;0),IF(MAX(0,Inputs!$B$43-B353)&lt;=0,0,(INT(MAX(0,Inputs!$B$43-B353)/(IF(Inputs!$B$38="pvp",15,MAX(0.1,1/B348-IF(FALSE=TRUE,Inputs!$B$32,0)))*(1-IF(AND(ArtifactsInput!$M$27,Inputs!$B$4="Chapter Hunt"),CHOOSE(ArtifactsInput!$N$27+1,20,24,28,32,36,40),0)/100)))+1)),0)</f>
        <v/>
      </c>
      <c r="S314">
        <f>IFERROR(O314/N314,0)</f>
        <v/>
      </c>
      <c r="T314">
        <f>IF(C314,(H314*N314*IF(AND(Inputs!$B$38&lt;&gt;"pvp",Inputs!$B$43&gt;0),((Skills!G3*((R314-1)*IF(Skills!H3&gt;0,INT(Skills!I3/Skills!H3+0.000000001),1)+IF(Skills!H3&gt;0,INT(MIN(Skills!I3,MAX(0,MAX(0,Inputs!$B$43-B353)-((R314-1)*(IF(Inputs!$B$38="pvp",15,MAX(0.1,1/B348-IF(FALSE=TRUE,Inputs!$B$32,0)))*(1-IF(AND(ArtifactsInput!$M$27,Inputs!$B$4="Chapter Hunt"),CHOOSE(ArtifactsInput!$N$27+1,20,24,28,32,36,40),0)/100)))))/Skills!H3+0.000000001),1)))/Inputs!$B$43),G314*Q314)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INDEX(FactorTable!$B$2:$Y$301, MATCH(ROUND(MIN(300,MAX(1,U313)),0), FactorTable!$A$2:$A$301,0), 22)</f>
        <v/>
      </c>
      <c r="V314">
        <f>IF(C314,(H314*N314*IF(AND(Inputs!$B$38&lt;&gt;"pvp",Inputs!$B$43&gt;0),((Skills!G3*((R314-1)*IF(Skills!H3&gt;0,INT(Skills!I3/Skills!H3+0.000000001),1)+IF(Skills!H3&gt;0,INT(MIN(Skills!I3,MAX(0,MAX(0,Inputs!$B$43-B353)-((R314-1)*(IF(Inputs!$B$38="pvp",15,MAX(0.1,1/B348-IF(FALSE=TRUE,Inputs!$B$32,0)))*(1-IF(AND(ArtifactsInput!$M$27,Inputs!$B$4="Chapter Hunt"),CHOOSE(ArtifactsInput!$N$27+1,20,24,28,32,36,40),0)/100)))))/Skills!H3+0.000000001),1)))/Inputs!$B$43),G314*Q314))*IF(Inputs!$B$38="pvp",1,(1+(Inputs!$B$21+Skills!Q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Skills!A4</f>
        <v/>
      </c>
      <c r="B315">
        <f>Skills!B4</f>
        <v/>
      </c>
      <c r="C315">
        <f>Inputs!$B$3&gt;=105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t="inlineStr"/>
      <c r="H315" t="inlineStr"/>
      <c r="I315" t="inlineStr">
        <is>
          <t>1</t>
        </is>
      </c>
      <c r="J315" t="inlineStr"/>
      <c r="K315" t="inlineStr"/>
      <c r="L315" t="inlineStr"/>
      <c r="M315" t="inlineStr"/>
      <c r="N315" t="inlineStr"/>
      <c r="O315" t="inlineStr"/>
      <c r="P315" t="inlineStr"/>
      <c r="Q315" t="inlineStr"/>
      <c r="R315" t="inlineStr"/>
      <c r="S315" t="inlineStr"/>
      <c r="T315" t="inlineStr"/>
      <c r="U315">
        <f>290*U314/1000</f>
        <v/>
      </c>
      <c r="V315" t="inlineStr"/>
    </row>
    <row r="316">
      <c r="A316">
        <f>Skills!A5</f>
        <v/>
      </c>
      <c r="B316">
        <f>Skills!B5</f>
        <v/>
      </c>
      <c r="C316">
        <f>Inputs!$B$3&gt;=35</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Skills!G5*IF(Skills!H5&gt;0,INT(IF(Inputs!$B$38="pvp",MIN(Skills!I5,15),Skills!I5)/Skills!H5+0.000000001),1)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5="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337=TRUE)*(F337-Calc!F26)),(Inputs!$B$23+((C342=TRUE)*(F342-Calc!F31))+(IF(ArtifactsInput!$M$15,CHOOSE(ArtifactsInput!$N$15+1,25,30,35,40,45,50)/100*(Inputs!$B$11-Inputs!$B$11),0))))/100+(Inputs!$B$23+((C342=TRUE)*(F342-Calc!F31))+(IF(ArtifactsInput!$M$15,CHOOSE(ArtifactsInput!$N$15+1,25,30,35,40,45,50)/100*(Inputs!$B$11-Inputs!$B$11),0)))/100)/2</f>
        <v/>
      </c>
      <c r="M316">
        <f>L316*(1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IF(B356=0,0,O316/B356)</f>
        <v/>
      </c>
      <c r="Q316">
        <f>IFERROR(1/(IF(Inputs!$B$38="pvp",15,MAX(0.1,Skills!D5-IF(TRUE=TRUE,Inputs!$B$32,0)))*(1-IF(AND(ArtifactsInput!$M$27,Inputs!$B$4="Chapter Hunt"),CHOOSE(ArtifactsInput!$N$27+1,20,24,28,32,36,40),0)/100)),0)</f>
        <v/>
      </c>
      <c r="R316">
        <f>IF(AND(Inputs!$B$38&lt;&gt;"pvp",Inputs!$B$43&gt;0),IF(MAX(0,Inputs!$B$43-B353)&lt;=0,0,(INT(MAX(0,Inputs!$B$43-B353)/(IF(Inputs!$B$38="pvp",15,MAX(0.1,Skills!D5-IF(TRUE=TRUE,Inputs!$B$32,0)))*(1-IF(AND(ArtifactsInput!$M$27,Inputs!$B$4="Chapter Hunt"),CHOOSE(ArtifactsInput!$N$27+1,20,24,28,32,36,40),0)/100)))+1)),0)</f>
        <v/>
      </c>
      <c r="S316">
        <f>IFERROR(O316/N316,0)</f>
        <v/>
      </c>
      <c r="T316">
        <f>IF(C316,(H316*N316*IF(AND(Inputs!$B$38&lt;&gt;"pvp",Inputs!$B$43&gt;0),((Skills!G5*((R316-1)*IF(Skills!H5&gt;0,INT(Skills!I5/Skills!H5+0.000000001),1)+IF(Skills!H5&gt;0,INT(MIN(Skills!I5,MAX(0,MAX(0,Inputs!$B$43-B353)-((R316-1)*(IF(Inputs!$B$38="pvp",15,MAX(0.1,Skills!D5-IF(TRUE=TRUE,Inputs!$B$32,0)))*(1-IF(AND(ArtifactsInput!$M$27,Inputs!$B$4="Chapter Hunt"),CHOOSE(ArtifactsInput!$N$27+1,20,24,28,32,36,40),0)/100)))))/Skills!H5+0.000000001),1)))/Inputs!$B$43),G316*Q316)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INT(Skills!I5/Skills!H5+0.000000001),1)+IF(Skills!H5&gt;0,INT(MIN(Skills!I5,MAX(0,MAX(0,Inputs!$B$43-B353)-((R316-1)*(IF(Inputs!$B$38="pvp",15,MAX(0.1,Skills!D5-IF(TRUE=TRUE,Inputs!$B$32,0)))*(1-IF(AND(ArtifactsInput!$M$27,Inputs!$B$4="Chapter Hunt"),CHOOSE(ArtifactsInput!$N$27+1,20,24,28,32,36,40),0)/100)))))/Skills!H5+0.000000001),1)))/Inputs!$B$43),G316*Q316))*IF(Inputs!$B$38="pvp",1,(1+(Inputs!$B$21+Skills!Q5+(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Inputs!$B$3&gt;=40</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Skills!G6*IF(Skills!H6&gt;0,INT(IF(Inputs!$B$38="pvp",MIN(Skills!I6,15),Skills!I6)/Skills!H6+0.000000001),1)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318=TRUE,F318,0)/100)*(1+(IF(Skills!A6="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337=TRUE)*(F337-Calc!F26)),(Inputs!$B$23+((C342=TRUE)*(F342-Calc!F31))+(IF(ArtifactsInput!$M$15,CHOOSE(ArtifactsInput!$N$15+1,25,30,35,40,45,50)/100*(Inputs!$B$11-Inputs!$B$11),0))))/100+(Inputs!$B$23+((C342=TRUE)*(F342-Calc!F31))+(IF(ArtifactsInput!$M$15,CHOOSE(ArtifactsInput!$N$15+1,25,30,35,40,45,50)/100*(Inputs!$B$11-Inputs!$B$11),0)))/100)/2</f>
        <v/>
      </c>
      <c r="M317">
        <f>L317*(1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IF(B356=0,0,O317/B356)</f>
        <v/>
      </c>
      <c r="Q317">
        <f>IFERROR(1/(IF(Inputs!$B$38="pvp",15,MAX(0.1,1-0.4*MIN(1,(B348-1)/1.5)-IF(FALSE=TRUE,Inputs!$B$32,0)))*(1-IF(AND(ArtifactsInput!$M$27,Inputs!$B$4="Chapter Hunt"),CHOOSE(ArtifactsInput!$N$27+1,20,24,28,32,36,40),0)/100)),0)</f>
        <v/>
      </c>
      <c r="R317">
        <f>IF(AND(Inputs!$B$38&lt;&gt;"pvp",Inputs!$B$43&gt;0),IF(MAX(0,Inputs!$B$43-B353)&lt;=0,0,(INT(MAX(0,Inputs!$B$43-B353)/(IF(Inputs!$B$38="pvp",15,MAX(0.1,1-0.4*MIN(1,(B348-1)/1.5)-IF(FALSE=TRUE,Inputs!$B$32,0)))*(1-IF(AND(ArtifactsInput!$M$27,Inputs!$B$4="Chapter Hunt"),CHOOSE(ArtifactsInput!$N$27+1,20,24,28,32,36,40),0)/100)))+1)),0)</f>
        <v/>
      </c>
      <c r="S317">
        <f>IFERROR(O317/N317,0)</f>
        <v/>
      </c>
      <c r="T317">
        <f>IF(C317,(H317*N317*IF(AND(Inputs!$B$38&lt;&gt;"pvp",Inputs!$B$43&gt;0),((Skills!G6*((R317-1)*IF(Skills!H6&gt;0,INT(Skills!I6/Skills!H6+0.000000001),1)+IF(Skills!H6&gt;0,INT(MIN(Skills!I6,MAX(0,MAX(0,Inputs!$B$43-B353)-((R317-1)*(IF(Inputs!$B$38="pvp",15,MAX(0.1,1-0.4*MIN(1,(B348-1)/1.5)-IF(FALSE=TRUE,Inputs!$B$32,0)))*(1-IF(AND(ArtifactsInput!$M$27,Inputs!$B$4="Chapter Hunt"),CHOOSE(ArtifactsInput!$N$27+1,20,24,28,32,36,40),0)/100)))))/Skills!H6+0.000000001),1)))/Inputs!$B$43),G317*Q317)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INT(Skills!I6/Skills!H6+0.000000001),1)+IF(Skills!H6&gt;0,INT(MIN(Skills!I6,MAX(0,MAX(0,Inputs!$B$43-B353)-((R317-1)*(IF(Inputs!$B$38="pvp",15,MAX(0.1,1-0.4*MIN(1,(B348-1)/1.5)-IF(FALSE=TRUE,Inputs!$B$32,0)))*(1-IF(AND(ArtifactsInput!$M$27,Inputs!$B$4="Chapter Hunt"),CHOOSE(ArtifactsInput!$N$27+1,20,24,28,32,36,40),0)/100)))))/Skills!H6+0.000000001),1)))/Inputs!$B$43),G317*Q317))*IF(Inputs!$B$38="pvp",1,(1+(Inputs!$B$21+Skills!Q6+(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t="inlineStr"/>
      <c r="H318" t="inlineStr"/>
      <c r="I318" t="inlineStr">
        <is>
          <t>1</t>
        </is>
      </c>
      <c r="J318" t="inlineStr"/>
      <c r="K318" t="inlineStr"/>
      <c r="L318" t="inlineStr"/>
      <c r="M318" t="inlineStr"/>
      <c r="N318" t="inlineStr"/>
      <c r="O318" t="inlineStr"/>
      <c r="P318" t="inlineStr"/>
      <c r="Q318" t="inlineStr"/>
      <c r="R318" t="inlineStr"/>
      <c r="S318" t="inlineStr"/>
      <c r="T318" t="inlineStr"/>
      <c r="V318" t="inlineStr"/>
    </row>
    <row r="319">
      <c r="A319">
        <f>Skills!A8</f>
        <v/>
      </c>
      <c r="B319">
        <f>Skills!B8</f>
        <v/>
      </c>
      <c r="C319">
        <f>Inputs!$B$3&gt;=130</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Skills!G8*IF(Skills!H8&gt;0,INT(IF(Inputs!$B$38="pvp",MIN(Skills!I8,15),Skills!I8)/Skills!H8+0.000000001),1)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337=TRUE)*(F337-Calc!F26)),(Inputs!$B$23+((C342=TRUE)*(F342-Calc!F31))+(IF(ArtifactsInput!$M$15,CHOOSE(ArtifactsInput!$N$15+1,25,30,35,40,45,50)/100*(Inputs!$B$11-Inputs!$B$11),0))))/100+(Inputs!$B$23+((C342=TRUE)*(F342-Calc!F31))+(IF(ArtifactsInput!$M$15,CHOOSE(ArtifactsInput!$N$15+1,25,30,35,40,45,50)/100*(Inputs!$B$11-Inputs!$B$11),0)))/100)/2</f>
        <v/>
      </c>
      <c r="M319">
        <f>L319*(1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IF(B356=0,0,O319/B356)</f>
        <v/>
      </c>
      <c r="Q319">
        <f>IFERROR(1/(IF(Inputs!$B$38="pvp",15,MAX(0.1,1-0.4*MIN(1,(B348-1)/1.5)-IF(FALSE=TRUE,Inputs!$B$32,0)))*(1-IF(AND(ArtifactsInput!$M$27,Inputs!$B$4="Chapter Hunt"),CHOOSE(ArtifactsInput!$N$27+1,20,24,28,32,36,40),0)/100)),0)</f>
        <v/>
      </c>
      <c r="R319">
        <f>IF(AND(Inputs!$B$38&lt;&gt;"pvp",Inputs!$B$43&gt;0),IF(MAX(0,Inputs!$B$43-B353)&lt;=0,0,(INT(MAX(0,Inputs!$B$43-B353)/(IF(Inputs!$B$38="pvp",15,MAX(0.1,1-0.4*MIN(1,(B348-1)/1.5)-IF(FALSE=TRUE,Inputs!$B$32,0)))*(1-IF(AND(ArtifactsInput!$M$27,Inputs!$B$4="Chapter Hunt"),CHOOSE(ArtifactsInput!$N$27+1,20,24,28,32,36,40),0)/100)))+1)),0)</f>
        <v/>
      </c>
      <c r="S319">
        <f>IFERROR(O319/N319,0)</f>
        <v/>
      </c>
      <c r="T319">
        <f>IF(C319,(H319*N319*IF(AND(Inputs!$B$38&lt;&gt;"pvp",Inputs!$B$43&gt;0),((Skills!G8*((R319-1)*IF(Skills!H8&gt;0,INT(Skills!I8/Skills!H8+0.000000001),1)+IF(Skills!H8&gt;0,INT(MIN(Skills!I8,MAX(0,MAX(0,Inputs!$B$43-B353)-((R319-1)*(IF(Inputs!$B$38="pvp",15,MAX(0.1,1-0.4*MIN(1,(B348-1)/1.5)-IF(FALSE=TRUE,Inputs!$B$32,0)))*(1-IF(AND(ArtifactsInput!$M$27,Inputs!$B$4="Chapter Hunt"),CHOOSE(ArtifactsInput!$N$27+1,20,24,28,32,36,40),0)/100)))))/Skills!H8+0.000000001),1)))/Inputs!$B$43),G319*Q319)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INT(Skills!I8/Skills!H8+0.000000001),1)+IF(Skills!H8&gt;0,INT(MIN(Skills!I8,MAX(0,MAX(0,Inputs!$B$43-B353)-((R319-1)*(IF(Inputs!$B$38="pvp",15,MAX(0.1,1-0.4*MIN(1,(B348-1)/1.5)-IF(FALSE=TRUE,Inputs!$B$32,0)))*(1-IF(AND(ArtifactsInput!$M$27,Inputs!$B$4="Chapter Hunt"),CHOOSE(ArtifactsInput!$N$27+1,20,24,28,32,36,40),0)/100)))))/Skills!H8+0.000000001),1)))/Inputs!$B$43),G319*Q319))*IF(Inputs!$B$38="pvp",1,(1+(Inputs!$B$21+Skills!Q8+(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Inputs!$B$3&gt;=69</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Skills!G9*IF(Skills!H9&gt;0,INT(IF(Inputs!$B$38="pvp",MIN(Skills!I9,15),Skills!I9)/Skills!H9+0.000000001),1)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323=TRUE,F323,0)/100)*(1+(IF(Skills!A9="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337=TRUE)*(F337-Calc!F26)),(Inputs!$B$23+((C342=TRUE)*(F342-Calc!F31))+(IF(ArtifactsInput!$M$15,CHOOSE(ArtifactsInput!$N$15+1,25,30,35,40,45,50)/100*(Inputs!$B$11-Inputs!$B$11),0))))/100+(Inputs!$B$23+((C342=TRUE)*(F342-Calc!F31))+(IF(ArtifactsInput!$M$15,CHOOSE(ArtifactsInput!$N$15+1,25,30,35,40,45,50)/100*(Inputs!$B$11-Inputs!$B$11),0)))/100)/2</f>
        <v/>
      </c>
      <c r="M320">
        <f>L320*(1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IF(B356=0,0,O320/B356)</f>
        <v/>
      </c>
      <c r="Q320">
        <f>IFERROR(1/(IF(Inputs!$B$38="pvp",15,MAX(0.1,Skills!D9-IF(TRUE=TRUE,Inputs!$B$32,0)))*(1-IF(AND(ArtifactsInput!$M$27,Inputs!$B$4="Chapter Hunt"),CHOOSE(ArtifactsInput!$N$27+1,20,24,28,32,36,40),0)/100)),0)</f>
        <v/>
      </c>
      <c r="R320">
        <f>IF(AND(Inputs!$B$38&lt;&gt;"pvp",Inputs!$B$43&gt;0),IF(MAX(0,Inputs!$B$43-B353)&lt;=0,0,(INT(MAX(0,Inputs!$B$43-B353)/(IF(Inputs!$B$38="pvp",15,MAX(0.1,Skills!D9-IF(TRUE=TRUE,Inputs!$B$32,0)))*(1-IF(AND(ArtifactsInput!$M$27,Inputs!$B$4="Chapter Hunt"),CHOOSE(ArtifactsInput!$N$27+1,20,24,28,32,36,40),0)/100)))+1)),0)</f>
        <v/>
      </c>
      <c r="S320">
        <f>IFERROR(O320/N320,0)</f>
        <v/>
      </c>
      <c r="T320">
        <f>IF(C320,(H320*N320*IF(AND(Inputs!$B$38&lt;&gt;"pvp",Inputs!$B$43&gt;0),((Skills!G9*((R320-1)*IF(Skills!H9&gt;0,INT(Skills!I9/Skills!H9+0.000000001),1)+IF(Skills!H9&gt;0,INT(MIN(Skills!I9,MAX(0,MAX(0,Inputs!$B$43-B353)-((R320-1)*(IF(Inputs!$B$38="pvp",15,MAX(0.1,Skills!D9-IF(TRUE=TRUE,Inputs!$B$32,0)))*(1-IF(AND(ArtifactsInput!$M$27,Inputs!$B$4="Chapter Hunt"),CHOOSE(ArtifactsInput!$N$27+1,20,24,28,32,36,40),0)/100)))))/Skills!H9+0.000000001),1)))/Inputs!$B$43),G320*Q320)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INT(Skills!I9/Skills!H9+0.000000001),1)+IF(Skills!H9&gt;0,INT(MIN(Skills!I9,MAX(0,MAX(0,Inputs!$B$43-B353)-((R320-1)*(IF(Inputs!$B$38="pvp",15,MAX(0.1,Skills!D9-IF(TRUE=TRUE,Inputs!$B$32,0)))*(1-IF(AND(ArtifactsInput!$M$27,Inputs!$B$4="Chapter Hunt"),CHOOSE(ArtifactsInput!$N$27+1,20,24,28,32,36,40),0)/100)))))/Skills!H9+0.000000001),1)))/Inputs!$B$43),G320*Q320))*IF(Inputs!$B$38="pvp",1,(1+(Inputs!$B$21+Skills!Q9+(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Inputs!$B$3&gt;=63</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Skills!G10*IF(Skills!H10&gt;0,INT(IF(Inputs!$B$38="pvp",MIN(Skills!I10,15),Skills!I10)/Skills!H10+0.000000001),1)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10="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337=TRUE)*(F337-Calc!F26)),(Inputs!$B$23+((C342=TRUE)*(F342-Calc!F31))+(IF(ArtifactsInput!$M$15,CHOOSE(ArtifactsInput!$N$15+1,25,30,35,40,45,50)/100*(Inputs!$B$11-Inputs!$B$11),0))))/100+(Inputs!$B$23+((C342=TRUE)*(F342-Calc!F31))+(IF(ArtifactsInput!$M$15,CHOOSE(ArtifactsInput!$N$15+1,25,30,35,40,45,50)/100*(Inputs!$B$11-Inputs!$B$11),0)))/100)/2</f>
        <v/>
      </c>
      <c r="M321">
        <f>L321*(1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IF(B356=0,0,O321/B356)</f>
        <v/>
      </c>
      <c r="Q321">
        <f>IFERROR(1/(IF(Inputs!$B$38="pvp",15,MAX(0.1,Skills!D10-IF(TRUE=TRUE,Inputs!$B$32,0)))*(1-IF(AND(ArtifactsInput!$M$27,Inputs!$B$4="Chapter Hunt"),CHOOSE(ArtifactsInput!$N$27+1,20,24,28,32,36,40),0)/100)),0)</f>
        <v/>
      </c>
      <c r="R321">
        <f>IF(AND(Inputs!$B$38&lt;&gt;"pvp",Inputs!$B$43&gt;0),IF(MAX(0,Inputs!$B$43-B353)&lt;=0,0,(INT(MAX(0,Inputs!$B$43-B353)/(IF(Inputs!$B$38="pvp",15,MAX(0.1,Skills!D10-IF(TRUE=TRUE,Inputs!$B$32,0)))*(1-IF(AND(ArtifactsInput!$M$27,Inputs!$B$4="Chapter Hunt"),CHOOSE(ArtifactsInput!$N$27+1,20,24,28,32,36,40),0)/100)))+1)),0)</f>
        <v/>
      </c>
      <c r="S321">
        <f>IFERROR(O321/N321,0)</f>
        <v/>
      </c>
      <c r="T321">
        <f>IF(C321,(H321*N321*IF(AND(Inputs!$B$38&lt;&gt;"pvp",Inputs!$B$43&gt;0),((Skills!G10*((R321-1)*IF(Skills!H10&gt;0,INT(Skills!I10/Skills!H10+0.000000001),1)+IF(Skills!H10&gt;0,INT(MIN(Skills!I10,MAX(0,MAX(0,Inputs!$B$43-B353)-((R321-1)*(IF(Inputs!$B$38="pvp",15,MAX(0.1,Skills!D10-IF(TRUE=TRUE,Inputs!$B$32,0)))*(1-IF(AND(ArtifactsInput!$M$27,Inputs!$B$4="Chapter Hunt"),CHOOSE(ArtifactsInput!$N$27+1,20,24,28,32,36,40),0)/100)))))/Skills!H10+0.000000001),1)))/Inputs!$B$43),G321*Q321)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INT(Skills!I10/Skills!H10+0.000000001),1)+IF(Skills!H10&gt;0,INT(MIN(Skills!I10,MAX(0,MAX(0,Inputs!$B$43-B353)-((R321-1)*(IF(Inputs!$B$38="pvp",15,MAX(0.1,Skills!D10-IF(TRUE=TRUE,Inputs!$B$32,0)))*(1-IF(AND(ArtifactsInput!$M$27,Inputs!$B$4="Chapter Hunt"),CHOOSE(ArtifactsInput!$N$27+1,20,24,28,32,36,40),0)/100)))))/Skills!H10+0.000000001),1)))/Inputs!$B$43),G321*Q321))*IF(Inputs!$B$38="pvp",1,(1+(Inputs!$B$21+Skills!Q10+(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Inputs!$B$3&gt;=103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Skills!G11*IF(Skills!H11&gt;0,INT(IF(Inputs!$B$38="pvp",MIN(Skills!I11,15),Skills!I11)/Skills!H11+0.000000001),1)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337=TRUE)*(F337-Calc!F26)),(Inputs!$B$23+((C342=TRUE)*(F342-Calc!F31))+(IF(ArtifactsInput!$M$15,CHOOSE(ArtifactsInput!$N$15+1,25,30,35,40,45,50)/100*(Inputs!$B$11-Inputs!$B$11),0))))/100+(Inputs!$B$23+((C342=TRUE)*(F342-Calc!F31))+(IF(ArtifactsInput!$M$15,CHOOSE(ArtifactsInput!$N$15+1,25,30,35,40,45,50)/100*(Inputs!$B$11-Inputs!$B$11),0)))/100)/2</f>
        <v/>
      </c>
      <c r="M322">
        <f>L322*(1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IF(B356=0,0,O322/B356)</f>
        <v/>
      </c>
      <c r="Q322">
        <f>IFERROR(1/(IF(Inputs!$B$38="pvp",15,MAX(0.1,Skills!D11-IF(TRUE=TRUE,Inputs!$B$32,0)))*(1-IF(AND(ArtifactsInput!$M$27,Inputs!$B$4="Chapter Hunt"),CHOOSE(ArtifactsInput!$N$27+1,20,24,28,32,36,40),0)/100)),0)</f>
        <v/>
      </c>
      <c r="R322">
        <f>IF(AND(Inputs!$B$38&lt;&gt;"pvp",Inputs!$B$43&gt;0),IF(MAX(0,Inputs!$B$43-B353)&lt;=0,0,(INT(MAX(0,Inputs!$B$43-B353)/(IF(Inputs!$B$38="pvp",15,MAX(0.1,Skills!D11-IF(TRUE=TRUE,Inputs!$B$32,0)))*(1-IF(AND(ArtifactsInput!$M$27,Inputs!$B$4="Chapter Hunt"),CHOOSE(ArtifactsInput!$N$27+1,20,24,28,32,36,40),0)/100)))+1)),0)</f>
        <v/>
      </c>
      <c r="S322">
        <f>IFERROR(O322/N322,0)</f>
        <v/>
      </c>
      <c r="T322">
        <f>IF(C322,(H322*N322*IF(AND(Inputs!$B$38&lt;&gt;"pvp",Inputs!$B$43&gt;0),((Skills!G11*((R322-1)*IF(Skills!H11&gt;0,INT(Skills!I11/Skills!H11+0.000000001),1)+IF(Skills!H11&gt;0,INT(MIN(Skills!I11,MAX(0,MAX(0,Inputs!$B$43-B353)-((R322-1)*(IF(Inputs!$B$38="pvp",15,MAX(0.1,Skills!D11-IF(TRUE=TRUE,Inputs!$B$32,0)))*(1-IF(AND(ArtifactsInput!$M$27,Inputs!$B$4="Chapter Hunt"),CHOOSE(ArtifactsInput!$N$27+1,20,24,28,32,36,40),0)/100)))))/Skills!H11+0.000000001),1)))/Inputs!$B$43),G322*Q322)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INT(Skills!I11/Skills!H11+0.000000001),1)+IF(Skills!H11&gt;0,INT(MIN(Skills!I11,MAX(0,MAX(0,Inputs!$B$43-B353)-((R322-1)*(IF(Inputs!$B$38="pvp",15,MAX(0.1,Skills!D11-IF(TRUE=TRUE,Inputs!$B$32,0)))*(1-IF(AND(ArtifactsInput!$M$27,Inputs!$B$4="Chapter Hunt"),CHOOSE(ArtifactsInput!$N$27+1,20,24,28,32,36,40),0)/100)))))/Skills!H11+0.000000001),1)))/Inputs!$B$43),G322*Q322))*IF(Inputs!$B$38="pvp",1,(1+(Inputs!$B$21+Skills!Q11+(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c r="T323" t="inlineStr"/>
      <c r="V323" t="inlineStr"/>
    </row>
    <row r="324">
      <c r="A324">
        <f>Skills!A13</f>
        <v/>
      </c>
      <c r="B324">
        <f>Skills!B13</f>
        <v/>
      </c>
      <c r="C324">
        <f>Inputs!$B$3&gt;=60</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Skills!G13*IF(Skills!H13&gt;0,INT(IF(Inputs!$B$38="pvp",MIN(Skills!I13,15),Skills!I13)/Skills!H13+0.000000001),1)</f>
        <v/>
      </c>
      <c r="H324">
        <f>1-(1-Skills!J13/100)^Skills!K13</f>
        <v/>
      </c>
      <c r="I324" t="inlineStr">
        <is>
          <t>1</t>
        </is>
      </c>
      <c r="J324">
        <f>((Inputs!$B$6*(1+Inputs!$B$7/100))+(((Inputs!$B$12*(1+Inputs!$B$13/100))-(Inputs!$B$12*(1+Inputs!$B$13/100)))+0.25*(Inputs!$B$14-Inputs!$B$14))*(1+Inputs!$B$7/100))*(F324/100)</f>
        <v/>
      </c>
      <c r="K324">
        <f>J324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Skills!A13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f>
        <v/>
      </c>
      <c r="L324">
        <f>K324*(MIN(Inputs!$B$22+((C337=TRUE)*(F337-Calc!F26)),(Inputs!$B$23+((C342=TRUE)*(F342-Calc!F31))+(IF(ArtifactsInput!$M$15,CHOOSE(ArtifactsInput!$N$15+1,25,30,35,40,45,50)/100*(Inputs!$B$11-Inputs!$B$11),0))))/100+(Inputs!$B$23+((C342=TRUE)*(F342-Calc!F31))+(IF(ArtifactsInput!$M$15,CHOOSE(ArtifactsInput!$N$15+1,25,30,35,40,45,50)/100*(Inputs!$B$11-Inputs!$B$11),0)))/100)/2</f>
        <v/>
      </c>
      <c r="M324">
        <f>L324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
        <f>L324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
        <f>(1-Summary!$B$11)*T324+Summary!$B$11*V324</f>
        <v/>
      </c>
      <c r="P324">
        <f>IF(B356=0,0,O324/B356)</f>
        <v/>
      </c>
      <c r="Q324">
        <f>IFERROR(1/(IF(Inputs!$B$38="pvp",15,MAX(0.1,IF(Inputs!$B$3&gt;=122,3,5)+1/(((20+30*(B348-1)*100/150)/100)*B348)-IF(FALSE=TRUE,Inputs!$B$32,0)))*(1-IF(AND(ArtifactsInput!$M$27,Inputs!$B$4="Chapter Hunt"),CHOOSE(ArtifactsInput!$N$27+1,20,24,28,32,36,40),0)/100)),0)</f>
        <v/>
      </c>
      <c r="R324">
        <f>IF(AND(Inputs!$B$38&lt;&gt;"pvp",Inputs!$B$43&gt;0),IF(MAX(0,Inputs!$B$43-B353)&lt;=0,0,(INT(MAX(0,Inputs!$B$43-B353)/(IF(Inputs!$B$38="pvp",15,MAX(0.1,IF(Inputs!$B$3&gt;=122,3,5)+1/(((20+30*(B348-1)*100/150)/100)*B348)-IF(FALSE=TRUE,Inputs!$B$32,0)))*(1-IF(AND(ArtifactsInput!$M$27,Inputs!$B$4="Chapter Hunt"),CHOOSE(ArtifactsInput!$N$27+1,20,24,28,32,36,40),0)/100)))+1)),0)</f>
        <v/>
      </c>
      <c r="S324">
        <f>IFERROR(O324/N324,0)</f>
        <v/>
      </c>
      <c r="T324">
        <f>IF(C324,(H324*N324*IF(AND(Inputs!$B$38&lt;&gt;"pvp",Inputs!$B$43&gt;0),((Skills!G13*((R324-1)*IF(Skills!H13&gt;0,INT(Skills!I13/Skills!H13+0.000000001),1)+IF(Skills!H13&gt;0,INT(MIN(Skills!I13,MAX(0,MAX(0,Inputs!$B$43-B353)-((R324-1)*(IF(Inputs!$B$38="pvp",15,MAX(0.1,IF(Inputs!$B$3&gt;=122,3,5)+1/(((20+30*(B348-1)*100/150)/100)*B348)-IF(FALSE=TRUE,Inputs!$B$32,0)))*(1-IF(AND(ArtifactsInput!$M$27,Inputs!$B$4="Chapter Hunt"),CHOOSE(ArtifactsInput!$N$27+1,20,24,28,32,36,40),0)/100)))))/Skills!H13+0.000000001),1)))/Inputs!$B$43),G324*Q324)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
        <f>IF(C324,(H324*N324*IF(AND(Inputs!$B$38&lt;&gt;"pvp",Inputs!$B$43&gt;0),((Skills!G13*((R324-1)*IF(Skills!H13&gt;0,INT(Skills!I13/Skills!H13+0.000000001),1)+IF(Skills!H13&gt;0,INT(MIN(Skills!I13,MAX(0,MAX(0,Inputs!$B$43-B353)-((R324-1)*(IF(Inputs!$B$38="pvp",15,MAX(0.1,IF(Inputs!$B$3&gt;=122,3,5)+1/(((20+30*(B348-1)*100/150)/100)*B348)-IF(FALSE=TRUE,Inputs!$B$32,0)))*(1-IF(AND(ArtifactsInput!$M$27,Inputs!$B$4="Chapter Hunt"),CHOOSE(ArtifactsInput!$N$27+1,20,24,28,32,36,40),0)/100)))))/Skills!H13+0.000000001),1)))/Inputs!$B$43),G324*Q324))*IF(Inputs!$B$38="pvp",1,(1+(Inputs!$B$21+Skills!Q13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t="inlineStr"/>
      <c r="H325" t="inlineStr"/>
      <c r="I325" t="inlineStr">
        <is>
          <t>1</t>
        </is>
      </c>
      <c r="J325" t="inlineStr"/>
      <c r="K325" t="inlineStr"/>
      <c r="L325" t="inlineStr"/>
      <c r="M325" t="inlineStr"/>
      <c r="N325" t="inlineStr"/>
      <c r="O325" t="inlineStr"/>
      <c r="P325" t="inlineStr"/>
      <c r="Q325" t="inlineStr"/>
      <c r="R325" t="inlineStr"/>
      <c r="S325" t="inlineStr"/>
      <c r="T325" t="inlineStr"/>
      <c r="V325" t="inlineStr"/>
    </row>
    <row r="326">
      <c r="A326">
        <f>Skills!A15</f>
        <v/>
      </c>
      <c r="B326">
        <f>Skills!B15</f>
        <v/>
      </c>
      <c r="C326">
        <f>Inputs!$B$3&gt;=74</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Skills!G15*IF(Skills!H15&gt;0,INT(IF(Inputs!$B$38="pvp",MIN(Skills!I15,15),Skills!I15)/Skills!H15+0.000000001),1)</f>
        <v/>
      </c>
      <c r="H326">
        <f>1-(1-Skills!J15/100)^Skills!K15</f>
        <v/>
      </c>
      <c r="I326" t="inlineStr">
        <is>
          <t>1</t>
        </is>
      </c>
      <c r="J326" t="inlineStr"/>
      <c r="K326" t="inlineStr"/>
      <c r="L326" t="inlineStr"/>
      <c r="M326" t="inlineStr"/>
      <c r="N326" t="inlineStr"/>
      <c r="O326">
        <f>(1-Summary!$B$11)*T326+Summary!$B$11*V326</f>
        <v/>
      </c>
      <c r="P326">
        <f>IF(B356=0,0,O326/B356)</f>
        <v/>
      </c>
      <c r="Q326" t="n">
        <v>0</v>
      </c>
      <c r="R326" t="n">
        <v>0</v>
      </c>
      <c r="S326">
        <f>IFERROR(O326/N326,0)</f>
        <v/>
      </c>
      <c r="T326" t="n">
        <v>0</v>
      </c>
      <c r="V326" t="n">
        <v>0</v>
      </c>
    </row>
    <row r="327">
      <c r="A327">
        <f>Skills!A16</f>
        <v/>
      </c>
      <c r="B327">
        <f>Skills!B16</f>
        <v/>
      </c>
      <c r="C327">
        <f>Inputs!$B$3&gt;=74</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Skills!G16*IF(Skills!H16&gt;0,INT(IF(Inputs!$B$38="pvp",MIN(Skills!I16,15),Skills!I16)/Skills!H16+0.000000001),1)</f>
        <v/>
      </c>
      <c r="H327">
        <f>1-(1-Skills!J16/100)^Skills!K16</f>
        <v/>
      </c>
      <c r="I327" t="inlineStr">
        <is>
          <t>1</t>
        </is>
      </c>
      <c r="J327" t="inlineStr"/>
      <c r="K327" t="inlineStr"/>
      <c r="L327" t="inlineStr"/>
      <c r="M327" t="inlineStr"/>
      <c r="N327" t="inlineStr"/>
      <c r="O327">
        <f>(1-Summary!$B$11)*T327+Summary!$B$11*V327</f>
        <v/>
      </c>
      <c r="P327">
        <f>IF(B356=0,0,O327/B356)</f>
        <v/>
      </c>
      <c r="Q327" t="n">
        <v>0</v>
      </c>
      <c r="R327" t="n">
        <v>0</v>
      </c>
      <c r="S327">
        <f>IFERROR(O327/N327,0)</f>
        <v/>
      </c>
      <c r="T327" t="n">
        <v>0</v>
      </c>
      <c r="V327" t="n">
        <v>0</v>
      </c>
    </row>
    <row r="328">
      <c r="A328">
        <f>Skills!A17</f>
        <v/>
      </c>
      <c r="B328">
        <f>Skills!B17</f>
        <v/>
      </c>
      <c r="C328">
        <f>Inputs!$B$3&gt;=117</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Skills!G17*IF(Skills!H17&gt;0,INT(IF(Inputs!$B$38="pvp",MIN(Skills!I17,15),Skills!I17)/Skills!H17+0.000000001),1)</f>
        <v/>
      </c>
      <c r="H328">
        <f>1-(1-Skills!J17/100)^Skills!K17</f>
        <v/>
      </c>
      <c r="I328" t="inlineStr">
        <is>
          <t>1</t>
        </is>
      </c>
      <c r="J328" t="inlineStr"/>
      <c r="K328" t="inlineStr"/>
      <c r="L328" t="inlineStr"/>
      <c r="M328" t="inlineStr"/>
      <c r="N328" t="inlineStr"/>
      <c r="O328">
        <f>(1-Summary!$B$11)*T328+Summary!$B$11*V328</f>
        <v/>
      </c>
      <c r="P328">
        <f>IF(B356=0,0,O328/B356)</f>
        <v/>
      </c>
      <c r="Q328">
        <f>IFERROR(1/(IF(Inputs!$B$38="pvp",15,MAX(0.1,Skills!D17-IF(TRUE=TRUE,Inputs!$B$32,0)))*(1-IF(AND(ArtifactsInput!$M$27,Inputs!$B$4="Chapter Hunt"),CHOOSE(ArtifactsInput!$N$27+1,20,24,28,32,36,40),0)/100)),0)</f>
        <v/>
      </c>
      <c r="R328">
        <f>IF(AND(Inputs!$B$38&lt;&gt;"pvp",Inputs!$B$43&gt;0),IF(Inputs!$B$43&lt;=0,0,(INT(Inputs!$B$43/(IF(Inputs!$B$38="pvp",15,MAX(0.1,Skills!D17-IF(TRUE=TRUE,Inputs!$B$32,0)))*(1-IF(AND(ArtifactsInput!$M$27,Inputs!$B$4="Chapter Hunt"),CHOOSE(ArtifactsInput!$N$27+1,20,24,28,32,36,40),0)/100)))+1)),0)</f>
        <v/>
      </c>
      <c r="S328">
        <f>IFERROR(O328/N328,0)</f>
        <v/>
      </c>
      <c r="T328" t="n">
        <v>0</v>
      </c>
      <c r="V328" t="n">
        <v>0</v>
      </c>
    </row>
    <row r="329">
      <c r="A329">
        <f>Skills!A18</f>
        <v/>
      </c>
      <c r="B329">
        <f>Skills!B18</f>
        <v/>
      </c>
      <c r="C329">
        <f>Inputs!$B$3&gt;=115</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Skills!G18*IF(Skills!H18&gt;0,INT(IF(Inputs!$B$38="pvp",MIN(Skills!I18,15),Skills!I18)/Skills!H18+0.000000001),1)</f>
        <v/>
      </c>
      <c r="H329">
        <f>1-(1-Skills!J18/100)^Skills!K18</f>
        <v/>
      </c>
      <c r="I329" t="inlineStr">
        <is>
          <t>1</t>
        </is>
      </c>
      <c r="J329" t="inlineStr"/>
      <c r="K329" t="inlineStr"/>
      <c r="L329" t="inlineStr"/>
      <c r="M329" t="inlineStr"/>
      <c r="N329" t="inlineStr"/>
      <c r="O329">
        <f>(1-Summary!$B$11)*T329+Summary!$B$11*V329</f>
        <v/>
      </c>
      <c r="P329">
        <f>IF(B356=0,0,O329/B356)</f>
        <v/>
      </c>
      <c r="Q329">
        <f>IFERROR(1/(IF(Inputs!$B$38="pvp",15,MAX(0.1,Skills!D18-IF(TRUE=TRUE,Inputs!$B$32,0)))*(1-IF(AND(ArtifactsInput!$M$27,Inputs!$B$4="Chapter Hunt"),CHOOSE(ArtifactsInput!$N$27+1,20,24,28,32,36,40),0)/100)),0)</f>
        <v/>
      </c>
      <c r="R329">
        <f>IF(AND(Inputs!$B$38&lt;&gt;"pvp",Inputs!$B$43&gt;0),IF(Inputs!$B$43&lt;=0,0,(INT(Inputs!$B$43/(IF(Inputs!$B$38="pvp",15,MAX(0.1,Skills!D18-IF(TRUE=TRUE,Inputs!$B$32,0)))*(1-IF(AND(ArtifactsInput!$M$27,Inputs!$B$4="Chapter Hunt"),CHOOSE(ArtifactsInput!$N$27+1,20,24,28,32,36,40),0)/100)))+1)),0)</f>
        <v/>
      </c>
      <c r="S329">
        <f>IFERROR(O329/N329,0)</f>
        <v/>
      </c>
      <c r="T329" t="n">
        <v>0</v>
      </c>
      <c r="V329" t="n">
        <v>0</v>
      </c>
    </row>
    <row r="330">
      <c r="A330">
        <f>Skills!A19</f>
        <v/>
      </c>
      <c r="B330">
        <f>Skills!B19</f>
        <v/>
      </c>
      <c r="C330">
        <f>Inputs!$B$3&gt;=66</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Skills!G19*IF(Skills!H19&gt;0,INT(IF(Inputs!$B$38="pvp",MIN(Skills!I19,15),Skills!I19)/Skills!H19+0.000000001),1)</f>
        <v/>
      </c>
      <c r="H330">
        <f>1-(1-Skills!J19/100)^Skills!K19</f>
        <v/>
      </c>
      <c r="I330" t="inlineStr">
        <is>
          <t>1</t>
        </is>
      </c>
      <c r="J330" t="inlineStr"/>
      <c r="K330" t="inlineStr"/>
      <c r="L330" t="inlineStr"/>
      <c r="M330" t="inlineStr"/>
      <c r="N330" t="inlineStr"/>
      <c r="O330">
        <f>(1-Summary!$B$11)*T330+Summary!$B$11*V330</f>
        <v/>
      </c>
      <c r="P330">
        <f>IF(B356=0,0,O330/B356)</f>
        <v/>
      </c>
      <c r="Q330" t="n">
        <v>0</v>
      </c>
      <c r="R330" t="n">
        <v>0</v>
      </c>
      <c r="S330">
        <f>IFERROR(O330/N330,0)</f>
        <v/>
      </c>
      <c r="T330" t="n">
        <v>0</v>
      </c>
      <c r="V330" t="n">
        <v>0</v>
      </c>
    </row>
    <row r="331">
      <c r="A331">
        <f>Skills!A20</f>
        <v/>
      </c>
      <c r="B331">
        <f>Skills!B20</f>
        <v/>
      </c>
      <c r="C331">
        <f>Inputs!$B$3&gt;=72</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Skills!G20*IF(Skills!H20&gt;0,INT(IF(Inputs!$B$38="pvp",MIN(Skills!I20,15),Skills!I20)/Skills!H20+0.000000001),1)</f>
        <v/>
      </c>
      <c r="H331">
        <f>1-(1-Skills!J20/100)^Skills!K20</f>
        <v/>
      </c>
      <c r="I331" t="inlineStr">
        <is>
          <t>1</t>
        </is>
      </c>
      <c r="J331" t="inlineStr"/>
      <c r="K331" t="inlineStr"/>
      <c r="L331" t="inlineStr"/>
      <c r="M331" t="inlineStr"/>
      <c r="N331" t="inlineStr"/>
      <c r="O331">
        <f>(1-Summary!$B$11)*T331+Summary!$B$11*V331</f>
        <v/>
      </c>
      <c r="P331">
        <f>IF(B356=0,0,O331/B356)</f>
        <v/>
      </c>
      <c r="Q331" t="n">
        <v>0</v>
      </c>
      <c r="R331" t="n">
        <v>0</v>
      </c>
      <c r="S331">
        <f>IFERROR(O331/N331,0)</f>
        <v/>
      </c>
      <c r="T331" t="n">
        <v>0</v>
      </c>
      <c r="V331" t="n">
        <v>0</v>
      </c>
    </row>
    <row r="332">
      <c r="A332">
        <f>Skills!A21</f>
        <v/>
      </c>
      <c r="B332">
        <f>Skills!B21</f>
        <v/>
      </c>
      <c r="C332">
        <f>TRUE</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Skills!G21*IF(Skills!H21&gt;0,INT(IF(Inputs!$B$38="pvp",MIN(Skills!I21,15),Skills!I21)/Skills!H21+0.000000001),1)</f>
        <v/>
      </c>
      <c r="H332">
        <f>1-(1-Skills!J21/100)^Skills!K21</f>
        <v/>
      </c>
      <c r="I332" t="inlineStr">
        <is>
          <t>1</t>
        </is>
      </c>
      <c r="J332" t="inlineStr"/>
      <c r="K332" t="inlineStr"/>
      <c r="L332" t="inlineStr"/>
      <c r="M332" t="inlineStr"/>
      <c r="N332" t="inlineStr"/>
      <c r="O332">
        <f>(1-Summary!$B$11)*T332+Summary!$B$11*V332</f>
        <v/>
      </c>
      <c r="P332">
        <f>IF(B356=0,0,O332/B356)</f>
        <v/>
      </c>
      <c r="Q332">
        <f>IFERROR(1/(IF(Inputs!$B$38="pvp",15,MAX(0.1,Skills!D21-IF(TRUE=TRUE,Inputs!$B$32,0)))*(1-IF(AND(ArtifactsInput!$M$27,Inputs!$B$4="Chapter Hunt"),CHOOSE(ArtifactsInput!$N$27+1,20,24,28,32,36,40),0)/100)),0)</f>
        <v/>
      </c>
      <c r="R332">
        <f>IF(AND(Inputs!$B$38&lt;&gt;"pvp",Inputs!$B$43&gt;0),IF(Inputs!$B$43&lt;=0,0,(INT(Inputs!$B$43/(IF(Inputs!$B$38="pvp",15,MAX(0.1,Skills!D21-IF(TRUE=TRUE,Inputs!$B$32,0)))*(1-IF(AND(ArtifactsInput!$M$27,Inputs!$B$4="Chapter Hunt"),CHOOSE(ArtifactsInput!$N$27+1,20,24,28,32,36,40),0)/100)))+1)),0)</f>
        <v/>
      </c>
      <c r="S332">
        <f>IFERROR(O332/N332,0)</f>
        <v/>
      </c>
      <c r="T332" t="n">
        <v>0</v>
      </c>
      <c r="V332" t="n">
        <v>0</v>
      </c>
    </row>
    <row r="333">
      <c r="A333">
        <f>Skills!A22</f>
        <v/>
      </c>
      <c r="B333">
        <f>Skills!B22</f>
        <v/>
      </c>
      <c r="C333">
        <f>Inputs!$B$3&gt;=15</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Skills!G22*IF(Skills!H22&gt;0,INT(IF(Inputs!$B$38="pvp",MIN(Skills!I22,15),Skills!I22)/Skills!H22+0.000000001),1)</f>
        <v/>
      </c>
      <c r="H333">
        <f>1-(1-Skills!J22/100)^Skills!K22</f>
        <v/>
      </c>
      <c r="I333" t="inlineStr">
        <is>
          <t>1</t>
        </is>
      </c>
      <c r="J333" t="inlineStr"/>
      <c r="K333" t="inlineStr"/>
      <c r="L333" t="inlineStr"/>
      <c r="M333" t="inlineStr"/>
      <c r="N333" t="inlineStr"/>
      <c r="O333">
        <f>(1-Summary!$B$11)*T333+Summary!$B$11*V333</f>
        <v/>
      </c>
      <c r="P333">
        <f>IF(B356=0,0,O333/B356)</f>
        <v/>
      </c>
      <c r="Q333" t="n">
        <v>0</v>
      </c>
      <c r="R333" t="n">
        <v>0</v>
      </c>
      <c r="S333">
        <f>IFERROR(O333/N333,0)</f>
        <v/>
      </c>
      <c r="T333" t="n">
        <v>0</v>
      </c>
      <c r="V333" t="n">
        <v>0</v>
      </c>
    </row>
    <row r="334">
      <c r="A334">
        <f>Skills!A23</f>
        <v/>
      </c>
      <c r="B334">
        <f>Skills!B23</f>
        <v/>
      </c>
      <c r="C334">
        <f>Inputs!$B$3&gt;=10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Skills!G23*IF(Skills!H23&gt;0,INT(IF(Inputs!$B$38="pvp",MIN(Skills!I23,15),Skills!I23)/Skills!H23+0.000000001),1)</f>
        <v/>
      </c>
      <c r="H334">
        <f>1-(1-Skills!J23/100)^Skills!K23</f>
        <v/>
      </c>
      <c r="I334" t="inlineStr">
        <is>
          <t>1</t>
        </is>
      </c>
      <c r="J334" t="inlineStr"/>
      <c r="K334" t="inlineStr"/>
      <c r="L334" t="inlineStr"/>
      <c r="M334" t="inlineStr"/>
      <c r="N334" t="inlineStr"/>
      <c r="O334">
        <f>(1-Summary!$B$11)*T334+Summary!$B$11*V334</f>
        <v/>
      </c>
      <c r="P334">
        <f>IF(B356=0,0,O334/B356)</f>
        <v/>
      </c>
      <c r="Q334" t="n">
        <v>0</v>
      </c>
      <c r="R334" t="n">
        <v>0</v>
      </c>
      <c r="S334">
        <f>IFERROR(O334/N334,0)</f>
        <v/>
      </c>
      <c r="T334" t="n">
        <v>0</v>
      </c>
      <c r="V334" t="n">
        <v>0</v>
      </c>
    </row>
    <row r="335">
      <c r="A335">
        <f>Skills!A24</f>
        <v/>
      </c>
      <c r="B335">
        <f>Skills!B24</f>
        <v/>
      </c>
      <c r="C335">
        <f>Inputs!$B$3&gt;=33</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Skills!G24*IF(Skills!H24&gt;0,INT(IF(Inputs!$B$38="pvp",MIN(Skills!I24,15),Skills!I24)/Skills!H24+0.000000001),1)</f>
        <v/>
      </c>
      <c r="H335">
        <f>1-(1-Skills!J24/100)^Skills!K24</f>
        <v/>
      </c>
      <c r="I335" t="inlineStr">
        <is>
          <t>1</t>
        </is>
      </c>
      <c r="J335" t="inlineStr"/>
      <c r="K335" t="inlineStr"/>
      <c r="L335" t="inlineStr"/>
      <c r="M335" t="inlineStr"/>
      <c r="N335" t="inlineStr"/>
      <c r="O335">
        <f>(1-Summary!$B$11)*T335+Summary!$B$11*V335</f>
        <v/>
      </c>
      <c r="P335">
        <f>IF(B356=0,0,O335/B356)</f>
        <v/>
      </c>
      <c r="Q335" t="n">
        <v>0</v>
      </c>
      <c r="R335" t="n">
        <v>0</v>
      </c>
      <c r="S335">
        <f>IFERROR(O335/N335,0)</f>
        <v/>
      </c>
      <c r="T335" t="n">
        <v>0</v>
      </c>
      <c r="V335" t="n">
        <v>0</v>
      </c>
    </row>
    <row r="336">
      <c r="A336">
        <f>Skills!A25</f>
        <v/>
      </c>
      <c r="B336">
        <f>Skills!B25</f>
        <v/>
      </c>
      <c r="C336">
        <f>Inputs!$B$3&gt;=38</f>
        <v/>
      </c>
      <c r="D336">
        <f>IF(Skills!C25=1,60+Inputs!$B$25+Inputs!$B$29,IF(Skills!C25=2,90+Inputs!$B$26+Inputs!$B$29,IF(Skills!C25=3,120+Inputs!$B$27+Inputs!$B$29,MAX(0,(Inputs!$B$3-100)*3)+Inputs!$B$28+Inputs!$B$29)))</f>
        <v/>
      </c>
      <c r="E336">
        <f>INDEX(FactorTable!$B$2:$Y$301, MATCH(ROUND(MIN(300,MAX(1,D336)),0), FactorTable!$A$2:$A$301,0), Skills!M25+1)</f>
        <v/>
      </c>
      <c r="F336">
        <f>IF(Skills!N25=TRUE,(Skills!L25/10)*(E336/1000),Skills!L25/10)+Skills!O25</f>
        <v/>
      </c>
      <c r="G336">
        <f>Skills!G25*IF(Skills!H25&gt;0,INT(IF(Inputs!$B$38="pvp",MIN(Skills!I25,15),Skills!I25)/Skills!H25+0.000000001),1)</f>
        <v/>
      </c>
      <c r="H336">
        <f>1-(1-Skills!J25/100)^Skills!K25</f>
        <v/>
      </c>
      <c r="I336" t="inlineStr">
        <is>
          <t>1</t>
        </is>
      </c>
      <c r="J336" t="inlineStr"/>
      <c r="K336" t="inlineStr"/>
      <c r="L336" t="inlineStr"/>
      <c r="M336" t="inlineStr"/>
      <c r="N336" t="inlineStr"/>
      <c r="O336">
        <f>(1-Summary!$B$11)*T336+Summary!$B$11*V336</f>
        <v/>
      </c>
      <c r="P336">
        <f>IF(B356=0,0,O336/B356)</f>
        <v/>
      </c>
      <c r="Q336" t="n">
        <v>0</v>
      </c>
      <c r="R336" t="n">
        <v>0</v>
      </c>
      <c r="S336">
        <f>IFERROR(O336/N336,0)</f>
        <v/>
      </c>
      <c r="T336" t="n">
        <v>0</v>
      </c>
      <c r="V336" t="n">
        <v>0</v>
      </c>
    </row>
    <row r="337">
      <c r="A337">
        <f>Skills!A26</f>
        <v/>
      </c>
      <c r="B337">
        <f>Skills!B26</f>
        <v/>
      </c>
      <c r="C337">
        <f>Inputs!$B$3&gt;=43</f>
        <v/>
      </c>
      <c r="D337">
        <f>IF(Skills!C26=1,60+Inputs!$B$25+Inputs!$B$29,IF(Skills!C26=2,90+Inputs!$B$26+Inputs!$B$29,IF(Skills!C26=3,120+Inputs!$B$27+Inputs!$B$29,MAX(0,(Inputs!$B$3-100)*3)+Inputs!$B$28+Inputs!$B$29)))</f>
        <v/>
      </c>
      <c r="E337">
        <f>INDEX(FactorTable!$B$2:$Y$301, MATCH(ROUND(MIN(300,MAX(1,D337)),0), FactorTable!$A$2:$A$301,0), Skills!M26+1)</f>
        <v/>
      </c>
      <c r="F337">
        <f>IF(Skills!N26=TRUE,(Skills!L26/10)*(E337/1000),Skills!L26/10)+Skills!O26</f>
        <v/>
      </c>
      <c r="G337">
        <f>Skills!G26*IF(Skills!H26&gt;0,INT(IF(Inputs!$B$38="pvp",MIN(Skills!I26,15),Skills!I26)/Skills!H26+0.000000001),1)</f>
        <v/>
      </c>
      <c r="H337">
        <f>1-(1-Skills!J26/100)^Skills!K26</f>
        <v/>
      </c>
      <c r="I337" t="inlineStr">
        <is>
          <t>1</t>
        </is>
      </c>
      <c r="J337" t="inlineStr"/>
      <c r="K337" t="inlineStr"/>
      <c r="L337" t="inlineStr"/>
      <c r="M337" t="inlineStr"/>
      <c r="N337" t="inlineStr"/>
      <c r="O337">
        <f>(1-Summary!$B$11)*T337+Summary!$B$11*V337</f>
        <v/>
      </c>
      <c r="P337">
        <f>IF(B356=0,0,O337/B356)</f>
        <v/>
      </c>
      <c r="Q337" t="n">
        <v>0</v>
      </c>
      <c r="R337" t="n">
        <v>0</v>
      </c>
      <c r="S337">
        <f>IFERROR(O337/N337,0)</f>
        <v/>
      </c>
      <c r="T337" t="n">
        <v>0</v>
      </c>
      <c r="V337" t="n">
        <v>0</v>
      </c>
    </row>
    <row r="338">
      <c r="A338">
        <f>Skills!A27</f>
        <v/>
      </c>
      <c r="B338">
        <f>Skills!B27</f>
        <v/>
      </c>
      <c r="C338">
        <f>Inputs!$B$3&gt;=75</f>
        <v/>
      </c>
      <c r="D338">
        <f>IF(Skills!C27=1,60+Inputs!$B$25+Inputs!$B$29,IF(Skills!C27=2,90+Inputs!$B$26+Inputs!$B$29,IF(Skills!C27=3,120+Inputs!$B$27+Inputs!$B$29,MAX(0,(Inputs!$B$3-100)*3)+Inputs!$B$28+Inputs!$B$29)))</f>
        <v/>
      </c>
      <c r="E338">
        <f>INDEX(FactorTable!$B$2:$Y$301, MATCH(ROUND(MIN(300,MAX(1,D338)),0), FactorTable!$A$2:$A$301,0), Skills!M27+1)</f>
        <v/>
      </c>
      <c r="F338">
        <f>IF(Skills!N27=TRUE,(Skills!L27/10)*(E338/1000),Skills!L27/10)+Skills!O27</f>
        <v/>
      </c>
      <c r="G338">
        <f>Skills!G27*IF(Skills!H27&gt;0,INT(IF(Inputs!$B$38="pvp",MIN(Skills!I27,15),Skills!I27)/Skills!H27+0.000000001),1)</f>
        <v/>
      </c>
      <c r="H338">
        <f>1-(1-Skills!J27/100)^Skills!K27</f>
        <v/>
      </c>
      <c r="I338" t="inlineStr">
        <is>
          <t>1</t>
        </is>
      </c>
      <c r="J338" t="inlineStr"/>
      <c r="K338" t="inlineStr"/>
      <c r="L338" t="inlineStr"/>
      <c r="M338" t="inlineStr"/>
      <c r="N338" t="inlineStr"/>
      <c r="O338">
        <f>(1-Summary!$B$11)*T338+Summary!$B$11*V338</f>
        <v/>
      </c>
      <c r="P338">
        <f>IF(B356=0,0,O338/B356)</f>
        <v/>
      </c>
      <c r="Q338" t="n">
        <v>0</v>
      </c>
      <c r="R338" t="n">
        <v>0</v>
      </c>
      <c r="S338">
        <f>IFERROR(O338/N338,0)</f>
        <v/>
      </c>
      <c r="T338" t="n">
        <v>0</v>
      </c>
      <c r="V338" t="n">
        <v>0</v>
      </c>
    </row>
    <row r="339">
      <c r="A339">
        <f>Skills!A28</f>
        <v/>
      </c>
      <c r="B339">
        <f>Skills!B28</f>
        <v/>
      </c>
      <c r="C339">
        <f>Inputs!$B$3&gt;=125</f>
        <v/>
      </c>
      <c r="D339">
        <f>IF(Skills!C28=1,60+Inputs!$B$25+Inputs!$B$29,IF(Skills!C28=2,90+Inputs!$B$26+Inputs!$B$29,IF(Skills!C28=3,120+Inputs!$B$27+Inputs!$B$29,MAX(0,(Inputs!$B$3-100)*3)+Inputs!$B$28+Inputs!$B$29)))</f>
        <v/>
      </c>
      <c r="E339">
        <f>INDEX(FactorTable!$B$2:$Y$301, MATCH(ROUND(MIN(300,MAX(1,D339)),0), FactorTable!$A$2:$A$301,0), Skills!M28+1)</f>
        <v/>
      </c>
      <c r="F339">
        <f>IF(Skills!N28=TRUE,(Skills!L28/10)*(E339/1000),Skills!L28/10)+Skills!O28</f>
        <v/>
      </c>
      <c r="G339">
        <f>Skills!G28*IF(Skills!H28&gt;0,INT(IF(Inputs!$B$38="pvp",MIN(Skills!I28,15),Skills!I28)/Skills!H28+0.000000001),1)</f>
        <v/>
      </c>
      <c r="H339">
        <f>1-(1-Skills!J28/100)^Skills!K28</f>
        <v/>
      </c>
      <c r="I339" t="inlineStr">
        <is>
          <t>1</t>
        </is>
      </c>
      <c r="J339" t="inlineStr"/>
      <c r="K339" t="inlineStr"/>
      <c r="L339" t="inlineStr"/>
      <c r="M339" t="inlineStr"/>
      <c r="N339" t="inlineStr"/>
      <c r="O339">
        <f>(1-Summary!$B$11)*T339+Summary!$B$11*V339</f>
        <v/>
      </c>
      <c r="P339">
        <f>IF(B356=0,0,O339/B356)</f>
        <v/>
      </c>
      <c r="Q339" t="n">
        <v>0</v>
      </c>
      <c r="R339" t="n">
        <v>0</v>
      </c>
      <c r="S339">
        <f>IFERROR(O339/N339,0)</f>
        <v/>
      </c>
      <c r="T339" t="n">
        <v>0</v>
      </c>
      <c r="V339" t="n">
        <v>0</v>
      </c>
    </row>
    <row r="340">
      <c r="A340">
        <f>Skills!A29</f>
        <v/>
      </c>
      <c r="B340">
        <f>Skills!B29</f>
        <v/>
      </c>
      <c r="C340">
        <f>Inputs!$B$3&gt;=125</f>
        <v/>
      </c>
      <c r="D340">
        <f>IF(Skills!C29=1,60+Inputs!$B$25+Inputs!$B$29,IF(Skills!C29=2,90+Inputs!$B$26+Inputs!$B$29,IF(Skills!C29=3,120+Inputs!$B$27+Inputs!$B$29,MAX(0,(Inputs!$B$3-100)*3)+Inputs!$B$28+Inputs!$B$29)))</f>
        <v/>
      </c>
      <c r="E340">
        <f>INDEX(FactorTable!$B$2:$Y$301, MATCH(ROUND(MIN(300,MAX(1,D340)),0), FactorTable!$A$2:$A$301,0), Skills!M29+1)</f>
        <v/>
      </c>
      <c r="F340">
        <f>IF(Skills!N29=TRUE,(Skills!L29/10)*(E340/1000),Skills!L29/10)+Skills!O29</f>
        <v/>
      </c>
      <c r="G340">
        <f>Skills!G29*IF(Skills!H29&gt;0,INT(IF(Inputs!$B$38="pvp",MIN(Skills!I29,15),Skills!I29)/Skills!H29+0.000000001),1)</f>
        <v/>
      </c>
      <c r="H340">
        <f>1-(1-Skills!J29/100)^Skills!K29</f>
        <v/>
      </c>
      <c r="I340" t="inlineStr">
        <is>
          <t>1</t>
        </is>
      </c>
      <c r="J340" t="inlineStr"/>
      <c r="K340" t="inlineStr"/>
      <c r="L340" t="inlineStr"/>
      <c r="M340" t="inlineStr"/>
      <c r="N340" t="inlineStr"/>
      <c r="O340">
        <f>(1-Summary!$B$11)*T340+Summary!$B$11*V340</f>
        <v/>
      </c>
      <c r="P340">
        <f>IF(B356=0,0,O340/B356)</f>
        <v/>
      </c>
      <c r="Q340" t="n">
        <v>0</v>
      </c>
      <c r="R340" t="n">
        <v>0</v>
      </c>
      <c r="S340">
        <f>IFERROR(O340/N340,0)</f>
        <v/>
      </c>
      <c r="T340" t="n">
        <v>0</v>
      </c>
      <c r="V340" t="n">
        <v>0</v>
      </c>
    </row>
    <row r="341">
      <c r="A341">
        <f>Skills!A30</f>
        <v/>
      </c>
      <c r="B341">
        <f>Skills!B30</f>
        <v/>
      </c>
      <c r="C341">
        <f>Inputs!$B$3&gt;=120</f>
        <v/>
      </c>
      <c r="D341">
        <f>IF(Skills!C30=1,60+Inputs!$B$25+Inputs!$B$29,IF(Skills!C30=2,90+Inputs!$B$26+Inputs!$B$29,IF(Skills!C30=3,120+Inputs!$B$27+Inputs!$B$29,MAX(0,(Inputs!$B$3-100)*3)+Inputs!$B$28+Inputs!$B$29)))</f>
        <v/>
      </c>
      <c r="E341">
        <f>INDEX(FactorTable!$B$2:$Y$301, MATCH(ROUND(MIN(300,MAX(1,D341)),0), FactorTable!$A$2:$A$301,0), Skills!M30+1)</f>
        <v/>
      </c>
      <c r="F341">
        <f>IF(Skills!N30=TRUE,(Skills!L30/10)*(E341/1000),Skills!L30/10)+Skills!O30</f>
        <v/>
      </c>
      <c r="G341">
        <f>Skills!G30*IF(Skills!H30&gt;0,INT(IF(Inputs!$B$38="pvp",MIN(Skills!I30,15),Skills!I30)/Skills!H30+0.000000001),1)</f>
        <v/>
      </c>
      <c r="H341">
        <f>1-(1-Skills!J30/100)^Skills!K30</f>
        <v/>
      </c>
      <c r="I341" t="inlineStr">
        <is>
          <t>1</t>
        </is>
      </c>
      <c r="J341" t="inlineStr"/>
      <c r="K341" t="inlineStr"/>
      <c r="L341" t="inlineStr"/>
      <c r="M341" t="inlineStr"/>
      <c r="N341" t="inlineStr"/>
      <c r="O341">
        <f>(1-Summary!$B$11)*T341+Summary!$B$11*V341</f>
        <v/>
      </c>
      <c r="P341">
        <f>IF(B356=0,0,O341/B356)</f>
        <v/>
      </c>
      <c r="Q341" t="n">
        <v>0</v>
      </c>
      <c r="R341" t="n">
        <v>0</v>
      </c>
      <c r="S341">
        <f>IFERROR(O341/N341,0)</f>
        <v/>
      </c>
      <c r="T341" t="n">
        <v>0</v>
      </c>
      <c r="V341" t="n">
        <v>0</v>
      </c>
    </row>
    <row r="342">
      <c r="A342">
        <f>Skills!A31</f>
        <v/>
      </c>
      <c r="B342">
        <f>Skills!B31</f>
        <v/>
      </c>
      <c r="C342">
        <f>Inputs!$B$3&gt;=120</f>
        <v/>
      </c>
      <c r="D342">
        <f>IF(Skills!C31=1,60+Inputs!$B$25+Inputs!$B$29,IF(Skills!C31=2,90+Inputs!$B$26+Inputs!$B$29,IF(Skills!C31=3,120+Inputs!$B$27+Inputs!$B$29,MAX(0,(Inputs!$B$3-100)*3)+Inputs!$B$28+Inputs!$B$29)))</f>
        <v/>
      </c>
      <c r="E342">
        <f>INDEX(FactorTable!$B$2:$Y$301, MATCH(ROUND(MIN(300,MAX(1,D342)),0), FactorTable!$A$2:$A$301,0), Skills!M31+1)</f>
        <v/>
      </c>
      <c r="F342">
        <f>IF(Skills!N31=TRUE,(Skills!L31/10)*(E342/1000),Skills!L31/10)+Skills!O31</f>
        <v/>
      </c>
      <c r="G342">
        <f>Skills!G31*IF(Skills!H31&gt;0,INT(IF(Inputs!$B$38="pvp",MIN(Skills!I31,15),Skills!I31)/Skills!H31+0.000000001),1)</f>
        <v/>
      </c>
      <c r="H342">
        <f>1-(1-Skills!J31/100)^Skills!K31</f>
        <v/>
      </c>
      <c r="I342" t="inlineStr">
        <is>
          <t>1</t>
        </is>
      </c>
      <c r="J342" t="inlineStr"/>
      <c r="K342" t="inlineStr"/>
      <c r="L342" t="inlineStr"/>
      <c r="M342" t="inlineStr"/>
      <c r="N342" t="inlineStr"/>
      <c r="O342">
        <f>(1-Summary!$B$11)*T342+Summary!$B$11*V342</f>
        <v/>
      </c>
      <c r="P342">
        <f>IF(B356=0,0,O342/B356)</f>
        <v/>
      </c>
      <c r="Q342" t="n">
        <v>0</v>
      </c>
      <c r="R342" t="n">
        <v>0</v>
      </c>
      <c r="S342">
        <f>IFERROR(O342/N342,0)</f>
        <v/>
      </c>
      <c r="T342" t="n">
        <v>0</v>
      </c>
      <c r="V342" t="n">
        <v>0</v>
      </c>
    </row>
    <row r="343">
      <c r="A343">
        <f>Skills!A32</f>
        <v/>
      </c>
      <c r="B343">
        <f>Skills!B32</f>
        <v/>
      </c>
      <c r="C343">
        <f>Inputs!$B$3&gt;=45</f>
        <v/>
      </c>
      <c r="D343">
        <f>IF(Skills!C32=1,60+Inputs!$B$25+Inputs!$B$29,IF(Skills!C32=2,90+Inputs!$B$26+Inputs!$B$29,IF(Skills!C32=3,120+Inputs!$B$27+Inputs!$B$29,MAX(0,(Inputs!$B$3-100)*3)+Inputs!$B$28+Inputs!$B$29)))</f>
        <v/>
      </c>
      <c r="E343">
        <f>INDEX(FactorTable!$B$2:$Y$301, MATCH(ROUND(MIN(300,MAX(1,D343)),0), FactorTable!$A$2:$A$301,0), Skills!M32+1)</f>
        <v/>
      </c>
      <c r="F343">
        <f>IF(Skills!N32=TRUE,(Skills!L32/10)*(E343/1000),Skills!L32/10)+Skills!O32</f>
        <v/>
      </c>
      <c r="G343">
        <f>Skills!G32*IF(Skills!H32&gt;0,INT(IF(Inputs!$B$38="pvp",MIN(Skills!I32,15),Skills!I32)/Skills!H32+0.000000001),1)</f>
        <v/>
      </c>
      <c r="H343">
        <f>1-(1-Skills!J32/100)^Skills!K32</f>
        <v/>
      </c>
      <c r="I343" t="inlineStr">
        <is>
          <t>1</t>
        </is>
      </c>
      <c r="J343" t="inlineStr"/>
      <c r="K343" t="inlineStr"/>
      <c r="L343" t="inlineStr"/>
      <c r="M343" t="inlineStr"/>
      <c r="N343" t="inlineStr"/>
      <c r="O343">
        <f>(1-Summary!$B$11)*T343+Summary!$B$11*V343</f>
        <v/>
      </c>
      <c r="P343">
        <f>IF(B356=0,0,O343/B356)</f>
        <v/>
      </c>
      <c r="Q343" t="n">
        <v>0</v>
      </c>
      <c r="R343" t="n">
        <v>0</v>
      </c>
      <c r="S343">
        <f>IFERROR(O343/N343,0)</f>
        <v/>
      </c>
      <c r="T343" t="n">
        <v>0</v>
      </c>
      <c r="V343" t="n">
        <v>0</v>
      </c>
    </row>
    <row r="345">
      <c r="A345" t="inlineStr">
        <is>
          <t>Attack% Bucket Multiplier</t>
        </is>
      </c>
      <c r="B345">
        <f>(1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6">
      <c r="A346" t="inlineStr">
        <is>
          <t>Global Crit Rate Bonus %</t>
        </is>
      </c>
      <c r="B346" t="n">
        <v>0</v>
      </c>
    </row>
    <row r="347">
      <c r="A347" t="inlineStr">
        <is>
          <t>Attack Speed Buff Bonus %</t>
        </is>
      </c>
      <c r="B347">
        <f>((C332=TRUE)*F332*IF(AND(Inputs!$B$38&lt;&gt;"pvp",Inputs!$B$43&gt;0),(((R332-1)*MIN((Skills!T21*(1+Inputs!$B$34/100)),(1/Q332))+MIN((Skills!T21*(1+Inputs!$B$34/100)),MAX(0,Inputs!$B$43-((R332-1)*(1/Q332)))))/Inputs!$B$43),IF(Inputs!$B$38="pvp",MIN((Skills!T21*(1+Inputs!$B$34/100)),15)/15,MIN(1,(Skills!T21*(1+Inputs!$B$34/100))/(1/Q332)))))</f>
        <v/>
      </c>
    </row>
    <row r="348">
      <c r="A348" t="inlineStr">
        <is>
          <t>Actions Per Second</t>
        </is>
      </c>
      <c r="B348">
        <f>1+MIN(150,150*(1-(1-(Inputs!$B$11+((C334=TRUE)*(F334-Calc!F23))+((C335=TRUE)*(F335-Calc!F24)))/150)*(1-B347/150)))/100</f>
        <v/>
      </c>
    </row>
    <row r="349">
      <c r="A349" t="inlineStr">
        <is>
          <t>Skill + Buff Cast Rate</t>
        </is>
      </c>
      <c r="B349">
        <f>IF(AND(Inputs!$B$38&lt;&gt;"pvp",Inputs!$B$43&gt;0),SUMPRODUCT((Skills!E2:E32=TRUE)*(C313:C343=TRUE)*R313:R343*Skills!F2:F32)/Inputs!$B$43,SUMPRODUCT((Skills!E2:E32=TRUE)*(C313:C343=TRUE)*Q313:Q343*Skills!F2:F32))</f>
        <v/>
      </c>
    </row>
    <row r="350">
      <c r="A350" t="inlineStr">
        <is>
          <t>Arrow Stream Casts Per Second</t>
        </is>
      </c>
      <c r="B350">
        <f>MAX(0,B348-B349)</f>
        <v/>
      </c>
    </row>
    <row r="351">
      <c r="A351" t="inlineStr">
        <is>
          <t>Global Critical Damage Bonus % (Sharp Eyes + Concentration)</t>
        </is>
      </c>
      <c r="B351">
        <f>(C329=TRUE)*F329*IF(AND(Inputs!$B$38&lt;&gt;"pvp",Inputs!$B$43&gt;0),(((R329-1)*MIN((Skills!T18*(1+Inputs!$B$34/100)),(1/Q329))+MIN((Skills!T18*(1+Inputs!$B$34/100)),MAX(0,Inputs!$B$43-((R329-1)*(1/Q329)))))/Inputs!$B$43),IF(Inputs!$B$38="pvp",MIN((Skills!T18*(1+Inputs!$B$34/100)),15)/15,MIN(1,(Skills!T18*(1+Inputs!$B$34/100))/(1/Q329))))+(C330=TRUE)*7*F330</f>
        <v/>
      </c>
    </row>
    <row r="352">
      <c r="A352" t="inlineStr">
        <is>
          <t>Global Final Damage Bonus % (Mortal Blow)</t>
        </is>
      </c>
      <c r="B352">
        <f>(C331=TRUE)*F331</f>
        <v/>
      </c>
    </row>
    <row r="353">
      <c r="A353" t="inlineStr">
        <is>
          <t>Buff-Casting Startup Delay (s, fixed-duration only)</t>
        </is>
      </c>
      <c r="B353">
        <f>IF(AND(Inputs!$B$38&lt;&gt;"pvp",Inputs!$B$43&gt;0),SUMPRODUCT((Skills!T2:T32&gt;0)*(Skills!E2:E32=TRUE)*(C313:C343=TRUE))/B348,0)</f>
        <v/>
      </c>
    </row>
    <row r="354">
      <c r="A354" t="inlineStr">
        <is>
          <t>Boss-Only Total DPS (this block's swept value)</t>
        </is>
      </c>
      <c r="B354">
        <f>SUM(T313:T343)</f>
        <v/>
      </c>
    </row>
    <row r="355">
      <c r="A355" t="inlineStr">
        <is>
          <t>Normal-Only Total DPS (this block's swept value)</t>
        </is>
      </c>
      <c r="B355">
        <f>SUM(V313:V343)</f>
        <v/>
      </c>
    </row>
    <row r="356">
      <c r="A356" s="6" t="inlineStr">
        <is>
          <t>TOTAL DPS</t>
        </is>
      </c>
      <c r="B356" s="6">
        <f>SUM(O313:O343)</f>
        <v/>
      </c>
    </row>
    <row r="359">
      <c r="A359" s="6" t="inlineStr">
        <is>
          <t>Stat: NORMAL_DAMAGE %</t>
        </is>
      </c>
    </row>
    <row r="360">
      <c r="A360" s="5" t="inlineStr">
        <is>
          <t>Key</t>
        </is>
      </c>
      <c r="B360" s="5" t="inlineStr">
        <is>
          <t>Name</t>
        </is>
      </c>
      <c r="C360" s="5" t="inlineStr">
        <is>
          <t>Unlocked</t>
        </is>
      </c>
      <c r="D360" s="5" t="inlineStr">
        <is>
          <t>InputLevel</t>
        </is>
      </c>
      <c r="E360" s="5" t="inlineStr">
        <is>
          <t>Factor</t>
        </is>
      </c>
      <c r="F360" s="5" t="inlineStr">
        <is>
          <t>CoefficientPercent</t>
        </is>
      </c>
      <c r="G360" s="5" t="inlineStr">
        <is>
          <t>EffectiveHits</t>
        </is>
      </c>
      <c r="H360" s="5" t="inlineStr">
        <is>
          <t>ProcProbability</t>
        </is>
      </c>
      <c r="I360" s="5" t="inlineStr">
        <is>
          <t>MapleHeroMultiplier</t>
        </is>
      </c>
      <c r="J360" s="5" t="inlineStr">
        <is>
          <t>BaseDamage</t>
        </is>
      </c>
      <c r="K360" s="5" t="inlineStr">
        <is>
          <t>BaseHitDamage</t>
        </is>
      </c>
      <c r="L360" s="5" t="inlineStr">
        <is>
          <t>NonCritAvg</t>
        </is>
      </c>
      <c r="M360" s="5" t="inlineStr">
        <is>
          <t>CritAvg</t>
        </is>
      </c>
      <c r="N360" s="5" t="inlineStr">
        <is>
          <t>ExpectedDamage(perHit)</t>
        </is>
      </c>
      <c r="O360" s="5" t="inlineStr">
        <is>
          <t>DPS</t>
        </is>
      </c>
      <c r="P360" s="5" t="inlineStr">
        <is>
          <t>% of Total</t>
        </is>
      </c>
      <c r="Q360" s="5" t="inlineStr">
        <is>
          <t>InvCooldown</t>
        </is>
      </c>
      <c r="R360" s="5" t="inlineStr">
        <is>
          <t>CastsInFight</t>
        </is>
      </c>
      <c r="S360" s="5" t="inlineStr">
        <is>
          <t>HitRate(perSec)</t>
        </is>
      </c>
      <c r="U360" t="inlineStr">
        <is>
          <t>helpers</t>
        </is>
      </c>
    </row>
    <row r="361">
      <c r="A361">
        <f>Skills!A2</f>
        <v/>
      </c>
      <c r="B361">
        <f>Skills!B2</f>
        <v/>
      </c>
      <c r="C361">
        <f>Inputs!$B$3&gt;=100</f>
        <v/>
      </c>
      <c r="D361" t="inlineStr"/>
      <c r="E361" t="inlineStr"/>
      <c r="F361">
        <f>U363+Skills!O2</f>
        <v/>
      </c>
      <c r="G361">
        <f>Skills!G2*IF(Skills!H2&gt;0,INT(IF(Inputs!$B$38="pvp",MIN(Skills!I2,15),Skills!I2)/Skills!H2+0.000000001),1)</f>
        <v/>
      </c>
      <c r="H361">
        <f>1-(1-Skills!J2/100)^Skills!K2</f>
        <v/>
      </c>
      <c r="I361" t="inlineStr">
        <is>
          <t>1</t>
        </is>
      </c>
      <c r="J361">
        <f>((Inputs!$B$6*(1+Inputs!$B$7/100))+(((Inputs!$B$12*(1+Inputs!$B$13/100))-(Inputs!$B$12*(1+Inputs!$B$13/100)))+0.25*(Inputs!$B$14-Inputs!$B$14))*(1+Inputs!$B$7/100))*(F361/100)</f>
        <v/>
      </c>
      <c r="K361">
        <f>J361*(1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385=TRUE)*(F385-Calc!F26)),(Inputs!$B$23+((C390=TRUE)*(F390-Calc!F31))+(IF(ArtifactsInput!$M$15,CHOOSE(ArtifactsInput!$N$15+1,25,30,35,40,45,50)/100*(Inputs!$B$11-Inputs!$B$11),0))))/100+(Inputs!$B$23+((C390=TRUE)*(F390-Calc!F31))+(IF(ArtifactsInput!$M$15,CHOOSE(ArtifactsInput!$N$15+1,25,30,35,40,45,50)/100*(Inputs!$B$11-Inputs!$B$11),0)))/100)/2</f>
        <v/>
      </c>
      <c r="M361">
        <f>L361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IF(B404=0,0,O361/B404)</f>
        <v/>
      </c>
      <c r="Q361" t="n">
        <v>0</v>
      </c>
      <c r="R361" t="n">
        <v>0</v>
      </c>
      <c r="S361">
        <f>IFERROR(O361/N361,0)</f>
        <v/>
      </c>
      <c r="T361">
        <f>IF(C361,(Skills!G2*N361*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MAX(0,(Inputs!$B$3-100)*3)+Inputs!$B$28+Inputs!$B$29</f>
        <v/>
      </c>
      <c r="V361">
        <f>IF(C361,(Skills!G2*N361*B398)*IF(Inputs!$B$38="pvp",1,(1+((Inputs!$B$21+1)+Skills!Q2+(IF(ArtifactsInput!$M$33,CHOOSE(ArtifactsInput!$N$33+1,30,36,42,48,54,60),0))+(IF(AND(ArtifactsInput!$M$35,Inputs!$B$4&lt;&gt;"Chapter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Skills!A3</f>
        <v/>
      </c>
      <c r="B362">
        <f>Skills!B3</f>
        <v/>
      </c>
      <c r="C362">
        <f>Inputs!$B$3&gt;=50</f>
        <v/>
      </c>
      <c r="D362">
        <f>IF(Skills!C3=1,60+Inputs!$B$25+Inputs!$B$29,IF(Skills!C3=2,90+Inputs!$B$26+Inputs!$B$29,IF(Skills!C3=3,120+Inputs!$B$27+Inputs!$B$29,MAX(0,(Inputs!$B$3-100)*3)+Inputs!$B$28+Inputs!$B$29)))</f>
        <v/>
      </c>
      <c r="E362">
        <f>INDEX(FactorTable!$B$2:$Y$301, MATCH(ROUND(MIN(300,MAX(1,D362)),0), FactorTable!$A$2:$A$301,0), Skills!M3+1)</f>
        <v/>
      </c>
      <c r="F362">
        <f>IF(Skills!N3=TRUE,(Skills!L3/10)*(E362/1000),Skills!L3/10)+Skills!O3</f>
        <v/>
      </c>
      <c r="G362">
        <f>Skills!G3*IF(Skills!H3&gt;0,INT(IF(Inputs!$B$38="pvp",MIN(Skills!I3,15),Skills!I3)/Skills!H3+0.000000001),1)</f>
        <v/>
      </c>
      <c r="H362">
        <f>1-(1-Skills!J3/100)^Skills!K3</f>
        <v/>
      </c>
      <c r="I362" t="inlineStr">
        <is>
          <t>1</t>
        </is>
      </c>
      <c r="J362">
        <f>((Inputs!$B$6*(1+Inputs!$B$7/100))+(((Inputs!$B$12*(1+Inputs!$B$13/100))-(Inputs!$B$12*(1+Inputs!$B$13/100)))+0.25*(Inputs!$B$14-Inputs!$B$14))*(1+Inputs!$B$7/100))*(F362/100)</f>
        <v/>
      </c>
      <c r="K362">
        <f>J362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363=TRUE,F363,0)/100)*(1+(IF(Skills!A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385=TRUE)*(F385-Calc!F26)),(Inputs!$B$23+((C390=TRUE)*(F390-Calc!F31))+(IF(ArtifactsInput!$M$15,CHOOSE(ArtifactsInput!$N$15+1,25,30,35,40,45,50)/100*(Inputs!$B$11-Inputs!$B$11),0))))/100+(Inputs!$B$23+((C390=TRUE)*(F390-Calc!F31))+(IF(ArtifactsInput!$M$15,CHOOSE(ArtifactsInput!$N$15+1,25,30,35,40,45,50)/100*(Inputs!$B$11-Inputs!$B$11),0)))/100)/2</f>
        <v/>
      </c>
      <c r="M362">
        <f>L362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IF(B404=0,0,O362/B404)</f>
        <v/>
      </c>
      <c r="Q362">
        <f>IFERROR(1/(IF(Inputs!$B$38="pvp",15,MAX(0.1,1/B396-IF(FALSE=TRUE,Inputs!$B$32,0)))*(1-IF(AND(ArtifactsInput!$M$27,Inputs!$B$4="Chapter Hunt"),CHOOSE(ArtifactsInput!$N$27+1,20,24,28,32,36,40),0)/100)),0)</f>
        <v/>
      </c>
      <c r="R362">
        <f>IF(AND(Inputs!$B$38&lt;&gt;"pvp",Inputs!$B$43&gt;0),IF(MAX(0,Inputs!$B$43-B401)&lt;=0,0,(INT(MAX(0,Inputs!$B$43-B401)/(IF(Inputs!$B$38="pvp",15,MAX(0.1,1/B396-IF(FALSE=TRUE,Inputs!$B$32,0)))*(1-IF(AND(ArtifactsInput!$M$27,Inputs!$B$4="Chapter Hunt"),CHOOSE(ArtifactsInput!$N$27+1,20,24,28,32,36,40),0)/100)))+1)),0)</f>
        <v/>
      </c>
      <c r="S362">
        <f>IFERROR(O362/N362,0)</f>
        <v/>
      </c>
      <c r="T362">
        <f>IF(C362,(H362*N362*IF(AND(Inputs!$B$38&lt;&gt;"pvp",Inputs!$B$43&gt;0),((Skills!G3*((R362-1)*IF(Skills!H3&gt;0,INT(Skills!I3/Skills!H3+0.000000001),1)+IF(Skills!H3&gt;0,INT(MIN(Skills!I3,MAX(0,MAX(0,Inputs!$B$43-B401)-((R362-1)*(IF(Inputs!$B$38="pvp",15,MAX(0.1,1/B396-IF(FALSE=TRUE,Inputs!$B$32,0)))*(1-IF(AND(ArtifactsInput!$M$27,Inputs!$B$4="Chapter Hunt"),CHOOSE(ArtifactsInput!$N$27+1,20,24,28,32,36,40),0)/100)))))/Skills!H3+0.000000001),1)))/Inputs!$B$43),G362*Q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INDEX(FactorTable!$B$2:$Y$301, MATCH(ROUND(MIN(300,MAX(1,U361)),0), FactorTable!$A$2:$A$301,0), 22)</f>
        <v/>
      </c>
      <c r="V362">
        <f>IF(C362,(H362*N362*IF(AND(Inputs!$B$38&lt;&gt;"pvp",Inputs!$B$43&gt;0),((Skills!G3*((R362-1)*IF(Skills!H3&gt;0,INT(Skills!I3/Skills!H3+0.000000001),1)+IF(Skills!H3&gt;0,INT(MIN(Skills!I3,MAX(0,MAX(0,Inputs!$B$43-B401)-((R362-1)*(IF(Inputs!$B$38="pvp",15,MAX(0.1,1/B396-IF(FALSE=TRUE,Inputs!$B$32,0)))*(1-IF(AND(ArtifactsInput!$M$27,Inputs!$B$4="Chapter Hunt"),CHOOSE(ArtifactsInput!$N$27+1,20,24,28,32,36,40),0)/100)))))/Skills!H3+0.000000001),1)))/Inputs!$B$43),G362*Q362))*IF(Inputs!$B$38="pvp",1,(1+((Inputs!$B$21+1)+Skills!Q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Skills!A4</f>
        <v/>
      </c>
      <c r="B363">
        <f>Skills!B4</f>
        <v/>
      </c>
      <c r="C363">
        <f>Inputs!$B$3&gt;=105</f>
        <v/>
      </c>
      <c r="D363">
        <f>IF(Skills!C4=1,60+Inputs!$B$25+Inputs!$B$29,IF(Skills!C4=2,90+Inputs!$B$26+Inputs!$B$29,IF(Skills!C4=3,120+Inputs!$B$27+Inputs!$B$29,MAX(0,(Inputs!$B$3-100)*3)+Inputs!$B$28+Inputs!$B$29)))</f>
        <v/>
      </c>
      <c r="E363">
        <f>INDEX(FactorTable!$B$2:$Y$301, MATCH(ROUND(MIN(300,MAX(1,D363)),0), FactorTable!$A$2:$A$301,0), Skills!M4+1)</f>
        <v/>
      </c>
      <c r="F363">
        <f>IF(Skills!N4=TRUE,(Skills!L4/10)*(E363/1000),Skills!L4/10)+Skills!O4</f>
        <v/>
      </c>
      <c r="G363" t="inlineStr"/>
      <c r="H363" t="inlineStr"/>
      <c r="I363" t="inlineStr">
        <is>
          <t>1</t>
        </is>
      </c>
      <c r="J363" t="inlineStr"/>
      <c r="K363" t="inlineStr"/>
      <c r="L363" t="inlineStr"/>
      <c r="M363" t="inlineStr"/>
      <c r="N363" t="inlineStr"/>
      <c r="O363" t="inlineStr"/>
      <c r="P363" t="inlineStr"/>
      <c r="Q363" t="inlineStr"/>
      <c r="R363" t="inlineStr"/>
      <c r="S363" t="inlineStr"/>
      <c r="T363" t="inlineStr"/>
      <c r="U363">
        <f>290*U362/1000</f>
        <v/>
      </c>
      <c r="V363" t="inlineStr"/>
    </row>
    <row r="364">
      <c r="A364">
        <f>Skills!A5</f>
        <v/>
      </c>
      <c r="B364">
        <f>Skills!B5</f>
        <v/>
      </c>
      <c r="C364">
        <f>Inputs!$B$3&gt;=35</f>
        <v/>
      </c>
      <c r="D364">
        <f>IF(Skills!C5=1,60+Inputs!$B$25+Inputs!$B$29,IF(Skills!C5=2,90+Inputs!$B$26+Inputs!$B$29,IF(Skills!C5=3,120+Inputs!$B$27+Inputs!$B$29,MAX(0,(Inputs!$B$3-100)*3)+Inputs!$B$28+Inputs!$B$29)))</f>
        <v/>
      </c>
      <c r="E364">
        <f>INDEX(FactorTable!$B$2:$Y$301, MATCH(ROUND(MIN(300,MAX(1,D364)),0), FactorTable!$A$2:$A$301,0), Skills!M5+1)</f>
        <v/>
      </c>
      <c r="F364">
        <f>IF(Skills!N5=TRUE,(Skills!L5/10)*(E364/1000),Skills!L5/10)+Skills!O5</f>
        <v/>
      </c>
      <c r="G364">
        <f>Skills!G5*IF(Skills!H5&gt;0,INT(IF(Inputs!$B$38="pvp",MIN(Skills!I5,15),Skills!I5)/Skills!H5+0.000000001),1)</f>
        <v/>
      </c>
      <c r="H364">
        <f>1-(1-Skills!J5/100)^Skills!K5</f>
        <v/>
      </c>
      <c r="I364" t="inlineStr">
        <is>
          <t>1</t>
        </is>
      </c>
      <c r="J364">
        <f>((Inputs!$B$6*(1+Inputs!$B$7/100))+(((Inputs!$B$12*(1+Inputs!$B$13/100))-(Inputs!$B$12*(1+Inputs!$B$13/100)))+0.25*(Inputs!$B$14-Inputs!$B$14))*(1+Inputs!$B$7/100))*(F364/100)</f>
        <v/>
      </c>
      <c r="K364">
        <f>J364*(1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371=TRUE,F371,0)/100)*(1+(IF(Skills!A5="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364)</f>
        <v/>
      </c>
      <c r="L364">
        <f>K364*(MIN(Inputs!$B$22+((C385=TRUE)*(F385-Calc!F26)),(Inputs!$B$23+((C390=TRUE)*(F390-Calc!F31))+(IF(ArtifactsInput!$M$15,CHOOSE(ArtifactsInput!$N$15+1,25,30,35,40,45,50)/100*(Inputs!$B$11-Inputs!$B$11),0))))/100+(Inputs!$B$23+((C390=TRUE)*(F390-Calc!F31))+(IF(ArtifactsInput!$M$15,CHOOSE(ArtifactsInput!$N$15+1,25,30,35,40,45,50)/100*(Inputs!$B$11-Inputs!$B$11),0)))/100)/2</f>
        <v/>
      </c>
      <c r="M364">
        <f>L364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4">
        <f>L364*(1-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364*(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4">
        <f>(1-Summary!$B$11)*T364+Summary!$B$11*V364</f>
        <v/>
      </c>
      <c r="P364">
        <f>IF(B404=0,0,O364/B404)</f>
        <v/>
      </c>
      <c r="Q364">
        <f>IFERROR(1/(IF(Inputs!$B$38="pvp",15,MAX(0.1,Skills!D5-IF(TRUE=TRUE,Inputs!$B$32,0)))*(1-IF(AND(ArtifactsInput!$M$27,Inputs!$B$4="Chapter Hunt"),CHOOSE(ArtifactsInput!$N$27+1,20,24,28,32,36,40),0)/100)),0)</f>
        <v/>
      </c>
      <c r="R364">
        <f>IF(AND(Inputs!$B$38&lt;&gt;"pvp",Inputs!$B$43&gt;0),IF(MAX(0,Inputs!$B$43-B401)&lt;=0,0,(INT(MAX(0,Inputs!$B$43-B401)/(IF(Inputs!$B$38="pvp",15,MAX(0.1,Skills!D5-IF(TRUE=TRUE,Inputs!$B$32,0)))*(1-IF(AND(ArtifactsInput!$M$27,Inputs!$B$4="Chapter Hunt"),CHOOSE(ArtifactsInput!$N$27+1,20,24,28,32,36,40),0)/100)))+1)),0)</f>
        <v/>
      </c>
      <c r="S364">
        <f>IFERROR(O364/N364,0)</f>
        <v/>
      </c>
      <c r="T364">
        <f>IF(C364,(H364*N364*IF(AND(Inputs!$B$38&lt;&gt;"pvp",Inputs!$B$43&gt;0),((Skills!G5*((R364-1)*IF(Skills!H5&gt;0,INT(Skills!I5/Skills!H5+0.000000001),1)+IF(Skills!H5&gt;0,INT(MIN(Skills!I5,MAX(0,MAX(0,Inputs!$B$43-B401)-((R364-1)*(IF(Inputs!$B$38="pvp",15,MAX(0.1,Skills!D5-IF(TRUE=TRUE,Inputs!$B$32,0)))*(1-IF(AND(ArtifactsInput!$M$27,Inputs!$B$4="Chapter Hunt"),CHOOSE(ArtifactsInput!$N$27+1,20,24,28,32,36,40),0)/100)))))/Skills!H5+0.000000001),1)))/Inputs!$B$43),G364*Q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4">
        <f>IF(C364,(H364*N364*IF(AND(Inputs!$B$38&lt;&gt;"pvp",Inputs!$B$43&gt;0),((Skills!G5*((R364-1)*IF(Skills!H5&gt;0,INT(Skills!I5/Skills!H5+0.000000001),1)+IF(Skills!H5&gt;0,INT(MIN(Skills!I5,MAX(0,MAX(0,Inputs!$B$43-B401)-((R364-1)*(IF(Inputs!$B$38="pvp",15,MAX(0.1,Skills!D5-IF(TRUE=TRUE,Inputs!$B$32,0)))*(1-IF(AND(ArtifactsInput!$M$27,Inputs!$B$4="Chapter Hunt"),CHOOSE(ArtifactsInput!$N$27+1,20,24,28,32,36,40),0)/100)))))/Skills!H5+0.000000001),1)))/Inputs!$B$43),G364*Q364))*IF(Inputs!$B$38="pvp",1,(1+((Inputs!$B$21+1)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5">
      <c r="A365">
        <f>Skills!A6</f>
        <v/>
      </c>
      <c r="B365">
        <f>Skills!B6</f>
        <v/>
      </c>
      <c r="C365">
        <f>Inputs!$B$3&gt;=40</f>
        <v/>
      </c>
      <c r="D365">
        <f>IF(Skills!C6=1,60+Inputs!$B$25+Inputs!$B$29,IF(Skills!C6=2,90+Inputs!$B$26+Inputs!$B$29,IF(Skills!C6=3,120+Inputs!$B$27+Inputs!$B$29,MAX(0,(Inputs!$B$3-100)*3)+Inputs!$B$28+Inputs!$B$29)))</f>
        <v/>
      </c>
      <c r="E365">
        <f>INDEX(FactorTable!$B$2:$Y$301, MATCH(ROUND(MIN(300,MAX(1,D365)),0), FactorTable!$A$2:$A$301,0), Skills!M6+1)</f>
        <v/>
      </c>
      <c r="F365">
        <f>IF(Skills!N6=TRUE,(Skills!L6/10)*(E365/1000),Skills!L6/10)+Skills!O6</f>
        <v/>
      </c>
      <c r="G365">
        <f>Skills!G6*IF(Skills!H6&gt;0,INT(IF(Inputs!$B$38="pvp",MIN(Skills!I6,15),Skills!I6)/Skills!H6+0.000000001),1)</f>
        <v/>
      </c>
      <c r="H365">
        <f>1-(1-Skills!J6/100)^Skills!K6</f>
        <v/>
      </c>
      <c r="I365" t="inlineStr">
        <is>
          <t>1</t>
        </is>
      </c>
      <c r="J365">
        <f>((Inputs!$B$6*(1+Inputs!$B$7/100))+(((Inputs!$B$12*(1+Inputs!$B$13/100))-(Inputs!$B$12*(1+Inputs!$B$13/100)))+0.25*(Inputs!$B$14-Inputs!$B$14))*(1+Inputs!$B$7/100))*(F365/100)</f>
        <v/>
      </c>
      <c r="K365">
        <f>J365*(1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6="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385=TRUE)*(F385-Calc!F26)),(Inputs!$B$23+((C390=TRUE)*(F390-Calc!F31))+(IF(ArtifactsInput!$M$15,CHOOSE(ArtifactsInput!$N$15+1,25,30,35,40,45,50)/100*(Inputs!$B$11-Inputs!$B$11),0))))/100+(Inputs!$B$23+((C390=TRUE)*(F390-Calc!F31))+(IF(ArtifactsInput!$M$15,CHOOSE(ArtifactsInput!$N$15+1,25,30,35,40,45,50)/100*(Inputs!$B$11-Inputs!$B$11),0)))/100)/2</f>
        <v/>
      </c>
      <c r="M365">
        <f>L365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IF(B404=0,0,O365/B404)</f>
        <v/>
      </c>
      <c r="Q365">
        <f>IFERROR(1/(IF(Inputs!$B$38="pvp",15,MAX(0.1,1-0.4*MIN(1,(B396-1)/1.5)-IF(FALSE=TRUE,Inputs!$B$32,0)))*(1-IF(AND(ArtifactsInput!$M$27,Inputs!$B$4="Chapter Hunt"),CHOOSE(ArtifactsInput!$N$27+1,20,24,28,32,36,40),0)/100)),0)</f>
        <v/>
      </c>
      <c r="R365">
        <f>IF(AND(Inputs!$B$38&lt;&gt;"pvp",Inputs!$B$43&gt;0),IF(MAX(0,Inputs!$B$43-B401)&lt;=0,0,(INT(MAX(0,Inputs!$B$43-B401)/(IF(Inputs!$B$38="pvp",15,MAX(0.1,1-0.4*MIN(1,(B396-1)/1.5)-IF(FALSE=TRUE,Inputs!$B$32,0)))*(1-IF(AND(ArtifactsInput!$M$27,Inputs!$B$4="Chapter Hunt"),CHOOSE(ArtifactsInput!$N$27+1,20,24,28,32,36,40),0)/100)))+1)),0)</f>
        <v/>
      </c>
      <c r="S365">
        <f>IFERROR(O365/N365,0)</f>
        <v/>
      </c>
      <c r="T365">
        <f>IF(C365,(H365*N365*IF(AND(Inputs!$B$38&lt;&gt;"pvp",Inputs!$B$43&gt;0),((Skills!G6*((R365-1)*IF(Skills!H6&gt;0,INT(Skills!I6/Skills!H6+0.000000001),1)+IF(Skills!H6&gt;0,INT(MIN(Skills!I6,MAX(0,MAX(0,Inputs!$B$43-B401)-((R365-1)*(IF(Inputs!$B$38="pvp",15,MAX(0.1,1-0.4*MIN(1,(B396-1)/1.5)-IF(FALSE=TRUE,Inputs!$B$32,0)))*(1-IF(AND(ArtifactsInput!$M$27,Inputs!$B$4="Chapter Hunt"),CHOOSE(ArtifactsInput!$N$27+1,20,24,28,32,36,40),0)/100)))))/Skills!H6+0.000000001),1)))/Inputs!$B$43),G365*Q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6*((R365-1)*IF(Skills!H6&gt;0,INT(Skills!I6/Skills!H6+0.000000001),1)+IF(Skills!H6&gt;0,INT(MIN(Skills!I6,MAX(0,MAX(0,Inputs!$B$43-B401)-((R365-1)*(IF(Inputs!$B$38="pvp",15,MAX(0.1,1-0.4*MIN(1,(B396-1)/1.5)-IF(FALSE=TRUE,Inputs!$B$32,0)))*(1-IF(AND(ArtifactsInput!$M$27,Inputs!$B$4="Chapter Hunt"),CHOOSE(ArtifactsInput!$N$27+1,20,24,28,32,36,40),0)/100)))))/Skills!H6+0.000000001),1)))/Inputs!$B$43),G365*Q365))*IF(Inputs!$B$38="pvp",1,(1+((Inputs!$B$21+1)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Skills!A7</f>
        <v/>
      </c>
      <c r="B366">
        <f>Skills!B7</f>
        <v/>
      </c>
      <c r="C366">
        <f>Inputs!$B$3&gt;=107</f>
        <v/>
      </c>
      <c r="D366">
        <f>IF(Skills!C7=1,60+Inputs!$B$25+Inputs!$B$29,IF(Skills!C7=2,90+Inputs!$B$26+Inputs!$B$29,IF(Skills!C7=3,120+Inputs!$B$27+Inputs!$B$29,MAX(0,(Inputs!$B$3-100)*3)+Inputs!$B$28+Inputs!$B$29)))</f>
        <v/>
      </c>
      <c r="E366">
        <f>INDEX(FactorTable!$B$2:$Y$301, MATCH(ROUND(MIN(300,MAX(1,D366)),0), FactorTable!$A$2:$A$301,0), Skills!M7+1)</f>
        <v/>
      </c>
      <c r="F366">
        <f>IF(Skills!N7=TRUE,(Skills!L7/10)*(E366/1000),Skills!L7/10)+Skills!O7</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Skills!A8</f>
        <v/>
      </c>
      <c r="B367">
        <f>Skills!B8</f>
        <v/>
      </c>
      <c r="C367">
        <f>Inputs!$B$3&gt;=130</f>
        <v/>
      </c>
      <c r="D367">
        <f>IF(Skills!C8=1,60+Inputs!$B$25+Inputs!$B$29,IF(Skills!C8=2,90+Inputs!$B$26+Inputs!$B$29,IF(Skills!C8=3,120+Inputs!$B$27+Inputs!$B$29,MAX(0,(Inputs!$B$3-100)*3)+Inputs!$B$28+Inputs!$B$29)))</f>
        <v/>
      </c>
      <c r="E367">
        <f>INDEX(FactorTable!$B$2:$Y$301, MATCH(ROUND(MIN(300,MAX(1,D367)),0), FactorTable!$A$2:$A$301,0), Skills!M8+1)</f>
        <v/>
      </c>
      <c r="F367">
        <f>IF(Skills!N8=TRUE,(Skills!L8/10)*(E367/1000),Skills!L8/10)+Skills!O8</f>
        <v/>
      </c>
      <c r="G367">
        <f>Skills!G8*IF(Skills!H8&gt;0,INT(IF(Inputs!$B$38="pvp",MIN(Skills!I8,15),Skills!I8)/Skills!H8+0.000000001),1)</f>
        <v/>
      </c>
      <c r="H367">
        <f>1-(1-Skills!J8/100)^Skills!K8</f>
        <v/>
      </c>
      <c r="I367" t="inlineStr">
        <is>
          <t>1</t>
        </is>
      </c>
      <c r="J367">
        <f>((Inputs!$B$6*(1+Inputs!$B$7/100))+(((Inputs!$B$12*(1+Inputs!$B$13/100))-(Inputs!$B$12*(1+Inputs!$B$13/100)))+0.25*(Inputs!$B$14-Inputs!$B$14))*(1+Inputs!$B$7/100))*(F367/100)</f>
        <v/>
      </c>
      <c r="K367">
        <f>J367*(1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385=TRUE)*(F385-Calc!F26)),(Inputs!$B$23+((C390=TRUE)*(F390-Calc!F31))+(IF(ArtifactsInput!$M$15,CHOOSE(ArtifactsInput!$N$15+1,25,30,35,40,45,50)/100*(Inputs!$B$11-Inputs!$B$11),0))))/100+(Inputs!$B$23+((C390=TRUE)*(F390-Calc!F31))+(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f>IFERROR(1/(IF(Inputs!$B$38="pvp",15,MAX(0.1,1-0.4*MIN(1,(B396-1)/1.5)-IF(FALSE=TRUE,Inputs!$B$32,0)))*(1-IF(AND(ArtifactsInput!$M$27,Inputs!$B$4="Chapter Hunt"),CHOOSE(ArtifactsInput!$N$27+1,20,24,28,32,36,40),0)/100)),0)</f>
        <v/>
      </c>
      <c r="R367">
        <f>IF(AND(Inputs!$B$38&lt;&gt;"pvp",Inputs!$B$43&gt;0),IF(MAX(0,Inputs!$B$43-B401)&lt;=0,0,(INT(MAX(0,Inputs!$B$43-B401)/(IF(Inputs!$B$38="pvp",15,MAX(0.1,1-0.4*MIN(1,(B396-1)/1.5)-IF(FALSE=TRUE,Inputs!$B$32,0)))*(1-IF(AND(ArtifactsInput!$M$27,Inputs!$B$4="Chapter Hunt"),CHOOSE(ArtifactsInput!$N$27+1,20,24,28,32,36,40),0)/100)))+1)),0)</f>
        <v/>
      </c>
      <c r="S367">
        <f>IFERROR(O367/N367,0)</f>
        <v/>
      </c>
      <c r="T367">
        <f>IF(C367,(H367*N367*IF(AND(Inputs!$B$38&lt;&gt;"pvp",Inputs!$B$43&gt;0),((Skills!G8*((R367-1)*IF(Skills!H8&gt;0,INT(Skills!I8/Skills!H8+0.000000001),1)+IF(Skills!H8&gt;0,INT(MIN(Skills!I8,MAX(0,MAX(0,Inputs!$B$43-B401)-((R367-1)*(IF(Inputs!$B$38="pvp",15,MAX(0.1,1-0.4*MIN(1,(B396-1)/1.5)-IF(FALSE=TRUE,Inputs!$B$32,0)))*(1-IF(AND(ArtifactsInput!$M$27,Inputs!$B$4="Chapter Hunt"),CHOOSE(ArtifactsInput!$N$27+1,20,24,28,32,36,40),0)/100)))))/Skills!H8+0.000000001),1)))/Inputs!$B$43),G367*Q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7">
        <f>IF(C367,(H367*N367*IF(AND(Inputs!$B$38&lt;&gt;"pvp",Inputs!$B$43&gt;0),((Skills!G8*((R367-1)*IF(Skills!H8&gt;0,INT(Skills!I8/Skills!H8+0.000000001),1)+IF(Skills!H8&gt;0,INT(MIN(Skills!I8,MAX(0,MAX(0,Inputs!$B$43-B401)-((R367-1)*(IF(Inputs!$B$38="pvp",15,MAX(0.1,1-0.4*MIN(1,(B396-1)/1.5)-IF(FALSE=TRUE,Inputs!$B$32,0)))*(1-IF(AND(ArtifactsInput!$M$27,Inputs!$B$4="Chapter Hunt"),CHOOSE(ArtifactsInput!$N$27+1,20,24,28,32,36,40),0)/100)))))/Skills!H8+0.000000001),1)))/Inputs!$B$43),G367*Q367))*IF(Inputs!$B$38="pvp",1,(1+((Inputs!$B$21+1)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Skills!A9</f>
        <v/>
      </c>
      <c r="B368">
        <f>Skills!B9</f>
        <v/>
      </c>
      <c r="C368">
        <f>Inputs!$B$3&gt;=69</f>
        <v/>
      </c>
      <c r="D368">
        <f>IF(Skills!C9=1,60+Inputs!$B$25+Inputs!$B$29,IF(Skills!C9=2,90+Inputs!$B$26+Inputs!$B$29,IF(Skills!C9=3,120+Inputs!$B$27+Inputs!$B$29,MAX(0,(Inputs!$B$3-100)*3)+Inputs!$B$28+Inputs!$B$29)))</f>
        <v/>
      </c>
      <c r="E368">
        <f>INDEX(FactorTable!$B$2:$Y$301, MATCH(ROUND(MIN(300,MAX(1,D368)),0), FactorTable!$A$2:$A$301,0), Skills!M9+1)</f>
        <v/>
      </c>
      <c r="F368">
        <f>IF(Skills!N9=TRUE,(Skills!L9/10)*(E368/1000),Skills!L9/10)+Skills!O9</f>
        <v/>
      </c>
      <c r="G368">
        <f>Skills!G9*IF(Skills!H9&gt;0,INT(IF(Inputs!$B$38="pvp",MIN(Skills!I9,15),Skills!I9)/Skills!H9+0.000000001),1)</f>
        <v/>
      </c>
      <c r="H368">
        <f>1-(1-Skills!J9/100)^Skills!K9</f>
        <v/>
      </c>
      <c r="I368" t="inlineStr">
        <is>
          <t>1</t>
        </is>
      </c>
      <c r="J368">
        <f>((Inputs!$B$6*(1+Inputs!$B$7/100))+(((Inputs!$B$12*(1+Inputs!$B$13/100))-(Inputs!$B$12*(1+Inputs!$B$13/100)))+0.25*(Inputs!$B$14-Inputs!$B$14))*(1+Inputs!$B$7/100))*(F368/100)</f>
        <v/>
      </c>
      <c r="K368">
        <f>J368*(1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371=TRUE,F371,0)/100)*(1+(IF(Skills!A9="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368)</f>
        <v/>
      </c>
      <c r="L368">
        <f>K368*(MIN(Inputs!$B$22+((C385=TRUE)*(F385-Calc!F26)),(Inputs!$B$23+((C390=TRUE)*(F390-Calc!F31))+(IF(ArtifactsInput!$M$15,CHOOSE(ArtifactsInput!$N$15+1,25,30,35,40,45,50)/100*(Inputs!$B$11-Inputs!$B$11),0))))/100+(Inputs!$B$23+((C390=TRUE)*(F390-Calc!F31))+(IF(ArtifactsInput!$M$15,CHOOSE(ArtifactsInput!$N$15+1,25,30,35,40,45,50)/100*(Inputs!$B$11-Inputs!$B$11),0)))/100)/2</f>
        <v/>
      </c>
      <c r="M368">
        <f>L368*(1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8">
        <f>L368*(1-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368*(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8">
        <f>(1-Summary!$B$11)*T368+Summary!$B$11*V368</f>
        <v/>
      </c>
      <c r="P368">
        <f>IF(B404=0,0,O368/B404)</f>
        <v/>
      </c>
      <c r="Q368">
        <f>IFERROR(1/(IF(Inputs!$B$38="pvp",15,MAX(0.1,Skills!D9-IF(TRUE=TRUE,Inputs!$B$32,0)))*(1-IF(AND(ArtifactsInput!$M$27,Inputs!$B$4="Chapter Hunt"),CHOOSE(ArtifactsInput!$N$27+1,20,24,28,32,36,40),0)/100)),0)</f>
        <v/>
      </c>
      <c r="R368">
        <f>IF(AND(Inputs!$B$38&lt;&gt;"pvp",Inputs!$B$43&gt;0),IF(MAX(0,Inputs!$B$43-B401)&lt;=0,0,(INT(MAX(0,Inputs!$B$43-B401)/(IF(Inputs!$B$38="pvp",15,MAX(0.1,Skills!D9-IF(TRUE=TRUE,Inputs!$B$32,0)))*(1-IF(AND(ArtifactsInput!$M$27,Inputs!$B$4="Chapter Hunt"),CHOOSE(ArtifactsInput!$N$27+1,20,24,28,32,36,40),0)/100)))+1)),0)</f>
        <v/>
      </c>
      <c r="S368">
        <f>IFERROR(O368/N368,0)</f>
        <v/>
      </c>
      <c r="T368">
        <f>IF(C368,(H368*N368*IF(AND(Inputs!$B$38&lt;&gt;"pvp",Inputs!$B$43&gt;0),((Skills!G9*((R368-1)*IF(Skills!H9&gt;0,INT(Skills!I9/Skills!H9+0.000000001),1)+IF(Skills!H9&gt;0,INT(MIN(Skills!I9,MAX(0,MAX(0,Inputs!$B$43-B401)-((R368-1)*(IF(Inputs!$B$38="pvp",15,MAX(0.1,Skills!D9-IF(TRUE=TRUE,Inputs!$B$32,0)))*(1-IF(AND(ArtifactsInput!$M$27,Inputs!$B$4="Chapter Hunt"),CHOOSE(ArtifactsInput!$N$27+1,20,24,28,32,36,40),0)/100)))))/Skills!H9+0.000000001),1)))/Inputs!$B$43),G368*Q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8">
        <f>IF(C368,(H368*N368*IF(AND(Inputs!$B$38&lt;&gt;"pvp",Inputs!$B$43&gt;0),((Skills!G9*((R368-1)*IF(Skills!H9&gt;0,INT(Skills!I9/Skills!H9+0.000000001),1)+IF(Skills!H9&gt;0,INT(MIN(Skills!I9,MAX(0,MAX(0,Inputs!$B$43-B401)-((R368-1)*(IF(Inputs!$B$38="pvp",15,MAX(0.1,Skills!D9-IF(TRUE=TRUE,Inputs!$B$32,0)))*(1-IF(AND(ArtifactsInput!$M$27,Inputs!$B$4="Chapter Hunt"),CHOOSE(ArtifactsInput!$N$27+1,20,24,28,32,36,40),0)/100)))))/Skills!H9+0.000000001),1)))/Inputs!$B$43),G368*Q368))*IF(Inputs!$B$38="pvp",1,(1+((Inputs!$B$21+1)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9">
      <c r="A369">
        <f>Skills!A10</f>
        <v/>
      </c>
      <c r="B369">
        <f>Skills!B10</f>
        <v/>
      </c>
      <c r="C369">
        <f>Inputs!$B$3&gt;=63</f>
        <v/>
      </c>
      <c r="D369">
        <f>IF(Skills!C10=1,60+Inputs!$B$25+Inputs!$B$29,IF(Skills!C10=2,90+Inputs!$B$26+Inputs!$B$29,IF(Skills!C10=3,120+Inputs!$B$27+Inputs!$B$29,MAX(0,(Inputs!$B$3-100)*3)+Inputs!$B$28+Inputs!$B$29)))</f>
        <v/>
      </c>
      <c r="E369">
        <f>INDEX(FactorTable!$B$2:$Y$301, MATCH(ROUND(MIN(300,MAX(1,D369)),0), FactorTable!$A$2:$A$301,0), Skills!M10+1)</f>
        <v/>
      </c>
      <c r="F369">
        <f>IF(Skills!N10=TRUE,(Skills!L10/10)*(E369/1000),Skills!L10/10)+Skills!O10</f>
        <v/>
      </c>
      <c r="G369">
        <f>Skills!G10*IF(Skills!H10&gt;0,INT(IF(Inputs!$B$38="pvp",MIN(Skills!I10,15),Skills!I10)/Skills!H10+0.000000001),1)</f>
        <v/>
      </c>
      <c r="H369">
        <f>1-(1-Skills!J10/100)^Skills!K10</f>
        <v/>
      </c>
      <c r="I369" t="inlineStr">
        <is>
          <t>1</t>
        </is>
      </c>
      <c r="J369">
        <f>((Inputs!$B$6*(1+Inputs!$B$7/100))+(((Inputs!$B$12*(1+Inputs!$B$13/100))-(Inputs!$B$12*(1+Inputs!$B$13/100)))+0.25*(Inputs!$B$14-Inputs!$B$14))*(1+Inputs!$B$7/100))*(F369/100)</f>
        <v/>
      </c>
      <c r="K369">
        <f>J369*(1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371=TRUE,F371,0)/100)*(1+(IF(Skills!A10="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385=TRUE)*(F385-Calc!F26)),(Inputs!$B$23+((C390=TRUE)*(F390-Calc!F31))+(IF(ArtifactsInput!$M$15,CHOOSE(ArtifactsInput!$N$15+1,25,30,35,40,45,50)/100*(Inputs!$B$11-Inputs!$B$11),0))))/100+(Inputs!$B$23+((C390=TRUE)*(F390-Calc!F31))+(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IFERROR(1/(IF(Inputs!$B$38="pvp",15,MAX(0.1,Skills!D10-IF(TRUE=TRUE,Inputs!$B$32,0)))*(1-IF(AND(ArtifactsInput!$M$27,Inputs!$B$4="Chapter Hunt"),CHOOSE(ArtifactsInput!$N$27+1,20,24,28,32,36,40),0)/100)),0)</f>
        <v/>
      </c>
      <c r="R369">
        <f>IF(AND(Inputs!$B$38&lt;&gt;"pvp",Inputs!$B$43&gt;0),IF(MAX(0,Inputs!$B$43-B401)&lt;=0,0,(INT(MAX(0,Inputs!$B$43-B401)/(IF(Inputs!$B$38="pvp",15,MAX(0.1,Skills!D10-IF(TRUE=TRUE,Inputs!$B$32,0)))*(1-IF(AND(ArtifactsInput!$M$27,Inputs!$B$4="Chapter Hunt"),CHOOSE(ArtifactsInput!$N$27+1,20,24,28,32,36,40),0)/100)))+1)),0)</f>
        <v/>
      </c>
      <c r="S369">
        <f>IFERROR(O369/N369,0)</f>
        <v/>
      </c>
      <c r="T369">
        <f>IF(C369,(H369*N369*IF(AND(Inputs!$B$38&lt;&gt;"pvp",Inputs!$B$43&gt;0),((Skills!G10*((R369-1)*IF(Skills!H10&gt;0,INT(Skills!I10/Skills!H10+0.000000001),1)+IF(Skills!H10&gt;0,INT(MIN(Skills!I10,MAX(0,MAX(0,Inputs!$B$43-B401)-((R369-1)*(IF(Inputs!$B$38="pvp",15,MAX(0.1,Skills!D10-IF(TRUE=TRUE,Inputs!$B$32,0)))*(1-IF(AND(ArtifactsInput!$M$27,Inputs!$B$4="Chapter Hunt"),CHOOSE(ArtifactsInput!$N$27+1,20,24,28,32,36,40),0)/100)))))/Skills!H10+0.000000001),1)))/Inputs!$B$43),G369*Q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9">
        <f>IF(C369,(H369*N369*IF(AND(Inputs!$B$38&lt;&gt;"pvp",Inputs!$B$43&gt;0),((Skills!G10*((R369-1)*IF(Skills!H10&gt;0,INT(Skills!I10/Skills!H10+0.000000001),1)+IF(Skills!H10&gt;0,INT(MIN(Skills!I10,MAX(0,MAX(0,Inputs!$B$43-B401)-((R369-1)*(IF(Inputs!$B$38="pvp",15,MAX(0.1,Skills!D10-IF(TRUE=TRUE,Inputs!$B$32,0)))*(1-IF(AND(ArtifactsInput!$M$27,Inputs!$B$4="Chapter Hunt"),CHOOSE(ArtifactsInput!$N$27+1,20,24,28,32,36,40),0)/100)))))/Skills!H10+0.000000001),1)))/Inputs!$B$43),G369*Q369))*IF(Inputs!$B$38="pvp",1,(1+((Inputs!$B$21+1)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Skills!A11</f>
        <v/>
      </c>
      <c r="B370">
        <f>Skills!B11</f>
        <v/>
      </c>
      <c r="C370">
        <f>Inputs!$B$3&gt;=103</f>
        <v/>
      </c>
      <c r="D370">
        <f>IF(Skills!C11=1,60+Inputs!$B$25+Inputs!$B$29,IF(Skills!C11=2,90+Inputs!$B$26+Inputs!$B$29,IF(Skills!C11=3,120+Inputs!$B$27+Inputs!$B$29,MAX(0,(Inputs!$B$3-100)*3)+Inputs!$B$28+Inputs!$B$29)))</f>
        <v/>
      </c>
      <c r="E370">
        <f>INDEX(FactorTable!$B$2:$Y$301, MATCH(ROUND(MIN(300,MAX(1,D370)),0), FactorTable!$A$2:$A$301,0), Skills!M11+1)</f>
        <v/>
      </c>
      <c r="F370">
        <f>IF(Skills!N11=TRUE,(Skills!L11/10)*(E370/1000),Skills!L11/10)+Skills!O11</f>
        <v/>
      </c>
      <c r="G370">
        <f>Skills!G11*IF(Skills!H11&gt;0,INT(IF(Inputs!$B$38="pvp",MIN(Skills!I11,15),Skills!I11)/Skills!H11+0.000000001),1)</f>
        <v/>
      </c>
      <c r="H370">
        <f>1-(1-Skills!J11/100)^Skills!K11</f>
        <v/>
      </c>
      <c r="I370" t="inlineStr">
        <is>
          <t>1</t>
        </is>
      </c>
      <c r="J370">
        <f>((Inputs!$B$6*(1+Inputs!$B$7/100))+(((Inputs!$B$12*(1+Inputs!$B$13/100))-(Inputs!$B$12*(1+Inputs!$B$13/100)))+0.25*(Inputs!$B$14-Inputs!$B$14))*(1+Inputs!$B$7/100))*(F370/100)</f>
        <v/>
      </c>
      <c r="K370">
        <f>J370*(1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385=TRUE)*(F385-Calc!F26)),(Inputs!$B$23+((C390=TRUE)*(F390-Calc!F31))+(IF(ArtifactsInput!$M$15,CHOOSE(ArtifactsInput!$N$15+1,25,30,35,40,45,50)/100*(Inputs!$B$11-Inputs!$B$11),0))))/100+(Inputs!$B$23+((C390=TRUE)*(F390-Calc!F31))+(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IFERROR(1/(IF(Inputs!$B$38="pvp",15,MAX(0.1,Skills!D11-IF(TRUE=TRUE,Inputs!$B$32,0)))*(1-IF(AND(ArtifactsInput!$M$27,Inputs!$B$4="Chapter Hunt"),CHOOSE(ArtifactsInput!$N$27+1,20,24,28,32,36,40),0)/100)),0)</f>
        <v/>
      </c>
      <c r="R370">
        <f>IF(AND(Inputs!$B$38&lt;&gt;"pvp",Inputs!$B$43&gt;0),IF(MAX(0,Inputs!$B$43-B401)&lt;=0,0,(INT(MAX(0,Inputs!$B$43-B401)/(IF(Inputs!$B$38="pvp",15,MAX(0.1,Skills!D11-IF(TRUE=TRUE,Inputs!$B$32,0)))*(1-IF(AND(ArtifactsInput!$M$27,Inputs!$B$4="Chapter Hunt"),CHOOSE(ArtifactsInput!$N$27+1,20,24,28,32,36,40),0)/100)))+1)),0)</f>
        <v/>
      </c>
      <c r="S370">
        <f>IFERROR(O370/N370,0)</f>
        <v/>
      </c>
      <c r="T370">
        <f>IF(C370,(H370*N370*IF(AND(Inputs!$B$38&lt;&gt;"pvp",Inputs!$B$43&gt;0),((Skills!G11*((R370-1)*IF(Skills!H11&gt;0,INT(Skills!I11/Skills!H11+0.000000001),1)+IF(Skills!H11&gt;0,INT(MIN(Skills!I11,MAX(0,MAX(0,Inputs!$B$43-B401)-((R370-1)*(IF(Inputs!$B$38="pvp",15,MAX(0.1,Skills!D11-IF(TRUE=TRUE,Inputs!$B$32,0)))*(1-IF(AND(ArtifactsInput!$M$27,Inputs!$B$4="Chapter Hunt"),CHOOSE(ArtifactsInput!$N$27+1,20,24,28,32,36,40),0)/100)))))/Skills!H11+0.000000001),1)))/Inputs!$B$43),G370*Q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11*((R370-1)*IF(Skills!H11&gt;0,INT(Skills!I11/Skills!H11+0.000000001),1)+IF(Skills!H11&gt;0,INT(MIN(Skills!I11,MAX(0,MAX(0,Inputs!$B$43-B401)-((R370-1)*(IF(Inputs!$B$38="pvp",15,MAX(0.1,Skills!D11-IF(TRUE=TRUE,Inputs!$B$32,0)))*(1-IF(AND(ArtifactsInput!$M$27,Inputs!$B$4="Chapter Hunt"),CHOOSE(ArtifactsInput!$N$27+1,20,24,28,32,36,40),0)/100)))))/Skills!H11+0.000000001),1)))/Inputs!$B$43),G370*Q370))*IF(Inputs!$B$38="pvp",1,(1+((Inputs!$B$21+1)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Skills!A12</f>
        <v/>
      </c>
      <c r="B371">
        <f>Skills!B12</f>
        <v/>
      </c>
      <c r="C371">
        <f>Inputs!$B$3&gt;=100</f>
        <v/>
      </c>
      <c r="D371">
        <f>IF(Skills!C12=1,60+Inputs!$B$25+Inputs!$B$29,IF(Skills!C12=2,90+Inputs!$B$26+Inputs!$B$29,IF(Skills!C12=3,120+Inputs!$B$27+Inputs!$B$29,MAX(0,(Inputs!$B$3-100)*3)+Inputs!$B$28+Inputs!$B$29)))</f>
        <v/>
      </c>
      <c r="E371">
        <f>INDEX(FactorTable!$B$2:$Y$301, MATCH(ROUND(MIN(300,MAX(1,D371)),0), FactorTable!$A$2:$A$301,0), Skills!M12+1)</f>
        <v/>
      </c>
      <c r="F371">
        <f>IF(Skills!N12=TRUE,(Skills!L12/10)*(E371/1000),Skills!L12/10)+Skills!O12</f>
        <v/>
      </c>
      <c r="G371" t="inlineStr"/>
      <c r="H371" t="inlineStr"/>
      <c r="I371" t="inlineStr">
        <is>
          <t>1</t>
        </is>
      </c>
      <c r="J371" t="inlineStr"/>
      <c r="K371" t="inlineStr"/>
      <c r="L371" t="inlineStr"/>
      <c r="M371" t="inlineStr"/>
      <c r="N371" t="inlineStr"/>
      <c r="O371" t="inlineStr"/>
      <c r="P371" t="inlineStr"/>
      <c r="Q371" t="inlineStr"/>
      <c r="R371" t="inlineStr"/>
      <c r="S371" t="inlineStr"/>
      <c r="T371" t="inlineStr"/>
      <c r="V371" t="inlineStr"/>
    </row>
    <row r="372">
      <c r="A372">
        <f>Skills!A13</f>
        <v/>
      </c>
      <c r="B372">
        <f>Skills!B13</f>
        <v/>
      </c>
      <c r="C372">
        <f>Inputs!$B$3&gt;=60</f>
        <v/>
      </c>
      <c r="D372">
        <f>IF(Skills!C13=1,60+Inputs!$B$25+Inputs!$B$29,IF(Skills!C13=2,90+Inputs!$B$26+Inputs!$B$29,IF(Skills!C13=3,120+Inputs!$B$27+Inputs!$B$29,MAX(0,(Inputs!$B$3-100)*3)+Inputs!$B$28+Inputs!$B$29)))</f>
        <v/>
      </c>
      <c r="E372">
        <f>INDEX(FactorTable!$B$2:$Y$301, MATCH(ROUND(MIN(300,MAX(1,D372)),0), FactorTable!$A$2:$A$301,0), Skills!M13+1)</f>
        <v/>
      </c>
      <c r="F372">
        <f>IF(Skills!N13=TRUE,(Skills!L13/10)*(E372/1000),Skills!L13/10)+Skills!O13</f>
        <v/>
      </c>
      <c r="G372">
        <f>Skills!G13*IF(Skills!H13&gt;0,INT(IF(Inputs!$B$38="pvp",MIN(Skills!I13,15),Skills!I13)/Skills!H13+0.000000001),1)</f>
        <v/>
      </c>
      <c r="H372">
        <f>1-(1-Skills!J13/100)^Skills!K13</f>
        <v/>
      </c>
      <c r="I372" t="inlineStr">
        <is>
          <t>1</t>
        </is>
      </c>
      <c r="J372">
        <f>((Inputs!$B$6*(1+Inputs!$B$7/100))+(((Inputs!$B$12*(1+Inputs!$B$13/100))-(Inputs!$B$12*(1+Inputs!$B$13/100)))+0.25*(Inputs!$B$14-Inputs!$B$14))*(1+Inputs!$B$7/100))*(F372/100)</f>
        <v/>
      </c>
      <c r="K372">
        <f>J372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373=TRUE,F373,0)/100)*(1+(IF(Skills!A13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385=TRUE)*(F385-Calc!F26)),(Inputs!$B$23+((C390=TRUE)*(F390-Calc!F31))+(IF(ArtifactsInput!$M$15,CHOOSE(ArtifactsInput!$N$15+1,25,30,35,40,45,50)/100*(Inputs!$B$11-Inputs!$B$11),0))))/100+(Inputs!$B$23+((C390=TRUE)*(F390-Calc!F31))+(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IFERROR(1/(IF(Inputs!$B$38="pvp",15,MAX(0.1,IF(Inputs!$B$3&gt;=122,3,5)+1/(((20+30*(B396-1)*100/150)/100)*B396)-IF(FALSE=TRUE,Inputs!$B$32,0)))*(1-IF(AND(ArtifactsInput!$M$27,Inputs!$B$4="Chapter Hunt"),CHOOSE(ArtifactsInput!$N$27+1,20,24,28,32,36,40),0)/100)),0)</f>
        <v/>
      </c>
      <c r="R372">
        <f>IF(AND(Inputs!$B$38&lt;&gt;"pvp",Inputs!$B$43&gt;0),IF(MAX(0,Inputs!$B$43-B401)&lt;=0,0,(INT(MAX(0,Inputs!$B$43-B401)/(IF(Inputs!$B$38="pvp",15,MAX(0.1,IF(Inputs!$B$3&gt;=122,3,5)+1/(((20+30*(B396-1)*100/150)/100)*B396)-IF(FALSE=TRUE,Inputs!$B$32,0)))*(1-IF(AND(ArtifactsInput!$M$27,Inputs!$B$4="Chapter Hunt"),CHOOSE(ArtifactsInput!$N$27+1,20,24,28,32,36,40),0)/100)))+1)),0)</f>
        <v/>
      </c>
      <c r="S372">
        <f>IFERROR(O372/N372,0)</f>
        <v/>
      </c>
      <c r="T372">
        <f>IF(C372,(H372*N372*IF(AND(Inputs!$B$38&lt;&gt;"pvp",Inputs!$B$43&gt;0),((Skills!G13*((R372-1)*IF(Skills!H13&gt;0,INT(Skills!I13/Skills!H13+0.000000001),1)+IF(Skills!H13&gt;0,INT(MIN(Skills!I13,MAX(0,MAX(0,Inputs!$B$43-B401)-((R372-1)*(IF(Inputs!$B$38="pvp",15,MAX(0.1,IF(Inputs!$B$3&gt;=122,3,5)+1/(((20+30*(B396-1)*100/150)/100)*B396)-IF(FALSE=TRUE,Inputs!$B$32,0)))*(1-IF(AND(ArtifactsInput!$M$27,Inputs!$B$4="Chapter Hunt"),CHOOSE(ArtifactsInput!$N$27+1,20,24,28,32,36,40),0)/100)))))/Skills!H13+0.000000001),1)))/Inputs!$B$43),G372*Q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13*((R372-1)*IF(Skills!H13&gt;0,INT(Skills!I13/Skills!H13+0.000000001),1)+IF(Skills!H13&gt;0,INT(MIN(Skills!I13,MAX(0,MAX(0,Inputs!$B$43-B401)-((R372-1)*(IF(Inputs!$B$38="pvp",15,MAX(0.1,IF(Inputs!$B$3&gt;=122,3,5)+1/(((20+30*(B396-1)*100/150)/100)*B396)-IF(FALSE=TRUE,Inputs!$B$32,0)))*(1-IF(AND(ArtifactsInput!$M$27,Inputs!$B$4="Chapter Hunt"),CHOOSE(ArtifactsInput!$N$27+1,20,24,28,32,36,40),0)/100)))))/Skills!H13+0.000000001),1)))/Inputs!$B$43),G372*Q372))*IF(Inputs!$B$38="pvp",1,(1+((Inputs!$B$21+1)+Skills!Q13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Skills!A14</f>
        <v/>
      </c>
      <c r="B373">
        <f>Skills!B14</f>
        <v/>
      </c>
      <c r="C373">
        <f>Inputs!$B$3&gt;=110</f>
        <v/>
      </c>
      <c r="D373">
        <f>IF(Skills!C14=1,60+Inputs!$B$25+Inputs!$B$29,IF(Skills!C14=2,90+Inputs!$B$26+Inputs!$B$29,IF(Skills!C14=3,120+Inputs!$B$27+Inputs!$B$29,MAX(0,(Inputs!$B$3-100)*3)+Inputs!$B$28+Inputs!$B$29)))</f>
        <v/>
      </c>
      <c r="E373">
        <f>INDEX(FactorTable!$B$2:$Y$301, MATCH(ROUND(MIN(300,MAX(1,D373)),0), FactorTable!$A$2:$A$301,0), Skills!M14+1)</f>
        <v/>
      </c>
      <c r="F373">
        <f>IF(Skills!N14=TRUE,(Skills!L14/10)*(E373/1000),Skills!L14/10)+Skills!O14</f>
        <v/>
      </c>
      <c r="G373" t="inlineStr"/>
      <c r="H373" t="inlineStr"/>
      <c r="I373" t="inlineStr">
        <is>
          <t>1</t>
        </is>
      </c>
      <c r="J373" t="inlineStr"/>
      <c r="K373" t="inlineStr"/>
      <c r="L373" t="inlineStr"/>
      <c r="M373" t="inlineStr"/>
      <c r="N373" t="inlineStr"/>
      <c r="O373" t="inlineStr"/>
      <c r="P373" t="inlineStr"/>
      <c r="Q373" t="inlineStr"/>
      <c r="R373" t="inlineStr"/>
      <c r="S373" t="inlineStr"/>
      <c r="T373" t="inlineStr"/>
      <c r="V373" t="inlineStr"/>
    </row>
    <row r="374">
      <c r="A374">
        <f>Skills!A15</f>
        <v/>
      </c>
      <c r="B374">
        <f>Skills!B15</f>
        <v/>
      </c>
      <c r="C374">
        <f>Inputs!$B$3&gt;=74</f>
        <v/>
      </c>
      <c r="D374">
        <f>IF(Skills!C15=1,60+Inputs!$B$25+Inputs!$B$29,IF(Skills!C15=2,90+Inputs!$B$26+Inputs!$B$29,IF(Skills!C15=3,120+Inputs!$B$27+Inputs!$B$29,MAX(0,(Inputs!$B$3-100)*3)+Inputs!$B$28+Inputs!$B$29)))</f>
        <v/>
      </c>
      <c r="E374">
        <f>INDEX(FactorTable!$B$2:$Y$301, MATCH(ROUND(MIN(300,MAX(1,D374)),0), FactorTable!$A$2:$A$301,0), Skills!M15+1)</f>
        <v/>
      </c>
      <c r="F374">
        <f>IF(Skills!N15=TRUE,(Skills!L15/10)*(E374/1000),Skills!L15/10)+Skills!O15</f>
        <v/>
      </c>
      <c r="G374">
        <f>Skills!G15*IF(Skills!H15&gt;0,INT(IF(Inputs!$B$38="pvp",MIN(Skills!I15,15),Skills!I15)/Skills!H15+0.000000001),1)</f>
        <v/>
      </c>
      <c r="H374">
        <f>1-(1-Skills!J15/100)^Skills!K15</f>
        <v/>
      </c>
      <c r="I374" t="inlineStr">
        <is>
          <t>1</t>
        </is>
      </c>
      <c r="J374" t="inlineStr"/>
      <c r="K374" t="inlineStr"/>
      <c r="L374" t="inlineStr"/>
      <c r="M374" t="inlineStr"/>
      <c r="N374" t="inlineStr"/>
      <c r="O374">
        <f>(1-Summary!$B$11)*T374+Summary!$B$11*V374</f>
        <v/>
      </c>
      <c r="P374">
        <f>IF(B404=0,0,O374/B404)</f>
        <v/>
      </c>
      <c r="Q374" t="n">
        <v>0</v>
      </c>
      <c r="R374" t="n">
        <v>0</v>
      </c>
      <c r="S374">
        <f>IFERROR(O374/N374,0)</f>
        <v/>
      </c>
      <c r="T374" t="n">
        <v>0</v>
      </c>
      <c r="V374" t="n">
        <v>0</v>
      </c>
    </row>
    <row r="375">
      <c r="A375">
        <f>Skills!A16</f>
        <v/>
      </c>
      <c r="B375">
        <f>Skills!B16</f>
        <v/>
      </c>
      <c r="C375">
        <f>Inputs!$B$3&gt;=74</f>
        <v/>
      </c>
      <c r="D375">
        <f>IF(Skills!C16=1,60+Inputs!$B$25+Inputs!$B$29,IF(Skills!C16=2,90+Inputs!$B$26+Inputs!$B$29,IF(Skills!C16=3,120+Inputs!$B$27+Inputs!$B$29,MAX(0,(Inputs!$B$3-100)*3)+Inputs!$B$28+Inputs!$B$29)))</f>
        <v/>
      </c>
      <c r="E375">
        <f>INDEX(FactorTable!$B$2:$Y$301, MATCH(ROUND(MIN(300,MAX(1,D375)),0), FactorTable!$A$2:$A$301,0), Skills!M16+1)</f>
        <v/>
      </c>
      <c r="F375">
        <f>IF(Skills!N16=TRUE,(Skills!L16/10)*(E375/1000),Skills!L16/10)+Skills!O16</f>
        <v/>
      </c>
      <c r="G375">
        <f>Skills!G16*IF(Skills!H16&gt;0,INT(IF(Inputs!$B$38="pvp",MIN(Skills!I16,15),Skills!I16)/Skills!H16+0.000000001),1)</f>
        <v/>
      </c>
      <c r="H375">
        <f>1-(1-Skills!J16/100)^Skills!K16</f>
        <v/>
      </c>
      <c r="I375" t="inlineStr">
        <is>
          <t>1</t>
        </is>
      </c>
      <c r="J375" t="inlineStr"/>
      <c r="K375" t="inlineStr"/>
      <c r="L375" t="inlineStr"/>
      <c r="M375" t="inlineStr"/>
      <c r="N375" t="inlineStr"/>
      <c r="O375">
        <f>(1-Summary!$B$11)*T375+Summary!$B$11*V375</f>
        <v/>
      </c>
      <c r="P375">
        <f>IF(B404=0,0,O375/B404)</f>
        <v/>
      </c>
      <c r="Q375" t="n">
        <v>0</v>
      </c>
      <c r="R375" t="n">
        <v>0</v>
      </c>
      <c r="S375">
        <f>IFERROR(O375/N375,0)</f>
        <v/>
      </c>
      <c r="T375" t="n">
        <v>0</v>
      </c>
      <c r="V375" t="n">
        <v>0</v>
      </c>
    </row>
    <row r="376">
      <c r="A376">
        <f>Skills!A17</f>
        <v/>
      </c>
      <c r="B376">
        <f>Skills!B17</f>
        <v/>
      </c>
      <c r="C376">
        <f>Inputs!$B$3&gt;=117</f>
        <v/>
      </c>
      <c r="D376">
        <f>IF(Skills!C17=1,60+Inputs!$B$25+Inputs!$B$29,IF(Skills!C17=2,90+Inputs!$B$26+Inputs!$B$29,IF(Skills!C17=3,120+Inputs!$B$27+Inputs!$B$29,MAX(0,(Inputs!$B$3-100)*3)+Inputs!$B$28+Inputs!$B$29)))</f>
        <v/>
      </c>
      <c r="E376">
        <f>INDEX(FactorTable!$B$2:$Y$301, MATCH(ROUND(MIN(300,MAX(1,D376)),0), FactorTable!$A$2:$A$301,0), Skills!M17+1)</f>
        <v/>
      </c>
      <c r="F376">
        <f>IF(Skills!N17=TRUE,(Skills!L17/10)*(E376/1000),Skills!L17/10)+Skills!O17</f>
        <v/>
      </c>
      <c r="G376">
        <f>Skills!G17*IF(Skills!H17&gt;0,INT(IF(Inputs!$B$38="pvp",MIN(Skills!I17,15),Skills!I17)/Skills!H17+0.000000001),1)</f>
        <v/>
      </c>
      <c r="H376">
        <f>1-(1-Skills!J17/100)^Skills!K17</f>
        <v/>
      </c>
      <c r="I376" t="inlineStr">
        <is>
          <t>1</t>
        </is>
      </c>
      <c r="J376" t="inlineStr"/>
      <c r="K376" t="inlineStr"/>
      <c r="L376" t="inlineStr"/>
      <c r="M376" t="inlineStr"/>
      <c r="N376" t="inlineStr"/>
      <c r="O376">
        <f>(1-Summary!$B$11)*T376+Summary!$B$11*V376</f>
        <v/>
      </c>
      <c r="P376">
        <f>IF(B404=0,0,O376/B404)</f>
        <v/>
      </c>
      <c r="Q376">
        <f>IFERROR(1/(IF(Inputs!$B$38="pvp",15,MAX(0.1,Skills!D17-IF(TRUE=TRUE,Inputs!$B$32,0)))*(1-IF(AND(ArtifactsInput!$M$27,Inputs!$B$4="Chapter Hunt"),CHOOSE(ArtifactsInput!$N$27+1,20,24,28,32,36,40),0)/100)),0)</f>
        <v/>
      </c>
      <c r="R376">
        <f>IF(AND(Inputs!$B$38&lt;&gt;"pvp",Inputs!$B$43&gt;0),IF(Inputs!$B$43&lt;=0,0,(INT(Inputs!$B$43/(IF(Inputs!$B$38="pvp",15,MAX(0.1,Skills!D17-IF(TRUE=TRUE,Inputs!$B$32,0)))*(1-IF(AND(ArtifactsInput!$M$27,Inputs!$B$4="Chapter Hunt"),CHOOSE(ArtifactsInput!$N$27+1,20,24,28,32,36,40),0)/100)))+1)),0)</f>
        <v/>
      </c>
      <c r="S376">
        <f>IFERROR(O376/N376,0)</f>
        <v/>
      </c>
      <c r="T376" t="n">
        <v>0</v>
      </c>
      <c r="V376" t="n">
        <v>0</v>
      </c>
    </row>
    <row r="377">
      <c r="A377">
        <f>Skills!A18</f>
        <v/>
      </c>
      <c r="B377">
        <f>Skills!B18</f>
        <v/>
      </c>
      <c r="C377">
        <f>Inputs!$B$3&gt;=115</f>
        <v/>
      </c>
      <c r="D377">
        <f>IF(Skills!C18=1,60+Inputs!$B$25+Inputs!$B$29,IF(Skills!C18=2,90+Inputs!$B$26+Inputs!$B$29,IF(Skills!C18=3,120+Inputs!$B$27+Inputs!$B$29,MAX(0,(Inputs!$B$3-100)*3)+Inputs!$B$28+Inputs!$B$29)))</f>
        <v/>
      </c>
      <c r="E377">
        <f>INDEX(FactorTable!$B$2:$Y$301, MATCH(ROUND(MIN(300,MAX(1,D377)),0), FactorTable!$A$2:$A$301,0), Skills!M18+1)</f>
        <v/>
      </c>
      <c r="F377">
        <f>IF(Skills!N18=TRUE,(Skills!L18/10)*(E377/1000),Skills!L18/10)+Skills!O18</f>
        <v/>
      </c>
      <c r="G377">
        <f>Skills!G18*IF(Skills!H18&gt;0,INT(IF(Inputs!$B$38="pvp",MIN(Skills!I18,15),Skills!I18)/Skills!H18+0.000000001),1)</f>
        <v/>
      </c>
      <c r="H377">
        <f>1-(1-Skills!J18/100)^Skills!K18</f>
        <v/>
      </c>
      <c r="I377" t="inlineStr">
        <is>
          <t>1</t>
        </is>
      </c>
      <c r="J377" t="inlineStr"/>
      <c r="K377" t="inlineStr"/>
      <c r="L377" t="inlineStr"/>
      <c r="M377" t="inlineStr"/>
      <c r="N377" t="inlineStr"/>
      <c r="O377">
        <f>(1-Summary!$B$11)*T377+Summary!$B$11*V377</f>
        <v/>
      </c>
      <c r="P377">
        <f>IF(B404=0,0,O377/B404)</f>
        <v/>
      </c>
      <c r="Q377">
        <f>IFERROR(1/(IF(Inputs!$B$38="pvp",15,MAX(0.1,Skills!D18-IF(TRUE=TRUE,Inputs!$B$32,0)))*(1-IF(AND(ArtifactsInput!$M$27,Inputs!$B$4="Chapter Hunt"),CHOOSE(ArtifactsInput!$N$27+1,20,24,28,32,36,40),0)/100)),0)</f>
        <v/>
      </c>
      <c r="R377">
        <f>IF(AND(Inputs!$B$38&lt;&gt;"pvp",Inputs!$B$43&gt;0),IF(Inputs!$B$43&lt;=0,0,(INT(Inputs!$B$43/(IF(Inputs!$B$38="pvp",15,MAX(0.1,Skills!D18-IF(TRUE=TRUE,Inputs!$B$32,0)))*(1-IF(AND(ArtifactsInput!$M$27,Inputs!$B$4="Chapter Hunt"),CHOOSE(ArtifactsInput!$N$27+1,20,24,28,32,36,40),0)/100)))+1)),0)</f>
        <v/>
      </c>
      <c r="S377">
        <f>IFERROR(O377/N377,0)</f>
        <v/>
      </c>
      <c r="T377" t="n">
        <v>0</v>
      </c>
      <c r="V377" t="n">
        <v>0</v>
      </c>
    </row>
    <row r="378">
      <c r="A378">
        <f>Skills!A19</f>
        <v/>
      </c>
      <c r="B378">
        <f>Skills!B19</f>
        <v/>
      </c>
      <c r="C378">
        <f>Inputs!$B$3&gt;=66</f>
        <v/>
      </c>
      <c r="D378">
        <f>IF(Skills!C19=1,60+Inputs!$B$25+Inputs!$B$29,IF(Skills!C19=2,90+Inputs!$B$26+Inputs!$B$29,IF(Skills!C19=3,120+Inputs!$B$27+Inputs!$B$29,MAX(0,(Inputs!$B$3-100)*3)+Inputs!$B$28+Inputs!$B$29)))</f>
        <v/>
      </c>
      <c r="E378">
        <f>INDEX(FactorTable!$B$2:$Y$301, MATCH(ROUND(MIN(300,MAX(1,D378)),0), FactorTable!$A$2:$A$301,0), Skills!M19+1)</f>
        <v/>
      </c>
      <c r="F378">
        <f>IF(Skills!N19=TRUE,(Skills!L19/10)*(E378/1000),Skills!L19/10)+Skills!O19</f>
        <v/>
      </c>
      <c r="G378">
        <f>Skills!G19*IF(Skills!H19&gt;0,INT(IF(Inputs!$B$38="pvp",MIN(Skills!I19,15),Skills!I19)/Skills!H19+0.000000001),1)</f>
        <v/>
      </c>
      <c r="H378">
        <f>1-(1-Skills!J19/100)^Skills!K19</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Skills!A20</f>
        <v/>
      </c>
      <c r="B379">
        <f>Skills!B20</f>
        <v/>
      </c>
      <c r="C379">
        <f>Inputs!$B$3&gt;=72</f>
        <v/>
      </c>
      <c r="D379">
        <f>IF(Skills!C20=1,60+Inputs!$B$25+Inputs!$B$29,IF(Skills!C20=2,90+Inputs!$B$26+Inputs!$B$29,IF(Skills!C20=3,120+Inputs!$B$27+Inputs!$B$29,MAX(0,(Inputs!$B$3-100)*3)+Inputs!$B$28+Inputs!$B$29)))</f>
        <v/>
      </c>
      <c r="E379">
        <f>INDEX(FactorTable!$B$2:$Y$301, MATCH(ROUND(MIN(300,MAX(1,D379)),0), FactorTable!$A$2:$A$301,0), Skills!M20+1)</f>
        <v/>
      </c>
      <c r="F379">
        <f>IF(Skills!N20=TRUE,(Skills!L20/10)*(E379/1000),Skills!L20/10)+Skills!O20</f>
        <v/>
      </c>
      <c r="G379">
        <f>Skills!G20*IF(Skills!H20&gt;0,INT(IF(Inputs!$B$38="pvp",MIN(Skills!I20,15),Skills!I20)/Skills!H20+0.000000001),1)</f>
        <v/>
      </c>
      <c r="H379">
        <f>1-(1-Skills!J20/100)^Skills!K20</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Skills!A21</f>
        <v/>
      </c>
      <c r="B380">
        <f>Skills!B21</f>
        <v/>
      </c>
      <c r="C380">
        <f>TRUE</f>
        <v/>
      </c>
      <c r="D380">
        <f>IF(Skills!C21=1,60+Inputs!$B$25+Inputs!$B$29,IF(Skills!C21=2,90+Inputs!$B$26+Inputs!$B$29,IF(Skills!C21=3,120+Inputs!$B$27+Inputs!$B$29,MAX(0,(Inputs!$B$3-100)*3)+Inputs!$B$28+Inputs!$B$29)))</f>
        <v/>
      </c>
      <c r="E380">
        <f>INDEX(FactorTable!$B$2:$Y$301, MATCH(ROUND(MIN(300,MAX(1,D380)),0), FactorTable!$A$2:$A$301,0), Skills!M21+1)</f>
        <v/>
      </c>
      <c r="F380">
        <f>IF(Skills!N21=TRUE,(Skills!L21/10)*(E380/1000),Skills!L21/10)+Skills!O21</f>
        <v/>
      </c>
      <c r="G380">
        <f>Skills!G21*IF(Skills!H21&gt;0,INT(IF(Inputs!$B$38="pvp",MIN(Skills!I21,15),Skills!I21)/Skills!H21+0.000000001),1)</f>
        <v/>
      </c>
      <c r="H380">
        <f>1-(1-Skills!J21/100)^Skills!K21</f>
        <v/>
      </c>
      <c r="I380" t="inlineStr">
        <is>
          <t>1</t>
        </is>
      </c>
      <c r="J380" t="inlineStr"/>
      <c r="K380" t="inlineStr"/>
      <c r="L380" t="inlineStr"/>
      <c r="M380" t="inlineStr"/>
      <c r="N380" t="inlineStr"/>
      <c r="O380">
        <f>(1-Summary!$B$11)*T380+Summary!$B$11*V380</f>
        <v/>
      </c>
      <c r="P380">
        <f>IF(B404=0,0,O380/B404)</f>
        <v/>
      </c>
      <c r="Q380">
        <f>IFERROR(1/(IF(Inputs!$B$38="pvp",15,MAX(0.1,Skills!D21-IF(TRUE=TRUE,Inputs!$B$32,0)))*(1-IF(AND(ArtifactsInput!$M$27,Inputs!$B$4="Chapter Hunt"),CHOOSE(ArtifactsInput!$N$27+1,20,24,28,32,36,40),0)/100)),0)</f>
        <v/>
      </c>
      <c r="R380">
        <f>IF(AND(Inputs!$B$38&lt;&gt;"pvp",Inputs!$B$43&gt;0),IF(Inputs!$B$43&lt;=0,0,(INT(Inputs!$B$43/(IF(Inputs!$B$38="pvp",15,MAX(0.1,Skills!D21-IF(TRUE=TRUE,Inputs!$B$32,0)))*(1-IF(AND(ArtifactsInput!$M$27,Inputs!$B$4="Chapter Hunt"),CHOOSE(ArtifactsInput!$N$27+1,20,24,28,32,36,40),0)/100)))+1)),0)</f>
        <v/>
      </c>
      <c r="S380">
        <f>IFERROR(O380/N380,0)</f>
        <v/>
      </c>
      <c r="T380" t="n">
        <v>0</v>
      </c>
      <c r="V380" t="n">
        <v>0</v>
      </c>
    </row>
    <row r="381">
      <c r="A381">
        <f>Skills!A22</f>
        <v/>
      </c>
      <c r="B381">
        <f>Skills!B22</f>
        <v/>
      </c>
      <c r="C381">
        <f>Inputs!$B$3&gt;=15</f>
        <v/>
      </c>
      <c r="D381">
        <f>IF(Skills!C22=1,60+Inputs!$B$25+Inputs!$B$29,IF(Skills!C22=2,90+Inputs!$B$26+Inputs!$B$29,IF(Skills!C22=3,120+Inputs!$B$27+Inputs!$B$29,MAX(0,(Inputs!$B$3-100)*3)+Inputs!$B$28+Inputs!$B$29)))</f>
        <v/>
      </c>
      <c r="E381">
        <f>INDEX(FactorTable!$B$2:$Y$301, MATCH(ROUND(MIN(300,MAX(1,D381)),0), FactorTable!$A$2:$A$301,0), Skills!M22+1)</f>
        <v/>
      </c>
      <c r="F381">
        <f>IF(Skills!N22=TRUE,(Skills!L22/10)*(E381/1000),Skills!L22/10)+Skills!O22</f>
        <v/>
      </c>
      <c r="G381">
        <f>Skills!G22*IF(Skills!H22&gt;0,INT(IF(Inputs!$B$38="pvp",MIN(Skills!I22,15),Skills!I22)/Skills!H22+0.000000001),1)</f>
        <v/>
      </c>
      <c r="H381">
        <f>1-(1-Skills!J22/100)^Skills!K22</f>
        <v/>
      </c>
      <c r="I381" t="inlineStr">
        <is>
          <t>1</t>
        </is>
      </c>
      <c r="J381" t="inlineStr"/>
      <c r="K381" t="inlineStr"/>
      <c r="L381" t="inlineStr"/>
      <c r="M381" t="inlineStr"/>
      <c r="N381" t="inlineStr"/>
      <c r="O381">
        <f>(1-Summary!$B$11)*T381+Summary!$B$11*V381</f>
        <v/>
      </c>
      <c r="P381">
        <f>IF(B404=0,0,O381/B404)</f>
        <v/>
      </c>
      <c r="Q381" t="n">
        <v>0</v>
      </c>
      <c r="R381" t="n">
        <v>0</v>
      </c>
      <c r="S381">
        <f>IFERROR(O381/N381,0)</f>
        <v/>
      </c>
      <c r="T381" t="n">
        <v>0</v>
      </c>
      <c r="V381" t="n">
        <v>0</v>
      </c>
    </row>
    <row r="382">
      <c r="A382">
        <f>Skills!A23</f>
        <v/>
      </c>
      <c r="B382">
        <f>Skills!B23</f>
        <v/>
      </c>
      <c r="C382">
        <f>Inputs!$B$3&gt;=10</f>
        <v/>
      </c>
      <c r="D382">
        <f>IF(Skills!C23=1,60+Inputs!$B$25+Inputs!$B$29,IF(Skills!C23=2,90+Inputs!$B$26+Inputs!$B$29,IF(Skills!C23=3,120+Inputs!$B$27+Inputs!$B$29,MAX(0,(Inputs!$B$3-100)*3)+Inputs!$B$28+Inputs!$B$29)))</f>
        <v/>
      </c>
      <c r="E382">
        <f>INDEX(FactorTable!$B$2:$Y$301, MATCH(ROUND(MIN(300,MAX(1,D382)),0), FactorTable!$A$2:$A$301,0), Skills!M23+1)</f>
        <v/>
      </c>
      <c r="F382">
        <f>IF(Skills!N23=TRUE,(Skills!L23/10)*(E382/1000),Skills!L23/10)+Skills!O23</f>
        <v/>
      </c>
      <c r="G382">
        <f>Skills!G23*IF(Skills!H23&gt;0,INT(IF(Inputs!$B$38="pvp",MIN(Skills!I23,15),Skills!I23)/Skills!H23+0.000000001),1)</f>
        <v/>
      </c>
      <c r="H382">
        <f>1-(1-Skills!J23/100)^Skills!K23</f>
        <v/>
      </c>
      <c r="I382" t="inlineStr">
        <is>
          <t>1</t>
        </is>
      </c>
      <c r="J382" t="inlineStr"/>
      <c r="K382" t="inlineStr"/>
      <c r="L382" t="inlineStr"/>
      <c r="M382" t="inlineStr"/>
      <c r="N382" t="inlineStr"/>
      <c r="O382">
        <f>(1-Summary!$B$11)*T382+Summary!$B$11*V382</f>
        <v/>
      </c>
      <c r="P382">
        <f>IF(B404=0,0,O382/B404)</f>
        <v/>
      </c>
      <c r="Q382" t="n">
        <v>0</v>
      </c>
      <c r="R382" t="n">
        <v>0</v>
      </c>
      <c r="S382">
        <f>IFERROR(O382/N382,0)</f>
        <v/>
      </c>
      <c r="T382" t="n">
        <v>0</v>
      </c>
      <c r="V382" t="n">
        <v>0</v>
      </c>
    </row>
    <row r="383">
      <c r="A383">
        <f>Skills!A24</f>
        <v/>
      </c>
      <c r="B383">
        <f>Skills!B24</f>
        <v/>
      </c>
      <c r="C383">
        <f>Inputs!$B$3&gt;=33</f>
        <v/>
      </c>
      <c r="D383">
        <f>IF(Skills!C24=1,60+Inputs!$B$25+Inputs!$B$29,IF(Skills!C24=2,90+Inputs!$B$26+Inputs!$B$29,IF(Skills!C24=3,120+Inputs!$B$27+Inputs!$B$29,MAX(0,(Inputs!$B$3-100)*3)+Inputs!$B$28+Inputs!$B$29)))</f>
        <v/>
      </c>
      <c r="E383">
        <f>INDEX(FactorTable!$B$2:$Y$301, MATCH(ROUND(MIN(300,MAX(1,D383)),0), FactorTable!$A$2:$A$301,0), Skills!M24+1)</f>
        <v/>
      </c>
      <c r="F383">
        <f>IF(Skills!N24=TRUE,(Skills!L24/10)*(E383/1000),Skills!L24/10)+Skills!O24</f>
        <v/>
      </c>
      <c r="G383">
        <f>Skills!G24*IF(Skills!H24&gt;0,INT(IF(Inputs!$B$38="pvp",MIN(Skills!I24,15),Skills!I24)/Skills!H24+0.000000001),1)</f>
        <v/>
      </c>
      <c r="H383">
        <f>1-(1-Skills!J24/100)^Skills!K24</f>
        <v/>
      </c>
      <c r="I383" t="inlineStr">
        <is>
          <t>1</t>
        </is>
      </c>
      <c r="J383" t="inlineStr"/>
      <c r="K383" t="inlineStr"/>
      <c r="L383" t="inlineStr"/>
      <c r="M383" t="inlineStr"/>
      <c r="N383" t="inlineStr"/>
      <c r="O383">
        <f>(1-Summary!$B$11)*T383+Summary!$B$11*V383</f>
        <v/>
      </c>
      <c r="P383">
        <f>IF(B404=0,0,O383/B404)</f>
        <v/>
      </c>
      <c r="Q383" t="n">
        <v>0</v>
      </c>
      <c r="R383" t="n">
        <v>0</v>
      </c>
      <c r="S383">
        <f>IFERROR(O383/N383,0)</f>
        <v/>
      </c>
      <c r="T383" t="n">
        <v>0</v>
      </c>
      <c r="V383" t="n">
        <v>0</v>
      </c>
    </row>
    <row r="384">
      <c r="A384">
        <f>Skills!A25</f>
        <v/>
      </c>
      <c r="B384">
        <f>Skills!B25</f>
        <v/>
      </c>
      <c r="C384">
        <f>Inputs!$B$3&gt;=38</f>
        <v/>
      </c>
      <c r="D384">
        <f>IF(Skills!C25=1,60+Inputs!$B$25+Inputs!$B$29,IF(Skills!C25=2,90+Inputs!$B$26+Inputs!$B$29,IF(Skills!C25=3,120+Inputs!$B$27+Inputs!$B$29,MAX(0,(Inputs!$B$3-100)*3)+Inputs!$B$28+Inputs!$B$29)))</f>
        <v/>
      </c>
      <c r="E384">
        <f>INDEX(FactorTable!$B$2:$Y$301, MATCH(ROUND(MIN(300,MAX(1,D384)),0), FactorTable!$A$2:$A$301,0), Skills!M25+1)</f>
        <v/>
      </c>
      <c r="F384">
        <f>IF(Skills!N25=TRUE,(Skills!L25/10)*(E384/1000),Skills!L25/10)+Skills!O25</f>
        <v/>
      </c>
      <c r="G384">
        <f>Skills!G25*IF(Skills!H25&gt;0,INT(IF(Inputs!$B$38="pvp",MIN(Skills!I25,15),Skills!I25)/Skills!H25+0.000000001),1)</f>
        <v/>
      </c>
      <c r="H384">
        <f>1-(1-Skills!J25/100)^Skills!K25</f>
        <v/>
      </c>
      <c r="I384" t="inlineStr">
        <is>
          <t>1</t>
        </is>
      </c>
      <c r="J384" t="inlineStr"/>
      <c r="K384" t="inlineStr"/>
      <c r="L384" t="inlineStr"/>
      <c r="M384" t="inlineStr"/>
      <c r="N384" t="inlineStr"/>
      <c r="O384">
        <f>(1-Summary!$B$11)*T384+Summary!$B$11*V384</f>
        <v/>
      </c>
      <c r="P384">
        <f>IF(B404=0,0,O384/B404)</f>
        <v/>
      </c>
      <c r="Q384" t="n">
        <v>0</v>
      </c>
      <c r="R384" t="n">
        <v>0</v>
      </c>
      <c r="S384">
        <f>IFERROR(O384/N384,0)</f>
        <v/>
      </c>
      <c r="T384" t="n">
        <v>0</v>
      </c>
      <c r="V384" t="n">
        <v>0</v>
      </c>
    </row>
    <row r="385">
      <c r="A385">
        <f>Skills!A26</f>
        <v/>
      </c>
      <c r="B385">
        <f>Skills!B26</f>
        <v/>
      </c>
      <c r="C385">
        <f>Inputs!$B$3&gt;=43</f>
        <v/>
      </c>
      <c r="D385">
        <f>IF(Skills!C26=1,60+Inputs!$B$25+Inputs!$B$29,IF(Skills!C26=2,90+Inputs!$B$26+Inputs!$B$29,IF(Skills!C26=3,120+Inputs!$B$27+Inputs!$B$29,MAX(0,(Inputs!$B$3-100)*3)+Inputs!$B$28+Inputs!$B$29)))</f>
        <v/>
      </c>
      <c r="E385">
        <f>INDEX(FactorTable!$B$2:$Y$301, MATCH(ROUND(MIN(300,MAX(1,D385)),0), FactorTable!$A$2:$A$301,0), Skills!M26+1)</f>
        <v/>
      </c>
      <c r="F385">
        <f>IF(Skills!N26=TRUE,(Skills!L26/10)*(E385/1000),Skills!L26/10)+Skills!O26</f>
        <v/>
      </c>
      <c r="G385">
        <f>Skills!G26*IF(Skills!H26&gt;0,INT(IF(Inputs!$B$38="pvp",MIN(Skills!I26,15),Skills!I26)/Skills!H26+0.000000001),1)</f>
        <v/>
      </c>
      <c r="H385">
        <f>1-(1-Skills!J26/100)^Skills!K26</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Skills!A27</f>
        <v/>
      </c>
      <c r="B386">
        <f>Skills!B27</f>
        <v/>
      </c>
      <c r="C386">
        <f>Inputs!$B$3&gt;=75</f>
        <v/>
      </c>
      <c r="D386">
        <f>IF(Skills!C27=1,60+Inputs!$B$25+Inputs!$B$29,IF(Skills!C27=2,90+Inputs!$B$26+Inputs!$B$29,IF(Skills!C27=3,120+Inputs!$B$27+Inputs!$B$29,MAX(0,(Inputs!$B$3-100)*3)+Inputs!$B$28+Inputs!$B$29)))</f>
        <v/>
      </c>
      <c r="E386">
        <f>INDEX(FactorTable!$B$2:$Y$301, MATCH(ROUND(MIN(300,MAX(1,D386)),0), FactorTable!$A$2:$A$301,0), Skills!M27+1)</f>
        <v/>
      </c>
      <c r="F386">
        <f>IF(Skills!N27=TRUE,(Skills!L27/10)*(E386/1000),Skills!L27/10)+Skills!O27</f>
        <v/>
      </c>
      <c r="G386">
        <f>Skills!G27*IF(Skills!H27&gt;0,INT(IF(Inputs!$B$38="pvp",MIN(Skills!I27,15),Skills!I27)/Skills!H27+0.000000001),1)</f>
        <v/>
      </c>
      <c r="H386">
        <f>1-(1-Skills!J27/100)^Skills!K27</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Skills!A28</f>
        <v/>
      </c>
      <c r="B387">
        <f>Skills!B28</f>
        <v/>
      </c>
      <c r="C387">
        <f>Inputs!$B$3&gt;=125</f>
        <v/>
      </c>
      <c r="D387">
        <f>IF(Skills!C28=1,60+Inputs!$B$25+Inputs!$B$29,IF(Skills!C28=2,90+Inputs!$B$26+Inputs!$B$29,IF(Skills!C28=3,120+Inputs!$B$27+Inputs!$B$29,MAX(0,(Inputs!$B$3-100)*3)+Inputs!$B$28+Inputs!$B$29)))</f>
        <v/>
      </c>
      <c r="E387">
        <f>INDEX(FactorTable!$B$2:$Y$301, MATCH(ROUND(MIN(300,MAX(1,D387)),0), FactorTable!$A$2:$A$301,0), Skills!M28+1)</f>
        <v/>
      </c>
      <c r="F387">
        <f>IF(Skills!N28=TRUE,(Skills!L28/10)*(E387/1000),Skills!L28/10)+Skills!O28</f>
        <v/>
      </c>
      <c r="G387">
        <f>Skills!G28*IF(Skills!H28&gt;0,INT(IF(Inputs!$B$38="pvp",MIN(Skills!I28,15),Skills!I28)/Skills!H28+0.000000001),1)</f>
        <v/>
      </c>
      <c r="H387">
        <f>1-(1-Skills!J28/100)^Skills!K28</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Skills!A29</f>
        <v/>
      </c>
      <c r="B388">
        <f>Skills!B29</f>
        <v/>
      </c>
      <c r="C388">
        <f>Inputs!$B$3&gt;=125</f>
        <v/>
      </c>
      <c r="D388">
        <f>IF(Skills!C29=1,60+Inputs!$B$25+Inputs!$B$29,IF(Skills!C29=2,90+Inputs!$B$26+Inputs!$B$29,IF(Skills!C29=3,120+Inputs!$B$27+Inputs!$B$29,MAX(0,(Inputs!$B$3-100)*3)+Inputs!$B$28+Inputs!$B$29)))</f>
        <v/>
      </c>
      <c r="E388">
        <f>INDEX(FactorTable!$B$2:$Y$301, MATCH(ROUND(MIN(300,MAX(1,D388)),0), FactorTable!$A$2:$A$301,0), Skills!M29+1)</f>
        <v/>
      </c>
      <c r="F388">
        <f>IF(Skills!N29=TRUE,(Skills!L29/10)*(E388/1000),Skills!L29/10)+Skills!O29</f>
        <v/>
      </c>
      <c r="G388">
        <f>Skills!G29*IF(Skills!H29&gt;0,INT(IF(Inputs!$B$38="pvp",MIN(Skills!I29,15),Skills!I29)/Skills!H29+0.000000001),1)</f>
        <v/>
      </c>
      <c r="H388">
        <f>1-(1-Skills!J29/100)^Skills!K29</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Skills!A30</f>
        <v/>
      </c>
      <c r="B389">
        <f>Skills!B30</f>
        <v/>
      </c>
      <c r="C389">
        <f>Inputs!$B$3&gt;=120</f>
        <v/>
      </c>
      <c r="D389">
        <f>IF(Skills!C30=1,60+Inputs!$B$25+Inputs!$B$29,IF(Skills!C30=2,90+Inputs!$B$26+Inputs!$B$29,IF(Skills!C30=3,120+Inputs!$B$27+Inputs!$B$29,MAX(0,(Inputs!$B$3-100)*3)+Inputs!$B$28+Inputs!$B$29)))</f>
        <v/>
      </c>
      <c r="E389">
        <f>INDEX(FactorTable!$B$2:$Y$301, MATCH(ROUND(MIN(300,MAX(1,D389)),0), FactorTable!$A$2:$A$301,0), Skills!M30+1)</f>
        <v/>
      </c>
      <c r="F389">
        <f>IF(Skills!N30=TRUE,(Skills!L30/10)*(E389/1000),Skills!L30/10)+Skills!O30</f>
        <v/>
      </c>
      <c r="G389">
        <f>Skills!G30*IF(Skills!H30&gt;0,INT(IF(Inputs!$B$38="pvp",MIN(Skills!I30,15),Skills!I30)/Skills!H30+0.000000001),1)</f>
        <v/>
      </c>
      <c r="H389">
        <f>1-(1-Skills!J30/100)^Skills!K30</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Skills!A31</f>
        <v/>
      </c>
      <c r="B390">
        <f>Skills!B31</f>
        <v/>
      </c>
      <c r="C390">
        <f>Inputs!$B$3&gt;=120</f>
        <v/>
      </c>
      <c r="D390">
        <f>IF(Skills!C31=1,60+Inputs!$B$25+Inputs!$B$29,IF(Skills!C31=2,90+Inputs!$B$26+Inputs!$B$29,IF(Skills!C31=3,120+Inputs!$B$27+Inputs!$B$29,MAX(0,(Inputs!$B$3-100)*3)+Inputs!$B$28+Inputs!$B$29)))</f>
        <v/>
      </c>
      <c r="E390">
        <f>INDEX(FactorTable!$B$2:$Y$301, MATCH(ROUND(MIN(300,MAX(1,D390)),0), FactorTable!$A$2:$A$301,0), Skills!M31+1)</f>
        <v/>
      </c>
      <c r="F390">
        <f>IF(Skills!N31=TRUE,(Skills!L31/10)*(E390/1000),Skills!L31/10)+Skills!O31</f>
        <v/>
      </c>
      <c r="G390">
        <f>Skills!G31*IF(Skills!H31&gt;0,INT(IF(Inputs!$B$38="pvp",MIN(Skills!I31,15),Skills!I31)/Skills!H31+0.000000001),1)</f>
        <v/>
      </c>
      <c r="H390">
        <f>1-(1-Skills!J31/100)^Skills!K31</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Skills!A32</f>
        <v/>
      </c>
      <c r="B391">
        <f>Skills!B32</f>
        <v/>
      </c>
      <c r="C391">
        <f>Inputs!$B$3&gt;=45</f>
        <v/>
      </c>
      <c r="D391">
        <f>IF(Skills!C32=1,60+Inputs!$B$25+Inputs!$B$29,IF(Skills!C32=2,90+Inputs!$B$26+Inputs!$B$29,IF(Skills!C32=3,120+Inputs!$B$27+Inputs!$B$29,MAX(0,(Inputs!$B$3-100)*3)+Inputs!$B$28+Inputs!$B$29)))</f>
        <v/>
      </c>
      <c r="E391">
        <f>INDEX(FactorTable!$B$2:$Y$301, MATCH(ROUND(MIN(300,MAX(1,D391)),0), FactorTable!$A$2:$A$301,0), Skills!M32+1)</f>
        <v/>
      </c>
      <c r="F391">
        <f>IF(Skills!N32=TRUE,(Skills!L32/10)*(E391/1000),Skills!L32/10)+Skills!O32</f>
        <v/>
      </c>
      <c r="G391">
        <f>Skills!G32*IF(Skills!H32&gt;0,INT(IF(Inputs!$B$38="pvp",MIN(Skills!I32,15),Skills!I32)/Skills!H32+0.000000001),1)</f>
        <v/>
      </c>
      <c r="H391">
        <f>1-(1-Skills!J32/100)^Skills!K32</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380=TRUE)*F380*IF(AND(Inputs!$B$38&lt;&gt;"pvp",Inputs!$B$43&gt;0),(((R380-1)*MIN((Skills!T21*(1+Inputs!$B$34/100)),(1/Q380))+MIN((Skills!T21*(1+Inputs!$B$34/100)),MAX(0,Inputs!$B$43-((R380-1)*(1/Q380)))))/Inputs!$B$43),IF(Inputs!$B$38="pvp",MIN((Skills!T21*(1+Inputs!$B$34/100)),15)/15,MIN(1,(Skills!T21*(1+Inputs!$B$34/100))/(1/Q380)))))</f>
        <v/>
      </c>
    </row>
    <row r="396">
      <c r="A396" t="inlineStr">
        <is>
          <t>Actions Per Second</t>
        </is>
      </c>
      <c r="B396">
        <f>1+MIN(150,150*(1-(1-(Inputs!$B$11+((C382=TRUE)*(F382-Calc!F23))+((C383=TRUE)*(F383-Calc!F24)))/150)*(1-B395/150)))/100</f>
        <v/>
      </c>
    </row>
    <row r="397">
      <c r="A397" t="inlineStr">
        <is>
          <t>Skill + Buff Cast Rate</t>
        </is>
      </c>
      <c r="B397">
        <f>IF(AND(Inputs!$B$38&lt;&gt;"pvp",Inputs!$B$43&gt;0),SUMPRODUCT((Skills!E2:E32=TRUE)*(C361:C391=TRUE)*R361:R391*Skills!F2:F32)/Inputs!$B$43,SUMPRODUCT((Skills!E2:E32=TRUE)*(C361:C391=TRUE)*Q361:Q391*Skills!F2:F32))</f>
        <v/>
      </c>
    </row>
    <row r="398">
      <c r="A398" t="inlineStr">
        <is>
          <t>Arrow Stream Casts Per Second</t>
        </is>
      </c>
      <c r="B398">
        <f>MAX(0,B396-B397)</f>
        <v/>
      </c>
    </row>
    <row r="399">
      <c r="A399" t="inlineStr">
        <is>
          <t>Global Critical Damage Bonus % (Sharp Eyes + Concentration)</t>
        </is>
      </c>
      <c r="B399">
        <f>(C377=TRUE)*F377*IF(AND(Inputs!$B$38&lt;&gt;"pvp",Inputs!$B$43&gt;0),(((R377-1)*MIN((Skills!T18*(1+Inputs!$B$34/100)),(1/Q377))+MIN((Skills!T18*(1+Inputs!$B$34/100)),MAX(0,Inputs!$B$43-((R377-1)*(1/Q377)))))/Inputs!$B$43),IF(Inputs!$B$38="pvp",MIN((Skills!T18*(1+Inputs!$B$34/100)),15)/15,MIN(1,(Skills!T18*(1+Inputs!$B$34/100))/(1/Q377))))+(C378=TRUE)*7*F378</f>
        <v/>
      </c>
    </row>
    <row r="400">
      <c r="A400" t="inlineStr">
        <is>
          <t>Global Final Damage Bonus % (Mortal Blow)</t>
        </is>
      </c>
      <c r="B400">
        <f>(C379=TRUE)*F379</f>
        <v/>
      </c>
    </row>
    <row r="401">
      <c r="A401" t="inlineStr">
        <is>
          <t>Buff-Casting Startup Delay (s, fixed-duration only)</t>
        </is>
      </c>
      <c r="B401">
        <f>IF(AND(Inputs!$B$38&lt;&gt;"pvp",Inputs!$B$43&gt;0),SUMPRODUCT((Skills!T2:T32&gt;0)*(Skills!E2:E32=TRUE)*(C361:C391=TRUE))/B396,0)</f>
        <v/>
      </c>
    </row>
    <row r="402">
      <c r="A402" t="inlineStr">
        <is>
          <t>Boss-Only Total DPS (this block's swept value)</t>
        </is>
      </c>
      <c r="B402">
        <f>SUM(T361:T391)</f>
        <v/>
      </c>
    </row>
    <row r="403">
      <c r="A403" t="inlineStr">
        <is>
          <t>Normal-Only Total DPS (this block's swept value)</t>
        </is>
      </c>
      <c r="B403">
        <f>SUM(V361:V391)</f>
        <v/>
      </c>
    </row>
    <row r="404">
      <c r="A404" s="6" t="inlineStr">
        <is>
          <t>TOTAL DPS</t>
        </is>
      </c>
      <c r="B404" s="6">
        <f>SUM(O361:O391)</f>
        <v/>
      </c>
    </row>
    <row r="407">
      <c r="A407" s="6" t="inlineStr">
        <is>
          <t>Stat: FINAL_DAMAGE % (multiplicative source)</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Skills!G2*IF(Skills!H2&gt;0,INT(IF(Inputs!$B$38="pvp",MIN(Skills!I2,15),Skills!I2)/Skills!H2+0.000000001),1)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433=TRUE)*(F433-Calc!F26)),(Inputs!$B$23+((C438=TRUE)*(F438-Calc!F31))+(IF(ArtifactsInput!$M$15,CHOOSE(ArtifactsInput!$N$15+1,25,30,35,40,45,50)/100*(Inputs!$B$11-Inputs!$B$11),0))))/100+(Inputs!$B$23+((C438=TRUE)*(F438-Calc!F31))+(IF(ArtifactsInput!$M$15,CHOOSE(ArtifactsInput!$N$15+1,25,30,35,40,45,50)/100*(Inputs!$B$11-Inputs!$B$11),0)))/100)/2</f>
        <v/>
      </c>
      <c r="M409">
        <f>L409*(1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IF(B452=0,0,O409/B452)</f>
        <v/>
      </c>
      <c r="Q409" t="n">
        <v>0</v>
      </c>
      <c r="R409" t="n">
        <v>0</v>
      </c>
      <c r="S409">
        <f>IFERROR(O409/N409,0)</f>
        <v/>
      </c>
      <c r="T409">
        <f>IF(C409,(Skills!G2*N409*B446)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IF(C409,(Skills!G2*N409*B446)*IF(Inputs!$B$38="pvp",1,(1+(Inputs!$B$21+Skills!Q2+(IF(ArtifactsInput!$M$33,CHOOSE(ArtifactsInput!$N$33+1,30,36,42,48,54,60),0))+(IF(AND(ArtifactsInput!$M$35,Inputs!$B$4&lt;&gt;"Chapter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f>Skills!G3*IF(Skills!H3&gt;0,INT(IF(Inputs!$B$38="pvp",MIN(Skills!I3,15),Skills!I3)/Skills!H3+0.000000001),1)</f>
        <v/>
      </c>
      <c r="H410">
        <f>1-(1-Skills!J3/100)^Skills!K3</f>
        <v/>
      </c>
      <c r="I410" t="inlineStr">
        <is>
          <t>1</t>
        </is>
      </c>
      <c r="J410">
        <f>((Inputs!$B$6*(1+Inputs!$B$7/100))+(((Inputs!$B$12*(1+Inputs!$B$13/100))-(Inputs!$B$12*(1+Inputs!$B$13/100)))+0.25*(Inputs!$B$14-Inputs!$B$14))*(1+Inputs!$B$7/100))*(F410/100)</f>
        <v/>
      </c>
      <c r="K410">
        <f>J410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411=TRUE,F411,0)/100)*(1+(IF(Skills!A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433=TRUE)*(F433-Calc!F26)),(Inputs!$B$23+((C438=TRUE)*(F438-Calc!F31))+(IF(ArtifactsInput!$M$15,CHOOSE(ArtifactsInput!$N$15+1,25,30,35,40,45,50)/100*(Inputs!$B$11-Inputs!$B$11),0))))/100+(Inputs!$B$23+((C438=TRUE)*(F438-Calc!F31))+(IF(ArtifactsInput!$M$15,CHOOSE(ArtifactsInput!$N$15+1,25,30,35,40,45,50)/100*(Inputs!$B$11-Inputs!$B$11),0)))/100)/2</f>
        <v/>
      </c>
      <c r="M410">
        <f>L410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IF(B452=0,0,O410/B452)</f>
        <v/>
      </c>
      <c r="Q410">
        <f>IFERROR(1/(IF(Inputs!$B$38="pvp",15,MAX(0.1,1/B444-IF(FALSE=TRUE,Inputs!$B$32,0)))*(1-IF(AND(ArtifactsInput!$M$27,Inputs!$B$4="Chapter Hunt"),CHOOSE(ArtifactsInput!$N$27+1,20,24,28,32,36,40),0)/100)),0)</f>
        <v/>
      </c>
      <c r="R410">
        <f>IF(AND(Inputs!$B$38&lt;&gt;"pvp",Inputs!$B$43&gt;0),IF(MAX(0,Inputs!$B$43-B449)&lt;=0,0,(INT(MAX(0,Inputs!$B$43-B449)/(IF(Inputs!$B$38="pvp",15,MAX(0.1,1/B444-IF(FALSE=TRUE,Inputs!$B$32,0)))*(1-IF(AND(ArtifactsInput!$M$27,Inputs!$B$4="Chapter Hunt"),CHOOSE(ArtifactsInput!$N$27+1,20,24,28,32,36,40),0)/100)))+1)),0)</f>
        <v/>
      </c>
      <c r="S410">
        <f>IFERROR(O410/N410,0)</f>
        <v/>
      </c>
      <c r="T410">
        <f>IF(C410,(H410*N410*IF(AND(Inputs!$B$38&lt;&gt;"pvp",Inputs!$B$43&gt;0),((Skills!G3*((R410-1)*IF(Skills!H3&gt;0,INT(Skills!I3/Skills!H3+0.000000001),1)+IF(Skills!H3&gt;0,INT(MIN(Skills!I3,MAX(0,MAX(0,Inputs!$B$43-B449)-((R410-1)*(IF(Inputs!$B$38="pvp",15,MAX(0.1,1/B444-IF(FALSE=TRUE,Inputs!$B$32,0)))*(1-IF(AND(ArtifactsInput!$M$27,Inputs!$B$4="Chapter Hunt"),CHOOSE(ArtifactsInput!$N$27+1,20,24,28,32,36,40),0)/100)))))/Skills!H3+0.000000001),1)))/Inputs!$B$43),G410*Q410)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0">
        <f>INDEX(FactorTable!$B$2:$Y$301, MATCH(ROUND(MIN(300,MAX(1,U409)),0), FactorTable!$A$2:$A$301,0), 22)</f>
        <v/>
      </c>
      <c r="V410">
        <f>IF(C410,(H410*N410*IF(AND(Inputs!$B$38&lt;&gt;"pvp",Inputs!$B$43&gt;0),((Skills!G3*((R410-1)*IF(Skills!H3&gt;0,INT(Skills!I3/Skills!H3+0.000000001),1)+IF(Skills!H3&gt;0,INT(MIN(Skills!I3,MAX(0,MAX(0,Inputs!$B$43-B449)-((R410-1)*(IF(Inputs!$B$38="pvp",15,MAX(0.1,1/B444-IF(FALSE=TRUE,Inputs!$B$32,0)))*(1-IF(AND(ArtifactsInput!$M$27,Inputs!$B$4="Chapter Hunt"),CHOOSE(ArtifactsInput!$N$27+1,20,24,28,32,36,40),0)/100)))))/Skills!H3+0.000000001),1)))/Inputs!$B$43),G410*Q410))*IF(Inputs!$B$38="pvp",1,(1+(Inputs!$B$21+Skills!Q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U411">
        <f>290*U410/1000</f>
        <v/>
      </c>
      <c r="V411" t="inlineStr"/>
    </row>
    <row r="412">
      <c r="A412">
        <f>Skills!A5</f>
        <v/>
      </c>
      <c r="B412">
        <f>Skills!B5</f>
        <v/>
      </c>
      <c r="C412">
        <f>Inputs!$B$3&gt;=35</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Skills!G5*IF(Skills!H5&gt;0,INT(IF(Inputs!$B$38="pvp",MIN(Skills!I5,15),Skills!I5)/Skills!H5+0.000000001),1)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5="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433=TRUE)*(F433-Calc!F26)),(Inputs!$B$23+((C438=TRUE)*(F438-Calc!F31))+(IF(ArtifactsInput!$M$15,CHOOSE(ArtifactsInput!$N$15+1,25,30,35,40,45,50)/100*(Inputs!$B$11-Inputs!$B$11),0))))/100+(Inputs!$B$23+((C438=TRUE)*(F438-Calc!F31))+(IF(ArtifactsInput!$M$15,CHOOSE(ArtifactsInput!$N$15+1,25,30,35,40,45,50)/100*(Inputs!$B$11-Inputs!$B$11),0)))/100)/2</f>
        <v/>
      </c>
      <c r="M412">
        <f>L412*(1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IF(B452=0,0,O412/B452)</f>
        <v/>
      </c>
      <c r="Q412">
        <f>IFERROR(1/(IF(Inputs!$B$38="pvp",15,MAX(0.1,Skills!D5-IF(TRUE=TRUE,Inputs!$B$32,0)))*(1-IF(AND(ArtifactsInput!$M$27,Inputs!$B$4="Chapter Hunt"),CHOOSE(ArtifactsInput!$N$27+1,20,24,28,32,36,40),0)/100)),0)</f>
        <v/>
      </c>
      <c r="R412">
        <f>IF(AND(Inputs!$B$38&lt;&gt;"pvp",Inputs!$B$43&gt;0),IF(MAX(0,Inputs!$B$43-B449)&lt;=0,0,(INT(MAX(0,Inputs!$B$43-B449)/(IF(Inputs!$B$38="pvp",15,MAX(0.1,Skills!D5-IF(TRUE=TRUE,Inputs!$B$32,0)))*(1-IF(AND(ArtifactsInput!$M$27,Inputs!$B$4="Chapter Hunt"),CHOOSE(ArtifactsInput!$N$27+1,20,24,28,32,36,40),0)/100)))+1)),0)</f>
        <v/>
      </c>
      <c r="S412">
        <f>IFERROR(O412/N412,0)</f>
        <v/>
      </c>
      <c r="T412">
        <f>IF(C412,(H412*N412*IF(AND(Inputs!$B$38&lt;&gt;"pvp",Inputs!$B$43&gt;0),((Skills!G5*((R412-1)*IF(Skills!H5&gt;0,INT(Skills!I5/Skills!H5+0.000000001),1)+IF(Skills!H5&gt;0,INT(MIN(Skills!I5,MAX(0,MAX(0,Inputs!$B$43-B449)-((R412-1)*(IF(Inputs!$B$38="pvp",15,MAX(0.1,Skills!D5-IF(TRUE=TRUE,Inputs!$B$32,0)))*(1-IF(AND(ArtifactsInput!$M$27,Inputs!$B$4="Chapter Hunt"),CHOOSE(ArtifactsInput!$N$27+1,20,24,28,32,36,40),0)/100)))))/Skills!H5+0.000000001),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INT(Skills!I5/Skills!H5+0.000000001),1)+IF(Skills!H5&gt;0,INT(MIN(Skills!I5,MAX(0,MAX(0,Inputs!$B$43-B449)-((R412-1)*(IF(Inputs!$B$38="pvp",15,MAX(0.1,Skills!D5-IF(TRUE=TRUE,Inputs!$B$32,0)))*(1-IF(AND(ArtifactsInput!$M$27,Inputs!$B$4="Chapter Hunt"),CHOOSE(ArtifactsInput!$N$27+1,20,24,28,32,36,40),0)/100)))))/Skills!H5+0.000000001),1)))/Inputs!$B$43),G412*Q412))*IF(Inputs!$B$38="pvp",1,(1+(Inputs!$B$21+Skills!Q5+(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Inputs!$B$3&gt;=40</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Skills!G6*IF(Skills!H6&gt;0,INT(IF(Inputs!$B$38="pvp",MIN(Skills!I6,15),Skills!I6)/Skills!H6+0.000000001),1)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414=TRUE,F414,0)/100)*(1+(IF(Skills!A6="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C433=TRUE)*(F433-Calc!F26)),(Inputs!$B$23+((C438=TRUE)*(F438-Calc!F31))+(IF(ArtifactsInput!$M$15,CHOOSE(ArtifactsInput!$N$15+1,25,30,35,40,45,50)/100*(Inputs!$B$11-Inputs!$B$11),0))))/100+(Inputs!$B$23+((C438=TRUE)*(F438-Calc!F31))+(IF(ArtifactsInput!$M$15,CHOOSE(ArtifactsInput!$N$15+1,25,30,35,40,45,50)/100*(Inputs!$B$11-Inputs!$B$11),0)))/100)/2</f>
        <v/>
      </c>
      <c r="M413">
        <f>L413*(1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IF(B452=0,0,O413/B452)</f>
        <v/>
      </c>
      <c r="Q413">
        <f>IFERROR(1/(IF(Inputs!$B$38="pvp",15,MAX(0.1,1-0.4*MIN(1,(B444-1)/1.5)-IF(FALSE=TRUE,Inputs!$B$32,0)))*(1-IF(AND(ArtifactsInput!$M$27,Inputs!$B$4="Chapter Hunt"),CHOOSE(ArtifactsInput!$N$27+1,20,24,28,32,36,40),0)/100)),0)</f>
        <v/>
      </c>
      <c r="R413">
        <f>IF(AND(Inputs!$B$38&lt;&gt;"pvp",Inputs!$B$43&gt;0),IF(MAX(0,Inputs!$B$43-B449)&lt;=0,0,(INT(MAX(0,Inputs!$B$43-B449)/(IF(Inputs!$B$38="pvp",15,MAX(0.1,1-0.4*MIN(1,(B444-1)/1.5)-IF(FALSE=TRUE,Inputs!$B$32,0)))*(1-IF(AND(ArtifactsInput!$M$27,Inputs!$B$4="Chapter Hunt"),CHOOSE(ArtifactsInput!$N$27+1,20,24,28,32,36,40),0)/100)))+1)),0)</f>
        <v/>
      </c>
      <c r="S413">
        <f>IFERROR(O413/N413,0)</f>
        <v/>
      </c>
      <c r="T413">
        <f>IF(C413,(H413*N413*IF(AND(Inputs!$B$38&lt;&gt;"pvp",Inputs!$B$43&gt;0),((Skills!G6*((R413-1)*IF(Skills!H6&gt;0,INT(Skills!I6/Skills!H6+0.000000001),1)+IF(Skills!H6&gt;0,INT(MIN(Skills!I6,MAX(0,MAX(0,Inputs!$B$43-B449)-((R413-1)*(IF(Inputs!$B$38="pvp",15,MAX(0.1,1-0.4*MIN(1,(B444-1)/1.5)-IF(FALSE=TRUE,Inputs!$B$32,0)))*(1-IF(AND(ArtifactsInput!$M$27,Inputs!$B$4="Chapter Hunt"),CHOOSE(ArtifactsInput!$N$27+1,20,24,28,32,36,40),0)/100)))))/Skills!H6+0.000000001),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INT(Skills!I6/Skills!H6+0.000000001),1)+IF(Skills!H6&gt;0,INT(MIN(Skills!I6,MAX(0,MAX(0,Inputs!$B$43-B449)-((R413-1)*(IF(Inputs!$B$38="pvp",15,MAX(0.1,1-0.4*MIN(1,(B444-1)/1.5)-IF(FALSE=TRUE,Inputs!$B$32,0)))*(1-IF(AND(ArtifactsInput!$M$27,Inputs!$B$4="Chapter Hunt"),CHOOSE(ArtifactsInput!$N$27+1,20,24,28,32,36,40),0)/100)))))/Skills!H6+0.000000001),1)))/Inputs!$B$43),G413*Q413))*IF(Inputs!$B$38="pvp",1,(1+(Inputs!$B$21+Skills!Q6+(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t="inlineStr"/>
      <c r="H414" t="inlineStr"/>
      <c r="I414" t="inlineStr">
        <is>
          <t>1</t>
        </is>
      </c>
      <c r="J414" t="inlineStr"/>
      <c r="K414" t="inlineStr"/>
      <c r="L414" t="inlineStr"/>
      <c r="M414" t="inlineStr"/>
      <c r="N414" t="inlineStr"/>
      <c r="O414" t="inlineStr"/>
      <c r="P414" t="inlineStr"/>
      <c r="Q414" t="inlineStr"/>
      <c r="R414" t="inlineStr"/>
      <c r="S414" t="inlineStr"/>
      <c r="T414" t="inlineStr"/>
      <c r="V414" t="inlineStr"/>
    </row>
    <row r="415">
      <c r="A415">
        <f>Skills!A8</f>
        <v/>
      </c>
      <c r="B415">
        <f>Skills!B8</f>
        <v/>
      </c>
      <c r="C415">
        <f>Inputs!$B$3&gt;=130</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Skills!G8*IF(Skills!H8&gt;0,INT(IF(Inputs!$B$38="pvp",MIN(Skills!I8,15),Skills!I8)/Skills!H8+0.000000001),1)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26)),(Inputs!$B$23+((C438=TRUE)*(F438-Calc!F31))+(IF(ArtifactsInput!$M$15,CHOOSE(ArtifactsInput!$N$15+1,25,30,35,40,45,50)/100*(Inputs!$B$11-Inputs!$B$11),0))))/100+(Inputs!$B$23+((C438=TRUE)*(F438-Calc!F31))+(IF(ArtifactsInput!$M$15,CHOOSE(ArtifactsInput!$N$15+1,25,30,35,40,45,50)/100*(Inputs!$B$11-Inputs!$B$11),0)))/100)/2</f>
        <v/>
      </c>
      <c r="M415">
        <f>L415*(1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IF(B452=0,0,O415/B452)</f>
        <v/>
      </c>
      <c r="Q415">
        <f>IFERROR(1/(IF(Inputs!$B$38="pvp",15,MAX(0.1,1-0.4*MIN(1,(B444-1)/1.5)-IF(FALSE=TRUE,Inputs!$B$32,0)))*(1-IF(AND(ArtifactsInput!$M$27,Inputs!$B$4="Chapter Hunt"),CHOOSE(ArtifactsInput!$N$27+1,20,24,28,32,36,40),0)/100)),0)</f>
        <v/>
      </c>
      <c r="R415">
        <f>IF(AND(Inputs!$B$38&lt;&gt;"pvp",Inputs!$B$43&gt;0),IF(MAX(0,Inputs!$B$43-B449)&lt;=0,0,(INT(MAX(0,Inputs!$B$43-B449)/(IF(Inputs!$B$38="pvp",15,MAX(0.1,1-0.4*MIN(1,(B444-1)/1.5)-IF(FALSE=TRUE,Inputs!$B$32,0)))*(1-IF(AND(ArtifactsInput!$M$27,Inputs!$B$4="Chapter Hunt"),CHOOSE(ArtifactsInput!$N$27+1,20,24,28,32,36,40),0)/100)))+1)),0)</f>
        <v/>
      </c>
      <c r="S415">
        <f>IFERROR(O415/N415,0)</f>
        <v/>
      </c>
      <c r="T415">
        <f>IF(C415,(H415*N415*IF(AND(Inputs!$B$38&lt;&gt;"pvp",Inputs!$B$43&gt;0),((Skills!G8*((R415-1)*IF(Skills!H8&gt;0,INT(Skills!I8/Skills!H8+0.000000001),1)+IF(Skills!H8&gt;0,INT(MIN(Skills!I8,MAX(0,MAX(0,Inputs!$B$43-B449)-((R415-1)*(IF(Inputs!$B$38="pvp",15,MAX(0.1,1-0.4*MIN(1,(B444-1)/1.5)-IF(FALSE=TRUE,Inputs!$B$32,0)))*(1-IF(AND(ArtifactsInput!$M$27,Inputs!$B$4="Chapter Hunt"),CHOOSE(ArtifactsInput!$N$27+1,20,24,28,32,36,40),0)/100)))))/Skills!H8+0.000000001),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INT(Skills!I8/Skills!H8+0.000000001),1)+IF(Skills!H8&gt;0,INT(MIN(Skills!I8,MAX(0,MAX(0,Inputs!$B$43-B449)-((R415-1)*(IF(Inputs!$B$38="pvp",15,MAX(0.1,1-0.4*MIN(1,(B444-1)/1.5)-IF(FALSE=TRUE,Inputs!$B$32,0)))*(1-IF(AND(ArtifactsInput!$M$27,Inputs!$B$4="Chapter Hunt"),CHOOSE(ArtifactsInput!$N$27+1,20,24,28,32,36,40),0)/100)))))/Skills!H8+0.000000001),1)))/Inputs!$B$43),G415*Q415))*IF(Inputs!$B$38="pvp",1,(1+(Inputs!$B$21+Skills!Q8+(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Skills!G9*IF(Skills!H9&gt;0,INT(IF(Inputs!$B$38="pvp",MIN(Skills!I9,15),Skills!I9)/Skills!H9+0.000000001),1)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419=TRUE,F419,0)/100)*(1+(IF(Skills!A9="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26)),(Inputs!$B$23+((C438=TRUE)*(F438-Calc!F31))+(IF(ArtifactsInput!$M$15,CHOOSE(ArtifactsInput!$N$15+1,25,30,35,40,45,50)/100*(Inputs!$B$11-Inputs!$B$11),0))))/100+(Inputs!$B$23+((C438=TRUE)*(F438-Calc!F31))+(IF(ArtifactsInput!$M$15,CHOOSE(ArtifactsInput!$N$15+1,25,30,35,40,45,50)/100*(Inputs!$B$11-Inputs!$B$11),0)))/100)/2</f>
        <v/>
      </c>
      <c r="M416">
        <f>L416*(1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IF(B452=0,0,O416/B452)</f>
        <v/>
      </c>
      <c r="Q416">
        <f>IFERROR(1/(IF(Inputs!$B$38="pvp",15,MAX(0.1,Skills!D9-IF(TRUE=TRUE,Inputs!$B$32,0)))*(1-IF(AND(ArtifactsInput!$M$27,Inputs!$B$4="Chapter Hunt"),CHOOSE(ArtifactsInput!$N$27+1,20,24,28,32,36,40),0)/100)),0)</f>
        <v/>
      </c>
      <c r="R416">
        <f>IF(AND(Inputs!$B$38&lt;&gt;"pvp",Inputs!$B$43&gt;0),IF(MAX(0,Inputs!$B$43-B449)&lt;=0,0,(INT(MAX(0,Inputs!$B$43-B449)/(IF(Inputs!$B$38="pvp",15,MAX(0.1,Skills!D9-IF(TRUE=TRUE,Inputs!$B$32,0)))*(1-IF(AND(ArtifactsInput!$M$27,Inputs!$B$4="Chapter Hunt"),CHOOSE(ArtifactsInput!$N$27+1,20,24,28,32,36,40),0)/100)))+1)),0)</f>
        <v/>
      </c>
      <c r="S416">
        <f>IFERROR(O416/N416,0)</f>
        <v/>
      </c>
      <c r="T416">
        <f>IF(C416,(H416*N416*IF(AND(Inputs!$B$38&lt;&gt;"pvp",Inputs!$B$43&gt;0),((Skills!G9*((R416-1)*IF(Skills!H9&gt;0,INT(Skills!I9/Skills!H9+0.000000001),1)+IF(Skills!H9&gt;0,INT(MIN(Skills!I9,MAX(0,MAX(0,Inputs!$B$43-B449)-((R416-1)*(IF(Inputs!$B$38="pvp",15,MAX(0.1,Skills!D9-IF(TRUE=TRUE,Inputs!$B$32,0)))*(1-IF(AND(ArtifactsInput!$M$27,Inputs!$B$4="Chapter Hunt"),CHOOSE(ArtifactsInput!$N$27+1,20,24,28,32,36,40),0)/100)))))/Skills!H9+0.000000001),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INT(Skills!I9/Skills!H9+0.000000001),1)+IF(Skills!H9&gt;0,INT(MIN(Skills!I9,MAX(0,MAX(0,Inputs!$B$43-B449)-((R416-1)*(IF(Inputs!$B$38="pvp",15,MAX(0.1,Skills!D9-IF(TRUE=TRUE,Inputs!$B$32,0)))*(1-IF(AND(ArtifactsInput!$M$27,Inputs!$B$4="Chapter Hunt"),CHOOSE(ArtifactsInput!$N$27+1,20,24,28,32,36,40),0)/100)))))/Skills!H9+0.000000001),1)))/Inputs!$B$43),G416*Q416))*IF(Inputs!$B$38="pvp",1,(1+(Inputs!$B$21+Skills!Q9+(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Skills!G10*IF(Skills!H10&gt;0,INT(IF(Inputs!$B$38="pvp",MIN(Skills!I10,15),Skills!I10)/Skills!H10+0.000000001),1)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10="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26)),(Inputs!$B$23+((C438=TRUE)*(F438-Calc!F31))+(IF(ArtifactsInput!$M$15,CHOOSE(ArtifactsInput!$N$15+1,25,30,35,40,45,50)/100*(Inputs!$B$11-Inputs!$B$11),0))))/100+(Inputs!$B$23+((C438=TRUE)*(F438-Calc!F31))+(IF(ArtifactsInput!$M$15,CHOOSE(ArtifactsInput!$N$15+1,25,30,35,40,45,50)/100*(Inputs!$B$11-Inputs!$B$11),0)))/100)/2</f>
        <v/>
      </c>
      <c r="M417">
        <f>L417*(1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IF(B452=0,0,O417/B452)</f>
        <v/>
      </c>
      <c r="Q417">
        <f>IFERROR(1/(IF(Inputs!$B$38="pvp",15,MAX(0.1,Skills!D10-IF(TRUE=TRUE,Inputs!$B$32,0)))*(1-IF(AND(ArtifactsInput!$M$27,Inputs!$B$4="Chapter Hunt"),CHOOSE(ArtifactsInput!$N$27+1,20,24,28,32,36,40),0)/100)),0)</f>
        <v/>
      </c>
      <c r="R417">
        <f>IF(AND(Inputs!$B$38&lt;&gt;"pvp",Inputs!$B$43&gt;0),IF(MAX(0,Inputs!$B$43-B449)&lt;=0,0,(INT(MAX(0,Inputs!$B$43-B449)/(IF(Inputs!$B$38="pvp",15,MAX(0.1,Skills!D10-IF(TRUE=TRUE,Inputs!$B$32,0)))*(1-IF(AND(ArtifactsInput!$M$27,Inputs!$B$4="Chapter Hunt"),CHOOSE(ArtifactsInput!$N$27+1,20,24,28,32,36,40),0)/100)))+1)),0)</f>
        <v/>
      </c>
      <c r="S417">
        <f>IFERROR(O417/N417,0)</f>
        <v/>
      </c>
      <c r="T417">
        <f>IF(C417,(H417*N417*IF(AND(Inputs!$B$38&lt;&gt;"pvp",Inputs!$B$43&gt;0),((Skills!G10*((R417-1)*IF(Skills!H10&gt;0,INT(Skills!I10/Skills!H10+0.000000001),1)+IF(Skills!H10&gt;0,INT(MIN(Skills!I10,MAX(0,MAX(0,Inputs!$B$43-B449)-((R417-1)*(IF(Inputs!$B$38="pvp",15,MAX(0.1,Skills!D10-IF(TRUE=TRUE,Inputs!$B$32,0)))*(1-IF(AND(ArtifactsInput!$M$27,Inputs!$B$4="Chapter Hunt"),CHOOSE(ArtifactsInput!$N$27+1,20,24,28,32,36,40),0)/100)))))/Skills!H10+0.000000001),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INT(Skills!I10/Skills!H10+0.000000001),1)+IF(Skills!H10&gt;0,INT(MIN(Skills!I10,MAX(0,MAX(0,Inputs!$B$43-B449)-((R417-1)*(IF(Inputs!$B$38="pvp",15,MAX(0.1,Skills!D10-IF(TRUE=TRUE,Inputs!$B$32,0)))*(1-IF(AND(ArtifactsInput!$M$27,Inputs!$B$4="Chapter Hunt"),CHOOSE(ArtifactsInput!$N$27+1,20,24,28,32,36,40),0)/100)))))/Skills!H10+0.000000001),1)))/Inputs!$B$43),G417*Q417))*IF(Inputs!$B$38="pvp",1,(1+(Inputs!$B$21+Skills!Q10+(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Inputs!$B$3&gt;=103</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Skills!G11*IF(Skills!H11&gt;0,INT(IF(Inputs!$B$38="pvp",MIN(Skills!I11,15),Skills!I11)/Skills!H11+0.000000001),1)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C433=TRUE)*(F433-Calc!F26)),(Inputs!$B$23+((C438=TRUE)*(F438-Calc!F31))+(IF(ArtifactsInput!$M$15,CHOOSE(ArtifactsInput!$N$15+1,25,30,35,40,45,50)/100*(Inputs!$B$11-Inputs!$B$11),0))))/100+(Inputs!$B$23+((C438=TRUE)*(F438-Calc!F31))+(IF(ArtifactsInput!$M$15,CHOOSE(ArtifactsInput!$N$15+1,25,30,35,40,45,50)/100*(Inputs!$B$11-Inputs!$B$11),0)))/100)/2</f>
        <v/>
      </c>
      <c r="M418">
        <f>L418*(1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IF(B452=0,0,O418/B452)</f>
        <v/>
      </c>
      <c r="Q418">
        <f>IFERROR(1/(IF(Inputs!$B$38="pvp",15,MAX(0.1,Skills!D11-IF(TRUE=TRUE,Inputs!$B$32,0)))*(1-IF(AND(ArtifactsInput!$M$27,Inputs!$B$4="Chapter Hunt"),CHOOSE(ArtifactsInput!$N$27+1,20,24,28,32,36,40),0)/100)),0)</f>
        <v/>
      </c>
      <c r="R418">
        <f>IF(AND(Inputs!$B$38&lt;&gt;"pvp",Inputs!$B$43&gt;0),IF(MAX(0,Inputs!$B$43-B449)&lt;=0,0,(INT(MAX(0,Inputs!$B$43-B449)/(IF(Inputs!$B$38="pvp",15,MAX(0.1,Skills!D11-IF(TRUE=TRUE,Inputs!$B$32,0)))*(1-IF(AND(ArtifactsInput!$M$27,Inputs!$B$4="Chapter Hunt"),CHOOSE(ArtifactsInput!$N$27+1,20,24,28,32,36,40),0)/100)))+1)),0)</f>
        <v/>
      </c>
      <c r="S418">
        <f>IFERROR(O418/N418,0)</f>
        <v/>
      </c>
      <c r="T418">
        <f>IF(C418,(H418*N418*IF(AND(Inputs!$B$38&lt;&gt;"pvp",Inputs!$B$43&gt;0),((Skills!G11*((R418-1)*IF(Skills!H11&gt;0,INT(Skills!I11/Skills!H11+0.000000001),1)+IF(Skills!H11&gt;0,INT(MIN(Skills!I11,MAX(0,MAX(0,Inputs!$B$43-B449)-((R418-1)*(IF(Inputs!$B$38="pvp",15,MAX(0.1,Skills!D11-IF(TRUE=TRUE,Inputs!$B$32,0)))*(1-IF(AND(ArtifactsInput!$M$27,Inputs!$B$4="Chapter Hunt"),CHOOSE(ArtifactsInput!$N$27+1,20,24,28,32,36,40),0)/100)))))/Skills!H11+0.000000001)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INT(Skills!I11/Skills!H11+0.000000001),1)+IF(Skills!H11&gt;0,INT(MIN(Skills!I11,MAX(0,MAX(0,Inputs!$B$43-B449)-((R418-1)*(IF(Inputs!$B$38="pvp",15,MAX(0.1,Skills!D11-IF(TRUE=TRUE,Inputs!$B$32,0)))*(1-IF(AND(ArtifactsInput!$M$27,Inputs!$B$4="Chapter Hunt"),CHOOSE(ArtifactsInput!$N$27+1,20,24,28,32,36,40),0)/100)))))/Skills!H11+0.000000001),1)))/Inputs!$B$43),G418*Q418))*IF(Inputs!$B$38="pvp",1,(1+(Inputs!$B$21+Skills!Q11+(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c r="T419" t="inlineStr"/>
      <c r="V419" t="inlineStr"/>
    </row>
    <row r="420">
      <c r="A420">
        <f>Skills!A13</f>
        <v/>
      </c>
      <c r="B420">
        <f>Skills!B13</f>
        <v/>
      </c>
      <c r="C420">
        <f>Inputs!$B$3&gt;=60</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Skills!G13*IF(Skills!H13&gt;0,INT(IF(Inputs!$B$38="pvp",MIN(Skills!I13,15),Skills!I13)/Skills!H13+0.000000001),1)</f>
        <v/>
      </c>
      <c r="H420">
        <f>1-(1-Skills!J13/100)^Skills!K13</f>
        <v/>
      </c>
      <c r="I420" t="inlineStr">
        <is>
          <t>1</t>
        </is>
      </c>
      <c r="J420">
        <f>((Inputs!$B$6*(1+Inputs!$B$7/100))+(((Inputs!$B$12*(1+Inputs!$B$13/100))-(Inputs!$B$12*(1+Inputs!$B$13/100)))+0.25*(Inputs!$B$14-Inputs!$B$14))*(1+Inputs!$B$7/100))*(F420/100)</f>
        <v/>
      </c>
      <c r="K420">
        <f>J420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421=TRUE,F421,0)/100)*(1+(IF(Skills!A13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26)),(Inputs!$B$23+((C438=TRUE)*(F438-Calc!F31))+(IF(ArtifactsInput!$M$15,CHOOSE(ArtifactsInput!$N$15+1,25,30,35,40,45,50)/100*(Inputs!$B$11-Inputs!$B$11),0))))/100+(Inputs!$B$23+((C438=TRUE)*(F438-Calc!F31))+(IF(ArtifactsInput!$M$15,CHOOSE(ArtifactsInput!$N$15+1,25,30,35,40,45,50)/100*(Inputs!$B$11-Inputs!$B$11),0)))/100)/2</f>
        <v/>
      </c>
      <c r="M420">
        <f>L420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IF(B452=0,0,O420/B452)</f>
        <v/>
      </c>
      <c r="Q420">
        <f>IFERROR(1/(IF(Inputs!$B$38="pvp",15,MAX(0.1,IF(Inputs!$B$3&gt;=122,3,5)+1/(((20+30*(B444-1)*100/150)/100)*B444)-IF(FALSE=TRUE,Inputs!$B$32,0)))*(1-IF(AND(ArtifactsInput!$M$27,Inputs!$B$4="Chapter Hunt"),CHOOSE(ArtifactsInput!$N$27+1,20,24,28,32,36,40),0)/100)),0)</f>
        <v/>
      </c>
      <c r="R420">
        <f>IF(AND(Inputs!$B$38&lt;&gt;"pvp",Inputs!$B$43&gt;0),IF(MAX(0,Inputs!$B$43-B449)&lt;=0,0,(INT(MAX(0,Inputs!$B$43-B449)/(IF(Inputs!$B$38="pvp",15,MAX(0.1,IF(Inputs!$B$3&gt;=122,3,5)+1/(((20+30*(B444-1)*100/150)/100)*B444)-IF(FALSE=TRUE,Inputs!$B$32,0)))*(1-IF(AND(ArtifactsInput!$M$27,Inputs!$B$4="Chapter Hunt"),CHOOSE(ArtifactsInput!$N$27+1,20,24,28,32,36,40),0)/100)))+1)),0)</f>
        <v/>
      </c>
      <c r="S420">
        <f>IFERROR(O420/N420,0)</f>
        <v/>
      </c>
      <c r="T420">
        <f>IF(C420,(H420*N420*IF(AND(Inputs!$B$38&lt;&gt;"pvp",Inputs!$B$43&gt;0),((Skills!G13*((R420-1)*IF(Skills!H13&gt;0,INT(Skills!I13/Skills!H13+0.000000001),1)+IF(Skills!H13&gt;0,INT(MIN(Skills!I13,MAX(0,MAX(0,Inputs!$B$43-B449)-((R420-1)*(IF(Inputs!$B$38="pvp",15,MAX(0.1,IF(Inputs!$B$3&gt;=122,3,5)+1/(((20+30*(B444-1)*100/150)/100)*B444)-IF(FALSE=TRUE,Inputs!$B$32,0)))*(1-IF(AND(ArtifactsInput!$M$27,Inputs!$B$4="Chapter Hunt"),CHOOSE(ArtifactsInput!$N$27+1,20,24,28,32,36,40),0)/100)))))/Skills!H13+0.000000001),1)))/Inputs!$B$43),G420*Q420)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13*((R420-1)*IF(Skills!H13&gt;0,INT(Skills!I13/Skills!H13+0.000000001),1)+IF(Skills!H13&gt;0,INT(MIN(Skills!I13,MAX(0,MAX(0,Inputs!$B$43-B449)-((R420-1)*(IF(Inputs!$B$38="pvp",15,MAX(0.1,IF(Inputs!$B$3&gt;=122,3,5)+1/(((20+30*(B444-1)*100/150)/100)*B444)-IF(FALSE=TRUE,Inputs!$B$32,0)))*(1-IF(AND(ArtifactsInput!$M$27,Inputs!$B$4="Chapter Hunt"),CHOOSE(ArtifactsInput!$N$27+1,20,24,28,32,36,40),0)/100)))))/Skills!H13+0.000000001),1)))/Inputs!$B$43),G420*Q420))*IF(Inputs!$B$38="pvp",1,(1+(Inputs!$B$21+Skills!Q13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Skills!A14</f>
        <v/>
      </c>
      <c r="B421">
        <f>Skills!B14</f>
        <v/>
      </c>
      <c r="C421">
        <f>Inputs!$B$3&gt;=110</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t="inlineStr"/>
      <c r="H421" t="inlineStr"/>
      <c r="I421" t="inlineStr">
        <is>
          <t>1</t>
        </is>
      </c>
      <c r="J421" t="inlineStr"/>
      <c r="K421" t="inlineStr"/>
      <c r="L421" t="inlineStr"/>
      <c r="M421" t="inlineStr"/>
      <c r="N421" t="inlineStr"/>
      <c r="O421" t="inlineStr"/>
      <c r="P421" t="inlineStr"/>
      <c r="Q421" t="inlineStr"/>
      <c r="R421" t="inlineStr"/>
      <c r="S421" t="inlineStr"/>
      <c r="T421" t="inlineStr"/>
      <c r="V421" t="inlineStr"/>
    </row>
    <row r="422">
      <c r="A422">
        <f>Skills!A15</f>
        <v/>
      </c>
      <c r="B422">
        <f>Skills!B15</f>
        <v/>
      </c>
      <c r="C422">
        <f>Inputs!$B$3&gt;=74</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Skills!G15*IF(Skills!H15&gt;0,INT(IF(Inputs!$B$38="pvp",MIN(Skills!I15,15),Skills!I15)/Skills!H15+0.000000001),1)</f>
        <v/>
      </c>
      <c r="H422">
        <f>1-(1-Skills!J15/100)^Skills!K15</f>
        <v/>
      </c>
      <c r="I422" t="inlineStr">
        <is>
          <t>1</t>
        </is>
      </c>
      <c r="J422" t="inlineStr"/>
      <c r="K422" t="inlineStr"/>
      <c r="L422" t="inlineStr"/>
      <c r="M422" t="inlineStr"/>
      <c r="N422" t="inlineStr"/>
      <c r="O422">
        <f>(1-Summary!$B$11)*T422+Summary!$B$11*V422</f>
        <v/>
      </c>
      <c r="P422">
        <f>IF(B452=0,0,O422/B452)</f>
        <v/>
      </c>
      <c r="Q422" t="n">
        <v>0</v>
      </c>
      <c r="R422" t="n">
        <v>0</v>
      </c>
      <c r="S422">
        <f>IFERROR(O422/N422,0)</f>
        <v/>
      </c>
      <c r="T422" t="n">
        <v>0</v>
      </c>
      <c r="V422" t="n">
        <v>0</v>
      </c>
    </row>
    <row r="423">
      <c r="A423">
        <f>Skills!A16</f>
        <v/>
      </c>
      <c r="B423">
        <f>Skills!B16</f>
        <v/>
      </c>
      <c r="C423">
        <f>Inputs!$B$3&gt;=74</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Skills!G16*IF(Skills!H16&gt;0,INT(IF(Inputs!$B$38="pvp",MIN(Skills!I16,15),Skills!I16)/Skills!H16+0.000000001),1)</f>
        <v/>
      </c>
      <c r="H423">
        <f>1-(1-Skills!J16/100)^Skills!K16</f>
        <v/>
      </c>
      <c r="I423" t="inlineStr">
        <is>
          <t>1</t>
        </is>
      </c>
      <c r="J423" t="inlineStr"/>
      <c r="K423" t="inlineStr"/>
      <c r="L423" t="inlineStr"/>
      <c r="M423" t="inlineStr"/>
      <c r="N423" t="inlineStr"/>
      <c r="O423">
        <f>(1-Summary!$B$11)*T423+Summary!$B$11*V423</f>
        <v/>
      </c>
      <c r="P423">
        <f>IF(B452=0,0,O423/B452)</f>
        <v/>
      </c>
      <c r="Q423" t="n">
        <v>0</v>
      </c>
      <c r="R423" t="n">
        <v>0</v>
      </c>
      <c r="S423">
        <f>IFERROR(O423/N423,0)</f>
        <v/>
      </c>
      <c r="T423" t="n">
        <v>0</v>
      </c>
      <c r="V423" t="n">
        <v>0</v>
      </c>
    </row>
    <row r="424">
      <c r="A424">
        <f>Skills!A17</f>
        <v/>
      </c>
      <c r="B424">
        <f>Skills!B17</f>
        <v/>
      </c>
      <c r="C424">
        <f>Inputs!$B$3&gt;=117</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Skills!G17*IF(Skills!H17&gt;0,INT(IF(Inputs!$B$38="pvp",MIN(Skills!I17,15),Skills!I17)/Skills!H17+0.000000001),1)</f>
        <v/>
      </c>
      <c r="H424">
        <f>1-(1-Skills!J17/100)^Skills!K17</f>
        <v/>
      </c>
      <c r="I424" t="inlineStr">
        <is>
          <t>1</t>
        </is>
      </c>
      <c r="J424" t="inlineStr"/>
      <c r="K424" t="inlineStr"/>
      <c r="L424" t="inlineStr"/>
      <c r="M424" t="inlineStr"/>
      <c r="N424" t="inlineStr"/>
      <c r="O424">
        <f>(1-Summary!$B$11)*T424+Summary!$B$11*V424</f>
        <v/>
      </c>
      <c r="P424">
        <f>IF(B452=0,0,O424/B452)</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Skills!G18*IF(Skills!H18&gt;0,INT(IF(Inputs!$B$38="pvp",MIN(Skills!I18,15),Skills!I18)/Skills!H18+0.000000001),1)</f>
        <v/>
      </c>
      <c r="H425">
        <f>1-(1-Skills!J18/100)^Skills!K18</f>
        <v/>
      </c>
      <c r="I425" t="inlineStr">
        <is>
          <t>1</t>
        </is>
      </c>
      <c r="J425" t="inlineStr"/>
      <c r="K425" t="inlineStr"/>
      <c r="L425" t="inlineStr"/>
      <c r="M425" t="inlineStr"/>
      <c r="N425" t="inlineStr"/>
      <c r="O425">
        <f>(1-Summary!$B$11)*T425+Summary!$B$11*V425</f>
        <v/>
      </c>
      <c r="P425">
        <f>IF(B452=0,0,O425/B452)</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Inputs!$B$3&gt;=66</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Skills!G19*IF(Skills!H19&gt;0,INT(IF(Inputs!$B$38="pvp",MIN(Skills!I19,15),Skills!I19)/Skills!H19+0.000000001),1)</f>
        <v/>
      </c>
      <c r="H426">
        <f>1-(1-Skills!J19/100)^Skills!K19</f>
        <v/>
      </c>
      <c r="I426" t="inlineStr">
        <is>
          <t>1</t>
        </is>
      </c>
      <c r="J426" t="inlineStr"/>
      <c r="K426" t="inlineStr"/>
      <c r="L426" t="inlineStr"/>
      <c r="M426" t="inlineStr"/>
      <c r="N426" t="inlineStr"/>
      <c r="O426">
        <f>(1-Summary!$B$11)*T426+Summary!$B$11*V426</f>
        <v/>
      </c>
      <c r="P426">
        <f>IF(B452=0,0,O426/B452)</f>
        <v/>
      </c>
      <c r="Q426" t="n">
        <v>0</v>
      </c>
      <c r="R426" t="n">
        <v>0</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Skills!G20*IF(Skills!H20&gt;0,INT(IF(Inputs!$B$38="pvp",MIN(Skills!I20,15),Skills!I20)/Skills!H20+0.000000001),1)</f>
        <v/>
      </c>
      <c r="H427">
        <f>1-(1-Skills!J20/100)^Skills!K20</f>
        <v/>
      </c>
      <c r="I427" t="inlineStr">
        <is>
          <t>1</t>
        </is>
      </c>
      <c r="J427" t="inlineStr"/>
      <c r="K427" t="inlineStr"/>
      <c r="L427" t="inlineStr"/>
      <c r="M427" t="inlineStr"/>
      <c r="N427" t="inlineStr"/>
      <c r="O427">
        <f>(1-Summary!$B$11)*T427+Summary!$B$11*V427</f>
        <v/>
      </c>
      <c r="P427">
        <f>IF(B452=0,0,O427/B452)</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Skills!G21*IF(Skills!H21&gt;0,INT(IF(Inputs!$B$38="pvp",MIN(Skills!I21,15),Skills!I21)/Skills!H21+0.000000001),1)</f>
        <v/>
      </c>
      <c r="H428">
        <f>1-(1-Skills!J21/100)^Skills!K21</f>
        <v/>
      </c>
      <c r="I428" t="inlineStr">
        <is>
          <t>1</t>
        </is>
      </c>
      <c r="J428" t="inlineStr"/>
      <c r="K428" t="inlineStr"/>
      <c r="L428" t="inlineStr"/>
      <c r="M428" t="inlineStr"/>
      <c r="N428" t="inlineStr"/>
      <c r="O428">
        <f>(1-Summary!$B$11)*T428+Summary!$B$11*V428</f>
        <v/>
      </c>
      <c r="P428">
        <f>IF(B452=0,0,O428/B452)</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Inputs!$B$3&gt;=15</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Skills!G22*IF(Skills!H22&gt;0,INT(IF(Inputs!$B$38="pvp",MIN(Skills!I22,15),Skills!I22)/Skills!H22+0.000000001),1)</f>
        <v/>
      </c>
      <c r="H429">
        <f>1-(1-Skills!J22/100)^Skills!K22</f>
        <v/>
      </c>
      <c r="I429" t="inlineStr">
        <is>
          <t>1</t>
        </is>
      </c>
      <c r="J429" t="inlineStr"/>
      <c r="K429" t="inlineStr"/>
      <c r="L429" t="inlineStr"/>
      <c r="M429" t="inlineStr"/>
      <c r="N429" t="inlineStr"/>
      <c r="O429">
        <f>(1-Summary!$B$11)*T429+Summary!$B$11*V429</f>
        <v/>
      </c>
      <c r="P429">
        <f>IF(B452=0,0,O429/B452)</f>
        <v/>
      </c>
      <c r="Q429" t="n">
        <v>0</v>
      </c>
      <c r="R429" t="n">
        <v>0</v>
      </c>
      <c r="S429">
        <f>IFERROR(O429/N429,0)</f>
        <v/>
      </c>
      <c r="T429" t="n">
        <v>0</v>
      </c>
      <c r="V429" t="n">
        <v>0</v>
      </c>
    </row>
    <row r="430">
      <c r="A430">
        <f>Skills!A23</f>
        <v/>
      </c>
      <c r="B430">
        <f>Skills!B23</f>
        <v/>
      </c>
      <c r="C430">
        <f>Inputs!$B$3&gt;=10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Skills!G23*IF(Skills!H23&gt;0,INT(IF(Inputs!$B$38="pvp",MIN(Skills!I23,15),Skills!I23)/Skills!H23+0.000000001),1)</f>
        <v/>
      </c>
      <c r="H430">
        <f>1-(1-Skills!J23/100)^Skills!K23</f>
        <v/>
      </c>
      <c r="I430" t="inlineStr">
        <is>
          <t>1</t>
        </is>
      </c>
      <c r="J430" t="inlineStr"/>
      <c r="K430" t="inlineStr"/>
      <c r="L430" t="inlineStr"/>
      <c r="M430" t="inlineStr"/>
      <c r="N430" t="inlineStr"/>
      <c r="O430">
        <f>(1-Summary!$B$11)*T430+Summary!$B$11*V430</f>
        <v/>
      </c>
      <c r="P430">
        <f>IF(B452=0,0,O430/B452)</f>
        <v/>
      </c>
      <c r="Q430" t="n">
        <v>0</v>
      </c>
      <c r="R430" t="n">
        <v>0</v>
      </c>
      <c r="S430">
        <f>IFERROR(O430/N430,0)</f>
        <v/>
      </c>
      <c r="T430" t="n">
        <v>0</v>
      </c>
      <c r="V430" t="n">
        <v>0</v>
      </c>
    </row>
    <row r="431">
      <c r="A431">
        <f>Skills!A24</f>
        <v/>
      </c>
      <c r="B431">
        <f>Skills!B24</f>
        <v/>
      </c>
      <c r="C431">
        <f>Inputs!$B$3&gt;=33</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Skills!G24*IF(Skills!H24&gt;0,INT(IF(Inputs!$B$38="pvp",MIN(Skills!I24,15),Skills!I24)/Skills!H24+0.000000001),1)</f>
        <v/>
      </c>
      <c r="H431">
        <f>1-(1-Skills!J24/100)^Skills!K24</f>
        <v/>
      </c>
      <c r="I431" t="inlineStr">
        <is>
          <t>1</t>
        </is>
      </c>
      <c r="J431" t="inlineStr"/>
      <c r="K431" t="inlineStr"/>
      <c r="L431" t="inlineStr"/>
      <c r="M431" t="inlineStr"/>
      <c r="N431" t="inlineStr"/>
      <c r="O431">
        <f>(1-Summary!$B$11)*T431+Summary!$B$11*V431</f>
        <v/>
      </c>
      <c r="P431">
        <f>IF(B452=0,0,O431/B452)</f>
        <v/>
      </c>
      <c r="Q431" t="n">
        <v>0</v>
      </c>
      <c r="R431" t="n">
        <v>0</v>
      </c>
      <c r="S431">
        <f>IFERROR(O431/N431,0)</f>
        <v/>
      </c>
      <c r="T431" t="n">
        <v>0</v>
      </c>
      <c r="V431" t="n">
        <v>0</v>
      </c>
    </row>
    <row r="432">
      <c r="A432">
        <f>Skills!A25</f>
        <v/>
      </c>
      <c r="B432">
        <f>Skills!B25</f>
        <v/>
      </c>
      <c r="C432">
        <f>Inputs!$B$3&gt;=38</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Skills!G25*IF(Skills!H25&gt;0,INT(IF(Inputs!$B$38="pvp",MIN(Skills!I25,15),Skills!I25)/Skills!H25+0.000000001),1)</f>
        <v/>
      </c>
      <c r="H432">
        <f>1-(1-Skills!J25/100)^Skills!K25</f>
        <v/>
      </c>
      <c r="I432" t="inlineStr">
        <is>
          <t>1</t>
        </is>
      </c>
      <c r="J432" t="inlineStr"/>
      <c r="K432" t="inlineStr"/>
      <c r="L432" t="inlineStr"/>
      <c r="M432" t="inlineStr"/>
      <c r="N432" t="inlineStr"/>
      <c r="O432">
        <f>(1-Summary!$B$11)*T432+Summary!$B$11*V432</f>
        <v/>
      </c>
      <c r="P432">
        <f>IF(B452=0,0,O432/B452)</f>
        <v/>
      </c>
      <c r="Q432" t="n">
        <v>0</v>
      </c>
      <c r="R432" t="n">
        <v>0</v>
      </c>
      <c r="S432">
        <f>IFERROR(O432/N432,0)</f>
        <v/>
      </c>
      <c r="T432" t="n">
        <v>0</v>
      </c>
      <c r="V432" t="n">
        <v>0</v>
      </c>
    </row>
    <row r="433">
      <c r="A433">
        <f>Skills!A26</f>
        <v/>
      </c>
      <c r="B433">
        <f>Skills!B26</f>
        <v/>
      </c>
      <c r="C433">
        <f>Inputs!$B$3&gt;=43</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Skills!G26*IF(Skills!H26&gt;0,INT(IF(Inputs!$B$38="pvp",MIN(Skills!I26,15),Skills!I26)/Skills!H26+0.000000001),1)</f>
        <v/>
      </c>
      <c r="H433">
        <f>1-(1-Skills!J26/100)^Skills!K26</f>
        <v/>
      </c>
      <c r="I433" t="inlineStr">
        <is>
          <t>1</t>
        </is>
      </c>
      <c r="J433" t="inlineStr"/>
      <c r="K433" t="inlineStr"/>
      <c r="L433" t="inlineStr"/>
      <c r="M433" t="inlineStr"/>
      <c r="N433" t="inlineStr"/>
      <c r="O433">
        <f>(1-Summary!$B$11)*T433+Summary!$B$11*V433</f>
        <v/>
      </c>
      <c r="P433">
        <f>IF(B452=0,0,O433/B452)</f>
        <v/>
      </c>
      <c r="Q433" t="n">
        <v>0</v>
      </c>
      <c r="R433" t="n">
        <v>0</v>
      </c>
      <c r="S433">
        <f>IFERROR(O433/N433,0)</f>
        <v/>
      </c>
      <c r="T433" t="n">
        <v>0</v>
      </c>
      <c r="V433" t="n">
        <v>0</v>
      </c>
    </row>
    <row r="434">
      <c r="A434">
        <f>Skills!A27</f>
        <v/>
      </c>
      <c r="B434">
        <f>Skills!B27</f>
        <v/>
      </c>
      <c r="C434">
        <f>Inputs!$B$3&gt;=75</f>
        <v/>
      </c>
      <c r="D434">
        <f>IF(Skills!C27=1,60+Inputs!$B$25+Inputs!$B$29,IF(Skills!C27=2,90+Inputs!$B$26+Inputs!$B$29,IF(Skills!C27=3,120+Inputs!$B$27+Inputs!$B$29,MAX(0,(Inputs!$B$3-100)*3)+Inputs!$B$28+Inputs!$B$29)))</f>
        <v/>
      </c>
      <c r="E434">
        <f>INDEX(FactorTable!$B$2:$Y$301, MATCH(ROUND(MIN(300,MAX(1,D434)),0), FactorTable!$A$2:$A$301,0), Skills!M27+1)</f>
        <v/>
      </c>
      <c r="F434">
        <f>IF(Skills!N27=TRUE,(Skills!L27/10)*(E434/1000),Skills!L27/10)+Skills!O27</f>
        <v/>
      </c>
      <c r="G434">
        <f>Skills!G27*IF(Skills!H27&gt;0,INT(IF(Inputs!$B$38="pvp",MIN(Skills!I27,15),Skills!I27)/Skills!H27+0.000000001),1)</f>
        <v/>
      </c>
      <c r="H434">
        <f>1-(1-Skills!J27/100)^Skills!K27</f>
        <v/>
      </c>
      <c r="I434" t="inlineStr">
        <is>
          <t>1</t>
        </is>
      </c>
      <c r="J434" t="inlineStr"/>
      <c r="K434" t="inlineStr"/>
      <c r="L434" t="inlineStr"/>
      <c r="M434" t="inlineStr"/>
      <c r="N434" t="inlineStr"/>
      <c r="O434">
        <f>(1-Summary!$B$11)*T434+Summary!$B$11*V434</f>
        <v/>
      </c>
      <c r="P434">
        <f>IF(B452=0,0,O434/B452)</f>
        <v/>
      </c>
      <c r="Q434" t="n">
        <v>0</v>
      </c>
      <c r="R434" t="n">
        <v>0</v>
      </c>
      <c r="S434">
        <f>IFERROR(O434/N434,0)</f>
        <v/>
      </c>
      <c r="T434" t="n">
        <v>0</v>
      </c>
      <c r="V434" t="n">
        <v>0</v>
      </c>
    </row>
    <row r="435">
      <c r="A435">
        <f>Skills!A28</f>
        <v/>
      </c>
      <c r="B435">
        <f>Skills!B28</f>
        <v/>
      </c>
      <c r="C435">
        <f>Inputs!$B$3&gt;=125</f>
        <v/>
      </c>
      <c r="D435">
        <f>IF(Skills!C28=1,60+Inputs!$B$25+Inputs!$B$29,IF(Skills!C28=2,90+Inputs!$B$26+Inputs!$B$29,IF(Skills!C28=3,120+Inputs!$B$27+Inputs!$B$29,MAX(0,(Inputs!$B$3-100)*3)+Inputs!$B$28+Inputs!$B$29)))</f>
        <v/>
      </c>
      <c r="E435">
        <f>INDEX(FactorTable!$B$2:$Y$301, MATCH(ROUND(MIN(300,MAX(1,D435)),0), FactorTable!$A$2:$A$301,0), Skills!M28+1)</f>
        <v/>
      </c>
      <c r="F435">
        <f>IF(Skills!N28=TRUE,(Skills!L28/10)*(E435/1000),Skills!L28/10)+Skills!O28</f>
        <v/>
      </c>
      <c r="G435">
        <f>Skills!G28*IF(Skills!H28&gt;0,INT(IF(Inputs!$B$38="pvp",MIN(Skills!I28,15),Skills!I28)/Skills!H28+0.000000001),1)</f>
        <v/>
      </c>
      <c r="H435">
        <f>1-(1-Skills!J28/100)^Skills!K28</f>
        <v/>
      </c>
      <c r="I435" t="inlineStr">
        <is>
          <t>1</t>
        </is>
      </c>
      <c r="J435" t="inlineStr"/>
      <c r="K435" t="inlineStr"/>
      <c r="L435" t="inlineStr"/>
      <c r="M435" t="inlineStr"/>
      <c r="N435" t="inlineStr"/>
      <c r="O435">
        <f>(1-Summary!$B$11)*T435+Summary!$B$11*V435</f>
        <v/>
      </c>
      <c r="P435">
        <f>IF(B452=0,0,O435/B452)</f>
        <v/>
      </c>
      <c r="Q435" t="n">
        <v>0</v>
      </c>
      <c r="R435" t="n">
        <v>0</v>
      </c>
      <c r="S435">
        <f>IFERROR(O435/N435,0)</f>
        <v/>
      </c>
      <c r="T435" t="n">
        <v>0</v>
      </c>
      <c r="V435" t="n">
        <v>0</v>
      </c>
    </row>
    <row r="436">
      <c r="A436">
        <f>Skills!A29</f>
        <v/>
      </c>
      <c r="B436">
        <f>Skills!B29</f>
        <v/>
      </c>
      <c r="C436">
        <f>Inputs!$B$3&gt;=125</f>
        <v/>
      </c>
      <c r="D436">
        <f>IF(Skills!C29=1,60+Inputs!$B$25+Inputs!$B$29,IF(Skills!C29=2,90+Inputs!$B$26+Inputs!$B$29,IF(Skills!C29=3,120+Inputs!$B$27+Inputs!$B$29,MAX(0,(Inputs!$B$3-100)*3)+Inputs!$B$28+Inputs!$B$29)))</f>
        <v/>
      </c>
      <c r="E436">
        <f>INDEX(FactorTable!$B$2:$Y$301, MATCH(ROUND(MIN(300,MAX(1,D436)),0), FactorTable!$A$2:$A$301,0), Skills!M29+1)</f>
        <v/>
      </c>
      <c r="F436">
        <f>IF(Skills!N29=TRUE,(Skills!L29/10)*(E436/1000),Skills!L29/10)+Skills!O29</f>
        <v/>
      </c>
      <c r="G436">
        <f>Skills!G29*IF(Skills!H29&gt;0,INT(IF(Inputs!$B$38="pvp",MIN(Skills!I29,15),Skills!I29)/Skills!H29+0.000000001),1)</f>
        <v/>
      </c>
      <c r="H436">
        <f>1-(1-Skills!J29/100)^Skills!K29</f>
        <v/>
      </c>
      <c r="I436" t="inlineStr">
        <is>
          <t>1</t>
        </is>
      </c>
      <c r="J436" t="inlineStr"/>
      <c r="K436" t="inlineStr"/>
      <c r="L436" t="inlineStr"/>
      <c r="M436" t="inlineStr"/>
      <c r="N436" t="inlineStr"/>
      <c r="O436">
        <f>(1-Summary!$B$11)*T436+Summary!$B$11*V436</f>
        <v/>
      </c>
      <c r="P436">
        <f>IF(B452=0,0,O436/B452)</f>
        <v/>
      </c>
      <c r="Q436" t="n">
        <v>0</v>
      </c>
      <c r="R436" t="n">
        <v>0</v>
      </c>
      <c r="S436">
        <f>IFERROR(O436/N436,0)</f>
        <v/>
      </c>
      <c r="T436" t="n">
        <v>0</v>
      </c>
      <c r="V436" t="n">
        <v>0</v>
      </c>
    </row>
    <row r="437">
      <c r="A437">
        <f>Skills!A30</f>
        <v/>
      </c>
      <c r="B437">
        <f>Skills!B30</f>
        <v/>
      </c>
      <c r="C437">
        <f>Inputs!$B$3&gt;=120</f>
        <v/>
      </c>
      <c r="D437">
        <f>IF(Skills!C30=1,60+Inputs!$B$25+Inputs!$B$29,IF(Skills!C30=2,90+Inputs!$B$26+Inputs!$B$29,IF(Skills!C30=3,120+Inputs!$B$27+Inputs!$B$29,MAX(0,(Inputs!$B$3-100)*3)+Inputs!$B$28+Inputs!$B$29)))</f>
        <v/>
      </c>
      <c r="E437">
        <f>INDEX(FactorTable!$B$2:$Y$301, MATCH(ROUND(MIN(300,MAX(1,D437)),0), FactorTable!$A$2:$A$301,0), Skills!M30+1)</f>
        <v/>
      </c>
      <c r="F437">
        <f>IF(Skills!N30=TRUE,(Skills!L30/10)*(E437/1000),Skills!L30/10)+Skills!O30</f>
        <v/>
      </c>
      <c r="G437">
        <f>Skills!G30*IF(Skills!H30&gt;0,INT(IF(Inputs!$B$38="pvp",MIN(Skills!I30,15),Skills!I30)/Skills!H30+0.000000001),1)</f>
        <v/>
      </c>
      <c r="H437">
        <f>1-(1-Skills!J30/100)^Skills!K30</f>
        <v/>
      </c>
      <c r="I437" t="inlineStr">
        <is>
          <t>1</t>
        </is>
      </c>
      <c r="J437" t="inlineStr"/>
      <c r="K437" t="inlineStr"/>
      <c r="L437" t="inlineStr"/>
      <c r="M437" t="inlineStr"/>
      <c r="N437" t="inlineStr"/>
      <c r="O437">
        <f>(1-Summary!$B$11)*T437+Summary!$B$11*V437</f>
        <v/>
      </c>
      <c r="P437">
        <f>IF(B452=0,0,O437/B452)</f>
        <v/>
      </c>
      <c r="Q437" t="n">
        <v>0</v>
      </c>
      <c r="R437" t="n">
        <v>0</v>
      </c>
      <c r="S437">
        <f>IFERROR(O437/N437,0)</f>
        <v/>
      </c>
      <c r="T437" t="n">
        <v>0</v>
      </c>
      <c r="V437" t="n">
        <v>0</v>
      </c>
    </row>
    <row r="438">
      <c r="A438">
        <f>Skills!A31</f>
        <v/>
      </c>
      <c r="B438">
        <f>Skills!B31</f>
        <v/>
      </c>
      <c r="C438">
        <f>Inputs!$B$3&gt;=120</f>
        <v/>
      </c>
      <c r="D438">
        <f>IF(Skills!C31=1,60+Inputs!$B$25+Inputs!$B$29,IF(Skills!C31=2,90+Inputs!$B$26+Inputs!$B$29,IF(Skills!C31=3,120+Inputs!$B$27+Inputs!$B$29,MAX(0,(Inputs!$B$3-100)*3)+Inputs!$B$28+Inputs!$B$29)))</f>
        <v/>
      </c>
      <c r="E438">
        <f>INDEX(FactorTable!$B$2:$Y$301, MATCH(ROUND(MIN(300,MAX(1,D438)),0), FactorTable!$A$2:$A$301,0), Skills!M31+1)</f>
        <v/>
      </c>
      <c r="F438">
        <f>IF(Skills!N31=TRUE,(Skills!L31/10)*(E438/1000),Skills!L31/10)+Skills!O31</f>
        <v/>
      </c>
      <c r="G438">
        <f>Skills!G31*IF(Skills!H31&gt;0,INT(IF(Inputs!$B$38="pvp",MIN(Skills!I31,15),Skills!I31)/Skills!H31+0.000000001),1)</f>
        <v/>
      </c>
      <c r="H438">
        <f>1-(1-Skills!J31/100)^Skills!K31</f>
        <v/>
      </c>
      <c r="I438" t="inlineStr">
        <is>
          <t>1</t>
        </is>
      </c>
      <c r="J438" t="inlineStr"/>
      <c r="K438" t="inlineStr"/>
      <c r="L438" t="inlineStr"/>
      <c r="M438" t="inlineStr"/>
      <c r="N438" t="inlineStr"/>
      <c r="O438">
        <f>(1-Summary!$B$11)*T438+Summary!$B$11*V438</f>
        <v/>
      </c>
      <c r="P438">
        <f>IF(B452=0,0,O438/B452)</f>
        <v/>
      </c>
      <c r="Q438" t="n">
        <v>0</v>
      </c>
      <c r="R438" t="n">
        <v>0</v>
      </c>
      <c r="S438">
        <f>IFERROR(O438/N438,0)</f>
        <v/>
      </c>
      <c r="T438" t="n">
        <v>0</v>
      </c>
      <c r="V438" t="n">
        <v>0</v>
      </c>
    </row>
    <row r="439">
      <c r="A439">
        <f>Skills!A32</f>
        <v/>
      </c>
      <c r="B439">
        <f>Skills!B32</f>
        <v/>
      </c>
      <c r="C439">
        <f>Inputs!$B$3&gt;=45</f>
        <v/>
      </c>
      <c r="D439">
        <f>IF(Skills!C32=1,60+Inputs!$B$25+Inputs!$B$29,IF(Skills!C32=2,90+Inputs!$B$26+Inputs!$B$29,IF(Skills!C32=3,120+Inputs!$B$27+Inputs!$B$29,MAX(0,(Inputs!$B$3-100)*3)+Inputs!$B$28+Inputs!$B$29)))</f>
        <v/>
      </c>
      <c r="E439">
        <f>INDEX(FactorTable!$B$2:$Y$301, MATCH(ROUND(MIN(300,MAX(1,D439)),0), FactorTable!$A$2:$A$301,0), Skills!M32+1)</f>
        <v/>
      </c>
      <c r="F439">
        <f>IF(Skills!N32=TRUE,(Skills!L32/10)*(E439/1000),Skills!L32/10)+Skills!O32</f>
        <v/>
      </c>
      <c r="G439">
        <f>Skills!G32*IF(Skills!H32&gt;0,INT(IF(Inputs!$B$38="pvp",MIN(Skills!I32,15),Skills!I32)/Skills!H32+0.000000001),1)</f>
        <v/>
      </c>
      <c r="H439">
        <f>1-(1-Skills!J32/100)^Skills!K32</f>
        <v/>
      </c>
      <c r="I439" t="inlineStr">
        <is>
          <t>1</t>
        </is>
      </c>
      <c r="J439" t="inlineStr"/>
      <c r="K439" t="inlineStr"/>
      <c r="L439" t="inlineStr"/>
      <c r="M439" t="inlineStr"/>
      <c r="N439" t="inlineStr"/>
      <c r="O439">
        <f>(1-Summary!$B$11)*T439+Summary!$B$11*V439</f>
        <v/>
      </c>
      <c r="P439">
        <f>IF(B452=0,0,O439/B452)</f>
        <v/>
      </c>
      <c r="Q439" t="n">
        <v>0</v>
      </c>
      <c r="R439" t="n">
        <v>0</v>
      </c>
      <c r="S439">
        <f>IFERROR(O439/N439,0)</f>
        <v/>
      </c>
      <c r="T439" t="n">
        <v>0</v>
      </c>
      <c r="V439" t="n">
        <v>0</v>
      </c>
    </row>
    <row r="441">
      <c r="A441" t="inlineStr">
        <is>
          <t>Attack% Bucket Multiplier</t>
        </is>
      </c>
      <c r="B441">
        <f>(1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2">
      <c r="A442" t="inlineStr">
        <is>
          <t>Global Crit Rate Bonus %</t>
        </is>
      </c>
      <c r="B442" t="n">
        <v>0</v>
      </c>
    </row>
    <row r="443">
      <c r="A443" t="inlineStr">
        <is>
          <t>Attack Speed Buff Bonus %</t>
        </is>
      </c>
      <c r="B443">
        <f>((C428=TRUE)*F428*IF(AND(Inputs!$B$38&lt;&gt;"pvp",Inputs!$B$43&gt;0),(((R428-1)*MIN((Skills!T21*(1+Inputs!$B$34/100)),(1/Q428))+MIN((Skills!T21*(1+Inputs!$B$34/100)),MAX(0,Inputs!$B$43-((R428-1)*(1/Q428)))))/Inputs!$B$43),IF(Inputs!$B$38="pvp",MIN((Skills!T21*(1+Inputs!$B$34/100)),15)/15,MIN(1,(Skills!T21*(1+Inputs!$B$34/100))/(1/Q428)))))</f>
        <v/>
      </c>
    </row>
    <row r="444">
      <c r="A444" t="inlineStr">
        <is>
          <t>Actions Per Second</t>
        </is>
      </c>
      <c r="B444">
        <f>1+MIN(150,150*(1-(1-(Inputs!$B$11+((C430=TRUE)*(F430-Calc!F23))+((C431=TRUE)*(F431-Calc!F24)))/150)*(1-B443/150)))/100</f>
        <v/>
      </c>
    </row>
    <row r="445">
      <c r="A445" t="inlineStr">
        <is>
          <t>Skill + Buff Cast Rate</t>
        </is>
      </c>
      <c r="B445">
        <f>IF(AND(Inputs!$B$38&lt;&gt;"pvp",Inputs!$B$43&gt;0),SUMPRODUCT((Skills!E2:E32=TRUE)*(C409:C439=TRUE)*R409:R439*Skills!F2:F32)/Inputs!$B$43,SUMPRODUCT((Skills!E2:E32=TRUE)*(C409:C439=TRUE)*Q409:Q439*Skills!F2:F32))</f>
        <v/>
      </c>
    </row>
    <row r="446">
      <c r="A446" t="inlineStr">
        <is>
          <t>Arrow Stream Casts Per Second</t>
        </is>
      </c>
      <c r="B446">
        <f>MAX(0,B444-B445)</f>
        <v/>
      </c>
    </row>
    <row r="447">
      <c r="A447" t="inlineStr">
        <is>
          <t>Global Critical Damage Bonus % (Sharp Eyes + Concentration)</t>
        </is>
      </c>
      <c r="B447">
        <f>(C425=TRUE)*F425*IF(AND(Inputs!$B$38&lt;&gt;"pvp",Inputs!$B$43&gt;0),(((R425-1)*MIN((Skills!T18*(1+Inputs!$B$34/100)),(1/Q425))+MIN((Skills!T18*(1+Inputs!$B$34/100)),MAX(0,Inputs!$B$43-((R425-1)*(1/Q425)))))/Inputs!$B$43),IF(Inputs!$B$38="pvp",MIN((Skills!T18*(1+Inputs!$B$34/100)),15)/15,MIN(1,(Skills!T18*(1+Inputs!$B$34/100))/(1/Q425))))+(C426=TRUE)*7*F426</f>
        <v/>
      </c>
    </row>
    <row r="448">
      <c r="A448" t="inlineStr">
        <is>
          <t>Global Final Damage Bonus % (Mortal Blow)</t>
        </is>
      </c>
      <c r="B448">
        <f>(C427=TRUE)*F427</f>
        <v/>
      </c>
    </row>
    <row r="449">
      <c r="A449" t="inlineStr">
        <is>
          <t>Buff-Casting Startup Delay (s, fixed-duration only)</t>
        </is>
      </c>
      <c r="B449">
        <f>IF(AND(Inputs!$B$38&lt;&gt;"pvp",Inputs!$B$43&gt;0),SUMPRODUCT((Skills!T2:T32&gt;0)*(Skills!E2:E32=TRUE)*(C409:C439=TRUE))/B444,0)</f>
        <v/>
      </c>
    </row>
    <row r="450">
      <c r="A450" t="inlineStr">
        <is>
          <t>Boss-Only Total DPS (this block's swept value)</t>
        </is>
      </c>
      <c r="B450">
        <f>SUM(T409:T439)</f>
        <v/>
      </c>
    </row>
    <row r="451">
      <c r="A451" t="inlineStr">
        <is>
          <t>Normal-Only Total DPS (this block's swept value)</t>
        </is>
      </c>
      <c r="B451">
        <f>SUM(V409:V439)</f>
        <v/>
      </c>
    </row>
    <row r="452">
      <c r="A452" s="6" t="inlineStr">
        <is>
          <t>TOTAL DPS</t>
        </is>
      </c>
      <c r="B452" s="6">
        <f>SUM(O409:O439)</f>
        <v/>
      </c>
    </row>
    <row r="455">
      <c r="A455" s="6" t="inlineStr">
        <is>
          <t>Stat: MIN_DAMAGE %</t>
        </is>
      </c>
    </row>
    <row r="456">
      <c r="A456" s="5" t="inlineStr">
        <is>
          <t>Key</t>
        </is>
      </c>
      <c r="B456" s="5" t="inlineStr">
        <is>
          <t>Name</t>
        </is>
      </c>
      <c r="C456" s="5" t="inlineStr">
        <is>
          <t>Unlocked</t>
        </is>
      </c>
      <c r="D456" s="5" t="inlineStr">
        <is>
          <t>InputLevel</t>
        </is>
      </c>
      <c r="E456" s="5" t="inlineStr">
        <is>
          <t>Factor</t>
        </is>
      </c>
      <c r="F456" s="5" t="inlineStr">
        <is>
          <t>CoefficientPercent</t>
        </is>
      </c>
      <c r="G456" s="5" t="inlineStr">
        <is>
          <t>EffectiveHits</t>
        </is>
      </c>
      <c r="H456" s="5" t="inlineStr">
        <is>
          <t>ProcProbability</t>
        </is>
      </c>
      <c r="I456" s="5" t="inlineStr">
        <is>
          <t>MapleHeroMultiplier</t>
        </is>
      </c>
      <c r="J456" s="5" t="inlineStr">
        <is>
          <t>BaseDamage</t>
        </is>
      </c>
      <c r="K456" s="5" t="inlineStr">
        <is>
          <t>BaseHitDamage</t>
        </is>
      </c>
      <c r="L456" s="5" t="inlineStr">
        <is>
          <t>NonCritAvg</t>
        </is>
      </c>
      <c r="M456" s="5" t="inlineStr">
        <is>
          <t>CritAvg</t>
        </is>
      </c>
      <c r="N456" s="5" t="inlineStr">
        <is>
          <t>ExpectedDamage(perHit)</t>
        </is>
      </c>
      <c r="O456" s="5" t="inlineStr">
        <is>
          <t>DPS</t>
        </is>
      </c>
      <c r="P456" s="5" t="inlineStr">
        <is>
          <t>% of Total</t>
        </is>
      </c>
      <c r="Q456" s="5" t="inlineStr">
        <is>
          <t>InvCooldown</t>
        </is>
      </c>
      <c r="R456" s="5" t="inlineStr">
        <is>
          <t>CastsInFight</t>
        </is>
      </c>
      <c r="S456" s="5" t="inlineStr">
        <is>
          <t>HitRate(perSec)</t>
        </is>
      </c>
      <c r="U456" t="inlineStr">
        <is>
          <t>helpers</t>
        </is>
      </c>
    </row>
    <row r="457">
      <c r="A457">
        <f>Skills!A2</f>
        <v/>
      </c>
      <c r="B457">
        <f>Skills!B2</f>
        <v/>
      </c>
      <c r="C457">
        <f>Inputs!$B$3&gt;=100</f>
        <v/>
      </c>
      <c r="D457" t="inlineStr"/>
      <c r="E457" t="inlineStr"/>
      <c r="F457">
        <f>U459+Skills!O2</f>
        <v/>
      </c>
      <c r="G457">
        <f>Skills!G2*IF(Skills!H2&gt;0,INT(IF(Inputs!$B$38="pvp",MIN(Skills!I2,15),Skills!I2)/Skills!H2+0.000000001),1)</f>
        <v/>
      </c>
      <c r="H457">
        <f>1-(1-Skills!J2/100)^Skills!K2</f>
        <v/>
      </c>
      <c r="I457" t="inlineStr">
        <is>
          <t>1</t>
        </is>
      </c>
      <c r="J457">
        <f>((Inputs!$B$6*(1+Inputs!$B$7/100))+(((Inputs!$B$12*(1+Inputs!$B$13/100))-(Inputs!$B$12*(1+Inputs!$B$13/100)))+0.25*(Inputs!$B$14-Inputs!$B$14))*(1+Inputs!$B$7/100))*(F457/100)</f>
        <v/>
      </c>
      <c r="K457">
        <f>J457*(1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481=TRUE)*(F481-Calc!F26)),(Inputs!$B$23+((C486=TRUE)*(F486-Calc!F31))+(IF(ArtifactsInput!$M$15,CHOOSE(ArtifactsInput!$N$15+1,25,30,35,40,45,50)/100*(Inputs!$B$11-Inputs!$B$11),0))))/100+(Inputs!$B$23+((C486=TRUE)*(F486-Calc!F31))+(IF(ArtifactsInput!$M$15,CHOOSE(ArtifactsInput!$N$15+1,25,30,35,40,45,50)/100*(Inputs!$B$11-Inputs!$B$11),0)))/100)/2</f>
        <v/>
      </c>
      <c r="M457">
        <f>L457*(1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IF(B500=0,0,O457/B500)</f>
        <v/>
      </c>
      <c r="Q457" t="n">
        <v>0</v>
      </c>
      <c r="R457" t="n">
        <v>0</v>
      </c>
      <c r="S457">
        <f>IFERROR(O457/N457,0)</f>
        <v/>
      </c>
      <c r="T457">
        <f>IF(C457,(Skills!G2*N457*B494)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7">
        <f>MAX(0,(Inputs!$B$3-100)*3)+Inputs!$B$28+Inputs!$B$29</f>
        <v/>
      </c>
      <c r="V457">
        <f>IF(C457,(Skills!G2*N457*B494)*IF(Inputs!$B$38="pvp",1,(1+(Inputs!$B$21+Skills!Q2+(IF(ArtifactsInput!$M$33,CHOOSE(ArtifactsInput!$N$33+1,30,36,42,48,54,60),0))+(IF(AND(ArtifactsInput!$M$35,Inputs!$B$4&lt;&gt;"Chapter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Skills!A3</f>
        <v/>
      </c>
      <c r="B458">
        <f>Skills!B3</f>
        <v/>
      </c>
      <c r="C458">
        <f>Inputs!$B$3&gt;=50</f>
        <v/>
      </c>
      <c r="D458">
        <f>IF(Skills!C3=1,60+Inputs!$B$25+Inputs!$B$29,IF(Skills!C3=2,90+Inputs!$B$26+Inputs!$B$29,IF(Skills!C3=3,120+Inputs!$B$27+Inputs!$B$29,MAX(0,(Inputs!$B$3-100)*3)+Inputs!$B$28+Inputs!$B$29)))</f>
        <v/>
      </c>
      <c r="E458">
        <f>INDEX(FactorTable!$B$2:$Y$301, MATCH(ROUND(MIN(300,MAX(1,D458)),0), FactorTable!$A$2:$A$301,0), Skills!M3+1)</f>
        <v/>
      </c>
      <c r="F458">
        <f>IF(Skills!N3=TRUE,(Skills!L3/10)*(E458/1000),Skills!L3/10)+Skills!O3</f>
        <v/>
      </c>
      <c r="G458">
        <f>Skills!G3*IF(Skills!H3&gt;0,INT(IF(Inputs!$B$38="pvp",MIN(Skills!I3,15),Skills!I3)/Skills!H3+0.000000001),1)</f>
        <v/>
      </c>
      <c r="H458">
        <f>1-(1-Skills!J3/100)^Skills!K3</f>
        <v/>
      </c>
      <c r="I458" t="inlineStr">
        <is>
          <t>1</t>
        </is>
      </c>
      <c r="J458">
        <f>((Inputs!$B$6*(1+Inputs!$B$7/100))+(((Inputs!$B$12*(1+Inputs!$B$13/100))-(Inputs!$B$12*(1+Inputs!$B$13/100)))+0.25*(Inputs!$B$14-Inputs!$B$14))*(1+Inputs!$B$7/100))*(F458/100)</f>
        <v/>
      </c>
      <c r="K458">
        <f>J458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459=TRUE,F459,0)/100)*(1+(IF(Skills!A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+1)+((C481=TRUE)*(F481-Calc!F26)),(Inputs!$B$23+((C486=TRUE)*(F486-Calc!F31))+(IF(ArtifactsInput!$M$15,CHOOSE(ArtifactsInput!$N$15+1,25,30,35,40,45,50)/100*(Inputs!$B$11-Inputs!$B$11),0))))/100+(Inputs!$B$23+((C486=TRUE)*(F486-Calc!F31))+(IF(ArtifactsInput!$M$15,CHOOSE(ArtifactsInput!$N$15+1,25,30,35,40,45,50)/100*(Inputs!$B$11-Inputs!$B$11),0)))/100)/2</f>
        <v/>
      </c>
      <c r="M458">
        <f>L458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IF(B500=0,0,O458/B500)</f>
        <v/>
      </c>
      <c r="Q458">
        <f>IFERROR(1/(IF(Inputs!$B$38="pvp",15,MAX(0.1,1/B492-IF(FALSE=TRUE,Inputs!$B$32,0)))*(1-IF(AND(ArtifactsInput!$M$27,Inputs!$B$4="Chapter Hunt"),CHOOSE(ArtifactsInput!$N$27+1,20,24,28,32,36,40),0)/100)),0)</f>
        <v/>
      </c>
      <c r="R458">
        <f>IF(AND(Inputs!$B$38&lt;&gt;"pvp",Inputs!$B$43&gt;0),IF(MAX(0,Inputs!$B$43-B497)&lt;=0,0,(INT(MAX(0,Inputs!$B$43-B497)/(IF(Inputs!$B$38="pvp",15,MAX(0.1,1/B492-IF(FALSE=TRUE,Inputs!$B$32,0)))*(1-IF(AND(ArtifactsInput!$M$27,Inputs!$B$4="Chapter Hunt"),CHOOSE(ArtifactsInput!$N$27+1,20,24,28,32,36,40),0)/100)))+1)),0)</f>
        <v/>
      </c>
      <c r="S458">
        <f>IFERROR(O458/N458,0)</f>
        <v/>
      </c>
      <c r="T458">
        <f>IF(C458,(H458*N458*IF(AND(Inputs!$B$38&lt;&gt;"pvp",Inputs!$B$43&gt;0),((Skills!G3*((R458-1)*IF(Skills!H3&gt;0,INT(Skills!I3/Skills!H3+0.000000001),1)+IF(Skills!H3&gt;0,INT(MIN(Skills!I3,MAX(0,MAX(0,Inputs!$B$43-B497)-((R458-1)*(IF(Inputs!$B$38="pvp",15,MAX(0.1,1/B492-IF(FALSE=TRUE,Inputs!$B$32,0)))*(1-IF(AND(ArtifactsInput!$M$27,Inputs!$B$4="Chapter Hunt"),CHOOSE(ArtifactsInput!$N$27+1,20,24,28,32,36,40),0)/100)))))/Skills!H3+0.000000001),1)))/Inputs!$B$43),G458*Q458)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8">
        <f>INDEX(FactorTable!$B$2:$Y$301, MATCH(ROUND(MIN(300,MAX(1,U457)),0), FactorTable!$A$2:$A$301,0), 22)</f>
        <v/>
      </c>
      <c r="V458">
        <f>IF(C458,(H458*N458*IF(AND(Inputs!$B$38&lt;&gt;"pvp",Inputs!$B$43&gt;0),((Skills!G3*((R458-1)*IF(Skills!H3&gt;0,INT(Skills!I3/Skills!H3+0.000000001),1)+IF(Skills!H3&gt;0,INT(MIN(Skills!I3,MAX(0,MAX(0,Inputs!$B$43-B497)-((R458-1)*(IF(Inputs!$B$38="pvp",15,MAX(0.1,1/B492-IF(FALSE=TRUE,Inputs!$B$32,0)))*(1-IF(AND(ArtifactsInput!$M$27,Inputs!$B$4="Chapter Hunt"),CHOOSE(ArtifactsInput!$N$27+1,20,24,28,32,36,40),0)/100)))))/Skills!H3+0.000000001),1)))/Inputs!$B$43),G458*Q458))*IF(Inputs!$B$38="pvp",1,(1+(Inputs!$B$21+Skills!Q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Skills!A4</f>
        <v/>
      </c>
      <c r="B459">
        <f>Skills!B4</f>
        <v/>
      </c>
      <c r="C459">
        <f>Inputs!$B$3&gt;=105</f>
        <v/>
      </c>
      <c r="D459">
        <f>IF(Skills!C4=1,60+Inputs!$B$25+Inputs!$B$29,IF(Skills!C4=2,90+Inputs!$B$26+Inputs!$B$29,IF(Skills!C4=3,120+Inputs!$B$27+Inputs!$B$29,MAX(0,(Inputs!$B$3-100)*3)+Inputs!$B$28+Inputs!$B$29)))</f>
        <v/>
      </c>
      <c r="E459">
        <f>INDEX(FactorTable!$B$2:$Y$301, MATCH(ROUND(MIN(300,MAX(1,D459)),0), FactorTable!$A$2:$A$301,0), Skills!M4+1)</f>
        <v/>
      </c>
      <c r="F459">
        <f>IF(Skills!N4=TRUE,(Skills!L4/10)*(E459/1000),Skills!L4/10)+Skills!O4</f>
        <v/>
      </c>
      <c r="G459" t="inlineStr"/>
      <c r="H459" t="inlineStr"/>
      <c r="I459" t="inlineStr">
        <is>
          <t>1</t>
        </is>
      </c>
      <c r="J459" t="inlineStr"/>
      <c r="K459" t="inlineStr"/>
      <c r="L459" t="inlineStr"/>
      <c r="M459" t="inlineStr"/>
      <c r="N459" t="inlineStr"/>
      <c r="O459" t="inlineStr"/>
      <c r="P459" t="inlineStr"/>
      <c r="Q459" t="inlineStr"/>
      <c r="R459" t="inlineStr"/>
      <c r="S459" t="inlineStr"/>
      <c r="T459" t="inlineStr"/>
      <c r="U459">
        <f>290*U458/1000</f>
        <v/>
      </c>
      <c r="V459" t="inlineStr"/>
    </row>
    <row r="460">
      <c r="A460">
        <f>Skills!A5</f>
        <v/>
      </c>
      <c r="B460">
        <f>Skills!B5</f>
        <v/>
      </c>
      <c r="C460">
        <f>Inputs!$B$3&gt;=35</f>
        <v/>
      </c>
      <c r="D460">
        <f>IF(Skills!C5=1,60+Inputs!$B$25+Inputs!$B$29,IF(Skills!C5=2,90+Inputs!$B$26+Inputs!$B$29,IF(Skills!C5=3,120+Inputs!$B$27+Inputs!$B$29,MAX(0,(Inputs!$B$3-100)*3)+Inputs!$B$28+Inputs!$B$29)))</f>
        <v/>
      </c>
      <c r="E460">
        <f>INDEX(FactorTable!$B$2:$Y$301, MATCH(ROUND(MIN(300,MAX(1,D460)),0), FactorTable!$A$2:$A$301,0), Skills!M5+1)</f>
        <v/>
      </c>
      <c r="F460">
        <f>IF(Skills!N5=TRUE,(Skills!L5/10)*(E460/1000),Skills!L5/10)+Skills!O5</f>
        <v/>
      </c>
      <c r="G460">
        <f>Skills!G5*IF(Skills!H5&gt;0,INT(IF(Inputs!$B$38="pvp",MIN(Skills!I5,15),Skills!I5)/Skills!H5+0.000000001),1)</f>
        <v/>
      </c>
      <c r="H460">
        <f>1-(1-Skills!J5/100)^Skills!K5</f>
        <v/>
      </c>
      <c r="I460" t="inlineStr">
        <is>
          <t>1</t>
        </is>
      </c>
      <c r="J460">
        <f>((Inputs!$B$6*(1+Inputs!$B$7/100))+(((Inputs!$B$12*(1+Inputs!$B$13/100))-(Inputs!$B$12*(1+Inputs!$B$13/100)))+0.25*(Inputs!$B$14-Inputs!$B$14))*(1+Inputs!$B$7/100))*(F460/100)</f>
        <v/>
      </c>
      <c r="K460">
        <f>J460*(1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467=TRUE,F467,0)/100)*(1+(IF(Skills!A5="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+1)+((C481=TRUE)*(F481-Calc!F26)),(Inputs!$B$23+((C486=TRUE)*(F486-Calc!F31))+(IF(ArtifactsInput!$M$15,CHOOSE(ArtifactsInput!$N$15+1,25,30,35,40,45,50)/100*(Inputs!$B$11-Inputs!$B$11),0))))/100+(Inputs!$B$23+((C486=TRUE)*(F486-Calc!F31))+(IF(ArtifactsInput!$M$15,CHOOSE(ArtifactsInput!$N$15+1,25,30,35,40,45,50)/100*(Inputs!$B$11-Inputs!$B$11),0)))/100)/2</f>
        <v/>
      </c>
      <c r="M460">
        <f>L460*(1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IF(B500=0,0,O460/B500)</f>
        <v/>
      </c>
      <c r="Q460">
        <f>IFERROR(1/(IF(Inputs!$B$38="pvp",15,MAX(0.1,Skills!D5-IF(TRUE=TRUE,Inputs!$B$32,0)))*(1-IF(AND(ArtifactsInput!$M$27,Inputs!$B$4="Chapter Hunt"),CHOOSE(ArtifactsInput!$N$27+1,20,24,28,32,36,40),0)/100)),0)</f>
        <v/>
      </c>
      <c r="R460">
        <f>IF(AND(Inputs!$B$38&lt;&gt;"pvp",Inputs!$B$43&gt;0),IF(MAX(0,Inputs!$B$43-B497)&lt;=0,0,(INT(MAX(0,Inputs!$B$43-B497)/(IF(Inputs!$B$38="pvp",15,MAX(0.1,Skills!D5-IF(TRUE=TRUE,Inputs!$B$32,0)))*(1-IF(AND(ArtifactsInput!$M$27,Inputs!$B$4="Chapter Hunt"),CHOOSE(ArtifactsInput!$N$27+1,20,24,28,32,36,40),0)/100)))+1)),0)</f>
        <v/>
      </c>
      <c r="S460">
        <f>IFERROR(O460/N460,0)</f>
        <v/>
      </c>
      <c r="T460">
        <f>IF(C460,(H460*N460*IF(AND(Inputs!$B$38&lt;&gt;"pvp",Inputs!$B$43&gt;0),((Skills!G5*((R460-1)*IF(Skills!H5&gt;0,INT(Skills!I5/Skills!H5+0.000000001),1)+IF(Skills!H5&gt;0,INT(MIN(Skills!I5,MAX(0,MAX(0,Inputs!$B$43-B497)-((R460-1)*(IF(Inputs!$B$38="pvp",15,MAX(0.1,Skills!D5-IF(TRUE=TRUE,Inputs!$B$32,0)))*(1-IF(AND(ArtifactsInput!$M$27,Inputs!$B$4="Chapter Hunt"),CHOOSE(ArtifactsInput!$N$27+1,20,24,28,32,36,40),0)/100)))))/Skills!H5+0.000000001),1)))/Inputs!$B$43),G460*Q460)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5*((R460-1)*IF(Skills!H5&gt;0,INT(Skills!I5/Skills!H5+0.000000001),1)+IF(Skills!H5&gt;0,INT(MIN(Skills!I5,MAX(0,MAX(0,Inputs!$B$43-B497)-((R460-1)*(IF(Inputs!$B$38="pvp",15,MAX(0.1,Skills!D5-IF(TRUE=TRUE,Inputs!$B$32,0)))*(1-IF(AND(ArtifactsInput!$M$27,Inputs!$B$4="Chapter Hunt"),CHOOSE(ArtifactsInput!$N$27+1,20,24,28,32,36,40),0)/100)))))/Skills!H5+0.000000001),1)))/Inputs!$B$43),G460*Q460))*IF(Inputs!$B$38="pvp",1,(1+(Inputs!$B$21+Skills!Q5+(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Skills!A6</f>
        <v/>
      </c>
      <c r="B461">
        <f>Skills!B6</f>
        <v/>
      </c>
      <c r="C461">
        <f>Inputs!$B$3&gt;=40</f>
        <v/>
      </c>
      <c r="D461">
        <f>IF(Skills!C6=1,60+Inputs!$B$25+Inputs!$B$29,IF(Skills!C6=2,90+Inputs!$B$26+Inputs!$B$29,IF(Skills!C6=3,120+Inputs!$B$27+Inputs!$B$29,MAX(0,(Inputs!$B$3-100)*3)+Inputs!$B$28+Inputs!$B$29)))</f>
        <v/>
      </c>
      <c r="E461">
        <f>INDEX(FactorTable!$B$2:$Y$301, MATCH(ROUND(MIN(300,MAX(1,D461)),0), FactorTable!$A$2:$A$301,0), Skills!M6+1)</f>
        <v/>
      </c>
      <c r="F461">
        <f>IF(Skills!N6=TRUE,(Skills!L6/10)*(E461/1000),Skills!L6/10)+Skills!O6</f>
        <v/>
      </c>
      <c r="G461">
        <f>Skills!G6*IF(Skills!H6&gt;0,INT(IF(Inputs!$B$38="pvp",MIN(Skills!I6,15),Skills!I6)/Skills!H6+0.000000001),1)</f>
        <v/>
      </c>
      <c r="H461">
        <f>1-(1-Skills!J6/100)^Skills!K6</f>
        <v/>
      </c>
      <c r="I461" t="inlineStr">
        <is>
          <t>1</t>
        </is>
      </c>
      <c r="J461">
        <f>((Inputs!$B$6*(1+Inputs!$B$7/100))+(((Inputs!$B$12*(1+Inputs!$B$13/100))-(Inputs!$B$12*(1+Inputs!$B$13/100)))+0.25*(Inputs!$B$14-Inputs!$B$14))*(1+Inputs!$B$7/100))*(F461/100)</f>
        <v/>
      </c>
      <c r="K461">
        <f>J461*(1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462=TRUE,F462,0)/100)*(1+(IF(Skills!A6="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+1)+((C481=TRUE)*(F481-Calc!F26)),(Inputs!$B$23+((C486=TRUE)*(F486-Calc!F31))+(IF(ArtifactsInput!$M$15,CHOOSE(ArtifactsInput!$N$15+1,25,30,35,40,45,50)/100*(Inputs!$B$11-Inputs!$B$11),0))))/100+(Inputs!$B$23+((C486=TRUE)*(F486-Calc!F31))+(IF(ArtifactsInput!$M$15,CHOOSE(ArtifactsInput!$N$15+1,25,30,35,40,45,50)/100*(Inputs!$B$11-Inputs!$B$11),0)))/100)/2</f>
        <v/>
      </c>
      <c r="M461">
        <f>L461*(1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IF(B500=0,0,O461/B500)</f>
        <v/>
      </c>
      <c r="Q461">
        <f>IFERROR(1/(IF(Inputs!$B$38="pvp",15,MAX(0.1,1-0.4*MIN(1,(B492-1)/1.5)-IF(FALSE=TRUE,Inputs!$B$32,0)))*(1-IF(AND(ArtifactsInput!$M$27,Inputs!$B$4="Chapter Hunt"),CHOOSE(ArtifactsInput!$N$27+1,20,24,28,32,36,40),0)/100)),0)</f>
        <v/>
      </c>
      <c r="R461">
        <f>IF(AND(Inputs!$B$38&lt;&gt;"pvp",Inputs!$B$43&gt;0),IF(MAX(0,Inputs!$B$43-B497)&lt;=0,0,(INT(MAX(0,Inputs!$B$43-B497)/(IF(Inputs!$B$38="pvp",15,MAX(0.1,1-0.4*MIN(1,(B492-1)/1.5)-IF(FALSE=TRUE,Inputs!$B$32,0)))*(1-IF(AND(ArtifactsInput!$M$27,Inputs!$B$4="Chapter Hunt"),CHOOSE(ArtifactsInput!$N$27+1,20,24,28,32,36,40),0)/100)))+1)),0)</f>
        <v/>
      </c>
      <c r="S461">
        <f>IFERROR(O461/N461,0)</f>
        <v/>
      </c>
      <c r="T461">
        <f>IF(C461,(H461*N461*IF(AND(Inputs!$B$38&lt;&gt;"pvp",Inputs!$B$43&gt;0),((Skills!G6*((R461-1)*IF(Skills!H6&gt;0,INT(Skills!I6/Skills!H6+0.000000001),1)+IF(Skills!H6&gt;0,INT(MIN(Skills!I6,MAX(0,MAX(0,Inputs!$B$43-B497)-((R461-1)*(IF(Inputs!$B$38="pvp",15,MAX(0.1,1-0.4*MIN(1,(B492-1)/1.5)-IF(FALSE=TRUE,Inputs!$B$32,0)))*(1-IF(AND(ArtifactsInput!$M$27,Inputs!$B$4="Chapter Hunt"),CHOOSE(ArtifactsInput!$N$27+1,20,24,28,32,36,40),0)/100)))))/Skills!H6+0.000000001),1)))/Inputs!$B$43),G461*Q461)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6*((R461-1)*IF(Skills!H6&gt;0,INT(Skills!I6/Skills!H6+0.000000001),1)+IF(Skills!H6&gt;0,INT(MIN(Skills!I6,MAX(0,MAX(0,Inputs!$B$43-B497)-((R461-1)*(IF(Inputs!$B$38="pvp",15,MAX(0.1,1-0.4*MIN(1,(B492-1)/1.5)-IF(FALSE=TRUE,Inputs!$B$32,0)))*(1-IF(AND(ArtifactsInput!$M$27,Inputs!$B$4="Chapter Hunt"),CHOOSE(ArtifactsInput!$N$27+1,20,24,28,32,36,40),0)/100)))))/Skills!H6+0.000000001),1)))/Inputs!$B$43),G461*Q461))*IF(Inputs!$B$38="pvp",1,(1+(Inputs!$B$21+Skills!Q6+(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Skills!A7</f>
        <v/>
      </c>
      <c r="B462">
        <f>Skills!B7</f>
        <v/>
      </c>
      <c r="C462">
        <f>Inputs!$B$3&gt;=107</f>
        <v/>
      </c>
      <c r="D462">
        <f>IF(Skills!C7=1,60+Inputs!$B$25+Inputs!$B$29,IF(Skills!C7=2,90+Inputs!$B$26+Inputs!$B$29,IF(Skills!C7=3,120+Inputs!$B$27+Inputs!$B$29,MAX(0,(Inputs!$B$3-100)*3)+Inputs!$B$28+Inputs!$B$29)))</f>
        <v/>
      </c>
      <c r="E462">
        <f>INDEX(FactorTable!$B$2:$Y$301, MATCH(ROUND(MIN(300,MAX(1,D462)),0), FactorTable!$A$2:$A$301,0), Skills!M7+1)</f>
        <v/>
      </c>
      <c r="F462">
        <f>IF(Skills!N7=TRUE,(Skills!L7/10)*(E462/1000),Skills!L7/10)+Skills!O7</f>
        <v/>
      </c>
      <c r="G462" t="inlineStr"/>
      <c r="H462" t="inlineStr"/>
      <c r="I462" t="inlineStr">
        <is>
          <t>1</t>
        </is>
      </c>
      <c r="J462" t="inlineStr"/>
      <c r="K462" t="inlineStr"/>
      <c r="L462" t="inlineStr"/>
      <c r="M462" t="inlineStr"/>
      <c r="N462" t="inlineStr"/>
      <c r="O462" t="inlineStr"/>
      <c r="P462" t="inlineStr"/>
      <c r="Q462" t="inlineStr"/>
      <c r="R462" t="inlineStr"/>
      <c r="S462" t="inlineStr"/>
      <c r="T462" t="inlineStr"/>
      <c r="V462" t="inlineStr"/>
    </row>
    <row r="463">
      <c r="A463">
        <f>Skills!A8</f>
        <v/>
      </c>
      <c r="B463">
        <f>Skills!B8</f>
        <v/>
      </c>
      <c r="C463">
        <f>Inputs!$B$3&gt;=130</f>
        <v/>
      </c>
      <c r="D463">
        <f>IF(Skills!C8=1,60+Inputs!$B$25+Inputs!$B$29,IF(Skills!C8=2,90+Inputs!$B$26+Inputs!$B$29,IF(Skills!C8=3,120+Inputs!$B$27+Inputs!$B$29,MAX(0,(Inputs!$B$3-100)*3)+Inputs!$B$28+Inputs!$B$29)))</f>
        <v/>
      </c>
      <c r="E463">
        <f>INDEX(FactorTable!$B$2:$Y$301, MATCH(ROUND(MIN(300,MAX(1,D463)),0), FactorTable!$A$2:$A$301,0), Skills!M8+1)</f>
        <v/>
      </c>
      <c r="F463">
        <f>IF(Skills!N8=TRUE,(Skills!L8/10)*(E463/1000),Skills!L8/10)+Skills!O8</f>
        <v/>
      </c>
      <c r="G463">
        <f>Skills!G8*IF(Skills!H8&gt;0,INT(IF(Inputs!$B$38="pvp",MIN(Skills!I8,15),Skills!I8)/Skills!H8+0.000000001),1)</f>
        <v/>
      </c>
      <c r="H463">
        <f>1-(1-Skills!J8/100)^Skills!K8</f>
        <v/>
      </c>
      <c r="I463" t="inlineStr">
        <is>
          <t>1</t>
        </is>
      </c>
      <c r="J463">
        <f>((Inputs!$B$6*(1+Inputs!$B$7/100))+(((Inputs!$B$12*(1+Inputs!$B$13/100))-(Inputs!$B$12*(1+Inputs!$B$13/100)))+0.25*(Inputs!$B$14-Inputs!$B$14))*(1+Inputs!$B$7/100))*(F463/100)</f>
        <v/>
      </c>
      <c r="K463">
        <f>J463*(1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+1)+((C481=TRUE)*(F481-Calc!F26)),(Inputs!$B$23+((C486=TRUE)*(F486-Calc!F31))+(IF(ArtifactsInput!$M$15,CHOOSE(ArtifactsInput!$N$15+1,25,30,35,40,45,50)/100*(Inputs!$B$11-Inputs!$B$11),0))))/100+(Inputs!$B$23+((C486=TRUE)*(F486-Calc!F31))+(IF(ArtifactsInput!$M$15,CHOOSE(ArtifactsInput!$N$15+1,25,30,35,40,45,50)/100*(Inputs!$B$11-Inputs!$B$11),0)))/100)/2</f>
        <v/>
      </c>
      <c r="M463">
        <f>L463*(1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IF(B500=0,0,O463/B500)</f>
        <v/>
      </c>
      <c r="Q463">
        <f>IFERROR(1/(IF(Inputs!$B$38="pvp",15,MAX(0.1,1-0.4*MIN(1,(B492-1)/1.5)-IF(FALSE=TRUE,Inputs!$B$32,0)))*(1-IF(AND(ArtifactsInput!$M$27,Inputs!$B$4="Chapter Hunt"),CHOOSE(ArtifactsInput!$N$27+1,20,24,28,32,36,40),0)/100)),0)</f>
        <v/>
      </c>
      <c r="R463">
        <f>IF(AND(Inputs!$B$38&lt;&gt;"pvp",Inputs!$B$43&gt;0),IF(MAX(0,Inputs!$B$43-B497)&lt;=0,0,(INT(MAX(0,Inputs!$B$43-B497)/(IF(Inputs!$B$38="pvp",15,MAX(0.1,1-0.4*MIN(1,(B492-1)/1.5)-IF(FALSE=TRUE,Inputs!$B$32,0)))*(1-IF(AND(ArtifactsInput!$M$27,Inputs!$B$4="Chapter Hunt"),CHOOSE(ArtifactsInput!$N$27+1,20,24,28,32,36,40),0)/100)))+1)),0)</f>
        <v/>
      </c>
      <c r="S463">
        <f>IFERROR(O463/N463,0)</f>
        <v/>
      </c>
      <c r="T463">
        <f>IF(C463,(H463*N463*IF(AND(Inputs!$B$38&lt;&gt;"pvp",Inputs!$B$43&gt;0),((Skills!G8*((R463-1)*IF(Skills!H8&gt;0,INT(Skills!I8/Skills!H8+0.000000001),1)+IF(Skills!H8&gt;0,INT(MIN(Skills!I8,MAX(0,MAX(0,Inputs!$B$43-B497)-((R463-1)*(IF(Inputs!$B$38="pvp",15,MAX(0.1,1-0.4*MIN(1,(B492-1)/1.5)-IF(FALSE=TRUE,Inputs!$B$32,0)))*(1-IF(AND(ArtifactsInput!$M$27,Inputs!$B$4="Chapter Hunt"),CHOOSE(ArtifactsInput!$N$27+1,20,24,28,32,36,40),0)/100)))))/Skills!H8+0.000000001),1)))/Inputs!$B$43),G463*Q463)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8*((R463-1)*IF(Skills!H8&gt;0,INT(Skills!I8/Skills!H8+0.000000001),1)+IF(Skills!H8&gt;0,INT(MIN(Skills!I8,MAX(0,MAX(0,Inputs!$B$43-B497)-((R463-1)*(IF(Inputs!$B$38="pvp",15,MAX(0.1,1-0.4*MIN(1,(B492-1)/1.5)-IF(FALSE=TRUE,Inputs!$B$32,0)))*(1-IF(AND(ArtifactsInput!$M$27,Inputs!$B$4="Chapter Hunt"),CHOOSE(ArtifactsInput!$N$27+1,20,24,28,32,36,40),0)/100)))))/Skills!H8+0.000000001),1)))/Inputs!$B$43),G463*Q463))*IF(Inputs!$B$38="pvp",1,(1+(Inputs!$B$21+Skills!Q8+(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Skills!A9</f>
        <v/>
      </c>
      <c r="B464">
        <f>Skills!B9</f>
        <v/>
      </c>
      <c r="C464">
        <f>Inputs!$B$3&gt;=69</f>
        <v/>
      </c>
      <c r="D464">
        <f>IF(Skills!C9=1,60+Inputs!$B$25+Inputs!$B$29,IF(Skills!C9=2,90+Inputs!$B$26+Inputs!$B$29,IF(Skills!C9=3,120+Inputs!$B$27+Inputs!$B$29,MAX(0,(Inputs!$B$3-100)*3)+Inputs!$B$28+Inputs!$B$29)))</f>
        <v/>
      </c>
      <c r="E464">
        <f>INDEX(FactorTable!$B$2:$Y$301, MATCH(ROUND(MIN(300,MAX(1,D464)),0), FactorTable!$A$2:$A$301,0), Skills!M9+1)</f>
        <v/>
      </c>
      <c r="F464">
        <f>IF(Skills!N9=TRUE,(Skills!L9/10)*(E464/1000),Skills!L9/10)+Skills!O9</f>
        <v/>
      </c>
      <c r="G464">
        <f>Skills!G9*IF(Skills!H9&gt;0,INT(IF(Inputs!$B$38="pvp",MIN(Skills!I9,15),Skills!I9)/Skills!H9+0.000000001),1)</f>
        <v/>
      </c>
      <c r="H464">
        <f>1-(1-Skills!J9/100)^Skills!K9</f>
        <v/>
      </c>
      <c r="I464" t="inlineStr">
        <is>
          <t>1</t>
        </is>
      </c>
      <c r="J464">
        <f>((Inputs!$B$6*(1+Inputs!$B$7/100))+(((Inputs!$B$12*(1+Inputs!$B$13/100))-(Inputs!$B$12*(1+Inputs!$B$13/100)))+0.25*(Inputs!$B$14-Inputs!$B$14))*(1+Inputs!$B$7/100))*(F464/100)</f>
        <v/>
      </c>
      <c r="K464">
        <f>J464*(1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467=TRUE,F467,0)/100)*(1+(IF(Skills!A9="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+1)+((C481=TRUE)*(F481-Calc!F26)),(Inputs!$B$23+((C486=TRUE)*(F486-Calc!F31))+(IF(ArtifactsInput!$M$15,CHOOSE(ArtifactsInput!$N$15+1,25,30,35,40,45,50)/100*(Inputs!$B$11-Inputs!$B$11),0))))/100+(Inputs!$B$23+((C486=TRUE)*(F486-Calc!F31))+(IF(ArtifactsInput!$M$15,CHOOSE(ArtifactsInput!$N$15+1,25,30,35,40,45,50)/100*(Inputs!$B$11-Inputs!$B$11),0)))/100)/2</f>
        <v/>
      </c>
      <c r="M464">
        <f>L464*(1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IF(B500=0,0,O464/B500)</f>
        <v/>
      </c>
      <c r="Q464">
        <f>IFERROR(1/(IF(Inputs!$B$38="pvp",15,MAX(0.1,Skills!D9-IF(TRUE=TRUE,Inputs!$B$32,0)))*(1-IF(AND(ArtifactsInput!$M$27,Inputs!$B$4="Chapter Hunt"),CHOOSE(ArtifactsInput!$N$27+1,20,24,28,32,36,40),0)/100)),0)</f>
        <v/>
      </c>
      <c r="R464">
        <f>IF(AND(Inputs!$B$38&lt;&gt;"pvp",Inputs!$B$43&gt;0),IF(MAX(0,Inputs!$B$43-B497)&lt;=0,0,(INT(MAX(0,Inputs!$B$43-B497)/(IF(Inputs!$B$38="pvp",15,MAX(0.1,Skills!D9-IF(TRUE=TRUE,Inputs!$B$32,0)))*(1-IF(AND(ArtifactsInput!$M$27,Inputs!$B$4="Chapter Hunt"),CHOOSE(ArtifactsInput!$N$27+1,20,24,28,32,36,40),0)/100)))+1)),0)</f>
        <v/>
      </c>
      <c r="S464">
        <f>IFERROR(O464/N464,0)</f>
        <v/>
      </c>
      <c r="T464">
        <f>IF(C464,(H464*N464*IF(AND(Inputs!$B$38&lt;&gt;"pvp",Inputs!$B$43&gt;0),((Skills!G9*((R464-1)*IF(Skills!H9&gt;0,INT(Skills!I9/Skills!H9+0.000000001),1)+IF(Skills!H9&gt;0,INT(MIN(Skills!I9,MAX(0,MAX(0,Inputs!$B$43-B497)-((R464-1)*(IF(Inputs!$B$38="pvp",15,MAX(0.1,Skills!D9-IF(TRUE=TRUE,Inputs!$B$32,0)))*(1-IF(AND(ArtifactsInput!$M$27,Inputs!$B$4="Chapter Hunt"),CHOOSE(ArtifactsInput!$N$27+1,20,24,28,32,36,40),0)/100)))))/Skills!H9+0.000000001),1)))/Inputs!$B$43),G464*Q464)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9*((R464-1)*IF(Skills!H9&gt;0,INT(Skills!I9/Skills!H9+0.000000001),1)+IF(Skills!H9&gt;0,INT(MIN(Skills!I9,MAX(0,MAX(0,Inputs!$B$43-B497)-((R464-1)*(IF(Inputs!$B$38="pvp",15,MAX(0.1,Skills!D9-IF(TRUE=TRUE,Inputs!$B$32,0)))*(1-IF(AND(ArtifactsInput!$M$27,Inputs!$B$4="Chapter Hunt"),CHOOSE(ArtifactsInput!$N$27+1,20,24,28,32,36,40),0)/100)))))/Skills!H9+0.000000001),1)))/Inputs!$B$43),G464*Q464))*IF(Inputs!$B$38="pvp",1,(1+(Inputs!$B$21+Skills!Q9+(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Skills!A10</f>
        <v/>
      </c>
      <c r="B465">
        <f>Skills!B10</f>
        <v/>
      </c>
      <c r="C465">
        <f>Inputs!$B$3&gt;=63</f>
        <v/>
      </c>
      <c r="D465">
        <f>IF(Skills!C10=1,60+Inputs!$B$25+Inputs!$B$29,IF(Skills!C10=2,90+Inputs!$B$26+Inputs!$B$29,IF(Skills!C10=3,120+Inputs!$B$27+Inputs!$B$29,MAX(0,(Inputs!$B$3-100)*3)+Inputs!$B$28+Inputs!$B$29)))</f>
        <v/>
      </c>
      <c r="E465">
        <f>INDEX(FactorTable!$B$2:$Y$301, MATCH(ROUND(MIN(300,MAX(1,D465)),0), FactorTable!$A$2:$A$301,0), Skills!M10+1)</f>
        <v/>
      </c>
      <c r="F465">
        <f>IF(Skills!N10=TRUE,(Skills!L10/10)*(E465/1000),Skills!L10/10)+Skills!O10</f>
        <v/>
      </c>
      <c r="G465">
        <f>Skills!G10*IF(Skills!H10&gt;0,INT(IF(Inputs!$B$38="pvp",MIN(Skills!I10,15),Skills!I10)/Skills!H10+0.000000001),1)</f>
        <v/>
      </c>
      <c r="H465">
        <f>1-(1-Skills!J10/100)^Skills!K10</f>
        <v/>
      </c>
      <c r="I465" t="inlineStr">
        <is>
          <t>1</t>
        </is>
      </c>
      <c r="J465">
        <f>((Inputs!$B$6*(1+Inputs!$B$7/100))+(((Inputs!$B$12*(1+Inputs!$B$13/100))-(Inputs!$B$12*(1+Inputs!$B$13/100)))+0.25*(Inputs!$B$14-Inputs!$B$14))*(1+Inputs!$B$7/100))*(F465/100)</f>
        <v/>
      </c>
      <c r="K465">
        <f>J465*(1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467=TRUE,F467,0)/100)*(1+(IF(Skills!A10="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+1)+((C481=TRUE)*(F481-Calc!F26)),(Inputs!$B$23+((C486=TRUE)*(F486-Calc!F31))+(IF(ArtifactsInput!$M$15,CHOOSE(ArtifactsInput!$N$15+1,25,30,35,40,45,50)/100*(Inputs!$B$11-Inputs!$B$11),0))))/100+(Inputs!$B$23+((C486=TRUE)*(F486-Calc!F31))+(IF(ArtifactsInput!$M$15,CHOOSE(ArtifactsInput!$N$15+1,25,30,35,40,45,50)/100*(Inputs!$B$11-Inputs!$B$11),0)))/100)/2</f>
        <v/>
      </c>
      <c r="M465">
        <f>L465*(1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IF(B500=0,0,O465/B500)</f>
        <v/>
      </c>
      <c r="Q465">
        <f>IFERROR(1/(IF(Inputs!$B$38="pvp",15,MAX(0.1,Skills!D10-IF(TRUE=TRUE,Inputs!$B$32,0)))*(1-IF(AND(ArtifactsInput!$M$27,Inputs!$B$4="Chapter Hunt"),CHOOSE(ArtifactsInput!$N$27+1,20,24,28,32,36,40),0)/100)),0)</f>
        <v/>
      </c>
      <c r="R465">
        <f>IF(AND(Inputs!$B$38&lt;&gt;"pvp",Inputs!$B$43&gt;0),IF(MAX(0,Inputs!$B$43-B497)&lt;=0,0,(INT(MAX(0,Inputs!$B$43-B497)/(IF(Inputs!$B$38="pvp",15,MAX(0.1,Skills!D10-IF(TRUE=TRUE,Inputs!$B$32,0)))*(1-IF(AND(ArtifactsInput!$M$27,Inputs!$B$4="Chapter Hunt"),CHOOSE(ArtifactsInput!$N$27+1,20,24,28,32,36,40),0)/100)))+1)),0)</f>
        <v/>
      </c>
      <c r="S465">
        <f>IFERROR(O465/N465,0)</f>
        <v/>
      </c>
      <c r="T465">
        <f>IF(C465,(H465*N465*IF(AND(Inputs!$B$38&lt;&gt;"pvp",Inputs!$B$43&gt;0),((Skills!G10*((R465-1)*IF(Skills!H10&gt;0,INT(Skills!I10/Skills!H10+0.000000001),1)+IF(Skills!H10&gt;0,INT(MIN(Skills!I10,MAX(0,MAX(0,Inputs!$B$43-B497)-((R465-1)*(IF(Inputs!$B$38="pvp",15,MAX(0.1,Skills!D10-IF(TRUE=TRUE,Inputs!$B$32,0)))*(1-IF(AND(ArtifactsInput!$M$27,Inputs!$B$4="Chapter Hunt"),CHOOSE(ArtifactsInput!$N$27+1,20,24,28,32,36,40),0)/100)))))/Skills!H10+0.000000001),1)))/Inputs!$B$43),G465*Q465)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10*((R465-1)*IF(Skills!H10&gt;0,INT(Skills!I10/Skills!H10+0.000000001),1)+IF(Skills!H10&gt;0,INT(MIN(Skills!I10,MAX(0,MAX(0,Inputs!$B$43-B497)-((R465-1)*(IF(Inputs!$B$38="pvp",15,MAX(0.1,Skills!D10-IF(TRUE=TRUE,Inputs!$B$32,0)))*(1-IF(AND(ArtifactsInput!$M$27,Inputs!$B$4="Chapter Hunt"),CHOOSE(ArtifactsInput!$N$27+1,20,24,28,32,36,40),0)/100)))))/Skills!H10+0.000000001),1)))/Inputs!$B$43),G465*Q465))*IF(Inputs!$B$38="pvp",1,(1+(Inputs!$B$21+Skills!Q10+(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Skills!A11</f>
        <v/>
      </c>
      <c r="B466">
        <f>Skills!B11</f>
        <v/>
      </c>
      <c r="C466">
        <f>Inputs!$B$3&gt;=103</f>
        <v/>
      </c>
      <c r="D466">
        <f>IF(Skills!C11=1,60+Inputs!$B$25+Inputs!$B$29,IF(Skills!C11=2,90+Inputs!$B$26+Inputs!$B$29,IF(Skills!C11=3,120+Inputs!$B$27+Inputs!$B$29,MAX(0,(Inputs!$B$3-100)*3)+Inputs!$B$28+Inputs!$B$29)))</f>
        <v/>
      </c>
      <c r="E466">
        <f>INDEX(FactorTable!$B$2:$Y$301, MATCH(ROUND(MIN(300,MAX(1,D466)),0), FactorTable!$A$2:$A$301,0), Skills!M11+1)</f>
        <v/>
      </c>
      <c r="F466">
        <f>IF(Skills!N11=TRUE,(Skills!L11/10)*(E466/1000),Skills!L11/10)+Skills!O11</f>
        <v/>
      </c>
      <c r="G466">
        <f>Skills!G11*IF(Skills!H11&gt;0,INT(IF(Inputs!$B$38="pvp",MIN(Skills!I11,15),Skills!I11)/Skills!H11+0.000000001),1)</f>
        <v/>
      </c>
      <c r="H466">
        <f>1-(1-Skills!J11/100)^Skills!K11</f>
        <v/>
      </c>
      <c r="I466" t="inlineStr">
        <is>
          <t>1</t>
        </is>
      </c>
      <c r="J466">
        <f>((Inputs!$B$6*(1+Inputs!$B$7/100))+(((Inputs!$B$12*(1+Inputs!$B$13/100))-(Inputs!$B$12*(1+Inputs!$B$13/100)))+0.25*(Inputs!$B$14-Inputs!$B$14))*(1+Inputs!$B$7/100))*(F466/100)</f>
        <v/>
      </c>
      <c r="K466">
        <f>J466*(1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+1)+((C481=TRUE)*(F481-Calc!F26)),(Inputs!$B$23+((C486=TRUE)*(F486-Calc!F31))+(IF(ArtifactsInput!$M$15,CHOOSE(ArtifactsInput!$N$15+1,25,30,35,40,45,50)/100*(Inputs!$B$11-Inputs!$B$11),0))))/100+(Inputs!$B$23+((C486=TRUE)*(F486-Calc!F31))+(IF(ArtifactsInput!$M$15,CHOOSE(ArtifactsInput!$N$15+1,25,30,35,40,45,50)/100*(Inputs!$B$11-Inputs!$B$11),0)))/100)/2</f>
        <v/>
      </c>
      <c r="M466">
        <f>L466*(1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IF(B500=0,0,O466/B500)</f>
        <v/>
      </c>
      <c r="Q466">
        <f>IFERROR(1/(IF(Inputs!$B$38="pvp",15,MAX(0.1,Skills!D11-IF(TRUE=TRUE,Inputs!$B$32,0)))*(1-IF(AND(ArtifactsInput!$M$27,Inputs!$B$4="Chapter Hunt"),CHOOSE(ArtifactsInput!$N$27+1,20,24,28,32,36,40),0)/100)),0)</f>
        <v/>
      </c>
      <c r="R466">
        <f>IF(AND(Inputs!$B$38&lt;&gt;"pvp",Inputs!$B$43&gt;0),IF(MAX(0,Inputs!$B$43-B497)&lt;=0,0,(INT(MAX(0,Inputs!$B$43-B497)/(IF(Inputs!$B$38="pvp",15,MAX(0.1,Skills!D11-IF(TRUE=TRUE,Inputs!$B$32,0)))*(1-IF(AND(ArtifactsInput!$M$27,Inputs!$B$4="Chapter Hunt"),CHOOSE(ArtifactsInput!$N$27+1,20,24,28,32,36,40),0)/100)))+1)),0)</f>
        <v/>
      </c>
      <c r="S466">
        <f>IFERROR(O466/N466,0)</f>
        <v/>
      </c>
      <c r="T466">
        <f>IF(C466,(H466*N466*IF(AND(Inputs!$B$38&lt;&gt;"pvp",Inputs!$B$43&gt;0),((Skills!G11*((R466-1)*IF(Skills!H11&gt;0,INT(Skills!I11/Skills!H11+0.000000001),1)+IF(Skills!H11&gt;0,INT(MIN(Skills!I11,MAX(0,MAX(0,Inputs!$B$43-B497)-((R466-1)*(IF(Inputs!$B$38="pvp",15,MAX(0.1,Skills!D11-IF(TRUE=TRUE,Inputs!$B$32,0)))*(1-IF(AND(ArtifactsInput!$M$27,Inputs!$B$4="Chapter Hunt"),CHOOSE(ArtifactsInput!$N$27+1,20,24,28,32,36,40),0)/100)))))/Skills!H11+0.000000001),1)))/Inputs!$B$43),G466*Q466)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11*((R466-1)*IF(Skills!H11&gt;0,INT(Skills!I11/Skills!H11+0.000000001),1)+IF(Skills!H11&gt;0,INT(MIN(Skills!I11,MAX(0,MAX(0,Inputs!$B$43-B497)-((R466-1)*(IF(Inputs!$B$38="pvp",15,MAX(0.1,Skills!D11-IF(TRUE=TRUE,Inputs!$B$32,0)))*(1-IF(AND(ArtifactsInput!$M$27,Inputs!$B$4="Chapter Hunt"),CHOOSE(ArtifactsInput!$N$27+1,20,24,28,32,36,40),0)/100)))))/Skills!H11+0.000000001),1)))/Inputs!$B$43),G466*Q466))*IF(Inputs!$B$38="pvp",1,(1+(Inputs!$B$21+Skills!Q11+(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Skills!A12</f>
        <v/>
      </c>
      <c r="B467">
        <f>Skills!B12</f>
        <v/>
      </c>
      <c r="C467">
        <f>Inputs!$B$3&gt;=100</f>
        <v/>
      </c>
      <c r="D467">
        <f>IF(Skills!C12=1,60+Inputs!$B$25+Inputs!$B$29,IF(Skills!C12=2,90+Inputs!$B$26+Inputs!$B$29,IF(Skills!C12=3,120+Inputs!$B$27+Inputs!$B$29,MAX(0,(Inputs!$B$3-100)*3)+Inputs!$B$28+Inputs!$B$29)))</f>
        <v/>
      </c>
      <c r="E467">
        <f>INDEX(FactorTable!$B$2:$Y$301, MATCH(ROUND(MIN(300,MAX(1,D467)),0), FactorTable!$A$2:$A$301,0), Skills!M12+1)</f>
        <v/>
      </c>
      <c r="F467">
        <f>IF(Skills!N12=TRUE,(Skills!L12/10)*(E467/1000),Skills!L12/10)+Skills!O12</f>
        <v/>
      </c>
      <c r="G467" t="inlineStr"/>
      <c r="H467" t="inlineStr"/>
      <c r="I467" t="inlineStr">
        <is>
          <t>1</t>
        </is>
      </c>
      <c r="J467" t="inlineStr"/>
      <c r="K467" t="inlineStr"/>
      <c r="L467" t="inlineStr"/>
      <c r="M467" t="inlineStr"/>
      <c r="N467" t="inlineStr"/>
      <c r="O467" t="inlineStr"/>
      <c r="P467" t="inlineStr"/>
      <c r="Q467" t="inlineStr"/>
      <c r="R467" t="inlineStr"/>
      <c r="S467" t="inlineStr"/>
      <c r="T467" t="inlineStr"/>
      <c r="V467" t="inlineStr"/>
    </row>
    <row r="468">
      <c r="A468">
        <f>Skills!A13</f>
        <v/>
      </c>
      <c r="B468">
        <f>Skills!B13</f>
        <v/>
      </c>
      <c r="C468">
        <f>Inputs!$B$3&gt;=60</f>
        <v/>
      </c>
      <c r="D468">
        <f>IF(Skills!C13=1,60+Inputs!$B$25+Inputs!$B$29,IF(Skills!C13=2,90+Inputs!$B$26+Inputs!$B$29,IF(Skills!C13=3,120+Inputs!$B$27+Inputs!$B$29,MAX(0,(Inputs!$B$3-100)*3)+Inputs!$B$28+Inputs!$B$29)))</f>
        <v/>
      </c>
      <c r="E468">
        <f>INDEX(FactorTable!$B$2:$Y$301, MATCH(ROUND(MIN(300,MAX(1,D468)),0), FactorTable!$A$2:$A$301,0), Skills!M13+1)</f>
        <v/>
      </c>
      <c r="F468">
        <f>IF(Skills!N13=TRUE,(Skills!L13/10)*(E468/1000),Skills!L13/10)+Skills!O13</f>
        <v/>
      </c>
      <c r="G468">
        <f>Skills!G13*IF(Skills!H13&gt;0,INT(IF(Inputs!$B$38="pvp",MIN(Skills!I13,15),Skills!I13)/Skills!H13+0.000000001),1)</f>
        <v/>
      </c>
      <c r="H468">
        <f>1-(1-Skills!J13/100)^Skills!K13</f>
        <v/>
      </c>
      <c r="I468" t="inlineStr">
        <is>
          <t>1</t>
        </is>
      </c>
      <c r="J468">
        <f>((Inputs!$B$6*(1+Inputs!$B$7/100))+(((Inputs!$B$12*(1+Inputs!$B$13/100))-(Inputs!$B$12*(1+Inputs!$B$13/100)))+0.25*(Inputs!$B$14-Inputs!$B$14))*(1+Inputs!$B$7/100))*(F468/100)</f>
        <v/>
      </c>
      <c r="K468">
        <f>J468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469=TRUE,F469,0)/100)*(1+(IF(Skills!A13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+1)+((C481=TRUE)*(F481-Calc!F26)),(Inputs!$B$23+((C486=TRUE)*(F486-Calc!F31))+(IF(ArtifactsInput!$M$15,CHOOSE(ArtifactsInput!$N$15+1,25,30,35,40,45,50)/100*(Inputs!$B$11-Inputs!$B$11),0))))/100+(Inputs!$B$23+((C486=TRUE)*(F486-Calc!F31))+(IF(ArtifactsInput!$M$15,CHOOSE(ArtifactsInput!$N$15+1,25,30,35,40,45,50)/100*(Inputs!$B$11-Inputs!$B$11),0)))/100)/2</f>
        <v/>
      </c>
      <c r="M468">
        <f>L468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IF(B500=0,0,O468/B500)</f>
        <v/>
      </c>
      <c r="Q468">
        <f>IFERROR(1/(IF(Inputs!$B$38="pvp",15,MAX(0.1,IF(Inputs!$B$3&gt;=122,3,5)+1/(((20+30*(B492-1)*100/150)/100)*B492)-IF(FALSE=TRUE,Inputs!$B$32,0)))*(1-IF(AND(ArtifactsInput!$M$27,Inputs!$B$4="Chapter Hunt"),CHOOSE(ArtifactsInput!$N$27+1,20,24,28,32,36,40),0)/100)),0)</f>
        <v/>
      </c>
      <c r="R468">
        <f>IF(AND(Inputs!$B$38&lt;&gt;"pvp",Inputs!$B$43&gt;0),IF(MAX(0,Inputs!$B$43-B497)&lt;=0,0,(INT(MAX(0,Inputs!$B$43-B497)/(IF(Inputs!$B$38="pvp",15,MAX(0.1,IF(Inputs!$B$3&gt;=122,3,5)+1/(((20+30*(B492-1)*100/150)/100)*B492)-IF(FALSE=TRUE,Inputs!$B$32,0)))*(1-IF(AND(ArtifactsInput!$M$27,Inputs!$B$4="Chapter Hunt"),CHOOSE(ArtifactsInput!$N$27+1,20,24,28,32,36,40),0)/100)))+1)),0)</f>
        <v/>
      </c>
      <c r="S468">
        <f>IFERROR(O468/N468,0)</f>
        <v/>
      </c>
      <c r="T468">
        <f>IF(C468,(H468*N468*IF(AND(Inputs!$B$38&lt;&gt;"pvp",Inputs!$B$43&gt;0),((Skills!G13*((R468-1)*IF(Skills!H13&gt;0,INT(Skills!I13/Skills!H13+0.000000001),1)+IF(Skills!H13&gt;0,INT(MIN(Skills!I13,MAX(0,MAX(0,Inputs!$B$43-B497)-((R468-1)*(IF(Inputs!$B$38="pvp",15,MAX(0.1,IF(Inputs!$B$3&gt;=122,3,5)+1/(((20+30*(B492-1)*100/150)/100)*B492)-IF(FALSE=TRUE,Inputs!$B$32,0)))*(1-IF(AND(ArtifactsInput!$M$27,Inputs!$B$4="Chapter Hunt"),CHOOSE(ArtifactsInput!$N$27+1,20,24,28,32,36,40),0)/100)))))/Skills!H13+0.000000001),1)))/Inputs!$B$43),G468*Q468)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13*((R468-1)*IF(Skills!H13&gt;0,INT(Skills!I13/Skills!H13+0.000000001),1)+IF(Skills!H13&gt;0,INT(MIN(Skills!I13,MAX(0,MAX(0,Inputs!$B$43-B497)-((R468-1)*(IF(Inputs!$B$38="pvp",15,MAX(0.1,IF(Inputs!$B$3&gt;=122,3,5)+1/(((20+30*(B492-1)*100/150)/100)*B492)-IF(FALSE=TRUE,Inputs!$B$32,0)))*(1-IF(AND(ArtifactsInput!$M$27,Inputs!$B$4="Chapter Hunt"),CHOOSE(ArtifactsInput!$N$27+1,20,24,28,32,36,40),0)/100)))))/Skills!H13+0.000000001),1)))/Inputs!$B$43),G468*Q468))*IF(Inputs!$B$38="pvp",1,(1+(Inputs!$B$21+Skills!Q13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Skills!A14</f>
        <v/>
      </c>
      <c r="B469">
        <f>Skills!B14</f>
        <v/>
      </c>
      <c r="C469">
        <f>Inputs!$B$3&gt;=110</f>
        <v/>
      </c>
      <c r="D469">
        <f>IF(Skills!C14=1,60+Inputs!$B$25+Inputs!$B$29,IF(Skills!C14=2,90+Inputs!$B$26+Inputs!$B$29,IF(Skills!C14=3,120+Inputs!$B$27+Inputs!$B$29,MAX(0,(Inputs!$B$3-100)*3)+Inputs!$B$28+Inputs!$B$29)))</f>
        <v/>
      </c>
      <c r="E469">
        <f>INDEX(FactorTable!$B$2:$Y$301, MATCH(ROUND(MIN(300,MAX(1,D469)),0), FactorTable!$A$2:$A$301,0), Skills!M14+1)</f>
        <v/>
      </c>
      <c r="F469">
        <f>IF(Skills!N14=TRUE,(Skills!L14/10)*(E469/1000),Skills!L14/10)+Skills!O14</f>
        <v/>
      </c>
      <c r="G469" t="inlineStr"/>
      <c r="H469" t="inlineStr"/>
      <c r="I469" t="inlineStr">
        <is>
          <t>1</t>
        </is>
      </c>
      <c r="J469" t="inlineStr"/>
      <c r="K469" t="inlineStr"/>
      <c r="L469" t="inlineStr"/>
      <c r="M469" t="inlineStr"/>
      <c r="N469" t="inlineStr"/>
      <c r="O469" t="inlineStr"/>
      <c r="P469" t="inlineStr"/>
      <c r="Q469" t="inlineStr"/>
      <c r="R469" t="inlineStr"/>
      <c r="S469" t="inlineStr"/>
      <c r="T469" t="inlineStr"/>
      <c r="V469" t="inlineStr"/>
    </row>
    <row r="470">
      <c r="A470">
        <f>Skills!A15</f>
        <v/>
      </c>
      <c r="B470">
        <f>Skills!B15</f>
        <v/>
      </c>
      <c r="C470">
        <f>Inputs!$B$3&gt;=74</f>
        <v/>
      </c>
      <c r="D470">
        <f>IF(Skills!C15=1,60+Inputs!$B$25+Inputs!$B$29,IF(Skills!C15=2,90+Inputs!$B$26+Inputs!$B$29,IF(Skills!C15=3,120+Inputs!$B$27+Inputs!$B$29,MAX(0,(Inputs!$B$3-100)*3)+Inputs!$B$28+Inputs!$B$29)))</f>
        <v/>
      </c>
      <c r="E470">
        <f>INDEX(FactorTable!$B$2:$Y$301, MATCH(ROUND(MIN(300,MAX(1,D470)),0), FactorTable!$A$2:$A$301,0), Skills!M15+1)</f>
        <v/>
      </c>
      <c r="F470">
        <f>IF(Skills!N15=TRUE,(Skills!L15/10)*(E470/1000),Skills!L15/10)+Skills!O15</f>
        <v/>
      </c>
      <c r="G470">
        <f>Skills!G15*IF(Skills!H15&gt;0,INT(IF(Inputs!$B$38="pvp",MIN(Skills!I15,15),Skills!I15)/Skills!H15+0.000000001),1)</f>
        <v/>
      </c>
      <c r="H470">
        <f>1-(1-Skills!J15/100)^Skills!K15</f>
        <v/>
      </c>
      <c r="I470" t="inlineStr">
        <is>
          <t>1</t>
        </is>
      </c>
      <c r="J470" t="inlineStr"/>
      <c r="K470" t="inlineStr"/>
      <c r="L470" t="inlineStr"/>
      <c r="M470" t="inlineStr"/>
      <c r="N470" t="inlineStr"/>
      <c r="O470">
        <f>(1-Summary!$B$11)*T470+Summary!$B$11*V470</f>
        <v/>
      </c>
      <c r="P470">
        <f>IF(B500=0,0,O470/B500)</f>
        <v/>
      </c>
      <c r="Q470" t="n">
        <v>0</v>
      </c>
      <c r="R470" t="n">
        <v>0</v>
      </c>
      <c r="S470">
        <f>IFERROR(O470/N470,0)</f>
        <v/>
      </c>
      <c r="T470" t="n">
        <v>0</v>
      </c>
      <c r="V470" t="n">
        <v>0</v>
      </c>
    </row>
    <row r="471">
      <c r="A471">
        <f>Skills!A16</f>
        <v/>
      </c>
      <c r="B471">
        <f>Skills!B16</f>
        <v/>
      </c>
      <c r="C471">
        <f>Inputs!$B$3&gt;=74</f>
        <v/>
      </c>
      <c r="D471">
        <f>IF(Skills!C16=1,60+Inputs!$B$25+Inputs!$B$29,IF(Skills!C16=2,90+Inputs!$B$26+Inputs!$B$29,IF(Skills!C16=3,120+Inputs!$B$27+Inputs!$B$29,MAX(0,(Inputs!$B$3-100)*3)+Inputs!$B$28+Inputs!$B$29)))</f>
        <v/>
      </c>
      <c r="E471">
        <f>INDEX(FactorTable!$B$2:$Y$301, MATCH(ROUND(MIN(300,MAX(1,D471)),0), FactorTable!$A$2:$A$301,0), Skills!M16+1)</f>
        <v/>
      </c>
      <c r="F471">
        <f>IF(Skills!N16=TRUE,(Skills!L16/10)*(E471/1000),Skills!L16/10)+Skills!O16</f>
        <v/>
      </c>
      <c r="G471">
        <f>Skills!G16*IF(Skills!H16&gt;0,INT(IF(Inputs!$B$38="pvp",MIN(Skills!I16,15),Skills!I16)/Skills!H16+0.000000001),1)</f>
        <v/>
      </c>
      <c r="H471">
        <f>1-(1-Skills!J16/100)^Skills!K16</f>
        <v/>
      </c>
      <c r="I471" t="inlineStr">
        <is>
          <t>1</t>
        </is>
      </c>
      <c r="J471" t="inlineStr"/>
      <c r="K471" t="inlineStr"/>
      <c r="L471" t="inlineStr"/>
      <c r="M471" t="inlineStr"/>
      <c r="N471" t="inlineStr"/>
      <c r="O471">
        <f>(1-Summary!$B$11)*T471+Summary!$B$11*V471</f>
        <v/>
      </c>
      <c r="P471">
        <f>IF(B500=0,0,O471/B500)</f>
        <v/>
      </c>
      <c r="Q471" t="n">
        <v>0</v>
      </c>
      <c r="R471" t="n">
        <v>0</v>
      </c>
      <c r="S471">
        <f>IFERROR(O471/N471,0)</f>
        <v/>
      </c>
      <c r="T471" t="n">
        <v>0</v>
      </c>
      <c r="V471" t="n">
        <v>0</v>
      </c>
    </row>
    <row r="472">
      <c r="A472">
        <f>Skills!A17</f>
        <v/>
      </c>
      <c r="B472">
        <f>Skills!B17</f>
        <v/>
      </c>
      <c r="C472">
        <f>Inputs!$B$3&gt;=117</f>
        <v/>
      </c>
      <c r="D472">
        <f>IF(Skills!C17=1,60+Inputs!$B$25+Inputs!$B$29,IF(Skills!C17=2,90+Inputs!$B$26+Inputs!$B$29,IF(Skills!C17=3,120+Inputs!$B$27+Inputs!$B$29,MAX(0,(Inputs!$B$3-100)*3)+Inputs!$B$28+Inputs!$B$29)))</f>
        <v/>
      </c>
      <c r="E472">
        <f>INDEX(FactorTable!$B$2:$Y$301, MATCH(ROUND(MIN(300,MAX(1,D472)),0), FactorTable!$A$2:$A$301,0), Skills!M17+1)</f>
        <v/>
      </c>
      <c r="F472">
        <f>IF(Skills!N17=TRUE,(Skills!L17/10)*(E472/1000),Skills!L17/10)+Skills!O17</f>
        <v/>
      </c>
      <c r="G472">
        <f>Skills!G17*IF(Skills!H17&gt;0,INT(IF(Inputs!$B$38="pvp",MIN(Skills!I17,15),Skills!I17)/Skills!H17+0.000000001),1)</f>
        <v/>
      </c>
      <c r="H472">
        <f>1-(1-Skills!J17/100)^Skills!K17</f>
        <v/>
      </c>
      <c r="I472" t="inlineStr">
        <is>
          <t>1</t>
        </is>
      </c>
      <c r="J472" t="inlineStr"/>
      <c r="K472" t="inlineStr"/>
      <c r="L472" t="inlineStr"/>
      <c r="M472" t="inlineStr"/>
      <c r="N472" t="inlineStr"/>
      <c r="O472">
        <f>(1-Summary!$B$11)*T472+Summary!$B$11*V472</f>
        <v/>
      </c>
      <c r="P472">
        <f>IF(B500=0,0,O472/B500)</f>
        <v/>
      </c>
      <c r="Q472">
        <f>IFERROR(1/(IF(Inputs!$B$38="pvp",15,MAX(0.1,Skills!D17-IF(TRUE=TRUE,Inputs!$B$32,0)))*(1-IF(AND(ArtifactsInput!$M$27,Inputs!$B$4="Chapter Hunt"),CHOOSE(ArtifactsInput!$N$27+1,20,24,28,32,36,40),0)/100)),0)</f>
        <v/>
      </c>
      <c r="R472">
        <f>IF(AND(Inputs!$B$38&lt;&gt;"pvp",Inputs!$B$43&gt;0),IF(Inputs!$B$43&lt;=0,0,(INT(Inputs!$B$43/(IF(Inputs!$B$38="pvp",15,MAX(0.1,Skills!D17-IF(TRUE=TRUE,Inputs!$B$32,0)))*(1-IF(AND(ArtifactsInput!$M$27,Inputs!$B$4="Chapter Hunt"),CHOOSE(ArtifactsInput!$N$27+1,20,24,28,32,36,40),0)/100)))+1)),0)</f>
        <v/>
      </c>
      <c r="S472">
        <f>IFERROR(O472/N472,0)</f>
        <v/>
      </c>
      <c r="T472" t="n">
        <v>0</v>
      </c>
      <c r="V472" t="n">
        <v>0</v>
      </c>
    </row>
    <row r="473">
      <c r="A473">
        <f>Skills!A18</f>
        <v/>
      </c>
      <c r="B473">
        <f>Skills!B18</f>
        <v/>
      </c>
      <c r="C473">
        <f>Inputs!$B$3&gt;=115</f>
        <v/>
      </c>
      <c r="D473">
        <f>IF(Skills!C18=1,60+Inputs!$B$25+Inputs!$B$29,IF(Skills!C18=2,90+Inputs!$B$26+Inputs!$B$29,IF(Skills!C18=3,120+Inputs!$B$27+Inputs!$B$29,MAX(0,(Inputs!$B$3-100)*3)+Inputs!$B$28+Inputs!$B$29)))</f>
        <v/>
      </c>
      <c r="E473">
        <f>INDEX(FactorTable!$B$2:$Y$301, MATCH(ROUND(MIN(300,MAX(1,D473)),0), FactorTable!$A$2:$A$301,0), Skills!M18+1)</f>
        <v/>
      </c>
      <c r="F473">
        <f>IF(Skills!N18=TRUE,(Skills!L18/10)*(E473/1000),Skills!L18/10)+Skills!O18</f>
        <v/>
      </c>
      <c r="G473">
        <f>Skills!G18*IF(Skills!H18&gt;0,INT(IF(Inputs!$B$38="pvp",MIN(Skills!I18,15),Skills!I18)/Skills!H18+0.000000001),1)</f>
        <v/>
      </c>
      <c r="H473">
        <f>1-(1-Skills!J18/100)^Skills!K18</f>
        <v/>
      </c>
      <c r="I473" t="inlineStr">
        <is>
          <t>1</t>
        </is>
      </c>
      <c r="J473" t="inlineStr"/>
      <c r="K473" t="inlineStr"/>
      <c r="L473" t="inlineStr"/>
      <c r="M473" t="inlineStr"/>
      <c r="N473" t="inlineStr"/>
      <c r="O473">
        <f>(1-Summary!$B$11)*T473+Summary!$B$11*V473</f>
        <v/>
      </c>
      <c r="P473">
        <f>IF(B500=0,0,O473/B500)</f>
        <v/>
      </c>
      <c r="Q473">
        <f>IFERROR(1/(IF(Inputs!$B$38="pvp",15,MAX(0.1,Skills!D18-IF(TRUE=TRUE,Inputs!$B$32,0)))*(1-IF(AND(ArtifactsInput!$M$27,Inputs!$B$4="Chapter Hunt"),CHOOSE(ArtifactsInput!$N$27+1,20,24,28,32,36,40),0)/100)),0)</f>
        <v/>
      </c>
      <c r="R473">
        <f>IF(AND(Inputs!$B$38&lt;&gt;"pvp",Inputs!$B$43&gt;0),IF(Inputs!$B$43&lt;=0,0,(INT(Inputs!$B$43/(IF(Inputs!$B$38="pvp",15,MAX(0.1,Skills!D18-IF(TRUE=TRUE,Inputs!$B$32,0)))*(1-IF(AND(ArtifactsInput!$M$27,Inputs!$B$4="Chapter Hunt"),CHOOSE(ArtifactsInput!$N$27+1,20,24,28,32,36,40),0)/100)))+1)),0)</f>
        <v/>
      </c>
      <c r="S473">
        <f>IFERROR(O473/N473,0)</f>
        <v/>
      </c>
      <c r="T473" t="n">
        <v>0</v>
      </c>
      <c r="V473" t="n">
        <v>0</v>
      </c>
    </row>
    <row r="474">
      <c r="A474">
        <f>Skills!A19</f>
        <v/>
      </c>
      <c r="B474">
        <f>Skills!B19</f>
        <v/>
      </c>
      <c r="C474">
        <f>Inputs!$B$3&gt;=66</f>
        <v/>
      </c>
      <c r="D474">
        <f>IF(Skills!C19=1,60+Inputs!$B$25+Inputs!$B$29,IF(Skills!C19=2,90+Inputs!$B$26+Inputs!$B$29,IF(Skills!C19=3,120+Inputs!$B$27+Inputs!$B$29,MAX(0,(Inputs!$B$3-100)*3)+Inputs!$B$28+Inputs!$B$29)))</f>
        <v/>
      </c>
      <c r="E474">
        <f>INDEX(FactorTable!$B$2:$Y$301, MATCH(ROUND(MIN(300,MAX(1,D474)),0), FactorTable!$A$2:$A$301,0), Skills!M19+1)</f>
        <v/>
      </c>
      <c r="F474">
        <f>IF(Skills!N19=TRUE,(Skills!L19/10)*(E474/1000),Skills!L19/10)+Skills!O19</f>
        <v/>
      </c>
      <c r="G474">
        <f>Skills!G19*IF(Skills!H19&gt;0,INT(IF(Inputs!$B$38="pvp",MIN(Skills!I19,15),Skills!I19)/Skills!H19+0.000000001),1)</f>
        <v/>
      </c>
      <c r="H474">
        <f>1-(1-Skills!J19/100)^Skills!K19</f>
        <v/>
      </c>
      <c r="I474" t="inlineStr">
        <is>
          <t>1</t>
        </is>
      </c>
      <c r="J474" t="inlineStr"/>
      <c r="K474" t="inlineStr"/>
      <c r="L474" t="inlineStr"/>
      <c r="M474" t="inlineStr"/>
      <c r="N474" t="inlineStr"/>
      <c r="O474">
        <f>(1-Summary!$B$11)*T474+Summary!$B$11*V474</f>
        <v/>
      </c>
      <c r="P474">
        <f>IF(B500=0,0,O474/B500)</f>
        <v/>
      </c>
      <c r="Q474" t="n">
        <v>0</v>
      </c>
      <c r="R474" t="n">
        <v>0</v>
      </c>
      <c r="S474">
        <f>IFERROR(O474/N474,0)</f>
        <v/>
      </c>
      <c r="T474" t="n">
        <v>0</v>
      </c>
      <c r="V474" t="n">
        <v>0</v>
      </c>
    </row>
    <row r="475">
      <c r="A475">
        <f>Skills!A20</f>
        <v/>
      </c>
      <c r="B475">
        <f>Skills!B20</f>
        <v/>
      </c>
      <c r="C475">
        <f>Inputs!$B$3&gt;=72</f>
        <v/>
      </c>
      <c r="D475">
        <f>IF(Skills!C20=1,60+Inputs!$B$25+Inputs!$B$29,IF(Skills!C20=2,90+Inputs!$B$26+Inputs!$B$29,IF(Skills!C20=3,120+Inputs!$B$27+Inputs!$B$29,MAX(0,(Inputs!$B$3-100)*3)+Inputs!$B$28+Inputs!$B$29)))</f>
        <v/>
      </c>
      <c r="E475">
        <f>INDEX(FactorTable!$B$2:$Y$301, MATCH(ROUND(MIN(300,MAX(1,D475)),0), FactorTable!$A$2:$A$301,0), Skills!M20+1)</f>
        <v/>
      </c>
      <c r="F475">
        <f>IF(Skills!N20=TRUE,(Skills!L20/10)*(E475/1000),Skills!L20/10)+Skills!O20</f>
        <v/>
      </c>
      <c r="G475">
        <f>Skills!G20*IF(Skills!H20&gt;0,INT(IF(Inputs!$B$38="pvp",MIN(Skills!I20,15),Skills!I20)/Skills!H20+0.000000001),1)</f>
        <v/>
      </c>
      <c r="H475">
        <f>1-(1-Skills!J20/100)^Skills!K20</f>
        <v/>
      </c>
      <c r="I475" t="inlineStr">
        <is>
          <t>1</t>
        </is>
      </c>
      <c r="J475" t="inlineStr"/>
      <c r="K475" t="inlineStr"/>
      <c r="L475" t="inlineStr"/>
      <c r="M475" t="inlineStr"/>
      <c r="N475" t="inlineStr"/>
      <c r="O475">
        <f>(1-Summary!$B$11)*T475+Summary!$B$11*V475</f>
        <v/>
      </c>
      <c r="P475">
        <f>IF(B500=0,0,O475/B500)</f>
        <v/>
      </c>
      <c r="Q475" t="n">
        <v>0</v>
      </c>
      <c r="R475" t="n">
        <v>0</v>
      </c>
      <c r="S475">
        <f>IFERROR(O475/N475,0)</f>
        <v/>
      </c>
      <c r="T475" t="n">
        <v>0</v>
      </c>
      <c r="V475" t="n">
        <v>0</v>
      </c>
    </row>
    <row r="476">
      <c r="A476">
        <f>Skills!A21</f>
        <v/>
      </c>
      <c r="B476">
        <f>Skills!B21</f>
        <v/>
      </c>
      <c r="C476">
        <f>TRUE</f>
        <v/>
      </c>
      <c r="D476">
        <f>IF(Skills!C21=1,60+Inputs!$B$25+Inputs!$B$29,IF(Skills!C21=2,90+Inputs!$B$26+Inputs!$B$29,IF(Skills!C21=3,120+Inputs!$B$27+Inputs!$B$29,MAX(0,(Inputs!$B$3-100)*3)+Inputs!$B$28+Inputs!$B$29)))</f>
        <v/>
      </c>
      <c r="E476">
        <f>INDEX(FactorTable!$B$2:$Y$301, MATCH(ROUND(MIN(300,MAX(1,D476)),0), FactorTable!$A$2:$A$301,0), Skills!M21+1)</f>
        <v/>
      </c>
      <c r="F476">
        <f>IF(Skills!N21=TRUE,(Skills!L21/10)*(E476/1000),Skills!L21/10)+Skills!O21</f>
        <v/>
      </c>
      <c r="G476">
        <f>Skills!G21*IF(Skills!H21&gt;0,INT(IF(Inputs!$B$38="pvp",MIN(Skills!I21,15),Skills!I21)/Skills!H21+0.000000001),1)</f>
        <v/>
      </c>
      <c r="H476">
        <f>1-(1-Skills!J21/100)^Skills!K21</f>
        <v/>
      </c>
      <c r="I476" t="inlineStr">
        <is>
          <t>1</t>
        </is>
      </c>
      <c r="J476" t="inlineStr"/>
      <c r="K476" t="inlineStr"/>
      <c r="L476" t="inlineStr"/>
      <c r="M476" t="inlineStr"/>
      <c r="N476" t="inlineStr"/>
      <c r="O476">
        <f>(1-Summary!$B$11)*T476+Summary!$B$11*V476</f>
        <v/>
      </c>
      <c r="P476">
        <f>IF(B500=0,0,O476/B500)</f>
        <v/>
      </c>
      <c r="Q476">
        <f>IFERROR(1/(IF(Inputs!$B$38="pvp",15,MAX(0.1,Skills!D21-IF(TRUE=TRUE,Inputs!$B$32,0)))*(1-IF(AND(ArtifactsInput!$M$27,Inputs!$B$4="Chapter Hunt"),CHOOSE(ArtifactsInput!$N$27+1,20,24,28,32,36,40),0)/100)),0)</f>
        <v/>
      </c>
      <c r="R476">
        <f>IF(AND(Inputs!$B$38&lt;&gt;"pvp",Inputs!$B$43&gt;0),IF(Inputs!$B$43&lt;=0,0,(INT(Inputs!$B$43/(IF(Inputs!$B$38="pvp",15,MAX(0.1,Skills!D21-IF(TRUE=TRUE,Inputs!$B$32,0)))*(1-IF(AND(ArtifactsInput!$M$27,Inputs!$B$4="Chapter Hunt"),CHOOSE(ArtifactsInput!$N$27+1,20,24,28,32,36,40),0)/100)))+1)),0)</f>
        <v/>
      </c>
      <c r="S476">
        <f>IFERROR(O476/N476,0)</f>
        <v/>
      </c>
      <c r="T476" t="n">
        <v>0</v>
      </c>
      <c r="V476" t="n">
        <v>0</v>
      </c>
    </row>
    <row r="477">
      <c r="A477">
        <f>Skills!A22</f>
        <v/>
      </c>
      <c r="B477">
        <f>Skills!B22</f>
        <v/>
      </c>
      <c r="C477">
        <f>Inputs!$B$3&gt;=15</f>
        <v/>
      </c>
      <c r="D477">
        <f>IF(Skills!C22=1,60+Inputs!$B$25+Inputs!$B$29,IF(Skills!C22=2,90+Inputs!$B$26+Inputs!$B$29,IF(Skills!C22=3,120+Inputs!$B$27+Inputs!$B$29,MAX(0,(Inputs!$B$3-100)*3)+Inputs!$B$28+Inputs!$B$29)))</f>
        <v/>
      </c>
      <c r="E477">
        <f>INDEX(FactorTable!$B$2:$Y$301, MATCH(ROUND(MIN(300,MAX(1,D477)),0), FactorTable!$A$2:$A$301,0), Skills!M22+1)</f>
        <v/>
      </c>
      <c r="F477">
        <f>IF(Skills!N22=TRUE,(Skills!L22/10)*(E477/1000),Skills!L22/10)+Skills!O22</f>
        <v/>
      </c>
      <c r="G477">
        <f>Skills!G22*IF(Skills!H22&gt;0,INT(IF(Inputs!$B$38="pvp",MIN(Skills!I22,15),Skills!I22)/Skills!H22+0.000000001),1)</f>
        <v/>
      </c>
      <c r="H477">
        <f>1-(1-Skills!J22/100)^Skills!K22</f>
        <v/>
      </c>
      <c r="I477" t="inlineStr">
        <is>
          <t>1</t>
        </is>
      </c>
      <c r="J477" t="inlineStr"/>
      <c r="K477" t="inlineStr"/>
      <c r="L477" t="inlineStr"/>
      <c r="M477" t="inlineStr"/>
      <c r="N477" t="inlineStr"/>
      <c r="O477">
        <f>(1-Summary!$B$11)*T477+Summary!$B$11*V477</f>
        <v/>
      </c>
      <c r="P477">
        <f>IF(B500=0,0,O477/B500)</f>
        <v/>
      </c>
      <c r="Q477" t="n">
        <v>0</v>
      </c>
      <c r="R477" t="n">
        <v>0</v>
      </c>
      <c r="S477">
        <f>IFERROR(O477/N477,0)</f>
        <v/>
      </c>
      <c r="T477" t="n">
        <v>0</v>
      </c>
      <c r="V477" t="n">
        <v>0</v>
      </c>
    </row>
    <row r="478">
      <c r="A478">
        <f>Skills!A23</f>
        <v/>
      </c>
      <c r="B478">
        <f>Skills!B23</f>
        <v/>
      </c>
      <c r="C478">
        <f>Inputs!$B$3&gt;=10</f>
        <v/>
      </c>
      <c r="D478">
        <f>IF(Skills!C23=1,60+Inputs!$B$25+Inputs!$B$29,IF(Skills!C23=2,90+Inputs!$B$26+Inputs!$B$29,IF(Skills!C23=3,120+Inputs!$B$27+Inputs!$B$29,MAX(0,(Inputs!$B$3-100)*3)+Inputs!$B$28+Inputs!$B$29)))</f>
        <v/>
      </c>
      <c r="E478">
        <f>INDEX(FactorTable!$B$2:$Y$301, MATCH(ROUND(MIN(300,MAX(1,D478)),0), FactorTable!$A$2:$A$301,0), Skills!M23+1)</f>
        <v/>
      </c>
      <c r="F478">
        <f>IF(Skills!N23=TRUE,(Skills!L23/10)*(E478/1000),Skills!L23/10)+Skills!O23</f>
        <v/>
      </c>
      <c r="G478">
        <f>Skills!G23*IF(Skills!H23&gt;0,INT(IF(Inputs!$B$38="pvp",MIN(Skills!I23,15),Skills!I23)/Skills!H23+0.000000001),1)</f>
        <v/>
      </c>
      <c r="H478">
        <f>1-(1-Skills!J23/100)^Skills!K23</f>
        <v/>
      </c>
      <c r="I478" t="inlineStr">
        <is>
          <t>1</t>
        </is>
      </c>
      <c r="J478" t="inlineStr"/>
      <c r="K478" t="inlineStr"/>
      <c r="L478" t="inlineStr"/>
      <c r="M478" t="inlineStr"/>
      <c r="N478" t="inlineStr"/>
      <c r="O478">
        <f>(1-Summary!$B$11)*T478+Summary!$B$11*V478</f>
        <v/>
      </c>
      <c r="P478">
        <f>IF(B500=0,0,O478/B500)</f>
        <v/>
      </c>
      <c r="Q478" t="n">
        <v>0</v>
      </c>
      <c r="R478" t="n">
        <v>0</v>
      </c>
      <c r="S478">
        <f>IFERROR(O478/N478,0)</f>
        <v/>
      </c>
      <c r="T478" t="n">
        <v>0</v>
      </c>
      <c r="V478" t="n">
        <v>0</v>
      </c>
    </row>
    <row r="479">
      <c r="A479">
        <f>Skills!A24</f>
        <v/>
      </c>
      <c r="B479">
        <f>Skills!B24</f>
        <v/>
      </c>
      <c r="C479">
        <f>Inputs!$B$3&gt;=33</f>
        <v/>
      </c>
      <c r="D479">
        <f>IF(Skills!C24=1,60+Inputs!$B$25+Inputs!$B$29,IF(Skills!C24=2,90+Inputs!$B$26+Inputs!$B$29,IF(Skills!C24=3,120+Inputs!$B$27+Inputs!$B$29,MAX(0,(Inputs!$B$3-100)*3)+Inputs!$B$28+Inputs!$B$29)))</f>
        <v/>
      </c>
      <c r="E479">
        <f>INDEX(FactorTable!$B$2:$Y$301, MATCH(ROUND(MIN(300,MAX(1,D479)),0), FactorTable!$A$2:$A$301,0), Skills!M24+1)</f>
        <v/>
      </c>
      <c r="F479">
        <f>IF(Skills!N24=TRUE,(Skills!L24/10)*(E479/1000),Skills!L24/10)+Skills!O24</f>
        <v/>
      </c>
      <c r="G479">
        <f>Skills!G24*IF(Skills!H24&gt;0,INT(IF(Inputs!$B$38="pvp",MIN(Skills!I24,15),Skills!I24)/Skills!H24+0.000000001),1)</f>
        <v/>
      </c>
      <c r="H479">
        <f>1-(1-Skills!J24/100)^Skills!K24</f>
        <v/>
      </c>
      <c r="I479" t="inlineStr">
        <is>
          <t>1</t>
        </is>
      </c>
      <c r="J479" t="inlineStr"/>
      <c r="K479" t="inlineStr"/>
      <c r="L479" t="inlineStr"/>
      <c r="M479" t="inlineStr"/>
      <c r="N479" t="inlineStr"/>
      <c r="O479">
        <f>(1-Summary!$B$11)*T479+Summary!$B$11*V479</f>
        <v/>
      </c>
      <c r="P479">
        <f>IF(B500=0,0,O479/B500)</f>
        <v/>
      </c>
      <c r="Q479" t="n">
        <v>0</v>
      </c>
      <c r="R479" t="n">
        <v>0</v>
      </c>
      <c r="S479">
        <f>IFERROR(O479/N479,0)</f>
        <v/>
      </c>
      <c r="T479" t="n">
        <v>0</v>
      </c>
      <c r="V479" t="n">
        <v>0</v>
      </c>
    </row>
    <row r="480">
      <c r="A480">
        <f>Skills!A25</f>
        <v/>
      </c>
      <c r="B480">
        <f>Skills!B25</f>
        <v/>
      </c>
      <c r="C480">
        <f>Inputs!$B$3&gt;=38</f>
        <v/>
      </c>
      <c r="D480">
        <f>IF(Skills!C25=1,60+Inputs!$B$25+Inputs!$B$29,IF(Skills!C25=2,90+Inputs!$B$26+Inputs!$B$29,IF(Skills!C25=3,120+Inputs!$B$27+Inputs!$B$29,MAX(0,(Inputs!$B$3-100)*3)+Inputs!$B$28+Inputs!$B$29)))</f>
        <v/>
      </c>
      <c r="E480">
        <f>INDEX(FactorTable!$B$2:$Y$301, MATCH(ROUND(MIN(300,MAX(1,D480)),0), FactorTable!$A$2:$A$301,0), Skills!M25+1)</f>
        <v/>
      </c>
      <c r="F480">
        <f>IF(Skills!N25=TRUE,(Skills!L25/10)*(E480/1000),Skills!L25/10)+Skills!O25</f>
        <v/>
      </c>
      <c r="G480">
        <f>Skills!G25*IF(Skills!H25&gt;0,INT(IF(Inputs!$B$38="pvp",MIN(Skills!I25,15),Skills!I25)/Skills!H25+0.000000001),1)</f>
        <v/>
      </c>
      <c r="H480">
        <f>1-(1-Skills!J25/100)^Skills!K25</f>
        <v/>
      </c>
      <c r="I480" t="inlineStr">
        <is>
          <t>1</t>
        </is>
      </c>
      <c r="J480" t="inlineStr"/>
      <c r="K480" t="inlineStr"/>
      <c r="L480" t="inlineStr"/>
      <c r="M480" t="inlineStr"/>
      <c r="N480" t="inlineStr"/>
      <c r="O480">
        <f>(1-Summary!$B$11)*T480+Summary!$B$11*V480</f>
        <v/>
      </c>
      <c r="P480">
        <f>IF(B500=0,0,O480/B500)</f>
        <v/>
      </c>
      <c r="Q480" t="n">
        <v>0</v>
      </c>
      <c r="R480" t="n">
        <v>0</v>
      </c>
      <c r="S480">
        <f>IFERROR(O480/N480,0)</f>
        <v/>
      </c>
      <c r="T480" t="n">
        <v>0</v>
      </c>
      <c r="V480" t="n">
        <v>0</v>
      </c>
    </row>
    <row r="481">
      <c r="A481">
        <f>Skills!A26</f>
        <v/>
      </c>
      <c r="B481">
        <f>Skills!B26</f>
        <v/>
      </c>
      <c r="C481">
        <f>Inputs!$B$3&gt;=43</f>
        <v/>
      </c>
      <c r="D481">
        <f>IF(Skills!C26=1,60+Inputs!$B$25+Inputs!$B$29,IF(Skills!C26=2,90+Inputs!$B$26+Inputs!$B$29,IF(Skills!C26=3,120+Inputs!$B$27+Inputs!$B$29,MAX(0,(Inputs!$B$3-100)*3)+Inputs!$B$28+Inputs!$B$29)))</f>
        <v/>
      </c>
      <c r="E481">
        <f>INDEX(FactorTable!$B$2:$Y$301, MATCH(ROUND(MIN(300,MAX(1,D481)),0), FactorTable!$A$2:$A$301,0), Skills!M26+1)</f>
        <v/>
      </c>
      <c r="F481">
        <f>IF(Skills!N26=TRUE,(Skills!L26/10)*(E481/1000),Skills!L26/10)+Skills!O26</f>
        <v/>
      </c>
      <c r="G481">
        <f>Skills!G26*IF(Skills!H26&gt;0,INT(IF(Inputs!$B$38="pvp",MIN(Skills!I26,15),Skills!I26)/Skills!H26+0.000000001),1)</f>
        <v/>
      </c>
      <c r="H481">
        <f>1-(1-Skills!J26/100)^Skills!K26</f>
        <v/>
      </c>
      <c r="I481" t="inlineStr">
        <is>
          <t>1</t>
        </is>
      </c>
      <c r="J481" t="inlineStr"/>
      <c r="K481" t="inlineStr"/>
      <c r="L481" t="inlineStr"/>
      <c r="M481" t="inlineStr"/>
      <c r="N481" t="inlineStr"/>
      <c r="O481">
        <f>(1-Summary!$B$11)*T481+Summary!$B$11*V481</f>
        <v/>
      </c>
      <c r="P481">
        <f>IF(B500=0,0,O481/B500)</f>
        <v/>
      </c>
      <c r="Q481" t="n">
        <v>0</v>
      </c>
      <c r="R481" t="n">
        <v>0</v>
      </c>
      <c r="S481">
        <f>IFERROR(O481/N481,0)</f>
        <v/>
      </c>
      <c r="T481" t="n">
        <v>0</v>
      </c>
      <c r="V481" t="n">
        <v>0</v>
      </c>
    </row>
    <row r="482">
      <c r="A482">
        <f>Skills!A27</f>
        <v/>
      </c>
      <c r="B482">
        <f>Skills!B27</f>
        <v/>
      </c>
      <c r="C482">
        <f>Inputs!$B$3&gt;=75</f>
        <v/>
      </c>
      <c r="D482">
        <f>IF(Skills!C27=1,60+Inputs!$B$25+Inputs!$B$29,IF(Skills!C27=2,90+Inputs!$B$26+Inputs!$B$29,IF(Skills!C27=3,120+Inputs!$B$27+Inputs!$B$29,MAX(0,(Inputs!$B$3-100)*3)+Inputs!$B$28+Inputs!$B$29)))</f>
        <v/>
      </c>
      <c r="E482">
        <f>INDEX(FactorTable!$B$2:$Y$301, MATCH(ROUND(MIN(300,MAX(1,D482)),0), FactorTable!$A$2:$A$301,0), Skills!M27+1)</f>
        <v/>
      </c>
      <c r="F482">
        <f>IF(Skills!N27=TRUE,(Skills!L27/10)*(E482/1000),Skills!L27/10)+Skills!O27</f>
        <v/>
      </c>
      <c r="G482">
        <f>Skills!G27*IF(Skills!H27&gt;0,INT(IF(Inputs!$B$38="pvp",MIN(Skills!I27,15),Skills!I27)/Skills!H27+0.000000001),1)</f>
        <v/>
      </c>
      <c r="H482">
        <f>1-(1-Skills!J27/100)^Skills!K27</f>
        <v/>
      </c>
      <c r="I482" t="inlineStr">
        <is>
          <t>1</t>
        </is>
      </c>
      <c r="J482" t="inlineStr"/>
      <c r="K482" t="inlineStr"/>
      <c r="L482" t="inlineStr"/>
      <c r="M482" t="inlineStr"/>
      <c r="N482" t="inlineStr"/>
      <c r="O482">
        <f>(1-Summary!$B$11)*T482+Summary!$B$11*V482</f>
        <v/>
      </c>
      <c r="P482">
        <f>IF(B500=0,0,O482/B500)</f>
        <v/>
      </c>
      <c r="Q482" t="n">
        <v>0</v>
      </c>
      <c r="R482" t="n">
        <v>0</v>
      </c>
      <c r="S482">
        <f>IFERROR(O482/N482,0)</f>
        <v/>
      </c>
      <c r="T482" t="n">
        <v>0</v>
      </c>
      <c r="V482" t="n">
        <v>0</v>
      </c>
    </row>
    <row r="483">
      <c r="A483">
        <f>Skills!A28</f>
        <v/>
      </c>
      <c r="B483">
        <f>Skills!B28</f>
        <v/>
      </c>
      <c r="C483">
        <f>Inputs!$B$3&gt;=125</f>
        <v/>
      </c>
      <c r="D483">
        <f>IF(Skills!C28=1,60+Inputs!$B$25+Inputs!$B$29,IF(Skills!C28=2,90+Inputs!$B$26+Inputs!$B$29,IF(Skills!C28=3,120+Inputs!$B$27+Inputs!$B$29,MAX(0,(Inputs!$B$3-100)*3)+Inputs!$B$28+Inputs!$B$29)))</f>
        <v/>
      </c>
      <c r="E483">
        <f>INDEX(FactorTable!$B$2:$Y$301, MATCH(ROUND(MIN(300,MAX(1,D483)),0), FactorTable!$A$2:$A$301,0), Skills!M28+1)</f>
        <v/>
      </c>
      <c r="F483">
        <f>IF(Skills!N28=TRUE,(Skills!L28/10)*(E483/1000),Skills!L28/10)+Skills!O28</f>
        <v/>
      </c>
      <c r="G483">
        <f>Skills!G28*IF(Skills!H28&gt;0,INT(IF(Inputs!$B$38="pvp",MIN(Skills!I28,15),Skills!I28)/Skills!H28+0.000000001),1)</f>
        <v/>
      </c>
      <c r="H483">
        <f>1-(1-Skills!J28/100)^Skills!K28</f>
        <v/>
      </c>
      <c r="I483" t="inlineStr">
        <is>
          <t>1</t>
        </is>
      </c>
      <c r="J483" t="inlineStr"/>
      <c r="K483" t="inlineStr"/>
      <c r="L483" t="inlineStr"/>
      <c r="M483" t="inlineStr"/>
      <c r="N483" t="inlineStr"/>
      <c r="O483">
        <f>(1-Summary!$B$11)*T483+Summary!$B$11*V483</f>
        <v/>
      </c>
      <c r="P483">
        <f>IF(B500=0,0,O483/B500)</f>
        <v/>
      </c>
      <c r="Q483" t="n">
        <v>0</v>
      </c>
      <c r="R483" t="n">
        <v>0</v>
      </c>
      <c r="S483">
        <f>IFERROR(O483/N483,0)</f>
        <v/>
      </c>
      <c r="T483" t="n">
        <v>0</v>
      </c>
      <c r="V483" t="n">
        <v>0</v>
      </c>
    </row>
    <row r="484">
      <c r="A484">
        <f>Skills!A29</f>
        <v/>
      </c>
      <c r="B484">
        <f>Skills!B29</f>
        <v/>
      </c>
      <c r="C484">
        <f>Inputs!$B$3&gt;=125</f>
        <v/>
      </c>
      <c r="D484">
        <f>IF(Skills!C29=1,60+Inputs!$B$25+Inputs!$B$29,IF(Skills!C29=2,90+Inputs!$B$26+Inputs!$B$29,IF(Skills!C29=3,120+Inputs!$B$27+Inputs!$B$29,MAX(0,(Inputs!$B$3-100)*3)+Inputs!$B$28+Inputs!$B$29)))</f>
        <v/>
      </c>
      <c r="E484">
        <f>INDEX(FactorTable!$B$2:$Y$301, MATCH(ROUND(MIN(300,MAX(1,D484)),0), FactorTable!$A$2:$A$301,0), Skills!M29+1)</f>
        <v/>
      </c>
      <c r="F484">
        <f>IF(Skills!N29=TRUE,(Skills!L29/10)*(E484/1000),Skills!L29/10)+Skills!O29</f>
        <v/>
      </c>
      <c r="G484">
        <f>Skills!G29*IF(Skills!H29&gt;0,INT(IF(Inputs!$B$38="pvp",MIN(Skills!I29,15),Skills!I29)/Skills!H29+0.000000001),1)</f>
        <v/>
      </c>
      <c r="H484">
        <f>1-(1-Skills!J29/100)^Skills!K29</f>
        <v/>
      </c>
      <c r="I484" t="inlineStr">
        <is>
          <t>1</t>
        </is>
      </c>
      <c r="J484" t="inlineStr"/>
      <c r="K484" t="inlineStr"/>
      <c r="L484" t="inlineStr"/>
      <c r="M484" t="inlineStr"/>
      <c r="N484" t="inlineStr"/>
      <c r="O484">
        <f>(1-Summary!$B$11)*T484+Summary!$B$11*V484</f>
        <v/>
      </c>
      <c r="P484">
        <f>IF(B500=0,0,O484/B500)</f>
        <v/>
      </c>
      <c r="Q484" t="n">
        <v>0</v>
      </c>
      <c r="R484" t="n">
        <v>0</v>
      </c>
      <c r="S484">
        <f>IFERROR(O484/N484,0)</f>
        <v/>
      </c>
      <c r="T484" t="n">
        <v>0</v>
      </c>
      <c r="V484" t="n">
        <v>0</v>
      </c>
    </row>
    <row r="485">
      <c r="A485">
        <f>Skills!A30</f>
        <v/>
      </c>
      <c r="B485">
        <f>Skills!B30</f>
        <v/>
      </c>
      <c r="C485">
        <f>Inputs!$B$3&gt;=120</f>
        <v/>
      </c>
      <c r="D485">
        <f>IF(Skills!C30=1,60+Inputs!$B$25+Inputs!$B$29,IF(Skills!C30=2,90+Inputs!$B$26+Inputs!$B$29,IF(Skills!C30=3,120+Inputs!$B$27+Inputs!$B$29,MAX(0,(Inputs!$B$3-100)*3)+Inputs!$B$28+Inputs!$B$29)))</f>
        <v/>
      </c>
      <c r="E485">
        <f>INDEX(FactorTable!$B$2:$Y$301, MATCH(ROUND(MIN(300,MAX(1,D485)),0), FactorTable!$A$2:$A$301,0), Skills!M30+1)</f>
        <v/>
      </c>
      <c r="F485">
        <f>IF(Skills!N30=TRUE,(Skills!L30/10)*(E485/1000),Skills!L30/10)+Skills!O30</f>
        <v/>
      </c>
      <c r="G485">
        <f>Skills!G30*IF(Skills!H30&gt;0,INT(IF(Inputs!$B$38="pvp",MIN(Skills!I30,15),Skills!I30)/Skills!H30+0.000000001),1)</f>
        <v/>
      </c>
      <c r="H485">
        <f>1-(1-Skills!J30/100)^Skills!K30</f>
        <v/>
      </c>
      <c r="I485" t="inlineStr">
        <is>
          <t>1</t>
        </is>
      </c>
      <c r="J485" t="inlineStr"/>
      <c r="K485" t="inlineStr"/>
      <c r="L485" t="inlineStr"/>
      <c r="M485" t="inlineStr"/>
      <c r="N485" t="inlineStr"/>
      <c r="O485">
        <f>(1-Summary!$B$11)*T485+Summary!$B$11*V485</f>
        <v/>
      </c>
      <c r="P485">
        <f>IF(B500=0,0,O485/B500)</f>
        <v/>
      </c>
      <c r="Q485" t="n">
        <v>0</v>
      </c>
      <c r="R485" t="n">
        <v>0</v>
      </c>
      <c r="S485">
        <f>IFERROR(O485/N485,0)</f>
        <v/>
      </c>
      <c r="T485" t="n">
        <v>0</v>
      </c>
      <c r="V485" t="n">
        <v>0</v>
      </c>
    </row>
    <row r="486">
      <c r="A486">
        <f>Skills!A31</f>
        <v/>
      </c>
      <c r="B486">
        <f>Skills!B31</f>
        <v/>
      </c>
      <c r="C486">
        <f>Inputs!$B$3&gt;=120</f>
        <v/>
      </c>
      <c r="D486">
        <f>IF(Skills!C31=1,60+Inputs!$B$25+Inputs!$B$29,IF(Skills!C31=2,90+Inputs!$B$26+Inputs!$B$29,IF(Skills!C31=3,120+Inputs!$B$27+Inputs!$B$29,MAX(0,(Inputs!$B$3-100)*3)+Inputs!$B$28+Inputs!$B$29)))</f>
        <v/>
      </c>
      <c r="E486">
        <f>INDEX(FactorTable!$B$2:$Y$301, MATCH(ROUND(MIN(300,MAX(1,D486)),0), FactorTable!$A$2:$A$301,0), Skills!M31+1)</f>
        <v/>
      </c>
      <c r="F486">
        <f>IF(Skills!N31=TRUE,(Skills!L31/10)*(E486/1000),Skills!L31/10)+Skills!O31</f>
        <v/>
      </c>
      <c r="G486">
        <f>Skills!G31*IF(Skills!H31&gt;0,INT(IF(Inputs!$B$38="pvp",MIN(Skills!I31,15),Skills!I31)/Skills!H31+0.000000001),1)</f>
        <v/>
      </c>
      <c r="H486">
        <f>1-(1-Skills!J31/100)^Skills!K31</f>
        <v/>
      </c>
      <c r="I486" t="inlineStr">
        <is>
          <t>1</t>
        </is>
      </c>
      <c r="J486" t="inlineStr"/>
      <c r="K486" t="inlineStr"/>
      <c r="L486" t="inlineStr"/>
      <c r="M486" t="inlineStr"/>
      <c r="N486" t="inlineStr"/>
      <c r="O486">
        <f>(1-Summary!$B$11)*T486+Summary!$B$11*V486</f>
        <v/>
      </c>
      <c r="P486">
        <f>IF(B500=0,0,O486/B500)</f>
        <v/>
      </c>
      <c r="Q486" t="n">
        <v>0</v>
      </c>
      <c r="R486" t="n">
        <v>0</v>
      </c>
      <c r="S486">
        <f>IFERROR(O486/N486,0)</f>
        <v/>
      </c>
      <c r="T486" t="n">
        <v>0</v>
      </c>
      <c r="V486" t="n">
        <v>0</v>
      </c>
    </row>
    <row r="487">
      <c r="A487">
        <f>Skills!A32</f>
        <v/>
      </c>
      <c r="B487">
        <f>Skills!B32</f>
        <v/>
      </c>
      <c r="C487">
        <f>Inputs!$B$3&gt;=45</f>
        <v/>
      </c>
      <c r="D487">
        <f>IF(Skills!C32=1,60+Inputs!$B$25+Inputs!$B$29,IF(Skills!C32=2,90+Inputs!$B$26+Inputs!$B$29,IF(Skills!C32=3,120+Inputs!$B$27+Inputs!$B$29,MAX(0,(Inputs!$B$3-100)*3)+Inputs!$B$28+Inputs!$B$29)))</f>
        <v/>
      </c>
      <c r="E487">
        <f>INDEX(FactorTable!$B$2:$Y$301, MATCH(ROUND(MIN(300,MAX(1,D487)),0), FactorTable!$A$2:$A$301,0), Skills!M32+1)</f>
        <v/>
      </c>
      <c r="F487">
        <f>IF(Skills!N32=TRUE,(Skills!L32/10)*(E487/1000),Skills!L32/10)+Skills!O32</f>
        <v/>
      </c>
      <c r="G487">
        <f>Skills!G32*IF(Skills!H32&gt;0,INT(IF(Inputs!$B$38="pvp",MIN(Skills!I32,15),Skills!I32)/Skills!H32+0.000000001),1)</f>
        <v/>
      </c>
      <c r="H487">
        <f>1-(1-Skills!J32/100)^Skills!K32</f>
        <v/>
      </c>
      <c r="I487" t="inlineStr">
        <is>
          <t>1</t>
        </is>
      </c>
      <c r="J487" t="inlineStr"/>
      <c r="K487" t="inlineStr"/>
      <c r="L487" t="inlineStr"/>
      <c r="M487" t="inlineStr"/>
      <c r="N487" t="inlineStr"/>
      <c r="O487">
        <f>(1-Summary!$B$11)*T487+Summary!$B$11*V487</f>
        <v/>
      </c>
      <c r="P487">
        <f>IF(B500=0,0,O487/B500)</f>
        <v/>
      </c>
      <c r="Q487" t="n">
        <v>0</v>
      </c>
      <c r="R487" t="n">
        <v>0</v>
      </c>
      <c r="S487">
        <f>IFERROR(O487/N487,0)</f>
        <v/>
      </c>
      <c r="T487" t="n">
        <v>0</v>
      </c>
      <c r="V487" t="n">
        <v>0</v>
      </c>
    </row>
    <row r="489">
      <c r="A489" t="inlineStr">
        <is>
          <t>Attack% Bucket Multiplier</t>
        </is>
      </c>
      <c r="B489">
        <f>(1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0">
      <c r="A490" t="inlineStr">
        <is>
          <t>Global Crit Rate Bonus %</t>
        </is>
      </c>
      <c r="B490" t="n">
        <v>0</v>
      </c>
    </row>
    <row r="491">
      <c r="A491" t="inlineStr">
        <is>
          <t>Attack Speed Buff Bonus %</t>
        </is>
      </c>
      <c r="B491">
        <f>((C476=TRUE)*F476*IF(AND(Inputs!$B$38&lt;&gt;"pvp",Inputs!$B$43&gt;0),(((R476-1)*MIN((Skills!T21*(1+Inputs!$B$34/100)),(1/Q476))+MIN((Skills!T21*(1+Inputs!$B$34/100)),MAX(0,Inputs!$B$43-((R476-1)*(1/Q476)))))/Inputs!$B$43),IF(Inputs!$B$38="pvp",MIN((Skills!T21*(1+Inputs!$B$34/100)),15)/15,MIN(1,(Skills!T21*(1+Inputs!$B$34/100))/(1/Q476)))))</f>
        <v/>
      </c>
    </row>
    <row r="492">
      <c r="A492" t="inlineStr">
        <is>
          <t>Actions Per Second</t>
        </is>
      </c>
      <c r="B492">
        <f>1+MIN(150,150*(1-(1-(Inputs!$B$11+((C478=TRUE)*(F478-Calc!F23))+((C479=TRUE)*(F479-Calc!F24)))/150)*(1-B491/150)))/100</f>
        <v/>
      </c>
    </row>
    <row r="493">
      <c r="A493" t="inlineStr">
        <is>
          <t>Skill + Buff Cast Rate</t>
        </is>
      </c>
      <c r="B493">
        <f>IF(AND(Inputs!$B$38&lt;&gt;"pvp",Inputs!$B$43&gt;0),SUMPRODUCT((Skills!E2:E32=TRUE)*(C457:C487=TRUE)*R457:R487*Skills!F2:F32)/Inputs!$B$43,SUMPRODUCT((Skills!E2:E32=TRUE)*(C457:C487=TRUE)*Q457:Q487*Skills!F2:F32))</f>
        <v/>
      </c>
    </row>
    <row r="494">
      <c r="A494" t="inlineStr">
        <is>
          <t>Arrow Stream Casts Per Second</t>
        </is>
      </c>
      <c r="B494">
        <f>MAX(0,B492-B493)</f>
        <v/>
      </c>
    </row>
    <row r="495">
      <c r="A495" t="inlineStr">
        <is>
          <t>Global Critical Damage Bonus % (Sharp Eyes + Concentration)</t>
        </is>
      </c>
      <c r="B495">
        <f>(C473=TRUE)*F473*IF(AND(Inputs!$B$38&lt;&gt;"pvp",Inputs!$B$43&gt;0),(((R473-1)*MIN((Skills!T18*(1+Inputs!$B$34/100)),(1/Q473))+MIN((Skills!T18*(1+Inputs!$B$34/100)),MAX(0,Inputs!$B$43-((R473-1)*(1/Q473)))))/Inputs!$B$43),IF(Inputs!$B$38="pvp",MIN((Skills!T18*(1+Inputs!$B$34/100)),15)/15,MIN(1,(Skills!T18*(1+Inputs!$B$34/100))/(1/Q473))))+(C474=TRUE)*7*F474</f>
        <v/>
      </c>
    </row>
    <row r="496">
      <c r="A496" t="inlineStr">
        <is>
          <t>Global Final Damage Bonus % (Mortal Blow)</t>
        </is>
      </c>
      <c r="B496">
        <f>(C475=TRUE)*F475</f>
        <v/>
      </c>
    </row>
    <row r="497">
      <c r="A497" t="inlineStr">
        <is>
          <t>Buff-Casting Startup Delay (s, fixed-duration only)</t>
        </is>
      </c>
      <c r="B497">
        <f>IF(AND(Inputs!$B$38&lt;&gt;"pvp",Inputs!$B$43&gt;0),SUMPRODUCT((Skills!T2:T32&gt;0)*(Skills!E2:E32=TRUE)*(C457:C487=TRUE))/B492,0)</f>
        <v/>
      </c>
    </row>
    <row r="498">
      <c r="A498" t="inlineStr">
        <is>
          <t>Boss-Only Total DPS (this block's swept value)</t>
        </is>
      </c>
      <c r="B498">
        <f>SUM(T457:T487)</f>
        <v/>
      </c>
    </row>
    <row r="499">
      <c r="A499" t="inlineStr">
        <is>
          <t>Normal-Only Total DPS (this block's swept value)</t>
        </is>
      </c>
      <c r="B499">
        <f>SUM(V457:V487)</f>
        <v/>
      </c>
    </row>
    <row r="500">
      <c r="A500" s="6" t="inlineStr">
        <is>
          <t>TOTAL DPS</t>
        </is>
      </c>
      <c r="B500" s="6">
        <f>SUM(O457:O487)</f>
        <v/>
      </c>
    </row>
    <row r="503">
      <c r="A503" s="6" t="inlineStr">
        <is>
          <t>Stat: MAX_DAMAGE %</t>
        </is>
      </c>
    </row>
    <row r="504">
      <c r="A504" s="5" t="inlineStr">
        <is>
          <t>Key</t>
        </is>
      </c>
      <c r="B504" s="5" t="inlineStr">
        <is>
          <t>Name</t>
        </is>
      </c>
      <c r="C504" s="5" t="inlineStr">
        <is>
          <t>Unlocked</t>
        </is>
      </c>
      <c r="D504" s="5" t="inlineStr">
        <is>
          <t>InputLevel</t>
        </is>
      </c>
      <c r="E504" s="5" t="inlineStr">
        <is>
          <t>Factor</t>
        </is>
      </c>
      <c r="F504" s="5" t="inlineStr">
        <is>
          <t>CoefficientPercent</t>
        </is>
      </c>
      <c r="G504" s="5" t="inlineStr">
        <is>
          <t>EffectiveHits</t>
        </is>
      </c>
      <c r="H504" s="5" t="inlineStr">
        <is>
          <t>ProcProbability</t>
        </is>
      </c>
      <c r="I504" s="5" t="inlineStr">
        <is>
          <t>MapleHeroMultiplier</t>
        </is>
      </c>
      <c r="J504" s="5" t="inlineStr">
        <is>
          <t>BaseDamage</t>
        </is>
      </c>
      <c r="K504" s="5" t="inlineStr">
        <is>
          <t>BaseHitDamage</t>
        </is>
      </c>
      <c r="L504" s="5" t="inlineStr">
        <is>
          <t>NonCritAvg</t>
        </is>
      </c>
      <c r="M504" s="5" t="inlineStr">
        <is>
          <t>CritAvg</t>
        </is>
      </c>
      <c r="N504" s="5" t="inlineStr">
        <is>
          <t>ExpectedDamage(perHit)</t>
        </is>
      </c>
      <c r="O504" s="5" t="inlineStr">
        <is>
          <t>DPS</t>
        </is>
      </c>
      <c r="P504" s="5" t="inlineStr">
        <is>
          <t>% of Total</t>
        </is>
      </c>
      <c r="Q504" s="5" t="inlineStr">
        <is>
          <t>InvCooldown</t>
        </is>
      </c>
      <c r="R504" s="5" t="inlineStr">
        <is>
          <t>CastsInFight</t>
        </is>
      </c>
      <c r="S504" s="5" t="inlineStr">
        <is>
          <t>HitRate(perSec)</t>
        </is>
      </c>
      <c r="U504" t="inlineStr">
        <is>
          <t>helpers</t>
        </is>
      </c>
    </row>
    <row r="505">
      <c r="A505">
        <f>Skills!A2</f>
        <v/>
      </c>
      <c r="B505">
        <f>Skills!B2</f>
        <v/>
      </c>
      <c r="C505">
        <f>Inputs!$B$3&gt;=100</f>
        <v/>
      </c>
      <c r="D505" t="inlineStr"/>
      <c r="E505" t="inlineStr"/>
      <c r="F505">
        <f>U507+Skills!O2</f>
        <v/>
      </c>
      <c r="G505">
        <f>Skills!G2*IF(Skills!H2&gt;0,INT(IF(Inputs!$B$38="pvp",MIN(Skills!I2,15),Skills!I2)/Skills!H2+0.000000001),1)</f>
        <v/>
      </c>
      <c r="H505">
        <f>1-(1-Skills!J2/100)^Skills!K2</f>
        <v/>
      </c>
      <c r="I505" t="inlineStr">
        <is>
          <t>1</t>
        </is>
      </c>
      <c r="J505">
        <f>((Inputs!$B$6*(1+Inputs!$B$7/100))+(((Inputs!$B$12*(1+Inputs!$B$13/100))-(Inputs!$B$12*(1+Inputs!$B$13/100)))+0.25*(Inputs!$B$14-Inputs!$B$14))*(1+Inputs!$B$7/100))*(F505/100)</f>
        <v/>
      </c>
      <c r="K505">
        <f>J505*(1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529=TRUE)*(F529-Calc!F26)),((Inputs!$B$23+1)+((C534=TRUE)*(F534-Calc!F31))+(IF(ArtifactsInput!$M$15,CHOOSE(ArtifactsInput!$N$15+1,25,30,35,40,45,50)/100*(Inputs!$B$11-Inputs!$B$11),0))))/100+((Inputs!$B$23+1)+((C534=TRUE)*(F534-Calc!F31))+(IF(ArtifactsInput!$M$15,CHOOSE(ArtifactsInput!$N$15+1,25,30,35,40,45,50)/100*(Inputs!$B$11-Inputs!$B$11),0)))/100)/2</f>
        <v/>
      </c>
      <c r="M505">
        <f>L505*(1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5">
        <f>L505*(1-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IF(B548=0,0,O505/B548)</f>
        <v/>
      </c>
      <c r="Q505" t="n">
        <v>0</v>
      </c>
      <c r="R505" t="n">
        <v>0</v>
      </c>
      <c r="S505">
        <f>IFERROR(O505/N505,0)</f>
        <v/>
      </c>
      <c r="T505">
        <f>IF(C505,(Skills!G2*N505*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MAX(0,(Inputs!$B$3-100)*3)+Inputs!$B$28+Inputs!$B$29</f>
        <v/>
      </c>
      <c r="V505">
        <f>IF(C505,(Skills!G2*N505*B542)*IF(Inputs!$B$38="pvp",1,(1+(Inputs!$B$21+Skills!Q2+(IF(ArtifactsInput!$M$33,CHOOSE(ArtifactsInput!$N$33+1,30,36,42,48,54,60),0))+(IF(AND(ArtifactsInput!$M$35,Inputs!$B$4&lt;&gt;"Chapter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Skills!A3</f>
        <v/>
      </c>
      <c r="B506">
        <f>Skills!B3</f>
        <v/>
      </c>
      <c r="C506">
        <f>Inputs!$B$3&gt;=50</f>
        <v/>
      </c>
      <c r="D506">
        <f>IF(Skills!C3=1,60+Inputs!$B$25+Inputs!$B$29,IF(Skills!C3=2,90+Inputs!$B$26+Inputs!$B$29,IF(Skills!C3=3,120+Inputs!$B$27+Inputs!$B$29,MAX(0,(Inputs!$B$3-100)*3)+Inputs!$B$28+Inputs!$B$29)))</f>
        <v/>
      </c>
      <c r="E506">
        <f>INDEX(FactorTable!$B$2:$Y$301, MATCH(ROUND(MIN(300,MAX(1,D506)),0), FactorTable!$A$2:$A$301,0), Skills!M3+1)</f>
        <v/>
      </c>
      <c r="F506">
        <f>IF(Skills!N3=TRUE,(Skills!L3/10)*(E506/1000),Skills!L3/10)+Skills!O3</f>
        <v/>
      </c>
      <c r="G506">
        <f>Skills!G3*IF(Skills!H3&gt;0,INT(IF(Inputs!$B$38="pvp",MIN(Skills!I3,15),Skills!I3)/Skills!H3+0.000000001),1)</f>
        <v/>
      </c>
      <c r="H506">
        <f>1-(1-Skills!J3/100)^Skills!K3</f>
        <v/>
      </c>
      <c r="I506" t="inlineStr">
        <is>
          <t>1</t>
        </is>
      </c>
      <c r="J506">
        <f>((Inputs!$B$6*(1+Inputs!$B$7/100))+(((Inputs!$B$12*(1+Inputs!$B$13/100))-(Inputs!$B$12*(1+Inputs!$B$13/100)))+0.25*(Inputs!$B$14-Inputs!$B$14))*(1+Inputs!$B$7/100))*(F506/100)</f>
        <v/>
      </c>
      <c r="K506">
        <f>J506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529=TRUE)*(F529-Calc!F26)),((Inputs!$B$23+1)+((C534=TRUE)*(F534-Calc!F31))+(IF(ArtifactsInput!$M$15,CHOOSE(ArtifactsInput!$N$15+1,25,30,35,40,45,50)/100*(Inputs!$B$11-Inputs!$B$11),0))))/100+((Inputs!$B$23+1)+((C534=TRUE)*(F534-Calc!F31))+(IF(ArtifactsInput!$M$15,CHOOSE(ArtifactsInput!$N$15+1,25,30,35,40,45,50)/100*(Inputs!$B$11-Inputs!$B$11),0)))/100)/2</f>
        <v/>
      </c>
      <c r="M506">
        <f>L506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IF(B548=0,0,O506/B548)</f>
        <v/>
      </c>
      <c r="Q506">
        <f>IFERROR(1/(IF(Inputs!$B$38="pvp",15,MAX(0.1,1/B540-IF(FALSE=TRUE,Inputs!$B$32,0)))*(1-IF(AND(ArtifactsInput!$M$27,Inputs!$B$4="Chapter Hunt"),CHOOSE(ArtifactsInput!$N$27+1,20,24,28,32,36,40),0)/100)),0)</f>
        <v/>
      </c>
      <c r="R506">
        <f>IF(AND(Inputs!$B$38&lt;&gt;"pvp",Inputs!$B$43&gt;0),IF(MAX(0,Inputs!$B$43-B545)&lt;=0,0,(INT(MAX(0,Inputs!$B$43-B545)/(IF(Inputs!$B$38="pvp",15,MAX(0.1,1/B540-IF(FALSE=TRUE,Inputs!$B$32,0)))*(1-IF(AND(ArtifactsInput!$M$27,Inputs!$B$4="Chapter Hunt"),CHOOSE(ArtifactsInput!$N$27+1,20,24,28,32,36,40),0)/100)))+1)),0)</f>
        <v/>
      </c>
      <c r="S506">
        <f>IFERROR(O506/N506,0)</f>
        <v/>
      </c>
      <c r="T506">
        <f>IF(C506,(H506*N506*IF(AND(Inputs!$B$38&lt;&gt;"pvp",Inputs!$B$43&gt;0),((Skills!G3*((R506-1)*IF(Skills!H3&gt;0,INT(Skills!I3/Skills!H3+0.000000001),1)+IF(Skills!H3&gt;0,INT(MIN(Skills!I3,MAX(0,MAX(0,Inputs!$B$43-B545)-((R506-1)*(IF(Inputs!$B$38="pvp",15,MAX(0.1,1/B540-IF(FALSE=TRUE,Inputs!$B$32,0)))*(1-IF(AND(ArtifactsInput!$M$27,Inputs!$B$4="Chapter Hunt"),CHOOSE(ArtifactsInput!$N$27+1,20,24,28,32,36,40),0)/100)))))/Skills!H3+0.000000001),1)))/Inputs!$B$43),G506*Q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6">
        <f>INDEX(FactorTable!$B$2:$Y$301, MATCH(ROUND(MIN(300,MAX(1,U505)),0), FactorTable!$A$2:$A$301,0), 22)</f>
        <v/>
      </c>
      <c r="V506">
        <f>IF(C506,(H506*N506*IF(AND(Inputs!$B$38&lt;&gt;"pvp",Inputs!$B$43&gt;0),((Skills!G3*((R506-1)*IF(Skills!H3&gt;0,INT(Skills!I3/Skills!H3+0.000000001),1)+IF(Skills!H3&gt;0,INT(MIN(Skills!I3,MAX(0,MAX(0,Inputs!$B$43-B545)-((R506-1)*(IF(Inputs!$B$38="pvp",15,MAX(0.1,1/B540-IF(FALSE=TRUE,Inputs!$B$32,0)))*(1-IF(AND(ArtifactsInput!$M$27,Inputs!$B$4="Chapter Hunt"),CHOOSE(ArtifactsInput!$N$27+1,20,24,28,32,36,40),0)/100)))))/Skills!H3+0.000000001),1)))/Inputs!$B$43),G506*Q506))*IF(Inputs!$B$38="pvp",1,(1+(Inputs!$B$21+Skills!Q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Skills!A4</f>
        <v/>
      </c>
      <c r="B507">
        <f>Skills!B4</f>
        <v/>
      </c>
      <c r="C507">
        <f>Inputs!$B$3&gt;=105</f>
        <v/>
      </c>
      <c r="D507">
        <f>IF(Skills!C4=1,60+Inputs!$B$25+Inputs!$B$29,IF(Skills!C4=2,90+Inputs!$B$26+Inputs!$B$29,IF(Skills!C4=3,120+Inputs!$B$27+Inputs!$B$29,MAX(0,(Inputs!$B$3-100)*3)+Inputs!$B$28+Inputs!$B$29)))</f>
        <v/>
      </c>
      <c r="E507">
        <f>INDEX(FactorTable!$B$2:$Y$301, MATCH(ROUND(MIN(300,MAX(1,D507)),0), FactorTable!$A$2:$A$301,0), Skills!M4+1)</f>
        <v/>
      </c>
      <c r="F507">
        <f>IF(Skills!N4=TRUE,(Skills!L4/10)*(E507/1000),Skills!L4/10)+Skills!O4</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U507">
        <f>290*U506/1000</f>
        <v/>
      </c>
      <c r="V507" t="inlineStr"/>
    </row>
    <row r="508">
      <c r="A508">
        <f>Skills!A5</f>
        <v/>
      </c>
      <c r="B508">
        <f>Skills!B5</f>
        <v/>
      </c>
      <c r="C508">
        <f>Inputs!$B$3&gt;=35</f>
        <v/>
      </c>
      <c r="D508">
        <f>IF(Skills!C5=1,60+Inputs!$B$25+Inputs!$B$29,IF(Skills!C5=2,90+Inputs!$B$26+Inputs!$B$29,IF(Skills!C5=3,120+Inputs!$B$27+Inputs!$B$29,MAX(0,(Inputs!$B$3-100)*3)+Inputs!$B$28+Inputs!$B$29)))</f>
        <v/>
      </c>
      <c r="E508">
        <f>INDEX(FactorTable!$B$2:$Y$301, MATCH(ROUND(MIN(300,MAX(1,D508)),0), FactorTable!$A$2:$A$301,0), Skills!M5+1)</f>
        <v/>
      </c>
      <c r="F508">
        <f>IF(Skills!N5=TRUE,(Skills!L5/10)*(E508/1000),Skills!L5/10)+Skills!O5</f>
        <v/>
      </c>
      <c r="G508">
        <f>Skills!G5*IF(Skills!H5&gt;0,INT(IF(Inputs!$B$38="pvp",MIN(Skills!I5,15),Skills!I5)/Skills!H5+0.000000001),1)</f>
        <v/>
      </c>
      <c r="H508">
        <f>1-(1-Skills!J5/100)^Skills!K5</f>
        <v/>
      </c>
      <c r="I508" t="inlineStr">
        <is>
          <t>1</t>
        </is>
      </c>
      <c r="J508">
        <f>((Inputs!$B$6*(1+Inputs!$B$7/100))+(((Inputs!$B$12*(1+Inputs!$B$13/100))-(Inputs!$B$12*(1+Inputs!$B$13/100)))+0.25*(Inputs!$B$14-Inputs!$B$14))*(1+Inputs!$B$7/100))*(F508/100)</f>
        <v/>
      </c>
      <c r="K508">
        <f>J508*(1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515=TRUE,F515,0)/100)*(1+(IF(Skills!A5="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529=TRUE)*(F529-Calc!F26)),((Inputs!$B$23+1)+((C534=TRUE)*(F534-Calc!F31))+(IF(ArtifactsInput!$M$15,CHOOSE(ArtifactsInput!$N$15+1,25,30,35,40,45,50)/100*(Inputs!$B$11-Inputs!$B$11),0))))/100+((Inputs!$B$23+1)+((C534=TRUE)*(F534-Calc!F31))+(IF(ArtifactsInput!$M$15,CHOOSE(ArtifactsInput!$N$15+1,25,30,35,40,45,50)/100*(Inputs!$B$11-Inputs!$B$11),0)))/100)/2</f>
        <v/>
      </c>
      <c r="M508">
        <f>L508*(1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IF(B548=0,0,O508/B548)</f>
        <v/>
      </c>
      <c r="Q508">
        <f>IFERROR(1/(IF(Inputs!$B$38="pvp",15,MAX(0.1,Skills!D5-IF(TRUE=TRUE,Inputs!$B$32,0)))*(1-IF(AND(ArtifactsInput!$M$27,Inputs!$B$4="Chapter Hunt"),CHOOSE(ArtifactsInput!$N$27+1,20,24,28,32,36,40),0)/100)),0)</f>
        <v/>
      </c>
      <c r="R508">
        <f>IF(AND(Inputs!$B$38&lt;&gt;"pvp",Inputs!$B$43&gt;0),IF(MAX(0,Inputs!$B$43-B545)&lt;=0,0,(INT(MAX(0,Inputs!$B$43-B545)/(IF(Inputs!$B$38="pvp",15,MAX(0.1,Skills!D5-IF(TRUE=TRUE,Inputs!$B$32,0)))*(1-IF(AND(ArtifactsInput!$M$27,Inputs!$B$4="Chapter Hunt"),CHOOSE(ArtifactsInput!$N$27+1,20,24,28,32,36,40),0)/100)))+1)),0)</f>
        <v/>
      </c>
      <c r="S508">
        <f>IFERROR(O508/N508,0)</f>
        <v/>
      </c>
      <c r="T508">
        <f>IF(C508,(H508*N508*IF(AND(Inputs!$B$38&lt;&gt;"pvp",Inputs!$B$43&gt;0),((Skills!G5*((R508-1)*IF(Skills!H5&gt;0,INT(Skills!I5/Skills!H5+0.000000001),1)+IF(Skills!H5&gt;0,INT(MIN(Skills!I5,MAX(0,MAX(0,Inputs!$B$43-B545)-((R508-1)*(IF(Inputs!$B$38="pvp",15,MAX(0.1,Skills!D5-IF(TRUE=TRUE,Inputs!$B$32,0)))*(1-IF(AND(ArtifactsInput!$M$27,Inputs!$B$4="Chapter Hunt"),CHOOSE(ArtifactsInput!$N$27+1,20,24,28,32,36,40),0)/100)))))/Skills!H5+0.000000001),1)))/Inputs!$B$43),G508*Q508)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5*((R508-1)*IF(Skills!H5&gt;0,INT(Skills!I5/Skills!H5+0.000000001),1)+IF(Skills!H5&gt;0,INT(MIN(Skills!I5,MAX(0,MAX(0,Inputs!$B$43-B545)-((R508-1)*(IF(Inputs!$B$38="pvp",15,MAX(0.1,Skills!D5-IF(TRUE=TRUE,Inputs!$B$32,0)))*(1-IF(AND(ArtifactsInput!$M$27,Inputs!$B$4="Chapter Hunt"),CHOOSE(ArtifactsInput!$N$27+1,20,24,28,32,36,40),0)/100)))))/Skills!H5+0.000000001),1)))/Inputs!$B$43),G508*Q508))*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Skills!A6</f>
        <v/>
      </c>
      <c r="B509">
        <f>Skills!B6</f>
        <v/>
      </c>
      <c r="C509">
        <f>Inputs!$B$3&gt;=40</f>
        <v/>
      </c>
      <c r="D509">
        <f>IF(Skills!C6=1,60+Inputs!$B$25+Inputs!$B$29,IF(Skills!C6=2,90+Inputs!$B$26+Inputs!$B$29,IF(Skills!C6=3,120+Inputs!$B$27+Inputs!$B$29,MAX(0,(Inputs!$B$3-100)*3)+Inputs!$B$28+Inputs!$B$29)))</f>
        <v/>
      </c>
      <c r="E509">
        <f>INDEX(FactorTable!$B$2:$Y$301, MATCH(ROUND(MIN(300,MAX(1,D509)),0), FactorTable!$A$2:$A$301,0), Skills!M6+1)</f>
        <v/>
      </c>
      <c r="F509">
        <f>IF(Skills!N6=TRUE,(Skills!L6/10)*(E509/1000),Skills!L6/10)+Skills!O6</f>
        <v/>
      </c>
      <c r="G509">
        <f>Skills!G6*IF(Skills!H6&gt;0,INT(IF(Inputs!$B$38="pvp",MIN(Skills!I6,15),Skills!I6)/Skills!H6+0.000000001),1)</f>
        <v/>
      </c>
      <c r="H509">
        <f>1-(1-Skills!J6/100)^Skills!K6</f>
        <v/>
      </c>
      <c r="I509" t="inlineStr">
        <is>
          <t>1</t>
        </is>
      </c>
      <c r="J509">
        <f>((Inputs!$B$6*(1+Inputs!$B$7/100))+(((Inputs!$B$12*(1+Inputs!$B$13/100))-(Inputs!$B$12*(1+Inputs!$B$13/100)))+0.25*(Inputs!$B$14-Inputs!$B$14))*(1+Inputs!$B$7/100))*(F509/100)</f>
        <v/>
      </c>
      <c r="K509">
        <f>J509*(1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510=TRUE,F510,0)/100)*(1+(IF(Skills!A6="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529=TRUE)*(F529-Calc!F26)),((Inputs!$B$23+1)+((C534=TRUE)*(F534-Calc!F31))+(IF(ArtifactsInput!$M$15,CHOOSE(ArtifactsInput!$N$15+1,25,30,35,40,45,50)/100*(Inputs!$B$11-Inputs!$B$11),0))))/100+((Inputs!$B$23+1)+((C534=TRUE)*(F534-Calc!F31))+(IF(ArtifactsInput!$M$15,CHOOSE(ArtifactsInput!$N$15+1,25,30,35,40,45,50)/100*(Inputs!$B$11-Inputs!$B$11),0)))/100)/2</f>
        <v/>
      </c>
      <c r="M509">
        <f>L509*(1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IF(B548=0,0,O509/B548)</f>
        <v/>
      </c>
      <c r="Q509">
        <f>IFERROR(1/(IF(Inputs!$B$38="pvp",15,MAX(0.1,1-0.4*MIN(1,(B540-1)/1.5)-IF(FALSE=TRUE,Inputs!$B$32,0)))*(1-IF(AND(ArtifactsInput!$M$27,Inputs!$B$4="Chapter Hunt"),CHOOSE(ArtifactsInput!$N$27+1,20,24,28,32,36,40),0)/100)),0)</f>
        <v/>
      </c>
      <c r="R509">
        <f>IF(AND(Inputs!$B$38&lt;&gt;"pvp",Inputs!$B$43&gt;0),IF(MAX(0,Inputs!$B$43-B545)&lt;=0,0,(INT(MAX(0,Inputs!$B$43-B545)/(IF(Inputs!$B$38="pvp",15,MAX(0.1,1-0.4*MIN(1,(B540-1)/1.5)-IF(FALSE=TRUE,Inputs!$B$32,0)))*(1-IF(AND(ArtifactsInput!$M$27,Inputs!$B$4="Chapter Hunt"),CHOOSE(ArtifactsInput!$N$27+1,20,24,28,32,36,40),0)/100)))+1)),0)</f>
        <v/>
      </c>
      <c r="S509">
        <f>IFERROR(O509/N509,0)</f>
        <v/>
      </c>
      <c r="T509">
        <f>IF(C509,(H509*N509*IF(AND(Inputs!$B$38&lt;&gt;"pvp",Inputs!$B$43&gt;0),((Skills!G6*((R509-1)*IF(Skills!H6&gt;0,INT(Skills!I6/Skills!H6+0.000000001),1)+IF(Skills!H6&gt;0,INT(MIN(Skills!I6,MAX(0,MAX(0,Inputs!$B$43-B545)-((R509-1)*(IF(Inputs!$B$38="pvp",15,MAX(0.1,1-0.4*MIN(1,(B540-1)/1.5)-IF(FALSE=TRUE,Inputs!$B$32,0)))*(1-IF(AND(ArtifactsInput!$M$27,Inputs!$B$4="Chapter Hunt"),CHOOSE(ArtifactsInput!$N$27+1,20,24,28,32,36,40),0)/100)))))/Skills!H6+0.000000001),1)))/Inputs!$B$43),G509*Q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6*((R509-1)*IF(Skills!H6&gt;0,INT(Skills!I6/Skills!H6+0.000000001),1)+IF(Skills!H6&gt;0,INT(MIN(Skills!I6,MAX(0,MAX(0,Inputs!$B$43-B545)-((R509-1)*(IF(Inputs!$B$38="pvp",15,MAX(0.1,1-0.4*MIN(1,(B540-1)/1.5)-IF(FALSE=TRUE,Inputs!$B$32,0)))*(1-IF(AND(ArtifactsInput!$M$27,Inputs!$B$4="Chapter Hunt"),CHOOSE(ArtifactsInput!$N$27+1,20,24,28,32,36,40),0)/100)))))/Skills!H6+0.000000001),1)))/Inputs!$B$43),G509*Q509))*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Skills!A7</f>
        <v/>
      </c>
      <c r="B510">
        <f>Skills!B7</f>
        <v/>
      </c>
      <c r="C510">
        <f>Inputs!$B$3&gt;=107</f>
        <v/>
      </c>
      <c r="D510">
        <f>IF(Skills!C7=1,60+Inputs!$B$25+Inputs!$B$29,IF(Skills!C7=2,90+Inputs!$B$26+Inputs!$B$29,IF(Skills!C7=3,120+Inputs!$B$27+Inputs!$B$29,MAX(0,(Inputs!$B$3-100)*3)+Inputs!$B$28+Inputs!$B$29)))</f>
        <v/>
      </c>
      <c r="E510">
        <f>INDEX(FactorTable!$B$2:$Y$301, MATCH(ROUND(MIN(300,MAX(1,D510)),0), FactorTable!$A$2:$A$301,0), Skills!M7+1)</f>
        <v/>
      </c>
      <c r="F510">
        <f>IF(Skills!N7=TRUE,(Skills!L7/10)*(E510/1000),Skills!L7/10)+Skills!O7</f>
        <v/>
      </c>
      <c r="G510" t="inlineStr"/>
      <c r="H510" t="inlineStr"/>
      <c r="I510" t="inlineStr">
        <is>
          <t>1</t>
        </is>
      </c>
      <c r="J510" t="inlineStr"/>
      <c r="K510" t="inlineStr"/>
      <c r="L510" t="inlineStr"/>
      <c r="M510" t="inlineStr"/>
      <c r="N510" t="inlineStr"/>
      <c r="O510" t="inlineStr"/>
      <c r="P510" t="inlineStr"/>
      <c r="Q510" t="inlineStr"/>
      <c r="R510" t="inlineStr"/>
      <c r="S510" t="inlineStr"/>
      <c r="T510" t="inlineStr"/>
      <c r="V510" t="inlineStr"/>
    </row>
    <row r="511">
      <c r="A511">
        <f>Skills!A8</f>
        <v/>
      </c>
      <c r="B511">
        <f>Skills!B8</f>
        <v/>
      </c>
      <c r="C511">
        <f>Inputs!$B$3&gt;=130</f>
        <v/>
      </c>
      <c r="D511">
        <f>IF(Skills!C8=1,60+Inputs!$B$25+Inputs!$B$29,IF(Skills!C8=2,90+Inputs!$B$26+Inputs!$B$29,IF(Skills!C8=3,120+Inputs!$B$27+Inputs!$B$29,MAX(0,(Inputs!$B$3-100)*3)+Inputs!$B$28+Inputs!$B$29)))</f>
        <v/>
      </c>
      <c r="E511">
        <f>INDEX(FactorTable!$B$2:$Y$301, MATCH(ROUND(MIN(300,MAX(1,D511)),0), FactorTable!$A$2:$A$301,0), Skills!M8+1)</f>
        <v/>
      </c>
      <c r="F511">
        <f>IF(Skills!N8=TRUE,(Skills!L8/10)*(E511/1000),Skills!L8/10)+Skills!O8</f>
        <v/>
      </c>
      <c r="G511">
        <f>Skills!G8*IF(Skills!H8&gt;0,INT(IF(Inputs!$B$38="pvp",MIN(Skills!I8,15),Skills!I8)/Skills!H8+0.000000001),1)</f>
        <v/>
      </c>
      <c r="H511">
        <f>1-(1-Skills!J8/100)^Skills!K8</f>
        <v/>
      </c>
      <c r="I511" t="inlineStr">
        <is>
          <t>1</t>
        </is>
      </c>
      <c r="J511">
        <f>((Inputs!$B$6*(1+Inputs!$B$7/100))+(((Inputs!$B$12*(1+Inputs!$B$13/100))-(Inputs!$B$12*(1+Inputs!$B$13/100)))+0.25*(Inputs!$B$14-Inputs!$B$14))*(1+Inputs!$B$7/100))*(F511/100)</f>
        <v/>
      </c>
      <c r="K511">
        <f>J511*(1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529=TRUE)*(F529-Calc!F26)),((Inputs!$B$23+1)+((C534=TRUE)*(F534-Calc!F31))+(IF(ArtifactsInput!$M$15,CHOOSE(ArtifactsInput!$N$15+1,25,30,35,40,45,50)/100*(Inputs!$B$11-Inputs!$B$11),0))))/100+((Inputs!$B$23+1)+((C534=TRUE)*(F534-Calc!F31))+(IF(ArtifactsInput!$M$15,CHOOSE(ArtifactsInput!$N$15+1,25,30,35,40,45,50)/100*(Inputs!$B$11-Inputs!$B$11),0)))/100)/2</f>
        <v/>
      </c>
      <c r="M511">
        <f>L511*(1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IF(B548=0,0,O511/B548)</f>
        <v/>
      </c>
      <c r="Q511">
        <f>IFERROR(1/(IF(Inputs!$B$38="pvp",15,MAX(0.1,1-0.4*MIN(1,(B540-1)/1.5)-IF(FALSE=TRUE,Inputs!$B$32,0)))*(1-IF(AND(ArtifactsInput!$M$27,Inputs!$B$4="Chapter Hunt"),CHOOSE(ArtifactsInput!$N$27+1,20,24,28,32,36,40),0)/100)),0)</f>
        <v/>
      </c>
      <c r="R511">
        <f>IF(AND(Inputs!$B$38&lt;&gt;"pvp",Inputs!$B$43&gt;0),IF(MAX(0,Inputs!$B$43-B545)&lt;=0,0,(INT(MAX(0,Inputs!$B$43-B545)/(IF(Inputs!$B$38="pvp",15,MAX(0.1,1-0.4*MIN(1,(B540-1)/1.5)-IF(FALSE=TRUE,Inputs!$B$32,0)))*(1-IF(AND(ArtifactsInput!$M$27,Inputs!$B$4="Chapter Hunt"),CHOOSE(ArtifactsInput!$N$27+1,20,24,28,32,36,40),0)/100)))+1)),0)</f>
        <v/>
      </c>
      <c r="S511">
        <f>IFERROR(O511/N511,0)</f>
        <v/>
      </c>
      <c r="T511">
        <f>IF(C511,(H511*N511*IF(AND(Inputs!$B$38&lt;&gt;"pvp",Inputs!$B$43&gt;0),((Skills!G8*((R511-1)*IF(Skills!H8&gt;0,INT(Skills!I8/Skills!H8+0.000000001),1)+IF(Skills!H8&gt;0,INT(MIN(Skills!I8,MAX(0,MAX(0,Inputs!$B$43-B545)-((R511-1)*(IF(Inputs!$B$38="pvp",15,MAX(0.1,1-0.4*MIN(1,(B540-1)/1.5)-IF(FALSE=TRUE,Inputs!$B$32,0)))*(1-IF(AND(ArtifactsInput!$M$27,Inputs!$B$4="Chapter Hunt"),CHOOSE(ArtifactsInput!$N$27+1,20,24,28,32,36,40),0)/100)))))/Skills!H8+0.000000001),1)))/Inputs!$B$43),G511*Q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8*((R511-1)*IF(Skills!H8&gt;0,INT(Skills!I8/Skills!H8+0.000000001),1)+IF(Skills!H8&gt;0,INT(MIN(Skills!I8,MAX(0,MAX(0,Inputs!$B$43-B545)-((R511-1)*(IF(Inputs!$B$38="pvp",15,MAX(0.1,1-0.4*MIN(1,(B540-1)/1.5)-IF(FALSE=TRUE,Inputs!$B$32,0)))*(1-IF(AND(ArtifactsInput!$M$27,Inputs!$B$4="Chapter Hunt"),CHOOSE(ArtifactsInput!$N$27+1,20,24,28,32,36,40),0)/100)))))/Skills!H8+0.000000001),1)))/Inputs!$B$43),G511*Q511))*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Skills!A9</f>
        <v/>
      </c>
      <c r="B512">
        <f>Skills!B9</f>
        <v/>
      </c>
      <c r="C512">
        <f>Inputs!$B$3&gt;=69</f>
        <v/>
      </c>
      <c r="D512">
        <f>IF(Skills!C9=1,60+Inputs!$B$25+Inputs!$B$29,IF(Skills!C9=2,90+Inputs!$B$26+Inputs!$B$29,IF(Skills!C9=3,120+Inputs!$B$27+Inputs!$B$29,MAX(0,(Inputs!$B$3-100)*3)+Inputs!$B$28+Inputs!$B$29)))</f>
        <v/>
      </c>
      <c r="E512">
        <f>INDEX(FactorTable!$B$2:$Y$301, MATCH(ROUND(MIN(300,MAX(1,D512)),0), FactorTable!$A$2:$A$301,0), Skills!M9+1)</f>
        <v/>
      </c>
      <c r="F512">
        <f>IF(Skills!N9=TRUE,(Skills!L9/10)*(E512/1000),Skills!L9/10)+Skills!O9</f>
        <v/>
      </c>
      <c r="G512">
        <f>Skills!G9*IF(Skills!H9&gt;0,INT(IF(Inputs!$B$38="pvp",MIN(Skills!I9,15),Skills!I9)/Skills!H9+0.000000001),1)</f>
        <v/>
      </c>
      <c r="H512">
        <f>1-(1-Skills!J9/100)^Skills!K9</f>
        <v/>
      </c>
      <c r="I512" t="inlineStr">
        <is>
          <t>1</t>
        </is>
      </c>
      <c r="J512">
        <f>((Inputs!$B$6*(1+Inputs!$B$7/100))+(((Inputs!$B$12*(1+Inputs!$B$13/100))-(Inputs!$B$12*(1+Inputs!$B$13/100)))+0.25*(Inputs!$B$14-Inputs!$B$14))*(1+Inputs!$B$7/100))*(F512/100)</f>
        <v/>
      </c>
      <c r="K512">
        <f>J512*(1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515=TRUE,F515,0)/100)*(1+(IF(Skills!A9="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529=TRUE)*(F529-Calc!F26)),((Inputs!$B$23+1)+((C534=TRUE)*(F534-Calc!F31))+(IF(ArtifactsInput!$M$15,CHOOSE(ArtifactsInput!$N$15+1,25,30,35,40,45,50)/100*(Inputs!$B$11-Inputs!$B$11),0))))/100+((Inputs!$B$23+1)+((C534=TRUE)*(F534-Calc!F31))+(IF(ArtifactsInput!$M$15,CHOOSE(ArtifactsInput!$N$15+1,25,30,35,40,45,50)/100*(Inputs!$B$11-Inputs!$B$11),0)))/100)/2</f>
        <v/>
      </c>
      <c r="M512">
        <f>L512*(1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IF(B548=0,0,O512/B548)</f>
        <v/>
      </c>
      <c r="Q512">
        <f>IFERROR(1/(IF(Inputs!$B$38="pvp",15,MAX(0.1,Skills!D9-IF(TRUE=TRUE,Inputs!$B$32,0)))*(1-IF(AND(ArtifactsInput!$M$27,Inputs!$B$4="Chapter Hunt"),CHOOSE(ArtifactsInput!$N$27+1,20,24,28,32,36,40),0)/100)),0)</f>
        <v/>
      </c>
      <c r="R512">
        <f>IF(AND(Inputs!$B$38&lt;&gt;"pvp",Inputs!$B$43&gt;0),IF(MAX(0,Inputs!$B$43-B545)&lt;=0,0,(INT(MAX(0,Inputs!$B$43-B545)/(IF(Inputs!$B$38="pvp",15,MAX(0.1,Skills!D9-IF(TRUE=TRUE,Inputs!$B$32,0)))*(1-IF(AND(ArtifactsInput!$M$27,Inputs!$B$4="Chapter Hunt"),CHOOSE(ArtifactsInput!$N$27+1,20,24,28,32,36,40),0)/100)))+1)),0)</f>
        <v/>
      </c>
      <c r="S512">
        <f>IFERROR(O512/N512,0)</f>
        <v/>
      </c>
      <c r="T512">
        <f>IF(C512,(H512*N512*IF(AND(Inputs!$B$38&lt;&gt;"pvp",Inputs!$B$43&gt;0),((Skills!G9*((R512-1)*IF(Skills!H9&gt;0,INT(Skills!I9/Skills!H9+0.000000001),1)+IF(Skills!H9&gt;0,INT(MIN(Skills!I9,MAX(0,MAX(0,Inputs!$B$43-B545)-((R512-1)*(IF(Inputs!$B$38="pvp",15,MAX(0.1,Skills!D9-IF(TRUE=TRUE,Inputs!$B$32,0)))*(1-IF(AND(ArtifactsInput!$M$27,Inputs!$B$4="Chapter Hunt"),CHOOSE(ArtifactsInput!$N$27+1,20,24,28,32,36,40),0)/100)))))/Skills!H9+0.000000001),1)))/Inputs!$B$43),G512*Q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9*((R512-1)*IF(Skills!H9&gt;0,INT(Skills!I9/Skills!H9+0.000000001),1)+IF(Skills!H9&gt;0,INT(MIN(Skills!I9,MAX(0,MAX(0,Inputs!$B$43-B545)-((R512-1)*(IF(Inputs!$B$38="pvp",15,MAX(0.1,Skills!D9-IF(TRUE=TRUE,Inputs!$B$32,0)))*(1-IF(AND(ArtifactsInput!$M$27,Inputs!$B$4="Chapter Hunt"),CHOOSE(ArtifactsInput!$N$27+1,20,24,28,32,36,40),0)/100)))))/Skills!H9+0.000000001),1)))/Inputs!$B$43),G512*Q512))*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Skills!A10</f>
        <v/>
      </c>
      <c r="B513">
        <f>Skills!B10</f>
        <v/>
      </c>
      <c r="C513">
        <f>Inputs!$B$3&gt;=63</f>
        <v/>
      </c>
      <c r="D513">
        <f>IF(Skills!C10=1,60+Inputs!$B$25+Inputs!$B$29,IF(Skills!C10=2,90+Inputs!$B$26+Inputs!$B$29,IF(Skills!C10=3,120+Inputs!$B$27+Inputs!$B$29,MAX(0,(Inputs!$B$3-100)*3)+Inputs!$B$28+Inputs!$B$29)))</f>
        <v/>
      </c>
      <c r="E513">
        <f>INDEX(FactorTable!$B$2:$Y$301, MATCH(ROUND(MIN(300,MAX(1,D513)),0), FactorTable!$A$2:$A$301,0), Skills!M10+1)</f>
        <v/>
      </c>
      <c r="F513">
        <f>IF(Skills!N10=TRUE,(Skills!L10/10)*(E513/1000),Skills!L10/10)+Skills!O10</f>
        <v/>
      </c>
      <c r="G513">
        <f>Skills!G10*IF(Skills!H10&gt;0,INT(IF(Inputs!$B$38="pvp",MIN(Skills!I10,15),Skills!I10)/Skills!H10+0.000000001),1)</f>
        <v/>
      </c>
      <c r="H513">
        <f>1-(1-Skills!J10/100)^Skills!K10</f>
        <v/>
      </c>
      <c r="I513" t="inlineStr">
        <is>
          <t>1</t>
        </is>
      </c>
      <c r="J513">
        <f>((Inputs!$B$6*(1+Inputs!$B$7/100))+(((Inputs!$B$12*(1+Inputs!$B$13/100))-(Inputs!$B$12*(1+Inputs!$B$13/100)))+0.25*(Inputs!$B$14-Inputs!$B$14))*(1+Inputs!$B$7/100))*(F513/100)</f>
        <v/>
      </c>
      <c r="K513">
        <f>J513*(1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515=TRUE,F515,0)/100)*(1+(IF(Skills!A10="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529=TRUE)*(F529-Calc!F26)),((Inputs!$B$23+1)+((C534=TRUE)*(F534-Calc!F31))+(IF(ArtifactsInput!$M$15,CHOOSE(ArtifactsInput!$N$15+1,25,30,35,40,45,50)/100*(Inputs!$B$11-Inputs!$B$11),0))))/100+((Inputs!$B$23+1)+((C534=TRUE)*(F534-Calc!F31))+(IF(ArtifactsInput!$M$15,CHOOSE(ArtifactsInput!$N$15+1,25,30,35,40,45,50)/100*(Inputs!$B$11-Inputs!$B$11),0)))/100)/2</f>
        <v/>
      </c>
      <c r="M513">
        <f>L513*(1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f>IFERROR(1/(IF(Inputs!$B$38="pvp",15,MAX(0.1,Skills!D10-IF(TRUE=TRUE,Inputs!$B$32,0)))*(1-IF(AND(ArtifactsInput!$M$27,Inputs!$B$4="Chapter Hunt"),CHOOSE(ArtifactsInput!$N$27+1,20,24,28,32,36,40),0)/100)),0)</f>
        <v/>
      </c>
      <c r="R513">
        <f>IF(AND(Inputs!$B$38&lt;&gt;"pvp",Inputs!$B$43&gt;0),IF(MAX(0,Inputs!$B$43-B545)&lt;=0,0,(INT(MAX(0,Inputs!$B$43-B545)/(IF(Inputs!$B$38="pvp",15,MAX(0.1,Skills!D10-IF(TRUE=TRUE,Inputs!$B$32,0)))*(1-IF(AND(ArtifactsInput!$M$27,Inputs!$B$4="Chapter Hunt"),CHOOSE(ArtifactsInput!$N$27+1,20,24,28,32,36,40),0)/100)))+1)),0)</f>
        <v/>
      </c>
      <c r="S513">
        <f>IFERROR(O513/N513,0)</f>
        <v/>
      </c>
      <c r="T513">
        <f>IF(C513,(H513*N513*IF(AND(Inputs!$B$38&lt;&gt;"pvp",Inputs!$B$43&gt;0),((Skills!G10*((R513-1)*IF(Skills!H10&gt;0,INT(Skills!I10/Skills!H10+0.000000001),1)+IF(Skills!H10&gt;0,INT(MIN(Skills!I10,MAX(0,MAX(0,Inputs!$B$43-B545)-((R513-1)*(IF(Inputs!$B$38="pvp",15,MAX(0.1,Skills!D10-IF(TRUE=TRUE,Inputs!$B$32,0)))*(1-IF(AND(ArtifactsInput!$M$27,Inputs!$B$4="Chapter Hunt"),CHOOSE(ArtifactsInput!$N$27+1,20,24,28,32,36,40),0)/100)))))/Skills!H10+0.000000001),1)))/Inputs!$B$43),G513*Q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10*((R513-1)*IF(Skills!H10&gt;0,INT(Skills!I10/Skills!H10+0.000000001),1)+IF(Skills!H10&gt;0,INT(MIN(Skills!I10,MAX(0,MAX(0,Inputs!$B$43-B545)-((R513-1)*(IF(Inputs!$B$38="pvp",15,MAX(0.1,Skills!D10-IF(TRUE=TRUE,Inputs!$B$32,0)))*(1-IF(AND(ArtifactsInput!$M$27,Inputs!$B$4="Chapter Hunt"),CHOOSE(ArtifactsInput!$N$27+1,20,24,28,32,36,40),0)/100)))))/Skills!H10+0.000000001),1)))/Inputs!$B$43),G513*Q513))*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Skills!A11</f>
        <v/>
      </c>
      <c r="B514">
        <f>Skills!B11</f>
        <v/>
      </c>
      <c r="C514">
        <f>Inputs!$B$3&gt;=103</f>
        <v/>
      </c>
      <c r="D514">
        <f>IF(Skills!C11=1,60+Inputs!$B$25+Inputs!$B$29,IF(Skills!C11=2,90+Inputs!$B$26+Inputs!$B$29,IF(Skills!C11=3,120+Inputs!$B$27+Inputs!$B$29,MAX(0,(Inputs!$B$3-100)*3)+Inputs!$B$28+Inputs!$B$29)))</f>
        <v/>
      </c>
      <c r="E514">
        <f>INDEX(FactorTable!$B$2:$Y$301, MATCH(ROUND(MIN(300,MAX(1,D514)),0), FactorTable!$A$2:$A$301,0), Skills!M11+1)</f>
        <v/>
      </c>
      <c r="F514">
        <f>IF(Skills!N11=TRUE,(Skills!L11/10)*(E514/1000),Skills!L11/10)+Skills!O11</f>
        <v/>
      </c>
      <c r="G514">
        <f>Skills!G11*IF(Skills!H11&gt;0,INT(IF(Inputs!$B$38="pvp",MIN(Skills!I11,15),Skills!I11)/Skills!H11+0.000000001),1)</f>
        <v/>
      </c>
      <c r="H514">
        <f>1-(1-Skills!J11/100)^Skills!K11</f>
        <v/>
      </c>
      <c r="I514" t="inlineStr">
        <is>
          <t>1</t>
        </is>
      </c>
      <c r="J514">
        <f>((Inputs!$B$6*(1+Inputs!$B$7/100))+(((Inputs!$B$12*(1+Inputs!$B$13/100))-(Inputs!$B$12*(1+Inputs!$B$13/100)))+0.25*(Inputs!$B$14-Inputs!$B$14))*(1+Inputs!$B$7/100))*(F514/100)</f>
        <v/>
      </c>
      <c r="K514">
        <f>J514*(1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529=TRUE)*(F529-Calc!F26)),((Inputs!$B$23+1)+((C534=TRUE)*(F534-Calc!F31))+(IF(ArtifactsInput!$M$15,CHOOSE(ArtifactsInput!$N$15+1,25,30,35,40,45,50)/100*(Inputs!$B$11-Inputs!$B$11),0))))/100+((Inputs!$B$23+1)+((C534=TRUE)*(F534-Calc!F31))+(IF(ArtifactsInput!$M$15,CHOOSE(ArtifactsInput!$N$15+1,25,30,35,40,45,50)/100*(Inputs!$B$11-Inputs!$B$11),0)))/100)/2</f>
        <v/>
      </c>
      <c r="M514">
        <f>L514*(1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IF(B548=0,0,O514/B548)</f>
        <v/>
      </c>
      <c r="Q514">
        <f>IFERROR(1/(IF(Inputs!$B$38="pvp",15,MAX(0.1,Skills!D11-IF(TRUE=TRUE,Inputs!$B$32,0)))*(1-IF(AND(ArtifactsInput!$M$27,Inputs!$B$4="Chapter Hunt"),CHOOSE(ArtifactsInput!$N$27+1,20,24,28,32,36,40),0)/100)),0)</f>
        <v/>
      </c>
      <c r="R514">
        <f>IF(AND(Inputs!$B$38&lt;&gt;"pvp",Inputs!$B$43&gt;0),IF(MAX(0,Inputs!$B$43-B545)&lt;=0,0,(INT(MAX(0,Inputs!$B$43-B545)/(IF(Inputs!$B$38="pvp",15,MAX(0.1,Skills!D11-IF(TRUE=TRUE,Inputs!$B$32,0)))*(1-IF(AND(ArtifactsInput!$M$27,Inputs!$B$4="Chapter Hunt"),CHOOSE(ArtifactsInput!$N$27+1,20,24,28,32,36,40),0)/100)))+1)),0)</f>
        <v/>
      </c>
      <c r="S514">
        <f>IFERROR(O514/N514,0)</f>
        <v/>
      </c>
      <c r="T514">
        <f>IF(C514,(H514*N514*IF(AND(Inputs!$B$38&lt;&gt;"pvp",Inputs!$B$43&gt;0),((Skills!G11*((R514-1)*IF(Skills!H11&gt;0,INT(Skills!I11/Skills!H11+0.000000001),1)+IF(Skills!H11&gt;0,INT(MIN(Skills!I11,MAX(0,MAX(0,Inputs!$B$43-B545)-((R514-1)*(IF(Inputs!$B$38="pvp",15,MAX(0.1,Skills!D11-IF(TRUE=TRUE,Inputs!$B$32,0)))*(1-IF(AND(ArtifactsInput!$M$27,Inputs!$B$4="Chapter Hunt"),CHOOSE(ArtifactsInput!$N$27+1,20,24,28,32,36,40),0)/100)))))/Skills!H11+0.000000001),1)))/Inputs!$B$43),G514*Q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11*((R514-1)*IF(Skills!H11&gt;0,INT(Skills!I11/Skills!H11+0.000000001),1)+IF(Skills!H11&gt;0,INT(MIN(Skills!I11,MAX(0,MAX(0,Inputs!$B$43-B545)-((R514-1)*(IF(Inputs!$B$38="pvp",15,MAX(0.1,Skills!D11-IF(TRUE=TRUE,Inputs!$B$32,0)))*(1-IF(AND(ArtifactsInput!$M$27,Inputs!$B$4="Chapter Hunt"),CHOOSE(ArtifactsInput!$N$27+1,20,24,28,32,36,40),0)/100)))))/Skills!H11+0.000000001),1)))/Inputs!$B$43),G514*Q514))*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Skills!A12</f>
        <v/>
      </c>
      <c r="B515">
        <f>Skills!B12</f>
        <v/>
      </c>
      <c r="C515">
        <f>Inputs!$B$3&gt;=100</f>
        <v/>
      </c>
      <c r="D515">
        <f>IF(Skills!C12=1,60+Inputs!$B$25+Inputs!$B$29,IF(Skills!C12=2,90+Inputs!$B$26+Inputs!$B$29,IF(Skills!C12=3,120+Inputs!$B$27+Inputs!$B$29,MAX(0,(Inputs!$B$3-100)*3)+Inputs!$B$28+Inputs!$B$29)))</f>
        <v/>
      </c>
      <c r="E515">
        <f>INDEX(FactorTable!$B$2:$Y$301, MATCH(ROUND(MIN(300,MAX(1,D515)),0), FactorTable!$A$2:$A$301,0), Skills!M12+1)</f>
        <v/>
      </c>
      <c r="F515">
        <f>IF(Skills!N12=TRUE,(Skills!L12/10)*(E515/1000),Skills!L12/10)+Skills!O12</f>
        <v/>
      </c>
      <c r="G515" t="inlineStr"/>
      <c r="H515" t="inlineStr"/>
      <c r="I515" t="inlineStr">
        <is>
          <t>1</t>
        </is>
      </c>
      <c r="J515" t="inlineStr"/>
      <c r="K515" t="inlineStr"/>
      <c r="L515" t="inlineStr"/>
      <c r="M515" t="inlineStr"/>
      <c r="N515" t="inlineStr"/>
      <c r="O515" t="inlineStr"/>
      <c r="P515" t="inlineStr"/>
      <c r="Q515" t="inlineStr"/>
      <c r="R515" t="inlineStr"/>
      <c r="S515" t="inlineStr"/>
      <c r="T515" t="inlineStr"/>
      <c r="V515" t="inlineStr"/>
    </row>
    <row r="516">
      <c r="A516">
        <f>Skills!A13</f>
        <v/>
      </c>
      <c r="B516">
        <f>Skills!B13</f>
        <v/>
      </c>
      <c r="C516">
        <f>Inputs!$B$3&gt;=60</f>
        <v/>
      </c>
      <c r="D516">
        <f>IF(Skills!C13=1,60+Inputs!$B$25+Inputs!$B$29,IF(Skills!C13=2,90+Inputs!$B$26+Inputs!$B$29,IF(Skills!C13=3,120+Inputs!$B$27+Inputs!$B$29,MAX(0,(Inputs!$B$3-100)*3)+Inputs!$B$28+Inputs!$B$29)))</f>
        <v/>
      </c>
      <c r="E516">
        <f>INDEX(FactorTable!$B$2:$Y$301, MATCH(ROUND(MIN(300,MAX(1,D516)),0), FactorTable!$A$2:$A$301,0), Skills!M13+1)</f>
        <v/>
      </c>
      <c r="F516">
        <f>IF(Skills!N13=TRUE,(Skills!L13/10)*(E516/1000),Skills!L13/10)+Skills!O13</f>
        <v/>
      </c>
      <c r="G516">
        <f>Skills!G13*IF(Skills!H13&gt;0,INT(IF(Inputs!$B$38="pvp",MIN(Skills!I13,15),Skills!I13)/Skills!H13+0.000000001),1)</f>
        <v/>
      </c>
      <c r="H516">
        <f>1-(1-Skills!J13/100)^Skills!K13</f>
        <v/>
      </c>
      <c r="I516" t="inlineStr">
        <is>
          <t>1</t>
        </is>
      </c>
      <c r="J516">
        <f>((Inputs!$B$6*(1+Inputs!$B$7/100))+(((Inputs!$B$12*(1+Inputs!$B$13/100))-(Inputs!$B$12*(1+Inputs!$B$13/100)))+0.25*(Inputs!$B$14-Inputs!$B$14))*(1+Inputs!$B$7/100))*(F516/100)</f>
        <v/>
      </c>
      <c r="K516">
        <f>J516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517=TRUE,F517,0)/100)*(1+(IF(Skills!A13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529=TRUE)*(F529-Calc!F26)),((Inputs!$B$23+1)+((C534=TRUE)*(F534-Calc!F31))+(IF(ArtifactsInput!$M$15,CHOOSE(ArtifactsInput!$N$15+1,25,30,35,40,45,50)/100*(Inputs!$B$11-Inputs!$B$11),0))))/100+((Inputs!$B$23+1)+((C534=TRUE)*(F534-Calc!F31))+(IF(ArtifactsInput!$M$15,CHOOSE(ArtifactsInput!$N$15+1,25,30,35,40,45,50)/100*(Inputs!$B$11-Inputs!$B$11),0)))/100)/2</f>
        <v/>
      </c>
      <c r="M516">
        <f>L516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IFERROR(1/(IF(Inputs!$B$38="pvp",15,MAX(0.1,IF(Inputs!$B$3&gt;=122,3,5)+1/(((20+30*(B540-1)*100/150)/100)*B540)-IF(FALSE=TRUE,Inputs!$B$32,0)))*(1-IF(AND(ArtifactsInput!$M$27,Inputs!$B$4="Chapter Hunt"),CHOOSE(ArtifactsInput!$N$27+1,20,24,28,32,36,40),0)/100)),0)</f>
        <v/>
      </c>
      <c r="R516">
        <f>IF(AND(Inputs!$B$38&lt;&gt;"pvp",Inputs!$B$43&gt;0),IF(MAX(0,Inputs!$B$43-B545)&lt;=0,0,(INT(MAX(0,Inputs!$B$43-B545)/(IF(Inputs!$B$38="pvp",15,MAX(0.1,IF(Inputs!$B$3&gt;=122,3,5)+1/(((20+30*(B540-1)*100/150)/100)*B540)-IF(FALSE=TRUE,Inputs!$B$32,0)))*(1-IF(AND(ArtifactsInput!$M$27,Inputs!$B$4="Chapter Hunt"),CHOOSE(ArtifactsInput!$N$27+1,20,24,28,32,36,40),0)/100)))+1)),0)</f>
        <v/>
      </c>
      <c r="S516">
        <f>IFERROR(O516/N516,0)</f>
        <v/>
      </c>
      <c r="T516">
        <f>IF(C516,(H516*N516*IF(AND(Inputs!$B$38&lt;&gt;"pvp",Inputs!$B$43&gt;0),((Skills!G13*((R516-1)*IF(Skills!H13&gt;0,INT(Skills!I13/Skills!H13+0.000000001),1)+IF(Skills!H13&gt;0,INT(MIN(Skills!I13,MAX(0,MAX(0,Inputs!$B$43-B545)-((R516-1)*(IF(Inputs!$B$38="pvp",15,MAX(0.1,IF(Inputs!$B$3&gt;=122,3,5)+1/(((20+30*(B540-1)*100/150)/100)*B540)-IF(FALSE=TRUE,Inputs!$B$32,0)))*(1-IF(AND(ArtifactsInput!$M$27,Inputs!$B$4="Chapter Hunt"),CHOOSE(ArtifactsInput!$N$27+1,20,24,28,32,36,40),0)/100)))))/Skills!H13+0.000000001),1)))/Inputs!$B$43),G516*Q516)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13*((R516-1)*IF(Skills!H13&gt;0,INT(Skills!I13/Skills!H13+0.000000001),1)+IF(Skills!H13&gt;0,INT(MIN(Skills!I13,MAX(0,MAX(0,Inputs!$B$43-B545)-((R516-1)*(IF(Inputs!$B$38="pvp",15,MAX(0.1,IF(Inputs!$B$3&gt;=122,3,5)+1/(((20+30*(B540-1)*100/150)/100)*B540)-IF(FALSE=TRUE,Inputs!$B$32,0)))*(1-IF(AND(ArtifactsInput!$M$27,Inputs!$B$4="Chapter Hunt"),CHOOSE(ArtifactsInput!$N$27+1,20,24,28,32,36,40),0)/100)))))/Skills!H13+0.000000001),1)))/Inputs!$B$43),G516*Q516))*IF(Inputs!$B$38="pvp",1,(1+(Inputs!$B$21+Skills!Q13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Skills!A14</f>
        <v/>
      </c>
      <c r="B517">
        <f>Skills!B14</f>
        <v/>
      </c>
      <c r="C517">
        <f>Inputs!$B$3&gt;=110</f>
        <v/>
      </c>
      <c r="D517">
        <f>IF(Skills!C14=1,60+Inputs!$B$25+Inputs!$B$29,IF(Skills!C14=2,90+Inputs!$B$26+Inputs!$B$29,IF(Skills!C14=3,120+Inputs!$B$27+Inputs!$B$29,MAX(0,(Inputs!$B$3-100)*3)+Inputs!$B$28+Inputs!$B$29)))</f>
        <v/>
      </c>
      <c r="E517">
        <f>INDEX(FactorTable!$B$2:$Y$301, MATCH(ROUND(MIN(300,MAX(1,D517)),0), FactorTable!$A$2:$A$301,0), Skills!M14+1)</f>
        <v/>
      </c>
      <c r="F517">
        <f>IF(Skills!N14=TRUE,(Skills!L14/10)*(E517/1000),Skills!L14/10)+Skills!O14</f>
        <v/>
      </c>
      <c r="G517" t="inlineStr"/>
      <c r="H517" t="inlineStr"/>
      <c r="I517" t="inlineStr">
        <is>
          <t>1</t>
        </is>
      </c>
      <c r="J517" t="inlineStr"/>
      <c r="K517" t="inlineStr"/>
      <c r="L517" t="inlineStr"/>
      <c r="M517" t="inlineStr"/>
      <c r="N517" t="inlineStr"/>
      <c r="O517" t="inlineStr"/>
      <c r="P517" t="inlineStr"/>
      <c r="Q517" t="inlineStr"/>
      <c r="R517" t="inlineStr"/>
      <c r="S517" t="inlineStr"/>
      <c r="T517" t="inlineStr"/>
      <c r="V517" t="inlineStr"/>
    </row>
    <row r="518">
      <c r="A518">
        <f>Skills!A15</f>
        <v/>
      </c>
      <c r="B518">
        <f>Skills!B15</f>
        <v/>
      </c>
      <c r="C518">
        <f>Inputs!$B$3&gt;=74</f>
        <v/>
      </c>
      <c r="D518">
        <f>IF(Skills!C15=1,60+Inputs!$B$25+Inputs!$B$29,IF(Skills!C15=2,90+Inputs!$B$26+Inputs!$B$29,IF(Skills!C15=3,120+Inputs!$B$27+Inputs!$B$29,MAX(0,(Inputs!$B$3-100)*3)+Inputs!$B$28+Inputs!$B$29)))</f>
        <v/>
      </c>
      <c r="E518">
        <f>INDEX(FactorTable!$B$2:$Y$301, MATCH(ROUND(MIN(300,MAX(1,D518)),0), FactorTable!$A$2:$A$301,0), Skills!M15+1)</f>
        <v/>
      </c>
      <c r="F518">
        <f>IF(Skills!N15=TRUE,(Skills!L15/10)*(E518/1000),Skills!L15/10)+Skills!O15</f>
        <v/>
      </c>
      <c r="G518">
        <f>Skills!G15*IF(Skills!H15&gt;0,INT(IF(Inputs!$B$38="pvp",MIN(Skills!I15,15),Skills!I15)/Skills!H15+0.000000001),1)</f>
        <v/>
      </c>
      <c r="H518">
        <f>1-(1-Skills!J15/100)^Skills!K15</f>
        <v/>
      </c>
      <c r="I518" t="inlineStr">
        <is>
          <t>1</t>
        </is>
      </c>
      <c r="J518" t="inlineStr"/>
      <c r="K518" t="inlineStr"/>
      <c r="L518" t="inlineStr"/>
      <c r="M518" t="inlineStr"/>
      <c r="N518" t="inlineStr"/>
      <c r="O518">
        <f>(1-Summary!$B$11)*T518+Summary!$B$11*V518</f>
        <v/>
      </c>
      <c r="P518">
        <f>IF(B548=0,0,O518/B548)</f>
        <v/>
      </c>
      <c r="Q518" t="n">
        <v>0</v>
      </c>
      <c r="R518" t="n">
        <v>0</v>
      </c>
      <c r="S518">
        <f>IFERROR(O518/N518,0)</f>
        <v/>
      </c>
      <c r="T518" t="n">
        <v>0</v>
      </c>
      <c r="V518" t="n">
        <v>0</v>
      </c>
    </row>
    <row r="519">
      <c r="A519">
        <f>Skills!A16</f>
        <v/>
      </c>
      <c r="B519">
        <f>Skills!B16</f>
        <v/>
      </c>
      <c r="C519">
        <f>Inputs!$B$3&gt;=74</f>
        <v/>
      </c>
      <c r="D519">
        <f>IF(Skills!C16=1,60+Inputs!$B$25+Inputs!$B$29,IF(Skills!C16=2,90+Inputs!$B$26+Inputs!$B$29,IF(Skills!C16=3,120+Inputs!$B$27+Inputs!$B$29,MAX(0,(Inputs!$B$3-100)*3)+Inputs!$B$28+Inputs!$B$29)))</f>
        <v/>
      </c>
      <c r="E519">
        <f>INDEX(FactorTable!$B$2:$Y$301, MATCH(ROUND(MIN(300,MAX(1,D519)),0), FactorTable!$A$2:$A$301,0), Skills!M16+1)</f>
        <v/>
      </c>
      <c r="F519">
        <f>IF(Skills!N16=TRUE,(Skills!L16/10)*(E519/1000),Skills!L16/10)+Skills!O16</f>
        <v/>
      </c>
      <c r="G519">
        <f>Skills!G16*IF(Skills!H16&gt;0,INT(IF(Inputs!$B$38="pvp",MIN(Skills!I16,15),Skills!I16)/Skills!H16+0.000000001),1)</f>
        <v/>
      </c>
      <c r="H519">
        <f>1-(1-Skills!J16/100)^Skills!K16</f>
        <v/>
      </c>
      <c r="I519" t="inlineStr">
        <is>
          <t>1</t>
        </is>
      </c>
      <c r="J519" t="inlineStr"/>
      <c r="K519" t="inlineStr"/>
      <c r="L519" t="inlineStr"/>
      <c r="M519" t="inlineStr"/>
      <c r="N519" t="inlineStr"/>
      <c r="O519">
        <f>(1-Summary!$B$11)*T519+Summary!$B$11*V519</f>
        <v/>
      </c>
      <c r="P519">
        <f>IF(B548=0,0,O519/B548)</f>
        <v/>
      </c>
      <c r="Q519" t="n">
        <v>0</v>
      </c>
      <c r="R519" t="n">
        <v>0</v>
      </c>
      <c r="S519">
        <f>IFERROR(O519/N519,0)</f>
        <v/>
      </c>
      <c r="T519" t="n">
        <v>0</v>
      </c>
      <c r="V519" t="n">
        <v>0</v>
      </c>
    </row>
    <row r="520">
      <c r="A520">
        <f>Skills!A17</f>
        <v/>
      </c>
      <c r="B520">
        <f>Skills!B17</f>
        <v/>
      </c>
      <c r="C520">
        <f>Inputs!$B$3&gt;=117</f>
        <v/>
      </c>
      <c r="D520">
        <f>IF(Skills!C17=1,60+Inputs!$B$25+Inputs!$B$29,IF(Skills!C17=2,90+Inputs!$B$26+Inputs!$B$29,IF(Skills!C17=3,120+Inputs!$B$27+Inputs!$B$29,MAX(0,(Inputs!$B$3-100)*3)+Inputs!$B$28+Inputs!$B$29)))</f>
        <v/>
      </c>
      <c r="E520">
        <f>INDEX(FactorTable!$B$2:$Y$301, MATCH(ROUND(MIN(300,MAX(1,D520)),0), FactorTable!$A$2:$A$301,0), Skills!M17+1)</f>
        <v/>
      </c>
      <c r="F520">
        <f>IF(Skills!N17=TRUE,(Skills!L17/10)*(E520/1000),Skills!L17/10)+Skills!O17</f>
        <v/>
      </c>
      <c r="G520">
        <f>Skills!G17*IF(Skills!H17&gt;0,INT(IF(Inputs!$B$38="pvp",MIN(Skills!I17,15),Skills!I17)/Skills!H17+0.000000001),1)</f>
        <v/>
      </c>
      <c r="H520">
        <f>1-(1-Skills!J17/100)^Skills!K17</f>
        <v/>
      </c>
      <c r="I520" t="inlineStr">
        <is>
          <t>1</t>
        </is>
      </c>
      <c r="J520" t="inlineStr"/>
      <c r="K520" t="inlineStr"/>
      <c r="L520" t="inlineStr"/>
      <c r="M520" t="inlineStr"/>
      <c r="N520" t="inlineStr"/>
      <c r="O520">
        <f>(1-Summary!$B$11)*T520+Summary!$B$11*V520</f>
        <v/>
      </c>
      <c r="P520">
        <f>IF(B548=0,0,O520/B548)</f>
        <v/>
      </c>
      <c r="Q520">
        <f>IFERROR(1/(IF(Inputs!$B$38="pvp",15,MAX(0.1,Skills!D17-IF(TRUE=TRUE,Inputs!$B$32,0)))*(1-IF(AND(ArtifactsInput!$M$27,Inputs!$B$4="Chapter Hunt"),CHOOSE(ArtifactsInput!$N$27+1,20,24,28,32,36,40),0)/100)),0)</f>
        <v/>
      </c>
      <c r="R520">
        <f>IF(AND(Inputs!$B$38&lt;&gt;"pvp",Inputs!$B$43&gt;0),IF(Inputs!$B$43&lt;=0,0,(INT(Inputs!$B$43/(IF(Inputs!$B$38="pvp",15,MAX(0.1,Skills!D17-IF(TRUE=TRUE,Inputs!$B$32,0)))*(1-IF(AND(ArtifactsInput!$M$27,Inputs!$B$4="Chapter Hunt"),CHOOSE(ArtifactsInput!$N$27+1,20,24,28,32,36,40),0)/100)))+1)),0)</f>
        <v/>
      </c>
      <c r="S520">
        <f>IFERROR(O520/N520,0)</f>
        <v/>
      </c>
      <c r="T520" t="n">
        <v>0</v>
      </c>
      <c r="V520" t="n">
        <v>0</v>
      </c>
    </row>
    <row r="521">
      <c r="A521">
        <f>Skills!A18</f>
        <v/>
      </c>
      <c r="B521">
        <f>Skills!B18</f>
        <v/>
      </c>
      <c r="C521">
        <f>Inputs!$B$3&gt;=115</f>
        <v/>
      </c>
      <c r="D521">
        <f>IF(Skills!C18=1,60+Inputs!$B$25+Inputs!$B$29,IF(Skills!C18=2,90+Inputs!$B$26+Inputs!$B$29,IF(Skills!C18=3,120+Inputs!$B$27+Inputs!$B$29,MAX(0,(Inputs!$B$3-100)*3)+Inputs!$B$28+Inputs!$B$29)))</f>
        <v/>
      </c>
      <c r="E521">
        <f>INDEX(FactorTable!$B$2:$Y$301, MATCH(ROUND(MIN(300,MAX(1,D521)),0), FactorTable!$A$2:$A$301,0), Skills!M18+1)</f>
        <v/>
      </c>
      <c r="F521">
        <f>IF(Skills!N18=TRUE,(Skills!L18/10)*(E521/1000),Skills!L18/10)+Skills!O18</f>
        <v/>
      </c>
      <c r="G521">
        <f>Skills!G18*IF(Skills!H18&gt;0,INT(IF(Inputs!$B$38="pvp",MIN(Skills!I18,15),Skills!I18)/Skills!H18+0.000000001),1)</f>
        <v/>
      </c>
      <c r="H521">
        <f>1-(1-Skills!J18/100)^Skills!K18</f>
        <v/>
      </c>
      <c r="I521" t="inlineStr">
        <is>
          <t>1</t>
        </is>
      </c>
      <c r="J521" t="inlineStr"/>
      <c r="K521" t="inlineStr"/>
      <c r="L521" t="inlineStr"/>
      <c r="M521" t="inlineStr"/>
      <c r="N521" t="inlineStr"/>
      <c r="O521">
        <f>(1-Summary!$B$11)*T521+Summary!$B$11*V521</f>
        <v/>
      </c>
      <c r="P521">
        <f>IF(B548=0,0,O521/B548)</f>
        <v/>
      </c>
      <c r="Q521">
        <f>IFERROR(1/(IF(Inputs!$B$38="pvp",15,MAX(0.1,Skills!D18-IF(TRUE=TRUE,Inputs!$B$32,0)))*(1-IF(AND(ArtifactsInput!$M$27,Inputs!$B$4="Chapter Hunt"),CHOOSE(ArtifactsInput!$N$27+1,20,24,28,32,36,40),0)/100)),0)</f>
        <v/>
      </c>
      <c r="R521">
        <f>IF(AND(Inputs!$B$38&lt;&gt;"pvp",Inputs!$B$43&gt;0),IF(Inputs!$B$43&lt;=0,0,(INT(Inputs!$B$43/(IF(Inputs!$B$38="pvp",15,MAX(0.1,Skills!D18-IF(TRUE=TRUE,Inputs!$B$32,0)))*(1-IF(AND(ArtifactsInput!$M$27,Inputs!$B$4="Chapter Hunt"),CHOOSE(ArtifactsInput!$N$27+1,20,24,28,32,36,40),0)/100)))+1)),0)</f>
        <v/>
      </c>
      <c r="S521">
        <f>IFERROR(O521/N521,0)</f>
        <v/>
      </c>
      <c r="T521" t="n">
        <v>0</v>
      </c>
      <c r="V521" t="n">
        <v>0</v>
      </c>
    </row>
    <row r="522">
      <c r="A522">
        <f>Skills!A19</f>
        <v/>
      </c>
      <c r="B522">
        <f>Skills!B19</f>
        <v/>
      </c>
      <c r="C522">
        <f>Inputs!$B$3&gt;=66</f>
        <v/>
      </c>
      <c r="D522">
        <f>IF(Skills!C19=1,60+Inputs!$B$25+Inputs!$B$29,IF(Skills!C19=2,90+Inputs!$B$26+Inputs!$B$29,IF(Skills!C19=3,120+Inputs!$B$27+Inputs!$B$29,MAX(0,(Inputs!$B$3-100)*3)+Inputs!$B$28+Inputs!$B$29)))</f>
        <v/>
      </c>
      <c r="E522">
        <f>INDEX(FactorTable!$B$2:$Y$301, MATCH(ROUND(MIN(300,MAX(1,D522)),0), FactorTable!$A$2:$A$301,0), Skills!M19+1)</f>
        <v/>
      </c>
      <c r="F522">
        <f>IF(Skills!N19=TRUE,(Skills!L19/10)*(E522/1000),Skills!L19/10)+Skills!O19</f>
        <v/>
      </c>
      <c r="G522">
        <f>Skills!G19*IF(Skills!H19&gt;0,INT(IF(Inputs!$B$38="pvp",MIN(Skills!I19,15),Skills!I19)/Skills!H19+0.000000001),1)</f>
        <v/>
      </c>
      <c r="H522">
        <f>1-(1-Skills!J19/100)^Skills!K19</f>
        <v/>
      </c>
      <c r="I522" t="inlineStr">
        <is>
          <t>1</t>
        </is>
      </c>
      <c r="J522" t="inlineStr"/>
      <c r="K522" t="inlineStr"/>
      <c r="L522" t="inlineStr"/>
      <c r="M522" t="inlineStr"/>
      <c r="N522" t="inlineStr"/>
      <c r="O522">
        <f>(1-Summary!$B$11)*T522+Summary!$B$11*V522</f>
        <v/>
      </c>
      <c r="P522">
        <f>IF(B548=0,0,O522/B548)</f>
        <v/>
      </c>
      <c r="Q522" t="n">
        <v>0</v>
      </c>
      <c r="R522" t="n">
        <v>0</v>
      </c>
      <c r="S522">
        <f>IFERROR(O522/N522,0)</f>
        <v/>
      </c>
      <c r="T522" t="n">
        <v>0</v>
      </c>
      <c r="V522" t="n">
        <v>0</v>
      </c>
    </row>
    <row r="523">
      <c r="A523">
        <f>Skills!A20</f>
        <v/>
      </c>
      <c r="B523">
        <f>Skills!B20</f>
        <v/>
      </c>
      <c r="C523">
        <f>Inputs!$B$3&gt;=72</f>
        <v/>
      </c>
      <c r="D523">
        <f>IF(Skills!C20=1,60+Inputs!$B$25+Inputs!$B$29,IF(Skills!C20=2,90+Inputs!$B$26+Inputs!$B$29,IF(Skills!C20=3,120+Inputs!$B$27+Inputs!$B$29,MAX(0,(Inputs!$B$3-100)*3)+Inputs!$B$28+Inputs!$B$29)))</f>
        <v/>
      </c>
      <c r="E523">
        <f>INDEX(FactorTable!$B$2:$Y$301, MATCH(ROUND(MIN(300,MAX(1,D523)),0), FactorTable!$A$2:$A$301,0), Skills!M20+1)</f>
        <v/>
      </c>
      <c r="F523">
        <f>IF(Skills!N20=TRUE,(Skills!L20/10)*(E523/1000),Skills!L20/10)+Skills!O20</f>
        <v/>
      </c>
      <c r="G523">
        <f>Skills!G20*IF(Skills!H20&gt;0,INT(IF(Inputs!$B$38="pvp",MIN(Skills!I20,15),Skills!I20)/Skills!H20+0.000000001),1)</f>
        <v/>
      </c>
      <c r="H523">
        <f>1-(1-Skills!J20/100)^Skills!K20</f>
        <v/>
      </c>
      <c r="I523" t="inlineStr">
        <is>
          <t>1</t>
        </is>
      </c>
      <c r="J523" t="inlineStr"/>
      <c r="K523" t="inlineStr"/>
      <c r="L523" t="inlineStr"/>
      <c r="M523" t="inlineStr"/>
      <c r="N523" t="inlineStr"/>
      <c r="O523">
        <f>(1-Summary!$B$11)*T523+Summary!$B$11*V523</f>
        <v/>
      </c>
      <c r="P523">
        <f>IF(B548=0,0,O523/B548)</f>
        <v/>
      </c>
      <c r="Q523" t="n">
        <v>0</v>
      </c>
      <c r="R523" t="n">
        <v>0</v>
      </c>
      <c r="S523">
        <f>IFERROR(O523/N523,0)</f>
        <v/>
      </c>
      <c r="T523" t="n">
        <v>0</v>
      </c>
      <c r="V523" t="n">
        <v>0</v>
      </c>
    </row>
    <row r="524">
      <c r="A524">
        <f>Skills!A21</f>
        <v/>
      </c>
      <c r="B524">
        <f>Skills!B21</f>
        <v/>
      </c>
      <c r="C524">
        <f>TRUE</f>
        <v/>
      </c>
      <c r="D524">
        <f>IF(Skills!C21=1,60+Inputs!$B$25+Inputs!$B$29,IF(Skills!C21=2,90+Inputs!$B$26+Inputs!$B$29,IF(Skills!C21=3,120+Inputs!$B$27+Inputs!$B$29,MAX(0,(Inputs!$B$3-100)*3)+Inputs!$B$28+Inputs!$B$29)))</f>
        <v/>
      </c>
      <c r="E524">
        <f>INDEX(FactorTable!$B$2:$Y$301, MATCH(ROUND(MIN(300,MAX(1,D524)),0), FactorTable!$A$2:$A$301,0), Skills!M21+1)</f>
        <v/>
      </c>
      <c r="F524">
        <f>IF(Skills!N21=TRUE,(Skills!L21/10)*(E524/1000),Skills!L21/10)+Skills!O21</f>
        <v/>
      </c>
      <c r="G524">
        <f>Skills!G21*IF(Skills!H21&gt;0,INT(IF(Inputs!$B$38="pvp",MIN(Skills!I21,15),Skills!I21)/Skills!H21+0.000000001),1)</f>
        <v/>
      </c>
      <c r="H524">
        <f>1-(1-Skills!J21/100)^Skills!K21</f>
        <v/>
      </c>
      <c r="I524" t="inlineStr">
        <is>
          <t>1</t>
        </is>
      </c>
      <c r="J524" t="inlineStr"/>
      <c r="K524" t="inlineStr"/>
      <c r="L524" t="inlineStr"/>
      <c r="M524" t="inlineStr"/>
      <c r="N524" t="inlineStr"/>
      <c r="O524">
        <f>(1-Summary!$B$11)*T524+Summary!$B$11*V524</f>
        <v/>
      </c>
      <c r="P524">
        <f>IF(B548=0,0,O524/B548)</f>
        <v/>
      </c>
      <c r="Q524">
        <f>IFERROR(1/(IF(Inputs!$B$38="pvp",15,MAX(0.1,Skills!D21-IF(TRUE=TRUE,Inputs!$B$32,0)))*(1-IF(AND(ArtifactsInput!$M$27,Inputs!$B$4="Chapter Hunt"),CHOOSE(ArtifactsInput!$N$27+1,20,24,28,32,36,40),0)/100)),0)</f>
        <v/>
      </c>
      <c r="R524">
        <f>IF(AND(Inputs!$B$38&lt;&gt;"pvp",Inputs!$B$43&gt;0),IF(Inputs!$B$43&lt;=0,0,(INT(Inputs!$B$43/(IF(Inputs!$B$38="pvp",15,MAX(0.1,Skills!D21-IF(TRUE=TRUE,Inputs!$B$32,0)))*(1-IF(AND(ArtifactsInput!$M$27,Inputs!$B$4="Chapter Hunt"),CHOOSE(ArtifactsInput!$N$27+1,20,24,28,32,36,40),0)/100)))+1)),0)</f>
        <v/>
      </c>
      <c r="S524">
        <f>IFERROR(O524/N524,0)</f>
        <v/>
      </c>
      <c r="T524" t="n">
        <v>0</v>
      </c>
      <c r="V524" t="n">
        <v>0</v>
      </c>
    </row>
    <row r="525">
      <c r="A525">
        <f>Skills!A22</f>
        <v/>
      </c>
      <c r="B525">
        <f>Skills!B22</f>
        <v/>
      </c>
      <c r="C525">
        <f>Inputs!$B$3&gt;=15</f>
        <v/>
      </c>
      <c r="D525">
        <f>IF(Skills!C22=1,60+Inputs!$B$25+Inputs!$B$29,IF(Skills!C22=2,90+Inputs!$B$26+Inputs!$B$29,IF(Skills!C22=3,120+Inputs!$B$27+Inputs!$B$29,MAX(0,(Inputs!$B$3-100)*3)+Inputs!$B$28+Inputs!$B$29)))</f>
        <v/>
      </c>
      <c r="E525">
        <f>INDEX(FactorTable!$B$2:$Y$301, MATCH(ROUND(MIN(300,MAX(1,D525)),0), FactorTable!$A$2:$A$301,0), Skills!M22+1)</f>
        <v/>
      </c>
      <c r="F525">
        <f>IF(Skills!N22=TRUE,(Skills!L22/10)*(E525/1000),Skills!L22/10)+Skills!O22</f>
        <v/>
      </c>
      <c r="G525">
        <f>Skills!G22*IF(Skills!H22&gt;0,INT(IF(Inputs!$B$38="pvp",MIN(Skills!I22,15),Skills!I22)/Skills!H22+0.000000001),1)</f>
        <v/>
      </c>
      <c r="H525">
        <f>1-(1-Skills!J22/100)^Skills!K22</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Skills!A23</f>
        <v/>
      </c>
      <c r="B526">
        <f>Skills!B23</f>
        <v/>
      </c>
      <c r="C526">
        <f>Inputs!$B$3&gt;=10</f>
        <v/>
      </c>
      <c r="D526">
        <f>IF(Skills!C23=1,60+Inputs!$B$25+Inputs!$B$29,IF(Skills!C23=2,90+Inputs!$B$26+Inputs!$B$29,IF(Skills!C23=3,120+Inputs!$B$27+Inputs!$B$29,MAX(0,(Inputs!$B$3-100)*3)+Inputs!$B$28+Inputs!$B$29)))</f>
        <v/>
      </c>
      <c r="E526">
        <f>INDEX(FactorTable!$B$2:$Y$301, MATCH(ROUND(MIN(300,MAX(1,D526)),0), FactorTable!$A$2:$A$301,0), Skills!M23+1)</f>
        <v/>
      </c>
      <c r="F526">
        <f>IF(Skills!N23=TRUE,(Skills!L23/10)*(E526/1000),Skills!L23/10)+Skills!O23</f>
        <v/>
      </c>
      <c r="G526">
        <f>Skills!G23*IF(Skills!H23&gt;0,INT(IF(Inputs!$B$38="pvp",MIN(Skills!I23,15),Skills!I23)/Skills!H23+0.000000001),1)</f>
        <v/>
      </c>
      <c r="H526">
        <f>1-(1-Skills!J23/100)^Skills!K23</f>
        <v/>
      </c>
      <c r="I526" t="inlineStr">
        <is>
          <t>1</t>
        </is>
      </c>
      <c r="J526" t="inlineStr"/>
      <c r="K526" t="inlineStr"/>
      <c r="L526" t="inlineStr"/>
      <c r="M526" t="inlineStr"/>
      <c r="N526" t="inlineStr"/>
      <c r="O526">
        <f>(1-Summary!$B$11)*T526+Summary!$B$11*V526</f>
        <v/>
      </c>
      <c r="P526">
        <f>IF(B548=0,0,O526/B548)</f>
        <v/>
      </c>
      <c r="Q526" t="n">
        <v>0</v>
      </c>
      <c r="R526" t="n">
        <v>0</v>
      </c>
      <c r="S526">
        <f>IFERROR(O526/N526,0)</f>
        <v/>
      </c>
      <c r="T526" t="n">
        <v>0</v>
      </c>
      <c r="V526" t="n">
        <v>0</v>
      </c>
    </row>
    <row r="527">
      <c r="A527">
        <f>Skills!A24</f>
        <v/>
      </c>
      <c r="B527">
        <f>Skills!B24</f>
        <v/>
      </c>
      <c r="C527">
        <f>Inputs!$B$3&gt;=33</f>
        <v/>
      </c>
      <c r="D527">
        <f>IF(Skills!C24=1,60+Inputs!$B$25+Inputs!$B$29,IF(Skills!C24=2,90+Inputs!$B$26+Inputs!$B$29,IF(Skills!C24=3,120+Inputs!$B$27+Inputs!$B$29,MAX(0,(Inputs!$B$3-100)*3)+Inputs!$B$28+Inputs!$B$29)))</f>
        <v/>
      </c>
      <c r="E527">
        <f>INDEX(FactorTable!$B$2:$Y$301, MATCH(ROUND(MIN(300,MAX(1,D527)),0), FactorTable!$A$2:$A$301,0), Skills!M24+1)</f>
        <v/>
      </c>
      <c r="F527">
        <f>IF(Skills!N24=TRUE,(Skills!L24/10)*(E527/1000),Skills!L24/10)+Skills!O24</f>
        <v/>
      </c>
      <c r="G527">
        <f>Skills!G24*IF(Skills!H24&gt;0,INT(IF(Inputs!$B$38="pvp",MIN(Skills!I24,15),Skills!I24)/Skills!H24+0.000000001),1)</f>
        <v/>
      </c>
      <c r="H527">
        <f>1-(1-Skills!J24/100)^Skills!K24</f>
        <v/>
      </c>
      <c r="I527" t="inlineStr">
        <is>
          <t>1</t>
        </is>
      </c>
      <c r="J527" t="inlineStr"/>
      <c r="K527" t="inlineStr"/>
      <c r="L527" t="inlineStr"/>
      <c r="M527" t="inlineStr"/>
      <c r="N527" t="inlineStr"/>
      <c r="O527">
        <f>(1-Summary!$B$11)*T527+Summary!$B$11*V527</f>
        <v/>
      </c>
      <c r="P527">
        <f>IF(B548=0,0,O527/B548)</f>
        <v/>
      </c>
      <c r="Q527" t="n">
        <v>0</v>
      </c>
      <c r="R527" t="n">
        <v>0</v>
      </c>
      <c r="S527">
        <f>IFERROR(O527/N527,0)</f>
        <v/>
      </c>
      <c r="T527" t="n">
        <v>0</v>
      </c>
      <c r="V527" t="n">
        <v>0</v>
      </c>
    </row>
    <row r="528">
      <c r="A528">
        <f>Skills!A25</f>
        <v/>
      </c>
      <c r="B528">
        <f>Skills!B25</f>
        <v/>
      </c>
      <c r="C528">
        <f>Inputs!$B$3&gt;=38</f>
        <v/>
      </c>
      <c r="D528">
        <f>IF(Skills!C25=1,60+Inputs!$B$25+Inputs!$B$29,IF(Skills!C25=2,90+Inputs!$B$26+Inputs!$B$29,IF(Skills!C25=3,120+Inputs!$B$27+Inputs!$B$29,MAX(0,(Inputs!$B$3-100)*3)+Inputs!$B$28+Inputs!$B$29)))</f>
        <v/>
      </c>
      <c r="E528">
        <f>INDEX(FactorTable!$B$2:$Y$301, MATCH(ROUND(MIN(300,MAX(1,D528)),0), FactorTable!$A$2:$A$301,0), Skills!M25+1)</f>
        <v/>
      </c>
      <c r="F528">
        <f>IF(Skills!N25=TRUE,(Skills!L25/10)*(E528/1000),Skills!L25/10)+Skills!O25</f>
        <v/>
      </c>
      <c r="G528">
        <f>Skills!G25*IF(Skills!H25&gt;0,INT(IF(Inputs!$B$38="pvp",MIN(Skills!I25,15),Skills!I25)/Skills!H25+0.000000001),1)</f>
        <v/>
      </c>
      <c r="H528">
        <f>1-(1-Skills!J25/100)^Skills!K25</f>
        <v/>
      </c>
      <c r="I528" t="inlineStr">
        <is>
          <t>1</t>
        </is>
      </c>
      <c r="J528" t="inlineStr"/>
      <c r="K528" t="inlineStr"/>
      <c r="L528" t="inlineStr"/>
      <c r="M528" t="inlineStr"/>
      <c r="N528" t="inlineStr"/>
      <c r="O528">
        <f>(1-Summary!$B$11)*T528+Summary!$B$11*V528</f>
        <v/>
      </c>
      <c r="P528">
        <f>IF(B548=0,0,O528/B548)</f>
        <v/>
      </c>
      <c r="Q528" t="n">
        <v>0</v>
      </c>
      <c r="R528" t="n">
        <v>0</v>
      </c>
      <c r="S528">
        <f>IFERROR(O528/N528,0)</f>
        <v/>
      </c>
      <c r="T528" t="n">
        <v>0</v>
      </c>
      <c r="V528" t="n">
        <v>0</v>
      </c>
    </row>
    <row r="529">
      <c r="A529">
        <f>Skills!A26</f>
        <v/>
      </c>
      <c r="B529">
        <f>Skills!B26</f>
        <v/>
      </c>
      <c r="C529">
        <f>Inputs!$B$3&gt;=43</f>
        <v/>
      </c>
      <c r="D529">
        <f>IF(Skills!C26=1,60+Inputs!$B$25+Inputs!$B$29,IF(Skills!C26=2,90+Inputs!$B$26+Inputs!$B$29,IF(Skills!C26=3,120+Inputs!$B$27+Inputs!$B$29,MAX(0,(Inputs!$B$3-100)*3)+Inputs!$B$28+Inputs!$B$29)))</f>
        <v/>
      </c>
      <c r="E529">
        <f>INDEX(FactorTable!$B$2:$Y$301, MATCH(ROUND(MIN(300,MAX(1,D529)),0), FactorTable!$A$2:$A$301,0), Skills!M26+1)</f>
        <v/>
      </c>
      <c r="F529">
        <f>IF(Skills!N26=TRUE,(Skills!L26/10)*(E529/1000),Skills!L26/10)+Skills!O26</f>
        <v/>
      </c>
      <c r="G529">
        <f>Skills!G26*IF(Skills!H26&gt;0,INT(IF(Inputs!$B$38="pvp",MIN(Skills!I26,15),Skills!I26)/Skills!H26+0.000000001),1)</f>
        <v/>
      </c>
      <c r="H529">
        <f>1-(1-Skills!J26/100)^Skills!K26</f>
        <v/>
      </c>
      <c r="I529" t="inlineStr">
        <is>
          <t>1</t>
        </is>
      </c>
      <c r="J529" t="inlineStr"/>
      <c r="K529" t="inlineStr"/>
      <c r="L529" t="inlineStr"/>
      <c r="M529" t="inlineStr"/>
      <c r="N529" t="inlineStr"/>
      <c r="O529">
        <f>(1-Summary!$B$11)*T529+Summary!$B$11*V529</f>
        <v/>
      </c>
      <c r="P529">
        <f>IF(B548=0,0,O529/B548)</f>
        <v/>
      </c>
      <c r="Q529" t="n">
        <v>0</v>
      </c>
      <c r="R529" t="n">
        <v>0</v>
      </c>
      <c r="S529">
        <f>IFERROR(O529/N529,0)</f>
        <v/>
      </c>
      <c r="T529" t="n">
        <v>0</v>
      </c>
      <c r="V529" t="n">
        <v>0</v>
      </c>
    </row>
    <row r="530">
      <c r="A530">
        <f>Skills!A27</f>
        <v/>
      </c>
      <c r="B530">
        <f>Skills!B27</f>
        <v/>
      </c>
      <c r="C530">
        <f>Inputs!$B$3&gt;=75</f>
        <v/>
      </c>
      <c r="D530">
        <f>IF(Skills!C27=1,60+Inputs!$B$25+Inputs!$B$29,IF(Skills!C27=2,90+Inputs!$B$26+Inputs!$B$29,IF(Skills!C27=3,120+Inputs!$B$27+Inputs!$B$29,MAX(0,(Inputs!$B$3-100)*3)+Inputs!$B$28+Inputs!$B$29)))</f>
        <v/>
      </c>
      <c r="E530">
        <f>INDEX(FactorTable!$B$2:$Y$301, MATCH(ROUND(MIN(300,MAX(1,D530)),0), FactorTable!$A$2:$A$301,0), Skills!M27+1)</f>
        <v/>
      </c>
      <c r="F530">
        <f>IF(Skills!N27=TRUE,(Skills!L27/10)*(E530/1000),Skills!L27/10)+Skills!O27</f>
        <v/>
      </c>
      <c r="G530">
        <f>Skills!G27*IF(Skills!H27&gt;0,INT(IF(Inputs!$B$38="pvp",MIN(Skills!I27,15),Skills!I27)/Skills!H27+0.000000001),1)</f>
        <v/>
      </c>
      <c r="H530">
        <f>1-(1-Skills!J27/100)^Skills!K27</f>
        <v/>
      </c>
      <c r="I530" t="inlineStr">
        <is>
          <t>1</t>
        </is>
      </c>
      <c r="J530" t="inlineStr"/>
      <c r="K530" t="inlineStr"/>
      <c r="L530" t="inlineStr"/>
      <c r="M530" t="inlineStr"/>
      <c r="N530" t="inlineStr"/>
      <c r="O530">
        <f>(1-Summary!$B$11)*T530+Summary!$B$11*V530</f>
        <v/>
      </c>
      <c r="P530">
        <f>IF(B548=0,0,O530/B548)</f>
        <v/>
      </c>
      <c r="Q530" t="n">
        <v>0</v>
      </c>
      <c r="R530" t="n">
        <v>0</v>
      </c>
      <c r="S530">
        <f>IFERROR(O530/N530,0)</f>
        <v/>
      </c>
      <c r="T530" t="n">
        <v>0</v>
      </c>
      <c r="V530" t="n">
        <v>0</v>
      </c>
    </row>
    <row r="531">
      <c r="A531">
        <f>Skills!A28</f>
        <v/>
      </c>
      <c r="B531">
        <f>Skills!B28</f>
        <v/>
      </c>
      <c r="C531">
        <f>Inputs!$B$3&gt;=125</f>
        <v/>
      </c>
      <c r="D531">
        <f>IF(Skills!C28=1,60+Inputs!$B$25+Inputs!$B$29,IF(Skills!C28=2,90+Inputs!$B$26+Inputs!$B$29,IF(Skills!C28=3,120+Inputs!$B$27+Inputs!$B$29,MAX(0,(Inputs!$B$3-100)*3)+Inputs!$B$28+Inputs!$B$29)))</f>
        <v/>
      </c>
      <c r="E531">
        <f>INDEX(FactorTable!$B$2:$Y$301, MATCH(ROUND(MIN(300,MAX(1,D531)),0), FactorTable!$A$2:$A$301,0), Skills!M28+1)</f>
        <v/>
      </c>
      <c r="F531">
        <f>IF(Skills!N28=TRUE,(Skills!L28/10)*(E531/1000),Skills!L28/10)+Skills!O28</f>
        <v/>
      </c>
      <c r="G531">
        <f>Skills!G28*IF(Skills!H28&gt;0,INT(IF(Inputs!$B$38="pvp",MIN(Skills!I28,15),Skills!I28)/Skills!H28+0.000000001),1)</f>
        <v/>
      </c>
      <c r="H531">
        <f>1-(1-Skills!J28/100)^Skills!K28</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Skills!A29</f>
        <v/>
      </c>
      <c r="B532">
        <f>Skills!B29</f>
        <v/>
      </c>
      <c r="C532">
        <f>Inputs!$B$3&gt;=125</f>
        <v/>
      </c>
      <c r="D532">
        <f>IF(Skills!C29=1,60+Inputs!$B$25+Inputs!$B$29,IF(Skills!C29=2,90+Inputs!$B$26+Inputs!$B$29,IF(Skills!C29=3,120+Inputs!$B$27+Inputs!$B$29,MAX(0,(Inputs!$B$3-100)*3)+Inputs!$B$28+Inputs!$B$29)))</f>
        <v/>
      </c>
      <c r="E532">
        <f>INDEX(FactorTable!$B$2:$Y$301, MATCH(ROUND(MIN(300,MAX(1,D532)),0), FactorTable!$A$2:$A$301,0), Skills!M29+1)</f>
        <v/>
      </c>
      <c r="F532">
        <f>IF(Skills!N29=TRUE,(Skills!L29/10)*(E532/1000),Skills!L29/10)+Skills!O29</f>
        <v/>
      </c>
      <c r="G532">
        <f>Skills!G29*IF(Skills!H29&gt;0,INT(IF(Inputs!$B$38="pvp",MIN(Skills!I29,15),Skills!I29)/Skills!H29+0.000000001),1)</f>
        <v/>
      </c>
      <c r="H532">
        <f>1-(1-Skills!J29/100)^Skills!K29</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Skills!A30</f>
        <v/>
      </c>
      <c r="B533">
        <f>Skills!B30</f>
        <v/>
      </c>
      <c r="C533">
        <f>Inputs!$B$3&gt;=120</f>
        <v/>
      </c>
      <c r="D533">
        <f>IF(Skills!C30=1,60+Inputs!$B$25+Inputs!$B$29,IF(Skills!C30=2,90+Inputs!$B$26+Inputs!$B$29,IF(Skills!C30=3,120+Inputs!$B$27+Inputs!$B$29,MAX(0,(Inputs!$B$3-100)*3)+Inputs!$B$28+Inputs!$B$29)))</f>
        <v/>
      </c>
      <c r="E533">
        <f>INDEX(FactorTable!$B$2:$Y$301, MATCH(ROUND(MIN(300,MAX(1,D533)),0), FactorTable!$A$2:$A$301,0), Skills!M30+1)</f>
        <v/>
      </c>
      <c r="F533">
        <f>IF(Skills!N30=TRUE,(Skills!L30/10)*(E533/1000),Skills!L30/10)+Skills!O30</f>
        <v/>
      </c>
      <c r="G533">
        <f>Skills!G30*IF(Skills!H30&gt;0,INT(IF(Inputs!$B$38="pvp",MIN(Skills!I30,15),Skills!I30)/Skills!H30+0.000000001),1)</f>
        <v/>
      </c>
      <c r="H533">
        <f>1-(1-Skills!J30/100)^Skills!K30</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Skills!A31</f>
        <v/>
      </c>
      <c r="B534">
        <f>Skills!B31</f>
        <v/>
      </c>
      <c r="C534">
        <f>Inputs!$B$3&gt;=120</f>
        <v/>
      </c>
      <c r="D534">
        <f>IF(Skills!C31=1,60+Inputs!$B$25+Inputs!$B$29,IF(Skills!C31=2,90+Inputs!$B$26+Inputs!$B$29,IF(Skills!C31=3,120+Inputs!$B$27+Inputs!$B$29,MAX(0,(Inputs!$B$3-100)*3)+Inputs!$B$28+Inputs!$B$29)))</f>
        <v/>
      </c>
      <c r="E534">
        <f>INDEX(FactorTable!$B$2:$Y$301, MATCH(ROUND(MIN(300,MAX(1,D534)),0), FactorTable!$A$2:$A$301,0), Skills!M31+1)</f>
        <v/>
      </c>
      <c r="F534">
        <f>IF(Skills!N31=TRUE,(Skills!L31/10)*(E534/1000),Skills!L31/10)+Skills!O31</f>
        <v/>
      </c>
      <c r="G534">
        <f>Skills!G31*IF(Skills!H31&gt;0,INT(IF(Inputs!$B$38="pvp",MIN(Skills!I31,15),Skills!I31)/Skills!H31+0.000000001),1)</f>
        <v/>
      </c>
      <c r="H534">
        <f>1-(1-Skills!J31/100)^Skills!K31</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Skills!A32</f>
        <v/>
      </c>
      <c r="B535">
        <f>Skills!B32</f>
        <v/>
      </c>
      <c r="C535">
        <f>Inputs!$B$3&gt;=45</f>
        <v/>
      </c>
      <c r="D535">
        <f>IF(Skills!C32=1,60+Inputs!$B$25+Inputs!$B$29,IF(Skills!C32=2,90+Inputs!$B$26+Inputs!$B$29,IF(Skills!C32=3,120+Inputs!$B$27+Inputs!$B$29,MAX(0,(Inputs!$B$3-100)*3)+Inputs!$B$28+Inputs!$B$29)))</f>
        <v/>
      </c>
      <c r="E535">
        <f>INDEX(FactorTable!$B$2:$Y$301, MATCH(ROUND(MIN(300,MAX(1,D535)),0), FactorTable!$A$2:$A$301,0), Skills!M32+1)</f>
        <v/>
      </c>
      <c r="F535">
        <f>IF(Skills!N32=TRUE,(Skills!L32/10)*(E535/1000),Skills!L32/10)+Skills!O32</f>
        <v/>
      </c>
      <c r="G535">
        <f>Skills!G32*IF(Skills!H32&gt;0,INT(IF(Inputs!$B$38="pvp",MIN(Skills!I32,15),Skills!I32)/Skills!H32+0.000000001),1)</f>
        <v/>
      </c>
      <c r="H535">
        <f>1-(1-Skills!J32/100)^Skills!K32</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524=TRUE)*F524*IF(AND(Inputs!$B$38&lt;&gt;"pvp",Inputs!$B$43&gt;0),(((R524-1)*MIN((Skills!T21*(1+Inputs!$B$34/100)),(1/Q524))+MIN((Skills!T21*(1+Inputs!$B$34/100)),MAX(0,Inputs!$B$43-((R524-1)*(1/Q524)))))/Inputs!$B$43),IF(Inputs!$B$38="pvp",MIN((Skills!T21*(1+Inputs!$B$34/100)),15)/15,MIN(1,(Skills!T21*(1+Inputs!$B$34/100))/(1/Q524)))))</f>
        <v/>
      </c>
    </row>
    <row r="540">
      <c r="A540" t="inlineStr">
        <is>
          <t>Actions Per Second</t>
        </is>
      </c>
      <c r="B540">
        <f>1+MIN(150,150*(1-(1-(Inputs!$B$11+((C526=TRUE)*(F526-Calc!F23))+((C527=TRUE)*(F527-Calc!F24)))/150)*(1-B539/150)))/100</f>
        <v/>
      </c>
    </row>
    <row r="541">
      <c r="A541" t="inlineStr">
        <is>
          <t>Skill + Buff Cast Rate</t>
        </is>
      </c>
      <c r="B541">
        <f>IF(AND(Inputs!$B$38&lt;&gt;"pvp",Inputs!$B$43&gt;0),SUMPRODUCT((Skills!E2:E32=TRUE)*(C505:C535=TRUE)*R505:R535*Skills!F2:F32)/Inputs!$B$43,SUMPRODUCT((Skills!E2:E32=TRUE)*(C505:C535=TRUE)*Q505:Q535*Skills!F2:F32))</f>
        <v/>
      </c>
    </row>
    <row r="542">
      <c r="A542" t="inlineStr">
        <is>
          <t>Arrow Stream Casts Per Second</t>
        </is>
      </c>
      <c r="B542">
        <f>MAX(0,B540-B541)</f>
        <v/>
      </c>
    </row>
    <row r="543">
      <c r="A543" t="inlineStr">
        <is>
          <t>Global Critical Damage Bonus % (Sharp Eyes + Concentration)</t>
        </is>
      </c>
      <c r="B543">
        <f>(C521=TRUE)*F521*IF(AND(Inputs!$B$38&lt;&gt;"pvp",Inputs!$B$43&gt;0),(((R521-1)*MIN((Skills!T18*(1+Inputs!$B$34/100)),(1/Q521))+MIN((Skills!T18*(1+Inputs!$B$34/100)),MAX(0,Inputs!$B$43-((R521-1)*(1/Q521)))))/Inputs!$B$43),IF(Inputs!$B$38="pvp",MIN((Skills!T18*(1+Inputs!$B$34/100)),15)/15,MIN(1,(Skills!T18*(1+Inputs!$B$34/100))/(1/Q521))))+(C522=TRUE)*7*F522</f>
        <v/>
      </c>
    </row>
    <row r="544">
      <c r="A544" t="inlineStr">
        <is>
          <t>Global Final Damage Bonus % (Mortal Blow)</t>
        </is>
      </c>
      <c r="B544">
        <f>(C523=TRUE)*F523</f>
        <v/>
      </c>
    </row>
    <row r="545">
      <c r="A545" t="inlineStr">
        <is>
          <t>Buff-Casting Startup Delay (s, fixed-duration only)</t>
        </is>
      </c>
      <c r="B545">
        <f>IF(AND(Inputs!$B$38&lt;&gt;"pvp",Inputs!$B$43&gt;0),SUMPRODUCT((Skills!T2:T32&gt;0)*(Skills!E2:E32=TRUE)*(C505:C535=TRUE))/B540,0)</f>
        <v/>
      </c>
    </row>
    <row r="546">
      <c r="A546" t="inlineStr">
        <is>
          <t>Boss-Only Total DPS (this block's swept value)</t>
        </is>
      </c>
      <c r="B546">
        <f>SUM(T505:T535)</f>
        <v/>
      </c>
    </row>
    <row r="547">
      <c r="A547" t="inlineStr">
        <is>
          <t>Normal-Only Total DPS (this block's swept value)</t>
        </is>
      </c>
      <c r="B547">
        <f>SUM(V505:V535)</f>
        <v/>
      </c>
    </row>
    <row r="548">
      <c r="A548" s="6" t="inlineStr">
        <is>
          <t>TOTAL DPS</t>
        </is>
      </c>
      <c r="B548" s="6">
        <f>SUM(O505:O535)</f>
        <v/>
      </c>
    </row>
    <row r="551">
      <c r="A551" s="6" t="inlineStr">
        <is>
          <t>Stat: CRIT_RATE %</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Skills!G2*IF(Skills!H2&gt;0,INT(IF(Inputs!$B$38="pvp",MIN(Skills!I2,15),Skills!I2)/Skills!H2+0.000000001),1)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577=TRUE)*(F577-Calc!F26)),(Inputs!$B$23+((C582=TRUE)*(F582-Calc!F31))+(IF(ArtifactsInput!$M$15,CHOOSE(ArtifactsInput!$N$15+1,25,30,35,40,45,50)/100*(Inputs!$B$11-Inputs!$B$11),0))))/100+(Inputs!$B$23+((C582=TRUE)*(F582-Calc!F31))+(IF(ArtifactsInput!$M$15,CHOOSE(ArtifactsInput!$N$15+1,25,30,35,40,45,50)/100*(Inputs!$B$11-Inputs!$B$11),0)))/100)/2</f>
        <v/>
      </c>
      <c r="M553">
        <f>L553*(1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IF(B596=0,0,O553/B596)</f>
        <v/>
      </c>
      <c r="Q553" t="n">
        <v>0</v>
      </c>
      <c r="R553" t="n">
        <v>0</v>
      </c>
      <c r="S553">
        <f>IFERROR(O553/N553,0)</f>
        <v/>
      </c>
      <c r="T553">
        <f>IF(C553,(Skills!G2*N553*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Skills!G3*IF(Skills!H3&gt;0,INT(IF(Inputs!$B$38="pvp",MIN(Skills!I3,15),Skills!I3)/Skills!H3+0.000000001),1)</f>
        <v/>
      </c>
      <c r="H554">
        <f>1-(1-Skills!J3/100)^Skills!K3</f>
        <v/>
      </c>
      <c r="I554" t="inlineStr">
        <is>
          <t>1</t>
        </is>
      </c>
      <c r="J554">
        <f>((Inputs!$B$6*(1+Inputs!$B$7/100))+(((Inputs!$B$12*(1+Inputs!$B$13/100))-(Inputs!$B$12*(1+Inputs!$B$13/100)))+0.25*(Inputs!$B$14-Inputs!$B$14))*(1+Inputs!$B$7/100))*(F554/100)</f>
        <v/>
      </c>
      <c r="K554">
        <f>J554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555=TRUE,F555,0)/100)*(1+(IF(Skills!A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577=TRUE)*(F577-Calc!F26)),(Inputs!$B$23+((C582=TRUE)*(F582-Calc!F31))+(IF(ArtifactsInput!$M$15,CHOOSE(ArtifactsInput!$N$15+1,25,30,35,40,45,50)/100*(Inputs!$B$11-Inputs!$B$11),0))))/100+(Inputs!$B$23+((C582=TRUE)*(F582-Calc!F31))+(IF(ArtifactsInput!$M$15,CHOOSE(ArtifactsInput!$N$15+1,25,30,35,40,45,50)/100*(Inputs!$B$11-Inputs!$B$11),0)))/100)/2</f>
        <v/>
      </c>
      <c r="M554">
        <f>L554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4">
        <f>L554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IF(B596=0,0,O554/B596)</f>
        <v/>
      </c>
      <c r="Q554">
        <f>IFERROR(1/(IF(Inputs!$B$38="pvp",15,MAX(0.1,1/B588-IF(FALSE=TRUE,Inputs!$B$32,0)))*(1-IF(AND(ArtifactsInput!$M$27,Inputs!$B$4="Chapter Hunt"),CHOOSE(ArtifactsInput!$N$27+1,20,24,28,32,36,40),0)/100)),0)</f>
        <v/>
      </c>
      <c r="R554">
        <f>IF(AND(Inputs!$B$38&lt;&gt;"pvp",Inputs!$B$43&gt;0),IF(MAX(0,Inputs!$B$43-B593)&lt;=0,0,(INT(MAX(0,Inputs!$B$43-B593)/(IF(Inputs!$B$38="pvp",15,MAX(0.1,1/B588-IF(FALSE=TRUE,Inputs!$B$32,0)))*(1-IF(AND(ArtifactsInput!$M$27,Inputs!$B$4="Chapter Hunt"),CHOOSE(ArtifactsInput!$N$27+1,20,24,28,32,36,40),0)/100)))+1)),0)</f>
        <v/>
      </c>
      <c r="S554">
        <f>IFERROR(O554/N554,0)</f>
        <v/>
      </c>
      <c r="T554">
        <f>IF(C554,(H554*N554*IF(AND(Inputs!$B$38&lt;&gt;"pvp",Inputs!$B$43&gt;0),((Skills!G3*((R554-1)*IF(Skills!H3&gt;0,INT(Skills!I3/Skills!H3+0.000000001),1)+IF(Skills!H3&gt;0,INT(MIN(Skills!I3,MAX(0,MAX(0,Inputs!$B$43-B593)-((R554-1)*(IF(Inputs!$B$38="pvp",15,MAX(0.1,1/B588-IF(FALSE=TRUE,Inputs!$B$32,0)))*(1-IF(AND(ArtifactsInput!$M$27,Inputs!$B$4="Chapter Hunt"),CHOOSE(ArtifactsInput!$N$27+1,20,24,28,32,36,40),0)/100)))))/Skills!H3+0.000000001),1)))/Inputs!$B$43),G554*Q554)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4">
        <f>INDEX(FactorTable!$B$2:$Y$301, MATCH(ROUND(MIN(300,MAX(1,U553)),0), FactorTable!$A$2:$A$301,0), 22)</f>
        <v/>
      </c>
      <c r="V554">
        <f>IF(C554,(H554*N554*IF(AND(Inputs!$B$38&lt;&gt;"pvp",Inputs!$B$43&gt;0),((Skills!G3*((R554-1)*IF(Skills!H3&gt;0,INT(Skills!I3/Skills!H3+0.000000001),1)+IF(Skills!H3&gt;0,INT(MIN(Skills!I3,MAX(0,MAX(0,Inputs!$B$43-B593)-((R554-1)*(IF(Inputs!$B$38="pvp",15,MAX(0.1,1/B588-IF(FALSE=TRUE,Inputs!$B$32,0)))*(1-IF(AND(ArtifactsInput!$M$27,Inputs!$B$4="Chapter Hunt"),CHOOSE(ArtifactsInput!$N$27+1,20,24,28,32,36,40),0)/100)))))/Skills!H3+0.000000001),1)))/Inputs!$B$43),G554*Q554))*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Skills!A4</f>
        <v/>
      </c>
      <c r="B555">
        <f>Skills!B4</f>
        <v/>
      </c>
      <c r="C555">
        <f>Inputs!$B$3&gt;=105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t="inlineStr"/>
      <c r="H555" t="inlineStr"/>
      <c r="I555" t="inlineStr">
        <is>
          <t>1</t>
        </is>
      </c>
      <c r="J555" t="inlineStr"/>
      <c r="K555" t="inlineStr"/>
      <c r="L555" t="inlineStr"/>
      <c r="M555" t="inlineStr"/>
      <c r="N555" t="inlineStr"/>
      <c r="O555" t="inlineStr"/>
      <c r="P555" t="inlineStr"/>
      <c r="Q555" t="inlineStr"/>
      <c r="R555" t="inlineStr"/>
      <c r="S555" t="inlineStr"/>
      <c r="T555" t="inlineStr"/>
      <c r="U555">
        <f>290*U554/1000</f>
        <v/>
      </c>
      <c r="V555" t="inlineStr"/>
    </row>
    <row r="556">
      <c r="A556">
        <f>Skills!A5</f>
        <v/>
      </c>
      <c r="B556">
        <f>Skills!B5</f>
        <v/>
      </c>
      <c r="C556">
        <f>Inputs!$B$3&gt;=35</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Skills!G5*IF(Skills!H5&gt;0,INT(IF(Inputs!$B$38="pvp",MIN(Skills!I5,15),Skills!I5)/Skills!H5+0.000000001),1)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563=TRUE,F563,0)/100)*(1+(IF(Skills!A5="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577=TRUE)*(F577-Calc!F26)),(Inputs!$B$23+((C582=TRUE)*(F582-Calc!F31))+(IF(ArtifactsInput!$M$15,CHOOSE(ArtifactsInput!$N$15+1,25,30,35,40,45,50)/100*(Inputs!$B$11-Inputs!$B$11),0))))/100+(Inputs!$B$23+((C582=TRUE)*(F582-Calc!F31))+(IF(ArtifactsInput!$M$15,CHOOSE(ArtifactsInput!$N$15+1,25,30,35,40,45,50)/100*(Inputs!$B$11-Inputs!$B$11),0)))/100)/2</f>
        <v/>
      </c>
      <c r="M556">
        <f>L556*(1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6">
        <f>L556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IF(B596=0,0,O556/B596)</f>
        <v/>
      </c>
      <c r="Q556">
        <f>IFERROR(1/(IF(Inputs!$B$38="pvp",15,MAX(0.1,Skills!D5-IF(TRUE=TRUE,Inputs!$B$32,0)))*(1-IF(AND(ArtifactsInput!$M$27,Inputs!$B$4="Chapter Hunt"),CHOOSE(ArtifactsInput!$N$27+1,20,24,28,32,36,40),0)/100)),0)</f>
        <v/>
      </c>
      <c r="R556">
        <f>IF(AND(Inputs!$B$38&lt;&gt;"pvp",Inputs!$B$43&gt;0),IF(MAX(0,Inputs!$B$43-B593)&lt;=0,0,(INT(MAX(0,Inputs!$B$43-B593)/(IF(Inputs!$B$38="pvp",15,MAX(0.1,Skills!D5-IF(TRUE=TRUE,Inputs!$B$32,0)))*(1-IF(AND(ArtifactsInput!$M$27,Inputs!$B$4="Chapter Hunt"),CHOOSE(ArtifactsInput!$N$27+1,20,24,28,32,36,40),0)/100)))+1)),0)</f>
        <v/>
      </c>
      <c r="S556">
        <f>IFERROR(O556/N556,0)</f>
        <v/>
      </c>
      <c r="T556">
        <f>IF(C556,(H556*N556*IF(AND(Inputs!$B$38&lt;&gt;"pvp",Inputs!$B$43&gt;0),((Skills!G5*((R556-1)*IF(Skills!H5&gt;0,INT(Skills!I5/Skills!H5+0.000000001),1)+IF(Skills!H5&gt;0,INT(MIN(Skills!I5,MAX(0,MAX(0,Inputs!$B$43-B593)-((R556-1)*(IF(Inputs!$B$38="pvp",15,MAX(0.1,Skills!D5-IF(TRUE=TRUE,Inputs!$B$32,0)))*(1-IF(AND(ArtifactsInput!$M$27,Inputs!$B$4="Chapter Hunt"),CHOOSE(ArtifactsInput!$N$27+1,20,24,28,32,36,40),0)/100)))))/Skills!H5+0.000000001),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INT(Skills!I5/Skills!H5+0.000000001),1)+IF(Skills!H5&gt;0,INT(MIN(Skills!I5,MAX(0,MAX(0,Inputs!$B$43-B593)-((R556-1)*(IF(Inputs!$B$38="pvp",15,MAX(0.1,Skills!D5-IF(TRUE=TRUE,Inputs!$B$32,0)))*(1-IF(AND(ArtifactsInput!$M$27,Inputs!$B$4="Chapter Hunt"),CHOOSE(ArtifactsInput!$N$27+1,20,24,28,32,36,40),0)/100)))))/Skills!H5+0.000000001),1)))/Inputs!$B$43),G556*Q556))*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Inputs!$B$3&gt;=40</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Skills!G6*IF(Skills!H6&gt;0,INT(IF(Inputs!$B$38="pvp",MIN(Skills!I6,15),Skills!I6)/Skills!H6+0.000000001),1)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558=TRUE,F558,0)/100)*(1+(IF(Skills!A6="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26)),(Inputs!$B$23+((C582=TRUE)*(F582-Calc!F31))+(IF(ArtifactsInput!$M$15,CHOOSE(ArtifactsInput!$N$15+1,25,30,35,40,45,50)/100*(Inputs!$B$11-Inputs!$B$11),0))))/100+(Inputs!$B$23+((C582=TRUE)*(F582-Calc!F31))+(IF(ArtifactsInput!$M$15,CHOOSE(ArtifactsInput!$N$15+1,25,30,35,40,45,50)/100*(Inputs!$B$11-Inputs!$B$11),0)))/100)/2</f>
        <v/>
      </c>
      <c r="M557">
        <f>L557*(1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7">
        <f>L557*(1-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f>IFERROR(1/(IF(Inputs!$B$38="pvp",15,MAX(0.1,1-0.4*MIN(1,(B588-1)/1.5)-IF(FALSE=TRUE,Inputs!$B$32,0)))*(1-IF(AND(ArtifactsInput!$M$27,Inputs!$B$4="Chapter Hunt"),CHOOSE(ArtifactsInput!$N$27+1,20,24,28,32,36,40),0)/100)),0)</f>
        <v/>
      </c>
      <c r="R557">
        <f>IF(AND(Inputs!$B$38&lt;&gt;"pvp",Inputs!$B$43&gt;0),IF(MAX(0,Inputs!$B$43-B593)&lt;=0,0,(INT(MAX(0,Inputs!$B$43-B593)/(IF(Inputs!$B$38="pvp",15,MAX(0.1,1-0.4*MIN(1,(B588-1)/1.5)-IF(FALSE=TRUE,Inputs!$B$32,0)))*(1-IF(AND(ArtifactsInput!$M$27,Inputs!$B$4="Chapter Hunt"),CHOOSE(ArtifactsInput!$N$27+1,20,24,28,32,36,40),0)/100)))+1)),0)</f>
        <v/>
      </c>
      <c r="S557">
        <f>IFERROR(O557/N557,0)</f>
        <v/>
      </c>
      <c r="T557">
        <f>IF(C557,(H557*N557*IF(AND(Inputs!$B$38&lt;&gt;"pvp",Inputs!$B$43&gt;0),((Skills!G6*((R557-1)*IF(Skills!H6&gt;0,INT(Skills!I6/Skills!H6+0.000000001),1)+IF(Skills!H6&gt;0,INT(MIN(Skills!I6,MAX(0,MAX(0,Inputs!$B$43-B593)-((R557-1)*(IF(Inputs!$B$38="pvp",15,MAX(0.1,1-0.4*MIN(1,(B588-1)/1.5)-IF(FALSE=TRUE,Inputs!$B$32,0)))*(1-IF(AND(ArtifactsInput!$M$27,Inputs!$B$4="Chapter Hunt"),CHOOSE(ArtifactsInput!$N$27+1,20,24,28,32,36,40),0)/100)))))/Skills!H6+0.000000001),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INT(Skills!I6/Skills!H6+0.000000001),1)+IF(Skills!H6&gt;0,INT(MIN(Skills!I6,MAX(0,MAX(0,Inputs!$B$43-B593)-((R557-1)*(IF(Inputs!$B$38="pvp",15,MAX(0.1,1-0.4*MIN(1,(B588-1)/1.5)-IF(FALSE=TRUE,Inputs!$B$32,0)))*(1-IF(AND(ArtifactsInput!$M$27,Inputs!$B$4="Chapter Hunt"),CHOOSE(ArtifactsInput!$N$27+1,20,24,28,32,36,40),0)/100)))))/Skills!H6+0.000000001),1)))/Inputs!$B$43),G557*Q557))*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t="inlineStr"/>
      <c r="H558" t="inlineStr"/>
      <c r="I558" t="inlineStr">
        <is>
          <t>1</t>
        </is>
      </c>
      <c r="J558" t="inlineStr"/>
      <c r="K558" t="inlineStr"/>
      <c r="L558" t="inlineStr"/>
      <c r="M558" t="inlineStr"/>
      <c r="N558" t="inlineStr"/>
      <c r="O558" t="inlineStr"/>
      <c r="P558" t="inlineStr"/>
      <c r="Q558" t="inlineStr"/>
      <c r="R558" t="inlineStr"/>
      <c r="S558" t="inlineStr"/>
      <c r="T558" t="inlineStr"/>
      <c r="V558" t="inlineStr"/>
    </row>
    <row r="559">
      <c r="A559">
        <f>Skills!A8</f>
        <v/>
      </c>
      <c r="B559">
        <f>Skills!B8</f>
        <v/>
      </c>
      <c r="C559">
        <f>Inputs!$B$3&gt;=130</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Skills!G8*IF(Skills!H8&gt;0,INT(IF(Inputs!$B$38="pvp",MIN(Skills!I8,15),Skills!I8)/Skills!H8+0.000000001),1)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26)),(Inputs!$B$23+((C582=TRUE)*(F582-Calc!F31))+(IF(ArtifactsInput!$M$15,CHOOSE(ArtifactsInput!$N$15+1,25,30,35,40,45,50)/100*(Inputs!$B$11-Inputs!$B$11),0))))/100+(Inputs!$B$23+((C582=TRUE)*(F582-Calc!F31))+(IF(ArtifactsInput!$M$15,CHOOSE(ArtifactsInput!$N$15+1,25,30,35,40,45,50)/100*(Inputs!$B$11-Inputs!$B$11),0)))/100)/2</f>
        <v/>
      </c>
      <c r="M559">
        <f>L559*(1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9">
        <f>L559*(1-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IFERROR(1/(IF(Inputs!$B$38="pvp",15,MAX(0.1,1-0.4*MIN(1,(B588-1)/1.5)-IF(FALSE=TRUE,Inputs!$B$32,0)))*(1-IF(AND(ArtifactsInput!$M$27,Inputs!$B$4="Chapter Hunt"),CHOOSE(ArtifactsInput!$N$27+1,20,24,28,32,36,40),0)/100)),0)</f>
        <v/>
      </c>
      <c r="R559">
        <f>IF(AND(Inputs!$B$38&lt;&gt;"pvp",Inputs!$B$43&gt;0),IF(MAX(0,Inputs!$B$43-B593)&lt;=0,0,(INT(MAX(0,Inputs!$B$43-B593)/(IF(Inputs!$B$38="pvp",15,MAX(0.1,1-0.4*MIN(1,(B588-1)/1.5)-IF(FALSE=TRUE,Inputs!$B$32,0)))*(1-IF(AND(ArtifactsInput!$M$27,Inputs!$B$4="Chapter Hunt"),CHOOSE(ArtifactsInput!$N$27+1,20,24,28,32,36,40),0)/100)))+1)),0)</f>
        <v/>
      </c>
      <c r="S559">
        <f>IFERROR(O559/N559,0)</f>
        <v/>
      </c>
      <c r="T559">
        <f>IF(C559,(H559*N559*IF(AND(Inputs!$B$38&lt;&gt;"pvp",Inputs!$B$43&gt;0),((Skills!G8*((R559-1)*IF(Skills!H8&gt;0,INT(Skills!I8/Skills!H8+0.000000001),1)+IF(Skills!H8&gt;0,INT(MIN(Skills!I8,MAX(0,MAX(0,Inputs!$B$43-B593)-((R559-1)*(IF(Inputs!$B$38="pvp",15,MAX(0.1,1-0.4*MIN(1,(B588-1)/1.5)-IF(FALSE=TRUE,Inputs!$B$32,0)))*(1-IF(AND(ArtifactsInput!$M$27,Inputs!$B$4="Chapter Hunt"),CHOOSE(ArtifactsInput!$N$27+1,20,24,28,32,36,40),0)/100)))))/Skills!H8+0.000000001),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INT(Skills!I8/Skills!H8+0.000000001),1)+IF(Skills!H8&gt;0,INT(MIN(Skills!I8,MAX(0,MAX(0,Inputs!$B$43-B593)-((R559-1)*(IF(Inputs!$B$38="pvp",15,MAX(0.1,1-0.4*MIN(1,(B588-1)/1.5)-IF(FALSE=TRUE,Inputs!$B$32,0)))*(1-IF(AND(ArtifactsInput!$M$27,Inputs!$B$4="Chapter Hunt"),CHOOSE(ArtifactsInput!$N$27+1,20,24,28,32,36,40),0)/100)))))/Skills!H8+0.000000001),1)))/Inputs!$B$43),G559*Q559))*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Inputs!$B$3&gt;=69</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Skills!G9*IF(Skills!H9&gt;0,INT(IF(Inputs!$B$38="pvp",MIN(Skills!I9,15),Skills!I9)/Skills!H9+0.000000001),1)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563=TRUE,F563,0)/100)*(1+(IF(Skills!A9="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26)),(Inputs!$B$23+((C582=TRUE)*(F582-Calc!F31))+(IF(ArtifactsInput!$M$15,CHOOSE(ArtifactsInput!$N$15+1,25,30,35,40,45,50)/100*(Inputs!$B$11-Inputs!$B$11),0))))/100+(Inputs!$B$23+((C582=TRUE)*(F582-Calc!F31))+(IF(ArtifactsInput!$M$15,CHOOSE(ArtifactsInput!$N$15+1,25,30,35,40,45,50)/100*(Inputs!$B$11-Inputs!$B$11),0)))/100)/2</f>
        <v/>
      </c>
      <c r="M560">
        <f>L560*(1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0">
        <f>L560*(1-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IFERROR(1/(IF(Inputs!$B$38="pvp",15,MAX(0.1,Skills!D9-IF(TRUE=TRUE,Inputs!$B$32,0)))*(1-IF(AND(ArtifactsInput!$M$27,Inputs!$B$4="Chapter Hunt"),CHOOSE(ArtifactsInput!$N$27+1,20,24,28,32,36,40),0)/100)),0)</f>
        <v/>
      </c>
      <c r="R560">
        <f>IF(AND(Inputs!$B$38&lt;&gt;"pvp",Inputs!$B$43&gt;0),IF(MAX(0,Inputs!$B$43-B593)&lt;=0,0,(INT(MAX(0,Inputs!$B$43-B593)/(IF(Inputs!$B$38="pvp",15,MAX(0.1,Skills!D9-IF(TRUE=TRUE,Inputs!$B$32,0)))*(1-IF(AND(ArtifactsInput!$M$27,Inputs!$B$4="Chapter Hunt"),CHOOSE(ArtifactsInput!$N$27+1,20,24,28,32,36,40),0)/100)))+1)),0)</f>
        <v/>
      </c>
      <c r="S560">
        <f>IFERROR(O560/N560,0)</f>
        <v/>
      </c>
      <c r="T560">
        <f>IF(C560,(H560*N560*IF(AND(Inputs!$B$38&lt;&gt;"pvp",Inputs!$B$43&gt;0),((Skills!G9*((R560-1)*IF(Skills!H9&gt;0,INT(Skills!I9/Skills!H9+0.000000001),1)+IF(Skills!H9&gt;0,INT(MIN(Skills!I9,MAX(0,MAX(0,Inputs!$B$43-B593)-((R560-1)*(IF(Inputs!$B$38="pvp",15,MAX(0.1,Skills!D9-IF(TRUE=TRUE,Inputs!$B$32,0)))*(1-IF(AND(ArtifactsInput!$M$27,Inputs!$B$4="Chapter Hunt"),CHOOSE(ArtifactsInput!$N$27+1,20,24,28,32,36,40),0)/100)))))/Skills!H9+0.000000001),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INT(Skills!I9/Skills!H9+0.000000001),1)+IF(Skills!H9&gt;0,INT(MIN(Skills!I9,MAX(0,MAX(0,Inputs!$B$43-B593)-((R560-1)*(IF(Inputs!$B$38="pvp",15,MAX(0.1,Skills!D9-IF(TRUE=TRUE,Inputs!$B$32,0)))*(1-IF(AND(ArtifactsInput!$M$27,Inputs!$B$4="Chapter Hunt"),CHOOSE(ArtifactsInput!$N$27+1,20,24,28,32,36,40),0)/100)))))/Skills!H9+0.000000001),1)))/Inputs!$B$43),G560*Q560))*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Inputs!$B$3&gt;=63</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Skills!G10*IF(Skills!H10&gt;0,INT(IF(Inputs!$B$38="pvp",MIN(Skills!I10,15),Skills!I10)/Skills!H10+0.000000001),1)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563=TRUE,F563,0)/100)*(1+(IF(Skills!A10="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26)),(Inputs!$B$23+((C582=TRUE)*(F582-Calc!F31))+(IF(ArtifactsInput!$M$15,CHOOSE(ArtifactsInput!$N$15+1,25,30,35,40,45,50)/100*(Inputs!$B$11-Inputs!$B$11),0))))/100+(Inputs!$B$23+((C582=TRUE)*(F582-Calc!F31))+(IF(ArtifactsInput!$M$15,CHOOSE(ArtifactsInput!$N$15+1,25,30,35,40,45,50)/100*(Inputs!$B$11-Inputs!$B$11),0)))/100)/2</f>
        <v/>
      </c>
      <c r="M561">
        <f>L561*(1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1">
        <f>L561*(1-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IFERROR(1/(IF(Inputs!$B$38="pvp",15,MAX(0.1,Skills!D10-IF(TRUE=TRUE,Inputs!$B$32,0)))*(1-IF(AND(ArtifactsInput!$M$27,Inputs!$B$4="Chapter Hunt"),CHOOSE(ArtifactsInput!$N$27+1,20,24,28,32,36,40),0)/100)),0)</f>
        <v/>
      </c>
      <c r="R561">
        <f>IF(AND(Inputs!$B$38&lt;&gt;"pvp",Inputs!$B$43&gt;0),IF(MAX(0,Inputs!$B$43-B593)&lt;=0,0,(INT(MAX(0,Inputs!$B$43-B593)/(IF(Inputs!$B$38="pvp",15,MAX(0.1,Skills!D10-IF(TRUE=TRUE,Inputs!$B$32,0)))*(1-IF(AND(ArtifactsInput!$M$27,Inputs!$B$4="Chapter Hunt"),CHOOSE(ArtifactsInput!$N$27+1,20,24,28,32,36,40),0)/100)))+1)),0)</f>
        <v/>
      </c>
      <c r="S561">
        <f>IFERROR(O561/N561,0)</f>
        <v/>
      </c>
      <c r="T561">
        <f>IF(C561,(H561*N561*IF(AND(Inputs!$B$38&lt;&gt;"pvp",Inputs!$B$43&gt;0),((Skills!G10*((R561-1)*IF(Skills!H10&gt;0,INT(Skills!I10/Skills!H10+0.000000001),1)+IF(Skills!H10&gt;0,INT(MIN(Skills!I10,MAX(0,MAX(0,Inputs!$B$43-B593)-((R561-1)*(IF(Inputs!$B$38="pvp",15,MAX(0.1,Skills!D10-IF(TRUE=TRUE,Inputs!$B$32,0)))*(1-IF(AND(ArtifactsInput!$M$27,Inputs!$B$4="Chapter Hunt"),CHOOSE(ArtifactsInput!$N$27+1,20,24,28,32,36,40),0)/100)))))/Skills!H10+0.000000001),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INT(Skills!I10/Skills!H10+0.000000001),1)+IF(Skills!H10&gt;0,INT(MIN(Skills!I10,MAX(0,MAX(0,Inputs!$B$43-B593)-((R561-1)*(IF(Inputs!$B$38="pvp",15,MAX(0.1,Skills!D10-IF(TRUE=TRUE,Inputs!$B$32,0)))*(1-IF(AND(ArtifactsInput!$M$27,Inputs!$B$4="Chapter Hunt"),CHOOSE(ArtifactsInput!$N$27+1,20,24,28,32,36,40),0)/100)))))/Skills!H10+0.000000001),1)))/Inputs!$B$43),G561*Q561))*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Inputs!$B$3&gt;=103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Skills!G11*IF(Skills!H11&gt;0,INT(IF(Inputs!$B$38="pvp",MIN(Skills!I11,15),Skills!I11)/Skills!H11+0.000000001),1)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26)),(Inputs!$B$23+((C582=TRUE)*(F582-Calc!F31))+(IF(ArtifactsInput!$M$15,CHOOSE(ArtifactsInput!$N$15+1,25,30,35,40,45,50)/100*(Inputs!$B$11-Inputs!$B$11),0))))/100+(Inputs!$B$23+((C582=TRUE)*(F582-Calc!F31))+(IF(ArtifactsInput!$M$15,CHOOSE(ArtifactsInput!$N$15+1,25,30,35,40,45,50)/100*(Inputs!$B$11-Inputs!$B$11),0)))/100)/2</f>
        <v/>
      </c>
      <c r="M562">
        <f>L562*(1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2">
        <f>L562*(1-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IFERROR(1/(IF(Inputs!$B$38="pvp",15,MAX(0.1,Skills!D11-IF(TRUE=TRUE,Inputs!$B$32,0)))*(1-IF(AND(ArtifactsInput!$M$27,Inputs!$B$4="Chapter Hunt"),CHOOSE(ArtifactsInput!$N$27+1,20,24,28,32,36,40),0)/100)),0)</f>
        <v/>
      </c>
      <c r="R562">
        <f>IF(AND(Inputs!$B$38&lt;&gt;"pvp",Inputs!$B$43&gt;0),IF(MAX(0,Inputs!$B$43-B593)&lt;=0,0,(INT(MAX(0,Inputs!$B$43-B593)/(IF(Inputs!$B$38="pvp",15,MAX(0.1,Skills!D11-IF(TRUE=TRUE,Inputs!$B$32,0)))*(1-IF(AND(ArtifactsInput!$M$27,Inputs!$B$4="Chapter Hunt"),CHOOSE(ArtifactsInput!$N$27+1,20,24,28,32,36,40),0)/100)))+1)),0)</f>
        <v/>
      </c>
      <c r="S562">
        <f>IFERROR(O562/N562,0)</f>
        <v/>
      </c>
      <c r="T562">
        <f>IF(C562,(H562*N562*IF(AND(Inputs!$B$38&lt;&gt;"pvp",Inputs!$B$43&gt;0),((Skills!G11*((R562-1)*IF(Skills!H11&gt;0,INT(Skills!I11/Skills!H11+0.000000001),1)+IF(Skills!H11&gt;0,INT(MIN(Skills!I11,MAX(0,MAX(0,Inputs!$B$43-B593)-((R562-1)*(IF(Inputs!$B$38="pvp",15,MAX(0.1,Skills!D11-IF(TRUE=TRUE,Inputs!$B$32,0)))*(1-IF(AND(ArtifactsInput!$M$27,Inputs!$B$4="Chapter Hunt"),CHOOSE(ArtifactsInput!$N$27+1,20,24,28,32,36,40),0)/100)))))/Skills!H11+0.000000001)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INT(Skills!I11/Skills!H11+0.000000001),1)+IF(Skills!H11&gt;0,INT(MIN(Skills!I11,MAX(0,MAX(0,Inputs!$B$43-B593)-((R562-1)*(IF(Inputs!$B$38="pvp",15,MAX(0.1,Skills!D11-IF(TRUE=TRUE,Inputs!$B$32,0)))*(1-IF(AND(ArtifactsInput!$M$27,Inputs!$B$4="Chapter Hunt"),CHOOSE(ArtifactsInput!$N$27+1,20,24,28,32,36,40),0)/100)))))/Skills!H11+0.000000001),1)))/Inputs!$B$43),G562*Q562))*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c r="T563" t="inlineStr"/>
      <c r="V563" t="inlineStr"/>
    </row>
    <row r="564">
      <c r="A564">
        <f>Skills!A13</f>
        <v/>
      </c>
      <c r="B564">
        <f>Skills!B13</f>
        <v/>
      </c>
      <c r="C564">
        <f>Inputs!$B$3&gt;=60</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Skills!G13*IF(Skills!H13&gt;0,INT(IF(Inputs!$B$38="pvp",MIN(Skills!I13,15),Skills!I13)/Skills!H13+0.000000001),1)</f>
        <v/>
      </c>
      <c r="H564">
        <f>1-(1-Skills!J13/100)^Skills!K13</f>
        <v/>
      </c>
      <c r="I564" t="inlineStr">
        <is>
          <t>1</t>
        </is>
      </c>
      <c r="J564">
        <f>((Inputs!$B$6*(1+Inputs!$B$7/100))+(((Inputs!$B$12*(1+Inputs!$B$13/100))-(Inputs!$B$12*(1+Inputs!$B$13/100)))+0.25*(Inputs!$B$14-Inputs!$B$14))*(1+Inputs!$B$7/100))*(F564/100)</f>
        <v/>
      </c>
      <c r="K564">
        <f>J564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Skills!A13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26)),(Inputs!$B$23+((C582=TRUE)*(F582-Calc!F31))+(IF(ArtifactsInput!$M$15,CHOOSE(ArtifactsInput!$N$15+1,25,30,35,40,45,50)/100*(Inputs!$B$11-Inputs!$B$11),0))))/100+(Inputs!$B$23+((C582=TRUE)*(F582-Calc!F31))+(IF(ArtifactsInput!$M$15,CHOOSE(ArtifactsInput!$N$15+1,25,30,35,40,45,50)/100*(Inputs!$B$11-Inputs!$B$11),0)))/100)/2</f>
        <v/>
      </c>
      <c r="M564">
        <f>L564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4">
        <f>L564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IFERROR(1/(IF(Inputs!$B$38="pvp",15,MAX(0.1,IF(Inputs!$B$3&gt;=122,3,5)+1/(((20+30*(B588-1)*100/150)/100)*B588)-IF(FALSE=TRUE,Inputs!$B$32,0)))*(1-IF(AND(ArtifactsInput!$M$27,Inputs!$B$4="Chapter Hunt"),CHOOSE(ArtifactsInput!$N$27+1,20,24,28,32,36,40),0)/100)),0)</f>
        <v/>
      </c>
      <c r="R564">
        <f>IF(AND(Inputs!$B$38&lt;&gt;"pvp",Inputs!$B$43&gt;0),IF(MAX(0,Inputs!$B$43-B593)&lt;=0,0,(INT(MAX(0,Inputs!$B$43-B593)/(IF(Inputs!$B$38="pvp",15,MAX(0.1,IF(Inputs!$B$3&gt;=122,3,5)+1/(((20+30*(B588-1)*100/150)/100)*B588)-IF(FALSE=TRUE,Inputs!$B$32,0)))*(1-IF(AND(ArtifactsInput!$M$27,Inputs!$B$4="Chapter Hunt"),CHOOSE(ArtifactsInput!$N$27+1,20,24,28,32,36,40),0)/100)))+1)),0)</f>
        <v/>
      </c>
      <c r="S564">
        <f>IFERROR(O564/N564,0)</f>
        <v/>
      </c>
      <c r="T564">
        <f>IF(C564,(H564*N564*IF(AND(Inputs!$B$38&lt;&gt;"pvp",Inputs!$B$43&gt;0),((Skills!G13*((R564-1)*IF(Skills!H13&gt;0,INT(Skills!I13/Skills!H13+0.000000001),1)+IF(Skills!H13&gt;0,INT(MIN(Skills!I13,MAX(0,MAX(0,Inputs!$B$43-B593)-((R564-1)*(IF(Inputs!$B$38="pvp",15,MAX(0.1,IF(Inputs!$B$3&gt;=122,3,5)+1/(((20+30*(B588-1)*100/150)/100)*B588)-IF(FALSE=TRUE,Inputs!$B$32,0)))*(1-IF(AND(ArtifactsInput!$M$27,Inputs!$B$4="Chapter Hunt"),CHOOSE(ArtifactsInput!$N$27+1,20,24,28,32,36,40),0)/100)))))/Skills!H13+0.000000001),1)))/Inputs!$B$43),G564*Q564)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13*((R564-1)*IF(Skills!H13&gt;0,INT(Skills!I13/Skills!H13+0.000000001),1)+IF(Skills!H13&gt;0,INT(MIN(Skills!I13,MAX(0,MAX(0,Inputs!$B$43-B593)-((R564-1)*(IF(Inputs!$B$38="pvp",15,MAX(0.1,IF(Inputs!$B$3&gt;=122,3,5)+1/(((20+30*(B588-1)*100/150)/100)*B588)-IF(FALSE=TRUE,Inputs!$B$32,0)))*(1-IF(AND(ArtifactsInput!$M$27,Inputs!$B$4="Chapter Hunt"),CHOOSE(ArtifactsInput!$N$27+1,20,24,28,32,36,40),0)/100)))))/Skills!H13+0.000000001),1)))/Inputs!$B$43),G564*Q564))*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t="inlineStr"/>
      <c r="H565" t="inlineStr"/>
      <c r="I565" t="inlineStr">
        <is>
          <t>1</t>
        </is>
      </c>
      <c r="J565" t="inlineStr"/>
      <c r="K565" t="inlineStr"/>
      <c r="L565" t="inlineStr"/>
      <c r="M565" t="inlineStr"/>
      <c r="N565" t="inlineStr"/>
      <c r="O565" t="inlineStr"/>
      <c r="P565" t="inlineStr"/>
      <c r="Q565" t="inlineStr"/>
      <c r="R565" t="inlineStr"/>
      <c r="S565" t="inlineStr"/>
      <c r="T565" t="inlineStr"/>
      <c r="V565" t="inlineStr"/>
    </row>
    <row r="566">
      <c r="A566">
        <f>Skills!A15</f>
        <v/>
      </c>
      <c r="B566">
        <f>Skills!B15</f>
        <v/>
      </c>
      <c r="C566">
        <f>Inputs!$B$3&gt;=74</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Skills!G15*IF(Skills!H15&gt;0,INT(IF(Inputs!$B$38="pvp",MIN(Skills!I15,15),Skills!I15)/Skills!H15+0.000000001),1)</f>
        <v/>
      </c>
      <c r="H566">
        <f>1-(1-Skills!J15/100)^Skills!K15</f>
        <v/>
      </c>
      <c r="I566" t="inlineStr">
        <is>
          <t>1</t>
        </is>
      </c>
      <c r="J566" t="inlineStr"/>
      <c r="K566" t="inlineStr"/>
      <c r="L566" t="inlineStr"/>
      <c r="M566" t="inlineStr"/>
      <c r="N566" t="inlineStr"/>
      <c r="O566">
        <f>(1-Summary!$B$11)*T566+Summary!$B$11*V566</f>
        <v/>
      </c>
      <c r="P566">
        <f>IF(B596=0,0,O566/B596)</f>
        <v/>
      </c>
      <c r="Q566" t="n">
        <v>0</v>
      </c>
      <c r="R566" t="n">
        <v>0</v>
      </c>
      <c r="S566">
        <f>IFERROR(O566/N566,0)</f>
        <v/>
      </c>
      <c r="T566" t="n">
        <v>0</v>
      </c>
      <c r="V566" t="n">
        <v>0</v>
      </c>
    </row>
    <row r="567">
      <c r="A567">
        <f>Skills!A16</f>
        <v/>
      </c>
      <c r="B567">
        <f>Skills!B16</f>
        <v/>
      </c>
      <c r="C567">
        <f>Inputs!$B$3&gt;=74</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Skills!G16*IF(Skills!H16&gt;0,INT(IF(Inputs!$B$38="pvp",MIN(Skills!I16,15),Skills!I16)/Skills!H16+0.000000001),1)</f>
        <v/>
      </c>
      <c r="H567">
        <f>1-(1-Skills!J16/100)^Skills!K16</f>
        <v/>
      </c>
      <c r="I567" t="inlineStr">
        <is>
          <t>1</t>
        </is>
      </c>
      <c r="J567" t="inlineStr"/>
      <c r="K567" t="inlineStr"/>
      <c r="L567" t="inlineStr"/>
      <c r="M567" t="inlineStr"/>
      <c r="N567" t="inlineStr"/>
      <c r="O567">
        <f>(1-Summary!$B$11)*T567+Summary!$B$11*V567</f>
        <v/>
      </c>
      <c r="P567">
        <f>IF(B596=0,0,O567/B596)</f>
        <v/>
      </c>
      <c r="Q567" t="n">
        <v>0</v>
      </c>
      <c r="R567" t="n">
        <v>0</v>
      </c>
      <c r="S567">
        <f>IFERROR(O567/N567,0)</f>
        <v/>
      </c>
      <c r="T567" t="n">
        <v>0</v>
      </c>
      <c r="V567" t="n">
        <v>0</v>
      </c>
    </row>
    <row r="568">
      <c r="A568">
        <f>Skills!A17</f>
        <v/>
      </c>
      <c r="B568">
        <f>Skills!B17</f>
        <v/>
      </c>
      <c r="C568">
        <f>Inputs!$B$3&gt;=117</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Skills!G17*IF(Skills!H17&gt;0,INT(IF(Inputs!$B$38="pvp",MIN(Skills!I17,15),Skills!I17)/Skills!H17+0.000000001),1)</f>
        <v/>
      </c>
      <c r="H568">
        <f>1-(1-Skills!J17/100)^Skills!K17</f>
        <v/>
      </c>
      <c r="I568" t="inlineStr">
        <is>
          <t>1</t>
        </is>
      </c>
      <c r="J568" t="inlineStr"/>
      <c r="K568" t="inlineStr"/>
      <c r="L568" t="inlineStr"/>
      <c r="M568" t="inlineStr"/>
      <c r="N568" t="inlineStr"/>
      <c r="O568">
        <f>(1-Summary!$B$11)*T568+Summary!$B$11*V568</f>
        <v/>
      </c>
      <c r="P568">
        <f>IF(B596=0,0,O568/B596)</f>
        <v/>
      </c>
      <c r="Q568">
        <f>IFERROR(1/(IF(Inputs!$B$38="pvp",15,MAX(0.1,Skills!D17-IF(TRUE=TRUE,Inputs!$B$32,0)))*(1-IF(AND(ArtifactsInput!$M$27,Inputs!$B$4="Chapter Hunt"),CHOOSE(ArtifactsInput!$N$27+1,20,24,28,32,36,40),0)/100)),0)</f>
        <v/>
      </c>
      <c r="R568">
        <f>IF(AND(Inputs!$B$38&lt;&gt;"pvp",Inputs!$B$43&gt;0),IF(Inputs!$B$43&lt;=0,0,(INT(Inputs!$B$43/(IF(Inputs!$B$38="pvp",15,MAX(0.1,Skills!D17-IF(TRUE=TRUE,Inputs!$B$32,0)))*(1-IF(AND(ArtifactsInput!$M$27,Inputs!$B$4="Chapter Hunt"),CHOOSE(ArtifactsInput!$N$27+1,20,24,28,32,36,40),0)/100)))+1)),0)</f>
        <v/>
      </c>
      <c r="S568">
        <f>IFERROR(O568/N568,0)</f>
        <v/>
      </c>
      <c r="T568" t="n">
        <v>0</v>
      </c>
      <c r="V568" t="n">
        <v>0</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Skills!G18*IF(Skills!H18&gt;0,INT(IF(Inputs!$B$38="pvp",MIN(Skills!I18,15),Skills!I18)/Skills!H18+0.000000001),1)</f>
        <v/>
      </c>
      <c r="H569">
        <f>1-(1-Skills!J18/100)^Skills!K18</f>
        <v/>
      </c>
      <c r="I569" t="inlineStr">
        <is>
          <t>1</t>
        </is>
      </c>
      <c r="J569" t="inlineStr"/>
      <c r="K569" t="inlineStr"/>
      <c r="L569" t="inlineStr"/>
      <c r="M569" t="inlineStr"/>
      <c r="N569" t="inlineStr"/>
      <c r="O569">
        <f>(1-Summary!$B$11)*T569+Summary!$B$11*V569</f>
        <v/>
      </c>
      <c r="P569">
        <f>IF(B596=0,0,O569/B596)</f>
        <v/>
      </c>
      <c r="Q569">
        <f>IFERROR(1/(IF(Inputs!$B$38="pvp",15,MAX(0.1,Skills!D18-IF(TRUE=TRUE,Inputs!$B$32,0)))*(1-IF(AND(ArtifactsInput!$M$27,Inputs!$B$4="Chapter Hunt"),CHOOSE(ArtifactsInput!$N$27+1,20,24,28,32,36,40),0)/100)),0)</f>
        <v/>
      </c>
      <c r="R569">
        <f>IF(AND(Inputs!$B$38&lt;&gt;"pvp",Inputs!$B$43&gt;0),IF(Inputs!$B$43&lt;=0,0,(INT(Inputs!$B$43/(IF(Inputs!$B$38="pvp",15,MAX(0.1,Skills!D18-IF(TRUE=TRUE,Inputs!$B$32,0)))*(1-IF(AND(ArtifactsInput!$M$27,Inputs!$B$4="Chapter Hunt"),CHOOSE(ArtifactsInput!$N$27+1,20,24,28,32,36,40),0)/100)))+1)),0)</f>
        <v/>
      </c>
      <c r="S569">
        <f>IFERROR(O569/N569,0)</f>
        <v/>
      </c>
      <c r="T569" t="n">
        <v>0</v>
      </c>
      <c r="V569" t="n">
        <v>0</v>
      </c>
    </row>
    <row r="570">
      <c r="A570">
        <f>Skills!A19</f>
        <v/>
      </c>
      <c r="B570">
        <f>Skills!B19</f>
        <v/>
      </c>
      <c r="C570">
        <f>Inputs!$B$3&gt;=66</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Skills!G19*IF(Skills!H19&gt;0,INT(IF(Inputs!$B$38="pvp",MIN(Skills!I19,15),Skills!I19)/Skills!H19+0.000000001),1)</f>
        <v/>
      </c>
      <c r="H570">
        <f>1-(1-Skills!J19/100)^Skills!K19</f>
        <v/>
      </c>
      <c r="I570" t="inlineStr">
        <is>
          <t>1</t>
        </is>
      </c>
      <c r="J570" t="inlineStr"/>
      <c r="K570" t="inlineStr"/>
      <c r="L570" t="inlineStr"/>
      <c r="M570" t="inlineStr"/>
      <c r="N570" t="inlineStr"/>
      <c r="O570">
        <f>(1-Summary!$B$11)*T570+Summary!$B$11*V570</f>
        <v/>
      </c>
      <c r="P570">
        <f>IF(B596=0,0,O570/B596)</f>
        <v/>
      </c>
      <c r="Q570" t="n">
        <v>0</v>
      </c>
      <c r="R570" t="n">
        <v>0</v>
      </c>
      <c r="S570">
        <f>IFERROR(O570/N570,0)</f>
        <v/>
      </c>
      <c r="T570" t="n">
        <v>0</v>
      </c>
      <c r="V570" t="n">
        <v>0</v>
      </c>
    </row>
    <row r="571">
      <c r="A571">
        <f>Skills!A20</f>
        <v/>
      </c>
      <c r="B571">
        <f>Skills!B20</f>
        <v/>
      </c>
      <c r="C571">
        <f>Inputs!$B$3&gt;=72</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Skills!G20*IF(Skills!H20&gt;0,INT(IF(Inputs!$B$38="pvp",MIN(Skills!I20,15),Skills!I20)/Skills!H20+0.000000001),1)</f>
        <v/>
      </c>
      <c r="H571">
        <f>1-(1-Skills!J20/100)^Skills!K20</f>
        <v/>
      </c>
      <c r="I571" t="inlineStr">
        <is>
          <t>1</t>
        </is>
      </c>
      <c r="J571" t="inlineStr"/>
      <c r="K571" t="inlineStr"/>
      <c r="L571" t="inlineStr"/>
      <c r="M571" t="inlineStr"/>
      <c r="N571" t="inlineStr"/>
      <c r="O571">
        <f>(1-Summary!$B$11)*T571+Summary!$B$11*V571</f>
        <v/>
      </c>
      <c r="P571">
        <f>IF(B596=0,0,O571/B596)</f>
        <v/>
      </c>
      <c r="Q571" t="n">
        <v>0</v>
      </c>
      <c r="R571" t="n">
        <v>0</v>
      </c>
      <c r="S571">
        <f>IFERROR(O571/N571,0)</f>
        <v/>
      </c>
      <c r="T571" t="n">
        <v>0</v>
      </c>
      <c r="V571" t="n">
        <v>0</v>
      </c>
    </row>
    <row r="572">
      <c r="A572">
        <f>Skills!A21</f>
        <v/>
      </c>
      <c r="B572">
        <f>Skills!B21</f>
        <v/>
      </c>
      <c r="C572">
        <f>TRUE</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Skills!G21*IF(Skills!H21&gt;0,INT(IF(Inputs!$B$38="pvp",MIN(Skills!I21,15),Skills!I21)/Skills!H21+0.000000001),1)</f>
        <v/>
      </c>
      <c r="H572">
        <f>1-(1-Skills!J21/100)^Skills!K21</f>
        <v/>
      </c>
      <c r="I572" t="inlineStr">
        <is>
          <t>1</t>
        </is>
      </c>
      <c r="J572" t="inlineStr"/>
      <c r="K572" t="inlineStr"/>
      <c r="L572" t="inlineStr"/>
      <c r="M572" t="inlineStr"/>
      <c r="N572" t="inlineStr"/>
      <c r="O572">
        <f>(1-Summary!$B$11)*T572+Summary!$B$11*V572</f>
        <v/>
      </c>
      <c r="P572">
        <f>IF(B596=0,0,O572/B596)</f>
        <v/>
      </c>
      <c r="Q572">
        <f>IFERROR(1/(IF(Inputs!$B$38="pvp",15,MAX(0.1,Skills!D21-IF(TRUE=TRUE,Inputs!$B$32,0)))*(1-IF(AND(ArtifactsInput!$M$27,Inputs!$B$4="Chapter Hunt"),CHOOSE(ArtifactsInput!$N$27+1,20,24,28,32,36,40),0)/100)),0)</f>
        <v/>
      </c>
      <c r="R572">
        <f>IF(AND(Inputs!$B$38&lt;&gt;"pvp",Inputs!$B$43&gt;0),IF(Inputs!$B$43&lt;=0,0,(INT(Inputs!$B$43/(IF(Inputs!$B$38="pvp",15,MAX(0.1,Skills!D21-IF(TRUE=TRUE,Inputs!$B$32,0)))*(1-IF(AND(ArtifactsInput!$M$27,Inputs!$B$4="Chapter Hunt"),CHOOSE(ArtifactsInput!$N$27+1,20,24,28,32,36,40),0)/100)))+1)),0)</f>
        <v/>
      </c>
      <c r="S572">
        <f>IFERROR(O572/N572,0)</f>
        <v/>
      </c>
      <c r="T572" t="n">
        <v>0</v>
      </c>
      <c r="V572" t="n">
        <v>0</v>
      </c>
    </row>
    <row r="573">
      <c r="A573">
        <f>Skills!A22</f>
        <v/>
      </c>
      <c r="B573">
        <f>Skills!B22</f>
        <v/>
      </c>
      <c r="C573">
        <f>Inputs!$B$3&gt;=15</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Skills!G22*IF(Skills!H22&gt;0,INT(IF(Inputs!$B$38="pvp",MIN(Skills!I22,15),Skills!I22)/Skills!H22+0.000000001),1)</f>
        <v/>
      </c>
      <c r="H573">
        <f>1-(1-Skills!J22/100)^Skills!K22</f>
        <v/>
      </c>
      <c r="I573" t="inlineStr">
        <is>
          <t>1</t>
        </is>
      </c>
      <c r="J573" t="inlineStr"/>
      <c r="K573" t="inlineStr"/>
      <c r="L573" t="inlineStr"/>
      <c r="M573" t="inlineStr"/>
      <c r="N573" t="inlineStr"/>
      <c r="O573">
        <f>(1-Summary!$B$11)*T573+Summary!$B$11*V573</f>
        <v/>
      </c>
      <c r="P573">
        <f>IF(B596=0,0,O573/B596)</f>
        <v/>
      </c>
      <c r="Q573" t="n">
        <v>0</v>
      </c>
      <c r="R573" t="n">
        <v>0</v>
      </c>
      <c r="S573">
        <f>IFERROR(O573/N573,0)</f>
        <v/>
      </c>
      <c r="T573" t="n">
        <v>0</v>
      </c>
      <c r="V573" t="n">
        <v>0</v>
      </c>
    </row>
    <row r="574">
      <c r="A574">
        <f>Skills!A23</f>
        <v/>
      </c>
      <c r="B574">
        <f>Skills!B23</f>
        <v/>
      </c>
      <c r="C574">
        <f>Inputs!$B$3&gt;=10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Skills!G23*IF(Skills!H23&gt;0,INT(IF(Inputs!$B$38="pvp",MIN(Skills!I23,15),Skills!I23)/Skills!H23+0.000000001),1)</f>
        <v/>
      </c>
      <c r="H574">
        <f>1-(1-Skills!J23/100)^Skills!K23</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Skills!A24</f>
        <v/>
      </c>
      <c r="B575">
        <f>Skills!B24</f>
        <v/>
      </c>
      <c r="C575">
        <f>Inputs!$B$3&gt;=33</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Skills!G24*IF(Skills!H24&gt;0,INT(IF(Inputs!$B$38="pvp",MIN(Skills!I24,15),Skills!I24)/Skills!H24+0.000000001),1)</f>
        <v/>
      </c>
      <c r="H575">
        <f>1-(1-Skills!J24/100)^Skills!K24</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Skills!A25</f>
        <v/>
      </c>
      <c r="B576">
        <f>Skills!B25</f>
        <v/>
      </c>
      <c r="C576">
        <f>Inputs!$B$3&gt;=38</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Skills!G25*IF(Skills!H25&gt;0,INT(IF(Inputs!$B$38="pvp",MIN(Skills!I25,15),Skills!I25)/Skills!H25+0.000000001),1)</f>
        <v/>
      </c>
      <c r="H576">
        <f>1-(1-Skills!J25/100)^Skills!K25</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Skills!A26</f>
        <v/>
      </c>
      <c r="B577">
        <f>Skills!B26</f>
        <v/>
      </c>
      <c r="C577">
        <f>Inputs!$B$3&gt;=43</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Skills!G26*IF(Skills!H26&gt;0,INT(IF(Inputs!$B$38="pvp",MIN(Skills!I26,15),Skills!I26)/Skills!H26+0.000000001),1)</f>
        <v/>
      </c>
      <c r="H577">
        <f>1-(1-Skills!J26/100)^Skills!K26</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Skills!A27</f>
        <v/>
      </c>
      <c r="B578">
        <f>Skills!B27</f>
        <v/>
      </c>
      <c r="C578">
        <f>Inputs!$B$3&gt;=75</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Skills!G27*IF(Skills!H27&gt;0,INT(IF(Inputs!$B$38="pvp",MIN(Skills!I27,15),Skills!I27)/Skills!H27+0.000000001),1)</f>
        <v/>
      </c>
      <c r="H578">
        <f>1-(1-Skills!J27/100)^Skills!K27</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Skills!A28</f>
        <v/>
      </c>
      <c r="B579">
        <f>Skills!B28</f>
        <v/>
      </c>
      <c r="C579">
        <f>Inputs!$B$3&gt;=125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Skills!G28*IF(Skills!H28&gt;0,INT(IF(Inputs!$B$38="pvp",MIN(Skills!I28,15),Skills!I28)/Skills!H28+0.000000001),1)</f>
        <v/>
      </c>
      <c r="H579">
        <f>1-(1-Skills!J28/100)^Skills!K28</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Skills!A29</f>
        <v/>
      </c>
      <c r="B580">
        <f>Skills!B29</f>
        <v/>
      </c>
      <c r="C580">
        <f>Inputs!$B$3&gt;=125</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Skills!G29*IF(Skills!H29&gt;0,INT(IF(Inputs!$B$38="pvp",MIN(Skills!I29,15),Skills!I29)/Skills!H29+0.000000001),1)</f>
        <v/>
      </c>
      <c r="H580">
        <f>1-(1-Skills!J29/100)^Skills!K29</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Skills!A30</f>
        <v/>
      </c>
      <c r="B581">
        <f>Skills!B30</f>
        <v/>
      </c>
      <c r="C581">
        <f>Inputs!$B$3&gt;=120</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Skills!G30*IF(Skills!H30&gt;0,INT(IF(Inputs!$B$38="pvp",MIN(Skills!I30,15),Skills!I30)/Skills!H30+0.000000001),1)</f>
        <v/>
      </c>
      <c r="H581">
        <f>1-(1-Skills!J30/100)^Skills!K30</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Skills!A31</f>
        <v/>
      </c>
      <c r="B582">
        <f>Skills!B31</f>
        <v/>
      </c>
      <c r="C582">
        <f>Inputs!$B$3&gt;=120</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Skills!G31*IF(Skills!H31&gt;0,INT(IF(Inputs!$B$38="pvp",MIN(Skills!I31,15),Skills!I31)/Skills!H31+0.000000001),1)</f>
        <v/>
      </c>
      <c r="H582">
        <f>1-(1-Skills!J31/100)^Skills!K31</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Skills!A32</f>
        <v/>
      </c>
      <c r="B583">
        <f>Skills!B32</f>
        <v/>
      </c>
      <c r="C583">
        <f>Inputs!$B$3&gt;=45</f>
        <v/>
      </c>
      <c r="D583">
        <f>IF(Skills!C32=1,60+Inputs!$B$25+Inputs!$B$29,IF(Skills!C32=2,90+Inputs!$B$26+Inputs!$B$29,IF(Skills!C32=3,120+Inputs!$B$27+Inputs!$B$29,MAX(0,(Inputs!$B$3-100)*3)+Inputs!$B$28+Inputs!$B$29)))</f>
        <v/>
      </c>
      <c r="E583">
        <f>INDEX(FactorTable!$B$2:$Y$301, MATCH(ROUND(MIN(300,MAX(1,D583)),0), FactorTable!$A$2:$A$301,0), Skills!M32+1)</f>
        <v/>
      </c>
      <c r="F583">
        <f>IF(Skills!N32=TRUE,(Skills!L32/10)*(E583/1000),Skills!L32/10)+Skills!O32</f>
        <v/>
      </c>
      <c r="G583">
        <f>Skills!G32*IF(Skills!H32&gt;0,INT(IF(Inputs!$B$38="pvp",MIN(Skills!I32,15),Skills!I32)/Skills!H32+0.000000001),1)</f>
        <v/>
      </c>
      <c r="H583">
        <f>1-(1-Skills!J32/100)^Skills!K32</f>
        <v/>
      </c>
      <c r="I583" t="inlineStr">
        <is>
          <t>1</t>
        </is>
      </c>
      <c r="J583" t="inlineStr"/>
      <c r="K583" t="inlineStr"/>
      <c r="L583" t="inlineStr"/>
      <c r="M583" t="inlineStr"/>
      <c r="N583" t="inlineStr"/>
      <c r="O583">
        <f>(1-Summary!$B$11)*T583+Summary!$B$11*V583</f>
        <v/>
      </c>
      <c r="P583">
        <f>IF(B596=0,0,O583/B596)</f>
        <v/>
      </c>
      <c r="Q583" t="n">
        <v>0</v>
      </c>
      <c r="R583" t="n">
        <v>0</v>
      </c>
      <c r="S583">
        <f>IFERROR(O583/N583,0)</f>
        <v/>
      </c>
      <c r="T583" t="n">
        <v>0</v>
      </c>
      <c r="V583" t="n">
        <v>0</v>
      </c>
    </row>
    <row r="585">
      <c r="A585" t="inlineStr">
        <is>
          <t>Attack% Bucket Multiplier</t>
        </is>
      </c>
      <c r="B585">
        <f>(1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t>
        </is>
      </c>
      <c r="B587">
        <f>((C572=TRUE)*F572*IF(AND(Inputs!$B$38&lt;&gt;"pvp",Inputs!$B$43&gt;0),(((R572-1)*MIN((Skills!T21*(1+Inputs!$B$34/100)),(1/Q572))+MIN((Skills!T21*(1+Inputs!$B$34/100)),MAX(0,Inputs!$B$43-((R572-1)*(1/Q572)))))/Inputs!$B$43),IF(Inputs!$B$38="pvp",MIN((Skills!T21*(1+Inputs!$B$34/100)),15)/15,MIN(1,(Skills!T21*(1+Inputs!$B$34/100))/(1/Q572)))))</f>
        <v/>
      </c>
    </row>
    <row r="588">
      <c r="A588" t="inlineStr">
        <is>
          <t>Actions Per Second</t>
        </is>
      </c>
      <c r="B588">
        <f>1+MIN(150,150*(1-(1-(Inputs!$B$11+((C574=TRUE)*(F574-Calc!F23))+((C575=TRUE)*(F575-Calc!F24)))/150)*(1-B587/150)))/100</f>
        <v/>
      </c>
    </row>
    <row r="589">
      <c r="A589" t="inlineStr">
        <is>
          <t>Skill + Buff Cast Rate</t>
        </is>
      </c>
      <c r="B589">
        <f>IF(AND(Inputs!$B$38&lt;&gt;"pvp",Inputs!$B$43&gt;0),SUMPRODUCT((Skills!E2:E32=TRUE)*(C553:C583=TRUE)*R553:R583*Skills!F2:F32)/Inputs!$B$43,SUMPRODUCT((Skills!E2:E32=TRUE)*(C553:C583=TRUE)*Q553:Q583*Skills!F2:F32))</f>
        <v/>
      </c>
    </row>
    <row r="590">
      <c r="A590" t="inlineStr">
        <is>
          <t>Arrow Stream Casts Per Second</t>
        </is>
      </c>
      <c r="B590">
        <f>MAX(0,B588-B589)</f>
        <v/>
      </c>
    </row>
    <row r="591">
      <c r="A591" t="inlineStr">
        <is>
          <t>Global Critical Damage Bonus % (Sharp Eyes + Concentration)</t>
        </is>
      </c>
      <c r="B591">
        <f>(C569=TRUE)*F569*IF(AND(Inputs!$B$38&lt;&gt;"pvp",Inputs!$B$43&gt;0),(((R569-1)*MIN((Skills!T18*(1+Inputs!$B$34/100)),(1/Q569))+MIN((Skills!T18*(1+Inputs!$B$34/100)),MAX(0,Inputs!$B$43-((R569-1)*(1/Q569)))))/Inputs!$B$43),IF(Inputs!$B$38="pvp",MIN((Skills!T18*(1+Inputs!$B$34/100)),15)/15,MIN(1,(Skills!T18*(1+Inputs!$B$34/100))/(1/Q569))))+(C570=TRUE)*7*F570</f>
        <v/>
      </c>
    </row>
    <row r="592">
      <c r="A592" t="inlineStr">
        <is>
          <t>Global Final Damage Bonus % (Mortal Blow)</t>
        </is>
      </c>
      <c r="B592">
        <f>(C571=TRUE)*F571</f>
        <v/>
      </c>
    </row>
    <row r="593">
      <c r="A593" t="inlineStr">
        <is>
          <t>Buff-Casting Startup Delay (s, fixed-duration only)</t>
        </is>
      </c>
      <c r="B593">
        <f>IF(AND(Inputs!$B$38&lt;&gt;"pvp",Inputs!$B$43&gt;0),SUMPRODUCT((Skills!T2:T32&gt;0)*(Skills!E2:E32=TRUE)*(C553:C583=TRUE))/B588,0)</f>
        <v/>
      </c>
    </row>
    <row r="594">
      <c r="A594" t="inlineStr">
        <is>
          <t>Boss-Only Total DPS (this block's swept value)</t>
        </is>
      </c>
      <c r="B594">
        <f>SUM(T553:T583)</f>
        <v/>
      </c>
    </row>
    <row r="595">
      <c r="A595" t="inlineStr">
        <is>
          <t>Normal-Only Total DPS (this block's swept value)</t>
        </is>
      </c>
      <c r="B595">
        <f>SUM(V553:V583)</f>
        <v/>
      </c>
    </row>
    <row r="596">
      <c r="A596" s="6" t="inlineStr">
        <is>
          <t>TOTAL DPS</t>
        </is>
      </c>
      <c r="B596" s="6">
        <f>SUM(O553:O583)</f>
        <v/>
      </c>
    </row>
    <row r="599">
      <c r="A599" s="6" t="inlineStr">
        <is>
          <t>Stat: CRIT_DAMAGE %</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Skills!G2*IF(Skills!H2&gt;0,INT(IF(Inputs!$B$38="pvp",MIN(Skills!I2,15),Skills!I2)/Skills!H2+0.000000001),1)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625=TRUE)*(F625-Calc!F26)),(Inputs!$B$23+((C630=TRUE)*(F630-Calc!F31))+(IF(ArtifactsInput!$M$15,CHOOSE(ArtifactsInput!$N$15+1,25,30,35,40,45,50)/100*(Inputs!$B$11-Inputs!$B$11),0))))/100+(Inputs!$B$23+((C630=TRUE)*(F630-Calc!F31))+(IF(ArtifactsInput!$M$15,CHOOSE(ArtifactsInput!$N$15+1,25,30,35,40,45,50)/100*(Inputs!$B$11-Inputs!$B$11),0)))/100)/2</f>
        <v/>
      </c>
      <c r="M601">
        <f>L601*(1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IF(B644=0,0,O601/B644)</f>
        <v/>
      </c>
      <c r="Q601" t="n">
        <v>0</v>
      </c>
      <c r="R601" t="n">
        <v>0</v>
      </c>
      <c r="S601">
        <f>IFERROR(O601/N601,0)</f>
        <v/>
      </c>
      <c r="T601">
        <f>IF(C601,(Skills!G2*N601*B638)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IF(C601,(Skills!G2*N601*B638)*IF(Inputs!$B$38="pvp",1,(1+(Inputs!$B$21+Skills!Q2+(IF(ArtifactsInput!$M$33,CHOOSE(ArtifactsInput!$N$33+1,30,36,42,48,54,60),0))+(IF(AND(ArtifactsInput!$M$35,Inputs!$B$4&lt;&gt;"Chapter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Inputs!$B$3&gt;=50</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Skills!G3*IF(Skills!H3&gt;0,INT(IF(Inputs!$B$38="pvp",MIN(Skills!I3,15),Skills!I3)/Skills!H3+0.000000001),1)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603=TRUE,F603,0)/100)*(1+(IF(Skills!A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625=TRUE)*(F625-Calc!F26)),(Inputs!$B$23+((C630=TRUE)*(F630-Calc!F31))+(IF(ArtifactsInput!$M$15,CHOOSE(ArtifactsInput!$N$15+1,25,30,35,40,45,50)/100*(Inputs!$B$11-Inputs!$B$11),0))))/100+(Inputs!$B$23+((C630=TRUE)*(F630-Calc!F31))+(IF(ArtifactsInput!$M$15,CHOOSE(ArtifactsInput!$N$15+1,25,30,35,40,45,50)/100*(Inputs!$B$11-Inputs!$B$11),0)))/100)/2</f>
        <v/>
      </c>
      <c r="M602">
        <f>L602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IF(B644=0,0,O602/B644)</f>
        <v/>
      </c>
      <c r="Q602">
        <f>IFERROR(1/(IF(Inputs!$B$38="pvp",15,MAX(0.1,1/B636-IF(FALSE=TRUE,Inputs!$B$32,0)))*(1-IF(AND(ArtifactsInput!$M$27,Inputs!$B$4="Chapter Hunt"),CHOOSE(ArtifactsInput!$N$27+1,20,24,28,32,36,40),0)/100)),0)</f>
        <v/>
      </c>
      <c r="R602">
        <f>IF(AND(Inputs!$B$38&lt;&gt;"pvp",Inputs!$B$43&gt;0),IF(MAX(0,Inputs!$B$43-B641)&lt;=0,0,(INT(MAX(0,Inputs!$B$43-B641)/(IF(Inputs!$B$38="pvp",15,MAX(0.1,1/B636-IF(FALSE=TRUE,Inputs!$B$32,0)))*(1-IF(AND(ArtifactsInput!$M$27,Inputs!$B$4="Chapter Hunt"),CHOOSE(ArtifactsInput!$N$27+1,20,24,28,32,36,40),0)/100)))+1)),0)</f>
        <v/>
      </c>
      <c r="S602">
        <f>IFERROR(O602/N602,0)</f>
        <v/>
      </c>
      <c r="T602">
        <f>IF(C602,(H602*N602*IF(AND(Inputs!$B$38&lt;&gt;"pvp",Inputs!$B$43&gt;0),((Skills!G3*((R602-1)*IF(Skills!H3&gt;0,INT(Skills!I3/Skills!H3+0.000000001),1)+IF(Skills!H3&gt;0,INT(MIN(Skills!I3,MAX(0,MAX(0,Inputs!$B$43-B641)-((R602-1)*(IF(Inputs!$B$38="pvp",15,MAX(0.1,1/B636-IF(FALSE=TRUE,Inputs!$B$32,0)))*(1-IF(AND(ArtifactsInput!$M$27,Inputs!$B$4="Chapter Hunt"),CHOOSE(ArtifactsInput!$N$27+1,20,24,28,32,36,40),0)/100)))))/Skills!H3+0.000000001),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INT(Skills!I3/Skills!H3+0.000000001),1)+IF(Skills!H3&gt;0,INT(MIN(Skills!I3,MAX(0,MAX(0,Inputs!$B$43-B641)-((R602-1)*(IF(Inputs!$B$38="pvp",15,MAX(0.1,1/B636-IF(FALSE=TRUE,Inputs!$B$32,0)))*(1-IF(AND(ArtifactsInput!$M$27,Inputs!$B$4="Chapter Hunt"),CHOOSE(ArtifactsInput!$N$27+1,20,24,28,32,36,40),0)/100)))))/Skills!H3+0.000000001),1)))/Inputs!$B$43),G602*Q602))*IF(Inputs!$B$38="pvp",1,(1+(Inputs!$B$21+Skills!Q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Inputs!$B$3&gt;=105</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t="inlineStr"/>
      <c r="H603" t="inlineStr"/>
      <c r="I603" t="inlineStr">
        <is>
          <t>1</t>
        </is>
      </c>
      <c r="J603" t="inlineStr"/>
      <c r="K603" t="inlineStr"/>
      <c r="L603" t="inlineStr"/>
      <c r="M603" t="inlineStr"/>
      <c r="N603" t="inlineStr"/>
      <c r="O603" t="inlineStr"/>
      <c r="P603" t="inlineStr"/>
      <c r="Q603" t="inlineStr"/>
      <c r="R603" t="inlineStr"/>
      <c r="S603" t="inlineStr"/>
      <c r="T603" t="inlineStr"/>
      <c r="U603">
        <f>290*U602/1000</f>
        <v/>
      </c>
      <c r="V603" t="inlineStr"/>
    </row>
    <row r="604">
      <c r="A604">
        <f>Skills!A5</f>
        <v/>
      </c>
      <c r="B604">
        <f>Skills!B5</f>
        <v/>
      </c>
      <c r="C604">
        <f>Inputs!$B$3&gt;=35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Skills!G5*IF(Skills!H5&gt;0,INT(IF(Inputs!$B$38="pvp",MIN(Skills!I5,15),Skills!I5)/Skills!H5+0.000000001),1)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611=TRUE,F611,0)/100)*(1+(IF(Skills!A5="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625=TRUE)*(F625-Calc!F26)),(Inputs!$B$23+((C630=TRUE)*(F630-Calc!F31))+(IF(ArtifactsInput!$M$15,CHOOSE(ArtifactsInput!$N$15+1,25,30,35,40,45,50)/100*(Inputs!$B$11-Inputs!$B$11),0))))/100+(Inputs!$B$23+((C630=TRUE)*(F630-Calc!F31))+(IF(ArtifactsInput!$M$15,CHOOSE(ArtifactsInput!$N$15+1,25,30,35,40,45,50)/100*(Inputs!$B$11-Inputs!$B$11),0)))/100)/2</f>
        <v/>
      </c>
      <c r="M604">
        <f>L604*(1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IF(B644=0,0,O604/B644)</f>
        <v/>
      </c>
      <c r="Q604">
        <f>IFERROR(1/(IF(Inputs!$B$38="pvp",15,MAX(0.1,Skills!D5-IF(TRUE=TRUE,Inputs!$B$32,0)))*(1-IF(AND(ArtifactsInput!$M$27,Inputs!$B$4="Chapter Hunt"),CHOOSE(ArtifactsInput!$N$27+1,20,24,28,32,36,40),0)/100)),0)</f>
        <v/>
      </c>
      <c r="R604">
        <f>IF(AND(Inputs!$B$38&lt;&gt;"pvp",Inputs!$B$43&gt;0),IF(MAX(0,Inputs!$B$43-B641)&lt;=0,0,(INT(MAX(0,Inputs!$B$43-B641)/(IF(Inputs!$B$38="pvp",15,MAX(0.1,Skills!D5-IF(TRUE=TRUE,Inputs!$B$32,0)))*(1-IF(AND(ArtifactsInput!$M$27,Inputs!$B$4="Chapter Hunt"),CHOOSE(ArtifactsInput!$N$27+1,20,24,28,32,36,40),0)/100)))+1)),0)</f>
        <v/>
      </c>
      <c r="S604">
        <f>IFERROR(O604/N604,0)</f>
        <v/>
      </c>
      <c r="T604">
        <f>IF(C604,(H604*N604*IF(AND(Inputs!$B$38&lt;&gt;"pvp",Inputs!$B$43&gt;0),((Skills!G5*((R604-1)*IF(Skills!H5&gt;0,INT(Skills!I5/Skills!H5+0.000000001),1)+IF(Skills!H5&gt;0,INT(MIN(Skills!I5,MAX(0,MAX(0,Inputs!$B$43-B641)-((R604-1)*(IF(Inputs!$B$38="pvp",15,MAX(0.1,Skills!D5-IF(TRUE=TRUE,Inputs!$B$32,0)))*(1-IF(AND(ArtifactsInput!$M$27,Inputs!$B$4="Chapter Hunt"),CHOOSE(ArtifactsInput!$N$27+1,20,24,28,32,36,40),0)/100)))))/Skills!H5+0.000000001),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INT(Skills!I5/Skills!H5+0.000000001),1)+IF(Skills!H5&gt;0,INT(MIN(Skills!I5,MAX(0,MAX(0,Inputs!$B$43-B641)-((R604-1)*(IF(Inputs!$B$38="pvp",15,MAX(0.1,Skills!D5-IF(TRUE=TRUE,Inputs!$B$32,0)))*(1-IF(AND(ArtifactsInput!$M$27,Inputs!$B$4="Chapter Hunt"),CHOOSE(ArtifactsInput!$N$27+1,20,24,28,32,36,40),0)/100)))))/Skills!H5+0.000000001),1)))/Inputs!$B$43),G604*Q604))*IF(Inputs!$B$38="pvp",1,(1+(Inputs!$B$21+Skills!Q5+(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Inputs!$B$3&gt;=40</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Skills!G6*IF(Skills!H6&gt;0,INT(IF(Inputs!$B$38="pvp",MIN(Skills!I6,15),Skills!I6)/Skills!H6+0.000000001),1)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606=TRUE,F606,0)/100)*(1+(IF(Skills!A6="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625=TRUE)*(F625-Calc!F26)),(Inputs!$B$23+((C630=TRUE)*(F630-Calc!F31))+(IF(ArtifactsInput!$M$15,CHOOSE(ArtifactsInput!$N$15+1,25,30,35,40,45,50)/100*(Inputs!$B$11-Inputs!$B$11),0))))/100+(Inputs!$B$23+((C630=TRUE)*(F630-Calc!F31))+(IF(ArtifactsInput!$M$15,CHOOSE(ArtifactsInput!$N$15+1,25,30,35,40,45,50)/100*(Inputs!$B$11-Inputs!$B$11),0)))/100)/2</f>
        <v/>
      </c>
      <c r="M605">
        <f>L605*(1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IF(B644=0,0,O605/B644)</f>
        <v/>
      </c>
      <c r="Q605">
        <f>IFERROR(1/(IF(Inputs!$B$38="pvp",15,MAX(0.1,1-0.4*MIN(1,(B636-1)/1.5)-IF(FALSE=TRUE,Inputs!$B$32,0)))*(1-IF(AND(ArtifactsInput!$M$27,Inputs!$B$4="Chapter Hunt"),CHOOSE(ArtifactsInput!$N$27+1,20,24,28,32,36,40),0)/100)),0)</f>
        <v/>
      </c>
      <c r="R605">
        <f>IF(AND(Inputs!$B$38&lt;&gt;"pvp",Inputs!$B$43&gt;0),IF(MAX(0,Inputs!$B$43-B641)&lt;=0,0,(INT(MAX(0,Inputs!$B$43-B641)/(IF(Inputs!$B$38="pvp",15,MAX(0.1,1-0.4*MIN(1,(B636-1)/1.5)-IF(FALSE=TRUE,Inputs!$B$32,0)))*(1-IF(AND(ArtifactsInput!$M$27,Inputs!$B$4="Chapter Hunt"),CHOOSE(ArtifactsInput!$N$27+1,20,24,28,32,36,40),0)/100)))+1)),0)</f>
        <v/>
      </c>
      <c r="S605">
        <f>IFERROR(O605/N605,0)</f>
        <v/>
      </c>
      <c r="T605">
        <f>IF(C605,(H605*N605*IF(AND(Inputs!$B$38&lt;&gt;"pvp",Inputs!$B$43&gt;0),((Skills!G6*((R605-1)*IF(Skills!H6&gt;0,INT(Skills!I6/Skills!H6+0.000000001),1)+IF(Skills!H6&gt;0,INT(MIN(Skills!I6,MAX(0,MAX(0,Inputs!$B$43-B641)-((R605-1)*(IF(Inputs!$B$38="pvp",15,MAX(0.1,1-0.4*MIN(1,(B636-1)/1.5)-IF(FALSE=TRUE,Inputs!$B$32,0)))*(1-IF(AND(ArtifactsInput!$M$27,Inputs!$B$4="Chapter Hunt"),CHOOSE(ArtifactsInput!$N$27+1,20,24,28,32,36,40),0)/100)))))/Skills!H6+0.000000001),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INT(Skills!I6/Skills!H6+0.000000001),1)+IF(Skills!H6&gt;0,INT(MIN(Skills!I6,MAX(0,MAX(0,Inputs!$B$43-B641)-((R605-1)*(IF(Inputs!$B$38="pvp",15,MAX(0.1,1-0.4*MIN(1,(B636-1)/1.5)-IF(FALSE=TRUE,Inputs!$B$32,0)))*(1-IF(AND(ArtifactsInput!$M$27,Inputs!$B$4="Chapter Hunt"),CHOOSE(ArtifactsInput!$N$27+1,20,24,28,32,36,40),0)/100)))))/Skills!H6+0.000000001),1)))/Inputs!$B$43),G605*Q605))*IF(Inputs!$B$38="pvp",1,(1+(Inputs!$B$21+Skills!Q6+(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Inputs!$B$3&gt;=107</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t="inlineStr"/>
      <c r="H606" t="inlineStr"/>
      <c r="I606" t="inlineStr">
        <is>
          <t>1</t>
        </is>
      </c>
      <c r="J606" t="inlineStr"/>
      <c r="K606" t="inlineStr"/>
      <c r="L606" t="inlineStr"/>
      <c r="M606" t="inlineStr"/>
      <c r="N606" t="inlineStr"/>
      <c r="O606" t="inlineStr"/>
      <c r="P606" t="inlineStr"/>
      <c r="Q606" t="inlineStr"/>
      <c r="R606" t="inlineStr"/>
      <c r="S606" t="inlineStr"/>
      <c r="T606" t="inlineStr"/>
      <c r="V606" t="inlineStr"/>
    </row>
    <row r="607">
      <c r="A607">
        <f>Skills!A8</f>
        <v/>
      </c>
      <c r="B607">
        <f>Skills!B8</f>
        <v/>
      </c>
      <c r="C607">
        <f>Inputs!$B$3&gt;=130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Skills!G8*IF(Skills!H8&gt;0,INT(IF(Inputs!$B$38="pvp",MIN(Skills!I8,15),Skills!I8)/Skills!H8+0.000000001),1)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625=TRUE)*(F625-Calc!F26)),(Inputs!$B$23+((C630=TRUE)*(F630-Calc!F31))+(IF(ArtifactsInput!$M$15,CHOOSE(ArtifactsInput!$N$15+1,25,30,35,40,45,50)/100*(Inputs!$B$11-Inputs!$B$11),0))))/100+(Inputs!$B$23+((C630=TRUE)*(F630-Calc!F31))+(IF(ArtifactsInput!$M$15,CHOOSE(ArtifactsInput!$N$15+1,25,30,35,40,45,50)/100*(Inputs!$B$11-Inputs!$B$11),0)))/100)/2</f>
        <v/>
      </c>
      <c r="M607">
        <f>L607*(1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IF(B644=0,0,O607/B644)</f>
        <v/>
      </c>
      <c r="Q607">
        <f>IFERROR(1/(IF(Inputs!$B$38="pvp",15,MAX(0.1,1-0.4*MIN(1,(B636-1)/1.5)-IF(FALSE=TRUE,Inputs!$B$32,0)))*(1-IF(AND(ArtifactsInput!$M$27,Inputs!$B$4="Chapter Hunt"),CHOOSE(ArtifactsInput!$N$27+1,20,24,28,32,36,40),0)/100)),0)</f>
        <v/>
      </c>
      <c r="R607">
        <f>IF(AND(Inputs!$B$38&lt;&gt;"pvp",Inputs!$B$43&gt;0),IF(MAX(0,Inputs!$B$43-B641)&lt;=0,0,(INT(MAX(0,Inputs!$B$43-B641)/(IF(Inputs!$B$38="pvp",15,MAX(0.1,1-0.4*MIN(1,(B636-1)/1.5)-IF(FALSE=TRUE,Inputs!$B$32,0)))*(1-IF(AND(ArtifactsInput!$M$27,Inputs!$B$4="Chapter Hunt"),CHOOSE(ArtifactsInput!$N$27+1,20,24,28,32,36,40),0)/100)))+1)),0)</f>
        <v/>
      </c>
      <c r="S607">
        <f>IFERROR(O607/N607,0)</f>
        <v/>
      </c>
      <c r="T607">
        <f>IF(C607,(H607*N607*IF(AND(Inputs!$B$38&lt;&gt;"pvp",Inputs!$B$43&gt;0),((Skills!G8*((R607-1)*IF(Skills!H8&gt;0,INT(Skills!I8/Skills!H8+0.000000001),1)+IF(Skills!H8&gt;0,INT(MIN(Skills!I8,MAX(0,MAX(0,Inputs!$B$43-B641)-((R607-1)*(IF(Inputs!$B$38="pvp",15,MAX(0.1,1-0.4*MIN(1,(B636-1)/1.5)-IF(FALSE=TRUE,Inputs!$B$32,0)))*(1-IF(AND(ArtifactsInput!$M$27,Inputs!$B$4="Chapter Hunt"),CHOOSE(ArtifactsInput!$N$27+1,20,24,28,32,36,40),0)/100)))))/Skills!H8+0.000000001),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INT(Skills!I8/Skills!H8+0.000000001),1)+IF(Skills!H8&gt;0,INT(MIN(Skills!I8,MAX(0,MAX(0,Inputs!$B$43-B641)-((R607-1)*(IF(Inputs!$B$38="pvp",15,MAX(0.1,1-0.4*MIN(1,(B636-1)/1.5)-IF(FALSE=TRUE,Inputs!$B$32,0)))*(1-IF(AND(ArtifactsInput!$M$27,Inputs!$B$4="Chapter Hunt"),CHOOSE(ArtifactsInput!$N$27+1,20,24,28,32,36,40),0)/100)))))/Skills!H8+0.000000001),1)))/Inputs!$B$43),G607*Q607))*IF(Inputs!$B$38="pvp",1,(1+(Inputs!$B$21+Skills!Q8+(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Inputs!$B$3&gt;=69</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Skills!G9*IF(Skills!H9&gt;0,INT(IF(Inputs!$B$38="pvp",MIN(Skills!I9,15),Skills!I9)/Skills!H9+0.000000001),1)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611=TRUE,F611,0)/100)*(1+(IF(Skills!A9="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625=TRUE)*(F625-Calc!F26)),(Inputs!$B$23+((C630=TRUE)*(F630-Calc!F31))+(IF(ArtifactsInput!$M$15,CHOOSE(ArtifactsInput!$N$15+1,25,30,35,40,45,50)/100*(Inputs!$B$11-Inputs!$B$11),0))))/100+(Inputs!$B$23+((C630=TRUE)*(F630-Calc!F31))+(IF(ArtifactsInput!$M$15,CHOOSE(ArtifactsInput!$N$15+1,25,30,35,40,45,50)/100*(Inputs!$B$11-Inputs!$B$11),0)))/100)/2</f>
        <v/>
      </c>
      <c r="M608">
        <f>L608*(1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IF(B644=0,0,O608/B644)</f>
        <v/>
      </c>
      <c r="Q608">
        <f>IFERROR(1/(IF(Inputs!$B$38="pvp",15,MAX(0.1,Skills!D9-IF(TRUE=TRUE,Inputs!$B$32,0)))*(1-IF(AND(ArtifactsInput!$M$27,Inputs!$B$4="Chapter Hunt"),CHOOSE(ArtifactsInput!$N$27+1,20,24,28,32,36,40),0)/100)),0)</f>
        <v/>
      </c>
      <c r="R608">
        <f>IF(AND(Inputs!$B$38&lt;&gt;"pvp",Inputs!$B$43&gt;0),IF(MAX(0,Inputs!$B$43-B641)&lt;=0,0,(INT(MAX(0,Inputs!$B$43-B641)/(IF(Inputs!$B$38="pvp",15,MAX(0.1,Skills!D9-IF(TRUE=TRUE,Inputs!$B$32,0)))*(1-IF(AND(ArtifactsInput!$M$27,Inputs!$B$4="Chapter Hunt"),CHOOSE(ArtifactsInput!$N$27+1,20,24,28,32,36,40),0)/100)))+1)),0)</f>
        <v/>
      </c>
      <c r="S608">
        <f>IFERROR(O608/N608,0)</f>
        <v/>
      </c>
      <c r="T608">
        <f>IF(C608,(H608*N608*IF(AND(Inputs!$B$38&lt;&gt;"pvp",Inputs!$B$43&gt;0),((Skills!G9*((R608-1)*IF(Skills!H9&gt;0,INT(Skills!I9/Skills!H9+0.000000001),1)+IF(Skills!H9&gt;0,INT(MIN(Skills!I9,MAX(0,MAX(0,Inputs!$B$43-B641)-((R608-1)*(IF(Inputs!$B$38="pvp",15,MAX(0.1,Skills!D9-IF(TRUE=TRUE,Inputs!$B$32,0)))*(1-IF(AND(ArtifactsInput!$M$27,Inputs!$B$4="Chapter Hunt"),CHOOSE(ArtifactsInput!$N$27+1,20,24,28,32,36,40),0)/100)))))/Skills!H9+0.000000001),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INT(Skills!I9/Skills!H9+0.000000001),1)+IF(Skills!H9&gt;0,INT(MIN(Skills!I9,MAX(0,MAX(0,Inputs!$B$43-B641)-((R608-1)*(IF(Inputs!$B$38="pvp",15,MAX(0.1,Skills!D9-IF(TRUE=TRUE,Inputs!$B$32,0)))*(1-IF(AND(ArtifactsInput!$M$27,Inputs!$B$4="Chapter Hunt"),CHOOSE(ArtifactsInput!$N$27+1,20,24,28,32,36,40),0)/100)))))/Skills!H9+0.000000001),1)))/Inputs!$B$43),G608*Q608))*IF(Inputs!$B$38="pvp",1,(1+(Inputs!$B$21+Skills!Q9+(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Inputs!$B$3&gt;=63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Skills!G10*IF(Skills!H10&gt;0,INT(IF(Inputs!$B$38="pvp",MIN(Skills!I10,15),Skills!I10)/Skills!H10+0.000000001),1)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611=TRUE,F611,0)/100)*(1+(IF(Skills!A10="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625=TRUE)*(F625-Calc!F26)),(Inputs!$B$23+((C630=TRUE)*(F630-Calc!F31))+(IF(ArtifactsInput!$M$15,CHOOSE(ArtifactsInput!$N$15+1,25,30,35,40,45,50)/100*(Inputs!$B$11-Inputs!$B$11),0))))/100+(Inputs!$B$23+((C630=TRUE)*(F630-Calc!F31))+(IF(ArtifactsInput!$M$15,CHOOSE(ArtifactsInput!$N$15+1,25,30,35,40,45,50)/100*(Inputs!$B$11-Inputs!$B$11),0)))/100)/2</f>
        <v/>
      </c>
      <c r="M609">
        <f>L609*(1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IF(B644=0,0,O609/B644)</f>
        <v/>
      </c>
      <c r="Q609">
        <f>IFERROR(1/(IF(Inputs!$B$38="pvp",15,MAX(0.1,Skills!D10-IF(TRUE=TRUE,Inputs!$B$32,0)))*(1-IF(AND(ArtifactsInput!$M$27,Inputs!$B$4="Chapter Hunt"),CHOOSE(ArtifactsInput!$N$27+1,20,24,28,32,36,40),0)/100)),0)</f>
        <v/>
      </c>
      <c r="R609">
        <f>IF(AND(Inputs!$B$38&lt;&gt;"pvp",Inputs!$B$43&gt;0),IF(MAX(0,Inputs!$B$43-B641)&lt;=0,0,(INT(MAX(0,Inputs!$B$43-B641)/(IF(Inputs!$B$38="pvp",15,MAX(0.1,Skills!D10-IF(TRUE=TRUE,Inputs!$B$32,0)))*(1-IF(AND(ArtifactsInput!$M$27,Inputs!$B$4="Chapter Hunt"),CHOOSE(ArtifactsInput!$N$27+1,20,24,28,32,36,40),0)/100)))+1)),0)</f>
        <v/>
      </c>
      <c r="S609">
        <f>IFERROR(O609/N609,0)</f>
        <v/>
      </c>
      <c r="T609">
        <f>IF(C609,(H609*N609*IF(AND(Inputs!$B$38&lt;&gt;"pvp",Inputs!$B$43&gt;0),((Skills!G10*((R609-1)*IF(Skills!H10&gt;0,INT(Skills!I10/Skills!H10+0.000000001),1)+IF(Skills!H10&gt;0,INT(MIN(Skills!I10,MAX(0,MAX(0,Inputs!$B$43-B641)-((R609-1)*(IF(Inputs!$B$38="pvp",15,MAX(0.1,Skills!D10-IF(TRUE=TRUE,Inputs!$B$32,0)))*(1-IF(AND(ArtifactsInput!$M$27,Inputs!$B$4="Chapter Hunt"),CHOOSE(ArtifactsInput!$N$27+1,20,24,28,32,36,40),0)/100)))))/Skills!H10+0.000000001),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INT(Skills!I10/Skills!H10+0.000000001),1)+IF(Skills!H10&gt;0,INT(MIN(Skills!I10,MAX(0,MAX(0,Inputs!$B$43-B641)-((R609-1)*(IF(Inputs!$B$38="pvp",15,MAX(0.1,Skills!D10-IF(TRUE=TRUE,Inputs!$B$32,0)))*(1-IF(AND(ArtifactsInput!$M$27,Inputs!$B$4="Chapter Hunt"),CHOOSE(ArtifactsInput!$N$27+1,20,24,28,32,36,40),0)/100)))))/Skills!H10+0.000000001),1)))/Inputs!$B$43),G609*Q609))*IF(Inputs!$B$38="pvp",1,(1+(Inputs!$B$21+Skills!Q10+(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Inputs!$B$3&gt;=103</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Skills!G11*IF(Skills!H11&gt;0,INT(IF(Inputs!$B$38="pvp",MIN(Skills!I11,15),Skills!I11)/Skills!H11+0.000000001),1)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625=TRUE)*(F625-Calc!F26)),(Inputs!$B$23+((C630=TRUE)*(F630-Calc!F31))+(IF(ArtifactsInput!$M$15,CHOOSE(ArtifactsInput!$N$15+1,25,30,35,40,45,50)/100*(Inputs!$B$11-Inputs!$B$11),0))))/100+(Inputs!$B$23+((C630=TRUE)*(F630-Calc!F31))+(IF(ArtifactsInput!$M$15,CHOOSE(ArtifactsInput!$N$15+1,25,30,35,40,45,50)/100*(Inputs!$B$11-Inputs!$B$11),0)))/100)/2</f>
        <v/>
      </c>
      <c r="M610">
        <f>L610*(1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IF(B644=0,0,O610/B644)</f>
        <v/>
      </c>
      <c r="Q610">
        <f>IFERROR(1/(IF(Inputs!$B$38="pvp",15,MAX(0.1,Skills!D11-IF(TRUE=TRUE,Inputs!$B$32,0)))*(1-IF(AND(ArtifactsInput!$M$27,Inputs!$B$4="Chapter Hunt"),CHOOSE(ArtifactsInput!$N$27+1,20,24,28,32,36,40),0)/100)),0)</f>
        <v/>
      </c>
      <c r="R610">
        <f>IF(AND(Inputs!$B$38&lt;&gt;"pvp",Inputs!$B$43&gt;0),IF(MAX(0,Inputs!$B$43-B641)&lt;=0,0,(INT(MAX(0,Inputs!$B$43-B641)/(IF(Inputs!$B$38="pvp",15,MAX(0.1,Skills!D11-IF(TRUE=TRUE,Inputs!$B$32,0)))*(1-IF(AND(ArtifactsInput!$M$27,Inputs!$B$4="Chapter Hunt"),CHOOSE(ArtifactsInput!$N$27+1,20,24,28,32,36,40),0)/100)))+1)),0)</f>
        <v/>
      </c>
      <c r="S610">
        <f>IFERROR(O610/N610,0)</f>
        <v/>
      </c>
      <c r="T610">
        <f>IF(C610,(H610*N610*IF(AND(Inputs!$B$38&lt;&gt;"pvp",Inputs!$B$43&gt;0),((Skills!G11*((R610-1)*IF(Skills!H11&gt;0,INT(Skills!I11/Skills!H11+0.000000001),1)+IF(Skills!H11&gt;0,INT(MIN(Skills!I11,MAX(0,MAX(0,Inputs!$B$43-B641)-((R610-1)*(IF(Inputs!$B$38="pvp",15,MAX(0.1,Skills!D11-IF(TRUE=TRUE,Inputs!$B$32,0)))*(1-IF(AND(ArtifactsInput!$M$27,Inputs!$B$4="Chapter Hunt"),CHOOSE(ArtifactsInput!$N$27+1,20,24,28,32,36,40),0)/100)))))/Skills!H11+0.000000001)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INT(Skills!I11/Skills!H11+0.000000001),1)+IF(Skills!H11&gt;0,INT(MIN(Skills!I11,MAX(0,MAX(0,Inputs!$B$43-B641)-((R610-1)*(IF(Inputs!$B$38="pvp",15,MAX(0.1,Skills!D11-IF(TRUE=TRUE,Inputs!$B$32,0)))*(1-IF(AND(ArtifactsInput!$M$27,Inputs!$B$4="Chapter Hunt"),CHOOSE(ArtifactsInput!$N$27+1,20,24,28,32,36,40),0)/100)))))/Skills!H11+0.000000001),1)))/Inputs!$B$43),G610*Q610))*IF(Inputs!$B$38="pvp",1,(1+(Inputs!$B$21+Skills!Q11+(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Inputs!$B$3&gt;=100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t="inlineStr"/>
      <c r="H611" t="inlineStr"/>
      <c r="I611" t="inlineStr">
        <is>
          <t>1</t>
        </is>
      </c>
      <c r="J611" t="inlineStr"/>
      <c r="K611" t="inlineStr"/>
      <c r="L611" t="inlineStr"/>
      <c r="M611" t="inlineStr"/>
      <c r="N611" t="inlineStr"/>
      <c r="O611" t="inlineStr"/>
      <c r="P611" t="inlineStr"/>
      <c r="Q611" t="inlineStr"/>
      <c r="R611" t="inlineStr"/>
      <c r="S611" t="inlineStr"/>
      <c r="T611" t="inlineStr"/>
      <c r="V611" t="inlineStr"/>
    </row>
    <row r="612">
      <c r="A612">
        <f>Skills!A13</f>
        <v/>
      </c>
      <c r="B612">
        <f>Skills!B13</f>
        <v/>
      </c>
      <c r="C612">
        <f>Inputs!$B$3&gt;=60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Skills!G13*IF(Skills!H13&gt;0,INT(IF(Inputs!$B$38="pvp",MIN(Skills!I13,15),Skills!I13)/Skills!H13+0.000000001),1)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613=TRUE,F613,0)/100)*(1+(IF(Skills!A13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625=TRUE)*(F625-Calc!F26)),(Inputs!$B$23+((C630=TRUE)*(F630-Calc!F31))+(IF(ArtifactsInput!$M$15,CHOOSE(ArtifactsInput!$N$15+1,25,30,35,40,45,50)/100*(Inputs!$B$11-Inputs!$B$11),0))))/100+(Inputs!$B$23+((C630=TRUE)*(F630-Calc!F31))+(IF(ArtifactsInput!$M$15,CHOOSE(ArtifactsInput!$N$15+1,25,30,35,40,45,50)/100*(Inputs!$B$11-Inputs!$B$11),0)))/100)/2</f>
        <v/>
      </c>
      <c r="M612">
        <f>L612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IF(B644=0,0,O612/B644)</f>
        <v/>
      </c>
      <c r="Q612">
        <f>IFERROR(1/(IF(Inputs!$B$38="pvp",15,MAX(0.1,IF(Inputs!$B$3&gt;=122,3,5)+1/(((20+30*(B636-1)*100/150)/100)*B636)-IF(FALSE=TRUE,Inputs!$B$32,0)))*(1-IF(AND(ArtifactsInput!$M$27,Inputs!$B$4="Chapter Hunt"),CHOOSE(ArtifactsInput!$N$27+1,20,24,28,32,36,40),0)/100)),0)</f>
        <v/>
      </c>
      <c r="R612">
        <f>IF(AND(Inputs!$B$38&lt;&gt;"pvp",Inputs!$B$43&gt;0),IF(MAX(0,Inputs!$B$43-B641)&lt;=0,0,(INT(MAX(0,Inputs!$B$43-B641)/(IF(Inputs!$B$38="pvp",15,MAX(0.1,IF(Inputs!$B$3&gt;=122,3,5)+1/(((20+30*(B636-1)*100/150)/100)*B636)-IF(FALSE=TRUE,Inputs!$B$32,0)))*(1-IF(AND(ArtifactsInput!$M$27,Inputs!$B$4="Chapter Hunt"),CHOOSE(ArtifactsInput!$N$27+1,20,24,28,32,36,40),0)/100)))+1)),0)</f>
        <v/>
      </c>
      <c r="S612">
        <f>IFERROR(O612/N612,0)</f>
        <v/>
      </c>
      <c r="T612">
        <f>IF(C612,(H612*N612*IF(AND(Inputs!$B$38&lt;&gt;"pvp",Inputs!$B$43&gt;0),((Skills!G13*((R612-1)*IF(Skills!H13&gt;0,INT(Skills!I13/Skills!H13+0.000000001),1)+IF(Skills!H13&gt;0,INT(MIN(Skills!I13,MAX(0,MAX(0,Inputs!$B$43-B641)-((R612-1)*(IF(Inputs!$B$38="pvp",15,MAX(0.1,IF(Inputs!$B$3&gt;=122,3,5)+1/(((20+30*(B636-1)*100/150)/100)*B636)-IF(FALSE=TRUE,Inputs!$B$32,0)))*(1-IF(AND(ArtifactsInput!$M$27,Inputs!$B$4="Chapter Hunt"),CHOOSE(ArtifactsInput!$N$27+1,20,24,28,32,36,40),0)/100)))))/Skills!H13+0.000000001),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INT(Skills!I13/Skills!H13+0.000000001),1)+IF(Skills!H13&gt;0,INT(MIN(Skills!I13,MAX(0,MAX(0,Inputs!$B$43-B641)-((R612-1)*(IF(Inputs!$B$38="pvp",15,MAX(0.1,IF(Inputs!$B$3&gt;=122,3,5)+1/(((20+30*(B636-1)*100/150)/100)*B636)-IF(FALSE=TRUE,Inputs!$B$32,0)))*(1-IF(AND(ArtifactsInput!$M$27,Inputs!$B$4="Chapter Hunt"),CHOOSE(ArtifactsInput!$N$27+1,20,24,28,32,36,40),0)/100)))))/Skills!H13+0.000000001),1)))/Inputs!$B$43),G612*Q612))*IF(Inputs!$B$38="pvp",1,(1+(Inputs!$B$21+Skills!Q13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Inputs!$B$3&gt;=110</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t="inlineStr"/>
      <c r="H613" t="inlineStr"/>
      <c r="I613" t="inlineStr">
        <is>
          <t>1</t>
        </is>
      </c>
      <c r="J613" t="inlineStr"/>
      <c r="K613" t="inlineStr"/>
      <c r="L613" t="inlineStr"/>
      <c r="M613" t="inlineStr"/>
      <c r="N613" t="inlineStr"/>
      <c r="O613" t="inlineStr"/>
      <c r="P613" t="inlineStr"/>
      <c r="Q613" t="inlineStr"/>
      <c r="R613" t="inlineStr"/>
      <c r="S613" t="inlineStr"/>
      <c r="T613" t="inlineStr"/>
      <c r="V613" t="inlineStr"/>
    </row>
    <row r="614">
      <c r="A614">
        <f>Skills!A15</f>
        <v/>
      </c>
      <c r="B614">
        <f>Skills!B15</f>
        <v/>
      </c>
      <c r="C614">
        <f>Inputs!$B$3&gt;=74</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f>Skills!G15*IF(Skills!H15&gt;0,INT(IF(Inputs!$B$38="pvp",MIN(Skills!I15,15),Skills!I15)/Skills!H15+0.000000001),1)</f>
        <v/>
      </c>
      <c r="H614">
        <f>1-(1-Skills!J15/100)^Skills!K15</f>
        <v/>
      </c>
      <c r="I614" t="inlineStr">
        <is>
          <t>1</t>
        </is>
      </c>
      <c r="J614" t="inlineStr"/>
      <c r="K614" t="inlineStr"/>
      <c r="L614" t="inlineStr"/>
      <c r="M614" t="inlineStr"/>
      <c r="N614" t="inlineStr"/>
      <c r="O614">
        <f>(1-Summary!$B$11)*T614+Summary!$B$11*V614</f>
        <v/>
      </c>
      <c r="P614">
        <f>IF(B644=0,0,O614/B644)</f>
        <v/>
      </c>
      <c r="Q614" t="n">
        <v>0</v>
      </c>
      <c r="R614" t="n">
        <v>0</v>
      </c>
      <c r="S614">
        <f>IFERROR(O614/N614,0)</f>
        <v/>
      </c>
      <c r="T614" t="n">
        <v>0</v>
      </c>
      <c r="V614" t="n">
        <v>0</v>
      </c>
    </row>
    <row r="615">
      <c r="A615">
        <f>Skills!A16</f>
        <v/>
      </c>
      <c r="B615">
        <f>Skills!B16</f>
        <v/>
      </c>
      <c r="C615">
        <f>Inputs!$B$3&gt;=74</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f>Skills!G16*IF(Skills!H16&gt;0,INT(IF(Inputs!$B$38="pvp",MIN(Skills!I16,15),Skills!I16)/Skills!H16+0.000000001),1)</f>
        <v/>
      </c>
      <c r="H615">
        <f>1-(1-Skills!J16/100)^Skills!K16</f>
        <v/>
      </c>
      <c r="I615" t="inlineStr">
        <is>
          <t>1</t>
        </is>
      </c>
      <c r="J615" t="inlineStr"/>
      <c r="K615" t="inlineStr"/>
      <c r="L615" t="inlineStr"/>
      <c r="M615" t="inlineStr"/>
      <c r="N615" t="inlineStr"/>
      <c r="O615">
        <f>(1-Summary!$B$11)*T615+Summary!$B$11*V615</f>
        <v/>
      </c>
      <c r="P615">
        <f>IF(B644=0,0,O615/B644)</f>
        <v/>
      </c>
      <c r="Q615" t="n">
        <v>0</v>
      </c>
      <c r="R615" t="n">
        <v>0</v>
      </c>
      <c r="S615">
        <f>IFERROR(O615/N615,0)</f>
        <v/>
      </c>
      <c r="T615" t="n">
        <v>0</v>
      </c>
      <c r="V615" t="n">
        <v>0</v>
      </c>
    </row>
    <row r="616">
      <c r="A616">
        <f>Skills!A17</f>
        <v/>
      </c>
      <c r="B616">
        <f>Skills!B17</f>
        <v/>
      </c>
      <c r="C616">
        <f>Inputs!$B$3&gt;=117</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Skills!G17*IF(Skills!H17&gt;0,INT(IF(Inputs!$B$38="pvp",MIN(Skills!I17,15),Skills!I17)/Skills!H17+0.000000001),1)</f>
        <v/>
      </c>
      <c r="H616">
        <f>1-(1-Skills!J17/100)^Skills!K17</f>
        <v/>
      </c>
      <c r="I616" t="inlineStr">
        <is>
          <t>1</t>
        </is>
      </c>
      <c r="J616" t="inlineStr"/>
      <c r="K616" t="inlineStr"/>
      <c r="L616" t="inlineStr"/>
      <c r="M616" t="inlineStr"/>
      <c r="N616" t="inlineStr"/>
      <c r="O616">
        <f>(1-Summary!$B$11)*T616+Summary!$B$11*V616</f>
        <v/>
      </c>
      <c r="P616">
        <f>IF(B644=0,0,O616/B644)</f>
        <v/>
      </c>
      <c r="Q616">
        <f>IFERROR(1/(IF(Inputs!$B$38="pvp",15,MAX(0.1,Skills!D17-IF(TRUE=TRUE,Inputs!$B$32,0)))*(1-IF(AND(ArtifactsInput!$M$27,Inputs!$B$4="Chapter Hunt"),CHOOSE(ArtifactsInput!$N$27+1,20,24,28,32,36,40),0)/100)),0)</f>
        <v/>
      </c>
      <c r="R616">
        <f>IF(AND(Inputs!$B$38&lt;&gt;"pvp",Inputs!$B$43&gt;0),IF(Inputs!$B$43&lt;=0,0,(INT(Inputs!$B$43/(IF(Inputs!$B$38="pvp",15,MAX(0.1,Skills!D17-IF(TRUE=TRUE,Inputs!$B$32,0)))*(1-IF(AND(ArtifactsInput!$M$27,Inputs!$B$4="Chapter Hunt"),CHOOSE(ArtifactsInput!$N$27+1,20,24,28,32,36,40),0)/100)))+1)),0)</f>
        <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Skills!G18*IF(Skills!H18&gt;0,INT(IF(Inputs!$B$38="pvp",MIN(Skills!I18,15),Skills!I18)/Skills!H18+0.000000001),1)</f>
        <v/>
      </c>
      <c r="H617">
        <f>1-(1-Skills!J18/100)^Skills!K18</f>
        <v/>
      </c>
      <c r="I617" t="inlineStr">
        <is>
          <t>1</t>
        </is>
      </c>
      <c r="J617" t="inlineStr"/>
      <c r="K617" t="inlineStr"/>
      <c r="L617" t="inlineStr"/>
      <c r="M617" t="inlineStr"/>
      <c r="N617" t="inlineStr"/>
      <c r="O617">
        <f>(1-Summary!$B$11)*T617+Summary!$B$11*V617</f>
        <v/>
      </c>
      <c r="P617">
        <f>IF(B644=0,0,O617/B644)</f>
        <v/>
      </c>
      <c r="Q617">
        <f>IFERROR(1/(IF(Inputs!$B$38="pvp",15,MAX(0.1,Skills!D18-IF(TRUE=TRUE,Inputs!$B$32,0)))*(1-IF(AND(ArtifactsInput!$M$27,Inputs!$B$4="Chapter Hunt"),CHOOSE(ArtifactsInput!$N$27+1,20,24,28,32,36,40),0)/100)),0)</f>
        <v/>
      </c>
      <c r="R617">
        <f>IF(AND(Inputs!$B$38&lt;&gt;"pvp",Inputs!$B$43&gt;0),IF(Inputs!$B$43&lt;=0,0,(INT(Inputs!$B$43/(IF(Inputs!$B$38="pvp",15,MAX(0.1,Skills!D18-IF(TRUE=TRUE,Inputs!$B$32,0)))*(1-IF(AND(ArtifactsInput!$M$27,Inputs!$B$4="Chapter Hunt"),CHOOSE(ArtifactsInput!$N$27+1,20,24,28,32,36,40),0)/100)))+1)),0)</f>
        <v/>
      </c>
      <c r="S617">
        <f>IFERROR(O617/N617,0)</f>
        <v/>
      </c>
      <c r="T617" t="n">
        <v>0</v>
      </c>
      <c r="V617" t="n">
        <v>0</v>
      </c>
    </row>
    <row r="618">
      <c r="A618">
        <f>Skills!A19</f>
        <v/>
      </c>
      <c r="B618">
        <f>Skills!B19</f>
        <v/>
      </c>
      <c r="C618">
        <f>Inputs!$B$3&gt;=66</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Skills!G19*IF(Skills!H19&gt;0,INT(IF(Inputs!$B$38="pvp",MIN(Skills!I19,15),Skills!I19)/Skills!H19+0.000000001),1)</f>
        <v/>
      </c>
      <c r="H618">
        <f>1-(1-Skills!J19/100)^Skills!K19</f>
        <v/>
      </c>
      <c r="I618" t="inlineStr">
        <is>
          <t>1</t>
        </is>
      </c>
      <c r="J618" t="inlineStr"/>
      <c r="K618" t="inlineStr"/>
      <c r="L618" t="inlineStr"/>
      <c r="M618" t="inlineStr"/>
      <c r="N618" t="inlineStr"/>
      <c r="O618">
        <f>(1-Summary!$B$11)*T618+Summary!$B$11*V618</f>
        <v/>
      </c>
      <c r="P618">
        <f>IF(B644=0,0,O618/B644)</f>
        <v/>
      </c>
      <c r="Q618" t="n">
        <v>0</v>
      </c>
      <c r="R618" t="n">
        <v>0</v>
      </c>
      <c r="S618">
        <f>IFERROR(O618/N618,0)</f>
        <v/>
      </c>
      <c r="T618" t="n">
        <v>0</v>
      </c>
      <c r="V618" t="n">
        <v>0</v>
      </c>
    </row>
    <row r="619">
      <c r="A619">
        <f>Skills!A20</f>
        <v/>
      </c>
      <c r="B619">
        <f>Skills!B20</f>
        <v/>
      </c>
      <c r="C619">
        <f>Inputs!$B$3&gt;=72</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Skills!G20*IF(Skills!H20&gt;0,INT(IF(Inputs!$B$38="pvp",MIN(Skills!I20,15),Skills!I20)/Skills!H20+0.000000001),1)</f>
        <v/>
      </c>
      <c r="H619">
        <f>1-(1-Skills!J20/100)^Skills!K20</f>
        <v/>
      </c>
      <c r="I619" t="inlineStr">
        <is>
          <t>1</t>
        </is>
      </c>
      <c r="J619" t="inlineStr"/>
      <c r="K619" t="inlineStr"/>
      <c r="L619" t="inlineStr"/>
      <c r="M619" t="inlineStr"/>
      <c r="N619" t="inlineStr"/>
      <c r="O619">
        <f>(1-Summary!$B$11)*T619+Summary!$B$11*V619</f>
        <v/>
      </c>
      <c r="P619">
        <f>IF(B644=0,0,O619/B644)</f>
        <v/>
      </c>
      <c r="Q619" t="n">
        <v>0</v>
      </c>
      <c r="R619" t="n">
        <v>0</v>
      </c>
      <c r="S619">
        <f>IFERROR(O619/N619,0)</f>
        <v/>
      </c>
      <c r="T619" t="n">
        <v>0</v>
      </c>
      <c r="V619" t="n">
        <v>0</v>
      </c>
    </row>
    <row r="620">
      <c r="A620">
        <f>Skills!A21</f>
        <v/>
      </c>
      <c r="B620">
        <f>Skills!B21</f>
        <v/>
      </c>
      <c r="C620">
        <f>TRUE</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Skills!G21*IF(Skills!H21&gt;0,INT(IF(Inputs!$B$38="pvp",MIN(Skills!I21,15),Skills!I21)/Skills!H21+0.000000001),1)</f>
        <v/>
      </c>
      <c r="H620">
        <f>1-(1-Skills!J21/100)^Skills!K21</f>
        <v/>
      </c>
      <c r="I620" t="inlineStr">
        <is>
          <t>1</t>
        </is>
      </c>
      <c r="J620" t="inlineStr"/>
      <c r="K620" t="inlineStr"/>
      <c r="L620" t="inlineStr"/>
      <c r="M620" t="inlineStr"/>
      <c r="N620" t="inlineStr"/>
      <c r="O620">
        <f>(1-Summary!$B$11)*T620+Summary!$B$11*V620</f>
        <v/>
      </c>
      <c r="P620">
        <f>IF(B644=0,0,O620/B644)</f>
        <v/>
      </c>
      <c r="Q620">
        <f>IFERROR(1/(IF(Inputs!$B$38="pvp",15,MAX(0.1,Skills!D21-IF(TRUE=TRUE,Inputs!$B$32,0)))*(1-IF(AND(ArtifactsInput!$M$27,Inputs!$B$4="Chapter Hunt"),CHOOSE(ArtifactsInput!$N$27+1,20,24,28,32,36,40),0)/100)),0)</f>
        <v/>
      </c>
      <c r="R620">
        <f>IF(AND(Inputs!$B$38&lt;&gt;"pvp",Inputs!$B$43&gt;0),IF(Inputs!$B$43&lt;=0,0,(INT(Inputs!$B$43/(IF(Inputs!$B$38="pvp",15,MAX(0.1,Skills!D21-IF(TRUE=TRUE,Inputs!$B$32,0)))*(1-IF(AND(ArtifactsInput!$M$27,Inputs!$B$4="Chapter Hunt"),CHOOSE(ArtifactsInput!$N$27+1,20,24,28,32,36,40),0)/100)))+1)),0)</f>
        <v/>
      </c>
      <c r="S620">
        <f>IFERROR(O620/N620,0)</f>
        <v/>
      </c>
      <c r="T620" t="n">
        <v>0</v>
      </c>
      <c r="V620" t="n">
        <v>0</v>
      </c>
    </row>
    <row r="621">
      <c r="A621">
        <f>Skills!A22</f>
        <v/>
      </c>
      <c r="B621">
        <f>Skills!B22</f>
        <v/>
      </c>
      <c r="C621">
        <f>Inputs!$B$3&gt;=15</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Skills!G22*IF(Skills!H22&gt;0,INT(IF(Inputs!$B$38="pvp",MIN(Skills!I22,15),Skills!I22)/Skills!H22+0.000000001),1)</f>
        <v/>
      </c>
      <c r="H621">
        <f>1-(1-Skills!J22/100)^Skills!K22</f>
        <v/>
      </c>
      <c r="I621" t="inlineStr">
        <is>
          <t>1</t>
        </is>
      </c>
      <c r="J621" t="inlineStr"/>
      <c r="K621" t="inlineStr"/>
      <c r="L621" t="inlineStr"/>
      <c r="M621" t="inlineStr"/>
      <c r="N621" t="inlineStr"/>
      <c r="O621">
        <f>(1-Summary!$B$11)*T621+Summary!$B$11*V621</f>
        <v/>
      </c>
      <c r="P621">
        <f>IF(B644=0,0,O621/B644)</f>
        <v/>
      </c>
      <c r="Q621" t="n">
        <v>0</v>
      </c>
      <c r="R621" t="n">
        <v>0</v>
      </c>
      <c r="S621">
        <f>IFERROR(O621/N621,0)</f>
        <v/>
      </c>
      <c r="T621" t="n">
        <v>0</v>
      </c>
      <c r="V621" t="n">
        <v>0</v>
      </c>
    </row>
    <row r="622">
      <c r="A622">
        <f>Skills!A23</f>
        <v/>
      </c>
      <c r="B622">
        <f>Skills!B23</f>
        <v/>
      </c>
      <c r="C622">
        <f>Inputs!$B$3&gt;=10</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Skills!G23*IF(Skills!H23&gt;0,INT(IF(Inputs!$B$38="pvp",MIN(Skills!I23,15),Skills!I23)/Skills!H23+0.000000001),1)</f>
        <v/>
      </c>
      <c r="H622">
        <f>1-(1-Skills!J23/100)^Skills!K23</f>
        <v/>
      </c>
      <c r="I622" t="inlineStr">
        <is>
          <t>1</t>
        </is>
      </c>
      <c r="J622" t="inlineStr"/>
      <c r="K622" t="inlineStr"/>
      <c r="L622" t="inlineStr"/>
      <c r="M622" t="inlineStr"/>
      <c r="N622" t="inlineStr"/>
      <c r="O622">
        <f>(1-Summary!$B$11)*T622+Summary!$B$11*V622</f>
        <v/>
      </c>
      <c r="P622">
        <f>IF(B644=0,0,O622/B644)</f>
        <v/>
      </c>
      <c r="Q622" t="n">
        <v>0</v>
      </c>
      <c r="R622" t="n">
        <v>0</v>
      </c>
      <c r="S622">
        <f>IFERROR(O622/N622,0)</f>
        <v/>
      </c>
      <c r="T622" t="n">
        <v>0</v>
      </c>
      <c r="V622" t="n">
        <v>0</v>
      </c>
    </row>
    <row r="623">
      <c r="A623">
        <f>Skills!A24</f>
        <v/>
      </c>
      <c r="B623">
        <f>Skills!B24</f>
        <v/>
      </c>
      <c r="C623">
        <f>Inputs!$B$3&gt;=33</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Skills!G24*IF(Skills!H24&gt;0,INT(IF(Inputs!$B$38="pvp",MIN(Skills!I24,15),Skills!I24)/Skills!H24+0.000000001),1)</f>
        <v/>
      </c>
      <c r="H623">
        <f>1-(1-Skills!J24/100)^Skills!K24</f>
        <v/>
      </c>
      <c r="I623" t="inlineStr">
        <is>
          <t>1</t>
        </is>
      </c>
      <c r="J623" t="inlineStr"/>
      <c r="K623" t="inlineStr"/>
      <c r="L623" t="inlineStr"/>
      <c r="M623" t="inlineStr"/>
      <c r="N623" t="inlineStr"/>
      <c r="O623">
        <f>(1-Summary!$B$11)*T623+Summary!$B$11*V623</f>
        <v/>
      </c>
      <c r="P623">
        <f>IF(B644=0,0,O623/B644)</f>
        <v/>
      </c>
      <c r="Q623" t="n">
        <v>0</v>
      </c>
      <c r="R623" t="n">
        <v>0</v>
      </c>
      <c r="S623">
        <f>IFERROR(O623/N623,0)</f>
        <v/>
      </c>
      <c r="T623" t="n">
        <v>0</v>
      </c>
      <c r="V623" t="n">
        <v>0</v>
      </c>
    </row>
    <row r="624">
      <c r="A624">
        <f>Skills!A25</f>
        <v/>
      </c>
      <c r="B624">
        <f>Skills!B25</f>
        <v/>
      </c>
      <c r="C624">
        <f>Inputs!$B$3&gt;=38</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Skills!G25*IF(Skills!H25&gt;0,INT(IF(Inputs!$B$38="pvp",MIN(Skills!I25,15),Skills!I25)/Skills!H25+0.000000001),1)</f>
        <v/>
      </c>
      <c r="H624">
        <f>1-(1-Skills!J25/100)^Skills!K25</f>
        <v/>
      </c>
      <c r="I624" t="inlineStr">
        <is>
          <t>1</t>
        </is>
      </c>
      <c r="J624" t="inlineStr"/>
      <c r="K624" t="inlineStr"/>
      <c r="L624" t="inlineStr"/>
      <c r="M624" t="inlineStr"/>
      <c r="N624" t="inlineStr"/>
      <c r="O624">
        <f>(1-Summary!$B$11)*T624+Summary!$B$11*V624</f>
        <v/>
      </c>
      <c r="P624">
        <f>IF(B644=0,0,O624/B644)</f>
        <v/>
      </c>
      <c r="Q624" t="n">
        <v>0</v>
      </c>
      <c r="R624" t="n">
        <v>0</v>
      </c>
      <c r="S624">
        <f>IFERROR(O624/N624,0)</f>
        <v/>
      </c>
      <c r="T624" t="n">
        <v>0</v>
      </c>
      <c r="V624" t="n">
        <v>0</v>
      </c>
    </row>
    <row r="625">
      <c r="A625">
        <f>Skills!A26</f>
        <v/>
      </c>
      <c r="B625">
        <f>Skills!B26</f>
        <v/>
      </c>
      <c r="C625">
        <f>Inputs!$B$3&gt;=43</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Skills!G26*IF(Skills!H26&gt;0,INT(IF(Inputs!$B$38="pvp",MIN(Skills!I26,15),Skills!I26)/Skills!H26+0.000000001),1)</f>
        <v/>
      </c>
      <c r="H625">
        <f>1-(1-Skills!J26/100)^Skills!K26</f>
        <v/>
      </c>
      <c r="I625" t="inlineStr">
        <is>
          <t>1</t>
        </is>
      </c>
      <c r="J625" t="inlineStr"/>
      <c r="K625" t="inlineStr"/>
      <c r="L625" t="inlineStr"/>
      <c r="M625" t="inlineStr"/>
      <c r="N625" t="inlineStr"/>
      <c r="O625">
        <f>(1-Summary!$B$11)*T625+Summary!$B$11*V625</f>
        <v/>
      </c>
      <c r="P625">
        <f>IF(B644=0,0,O625/B644)</f>
        <v/>
      </c>
      <c r="Q625" t="n">
        <v>0</v>
      </c>
      <c r="R625" t="n">
        <v>0</v>
      </c>
      <c r="S625">
        <f>IFERROR(O625/N625,0)</f>
        <v/>
      </c>
      <c r="T625" t="n">
        <v>0</v>
      </c>
      <c r="V625" t="n">
        <v>0</v>
      </c>
    </row>
    <row r="626">
      <c r="A626">
        <f>Skills!A27</f>
        <v/>
      </c>
      <c r="B626">
        <f>Skills!B27</f>
        <v/>
      </c>
      <c r="C626">
        <f>Inputs!$B$3&gt;=75</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Skills!G27*IF(Skills!H27&gt;0,INT(IF(Inputs!$B$38="pvp",MIN(Skills!I27,15),Skills!I27)/Skills!H27+0.000000001),1)</f>
        <v/>
      </c>
      <c r="H626">
        <f>1-(1-Skills!J27/100)^Skills!K27</f>
        <v/>
      </c>
      <c r="I626" t="inlineStr">
        <is>
          <t>1</t>
        </is>
      </c>
      <c r="J626" t="inlineStr"/>
      <c r="K626" t="inlineStr"/>
      <c r="L626" t="inlineStr"/>
      <c r="M626" t="inlineStr"/>
      <c r="N626" t="inlineStr"/>
      <c r="O626">
        <f>(1-Summary!$B$11)*T626+Summary!$B$11*V626</f>
        <v/>
      </c>
      <c r="P626">
        <f>IF(B644=0,0,O626/B644)</f>
        <v/>
      </c>
      <c r="Q626" t="n">
        <v>0</v>
      </c>
      <c r="R626" t="n">
        <v>0</v>
      </c>
      <c r="S626">
        <f>IFERROR(O626/N626,0)</f>
        <v/>
      </c>
      <c r="T626" t="n">
        <v>0</v>
      </c>
      <c r="V626" t="n">
        <v>0</v>
      </c>
    </row>
    <row r="627">
      <c r="A627">
        <f>Skills!A28</f>
        <v/>
      </c>
      <c r="B627">
        <f>Skills!B28</f>
        <v/>
      </c>
      <c r="C627">
        <f>Inputs!$B$3&gt;=125</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Skills!G28*IF(Skills!H28&gt;0,INT(IF(Inputs!$B$38="pvp",MIN(Skills!I28,15),Skills!I28)/Skills!H28+0.000000001),1)</f>
        <v/>
      </c>
      <c r="H627">
        <f>1-(1-Skills!J28/100)^Skills!K28</f>
        <v/>
      </c>
      <c r="I627" t="inlineStr">
        <is>
          <t>1</t>
        </is>
      </c>
      <c r="J627" t="inlineStr"/>
      <c r="K627" t="inlineStr"/>
      <c r="L627" t="inlineStr"/>
      <c r="M627" t="inlineStr"/>
      <c r="N627" t="inlineStr"/>
      <c r="O627">
        <f>(1-Summary!$B$11)*T627+Summary!$B$11*V627</f>
        <v/>
      </c>
      <c r="P627">
        <f>IF(B644=0,0,O627/B644)</f>
        <v/>
      </c>
      <c r="Q627" t="n">
        <v>0</v>
      </c>
      <c r="R627" t="n">
        <v>0</v>
      </c>
      <c r="S627">
        <f>IFERROR(O627/N627,0)</f>
        <v/>
      </c>
      <c r="T627" t="n">
        <v>0</v>
      </c>
      <c r="V627" t="n">
        <v>0</v>
      </c>
    </row>
    <row r="628">
      <c r="A628">
        <f>Skills!A29</f>
        <v/>
      </c>
      <c r="B628">
        <f>Skills!B29</f>
        <v/>
      </c>
      <c r="C628">
        <f>Inputs!$B$3&gt;=125</f>
        <v/>
      </c>
      <c r="D628">
        <f>IF(Skills!C29=1,60+Inputs!$B$25+Inputs!$B$29,IF(Skills!C29=2,90+Inputs!$B$26+Inputs!$B$29,IF(Skills!C29=3,120+Inputs!$B$27+Inputs!$B$29,MAX(0,(Inputs!$B$3-100)*3)+Inputs!$B$28+Inputs!$B$29)))</f>
        <v/>
      </c>
      <c r="E628">
        <f>INDEX(FactorTable!$B$2:$Y$301, MATCH(ROUND(MIN(300,MAX(1,D628)),0), FactorTable!$A$2:$A$301,0), Skills!M29+1)</f>
        <v/>
      </c>
      <c r="F628">
        <f>IF(Skills!N29=TRUE,(Skills!L29/10)*(E628/1000),Skills!L29/10)+Skills!O29</f>
        <v/>
      </c>
      <c r="G628">
        <f>Skills!G29*IF(Skills!H29&gt;0,INT(IF(Inputs!$B$38="pvp",MIN(Skills!I29,15),Skills!I29)/Skills!H29+0.000000001),1)</f>
        <v/>
      </c>
      <c r="H628">
        <f>1-(1-Skills!J29/100)^Skills!K29</f>
        <v/>
      </c>
      <c r="I628" t="inlineStr">
        <is>
          <t>1</t>
        </is>
      </c>
      <c r="J628" t="inlineStr"/>
      <c r="K628" t="inlineStr"/>
      <c r="L628" t="inlineStr"/>
      <c r="M628" t="inlineStr"/>
      <c r="N628" t="inlineStr"/>
      <c r="O628">
        <f>(1-Summary!$B$11)*T628+Summary!$B$11*V628</f>
        <v/>
      </c>
      <c r="P628">
        <f>IF(B644=0,0,O628/B644)</f>
        <v/>
      </c>
      <c r="Q628" t="n">
        <v>0</v>
      </c>
      <c r="R628" t="n">
        <v>0</v>
      </c>
      <c r="S628">
        <f>IFERROR(O628/N628,0)</f>
        <v/>
      </c>
      <c r="T628" t="n">
        <v>0</v>
      </c>
      <c r="V628" t="n">
        <v>0</v>
      </c>
    </row>
    <row r="629">
      <c r="A629">
        <f>Skills!A30</f>
        <v/>
      </c>
      <c r="B629">
        <f>Skills!B30</f>
        <v/>
      </c>
      <c r="C629">
        <f>Inputs!$B$3&gt;=120</f>
        <v/>
      </c>
      <c r="D629">
        <f>IF(Skills!C30=1,60+Inputs!$B$25+Inputs!$B$29,IF(Skills!C30=2,90+Inputs!$B$26+Inputs!$B$29,IF(Skills!C30=3,120+Inputs!$B$27+Inputs!$B$29,MAX(0,(Inputs!$B$3-100)*3)+Inputs!$B$28+Inputs!$B$29)))</f>
        <v/>
      </c>
      <c r="E629">
        <f>INDEX(FactorTable!$B$2:$Y$301, MATCH(ROUND(MIN(300,MAX(1,D629)),0), FactorTable!$A$2:$A$301,0), Skills!M30+1)</f>
        <v/>
      </c>
      <c r="F629">
        <f>IF(Skills!N30=TRUE,(Skills!L30/10)*(E629/1000),Skills!L30/10)+Skills!O30</f>
        <v/>
      </c>
      <c r="G629">
        <f>Skills!G30*IF(Skills!H30&gt;0,INT(IF(Inputs!$B$38="pvp",MIN(Skills!I30,15),Skills!I30)/Skills!H30+0.000000001),1)</f>
        <v/>
      </c>
      <c r="H629">
        <f>1-(1-Skills!J30/100)^Skills!K30</f>
        <v/>
      </c>
      <c r="I629" t="inlineStr">
        <is>
          <t>1</t>
        </is>
      </c>
      <c r="J629" t="inlineStr"/>
      <c r="K629" t="inlineStr"/>
      <c r="L629" t="inlineStr"/>
      <c r="M629" t="inlineStr"/>
      <c r="N629" t="inlineStr"/>
      <c r="O629">
        <f>(1-Summary!$B$11)*T629+Summary!$B$11*V629</f>
        <v/>
      </c>
      <c r="P629">
        <f>IF(B644=0,0,O629/B644)</f>
        <v/>
      </c>
      <c r="Q629" t="n">
        <v>0</v>
      </c>
      <c r="R629" t="n">
        <v>0</v>
      </c>
      <c r="S629">
        <f>IFERROR(O629/N629,0)</f>
        <v/>
      </c>
      <c r="T629" t="n">
        <v>0</v>
      </c>
      <c r="V629" t="n">
        <v>0</v>
      </c>
    </row>
    <row r="630">
      <c r="A630">
        <f>Skills!A31</f>
        <v/>
      </c>
      <c r="B630">
        <f>Skills!B31</f>
        <v/>
      </c>
      <c r="C630">
        <f>Inputs!$B$3&gt;=120</f>
        <v/>
      </c>
      <c r="D630">
        <f>IF(Skills!C31=1,60+Inputs!$B$25+Inputs!$B$29,IF(Skills!C31=2,90+Inputs!$B$26+Inputs!$B$29,IF(Skills!C31=3,120+Inputs!$B$27+Inputs!$B$29,MAX(0,(Inputs!$B$3-100)*3)+Inputs!$B$28+Inputs!$B$29)))</f>
        <v/>
      </c>
      <c r="E630">
        <f>INDEX(FactorTable!$B$2:$Y$301, MATCH(ROUND(MIN(300,MAX(1,D630)),0), FactorTable!$A$2:$A$301,0), Skills!M31+1)</f>
        <v/>
      </c>
      <c r="F630">
        <f>IF(Skills!N31=TRUE,(Skills!L31/10)*(E630/1000),Skills!L31/10)+Skills!O31</f>
        <v/>
      </c>
      <c r="G630">
        <f>Skills!G31*IF(Skills!H31&gt;0,INT(IF(Inputs!$B$38="pvp",MIN(Skills!I31,15),Skills!I31)/Skills!H31+0.000000001),1)</f>
        <v/>
      </c>
      <c r="H630">
        <f>1-(1-Skills!J31/100)^Skills!K31</f>
        <v/>
      </c>
      <c r="I630" t="inlineStr">
        <is>
          <t>1</t>
        </is>
      </c>
      <c r="J630" t="inlineStr"/>
      <c r="K630" t="inlineStr"/>
      <c r="L630" t="inlineStr"/>
      <c r="M630" t="inlineStr"/>
      <c r="N630" t="inlineStr"/>
      <c r="O630">
        <f>(1-Summary!$B$11)*T630+Summary!$B$11*V630</f>
        <v/>
      </c>
      <c r="P630">
        <f>IF(B644=0,0,O630/B644)</f>
        <v/>
      </c>
      <c r="Q630" t="n">
        <v>0</v>
      </c>
      <c r="R630" t="n">
        <v>0</v>
      </c>
      <c r="S630">
        <f>IFERROR(O630/N630,0)</f>
        <v/>
      </c>
      <c r="T630" t="n">
        <v>0</v>
      </c>
      <c r="V630" t="n">
        <v>0</v>
      </c>
    </row>
    <row r="631">
      <c r="A631">
        <f>Skills!A32</f>
        <v/>
      </c>
      <c r="B631">
        <f>Skills!B32</f>
        <v/>
      </c>
      <c r="C631">
        <f>Inputs!$B$3&gt;=45</f>
        <v/>
      </c>
      <c r="D631">
        <f>IF(Skills!C32=1,60+Inputs!$B$25+Inputs!$B$29,IF(Skills!C32=2,90+Inputs!$B$26+Inputs!$B$29,IF(Skills!C32=3,120+Inputs!$B$27+Inputs!$B$29,MAX(0,(Inputs!$B$3-100)*3)+Inputs!$B$28+Inputs!$B$29)))</f>
        <v/>
      </c>
      <c r="E631">
        <f>INDEX(FactorTable!$B$2:$Y$301, MATCH(ROUND(MIN(300,MAX(1,D631)),0), FactorTable!$A$2:$A$301,0), Skills!M32+1)</f>
        <v/>
      </c>
      <c r="F631">
        <f>IF(Skills!N32=TRUE,(Skills!L32/10)*(E631/1000),Skills!L32/10)+Skills!O32</f>
        <v/>
      </c>
      <c r="G631">
        <f>Skills!G32*IF(Skills!H32&gt;0,INT(IF(Inputs!$B$38="pvp",MIN(Skills!I32,15),Skills!I32)/Skills!H32+0.000000001),1)</f>
        <v/>
      </c>
      <c r="H631">
        <f>1-(1-Skills!J32/100)^Skills!K32</f>
        <v/>
      </c>
      <c r="I631" t="inlineStr">
        <is>
          <t>1</t>
        </is>
      </c>
      <c r="J631" t="inlineStr"/>
      <c r="K631" t="inlineStr"/>
      <c r="L631" t="inlineStr"/>
      <c r="M631" t="inlineStr"/>
      <c r="N631" t="inlineStr"/>
      <c r="O631">
        <f>(1-Summary!$B$11)*T631+Summary!$B$11*V631</f>
        <v/>
      </c>
      <c r="P631">
        <f>IF(B644=0,0,O631/B644)</f>
        <v/>
      </c>
      <c r="Q631" t="n">
        <v>0</v>
      </c>
      <c r="R631" t="n">
        <v>0</v>
      </c>
      <c r="S631">
        <f>IFERROR(O631/N631,0)</f>
        <v/>
      </c>
      <c r="T631" t="n">
        <v>0</v>
      </c>
      <c r="V631" t="n">
        <v>0</v>
      </c>
    </row>
    <row r="633">
      <c r="A633" t="inlineStr">
        <is>
          <t>Attack% Bucket Multiplier</t>
        </is>
      </c>
      <c r="B633">
        <f>(1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4">
      <c r="A634" t="inlineStr">
        <is>
          <t>Global Crit Rate Bonus %</t>
        </is>
      </c>
      <c r="B634" t="n">
        <v>0</v>
      </c>
    </row>
    <row r="635">
      <c r="A635" t="inlineStr">
        <is>
          <t>Attack Speed Buff Bonus %</t>
        </is>
      </c>
      <c r="B635">
        <f>((C620=TRUE)*F620*IF(AND(Inputs!$B$38&lt;&gt;"pvp",Inputs!$B$43&gt;0),(((R620-1)*MIN((Skills!T21*(1+Inputs!$B$34/100)),(1/Q620))+MIN((Skills!T21*(1+Inputs!$B$34/100)),MAX(0,Inputs!$B$43-((R620-1)*(1/Q620)))))/Inputs!$B$43),IF(Inputs!$B$38="pvp",MIN((Skills!T21*(1+Inputs!$B$34/100)),15)/15,MIN(1,(Skills!T21*(1+Inputs!$B$34/100))/(1/Q620)))))</f>
        <v/>
      </c>
    </row>
    <row r="636">
      <c r="A636" t="inlineStr">
        <is>
          <t>Actions Per Second</t>
        </is>
      </c>
      <c r="B636">
        <f>1+MIN(150,150*(1-(1-(Inputs!$B$11+((C622=TRUE)*(F622-Calc!F23))+((C623=TRUE)*(F623-Calc!F24)))/150)*(1-B635/150)))/100</f>
        <v/>
      </c>
    </row>
    <row r="637">
      <c r="A637" t="inlineStr">
        <is>
          <t>Skill + Buff Cast Rate</t>
        </is>
      </c>
      <c r="B637">
        <f>IF(AND(Inputs!$B$38&lt;&gt;"pvp",Inputs!$B$43&gt;0),SUMPRODUCT((Skills!E2:E32=TRUE)*(C601:C631=TRUE)*R601:R631*Skills!F2:F32)/Inputs!$B$43,SUMPRODUCT((Skills!E2:E32=TRUE)*(C601:C631=TRUE)*Q601:Q631*Skills!F2:F32))</f>
        <v/>
      </c>
    </row>
    <row r="638">
      <c r="A638" t="inlineStr">
        <is>
          <t>Arrow Stream Casts Per Second</t>
        </is>
      </c>
      <c r="B638">
        <f>MAX(0,B636-B637)</f>
        <v/>
      </c>
    </row>
    <row r="639">
      <c r="A639" t="inlineStr">
        <is>
          <t>Global Critical Damage Bonus % (Sharp Eyes + Concentration)</t>
        </is>
      </c>
      <c r="B639">
        <f>(C617=TRUE)*F617*IF(AND(Inputs!$B$38&lt;&gt;"pvp",Inputs!$B$43&gt;0),(((R617-1)*MIN((Skills!T18*(1+Inputs!$B$34/100)),(1/Q617))+MIN((Skills!T18*(1+Inputs!$B$34/100)),MAX(0,Inputs!$B$43-((R617-1)*(1/Q617)))))/Inputs!$B$43),IF(Inputs!$B$38="pvp",MIN((Skills!T18*(1+Inputs!$B$34/100)),15)/15,MIN(1,(Skills!T18*(1+Inputs!$B$34/100))/(1/Q617))))+(C618=TRUE)*7*F618</f>
        <v/>
      </c>
    </row>
    <row r="640">
      <c r="A640" t="inlineStr">
        <is>
          <t>Global Final Damage Bonus % (Mortal Blow)</t>
        </is>
      </c>
      <c r="B640">
        <f>(C619=TRUE)*F619</f>
        <v/>
      </c>
    </row>
    <row r="641">
      <c r="A641" t="inlineStr">
        <is>
          <t>Buff-Casting Startup Delay (s, fixed-duration only)</t>
        </is>
      </c>
      <c r="B641">
        <f>IF(AND(Inputs!$B$38&lt;&gt;"pvp",Inputs!$B$43&gt;0),SUMPRODUCT((Skills!T2:T32&gt;0)*(Skills!E2:E32=TRUE)*(C601:C631=TRUE))/B636,0)</f>
        <v/>
      </c>
    </row>
    <row r="642">
      <c r="A642" t="inlineStr">
        <is>
          <t>Boss-Only Total DPS (this block's swept value)</t>
        </is>
      </c>
      <c r="B642">
        <f>SUM(T601:T631)</f>
        <v/>
      </c>
    </row>
    <row r="643">
      <c r="A643" t="inlineStr">
        <is>
          <t>Normal-Only Total DPS (this block's swept value)</t>
        </is>
      </c>
      <c r="B643">
        <f>SUM(V601:V631)</f>
        <v/>
      </c>
    </row>
    <row r="644">
      <c r="A644" s="6" t="inlineStr">
        <is>
          <t>TOTAL DPS</t>
        </is>
      </c>
      <c r="B644" s="6">
        <f>SUM(O601:O631)</f>
        <v/>
      </c>
    </row>
    <row r="647">
      <c r="A647" s="6" t="inlineStr">
        <is>
          <t>Stat: ATTACK_SPEED % (diminishing returns, factor 150)</t>
        </is>
      </c>
    </row>
    <row r="648">
      <c r="A648" s="5" t="inlineStr">
        <is>
          <t>Key</t>
        </is>
      </c>
      <c r="B648" s="5" t="inlineStr">
        <is>
          <t>Name</t>
        </is>
      </c>
      <c r="C648" s="5" t="inlineStr">
        <is>
          <t>Unlocked</t>
        </is>
      </c>
      <c r="D648" s="5" t="inlineStr">
        <is>
          <t>InputLevel</t>
        </is>
      </c>
      <c r="E648" s="5" t="inlineStr">
        <is>
          <t>Factor</t>
        </is>
      </c>
      <c r="F648" s="5" t="inlineStr">
        <is>
          <t>CoefficientPercent</t>
        </is>
      </c>
      <c r="G648" s="5" t="inlineStr">
        <is>
          <t>EffectiveHits</t>
        </is>
      </c>
      <c r="H648" s="5" t="inlineStr">
        <is>
          <t>ProcProbability</t>
        </is>
      </c>
      <c r="I648" s="5" t="inlineStr">
        <is>
          <t>MapleHeroMultiplier</t>
        </is>
      </c>
      <c r="J648" s="5" t="inlineStr">
        <is>
          <t>BaseDamage</t>
        </is>
      </c>
      <c r="K648" s="5" t="inlineStr">
        <is>
          <t>BaseHitDamage</t>
        </is>
      </c>
      <c r="L648" s="5" t="inlineStr">
        <is>
          <t>NonCritAvg</t>
        </is>
      </c>
      <c r="M648" s="5" t="inlineStr">
        <is>
          <t>CritAvg</t>
        </is>
      </c>
      <c r="N648" s="5" t="inlineStr">
        <is>
          <t>ExpectedDamage(perHit)</t>
        </is>
      </c>
      <c r="O648" s="5" t="inlineStr">
        <is>
          <t>DPS</t>
        </is>
      </c>
      <c r="P648" s="5" t="inlineStr">
        <is>
          <t>% of Total</t>
        </is>
      </c>
      <c r="Q648" s="5" t="inlineStr">
        <is>
          <t>InvCooldown</t>
        </is>
      </c>
      <c r="R648" s="5" t="inlineStr">
        <is>
          <t>CastsInFight</t>
        </is>
      </c>
      <c r="S648" s="5" t="inlineStr">
        <is>
          <t>HitRate(perSec)</t>
        </is>
      </c>
      <c r="U648" t="inlineStr">
        <is>
          <t>helpers</t>
        </is>
      </c>
    </row>
    <row r="649">
      <c r="A649">
        <f>Skills!A2</f>
        <v/>
      </c>
      <c r="B649">
        <f>Skills!B2</f>
        <v/>
      </c>
      <c r="C649">
        <f>Inputs!$B$3&gt;=100</f>
        <v/>
      </c>
      <c r="D649" t="inlineStr"/>
      <c r="E649" t="inlineStr"/>
      <c r="F649">
        <f>U651+Skills!O2</f>
        <v/>
      </c>
      <c r="G649">
        <f>Skills!G2*IF(Skills!H2&gt;0,INT(IF(Inputs!$B$38="pvp",MIN(Skills!I2,15),Skills!I2)/Skills!H2+0.000000001),1)</f>
        <v/>
      </c>
      <c r="H649">
        <f>1-(1-Skills!J2/100)^Skills!K2</f>
        <v/>
      </c>
      <c r="I649" t="inlineStr">
        <is>
          <t>1</t>
        </is>
      </c>
      <c r="J649">
        <f>((Inputs!$B$6*(1+Inputs!$B$7/100))+(((Inputs!$B$12*(1+Inputs!$B$13/100))-(Inputs!$B$12*(1+Inputs!$B$13/100)))+0.25*(Inputs!$B$14-Inputs!$B$14))*(1+Inputs!$B$7/100))*(F649/100)</f>
        <v/>
      </c>
      <c r="K649">
        <f>J649*(1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49">
        <f>L649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IF(B692=0,0,O649/B692)</f>
        <v/>
      </c>
      <c r="Q649" t="n">
        <v>0</v>
      </c>
      <c r="R649" t="n">
        <v>0</v>
      </c>
      <c r="S649">
        <f>IFERROR(O649/N649,0)</f>
        <v/>
      </c>
      <c r="T649">
        <f>IF(C649,(Skills!G2*N649*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MAX(0,(Inputs!$B$3-100)*3)+Inputs!$B$28+Inputs!$B$29</f>
        <v/>
      </c>
      <c r="V649">
        <f>IF(C649,(Skills!G2*N649*B686)*IF(Inputs!$B$38="pvp",1,(1+(Inputs!$B$21+Skills!Q2+(IF(ArtifactsInput!$M$33,CHOOSE(ArtifactsInput!$N$33+1,30,36,42,48,54,60),0))+(IF(AND(ArtifactsInput!$M$35,Inputs!$B$4&lt;&gt;"Chapter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Skills!A3</f>
        <v/>
      </c>
      <c r="B650">
        <f>Skills!B3</f>
        <v/>
      </c>
      <c r="C650">
        <f>Inputs!$B$3&gt;=50</f>
        <v/>
      </c>
      <c r="D650">
        <f>IF(Skills!C3=1,60+Inputs!$B$25+Inputs!$B$29,IF(Skills!C3=2,90+Inputs!$B$26+Inputs!$B$29,IF(Skills!C3=3,120+Inputs!$B$27+Inputs!$B$29,MAX(0,(Inputs!$B$3-100)*3)+Inputs!$B$28+Inputs!$B$29)))</f>
        <v/>
      </c>
      <c r="E650">
        <f>INDEX(FactorTable!$B$2:$Y$301, MATCH(ROUND(MIN(300,MAX(1,D650)),0), FactorTable!$A$2:$A$301,0), Skills!M3+1)</f>
        <v/>
      </c>
      <c r="F650">
        <f>IF(Skills!N3=TRUE,(Skills!L3/10)*(E650/1000),Skills!L3/10)+Skills!O3</f>
        <v/>
      </c>
      <c r="G650">
        <f>Skills!G3*IF(Skills!H3&gt;0,INT(IF(Inputs!$B$38="pvp",MIN(Skills!I3,15),Skills!I3)/Skills!H3+0.000000001),1)</f>
        <v/>
      </c>
      <c r="H650">
        <f>1-(1-Skills!J3/100)^Skills!K3</f>
        <v/>
      </c>
      <c r="I650" t="inlineStr">
        <is>
          <t>1</t>
        </is>
      </c>
      <c r="J650">
        <f>((Inputs!$B$6*(1+Inputs!$B$7/100))+(((Inputs!$B$12*(1+Inputs!$B$13/100))-(Inputs!$B$12*(1+Inputs!$B$13/100)))+0.25*(Inputs!$B$14-Inputs!$B$14))*(1+Inputs!$B$7/100))*(F650/100)</f>
        <v/>
      </c>
      <c r="K650">
        <f>J650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651=TRUE,F651,0)/100)*(1+(IF(Skills!A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0">
        <f>L650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IF(B692=0,0,O650/B692)</f>
        <v/>
      </c>
      <c r="Q650">
        <f>IFERROR(1/(IF(Inputs!$B$38="pvp",15,MAX(0.1,1/B684-IF(FALSE=TRUE,Inputs!$B$32,0)))*(1-IF(AND(ArtifactsInput!$M$27,Inputs!$B$4="Chapter Hunt"),CHOOSE(ArtifactsInput!$N$27+1,20,24,28,32,36,40),0)/100)),0)</f>
        <v/>
      </c>
      <c r="R650">
        <f>IF(AND(Inputs!$B$38&lt;&gt;"pvp",Inputs!$B$43&gt;0),IF(MAX(0,Inputs!$B$43-B689)&lt;=0,0,(INT(MAX(0,Inputs!$B$43-B689)/(IF(Inputs!$B$38="pvp",15,MAX(0.1,1/B684-IF(FALSE=TRUE,Inputs!$B$32,0)))*(1-IF(AND(ArtifactsInput!$M$27,Inputs!$B$4="Chapter Hunt"),CHOOSE(ArtifactsInput!$N$27+1,20,24,28,32,36,40),0)/100)))+1)),0)</f>
        <v/>
      </c>
      <c r="S650">
        <f>IFERROR(O650/N650,0)</f>
        <v/>
      </c>
      <c r="T650">
        <f>IF(C650,(H650*N650*IF(AND(Inputs!$B$38&lt;&gt;"pvp",Inputs!$B$43&gt;0),((Skills!G3*((R650-1)*IF(Skills!H3&gt;0,INT(Skills!I3/Skills!H3+0.000000001),1)+IF(Skills!H3&gt;0,INT(MIN(Skills!I3,MAX(0,MAX(0,Inputs!$B$43-B689)-((R650-1)*(IF(Inputs!$B$38="pvp",15,MAX(0.1,1/B684-IF(FALSE=TRUE,Inputs!$B$32,0)))*(1-IF(AND(ArtifactsInput!$M$27,Inputs!$B$4="Chapter Hunt"),CHOOSE(ArtifactsInput!$N$27+1,20,24,28,32,36,40),0)/100)))))/Skills!H3+0.000000001),1)))/Inputs!$B$43),G650*Q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INDEX(FactorTable!$B$2:$Y$301, MATCH(ROUND(MIN(300,MAX(1,U649)),0), FactorTable!$A$2:$A$301,0), 22)</f>
        <v/>
      </c>
      <c r="V650">
        <f>IF(C650,(H650*N650*IF(AND(Inputs!$B$38&lt;&gt;"pvp",Inputs!$B$43&gt;0),((Skills!G3*((R650-1)*IF(Skills!H3&gt;0,INT(Skills!I3/Skills!H3+0.000000001),1)+IF(Skills!H3&gt;0,INT(MIN(Skills!I3,MAX(0,MAX(0,Inputs!$B$43-B689)-((R650-1)*(IF(Inputs!$B$38="pvp",15,MAX(0.1,1/B684-IF(FALSE=TRUE,Inputs!$B$32,0)))*(1-IF(AND(ArtifactsInput!$M$27,Inputs!$B$4="Chapter Hunt"),CHOOSE(ArtifactsInput!$N$27+1,20,24,28,32,36,40),0)/100)))))/Skills!H3+0.000000001),1)))/Inputs!$B$43),G650*Q650))*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Skills!A4</f>
        <v/>
      </c>
      <c r="B651">
        <f>Skills!B4</f>
        <v/>
      </c>
      <c r="C651">
        <f>Inputs!$B$3&gt;=105</f>
        <v/>
      </c>
      <c r="D651">
        <f>IF(Skills!C4=1,60+Inputs!$B$25+Inputs!$B$29,IF(Skills!C4=2,90+Inputs!$B$26+Inputs!$B$29,IF(Skills!C4=3,120+Inputs!$B$27+Inputs!$B$29,MAX(0,(Inputs!$B$3-100)*3)+Inputs!$B$28+Inputs!$B$29)))</f>
        <v/>
      </c>
      <c r="E651">
        <f>INDEX(FactorTable!$B$2:$Y$301, MATCH(ROUND(MIN(300,MAX(1,D651)),0), FactorTable!$A$2:$A$301,0), Skills!M4+1)</f>
        <v/>
      </c>
      <c r="F651">
        <f>IF(Skills!N4=TRUE,(Skills!L4/10)*(E651/1000),Skills!L4/10)+Skills!O4</f>
        <v/>
      </c>
      <c r="G651" t="inlineStr"/>
      <c r="H651" t="inlineStr"/>
      <c r="I651" t="inlineStr">
        <is>
          <t>1</t>
        </is>
      </c>
      <c r="J651" t="inlineStr"/>
      <c r="K651" t="inlineStr"/>
      <c r="L651" t="inlineStr"/>
      <c r="M651" t="inlineStr"/>
      <c r="N651" t="inlineStr"/>
      <c r="O651" t="inlineStr"/>
      <c r="P651" t="inlineStr"/>
      <c r="Q651" t="inlineStr"/>
      <c r="R651" t="inlineStr"/>
      <c r="S651" t="inlineStr"/>
      <c r="T651" t="inlineStr"/>
      <c r="U651">
        <f>290*U650/1000</f>
        <v/>
      </c>
      <c r="V651" t="inlineStr"/>
    </row>
    <row r="652">
      <c r="A652">
        <f>Skills!A5</f>
        <v/>
      </c>
      <c r="B652">
        <f>Skills!B5</f>
        <v/>
      </c>
      <c r="C652">
        <f>Inputs!$B$3&gt;=35</f>
        <v/>
      </c>
      <c r="D652">
        <f>IF(Skills!C5=1,60+Inputs!$B$25+Inputs!$B$29,IF(Skills!C5=2,90+Inputs!$B$26+Inputs!$B$29,IF(Skills!C5=3,120+Inputs!$B$27+Inputs!$B$29,MAX(0,(Inputs!$B$3-100)*3)+Inputs!$B$28+Inputs!$B$29)))</f>
        <v/>
      </c>
      <c r="E652">
        <f>INDEX(FactorTable!$B$2:$Y$301, MATCH(ROUND(MIN(300,MAX(1,D652)),0), FactorTable!$A$2:$A$301,0), Skills!M5+1)</f>
        <v/>
      </c>
      <c r="F652">
        <f>IF(Skills!N5=TRUE,(Skills!L5/10)*(E652/1000),Skills!L5/10)+Skills!O5</f>
        <v/>
      </c>
      <c r="G652">
        <f>Skills!G5*IF(Skills!H5&gt;0,INT(IF(Inputs!$B$38="pvp",MIN(Skills!I5,15),Skills!I5)/Skills!H5+0.000000001),1)</f>
        <v/>
      </c>
      <c r="H652">
        <f>1-(1-Skills!J5/100)^Skills!K5</f>
        <v/>
      </c>
      <c r="I652" t="inlineStr">
        <is>
          <t>1</t>
        </is>
      </c>
      <c r="J652">
        <f>((Inputs!$B$6*(1+Inputs!$B$7/100))+(((Inputs!$B$12*(1+Inputs!$B$13/100))-(Inputs!$B$12*(1+Inputs!$B$13/100)))+0.25*(Inputs!$B$14-Inputs!$B$14))*(1+Inputs!$B$7/100))*(F652/100)</f>
        <v/>
      </c>
      <c r="K652">
        <f>J652*(1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659=TRUE,F659,0)/100)*(1+(IF(Skills!A5="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2">
        <f>L652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IF(B692=0,0,O652/B692)</f>
        <v/>
      </c>
      <c r="Q652">
        <f>IFERROR(1/(IF(Inputs!$B$38="pvp",15,MAX(0.1,Skills!D5-IF(TRUE=TRUE,Inputs!$B$32,0)))*(1-IF(AND(ArtifactsInput!$M$27,Inputs!$B$4="Chapter Hunt"),CHOOSE(ArtifactsInput!$N$27+1,20,24,28,32,36,40),0)/100)),0)</f>
        <v/>
      </c>
      <c r="R652">
        <f>IF(AND(Inputs!$B$38&lt;&gt;"pvp",Inputs!$B$43&gt;0),IF(MAX(0,Inputs!$B$43-B689)&lt;=0,0,(INT(MAX(0,Inputs!$B$43-B689)/(IF(Inputs!$B$38="pvp",15,MAX(0.1,Skills!D5-IF(TRUE=TRUE,Inputs!$B$32,0)))*(1-IF(AND(ArtifactsInput!$M$27,Inputs!$B$4="Chapter Hunt"),CHOOSE(ArtifactsInput!$N$27+1,20,24,28,32,36,40),0)/100)))+1)),0)</f>
        <v/>
      </c>
      <c r="S652">
        <f>IFERROR(O652/N652,0)</f>
        <v/>
      </c>
      <c r="T652">
        <f>IF(C652,(H652*N652*IF(AND(Inputs!$B$38&lt;&gt;"pvp",Inputs!$B$43&gt;0),((Skills!G5*((R652-1)*IF(Skills!H5&gt;0,INT(Skills!I5/Skills!H5+0.000000001),1)+IF(Skills!H5&gt;0,INT(MIN(Skills!I5,MAX(0,MAX(0,Inputs!$B$43-B689)-((R652-1)*(IF(Inputs!$B$38="pvp",15,MAX(0.1,Skills!D5-IF(TRUE=TRUE,Inputs!$B$32,0)))*(1-IF(AND(ArtifactsInput!$M$27,Inputs!$B$4="Chapter Hunt"),CHOOSE(ArtifactsInput!$N$27+1,20,24,28,32,36,40),0)/100)))))/Skills!H5+0.000000001),1)))/Inputs!$B$43),G652*Q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5*((R652-1)*IF(Skills!H5&gt;0,INT(Skills!I5/Skills!H5+0.000000001),1)+IF(Skills!H5&gt;0,INT(MIN(Skills!I5,MAX(0,MAX(0,Inputs!$B$43-B689)-((R652-1)*(IF(Inputs!$B$38="pvp",15,MAX(0.1,Skills!D5-IF(TRUE=TRUE,Inputs!$B$32,0)))*(1-IF(AND(ArtifactsInput!$M$27,Inputs!$B$4="Chapter Hunt"),CHOOSE(ArtifactsInput!$N$27+1,20,24,28,32,36,40),0)/100)))))/Skills!H5+0.000000001),1)))/Inputs!$B$43),G652*Q652))*IF(Inputs!$B$38="pvp",1,(1+(Inputs!$B$21+Skills!Q5+(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Skills!A6</f>
        <v/>
      </c>
      <c r="B653">
        <f>Skills!B6</f>
        <v/>
      </c>
      <c r="C653">
        <f>Inputs!$B$3&gt;=40</f>
        <v/>
      </c>
      <c r="D653">
        <f>IF(Skills!C6=1,60+Inputs!$B$25+Inputs!$B$29,IF(Skills!C6=2,90+Inputs!$B$26+Inputs!$B$29,IF(Skills!C6=3,120+Inputs!$B$27+Inputs!$B$29,MAX(0,(Inputs!$B$3-100)*3)+Inputs!$B$28+Inputs!$B$29)))</f>
        <v/>
      </c>
      <c r="E653">
        <f>INDEX(FactorTable!$B$2:$Y$301, MATCH(ROUND(MIN(300,MAX(1,D653)),0), FactorTable!$A$2:$A$301,0), Skills!M6+1)</f>
        <v/>
      </c>
      <c r="F653">
        <f>IF(Skills!N6=TRUE,(Skills!L6/10)*(E653/1000),Skills!L6/10)+Skills!O6</f>
        <v/>
      </c>
      <c r="G653">
        <f>Skills!G6*IF(Skills!H6&gt;0,INT(IF(Inputs!$B$38="pvp",MIN(Skills!I6,15),Skills!I6)/Skills!H6+0.000000001),1)</f>
        <v/>
      </c>
      <c r="H653">
        <f>1-(1-Skills!J6/100)^Skills!K6</f>
        <v/>
      </c>
      <c r="I653" t="inlineStr">
        <is>
          <t>1</t>
        </is>
      </c>
      <c r="J653">
        <f>((Inputs!$B$6*(1+Inputs!$B$7/100))+(((Inputs!$B$12*(1+Inputs!$B$13/100))-(Inputs!$B$12*(1+Inputs!$B$13/100)))+0.25*(Inputs!$B$14-Inputs!$B$14))*(1+Inputs!$B$7/100))*(F653/100)</f>
        <v/>
      </c>
      <c r="K653">
        <f>J653*(1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654=TRUE,F654,0)/100)*(1+(IF(Skills!A6="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3">
        <f>L653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IF(B692=0,0,O653/B692)</f>
        <v/>
      </c>
      <c r="Q653">
        <f>IFERROR(1/(IF(Inputs!$B$38="pvp",15,MAX(0.1,1-0.4*MIN(1,(B684-1)/1.5)-IF(FALSE=TRUE,Inputs!$B$32,0)))*(1-IF(AND(ArtifactsInput!$M$27,Inputs!$B$4="Chapter Hunt"),CHOOSE(ArtifactsInput!$N$27+1,20,24,28,32,36,40),0)/100)),0)</f>
        <v/>
      </c>
      <c r="R653">
        <f>IF(AND(Inputs!$B$38&lt;&gt;"pvp",Inputs!$B$43&gt;0),IF(MAX(0,Inputs!$B$43-B689)&lt;=0,0,(INT(MAX(0,Inputs!$B$43-B689)/(IF(Inputs!$B$38="pvp",15,MAX(0.1,1-0.4*MIN(1,(B684-1)/1.5)-IF(FALSE=TRUE,Inputs!$B$32,0)))*(1-IF(AND(ArtifactsInput!$M$27,Inputs!$B$4="Chapter Hunt"),CHOOSE(ArtifactsInput!$N$27+1,20,24,28,32,36,40),0)/100)))+1)),0)</f>
        <v/>
      </c>
      <c r="S653">
        <f>IFERROR(O653/N653,0)</f>
        <v/>
      </c>
      <c r="T653">
        <f>IF(C653,(H653*N653*IF(AND(Inputs!$B$38&lt;&gt;"pvp",Inputs!$B$43&gt;0),((Skills!G6*((R653-1)*IF(Skills!H6&gt;0,INT(Skills!I6/Skills!H6+0.000000001),1)+IF(Skills!H6&gt;0,INT(MIN(Skills!I6,MAX(0,MAX(0,Inputs!$B$43-B689)-((R653-1)*(IF(Inputs!$B$38="pvp",15,MAX(0.1,1-0.4*MIN(1,(B684-1)/1.5)-IF(FALSE=TRUE,Inputs!$B$32,0)))*(1-IF(AND(ArtifactsInput!$M$27,Inputs!$B$4="Chapter Hunt"),CHOOSE(ArtifactsInput!$N$27+1,20,24,28,32,36,40),0)/100)))))/Skills!H6+0.000000001),1)))/Inputs!$B$43),G653*Q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6*((R653-1)*IF(Skills!H6&gt;0,INT(Skills!I6/Skills!H6+0.000000001),1)+IF(Skills!H6&gt;0,INT(MIN(Skills!I6,MAX(0,MAX(0,Inputs!$B$43-B689)-((R653-1)*(IF(Inputs!$B$38="pvp",15,MAX(0.1,1-0.4*MIN(1,(B684-1)/1.5)-IF(FALSE=TRUE,Inputs!$B$32,0)))*(1-IF(AND(ArtifactsInput!$M$27,Inputs!$B$4="Chapter Hunt"),CHOOSE(ArtifactsInput!$N$27+1,20,24,28,32,36,40),0)/100)))))/Skills!H6+0.000000001),1)))/Inputs!$B$43),G653*Q653))*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Skills!A7</f>
        <v/>
      </c>
      <c r="B654">
        <f>Skills!B7</f>
        <v/>
      </c>
      <c r="C654">
        <f>Inputs!$B$3&gt;=107</f>
        <v/>
      </c>
      <c r="D654">
        <f>IF(Skills!C7=1,60+Inputs!$B$25+Inputs!$B$29,IF(Skills!C7=2,90+Inputs!$B$26+Inputs!$B$29,IF(Skills!C7=3,120+Inputs!$B$27+Inputs!$B$29,MAX(0,(Inputs!$B$3-100)*3)+Inputs!$B$28+Inputs!$B$29)))</f>
        <v/>
      </c>
      <c r="E654">
        <f>INDEX(FactorTable!$B$2:$Y$301, MATCH(ROUND(MIN(300,MAX(1,D654)),0), FactorTable!$A$2:$A$301,0), Skills!M7+1)</f>
        <v/>
      </c>
      <c r="F654">
        <f>IF(Skills!N7=TRUE,(Skills!L7/10)*(E654/1000),Skills!L7/10)+Skills!O7</f>
        <v/>
      </c>
      <c r="G654" t="inlineStr"/>
      <c r="H654" t="inlineStr"/>
      <c r="I654" t="inlineStr">
        <is>
          <t>1</t>
        </is>
      </c>
      <c r="J654" t="inlineStr"/>
      <c r="K654" t="inlineStr"/>
      <c r="L654" t="inlineStr"/>
      <c r="M654" t="inlineStr"/>
      <c r="N654" t="inlineStr"/>
      <c r="O654" t="inlineStr"/>
      <c r="P654" t="inlineStr"/>
      <c r="Q654" t="inlineStr"/>
      <c r="R654" t="inlineStr"/>
      <c r="S654" t="inlineStr"/>
      <c r="T654" t="inlineStr"/>
      <c r="V654" t="inlineStr"/>
    </row>
    <row r="655">
      <c r="A655">
        <f>Skills!A8</f>
        <v/>
      </c>
      <c r="B655">
        <f>Skills!B8</f>
        <v/>
      </c>
      <c r="C655">
        <f>Inputs!$B$3&gt;=130</f>
        <v/>
      </c>
      <c r="D655">
        <f>IF(Skills!C8=1,60+Inputs!$B$25+Inputs!$B$29,IF(Skills!C8=2,90+Inputs!$B$26+Inputs!$B$29,IF(Skills!C8=3,120+Inputs!$B$27+Inputs!$B$29,MAX(0,(Inputs!$B$3-100)*3)+Inputs!$B$28+Inputs!$B$29)))</f>
        <v/>
      </c>
      <c r="E655">
        <f>INDEX(FactorTable!$B$2:$Y$301, MATCH(ROUND(MIN(300,MAX(1,D655)),0), FactorTable!$A$2:$A$301,0), Skills!M8+1)</f>
        <v/>
      </c>
      <c r="F655">
        <f>IF(Skills!N8=TRUE,(Skills!L8/10)*(E655/1000),Skills!L8/10)+Skills!O8</f>
        <v/>
      </c>
      <c r="G655">
        <f>Skills!G8*IF(Skills!H8&gt;0,INT(IF(Inputs!$B$38="pvp",MIN(Skills!I8,15),Skills!I8)/Skills!H8+0.000000001),1)</f>
        <v/>
      </c>
      <c r="H655">
        <f>1-(1-Skills!J8/100)^Skills!K8</f>
        <v/>
      </c>
      <c r="I655" t="inlineStr">
        <is>
          <t>1</t>
        </is>
      </c>
      <c r="J655">
        <f>((Inputs!$B$6*(1+Inputs!$B$7/100))+(((Inputs!$B$12*(1+Inputs!$B$13/100))-(Inputs!$B$12*(1+Inputs!$B$13/100)))+0.25*(Inputs!$B$14-Inputs!$B$14))*(1+Inputs!$B$7/100))*(F655/100)</f>
        <v/>
      </c>
      <c r="K655">
        <f>J655*(1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5">
        <f>L655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IF(B692=0,0,O655/B692)</f>
        <v/>
      </c>
      <c r="Q655">
        <f>IFERROR(1/(IF(Inputs!$B$38="pvp",15,MAX(0.1,1-0.4*MIN(1,(B684-1)/1.5)-IF(FALSE=TRUE,Inputs!$B$32,0)))*(1-IF(AND(ArtifactsInput!$M$27,Inputs!$B$4="Chapter Hunt"),CHOOSE(ArtifactsInput!$N$27+1,20,24,28,32,36,40),0)/100)),0)</f>
        <v/>
      </c>
      <c r="R655">
        <f>IF(AND(Inputs!$B$38&lt;&gt;"pvp",Inputs!$B$43&gt;0),IF(MAX(0,Inputs!$B$43-B689)&lt;=0,0,(INT(MAX(0,Inputs!$B$43-B689)/(IF(Inputs!$B$38="pvp",15,MAX(0.1,1-0.4*MIN(1,(B684-1)/1.5)-IF(FALSE=TRUE,Inputs!$B$32,0)))*(1-IF(AND(ArtifactsInput!$M$27,Inputs!$B$4="Chapter Hunt"),CHOOSE(ArtifactsInput!$N$27+1,20,24,28,32,36,40),0)/100)))+1)),0)</f>
        <v/>
      </c>
      <c r="S655">
        <f>IFERROR(O655/N655,0)</f>
        <v/>
      </c>
      <c r="T655">
        <f>IF(C655,(H655*N655*IF(AND(Inputs!$B$38&lt;&gt;"pvp",Inputs!$B$43&gt;0),((Skills!G8*((R655-1)*IF(Skills!H8&gt;0,INT(Skills!I8/Skills!H8+0.000000001),1)+IF(Skills!H8&gt;0,INT(MIN(Skills!I8,MAX(0,MAX(0,Inputs!$B$43-B689)-((R655-1)*(IF(Inputs!$B$38="pvp",15,MAX(0.1,1-0.4*MIN(1,(B684-1)/1.5)-IF(FALSE=TRUE,Inputs!$B$32,0)))*(1-IF(AND(ArtifactsInput!$M$27,Inputs!$B$4="Chapter Hunt"),CHOOSE(ArtifactsInput!$N$27+1,20,24,28,32,36,40),0)/100)))))/Skills!H8+0.000000001),1)))/Inputs!$B$43),G655*Q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8*((R655-1)*IF(Skills!H8&gt;0,INT(Skills!I8/Skills!H8+0.000000001),1)+IF(Skills!H8&gt;0,INT(MIN(Skills!I8,MAX(0,MAX(0,Inputs!$B$43-B689)-((R655-1)*(IF(Inputs!$B$38="pvp",15,MAX(0.1,1-0.4*MIN(1,(B684-1)/1.5)-IF(FALSE=TRUE,Inputs!$B$32,0)))*(1-IF(AND(ArtifactsInput!$M$27,Inputs!$B$4="Chapter Hunt"),CHOOSE(ArtifactsInput!$N$27+1,20,24,28,32,36,40),0)/100)))))/Skills!H8+0.000000001),1)))/Inputs!$B$43),G655*Q655))*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Skills!A9</f>
        <v/>
      </c>
      <c r="B656">
        <f>Skills!B9</f>
        <v/>
      </c>
      <c r="C656">
        <f>Inputs!$B$3&gt;=69</f>
        <v/>
      </c>
      <c r="D656">
        <f>IF(Skills!C9=1,60+Inputs!$B$25+Inputs!$B$29,IF(Skills!C9=2,90+Inputs!$B$26+Inputs!$B$29,IF(Skills!C9=3,120+Inputs!$B$27+Inputs!$B$29,MAX(0,(Inputs!$B$3-100)*3)+Inputs!$B$28+Inputs!$B$29)))</f>
        <v/>
      </c>
      <c r="E656">
        <f>INDEX(FactorTable!$B$2:$Y$301, MATCH(ROUND(MIN(300,MAX(1,D656)),0), FactorTable!$A$2:$A$301,0), Skills!M9+1)</f>
        <v/>
      </c>
      <c r="F656">
        <f>IF(Skills!N9=TRUE,(Skills!L9/10)*(E656/1000),Skills!L9/10)+Skills!O9</f>
        <v/>
      </c>
      <c r="G656">
        <f>Skills!G9*IF(Skills!H9&gt;0,INT(IF(Inputs!$B$38="pvp",MIN(Skills!I9,15),Skills!I9)/Skills!H9+0.000000001),1)</f>
        <v/>
      </c>
      <c r="H656">
        <f>1-(1-Skills!J9/100)^Skills!K9</f>
        <v/>
      </c>
      <c r="I656" t="inlineStr">
        <is>
          <t>1</t>
        </is>
      </c>
      <c r="J656">
        <f>((Inputs!$B$6*(1+Inputs!$B$7/100))+(((Inputs!$B$12*(1+Inputs!$B$13/100))-(Inputs!$B$12*(1+Inputs!$B$13/100)))+0.25*(Inputs!$B$14-Inputs!$B$14))*(1+Inputs!$B$7/100))*(F656/100)</f>
        <v/>
      </c>
      <c r="K656">
        <f>J656*(1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659=TRUE,F659,0)/100)*(1+(IF(Skills!A9="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6">
        <f>L656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IF(B692=0,0,O656/B692)</f>
        <v/>
      </c>
      <c r="Q656">
        <f>IFERROR(1/(IF(Inputs!$B$38="pvp",15,MAX(0.1,Skills!D9-IF(TRUE=TRUE,Inputs!$B$32,0)))*(1-IF(AND(ArtifactsInput!$M$27,Inputs!$B$4="Chapter Hunt"),CHOOSE(ArtifactsInput!$N$27+1,20,24,28,32,36,40),0)/100)),0)</f>
        <v/>
      </c>
      <c r="R656">
        <f>IF(AND(Inputs!$B$38&lt;&gt;"pvp",Inputs!$B$43&gt;0),IF(MAX(0,Inputs!$B$43-B689)&lt;=0,0,(INT(MAX(0,Inputs!$B$43-B689)/(IF(Inputs!$B$38="pvp",15,MAX(0.1,Skills!D9-IF(TRUE=TRUE,Inputs!$B$32,0)))*(1-IF(AND(ArtifactsInput!$M$27,Inputs!$B$4="Chapter Hunt"),CHOOSE(ArtifactsInput!$N$27+1,20,24,28,32,36,40),0)/100)))+1)),0)</f>
        <v/>
      </c>
      <c r="S656">
        <f>IFERROR(O656/N656,0)</f>
        <v/>
      </c>
      <c r="T656">
        <f>IF(C656,(H656*N656*IF(AND(Inputs!$B$38&lt;&gt;"pvp",Inputs!$B$43&gt;0),((Skills!G9*((R656-1)*IF(Skills!H9&gt;0,INT(Skills!I9/Skills!H9+0.000000001),1)+IF(Skills!H9&gt;0,INT(MIN(Skills!I9,MAX(0,MAX(0,Inputs!$B$43-B689)-((R656-1)*(IF(Inputs!$B$38="pvp",15,MAX(0.1,Skills!D9-IF(TRUE=TRUE,Inputs!$B$32,0)))*(1-IF(AND(ArtifactsInput!$M$27,Inputs!$B$4="Chapter Hunt"),CHOOSE(ArtifactsInput!$N$27+1,20,24,28,32,36,40),0)/100)))))/Skills!H9+0.000000001),1)))/Inputs!$B$43),G656*Q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9*((R656-1)*IF(Skills!H9&gt;0,INT(Skills!I9/Skills!H9+0.000000001),1)+IF(Skills!H9&gt;0,INT(MIN(Skills!I9,MAX(0,MAX(0,Inputs!$B$43-B689)-((R656-1)*(IF(Inputs!$B$38="pvp",15,MAX(0.1,Skills!D9-IF(TRUE=TRUE,Inputs!$B$32,0)))*(1-IF(AND(ArtifactsInput!$M$27,Inputs!$B$4="Chapter Hunt"),CHOOSE(ArtifactsInput!$N$27+1,20,24,28,32,36,40),0)/100)))))/Skills!H9+0.000000001),1)))/Inputs!$B$43),G656*Q656))*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Skills!A10</f>
        <v/>
      </c>
      <c r="B657">
        <f>Skills!B10</f>
        <v/>
      </c>
      <c r="C657">
        <f>Inputs!$B$3&gt;=63</f>
        <v/>
      </c>
      <c r="D657">
        <f>IF(Skills!C10=1,60+Inputs!$B$25+Inputs!$B$29,IF(Skills!C10=2,90+Inputs!$B$26+Inputs!$B$29,IF(Skills!C10=3,120+Inputs!$B$27+Inputs!$B$29,MAX(0,(Inputs!$B$3-100)*3)+Inputs!$B$28+Inputs!$B$29)))</f>
        <v/>
      </c>
      <c r="E657">
        <f>INDEX(FactorTable!$B$2:$Y$301, MATCH(ROUND(MIN(300,MAX(1,D657)),0), FactorTable!$A$2:$A$301,0), Skills!M10+1)</f>
        <v/>
      </c>
      <c r="F657">
        <f>IF(Skills!N10=TRUE,(Skills!L10/10)*(E657/1000),Skills!L10/10)+Skills!O10</f>
        <v/>
      </c>
      <c r="G657">
        <f>Skills!G10*IF(Skills!H10&gt;0,INT(IF(Inputs!$B$38="pvp",MIN(Skills!I10,15),Skills!I10)/Skills!H10+0.000000001),1)</f>
        <v/>
      </c>
      <c r="H657">
        <f>1-(1-Skills!J10/100)^Skills!K10</f>
        <v/>
      </c>
      <c r="I657" t="inlineStr">
        <is>
          <t>1</t>
        </is>
      </c>
      <c r="J657">
        <f>((Inputs!$B$6*(1+Inputs!$B$7/100))+(((Inputs!$B$12*(1+Inputs!$B$13/100))-(Inputs!$B$12*(1+Inputs!$B$13/100)))+0.25*(Inputs!$B$14-Inputs!$B$14))*(1+Inputs!$B$7/100))*(F657/100)</f>
        <v/>
      </c>
      <c r="K657">
        <f>J657*(1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659=TRUE,F659,0)/100)*(1+(IF(Skills!A10="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7">
        <f>L657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IF(B692=0,0,O657/B692)</f>
        <v/>
      </c>
      <c r="Q657">
        <f>IFERROR(1/(IF(Inputs!$B$38="pvp",15,MAX(0.1,Skills!D10-IF(TRUE=TRUE,Inputs!$B$32,0)))*(1-IF(AND(ArtifactsInput!$M$27,Inputs!$B$4="Chapter Hunt"),CHOOSE(ArtifactsInput!$N$27+1,20,24,28,32,36,40),0)/100)),0)</f>
        <v/>
      </c>
      <c r="R657">
        <f>IF(AND(Inputs!$B$38&lt;&gt;"pvp",Inputs!$B$43&gt;0),IF(MAX(0,Inputs!$B$43-B689)&lt;=0,0,(INT(MAX(0,Inputs!$B$43-B689)/(IF(Inputs!$B$38="pvp",15,MAX(0.1,Skills!D10-IF(TRUE=TRUE,Inputs!$B$32,0)))*(1-IF(AND(ArtifactsInput!$M$27,Inputs!$B$4="Chapter Hunt"),CHOOSE(ArtifactsInput!$N$27+1,20,24,28,32,36,40),0)/100)))+1)),0)</f>
        <v/>
      </c>
      <c r="S657">
        <f>IFERROR(O657/N657,0)</f>
        <v/>
      </c>
      <c r="T657">
        <f>IF(C657,(H657*N657*IF(AND(Inputs!$B$38&lt;&gt;"pvp",Inputs!$B$43&gt;0),((Skills!G10*((R657-1)*IF(Skills!H10&gt;0,INT(Skills!I10/Skills!H10+0.000000001),1)+IF(Skills!H10&gt;0,INT(MIN(Skills!I10,MAX(0,MAX(0,Inputs!$B$43-B689)-((R657-1)*(IF(Inputs!$B$38="pvp",15,MAX(0.1,Skills!D10-IF(TRUE=TRUE,Inputs!$B$32,0)))*(1-IF(AND(ArtifactsInput!$M$27,Inputs!$B$4="Chapter Hunt"),CHOOSE(ArtifactsInput!$N$27+1,20,24,28,32,36,40),0)/100)))))/Skills!H10+0.000000001),1)))/Inputs!$B$43),G657*Q657)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IF(AND(Inputs!$B$38&lt;&gt;"pvp",Inputs!$B$43&gt;0),((Skills!G10*((R657-1)*IF(Skills!H10&gt;0,INT(Skills!I10/Skills!H10+0.000000001),1)+IF(Skills!H10&gt;0,INT(MIN(Skills!I10,MAX(0,MAX(0,Inputs!$B$43-B689)-((R657-1)*(IF(Inputs!$B$38="pvp",15,MAX(0.1,Skills!D10-IF(TRUE=TRUE,Inputs!$B$32,0)))*(1-IF(AND(ArtifactsInput!$M$27,Inputs!$B$4="Chapter Hunt"),CHOOSE(ArtifactsInput!$N$27+1,20,24,28,32,36,40),0)/100)))))/Skills!H10+0.000000001),1)))/Inputs!$B$43),G657*Q657))*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Skills!A11</f>
        <v/>
      </c>
      <c r="B658">
        <f>Skills!B11</f>
        <v/>
      </c>
      <c r="C658">
        <f>Inputs!$B$3&gt;=103</f>
        <v/>
      </c>
      <c r="D658">
        <f>IF(Skills!C11=1,60+Inputs!$B$25+Inputs!$B$29,IF(Skills!C11=2,90+Inputs!$B$26+Inputs!$B$29,IF(Skills!C11=3,120+Inputs!$B$27+Inputs!$B$29,MAX(0,(Inputs!$B$3-100)*3)+Inputs!$B$28+Inputs!$B$29)))</f>
        <v/>
      </c>
      <c r="E658">
        <f>INDEX(FactorTable!$B$2:$Y$301, MATCH(ROUND(MIN(300,MAX(1,D658)),0), FactorTable!$A$2:$A$301,0), Skills!M11+1)</f>
        <v/>
      </c>
      <c r="F658">
        <f>IF(Skills!N11=TRUE,(Skills!L11/10)*(E658/1000),Skills!L11/10)+Skills!O11</f>
        <v/>
      </c>
      <c r="G658">
        <f>Skills!G11*IF(Skills!H11&gt;0,INT(IF(Inputs!$B$38="pvp",MIN(Skills!I11,15),Skills!I11)/Skills!H11+0.000000001),1)</f>
        <v/>
      </c>
      <c r="H658">
        <f>1-(1-Skills!J11/100)^Skills!K11</f>
        <v/>
      </c>
      <c r="I658" t="inlineStr">
        <is>
          <t>1</t>
        </is>
      </c>
      <c r="J658">
        <f>((Inputs!$B$6*(1+Inputs!$B$7/100))+(((Inputs!$B$12*(1+Inputs!$B$13/100))-(Inputs!$B$12*(1+Inputs!$B$13/100)))+0.25*(Inputs!$B$14-Inputs!$B$14))*(1+Inputs!$B$7/100))*(F658/100)</f>
        <v/>
      </c>
      <c r="K658">
        <f>J658*(1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f>IFERROR(1/(IF(Inputs!$B$38="pvp",15,MAX(0.1,Skills!D11-IF(TRUE=TRUE,Inputs!$B$32,0)))*(1-IF(AND(ArtifactsInput!$M$27,Inputs!$B$4="Chapter Hunt"),CHOOSE(ArtifactsInput!$N$27+1,20,24,28,32,36,40),0)/100)),0)</f>
        <v/>
      </c>
      <c r="R658">
        <f>IF(AND(Inputs!$B$38&lt;&gt;"pvp",Inputs!$B$43&gt;0),IF(MAX(0,Inputs!$B$43-B689)&lt;=0,0,(INT(MAX(0,Inputs!$B$43-B689)/(IF(Inputs!$B$38="pvp",15,MAX(0.1,Skills!D11-IF(TRUE=TRUE,Inputs!$B$32,0)))*(1-IF(AND(ArtifactsInput!$M$27,Inputs!$B$4="Chapter Hunt"),CHOOSE(ArtifactsInput!$N$27+1,20,24,28,32,36,40),0)/100)))+1)),0)</f>
        <v/>
      </c>
      <c r="S658">
        <f>IFERROR(O658/N658,0)</f>
        <v/>
      </c>
      <c r="T658">
        <f>IF(C658,(H658*N658*IF(AND(Inputs!$B$38&lt;&gt;"pvp",Inputs!$B$43&gt;0),((Skills!G11*((R658-1)*IF(Skills!H11&gt;0,INT(Skills!I11/Skills!H11+0.000000001),1)+IF(Skills!H11&gt;0,INT(MIN(Skills!I11,MAX(0,MAX(0,Inputs!$B$43-B689)-((R658-1)*(IF(Inputs!$B$38="pvp",15,MAX(0.1,Skills!D11-IF(TRUE=TRUE,Inputs!$B$32,0)))*(1-IF(AND(ArtifactsInput!$M$27,Inputs!$B$4="Chapter Hunt"),CHOOSE(ArtifactsInput!$N$27+1,20,24,28,32,36,40),0)/100)))))/Skills!H11+0.000000001),1)))/Inputs!$B$43),G658*Q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8">
        <f>IF(C658,(H658*N658*IF(AND(Inputs!$B$38&lt;&gt;"pvp",Inputs!$B$43&gt;0),((Skills!G11*((R658-1)*IF(Skills!H11&gt;0,INT(Skills!I11/Skills!H11+0.000000001),1)+IF(Skills!H11&gt;0,INT(MIN(Skills!I11,MAX(0,MAX(0,Inputs!$B$43-B689)-((R658-1)*(IF(Inputs!$B$38="pvp",15,MAX(0.1,Skills!D11-IF(TRUE=TRUE,Inputs!$B$32,0)))*(1-IF(AND(ArtifactsInput!$M$27,Inputs!$B$4="Chapter Hunt"),CHOOSE(ArtifactsInput!$N$27+1,20,24,28,32,36,40),0)/100)))))/Skills!H11+0.000000001),1)))/Inputs!$B$43),G658*Q658))*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Skills!A12</f>
        <v/>
      </c>
      <c r="B659">
        <f>Skills!B12</f>
        <v/>
      </c>
      <c r="C659">
        <f>Inputs!$B$3&gt;=100</f>
        <v/>
      </c>
      <c r="D659">
        <f>IF(Skills!C12=1,60+Inputs!$B$25+Inputs!$B$29,IF(Skills!C12=2,90+Inputs!$B$26+Inputs!$B$29,IF(Skills!C12=3,120+Inputs!$B$27+Inputs!$B$29,MAX(0,(Inputs!$B$3-100)*3)+Inputs!$B$28+Inputs!$B$29)))</f>
        <v/>
      </c>
      <c r="E659">
        <f>INDEX(FactorTable!$B$2:$Y$301, MATCH(ROUND(MIN(300,MAX(1,D659)),0), FactorTable!$A$2:$A$301,0), Skills!M12+1)</f>
        <v/>
      </c>
      <c r="F659">
        <f>IF(Skills!N12=TRUE,(Skills!L12/10)*(E659/1000),Skills!L12/10)+Skills!O12</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V659" t="inlineStr"/>
    </row>
    <row r="660">
      <c r="A660">
        <f>Skills!A13</f>
        <v/>
      </c>
      <c r="B660">
        <f>Skills!B13</f>
        <v/>
      </c>
      <c r="C660">
        <f>Inputs!$B$3&gt;=60</f>
        <v/>
      </c>
      <c r="D660">
        <f>IF(Skills!C13=1,60+Inputs!$B$25+Inputs!$B$29,IF(Skills!C13=2,90+Inputs!$B$26+Inputs!$B$29,IF(Skills!C13=3,120+Inputs!$B$27+Inputs!$B$29,MAX(0,(Inputs!$B$3-100)*3)+Inputs!$B$28+Inputs!$B$29)))</f>
        <v/>
      </c>
      <c r="E660">
        <f>INDEX(FactorTable!$B$2:$Y$301, MATCH(ROUND(MIN(300,MAX(1,D660)),0), FactorTable!$A$2:$A$301,0), Skills!M13+1)</f>
        <v/>
      </c>
      <c r="F660">
        <f>IF(Skills!N13=TRUE,(Skills!L13/10)*(E660/1000),Skills!L13/10)+Skills!O13</f>
        <v/>
      </c>
      <c r="G660">
        <f>Skills!G13*IF(Skills!H13&gt;0,INT(IF(Inputs!$B$38="pvp",MIN(Skills!I13,15),Skills!I13)/Skills!H13+0.000000001),1)</f>
        <v/>
      </c>
      <c r="H660">
        <f>1-(1-Skills!J13/100)^Skills!K13</f>
        <v/>
      </c>
      <c r="I660" t="inlineStr">
        <is>
          <t>1</t>
        </is>
      </c>
      <c r="J660">
        <f>((Inputs!$B$6*(1+Inputs!$B$7/100))+(((Inputs!$B$12*(1+Inputs!$B$13/100))-(Inputs!$B$12*(1+Inputs!$B$13/100)))+0.25*(Inputs!$B$14-Inputs!$B$14))*(1+Inputs!$B$7/100))*(F660/100)</f>
        <v/>
      </c>
      <c r="K660">
        <f>J660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661=TRUE,F661,0)/100)*(1+(IF(Skills!A13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f>IFERROR(1/(IF(Inputs!$B$38="pvp",15,MAX(0.1,IF(Inputs!$B$3&gt;=122,3,5)+1/(((20+30*(B684-1)*100/150)/100)*B684)-IF(FALSE=TRUE,Inputs!$B$32,0)))*(1-IF(AND(ArtifactsInput!$M$27,Inputs!$B$4="Chapter Hunt"),CHOOSE(ArtifactsInput!$N$27+1,20,24,28,32,36,40),0)/100)),0)</f>
        <v/>
      </c>
      <c r="R660">
        <f>IF(AND(Inputs!$B$38&lt;&gt;"pvp",Inputs!$B$43&gt;0),IF(MAX(0,Inputs!$B$43-B689)&lt;=0,0,(INT(MAX(0,Inputs!$B$43-B689)/(IF(Inputs!$B$38="pvp",15,MAX(0.1,IF(Inputs!$B$3&gt;=122,3,5)+1/(((20+30*(B684-1)*100/150)/100)*B684)-IF(FALSE=TRUE,Inputs!$B$32,0)))*(1-IF(AND(ArtifactsInput!$M$27,Inputs!$B$4="Chapter Hunt"),CHOOSE(ArtifactsInput!$N$27+1,20,24,28,32,36,40),0)/100)))+1)),0)</f>
        <v/>
      </c>
      <c r="S660">
        <f>IFERROR(O660/N660,0)</f>
        <v/>
      </c>
      <c r="T660">
        <f>IF(C660,(H660*N660*IF(AND(Inputs!$B$38&lt;&gt;"pvp",Inputs!$B$43&gt;0),((Skills!G13*((R660-1)*IF(Skills!H13&gt;0,INT(Skills!I13/Skills!H13+0.000000001),1)+IF(Skills!H13&gt;0,INT(MIN(Skills!I13,MAX(0,MAX(0,Inputs!$B$43-B689)-((R660-1)*(IF(Inputs!$B$38="pvp",15,MAX(0.1,IF(Inputs!$B$3&gt;=122,3,5)+1/(((20+30*(B684-1)*100/150)/100)*B684)-IF(FALSE=TRUE,Inputs!$B$32,0)))*(1-IF(AND(ArtifactsInput!$M$27,Inputs!$B$4="Chapter Hunt"),CHOOSE(ArtifactsInput!$N$27+1,20,24,28,32,36,40),0)/100)))))/Skills!H13+0.000000001),1)))/Inputs!$B$43),G660*Q660)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0">
        <f>IF(C660,(H660*N660*IF(AND(Inputs!$B$38&lt;&gt;"pvp",Inputs!$B$43&gt;0),((Skills!G13*((R660-1)*IF(Skills!H13&gt;0,INT(Skills!I13/Skills!H13+0.000000001),1)+IF(Skills!H13&gt;0,INT(MIN(Skills!I13,MAX(0,MAX(0,Inputs!$B$43-B689)-((R660-1)*(IF(Inputs!$B$38="pvp",15,MAX(0.1,IF(Inputs!$B$3&gt;=122,3,5)+1/(((20+30*(B684-1)*100/150)/100)*B684)-IF(FALSE=TRUE,Inputs!$B$32,0)))*(1-IF(AND(ArtifactsInput!$M$27,Inputs!$B$4="Chapter Hunt"),CHOOSE(ArtifactsInput!$N$27+1,20,24,28,32,36,40),0)/100)))))/Skills!H13+0.000000001),1)))/Inputs!$B$43),G660*Q660))*IF(Inputs!$B$38="pvp",1,(1+(Inputs!$B$21+Skills!Q13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Skills!A14</f>
        <v/>
      </c>
      <c r="B661">
        <f>Skills!B14</f>
        <v/>
      </c>
      <c r="C661">
        <f>Inputs!$B$3&gt;=110</f>
        <v/>
      </c>
      <c r="D661">
        <f>IF(Skills!C14=1,60+Inputs!$B$25+Inputs!$B$29,IF(Skills!C14=2,90+Inputs!$B$26+Inputs!$B$29,IF(Skills!C14=3,120+Inputs!$B$27+Inputs!$B$29,MAX(0,(Inputs!$B$3-100)*3)+Inputs!$B$28+Inputs!$B$29)))</f>
        <v/>
      </c>
      <c r="E661">
        <f>INDEX(FactorTable!$B$2:$Y$301, MATCH(ROUND(MIN(300,MAX(1,D661)),0), FactorTable!$A$2:$A$301,0), Skills!M14+1)</f>
        <v/>
      </c>
      <c r="F661">
        <f>IF(Skills!N14=TRUE,(Skills!L14/10)*(E661/1000),Skills!L14/10)+Skills!O14</f>
        <v/>
      </c>
      <c r="G661" t="inlineStr"/>
      <c r="H661" t="inlineStr"/>
      <c r="I661" t="inlineStr">
        <is>
          <t>1</t>
        </is>
      </c>
      <c r="J661" t="inlineStr"/>
      <c r="K661" t="inlineStr"/>
      <c r="L661" t="inlineStr"/>
      <c r="M661" t="inlineStr"/>
      <c r="N661" t="inlineStr"/>
      <c r="O661" t="inlineStr"/>
      <c r="P661" t="inlineStr"/>
      <c r="Q661" t="inlineStr"/>
      <c r="R661" t="inlineStr"/>
      <c r="S661" t="inlineStr"/>
      <c r="T661" t="inlineStr"/>
      <c r="V661" t="inlineStr"/>
    </row>
    <row r="662">
      <c r="A662">
        <f>Skills!A15</f>
        <v/>
      </c>
      <c r="B662">
        <f>Skills!B15</f>
        <v/>
      </c>
      <c r="C662">
        <f>Inputs!$B$3&gt;=74</f>
        <v/>
      </c>
      <c r="D662">
        <f>IF(Skills!C15=1,60+Inputs!$B$25+Inputs!$B$29,IF(Skills!C15=2,90+Inputs!$B$26+Inputs!$B$29,IF(Skills!C15=3,120+Inputs!$B$27+Inputs!$B$29,MAX(0,(Inputs!$B$3-100)*3)+Inputs!$B$28+Inputs!$B$29)))</f>
        <v/>
      </c>
      <c r="E662">
        <f>INDEX(FactorTable!$B$2:$Y$301, MATCH(ROUND(MIN(300,MAX(1,D662)),0), FactorTable!$A$2:$A$301,0), Skills!M15+1)</f>
        <v/>
      </c>
      <c r="F662">
        <f>IF(Skills!N15=TRUE,(Skills!L15/10)*(E662/1000),Skills!L15/10)+Skills!O15</f>
        <v/>
      </c>
      <c r="G662">
        <f>Skills!G15*IF(Skills!H15&gt;0,INT(IF(Inputs!$B$38="pvp",MIN(Skills!I15,15),Skills!I15)/Skills!H15+0.000000001),1)</f>
        <v/>
      </c>
      <c r="H662">
        <f>1-(1-Skills!J15/100)^Skills!K15</f>
        <v/>
      </c>
      <c r="I662" t="inlineStr">
        <is>
          <t>1</t>
        </is>
      </c>
      <c r="J662" t="inlineStr"/>
      <c r="K662" t="inlineStr"/>
      <c r="L662" t="inlineStr"/>
      <c r="M662" t="inlineStr"/>
      <c r="N662" t="inlineStr"/>
      <c r="O662">
        <f>(1-Summary!$B$11)*T662+Summary!$B$11*V662</f>
        <v/>
      </c>
      <c r="P662">
        <f>IF(B692=0,0,O662/B692)</f>
        <v/>
      </c>
      <c r="Q662" t="n">
        <v>0</v>
      </c>
      <c r="R662" t="n">
        <v>0</v>
      </c>
      <c r="S662">
        <f>IFERROR(O662/N662,0)</f>
        <v/>
      </c>
      <c r="T662" t="n">
        <v>0</v>
      </c>
      <c r="V662" t="n">
        <v>0</v>
      </c>
    </row>
    <row r="663">
      <c r="A663">
        <f>Skills!A16</f>
        <v/>
      </c>
      <c r="B663">
        <f>Skills!B16</f>
        <v/>
      </c>
      <c r="C663">
        <f>Inputs!$B$3&gt;=74</f>
        <v/>
      </c>
      <c r="D663">
        <f>IF(Skills!C16=1,60+Inputs!$B$25+Inputs!$B$29,IF(Skills!C16=2,90+Inputs!$B$26+Inputs!$B$29,IF(Skills!C16=3,120+Inputs!$B$27+Inputs!$B$29,MAX(0,(Inputs!$B$3-100)*3)+Inputs!$B$28+Inputs!$B$29)))</f>
        <v/>
      </c>
      <c r="E663">
        <f>INDEX(FactorTable!$B$2:$Y$301, MATCH(ROUND(MIN(300,MAX(1,D663)),0), FactorTable!$A$2:$A$301,0), Skills!M16+1)</f>
        <v/>
      </c>
      <c r="F663">
        <f>IF(Skills!N16=TRUE,(Skills!L16/10)*(E663/1000),Skills!L16/10)+Skills!O16</f>
        <v/>
      </c>
      <c r="G663">
        <f>Skills!G16*IF(Skills!H16&gt;0,INT(IF(Inputs!$B$38="pvp",MIN(Skills!I16,15),Skills!I16)/Skills!H16+0.000000001),1)</f>
        <v/>
      </c>
      <c r="H663">
        <f>1-(1-Skills!J16/100)^Skills!K16</f>
        <v/>
      </c>
      <c r="I663" t="inlineStr">
        <is>
          <t>1</t>
        </is>
      </c>
      <c r="J663" t="inlineStr"/>
      <c r="K663" t="inlineStr"/>
      <c r="L663" t="inlineStr"/>
      <c r="M663" t="inlineStr"/>
      <c r="N663" t="inlineStr"/>
      <c r="O663">
        <f>(1-Summary!$B$11)*T663+Summary!$B$11*V663</f>
        <v/>
      </c>
      <c r="P663">
        <f>IF(B692=0,0,O663/B692)</f>
        <v/>
      </c>
      <c r="Q663" t="n">
        <v>0</v>
      </c>
      <c r="R663" t="n">
        <v>0</v>
      </c>
      <c r="S663">
        <f>IFERROR(O663/N663,0)</f>
        <v/>
      </c>
      <c r="T663" t="n">
        <v>0</v>
      </c>
      <c r="V663" t="n">
        <v>0</v>
      </c>
    </row>
    <row r="664">
      <c r="A664">
        <f>Skills!A17</f>
        <v/>
      </c>
      <c r="B664">
        <f>Skills!B17</f>
        <v/>
      </c>
      <c r="C664">
        <f>Inputs!$B$3&gt;=117</f>
        <v/>
      </c>
      <c r="D664">
        <f>IF(Skills!C17=1,60+Inputs!$B$25+Inputs!$B$29,IF(Skills!C17=2,90+Inputs!$B$26+Inputs!$B$29,IF(Skills!C17=3,120+Inputs!$B$27+Inputs!$B$29,MAX(0,(Inputs!$B$3-100)*3)+Inputs!$B$28+Inputs!$B$29)))</f>
        <v/>
      </c>
      <c r="E664">
        <f>INDEX(FactorTable!$B$2:$Y$301, MATCH(ROUND(MIN(300,MAX(1,D664)),0), FactorTable!$A$2:$A$301,0), Skills!M17+1)</f>
        <v/>
      </c>
      <c r="F664">
        <f>IF(Skills!N17=TRUE,(Skills!L17/10)*(E664/1000),Skills!L17/10)+Skills!O17</f>
        <v/>
      </c>
      <c r="G664">
        <f>Skills!G17*IF(Skills!H17&gt;0,INT(IF(Inputs!$B$38="pvp",MIN(Skills!I17,15),Skills!I17)/Skills!H17+0.000000001),1)</f>
        <v/>
      </c>
      <c r="H664">
        <f>1-(1-Skills!J17/100)^Skills!K17</f>
        <v/>
      </c>
      <c r="I664" t="inlineStr">
        <is>
          <t>1</t>
        </is>
      </c>
      <c r="J664" t="inlineStr"/>
      <c r="K664" t="inlineStr"/>
      <c r="L664" t="inlineStr"/>
      <c r="M664" t="inlineStr"/>
      <c r="N664" t="inlineStr"/>
      <c r="O664">
        <f>(1-Summary!$B$11)*T664+Summary!$B$11*V664</f>
        <v/>
      </c>
      <c r="P664">
        <f>IF(B692=0,0,O664/B692)</f>
        <v/>
      </c>
      <c r="Q664">
        <f>IFERROR(1/(IF(Inputs!$B$38="pvp",15,MAX(0.1,Skills!D17-IF(TRUE=TRUE,Inputs!$B$32,0)))*(1-IF(AND(ArtifactsInput!$M$27,Inputs!$B$4="Chapter Hunt"),CHOOSE(ArtifactsInput!$N$27+1,20,24,28,32,36,40),0)/100)),0)</f>
        <v/>
      </c>
      <c r="R664">
        <f>IF(AND(Inputs!$B$38&lt;&gt;"pvp",Inputs!$B$43&gt;0),IF(Inputs!$B$43&lt;=0,0,(INT(Inputs!$B$43/(IF(Inputs!$B$38="pvp",15,MAX(0.1,Skills!D17-IF(TRUE=TRUE,Inputs!$B$32,0)))*(1-IF(AND(ArtifactsInput!$M$27,Inputs!$B$4="Chapter Hunt"),CHOOSE(ArtifactsInput!$N$27+1,20,24,28,32,36,40),0)/100)))+1)),0)</f>
        <v/>
      </c>
      <c r="S664">
        <f>IFERROR(O664/N664,0)</f>
        <v/>
      </c>
      <c r="T664" t="n">
        <v>0</v>
      </c>
      <c r="V664" t="n">
        <v>0</v>
      </c>
    </row>
    <row r="665">
      <c r="A665">
        <f>Skills!A18</f>
        <v/>
      </c>
      <c r="B665">
        <f>Skills!B18</f>
        <v/>
      </c>
      <c r="C665">
        <f>Inputs!$B$3&gt;=115</f>
        <v/>
      </c>
      <c r="D665">
        <f>IF(Skills!C18=1,60+Inputs!$B$25+Inputs!$B$29,IF(Skills!C18=2,90+Inputs!$B$26+Inputs!$B$29,IF(Skills!C18=3,120+Inputs!$B$27+Inputs!$B$29,MAX(0,(Inputs!$B$3-100)*3)+Inputs!$B$28+Inputs!$B$29)))</f>
        <v/>
      </c>
      <c r="E665">
        <f>INDEX(FactorTable!$B$2:$Y$301, MATCH(ROUND(MIN(300,MAX(1,D665)),0), FactorTable!$A$2:$A$301,0), Skills!M18+1)</f>
        <v/>
      </c>
      <c r="F665">
        <f>IF(Skills!N18=TRUE,(Skills!L18/10)*(E665/1000),Skills!L18/10)+Skills!O18</f>
        <v/>
      </c>
      <c r="G665">
        <f>Skills!G18*IF(Skills!H18&gt;0,INT(IF(Inputs!$B$38="pvp",MIN(Skills!I18,15),Skills!I18)/Skills!H18+0.000000001),1)</f>
        <v/>
      </c>
      <c r="H665">
        <f>1-(1-Skills!J18/100)^Skills!K18</f>
        <v/>
      </c>
      <c r="I665" t="inlineStr">
        <is>
          <t>1</t>
        </is>
      </c>
      <c r="J665" t="inlineStr"/>
      <c r="K665" t="inlineStr"/>
      <c r="L665" t="inlineStr"/>
      <c r="M665" t="inlineStr"/>
      <c r="N665" t="inlineStr"/>
      <c r="O665">
        <f>(1-Summary!$B$11)*T665+Summary!$B$11*V665</f>
        <v/>
      </c>
      <c r="P665">
        <f>IF(B692=0,0,O665/B692)</f>
        <v/>
      </c>
      <c r="Q665">
        <f>IFERROR(1/(IF(Inputs!$B$38="pvp",15,MAX(0.1,Skills!D18-IF(TRUE=TRUE,Inputs!$B$32,0)))*(1-IF(AND(ArtifactsInput!$M$27,Inputs!$B$4="Chapter Hunt"),CHOOSE(ArtifactsInput!$N$27+1,20,24,28,32,36,40),0)/100)),0)</f>
        <v/>
      </c>
      <c r="R665">
        <f>IF(AND(Inputs!$B$38&lt;&gt;"pvp",Inputs!$B$43&gt;0),IF(Inputs!$B$43&lt;=0,0,(INT(Inputs!$B$43/(IF(Inputs!$B$38="pvp",15,MAX(0.1,Skills!D18-IF(TRUE=TRUE,Inputs!$B$32,0)))*(1-IF(AND(ArtifactsInput!$M$27,Inputs!$B$4="Chapter Hunt"),CHOOSE(ArtifactsInput!$N$27+1,20,24,28,32,36,40),0)/100)))+1)),0)</f>
        <v/>
      </c>
      <c r="S665">
        <f>IFERROR(O665/N665,0)</f>
        <v/>
      </c>
      <c r="T665" t="n">
        <v>0</v>
      </c>
      <c r="V665" t="n">
        <v>0</v>
      </c>
    </row>
    <row r="666">
      <c r="A666">
        <f>Skills!A19</f>
        <v/>
      </c>
      <c r="B666">
        <f>Skills!B19</f>
        <v/>
      </c>
      <c r="C666">
        <f>Inputs!$B$3&gt;=66</f>
        <v/>
      </c>
      <c r="D666">
        <f>IF(Skills!C19=1,60+Inputs!$B$25+Inputs!$B$29,IF(Skills!C19=2,90+Inputs!$B$26+Inputs!$B$29,IF(Skills!C19=3,120+Inputs!$B$27+Inputs!$B$29,MAX(0,(Inputs!$B$3-100)*3)+Inputs!$B$28+Inputs!$B$29)))</f>
        <v/>
      </c>
      <c r="E666">
        <f>INDEX(FactorTable!$B$2:$Y$301, MATCH(ROUND(MIN(300,MAX(1,D666)),0), FactorTable!$A$2:$A$301,0), Skills!M19+1)</f>
        <v/>
      </c>
      <c r="F666">
        <f>IF(Skills!N19=TRUE,(Skills!L19/10)*(E666/1000),Skills!L19/10)+Skills!O19</f>
        <v/>
      </c>
      <c r="G666">
        <f>Skills!G19*IF(Skills!H19&gt;0,INT(IF(Inputs!$B$38="pvp",MIN(Skills!I19,15),Skills!I19)/Skills!H19+0.000000001),1)</f>
        <v/>
      </c>
      <c r="H666">
        <f>1-(1-Skills!J19/100)^Skills!K19</f>
        <v/>
      </c>
      <c r="I666" t="inlineStr">
        <is>
          <t>1</t>
        </is>
      </c>
      <c r="J666" t="inlineStr"/>
      <c r="K666" t="inlineStr"/>
      <c r="L666" t="inlineStr"/>
      <c r="M666" t="inlineStr"/>
      <c r="N666" t="inlineStr"/>
      <c r="O666">
        <f>(1-Summary!$B$11)*T666+Summary!$B$11*V666</f>
        <v/>
      </c>
      <c r="P666">
        <f>IF(B692=0,0,O666/B692)</f>
        <v/>
      </c>
      <c r="Q666" t="n">
        <v>0</v>
      </c>
      <c r="R666" t="n">
        <v>0</v>
      </c>
      <c r="S666">
        <f>IFERROR(O666/N666,0)</f>
        <v/>
      </c>
      <c r="T666" t="n">
        <v>0</v>
      </c>
      <c r="V666" t="n">
        <v>0</v>
      </c>
    </row>
    <row r="667">
      <c r="A667">
        <f>Skills!A20</f>
        <v/>
      </c>
      <c r="B667">
        <f>Skills!B20</f>
        <v/>
      </c>
      <c r="C667">
        <f>Inputs!$B$3&gt;=72</f>
        <v/>
      </c>
      <c r="D667">
        <f>IF(Skills!C20=1,60+Inputs!$B$25+Inputs!$B$29,IF(Skills!C20=2,90+Inputs!$B$26+Inputs!$B$29,IF(Skills!C20=3,120+Inputs!$B$27+Inputs!$B$29,MAX(0,(Inputs!$B$3-100)*3)+Inputs!$B$28+Inputs!$B$29)))</f>
        <v/>
      </c>
      <c r="E667">
        <f>INDEX(FactorTable!$B$2:$Y$301, MATCH(ROUND(MIN(300,MAX(1,D667)),0), FactorTable!$A$2:$A$301,0), Skills!M20+1)</f>
        <v/>
      </c>
      <c r="F667">
        <f>IF(Skills!N20=TRUE,(Skills!L20/10)*(E667/1000),Skills!L20/10)+Skills!O20</f>
        <v/>
      </c>
      <c r="G667">
        <f>Skills!G20*IF(Skills!H20&gt;0,INT(IF(Inputs!$B$38="pvp",MIN(Skills!I20,15),Skills!I20)/Skills!H20+0.000000001),1)</f>
        <v/>
      </c>
      <c r="H667">
        <f>1-(1-Skills!J20/100)^Skills!K20</f>
        <v/>
      </c>
      <c r="I667" t="inlineStr">
        <is>
          <t>1</t>
        </is>
      </c>
      <c r="J667" t="inlineStr"/>
      <c r="K667" t="inlineStr"/>
      <c r="L667" t="inlineStr"/>
      <c r="M667" t="inlineStr"/>
      <c r="N667" t="inlineStr"/>
      <c r="O667">
        <f>(1-Summary!$B$11)*T667+Summary!$B$11*V667</f>
        <v/>
      </c>
      <c r="P667">
        <f>IF(B692=0,0,O667/B692)</f>
        <v/>
      </c>
      <c r="Q667" t="n">
        <v>0</v>
      </c>
      <c r="R667" t="n">
        <v>0</v>
      </c>
      <c r="S667">
        <f>IFERROR(O667/N667,0)</f>
        <v/>
      </c>
      <c r="T667" t="n">
        <v>0</v>
      </c>
      <c r="V667" t="n">
        <v>0</v>
      </c>
    </row>
    <row r="668">
      <c r="A668">
        <f>Skills!A21</f>
        <v/>
      </c>
      <c r="B668">
        <f>Skills!B21</f>
        <v/>
      </c>
      <c r="C668">
        <f>TRUE</f>
        <v/>
      </c>
      <c r="D668">
        <f>IF(Skills!C21=1,60+Inputs!$B$25+Inputs!$B$29,IF(Skills!C21=2,90+Inputs!$B$26+Inputs!$B$29,IF(Skills!C21=3,120+Inputs!$B$27+Inputs!$B$29,MAX(0,(Inputs!$B$3-100)*3)+Inputs!$B$28+Inputs!$B$29)))</f>
        <v/>
      </c>
      <c r="E668">
        <f>INDEX(FactorTable!$B$2:$Y$301, MATCH(ROUND(MIN(300,MAX(1,D668)),0), FactorTable!$A$2:$A$301,0), Skills!M21+1)</f>
        <v/>
      </c>
      <c r="F668">
        <f>IF(Skills!N21=TRUE,(Skills!L21/10)*(E668/1000),Skills!L21/10)+Skills!O21</f>
        <v/>
      </c>
      <c r="G668">
        <f>Skills!G21*IF(Skills!H21&gt;0,INT(IF(Inputs!$B$38="pvp",MIN(Skills!I21,15),Skills!I21)/Skills!H21+0.000000001),1)</f>
        <v/>
      </c>
      <c r="H668">
        <f>1-(1-Skills!J21/100)^Skills!K21</f>
        <v/>
      </c>
      <c r="I668" t="inlineStr">
        <is>
          <t>1</t>
        </is>
      </c>
      <c r="J668" t="inlineStr"/>
      <c r="K668" t="inlineStr"/>
      <c r="L668" t="inlineStr"/>
      <c r="M668" t="inlineStr"/>
      <c r="N668" t="inlineStr"/>
      <c r="O668">
        <f>(1-Summary!$B$11)*T668+Summary!$B$11*V668</f>
        <v/>
      </c>
      <c r="P668">
        <f>IF(B692=0,0,O668/B692)</f>
        <v/>
      </c>
      <c r="Q668">
        <f>IFERROR(1/(IF(Inputs!$B$38="pvp",15,MAX(0.1,Skills!D21-IF(TRUE=TRUE,Inputs!$B$32,0)))*(1-IF(AND(ArtifactsInput!$M$27,Inputs!$B$4="Chapter Hunt"),CHOOSE(ArtifactsInput!$N$27+1,20,24,28,32,36,40),0)/100)),0)</f>
        <v/>
      </c>
      <c r="R668">
        <f>IF(AND(Inputs!$B$38&lt;&gt;"pvp",Inputs!$B$43&gt;0),IF(Inputs!$B$43&lt;=0,0,(INT(Inputs!$B$43/(IF(Inputs!$B$38="pvp",15,MAX(0.1,Skills!D21-IF(TRUE=TRUE,Inputs!$B$32,0)))*(1-IF(AND(ArtifactsInput!$M$27,Inputs!$B$4="Chapter Hunt"),CHOOSE(ArtifactsInput!$N$27+1,20,24,28,32,36,40),0)/100)))+1)),0)</f>
        <v/>
      </c>
      <c r="S668">
        <f>IFERROR(O668/N668,0)</f>
        <v/>
      </c>
      <c r="T668" t="n">
        <v>0</v>
      </c>
      <c r="V668" t="n">
        <v>0</v>
      </c>
    </row>
    <row r="669">
      <c r="A669">
        <f>Skills!A22</f>
        <v/>
      </c>
      <c r="B669">
        <f>Skills!B22</f>
        <v/>
      </c>
      <c r="C669">
        <f>Inputs!$B$3&gt;=15</f>
        <v/>
      </c>
      <c r="D669">
        <f>IF(Skills!C22=1,60+Inputs!$B$25+Inputs!$B$29,IF(Skills!C22=2,90+Inputs!$B$26+Inputs!$B$29,IF(Skills!C22=3,120+Inputs!$B$27+Inputs!$B$29,MAX(0,(Inputs!$B$3-100)*3)+Inputs!$B$28+Inputs!$B$29)))</f>
        <v/>
      </c>
      <c r="E669">
        <f>INDEX(FactorTable!$B$2:$Y$301, MATCH(ROUND(MIN(300,MAX(1,D669)),0), FactorTable!$A$2:$A$301,0), Skills!M22+1)</f>
        <v/>
      </c>
      <c r="F669">
        <f>IF(Skills!N22=TRUE,(Skills!L22/10)*(E669/1000),Skills!L22/10)+Skills!O22</f>
        <v/>
      </c>
      <c r="G669">
        <f>Skills!G22*IF(Skills!H22&gt;0,INT(IF(Inputs!$B$38="pvp",MIN(Skills!I22,15),Skills!I22)/Skills!H22+0.000000001),1)</f>
        <v/>
      </c>
      <c r="H669">
        <f>1-(1-Skills!J22/100)^Skills!K22</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Skills!A23</f>
        <v/>
      </c>
      <c r="B670">
        <f>Skills!B23</f>
        <v/>
      </c>
      <c r="C670">
        <f>Inputs!$B$3&gt;=10</f>
        <v/>
      </c>
      <c r="D670">
        <f>IF(Skills!C23=1,60+Inputs!$B$25+Inputs!$B$29,IF(Skills!C23=2,90+Inputs!$B$26+Inputs!$B$29,IF(Skills!C23=3,120+Inputs!$B$27+Inputs!$B$29,MAX(0,(Inputs!$B$3-100)*3)+Inputs!$B$28+Inputs!$B$29)))</f>
        <v/>
      </c>
      <c r="E670">
        <f>INDEX(FactorTable!$B$2:$Y$301, MATCH(ROUND(MIN(300,MAX(1,D670)),0), FactorTable!$A$2:$A$301,0), Skills!M23+1)</f>
        <v/>
      </c>
      <c r="F670">
        <f>IF(Skills!N23=TRUE,(Skills!L23/10)*(E670/1000),Skills!L23/10)+Skills!O23</f>
        <v/>
      </c>
      <c r="G670">
        <f>Skills!G23*IF(Skills!H23&gt;0,INT(IF(Inputs!$B$38="pvp",MIN(Skills!I23,15),Skills!I23)/Skills!H23+0.000000001),1)</f>
        <v/>
      </c>
      <c r="H670">
        <f>1-(1-Skills!J23/100)^Skills!K23</f>
        <v/>
      </c>
      <c r="I670" t="inlineStr">
        <is>
          <t>1</t>
        </is>
      </c>
      <c r="J670" t="inlineStr"/>
      <c r="K670" t="inlineStr"/>
      <c r="L670" t="inlineStr"/>
      <c r="M670" t="inlineStr"/>
      <c r="N670" t="inlineStr"/>
      <c r="O670">
        <f>(1-Summary!$B$11)*T670+Summary!$B$11*V670</f>
        <v/>
      </c>
      <c r="P670">
        <f>IF(B692=0,0,O670/B692)</f>
        <v/>
      </c>
      <c r="Q670" t="n">
        <v>0</v>
      </c>
      <c r="R670" t="n">
        <v>0</v>
      </c>
      <c r="S670">
        <f>IFERROR(O670/N670,0)</f>
        <v/>
      </c>
      <c r="T670" t="n">
        <v>0</v>
      </c>
      <c r="V670" t="n">
        <v>0</v>
      </c>
    </row>
    <row r="671">
      <c r="A671">
        <f>Skills!A24</f>
        <v/>
      </c>
      <c r="B671">
        <f>Skills!B24</f>
        <v/>
      </c>
      <c r="C671">
        <f>Inputs!$B$3&gt;=33</f>
        <v/>
      </c>
      <c r="D671">
        <f>IF(Skills!C24=1,60+Inputs!$B$25+Inputs!$B$29,IF(Skills!C24=2,90+Inputs!$B$26+Inputs!$B$29,IF(Skills!C24=3,120+Inputs!$B$27+Inputs!$B$29,MAX(0,(Inputs!$B$3-100)*3)+Inputs!$B$28+Inputs!$B$29)))</f>
        <v/>
      </c>
      <c r="E671">
        <f>INDEX(FactorTable!$B$2:$Y$301, MATCH(ROUND(MIN(300,MAX(1,D671)),0), FactorTable!$A$2:$A$301,0), Skills!M24+1)</f>
        <v/>
      </c>
      <c r="F671">
        <f>IF(Skills!N24=TRUE,(Skills!L24/10)*(E671/1000),Skills!L24/10)+Skills!O24</f>
        <v/>
      </c>
      <c r="G671">
        <f>Skills!G24*IF(Skills!H24&gt;0,INT(IF(Inputs!$B$38="pvp",MIN(Skills!I24,15),Skills!I24)/Skills!H24+0.000000001),1)</f>
        <v/>
      </c>
      <c r="H671">
        <f>1-(1-Skills!J24/100)^Skills!K24</f>
        <v/>
      </c>
      <c r="I671" t="inlineStr">
        <is>
          <t>1</t>
        </is>
      </c>
      <c r="J671" t="inlineStr"/>
      <c r="K671" t="inlineStr"/>
      <c r="L671" t="inlineStr"/>
      <c r="M671" t="inlineStr"/>
      <c r="N671" t="inlineStr"/>
      <c r="O671">
        <f>(1-Summary!$B$11)*T671+Summary!$B$11*V671</f>
        <v/>
      </c>
      <c r="P671">
        <f>IF(B692=0,0,O671/B692)</f>
        <v/>
      </c>
      <c r="Q671" t="n">
        <v>0</v>
      </c>
      <c r="R671" t="n">
        <v>0</v>
      </c>
      <c r="S671">
        <f>IFERROR(O671/N671,0)</f>
        <v/>
      </c>
      <c r="T671" t="n">
        <v>0</v>
      </c>
      <c r="V671" t="n">
        <v>0</v>
      </c>
    </row>
    <row r="672">
      <c r="A672">
        <f>Skills!A25</f>
        <v/>
      </c>
      <c r="B672">
        <f>Skills!B25</f>
        <v/>
      </c>
      <c r="C672">
        <f>Inputs!$B$3&gt;=38</f>
        <v/>
      </c>
      <c r="D672">
        <f>IF(Skills!C25=1,60+Inputs!$B$25+Inputs!$B$29,IF(Skills!C25=2,90+Inputs!$B$26+Inputs!$B$29,IF(Skills!C25=3,120+Inputs!$B$27+Inputs!$B$29,MAX(0,(Inputs!$B$3-100)*3)+Inputs!$B$28+Inputs!$B$29)))</f>
        <v/>
      </c>
      <c r="E672">
        <f>INDEX(FactorTable!$B$2:$Y$301, MATCH(ROUND(MIN(300,MAX(1,D672)),0), FactorTable!$A$2:$A$301,0), Skills!M25+1)</f>
        <v/>
      </c>
      <c r="F672">
        <f>IF(Skills!N25=TRUE,(Skills!L25/10)*(E672/1000),Skills!L25/10)+Skills!O25</f>
        <v/>
      </c>
      <c r="G672">
        <f>Skills!G25*IF(Skills!H25&gt;0,INT(IF(Inputs!$B$38="pvp",MIN(Skills!I25,15),Skills!I25)/Skills!H25+0.000000001),1)</f>
        <v/>
      </c>
      <c r="H672">
        <f>1-(1-Skills!J25/100)^Skills!K25</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Skills!A26</f>
        <v/>
      </c>
      <c r="B673">
        <f>Skills!B26</f>
        <v/>
      </c>
      <c r="C673">
        <f>Inputs!$B$3&gt;=43</f>
        <v/>
      </c>
      <c r="D673">
        <f>IF(Skills!C26=1,60+Inputs!$B$25+Inputs!$B$29,IF(Skills!C26=2,90+Inputs!$B$26+Inputs!$B$29,IF(Skills!C26=3,120+Inputs!$B$27+Inputs!$B$29,MAX(0,(Inputs!$B$3-100)*3)+Inputs!$B$28+Inputs!$B$29)))</f>
        <v/>
      </c>
      <c r="E673">
        <f>INDEX(FactorTable!$B$2:$Y$301, MATCH(ROUND(MIN(300,MAX(1,D673)),0), FactorTable!$A$2:$A$301,0), Skills!M26+1)</f>
        <v/>
      </c>
      <c r="F673">
        <f>IF(Skills!N26=TRUE,(Skills!L26/10)*(E673/1000),Skills!L26/10)+Skills!O26</f>
        <v/>
      </c>
      <c r="G673">
        <f>Skills!G26*IF(Skills!H26&gt;0,INT(IF(Inputs!$B$38="pvp",MIN(Skills!I26,15),Skills!I26)/Skills!H26+0.000000001),1)</f>
        <v/>
      </c>
      <c r="H673">
        <f>1-(1-Skills!J26/100)^Skills!K26</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Skills!A27</f>
        <v/>
      </c>
      <c r="B674">
        <f>Skills!B27</f>
        <v/>
      </c>
      <c r="C674">
        <f>Inputs!$B$3&gt;=75</f>
        <v/>
      </c>
      <c r="D674">
        <f>IF(Skills!C27=1,60+Inputs!$B$25+Inputs!$B$29,IF(Skills!C27=2,90+Inputs!$B$26+Inputs!$B$29,IF(Skills!C27=3,120+Inputs!$B$27+Inputs!$B$29,MAX(0,(Inputs!$B$3-100)*3)+Inputs!$B$28+Inputs!$B$29)))</f>
        <v/>
      </c>
      <c r="E674">
        <f>INDEX(FactorTable!$B$2:$Y$301, MATCH(ROUND(MIN(300,MAX(1,D674)),0), FactorTable!$A$2:$A$301,0), Skills!M27+1)</f>
        <v/>
      </c>
      <c r="F674">
        <f>IF(Skills!N27=TRUE,(Skills!L27/10)*(E674/1000),Skills!L27/10)+Skills!O27</f>
        <v/>
      </c>
      <c r="G674">
        <f>Skills!G27*IF(Skills!H27&gt;0,INT(IF(Inputs!$B$38="pvp",MIN(Skills!I27,15),Skills!I27)/Skills!H27+0.000000001),1)</f>
        <v/>
      </c>
      <c r="H674">
        <f>1-(1-Skills!J27/100)^Skills!K27</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Skills!A28</f>
        <v/>
      </c>
      <c r="B675">
        <f>Skills!B28</f>
        <v/>
      </c>
      <c r="C675">
        <f>Inputs!$B$3&gt;=125</f>
        <v/>
      </c>
      <c r="D675">
        <f>IF(Skills!C28=1,60+Inputs!$B$25+Inputs!$B$29,IF(Skills!C28=2,90+Inputs!$B$26+Inputs!$B$29,IF(Skills!C28=3,120+Inputs!$B$27+Inputs!$B$29,MAX(0,(Inputs!$B$3-100)*3)+Inputs!$B$28+Inputs!$B$29)))</f>
        <v/>
      </c>
      <c r="E675">
        <f>INDEX(FactorTable!$B$2:$Y$301, MATCH(ROUND(MIN(300,MAX(1,D675)),0), FactorTable!$A$2:$A$301,0), Skills!M28+1)</f>
        <v/>
      </c>
      <c r="F675">
        <f>IF(Skills!N28=TRUE,(Skills!L28/10)*(E675/1000),Skills!L28/10)+Skills!O28</f>
        <v/>
      </c>
      <c r="G675">
        <f>Skills!G28*IF(Skills!H28&gt;0,INT(IF(Inputs!$B$38="pvp",MIN(Skills!I28,15),Skills!I28)/Skills!H28+0.000000001),1)</f>
        <v/>
      </c>
      <c r="H675">
        <f>1-(1-Skills!J28/100)^Skills!K28</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Skills!A29</f>
        <v/>
      </c>
      <c r="B676">
        <f>Skills!B29</f>
        <v/>
      </c>
      <c r="C676">
        <f>Inputs!$B$3&gt;=125</f>
        <v/>
      </c>
      <c r="D676">
        <f>IF(Skills!C29=1,60+Inputs!$B$25+Inputs!$B$29,IF(Skills!C29=2,90+Inputs!$B$26+Inputs!$B$29,IF(Skills!C29=3,120+Inputs!$B$27+Inputs!$B$29,MAX(0,(Inputs!$B$3-100)*3)+Inputs!$B$28+Inputs!$B$29)))</f>
        <v/>
      </c>
      <c r="E676">
        <f>INDEX(FactorTable!$B$2:$Y$301, MATCH(ROUND(MIN(300,MAX(1,D676)),0), FactorTable!$A$2:$A$301,0), Skills!M29+1)</f>
        <v/>
      </c>
      <c r="F676">
        <f>IF(Skills!N29=TRUE,(Skills!L29/10)*(E676/1000),Skills!L29/10)+Skills!O29</f>
        <v/>
      </c>
      <c r="G676">
        <f>Skills!G29*IF(Skills!H29&gt;0,INT(IF(Inputs!$B$38="pvp",MIN(Skills!I29,15),Skills!I29)/Skills!H29+0.000000001),1)</f>
        <v/>
      </c>
      <c r="H676">
        <f>1-(1-Skills!J29/100)^Skills!K29</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Skills!A30</f>
        <v/>
      </c>
      <c r="B677">
        <f>Skills!B30</f>
        <v/>
      </c>
      <c r="C677">
        <f>Inputs!$B$3&gt;=120</f>
        <v/>
      </c>
      <c r="D677">
        <f>IF(Skills!C30=1,60+Inputs!$B$25+Inputs!$B$29,IF(Skills!C30=2,90+Inputs!$B$26+Inputs!$B$29,IF(Skills!C30=3,120+Inputs!$B$27+Inputs!$B$29,MAX(0,(Inputs!$B$3-100)*3)+Inputs!$B$28+Inputs!$B$29)))</f>
        <v/>
      </c>
      <c r="E677">
        <f>INDEX(FactorTable!$B$2:$Y$301, MATCH(ROUND(MIN(300,MAX(1,D677)),0), FactorTable!$A$2:$A$301,0), Skills!M30+1)</f>
        <v/>
      </c>
      <c r="F677">
        <f>IF(Skills!N30=TRUE,(Skills!L30/10)*(E677/1000),Skills!L30/10)+Skills!O30</f>
        <v/>
      </c>
      <c r="G677">
        <f>Skills!G30*IF(Skills!H30&gt;0,INT(IF(Inputs!$B$38="pvp",MIN(Skills!I30,15),Skills!I30)/Skills!H30+0.000000001),1)</f>
        <v/>
      </c>
      <c r="H677">
        <f>1-(1-Skills!J30/100)^Skills!K30</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Skills!A31</f>
        <v/>
      </c>
      <c r="B678">
        <f>Skills!B31</f>
        <v/>
      </c>
      <c r="C678">
        <f>Inputs!$B$3&gt;=120</f>
        <v/>
      </c>
      <c r="D678">
        <f>IF(Skills!C31=1,60+Inputs!$B$25+Inputs!$B$29,IF(Skills!C31=2,90+Inputs!$B$26+Inputs!$B$29,IF(Skills!C31=3,120+Inputs!$B$27+Inputs!$B$29,MAX(0,(Inputs!$B$3-100)*3)+Inputs!$B$28+Inputs!$B$29)))</f>
        <v/>
      </c>
      <c r="E678">
        <f>INDEX(FactorTable!$B$2:$Y$301, MATCH(ROUND(MIN(300,MAX(1,D678)),0), FactorTable!$A$2:$A$301,0), Skills!M31+1)</f>
        <v/>
      </c>
      <c r="F678">
        <f>IF(Skills!N31=TRUE,(Skills!L31/10)*(E678/1000),Skills!L31/10)+Skills!O31</f>
        <v/>
      </c>
      <c r="G678">
        <f>Skills!G31*IF(Skills!H31&gt;0,INT(IF(Inputs!$B$38="pvp",MIN(Skills!I31,15),Skills!I31)/Skills!H31+0.000000001),1)</f>
        <v/>
      </c>
      <c r="H678">
        <f>1-(1-Skills!J31/100)^Skills!K31</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Skills!A32</f>
        <v/>
      </c>
      <c r="B679">
        <f>Skills!B32</f>
        <v/>
      </c>
      <c r="C679">
        <f>Inputs!$B$3&gt;=45</f>
        <v/>
      </c>
      <c r="D679">
        <f>IF(Skills!C32=1,60+Inputs!$B$25+Inputs!$B$29,IF(Skills!C32=2,90+Inputs!$B$26+Inputs!$B$29,IF(Skills!C32=3,120+Inputs!$B$27+Inputs!$B$29,MAX(0,(Inputs!$B$3-100)*3)+Inputs!$B$28+Inputs!$B$29)))</f>
        <v/>
      </c>
      <c r="E679">
        <f>INDEX(FactorTable!$B$2:$Y$301, MATCH(ROUND(MIN(300,MAX(1,D679)),0), FactorTable!$A$2:$A$301,0), Skills!M32+1)</f>
        <v/>
      </c>
      <c r="F679">
        <f>IF(Skills!N32=TRUE,(Skills!L32/10)*(E679/1000),Skills!L32/10)+Skills!O32</f>
        <v/>
      </c>
      <c r="G679">
        <f>Skills!G32*IF(Skills!H32&gt;0,INT(IF(Inputs!$B$38="pvp",MIN(Skills!I32,15),Skills!I32)/Skills!H32+0.000000001),1)</f>
        <v/>
      </c>
      <c r="H679">
        <f>1-(1-Skills!J32/100)^Skills!K32</f>
        <v/>
      </c>
      <c r="I679" t="inlineStr">
        <is>
          <t>1</t>
        </is>
      </c>
      <c r="J679" t="inlineStr"/>
      <c r="K679" t="inlineStr"/>
      <c r="L679" t="inlineStr"/>
      <c r="M679" t="inlineStr"/>
      <c r="N679" t="inlineStr"/>
      <c r="O679">
        <f>(1-Summary!$B$11)*T679+Summary!$B$11*V679</f>
        <v/>
      </c>
      <c r="P679">
        <f>IF(B692=0,0,O679/B692)</f>
        <v/>
      </c>
      <c r="Q679" t="n">
        <v>0</v>
      </c>
      <c r="R679" t="n">
        <v>0</v>
      </c>
      <c r="S679">
        <f>IFERROR(O679/N679,0)</f>
        <v/>
      </c>
      <c r="T679" t="n">
        <v>0</v>
      </c>
      <c r="V679" t="n">
        <v>0</v>
      </c>
    </row>
    <row r="681">
      <c r="A681" t="inlineStr">
        <is>
          <t>Attack% Bucket Multiplier</t>
        </is>
      </c>
      <c r="B681">
        <f>(1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t>
        </is>
      </c>
      <c r="B683">
        <f>((C668=TRUE)*F668*IF(AND(Inputs!$B$38&lt;&gt;"pvp",Inputs!$B$43&gt;0),(((R668-1)*MIN((Skills!T21*(1+Inputs!$B$34/100)),(1/Q668))+MIN((Skills!T21*(1+Inputs!$B$34/100)),MAX(0,Inputs!$B$43-((R668-1)*(1/Q668)))))/Inputs!$B$43),IF(Inputs!$B$38="pvp",MIN((Skills!T21*(1+Inputs!$B$34/100)),15)/15,MIN(1,(Skills!T21*(1+Inputs!$B$34/100))/(1/Q668)))))</f>
        <v/>
      </c>
    </row>
    <row r="684">
      <c r="A684" t="inlineStr">
        <is>
          <t>Actions Per Second</t>
        </is>
      </c>
      <c r="B684">
        <f>1+MIN(150,150*(1-(1-(((1-(1-Inputs!$B$11/150)*(1-1/150))*150)+((C670=TRUE)*(F670-Calc!F23))+((C671=TRUE)*(F671-Calc!F24)))/150)*(1-B683/150)))/100</f>
        <v/>
      </c>
    </row>
    <row r="685">
      <c r="A685" t="inlineStr">
        <is>
          <t>Skill + Buff Cast Rate</t>
        </is>
      </c>
      <c r="B685">
        <f>IF(AND(Inputs!$B$38&lt;&gt;"pvp",Inputs!$B$43&gt;0),SUMPRODUCT((Skills!E2:E32=TRUE)*(C649:C679=TRUE)*R649:R679*Skills!F2:F32)/Inputs!$B$43,SUMPRODUCT((Skills!E2:E32=TRUE)*(C649:C679=TRUE)*Q649:Q679*Skills!F2:F32))</f>
        <v/>
      </c>
    </row>
    <row r="686">
      <c r="A686" t="inlineStr">
        <is>
          <t>Arrow Stream Casts Per Second</t>
        </is>
      </c>
      <c r="B686">
        <f>MAX(0,B684-B685)</f>
        <v/>
      </c>
    </row>
    <row r="687">
      <c r="A687" t="inlineStr">
        <is>
          <t>Global Critical Damage Bonus % (Sharp Eyes + Concentration)</t>
        </is>
      </c>
      <c r="B687">
        <f>(C665=TRUE)*F665*IF(AND(Inputs!$B$38&lt;&gt;"pvp",Inputs!$B$43&gt;0),(((R665-1)*MIN((Skills!T18*(1+Inputs!$B$34/100)),(1/Q665))+MIN((Skills!T18*(1+Inputs!$B$34/100)),MAX(0,Inputs!$B$43-((R665-1)*(1/Q665)))))/Inputs!$B$43),IF(Inputs!$B$38="pvp",MIN((Skills!T18*(1+Inputs!$B$34/100)),15)/15,MIN(1,(Skills!T18*(1+Inputs!$B$34/100))/(1/Q665))))+(C666=TRUE)*7*F666</f>
        <v/>
      </c>
    </row>
    <row r="688">
      <c r="A688" t="inlineStr">
        <is>
          <t>Global Final Damage Bonus % (Mortal Blow)</t>
        </is>
      </c>
      <c r="B688">
        <f>(C667=TRUE)*F667</f>
        <v/>
      </c>
    </row>
    <row r="689">
      <c r="A689" t="inlineStr">
        <is>
          <t>Buff-Casting Startup Delay (s, fixed-duration only)</t>
        </is>
      </c>
      <c r="B689">
        <f>IF(AND(Inputs!$B$38&lt;&gt;"pvp",Inputs!$B$43&gt;0),SUMPRODUCT((Skills!T2:T32&gt;0)*(Skills!E2:E32=TRUE)*(C649:C679=TRUE))/B684,0)</f>
        <v/>
      </c>
    </row>
    <row r="690">
      <c r="A690" t="inlineStr">
        <is>
          <t>Boss-Only Total DPS (this block's swept value)</t>
        </is>
      </c>
      <c r="B690">
        <f>SUM(T649:T679)</f>
        <v/>
      </c>
    </row>
    <row r="691">
      <c r="A691" t="inlineStr">
        <is>
          <t>Normal-Only Total DPS (this block's swept value)</t>
        </is>
      </c>
      <c r="B691">
        <f>SUM(V649:V679)</f>
        <v/>
      </c>
    </row>
    <row r="692">
      <c r="A692" s="6" t="inlineStr">
        <is>
          <t>TOTAL DPS</t>
        </is>
      </c>
      <c r="B692" s="6">
        <f>SUM(O649:O679)</f>
        <v/>
      </c>
    </row>
    <row r="695">
      <c r="A695" s="6" t="inlineStr">
        <is>
          <t>Stat: DEF_PEN % (diminishing returns, factor 100)</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Skills!G2*IF(Skills!H2&gt;0,INT(IF(Inputs!$B$38="pvp",MIN(Skills!I2,15),Skills!I2)/Skills!H2+0.000000001),1)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721=TRUE)*(F721-Calc!F26)),(Inputs!$B$23+((C726=TRUE)*(F726-Calc!F31))+(IF(ArtifactsInput!$M$15,CHOOSE(ArtifactsInput!$N$15+1,25,30,35,40,45,50)/100*(Inputs!$B$11-Inputs!$B$11),0))))/100+(Inputs!$B$23+((C726=TRUE)*(F726-Calc!F31))+(IF(ArtifactsInput!$M$15,CHOOSE(ArtifactsInput!$N$15+1,25,30,35,40,45,50)/100*(Inputs!$B$11-Inputs!$B$11),0)))/100)/2</f>
        <v/>
      </c>
      <c r="M697">
        <f>L697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IF(B740=0,0,O697/B740)</f>
        <v/>
      </c>
      <c r="Q697" t="n">
        <v>0</v>
      </c>
      <c r="R697" t="n">
        <v>0</v>
      </c>
      <c r="S697">
        <f>IFERROR(O697/N697,0)</f>
        <v/>
      </c>
      <c r="T697">
        <f>IF(C697,(Skills!G2*N697*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Inputs!$B$3&gt;=50</f>
        <v/>
      </c>
      <c r="D698">
        <f>IF(Skills!C3=1,60+Inputs!$B$25+Inputs!$B$29,IF(Skills!C3=2,90+Inputs!$B$26+Inputs!$B$29,IF(Skills!C3=3,120+Inputs!$B$27+Inputs!$B$29,MAX(0,(Inputs!$B$3-100)*3)+Inputs!$B$28+Inputs!$B$29)))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Skills!G3*IF(Skills!H3&gt;0,INT(IF(Inputs!$B$38="pvp",MIN(Skills!I3,15),Skills!I3)/Skills!H3+0.000000001),1)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699=TRUE,F699,0)/100)*(1+(IF(Skills!A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721=TRUE)*(F721-Calc!F26)),(Inputs!$B$23+((C726=TRUE)*(F726-Calc!F31))+(IF(ArtifactsInput!$M$15,CHOOSE(ArtifactsInput!$N$15+1,25,30,35,40,45,50)/100*(Inputs!$B$11-Inputs!$B$11),0))))/100+(Inputs!$B$23+((C726=TRUE)*(F726-Calc!F31))+(IF(ArtifactsInput!$M$15,CHOOSE(ArtifactsInput!$N$15+1,25,30,35,40,45,50)/100*(Inputs!$B$11-Inputs!$B$11),0)))/100)/2</f>
        <v/>
      </c>
      <c r="M698">
        <f>L698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IF(B740=0,0,O698/B740)</f>
        <v/>
      </c>
      <c r="Q698">
        <f>IFERROR(1/(IF(Inputs!$B$38="pvp",15,MAX(0.1,1/B732-IF(FALSE=TRUE,Inputs!$B$32,0)))*(1-IF(AND(ArtifactsInput!$M$27,Inputs!$B$4="Chapter Hunt"),CHOOSE(ArtifactsInput!$N$27+1,20,24,28,32,36,40),0)/100)),0)</f>
        <v/>
      </c>
      <c r="R698">
        <f>IF(AND(Inputs!$B$38&lt;&gt;"pvp",Inputs!$B$43&gt;0),IF(MAX(0,Inputs!$B$43-B737)&lt;=0,0,(INT(MAX(0,Inputs!$B$43-B737)/(IF(Inputs!$B$38="pvp",15,MAX(0.1,1/B732-IF(FALSE=TRUE,Inputs!$B$32,0)))*(1-IF(AND(ArtifactsInput!$M$27,Inputs!$B$4="Chapter Hunt"),CHOOSE(ArtifactsInput!$N$27+1,20,24,28,32,36,40),0)/100)))+1)),0)</f>
        <v/>
      </c>
      <c r="S698">
        <f>IFERROR(O698/N698,0)</f>
        <v/>
      </c>
      <c r="T698">
        <f>IF(C698,(H698*N698*IF(AND(Inputs!$B$38&lt;&gt;"pvp",Inputs!$B$43&gt;0),((Skills!G3*((R698-1)*IF(Skills!H3&gt;0,INT(Skills!I3/Skills!H3+0.000000001),1)+IF(Skills!H3&gt;0,INT(MIN(Skills!I3,MAX(0,MAX(0,Inputs!$B$43-B737)-((R698-1)*(IF(Inputs!$B$38="pvp",15,MAX(0.1,1/B732-IF(FALSE=TRUE,Inputs!$B$32,0)))*(1-IF(AND(ArtifactsInput!$M$27,Inputs!$B$4="Chapter Hunt"),CHOOSE(ArtifactsInput!$N$27+1,20,24,28,32,36,40),0)/100)))))/Skills!H3+0.000000001),1)))/Inputs!$B$43),G698*Q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H698*N698*IF(AND(Inputs!$B$38&lt;&gt;"pvp",Inputs!$B$43&gt;0),((Skills!G3*((R698-1)*IF(Skills!H3&gt;0,INT(Skills!I3/Skills!H3+0.000000001),1)+IF(Skills!H3&gt;0,INT(MIN(Skills!I3,MAX(0,MAX(0,Inputs!$B$43-B737)-((R698-1)*(IF(Inputs!$B$38="pvp",15,MAX(0.1,1/B732-IF(FALSE=TRUE,Inputs!$B$32,0)))*(1-IF(AND(ArtifactsInput!$M$27,Inputs!$B$4="Chapter Hunt"),CHOOSE(ArtifactsInput!$N$27+1,20,24,28,32,36,40),0)/100)))))/Skills!H3+0.000000001),1)))/Inputs!$B$43),G698*Q698))*IF(Inputs!$B$38="pvp",1,(1+(Inputs!$B$21+Skills!Q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Inputs!$B$3&gt;=105</f>
        <v/>
      </c>
      <c r="D699">
        <f>IF(Skills!C4=1,60+Inputs!$B$25+Inputs!$B$29,IF(Skills!C4=2,90+Inputs!$B$26+Inputs!$B$29,IF(Skills!C4=3,120+Inputs!$B$27+Inputs!$B$29,MAX(0,(Inputs!$B$3-100)*3)+Inputs!$B$28+Inputs!$B$29)))</f>
        <v/>
      </c>
      <c r="E699">
        <f>INDEX(FactorTable!$B$2:$Y$301, MATCH(ROUND(MIN(300,MAX(1,D699)),0), FactorTable!$A$2:$A$301,0), Skills!M4+1)</f>
        <v/>
      </c>
      <c r="F699">
        <f>IF(Skills!N4=TRUE,(Skills!L4/10)*(E699/1000),Skills!L4/10)+Skills!O4</f>
        <v/>
      </c>
      <c r="G699" t="inlineStr"/>
      <c r="H699" t="inlineStr"/>
      <c r="I699" t="inlineStr">
        <is>
          <t>1</t>
        </is>
      </c>
      <c r="J699" t="inlineStr"/>
      <c r="K699" t="inlineStr"/>
      <c r="L699" t="inlineStr"/>
      <c r="M699" t="inlineStr"/>
      <c r="N699" t="inlineStr"/>
      <c r="O699" t="inlineStr"/>
      <c r="P699" t="inlineStr"/>
      <c r="Q699" t="inlineStr"/>
      <c r="R699" t="inlineStr"/>
      <c r="S699" t="inlineStr"/>
      <c r="T699" t="inlineStr"/>
      <c r="U699">
        <f>290*U698/1000</f>
        <v/>
      </c>
      <c r="V699" t="inlineStr"/>
    </row>
    <row r="700">
      <c r="A700">
        <f>Skills!A5</f>
        <v/>
      </c>
      <c r="B700">
        <f>Skills!B5</f>
        <v/>
      </c>
      <c r="C700">
        <f>Inputs!$B$3&gt;=35</f>
        <v/>
      </c>
      <c r="D700">
        <f>IF(Skills!C5=1,60+Inputs!$B$25+Inputs!$B$29,IF(Skills!C5=2,90+Inputs!$B$26+Inputs!$B$29,IF(Skills!C5=3,120+Inputs!$B$27+Inputs!$B$29,MAX(0,(Inputs!$B$3-100)*3)+Inputs!$B$28+Inputs!$B$29)))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Skills!G5*IF(Skills!H5&gt;0,INT(IF(Inputs!$B$38="pvp",MIN(Skills!I5,15),Skills!I5)/Skills!H5+0.000000001),1)</f>
        <v/>
      </c>
      <c r="H700">
        <f>1-(1-Skills!J5/100)^Skills!K5</f>
        <v/>
      </c>
      <c r="I700" t="inlineStr">
        <is>
          <t>1</t>
        </is>
      </c>
      <c r="J700">
        <f>((Inputs!$B$6*(1+Inputs!$B$7/100))+(((Inputs!$B$12*(1+Inputs!$B$13/100))-(Inputs!$B$12*(1+Inputs!$B$13/100)))+0.25*(Inputs!$B$14-Inputs!$B$14))*(1+Inputs!$B$7/100))*(F700/100)</f>
        <v/>
      </c>
      <c r="K700">
        <f>J700*(1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707=TRUE,F707,0)/100)*(1+(IF(Skills!A5="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721=TRUE)*(F721-Calc!F26)),(Inputs!$B$23+((C726=TRUE)*(F726-Calc!F31))+(IF(ArtifactsInput!$M$15,CHOOSE(ArtifactsInput!$N$15+1,25,30,35,40,45,50)/100*(Inputs!$B$11-Inputs!$B$11),0))))/100+(Inputs!$B$23+((C726=TRUE)*(F726-Calc!F31))+(IF(ArtifactsInput!$M$15,CHOOSE(ArtifactsInput!$N$15+1,25,30,35,40,45,50)/100*(Inputs!$B$11-Inputs!$B$11),0)))/100)/2</f>
        <v/>
      </c>
      <c r="M700">
        <f>L700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IF(B740=0,0,O700/B740)</f>
        <v/>
      </c>
      <c r="Q700">
        <f>IFERROR(1/(IF(Inputs!$B$38="pvp",15,MAX(0.1,Skills!D5-IF(TRUE=TRUE,Inputs!$B$32,0)))*(1-IF(AND(ArtifactsInput!$M$27,Inputs!$B$4="Chapter Hunt"),CHOOSE(ArtifactsInput!$N$27+1,20,24,28,32,36,40),0)/100)),0)</f>
        <v/>
      </c>
      <c r="R700">
        <f>IF(AND(Inputs!$B$38&lt;&gt;"pvp",Inputs!$B$43&gt;0),IF(MAX(0,Inputs!$B$43-B737)&lt;=0,0,(INT(MAX(0,Inputs!$B$43-B737)/(IF(Inputs!$B$38="pvp",15,MAX(0.1,Skills!D5-IF(TRUE=TRUE,Inputs!$B$32,0)))*(1-IF(AND(ArtifactsInput!$M$27,Inputs!$B$4="Chapter Hunt"),CHOOSE(ArtifactsInput!$N$27+1,20,24,28,32,36,40),0)/100)))+1)),0)</f>
        <v/>
      </c>
      <c r="S700">
        <f>IFERROR(O700/N700,0)</f>
        <v/>
      </c>
      <c r="T700">
        <f>IF(C700,(H700*N700*IF(AND(Inputs!$B$38&lt;&gt;"pvp",Inputs!$B$43&gt;0),((Skills!G5*((R700-1)*IF(Skills!H5&gt;0,INT(Skills!I5/Skills!H5+0.000000001),1)+IF(Skills!H5&gt;0,INT(MIN(Skills!I5,MAX(0,MAX(0,Inputs!$B$43-B737)-((R700-1)*(IF(Inputs!$B$38="pvp",15,MAX(0.1,Skills!D5-IF(TRUE=TRUE,Inputs!$B$32,0)))*(1-IF(AND(ArtifactsInput!$M$27,Inputs!$B$4="Chapter Hunt"),CHOOSE(ArtifactsInput!$N$27+1,20,24,28,32,36,40),0)/100)))))/Skills!H5+0.000000001),1)))/Inputs!$B$43),G700*Q700)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5*((R700-1)*IF(Skills!H5&gt;0,INT(Skills!I5/Skills!H5+0.000000001),1)+IF(Skills!H5&gt;0,INT(MIN(Skills!I5,MAX(0,MAX(0,Inputs!$B$43-B737)-((R700-1)*(IF(Inputs!$B$38="pvp",15,MAX(0.1,Skills!D5-IF(TRUE=TRUE,Inputs!$B$32,0)))*(1-IF(AND(ArtifactsInput!$M$27,Inputs!$B$4="Chapter Hunt"),CHOOSE(ArtifactsInput!$N$27+1,20,24,28,32,36,40),0)/100)))))/Skills!H5+0.000000001),1)))/Inputs!$B$43),G700*Q700))*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Skills!A6</f>
        <v/>
      </c>
      <c r="B701">
        <f>Skills!B6</f>
        <v/>
      </c>
      <c r="C701">
        <f>Inputs!$B$3&gt;=40</f>
        <v/>
      </c>
      <c r="D701">
        <f>IF(Skills!C6=1,60+Inputs!$B$25+Inputs!$B$29,IF(Skills!C6=2,90+Inputs!$B$26+Inputs!$B$29,IF(Skills!C6=3,120+Inputs!$B$27+Inputs!$B$29,MAX(0,(Inputs!$B$3-100)*3)+Inputs!$B$28+Inputs!$B$29)))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Skills!G6*IF(Skills!H6&gt;0,INT(IF(Inputs!$B$38="pvp",MIN(Skills!I6,15),Skills!I6)/Skills!H6+0.000000001),1)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702=TRUE,F702,0)/100)*(1+(IF(Skills!A6="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721=TRUE)*(F721-Calc!F26)),(Inputs!$B$23+((C726=TRUE)*(F726-Calc!F31))+(IF(ArtifactsInput!$M$15,CHOOSE(ArtifactsInput!$N$15+1,25,30,35,40,45,50)/100*(Inputs!$B$11-Inputs!$B$11),0))))/100+(Inputs!$B$23+((C726=TRUE)*(F726-Calc!F31))+(IF(ArtifactsInput!$M$15,CHOOSE(ArtifactsInput!$N$15+1,25,30,35,40,45,50)/100*(Inputs!$B$11-Inputs!$B$11),0)))/100)/2</f>
        <v/>
      </c>
      <c r="M701">
        <f>L701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IF(B740=0,0,O701/B740)</f>
        <v/>
      </c>
      <c r="Q701">
        <f>IFERROR(1/(IF(Inputs!$B$38="pvp",15,MAX(0.1,1-0.4*MIN(1,(B732-1)/1.5)-IF(FALSE=TRUE,Inputs!$B$32,0)))*(1-IF(AND(ArtifactsInput!$M$27,Inputs!$B$4="Chapter Hunt"),CHOOSE(ArtifactsInput!$N$27+1,20,24,28,32,36,40),0)/100)),0)</f>
        <v/>
      </c>
      <c r="R701">
        <f>IF(AND(Inputs!$B$38&lt;&gt;"pvp",Inputs!$B$43&gt;0),IF(MAX(0,Inputs!$B$43-B737)&lt;=0,0,(INT(MAX(0,Inputs!$B$43-B737)/(IF(Inputs!$B$38="pvp",15,MAX(0.1,1-0.4*MIN(1,(B732-1)/1.5)-IF(FALSE=TRUE,Inputs!$B$32,0)))*(1-IF(AND(ArtifactsInput!$M$27,Inputs!$B$4="Chapter Hunt"),CHOOSE(ArtifactsInput!$N$27+1,20,24,28,32,36,40),0)/100)))+1)),0)</f>
        <v/>
      </c>
      <c r="S701">
        <f>IFERROR(O701/N701,0)</f>
        <v/>
      </c>
      <c r="T701">
        <f>IF(C701,(H701*N701*IF(AND(Inputs!$B$38&lt;&gt;"pvp",Inputs!$B$43&gt;0),((Skills!G6*((R701-1)*IF(Skills!H6&gt;0,INT(Skills!I6/Skills!H6+0.000000001),1)+IF(Skills!H6&gt;0,INT(MIN(Skills!I6,MAX(0,MAX(0,Inputs!$B$43-B737)-((R701-1)*(IF(Inputs!$B$38="pvp",15,MAX(0.1,1-0.4*MIN(1,(B732-1)/1.5)-IF(FALSE=TRUE,Inputs!$B$32,0)))*(1-IF(AND(ArtifactsInput!$M$27,Inputs!$B$4="Chapter Hunt"),CHOOSE(ArtifactsInput!$N$27+1,20,24,28,32,36,40),0)/100)))))/Skills!H6+0.000000001),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INT(Skills!I6/Skills!H6+0.000000001),1)+IF(Skills!H6&gt;0,INT(MIN(Skills!I6,MAX(0,MAX(0,Inputs!$B$43-B737)-((R701-1)*(IF(Inputs!$B$38="pvp",15,MAX(0.1,1-0.4*MIN(1,(B732-1)/1.5)-IF(FALSE=TRUE,Inputs!$B$32,0)))*(1-IF(AND(ArtifactsInput!$M$27,Inputs!$B$4="Chapter Hunt"),CHOOSE(ArtifactsInput!$N$27+1,20,24,28,32,36,40),0)/100)))))/Skills!H6+0.000000001),1)))/Inputs!$B$43),G701*Q701))*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Inputs!$B$3&gt;=107</f>
        <v/>
      </c>
      <c r="D702">
        <f>IF(Skills!C7=1,60+Inputs!$B$25+Inputs!$B$29,IF(Skills!C7=2,90+Inputs!$B$26+Inputs!$B$29,IF(Skills!C7=3,120+Inputs!$B$27+Inputs!$B$29,MAX(0,(Inputs!$B$3-100)*3)+Inputs!$B$28+Inputs!$B$29)))</f>
        <v/>
      </c>
      <c r="E702">
        <f>INDEX(FactorTable!$B$2:$Y$301, MATCH(ROUND(MIN(300,MAX(1,D702)),0), FactorTable!$A$2:$A$301,0), Skills!M7+1)</f>
        <v/>
      </c>
      <c r="F702">
        <f>IF(Skills!N7=TRUE,(Skills!L7/10)*(E702/1000),Skills!L7/10)+Skills!O7</f>
        <v/>
      </c>
      <c r="G702" t="inlineStr"/>
      <c r="H702" t="inlineStr"/>
      <c r="I702" t="inlineStr">
        <is>
          <t>1</t>
        </is>
      </c>
      <c r="J702" t="inlineStr"/>
      <c r="K702" t="inlineStr"/>
      <c r="L702" t="inlineStr"/>
      <c r="M702" t="inlineStr"/>
      <c r="N702" t="inlineStr"/>
      <c r="O702" t="inlineStr"/>
      <c r="P702" t="inlineStr"/>
      <c r="Q702" t="inlineStr"/>
      <c r="R702" t="inlineStr"/>
      <c r="S702" t="inlineStr"/>
      <c r="T702" t="inlineStr"/>
      <c r="V702" t="inlineStr"/>
    </row>
    <row r="703">
      <c r="A703">
        <f>Skills!A8</f>
        <v/>
      </c>
      <c r="B703">
        <f>Skills!B8</f>
        <v/>
      </c>
      <c r="C703">
        <f>Inputs!$B$3&gt;=130</f>
        <v/>
      </c>
      <c r="D703">
        <f>IF(Skills!C8=1,60+Inputs!$B$25+Inputs!$B$29,IF(Skills!C8=2,90+Inputs!$B$26+Inputs!$B$29,IF(Skills!C8=3,120+Inputs!$B$27+Inputs!$B$29,MAX(0,(Inputs!$B$3-100)*3)+Inputs!$B$28+Inputs!$B$29)))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Skills!G8*IF(Skills!H8&gt;0,INT(IF(Inputs!$B$38="pvp",MIN(Skills!I8,15),Skills!I8)/Skills!H8+0.000000001),1)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721=TRUE)*(F721-Calc!F26)),(Inputs!$B$23+((C726=TRUE)*(F726-Calc!F31))+(IF(ArtifactsInput!$M$15,CHOOSE(ArtifactsInput!$N$15+1,25,30,35,40,45,50)/100*(Inputs!$B$11-Inputs!$B$11),0))))/100+(Inputs!$B$23+((C726=TRUE)*(F726-Calc!F31))+(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f>IFERROR(1/(IF(Inputs!$B$38="pvp",15,MAX(0.1,1-0.4*MIN(1,(B732-1)/1.5)-IF(FALSE=TRUE,Inputs!$B$32,0)))*(1-IF(AND(ArtifactsInput!$M$27,Inputs!$B$4="Chapter Hunt"),CHOOSE(ArtifactsInput!$N$27+1,20,24,28,32,36,40),0)/100)),0)</f>
        <v/>
      </c>
      <c r="R703">
        <f>IF(AND(Inputs!$B$38&lt;&gt;"pvp",Inputs!$B$43&gt;0),IF(MAX(0,Inputs!$B$43-B737)&lt;=0,0,(INT(MAX(0,Inputs!$B$43-B737)/(IF(Inputs!$B$38="pvp",15,MAX(0.1,1-0.4*MIN(1,(B732-1)/1.5)-IF(FALSE=TRUE,Inputs!$B$32,0)))*(1-IF(AND(ArtifactsInput!$M$27,Inputs!$B$4="Chapter Hunt"),CHOOSE(ArtifactsInput!$N$27+1,20,24,28,32,36,40),0)/100)))+1)),0)</f>
        <v/>
      </c>
      <c r="S703">
        <f>IFERROR(O703/N703,0)</f>
        <v/>
      </c>
      <c r="T703">
        <f>IF(C703,(H703*N703*IF(AND(Inputs!$B$38&lt;&gt;"pvp",Inputs!$B$43&gt;0),((Skills!G8*((R703-1)*IF(Skills!H8&gt;0,INT(Skills!I8/Skills!H8+0.000000001),1)+IF(Skills!H8&gt;0,INT(MIN(Skills!I8,MAX(0,MAX(0,Inputs!$B$43-B737)-((R703-1)*(IF(Inputs!$B$38="pvp",15,MAX(0.1,1-0.4*MIN(1,(B732-1)/1.5)-IF(FALSE=TRUE,Inputs!$B$32,0)))*(1-IF(AND(ArtifactsInput!$M$27,Inputs!$B$4="Chapter Hunt"),CHOOSE(ArtifactsInput!$N$27+1,20,24,28,32,36,40),0)/100)))))/Skills!H8+0.000000001),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INT(Skills!I8/Skills!H8+0.000000001),1)+IF(Skills!H8&gt;0,INT(MIN(Skills!I8,MAX(0,MAX(0,Inputs!$B$43-B737)-((R703-1)*(IF(Inputs!$B$38="pvp",15,MAX(0.1,1-0.4*MIN(1,(B732-1)/1.5)-IF(FALSE=TRUE,Inputs!$B$32,0)))*(1-IF(AND(ArtifactsInput!$M$27,Inputs!$B$4="Chapter Hunt"),CHOOSE(ArtifactsInput!$N$27+1,20,24,28,32,36,40),0)/100)))))/Skills!H8+0.000000001),1)))/Inputs!$B$43),G703*Q703))*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Inputs!$B$3&gt;=69</f>
        <v/>
      </c>
      <c r="D704">
        <f>IF(Skills!C9=1,60+Inputs!$B$25+Inputs!$B$29,IF(Skills!C9=2,90+Inputs!$B$26+Inputs!$B$29,IF(Skills!C9=3,120+Inputs!$B$27+Inputs!$B$29,MAX(0,(Inputs!$B$3-100)*3)+Inputs!$B$28+Inputs!$B$29)))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Skills!G9*IF(Skills!H9&gt;0,INT(IF(Inputs!$B$38="pvp",MIN(Skills!I9,15),Skills!I9)/Skills!H9+0.000000001),1)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707=TRUE,F707,0)/100)*(1+(IF(Skills!A9="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721=TRUE)*(F721-Calc!F26)),(Inputs!$B$23+((C726=TRUE)*(F726-Calc!F31))+(IF(ArtifactsInput!$M$15,CHOOSE(ArtifactsInput!$N$15+1,25,30,35,40,45,50)/100*(Inputs!$B$11-Inputs!$B$11),0))))/100+(Inputs!$B$23+((C726=TRUE)*(F726-Calc!F31))+(IF(ArtifactsInput!$M$15,CHOOSE(ArtifactsInput!$N$15+1,25,30,35,40,45,50)/100*(Inputs!$B$11-Inputs!$B$11),0)))/100)/2</f>
        <v/>
      </c>
      <c r="M704">
        <f>L704*(1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IF(B740=0,0,O704/B740)</f>
        <v/>
      </c>
      <c r="Q704">
        <f>IFERROR(1/(IF(Inputs!$B$38="pvp",15,MAX(0.1,Skills!D9-IF(TRUE=TRUE,Inputs!$B$32,0)))*(1-IF(AND(ArtifactsInput!$M$27,Inputs!$B$4="Chapter Hunt"),CHOOSE(ArtifactsInput!$N$27+1,20,24,28,32,36,40),0)/100)),0)</f>
        <v/>
      </c>
      <c r="R704">
        <f>IF(AND(Inputs!$B$38&lt;&gt;"pvp",Inputs!$B$43&gt;0),IF(MAX(0,Inputs!$B$43-B737)&lt;=0,0,(INT(MAX(0,Inputs!$B$43-B737)/(IF(Inputs!$B$38="pvp",15,MAX(0.1,Skills!D9-IF(TRUE=TRUE,Inputs!$B$32,0)))*(1-IF(AND(ArtifactsInput!$M$27,Inputs!$B$4="Chapter Hunt"),CHOOSE(ArtifactsInput!$N$27+1,20,24,28,32,36,40),0)/100)))+1)),0)</f>
        <v/>
      </c>
      <c r="S704">
        <f>IFERROR(O704/N704,0)</f>
        <v/>
      </c>
      <c r="T704">
        <f>IF(C704,(H704*N704*IF(AND(Inputs!$B$38&lt;&gt;"pvp",Inputs!$B$43&gt;0),((Skills!G9*((R704-1)*IF(Skills!H9&gt;0,INT(Skills!I9/Skills!H9+0.000000001),1)+IF(Skills!H9&gt;0,INT(MIN(Skills!I9,MAX(0,MAX(0,Inputs!$B$43-B737)-((R704-1)*(IF(Inputs!$B$38="pvp",15,MAX(0.1,Skills!D9-IF(TRUE=TRUE,Inputs!$B$32,0)))*(1-IF(AND(ArtifactsInput!$M$27,Inputs!$B$4="Chapter Hunt"),CHOOSE(ArtifactsInput!$N$27+1,20,24,28,32,36,40),0)/100)))))/Skills!H9+0.000000001),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INT(Skills!I9/Skills!H9+0.000000001),1)+IF(Skills!H9&gt;0,INT(MIN(Skills!I9,MAX(0,MAX(0,Inputs!$B$43-B737)-((R704-1)*(IF(Inputs!$B$38="pvp",15,MAX(0.1,Skills!D9-IF(TRUE=TRUE,Inputs!$B$32,0)))*(1-IF(AND(ArtifactsInput!$M$27,Inputs!$B$4="Chapter Hunt"),CHOOSE(ArtifactsInput!$N$27+1,20,24,28,32,36,40),0)/100)))))/Skills!H9+0.000000001),1)))/Inputs!$B$43),G704*Q704))*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Inputs!$B$3&gt;=63</f>
        <v/>
      </c>
      <c r="D705">
        <f>IF(Skills!C10=1,60+Inputs!$B$25+Inputs!$B$29,IF(Skills!C10=2,90+Inputs!$B$26+Inputs!$B$29,IF(Skills!C10=3,120+Inputs!$B$27+Inputs!$B$29,MAX(0,(Inputs!$B$3-100)*3)+Inputs!$B$28+Inputs!$B$29)))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Skills!G10*IF(Skills!H10&gt;0,INT(IF(Inputs!$B$38="pvp",MIN(Skills!I10,15),Skills!I10)/Skills!H10+0.000000001),1)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10="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721=TRUE)*(F721-Calc!F26)),(Inputs!$B$23+((C726=TRUE)*(F726-Calc!F31))+(IF(ArtifactsInput!$M$15,CHOOSE(ArtifactsInput!$N$15+1,25,30,35,40,45,50)/100*(Inputs!$B$11-Inputs!$B$11),0))))/100+(Inputs!$B$23+((C726=TRUE)*(F726-Calc!F31))+(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IFERROR(1/(IF(Inputs!$B$38="pvp",15,MAX(0.1,Skills!D10-IF(TRUE=TRUE,Inputs!$B$32,0)))*(1-IF(AND(ArtifactsInput!$M$27,Inputs!$B$4="Chapter Hunt"),CHOOSE(ArtifactsInput!$N$27+1,20,24,28,32,36,40),0)/100)),0)</f>
        <v/>
      </c>
      <c r="R705">
        <f>IF(AND(Inputs!$B$38&lt;&gt;"pvp",Inputs!$B$43&gt;0),IF(MAX(0,Inputs!$B$43-B737)&lt;=0,0,(INT(MAX(0,Inputs!$B$43-B737)/(IF(Inputs!$B$38="pvp",15,MAX(0.1,Skills!D10-IF(TRUE=TRUE,Inputs!$B$32,0)))*(1-IF(AND(ArtifactsInput!$M$27,Inputs!$B$4="Chapter Hunt"),CHOOSE(ArtifactsInput!$N$27+1,20,24,28,32,36,40),0)/100)))+1)),0)</f>
        <v/>
      </c>
      <c r="S705">
        <f>IFERROR(O705/N705,0)</f>
        <v/>
      </c>
      <c r="T705">
        <f>IF(C705,(H705*N705*IF(AND(Inputs!$B$38&lt;&gt;"pvp",Inputs!$B$43&gt;0),((Skills!G10*((R705-1)*IF(Skills!H10&gt;0,INT(Skills!I10/Skills!H10+0.000000001),1)+IF(Skills!H10&gt;0,INT(MIN(Skills!I10,MAX(0,MAX(0,Inputs!$B$43-B737)-((R705-1)*(IF(Inputs!$B$38="pvp",15,MAX(0.1,Skills!D10-IF(TRUE=TRUE,Inputs!$B$32,0)))*(1-IF(AND(ArtifactsInput!$M$27,Inputs!$B$4="Chapter Hunt"),CHOOSE(ArtifactsInput!$N$27+1,20,24,28,32,36,40),0)/100)))))/Skills!H10+0.000000001),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INT(Skills!I10/Skills!H10+0.000000001),1)+IF(Skills!H10&gt;0,INT(MIN(Skills!I10,MAX(0,MAX(0,Inputs!$B$43-B737)-((R705-1)*(IF(Inputs!$B$38="pvp",15,MAX(0.1,Skills!D10-IF(TRUE=TRUE,Inputs!$B$32,0)))*(1-IF(AND(ArtifactsInput!$M$27,Inputs!$B$4="Chapter Hunt"),CHOOSE(ArtifactsInput!$N$27+1,20,24,28,32,36,40),0)/100)))))/Skills!H10+0.000000001),1)))/Inputs!$B$43),G705*Q705))*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Inputs!$B$3&gt;=103</f>
        <v/>
      </c>
      <c r="D706">
        <f>IF(Skills!C11=1,60+Inputs!$B$25+Inputs!$B$29,IF(Skills!C11=2,90+Inputs!$B$26+Inputs!$B$29,IF(Skills!C11=3,120+Inputs!$B$27+Inputs!$B$29,MAX(0,(Inputs!$B$3-100)*3)+Inputs!$B$28+Inputs!$B$29)))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Skills!G11*IF(Skills!H11&gt;0,INT(IF(Inputs!$B$38="pvp",MIN(Skills!I11,15),Skills!I11)/Skills!H11+0.000000001),1)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721=TRUE)*(F721-Calc!F26)),(Inputs!$B$23+((C726=TRUE)*(F726-Calc!F31))+(IF(ArtifactsInput!$M$15,CHOOSE(ArtifactsInput!$N$15+1,25,30,35,40,45,50)/100*(Inputs!$B$11-Inputs!$B$11),0))))/100+(Inputs!$B$23+((C726=TRUE)*(F726-Calc!F31))+(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IFERROR(1/(IF(Inputs!$B$38="pvp",15,MAX(0.1,Skills!D11-IF(TRUE=TRUE,Inputs!$B$32,0)))*(1-IF(AND(ArtifactsInput!$M$27,Inputs!$B$4="Chapter Hunt"),CHOOSE(ArtifactsInput!$N$27+1,20,24,28,32,36,40),0)/100)),0)</f>
        <v/>
      </c>
      <c r="R706">
        <f>IF(AND(Inputs!$B$38&lt;&gt;"pvp",Inputs!$B$43&gt;0),IF(MAX(0,Inputs!$B$43-B737)&lt;=0,0,(INT(MAX(0,Inputs!$B$43-B737)/(IF(Inputs!$B$38="pvp",15,MAX(0.1,Skills!D11-IF(TRUE=TRUE,Inputs!$B$32,0)))*(1-IF(AND(ArtifactsInput!$M$27,Inputs!$B$4="Chapter Hunt"),CHOOSE(ArtifactsInput!$N$27+1,20,24,28,32,36,40),0)/100)))+1)),0)</f>
        <v/>
      </c>
      <c r="S706">
        <f>IFERROR(O706/N706,0)</f>
        <v/>
      </c>
      <c r="T706">
        <f>IF(C706,(H706*N706*IF(AND(Inputs!$B$38&lt;&gt;"pvp",Inputs!$B$43&gt;0),((Skills!G11*((R706-1)*IF(Skills!H11&gt;0,INT(Skills!I11/Skills!H11+0.000000001),1)+IF(Skills!H11&gt;0,INT(MIN(Skills!I11,MAX(0,MAX(0,Inputs!$B$43-B737)-((R706-1)*(IF(Inputs!$B$38="pvp",15,MAX(0.1,Skills!D11-IF(TRUE=TRUE,Inputs!$B$32,0)))*(1-IF(AND(ArtifactsInput!$M$27,Inputs!$B$4="Chapter Hunt"),CHOOSE(ArtifactsInput!$N$27+1,20,24,28,32,36,40),0)/100)))))/Skills!H11+0.000000001)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INT(Skills!I11/Skills!H11+0.000000001),1)+IF(Skills!H11&gt;0,INT(MIN(Skills!I11,MAX(0,MAX(0,Inputs!$B$43-B737)-((R706-1)*(IF(Inputs!$B$38="pvp",15,MAX(0.1,Skills!D11-IF(TRUE=TRUE,Inputs!$B$32,0)))*(1-IF(AND(ArtifactsInput!$M$27,Inputs!$B$4="Chapter Hunt"),CHOOSE(ArtifactsInput!$N$27+1,20,24,28,32,36,40),0)/100)))))/Skills!H11+0.000000001),1)))/Inputs!$B$43),G706*Q706))*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Inputs!$B$3&gt;=60</f>
        <v/>
      </c>
      <c r="D708">
        <f>IF(Skills!C13=1,60+Inputs!$B$25+Inputs!$B$29,IF(Skills!C13=2,90+Inputs!$B$26+Inputs!$B$29,IF(Skills!C13=3,120+Inputs!$B$27+Inputs!$B$29,MAX(0,(Inputs!$B$3-100)*3)+Inputs!$B$28+Inputs!$B$29)))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Skills!G13*IF(Skills!H13&gt;0,INT(IF(Inputs!$B$38="pvp",MIN(Skills!I13,15),Skills!I13)/Skills!H13+0.000000001),1)</f>
        <v/>
      </c>
      <c r="H708">
        <f>1-(1-Skills!J13/100)^Skills!K13</f>
        <v/>
      </c>
      <c r="I708" t="inlineStr">
        <is>
          <t>1</t>
        </is>
      </c>
      <c r="J708">
        <f>((Inputs!$B$6*(1+Inputs!$B$7/100))+(((Inputs!$B$12*(1+Inputs!$B$13/100))-(Inputs!$B$12*(1+Inputs!$B$13/100)))+0.25*(Inputs!$B$14-Inputs!$B$14))*(1+Inputs!$B$7/100))*(F708/100)</f>
        <v/>
      </c>
      <c r="K708">
        <f>J708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Skills!A13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721=TRUE)*(F721-Calc!F26)),(Inputs!$B$23+((C726=TRUE)*(F726-Calc!F31))+(IF(ArtifactsInput!$M$15,CHOOSE(ArtifactsInput!$N$15+1,25,30,35,40,45,50)/100*(Inputs!$B$11-Inputs!$B$11),0))))/100+(Inputs!$B$23+((C726=TRUE)*(F726-Calc!F31))+(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IFERROR(1/(IF(Inputs!$B$38="pvp",15,MAX(0.1,IF(Inputs!$B$3&gt;=122,3,5)+1/(((20+30*(B732-1)*100/150)/100)*B732)-IF(FALSE=TRUE,Inputs!$B$32,0)))*(1-IF(AND(ArtifactsInput!$M$27,Inputs!$B$4="Chapter Hunt"),CHOOSE(ArtifactsInput!$N$27+1,20,24,28,32,36,40),0)/100)),0)</f>
        <v/>
      </c>
      <c r="R708">
        <f>IF(AND(Inputs!$B$38&lt;&gt;"pvp",Inputs!$B$43&gt;0),IF(MAX(0,Inputs!$B$43-B737)&lt;=0,0,(INT(MAX(0,Inputs!$B$43-B737)/(IF(Inputs!$B$38="pvp",15,MAX(0.1,IF(Inputs!$B$3&gt;=122,3,5)+1/(((20+30*(B732-1)*100/150)/100)*B732)-IF(FALSE=TRUE,Inputs!$B$32,0)))*(1-IF(AND(ArtifactsInput!$M$27,Inputs!$B$4="Chapter Hunt"),CHOOSE(ArtifactsInput!$N$27+1,20,24,28,32,36,40),0)/100)))+1)),0)</f>
        <v/>
      </c>
      <c r="S708">
        <f>IFERROR(O708/N708,0)</f>
        <v/>
      </c>
      <c r="T708">
        <f>IF(C708,(H708*N708*IF(AND(Inputs!$B$38&lt;&gt;"pvp",Inputs!$B$43&gt;0),((Skills!G13*((R708-1)*IF(Skills!H13&gt;0,INT(Skills!I13/Skills!H13+0.000000001),1)+IF(Skills!H13&gt;0,INT(MIN(Skills!I13,MAX(0,MAX(0,Inputs!$B$43-B737)-((R708-1)*(IF(Inputs!$B$38="pvp",15,MAX(0.1,IF(Inputs!$B$3&gt;=122,3,5)+1/(((20+30*(B732-1)*100/150)/100)*B732)-IF(FALSE=TRUE,Inputs!$B$32,0)))*(1-IF(AND(ArtifactsInput!$M$27,Inputs!$B$4="Chapter Hunt"),CHOOSE(ArtifactsInput!$N$27+1,20,24,28,32,36,40),0)/100)))))/Skills!H13+0.000000001),1)))/Inputs!$B$43),G708*Q708)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13*((R708-1)*IF(Skills!H13&gt;0,INT(Skills!I13/Skills!H13+0.000000001),1)+IF(Skills!H13&gt;0,INT(MIN(Skills!I13,MAX(0,MAX(0,Inputs!$B$43-B737)-((R708-1)*(IF(Inputs!$B$38="pvp",15,MAX(0.1,IF(Inputs!$B$3&gt;=122,3,5)+1/(((20+30*(B732-1)*100/150)/100)*B732)-IF(FALSE=TRUE,Inputs!$B$32,0)))*(1-IF(AND(ArtifactsInput!$M$27,Inputs!$B$4="Chapter Hunt"),CHOOSE(ArtifactsInput!$N$27+1,20,24,28,32,36,40),0)/100)))))/Skills!H13+0.000000001),1)))/Inputs!$B$43),G708*Q708))*IF(Inputs!$B$38="pvp",1,(1+(Inputs!$B$21+Skills!Q13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Skills!A14</f>
        <v/>
      </c>
      <c r="B709">
        <f>Skills!B14</f>
        <v/>
      </c>
      <c r="C709">
        <f>Inputs!$B$3&gt;=110</f>
        <v/>
      </c>
      <c r="D709">
        <f>IF(Skills!C14=1,60+Inputs!$B$25+Inputs!$B$29,IF(Skills!C14=2,90+Inputs!$B$26+Inputs!$B$29,IF(Skills!C14=3,120+Inputs!$B$27+Inputs!$B$29,MAX(0,(Inputs!$B$3-100)*3)+Inputs!$B$28+Inputs!$B$29)))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Skills!A15</f>
        <v/>
      </c>
      <c r="B710">
        <f>Skills!B15</f>
        <v/>
      </c>
      <c r="C710">
        <f>Inputs!$B$3&gt;=74</f>
        <v/>
      </c>
      <c r="D710">
        <f>IF(Skills!C15=1,60+Inputs!$B$25+Inputs!$B$29,IF(Skills!C15=2,90+Inputs!$B$26+Inputs!$B$29,IF(Skills!C15=3,120+Inputs!$B$27+Inputs!$B$29,MAX(0,(Inputs!$B$3-100)*3)+Inputs!$B$28+Inputs!$B$29)))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Skills!G15*IF(Skills!H15&gt;0,INT(IF(Inputs!$B$38="pvp",MIN(Skills!I15,15),Skills!I15)/Skills!H15+0.000000001),1)</f>
        <v/>
      </c>
      <c r="H710">
        <f>1-(1-Skills!J15/100)^Skills!K15</f>
        <v/>
      </c>
      <c r="I710" t="inlineStr">
        <is>
          <t>1</t>
        </is>
      </c>
      <c r="J710" t="inlineStr"/>
      <c r="K710" t="inlineStr"/>
      <c r="L710" t="inlineStr"/>
      <c r="M710" t="inlineStr"/>
      <c r="N710" t="inlineStr"/>
      <c r="O710">
        <f>(1-Summary!$B$11)*T710+Summary!$B$11*V710</f>
        <v/>
      </c>
      <c r="P710">
        <f>IF(B740=0,0,O710/B740)</f>
        <v/>
      </c>
      <c r="Q710" t="n">
        <v>0</v>
      </c>
      <c r="R710" t="n">
        <v>0</v>
      </c>
      <c r="S710">
        <f>IFERROR(O710/N710,0)</f>
        <v/>
      </c>
      <c r="T710" t="n">
        <v>0</v>
      </c>
      <c r="V710" t="n">
        <v>0</v>
      </c>
    </row>
    <row r="711">
      <c r="A711">
        <f>Skills!A16</f>
        <v/>
      </c>
      <c r="B711">
        <f>Skills!B16</f>
        <v/>
      </c>
      <c r="C711">
        <f>Inputs!$B$3&gt;=74</f>
        <v/>
      </c>
      <c r="D711">
        <f>IF(Skills!C16=1,60+Inputs!$B$25+Inputs!$B$29,IF(Skills!C16=2,90+Inputs!$B$26+Inputs!$B$29,IF(Skills!C16=3,120+Inputs!$B$27+Inputs!$B$29,MAX(0,(Inputs!$B$3-100)*3)+Inputs!$B$28+Inputs!$B$29)))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Skills!G16*IF(Skills!H16&gt;0,INT(IF(Inputs!$B$38="pvp",MIN(Skills!I16,15),Skills!I16)/Skills!H16+0.000000001),1)</f>
        <v/>
      </c>
      <c r="H711">
        <f>1-(1-Skills!J16/100)^Skills!K16</f>
        <v/>
      </c>
      <c r="I711" t="inlineStr">
        <is>
          <t>1</t>
        </is>
      </c>
      <c r="J711" t="inlineStr"/>
      <c r="K711" t="inlineStr"/>
      <c r="L711" t="inlineStr"/>
      <c r="M711" t="inlineStr"/>
      <c r="N711" t="inlineStr"/>
      <c r="O711">
        <f>(1-Summary!$B$11)*T711+Summary!$B$11*V711</f>
        <v/>
      </c>
      <c r="P711">
        <f>IF(B740=0,0,O711/B740)</f>
        <v/>
      </c>
      <c r="Q711" t="n">
        <v>0</v>
      </c>
      <c r="R711" t="n">
        <v>0</v>
      </c>
      <c r="S711">
        <f>IFERROR(O711/N711,0)</f>
        <v/>
      </c>
      <c r="T711" t="n">
        <v>0</v>
      </c>
      <c r="V711" t="n">
        <v>0</v>
      </c>
    </row>
    <row r="712">
      <c r="A712">
        <f>Skills!A17</f>
        <v/>
      </c>
      <c r="B712">
        <f>Skills!B17</f>
        <v/>
      </c>
      <c r="C712">
        <f>Inputs!$B$3&gt;=117</f>
        <v/>
      </c>
      <c r="D712">
        <f>IF(Skills!C17=1,60+Inputs!$B$25+Inputs!$B$29,IF(Skills!C17=2,90+Inputs!$B$26+Inputs!$B$29,IF(Skills!C17=3,120+Inputs!$B$27+Inputs!$B$29,MAX(0,(Inputs!$B$3-100)*3)+Inputs!$B$28+Inputs!$B$29)))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Skills!G17*IF(Skills!H17&gt;0,INT(IF(Inputs!$B$38="pvp",MIN(Skills!I17,15),Skills!I17)/Skills!H17+0.000000001),1)</f>
        <v/>
      </c>
      <c r="H712">
        <f>1-(1-Skills!J17/100)^Skills!K17</f>
        <v/>
      </c>
      <c r="I712" t="inlineStr">
        <is>
          <t>1</t>
        </is>
      </c>
      <c r="J712" t="inlineStr"/>
      <c r="K712" t="inlineStr"/>
      <c r="L712" t="inlineStr"/>
      <c r="M712" t="inlineStr"/>
      <c r="N712" t="inlineStr"/>
      <c r="O712">
        <f>(1-Summary!$B$11)*T712+Summary!$B$11*V712</f>
        <v/>
      </c>
      <c r="P712">
        <f>IF(B740=0,0,O712/B740)</f>
        <v/>
      </c>
      <c r="Q712">
        <f>IFERROR(1/(IF(Inputs!$B$38="pvp",15,MAX(0.1,Skills!D17-IF(TRUE=TRUE,Inputs!$B$32,0)))*(1-IF(AND(ArtifactsInput!$M$27,Inputs!$B$4="Chapter Hunt"),CHOOSE(ArtifactsInput!$N$27+1,20,24,28,32,36,40),0)/100)),0)</f>
        <v/>
      </c>
      <c r="R712">
        <f>IF(AND(Inputs!$B$38&lt;&gt;"pvp",Inputs!$B$43&gt;0),IF(Inputs!$B$43&lt;=0,0,(INT(Inputs!$B$43/(IF(Inputs!$B$38="pvp",15,MAX(0.1,Skills!D17-IF(TRUE=TRUE,Inputs!$B$32,0)))*(1-IF(AND(ArtifactsInput!$M$27,Inputs!$B$4="Chapter Hunt"),CHOOSE(ArtifactsInput!$N$27+1,20,24,28,32,36,40),0)/100)))+1)),0)</f>
        <v/>
      </c>
      <c r="S712">
        <f>IFERROR(O712/N712,0)</f>
        <v/>
      </c>
      <c r="T712" t="n">
        <v>0</v>
      </c>
      <c r="V712" t="n">
        <v>0</v>
      </c>
    </row>
    <row r="713">
      <c r="A713">
        <f>Skills!A18</f>
        <v/>
      </c>
      <c r="B713">
        <f>Skills!B18</f>
        <v/>
      </c>
      <c r="C713">
        <f>Inputs!$B$3&gt;=115</f>
        <v/>
      </c>
      <c r="D713">
        <f>IF(Skills!C18=1,60+Inputs!$B$25+Inputs!$B$29,IF(Skills!C18=2,90+Inputs!$B$26+Inputs!$B$29,IF(Skills!C18=3,120+Inputs!$B$27+Inputs!$B$29,MAX(0,(Inputs!$B$3-100)*3)+Inputs!$B$28+Inputs!$B$29)))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Skills!G18*IF(Skills!H18&gt;0,INT(IF(Inputs!$B$38="pvp",MIN(Skills!I18,15),Skills!I18)/Skills!H18+0.000000001),1)</f>
        <v/>
      </c>
      <c r="H713">
        <f>1-(1-Skills!J18/100)^Skills!K18</f>
        <v/>
      </c>
      <c r="I713" t="inlineStr">
        <is>
          <t>1</t>
        </is>
      </c>
      <c r="J713" t="inlineStr"/>
      <c r="K713" t="inlineStr"/>
      <c r="L713" t="inlineStr"/>
      <c r="M713" t="inlineStr"/>
      <c r="N713" t="inlineStr"/>
      <c r="O713">
        <f>(1-Summary!$B$11)*T713+Summary!$B$11*V713</f>
        <v/>
      </c>
      <c r="P713">
        <f>IF(B740=0,0,O713/B740)</f>
        <v/>
      </c>
      <c r="Q713">
        <f>IFERROR(1/(IF(Inputs!$B$38="pvp",15,MAX(0.1,Skills!D18-IF(TRUE=TRUE,Inputs!$B$32,0)))*(1-IF(AND(ArtifactsInput!$M$27,Inputs!$B$4="Chapter Hunt"),CHOOSE(ArtifactsInput!$N$27+1,20,24,28,32,36,40),0)/100)),0)</f>
        <v/>
      </c>
      <c r="R713">
        <f>IF(AND(Inputs!$B$38&lt;&gt;"pvp",Inputs!$B$43&gt;0),IF(Inputs!$B$43&lt;=0,0,(INT(Inputs!$B$43/(IF(Inputs!$B$38="pvp",15,MAX(0.1,Skills!D18-IF(TRUE=TRUE,Inputs!$B$32,0)))*(1-IF(AND(ArtifactsInput!$M$27,Inputs!$B$4="Chapter Hunt"),CHOOSE(ArtifactsInput!$N$27+1,20,24,28,32,36,40),0)/100)))+1)),0)</f>
        <v/>
      </c>
      <c r="S713">
        <f>IFERROR(O713/N713,0)</f>
        <v/>
      </c>
      <c r="T713" t="n">
        <v>0</v>
      </c>
      <c r="V713" t="n">
        <v>0</v>
      </c>
    </row>
    <row r="714">
      <c r="A714">
        <f>Skills!A19</f>
        <v/>
      </c>
      <c r="B714">
        <f>Skills!B19</f>
        <v/>
      </c>
      <c r="C714">
        <f>Inputs!$B$3&gt;=66</f>
        <v/>
      </c>
      <c r="D714">
        <f>IF(Skills!C19=1,60+Inputs!$B$25+Inputs!$B$29,IF(Skills!C19=2,90+Inputs!$B$26+Inputs!$B$29,IF(Skills!C19=3,120+Inputs!$B$27+Inputs!$B$29,MAX(0,(Inputs!$B$3-100)*3)+Inputs!$B$28+Inputs!$B$29)))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Skills!G19*IF(Skills!H19&gt;0,INT(IF(Inputs!$B$38="pvp",MIN(Skills!I19,15),Skills!I19)/Skills!H19+0.000000001),1)</f>
        <v/>
      </c>
      <c r="H714">
        <f>1-(1-Skills!J19/100)^Skills!K19</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Skills!A20</f>
        <v/>
      </c>
      <c r="B715">
        <f>Skills!B20</f>
        <v/>
      </c>
      <c r="C715">
        <f>Inputs!$B$3&gt;=72</f>
        <v/>
      </c>
      <c r="D715">
        <f>IF(Skills!C20=1,60+Inputs!$B$25+Inputs!$B$29,IF(Skills!C20=2,90+Inputs!$B$26+Inputs!$B$29,IF(Skills!C20=3,120+Inputs!$B$27+Inputs!$B$29,MAX(0,(Inputs!$B$3-100)*3)+Inputs!$B$28+Inputs!$B$29)))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Skills!G20*IF(Skills!H20&gt;0,INT(IF(Inputs!$B$38="pvp",MIN(Skills!I20,15),Skills!I20)/Skills!H20+0.000000001),1)</f>
        <v/>
      </c>
      <c r="H715">
        <f>1-(1-Skills!J20/100)^Skills!K20</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Skills!A21</f>
        <v/>
      </c>
      <c r="B716">
        <f>Skills!B21</f>
        <v/>
      </c>
      <c r="C716">
        <f>TRUE</f>
        <v/>
      </c>
      <c r="D716">
        <f>IF(Skills!C21=1,60+Inputs!$B$25+Inputs!$B$29,IF(Skills!C21=2,90+Inputs!$B$26+Inputs!$B$29,IF(Skills!C21=3,120+Inputs!$B$27+Inputs!$B$29,MAX(0,(Inputs!$B$3-100)*3)+Inputs!$B$28+Inputs!$B$29)))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Skills!G21*IF(Skills!H21&gt;0,INT(IF(Inputs!$B$38="pvp",MIN(Skills!I21,15),Skills!I21)/Skills!H21+0.000000001),1)</f>
        <v/>
      </c>
      <c r="H716">
        <f>1-(1-Skills!J21/100)^Skills!K21</f>
        <v/>
      </c>
      <c r="I716" t="inlineStr">
        <is>
          <t>1</t>
        </is>
      </c>
      <c r="J716" t="inlineStr"/>
      <c r="K716" t="inlineStr"/>
      <c r="L716" t="inlineStr"/>
      <c r="M716" t="inlineStr"/>
      <c r="N716" t="inlineStr"/>
      <c r="O716">
        <f>(1-Summary!$B$11)*T716+Summary!$B$11*V716</f>
        <v/>
      </c>
      <c r="P716">
        <f>IF(B740=0,0,O716/B740)</f>
        <v/>
      </c>
      <c r="Q716">
        <f>IFERROR(1/(IF(Inputs!$B$38="pvp",15,MAX(0.1,Skills!D21-IF(TRUE=TRUE,Inputs!$B$32,0)))*(1-IF(AND(ArtifactsInput!$M$27,Inputs!$B$4="Chapter Hunt"),CHOOSE(ArtifactsInput!$N$27+1,20,24,28,32,36,40),0)/100)),0)</f>
        <v/>
      </c>
      <c r="R716">
        <f>IF(AND(Inputs!$B$38&lt;&gt;"pvp",Inputs!$B$43&gt;0),IF(Inputs!$B$43&lt;=0,0,(INT(Inputs!$B$43/(IF(Inputs!$B$38="pvp",15,MAX(0.1,Skills!D21-IF(TRUE=TRUE,Inputs!$B$32,0)))*(1-IF(AND(ArtifactsInput!$M$27,Inputs!$B$4="Chapter Hunt"),CHOOSE(ArtifactsInput!$N$27+1,20,24,28,32,36,40),0)/100)))+1)),0)</f>
        <v/>
      </c>
      <c r="S716">
        <f>IFERROR(O716/N716,0)</f>
        <v/>
      </c>
      <c r="T716" t="n">
        <v>0</v>
      </c>
      <c r="V716" t="n">
        <v>0</v>
      </c>
    </row>
    <row r="717">
      <c r="A717">
        <f>Skills!A22</f>
        <v/>
      </c>
      <c r="B717">
        <f>Skills!B22</f>
        <v/>
      </c>
      <c r="C717">
        <f>Inputs!$B$3&gt;=15</f>
        <v/>
      </c>
      <c r="D717">
        <f>IF(Skills!C22=1,60+Inputs!$B$25+Inputs!$B$29,IF(Skills!C22=2,90+Inputs!$B$26+Inputs!$B$29,IF(Skills!C22=3,120+Inputs!$B$27+Inputs!$B$29,MAX(0,(Inputs!$B$3-100)*3)+Inputs!$B$28+Inputs!$B$29)))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Skills!G22*IF(Skills!H22&gt;0,INT(IF(Inputs!$B$38="pvp",MIN(Skills!I22,15),Skills!I22)/Skills!H22+0.000000001),1)</f>
        <v/>
      </c>
      <c r="H717">
        <f>1-(1-Skills!J22/100)^Skills!K22</f>
        <v/>
      </c>
      <c r="I717" t="inlineStr">
        <is>
          <t>1</t>
        </is>
      </c>
      <c r="J717" t="inlineStr"/>
      <c r="K717" t="inlineStr"/>
      <c r="L717" t="inlineStr"/>
      <c r="M717" t="inlineStr"/>
      <c r="N717" t="inlineStr"/>
      <c r="O717">
        <f>(1-Summary!$B$11)*T717+Summary!$B$11*V717</f>
        <v/>
      </c>
      <c r="P717">
        <f>IF(B740=0,0,O717/B740)</f>
        <v/>
      </c>
      <c r="Q717" t="n">
        <v>0</v>
      </c>
      <c r="R717" t="n">
        <v>0</v>
      </c>
      <c r="S717">
        <f>IFERROR(O717/N717,0)</f>
        <v/>
      </c>
      <c r="T717" t="n">
        <v>0</v>
      </c>
      <c r="V717" t="n">
        <v>0</v>
      </c>
    </row>
    <row r="718">
      <c r="A718">
        <f>Skills!A23</f>
        <v/>
      </c>
      <c r="B718">
        <f>Skills!B23</f>
        <v/>
      </c>
      <c r="C718">
        <f>Inputs!$B$3&gt;=10</f>
        <v/>
      </c>
      <c r="D718">
        <f>IF(Skills!C23=1,60+Inputs!$B$25+Inputs!$B$29,IF(Skills!C23=2,90+Inputs!$B$26+Inputs!$B$29,IF(Skills!C23=3,120+Inputs!$B$27+Inputs!$B$29,MAX(0,(Inputs!$B$3-100)*3)+Inputs!$B$28+Inputs!$B$29)))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Skills!G23*IF(Skills!H23&gt;0,INT(IF(Inputs!$B$38="pvp",MIN(Skills!I23,15),Skills!I23)/Skills!H23+0.000000001),1)</f>
        <v/>
      </c>
      <c r="H718">
        <f>1-(1-Skills!J23/100)^Skills!K23</f>
        <v/>
      </c>
      <c r="I718" t="inlineStr">
        <is>
          <t>1</t>
        </is>
      </c>
      <c r="J718" t="inlineStr"/>
      <c r="K718" t="inlineStr"/>
      <c r="L718" t="inlineStr"/>
      <c r="M718" t="inlineStr"/>
      <c r="N718" t="inlineStr"/>
      <c r="O718">
        <f>(1-Summary!$B$11)*T718+Summary!$B$11*V718</f>
        <v/>
      </c>
      <c r="P718">
        <f>IF(B740=0,0,O718/B740)</f>
        <v/>
      </c>
      <c r="Q718" t="n">
        <v>0</v>
      </c>
      <c r="R718" t="n">
        <v>0</v>
      </c>
      <c r="S718">
        <f>IFERROR(O718/N718,0)</f>
        <v/>
      </c>
      <c r="T718" t="n">
        <v>0</v>
      </c>
      <c r="V718" t="n">
        <v>0</v>
      </c>
    </row>
    <row r="719">
      <c r="A719">
        <f>Skills!A24</f>
        <v/>
      </c>
      <c r="B719">
        <f>Skills!B24</f>
        <v/>
      </c>
      <c r="C719">
        <f>Inputs!$B$3&gt;=33</f>
        <v/>
      </c>
      <c r="D719">
        <f>IF(Skills!C24=1,60+Inputs!$B$25+Inputs!$B$29,IF(Skills!C24=2,90+Inputs!$B$26+Inputs!$B$29,IF(Skills!C24=3,120+Inputs!$B$27+Inputs!$B$29,MAX(0,(Inputs!$B$3-100)*3)+Inputs!$B$28+Inputs!$B$29)))</f>
        <v/>
      </c>
      <c r="E719">
        <f>INDEX(FactorTable!$B$2:$Y$301, MATCH(ROUND(MIN(300,MAX(1,D719)),0), FactorTable!$A$2:$A$301,0), Skills!M24+1)</f>
        <v/>
      </c>
      <c r="F719">
        <f>IF(Skills!N24=TRUE,(Skills!L24/10)*(E719/1000),Skills!L24/10)+Skills!O24</f>
        <v/>
      </c>
      <c r="G719">
        <f>Skills!G24*IF(Skills!H24&gt;0,INT(IF(Inputs!$B$38="pvp",MIN(Skills!I24,15),Skills!I24)/Skills!H24+0.000000001),1)</f>
        <v/>
      </c>
      <c r="H719">
        <f>1-(1-Skills!J24/100)^Skills!K24</f>
        <v/>
      </c>
      <c r="I719" t="inlineStr">
        <is>
          <t>1</t>
        </is>
      </c>
      <c r="J719" t="inlineStr"/>
      <c r="K719" t="inlineStr"/>
      <c r="L719" t="inlineStr"/>
      <c r="M719" t="inlineStr"/>
      <c r="N719" t="inlineStr"/>
      <c r="O719">
        <f>(1-Summary!$B$11)*T719+Summary!$B$11*V719</f>
        <v/>
      </c>
      <c r="P719">
        <f>IF(B740=0,0,O719/B740)</f>
        <v/>
      </c>
      <c r="Q719" t="n">
        <v>0</v>
      </c>
      <c r="R719" t="n">
        <v>0</v>
      </c>
      <c r="S719">
        <f>IFERROR(O719/N719,0)</f>
        <v/>
      </c>
      <c r="T719" t="n">
        <v>0</v>
      </c>
      <c r="V719" t="n">
        <v>0</v>
      </c>
    </row>
    <row r="720">
      <c r="A720">
        <f>Skills!A25</f>
        <v/>
      </c>
      <c r="B720">
        <f>Skills!B25</f>
        <v/>
      </c>
      <c r="C720">
        <f>Inputs!$B$3&gt;=38</f>
        <v/>
      </c>
      <c r="D720">
        <f>IF(Skills!C25=1,60+Inputs!$B$25+Inputs!$B$29,IF(Skills!C25=2,90+Inputs!$B$26+Inputs!$B$29,IF(Skills!C25=3,120+Inputs!$B$27+Inputs!$B$29,MAX(0,(Inputs!$B$3-100)*3)+Inputs!$B$28+Inputs!$B$29)))</f>
        <v/>
      </c>
      <c r="E720">
        <f>INDEX(FactorTable!$B$2:$Y$301, MATCH(ROUND(MIN(300,MAX(1,D720)),0), FactorTable!$A$2:$A$301,0), Skills!M25+1)</f>
        <v/>
      </c>
      <c r="F720">
        <f>IF(Skills!N25=TRUE,(Skills!L25/10)*(E720/1000),Skills!L25/10)+Skills!O25</f>
        <v/>
      </c>
      <c r="G720">
        <f>Skills!G25*IF(Skills!H25&gt;0,INT(IF(Inputs!$B$38="pvp",MIN(Skills!I25,15),Skills!I25)/Skills!H25+0.000000001),1)</f>
        <v/>
      </c>
      <c r="H720">
        <f>1-(1-Skills!J25/100)^Skills!K25</f>
        <v/>
      </c>
      <c r="I720" t="inlineStr">
        <is>
          <t>1</t>
        </is>
      </c>
      <c r="J720" t="inlineStr"/>
      <c r="K720" t="inlineStr"/>
      <c r="L720" t="inlineStr"/>
      <c r="M720" t="inlineStr"/>
      <c r="N720" t="inlineStr"/>
      <c r="O720">
        <f>(1-Summary!$B$11)*T720+Summary!$B$11*V720</f>
        <v/>
      </c>
      <c r="P720">
        <f>IF(B740=0,0,O720/B740)</f>
        <v/>
      </c>
      <c r="Q720" t="n">
        <v>0</v>
      </c>
      <c r="R720" t="n">
        <v>0</v>
      </c>
      <c r="S720">
        <f>IFERROR(O720/N720,0)</f>
        <v/>
      </c>
      <c r="T720" t="n">
        <v>0</v>
      </c>
      <c r="V720" t="n">
        <v>0</v>
      </c>
    </row>
    <row r="721">
      <c r="A721">
        <f>Skills!A26</f>
        <v/>
      </c>
      <c r="B721">
        <f>Skills!B26</f>
        <v/>
      </c>
      <c r="C721">
        <f>Inputs!$B$3&gt;=43</f>
        <v/>
      </c>
      <c r="D721">
        <f>IF(Skills!C26=1,60+Inputs!$B$25+Inputs!$B$29,IF(Skills!C26=2,90+Inputs!$B$26+Inputs!$B$29,IF(Skills!C26=3,120+Inputs!$B$27+Inputs!$B$29,MAX(0,(Inputs!$B$3-100)*3)+Inputs!$B$28+Inputs!$B$29)))</f>
        <v/>
      </c>
      <c r="E721">
        <f>INDEX(FactorTable!$B$2:$Y$301, MATCH(ROUND(MIN(300,MAX(1,D721)),0), FactorTable!$A$2:$A$301,0), Skills!M26+1)</f>
        <v/>
      </c>
      <c r="F721">
        <f>IF(Skills!N26=TRUE,(Skills!L26/10)*(E721/1000),Skills!L26/10)+Skills!O26</f>
        <v/>
      </c>
      <c r="G721">
        <f>Skills!G26*IF(Skills!H26&gt;0,INT(IF(Inputs!$B$38="pvp",MIN(Skills!I26,15),Skills!I26)/Skills!H26+0.000000001),1)</f>
        <v/>
      </c>
      <c r="H721">
        <f>1-(1-Skills!J26/100)^Skills!K26</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Skills!A27</f>
        <v/>
      </c>
      <c r="B722">
        <f>Skills!B27</f>
        <v/>
      </c>
      <c r="C722">
        <f>Inputs!$B$3&gt;=75</f>
        <v/>
      </c>
      <c r="D722">
        <f>IF(Skills!C27=1,60+Inputs!$B$25+Inputs!$B$29,IF(Skills!C27=2,90+Inputs!$B$26+Inputs!$B$29,IF(Skills!C27=3,120+Inputs!$B$27+Inputs!$B$29,MAX(0,(Inputs!$B$3-100)*3)+Inputs!$B$28+Inputs!$B$29)))</f>
        <v/>
      </c>
      <c r="E722">
        <f>INDEX(FactorTable!$B$2:$Y$301, MATCH(ROUND(MIN(300,MAX(1,D722)),0), FactorTable!$A$2:$A$301,0), Skills!M27+1)</f>
        <v/>
      </c>
      <c r="F722">
        <f>IF(Skills!N27=TRUE,(Skills!L27/10)*(E722/1000),Skills!L27/10)+Skills!O27</f>
        <v/>
      </c>
      <c r="G722">
        <f>Skills!G27*IF(Skills!H27&gt;0,INT(IF(Inputs!$B$38="pvp",MIN(Skills!I27,15),Skills!I27)/Skills!H27+0.000000001),1)</f>
        <v/>
      </c>
      <c r="H722">
        <f>1-(1-Skills!J27/100)^Skills!K27</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Skills!A28</f>
        <v/>
      </c>
      <c r="B723">
        <f>Skills!B28</f>
        <v/>
      </c>
      <c r="C723">
        <f>Inputs!$B$3&gt;=125</f>
        <v/>
      </c>
      <c r="D723">
        <f>IF(Skills!C28=1,60+Inputs!$B$25+Inputs!$B$29,IF(Skills!C28=2,90+Inputs!$B$26+Inputs!$B$29,IF(Skills!C28=3,120+Inputs!$B$27+Inputs!$B$29,MAX(0,(Inputs!$B$3-100)*3)+Inputs!$B$28+Inputs!$B$29)))</f>
        <v/>
      </c>
      <c r="E723">
        <f>INDEX(FactorTable!$B$2:$Y$301, MATCH(ROUND(MIN(300,MAX(1,D723)),0), FactorTable!$A$2:$A$301,0), Skills!M28+1)</f>
        <v/>
      </c>
      <c r="F723">
        <f>IF(Skills!N28=TRUE,(Skills!L28/10)*(E723/1000),Skills!L28/10)+Skills!O28</f>
        <v/>
      </c>
      <c r="G723">
        <f>Skills!G28*IF(Skills!H28&gt;0,INT(IF(Inputs!$B$38="pvp",MIN(Skills!I28,15),Skills!I28)/Skills!H28+0.000000001),1)</f>
        <v/>
      </c>
      <c r="H723">
        <f>1-(1-Skills!J28/100)^Skills!K28</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Skills!A29</f>
        <v/>
      </c>
      <c r="B724">
        <f>Skills!B29</f>
        <v/>
      </c>
      <c r="C724">
        <f>Inputs!$B$3&gt;=125</f>
        <v/>
      </c>
      <c r="D724">
        <f>IF(Skills!C29=1,60+Inputs!$B$25+Inputs!$B$29,IF(Skills!C29=2,90+Inputs!$B$26+Inputs!$B$29,IF(Skills!C29=3,120+Inputs!$B$27+Inputs!$B$29,MAX(0,(Inputs!$B$3-100)*3)+Inputs!$B$28+Inputs!$B$29)))</f>
        <v/>
      </c>
      <c r="E724">
        <f>INDEX(FactorTable!$B$2:$Y$301, MATCH(ROUND(MIN(300,MAX(1,D724)),0), FactorTable!$A$2:$A$301,0), Skills!M29+1)</f>
        <v/>
      </c>
      <c r="F724">
        <f>IF(Skills!N29=TRUE,(Skills!L29/10)*(E724/1000),Skills!L29/10)+Skills!O29</f>
        <v/>
      </c>
      <c r="G724">
        <f>Skills!G29*IF(Skills!H29&gt;0,INT(IF(Inputs!$B$38="pvp",MIN(Skills!I29,15),Skills!I29)/Skills!H29+0.000000001),1)</f>
        <v/>
      </c>
      <c r="H724">
        <f>1-(1-Skills!J29/100)^Skills!K29</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Skills!A30</f>
        <v/>
      </c>
      <c r="B725">
        <f>Skills!B30</f>
        <v/>
      </c>
      <c r="C725">
        <f>Inputs!$B$3&gt;=120</f>
        <v/>
      </c>
      <c r="D725">
        <f>IF(Skills!C30=1,60+Inputs!$B$25+Inputs!$B$29,IF(Skills!C30=2,90+Inputs!$B$26+Inputs!$B$29,IF(Skills!C30=3,120+Inputs!$B$27+Inputs!$B$29,MAX(0,(Inputs!$B$3-100)*3)+Inputs!$B$28+Inputs!$B$29)))</f>
        <v/>
      </c>
      <c r="E725">
        <f>INDEX(FactorTable!$B$2:$Y$301, MATCH(ROUND(MIN(300,MAX(1,D725)),0), FactorTable!$A$2:$A$301,0), Skills!M30+1)</f>
        <v/>
      </c>
      <c r="F725">
        <f>IF(Skills!N30=TRUE,(Skills!L30/10)*(E725/1000),Skills!L30/10)+Skills!O30</f>
        <v/>
      </c>
      <c r="G725">
        <f>Skills!G30*IF(Skills!H30&gt;0,INT(IF(Inputs!$B$38="pvp",MIN(Skills!I30,15),Skills!I30)/Skills!H30+0.000000001),1)</f>
        <v/>
      </c>
      <c r="H725">
        <f>1-(1-Skills!J30/100)^Skills!K30</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Skills!A31</f>
        <v/>
      </c>
      <c r="B726">
        <f>Skills!B31</f>
        <v/>
      </c>
      <c r="C726">
        <f>Inputs!$B$3&gt;=120</f>
        <v/>
      </c>
      <c r="D726">
        <f>IF(Skills!C31=1,60+Inputs!$B$25+Inputs!$B$29,IF(Skills!C31=2,90+Inputs!$B$26+Inputs!$B$29,IF(Skills!C31=3,120+Inputs!$B$27+Inputs!$B$29,MAX(0,(Inputs!$B$3-100)*3)+Inputs!$B$28+Inputs!$B$29)))</f>
        <v/>
      </c>
      <c r="E726">
        <f>INDEX(FactorTable!$B$2:$Y$301, MATCH(ROUND(MIN(300,MAX(1,D726)),0), FactorTable!$A$2:$A$301,0), Skills!M31+1)</f>
        <v/>
      </c>
      <c r="F726">
        <f>IF(Skills!N31=TRUE,(Skills!L31/10)*(E726/1000),Skills!L31/10)+Skills!O31</f>
        <v/>
      </c>
      <c r="G726">
        <f>Skills!G31*IF(Skills!H31&gt;0,INT(IF(Inputs!$B$38="pvp",MIN(Skills!I31,15),Skills!I31)/Skills!H31+0.000000001),1)</f>
        <v/>
      </c>
      <c r="H726">
        <f>1-(1-Skills!J31/100)^Skills!K31</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Skills!A32</f>
        <v/>
      </c>
      <c r="B727">
        <f>Skills!B32</f>
        <v/>
      </c>
      <c r="C727">
        <f>Inputs!$B$3&gt;=45</f>
        <v/>
      </c>
      <c r="D727">
        <f>IF(Skills!C32=1,60+Inputs!$B$25+Inputs!$B$29,IF(Skills!C32=2,90+Inputs!$B$26+Inputs!$B$29,IF(Skills!C32=3,120+Inputs!$B$27+Inputs!$B$29,MAX(0,(Inputs!$B$3-100)*3)+Inputs!$B$28+Inputs!$B$29)))</f>
        <v/>
      </c>
      <c r="E727">
        <f>INDEX(FactorTable!$B$2:$Y$301, MATCH(ROUND(MIN(300,MAX(1,D727)),0), FactorTable!$A$2:$A$301,0), Skills!M32+1)</f>
        <v/>
      </c>
      <c r="F727">
        <f>IF(Skills!N32=TRUE,(Skills!L32/10)*(E727/1000),Skills!L32/10)+Skills!O32</f>
        <v/>
      </c>
      <c r="G727">
        <f>Skills!G32*IF(Skills!H32&gt;0,INT(IF(Inputs!$B$38="pvp",MIN(Skills!I32,15),Skills!I32)/Skills!H32+0.000000001),1)</f>
        <v/>
      </c>
      <c r="H727">
        <f>1-(1-Skills!J32/100)^Skills!K32</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716=TRUE)*F716*IF(AND(Inputs!$B$38&lt;&gt;"pvp",Inputs!$B$43&gt;0),(((R716-1)*MIN((Skills!T21*(1+Inputs!$B$34/100)),(1/Q716))+MIN((Skills!T21*(1+Inputs!$B$34/100)),MAX(0,Inputs!$B$43-((R716-1)*(1/Q716)))))/Inputs!$B$43),IF(Inputs!$B$38="pvp",MIN((Skills!T21*(1+Inputs!$B$34/100)),15)/15,MIN(1,(Skills!T21*(1+Inputs!$B$34/100))/(1/Q716)))))</f>
        <v/>
      </c>
    </row>
    <row r="732">
      <c r="A732" t="inlineStr">
        <is>
          <t>Actions Per Second</t>
        </is>
      </c>
      <c r="B732">
        <f>1+MIN(150,150*(1-(1-(Inputs!$B$11+((C718=TRUE)*(F718-Calc!F23))+((C719=TRUE)*(F719-Calc!F24)))/150)*(1-B731/150)))/100</f>
        <v/>
      </c>
    </row>
    <row r="733">
      <c r="A733" t="inlineStr">
        <is>
          <t>Skill + Buff Cast Rate</t>
        </is>
      </c>
      <c r="B733">
        <f>IF(AND(Inputs!$B$38&lt;&gt;"pvp",Inputs!$B$43&gt;0),SUMPRODUCT((Skills!E2:E32=TRUE)*(C697:C727=TRUE)*R697:R727*Skills!F2:F32)/Inputs!$B$43,SUMPRODUCT((Skills!E2:E32=TRUE)*(C697:C727=TRUE)*Q697:Q727*Skills!F2:F32))</f>
        <v/>
      </c>
    </row>
    <row r="734">
      <c r="A734" t="inlineStr">
        <is>
          <t>Arrow Stream Casts Per Second</t>
        </is>
      </c>
      <c r="B734">
        <f>MAX(0,B732-B733)</f>
        <v/>
      </c>
    </row>
    <row r="735">
      <c r="A735" t="inlineStr">
        <is>
          <t>Global Critical Damage Bonus % (Sharp Eyes + Concentration)</t>
        </is>
      </c>
      <c r="B735">
        <f>(C713=TRUE)*F713*IF(AND(Inputs!$B$38&lt;&gt;"pvp",Inputs!$B$43&gt;0),(((R713-1)*MIN((Skills!T18*(1+Inputs!$B$34/100)),(1/Q713))+MIN((Skills!T18*(1+Inputs!$B$34/100)),MAX(0,Inputs!$B$43-((R713-1)*(1/Q713)))))/Inputs!$B$43),IF(Inputs!$B$38="pvp",MIN((Skills!T18*(1+Inputs!$B$34/100)),15)/15,MIN(1,(Skills!T18*(1+Inputs!$B$34/100))/(1/Q713))))+(C714=TRUE)*7*F714</f>
        <v/>
      </c>
    </row>
    <row r="736">
      <c r="A736" t="inlineStr">
        <is>
          <t>Global Final Damage Bonus % (Mortal Blow)</t>
        </is>
      </c>
      <c r="B736">
        <f>(C715=TRUE)*F715</f>
        <v/>
      </c>
    </row>
    <row r="737">
      <c r="A737" t="inlineStr">
        <is>
          <t>Buff-Casting Startup Delay (s, fixed-duration only)</t>
        </is>
      </c>
      <c r="B737">
        <f>IF(AND(Inputs!$B$38&lt;&gt;"pvp",Inputs!$B$43&gt;0),SUMPRODUCT((Skills!T2:T32&gt;0)*(Skills!E2:E32=TRUE)*(C697:C727=TRUE))/B732,0)</f>
        <v/>
      </c>
    </row>
    <row r="738">
      <c r="A738" t="inlineStr">
        <is>
          <t>Boss-Only Total DPS (this block's swept value)</t>
        </is>
      </c>
      <c r="B738">
        <f>SUM(T697:T727)</f>
        <v/>
      </c>
    </row>
    <row r="739">
      <c r="A739" t="inlineStr">
        <is>
          <t>Normal-Only Total DPS (this block's swept value)</t>
        </is>
      </c>
      <c r="B739">
        <f>SUM(V697:V727)</f>
        <v/>
      </c>
    </row>
    <row r="740">
      <c r="A740" s="6" t="inlineStr">
        <is>
          <t>TOTAL DPS</t>
        </is>
      </c>
      <c r="B740" s="6">
        <f>SUM(O697:O727)</f>
        <v/>
      </c>
    </row>
    <row r="743">
      <c r="A743" s="6" t="inlineStr">
        <is>
          <t>Stat: BASIC_ATTACK_DAMAGE %</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Skills!G2*IF(Skills!H2&gt;0,INT(IF(Inputs!$B$38="pvp",MIN(Skills!I2,15),Skills!I2)/Skills!H2+0.000000001),1)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769=TRUE)*(F769-Calc!F26)),(Inputs!$B$23+((C774=TRUE)*(F774-Calc!F31))+(IF(ArtifactsInput!$M$15,CHOOSE(ArtifactsInput!$N$15+1,25,30,35,40,45,50)/100*(Inputs!$B$11-Inputs!$B$11),0))))/100+(Inputs!$B$23+((C774=TRUE)*(F774-Calc!F31))+(IF(ArtifactsInput!$M$15,CHOOSE(ArtifactsInput!$N$15+1,25,30,35,40,45,50)/100*(Inputs!$B$11-Inputs!$B$11),0)))/100)/2</f>
        <v/>
      </c>
      <c r="M745">
        <f>L745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IF(B788=0,0,O745/B788)</f>
        <v/>
      </c>
      <c r="Q745" t="n">
        <v>0</v>
      </c>
      <c r="R745" t="n">
        <v>0</v>
      </c>
      <c r="S745">
        <f>IFERROR(O745/N745,0)</f>
        <v/>
      </c>
      <c r="T745">
        <f>IF(C745,(Skills!G2*N745*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IF(Skills!C3=1,60+Inputs!$B$25+Inputs!$B$29,IF(Skills!C3=2,90+Inputs!$B$26+Inputs!$B$29,IF(Skills!C3=3,120+Inputs!$B$27+Inputs!$B$29,MAX(0,(Inputs!$B$3-100)*3)+Inputs!$B$28+Inputs!$B$29)))</f>
        <v/>
      </c>
      <c r="E746">
        <f>INDEX(FactorTable!$B$2:$Y$301, MATCH(ROUND(MIN(300,MAX(1,D746)),0), FactorTable!$A$2:$A$301,0), Skills!M3+1)</f>
        <v/>
      </c>
      <c r="F746">
        <f>IF(Skills!N3=TRUE,(Skills!L3/10)*(E746/1000),Skills!L3/10)+Skills!O3</f>
        <v/>
      </c>
      <c r="G746">
        <f>Skills!G3*IF(Skills!H3&gt;0,INT(IF(Inputs!$B$38="pvp",MIN(Skills!I3,15),Skills!I3)/Skills!H3+0.000000001),1)</f>
        <v/>
      </c>
      <c r="H746">
        <f>1-(1-Skills!J3/100)^Skills!K3</f>
        <v/>
      </c>
      <c r="I746" t="inlineStr">
        <is>
          <t>1</t>
        </is>
      </c>
      <c r="J746">
        <f>((Inputs!$B$6*(1+Inputs!$B$7/100))+(((Inputs!$B$12*(1+Inputs!$B$13/100))-(Inputs!$B$12*(1+Inputs!$B$13/100)))+0.25*(Inputs!$B$14-Inputs!$B$14))*(1+Inputs!$B$7/100))*(F746/100)</f>
        <v/>
      </c>
      <c r="K746">
        <f>J746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747=TRUE,F747,0)/100)*(1+(IF(Skills!A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C769=TRUE)*(F769-Calc!F26)),(Inputs!$B$23+((C774=TRUE)*(F774-Calc!F31))+(IF(ArtifactsInput!$M$15,CHOOSE(ArtifactsInput!$N$15+1,25,30,35,40,45,50)/100*(Inputs!$B$11-Inputs!$B$11),0))))/100+(Inputs!$B$23+((C774=TRUE)*(F774-Calc!F31))+(IF(ArtifactsInput!$M$15,CHOOSE(ArtifactsInput!$N$15+1,25,30,35,40,45,50)/100*(Inputs!$B$11-Inputs!$B$11),0)))/100)/2</f>
        <v/>
      </c>
      <c r="M746">
        <f>L746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(1-Summary!$B$11)*T746+Summary!$B$11*V746</f>
        <v/>
      </c>
      <c r="P746">
        <f>IF(B788=0,0,O746/B788)</f>
        <v/>
      </c>
      <c r="Q746">
        <f>IFERROR(1/(IF(Inputs!$B$38="pvp",15,MAX(0.1,1/B780-IF(FALSE=TRUE,Inputs!$B$32,0)))*(1-IF(AND(ArtifactsInput!$M$27,Inputs!$B$4="Chapter Hunt"),CHOOSE(ArtifactsInput!$N$27+1,20,24,28,32,36,40),0)/100)),0)</f>
        <v/>
      </c>
      <c r="R746">
        <f>IF(AND(Inputs!$B$38&lt;&gt;"pvp",Inputs!$B$43&gt;0),IF(MAX(0,Inputs!$B$43-B785)&lt;=0,0,(INT(MAX(0,Inputs!$B$43-B785)/(IF(Inputs!$B$38="pvp",15,MAX(0.1,1/B780-IF(FALSE=TRUE,Inputs!$B$32,0)))*(1-IF(AND(ArtifactsInput!$M$27,Inputs!$B$4="Chapter Hunt"),CHOOSE(ArtifactsInput!$N$27+1,20,24,28,32,36,40),0)/100)))+1)),0)</f>
        <v/>
      </c>
      <c r="S746">
        <f>IFERROR(O746/N746,0)</f>
        <v/>
      </c>
      <c r="T746">
        <f>IF(C746,(H746*N746*IF(AND(Inputs!$B$38&lt;&gt;"pvp",Inputs!$B$43&gt;0),((Skills!G3*((R746-1)*IF(Skills!H3&gt;0,INT(Skills!I3/Skills!H3+0.000000001),1)+IF(Skills!H3&gt;0,INT(MIN(Skills!I3,MAX(0,MAX(0,Inputs!$B$43-B785)-((R746-1)*(IF(Inputs!$B$38="pvp",15,MAX(0.1,1/B780-IF(FALSE=TRUE,Inputs!$B$32,0)))*(1-IF(AND(ArtifactsInput!$M$27,Inputs!$B$4="Chapter Hunt"),CHOOSE(ArtifactsInput!$N$27+1,20,24,28,32,36,40),0)/100)))))/Skills!H3+0.000000001),1)))/Inputs!$B$43),G746*Q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INDEX(FactorTable!$B$2:$Y$301, MATCH(ROUND(MIN(300,MAX(1,U745)),0), FactorTable!$A$2:$A$301,0), 22)</f>
        <v/>
      </c>
      <c r="V746">
        <f>IF(C746,(H746*N746*IF(AND(Inputs!$B$38&lt;&gt;"pvp",Inputs!$B$43&gt;0),((Skills!G3*((R746-1)*IF(Skills!H3&gt;0,INT(Skills!I3/Skills!H3+0.000000001),1)+IF(Skills!H3&gt;0,INT(MIN(Skills!I3,MAX(0,MAX(0,Inputs!$B$43-B785)-((R746-1)*(IF(Inputs!$B$38="pvp",15,MAX(0.1,1/B780-IF(FALSE=TRUE,Inputs!$B$32,0)))*(1-IF(AND(ArtifactsInput!$M$27,Inputs!$B$4="Chapter Hunt"),CHOOSE(ArtifactsInput!$N$27+1,20,24,28,32,36,40),0)/100)))))/Skills!H3+0.000000001),1)))/Inputs!$B$43),G746*Q746))*IF(Inputs!$B$38="pvp",1,(1+(Inputs!$B$21+Skills!Q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Skills!A4</f>
        <v/>
      </c>
      <c r="B747">
        <f>Skills!B4</f>
        <v/>
      </c>
      <c r="C747">
        <f>Inputs!$B$3&gt;=105</f>
        <v/>
      </c>
      <c r="D747">
        <f>IF(Skills!C4=1,60+Inputs!$B$25+Inputs!$B$29,IF(Skills!C4=2,90+Inputs!$B$26+Inputs!$B$29,IF(Skills!C4=3,120+Inputs!$B$27+Inputs!$B$29,MAX(0,(Inputs!$B$3-100)*3)+Inputs!$B$28+Inputs!$B$29)))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T747" t="inlineStr"/>
      <c r="U747">
        <f>290*U746/1000</f>
        <v/>
      </c>
      <c r="V747" t="inlineStr"/>
    </row>
    <row r="748">
      <c r="A748">
        <f>Skills!A5</f>
        <v/>
      </c>
      <c r="B748">
        <f>Skills!B5</f>
        <v/>
      </c>
      <c r="C748">
        <f>Inputs!$B$3&gt;=35</f>
        <v/>
      </c>
      <c r="D748">
        <f>IF(Skills!C5=1,60+Inputs!$B$25+Inputs!$B$29,IF(Skills!C5=2,90+Inputs!$B$26+Inputs!$B$29,IF(Skills!C5=3,120+Inputs!$B$27+Inputs!$B$29,MAX(0,(Inputs!$B$3-100)*3)+Inputs!$B$28+Inputs!$B$29)))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Skills!G5*IF(Skills!H5&gt;0,INT(IF(Inputs!$B$38="pvp",MIN(Skills!I5,15),Skills!I5)/Skills!H5+0.000000001),1)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5="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26)),(Inputs!$B$23+((C774=TRUE)*(F774-Calc!F31))+(IF(ArtifactsInput!$M$15,CHOOSE(ArtifactsInput!$N$15+1,25,30,35,40,45,50)/100*(Inputs!$B$11-Inputs!$B$11),0))))/100+(Inputs!$B$23+((C774=TRUE)*(F774-Calc!F31))+(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f>IFERROR(1/(IF(Inputs!$B$38="pvp",15,MAX(0.1,Skills!D5-IF(TRUE=TRUE,Inputs!$B$32,0)))*(1-IF(AND(ArtifactsInput!$M$27,Inputs!$B$4="Chapter Hunt"),CHOOSE(ArtifactsInput!$N$27+1,20,24,28,32,36,40),0)/100)),0)</f>
        <v/>
      </c>
      <c r="R748">
        <f>IF(AND(Inputs!$B$38&lt;&gt;"pvp",Inputs!$B$43&gt;0),IF(MAX(0,Inputs!$B$43-B785)&lt;=0,0,(INT(MAX(0,Inputs!$B$43-B785)/(IF(Inputs!$B$38="pvp",15,MAX(0.1,Skills!D5-IF(TRUE=TRUE,Inputs!$B$32,0)))*(1-IF(AND(ArtifactsInput!$M$27,Inputs!$B$4="Chapter Hunt"),CHOOSE(ArtifactsInput!$N$27+1,20,24,28,32,36,40),0)/100)))+1)),0)</f>
        <v/>
      </c>
      <c r="S748">
        <f>IFERROR(O748/N748,0)</f>
        <v/>
      </c>
      <c r="T748">
        <f>IF(C748,(H748*N748*IF(AND(Inputs!$B$38&lt;&gt;"pvp",Inputs!$B$43&gt;0),((Skills!G5*((R748-1)*IF(Skills!H5&gt;0,INT(Skills!I5/Skills!H5+0.000000001),1)+IF(Skills!H5&gt;0,INT(MIN(Skills!I5,MAX(0,MAX(0,Inputs!$B$43-B785)-((R748-1)*(IF(Inputs!$B$38="pvp",15,MAX(0.1,Skills!D5-IF(TRUE=TRUE,Inputs!$B$32,0)))*(1-IF(AND(ArtifactsInput!$M$27,Inputs!$B$4="Chapter Hunt"),CHOOSE(ArtifactsInput!$N$27+1,20,24,28,32,36,40),0)/100)))))/Skills!H5+0.000000001),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INT(Skills!I5/Skills!H5+0.000000001),1)+IF(Skills!H5&gt;0,INT(MIN(Skills!I5,MAX(0,MAX(0,Inputs!$B$43-B785)-((R748-1)*(IF(Inputs!$B$38="pvp",15,MAX(0.1,Skills!D5-IF(TRUE=TRUE,Inputs!$B$32,0)))*(1-IF(AND(ArtifactsInput!$M$27,Inputs!$B$4="Chapter Hunt"),CHOOSE(ArtifactsInput!$N$27+1,20,24,28,32,36,40),0)/100)))))/Skills!H5+0.000000001),1)))/Inputs!$B$43),G748*Q748))*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Inputs!$B$3&gt;=40</f>
        <v/>
      </c>
      <c r="D749">
        <f>IF(Skills!C6=1,60+Inputs!$B$25+Inputs!$B$29,IF(Skills!C6=2,90+Inputs!$B$26+Inputs!$B$29,IF(Skills!C6=3,120+Inputs!$B$27+Inputs!$B$29,MAX(0,(Inputs!$B$3-100)*3)+Inputs!$B$28+Inputs!$B$29)))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Skills!G6*IF(Skills!H6&gt;0,INT(IF(Inputs!$B$38="pvp",MIN(Skills!I6,15),Skills!I6)/Skills!H6+0.000000001),1)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750=TRUE,F750,0)/100)*(1+(IF(Skills!A6="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769=TRUE)*(F769-Calc!F26)),(Inputs!$B$23+((C774=TRUE)*(F774-Calc!F31))+(IF(ArtifactsInput!$M$15,CHOOSE(ArtifactsInput!$N$15+1,25,30,35,40,45,50)/100*(Inputs!$B$11-Inputs!$B$11),0))))/100+(Inputs!$B$23+((C774=TRUE)*(F774-Calc!F31))+(IF(ArtifactsInput!$M$15,CHOOSE(ArtifactsInput!$N$15+1,25,30,35,40,45,50)/100*(Inputs!$B$11-Inputs!$B$11),0)))/100)/2</f>
        <v/>
      </c>
      <c r="M749">
        <f>L749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IF(B788=0,0,O749/B788)</f>
        <v/>
      </c>
      <c r="Q749">
        <f>IFERROR(1/(IF(Inputs!$B$38="pvp",15,MAX(0.1,1-0.4*MIN(1,(B780-1)/1.5)-IF(FALSE=TRUE,Inputs!$B$32,0)))*(1-IF(AND(ArtifactsInput!$M$27,Inputs!$B$4="Chapter Hunt"),CHOOSE(ArtifactsInput!$N$27+1,20,24,28,32,36,40),0)/100)),0)</f>
        <v/>
      </c>
      <c r="R749">
        <f>IF(AND(Inputs!$B$38&lt;&gt;"pvp",Inputs!$B$43&gt;0),IF(MAX(0,Inputs!$B$43-B785)&lt;=0,0,(INT(MAX(0,Inputs!$B$43-B785)/(IF(Inputs!$B$38="pvp",15,MAX(0.1,1-0.4*MIN(1,(B780-1)/1.5)-IF(FALSE=TRUE,Inputs!$B$32,0)))*(1-IF(AND(ArtifactsInput!$M$27,Inputs!$B$4="Chapter Hunt"),CHOOSE(ArtifactsInput!$N$27+1,20,24,28,32,36,40),0)/100)))+1)),0)</f>
        <v/>
      </c>
      <c r="S749">
        <f>IFERROR(O749/N749,0)</f>
        <v/>
      </c>
      <c r="T749">
        <f>IF(C749,(H749*N749*IF(AND(Inputs!$B$38&lt;&gt;"pvp",Inputs!$B$43&gt;0),((Skills!G6*((R749-1)*IF(Skills!H6&gt;0,INT(Skills!I6/Skills!H6+0.000000001),1)+IF(Skills!H6&gt;0,INT(MIN(Skills!I6,MAX(0,MAX(0,Inputs!$B$43-B785)-((R749-1)*(IF(Inputs!$B$38="pvp",15,MAX(0.1,1-0.4*MIN(1,(B780-1)/1.5)-IF(FALSE=TRUE,Inputs!$B$32,0)))*(1-IF(AND(ArtifactsInput!$M$27,Inputs!$B$4="Chapter Hunt"),CHOOSE(ArtifactsInput!$N$27+1,20,24,28,32,36,40),0)/100)))))/Skills!H6+0.000000001),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INT(Skills!I6/Skills!H6+0.000000001),1)+IF(Skills!H6&gt;0,INT(MIN(Skills!I6,MAX(0,MAX(0,Inputs!$B$43-B785)-((R749-1)*(IF(Inputs!$B$38="pvp",15,MAX(0.1,1-0.4*MIN(1,(B780-1)/1.5)-IF(FALSE=TRUE,Inputs!$B$32,0)))*(1-IF(AND(ArtifactsInput!$M$27,Inputs!$B$4="Chapter Hunt"),CHOOSE(ArtifactsInput!$N$27+1,20,24,28,32,36,40),0)/100)))))/Skills!H6+0.000000001),1)))/Inputs!$B$43),G749*Q749))*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IF(Skills!C7=1,60+Inputs!$B$25+Inputs!$B$29,IF(Skills!C7=2,90+Inputs!$B$26+Inputs!$B$29,IF(Skills!C7=3,120+Inputs!$B$27+Inputs!$B$29,MAX(0,(Inputs!$B$3-100)*3)+Inputs!$B$28+Inputs!$B$29)))</f>
        <v/>
      </c>
      <c r="E750">
        <f>INDEX(FactorTable!$B$2:$Y$301, MATCH(ROUND(MIN(300,MAX(1,D750)),0), FactorTable!$A$2:$A$301,0), Skills!M7+1)</f>
        <v/>
      </c>
      <c r="F750">
        <f>IF(Skills!N7=TRUE,(Skills!L7/10)*(E750/1000),Skills!L7/10)+Skills!O7</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V750" t="inlineStr"/>
    </row>
    <row r="751">
      <c r="A751">
        <f>Skills!A8</f>
        <v/>
      </c>
      <c r="B751">
        <f>Skills!B8</f>
        <v/>
      </c>
      <c r="C751">
        <f>Inputs!$B$3&gt;=130</f>
        <v/>
      </c>
      <c r="D751">
        <f>IF(Skills!C8=1,60+Inputs!$B$25+Inputs!$B$29,IF(Skills!C8=2,90+Inputs!$B$26+Inputs!$B$29,IF(Skills!C8=3,120+Inputs!$B$27+Inputs!$B$29,MAX(0,(Inputs!$B$3-100)*3)+Inputs!$B$28+Inputs!$B$29)))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Skills!G8*IF(Skills!H8&gt;0,INT(IF(Inputs!$B$38="pvp",MIN(Skills!I8,15),Skills!I8)/Skills!H8+0.000000001),1)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26)),(Inputs!$B$23+((C774=TRUE)*(F774-Calc!F31))+(IF(ArtifactsInput!$M$15,CHOOSE(ArtifactsInput!$N$15+1,25,30,35,40,45,50)/100*(Inputs!$B$11-Inputs!$B$11),0))))/100+(Inputs!$B$23+((C774=TRUE)*(F774-Calc!F31))+(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IFERROR(1/(IF(Inputs!$B$38="pvp",15,MAX(0.1,1-0.4*MIN(1,(B780-1)/1.5)-IF(FALSE=TRUE,Inputs!$B$32,0)))*(1-IF(AND(ArtifactsInput!$M$27,Inputs!$B$4="Chapter Hunt"),CHOOSE(ArtifactsInput!$N$27+1,20,24,28,32,36,40),0)/100)),0)</f>
        <v/>
      </c>
      <c r="R751">
        <f>IF(AND(Inputs!$B$38&lt;&gt;"pvp",Inputs!$B$43&gt;0),IF(MAX(0,Inputs!$B$43-B785)&lt;=0,0,(INT(MAX(0,Inputs!$B$43-B785)/(IF(Inputs!$B$38="pvp",15,MAX(0.1,1-0.4*MIN(1,(B780-1)/1.5)-IF(FALSE=TRUE,Inputs!$B$32,0)))*(1-IF(AND(ArtifactsInput!$M$27,Inputs!$B$4="Chapter Hunt"),CHOOSE(ArtifactsInput!$N$27+1,20,24,28,32,36,40),0)/100)))+1)),0)</f>
        <v/>
      </c>
      <c r="S751">
        <f>IFERROR(O751/N751,0)</f>
        <v/>
      </c>
      <c r="T751">
        <f>IF(C751,(H751*N751*IF(AND(Inputs!$B$38&lt;&gt;"pvp",Inputs!$B$43&gt;0),((Skills!G8*((R751-1)*IF(Skills!H8&gt;0,INT(Skills!I8/Skills!H8+0.000000001),1)+IF(Skills!H8&gt;0,INT(MIN(Skills!I8,MAX(0,MAX(0,Inputs!$B$43-B785)-((R751-1)*(IF(Inputs!$B$38="pvp",15,MAX(0.1,1-0.4*MIN(1,(B780-1)/1.5)-IF(FALSE=TRUE,Inputs!$B$32,0)))*(1-IF(AND(ArtifactsInput!$M$27,Inputs!$B$4="Chapter Hunt"),CHOOSE(ArtifactsInput!$N$27+1,20,24,28,32,36,40),0)/100)))))/Skills!H8+0.000000001),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INT(Skills!I8/Skills!H8+0.000000001),1)+IF(Skills!H8&gt;0,INT(MIN(Skills!I8,MAX(0,MAX(0,Inputs!$B$43-B785)-((R751-1)*(IF(Inputs!$B$38="pvp",15,MAX(0.1,1-0.4*MIN(1,(B780-1)/1.5)-IF(FALSE=TRUE,Inputs!$B$32,0)))*(1-IF(AND(ArtifactsInput!$M$27,Inputs!$B$4="Chapter Hunt"),CHOOSE(ArtifactsInput!$N$27+1,20,24,28,32,36,40),0)/100)))))/Skills!H8+0.000000001),1)))/Inputs!$B$43),G751*Q751))*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Skills!G9*IF(Skills!H9&gt;0,INT(IF(Inputs!$B$38="pvp",MIN(Skills!I9,15),Skills!I9)/Skills!H9+0.000000001),1)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755=TRUE,F755,0)/100)*(1+(IF(Skills!A9="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26)),(Inputs!$B$23+((C774=TRUE)*(F774-Calc!F31))+(IF(ArtifactsInput!$M$15,CHOOSE(ArtifactsInput!$N$15+1,25,30,35,40,45,50)/100*(Inputs!$B$11-Inputs!$B$11),0))))/100+(Inputs!$B$23+((C774=TRUE)*(F774-Calc!F31))+(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IFERROR(1/(IF(Inputs!$B$38="pvp",15,MAX(0.1,Skills!D9-IF(TRUE=TRUE,Inputs!$B$32,0)))*(1-IF(AND(ArtifactsInput!$M$27,Inputs!$B$4="Chapter Hunt"),CHOOSE(ArtifactsInput!$N$27+1,20,24,28,32,36,40),0)/100)),0)</f>
        <v/>
      </c>
      <c r="R752">
        <f>IF(AND(Inputs!$B$38&lt;&gt;"pvp",Inputs!$B$43&gt;0),IF(MAX(0,Inputs!$B$43-B785)&lt;=0,0,(INT(MAX(0,Inputs!$B$43-B785)/(IF(Inputs!$B$38="pvp",15,MAX(0.1,Skills!D9-IF(TRUE=TRUE,Inputs!$B$32,0)))*(1-IF(AND(ArtifactsInput!$M$27,Inputs!$B$4="Chapter Hunt"),CHOOSE(ArtifactsInput!$N$27+1,20,24,28,32,36,40),0)/100)))+1)),0)</f>
        <v/>
      </c>
      <c r="S752">
        <f>IFERROR(O752/N752,0)</f>
        <v/>
      </c>
      <c r="T752">
        <f>IF(C752,(H752*N752*IF(AND(Inputs!$B$38&lt;&gt;"pvp",Inputs!$B$43&gt;0),((Skills!G9*((R752-1)*IF(Skills!H9&gt;0,INT(Skills!I9/Skills!H9+0.000000001),1)+IF(Skills!H9&gt;0,INT(MIN(Skills!I9,MAX(0,MAX(0,Inputs!$B$43-B785)-((R752-1)*(IF(Inputs!$B$38="pvp",15,MAX(0.1,Skills!D9-IF(TRUE=TRUE,Inputs!$B$32,0)))*(1-IF(AND(ArtifactsInput!$M$27,Inputs!$B$4="Chapter Hunt"),CHOOSE(ArtifactsInput!$N$27+1,20,24,28,32,36,40),0)/100)))))/Skills!H9+0.000000001),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INT(Skills!I9/Skills!H9+0.000000001),1)+IF(Skills!H9&gt;0,INT(MIN(Skills!I9,MAX(0,MAX(0,Inputs!$B$43-B785)-((R752-1)*(IF(Inputs!$B$38="pvp",15,MAX(0.1,Skills!D9-IF(TRUE=TRUE,Inputs!$B$32,0)))*(1-IF(AND(ArtifactsInput!$M$27,Inputs!$B$4="Chapter Hunt"),CHOOSE(ArtifactsInput!$N$27+1,20,24,28,32,36,40),0)/100)))))/Skills!H9+0.000000001),1)))/Inputs!$B$43),G752*Q752))*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Skills!G10*IF(Skills!H10&gt;0,INT(IF(Inputs!$B$38="pvp",MIN(Skills!I10,15),Skills!I10)/Skills!H10+0.000000001),1)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10="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26)),(Inputs!$B$23+((C774=TRUE)*(F774-Calc!F31))+(IF(ArtifactsInput!$M$15,CHOOSE(ArtifactsInput!$N$15+1,25,30,35,40,45,50)/100*(Inputs!$B$11-Inputs!$B$11),0))))/100+(Inputs!$B$23+((C774=TRUE)*(F774-Calc!F31))+(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IFERROR(1/(IF(Inputs!$B$38="pvp",15,MAX(0.1,Skills!D10-IF(TRUE=TRUE,Inputs!$B$32,0)))*(1-IF(AND(ArtifactsInput!$M$27,Inputs!$B$4="Chapter Hunt"),CHOOSE(ArtifactsInput!$N$27+1,20,24,28,32,36,40),0)/100)),0)</f>
        <v/>
      </c>
      <c r="R753">
        <f>IF(AND(Inputs!$B$38&lt;&gt;"pvp",Inputs!$B$43&gt;0),IF(MAX(0,Inputs!$B$43-B785)&lt;=0,0,(INT(MAX(0,Inputs!$B$43-B785)/(IF(Inputs!$B$38="pvp",15,MAX(0.1,Skills!D10-IF(TRUE=TRUE,Inputs!$B$32,0)))*(1-IF(AND(ArtifactsInput!$M$27,Inputs!$B$4="Chapter Hunt"),CHOOSE(ArtifactsInput!$N$27+1,20,24,28,32,36,40),0)/100)))+1)),0)</f>
        <v/>
      </c>
      <c r="S753">
        <f>IFERROR(O753/N753,0)</f>
        <v/>
      </c>
      <c r="T753">
        <f>IF(C753,(H753*N753*IF(AND(Inputs!$B$38&lt;&gt;"pvp",Inputs!$B$43&gt;0),((Skills!G10*((R753-1)*IF(Skills!H10&gt;0,INT(Skills!I10/Skills!H10+0.000000001),1)+IF(Skills!H10&gt;0,INT(MIN(Skills!I10,MAX(0,MAX(0,Inputs!$B$43-B785)-((R753-1)*(IF(Inputs!$B$38="pvp",15,MAX(0.1,Skills!D10-IF(TRUE=TRUE,Inputs!$B$32,0)))*(1-IF(AND(ArtifactsInput!$M$27,Inputs!$B$4="Chapter Hunt"),CHOOSE(ArtifactsInput!$N$27+1,20,24,28,32,36,40),0)/100)))))/Skills!H10+0.000000001),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INT(Skills!I10/Skills!H10+0.000000001),1)+IF(Skills!H10&gt;0,INT(MIN(Skills!I10,MAX(0,MAX(0,Inputs!$B$43-B785)-((R753-1)*(IF(Inputs!$B$38="pvp",15,MAX(0.1,Skills!D10-IF(TRUE=TRUE,Inputs!$B$32,0)))*(1-IF(AND(ArtifactsInput!$M$27,Inputs!$B$4="Chapter Hunt"),CHOOSE(ArtifactsInput!$N$27+1,20,24,28,32,36,40),0)/100)))))/Skills!H10+0.000000001),1)))/Inputs!$B$43),G753*Q753))*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Inputs!$B$3&gt;=103</f>
        <v/>
      </c>
      <c r="D754">
        <f>IF(Skills!C11=1,60+Inputs!$B$25+Inputs!$B$29,IF(Skills!C11=2,90+Inputs!$B$26+Inputs!$B$29,IF(Skills!C11=3,120+Inputs!$B$27+Inputs!$B$29,MAX(0,(Inputs!$B$3-100)*3)+Inputs!$B$28+Inputs!$B$29)))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Skills!G11*IF(Skills!H11&gt;0,INT(IF(Inputs!$B$38="pvp",MIN(Skills!I11,15),Skills!I11)/Skills!H11+0.000000001),1)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769=TRUE)*(F769-Calc!F26)),(Inputs!$B$23+((C774=TRUE)*(F774-Calc!F31))+(IF(ArtifactsInput!$M$15,CHOOSE(ArtifactsInput!$N$15+1,25,30,35,40,45,50)/100*(Inputs!$B$11-Inputs!$B$11),0))))/100+(Inputs!$B$23+((C774=TRUE)*(F774-Calc!F31))+(IF(ArtifactsInput!$M$15,CHOOSE(ArtifactsInput!$N$15+1,25,30,35,40,45,50)/100*(Inputs!$B$11-Inputs!$B$11),0)))/100)/2</f>
        <v/>
      </c>
      <c r="M754">
        <f>L754*(1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IF(B788=0,0,O754/B788)</f>
        <v/>
      </c>
      <c r="Q754">
        <f>IFERROR(1/(IF(Inputs!$B$38="pvp",15,MAX(0.1,Skills!D11-IF(TRUE=TRUE,Inputs!$B$32,0)))*(1-IF(AND(ArtifactsInput!$M$27,Inputs!$B$4="Chapter Hunt"),CHOOSE(ArtifactsInput!$N$27+1,20,24,28,32,36,40),0)/100)),0)</f>
        <v/>
      </c>
      <c r="R754">
        <f>IF(AND(Inputs!$B$38&lt;&gt;"pvp",Inputs!$B$43&gt;0),IF(MAX(0,Inputs!$B$43-B785)&lt;=0,0,(INT(MAX(0,Inputs!$B$43-B785)/(IF(Inputs!$B$38="pvp",15,MAX(0.1,Skills!D11-IF(TRUE=TRUE,Inputs!$B$32,0)))*(1-IF(AND(ArtifactsInput!$M$27,Inputs!$B$4="Chapter Hunt"),CHOOSE(ArtifactsInput!$N$27+1,20,24,28,32,36,40),0)/100)))+1)),0)</f>
        <v/>
      </c>
      <c r="S754">
        <f>IFERROR(O754/N754,0)</f>
        <v/>
      </c>
      <c r="T754">
        <f>IF(C754,(H754*N754*IF(AND(Inputs!$B$38&lt;&gt;"pvp",Inputs!$B$43&gt;0),((Skills!G11*((R754-1)*IF(Skills!H11&gt;0,INT(Skills!I11/Skills!H11+0.000000001),1)+IF(Skills!H11&gt;0,INT(MIN(Skills!I11,MAX(0,MAX(0,Inputs!$B$43-B785)-((R754-1)*(IF(Inputs!$B$38="pvp",15,MAX(0.1,Skills!D11-IF(TRUE=TRUE,Inputs!$B$32,0)))*(1-IF(AND(ArtifactsInput!$M$27,Inputs!$B$4="Chapter Hunt"),CHOOSE(ArtifactsInput!$N$27+1,20,24,28,32,36,40),0)/100)))))/Skills!H11+0.000000001)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INT(Skills!I11/Skills!H11+0.000000001),1)+IF(Skills!H11&gt;0,INT(MIN(Skills!I11,MAX(0,MAX(0,Inputs!$B$43-B785)-((R754-1)*(IF(Inputs!$B$38="pvp",15,MAX(0.1,Skills!D11-IF(TRUE=TRUE,Inputs!$B$32,0)))*(1-IF(AND(ArtifactsInput!$M$27,Inputs!$B$4="Chapter Hunt"),CHOOSE(ArtifactsInput!$N$27+1,20,24,28,32,36,40),0)/100)))))/Skills!H11+0.000000001),1)))/Inputs!$B$43),G754*Q754))*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c r="T755" t="inlineStr"/>
      <c r="V755" t="inlineStr"/>
    </row>
    <row r="756">
      <c r="A756">
        <f>Skills!A13</f>
        <v/>
      </c>
      <c r="B756">
        <f>Skills!B13</f>
        <v/>
      </c>
      <c r="C756">
        <f>Inputs!$B$3&gt;=60</f>
        <v/>
      </c>
      <c r="D756">
        <f>IF(Skills!C13=1,60+Inputs!$B$25+Inputs!$B$29,IF(Skills!C13=2,90+Inputs!$B$26+Inputs!$B$29,IF(Skills!C13=3,120+Inputs!$B$27+Inputs!$B$29,MAX(0,(Inputs!$B$3-100)*3)+Inputs!$B$28+Inputs!$B$29)))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Skills!G13*IF(Skills!H13&gt;0,INT(IF(Inputs!$B$38="pvp",MIN(Skills!I13,15),Skills!I13)/Skills!H13+0.000000001),1)</f>
        <v/>
      </c>
      <c r="H756">
        <f>1-(1-Skills!J13/100)^Skills!K13</f>
        <v/>
      </c>
      <c r="I756" t="inlineStr">
        <is>
          <t>1</t>
        </is>
      </c>
      <c r="J756">
        <f>((Inputs!$B$6*(1+Inputs!$B$7/100))+(((Inputs!$B$12*(1+Inputs!$B$13/100))-(Inputs!$B$12*(1+Inputs!$B$13/100)))+0.25*(Inputs!$B$14-Inputs!$B$14))*(1+Inputs!$B$7/100))*(F756/100)</f>
        <v/>
      </c>
      <c r="K756">
        <f>J756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757=TRUE,F757,0)/100)*(1+(IF(Skills!A13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26)),(Inputs!$B$23+((C774=TRUE)*(F774-Calc!F31))+(IF(ArtifactsInput!$M$15,CHOOSE(ArtifactsInput!$N$15+1,25,30,35,40,45,50)/100*(Inputs!$B$11-Inputs!$B$11),0))))/100+(Inputs!$B$23+((C774=TRUE)*(F774-Calc!F31))+(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IFERROR(1/(IF(Inputs!$B$38="pvp",15,MAX(0.1,IF(Inputs!$B$3&gt;=122,3,5)+1/(((20+30*(B780-1)*100/150)/100)*B780)-IF(FALSE=TRUE,Inputs!$B$32,0)))*(1-IF(AND(ArtifactsInput!$M$27,Inputs!$B$4="Chapter Hunt"),CHOOSE(ArtifactsInput!$N$27+1,20,24,28,32,36,40),0)/100)),0)</f>
        <v/>
      </c>
      <c r="R756">
        <f>IF(AND(Inputs!$B$38&lt;&gt;"pvp",Inputs!$B$43&gt;0),IF(MAX(0,Inputs!$B$43-B785)&lt;=0,0,(INT(MAX(0,Inputs!$B$43-B785)/(IF(Inputs!$B$38="pvp",15,MAX(0.1,IF(Inputs!$B$3&gt;=122,3,5)+1/(((20+30*(B780-1)*100/150)/100)*B780)-IF(FALSE=TRUE,Inputs!$B$32,0)))*(1-IF(AND(ArtifactsInput!$M$27,Inputs!$B$4="Chapter Hunt"),CHOOSE(ArtifactsInput!$N$27+1,20,24,28,32,36,40),0)/100)))+1)),0)</f>
        <v/>
      </c>
      <c r="S756">
        <f>IFERROR(O756/N756,0)</f>
        <v/>
      </c>
      <c r="T756">
        <f>IF(C756,(H756*N756*IF(AND(Inputs!$B$38&lt;&gt;"pvp",Inputs!$B$43&gt;0),((Skills!G13*((R756-1)*IF(Skills!H13&gt;0,INT(Skills!I13/Skills!H13+0.000000001),1)+IF(Skills!H13&gt;0,INT(MIN(Skills!I13,MAX(0,MAX(0,Inputs!$B$43-B785)-((R756-1)*(IF(Inputs!$B$38="pvp",15,MAX(0.1,IF(Inputs!$B$3&gt;=122,3,5)+1/(((20+30*(B780-1)*100/150)/100)*B780)-IF(FALSE=TRUE,Inputs!$B$32,0)))*(1-IF(AND(ArtifactsInput!$M$27,Inputs!$B$4="Chapter Hunt"),CHOOSE(ArtifactsInput!$N$27+1,20,24,28,32,36,40),0)/100)))))/Skills!H13+0.000000001),1)))/Inputs!$B$43),G756*Q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13*((R756-1)*IF(Skills!H13&gt;0,INT(Skills!I13/Skills!H13+0.000000001),1)+IF(Skills!H13&gt;0,INT(MIN(Skills!I13,MAX(0,MAX(0,Inputs!$B$43-B785)-((R756-1)*(IF(Inputs!$B$38="pvp",15,MAX(0.1,IF(Inputs!$B$3&gt;=122,3,5)+1/(((20+30*(B780-1)*100/150)/100)*B780)-IF(FALSE=TRUE,Inputs!$B$32,0)))*(1-IF(AND(ArtifactsInput!$M$27,Inputs!$B$4="Chapter Hunt"),CHOOSE(ArtifactsInput!$N$27+1,20,24,28,32,36,40),0)/100)))))/Skills!H13+0.000000001),1)))/Inputs!$B$43),G756*Q756))*IF(Inputs!$B$38="pvp",1,(1+(Inputs!$B$21+Skills!Q13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Skills!A14</f>
        <v/>
      </c>
      <c r="B757">
        <f>Skills!B14</f>
        <v/>
      </c>
      <c r="C757">
        <f>Inputs!$B$3&gt;=110</f>
        <v/>
      </c>
      <c r="D757">
        <f>IF(Skills!C14=1,60+Inputs!$B$25+Inputs!$B$29,IF(Skills!C14=2,90+Inputs!$B$26+Inputs!$B$29,IF(Skills!C14=3,120+Inputs!$B$27+Inputs!$B$29,MAX(0,(Inputs!$B$3-100)*3)+Inputs!$B$28+Inputs!$B$29)))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t="inlineStr"/>
      <c r="H757" t="inlineStr"/>
      <c r="I757" t="inlineStr">
        <is>
          <t>1</t>
        </is>
      </c>
      <c r="J757" t="inlineStr"/>
      <c r="K757" t="inlineStr"/>
      <c r="L757" t="inlineStr"/>
      <c r="M757" t="inlineStr"/>
      <c r="N757" t="inlineStr"/>
      <c r="O757" t="inlineStr"/>
      <c r="P757" t="inlineStr"/>
      <c r="Q757" t="inlineStr"/>
      <c r="R757" t="inlineStr"/>
      <c r="S757" t="inlineStr"/>
      <c r="T757" t="inlineStr"/>
      <c r="V757" t="inlineStr"/>
    </row>
    <row r="758">
      <c r="A758">
        <f>Skills!A15</f>
        <v/>
      </c>
      <c r="B758">
        <f>Skills!B15</f>
        <v/>
      </c>
      <c r="C758">
        <f>Inputs!$B$3&gt;=74</f>
        <v/>
      </c>
      <c r="D758">
        <f>IF(Skills!C15=1,60+Inputs!$B$25+Inputs!$B$29,IF(Skills!C15=2,90+Inputs!$B$26+Inputs!$B$29,IF(Skills!C15=3,120+Inputs!$B$27+Inputs!$B$29,MAX(0,(Inputs!$B$3-100)*3)+Inputs!$B$28+Inputs!$B$29)))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Skills!G15*IF(Skills!H15&gt;0,INT(IF(Inputs!$B$38="pvp",MIN(Skills!I15,15),Skills!I15)/Skills!H15+0.000000001),1)</f>
        <v/>
      </c>
      <c r="H758">
        <f>1-(1-Skills!J15/100)^Skills!K15</f>
        <v/>
      </c>
      <c r="I758" t="inlineStr">
        <is>
          <t>1</t>
        </is>
      </c>
      <c r="J758" t="inlineStr"/>
      <c r="K758" t="inlineStr"/>
      <c r="L758" t="inlineStr"/>
      <c r="M758" t="inlineStr"/>
      <c r="N758" t="inlineStr"/>
      <c r="O758">
        <f>(1-Summary!$B$11)*T758+Summary!$B$11*V758</f>
        <v/>
      </c>
      <c r="P758">
        <f>IF(B788=0,0,O758/B788)</f>
        <v/>
      </c>
      <c r="Q758" t="n">
        <v>0</v>
      </c>
      <c r="R758" t="n">
        <v>0</v>
      </c>
      <c r="S758">
        <f>IFERROR(O758/N758,0)</f>
        <v/>
      </c>
      <c r="T758" t="n">
        <v>0</v>
      </c>
      <c r="V758" t="n">
        <v>0</v>
      </c>
    </row>
    <row r="759">
      <c r="A759">
        <f>Skills!A16</f>
        <v/>
      </c>
      <c r="B759">
        <f>Skills!B16</f>
        <v/>
      </c>
      <c r="C759">
        <f>Inputs!$B$3&gt;=74</f>
        <v/>
      </c>
      <c r="D759">
        <f>IF(Skills!C16=1,60+Inputs!$B$25+Inputs!$B$29,IF(Skills!C16=2,90+Inputs!$B$26+Inputs!$B$29,IF(Skills!C16=3,120+Inputs!$B$27+Inputs!$B$29,MAX(0,(Inputs!$B$3-100)*3)+Inputs!$B$28+Inputs!$B$29)))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Skills!G16*IF(Skills!H16&gt;0,INT(IF(Inputs!$B$38="pvp",MIN(Skills!I16,15),Skills!I16)/Skills!H16+0.000000001),1)</f>
        <v/>
      </c>
      <c r="H759">
        <f>1-(1-Skills!J16/100)^Skills!K16</f>
        <v/>
      </c>
      <c r="I759" t="inlineStr">
        <is>
          <t>1</t>
        </is>
      </c>
      <c r="J759" t="inlineStr"/>
      <c r="K759" t="inlineStr"/>
      <c r="L759" t="inlineStr"/>
      <c r="M759" t="inlineStr"/>
      <c r="N759" t="inlineStr"/>
      <c r="O759">
        <f>(1-Summary!$B$11)*T759+Summary!$B$11*V759</f>
        <v/>
      </c>
      <c r="P759">
        <f>IF(B788=0,0,O759/B788)</f>
        <v/>
      </c>
      <c r="Q759" t="n">
        <v>0</v>
      </c>
      <c r="R759" t="n">
        <v>0</v>
      </c>
      <c r="S759">
        <f>IFERROR(O759/N759,0)</f>
        <v/>
      </c>
      <c r="T759" t="n">
        <v>0</v>
      </c>
      <c r="V759" t="n">
        <v>0</v>
      </c>
    </row>
    <row r="760">
      <c r="A760">
        <f>Skills!A17</f>
        <v/>
      </c>
      <c r="B760">
        <f>Skills!B17</f>
        <v/>
      </c>
      <c r="C760">
        <f>Inputs!$B$3&gt;=117</f>
        <v/>
      </c>
      <c r="D760">
        <f>IF(Skills!C17=1,60+Inputs!$B$25+Inputs!$B$29,IF(Skills!C17=2,90+Inputs!$B$26+Inputs!$B$29,IF(Skills!C17=3,120+Inputs!$B$27+Inputs!$B$29,MAX(0,(Inputs!$B$3-100)*3)+Inputs!$B$28+Inputs!$B$29)))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Skills!G17*IF(Skills!H17&gt;0,INT(IF(Inputs!$B$38="pvp",MIN(Skills!I17,15),Skills!I17)/Skills!H17+0.000000001),1)</f>
        <v/>
      </c>
      <c r="H760">
        <f>1-(1-Skills!J17/100)^Skills!K17</f>
        <v/>
      </c>
      <c r="I760" t="inlineStr">
        <is>
          <t>1</t>
        </is>
      </c>
      <c r="J760" t="inlineStr"/>
      <c r="K760" t="inlineStr"/>
      <c r="L760" t="inlineStr"/>
      <c r="M760" t="inlineStr"/>
      <c r="N760" t="inlineStr"/>
      <c r="O760">
        <f>(1-Summary!$B$11)*T760+Summary!$B$11*V760</f>
        <v/>
      </c>
      <c r="P760">
        <f>IF(B788=0,0,O760/B788)</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Skills!G18*IF(Skills!H18&gt;0,INT(IF(Inputs!$B$38="pvp",MIN(Skills!I18,15),Skills!I18)/Skills!H18+0.000000001),1)</f>
        <v/>
      </c>
      <c r="H761">
        <f>1-(1-Skills!J18/100)^Skills!K18</f>
        <v/>
      </c>
      <c r="I761" t="inlineStr">
        <is>
          <t>1</t>
        </is>
      </c>
      <c r="J761" t="inlineStr"/>
      <c r="K761" t="inlineStr"/>
      <c r="L761" t="inlineStr"/>
      <c r="M761" t="inlineStr"/>
      <c r="N761" t="inlineStr"/>
      <c r="O761">
        <f>(1-Summary!$B$11)*T761+Summary!$B$11*V761</f>
        <v/>
      </c>
      <c r="P761">
        <f>IF(B788=0,0,O761/B788)</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Inputs!$B$3&gt;=66</f>
        <v/>
      </c>
      <c r="D762">
        <f>IF(Skills!C19=1,60+Inputs!$B$25+Inputs!$B$29,IF(Skills!C19=2,90+Inputs!$B$26+Inputs!$B$29,IF(Skills!C19=3,120+Inputs!$B$27+Inputs!$B$29,MAX(0,(Inputs!$B$3-100)*3)+Inputs!$B$28+Inputs!$B$29)))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Skills!G19*IF(Skills!H19&gt;0,INT(IF(Inputs!$B$38="pvp",MIN(Skills!I19,15),Skills!I19)/Skills!H19+0.000000001),1)</f>
        <v/>
      </c>
      <c r="H762">
        <f>1-(1-Skills!J19/100)^Skills!K19</f>
        <v/>
      </c>
      <c r="I762" t="inlineStr">
        <is>
          <t>1</t>
        </is>
      </c>
      <c r="J762" t="inlineStr"/>
      <c r="K762" t="inlineStr"/>
      <c r="L762" t="inlineStr"/>
      <c r="M762" t="inlineStr"/>
      <c r="N762" t="inlineStr"/>
      <c r="O762">
        <f>(1-Summary!$B$11)*T762+Summary!$B$11*V762</f>
        <v/>
      </c>
      <c r="P762">
        <f>IF(B788=0,0,O762/B788)</f>
        <v/>
      </c>
      <c r="Q762" t="n">
        <v>0</v>
      </c>
      <c r="R762" t="n">
        <v>0</v>
      </c>
      <c r="S762">
        <f>IFERROR(O762/N762,0)</f>
        <v/>
      </c>
      <c r="T762" t="n">
        <v>0</v>
      </c>
      <c r="V762" t="n">
        <v>0</v>
      </c>
    </row>
    <row r="763">
      <c r="A763">
        <f>Skills!A20</f>
        <v/>
      </c>
      <c r="B763">
        <f>Skills!B20</f>
        <v/>
      </c>
      <c r="C763">
        <f>Inputs!$B$3&gt;=72</f>
        <v/>
      </c>
      <c r="D763">
        <f>IF(Skills!C20=1,60+Inputs!$B$25+Inputs!$B$29,IF(Skills!C20=2,90+Inputs!$B$26+Inputs!$B$29,IF(Skills!C20=3,120+Inputs!$B$27+Inputs!$B$29,MAX(0,(Inputs!$B$3-100)*3)+Inputs!$B$28+Inputs!$B$29)))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Skills!G20*IF(Skills!H20&gt;0,INT(IF(Inputs!$B$38="pvp",MIN(Skills!I20,15),Skills!I20)/Skills!H20+0.000000001),1)</f>
        <v/>
      </c>
      <c r="H763">
        <f>1-(1-Skills!J20/100)^Skills!K20</f>
        <v/>
      </c>
      <c r="I763" t="inlineStr">
        <is>
          <t>1</t>
        </is>
      </c>
      <c r="J763" t="inlineStr"/>
      <c r="K763" t="inlineStr"/>
      <c r="L763" t="inlineStr"/>
      <c r="M763" t="inlineStr"/>
      <c r="N763" t="inlineStr"/>
      <c r="O763">
        <f>(1-Summary!$B$11)*T763+Summary!$B$11*V763</f>
        <v/>
      </c>
      <c r="P763">
        <f>IF(B788=0,0,O763/B788)</f>
        <v/>
      </c>
      <c r="Q763" t="n">
        <v>0</v>
      </c>
      <c r="R763" t="n">
        <v>0</v>
      </c>
      <c r="S763">
        <f>IFERROR(O763/N763,0)</f>
        <v/>
      </c>
      <c r="T763" t="n">
        <v>0</v>
      </c>
      <c r="V763" t="n">
        <v>0</v>
      </c>
    </row>
    <row r="764">
      <c r="A764">
        <f>Skills!A21</f>
        <v/>
      </c>
      <c r="B764">
        <f>Skills!B21</f>
        <v/>
      </c>
      <c r="C764">
        <f>TRUE</f>
        <v/>
      </c>
      <c r="D764">
        <f>IF(Skills!C21=1,60+Inputs!$B$25+Inputs!$B$29,IF(Skills!C21=2,90+Inputs!$B$26+Inputs!$B$29,IF(Skills!C21=3,120+Inputs!$B$27+Inputs!$B$29,MAX(0,(Inputs!$B$3-100)*3)+Inputs!$B$28+Inputs!$B$29)))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Skills!G21*IF(Skills!H21&gt;0,INT(IF(Inputs!$B$38="pvp",MIN(Skills!I21,15),Skills!I21)/Skills!H21+0.000000001),1)</f>
        <v/>
      </c>
      <c r="H764">
        <f>1-(1-Skills!J21/100)^Skills!K21</f>
        <v/>
      </c>
      <c r="I764" t="inlineStr">
        <is>
          <t>1</t>
        </is>
      </c>
      <c r="J764" t="inlineStr"/>
      <c r="K764" t="inlineStr"/>
      <c r="L764" t="inlineStr"/>
      <c r="M764" t="inlineStr"/>
      <c r="N764" t="inlineStr"/>
      <c r="O764">
        <f>(1-Summary!$B$11)*T764+Summary!$B$11*V764</f>
        <v/>
      </c>
      <c r="P764">
        <f>IF(B788=0,0,O764/B788)</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Inputs!$B$3&gt;=15</f>
        <v/>
      </c>
      <c r="D765">
        <f>IF(Skills!C22=1,60+Inputs!$B$25+Inputs!$B$29,IF(Skills!C22=2,90+Inputs!$B$26+Inputs!$B$29,IF(Skills!C22=3,120+Inputs!$B$27+Inputs!$B$29,MAX(0,(Inputs!$B$3-100)*3)+Inputs!$B$28+Inputs!$B$29)))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Skills!G22*IF(Skills!H22&gt;0,INT(IF(Inputs!$B$38="pvp",MIN(Skills!I22,15),Skills!I22)/Skills!H22+0.000000001),1)</f>
        <v/>
      </c>
      <c r="H765">
        <f>1-(1-Skills!J22/100)^Skills!K22</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Skills!A23</f>
        <v/>
      </c>
      <c r="B766">
        <f>Skills!B23</f>
        <v/>
      </c>
      <c r="C766">
        <f>Inputs!$B$3&gt;=10</f>
        <v/>
      </c>
      <c r="D766">
        <f>IF(Skills!C23=1,60+Inputs!$B$25+Inputs!$B$29,IF(Skills!C23=2,90+Inputs!$B$26+Inputs!$B$29,IF(Skills!C23=3,120+Inputs!$B$27+Inputs!$B$29,MAX(0,(Inputs!$B$3-100)*3)+Inputs!$B$28+Inputs!$B$29)))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Skills!G23*IF(Skills!H23&gt;0,INT(IF(Inputs!$B$38="pvp",MIN(Skills!I23,15),Skills!I23)/Skills!H23+0.000000001),1)</f>
        <v/>
      </c>
      <c r="H766">
        <f>1-(1-Skills!J23/100)^Skills!K23</f>
        <v/>
      </c>
      <c r="I766" t="inlineStr">
        <is>
          <t>1</t>
        </is>
      </c>
      <c r="J766" t="inlineStr"/>
      <c r="K766" t="inlineStr"/>
      <c r="L766" t="inlineStr"/>
      <c r="M766" t="inlineStr"/>
      <c r="N766" t="inlineStr"/>
      <c r="O766">
        <f>(1-Summary!$B$11)*T766+Summary!$B$11*V766</f>
        <v/>
      </c>
      <c r="P766">
        <f>IF(B788=0,0,O766/B788)</f>
        <v/>
      </c>
      <c r="Q766" t="n">
        <v>0</v>
      </c>
      <c r="R766" t="n">
        <v>0</v>
      </c>
      <c r="S766">
        <f>IFERROR(O766/N766,0)</f>
        <v/>
      </c>
      <c r="T766" t="n">
        <v>0</v>
      </c>
      <c r="V766" t="n">
        <v>0</v>
      </c>
    </row>
    <row r="767">
      <c r="A767">
        <f>Skills!A24</f>
        <v/>
      </c>
      <c r="B767">
        <f>Skills!B24</f>
        <v/>
      </c>
      <c r="C767">
        <f>Inputs!$B$3&gt;=33</f>
        <v/>
      </c>
      <c r="D767">
        <f>IF(Skills!C24=1,60+Inputs!$B$25+Inputs!$B$29,IF(Skills!C24=2,90+Inputs!$B$26+Inputs!$B$29,IF(Skills!C24=3,120+Inputs!$B$27+Inputs!$B$29,MAX(0,(Inputs!$B$3-100)*3)+Inputs!$B$28+Inputs!$B$29)))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Skills!G24*IF(Skills!H24&gt;0,INT(IF(Inputs!$B$38="pvp",MIN(Skills!I24,15),Skills!I24)/Skills!H24+0.000000001),1)</f>
        <v/>
      </c>
      <c r="H767">
        <f>1-(1-Skills!J24/100)^Skills!K24</f>
        <v/>
      </c>
      <c r="I767" t="inlineStr">
        <is>
          <t>1</t>
        </is>
      </c>
      <c r="J767" t="inlineStr"/>
      <c r="K767" t="inlineStr"/>
      <c r="L767" t="inlineStr"/>
      <c r="M767" t="inlineStr"/>
      <c r="N767" t="inlineStr"/>
      <c r="O767">
        <f>(1-Summary!$B$11)*T767+Summary!$B$11*V767</f>
        <v/>
      </c>
      <c r="P767">
        <f>IF(B788=0,0,O767/B788)</f>
        <v/>
      </c>
      <c r="Q767" t="n">
        <v>0</v>
      </c>
      <c r="R767" t="n">
        <v>0</v>
      </c>
      <c r="S767">
        <f>IFERROR(O767/N767,0)</f>
        <v/>
      </c>
      <c r="T767" t="n">
        <v>0</v>
      </c>
      <c r="V767" t="n">
        <v>0</v>
      </c>
    </row>
    <row r="768">
      <c r="A768">
        <f>Skills!A25</f>
        <v/>
      </c>
      <c r="B768">
        <f>Skills!B25</f>
        <v/>
      </c>
      <c r="C768">
        <f>Inputs!$B$3&gt;=38</f>
        <v/>
      </c>
      <c r="D768">
        <f>IF(Skills!C25=1,60+Inputs!$B$25+Inputs!$B$29,IF(Skills!C25=2,90+Inputs!$B$26+Inputs!$B$29,IF(Skills!C25=3,120+Inputs!$B$27+Inputs!$B$29,MAX(0,(Inputs!$B$3-100)*3)+Inputs!$B$28+Inputs!$B$29)))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Skills!G25*IF(Skills!H25&gt;0,INT(IF(Inputs!$B$38="pvp",MIN(Skills!I25,15),Skills!I25)/Skills!H25+0.000000001),1)</f>
        <v/>
      </c>
      <c r="H768">
        <f>1-(1-Skills!J25/100)^Skills!K25</f>
        <v/>
      </c>
      <c r="I768" t="inlineStr">
        <is>
          <t>1</t>
        </is>
      </c>
      <c r="J768" t="inlineStr"/>
      <c r="K768" t="inlineStr"/>
      <c r="L768" t="inlineStr"/>
      <c r="M768" t="inlineStr"/>
      <c r="N768" t="inlineStr"/>
      <c r="O768">
        <f>(1-Summary!$B$11)*T768+Summary!$B$11*V768</f>
        <v/>
      </c>
      <c r="P768">
        <f>IF(B788=0,0,O768/B788)</f>
        <v/>
      </c>
      <c r="Q768" t="n">
        <v>0</v>
      </c>
      <c r="R768" t="n">
        <v>0</v>
      </c>
      <c r="S768">
        <f>IFERROR(O768/N768,0)</f>
        <v/>
      </c>
      <c r="T768" t="n">
        <v>0</v>
      </c>
      <c r="V768" t="n">
        <v>0</v>
      </c>
    </row>
    <row r="769">
      <c r="A769">
        <f>Skills!A26</f>
        <v/>
      </c>
      <c r="B769">
        <f>Skills!B26</f>
        <v/>
      </c>
      <c r="C769">
        <f>Inputs!$B$3&gt;=43</f>
        <v/>
      </c>
      <c r="D769">
        <f>IF(Skills!C26=1,60+Inputs!$B$25+Inputs!$B$29,IF(Skills!C26=2,90+Inputs!$B$26+Inputs!$B$29,IF(Skills!C26=3,120+Inputs!$B$27+Inputs!$B$29,MAX(0,(Inputs!$B$3-100)*3)+Inputs!$B$28+Inputs!$B$29)))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Skills!G26*IF(Skills!H26&gt;0,INT(IF(Inputs!$B$38="pvp",MIN(Skills!I26,15),Skills!I26)/Skills!H26+0.000000001),1)</f>
        <v/>
      </c>
      <c r="H769">
        <f>1-(1-Skills!J26/100)^Skills!K26</f>
        <v/>
      </c>
      <c r="I769" t="inlineStr">
        <is>
          <t>1</t>
        </is>
      </c>
      <c r="J769" t="inlineStr"/>
      <c r="K769" t="inlineStr"/>
      <c r="L769" t="inlineStr"/>
      <c r="M769" t="inlineStr"/>
      <c r="N769" t="inlineStr"/>
      <c r="O769">
        <f>(1-Summary!$B$11)*T769+Summary!$B$11*V769</f>
        <v/>
      </c>
      <c r="P769">
        <f>IF(B788=0,0,O769/B788)</f>
        <v/>
      </c>
      <c r="Q769" t="n">
        <v>0</v>
      </c>
      <c r="R769" t="n">
        <v>0</v>
      </c>
      <c r="S769">
        <f>IFERROR(O769/N769,0)</f>
        <v/>
      </c>
      <c r="T769" t="n">
        <v>0</v>
      </c>
      <c r="V769" t="n">
        <v>0</v>
      </c>
    </row>
    <row r="770">
      <c r="A770">
        <f>Skills!A27</f>
        <v/>
      </c>
      <c r="B770">
        <f>Skills!B27</f>
        <v/>
      </c>
      <c r="C770">
        <f>Inputs!$B$3&gt;=75</f>
        <v/>
      </c>
      <c r="D770">
        <f>IF(Skills!C27=1,60+Inputs!$B$25+Inputs!$B$29,IF(Skills!C27=2,90+Inputs!$B$26+Inputs!$B$29,IF(Skills!C27=3,120+Inputs!$B$27+Inputs!$B$29,MAX(0,(Inputs!$B$3-100)*3)+Inputs!$B$28+Inputs!$B$29)))</f>
        <v/>
      </c>
      <c r="E770">
        <f>INDEX(FactorTable!$B$2:$Y$301, MATCH(ROUND(MIN(300,MAX(1,D770)),0), FactorTable!$A$2:$A$301,0), Skills!M27+1)</f>
        <v/>
      </c>
      <c r="F770">
        <f>IF(Skills!N27=TRUE,(Skills!L27/10)*(E770/1000),Skills!L27/10)+Skills!O27</f>
        <v/>
      </c>
      <c r="G770">
        <f>Skills!G27*IF(Skills!H27&gt;0,INT(IF(Inputs!$B$38="pvp",MIN(Skills!I27,15),Skills!I27)/Skills!H27+0.000000001),1)</f>
        <v/>
      </c>
      <c r="H770">
        <f>1-(1-Skills!J27/100)^Skills!K27</f>
        <v/>
      </c>
      <c r="I770" t="inlineStr">
        <is>
          <t>1</t>
        </is>
      </c>
      <c r="J770" t="inlineStr"/>
      <c r="K770" t="inlineStr"/>
      <c r="L770" t="inlineStr"/>
      <c r="M770" t="inlineStr"/>
      <c r="N770" t="inlineStr"/>
      <c r="O770">
        <f>(1-Summary!$B$11)*T770+Summary!$B$11*V770</f>
        <v/>
      </c>
      <c r="P770">
        <f>IF(B788=0,0,O770/B788)</f>
        <v/>
      </c>
      <c r="Q770" t="n">
        <v>0</v>
      </c>
      <c r="R770" t="n">
        <v>0</v>
      </c>
      <c r="S770">
        <f>IFERROR(O770/N770,0)</f>
        <v/>
      </c>
      <c r="T770" t="n">
        <v>0</v>
      </c>
      <c r="V770" t="n">
        <v>0</v>
      </c>
    </row>
    <row r="771">
      <c r="A771">
        <f>Skills!A28</f>
        <v/>
      </c>
      <c r="B771">
        <f>Skills!B28</f>
        <v/>
      </c>
      <c r="C771">
        <f>Inputs!$B$3&gt;=125</f>
        <v/>
      </c>
      <c r="D771">
        <f>IF(Skills!C28=1,60+Inputs!$B$25+Inputs!$B$29,IF(Skills!C28=2,90+Inputs!$B$26+Inputs!$B$29,IF(Skills!C28=3,120+Inputs!$B$27+Inputs!$B$29,MAX(0,(Inputs!$B$3-100)*3)+Inputs!$B$28+Inputs!$B$29)))</f>
        <v/>
      </c>
      <c r="E771">
        <f>INDEX(FactorTable!$B$2:$Y$301, MATCH(ROUND(MIN(300,MAX(1,D771)),0), FactorTable!$A$2:$A$301,0), Skills!M28+1)</f>
        <v/>
      </c>
      <c r="F771">
        <f>IF(Skills!N28=TRUE,(Skills!L28/10)*(E771/1000),Skills!L28/10)+Skills!O28</f>
        <v/>
      </c>
      <c r="G771">
        <f>Skills!G28*IF(Skills!H28&gt;0,INT(IF(Inputs!$B$38="pvp",MIN(Skills!I28,15),Skills!I28)/Skills!H28+0.000000001),1)</f>
        <v/>
      </c>
      <c r="H771">
        <f>1-(1-Skills!J28/100)^Skills!K28</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Skills!A29</f>
        <v/>
      </c>
      <c r="B772">
        <f>Skills!B29</f>
        <v/>
      </c>
      <c r="C772">
        <f>Inputs!$B$3&gt;=125</f>
        <v/>
      </c>
      <c r="D772">
        <f>IF(Skills!C29=1,60+Inputs!$B$25+Inputs!$B$29,IF(Skills!C29=2,90+Inputs!$B$26+Inputs!$B$29,IF(Skills!C29=3,120+Inputs!$B$27+Inputs!$B$29,MAX(0,(Inputs!$B$3-100)*3)+Inputs!$B$28+Inputs!$B$29)))</f>
        <v/>
      </c>
      <c r="E772">
        <f>INDEX(FactorTable!$B$2:$Y$301, MATCH(ROUND(MIN(300,MAX(1,D772)),0), FactorTable!$A$2:$A$301,0), Skills!M29+1)</f>
        <v/>
      </c>
      <c r="F772">
        <f>IF(Skills!N29=TRUE,(Skills!L29/10)*(E772/1000),Skills!L29/10)+Skills!O29</f>
        <v/>
      </c>
      <c r="G772">
        <f>Skills!G29*IF(Skills!H29&gt;0,INT(IF(Inputs!$B$38="pvp",MIN(Skills!I29,15),Skills!I29)/Skills!H29+0.000000001),1)</f>
        <v/>
      </c>
      <c r="H772">
        <f>1-(1-Skills!J29/100)^Skills!K29</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Skills!A30</f>
        <v/>
      </c>
      <c r="B773">
        <f>Skills!B30</f>
        <v/>
      </c>
      <c r="C773">
        <f>Inputs!$B$3&gt;=120</f>
        <v/>
      </c>
      <c r="D773">
        <f>IF(Skills!C30=1,60+Inputs!$B$25+Inputs!$B$29,IF(Skills!C30=2,90+Inputs!$B$26+Inputs!$B$29,IF(Skills!C30=3,120+Inputs!$B$27+Inputs!$B$29,MAX(0,(Inputs!$B$3-100)*3)+Inputs!$B$28+Inputs!$B$29)))</f>
        <v/>
      </c>
      <c r="E773">
        <f>INDEX(FactorTable!$B$2:$Y$301, MATCH(ROUND(MIN(300,MAX(1,D773)),0), FactorTable!$A$2:$A$301,0), Skills!M30+1)</f>
        <v/>
      </c>
      <c r="F773">
        <f>IF(Skills!N30=TRUE,(Skills!L30/10)*(E773/1000),Skills!L30/10)+Skills!O30</f>
        <v/>
      </c>
      <c r="G773">
        <f>Skills!G30*IF(Skills!H30&gt;0,INT(IF(Inputs!$B$38="pvp",MIN(Skills!I30,15),Skills!I30)/Skills!H30+0.000000001),1)</f>
        <v/>
      </c>
      <c r="H773">
        <f>1-(1-Skills!J30/100)^Skills!K30</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Skills!A31</f>
        <v/>
      </c>
      <c r="B774">
        <f>Skills!B31</f>
        <v/>
      </c>
      <c r="C774">
        <f>Inputs!$B$3&gt;=120</f>
        <v/>
      </c>
      <c r="D774">
        <f>IF(Skills!C31=1,60+Inputs!$B$25+Inputs!$B$29,IF(Skills!C31=2,90+Inputs!$B$26+Inputs!$B$29,IF(Skills!C31=3,120+Inputs!$B$27+Inputs!$B$29,MAX(0,(Inputs!$B$3-100)*3)+Inputs!$B$28+Inputs!$B$29)))</f>
        <v/>
      </c>
      <c r="E774">
        <f>INDEX(FactorTable!$B$2:$Y$301, MATCH(ROUND(MIN(300,MAX(1,D774)),0), FactorTable!$A$2:$A$301,0), Skills!M31+1)</f>
        <v/>
      </c>
      <c r="F774">
        <f>IF(Skills!N31=TRUE,(Skills!L31/10)*(E774/1000),Skills!L31/10)+Skills!O31</f>
        <v/>
      </c>
      <c r="G774">
        <f>Skills!G31*IF(Skills!H31&gt;0,INT(IF(Inputs!$B$38="pvp",MIN(Skills!I31,15),Skills!I31)/Skills!H31+0.000000001),1)</f>
        <v/>
      </c>
      <c r="H774">
        <f>1-(1-Skills!J31/100)^Skills!K31</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Skills!A32</f>
        <v/>
      </c>
      <c r="B775">
        <f>Skills!B32</f>
        <v/>
      </c>
      <c r="C775">
        <f>Inputs!$B$3&gt;=45</f>
        <v/>
      </c>
      <c r="D775">
        <f>IF(Skills!C32=1,60+Inputs!$B$25+Inputs!$B$29,IF(Skills!C32=2,90+Inputs!$B$26+Inputs!$B$29,IF(Skills!C32=3,120+Inputs!$B$27+Inputs!$B$29,MAX(0,(Inputs!$B$3-100)*3)+Inputs!$B$28+Inputs!$B$29)))</f>
        <v/>
      </c>
      <c r="E775">
        <f>INDEX(FactorTable!$B$2:$Y$301, MATCH(ROUND(MIN(300,MAX(1,D775)),0), FactorTable!$A$2:$A$301,0), Skills!M32+1)</f>
        <v/>
      </c>
      <c r="F775">
        <f>IF(Skills!N32=TRUE,(Skills!L32/10)*(E775/1000),Skills!L32/10)+Skills!O32</f>
        <v/>
      </c>
      <c r="G775">
        <f>Skills!G32*IF(Skills!H32&gt;0,INT(IF(Inputs!$B$38="pvp",MIN(Skills!I32,15),Skills!I32)/Skills!H32+0.000000001),1)</f>
        <v/>
      </c>
      <c r="H775">
        <f>1-(1-Skills!J32/100)^Skills!K32</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21*(1+Inputs!$B$34/100)),(1/Q764))+MIN((Skills!T21*(1+Inputs!$B$34/100)),MAX(0,Inputs!$B$43-((R764-1)*(1/Q764)))))/Inputs!$B$43),IF(Inputs!$B$38="pvp",MIN((Skills!T21*(1+Inputs!$B$34/100)),15)/15,MIN(1,(Skills!T21*(1+Inputs!$B$34/100))/(1/Q764)))))</f>
        <v/>
      </c>
    </row>
    <row r="780">
      <c r="A780" t="inlineStr">
        <is>
          <t>Actions Per Second</t>
        </is>
      </c>
      <c r="B780">
        <f>1+MIN(150,150*(1-(1-(Inputs!$B$11+((C766=TRUE)*(F766-Calc!F23))+((C767=TRUE)*(F767-Calc!F24)))/150)*(1-B779/150)))/100</f>
        <v/>
      </c>
    </row>
    <row r="781">
      <c r="A781" t="inlineStr">
        <is>
          <t>Skill + Buff Cast Rate</t>
        </is>
      </c>
      <c r="B781">
        <f>IF(AND(Inputs!$B$38&lt;&gt;"pvp",Inputs!$B$43&gt;0),SUMPRODUCT((Skills!E2:E32=TRUE)*(C745:C775=TRUE)*R745:R775*Skills!F2:F32)/Inputs!$B$43,SUMPRODUCT((Skills!E2:E32=TRUE)*(C745:C775=TRUE)*Q745:Q775*Skills!F2:F32))</f>
        <v/>
      </c>
    </row>
    <row r="782">
      <c r="A782" t="inlineStr">
        <is>
          <t>Arrow Stream Casts Per Second</t>
        </is>
      </c>
      <c r="B782">
        <f>MAX(0,B780-B781)</f>
        <v/>
      </c>
    </row>
    <row r="783">
      <c r="A783" t="inlineStr">
        <is>
          <t>Global Critical Damage Bonus % (Sharp Eyes + Concentration)</t>
        </is>
      </c>
      <c r="B783">
        <f>(C761=TRUE)*F761*IF(AND(Inputs!$B$38&lt;&gt;"pvp",Inputs!$B$43&gt;0),(((R761-1)*MIN((Skills!T18*(1+Inputs!$B$34/100)),(1/Q761))+MIN((Skills!T18*(1+Inputs!$B$34/100)),MAX(0,Inputs!$B$43-((R761-1)*(1/Q761)))))/Inputs!$B$43),IF(Inputs!$B$38="pvp",MIN((Skills!T18*(1+Inputs!$B$34/100)),15)/15,MIN(1,(Skills!T18*(1+Inputs!$B$34/100))/(1/Q761))))+(C762=TRUE)*7*F762</f>
        <v/>
      </c>
    </row>
    <row r="784">
      <c r="A784" t="inlineStr">
        <is>
          <t>Global Final Damage Bonus % (Mortal Blow)</t>
        </is>
      </c>
      <c r="B784">
        <f>(C763=TRUE)*F763</f>
        <v/>
      </c>
    </row>
    <row r="785">
      <c r="A785" t="inlineStr">
        <is>
          <t>Buff-Casting Startup Delay (s, fixed-duration only)</t>
        </is>
      </c>
      <c r="B785">
        <f>IF(AND(Inputs!$B$38&lt;&gt;"pvp",Inputs!$B$43&gt;0),SUMPRODUCT((Skills!T2:T32&gt;0)*(Skills!E2:E32=TRUE)*(C745:C775=TRUE))/B780,0)</f>
        <v/>
      </c>
    </row>
    <row r="786">
      <c r="A786" t="inlineStr">
        <is>
          <t>Boss-Only Total DPS (this block's swept value)</t>
        </is>
      </c>
      <c r="B786">
        <f>SUM(T745:T775)</f>
        <v/>
      </c>
    </row>
    <row r="787">
      <c r="A787" t="inlineStr">
        <is>
          <t>Normal-Only Total DPS (this block's swept value)</t>
        </is>
      </c>
      <c r="B787">
        <f>SUM(V745:V775)</f>
        <v/>
      </c>
    </row>
    <row r="788">
      <c r="A788" s="6" t="inlineStr">
        <is>
          <t>TOTAL DPS</t>
        </is>
      </c>
      <c r="B788" s="6">
        <f>SUM(O745:O775)</f>
        <v/>
      </c>
    </row>
    <row r="791">
      <c r="A791" s="6" t="inlineStr">
        <is>
          <t>Stat: SKILL_DAMAGE %</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Skills!G2*IF(Skills!H2&gt;0,INT(IF(Inputs!$B$38="pvp",MIN(Skills!I2,15),Skills!I2)/Skills!H2+0.000000001),1)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817=TRUE)*(F817-Calc!F26)),(Inputs!$B$23+((C822=TRUE)*(F822-Calc!F31))+(IF(ArtifactsInput!$M$15,CHOOSE(ArtifactsInput!$N$15+1,25,30,35,40,45,50)/100*(Inputs!$B$11-Inputs!$B$11),0))))/100+(Inputs!$B$23+((C822=TRUE)*(F822-Calc!F31))+(IF(ArtifactsInput!$M$15,CHOOSE(ArtifactsInput!$N$15+1,25,30,35,40,45,50)/100*(Inputs!$B$11-Inputs!$B$11),0)))/100)/2</f>
        <v/>
      </c>
      <c r="M793">
        <f>L793*(1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IF(B836=0,0,O793/B836)</f>
        <v/>
      </c>
      <c r="Q793" t="n">
        <v>0</v>
      </c>
      <c r="R793" t="n">
        <v>0</v>
      </c>
      <c r="S793">
        <f>IFERROR(O793/N793,0)</f>
        <v/>
      </c>
      <c r="T793">
        <f>IF(C793,(Skills!G2*N793*B830)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IF(C793,(Skills!G2*N793*B830)*IF(Inputs!$B$38="pvp",1,(1+(Inputs!$B$21+Skills!Q2+(IF(ArtifactsInput!$M$33,CHOOSE(ArtifactsInput!$N$33+1,30,36,42,48,54,60),0))+(IF(AND(ArtifactsInput!$M$35,Inputs!$B$4&lt;&gt;"Chapter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IF(Skills!C3=1,60+Inputs!$B$25+Inputs!$B$29,IF(Skills!C3=2,90+Inputs!$B$26+Inputs!$B$29,IF(Skills!C3=3,120+Inputs!$B$27+Inputs!$B$29,MAX(0,(Inputs!$B$3-100)*3)+Inputs!$B$28+Inputs!$B$29)))</f>
        <v/>
      </c>
      <c r="E794">
        <f>INDEX(FactorTable!$B$2:$Y$301, MATCH(ROUND(MIN(300,MAX(1,D794)),0), FactorTable!$A$2:$A$301,0), Skills!M3+1)</f>
        <v/>
      </c>
      <c r="F794">
        <f>IF(Skills!N3=TRUE,(Skills!L3/10)*(E794/1000),Skills!L3/10)+Skills!O3</f>
        <v/>
      </c>
      <c r="G794">
        <f>Skills!G3*IF(Skills!H3&gt;0,INT(IF(Inputs!$B$38="pvp",MIN(Skills!I3,15),Skills!I3)/Skills!H3+0.000000001),1)</f>
        <v/>
      </c>
      <c r="H794">
        <f>1-(1-Skills!J3/100)^Skills!K3</f>
        <v/>
      </c>
      <c r="I794" t="inlineStr">
        <is>
          <t>1</t>
        </is>
      </c>
      <c r="J794">
        <f>((Inputs!$B$6*(1+Inputs!$B$7/100))+(((Inputs!$B$12*(1+Inputs!$B$13/100))-(Inputs!$B$12*(1+Inputs!$B$13/100)))+0.25*(Inputs!$B$14-Inputs!$B$14))*(1+Inputs!$B$7/100))*(F794/100)</f>
        <v/>
      </c>
      <c r="K794">
        <f>J794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795=TRUE,F795,0)/100)*(1+(IF(Skills!A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817=TRUE)*(F817-Calc!F26)),(Inputs!$B$23+((C822=TRUE)*(F822-Calc!F31))+(IF(ArtifactsInput!$M$15,CHOOSE(ArtifactsInput!$N$15+1,25,30,35,40,45,50)/100*(Inputs!$B$11-Inputs!$B$11),0))))/100+(Inputs!$B$23+((C822=TRUE)*(F822-Calc!F31))+(IF(ArtifactsInput!$M$15,CHOOSE(ArtifactsInput!$N$15+1,25,30,35,40,45,50)/100*(Inputs!$B$11-Inputs!$B$11),0)))/100)/2</f>
        <v/>
      </c>
      <c r="M794">
        <f>L794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IF(B836=0,0,O794/B836)</f>
        <v/>
      </c>
      <c r="Q794">
        <f>IFERROR(1/(IF(Inputs!$B$38="pvp",15,MAX(0.1,1/B828-IF(FALSE=TRUE,Inputs!$B$32,0)))*(1-IF(AND(ArtifactsInput!$M$27,Inputs!$B$4="Chapter Hunt"),CHOOSE(ArtifactsInput!$N$27+1,20,24,28,32,36,40),0)/100)),0)</f>
        <v/>
      </c>
      <c r="R794">
        <f>IF(AND(Inputs!$B$38&lt;&gt;"pvp",Inputs!$B$43&gt;0),IF(MAX(0,Inputs!$B$43-B833)&lt;=0,0,(INT(MAX(0,Inputs!$B$43-B833)/(IF(Inputs!$B$38="pvp",15,MAX(0.1,1/B828-IF(FALSE=TRUE,Inputs!$B$32,0)))*(1-IF(AND(ArtifactsInput!$M$27,Inputs!$B$4="Chapter Hunt"),CHOOSE(ArtifactsInput!$N$27+1,20,24,28,32,36,40),0)/100)))+1)),0)</f>
        <v/>
      </c>
      <c r="S794">
        <f>IFERROR(O794/N794,0)</f>
        <v/>
      </c>
      <c r="T794">
        <f>IF(C794,(H794*N794*IF(AND(Inputs!$B$38&lt;&gt;"pvp",Inputs!$B$43&gt;0),((Skills!G3*((R794-1)*IF(Skills!H3&gt;0,INT(Skills!I3/Skills!H3+0.000000001),1)+IF(Skills!H3&gt;0,INT(MIN(Skills!I3,MAX(0,MAX(0,Inputs!$B$43-B833)-((R794-1)*(IF(Inputs!$B$38="pvp",15,MAX(0.1,1/B828-IF(FALSE=TRUE,Inputs!$B$32,0)))*(1-IF(AND(ArtifactsInput!$M$27,Inputs!$B$4="Chapter Hunt"),CHOOSE(ArtifactsInput!$N$27+1,20,24,28,32,36,40),0)/100)))))/Skills!H3+0.000000001),1)))/Inputs!$B$43),G794*Q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4">
        <f>INDEX(FactorTable!$B$2:$Y$301, MATCH(ROUND(MIN(300,MAX(1,U793)),0), FactorTable!$A$2:$A$301,0), 22)</f>
        <v/>
      </c>
      <c r="V794">
        <f>IF(C794,(H794*N794*IF(AND(Inputs!$B$38&lt;&gt;"pvp",Inputs!$B$43&gt;0),((Skills!G3*((R794-1)*IF(Skills!H3&gt;0,INT(Skills!I3/Skills!H3+0.000000001),1)+IF(Skills!H3&gt;0,INT(MIN(Skills!I3,MAX(0,MAX(0,Inputs!$B$43-B833)-((R794-1)*(IF(Inputs!$B$38="pvp",15,MAX(0.1,1/B828-IF(FALSE=TRUE,Inputs!$B$32,0)))*(1-IF(AND(ArtifactsInput!$M$27,Inputs!$B$4="Chapter Hunt"),CHOOSE(ArtifactsInput!$N$27+1,20,24,28,32,36,40),0)/100)))))/Skills!H3+0.000000001),1)))/Inputs!$B$43),G794*Q794))*IF(Inputs!$B$38="pvp",1,(1+(Inputs!$B$21+Skills!Q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Skills!A4</f>
        <v/>
      </c>
      <c r="B795">
        <f>Skills!B4</f>
        <v/>
      </c>
      <c r="C795">
        <f>Inputs!$B$3&gt;=105</f>
        <v/>
      </c>
      <c r="D795">
        <f>IF(Skills!C4=1,60+Inputs!$B$25+Inputs!$B$29,IF(Skills!C4=2,90+Inputs!$B$26+Inputs!$B$29,IF(Skills!C4=3,120+Inputs!$B$27+Inputs!$B$29,MAX(0,(Inputs!$B$3-100)*3)+Inputs!$B$28+Inputs!$B$29)))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Skills!G5*IF(Skills!H5&gt;0,INT(IF(Inputs!$B$38="pvp",MIN(Skills!I5,15),Skills!I5)/Skills!H5+0.000000001),1)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5="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817=TRUE)*(F817-Calc!F26)),(Inputs!$B$23+((C822=TRUE)*(F822-Calc!F31))+(IF(ArtifactsInput!$M$15,CHOOSE(ArtifactsInput!$N$15+1,25,30,35,40,45,50)/100*(Inputs!$B$11-Inputs!$B$11),0))))/100+(Inputs!$B$23+((C822=TRUE)*(F822-Calc!F31))+(IF(ArtifactsInput!$M$15,CHOOSE(ArtifactsInput!$N$15+1,25,30,35,40,45,50)/100*(Inputs!$B$11-Inputs!$B$11),0)))/100)/2</f>
        <v/>
      </c>
      <c r="M796">
        <f>L796*(1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IF(B836=0,0,O796/B836)</f>
        <v/>
      </c>
      <c r="Q796">
        <f>IFERROR(1/(IF(Inputs!$B$38="pvp",15,MAX(0.1,Skills!D5-IF(TRUE=TRUE,Inputs!$B$32,0)))*(1-IF(AND(ArtifactsInput!$M$27,Inputs!$B$4="Chapter Hunt"),CHOOSE(ArtifactsInput!$N$27+1,20,24,28,32,36,40),0)/100)),0)</f>
        <v/>
      </c>
      <c r="R796">
        <f>IF(AND(Inputs!$B$38&lt;&gt;"pvp",Inputs!$B$43&gt;0),IF(MAX(0,Inputs!$B$43-B833)&lt;=0,0,(INT(MAX(0,Inputs!$B$43-B833)/(IF(Inputs!$B$38="pvp",15,MAX(0.1,Skills!D5-IF(TRUE=TRUE,Inputs!$B$32,0)))*(1-IF(AND(ArtifactsInput!$M$27,Inputs!$B$4="Chapter Hunt"),CHOOSE(ArtifactsInput!$N$27+1,20,24,28,32,36,40),0)/100)))+1)),0)</f>
        <v/>
      </c>
      <c r="S796">
        <f>IFERROR(O796/N796,0)</f>
        <v/>
      </c>
      <c r="T796">
        <f>IF(C796,(H796*N796*IF(AND(Inputs!$B$38&lt;&gt;"pvp",Inputs!$B$43&gt;0),((Skills!G5*((R796-1)*IF(Skills!H5&gt;0,INT(Skills!I5/Skills!H5+0.000000001),1)+IF(Skills!H5&gt;0,INT(MIN(Skills!I5,MAX(0,MAX(0,Inputs!$B$43-B833)-((R796-1)*(IF(Inputs!$B$38="pvp",15,MAX(0.1,Skills!D5-IF(TRUE=TRUE,Inputs!$B$32,0)))*(1-IF(AND(ArtifactsInput!$M$27,Inputs!$B$4="Chapter Hunt"),CHOOSE(ArtifactsInput!$N$27+1,20,24,28,32,36,40),0)/100)))))/Skills!H5+0.000000001),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INT(Skills!I5/Skills!H5+0.000000001),1)+IF(Skills!H5&gt;0,INT(MIN(Skills!I5,MAX(0,MAX(0,Inputs!$B$43-B833)-((R796-1)*(IF(Inputs!$B$38="pvp",15,MAX(0.1,Skills!D5-IF(TRUE=TRUE,Inputs!$B$32,0)))*(1-IF(AND(ArtifactsInput!$M$27,Inputs!$B$4="Chapter Hunt"),CHOOSE(ArtifactsInput!$N$27+1,20,24,28,32,36,40),0)/100)))))/Skills!H5+0.000000001),1)))/Inputs!$B$43),G796*Q796))*IF(Inputs!$B$38="pvp",1,(1+(Inputs!$B$21+Skills!Q5+(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Inputs!$B$3&gt;=40</f>
        <v/>
      </c>
      <c r="D797">
        <f>IF(Skills!C6=1,60+Inputs!$B$25+Inputs!$B$29,IF(Skills!C6=2,90+Inputs!$B$26+Inputs!$B$29,IF(Skills!C6=3,120+Inputs!$B$27+Inputs!$B$29,MAX(0,(Inputs!$B$3-100)*3)+Inputs!$B$28+Inputs!$B$29)))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Skills!G6*IF(Skills!H6&gt;0,INT(IF(Inputs!$B$38="pvp",MIN(Skills!I6,15),Skills!I6)/Skills!H6+0.000000001),1)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798=TRUE,F798,0)/100)*(1+(IF(Skills!A6="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817=TRUE)*(F817-Calc!F26)),(Inputs!$B$23+((C822=TRUE)*(F822-Calc!F31))+(IF(ArtifactsInput!$M$15,CHOOSE(ArtifactsInput!$N$15+1,25,30,35,40,45,50)/100*(Inputs!$B$11-Inputs!$B$11),0))))/100+(Inputs!$B$23+((C822=TRUE)*(F822-Calc!F31))+(IF(ArtifactsInput!$M$15,CHOOSE(ArtifactsInput!$N$15+1,25,30,35,40,45,50)/100*(Inputs!$B$11-Inputs!$B$11),0)))/100)/2</f>
        <v/>
      </c>
      <c r="M797">
        <f>L797*(1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IF(B836=0,0,O797/B836)</f>
        <v/>
      </c>
      <c r="Q797">
        <f>IFERROR(1/(IF(Inputs!$B$38="pvp",15,MAX(0.1,1-0.4*MIN(1,(B828-1)/1.5)-IF(FALSE=TRUE,Inputs!$B$32,0)))*(1-IF(AND(ArtifactsInput!$M$27,Inputs!$B$4="Chapter Hunt"),CHOOSE(ArtifactsInput!$N$27+1,20,24,28,32,36,40),0)/100)),0)</f>
        <v/>
      </c>
      <c r="R797">
        <f>IF(AND(Inputs!$B$38&lt;&gt;"pvp",Inputs!$B$43&gt;0),IF(MAX(0,Inputs!$B$43-B833)&lt;=0,0,(INT(MAX(0,Inputs!$B$43-B833)/(IF(Inputs!$B$38="pvp",15,MAX(0.1,1-0.4*MIN(1,(B828-1)/1.5)-IF(FALSE=TRUE,Inputs!$B$32,0)))*(1-IF(AND(ArtifactsInput!$M$27,Inputs!$B$4="Chapter Hunt"),CHOOSE(ArtifactsInput!$N$27+1,20,24,28,32,36,40),0)/100)))+1)),0)</f>
        <v/>
      </c>
      <c r="S797">
        <f>IFERROR(O797/N797,0)</f>
        <v/>
      </c>
      <c r="T797">
        <f>IF(C797,(H797*N797*IF(AND(Inputs!$B$38&lt;&gt;"pvp",Inputs!$B$43&gt;0),((Skills!G6*((R797-1)*IF(Skills!H6&gt;0,INT(Skills!I6/Skills!H6+0.000000001),1)+IF(Skills!H6&gt;0,INT(MIN(Skills!I6,MAX(0,MAX(0,Inputs!$B$43-B833)-((R797-1)*(IF(Inputs!$B$38="pvp",15,MAX(0.1,1-0.4*MIN(1,(B828-1)/1.5)-IF(FALSE=TRUE,Inputs!$B$32,0)))*(1-IF(AND(ArtifactsInput!$M$27,Inputs!$B$4="Chapter Hunt"),CHOOSE(ArtifactsInput!$N$27+1,20,24,28,32,36,40),0)/100)))))/Skills!H6+0.000000001),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INT(Skills!I6/Skills!H6+0.000000001),1)+IF(Skills!H6&gt;0,INT(MIN(Skills!I6,MAX(0,MAX(0,Inputs!$B$43-B833)-((R797-1)*(IF(Inputs!$B$38="pvp",15,MAX(0.1,1-0.4*MIN(1,(B828-1)/1.5)-IF(FALSE=TRUE,Inputs!$B$32,0)))*(1-IF(AND(ArtifactsInput!$M$27,Inputs!$B$4="Chapter Hunt"),CHOOSE(ArtifactsInput!$N$27+1,20,24,28,32,36,40),0)/100)))))/Skills!H6+0.000000001),1)))/Inputs!$B$43),G797*Q797))*IF(Inputs!$B$38="pvp",1,(1+(Inputs!$B$21+Skills!Q6+(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IF(Skills!C7=1,60+Inputs!$B$25+Inputs!$B$29,IF(Skills!C7=2,90+Inputs!$B$26+Inputs!$B$29,IF(Skills!C7=3,120+Inputs!$B$27+Inputs!$B$29,MAX(0,(Inputs!$B$3-100)*3)+Inputs!$B$28+Inputs!$B$29)))</f>
        <v/>
      </c>
      <c r="E798">
        <f>INDEX(FactorTable!$B$2:$Y$301, MATCH(ROUND(MIN(300,MAX(1,D798)),0), FactorTable!$A$2:$A$301,0), Skills!M7+1)</f>
        <v/>
      </c>
      <c r="F798">
        <f>IF(Skills!N7=TRUE,(Skills!L7/10)*(E798/1000),Skills!L7/10)+Skills!O7</f>
        <v/>
      </c>
      <c r="G798" t="inlineStr"/>
      <c r="H798" t="inlineStr"/>
      <c r="I798" t="inlineStr">
        <is>
          <t>1</t>
        </is>
      </c>
      <c r="J798" t="inlineStr"/>
      <c r="K798" t="inlineStr"/>
      <c r="L798" t="inlineStr"/>
      <c r="M798" t="inlineStr"/>
      <c r="N798" t="inlineStr"/>
      <c r="O798" t="inlineStr"/>
      <c r="P798" t="inlineStr"/>
      <c r="Q798" t="inlineStr"/>
      <c r="R798" t="inlineStr"/>
      <c r="S798" t="inlineStr"/>
      <c r="T798" t="inlineStr"/>
      <c r="V798" t="inlineStr"/>
    </row>
    <row r="799">
      <c r="A799">
        <f>Skills!A8</f>
        <v/>
      </c>
      <c r="B799">
        <f>Skills!B8</f>
        <v/>
      </c>
      <c r="C799">
        <f>Inputs!$B$3&gt;=130</f>
        <v/>
      </c>
      <c r="D799">
        <f>IF(Skills!C8=1,60+Inputs!$B$25+Inputs!$B$29,IF(Skills!C8=2,90+Inputs!$B$26+Inputs!$B$29,IF(Skills!C8=3,120+Inputs!$B$27+Inputs!$B$29,MAX(0,(Inputs!$B$3-100)*3)+Inputs!$B$28+Inputs!$B$29)))</f>
        <v/>
      </c>
      <c r="E799">
        <f>INDEX(FactorTable!$B$2:$Y$301, MATCH(ROUND(MIN(300,MAX(1,D799)),0), FactorTable!$A$2:$A$301,0), Skills!M8+1)</f>
        <v/>
      </c>
      <c r="F799">
        <f>IF(Skills!N8=TRUE,(Skills!L8/10)*(E799/1000),Skills!L8/10)+Skills!O8</f>
        <v/>
      </c>
      <c r="G799">
        <f>Skills!G8*IF(Skills!H8&gt;0,INT(IF(Inputs!$B$38="pvp",MIN(Skills!I8,15),Skills!I8)/Skills!H8+0.000000001),1)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817=TRUE)*(F817-Calc!F26)),(Inputs!$B$23+((C822=TRUE)*(F822-Calc!F31))+(IF(ArtifactsInput!$M$15,CHOOSE(ArtifactsInput!$N$15+1,25,30,35,40,45,50)/100*(Inputs!$B$11-Inputs!$B$11),0))))/100+(Inputs!$B$23+((C822=TRUE)*(F822-Calc!F31))+(IF(ArtifactsInput!$M$15,CHOOSE(ArtifactsInput!$N$15+1,25,30,35,40,45,50)/100*(Inputs!$B$11-Inputs!$B$11),0)))/100)/2</f>
        <v/>
      </c>
      <c r="M799">
        <f>L799*(1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IF(B836=0,0,O799/B836)</f>
        <v/>
      </c>
      <c r="Q799">
        <f>IFERROR(1/(IF(Inputs!$B$38="pvp",15,MAX(0.1,1-0.4*MIN(1,(B828-1)/1.5)-IF(FALSE=TRUE,Inputs!$B$32,0)))*(1-IF(AND(ArtifactsInput!$M$27,Inputs!$B$4="Chapter Hunt"),CHOOSE(ArtifactsInput!$N$27+1,20,24,28,32,36,40),0)/100)),0)</f>
        <v/>
      </c>
      <c r="R799">
        <f>IF(AND(Inputs!$B$38&lt;&gt;"pvp",Inputs!$B$43&gt;0),IF(MAX(0,Inputs!$B$43-B833)&lt;=0,0,(INT(MAX(0,Inputs!$B$43-B833)/(IF(Inputs!$B$38="pvp",15,MAX(0.1,1-0.4*MIN(1,(B828-1)/1.5)-IF(FALSE=TRUE,Inputs!$B$32,0)))*(1-IF(AND(ArtifactsInput!$M$27,Inputs!$B$4="Chapter Hunt"),CHOOSE(ArtifactsInput!$N$27+1,20,24,28,32,36,40),0)/100)))+1)),0)</f>
        <v/>
      </c>
      <c r="S799">
        <f>IFERROR(O799/N799,0)</f>
        <v/>
      </c>
      <c r="T799">
        <f>IF(C799,(H799*N799*IF(AND(Inputs!$B$38&lt;&gt;"pvp",Inputs!$B$43&gt;0),((Skills!G8*((R799-1)*IF(Skills!H8&gt;0,INT(Skills!I8/Skills!H8+0.000000001),1)+IF(Skills!H8&gt;0,INT(MIN(Skills!I8,MAX(0,MAX(0,Inputs!$B$43-B833)-((R799-1)*(IF(Inputs!$B$38="pvp",15,MAX(0.1,1-0.4*MIN(1,(B828-1)/1.5)-IF(FALSE=TRUE,Inputs!$B$32,0)))*(1-IF(AND(ArtifactsInput!$M$27,Inputs!$B$4="Chapter Hunt"),CHOOSE(ArtifactsInput!$N$27+1,20,24,28,32,36,40),0)/100)))))/Skills!H8+0.000000001),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INT(Skills!I8/Skills!H8+0.000000001),1)+IF(Skills!H8&gt;0,INT(MIN(Skills!I8,MAX(0,MAX(0,Inputs!$B$43-B833)-((R799-1)*(IF(Inputs!$B$38="pvp",15,MAX(0.1,1-0.4*MIN(1,(B828-1)/1.5)-IF(FALSE=TRUE,Inputs!$B$32,0)))*(1-IF(AND(ArtifactsInput!$M$27,Inputs!$B$4="Chapter Hunt"),CHOOSE(ArtifactsInput!$N$27+1,20,24,28,32,36,40),0)/100)))))/Skills!H8+0.000000001),1)))/Inputs!$B$43),G799*Q799))*IF(Inputs!$B$38="pvp",1,(1+(Inputs!$B$21+Skills!Q8+(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Inputs!$B$3&gt;=69</f>
        <v/>
      </c>
      <c r="D800">
        <f>IF(Skills!C9=1,60+Inputs!$B$25+Inputs!$B$29,IF(Skills!C9=2,90+Inputs!$B$26+Inputs!$B$29,IF(Skills!C9=3,120+Inputs!$B$27+Inputs!$B$29,MAX(0,(Inputs!$B$3-100)*3)+Inputs!$B$28+Inputs!$B$29)))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Skills!G9*IF(Skills!H9&gt;0,INT(IF(Inputs!$B$38="pvp",MIN(Skills!I9,15),Skills!I9)/Skills!H9+0.000000001),1)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803=TRUE,F803,0)/100)*(1+(IF(Skills!A9="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817=TRUE)*(F817-Calc!F26)),(Inputs!$B$23+((C822=TRUE)*(F822-Calc!F31))+(IF(ArtifactsInput!$M$15,CHOOSE(ArtifactsInput!$N$15+1,25,30,35,40,45,50)/100*(Inputs!$B$11-Inputs!$B$11),0))))/100+(Inputs!$B$23+((C822=TRUE)*(F822-Calc!F31))+(IF(ArtifactsInput!$M$15,CHOOSE(ArtifactsInput!$N$15+1,25,30,35,40,45,50)/100*(Inputs!$B$11-Inputs!$B$11),0)))/100)/2</f>
        <v/>
      </c>
      <c r="M800">
        <f>L800*(1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IF(B836=0,0,O800/B836)</f>
        <v/>
      </c>
      <c r="Q800">
        <f>IFERROR(1/(IF(Inputs!$B$38="pvp",15,MAX(0.1,Skills!D9-IF(TRUE=TRUE,Inputs!$B$32,0)))*(1-IF(AND(ArtifactsInput!$M$27,Inputs!$B$4="Chapter Hunt"),CHOOSE(ArtifactsInput!$N$27+1,20,24,28,32,36,40),0)/100)),0)</f>
        <v/>
      </c>
      <c r="R800">
        <f>IF(AND(Inputs!$B$38&lt;&gt;"pvp",Inputs!$B$43&gt;0),IF(MAX(0,Inputs!$B$43-B833)&lt;=0,0,(INT(MAX(0,Inputs!$B$43-B833)/(IF(Inputs!$B$38="pvp",15,MAX(0.1,Skills!D9-IF(TRUE=TRUE,Inputs!$B$32,0)))*(1-IF(AND(ArtifactsInput!$M$27,Inputs!$B$4="Chapter Hunt"),CHOOSE(ArtifactsInput!$N$27+1,20,24,28,32,36,40),0)/100)))+1)),0)</f>
        <v/>
      </c>
      <c r="S800">
        <f>IFERROR(O800/N800,0)</f>
        <v/>
      </c>
      <c r="T800">
        <f>IF(C800,(H800*N800*IF(AND(Inputs!$B$38&lt;&gt;"pvp",Inputs!$B$43&gt;0),((Skills!G9*((R800-1)*IF(Skills!H9&gt;0,INT(Skills!I9/Skills!H9+0.000000001),1)+IF(Skills!H9&gt;0,INT(MIN(Skills!I9,MAX(0,MAX(0,Inputs!$B$43-B833)-((R800-1)*(IF(Inputs!$B$38="pvp",15,MAX(0.1,Skills!D9-IF(TRUE=TRUE,Inputs!$B$32,0)))*(1-IF(AND(ArtifactsInput!$M$27,Inputs!$B$4="Chapter Hunt"),CHOOSE(ArtifactsInput!$N$27+1,20,24,28,32,36,40),0)/100)))))/Skills!H9+0.000000001),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INT(Skills!I9/Skills!H9+0.000000001),1)+IF(Skills!H9&gt;0,INT(MIN(Skills!I9,MAX(0,MAX(0,Inputs!$B$43-B833)-((R800-1)*(IF(Inputs!$B$38="pvp",15,MAX(0.1,Skills!D9-IF(TRUE=TRUE,Inputs!$B$32,0)))*(1-IF(AND(ArtifactsInput!$M$27,Inputs!$B$4="Chapter Hunt"),CHOOSE(ArtifactsInput!$N$27+1,20,24,28,32,36,40),0)/100)))))/Skills!H9+0.000000001),1)))/Inputs!$B$43),G800*Q800))*IF(Inputs!$B$38="pvp",1,(1+(Inputs!$B$21+Skills!Q9+(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Inputs!$B$3&gt;=63</f>
        <v/>
      </c>
      <c r="D801">
        <f>IF(Skills!C10=1,60+Inputs!$B$25+Inputs!$B$29,IF(Skills!C10=2,90+Inputs!$B$26+Inputs!$B$29,IF(Skills!C10=3,120+Inputs!$B$27+Inputs!$B$29,MAX(0,(Inputs!$B$3-100)*3)+Inputs!$B$28+Inputs!$B$29)))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Skills!G10*IF(Skills!H10&gt;0,INT(IF(Inputs!$B$38="pvp",MIN(Skills!I10,15),Skills!I10)/Skills!H10+0.000000001),1)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10="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817=TRUE)*(F817-Calc!F26)),(Inputs!$B$23+((C822=TRUE)*(F822-Calc!F31))+(IF(ArtifactsInput!$M$15,CHOOSE(ArtifactsInput!$N$15+1,25,30,35,40,45,50)/100*(Inputs!$B$11-Inputs!$B$11),0))))/100+(Inputs!$B$23+((C822=TRUE)*(F822-Calc!F31))+(IF(ArtifactsInput!$M$15,CHOOSE(ArtifactsInput!$N$15+1,25,30,35,40,45,50)/100*(Inputs!$B$11-Inputs!$B$11),0)))/100)/2</f>
        <v/>
      </c>
      <c r="M801">
        <f>L801*(1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IF(B836=0,0,O801/B836)</f>
        <v/>
      </c>
      <c r="Q801">
        <f>IFERROR(1/(IF(Inputs!$B$38="pvp",15,MAX(0.1,Skills!D10-IF(TRUE=TRUE,Inputs!$B$32,0)))*(1-IF(AND(ArtifactsInput!$M$27,Inputs!$B$4="Chapter Hunt"),CHOOSE(ArtifactsInput!$N$27+1,20,24,28,32,36,40),0)/100)),0)</f>
        <v/>
      </c>
      <c r="R801">
        <f>IF(AND(Inputs!$B$38&lt;&gt;"pvp",Inputs!$B$43&gt;0),IF(MAX(0,Inputs!$B$43-B833)&lt;=0,0,(INT(MAX(0,Inputs!$B$43-B833)/(IF(Inputs!$B$38="pvp",15,MAX(0.1,Skills!D10-IF(TRUE=TRUE,Inputs!$B$32,0)))*(1-IF(AND(ArtifactsInput!$M$27,Inputs!$B$4="Chapter Hunt"),CHOOSE(ArtifactsInput!$N$27+1,20,24,28,32,36,40),0)/100)))+1)),0)</f>
        <v/>
      </c>
      <c r="S801">
        <f>IFERROR(O801/N801,0)</f>
        <v/>
      </c>
      <c r="T801">
        <f>IF(C801,(H801*N801*IF(AND(Inputs!$B$38&lt;&gt;"pvp",Inputs!$B$43&gt;0),((Skills!G10*((R801-1)*IF(Skills!H10&gt;0,INT(Skills!I10/Skills!H10+0.000000001),1)+IF(Skills!H10&gt;0,INT(MIN(Skills!I10,MAX(0,MAX(0,Inputs!$B$43-B833)-((R801-1)*(IF(Inputs!$B$38="pvp",15,MAX(0.1,Skills!D10-IF(TRUE=TRUE,Inputs!$B$32,0)))*(1-IF(AND(ArtifactsInput!$M$27,Inputs!$B$4="Chapter Hunt"),CHOOSE(ArtifactsInput!$N$27+1,20,24,28,32,36,40),0)/100)))))/Skills!H10+0.000000001),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INT(Skills!I10/Skills!H10+0.000000001),1)+IF(Skills!H10&gt;0,INT(MIN(Skills!I10,MAX(0,MAX(0,Inputs!$B$43-B833)-((R801-1)*(IF(Inputs!$B$38="pvp",15,MAX(0.1,Skills!D10-IF(TRUE=TRUE,Inputs!$B$32,0)))*(1-IF(AND(ArtifactsInput!$M$27,Inputs!$B$4="Chapter Hunt"),CHOOSE(ArtifactsInput!$N$27+1,20,24,28,32,36,40),0)/100)))))/Skills!H10+0.000000001),1)))/Inputs!$B$43),G801*Q801))*IF(Inputs!$B$38="pvp",1,(1+(Inputs!$B$21+Skills!Q10+(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Inputs!$B$3&gt;=103</f>
        <v/>
      </c>
      <c r="D802">
        <f>IF(Skills!C11=1,60+Inputs!$B$25+Inputs!$B$29,IF(Skills!C11=2,90+Inputs!$B$26+Inputs!$B$29,IF(Skills!C11=3,120+Inputs!$B$27+Inputs!$B$29,MAX(0,(Inputs!$B$3-100)*3)+Inputs!$B$28+Inputs!$B$29)))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Skills!G11*IF(Skills!H11&gt;0,INT(IF(Inputs!$B$38="pvp",MIN(Skills!I11,15),Skills!I11)/Skills!H11+0.000000001),1)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817=TRUE)*(F817-Calc!F26)),(Inputs!$B$23+((C822=TRUE)*(F822-Calc!F31))+(IF(ArtifactsInput!$M$15,CHOOSE(ArtifactsInput!$N$15+1,25,30,35,40,45,50)/100*(Inputs!$B$11-Inputs!$B$11),0))))/100+(Inputs!$B$23+((C822=TRUE)*(F822-Calc!F31))+(IF(ArtifactsInput!$M$15,CHOOSE(ArtifactsInput!$N$15+1,25,30,35,40,45,50)/100*(Inputs!$B$11-Inputs!$B$11),0)))/100)/2</f>
        <v/>
      </c>
      <c r="M802">
        <f>L802*(1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IF(B836=0,0,O802/B836)</f>
        <v/>
      </c>
      <c r="Q802">
        <f>IFERROR(1/(IF(Inputs!$B$38="pvp",15,MAX(0.1,Skills!D11-IF(TRUE=TRUE,Inputs!$B$32,0)))*(1-IF(AND(ArtifactsInput!$M$27,Inputs!$B$4="Chapter Hunt"),CHOOSE(ArtifactsInput!$N$27+1,20,24,28,32,36,40),0)/100)),0)</f>
        <v/>
      </c>
      <c r="R802">
        <f>IF(AND(Inputs!$B$38&lt;&gt;"pvp",Inputs!$B$43&gt;0),IF(MAX(0,Inputs!$B$43-B833)&lt;=0,0,(INT(MAX(0,Inputs!$B$43-B833)/(IF(Inputs!$B$38="pvp",15,MAX(0.1,Skills!D11-IF(TRUE=TRUE,Inputs!$B$32,0)))*(1-IF(AND(ArtifactsInput!$M$27,Inputs!$B$4="Chapter Hunt"),CHOOSE(ArtifactsInput!$N$27+1,20,24,28,32,36,40),0)/100)))+1)),0)</f>
        <v/>
      </c>
      <c r="S802">
        <f>IFERROR(O802/N802,0)</f>
        <v/>
      </c>
      <c r="T802">
        <f>IF(C802,(H802*N802*IF(AND(Inputs!$B$38&lt;&gt;"pvp",Inputs!$B$43&gt;0),((Skills!G11*((R802-1)*IF(Skills!H11&gt;0,INT(Skills!I11/Skills!H11+0.000000001),1)+IF(Skills!H11&gt;0,INT(MIN(Skills!I11,MAX(0,MAX(0,Inputs!$B$43-B833)-((R802-1)*(IF(Inputs!$B$38="pvp",15,MAX(0.1,Skills!D11-IF(TRUE=TRUE,Inputs!$B$32,0)))*(1-IF(AND(ArtifactsInput!$M$27,Inputs!$B$4="Chapter Hunt"),CHOOSE(ArtifactsInput!$N$27+1,20,24,28,32,36,40),0)/100)))))/Skills!H11+0.000000001)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INT(Skills!I11/Skills!H11+0.000000001),1)+IF(Skills!H11&gt;0,INT(MIN(Skills!I11,MAX(0,MAX(0,Inputs!$B$43-B833)-((R802-1)*(IF(Inputs!$B$38="pvp",15,MAX(0.1,Skills!D11-IF(TRUE=TRUE,Inputs!$B$32,0)))*(1-IF(AND(ArtifactsInput!$M$27,Inputs!$B$4="Chapter Hunt"),CHOOSE(ArtifactsInput!$N$27+1,20,24,28,32,36,40),0)/100)))))/Skills!H11+0.000000001),1)))/Inputs!$B$43),G802*Q802))*IF(Inputs!$B$38="pvp",1,(1+(Inputs!$B$21+Skills!Q11+(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c r="T803" t="inlineStr"/>
      <c r="V803" t="inlineStr"/>
    </row>
    <row r="804">
      <c r="A804">
        <f>Skills!A13</f>
        <v/>
      </c>
      <c r="B804">
        <f>Skills!B13</f>
        <v/>
      </c>
      <c r="C804">
        <f>Inputs!$B$3&gt;=60</f>
        <v/>
      </c>
      <c r="D804">
        <f>IF(Skills!C13=1,60+Inputs!$B$25+Inputs!$B$29,IF(Skills!C13=2,90+Inputs!$B$26+Inputs!$B$29,IF(Skills!C13=3,120+Inputs!$B$27+Inputs!$B$29,MAX(0,(Inputs!$B$3-100)*3)+Inputs!$B$28+Inputs!$B$29)))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Skills!G13*IF(Skills!H13&gt;0,INT(IF(Inputs!$B$38="pvp",MIN(Skills!I13,15),Skills!I13)/Skills!H13+0.000000001),1)</f>
        <v/>
      </c>
      <c r="H804">
        <f>1-(1-Skills!J13/100)^Skills!K13</f>
        <v/>
      </c>
      <c r="I804" t="inlineStr">
        <is>
          <t>1</t>
        </is>
      </c>
      <c r="J804">
        <f>((Inputs!$B$6*(1+Inputs!$B$7/100))+(((Inputs!$B$12*(1+Inputs!$B$13/100))-(Inputs!$B$12*(1+Inputs!$B$13/100)))+0.25*(Inputs!$B$14-Inputs!$B$14))*(1+Inputs!$B$7/100))*(F804/100)</f>
        <v/>
      </c>
      <c r="K804">
        <f>J804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Skills!A13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817=TRUE)*(F817-Calc!F26)),(Inputs!$B$23+((C822=TRUE)*(F822-Calc!F31))+(IF(ArtifactsInput!$M$15,CHOOSE(ArtifactsInput!$N$15+1,25,30,35,40,45,50)/100*(Inputs!$B$11-Inputs!$B$11),0))))/100+(Inputs!$B$23+((C822=TRUE)*(F822-Calc!F31))+(IF(ArtifactsInput!$M$15,CHOOSE(ArtifactsInput!$N$15+1,25,30,35,40,45,50)/100*(Inputs!$B$11-Inputs!$B$11),0)))/100)/2</f>
        <v/>
      </c>
      <c r="M804">
        <f>L804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IF(B836=0,0,O804/B836)</f>
        <v/>
      </c>
      <c r="Q804">
        <f>IFERROR(1/(IF(Inputs!$B$38="pvp",15,MAX(0.1,IF(Inputs!$B$3&gt;=122,3,5)+1/(((20+30*(B828-1)*100/150)/100)*B828)-IF(FALSE=TRUE,Inputs!$B$32,0)))*(1-IF(AND(ArtifactsInput!$M$27,Inputs!$B$4="Chapter Hunt"),CHOOSE(ArtifactsInput!$N$27+1,20,24,28,32,36,40),0)/100)),0)</f>
        <v/>
      </c>
      <c r="R804">
        <f>IF(AND(Inputs!$B$38&lt;&gt;"pvp",Inputs!$B$43&gt;0),IF(MAX(0,Inputs!$B$43-B833)&lt;=0,0,(INT(MAX(0,Inputs!$B$43-B833)/(IF(Inputs!$B$38="pvp",15,MAX(0.1,IF(Inputs!$B$3&gt;=122,3,5)+1/(((20+30*(B828-1)*100/150)/100)*B828)-IF(FALSE=TRUE,Inputs!$B$32,0)))*(1-IF(AND(ArtifactsInput!$M$27,Inputs!$B$4="Chapter Hunt"),CHOOSE(ArtifactsInput!$N$27+1,20,24,28,32,36,40),0)/100)))+1)),0)</f>
        <v/>
      </c>
      <c r="S804">
        <f>IFERROR(O804/N804,0)</f>
        <v/>
      </c>
      <c r="T804">
        <f>IF(C804,(H804*N804*IF(AND(Inputs!$B$38&lt;&gt;"pvp",Inputs!$B$43&gt;0),((Skills!G13*((R804-1)*IF(Skills!H13&gt;0,INT(Skills!I13/Skills!H13+0.000000001),1)+IF(Skills!H13&gt;0,INT(MIN(Skills!I13,MAX(0,MAX(0,Inputs!$B$43-B833)-((R804-1)*(IF(Inputs!$B$38="pvp",15,MAX(0.1,IF(Inputs!$B$3&gt;=122,3,5)+1/(((20+30*(B828-1)*100/150)/100)*B828)-IF(FALSE=TRUE,Inputs!$B$32,0)))*(1-IF(AND(ArtifactsInput!$M$27,Inputs!$B$4="Chapter Hunt"),CHOOSE(ArtifactsInput!$N$27+1,20,24,28,32,36,40),0)/100)))))/Skills!H13+0.000000001),1)))/Inputs!$B$43),G804*Q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13*((R804-1)*IF(Skills!H13&gt;0,INT(Skills!I13/Skills!H13+0.000000001),1)+IF(Skills!H13&gt;0,INT(MIN(Skills!I13,MAX(0,MAX(0,Inputs!$B$43-B833)-((R804-1)*(IF(Inputs!$B$38="pvp",15,MAX(0.1,IF(Inputs!$B$3&gt;=122,3,5)+1/(((20+30*(B828-1)*100/150)/100)*B828)-IF(FALSE=TRUE,Inputs!$B$32,0)))*(1-IF(AND(ArtifactsInput!$M$27,Inputs!$B$4="Chapter Hunt"),CHOOSE(ArtifactsInput!$N$27+1,20,24,28,32,36,40),0)/100)))))/Skills!H13+0.000000001),1)))/Inputs!$B$43),G804*Q804))*IF(Inputs!$B$38="pvp",1,(1+(Inputs!$B$21+Skills!Q13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Skills!A14</f>
        <v/>
      </c>
      <c r="B805">
        <f>Skills!B14</f>
        <v/>
      </c>
      <c r="C805">
        <f>Inputs!$B$3&gt;=110</f>
        <v/>
      </c>
      <c r="D805">
        <f>IF(Skills!C14=1,60+Inputs!$B$25+Inputs!$B$29,IF(Skills!C14=2,90+Inputs!$B$26+Inputs!$B$29,IF(Skills!C14=3,120+Inputs!$B$27+Inputs!$B$29,MAX(0,(Inputs!$B$3-100)*3)+Inputs!$B$28+Inputs!$B$29)))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Skills!A15</f>
        <v/>
      </c>
      <c r="B806">
        <f>Skills!B15</f>
        <v/>
      </c>
      <c r="C806">
        <f>Inputs!$B$3&gt;=74</f>
        <v/>
      </c>
      <c r="D806">
        <f>IF(Skills!C15=1,60+Inputs!$B$25+Inputs!$B$29,IF(Skills!C15=2,90+Inputs!$B$26+Inputs!$B$29,IF(Skills!C15=3,120+Inputs!$B$27+Inputs!$B$29,MAX(0,(Inputs!$B$3-100)*3)+Inputs!$B$28+Inputs!$B$29)))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Skills!G15*IF(Skills!H15&gt;0,INT(IF(Inputs!$B$38="pvp",MIN(Skills!I15,15),Skills!I15)/Skills!H15+0.000000001),1)</f>
        <v/>
      </c>
      <c r="H806">
        <f>1-(1-Skills!J15/100)^Skills!K15</f>
        <v/>
      </c>
      <c r="I806" t="inlineStr">
        <is>
          <t>1</t>
        </is>
      </c>
      <c r="J806" t="inlineStr"/>
      <c r="K806" t="inlineStr"/>
      <c r="L806" t="inlineStr"/>
      <c r="M806" t="inlineStr"/>
      <c r="N806" t="inlineStr"/>
      <c r="O806">
        <f>(1-Summary!$B$11)*T806+Summary!$B$11*V806</f>
        <v/>
      </c>
      <c r="P806">
        <f>IF(B836=0,0,O806/B836)</f>
        <v/>
      </c>
      <c r="Q806" t="n">
        <v>0</v>
      </c>
      <c r="R806" t="n">
        <v>0</v>
      </c>
      <c r="S806">
        <f>IFERROR(O806/N806,0)</f>
        <v/>
      </c>
      <c r="T806" t="n">
        <v>0</v>
      </c>
      <c r="V806" t="n">
        <v>0</v>
      </c>
    </row>
    <row r="807">
      <c r="A807">
        <f>Skills!A16</f>
        <v/>
      </c>
      <c r="B807">
        <f>Skills!B16</f>
        <v/>
      </c>
      <c r="C807">
        <f>Inputs!$B$3&gt;=74</f>
        <v/>
      </c>
      <c r="D807">
        <f>IF(Skills!C16=1,60+Inputs!$B$25+Inputs!$B$29,IF(Skills!C16=2,90+Inputs!$B$26+Inputs!$B$29,IF(Skills!C16=3,120+Inputs!$B$27+Inputs!$B$29,MAX(0,(Inputs!$B$3-100)*3)+Inputs!$B$28+Inputs!$B$29)))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Skills!G16*IF(Skills!H16&gt;0,INT(IF(Inputs!$B$38="pvp",MIN(Skills!I16,15),Skills!I16)/Skills!H16+0.000000001),1)</f>
        <v/>
      </c>
      <c r="H807">
        <f>1-(1-Skills!J16/100)^Skills!K16</f>
        <v/>
      </c>
      <c r="I807" t="inlineStr">
        <is>
          <t>1</t>
        </is>
      </c>
      <c r="J807" t="inlineStr"/>
      <c r="K807" t="inlineStr"/>
      <c r="L807" t="inlineStr"/>
      <c r="M807" t="inlineStr"/>
      <c r="N807" t="inlineStr"/>
      <c r="O807">
        <f>(1-Summary!$B$11)*T807+Summary!$B$11*V807</f>
        <v/>
      </c>
      <c r="P807">
        <f>IF(B836=0,0,O807/B836)</f>
        <v/>
      </c>
      <c r="Q807" t="n">
        <v>0</v>
      </c>
      <c r="R807" t="n">
        <v>0</v>
      </c>
      <c r="S807">
        <f>IFERROR(O807/N807,0)</f>
        <v/>
      </c>
      <c r="T807" t="n">
        <v>0</v>
      </c>
      <c r="V807" t="n">
        <v>0</v>
      </c>
    </row>
    <row r="808">
      <c r="A808">
        <f>Skills!A17</f>
        <v/>
      </c>
      <c r="B808">
        <f>Skills!B17</f>
        <v/>
      </c>
      <c r="C808">
        <f>Inputs!$B$3&gt;=117</f>
        <v/>
      </c>
      <c r="D808">
        <f>IF(Skills!C17=1,60+Inputs!$B$25+Inputs!$B$29,IF(Skills!C17=2,90+Inputs!$B$26+Inputs!$B$29,IF(Skills!C17=3,120+Inputs!$B$27+Inputs!$B$29,MAX(0,(Inputs!$B$3-100)*3)+Inputs!$B$28+Inputs!$B$29)))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Skills!G17*IF(Skills!H17&gt;0,INT(IF(Inputs!$B$38="pvp",MIN(Skills!I17,15),Skills!I17)/Skills!H17+0.000000001),1)</f>
        <v/>
      </c>
      <c r="H808">
        <f>1-(1-Skills!J17/100)^Skills!K17</f>
        <v/>
      </c>
      <c r="I808" t="inlineStr">
        <is>
          <t>1</t>
        </is>
      </c>
      <c r="J808" t="inlineStr"/>
      <c r="K808" t="inlineStr"/>
      <c r="L808" t="inlineStr"/>
      <c r="M808" t="inlineStr"/>
      <c r="N808" t="inlineStr"/>
      <c r="O808">
        <f>(1-Summary!$B$11)*T808+Summary!$B$11*V808</f>
        <v/>
      </c>
      <c r="P808">
        <f>IF(B836=0,0,O808/B836)</f>
        <v/>
      </c>
      <c r="Q808">
        <f>IFERROR(1/(IF(Inputs!$B$38="pvp",15,MAX(0.1,Skills!D17-IF(TRUE=TRUE,Inputs!$B$32,0)))*(1-IF(AND(ArtifactsInput!$M$27,Inputs!$B$4="Chapter Hunt"),CHOOSE(ArtifactsInput!$N$27+1,20,24,28,32,36,40),0)/100)),0)</f>
        <v/>
      </c>
      <c r="R808">
        <f>IF(AND(Inputs!$B$38&lt;&gt;"pvp",Inputs!$B$43&gt;0),IF(Inputs!$B$43&lt;=0,0,(INT(Inputs!$B$43/(IF(Inputs!$B$38="pvp",15,MAX(0.1,Skills!D17-IF(TRUE=TRUE,Inputs!$B$32,0)))*(1-IF(AND(ArtifactsInput!$M$27,Inputs!$B$4="Chapter Hunt"),CHOOSE(ArtifactsInput!$N$27+1,20,24,28,32,36,40),0)/100)))+1)),0)</f>
        <v/>
      </c>
      <c r="S808">
        <f>IFERROR(O808/N808,0)</f>
        <v/>
      </c>
      <c r="T808" t="n">
        <v>0</v>
      </c>
      <c r="V808" t="n">
        <v>0</v>
      </c>
    </row>
    <row r="809">
      <c r="A809">
        <f>Skills!A18</f>
        <v/>
      </c>
      <c r="B809">
        <f>Skills!B18</f>
        <v/>
      </c>
      <c r="C809">
        <f>Inputs!$B$3&gt;=115</f>
        <v/>
      </c>
      <c r="D809">
        <f>IF(Skills!C18=1,60+Inputs!$B$25+Inputs!$B$29,IF(Skills!C18=2,90+Inputs!$B$26+Inputs!$B$29,IF(Skills!C18=3,120+Inputs!$B$27+Inputs!$B$29,MAX(0,(Inputs!$B$3-100)*3)+Inputs!$B$28+Inputs!$B$29)))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Skills!G18*IF(Skills!H18&gt;0,INT(IF(Inputs!$B$38="pvp",MIN(Skills!I18,15),Skills!I18)/Skills!H18+0.000000001),1)</f>
        <v/>
      </c>
      <c r="H809">
        <f>1-(1-Skills!J18/100)^Skills!K18</f>
        <v/>
      </c>
      <c r="I809" t="inlineStr">
        <is>
          <t>1</t>
        </is>
      </c>
      <c r="J809" t="inlineStr"/>
      <c r="K809" t="inlineStr"/>
      <c r="L809" t="inlineStr"/>
      <c r="M809" t="inlineStr"/>
      <c r="N809" t="inlineStr"/>
      <c r="O809">
        <f>(1-Summary!$B$11)*T809+Summary!$B$11*V809</f>
        <v/>
      </c>
      <c r="P809">
        <f>IF(B836=0,0,O809/B836)</f>
        <v/>
      </c>
      <c r="Q809">
        <f>IFERROR(1/(IF(Inputs!$B$38="pvp",15,MAX(0.1,Skills!D18-IF(TRUE=TRUE,Inputs!$B$32,0)))*(1-IF(AND(ArtifactsInput!$M$27,Inputs!$B$4="Chapter Hunt"),CHOOSE(ArtifactsInput!$N$27+1,20,24,28,32,36,40),0)/100)),0)</f>
        <v/>
      </c>
      <c r="R809">
        <f>IF(AND(Inputs!$B$38&lt;&gt;"pvp",Inputs!$B$43&gt;0),IF(Inputs!$B$43&lt;=0,0,(INT(Inputs!$B$43/(IF(Inputs!$B$38="pvp",15,MAX(0.1,Skills!D18-IF(TRUE=TRUE,Inputs!$B$32,0)))*(1-IF(AND(ArtifactsInput!$M$27,Inputs!$B$4="Chapter Hunt"),CHOOSE(ArtifactsInput!$N$27+1,20,24,28,32,36,40),0)/100)))+1)),0)</f>
        <v/>
      </c>
      <c r="S809">
        <f>IFERROR(O809/N809,0)</f>
        <v/>
      </c>
      <c r="T809" t="n">
        <v>0</v>
      </c>
      <c r="V809" t="n">
        <v>0</v>
      </c>
    </row>
    <row r="810">
      <c r="A810">
        <f>Skills!A19</f>
        <v/>
      </c>
      <c r="B810">
        <f>Skills!B19</f>
        <v/>
      </c>
      <c r="C810">
        <f>Inputs!$B$3&gt;=66</f>
        <v/>
      </c>
      <c r="D810">
        <f>IF(Skills!C19=1,60+Inputs!$B$25+Inputs!$B$29,IF(Skills!C19=2,90+Inputs!$B$26+Inputs!$B$29,IF(Skills!C19=3,120+Inputs!$B$27+Inputs!$B$29,MAX(0,(Inputs!$B$3-100)*3)+Inputs!$B$28+Inputs!$B$29)))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Skills!G19*IF(Skills!H19&gt;0,INT(IF(Inputs!$B$38="pvp",MIN(Skills!I19,15),Skills!I19)/Skills!H19+0.000000001),1)</f>
        <v/>
      </c>
      <c r="H810">
        <f>1-(1-Skills!J19/100)^Skills!K19</f>
        <v/>
      </c>
      <c r="I810" t="inlineStr">
        <is>
          <t>1</t>
        </is>
      </c>
      <c r="J810" t="inlineStr"/>
      <c r="K810" t="inlineStr"/>
      <c r="L810" t="inlineStr"/>
      <c r="M810" t="inlineStr"/>
      <c r="N810" t="inlineStr"/>
      <c r="O810">
        <f>(1-Summary!$B$11)*T810+Summary!$B$11*V810</f>
        <v/>
      </c>
      <c r="P810">
        <f>IF(B836=0,0,O810/B836)</f>
        <v/>
      </c>
      <c r="Q810" t="n">
        <v>0</v>
      </c>
      <c r="R810" t="n">
        <v>0</v>
      </c>
      <c r="S810">
        <f>IFERROR(O810/N810,0)</f>
        <v/>
      </c>
      <c r="T810" t="n">
        <v>0</v>
      </c>
      <c r="V810" t="n">
        <v>0</v>
      </c>
    </row>
    <row r="811">
      <c r="A811">
        <f>Skills!A20</f>
        <v/>
      </c>
      <c r="B811">
        <f>Skills!B20</f>
        <v/>
      </c>
      <c r="C811">
        <f>Inputs!$B$3&gt;=72</f>
        <v/>
      </c>
      <c r="D811">
        <f>IF(Skills!C20=1,60+Inputs!$B$25+Inputs!$B$29,IF(Skills!C20=2,90+Inputs!$B$26+Inputs!$B$29,IF(Skills!C20=3,120+Inputs!$B$27+Inputs!$B$29,MAX(0,(Inputs!$B$3-100)*3)+Inputs!$B$28+Inputs!$B$29)))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Skills!G20*IF(Skills!H20&gt;0,INT(IF(Inputs!$B$38="pvp",MIN(Skills!I20,15),Skills!I20)/Skills!H20+0.000000001),1)</f>
        <v/>
      </c>
      <c r="H811">
        <f>1-(1-Skills!J20/100)^Skills!K20</f>
        <v/>
      </c>
      <c r="I811" t="inlineStr">
        <is>
          <t>1</t>
        </is>
      </c>
      <c r="J811" t="inlineStr"/>
      <c r="K811" t="inlineStr"/>
      <c r="L811" t="inlineStr"/>
      <c r="M811" t="inlineStr"/>
      <c r="N811" t="inlineStr"/>
      <c r="O811">
        <f>(1-Summary!$B$11)*T811+Summary!$B$11*V811</f>
        <v/>
      </c>
      <c r="P811">
        <f>IF(B836=0,0,O811/B836)</f>
        <v/>
      </c>
      <c r="Q811" t="n">
        <v>0</v>
      </c>
      <c r="R811" t="n">
        <v>0</v>
      </c>
      <c r="S811">
        <f>IFERROR(O811/N811,0)</f>
        <v/>
      </c>
      <c r="T811" t="n">
        <v>0</v>
      </c>
      <c r="V811" t="n">
        <v>0</v>
      </c>
    </row>
    <row r="812">
      <c r="A812">
        <f>Skills!A21</f>
        <v/>
      </c>
      <c r="B812">
        <f>Skills!B21</f>
        <v/>
      </c>
      <c r="C812">
        <f>TRUE</f>
        <v/>
      </c>
      <c r="D812">
        <f>IF(Skills!C21=1,60+Inputs!$B$25+Inputs!$B$29,IF(Skills!C21=2,90+Inputs!$B$26+Inputs!$B$29,IF(Skills!C21=3,120+Inputs!$B$27+Inputs!$B$29,MAX(0,(Inputs!$B$3-100)*3)+Inputs!$B$28+Inputs!$B$29)))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Skills!G21*IF(Skills!H21&gt;0,INT(IF(Inputs!$B$38="pvp",MIN(Skills!I21,15),Skills!I21)/Skills!H21+0.000000001),1)</f>
        <v/>
      </c>
      <c r="H812">
        <f>1-(1-Skills!J21/100)^Skills!K21</f>
        <v/>
      </c>
      <c r="I812" t="inlineStr">
        <is>
          <t>1</t>
        </is>
      </c>
      <c r="J812" t="inlineStr"/>
      <c r="K812" t="inlineStr"/>
      <c r="L812" t="inlineStr"/>
      <c r="M812" t="inlineStr"/>
      <c r="N812" t="inlineStr"/>
      <c r="O812">
        <f>(1-Summary!$B$11)*T812+Summary!$B$11*V812</f>
        <v/>
      </c>
      <c r="P812">
        <f>IF(B836=0,0,O812/B836)</f>
        <v/>
      </c>
      <c r="Q812">
        <f>IFERROR(1/(IF(Inputs!$B$38="pvp",15,MAX(0.1,Skills!D21-IF(TRUE=TRUE,Inputs!$B$32,0)))*(1-IF(AND(ArtifactsInput!$M$27,Inputs!$B$4="Chapter Hunt"),CHOOSE(ArtifactsInput!$N$27+1,20,24,28,32,36,40),0)/100)),0)</f>
        <v/>
      </c>
      <c r="R812">
        <f>IF(AND(Inputs!$B$38&lt;&gt;"pvp",Inputs!$B$43&gt;0),IF(Inputs!$B$43&lt;=0,0,(INT(Inputs!$B$43/(IF(Inputs!$B$38="pvp",15,MAX(0.1,Skills!D21-IF(TRUE=TRUE,Inputs!$B$32,0)))*(1-IF(AND(ArtifactsInput!$M$27,Inputs!$B$4="Chapter Hunt"),CHOOSE(ArtifactsInput!$N$27+1,20,24,28,32,36,40),0)/100)))+1)),0)</f>
        <v/>
      </c>
      <c r="S812">
        <f>IFERROR(O812/N812,0)</f>
        <v/>
      </c>
      <c r="T812" t="n">
        <v>0</v>
      </c>
      <c r="V812" t="n">
        <v>0</v>
      </c>
    </row>
    <row r="813">
      <c r="A813">
        <f>Skills!A22</f>
        <v/>
      </c>
      <c r="B813">
        <f>Skills!B22</f>
        <v/>
      </c>
      <c r="C813">
        <f>Inputs!$B$3&gt;=15</f>
        <v/>
      </c>
      <c r="D813">
        <f>IF(Skills!C22=1,60+Inputs!$B$25+Inputs!$B$29,IF(Skills!C22=2,90+Inputs!$B$26+Inputs!$B$29,IF(Skills!C22=3,120+Inputs!$B$27+Inputs!$B$29,MAX(0,(Inputs!$B$3-100)*3)+Inputs!$B$28+Inputs!$B$29)))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Skills!G22*IF(Skills!H22&gt;0,INT(IF(Inputs!$B$38="pvp",MIN(Skills!I22,15),Skills!I22)/Skills!H22+0.000000001),1)</f>
        <v/>
      </c>
      <c r="H813">
        <f>1-(1-Skills!J22/100)^Skills!K22</f>
        <v/>
      </c>
      <c r="I813" t="inlineStr">
        <is>
          <t>1</t>
        </is>
      </c>
      <c r="J813" t="inlineStr"/>
      <c r="K813" t="inlineStr"/>
      <c r="L813" t="inlineStr"/>
      <c r="M813" t="inlineStr"/>
      <c r="N813" t="inlineStr"/>
      <c r="O813">
        <f>(1-Summary!$B$11)*T813+Summary!$B$11*V813</f>
        <v/>
      </c>
      <c r="P813">
        <f>IF(B836=0,0,O813/B836)</f>
        <v/>
      </c>
      <c r="Q813" t="n">
        <v>0</v>
      </c>
      <c r="R813" t="n">
        <v>0</v>
      </c>
      <c r="S813">
        <f>IFERROR(O813/N813,0)</f>
        <v/>
      </c>
      <c r="T813" t="n">
        <v>0</v>
      </c>
      <c r="V813" t="n">
        <v>0</v>
      </c>
    </row>
    <row r="814">
      <c r="A814">
        <f>Skills!A23</f>
        <v/>
      </c>
      <c r="B814">
        <f>Skills!B23</f>
        <v/>
      </c>
      <c r="C814">
        <f>Inputs!$B$3&gt;=10</f>
        <v/>
      </c>
      <c r="D814">
        <f>IF(Skills!C23=1,60+Inputs!$B$25+Inputs!$B$29,IF(Skills!C23=2,90+Inputs!$B$26+Inputs!$B$29,IF(Skills!C23=3,120+Inputs!$B$27+Inputs!$B$29,MAX(0,(Inputs!$B$3-100)*3)+Inputs!$B$28+Inputs!$B$29)))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Skills!G23*IF(Skills!H23&gt;0,INT(IF(Inputs!$B$38="pvp",MIN(Skills!I23,15),Skills!I23)/Skills!H23+0.000000001),1)</f>
        <v/>
      </c>
      <c r="H814">
        <f>1-(1-Skills!J23/100)^Skills!K23</f>
        <v/>
      </c>
      <c r="I814" t="inlineStr">
        <is>
          <t>1</t>
        </is>
      </c>
      <c r="J814" t="inlineStr"/>
      <c r="K814" t="inlineStr"/>
      <c r="L814" t="inlineStr"/>
      <c r="M814" t="inlineStr"/>
      <c r="N814" t="inlineStr"/>
      <c r="O814">
        <f>(1-Summary!$B$11)*T814+Summary!$B$11*V814</f>
        <v/>
      </c>
      <c r="P814">
        <f>IF(B836=0,0,O814/B836)</f>
        <v/>
      </c>
      <c r="Q814" t="n">
        <v>0</v>
      </c>
      <c r="R814" t="n">
        <v>0</v>
      </c>
      <c r="S814">
        <f>IFERROR(O814/N814,0)</f>
        <v/>
      </c>
      <c r="T814" t="n">
        <v>0</v>
      </c>
      <c r="V814" t="n">
        <v>0</v>
      </c>
    </row>
    <row r="815">
      <c r="A815">
        <f>Skills!A24</f>
        <v/>
      </c>
      <c r="B815">
        <f>Skills!B24</f>
        <v/>
      </c>
      <c r="C815">
        <f>Inputs!$B$3&gt;=33</f>
        <v/>
      </c>
      <c r="D815">
        <f>IF(Skills!C24=1,60+Inputs!$B$25+Inputs!$B$29,IF(Skills!C24=2,90+Inputs!$B$26+Inputs!$B$29,IF(Skills!C24=3,120+Inputs!$B$27+Inputs!$B$29,MAX(0,(Inputs!$B$3-100)*3)+Inputs!$B$28+Inputs!$B$29)))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Skills!G24*IF(Skills!H24&gt;0,INT(IF(Inputs!$B$38="pvp",MIN(Skills!I24,15),Skills!I24)/Skills!H24+0.000000001),1)</f>
        <v/>
      </c>
      <c r="H815">
        <f>1-(1-Skills!J24/100)^Skills!K24</f>
        <v/>
      </c>
      <c r="I815" t="inlineStr">
        <is>
          <t>1</t>
        </is>
      </c>
      <c r="J815" t="inlineStr"/>
      <c r="K815" t="inlineStr"/>
      <c r="L815" t="inlineStr"/>
      <c r="M815" t="inlineStr"/>
      <c r="N815" t="inlineStr"/>
      <c r="O815">
        <f>(1-Summary!$B$11)*T815+Summary!$B$11*V815</f>
        <v/>
      </c>
      <c r="P815">
        <f>IF(B836=0,0,O815/B836)</f>
        <v/>
      </c>
      <c r="Q815" t="n">
        <v>0</v>
      </c>
      <c r="R815" t="n">
        <v>0</v>
      </c>
      <c r="S815">
        <f>IFERROR(O815/N815,0)</f>
        <v/>
      </c>
      <c r="T815" t="n">
        <v>0</v>
      </c>
      <c r="V815" t="n">
        <v>0</v>
      </c>
    </row>
    <row r="816">
      <c r="A816">
        <f>Skills!A25</f>
        <v/>
      </c>
      <c r="B816">
        <f>Skills!B25</f>
        <v/>
      </c>
      <c r="C816">
        <f>Inputs!$B$3&gt;=38</f>
        <v/>
      </c>
      <c r="D816">
        <f>IF(Skills!C25=1,60+Inputs!$B$25+Inputs!$B$29,IF(Skills!C25=2,90+Inputs!$B$26+Inputs!$B$29,IF(Skills!C25=3,120+Inputs!$B$27+Inputs!$B$29,MAX(0,(Inputs!$B$3-100)*3)+Inputs!$B$28+Inputs!$B$29)))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Skills!G25*IF(Skills!H25&gt;0,INT(IF(Inputs!$B$38="pvp",MIN(Skills!I25,15),Skills!I25)/Skills!H25+0.000000001),1)</f>
        <v/>
      </c>
      <c r="H816">
        <f>1-(1-Skills!J25/100)^Skills!K25</f>
        <v/>
      </c>
      <c r="I816" t="inlineStr">
        <is>
          <t>1</t>
        </is>
      </c>
      <c r="J816" t="inlineStr"/>
      <c r="K816" t="inlineStr"/>
      <c r="L816" t="inlineStr"/>
      <c r="M816" t="inlineStr"/>
      <c r="N816" t="inlineStr"/>
      <c r="O816">
        <f>(1-Summary!$B$11)*T816+Summary!$B$11*V816</f>
        <v/>
      </c>
      <c r="P816">
        <f>IF(B836=0,0,O816/B836)</f>
        <v/>
      </c>
      <c r="Q816" t="n">
        <v>0</v>
      </c>
      <c r="R816" t="n">
        <v>0</v>
      </c>
      <c r="S816">
        <f>IFERROR(O816/N816,0)</f>
        <v/>
      </c>
      <c r="T816" t="n">
        <v>0</v>
      </c>
      <c r="V816" t="n">
        <v>0</v>
      </c>
    </row>
    <row r="817">
      <c r="A817">
        <f>Skills!A26</f>
        <v/>
      </c>
      <c r="B817">
        <f>Skills!B26</f>
        <v/>
      </c>
      <c r="C817">
        <f>Inputs!$B$3&gt;=43</f>
        <v/>
      </c>
      <c r="D817">
        <f>IF(Skills!C26=1,60+Inputs!$B$25+Inputs!$B$29,IF(Skills!C26=2,90+Inputs!$B$26+Inputs!$B$29,IF(Skills!C26=3,120+Inputs!$B$27+Inputs!$B$29,MAX(0,(Inputs!$B$3-100)*3)+Inputs!$B$28+Inputs!$B$29)))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Skills!G26*IF(Skills!H26&gt;0,INT(IF(Inputs!$B$38="pvp",MIN(Skills!I26,15),Skills!I26)/Skills!H26+0.000000001),1)</f>
        <v/>
      </c>
      <c r="H817">
        <f>1-(1-Skills!J26/100)^Skills!K26</f>
        <v/>
      </c>
      <c r="I817" t="inlineStr">
        <is>
          <t>1</t>
        </is>
      </c>
      <c r="J817" t="inlineStr"/>
      <c r="K817" t="inlineStr"/>
      <c r="L817" t="inlineStr"/>
      <c r="M817" t="inlineStr"/>
      <c r="N817" t="inlineStr"/>
      <c r="O817">
        <f>(1-Summary!$B$11)*T817+Summary!$B$11*V817</f>
        <v/>
      </c>
      <c r="P817">
        <f>IF(B836=0,0,O817/B836)</f>
        <v/>
      </c>
      <c r="Q817" t="n">
        <v>0</v>
      </c>
      <c r="R817" t="n">
        <v>0</v>
      </c>
      <c r="S817">
        <f>IFERROR(O817/N817,0)</f>
        <v/>
      </c>
      <c r="T817" t="n">
        <v>0</v>
      </c>
      <c r="V817" t="n">
        <v>0</v>
      </c>
    </row>
    <row r="818">
      <c r="A818">
        <f>Skills!A27</f>
        <v/>
      </c>
      <c r="B818">
        <f>Skills!B27</f>
        <v/>
      </c>
      <c r="C818">
        <f>Inputs!$B$3&gt;=75</f>
        <v/>
      </c>
      <c r="D818">
        <f>IF(Skills!C27=1,60+Inputs!$B$25+Inputs!$B$29,IF(Skills!C27=2,90+Inputs!$B$26+Inputs!$B$29,IF(Skills!C27=3,120+Inputs!$B$27+Inputs!$B$29,MAX(0,(Inputs!$B$3-100)*3)+Inputs!$B$28+Inputs!$B$29)))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Skills!G27*IF(Skills!H27&gt;0,INT(IF(Inputs!$B$38="pvp",MIN(Skills!I27,15),Skills!I27)/Skills!H27+0.000000001),1)</f>
        <v/>
      </c>
      <c r="H818">
        <f>1-(1-Skills!J27/100)^Skills!K27</f>
        <v/>
      </c>
      <c r="I818" t="inlineStr">
        <is>
          <t>1</t>
        </is>
      </c>
      <c r="J818" t="inlineStr"/>
      <c r="K818" t="inlineStr"/>
      <c r="L818" t="inlineStr"/>
      <c r="M818" t="inlineStr"/>
      <c r="N818" t="inlineStr"/>
      <c r="O818">
        <f>(1-Summary!$B$11)*T818+Summary!$B$11*V818</f>
        <v/>
      </c>
      <c r="P818">
        <f>IF(B836=0,0,O818/B836)</f>
        <v/>
      </c>
      <c r="Q818" t="n">
        <v>0</v>
      </c>
      <c r="R818" t="n">
        <v>0</v>
      </c>
      <c r="S818">
        <f>IFERROR(O818/N818,0)</f>
        <v/>
      </c>
      <c r="T818" t="n">
        <v>0</v>
      </c>
      <c r="V818" t="n">
        <v>0</v>
      </c>
    </row>
    <row r="819">
      <c r="A819">
        <f>Skills!A28</f>
        <v/>
      </c>
      <c r="B819">
        <f>Skills!B28</f>
        <v/>
      </c>
      <c r="C819">
        <f>Inputs!$B$3&gt;=125</f>
        <v/>
      </c>
      <c r="D819">
        <f>IF(Skills!C28=1,60+Inputs!$B$25+Inputs!$B$29,IF(Skills!C28=2,90+Inputs!$B$26+Inputs!$B$29,IF(Skills!C28=3,120+Inputs!$B$27+Inputs!$B$29,MAX(0,(Inputs!$B$3-100)*3)+Inputs!$B$28+Inputs!$B$29)))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Skills!G28*IF(Skills!H28&gt;0,INT(IF(Inputs!$B$38="pvp",MIN(Skills!I28,15),Skills!I28)/Skills!H28+0.000000001),1)</f>
        <v/>
      </c>
      <c r="H819">
        <f>1-(1-Skills!J28/100)^Skills!K28</f>
        <v/>
      </c>
      <c r="I819" t="inlineStr">
        <is>
          <t>1</t>
        </is>
      </c>
      <c r="J819" t="inlineStr"/>
      <c r="K819" t="inlineStr"/>
      <c r="L819" t="inlineStr"/>
      <c r="M819" t="inlineStr"/>
      <c r="N819" t="inlineStr"/>
      <c r="O819">
        <f>(1-Summary!$B$11)*T819+Summary!$B$11*V819</f>
        <v/>
      </c>
      <c r="P819">
        <f>IF(B836=0,0,O819/B836)</f>
        <v/>
      </c>
      <c r="Q819" t="n">
        <v>0</v>
      </c>
      <c r="R819" t="n">
        <v>0</v>
      </c>
      <c r="S819">
        <f>IFERROR(O819/N819,0)</f>
        <v/>
      </c>
      <c r="T819" t="n">
        <v>0</v>
      </c>
      <c r="V819" t="n">
        <v>0</v>
      </c>
    </row>
    <row r="820">
      <c r="A820">
        <f>Skills!A29</f>
        <v/>
      </c>
      <c r="B820">
        <f>Skills!B29</f>
        <v/>
      </c>
      <c r="C820">
        <f>Inputs!$B$3&gt;=125</f>
        <v/>
      </c>
      <c r="D820">
        <f>IF(Skills!C29=1,60+Inputs!$B$25+Inputs!$B$29,IF(Skills!C29=2,90+Inputs!$B$26+Inputs!$B$29,IF(Skills!C29=3,120+Inputs!$B$27+Inputs!$B$29,MAX(0,(Inputs!$B$3-100)*3)+Inputs!$B$28+Inputs!$B$29)))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Skills!G29*IF(Skills!H29&gt;0,INT(IF(Inputs!$B$38="pvp",MIN(Skills!I29,15),Skills!I29)/Skills!H29+0.000000001),1)</f>
        <v/>
      </c>
      <c r="H820">
        <f>1-(1-Skills!J29/100)^Skills!K29</f>
        <v/>
      </c>
      <c r="I820" t="inlineStr">
        <is>
          <t>1</t>
        </is>
      </c>
      <c r="J820" t="inlineStr"/>
      <c r="K820" t="inlineStr"/>
      <c r="L820" t="inlineStr"/>
      <c r="M820" t="inlineStr"/>
      <c r="N820" t="inlineStr"/>
      <c r="O820">
        <f>(1-Summary!$B$11)*T820+Summary!$B$11*V820</f>
        <v/>
      </c>
      <c r="P820">
        <f>IF(B836=0,0,O820/B836)</f>
        <v/>
      </c>
      <c r="Q820" t="n">
        <v>0</v>
      </c>
      <c r="R820" t="n">
        <v>0</v>
      </c>
      <c r="S820">
        <f>IFERROR(O820/N820,0)</f>
        <v/>
      </c>
      <c r="T820" t="n">
        <v>0</v>
      </c>
      <c r="V820" t="n">
        <v>0</v>
      </c>
    </row>
    <row r="821">
      <c r="A821">
        <f>Skills!A30</f>
        <v/>
      </c>
      <c r="B821">
        <f>Skills!B30</f>
        <v/>
      </c>
      <c r="C821">
        <f>Inputs!$B$3&gt;=120</f>
        <v/>
      </c>
      <c r="D821">
        <f>IF(Skills!C30=1,60+Inputs!$B$25+Inputs!$B$29,IF(Skills!C30=2,90+Inputs!$B$26+Inputs!$B$29,IF(Skills!C30=3,120+Inputs!$B$27+Inputs!$B$29,MAX(0,(Inputs!$B$3-100)*3)+Inputs!$B$28+Inputs!$B$29)))</f>
        <v/>
      </c>
      <c r="E821">
        <f>INDEX(FactorTable!$B$2:$Y$301, MATCH(ROUND(MIN(300,MAX(1,D821)),0), FactorTable!$A$2:$A$301,0), Skills!M30+1)</f>
        <v/>
      </c>
      <c r="F821">
        <f>IF(Skills!N30=TRUE,(Skills!L30/10)*(E821/1000),Skills!L30/10)+Skills!O30</f>
        <v/>
      </c>
      <c r="G821">
        <f>Skills!G30*IF(Skills!H30&gt;0,INT(IF(Inputs!$B$38="pvp",MIN(Skills!I30,15),Skills!I30)/Skills!H30+0.000000001),1)</f>
        <v/>
      </c>
      <c r="H821">
        <f>1-(1-Skills!J30/100)^Skills!K30</f>
        <v/>
      </c>
      <c r="I821" t="inlineStr">
        <is>
          <t>1</t>
        </is>
      </c>
      <c r="J821" t="inlineStr"/>
      <c r="K821" t="inlineStr"/>
      <c r="L821" t="inlineStr"/>
      <c r="M821" t="inlineStr"/>
      <c r="N821" t="inlineStr"/>
      <c r="O821">
        <f>(1-Summary!$B$11)*T821+Summary!$B$11*V821</f>
        <v/>
      </c>
      <c r="P821">
        <f>IF(B836=0,0,O821/B836)</f>
        <v/>
      </c>
      <c r="Q821" t="n">
        <v>0</v>
      </c>
      <c r="R821" t="n">
        <v>0</v>
      </c>
      <c r="S821">
        <f>IFERROR(O821/N821,0)</f>
        <v/>
      </c>
      <c r="T821" t="n">
        <v>0</v>
      </c>
      <c r="V821" t="n">
        <v>0</v>
      </c>
    </row>
    <row r="822">
      <c r="A822">
        <f>Skills!A31</f>
        <v/>
      </c>
      <c r="B822">
        <f>Skills!B31</f>
        <v/>
      </c>
      <c r="C822">
        <f>Inputs!$B$3&gt;=120</f>
        <v/>
      </c>
      <c r="D822">
        <f>IF(Skills!C31=1,60+Inputs!$B$25+Inputs!$B$29,IF(Skills!C31=2,90+Inputs!$B$26+Inputs!$B$29,IF(Skills!C31=3,120+Inputs!$B$27+Inputs!$B$29,MAX(0,(Inputs!$B$3-100)*3)+Inputs!$B$28+Inputs!$B$29)))</f>
        <v/>
      </c>
      <c r="E822">
        <f>INDEX(FactorTable!$B$2:$Y$301, MATCH(ROUND(MIN(300,MAX(1,D822)),0), FactorTable!$A$2:$A$301,0), Skills!M31+1)</f>
        <v/>
      </c>
      <c r="F822">
        <f>IF(Skills!N31=TRUE,(Skills!L31/10)*(E822/1000),Skills!L31/10)+Skills!O31</f>
        <v/>
      </c>
      <c r="G822">
        <f>Skills!G31*IF(Skills!H31&gt;0,INT(IF(Inputs!$B$38="pvp",MIN(Skills!I31,15),Skills!I31)/Skills!H31+0.000000001),1)</f>
        <v/>
      </c>
      <c r="H822">
        <f>1-(1-Skills!J31/100)^Skills!K31</f>
        <v/>
      </c>
      <c r="I822" t="inlineStr">
        <is>
          <t>1</t>
        </is>
      </c>
      <c r="J822" t="inlineStr"/>
      <c r="K822" t="inlineStr"/>
      <c r="L822" t="inlineStr"/>
      <c r="M822" t="inlineStr"/>
      <c r="N822" t="inlineStr"/>
      <c r="O822">
        <f>(1-Summary!$B$11)*T822+Summary!$B$11*V822</f>
        <v/>
      </c>
      <c r="P822">
        <f>IF(B836=0,0,O822/B836)</f>
        <v/>
      </c>
      <c r="Q822" t="n">
        <v>0</v>
      </c>
      <c r="R822" t="n">
        <v>0</v>
      </c>
      <c r="S822">
        <f>IFERROR(O822/N822,0)</f>
        <v/>
      </c>
      <c r="T822" t="n">
        <v>0</v>
      </c>
      <c r="V822" t="n">
        <v>0</v>
      </c>
    </row>
    <row r="823">
      <c r="A823">
        <f>Skills!A32</f>
        <v/>
      </c>
      <c r="B823">
        <f>Skills!B32</f>
        <v/>
      </c>
      <c r="C823">
        <f>Inputs!$B$3&gt;=45</f>
        <v/>
      </c>
      <c r="D823">
        <f>IF(Skills!C32=1,60+Inputs!$B$25+Inputs!$B$29,IF(Skills!C32=2,90+Inputs!$B$26+Inputs!$B$29,IF(Skills!C32=3,120+Inputs!$B$27+Inputs!$B$29,MAX(0,(Inputs!$B$3-100)*3)+Inputs!$B$28+Inputs!$B$29)))</f>
        <v/>
      </c>
      <c r="E823">
        <f>INDEX(FactorTable!$B$2:$Y$301, MATCH(ROUND(MIN(300,MAX(1,D823)),0), FactorTable!$A$2:$A$301,0), Skills!M32+1)</f>
        <v/>
      </c>
      <c r="F823">
        <f>IF(Skills!N32=TRUE,(Skills!L32/10)*(E823/1000),Skills!L32/10)+Skills!O32</f>
        <v/>
      </c>
      <c r="G823">
        <f>Skills!G32*IF(Skills!H32&gt;0,INT(IF(Inputs!$B$38="pvp",MIN(Skills!I32,15),Skills!I32)/Skills!H32+0.000000001),1)</f>
        <v/>
      </c>
      <c r="H823">
        <f>1-(1-Skills!J32/100)^Skills!K32</f>
        <v/>
      </c>
      <c r="I823" t="inlineStr">
        <is>
          <t>1</t>
        </is>
      </c>
      <c r="J823" t="inlineStr"/>
      <c r="K823" t="inlineStr"/>
      <c r="L823" t="inlineStr"/>
      <c r="M823" t="inlineStr"/>
      <c r="N823" t="inlineStr"/>
      <c r="O823">
        <f>(1-Summary!$B$11)*T823+Summary!$B$11*V823</f>
        <v/>
      </c>
      <c r="P823">
        <f>IF(B836=0,0,O823/B836)</f>
        <v/>
      </c>
      <c r="Q823" t="n">
        <v>0</v>
      </c>
      <c r="R823" t="n">
        <v>0</v>
      </c>
      <c r="S823">
        <f>IFERROR(O823/N823,0)</f>
        <v/>
      </c>
      <c r="T823" t="n">
        <v>0</v>
      </c>
      <c r="V823" t="n">
        <v>0</v>
      </c>
    </row>
    <row r="825">
      <c r="A825" t="inlineStr">
        <is>
          <t>Attack% Bucket Multiplier</t>
        </is>
      </c>
      <c r="B825">
        <f>(1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6">
      <c r="A826" t="inlineStr">
        <is>
          <t>Global Crit Rate Bonus %</t>
        </is>
      </c>
      <c r="B826" t="n">
        <v>0</v>
      </c>
    </row>
    <row r="827">
      <c r="A827" t="inlineStr">
        <is>
          <t>Attack Speed Buff Bonus %</t>
        </is>
      </c>
      <c r="B827">
        <f>((C812=TRUE)*F812*IF(AND(Inputs!$B$38&lt;&gt;"pvp",Inputs!$B$43&gt;0),(((R812-1)*MIN((Skills!T21*(1+Inputs!$B$34/100)),(1/Q812))+MIN((Skills!T21*(1+Inputs!$B$34/100)),MAX(0,Inputs!$B$43-((R812-1)*(1/Q812)))))/Inputs!$B$43),IF(Inputs!$B$38="pvp",MIN((Skills!T21*(1+Inputs!$B$34/100)),15)/15,MIN(1,(Skills!T21*(1+Inputs!$B$34/100))/(1/Q812)))))</f>
        <v/>
      </c>
    </row>
    <row r="828">
      <c r="A828" t="inlineStr">
        <is>
          <t>Actions Per Second</t>
        </is>
      </c>
      <c r="B828">
        <f>1+MIN(150,150*(1-(1-(Inputs!$B$11+((C814=TRUE)*(F814-Calc!F23))+((C815=TRUE)*(F815-Calc!F24)))/150)*(1-B827/150)))/100</f>
        <v/>
      </c>
    </row>
    <row r="829">
      <c r="A829" t="inlineStr">
        <is>
          <t>Skill + Buff Cast Rate</t>
        </is>
      </c>
      <c r="B829">
        <f>IF(AND(Inputs!$B$38&lt;&gt;"pvp",Inputs!$B$43&gt;0),SUMPRODUCT((Skills!E2:E32=TRUE)*(C793:C823=TRUE)*R793:R823*Skills!F2:F32)/Inputs!$B$43,SUMPRODUCT((Skills!E2:E32=TRUE)*(C793:C823=TRUE)*Q793:Q823*Skills!F2:F32))</f>
        <v/>
      </c>
    </row>
    <row r="830">
      <c r="A830" t="inlineStr">
        <is>
          <t>Arrow Stream Casts Per Second</t>
        </is>
      </c>
      <c r="B830">
        <f>MAX(0,B828-B829)</f>
        <v/>
      </c>
    </row>
    <row r="831">
      <c r="A831" t="inlineStr">
        <is>
          <t>Global Critical Damage Bonus % (Sharp Eyes + Concentration)</t>
        </is>
      </c>
      <c r="B831">
        <f>(C809=TRUE)*F809*IF(AND(Inputs!$B$38&lt;&gt;"pvp",Inputs!$B$43&gt;0),(((R809-1)*MIN((Skills!T18*(1+Inputs!$B$34/100)),(1/Q809))+MIN((Skills!T18*(1+Inputs!$B$34/100)),MAX(0,Inputs!$B$43-((R809-1)*(1/Q809)))))/Inputs!$B$43),IF(Inputs!$B$38="pvp",MIN((Skills!T18*(1+Inputs!$B$34/100)),15)/15,MIN(1,(Skills!T18*(1+Inputs!$B$34/100))/(1/Q809))))+(C810=TRUE)*7*F810</f>
        <v/>
      </c>
    </row>
    <row r="832">
      <c r="A832" t="inlineStr">
        <is>
          <t>Global Final Damage Bonus % (Mortal Blow)</t>
        </is>
      </c>
      <c r="B832">
        <f>(C811=TRUE)*F811</f>
        <v/>
      </c>
    </row>
    <row r="833">
      <c r="A833" t="inlineStr">
        <is>
          <t>Buff-Casting Startup Delay (s, fixed-duration only)</t>
        </is>
      </c>
      <c r="B833">
        <f>IF(AND(Inputs!$B$38&lt;&gt;"pvp",Inputs!$B$43&gt;0),SUMPRODUCT((Skills!T2:T32&gt;0)*(Skills!E2:E32=TRUE)*(C793:C823=TRUE))/B828,0)</f>
        <v/>
      </c>
    </row>
    <row r="834">
      <c r="A834" t="inlineStr">
        <is>
          <t>Boss-Only Total DPS (this block's swept value)</t>
        </is>
      </c>
      <c r="B834">
        <f>SUM(T793:T823)</f>
        <v/>
      </c>
    </row>
    <row r="835">
      <c r="A835" t="inlineStr">
        <is>
          <t>Normal-Only Total DPS (this block's swept value)</t>
        </is>
      </c>
      <c r="B835">
        <f>SUM(V793:V823)</f>
        <v/>
      </c>
    </row>
    <row r="836">
      <c r="A836" s="6" t="inlineStr">
        <is>
          <t>TOTAL DPS</t>
        </is>
      </c>
      <c r="B836" s="6">
        <f>SUM(O793:O823)</f>
        <v/>
      </c>
    </row>
    <row r="839">
      <c r="A839" s="6" t="inlineStr">
        <is>
          <t>Stat: Skill Level Bonus — 1st Job</t>
        </is>
      </c>
    </row>
    <row r="840">
      <c r="A840" s="5" t="inlineStr">
        <is>
          <t>Key</t>
        </is>
      </c>
      <c r="B840" s="5" t="inlineStr">
        <is>
          <t>Name</t>
        </is>
      </c>
      <c r="C840" s="5" t="inlineStr">
        <is>
          <t>Unlocked</t>
        </is>
      </c>
      <c r="D840" s="5" t="inlineStr">
        <is>
          <t>InputLevel</t>
        </is>
      </c>
      <c r="E840" s="5" t="inlineStr">
        <is>
          <t>Factor</t>
        </is>
      </c>
      <c r="F840" s="5" t="inlineStr">
        <is>
          <t>CoefficientPercent</t>
        </is>
      </c>
      <c r="G840" s="5" t="inlineStr">
        <is>
          <t>EffectiveHits</t>
        </is>
      </c>
      <c r="H840" s="5" t="inlineStr">
        <is>
          <t>ProcProbability</t>
        </is>
      </c>
      <c r="I840" s="5" t="inlineStr">
        <is>
          <t>MapleHeroMultiplier</t>
        </is>
      </c>
      <c r="J840" s="5" t="inlineStr">
        <is>
          <t>BaseDamage</t>
        </is>
      </c>
      <c r="K840" s="5" t="inlineStr">
        <is>
          <t>BaseHitDamage</t>
        </is>
      </c>
      <c r="L840" s="5" t="inlineStr">
        <is>
          <t>NonCritAvg</t>
        </is>
      </c>
      <c r="M840" s="5" t="inlineStr">
        <is>
          <t>CritAvg</t>
        </is>
      </c>
      <c r="N840" s="5" t="inlineStr">
        <is>
          <t>ExpectedDamage(perHit)</t>
        </is>
      </c>
      <c r="O840" s="5" t="inlineStr">
        <is>
          <t>DPS</t>
        </is>
      </c>
      <c r="P840" s="5" t="inlineStr">
        <is>
          <t>% of Total</t>
        </is>
      </c>
      <c r="Q840" s="5" t="inlineStr">
        <is>
          <t>InvCooldown</t>
        </is>
      </c>
      <c r="R840" s="5" t="inlineStr">
        <is>
          <t>CastsInFight</t>
        </is>
      </c>
      <c r="S840" s="5" t="inlineStr">
        <is>
          <t>HitRate(perSec)</t>
        </is>
      </c>
      <c r="U840" t="inlineStr">
        <is>
          <t>helpers</t>
        </is>
      </c>
    </row>
    <row r="841">
      <c r="A841">
        <f>Skills!A2</f>
        <v/>
      </c>
      <c r="B841">
        <f>Skills!B2</f>
        <v/>
      </c>
      <c r="C841">
        <f>Inputs!$B$3&gt;=100</f>
        <v/>
      </c>
      <c r="D841" t="inlineStr"/>
      <c r="E841" t="inlineStr"/>
      <c r="F841">
        <f>U843+Skills!O2</f>
        <v/>
      </c>
      <c r="G841">
        <f>Skills!G2*IF(Skills!H2&gt;0,INT(IF(Inputs!$B$38="pvp",MIN(Skills!I2,15),Skills!I2)/Skills!H2+0.000000001),1)</f>
        <v/>
      </c>
      <c r="H841">
        <f>1-(1-Skills!J2/100)^Skills!K2</f>
        <v/>
      </c>
      <c r="I841" t="inlineStr">
        <is>
          <t>1</t>
        </is>
      </c>
      <c r="J841">
        <f>((Inputs!$B$6*(1+Inputs!$B$7/100))+(((Inputs!$B$12*(1+Inputs!$B$13/100))-(Inputs!$B$12*(1+Inputs!$B$13/100)))+0.25*(Inputs!$B$14-Inputs!$B$14))*(1+Inputs!$B$7/100))*(F841/100)</f>
        <v/>
      </c>
      <c r="K841">
        <f>J841*(1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865=TRUE)*(F865-Calc!F26)),(Inputs!$B$23+((C870=TRUE)*(F870-Calc!F31))+(IF(ArtifactsInput!$M$15,CHOOSE(ArtifactsInput!$N$15+1,25,30,35,40,45,50)/100*(Inputs!$B$11-Inputs!$B$11),0))))/100+(Inputs!$B$23+((C870=TRUE)*(F870-Calc!F31))+(IF(ArtifactsInput!$M$15,CHOOSE(ArtifactsInput!$N$15+1,25,30,35,40,45,50)/100*(Inputs!$B$11-Inputs!$B$11),0)))/100)/2</f>
        <v/>
      </c>
      <c r="M841">
        <f>L841*(1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IF(B884=0,0,O841/B884)</f>
        <v/>
      </c>
      <c r="Q841" t="n">
        <v>0</v>
      </c>
      <c r="R841" t="n">
        <v>0</v>
      </c>
      <c r="S841">
        <f>IFERROR(O841/N841,0)</f>
        <v/>
      </c>
      <c r="T841">
        <f>IF(C841,(Skills!G2*N841*B878)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MAX(0,(Inputs!$B$3-100)*3)+Inputs!$B$28+Inputs!$B$29</f>
        <v/>
      </c>
      <c r="V841">
        <f>IF(C841,(Skills!G2*N841*B878)*IF(Inputs!$B$38="pvp",1,(1+(Inputs!$B$21+Skills!Q2+(IF(ArtifactsInput!$M$33,CHOOSE(ArtifactsInput!$N$33+1,30,36,42,48,54,60),0))+(IF(AND(ArtifactsInput!$M$35,Inputs!$B$4&lt;&gt;"Chapter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Skills!A3</f>
        <v/>
      </c>
      <c r="B842">
        <f>Skills!B3</f>
        <v/>
      </c>
      <c r="C842">
        <f>Inputs!$B$3&gt;=50</f>
        <v/>
      </c>
      <c r="D842">
        <f>IF(Skills!C3=1,60+(Inputs!$B$25+1)+Inputs!$B$29,IF(Skills!C3=2,90+Inputs!$B$26+Inputs!$B$29,IF(Skills!C3=3,120+Inputs!$B$27+Inputs!$B$29,MAX(0,(Inputs!$B$3-100)*3)+Inputs!$B$28+Inputs!$B$29)))</f>
        <v/>
      </c>
      <c r="E842">
        <f>INDEX(FactorTable!$B$2:$Y$301, MATCH(ROUND(MIN(300,MAX(1,D842)),0), FactorTable!$A$2:$A$301,0), Skills!M3+1)</f>
        <v/>
      </c>
      <c r="F842">
        <f>IF(Skills!N3=TRUE,(Skills!L3/10)*(E842/1000),Skills!L3/10)+Skills!O3</f>
        <v/>
      </c>
      <c r="G842">
        <f>Skills!G3*IF(Skills!H3&gt;0,INT(IF(Inputs!$B$38="pvp",MIN(Skills!I3,15),Skills!I3)/Skills!H3+0.000000001),1)</f>
        <v/>
      </c>
      <c r="H842">
        <f>1-(1-Skills!J3/100)^Skills!K3</f>
        <v/>
      </c>
      <c r="I842" t="inlineStr">
        <is>
          <t>1</t>
        </is>
      </c>
      <c r="J842">
        <f>((Inputs!$B$6*(1+Inputs!$B$7/100))+(((Inputs!$B$12*(1+Inputs!$B$13/100))-(Inputs!$B$12*(1+Inputs!$B$13/100)))+0.25*(Inputs!$B$14-Inputs!$B$14))*(1+Inputs!$B$7/100))*(F842/100)</f>
        <v/>
      </c>
      <c r="K842">
        <f>J842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843=TRUE,F843,0)/100)*(1+(IF(Skills!A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865=TRUE)*(F865-Calc!F26)),(Inputs!$B$23+((C870=TRUE)*(F870-Calc!F31))+(IF(ArtifactsInput!$M$15,CHOOSE(ArtifactsInput!$N$15+1,25,30,35,40,45,50)/100*(Inputs!$B$11-Inputs!$B$11),0))))/100+(Inputs!$B$23+((C870=TRUE)*(F870-Calc!F31))+(IF(ArtifactsInput!$M$15,CHOOSE(ArtifactsInput!$N$15+1,25,30,35,40,45,50)/100*(Inputs!$B$11-Inputs!$B$11),0)))/100)/2</f>
        <v/>
      </c>
      <c r="M842">
        <f>L842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IF(B884=0,0,O842/B884)</f>
        <v/>
      </c>
      <c r="Q842">
        <f>IFERROR(1/(IF(Inputs!$B$38="pvp",15,MAX(0.1,1/B876-IF(FALSE=TRUE,Inputs!$B$32,0)))*(1-IF(AND(ArtifactsInput!$M$27,Inputs!$B$4="Chapter Hunt"),CHOOSE(ArtifactsInput!$N$27+1,20,24,28,32,36,40),0)/100)),0)</f>
        <v/>
      </c>
      <c r="R842">
        <f>IF(AND(Inputs!$B$38&lt;&gt;"pvp",Inputs!$B$43&gt;0),IF(MAX(0,Inputs!$B$43-B881)&lt;=0,0,(INT(MAX(0,Inputs!$B$43-B881)/(IF(Inputs!$B$38="pvp",15,MAX(0.1,1/B876-IF(FALSE=TRUE,Inputs!$B$32,0)))*(1-IF(AND(ArtifactsInput!$M$27,Inputs!$B$4="Chapter Hunt"),CHOOSE(ArtifactsInput!$N$27+1,20,24,28,32,36,40),0)/100)))+1)),0)</f>
        <v/>
      </c>
      <c r="S842">
        <f>IFERROR(O842/N842,0)</f>
        <v/>
      </c>
      <c r="T842">
        <f>IF(C842,(H842*N842*IF(AND(Inputs!$B$38&lt;&gt;"pvp",Inputs!$B$43&gt;0),((Skills!G3*((R842-1)*IF(Skills!H3&gt;0,INT(Skills!I3/Skills!H3+0.000000001),1)+IF(Skills!H3&gt;0,INT(MIN(Skills!I3,MAX(0,MAX(0,Inputs!$B$43-B881)-((R842-1)*(IF(Inputs!$B$38="pvp",15,MAX(0.1,1/B876-IF(FALSE=TRUE,Inputs!$B$32,0)))*(1-IF(AND(ArtifactsInput!$M$27,Inputs!$B$4="Chapter Hunt"),CHOOSE(ArtifactsInput!$N$27+1,20,24,28,32,36,40),0)/100)))))/Skills!H3+0.000000001),1)))/Inputs!$B$43),G842*Q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INDEX(FactorTable!$B$2:$Y$301, MATCH(ROUND(MIN(300,MAX(1,U841)),0), FactorTable!$A$2:$A$301,0), 22)</f>
        <v/>
      </c>
      <c r="V842">
        <f>IF(C842,(H842*N842*IF(AND(Inputs!$B$38&lt;&gt;"pvp",Inputs!$B$43&gt;0),((Skills!G3*((R842-1)*IF(Skills!H3&gt;0,INT(Skills!I3/Skills!H3+0.000000001),1)+IF(Skills!H3&gt;0,INT(MIN(Skills!I3,MAX(0,MAX(0,Inputs!$B$43-B881)-((R842-1)*(IF(Inputs!$B$38="pvp",15,MAX(0.1,1/B876-IF(FALSE=TRUE,Inputs!$B$32,0)))*(1-IF(AND(ArtifactsInput!$M$27,Inputs!$B$4="Chapter Hunt"),CHOOSE(ArtifactsInput!$N$27+1,20,24,28,32,36,40),0)/100)))))/Skills!H3+0.000000001),1)))/Inputs!$B$43),G842*Q842))*IF(Inputs!$B$38="pvp",1,(1+(Inputs!$B$21+Skills!Q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Skills!A4</f>
        <v/>
      </c>
      <c r="B843">
        <f>Skills!B4</f>
        <v/>
      </c>
      <c r="C843">
        <f>Inputs!$B$3&gt;=105</f>
        <v/>
      </c>
      <c r="D843">
        <f>IF(Skills!C4=1,60+(Inputs!$B$25+1)+Inputs!$B$29,IF(Skills!C4=2,90+Inputs!$B$26+Inputs!$B$29,IF(Skills!C4=3,120+Inputs!$B$27+Inputs!$B$29,MAX(0,(Inputs!$B$3-100)*3)+Inputs!$B$28+Inputs!$B$29)))</f>
        <v/>
      </c>
      <c r="E843">
        <f>INDEX(FactorTable!$B$2:$Y$301, MATCH(ROUND(MIN(300,MAX(1,D843)),0), FactorTable!$A$2:$A$301,0), Skills!M4+1)</f>
        <v/>
      </c>
      <c r="F843">
        <f>IF(Skills!N4=TRUE,(Skills!L4/10)*(E843/1000),Skills!L4/10)+Skills!O4</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U843">
        <f>290*U842/1000</f>
        <v/>
      </c>
      <c r="V843" t="inlineStr"/>
    </row>
    <row r="844">
      <c r="A844">
        <f>Skills!A5</f>
        <v/>
      </c>
      <c r="B844">
        <f>Skills!B5</f>
        <v/>
      </c>
      <c r="C844">
        <f>Inputs!$B$3&gt;=35</f>
        <v/>
      </c>
      <c r="D844">
        <f>IF(Skills!C5=1,60+(Inputs!$B$25+1)+Inputs!$B$29,IF(Skills!C5=2,90+Inputs!$B$26+Inputs!$B$29,IF(Skills!C5=3,120+Inputs!$B$27+Inputs!$B$29,MAX(0,(Inputs!$B$3-100)*3)+Inputs!$B$28+Inputs!$B$29)))</f>
        <v/>
      </c>
      <c r="E844">
        <f>INDEX(FactorTable!$B$2:$Y$301, MATCH(ROUND(MIN(300,MAX(1,D844)),0), FactorTable!$A$2:$A$301,0), Skills!M5+1)</f>
        <v/>
      </c>
      <c r="F844">
        <f>IF(Skills!N5=TRUE,(Skills!L5/10)*(E844/1000),Skills!L5/10)+Skills!O5</f>
        <v/>
      </c>
      <c r="G844">
        <f>Skills!G5*IF(Skills!H5&gt;0,INT(IF(Inputs!$B$38="pvp",MIN(Skills!I5,15),Skills!I5)/Skills!H5+0.000000001),1)</f>
        <v/>
      </c>
      <c r="H844">
        <f>1-(1-Skills!J5/100)^Skills!K5</f>
        <v/>
      </c>
      <c r="I844" t="inlineStr">
        <is>
          <t>1</t>
        </is>
      </c>
      <c r="J844">
        <f>((Inputs!$B$6*(1+Inputs!$B$7/100))+(((Inputs!$B$12*(1+Inputs!$B$13/100))-(Inputs!$B$12*(1+Inputs!$B$13/100)))+0.25*(Inputs!$B$14-Inputs!$B$14))*(1+Inputs!$B$7/100))*(F844/100)</f>
        <v/>
      </c>
      <c r="K844">
        <f>J844*(1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851=TRUE,F851,0)/100)*(1+(IF(Skills!A5="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844)</f>
        <v/>
      </c>
      <c r="L844">
        <f>K844*(MIN(Inputs!$B$22+((C865=TRUE)*(F865-Calc!F26)),(Inputs!$B$23+((C870=TRUE)*(F870-Calc!F31))+(IF(ArtifactsInput!$M$15,CHOOSE(ArtifactsInput!$N$15+1,25,30,35,40,45,50)/100*(Inputs!$B$11-Inputs!$B$11),0))))/100+(Inputs!$B$23+((C870=TRUE)*(F870-Calc!F31))+(IF(ArtifactsInput!$M$15,CHOOSE(ArtifactsInput!$N$15+1,25,30,35,40,45,50)/100*(Inputs!$B$11-Inputs!$B$11),0)))/100)/2</f>
        <v/>
      </c>
      <c r="M844">
        <f>L844*(1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4">
        <f>L844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844*(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4">
        <f>(1-Summary!$B$11)*T844+Summary!$B$11*V844</f>
        <v/>
      </c>
      <c r="P844">
        <f>IF(B884=0,0,O844/B884)</f>
        <v/>
      </c>
      <c r="Q844">
        <f>IFERROR(1/(IF(Inputs!$B$38="pvp",15,MAX(0.1,Skills!D5-IF(TRUE=TRUE,Inputs!$B$32,0)))*(1-IF(AND(ArtifactsInput!$M$27,Inputs!$B$4="Chapter Hunt"),CHOOSE(ArtifactsInput!$N$27+1,20,24,28,32,36,40),0)/100)),0)</f>
        <v/>
      </c>
      <c r="R844">
        <f>IF(AND(Inputs!$B$38&lt;&gt;"pvp",Inputs!$B$43&gt;0),IF(MAX(0,Inputs!$B$43-B881)&lt;=0,0,(INT(MAX(0,Inputs!$B$43-B881)/(IF(Inputs!$B$38="pvp",15,MAX(0.1,Skills!D5-IF(TRUE=TRUE,Inputs!$B$32,0)))*(1-IF(AND(ArtifactsInput!$M$27,Inputs!$B$4="Chapter Hunt"),CHOOSE(ArtifactsInput!$N$27+1,20,24,28,32,36,40),0)/100)))+1)),0)</f>
        <v/>
      </c>
      <c r="S844">
        <f>IFERROR(O844/N844,0)</f>
        <v/>
      </c>
      <c r="T844">
        <f>IF(C844,(H844*N844*IF(AND(Inputs!$B$38&lt;&gt;"pvp",Inputs!$B$43&gt;0),((Skills!G5*((R844-1)*IF(Skills!H5&gt;0,INT(Skills!I5/Skills!H5+0.000000001),1)+IF(Skills!H5&gt;0,INT(MIN(Skills!I5,MAX(0,MAX(0,Inputs!$B$43-B881)-((R844-1)*(IF(Inputs!$B$38="pvp",15,MAX(0.1,Skills!D5-IF(TRUE=TRUE,Inputs!$B$32,0)))*(1-IF(AND(ArtifactsInput!$M$27,Inputs!$B$4="Chapter Hunt"),CHOOSE(ArtifactsInput!$N$27+1,20,24,28,32,36,40),0)/100)))))/Skills!H5+0.000000001),1)))/Inputs!$B$43),G844*Q844)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4">
        <f>IF(C844,(H844*N844*IF(AND(Inputs!$B$38&lt;&gt;"pvp",Inputs!$B$43&gt;0),((Skills!G5*((R844-1)*IF(Skills!H5&gt;0,INT(Skills!I5/Skills!H5+0.000000001),1)+IF(Skills!H5&gt;0,INT(MIN(Skills!I5,MAX(0,MAX(0,Inputs!$B$43-B881)-((R844-1)*(IF(Inputs!$B$38="pvp",15,MAX(0.1,Skills!D5-IF(TRUE=TRUE,Inputs!$B$32,0)))*(1-IF(AND(ArtifactsInput!$M$27,Inputs!$B$4="Chapter Hunt"),CHOOSE(ArtifactsInput!$N$27+1,20,24,28,32,36,40),0)/100)))))/Skills!H5+0.000000001),1)))/Inputs!$B$43),G844*Q844))*IF(Inputs!$B$38="pvp",1,(1+(Inputs!$B$21+Skills!Q5+(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5">
      <c r="A845">
        <f>Skills!A6</f>
        <v/>
      </c>
      <c r="B845">
        <f>Skills!B6</f>
        <v/>
      </c>
      <c r="C845">
        <f>Inputs!$B$3&gt;=40</f>
        <v/>
      </c>
      <c r="D845">
        <f>IF(Skills!C6=1,60+(Inputs!$B$25+1)+Inputs!$B$29,IF(Skills!C6=2,90+Inputs!$B$26+Inputs!$B$29,IF(Skills!C6=3,120+Inputs!$B$27+Inputs!$B$29,MAX(0,(Inputs!$B$3-100)*3)+Inputs!$B$28+Inputs!$B$29)))</f>
        <v/>
      </c>
      <c r="E845">
        <f>INDEX(FactorTable!$B$2:$Y$301, MATCH(ROUND(MIN(300,MAX(1,D845)),0), FactorTable!$A$2:$A$301,0), Skills!M6+1)</f>
        <v/>
      </c>
      <c r="F845">
        <f>IF(Skills!N6=TRUE,(Skills!L6/10)*(E845/1000),Skills!L6/10)+Skills!O6</f>
        <v/>
      </c>
      <c r="G845">
        <f>Skills!G6*IF(Skills!H6&gt;0,INT(IF(Inputs!$B$38="pvp",MIN(Skills!I6,15),Skills!I6)/Skills!H6+0.000000001),1)</f>
        <v/>
      </c>
      <c r="H845">
        <f>1-(1-Skills!J6/100)^Skills!K6</f>
        <v/>
      </c>
      <c r="I845" t="inlineStr">
        <is>
          <t>1</t>
        </is>
      </c>
      <c r="J845">
        <f>((Inputs!$B$6*(1+Inputs!$B$7/100))+(((Inputs!$B$12*(1+Inputs!$B$13/100))-(Inputs!$B$12*(1+Inputs!$B$13/100)))+0.25*(Inputs!$B$14-Inputs!$B$14))*(1+Inputs!$B$7/100))*(F845/100)</f>
        <v/>
      </c>
      <c r="K845">
        <f>J845*(1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846=TRUE,F846,0)/100)*(1+(IF(Skills!A6="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865=TRUE)*(F865-Calc!F26)),(Inputs!$B$23+((C870=TRUE)*(F870-Calc!F31))+(IF(ArtifactsInput!$M$15,CHOOSE(ArtifactsInput!$N$15+1,25,30,35,40,45,50)/100*(Inputs!$B$11-Inputs!$B$11),0))))/100+(Inputs!$B$23+((C870=TRUE)*(F870-Calc!F31))+(IF(ArtifactsInput!$M$15,CHOOSE(ArtifactsInput!$N$15+1,25,30,35,40,45,50)/100*(Inputs!$B$11-Inputs!$B$11),0)))/100)/2</f>
        <v/>
      </c>
      <c r="M845">
        <f>L845*(1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IF(B884=0,0,O845/B884)</f>
        <v/>
      </c>
      <c r="Q845">
        <f>IFERROR(1/(IF(Inputs!$B$38="pvp",15,MAX(0.1,1-0.4*MIN(1,(B876-1)/1.5)-IF(FALSE=TRUE,Inputs!$B$32,0)))*(1-IF(AND(ArtifactsInput!$M$27,Inputs!$B$4="Chapter Hunt"),CHOOSE(ArtifactsInput!$N$27+1,20,24,28,32,36,40),0)/100)),0)</f>
        <v/>
      </c>
      <c r="R845">
        <f>IF(AND(Inputs!$B$38&lt;&gt;"pvp",Inputs!$B$43&gt;0),IF(MAX(0,Inputs!$B$43-B881)&lt;=0,0,(INT(MAX(0,Inputs!$B$43-B881)/(IF(Inputs!$B$38="pvp",15,MAX(0.1,1-0.4*MIN(1,(B876-1)/1.5)-IF(FALSE=TRUE,Inputs!$B$32,0)))*(1-IF(AND(ArtifactsInput!$M$27,Inputs!$B$4="Chapter Hunt"),CHOOSE(ArtifactsInput!$N$27+1,20,24,28,32,36,40),0)/100)))+1)),0)</f>
        <v/>
      </c>
      <c r="S845">
        <f>IFERROR(O845/N845,0)</f>
        <v/>
      </c>
      <c r="T845">
        <f>IF(C845,(H845*N845*IF(AND(Inputs!$B$38&lt;&gt;"pvp",Inputs!$B$43&gt;0),((Skills!G6*((R845-1)*IF(Skills!H6&gt;0,INT(Skills!I6/Skills!H6+0.000000001),1)+IF(Skills!H6&gt;0,INT(MIN(Skills!I6,MAX(0,MAX(0,Inputs!$B$43-B881)-((R845-1)*(IF(Inputs!$B$38="pvp",15,MAX(0.1,1-0.4*MIN(1,(B876-1)/1.5)-IF(FALSE=TRUE,Inputs!$B$32,0)))*(1-IF(AND(ArtifactsInput!$M$27,Inputs!$B$4="Chapter Hunt"),CHOOSE(ArtifactsInput!$N$27+1,20,24,28,32,36,40),0)/100)))))/Skills!H6+0.000000001),1)))/Inputs!$B$43),G845*Q845)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6*((R845-1)*IF(Skills!H6&gt;0,INT(Skills!I6/Skills!H6+0.000000001),1)+IF(Skills!H6&gt;0,INT(MIN(Skills!I6,MAX(0,MAX(0,Inputs!$B$43-B881)-((R845-1)*(IF(Inputs!$B$38="pvp",15,MAX(0.1,1-0.4*MIN(1,(B876-1)/1.5)-IF(FALSE=TRUE,Inputs!$B$32,0)))*(1-IF(AND(ArtifactsInput!$M$27,Inputs!$B$4="Chapter Hunt"),CHOOSE(ArtifactsInput!$N$27+1,20,24,28,32,36,40),0)/100)))))/Skills!H6+0.000000001),1)))/Inputs!$B$43),G845*Q845))*IF(Inputs!$B$38="pvp",1,(1+(Inputs!$B$21+Skills!Q6+(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Skills!A7</f>
        <v/>
      </c>
      <c r="B846">
        <f>Skills!B7</f>
        <v/>
      </c>
      <c r="C846">
        <f>Inputs!$B$3&gt;=107</f>
        <v/>
      </c>
      <c r="D846">
        <f>IF(Skills!C7=1,60+(Inputs!$B$25+1)+Inputs!$B$29,IF(Skills!C7=2,90+Inputs!$B$26+Inputs!$B$29,IF(Skills!C7=3,120+Inputs!$B$27+Inputs!$B$29,MAX(0,(Inputs!$B$3-100)*3)+Inputs!$B$28+Inputs!$B$29)))</f>
        <v/>
      </c>
      <c r="E846">
        <f>INDEX(FactorTable!$B$2:$Y$301, MATCH(ROUND(MIN(300,MAX(1,D846)),0), FactorTable!$A$2:$A$301,0), Skills!M7+1)</f>
        <v/>
      </c>
      <c r="F846">
        <f>IF(Skills!N7=TRUE,(Skills!L7/10)*(E846/1000),Skills!L7/10)+Skills!O7</f>
        <v/>
      </c>
      <c r="G846" t="inlineStr"/>
      <c r="H846" t="inlineStr"/>
      <c r="I846" t="inlineStr">
        <is>
          <t>1</t>
        </is>
      </c>
      <c r="J846" t="inlineStr"/>
      <c r="K846" t="inlineStr"/>
      <c r="L846" t="inlineStr"/>
      <c r="M846" t="inlineStr"/>
      <c r="N846" t="inlineStr"/>
      <c r="O846" t="inlineStr"/>
      <c r="P846" t="inlineStr"/>
      <c r="Q846" t="inlineStr"/>
      <c r="R846" t="inlineStr"/>
      <c r="S846" t="inlineStr"/>
      <c r="T846" t="inlineStr"/>
      <c r="V846" t="inlineStr"/>
    </row>
    <row r="847">
      <c r="A847">
        <f>Skills!A8</f>
        <v/>
      </c>
      <c r="B847">
        <f>Skills!B8</f>
        <v/>
      </c>
      <c r="C847">
        <f>Inputs!$B$3&gt;=130</f>
        <v/>
      </c>
      <c r="D847">
        <f>IF(Skills!C8=1,60+(Inputs!$B$25+1)+Inputs!$B$29,IF(Skills!C8=2,90+Inputs!$B$26+Inputs!$B$29,IF(Skills!C8=3,120+Inputs!$B$27+Inputs!$B$29,MAX(0,(Inputs!$B$3-100)*3)+Inputs!$B$28+Inputs!$B$29)))</f>
        <v/>
      </c>
      <c r="E847">
        <f>INDEX(FactorTable!$B$2:$Y$301, MATCH(ROUND(MIN(300,MAX(1,D847)),0), FactorTable!$A$2:$A$301,0), Skills!M8+1)</f>
        <v/>
      </c>
      <c r="F847">
        <f>IF(Skills!N8=TRUE,(Skills!L8/10)*(E847/1000),Skills!L8/10)+Skills!O8</f>
        <v/>
      </c>
      <c r="G847">
        <f>Skills!G8*IF(Skills!H8&gt;0,INT(IF(Inputs!$B$38="pvp",MIN(Skills!I8,15),Skills!I8)/Skills!H8+0.000000001),1)</f>
        <v/>
      </c>
      <c r="H847">
        <f>1-(1-Skills!J8/100)^Skills!K8</f>
        <v/>
      </c>
      <c r="I847" t="inlineStr">
        <is>
          <t>1</t>
        </is>
      </c>
      <c r="J847">
        <f>((Inputs!$B$6*(1+Inputs!$B$7/100))+(((Inputs!$B$12*(1+Inputs!$B$13/100))-(Inputs!$B$12*(1+Inputs!$B$13/100)))+0.25*(Inputs!$B$14-Inputs!$B$14))*(1+Inputs!$B$7/100))*(F847/100)</f>
        <v/>
      </c>
      <c r="K847">
        <f>J847*(1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865=TRUE)*(F865-Calc!F26)),(Inputs!$B$23+((C870=TRUE)*(F870-Calc!F31))+(IF(ArtifactsInput!$M$15,CHOOSE(ArtifactsInput!$N$15+1,25,30,35,40,45,50)/100*(Inputs!$B$11-Inputs!$B$11),0))))/100+(Inputs!$B$23+((C870=TRUE)*(F870-Calc!F31))+(IF(ArtifactsInput!$M$15,CHOOSE(ArtifactsInput!$N$15+1,25,30,35,40,45,50)/100*(Inputs!$B$11-Inputs!$B$11),0)))/100)/2</f>
        <v/>
      </c>
      <c r="M847">
        <f>L847*(1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IF(B884=0,0,O847/B884)</f>
        <v/>
      </c>
      <c r="Q847">
        <f>IFERROR(1/(IF(Inputs!$B$38="pvp",15,MAX(0.1,1-0.4*MIN(1,(B876-1)/1.5)-IF(FALSE=TRUE,Inputs!$B$32,0)))*(1-IF(AND(ArtifactsInput!$M$27,Inputs!$B$4="Chapter Hunt"),CHOOSE(ArtifactsInput!$N$27+1,20,24,28,32,36,40),0)/100)),0)</f>
        <v/>
      </c>
      <c r="R847">
        <f>IF(AND(Inputs!$B$38&lt;&gt;"pvp",Inputs!$B$43&gt;0),IF(MAX(0,Inputs!$B$43-B881)&lt;=0,0,(INT(MAX(0,Inputs!$B$43-B881)/(IF(Inputs!$B$38="pvp",15,MAX(0.1,1-0.4*MIN(1,(B876-1)/1.5)-IF(FALSE=TRUE,Inputs!$B$32,0)))*(1-IF(AND(ArtifactsInput!$M$27,Inputs!$B$4="Chapter Hunt"),CHOOSE(ArtifactsInput!$N$27+1,20,24,28,32,36,40),0)/100)))+1)),0)</f>
        <v/>
      </c>
      <c r="S847">
        <f>IFERROR(O847/N847,0)</f>
        <v/>
      </c>
      <c r="T847">
        <f>IF(C847,(H847*N847*IF(AND(Inputs!$B$38&lt;&gt;"pvp",Inputs!$B$43&gt;0),((Skills!G8*((R847-1)*IF(Skills!H8&gt;0,INT(Skills!I8/Skills!H8+0.000000001),1)+IF(Skills!H8&gt;0,INT(MIN(Skills!I8,MAX(0,MAX(0,Inputs!$B$43-B881)-((R847-1)*(IF(Inputs!$B$38="pvp",15,MAX(0.1,1-0.4*MIN(1,(B876-1)/1.5)-IF(FALSE=TRUE,Inputs!$B$32,0)))*(1-IF(AND(ArtifactsInput!$M$27,Inputs!$B$4="Chapter Hunt"),CHOOSE(ArtifactsInput!$N$27+1,20,24,28,32,36,40),0)/100)))))/Skills!H8+0.000000001),1)))/Inputs!$B$43),G847*Q847)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8*((R847-1)*IF(Skills!H8&gt;0,INT(Skills!I8/Skills!H8+0.000000001),1)+IF(Skills!H8&gt;0,INT(MIN(Skills!I8,MAX(0,MAX(0,Inputs!$B$43-B881)-((R847-1)*(IF(Inputs!$B$38="pvp",15,MAX(0.1,1-0.4*MIN(1,(B876-1)/1.5)-IF(FALSE=TRUE,Inputs!$B$32,0)))*(1-IF(AND(ArtifactsInput!$M$27,Inputs!$B$4="Chapter Hunt"),CHOOSE(ArtifactsInput!$N$27+1,20,24,28,32,36,40),0)/100)))))/Skills!H8+0.000000001),1)))/Inputs!$B$43),G847*Q847))*IF(Inputs!$B$38="pvp",1,(1+(Inputs!$B$21+Skills!Q8+(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Skills!A9</f>
        <v/>
      </c>
      <c r="B848">
        <f>Skills!B9</f>
        <v/>
      </c>
      <c r="C848">
        <f>Inputs!$B$3&gt;=69</f>
        <v/>
      </c>
      <c r="D848">
        <f>IF(Skills!C9=1,60+(Inputs!$B$25+1)+Inputs!$B$29,IF(Skills!C9=2,90+Inputs!$B$26+Inputs!$B$29,IF(Skills!C9=3,120+Inputs!$B$27+Inputs!$B$29,MAX(0,(Inputs!$B$3-100)*3)+Inputs!$B$28+Inputs!$B$29)))</f>
        <v/>
      </c>
      <c r="E848">
        <f>INDEX(FactorTable!$B$2:$Y$301, MATCH(ROUND(MIN(300,MAX(1,D848)),0), FactorTable!$A$2:$A$301,0), Skills!M9+1)</f>
        <v/>
      </c>
      <c r="F848">
        <f>IF(Skills!N9=TRUE,(Skills!L9/10)*(E848/1000),Skills!L9/10)+Skills!O9</f>
        <v/>
      </c>
      <c r="G848">
        <f>Skills!G9*IF(Skills!H9&gt;0,INT(IF(Inputs!$B$38="pvp",MIN(Skills!I9,15),Skills!I9)/Skills!H9+0.000000001),1)</f>
        <v/>
      </c>
      <c r="H848">
        <f>1-(1-Skills!J9/100)^Skills!K9</f>
        <v/>
      </c>
      <c r="I848" t="inlineStr">
        <is>
          <t>1</t>
        </is>
      </c>
      <c r="J848">
        <f>((Inputs!$B$6*(1+Inputs!$B$7/100))+(((Inputs!$B$12*(1+Inputs!$B$13/100))-(Inputs!$B$12*(1+Inputs!$B$13/100)))+0.25*(Inputs!$B$14-Inputs!$B$14))*(1+Inputs!$B$7/100))*(F848/100)</f>
        <v/>
      </c>
      <c r="K848">
        <f>J848*(1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851=TRUE,F851,0)/100)*(1+(IF(Skills!A9="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865=TRUE)*(F865-Calc!F26)),(Inputs!$B$23+((C870=TRUE)*(F870-Calc!F31))+(IF(ArtifactsInput!$M$15,CHOOSE(ArtifactsInput!$N$15+1,25,30,35,40,45,50)/100*(Inputs!$B$11-Inputs!$B$11),0))))/100+(Inputs!$B$23+((C870=TRUE)*(F870-Calc!F31))+(IF(ArtifactsInput!$M$15,CHOOSE(ArtifactsInput!$N$15+1,25,30,35,40,45,50)/100*(Inputs!$B$11-Inputs!$B$11),0)))/100)/2</f>
        <v/>
      </c>
      <c r="M848">
        <f>L848*(1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IF(B884=0,0,O848/B884)</f>
        <v/>
      </c>
      <c r="Q848">
        <f>IFERROR(1/(IF(Inputs!$B$38="pvp",15,MAX(0.1,Skills!D9-IF(TRUE=TRUE,Inputs!$B$32,0)))*(1-IF(AND(ArtifactsInput!$M$27,Inputs!$B$4="Chapter Hunt"),CHOOSE(ArtifactsInput!$N$27+1,20,24,28,32,36,40),0)/100)),0)</f>
        <v/>
      </c>
      <c r="R848">
        <f>IF(AND(Inputs!$B$38&lt;&gt;"pvp",Inputs!$B$43&gt;0),IF(MAX(0,Inputs!$B$43-B881)&lt;=0,0,(INT(MAX(0,Inputs!$B$43-B881)/(IF(Inputs!$B$38="pvp",15,MAX(0.1,Skills!D9-IF(TRUE=TRUE,Inputs!$B$32,0)))*(1-IF(AND(ArtifactsInput!$M$27,Inputs!$B$4="Chapter Hunt"),CHOOSE(ArtifactsInput!$N$27+1,20,24,28,32,36,40),0)/100)))+1)),0)</f>
        <v/>
      </c>
      <c r="S848">
        <f>IFERROR(O848/N848,0)</f>
        <v/>
      </c>
      <c r="T848">
        <f>IF(C848,(H848*N848*IF(AND(Inputs!$B$38&lt;&gt;"pvp",Inputs!$B$43&gt;0),((Skills!G9*((R848-1)*IF(Skills!H9&gt;0,INT(Skills!I9/Skills!H9+0.000000001),1)+IF(Skills!H9&gt;0,INT(MIN(Skills!I9,MAX(0,MAX(0,Inputs!$B$43-B881)-((R848-1)*(IF(Inputs!$B$38="pvp",15,MAX(0.1,Skills!D9-IF(TRUE=TRUE,Inputs!$B$32,0)))*(1-IF(AND(ArtifactsInput!$M$27,Inputs!$B$4="Chapter Hunt"),CHOOSE(ArtifactsInput!$N$27+1,20,24,28,32,36,40),0)/100)))))/Skills!H9+0.000000001),1)))/Inputs!$B$43),G848*Q848)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8">
        <f>IF(C848,(H848*N848*IF(AND(Inputs!$B$38&lt;&gt;"pvp",Inputs!$B$43&gt;0),((Skills!G9*((R848-1)*IF(Skills!H9&gt;0,INT(Skills!I9/Skills!H9+0.000000001),1)+IF(Skills!H9&gt;0,INT(MIN(Skills!I9,MAX(0,MAX(0,Inputs!$B$43-B881)-((R848-1)*(IF(Inputs!$B$38="pvp",15,MAX(0.1,Skills!D9-IF(TRUE=TRUE,Inputs!$B$32,0)))*(1-IF(AND(ArtifactsInput!$M$27,Inputs!$B$4="Chapter Hunt"),CHOOSE(ArtifactsInput!$N$27+1,20,24,28,32,36,40),0)/100)))))/Skills!H9+0.000000001),1)))/Inputs!$B$43),G848*Q848))*IF(Inputs!$B$38="pvp",1,(1+(Inputs!$B$21+Skills!Q9+(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Skills!A10</f>
        <v/>
      </c>
      <c r="B849">
        <f>Skills!B10</f>
        <v/>
      </c>
      <c r="C849">
        <f>Inputs!$B$3&gt;=63</f>
        <v/>
      </c>
      <c r="D849">
        <f>IF(Skills!C10=1,60+(Inputs!$B$25+1)+Inputs!$B$29,IF(Skills!C10=2,90+Inputs!$B$26+Inputs!$B$29,IF(Skills!C10=3,120+Inputs!$B$27+Inputs!$B$29,MAX(0,(Inputs!$B$3-100)*3)+Inputs!$B$28+Inputs!$B$29)))</f>
        <v/>
      </c>
      <c r="E849">
        <f>INDEX(FactorTable!$B$2:$Y$301, MATCH(ROUND(MIN(300,MAX(1,D849)),0), FactorTable!$A$2:$A$301,0), Skills!M10+1)</f>
        <v/>
      </c>
      <c r="F849">
        <f>IF(Skills!N10=TRUE,(Skills!L10/10)*(E849/1000),Skills!L10/10)+Skills!O10</f>
        <v/>
      </c>
      <c r="G849">
        <f>Skills!G10*IF(Skills!H10&gt;0,INT(IF(Inputs!$B$38="pvp",MIN(Skills!I10,15),Skills!I10)/Skills!H10+0.000000001),1)</f>
        <v/>
      </c>
      <c r="H849">
        <f>1-(1-Skills!J10/100)^Skills!K10</f>
        <v/>
      </c>
      <c r="I849" t="inlineStr">
        <is>
          <t>1</t>
        </is>
      </c>
      <c r="J849">
        <f>((Inputs!$B$6*(1+Inputs!$B$7/100))+(((Inputs!$B$12*(1+Inputs!$B$13/100))-(Inputs!$B$12*(1+Inputs!$B$13/100)))+0.25*(Inputs!$B$14-Inputs!$B$14))*(1+Inputs!$B$7/100))*(F849/100)</f>
        <v/>
      </c>
      <c r="K849">
        <f>J849*(1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851=TRUE,F851,0)/100)*(1+(IF(Skills!A10="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865=TRUE)*(F865-Calc!F26)),(Inputs!$B$23+((C870=TRUE)*(F870-Calc!F31))+(IF(ArtifactsInput!$M$15,CHOOSE(ArtifactsInput!$N$15+1,25,30,35,40,45,50)/100*(Inputs!$B$11-Inputs!$B$11),0))))/100+(Inputs!$B$23+((C870=TRUE)*(F870-Calc!F31))+(IF(ArtifactsInput!$M$15,CHOOSE(ArtifactsInput!$N$15+1,25,30,35,40,45,50)/100*(Inputs!$B$11-Inputs!$B$11),0)))/100)/2</f>
        <v/>
      </c>
      <c r="M849">
        <f>L849*(1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IF(B884=0,0,O849/B884)</f>
        <v/>
      </c>
      <c r="Q849">
        <f>IFERROR(1/(IF(Inputs!$B$38="pvp",15,MAX(0.1,Skills!D10-IF(TRUE=TRUE,Inputs!$B$32,0)))*(1-IF(AND(ArtifactsInput!$M$27,Inputs!$B$4="Chapter Hunt"),CHOOSE(ArtifactsInput!$N$27+1,20,24,28,32,36,40),0)/100)),0)</f>
        <v/>
      </c>
      <c r="R849">
        <f>IF(AND(Inputs!$B$38&lt;&gt;"pvp",Inputs!$B$43&gt;0),IF(MAX(0,Inputs!$B$43-B881)&lt;=0,0,(INT(MAX(0,Inputs!$B$43-B881)/(IF(Inputs!$B$38="pvp",15,MAX(0.1,Skills!D10-IF(TRUE=TRUE,Inputs!$B$32,0)))*(1-IF(AND(ArtifactsInput!$M$27,Inputs!$B$4="Chapter Hunt"),CHOOSE(ArtifactsInput!$N$27+1,20,24,28,32,36,40),0)/100)))+1)),0)</f>
        <v/>
      </c>
      <c r="S849">
        <f>IFERROR(O849/N849,0)</f>
        <v/>
      </c>
      <c r="T849">
        <f>IF(C849,(H849*N849*IF(AND(Inputs!$B$38&lt;&gt;"pvp",Inputs!$B$43&gt;0),((Skills!G10*((R849-1)*IF(Skills!H10&gt;0,INT(Skills!I10/Skills!H10+0.000000001),1)+IF(Skills!H10&gt;0,INT(MIN(Skills!I10,MAX(0,MAX(0,Inputs!$B$43-B881)-((R849-1)*(IF(Inputs!$B$38="pvp",15,MAX(0.1,Skills!D10-IF(TRUE=TRUE,Inputs!$B$32,0)))*(1-IF(AND(ArtifactsInput!$M$27,Inputs!$B$4="Chapter Hunt"),CHOOSE(ArtifactsInput!$N$27+1,20,24,28,32,36,40),0)/100)))))/Skills!H10+0.000000001),1)))/Inputs!$B$43),G849*Q849)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9">
        <f>IF(C849,(H849*N849*IF(AND(Inputs!$B$38&lt;&gt;"pvp",Inputs!$B$43&gt;0),((Skills!G10*((R849-1)*IF(Skills!H10&gt;0,INT(Skills!I10/Skills!H10+0.000000001),1)+IF(Skills!H10&gt;0,INT(MIN(Skills!I10,MAX(0,MAX(0,Inputs!$B$43-B881)-((R849-1)*(IF(Inputs!$B$38="pvp",15,MAX(0.1,Skills!D10-IF(TRUE=TRUE,Inputs!$B$32,0)))*(1-IF(AND(ArtifactsInput!$M$27,Inputs!$B$4="Chapter Hunt"),CHOOSE(ArtifactsInput!$N$27+1,20,24,28,32,36,40),0)/100)))))/Skills!H10+0.000000001),1)))/Inputs!$B$43),G849*Q849))*IF(Inputs!$B$38="pvp",1,(1+(Inputs!$B$21+Skills!Q10+(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Skills!A11</f>
        <v/>
      </c>
      <c r="B850">
        <f>Skills!B11</f>
        <v/>
      </c>
      <c r="C850">
        <f>Inputs!$B$3&gt;=103</f>
        <v/>
      </c>
      <c r="D850">
        <f>IF(Skills!C11=1,60+(Inputs!$B$25+1)+Inputs!$B$29,IF(Skills!C11=2,90+Inputs!$B$26+Inputs!$B$29,IF(Skills!C11=3,120+Inputs!$B$27+Inputs!$B$29,MAX(0,(Inputs!$B$3-100)*3)+Inputs!$B$28+Inputs!$B$29)))</f>
        <v/>
      </c>
      <c r="E850">
        <f>INDEX(FactorTable!$B$2:$Y$301, MATCH(ROUND(MIN(300,MAX(1,D850)),0), FactorTable!$A$2:$A$301,0), Skills!M11+1)</f>
        <v/>
      </c>
      <c r="F850">
        <f>IF(Skills!N11=TRUE,(Skills!L11/10)*(E850/1000),Skills!L11/10)+Skills!O11</f>
        <v/>
      </c>
      <c r="G850">
        <f>Skills!G11*IF(Skills!H11&gt;0,INT(IF(Inputs!$B$38="pvp",MIN(Skills!I11,15),Skills!I11)/Skills!H11+0.000000001),1)</f>
        <v/>
      </c>
      <c r="H850">
        <f>1-(1-Skills!J11/100)^Skills!K11</f>
        <v/>
      </c>
      <c r="I850" t="inlineStr">
        <is>
          <t>1</t>
        </is>
      </c>
      <c r="J850">
        <f>((Inputs!$B$6*(1+Inputs!$B$7/100))+(((Inputs!$B$12*(1+Inputs!$B$13/100))-(Inputs!$B$12*(1+Inputs!$B$13/100)))+0.25*(Inputs!$B$14-Inputs!$B$14))*(1+Inputs!$B$7/100))*(F850/100)</f>
        <v/>
      </c>
      <c r="K850">
        <f>J850*(1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865=TRUE)*(F865-Calc!F26)),(Inputs!$B$23+((C870=TRUE)*(F870-Calc!F31))+(IF(ArtifactsInput!$M$15,CHOOSE(ArtifactsInput!$N$15+1,25,30,35,40,45,50)/100*(Inputs!$B$11-Inputs!$B$11),0))))/100+(Inputs!$B$23+((C870=TRUE)*(F870-Calc!F31))+(IF(ArtifactsInput!$M$15,CHOOSE(ArtifactsInput!$N$15+1,25,30,35,40,45,50)/100*(Inputs!$B$11-Inputs!$B$11),0)))/100)/2</f>
        <v/>
      </c>
      <c r="M850">
        <f>L850*(1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IF(B884=0,0,O850/B884)</f>
        <v/>
      </c>
      <c r="Q850">
        <f>IFERROR(1/(IF(Inputs!$B$38="pvp",15,MAX(0.1,Skills!D11-IF(TRUE=TRUE,Inputs!$B$32,0)))*(1-IF(AND(ArtifactsInput!$M$27,Inputs!$B$4="Chapter Hunt"),CHOOSE(ArtifactsInput!$N$27+1,20,24,28,32,36,40),0)/100)),0)</f>
        <v/>
      </c>
      <c r="R850">
        <f>IF(AND(Inputs!$B$38&lt;&gt;"pvp",Inputs!$B$43&gt;0),IF(MAX(0,Inputs!$B$43-B881)&lt;=0,0,(INT(MAX(0,Inputs!$B$43-B881)/(IF(Inputs!$B$38="pvp",15,MAX(0.1,Skills!D11-IF(TRUE=TRUE,Inputs!$B$32,0)))*(1-IF(AND(ArtifactsInput!$M$27,Inputs!$B$4="Chapter Hunt"),CHOOSE(ArtifactsInput!$N$27+1,20,24,28,32,36,40),0)/100)))+1)),0)</f>
        <v/>
      </c>
      <c r="S850">
        <f>IFERROR(O850/N850,0)</f>
        <v/>
      </c>
      <c r="T850">
        <f>IF(C850,(H850*N850*IF(AND(Inputs!$B$38&lt;&gt;"pvp",Inputs!$B$43&gt;0),((Skills!G11*((R850-1)*IF(Skills!H11&gt;0,INT(Skills!I11/Skills!H11+0.000000001),1)+IF(Skills!H11&gt;0,INT(MIN(Skills!I11,MAX(0,MAX(0,Inputs!$B$43-B881)-((R850-1)*(IF(Inputs!$B$38="pvp",15,MAX(0.1,Skills!D11-IF(TRUE=TRUE,Inputs!$B$32,0)))*(1-IF(AND(ArtifactsInput!$M$27,Inputs!$B$4="Chapter Hunt"),CHOOSE(ArtifactsInput!$N$27+1,20,24,28,32,36,40),0)/100)))))/Skills!H11+0.000000001),1)))/Inputs!$B$43),G850*Q850)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11*((R850-1)*IF(Skills!H11&gt;0,INT(Skills!I11/Skills!H11+0.000000001),1)+IF(Skills!H11&gt;0,INT(MIN(Skills!I11,MAX(0,MAX(0,Inputs!$B$43-B881)-((R850-1)*(IF(Inputs!$B$38="pvp",15,MAX(0.1,Skills!D11-IF(TRUE=TRUE,Inputs!$B$32,0)))*(1-IF(AND(ArtifactsInput!$M$27,Inputs!$B$4="Chapter Hunt"),CHOOSE(ArtifactsInput!$N$27+1,20,24,28,32,36,40),0)/100)))))/Skills!H11+0.000000001),1)))/Inputs!$B$43),G850*Q850))*IF(Inputs!$B$38="pvp",1,(1+(Inputs!$B$21+Skills!Q11+(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Skills!A12</f>
        <v/>
      </c>
      <c r="B851">
        <f>Skills!B12</f>
        <v/>
      </c>
      <c r="C851">
        <f>Inputs!$B$3&gt;=100</f>
        <v/>
      </c>
      <c r="D851">
        <f>IF(Skills!C12=1,60+(Inputs!$B$25+1)+Inputs!$B$29,IF(Skills!C12=2,90+Inputs!$B$26+Inputs!$B$29,IF(Skills!C12=3,120+Inputs!$B$27+Inputs!$B$29,MAX(0,(Inputs!$B$3-100)*3)+Inputs!$B$28+Inputs!$B$29)))</f>
        <v/>
      </c>
      <c r="E851">
        <f>INDEX(FactorTable!$B$2:$Y$301, MATCH(ROUND(MIN(300,MAX(1,D851)),0), FactorTable!$A$2:$A$301,0), Skills!M12+1)</f>
        <v/>
      </c>
      <c r="F851">
        <f>IF(Skills!N12=TRUE,(Skills!L12/10)*(E851/1000),Skills!L12/10)+Skills!O12</f>
        <v/>
      </c>
      <c r="G851" t="inlineStr"/>
      <c r="H851" t="inlineStr"/>
      <c r="I851" t="inlineStr">
        <is>
          <t>1</t>
        </is>
      </c>
      <c r="J851" t="inlineStr"/>
      <c r="K851" t="inlineStr"/>
      <c r="L851" t="inlineStr"/>
      <c r="M851" t="inlineStr"/>
      <c r="N851" t="inlineStr"/>
      <c r="O851" t="inlineStr"/>
      <c r="P851" t="inlineStr"/>
      <c r="Q851" t="inlineStr"/>
      <c r="R851" t="inlineStr"/>
      <c r="S851" t="inlineStr"/>
      <c r="T851" t="inlineStr"/>
      <c r="V851" t="inlineStr"/>
    </row>
    <row r="852">
      <c r="A852">
        <f>Skills!A13</f>
        <v/>
      </c>
      <c r="B852">
        <f>Skills!B13</f>
        <v/>
      </c>
      <c r="C852">
        <f>Inputs!$B$3&gt;=60</f>
        <v/>
      </c>
      <c r="D852">
        <f>IF(Skills!C13=1,60+(Inputs!$B$25+1)+Inputs!$B$29,IF(Skills!C13=2,90+Inputs!$B$26+Inputs!$B$29,IF(Skills!C13=3,120+Inputs!$B$27+Inputs!$B$29,MAX(0,(Inputs!$B$3-100)*3)+Inputs!$B$28+Inputs!$B$29)))</f>
        <v/>
      </c>
      <c r="E852">
        <f>INDEX(FactorTable!$B$2:$Y$301, MATCH(ROUND(MIN(300,MAX(1,D852)),0), FactorTable!$A$2:$A$301,0), Skills!M13+1)</f>
        <v/>
      </c>
      <c r="F852">
        <f>IF(Skills!N13=TRUE,(Skills!L13/10)*(E852/1000),Skills!L13/10)+Skills!O13</f>
        <v/>
      </c>
      <c r="G852">
        <f>Skills!G13*IF(Skills!H13&gt;0,INT(IF(Inputs!$B$38="pvp",MIN(Skills!I13,15),Skills!I13)/Skills!H13+0.000000001),1)</f>
        <v/>
      </c>
      <c r="H852">
        <f>1-(1-Skills!J13/100)^Skills!K13</f>
        <v/>
      </c>
      <c r="I852" t="inlineStr">
        <is>
          <t>1</t>
        </is>
      </c>
      <c r="J852">
        <f>((Inputs!$B$6*(1+Inputs!$B$7/100))+(((Inputs!$B$12*(1+Inputs!$B$13/100))-(Inputs!$B$12*(1+Inputs!$B$13/100)))+0.25*(Inputs!$B$14-Inputs!$B$14))*(1+Inputs!$B$7/100))*(F852/100)</f>
        <v/>
      </c>
      <c r="K852">
        <f>J852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853=TRUE,F853,0)/100)*(1+(IF(Skills!A13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865=TRUE)*(F865-Calc!F26)),(Inputs!$B$23+((C870=TRUE)*(F870-Calc!F31))+(IF(ArtifactsInput!$M$15,CHOOSE(ArtifactsInput!$N$15+1,25,30,35,40,45,50)/100*(Inputs!$B$11-Inputs!$B$11),0))))/100+(Inputs!$B$23+((C870=TRUE)*(F870-Calc!F31))+(IF(ArtifactsInput!$M$15,CHOOSE(ArtifactsInput!$N$15+1,25,30,35,40,45,50)/100*(Inputs!$B$11-Inputs!$B$11),0)))/100)/2</f>
        <v/>
      </c>
      <c r="M852">
        <f>L852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IF(B884=0,0,O852/B884)</f>
        <v/>
      </c>
      <c r="Q852">
        <f>IFERROR(1/(IF(Inputs!$B$38="pvp",15,MAX(0.1,IF(Inputs!$B$3&gt;=122,3,5)+1/(((20+30*(B876-1)*100/150)/100)*B876)-IF(FALSE=TRUE,Inputs!$B$32,0)))*(1-IF(AND(ArtifactsInput!$M$27,Inputs!$B$4="Chapter Hunt"),CHOOSE(ArtifactsInput!$N$27+1,20,24,28,32,36,40),0)/100)),0)</f>
        <v/>
      </c>
      <c r="R852">
        <f>IF(AND(Inputs!$B$38&lt;&gt;"pvp",Inputs!$B$43&gt;0),IF(MAX(0,Inputs!$B$43-B881)&lt;=0,0,(INT(MAX(0,Inputs!$B$43-B881)/(IF(Inputs!$B$38="pvp",15,MAX(0.1,IF(Inputs!$B$3&gt;=122,3,5)+1/(((20+30*(B876-1)*100/150)/100)*B876)-IF(FALSE=TRUE,Inputs!$B$32,0)))*(1-IF(AND(ArtifactsInput!$M$27,Inputs!$B$4="Chapter Hunt"),CHOOSE(ArtifactsInput!$N$27+1,20,24,28,32,36,40),0)/100)))+1)),0)</f>
        <v/>
      </c>
      <c r="S852">
        <f>IFERROR(O852/N852,0)</f>
        <v/>
      </c>
      <c r="T852">
        <f>IF(C852,(H852*N852*IF(AND(Inputs!$B$38&lt;&gt;"pvp",Inputs!$B$43&gt;0),((Skills!G13*((R852-1)*IF(Skills!H13&gt;0,INT(Skills!I13/Skills!H13+0.000000001),1)+IF(Skills!H13&gt;0,INT(MIN(Skills!I13,MAX(0,MAX(0,Inputs!$B$43-B881)-((R852-1)*(IF(Inputs!$B$38="pvp",15,MAX(0.1,IF(Inputs!$B$3&gt;=122,3,5)+1/(((20+30*(B876-1)*100/150)/100)*B876)-IF(FALSE=TRUE,Inputs!$B$32,0)))*(1-IF(AND(ArtifactsInput!$M$27,Inputs!$B$4="Chapter Hunt"),CHOOSE(ArtifactsInput!$N$27+1,20,24,28,32,36,40),0)/100)))))/Skills!H13+0.000000001),1)))/Inputs!$B$43),G852*Q852)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13*((R852-1)*IF(Skills!H13&gt;0,INT(Skills!I13/Skills!H13+0.000000001),1)+IF(Skills!H13&gt;0,INT(MIN(Skills!I13,MAX(0,MAX(0,Inputs!$B$43-B881)-((R852-1)*(IF(Inputs!$B$38="pvp",15,MAX(0.1,IF(Inputs!$B$3&gt;=122,3,5)+1/(((20+30*(B876-1)*100/150)/100)*B876)-IF(FALSE=TRUE,Inputs!$B$32,0)))*(1-IF(AND(ArtifactsInput!$M$27,Inputs!$B$4="Chapter Hunt"),CHOOSE(ArtifactsInput!$N$27+1,20,24,28,32,36,40),0)/100)))))/Skills!H13+0.000000001),1)))/Inputs!$B$43),G852*Q852))*IF(Inputs!$B$38="pvp",1,(1+(Inputs!$B$21+Skills!Q13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Skills!A14</f>
        <v/>
      </c>
      <c r="B853">
        <f>Skills!B14</f>
        <v/>
      </c>
      <c r="C853">
        <f>Inputs!$B$3&gt;=110</f>
        <v/>
      </c>
      <c r="D853">
        <f>IF(Skills!C14=1,60+(Inputs!$B$25+1)+Inputs!$B$29,IF(Skills!C14=2,90+Inputs!$B$26+Inputs!$B$29,IF(Skills!C14=3,120+Inputs!$B$27+Inputs!$B$29,MAX(0,(Inputs!$B$3-100)*3)+Inputs!$B$28+Inputs!$B$29)))</f>
        <v/>
      </c>
      <c r="E853">
        <f>INDEX(FactorTable!$B$2:$Y$301, MATCH(ROUND(MIN(300,MAX(1,D853)),0), FactorTable!$A$2:$A$301,0), Skills!M14+1)</f>
        <v/>
      </c>
      <c r="F853">
        <f>IF(Skills!N14=TRUE,(Skills!L14/10)*(E853/1000),Skills!L14/10)+Skills!O14</f>
        <v/>
      </c>
      <c r="G853" t="inlineStr"/>
      <c r="H853" t="inlineStr"/>
      <c r="I853" t="inlineStr">
        <is>
          <t>1</t>
        </is>
      </c>
      <c r="J853" t="inlineStr"/>
      <c r="K853" t="inlineStr"/>
      <c r="L853" t="inlineStr"/>
      <c r="M853" t="inlineStr"/>
      <c r="N853" t="inlineStr"/>
      <c r="O853" t="inlineStr"/>
      <c r="P853" t="inlineStr"/>
      <c r="Q853" t="inlineStr"/>
      <c r="R853" t="inlineStr"/>
      <c r="S853" t="inlineStr"/>
      <c r="T853" t="inlineStr"/>
      <c r="V853" t="inlineStr"/>
    </row>
    <row r="854">
      <c r="A854">
        <f>Skills!A15</f>
        <v/>
      </c>
      <c r="B854">
        <f>Skills!B15</f>
        <v/>
      </c>
      <c r="C854">
        <f>Inputs!$B$3&gt;=74</f>
        <v/>
      </c>
      <c r="D854">
        <f>IF(Skills!C15=1,60+(Inputs!$B$25+1)+Inputs!$B$29,IF(Skills!C15=2,90+Inputs!$B$26+Inputs!$B$29,IF(Skills!C15=3,120+Inputs!$B$27+Inputs!$B$29,MAX(0,(Inputs!$B$3-100)*3)+Inputs!$B$28+Inputs!$B$29)))</f>
        <v/>
      </c>
      <c r="E854">
        <f>INDEX(FactorTable!$B$2:$Y$301, MATCH(ROUND(MIN(300,MAX(1,D854)),0), FactorTable!$A$2:$A$301,0), Skills!M15+1)</f>
        <v/>
      </c>
      <c r="F854">
        <f>IF(Skills!N15=TRUE,(Skills!L15/10)*(E854/1000),Skills!L15/10)+Skills!O15</f>
        <v/>
      </c>
      <c r="G854">
        <f>Skills!G15*IF(Skills!H15&gt;0,INT(IF(Inputs!$B$38="pvp",MIN(Skills!I15,15),Skills!I15)/Skills!H15+0.000000001),1)</f>
        <v/>
      </c>
      <c r="H854">
        <f>1-(1-Skills!J15/100)^Skills!K15</f>
        <v/>
      </c>
      <c r="I854" t="inlineStr">
        <is>
          <t>1</t>
        </is>
      </c>
      <c r="J854" t="inlineStr"/>
      <c r="K854" t="inlineStr"/>
      <c r="L854" t="inlineStr"/>
      <c r="M854" t="inlineStr"/>
      <c r="N854" t="inlineStr"/>
      <c r="O854">
        <f>(1-Summary!$B$11)*T854+Summary!$B$11*V854</f>
        <v/>
      </c>
      <c r="P854">
        <f>IF(B884=0,0,O854/B884)</f>
        <v/>
      </c>
      <c r="Q854" t="n">
        <v>0</v>
      </c>
      <c r="R854" t="n">
        <v>0</v>
      </c>
      <c r="S854">
        <f>IFERROR(O854/N854,0)</f>
        <v/>
      </c>
      <c r="T854" t="n">
        <v>0</v>
      </c>
      <c r="V854" t="n">
        <v>0</v>
      </c>
    </row>
    <row r="855">
      <c r="A855">
        <f>Skills!A16</f>
        <v/>
      </c>
      <c r="B855">
        <f>Skills!B16</f>
        <v/>
      </c>
      <c r="C855">
        <f>Inputs!$B$3&gt;=74</f>
        <v/>
      </c>
      <c r="D855">
        <f>IF(Skills!C16=1,60+(Inputs!$B$25+1)+Inputs!$B$29,IF(Skills!C16=2,90+Inputs!$B$26+Inputs!$B$29,IF(Skills!C16=3,120+Inputs!$B$27+Inputs!$B$29,MAX(0,(Inputs!$B$3-100)*3)+Inputs!$B$28+Inputs!$B$29)))</f>
        <v/>
      </c>
      <c r="E855">
        <f>INDEX(FactorTable!$B$2:$Y$301, MATCH(ROUND(MIN(300,MAX(1,D855)),0), FactorTable!$A$2:$A$301,0), Skills!M16+1)</f>
        <v/>
      </c>
      <c r="F855">
        <f>IF(Skills!N16=TRUE,(Skills!L16/10)*(E855/1000),Skills!L16/10)+Skills!O16</f>
        <v/>
      </c>
      <c r="G855">
        <f>Skills!G16*IF(Skills!H16&gt;0,INT(IF(Inputs!$B$38="pvp",MIN(Skills!I16,15),Skills!I16)/Skills!H16+0.000000001),1)</f>
        <v/>
      </c>
      <c r="H855">
        <f>1-(1-Skills!J16/100)^Skills!K16</f>
        <v/>
      </c>
      <c r="I855" t="inlineStr">
        <is>
          <t>1</t>
        </is>
      </c>
      <c r="J855" t="inlineStr"/>
      <c r="K855" t="inlineStr"/>
      <c r="L855" t="inlineStr"/>
      <c r="M855" t="inlineStr"/>
      <c r="N855" t="inlineStr"/>
      <c r="O855">
        <f>(1-Summary!$B$11)*T855+Summary!$B$11*V855</f>
        <v/>
      </c>
      <c r="P855">
        <f>IF(B884=0,0,O855/B884)</f>
        <v/>
      </c>
      <c r="Q855" t="n">
        <v>0</v>
      </c>
      <c r="R855" t="n">
        <v>0</v>
      </c>
      <c r="S855">
        <f>IFERROR(O855/N855,0)</f>
        <v/>
      </c>
      <c r="T855" t="n">
        <v>0</v>
      </c>
      <c r="V855" t="n">
        <v>0</v>
      </c>
    </row>
    <row r="856">
      <c r="A856">
        <f>Skills!A17</f>
        <v/>
      </c>
      <c r="B856">
        <f>Skills!B17</f>
        <v/>
      </c>
      <c r="C856">
        <f>Inputs!$B$3&gt;=117</f>
        <v/>
      </c>
      <c r="D856">
        <f>IF(Skills!C17=1,60+(Inputs!$B$25+1)+Inputs!$B$29,IF(Skills!C17=2,90+Inputs!$B$26+Inputs!$B$29,IF(Skills!C17=3,120+Inputs!$B$27+Inputs!$B$29,MAX(0,(Inputs!$B$3-100)*3)+Inputs!$B$28+Inputs!$B$29)))</f>
        <v/>
      </c>
      <c r="E856">
        <f>INDEX(FactorTable!$B$2:$Y$301, MATCH(ROUND(MIN(300,MAX(1,D856)),0), FactorTable!$A$2:$A$301,0), Skills!M17+1)</f>
        <v/>
      </c>
      <c r="F856">
        <f>IF(Skills!N17=TRUE,(Skills!L17/10)*(E856/1000),Skills!L17/10)+Skills!O17</f>
        <v/>
      </c>
      <c r="G856">
        <f>Skills!G17*IF(Skills!H17&gt;0,INT(IF(Inputs!$B$38="pvp",MIN(Skills!I17,15),Skills!I17)/Skills!H17+0.000000001),1)</f>
        <v/>
      </c>
      <c r="H856">
        <f>1-(1-Skills!J17/100)^Skills!K17</f>
        <v/>
      </c>
      <c r="I856" t="inlineStr">
        <is>
          <t>1</t>
        </is>
      </c>
      <c r="J856" t="inlineStr"/>
      <c r="K856" t="inlineStr"/>
      <c r="L856" t="inlineStr"/>
      <c r="M856" t="inlineStr"/>
      <c r="N856" t="inlineStr"/>
      <c r="O856">
        <f>(1-Summary!$B$11)*T856+Summary!$B$11*V856</f>
        <v/>
      </c>
      <c r="P856">
        <f>IF(B884=0,0,O856/B884)</f>
        <v/>
      </c>
      <c r="Q856">
        <f>IFERROR(1/(IF(Inputs!$B$38="pvp",15,MAX(0.1,Skills!D17-IF(TRUE=TRUE,Inputs!$B$32,0)))*(1-IF(AND(ArtifactsInput!$M$27,Inputs!$B$4="Chapter Hunt"),CHOOSE(ArtifactsInput!$N$27+1,20,24,28,32,36,40),0)/100)),0)</f>
        <v/>
      </c>
      <c r="R856">
        <f>IF(AND(Inputs!$B$38&lt;&gt;"pvp",Inputs!$B$43&gt;0),IF(Inputs!$B$43&lt;=0,0,(INT(Inputs!$B$43/(IF(Inputs!$B$38="pvp",15,MAX(0.1,Skills!D17-IF(TRUE=TRUE,Inputs!$B$32,0)))*(1-IF(AND(ArtifactsInput!$M$27,Inputs!$B$4="Chapter Hunt"),CHOOSE(ArtifactsInput!$N$27+1,20,24,28,32,36,40),0)/100)))+1)),0)</f>
        <v/>
      </c>
      <c r="S856">
        <f>IFERROR(O856/N856,0)</f>
        <v/>
      </c>
      <c r="T856" t="n">
        <v>0</v>
      </c>
      <c r="V856" t="n">
        <v>0</v>
      </c>
    </row>
    <row r="857">
      <c r="A857">
        <f>Skills!A18</f>
        <v/>
      </c>
      <c r="B857">
        <f>Skills!B18</f>
        <v/>
      </c>
      <c r="C857">
        <f>Inputs!$B$3&gt;=115</f>
        <v/>
      </c>
      <c r="D857">
        <f>IF(Skills!C18=1,60+(Inputs!$B$25+1)+Inputs!$B$29,IF(Skills!C18=2,90+Inputs!$B$26+Inputs!$B$29,IF(Skills!C18=3,120+Inputs!$B$27+Inputs!$B$29,MAX(0,(Inputs!$B$3-100)*3)+Inputs!$B$28+Inputs!$B$29)))</f>
        <v/>
      </c>
      <c r="E857">
        <f>INDEX(FactorTable!$B$2:$Y$301, MATCH(ROUND(MIN(300,MAX(1,D857)),0), FactorTable!$A$2:$A$301,0), Skills!M18+1)</f>
        <v/>
      </c>
      <c r="F857">
        <f>IF(Skills!N18=TRUE,(Skills!L18/10)*(E857/1000),Skills!L18/10)+Skills!O18</f>
        <v/>
      </c>
      <c r="G857">
        <f>Skills!G18*IF(Skills!H18&gt;0,INT(IF(Inputs!$B$38="pvp",MIN(Skills!I18,15),Skills!I18)/Skills!H18+0.000000001),1)</f>
        <v/>
      </c>
      <c r="H857">
        <f>1-(1-Skills!J18/100)^Skills!K18</f>
        <v/>
      </c>
      <c r="I857" t="inlineStr">
        <is>
          <t>1</t>
        </is>
      </c>
      <c r="J857" t="inlineStr"/>
      <c r="K857" t="inlineStr"/>
      <c r="L857" t="inlineStr"/>
      <c r="M857" t="inlineStr"/>
      <c r="N857" t="inlineStr"/>
      <c r="O857">
        <f>(1-Summary!$B$11)*T857+Summary!$B$11*V857</f>
        <v/>
      </c>
      <c r="P857">
        <f>IF(B884=0,0,O857/B884)</f>
        <v/>
      </c>
      <c r="Q857">
        <f>IFERROR(1/(IF(Inputs!$B$38="pvp",15,MAX(0.1,Skills!D18-IF(TRUE=TRUE,Inputs!$B$32,0)))*(1-IF(AND(ArtifactsInput!$M$27,Inputs!$B$4="Chapter Hunt"),CHOOSE(ArtifactsInput!$N$27+1,20,24,28,32,36,40),0)/100)),0)</f>
        <v/>
      </c>
      <c r="R857">
        <f>IF(AND(Inputs!$B$38&lt;&gt;"pvp",Inputs!$B$43&gt;0),IF(Inputs!$B$43&lt;=0,0,(INT(Inputs!$B$43/(IF(Inputs!$B$38="pvp",15,MAX(0.1,Skills!D18-IF(TRUE=TRUE,Inputs!$B$32,0)))*(1-IF(AND(ArtifactsInput!$M$27,Inputs!$B$4="Chapter Hunt"),CHOOSE(ArtifactsInput!$N$27+1,20,24,28,32,36,40),0)/100)))+1)),0)</f>
        <v/>
      </c>
      <c r="S857">
        <f>IFERROR(O857/N857,0)</f>
        <v/>
      </c>
      <c r="T857" t="n">
        <v>0</v>
      </c>
      <c r="V857" t="n">
        <v>0</v>
      </c>
    </row>
    <row r="858">
      <c r="A858">
        <f>Skills!A19</f>
        <v/>
      </c>
      <c r="B858">
        <f>Skills!B19</f>
        <v/>
      </c>
      <c r="C858">
        <f>Inputs!$B$3&gt;=66</f>
        <v/>
      </c>
      <c r="D858">
        <f>IF(Skills!C19=1,60+(Inputs!$B$25+1)+Inputs!$B$29,IF(Skills!C19=2,90+Inputs!$B$26+Inputs!$B$29,IF(Skills!C19=3,120+Inputs!$B$27+Inputs!$B$29,MAX(0,(Inputs!$B$3-100)*3)+Inputs!$B$28+Inputs!$B$29)))</f>
        <v/>
      </c>
      <c r="E858">
        <f>INDEX(FactorTable!$B$2:$Y$301, MATCH(ROUND(MIN(300,MAX(1,D858)),0), FactorTable!$A$2:$A$301,0), Skills!M19+1)</f>
        <v/>
      </c>
      <c r="F858">
        <f>IF(Skills!N19=TRUE,(Skills!L19/10)*(E858/1000),Skills!L19/10)+Skills!O19</f>
        <v/>
      </c>
      <c r="G858">
        <f>Skills!G19*IF(Skills!H19&gt;0,INT(IF(Inputs!$B$38="pvp",MIN(Skills!I19,15),Skills!I19)/Skills!H19+0.000000001),1)</f>
        <v/>
      </c>
      <c r="H858">
        <f>1-(1-Skills!J19/100)^Skills!K19</f>
        <v/>
      </c>
      <c r="I858" t="inlineStr">
        <is>
          <t>1</t>
        </is>
      </c>
      <c r="J858" t="inlineStr"/>
      <c r="K858" t="inlineStr"/>
      <c r="L858" t="inlineStr"/>
      <c r="M858" t="inlineStr"/>
      <c r="N858" t="inlineStr"/>
      <c r="O858">
        <f>(1-Summary!$B$11)*T858+Summary!$B$11*V858</f>
        <v/>
      </c>
      <c r="P858">
        <f>IF(B884=0,0,O858/B884)</f>
        <v/>
      </c>
      <c r="Q858" t="n">
        <v>0</v>
      </c>
      <c r="R858" t="n">
        <v>0</v>
      </c>
      <c r="S858">
        <f>IFERROR(O858/N858,0)</f>
        <v/>
      </c>
      <c r="T858" t="n">
        <v>0</v>
      </c>
      <c r="V858" t="n">
        <v>0</v>
      </c>
    </row>
    <row r="859">
      <c r="A859">
        <f>Skills!A20</f>
        <v/>
      </c>
      <c r="B859">
        <f>Skills!B20</f>
        <v/>
      </c>
      <c r="C859">
        <f>Inputs!$B$3&gt;=72</f>
        <v/>
      </c>
      <c r="D859">
        <f>IF(Skills!C20=1,60+(Inputs!$B$25+1)+Inputs!$B$29,IF(Skills!C20=2,90+Inputs!$B$26+Inputs!$B$29,IF(Skills!C20=3,120+Inputs!$B$27+Inputs!$B$29,MAX(0,(Inputs!$B$3-100)*3)+Inputs!$B$28+Inputs!$B$29)))</f>
        <v/>
      </c>
      <c r="E859">
        <f>INDEX(FactorTable!$B$2:$Y$301, MATCH(ROUND(MIN(300,MAX(1,D859)),0), FactorTable!$A$2:$A$301,0), Skills!M20+1)</f>
        <v/>
      </c>
      <c r="F859">
        <f>IF(Skills!N20=TRUE,(Skills!L20/10)*(E859/1000),Skills!L20/10)+Skills!O20</f>
        <v/>
      </c>
      <c r="G859">
        <f>Skills!G20*IF(Skills!H20&gt;0,INT(IF(Inputs!$B$38="pvp",MIN(Skills!I20,15),Skills!I20)/Skills!H20+0.000000001),1)</f>
        <v/>
      </c>
      <c r="H859">
        <f>1-(1-Skills!J20/100)^Skills!K20</f>
        <v/>
      </c>
      <c r="I859" t="inlineStr">
        <is>
          <t>1</t>
        </is>
      </c>
      <c r="J859" t="inlineStr"/>
      <c r="K859" t="inlineStr"/>
      <c r="L859" t="inlineStr"/>
      <c r="M859" t="inlineStr"/>
      <c r="N859" t="inlineStr"/>
      <c r="O859">
        <f>(1-Summary!$B$11)*T859+Summary!$B$11*V859</f>
        <v/>
      </c>
      <c r="P859">
        <f>IF(B884=0,0,O859/B884)</f>
        <v/>
      </c>
      <c r="Q859" t="n">
        <v>0</v>
      </c>
      <c r="R859" t="n">
        <v>0</v>
      </c>
      <c r="S859">
        <f>IFERROR(O859/N859,0)</f>
        <v/>
      </c>
      <c r="T859" t="n">
        <v>0</v>
      </c>
      <c r="V859" t="n">
        <v>0</v>
      </c>
    </row>
    <row r="860">
      <c r="A860">
        <f>Skills!A21</f>
        <v/>
      </c>
      <c r="B860">
        <f>Skills!B21</f>
        <v/>
      </c>
      <c r="C860">
        <f>TRUE</f>
        <v/>
      </c>
      <c r="D860">
        <f>IF(Skills!C21=1,60+(Inputs!$B$25+1)+Inputs!$B$29,IF(Skills!C21=2,90+Inputs!$B$26+Inputs!$B$29,IF(Skills!C21=3,120+Inputs!$B$27+Inputs!$B$29,MAX(0,(Inputs!$B$3-100)*3)+Inputs!$B$28+Inputs!$B$29)))</f>
        <v/>
      </c>
      <c r="E860">
        <f>INDEX(FactorTable!$B$2:$Y$301, MATCH(ROUND(MIN(300,MAX(1,D860)),0), FactorTable!$A$2:$A$301,0), Skills!M21+1)</f>
        <v/>
      </c>
      <c r="F860">
        <f>IF(Skills!N21=TRUE,(Skills!L21/10)*(E860/1000),Skills!L21/10)+Skills!O21</f>
        <v/>
      </c>
      <c r="G860">
        <f>Skills!G21*IF(Skills!H21&gt;0,INT(IF(Inputs!$B$38="pvp",MIN(Skills!I21,15),Skills!I21)/Skills!H21+0.000000001),1)</f>
        <v/>
      </c>
      <c r="H860">
        <f>1-(1-Skills!J21/100)^Skills!K21</f>
        <v/>
      </c>
      <c r="I860" t="inlineStr">
        <is>
          <t>1</t>
        </is>
      </c>
      <c r="J860" t="inlineStr"/>
      <c r="K860" t="inlineStr"/>
      <c r="L860" t="inlineStr"/>
      <c r="M860" t="inlineStr"/>
      <c r="N860" t="inlineStr"/>
      <c r="O860">
        <f>(1-Summary!$B$11)*T860+Summary!$B$11*V860</f>
        <v/>
      </c>
      <c r="P860">
        <f>IF(B884=0,0,O860/B884)</f>
        <v/>
      </c>
      <c r="Q860">
        <f>IFERROR(1/(IF(Inputs!$B$38="pvp",15,MAX(0.1,Skills!D21-IF(TRUE=TRUE,Inputs!$B$32,0)))*(1-IF(AND(ArtifactsInput!$M$27,Inputs!$B$4="Chapter Hunt"),CHOOSE(ArtifactsInput!$N$27+1,20,24,28,32,36,40),0)/100)),0)</f>
        <v/>
      </c>
      <c r="R860">
        <f>IF(AND(Inputs!$B$38&lt;&gt;"pvp",Inputs!$B$43&gt;0),IF(Inputs!$B$43&lt;=0,0,(INT(Inputs!$B$43/(IF(Inputs!$B$38="pvp",15,MAX(0.1,Skills!D21-IF(TRUE=TRUE,Inputs!$B$32,0)))*(1-IF(AND(ArtifactsInput!$M$27,Inputs!$B$4="Chapter Hunt"),CHOOSE(ArtifactsInput!$N$27+1,20,24,28,32,36,40),0)/100)))+1)),0)</f>
        <v/>
      </c>
      <c r="S860">
        <f>IFERROR(O860/N860,0)</f>
        <v/>
      </c>
      <c r="T860" t="n">
        <v>0</v>
      </c>
      <c r="V860" t="n">
        <v>0</v>
      </c>
    </row>
    <row r="861">
      <c r="A861">
        <f>Skills!A22</f>
        <v/>
      </c>
      <c r="B861">
        <f>Skills!B22</f>
        <v/>
      </c>
      <c r="C861">
        <f>Inputs!$B$3&gt;=15</f>
        <v/>
      </c>
      <c r="D861">
        <f>IF(Skills!C22=1,60+(Inputs!$B$25+1)+Inputs!$B$29,IF(Skills!C22=2,90+Inputs!$B$26+Inputs!$B$29,IF(Skills!C22=3,120+Inputs!$B$27+Inputs!$B$29,MAX(0,(Inputs!$B$3-100)*3)+Inputs!$B$28+Inputs!$B$29)))</f>
        <v/>
      </c>
      <c r="E861">
        <f>INDEX(FactorTable!$B$2:$Y$301, MATCH(ROUND(MIN(300,MAX(1,D861)),0), FactorTable!$A$2:$A$301,0), Skills!M22+1)</f>
        <v/>
      </c>
      <c r="F861">
        <f>IF(Skills!N22=TRUE,(Skills!L22/10)*(E861/1000),Skills!L22/10)+Skills!O22</f>
        <v/>
      </c>
      <c r="G861">
        <f>Skills!G22*IF(Skills!H22&gt;0,INT(IF(Inputs!$B$38="pvp",MIN(Skills!I22,15),Skills!I22)/Skills!H22+0.000000001),1)</f>
        <v/>
      </c>
      <c r="H861">
        <f>1-(1-Skills!J22/100)^Skills!K22</f>
        <v/>
      </c>
      <c r="I861" t="inlineStr">
        <is>
          <t>1</t>
        </is>
      </c>
      <c r="J861" t="inlineStr"/>
      <c r="K861" t="inlineStr"/>
      <c r="L861" t="inlineStr"/>
      <c r="M861" t="inlineStr"/>
      <c r="N861" t="inlineStr"/>
      <c r="O861">
        <f>(1-Summary!$B$11)*T861+Summary!$B$11*V861</f>
        <v/>
      </c>
      <c r="P861">
        <f>IF(B884=0,0,O861/B884)</f>
        <v/>
      </c>
      <c r="Q861" t="n">
        <v>0</v>
      </c>
      <c r="R861" t="n">
        <v>0</v>
      </c>
      <c r="S861">
        <f>IFERROR(O861/N861,0)</f>
        <v/>
      </c>
      <c r="T861" t="n">
        <v>0</v>
      </c>
      <c r="V861" t="n">
        <v>0</v>
      </c>
    </row>
    <row r="862">
      <c r="A862">
        <f>Skills!A23</f>
        <v/>
      </c>
      <c r="B862">
        <f>Skills!B23</f>
        <v/>
      </c>
      <c r="C862">
        <f>Inputs!$B$3&gt;=10</f>
        <v/>
      </c>
      <c r="D862">
        <f>IF(Skills!C23=1,60+(Inputs!$B$25+1)+Inputs!$B$29,IF(Skills!C23=2,90+Inputs!$B$26+Inputs!$B$29,IF(Skills!C23=3,120+Inputs!$B$27+Inputs!$B$29,MAX(0,(Inputs!$B$3-100)*3)+Inputs!$B$28+Inputs!$B$29)))</f>
        <v/>
      </c>
      <c r="E862">
        <f>INDEX(FactorTable!$B$2:$Y$301, MATCH(ROUND(MIN(300,MAX(1,D862)),0), FactorTable!$A$2:$A$301,0), Skills!M23+1)</f>
        <v/>
      </c>
      <c r="F862">
        <f>IF(Skills!N23=TRUE,(Skills!L23/10)*(E862/1000),Skills!L23/10)+Skills!O23</f>
        <v/>
      </c>
      <c r="G862">
        <f>Skills!G23*IF(Skills!H23&gt;0,INT(IF(Inputs!$B$38="pvp",MIN(Skills!I23,15),Skills!I23)/Skills!H23+0.000000001),1)</f>
        <v/>
      </c>
      <c r="H862">
        <f>1-(1-Skills!J23/100)^Skills!K23</f>
        <v/>
      </c>
      <c r="I862" t="inlineStr">
        <is>
          <t>1</t>
        </is>
      </c>
      <c r="J862" t="inlineStr"/>
      <c r="K862" t="inlineStr"/>
      <c r="L862" t="inlineStr"/>
      <c r="M862" t="inlineStr"/>
      <c r="N862" t="inlineStr"/>
      <c r="O862">
        <f>(1-Summary!$B$11)*T862+Summary!$B$11*V862</f>
        <v/>
      </c>
      <c r="P862">
        <f>IF(B884=0,0,O862/B884)</f>
        <v/>
      </c>
      <c r="Q862" t="n">
        <v>0</v>
      </c>
      <c r="R862" t="n">
        <v>0</v>
      </c>
      <c r="S862">
        <f>IFERROR(O862/N862,0)</f>
        <v/>
      </c>
      <c r="T862" t="n">
        <v>0</v>
      </c>
      <c r="V862" t="n">
        <v>0</v>
      </c>
    </row>
    <row r="863">
      <c r="A863">
        <f>Skills!A24</f>
        <v/>
      </c>
      <c r="B863">
        <f>Skills!B24</f>
        <v/>
      </c>
      <c r="C863">
        <f>Inputs!$B$3&gt;=33</f>
        <v/>
      </c>
      <c r="D863">
        <f>IF(Skills!C24=1,60+(Inputs!$B$25+1)+Inputs!$B$29,IF(Skills!C24=2,90+Inputs!$B$26+Inputs!$B$29,IF(Skills!C24=3,120+Inputs!$B$27+Inputs!$B$29,MAX(0,(Inputs!$B$3-100)*3)+Inputs!$B$28+Inputs!$B$29)))</f>
        <v/>
      </c>
      <c r="E863">
        <f>INDEX(FactorTable!$B$2:$Y$301, MATCH(ROUND(MIN(300,MAX(1,D863)),0), FactorTable!$A$2:$A$301,0), Skills!M24+1)</f>
        <v/>
      </c>
      <c r="F863">
        <f>IF(Skills!N24=TRUE,(Skills!L24/10)*(E863/1000),Skills!L24/10)+Skills!O24</f>
        <v/>
      </c>
      <c r="G863">
        <f>Skills!G24*IF(Skills!H24&gt;0,INT(IF(Inputs!$B$38="pvp",MIN(Skills!I24,15),Skills!I24)/Skills!H24+0.000000001),1)</f>
        <v/>
      </c>
      <c r="H863">
        <f>1-(1-Skills!J24/100)^Skills!K24</f>
        <v/>
      </c>
      <c r="I863" t="inlineStr">
        <is>
          <t>1</t>
        </is>
      </c>
      <c r="J863" t="inlineStr"/>
      <c r="K863" t="inlineStr"/>
      <c r="L863" t="inlineStr"/>
      <c r="M863" t="inlineStr"/>
      <c r="N863" t="inlineStr"/>
      <c r="O863">
        <f>(1-Summary!$B$11)*T863+Summary!$B$11*V863</f>
        <v/>
      </c>
      <c r="P863">
        <f>IF(B884=0,0,O863/B884)</f>
        <v/>
      </c>
      <c r="Q863" t="n">
        <v>0</v>
      </c>
      <c r="R863" t="n">
        <v>0</v>
      </c>
      <c r="S863">
        <f>IFERROR(O863/N863,0)</f>
        <v/>
      </c>
      <c r="T863" t="n">
        <v>0</v>
      </c>
      <c r="V863" t="n">
        <v>0</v>
      </c>
    </row>
    <row r="864">
      <c r="A864">
        <f>Skills!A25</f>
        <v/>
      </c>
      <c r="B864">
        <f>Skills!B25</f>
        <v/>
      </c>
      <c r="C864">
        <f>Inputs!$B$3&gt;=38</f>
        <v/>
      </c>
      <c r="D864">
        <f>IF(Skills!C25=1,60+(Inputs!$B$25+1)+Inputs!$B$29,IF(Skills!C25=2,90+Inputs!$B$26+Inputs!$B$29,IF(Skills!C25=3,120+Inputs!$B$27+Inputs!$B$29,MAX(0,(Inputs!$B$3-100)*3)+Inputs!$B$28+Inputs!$B$29)))</f>
        <v/>
      </c>
      <c r="E864">
        <f>INDEX(FactorTable!$B$2:$Y$301, MATCH(ROUND(MIN(300,MAX(1,D864)),0), FactorTable!$A$2:$A$301,0), Skills!M25+1)</f>
        <v/>
      </c>
      <c r="F864">
        <f>IF(Skills!N25=TRUE,(Skills!L25/10)*(E864/1000),Skills!L25/10)+Skills!O25</f>
        <v/>
      </c>
      <c r="G864">
        <f>Skills!G25*IF(Skills!H25&gt;0,INT(IF(Inputs!$B$38="pvp",MIN(Skills!I25,15),Skills!I25)/Skills!H25+0.000000001),1)</f>
        <v/>
      </c>
      <c r="H864">
        <f>1-(1-Skills!J25/100)^Skills!K25</f>
        <v/>
      </c>
      <c r="I864" t="inlineStr">
        <is>
          <t>1</t>
        </is>
      </c>
      <c r="J864" t="inlineStr"/>
      <c r="K864" t="inlineStr"/>
      <c r="L864" t="inlineStr"/>
      <c r="M864" t="inlineStr"/>
      <c r="N864" t="inlineStr"/>
      <c r="O864">
        <f>(1-Summary!$B$11)*T864+Summary!$B$11*V864</f>
        <v/>
      </c>
      <c r="P864">
        <f>IF(B884=0,0,O864/B884)</f>
        <v/>
      </c>
      <c r="Q864" t="n">
        <v>0</v>
      </c>
      <c r="R864" t="n">
        <v>0</v>
      </c>
      <c r="S864">
        <f>IFERROR(O864/N864,0)</f>
        <v/>
      </c>
      <c r="T864" t="n">
        <v>0</v>
      </c>
      <c r="V864" t="n">
        <v>0</v>
      </c>
    </row>
    <row r="865">
      <c r="A865">
        <f>Skills!A26</f>
        <v/>
      </c>
      <c r="B865">
        <f>Skills!B26</f>
        <v/>
      </c>
      <c r="C865">
        <f>Inputs!$B$3&gt;=43</f>
        <v/>
      </c>
      <c r="D865">
        <f>IF(Skills!C26=1,60+(Inputs!$B$25+1)+Inputs!$B$29,IF(Skills!C26=2,90+Inputs!$B$26+Inputs!$B$29,IF(Skills!C26=3,120+Inputs!$B$27+Inputs!$B$29,MAX(0,(Inputs!$B$3-100)*3)+Inputs!$B$28+Inputs!$B$29)))</f>
        <v/>
      </c>
      <c r="E865">
        <f>INDEX(FactorTable!$B$2:$Y$301, MATCH(ROUND(MIN(300,MAX(1,D865)),0), FactorTable!$A$2:$A$301,0), Skills!M26+1)</f>
        <v/>
      </c>
      <c r="F865">
        <f>IF(Skills!N26=TRUE,(Skills!L26/10)*(E865/1000),Skills!L26/10)+Skills!O26</f>
        <v/>
      </c>
      <c r="G865">
        <f>Skills!G26*IF(Skills!H26&gt;0,INT(IF(Inputs!$B$38="pvp",MIN(Skills!I26,15),Skills!I26)/Skills!H26+0.000000001),1)</f>
        <v/>
      </c>
      <c r="H865">
        <f>1-(1-Skills!J26/100)^Skills!K26</f>
        <v/>
      </c>
      <c r="I865" t="inlineStr">
        <is>
          <t>1</t>
        </is>
      </c>
      <c r="J865" t="inlineStr"/>
      <c r="K865" t="inlineStr"/>
      <c r="L865" t="inlineStr"/>
      <c r="M865" t="inlineStr"/>
      <c r="N865" t="inlineStr"/>
      <c r="O865">
        <f>(1-Summary!$B$11)*T865+Summary!$B$11*V865</f>
        <v/>
      </c>
      <c r="P865">
        <f>IF(B884=0,0,O865/B884)</f>
        <v/>
      </c>
      <c r="Q865" t="n">
        <v>0</v>
      </c>
      <c r="R865" t="n">
        <v>0</v>
      </c>
      <c r="S865">
        <f>IFERROR(O865/N865,0)</f>
        <v/>
      </c>
      <c r="T865" t="n">
        <v>0</v>
      </c>
      <c r="V865" t="n">
        <v>0</v>
      </c>
    </row>
    <row r="866">
      <c r="A866">
        <f>Skills!A27</f>
        <v/>
      </c>
      <c r="B866">
        <f>Skills!B27</f>
        <v/>
      </c>
      <c r="C866">
        <f>Inputs!$B$3&gt;=75</f>
        <v/>
      </c>
      <c r="D866">
        <f>IF(Skills!C27=1,60+(Inputs!$B$25+1)+Inputs!$B$29,IF(Skills!C27=2,90+Inputs!$B$26+Inputs!$B$29,IF(Skills!C27=3,120+Inputs!$B$27+Inputs!$B$29,MAX(0,(Inputs!$B$3-100)*3)+Inputs!$B$28+Inputs!$B$29)))</f>
        <v/>
      </c>
      <c r="E866">
        <f>INDEX(FactorTable!$B$2:$Y$301, MATCH(ROUND(MIN(300,MAX(1,D866)),0), FactorTable!$A$2:$A$301,0), Skills!M27+1)</f>
        <v/>
      </c>
      <c r="F866">
        <f>IF(Skills!N27=TRUE,(Skills!L27/10)*(E866/1000),Skills!L27/10)+Skills!O27</f>
        <v/>
      </c>
      <c r="G866">
        <f>Skills!G27*IF(Skills!H27&gt;0,INT(IF(Inputs!$B$38="pvp",MIN(Skills!I27,15),Skills!I27)/Skills!H27+0.000000001),1)</f>
        <v/>
      </c>
      <c r="H866">
        <f>1-(1-Skills!J27/100)^Skills!K27</f>
        <v/>
      </c>
      <c r="I866" t="inlineStr">
        <is>
          <t>1</t>
        </is>
      </c>
      <c r="J866" t="inlineStr"/>
      <c r="K866" t="inlineStr"/>
      <c r="L866" t="inlineStr"/>
      <c r="M866" t="inlineStr"/>
      <c r="N866" t="inlineStr"/>
      <c r="O866">
        <f>(1-Summary!$B$11)*T866+Summary!$B$11*V866</f>
        <v/>
      </c>
      <c r="P866">
        <f>IF(B884=0,0,O866/B884)</f>
        <v/>
      </c>
      <c r="Q866" t="n">
        <v>0</v>
      </c>
      <c r="R866" t="n">
        <v>0</v>
      </c>
      <c r="S866">
        <f>IFERROR(O866/N866,0)</f>
        <v/>
      </c>
      <c r="T866" t="n">
        <v>0</v>
      </c>
      <c r="V866" t="n">
        <v>0</v>
      </c>
    </row>
    <row r="867">
      <c r="A867">
        <f>Skills!A28</f>
        <v/>
      </c>
      <c r="B867">
        <f>Skills!B28</f>
        <v/>
      </c>
      <c r="C867">
        <f>Inputs!$B$3&gt;=125</f>
        <v/>
      </c>
      <c r="D867">
        <f>IF(Skills!C28=1,60+(Inputs!$B$25+1)+Inputs!$B$29,IF(Skills!C28=2,90+Inputs!$B$26+Inputs!$B$29,IF(Skills!C28=3,120+Inputs!$B$27+Inputs!$B$29,MAX(0,(Inputs!$B$3-100)*3)+Inputs!$B$28+Inputs!$B$29)))</f>
        <v/>
      </c>
      <c r="E867">
        <f>INDEX(FactorTable!$B$2:$Y$301, MATCH(ROUND(MIN(300,MAX(1,D867)),0), FactorTable!$A$2:$A$301,0), Skills!M28+1)</f>
        <v/>
      </c>
      <c r="F867">
        <f>IF(Skills!N28=TRUE,(Skills!L28/10)*(E867/1000),Skills!L28/10)+Skills!O28</f>
        <v/>
      </c>
      <c r="G867">
        <f>Skills!G28*IF(Skills!H28&gt;0,INT(IF(Inputs!$B$38="pvp",MIN(Skills!I28,15),Skills!I28)/Skills!H28+0.000000001),1)</f>
        <v/>
      </c>
      <c r="H867">
        <f>1-(1-Skills!J28/100)^Skills!K28</f>
        <v/>
      </c>
      <c r="I867" t="inlineStr">
        <is>
          <t>1</t>
        </is>
      </c>
      <c r="J867" t="inlineStr"/>
      <c r="K867" t="inlineStr"/>
      <c r="L867" t="inlineStr"/>
      <c r="M867" t="inlineStr"/>
      <c r="N867" t="inlineStr"/>
      <c r="O867">
        <f>(1-Summary!$B$11)*T867+Summary!$B$11*V867</f>
        <v/>
      </c>
      <c r="P867">
        <f>IF(B884=0,0,O867/B884)</f>
        <v/>
      </c>
      <c r="Q867" t="n">
        <v>0</v>
      </c>
      <c r="R867" t="n">
        <v>0</v>
      </c>
      <c r="S867">
        <f>IFERROR(O867/N867,0)</f>
        <v/>
      </c>
      <c r="T867" t="n">
        <v>0</v>
      </c>
      <c r="V867" t="n">
        <v>0</v>
      </c>
    </row>
    <row r="868">
      <c r="A868">
        <f>Skills!A29</f>
        <v/>
      </c>
      <c r="B868">
        <f>Skills!B29</f>
        <v/>
      </c>
      <c r="C868">
        <f>Inputs!$B$3&gt;=125</f>
        <v/>
      </c>
      <c r="D868">
        <f>IF(Skills!C29=1,60+(Inputs!$B$25+1)+Inputs!$B$29,IF(Skills!C29=2,90+Inputs!$B$26+Inputs!$B$29,IF(Skills!C29=3,120+Inputs!$B$27+Inputs!$B$29,MAX(0,(Inputs!$B$3-100)*3)+Inputs!$B$28+Inputs!$B$29)))</f>
        <v/>
      </c>
      <c r="E868">
        <f>INDEX(FactorTable!$B$2:$Y$301, MATCH(ROUND(MIN(300,MAX(1,D868)),0), FactorTable!$A$2:$A$301,0), Skills!M29+1)</f>
        <v/>
      </c>
      <c r="F868">
        <f>IF(Skills!N29=TRUE,(Skills!L29/10)*(E868/1000),Skills!L29/10)+Skills!O29</f>
        <v/>
      </c>
      <c r="G868">
        <f>Skills!G29*IF(Skills!H29&gt;0,INT(IF(Inputs!$B$38="pvp",MIN(Skills!I29,15),Skills!I29)/Skills!H29+0.000000001),1)</f>
        <v/>
      </c>
      <c r="H868">
        <f>1-(1-Skills!J29/100)^Skills!K29</f>
        <v/>
      </c>
      <c r="I868" t="inlineStr">
        <is>
          <t>1</t>
        </is>
      </c>
      <c r="J868" t="inlineStr"/>
      <c r="K868" t="inlineStr"/>
      <c r="L868" t="inlineStr"/>
      <c r="M868" t="inlineStr"/>
      <c r="N868" t="inlineStr"/>
      <c r="O868">
        <f>(1-Summary!$B$11)*T868+Summary!$B$11*V868</f>
        <v/>
      </c>
      <c r="P868">
        <f>IF(B884=0,0,O868/B884)</f>
        <v/>
      </c>
      <c r="Q868" t="n">
        <v>0</v>
      </c>
      <c r="R868" t="n">
        <v>0</v>
      </c>
      <c r="S868">
        <f>IFERROR(O868/N868,0)</f>
        <v/>
      </c>
      <c r="T868" t="n">
        <v>0</v>
      </c>
      <c r="V868" t="n">
        <v>0</v>
      </c>
    </row>
    <row r="869">
      <c r="A869">
        <f>Skills!A30</f>
        <v/>
      </c>
      <c r="B869">
        <f>Skills!B30</f>
        <v/>
      </c>
      <c r="C869">
        <f>Inputs!$B$3&gt;=120</f>
        <v/>
      </c>
      <c r="D869">
        <f>IF(Skills!C30=1,60+(Inputs!$B$25+1)+Inputs!$B$29,IF(Skills!C30=2,90+Inputs!$B$26+Inputs!$B$29,IF(Skills!C30=3,120+Inputs!$B$27+Inputs!$B$29,MAX(0,(Inputs!$B$3-100)*3)+Inputs!$B$28+Inputs!$B$29)))</f>
        <v/>
      </c>
      <c r="E869">
        <f>INDEX(FactorTable!$B$2:$Y$301, MATCH(ROUND(MIN(300,MAX(1,D869)),0), FactorTable!$A$2:$A$301,0), Skills!M30+1)</f>
        <v/>
      </c>
      <c r="F869">
        <f>IF(Skills!N30=TRUE,(Skills!L30/10)*(E869/1000),Skills!L30/10)+Skills!O30</f>
        <v/>
      </c>
      <c r="G869">
        <f>Skills!G30*IF(Skills!H30&gt;0,INT(IF(Inputs!$B$38="pvp",MIN(Skills!I30,15),Skills!I30)/Skills!H30+0.000000001),1)</f>
        <v/>
      </c>
      <c r="H869">
        <f>1-(1-Skills!J30/100)^Skills!K30</f>
        <v/>
      </c>
      <c r="I869" t="inlineStr">
        <is>
          <t>1</t>
        </is>
      </c>
      <c r="J869" t="inlineStr"/>
      <c r="K869" t="inlineStr"/>
      <c r="L869" t="inlineStr"/>
      <c r="M869" t="inlineStr"/>
      <c r="N869" t="inlineStr"/>
      <c r="O869">
        <f>(1-Summary!$B$11)*T869+Summary!$B$11*V869</f>
        <v/>
      </c>
      <c r="P869">
        <f>IF(B884=0,0,O869/B884)</f>
        <v/>
      </c>
      <c r="Q869" t="n">
        <v>0</v>
      </c>
      <c r="R869" t="n">
        <v>0</v>
      </c>
      <c r="S869">
        <f>IFERROR(O869/N869,0)</f>
        <v/>
      </c>
      <c r="T869" t="n">
        <v>0</v>
      </c>
      <c r="V869" t="n">
        <v>0</v>
      </c>
    </row>
    <row r="870">
      <c r="A870">
        <f>Skills!A31</f>
        <v/>
      </c>
      <c r="B870">
        <f>Skills!B31</f>
        <v/>
      </c>
      <c r="C870">
        <f>Inputs!$B$3&gt;=120</f>
        <v/>
      </c>
      <c r="D870">
        <f>IF(Skills!C31=1,60+(Inputs!$B$25+1)+Inputs!$B$29,IF(Skills!C31=2,90+Inputs!$B$26+Inputs!$B$29,IF(Skills!C31=3,120+Inputs!$B$27+Inputs!$B$29,MAX(0,(Inputs!$B$3-100)*3)+Inputs!$B$28+Inputs!$B$29)))</f>
        <v/>
      </c>
      <c r="E870">
        <f>INDEX(FactorTable!$B$2:$Y$301, MATCH(ROUND(MIN(300,MAX(1,D870)),0), FactorTable!$A$2:$A$301,0), Skills!M31+1)</f>
        <v/>
      </c>
      <c r="F870">
        <f>IF(Skills!N31=TRUE,(Skills!L31/10)*(E870/1000),Skills!L31/10)+Skills!O31</f>
        <v/>
      </c>
      <c r="G870">
        <f>Skills!G31*IF(Skills!H31&gt;0,INT(IF(Inputs!$B$38="pvp",MIN(Skills!I31,15),Skills!I31)/Skills!H31+0.000000001),1)</f>
        <v/>
      </c>
      <c r="H870">
        <f>1-(1-Skills!J31/100)^Skills!K31</f>
        <v/>
      </c>
      <c r="I870" t="inlineStr">
        <is>
          <t>1</t>
        </is>
      </c>
      <c r="J870" t="inlineStr"/>
      <c r="K870" t="inlineStr"/>
      <c r="L870" t="inlineStr"/>
      <c r="M870" t="inlineStr"/>
      <c r="N870" t="inlineStr"/>
      <c r="O870">
        <f>(1-Summary!$B$11)*T870+Summary!$B$11*V870</f>
        <v/>
      </c>
      <c r="P870">
        <f>IF(B884=0,0,O870/B884)</f>
        <v/>
      </c>
      <c r="Q870" t="n">
        <v>0</v>
      </c>
      <c r="R870" t="n">
        <v>0</v>
      </c>
      <c r="S870">
        <f>IFERROR(O870/N870,0)</f>
        <v/>
      </c>
      <c r="T870" t="n">
        <v>0</v>
      </c>
      <c r="V870" t="n">
        <v>0</v>
      </c>
    </row>
    <row r="871">
      <c r="A871">
        <f>Skills!A32</f>
        <v/>
      </c>
      <c r="B871">
        <f>Skills!B32</f>
        <v/>
      </c>
      <c r="C871">
        <f>Inputs!$B$3&gt;=45</f>
        <v/>
      </c>
      <c r="D871">
        <f>IF(Skills!C32=1,60+(Inputs!$B$25+1)+Inputs!$B$29,IF(Skills!C32=2,90+Inputs!$B$26+Inputs!$B$29,IF(Skills!C32=3,120+Inputs!$B$27+Inputs!$B$29,MAX(0,(Inputs!$B$3-100)*3)+Inputs!$B$28+Inputs!$B$29)))</f>
        <v/>
      </c>
      <c r="E871">
        <f>INDEX(FactorTable!$B$2:$Y$301, MATCH(ROUND(MIN(300,MAX(1,D871)),0), FactorTable!$A$2:$A$301,0), Skills!M32+1)</f>
        <v/>
      </c>
      <c r="F871">
        <f>IF(Skills!N32=TRUE,(Skills!L32/10)*(E871/1000),Skills!L32/10)+Skills!O32</f>
        <v/>
      </c>
      <c r="G871">
        <f>Skills!G32*IF(Skills!H32&gt;0,INT(IF(Inputs!$B$38="pvp",MIN(Skills!I32,15),Skills!I32)/Skills!H32+0.000000001),1)</f>
        <v/>
      </c>
      <c r="H871">
        <f>1-(1-Skills!J32/100)^Skills!K32</f>
        <v/>
      </c>
      <c r="I871" t="inlineStr">
        <is>
          <t>1</t>
        </is>
      </c>
      <c r="J871" t="inlineStr"/>
      <c r="K871" t="inlineStr"/>
      <c r="L871" t="inlineStr"/>
      <c r="M871" t="inlineStr"/>
      <c r="N871" t="inlineStr"/>
      <c r="O871">
        <f>(1-Summary!$B$11)*T871+Summary!$B$11*V871</f>
        <v/>
      </c>
      <c r="P871">
        <f>IF(B884=0,0,O871/B884)</f>
        <v/>
      </c>
      <c r="Q871" t="n">
        <v>0</v>
      </c>
      <c r="R871" t="n">
        <v>0</v>
      </c>
      <c r="S871">
        <f>IFERROR(O871/N871,0)</f>
        <v/>
      </c>
      <c r="T871" t="n">
        <v>0</v>
      </c>
      <c r="V871" t="n">
        <v>0</v>
      </c>
    </row>
    <row r="873">
      <c r="A873" t="inlineStr">
        <is>
          <t>Attack% Bucket Multiplier</t>
        </is>
      </c>
      <c r="B873">
        <f>(1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4">
      <c r="A874" t="inlineStr">
        <is>
          <t>Global Crit Rate Bonus %</t>
        </is>
      </c>
      <c r="B874" t="n">
        <v>0</v>
      </c>
    </row>
    <row r="875">
      <c r="A875" t="inlineStr">
        <is>
          <t>Attack Speed Buff Bonus %</t>
        </is>
      </c>
      <c r="B875">
        <f>((C860=TRUE)*F860*IF(AND(Inputs!$B$38&lt;&gt;"pvp",Inputs!$B$43&gt;0),(((R860-1)*MIN((Skills!T21*(1+Inputs!$B$34/100)),(1/Q860))+MIN((Skills!T21*(1+Inputs!$B$34/100)),MAX(0,Inputs!$B$43-((R860-1)*(1/Q860)))))/Inputs!$B$43),IF(Inputs!$B$38="pvp",MIN((Skills!T21*(1+Inputs!$B$34/100)),15)/15,MIN(1,(Skills!T21*(1+Inputs!$B$34/100))/(1/Q860)))))</f>
        <v/>
      </c>
    </row>
    <row r="876">
      <c r="A876" t="inlineStr">
        <is>
          <t>Actions Per Second</t>
        </is>
      </c>
      <c r="B876">
        <f>1+MIN(150,150*(1-(1-(Inputs!$B$11+((C862=TRUE)*(F862-Calc!F23))+((C863=TRUE)*(F863-Calc!F24)))/150)*(1-B875/150)))/100</f>
        <v/>
      </c>
    </row>
    <row r="877">
      <c r="A877" t="inlineStr">
        <is>
          <t>Skill + Buff Cast Rate</t>
        </is>
      </c>
      <c r="B877">
        <f>IF(AND(Inputs!$B$38&lt;&gt;"pvp",Inputs!$B$43&gt;0),SUMPRODUCT((Skills!E2:E32=TRUE)*(C841:C871=TRUE)*R841:R871*Skills!F2:F32)/Inputs!$B$43,SUMPRODUCT((Skills!E2:E32=TRUE)*(C841:C871=TRUE)*Q841:Q871*Skills!F2:F32))</f>
        <v/>
      </c>
    </row>
    <row r="878">
      <c r="A878" t="inlineStr">
        <is>
          <t>Arrow Stream Casts Per Second</t>
        </is>
      </c>
      <c r="B878">
        <f>MAX(0,B876-B877)</f>
        <v/>
      </c>
    </row>
    <row r="879">
      <c r="A879" t="inlineStr">
        <is>
          <t>Global Critical Damage Bonus % (Sharp Eyes + Concentration)</t>
        </is>
      </c>
      <c r="B879">
        <f>(C857=TRUE)*F857*IF(AND(Inputs!$B$38&lt;&gt;"pvp",Inputs!$B$43&gt;0),(((R857-1)*MIN((Skills!T18*(1+Inputs!$B$34/100)),(1/Q857))+MIN((Skills!T18*(1+Inputs!$B$34/100)),MAX(0,Inputs!$B$43-((R857-1)*(1/Q857)))))/Inputs!$B$43),IF(Inputs!$B$38="pvp",MIN((Skills!T18*(1+Inputs!$B$34/100)),15)/15,MIN(1,(Skills!T18*(1+Inputs!$B$34/100))/(1/Q857))))+(C858=TRUE)*7*F858</f>
        <v/>
      </c>
    </row>
    <row r="880">
      <c r="A880" t="inlineStr">
        <is>
          <t>Global Final Damage Bonus % (Mortal Blow)</t>
        </is>
      </c>
      <c r="B880">
        <f>(C859=TRUE)*F859</f>
        <v/>
      </c>
    </row>
    <row r="881">
      <c r="A881" t="inlineStr">
        <is>
          <t>Buff-Casting Startup Delay (s, fixed-duration only)</t>
        </is>
      </c>
      <c r="B881">
        <f>IF(AND(Inputs!$B$38&lt;&gt;"pvp",Inputs!$B$43&gt;0),SUMPRODUCT((Skills!T2:T32&gt;0)*(Skills!E2:E32=TRUE)*(C841:C871=TRUE))/B876,0)</f>
        <v/>
      </c>
    </row>
    <row r="882">
      <c r="A882" t="inlineStr">
        <is>
          <t>Boss-Only Total DPS (this block's swept value)</t>
        </is>
      </c>
      <c r="B882">
        <f>SUM(T841:T871)</f>
        <v/>
      </c>
    </row>
    <row r="883">
      <c r="A883" t="inlineStr">
        <is>
          <t>Normal-Only Total DPS (this block's swept value)</t>
        </is>
      </c>
      <c r="B883">
        <f>SUM(V841:V871)</f>
        <v/>
      </c>
    </row>
    <row r="884">
      <c r="A884" s="6" t="inlineStr">
        <is>
          <t>TOTAL DPS</t>
        </is>
      </c>
      <c r="B884" s="6">
        <f>SUM(O841:O871)</f>
        <v/>
      </c>
    </row>
    <row r="887">
      <c r="A887" s="6" t="inlineStr">
        <is>
          <t>Stat: Skill Level Bonus — 2nd Job</t>
        </is>
      </c>
    </row>
    <row r="888">
      <c r="A888" s="5" t="inlineStr">
        <is>
          <t>Key</t>
        </is>
      </c>
      <c r="B888" s="5" t="inlineStr">
        <is>
          <t>Name</t>
        </is>
      </c>
      <c r="C888" s="5" t="inlineStr">
        <is>
          <t>Unlocked</t>
        </is>
      </c>
      <c r="D888" s="5" t="inlineStr">
        <is>
          <t>InputLevel</t>
        </is>
      </c>
      <c r="E888" s="5" t="inlineStr">
        <is>
          <t>Factor</t>
        </is>
      </c>
      <c r="F888" s="5" t="inlineStr">
        <is>
          <t>CoefficientPercent</t>
        </is>
      </c>
      <c r="G888" s="5" t="inlineStr">
        <is>
          <t>EffectiveHits</t>
        </is>
      </c>
      <c r="H888" s="5" t="inlineStr">
        <is>
          <t>ProcProbability</t>
        </is>
      </c>
      <c r="I888" s="5" t="inlineStr">
        <is>
          <t>MapleHeroMultiplier</t>
        </is>
      </c>
      <c r="J888" s="5" t="inlineStr">
        <is>
          <t>BaseDamage</t>
        </is>
      </c>
      <c r="K888" s="5" t="inlineStr">
        <is>
          <t>BaseHitDamage</t>
        </is>
      </c>
      <c r="L888" s="5" t="inlineStr">
        <is>
          <t>NonCritAvg</t>
        </is>
      </c>
      <c r="M888" s="5" t="inlineStr">
        <is>
          <t>CritAvg</t>
        </is>
      </c>
      <c r="N888" s="5" t="inlineStr">
        <is>
          <t>ExpectedDamage(perHit)</t>
        </is>
      </c>
      <c r="O888" s="5" t="inlineStr">
        <is>
          <t>DPS</t>
        </is>
      </c>
      <c r="P888" s="5" t="inlineStr">
        <is>
          <t>% of Total</t>
        </is>
      </c>
      <c r="Q888" s="5" t="inlineStr">
        <is>
          <t>InvCooldown</t>
        </is>
      </c>
      <c r="R888" s="5" t="inlineStr">
        <is>
          <t>CastsInFight</t>
        </is>
      </c>
      <c r="S888" s="5" t="inlineStr">
        <is>
          <t>HitRate(perSec)</t>
        </is>
      </c>
      <c r="U888" t="inlineStr">
        <is>
          <t>helpers</t>
        </is>
      </c>
    </row>
    <row r="889">
      <c r="A889">
        <f>Skills!A2</f>
        <v/>
      </c>
      <c r="B889">
        <f>Skills!B2</f>
        <v/>
      </c>
      <c r="C889">
        <f>Inputs!$B$3&gt;=100</f>
        <v/>
      </c>
      <c r="D889" t="inlineStr"/>
      <c r="E889" t="inlineStr"/>
      <c r="F889">
        <f>U891+Skills!O2</f>
        <v/>
      </c>
      <c r="G889">
        <f>Skills!G2*IF(Skills!H2&gt;0,INT(IF(Inputs!$B$38="pvp",MIN(Skills!I2,15),Skills!I2)/Skills!H2+0.000000001),1)</f>
        <v/>
      </c>
      <c r="H889">
        <f>1-(1-Skills!J2/100)^Skills!K2</f>
        <v/>
      </c>
      <c r="I889" t="inlineStr">
        <is>
          <t>1</t>
        </is>
      </c>
      <c r="J889">
        <f>((Inputs!$B$6*(1+Inputs!$B$7/100))+(((Inputs!$B$12*(1+Inputs!$B$13/100))-(Inputs!$B$12*(1+Inputs!$B$13/100)))+0.25*(Inputs!$B$14-Inputs!$B$14))*(1+Inputs!$B$7/100))*(F889/100)</f>
        <v/>
      </c>
      <c r="K889">
        <f>J889*(1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889)</f>
        <v/>
      </c>
      <c r="L889">
        <f>K889*(MIN(Inputs!$B$22+((C913=TRUE)*(F913-Calc!F26)),(Inputs!$B$23+((C918=TRUE)*(F918-Calc!F31))+(IF(ArtifactsInput!$M$15,CHOOSE(ArtifactsInput!$N$15+1,25,30,35,40,45,50)/100*(Inputs!$B$11-Inputs!$B$11),0))))/100+(Inputs!$B$23+((C918=TRUE)*(F918-Calc!F31))+(IF(ArtifactsInput!$M$15,CHOOSE(ArtifactsInput!$N$15+1,25,30,35,40,45,50)/100*(Inputs!$B$11-Inputs!$B$11),0)))/100)/2</f>
        <v/>
      </c>
      <c r="M889">
        <f>L889*(1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9">
        <f>L889*(1-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889*(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9">
        <f>(1-Summary!$B$11)*T889+Summary!$B$11*V889</f>
        <v/>
      </c>
      <c r="P889">
        <f>IF(B932=0,0,O889/B932)</f>
        <v/>
      </c>
      <c r="Q889" t="n">
        <v>0</v>
      </c>
      <c r="R889" t="n">
        <v>0</v>
      </c>
      <c r="S889">
        <f>IFERROR(O889/N889,0)</f>
        <v/>
      </c>
      <c r="T889">
        <f>IF(C889,(Skills!G2*N889*B926)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9">
        <f>MAX(0,(Inputs!$B$3-100)*3)+Inputs!$B$28+Inputs!$B$29</f>
        <v/>
      </c>
      <c r="V889">
        <f>IF(C889,(Skills!G2*N889*B926)*IF(Inputs!$B$38="pvp",1,(1+(Inputs!$B$21+Skills!Q2+(IF(ArtifactsInput!$M$33,CHOOSE(ArtifactsInput!$N$33+1,30,36,42,48,54,60),0))+(IF(AND(ArtifactsInput!$M$35,Inputs!$B$4&lt;&gt;"Chapter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0">
      <c r="A890">
        <f>Skills!A3</f>
        <v/>
      </c>
      <c r="B890">
        <f>Skills!B3</f>
        <v/>
      </c>
      <c r="C890">
        <f>Inputs!$B$3&gt;=50</f>
        <v/>
      </c>
      <c r="D890">
        <f>IF(Skills!C3=1,60+Inputs!$B$25+Inputs!$B$29,IF(Skills!C3=2,90+(Inputs!$B$26+1)+Inputs!$B$29,IF(Skills!C3=3,120+Inputs!$B$27+Inputs!$B$29,MAX(0,(Inputs!$B$3-100)*3)+Inputs!$B$28+Inputs!$B$29)))</f>
        <v/>
      </c>
      <c r="E890">
        <f>INDEX(FactorTable!$B$2:$Y$301, MATCH(ROUND(MIN(300,MAX(1,D890)),0), FactorTable!$A$2:$A$301,0), Skills!M3+1)</f>
        <v/>
      </c>
      <c r="F890">
        <f>IF(Skills!N3=TRUE,(Skills!L3/10)*(E890/1000),Skills!L3/10)+Skills!O3</f>
        <v/>
      </c>
      <c r="G890">
        <f>Skills!G3*IF(Skills!H3&gt;0,INT(IF(Inputs!$B$38="pvp",MIN(Skills!I3,15),Skills!I3)/Skills!H3+0.000000001),1)</f>
        <v/>
      </c>
      <c r="H890">
        <f>1-(1-Skills!J3/100)^Skills!K3</f>
        <v/>
      </c>
      <c r="I890" t="inlineStr">
        <is>
          <t>1</t>
        </is>
      </c>
      <c r="J890">
        <f>((Inputs!$B$6*(1+Inputs!$B$7/100))+(((Inputs!$B$12*(1+Inputs!$B$13/100))-(Inputs!$B$12*(1+Inputs!$B$13/100)))+0.25*(Inputs!$B$14-Inputs!$B$14))*(1+Inputs!$B$7/100))*(F890/100)</f>
        <v/>
      </c>
      <c r="K890">
        <f>J890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891=TRUE,F891,0)/100)*(1+(IF(Skills!A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913=TRUE)*(F913-Calc!F26)),(Inputs!$B$23+((C918=TRUE)*(F918-Calc!F31))+(IF(ArtifactsInput!$M$15,CHOOSE(ArtifactsInput!$N$15+1,25,30,35,40,45,50)/100*(Inputs!$B$11-Inputs!$B$11),0))))/100+(Inputs!$B$23+((C918=TRUE)*(F918-Calc!F31))+(IF(ArtifactsInput!$M$15,CHOOSE(ArtifactsInput!$N$15+1,25,30,35,40,45,50)/100*(Inputs!$B$11-Inputs!$B$11),0)))/100)/2</f>
        <v/>
      </c>
      <c r="M890">
        <f>L890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IF(B932=0,0,O890/B932)</f>
        <v/>
      </c>
      <c r="Q890">
        <f>IFERROR(1/(IF(Inputs!$B$38="pvp",15,MAX(0.1,1/B924-IF(FALSE=TRUE,Inputs!$B$32,0)))*(1-IF(AND(ArtifactsInput!$M$27,Inputs!$B$4="Chapter Hunt"),CHOOSE(ArtifactsInput!$N$27+1,20,24,28,32,36,40),0)/100)),0)</f>
        <v/>
      </c>
      <c r="R890">
        <f>IF(AND(Inputs!$B$38&lt;&gt;"pvp",Inputs!$B$43&gt;0),IF(MAX(0,Inputs!$B$43-B929)&lt;=0,0,(INT(MAX(0,Inputs!$B$43-B929)/(IF(Inputs!$B$38="pvp",15,MAX(0.1,1/B924-IF(FALSE=TRUE,Inputs!$B$32,0)))*(1-IF(AND(ArtifactsInput!$M$27,Inputs!$B$4="Chapter Hunt"),CHOOSE(ArtifactsInput!$N$27+1,20,24,28,32,36,40),0)/100)))+1)),0)</f>
        <v/>
      </c>
      <c r="S890">
        <f>IFERROR(O890/N890,0)</f>
        <v/>
      </c>
      <c r="T890">
        <f>IF(C890,(H890*N890*IF(AND(Inputs!$B$38&lt;&gt;"pvp",Inputs!$B$43&gt;0),((Skills!G3*((R890-1)*IF(Skills!H3&gt;0,INT(Skills!I3/Skills!H3+0.000000001),1)+IF(Skills!H3&gt;0,INT(MIN(Skills!I3,MAX(0,MAX(0,Inputs!$B$43-B929)-((R890-1)*(IF(Inputs!$B$38="pvp",15,MAX(0.1,1/B924-IF(FALSE=TRUE,Inputs!$B$32,0)))*(1-IF(AND(ArtifactsInput!$M$27,Inputs!$B$4="Chapter Hunt"),CHOOSE(ArtifactsInput!$N$27+1,20,24,28,32,36,40),0)/100)))))/Skills!H3+0.000000001),1)))/Inputs!$B$43),G890*Q890)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INDEX(FactorTable!$B$2:$Y$301, MATCH(ROUND(MIN(300,MAX(1,U889)),0), FactorTable!$A$2:$A$301,0), 22)</f>
        <v/>
      </c>
      <c r="V890">
        <f>IF(C890,(H890*N890*IF(AND(Inputs!$B$38&lt;&gt;"pvp",Inputs!$B$43&gt;0),((Skills!G3*((R890-1)*IF(Skills!H3&gt;0,INT(Skills!I3/Skills!H3+0.000000001),1)+IF(Skills!H3&gt;0,INT(MIN(Skills!I3,MAX(0,MAX(0,Inputs!$B$43-B929)-((R890-1)*(IF(Inputs!$B$38="pvp",15,MAX(0.1,1/B924-IF(FALSE=TRUE,Inputs!$B$32,0)))*(1-IF(AND(ArtifactsInput!$M$27,Inputs!$B$4="Chapter Hunt"),CHOOSE(ArtifactsInput!$N$27+1,20,24,28,32,36,40),0)/100)))))/Skills!H3+0.000000001),1)))/Inputs!$B$43),G890*Q890))*IF(Inputs!$B$38="pvp",1,(1+(Inputs!$B$21+Skills!Q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Skills!A4</f>
        <v/>
      </c>
      <c r="B891">
        <f>Skills!B4</f>
        <v/>
      </c>
      <c r="C891">
        <f>Inputs!$B$3&gt;=105</f>
        <v/>
      </c>
      <c r="D891">
        <f>IF(Skills!C4=1,60+Inputs!$B$25+Inputs!$B$29,IF(Skills!C4=2,90+(Inputs!$B$26+1)+Inputs!$B$29,IF(Skills!C4=3,120+Inputs!$B$27+Inputs!$B$29,MAX(0,(Inputs!$B$3-100)*3)+Inputs!$B$28+Inputs!$B$29)))</f>
        <v/>
      </c>
      <c r="E891">
        <f>INDEX(FactorTable!$B$2:$Y$301, MATCH(ROUND(MIN(300,MAX(1,D891)),0), FactorTable!$A$2:$A$301,0), Skills!M4+1)</f>
        <v/>
      </c>
      <c r="F891">
        <f>IF(Skills!N4=TRUE,(Skills!L4/10)*(E891/1000),Skills!L4/10)+Skills!O4</f>
        <v/>
      </c>
      <c r="G891" t="inlineStr"/>
      <c r="H891" t="inlineStr"/>
      <c r="I891" t="inlineStr">
        <is>
          <t>1</t>
        </is>
      </c>
      <c r="J891" t="inlineStr"/>
      <c r="K891" t="inlineStr"/>
      <c r="L891" t="inlineStr"/>
      <c r="M891" t="inlineStr"/>
      <c r="N891" t="inlineStr"/>
      <c r="O891" t="inlineStr"/>
      <c r="P891" t="inlineStr"/>
      <c r="Q891" t="inlineStr"/>
      <c r="R891" t="inlineStr"/>
      <c r="S891" t="inlineStr"/>
      <c r="T891" t="inlineStr"/>
      <c r="U891">
        <f>290*U890/1000</f>
        <v/>
      </c>
      <c r="V891" t="inlineStr"/>
    </row>
    <row r="892">
      <c r="A892">
        <f>Skills!A5</f>
        <v/>
      </c>
      <c r="B892">
        <f>Skills!B5</f>
        <v/>
      </c>
      <c r="C892">
        <f>Inputs!$B$3&gt;=35</f>
        <v/>
      </c>
      <c r="D892">
        <f>IF(Skills!C5=1,60+Inputs!$B$25+Inputs!$B$29,IF(Skills!C5=2,90+(Inputs!$B$26+1)+Inputs!$B$29,IF(Skills!C5=3,120+Inputs!$B$27+Inputs!$B$29,MAX(0,(Inputs!$B$3-100)*3)+Inputs!$B$28+Inputs!$B$29)))</f>
        <v/>
      </c>
      <c r="E892">
        <f>INDEX(FactorTable!$B$2:$Y$301, MATCH(ROUND(MIN(300,MAX(1,D892)),0), FactorTable!$A$2:$A$301,0), Skills!M5+1)</f>
        <v/>
      </c>
      <c r="F892">
        <f>IF(Skills!N5=TRUE,(Skills!L5/10)*(E892/1000),Skills!L5/10)+Skills!O5</f>
        <v/>
      </c>
      <c r="G892">
        <f>Skills!G5*IF(Skills!H5&gt;0,INT(IF(Inputs!$B$38="pvp",MIN(Skills!I5,15),Skills!I5)/Skills!H5+0.000000001),1)</f>
        <v/>
      </c>
      <c r="H892">
        <f>1-(1-Skills!J5/100)^Skills!K5</f>
        <v/>
      </c>
      <c r="I892" t="inlineStr">
        <is>
          <t>1</t>
        </is>
      </c>
      <c r="J892">
        <f>((Inputs!$B$6*(1+Inputs!$B$7/100))+(((Inputs!$B$12*(1+Inputs!$B$13/100))-(Inputs!$B$12*(1+Inputs!$B$13/100)))+0.25*(Inputs!$B$14-Inputs!$B$14))*(1+Inputs!$B$7/100))*(F892/100)</f>
        <v/>
      </c>
      <c r="K892">
        <f>J892*(1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899=TRUE,F899,0)/100)*(1+(IF(Skills!A5="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913=TRUE)*(F913-Calc!F26)),(Inputs!$B$23+((C918=TRUE)*(F918-Calc!F31))+(IF(ArtifactsInput!$M$15,CHOOSE(ArtifactsInput!$N$15+1,25,30,35,40,45,50)/100*(Inputs!$B$11-Inputs!$B$11),0))))/100+(Inputs!$B$23+((C918=TRUE)*(F918-Calc!F31))+(IF(ArtifactsInput!$M$15,CHOOSE(ArtifactsInput!$N$15+1,25,30,35,40,45,50)/100*(Inputs!$B$11-Inputs!$B$11),0)))/100)/2</f>
        <v/>
      </c>
      <c r="M892">
        <f>L892*(1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IF(B932=0,0,O892/B932)</f>
        <v/>
      </c>
      <c r="Q892">
        <f>IFERROR(1/(IF(Inputs!$B$38="pvp",15,MAX(0.1,Skills!D5-IF(TRUE=TRUE,Inputs!$B$32,0)))*(1-IF(AND(ArtifactsInput!$M$27,Inputs!$B$4="Chapter Hunt"),CHOOSE(ArtifactsInput!$N$27+1,20,24,28,32,36,40),0)/100)),0)</f>
        <v/>
      </c>
      <c r="R892">
        <f>IF(AND(Inputs!$B$38&lt;&gt;"pvp",Inputs!$B$43&gt;0),IF(MAX(0,Inputs!$B$43-B929)&lt;=0,0,(INT(MAX(0,Inputs!$B$43-B929)/(IF(Inputs!$B$38="pvp",15,MAX(0.1,Skills!D5-IF(TRUE=TRUE,Inputs!$B$32,0)))*(1-IF(AND(ArtifactsInput!$M$27,Inputs!$B$4="Chapter Hunt"),CHOOSE(ArtifactsInput!$N$27+1,20,24,28,32,36,40),0)/100)))+1)),0)</f>
        <v/>
      </c>
      <c r="S892">
        <f>IFERROR(O892/N892,0)</f>
        <v/>
      </c>
      <c r="T892">
        <f>IF(C892,(H892*N892*IF(AND(Inputs!$B$38&lt;&gt;"pvp",Inputs!$B$43&gt;0),((Skills!G5*((R892-1)*IF(Skills!H5&gt;0,INT(Skills!I5/Skills!H5+0.000000001),1)+IF(Skills!H5&gt;0,INT(MIN(Skills!I5,MAX(0,MAX(0,Inputs!$B$43-B929)-((R892-1)*(IF(Inputs!$B$38="pvp",15,MAX(0.1,Skills!D5-IF(TRUE=TRUE,Inputs!$B$32,0)))*(1-IF(AND(ArtifactsInput!$M$27,Inputs!$B$4="Chapter Hunt"),CHOOSE(ArtifactsInput!$N$27+1,20,24,28,32,36,40),0)/100)))))/Skills!H5+0.000000001),1)))/Inputs!$B$43),G892*Q892)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5*((R892-1)*IF(Skills!H5&gt;0,INT(Skills!I5/Skills!H5+0.000000001),1)+IF(Skills!H5&gt;0,INT(MIN(Skills!I5,MAX(0,MAX(0,Inputs!$B$43-B929)-((R892-1)*(IF(Inputs!$B$38="pvp",15,MAX(0.1,Skills!D5-IF(TRUE=TRUE,Inputs!$B$32,0)))*(1-IF(AND(ArtifactsInput!$M$27,Inputs!$B$4="Chapter Hunt"),CHOOSE(ArtifactsInput!$N$27+1,20,24,28,32,36,40),0)/100)))))/Skills!H5+0.000000001),1)))/Inputs!$B$43),G892*Q892))*IF(Inputs!$B$38="pvp",1,(1+(Inputs!$B$21+Skills!Q5+(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Skills!A6</f>
        <v/>
      </c>
      <c r="B893">
        <f>Skills!B6</f>
        <v/>
      </c>
      <c r="C893">
        <f>Inputs!$B$3&gt;=40</f>
        <v/>
      </c>
      <c r="D893">
        <f>IF(Skills!C6=1,60+Inputs!$B$25+Inputs!$B$29,IF(Skills!C6=2,90+(Inputs!$B$26+1)+Inputs!$B$29,IF(Skills!C6=3,120+Inputs!$B$27+Inputs!$B$29,MAX(0,(Inputs!$B$3-100)*3)+Inputs!$B$28+Inputs!$B$29)))</f>
        <v/>
      </c>
      <c r="E893">
        <f>INDEX(FactorTable!$B$2:$Y$301, MATCH(ROUND(MIN(300,MAX(1,D893)),0), FactorTable!$A$2:$A$301,0), Skills!M6+1)</f>
        <v/>
      </c>
      <c r="F893">
        <f>IF(Skills!N6=TRUE,(Skills!L6/10)*(E893/1000),Skills!L6/10)+Skills!O6</f>
        <v/>
      </c>
      <c r="G893">
        <f>Skills!G6*IF(Skills!H6&gt;0,INT(IF(Inputs!$B$38="pvp",MIN(Skills!I6,15),Skills!I6)/Skills!H6+0.000000001),1)</f>
        <v/>
      </c>
      <c r="H893">
        <f>1-(1-Skills!J6/100)^Skills!K6</f>
        <v/>
      </c>
      <c r="I893" t="inlineStr">
        <is>
          <t>1</t>
        </is>
      </c>
      <c r="J893">
        <f>((Inputs!$B$6*(1+Inputs!$B$7/100))+(((Inputs!$B$12*(1+Inputs!$B$13/100))-(Inputs!$B$12*(1+Inputs!$B$13/100)))+0.25*(Inputs!$B$14-Inputs!$B$14))*(1+Inputs!$B$7/100))*(F893/100)</f>
        <v/>
      </c>
      <c r="K893">
        <f>J893*(1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894=TRUE,F894,0)/100)*(1+(IF(Skills!A6="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913=TRUE)*(F913-Calc!F26)),(Inputs!$B$23+((C918=TRUE)*(F918-Calc!F31))+(IF(ArtifactsInput!$M$15,CHOOSE(ArtifactsInput!$N$15+1,25,30,35,40,45,50)/100*(Inputs!$B$11-Inputs!$B$11),0))))/100+(Inputs!$B$23+((C918=TRUE)*(F918-Calc!F31))+(IF(ArtifactsInput!$M$15,CHOOSE(ArtifactsInput!$N$15+1,25,30,35,40,45,50)/100*(Inputs!$B$11-Inputs!$B$11),0)))/100)/2</f>
        <v/>
      </c>
      <c r="M893">
        <f>L893*(1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IF(B932=0,0,O893/B932)</f>
        <v/>
      </c>
      <c r="Q893">
        <f>IFERROR(1/(IF(Inputs!$B$38="pvp",15,MAX(0.1,1-0.4*MIN(1,(B924-1)/1.5)-IF(FALSE=TRUE,Inputs!$B$32,0)))*(1-IF(AND(ArtifactsInput!$M$27,Inputs!$B$4="Chapter Hunt"),CHOOSE(ArtifactsInput!$N$27+1,20,24,28,32,36,40),0)/100)),0)</f>
        <v/>
      </c>
      <c r="R893">
        <f>IF(AND(Inputs!$B$38&lt;&gt;"pvp",Inputs!$B$43&gt;0),IF(MAX(0,Inputs!$B$43-B929)&lt;=0,0,(INT(MAX(0,Inputs!$B$43-B929)/(IF(Inputs!$B$38="pvp",15,MAX(0.1,1-0.4*MIN(1,(B924-1)/1.5)-IF(FALSE=TRUE,Inputs!$B$32,0)))*(1-IF(AND(ArtifactsInput!$M$27,Inputs!$B$4="Chapter Hunt"),CHOOSE(ArtifactsInput!$N$27+1,20,24,28,32,36,40),0)/100)))+1)),0)</f>
        <v/>
      </c>
      <c r="S893">
        <f>IFERROR(O893/N893,0)</f>
        <v/>
      </c>
      <c r="T893">
        <f>IF(C893,(H893*N893*IF(AND(Inputs!$B$38&lt;&gt;"pvp",Inputs!$B$43&gt;0),((Skills!G6*((R893-1)*IF(Skills!H6&gt;0,INT(Skills!I6/Skills!H6+0.000000001),1)+IF(Skills!H6&gt;0,INT(MIN(Skills!I6,MAX(0,MAX(0,Inputs!$B$43-B929)-((R893-1)*(IF(Inputs!$B$38="pvp",15,MAX(0.1,1-0.4*MIN(1,(B924-1)/1.5)-IF(FALSE=TRUE,Inputs!$B$32,0)))*(1-IF(AND(ArtifactsInput!$M$27,Inputs!$B$4="Chapter Hunt"),CHOOSE(ArtifactsInput!$N$27+1,20,24,28,32,36,40),0)/100)))))/Skills!H6+0.000000001),1)))/Inputs!$B$43),G893*Q893)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6*((R893-1)*IF(Skills!H6&gt;0,INT(Skills!I6/Skills!H6+0.000000001),1)+IF(Skills!H6&gt;0,INT(MIN(Skills!I6,MAX(0,MAX(0,Inputs!$B$43-B929)-((R893-1)*(IF(Inputs!$B$38="pvp",15,MAX(0.1,1-0.4*MIN(1,(B924-1)/1.5)-IF(FALSE=TRUE,Inputs!$B$32,0)))*(1-IF(AND(ArtifactsInput!$M$27,Inputs!$B$4="Chapter Hunt"),CHOOSE(ArtifactsInput!$N$27+1,20,24,28,32,36,40),0)/100)))))/Skills!H6+0.000000001),1)))/Inputs!$B$43),G893*Q893))*IF(Inputs!$B$38="pvp",1,(1+(Inputs!$B$21+Skills!Q6+(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Skills!A7</f>
        <v/>
      </c>
      <c r="B894">
        <f>Skills!B7</f>
        <v/>
      </c>
      <c r="C894">
        <f>Inputs!$B$3&gt;=107</f>
        <v/>
      </c>
      <c r="D894">
        <f>IF(Skills!C7=1,60+Inputs!$B$25+Inputs!$B$29,IF(Skills!C7=2,90+(Inputs!$B$26+1)+Inputs!$B$29,IF(Skills!C7=3,120+Inputs!$B$27+Inputs!$B$29,MAX(0,(Inputs!$B$3-100)*3)+Inputs!$B$28+Inputs!$B$29)))</f>
        <v/>
      </c>
      <c r="E894">
        <f>INDEX(FactorTable!$B$2:$Y$301, MATCH(ROUND(MIN(300,MAX(1,D894)),0), FactorTable!$A$2:$A$301,0), Skills!M7+1)</f>
        <v/>
      </c>
      <c r="F894">
        <f>IF(Skills!N7=TRUE,(Skills!L7/10)*(E894/1000),Skills!L7/10)+Skills!O7</f>
        <v/>
      </c>
      <c r="G894" t="inlineStr"/>
      <c r="H894" t="inlineStr"/>
      <c r="I894" t="inlineStr">
        <is>
          <t>1</t>
        </is>
      </c>
      <c r="J894" t="inlineStr"/>
      <c r="K894" t="inlineStr"/>
      <c r="L894" t="inlineStr"/>
      <c r="M894" t="inlineStr"/>
      <c r="N894" t="inlineStr"/>
      <c r="O894" t="inlineStr"/>
      <c r="P894" t="inlineStr"/>
      <c r="Q894" t="inlineStr"/>
      <c r="R894" t="inlineStr"/>
      <c r="S894" t="inlineStr"/>
      <c r="T894" t="inlineStr"/>
      <c r="V894" t="inlineStr"/>
    </row>
    <row r="895">
      <c r="A895">
        <f>Skills!A8</f>
        <v/>
      </c>
      <c r="B895">
        <f>Skills!B8</f>
        <v/>
      </c>
      <c r="C895">
        <f>Inputs!$B$3&gt;=130</f>
        <v/>
      </c>
      <c r="D895">
        <f>IF(Skills!C8=1,60+Inputs!$B$25+Inputs!$B$29,IF(Skills!C8=2,90+(Inputs!$B$26+1)+Inputs!$B$29,IF(Skills!C8=3,120+Inputs!$B$27+Inputs!$B$29,MAX(0,(Inputs!$B$3-100)*3)+Inputs!$B$28+Inputs!$B$29)))</f>
        <v/>
      </c>
      <c r="E895">
        <f>INDEX(FactorTable!$B$2:$Y$301, MATCH(ROUND(MIN(300,MAX(1,D895)),0), FactorTable!$A$2:$A$301,0), Skills!M8+1)</f>
        <v/>
      </c>
      <c r="F895">
        <f>IF(Skills!N8=TRUE,(Skills!L8/10)*(E895/1000),Skills!L8/10)+Skills!O8</f>
        <v/>
      </c>
      <c r="G895">
        <f>Skills!G8*IF(Skills!H8&gt;0,INT(IF(Inputs!$B$38="pvp",MIN(Skills!I8,15),Skills!I8)/Skills!H8+0.000000001),1)</f>
        <v/>
      </c>
      <c r="H895">
        <f>1-(1-Skills!J8/100)^Skills!K8</f>
        <v/>
      </c>
      <c r="I895" t="inlineStr">
        <is>
          <t>1</t>
        </is>
      </c>
      <c r="J895">
        <f>((Inputs!$B$6*(1+Inputs!$B$7/100))+(((Inputs!$B$12*(1+Inputs!$B$13/100))-(Inputs!$B$12*(1+Inputs!$B$13/100)))+0.25*(Inputs!$B$14-Inputs!$B$14))*(1+Inputs!$B$7/100))*(F895/100)</f>
        <v/>
      </c>
      <c r="K895">
        <f>J895*(1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913=TRUE)*(F913-Calc!F26)),(Inputs!$B$23+((C918=TRUE)*(F918-Calc!F31))+(IF(ArtifactsInput!$M$15,CHOOSE(ArtifactsInput!$N$15+1,25,30,35,40,45,50)/100*(Inputs!$B$11-Inputs!$B$11),0))))/100+(Inputs!$B$23+((C918=TRUE)*(F918-Calc!F31))+(IF(ArtifactsInput!$M$15,CHOOSE(ArtifactsInput!$N$15+1,25,30,35,40,45,50)/100*(Inputs!$B$11-Inputs!$B$11),0)))/100)/2</f>
        <v/>
      </c>
      <c r="M895">
        <f>L895*(1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IF(B932=0,0,O895/B932)</f>
        <v/>
      </c>
      <c r="Q895">
        <f>IFERROR(1/(IF(Inputs!$B$38="pvp",15,MAX(0.1,1-0.4*MIN(1,(B924-1)/1.5)-IF(FALSE=TRUE,Inputs!$B$32,0)))*(1-IF(AND(ArtifactsInput!$M$27,Inputs!$B$4="Chapter Hunt"),CHOOSE(ArtifactsInput!$N$27+1,20,24,28,32,36,40),0)/100)),0)</f>
        <v/>
      </c>
      <c r="R895">
        <f>IF(AND(Inputs!$B$38&lt;&gt;"pvp",Inputs!$B$43&gt;0),IF(MAX(0,Inputs!$B$43-B929)&lt;=0,0,(INT(MAX(0,Inputs!$B$43-B929)/(IF(Inputs!$B$38="pvp",15,MAX(0.1,1-0.4*MIN(1,(B924-1)/1.5)-IF(FALSE=TRUE,Inputs!$B$32,0)))*(1-IF(AND(ArtifactsInput!$M$27,Inputs!$B$4="Chapter Hunt"),CHOOSE(ArtifactsInput!$N$27+1,20,24,28,32,36,40),0)/100)))+1)),0)</f>
        <v/>
      </c>
      <c r="S895">
        <f>IFERROR(O895/N895,0)</f>
        <v/>
      </c>
      <c r="T895">
        <f>IF(C895,(H895*N895*IF(AND(Inputs!$B$38&lt;&gt;"pvp",Inputs!$B$43&gt;0),((Skills!G8*((R895-1)*IF(Skills!H8&gt;0,INT(Skills!I8/Skills!H8+0.000000001),1)+IF(Skills!H8&gt;0,INT(MIN(Skills!I8,MAX(0,MAX(0,Inputs!$B$43-B929)-((R895-1)*(IF(Inputs!$B$38="pvp",15,MAX(0.1,1-0.4*MIN(1,(B924-1)/1.5)-IF(FALSE=TRUE,Inputs!$B$32,0)))*(1-IF(AND(ArtifactsInput!$M$27,Inputs!$B$4="Chapter Hunt"),CHOOSE(ArtifactsInput!$N$27+1,20,24,28,32,36,40),0)/100)))))/Skills!H8+0.000000001),1)))/Inputs!$B$43),G895*Q895)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8*((R895-1)*IF(Skills!H8&gt;0,INT(Skills!I8/Skills!H8+0.000000001),1)+IF(Skills!H8&gt;0,INT(MIN(Skills!I8,MAX(0,MAX(0,Inputs!$B$43-B929)-((R895-1)*(IF(Inputs!$B$38="pvp",15,MAX(0.1,1-0.4*MIN(1,(B924-1)/1.5)-IF(FALSE=TRUE,Inputs!$B$32,0)))*(1-IF(AND(ArtifactsInput!$M$27,Inputs!$B$4="Chapter Hunt"),CHOOSE(ArtifactsInput!$N$27+1,20,24,28,32,36,40),0)/100)))))/Skills!H8+0.000000001),1)))/Inputs!$B$43),G895*Q895))*IF(Inputs!$B$38="pvp",1,(1+(Inputs!$B$21+Skills!Q8+(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Skills!A9</f>
        <v/>
      </c>
      <c r="B896">
        <f>Skills!B9</f>
        <v/>
      </c>
      <c r="C896">
        <f>Inputs!$B$3&gt;=69</f>
        <v/>
      </c>
      <c r="D896">
        <f>IF(Skills!C9=1,60+Inputs!$B$25+Inputs!$B$29,IF(Skills!C9=2,90+(Inputs!$B$26+1)+Inputs!$B$29,IF(Skills!C9=3,120+Inputs!$B$27+Inputs!$B$29,MAX(0,(Inputs!$B$3-100)*3)+Inputs!$B$28+Inputs!$B$29)))</f>
        <v/>
      </c>
      <c r="E896">
        <f>INDEX(FactorTable!$B$2:$Y$301, MATCH(ROUND(MIN(300,MAX(1,D896)),0), FactorTable!$A$2:$A$301,0), Skills!M9+1)</f>
        <v/>
      </c>
      <c r="F896">
        <f>IF(Skills!N9=TRUE,(Skills!L9/10)*(E896/1000),Skills!L9/10)+Skills!O9</f>
        <v/>
      </c>
      <c r="G896">
        <f>Skills!G9*IF(Skills!H9&gt;0,INT(IF(Inputs!$B$38="pvp",MIN(Skills!I9,15),Skills!I9)/Skills!H9+0.000000001),1)</f>
        <v/>
      </c>
      <c r="H896">
        <f>1-(1-Skills!J9/100)^Skills!K9</f>
        <v/>
      </c>
      <c r="I896" t="inlineStr">
        <is>
          <t>1</t>
        </is>
      </c>
      <c r="J896">
        <f>((Inputs!$B$6*(1+Inputs!$B$7/100))+(((Inputs!$B$12*(1+Inputs!$B$13/100))-(Inputs!$B$12*(1+Inputs!$B$13/100)))+0.25*(Inputs!$B$14-Inputs!$B$14))*(1+Inputs!$B$7/100))*(F896/100)</f>
        <v/>
      </c>
      <c r="K896">
        <f>J896*(1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899=TRUE,F899,0)/100)*(1+(IF(Skills!A9="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913=TRUE)*(F913-Calc!F26)),(Inputs!$B$23+((C918=TRUE)*(F918-Calc!F31))+(IF(ArtifactsInput!$M$15,CHOOSE(ArtifactsInput!$N$15+1,25,30,35,40,45,50)/100*(Inputs!$B$11-Inputs!$B$11),0))))/100+(Inputs!$B$23+((C918=TRUE)*(F918-Calc!F31))+(IF(ArtifactsInput!$M$15,CHOOSE(ArtifactsInput!$N$15+1,25,30,35,40,45,50)/100*(Inputs!$B$11-Inputs!$B$11),0)))/100)/2</f>
        <v/>
      </c>
      <c r="M896">
        <f>L896*(1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IF(B932=0,0,O896/B932)</f>
        <v/>
      </c>
      <c r="Q896">
        <f>IFERROR(1/(IF(Inputs!$B$38="pvp",15,MAX(0.1,Skills!D9-IF(TRUE=TRUE,Inputs!$B$32,0)))*(1-IF(AND(ArtifactsInput!$M$27,Inputs!$B$4="Chapter Hunt"),CHOOSE(ArtifactsInput!$N$27+1,20,24,28,32,36,40),0)/100)),0)</f>
        <v/>
      </c>
      <c r="R896">
        <f>IF(AND(Inputs!$B$38&lt;&gt;"pvp",Inputs!$B$43&gt;0),IF(MAX(0,Inputs!$B$43-B929)&lt;=0,0,(INT(MAX(0,Inputs!$B$43-B929)/(IF(Inputs!$B$38="pvp",15,MAX(0.1,Skills!D9-IF(TRUE=TRUE,Inputs!$B$32,0)))*(1-IF(AND(ArtifactsInput!$M$27,Inputs!$B$4="Chapter Hunt"),CHOOSE(ArtifactsInput!$N$27+1,20,24,28,32,36,40),0)/100)))+1)),0)</f>
        <v/>
      </c>
      <c r="S896">
        <f>IFERROR(O896/N896,0)</f>
        <v/>
      </c>
      <c r="T896">
        <f>IF(C896,(H896*N896*IF(AND(Inputs!$B$38&lt;&gt;"pvp",Inputs!$B$43&gt;0),((Skills!G9*((R896-1)*IF(Skills!H9&gt;0,INT(Skills!I9/Skills!H9+0.000000001),1)+IF(Skills!H9&gt;0,INT(MIN(Skills!I9,MAX(0,MAX(0,Inputs!$B$43-B929)-((R896-1)*(IF(Inputs!$B$38="pvp",15,MAX(0.1,Skills!D9-IF(TRUE=TRUE,Inputs!$B$32,0)))*(1-IF(AND(ArtifactsInput!$M$27,Inputs!$B$4="Chapter Hunt"),CHOOSE(ArtifactsInput!$N$27+1,20,24,28,32,36,40),0)/100)))))/Skills!H9+0.000000001),1)))/Inputs!$B$43),G896*Q896)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9*((R896-1)*IF(Skills!H9&gt;0,INT(Skills!I9/Skills!H9+0.000000001),1)+IF(Skills!H9&gt;0,INT(MIN(Skills!I9,MAX(0,MAX(0,Inputs!$B$43-B929)-((R896-1)*(IF(Inputs!$B$38="pvp",15,MAX(0.1,Skills!D9-IF(TRUE=TRUE,Inputs!$B$32,0)))*(1-IF(AND(ArtifactsInput!$M$27,Inputs!$B$4="Chapter Hunt"),CHOOSE(ArtifactsInput!$N$27+1,20,24,28,32,36,40),0)/100)))))/Skills!H9+0.000000001),1)))/Inputs!$B$43),G896*Q896))*IF(Inputs!$B$38="pvp",1,(1+(Inputs!$B$21+Skills!Q9+(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Skills!A10</f>
        <v/>
      </c>
      <c r="B897">
        <f>Skills!B10</f>
        <v/>
      </c>
      <c r="C897">
        <f>Inputs!$B$3&gt;=63</f>
        <v/>
      </c>
      <c r="D897">
        <f>IF(Skills!C10=1,60+Inputs!$B$25+Inputs!$B$29,IF(Skills!C10=2,90+(Inputs!$B$26+1)+Inputs!$B$29,IF(Skills!C10=3,120+Inputs!$B$27+Inputs!$B$29,MAX(0,(Inputs!$B$3-100)*3)+Inputs!$B$28+Inputs!$B$29)))</f>
        <v/>
      </c>
      <c r="E897">
        <f>INDEX(FactorTable!$B$2:$Y$301, MATCH(ROUND(MIN(300,MAX(1,D897)),0), FactorTable!$A$2:$A$301,0), Skills!M10+1)</f>
        <v/>
      </c>
      <c r="F897">
        <f>IF(Skills!N10=TRUE,(Skills!L10/10)*(E897/1000),Skills!L10/10)+Skills!O10</f>
        <v/>
      </c>
      <c r="G897">
        <f>Skills!G10*IF(Skills!H10&gt;0,INT(IF(Inputs!$B$38="pvp",MIN(Skills!I10,15),Skills!I10)/Skills!H10+0.000000001),1)</f>
        <v/>
      </c>
      <c r="H897">
        <f>1-(1-Skills!J10/100)^Skills!K10</f>
        <v/>
      </c>
      <c r="I897" t="inlineStr">
        <is>
          <t>1</t>
        </is>
      </c>
      <c r="J897">
        <f>((Inputs!$B$6*(1+Inputs!$B$7/100))+(((Inputs!$B$12*(1+Inputs!$B$13/100))-(Inputs!$B$12*(1+Inputs!$B$13/100)))+0.25*(Inputs!$B$14-Inputs!$B$14))*(1+Inputs!$B$7/100))*(F897/100)</f>
        <v/>
      </c>
      <c r="K897">
        <f>J897*(1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899=TRUE,F899,0)/100)*(1+(IF(Skills!A10="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913=TRUE)*(F913-Calc!F26)),(Inputs!$B$23+((C918=TRUE)*(F918-Calc!F31))+(IF(ArtifactsInput!$M$15,CHOOSE(ArtifactsInput!$N$15+1,25,30,35,40,45,50)/100*(Inputs!$B$11-Inputs!$B$11),0))))/100+(Inputs!$B$23+((C918=TRUE)*(F918-Calc!F31))+(IF(ArtifactsInput!$M$15,CHOOSE(ArtifactsInput!$N$15+1,25,30,35,40,45,50)/100*(Inputs!$B$11-Inputs!$B$11),0)))/100)/2</f>
        <v/>
      </c>
      <c r="M897">
        <f>L897*(1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IF(B932=0,0,O897/B932)</f>
        <v/>
      </c>
      <c r="Q897">
        <f>IFERROR(1/(IF(Inputs!$B$38="pvp",15,MAX(0.1,Skills!D10-IF(TRUE=TRUE,Inputs!$B$32,0)))*(1-IF(AND(ArtifactsInput!$M$27,Inputs!$B$4="Chapter Hunt"),CHOOSE(ArtifactsInput!$N$27+1,20,24,28,32,36,40),0)/100)),0)</f>
        <v/>
      </c>
      <c r="R897">
        <f>IF(AND(Inputs!$B$38&lt;&gt;"pvp",Inputs!$B$43&gt;0),IF(MAX(0,Inputs!$B$43-B929)&lt;=0,0,(INT(MAX(0,Inputs!$B$43-B929)/(IF(Inputs!$B$38="pvp",15,MAX(0.1,Skills!D10-IF(TRUE=TRUE,Inputs!$B$32,0)))*(1-IF(AND(ArtifactsInput!$M$27,Inputs!$B$4="Chapter Hunt"),CHOOSE(ArtifactsInput!$N$27+1,20,24,28,32,36,40),0)/100)))+1)),0)</f>
        <v/>
      </c>
      <c r="S897">
        <f>IFERROR(O897/N897,0)</f>
        <v/>
      </c>
      <c r="T897">
        <f>IF(C897,(H897*N897*IF(AND(Inputs!$B$38&lt;&gt;"pvp",Inputs!$B$43&gt;0),((Skills!G10*((R897-1)*IF(Skills!H10&gt;0,INT(Skills!I10/Skills!H10+0.000000001),1)+IF(Skills!H10&gt;0,INT(MIN(Skills!I10,MAX(0,MAX(0,Inputs!$B$43-B929)-((R897-1)*(IF(Inputs!$B$38="pvp",15,MAX(0.1,Skills!D10-IF(TRUE=TRUE,Inputs!$B$32,0)))*(1-IF(AND(ArtifactsInput!$M$27,Inputs!$B$4="Chapter Hunt"),CHOOSE(ArtifactsInput!$N$27+1,20,24,28,32,36,40),0)/100)))))/Skills!H10+0.000000001),1)))/Inputs!$B$43),G897*Q897)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10*((R897-1)*IF(Skills!H10&gt;0,INT(Skills!I10/Skills!H10+0.000000001),1)+IF(Skills!H10&gt;0,INT(MIN(Skills!I10,MAX(0,MAX(0,Inputs!$B$43-B929)-((R897-1)*(IF(Inputs!$B$38="pvp",15,MAX(0.1,Skills!D10-IF(TRUE=TRUE,Inputs!$B$32,0)))*(1-IF(AND(ArtifactsInput!$M$27,Inputs!$B$4="Chapter Hunt"),CHOOSE(ArtifactsInput!$N$27+1,20,24,28,32,36,40),0)/100)))))/Skills!H10+0.000000001),1)))/Inputs!$B$43),G897*Q897))*IF(Inputs!$B$38="pvp",1,(1+(Inputs!$B$21+Skills!Q10+(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Skills!A11</f>
        <v/>
      </c>
      <c r="B898">
        <f>Skills!B11</f>
        <v/>
      </c>
      <c r="C898">
        <f>Inputs!$B$3&gt;=103</f>
        <v/>
      </c>
      <c r="D898">
        <f>IF(Skills!C11=1,60+Inputs!$B$25+Inputs!$B$29,IF(Skills!C11=2,90+(Inputs!$B$26+1)+Inputs!$B$29,IF(Skills!C11=3,120+Inputs!$B$27+Inputs!$B$29,MAX(0,(Inputs!$B$3-100)*3)+Inputs!$B$28+Inputs!$B$29)))</f>
        <v/>
      </c>
      <c r="E898">
        <f>INDEX(FactorTable!$B$2:$Y$301, MATCH(ROUND(MIN(300,MAX(1,D898)),0), FactorTable!$A$2:$A$301,0), Skills!M11+1)</f>
        <v/>
      </c>
      <c r="F898">
        <f>IF(Skills!N11=TRUE,(Skills!L11/10)*(E898/1000),Skills!L11/10)+Skills!O11</f>
        <v/>
      </c>
      <c r="G898">
        <f>Skills!G11*IF(Skills!H11&gt;0,INT(IF(Inputs!$B$38="pvp",MIN(Skills!I11,15),Skills!I11)/Skills!H11+0.000000001),1)</f>
        <v/>
      </c>
      <c r="H898">
        <f>1-(1-Skills!J11/100)^Skills!K11</f>
        <v/>
      </c>
      <c r="I898" t="inlineStr">
        <is>
          <t>1</t>
        </is>
      </c>
      <c r="J898">
        <f>((Inputs!$B$6*(1+Inputs!$B$7/100))+(((Inputs!$B$12*(1+Inputs!$B$13/100))-(Inputs!$B$12*(1+Inputs!$B$13/100)))+0.25*(Inputs!$B$14-Inputs!$B$14))*(1+Inputs!$B$7/100))*(F898/100)</f>
        <v/>
      </c>
      <c r="K898">
        <f>J898*(1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913=TRUE)*(F913-Calc!F26)),(Inputs!$B$23+((C918=TRUE)*(F918-Calc!F31))+(IF(ArtifactsInput!$M$15,CHOOSE(ArtifactsInput!$N$15+1,25,30,35,40,45,50)/100*(Inputs!$B$11-Inputs!$B$11),0))))/100+(Inputs!$B$23+((C918=TRUE)*(F918-Calc!F31))+(IF(ArtifactsInput!$M$15,CHOOSE(ArtifactsInput!$N$15+1,25,30,35,40,45,50)/100*(Inputs!$B$11-Inputs!$B$11),0)))/100)/2</f>
        <v/>
      </c>
      <c r="M898">
        <f>L898*(1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IF(B932=0,0,O898/B932)</f>
        <v/>
      </c>
      <c r="Q898">
        <f>IFERROR(1/(IF(Inputs!$B$38="pvp",15,MAX(0.1,Skills!D11-IF(TRUE=TRUE,Inputs!$B$32,0)))*(1-IF(AND(ArtifactsInput!$M$27,Inputs!$B$4="Chapter Hunt"),CHOOSE(ArtifactsInput!$N$27+1,20,24,28,32,36,40),0)/100)),0)</f>
        <v/>
      </c>
      <c r="R898">
        <f>IF(AND(Inputs!$B$38&lt;&gt;"pvp",Inputs!$B$43&gt;0),IF(MAX(0,Inputs!$B$43-B929)&lt;=0,0,(INT(MAX(0,Inputs!$B$43-B929)/(IF(Inputs!$B$38="pvp",15,MAX(0.1,Skills!D11-IF(TRUE=TRUE,Inputs!$B$32,0)))*(1-IF(AND(ArtifactsInput!$M$27,Inputs!$B$4="Chapter Hunt"),CHOOSE(ArtifactsInput!$N$27+1,20,24,28,32,36,40),0)/100)))+1)),0)</f>
        <v/>
      </c>
      <c r="S898">
        <f>IFERROR(O898/N898,0)</f>
        <v/>
      </c>
      <c r="T898">
        <f>IF(C898,(H898*N898*IF(AND(Inputs!$B$38&lt;&gt;"pvp",Inputs!$B$43&gt;0),((Skills!G11*((R898-1)*IF(Skills!H11&gt;0,INT(Skills!I11/Skills!H11+0.000000001),1)+IF(Skills!H11&gt;0,INT(MIN(Skills!I11,MAX(0,MAX(0,Inputs!$B$43-B929)-((R898-1)*(IF(Inputs!$B$38="pvp",15,MAX(0.1,Skills!D11-IF(TRUE=TRUE,Inputs!$B$32,0)))*(1-IF(AND(ArtifactsInput!$M$27,Inputs!$B$4="Chapter Hunt"),CHOOSE(ArtifactsInput!$N$27+1,20,24,28,32,36,40),0)/100)))))/Skills!H11+0.000000001),1)))/Inputs!$B$43),G898*Q898)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11*((R898-1)*IF(Skills!H11&gt;0,INT(Skills!I11/Skills!H11+0.000000001),1)+IF(Skills!H11&gt;0,INT(MIN(Skills!I11,MAX(0,MAX(0,Inputs!$B$43-B929)-((R898-1)*(IF(Inputs!$B$38="pvp",15,MAX(0.1,Skills!D11-IF(TRUE=TRUE,Inputs!$B$32,0)))*(1-IF(AND(ArtifactsInput!$M$27,Inputs!$B$4="Chapter Hunt"),CHOOSE(ArtifactsInput!$N$27+1,20,24,28,32,36,40),0)/100)))))/Skills!H11+0.000000001),1)))/Inputs!$B$43),G898*Q898))*IF(Inputs!$B$38="pvp",1,(1+(Inputs!$B$21+Skills!Q11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Skills!A12</f>
        <v/>
      </c>
      <c r="B899">
        <f>Skills!B12</f>
        <v/>
      </c>
      <c r="C899">
        <f>Inputs!$B$3&gt;=100</f>
        <v/>
      </c>
      <c r="D899">
        <f>IF(Skills!C12=1,60+Inputs!$B$25+Inputs!$B$29,IF(Skills!C12=2,90+(Inputs!$B$26+1)+Inputs!$B$29,IF(Skills!C12=3,120+Inputs!$B$27+Inputs!$B$29,MAX(0,(Inputs!$B$3-100)*3)+Inputs!$B$28+Inputs!$B$29)))</f>
        <v/>
      </c>
      <c r="E899">
        <f>INDEX(FactorTable!$B$2:$Y$301, MATCH(ROUND(MIN(300,MAX(1,D899)),0), FactorTable!$A$2:$A$301,0), Skills!M12+1)</f>
        <v/>
      </c>
      <c r="F899">
        <f>IF(Skills!N12=TRUE,(Skills!L12/10)*(E899/1000),Skills!L12/10)+Skills!O12</f>
        <v/>
      </c>
      <c r="G899" t="inlineStr"/>
      <c r="H899" t="inlineStr"/>
      <c r="I899" t="inlineStr">
        <is>
          <t>1</t>
        </is>
      </c>
      <c r="J899" t="inlineStr"/>
      <c r="K899" t="inlineStr"/>
      <c r="L899" t="inlineStr"/>
      <c r="M899" t="inlineStr"/>
      <c r="N899" t="inlineStr"/>
      <c r="O899" t="inlineStr"/>
      <c r="P899" t="inlineStr"/>
      <c r="Q899" t="inlineStr"/>
      <c r="R899" t="inlineStr"/>
      <c r="S899" t="inlineStr"/>
      <c r="T899" t="inlineStr"/>
      <c r="V899" t="inlineStr"/>
    </row>
    <row r="900">
      <c r="A900">
        <f>Skills!A13</f>
        <v/>
      </c>
      <c r="B900">
        <f>Skills!B13</f>
        <v/>
      </c>
      <c r="C900">
        <f>Inputs!$B$3&gt;=60</f>
        <v/>
      </c>
      <c r="D900">
        <f>IF(Skills!C13=1,60+Inputs!$B$25+Inputs!$B$29,IF(Skills!C13=2,90+(Inputs!$B$26+1)+Inputs!$B$29,IF(Skills!C13=3,120+Inputs!$B$27+Inputs!$B$29,MAX(0,(Inputs!$B$3-100)*3)+Inputs!$B$28+Inputs!$B$29)))</f>
        <v/>
      </c>
      <c r="E900">
        <f>INDEX(FactorTable!$B$2:$Y$301, MATCH(ROUND(MIN(300,MAX(1,D900)),0), FactorTable!$A$2:$A$301,0), Skills!M13+1)</f>
        <v/>
      </c>
      <c r="F900">
        <f>IF(Skills!N13=TRUE,(Skills!L13/10)*(E900/1000),Skills!L13/10)+Skills!O13</f>
        <v/>
      </c>
      <c r="G900">
        <f>Skills!G13*IF(Skills!H13&gt;0,INT(IF(Inputs!$B$38="pvp",MIN(Skills!I13,15),Skills!I13)/Skills!H13+0.000000001),1)</f>
        <v/>
      </c>
      <c r="H900">
        <f>1-(1-Skills!J13/100)^Skills!K13</f>
        <v/>
      </c>
      <c r="I900" t="inlineStr">
        <is>
          <t>1</t>
        </is>
      </c>
      <c r="J900">
        <f>((Inputs!$B$6*(1+Inputs!$B$7/100))+(((Inputs!$B$12*(1+Inputs!$B$13/100))-(Inputs!$B$12*(1+Inputs!$B$13/100)))+0.25*(Inputs!$B$14-Inputs!$B$14))*(1+Inputs!$B$7/100))*(F900/100)</f>
        <v/>
      </c>
      <c r="K900">
        <f>J900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901=TRUE,F901,0)/100)*(1+(IF(Skills!A13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913=TRUE)*(F913-Calc!F26)),(Inputs!$B$23+((C918=TRUE)*(F918-Calc!F31))+(IF(ArtifactsInput!$M$15,CHOOSE(ArtifactsInput!$N$15+1,25,30,35,40,45,50)/100*(Inputs!$B$11-Inputs!$B$11),0))))/100+(Inputs!$B$23+((C918=TRUE)*(F918-Calc!F31))+(IF(ArtifactsInput!$M$15,CHOOSE(ArtifactsInput!$N$15+1,25,30,35,40,45,50)/100*(Inputs!$B$11-Inputs!$B$11),0)))/100)/2</f>
        <v/>
      </c>
      <c r="M900">
        <f>L900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IF(B932=0,0,O900/B932)</f>
        <v/>
      </c>
      <c r="Q900">
        <f>IFERROR(1/(IF(Inputs!$B$38="pvp",15,MAX(0.1,IF(Inputs!$B$3&gt;=122,3,5)+1/(((20+30*(B924-1)*100/150)/100)*B924)-IF(FALSE=TRUE,Inputs!$B$32,0)))*(1-IF(AND(ArtifactsInput!$M$27,Inputs!$B$4="Chapter Hunt"),CHOOSE(ArtifactsInput!$N$27+1,20,24,28,32,36,40),0)/100)),0)</f>
        <v/>
      </c>
      <c r="R900">
        <f>IF(AND(Inputs!$B$38&lt;&gt;"pvp",Inputs!$B$43&gt;0),IF(MAX(0,Inputs!$B$43-B929)&lt;=0,0,(INT(MAX(0,Inputs!$B$43-B929)/(IF(Inputs!$B$38="pvp",15,MAX(0.1,IF(Inputs!$B$3&gt;=122,3,5)+1/(((20+30*(B924-1)*100/150)/100)*B924)-IF(FALSE=TRUE,Inputs!$B$32,0)))*(1-IF(AND(ArtifactsInput!$M$27,Inputs!$B$4="Chapter Hunt"),CHOOSE(ArtifactsInput!$N$27+1,20,24,28,32,36,40),0)/100)))+1)),0)</f>
        <v/>
      </c>
      <c r="S900">
        <f>IFERROR(O900/N900,0)</f>
        <v/>
      </c>
      <c r="T900">
        <f>IF(C900,(H900*N900*IF(AND(Inputs!$B$38&lt;&gt;"pvp",Inputs!$B$43&gt;0),((Skills!G13*((R900-1)*IF(Skills!H13&gt;0,INT(Skills!I13/Skills!H13+0.000000001),1)+IF(Skills!H13&gt;0,INT(MIN(Skills!I13,MAX(0,MAX(0,Inputs!$B$43-B929)-((R900-1)*(IF(Inputs!$B$38="pvp",15,MAX(0.1,IF(Inputs!$B$3&gt;=122,3,5)+1/(((20+30*(B924-1)*100/150)/100)*B924)-IF(FALSE=TRUE,Inputs!$B$32,0)))*(1-IF(AND(ArtifactsInput!$M$27,Inputs!$B$4="Chapter Hunt"),CHOOSE(ArtifactsInput!$N$27+1,20,24,28,32,36,40),0)/100)))))/Skills!H13+0.000000001),1)))/Inputs!$B$43),G900*Q900)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13*((R900-1)*IF(Skills!H13&gt;0,INT(Skills!I13/Skills!H13+0.000000001),1)+IF(Skills!H13&gt;0,INT(MIN(Skills!I13,MAX(0,MAX(0,Inputs!$B$43-B929)-((R900-1)*(IF(Inputs!$B$38="pvp",15,MAX(0.1,IF(Inputs!$B$3&gt;=122,3,5)+1/(((20+30*(B924-1)*100/150)/100)*B924)-IF(FALSE=TRUE,Inputs!$B$32,0)))*(1-IF(AND(ArtifactsInput!$M$27,Inputs!$B$4="Chapter Hunt"),CHOOSE(ArtifactsInput!$N$27+1,20,24,28,32,36,40),0)/100)))))/Skills!H13+0.000000001),1)))/Inputs!$B$43),G900*Q900))*IF(Inputs!$B$38="pvp",1,(1+(Inputs!$B$21+Skills!Q13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Skills!A14</f>
        <v/>
      </c>
      <c r="B901">
        <f>Skills!B14</f>
        <v/>
      </c>
      <c r="C901">
        <f>Inputs!$B$3&gt;=110</f>
        <v/>
      </c>
      <c r="D901">
        <f>IF(Skills!C14=1,60+Inputs!$B$25+Inputs!$B$29,IF(Skills!C14=2,90+(Inputs!$B$26+1)+Inputs!$B$29,IF(Skills!C14=3,120+Inputs!$B$27+Inputs!$B$29,MAX(0,(Inputs!$B$3-100)*3)+Inputs!$B$28+Inputs!$B$29)))</f>
        <v/>
      </c>
      <c r="E901">
        <f>INDEX(FactorTable!$B$2:$Y$301, MATCH(ROUND(MIN(300,MAX(1,D901)),0), FactorTable!$A$2:$A$301,0), Skills!M14+1)</f>
        <v/>
      </c>
      <c r="F901">
        <f>IF(Skills!N14=TRUE,(Skills!L14/10)*(E901/1000),Skills!L14/10)+Skills!O14</f>
        <v/>
      </c>
      <c r="G901" t="inlineStr"/>
      <c r="H901" t="inlineStr"/>
      <c r="I901" t="inlineStr">
        <is>
          <t>1</t>
        </is>
      </c>
      <c r="J901" t="inlineStr"/>
      <c r="K901" t="inlineStr"/>
      <c r="L901" t="inlineStr"/>
      <c r="M901" t="inlineStr"/>
      <c r="N901" t="inlineStr"/>
      <c r="O901" t="inlineStr"/>
      <c r="P901" t="inlineStr"/>
      <c r="Q901" t="inlineStr"/>
      <c r="R901" t="inlineStr"/>
      <c r="S901" t="inlineStr"/>
      <c r="T901" t="inlineStr"/>
      <c r="V901" t="inlineStr"/>
    </row>
    <row r="902">
      <c r="A902">
        <f>Skills!A15</f>
        <v/>
      </c>
      <c r="B902">
        <f>Skills!B15</f>
        <v/>
      </c>
      <c r="C902">
        <f>Inputs!$B$3&gt;=74</f>
        <v/>
      </c>
      <c r="D902">
        <f>IF(Skills!C15=1,60+Inputs!$B$25+Inputs!$B$29,IF(Skills!C15=2,90+(Inputs!$B$26+1)+Inputs!$B$29,IF(Skills!C15=3,120+Inputs!$B$27+Inputs!$B$29,MAX(0,(Inputs!$B$3-100)*3)+Inputs!$B$28+Inputs!$B$29)))</f>
        <v/>
      </c>
      <c r="E902">
        <f>INDEX(FactorTable!$B$2:$Y$301, MATCH(ROUND(MIN(300,MAX(1,D902)),0), FactorTable!$A$2:$A$301,0), Skills!M15+1)</f>
        <v/>
      </c>
      <c r="F902">
        <f>IF(Skills!N15=TRUE,(Skills!L15/10)*(E902/1000),Skills!L15/10)+Skills!O15</f>
        <v/>
      </c>
      <c r="G902">
        <f>Skills!G15*IF(Skills!H15&gt;0,INT(IF(Inputs!$B$38="pvp",MIN(Skills!I15,15),Skills!I15)/Skills!H15+0.000000001),1)</f>
        <v/>
      </c>
      <c r="H902">
        <f>1-(1-Skills!J15/100)^Skills!K15</f>
        <v/>
      </c>
      <c r="I902" t="inlineStr">
        <is>
          <t>1</t>
        </is>
      </c>
      <c r="J902" t="inlineStr"/>
      <c r="K902" t="inlineStr"/>
      <c r="L902" t="inlineStr"/>
      <c r="M902" t="inlineStr"/>
      <c r="N902" t="inlineStr"/>
      <c r="O902">
        <f>(1-Summary!$B$11)*T902+Summary!$B$11*V902</f>
        <v/>
      </c>
      <c r="P902">
        <f>IF(B932=0,0,O902/B932)</f>
        <v/>
      </c>
      <c r="Q902" t="n">
        <v>0</v>
      </c>
      <c r="R902" t="n">
        <v>0</v>
      </c>
      <c r="S902">
        <f>IFERROR(O902/N902,0)</f>
        <v/>
      </c>
      <c r="T902" t="n">
        <v>0</v>
      </c>
      <c r="V902" t="n">
        <v>0</v>
      </c>
    </row>
    <row r="903">
      <c r="A903">
        <f>Skills!A16</f>
        <v/>
      </c>
      <c r="B903">
        <f>Skills!B16</f>
        <v/>
      </c>
      <c r="C903">
        <f>Inputs!$B$3&gt;=74</f>
        <v/>
      </c>
      <c r="D903">
        <f>IF(Skills!C16=1,60+Inputs!$B$25+Inputs!$B$29,IF(Skills!C16=2,90+(Inputs!$B$26+1)+Inputs!$B$29,IF(Skills!C16=3,120+Inputs!$B$27+Inputs!$B$29,MAX(0,(Inputs!$B$3-100)*3)+Inputs!$B$28+Inputs!$B$29)))</f>
        <v/>
      </c>
      <c r="E903">
        <f>INDEX(FactorTable!$B$2:$Y$301, MATCH(ROUND(MIN(300,MAX(1,D903)),0), FactorTable!$A$2:$A$301,0), Skills!M16+1)</f>
        <v/>
      </c>
      <c r="F903">
        <f>IF(Skills!N16=TRUE,(Skills!L16/10)*(E903/1000),Skills!L16/10)+Skills!O16</f>
        <v/>
      </c>
      <c r="G903">
        <f>Skills!G16*IF(Skills!H16&gt;0,INT(IF(Inputs!$B$38="pvp",MIN(Skills!I16,15),Skills!I16)/Skills!H16+0.000000001),1)</f>
        <v/>
      </c>
      <c r="H903">
        <f>1-(1-Skills!J16/100)^Skills!K16</f>
        <v/>
      </c>
      <c r="I903" t="inlineStr">
        <is>
          <t>1</t>
        </is>
      </c>
      <c r="J903" t="inlineStr"/>
      <c r="K903" t="inlineStr"/>
      <c r="L903" t="inlineStr"/>
      <c r="M903" t="inlineStr"/>
      <c r="N903" t="inlineStr"/>
      <c r="O903">
        <f>(1-Summary!$B$11)*T903+Summary!$B$11*V903</f>
        <v/>
      </c>
      <c r="P903">
        <f>IF(B932=0,0,O903/B932)</f>
        <v/>
      </c>
      <c r="Q903" t="n">
        <v>0</v>
      </c>
      <c r="R903" t="n">
        <v>0</v>
      </c>
      <c r="S903">
        <f>IFERROR(O903/N903,0)</f>
        <v/>
      </c>
      <c r="T903" t="n">
        <v>0</v>
      </c>
      <c r="V903" t="n">
        <v>0</v>
      </c>
    </row>
    <row r="904">
      <c r="A904">
        <f>Skills!A17</f>
        <v/>
      </c>
      <c r="B904">
        <f>Skills!B17</f>
        <v/>
      </c>
      <c r="C904">
        <f>Inputs!$B$3&gt;=117</f>
        <v/>
      </c>
      <c r="D904">
        <f>IF(Skills!C17=1,60+Inputs!$B$25+Inputs!$B$29,IF(Skills!C17=2,90+(Inputs!$B$26+1)+Inputs!$B$29,IF(Skills!C17=3,120+Inputs!$B$27+Inputs!$B$29,MAX(0,(Inputs!$B$3-100)*3)+Inputs!$B$28+Inputs!$B$29)))</f>
        <v/>
      </c>
      <c r="E904">
        <f>INDEX(FactorTable!$B$2:$Y$301, MATCH(ROUND(MIN(300,MAX(1,D904)),0), FactorTable!$A$2:$A$301,0), Skills!M17+1)</f>
        <v/>
      </c>
      <c r="F904">
        <f>IF(Skills!N17=TRUE,(Skills!L17/10)*(E904/1000),Skills!L17/10)+Skills!O17</f>
        <v/>
      </c>
      <c r="G904">
        <f>Skills!G17*IF(Skills!H17&gt;0,INT(IF(Inputs!$B$38="pvp",MIN(Skills!I17,15),Skills!I17)/Skills!H17+0.000000001),1)</f>
        <v/>
      </c>
      <c r="H904">
        <f>1-(1-Skills!J17/100)^Skills!K17</f>
        <v/>
      </c>
      <c r="I904" t="inlineStr">
        <is>
          <t>1</t>
        </is>
      </c>
      <c r="J904" t="inlineStr"/>
      <c r="K904" t="inlineStr"/>
      <c r="L904" t="inlineStr"/>
      <c r="M904" t="inlineStr"/>
      <c r="N904" t="inlineStr"/>
      <c r="O904">
        <f>(1-Summary!$B$11)*T904+Summary!$B$11*V904</f>
        <v/>
      </c>
      <c r="P904">
        <f>IF(B932=0,0,O904/B932)</f>
        <v/>
      </c>
      <c r="Q904">
        <f>IFERROR(1/(IF(Inputs!$B$38="pvp",15,MAX(0.1,Skills!D17-IF(TRUE=TRUE,Inputs!$B$32,0)))*(1-IF(AND(ArtifactsInput!$M$27,Inputs!$B$4="Chapter Hunt"),CHOOSE(ArtifactsInput!$N$27+1,20,24,28,32,36,40),0)/100)),0)</f>
        <v/>
      </c>
      <c r="R904">
        <f>IF(AND(Inputs!$B$38&lt;&gt;"pvp",Inputs!$B$43&gt;0),IF(Inputs!$B$43&lt;=0,0,(INT(Inputs!$B$43/(IF(Inputs!$B$38="pvp",15,MAX(0.1,Skills!D17-IF(TRUE=TRUE,Inputs!$B$32,0)))*(1-IF(AND(ArtifactsInput!$M$27,Inputs!$B$4="Chapter Hunt"),CHOOSE(ArtifactsInput!$N$27+1,20,24,28,32,36,40),0)/100)))+1)),0)</f>
        <v/>
      </c>
      <c r="S904">
        <f>IFERROR(O904/N904,0)</f>
        <v/>
      </c>
      <c r="T904" t="n">
        <v>0</v>
      </c>
      <c r="V904" t="n">
        <v>0</v>
      </c>
    </row>
    <row r="905">
      <c r="A905">
        <f>Skills!A18</f>
        <v/>
      </c>
      <c r="B905">
        <f>Skills!B18</f>
        <v/>
      </c>
      <c r="C905">
        <f>Inputs!$B$3&gt;=115</f>
        <v/>
      </c>
      <c r="D905">
        <f>IF(Skills!C18=1,60+Inputs!$B$25+Inputs!$B$29,IF(Skills!C18=2,90+(Inputs!$B$26+1)+Inputs!$B$29,IF(Skills!C18=3,120+Inputs!$B$27+Inputs!$B$29,MAX(0,(Inputs!$B$3-100)*3)+Inputs!$B$28+Inputs!$B$29)))</f>
        <v/>
      </c>
      <c r="E905">
        <f>INDEX(FactorTable!$B$2:$Y$301, MATCH(ROUND(MIN(300,MAX(1,D905)),0), FactorTable!$A$2:$A$301,0), Skills!M18+1)</f>
        <v/>
      </c>
      <c r="F905">
        <f>IF(Skills!N18=TRUE,(Skills!L18/10)*(E905/1000),Skills!L18/10)+Skills!O18</f>
        <v/>
      </c>
      <c r="G905">
        <f>Skills!G18*IF(Skills!H18&gt;0,INT(IF(Inputs!$B$38="pvp",MIN(Skills!I18,15),Skills!I18)/Skills!H18+0.000000001),1)</f>
        <v/>
      </c>
      <c r="H905">
        <f>1-(1-Skills!J18/100)^Skills!K18</f>
        <v/>
      </c>
      <c r="I905" t="inlineStr">
        <is>
          <t>1</t>
        </is>
      </c>
      <c r="J905" t="inlineStr"/>
      <c r="K905" t="inlineStr"/>
      <c r="L905" t="inlineStr"/>
      <c r="M905" t="inlineStr"/>
      <c r="N905" t="inlineStr"/>
      <c r="O905">
        <f>(1-Summary!$B$11)*T905+Summary!$B$11*V905</f>
        <v/>
      </c>
      <c r="P905">
        <f>IF(B932=0,0,O905/B932)</f>
        <v/>
      </c>
      <c r="Q905">
        <f>IFERROR(1/(IF(Inputs!$B$38="pvp",15,MAX(0.1,Skills!D18-IF(TRUE=TRUE,Inputs!$B$32,0)))*(1-IF(AND(ArtifactsInput!$M$27,Inputs!$B$4="Chapter Hunt"),CHOOSE(ArtifactsInput!$N$27+1,20,24,28,32,36,40),0)/100)),0)</f>
        <v/>
      </c>
      <c r="R905">
        <f>IF(AND(Inputs!$B$38&lt;&gt;"pvp",Inputs!$B$43&gt;0),IF(Inputs!$B$43&lt;=0,0,(INT(Inputs!$B$43/(IF(Inputs!$B$38="pvp",15,MAX(0.1,Skills!D18-IF(TRUE=TRUE,Inputs!$B$32,0)))*(1-IF(AND(ArtifactsInput!$M$27,Inputs!$B$4="Chapter Hunt"),CHOOSE(ArtifactsInput!$N$27+1,20,24,28,32,36,40),0)/100)))+1)),0)</f>
        <v/>
      </c>
      <c r="S905">
        <f>IFERROR(O905/N905,0)</f>
        <v/>
      </c>
      <c r="T905" t="n">
        <v>0</v>
      </c>
      <c r="V905" t="n">
        <v>0</v>
      </c>
    </row>
    <row r="906">
      <c r="A906">
        <f>Skills!A19</f>
        <v/>
      </c>
      <c r="B906">
        <f>Skills!B19</f>
        <v/>
      </c>
      <c r="C906">
        <f>Inputs!$B$3&gt;=66</f>
        <v/>
      </c>
      <c r="D906">
        <f>IF(Skills!C19=1,60+Inputs!$B$25+Inputs!$B$29,IF(Skills!C19=2,90+(Inputs!$B$26+1)+Inputs!$B$29,IF(Skills!C19=3,120+Inputs!$B$27+Inputs!$B$29,MAX(0,(Inputs!$B$3-100)*3)+Inputs!$B$28+Inputs!$B$29)))</f>
        <v/>
      </c>
      <c r="E906">
        <f>INDEX(FactorTable!$B$2:$Y$301, MATCH(ROUND(MIN(300,MAX(1,D906)),0), FactorTable!$A$2:$A$301,0), Skills!M19+1)</f>
        <v/>
      </c>
      <c r="F906">
        <f>IF(Skills!N19=TRUE,(Skills!L19/10)*(E906/1000),Skills!L19/10)+Skills!O19</f>
        <v/>
      </c>
      <c r="G906">
        <f>Skills!G19*IF(Skills!H19&gt;0,INT(IF(Inputs!$B$38="pvp",MIN(Skills!I19,15),Skills!I19)/Skills!H19+0.000000001),1)</f>
        <v/>
      </c>
      <c r="H906">
        <f>1-(1-Skills!J19/100)^Skills!K19</f>
        <v/>
      </c>
      <c r="I906" t="inlineStr">
        <is>
          <t>1</t>
        </is>
      </c>
      <c r="J906" t="inlineStr"/>
      <c r="K906" t="inlineStr"/>
      <c r="L906" t="inlineStr"/>
      <c r="M906" t="inlineStr"/>
      <c r="N906" t="inlineStr"/>
      <c r="O906">
        <f>(1-Summary!$B$11)*T906+Summary!$B$11*V906</f>
        <v/>
      </c>
      <c r="P906">
        <f>IF(B932=0,0,O906/B932)</f>
        <v/>
      </c>
      <c r="Q906" t="n">
        <v>0</v>
      </c>
      <c r="R906" t="n">
        <v>0</v>
      </c>
      <c r="S906">
        <f>IFERROR(O906/N906,0)</f>
        <v/>
      </c>
      <c r="T906" t="n">
        <v>0</v>
      </c>
      <c r="V906" t="n">
        <v>0</v>
      </c>
    </row>
    <row r="907">
      <c r="A907">
        <f>Skills!A20</f>
        <v/>
      </c>
      <c r="B907">
        <f>Skills!B20</f>
        <v/>
      </c>
      <c r="C907">
        <f>Inputs!$B$3&gt;=72</f>
        <v/>
      </c>
      <c r="D907">
        <f>IF(Skills!C20=1,60+Inputs!$B$25+Inputs!$B$29,IF(Skills!C20=2,90+(Inputs!$B$26+1)+Inputs!$B$29,IF(Skills!C20=3,120+Inputs!$B$27+Inputs!$B$29,MAX(0,(Inputs!$B$3-100)*3)+Inputs!$B$28+Inputs!$B$29)))</f>
        <v/>
      </c>
      <c r="E907">
        <f>INDEX(FactorTable!$B$2:$Y$301, MATCH(ROUND(MIN(300,MAX(1,D907)),0), FactorTable!$A$2:$A$301,0), Skills!M20+1)</f>
        <v/>
      </c>
      <c r="F907">
        <f>IF(Skills!N20=TRUE,(Skills!L20/10)*(E907/1000),Skills!L20/10)+Skills!O20</f>
        <v/>
      </c>
      <c r="G907">
        <f>Skills!G20*IF(Skills!H20&gt;0,INT(IF(Inputs!$B$38="pvp",MIN(Skills!I20,15),Skills!I20)/Skills!H20+0.000000001),1)</f>
        <v/>
      </c>
      <c r="H907">
        <f>1-(1-Skills!J20/100)^Skills!K20</f>
        <v/>
      </c>
      <c r="I907" t="inlineStr">
        <is>
          <t>1</t>
        </is>
      </c>
      <c r="J907" t="inlineStr"/>
      <c r="K907" t="inlineStr"/>
      <c r="L907" t="inlineStr"/>
      <c r="M907" t="inlineStr"/>
      <c r="N907" t="inlineStr"/>
      <c r="O907">
        <f>(1-Summary!$B$11)*T907+Summary!$B$11*V907</f>
        <v/>
      </c>
      <c r="P907">
        <f>IF(B932=0,0,O907/B932)</f>
        <v/>
      </c>
      <c r="Q907" t="n">
        <v>0</v>
      </c>
      <c r="R907" t="n">
        <v>0</v>
      </c>
      <c r="S907">
        <f>IFERROR(O907/N907,0)</f>
        <v/>
      </c>
      <c r="T907" t="n">
        <v>0</v>
      </c>
      <c r="V907" t="n">
        <v>0</v>
      </c>
    </row>
    <row r="908">
      <c r="A908">
        <f>Skills!A21</f>
        <v/>
      </c>
      <c r="B908">
        <f>Skills!B21</f>
        <v/>
      </c>
      <c r="C908">
        <f>TRUE</f>
        <v/>
      </c>
      <c r="D908">
        <f>IF(Skills!C21=1,60+Inputs!$B$25+Inputs!$B$29,IF(Skills!C21=2,90+(Inputs!$B$26+1)+Inputs!$B$29,IF(Skills!C21=3,120+Inputs!$B$27+Inputs!$B$29,MAX(0,(Inputs!$B$3-100)*3)+Inputs!$B$28+Inputs!$B$29)))</f>
        <v/>
      </c>
      <c r="E908">
        <f>INDEX(FactorTable!$B$2:$Y$301, MATCH(ROUND(MIN(300,MAX(1,D908)),0), FactorTable!$A$2:$A$301,0), Skills!M21+1)</f>
        <v/>
      </c>
      <c r="F908">
        <f>IF(Skills!N21=TRUE,(Skills!L21/10)*(E908/1000),Skills!L21/10)+Skills!O21</f>
        <v/>
      </c>
      <c r="G908">
        <f>Skills!G21*IF(Skills!H21&gt;0,INT(IF(Inputs!$B$38="pvp",MIN(Skills!I21,15),Skills!I21)/Skills!H21+0.000000001),1)</f>
        <v/>
      </c>
      <c r="H908">
        <f>1-(1-Skills!J21/100)^Skills!K21</f>
        <v/>
      </c>
      <c r="I908" t="inlineStr">
        <is>
          <t>1</t>
        </is>
      </c>
      <c r="J908" t="inlineStr"/>
      <c r="K908" t="inlineStr"/>
      <c r="L908" t="inlineStr"/>
      <c r="M908" t="inlineStr"/>
      <c r="N908" t="inlineStr"/>
      <c r="O908">
        <f>(1-Summary!$B$11)*T908+Summary!$B$11*V908</f>
        <v/>
      </c>
      <c r="P908">
        <f>IF(B932=0,0,O908/B932)</f>
        <v/>
      </c>
      <c r="Q908">
        <f>IFERROR(1/(IF(Inputs!$B$38="pvp",15,MAX(0.1,Skills!D21-IF(TRUE=TRUE,Inputs!$B$32,0)))*(1-IF(AND(ArtifactsInput!$M$27,Inputs!$B$4="Chapter Hunt"),CHOOSE(ArtifactsInput!$N$27+1,20,24,28,32,36,40),0)/100)),0)</f>
        <v/>
      </c>
      <c r="R908">
        <f>IF(AND(Inputs!$B$38&lt;&gt;"pvp",Inputs!$B$43&gt;0),IF(Inputs!$B$43&lt;=0,0,(INT(Inputs!$B$43/(IF(Inputs!$B$38="pvp",15,MAX(0.1,Skills!D21-IF(TRUE=TRUE,Inputs!$B$32,0)))*(1-IF(AND(ArtifactsInput!$M$27,Inputs!$B$4="Chapter Hunt"),CHOOSE(ArtifactsInput!$N$27+1,20,24,28,32,36,40),0)/100)))+1)),0)</f>
        <v/>
      </c>
      <c r="S908">
        <f>IFERROR(O908/N908,0)</f>
        <v/>
      </c>
      <c r="T908" t="n">
        <v>0</v>
      </c>
      <c r="V908" t="n">
        <v>0</v>
      </c>
    </row>
    <row r="909">
      <c r="A909">
        <f>Skills!A22</f>
        <v/>
      </c>
      <c r="B909">
        <f>Skills!B22</f>
        <v/>
      </c>
      <c r="C909">
        <f>Inputs!$B$3&gt;=15</f>
        <v/>
      </c>
      <c r="D909">
        <f>IF(Skills!C22=1,60+Inputs!$B$25+Inputs!$B$29,IF(Skills!C22=2,90+(Inputs!$B$26+1)+Inputs!$B$29,IF(Skills!C22=3,120+Inputs!$B$27+Inputs!$B$29,MAX(0,(Inputs!$B$3-100)*3)+Inputs!$B$28+Inputs!$B$29)))</f>
        <v/>
      </c>
      <c r="E909">
        <f>INDEX(FactorTable!$B$2:$Y$301, MATCH(ROUND(MIN(300,MAX(1,D909)),0), FactorTable!$A$2:$A$301,0), Skills!M22+1)</f>
        <v/>
      </c>
      <c r="F909">
        <f>IF(Skills!N22=TRUE,(Skills!L22/10)*(E909/1000),Skills!L22/10)+Skills!O22</f>
        <v/>
      </c>
      <c r="G909">
        <f>Skills!G22*IF(Skills!H22&gt;0,INT(IF(Inputs!$B$38="pvp",MIN(Skills!I22,15),Skills!I22)/Skills!H22+0.000000001),1)</f>
        <v/>
      </c>
      <c r="H909">
        <f>1-(1-Skills!J22/100)^Skills!K22</f>
        <v/>
      </c>
      <c r="I909" t="inlineStr">
        <is>
          <t>1</t>
        </is>
      </c>
      <c r="J909" t="inlineStr"/>
      <c r="K909" t="inlineStr"/>
      <c r="L909" t="inlineStr"/>
      <c r="M909" t="inlineStr"/>
      <c r="N909" t="inlineStr"/>
      <c r="O909">
        <f>(1-Summary!$B$11)*T909+Summary!$B$11*V909</f>
        <v/>
      </c>
      <c r="P909">
        <f>IF(B932=0,0,O909/B932)</f>
        <v/>
      </c>
      <c r="Q909" t="n">
        <v>0</v>
      </c>
      <c r="R909" t="n">
        <v>0</v>
      </c>
      <c r="S909">
        <f>IFERROR(O909/N909,0)</f>
        <v/>
      </c>
      <c r="T909" t="n">
        <v>0</v>
      </c>
      <c r="V909" t="n">
        <v>0</v>
      </c>
    </row>
    <row r="910">
      <c r="A910">
        <f>Skills!A23</f>
        <v/>
      </c>
      <c r="B910">
        <f>Skills!B23</f>
        <v/>
      </c>
      <c r="C910">
        <f>Inputs!$B$3&gt;=10</f>
        <v/>
      </c>
      <c r="D910">
        <f>IF(Skills!C23=1,60+Inputs!$B$25+Inputs!$B$29,IF(Skills!C23=2,90+(Inputs!$B$26+1)+Inputs!$B$29,IF(Skills!C23=3,120+Inputs!$B$27+Inputs!$B$29,MAX(0,(Inputs!$B$3-100)*3)+Inputs!$B$28+Inputs!$B$29)))</f>
        <v/>
      </c>
      <c r="E910">
        <f>INDEX(FactorTable!$B$2:$Y$301, MATCH(ROUND(MIN(300,MAX(1,D910)),0), FactorTable!$A$2:$A$301,0), Skills!M23+1)</f>
        <v/>
      </c>
      <c r="F910">
        <f>IF(Skills!N23=TRUE,(Skills!L23/10)*(E910/1000),Skills!L23/10)+Skills!O23</f>
        <v/>
      </c>
      <c r="G910">
        <f>Skills!G23*IF(Skills!H23&gt;0,INT(IF(Inputs!$B$38="pvp",MIN(Skills!I23,15),Skills!I23)/Skills!H23+0.000000001),1)</f>
        <v/>
      </c>
      <c r="H910">
        <f>1-(1-Skills!J23/100)^Skills!K23</f>
        <v/>
      </c>
      <c r="I910" t="inlineStr">
        <is>
          <t>1</t>
        </is>
      </c>
      <c r="J910" t="inlineStr"/>
      <c r="K910" t="inlineStr"/>
      <c r="L910" t="inlineStr"/>
      <c r="M910" t="inlineStr"/>
      <c r="N910" t="inlineStr"/>
      <c r="O910">
        <f>(1-Summary!$B$11)*T910+Summary!$B$11*V910</f>
        <v/>
      </c>
      <c r="P910">
        <f>IF(B932=0,0,O910/B932)</f>
        <v/>
      </c>
      <c r="Q910" t="n">
        <v>0</v>
      </c>
      <c r="R910" t="n">
        <v>0</v>
      </c>
      <c r="S910">
        <f>IFERROR(O910/N910,0)</f>
        <v/>
      </c>
      <c r="T910" t="n">
        <v>0</v>
      </c>
      <c r="V910" t="n">
        <v>0</v>
      </c>
    </row>
    <row r="911">
      <c r="A911">
        <f>Skills!A24</f>
        <v/>
      </c>
      <c r="B911">
        <f>Skills!B24</f>
        <v/>
      </c>
      <c r="C911">
        <f>Inputs!$B$3&gt;=33</f>
        <v/>
      </c>
      <c r="D911">
        <f>IF(Skills!C24=1,60+Inputs!$B$25+Inputs!$B$29,IF(Skills!C24=2,90+(Inputs!$B$26+1)+Inputs!$B$29,IF(Skills!C24=3,120+Inputs!$B$27+Inputs!$B$29,MAX(0,(Inputs!$B$3-100)*3)+Inputs!$B$28+Inputs!$B$29)))</f>
        <v/>
      </c>
      <c r="E911">
        <f>INDEX(FactorTable!$B$2:$Y$301, MATCH(ROUND(MIN(300,MAX(1,D911)),0), FactorTable!$A$2:$A$301,0), Skills!M24+1)</f>
        <v/>
      </c>
      <c r="F911">
        <f>IF(Skills!N24=TRUE,(Skills!L24/10)*(E911/1000),Skills!L24/10)+Skills!O24</f>
        <v/>
      </c>
      <c r="G911">
        <f>Skills!G24*IF(Skills!H24&gt;0,INT(IF(Inputs!$B$38="pvp",MIN(Skills!I24,15),Skills!I24)/Skills!H24+0.000000001),1)</f>
        <v/>
      </c>
      <c r="H911">
        <f>1-(1-Skills!J24/100)^Skills!K24</f>
        <v/>
      </c>
      <c r="I911" t="inlineStr">
        <is>
          <t>1</t>
        </is>
      </c>
      <c r="J911" t="inlineStr"/>
      <c r="K911" t="inlineStr"/>
      <c r="L911" t="inlineStr"/>
      <c r="M911" t="inlineStr"/>
      <c r="N911" t="inlineStr"/>
      <c r="O911">
        <f>(1-Summary!$B$11)*T911+Summary!$B$11*V911</f>
        <v/>
      </c>
      <c r="P911">
        <f>IF(B932=0,0,O911/B932)</f>
        <v/>
      </c>
      <c r="Q911" t="n">
        <v>0</v>
      </c>
      <c r="R911" t="n">
        <v>0</v>
      </c>
      <c r="S911">
        <f>IFERROR(O911/N911,0)</f>
        <v/>
      </c>
      <c r="T911" t="n">
        <v>0</v>
      </c>
      <c r="V911" t="n">
        <v>0</v>
      </c>
    </row>
    <row r="912">
      <c r="A912">
        <f>Skills!A25</f>
        <v/>
      </c>
      <c r="B912">
        <f>Skills!B25</f>
        <v/>
      </c>
      <c r="C912">
        <f>Inputs!$B$3&gt;=38</f>
        <v/>
      </c>
      <c r="D912">
        <f>IF(Skills!C25=1,60+Inputs!$B$25+Inputs!$B$29,IF(Skills!C25=2,90+(Inputs!$B$26+1)+Inputs!$B$29,IF(Skills!C25=3,120+Inputs!$B$27+Inputs!$B$29,MAX(0,(Inputs!$B$3-100)*3)+Inputs!$B$28+Inputs!$B$29)))</f>
        <v/>
      </c>
      <c r="E912">
        <f>INDEX(FactorTable!$B$2:$Y$301, MATCH(ROUND(MIN(300,MAX(1,D912)),0), FactorTable!$A$2:$A$301,0), Skills!M25+1)</f>
        <v/>
      </c>
      <c r="F912">
        <f>IF(Skills!N25=TRUE,(Skills!L25/10)*(E912/1000),Skills!L25/10)+Skills!O25</f>
        <v/>
      </c>
      <c r="G912">
        <f>Skills!G25*IF(Skills!H25&gt;0,INT(IF(Inputs!$B$38="pvp",MIN(Skills!I25,15),Skills!I25)/Skills!H25+0.000000001),1)</f>
        <v/>
      </c>
      <c r="H912">
        <f>1-(1-Skills!J25/100)^Skills!K25</f>
        <v/>
      </c>
      <c r="I912" t="inlineStr">
        <is>
          <t>1</t>
        </is>
      </c>
      <c r="J912" t="inlineStr"/>
      <c r="K912" t="inlineStr"/>
      <c r="L912" t="inlineStr"/>
      <c r="M912" t="inlineStr"/>
      <c r="N912" t="inlineStr"/>
      <c r="O912">
        <f>(1-Summary!$B$11)*T912+Summary!$B$11*V912</f>
        <v/>
      </c>
      <c r="P912">
        <f>IF(B932=0,0,O912/B932)</f>
        <v/>
      </c>
      <c r="Q912" t="n">
        <v>0</v>
      </c>
      <c r="R912" t="n">
        <v>0</v>
      </c>
      <c r="S912">
        <f>IFERROR(O912/N912,0)</f>
        <v/>
      </c>
      <c r="T912" t="n">
        <v>0</v>
      </c>
      <c r="V912" t="n">
        <v>0</v>
      </c>
    </row>
    <row r="913">
      <c r="A913">
        <f>Skills!A26</f>
        <v/>
      </c>
      <c r="B913">
        <f>Skills!B26</f>
        <v/>
      </c>
      <c r="C913">
        <f>Inputs!$B$3&gt;=43</f>
        <v/>
      </c>
      <c r="D913">
        <f>IF(Skills!C26=1,60+Inputs!$B$25+Inputs!$B$29,IF(Skills!C26=2,90+(Inputs!$B$26+1)+Inputs!$B$29,IF(Skills!C26=3,120+Inputs!$B$27+Inputs!$B$29,MAX(0,(Inputs!$B$3-100)*3)+Inputs!$B$28+Inputs!$B$29)))</f>
        <v/>
      </c>
      <c r="E913">
        <f>INDEX(FactorTable!$B$2:$Y$301, MATCH(ROUND(MIN(300,MAX(1,D913)),0), FactorTable!$A$2:$A$301,0), Skills!M26+1)</f>
        <v/>
      </c>
      <c r="F913">
        <f>IF(Skills!N26=TRUE,(Skills!L26/10)*(E913/1000),Skills!L26/10)+Skills!O26</f>
        <v/>
      </c>
      <c r="G913">
        <f>Skills!G26*IF(Skills!H26&gt;0,INT(IF(Inputs!$B$38="pvp",MIN(Skills!I26,15),Skills!I26)/Skills!H26+0.000000001),1)</f>
        <v/>
      </c>
      <c r="H913">
        <f>1-(1-Skills!J26/100)^Skills!K26</f>
        <v/>
      </c>
      <c r="I913" t="inlineStr">
        <is>
          <t>1</t>
        </is>
      </c>
      <c r="J913" t="inlineStr"/>
      <c r="K913" t="inlineStr"/>
      <c r="L913" t="inlineStr"/>
      <c r="M913" t="inlineStr"/>
      <c r="N913" t="inlineStr"/>
      <c r="O913">
        <f>(1-Summary!$B$11)*T913+Summary!$B$11*V913</f>
        <v/>
      </c>
      <c r="P913">
        <f>IF(B932=0,0,O913/B932)</f>
        <v/>
      </c>
      <c r="Q913" t="n">
        <v>0</v>
      </c>
      <c r="R913" t="n">
        <v>0</v>
      </c>
      <c r="S913">
        <f>IFERROR(O913/N913,0)</f>
        <v/>
      </c>
      <c r="T913" t="n">
        <v>0</v>
      </c>
      <c r="V913" t="n">
        <v>0</v>
      </c>
    </row>
    <row r="914">
      <c r="A914">
        <f>Skills!A27</f>
        <v/>
      </c>
      <c r="B914">
        <f>Skills!B27</f>
        <v/>
      </c>
      <c r="C914">
        <f>Inputs!$B$3&gt;=75</f>
        <v/>
      </c>
      <c r="D914">
        <f>IF(Skills!C27=1,60+Inputs!$B$25+Inputs!$B$29,IF(Skills!C27=2,90+(Inputs!$B$26+1)+Inputs!$B$29,IF(Skills!C27=3,120+Inputs!$B$27+Inputs!$B$29,MAX(0,(Inputs!$B$3-100)*3)+Inputs!$B$28+Inputs!$B$29)))</f>
        <v/>
      </c>
      <c r="E914">
        <f>INDEX(FactorTable!$B$2:$Y$301, MATCH(ROUND(MIN(300,MAX(1,D914)),0), FactorTable!$A$2:$A$301,0), Skills!M27+1)</f>
        <v/>
      </c>
      <c r="F914">
        <f>IF(Skills!N27=TRUE,(Skills!L27/10)*(E914/1000),Skills!L27/10)+Skills!O27</f>
        <v/>
      </c>
      <c r="G914">
        <f>Skills!G27*IF(Skills!H27&gt;0,INT(IF(Inputs!$B$38="pvp",MIN(Skills!I27,15),Skills!I27)/Skills!H27+0.000000001),1)</f>
        <v/>
      </c>
      <c r="H914">
        <f>1-(1-Skills!J27/100)^Skills!K27</f>
        <v/>
      </c>
      <c r="I914" t="inlineStr">
        <is>
          <t>1</t>
        </is>
      </c>
      <c r="J914" t="inlineStr"/>
      <c r="K914" t="inlineStr"/>
      <c r="L914" t="inlineStr"/>
      <c r="M914" t="inlineStr"/>
      <c r="N914" t="inlineStr"/>
      <c r="O914">
        <f>(1-Summary!$B$11)*T914+Summary!$B$11*V914</f>
        <v/>
      </c>
      <c r="P914">
        <f>IF(B932=0,0,O914/B932)</f>
        <v/>
      </c>
      <c r="Q914" t="n">
        <v>0</v>
      </c>
      <c r="R914" t="n">
        <v>0</v>
      </c>
      <c r="S914">
        <f>IFERROR(O914/N914,0)</f>
        <v/>
      </c>
      <c r="T914" t="n">
        <v>0</v>
      </c>
      <c r="V914" t="n">
        <v>0</v>
      </c>
    </row>
    <row r="915">
      <c r="A915">
        <f>Skills!A28</f>
        <v/>
      </c>
      <c r="B915">
        <f>Skills!B28</f>
        <v/>
      </c>
      <c r="C915">
        <f>Inputs!$B$3&gt;=125</f>
        <v/>
      </c>
      <c r="D915">
        <f>IF(Skills!C28=1,60+Inputs!$B$25+Inputs!$B$29,IF(Skills!C28=2,90+(Inputs!$B$26+1)+Inputs!$B$29,IF(Skills!C28=3,120+Inputs!$B$27+Inputs!$B$29,MAX(0,(Inputs!$B$3-100)*3)+Inputs!$B$28+Inputs!$B$29)))</f>
        <v/>
      </c>
      <c r="E915">
        <f>INDEX(FactorTable!$B$2:$Y$301, MATCH(ROUND(MIN(300,MAX(1,D915)),0), FactorTable!$A$2:$A$301,0), Skills!M28+1)</f>
        <v/>
      </c>
      <c r="F915">
        <f>IF(Skills!N28=TRUE,(Skills!L28/10)*(E915/1000),Skills!L28/10)+Skills!O28</f>
        <v/>
      </c>
      <c r="G915">
        <f>Skills!G28*IF(Skills!H28&gt;0,INT(IF(Inputs!$B$38="pvp",MIN(Skills!I28,15),Skills!I28)/Skills!H28+0.000000001),1)</f>
        <v/>
      </c>
      <c r="H915">
        <f>1-(1-Skills!J28/100)^Skills!K28</f>
        <v/>
      </c>
      <c r="I915" t="inlineStr">
        <is>
          <t>1</t>
        </is>
      </c>
      <c r="J915" t="inlineStr"/>
      <c r="K915" t="inlineStr"/>
      <c r="L915" t="inlineStr"/>
      <c r="M915" t="inlineStr"/>
      <c r="N915" t="inlineStr"/>
      <c r="O915">
        <f>(1-Summary!$B$11)*T915+Summary!$B$11*V915</f>
        <v/>
      </c>
      <c r="P915">
        <f>IF(B932=0,0,O915/B932)</f>
        <v/>
      </c>
      <c r="Q915" t="n">
        <v>0</v>
      </c>
      <c r="R915" t="n">
        <v>0</v>
      </c>
      <c r="S915">
        <f>IFERROR(O915/N915,0)</f>
        <v/>
      </c>
      <c r="T915" t="n">
        <v>0</v>
      </c>
      <c r="V915" t="n">
        <v>0</v>
      </c>
    </row>
    <row r="916">
      <c r="A916">
        <f>Skills!A29</f>
        <v/>
      </c>
      <c r="B916">
        <f>Skills!B29</f>
        <v/>
      </c>
      <c r="C916">
        <f>Inputs!$B$3&gt;=125</f>
        <v/>
      </c>
      <c r="D916">
        <f>IF(Skills!C29=1,60+Inputs!$B$25+Inputs!$B$29,IF(Skills!C29=2,90+(Inputs!$B$26+1)+Inputs!$B$29,IF(Skills!C29=3,120+Inputs!$B$27+Inputs!$B$29,MAX(0,(Inputs!$B$3-100)*3)+Inputs!$B$28+Inputs!$B$29)))</f>
        <v/>
      </c>
      <c r="E916">
        <f>INDEX(FactorTable!$B$2:$Y$301, MATCH(ROUND(MIN(300,MAX(1,D916)),0), FactorTable!$A$2:$A$301,0), Skills!M29+1)</f>
        <v/>
      </c>
      <c r="F916">
        <f>IF(Skills!N29=TRUE,(Skills!L29/10)*(E916/1000),Skills!L29/10)+Skills!O29</f>
        <v/>
      </c>
      <c r="G916">
        <f>Skills!G29*IF(Skills!H29&gt;0,INT(IF(Inputs!$B$38="pvp",MIN(Skills!I29,15),Skills!I29)/Skills!H29+0.000000001),1)</f>
        <v/>
      </c>
      <c r="H916">
        <f>1-(1-Skills!J29/100)^Skills!K29</f>
        <v/>
      </c>
      <c r="I916" t="inlineStr">
        <is>
          <t>1</t>
        </is>
      </c>
      <c r="J916" t="inlineStr"/>
      <c r="K916" t="inlineStr"/>
      <c r="L916" t="inlineStr"/>
      <c r="M916" t="inlineStr"/>
      <c r="N916" t="inlineStr"/>
      <c r="O916">
        <f>(1-Summary!$B$11)*T916+Summary!$B$11*V916</f>
        <v/>
      </c>
      <c r="P916">
        <f>IF(B932=0,0,O916/B932)</f>
        <v/>
      </c>
      <c r="Q916" t="n">
        <v>0</v>
      </c>
      <c r="R916" t="n">
        <v>0</v>
      </c>
      <c r="S916">
        <f>IFERROR(O916/N916,0)</f>
        <v/>
      </c>
      <c r="T916" t="n">
        <v>0</v>
      </c>
      <c r="V916" t="n">
        <v>0</v>
      </c>
    </row>
    <row r="917">
      <c r="A917">
        <f>Skills!A30</f>
        <v/>
      </c>
      <c r="B917">
        <f>Skills!B30</f>
        <v/>
      </c>
      <c r="C917">
        <f>Inputs!$B$3&gt;=120</f>
        <v/>
      </c>
      <c r="D917">
        <f>IF(Skills!C30=1,60+Inputs!$B$25+Inputs!$B$29,IF(Skills!C30=2,90+(Inputs!$B$26+1)+Inputs!$B$29,IF(Skills!C30=3,120+Inputs!$B$27+Inputs!$B$29,MAX(0,(Inputs!$B$3-100)*3)+Inputs!$B$28+Inputs!$B$29)))</f>
        <v/>
      </c>
      <c r="E917">
        <f>INDEX(FactorTable!$B$2:$Y$301, MATCH(ROUND(MIN(300,MAX(1,D917)),0), FactorTable!$A$2:$A$301,0), Skills!M30+1)</f>
        <v/>
      </c>
      <c r="F917">
        <f>IF(Skills!N30=TRUE,(Skills!L30/10)*(E917/1000),Skills!L30/10)+Skills!O30</f>
        <v/>
      </c>
      <c r="G917">
        <f>Skills!G30*IF(Skills!H30&gt;0,INT(IF(Inputs!$B$38="pvp",MIN(Skills!I30,15),Skills!I30)/Skills!H30+0.000000001),1)</f>
        <v/>
      </c>
      <c r="H917">
        <f>1-(1-Skills!J30/100)^Skills!K30</f>
        <v/>
      </c>
      <c r="I917" t="inlineStr">
        <is>
          <t>1</t>
        </is>
      </c>
      <c r="J917" t="inlineStr"/>
      <c r="K917" t="inlineStr"/>
      <c r="L917" t="inlineStr"/>
      <c r="M917" t="inlineStr"/>
      <c r="N917" t="inlineStr"/>
      <c r="O917">
        <f>(1-Summary!$B$11)*T917+Summary!$B$11*V917</f>
        <v/>
      </c>
      <c r="P917">
        <f>IF(B932=0,0,O917/B932)</f>
        <v/>
      </c>
      <c r="Q917" t="n">
        <v>0</v>
      </c>
      <c r="R917" t="n">
        <v>0</v>
      </c>
      <c r="S917">
        <f>IFERROR(O917/N917,0)</f>
        <v/>
      </c>
      <c r="T917" t="n">
        <v>0</v>
      </c>
      <c r="V917" t="n">
        <v>0</v>
      </c>
    </row>
    <row r="918">
      <c r="A918">
        <f>Skills!A31</f>
        <v/>
      </c>
      <c r="B918">
        <f>Skills!B31</f>
        <v/>
      </c>
      <c r="C918">
        <f>Inputs!$B$3&gt;=120</f>
        <v/>
      </c>
      <c r="D918">
        <f>IF(Skills!C31=1,60+Inputs!$B$25+Inputs!$B$29,IF(Skills!C31=2,90+(Inputs!$B$26+1)+Inputs!$B$29,IF(Skills!C31=3,120+Inputs!$B$27+Inputs!$B$29,MAX(0,(Inputs!$B$3-100)*3)+Inputs!$B$28+Inputs!$B$29)))</f>
        <v/>
      </c>
      <c r="E918">
        <f>INDEX(FactorTable!$B$2:$Y$301, MATCH(ROUND(MIN(300,MAX(1,D918)),0), FactorTable!$A$2:$A$301,0), Skills!M31+1)</f>
        <v/>
      </c>
      <c r="F918">
        <f>IF(Skills!N31=TRUE,(Skills!L31/10)*(E918/1000),Skills!L31/10)+Skills!O31</f>
        <v/>
      </c>
      <c r="G918">
        <f>Skills!G31*IF(Skills!H31&gt;0,INT(IF(Inputs!$B$38="pvp",MIN(Skills!I31,15),Skills!I31)/Skills!H31+0.000000001),1)</f>
        <v/>
      </c>
      <c r="H918">
        <f>1-(1-Skills!J31/100)^Skills!K31</f>
        <v/>
      </c>
      <c r="I918" t="inlineStr">
        <is>
          <t>1</t>
        </is>
      </c>
      <c r="J918" t="inlineStr"/>
      <c r="K918" t="inlineStr"/>
      <c r="L918" t="inlineStr"/>
      <c r="M918" t="inlineStr"/>
      <c r="N918" t="inlineStr"/>
      <c r="O918">
        <f>(1-Summary!$B$11)*T918+Summary!$B$11*V918</f>
        <v/>
      </c>
      <c r="P918">
        <f>IF(B932=0,0,O918/B932)</f>
        <v/>
      </c>
      <c r="Q918" t="n">
        <v>0</v>
      </c>
      <c r="R918" t="n">
        <v>0</v>
      </c>
      <c r="S918">
        <f>IFERROR(O918/N918,0)</f>
        <v/>
      </c>
      <c r="T918" t="n">
        <v>0</v>
      </c>
      <c r="V918" t="n">
        <v>0</v>
      </c>
    </row>
    <row r="919">
      <c r="A919">
        <f>Skills!A32</f>
        <v/>
      </c>
      <c r="B919">
        <f>Skills!B32</f>
        <v/>
      </c>
      <c r="C919">
        <f>Inputs!$B$3&gt;=45</f>
        <v/>
      </c>
      <c r="D919">
        <f>IF(Skills!C32=1,60+Inputs!$B$25+Inputs!$B$29,IF(Skills!C32=2,90+(Inputs!$B$26+1)+Inputs!$B$29,IF(Skills!C32=3,120+Inputs!$B$27+Inputs!$B$29,MAX(0,(Inputs!$B$3-100)*3)+Inputs!$B$28+Inputs!$B$29)))</f>
        <v/>
      </c>
      <c r="E919">
        <f>INDEX(FactorTable!$B$2:$Y$301, MATCH(ROUND(MIN(300,MAX(1,D919)),0), FactorTable!$A$2:$A$301,0), Skills!M32+1)</f>
        <v/>
      </c>
      <c r="F919">
        <f>IF(Skills!N32=TRUE,(Skills!L32/10)*(E919/1000),Skills!L32/10)+Skills!O32</f>
        <v/>
      </c>
      <c r="G919">
        <f>Skills!G32*IF(Skills!H32&gt;0,INT(IF(Inputs!$B$38="pvp",MIN(Skills!I32,15),Skills!I32)/Skills!H32+0.000000001),1)</f>
        <v/>
      </c>
      <c r="H919">
        <f>1-(1-Skills!J32/100)^Skills!K32</f>
        <v/>
      </c>
      <c r="I919" t="inlineStr">
        <is>
          <t>1</t>
        </is>
      </c>
      <c r="J919" t="inlineStr"/>
      <c r="K919" t="inlineStr"/>
      <c r="L919" t="inlineStr"/>
      <c r="M919" t="inlineStr"/>
      <c r="N919" t="inlineStr"/>
      <c r="O919">
        <f>(1-Summary!$B$11)*T919+Summary!$B$11*V919</f>
        <v/>
      </c>
      <c r="P919">
        <f>IF(B932=0,0,O919/B932)</f>
        <v/>
      </c>
      <c r="Q919" t="n">
        <v>0</v>
      </c>
      <c r="R919" t="n">
        <v>0</v>
      </c>
      <c r="S919">
        <f>IFERROR(O919/N919,0)</f>
        <v/>
      </c>
      <c r="T919" t="n">
        <v>0</v>
      </c>
      <c r="V919" t="n">
        <v>0</v>
      </c>
    </row>
    <row r="921">
      <c r="A921" t="inlineStr">
        <is>
          <t>Attack% Bucket Multiplier</t>
        </is>
      </c>
      <c r="B921">
        <f>(1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22">
      <c r="A922" t="inlineStr">
        <is>
          <t>Global Crit Rate Bonus %</t>
        </is>
      </c>
      <c r="B922" t="n">
        <v>0</v>
      </c>
    </row>
    <row r="923">
      <c r="A923" t="inlineStr">
        <is>
          <t>Attack Speed Buff Bonus %</t>
        </is>
      </c>
      <c r="B923">
        <f>((C908=TRUE)*F908*IF(AND(Inputs!$B$38&lt;&gt;"pvp",Inputs!$B$43&gt;0),(((R908-1)*MIN((Skills!T21*(1+Inputs!$B$34/100)),(1/Q908))+MIN((Skills!T21*(1+Inputs!$B$34/100)),MAX(0,Inputs!$B$43-((R908-1)*(1/Q908)))))/Inputs!$B$43),IF(Inputs!$B$38="pvp",MIN((Skills!T21*(1+Inputs!$B$34/100)),15)/15,MIN(1,(Skills!T21*(1+Inputs!$B$34/100))/(1/Q908)))))</f>
        <v/>
      </c>
    </row>
    <row r="924">
      <c r="A924" t="inlineStr">
        <is>
          <t>Actions Per Second</t>
        </is>
      </c>
      <c r="B924">
        <f>1+MIN(150,150*(1-(1-(Inputs!$B$11+((C910=TRUE)*(F910-Calc!F23))+((C911=TRUE)*(F911-Calc!F24)))/150)*(1-B923/150)))/100</f>
        <v/>
      </c>
    </row>
    <row r="925">
      <c r="A925" t="inlineStr">
        <is>
          <t>Skill + Buff Cast Rate</t>
        </is>
      </c>
      <c r="B925">
        <f>IF(AND(Inputs!$B$38&lt;&gt;"pvp",Inputs!$B$43&gt;0),SUMPRODUCT((Skills!E2:E32=TRUE)*(C889:C919=TRUE)*R889:R919*Skills!F2:F32)/Inputs!$B$43,SUMPRODUCT((Skills!E2:E32=TRUE)*(C889:C919=TRUE)*Q889:Q919*Skills!F2:F32))</f>
        <v/>
      </c>
    </row>
    <row r="926">
      <c r="A926" t="inlineStr">
        <is>
          <t>Arrow Stream Casts Per Second</t>
        </is>
      </c>
      <c r="B926">
        <f>MAX(0,B924-B925)</f>
        <v/>
      </c>
    </row>
    <row r="927">
      <c r="A927" t="inlineStr">
        <is>
          <t>Global Critical Damage Bonus % (Sharp Eyes + Concentration)</t>
        </is>
      </c>
      <c r="B927">
        <f>(C905=TRUE)*F905*IF(AND(Inputs!$B$38&lt;&gt;"pvp",Inputs!$B$43&gt;0),(((R905-1)*MIN((Skills!T18*(1+Inputs!$B$34/100)),(1/Q905))+MIN((Skills!T18*(1+Inputs!$B$34/100)),MAX(0,Inputs!$B$43-((R905-1)*(1/Q905)))))/Inputs!$B$43),IF(Inputs!$B$38="pvp",MIN((Skills!T18*(1+Inputs!$B$34/100)),15)/15,MIN(1,(Skills!T18*(1+Inputs!$B$34/100))/(1/Q905))))+(C906=TRUE)*7*F906</f>
        <v/>
      </c>
    </row>
    <row r="928">
      <c r="A928" t="inlineStr">
        <is>
          <t>Global Final Damage Bonus % (Mortal Blow)</t>
        </is>
      </c>
      <c r="B928">
        <f>(C907=TRUE)*F907</f>
        <v/>
      </c>
    </row>
    <row r="929">
      <c r="A929" t="inlineStr">
        <is>
          <t>Buff-Casting Startup Delay (s, fixed-duration only)</t>
        </is>
      </c>
      <c r="B929">
        <f>IF(AND(Inputs!$B$38&lt;&gt;"pvp",Inputs!$B$43&gt;0),SUMPRODUCT((Skills!T2:T32&gt;0)*(Skills!E2:E32=TRUE)*(C889:C919=TRUE))/B924,0)</f>
        <v/>
      </c>
    </row>
    <row r="930">
      <c r="A930" t="inlineStr">
        <is>
          <t>Boss-Only Total DPS (this block's swept value)</t>
        </is>
      </c>
      <c r="B930">
        <f>SUM(T889:T919)</f>
        <v/>
      </c>
    </row>
    <row r="931">
      <c r="A931" t="inlineStr">
        <is>
          <t>Normal-Only Total DPS (this block's swept value)</t>
        </is>
      </c>
      <c r="B931">
        <f>SUM(V889:V919)</f>
        <v/>
      </c>
    </row>
    <row r="932">
      <c r="A932" s="6" t="inlineStr">
        <is>
          <t>TOTAL DPS</t>
        </is>
      </c>
      <c r="B932" s="6">
        <f>SUM(O889:O919)</f>
        <v/>
      </c>
    </row>
    <row r="935">
      <c r="A935" s="6" t="inlineStr">
        <is>
          <t>Stat: Skill Level Bonus — 3rd Job</t>
        </is>
      </c>
    </row>
    <row r="936">
      <c r="A936" s="5" t="inlineStr">
        <is>
          <t>Key</t>
        </is>
      </c>
      <c r="B936" s="5" t="inlineStr">
        <is>
          <t>Name</t>
        </is>
      </c>
      <c r="C936" s="5" t="inlineStr">
        <is>
          <t>Unlocked</t>
        </is>
      </c>
      <c r="D936" s="5" t="inlineStr">
        <is>
          <t>InputLevel</t>
        </is>
      </c>
      <c r="E936" s="5" t="inlineStr">
        <is>
          <t>Factor</t>
        </is>
      </c>
      <c r="F936" s="5" t="inlineStr">
        <is>
          <t>CoefficientPercent</t>
        </is>
      </c>
      <c r="G936" s="5" t="inlineStr">
        <is>
          <t>EffectiveHits</t>
        </is>
      </c>
      <c r="H936" s="5" t="inlineStr">
        <is>
          <t>ProcProbability</t>
        </is>
      </c>
      <c r="I936" s="5" t="inlineStr">
        <is>
          <t>MapleHeroMultiplier</t>
        </is>
      </c>
      <c r="J936" s="5" t="inlineStr">
        <is>
          <t>BaseDamage</t>
        </is>
      </c>
      <c r="K936" s="5" t="inlineStr">
        <is>
          <t>BaseHitDamage</t>
        </is>
      </c>
      <c r="L936" s="5" t="inlineStr">
        <is>
          <t>NonCritAvg</t>
        </is>
      </c>
      <c r="M936" s="5" t="inlineStr">
        <is>
          <t>CritAvg</t>
        </is>
      </c>
      <c r="N936" s="5" t="inlineStr">
        <is>
          <t>ExpectedDamage(perHit)</t>
        </is>
      </c>
      <c r="O936" s="5" t="inlineStr">
        <is>
          <t>DPS</t>
        </is>
      </c>
      <c r="P936" s="5" t="inlineStr">
        <is>
          <t>% of Total</t>
        </is>
      </c>
      <c r="Q936" s="5" t="inlineStr">
        <is>
          <t>InvCooldown</t>
        </is>
      </c>
      <c r="R936" s="5" t="inlineStr">
        <is>
          <t>CastsInFight</t>
        </is>
      </c>
      <c r="S936" s="5" t="inlineStr">
        <is>
          <t>HitRate(perSec)</t>
        </is>
      </c>
      <c r="U936" t="inlineStr">
        <is>
          <t>helpers</t>
        </is>
      </c>
    </row>
    <row r="937">
      <c r="A937">
        <f>Skills!A2</f>
        <v/>
      </c>
      <c r="B937">
        <f>Skills!B2</f>
        <v/>
      </c>
      <c r="C937">
        <f>Inputs!$B$3&gt;=100</f>
        <v/>
      </c>
      <c r="D937" t="inlineStr"/>
      <c r="E937" t="inlineStr"/>
      <c r="F937">
        <f>U939+Skills!O2</f>
        <v/>
      </c>
      <c r="G937">
        <f>Skills!G2*IF(Skills!H2&gt;0,INT(IF(Inputs!$B$38="pvp",MIN(Skills!I2,15),Skills!I2)/Skills!H2+0.000000001),1)</f>
        <v/>
      </c>
      <c r="H937">
        <f>1-(1-Skills!J2/100)^Skills!K2</f>
        <v/>
      </c>
      <c r="I937" t="inlineStr">
        <is>
          <t>1</t>
        </is>
      </c>
      <c r="J937">
        <f>((Inputs!$B$6*(1+Inputs!$B$7/100))+(((Inputs!$B$12*(1+Inputs!$B$13/100))-(Inputs!$B$12*(1+Inputs!$B$13/100)))+0.25*(Inputs!$B$14-Inputs!$B$14))*(1+Inputs!$B$7/100))*(F937/100)</f>
        <v/>
      </c>
      <c r="K937">
        <f>J937*(1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961=TRUE)*(F961-Calc!F26)),(Inputs!$B$23+((C966=TRUE)*(F966-Calc!F31))+(IF(ArtifactsInput!$M$15,CHOOSE(ArtifactsInput!$N$15+1,25,30,35,40,45,50)/100*(Inputs!$B$11-Inputs!$B$11),0))))/100+(Inputs!$B$23+((C966=TRUE)*(F966-Calc!F31))+(IF(ArtifactsInput!$M$15,CHOOSE(ArtifactsInput!$N$15+1,25,30,35,40,45,50)/100*(Inputs!$B$11-Inputs!$B$11),0)))/100)/2</f>
        <v/>
      </c>
      <c r="M937">
        <f>L937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IF(B980=0,0,O937/B980)</f>
        <v/>
      </c>
      <c r="Q937" t="n">
        <v>0</v>
      </c>
      <c r="R937" t="n">
        <v>0</v>
      </c>
      <c r="S937">
        <f>IFERROR(O937/N937,0)</f>
        <v/>
      </c>
      <c r="T937">
        <f>IF(C937,(Skills!G2*N937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MAX(0,(Inputs!$B$3-100)*3)+Inputs!$B$28+Inputs!$B$29</f>
        <v/>
      </c>
      <c r="V937">
        <f>IF(C937,(Skills!G2*N937*B974)*IF(Inputs!$B$38="pvp",1,(1+(Inputs!$B$21+Skills!Q2+(IF(ArtifactsInput!$M$33,CHOOSE(ArtifactsInput!$N$33+1,30,36,42,48,54,60),0))+(IF(AND(ArtifactsInput!$M$35,Inputs!$B$4&lt;&gt;"Chapter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Skills!A3</f>
        <v/>
      </c>
      <c r="B938">
        <f>Skills!B3</f>
        <v/>
      </c>
      <c r="C938">
        <f>Inputs!$B$3&gt;=50</f>
        <v/>
      </c>
      <c r="D938">
        <f>IF(Skills!C3=1,60+Inputs!$B$25+Inputs!$B$29,IF(Skills!C3=2,90+Inputs!$B$26+Inputs!$B$29,IF(Skills!C3=3,120+(Inputs!$B$27+1)+Inputs!$B$29,MAX(0,(Inputs!$B$3-100)*3)+Inputs!$B$28+Inputs!$B$29)))</f>
        <v/>
      </c>
      <c r="E938">
        <f>INDEX(FactorTable!$B$2:$Y$301, MATCH(ROUND(MIN(300,MAX(1,D938)),0), FactorTable!$A$2:$A$301,0), Skills!M3+1)</f>
        <v/>
      </c>
      <c r="F938">
        <f>IF(Skills!N3=TRUE,(Skills!L3/10)*(E938/1000),Skills!L3/10)+Skills!O3</f>
        <v/>
      </c>
      <c r="G938">
        <f>Skills!G3*IF(Skills!H3&gt;0,INT(IF(Inputs!$B$38="pvp",MIN(Skills!I3,15),Skills!I3)/Skills!H3+0.000000001),1)</f>
        <v/>
      </c>
      <c r="H938">
        <f>1-(1-Skills!J3/100)^Skills!K3</f>
        <v/>
      </c>
      <c r="I938" t="inlineStr">
        <is>
          <t>1</t>
        </is>
      </c>
      <c r="J938">
        <f>((Inputs!$B$6*(1+Inputs!$B$7/100))+(((Inputs!$B$12*(1+Inputs!$B$13/100))-(Inputs!$B$12*(1+Inputs!$B$13/100)))+0.25*(Inputs!$B$14-Inputs!$B$14))*(1+Inputs!$B$7/100))*(F938/100)</f>
        <v/>
      </c>
      <c r="K938">
        <f>J938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939=TRUE,F939,0)/100)*(1+(IF(Skills!A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961=TRUE)*(F961-Calc!F26)),(Inputs!$B$23+((C966=TRUE)*(F966-Calc!F31))+(IF(ArtifactsInput!$M$15,CHOOSE(ArtifactsInput!$N$15+1,25,30,35,40,45,50)/100*(Inputs!$B$11-Inputs!$B$11),0))))/100+(Inputs!$B$23+((C966=TRUE)*(F966-Calc!F31))+(IF(ArtifactsInput!$M$15,CHOOSE(ArtifactsInput!$N$15+1,25,30,35,40,45,50)/100*(Inputs!$B$11-Inputs!$B$11),0)))/100)/2</f>
        <v/>
      </c>
      <c r="M938">
        <f>L938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IF(B980=0,0,O938/B980)</f>
        <v/>
      </c>
      <c r="Q938">
        <f>IFERROR(1/(IF(Inputs!$B$38="pvp",15,MAX(0.1,1/B972-IF(FALSE=TRUE,Inputs!$B$32,0)))*(1-IF(AND(ArtifactsInput!$M$27,Inputs!$B$4="Chapter Hunt"),CHOOSE(ArtifactsInput!$N$27+1,20,24,28,32,36,40),0)/100)),0)</f>
        <v/>
      </c>
      <c r="R938">
        <f>IF(AND(Inputs!$B$38&lt;&gt;"pvp",Inputs!$B$43&gt;0),IF(MAX(0,Inputs!$B$43-B977)&lt;=0,0,(INT(MAX(0,Inputs!$B$43-B977)/(IF(Inputs!$B$38="pvp",15,MAX(0.1,1/B972-IF(FALSE=TRUE,Inputs!$B$32,0)))*(1-IF(AND(ArtifactsInput!$M$27,Inputs!$B$4="Chapter Hunt"),CHOOSE(ArtifactsInput!$N$27+1,20,24,28,32,36,40),0)/100)))+1)),0)</f>
        <v/>
      </c>
      <c r="S938">
        <f>IFERROR(O938/N938,0)</f>
        <v/>
      </c>
      <c r="T938">
        <f>IF(C938,(H938*N938*IF(AND(Inputs!$B$38&lt;&gt;"pvp",Inputs!$B$43&gt;0),((Skills!G3*((R938-1)*IF(Skills!H3&gt;0,INT(Skills!I3/Skills!H3+0.000000001),1)+IF(Skills!H3&gt;0,INT(MIN(Skills!I3,MAX(0,MAX(0,Inputs!$B$43-B977)-((R938-1)*(IF(Inputs!$B$38="pvp",15,MAX(0.1,1/B972-IF(FALSE=TRUE,Inputs!$B$32,0)))*(1-IF(AND(ArtifactsInput!$M$27,Inputs!$B$4="Chapter Hunt"),CHOOSE(ArtifactsInput!$N$27+1,20,24,28,32,36,40),0)/100)))))/Skills!H3+0.000000001),1)))/Inputs!$B$43),G938*Q938)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INDEX(FactorTable!$B$2:$Y$301, MATCH(ROUND(MIN(300,MAX(1,U937)),0), FactorTable!$A$2:$A$301,0), 22)</f>
        <v/>
      </c>
      <c r="V938">
        <f>IF(C938,(H938*N938*IF(AND(Inputs!$B$38&lt;&gt;"pvp",Inputs!$B$43&gt;0),((Skills!G3*((R938-1)*IF(Skills!H3&gt;0,INT(Skills!I3/Skills!H3+0.000000001),1)+IF(Skills!H3&gt;0,INT(MIN(Skills!I3,MAX(0,MAX(0,Inputs!$B$43-B977)-((R938-1)*(IF(Inputs!$B$38="pvp",15,MAX(0.1,1/B972-IF(FALSE=TRUE,Inputs!$B$32,0)))*(1-IF(AND(ArtifactsInput!$M$27,Inputs!$B$4="Chapter Hunt"),CHOOSE(ArtifactsInput!$N$27+1,20,24,28,32,36,40),0)/100)))))/Skills!H3+0.000000001),1)))/Inputs!$B$43),G938*Q938))*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Skills!A4</f>
        <v/>
      </c>
      <c r="B939">
        <f>Skills!B4</f>
        <v/>
      </c>
      <c r="C939">
        <f>Inputs!$B$3&gt;=105</f>
        <v/>
      </c>
      <c r="D939">
        <f>IF(Skills!C4=1,60+Inputs!$B$25+Inputs!$B$29,IF(Skills!C4=2,90+Inputs!$B$26+Inputs!$B$29,IF(Skills!C4=3,120+(Inputs!$B$27+1)+Inputs!$B$29,MAX(0,(Inputs!$B$3-100)*3)+Inputs!$B$28+Inputs!$B$29)))</f>
        <v/>
      </c>
      <c r="E939">
        <f>INDEX(FactorTable!$B$2:$Y$301, MATCH(ROUND(MIN(300,MAX(1,D939)),0), FactorTable!$A$2:$A$301,0), Skills!M4+1)</f>
        <v/>
      </c>
      <c r="F939">
        <f>IF(Skills!N4=TRUE,(Skills!L4/10)*(E939/1000),Skills!L4/10)+Skills!O4</f>
        <v/>
      </c>
      <c r="G939" t="inlineStr"/>
      <c r="H939" t="inlineStr"/>
      <c r="I939" t="inlineStr">
        <is>
          <t>1</t>
        </is>
      </c>
      <c r="J939" t="inlineStr"/>
      <c r="K939" t="inlineStr"/>
      <c r="L939" t="inlineStr"/>
      <c r="M939" t="inlineStr"/>
      <c r="N939" t="inlineStr"/>
      <c r="O939" t="inlineStr"/>
      <c r="P939" t="inlineStr"/>
      <c r="Q939" t="inlineStr"/>
      <c r="R939" t="inlineStr"/>
      <c r="S939" t="inlineStr"/>
      <c r="T939" t="inlineStr"/>
      <c r="U939">
        <f>290*U938/1000</f>
        <v/>
      </c>
      <c r="V939" t="inlineStr"/>
    </row>
    <row r="940">
      <c r="A940">
        <f>Skills!A5</f>
        <v/>
      </c>
      <c r="B940">
        <f>Skills!B5</f>
        <v/>
      </c>
      <c r="C940">
        <f>Inputs!$B$3&gt;=35</f>
        <v/>
      </c>
      <c r="D940">
        <f>IF(Skills!C5=1,60+Inputs!$B$25+Inputs!$B$29,IF(Skills!C5=2,90+Inputs!$B$26+Inputs!$B$29,IF(Skills!C5=3,120+(Inputs!$B$27+1)+Inputs!$B$29,MAX(0,(Inputs!$B$3-100)*3)+Inputs!$B$28+Inputs!$B$29)))</f>
        <v/>
      </c>
      <c r="E940">
        <f>INDEX(FactorTable!$B$2:$Y$301, MATCH(ROUND(MIN(300,MAX(1,D940)),0), FactorTable!$A$2:$A$301,0), Skills!M5+1)</f>
        <v/>
      </c>
      <c r="F940">
        <f>IF(Skills!N5=TRUE,(Skills!L5/10)*(E940/1000),Skills!L5/10)+Skills!O5</f>
        <v/>
      </c>
      <c r="G940">
        <f>Skills!G5*IF(Skills!H5&gt;0,INT(IF(Inputs!$B$38="pvp",MIN(Skills!I5,15),Skills!I5)/Skills!H5+0.000000001),1)</f>
        <v/>
      </c>
      <c r="H940">
        <f>1-(1-Skills!J5/100)^Skills!K5</f>
        <v/>
      </c>
      <c r="I940" t="inlineStr">
        <is>
          <t>1</t>
        </is>
      </c>
      <c r="J940">
        <f>((Inputs!$B$6*(1+Inputs!$B$7/100))+(((Inputs!$B$12*(1+Inputs!$B$13/100))-(Inputs!$B$12*(1+Inputs!$B$13/100)))+0.25*(Inputs!$B$14-Inputs!$B$14))*(1+Inputs!$B$7/100))*(F940/100)</f>
        <v/>
      </c>
      <c r="K940">
        <f>J940*(1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947=TRUE,F947,0)/100)*(1+(IF(Skills!A5="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961=TRUE)*(F961-Calc!F26)),(Inputs!$B$23+((C966=TRUE)*(F966-Calc!F31))+(IF(ArtifactsInput!$M$15,CHOOSE(ArtifactsInput!$N$15+1,25,30,35,40,45,50)/100*(Inputs!$B$11-Inputs!$B$11),0))))/100+(Inputs!$B$23+((C966=TRUE)*(F966-Calc!F31))+(IF(ArtifactsInput!$M$15,CHOOSE(ArtifactsInput!$N$15+1,25,30,35,40,45,50)/100*(Inputs!$B$11-Inputs!$B$11),0)))/100)/2</f>
        <v/>
      </c>
      <c r="M940">
        <f>L940*(1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IF(B980=0,0,O940/B980)</f>
        <v/>
      </c>
      <c r="Q940">
        <f>IFERROR(1/(IF(Inputs!$B$38="pvp",15,MAX(0.1,Skills!D5-IF(TRUE=TRUE,Inputs!$B$32,0)))*(1-IF(AND(ArtifactsInput!$M$27,Inputs!$B$4="Chapter Hunt"),CHOOSE(ArtifactsInput!$N$27+1,20,24,28,32,36,40),0)/100)),0)</f>
        <v/>
      </c>
      <c r="R940">
        <f>IF(AND(Inputs!$B$38&lt;&gt;"pvp",Inputs!$B$43&gt;0),IF(MAX(0,Inputs!$B$43-B977)&lt;=0,0,(INT(MAX(0,Inputs!$B$43-B977)/(IF(Inputs!$B$38="pvp",15,MAX(0.1,Skills!D5-IF(TRUE=TRUE,Inputs!$B$32,0)))*(1-IF(AND(ArtifactsInput!$M$27,Inputs!$B$4="Chapter Hunt"),CHOOSE(ArtifactsInput!$N$27+1,20,24,28,32,36,40),0)/100)))+1)),0)</f>
        <v/>
      </c>
      <c r="S940">
        <f>IFERROR(O940/N940,0)</f>
        <v/>
      </c>
      <c r="T940">
        <f>IF(C940,(H940*N940*IF(AND(Inputs!$B$38&lt;&gt;"pvp",Inputs!$B$43&gt;0),((Skills!G5*((R940-1)*IF(Skills!H5&gt;0,INT(Skills!I5/Skills!H5+0.000000001),1)+IF(Skills!H5&gt;0,INT(MIN(Skills!I5,MAX(0,MAX(0,Inputs!$B$43-B977)-((R940-1)*(IF(Inputs!$B$38="pvp",15,MAX(0.1,Skills!D5-IF(TRUE=TRUE,Inputs!$B$32,0)))*(1-IF(AND(ArtifactsInput!$M$27,Inputs!$B$4="Chapter Hunt"),CHOOSE(ArtifactsInput!$N$27+1,20,24,28,32,36,40),0)/100)))))/Skills!H5+0.000000001),1)))/Inputs!$B$43),G940*Q940)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5*((R940-1)*IF(Skills!H5&gt;0,INT(Skills!I5/Skills!H5+0.000000001),1)+IF(Skills!H5&gt;0,INT(MIN(Skills!I5,MAX(0,MAX(0,Inputs!$B$43-B977)-((R940-1)*(IF(Inputs!$B$38="pvp",15,MAX(0.1,Skills!D5-IF(TRUE=TRUE,Inputs!$B$32,0)))*(1-IF(AND(ArtifactsInput!$M$27,Inputs!$B$4="Chapter Hunt"),CHOOSE(ArtifactsInput!$N$27+1,20,24,28,32,36,40),0)/100)))))/Skills!H5+0.000000001),1)))/Inputs!$B$43),G940*Q940))*IF(Inputs!$B$38="pvp",1,(1+(Inputs!$B$21+Skills!Q5+(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Skills!A6</f>
        <v/>
      </c>
      <c r="B941">
        <f>Skills!B6</f>
        <v/>
      </c>
      <c r="C941">
        <f>Inputs!$B$3&gt;=40</f>
        <v/>
      </c>
      <c r="D941">
        <f>IF(Skills!C6=1,60+Inputs!$B$25+Inputs!$B$29,IF(Skills!C6=2,90+Inputs!$B$26+Inputs!$B$29,IF(Skills!C6=3,120+(Inputs!$B$27+1)+Inputs!$B$29,MAX(0,(Inputs!$B$3-100)*3)+Inputs!$B$28+Inputs!$B$29)))</f>
        <v/>
      </c>
      <c r="E941">
        <f>INDEX(FactorTable!$B$2:$Y$301, MATCH(ROUND(MIN(300,MAX(1,D941)),0), FactorTable!$A$2:$A$301,0), Skills!M6+1)</f>
        <v/>
      </c>
      <c r="F941">
        <f>IF(Skills!N6=TRUE,(Skills!L6/10)*(E941/1000),Skills!L6/10)+Skills!O6</f>
        <v/>
      </c>
      <c r="G941">
        <f>Skills!G6*IF(Skills!H6&gt;0,INT(IF(Inputs!$B$38="pvp",MIN(Skills!I6,15),Skills!I6)/Skills!H6+0.000000001),1)</f>
        <v/>
      </c>
      <c r="H941">
        <f>1-(1-Skills!J6/100)^Skills!K6</f>
        <v/>
      </c>
      <c r="I941" t="inlineStr">
        <is>
          <t>1</t>
        </is>
      </c>
      <c r="J941">
        <f>((Inputs!$B$6*(1+Inputs!$B$7/100))+(((Inputs!$B$12*(1+Inputs!$B$13/100))-(Inputs!$B$12*(1+Inputs!$B$13/100)))+0.25*(Inputs!$B$14-Inputs!$B$14))*(1+Inputs!$B$7/100))*(F941/100)</f>
        <v/>
      </c>
      <c r="K941">
        <f>J941*(1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942=TRUE,F942,0)/100)*(1+(IF(Skills!A6="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961=TRUE)*(F961-Calc!F26)),(Inputs!$B$23+((C966=TRUE)*(F966-Calc!F31))+(IF(ArtifactsInput!$M$15,CHOOSE(ArtifactsInput!$N$15+1,25,30,35,40,45,50)/100*(Inputs!$B$11-Inputs!$B$11),0))))/100+(Inputs!$B$23+((C966=TRUE)*(F966-Calc!F31))+(IF(ArtifactsInput!$M$15,CHOOSE(ArtifactsInput!$N$15+1,25,30,35,40,45,50)/100*(Inputs!$B$11-Inputs!$B$11),0)))/100)/2</f>
        <v/>
      </c>
      <c r="M941">
        <f>L941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IF(B980=0,0,O941/B980)</f>
        <v/>
      </c>
      <c r="Q941">
        <f>IFERROR(1/(IF(Inputs!$B$38="pvp",15,MAX(0.1,1-0.4*MIN(1,(B972-1)/1.5)-IF(FALSE=TRUE,Inputs!$B$32,0)))*(1-IF(AND(ArtifactsInput!$M$27,Inputs!$B$4="Chapter Hunt"),CHOOSE(ArtifactsInput!$N$27+1,20,24,28,32,36,40),0)/100)),0)</f>
        <v/>
      </c>
      <c r="R941">
        <f>IF(AND(Inputs!$B$38&lt;&gt;"pvp",Inputs!$B$43&gt;0),IF(MAX(0,Inputs!$B$43-B977)&lt;=0,0,(INT(MAX(0,Inputs!$B$43-B977)/(IF(Inputs!$B$38="pvp",15,MAX(0.1,1-0.4*MIN(1,(B972-1)/1.5)-IF(FALSE=TRUE,Inputs!$B$32,0)))*(1-IF(AND(ArtifactsInput!$M$27,Inputs!$B$4="Chapter Hunt"),CHOOSE(ArtifactsInput!$N$27+1,20,24,28,32,36,40),0)/100)))+1)),0)</f>
        <v/>
      </c>
      <c r="S941">
        <f>IFERROR(O941/N941,0)</f>
        <v/>
      </c>
      <c r="T941">
        <f>IF(C941,(H941*N941*IF(AND(Inputs!$B$38&lt;&gt;"pvp",Inputs!$B$43&gt;0),((Skills!G6*((R941-1)*IF(Skills!H6&gt;0,INT(Skills!I6/Skills!H6+0.000000001),1)+IF(Skills!H6&gt;0,INT(MIN(Skills!I6,MAX(0,MAX(0,Inputs!$B$43-B977)-((R941-1)*(IF(Inputs!$B$38="pvp",15,MAX(0.1,1-0.4*MIN(1,(B972-1)/1.5)-IF(FALSE=TRUE,Inputs!$B$32,0)))*(1-IF(AND(ArtifactsInput!$M$27,Inputs!$B$4="Chapter Hunt"),CHOOSE(ArtifactsInput!$N$27+1,20,24,28,32,36,40),0)/100)))))/Skills!H6+0.000000001),1)))/Inputs!$B$43),G941*Q941)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6*((R941-1)*IF(Skills!H6&gt;0,INT(Skills!I6/Skills!H6+0.000000001),1)+IF(Skills!H6&gt;0,INT(MIN(Skills!I6,MAX(0,MAX(0,Inputs!$B$43-B977)-((R941-1)*(IF(Inputs!$B$38="pvp",15,MAX(0.1,1-0.4*MIN(1,(B972-1)/1.5)-IF(FALSE=TRUE,Inputs!$B$32,0)))*(1-IF(AND(ArtifactsInput!$M$27,Inputs!$B$4="Chapter Hunt"),CHOOSE(ArtifactsInput!$N$27+1,20,24,28,32,36,40),0)/100)))))/Skills!H6+0.000000001),1)))/Inputs!$B$43),G941*Q941)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Skills!A7</f>
        <v/>
      </c>
      <c r="B942">
        <f>Skills!B7</f>
        <v/>
      </c>
      <c r="C942">
        <f>Inputs!$B$3&gt;=107</f>
        <v/>
      </c>
      <c r="D942">
        <f>IF(Skills!C7=1,60+Inputs!$B$25+Inputs!$B$29,IF(Skills!C7=2,90+Inputs!$B$26+Inputs!$B$29,IF(Skills!C7=3,120+(Inputs!$B$27+1)+Inputs!$B$29,MAX(0,(Inputs!$B$3-100)*3)+Inputs!$B$28+Inputs!$B$29)))</f>
        <v/>
      </c>
      <c r="E942">
        <f>INDEX(FactorTable!$B$2:$Y$301, MATCH(ROUND(MIN(300,MAX(1,D942)),0), FactorTable!$A$2:$A$301,0), Skills!M7+1)</f>
        <v/>
      </c>
      <c r="F942">
        <f>IF(Skills!N7=TRUE,(Skills!L7/10)*(E942/1000),Skills!L7/10)+Skills!O7</f>
        <v/>
      </c>
      <c r="G942" t="inlineStr"/>
      <c r="H942" t="inlineStr"/>
      <c r="I942" t="inlineStr">
        <is>
          <t>1</t>
        </is>
      </c>
      <c r="J942" t="inlineStr"/>
      <c r="K942" t="inlineStr"/>
      <c r="L942" t="inlineStr"/>
      <c r="M942" t="inlineStr"/>
      <c r="N942" t="inlineStr"/>
      <c r="O942" t="inlineStr"/>
      <c r="P942" t="inlineStr"/>
      <c r="Q942" t="inlineStr"/>
      <c r="R942" t="inlineStr"/>
      <c r="S942" t="inlineStr"/>
      <c r="T942" t="inlineStr"/>
      <c r="V942" t="inlineStr"/>
    </row>
    <row r="943">
      <c r="A943">
        <f>Skills!A8</f>
        <v/>
      </c>
      <c r="B943">
        <f>Skills!B8</f>
        <v/>
      </c>
      <c r="C943">
        <f>Inputs!$B$3&gt;=130</f>
        <v/>
      </c>
      <c r="D943">
        <f>IF(Skills!C8=1,60+Inputs!$B$25+Inputs!$B$29,IF(Skills!C8=2,90+Inputs!$B$26+Inputs!$B$29,IF(Skills!C8=3,120+(Inputs!$B$27+1)+Inputs!$B$29,MAX(0,(Inputs!$B$3-100)*3)+Inputs!$B$28+Inputs!$B$29)))</f>
        <v/>
      </c>
      <c r="E943">
        <f>INDEX(FactorTable!$B$2:$Y$301, MATCH(ROUND(MIN(300,MAX(1,D943)),0), FactorTable!$A$2:$A$301,0), Skills!M8+1)</f>
        <v/>
      </c>
      <c r="F943">
        <f>IF(Skills!N8=TRUE,(Skills!L8/10)*(E943/1000),Skills!L8/10)+Skills!O8</f>
        <v/>
      </c>
      <c r="G943">
        <f>Skills!G8*IF(Skills!H8&gt;0,INT(IF(Inputs!$B$38="pvp",MIN(Skills!I8,15),Skills!I8)/Skills!H8+0.000000001),1)</f>
        <v/>
      </c>
      <c r="H943">
        <f>1-(1-Skills!J8/100)^Skills!K8</f>
        <v/>
      </c>
      <c r="I943" t="inlineStr">
        <is>
          <t>1</t>
        </is>
      </c>
      <c r="J943">
        <f>((Inputs!$B$6*(1+Inputs!$B$7/100))+(((Inputs!$B$12*(1+Inputs!$B$13/100))-(Inputs!$B$12*(1+Inputs!$B$13/100)))+0.25*(Inputs!$B$14-Inputs!$B$14))*(1+Inputs!$B$7/100))*(F943/100)</f>
        <v/>
      </c>
      <c r="K943">
        <f>J943*(1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961=TRUE)*(F961-Calc!F26)),(Inputs!$B$23+((C966=TRUE)*(F966-Calc!F31))+(IF(ArtifactsInput!$M$15,CHOOSE(ArtifactsInput!$N$15+1,25,30,35,40,45,50)/100*(Inputs!$B$11-Inputs!$B$11),0))))/100+(Inputs!$B$23+((C966=TRUE)*(F966-Calc!F31))+(IF(ArtifactsInput!$M$15,CHOOSE(ArtifactsInput!$N$15+1,25,30,35,40,45,50)/100*(Inputs!$B$11-Inputs!$B$11),0)))/100)/2</f>
        <v/>
      </c>
      <c r="M943">
        <f>L943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IF(B980=0,0,O943/B980)</f>
        <v/>
      </c>
      <c r="Q943">
        <f>IFERROR(1/(IF(Inputs!$B$38="pvp",15,MAX(0.1,1-0.4*MIN(1,(B972-1)/1.5)-IF(FALSE=TRUE,Inputs!$B$32,0)))*(1-IF(AND(ArtifactsInput!$M$27,Inputs!$B$4="Chapter Hunt"),CHOOSE(ArtifactsInput!$N$27+1,20,24,28,32,36,40),0)/100)),0)</f>
        <v/>
      </c>
      <c r="R943">
        <f>IF(AND(Inputs!$B$38&lt;&gt;"pvp",Inputs!$B$43&gt;0),IF(MAX(0,Inputs!$B$43-B977)&lt;=0,0,(INT(MAX(0,Inputs!$B$43-B977)/(IF(Inputs!$B$38="pvp",15,MAX(0.1,1-0.4*MIN(1,(B972-1)/1.5)-IF(FALSE=TRUE,Inputs!$B$32,0)))*(1-IF(AND(ArtifactsInput!$M$27,Inputs!$B$4="Chapter Hunt"),CHOOSE(ArtifactsInput!$N$27+1,20,24,28,32,36,40),0)/100)))+1)),0)</f>
        <v/>
      </c>
      <c r="S943">
        <f>IFERROR(O943/N943,0)</f>
        <v/>
      </c>
      <c r="T943">
        <f>IF(C943,(H943*N943*IF(AND(Inputs!$B$38&lt;&gt;"pvp",Inputs!$B$43&gt;0),((Skills!G8*((R943-1)*IF(Skills!H8&gt;0,INT(Skills!I8/Skills!H8+0.000000001),1)+IF(Skills!H8&gt;0,INT(MIN(Skills!I8,MAX(0,MAX(0,Inputs!$B$43-B977)-((R943-1)*(IF(Inputs!$B$38="pvp",15,MAX(0.1,1-0.4*MIN(1,(B972-1)/1.5)-IF(FALSE=TRUE,Inputs!$B$32,0)))*(1-IF(AND(ArtifactsInput!$M$27,Inputs!$B$4="Chapter Hunt"),CHOOSE(ArtifactsInput!$N$27+1,20,24,28,32,36,40),0)/100)))))/Skills!H8+0.000000001),1)))/Inputs!$B$43),G943*Q943)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8*((R943-1)*IF(Skills!H8&gt;0,INT(Skills!I8/Skills!H8+0.000000001),1)+IF(Skills!H8&gt;0,INT(MIN(Skills!I8,MAX(0,MAX(0,Inputs!$B$43-B977)-((R943-1)*(IF(Inputs!$B$38="pvp",15,MAX(0.1,1-0.4*MIN(1,(B972-1)/1.5)-IF(FALSE=TRUE,Inputs!$B$32,0)))*(1-IF(AND(ArtifactsInput!$M$27,Inputs!$B$4="Chapter Hunt"),CHOOSE(ArtifactsInput!$N$27+1,20,24,28,32,36,40),0)/100)))))/Skills!H8+0.000000001),1)))/Inputs!$B$43),G943*Q943)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Skills!A9</f>
        <v/>
      </c>
      <c r="B944">
        <f>Skills!B9</f>
        <v/>
      </c>
      <c r="C944">
        <f>Inputs!$B$3&gt;=69</f>
        <v/>
      </c>
      <c r="D944">
        <f>IF(Skills!C9=1,60+Inputs!$B$25+Inputs!$B$29,IF(Skills!C9=2,90+Inputs!$B$26+Inputs!$B$29,IF(Skills!C9=3,120+(Inputs!$B$27+1)+Inputs!$B$29,MAX(0,(Inputs!$B$3-100)*3)+Inputs!$B$28+Inputs!$B$29)))</f>
        <v/>
      </c>
      <c r="E944">
        <f>INDEX(FactorTable!$B$2:$Y$301, MATCH(ROUND(MIN(300,MAX(1,D944)),0), FactorTable!$A$2:$A$301,0), Skills!M9+1)</f>
        <v/>
      </c>
      <c r="F944">
        <f>IF(Skills!N9=TRUE,(Skills!L9/10)*(E944/1000),Skills!L9/10)+Skills!O9</f>
        <v/>
      </c>
      <c r="G944">
        <f>Skills!G9*IF(Skills!H9&gt;0,INT(IF(Inputs!$B$38="pvp",MIN(Skills!I9,15),Skills!I9)/Skills!H9+0.000000001),1)</f>
        <v/>
      </c>
      <c r="H944">
        <f>1-(1-Skills!J9/100)^Skills!K9</f>
        <v/>
      </c>
      <c r="I944" t="inlineStr">
        <is>
          <t>1</t>
        </is>
      </c>
      <c r="J944">
        <f>((Inputs!$B$6*(1+Inputs!$B$7/100))+(((Inputs!$B$12*(1+Inputs!$B$13/100))-(Inputs!$B$12*(1+Inputs!$B$13/100)))+0.25*(Inputs!$B$14-Inputs!$B$14))*(1+Inputs!$B$7/100))*(F944/100)</f>
        <v/>
      </c>
      <c r="K944">
        <f>J944*(1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947=TRUE,F947,0)/100)*(1+(IF(Skills!A9="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961=TRUE)*(F961-Calc!F26)),(Inputs!$B$23+((C966=TRUE)*(F966-Calc!F31))+(IF(ArtifactsInput!$M$15,CHOOSE(ArtifactsInput!$N$15+1,25,30,35,40,45,50)/100*(Inputs!$B$11-Inputs!$B$11),0))))/100+(Inputs!$B$23+((C966=TRUE)*(F966-Calc!F31))+(IF(ArtifactsInput!$M$15,CHOOSE(ArtifactsInput!$N$15+1,25,30,35,40,45,50)/100*(Inputs!$B$11-Inputs!$B$11),0)))/100)/2</f>
        <v/>
      </c>
      <c r="M944">
        <f>L944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IF(B980=0,0,O944/B980)</f>
        <v/>
      </c>
      <c r="Q944">
        <f>IFERROR(1/(IF(Inputs!$B$38="pvp",15,MAX(0.1,Skills!D9-IF(TRUE=TRUE,Inputs!$B$32,0)))*(1-IF(AND(ArtifactsInput!$M$27,Inputs!$B$4="Chapter Hunt"),CHOOSE(ArtifactsInput!$N$27+1,20,24,28,32,36,40),0)/100)),0)</f>
        <v/>
      </c>
      <c r="R944">
        <f>IF(AND(Inputs!$B$38&lt;&gt;"pvp",Inputs!$B$43&gt;0),IF(MAX(0,Inputs!$B$43-B977)&lt;=0,0,(INT(MAX(0,Inputs!$B$43-B977)/(IF(Inputs!$B$38="pvp",15,MAX(0.1,Skills!D9-IF(TRUE=TRUE,Inputs!$B$32,0)))*(1-IF(AND(ArtifactsInput!$M$27,Inputs!$B$4="Chapter Hunt"),CHOOSE(ArtifactsInput!$N$27+1,20,24,28,32,36,40),0)/100)))+1)),0)</f>
        <v/>
      </c>
      <c r="S944">
        <f>IFERROR(O944/N944,0)</f>
        <v/>
      </c>
      <c r="T944">
        <f>IF(C944,(H944*N944*IF(AND(Inputs!$B$38&lt;&gt;"pvp",Inputs!$B$43&gt;0),((Skills!G9*((R944-1)*IF(Skills!H9&gt;0,INT(Skills!I9/Skills!H9+0.000000001),1)+IF(Skills!H9&gt;0,INT(MIN(Skills!I9,MAX(0,MAX(0,Inputs!$B$43-B977)-((R944-1)*(IF(Inputs!$B$38="pvp",15,MAX(0.1,Skills!D9-IF(TRUE=TRUE,Inputs!$B$32,0)))*(1-IF(AND(ArtifactsInput!$M$27,Inputs!$B$4="Chapter Hunt"),CHOOSE(ArtifactsInput!$N$27+1,20,24,28,32,36,40),0)/100)))))/Skills!H9+0.000000001),1)))/Inputs!$B$43),G944*Q944)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9*((R944-1)*IF(Skills!H9&gt;0,INT(Skills!I9/Skills!H9+0.000000001),1)+IF(Skills!H9&gt;0,INT(MIN(Skills!I9,MAX(0,MAX(0,Inputs!$B$43-B977)-((R944-1)*(IF(Inputs!$B$38="pvp",15,MAX(0.1,Skills!D9-IF(TRUE=TRUE,Inputs!$B$32,0)))*(1-IF(AND(ArtifactsInput!$M$27,Inputs!$B$4="Chapter Hunt"),CHOOSE(ArtifactsInput!$N$27+1,20,24,28,32,36,40),0)/100)))))/Skills!H9+0.000000001),1)))/Inputs!$B$43),G944*Q944)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Skills!A10</f>
        <v/>
      </c>
      <c r="B945">
        <f>Skills!B10</f>
        <v/>
      </c>
      <c r="C945">
        <f>Inputs!$B$3&gt;=63</f>
        <v/>
      </c>
      <c r="D945">
        <f>IF(Skills!C10=1,60+Inputs!$B$25+Inputs!$B$29,IF(Skills!C10=2,90+Inputs!$B$26+Inputs!$B$29,IF(Skills!C10=3,120+(Inputs!$B$27+1)+Inputs!$B$29,MAX(0,(Inputs!$B$3-100)*3)+Inputs!$B$28+Inputs!$B$29)))</f>
        <v/>
      </c>
      <c r="E945">
        <f>INDEX(FactorTable!$B$2:$Y$301, MATCH(ROUND(MIN(300,MAX(1,D945)),0), FactorTable!$A$2:$A$301,0), Skills!M10+1)</f>
        <v/>
      </c>
      <c r="F945">
        <f>IF(Skills!N10=TRUE,(Skills!L10/10)*(E945/1000),Skills!L10/10)+Skills!O10</f>
        <v/>
      </c>
      <c r="G945">
        <f>Skills!G10*IF(Skills!H10&gt;0,INT(IF(Inputs!$B$38="pvp",MIN(Skills!I10,15),Skills!I10)/Skills!H10+0.000000001),1)</f>
        <v/>
      </c>
      <c r="H945">
        <f>1-(1-Skills!J10/100)^Skills!K10</f>
        <v/>
      </c>
      <c r="I945" t="inlineStr">
        <is>
          <t>1</t>
        </is>
      </c>
      <c r="J945">
        <f>((Inputs!$B$6*(1+Inputs!$B$7/100))+(((Inputs!$B$12*(1+Inputs!$B$13/100))-(Inputs!$B$12*(1+Inputs!$B$13/100)))+0.25*(Inputs!$B$14-Inputs!$B$14))*(1+Inputs!$B$7/100))*(F945/100)</f>
        <v/>
      </c>
      <c r="K945">
        <f>J945*(1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10="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961=TRUE)*(F961-Calc!F26)),(Inputs!$B$23+((C966=TRUE)*(F966-Calc!F31))+(IF(ArtifactsInput!$M$15,CHOOSE(ArtifactsInput!$N$15+1,25,30,35,40,45,50)/100*(Inputs!$B$11-Inputs!$B$11),0))))/100+(Inputs!$B$23+((C966=TRUE)*(F966-Calc!F31))+(IF(ArtifactsInput!$M$15,CHOOSE(ArtifactsInput!$N$15+1,25,30,35,40,45,50)/100*(Inputs!$B$11-Inputs!$B$11),0)))/100)/2</f>
        <v/>
      </c>
      <c r="M945">
        <f>L945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IF(B980=0,0,O945/B980)</f>
        <v/>
      </c>
      <c r="Q945">
        <f>IFERROR(1/(IF(Inputs!$B$38="pvp",15,MAX(0.1,Skills!D10-IF(TRUE=TRUE,Inputs!$B$32,0)))*(1-IF(AND(ArtifactsInput!$M$27,Inputs!$B$4="Chapter Hunt"),CHOOSE(ArtifactsInput!$N$27+1,20,24,28,32,36,40),0)/100)),0)</f>
        <v/>
      </c>
      <c r="R945">
        <f>IF(AND(Inputs!$B$38&lt;&gt;"pvp",Inputs!$B$43&gt;0),IF(MAX(0,Inputs!$B$43-B977)&lt;=0,0,(INT(MAX(0,Inputs!$B$43-B977)/(IF(Inputs!$B$38="pvp",15,MAX(0.1,Skills!D10-IF(TRUE=TRUE,Inputs!$B$32,0)))*(1-IF(AND(ArtifactsInput!$M$27,Inputs!$B$4="Chapter Hunt"),CHOOSE(ArtifactsInput!$N$27+1,20,24,28,32,36,40),0)/100)))+1)),0)</f>
        <v/>
      </c>
      <c r="S945">
        <f>IFERROR(O945/N945,0)</f>
        <v/>
      </c>
      <c r="T945">
        <f>IF(C945,(H945*N945*IF(AND(Inputs!$B$38&lt;&gt;"pvp",Inputs!$B$43&gt;0),((Skills!G10*((R945-1)*IF(Skills!H10&gt;0,INT(Skills!I10/Skills!H10+0.000000001),1)+IF(Skills!H10&gt;0,INT(MIN(Skills!I10,MAX(0,MAX(0,Inputs!$B$43-B977)-((R945-1)*(IF(Inputs!$B$38="pvp",15,MAX(0.1,Skills!D10-IF(TRUE=TRUE,Inputs!$B$32,0)))*(1-IF(AND(ArtifactsInput!$M$27,Inputs!$B$4="Chapter Hunt"),CHOOSE(ArtifactsInput!$N$27+1,20,24,28,32,36,40),0)/100)))))/Skills!H10+0.000000001),1)))/Inputs!$B$43),G945*Q945)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IF(AND(Inputs!$B$38&lt;&gt;"pvp",Inputs!$B$43&gt;0),((Skills!G10*((R945-1)*IF(Skills!H10&gt;0,INT(Skills!I10/Skills!H10+0.000000001),1)+IF(Skills!H10&gt;0,INT(MIN(Skills!I10,MAX(0,MAX(0,Inputs!$B$43-B977)-((R945-1)*(IF(Inputs!$B$38="pvp",15,MAX(0.1,Skills!D10-IF(TRUE=TRUE,Inputs!$B$32,0)))*(1-IF(AND(ArtifactsInput!$M$27,Inputs!$B$4="Chapter Hunt"),CHOOSE(ArtifactsInput!$N$27+1,20,24,28,32,36,40),0)/100)))))/Skills!H10+0.000000001),1)))/Inputs!$B$43),G945*Q945)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Skills!A11</f>
        <v/>
      </c>
      <c r="B946">
        <f>Skills!B11</f>
        <v/>
      </c>
      <c r="C946">
        <f>Inputs!$B$3&gt;=103</f>
        <v/>
      </c>
      <c r="D946">
        <f>IF(Skills!C11=1,60+Inputs!$B$25+Inputs!$B$29,IF(Skills!C11=2,90+Inputs!$B$26+Inputs!$B$29,IF(Skills!C11=3,120+(Inputs!$B$27+1)+Inputs!$B$29,MAX(0,(Inputs!$B$3-100)*3)+Inputs!$B$28+Inputs!$B$29)))</f>
        <v/>
      </c>
      <c r="E946">
        <f>INDEX(FactorTable!$B$2:$Y$301, MATCH(ROUND(MIN(300,MAX(1,D946)),0), FactorTable!$A$2:$A$301,0), Skills!M11+1)</f>
        <v/>
      </c>
      <c r="F946">
        <f>IF(Skills!N11=TRUE,(Skills!L11/10)*(E946/1000),Skills!L11/10)+Skills!O11</f>
        <v/>
      </c>
      <c r="G946">
        <f>Skills!G11*IF(Skills!H11&gt;0,INT(IF(Inputs!$B$38="pvp",MIN(Skills!I11,15),Skills!I11)/Skills!H11+0.000000001),1)</f>
        <v/>
      </c>
      <c r="H946">
        <f>1-(1-Skills!J11/100)^Skills!K11</f>
        <v/>
      </c>
      <c r="I946" t="inlineStr">
        <is>
          <t>1</t>
        </is>
      </c>
      <c r="J946">
        <f>((Inputs!$B$6*(1+Inputs!$B$7/100))+(((Inputs!$B$12*(1+Inputs!$B$13/100))-(Inputs!$B$12*(1+Inputs!$B$13/100)))+0.25*(Inputs!$B$14-Inputs!$B$14))*(1+Inputs!$B$7/100))*(F946/100)</f>
        <v/>
      </c>
      <c r="K946">
        <f>J946*(1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946)</f>
        <v/>
      </c>
      <c r="L946">
        <f>K946*(MIN(Inputs!$B$22+((C961=TRUE)*(F961-Calc!F26)),(Inputs!$B$23+((C966=TRUE)*(F966-Calc!F31))+(IF(ArtifactsInput!$M$15,CHOOSE(ArtifactsInput!$N$15+1,25,30,35,40,45,50)/100*(Inputs!$B$11-Inputs!$B$11),0))))/100+(Inputs!$B$23+((C966=TRUE)*(F966-Calc!F31))+(IF(ArtifactsInput!$M$15,CHOOSE(ArtifactsInput!$N$15+1,25,30,35,40,45,50)/100*(Inputs!$B$11-Inputs!$B$11),0)))/100)/2</f>
        <v/>
      </c>
      <c r="M946">
        <f>L946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6">
        <f>L946*(1-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946*(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6">
        <f>(1-Summary!$B$11)*T946+Summary!$B$11*V946</f>
        <v/>
      </c>
      <c r="P946">
        <f>IF(B980=0,0,O946/B980)</f>
        <v/>
      </c>
      <c r="Q946">
        <f>IFERROR(1/(IF(Inputs!$B$38="pvp",15,MAX(0.1,Skills!D11-IF(TRUE=TRUE,Inputs!$B$32,0)))*(1-IF(AND(ArtifactsInput!$M$27,Inputs!$B$4="Chapter Hunt"),CHOOSE(ArtifactsInput!$N$27+1,20,24,28,32,36,40),0)/100)),0)</f>
        <v/>
      </c>
      <c r="R946">
        <f>IF(AND(Inputs!$B$38&lt;&gt;"pvp",Inputs!$B$43&gt;0),IF(MAX(0,Inputs!$B$43-B977)&lt;=0,0,(INT(MAX(0,Inputs!$B$43-B977)/(IF(Inputs!$B$38="pvp",15,MAX(0.1,Skills!D11-IF(TRUE=TRUE,Inputs!$B$32,0)))*(1-IF(AND(ArtifactsInput!$M$27,Inputs!$B$4="Chapter Hunt"),CHOOSE(ArtifactsInput!$N$27+1,20,24,28,32,36,40),0)/100)))+1)),0)</f>
        <v/>
      </c>
      <c r="S946">
        <f>IFERROR(O946/N946,0)</f>
        <v/>
      </c>
      <c r="T946">
        <f>IF(C946,(H946*N946*IF(AND(Inputs!$B$38&lt;&gt;"pvp",Inputs!$B$43&gt;0),((Skills!G11*((R946-1)*IF(Skills!H11&gt;0,INT(Skills!I11/Skills!H11+0.000000001),1)+IF(Skills!H11&gt;0,INT(MIN(Skills!I11,MAX(0,MAX(0,Inputs!$B$43-B977)-((R946-1)*(IF(Inputs!$B$38="pvp",15,MAX(0.1,Skills!D11-IF(TRUE=TRUE,Inputs!$B$32,0)))*(1-IF(AND(ArtifactsInput!$M$27,Inputs!$B$4="Chapter Hunt"),CHOOSE(ArtifactsInput!$N$27+1,20,24,28,32,36,40),0)/100)))))/Skills!H11+0.000000001),1)))/Inputs!$B$43),G946*Q946)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6">
        <f>IF(C946,(H946*N946*IF(AND(Inputs!$B$38&lt;&gt;"pvp",Inputs!$B$43&gt;0),((Skills!G11*((R946-1)*IF(Skills!H11&gt;0,INT(Skills!I11/Skills!H11+0.000000001),1)+IF(Skills!H11&gt;0,INT(MIN(Skills!I11,MAX(0,MAX(0,Inputs!$B$43-B977)-((R946-1)*(IF(Inputs!$B$38="pvp",15,MAX(0.1,Skills!D11-IF(TRUE=TRUE,Inputs!$B$32,0)))*(1-IF(AND(ArtifactsInput!$M$27,Inputs!$B$4="Chapter Hunt"),CHOOSE(ArtifactsInput!$N$27+1,20,24,28,32,36,40),0)/100)))))/Skills!H11+0.000000001),1)))/Inputs!$B$43),G946*Q946)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7">
      <c r="A947">
        <f>Skills!A12</f>
        <v/>
      </c>
      <c r="B947">
        <f>Skills!B12</f>
        <v/>
      </c>
      <c r="C947">
        <f>Inputs!$B$3&gt;=100</f>
        <v/>
      </c>
      <c r="D947">
        <f>IF(Skills!C12=1,60+Inputs!$B$25+Inputs!$B$29,IF(Skills!C12=2,90+Inputs!$B$26+Inputs!$B$29,IF(Skills!C12=3,120+(Inputs!$B$27+1)+Inputs!$B$29,MAX(0,(Inputs!$B$3-100)*3)+Inputs!$B$28+Inputs!$B$29)))</f>
        <v/>
      </c>
      <c r="E947">
        <f>INDEX(FactorTable!$B$2:$Y$301, MATCH(ROUND(MIN(300,MAX(1,D947)),0), FactorTable!$A$2:$A$301,0), Skills!M12+1)</f>
        <v/>
      </c>
      <c r="F947">
        <f>IF(Skills!N12=TRUE,(Skills!L12/10)*(E947/1000),Skills!L12/10)+Skills!O12</f>
        <v/>
      </c>
      <c r="G947" t="inlineStr"/>
      <c r="H947" t="inlineStr"/>
      <c r="I947" t="inlineStr">
        <is>
          <t>1</t>
        </is>
      </c>
      <c r="J947" t="inlineStr"/>
      <c r="K947" t="inlineStr"/>
      <c r="L947" t="inlineStr"/>
      <c r="M947" t="inlineStr"/>
      <c r="N947" t="inlineStr"/>
      <c r="O947" t="inlineStr"/>
      <c r="P947" t="inlineStr"/>
      <c r="Q947" t="inlineStr"/>
      <c r="R947" t="inlineStr"/>
      <c r="S947" t="inlineStr"/>
      <c r="T947" t="inlineStr"/>
      <c r="V947" t="inlineStr"/>
    </row>
    <row r="948">
      <c r="A948">
        <f>Skills!A13</f>
        <v/>
      </c>
      <c r="B948">
        <f>Skills!B13</f>
        <v/>
      </c>
      <c r="C948">
        <f>Inputs!$B$3&gt;=60</f>
        <v/>
      </c>
      <c r="D948">
        <f>IF(Skills!C13=1,60+Inputs!$B$25+Inputs!$B$29,IF(Skills!C13=2,90+Inputs!$B$26+Inputs!$B$29,IF(Skills!C13=3,120+(Inputs!$B$27+1)+Inputs!$B$29,MAX(0,(Inputs!$B$3-100)*3)+Inputs!$B$28+Inputs!$B$29)))</f>
        <v/>
      </c>
      <c r="E948">
        <f>INDEX(FactorTable!$B$2:$Y$301, MATCH(ROUND(MIN(300,MAX(1,D948)),0), FactorTable!$A$2:$A$301,0), Skills!M13+1)</f>
        <v/>
      </c>
      <c r="F948">
        <f>IF(Skills!N13=TRUE,(Skills!L13/10)*(E948/1000),Skills!L13/10)+Skills!O13</f>
        <v/>
      </c>
      <c r="G948">
        <f>Skills!G13*IF(Skills!H13&gt;0,INT(IF(Inputs!$B$38="pvp",MIN(Skills!I13,15),Skills!I13)/Skills!H13+0.000000001),1)</f>
        <v/>
      </c>
      <c r="H948">
        <f>1-(1-Skills!J13/100)^Skills!K13</f>
        <v/>
      </c>
      <c r="I948" t="inlineStr">
        <is>
          <t>1</t>
        </is>
      </c>
      <c r="J948">
        <f>((Inputs!$B$6*(1+Inputs!$B$7/100))+(((Inputs!$B$12*(1+Inputs!$B$13/100))-(Inputs!$B$12*(1+Inputs!$B$13/100)))+0.25*(Inputs!$B$14-Inputs!$B$14))*(1+Inputs!$B$7/100))*(F948/100)</f>
        <v/>
      </c>
      <c r="K948">
        <f>J948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949=TRUE,F949,0)/100)*(1+(IF(Skills!A13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961=TRUE)*(F961-Calc!F26)),(Inputs!$B$23+((C966=TRUE)*(F966-Calc!F31))+(IF(ArtifactsInput!$M$15,CHOOSE(ArtifactsInput!$N$15+1,25,30,35,40,45,50)/100*(Inputs!$B$11-Inputs!$B$11),0))))/100+(Inputs!$B$23+((C966=TRUE)*(F966-Calc!F31))+(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f>IFERROR(1/(IF(Inputs!$B$38="pvp",15,MAX(0.1,IF(Inputs!$B$3&gt;=122,3,5)+1/(((20+30*(B972-1)*100/150)/100)*B972)-IF(FALSE=TRUE,Inputs!$B$32,0)))*(1-IF(AND(ArtifactsInput!$M$27,Inputs!$B$4="Chapter Hunt"),CHOOSE(ArtifactsInput!$N$27+1,20,24,28,32,36,40),0)/100)),0)</f>
        <v/>
      </c>
      <c r="R948">
        <f>IF(AND(Inputs!$B$38&lt;&gt;"pvp",Inputs!$B$43&gt;0),IF(MAX(0,Inputs!$B$43-B977)&lt;=0,0,(INT(MAX(0,Inputs!$B$43-B977)/(IF(Inputs!$B$38="pvp",15,MAX(0.1,IF(Inputs!$B$3&gt;=122,3,5)+1/(((20+30*(B972-1)*100/150)/100)*B972)-IF(FALSE=TRUE,Inputs!$B$32,0)))*(1-IF(AND(ArtifactsInput!$M$27,Inputs!$B$4="Chapter Hunt"),CHOOSE(ArtifactsInput!$N$27+1,20,24,28,32,36,40),0)/100)))+1)),0)</f>
        <v/>
      </c>
      <c r="S948">
        <f>IFERROR(O948/N948,0)</f>
        <v/>
      </c>
      <c r="T948">
        <f>IF(C948,(H948*N948*IF(AND(Inputs!$B$38&lt;&gt;"pvp",Inputs!$B$43&gt;0),((Skills!G13*((R948-1)*IF(Skills!H13&gt;0,INT(Skills!I13/Skills!H13+0.000000001),1)+IF(Skills!H13&gt;0,INT(MIN(Skills!I13,MAX(0,MAX(0,Inputs!$B$43-B977)-((R948-1)*(IF(Inputs!$B$38="pvp",15,MAX(0.1,IF(Inputs!$B$3&gt;=122,3,5)+1/(((20+30*(B972-1)*100/150)/100)*B972)-IF(FALSE=TRUE,Inputs!$B$32,0)))*(1-IF(AND(ArtifactsInput!$M$27,Inputs!$B$4="Chapter Hunt"),CHOOSE(ArtifactsInput!$N$27+1,20,24,28,32,36,40),0)/100)))))/Skills!H13+0.000000001),1)))/Inputs!$B$43),G948*Q948)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8">
        <f>IF(C948,(H948*N948*IF(AND(Inputs!$B$38&lt;&gt;"pvp",Inputs!$B$43&gt;0),((Skills!G13*((R948-1)*IF(Skills!H13&gt;0,INT(Skills!I13/Skills!H13+0.000000001),1)+IF(Skills!H13&gt;0,INT(MIN(Skills!I13,MAX(0,MAX(0,Inputs!$B$43-B977)-((R948-1)*(IF(Inputs!$B$38="pvp",15,MAX(0.1,IF(Inputs!$B$3&gt;=122,3,5)+1/(((20+30*(B972-1)*100/150)/100)*B972)-IF(FALSE=TRUE,Inputs!$B$32,0)))*(1-IF(AND(ArtifactsInput!$M$27,Inputs!$B$4="Chapter Hunt"),CHOOSE(ArtifactsInput!$N$27+1,20,24,28,32,36,40),0)/100)))))/Skills!H13+0.000000001),1)))/Inputs!$B$43),G948*Q948))*IF(Inputs!$B$38="pvp",1,(1+(Inputs!$B$21+Skills!Q13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Skills!A14</f>
        <v/>
      </c>
      <c r="B949">
        <f>Skills!B14</f>
        <v/>
      </c>
      <c r="C949">
        <f>Inputs!$B$3&gt;=110</f>
        <v/>
      </c>
      <c r="D949">
        <f>IF(Skills!C14=1,60+Inputs!$B$25+Inputs!$B$29,IF(Skills!C14=2,90+Inputs!$B$26+Inputs!$B$29,IF(Skills!C14=3,120+(Inputs!$B$27+1)+Inputs!$B$29,MAX(0,(Inputs!$B$3-100)*3)+Inputs!$B$28+Inputs!$B$29)))</f>
        <v/>
      </c>
      <c r="E949">
        <f>INDEX(FactorTable!$B$2:$Y$301, MATCH(ROUND(MIN(300,MAX(1,D949)),0), FactorTable!$A$2:$A$301,0), Skills!M14+1)</f>
        <v/>
      </c>
      <c r="F949">
        <f>IF(Skills!N14=TRUE,(Skills!L14/10)*(E949/1000),Skills!L14/10)+Skills!O14</f>
        <v/>
      </c>
      <c r="G949" t="inlineStr"/>
      <c r="H949" t="inlineStr"/>
      <c r="I949" t="inlineStr">
        <is>
          <t>1</t>
        </is>
      </c>
      <c r="J949" t="inlineStr"/>
      <c r="K949" t="inlineStr"/>
      <c r="L949" t="inlineStr"/>
      <c r="M949" t="inlineStr"/>
      <c r="N949" t="inlineStr"/>
      <c r="O949" t="inlineStr"/>
      <c r="P949" t="inlineStr"/>
      <c r="Q949" t="inlineStr"/>
      <c r="R949" t="inlineStr"/>
      <c r="S949" t="inlineStr"/>
      <c r="T949" t="inlineStr"/>
      <c r="V949" t="inlineStr"/>
    </row>
    <row r="950">
      <c r="A950">
        <f>Skills!A15</f>
        <v/>
      </c>
      <c r="B950">
        <f>Skills!B15</f>
        <v/>
      </c>
      <c r="C950">
        <f>Inputs!$B$3&gt;=74</f>
        <v/>
      </c>
      <c r="D950">
        <f>IF(Skills!C15=1,60+Inputs!$B$25+Inputs!$B$29,IF(Skills!C15=2,90+Inputs!$B$26+Inputs!$B$29,IF(Skills!C15=3,120+(Inputs!$B$27+1)+Inputs!$B$29,MAX(0,(Inputs!$B$3-100)*3)+Inputs!$B$28+Inputs!$B$29)))</f>
        <v/>
      </c>
      <c r="E950">
        <f>INDEX(FactorTable!$B$2:$Y$301, MATCH(ROUND(MIN(300,MAX(1,D950)),0), FactorTable!$A$2:$A$301,0), Skills!M15+1)</f>
        <v/>
      </c>
      <c r="F950">
        <f>IF(Skills!N15=TRUE,(Skills!L15/10)*(E950/1000),Skills!L15/10)+Skills!O15</f>
        <v/>
      </c>
      <c r="G950">
        <f>Skills!G15*IF(Skills!H15&gt;0,INT(IF(Inputs!$B$38="pvp",MIN(Skills!I15,15),Skills!I15)/Skills!H15+0.000000001),1)</f>
        <v/>
      </c>
      <c r="H950">
        <f>1-(1-Skills!J15/100)^Skills!K15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Skills!A16</f>
        <v/>
      </c>
      <c r="B951">
        <f>Skills!B16</f>
        <v/>
      </c>
      <c r="C951">
        <f>Inputs!$B$3&gt;=74</f>
        <v/>
      </c>
      <c r="D951">
        <f>IF(Skills!C16=1,60+Inputs!$B$25+Inputs!$B$29,IF(Skills!C16=2,90+Inputs!$B$26+Inputs!$B$29,IF(Skills!C16=3,120+(Inputs!$B$27+1)+Inputs!$B$29,MAX(0,(Inputs!$B$3-100)*3)+Inputs!$B$28+Inputs!$B$29)))</f>
        <v/>
      </c>
      <c r="E951">
        <f>INDEX(FactorTable!$B$2:$Y$301, MATCH(ROUND(MIN(300,MAX(1,D951)),0), FactorTable!$A$2:$A$301,0), Skills!M16+1)</f>
        <v/>
      </c>
      <c r="F951">
        <f>IF(Skills!N16=TRUE,(Skills!L16/10)*(E951/1000),Skills!L16/10)+Skills!O16</f>
        <v/>
      </c>
      <c r="G951">
        <f>Skills!G16*IF(Skills!H16&gt;0,INT(IF(Inputs!$B$38="pvp",MIN(Skills!I16,15),Skills!I16)/Skills!H16+0.000000001),1)</f>
        <v/>
      </c>
      <c r="H951">
        <f>1-(1-Skills!J16/100)^Skills!K16</f>
        <v/>
      </c>
      <c r="I951" t="inlineStr">
        <is>
          <t>1</t>
        </is>
      </c>
      <c r="J951" t="inlineStr"/>
      <c r="K951" t="inlineStr"/>
      <c r="L951" t="inlineStr"/>
      <c r="M951" t="inlineStr"/>
      <c r="N951" t="inlineStr"/>
      <c r="O951">
        <f>(1-Summary!$B$11)*T951+Summary!$B$11*V951</f>
        <v/>
      </c>
      <c r="P951">
        <f>IF(B980=0,0,O951/B980)</f>
        <v/>
      </c>
      <c r="Q951" t="n">
        <v>0</v>
      </c>
      <c r="R951" t="n">
        <v>0</v>
      </c>
      <c r="S951">
        <f>IFERROR(O951/N951,0)</f>
        <v/>
      </c>
      <c r="T951" t="n">
        <v>0</v>
      </c>
      <c r="V951" t="n">
        <v>0</v>
      </c>
    </row>
    <row r="952">
      <c r="A952">
        <f>Skills!A17</f>
        <v/>
      </c>
      <c r="B952">
        <f>Skills!B17</f>
        <v/>
      </c>
      <c r="C952">
        <f>Inputs!$B$3&gt;=117</f>
        <v/>
      </c>
      <c r="D952">
        <f>IF(Skills!C17=1,60+Inputs!$B$25+Inputs!$B$29,IF(Skills!C17=2,90+Inputs!$B$26+Inputs!$B$29,IF(Skills!C17=3,120+(Inputs!$B$27+1)+Inputs!$B$29,MAX(0,(Inputs!$B$3-100)*3)+Inputs!$B$28+Inputs!$B$29)))</f>
        <v/>
      </c>
      <c r="E952">
        <f>INDEX(FactorTable!$B$2:$Y$301, MATCH(ROUND(MIN(300,MAX(1,D952)),0), FactorTable!$A$2:$A$301,0), Skills!M17+1)</f>
        <v/>
      </c>
      <c r="F952">
        <f>IF(Skills!N17=TRUE,(Skills!L17/10)*(E952/1000),Skills!L17/10)+Skills!O17</f>
        <v/>
      </c>
      <c r="G952">
        <f>Skills!G17*IF(Skills!H17&gt;0,INT(IF(Inputs!$B$38="pvp",MIN(Skills!I17,15),Skills!I17)/Skills!H17+0.000000001),1)</f>
        <v/>
      </c>
      <c r="H952">
        <f>1-(1-Skills!J17/100)^Skills!K17</f>
        <v/>
      </c>
      <c r="I952" t="inlineStr">
        <is>
          <t>1</t>
        </is>
      </c>
      <c r="J952" t="inlineStr"/>
      <c r="K952" t="inlineStr"/>
      <c r="L952" t="inlineStr"/>
      <c r="M952" t="inlineStr"/>
      <c r="N952" t="inlineStr"/>
      <c r="O952">
        <f>(1-Summary!$B$11)*T952+Summary!$B$11*V952</f>
        <v/>
      </c>
      <c r="P952">
        <f>IF(B980=0,0,O952/B980)</f>
        <v/>
      </c>
      <c r="Q952">
        <f>IFERROR(1/(IF(Inputs!$B$38="pvp",15,MAX(0.1,Skills!D17-IF(TRUE=TRUE,Inputs!$B$32,0)))*(1-IF(AND(ArtifactsInput!$M$27,Inputs!$B$4="Chapter Hunt"),CHOOSE(ArtifactsInput!$N$27+1,20,24,28,32,36,40),0)/100)),0)</f>
        <v/>
      </c>
      <c r="R952">
        <f>IF(AND(Inputs!$B$38&lt;&gt;"pvp",Inputs!$B$43&gt;0),IF(Inputs!$B$43&lt;=0,0,(INT(Inputs!$B$43/(IF(Inputs!$B$38="pvp",15,MAX(0.1,Skills!D17-IF(TRUE=TRUE,Inputs!$B$32,0)))*(1-IF(AND(ArtifactsInput!$M$27,Inputs!$B$4="Chapter Hunt"),CHOOSE(ArtifactsInput!$N$27+1,20,24,28,32,36,40),0)/100)))+1)),0)</f>
        <v/>
      </c>
      <c r="S952">
        <f>IFERROR(O952/N952,0)</f>
        <v/>
      </c>
      <c r="T952" t="n">
        <v>0</v>
      </c>
      <c r="V952" t="n">
        <v>0</v>
      </c>
    </row>
    <row r="953">
      <c r="A953">
        <f>Skills!A18</f>
        <v/>
      </c>
      <c r="B953">
        <f>Skills!B18</f>
        <v/>
      </c>
      <c r="C953">
        <f>Inputs!$B$3&gt;=115</f>
        <v/>
      </c>
      <c r="D953">
        <f>IF(Skills!C18=1,60+Inputs!$B$25+Inputs!$B$29,IF(Skills!C18=2,90+Inputs!$B$26+Inputs!$B$29,IF(Skills!C18=3,120+(Inputs!$B$27+1)+Inputs!$B$29,MAX(0,(Inputs!$B$3-100)*3)+Inputs!$B$28+Inputs!$B$29)))</f>
        <v/>
      </c>
      <c r="E953">
        <f>INDEX(FactorTable!$B$2:$Y$301, MATCH(ROUND(MIN(300,MAX(1,D953)),0), FactorTable!$A$2:$A$301,0), Skills!M18+1)</f>
        <v/>
      </c>
      <c r="F953">
        <f>IF(Skills!N18=TRUE,(Skills!L18/10)*(E953/1000),Skills!L18/10)+Skills!O18</f>
        <v/>
      </c>
      <c r="G953">
        <f>Skills!G18*IF(Skills!H18&gt;0,INT(IF(Inputs!$B$38="pvp",MIN(Skills!I18,15),Skills!I18)/Skills!H18+0.000000001),1)</f>
        <v/>
      </c>
      <c r="H953">
        <f>1-(1-Skills!J18/100)^Skills!K18</f>
        <v/>
      </c>
      <c r="I953" t="inlineStr">
        <is>
          <t>1</t>
        </is>
      </c>
      <c r="J953" t="inlineStr"/>
      <c r="K953" t="inlineStr"/>
      <c r="L953" t="inlineStr"/>
      <c r="M953" t="inlineStr"/>
      <c r="N953" t="inlineStr"/>
      <c r="O953">
        <f>(1-Summary!$B$11)*T953+Summary!$B$11*V953</f>
        <v/>
      </c>
      <c r="P953">
        <f>IF(B980=0,0,O953/B980)</f>
        <v/>
      </c>
      <c r="Q953">
        <f>IFERROR(1/(IF(Inputs!$B$38="pvp",15,MAX(0.1,Skills!D18-IF(TRUE=TRUE,Inputs!$B$32,0)))*(1-IF(AND(ArtifactsInput!$M$27,Inputs!$B$4="Chapter Hunt"),CHOOSE(ArtifactsInput!$N$27+1,20,24,28,32,36,40),0)/100)),0)</f>
        <v/>
      </c>
      <c r="R953">
        <f>IF(AND(Inputs!$B$38&lt;&gt;"pvp",Inputs!$B$43&gt;0),IF(Inputs!$B$43&lt;=0,0,(INT(Inputs!$B$43/(IF(Inputs!$B$38="pvp",15,MAX(0.1,Skills!D18-IF(TRUE=TRUE,Inputs!$B$32,0)))*(1-IF(AND(ArtifactsInput!$M$27,Inputs!$B$4="Chapter Hunt"),CHOOSE(ArtifactsInput!$N$27+1,20,24,28,32,36,40),0)/100)))+1)),0)</f>
        <v/>
      </c>
      <c r="S953">
        <f>IFERROR(O953/N953,0)</f>
        <v/>
      </c>
      <c r="T953" t="n">
        <v>0</v>
      </c>
      <c r="V953" t="n">
        <v>0</v>
      </c>
    </row>
    <row r="954">
      <c r="A954">
        <f>Skills!A19</f>
        <v/>
      </c>
      <c r="B954">
        <f>Skills!B19</f>
        <v/>
      </c>
      <c r="C954">
        <f>Inputs!$B$3&gt;=66</f>
        <v/>
      </c>
      <c r="D954">
        <f>IF(Skills!C19=1,60+Inputs!$B$25+Inputs!$B$29,IF(Skills!C19=2,90+Inputs!$B$26+Inputs!$B$29,IF(Skills!C19=3,120+(Inputs!$B$27+1)+Inputs!$B$29,MAX(0,(Inputs!$B$3-100)*3)+Inputs!$B$28+Inputs!$B$29)))</f>
        <v/>
      </c>
      <c r="E954">
        <f>INDEX(FactorTable!$B$2:$Y$301, MATCH(ROUND(MIN(300,MAX(1,D954)),0), FactorTable!$A$2:$A$301,0), Skills!M19+1)</f>
        <v/>
      </c>
      <c r="F954">
        <f>IF(Skills!N19=TRUE,(Skills!L19/10)*(E954/1000),Skills!L19/10)+Skills!O19</f>
        <v/>
      </c>
      <c r="G954">
        <f>Skills!G19*IF(Skills!H19&gt;0,INT(IF(Inputs!$B$38="pvp",MIN(Skills!I19,15),Skills!I19)/Skills!H19+0.000000001),1)</f>
        <v/>
      </c>
      <c r="H954">
        <f>1-(1-Skills!J19/100)^Skills!K19</f>
        <v/>
      </c>
      <c r="I954" t="inlineStr">
        <is>
          <t>1</t>
        </is>
      </c>
      <c r="J954" t="inlineStr"/>
      <c r="K954" t="inlineStr"/>
      <c r="L954" t="inlineStr"/>
      <c r="M954" t="inlineStr"/>
      <c r="N954" t="inlineStr"/>
      <c r="O954">
        <f>(1-Summary!$B$11)*T954+Summary!$B$11*V954</f>
        <v/>
      </c>
      <c r="P954">
        <f>IF(B980=0,0,O954/B980)</f>
        <v/>
      </c>
      <c r="Q954" t="n">
        <v>0</v>
      </c>
      <c r="R954" t="n">
        <v>0</v>
      </c>
      <c r="S954">
        <f>IFERROR(O954/N954,0)</f>
        <v/>
      </c>
      <c r="T954" t="n">
        <v>0</v>
      </c>
      <c r="V954" t="n">
        <v>0</v>
      </c>
    </row>
    <row r="955">
      <c r="A955">
        <f>Skills!A20</f>
        <v/>
      </c>
      <c r="B955">
        <f>Skills!B20</f>
        <v/>
      </c>
      <c r="C955">
        <f>Inputs!$B$3&gt;=72</f>
        <v/>
      </c>
      <c r="D955">
        <f>IF(Skills!C20=1,60+Inputs!$B$25+Inputs!$B$29,IF(Skills!C20=2,90+Inputs!$B$26+Inputs!$B$29,IF(Skills!C20=3,120+(Inputs!$B$27+1)+Inputs!$B$29,MAX(0,(Inputs!$B$3-100)*3)+Inputs!$B$28+Inputs!$B$29)))</f>
        <v/>
      </c>
      <c r="E955">
        <f>INDEX(FactorTable!$B$2:$Y$301, MATCH(ROUND(MIN(300,MAX(1,D955)),0), FactorTable!$A$2:$A$301,0), Skills!M20+1)</f>
        <v/>
      </c>
      <c r="F955">
        <f>IF(Skills!N20=TRUE,(Skills!L20/10)*(E955/1000),Skills!L20/10)+Skills!O20</f>
        <v/>
      </c>
      <c r="G955">
        <f>Skills!G20*IF(Skills!H20&gt;0,INT(IF(Inputs!$B$38="pvp",MIN(Skills!I20,15),Skills!I20)/Skills!H20+0.000000001),1)</f>
        <v/>
      </c>
      <c r="H955">
        <f>1-(1-Skills!J20/100)^Skills!K20</f>
        <v/>
      </c>
      <c r="I955" t="inlineStr">
        <is>
          <t>1</t>
        </is>
      </c>
      <c r="J955" t="inlineStr"/>
      <c r="K955" t="inlineStr"/>
      <c r="L955" t="inlineStr"/>
      <c r="M955" t="inlineStr"/>
      <c r="N955" t="inlineStr"/>
      <c r="O955">
        <f>(1-Summary!$B$11)*T955+Summary!$B$11*V955</f>
        <v/>
      </c>
      <c r="P955">
        <f>IF(B980=0,0,O955/B980)</f>
        <v/>
      </c>
      <c r="Q955" t="n">
        <v>0</v>
      </c>
      <c r="R955" t="n">
        <v>0</v>
      </c>
      <c r="S955">
        <f>IFERROR(O955/N955,0)</f>
        <v/>
      </c>
      <c r="T955" t="n">
        <v>0</v>
      </c>
      <c r="V955" t="n">
        <v>0</v>
      </c>
    </row>
    <row r="956">
      <c r="A956">
        <f>Skills!A21</f>
        <v/>
      </c>
      <c r="B956">
        <f>Skills!B21</f>
        <v/>
      </c>
      <c r="C956">
        <f>TRUE</f>
        <v/>
      </c>
      <c r="D956">
        <f>IF(Skills!C21=1,60+Inputs!$B$25+Inputs!$B$29,IF(Skills!C21=2,90+Inputs!$B$26+Inputs!$B$29,IF(Skills!C21=3,120+(Inputs!$B$27+1)+Inputs!$B$29,MAX(0,(Inputs!$B$3-100)*3)+Inputs!$B$28+Inputs!$B$29)))</f>
        <v/>
      </c>
      <c r="E956">
        <f>INDEX(FactorTable!$B$2:$Y$301, MATCH(ROUND(MIN(300,MAX(1,D956)),0), FactorTable!$A$2:$A$301,0), Skills!M21+1)</f>
        <v/>
      </c>
      <c r="F956">
        <f>IF(Skills!N21=TRUE,(Skills!L21/10)*(E956/1000),Skills!L21/10)+Skills!O21</f>
        <v/>
      </c>
      <c r="G956">
        <f>Skills!G21*IF(Skills!H21&gt;0,INT(IF(Inputs!$B$38="pvp",MIN(Skills!I21,15),Skills!I21)/Skills!H21+0.000000001),1)</f>
        <v/>
      </c>
      <c r="H956">
        <f>1-(1-Skills!J21/100)^Skills!K21</f>
        <v/>
      </c>
      <c r="I956" t="inlineStr">
        <is>
          <t>1</t>
        </is>
      </c>
      <c r="J956" t="inlineStr"/>
      <c r="K956" t="inlineStr"/>
      <c r="L956" t="inlineStr"/>
      <c r="M956" t="inlineStr"/>
      <c r="N956" t="inlineStr"/>
      <c r="O956">
        <f>(1-Summary!$B$11)*T956+Summary!$B$11*V956</f>
        <v/>
      </c>
      <c r="P956">
        <f>IF(B980=0,0,O956/B980)</f>
        <v/>
      </c>
      <c r="Q956">
        <f>IFERROR(1/(IF(Inputs!$B$38="pvp",15,MAX(0.1,Skills!D21-IF(TRUE=TRUE,Inputs!$B$32,0)))*(1-IF(AND(ArtifactsInput!$M$27,Inputs!$B$4="Chapter Hunt"),CHOOSE(ArtifactsInput!$N$27+1,20,24,28,32,36,40),0)/100)),0)</f>
        <v/>
      </c>
      <c r="R956">
        <f>IF(AND(Inputs!$B$38&lt;&gt;"pvp",Inputs!$B$43&gt;0),IF(Inputs!$B$43&lt;=0,0,(INT(Inputs!$B$43/(IF(Inputs!$B$38="pvp",15,MAX(0.1,Skills!D21-IF(TRUE=TRUE,Inputs!$B$32,0)))*(1-IF(AND(ArtifactsInput!$M$27,Inputs!$B$4="Chapter Hunt"),CHOOSE(ArtifactsInput!$N$27+1,20,24,28,32,36,40),0)/100)))+1)),0)</f>
        <v/>
      </c>
      <c r="S956">
        <f>IFERROR(O956/N956,0)</f>
        <v/>
      </c>
      <c r="T956" t="n">
        <v>0</v>
      </c>
      <c r="V956" t="n">
        <v>0</v>
      </c>
    </row>
    <row r="957">
      <c r="A957">
        <f>Skills!A22</f>
        <v/>
      </c>
      <c r="B957">
        <f>Skills!B22</f>
        <v/>
      </c>
      <c r="C957">
        <f>Inputs!$B$3&gt;=15</f>
        <v/>
      </c>
      <c r="D957">
        <f>IF(Skills!C22=1,60+Inputs!$B$25+Inputs!$B$29,IF(Skills!C22=2,90+Inputs!$B$26+Inputs!$B$29,IF(Skills!C22=3,120+(Inputs!$B$27+1)+Inputs!$B$29,MAX(0,(Inputs!$B$3-100)*3)+Inputs!$B$28+Inputs!$B$29)))</f>
        <v/>
      </c>
      <c r="E957">
        <f>INDEX(FactorTable!$B$2:$Y$301, MATCH(ROUND(MIN(300,MAX(1,D957)),0), FactorTable!$A$2:$A$301,0), Skills!M22+1)</f>
        <v/>
      </c>
      <c r="F957">
        <f>IF(Skills!N22=TRUE,(Skills!L22/10)*(E957/1000),Skills!L22/10)+Skills!O22</f>
        <v/>
      </c>
      <c r="G957">
        <f>Skills!G22*IF(Skills!H22&gt;0,INT(IF(Inputs!$B$38="pvp",MIN(Skills!I22,15),Skills!I22)/Skills!H22+0.000000001),1)</f>
        <v/>
      </c>
      <c r="H957">
        <f>1-(1-Skills!J22/100)^Skills!K22</f>
        <v/>
      </c>
      <c r="I957" t="inlineStr">
        <is>
          <t>1</t>
        </is>
      </c>
      <c r="J957" t="inlineStr"/>
      <c r="K957" t="inlineStr"/>
      <c r="L957" t="inlineStr"/>
      <c r="M957" t="inlineStr"/>
      <c r="N957" t="inlineStr"/>
      <c r="O957">
        <f>(1-Summary!$B$11)*T957+Summary!$B$11*V957</f>
        <v/>
      </c>
      <c r="P957">
        <f>IF(B980=0,0,O957/B980)</f>
        <v/>
      </c>
      <c r="Q957" t="n">
        <v>0</v>
      </c>
      <c r="R957" t="n">
        <v>0</v>
      </c>
      <c r="S957">
        <f>IFERROR(O957/N957,0)</f>
        <v/>
      </c>
      <c r="T957" t="n">
        <v>0</v>
      </c>
      <c r="V957" t="n">
        <v>0</v>
      </c>
    </row>
    <row r="958">
      <c r="A958">
        <f>Skills!A23</f>
        <v/>
      </c>
      <c r="B958">
        <f>Skills!B23</f>
        <v/>
      </c>
      <c r="C958">
        <f>Inputs!$B$3&gt;=10</f>
        <v/>
      </c>
      <c r="D958">
        <f>IF(Skills!C23=1,60+Inputs!$B$25+Inputs!$B$29,IF(Skills!C23=2,90+Inputs!$B$26+Inputs!$B$29,IF(Skills!C23=3,120+(Inputs!$B$27+1)+Inputs!$B$29,MAX(0,(Inputs!$B$3-100)*3)+Inputs!$B$28+Inputs!$B$29)))</f>
        <v/>
      </c>
      <c r="E958">
        <f>INDEX(FactorTable!$B$2:$Y$301, MATCH(ROUND(MIN(300,MAX(1,D958)),0), FactorTable!$A$2:$A$301,0), Skills!M23+1)</f>
        <v/>
      </c>
      <c r="F958">
        <f>IF(Skills!N23=TRUE,(Skills!L23/10)*(E958/1000),Skills!L23/10)+Skills!O23</f>
        <v/>
      </c>
      <c r="G958">
        <f>Skills!G23*IF(Skills!H23&gt;0,INT(IF(Inputs!$B$38="pvp",MIN(Skills!I23,15),Skills!I23)/Skills!H23+0.000000001),1)</f>
        <v/>
      </c>
      <c r="H958">
        <f>1-(1-Skills!J23/100)^Skills!K23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Skills!A24</f>
        <v/>
      </c>
      <c r="B959">
        <f>Skills!B24</f>
        <v/>
      </c>
      <c r="C959">
        <f>Inputs!$B$3&gt;=33</f>
        <v/>
      </c>
      <c r="D959">
        <f>IF(Skills!C24=1,60+Inputs!$B$25+Inputs!$B$29,IF(Skills!C24=2,90+Inputs!$B$26+Inputs!$B$29,IF(Skills!C24=3,120+(Inputs!$B$27+1)+Inputs!$B$29,MAX(0,(Inputs!$B$3-100)*3)+Inputs!$B$28+Inputs!$B$29)))</f>
        <v/>
      </c>
      <c r="E959">
        <f>INDEX(FactorTable!$B$2:$Y$301, MATCH(ROUND(MIN(300,MAX(1,D959)),0), FactorTable!$A$2:$A$301,0), Skills!M24+1)</f>
        <v/>
      </c>
      <c r="F959">
        <f>IF(Skills!N24=TRUE,(Skills!L24/10)*(E959/1000),Skills!L24/10)+Skills!O24</f>
        <v/>
      </c>
      <c r="G959">
        <f>Skills!G24*IF(Skills!H24&gt;0,INT(IF(Inputs!$B$38="pvp",MIN(Skills!I24,15),Skills!I24)/Skills!H24+0.000000001),1)</f>
        <v/>
      </c>
      <c r="H959">
        <f>1-(1-Skills!J24/100)^Skills!K24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Skills!A25</f>
        <v/>
      </c>
      <c r="B960">
        <f>Skills!B25</f>
        <v/>
      </c>
      <c r="C960">
        <f>Inputs!$B$3&gt;=38</f>
        <v/>
      </c>
      <c r="D960">
        <f>IF(Skills!C25=1,60+Inputs!$B$25+Inputs!$B$29,IF(Skills!C25=2,90+Inputs!$B$26+Inputs!$B$29,IF(Skills!C25=3,120+(Inputs!$B$27+1)+Inputs!$B$29,MAX(0,(Inputs!$B$3-100)*3)+Inputs!$B$28+Inputs!$B$29)))</f>
        <v/>
      </c>
      <c r="E960">
        <f>INDEX(FactorTable!$B$2:$Y$301, MATCH(ROUND(MIN(300,MAX(1,D960)),0), FactorTable!$A$2:$A$301,0), Skills!M25+1)</f>
        <v/>
      </c>
      <c r="F960">
        <f>IF(Skills!N25=TRUE,(Skills!L25/10)*(E960/1000),Skills!L25/10)+Skills!O25</f>
        <v/>
      </c>
      <c r="G960">
        <f>Skills!G25*IF(Skills!H25&gt;0,INT(IF(Inputs!$B$38="pvp",MIN(Skills!I25,15),Skills!I25)/Skills!H25+0.000000001),1)</f>
        <v/>
      </c>
      <c r="H960">
        <f>1-(1-Skills!J25/100)^Skills!K25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Skills!A26</f>
        <v/>
      </c>
      <c r="B961">
        <f>Skills!B26</f>
        <v/>
      </c>
      <c r="C961">
        <f>Inputs!$B$3&gt;=43</f>
        <v/>
      </c>
      <c r="D961">
        <f>IF(Skills!C26=1,60+Inputs!$B$25+Inputs!$B$29,IF(Skills!C26=2,90+Inputs!$B$26+Inputs!$B$29,IF(Skills!C26=3,120+(Inputs!$B$27+1)+Inputs!$B$29,MAX(0,(Inputs!$B$3-100)*3)+Inputs!$B$28+Inputs!$B$29)))</f>
        <v/>
      </c>
      <c r="E961">
        <f>INDEX(FactorTable!$B$2:$Y$301, MATCH(ROUND(MIN(300,MAX(1,D961)),0), FactorTable!$A$2:$A$301,0), Skills!M26+1)</f>
        <v/>
      </c>
      <c r="F961">
        <f>IF(Skills!N26=TRUE,(Skills!L26/10)*(E961/1000),Skills!L26/10)+Skills!O26</f>
        <v/>
      </c>
      <c r="G961">
        <f>Skills!G26*IF(Skills!H26&gt;0,INT(IF(Inputs!$B$38="pvp",MIN(Skills!I26,15),Skills!I26)/Skills!H26+0.000000001),1)</f>
        <v/>
      </c>
      <c r="H961">
        <f>1-(1-Skills!J26/100)^Skills!K26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Skills!A27</f>
        <v/>
      </c>
      <c r="B962">
        <f>Skills!B27</f>
        <v/>
      </c>
      <c r="C962">
        <f>Inputs!$B$3&gt;=75</f>
        <v/>
      </c>
      <c r="D962">
        <f>IF(Skills!C27=1,60+Inputs!$B$25+Inputs!$B$29,IF(Skills!C27=2,90+Inputs!$B$26+Inputs!$B$29,IF(Skills!C27=3,120+(Inputs!$B$27+1)+Inputs!$B$29,MAX(0,(Inputs!$B$3-100)*3)+Inputs!$B$28+Inputs!$B$29)))</f>
        <v/>
      </c>
      <c r="E962">
        <f>INDEX(FactorTable!$B$2:$Y$301, MATCH(ROUND(MIN(300,MAX(1,D962)),0), FactorTable!$A$2:$A$301,0), Skills!M27+1)</f>
        <v/>
      </c>
      <c r="F962">
        <f>IF(Skills!N27=TRUE,(Skills!L27/10)*(E962/1000),Skills!L27/10)+Skills!O27</f>
        <v/>
      </c>
      <c r="G962">
        <f>Skills!G27*IF(Skills!H27&gt;0,INT(IF(Inputs!$B$38="pvp",MIN(Skills!I27,15),Skills!I27)/Skills!H27+0.000000001),1)</f>
        <v/>
      </c>
      <c r="H962">
        <f>1-(1-Skills!J27/100)^Skills!K27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Skills!A28</f>
        <v/>
      </c>
      <c r="B963">
        <f>Skills!B28</f>
        <v/>
      </c>
      <c r="C963">
        <f>Inputs!$B$3&gt;=125</f>
        <v/>
      </c>
      <c r="D963">
        <f>IF(Skills!C28=1,60+Inputs!$B$25+Inputs!$B$29,IF(Skills!C28=2,90+Inputs!$B$26+Inputs!$B$29,IF(Skills!C28=3,120+(Inputs!$B$27+1)+Inputs!$B$29,MAX(0,(Inputs!$B$3-100)*3)+Inputs!$B$28+Inputs!$B$29)))</f>
        <v/>
      </c>
      <c r="E963">
        <f>INDEX(FactorTable!$B$2:$Y$301, MATCH(ROUND(MIN(300,MAX(1,D963)),0), FactorTable!$A$2:$A$301,0), Skills!M28+1)</f>
        <v/>
      </c>
      <c r="F963">
        <f>IF(Skills!N28=TRUE,(Skills!L28/10)*(E963/1000),Skills!L28/10)+Skills!O28</f>
        <v/>
      </c>
      <c r="G963">
        <f>Skills!G28*IF(Skills!H28&gt;0,INT(IF(Inputs!$B$38="pvp",MIN(Skills!I28,15),Skills!I28)/Skills!H28+0.000000001),1)</f>
        <v/>
      </c>
      <c r="H963">
        <f>1-(1-Skills!J28/100)^Skills!K28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Skills!A29</f>
        <v/>
      </c>
      <c r="B964">
        <f>Skills!B29</f>
        <v/>
      </c>
      <c r="C964">
        <f>Inputs!$B$3&gt;=125</f>
        <v/>
      </c>
      <c r="D964">
        <f>IF(Skills!C29=1,60+Inputs!$B$25+Inputs!$B$29,IF(Skills!C29=2,90+Inputs!$B$26+Inputs!$B$29,IF(Skills!C29=3,120+(Inputs!$B$27+1)+Inputs!$B$29,MAX(0,(Inputs!$B$3-100)*3)+Inputs!$B$28+Inputs!$B$29)))</f>
        <v/>
      </c>
      <c r="E964">
        <f>INDEX(FactorTable!$B$2:$Y$301, MATCH(ROUND(MIN(300,MAX(1,D964)),0), FactorTable!$A$2:$A$301,0), Skills!M29+1)</f>
        <v/>
      </c>
      <c r="F964">
        <f>IF(Skills!N29=TRUE,(Skills!L29/10)*(E964/1000),Skills!L29/10)+Skills!O29</f>
        <v/>
      </c>
      <c r="G964">
        <f>Skills!G29*IF(Skills!H29&gt;0,INT(IF(Inputs!$B$38="pvp",MIN(Skills!I29,15),Skills!I29)/Skills!H29+0.000000001),1)</f>
        <v/>
      </c>
      <c r="H964">
        <f>1-(1-Skills!J29/100)^Skills!K29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Skills!A30</f>
        <v/>
      </c>
      <c r="B965">
        <f>Skills!B30</f>
        <v/>
      </c>
      <c r="C965">
        <f>Inputs!$B$3&gt;=120</f>
        <v/>
      </c>
      <c r="D965">
        <f>IF(Skills!C30=1,60+Inputs!$B$25+Inputs!$B$29,IF(Skills!C30=2,90+Inputs!$B$26+Inputs!$B$29,IF(Skills!C30=3,120+(Inputs!$B$27+1)+Inputs!$B$29,MAX(0,(Inputs!$B$3-100)*3)+Inputs!$B$28+Inputs!$B$29)))</f>
        <v/>
      </c>
      <c r="E965">
        <f>INDEX(FactorTable!$B$2:$Y$301, MATCH(ROUND(MIN(300,MAX(1,D965)),0), FactorTable!$A$2:$A$301,0), Skills!M30+1)</f>
        <v/>
      </c>
      <c r="F965">
        <f>IF(Skills!N30=TRUE,(Skills!L30/10)*(E965/1000),Skills!L30/10)+Skills!O30</f>
        <v/>
      </c>
      <c r="G965">
        <f>Skills!G30*IF(Skills!H30&gt;0,INT(IF(Inputs!$B$38="pvp",MIN(Skills!I30,15),Skills!I30)/Skills!H30+0.000000001),1)</f>
        <v/>
      </c>
      <c r="H965">
        <f>1-(1-Skills!J30/100)^Skills!K30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Skills!A31</f>
        <v/>
      </c>
      <c r="B966">
        <f>Skills!B31</f>
        <v/>
      </c>
      <c r="C966">
        <f>Inputs!$B$3&gt;=120</f>
        <v/>
      </c>
      <c r="D966">
        <f>IF(Skills!C31=1,60+Inputs!$B$25+Inputs!$B$29,IF(Skills!C31=2,90+Inputs!$B$26+Inputs!$B$29,IF(Skills!C31=3,120+(Inputs!$B$27+1)+Inputs!$B$29,MAX(0,(Inputs!$B$3-100)*3)+Inputs!$B$28+Inputs!$B$29)))</f>
        <v/>
      </c>
      <c r="E966">
        <f>INDEX(FactorTable!$B$2:$Y$301, MATCH(ROUND(MIN(300,MAX(1,D966)),0), FactorTable!$A$2:$A$301,0), Skills!M31+1)</f>
        <v/>
      </c>
      <c r="F966">
        <f>IF(Skills!N31=TRUE,(Skills!L31/10)*(E966/1000),Skills!L31/10)+Skills!O31</f>
        <v/>
      </c>
      <c r="G966">
        <f>Skills!G31*IF(Skills!H31&gt;0,INT(IF(Inputs!$B$38="pvp",MIN(Skills!I31,15),Skills!I31)/Skills!H31+0.000000001),1)</f>
        <v/>
      </c>
      <c r="H966">
        <f>1-(1-Skills!J31/100)^Skills!K31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Skills!A32</f>
        <v/>
      </c>
      <c r="B967">
        <f>Skills!B32</f>
        <v/>
      </c>
      <c r="C967">
        <f>Inputs!$B$3&gt;=45</f>
        <v/>
      </c>
      <c r="D967">
        <f>IF(Skills!C32=1,60+Inputs!$B$25+Inputs!$B$29,IF(Skills!C32=2,90+Inputs!$B$26+Inputs!$B$29,IF(Skills!C32=3,120+(Inputs!$B$27+1)+Inputs!$B$29,MAX(0,(Inputs!$B$3-100)*3)+Inputs!$B$28+Inputs!$B$29)))</f>
        <v/>
      </c>
      <c r="E967">
        <f>INDEX(FactorTable!$B$2:$Y$301, MATCH(ROUND(MIN(300,MAX(1,D967)),0), FactorTable!$A$2:$A$301,0), Skills!M32+1)</f>
        <v/>
      </c>
      <c r="F967">
        <f>IF(Skills!N32=TRUE,(Skills!L32/10)*(E967/1000),Skills!L32/10)+Skills!O32</f>
        <v/>
      </c>
      <c r="G967">
        <f>Skills!G32*IF(Skills!H32&gt;0,INT(IF(Inputs!$B$38="pvp",MIN(Skills!I32,15),Skills!I32)/Skills!H32+0.000000001),1)</f>
        <v/>
      </c>
      <c r="H967">
        <f>1-(1-Skills!J32/100)^Skills!K32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t>
        </is>
      </c>
      <c r="B971">
        <f>((C956=TRUE)*F956*IF(AND(Inputs!$B$38&lt;&gt;"pvp",Inputs!$B$43&gt;0),(((R956-1)*MIN((Skills!T21*(1+Inputs!$B$34/100)),(1/Q956))+MIN((Skills!T21*(1+Inputs!$B$34/100)),MAX(0,Inputs!$B$43-((R956-1)*(1/Q956)))))/Inputs!$B$43),IF(Inputs!$B$38="pvp",MIN((Skills!T21*(1+Inputs!$B$34/100)),15)/15,MIN(1,(Skills!T21*(1+Inputs!$B$34/100))/(1/Q956)))))</f>
        <v/>
      </c>
    </row>
    <row r="972">
      <c r="A972" t="inlineStr">
        <is>
          <t>Actions Per Second</t>
        </is>
      </c>
      <c r="B972">
        <f>1+MIN(150,150*(1-(1-(Inputs!$B$11+((C958=TRUE)*(F958-Calc!F23))+((C959=TRUE)*(F959-Calc!F24)))/150)*(1-B971/150)))/100</f>
        <v/>
      </c>
    </row>
    <row r="973">
      <c r="A973" t="inlineStr">
        <is>
          <t>Skill + Buff Cast Rate</t>
        </is>
      </c>
      <c r="B973">
        <f>IF(AND(Inputs!$B$38&lt;&gt;"pvp",Inputs!$B$43&gt;0),SUMPRODUCT((Skills!E2:E32=TRUE)*(C937:C967=TRUE)*R937:R967*Skills!F2:F32)/Inputs!$B$43,SUMPRODUCT((Skills!E2:E32=TRUE)*(C937:C967=TRUE)*Q937:Q967*Skills!F2:F32))</f>
        <v/>
      </c>
    </row>
    <row r="974">
      <c r="A974" t="inlineStr">
        <is>
          <t>Arrow Stream Casts Per Second</t>
        </is>
      </c>
      <c r="B974">
        <f>MAX(0,B972-B973)</f>
        <v/>
      </c>
    </row>
    <row r="975">
      <c r="A975" t="inlineStr">
        <is>
          <t>Global Critical Damage Bonus % (Sharp Eyes + Concentration)</t>
        </is>
      </c>
      <c r="B975">
        <f>(C953=TRUE)*F953*IF(AND(Inputs!$B$38&lt;&gt;"pvp",Inputs!$B$43&gt;0),(((R953-1)*MIN((Skills!T18*(1+Inputs!$B$34/100)),(1/Q953))+MIN((Skills!T18*(1+Inputs!$B$34/100)),MAX(0,Inputs!$B$43-((R953-1)*(1/Q953)))))/Inputs!$B$43),IF(Inputs!$B$38="pvp",MIN((Skills!T18*(1+Inputs!$B$34/100)),15)/15,MIN(1,(Skills!T18*(1+Inputs!$B$34/100))/(1/Q953))))+(C954=TRUE)*7*F954</f>
        <v/>
      </c>
    </row>
    <row r="976">
      <c r="A976" t="inlineStr">
        <is>
          <t>Global Final Damage Bonus % (Mortal Blow)</t>
        </is>
      </c>
      <c r="B976">
        <f>(C955=TRUE)*F955</f>
        <v/>
      </c>
    </row>
    <row r="977">
      <c r="A977" t="inlineStr">
        <is>
          <t>Buff-Casting Startup Delay (s, fixed-duration only)</t>
        </is>
      </c>
      <c r="B977">
        <f>IF(AND(Inputs!$B$38&lt;&gt;"pvp",Inputs!$B$43&gt;0),SUMPRODUCT((Skills!T2:T32&gt;0)*(Skills!E2:E32=TRUE)*(C937:C967=TRUE))/B972,0)</f>
        <v/>
      </c>
    </row>
    <row r="978">
      <c r="A978" t="inlineStr">
        <is>
          <t>Boss-Only Total DPS (this block's swept value)</t>
        </is>
      </c>
      <c r="B978">
        <f>SUM(T937:T967)</f>
        <v/>
      </c>
    </row>
    <row r="979">
      <c r="A979" t="inlineStr">
        <is>
          <t>Normal-Only Total DPS (this block's swept value)</t>
        </is>
      </c>
      <c r="B979">
        <f>SUM(V937:V967)</f>
        <v/>
      </c>
    </row>
    <row r="980">
      <c r="A980" s="6" t="inlineStr">
        <is>
          <t>TOTAL DPS</t>
        </is>
      </c>
      <c r="B980" s="6">
        <f>SUM(O937:O967)</f>
        <v/>
      </c>
    </row>
    <row r="983">
      <c r="A983" s="6" t="inlineStr">
        <is>
          <t>Stat: Skill Level Bonus — 4th Job</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Skills!G2*IF(Skills!H2&gt;0,INT(IF(Inputs!$B$38="pvp",MIN(Skills!I2,15),Skills!I2)/Skills!H2+0.000000001),1)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1009=TRUE)*(F1009-Calc!F26)),(Inputs!$B$23+((C1014=TRUE)*(F1014-Calc!F31))+(IF(ArtifactsInput!$M$15,CHOOSE(ArtifactsInput!$N$15+1,25,30,35,40,45,50)/100*(Inputs!$B$11-Inputs!$B$11),0))))/100+(Inputs!$B$23+((C1014=TRUE)*(F1014-Calc!F31))+(IF(ArtifactsInput!$M$15,CHOOSE(ArtifactsInput!$N$15+1,25,30,35,40,45,50)/100*(Inputs!$B$11-Inputs!$B$11),0)))/100)/2</f>
        <v/>
      </c>
      <c r="M985">
        <f>L985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IF(B1028=0,0,O985/B1028)</f>
        <v/>
      </c>
      <c r="Q985" t="n">
        <v>0</v>
      </c>
      <c r="R985" t="n">
        <v>0</v>
      </c>
      <c r="S985">
        <f>IFERROR(O985/N985,0)</f>
        <v/>
      </c>
      <c r="T985">
        <f>IF(C985,(Skills!G2*N985*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MAX(0,(Inputs!$B$3-100)*3)+(Inputs!$B$28+1)+Inputs!$B$29</f>
        <v/>
      </c>
      <c r="V985">
        <f>IF(C985,(Skills!G2*N985*B1022)*IF(Inputs!$B$38="pvp",1,(1+(Inputs!$B$21+Skills!Q2+(IF(ArtifactsInput!$M$33,CHOOSE(ArtifactsInput!$N$33+1,30,36,42,48,54,60),0))+(IF(AND(ArtifactsInput!$M$35,Inputs!$B$4&lt;&gt;"Chapter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Inputs!$B$3&gt;=50</f>
        <v/>
      </c>
      <c r="D986">
        <f>IF(Skills!C3=1,60+Inputs!$B$25+Inputs!$B$29,IF(Skills!C3=2,90+Inputs!$B$26+Inputs!$B$29,IF(Skills!C3=3,120+Inputs!$B$27+Inputs!$B$29,MAX(0,(Inputs!$B$3-100)*3)+(Inputs!$B$28+1)+Inputs!$B$29)))</f>
        <v/>
      </c>
      <c r="E986">
        <f>INDEX(FactorTable!$B$2:$Y$301, MATCH(ROUND(MIN(300,MAX(1,D986)),0), FactorTable!$A$2:$A$301,0), Skills!M3+1)</f>
        <v/>
      </c>
      <c r="F986">
        <f>IF(Skills!N3=TRUE,(Skills!L3/10)*(E986/1000),Skills!L3/10)+Skills!O3</f>
        <v/>
      </c>
      <c r="G986">
        <f>Skills!G3*IF(Skills!H3&gt;0,INT(IF(Inputs!$B$38="pvp",MIN(Skills!I3,15),Skills!I3)/Skills!H3+0.000000001),1)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Skills!A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1009=TRUE)*(F1009-Calc!F26)),(Inputs!$B$23+((C1014=TRUE)*(F1014-Calc!F31))+(IF(ArtifactsInput!$M$15,CHOOSE(ArtifactsInput!$N$15+1,25,30,35,40,45,50)/100*(Inputs!$B$11-Inputs!$B$11),0))))/100+(Inputs!$B$23+((C1014=TRUE)*(F1014-Calc!F31))+(IF(ArtifactsInput!$M$15,CHOOSE(ArtifactsInput!$N$15+1,25,30,35,40,45,50)/100*(Inputs!$B$11-Inputs!$B$11),0)))/100)/2</f>
        <v/>
      </c>
      <c r="M986">
        <f>L986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IF(B1028=0,0,O986/B1028)</f>
        <v/>
      </c>
      <c r="Q986">
        <f>IFERROR(1/(IF(Inputs!$B$38="pvp",15,MAX(0.1,1/B1020-IF(FALSE=TRUE,Inputs!$B$32,0)))*(1-IF(AND(ArtifactsInput!$M$27,Inputs!$B$4="Chapter Hunt"),CHOOSE(ArtifactsInput!$N$27+1,20,24,28,32,36,40),0)/100)),0)</f>
        <v/>
      </c>
      <c r="R986">
        <f>IF(AND(Inputs!$B$38&lt;&gt;"pvp",Inputs!$B$43&gt;0),IF(MAX(0,Inputs!$B$43-B1025)&lt;=0,0,(INT(MAX(0,Inputs!$B$43-B1025)/(IF(Inputs!$B$38="pvp",15,MAX(0.1,1/B1020-IF(FALSE=TRUE,Inputs!$B$32,0)))*(1-IF(AND(ArtifactsInput!$M$27,Inputs!$B$4="Chapter Hunt"),CHOOSE(ArtifactsInput!$N$27+1,20,24,28,32,36,40),0)/100)))+1)),0)</f>
        <v/>
      </c>
      <c r="S986">
        <f>IFERROR(O986/N986,0)</f>
        <v/>
      </c>
      <c r="T986">
        <f>IF(C986,(H986*N986*IF(AND(Inputs!$B$38&lt;&gt;"pvp",Inputs!$B$43&gt;0),((Skills!G3*((R986-1)*IF(Skills!H3&gt;0,INT(Skills!I3/Skills!H3+0.000000001),1)+IF(Skills!H3&gt;0,INT(MIN(Skills!I3,MAX(0,MAX(0,Inputs!$B$43-B1025)-((R986-1)*(IF(Inputs!$B$38="pvp",15,MAX(0.1,1/B1020-IF(FALSE=TRUE,Inputs!$B$32,0)))*(1-IF(AND(ArtifactsInput!$M$27,Inputs!$B$4="Chapter Hunt"),CHOOSE(ArtifactsInput!$N$27+1,20,24,28,32,36,40),0)/100)))))/Skills!H3+0.000000001),1)))/Inputs!$B$43),G986*Q986)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H986*N986*IF(AND(Inputs!$B$38&lt;&gt;"pvp",Inputs!$B$43&gt;0),((Skills!G3*((R986-1)*IF(Skills!H3&gt;0,INT(Skills!I3/Skills!H3+0.000000001),1)+IF(Skills!H3&gt;0,INT(MIN(Skills!I3,MAX(0,MAX(0,Inputs!$B$43-B1025)-((R986-1)*(IF(Inputs!$B$38="pvp",15,MAX(0.1,1/B1020-IF(FALSE=TRUE,Inputs!$B$32,0)))*(1-IF(AND(ArtifactsInput!$M$27,Inputs!$B$4="Chapter Hunt"),CHOOSE(ArtifactsInput!$N$27+1,20,24,28,32,36,40),0)/100)))))/Skills!H3+0.000000001),1)))/Inputs!$B$43),G986*Q986))*IF(Inputs!$B$38="pvp",1,(1+(Inputs!$B$21+Skills!Q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Inputs!$B$3&gt;=105</f>
        <v/>
      </c>
      <c r="D987">
        <f>IF(Skills!C4=1,60+Inputs!$B$25+Inputs!$B$29,IF(Skills!C4=2,90+Inputs!$B$26+Inputs!$B$29,IF(Skills!C4=3,120+Inputs!$B$27+Inputs!$B$29,MAX(0,(Inputs!$B$3-100)*3)+(Inputs!$B$28+1)+Inputs!$B$29)))</f>
        <v/>
      </c>
      <c r="E987">
        <f>INDEX(FactorTable!$B$2:$Y$301, MATCH(ROUND(MIN(300,MAX(1,D987)),0), FactorTable!$A$2:$A$301,0), Skills!M4+1)</f>
        <v/>
      </c>
      <c r="F987">
        <f>IF(Skills!N4=TRUE,(Skills!L4/10)*(E987/1000),Skills!L4/10)+Skills!O4</f>
        <v/>
      </c>
      <c r="G987" t="inlineStr"/>
      <c r="H987" t="inlineStr"/>
      <c r="I987" t="inlineStr">
        <is>
          <t>1</t>
        </is>
      </c>
      <c r="J987" t="inlineStr"/>
      <c r="K987" t="inlineStr"/>
      <c r="L987" t="inlineStr"/>
      <c r="M987" t="inlineStr"/>
      <c r="N987" t="inlineStr"/>
      <c r="O987" t="inlineStr"/>
      <c r="P987" t="inlineStr"/>
      <c r="Q987" t="inlineStr"/>
      <c r="R987" t="inlineStr"/>
      <c r="S987" t="inlineStr"/>
      <c r="T987" t="inlineStr"/>
      <c r="U987">
        <f>290*U986/1000</f>
        <v/>
      </c>
      <c r="V987" t="inlineStr"/>
    </row>
    <row r="988">
      <c r="A988">
        <f>Skills!A5</f>
        <v/>
      </c>
      <c r="B988">
        <f>Skills!B5</f>
        <v/>
      </c>
      <c r="C988">
        <f>Inputs!$B$3&gt;=35</f>
        <v/>
      </c>
      <c r="D988">
        <f>IF(Skills!C5=1,60+Inputs!$B$25+Inputs!$B$29,IF(Skills!C5=2,90+Inputs!$B$26+Inputs!$B$29,IF(Skills!C5=3,120+Inputs!$B$27+Inputs!$B$29,MAX(0,(Inputs!$B$3-100)*3)+(Inputs!$B$28+1)+Inputs!$B$29)))</f>
        <v/>
      </c>
      <c r="E988">
        <f>INDEX(FactorTable!$B$2:$Y$301, MATCH(ROUND(MIN(300,MAX(1,D988)),0), FactorTable!$A$2:$A$301,0), Skills!M5+1)</f>
        <v/>
      </c>
      <c r="F988">
        <f>IF(Skills!N5=TRUE,(Skills!L5/10)*(E988/1000),Skills!L5/10)+Skills!O5</f>
        <v/>
      </c>
      <c r="G988">
        <f>Skills!G5*IF(Skills!H5&gt;0,INT(IF(Inputs!$B$38="pvp",MIN(Skills!I5,15),Skills!I5)/Skills!H5+0.000000001),1)</f>
        <v/>
      </c>
      <c r="H988">
        <f>1-(1-Skills!J5/100)^Skills!K5</f>
        <v/>
      </c>
      <c r="I988" t="inlineStr">
        <is>
          <t>1</t>
        </is>
      </c>
      <c r="J988">
        <f>((Inputs!$B$6*(1+Inputs!$B$7/100))+(((Inputs!$B$12*(1+Inputs!$B$13/100))-(Inputs!$B$12*(1+Inputs!$B$13/100)))+0.25*(Inputs!$B$14-Inputs!$B$14))*(1+Inputs!$B$7/100))*(F988/100)</f>
        <v/>
      </c>
      <c r="K988">
        <f>J988*(1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995=TRUE,F995,0)/100)*(1+(IF(Skills!A5="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1009=TRUE)*(F1009-Calc!F26)),(Inputs!$B$23+((C1014=TRUE)*(F1014-Calc!F31))+(IF(ArtifactsInput!$M$15,CHOOSE(ArtifactsInput!$N$15+1,25,30,35,40,45,50)/100*(Inputs!$B$11-Inputs!$B$11),0))))/100+(Inputs!$B$23+((C1014=TRUE)*(F1014-Calc!F31))+(IF(ArtifactsInput!$M$15,CHOOSE(ArtifactsInput!$N$15+1,25,30,35,40,45,50)/100*(Inputs!$B$11-Inputs!$B$11),0)))/100)/2</f>
        <v/>
      </c>
      <c r="M988">
        <f>L988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IF(B1028=0,0,O988/B1028)</f>
        <v/>
      </c>
      <c r="Q988">
        <f>IFERROR(1/(IF(Inputs!$B$38="pvp",15,MAX(0.1,Skills!D5-IF(TRUE=TRUE,Inputs!$B$32,0)))*(1-IF(AND(ArtifactsInput!$M$27,Inputs!$B$4="Chapter Hunt"),CHOOSE(ArtifactsInput!$N$27+1,20,24,28,32,36,40),0)/100)),0)</f>
        <v/>
      </c>
      <c r="R988">
        <f>IF(AND(Inputs!$B$38&lt;&gt;"pvp",Inputs!$B$43&gt;0),IF(MAX(0,Inputs!$B$43-B1025)&lt;=0,0,(INT(MAX(0,Inputs!$B$43-B1025)/(IF(Inputs!$B$38="pvp",15,MAX(0.1,Skills!D5-IF(TRUE=TRUE,Inputs!$B$32,0)))*(1-IF(AND(ArtifactsInput!$M$27,Inputs!$B$4="Chapter Hunt"),CHOOSE(ArtifactsInput!$N$27+1,20,24,28,32,36,40),0)/100)))+1)),0)</f>
        <v/>
      </c>
      <c r="S988">
        <f>IFERROR(O988/N988,0)</f>
        <v/>
      </c>
      <c r="T988">
        <f>IF(C988,(H988*N988*IF(AND(Inputs!$B$38&lt;&gt;"pvp",Inputs!$B$43&gt;0),((Skills!G5*((R988-1)*IF(Skills!H5&gt;0,INT(Skills!I5/Skills!H5+0.000000001),1)+IF(Skills!H5&gt;0,INT(MIN(Skills!I5,MAX(0,MAX(0,Inputs!$B$43-B1025)-((R988-1)*(IF(Inputs!$B$38="pvp",15,MAX(0.1,Skills!D5-IF(TRUE=TRUE,Inputs!$B$32,0)))*(1-IF(AND(ArtifactsInput!$M$27,Inputs!$B$4="Chapter Hunt"),CHOOSE(ArtifactsInput!$N$27+1,20,24,28,32,36,40),0)/100)))))/Skills!H5+0.000000001),1)))/Inputs!$B$43),G988*Q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IF(AND(Inputs!$B$38&lt;&gt;"pvp",Inputs!$B$43&gt;0),((Skills!G5*((R988-1)*IF(Skills!H5&gt;0,INT(Skills!I5/Skills!H5+0.000000001),1)+IF(Skills!H5&gt;0,INT(MIN(Skills!I5,MAX(0,MAX(0,Inputs!$B$43-B1025)-((R988-1)*(IF(Inputs!$B$38="pvp",15,MAX(0.1,Skills!D5-IF(TRUE=TRUE,Inputs!$B$32,0)))*(1-IF(AND(ArtifactsInput!$M$27,Inputs!$B$4="Chapter Hunt"),CHOOSE(ArtifactsInput!$N$27+1,20,24,28,32,36,40),0)/100)))))/Skills!H5+0.000000001),1)))/Inputs!$B$43),G988*Q988))*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Skills!A6</f>
        <v/>
      </c>
      <c r="B989">
        <f>Skills!B6</f>
        <v/>
      </c>
      <c r="C989">
        <f>Inputs!$B$3&gt;=40</f>
        <v/>
      </c>
      <c r="D989">
        <f>IF(Skills!C6=1,60+Inputs!$B$25+Inputs!$B$29,IF(Skills!C6=2,90+Inputs!$B$26+Inputs!$B$29,IF(Skills!C6=3,120+Inputs!$B$27+Inputs!$B$29,MAX(0,(Inputs!$B$3-100)*3)+(Inputs!$B$28+1)+Inputs!$B$29)))</f>
        <v/>
      </c>
      <c r="E989">
        <f>INDEX(FactorTable!$B$2:$Y$301, MATCH(ROUND(MIN(300,MAX(1,D989)),0), FactorTable!$A$2:$A$301,0), Skills!M6+1)</f>
        <v/>
      </c>
      <c r="F989">
        <f>IF(Skills!N6=TRUE,(Skills!L6/10)*(E989/1000),Skills!L6/10)+Skills!O6</f>
        <v/>
      </c>
      <c r="G989">
        <f>Skills!G6*IF(Skills!H6&gt;0,INT(IF(Inputs!$B$38="pvp",MIN(Skills!I6,15),Skills!I6)/Skills!H6+0.000000001),1)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990=TRUE,F990,0)/100)*(1+(IF(Skills!A6="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1009=TRUE)*(F1009-Calc!F26)),(Inputs!$B$23+((C1014=TRUE)*(F1014-Calc!F31))+(IF(ArtifactsInput!$M$15,CHOOSE(ArtifactsInput!$N$15+1,25,30,35,40,45,50)/100*(Inputs!$B$11-Inputs!$B$11),0))))/100+(Inputs!$B$23+((C1014=TRUE)*(F1014-Calc!F31))+(IF(ArtifactsInput!$M$15,CHOOSE(ArtifactsInput!$N$15+1,25,30,35,40,45,50)/100*(Inputs!$B$11-Inputs!$B$11),0)))/100)/2</f>
        <v/>
      </c>
      <c r="M989">
        <f>L989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IF(B1028=0,0,O989/B1028)</f>
        <v/>
      </c>
      <c r="Q989">
        <f>IFERROR(1/(IF(Inputs!$B$38="pvp",15,MAX(0.1,1-0.4*MIN(1,(B1020-1)/1.5)-IF(FALSE=TRUE,Inputs!$B$32,0)))*(1-IF(AND(ArtifactsInput!$M$27,Inputs!$B$4="Chapter Hunt"),CHOOSE(ArtifactsInput!$N$27+1,20,24,28,32,36,40),0)/100)),0)</f>
        <v/>
      </c>
      <c r="R989">
        <f>IF(AND(Inputs!$B$38&lt;&gt;"pvp",Inputs!$B$43&gt;0),IF(MAX(0,Inputs!$B$43-B1025)&lt;=0,0,(INT(MAX(0,Inputs!$B$43-B1025)/(IF(Inputs!$B$38="pvp",15,MAX(0.1,1-0.4*MIN(1,(B1020-1)/1.5)-IF(FALSE=TRUE,Inputs!$B$32,0)))*(1-IF(AND(ArtifactsInput!$M$27,Inputs!$B$4="Chapter Hunt"),CHOOSE(ArtifactsInput!$N$27+1,20,24,28,32,36,40),0)/100)))+1)),0)</f>
        <v/>
      </c>
      <c r="S989">
        <f>IFERROR(O989/N989,0)</f>
        <v/>
      </c>
      <c r="T989">
        <f>IF(C989,(H989*N989*IF(AND(Inputs!$B$38&lt;&gt;"pvp",Inputs!$B$43&gt;0),((Skills!G6*((R989-1)*IF(Skills!H6&gt;0,INT(Skills!I6/Skills!H6+0.000000001),1)+IF(Skills!H6&gt;0,INT(MIN(Skills!I6,MAX(0,MAX(0,Inputs!$B$43-B1025)-((R989-1)*(IF(Inputs!$B$38="pvp",15,MAX(0.1,1-0.4*MIN(1,(B1020-1)/1.5)-IF(FALSE=TRUE,Inputs!$B$32,0)))*(1-IF(AND(ArtifactsInput!$M$27,Inputs!$B$4="Chapter Hunt"),CHOOSE(ArtifactsInput!$N$27+1,20,24,28,32,36,40),0)/100)))))/Skills!H6+0.000000001),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INT(Skills!I6/Skills!H6+0.000000001),1)+IF(Skills!H6&gt;0,INT(MIN(Skills!I6,MAX(0,MAX(0,Inputs!$B$43-B1025)-((R989-1)*(IF(Inputs!$B$38="pvp",15,MAX(0.1,1-0.4*MIN(1,(B1020-1)/1.5)-IF(FALSE=TRUE,Inputs!$B$32,0)))*(1-IF(AND(ArtifactsInput!$M$27,Inputs!$B$4="Chapter Hunt"),CHOOSE(ArtifactsInput!$N$27+1,20,24,28,32,36,40),0)/100)))))/Skills!H6+0.000000001),1)))/Inputs!$B$43),G989*Q989))*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Inputs!$B$3&gt;=107</f>
        <v/>
      </c>
      <c r="D990">
        <f>IF(Skills!C7=1,60+Inputs!$B$25+Inputs!$B$29,IF(Skills!C7=2,90+Inputs!$B$26+Inputs!$B$29,IF(Skills!C7=3,120+Inputs!$B$27+Inputs!$B$29,MAX(0,(Inputs!$B$3-100)*3)+(Inputs!$B$28+1)+Inputs!$B$29)))</f>
        <v/>
      </c>
      <c r="E990">
        <f>INDEX(FactorTable!$B$2:$Y$301, MATCH(ROUND(MIN(300,MAX(1,D990)),0), FactorTable!$A$2:$A$301,0), Skills!M7+1)</f>
        <v/>
      </c>
      <c r="F990">
        <f>IF(Skills!N7=TRUE,(Skills!L7/10)*(E990/1000),Skills!L7/10)+Skills!O7</f>
        <v/>
      </c>
      <c r="G990" t="inlineStr"/>
      <c r="H990" t="inlineStr"/>
      <c r="I990" t="inlineStr">
        <is>
          <t>1</t>
        </is>
      </c>
      <c r="J990" t="inlineStr"/>
      <c r="K990" t="inlineStr"/>
      <c r="L990" t="inlineStr"/>
      <c r="M990" t="inlineStr"/>
      <c r="N990" t="inlineStr"/>
      <c r="O990" t="inlineStr"/>
      <c r="P990" t="inlineStr"/>
      <c r="Q990" t="inlineStr"/>
      <c r="R990" t="inlineStr"/>
      <c r="S990" t="inlineStr"/>
      <c r="T990" t="inlineStr"/>
      <c r="V990" t="inlineStr"/>
    </row>
    <row r="991">
      <c r="A991">
        <f>Skills!A8</f>
        <v/>
      </c>
      <c r="B991">
        <f>Skills!B8</f>
        <v/>
      </c>
      <c r="C991">
        <f>Inputs!$B$3&gt;=130</f>
        <v/>
      </c>
      <c r="D991">
        <f>IF(Skills!C8=1,60+Inputs!$B$25+Inputs!$B$29,IF(Skills!C8=2,90+Inputs!$B$26+Inputs!$B$29,IF(Skills!C8=3,120+Inputs!$B$27+Inputs!$B$29,MAX(0,(Inputs!$B$3-100)*3)+(Inputs!$B$28+1)+Inputs!$B$29)))</f>
        <v/>
      </c>
      <c r="E991">
        <f>INDEX(FactorTable!$B$2:$Y$301, MATCH(ROUND(MIN(300,MAX(1,D991)),0), FactorTable!$A$2:$A$301,0), Skills!M8+1)</f>
        <v/>
      </c>
      <c r="F991">
        <f>IF(Skills!N8=TRUE,(Skills!L8/10)*(E991/1000),Skills!L8/10)+Skills!O8</f>
        <v/>
      </c>
      <c r="G991">
        <f>Skills!G8*IF(Skills!H8&gt;0,INT(IF(Inputs!$B$38="pvp",MIN(Skills!I8,15),Skills!I8)/Skills!H8+0.000000001),1)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1009=TRUE)*(F1009-Calc!F26)),(Inputs!$B$23+((C1014=TRUE)*(F1014-Calc!F31))+(IF(ArtifactsInput!$M$15,CHOOSE(ArtifactsInput!$N$15+1,25,30,35,40,45,50)/100*(Inputs!$B$11-Inputs!$B$11),0))))/100+(Inputs!$B$23+((C1014=TRUE)*(F1014-Calc!F31))+(IF(ArtifactsInput!$M$15,CHOOSE(ArtifactsInput!$N$15+1,25,30,35,40,45,50)/100*(Inputs!$B$11-Inputs!$B$11),0)))/100)/2</f>
        <v/>
      </c>
      <c r="M991">
        <f>L991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IF(B1028=0,0,O991/B1028)</f>
        <v/>
      </c>
      <c r="Q991">
        <f>IFERROR(1/(IF(Inputs!$B$38="pvp",15,MAX(0.1,1-0.4*MIN(1,(B1020-1)/1.5)-IF(FALSE=TRUE,Inputs!$B$32,0)))*(1-IF(AND(ArtifactsInput!$M$27,Inputs!$B$4="Chapter Hunt"),CHOOSE(ArtifactsInput!$N$27+1,20,24,28,32,36,40),0)/100)),0)</f>
        <v/>
      </c>
      <c r="R991">
        <f>IF(AND(Inputs!$B$38&lt;&gt;"pvp",Inputs!$B$43&gt;0),IF(MAX(0,Inputs!$B$43-B1025)&lt;=0,0,(INT(MAX(0,Inputs!$B$43-B1025)/(IF(Inputs!$B$38="pvp",15,MAX(0.1,1-0.4*MIN(1,(B1020-1)/1.5)-IF(FALSE=TRUE,Inputs!$B$32,0)))*(1-IF(AND(ArtifactsInput!$M$27,Inputs!$B$4="Chapter Hunt"),CHOOSE(ArtifactsInput!$N$27+1,20,24,28,32,36,40),0)/100)))+1)),0)</f>
        <v/>
      </c>
      <c r="S991">
        <f>IFERROR(O991/N991,0)</f>
        <v/>
      </c>
      <c r="T991">
        <f>IF(C991,(H991*N991*IF(AND(Inputs!$B$38&lt;&gt;"pvp",Inputs!$B$43&gt;0),((Skills!G8*((R991-1)*IF(Skills!H8&gt;0,INT(Skills!I8/Skills!H8+0.000000001),1)+IF(Skills!H8&gt;0,INT(MIN(Skills!I8,MAX(0,MAX(0,Inputs!$B$43-B1025)-((R991-1)*(IF(Inputs!$B$38="pvp",15,MAX(0.1,1-0.4*MIN(1,(B1020-1)/1.5)-IF(FALSE=TRUE,Inputs!$B$32,0)))*(1-IF(AND(ArtifactsInput!$M$27,Inputs!$B$4="Chapter Hunt"),CHOOSE(ArtifactsInput!$N$27+1,20,24,28,32,36,40),0)/100)))))/Skills!H8+0.000000001),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INT(Skills!I8/Skills!H8+0.000000001),1)+IF(Skills!H8&gt;0,INT(MIN(Skills!I8,MAX(0,MAX(0,Inputs!$B$43-B1025)-((R991-1)*(IF(Inputs!$B$38="pvp",15,MAX(0.1,1-0.4*MIN(1,(B1020-1)/1.5)-IF(FALSE=TRUE,Inputs!$B$32,0)))*(1-IF(AND(ArtifactsInput!$M$27,Inputs!$B$4="Chapter Hunt"),CHOOSE(ArtifactsInput!$N$27+1,20,24,28,32,36,40),0)/100)))))/Skills!H8+0.000000001),1)))/Inputs!$B$43),G991*Q991))*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Inputs!$B$3&gt;=69</f>
        <v/>
      </c>
      <c r="D992">
        <f>IF(Skills!C9=1,60+Inputs!$B$25+Inputs!$B$29,IF(Skills!C9=2,90+Inputs!$B$26+Inputs!$B$29,IF(Skills!C9=3,120+Inputs!$B$27+Inputs!$B$29,MAX(0,(Inputs!$B$3-100)*3)+(Inputs!$B$28+1)+Inputs!$B$29)))</f>
        <v/>
      </c>
      <c r="E992">
        <f>INDEX(FactorTable!$B$2:$Y$301, MATCH(ROUND(MIN(300,MAX(1,D992)),0), FactorTable!$A$2:$A$301,0), Skills!M9+1)</f>
        <v/>
      </c>
      <c r="F992">
        <f>IF(Skills!N9=TRUE,(Skills!L9/10)*(E992/1000),Skills!L9/10)+Skills!O9</f>
        <v/>
      </c>
      <c r="G992">
        <f>Skills!G9*IF(Skills!H9&gt;0,INT(IF(Inputs!$B$38="pvp",MIN(Skills!I9,15),Skills!I9)/Skills!H9+0.000000001),1)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995=TRUE,F995,0)/100)*(1+(IF(Skills!A9="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1009=TRUE)*(F1009-Calc!F26)),(Inputs!$B$23+((C1014=TRUE)*(F1014-Calc!F31))+(IF(ArtifactsInput!$M$15,CHOOSE(ArtifactsInput!$N$15+1,25,30,35,40,45,50)/100*(Inputs!$B$11-Inputs!$B$11),0))))/100+(Inputs!$B$23+((C1014=TRUE)*(F1014-Calc!F31))+(IF(ArtifactsInput!$M$15,CHOOSE(ArtifactsInput!$N$15+1,25,30,35,40,45,50)/100*(Inputs!$B$11-Inputs!$B$11),0)))/100)/2</f>
        <v/>
      </c>
      <c r="M992">
        <f>L992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IF(B1028=0,0,O992/B1028)</f>
        <v/>
      </c>
      <c r="Q992">
        <f>IFERROR(1/(IF(Inputs!$B$38="pvp",15,MAX(0.1,Skills!D9-IF(TRUE=TRUE,Inputs!$B$32,0)))*(1-IF(AND(ArtifactsInput!$M$27,Inputs!$B$4="Chapter Hunt"),CHOOSE(ArtifactsInput!$N$27+1,20,24,28,32,36,40),0)/100)),0)</f>
        <v/>
      </c>
      <c r="R992">
        <f>IF(AND(Inputs!$B$38&lt;&gt;"pvp",Inputs!$B$43&gt;0),IF(MAX(0,Inputs!$B$43-B1025)&lt;=0,0,(INT(MAX(0,Inputs!$B$43-B1025)/(IF(Inputs!$B$38="pvp",15,MAX(0.1,Skills!D9-IF(TRUE=TRUE,Inputs!$B$32,0)))*(1-IF(AND(ArtifactsInput!$M$27,Inputs!$B$4="Chapter Hunt"),CHOOSE(ArtifactsInput!$N$27+1,20,24,28,32,36,40),0)/100)))+1)),0)</f>
        <v/>
      </c>
      <c r="S992">
        <f>IFERROR(O992/N992,0)</f>
        <v/>
      </c>
      <c r="T992">
        <f>IF(C992,(H992*N992*IF(AND(Inputs!$B$38&lt;&gt;"pvp",Inputs!$B$43&gt;0),((Skills!G9*((R992-1)*IF(Skills!H9&gt;0,INT(Skills!I9/Skills!H9+0.000000001),1)+IF(Skills!H9&gt;0,INT(MIN(Skills!I9,MAX(0,MAX(0,Inputs!$B$43-B1025)-((R992-1)*(IF(Inputs!$B$38="pvp",15,MAX(0.1,Skills!D9-IF(TRUE=TRUE,Inputs!$B$32,0)))*(1-IF(AND(ArtifactsInput!$M$27,Inputs!$B$4="Chapter Hunt"),CHOOSE(ArtifactsInput!$N$27+1,20,24,28,32,36,40),0)/100)))))/Skills!H9+0.000000001),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INT(Skills!I9/Skills!H9+0.000000001),1)+IF(Skills!H9&gt;0,INT(MIN(Skills!I9,MAX(0,MAX(0,Inputs!$B$43-B1025)-((R992-1)*(IF(Inputs!$B$38="pvp",15,MAX(0.1,Skills!D9-IF(TRUE=TRUE,Inputs!$B$32,0)))*(1-IF(AND(ArtifactsInput!$M$27,Inputs!$B$4="Chapter Hunt"),CHOOSE(ArtifactsInput!$N$27+1,20,24,28,32,36,40),0)/100)))))/Skills!H9+0.000000001),1)))/Inputs!$B$43),G992*Q992))*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Inputs!$B$3&gt;=63</f>
        <v/>
      </c>
      <c r="D993">
        <f>IF(Skills!C10=1,60+Inputs!$B$25+Inputs!$B$29,IF(Skills!C10=2,90+Inputs!$B$26+Inputs!$B$29,IF(Skills!C10=3,120+Inputs!$B$27+Inputs!$B$29,MAX(0,(Inputs!$B$3-100)*3)+(Inputs!$B$28+1)+Inputs!$B$29)))</f>
        <v/>
      </c>
      <c r="E993">
        <f>INDEX(FactorTable!$B$2:$Y$301, MATCH(ROUND(MIN(300,MAX(1,D993)),0), FactorTable!$A$2:$A$301,0), Skills!M10+1)</f>
        <v/>
      </c>
      <c r="F993">
        <f>IF(Skills!N10=TRUE,(Skills!L10/10)*(E993/1000),Skills!L10/10)+Skills!O10</f>
        <v/>
      </c>
      <c r="G993">
        <f>Skills!G10*IF(Skills!H10&gt;0,INT(IF(Inputs!$B$38="pvp",MIN(Skills!I10,15),Skills!I10)/Skills!H10+0.000000001),1)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10="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1009=TRUE)*(F1009-Calc!F26)),(Inputs!$B$23+((C1014=TRUE)*(F1014-Calc!F31))+(IF(ArtifactsInput!$M$15,CHOOSE(ArtifactsInput!$N$15+1,25,30,35,40,45,50)/100*(Inputs!$B$11-Inputs!$B$11),0))))/100+(Inputs!$B$23+((C1014=TRUE)*(F1014-Calc!F31))+(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f>IFERROR(1/(IF(Inputs!$B$38="pvp",15,MAX(0.1,Skills!D10-IF(TRUE=TRUE,Inputs!$B$32,0)))*(1-IF(AND(ArtifactsInput!$M$27,Inputs!$B$4="Chapter Hunt"),CHOOSE(ArtifactsInput!$N$27+1,20,24,28,32,36,40),0)/100)),0)</f>
        <v/>
      </c>
      <c r="R993">
        <f>IF(AND(Inputs!$B$38&lt;&gt;"pvp",Inputs!$B$43&gt;0),IF(MAX(0,Inputs!$B$43-B1025)&lt;=0,0,(INT(MAX(0,Inputs!$B$43-B1025)/(IF(Inputs!$B$38="pvp",15,MAX(0.1,Skills!D10-IF(TRUE=TRUE,Inputs!$B$32,0)))*(1-IF(AND(ArtifactsInput!$M$27,Inputs!$B$4="Chapter Hunt"),CHOOSE(ArtifactsInput!$N$27+1,20,24,28,32,36,40),0)/100)))+1)),0)</f>
        <v/>
      </c>
      <c r="S993">
        <f>IFERROR(O993/N993,0)</f>
        <v/>
      </c>
      <c r="T993">
        <f>IF(C993,(H993*N993*IF(AND(Inputs!$B$38&lt;&gt;"pvp",Inputs!$B$43&gt;0),((Skills!G10*((R993-1)*IF(Skills!H10&gt;0,INT(Skills!I10/Skills!H10+0.000000001),1)+IF(Skills!H10&gt;0,INT(MIN(Skills!I10,MAX(0,MAX(0,Inputs!$B$43-B1025)-((R993-1)*(IF(Inputs!$B$38="pvp",15,MAX(0.1,Skills!D10-IF(TRUE=TRUE,Inputs!$B$32,0)))*(1-IF(AND(ArtifactsInput!$M$27,Inputs!$B$4="Chapter Hunt"),CHOOSE(ArtifactsInput!$N$27+1,20,24,28,32,36,40),0)/100)))))/Skills!H10+0.000000001),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INT(Skills!I10/Skills!H10+0.000000001),1)+IF(Skills!H10&gt;0,INT(MIN(Skills!I10,MAX(0,MAX(0,Inputs!$B$43-B1025)-((R993-1)*(IF(Inputs!$B$38="pvp",15,MAX(0.1,Skills!D10-IF(TRUE=TRUE,Inputs!$B$32,0)))*(1-IF(AND(ArtifactsInput!$M$27,Inputs!$B$4="Chapter Hunt"),CHOOSE(ArtifactsInput!$N$27+1,20,24,28,32,36,40),0)/100)))))/Skills!H10+0.000000001),1)))/Inputs!$B$43),G993*Q993))*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Inputs!$B$3&gt;=103</f>
        <v/>
      </c>
      <c r="D994">
        <f>IF(Skills!C11=1,60+Inputs!$B$25+Inputs!$B$29,IF(Skills!C11=2,90+Inputs!$B$26+Inputs!$B$29,IF(Skills!C11=3,120+Inputs!$B$27+Inputs!$B$29,MAX(0,(Inputs!$B$3-100)*3)+(Inputs!$B$28+1)+Inputs!$B$29)))</f>
        <v/>
      </c>
      <c r="E994">
        <f>INDEX(FactorTable!$B$2:$Y$301, MATCH(ROUND(MIN(300,MAX(1,D994)),0), FactorTable!$A$2:$A$301,0), Skills!M11+1)</f>
        <v/>
      </c>
      <c r="F994">
        <f>IF(Skills!N11=TRUE,(Skills!L11/10)*(E994/1000),Skills!L11/10)+Skills!O11</f>
        <v/>
      </c>
      <c r="G994">
        <f>Skills!G11*IF(Skills!H11&gt;0,INT(IF(Inputs!$B$38="pvp",MIN(Skills!I11,15),Skills!I11)/Skills!H11+0.000000001),1)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1009=TRUE)*(F1009-Calc!F26)),(Inputs!$B$23+((C1014=TRUE)*(F1014-Calc!F31))+(IF(ArtifactsInput!$M$15,CHOOSE(ArtifactsInput!$N$15+1,25,30,35,40,45,50)/100*(Inputs!$B$11-Inputs!$B$11),0))))/100+(Inputs!$B$23+((C1014=TRUE)*(F1014-Calc!F31))+(IF(ArtifactsInput!$M$15,CHOOSE(ArtifactsInput!$N$15+1,25,30,35,40,45,50)/100*(Inputs!$B$11-Inputs!$B$11),0)))/100)/2</f>
        <v/>
      </c>
      <c r="M994">
        <f>L994*(1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IF(B1028=0,0,O994/B1028)</f>
        <v/>
      </c>
      <c r="Q994">
        <f>IFERROR(1/(IF(Inputs!$B$38="pvp",15,MAX(0.1,Skills!D11-IF(TRUE=TRUE,Inputs!$B$32,0)))*(1-IF(AND(ArtifactsInput!$M$27,Inputs!$B$4="Chapter Hunt"),CHOOSE(ArtifactsInput!$N$27+1,20,24,28,32,36,40),0)/100)),0)</f>
        <v/>
      </c>
      <c r="R994">
        <f>IF(AND(Inputs!$B$38&lt;&gt;"pvp",Inputs!$B$43&gt;0),IF(MAX(0,Inputs!$B$43-B1025)&lt;=0,0,(INT(MAX(0,Inputs!$B$43-B1025)/(IF(Inputs!$B$38="pvp",15,MAX(0.1,Skills!D11-IF(TRUE=TRUE,Inputs!$B$32,0)))*(1-IF(AND(ArtifactsInput!$M$27,Inputs!$B$4="Chapter Hunt"),CHOOSE(ArtifactsInput!$N$27+1,20,24,28,32,36,40),0)/100)))+1)),0)</f>
        <v/>
      </c>
      <c r="S994">
        <f>IFERROR(O994/N994,0)</f>
        <v/>
      </c>
      <c r="T994">
        <f>IF(C994,(H994*N994*IF(AND(Inputs!$B$38&lt;&gt;"pvp",Inputs!$B$43&gt;0),((Skills!G11*((R994-1)*IF(Skills!H11&gt;0,INT(Skills!I11/Skills!H11+0.000000001),1)+IF(Skills!H11&gt;0,INT(MIN(Skills!I11,MAX(0,MAX(0,Inputs!$B$43-B1025)-((R994-1)*(IF(Inputs!$B$38="pvp",15,MAX(0.1,Skills!D11-IF(TRUE=TRUE,Inputs!$B$32,0)))*(1-IF(AND(ArtifactsInput!$M$27,Inputs!$B$4="Chapter Hunt"),CHOOSE(ArtifactsInput!$N$27+1,20,24,28,32,36,40),0)/100)))))/Skills!H11+0.000000001)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INT(Skills!I11/Skills!H11+0.000000001),1)+IF(Skills!H11&gt;0,INT(MIN(Skills!I11,MAX(0,MAX(0,Inputs!$B$43-B1025)-((R994-1)*(IF(Inputs!$B$38="pvp",15,MAX(0.1,Skills!D11-IF(TRUE=TRUE,Inputs!$B$32,0)))*(1-IF(AND(ArtifactsInput!$M$27,Inputs!$B$4="Chapter Hunt"),CHOOSE(ArtifactsInput!$N$27+1,20,24,28,32,36,40),0)/100)))))/Skills!H11+0.000000001),1)))/Inputs!$B$43),G994*Q994))*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IF(Skills!C12=1,60+Inputs!$B$25+Inputs!$B$29,IF(Skills!C12=2,90+Inputs!$B$26+Inputs!$B$29,IF(Skills!C12=3,120+Inputs!$B$27+Inputs!$B$29,MAX(0,(Inputs!$B$3-100)*3)+(Inputs!$B$28+1)+Inputs!$B$29)))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Inputs!$B$3&gt;=60</f>
        <v/>
      </c>
      <c r="D996">
        <f>IF(Skills!C13=1,60+Inputs!$B$25+Inputs!$B$29,IF(Skills!C13=2,90+Inputs!$B$26+Inputs!$B$29,IF(Skills!C13=3,120+Inputs!$B$27+Inputs!$B$29,MAX(0,(Inputs!$B$3-100)*3)+(Inputs!$B$28+1)+Inputs!$B$29)))</f>
        <v/>
      </c>
      <c r="E996">
        <f>INDEX(FactorTable!$B$2:$Y$301, MATCH(ROUND(MIN(300,MAX(1,D996)),0), FactorTable!$A$2:$A$301,0), Skills!M13+1)</f>
        <v/>
      </c>
      <c r="F996">
        <f>IF(Skills!N13=TRUE,(Skills!L13/10)*(E996/1000),Skills!L13/10)+Skills!O13</f>
        <v/>
      </c>
      <c r="G996">
        <f>Skills!G13*IF(Skills!H13&gt;0,INT(IF(Inputs!$B$38="pvp",MIN(Skills!I13,15),Skills!I13)/Skills!H13+0.000000001),1)</f>
        <v/>
      </c>
      <c r="H996">
        <f>1-(1-Skills!J13/100)^Skills!K13</f>
        <v/>
      </c>
      <c r="I996" t="inlineStr">
        <is>
          <t>1</t>
        </is>
      </c>
      <c r="J996">
        <f>((Inputs!$B$6*(1+Inputs!$B$7/100))+(((Inputs!$B$12*(1+Inputs!$B$13/100))-(Inputs!$B$12*(1+Inputs!$B$13/100)))+0.25*(Inputs!$B$14-Inputs!$B$14))*(1+Inputs!$B$7/100))*(F996/100)</f>
        <v/>
      </c>
      <c r="K996">
        <f>J996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997=TRUE,F997,0)/100)*(1+(IF(Skills!A13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1009=TRUE)*(F1009-Calc!F26)),(Inputs!$B$23+((C1014=TRUE)*(F1014-Calc!F31))+(IF(ArtifactsInput!$M$15,CHOOSE(ArtifactsInput!$N$15+1,25,30,35,40,45,50)/100*(Inputs!$B$11-Inputs!$B$11),0))))/100+(Inputs!$B$23+((C1014=TRUE)*(F1014-Calc!F31))+(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IFERROR(1/(IF(Inputs!$B$38="pvp",15,MAX(0.1,IF(Inputs!$B$3&gt;=122,3,5)+1/(((20+30*(B1020-1)*100/150)/100)*B1020)-IF(FALSE=TRUE,Inputs!$B$32,0)))*(1-IF(AND(ArtifactsInput!$M$27,Inputs!$B$4="Chapter Hunt"),CHOOSE(ArtifactsInput!$N$27+1,20,24,28,32,36,40),0)/100)),0)</f>
        <v/>
      </c>
      <c r="R996">
        <f>IF(AND(Inputs!$B$38&lt;&gt;"pvp",Inputs!$B$43&gt;0),IF(MAX(0,Inputs!$B$43-B1025)&lt;=0,0,(INT(MAX(0,Inputs!$B$43-B1025)/(IF(Inputs!$B$38="pvp",15,MAX(0.1,IF(Inputs!$B$3&gt;=122,3,5)+1/(((20+30*(B1020-1)*100/150)/100)*B1020)-IF(FALSE=TRUE,Inputs!$B$32,0)))*(1-IF(AND(ArtifactsInput!$M$27,Inputs!$B$4="Chapter Hunt"),CHOOSE(ArtifactsInput!$N$27+1,20,24,28,32,36,40),0)/100)))+1)),0)</f>
        <v/>
      </c>
      <c r="S996">
        <f>IFERROR(O996/N996,0)</f>
        <v/>
      </c>
      <c r="T996">
        <f>IF(C996,(H996*N996*IF(AND(Inputs!$B$38&lt;&gt;"pvp",Inputs!$B$43&gt;0),((Skills!G13*((R996-1)*IF(Skills!H13&gt;0,INT(Skills!I13/Skills!H13+0.000000001),1)+IF(Skills!H13&gt;0,INT(MIN(Skills!I13,MAX(0,MAX(0,Inputs!$B$43-B1025)-((R996-1)*(IF(Inputs!$B$38="pvp",15,MAX(0.1,IF(Inputs!$B$3&gt;=122,3,5)+1/(((20+30*(B1020-1)*100/150)/100)*B1020)-IF(FALSE=TRUE,Inputs!$B$32,0)))*(1-IF(AND(ArtifactsInput!$M$27,Inputs!$B$4="Chapter Hunt"),CHOOSE(ArtifactsInput!$N$27+1,20,24,28,32,36,40),0)/100)))))/Skills!H13+0.000000001),1)))/Inputs!$B$43),G996*Q996)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13*((R996-1)*IF(Skills!H13&gt;0,INT(Skills!I13/Skills!H13+0.000000001),1)+IF(Skills!H13&gt;0,INT(MIN(Skills!I13,MAX(0,MAX(0,Inputs!$B$43-B1025)-((R996-1)*(IF(Inputs!$B$38="pvp",15,MAX(0.1,IF(Inputs!$B$3&gt;=122,3,5)+1/(((20+30*(B1020-1)*100/150)/100)*B1020)-IF(FALSE=TRUE,Inputs!$B$32,0)))*(1-IF(AND(ArtifactsInput!$M$27,Inputs!$B$4="Chapter Hunt"),CHOOSE(ArtifactsInput!$N$27+1,20,24,28,32,36,40),0)/100)))))/Skills!H13+0.000000001),1)))/Inputs!$B$43),G996*Q996))*IF(Inputs!$B$38="pvp",1,(1+(Inputs!$B$21+Skills!Q13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Skills!A14</f>
        <v/>
      </c>
      <c r="B997">
        <f>Skills!B14</f>
        <v/>
      </c>
      <c r="C997">
        <f>Inputs!$B$3&gt;=110</f>
        <v/>
      </c>
      <c r="D997">
        <f>IF(Skills!C14=1,60+Inputs!$B$25+Inputs!$B$29,IF(Skills!C14=2,90+Inputs!$B$26+Inputs!$B$29,IF(Skills!C14=3,120+Inputs!$B$27+Inputs!$B$29,MAX(0,(Inputs!$B$3-100)*3)+(Inputs!$B$28+1)+Inputs!$B$29)))</f>
        <v/>
      </c>
      <c r="E997">
        <f>INDEX(FactorTable!$B$2:$Y$301, MATCH(ROUND(MIN(300,MAX(1,D997)),0), FactorTable!$A$2:$A$301,0), Skills!M14+1)</f>
        <v/>
      </c>
      <c r="F997">
        <f>IF(Skills!N14=TRUE,(Skills!L14/10)*(E997/1000),Skills!L14/10)+Skills!O14</f>
        <v/>
      </c>
      <c r="G997" t="inlineStr"/>
      <c r="H997" t="inlineStr"/>
      <c r="I997" t="inlineStr">
        <is>
          <t>1</t>
        </is>
      </c>
      <c r="J997" t="inlineStr"/>
      <c r="K997" t="inlineStr"/>
      <c r="L997" t="inlineStr"/>
      <c r="M997" t="inlineStr"/>
      <c r="N997" t="inlineStr"/>
      <c r="O997" t="inlineStr"/>
      <c r="P997" t="inlineStr"/>
      <c r="Q997" t="inlineStr"/>
      <c r="R997" t="inlineStr"/>
      <c r="S997" t="inlineStr"/>
      <c r="T997" t="inlineStr"/>
      <c r="V997" t="inlineStr"/>
    </row>
    <row r="998">
      <c r="A998">
        <f>Skills!A15</f>
        <v/>
      </c>
      <c r="B998">
        <f>Skills!B15</f>
        <v/>
      </c>
      <c r="C998">
        <f>Inputs!$B$3&gt;=74</f>
        <v/>
      </c>
      <c r="D998">
        <f>IF(Skills!C15=1,60+Inputs!$B$25+Inputs!$B$29,IF(Skills!C15=2,90+Inputs!$B$26+Inputs!$B$29,IF(Skills!C15=3,120+Inputs!$B$27+Inputs!$B$29,MAX(0,(Inputs!$B$3-100)*3)+(Inputs!$B$28+1)+Inputs!$B$29)))</f>
        <v/>
      </c>
      <c r="E998">
        <f>INDEX(FactorTable!$B$2:$Y$301, MATCH(ROUND(MIN(300,MAX(1,D998)),0), FactorTable!$A$2:$A$301,0), Skills!M15+1)</f>
        <v/>
      </c>
      <c r="F998">
        <f>IF(Skills!N15=TRUE,(Skills!L15/10)*(E998/1000),Skills!L15/10)+Skills!O15</f>
        <v/>
      </c>
      <c r="G998">
        <f>Skills!G15*IF(Skills!H15&gt;0,INT(IF(Inputs!$B$38="pvp",MIN(Skills!I15,15),Skills!I15)/Skills!H15+0.000000001),1)</f>
        <v/>
      </c>
      <c r="H998">
        <f>1-(1-Skills!J15/100)^Skills!K15</f>
        <v/>
      </c>
      <c r="I998" t="inlineStr">
        <is>
          <t>1</t>
        </is>
      </c>
      <c r="J998" t="inlineStr"/>
      <c r="K998" t="inlineStr"/>
      <c r="L998" t="inlineStr"/>
      <c r="M998" t="inlineStr"/>
      <c r="N998" t="inlineStr"/>
      <c r="O998">
        <f>(1-Summary!$B$11)*T998+Summary!$B$11*V998</f>
        <v/>
      </c>
      <c r="P998">
        <f>IF(B1028=0,0,O998/B1028)</f>
        <v/>
      </c>
      <c r="Q998" t="n">
        <v>0</v>
      </c>
      <c r="R998" t="n">
        <v>0</v>
      </c>
      <c r="S998">
        <f>IFERROR(O998/N998,0)</f>
        <v/>
      </c>
      <c r="T998" t="n">
        <v>0</v>
      </c>
      <c r="V998" t="n">
        <v>0</v>
      </c>
    </row>
    <row r="999">
      <c r="A999">
        <f>Skills!A16</f>
        <v/>
      </c>
      <c r="B999">
        <f>Skills!B16</f>
        <v/>
      </c>
      <c r="C999">
        <f>Inputs!$B$3&gt;=74</f>
        <v/>
      </c>
      <c r="D999">
        <f>IF(Skills!C16=1,60+Inputs!$B$25+Inputs!$B$29,IF(Skills!C16=2,90+Inputs!$B$26+Inputs!$B$29,IF(Skills!C16=3,120+Inputs!$B$27+Inputs!$B$29,MAX(0,(Inputs!$B$3-100)*3)+(Inputs!$B$28+1)+Inputs!$B$29)))</f>
        <v/>
      </c>
      <c r="E999">
        <f>INDEX(FactorTable!$B$2:$Y$301, MATCH(ROUND(MIN(300,MAX(1,D999)),0), FactorTable!$A$2:$A$301,0), Skills!M16+1)</f>
        <v/>
      </c>
      <c r="F999">
        <f>IF(Skills!N16=TRUE,(Skills!L16/10)*(E999/1000),Skills!L16/10)+Skills!O16</f>
        <v/>
      </c>
      <c r="G999">
        <f>Skills!G16*IF(Skills!H16&gt;0,INT(IF(Inputs!$B$38="pvp",MIN(Skills!I16,15),Skills!I16)/Skills!H16+0.000000001),1)</f>
        <v/>
      </c>
      <c r="H999">
        <f>1-(1-Skills!J16/100)^Skills!K16</f>
        <v/>
      </c>
      <c r="I999" t="inlineStr">
        <is>
          <t>1</t>
        </is>
      </c>
      <c r="J999" t="inlineStr"/>
      <c r="K999" t="inlineStr"/>
      <c r="L999" t="inlineStr"/>
      <c r="M999" t="inlineStr"/>
      <c r="N999" t="inlineStr"/>
      <c r="O999">
        <f>(1-Summary!$B$11)*T999+Summary!$B$11*V999</f>
        <v/>
      </c>
      <c r="P999">
        <f>IF(B1028=0,0,O999/B1028)</f>
        <v/>
      </c>
      <c r="Q999" t="n">
        <v>0</v>
      </c>
      <c r="R999" t="n">
        <v>0</v>
      </c>
      <c r="S999">
        <f>IFERROR(O999/N999,0)</f>
        <v/>
      </c>
      <c r="T999" t="n">
        <v>0</v>
      </c>
      <c r="V999" t="n">
        <v>0</v>
      </c>
    </row>
    <row r="1000">
      <c r="A1000">
        <f>Skills!A17</f>
        <v/>
      </c>
      <c r="B1000">
        <f>Skills!B17</f>
        <v/>
      </c>
      <c r="C1000">
        <f>Inputs!$B$3&gt;=117</f>
        <v/>
      </c>
      <c r="D1000">
        <f>IF(Skills!C17=1,60+Inputs!$B$25+Inputs!$B$29,IF(Skills!C17=2,90+Inputs!$B$26+Inputs!$B$29,IF(Skills!C17=3,120+Inputs!$B$27+Inputs!$B$29,MAX(0,(Inputs!$B$3-100)*3)+(Inputs!$B$28+1)+Inputs!$B$29)))</f>
        <v/>
      </c>
      <c r="E1000">
        <f>INDEX(FactorTable!$B$2:$Y$301, MATCH(ROUND(MIN(300,MAX(1,D1000)),0), FactorTable!$A$2:$A$301,0), Skills!M17+1)</f>
        <v/>
      </c>
      <c r="F1000">
        <f>IF(Skills!N17=TRUE,(Skills!L17/10)*(E1000/1000),Skills!L17/10)+Skills!O17</f>
        <v/>
      </c>
      <c r="G1000">
        <f>Skills!G17*IF(Skills!H17&gt;0,INT(IF(Inputs!$B$38="pvp",MIN(Skills!I17,15),Skills!I17)/Skills!H17+0.000000001),1)</f>
        <v/>
      </c>
      <c r="H1000">
        <f>1-(1-Skills!J17/100)^Skills!K17</f>
        <v/>
      </c>
      <c r="I1000" t="inlineStr">
        <is>
          <t>1</t>
        </is>
      </c>
      <c r="J1000" t="inlineStr"/>
      <c r="K1000" t="inlineStr"/>
      <c r="L1000" t="inlineStr"/>
      <c r="M1000" t="inlineStr"/>
      <c r="N1000" t="inlineStr"/>
      <c r="O1000">
        <f>(1-Summary!$B$11)*T1000+Summary!$B$11*V1000</f>
        <v/>
      </c>
      <c r="P1000">
        <f>IF(B1028=0,0,O1000/B1028)</f>
        <v/>
      </c>
      <c r="Q1000">
        <f>IFERROR(1/(IF(Inputs!$B$38="pvp",15,MAX(0.1,Skills!D17-IF(TRUE=TRUE,Inputs!$B$32,0)))*(1-IF(AND(ArtifactsInput!$M$27,Inputs!$B$4="Chapter Hunt"),CHOOSE(ArtifactsInput!$N$27+1,20,24,28,32,36,40),0)/100)),0)</f>
        <v/>
      </c>
      <c r="R1000">
        <f>IF(AND(Inputs!$B$38&lt;&gt;"pvp",Inputs!$B$43&gt;0),IF(Inputs!$B$43&lt;=0,0,(INT(Inputs!$B$43/(IF(Inputs!$B$38="pvp",15,MAX(0.1,Skills!D17-IF(TRUE=TRUE,Inputs!$B$32,0)))*(1-IF(AND(ArtifactsInput!$M$27,Inputs!$B$4="Chapter Hunt"),CHOOSE(ArtifactsInput!$N$27+1,20,24,28,32,36,40),0)/100)))+1)),0)</f>
        <v/>
      </c>
      <c r="S1000">
        <f>IFERROR(O1000/N1000,0)</f>
        <v/>
      </c>
      <c r="T1000" t="n">
        <v>0</v>
      </c>
      <c r="V1000" t="n">
        <v>0</v>
      </c>
    </row>
    <row r="1001">
      <c r="A1001">
        <f>Skills!A18</f>
        <v/>
      </c>
      <c r="B1001">
        <f>Skills!B18</f>
        <v/>
      </c>
      <c r="C1001">
        <f>Inputs!$B$3&gt;=115</f>
        <v/>
      </c>
      <c r="D1001">
        <f>IF(Skills!C18=1,60+Inputs!$B$25+Inputs!$B$29,IF(Skills!C18=2,90+Inputs!$B$26+Inputs!$B$29,IF(Skills!C18=3,120+Inputs!$B$27+Inputs!$B$29,MAX(0,(Inputs!$B$3-100)*3)+(Inputs!$B$28+1)+Inputs!$B$29)))</f>
        <v/>
      </c>
      <c r="E1001">
        <f>INDEX(FactorTable!$B$2:$Y$301, MATCH(ROUND(MIN(300,MAX(1,D1001)),0), FactorTable!$A$2:$A$301,0), Skills!M18+1)</f>
        <v/>
      </c>
      <c r="F1001">
        <f>IF(Skills!N18=TRUE,(Skills!L18/10)*(E1001/1000),Skills!L18/10)+Skills!O18</f>
        <v/>
      </c>
      <c r="G1001">
        <f>Skills!G18*IF(Skills!H18&gt;0,INT(IF(Inputs!$B$38="pvp",MIN(Skills!I18,15),Skills!I18)/Skills!H18+0.000000001),1)</f>
        <v/>
      </c>
      <c r="H1001">
        <f>1-(1-Skills!J18/100)^Skills!K18</f>
        <v/>
      </c>
      <c r="I1001" t="inlineStr">
        <is>
          <t>1</t>
        </is>
      </c>
      <c r="J1001" t="inlineStr"/>
      <c r="K1001" t="inlineStr"/>
      <c r="L1001" t="inlineStr"/>
      <c r="M1001" t="inlineStr"/>
      <c r="N1001" t="inlineStr"/>
      <c r="O1001">
        <f>(1-Summary!$B$11)*T1001+Summary!$B$11*V1001</f>
        <v/>
      </c>
      <c r="P1001">
        <f>IF(B1028=0,0,O1001/B1028)</f>
        <v/>
      </c>
      <c r="Q1001">
        <f>IFERROR(1/(IF(Inputs!$B$38="pvp",15,MAX(0.1,Skills!D18-IF(TRUE=TRUE,Inputs!$B$32,0)))*(1-IF(AND(ArtifactsInput!$M$27,Inputs!$B$4="Chapter Hunt"),CHOOSE(ArtifactsInput!$N$27+1,20,24,28,32,36,40),0)/100)),0)</f>
        <v/>
      </c>
      <c r="R1001">
        <f>IF(AND(Inputs!$B$38&lt;&gt;"pvp",Inputs!$B$43&gt;0),IF(Inputs!$B$43&lt;=0,0,(INT(Inputs!$B$43/(IF(Inputs!$B$38="pvp",15,MAX(0.1,Skills!D18-IF(TRUE=TRUE,Inputs!$B$32,0)))*(1-IF(AND(ArtifactsInput!$M$27,Inputs!$B$4="Chapter Hunt"),CHOOSE(ArtifactsInput!$N$27+1,20,24,28,32,36,40),0)/100)))+1)),0)</f>
        <v/>
      </c>
      <c r="S1001">
        <f>IFERROR(O1001/N1001,0)</f>
        <v/>
      </c>
      <c r="T1001" t="n">
        <v>0</v>
      </c>
      <c r="V1001" t="n">
        <v>0</v>
      </c>
    </row>
    <row r="1002">
      <c r="A1002">
        <f>Skills!A19</f>
        <v/>
      </c>
      <c r="B1002">
        <f>Skills!B19</f>
        <v/>
      </c>
      <c r="C1002">
        <f>Inputs!$B$3&gt;=66</f>
        <v/>
      </c>
      <c r="D1002">
        <f>IF(Skills!C19=1,60+Inputs!$B$25+Inputs!$B$29,IF(Skills!C19=2,90+Inputs!$B$26+Inputs!$B$29,IF(Skills!C19=3,120+Inputs!$B$27+Inputs!$B$29,MAX(0,(Inputs!$B$3-100)*3)+(Inputs!$B$28+1)+Inputs!$B$29)))</f>
        <v/>
      </c>
      <c r="E1002">
        <f>INDEX(FactorTable!$B$2:$Y$301, MATCH(ROUND(MIN(300,MAX(1,D1002)),0), FactorTable!$A$2:$A$301,0), Skills!M19+1)</f>
        <v/>
      </c>
      <c r="F1002">
        <f>IF(Skills!N19=TRUE,(Skills!L19/10)*(E1002/1000),Skills!L19/10)+Skills!O19</f>
        <v/>
      </c>
      <c r="G1002">
        <f>Skills!G19*IF(Skills!H19&gt;0,INT(IF(Inputs!$B$38="pvp",MIN(Skills!I19,15),Skills!I19)/Skills!H19+0.000000001),1)</f>
        <v/>
      </c>
      <c r="H1002">
        <f>1-(1-Skills!J19/100)^Skills!K19</f>
        <v/>
      </c>
      <c r="I1002" t="inlineStr">
        <is>
          <t>1</t>
        </is>
      </c>
      <c r="J1002" t="inlineStr"/>
      <c r="K1002" t="inlineStr"/>
      <c r="L1002" t="inlineStr"/>
      <c r="M1002" t="inlineStr"/>
      <c r="N1002" t="inlineStr"/>
      <c r="O1002">
        <f>(1-Summary!$B$11)*T1002+Summary!$B$11*V1002</f>
        <v/>
      </c>
      <c r="P1002">
        <f>IF(B1028=0,0,O1002/B1028)</f>
        <v/>
      </c>
      <c r="Q1002" t="n">
        <v>0</v>
      </c>
      <c r="R1002" t="n">
        <v>0</v>
      </c>
      <c r="S1002">
        <f>IFERROR(O1002/N1002,0)</f>
        <v/>
      </c>
      <c r="T1002" t="n">
        <v>0</v>
      </c>
      <c r="V1002" t="n">
        <v>0</v>
      </c>
    </row>
    <row r="1003">
      <c r="A1003">
        <f>Skills!A20</f>
        <v/>
      </c>
      <c r="B1003">
        <f>Skills!B20</f>
        <v/>
      </c>
      <c r="C1003">
        <f>Inputs!$B$3&gt;=72</f>
        <v/>
      </c>
      <c r="D1003">
        <f>IF(Skills!C20=1,60+Inputs!$B$25+Inputs!$B$29,IF(Skills!C20=2,90+Inputs!$B$26+Inputs!$B$29,IF(Skills!C20=3,120+Inputs!$B$27+Inputs!$B$29,MAX(0,(Inputs!$B$3-100)*3)+(Inputs!$B$28+1)+Inputs!$B$29)))</f>
        <v/>
      </c>
      <c r="E1003">
        <f>INDEX(FactorTable!$B$2:$Y$301, MATCH(ROUND(MIN(300,MAX(1,D1003)),0), FactorTable!$A$2:$A$301,0), Skills!M20+1)</f>
        <v/>
      </c>
      <c r="F1003">
        <f>IF(Skills!N20=TRUE,(Skills!L20/10)*(E1003/1000),Skills!L20/10)+Skills!O20</f>
        <v/>
      </c>
      <c r="G1003">
        <f>Skills!G20*IF(Skills!H20&gt;0,INT(IF(Inputs!$B$38="pvp",MIN(Skills!I20,15),Skills!I20)/Skills!H20+0.000000001),1)</f>
        <v/>
      </c>
      <c r="H1003">
        <f>1-(1-Skills!J20/100)^Skills!K20</f>
        <v/>
      </c>
      <c r="I1003" t="inlineStr">
        <is>
          <t>1</t>
        </is>
      </c>
      <c r="J1003" t="inlineStr"/>
      <c r="K1003" t="inlineStr"/>
      <c r="L1003" t="inlineStr"/>
      <c r="M1003" t="inlineStr"/>
      <c r="N1003" t="inlineStr"/>
      <c r="O1003">
        <f>(1-Summary!$B$11)*T1003+Summary!$B$11*V1003</f>
        <v/>
      </c>
      <c r="P1003">
        <f>IF(B1028=0,0,O1003/B1028)</f>
        <v/>
      </c>
      <c r="Q1003" t="n">
        <v>0</v>
      </c>
      <c r="R1003" t="n">
        <v>0</v>
      </c>
      <c r="S1003">
        <f>IFERROR(O1003/N1003,0)</f>
        <v/>
      </c>
      <c r="T1003" t="n">
        <v>0</v>
      </c>
      <c r="V1003" t="n">
        <v>0</v>
      </c>
    </row>
    <row r="1004">
      <c r="A1004">
        <f>Skills!A21</f>
        <v/>
      </c>
      <c r="B1004">
        <f>Skills!B21</f>
        <v/>
      </c>
      <c r="C1004">
        <f>TRUE</f>
        <v/>
      </c>
      <c r="D1004">
        <f>IF(Skills!C21=1,60+Inputs!$B$25+Inputs!$B$29,IF(Skills!C21=2,90+Inputs!$B$26+Inputs!$B$29,IF(Skills!C21=3,120+Inputs!$B$27+Inputs!$B$29,MAX(0,(Inputs!$B$3-100)*3)+(Inputs!$B$28+1)+Inputs!$B$29)))</f>
        <v/>
      </c>
      <c r="E1004">
        <f>INDEX(FactorTable!$B$2:$Y$301, MATCH(ROUND(MIN(300,MAX(1,D1004)),0), FactorTable!$A$2:$A$301,0), Skills!M21+1)</f>
        <v/>
      </c>
      <c r="F1004">
        <f>IF(Skills!N21=TRUE,(Skills!L21/10)*(E1004/1000),Skills!L21/10)+Skills!O21</f>
        <v/>
      </c>
      <c r="G1004">
        <f>Skills!G21*IF(Skills!H21&gt;0,INT(IF(Inputs!$B$38="pvp",MIN(Skills!I21,15),Skills!I21)/Skills!H21+0.000000001),1)</f>
        <v/>
      </c>
      <c r="H1004">
        <f>1-(1-Skills!J21/100)^Skills!K21</f>
        <v/>
      </c>
      <c r="I1004" t="inlineStr">
        <is>
          <t>1</t>
        </is>
      </c>
      <c r="J1004" t="inlineStr"/>
      <c r="K1004" t="inlineStr"/>
      <c r="L1004" t="inlineStr"/>
      <c r="M1004" t="inlineStr"/>
      <c r="N1004" t="inlineStr"/>
      <c r="O1004">
        <f>(1-Summary!$B$11)*T1004+Summary!$B$11*V1004</f>
        <v/>
      </c>
      <c r="P1004">
        <f>IF(B1028=0,0,O1004/B1028)</f>
        <v/>
      </c>
      <c r="Q1004">
        <f>IFERROR(1/(IF(Inputs!$B$38="pvp",15,MAX(0.1,Skills!D21-IF(TRUE=TRUE,Inputs!$B$32,0)))*(1-IF(AND(ArtifactsInput!$M$27,Inputs!$B$4="Chapter Hunt"),CHOOSE(ArtifactsInput!$N$27+1,20,24,28,32,36,40),0)/100)),0)</f>
        <v/>
      </c>
      <c r="R1004">
        <f>IF(AND(Inputs!$B$38&lt;&gt;"pvp",Inputs!$B$43&gt;0),IF(Inputs!$B$43&lt;=0,0,(INT(Inputs!$B$43/(IF(Inputs!$B$38="pvp",15,MAX(0.1,Skills!D21-IF(TRUE=TRUE,Inputs!$B$32,0)))*(1-IF(AND(ArtifactsInput!$M$27,Inputs!$B$4="Chapter Hunt"),CHOOSE(ArtifactsInput!$N$27+1,20,24,28,32,36,40),0)/100)))+1)),0)</f>
        <v/>
      </c>
      <c r="S1004">
        <f>IFERROR(O1004/N1004,0)</f>
        <v/>
      </c>
      <c r="T1004" t="n">
        <v>0</v>
      </c>
      <c r="V1004" t="n">
        <v>0</v>
      </c>
    </row>
    <row r="1005">
      <c r="A1005">
        <f>Skills!A22</f>
        <v/>
      </c>
      <c r="B1005">
        <f>Skills!B22</f>
        <v/>
      </c>
      <c r="C1005">
        <f>Inputs!$B$3&gt;=15</f>
        <v/>
      </c>
      <c r="D1005">
        <f>IF(Skills!C22=1,60+Inputs!$B$25+Inputs!$B$29,IF(Skills!C22=2,90+Inputs!$B$26+Inputs!$B$29,IF(Skills!C22=3,120+Inputs!$B$27+Inputs!$B$29,MAX(0,(Inputs!$B$3-100)*3)+(Inputs!$B$28+1)+Inputs!$B$29)))</f>
        <v/>
      </c>
      <c r="E1005">
        <f>INDEX(FactorTable!$B$2:$Y$301, MATCH(ROUND(MIN(300,MAX(1,D1005)),0), FactorTable!$A$2:$A$301,0), Skills!M22+1)</f>
        <v/>
      </c>
      <c r="F1005">
        <f>IF(Skills!N22=TRUE,(Skills!L22/10)*(E1005/1000),Skills!L22/10)+Skills!O22</f>
        <v/>
      </c>
      <c r="G1005">
        <f>Skills!G22*IF(Skills!H22&gt;0,INT(IF(Inputs!$B$38="pvp",MIN(Skills!I22,15),Skills!I22)/Skills!H22+0.000000001),1)</f>
        <v/>
      </c>
      <c r="H1005">
        <f>1-(1-Skills!J22/100)^Skills!K22</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Skills!A23</f>
        <v/>
      </c>
      <c r="B1006">
        <f>Skills!B23</f>
        <v/>
      </c>
      <c r="C1006">
        <f>Inputs!$B$3&gt;=10</f>
        <v/>
      </c>
      <c r="D1006">
        <f>IF(Skills!C23=1,60+Inputs!$B$25+Inputs!$B$29,IF(Skills!C23=2,90+Inputs!$B$26+Inputs!$B$29,IF(Skills!C23=3,120+Inputs!$B$27+Inputs!$B$29,MAX(0,(Inputs!$B$3-100)*3)+(Inputs!$B$28+1)+Inputs!$B$29)))</f>
        <v/>
      </c>
      <c r="E1006">
        <f>INDEX(FactorTable!$B$2:$Y$301, MATCH(ROUND(MIN(300,MAX(1,D1006)),0), FactorTable!$A$2:$A$301,0), Skills!M23+1)</f>
        <v/>
      </c>
      <c r="F1006">
        <f>IF(Skills!N23=TRUE,(Skills!L23/10)*(E1006/1000),Skills!L23/10)+Skills!O23</f>
        <v/>
      </c>
      <c r="G1006">
        <f>Skills!G23*IF(Skills!H23&gt;0,INT(IF(Inputs!$B$38="pvp",MIN(Skills!I23,15),Skills!I23)/Skills!H23+0.000000001),1)</f>
        <v/>
      </c>
      <c r="H1006">
        <f>1-(1-Skills!J23/100)^Skills!K23</f>
        <v/>
      </c>
      <c r="I1006" t="inlineStr">
        <is>
          <t>1</t>
        </is>
      </c>
      <c r="J1006" t="inlineStr"/>
      <c r="K1006" t="inlineStr"/>
      <c r="L1006" t="inlineStr"/>
      <c r="M1006" t="inlineStr"/>
      <c r="N1006" t="inlineStr"/>
      <c r="O1006">
        <f>(1-Summary!$B$11)*T1006+Summary!$B$11*V1006</f>
        <v/>
      </c>
      <c r="P1006">
        <f>IF(B1028=0,0,O1006/B1028)</f>
        <v/>
      </c>
      <c r="Q1006" t="n">
        <v>0</v>
      </c>
      <c r="R1006" t="n">
        <v>0</v>
      </c>
      <c r="S1006">
        <f>IFERROR(O1006/N1006,0)</f>
        <v/>
      </c>
      <c r="T1006" t="n">
        <v>0</v>
      </c>
      <c r="V1006" t="n">
        <v>0</v>
      </c>
    </row>
    <row r="1007">
      <c r="A1007">
        <f>Skills!A24</f>
        <v/>
      </c>
      <c r="B1007">
        <f>Skills!B24</f>
        <v/>
      </c>
      <c r="C1007">
        <f>Inputs!$B$3&gt;=33</f>
        <v/>
      </c>
      <c r="D1007">
        <f>IF(Skills!C24=1,60+Inputs!$B$25+Inputs!$B$29,IF(Skills!C24=2,90+Inputs!$B$26+Inputs!$B$29,IF(Skills!C24=3,120+Inputs!$B$27+Inputs!$B$29,MAX(0,(Inputs!$B$3-100)*3)+(Inputs!$B$28+1)+Inputs!$B$29)))</f>
        <v/>
      </c>
      <c r="E1007">
        <f>INDEX(FactorTable!$B$2:$Y$301, MATCH(ROUND(MIN(300,MAX(1,D1007)),0), FactorTable!$A$2:$A$301,0), Skills!M24+1)</f>
        <v/>
      </c>
      <c r="F1007">
        <f>IF(Skills!N24=TRUE,(Skills!L24/10)*(E1007/1000),Skills!L24/10)+Skills!O24</f>
        <v/>
      </c>
      <c r="G1007">
        <f>Skills!G24*IF(Skills!H24&gt;0,INT(IF(Inputs!$B$38="pvp",MIN(Skills!I24,15),Skills!I24)/Skills!H24+0.000000001),1)</f>
        <v/>
      </c>
      <c r="H1007">
        <f>1-(1-Skills!J24/100)^Skills!K24</f>
        <v/>
      </c>
      <c r="I1007" t="inlineStr">
        <is>
          <t>1</t>
        </is>
      </c>
      <c r="J1007" t="inlineStr"/>
      <c r="K1007" t="inlineStr"/>
      <c r="L1007" t="inlineStr"/>
      <c r="M1007" t="inlineStr"/>
      <c r="N1007" t="inlineStr"/>
      <c r="O1007">
        <f>(1-Summary!$B$11)*T1007+Summary!$B$11*V1007</f>
        <v/>
      </c>
      <c r="P1007">
        <f>IF(B1028=0,0,O1007/B1028)</f>
        <v/>
      </c>
      <c r="Q1007" t="n">
        <v>0</v>
      </c>
      <c r="R1007" t="n">
        <v>0</v>
      </c>
      <c r="S1007">
        <f>IFERROR(O1007/N1007,0)</f>
        <v/>
      </c>
      <c r="T1007" t="n">
        <v>0</v>
      </c>
      <c r="V1007" t="n">
        <v>0</v>
      </c>
    </row>
    <row r="1008">
      <c r="A1008">
        <f>Skills!A25</f>
        <v/>
      </c>
      <c r="B1008">
        <f>Skills!B25</f>
        <v/>
      </c>
      <c r="C1008">
        <f>Inputs!$B$3&gt;=38</f>
        <v/>
      </c>
      <c r="D1008">
        <f>IF(Skills!C25=1,60+Inputs!$B$25+Inputs!$B$29,IF(Skills!C25=2,90+Inputs!$B$26+Inputs!$B$29,IF(Skills!C25=3,120+Inputs!$B$27+Inputs!$B$29,MAX(0,(Inputs!$B$3-100)*3)+(Inputs!$B$28+1)+Inputs!$B$29)))</f>
        <v/>
      </c>
      <c r="E1008">
        <f>INDEX(FactorTable!$B$2:$Y$301, MATCH(ROUND(MIN(300,MAX(1,D1008)),0), FactorTable!$A$2:$A$301,0), Skills!M25+1)</f>
        <v/>
      </c>
      <c r="F1008">
        <f>IF(Skills!N25=TRUE,(Skills!L25/10)*(E1008/1000),Skills!L25/10)+Skills!O25</f>
        <v/>
      </c>
      <c r="G1008">
        <f>Skills!G25*IF(Skills!H25&gt;0,INT(IF(Inputs!$B$38="pvp",MIN(Skills!I25,15),Skills!I25)/Skills!H25+0.000000001),1)</f>
        <v/>
      </c>
      <c r="H1008">
        <f>1-(1-Skills!J25/100)^Skills!K25</f>
        <v/>
      </c>
      <c r="I1008" t="inlineStr">
        <is>
          <t>1</t>
        </is>
      </c>
      <c r="J1008" t="inlineStr"/>
      <c r="K1008" t="inlineStr"/>
      <c r="L1008" t="inlineStr"/>
      <c r="M1008" t="inlineStr"/>
      <c r="N1008" t="inlineStr"/>
      <c r="O1008">
        <f>(1-Summary!$B$11)*T1008+Summary!$B$11*V1008</f>
        <v/>
      </c>
      <c r="P1008">
        <f>IF(B1028=0,0,O1008/B1028)</f>
        <v/>
      </c>
      <c r="Q1008" t="n">
        <v>0</v>
      </c>
      <c r="R1008" t="n">
        <v>0</v>
      </c>
      <c r="S1008">
        <f>IFERROR(O1008/N1008,0)</f>
        <v/>
      </c>
      <c r="T1008" t="n">
        <v>0</v>
      </c>
      <c r="V1008" t="n">
        <v>0</v>
      </c>
    </row>
    <row r="1009">
      <c r="A1009">
        <f>Skills!A26</f>
        <v/>
      </c>
      <c r="B1009">
        <f>Skills!B26</f>
        <v/>
      </c>
      <c r="C1009">
        <f>Inputs!$B$3&gt;=43</f>
        <v/>
      </c>
      <c r="D1009">
        <f>IF(Skills!C26=1,60+Inputs!$B$25+Inputs!$B$29,IF(Skills!C26=2,90+Inputs!$B$26+Inputs!$B$29,IF(Skills!C26=3,120+Inputs!$B$27+Inputs!$B$29,MAX(0,(Inputs!$B$3-100)*3)+(Inputs!$B$28+1)+Inputs!$B$29)))</f>
        <v/>
      </c>
      <c r="E1009">
        <f>INDEX(FactorTable!$B$2:$Y$301, MATCH(ROUND(MIN(300,MAX(1,D1009)),0), FactorTable!$A$2:$A$301,0), Skills!M26+1)</f>
        <v/>
      </c>
      <c r="F1009">
        <f>IF(Skills!N26=TRUE,(Skills!L26/10)*(E1009/1000),Skills!L26/10)+Skills!O26</f>
        <v/>
      </c>
      <c r="G1009">
        <f>Skills!G26*IF(Skills!H26&gt;0,INT(IF(Inputs!$B$38="pvp",MIN(Skills!I26,15),Skills!I26)/Skills!H26+0.000000001),1)</f>
        <v/>
      </c>
      <c r="H1009">
        <f>1-(1-Skills!J26/100)^Skills!K26</f>
        <v/>
      </c>
      <c r="I1009" t="inlineStr">
        <is>
          <t>1</t>
        </is>
      </c>
      <c r="J1009" t="inlineStr"/>
      <c r="K1009" t="inlineStr"/>
      <c r="L1009" t="inlineStr"/>
      <c r="M1009" t="inlineStr"/>
      <c r="N1009" t="inlineStr"/>
      <c r="O1009">
        <f>(1-Summary!$B$11)*T1009+Summary!$B$11*V1009</f>
        <v/>
      </c>
      <c r="P1009">
        <f>IF(B1028=0,0,O1009/B1028)</f>
        <v/>
      </c>
      <c r="Q1009" t="n">
        <v>0</v>
      </c>
      <c r="R1009" t="n">
        <v>0</v>
      </c>
      <c r="S1009">
        <f>IFERROR(O1009/N1009,0)</f>
        <v/>
      </c>
      <c r="T1009" t="n">
        <v>0</v>
      </c>
      <c r="V1009" t="n">
        <v>0</v>
      </c>
    </row>
    <row r="1010">
      <c r="A1010">
        <f>Skills!A27</f>
        <v/>
      </c>
      <c r="B1010">
        <f>Skills!B27</f>
        <v/>
      </c>
      <c r="C1010">
        <f>Inputs!$B$3&gt;=75</f>
        <v/>
      </c>
      <c r="D1010">
        <f>IF(Skills!C27=1,60+Inputs!$B$25+Inputs!$B$29,IF(Skills!C27=2,90+Inputs!$B$26+Inputs!$B$29,IF(Skills!C27=3,120+Inputs!$B$27+Inputs!$B$29,MAX(0,(Inputs!$B$3-100)*3)+(Inputs!$B$28+1)+Inputs!$B$29)))</f>
        <v/>
      </c>
      <c r="E1010">
        <f>INDEX(FactorTable!$B$2:$Y$301, MATCH(ROUND(MIN(300,MAX(1,D1010)),0), FactorTable!$A$2:$A$301,0), Skills!M27+1)</f>
        <v/>
      </c>
      <c r="F1010">
        <f>IF(Skills!N27=TRUE,(Skills!L27/10)*(E1010/1000),Skills!L27/10)+Skills!O27</f>
        <v/>
      </c>
      <c r="G1010">
        <f>Skills!G27*IF(Skills!H27&gt;0,INT(IF(Inputs!$B$38="pvp",MIN(Skills!I27,15),Skills!I27)/Skills!H27+0.000000001),1)</f>
        <v/>
      </c>
      <c r="H1010">
        <f>1-(1-Skills!J27/100)^Skills!K27</f>
        <v/>
      </c>
      <c r="I1010" t="inlineStr">
        <is>
          <t>1</t>
        </is>
      </c>
      <c r="J1010" t="inlineStr"/>
      <c r="K1010" t="inlineStr"/>
      <c r="L1010" t="inlineStr"/>
      <c r="M1010" t="inlineStr"/>
      <c r="N1010" t="inlineStr"/>
      <c r="O1010">
        <f>(1-Summary!$B$11)*T1010+Summary!$B$11*V1010</f>
        <v/>
      </c>
      <c r="P1010">
        <f>IF(B1028=0,0,O1010/B1028)</f>
        <v/>
      </c>
      <c r="Q1010" t="n">
        <v>0</v>
      </c>
      <c r="R1010" t="n">
        <v>0</v>
      </c>
      <c r="S1010">
        <f>IFERROR(O1010/N1010,0)</f>
        <v/>
      </c>
      <c r="T1010" t="n">
        <v>0</v>
      </c>
      <c r="V1010" t="n">
        <v>0</v>
      </c>
    </row>
    <row r="1011">
      <c r="A1011">
        <f>Skills!A28</f>
        <v/>
      </c>
      <c r="B1011">
        <f>Skills!B28</f>
        <v/>
      </c>
      <c r="C1011">
        <f>Inputs!$B$3&gt;=125</f>
        <v/>
      </c>
      <c r="D1011">
        <f>IF(Skills!C28=1,60+Inputs!$B$25+Inputs!$B$29,IF(Skills!C28=2,90+Inputs!$B$26+Inputs!$B$29,IF(Skills!C28=3,120+Inputs!$B$27+Inputs!$B$29,MAX(0,(Inputs!$B$3-100)*3)+(Inputs!$B$28+1)+Inputs!$B$29)))</f>
        <v/>
      </c>
      <c r="E1011">
        <f>INDEX(FactorTable!$B$2:$Y$301, MATCH(ROUND(MIN(300,MAX(1,D1011)),0), FactorTable!$A$2:$A$301,0), Skills!M28+1)</f>
        <v/>
      </c>
      <c r="F1011">
        <f>IF(Skills!N28=TRUE,(Skills!L28/10)*(E1011/1000),Skills!L28/10)+Skills!O28</f>
        <v/>
      </c>
      <c r="G1011">
        <f>Skills!G28*IF(Skills!H28&gt;0,INT(IF(Inputs!$B$38="pvp",MIN(Skills!I28,15),Skills!I28)/Skills!H28+0.000000001),1)</f>
        <v/>
      </c>
      <c r="H1011">
        <f>1-(1-Skills!J28/100)^Skills!K28</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Skills!A29</f>
        <v/>
      </c>
      <c r="B1012">
        <f>Skills!B29</f>
        <v/>
      </c>
      <c r="C1012">
        <f>Inputs!$B$3&gt;=125</f>
        <v/>
      </c>
      <c r="D1012">
        <f>IF(Skills!C29=1,60+Inputs!$B$25+Inputs!$B$29,IF(Skills!C29=2,90+Inputs!$B$26+Inputs!$B$29,IF(Skills!C29=3,120+Inputs!$B$27+Inputs!$B$29,MAX(0,(Inputs!$B$3-100)*3)+(Inputs!$B$28+1)+Inputs!$B$29)))</f>
        <v/>
      </c>
      <c r="E1012">
        <f>INDEX(FactorTable!$B$2:$Y$301, MATCH(ROUND(MIN(300,MAX(1,D1012)),0), FactorTable!$A$2:$A$301,0), Skills!M29+1)</f>
        <v/>
      </c>
      <c r="F1012">
        <f>IF(Skills!N29=TRUE,(Skills!L29/10)*(E1012/1000),Skills!L29/10)+Skills!O29</f>
        <v/>
      </c>
      <c r="G1012">
        <f>Skills!G29*IF(Skills!H29&gt;0,INT(IF(Inputs!$B$38="pvp",MIN(Skills!I29,15),Skills!I29)/Skills!H29+0.000000001),1)</f>
        <v/>
      </c>
      <c r="H1012">
        <f>1-(1-Skills!J29/100)^Skills!K29</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Skills!A30</f>
        <v/>
      </c>
      <c r="B1013">
        <f>Skills!B30</f>
        <v/>
      </c>
      <c r="C1013">
        <f>Inputs!$B$3&gt;=120</f>
        <v/>
      </c>
      <c r="D1013">
        <f>IF(Skills!C30=1,60+Inputs!$B$25+Inputs!$B$29,IF(Skills!C30=2,90+Inputs!$B$26+Inputs!$B$29,IF(Skills!C30=3,120+Inputs!$B$27+Inputs!$B$29,MAX(0,(Inputs!$B$3-100)*3)+(Inputs!$B$28+1)+Inputs!$B$29)))</f>
        <v/>
      </c>
      <c r="E1013">
        <f>INDEX(FactorTable!$B$2:$Y$301, MATCH(ROUND(MIN(300,MAX(1,D1013)),0), FactorTable!$A$2:$A$301,0), Skills!M30+1)</f>
        <v/>
      </c>
      <c r="F1013">
        <f>IF(Skills!N30=TRUE,(Skills!L30/10)*(E1013/1000),Skills!L30/10)+Skills!O30</f>
        <v/>
      </c>
      <c r="G1013">
        <f>Skills!G30*IF(Skills!H30&gt;0,INT(IF(Inputs!$B$38="pvp",MIN(Skills!I30,15),Skills!I30)/Skills!H30+0.000000001),1)</f>
        <v/>
      </c>
      <c r="H1013">
        <f>1-(1-Skills!J30/100)^Skills!K30</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Skills!A31</f>
        <v/>
      </c>
      <c r="B1014">
        <f>Skills!B31</f>
        <v/>
      </c>
      <c r="C1014">
        <f>Inputs!$B$3&gt;=120</f>
        <v/>
      </c>
      <c r="D1014">
        <f>IF(Skills!C31=1,60+Inputs!$B$25+Inputs!$B$29,IF(Skills!C31=2,90+Inputs!$B$26+Inputs!$B$29,IF(Skills!C31=3,120+Inputs!$B$27+Inputs!$B$29,MAX(0,(Inputs!$B$3-100)*3)+(Inputs!$B$28+1)+Inputs!$B$29)))</f>
        <v/>
      </c>
      <c r="E1014">
        <f>INDEX(FactorTable!$B$2:$Y$301, MATCH(ROUND(MIN(300,MAX(1,D1014)),0), FactorTable!$A$2:$A$301,0), Skills!M31+1)</f>
        <v/>
      </c>
      <c r="F1014">
        <f>IF(Skills!N31=TRUE,(Skills!L31/10)*(E1014/1000),Skills!L31/10)+Skills!O31</f>
        <v/>
      </c>
      <c r="G1014">
        <f>Skills!G31*IF(Skills!H31&gt;0,INT(IF(Inputs!$B$38="pvp",MIN(Skills!I31,15),Skills!I31)/Skills!H31+0.000000001),1)</f>
        <v/>
      </c>
      <c r="H1014">
        <f>1-(1-Skills!J31/100)^Skills!K31</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Skills!A32</f>
        <v/>
      </c>
      <c r="B1015">
        <f>Skills!B32</f>
        <v/>
      </c>
      <c r="C1015">
        <f>Inputs!$B$3&gt;=45</f>
        <v/>
      </c>
      <c r="D1015">
        <f>IF(Skills!C32=1,60+Inputs!$B$25+Inputs!$B$29,IF(Skills!C32=2,90+Inputs!$B$26+Inputs!$B$29,IF(Skills!C32=3,120+Inputs!$B$27+Inputs!$B$29,MAX(0,(Inputs!$B$3-100)*3)+(Inputs!$B$28+1)+Inputs!$B$29)))</f>
        <v/>
      </c>
      <c r="E1015">
        <f>INDEX(FactorTable!$B$2:$Y$301, MATCH(ROUND(MIN(300,MAX(1,D1015)),0), FactorTable!$A$2:$A$301,0), Skills!M32+1)</f>
        <v/>
      </c>
      <c r="F1015">
        <f>IF(Skills!N32=TRUE,(Skills!L32/10)*(E1015/1000),Skills!L32/10)+Skills!O32</f>
        <v/>
      </c>
      <c r="G1015">
        <f>Skills!G32*IF(Skills!H32&gt;0,INT(IF(Inputs!$B$38="pvp",MIN(Skills!I32,15),Skills!I32)/Skills!H32+0.000000001),1)</f>
        <v/>
      </c>
      <c r="H1015">
        <f>1-(1-Skills!J32/100)^Skills!K32</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1004=TRUE)*F1004*IF(AND(Inputs!$B$38&lt;&gt;"pvp",Inputs!$B$43&gt;0),(((R1004-1)*MIN((Skills!T21*(1+Inputs!$B$34/100)),(1/Q1004))+MIN((Skills!T21*(1+Inputs!$B$34/100)),MAX(0,Inputs!$B$43-((R1004-1)*(1/Q1004)))))/Inputs!$B$43),IF(Inputs!$B$38="pvp",MIN((Skills!T21*(1+Inputs!$B$34/100)),15)/15,MIN(1,(Skills!T21*(1+Inputs!$B$34/100))/(1/Q1004)))))</f>
        <v/>
      </c>
    </row>
    <row r="1020">
      <c r="A1020" t="inlineStr">
        <is>
          <t>Actions Per Second</t>
        </is>
      </c>
      <c r="B1020">
        <f>1+MIN(150,150*(1-(1-(Inputs!$B$11+((C1006=TRUE)*(F1006-Calc!F23))+((C1007=TRUE)*(F1007-Calc!F24)))/150)*(1-B1019/150)))/100</f>
        <v/>
      </c>
    </row>
    <row r="1021">
      <c r="A1021" t="inlineStr">
        <is>
          <t>Skill + Buff Cast Rate</t>
        </is>
      </c>
      <c r="B1021">
        <f>IF(AND(Inputs!$B$38&lt;&gt;"pvp",Inputs!$B$43&gt;0),SUMPRODUCT((Skills!E2:E32=TRUE)*(C985:C1015=TRUE)*R985:R1015*Skills!F2:F32)/Inputs!$B$43,SUMPRODUCT((Skills!E2:E32=TRUE)*(C985:C1015=TRUE)*Q985:Q1015*Skills!F2:F32))</f>
        <v/>
      </c>
    </row>
    <row r="1022">
      <c r="A1022" t="inlineStr">
        <is>
          <t>Arrow Stream Casts Per Second</t>
        </is>
      </c>
      <c r="B1022">
        <f>MAX(0,B1020-B1021)</f>
        <v/>
      </c>
    </row>
    <row r="1023">
      <c r="A1023" t="inlineStr">
        <is>
          <t>Global Critical Damage Bonus % (Sharp Eyes + Concentration)</t>
        </is>
      </c>
      <c r="B1023">
        <f>(C1001=TRUE)*F1001*IF(AND(Inputs!$B$38&lt;&gt;"pvp",Inputs!$B$43&gt;0),(((R1001-1)*MIN((Skills!T18*(1+Inputs!$B$34/100)),(1/Q1001))+MIN((Skills!T18*(1+Inputs!$B$34/100)),MAX(0,Inputs!$B$43-((R1001-1)*(1/Q1001)))))/Inputs!$B$43),IF(Inputs!$B$38="pvp",MIN((Skills!T18*(1+Inputs!$B$34/100)),15)/15,MIN(1,(Skills!T18*(1+Inputs!$B$34/100))/(1/Q1001))))+(C1002=TRUE)*7*F1002</f>
        <v/>
      </c>
    </row>
    <row r="1024">
      <c r="A1024" t="inlineStr">
        <is>
          <t>Global Final Damage Bonus % (Mortal Blow)</t>
        </is>
      </c>
      <c r="B1024">
        <f>(C1003=TRUE)*F1003</f>
        <v/>
      </c>
    </row>
    <row r="1025">
      <c r="A1025" t="inlineStr">
        <is>
          <t>Buff-Casting Startup Delay (s, fixed-duration only)</t>
        </is>
      </c>
      <c r="B1025">
        <f>IF(AND(Inputs!$B$38&lt;&gt;"pvp",Inputs!$B$43&gt;0),SUMPRODUCT((Skills!T2:T32&gt;0)*(Skills!E2:E32=TRUE)*(C985:C1015=TRUE))/B1020,0)</f>
        <v/>
      </c>
    </row>
    <row r="1026">
      <c r="A1026" t="inlineStr">
        <is>
          <t>Boss-Only Total DPS (this block's swept value)</t>
        </is>
      </c>
      <c r="B1026">
        <f>SUM(T985:T1015)</f>
        <v/>
      </c>
    </row>
    <row r="1027">
      <c r="A1027" t="inlineStr">
        <is>
          <t>Normal-Only Total DPS (this block's swept value)</t>
        </is>
      </c>
      <c r="B1027">
        <f>SUM(V985:V1015)</f>
        <v/>
      </c>
    </row>
    <row r="1028">
      <c r="A1028" s="6" t="inlineStr">
        <is>
          <t>TOTAL DPS</t>
        </is>
      </c>
      <c r="B1028" s="6">
        <f>SUM(O985:O1015)</f>
        <v/>
      </c>
    </row>
    <row r="1031">
      <c r="A1031" s="6" t="inlineStr">
        <is>
          <t>Stat: Skill Level Bonus — All Skills</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Skills!G2*IF(Skills!H2&gt;0,INT(IF(Inputs!$B$38="pvp",MIN(Skills!I2,15),Skills!I2)/Skills!H2+0.000000001),1)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1057=TRUE)*(F1057-Calc!F26)),(Inputs!$B$23+((C1062=TRUE)*(F1062-Calc!F31))+(IF(ArtifactsInput!$M$15,CHOOSE(ArtifactsInput!$N$15+1,25,30,35,40,45,50)/100*(Inputs!$B$11-Inputs!$B$11),0))))/100+(Inputs!$B$23+((C1062=TRUE)*(F1062-Calc!F31))+(IF(ArtifactsInput!$M$15,CHOOSE(ArtifactsInput!$N$15+1,25,30,35,40,45,50)/100*(Inputs!$B$11-Inputs!$B$11),0)))/100)/2</f>
        <v/>
      </c>
      <c r="M1033">
        <f>L1033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IF(B1076=0,0,O1033/B1076)</f>
        <v/>
      </c>
      <c r="Q1033" t="n">
        <v>0</v>
      </c>
      <c r="R1033" t="n">
        <v>0</v>
      </c>
      <c r="S1033">
        <f>IFERROR(O1033/N1033,0)</f>
        <v/>
      </c>
      <c r="T1033">
        <f>IF(C1033,(Skills!G2*N1033*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MAX(0,(Inputs!$B$3-100)*3)+Inputs!$B$28+(Inputs!$B$29+1)</f>
        <v/>
      </c>
      <c r="V1033">
        <f>IF(C1033,(Skills!G2*N1033*B1070)*IF(Inputs!$B$38="pvp",1,(1+(Inputs!$B$21+Skills!Q2+(IF(ArtifactsInput!$M$33,CHOOSE(ArtifactsInput!$N$33+1,30,36,42,48,54,60),0))+(IF(AND(ArtifactsInput!$M$35,Inputs!$B$4&lt;&gt;"Chapter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IF(Skills!C3=1,60+Inputs!$B$25+(Inputs!$B$29+1),IF(Skills!C3=2,90+Inputs!$B$26+(Inputs!$B$29+1),IF(Skills!C3=3,120+Inputs!$B$27+(Inputs!$B$29+1),MAX(0,(Inputs!$B$3-100)*3)+Inputs!$B$28+(Inputs!$B$29+1))))</f>
        <v/>
      </c>
      <c r="E1034">
        <f>INDEX(FactorTable!$B$2:$Y$301, MATCH(ROUND(MIN(300,MAX(1,D1034)),0), FactorTable!$A$2:$A$301,0), Skills!M3+1)</f>
        <v/>
      </c>
      <c r="F1034">
        <f>IF(Skills!N3=TRUE,(Skills!L3/10)*(E1034/1000),Skills!L3/10)+Skills!O3</f>
        <v/>
      </c>
      <c r="G1034">
        <f>Skills!G3*IF(Skills!H3&gt;0,INT(IF(Inputs!$B$38="pvp",MIN(Skills!I3,15),Skills!I3)/Skills!H3+0.000000001),1)</f>
        <v/>
      </c>
      <c r="H1034">
        <f>1-(1-Skills!J3/100)^Skills!K3</f>
        <v/>
      </c>
      <c r="I1034" t="inlineStr">
        <is>
          <t>1</t>
        </is>
      </c>
      <c r="J1034">
        <f>((Inputs!$B$6*(1+Inputs!$B$7/100))+(((Inputs!$B$12*(1+Inputs!$B$13/100))-(Inputs!$B$12*(1+Inputs!$B$13/100)))+0.25*(Inputs!$B$14-Inputs!$B$14))*(1+Inputs!$B$7/100))*(F1034/100)</f>
        <v/>
      </c>
      <c r="K1034">
        <f>J1034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1035=TRUE,F1035,0)/100)*(1+(IF(Skills!A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1034)</f>
        <v/>
      </c>
      <c r="L1034">
        <f>K1034*(MIN(Inputs!$B$22+((C1057=TRUE)*(F1057-Calc!F26)),(Inputs!$B$23+((C1062=TRUE)*(F1062-Calc!F31))+(IF(ArtifactsInput!$M$15,CHOOSE(ArtifactsInput!$N$15+1,25,30,35,40,45,50)/100*(Inputs!$B$11-Inputs!$B$11),0))))/100+(Inputs!$B$23+((C1062=TRUE)*(F1062-Calc!F31))+(IF(ArtifactsInput!$M$15,CHOOSE(ArtifactsInput!$N$15+1,25,30,35,40,45,50)/100*(Inputs!$B$11-Inputs!$B$11),0)))/100)/2</f>
        <v/>
      </c>
      <c r="M1034">
        <f>L1034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4">
        <f>L1034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4">
        <f>(1-Summary!$B$11)*T1034+Summary!$B$11*V1034</f>
        <v/>
      </c>
      <c r="P1034">
        <f>IF(B1076=0,0,O1034/B1076)</f>
        <v/>
      </c>
      <c r="Q1034">
        <f>IFERROR(1/(IF(Inputs!$B$38="pvp",15,MAX(0.1,1/B1068-IF(FALSE=TRUE,Inputs!$B$32,0)))*(1-IF(AND(ArtifactsInput!$M$27,Inputs!$B$4="Chapter Hunt"),CHOOSE(ArtifactsInput!$N$27+1,20,24,28,32,36,40),0)/100)),0)</f>
        <v/>
      </c>
      <c r="R1034">
        <f>IF(AND(Inputs!$B$38&lt;&gt;"pvp",Inputs!$B$43&gt;0),IF(MAX(0,Inputs!$B$43-B1073)&lt;=0,0,(INT(MAX(0,Inputs!$B$43-B1073)/(IF(Inputs!$B$38="pvp",15,MAX(0.1,1/B1068-IF(FALSE=TRUE,Inputs!$B$32,0)))*(1-IF(AND(ArtifactsInput!$M$27,Inputs!$B$4="Chapter Hunt"),CHOOSE(ArtifactsInput!$N$27+1,20,24,28,32,36,40),0)/100)))+1)),0)</f>
        <v/>
      </c>
      <c r="S1034">
        <f>IFERROR(O1034/N1034,0)</f>
        <v/>
      </c>
      <c r="T1034">
        <f>IF(C1034,(H1034*N1034*IF(AND(Inputs!$B$38&lt;&gt;"pvp",Inputs!$B$43&gt;0),((Skills!G3*((R1034-1)*IF(Skills!H3&gt;0,INT(Skills!I3/Skills!H3+0.000000001),1)+IF(Skills!H3&gt;0,INT(MIN(Skills!I3,MAX(0,MAX(0,Inputs!$B$43-B1073)-((R1034-1)*(IF(Inputs!$B$38="pvp",15,MAX(0.1,1/B1068-IF(FALSE=TRUE,Inputs!$B$32,0)))*(1-IF(AND(ArtifactsInput!$M$27,Inputs!$B$4="Chapter Hunt"),CHOOSE(ArtifactsInput!$N$27+1,20,24,28,32,36,40),0)/100)))))/Skills!H3+0.000000001),1)))/Inputs!$B$43),G1034*Q1034)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4">
        <f>INDEX(FactorTable!$B$2:$Y$301, MATCH(ROUND(MIN(300,MAX(1,U1033)),0), FactorTable!$A$2:$A$301,0), 22)</f>
        <v/>
      </c>
      <c r="V1034">
        <f>IF(C1034,(H1034*N1034*IF(AND(Inputs!$B$38&lt;&gt;"pvp",Inputs!$B$43&gt;0),((Skills!G3*((R1034-1)*IF(Skills!H3&gt;0,INT(Skills!I3/Skills!H3+0.000000001),1)+IF(Skills!H3&gt;0,INT(MIN(Skills!I3,MAX(0,MAX(0,Inputs!$B$43-B1073)-((R1034-1)*(IF(Inputs!$B$38="pvp",15,MAX(0.1,1/B1068-IF(FALSE=TRUE,Inputs!$B$32,0)))*(1-IF(AND(ArtifactsInput!$M$27,Inputs!$B$4="Chapter Hunt"),CHOOSE(ArtifactsInput!$N$27+1,20,24,28,32,36,40),0)/100)))))/Skills!H3+0.000000001),1)))/Inputs!$B$43),G1034*Q1034))*IF(Inputs!$B$38="pvp",1,(1+(Inputs!$B$21+Skills!Q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5">
      <c r="A1035">
        <f>Skills!A4</f>
        <v/>
      </c>
      <c r="B1035">
        <f>Skills!B4</f>
        <v/>
      </c>
      <c r="C1035">
        <f>Inputs!$B$3&gt;=105</f>
        <v/>
      </c>
      <c r="D1035">
        <f>IF(Skills!C4=1,60+Inputs!$B$25+(Inputs!$B$29+1),IF(Skills!C4=2,90+Inputs!$B$26+(Inputs!$B$29+1),IF(Skills!C4=3,120+Inputs!$B$27+(Inputs!$B$29+1),MAX(0,(Inputs!$B$3-100)*3)+Inputs!$B$28+(Inputs!$B$29+1))))</f>
        <v/>
      </c>
      <c r="E1035">
        <f>INDEX(FactorTable!$B$2:$Y$301, MATCH(ROUND(MIN(300,MAX(1,D1035)),0), FactorTable!$A$2:$A$301,0), Skills!M4+1)</f>
        <v/>
      </c>
      <c r="F1035">
        <f>IF(Skills!N4=TRUE,(Skills!L4/10)*(E1035/1000),Skills!L4/10)+Skills!O4</f>
        <v/>
      </c>
      <c r="G1035" t="inlineStr"/>
      <c r="H1035" t="inlineStr"/>
      <c r="I1035" t="inlineStr">
        <is>
          <t>1</t>
        </is>
      </c>
      <c r="J1035" t="inlineStr"/>
      <c r="K1035" t="inlineStr"/>
      <c r="L1035" t="inlineStr"/>
      <c r="M1035" t="inlineStr"/>
      <c r="N1035" t="inlineStr"/>
      <c r="O1035" t="inlineStr"/>
      <c r="P1035" t="inlineStr"/>
      <c r="Q1035" t="inlineStr"/>
      <c r="R1035" t="inlineStr"/>
      <c r="S1035" t="inlineStr"/>
      <c r="T1035" t="inlineStr"/>
      <c r="U1035">
        <f>290*U1034/1000</f>
        <v/>
      </c>
      <c r="V1035" t="inlineStr"/>
    </row>
    <row r="1036">
      <c r="A1036">
        <f>Skills!A5</f>
        <v/>
      </c>
      <c r="B1036">
        <f>Skills!B5</f>
        <v/>
      </c>
      <c r="C1036">
        <f>Inputs!$B$3&gt;=35</f>
        <v/>
      </c>
      <c r="D1036">
        <f>IF(Skills!C5=1,60+Inputs!$B$25+(Inputs!$B$29+1),IF(Skills!C5=2,90+Inputs!$B$26+(Inputs!$B$29+1),IF(Skills!C5=3,120+Inputs!$B$27+(Inputs!$B$29+1),MAX(0,(Inputs!$B$3-100)*3)+Inputs!$B$28+(Inputs!$B$29+1))))</f>
        <v/>
      </c>
      <c r="E1036">
        <f>INDEX(FactorTable!$B$2:$Y$301, MATCH(ROUND(MIN(300,MAX(1,D1036)),0), FactorTable!$A$2:$A$301,0), Skills!M5+1)</f>
        <v/>
      </c>
      <c r="F1036">
        <f>IF(Skills!N5=TRUE,(Skills!L5/10)*(E1036/1000),Skills!L5/10)+Skills!O5</f>
        <v/>
      </c>
      <c r="G1036">
        <f>Skills!G5*IF(Skills!H5&gt;0,INT(IF(Inputs!$B$38="pvp",MIN(Skills!I5,15),Skills!I5)/Skills!H5+0.000000001),1)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5="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1057=TRUE)*(F1057-Calc!F26)),(Inputs!$B$23+((C1062=TRUE)*(F1062-Calc!F31))+(IF(ArtifactsInput!$M$15,CHOOSE(ArtifactsInput!$N$15+1,25,30,35,40,45,50)/100*(Inputs!$B$11-Inputs!$B$11),0))))/100+(Inputs!$B$23+((C1062=TRUE)*(F1062-Calc!F31))+(IF(ArtifactsInput!$M$15,CHOOSE(ArtifactsInput!$N$15+1,25,30,35,40,45,50)/100*(Inputs!$B$11-Inputs!$B$11),0)))/100)/2</f>
        <v/>
      </c>
      <c r="M1036">
        <f>L1036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IF(B1076=0,0,O1036/B1076)</f>
        <v/>
      </c>
      <c r="Q1036">
        <f>IFERROR(1/(IF(Inputs!$B$38="pvp",15,MAX(0.1,Skills!D5-IF(TRUE=TRUE,Inputs!$B$32,0)))*(1-IF(AND(ArtifactsInput!$M$27,Inputs!$B$4="Chapter Hunt"),CHOOSE(ArtifactsInput!$N$27+1,20,24,28,32,36,40),0)/100)),0)</f>
        <v/>
      </c>
      <c r="R1036">
        <f>IF(AND(Inputs!$B$38&lt;&gt;"pvp",Inputs!$B$43&gt;0),IF(MAX(0,Inputs!$B$43-B1073)&lt;=0,0,(INT(MAX(0,Inputs!$B$43-B1073)/(IF(Inputs!$B$38="pvp",15,MAX(0.1,Skills!D5-IF(TRUE=TRUE,Inputs!$B$32,0)))*(1-IF(AND(ArtifactsInput!$M$27,Inputs!$B$4="Chapter Hunt"),CHOOSE(ArtifactsInput!$N$27+1,20,24,28,32,36,40),0)/100)))+1)),0)</f>
        <v/>
      </c>
      <c r="S1036">
        <f>IFERROR(O1036/N1036,0)</f>
        <v/>
      </c>
      <c r="T1036">
        <f>IF(C1036,(H1036*N1036*IF(AND(Inputs!$B$38&lt;&gt;"pvp",Inputs!$B$43&gt;0),((Skills!G5*((R1036-1)*IF(Skills!H5&gt;0,INT(Skills!I5/Skills!H5+0.000000001),1)+IF(Skills!H5&gt;0,INT(MIN(Skills!I5,MAX(0,MAX(0,Inputs!$B$43-B1073)-((R1036-1)*(IF(Inputs!$B$38="pvp",15,MAX(0.1,Skills!D5-IF(TRUE=TRUE,Inputs!$B$32,0)))*(1-IF(AND(ArtifactsInput!$M$27,Inputs!$B$4="Chapter Hunt"),CHOOSE(ArtifactsInput!$N$27+1,20,24,28,32,36,40),0)/100)))))/Skills!H5+0.000000001),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INT(Skills!I5/Skills!H5+0.000000001),1)+IF(Skills!H5&gt;0,INT(MIN(Skills!I5,MAX(0,MAX(0,Inputs!$B$43-B1073)-((R1036-1)*(IF(Inputs!$B$38="pvp",15,MAX(0.1,Skills!D5-IF(TRUE=TRUE,Inputs!$B$32,0)))*(1-IF(AND(ArtifactsInput!$M$27,Inputs!$B$4="Chapter Hunt"),CHOOSE(ArtifactsInput!$N$27+1,20,24,28,32,36,40),0)/100)))))/Skills!H5+0.000000001),1)))/Inputs!$B$43),G1036*Q1036))*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Inputs!$B$3&gt;=40</f>
        <v/>
      </c>
      <c r="D1037">
        <f>IF(Skills!C6=1,60+Inputs!$B$25+(Inputs!$B$29+1),IF(Skills!C6=2,90+Inputs!$B$26+(Inputs!$B$29+1),IF(Skills!C6=3,120+Inputs!$B$27+(Inputs!$B$29+1),MAX(0,(Inputs!$B$3-100)*3)+Inputs!$B$28+(Inputs!$B$29+1))))</f>
        <v/>
      </c>
      <c r="E1037">
        <f>INDEX(FactorTable!$B$2:$Y$301, MATCH(ROUND(MIN(300,MAX(1,D1037)),0), FactorTable!$A$2:$A$301,0), Skills!M6+1)</f>
        <v/>
      </c>
      <c r="F1037">
        <f>IF(Skills!N6=TRUE,(Skills!L6/10)*(E1037/1000),Skills!L6/10)+Skills!O6</f>
        <v/>
      </c>
      <c r="G1037">
        <f>Skills!G6*IF(Skills!H6&gt;0,INT(IF(Inputs!$B$38="pvp",MIN(Skills!I6,15),Skills!I6)/Skills!H6+0.000000001),1)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1038=TRUE,F1038,0)/100)*(1+(IF(Skills!A6="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1057=TRUE)*(F1057-Calc!F26)),(Inputs!$B$23+((C1062=TRUE)*(F1062-Calc!F31))+(IF(ArtifactsInput!$M$15,CHOOSE(ArtifactsInput!$N$15+1,25,30,35,40,45,50)/100*(Inputs!$B$11-Inputs!$B$11),0))))/100+(Inputs!$B$23+((C1062=TRUE)*(F1062-Calc!F31))+(IF(ArtifactsInput!$M$15,CHOOSE(ArtifactsInput!$N$15+1,25,30,35,40,45,50)/100*(Inputs!$B$11-Inputs!$B$11),0)))/100)/2</f>
        <v/>
      </c>
      <c r="M1037">
        <f>L1037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IF(B1076=0,0,O1037/B1076)</f>
        <v/>
      </c>
      <c r="Q1037">
        <f>IFERROR(1/(IF(Inputs!$B$38="pvp",15,MAX(0.1,1-0.4*MIN(1,(B1068-1)/1.5)-IF(FALSE=TRUE,Inputs!$B$32,0)))*(1-IF(AND(ArtifactsInput!$M$27,Inputs!$B$4="Chapter Hunt"),CHOOSE(ArtifactsInput!$N$27+1,20,24,28,32,36,40),0)/100)),0)</f>
        <v/>
      </c>
      <c r="R1037">
        <f>IF(AND(Inputs!$B$38&lt;&gt;"pvp",Inputs!$B$43&gt;0),IF(MAX(0,Inputs!$B$43-B1073)&lt;=0,0,(INT(MAX(0,Inputs!$B$43-B1073)/(IF(Inputs!$B$38="pvp",15,MAX(0.1,1-0.4*MIN(1,(B1068-1)/1.5)-IF(FALSE=TRUE,Inputs!$B$32,0)))*(1-IF(AND(ArtifactsInput!$M$27,Inputs!$B$4="Chapter Hunt"),CHOOSE(ArtifactsInput!$N$27+1,20,24,28,32,36,40),0)/100)))+1)),0)</f>
        <v/>
      </c>
      <c r="S1037">
        <f>IFERROR(O1037/N1037,0)</f>
        <v/>
      </c>
      <c r="T1037">
        <f>IF(C1037,(H1037*N1037*IF(AND(Inputs!$B$38&lt;&gt;"pvp",Inputs!$B$43&gt;0),((Skills!G6*((R1037-1)*IF(Skills!H6&gt;0,INT(Skills!I6/Skills!H6+0.000000001),1)+IF(Skills!H6&gt;0,INT(MIN(Skills!I6,MAX(0,MAX(0,Inputs!$B$43-B1073)-((R1037-1)*(IF(Inputs!$B$38="pvp",15,MAX(0.1,1-0.4*MIN(1,(B1068-1)/1.5)-IF(FALSE=TRUE,Inputs!$B$32,0)))*(1-IF(AND(ArtifactsInput!$M$27,Inputs!$B$4="Chapter Hunt"),CHOOSE(ArtifactsInput!$N$27+1,20,24,28,32,36,40),0)/100)))))/Skills!H6+0.000000001),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INT(Skills!I6/Skills!H6+0.000000001),1)+IF(Skills!H6&gt;0,INT(MIN(Skills!I6,MAX(0,MAX(0,Inputs!$B$43-B1073)-((R1037-1)*(IF(Inputs!$B$38="pvp",15,MAX(0.1,1-0.4*MIN(1,(B1068-1)/1.5)-IF(FALSE=TRUE,Inputs!$B$32,0)))*(1-IF(AND(ArtifactsInput!$M$27,Inputs!$B$4="Chapter Hunt"),CHOOSE(ArtifactsInput!$N$27+1,20,24,28,32,36,40),0)/100)))))/Skills!H6+0.000000001),1)))/Inputs!$B$43),G1037*Q1037))*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IF(Skills!C7=1,60+Inputs!$B$25+(Inputs!$B$29+1),IF(Skills!C7=2,90+Inputs!$B$26+(Inputs!$B$29+1),IF(Skills!C7=3,120+Inputs!$B$27+(Inputs!$B$29+1),MAX(0,(Inputs!$B$3-100)*3)+Inputs!$B$28+(Inputs!$B$29+1))))</f>
        <v/>
      </c>
      <c r="E1038">
        <f>INDEX(FactorTable!$B$2:$Y$301, MATCH(ROUND(MIN(300,MAX(1,D1038)),0), FactorTable!$A$2:$A$301,0), Skills!M7+1)</f>
        <v/>
      </c>
      <c r="F1038">
        <f>IF(Skills!N7=TRUE,(Skills!L7/10)*(E1038/1000),Skills!L7/10)+Skills!O7</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T1038" t="inlineStr"/>
      <c r="V1038" t="inlineStr"/>
    </row>
    <row r="1039">
      <c r="A1039">
        <f>Skills!A8</f>
        <v/>
      </c>
      <c r="B1039">
        <f>Skills!B8</f>
        <v/>
      </c>
      <c r="C1039">
        <f>Inputs!$B$3&gt;=130</f>
        <v/>
      </c>
      <c r="D1039">
        <f>IF(Skills!C8=1,60+Inputs!$B$25+(Inputs!$B$29+1),IF(Skills!C8=2,90+Inputs!$B$26+(Inputs!$B$29+1),IF(Skills!C8=3,120+Inputs!$B$27+(Inputs!$B$29+1),MAX(0,(Inputs!$B$3-100)*3)+Inputs!$B$28+(Inputs!$B$29+1))))</f>
        <v/>
      </c>
      <c r="E1039">
        <f>INDEX(FactorTable!$B$2:$Y$301, MATCH(ROUND(MIN(300,MAX(1,D1039)),0), FactorTable!$A$2:$A$301,0), Skills!M8+1)</f>
        <v/>
      </c>
      <c r="F1039">
        <f>IF(Skills!N8=TRUE,(Skills!L8/10)*(E1039/1000),Skills!L8/10)+Skills!O8</f>
        <v/>
      </c>
      <c r="G1039">
        <f>Skills!G8*IF(Skills!H8&gt;0,INT(IF(Inputs!$B$38="pvp",MIN(Skills!I8,15),Skills!I8)/Skills!H8+0.000000001),1)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1057=TRUE)*(F1057-Calc!F26)),(Inputs!$B$23+((C1062=TRUE)*(F1062-Calc!F31))+(IF(ArtifactsInput!$M$15,CHOOSE(ArtifactsInput!$N$15+1,25,30,35,40,45,50)/100*(Inputs!$B$11-Inputs!$B$11),0))))/100+(Inputs!$B$23+((C1062=TRUE)*(F1062-Calc!F31))+(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f>IFERROR(1/(IF(Inputs!$B$38="pvp",15,MAX(0.1,1-0.4*MIN(1,(B1068-1)/1.5)-IF(FALSE=TRUE,Inputs!$B$32,0)))*(1-IF(AND(ArtifactsInput!$M$27,Inputs!$B$4="Chapter Hunt"),CHOOSE(ArtifactsInput!$N$27+1,20,24,28,32,36,40),0)/100)),0)</f>
        <v/>
      </c>
      <c r="R1039">
        <f>IF(AND(Inputs!$B$38&lt;&gt;"pvp",Inputs!$B$43&gt;0),IF(MAX(0,Inputs!$B$43-B1073)&lt;=0,0,(INT(MAX(0,Inputs!$B$43-B1073)/(IF(Inputs!$B$38="pvp",15,MAX(0.1,1-0.4*MIN(1,(B1068-1)/1.5)-IF(FALSE=TRUE,Inputs!$B$32,0)))*(1-IF(AND(ArtifactsInput!$M$27,Inputs!$B$4="Chapter Hunt"),CHOOSE(ArtifactsInput!$N$27+1,20,24,28,32,36,40),0)/100)))+1)),0)</f>
        <v/>
      </c>
      <c r="S1039">
        <f>IFERROR(O1039/N1039,0)</f>
        <v/>
      </c>
      <c r="T1039">
        <f>IF(C1039,(H1039*N1039*IF(AND(Inputs!$B$38&lt;&gt;"pvp",Inputs!$B$43&gt;0),((Skills!G8*((R1039-1)*IF(Skills!H8&gt;0,INT(Skills!I8/Skills!H8+0.000000001),1)+IF(Skills!H8&gt;0,INT(MIN(Skills!I8,MAX(0,MAX(0,Inputs!$B$43-B1073)-((R1039-1)*(IF(Inputs!$B$38="pvp",15,MAX(0.1,1-0.4*MIN(1,(B1068-1)/1.5)-IF(FALSE=TRUE,Inputs!$B$32,0)))*(1-IF(AND(ArtifactsInput!$M$27,Inputs!$B$4="Chapter Hunt"),CHOOSE(ArtifactsInput!$N$27+1,20,24,28,32,36,40),0)/100)))))/Skills!H8+0.000000001),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INT(Skills!I8/Skills!H8+0.000000001),1)+IF(Skills!H8&gt;0,INT(MIN(Skills!I8,MAX(0,MAX(0,Inputs!$B$43-B1073)-((R1039-1)*(IF(Inputs!$B$38="pvp",15,MAX(0.1,1-0.4*MIN(1,(B1068-1)/1.5)-IF(FALSE=TRUE,Inputs!$B$32,0)))*(1-IF(AND(ArtifactsInput!$M$27,Inputs!$B$4="Chapter Hunt"),CHOOSE(ArtifactsInput!$N$27+1,20,24,28,32,36,40),0)/100)))))/Skills!H8+0.000000001),1)))/Inputs!$B$43),G1039*Q1039))*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Inputs!$B$3&gt;=69</f>
        <v/>
      </c>
      <c r="D1040">
        <f>IF(Skills!C9=1,60+Inputs!$B$25+(Inputs!$B$29+1),IF(Skills!C9=2,90+Inputs!$B$26+(Inputs!$B$29+1),IF(Skills!C9=3,120+Inputs!$B$27+(Inputs!$B$29+1),MAX(0,(Inputs!$B$3-100)*3)+Inputs!$B$28+(Inputs!$B$29+1))))</f>
        <v/>
      </c>
      <c r="E1040">
        <f>INDEX(FactorTable!$B$2:$Y$301, MATCH(ROUND(MIN(300,MAX(1,D1040)),0), FactorTable!$A$2:$A$301,0), Skills!M9+1)</f>
        <v/>
      </c>
      <c r="F1040">
        <f>IF(Skills!N9=TRUE,(Skills!L9/10)*(E1040/1000),Skills!L9/10)+Skills!O9</f>
        <v/>
      </c>
      <c r="G1040">
        <f>Skills!G9*IF(Skills!H9&gt;0,INT(IF(Inputs!$B$38="pvp",MIN(Skills!I9,15),Skills!I9)/Skills!H9+0.000000001),1)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1043=TRUE,F1043,0)/100)*(1+(IF(Skills!A9="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1057=TRUE)*(F1057-Calc!F26)),(Inputs!$B$23+((C1062=TRUE)*(F1062-Calc!F31))+(IF(ArtifactsInput!$M$15,CHOOSE(ArtifactsInput!$N$15+1,25,30,35,40,45,50)/100*(Inputs!$B$11-Inputs!$B$11),0))))/100+(Inputs!$B$23+((C1062=TRUE)*(F1062-Calc!F31))+(IF(ArtifactsInput!$M$15,CHOOSE(ArtifactsInput!$N$15+1,25,30,35,40,45,50)/100*(Inputs!$B$11-Inputs!$B$11),0)))/100)/2</f>
        <v/>
      </c>
      <c r="M1040">
        <f>L1040*(1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IF(B1076=0,0,O1040/B1076)</f>
        <v/>
      </c>
      <c r="Q1040">
        <f>IFERROR(1/(IF(Inputs!$B$38="pvp",15,MAX(0.1,Skills!D9-IF(TRUE=TRUE,Inputs!$B$32,0)))*(1-IF(AND(ArtifactsInput!$M$27,Inputs!$B$4="Chapter Hunt"),CHOOSE(ArtifactsInput!$N$27+1,20,24,28,32,36,40),0)/100)),0)</f>
        <v/>
      </c>
      <c r="R1040">
        <f>IF(AND(Inputs!$B$38&lt;&gt;"pvp",Inputs!$B$43&gt;0),IF(MAX(0,Inputs!$B$43-B1073)&lt;=0,0,(INT(MAX(0,Inputs!$B$43-B1073)/(IF(Inputs!$B$38="pvp",15,MAX(0.1,Skills!D9-IF(TRUE=TRUE,Inputs!$B$32,0)))*(1-IF(AND(ArtifactsInput!$M$27,Inputs!$B$4="Chapter Hunt"),CHOOSE(ArtifactsInput!$N$27+1,20,24,28,32,36,40),0)/100)))+1)),0)</f>
        <v/>
      </c>
      <c r="S1040">
        <f>IFERROR(O1040/N1040,0)</f>
        <v/>
      </c>
      <c r="T1040">
        <f>IF(C1040,(H1040*N1040*IF(AND(Inputs!$B$38&lt;&gt;"pvp",Inputs!$B$43&gt;0),((Skills!G9*((R1040-1)*IF(Skills!H9&gt;0,INT(Skills!I9/Skills!H9+0.000000001),1)+IF(Skills!H9&gt;0,INT(MIN(Skills!I9,MAX(0,MAX(0,Inputs!$B$43-B1073)-((R1040-1)*(IF(Inputs!$B$38="pvp",15,MAX(0.1,Skills!D9-IF(TRUE=TRUE,Inputs!$B$32,0)))*(1-IF(AND(ArtifactsInput!$M$27,Inputs!$B$4="Chapter Hunt"),CHOOSE(ArtifactsInput!$N$27+1,20,24,28,32,36,40),0)/100)))))/Skills!H9+0.000000001),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INT(Skills!I9/Skills!H9+0.000000001),1)+IF(Skills!H9&gt;0,INT(MIN(Skills!I9,MAX(0,MAX(0,Inputs!$B$43-B1073)-((R1040-1)*(IF(Inputs!$B$38="pvp",15,MAX(0.1,Skills!D9-IF(TRUE=TRUE,Inputs!$B$32,0)))*(1-IF(AND(ArtifactsInput!$M$27,Inputs!$B$4="Chapter Hunt"),CHOOSE(ArtifactsInput!$N$27+1,20,24,28,32,36,40),0)/100)))))/Skills!H9+0.000000001),1)))/Inputs!$B$43),G1040*Q1040))*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Inputs!$B$3&gt;=63</f>
        <v/>
      </c>
      <c r="D1041">
        <f>IF(Skills!C10=1,60+Inputs!$B$25+(Inputs!$B$29+1),IF(Skills!C10=2,90+Inputs!$B$26+(Inputs!$B$29+1),IF(Skills!C10=3,120+Inputs!$B$27+(Inputs!$B$29+1),MAX(0,(Inputs!$B$3-100)*3)+Inputs!$B$28+(Inputs!$B$29+1))))</f>
        <v/>
      </c>
      <c r="E1041">
        <f>INDEX(FactorTable!$B$2:$Y$301, MATCH(ROUND(MIN(300,MAX(1,D1041)),0), FactorTable!$A$2:$A$301,0), Skills!M10+1)</f>
        <v/>
      </c>
      <c r="F1041">
        <f>IF(Skills!N10=TRUE,(Skills!L10/10)*(E1041/1000),Skills!L10/10)+Skills!O10</f>
        <v/>
      </c>
      <c r="G1041">
        <f>Skills!G10*IF(Skills!H10&gt;0,INT(IF(Inputs!$B$38="pvp",MIN(Skills!I10,15),Skills!I10)/Skills!H10+0.000000001),1)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10="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1057=TRUE)*(F1057-Calc!F26)),(Inputs!$B$23+((C1062=TRUE)*(F1062-Calc!F31))+(IF(ArtifactsInput!$M$15,CHOOSE(ArtifactsInput!$N$15+1,25,30,35,40,45,50)/100*(Inputs!$B$11-Inputs!$B$11),0))))/100+(Inputs!$B$23+((C1062=TRUE)*(F1062-Calc!F31))+(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IFERROR(1/(IF(Inputs!$B$38="pvp",15,MAX(0.1,Skills!D10-IF(TRUE=TRUE,Inputs!$B$32,0)))*(1-IF(AND(ArtifactsInput!$M$27,Inputs!$B$4="Chapter Hunt"),CHOOSE(ArtifactsInput!$N$27+1,20,24,28,32,36,40),0)/100)),0)</f>
        <v/>
      </c>
      <c r="R1041">
        <f>IF(AND(Inputs!$B$38&lt;&gt;"pvp",Inputs!$B$43&gt;0),IF(MAX(0,Inputs!$B$43-B1073)&lt;=0,0,(INT(MAX(0,Inputs!$B$43-B1073)/(IF(Inputs!$B$38="pvp",15,MAX(0.1,Skills!D10-IF(TRUE=TRUE,Inputs!$B$32,0)))*(1-IF(AND(ArtifactsInput!$M$27,Inputs!$B$4="Chapter Hunt"),CHOOSE(ArtifactsInput!$N$27+1,20,24,28,32,36,40),0)/100)))+1)),0)</f>
        <v/>
      </c>
      <c r="S1041">
        <f>IFERROR(O1041/N1041,0)</f>
        <v/>
      </c>
      <c r="T1041">
        <f>IF(C1041,(H1041*N1041*IF(AND(Inputs!$B$38&lt;&gt;"pvp",Inputs!$B$43&gt;0),((Skills!G10*((R1041-1)*IF(Skills!H10&gt;0,INT(Skills!I10/Skills!H10+0.000000001),1)+IF(Skills!H10&gt;0,INT(MIN(Skills!I10,MAX(0,MAX(0,Inputs!$B$43-B1073)-((R1041-1)*(IF(Inputs!$B$38="pvp",15,MAX(0.1,Skills!D10-IF(TRUE=TRUE,Inputs!$B$32,0)))*(1-IF(AND(ArtifactsInput!$M$27,Inputs!$B$4="Chapter Hunt"),CHOOSE(ArtifactsInput!$N$27+1,20,24,28,32,36,40),0)/100)))))/Skills!H10+0.000000001),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INT(Skills!I10/Skills!H10+0.000000001),1)+IF(Skills!H10&gt;0,INT(MIN(Skills!I10,MAX(0,MAX(0,Inputs!$B$43-B1073)-((R1041-1)*(IF(Inputs!$B$38="pvp",15,MAX(0.1,Skills!D10-IF(TRUE=TRUE,Inputs!$B$32,0)))*(1-IF(AND(ArtifactsInput!$M$27,Inputs!$B$4="Chapter Hunt"),CHOOSE(ArtifactsInput!$N$27+1,20,24,28,32,36,40),0)/100)))))/Skills!H10+0.000000001),1)))/Inputs!$B$43),G1041*Q1041))*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Inputs!$B$3&gt;=103</f>
        <v/>
      </c>
      <c r="D1042">
        <f>IF(Skills!C11=1,60+Inputs!$B$25+(Inputs!$B$29+1),IF(Skills!C11=2,90+Inputs!$B$26+(Inputs!$B$29+1),IF(Skills!C11=3,120+Inputs!$B$27+(Inputs!$B$29+1),MAX(0,(Inputs!$B$3-100)*3)+Inputs!$B$28+(Inputs!$B$29+1))))</f>
        <v/>
      </c>
      <c r="E1042">
        <f>INDEX(FactorTable!$B$2:$Y$301, MATCH(ROUND(MIN(300,MAX(1,D1042)),0), FactorTable!$A$2:$A$301,0), Skills!M11+1)</f>
        <v/>
      </c>
      <c r="F1042">
        <f>IF(Skills!N11=TRUE,(Skills!L11/10)*(E1042/1000),Skills!L11/10)+Skills!O11</f>
        <v/>
      </c>
      <c r="G1042">
        <f>Skills!G11*IF(Skills!H11&gt;0,INT(IF(Inputs!$B$38="pvp",MIN(Skills!I11,15),Skills!I11)/Skills!H11+0.000000001),1)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1057=TRUE)*(F1057-Calc!F26)),(Inputs!$B$23+((C1062=TRUE)*(F1062-Calc!F31))+(IF(ArtifactsInput!$M$15,CHOOSE(ArtifactsInput!$N$15+1,25,30,35,40,45,50)/100*(Inputs!$B$11-Inputs!$B$11),0))))/100+(Inputs!$B$23+((C1062=TRUE)*(F1062-Calc!F31))+(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IFERROR(1/(IF(Inputs!$B$38="pvp",15,MAX(0.1,Skills!D11-IF(TRUE=TRUE,Inputs!$B$32,0)))*(1-IF(AND(ArtifactsInput!$M$27,Inputs!$B$4="Chapter Hunt"),CHOOSE(ArtifactsInput!$N$27+1,20,24,28,32,36,40),0)/100)),0)</f>
        <v/>
      </c>
      <c r="R1042">
        <f>IF(AND(Inputs!$B$38&lt;&gt;"pvp",Inputs!$B$43&gt;0),IF(MAX(0,Inputs!$B$43-B1073)&lt;=0,0,(INT(MAX(0,Inputs!$B$43-B1073)/(IF(Inputs!$B$38="pvp",15,MAX(0.1,Skills!D11-IF(TRUE=TRUE,Inputs!$B$32,0)))*(1-IF(AND(ArtifactsInput!$M$27,Inputs!$B$4="Chapter Hunt"),CHOOSE(ArtifactsInput!$N$27+1,20,24,28,32,36,40),0)/100)))+1)),0)</f>
        <v/>
      </c>
      <c r="S1042">
        <f>IFERROR(O1042/N1042,0)</f>
        <v/>
      </c>
      <c r="T1042">
        <f>IF(C1042,(H1042*N1042*IF(AND(Inputs!$B$38&lt;&gt;"pvp",Inputs!$B$43&gt;0),((Skills!G11*((R1042-1)*IF(Skills!H11&gt;0,INT(Skills!I11/Skills!H11+0.000000001),1)+IF(Skills!H11&gt;0,INT(MIN(Skills!I11,MAX(0,MAX(0,Inputs!$B$43-B1073)-((R1042-1)*(IF(Inputs!$B$38="pvp",15,MAX(0.1,Skills!D11-IF(TRUE=TRUE,Inputs!$B$32,0)))*(1-IF(AND(ArtifactsInput!$M$27,Inputs!$B$4="Chapter Hunt"),CHOOSE(ArtifactsInput!$N$27+1,20,24,28,32,36,40),0)/100)))))/Skills!H11+0.000000001)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INT(Skills!I11/Skills!H11+0.000000001),1)+IF(Skills!H11&gt;0,INT(MIN(Skills!I11,MAX(0,MAX(0,Inputs!$B$43-B1073)-((R1042-1)*(IF(Inputs!$B$38="pvp",15,MAX(0.1,Skills!D11-IF(TRUE=TRUE,Inputs!$B$32,0)))*(1-IF(AND(ArtifactsInput!$M$27,Inputs!$B$4="Chapter Hunt"),CHOOSE(ArtifactsInput!$N$27+1,20,24,28,32,36,40),0)/100)))))/Skills!H11+0.000000001),1)))/Inputs!$B$43),G1042*Q1042))*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IF(Skills!C12=1,60+Inputs!$B$25+(Inputs!$B$29+1),IF(Skills!C12=2,90+Inputs!$B$26+(Inputs!$B$29+1),IF(Skills!C12=3,120+Inputs!$B$27+(Inputs!$B$29+1),MAX(0,(Inputs!$B$3-100)*3)+Inputs!$B$28+(Inputs!$B$29+1))))</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T1043" t="inlineStr"/>
      <c r="V1043" t="inlineStr"/>
    </row>
    <row r="1044">
      <c r="A1044">
        <f>Skills!A13</f>
        <v/>
      </c>
      <c r="B1044">
        <f>Skills!B13</f>
        <v/>
      </c>
      <c r="C1044">
        <f>Inputs!$B$3&gt;=60</f>
        <v/>
      </c>
      <c r="D1044">
        <f>IF(Skills!C13=1,60+Inputs!$B$25+(Inputs!$B$29+1),IF(Skills!C13=2,90+Inputs!$B$26+(Inputs!$B$29+1),IF(Skills!C13=3,120+Inputs!$B$27+(Inputs!$B$29+1),MAX(0,(Inputs!$B$3-100)*3)+Inputs!$B$28+(Inputs!$B$29+1))))</f>
        <v/>
      </c>
      <c r="E1044">
        <f>INDEX(FactorTable!$B$2:$Y$301, MATCH(ROUND(MIN(300,MAX(1,D1044)),0), FactorTable!$A$2:$A$301,0), Skills!M13+1)</f>
        <v/>
      </c>
      <c r="F1044">
        <f>IF(Skills!N13=TRUE,(Skills!L13/10)*(E1044/1000),Skills!L13/10)+Skills!O13</f>
        <v/>
      </c>
      <c r="G1044">
        <f>Skills!G13*IF(Skills!H13&gt;0,INT(IF(Inputs!$B$38="pvp",MIN(Skills!I13,15),Skills!I13)/Skills!H13+0.000000001),1)</f>
        <v/>
      </c>
      <c r="H1044">
        <f>1-(1-Skills!J13/100)^Skills!K13</f>
        <v/>
      </c>
      <c r="I1044" t="inlineStr">
        <is>
          <t>1</t>
        </is>
      </c>
      <c r="J1044">
        <f>((Inputs!$B$6*(1+Inputs!$B$7/100))+(((Inputs!$B$12*(1+Inputs!$B$13/100))-(Inputs!$B$12*(1+Inputs!$B$13/100)))+0.25*(Inputs!$B$14-Inputs!$B$14))*(1+Inputs!$B$7/100))*(F1044/100)</f>
        <v/>
      </c>
      <c r="K1044">
        <f>J1044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Skills!A13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1057=TRUE)*(F1057-Calc!F26)),(Inputs!$B$23+((C1062=TRUE)*(F1062-Calc!F31))+(IF(ArtifactsInput!$M$15,CHOOSE(ArtifactsInput!$N$15+1,25,30,35,40,45,50)/100*(Inputs!$B$11-Inputs!$B$11),0))))/100+(Inputs!$B$23+((C1062=TRUE)*(F1062-Calc!F31))+(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IFERROR(1/(IF(Inputs!$B$38="pvp",15,MAX(0.1,IF(Inputs!$B$3&gt;=122,3,5)+1/(((20+30*(B1068-1)*100/150)/100)*B1068)-IF(FALSE=TRUE,Inputs!$B$32,0)))*(1-IF(AND(ArtifactsInput!$M$27,Inputs!$B$4="Chapter Hunt"),CHOOSE(ArtifactsInput!$N$27+1,20,24,28,32,36,40),0)/100)),0)</f>
        <v/>
      </c>
      <c r="R1044">
        <f>IF(AND(Inputs!$B$38&lt;&gt;"pvp",Inputs!$B$43&gt;0),IF(MAX(0,Inputs!$B$43-B1073)&lt;=0,0,(INT(MAX(0,Inputs!$B$43-B1073)/(IF(Inputs!$B$38="pvp",15,MAX(0.1,IF(Inputs!$B$3&gt;=122,3,5)+1/(((20+30*(B1068-1)*100/150)/100)*B1068)-IF(FALSE=TRUE,Inputs!$B$32,0)))*(1-IF(AND(ArtifactsInput!$M$27,Inputs!$B$4="Chapter Hunt"),CHOOSE(ArtifactsInput!$N$27+1,20,24,28,32,36,40),0)/100)))+1)),0)</f>
        <v/>
      </c>
      <c r="S1044">
        <f>IFERROR(O1044/N1044,0)</f>
        <v/>
      </c>
      <c r="T1044">
        <f>IF(C1044,(H1044*N1044*IF(AND(Inputs!$B$38&lt;&gt;"pvp",Inputs!$B$43&gt;0),((Skills!G13*((R1044-1)*IF(Skills!H13&gt;0,INT(Skills!I13/Skills!H13+0.000000001),1)+IF(Skills!H13&gt;0,INT(MIN(Skills!I13,MAX(0,MAX(0,Inputs!$B$43-B1073)-((R1044-1)*(IF(Inputs!$B$38="pvp",15,MAX(0.1,IF(Inputs!$B$3&gt;=122,3,5)+1/(((20+30*(B1068-1)*100/150)/100)*B1068)-IF(FALSE=TRUE,Inputs!$B$32,0)))*(1-IF(AND(ArtifactsInput!$M$27,Inputs!$B$4="Chapter Hunt"),CHOOSE(ArtifactsInput!$N$27+1,20,24,28,32,36,40),0)/100)))))/Skills!H13+0.000000001),1)))/Inputs!$B$43),G1044*Q1044)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13*((R1044-1)*IF(Skills!H13&gt;0,INT(Skills!I13/Skills!H13+0.000000001),1)+IF(Skills!H13&gt;0,INT(MIN(Skills!I13,MAX(0,MAX(0,Inputs!$B$43-B1073)-((R1044-1)*(IF(Inputs!$B$38="pvp",15,MAX(0.1,IF(Inputs!$B$3&gt;=122,3,5)+1/(((20+30*(B1068-1)*100/150)/100)*B1068)-IF(FALSE=TRUE,Inputs!$B$32,0)))*(1-IF(AND(ArtifactsInput!$M$27,Inputs!$B$4="Chapter Hunt"),CHOOSE(ArtifactsInput!$N$27+1,20,24,28,32,36,40),0)/100)))))/Skills!H13+0.000000001),1)))/Inputs!$B$43),G1044*Q1044))*IF(Inputs!$B$38="pvp",1,(1+(Inputs!$B$21+Skills!Q13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Skills!A14</f>
        <v/>
      </c>
      <c r="B1045">
        <f>Skills!B14</f>
        <v/>
      </c>
      <c r="C1045">
        <f>Inputs!$B$3&gt;=110</f>
        <v/>
      </c>
      <c r="D1045">
        <f>IF(Skills!C14=1,60+Inputs!$B$25+(Inputs!$B$29+1),IF(Skills!C14=2,90+Inputs!$B$26+(Inputs!$B$29+1),IF(Skills!C14=3,120+Inputs!$B$27+(Inputs!$B$29+1),MAX(0,(Inputs!$B$3-100)*3)+Inputs!$B$28+(Inputs!$B$29+1))))</f>
        <v/>
      </c>
      <c r="E1045">
        <f>INDEX(FactorTable!$B$2:$Y$301, MATCH(ROUND(MIN(300,MAX(1,D1045)),0), FactorTable!$A$2:$A$301,0), Skills!M14+1)</f>
        <v/>
      </c>
      <c r="F1045">
        <f>IF(Skills!N14=TRUE,(Skills!L14/10)*(E1045/1000),Skills!L14/10)+Skills!O14</f>
        <v/>
      </c>
      <c r="G1045" t="inlineStr"/>
      <c r="H1045" t="inlineStr"/>
      <c r="I1045" t="inlineStr">
        <is>
          <t>1</t>
        </is>
      </c>
      <c r="J1045" t="inlineStr"/>
      <c r="K1045" t="inlineStr"/>
      <c r="L1045" t="inlineStr"/>
      <c r="M1045" t="inlineStr"/>
      <c r="N1045" t="inlineStr"/>
      <c r="O1045" t="inlineStr"/>
      <c r="P1045" t="inlineStr"/>
      <c r="Q1045" t="inlineStr"/>
      <c r="R1045" t="inlineStr"/>
      <c r="S1045" t="inlineStr"/>
      <c r="T1045" t="inlineStr"/>
      <c r="V1045" t="inlineStr"/>
    </row>
    <row r="1046">
      <c r="A1046">
        <f>Skills!A15</f>
        <v/>
      </c>
      <c r="B1046">
        <f>Skills!B15</f>
        <v/>
      </c>
      <c r="C1046">
        <f>Inputs!$B$3&gt;=74</f>
        <v/>
      </c>
      <c r="D1046">
        <f>IF(Skills!C15=1,60+Inputs!$B$25+(Inputs!$B$29+1),IF(Skills!C15=2,90+Inputs!$B$26+(Inputs!$B$29+1),IF(Skills!C15=3,120+Inputs!$B$27+(Inputs!$B$29+1),MAX(0,(Inputs!$B$3-100)*3)+Inputs!$B$28+(Inputs!$B$29+1))))</f>
        <v/>
      </c>
      <c r="E1046">
        <f>INDEX(FactorTable!$B$2:$Y$301, MATCH(ROUND(MIN(300,MAX(1,D1046)),0), FactorTable!$A$2:$A$301,0), Skills!M15+1)</f>
        <v/>
      </c>
      <c r="F1046">
        <f>IF(Skills!N15=TRUE,(Skills!L15/10)*(E1046/1000),Skills!L15/10)+Skills!O15</f>
        <v/>
      </c>
      <c r="G1046">
        <f>Skills!G15*IF(Skills!H15&gt;0,INT(IF(Inputs!$B$38="pvp",MIN(Skills!I15,15),Skills!I15)/Skills!H15+0.000000001),1)</f>
        <v/>
      </c>
      <c r="H1046">
        <f>1-(1-Skills!J15/100)^Skills!K15</f>
        <v/>
      </c>
      <c r="I1046" t="inlineStr">
        <is>
          <t>1</t>
        </is>
      </c>
      <c r="J1046" t="inlineStr"/>
      <c r="K1046" t="inlineStr"/>
      <c r="L1046" t="inlineStr"/>
      <c r="M1046" t="inlineStr"/>
      <c r="N1046" t="inlineStr"/>
      <c r="O1046">
        <f>(1-Summary!$B$11)*T1046+Summary!$B$11*V1046</f>
        <v/>
      </c>
      <c r="P1046">
        <f>IF(B1076=0,0,O1046/B1076)</f>
        <v/>
      </c>
      <c r="Q1046" t="n">
        <v>0</v>
      </c>
      <c r="R1046" t="n">
        <v>0</v>
      </c>
      <c r="S1046">
        <f>IFERROR(O1046/N1046,0)</f>
        <v/>
      </c>
      <c r="T1046" t="n">
        <v>0</v>
      </c>
      <c r="V1046" t="n">
        <v>0</v>
      </c>
    </row>
    <row r="1047">
      <c r="A1047">
        <f>Skills!A16</f>
        <v/>
      </c>
      <c r="B1047">
        <f>Skills!B16</f>
        <v/>
      </c>
      <c r="C1047">
        <f>Inputs!$B$3&gt;=74</f>
        <v/>
      </c>
      <c r="D1047">
        <f>IF(Skills!C16=1,60+Inputs!$B$25+(Inputs!$B$29+1),IF(Skills!C16=2,90+Inputs!$B$26+(Inputs!$B$29+1),IF(Skills!C16=3,120+Inputs!$B$27+(Inputs!$B$29+1),MAX(0,(Inputs!$B$3-100)*3)+Inputs!$B$28+(Inputs!$B$29+1))))</f>
        <v/>
      </c>
      <c r="E1047">
        <f>INDEX(FactorTable!$B$2:$Y$301, MATCH(ROUND(MIN(300,MAX(1,D1047)),0), FactorTable!$A$2:$A$301,0), Skills!M16+1)</f>
        <v/>
      </c>
      <c r="F1047">
        <f>IF(Skills!N16=TRUE,(Skills!L16/10)*(E1047/1000),Skills!L16/10)+Skills!O16</f>
        <v/>
      </c>
      <c r="G1047">
        <f>Skills!G16*IF(Skills!H16&gt;0,INT(IF(Inputs!$B$38="pvp",MIN(Skills!I16,15),Skills!I16)/Skills!H16+0.000000001),1)</f>
        <v/>
      </c>
      <c r="H1047">
        <f>1-(1-Skills!J16/100)^Skills!K16</f>
        <v/>
      </c>
      <c r="I1047" t="inlineStr">
        <is>
          <t>1</t>
        </is>
      </c>
      <c r="J1047" t="inlineStr"/>
      <c r="K1047" t="inlineStr"/>
      <c r="L1047" t="inlineStr"/>
      <c r="M1047" t="inlineStr"/>
      <c r="N1047" t="inlineStr"/>
      <c r="O1047">
        <f>(1-Summary!$B$11)*T1047+Summary!$B$11*V1047</f>
        <v/>
      </c>
      <c r="P1047">
        <f>IF(B1076=0,0,O1047/B1076)</f>
        <v/>
      </c>
      <c r="Q1047" t="n">
        <v>0</v>
      </c>
      <c r="R1047" t="n">
        <v>0</v>
      </c>
      <c r="S1047">
        <f>IFERROR(O1047/N1047,0)</f>
        <v/>
      </c>
      <c r="T1047" t="n">
        <v>0</v>
      </c>
      <c r="V1047" t="n">
        <v>0</v>
      </c>
    </row>
    <row r="1048">
      <c r="A1048">
        <f>Skills!A17</f>
        <v/>
      </c>
      <c r="B1048">
        <f>Skills!B17</f>
        <v/>
      </c>
      <c r="C1048">
        <f>Inputs!$B$3&gt;=117</f>
        <v/>
      </c>
      <c r="D1048">
        <f>IF(Skills!C17=1,60+Inputs!$B$25+(Inputs!$B$29+1),IF(Skills!C17=2,90+Inputs!$B$26+(Inputs!$B$29+1),IF(Skills!C17=3,120+Inputs!$B$27+(Inputs!$B$29+1),MAX(0,(Inputs!$B$3-100)*3)+Inputs!$B$28+(Inputs!$B$29+1))))</f>
        <v/>
      </c>
      <c r="E1048">
        <f>INDEX(FactorTable!$B$2:$Y$301, MATCH(ROUND(MIN(300,MAX(1,D1048)),0), FactorTable!$A$2:$A$301,0), Skills!M17+1)</f>
        <v/>
      </c>
      <c r="F1048">
        <f>IF(Skills!N17=TRUE,(Skills!L17/10)*(E1048/1000),Skills!L17/10)+Skills!O17</f>
        <v/>
      </c>
      <c r="G1048">
        <f>Skills!G17*IF(Skills!H17&gt;0,INT(IF(Inputs!$B$38="pvp",MIN(Skills!I17,15),Skills!I17)/Skills!H17+0.000000001),1)</f>
        <v/>
      </c>
      <c r="H1048">
        <f>1-(1-Skills!J17/100)^Skills!K17</f>
        <v/>
      </c>
      <c r="I1048" t="inlineStr">
        <is>
          <t>1</t>
        </is>
      </c>
      <c r="J1048" t="inlineStr"/>
      <c r="K1048" t="inlineStr"/>
      <c r="L1048" t="inlineStr"/>
      <c r="M1048" t="inlineStr"/>
      <c r="N1048" t="inlineStr"/>
      <c r="O1048">
        <f>(1-Summary!$B$11)*T1048+Summary!$B$11*V1048</f>
        <v/>
      </c>
      <c r="P1048">
        <f>IF(B1076=0,0,O1048/B1076)</f>
        <v/>
      </c>
      <c r="Q1048">
        <f>IFERROR(1/(IF(Inputs!$B$38="pvp",15,MAX(0.1,Skills!D17-IF(TRUE=TRUE,Inputs!$B$32,0)))*(1-IF(AND(ArtifactsInput!$M$27,Inputs!$B$4="Chapter Hunt"),CHOOSE(ArtifactsInput!$N$27+1,20,24,28,32,36,40),0)/100)),0)</f>
        <v/>
      </c>
      <c r="R1048">
        <f>IF(AND(Inputs!$B$38&lt;&gt;"pvp",Inputs!$B$43&gt;0),IF(Inputs!$B$43&lt;=0,0,(INT(Inputs!$B$43/(IF(Inputs!$B$38="pvp",15,MAX(0.1,Skills!D17-IF(TRUE=TRUE,Inputs!$B$32,0)))*(1-IF(AND(ArtifactsInput!$M$27,Inputs!$B$4="Chapter Hunt"),CHOOSE(ArtifactsInput!$N$27+1,20,24,28,32,36,40),0)/100)))+1)),0)</f>
        <v/>
      </c>
      <c r="S1048">
        <f>IFERROR(O1048/N1048,0)</f>
        <v/>
      </c>
      <c r="T1048" t="n">
        <v>0</v>
      </c>
      <c r="V1048" t="n">
        <v>0</v>
      </c>
    </row>
    <row r="1049">
      <c r="A1049">
        <f>Skills!A18</f>
        <v/>
      </c>
      <c r="B1049">
        <f>Skills!B18</f>
        <v/>
      </c>
      <c r="C1049">
        <f>Inputs!$B$3&gt;=115</f>
        <v/>
      </c>
      <c r="D1049">
        <f>IF(Skills!C18=1,60+Inputs!$B$25+(Inputs!$B$29+1),IF(Skills!C18=2,90+Inputs!$B$26+(Inputs!$B$29+1),IF(Skills!C18=3,120+Inputs!$B$27+(Inputs!$B$29+1),MAX(0,(Inputs!$B$3-100)*3)+Inputs!$B$28+(Inputs!$B$29+1))))</f>
        <v/>
      </c>
      <c r="E1049">
        <f>INDEX(FactorTable!$B$2:$Y$301, MATCH(ROUND(MIN(300,MAX(1,D1049)),0), FactorTable!$A$2:$A$301,0), Skills!M18+1)</f>
        <v/>
      </c>
      <c r="F1049">
        <f>IF(Skills!N18=TRUE,(Skills!L18/10)*(E1049/1000),Skills!L18/10)+Skills!O18</f>
        <v/>
      </c>
      <c r="G1049">
        <f>Skills!G18*IF(Skills!H18&gt;0,INT(IF(Inputs!$B$38="pvp",MIN(Skills!I18,15),Skills!I18)/Skills!H18+0.000000001),1)</f>
        <v/>
      </c>
      <c r="H1049">
        <f>1-(1-Skills!J18/100)^Skills!K18</f>
        <v/>
      </c>
      <c r="I1049" t="inlineStr">
        <is>
          <t>1</t>
        </is>
      </c>
      <c r="J1049" t="inlineStr"/>
      <c r="K1049" t="inlineStr"/>
      <c r="L1049" t="inlineStr"/>
      <c r="M1049" t="inlineStr"/>
      <c r="N1049" t="inlineStr"/>
      <c r="O1049">
        <f>(1-Summary!$B$11)*T1049+Summary!$B$11*V1049</f>
        <v/>
      </c>
      <c r="P1049">
        <f>IF(B1076=0,0,O1049/B1076)</f>
        <v/>
      </c>
      <c r="Q1049">
        <f>IFERROR(1/(IF(Inputs!$B$38="pvp",15,MAX(0.1,Skills!D18-IF(TRUE=TRUE,Inputs!$B$32,0)))*(1-IF(AND(ArtifactsInput!$M$27,Inputs!$B$4="Chapter Hunt"),CHOOSE(ArtifactsInput!$N$27+1,20,24,28,32,36,40),0)/100)),0)</f>
        <v/>
      </c>
      <c r="R1049">
        <f>IF(AND(Inputs!$B$38&lt;&gt;"pvp",Inputs!$B$43&gt;0),IF(Inputs!$B$43&lt;=0,0,(INT(Inputs!$B$43/(IF(Inputs!$B$38="pvp",15,MAX(0.1,Skills!D18-IF(TRUE=TRUE,Inputs!$B$32,0)))*(1-IF(AND(ArtifactsInput!$M$27,Inputs!$B$4="Chapter Hunt"),CHOOSE(ArtifactsInput!$N$27+1,20,24,28,32,36,40),0)/100)))+1)),0)</f>
        <v/>
      </c>
      <c r="S1049">
        <f>IFERROR(O1049/N1049,0)</f>
        <v/>
      </c>
      <c r="T1049" t="n">
        <v>0</v>
      </c>
      <c r="V1049" t="n">
        <v>0</v>
      </c>
    </row>
    <row r="1050">
      <c r="A1050">
        <f>Skills!A19</f>
        <v/>
      </c>
      <c r="B1050">
        <f>Skills!B19</f>
        <v/>
      </c>
      <c r="C1050">
        <f>Inputs!$B$3&gt;=66</f>
        <v/>
      </c>
      <c r="D1050">
        <f>IF(Skills!C19=1,60+Inputs!$B$25+(Inputs!$B$29+1),IF(Skills!C19=2,90+Inputs!$B$26+(Inputs!$B$29+1),IF(Skills!C19=3,120+Inputs!$B$27+(Inputs!$B$29+1),MAX(0,(Inputs!$B$3-100)*3)+Inputs!$B$28+(Inputs!$B$29+1))))</f>
        <v/>
      </c>
      <c r="E1050">
        <f>INDEX(FactorTable!$B$2:$Y$301, MATCH(ROUND(MIN(300,MAX(1,D1050)),0), FactorTable!$A$2:$A$301,0), Skills!M19+1)</f>
        <v/>
      </c>
      <c r="F1050">
        <f>IF(Skills!N19=TRUE,(Skills!L19/10)*(E1050/1000),Skills!L19/10)+Skills!O19</f>
        <v/>
      </c>
      <c r="G1050">
        <f>Skills!G19*IF(Skills!H19&gt;0,INT(IF(Inputs!$B$38="pvp",MIN(Skills!I19,15),Skills!I19)/Skills!H19+0.000000001),1)</f>
        <v/>
      </c>
      <c r="H1050">
        <f>1-(1-Skills!J19/100)^Skills!K19</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Skills!A20</f>
        <v/>
      </c>
      <c r="B1051">
        <f>Skills!B20</f>
        <v/>
      </c>
      <c r="C1051">
        <f>Inputs!$B$3&gt;=72</f>
        <v/>
      </c>
      <c r="D1051">
        <f>IF(Skills!C20=1,60+Inputs!$B$25+(Inputs!$B$29+1),IF(Skills!C20=2,90+Inputs!$B$26+(Inputs!$B$29+1),IF(Skills!C20=3,120+Inputs!$B$27+(Inputs!$B$29+1),MAX(0,(Inputs!$B$3-100)*3)+Inputs!$B$28+(Inputs!$B$29+1))))</f>
        <v/>
      </c>
      <c r="E1051">
        <f>INDEX(FactorTable!$B$2:$Y$301, MATCH(ROUND(MIN(300,MAX(1,D1051)),0), FactorTable!$A$2:$A$301,0), Skills!M20+1)</f>
        <v/>
      </c>
      <c r="F1051">
        <f>IF(Skills!N20=TRUE,(Skills!L20/10)*(E1051/1000),Skills!L20/10)+Skills!O20</f>
        <v/>
      </c>
      <c r="G1051">
        <f>Skills!G20*IF(Skills!H20&gt;0,INT(IF(Inputs!$B$38="pvp",MIN(Skills!I20,15),Skills!I20)/Skills!H20+0.000000001),1)</f>
        <v/>
      </c>
      <c r="H1051">
        <f>1-(1-Skills!J20/100)^Skills!K20</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Skills!A21</f>
        <v/>
      </c>
      <c r="B1052">
        <f>Skills!B21</f>
        <v/>
      </c>
      <c r="C1052">
        <f>TRUE</f>
        <v/>
      </c>
      <c r="D1052">
        <f>IF(Skills!C21=1,60+Inputs!$B$25+(Inputs!$B$29+1),IF(Skills!C21=2,90+Inputs!$B$26+(Inputs!$B$29+1),IF(Skills!C21=3,120+Inputs!$B$27+(Inputs!$B$29+1),MAX(0,(Inputs!$B$3-100)*3)+Inputs!$B$28+(Inputs!$B$29+1))))</f>
        <v/>
      </c>
      <c r="E1052">
        <f>INDEX(FactorTable!$B$2:$Y$301, MATCH(ROUND(MIN(300,MAX(1,D1052)),0), FactorTable!$A$2:$A$301,0), Skills!M21+1)</f>
        <v/>
      </c>
      <c r="F1052">
        <f>IF(Skills!N21=TRUE,(Skills!L21/10)*(E1052/1000),Skills!L21/10)+Skills!O21</f>
        <v/>
      </c>
      <c r="G1052">
        <f>Skills!G21*IF(Skills!H21&gt;0,INT(IF(Inputs!$B$38="pvp",MIN(Skills!I21,15),Skills!I21)/Skills!H21+0.000000001),1)</f>
        <v/>
      </c>
      <c r="H1052">
        <f>1-(1-Skills!J21/100)^Skills!K21</f>
        <v/>
      </c>
      <c r="I1052" t="inlineStr">
        <is>
          <t>1</t>
        </is>
      </c>
      <c r="J1052" t="inlineStr"/>
      <c r="K1052" t="inlineStr"/>
      <c r="L1052" t="inlineStr"/>
      <c r="M1052" t="inlineStr"/>
      <c r="N1052" t="inlineStr"/>
      <c r="O1052">
        <f>(1-Summary!$B$11)*T1052+Summary!$B$11*V1052</f>
        <v/>
      </c>
      <c r="P1052">
        <f>IF(B1076=0,0,O1052/B1076)</f>
        <v/>
      </c>
      <c r="Q1052">
        <f>IFERROR(1/(IF(Inputs!$B$38="pvp",15,MAX(0.1,Skills!D21-IF(TRUE=TRUE,Inputs!$B$32,0)))*(1-IF(AND(ArtifactsInput!$M$27,Inputs!$B$4="Chapter Hunt"),CHOOSE(ArtifactsInput!$N$27+1,20,24,28,32,36,40),0)/100)),0)</f>
        <v/>
      </c>
      <c r="R1052">
        <f>IF(AND(Inputs!$B$38&lt;&gt;"pvp",Inputs!$B$43&gt;0),IF(Inputs!$B$43&lt;=0,0,(INT(Inputs!$B$43/(IF(Inputs!$B$38="pvp",15,MAX(0.1,Skills!D21-IF(TRUE=TRUE,Inputs!$B$32,0)))*(1-IF(AND(ArtifactsInput!$M$27,Inputs!$B$4="Chapter Hunt"),CHOOSE(ArtifactsInput!$N$27+1,20,24,28,32,36,40),0)/100)))+1)),0)</f>
        <v/>
      </c>
      <c r="S1052">
        <f>IFERROR(O1052/N1052,0)</f>
        <v/>
      </c>
      <c r="T1052" t="n">
        <v>0</v>
      </c>
      <c r="V1052" t="n">
        <v>0</v>
      </c>
    </row>
    <row r="1053">
      <c r="A1053">
        <f>Skills!A22</f>
        <v/>
      </c>
      <c r="B1053">
        <f>Skills!B22</f>
        <v/>
      </c>
      <c r="C1053">
        <f>Inputs!$B$3&gt;=15</f>
        <v/>
      </c>
      <c r="D1053">
        <f>IF(Skills!C22=1,60+Inputs!$B$25+(Inputs!$B$29+1),IF(Skills!C22=2,90+Inputs!$B$26+(Inputs!$B$29+1),IF(Skills!C22=3,120+Inputs!$B$27+(Inputs!$B$29+1),MAX(0,(Inputs!$B$3-100)*3)+Inputs!$B$28+(Inputs!$B$29+1))))</f>
        <v/>
      </c>
      <c r="E1053">
        <f>INDEX(FactorTable!$B$2:$Y$301, MATCH(ROUND(MIN(300,MAX(1,D1053)),0), FactorTable!$A$2:$A$301,0), Skills!M22+1)</f>
        <v/>
      </c>
      <c r="F1053">
        <f>IF(Skills!N22=TRUE,(Skills!L22/10)*(E1053/1000),Skills!L22/10)+Skills!O22</f>
        <v/>
      </c>
      <c r="G1053">
        <f>Skills!G22*IF(Skills!H22&gt;0,INT(IF(Inputs!$B$38="pvp",MIN(Skills!I22,15),Skills!I22)/Skills!H22+0.000000001),1)</f>
        <v/>
      </c>
      <c r="H1053">
        <f>1-(1-Skills!J22/100)^Skills!K22</f>
        <v/>
      </c>
      <c r="I1053" t="inlineStr">
        <is>
          <t>1</t>
        </is>
      </c>
      <c r="J1053" t="inlineStr"/>
      <c r="K1053" t="inlineStr"/>
      <c r="L1053" t="inlineStr"/>
      <c r="M1053" t="inlineStr"/>
      <c r="N1053" t="inlineStr"/>
      <c r="O1053">
        <f>(1-Summary!$B$11)*T1053+Summary!$B$11*V1053</f>
        <v/>
      </c>
      <c r="P1053">
        <f>IF(B1076=0,0,O1053/B1076)</f>
        <v/>
      </c>
      <c r="Q1053" t="n">
        <v>0</v>
      </c>
      <c r="R1053" t="n">
        <v>0</v>
      </c>
      <c r="S1053">
        <f>IFERROR(O1053/N1053,0)</f>
        <v/>
      </c>
      <c r="T1053" t="n">
        <v>0</v>
      </c>
      <c r="V1053" t="n">
        <v>0</v>
      </c>
    </row>
    <row r="1054">
      <c r="A1054">
        <f>Skills!A23</f>
        <v/>
      </c>
      <c r="B1054">
        <f>Skills!B23</f>
        <v/>
      </c>
      <c r="C1054">
        <f>Inputs!$B$3&gt;=10</f>
        <v/>
      </c>
      <c r="D1054">
        <f>IF(Skills!C23=1,60+Inputs!$B$25+(Inputs!$B$29+1),IF(Skills!C23=2,90+Inputs!$B$26+(Inputs!$B$29+1),IF(Skills!C23=3,120+Inputs!$B$27+(Inputs!$B$29+1),MAX(0,(Inputs!$B$3-100)*3)+Inputs!$B$28+(Inputs!$B$29+1))))</f>
        <v/>
      </c>
      <c r="E1054">
        <f>INDEX(FactorTable!$B$2:$Y$301, MATCH(ROUND(MIN(300,MAX(1,D1054)),0), FactorTable!$A$2:$A$301,0), Skills!M23+1)</f>
        <v/>
      </c>
      <c r="F1054">
        <f>IF(Skills!N23=TRUE,(Skills!L23/10)*(E1054/1000),Skills!L23/10)+Skills!O23</f>
        <v/>
      </c>
      <c r="G1054">
        <f>Skills!G23*IF(Skills!H23&gt;0,INT(IF(Inputs!$B$38="pvp",MIN(Skills!I23,15),Skills!I23)/Skills!H23+0.000000001),1)</f>
        <v/>
      </c>
      <c r="H1054">
        <f>1-(1-Skills!J23/100)^Skills!K23</f>
        <v/>
      </c>
      <c r="I1054" t="inlineStr">
        <is>
          <t>1</t>
        </is>
      </c>
      <c r="J1054" t="inlineStr"/>
      <c r="K1054" t="inlineStr"/>
      <c r="L1054" t="inlineStr"/>
      <c r="M1054" t="inlineStr"/>
      <c r="N1054" t="inlineStr"/>
      <c r="O1054">
        <f>(1-Summary!$B$11)*T1054+Summary!$B$11*V1054</f>
        <v/>
      </c>
      <c r="P1054">
        <f>IF(B1076=0,0,O1054/B1076)</f>
        <v/>
      </c>
      <c r="Q1054" t="n">
        <v>0</v>
      </c>
      <c r="R1054" t="n">
        <v>0</v>
      </c>
      <c r="S1054">
        <f>IFERROR(O1054/N1054,0)</f>
        <v/>
      </c>
      <c r="T1054" t="n">
        <v>0</v>
      </c>
      <c r="V1054" t="n">
        <v>0</v>
      </c>
    </row>
    <row r="1055">
      <c r="A1055">
        <f>Skills!A24</f>
        <v/>
      </c>
      <c r="B1055">
        <f>Skills!B24</f>
        <v/>
      </c>
      <c r="C1055">
        <f>Inputs!$B$3&gt;=33</f>
        <v/>
      </c>
      <c r="D1055">
        <f>IF(Skills!C24=1,60+Inputs!$B$25+(Inputs!$B$29+1),IF(Skills!C24=2,90+Inputs!$B$26+(Inputs!$B$29+1),IF(Skills!C24=3,120+Inputs!$B$27+(Inputs!$B$29+1),MAX(0,(Inputs!$B$3-100)*3)+Inputs!$B$28+(Inputs!$B$29+1))))</f>
        <v/>
      </c>
      <c r="E1055">
        <f>INDEX(FactorTable!$B$2:$Y$301, MATCH(ROUND(MIN(300,MAX(1,D1055)),0), FactorTable!$A$2:$A$301,0), Skills!M24+1)</f>
        <v/>
      </c>
      <c r="F1055">
        <f>IF(Skills!N24=TRUE,(Skills!L24/10)*(E1055/1000),Skills!L24/10)+Skills!O24</f>
        <v/>
      </c>
      <c r="G1055">
        <f>Skills!G24*IF(Skills!H24&gt;0,INT(IF(Inputs!$B$38="pvp",MIN(Skills!I24,15),Skills!I24)/Skills!H24+0.000000001),1)</f>
        <v/>
      </c>
      <c r="H1055">
        <f>1-(1-Skills!J24/100)^Skills!K24</f>
        <v/>
      </c>
      <c r="I1055" t="inlineStr">
        <is>
          <t>1</t>
        </is>
      </c>
      <c r="J1055" t="inlineStr"/>
      <c r="K1055" t="inlineStr"/>
      <c r="L1055" t="inlineStr"/>
      <c r="M1055" t="inlineStr"/>
      <c r="N1055" t="inlineStr"/>
      <c r="O1055">
        <f>(1-Summary!$B$11)*T1055+Summary!$B$11*V1055</f>
        <v/>
      </c>
      <c r="P1055">
        <f>IF(B1076=0,0,O1055/B1076)</f>
        <v/>
      </c>
      <c r="Q1055" t="n">
        <v>0</v>
      </c>
      <c r="R1055" t="n">
        <v>0</v>
      </c>
      <c r="S1055">
        <f>IFERROR(O1055/N1055,0)</f>
        <v/>
      </c>
      <c r="T1055" t="n">
        <v>0</v>
      </c>
      <c r="V1055" t="n">
        <v>0</v>
      </c>
    </row>
    <row r="1056">
      <c r="A1056">
        <f>Skills!A25</f>
        <v/>
      </c>
      <c r="B1056">
        <f>Skills!B25</f>
        <v/>
      </c>
      <c r="C1056">
        <f>Inputs!$B$3&gt;=38</f>
        <v/>
      </c>
      <c r="D1056">
        <f>IF(Skills!C25=1,60+Inputs!$B$25+(Inputs!$B$29+1),IF(Skills!C25=2,90+Inputs!$B$26+(Inputs!$B$29+1),IF(Skills!C25=3,120+Inputs!$B$27+(Inputs!$B$29+1),MAX(0,(Inputs!$B$3-100)*3)+Inputs!$B$28+(Inputs!$B$29+1))))</f>
        <v/>
      </c>
      <c r="E1056">
        <f>INDEX(FactorTable!$B$2:$Y$301, MATCH(ROUND(MIN(300,MAX(1,D1056)),0), FactorTable!$A$2:$A$301,0), Skills!M25+1)</f>
        <v/>
      </c>
      <c r="F1056">
        <f>IF(Skills!N25=TRUE,(Skills!L25/10)*(E1056/1000),Skills!L25/10)+Skills!O25</f>
        <v/>
      </c>
      <c r="G1056">
        <f>Skills!G25*IF(Skills!H25&gt;0,INT(IF(Inputs!$B$38="pvp",MIN(Skills!I25,15),Skills!I25)/Skills!H25+0.000000001),1)</f>
        <v/>
      </c>
      <c r="H1056">
        <f>1-(1-Skills!J25/100)^Skills!K25</f>
        <v/>
      </c>
      <c r="I1056" t="inlineStr">
        <is>
          <t>1</t>
        </is>
      </c>
      <c r="J1056" t="inlineStr"/>
      <c r="K1056" t="inlineStr"/>
      <c r="L1056" t="inlineStr"/>
      <c r="M1056" t="inlineStr"/>
      <c r="N1056" t="inlineStr"/>
      <c r="O1056">
        <f>(1-Summary!$B$11)*T1056+Summary!$B$11*V1056</f>
        <v/>
      </c>
      <c r="P1056">
        <f>IF(B1076=0,0,O1056/B1076)</f>
        <v/>
      </c>
      <c r="Q1056" t="n">
        <v>0</v>
      </c>
      <c r="R1056" t="n">
        <v>0</v>
      </c>
      <c r="S1056">
        <f>IFERROR(O1056/N1056,0)</f>
        <v/>
      </c>
      <c r="T1056" t="n">
        <v>0</v>
      </c>
      <c r="V1056" t="n">
        <v>0</v>
      </c>
    </row>
    <row r="1057">
      <c r="A1057">
        <f>Skills!A26</f>
        <v/>
      </c>
      <c r="B1057">
        <f>Skills!B26</f>
        <v/>
      </c>
      <c r="C1057">
        <f>Inputs!$B$3&gt;=43</f>
        <v/>
      </c>
      <c r="D1057">
        <f>IF(Skills!C26=1,60+Inputs!$B$25+(Inputs!$B$29+1),IF(Skills!C26=2,90+Inputs!$B$26+(Inputs!$B$29+1),IF(Skills!C26=3,120+Inputs!$B$27+(Inputs!$B$29+1),MAX(0,(Inputs!$B$3-100)*3)+Inputs!$B$28+(Inputs!$B$29+1))))</f>
        <v/>
      </c>
      <c r="E1057">
        <f>INDEX(FactorTable!$B$2:$Y$301, MATCH(ROUND(MIN(300,MAX(1,D1057)),0), FactorTable!$A$2:$A$301,0), Skills!M26+1)</f>
        <v/>
      </c>
      <c r="F1057">
        <f>IF(Skills!N26=TRUE,(Skills!L26/10)*(E1057/1000),Skills!L26/10)+Skills!O26</f>
        <v/>
      </c>
      <c r="G1057">
        <f>Skills!G26*IF(Skills!H26&gt;0,INT(IF(Inputs!$B$38="pvp",MIN(Skills!I26,15),Skills!I26)/Skills!H26+0.000000001),1)</f>
        <v/>
      </c>
      <c r="H1057">
        <f>1-(1-Skills!J26/100)^Skills!K26</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Skills!A27</f>
        <v/>
      </c>
      <c r="B1058">
        <f>Skills!B27</f>
        <v/>
      </c>
      <c r="C1058">
        <f>Inputs!$B$3&gt;=75</f>
        <v/>
      </c>
      <c r="D1058">
        <f>IF(Skills!C27=1,60+Inputs!$B$25+(Inputs!$B$29+1),IF(Skills!C27=2,90+Inputs!$B$26+(Inputs!$B$29+1),IF(Skills!C27=3,120+Inputs!$B$27+(Inputs!$B$29+1),MAX(0,(Inputs!$B$3-100)*3)+Inputs!$B$28+(Inputs!$B$29+1))))</f>
        <v/>
      </c>
      <c r="E1058">
        <f>INDEX(FactorTable!$B$2:$Y$301, MATCH(ROUND(MIN(300,MAX(1,D1058)),0), FactorTable!$A$2:$A$301,0), Skills!M27+1)</f>
        <v/>
      </c>
      <c r="F1058">
        <f>IF(Skills!N27=TRUE,(Skills!L27/10)*(E1058/1000),Skills!L27/10)+Skills!O27</f>
        <v/>
      </c>
      <c r="G1058">
        <f>Skills!G27*IF(Skills!H27&gt;0,INT(IF(Inputs!$B$38="pvp",MIN(Skills!I27,15),Skills!I27)/Skills!H27+0.000000001),1)</f>
        <v/>
      </c>
      <c r="H1058">
        <f>1-(1-Skills!J27/100)^Skills!K27</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Skills!A28</f>
        <v/>
      </c>
      <c r="B1059">
        <f>Skills!B28</f>
        <v/>
      </c>
      <c r="C1059">
        <f>Inputs!$B$3&gt;=125</f>
        <v/>
      </c>
      <c r="D1059">
        <f>IF(Skills!C28=1,60+Inputs!$B$25+(Inputs!$B$29+1),IF(Skills!C28=2,90+Inputs!$B$26+(Inputs!$B$29+1),IF(Skills!C28=3,120+Inputs!$B$27+(Inputs!$B$29+1),MAX(0,(Inputs!$B$3-100)*3)+Inputs!$B$28+(Inputs!$B$29+1))))</f>
        <v/>
      </c>
      <c r="E1059">
        <f>INDEX(FactorTable!$B$2:$Y$301, MATCH(ROUND(MIN(300,MAX(1,D1059)),0), FactorTable!$A$2:$A$301,0), Skills!M28+1)</f>
        <v/>
      </c>
      <c r="F1059">
        <f>IF(Skills!N28=TRUE,(Skills!L28/10)*(E1059/1000),Skills!L28/10)+Skills!O28</f>
        <v/>
      </c>
      <c r="G1059">
        <f>Skills!G28*IF(Skills!H28&gt;0,INT(IF(Inputs!$B$38="pvp",MIN(Skills!I28,15),Skills!I28)/Skills!H28+0.000000001),1)</f>
        <v/>
      </c>
      <c r="H1059">
        <f>1-(1-Skills!J28/100)^Skills!K28</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Skills!A29</f>
        <v/>
      </c>
      <c r="B1060">
        <f>Skills!B29</f>
        <v/>
      </c>
      <c r="C1060">
        <f>Inputs!$B$3&gt;=125</f>
        <v/>
      </c>
      <c r="D1060">
        <f>IF(Skills!C29=1,60+Inputs!$B$25+(Inputs!$B$29+1),IF(Skills!C29=2,90+Inputs!$B$26+(Inputs!$B$29+1),IF(Skills!C29=3,120+Inputs!$B$27+(Inputs!$B$29+1),MAX(0,(Inputs!$B$3-100)*3)+Inputs!$B$28+(Inputs!$B$29+1))))</f>
        <v/>
      </c>
      <c r="E1060">
        <f>INDEX(FactorTable!$B$2:$Y$301, MATCH(ROUND(MIN(300,MAX(1,D1060)),0), FactorTable!$A$2:$A$301,0), Skills!M29+1)</f>
        <v/>
      </c>
      <c r="F1060">
        <f>IF(Skills!N29=TRUE,(Skills!L29/10)*(E1060/1000),Skills!L29/10)+Skills!O29</f>
        <v/>
      </c>
      <c r="G1060">
        <f>Skills!G29*IF(Skills!H29&gt;0,INT(IF(Inputs!$B$38="pvp",MIN(Skills!I29,15),Skills!I29)/Skills!H29+0.000000001),1)</f>
        <v/>
      </c>
      <c r="H1060">
        <f>1-(1-Skills!J29/100)^Skills!K29</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Skills!A30</f>
        <v/>
      </c>
      <c r="B1061">
        <f>Skills!B30</f>
        <v/>
      </c>
      <c r="C1061">
        <f>Inputs!$B$3&gt;=120</f>
        <v/>
      </c>
      <c r="D1061">
        <f>IF(Skills!C30=1,60+Inputs!$B$25+(Inputs!$B$29+1),IF(Skills!C30=2,90+Inputs!$B$26+(Inputs!$B$29+1),IF(Skills!C30=3,120+Inputs!$B$27+(Inputs!$B$29+1),MAX(0,(Inputs!$B$3-100)*3)+Inputs!$B$28+(Inputs!$B$29+1))))</f>
        <v/>
      </c>
      <c r="E1061">
        <f>INDEX(FactorTable!$B$2:$Y$301, MATCH(ROUND(MIN(300,MAX(1,D1061)),0), FactorTable!$A$2:$A$301,0), Skills!M30+1)</f>
        <v/>
      </c>
      <c r="F1061">
        <f>IF(Skills!N30=TRUE,(Skills!L30/10)*(E1061/1000),Skills!L30/10)+Skills!O30</f>
        <v/>
      </c>
      <c r="G1061">
        <f>Skills!G30*IF(Skills!H30&gt;0,INT(IF(Inputs!$B$38="pvp",MIN(Skills!I30,15),Skills!I30)/Skills!H30+0.000000001),1)</f>
        <v/>
      </c>
      <c r="H1061">
        <f>1-(1-Skills!J30/100)^Skills!K30</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Skills!A31</f>
        <v/>
      </c>
      <c r="B1062">
        <f>Skills!B31</f>
        <v/>
      </c>
      <c r="C1062">
        <f>Inputs!$B$3&gt;=120</f>
        <v/>
      </c>
      <c r="D1062">
        <f>IF(Skills!C31=1,60+Inputs!$B$25+(Inputs!$B$29+1),IF(Skills!C31=2,90+Inputs!$B$26+(Inputs!$B$29+1),IF(Skills!C31=3,120+Inputs!$B$27+(Inputs!$B$29+1),MAX(0,(Inputs!$B$3-100)*3)+Inputs!$B$28+(Inputs!$B$29+1))))</f>
        <v/>
      </c>
      <c r="E1062">
        <f>INDEX(FactorTable!$B$2:$Y$301, MATCH(ROUND(MIN(300,MAX(1,D1062)),0), FactorTable!$A$2:$A$301,0), Skills!M31+1)</f>
        <v/>
      </c>
      <c r="F1062">
        <f>IF(Skills!N31=TRUE,(Skills!L31/10)*(E1062/1000),Skills!L31/10)+Skills!O31</f>
        <v/>
      </c>
      <c r="G1062">
        <f>Skills!G31*IF(Skills!H31&gt;0,INT(IF(Inputs!$B$38="pvp",MIN(Skills!I31,15),Skills!I31)/Skills!H31+0.000000001),1)</f>
        <v/>
      </c>
      <c r="H1062">
        <f>1-(1-Skills!J31/100)^Skills!K31</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Skills!A32</f>
        <v/>
      </c>
      <c r="B1063">
        <f>Skills!B32</f>
        <v/>
      </c>
      <c r="C1063">
        <f>Inputs!$B$3&gt;=45</f>
        <v/>
      </c>
      <c r="D1063">
        <f>IF(Skills!C32=1,60+Inputs!$B$25+(Inputs!$B$29+1),IF(Skills!C32=2,90+Inputs!$B$26+(Inputs!$B$29+1),IF(Skills!C32=3,120+Inputs!$B$27+(Inputs!$B$29+1),MAX(0,(Inputs!$B$3-100)*3)+Inputs!$B$28+(Inputs!$B$29+1))))</f>
        <v/>
      </c>
      <c r="E1063">
        <f>INDEX(FactorTable!$B$2:$Y$301, MATCH(ROUND(MIN(300,MAX(1,D1063)),0), FactorTable!$A$2:$A$301,0), Skills!M32+1)</f>
        <v/>
      </c>
      <c r="F1063">
        <f>IF(Skills!N32=TRUE,(Skills!L32/10)*(E1063/1000),Skills!L32/10)+Skills!O32</f>
        <v/>
      </c>
      <c r="G1063">
        <f>Skills!G32*IF(Skills!H32&gt;0,INT(IF(Inputs!$B$38="pvp",MIN(Skills!I32,15),Skills!I32)/Skills!H32+0.000000001),1)</f>
        <v/>
      </c>
      <c r="H1063">
        <f>1-(1-Skills!J32/100)^Skills!K32</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1052=TRUE)*F1052*IF(AND(Inputs!$B$38&lt;&gt;"pvp",Inputs!$B$43&gt;0),(((R1052-1)*MIN((Skills!T21*(1+Inputs!$B$34/100)),(1/Q1052))+MIN((Skills!T21*(1+Inputs!$B$34/100)),MAX(0,Inputs!$B$43-((R1052-1)*(1/Q1052)))))/Inputs!$B$43),IF(Inputs!$B$38="pvp",MIN((Skills!T21*(1+Inputs!$B$34/100)),15)/15,MIN(1,(Skills!T21*(1+Inputs!$B$34/100))/(1/Q1052)))))</f>
        <v/>
      </c>
    </row>
    <row r="1068">
      <c r="A1068" t="inlineStr">
        <is>
          <t>Actions Per Second</t>
        </is>
      </c>
      <c r="B1068">
        <f>1+MIN(150,150*(1-(1-(Inputs!$B$11+((C1054=TRUE)*(F1054-Calc!F23))+((C1055=TRUE)*(F1055-Calc!F24)))/150)*(1-B1067/150)))/100</f>
        <v/>
      </c>
    </row>
    <row r="1069">
      <c r="A1069" t="inlineStr">
        <is>
          <t>Skill + Buff Cast Rate</t>
        </is>
      </c>
      <c r="B1069">
        <f>IF(AND(Inputs!$B$38&lt;&gt;"pvp",Inputs!$B$43&gt;0),SUMPRODUCT((Skills!E2:E32=TRUE)*(C1033:C1063=TRUE)*R1033:R1063*Skills!F2:F32)/Inputs!$B$43,SUMPRODUCT((Skills!E2:E32=TRUE)*(C1033:C1063=TRUE)*Q1033:Q1063*Skills!F2:F32))</f>
        <v/>
      </c>
    </row>
    <row r="1070">
      <c r="A1070" t="inlineStr">
        <is>
          <t>Arrow Stream Casts Per Second</t>
        </is>
      </c>
      <c r="B1070">
        <f>MAX(0,B1068-B1069)</f>
        <v/>
      </c>
    </row>
    <row r="1071">
      <c r="A1071" t="inlineStr">
        <is>
          <t>Global Critical Damage Bonus % (Sharp Eyes + Concentration)</t>
        </is>
      </c>
      <c r="B1071">
        <f>(C1049=TRUE)*F1049*IF(AND(Inputs!$B$38&lt;&gt;"pvp",Inputs!$B$43&gt;0),(((R1049-1)*MIN((Skills!T18*(1+Inputs!$B$34/100)),(1/Q1049))+MIN((Skills!T18*(1+Inputs!$B$34/100)),MAX(0,Inputs!$B$43-((R1049-1)*(1/Q1049)))))/Inputs!$B$43),IF(Inputs!$B$38="pvp",MIN((Skills!T18*(1+Inputs!$B$34/100)),15)/15,MIN(1,(Skills!T18*(1+Inputs!$B$34/100))/(1/Q1049))))+(C1050=TRUE)*7*F1050</f>
        <v/>
      </c>
    </row>
    <row r="1072">
      <c r="A1072" t="inlineStr">
        <is>
          <t>Global Final Damage Bonus % (Mortal Blow)</t>
        </is>
      </c>
      <c r="B1072">
        <f>(C1051=TRUE)*F1051</f>
        <v/>
      </c>
    </row>
    <row r="1073">
      <c r="A1073" t="inlineStr">
        <is>
          <t>Buff-Casting Startup Delay (s, fixed-duration only)</t>
        </is>
      </c>
      <c r="B1073">
        <f>IF(AND(Inputs!$B$38&lt;&gt;"pvp",Inputs!$B$43&gt;0),SUMPRODUCT((Skills!T2:T32&gt;0)*(Skills!E2:E32=TRUE)*(C1033:C1063=TRUE))/B1068,0)</f>
        <v/>
      </c>
    </row>
    <row r="1074">
      <c r="A1074" t="inlineStr">
        <is>
          <t>Boss-Only Total DPS (this block's swept value)</t>
        </is>
      </c>
      <c r="B1074">
        <f>SUM(T1033:T1063)</f>
        <v/>
      </c>
    </row>
    <row r="1075">
      <c r="A1075" t="inlineStr">
        <is>
          <t>Normal-Only Total DPS (this block's swept value)</t>
        </is>
      </c>
      <c r="B1075">
        <f>SUM(V1033:V1063)</f>
        <v/>
      </c>
    </row>
    <row r="1076">
      <c r="A1076" s="6" t="inlineStr">
        <is>
          <t>TOTAL DPS</t>
        </is>
      </c>
      <c r="B1076" s="6">
        <f>SUM(O1033:O1063)</f>
        <v/>
      </c>
    </row>
    <row r="1079">
      <c r="A1079" s="6" t="inlineStr">
        <is>
          <t>Stat: Flat ATTACK</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Skills!G2*IF(Skills!H2&gt;0,INT(IF(Inputs!$B$38="pvp",MIN(Skills!I2,15),Skills!I2)/Skills!H2+0.000000001),1)</f>
        <v/>
      </c>
      <c r="H1081">
        <f>1-(1-Skills!J2/100)^Skills!K2</f>
        <v/>
      </c>
      <c r="I1081" t="inlineStr">
        <is>
          <t>1</t>
        </is>
      </c>
      <c r="J1081">
        <f>(((Inputs!$B$6+1)*(1+Inputs!$B$7/100))+(((Inputs!$B$12*(1+Inputs!$B$13/100))-(Inputs!$B$12*(1+Inputs!$B$13/100)))+0.25*(Inputs!$B$14-Inputs!$B$14))*(1+Inputs!$B$7/100))*(F1081/100)</f>
        <v/>
      </c>
      <c r="K1081">
        <f>J1081*(1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1105=TRUE)*(F1105-Calc!F26)),(Inputs!$B$23+((C1110=TRUE)*(F1110-Calc!F31))+(IF(ArtifactsInput!$M$15,CHOOSE(ArtifactsInput!$N$15+1,25,30,35,40,45,50)/100*(Inputs!$B$11-Inputs!$B$11),0))))/100+(Inputs!$B$23+((C1110=TRUE)*(F1110-Calc!F31))+(IF(ArtifactsInput!$M$15,CHOOSE(ArtifactsInput!$N$15+1,25,30,35,40,45,50)/100*(Inputs!$B$11-Inputs!$B$11),0)))/100)/2</f>
        <v/>
      </c>
      <c r="M1081">
        <f>L1081*(1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IF(B1124=0,0,O1081/B1124)</f>
        <v/>
      </c>
      <c r="Q1081" t="n">
        <v>0</v>
      </c>
      <c r="R1081" t="n">
        <v>0</v>
      </c>
      <c r="S1081">
        <f>IFERROR(O1081/N1081,0)</f>
        <v/>
      </c>
      <c r="T1081">
        <f>IF(C1081,(Skills!G2*N1081*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f>Skills!G3*IF(Skills!H3&gt;0,INT(IF(Inputs!$B$38="pvp",MIN(Skills!I3,15),Skills!I3)/Skills!H3+0.000000001),1)</f>
        <v/>
      </c>
      <c r="H1082">
        <f>1-(1-Skills!J3/100)^Skills!K3</f>
        <v/>
      </c>
      <c r="I1082" t="inlineStr">
        <is>
          <t>1</t>
        </is>
      </c>
      <c r="J1082">
        <f>(((Inputs!$B$6+1)*(1+Inputs!$B$7/100))+(((Inputs!$B$12*(1+Inputs!$B$13/100))-(Inputs!$B$12*(1+Inputs!$B$13/100)))+0.25*(Inputs!$B$14-Inputs!$B$14))*(1+Inputs!$B$7/100))*(F1082/100)</f>
        <v/>
      </c>
      <c r="K1082">
        <f>J1082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1083=TRUE,F1083,0)/100)*(1+(IF(Skills!A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1105=TRUE)*(F1105-Calc!F26)),(Inputs!$B$23+((C1110=TRUE)*(F1110-Calc!F31))+(IF(ArtifactsInput!$M$15,CHOOSE(ArtifactsInput!$N$15+1,25,30,35,40,45,50)/100*(Inputs!$B$11-Inputs!$B$11),0))))/100+(Inputs!$B$23+((C1110=TRUE)*(F1110-Calc!F31))+(IF(ArtifactsInput!$M$15,CHOOSE(ArtifactsInput!$N$15+1,25,30,35,40,45,50)/100*(Inputs!$B$11-Inputs!$B$11),0)))/100)/2</f>
        <v/>
      </c>
      <c r="M1082">
        <f>L1082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IF(B1124=0,0,O1082/B1124)</f>
        <v/>
      </c>
      <c r="Q1082">
        <f>IFERROR(1/(IF(Inputs!$B$38="pvp",15,MAX(0.1,1/B1116-IF(FALSE=TRUE,Inputs!$B$32,0)))*(1-IF(AND(ArtifactsInput!$M$27,Inputs!$B$4="Chapter Hunt"),CHOOSE(ArtifactsInput!$N$27+1,20,24,28,32,36,40),0)/100)),0)</f>
        <v/>
      </c>
      <c r="R1082">
        <f>IF(AND(Inputs!$B$38&lt;&gt;"pvp",Inputs!$B$43&gt;0),IF(MAX(0,Inputs!$B$43-B1121)&lt;=0,0,(INT(MAX(0,Inputs!$B$43-B1121)/(IF(Inputs!$B$38="pvp",15,MAX(0.1,1/B1116-IF(FALSE=TRUE,Inputs!$B$32,0)))*(1-IF(AND(ArtifactsInput!$M$27,Inputs!$B$4="Chapter Hunt"),CHOOSE(ArtifactsInput!$N$27+1,20,24,28,32,36,40),0)/100)))+1)),0)</f>
        <v/>
      </c>
      <c r="S1082">
        <f>IFERROR(O1082/N1082,0)</f>
        <v/>
      </c>
      <c r="T1082">
        <f>IF(C1082,(H1082*N1082*IF(AND(Inputs!$B$38&lt;&gt;"pvp",Inputs!$B$43&gt;0),((Skills!G3*((R1082-1)*IF(Skills!H3&gt;0,INT(Skills!I3/Skills!H3+0.000000001),1)+IF(Skills!H3&gt;0,INT(MIN(Skills!I3,MAX(0,MAX(0,Inputs!$B$43-B1121)-((R1082-1)*(IF(Inputs!$B$38="pvp",15,MAX(0.1,1/B1116-IF(FALSE=TRUE,Inputs!$B$32,0)))*(1-IF(AND(ArtifactsInput!$M$27,Inputs!$B$4="Chapter Hunt"),CHOOSE(ArtifactsInput!$N$27+1,20,24,28,32,36,40),0)/100)))))/Skills!H3+0.000000001),1)))/Inputs!$B$43),G1082*Q1082)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INDEX(FactorTable!$B$2:$Y$301, MATCH(ROUND(MIN(300,MAX(1,U1081)),0), FactorTable!$A$2:$A$301,0), 22)</f>
        <v/>
      </c>
      <c r="V1082">
        <f>IF(C1082,(H1082*N1082*IF(AND(Inputs!$B$38&lt;&gt;"pvp",Inputs!$B$43&gt;0),((Skills!G3*((R1082-1)*IF(Skills!H3&gt;0,INT(Skills!I3/Skills!H3+0.000000001),1)+IF(Skills!H3&gt;0,INT(MIN(Skills!I3,MAX(0,MAX(0,Inputs!$B$43-B1121)-((R1082-1)*(IF(Inputs!$B$38="pvp",15,MAX(0.1,1/B1116-IF(FALSE=TRUE,Inputs!$B$32,0)))*(1-IF(AND(ArtifactsInput!$M$27,Inputs!$B$4="Chapter Hunt"),CHOOSE(ArtifactsInput!$N$27+1,20,24,28,32,36,40),0)/100)))))/Skills!H3+0.000000001),1)))/Inputs!$B$43),G1082*Q1082))*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T1083" t="inlineStr"/>
      <c r="U1083">
        <f>290*U1082/1000</f>
        <v/>
      </c>
      <c r="V1083" t="inlineStr"/>
    </row>
    <row r="1084">
      <c r="A1084">
        <f>Skills!A5</f>
        <v/>
      </c>
      <c r="B1084">
        <f>Skills!B5</f>
        <v/>
      </c>
      <c r="C1084">
        <f>Inputs!$B$3&gt;=35</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Skills!G5*IF(Skills!H5&gt;0,INT(IF(Inputs!$B$38="pvp",MIN(Skills!I5,15),Skills!I5)/Skills!H5+0.000000001),1)</f>
        <v/>
      </c>
      <c r="H1084">
        <f>1-(1-Skills!J5/100)^Skills!K5</f>
        <v/>
      </c>
      <c r="I1084" t="inlineStr">
        <is>
          <t>1</t>
        </is>
      </c>
      <c r="J1084">
        <f>(((Inputs!$B$6+1)*(1+Inputs!$B$7/100))+(((Inputs!$B$12*(1+Inputs!$B$13/100))-(Inputs!$B$12*(1+Inputs!$B$13/100)))+0.25*(Inputs!$B$14-Inputs!$B$14))*(1+Inputs!$B$7/100))*(F1084/100)</f>
        <v/>
      </c>
      <c r="K1084">
        <f>J1084*(1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5="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1105=TRUE)*(F1105-Calc!F26)),(Inputs!$B$23+((C1110=TRUE)*(F1110-Calc!F31))+(IF(ArtifactsInput!$M$15,CHOOSE(ArtifactsInput!$N$15+1,25,30,35,40,45,50)/100*(Inputs!$B$11-Inputs!$B$11),0))))/100+(Inputs!$B$23+((C1110=TRUE)*(F1110-Calc!F31))+(IF(ArtifactsInput!$M$15,CHOOSE(ArtifactsInput!$N$15+1,25,30,35,40,45,50)/100*(Inputs!$B$11-Inputs!$B$11),0)))/100)/2</f>
        <v/>
      </c>
      <c r="M1084">
        <f>L1084*(1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IF(B1124=0,0,O1084/B1124)</f>
        <v/>
      </c>
      <c r="Q1084">
        <f>IFERROR(1/(IF(Inputs!$B$38="pvp",15,MAX(0.1,Skills!D5-IF(TRUE=TRUE,Inputs!$B$32,0)))*(1-IF(AND(ArtifactsInput!$M$27,Inputs!$B$4="Chapter Hunt"),CHOOSE(ArtifactsInput!$N$27+1,20,24,28,32,36,40),0)/100)),0)</f>
        <v/>
      </c>
      <c r="R1084">
        <f>IF(AND(Inputs!$B$38&lt;&gt;"pvp",Inputs!$B$43&gt;0),IF(MAX(0,Inputs!$B$43-B1121)&lt;=0,0,(INT(MAX(0,Inputs!$B$43-B1121)/(IF(Inputs!$B$38="pvp",15,MAX(0.1,Skills!D5-IF(TRUE=TRUE,Inputs!$B$32,0)))*(1-IF(AND(ArtifactsInput!$M$27,Inputs!$B$4="Chapter Hunt"),CHOOSE(ArtifactsInput!$N$27+1,20,24,28,32,36,40),0)/100)))+1)),0)</f>
        <v/>
      </c>
      <c r="S1084">
        <f>IFERROR(O1084/N1084,0)</f>
        <v/>
      </c>
      <c r="T1084">
        <f>IF(C1084,(H1084*N1084*IF(AND(Inputs!$B$38&lt;&gt;"pvp",Inputs!$B$43&gt;0),((Skills!G5*((R1084-1)*IF(Skills!H5&gt;0,INT(Skills!I5/Skills!H5+0.000000001),1)+IF(Skills!H5&gt;0,INT(MIN(Skills!I5,MAX(0,MAX(0,Inputs!$B$43-B1121)-((R1084-1)*(IF(Inputs!$B$38="pvp",15,MAX(0.1,Skills!D5-IF(TRUE=TRUE,Inputs!$B$32,0)))*(1-IF(AND(ArtifactsInput!$M$27,Inputs!$B$4="Chapter Hunt"),CHOOSE(ArtifactsInput!$N$27+1,20,24,28,32,36,40),0)/100)))))/Skills!H5+0.000000001),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INT(Skills!I5/Skills!H5+0.000000001),1)+IF(Skills!H5&gt;0,INT(MIN(Skills!I5,MAX(0,MAX(0,Inputs!$B$43-B1121)-((R1084-1)*(IF(Inputs!$B$38="pvp",15,MAX(0.1,Skills!D5-IF(TRUE=TRUE,Inputs!$B$32,0)))*(1-IF(AND(ArtifactsInput!$M$27,Inputs!$B$4="Chapter Hunt"),CHOOSE(ArtifactsInput!$N$27+1,20,24,28,32,36,40),0)/100)))))/Skills!H5+0.000000001),1)))/Inputs!$B$43),G1084*Q1084))*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Inputs!$B$3&gt;=40</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Skills!G6*IF(Skills!H6&gt;0,INT(IF(Inputs!$B$38="pvp",MIN(Skills!I6,15),Skills!I6)/Skills!H6+0.000000001),1)</f>
        <v/>
      </c>
      <c r="H1085">
        <f>1-(1-Skills!J6/100)^Skills!K6</f>
        <v/>
      </c>
      <c r="I1085" t="inlineStr">
        <is>
          <t>1</t>
        </is>
      </c>
      <c r="J1085">
        <f>(((Inputs!$B$6+1)*(1+Inputs!$B$7/100))+(((Inputs!$B$12*(1+Inputs!$B$13/100))-(Inputs!$B$12*(1+Inputs!$B$13/100)))+0.25*(Inputs!$B$14-Inputs!$B$14))*(1+Inputs!$B$7/100))*(F1085/100)</f>
        <v/>
      </c>
      <c r="K1085">
        <f>J1085*(1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1086=TRUE,F1086,0)/100)*(1+(IF(Skills!A6="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26)),(Inputs!$B$23+((C1110=TRUE)*(F1110-Calc!F31))+(IF(ArtifactsInput!$M$15,CHOOSE(ArtifactsInput!$N$15+1,25,30,35,40,45,50)/100*(Inputs!$B$11-Inputs!$B$11),0))))/100+(Inputs!$B$23+((C1110=TRUE)*(F1110-Calc!F31))+(IF(ArtifactsInput!$M$15,CHOOSE(ArtifactsInput!$N$15+1,25,30,35,40,45,50)/100*(Inputs!$B$11-Inputs!$B$11),0)))/100)/2</f>
        <v/>
      </c>
      <c r="M1085">
        <f>L1085*(1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f>IFERROR(1/(IF(Inputs!$B$38="pvp",15,MAX(0.1,1-0.4*MIN(1,(B1116-1)/1.5)-IF(FALSE=TRUE,Inputs!$B$32,0)))*(1-IF(AND(ArtifactsInput!$M$27,Inputs!$B$4="Chapter Hunt"),CHOOSE(ArtifactsInput!$N$27+1,20,24,28,32,36,40),0)/100)),0)</f>
        <v/>
      </c>
      <c r="R1085">
        <f>IF(AND(Inputs!$B$38&lt;&gt;"pvp",Inputs!$B$43&gt;0),IF(MAX(0,Inputs!$B$43-B1121)&lt;=0,0,(INT(MAX(0,Inputs!$B$43-B1121)/(IF(Inputs!$B$38="pvp",15,MAX(0.1,1-0.4*MIN(1,(B1116-1)/1.5)-IF(FALSE=TRUE,Inputs!$B$32,0)))*(1-IF(AND(ArtifactsInput!$M$27,Inputs!$B$4="Chapter Hunt"),CHOOSE(ArtifactsInput!$N$27+1,20,24,28,32,36,40),0)/100)))+1)),0)</f>
        <v/>
      </c>
      <c r="S1085">
        <f>IFERROR(O1085/N1085,0)</f>
        <v/>
      </c>
      <c r="T1085">
        <f>IF(C1085,(H1085*N1085*IF(AND(Inputs!$B$38&lt;&gt;"pvp",Inputs!$B$43&gt;0),((Skills!G6*((R1085-1)*IF(Skills!H6&gt;0,INT(Skills!I6/Skills!H6+0.000000001),1)+IF(Skills!H6&gt;0,INT(MIN(Skills!I6,MAX(0,MAX(0,Inputs!$B$43-B1121)-((R1085-1)*(IF(Inputs!$B$38="pvp",15,MAX(0.1,1-0.4*MIN(1,(B1116-1)/1.5)-IF(FALSE=TRUE,Inputs!$B$32,0)))*(1-IF(AND(ArtifactsInput!$M$27,Inputs!$B$4="Chapter Hunt"),CHOOSE(ArtifactsInput!$N$27+1,20,24,28,32,36,40),0)/100)))))/Skills!H6+0.000000001),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INT(Skills!I6/Skills!H6+0.000000001),1)+IF(Skills!H6&gt;0,INT(MIN(Skills!I6,MAX(0,MAX(0,Inputs!$B$43-B1121)-((R1085-1)*(IF(Inputs!$B$38="pvp",15,MAX(0.1,1-0.4*MIN(1,(B1116-1)/1.5)-IF(FALSE=TRUE,Inputs!$B$32,0)))*(1-IF(AND(ArtifactsInput!$M$27,Inputs!$B$4="Chapter Hunt"),CHOOSE(ArtifactsInput!$N$27+1,20,24,28,32,36,40),0)/100)))))/Skills!H6+0.000000001),1)))/Inputs!$B$43),G1085*Q1085))*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V1086" t="inlineStr"/>
    </row>
    <row r="1087">
      <c r="A1087">
        <f>Skills!A8</f>
        <v/>
      </c>
      <c r="B1087">
        <f>Skills!B8</f>
        <v/>
      </c>
      <c r="C1087">
        <f>Inputs!$B$3&gt;=130</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Skills!G8*IF(Skills!H8&gt;0,INT(IF(Inputs!$B$38="pvp",MIN(Skills!I8,15),Skills!I8)/Skills!H8+0.000000001),1)</f>
        <v/>
      </c>
      <c r="H1087">
        <f>1-(1-Skills!J8/100)^Skills!K8</f>
        <v/>
      </c>
      <c r="I1087" t="inlineStr">
        <is>
          <t>1</t>
        </is>
      </c>
      <c r="J1087">
        <f>(((Inputs!$B$6+1)*(1+Inputs!$B$7/100))+(((Inputs!$B$12*(1+Inputs!$B$13/100))-(Inputs!$B$12*(1+Inputs!$B$13/100)))+0.25*(Inputs!$B$14-Inputs!$B$14))*(1+Inputs!$B$7/100))*(F1087/100)</f>
        <v/>
      </c>
      <c r="K1087">
        <f>J1087*(1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26)),(Inputs!$B$23+((C1110=TRUE)*(F1110-Calc!F31))+(IF(ArtifactsInput!$M$15,CHOOSE(ArtifactsInput!$N$15+1,25,30,35,40,45,50)/100*(Inputs!$B$11-Inputs!$B$11),0))))/100+(Inputs!$B$23+((C1110=TRUE)*(F1110-Calc!F31))+(IF(ArtifactsInput!$M$15,CHOOSE(ArtifactsInput!$N$15+1,25,30,35,40,45,50)/100*(Inputs!$B$11-Inputs!$B$11),0)))/100)/2</f>
        <v/>
      </c>
      <c r="M1087">
        <f>L1087*(1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IFERROR(1/(IF(Inputs!$B$38="pvp",15,MAX(0.1,1-0.4*MIN(1,(B1116-1)/1.5)-IF(FALSE=TRUE,Inputs!$B$32,0)))*(1-IF(AND(ArtifactsInput!$M$27,Inputs!$B$4="Chapter Hunt"),CHOOSE(ArtifactsInput!$N$27+1,20,24,28,32,36,40),0)/100)),0)</f>
        <v/>
      </c>
      <c r="R1087">
        <f>IF(AND(Inputs!$B$38&lt;&gt;"pvp",Inputs!$B$43&gt;0),IF(MAX(0,Inputs!$B$43-B1121)&lt;=0,0,(INT(MAX(0,Inputs!$B$43-B1121)/(IF(Inputs!$B$38="pvp",15,MAX(0.1,1-0.4*MIN(1,(B1116-1)/1.5)-IF(FALSE=TRUE,Inputs!$B$32,0)))*(1-IF(AND(ArtifactsInput!$M$27,Inputs!$B$4="Chapter Hunt"),CHOOSE(ArtifactsInput!$N$27+1,20,24,28,32,36,40),0)/100)))+1)),0)</f>
        <v/>
      </c>
      <c r="S1087">
        <f>IFERROR(O1087/N1087,0)</f>
        <v/>
      </c>
      <c r="T1087">
        <f>IF(C1087,(H1087*N1087*IF(AND(Inputs!$B$38&lt;&gt;"pvp",Inputs!$B$43&gt;0),((Skills!G8*((R1087-1)*IF(Skills!H8&gt;0,INT(Skills!I8/Skills!H8+0.000000001),1)+IF(Skills!H8&gt;0,INT(MIN(Skills!I8,MAX(0,MAX(0,Inputs!$B$43-B1121)-((R1087-1)*(IF(Inputs!$B$38="pvp",15,MAX(0.1,1-0.4*MIN(1,(B1116-1)/1.5)-IF(FALSE=TRUE,Inputs!$B$32,0)))*(1-IF(AND(ArtifactsInput!$M$27,Inputs!$B$4="Chapter Hunt"),CHOOSE(ArtifactsInput!$N$27+1,20,24,28,32,36,40),0)/100)))))/Skills!H8+0.000000001),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INT(Skills!I8/Skills!H8+0.000000001),1)+IF(Skills!H8&gt;0,INT(MIN(Skills!I8,MAX(0,MAX(0,Inputs!$B$43-B1121)-((R1087-1)*(IF(Inputs!$B$38="pvp",15,MAX(0.1,1-0.4*MIN(1,(B1116-1)/1.5)-IF(FALSE=TRUE,Inputs!$B$32,0)))*(1-IF(AND(ArtifactsInput!$M$27,Inputs!$B$4="Chapter Hunt"),CHOOSE(ArtifactsInput!$N$27+1,20,24,28,32,36,40),0)/100)))))/Skills!H8+0.000000001),1)))/Inputs!$B$43),G1087*Q1087))*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Skills!G9*IF(Skills!H9&gt;0,INT(IF(Inputs!$B$38="pvp",MIN(Skills!I9,15),Skills!I9)/Skills!H9+0.000000001),1)</f>
        <v/>
      </c>
      <c r="H1088">
        <f>1-(1-Skills!J9/100)^Skills!K9</f>
        <v/>
      </c>
      <c r="I1088" t="inlineStr">
        <is>
          <t>1</t>
        </is>
      </c>
      <c r="J1088">
        <f>(((Inputs!$B$6+1)*(1+Inputs!$B$7/100))+(((Inputs!$B$12*(1+Inputs!$B$13/100))-(Inputs!$B$12*(1+Inputs!$B$13/100)))+0.25*(Inputs!$B$14-Inputs!$B$14))*(1+Inputs!$B$7/100))*(F1088/100)</f>
        <v/>
      </c>
      <c r="K1088">
        <f>J1088*(1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1091=TRUE,F1091,0)/100)*(1+(IF(Skills!A9="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26)),(Inputs!$B$23+((C1110=TRUE)*(F1110-Calc!F31))+(IF(ArtifactsInput!$M$15,CHOOSE(ArtifactsInput!$N$15+1,25,30,35,40,45,50)/100*(Inputs!$B$11-Inputs!$B$11),0))))/100+(Inputs!$B$23+((C1110=TRUE)*(F1110-Calc!F31))+(IF(ArtifactsInput!$M$15,CHOOSE(ArtifactsInput!$N$15+1,25,30,35,40,45,50)/100*(Inputs!$B$11-Inputs!$B$11),0)))/100)/2</f>
        <v/>
      </c>
      <c r="M1088">
        <f>L1088*(1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IFERROR(1/(IF(Inputs!$B$38="pvp",15,MAX(0.1,Skills!D9-IF(TRUE=TRUE,Inputs!$B$32,0)))*(1-IF(AND(ArtifactsInput!$M$27,Inputs!$B$4="Chapter Hunt"),CHOOSE(ArtifactsInput!$N$27+1,20,24,28,32,36,40),0)/100)),0)</f>
        <v/>
      </c>
      <c r="R1088">
        <f>IF(AND(Inputs!$B$38&lt;&gt;"pvp",Inputs!$B$43&gt;0),IF(MAX(0,Inputs!$B$43-B1121)&lt;=0,0,(INT(MAX(0,Inputs!$B$43-B1121)/(IF(Inputs!$B$38="pvp",15,MAX(0.1,Skills!D9-IF(TRUE=TRUE,Inputs!$B$32,0)))*(1-IF(AND(ArtifactsInput!$M$27,Inputs!$B$4="Chapter Hunt"),CHOOSE(ArtifactsInput!$N$27+1,20,24,28,32,36,40),0)/100)))+1)),0)</f>
        <v/>
      </c>
      <c r="S1088">
        <f>IFERROR(O1088/N1088,0)</f>
        <v/>
      </c>
      <c r="T1088">
        <f>IF(C1088,(H1088*N1088*IF(AND(Inputs!$B$38&lt;&gt;"pvp",Inputs!$B$43&gt;0),((Skills!G9*((R1088-1)*IF(Skills!H9&gt;0,INT(Skills!I9/Skills!H9+0.000000001),1)+IF(Skills!H9&gt;0,INT(MIN(Skills!I9,MAX(0,MAX(0,Inputs!$B$43-B1121)-((R1088-1)*(IF(Inputs!$B$38="pvp",15,MAX(0.1,Skills!D9-IF(TRUE=TRUE,Inputs!$B$32,0)))*(1-IF(AND(ArtifactsInput!$M$27,Inputs!$B$4="Chapter Hunt"),CHOOSE(ArtifactsInput!$N$27+1,20,24,28,32,36,40),0)/100)))))/Skills!H9+0.000000001),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INT(Skills!I9/Skills!H9+0.000000001),1)+IF(Skills!H9&gt;0,INT(MIN(Skills!I9,MAX(0,MAX(0,Inputs!$B$43-B1121)-((R1088-1)*(IF(Inputs!$B$38="pvp",15,MAX(0.1,Skills!D9-IF(TRUE=TRUE,Inputs!$B$32,0)))*(1-IF(AND(ArtifactsInput!$M$27,Inputs!$B$4="Chapter Hunt"),CHOOSE(ArtifactsInput!$N$27+1,20,24,28,32,36,40),0)/100)))))/Skills!H9+0.000000001),1)))/Inputs!$B$43),G1088*Q1088))*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Skills!G10*IF(Skills!H10&gt;0,INT(IF(Inputs!$B$38="pvp",MIN(Skills!I10,15),Skills!I10)/Skills!H10+0.000000001),1)</f>
        <v/>
      </c>
      <c r="H1089">
        <f>1-(1-Skills!J10/100)^Skills!K10</f>
        <v/>
      </c>
      <c r="I1089" t="inlineStr">
        <is>
          <t>1</t>
        </is>
      </c>
      <c r="J1089">
        <f>(((Inputs!$B$6+1)*(1+Inputs!$B$7/100))+(((Inputs!$B$12*(1+Inputs!$B$13/100))-(Inputs!$B$12*(1+Inputs!$B$13/100)))+0.25*(Inputs!$B$14-Inputs!$B$14))*(1+Inputs!$B$7/100))*(F1089/100)</f>
        <v/>
      </c>
      <c r="K1089">
        <f>J1089*(1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10="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26)),(Inputs!$B$23+((C1110=TRUE)*(F1110-Calc!F31))+(IF(ArtifactsInput!$M$15,CHOOSE(ArtifactsInput!$N$15+1,25,30,35,40,45,50)/100*(Inputs!$B$11-Inputs!$B$11),0))))/100+(Inputs!$B$23+((C1110=TRUE)*(F1110-Calc!F31))+(IF(ArtifactsInput!$M$15,CHOOSE(ArtifactsInput!$N$15+1,25,30,35,40,45,50)/100*(Inputs!$B$11-Inputs!$B$11),0)))/100)/2</f>
        <v/>
      </c>
      <c r="M1089">
        <f>L1089*(1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IFERROR(1/(IF(Inputs!$B$38="pvp",15,MAX(0.1,Skills!D10-IF(TRUE=TRUE,Inputs!$B$32,0)))*(1-IF(AND(ArtifactsInput!$M$27,Inputs!$B$4="Chapter Hunt"),CHOOSE(ArtifactsInput!$N$27+1,20,24,28,32,36,40),0)/100)),0)</f>
        <v/>
      </c>
      <c r="R1089">
        <f>IF(AND(Inputs!$B$38&lt;&gt;"pvp",Inputs!$B$43&gt;0),IF(MAX(0,Inputs!$B$43-B1121)&lt;=0,0,(INT(MAX(0,Inputs!$B$43-B1121)/(IF(Inputs!$B$38="pvp",15,MAX(0.1,Skills!D10-IF(TRUE=TRUE,Inputs!$B$32,0)))*(1-IF(AND(ArtifactsInput!$M$27,Inputs!$B$4="Chapter Hunt"),CHOOSE(ArtifactsInput!$N$27+1,20,24,28,32,36,40),0)/100)))+1)),0)</f>
        <v/>
      </c>
      <c r="S1089">
        <f>IFERROR(O1089/N1089,0)</f>
        <v/>
      </c>
      <c r="T1089">
        <f>IF(C1089,(H1089*N1089*IF(AND(Inputs!$B$38&lt;&gt;"pvp",Inputs!$B$43&gt;0),((Skills!G10*((R1089-1)*IF(Skills!H10&gt;0,INT(Skills!I10/Skills!H10+0.000000001),1)+IF(Skills!H10&gt;0,INT(MIN(Skills!I10,MAX(0,MAX(0,Inputs!$B$43-B1121)-((R1089-1)*(IF(Inputs!$B$38="pvp",15,MAX(0.1,Skills!D10-IF(TRUE=TRUE,Inputs!$B$32,0)))*(1-IF(AND(ArtifactsInput!$M$27,Inputs!$B$4="Chapter Hunt"),CHOOSE(ArtifactsInput!$N$27+1,20,24,28,32,36,40),0)/100)))))/Skills!H10+0.000000001),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INT(Skills!I10/Skills!H10+0.000000001),1)+IF(Skills!H10&gt;0,INT(MIN(Skills!I10,MAX(0,MAX(0,Inputs!$B$43-B1121)-((R1089-1)*(IF(Inputs!$B$38="pvp",15,MAX(0.1,Skills!D10-IF(TRUE=TRUE,Inputs!$B$32,0)))*(1-IF(AND(ArtifactsInput!$M$27,Inputs!$B$4="Chapter Hunt"),CHOOSE(ArtifactsInput!$N$27+1,20,24,28,32,36,40),0)/100)))))/Skills!H10+0.000000001),1)))/Inputs!$B$43),G1089*Q1089))*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Inputs!$B$3&gt;=103</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Skills!G11*IF(Skills!H11&gt;0,INT(IF(Inputs!$B$38="pvp",MIN(Skills!I11,15),Skills!I11)/Skills!H11+0.000000001),1)</f>
        <v/>
      </c>
      <c r="H1090">
        <f>1-(1-Skills!J11/100)^Skills!K11</f>
        <v/>
      </c>
      <c r="I1090" t="inlineStr">
        <is>
          <t>1</t>
        </is>
      </c>
      <c r="J1090">
        <f>(((Inputs!$B$6+1)*(1+Inputs!$B$7/100))+(((Inputs!$B$12*(1+Inputs!$B$13/100))-(Inputs!$B$12*(1+Inputs!$B$13/100)))+0.25*(Inputs!$B$14-Inputs!$B$14))*(1+Inputs!$B$7/100))*(F1090/100)</f>
        <v/>
      </c>
      <c r="K1090">
        <f>J1090*(1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26)),(Inputs!$B$23+((C1110=TRUE)*(F1110-Calc!F31))+(IF(ArtifactsInput!$M$15,CHOOSE(ArtifactsInput!$N$15+1,25,30,35,40,45,50)/100*(Inputs!$B$11-Inputs!$B$11),0))))/100+(Inputs!$B$23+((C1110=TRUE)*(F1110-Calc!F31))+(IF(ArtifactsInput!$M$15,CHOOSE(ArtifactsInput!$N$15+1,25,30,35,40,45,50)/100*(Inputs!$B$11-Inputs!$B$11),0)))/100)/2</f>
        <v/>
      </c>
      <c r="M1090">
        <f>L1090*(1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IFERROR(1/(IF(Inputs!$B$38="pvp",15,MAX(0.1,Skills!D11-IF(TRUE=TRUE,Inputs!$B$32,0)))*(1-IF(AND(ArtifactsInput!$M$27,Inputs!$B$4="Chapter Hunt"),CHOOSE(ArtifactsInput!$N$27+1,20,24,28,32,36,40),0)/100)),0)</f>
        <v/>
      </c>
      <c r="R1090">
        <f>IF(AND(Inputs!$B$38&lt;&gt;"pvp",Inputs!$B$43&gt;0),IF(MAX(0,Inputs!$B$43-B1121)&lt;=0,0,(INT(MAX(0,Inputs!$B$43-B1121)/(IF(Inputs!$B$38="pvp",15,MAX(0.1,Skills!D11-IF(TRUE=TRUE,Inputs!$B$32,0)))*(1-IF(AND(ArtifactsInput!$M$27,Inputs!$B$4="Chapter Hunt"),CHOOSE(ArtifactsInput!$N$27+1,20,24,28,32,36,40),0)/100)))+1)),0)</f>
        <v/>
      </c>
      <c r="S1090">
        <f>IFERROR(O1090/N1090,0)</f>
        <v/>
      </c>
      <c r="T1090">
        <f>IF(C1090,(H1090*N1090*IF(AND(Inputs!$B$38&lt;&gt;"pvp",Inputs!$B$43&gt;0),((Skills!G11*((R1090-1)*IF(Skills!H11&gt;0,INT(Skills!I11/Skills!H11+0.000000001),1)+IF(Skills!H11&gt;0,INT(MIN(Skills!I11,MAX(0,MAX(0,Inputs!$B$43-B1121)-((R1090-1)*(IF(Inputs!$B$38="pvp",15,MAX(0.1,Skills!D11-IF(TRUE=TRUE,Inputs!$B$32,0)))*(1-IF(AND(ArtifactsInput!$M$27,Inputs!$B$4="Chapter Hunt"),CHOOSE(ArtifactsInput!$N$27+1,20,24,28,32,36,40),0)/100)))))/Skills!H11+0.000000001)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INT(Skills!I11/Skills!H11+0.000000001),1)+IF(Skills!H11&gt;0,INT(MIN(Skills!I11,MAX(0,MAX(0,Inputs!$B$43-B1121)-((R1090-1)*(IF(Inputs!$B$38="pvp",15,MAX(0.1,Skills!D11-IF(TRUE=TRUE,Inputs!$B$32,0)))*(1-IF(AND(ArtifactsInput!$M$27,Inputs!$B$4="Chapter Hunt"),CHOOSE(ArtifactsInput!$N$27+1,20,24,28,32,36,40),0)/100)))))/Skills!H11+0.000000001),1)))/Inputs!$B$43),G1090*Q1090))*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c r="T1091" t="inlineStr"/>
      <c r="V1091" t="inlineStr"/>
    </row>
    <row r="1092">
      <c r="A1092">
        <f>Skills!A13</f>
        <v/>
      </c>
      <c r="B1092">
        <f>Skills!B13</f>
        <v/>
      </c>
      <c r="C1092">
        <f>Inputs!$B$3&gt;=60</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Skills!G13*IF(Skills!H13&gt;0,INT(IF(Inputs!$B$38="pvp",MIN(Skills!I13,15),Skills!I13)/Skills!H13+0.000000001),1)</f>
        <v/>
      </c>
      <c r="H1092">
        <f>1-(1-Skills!J13/100)^Skills!K13</f>
        <v/>
      </c>
      <c r="I1092" t="inlineStr">
        <is>
          <t>1</t>
        </is>
      </c>
      <c r="J1092">
        <f>(((Inputs!$B$6+1)*(1+Inputs!$B$7/100))+(((Inputs!$B$12*(1+Inputs!$B$13/100))-(Inputs!$B$12*(1+Inputs!$B$13/100)))+0.25*(Inputs!$B$14-Inputs!$B$14))*(1+Inputs!$B$7/100))*(F1092/100)</f>
        <v/>
      </c>
      <c r="K1092">
        <f>J1092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1093=TRUE,F1093,0)/100)*(1+(IF(Skills!A13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26)),(Inputs!$B$23+((C1110=TRUE)*(F1110-Calc!F31))+(IF(ArtifactsInput!$M$15,CHOOSE(ArtifactsInput!$N$15+1,25,30,35,40,45,50)/100*(Inputs!$B$11-Inputs!$B$11),0))))/100+(Inputs!$B$23+((C1110=TRUE)*(F1110-Calc!F31))+(IF(ArtifactsInput!$M$15,CHOOSE(ArtifactsInput!$N$15+1,25,30,35,40,45,50)/100*(Inputs!$B$11-Inputs!$B$11),0)))/100)/2</f>
        <v/>
      </c>
      <c r="M1092">
        <f>L1092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IFERROR(1/(IF(Inputs!$B$38="pvp",15,MAX(0.1,IF(Inputs!$B$3&gt;=122,3,5)+1/(((20+30*(B1116-1)*100/150)/100)*B1116)-IF(FALSE=TRUE,Inputs!$B$32,0)))*(1-IF(AND(ArtifactsInput!$M$27,Inputs!$B$4="Chapter Hunt"),CHOOSE(ArtifactsInput!$N$27+1,20,24,28,32,36,40),0)/100)),0)</f>
        <v/>
      </c>
      <c r="R1092">
        <f>IF(AND(Inputs!$B$38&lt;&gt;"pvp",Inputs!$B$43&gt;0),IF(MAX(0,Inputs!$B$43-B1121)&lt;=0,0,(INT(MAX(0,Inputs!$B$43-B1121)/(IF(Inputs!$B$38="pvp",15,MAX(0.1,IF(Inputs!$B$3&gt;=122,3,5)+1/(((20+30*(B1116-1)*100/150)/100)*B1116)-IF(FALSE=TRUE,Inputs!$B$32,0)))*(1-IF(AND(ArtifactsInput!$M$27,Inputs!$B$4="Chapter Hunt"),CHOOSE(ArtifactsInput!$N$27+1,20,24,28,32,36,40),0)/100)))+1)),0)</f>
        <v/>
      </c>
      <c r="S1092">
        <f>IFERROR(O1092/N1092,0)</f>
        <v/>
      </c>
      <c r="T1092">
        <f>IF(C1092,(H1092*N1092*IF(AND(Inputs!$B$38&lt;&gt;"pvp",Inputs!$B$43&gt;0),((Skills!G13*((R1092-1)*IF(Skills!H13&gt;0,INT(Skills!I13/Skills!H13+0.000000001),1)+IF(Skills!H13&gt;0,INT(MIN(Skills!I13,MAX(0,MAX(0,Inputs!$B$43-B1121)-((R1092-1)*(IF(Inputs!$B$38="pvp",15,MAX(0.1,IF(Inputs!$B$3&gt;=122,3,5)+1/(((20+30*(B1116-1)*100/150)/100)*B1116)-IF(FALSE=TRUE,Inputs!$B$32,0)))*(1-IF(AND(ArtifactsInput!$M$27,Inputs!$B$4="Chapter Hunt"),CHOOSE(ArtifactsInput!$N$27+1,20,24,28,32,36,40),0)/100)))))/Skills!H13+0.000000001),1)))/Inputs!$B$43),G1092*Q1092)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13*((R1092-1)*IF(Skills!H13&gt;0,INT(Skills!I13/Skills!H13+0.000000001),1)+IF(Skills!H13&gt;0,INT(MIN(Skills!I13,MAX(0,MAX(0,Inputs!$B$43-B1121)-((R1092-1)*(IF(Inputs!$B$38="pvp",15,MAX(0.1,IF(Inputs!$B$3&gt;=122,3,5)+1/(((20+30*(B1116-1)*100/150)/100)*B1116)-IF(FALSE=TRUE,Inputs!$B$32,0)))*(1-IF(AND(ArtifactsInput!$M$27,Inputs!$B$4="Chapter Hunt"),CHOOSE(ArtifactsInput!$N$27+1,20,24,28,32,36,40),0)/100)))))/Skills!H13+0.000000001),1)))/Inputs!$B$43),G1092*Q1092))*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Skills!A14</f>
        <v/>
      </c>
      <c r="B1093">
        <f>Skills!B14</f>
        <v/>
      </c>
      <c r="C1093">
        <f>Inputs!$B$3&gt;=110</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T1093" t="inlineStr"/>
      <c r="V1093" t="inlineStr"/>
    </row>
    <row r="1094">
      <c r="A1094">
        <f>Skills!A15</f>
        <v/>
      </c>
      <c r="B1094">
        <f>Skills!B15</f>
        <v/>
      </c>
      <c r="C1094">
        <f>Inputs!$B$3&gt;=74</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Skills!G15*IF(Skills!H15&gt;0,INT(IF(Inputs!$B$38="pvp",MIN(Skills!I15,15),Skills!I15)/Skills!H15+0.000000001),1)</f>
        <v/>
      </c>
      <c r="H1094">
        <f>1-(1-Skills!J15/100)^Skills!K15</f>
        <v/>
      </c>
      <c r="I1094" t="inlineStr">
        <is>
          <t>1</t>
        </is>
      </c>
      <c r="J1094" t="inlineStr"/>
      <c r="K1094" t="inlineStr"/>
      <c r="L1094" t="inlineStr"/>
      <c r="M1094" t="inlineStr"/>
      <c r="N1094" t="inlineStr"/>
      <c r="O1094">
        <f>(1-Summary!$B$11)*T1094+Summary!$B$11*V1094</f>
        <v/>
      </c>
      <c r="P1094">
        <f>IF(B1124=0,0,O1094/B1124)</f>
        <v/>
      </c>
      <c r="Q1094" t="n">
        <v>0</v>
      </c>
      <c r="R1094" t="n">
        <v>0</v>
      </c>
      <c r="S1094">
        <f>IFERROR(O1094/N1094,0)</f>
        <v/>
      </c>
      <c r="T1094" t="n">
        <v>0</v>
      </c>
      <c r="V1094" t="n">
        <v>0</v>
      </c>
    </row>
    <row r="1095">
      <c r="A1095">
        <f>Skills!A16</f>
        <v/>
      </c>
      <c r="B1095">
        <f>Skills!B16</f>
        <v/>
      </c>
      <c r="C1095">
        <f>Inputs!$B$3&gt;=74</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Skills!G16*IF(Skills!H16&gt;0,INT(IF(Inputs!$B$38="pvp",MIN(Skills!I16,15),Skills!I16)/Skills!H16+0.000000001),1)</f>
        <v/>
      </c>
      <c r="H1095">
        <f>1-(1-Skills!J16/100)^Skills!K16</f>
        <v/>
      </c>
      <c r="I1095" t="inlineStr">
        <is>
          <t>1</t>
        </is>
      </c>
      <c r="J1095" t="inlineStr"/>
      <c r="K1095" t="inlineStr"/>
      <c r="L1095" t="inlineStr"/>
      <c r="M1095" t="inlineStr"/>
      <c r="N1095" t="inlineStr"/>
      <c r="O1095">
        <f>(1-Summary!$B$11)*T1095+Summary!$B$11*V1095</f>
        <v/>
      </c>
      <c r="P1095">
        <f>IF(B1124=0,0,O1095/B1124)</f>
        <v/>
      </c>
      <c r="Q1095" t="n">
        <v>0</v>
      </c>
      <c r="R1095" t="n">
        <v>0</v>
      </c>
      <c r="S1095">
        <f>IFERROR(O1095/N1095,0)</f>
        <v/>
      </c>
      <c r="T1095" t="n">
        <v>0</v>
      </c>
      <c r="V1095" t="n">
        <v>0</v>
      </c>
    </row>
    <row r="1096">
      <c r="A1096">
        <f>Skills!A17</f>
        <v/>
      </c>
      <c r="B1096">
        <f>Skills!B17</f>
        <v/>
      </c>
      <c r="C1096">
        <f>Inputs!$B$3&gt;=117</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Skills!G17*IF(Skills!H17&gt;0,INT(IF(Inputs!$B$38="pvp",MIN(Skills!I17,15),Skills!I17)/Skills!H17+0.000000001),1)</f>
        <v/>
      </c>
      <c r="H1096">
        <f>1-(1-Skills!J17/100)^Skills!K17</f>
        <v/>
      </c>
      <c r="I1096" t="inlineStr">
        <is>
          <t>1</t>
        </is>
      </c>
      <c r="J1096" t="inlineStr"/>
      <c r="K1096" t="inlineStr"/>
      <c r="L1096" t="inlineStr"/>
      <c r="M1096" t="inlineStr"/>
      <c r="N1096" t="inlineStr"/>
      <c r="O1096">
        <f>(1-Summary!$B$11)*T1096+Summary!$B$11*V1096</f>
        <v/>
      </c>
      <c r="P1096">
        <f>IF(B1124=0,0,O1096/B1124)</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Skills!G18*IF(Skills!H18&gt;0,INT(IF(Inputs!$B$38="pvp",MIN(Skills!I18,15),Skills!I18)/Skills!H18+0.000000001),1)</f>
        <v/>
      </c>
      <c r="H1097">
        <f>1-(1-Skills!J18/100)^Skills!K18</f>
        <v/>
      </c>
      <c r="I1097" t="inlineStr">
        <is>
          <t>1</t>
        </is>
      </c>
      <c r="J1097" t="inlineStr"/>
      <c r="K1097" t="inlineStr"/>
      <c r="L1097" t="inlineStr"/>
      <c r="M1097" t="inlineStr"/>
      <c r="N1097" t="inlineStr"/>
      <c r="O1097">
        <f>(1-Summary!$B$11)*T1097+Summary!$B$11*V1097</f>
        <v/>
      </c>
      <c r="P1097">
        <f>IF(B1124=0,0,O1097/B1124)</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Inputs!$B$3&gt;=66</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Skills!G19*IF(Skills!H19&gt;0,INT(IF(Inputs!$B$38="pvp",MIN(Skills!I19,15),Skills!I19)/Skills!H19+0.000000001),1)</f>
        <v/>
      </c>
      <c r="H1098">
        <f>1-(1-Skills!J19/100)^Skills!K19</f>
        <v/>
      </c>
      <c r="I1098" t="inlineStr">
        <is>
          <t>1</t>
        </is>
      </c>
      <c r="J1098" t="inlineStr"/>
      <c r="K1098" t="inlineStr"/>
      <c r="L1098" t="inlineStr"/>
      <c r="M1098" t="inlineStr"/>
      <c r="N1098" t="inlineStr"/>
      <c r="O1098">
        <f>(1-Summary!$B$11)*T1098+Summary!$B$11*V1098</f>
        <v/>
      </c>
      <c r="P1098">
        <f>IF(B1124=0,0,O1098/B1124)</f>
        <v/>
      </c>
      <c r="Q1098" t="n">
        <v>0</v>
      </c>
      <c r="R1098" t="n">
        <v>0</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Skills!G20*IF(Skills!H20&gt;0,INT(IF(Inputs!$B$38="pvp",MIN(Skills!I20,15),Skills!I20)/Skills!H20+0.000000001),1)</f>
        <v/>
      </c>
      <c r="H1099">
        <f>1-(1-Skills!J20/100)^Skills!K20</f>
        <v/>
      </c>
      <c r="I1099" t="inlineStr">
        <is>
          <t>1</t>
        </is>
      </c>
      <c r="J1099" t="inlineStr"/>
      <c r="K1099" t="inlineStr"/>
      <c r="L1099" t="inlineStr"/>
      <c r="M1099" t="inlineStr"/>
      <c r="N1099" t="inlineStr"/>
      <c r="O1099">
        <f>(1-Summary!$B$11)*T1099+Summary!$B$11*V1099</f>
        <v/>
      </c>
      <c r="P1099">
        <f>IF(B1124=0,0,O1099/B1124)</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Skills!G21*IF(Skills!H21&gt;0,INT(IF(Inputs!$B$38="pvp",MIN(Skills!I21,15),Skills!I21)/Skills!H21+0.000000001),1)</f>
        <v/>
      </c>
      <c r="H1100">
        <f>1-(1-Skills!J21/100)^Skills!K21</f>
        <v/>
      </c>
      <c r="I1100" t="inlineStr">
        <is>
          <t>1</t>
        </is>
      </c>
      <c r="J1100" t="inlineStr"/>
      <c r="K1100" t="inlineStr"/>
      <c r="L1100" t="inlineStr"/>
      <c r="M1100" t="inlineStr"/>
      <c r="N1100" t="inlineStr"/>
      <c r="O1100">
        <f>(1-Summary!$B$11)*T1100+Summary!$B$11*V1100</f>
        <v/>
      </c>
      <c r="P1100">
        <f>IF(B1124=0,0,O1100/B1124)</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Inputs!$B$3&gt;=15</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Skills!G22*IF(Skills!H22&gt;0,INT(IF(Inputs!$B$38="pvp",MIN(Skills!I22,15),Skills!I22)/Skills!H22+0.000000001),1)</f>
        <v/>
      </c>
      <c r="H1101">
        <f>1-(1-Skills!J22/100)^Skills!K22</f>
        <v/>
      </c>
      <c r="I1101" t="inlineStr">
        <is>
          <t>1</t>
        </is>
      </c>
      <c r="J1101" t="inlineStr"/>
      <c r="K1101" t="inlineStr"/>
      <c r="L1101" t="inlineStr"/>
      <c r="M1101" t="inlineStr"/>
      <c r="N1101" t="inlineStr"/>
      <c r="O1101">
        <f>(1-Summary!$B$11)*T1101+Summary!$B$11*V1101</f>
        <v/>
      </c>
      <c r="P1101">
        <f>IF(B1124=0,0,O1101/B1124)</f>
        <v/>
      </c>
      <c r="Q1101" t="n">
        <v>0</v>
      </c>
      <c r="R1101" t="n">
        <v>0</v>
      </c>
      <c r="S1101">
        <f>IFERROR(O1101/N1101,0)</f>
        <v/>
      </c>
      <c r="T1101" t="n">
        <v>0</v>
      </c>
      <c r="V1101" t="n">
        <v>0</v>
      </c>
    </row>
    <row r="1102">
      <c r="A1102">
        <f>Skills!A23</f>
        <v/>
      </c>
      <c r="B1102">
        <f>Skills!B23</f>
        <v/>
      </c>
      <c r="C1102">
        <f>Inputs!$B$3&gt;=10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Skills!G23*IF(Skills!H23&gt;0,INT(IF(Inputs!$B$38="pvp",MIN(Skills!I23,15),Skills!I23)/Skills!H23+0.000000001),1)</f>
        <v/>
      </c>
      <c r="H1102">
        <f>1-(1-Skills!J23/100)^Skills!K23</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Skills!A24</f>
        <v/>
      </c>
      <c r="B1103">
        <f>Skills!B24</f>
        <v/>
      </c>
      <c r="C1103">
        <f>Inputs!$B$3&gt;=33</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Skills!G24*IF(Skills!H24&gt;0,INT(IF(Inputs!$B$38="pvp",MIN(Skills!I24,15),Skills!I24)/Skills!H24+0.000000001),1)</f>
        <v/>
      </c>
      <c r="H1103">
        <f>1-(1-Skills!J24/100)^Skills!K24</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Skills!A25</f>
        <v/>
      </c>
      <c r="B1104">
        <f>Skills!B25</f>
        <v/>
      </c>
      <c r="C1104">
        <f>Inputs!$B$3&gt;=38</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Skills!G25*IF(Skills!H25&gt;0,INT(IF(Inputs!$B$38="pvp",MIN(Skills!I25,15),Skills!I25)/Skills!H25+0.000000001),1)</f>
        <v/>
      </c>
      <c r="H1104">
        <f>1-(1-Skills!J25/100)^Skills!K25</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Skills!A26</f>
        <v/>
      </c>
      <c r="B1105">
        <f>Skills!B26</f>
        <v/>
      </c>
      <c r="C1105">
        <f>Inputs!$B$3&gt;=43</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Skills!G26*IF(Skills!H26&gt;0,INT(IF(Inputs!$B$38="pvp",MIN(Skills!I26,15),Skills!I26)/Skills!H26+0.000000001),1)</f>
        <v/>
      </c>
      <c r="H1105">
        <f>1-(1-Skills!J26/100)^Skills!K26</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Skills!A27</f>
        <v/>
      </c>
      <c r="B1106">
        <f>Skills!B27</f>
        <v/>
      </c>
      <c r="C1106">
        <f>Inputs!$B$3&gt;=75</f>
        <v/>
      </c>
      <c r="D1106">
        <f>IF(Skills!C27=1,60+Inputs!$B$25+Inputs!$B$29,IF(Skills!C27=2,90+Inputs!$B$26+Inputs!$B$29,IF(Skills!C27=3,120+Inputs!$B$27+Inputs!$B$29,MAX(0,(Inputs!$B$3-100)*3)+Inputs!$B$28+Inputs!$B$29)))</f>
        <v/>
      </c>
      <c r="E1106">
        <f>INDEX(FactorTable!$B$2:$Y$301, MATCH(ROUND(MIN(300,MAX(1,D1106)),0), FactorTable!$A$2:$A$301,0), Skills!M27+1)</f>
        <v/>
      </c>
      <c r="F1106">
        <f>IF(Skills!N27=TRUE,(Skills!L27/10)*(E1106/1000),Skills!L27/10)+Skills!O27</f>
        <v/>
      </c>
      <c r="G1106">
        <f>Skills!G27*IF(Skills!H27&gt;0,INT(IF(Inputs!$B$38="pvp",MIN(Skills!I27,15),Skills!I27)/Skills!H27+0.000000001),1)</f>
        <v/>
      </c>
      <c r="H1106">
        <f>1-(1-Skills!J27/100)^Skills!K27</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Skills!A28</f>
        <v/>
      </c>
      <c r="B1107">
        <f>Skills!B28</f>
        <v/>
      </c>
      <c r="C1107">
        <f>Inputs!$B$3&gt;=125</f>
        <v/>
      </c>
      <c r="D1107">
        <f>IF(Skills!C28=1,60+Inputs!$B$25+Inputs!$B$29,IF(Skills!C28=2,90+Inputs!$B$26+Inputs!$B$29,IF(Skills!C28=3,120+Inputs!$B$27+Inputs!$B$29,MAX(0,(Inputs!$B$3-100)*3)+Inputs!$B$28+Inputs!$B$29)))</f>
        <v/>
      </c>
      <c r="E1107">
        <f>INDEX(FactorTable!$B$2:$Y$301, MATCH(ROUND(MIN(300,MAX(1,D1107)),0), FactorTable!$A$2:$A$301,0), Skills!M28+1)</f>
        <v/>
      </c>
      <c r="F1107">
        <f>IF(Skills!N28=TRUE,(Skills!L28/10)*(E1107/1000),Skills!L28/10)+Skills!O28</f>
        <v/>
      </c>
      <c r="G1107">
        <f>Skills!G28*IF(Skills!H28&gt;0,INT(IF(Inputs!$B$38="pvp",MIN(Skills!I28,15),Skills!I28)/Skills!H28+0.000000001),1)</f>
        <v/>
      </c>
      <c r="H1107">
        <f>1-(1-Skills!J28/100)^Skills!K28</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Skills!A29</f>
        <v/>
      </c>
      <c r="B1108">
        <f>Skills!B29</f>
        <v/>
      </c>
      <c r="C1108">
        <f>Inputs!$B$3&gt;=125</f>
        <v/>
      </c>
      <c r="D1108">
        <f>IF(Skills!C29=1,60+Inputs!$B$25+Inputs!$B$29,IF(Skills!C29=2,90+Inputs!$B$26+Inputs!$B$29,IF(Skills!C29=3,120+Inputs!$B$27+Inputs!$B$29,MAX(0,(Inputs!$B$3-100)*3)+Inputs!$B$28+Inputs!$B$29)))</f>
        <v/>
      </c>
      <c r="E1108">
        <f>INDEX(FactorTable!$B$2:$Y$301, MATCH(ROUND(MIN(300,MAX(1,D1108)),0), FactorTable!$A$2:$A$301,0), Skills!M29+1)</f>
        <v/>
      </c>
      <c r="F1108">
        <f>IF(Skills!N29=TRUE,(Skills!L29/10)*(E1108/1000),Skills!L29/10)+Skills!O29</f>
        <v/>
      </c>
      <c r="G1108">
        <f>Skills!G29*IF(Skills!H29&gt;0,INT(IF(Inputs!$B$38="pvp",MIN(Skills!I29,15),Skills!I29)/Skills!H29+0.000000001),1)</f>
        <v/>
      </c>
      <c r="H1108">
        <f>1-(1-Skills!J29/100)^Skills!K29</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Skills!A30</f>
        <v/>
      </c>
      <c r="B1109">
        <f>Skills!B30</f>
        <v/>
      </c>
      <c r="C1109">
        <f>Inputs!$B$3&gt;=120</f>
        <v/>
      </c>
      <c r="D1109">
        <f>IF(Skills!C30=1,60+Inputs!$B$25+Inputs!$B$29,IF(Skills!C30=2,90+Inputs!$B$26+Inputs!$B$29,IF(Skills!C30=3,120+Inputs!$B$27+Inputs!$B$29,MAX(0,(Inputs!$B$3-100)*3)+Inputs!$B$28+Inputs!$B$29)))</f>
        <v/>
      </c>
      <c r="E1109">
        <f>INDEX(FactorTable!$B$2:$Y$301, MATCH(ROUND(MIN(300,MAX(1,D1109)),0), FactorTable!$A$2:$A$301,0), Skills!M30+1)</f>
        <v/>
      </c>
      <c r="F1109">
        <f>IF(Skills!N30=TRUE,(Skills!L30/10)*(E1109/1000),Skills!L30/10)+Skills!O30</f>
        <v/>
      </c>
      <c r="G1109">
        <f>Skills!G30*IF(Skills!H30&gt;0,INT(IF(Inputs!$B$38="pvp",MIN(Skills!I30,15),Skills!I30)/Skills!H30+0.000000001),1)</f>
        <v/>
      </c>
      <c r="H1109">
        <f>1-(1-Skills!J30/100)^Skills!K30</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Skills!A31</f>
        <v/>
      </c>
      <c r="B1110">
        <f>Skills!B31</f>
        <v/>
      </c>
      <c r="C1110">
        <f>Inputs!$B$3&gt;=120</f>
        <v/>
      </c>
      <c r="D1110">
        <f>IF(Skills!C31=1,60+Inputs!$B$25+Inputs!$B$29,IF(Skills!C31=2,90+Inputs!$B$26+Inputs!$B$29,IF(Skills!C31=3,120+Inputs!$B$27+Inputs!$B$29,MAX(0,(Inputs!$B$3-100)*3)+Inputs!$B$28+Inputs!$B$29)))</f>
        <v/>
      </c>
      <c r="E1110">
        <f>INDEX(FactorTable!$B$2:$Y$301, MATCH(ROUND(MIN(300,MAX(1,D1110)),0), FactorTable!$A$2:$A$301,0), Skills!M31+1)</f>
        <v/>
      </c>
      <c r="F1110">
        <f>IF(Skills!N31=TRUE,(Skills!L31/10)*(E1110/1000),Skills!L31/10)+Skills!O31</f>
        <v/>
      </c>
      <c r="G1110">
        <f>Skills!G31*IF(Skills!H31&gt;0,INT(IF(Inputs!$B$38="pvp",MIN(Skills!I31,15),Skills!I31)/Skills!H31+0.000000001),1)</f>
        <v/>
      </c>
      <c r="H1110">
        <f>1-(1-Skills!J31/100)^Skills!K31</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Skills!A32</f>
        <v/>
      </c>
      <c r="B1111">
        <f>Skills!B32</f>
        <v/>
      </c>
      <c r="C1111">
        <f>Inputs!$B$3&gt;=45</f>
        <v/>
      </c>
      <c r="D1111">
        <f>IF(Skills!C32=1,60+Inputs!$B$25+Inputs!$B$29,IF(Skills!C32=2,90+Inputs!$B$26+Inputs!$B$29,IF(Skills!C32=3,120+Inputs!$B$27+Inputs!$B$29,MAX(0,(Inputs!$B$3-100)*3)+Inputs!$B$28+Inputs!$B$29)))</f>
        <v/>
      </c>
      <c r="E1111">
        <f>INDEX(FactorTable!$B$2:$Y$301, MATCH(ROUND(MIN(300,MAX(1,D1111)),0), FactorTable!$A$2:$A$301,0), Skills!M32+1)</f>
        <v/>
      </c>
      <c r="F1111">
        <f>IF(Skills!N32=TRUE,(Skills!L32/10)*(E1111/1000),Skills!L32/10)+Skills!O32</f>
        <v/>
      </c>
      <c r="G1111">
        <f>Skills!G32*IF(Skills!H32&gt;0,INT(IF(Inputs!$B$38="pvp",MIN(Skills!I32,15),Skills!I32)/Skills!H32+0.000000001),1)</f>
        <v/>
      </c>
      <c r="H1111">
        <f>1-(1-Skills!J32/100)^Skills!K32</f>
        <v/>
      </c>
      <c r="I1111" t="inlineStr">
        <is>
          <t>1</t>
        </is>
      </c>
      <c r="J1111" t="inlineStr"/>
      <c r="K1111" t="inlineStr"/>
      <c r="L1111" t="inlineStr"/>
      <c r="M1111" t="inlineStr"/>
      <c r="N1111" t="inlineStr"/>
      <c r="O1111">
        <f>(1-Summary!$B$11)*T1111+Summary!$B$11*V1111</f>
        <v/>
      </c>
      <c r="P1111">
        <f>IF(B1124=0,0,O1111/B1124)</f>
        <v/>
      </c>
      <c r="Q1111" t="n">
        <v>0</v>
      </c>
      <c r="R1111" t="n">
        <v>0</v>
      </c>
      <c r="S1111">
        <f>IFERROR(O1111/N1111,0)</f>
        <v/>
      </c>
      <c r="T1111" t="n">
        <v>0</v>
      </c>
      <c r="V1111" t="n">
        <v>0</v>
      </c>
    </row>
    <row r="1113">
      <c r="A1113" t="inlineStr">
        <is>
          <t>Attack% Bucket Multiplier</t>
        </is>
      </c>
      <c r="B1113">
        <f>(1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t>
        </is>
      </c>
      <c r="B1115">
        <f>((C1100=TRUE)*F1100*IF(AND(Inputs!$B$38&lt;&gt;"pvp",Inputs!$B$43&gt;0),(((R1100-1)*MIN((Skills!T21*(1+Inputs!$B$34/100)),(1/Q1100))+MIN((Skills!T21*(1+Inputs!$B$34/100)),MAX(0,Inputs!$B$43-((R1100-1)*(1/Q1100)))))/Inputs!$B$43),IF(Inputs!$B$38="pvp",MIN((Skills!T21*(1+Inputs!$B$34/100)),15)/15,MIN(1,(Skills!T21*(1+Inputs!$B$34/100))/(1/Q1100)))))</f>
        <v/>
      </c>
    </row>
    <row r="1116">
      <c r="A1116" t="inlineStr">
        <is>
          <t>Actions Per Second</t>
        </is>
      </c>
      <c r="B1116">
        <f>1+MIN(150,150*(1-(1-(Inputs!$B$11+((C1102=TRUE)*(F1102-Calc!F23))+((C1103=TRUE)*(F1103-Calc!F24)))/150)*(1-B1115/150)))/100</f>
        <v/>
      </c>
    </row>
    <row r="1117">
      <c r="A1117" t="inlineStr">
        <is>
          <t>Skill + Buff Cast Rate</t>
        </is>
      </c>
      <c r="B1117">
        <f>IF(AND(Inputs!$B$38&lt;&gt;"pvp",Inputs!$B$43&gt;0),SUMPRODUCT((Skills!E2:E32=TRUE)*(C1081:C1111=TRUE)*R1081:R1111*Skills!F2:F32)/Inputs!$B$43,SUMPRODUCT((Skills!E2:E32=TRUE)*(C1081:C1111=TRUE)*Q1081:Q1111*Skills!F2:F32))</f>
        <v/>
      </c>
    </row>
    <row r="1118">
      <c r="A1118" t="inlineStr">
        <is>
          <t>Arrow Stream Casts Per Second</t>
        </is>
      </c>
      <c r="B1118">
        <f>MAX(0,B1116-B1117)</f>
        <v/>
      </c>
    </row>
    <row r="1119">
      <c r="A1119" t="inlineStr">
        <is>
          <t>Global Critical Damage Bonus % (Sharp Eyes + Concentration)</t>
        </is>
      </c>
      <c r="B1119">
        <f>(C1097=TRUE)*F1097*IF(AND(Inputs!$B$38&lt;&gt;"pvp",Inputs!$B$43&gt;0),(((R1097-1)*MIN((Skills!T18*(1+Inputs!$B$34/100)),(1/Q1097))+MIN((Skills!T18*(1+Inputs!$B$34/100)),MAX(0,Inputs!$B$43-((R1097-1)*(1/Q1097)))))/Inputs!$B$43),IF(Inputs!$B$38="pvp",MIN((Skills!T18*(1+Inputs!$B$34/100)),15)/15,MIN(1,(Skills!T18*(1+Inputs!$B$34/100))/(1/Q1097))))+(C1098=TRUE)*7*F1098</f>
        <v/>
      </c>
    </row>
    <row r="1120">
      <c r="A1120" t="inlineStr">
        <is>
          <t>Global Final Damage Bonus % (Mortal Blow)</t>
        </is>
      </c>
      <c r="B1120">
        <f>(C1099=TRUE)*F1099</f>
        <v/>
      </c>
    </row>
    <row r="1121">
      <c r="A1121" t="inlineStr">
        <is>
          <t>Buff-Casting Startup Delay (s, fixed-duration only)</t>
        </is>
      </c>
      <c r="B1121">
        <f>IF(AND(Inputs!$B$38&lt;&gt;"pvp",Inputs!$B$43&gt;0),SUMPRODUCT((Skills!T2:T32&gt;0)*(Skills!E2:E32=TRUE)*(C1081:C1111=TRUE))/B1116,0)</f>
        <v/>
      </c>
    </row>
    <row r="1122">
      <c r="A1122" t="inlineStr">
        <is>
          <t>Boss-Only Total DPS (this block's swept value)</t>
        </is>
      </c>
      <c r="B1122">
        <f>SUM(T1081:T1111)</f>
        <v/>
      </c>
    </row>
    <row r="1123">
      <c r="A1123" t="inlineStr">
        <is>
          <t>Normal-Only Total DPS (this block's swept value)</t>
        </is>
      </c>
      <c r="B1123">
        <f>SUM(V1081:V1111)</f>
        <v/>
      </c>
    </row>
    <row r="1124">
      <c r="A1124" s="6" t="inlineStr">
        <is>
          <t>TOTAL DPS</t>
        </is>
      </c>
      <c r="B1124" s="6">
        <f>SUM(O1081:O1111)</f>
        <v/>
      </c>
    </row>
    <row r="1127">
      <c r="A1127" s="6" t="inlineStr">
        <is>
          <t>Stat: ATTACK %</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Skills!G2*IF(Skills!H2&gt;0,INT(IF(Inputs!$B$38="pvp",MIN(Skills!I2,15),Skills!I2)/Skills!H2+0.000000001),1)</f>
        <v/>
      </c>
      <c r="H1129">
        <f>1-(1-Skills!J2/100)^Skills!K2</f>
        <v/>
      </c>
      <c r="I1129" t="inlineStr">
        <is>
          <t>1</t>
        </is>
      </c>
      <c r="J1129">
        <f>((Inputs!$B$6*(1+(Inputs!$B$7+1)/100))+(((Inputs!$B$12*(1+Inputs!$B$13/100))-(Inputs!$B$12*(1+Inputs!$B$13/100)))+0.25*(Inputs!$B$14-Inputs!$B$14))*(1+(Inputs!$B$7+1)/100))*(F1129/100)</f>
        <v/>
      </c>
      <c r="K1129">
        <f>J1129*(1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1153=TRUE)*(F1153-Calc!F26)),(Inputs!$B$23+((C1158=TRUE)*(F1158-Calc!F31))+(IF(ArtifactsInput!$M$15,CHOOSE(ArtifactsInput!$N$15+1,25,30,35,40,45,50)/100*(Inputs!$B$11-Inputs!$B$11),0))))/100+(Inputs!$B$23+((C1158=TRUE)*(F1158-Calc!F31))+(IF(ArtifactsInput!$M$15,CHOOSE(ArtifactsInput!$N$15+1,25,30,35,40,45,50)/100*(Inputs!$B$11-Inputs!$B$11),0)))/100)/2</f>
        <v/>
      </c>
      <c r="M1129">
        <f>L1129*(1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IF(B1172=0,0,O1129/B1172)</f>
        <v/>
      </c>
      <c r="Q1129" t="n">
        <v>0</v>
      </c>
      <c r="R1129" t="n">
        <v>0</v>
      </c>
      <c r="S1129">
        <f>IFERROR(O1129/N1129,0)</f>
        <v/>
      </c>
      <c r="T1129">
        <f>IF(C1129,(Skills!G2*N1129*B1166)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IF(C1129,(Skills!G2*N1129*B1166)*IF(Inputs!$B$38="pvp",1,(1+(Inputs!$B$21+Skills!Q2+(IF(ArtifactsInput!$M$33,CHOOSE(ArtifactsInput!$N$33+1,30,36,42,48,54,60),0))+(IF(AND(ArtifactsInput!$M$35,Inputs!$B$4&lt;&gt;"Chapter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Inputs!$B$3&gt;=50</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Skills!G3*IF(Skills!H3&gt;0,INT(IF(Inputs!$B$38="pvp",MIN(Skills!I3,15),Skills!I3)/Skills!H3+0.000000001),1)</f>
        <v/>
      </c>
      <c r="H1130">
        <f>1-(1-Skills!J3/100)^Skills!K3</f>
        <v/>
      </c>
      <c r="I1130" t="inlineStr">
        <is>
          <t>1</t>
        </is>
      </c>
      <c r="J1130">
        <f>((Inputs!$B$6*(1+(Inputs!$B$7+1)/100))+(((Inputs!$B$12*(1+Inputs!$B$13/100))-(Inputs!$B$12*(1+Inputs!$B$13/100)))+0.25*(Inputs!$B$14-Inputs!$B$14))*(1+(Inputs!$B$7+1)/100))*(F1130/100)</f>
        <v/>
      </c>
      <c r="K1130">
        <f>J1130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1131=TRUE,F1131,0)/100)*(1+(IF(Skills!A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1153=TRUE)*(F1153-Calc!F26)),(Inputs!$B$23+((C1158=TRUE)*(F1158-Calc!F31))+(IF(ArtifactsInput!$M$15,CHOOSE(ArtifactsInput!$N$15+1,25,30,35,40,45,50)/100*(Inputs!$B$11-Inputs!$B$11),0))))/100+(Inputs!$B$23+((C1158=TRUE)*(F1158-Calc!F31))+(IF(ArtifactsInput!$M$15,CHOOSE(ArtifactsInput!$N$15+1,25,30,35,40,45,50)/100*(Inputs!$B$11-Inputs!$B$11),0)))/100)/2</f>
        <v/>
      </c>
      <c r="M1130">
        <f>L1130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IF(B1172=0,0,O1130/B1172)</f>
        <v/>
      </c>
      <c r="Q1130">
        <f>IFERROR(1/(IF(Inputs!$B$38="pvp",15,MAX(0.1,1/B1164-IF(FALSE=TRUE,Inputs!$B$32,0)))*(1-IF(AND(ArtifactsInput!$M$27,Inputs!$B$4="Chapter Hunt"),CHOOSE(ArtifactsInput!$N$27+1,20,24,28,32,36,40),0)/100)),0)</f>
        <v/>
      </c>
      <c r="R1130">
        <f>IF(AND(Inputs!$B$38&lt;&gt;"pvp",Inputs!$B$43&gt;0),IF(MAX(0,Inputs!$B$43-B1169)&lt;=0,0,(INT(MAX(0,Inputs!$B$43-B1169)/(IF(Inputs!$B$38="pvp",15,MAX(0.1,1/B1164-IF(FALSE=TRUE,Inputs!$B$32,0)))*(1-IF(AND(ArtifactsInput!$M$27,Inputs!$B$4="Chapter Hunt"),CHOOSE(ArtifactsInput!$N$27+1,20,24,28,32,36,40),0)/100)))+1)),0)</f>
        <v/>
      </c>
      <c r="S1130">
        <f>IFERROR(O1130/N1130,0)</f>
        <v/>
      </c>
      <c r="T1130">
        <f>IF(C1130,(H1130*N1130*IF(AND(Inputs!$B$38&lt;&gt;"pvp",Inputs!$B$43&gt;0),((Skills!G3*((R1130-1)*IF(Skills!H3&gt;0,INT(Skills!I3/Skills!H3+0.000000001),1)+IF(Skills!H3&gt;0,INT(MIN(Skills!I3,MAX(0,MAX(0,Inputs!$B$43-B1169)-((R1130-1)*(IF(Inputs!$B$38="pvp",15,MAX(0.1,1/B1164-IF(FALSE=TRUE,Inputs!$B$32,0)))*(1-IF(AND(ArtifactsInput!$M$27,Inputs!$B$4="Chapter Hunt"),CHOOSE(ArtifactsInput!$N$27+1,20,24,28,32,36,40),0)/100)))))/Skills!H3+0.000000001),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INT(Skills!I3/Skills!H3+0.000000001),1)+IF(Skills!H3&gt;0,INT(MIN(Skills!I3,MAX(0,MAX(0,Inputs!$B$43-B1169)-((R1130-1)*(IF(Inputs!$B$38="pvp",15,MAX(0.1,1/B1164-IF(FALSE=TRUE,Inputs!$B$32,0)))*(1-IF(AND(ArtifactsInput!$M$27,Inputs!$B$4="Chapter Hunt"),CHOOSE(ArtifactsInput!$N$27+1,20,24,28,32,36,40),0)/100)))))/Skills!H3+0.000000001),1)))/Inputs!$B$43),G1130*Q1130))*IF(Inputs!$B$38="pvp",1,(1+(Inputs!$B$21+Skills!Q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Inputs!$B$3&gt;=105</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T1131" t="inlineStr"/>
      <c r="U1131">
        <f>290*U1130/1000</f>
        <v/>
      </c>
      <c r="V1131" t="inlineStr"/>
    </row>
    <row r="1132">
      <c r="A1132">
        <f>Skills!A5</f>
        <v/>
      </c>
      <c r="B1132">
        <f>Skills!B5</f>
        <v/>
      </c>
      <c r="C1132">
        <f>Inputs!$B$3&gt;=35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Skills!G5*IF(Skills!H5&gt;0,INT(IF(Inputs!$B$38="pvp",MIN(Skills!I5,15),Skills!I5)/Skills!H5+0.000000001),1)</f>
        <v/>
      </c>
      <c r="H1132">
        <f>1-(1-Skills!J5/100)^Skills!K5</f>
        <v/>
      </c>
      <c r="I1132" t="inlineStr">
        <is>
          <t>1</t>
        </is>
      </c>
      <c r="J1132">
        <f>((Inputs!$B$6*(1+(Inputs!$B$7+1)/100))+(((Inputs!$B$12*(1+Inputs!$B$13/100))-(Inputs!$B$12*(1+Inputs!$B$13/100)))+0.25*(Inputs!$B$14-Inputs!$B$14))*(1+(Inputs!$B$7+1)/100))*(F1132/100)</f>
        <v/>
      </c>
      <c r="K1132">
        <f>J1132*(1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1139=TRUE,F1139,0)/100)*(1+(IF(Skills!A5="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1153=TRUE)*(F1153-Calc!F26)),(Inputs!$B$23+((C1158=TRUE)*(F1158-Calc!F31))+(IF(ArtifactsInput!$M$15,CHOOSE(ArtifactsInput!$N$15+1,25,30,35,40,45,50)/100*(Inputs!$B$11-Inputs!$B$11),0))))/100+(Inputs!$B$23+((C1158=TRUE)*(F1158-Calc!F31))+(IF(ArtifactsInput!$M$15,CHOOSE(ArtifactsInput!$N$15+1,25,30,35,40,45,50)/100*(Inputs!$B$11-Inputs!$B$11),0)))/100)/2</f>
        <v/>
      </c>
      <c r="M1132">
        <f>L1132*(1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IF(B1172=0,0,O1132/B1172)</f>
        <v/>
      </c>
      <c r="Q1132">
        <f>IFERROR(1/(IF(Inputs!$B$38="pvp",15,MAX(0.1,Skills!D5-IF(TRUE=TRUE,Inputs!$B$32,0)))*(1-IF(AND(ArtifactsInput!$M$27,Inputs!$B$4="Chapter Hunt"),CHOOSE(ArtifactsInput!$N$27+1,20,24,28,32,36,40),0)/100)),0)</f>
        <v/>
      </c>
      <c r="R1132">
        <f>IF(AND(Inputs!$B$38&lt;&gt;"pvp",Inputs!$B$43&gt;0),IF(MAX(0,Inputs!$B$43-B1169)&lt;=0,0,(INT(MAX(0,Inputs!$B$43-B1169)/(IF(Inputs!$B$38="pvp",15,MAX(0.1,Skills!D5-IF(TRUE=TRUE,Inputs!$B$32,0)))*(1-IF(AND(ArtifactsInput!$M$27,Inputs!$B$4="Chapter Hunt"),CHOOSE(ArtifactsInput!$N$27+1,20,24,28,32,36,40),0)/100)))+1)),0)</f>
        <v/>
      </c>
      <c r="S1132">
        <f>IFERROR(O1132/N1132,0)</f>
        <v/>
      </c>
      <c r="T1132">
        <f>IF(C1132,(H1132*N1132*IF(AND(Inputs!$B$38&lt;&gt;"pvp",Inputs!$B$43&gt;0),((Skills!G5*((R1132-1)*IF(Skills!H5&gt;0,INT(Skills!I5/Skills!H5+0.000000001),1)+IF(Skills!H5&gt;0,INT(MIN(Skills!I5,MAX(0,MAX(0,Inputs!$B$43-B1169)-((R1132-1)*(IF(Inputs!$B$38="pvp",15,MAX(0.1,Skills!D5-IF(TRUE=TRUE,Inputs!$B$32,0)))*(1-IF(AND(ArtifactsInput!$M$27,Inputs!$B$4="Chapter Hunt"),CHOOSE(ArtifactsInput!$N$27+1,20,24,28,32,36,40),0)/100)))))/Skills!H5+0.000000001),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INT(Skills!I5/Skills!H5+0.000000001),1)+IF(Skills!H5&gt;0,INT(MIN(Skills!I5,MAX(0,MAX(0,Inputs!$B$43-B1169)-((R1132-1)*(IF(Inputs!$B$38="pvp",15,MAX(0.1,Skills!D5-IF(TRUE=TRUE,Inputs!$B$32,0)))*(1-IF(AND(ArtifactsInput!$M$27,Inputs!$B$4="Chapter Hunt"),CHOOSE(ArtifactsInput!$N$27+1,20,24,28,32,36,40),0)/100)))))/Skills!H5+0.000000001),1)))/Inputs!$B$43),G1132*Q1132))*IF(Inputs!$B$38="pvp",1,(1+(Inputs!$B$21+Skills!Q5+(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Inputs!$B$3&gt;=40</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Skills!G6*IF(Skills!H6&gt;0,INT(IF(Inputs!$B$38="pvp",MIN(Skills!I6,15),Skills!I6)/Skills!H6+0.000000001),1)</f>
        <v/>
      </c>
      <c r="H1133">
        <f>1-(1-Skills!J6/100)^Skills!K6</f>
        <v/>
      </c>
      <c r="I1133" t="inlineStr">
        <is>
          <t>1</t>
        </is>
      </c>
      <c r="J1133">
        <f>((Inputs!$B$6*(1+(Inputs!$B$7+1)/100))+(((Inputs!$B$12*(1+Inputs!$B$13/100))-(Inputs!$B$12*(1+Inputs!$B$13/100)))+0.25*(Inputs!$B$14-Inputs!$B$14))*(1+(Inputs!$B$7+1)/100))*(F1133/100)</f>
        <v/>
      </c>
      <c r="K1133">
        <f>J1133*(1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1134=TRUE,F1134,0)/100)*(1+(IF(Skills!A6="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1153=TRUE)*(F1153-Calc!F26)),(Inputs!$B$23+((C1158=TRUE)*(F1158-Calc!F31))+(IF(ArtifactsInput!$M$15,CHOOSE(ArtifactsInput!$N$15+1,25,30,35,40,45,50)/100*(Inputs!$B$11-Inputs!$B$11),0))))/100+(Inputs!$B$23+((C1158=TRUE)*(F1158-Calc!F31))+(IF(ArtifactsInput!$M$15,CHOOSE(ArtifactsInput!$N$15+1,25,30,35,40,45,50)/100*(Inputs!$B$11-Inputs!$B$11),0)))/100)/2</f>
        <v/>
      </c>
      <c r="M1133">
        <f>L1133*(1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IF(B1172=0,0,O1133/B1172)</f>
        <v/>
      </c>
      <c r="Q1133">
        <f>IFERROR(1/(IF(Inputs!$B$38="pvp",15,MAX(0.1,1-0.4*MIN(1,(B1164-1)/1.5)-IF(FALSE=TRUE,Inputs!$B$32,0)))*(1-IF(AND(ArtifactsInput!$M$27,Inputs!$B$4="Chapter Hunt"),CHOOSE(ArtifactsInput!$N$27+1,20,24,28,32,36,40),0)/100)),0)</f>
        <v/>
      </c>
      <c r="R1133">
        <f>IF(AND(Inputs!$B$38&lt;&gt;"pvp",Inputs!$B$43&gt;0),IF(MAX(0,Inputs!$B$43-B1169)&lt;=0,0,(INT(MAX(0,Inputs!$B$43-B1169)/(IF(Inputs!$B$38="pvp",15,MAX(0.1,1-0.4*MIN(1,(B1164-1)/1.5)-IF(FALSE=TRUE,Inputs!$B$32,0)))*(1-IF(AND(ArtifactsInput!$M$27,Inputs!$B$4="Chapter Hunt"),CHOOSE(ArtifactsInput!$N$27+1,20,24,28,32,36,40),0)/100)))+1)),0)</f>
        <v/>
      </c>
      <c r="S1133">
        <f>IFERROR(O1133/N1133,0)</f>
        <v/>
      </c>
      <c r="T1133">
        <f>IF(C1133,(H1133*N1133*IF(AND(Inputs!$B$38&lt;&gt;"pvp",Inputs!$B$43&gt;0),((Skills!G6*((R1133-1)*IF(Skills!H6&gt;0,INT(Skills!I6/Skills!H6+0.000000001),1)+IF(Skills!H6&gt;0,INT(MIN(Skills!I6,MAX(0,MAX(0,Inputs!$B$43-B1169)-((R1133-1)*(IF(Inputs!$B$38="pvp",15,MAX(0.1,1-0.4*MIN(1,(B1164-1)/1.5)-IF(FALSE=TRUE,Inputs!$B$32,0)))*(1-IF(AND(ArtifactsInput!$M$27,Inputs!$B$4="Chapter Hunt"),CHOOSE(ArtifactsInput!$N$27+1,20,24,28,32,36,40),0)/100)))))/Skills!H6+0.000000001),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INT(Skills!I6/Skills!H6+0.000000001),1)+IF(Skills!H6&gt;0,INT(MIN(Skills!I6,MAX(0,MAX(0,Inputs!$B$43-B1169)-((R1133-1)*(IF(Inputs!$B$38="pvp",15,MAX(0.1,1-0.4*MIN(1,(B1164-1)/1.5)-IF(FALSE=TRUE,Inputs!$B$32,0)))*(1-IF(AND(ArtifactsInput!$M$27,Inputs!$B$4="Chapter Hunt"),CHOOSE(ArtifactsInput!$N$27+1,20,24,28,32,36,40),0)/100)))))/Skills!H6+0.000000001),1)))/Inputs!$B$43),G1133*Q1133))*IF(Inputs!$B$38="pvp",1,(1+(Inputs!$B$21+Skills!Q6+(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Inputs!$B$3&gt;=107</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t="inlineStr"/>
      <c r="H1134" t="inlineStr"/>
      <c r="I1134" t="inlineStr">
        <is>
          <t>1</t>
        </is>
      </c>
      <c r="J1134" t="inlineStr"/>
      <c r="K1134" t="inlineStr"/>
      <c r="L1134" t="inlineStr"/>
      <c r="M1134" t="inlineStr"/>
      <c r="N1134" t="inlineStr"/>
      <c r="O1134" t="inlineStr"/>
      <c r="P1134" t="inlineStr"/>
      <c r="Q1134" t="inlineStr"/>
      <c r="R1134" t="inlineStr"/>
      <c r="S1134" t="inlineStr"/>
      <c r="T1134" t="inlineStr"/>
      <c r="V1134" t="inlineStr"/>
    </row>
    <row r="1135">
      <c r="A1135">
        <f>Skills!A8</f>
        <v/>
      </c>
      <c r="B1135">
        <f>Skills!B8</f>
        <v/>
      </c>
      <c r="C1135">
        <f>Inputs!$B$3&gt;=130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Skills!G8*IF(Skills!H8&gt;0,INT(IF(Inputs!$B$38="pvp",MIN(Skills!I8,15),Skills!I8)/Skills!H8+0.000000001),1)</f>
        <v/>
      </c>
      <c r="H1135">
        <f>1-(1-Skills!J8/100)^Skills!K8</f>
        <v/>
      </c>
      <c r="I1135" t="inlineStr">
        <is>
          <t>1</t>
        </is>
      </c>
      <c r="J1135">
        <f>((Inputs!$B$6*(1+(Inputs!$B$7+1)/100))+(((Inputs!$B$12*(1+Inputs!$B$13/100))-(Inputs!$B$12*(1+Inputs!$B$13/100)))+0.25*(Inputs!$B$14-Inputs!$B$14))*(1+(Inputs!$B$7+1)/100))*(F1135/100)</f>
        <v/>
      </c>
      <c r="K1135">
        <f>J1135*(1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1153=TRUE)*(F1153-Calc!F26)),(Inputs!$B$23+((C1158=TRUE)*(F1158-Calc!F31))+(IF(ArtifactsInput!$M$15,CHOOSE(ArtifactsInput!$N$15+1,25,30,35,40,45,50)/100*(Inputs!$B$11-Inputs!$B$11),0))))/100+(Inputs!$B$23+((C1158=TRUE)*(F1158-Calc!F31))+(IF(ArtifactsInput!$M$15,CHOOSE(ArtifactsInput!$N$15+1,25,30,35,40,45,50)/100*(Inputs!$B$11-Inputs!$B$11),0)))/100)/2</f>
        <v/>
      </c>
      <c r="M1135">
        <f>L1135*(1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IF(B1172=0,0,O1135/B1172)</f>
        <v/>
      </c>
      <c r="Q1135">
        <f>IFERROR(1/(IF(Inputs!$B$38="pvp",15,MAX(0.1,1-0.4*MIN(1,(B1164-1)/1.5)-IF(FALSE=TRUE,Inputs!$B$32,0)))*(1-IF(AND(ArtifactsInput!$M$27,Inputs!$B$4="Chapter Hunt"),CHOOSE(ArtifactsInput!$N$27+1,20,24,28,32,36,40),0)/100)),0)</f>
        <v/>
      </c>
      <c r="R1135">
        <f>IF(AND(Inputs!$B$38&lt;&gt;"pvp",Inputs!$B$43&gt;0),IF(MAX(0,Inputs!$B$43-B1169)&lt;=0,0,(INT(MAX(0,Inputs!$B$43-B1169)/(IF(Inputs!$B$38="pvp",15,MAX(0.1,1-0.4*MIN(1,(B1164-1)/1.5)-IF(FALSE=TRUE,Inputs!$B$32,0)))*(1-IF(AND(ArtifactsInput!$M$27,Inputs!$B$4="Chapter Hunt"),CHOOSE(ArtifactsInput!$N$27+1,20,24,28,32,36,40),0)/100)))+1)),0)</f>
        <v/>
      </c>
      <c r="S1135">
        <f>IFERROR(O1135/N1135,0)</f>
        <v/>
      </c>
      <c r="T1135">
        <f>IF(C1135,(H1135*N1135*IF(AND(Inputs!$B$38&lt;&gt;"pvp",Inputs!$B$43&gt;0),((Skills!G8*((R1135-1)*IF(Skills!H8&gt;0,INT(Skills!I8/Skills!H8+0.000000001),1)+IF(Skills!H8&gt;0,INT(MIN(Skills!I8,MAX(0,MAX(0,Inputs!$B$43-B1169)-((R1135-1)*(IF(Inputs!$B$38="pvp",15,MAX(0.1,1-0.4*MIN(1,(B1164-1)/1.5)-IF(FALSE=TRUE,Inputs!$B$32,0)))*(1-IF(AND(ArtifactsInput!$M$27,Inputs!$B$4="Chapter Hunt"),CHOOSE(ArtifactsInput!$N$27+1,20,24,28,32,36,40),0)/100)))))/Skills!H8+0.000000001),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INT(Skills!I8/Skills!H8+0.000000001),1)+IF(Skills!H8&gt;0,INT(MIN(Skills!I8,MAX(0,MAX(0,Inputs!$B$43-B1169)-((R1135-1)*(IF(Inputs!$B$38="pvp",15,MAX(0.1,1-0.4*MIN(1,(B1164-1)/1.5)-IF(FALSE=TRUE,Inputs!$B$32,0)))*(1-IF(AND(ArtifactsInput!$M$27,Inputs!$B$4="Chapter Hunt"),CHOOSE(ArtifactsInput!$N$27+1,20,24,28,32,36,40),0)/100)))))/Skills!H8+0.000000001),1)))/Inputs!$B$43),G1135*Q1135))*IF(Inputs!$B$38="pvp",1,(1+(Inputs!$B$21+Skills!Q8+(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Inputs!$B$3&gt;=69</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Skills!G9*IF(Skills!H9&gt;0,INT(IF(Inputs!$B$38="pvp",MIN(Skills!I9,15),Skills!I9)/Skills!H9+0.000000001),1)</f>
        <v/>
      </c>
      <c r="H1136">
        <f>1-(1-Skills!J9/100)^Skills!K9</f>
        <v/>
      </c>
      <c r="I1136" t="inlineStr">
        <is>
          <t>1</t>
        </is>
      </c>
      <c r="J1136">
        <f>((Inputs!$B$6*(1+(Inputs!$B$7+1)/100))+(((Inputs!$B$12*(1+Inputs!$B$13/100))-(Inputs!$B$12*(1+Inputs!$B$13/100)))+0.25*(Inputs!$B$14-Inputs!$B$14))*(1+(Inputs!$B$7+1)/100))*(F1136/100)</f>
        <v/>
      </c>
      <c r="K1136">
        <f>J1136*(1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1139=TRUE,F1139,0)/100)*(1+(IF(Skills!A9="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1153=TRUE)*(F1153-Calc!F26)),(Inputs!$B$23+((C1158=TRUE)*(F1158-Calc!F31))+(IF(ArtifactsInput!$M$15,CHOOSE(ArtifactsInput!$N$15+1,25,30,35,40,45,50)/100*(Inputs!$B$11-Inputs!$B$11),0))))/100+(Inputs!$B$23+((C1158=TRUE)*(F1158-Calc!F31))+(IF(ArtifactsInput!$M$15,CHOOSE(ArtifactsInput!$N$15+1,25,30,35,40,45,50)/100*(Inputs!$B$11-Inputs!$B$11),0)))/100)/2</f>
        <v/>
      </c>
      <c r="M1136">
        <f>L1136*(1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IF(B1172=0,0,O1136/B1172)</f>
        <v/>
      </c>
      <c r="Q1136">
        <f>IFERROR(1/(IF(Inputs!$B$38="pvp",15,MAX(0.1,Skills!D9-IF(TRUE=TRUE,Inputs!$B$32,0)))*(1-IF(AND(ArtifactsInput!$M$27,Inputs!$B$4="Chapter Hunt"),CHOOSE(ArtifactsInput!$N$27+1,20,24,28,32,36,40),0)/100)),0)</f>
        <v/>
      </c>
      <c r="R1136">
        <f>IF(AND(Inputs!$B$38&lt;&gt;"pvp",Inputs!$B$43&gt;0),IF(MAX(0,Inputs!$B$43-B1169)&lt;=0,0,(INT(MAX(0,Inputs!$B$43-B1169)/(IF(Inputs!$B$38="pvp",15,MAX(0.1,Skills!D9-IF(TRUE=TRUE,Inputs!$B$32,0)))*(1-IF(AND(ArtifactsInput!$M$27,Inputs!$B$4="Chapter Hunt"),CHOOSE(ArtifactsInput!$N$27+1,20,24,28,32,36,40),0)/100)))+1)),0)</f>
        <v/>
      </c>
      <c r="S1136">
        <f>IFERROR(O1136/N1136,0)</f>
        <v/>
      </c>
      <c r="T1136">
        <f>IF(C1136,(H1136*N1136*IF(AND(Inputs!$B$38&lt;&gt;"pvp",Inputs!$B$43&gt;0),((Skills!G9*((R1136-1)*IF(Skills!H9&gt;0,INT(Skills!I9/Skills!H9+0.000000001),1)+IF(Skills!H9&gt;0,INT(MIN(Skills!I9,MAX(0,MAX(0,Inputs!$B$43-B1169)-((R1136-1)*(IF(Inputs!$B$38="pvp",15,MAX(0.1,Skills!D9-IF(TRUE=TRUE,Inputs!$B$32,0)))*(1-IF(AND(ArtifactsInput!$M$27,Inputs!$B$4="Chapter Hunt"),CHOOSE(ArtifactsInput!$N$27+1,20,24,28,32,36,40),0)/100)))))/Skills!H9+0.000000001),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INT(Skills!I9/Skills!H9+0.000000001),1)+IF(Skills!H9&gt;0,INT(MIN(Skills!I9,MAX(0,MAX(0,Inputs!$B$43-B1169)-((R1136-1)*(IF(Inputs!$B$38="pvp",15,MAX(0.1,Skills!D9-IF(TRUE=TRUE,Inputs!$B$32,0)))*(1-IF(AND(ArtifactsInput!$M$27,Inputs!$B$4="Chapter Hunt"),CHOOSE(ArtifactsInput!$N$27+1,20,24,28,32,36,40),0)/100)))))/Skills!H9+0.000000001),1)))/Inputs!$B$43),G1136*Q1136))*IF(Inputs!$B$38="pvp",1,(1+(Inputs!$B$21+Skills!Q9+(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Inputs!$B$3&gt;=63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Skills!G10*IF(Skills!H10&gt;0,INT(IF(Inputs!$B$38="pvp",MIN(Skills!I10,15),Skills!I10)/Skills!H10+0.000000001),1)</f>
        <v/>
      </c>
      <c r="H1137">
        <f>1-(1-Skills!J10/100)^Skills!K10</f>
        <v/>
      </c>
      <c r="I1137" t="inlineStr">
        <is>
          <t>1</t>
        </is>
      </c>
      <c r="J1137">
        <f>((Inputs!$B$6*(1+(Inputs!$B$7+1)/100))+(((Inputs!$B$12*(1+Inputs!$B$13/100))-(Inputs!$B$12*(1+Inputs!$B$13/100)))+0.25*(Inputs!$B$14-Inputs!$B$14))*(1+(Inputs!$B$7+1)/100))*(F1137/100)</f>
        <v/>
      </c>
      <c r="K1137">
        <f>J1137*(1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1139=TRUE,F1139,0)/100)*(1+(IF(Skills!A10="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1153=TRUE)*(F1153-Calc!F26)),(Inputs!$B$23+((C1158=TRUE)*(F1158-Calc!F31))+(IF(ArtifactsInput!$M$15,CHOOSE(ArtifactsInput!$N$15+1,25,30,35,40,45,50)/100*(Inputs!$B$11-Inputs!$B$11),0))))/100+(Inputs!$B$23+((C1158=TRUE)*(F1158-Calc!F31))+(IF(ArtifactsInput!$M$15,CHOOSE(ArtifactsInput!$N$15+1,25,30,35,40,45,50)/100*(Inputs!$B$11-Inputs!$B$11),0)))/100)/2</f>
        <v/>
      </c>
      <c r="M1137">
        <f>L1137*(1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IF(B1172=0,0,O1137/B1172)</f>
        <v/>
      </c>
      <c r="Q1137">
        <f>IFERROR(1/(IF(Inputs!$B$38="pvp",15,MAX(0.1,Skills!D10-IF(TRUE=TRUE,Inputs!$B$32,0)))*(1-IF(AND(ArtifactsInput!$M$27,Inputs!$B$4="Chapter Hunt"),CHOOSE(ArtifactsInput!$N$27+1,20,24,28,32,36,40),0)/100)),0)</f>
        <v/>
      </c>
      <c r="R1137">
        <f>IF(AND(Inputs!$B$38&lt;&gt;"pvp",Inputs!$B$43&gt;0),IF(MAX(0,Inputs!$B$43-B1169)&lt;=0,0,(INT(MAX(0,Inputs!$B$43-B1169)/(IF(Inputs!$B$38="pvp",15,MAX(0.1,Skills!D10-IF(TRUE=TRUE,Inputs!$B$32,0)))*(1-IF(AND(ArtifactsInput!$M$27,Inputs!$B$4="Chapter Hunt"),CHOOSE(ArtifactsInput!$N$27+1,20,24,28,32,36,40),0)/100)))+1)),0)</f>
        <v/>
      </c>
      <c r="S1137">
        <f>IFERROR(O1137/N1137,0)</f>
        <v/>
      </c>
      <c r="T1137">
        <f>IF(C1137,(H1137*N1137*IF(AND(Inputs!$B$38&lt;&gt;"pvp",Inputs!$B$43&gt;0),((Skills!G10*((R1137-1)*IF(Skills!H10&gt;0,INT(Skills!I10/Skills!H10+0.000000001),1)+IF(Skills!H10&gt;0,INT(MIN(Skills!I10,MAX(0,MAX(0,Inputs!$B$43-B1169)-((R1137-1)*(IF(Inputs!$B$38="pvp",15,MAX(0.1,Skills!D10-IF(TRUE=TRUE,Inputs!$B$32,0)))*(1-IF(AND(ArtifactsInput!$M$27,Inputs!$B$4="Chapter Hunt"),CHOOSE(ArtifactsInput!$N$27+1,20,24,28,32,36,40),0)/100)))))/Skills!H10+0.000000001),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INT(Skills!I10/Skills!H10+0.000000001),1)+IF(Skills!H10&gt;0,INT(MIN(Skills!I10,MAX(0,MAX(0,Inputs!$B$43-B1169)-((R1137-1)*(IF(Inputs!$B$38="pvp",15,MAX(0.1,Skills!D10-IF(TRUE=TRUE,Inputs!$B$32,0)))*(1-IF(AND(ArtifactsInput!$M$27,Inputs!$B$4="Chapter Hunt"),CHOOSE(ArtifactsInput!$N$27+1,20,24,28,32,36,40),0)/100)))))/Skills!H10+0.000000001),1)))/Inputs!$B$43),G1137*Q1137))*IF(Inputs!$B$38="pvp",1,(1+(Inputs!$B$21+Skills!Q10+(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Inputs!$B$3&gt;=103</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Skills!G11*IF(Skills!H11&gt;0,INT(IF(Inputs!$B$38="pvp",MIN(Skills!I11,15),Skills!I11)/Skills!H11+0.000000001),1)</f>
        <v/>
      </c>
      <c r="H1138">
        <f>1-(1-Skills!J11/100)^Skills!K11</f>
        <v/>
      </c>
      <c r="I1138" t="inlineStr">
        <is>
          <t>1</t>
        </is>
      </c>
      <c r="J1138">
        <f>((Inputs!$B$6*(1+(Inputs!$B$7+1)/100))+(((Inputs!$B$12*(1+Inputs!$B$13/100))-(Inputs!$B$12*(1+Inputs!$B$13/100)))+0.25*(Inputs!$B$14-Inputs!$B$14))*(1+(Inputs!$B$7+1)/100))*(F1138/100)</f>
        <v/>
      </c>
      <c r="K1138">
        <f>J1138*(1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1153=TRUE)*(F1153-Calc!F26)),(Inputs!$B$23+((C1158=TRUE)*(F1158-Calc!F31))+(IF(ArtifactsInput!$M$15,CHOOSE(ArtifactsInput!$N$15+1,25,30,35,40,45,50)/100*(Inputs!$B$11-Inputs!$B$11),0))))/100+(Inputs!$B$23+((C1158=TRUE)*(F1158-Calc!F31))+(IF(ArtifactsInput!$M$15,CHOOSE(ArtifactsInput!$N$15+1,25,30,35,40,45,50)/100*(Inputs!$B$11-Inputs!$B$11),0)))/100)/2</f>
        <v/>
      </c>
      <c r="M1138">
        <f>L1138*(1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IF(B1172=0,0,O1138/B1172)</f>
        <v/>
      </c>
      <c r="Q1138">
        <f>IFERROR(1/(IF(Inputs!$B$38="pvp",15,MAX(0.1,Skills!D11-IF(TRUE=TRUE,Inputs!$B$32,0)))*(1-IF(AND(ArtifactsInput!$M$27,Inputs!$B$4="Chapter Hunt"),CHOOSE(ArtifactsInput!$N$27+1,20,24,28,32,36,40),0)/100)),0)</f>
        <v/>
      </c>
      <c r="R1138">
        <f>IF(AND(Inputs!$B$38&lt;&gt;"pvp",Inputs!$B$43&gt;0),IF(MAX(0,Inputs!$B$43-B1169)&lt;=0,0,(INT(MAX(0,Inputs!$B$43-B1169)/(IF(Inputs!$B$38="pvp",15,MAX(0.1,Skills!D11-IF(TRUE=TRUE,Inputs!$B$32,0)))*(1-IF(AND(ArtifactsInput!$M$27,Inputs!$B$4="Chapter Hunt"),CHOOSE(ArtifactsInput!$N$27+1,20,24,28,32,36,40),0)/100)))+1)),0)</f>
        <v/>
      </c>
      <c r="S1138">
        <f>IFERROR(O1138/N1138,0)</f>
        <v/>
      </c>
      <c r="T1138">
        <f>IF(C1138,(H1138*N1138*IF(AND(Inputs!$B$38&lt;&gt;"pvp",Inputs!$B$43&gt;0),((Skills!G11*((R1138-1)*IF(Skills!H11&gt;0,INT(Skills!I11/Skills!H11+0.000000001),1)+IF(Skills!H11&gt;0,INT(MIN(Skills!I11,MAX(0,MAX(0,Inputs!$B$43-B1169)-((R1138-1)*(IF(Inputs!$B$38="pvp",15,MAX(0.1,Skills!D11-IF(TRUE=TRUE,Inputs!$B$32,0)))*(1-IF(AND(ArtifactsInput!$M$27,Inputs!$B$4="Chapter Hunt"),CHOOSE(ArtifactsInput!$N$27+1,20,24,28,32,36,40),0)/100)))))/Skills!H11+0.000000001)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INT(Skills!I11/Skills!H11+0.000000001),1)+IF(Skills!H11&gt;0,INT(MIN(Skills!I11,MAX(0,MAX(0,Inputs!$B$43-B1169)-((R1138-1)*(IF(Inputs!$B$38="pvp",15,MAX(0.1,Skills!D11-IF(TRUE=TRUE,Inputs!$B$32,0)))*(1-IF(AND(ArtifactsInput!$M$27,Inputs!$B$4="Chapter Hunt"),CHOOSE(ArtifactsInput!$N$27+1,20,24,28,32,36,40),0)/100)))))/Skills!H11+0.000000001),1)))/Inputs!$B$43),G1138*Q1138))*IF(Inputs!$B$38="pvp",1,(1+(Inputs!$B$21+Skills!Q11+(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c r="T1139" t="inlineStr"/>
      <c r="V1139" t="inlineStr"/>
    </row>
    <row r="1140">
      <c r="A1140">
        <f>Skills!A13</f>
        <v/>
      </c>
      <c r="B1140">
        <f>Skills!B13</f>
        <v/>
      </c>
      <c r="C1140">
        <f>Inputs!$B$3&gt;=60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Skills!G13*IF(Skills!H13&gt;0,INT(IF(Inputs!$B$38="pvp",MIN(Skills!I13,15),Skills!I13)/Skills!H13+0.000000001),1)</f>
        <v/>
      </c>
      <c r="H1140">
        <f>1-(1-Skills!J13/100)^Skills!K13</f>
        <v/>
      </c>
      <c r="I1140" t="inlineStr">
        <is>
          <t>1</t>
        </is>
      </c>
      <c r="J1140">
        <f>((Inputs!$B$6*(1+(Inputs!$B$7+1)/100))+(((Inputs!$B$12*(1+Inputs!$B$13/100))-(Inputs!$B$12*(1+Inputs!$B$13/100)))+0.25*(Inputs!$B$14-Inputs!$B$14))*(1+(Inputs!$B$7+1)/100))*(F1140/100)</f>
        <v/>
      </c>
      <c r="K1140">
        <f>J1140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1141=TRUE,F1141,0)/100)*(1+(IF(Skills!A13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1153=TRUE)*(F1153-Calc!F26)),(Inputs!$B$23+((C1158=TRUE)*(F1158-Calc!F31))+(IF(ArtifactsInput!$M$15,CHOOSE(ArtifactsInput!$N$15+1,25,30,35,40,45,50)/100*(Inputs!$B$11-Inputs!$B$11),0))))/100+(Inputs!$B$23+((C1158=TRUE)*(F1158-Calc!F31))+(IF(ArtifactsInput!$M$15,CHOOSE(ArtifactsInput!$N$15+1,25,30,35,40,45,50)/100*(Inputs!$B$11-Inputs!$B$11),0)))/100)/2</f>
        <v/>
      </c>
      <c r="M1140">
        <f>L1140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IF(B1172=0,0,O1140/B1172)</f>
        <v/>
      </c>
      <c r="Q1140">
        <f>IFERROR(1/(IF(Inputs!$B$38="pvp",15,MAX(0.1,IF(Inputs!$B$3&gt;=122,3,5)+1/(((20+30*(B1164-1)*100/150)/100)*B1164)-IF(FALSE=TRUE,Inputs!$B$32,0)))*(1-IF(AND(ArtifactsInput!$M$27,Inputs!$B$4="Chapter Hunt"),CHOOSE(ArtifactsInput!$N$27+1,20,24,28,32,36,40),0)/100)),0)</f>
        <v/>
      </c>
      <c r="R1140">
        <f>IF(AND(Inputs!$B$38&lt;&gt;"pvp",Inputs!$B$43&gt;0),IF(MAX(0,Inputs!$B$43-B1169)&lt;=0,0,(INT(MAX(0,Inputs!$B$43-B1169)/(IF(Inputs!$B$38="pvp",15,MAX(0.1,IF(Inputs!$B$3&gt;=122,3,5)+1/(((20+30*(B1164-1)*100/150)/100)*B1164)-IF(FALSE=TRUE,Inputs!$B$32,0)))*(1-IF(AND(ArtifactsInput!$M$27,Inputs!$B$4="Chapter Hunt"),CHOOSE(ArtifactsInput!$N$27+1,20,24,28,32,36,40),0)/100)))+1)),0)</f>
        <v/>
      </c>
      <c r="S1140">
        <f>IFERROR(O1140/N1140,0)</f>
        <v/>
      </c>
      <c r="T1140">
        <f>IF(C1140,(H1140*N1140*IF(AND(Inputs!$B$38&lt;&gt;"pvp",Inputs!$B$43&gt;0),((Skills!G13*((R1140-1)*IF(Skills!H13&gt;0,INT(Skills!I13/Skills!H13+0.000000001),1)+IF(Skills!H13&gt;0,INT(MIN(Skills!I13,MAX(0,MAX(0,Inputs!$B$43-B1169)-((R1140-1)*(IF(Inputs!$B$38="pvp",15,MAX(0.1,IF(Inputs!$B$3&gt;=122,3,5)+1/(((20+30*(B1164-1)*100/150)/100)*B1164)-IF(FALSE=TRUE,Inputs!$B$32,0)))*(1-IF(AND(ArtifactsInput!$M$27,Inputs!$B$4="Chapter Hunt"),CHOOSE(ArtifactsInput!$N$27+1,20,24,28,32,36,40),0)/100)))))/Skills!H13+0.000000001),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INT(Skills!I13/Skills!H13+0.000000001),1)+IF(Skills!H13&gt;0,INT(MIN(Skills!I13,MAX(0,MAX(0,Inputs!$B$43-B1169)-((R1140-1)*(IF(Inputs!$B$38="pvp",15,MAX(0.1,IF(Inputs!$B$3&gt;=122,3,5)+1/(((20+30*(B1164-1)*100/150)/100)*B1164)-IF(FALSE=TRUE,Inputs!$B$32,0)))*(1-IF(AND(ArtifactsInput!$M$27,Inputs!$B$4="Chapter Hunt"),CHOOSE(ArtifactsInput!$N$27+1,20,24,28,32,36,40),0)/100)))))/Skills!H13+0.000000001),1)))/Inputs!$B$43),G1140*Q1140))*IF(Inputs!$B$38="pvp",1,(1+(Inputs!$B$21+Skills!Q13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Inputs!$B$3&gt;=110</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V1141" t="inlineStr"/>
    </row>
    <row r="1142">
      <c r="A1142">
        <f>Skills!A15</f>
        <v/>
      </c>
      <c r="B1142">
        <f>Skills!B15</f>
        <v/>
      </c>
      <c r="C1142">
        <f>Inputs!$B$3&gt;=74</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Skills!G15*IF(Skills!H15&gt;0,INT(IF(Inputs!$B$38="pvp",MIN(Skills!I15,15),Skills!I15)/Skills!H15+0.000000001),1)</f>
        <v/>
      </c>
      <c r="H1142">
        <f>1-(1-Skills!J15/100)^Skills!K15</f>
        <v/>
      </c>
      <c r="I1142" t="inlineStr">
        <is>
          <t>1</t>
        </is>
      </c>
      <c r="J1142" t="inlineStr"/>
      <c r="K1142" t="inlineStr"/>
      <c r="L1142" t="inlineStr"/>
      <c r="M1142" t="inlineStr"/>
      <c r="N1142" t="inlineStr"/>
      <c r="O1142">
        <f>(1-Summary!$B$11)*T1142+Summary!$B$11*V1142</f>
        <v/>
      </c>
      <c r="P1142">
        <f>IF(B1172=0,0,O1142/B1172)</f>
        <v/>
      </c>
      <c r="Q1142" t="n">
        <v>0</v>
      </c>
      <c r="R1142" t="n">
        <v>0</v>
      </c>
      <c r="S1142">
        <f>IFERROR(O1142/N1142,0)</f>
        <v/>
      </c>
      <c r="T1142" t="n">
        <v>0</v>
      </c>
      <c r="V1142" t="n">
        <v>0</v>
      </c>
    </row>
    <row r="1143">
      <c r="A1143">
        <f>Skills!A16</f>
        <v/>
      </c>
      <c r="B1143">
        <f>Skills!B16</f>
        <v/>
      </c>
      <c r="C1143">
        <f>Inputs!$B$3&gt;=74</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Skills!G16*IF(Skills!H16&gt;0,INT(IF(Inputs!$B$38="pvp",MIN(Skills!I16,15),Skills!I16)/Skills!H16+0.000000001),1)</f>
        <v/>
      </c>
      <c r="H1143">
        <f>1-(1-Skills!J16/100)^Skills!K16</f>
        <v/>
      </c>
      <c r="I1143" t="inlineStr">
        <is>
          <t>1</t>
        </is>
      </c>
      <c r="J1143" t="inlineStr"/>
      <c r="K1143" t="inlineStr"/>
      <c r="L1143" t="inlineStr"/>
      <c r="M1143" t="inlineStr"/>
      <c r="N1143" t="inlineStr"/>
      <c r="O1143">
        <f>(1-Summary!$B$11)*T1143+Summary!$B$11*V1143</f>
        <v/>
      </c>
      <c r="P1143">
        <f>IF(B1172=0,0,O1143/B1172)</f>
        <v/>
      </c>
      <c r="Q1143" t="n">
        <v>0</v>
      </c>
      <c r="R1143" t="n">
        <v>0</v>
      </c>
      <c r="S1143">
        <f>IFERROR(O1143/N1143,0)</f>
        <v/>
      </c>
      <c r="T1143" t="n">
        <v>0</v>
      </c>
      <c r="V1143" t="n">
        <v>0</v>
      </c>
    </row>
    <row r="1144">
      <c r="A1144">
        <f>Skills!A17</f>
        <v/>
      </c>
      <c r="B1144">
        <f>Skills!B17</f>
        <v/>
      </c>
      <c r="C1144">
        <f>Inputs!$B$3&gt;=117</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Skills!G17*IF(Skills!H17&gt;0,INT(IF(Inputs!$B$38="pvp",MIN(Skills!I17,15),Skills!I17)/Skills!H17+0.000000001),1)</f>
        <v/>
      </c>
      <c r="H1144">
        <f>1-(1-Skills!J17/100)^Skills!K17</f>
        <v/>
      </c>
      <c r="I1144" t="inlineStr">
        <is>
          <t>1</t>
        </is>
      </c>
      <c r="J1144" t="inlineStr"/>
      <c r="K1144" t="inlineStr"/>
      <c r="L1144" t="inlineStr"/>
      <c r="M1144" t="inlineStr"/>
      <c r="N1144" t="inlineStr"/>
      <c r="O1144">
        <f>(1-Summary!$B$11)*T1144+Summary!$B$11*V1144</f>
        <v/>
      </c>
      <c r="P1144">
        <f>IF(B1172=0,0,O1144/B1172)</f>
        <v/>
      </c>
      <c r="Q1144">
        <f>IFERROR(1/(IF(Inputs!$B$38="pvp",15,MAX(0.1,Skills!D17-IF(TRUE=TRUE,Inputs!$B$32,0)))*(1-IF(AND(ArtifactsInput!$M$27,Inputs!$B$4="Chapter Hunt"),CHOOSE(ArtifactsInput!$N$27+1,20,24,28,32,36,40),0)/100)),0)</f>
        <v/>
      </c>
      <c r="R1144">
        <f>IF(AND(Inputs!$B$38&lt;&gt;"pvp",Inputs!$B$43&gt;0),IF(Inputs!$B$43&lt;=0,0,(INT(Inputs!$B$43/(IF(Inputs!$B$38="pvp",15,MAX(0.1,Skills!D17-IF(TRUE=TRUE,Inputs!$B$32,0)))*(1-IF(AND(ArtifactsInput!$M$27,Inputs!$B$4="Chapter Hunt"),CHOOSE(ArtifactsInput!$N$27+1,20,24,28,32,36,40),0)/100)))+1)),0)</f>
        <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Skills!G18*IF(Skills!H18&gt;0,INT(IF(Inputs!$B$38="pvp",MIN(Skills!I18,15),Skills!I18)/Skills!H18+0.000000001),1)</f>
        <v/>
      </c>
      <c r="H1145">
        <f>1-(1-Skills!J18/100)^Skills!K18</f>
        <v/>
      </c>
      <c r="I1145" t="inlineStr">
        <is>
          <t>1</t>
        </is>
      </c>
      <c r="J1145" t="inlineStr"/>
      <c r="K1145" t="inlineStr"/>
      <c r="L1145" t="inlineStr"/>
      <c r="M1145" t="inlineStr"/>
      <c r="N1145" t="inlineStr"/>
      <c r="O1145">
        <f>(1-Summary!$B$11)*T1145+Summary!$B$11*V1145</f>
        <v/>
      </c>
      <c r="P1145">
        <f>IF(B1172=0,0,O1145/B1172)</f>
        <v/>
      </c>
      <c r="Q1145">
        <f>IFERROR(1/(IF(Inputs!$B$38="pvp",15,MAX(0.1,Skills!D18-IF(TRUE=TRUE,Inputs!$B$32,0)))*(1-IF(AND(ArtifactsInput!$M$27,Inputs!$B$4="Chapter Hunt"),CHOOSE(ArtifactsInput!$N$27+1,20,24,28,32,36,40),0)/100)),0)</f>
        <v/>
      </c>
      <c r="R1145">
        <f>IF(AND(Inputs!$B$38&lt;&gt;"pvp",Inputs!$B$43&gt;0),IF(Inputs!$B$43&lt;=0,0,(INT(Inputs!$B$43/(IF(Inputs!$B$38="pvp",15,MAX(0.1,Skills!D18-IF(TRUE=TRUE,Inputs!$B$32,0)))*(1-IF(AND(ArtifactsInput!$M$27,Inputs!$B$4="Chapter Hunt"),CHOOSE(ArtifactsInput!$N$27+1,20,24,28,32,36,40),0)/100)))+1)),0)</f>
        <v/>
      </c>
      <c r="S1145">
        <f>IFERROR(O1145/N1145,0)</f>
        <v/>
      </c>
      <c r="T1145" t="n">
        <v>0</v>
      </c>
      <c r="V1145" t="n">
        <v>0</v>
      </c>
    </row>
    <row r="1146">
      <c r="A1146">
        <f>Skills!A19</f>
        <v/>
      </c>
      <c r="B1146">
        <f>Skills!B19</f>
        <v/>
      </c>
      <c r="C1146">
        <f>Inputs!$B$3&gt;=66</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Skills!G19*IF(Skills!H19&gt;0,INT(IF(Inputs!$B$38="pvp",MIN(Skills!I19,15),Skills!I19)/Skills!H19+0.000000001),1)</f>
        <v/>
      </c>
      <c r="H1146">
        <f>1-(1-Skills!J19/100)^Skills!K19</f>
        <v/>
      </c>
      <c r="I1146" t="inlineStr">
        <is>
          <t>1</t>
        </is>
      </c>
      <c r="J1146" t="inlineStr"/>
      <c r="K1146" t="inlineStr"/>
      <c r="L1146" t="inlineStr"/>
      <c r="M1146" t="inlineStr"/>
      <c r="N1146" t="inlineStr"/>
      <c r="O1146">
        <f>(1-Summary!$B$11)*T1146+Summary!$B$11*V1146</f>
        <v/>
      </c>
      <c r="P1146">
        <f>IF(B1172=0,0,O1146/B1172)</f>
        <v/>
      </c>
      <c r="Q1146" t="n">
        <v>0</v>
      </c>
      <c r="R1146" t="n">
        <v>0</v>
      </c>
      <c r="S1146">
        <f>IFERROR(O1146/N1146,0)</f>
        <v/>
      </c>
      <c r="T1146" t="n">
        <v>0</v>
      </c>
      <c r="V1146" t="n">
        <v>0</v>
      </c>
    </row>
    <row r="1147">
      <c r="A1147">
        <f>Skills!A20</f>
        <v/>
      </c>
      <c r="B1147">
        <f>Skills!B20</f>
        <v/>
      </c>
      <c r="C1147">
        <f>Inputs!$B$3&gt;=72</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Skills!G20*IF(Skills!H20&gt;0,INT(IF(Inputs!$B$38="pvp",MIN(Skills!I20,15),Skills!I20)/Skills!H20+0.000000001),1)</f>
        <v/>
      </c>
      <c r="H1147">
        <f>1-(1-Skills!J20/100)^Skills!K20</f>
        <v/>
      </c>
      <c r="I1147" t="inlineStr">
        <is>
          <t>1</t>
        </is>
      </c>
      <c r="J1147" t="inlineStr"/>
      <c r="K1147" t="inlineStr"/>
      <c r="L1147" t="inlineStr"/>
      <c r="M1147" t="inlineStr"/>
      <c r="N1147" t="inlineStr"/>
      <c r="O1147">
        <f>(1-Summary!$B$11)*T1147+Summary!$B$11*V1147</f>
        <v/>
      </c>
      <c r="P1147">
        <f>IF(B1172=0,0,O1147/B1172)</f>
        <v/>
      </c>
      <c r="Q1147" t="n">
        <v>0</v>
      </c>
      <c r="R1147" t="n">
        <v>0</v>
      </c>
      <c r="S1147">
        <f>IFERROR(O1147/N1147,0)</f>
        <v/>
      </c>
      <c r="T1147" t="n">
        <v>0</v>
      </c>
      <c r="V1147" t="n">
        <v>0</v>
      </c>
    </row>
    <row r="1148">
      <c r="A1148">
        <f>Skills!A21</f>
        <v/>
      </c>
      <c r="B1148">
        <f>Skills!B21</f>
        <v/>
      </c>
      <c r="C1148">
        <f>TRUE</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Skills!G21*IF(Skills!H21&gt;0,INT(IF(Inputs!$B$38="pvp",MIN(Skills!I21,15),Skills!I21)/Skills!H21+0.000000001),1)</f>
        <v/>
      </c>
      <c r="H1148">
        <f>1-(1-Skills!J21/100)^Skills!K21</f>
        <v/>
      </c>
      <c r="I1148" t="inlineStr">
        <is>
          <t>1</t>
        </is>
      </c>
      <c r="J1148" t="inlineStr"/>
      <c r="K1148" t="inlineStr"/>
      <c r="L1148" t="inlineStr"/>
      <c r="M1148" t="inlineStr"/>
      <c r="N1148" t="inlineStr"/>
      <c r="O1148">
        <f>(1-Summary!$B$11)*T1148+Summary!$B$11*V1148</f>
        <v/>
      </c>
      <c r="P1148">
        <f>IF(B1172=0,0,O1148/B1172)</f>
        <v/>
      </c>
      <c r="Q1148">
        <f>IFERROR(1/(IF(Inputs!$B$38="pvp",15,MAX(0.1,Skills!D21-IF(TRUE=TRUE,Inputs!$B$32,0)))*(1-IF(AND(ArtifactsInput!$M$27,Inputs!$B$4="Chapter Hunt"),CHOOSE(ArtifactsInput!$N$27+1,20,24,28,32,36,40),0)/100)),0)</f>
        <v/>
      </c>
      <c r="R1148">
        <f>IF(AND(Inputs!$B$38&lt;&gt;"pvp",Inputs!$B$43&gt;0),IF(Inputs!$B$43&lt;=0,0,(INT(Inputs!$B$43/(IF(Inputs!$B$38="pvp",15,MAX(0.1,Skills!D21-IF(TRUE=TRUE,Inputs!$B$32,0)))*(1-IF(AND(ArtifactsInput!$M$27,Inputs!$B$4="Chapter Hunt"),CHOOSE(ArtifactsInput!$N$27+1,20,24,28,32,36,40),0)/100)))+1)),0)</f>
        <v/>
      </c>
      <c r="S1148">
        <f>IFERROR(O1148/N1148,0)</f>
        <v/>
      </c>
      <c r="T1148" t="n">
        <v>0</v>
      </c>
      <c r="V1148" t="n">
        <v>0</v>
      </c>
    </row>
    <row r="1149">
      <c r="A1149">
        <f>Skills!A22</f>
        <v/>
      </c>
      <c r="B1149">
        <f>Skills!B22</f>
        <v/>
      </c>
      <c r="C1149">
        <f>Inputs!$B$3&gt;=15</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Skills!G22*IF(Skills!H22&gt;0,INT(IF(Inputs!$B$38="pvp",MIN(Skills!I22,15),Skills!I22)/Skills!H22+0.000000001),1)</f>
        <v/>
      </c>
      <c r="H1149">
        <f>1-(1-Skills!J22/100)^Skills!K22</f>
        <v/>
      </c>
      <c r="I1149" t="inlineStr">
        <is>
          <t>1</t>
        </is>
      </c>
      <c r="J1149" t="inlineStr"/>
      <c r="K1149" t="inlineStr"/>
      <c r="L1149" t="inlineStr"/>
      <c r="M1149" t="inlineStr"/>
      <c r="N1149" t="inlineStr"/>
      <c r="O1149">
        <f>(1-Summary!$B$11)*T1149+Summary!$B$11*V1149</f>
        <v/>
      </c>
      <c r="P1149">
        <f>IF(B1172=0,0,O1149/B1172)</f>
        <v/>
      </c>
      <c r="Q1149" t="n">
        <v>0</v>
      </c>
      <c r="R1149" t="n">
        <v>0</v>
      </c>
      <c r="S1149">
        <f>IFERROR(O1149/N1149,0)</f>
        <v/>
      </c>
      <c r="T1149" t="n">
        <v>0</v>
      </c>
      <c r="V1149" t="n">
        <v>0</v>
      </c>
    </row>
    <row r="1150">
      <c r="A1150">
        <f>Skills!A23</f>
        <v/>
      </c>
      <c r="B1150">
        <f>Skills!B23</f>
        <v/>
      </c>
      <c r="C1150">
        <f>Inputs!$B$3&gt;=10</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Skills!G23*IF(Skills!H23&gt;0,INT(IF(Inputs!$B$38="pvp",MIN(Skills!I23,15),Skills!I23)/Skills!H23+0.000000001),1)</f>
        <v/>
      </c>
      <c r="H1150">
        <f>1-(1-Skills!J23/100)^Skills!K23</f>
        <v/>
      </c>
      <c r="I1150" t="inlineStr">
        <is>
          <t>1</t>
        </is>
      </c>
      <c r="J1150" t="inlineStr"/>
      <c r="K1150" t="inlineStr"/>
      <c r="L1150" t="inlineStr"/>
      <c r="M1150" t="inlineStr"/>
      <c r="N1150" t="inlineStr"/>
      <c r="O1150">
        <f>(1-Summary!$B$11)*T1150+Summary!$B$11*V1150</f>
        <v/>
      </c>
      <c r="P1150">
        <f>IF(B1172=0,0,O1150/B1172)</f>
        <v/>
      </c>
      <c r="Q1150" t="n">
        <v>0</v>
      </c>
      <c r="R1150" t="n">
        <v>0</v>
      </c>
      <c r="S1150">
        <f>IFERROR(O1150/N1150,0)</f>
        <v/>
      </c>
      <c r="T1150" t="n">
        <v>0</v>
      </c>
      <c r="V1150" t="n">
        <v>0</v>
      </c>
    </row>
    <row r="1151">
      <c r="A1151">
        <f>Skills!A24</f>
        <v/>
      </c>
      <c r="B1151">
        <f>Skills!B24</f>
        <v/>
      </c>
      <c r="C1151">
        <f>Inputs!$B$3&gt;=33</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Skills!G24*IF(Skills!H24&gt;0,INT(IF(Inputs!$B$38="pvp",MIN(Skills!I24,15),Skills!I24)/Skills!H24+0.000000001),1)</f>
        <v/>
      </c>
      <c r="H1151">
        <f>1-(1-Skills!J24/100)^Skills!K24</f>
        <v/>
      </c>
      <c r="I1151" t="inlineStr">
        <is>
          <t>1</t>
        </is>
      </c>
      <c r="J1151" t="inlineStr"/>
      <c r="K1151" t="inlineStr"/>
      <c r="L1151" t="inlineStr"/>
      <c r="M1151" t="inlineStr"/>
      <c r="N1151" t="inlineStr"/>
      <c r="O1151">
        <f>(1-Summary!$B$11)*T1151+Summary!$B$11*V1151</f>
        <v/>
      </c>
      <c r="P1151">
        <f>IF(B1172=0,0,O1151/B1172)</f>
        <v/>
      </c>
      <c r="Q1151" t="n">
        <v>0</v>
      </c>
      <c r="R1151" t="n">
        <v>0</v>
      </c>
      <c r="S1151">
        <f>IFERROR(O1151/N1151,0)</f>
        <v/>
      </c>
      <c r="T1151" t="n">
        <v>0</v>
      </c>
      <c r="V1151" t="n">
        <v>0</v>
      </c>
    </row>
    <row r="1152">
      <c r="A1152">
        <f>Skills!A25</f>
        <v/>
      </c>
      <c r="B1152">
        <f>Skills!B25</f>
        <v/>
      </c>
      <c r="C1152">
        <f>Inputs!$B$3&gt;=38</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Skills!G25*IF(Skills!H25&gt;0,INT(IF(Inputs!$B$38="pvp",MIN(Skills!I25,15),Skills!I25)/Skills!H25+0.000000001),1)</f>
        <v/>
      </c>
      <c r="H1152">
        <f>1-(1-Skills!J25/100)^Skills!K25</f>
        <v/>
      </c>
      <c r="I1152" t="inlineStr">
        <is>
          <t>1</t>
        </is>
      </c>
      <c r="J1152" t="inlineStr"/>
      <c r="K1152" t="inlineStr"/>
      <c r="L1152" t="inlineStr"/>
      <c r="M1152" t="inlineStr"/>
      <c r="N1152" t="inlineStr"/>
      <c r="O1152">
        <f>(1-Summary!$B$11)*T1152+Summary!$B$11*V1152</f>
        <v/>
      </c>
      <c r="P1152">
        <f>IF(B1172=0,0,O1152/B1172)</f>
        <v/>
      </c>
      <c r="Q1152" t="n">
        <v>0</v>
      </c>
      <c r="R1152" t="n">
        <v>0</v>
      </c>
      <c r="S1152">
        <f>IFERROR(O1152/N1152,0)</f>
        <v/>
      </c>
      <c r="T1152" t="n">
        <v>0</v>
      </c>
      <c r="V1152" t="n">
        <v>0</v>
      </c>
    </row>
    <row r="1153">
      <c r="A1153">
        <f>Skills!A26</f>
        <v/>
      </c>
      <c r="B1153">
        <f>Skills!B26</f>
        <v/>
      </c>
      <c r="C1153">
        <f>Inputs!$B$3&gt;=43</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Skills!G26*IF(Skills!H26&gt;0,INT(IF(Inputs!$B$38="pvp",MIN(Skills!I26,15),Skills!I26)/Skills!H26+0.000000001),1)</f>
        <v/>
      </c>
      <c r="H1153">
        <f>1-(1-Skills!J26/100)^Skills!K26</f>
        <v/>
      </c>
      <c r="I1153" t="inlineStr">
        <is>
          <t>1</t>
        </is>
      </c>
      <c r="J1153" t="inlineStr"/>
      <c r="K1153" t="inlineStr"/>
      <c r="L1153" t="inlineStr"/>
      <c r="M1153" t="inlineStr"/>
      <c r="N1153" t="inlineStr"/>
      <c r="O1153">
        <f>(1-Summary!$B$11)*T1153+Summary!$B$11*V1153</f>
        <v/>
      </c>
      <c r="P1153">
        <f>IF(B1172=0,0,O1153/B1172)</f>
        <v/>
      </c>
      <c r="Q1153" t="n">
        <v>0</v>
      </c>
      <c r="R1153" t="n">
        <v>0</v>
      </c>
      <c r="S1153">
        <f>IFERROR(O1153/N1153,0)</f>
        <v/>
      </c>
      <c r="T1153" t="n">
        <v>0</v>
      </c>
      <c r="V1153" t="n">
        <v>0</v>
      </c>
    </row>
    <row r="1154">
      <c r="A1154">
        <f>Skills!A27</f>
        <v/>
      </c>
      <c r="B1154">
        <f>Skills!B27</f>
        <v/>
      </c>
      <c r="C1154">
        <f>Inputs!$B$3&gt;=75</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Skills!G27*IF(Skills!H27&gt;0,INT(IF(Inputs!$B$38="pvp",MIN(Skills!I27,15),Skills!I27)/Skills!H27+0.000000001),1)</f>
        <v/>
      </c>
      <c r="H1154">
        <f>1-(1-Skills!J27/100)^Skills!K27</f>
        <v/>
      </c>
      <c r="I1154" t="inlineStr">
        <is>
          <t>1</t>
        </is>
      </c>
      <c r="J1154" t="inlineStr"/>
      <c r="K1154" t="inlineStr"/>
      <c r="L1154" t="inlineStr"/>
      <c r="M1154" t="inlineStr"/>
      <c r="N1154" t="inlineStr"/>
      <c r="O1154">
        <f>(1-Summary!$B$11)*T1154+Summary!$B$11*V1154</f>
        <v/>
      </c>
      <c r="P1154">
        <f>IF(B1172=0,0,O1154/B1172)</f>
        <v/>
      </c>
      <c r="Q1154" t="n">
        <v>0</v>
      </c>
      <c r="R1154" t="n">
        <v>0</v>
      </c>
      <c r="S1154">
        <f>IFERROR(O1154/N1154,0)</f>
        <v/>
      </c>
      <c r="T1154" t="n">
        <v>0</v>
      </c>
      <c r="V1154" t="n">
        <v>0</v>
      </c>
    </row>
    <row r="1155">
      <c r="A1155">
        <f>Skills!A28</f>
        <v/>
      </c>
      <c r="B1155">
        <f>Skills!B28</f>
        <v/>
      </c>
      <c r="C1155">
        <f>Inputs!$B$3&gt;=125</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Skills!G28*IF(Skills!H28&gt;0,INT(IF(Inputs!$B$38="pvp",MIN(Skills!I28,15),Skills!I28)/Skills!H28+0.000000001),1)</f>
        <v/>
      </c>
      <c r="H1155">
        <f>1-(1-Skills!J28/100)^Skills!K28</f>
        <v/>
      </c>
      <c r="I1155" t="inlineStr">
        <is>
          <t>1</t>
        </is>
      </c>
      <c r="J1155" t="inlineStr"/>
      <c r="K1155" t="inlineStr"/>
      <c r="L1155" t="inlineStr"/>
      <c r="M1155" t="inlineStr"/>
      <c r="N1155" t="inlineStr"/>
      <c r="O1155">
        <f>(1-Summary!$B$11)*T1155+Summary!$B$11*V1155</f>
        <v/>
      </c>
      <c r="P1155">
        <f>IF(B1172=0,0,O1155/B1172)</f>
        <v/>
      </c>
      <c r="Q1155" t="n">
        <v>0</v>
      </c>
      <c r="R1155" t="n">
        <v>0</v>
      </c>
      <c r="S1155">
        <f>IFERROR(O1155/N1155,0)</f>
        <v/>
      </c>
      <c r="T1155" t="n">
        <v>0</v>
      </c>
      <c r="V1155" t="n">
        <v>0</v>
      </c>
    </row>
    <row r="1156">
      <c r="A1156">
        <f>Skills!A29</f>
        <v/>
      </c>
      <c r="B1156">
        <f>Skills!B29</f>
        <v/>
      </c>
      <c r="C1156">
        <f>Inputs!$B$3&gt;=125</f>
        <v/>
      </c>
      <c r="D1156">
        <f>IF(Skills!C29=1,60+Inputs!$B$25+Inputs!$B$29,IF(Skills!C29=2,90+Inputs!$B$26+Inputs!$B$29,IF(Skills!C29=3,120+Inputs!$B$27+Inputs!$B$29,MAX(0,(Inputs!$B$3-100)*3)+Inputs!$B$28+Inputs!$B$29)))</f>
        <v/>
      </c>
      <c r="E1156">
        <f>INDEX(FactorTable!$B$2:$Y$301, MATCH(ROUND(MIN(300,MAX(1,D1156)),0), FactorTable!$A$2:$A$301,0), Skills!M29+1)</f>
        <v/>
      </c>
      <c r="F1156">
        <f>IF(Skills!N29=TRUE,(Skills!L29/10)*(E1156/1000),Skills!L29/10)+Skills!O29</f>
        <v/>
      </c>
      <c r="G1156">
        <f>Skills!G29*IF(Skills!H29&gt;0,INT(IF(Inputs!$B$38="pvp",MIN(Skills!I29,15),Skills!I29)/Skills!H29+0.000000001),1)</f>
        <v/>
      </c>
      <c r="H1156">
        <f>1-(1-Skills!J29/100)^Skills!K29</f>
        <v/>
      </c>
      <c r="I1156" t="inlineStr">
        <is>
          <t>1</t>
        </is>
      </c>
      <c r="J1156" t="inlineStr"/>
      <c r="K1156" t="inlineStr"/>
      <c r="L1156" t="inlineStr"/>
      <c r="M1156" t="inlineStr"/>
      <c r="N1156" t="inlineStr"/>
      <c r="O1156">
        <f>(1-Summary!$B$11)*T1156+Summary!$B$11*V1156</f>
        <v/>
      </c>
      <c r="P1156">
        <f>IF(B1172=0,0,O1156/B1172)</f>
        <v/>
      </c>
      <c r="Q1156" t="n">
        <v>0</v>
      </c>
      <c r="R1156" t="n">
        <v>0</v>
      </c>
      <c r="S1156">
        <f>IFERROR(O1156/N1156,0)</f>
        <v/>
      </c>
      <c r="T1156" t="n">
        <v>0</v>
      </c>
      <c r="V1156" t="n">
        <v>0</v>
      </c>
    </row>
    <row r="1157">
      <c r="A1157">
        <f>Skills!A30</f>
        <v/>
      </c>
      <c r="B1157">
        <f>Skills!B30</f>
        <v/>
      </c>
      <c r="C1157">
        <f>Inputs!$B$3&gt;=120</f>
        <v/>
      </c>
      <c r="D1157">
        <f>IF(Skills!C30=1,60+Inputs!$B$25+Inputs!$B$29,IF(Skills!C30=2,90+Inputs!$B$26+Inputs!$B$29,IF(Skills!C30=3,120+Inputs!$B$27+Inputs!$B$29,MAX(0,(Inputs!$B$3-100)*3)+Inputs!$B$28+Inputs!$B$29)))</f>
        <v/>
      </c>
      <c r="E1157">
        <f>INDEX(FactorTable!$B$2:$Y$301, MATCH(ROUND(MIN(300,MAX(1,D1157)),0), FactorTable!$A$2:$A$301,0), Skills!M30+1)</f>
        <v/>
      </c>
      <c r="F1157">
        <f>IF(Skills!N30=TRUE,(Skills!L30/10)*(E1157/1000),Skills!L30/10)+Skills!O30</f>
        <v/>
      </c>
      <c r="G1157">
        <f>Skills!G30*IF(Skills!H30&gt;0,INT(IF(Inputs!$B$38="pvp",MIN(Skills!I30,15),Skills!I30)/Skills!H30+0.000000001),1)</f>
        <v/>
      </c>
      <c r="H1157">
        <f>1-(1-Skills!J30/100)^Skills!K30</f>
        <v/>
      </c>
      <c r="I1157" t="inlineStr">
        <is>
          <t>1</t>
        </is>
      </c>
      <c r="J1157" t="inlineStr"/>
      <c r="K1157" t="inlineStr"/>
      <c r="L1157" t="inlineStr"/>
      <c r="M1157" t="inlineStr"/>
      <c r="N1157" t="inlineStr"/>
      <c r="O1157">
        <f>(1-Summary!$B$11)*T1157+Summary!$B$11*V1157</f>
        <v/>
      </c>
      <c r="P1157">
        <f>IF(B1172=0,0,O1157/B1172)</f>
        <v/>
      </c>
      <c r="Q1157" t="n">
        <v>0</v>
      </c>
      <c r="R1157" t="n">
        <v>0</v>
      </c>
      <c r="S1157">
        <f>IFERROR(O1157/N1157,0)</f>
        <v/>
      </c>
      <c r="T1157" t="n">
        <v>0</v>
      </c>
      <c r="V1157" t="n">
        <v>0</v>
      </c>
    </row>
    <row r="1158">
      <c r="A1158">
        <f>Skills!A31</f>
        <v/>
      </c>
      <c r="B1158">
        <f>Skills!B31</f>
        <v/>
      </c>
      <c r="C1158">
        <f>Inputs!$B$3&gt;=120</f>
        <v/>
      </c>
      <c r="D1158">
        <f>IF(Skills!C31=1,60+Inputs!$B$25+Inputs!$B$29,IF(Skills!C31=2,90+Inputs!$B$26+Inputs!$B$29,IF(Skills!C31=3,120+Inputs!$B$27+Inputs!$B$29,MAX(0,(Inputs!$B$3-100)*3)+Inputs!$B$28+Inputs!$B$29)))</f>
        <v/>
      </c>
      <c r="E1158">
        <f>INDEX(FactorTable!$B$2:$Y$301, MATCH(ROUND(MIN(300,MAX(1,D1158)),0), FactorTable!$A$2:$A$301,0), Skills!M31+1)</f>
        <v/>
      </c>
      <c r="F1158">
        <f>IF(Skills!N31=TRUE,(Skills!L31/10)*(E1158/1000),Skills!L31/10)+Skills!O31</f>
        <v/>
      </c>
      <c r="G1158">
        <f>Skills!G31*IF(Skills!H31&gt;0,INT(IF(Inputs!$B$38="pvp",MIN(Skills!I31,15),Skills!I31)/Skills!H31+0.000000001),1)</f>
        <v/>
      </c>
      <c r="H1158">
        <f>1-(1-Skills!J31/100)^Skills!K31</f>
        <v/>
      </c>
      <c r="I1158" t="inlineStr">
        <is>
          <t>1</t>
        </is>
      </c>
      <c r="J1158" t="inlineStr"/>
      <c r="K1158" t="inlineStr"/>
      <c r="L1158" t="inlineStr"/>
      <c r="M1158" t="inlineStr"/>
      <c r="N1158" t="inlineStr"/>
      <c r="O1158">
        <f>(1-Summary!$B$11)*T1158+Summary!$B$11*V1158</f>
        <v/>
      </c>
      <c r="P1158">
        <f>IF(B1172=0,0,O1158/B1172)</f>
        <v/>
      </c>
      <c r="Q1158" t="n">
        <v>0</v>
      </c>
      <c r="R1158" t="n">
        <v>0</v>
      </c>
      <c r="S1158">
        <f>IFERROR(O1158/N1158,0)</f>
        <v/>
      </c>
      <c r="T1158" t="n">
        <v>0</v>
      </c>
      <c r="V1158" t="n">
        <v>0</v>
      </c>
    </row>
    <row r="1159">
      <c r="A1159">
        <f>Skills!A32</f>
        <v/>
      </c>
      <c r="B1159">
        <f>Skills!B32</f>
        <v/>
      </c>
      <c r="C1159">
        <f>Inputs!$B$3&gt;=45</f>
        <v/>
      </c>
      <c r="D1159">
        <f>IF(Skills!C32=1,60+Inputs!$B$25+Inputs!$B$29,IF(Skills!C32=2,90+Inputs!$B$26+Inputs!$B$29,IF(Skills!C32=3,120+Inputs!$B$27+Inputs!$B$29,MAX(0,(Inputs!$B$3-100)*3)+Inputs!$B$28+Inputs!$B$29)))</f>
        <v/>
      </c>
      <c r="E1159">
        <f>INDEX(FactorTable!$B$2:$Y$301, MATCH(ROUND(MIN(300,MAX(1,D1159)),0), FactorTable!$A$2:$A$301,0), Skills!M32+1)</f>
        <v/>
      </c>
      <c r="F1159">
        <f>IF(Skills!N32=TRUE,(Skills!L32/10)*(E1159/1000),Skills!L32/10)+Skills!O32</f>
        <v/>
      </c>
      <c r="G1159">
        <f>Skills!G32*IF(Skills!H32&gt;0,INT(IF(Inputs!$B$38="pvp",MIN(Skills!I32,15),Skills!I32)/Skills!H32+0.000000001),1)</f>
        <v/>
      </c>
      <c r="H1159">
        <f>1-(1-Skills!J32/100)^Skills!K32</f>
        <v/>
      </c>
      <c r="I1159" t="inlineStr">
        <is>
          <t>1</t>
        </is>
      </c>
      <c r="J1159" t="inlineStr"/>
      <c r="K1159" t="inlineStr"/>
      <c r="L1159" t="inlineStr"/>
      <c r="M1159" t="inlineStr"/>
      <c r="N1159" t="inlineStr"/>
      <c r="O1159">
        <f>(1-Summary!$B$11)*T1159+Summary!$B$11*V1159</f>
        <v/>
      </c>
      <c r="P1159">
        <f>IF(B1172=0,0,O1159/B1172)</f>
        <v/>
      </c>
      <c r="Q1159" t="n">
        <v>0</v>
      </c>
      <c r="R1159" t="n">
        <v>0</v>
      </c>
      <c r="S1159">
        <f>IFERROR(O1159/N1159,0)</f>
        <v/>
      </c>
      <c r="T1159" t="n">
        <v>0</v>
      </c>
      <c r="V1159" t="n">
        <v>0</v>
      </c>
    </row>
    <row r="1161">
      <c r="A1161" t="inlineStr">
        <is>
          <t>Attack% Bucket Multiplier</t>
        </is>
      </c>
      <c r="B1161">
        <f>(1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2">
      <c r="A1162" t="inlineStr">
        <is>
          <t>Global Crit Rate Bonus %</t>
        </is>
      </c>
      <c r="B1162" t="n">
        <v>0</v>
      </c>
    </row>
    <row r="1163">
      <c r="A1163" t="inlineStr">
        <is>
          <t>Attack Speed Buff Bonus %</t>
        </is>
      </c>
      <c r="B1163">
        <f>((C1148=TRUE)*F1148*IF(AND(Inputs!$B$38&lt;&gt;"pvp",Inputs!$B$43&gt;0),(((R1148-1)*MIN((Skills!T21*(1+Inputs!$B$34/100)),(1/Q1148))+MIN((Skills!T21*(1+Inputs!$B$34/100)),MAX(0,Inputs!$B$43-((R1148-1)*(1/Q1148)))))/Inputs!$B$43),IF(Inputs!$B$38="pvp",MIN((Skills!T21*(1+Inputs!$B$34/100)),15)/15,MIN(1,(Skills!T21*(1+Inputs!$B$34/100))/(1/Q1148)))))</f>
        <v/>
      </c>
    </row>
    <row r="1164">
      <c r="A1164" t="inlineStr">
        <is>
          <t>Actions Per Second</t>
        </is>
      </c>
      <c r="B1164">
        <f>1+MIN(150,150*(1-(1-(Inputs!$B$11+((C1150=TRUE)*(F1150-Calc!F23))+((C1151=TRUE)*(F1151-Calc!F24)))/150)*(1-B1163/150)))/100</f>
        <v/>
      </c>
    </row>
    <row r="1165">
      <c r="A1165" t="inlineStr">
        <is>
          <t>Skill + Buff Cast Rate</t>
        </is>
      </c>
      <c r="B1165">
        <f>IF(AND(Inputs!$B$38&lt;&gt;"pvp",Inputs!$B$43&gt;0),SUMPRODUCT((Skills!E2:E32=TRUE)*(C1129:C1159=TRUE)*R1129:R1159*Skills!F2:F32)/Inputs!$B$43,SUMPRODUCT((Skills!E2:E32=TRUE)*(C1129:C1159=TRUE)*Q1129:Q1159*Skills!F2:F32))</f>
        <v/>
      </c>
    </row>
    <row r="1166">
      <c r="A1166" t="inlineStr">
        <is>
          <t>Arrow Stream Casts Per Second</t>
        </is>
      </c>
      <c r="B1166">
        <f>MAX(0,B1164-B1165)</f>
        <v/>
      </c>
    </row>
    <row r="1167">
      <c r="A1167" t="inlineStr">
        <is>
          <t>Global Critical Damage Bonus % (Sharp Eyes + Concentration)</t>
        </is>
      </c>
      <c r="B1167">
        <f>(C1145=TRUE)*F1145*IF(AND(Inputs!$B$38&lt;&gt;"pvp",Inputs!$B$43&gt;0),(((R1145-1)*MIN((Skills!T18*(1+Inputs!$B$34/100)),(1/Q1145))+MIN((Skills!T18*(1+Inputs!$B$34/100)),MAX(0,Inputs!$B$43-((R1145-1)*(1/Q1145)))))/Inputs!$B$43),IF(Inputs!$B$38="pvp",MIN((Skills!T18*(1+Inputs!$B$34/100)),15)/15,MIN(1,(Skills!T18*(1+Inputs!$B$34/100))/(1/Q1145))))+(C1146=TRUE)*7*F1146</f>
        <v/>
      </c>
    </row>
    <row r="1168">
      <c r="A1168" t="inlineStr">
        <is>
          <t>Global Final Damage Bonus % (Mortal Blow)</t>
        </is>
      </c>
      <c r="B1168">
        <f>(C1147=TRUE)*F1147</f>
        <v/>
      </c>
    </row>
    <row r="1169">
      <c r="A1169" t="inlineStr">
        <is>
          <t>Buff-Casting Startup Delay (s, fixed-duration only)</t>
        </is>
      </c>
      <c r="B1169">
        <f>IF(AND(Inputs!$B$38&lt;&gt;"pvp",Inputs!$B$43&gt;0),SUMPRODUCT((Skills!T2:T32&gt;0)*(Skills!E2:E32=TRUE)*(C1129:C1159=TRUE))/B1164,0)</f>
        <v/>
      </c>
    </row>
    <row r="1170">
      <c r="A1170" t="inlineStr">
        <is>
          <t>Boss-Only Total DPS (this block's swept value)</t>
        </is>
      </c>
      <c r="B1170">
        <f>SUM(T1129:T1159)</f>
        <v/>
      </c>
    </row>
    <row r="1171">
      <c r="A1171" t="inlineStr">
        <is>
          <t>Normal-Only Total DPS (this block's swept value)</t>
        </is>
      </c>
      <c r="B1171">
        <f>SUM(V1129:V1159)</f>
        <v/>
      </c>
    </row>
    <row r="1172">
      <c r="A1172" s="6" t="inlineStr">
        <is>
          <t>TOTAL DPS</t>
        </is>
      </c>
      <c r="B1172" s="6">
        <f>SUM(O1129:O1159)</f>
        <v/>
      </c>
    </row>
    <row r="1175">
      <c r="A1175" s="6" t="inlineStr">
        <is>
          <t>Stat: Skill Cooldown Decrease (seconds)</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Skills!G2*IF(Skills!H2&gt;0,INT(IF(Inputs!$B$38="pvp",MIN(Skills!I2,15),Skills!I2)/Skills!H2+0.000000001),1)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1201=TRUE)*(F1201-Calc!F26)),(Inputs!$B$23+((C1206=TRUE)*(F1206-Calc!F31))+(IF(ArtifactsInput!$M$15,CHOOSE(ArtifactsInput!$N$15+1,25,30,35,40,45,50)/100*(Inputs!$B$11-Inputs!$B$11),0))))/100+(Inputs!$B$23+((C1206=TRUE)*(F1206-Calc!F31))+(IF(ArtifactsInput!$M$15,CHOOSE(ArtifactsInput!$N$15+1,25,30,35,40,45,50)/100*(Inputs!$B$11-Inputs!$B$11),0)))/100)/2</f>
        <v/>
      </c>
      <c r="M1177">
        <f>L1177*(1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IF(B1220=0,0,O1177/B1220)</f>
        <v/>
      </c>
      <c r="Q1177" t="n">
        <v>0</v>
      </c>
      <c r="R1177" t="n">
        <v>0</v>
      </c>
      <c r="S1177">
        <f>IFERROR(O1177/N1177,0)</f>
        <v/>
      </c>
      <c r="T1177">
        <f>IF(C1177,(Skills!G2*N1177*B1214)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IF(C1177,(Skills!G2*N1177*B1214)*IF(Inputs!$B$38="pvp",1,(1+(Inputs!$B$21+Skills!Q2+(IF(ArtifactsInput!$M$33,CHOOSE(ArtifactsInput!$N$33+1,30,36,42,48,54,60),0))+(IF(AND(ArtifactsInput!$M$35,Inputs!$B$4&lt;&gt;"Chapter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Inputs!$B$3&gt;=50</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f>Skills!G3*IF(Skills!H3&gt;0,INT(IF(Inputs!$B$38="pvp",MIN(Skills!I3,15),Skills!I3)/Skills!H3+0.000000001),1)</f>
        <v/>
      </c>
      <c r="H1178">
        <f>1-(1-Skills!J3/100)^Skills!K3</f>
        <v/>
      </c>
      <c r="I1178" t="inlineStr">
        <is>
          <t>1</t>
        </is>
      </c>
      <c r="J1178">
        <f>((Inputs!$B$6*(1+Inputs!$B$7/100))+(((Inputs!$B$12*(1+Inputs!$B$13/100))-(Inputs!$B$12*(1+Inputs!$B$13/100)))+0.25*(Inputs!$B$14-Inputs!$B$14))*(1+Inputs!$B$7/100))*(F1178/100)</f>
        <v/>
      </c>
      <c r="K1178">
        <f>J1178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1179=TRUE,F1179,0)/100)*(1+(IF(Skills!A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1201=TRUE)*(F1201-Calc!F26)),(Inputs!$B$23+((C1206=TRUE)*(F1206-Calc!F31))+(IF(ArtifactsInput!$M$15,CHOOSE(ArtifactsInput!$N$15+1,25,30,35,40,45,50)/100*(Inputs!$B$11-Inputs!$B$11),0))))/100+(Inputs!$B$23+((C1206=TRUE)*(F1206-Calc!F31))+(IF(ArtifactsInput!$M$15,CHOOSE(ArtifactsInput!$N$15+1,25,30,35,40,45,50)/100*(Inputs!$B$11-Inputs!$B$11),0)))/100)/2</f>
        <v/>
      </c>
      <c r="M1178">
        <f>L1178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IF(B1220=0,0,O1178/B1220)</f>
        <v/>
      </c>
      <c r="Q1178">
        <f>IFERROR(1/(IF(Inputs!$B$38="pvp",15,MAX(0.1,1/B1212-IF(FALSE=TRUE,(Inputs!$B$32+1),0)))*(1-IF(AND(ArtifactsInput!$M$27,Inputs!$B$4="Chapter Hunt"),CHOOSE(ArtifactsInput!$N$27+1,20,24,28,32,36,40),0)/100)),0)</f>
        <v/>
      </c>
      <c r="R1178">
        <f>IF(AND(Inputs!$B$38&lt;&gt;"pvp",Inputs!$B$43&gt;0),IF(MAX(0,Inputs!$B$43-B1217)&lt;=0,0,(INT(MAX(0,Inputs!$B$43-B1217)/(IF(Inputs!$B$38="pvp",15,MAX(0.1,1/B1212-IF(FALSE=TRUE,(Inputs!$B$32+1),0)))*(1-IF(AND(ArtifactsInput!$M$27,Inputs!$B$4="Chapter Hunt"),CHOOSE(ArtifactsInput!$N$27+1,20,24,28,32,36,40),0)/100)))+1)),0)</f>
        <v/>
      </c>
      <c r="S1178">
        <f>IFERROR(O1178/N1178,0)</f>
        <v/>
      </c>
      <c r="T1178">
        <f>IF(C1178,(H1178*N1178*IF(AND(Inputs!$B$38&lt;&gt;"pvp",Inputs!$B$43&gt;0),((Skills!G3*((R1178-1)*IF(Skills!H3&gt;0,INT(Skills!I3/Skills!H3+0.000000001),1)+IF(Skills!H3&gt;0,INT(MIN(Skills!I3,MAX(0,MAX(0,Inputs!$B$43-B1217)-((R1178-1)*(IF(Inputs!$B$38="pvp",15,MAX(0.1,1/B1212-IF(FALSE=TRUE,(Inputs!$B$32+1),0)))*(1-IF(AND(ArtifactsInput!$M$27,Inputs!$B$4="Chapter Hunt"),CHOOSE(ArtifactsInput!$N$27+1,20,24,28,32,36,40),0)/100)))))/Skills!H3+0.000000001),1)))/Inputs!$B$43),G1178*Q1178)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INDEX(FactorTable!$B$2:$Y$301, MATCH(ROUND(MIN(300,MAX(1,U1177)),0), FactorTable!$A$2:$A$301,0), 22)</f>
        <v/>
      </c>
      <c r="V1178">
        <f>IF(C1178,(H1178*N1178*IF(AND(Inputs!$B$38&lt;&gt;"pvp",Inputs!$B$43&gt;0),((Skills!G3*((R1178-1)*IF(Skills!H3&gt;0,INT(Skills!I3/Skills!H3+0.000000001),1)+IF(Skills!H3&gt;0,INT(MIN(Skills!I3,MAX(0,MAX(0,Inputs!$B$43-B1217)-((R1178-1)*(IF(Inputs!$B$38="pvp",15,MAX(0.1,1/B1212-IF(FALSE=TRUE,(Inputs!$B$32+1),0)))*(1-IF(AND(ArtifactsInput!$M$27,Inputs!$B$4="Chapter Hunt"),CHOOSE(ArtifactsInput!$N$27+1,20,24,28,32,36,40),0)/100)))))/Skills!H3+0.000000001),1)))/Inputs!$B$43),G1178*Q1178))*IF(Inputs!$B$38="pvp",1,(1+(Inputs!$B$21+Skills!Q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Skills!A4</f>
        <v/>
      </c>
      <c r="B1179">
        <f>Skills!B4</f>
        <v/>
      </c>
      <c r="C1179">
        <f>Inputs!$B$3&gt;=105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t="inlineStr"/>
      <c r="H1179" t="inlineStr"/>
      <c r="I1179" t="inlineStr">
        <is>
          <t>1</t>
        </is>
      </c>
      <c r="J1179" t="inlineStr"/>
      <c r="K1179" t="inlineStr"/>
      <c r="L1179" t="inlineStr"/>
      <c r="M1179" t="inlineStr"/>
      <c r="N1179" t="inlineStr"/>
      <c r="O1179" t="inlineStr"/>
      <c r="P1179" t="inlineStr"/>
      <c r="Q1179" t="inlineStr"/>
      <c r="R1179" t="inlineStr"/>
      <c r="S1179" t="inlineStr"/>
      <c r="T1179" t="inlineStr"/>
      <c r="U1179">
        <f>290*U1178/1000</f>
        <v/>
      </c>
      <c r="V1179" t="inlineStr"/>
    </row>
    <row r="1180">
      <c r="A1180">
        <f>Skills!A5</f>
        <v/>
      </c>
      <c r="B1180">
        <f>Skills!B5</f>
        <v/>
      </c>
      <c r="C1180">
        <f>Inputs!$B$3&gt;=35</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Skills!G5*IF(Skills!H5&gt;0,INT(IF(Inputs!$B$38="pvp",MIN(Skills!I5,15),Skills!I5)/Skills!H5+0.000000001),1)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1187=TRUE,F1187,0)/100)*(1+(IF(Skills!A5="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1201=TRUE)*(F1201-Calc!F26)),(Inputs!$B$23+((C1206=TRUE)*(F1206-Calc!F31))+(IF(ArtifactsInput!$M$15,CHOOSE(ArtifactsInput!$N$15+1,25,30,35,40,45,50)/100*(Inputs!$B$11-Inputs!$B$11),0))))/100+(Inputs!$B$23+((C1206=TRUE)*(F1206-Calc!F31))+(IF(ArtifactsInput!$M$15,CHOOSE(ArtifactsInput!$N$15+1,25,30,35,40,45,50)/100*(Inputs!$B$11-Inputs!$B$11),0)))/100)/2</f>
        <v/>
      </c>
      <c r="M1180">
        <f>L1180*(1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IF(B1220=0,0,O1180/B1220)</f>
        <v/>
      </c>
      <c r="Q1180">
        <f>IFERROR(1/(IF(Inputs!$B$38="pvp",15,MAX(0.1,Skills!D5-IF(TRUE=TRUE,(Inputs!$B$32+1),0)))*(1-IF(AND(ArtifactsInput!$M$27,Inputs!$B$4="Chapter Hunt"),CHOOSE(ArtifactsInput!$N$27+1,20,24,28,32,36,40),0)/100)),0)</f>
        <v/>
      </c>
      <c r="R1180">
        <f>IF(AND(Inputs!$B$38&lt;&gt;"pvp",Inputs!$B$43&gt;0),IF(MAX(0,Inputs!$B$43-B1217)&lt;=0,0,(INT(MAX(0,Inputs!$B$43-B1217)/(IF(Inputs!$B$38="pvp",15,MAX(0.1,Skills!D5-IF(TRUE=TRUE,(Inputs!$B$32+1),0)))*(1-IF(AND(ArtifactsInput!$M$27,Inputs!$B$4="Chapter Hunt"),CHOOSE(ArtifactsInput!$N$27+1,20,24,28,32,36,40),0)/100)))+1)),0)</f>
        <v/>
      </c>
      <c r="S1180">
        <f>IFERROR(O1180/N1180,0)</f>
        <v/>
      </c>
      <c r="T1180">
        <f>IF(C1180,(H1180*N1180*IF(AND(Inputs!$B$38&lt;&gt;"pvp",Inputs!$B$43&gt;0),((Skills!G5*((R1180-1)*IF(Skills!H5&gt;0,INT(Skills!I5/Skills!H5+0.000000001),1)+IF(Skills!H5&gt;0,INT(MIN(Skills!I5,MAX(0,MAX(0,Inputs!$B$43-B1217)-((R1180-1)*(IF(Inputs!$B$38="pvp",15,MAX(0.1,Skills!D5-IF(TRUE=TRUE,(Inputs!$B$32+1),0)))*(1-IF(AND(ArtifactsInput!$M$27,Inputs!$B$4="Chapter Hunt"),CHOOSE(ArtifactsInput!$N$27+1,20,24,28,32,36,40),0)/100)))))/Skills!H5+0.000000001),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INT(Skills!I5/Skills!H5+0.000000001),1)+IF(Skills!H5&gt;0,INT(MIN(Skills!I5,MAX(0,MAX(0,Inputs!$B$43-B1217)-((R1180-1)*(IF(Inputs!$B$38="pvp",15,MAX(0.1,Skills!D5-IF(TRUE=TRUE,(Inputs!$B$32+1),0)))*(1-IF(AND(ArtifactsInput!$M$27,Inputs!$B$4="Chapter Hunt"),CHOOSE(ArtifactsInput!$N$27+1,20,24,28,32,36,40),0)/100)))))/Skills!H5+0.000000001),1)))/Inputs!$B$43),G1180*Q1180))*IF(Inputs!$B$38="pvp",1,(1+(Inputs!$B$21+Skills!Q5+(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Inputs!$B$3&gt;=40</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Skills!G6*IF(Skills!H6&gt;0,INT(IF(Inputs!$B$38="pvp",MIN(Skills!I6,15),Skills!I6)/Skills!H6+0.000000001),1)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1182=TRUE,F1182,0)/100)*(1+(IF(Skills!A6="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1201=TRUE)*(F1201-Calc!F26)),(Inputs!$B$23+((C1206=TRUE)*(F1206-Calc!F31))+(IF(ArtifactsInput!$M$15,CHOOSE(ArtifactsInput!$N$15+1,25,30,35,40,45,50)/100*(Inputs!$B$11-Inputs!$B$11),0))))/100+(Inputs!$B$23+((C1206=TRUE)*(F1206-Calc!F31))+(IF(ArtifactsInput!$M$15,CHOOSE(ArtifactsInput!$N$15+1,25,30,35,40,45,50)/100*(Inputs!$B$11-Inputs!$B$11),0)))/100)/2</f>
        <v/>
      </c>
      <c r="M1181">
        <f>L1181*(1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IF(B1220=0,0,O1181/B1220)</f>
        <v/>
      </c>
      <c r="Q1181">
        <f>IFERROR(1/(IF(Inputs!$B$38="pvp",15,MAX(0.1,1-0.4*MIN(1,(B1212-1)/1.5)-IF(FALSE=TRUE,(Inputs!$B$32+1),0)))*(1-IF(AND(ArtifactsInput!$M$27,Inputs!$B$4="Chapter Hunt"),CHOOSE(ArtifactsInput!$N$27+1,20,24,28,32,36,40),0)/100)),0)</f>
        <v/>
      </c>
      <c r="R1181">
        <f>IF(AND(Inputs!$B$38&lt;&gt;"pvp",Inputs!$B$43&gt;0),IF(MAX(0,Inputs!$B$43-B1217)&lt;=0,0,(INT(MAX(0,Inputs!$B$43-B1217)/(IF(Inputs!$B$38="pvp",15,MAX(0.1,1-0.4*MIN(1,(B1212-1)/1.5)-IF(FALSE=TRUE,(Inputs!$B$32+1),0)))*(1-IF(AND(ArtifactsInput!$M$27,Inputs!$B$4="Chapter Hunt"),CHOOSE(ArtifactsInput!$N$27+1,20,24,28,32,36,40),0)/100)))+1)),0)</f>
        <v/>
      </c>
      <c r="S1181">
        <f>IFERROR(O1181/N1181,0)</f>
        <v/>
      </c>
      <c r="T1181">
        <f>IF(C1181,(H1181*N1181*IF(AND(Inputs!$B$38&lt;&gt;"pvp",Inputs!$B$43&gt;0),((Skills!G6*((R1181-1)*IF(Skills!H6&gt;0,INT(Skills!I6/Skills!H6+0.000000001),1)+IF(Skills!H6&gt;0,INT(MIN(Skills!I6,MAX(0,MAX(0,Inputs!$B$43-B1217)-((R1181-1)*(IF(Inputs!$B$38="pvp",15,MAX(0.1,1-0.4*MIN(1,(B1212-1)/1.5)-IF(FALSE=TRUE,(Inputs!$B$32+1),0)))*(1-IF(AND(ArtifactsInput!$M$27,Inputs!$B$4="Chapter Hunt"),CHOOSE(ArtifactsInput!$N$27+1,20,24,28,32,36,40),0)/100)))))/Skills!H6+0.000000001),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INT(Skills!I6/Skills!H6+0.000000001),1)+IF(Skills!H6&gt;0,INT(MIN(Skills!I6,MAX(0,MAX(0,Inputs!$B$43-B1217)-((R1181-1)*(IF(Inputs!$B$38="pvp",15,MAX(0.1,1-0.4*MIN(1,(B1212-1)/1.5)-IF(FALSE=TRUE,(Inputs!$B$32+1),0)))*(1-IF(AND(ArtifactsInput!$M$27,Inputs!$B$4="Chapter Hunt"),CHOOSE(ArtifactsInput!$N$27+1,20,24,28,32,36,40),0)/100)))))/Skills!H6+0.000000001),1)))/Inputs!$B$43),G1181*Q1181))*IF(Inputs!$B$38="pvp",1,(1+(Inputs!$B$21+Skills!Q6+(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Inputs!$B$3&gt;=107</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t="inlineStr"/>
      <c r="H1182" t="inlineStr"/>
      <c r="I1182" t="inlineStr">
        <is>
          <t>1</t>
        </is>
      </c>
      <c r="J1182" t="inlineStr"/>
      <c r="K1182" t="inlineStr"/>
      <c r="L1182" t="inlineStr"/>
      <c r="M1182" t="inlineStr"/>
      <c r="N1182" t="inlineStr"/>
      <c r="O1182" t="inlineStr"/>
      <c r="P1182" t="inlineStr"/>
      <c r="Q1182" t="inlineStr"/>
      <c r="R1182" t="inlineStr"/>
      <c r="S1182" t="inlineStr"/>
      <c r="T1182" t="inlineStr"/>
      <c r="V1182" t="inlineStr"/>
    </row>
    <row r="1183">
      <c r="A1183">
        <f>Skills!A8</f>
        <v/>
      </c>
      <c r="B1183">
        <f>Skills!B8</f>
        <v/>
      </c>
      <c r="C1183">
        <f>Inputs!$B$3&gt;=130</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Skills!G8*IF(Skills!H8&gt;0,INT(IF(Inputs!$B$38="pvp",MIN(Skills!I8,15),Skills!I8)/Skills!H8+0.000000001),1)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1201=TRUE)*(F1201-Calc!F26)),(Inputs!$B$23+((C1206=TRUE)*(F1206-Calc!F31))+(IF(ArtifactsInput!$M$15,CHOOSE(ArtifactsInput!$N$15+1,25,30,35,40,45,50)/100*(Inputs!$B$11-Inputs!$B$11),0))))/100+(Inputs!$B$23+((C1206=TRUE)*(F1206-Calc!F31))+(IF(ArtifactsInput!$M$15,CHOOSE(ArtifactsInput!$N$15+1,25,30,35,40,45,50)/100*(Inputs!$B$11-Inputs!$B$11),0)))/100)/2</f>
        <v/>
      </c>
      <c r="M1183">
        <f>L1183*(1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IF(B1220=0,0,O1183/B1220)</f>
        <v/>
      </c>
      <c r="Q1183">
        <f>IFERROR(1/(IF(Inputs!$B$38="pvp",15,MAX(0.1,1-0.4*MIN(1,(B1212-1)/1.5)-IF(FALSE=TRUE,(Inputs!$B$32+1),0)))*(1-IF(AND(ArtifactsInput!$M$27,Inputs!$B$4="Chapter Hunt"),CHOOSE(ArtifactsInput!$N$27+1,20,24,28,32,36,40),0)/100)),0)</f>
        <v/>
      </c>
      <c r="R1183">
        <f>IF(AND(Inputs!$B$38&lt;&gt;"pvp",Inputs!$B$43&gt;0),IF(MAX(0,Inputs!$B$43-B1217)&lt;=0,0,(INT(MAX(0,Inputs!$B$43-B1217)/(IF(Inputs!$B$38="pvp",15,MAX(0.1,1-0.4*MIN(1,(B1212-1)/1.5)-IF(FALSE=TRUE,(Inputs!$B$32+1),0)))*(1-IF(AND(ArtifactsInput!$M$27,Inputs!$B$4="Chapter Hunt"),CHOOSE(ArtifactsInput!$N$27+1,20,24,28,32,36,40),0)/100)))+1)),0)</f>
        <v/>
      </c>
      <c r="S1183">
        <f>IFERROR(O1183/N1183,0)</f>
        <v/>
      </c>
      <c r="T1183">
        <f>IF(C1183,(H1183*N1183*IF(AND(Inputs!$B$38&lt;&gt;"pvp",Inputs!$B$43&gt;0),((Skills!G8*((R1183-1)*IF(Skills!H8&gt;0,INT(Skills!I8/Skills!H8+0.000000001),1)+IF(Skills!H8&gt;0,INT(MIN(Skills!I8,MAX(0,MAX(0,Inputs!$B$43-B1217)-((R1183-1)*(IF(Inputs!$B$38="pvp",15,MAX(0.1,1-0.4*MIN(1,(B1212-1)/1.5)-IF(FALSE=TRUE,(Inputs!$B$32+1),0)))*(1-IF(AND(ArtifactsInput!$M$27,Inputs!$B$4="Chapter Hunt"),CHOOSE(ArtifactsInput!$N$27+1,20,24,28,32,36,40),0)/100)))))/Skills!H8+0.000000001),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INT(Skills!I8/Skills!H8+0.000000001),1)+IF(Skills!H8&gt;0,INT(MIN(Skills!I8,MAX(0,MAX(0,Inputs!$B$43-B1217)-((R1183-1)*(IF(Inputs!$B$38="pvp",15,MAX(0.1,1-0.4*MIN(1,(B1212-1)/1.5)-IF(FALSE=TRUE,(Inputs!$B$32+1),0)))*(1-IF(AND(ArtifactsInput!$M$27,Inputs!$B$4="Chapter Hunt"),CHOOSE(ArtifactsInput!$N$27+1,20,24,28,32,36,40),0)/100)))))/Skills!H8+0.000000001),1)))/Inputs!$B$43),G1183*Q1183))*IF(Inputs!$B$38="pvp",1,(1+(Inputs!$B$21+Skills!Q8+(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Inputs!$B$3&gt;=69</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Skills!G9*IF(Skills!H9&gt;0,INT(IF(Inputs!$B$38="pvp",MIN(Skills!I9,15),Skills!I9)/Skills!H9+0.000000001),1)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1187=TRUE,F1187,0)/100)*(1+(IF(Skills!A9="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1201=TRUE)*(F1201-Calc!F26)),(Inputs!$B$23+((C1206=TRUE)*(F1206-Calc!F31))+(IF(ArtifactsInput!$M$15,CHOOSE(ArtifactsInput!$N$15+1,25,30,35,40,45,50)/100*(Inputs!$B$11-Inputs!$B$11),0))))/100+(Inputs!$B$23+((C1206=TRUE)*(F1206-Calc!F31))+(IF(ArtifactsInput!$M$15,CHOOSE(ArtifactsInput!$N$15+1,25,30,35,40,45,50)/100*(Inputs!$B$11-Inputs!$B$11),0)))/100)/2</f>
        <v/>
      </c>
      <c r="M1184">
        <f>L1184*(1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IF(B1220=0,0,O1184/B1220)</f>
        <v/>
      </c>
      <c r="Q1184">
        <f>IFERROR(1/(IF(Inputs!$B$38="pvp",15,MAX(0.1,Skills!D9-IF(TRUE=TRUE,(Inputs!$B$32+1),0)))*(1-IF(AND(ArtifactsInput!$M$27,Inputs!$B$4="Chapter Hunt"),CHOOSE(ArtifactsInput!$N$27+1,20,24,28,32,36,40),0)/100)),0)</f>
        <v/>
      </c>
      <c r="R1184">
        <f>IF(AND(Inputs!$B$38&lt;&gt;"pvp",Inputs!$B$43&gt;0),IF(MAX(0,Inputs!$B$43-B1217)&lt;=0,0,(INT(MAX(0,Inputs!$B$43-B1217)/(IF(Inputs!$B$38="pvp",15,MAX(0.1,Skills!D9-IF(TRUE=TRUE,(Inputs!$B$32+1),0)))*(1-IF(AND(ArtifactsInput!$M$27,Inputs!$B$4="Chapter Hunt"),CHOOSE(ArtifactsInput!$N$27+1,20,24,28,32,36,40),0)/100)))+1)),0)</f>
        <v/>
      </c>
      <c r="S1184">
        <f>IFERROR(O1184/N1184,0)</f>
        <v/>
      </c>
      <c r="T1184">
        <f>IF(C1184,(H1184*N1184*IF(AND(Inputs!$B$38&lt;&gt;"pvp",Inputs!$B$43&gt;0),((Skills!G9*((R1184-1)*IF(Skills!H9&gt;0,INT(Skills!I9/Skills!H9+0.000000001),1)+IF(Skills!H9&gt;0,INT(MIN(Skills!I9,MAX(0,MAX(0,Inputs!$B$43-B1217)-((R1184-1)*(IF(Inputs!$B$38="pvp",15,MAX(0.1,Skills!D9-IF(TRUE=TRUE,(Inputs!$B$32+1),0)))*(1-IF(AND(ArtifactsInput!$M$27,Inputs!$B$4="Chapter Hunt"),CHOOSE(ArtifactsInput!$N$27+1,20,24,28,32,36,40),0)/100)))))/Skills!H9+0.000000001),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INT(Skills!I9/Skills!H9+0.000000001),1)+IF(Skills!H9&gt;0,INT(MIN(Skills!I9,MAX(0,MAX(0,Inputs!$B$43-B1217)-((R1184-1)*(IF(Inputs!$B$38="pvp",15,MAX(0.1,Skills!D9-IF(TRUE=TRUE,(Inputs!$B$32+1),0)))*(1-IF(AND(ArtifactsInput!$M$27,Inputs!$B$4="Chapter Hunt"),CHOOSE(ArtifactsInput!$N$27+1,20,24,28,32,36,40),0)/100)))))/Skills!H9+0.000000001),1)))/Inputs!$B$43),G1184*Q1184))*IF(Inputs!$B$38="pvp",1,(1+(Inputs!$B$21+Skills!Q9+(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Inputs!$B$3&gt;=63</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f>Skills!G10*IF(Skills!H10&gt;0,INT(IF(Inputs!$B$38="pvp",MIN(Skills!I10,15),Skills!I10)/Skills!H10+0.000000001),1)</f>
        <v/>
      </c>
      <c r="H1185">
        <f>1-(1-Skills!J10/100)^Skills!K10</f>
        <v/>
      </c>
      <c r="I1185" t="inlineStr">
        <is>
          <t>1</t>
        </is>
      </c>
      <c r="J1185">
        <f>((Inputs!$B$6*(1+Inputs!$B$7/100))+(((Inputs!$B$12*(1+Inputs!$B$13/100))-(Inputs!$B$12*(1+Inputs!$B$13/100)))+0.25*(Inputs!$B$14-Inputs!$B$14))*(1+Inputs!$B$7/100))*(F1185/100)</f>
        <v/>
      </c>
      <c r="K1185">
        <f>J1185*(1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10="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1201=TRUE)*(F1201-Calc!F26)),(Inputs!$B$23+((C1206=TRUE)*(F1206-Calc!F31))+(IF(ArtifactsInput!$M$15,CHOOSE(ArtifactsInput!$N$15+1,25,30,35,40,45,50)/100*(Inputs!$B$11-Inputs!$B$11),0))))/100+(Inputs!$B$23+((C1206=TRUE)*(F1206-Calc!F31))+(IF(ArtifactsInput!$M$15,CHOOSE(ArtifactsInput!$N$15+1,25,30,35,40,45,50)/100*(Inputs!$B$11-Inputs!$B$11),0)))/100)/2</f>
        <v/>
      </c>
      <c r="M1185">
        <f>L1185*(1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IF(B1220=0,0,O1185/B1220)</f>
        <v/>
      </c>
      <c r="Q1185">
        <f>IFERROR(1/(IF(Inputs!$B$38="pvp",15,MAX(0.1,Skills!D10-IF(TRUE=TRUE,(Inputs!$B$32+1),0)))*(1-IF(AND(ArtifactsInput!$M$27,Inputs!$B$4="Chapter Hunt"),CHOOSE(ArtifactsInput!$N$27+1,20,24,28,32,36,40),0)/100)),0)</f>
        <v/>
      </c>
      <c r="R1185">
        <f>IF(AND(Inputs!$B$38&lt;&gt;"pvp",Inputs!$B$43&gt;0),IF(MAX(0,Inputs!$B$43-B1217)&lt;=0,0,(INT(MAX(0,Inputs!$B$43-B1217)/(IF(Inputs!$B$38="pvp",15,MAX(0.1,Skills!D10-IF(TRUE=TRUE,(Inputs!$B$32+1),0)))*(1-IF(AND(ArtifactsInput!$M$27,Inputs!$B$4="Chapter Hunt"),CHOOSE(ArtifactsInput!$N$27+1,20,24,28,32,36,40),0)/100)))+1)),0)</f>
        <v/>
      </c>
      <c r="S1185">
        <f>IFERROR(O1185/N1185,0)</f>
        <v/>
      </c>
      <c r="T1185">
        <f>IF(C1185,(H1185*N1185*IF(AND(Inputs!$B$38&lt;&gt;"pvp",Inputs!$B$43&gt;0),((Skills!G10*((R1185-1)*IF(Skills!H10&gt;0,INT(Skills!I10/Skills!H10+0.000000001),1)+IF(Skills!H10&gt;0,INT(MIN(Skills!I10,MAX(0,MAX(0,Inputs!$B$43-B1217)-((R1185-1)*(IF(Inputs!$B$38="pvp",15,MAX(0.1,Skills!D10-IF(TRUE=TRUE,(Inputs!$B$32+1),0)))*(1-IF(AND(ArtifactsInput!$M$27,Inputs!$B$4="Chapter Hunt"),CHOOSE(ArtifactsInput!$N$27+1,20,24,28,32,36,40),0)/100)))))/Skills!H10+0.000000001),1)))/Inputs!$B$43),G1185*Q1185)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IF(AND(Inputs!$B$38&lt;&gt;"pvp",Inputs!$B$43&gt;0),((Skills!G10*((R1185-1)*IF(Skills!H10&gt;0,INT(Skills!I10/Skills!H10+0.000000001),1)+IF(Skills!H10&gt;0,INT(MIN(Skills!I10,MAX(0,MAX(0,Inputs!$B$43-B1217)-((R1185-1)*(IF(Inputs!$B$38="pvp",15,MAX(0.1,Skills!D10-IF(TRUE=TRUE,(Inputs!$B$32+1),0)))*(1-IF(AND(ArtifactsInput!$M$27,Inputs!$B$4="Chapter Hunt"),CHOOSE(ArtifactsInput!$N$27+1,20,24,28,32,36,40),0)/100)))))/Skills!H10+0.000000001),1)))/Inputs!$B$43),G1185*Q1185))*IF(Inputs!$B$38="pvp",1,(1+(Inputs!$B$21+Skills!Q10+(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Skills!A11</f>
        <v/>
      </c>
      <c r="B1186">
        <f>Skills!B11</f>
        <v/>
      </c>
      <c r="C1186">
        <f>Inputs!$B$3&gt;=103</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Skills!G11*IF(Skills!H11&gt;0,INT(IF(Inputs!$B$38="pvp",MIN(Skills!I11,15),Skills!I11)/Skills!H11+0.000000001),1)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1201=TRUE)*(F1201-Calc!F26)),(Inputs!$B$23+((C1206=TRUE)*(F1206-Calc!F31))+(IF(ArtifactsInput!$M$15,CHOOSE(ArtifactsInput!$N$15+1,25,30,35,40,45,50)/100*(Inputs!$B$11-Inputs!$B$11),0))))/100+(Inputs!$B$23+((C1206=TRUE)*(F1206-Calc!F31))+(IF(ArtifactsInput!$M$15,CHOOSE(ArtifactsInput!$N$15+1,25,30,35,40,45,50)/100*(Inputs!$B$11-Inputs!$B$11),0)))/100)/2</f>
        <v/>
      </c>
      <c r="M1186">
        <f>L1186*(1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IF(B1220=0,0,O1186/B1220)</f>
        <v/>
      </c>
      <c r="Q1186">
        <f>IFERROR(1/(IF(Inputs!$B$38="pvp",15,MAX(0.1,Skills!D11-IF(TRUE=TRUE,(Inputs!$B$32+1),0)))*(1-IF(AND(ArtifactsInput!$M$27,Inputs!$B$4="Chapter Hunt"),CHOOSE(ArtifactsInput!$N$27+1,20,24,28,32,36,40),0)/100)),0)</f>
        <v/>
      </c>
      <c r="R1186">
        <f>IF(AND(Inputs!$B$38&lt;&gt;"pvp",Inputs!$B$43&gt;0),IF(MAX(0,Inputs!$B$43-B1217)&lt;=0,0,(INT(MAX(0,Inputs!$B$43-B1217)/(IF(Inputs!$B$38="pvp",15,MAX(0.1,Skills!D11-IF(TRUE=TRUE,(Inputs!$B$32+1),0)))*(1-IF(AND(ArtifactsInput!$M$27,Inputs!$B$4="Chapter Hunt"),CHOOSE(ArtifactsInput!$N$27+1,20,24,28,32,36,40),0)/100)))+1)),0)</f>
        <v/>
      </c>
      <c r="S1186">
        <f>IFERROR(O1186/N1186,0)</f>
        <v/>
      </c>
      <c r="T1186">
        <f>IF(C1186,(H1186*N1186*IF(AND(Inputs!$B$38&lt;&gt;"pvp",Inputs!$B$43&gt;0),((Skills!G11*((R1186-1)*IF(Skills!H11&gt;0,INT(Skills!I11/Skills!H11+0.000000001),1)+IF(Skills!H11&gt;0,INT(MIN(Skills!I11,MAX(0,MAX(0,Inputs!$B$43-B1217)-((R1186-1)*(IF(Inputs!$B$38="pvp",15,MAX(0.1,Skills!D11-IF(TRUE=TRUE,(Inputs!$B$32+1),0)))*(1-IF(AND(ArtifactsInput!$M$27,Inputs!$B$4="Chapter Hunt"),CHOOSE(ArtifactsInput!$N$27+1,20,24,28,32,36,40),0)/100)))))/Skills!H11+0.000000001)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INT(Skills!I11/Skills!H11+0.000000001),1)+IF(Skills!H11&gt;0,INT(MIN(Skills!I11,MAX(0,MAX(0,Inputs!$B$43-B1217)-((R1186-1)*(IF(Inputs!$B$38="pvp",15,MAX(0.1,Skills!D11-IF(TRUE=TRUE,(Inputs!$B$32+1),0)))*(1-IF(AND(ArtifactsInput!$M$27,Inputs!$B$4="Chapter Hunt"),CHOOSE(ArtifactsInput!$N$27+1,20,24,28,32,36,40),0)/100)))))/Skills!H11+0.000000001),1)))/Inputs!$B$43),G1186*Q1186))*IF(Inputs!$B$38="pvp",1,(1+(Inputs!$B$21+Skills!Q11+(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Inputs!$B$3&gt;=100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V1187" t="inlineStr"/>
    </row>
    <row r="1188">
      <c r="A1188">
        <f>Skills!A13</f>
        <v/>
      </c>
      <c r="B1188">
        <f>Skills!B13</f>
        <v/>
      </c>
      <c r="C1188">
        <f>Inputs!$B$3&gt;=60</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Skills!G13*IF(Skills!H13&gt;0,INT(IF(Inputs!$B$38="pvp",MIN(Skills!I13,15),Skills!I13)/Skills!H13+0.000000001),1)</f>
        <v/>
      </c>
      <c r="H1188">
        <f>1-(1-Skills!J13/100)^Skills!K13</f>
        <v/>
      </c>
      <c r="I1188" t="inlineStr">
        <is>
          <t>1</t>
        </is>
      </c>
      <c r="J1188">
        <f>((Inputs!$B$6*(1+Inputs!$B$7/100))+(((Inputs!$B$12*(1+Inputs!$B$13/100))-(Inputs!$B$12*(1+Inputs!$B$13/100)))+0.25*(Inputs!$B$14-Inputs!$B$14))*(1+Inputs!$B$7/100))*(F1188/100)</f>
        <v/>
      </c>
      <c r="K1188">
        <f>J1188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1189=TRUE,F1189,0)/100)*(1+(IF(Skills!A13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C1201=TRUE)*(F1201-Calc!F26)),(Inputs!$B$23+((C1206=TRUE)*(F1206-Calc!F31))+(IF(ArtifactsInput!$M$15,CHOOSE(ArtifactsInput!$N$15+1,25,30,35,40,45,50)/100*(Inputs!$B$11-Inputs!$B$11),0))))/100+(Inputs!$B$23+((C1206=TRUE)*(F1206-Calc!F31))+(IF(ArtifactsInput!$M$15,CHOOSE(ArtifactsInput!$N$15+1,25,30,35,40,45,50)/100*(Inputs!$B$11-Inputs!$B$11),0)))/100)/2</f>
        <v/>
      </c>
      <c r="M1188">
        <f>L1188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(1-Summary!$B$11)*T1188+Summary!$B$11*V1188</f>
        <v/>
      </c>
      <c r="P1188">
        <f>IF(B1220=0,0,O1188/B1220)</f>
        <v/>
      </c>
      <c r="Q1188">
        <f>IFERROR(1/(IF(Inputs!$B$38="pvp",15,MAX(0.1,IF(Inputs!$B$3&gt;=122,3,5)+1/(((20+30*(B1212-1)*100/150)/100)*B1212)-IF(FALSE=TRUE,(Inputs!$B$32+1),0)))*(1-IF(AND(ArtifactsInput!$M$27,Inputs!$B$4="Chapter Hunt"),CHOOSE(ArtifactsInput!$N$27+1,20,24,28,32,36,40),0)/100)),0)</f>
        <v/>
      </c>
      <c r="R1188">
        <f>IF(AND(Inputs!$B$38&lt;&gt;"pvp",Inputs!$B$43&gt;0),IF(MAX(0,Inputs!$B$43-B1217)&lt;=0,0,(INT(MAX(0,Inputs!$B$43-B1217)/(IF(Inputs!$B$38="pvp",15,MAX(0.1,IF(Inputs!$B$3&gt;=122,3,5)+1/(((20+30*(B1212-1)*100/150)/100)*B1212)-IF(FALSE=TRUE,(Inputs!$B$32+1),0)))*(1-IF(AND(ArtifactsInput!$M$27,Inputs!$B$4="Chapter Hunt"),CHOOSE(ArtifactsInput!$N$27+1,20,24,28,32,36,40),0)/100)))+1)),0)</f>
        <v/>
      </c>
      <c r="S1188">
        <f>IFERROR(O1188/N1188,0)</f>
        <v/>
      </c>
      <c r="T1188">
        <f>IF(C1188,(H1188*N1188*IF(AND(Inputs!$B$38&lt;&gt;"pvp",Inputs!$B$43&gt;0),((Skills!G13*((R1188-1)*IF(Skills!H13&gt;0,INT(Skills!I13/Skills!H13+0.000000001),1)+IF(Skills!H13&gt;0,INT(MIN(Skills!I13,MAX(0,MAX(0,Inputs!$B$43-B1217)-((R1188-1)*(IF(Inputs!$B$38="pvp",15,MAX(0.1,IF(Inputs!$B$3&gt;=122,3,5)+1/(((20+30*(B1212-1)*100/150)/100)*B1212)-IF(FALSE=TRUE,(Inputs!$B$32+1),0)))*(1-IF(AND(ArtifactsInput!$M$27,Inputs!$B$4="Chapter Hunt"),CHOOSE(ArtifactsInput!$N$27+1,20,24,28,32,36,40),0)/100)))))/Skills!H13+0.000000001),1)))/Inputs!$B$43),G1188*Q1188)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8">
        <f>IF(C1188,(H1188*N1188*IF(AND(Inputs!$B$38&lt;&gt;"pvp",Inputs!$B$43&gt;0),((Skills!G13*((R1188-1)*IF(Skills!H13&gt;0,INT(Skills!I13/Skills!H13+0.000000001),1)+IF(Skills!H13&gt;0,INT(MIN(Skills!I13,MAX(0,MAX(0,Inputs!$B$43-B1217)-((R1188-1)*(IF(Inputs!$B$38="pvp",15,MAX(0.1,IF(Inputs!$B$3&gt;=122,3,5)+1/(((20+30*(B1212-1)*100/150)/100)*B1212)-IF(FALSE=TRUE,(Inputs!$B$32+1),0)))*(1-IF(AND(ArtifactsInput!$M$27,Inputs!$B$4="Chapter Hunt"),CHOOSE(ArtifactsInput!$N$27+1,20,24,28,32,36,40),0)/100)))))/Skills!H13+0.000000001),1)))/Inputs!$B$43),G1188*Q1188))*IF(Inputs!$B$38="pvp",1,(1+(Inputs!$B$21+Skills!Q13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Skills!A14</f>
        <v/>
      </c>
      <c r="B1189">
        <f>Skills!B14</f>
        <v/>
      </c>
      <c r="C1189">
        <f>Inputs!$B$3&gt;=110</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t="inlineStr"/>
      <c r="H1189" t="inlineStr"/>
      <c r="I1189" t="inlineStr">
        <is>
          <t>1</t>
        </is>
      </c>
      <c r="J1189" t="inlineStr"/>
      <c r="K1189" t="inlineStr"/>
      <c r="L1189" t="inlineStr"/>
      <c r="M1189" t="inlineStr"/>
      <c r="N1189" t="inlineStr"/>
      <c r="O1189" t="inlineStr"/>
      <c r="P1189" t="inlineStr"/>
      <c r="Q1189" t="inlineStr"/>
      <c r="R1189" t="inlineStr"/>
      <c r="S1189" t="inlineStr"/>
      <c r="T1189" t="inlineStr"/>
      <c r="V1189" t="inlineStr"/>
    </row>
    <row r="1190">
      <c r="A1190">
        <f>Skills!A15</f>
        <v/>
      </c>
      <c r="B1190">
        <f>Skills!B15</f>
        <v/>
      </c>
      <c r="C1190">
        <f>Inputs!$B$3&gt;=74</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f>Skills!G15*IF(Skills!H15&gt;0,INT(IF(Inputs!$B$38="pvp",MIN(Skills!I15,15),Skills!I15)/Skills!H15+0.000000001),1)</f>
        <v/>
      </c>
      <c r="H1190">
        <f>1-(1-Skills!J15/100)^Skills!K15</f>
        <v/>
      </c>
      <c r="I1190" t="inlineStr">
        <is>
          <t>1</t>
        </is>
      </c>
      <c r="J1190" t="inlineStr"/>
      <c r="K1190" t="inlineStr"/>
      <c r="L1190" t="inlineStr"/>
      <c r="M1190" t="inlineStr"/>
      <c r="N1190" t="inlineStr"/>
      <c r="O1190">
        <f>(1-Summary!$B$11)*T1190+Summary!$B$11*V1190</f>
        <v/>
      </c>
      <c r="P1190">
        <f>IF(B1220=0,0,O1190/B1220)</f>
        <v/>
      </c>
      <c r="Q1190" t="n">
        <v>0</v>
      </c>
      <c r="R1190" t="n">
        <v>0</v>
      </c>
      <c r="S1190">
        <f>IFERROR(O1190/N1190,0)</f>
        <v/>
      </c>
      <c r="T1190" t="n">
        <v>0</v>
      </c>
      <c r="V1190" t="n">
        <v>0</v>
      </c>
    </row>
    <row r="1191">
      <c r="A1191">
        <f>Skills!A16</f>
        <v/>
      </c>
      <c r="B1191">
        <f>Skills!B16</f>
        <v/>
      </c>
      <c r="C1191">
        <f>Inputs!$B$3&gt;=74</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f>Skills!G16*IF(Skills!H16&gt;0,INT(IF(Inputs!$B$38="pvp",MIN(Skills!I16,15),Skills!I16)/Skills!H16+0.000000001),1)</f>
        <v/>
      </c>
      <c r="H1191">
        <f>1-(1-Skills!J16/100)^Skills!K16</f>
        <v/>
      </c>
      <c r="I1191" t="inlineStr">
        <is>
          <t>1</t>
        </is>
      </c>
      <c r="J1191" t="inlineStr"/>
      <c r="K1191" t="inlineStr"/>
      <c r="L1191" t="inlineStr"/>
      <c r="M1191" t="inlineStr"/>
      <c r="N1191" t="inlineStr"/>
      <c r="O1191">
        <f>(1-Summary!$B$11)*T1191+Summary!$B$11*V1191</f>
        <v/>
      </c>
      <c r="P1191">
        <f>IF(B1220=0,0,O1191/B1220)</f>
        <v/>
      </c>
      <c r="Q1191" t="n">
        <v>0</v>
      </c>
      <c r="R1191" t="n">
        <v>0</v>
      </c>
      <c r="S1191">
        <f>IFERROR(O1191/N1191,0)</f>
        <v/>
      </c>
      <c r="T1191" t="n">
        <v>0</v>
      </c>
      <c r="V1191" t="n">
        <v>0</v>
      </c>
    </row>
    <row r="1192">
      <c r="A1192">
        <f>Skills!A17</f>
        <v/>
      </c>
      <c r="B1192">
        <f>Skills!B17</f>
        <v/>
      </c>
      <c r="C1192">
        <f>Inputs!$B$3&gt;=117</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Skills!G17*IF(Skills!H17&gt;0,INT(IF(Inputs!$B$38="pvp",MIN(Skills!I17,15),Skills!I17)/Skills!H17+0.000000001),1)</f>
        <v/>
      </c>
      <c r="H1192">
        <f>1-(1-Skills!J17/100)^Skills!K17</f>
        <v/>
      </c>
      <c r="I1192" t="inlineStr">
        <is>
          <t>1</t>
        </is>
      </c>
      <c r="J1192" t="inlineStr"/>
      <c r="K1192" t="inlineStr"/>
      <c r="L1192" t="inlineStr"/>
      <c r="M1192" t="inlineStr"/>
      <c r="N1192" t="inlineStr"/>
      <c r="O1192">
        <f>(1-Summary!$B$11)*T1192+Summary!$B$11*V1192</f>
        <v/>
      </c>
      <c r="P1192">
        <f>IF(B1220=0,0,O1192/B1220)</f>
        <v/>
      </c>
      <c r="Q1192">
        <f>IFERROR(1/(IF(Inputs!$B$38="pvp",15,MAX(0.1,Skills!D17-IF(TRUE=TRUE,(Inputs!$B$32+1),0)))*(1-IF(AND(ArtifactsInput!$M$27,Inputs!$B$4="Chapter Hunt"),CHOOSE(ArtifactsInput!$N$27+1,20,24,28,32,36,40),0)/100)),0)</f>
        <v/>
      </c>
      <c r="R1192">
        <f>IF(AND(Inputs!$B$38&lt;&gt;"pvp",Inputs!$B$43&gt;0),IF(Inputs!$B$43&lt;=0,0,(INT(Inputs!$B$43/(IF(Inputs!$B$38="pvp",15,MAX(0.1,Skills!D17-IF(TRUE=TRUE,(Inputs!$B$32+1),0)))*(1-IF(AND(ArtifactsInput!$M$27,Inputs!$B$4="Chapter Hunt"),CHOOSE(ArtifactsInput!$N$27+1,20,24,28,32,36,40),0)/100)))+1)),0)</f>
        <v/>
      </c>
      <c r="S1192">
        <f>IFERROR(O1192/N1192,0)</f>
        <v/>
      </c>
      <c r="T1192" t="n">
        <v>0</v>
      </c>
      <c r="V1192" t="n">
        <v>0</v>
      </c>
    </row>
    <row r="1193">
      <c r="A1193">
        <f>Skills!A18</f>
        <v/>
      </c>
      <c r="B1193">
        <f>Skills!B18</f>
        <v/>
      </c>
      <c r="C1193">
        <f>Inputs!$B$3&gt;=115</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Skills!G18*IF(Skills!H18&gt;0,INT(IF(Inputs!$B$38="pvp",MIN(Skills!I18,15),Skills!I18)/Skills!H18+0.000000001),1)</f>
        <v/>
      </c>
      <c r="H1193">
        <f>1-(1-Skills!J18/100)^Skills!K18</f>
        <v/>
      </c>
      <c r="I1193" t="inlineStr">
        <is>
          <t>1</t>
        </is>
      </c>
      <c r="J1193" t="inlineStr"/>
      <c r="K1193" t="inlineStr"/>
      <c r="L1193" t="inlineStr"/>
      <c r="M1193" t="inlineStr"/>
      <c r="N1193" t="inlineStr"/>
      <c r="O1193">
        <f>(1-Summary!$B$11)*T1193+Summary!$B$11*V1193</f>
        <v/>
      </c>
      <c r="P1193">
        <f>IF(B1220=0,0,O1193/B1220)</f>
        <v/>
      </c>
      <c r="Q1193">
        <f>IFERROR(1/(IF(Inputs!$B$38="pvp",15,MAX(0.1,Skills!D18-IF(TRUE=TRUE,(Inputs!$B$32+1),0)))*(1-IF(AND(ArtifactsInput!$M$27,Inputs!$B$4="Chapter Hunt"),CHOOSE(ArtifactsInput!$N$27+1,20,24,28,32,36,40),0)/100)),0)</f>
        <v/>
      </c>
      <c r="R1193">
        <f>IF(AND(Inputs!$B$38&lt;&gt;"pvp",Inputs!$B$43&gt;0),IF(Inputs!$B$43&lt;=0,0,(INT(Inputs!$B$43/(IF(Inputs!$B$38="pvp",15,MAX(0.1,Skills!D18-IF(TRUE=TRUE,(Inputs!$B$32+1),0)))*(1-IF(AND(ArtifactsInput!$M$27,Inputs!$B$4="Chapter Hunt"),CHOOSE(ArtifactsInput!$N$27+1,20,24,28,32,36,40),0)/100)))+1)),0)</f>
        <v/>
      </c>
      <c r="S1193">
        <f>IFERROR(O1193/N1193,0)</f>
        <v/>
      </c>
      <c r="T1193" t="n">
        <v>0</v>
      </c>
      <c r="V1193" t="n">
        <v>0</v>
      </c>
    </row>
    <row r="1194">
      <c r="A1194">
        <f>Skills!A19</f>
        <v/>
      </c>
      <c r="B1194">
        <f>Skills!B19</f>
        <v/>
      </c>
      <c r="C1194">
        <f>Inputs!$B$3&gt;=66</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Skills!G19*IF(Skills!H19&gt;0,INT(IF(Inputs!$B$38="pvp",MIN(Skills!I19,15),Skills!I19)/Skills!H19+0.000000001),1)</f>
        <v/>
      </c>
      <c r="H1194">
        <f>1-(1-Skills!J19/100)^Skills!K19</f>
        <v/>
      </c>
      <c r="I1194" t="inlineStr">
        <is>
          <t>1</t>
        </is>
      </c>
      <c r="J1194" t="inlineStr"/>
      <c r="K1194" t="inlineStr"/>
      <c r="L1194" t="inlineStr"/>
      <c r="M1194" t="inlineStr"/>
      <c r="N1194" t="inlineStr"/>
      <c r="O1194">
        <f>(1-Summary!$B$11)*T1194+Summary!$B$11*V1194</f>
        <v/>
      </c>
      <c r="P1194">
        <f>IF(B1220=0,0,O1194/B1220)</f>
        <v/>
      </c>
      <c r="Q1194" t="n">
        <v>0</v>
      </c>
      <c r="R1194" t="n">
        <v>0</v>
      </c>
      <c r="S1194">
        <f>IFERROR(O1194/N1194,0)</f>
        <v/>
      </c>
      <c r="T1194" t="n">
        <v>0</v>
      </c>
      <c r="V1194" t="n">
        <v>0</v>
      </c>
    </row>
    <row r="1195">
      <c r="A1195">
        <f>Skills!A20</f>
        <v/>
      </c>
      <c r="B1195">
        <f>Skills!B20</f>
        <v/>
      </c>
      <c r="C1195">
        <f>Inputs!$B$3&gt;=72</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Skills!G20*IF(Skills!H20&gt;0,INT(IF(Inputs!$B$38="pvp",MIN(Skills!I20,15),Skills!I20)/Skills!H20+0.000000001),1)</f>
        <v/>
      </c>
      <c r="H1195">
        <f>1-(1-Skills!J20/100)^Skills!K20</f>
        <v/>
      </c>
      <c r="I1195" t="inlineStr">
        <is>
          <t>1</t>
        </is>
      </c>
      <c r="J1195" t="inlineStr"/>
      <c r="K1195" t="inlineStr"/>
      <c r="L1195" t="inlineStr"/>
      <c r="M1195" t="inlineStr"/>
      <c r="N1195" t="inlineStr"/>
      <c r="O1195">
        <f>(1-Summary!$B$11)*T1195+Summary!$B$11*V1195</f>
        <v/>
      </c>
      <c r="P1195">
        <f>IF(B1220=0,0,O1195/B1220)</f>
        <v/>
      </c>
      <c r="Q1195" t="n">
        <v>0</v>
      </c>
      <c r="R1195" t="n">
        <v>0</v>
      </c>
      <c r="S1195">
        <f>IFERROR(O1195/N1195,0)</f>
        <v/>
      </c>
      <c r="T1195" t="n">
        <v>0</v>
      </c>
      <c r="V1195" t="n">
        <v>0</v>
      </c>
    </row>
    <row r="1196">
      <c r="A1196">
        <f>Skills!A21</f>
        <v/>
      </c>
      <c r="B1196">
        <f>Skills!B21</f>
        <v/>
      </c>
      <c r="C1196">
        <f>TRUE</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Skills!G21*IF(Skills!H21&gt;0,INT(IF(Inputs!$B$38="pvp",MIN(Skills!I21,15),Skills!I21)/Skills!H21+0.000000001),1)</f>
        <v/>
      </c>
      <c r="H1196">
        <f>1-(1-Skills!J21/100)^Skills!K21</f>
        <v/>
      </c>
      <c r="I1196" t="inlineStr">
        <is>
          <t>1</t>
        </is>
      </c>
      <c r="J1196" t="inlineStr"/>
      <c r="K1196" t="inlineStr"/>
      <c r="L1196" t="inlineStr"/>
      <c r="M1196" t="inlineStr"/>
      <c r="N1196" t="inlineStr"/>
      <c r="O1196">
        <f>(1-Summary!$B$11)*T1196+Summary!$B$11*V1196</f>
        <v/>
      </c>
      <c r="P1196">
        <f>IF(B1220=0,0,O1196/B1220)</f>
        <v/>
      </c>
      <c r="Q1196">
        <f>IFERROR(1/(IF(Inputs!$B$38="pvp",15,MAX(0.1,Skills!D21-IF(TRUE=TRUE,(Inputs!$B$32+1),0)))*(1-IF(AND(ArtifactsInput!$M$27,Inputs!$B$4="Chapter Hunt"),CHOOSE(ArtifactsInput!$N$27+1,20,24,28,32,36,40),0)/100)),0)</f>
        <v/>
      </c>
      <c r="R1196">
        <f>IF(AND(Inputs!$B$38&lt;&gt;"pvp",Inputs!$B$43&gt;0),IF(Inputs!$B$43&lt;=0,0,(INT(Inputs!$B$43/(IF(Inputs!$B$38="pvp",15,MAX(0.1,Skills!D21-IF(TRUE=TRUE,(Inputs!$B$32+1),0)))*(1-IF(AND(ArtifactsInput!$M$27,Inputs!$B$4="Chapter Hunt"),CHOOSE(ArtifactsInput!$N$27+1,20,24,28,32,36,40),0)/100)))+1)),0)</f>
        <v/>
      </c>
      <c r="S1196">
        <f>IFERROR(O1196/N1196,0)</f>
        <v/>
      </c>
      <c r="T1196" t="n">
        <v>0</v>
      </c>
      <c r="V1196" t="n">
        <v>0</v>
      </c>
    </row>
    <row r="1197">
      <c r="A1197">
        <f>Skills!A22</f>
        <v/>
      </c>
      <c r="B1197">
        <f>Skills!B22</f>
        <v/>
      </c>
      <c r="C1197">
        <f>Inputs!$B$3&gt;=15</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Skills!G22*IF(Skills!H22&gt;0,INT(IF(Inputs!$B$38="pvp",MIN(Skills!I22,15),Skills!I22)/Skills!H22+0.000000001),1)</f>
        <v/>
      </c>
      <c r="H1197">
        <f>1-(1-Skills!J22/100)^Skills!K22</f>
        <v/>
      </c>
      <c r="I1197" t="inlineStr">
        <is>
          <t>1</t>
        </is>
      </c>
      <c r="J1197" t="inlineStr"/>
      <c r="K1197" t="inlineStr"/>
      <c r="L1197" t="inlineStr"/>
      <c r="M1197" t="inlineStr"/>
      <c r="N1197" t="inlineStr"/>
      <c r="O1197">
        <f>(1-Summary!$B$11)*T1197+Summary!$B$11*V1197</f>
        <v/>
      </c>
      <c r="P1197">
        <f>IF(B1220=0,0,O1197/B1220)</f>
        <v/>
      </c>
      <c r="Q1197" t="n">
        <v>0</v>
      </c>
      <c r="R1197" t="n">
        <v>0</v>
      </c>
      <c r="S1197">
        <f>IFERROR(O1197/N1197,0)</f>
        <v/>
      </c>
      <c r="T1197" t="n">
        <v>0</v>
      </c>
      <c r="V1197" t="n">
        <v>0</v>
      </c>
    </row>
    <row r="1198">
      <c r="A1198">
        <f>Skills!A23</f>
        <v/>
      </c>
      <c r="B1198">
        <f>Skills!B23</f>
        <v/>
      </c>
      <c r="C1198">
        <f>Inputs!$B$3&gt;=10</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Skills!G23*IF(Skills!H23&gt;0,INT(IF(Inputs!$B$38="pvp",MIN(Skills!I23,15),Skills!I23)/Skills!H23+0.000000001),1)</f>
        <v/>
      </c>
      <c r="H1198">
        <f>1-(1-Skills!J23/100)^Skills!K23</f>
        <v/>
      </c>
      <c r="I1198" t="inlineStr">
        <is>
          <t>1</t>
        </is>
      </c>
      <c r="J1198" t="inlineStr"/>
      <c r="K1198" t="inlineStr"/>
      <c r="L1198" t="inlineStr"/>
      <c r="M1198" t="inlineStr"/>
      <c r="N1198" t="inlineStr"/>
      <c r="O1198">
        <f>(1-Summary!$B$11)*T1198+Summary!$B$11*V1198</f>
        <v/>
      </c>
      <c r="P1198">
        <f>IF(B1220=0,0,O1198/B1220)</f>
        <v/>
      </c>
      <c r="Q1198" t="n">
        <v>0</v>
      </c>
      <c r="R1198" t="n">
        <v>0</v>
      </c>
      <c r="S1198">
        <f>IFERROR(O1198/N1198,0)</f>
        <v/>
      </c>
      <c r="T1198" t="n">
        <v>0</v>
      </c>
      <c r="V1198" t="n">
        <v>0</v>
      </c>
    </row>
    <row r="1199">
      <c r="A1199">
        <f>Skills!A24</f>
        <v/>
      </c>
      <c r="B1199">
        <f>Skills!B24</f>
        <v/>
      </c>
      <c r="C1199">
        <f>Inputs!$B$3&gt;=33</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Skills!G24*IF(Skills!H24&gt;0,INT(IF(Inputs!$B$38="pvp",MIN(Skills!I24,15),Skills!I24)/Skills!H24+0.000000001),1)</f>
        <v/>
      </c>
      <c r="H1199">
        <f>1-(1-Skills!J24/100)^Skills!K24</f>
        <v/>
      </c>
      <c r="I1199" t="inlineStr">
        <is>
          <t>1</t>
        </is>
      </c>
      <c r="J1199" t="inlineStr"/>
      <c r="K1199" t="inlineStr"/>
      <c r="L1199" t="inlineStr"/>
      <c r="M1199" t="inlineStr"/>
      <c r="N1199" t="inlineStr"/>
      <c r="O1199">
        <f>(1-Summary!$B$11)*T1199+Summary!$B$11*V1199</f>
        <v/>
      </c>
      <c r="P1199">
        <f>IF(B1220=0,0,O1199/B1220)</f>
        <v/>
      </c>
      <c r="Q1199" t="n">
        <v>0</v>
      </c>
      <c r="R1199" t="n">
        <v>0</v>
      </c>
      <c r="S1199">
        <f>IFERROR(O1199/N1199,0)</f>
        <v/>
      </c>
      <c r="T1199" t="n">
        <v>0</v>
      </c>
      <c r="V1199" t="n">
        <v>0</v>
      </c>
    </row>
    <row r="1200">
      <c r="A1200">
        <f>Skills!A25</f>
        <v/>
      </c>
      <c r="B1200">
        <f>Skills!B25</f>
        <v/>
      </c>
      <c r="C1200">
        <f>Inputs!$B$3&gt;=38</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Skills!G25*IF(Skills!H25&gt;0,INT(IF(Inputs!$B$38="pvp",MIN(Skills!I25,15),Skills!I25)/Skills!H25+0.000000001),1)</f>
        <v/>
      </c>
      <c r="H1200">
        <f>1-(1-Skills!J25/100)^Skills!K25</f>
        <v/>
      </c>
      <c r="I1200" t="inlineStr">
        <is>
          <t>1</t>
        </is>
      </c>
      <c r="J1200" t="inlineStr"/>
      <c r="K1200" t="inlineStr"/>
      <c r="L1200" t="inlineStr"/>
      <c r="M1200" t="inlineStr"/>
      <c r="N1200" t="inlineStr"/>
      <c r="O1200">
        <f>(1-Summary!$B$11)*T1200+Summary!$B$11*V1200</f>
        <v/>
      </c>
      <c r="P1200">
        <f>IF(B1220=0,0,O1200/B1220)</f>
        <v/>
      </c>
      <c r="Q1200" t="n">
        <v>0</v>
      </c>
      <c r="R1200" t="n">
        <v>0</v>
      </c>
      <c r="S1200">
        <f>IFERROR(O1200/N1200,0)</f>
        <v/>
      </c>
      <c r="T1200" t="n">
        <v>0</v>
      </c>
      <c r="V1200" t="n">
        <v>0</v>
      </c>
    </row>
    <row r="1201">
      <c r="A1201">
        <f>Skills!A26</f>
        <v/>
      </c>
      <c r="B1201">
        <f>Skills!B26</f>
        <v/>
      </c>
      <c r="C1201">
        <f>Inputs!$B$3&gt;=43</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Skills!G26*IF(Skills!H26&gt;0,INT(IF(Inputs!$B$38="pvp",MIN(Skills!I26,15),Skills!I26)/Skills!H26+0.000000001),1)</f>
        <v/>
      </c>
      <c r="H1201">
        <f>1-(1-Skills!J26/100)^Skills!K26</f>
        <v/>
      </c>
      <c r="I1201" t="inlineStr">
        <is>
          <t>1</t>
        </is>
      </c>
      <c r="J1201" t="inlineStr"/>
      <c r="K1201" t="inlineStr"/>
      <c r="L1201" t="inlineStr"/>
      <c r="M1201" t="inlineStr"/>
      <c r="N1201" t="inlineStr"/>
      <c r="O1201">
        <f>(1-Summary!$B$11)*T1201+Summary!$B$11*V1201</f>
        <v/>
      </c>
      <c r="P1201">
        <f>IF(B1220=0,0,O1201/B1220)</f>
        <v/>
      </c>
      <c r="Q1201" t="n">
        <v>0</v>
      </c>
      <c r="R1201" t="n">
        <v>0</v>
      </c>
      <c r="S1201">
        <f>IFERROR(O1201/N1201,0)</f>
        <v/>
      </c>
      <c r="T1201" t="n">
        <v>0</v>
      </c>
      <c r="V1201" t="n">
        <v>0</v>
      </c>
    </row>
    <row r="1202">
      <c r="A1202">
        <f>Skills!A27</f>
        <v/>
      </c>
      <c r="B1202">
        <f>Skills!B27</f>
        <v/>
      </c>
      <c r="C1202">
        <f>Inputs!$B$3&gt;=75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Skills!G27*IF(Skills!H27&gt;0,INT(IF(Inputs!$B$38="pvp",MIN(Skills!I27,15),Skills!I27)/Skills!H27+0.000000001),1)</f>
        <v/>
      </c>
      <c r="H1202">
        <f>1-(1-Skills!J27/100)^Skills!K27</f>
        <v/>
      </c>
      <c r="I1202" t="inlineStr">
        <is>
          <t>1</t>
        </is>
      </c>
      <c r="J1202" t="inlineStr"/>
      <c r="K1202" t="inlineStr"/>
      <c r="L1202" t="inlineStr"/>
      <c r="M1202" t="inlineStr"/>
      <c r="N1202" t="inlineStr"/>
      <c r="O1202">
        <f>(1-Summary!$B$11)*T1202+Summary!$B$11*V1202</f>
        <v/>
      </c>
      <c r="P1202">
        <f>IF(B1220=0,0,O1202/B1220)</f>
        <v/>
      </c>
      <c r="Q1202" t="n">
        <v>0</v>
      </c>
      <c r="R1202" t="n">
        <v>0</v>
      </c>
      <c r="S1202">
        <f>IFERROR(O1202/N1202,0)</f>
        <v/>
      </c>
      <c r="T1202" t="n">
        <v>0</v>
      </c>
      <c r="V1202" t="n">
        <v>0</v>
      </c>
    </row>
    <row r="1203">
      <c r="A1203">
        <f>Skills!A28</f>
        <v/>
      </c>
      <c r="B1203">
        <f>Skills!B28</f>
        <v/>
      </c>
      <c r="C1203">
        <f>Inputs!$B$3&gt;=125</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Skills!G28*IF(Skills!H28&gt;0,INT(IF(Inputs!$B$38="pvp",MIN(Skills!I28,15),Skills!I28)/Skills!H28+0.000000001),1)</f>
        <v/>
      </c>
      <c r="H1203">
        <f>1-(1-Skills!J28/100)^Skills!K28</f>
        <v/>
      </c>
      <c r="I1203" t="inlineStr">
        <is>
          <t>1</t>
        </is>
      </c>
      <c r="J1203" t="inlineStr"/>
      <c r="K1203" t="inlineStr"/>
      <c r="L1203" t="inlineStr"/>
      <c r="M1203" t="inlineStr"/>
      <c r="N1203" t="inlineStr"/>
      <c r="O1203">
        <f>(1-Summary!$B$11)*T1203+Summary!$B$11*V1203</f>
        <v/>
      </c>
      <c r="P1203">
        <f>IF(B1220=0,0,O1203/B1220)</f>
        <v/>
      </c>
      <c r="Q1203" t="n">
        <v>0</v>
      </c>
      <c r="R1203" t="n">
        <v>0</v>
      </c>
      <c r="S1203">
        <f>IFERROR(O1203/N1203,0)</f>
        <v/>
      </c>
      <c r="T1203" t="n">
        <v>0</v>
      </c>
      <c r="V1203" t="n">
        <v>0</v>
      </c>
    </row>
    <row r="1204">
      <c r="A1204">
        <f>Skills!A29</f>
        <v/>
      </c>
      <c r="B1204">
        <f>Skills!B29</f>
        <v/>
      </c>
      <c r="C1204">
        <f>Inputs!$B$3&gt;=125</f>
        <v/>
      </c>
      <c r="D1204">
        <f>IF(Skills!C29=1,60+Inputs!$B$25+Inputs!$B$29,IF(Skills!C29=2,90+Inputs!$B$26+Inputs!$B$29,IF(Skills!C29=3,120+Inputs!$B$27+Inputs!$B$29,MAX(0,(Inputs!$B$3-100)*3)+Inputs!$B$28+Inputs!$B$29)))</f>
        <v/>
      </c>
      <c r="E1204">
        <f>INDEX(FactorTable!$B$2:$Y$301, MATCH(ROUND(MIN(300,MAX(1,D1204)),0), FactorTable!$A$2:$A$301,0), Skills!M29+1)</f>
        <v/>
      </c>
      <c r="F1204">
        <f>IF(Skills!N29=TRUE,(Skills!L29/10)*(E1204/1000),Skills!L29/10)+Skills!O29</f>
        <v/>
      </c>
      <c r="G1204">
        <f>Skills!G29*IF(Skills!H29&gt;0,INT(IF(Inputs!$B$38="pvp",MIN(Skills!I29,15),Skills!I29)/Skills!H29+0.000000001),1)</f>
        <v/>
      </c>
      <c r="H1204">
        <f>1-(1-Skills!J29/100)^Skills!K29</f>
        <v/>
      </c>
      <c r="I1204" t="inlineStr">
        <is>
          <t>1</t>
        </is>
      </c>
      <c r="J1204" t="inlineStr"/>
      <c r="K1204" t="inlineStr"/>
      <c r="L1204" t="inlineStr"/>
      <c r="M1204" t="inlineStr"/>
      <c r="N1204" t="inlineStr"/>
      <c r="O1204">
        <f>(1-Summary!$B$11)*T1204+Summary!$B$11*V1204</f>
        <v/>
      </c>
      <c r="P1204">
        <f>IF(B1220=0,0,O1204/B1220)</f>
        <v/>
      </c>
      <c r="Q1204" t="n">
        <v>0</v>
      </c>
      <c r="R1204" t="n">
        <v>0</v>
      </c>
      <c r="S1204">
        <f>IFERROR(O1204/N1204,0)</f>
        <v/>
      </c>
      <c r="T1204" t="n">
        <v>0</v>
      </c>
      <c r="V1204" t="n">
        <v>0</v>
      </c>
    </row>
    <row r="1205">
      <c r="A1205">
        <f>Skills!A30</f>
        <v/>
      </c>
      <c r="B1205">
        <f>Skills!B30</f>
        <v/>
      </c>
      <c r="C1205">
        <f>Inputs!$B$3&gt;=120</f>
        <v/>
      </c>
      <c r="D1205">
        <f>IF(Skills!C30=1,60+Inputs!$B$25+Inputs!$B$29,IF(Skills!C30=2,90+Inputs!$B$26+Inputs!$B$29,IF(Skills!C30=3,120+Inputs!$B$27+Inputs!$B$29,MAX(0,(Inputs!$B$3-100)*3)+Inputs!$B$28+Inputs!$B$29)))</f>
        <v/>
      </c>
      <c r="E1205">
        <f>INDEX(FactorTable!$B$2:$Y$301, MATCH(ROUND(MIN(300,MAX(1,D1205)),0), FactorTable!$A$2:$A$301,0), Skills!M30+1)</f>
        <v/>
      </c>
      <c r="F1205">
        <f>IF(Skills!N30=TRUE,(Skills!L30/10)*(E1205/1000),Skills!L30/10)+Skills!O30</f>
        <v/>
      </c>
      <c r="G1205">
        <f>Skills!G30*IF(Skills!H30&gt;0,INT(IF(Inputs!$B$38="pvp",MIN(Skills!I30,15),Skills!I30)/Skills!H30+0.000000001),1)</f>
        <v/>
      </c>
      <c r="H1205">
        <f>1-(1-Skills!J30/100)^Skills!K30</f>
        <v/>
      </c>
      <c r="I1205" t="inlineStr">
        <is>
          <t>1</t>
        </is>
      </c>
      <c r="J1205" t="inlineStr"/>
      <c r="K1205" t="inlineStr"/>
      <c r="L1205" t="inlineStr"/>
      <c r="M1205" t="inlineStr"/>
      <c r="N1205" t="inlineStr"/>
      <c r="O1205">
        <f>(1-Summary!$B$11)*T1205+Summary!$B$11*V1205</f>
        <v/>
      </c>
      <c r="P1205">
        <f>IF(B1220=0,0,O1205/B1220)</f>
        <v/>
      </c>
      <c r="Q1205" t="n">
        <v>0</v>
      </c>
      <c r="R1205" t="n">
        <v>0</v>
      </c>
      <c r="S1205">
        <f>IFERROR(O1205/N1205,0)</f>
        <v/>
      </c>
      <c r="T1205" t="n">
        <v>0</v>
      </c>
      <c r="V1205" t="n">
        <v>0</v>
      </c>
    </row>
    <row r="1206">
      <c r="A1206">
        <f>Skills!A31</f>
        <v/>
      </c>
      <c r="B1206">
        <f>Skills!B31</f>
        <v/>
      </c>
      <c r="C1206">
        <f>Inputs!$B$3&gt;=120</f>
        <v/>
      </c>
      <c r="D1206">
        <f>IF(Skills!C31=1,60+Inputs!$B$25+Inputs!$B$29,IF(Skills!C31=2,90+Inputs!$B$26+Inputs!$B$29,IF(Skills!C31=3,120+Inputs!$B$27+Inputs!$B$29,MAX(0,(Inputs!$B$3-100)*3)+Inputs!$B$28+Inputs!$B$29)))</f>
        <v/>
      </c>
      <c r="E1206">
        <f>INDEX(FactorTable!$B$2:$Y$301, MATCH(ROUND(MIN(300,MAX(1,D1206)),0), FactorTable!$A$2:$A$301,0), Skills!M31+1)</f>
        <v/>
      </c>
      <c r="F1206">
        <f>IF(Skills!N31=TRUE,(Skills!L31/10)*(E1206/1000),Skills!L31/10)+Skills!O31</f>
        <v/>
      </c>
      <c r="G1206">
        <f>Skills!G31*IF(Skills!H31&gt;0,INT(IF(Inputs!$B$38="pvp",MIN(Skills!I31,15),Skills!I31)/Skills!H31+0.000000001),1)</f>
        <v/>
      </c>
      <c r="H1206">
        <f>1-(1-Skills!J31/100)^Skills!K31</f>
        <v/>
      </c>
      <c r="I1206" t="inlineStr">
        <is>
          <t>1</t>
        </is>
      </c>
      <c r="J1206" t="inlineStr"/>
      <c r="K1206" t="inlineStr"/>
      <c r="L1206" t="inlineStr"/>
      <c r="M1206" t="inlineStr"/>
      <c r="N1206" t="inlineStr"/>
      <c r="O1206">
        <f>(1-Summary!$B$11)*T1206+Summary!$B$11*V1206</f>
        <v/>
      </c>
      <c r="P1206">
        <f>IF(B1220=0,0,O1206/B1220)</f>
        <v/>
      </c>
      <c r="Q1206" t="n">
        <v>0</v>
      </c>
      <c r="R1206" t="n">
        <v>0</v>
      </c>
      <c r="S1206">
        <f>IFERROR(O1206/N1206,0)</f>
        <v/>
      </c>
      <c r="T1206" t="n">
        <v>0</v>
      </c>
      <c r="V1206" t="n">
        <v>0</v>
      </c>
    </row>
    <row r="1207">
      <c r="A1207">
        <f>Skills!A32</f>
        <v/>
      </c>
      <c r="B1207">
        <f>Skills!B32</f>
        <v/>
      </c>
      <c r="C1207">
        <f>Inputs!$B$3&gt;=45</f>
        <v/>
      </c>
      <c r="D1207">
        <f>IF(Skills!C32=1,60+Inputs!$B$25+Inputs!$B$29,IF(Skills!C32=2,90+Inputs!$B$26+Inputs!$B$29,IF(Skills!C32=3,120+Inputs!$B$27+Inputs!$B$29,MAX(0,(Inputs!$B$3-100)*3)+Inputs!$B$28+Inputs!$B$29)))</f>
        <v/>
      </c>
      <c r="E1207">
        <f>INDEX(FactorTable!$B$2:$Y$301, MATCH(ROUND(MIN(300,MAX(1,D1207)),0), FactorTable!$A$2:$A$301,0), Skills!M32+1)</f>
        <v/>
      </c>
      <c r="F1207">
        <f>IF(Skills!N32=TRUE,(Skills!L32/10)*(E1207/1000),Skills!L32/10)+Skills!O32</f>
        <v/>
      </c>
      <c r="G1207">
        <f>Skills!G32*IF(Skills!H32&gt;0,INT(IF(Inputs!$B$38="pvp",MIN(Skills!I32,15),Skills!I32)/Skills!H32+0.000000001),1)</f>
        <v/>
      </c>
      <c r="H1207">
        <f>1-(1-Skills!J32/100)^Skills!K32</f>
        <v/>
      </c>
      <c r="I1207" t="inlineStr">
        <is>
          <t>1</t>
        </is>
      </c>
      <c r="J1207" t="inlineStr"/>
      <c r="K1207" t="inlineStr"/>
      <c r="L1207" t="inlineStr"/>
      <c r="M1207" t="inlineStr"/>
      <c r="N1207" t="inlineStr"/>
      <c r="O1207">
        <f>(1-Summary!$B$11)*T1207+Summary!$B$11*V1207</f>
        <v/>
      </c>
      <c r="P1207">
        <f>IF(B1220=0,0,O1207/B1220)</f>
        <v/>
      </c>
      <c r="Q1207" t="n">
        <v>0</v>
      </c>
      <c r="R1207" t="n">
        <v>0</v>
      </c>
      <c r="S1207">
        <f>IFERROR(O1207/N1207,0)</f>
        <v/>
      </c>
      <c r="T1207" t="n">
        <v>0</v>
      </c>
      <c r="V1207" t="n">
        <v>0</v>
      </c>
    </row>
    <row r="1209">
      <c r="A1209" t="inlineStr">
        <is>
          <t>Attack% Bucket Multiplier</t>
        </is>
      </c>
      <c r="B1209">
        <f>(1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0">
      <c r="A1210" t="inlineStr">
        <is>
          <t>Global Crit Rate Bonus %</t>
        </is>
      </c>
      <c r="B1210" t="n">
        <v>0</v>
      </c>
    </row>
    <row r="1211">
      <c r="A1211" t="inlineStr">
        <is>
          <t>Attack Speed Buff Bonus %</t>
        </is>
      </c>
      <c r="B1211">
        <f>((C1196=TRUE)*F1196*IF(AND(Inputs!$B$38&lt;&gt;"pvp",Inputs!$B$43&gt;0),(((R1196-1)*MIN((Skills!T21*(1+Inputs!$B$34/100)),(1/Q1196))+MIN((Skills!T21*(1+Inputs!$B$34/100)),MAX(0,Inputs!$B$43-((R1196-1)*(1/Q1196)))))/Inputs!$B$43),IF(Inputs!$B$38="pvp",MIN((Skills!T21*(1+Inputs!$B$34/100)),15)/15,MIN(1,(Skills!T21*(1+Inputs!$B$34/100))/(1/Q1196)))))</f>
        <v/>
      </c>
    </row>
    <row r="1212">
      <c r="A1212" t="inlineStr">
        <is>
          <t>Actions Per Second</t>
        </is>
      </c>
      <c r="B1212">
        <f>1+MIN(150,150*(1-(1-(Inputs!$B$11+((C1198=TRUE)*(F1198-Calc!F23))+((C1199=TRUE)*(F1199-Calc!F24)))/150)*(1-B1211/150)))/100</f>
        <v/>
      </c>
    </row>
    <row r="1213">
      <c r="A1213" t="inlineStr">
        <is>
          <t>Skill + Buff Cast Rate</t>
        </is>
      </c>
      <c r="B1213">
        <f>IF(AND(Inputs!$B$38&lt;&gt;"pvp",Inputs!$B$43&gt;0),SUMPRODUCT((Skills!E2:E32=TRUE)*(C1177:C1207=TRUE)*R1177:R1207*Skills!F2:F32)/Inputs!$B$43,SUMPRODUCT((Skills!E2:E32=TRUE)*(C1177:C1207=TRUE)*Q1177:Q1207*Skills!F2:F32))</f>
        <v/>
      </c>
    </row>
    <row r="1214">
      <c r="A1214" t="inlineStr">
        <is>
          <t>Arrow Stream Casts Per Second</t>
        </is>
      </c>
      <c r="B1214">
        <f>MAX(0,B1212-B1213)</f>
        <v/>
      </c>
    </row>
    <row r="1215">
      <c r="A1215" t="inlineStr">
        <is>
          <t>Global Critical Damage Bonus % (Sharp Eyes + Concentration)</t>
        </is>
      </c>
      <c r="B1215">
        <f>(C1193=TRUE)*F1193*IF(AND(Inputs!$B$38&lt;&gt;"pvp",Inputs!$B$43&gt;0),(((R1193-1)*MIN((Skills!T18*(1+Inputs!$B$34/100)),(1/Q1193))+MIN((Skills!T18*(1+Inputs!$B$34/100)),MAX(0,Inputs!$B$43-((R1193-1)*(1/Q1193)))))/Inputs!$B$43),IF(Inputs!$B$38="pvp",MIN((Skills!T18*(1+Inputs!$B$34/100)),15)/15,MIN(1,(Skills!T18*(1+Inputs!$B$34/100))/(1/Q1193))))+(C1194=TRUE)*7*F1194</f>
        <v/>
      </c>
    </row>
    <row r="1216">
      <c r="A1216" t="inlineStr">
        <is>
          <t>Global Final Damage Bonus % (Mortal Blow)</t>
        </is>
      </c>
      <c r="B1216">
        <f>(C1195=TRUE)*F1195</f>
        <v/>
      </c>
    </row>
    <row r="1217">
      <c r="A1217" t="inlineStr">
        <is>
          <t>Buff-Casting Startup Delay (s, fixed-duration only)</t>
        </is>
      </c>
      <c r="B1217">
        <f>IF(AND(Inputs!$B$38&lt;&gt;"pvp",Inputs!$B$43&gt;0),SUMPRODUCT((Skills!T2:T32&gt;0)*(Skills!E2:E32=TRUE)*(C1177:C1207=TRUE))/B1212,0)</f>
        <v/>
      </c>
    </row>
    <row r="1218">
      <c r="A1218" t="inlineStr">
        <is>
          <t>Boss-Only Total DPS (this block's swept value)</t>
        </is>
      </c>
      <c r="B1218">
        <f>SUM(T1177:T1207)</f>
        <v/>
      </c>
    </row>
    <row r="1219">
      <c r="A1219" t="inlineStr">
        <is>
          <t>Normal-Only Total DPS (this block's swept value)</t>
        </is>
      </c>
      <c r="B1219">
        <f>SUM(V1177:V1207)</f>
        <v/>
      </c>
    </row>
    <row r="1220">
      <c r="A1220" s="6" t="inlineStr">
        <is>
          <t>TOTAL DPS</t>
        </is>
      </c>
      <c r="B1220" s="6">
        <f>SUM(O1177:O1207)</f>
        <v/>
      </c>
    </row>
    <row r="1223">
      <c r="A1223" s="6" t="inlineStr">
        <is>
          <t>Stat: Basic Attack Target Increase (flat)</t>
        </is>
      </c>
    </row>
    <row r="1224">
      <c r="A1224" s="5" t="inlineStr">
        <is>
          <t>Key</t>
        </is>
      </c>
      <c r="B1224" s="5" t="inlineStr">
        <is>
          <t>Name</t>
        </is>
      </c>
      <c r="C1224" s="5" t="inlineStr">
        <is>
          <t>Unlocked</t>
        </is>
      </c>
      <c r="D1224" s="5" t="inlineStr">
        <is>
          <t>InputLevel</t>
        </is>
      </c>
      <c r="E1224" s="5" t="inlineStr">
        <is>
          <t>Factor</t>
        </is>
      </c>
      <c r="F1224" s="5" t="inlineStr">
        <is>
          <t>CoefficientPercent</t>
        </is>
      </c>
      <c r="G1224" s="5" t="inlineStr">
        <is>
          <t>EffectiveHits</t>
        </is>
      </c>
      <c r="H1224" s="5" t="inlineStr">
        <is>
          <t>ProcProbability</t>
        </is>
      </c>
      <c r="I1224" s="5" t="inlineStr">
        <is>
          <t>MapleHeroMultiplier</t>
        </is>
      </c>
      <c r="J1224" s="5" t="inlineStr">
        <is>
          <t>BaseDamage</t>
        </is>
      </c>
      <c r="K1224" s="5" t="inlineStr">
        <is>
          <t>BaseHitDamage</t>
        </is>
      </c>
      <c r="L1224" s="5" t="inlineStr">
        <is>
          <t>NonCritAvg</t>
        </is>
      </c>
      <c r="M1224" s="5" t="inlineStr">
        <is>
          <t>CritAvg</t>
        </is>
      </c>
      <c r="N1224" s="5" t="inlineStr">
        <is>
          <t>ExpectedDamage(perHit)</t>
        </is>
      </c>
      <c r="O1224" s="5" t="inlineStr">
        <is>
          <t>DPS</t>
        </is>
      </c>
      <c r="P1224" s="5" t="inlineStr">
        <is>
          <t>% of Total</t>
        </is>
      </c>
      <c r="Q1224" s="5" t="inlineStr">
        <is>
          <t>InvCooldown</t>
        </is>
      </c>
      <c r="R1224" s="5" t="inlineStr">
        <is>
          <t>CastsInFight</t>
        </is>
      </c>
      <c r="S1224" s="5" t="inlineStr">
        <is>
          <t>HitRate(perSec)</t>
        </is>
      </c>
      <c r="U1224" t="inlineStr">
        <is>
          <t>helpers</t>
        </is>
      </c>
    </row>
    <row r="1225">
      <c r="A1225">
        <f>Skills!A2</f>
        <v/>
      </c>
      <c r="B1225">
        <f>Skills!B2</f>
        <v/>
      </c>
      <c r="C1225">
        <f>Inputs!$B$3&gt;=100</f>
        <v/>
      </c>
      <c r="D1225" t="inlineStr"/>
      <c r="E1225" t="inlineStr"/>
      <c r="F1225">
        <f>U1227+Skills!O2</f>
        <v/>
      </c>
      <c r="G1225">
        <f>Skills!G2*IF(Skills!H2&gt;0,INT(IF(Inputs!$B$38="pvp",MIN(Skills!I2,15),Skills!I2)/Skills!H2+0.000000001),1)</f>
        <v/>
      </c>
      <c r="H1225">
        <f>1-(1-Skills!J2/100)^Skills!K2</f>
        <v/>
      </c>
      <c r="I1225" t="inlineStr">
        <is>
          <t>1</t>
        </is>
      </c>
      <c r="J1225">
        <f>((Inputs!$B$6*(1+Inputs!$B$7/100))+(((Inputs!$B$12*(1+Inputs!$B$13/100))-(Inputs!$B$12*(1+Inputs!$B$13/100)))+0.25*(Inputs!$B$14-Inputs!$B$14))*(1+Inputs!$B$7/100))*(F1225/100)</f>
        <v/>
      </c>
      <c r="K1225">
        <f>J1225*(1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1249=TRUE)*(F1249-Calc!F26)),(Inputs!$B$23+((C1254=TRUE)*(F1254-Calc!F31))+(IF(ArtifactsInput!$M$15,CHOOSE(ArtifactsInput!$N$15+1,25,30,35,40,45,50)/100*(Inputs!$B$11-Inputs!$B$11),0))))/100+(Inputs!$B$23+((C1254=TRUE)*(F1254-Calc!F31))+(IF(ArtifactsInput!$M$15,CHOOSE(ArtifactsInput!$N$15+1,25,30,35,40,45,50)/100*(Inputs!$B$11-Inputs!$B$11),0)))/100)/2</f>
        <v/>
      </c>
      <c r="M1225">
        <f>L1225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IF(B1268=0,0,O1225/B1268)</f>
        <v/>
      </c>
      <c r="Q1225" t="n">
        <v>0</v>
      </c>
      <c r="R1225" t="n">
        <v>0</v>
      </c>
      <c r="S1225">
        <f>IFERROR(O1225/N1225,0)</f>
        <v/>
      </c>
      <c r="T1225">
        <f>IF(C1225,(Skills!G2*N1225*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MAX(0,(Inputs!$B$3-100)*3)+Inputs!$B$28+Inputs!$B$29</f>
        <v/>
      </c>
      <c r="V1225">
        <f>IF(C1225,(Skills!G2*N1225*B1262)*IF(Inputs!$B$38="pvp",1,(1+(Inputs!$B$21+Skills!Q2+(IF(ArtifactsInput!$M$33,CHOOSE(ArtifactsInput!$N$33+1,30,36,42,48,54,60),0))+(IF(AND(ArtifactsInput!$M$35,Inputs!$B$4&lt;&gt;"Chapter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Skills!A3</f>
        <v/>
      </c>
      <c r="B1226">
        <f>Skills!B3</f>
        <v/>
      </c>
      <c r="C1226">
        <f>Inputs!$B$3&gt;=50</f>
        <v/>
      </c>
      <c r="D1226">
        <f>IF(Skills!C3=1,60+Inputs!$B$25+Inputs!$B$29,IF(Skills!C3=2,90+Inputs!$B$26+Inputs!$B$29,IF(Skills!C3=3,120+Inputs!$B$27+Inputs!$B$29,MAX(0,(Inputs!$B$3-100)*3)+Inputs!$B$28+Inputs!$B$29)))</f>
        <v/>
      </c>
      <c r="E1226">
        <f>INDEX(FactorTable!$B$2:$Y$301, MATCH(ROUND(MIN(300,MAX(1,D1226)),0), FactorTable!$A$2:$A$301,0), Skills!M3+1)</f>
        <v/>
      </c>
      <c r="F1226">
        <f>IF(Skills!N3=TRUE,(Skills!L3/10)*(E1226/1000),Skills!L3/10)+Skills!O3</f>
        <v/>
      </c>
      <c r="G1226">
        <f>Skills!G3*IF(Skills!H3&gt;0,INT(IF(Inputs!$B$38="pvp",MIN(Skills!I3,15),Skills!I3)/Skills!H3+0.000000001),1)</f>
        <v/>
      </c>
      <c r="H1226">
        <f>1-(1-Skills!J3/100)^Skills!K3</f>
        <v/>
      </c>
      <c r="I1226" t="inlineStr">
        <is>
          <t>1</t>
        </is>
      </c>
      <c r="J1226">
        <f>((Inputs!$B$6*(1+Inputs!$B$7/100))+(((Inputs!$B$12*(1+Inputs!$B$13/100))-(Inputs!$B$12*(1+Inputs!$B$13/100)))+0.25*(Inputs!$B$14-Inputs!$B$14))*(1+Inputs!$B$7/100))*(F1226/100)</f>
        <v/>
      </c>
      <c r="K1226">
        <f>J1226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1227=TRUE,F1227,0)/100)*(1+(IF(Skills!A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1249=TRUE)*(F1249-Calc!F26)),(Inputs!$B$23+((C1254=TRUE)*(F1254-Calc!F31))+(IF(ArtifactsInput!$M$15,CHOOSE(ArtifactsInput!$N$15+1,25,30,35,40,45,50)/100*(Inputs!$B$11-Inputs!$B$11),0))))/100+(Inputs!$B$23+((C1254=TRUE)*(F1254-Calc!F31))+(IF(ArtifactsInput!$M$15,CHOOSE(ArtifactsInput!$N$15+1,25,30,35,40,45,50)/100*(Inputs!$B$11-Inputs!$B$11),0)))/100)/2</f>
        <v/>
      </c>
      <c r="M1226">
        <f>L1226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IF(B1268=0,0,O1226/B1268)</f>
        <v/>
      </c>
      <c r="Q1226">
        <f>IFERROR(1/(IF(Inputs!$B$38="pvp",15,MAX(0.1,1/B1260-IF(FALSE=TRUE,Inputs!$B$32,0)))*(1-IF(AND(ArtifactsInput!$M$27,Inputs!$B$4="Chapter Hunt"),CHOOSE(ArtifactsInput!$N$27+1,20,24,28,32,36,40),0)/100)),0)</f>
        <v/>
      </c>
      <c r="R1226">
        <f>IF(AND(Inputs!$B$38&lt;&gt;"pvp",Inputs!$B$43&gt;0),IF(MAX(0,Inputs!$B$43-B1265)&lt;=0,0,(INT(MAX(0,Inputs!$B$43-B1265)/(IF(Inputs!$B$38="pvp",15,MAX(0.1,1/B1260-IF(FALSE=TRUE,Inputs!$B$32,0)))*(1-IF(AND(ArtifactsInput!$M$27,Inputs!$B$4="Chapter Hunt"),CHOOSE(ArtifactsInput!$N$27+1,20,24,28,32,36,40),0)/100)))+1)),0)</f>
        <v/>
      </c>
      <c r="S1226">
        <f>IFERROR(O1226/N1226,0)</f>
        <v/>
      </c>
      <c r="T1226">
        <f>IF(C1226,(H1226*N1226*IF(AND(Inputs!$B$38&lt;&gt;"pvp",Inputs!$B$43&gt;0),((Skills!G3*((R1226-1)*IF(Skills!H3&gt;0,INT(Skills!I3/Skills!H3+0.000000001),1)+IF(Skills!H3&gt;0,INT(MIN(Skills!I3,MAX(0,MAX(0,Inputs!$B$43-B1265)-((R1226-1)*(IF(Inputs!$B$38="pvp",15,MAX(0.1,1/B1260-IF(FALSE=TRUE,Inputs!$B$32,0)))*(1-IF(AND(ArtifactsInput!$M$27,Inputs!$B$4="Chapter Hunt"),CHOOSE(ArtifactsInput!$N$27+1,20,24,28,32,36,40),0)/100)))))/Skills!H3+0.000000001),1)))/Inputs!$B$43),G1226*Q1226)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6">
        <f>INDEX(FactorTable!$B$2:$Y$301, MATCH(ROUND(MIN(300,MAX(1,U1225)),0), FactorTable!$A$2:$A$301,0), 22)</f>
        <v/>
      </c>
      <c r="V1226">
        <f>IF(C1226,(H1226*N1226*IF(AND(Inputs!$B$38&lt;&gt;"pvp",Inputs!$B$43&gt;0),((Skills!G3*((R1226-1)*IF(Skills!H3&gt;0,INT(Skills!I3/Skills!H3+0.000000001),1)+IF(Skills!H3&gt;0,INT(MIN(Skills!I3,MAX(0,MAX(0,Inputs!$B$43-B1265)-((R1226-1)*(IF(Inputs!$B$38="pvp",15,MAX(0.1,1/B1260-IF(FALSE=TRUE,Inputs!$B$32,0)))*(1-IF(AND(ArtifactsInput!$M$27,Inputs!$B$4="Chapter Hunt"),CHOOSE(ArtifactsInput!$N$27+1,20,24,28,32,36,40),0)/100)))))/Skills!H3+0.000000001),1)))/Inputs!$B$43),G1226*Q1226))*IF(Inputs!$B$38="pvp",1,(1+(Inputs!$B$21+Skills!Q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Skills!A4</f>
        <v/>
      </c>
      <c r="B1227">
        <f>Skills!B4</f>
        <v/>
      </c>
      <c r="C1227">
        <f>Inputs!$B$3&gt;=105</f>
        <v/>
      </c>
      <c r="D1227">
        <f>IF(Skills!C4=1,60+Inputs!$B$25+Inputs!$B$29,IF(Skills!C4=2,90+Inputs!$B$26+Inputs!$B$29,IF(Skills!C4=3,120+Inputs!$B$27+Inputs!$B$29,MAX(0,(Inputs!$B$3-100)*3)+Inputs!$B$28+Inputs!$B$29)))</f>
        <v/>
      </c>
      <c r="E1227">
        <f>INDEX(FactorTable!$B$2:$Y$301, MATCH(ROUND(MIN(300,MAX(1,D1227)),0), FactorTable!$A$2:$A$301,0), Skills!M4+1)</f>
        <v/>
      </c>
      <c r="F1227">
        <f>IF(Skills!N4=TRUE,(Skills!L4/10)*(E1227/1000),Skills!L4/10)+Skills!O4</f>
        <v/>
      </c>
      <c r="G1227" t="inlineStr"/>
      <c r="H1227" t="inlineStr"/>
      <c r="I1227" t="inlineStr">
        <is>
          <t>1</t>
        </is>
      </c>
      <c r="J1227" t="inlineStr"/>
      <c r="K1227" t="inlineStr"/>
      <c r="L1227" t="inlineStr"/>
      <c r="M1227" t="inlineStr"/>
      <c r="N1227" t="inlineStr"/>
      <c r="O1227" t="inlineStr"/>
      <c r="P1227" t="inlineStr"/>
      <c r="Q1227" t="inlineStr"/>
      <c r="R1227" t="inlineStr"/>
      <c r="S1227" t="inlineStr"/>
      <c r="T1227" t="inlineStr"/>
      <c r="U1227">
        <f>290*U1226/1000</f>
        <v/>
      </c>
      <c r="V1227" t="inlineStr"/>
    </row>
    <row r="1228">
      <c r="A1228">
        <f>Skills!A5</f>
        <v/>
      </c>
      <c r="B1228">
        <f>Skills!B5</f>
        <v/>
      </c>
      <c r="C1228">
        <f>Inputs!$B$3&gt;=35</f>
        <v/>
      </c>
      <c r="D1228">
        <f>IF(Skills!C5=1,60+Inputs!$B$25+Inputs!$B$29,IF(Skills!C5=2,90+Inputs!$B$26+Inputs!$B$29,IF(Skills!C5=3,120+Inputs!$B$27+Inputs!$B$29,MAX(0,(Inputs!$B$3-100)*3)+Inputs!$B$28+Inputs!$B$29)))</f>
        <v/>
      </c>
      <c r="E1228">
        <f>INDEX(FactorTable!$B$2:$Y$301, MATCH(ROUND(MIN(300,MAX(1,D1228)),0), FactorTable!$A$2:$A$301,0), Skills!M5+1)</f>
        <v/>
      </c>
      <c r="F1228">
        <f>IF(Skills!N5=TRUE,(Skills!L5/10)*(E1228/1000),Skills!L5/10)+Skills!O5</f>
        <v/>
      </c>
      <c r="G1228">
        <f>Skills!G5*IF(Skills!H5&gt;0,INT(IF(Inputs!$B$38="pvp",MIN(Skills!I5,15),Skills!I5)/Skills!H5+0.000000001),1)</f>
        <v/>
      </c>
      <c r="H1228">
        <f>1-(1-Skills!J5/100)^Skills!K5</f>
        <v/>
      </c>
      <c r="I1228" t="inlineStr">
        <is>
          <t>1</t>
        </is>
      </c>
      <c r="J1228">
        <f>((Inputs!$B$6*(1+Inputs!$B$7/100))+(((Inputs!$B$12*(1+Inputs!$B$13/100))-(Inputs!$B$12*(1+Inputs!$B$13/100)))+0.25*(Inputs!$B$14-Inputs!$B$14))*(1+Inputs!$B$7/100))*(F1228/100)</f>
        <v/>
      </c>
      <c r="K1228">
        <f>J1228*(1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1235=TRUE,F1235,0)/100)*(1+(IF(Skills!A5="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1249=TRUE)*(F1249-Calc!F26)),(Inputs!$B$23+((C1254=TRUE)*(F1254-Calc!F31))+(IF(ArtifactsInput!$M$15,CHOOSE(ArtifactsInput!$N$15+1,25,30,35,40,45,50)/100*(Inputs!$B$11-Inputs!$B$11),0))))/100+(Inputs!$B$23+((C1254=TRUE)*(F1254-Calc!F31))+(IF(ArtifactsInput!$M$15,CHOOSE(ArtifactsInput!$N$15+1,25,30,35,40,45,50)/100*(Inputs!$B$11-Inputs!$B$11),0)))/100)/2</f>
        <v/>
      </c>
      <c r="M1228">
        <f>L1228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IF(B1268=0,0,O1228/B1268)</f>
        <v/>
      </c>
      <c r="Q1228">
        <f>IFERROR(1/(IF(Inputs!$B$38="pvp",15,MAX(0.1,Skills!D5-IF(TRUE=TRUE,Inputs!$B$32,0)))*(1-IF(AND(ArtifactsInput!$M$27,Inputs!$B$4="Chapter Hunt"),CHOOSE(ArtifactsInput!$N$27+1,20,24,28,32,36,40),0)/100)),0)</f>
        <v/>
      </c>
      <c r="R1228">
        <f>IF(AND(Inputs!$B$38&lt;&gt;"pvp",Inputs!$B$43&gt;0),IF(MAX(0,Inputs!$B$43-B1265)&lt;=0,0,(INT(MAX(0,Inputs!$B$43-B1265)/(IF(Inputs!$B$38="pvp",15,MAX(0.1,Skills!D5-IF(TRUE=TRUE,Inputs!$B$32,0)))*(1-IF(AND(ArtifactsInput!$M$27,Inputs!$B$4="Chapter Hunt"),CHOOSE(ArtifactsInput!$N$27+1,20,24,28,32,36,40),0)/100)))+1)),0)</f>
        <v/>
      </c>
      <c r="S1228">
        <f>IFERROR(O1228/N1228,0)</f>
        <v/>
      </c>
      <c r="T1228">
        <f>IF(C1228,(H1228*N1228*IF(AND(Inputs!$B$38&lt;&gt;"pvp",Inputs!$B$43&gt;0),((Skills!G5*((R1228-1)*IF(Skills!H5&gt;0,INT(Skills!I5/Skills!H5+0.000000001),1)+IF(Skills!H5&gt;0,INT(MIN(Skills!I5,MAX(0,MAX(0,Inputs!$B$43-B1265)-((R1228-1)*(IF(Inputs!$B$38="pvp",15,MAX(0.1,Skills!D5-IF(TRUE=TRUE,Inputs!$B$32,0)))*(1-IF(AND(ArtifactsInput!$M$27,Inputs!$B$4="Chapter Hunt"),CHOOSE(ArtifactsInput!$N$27+1,20,24,28,32,36,40),0)/100)))))/Skills!H5+0.000000001),1)))/Inputs!$B$43),G1228*Q1228)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5*((R1228-1)*IF(Skills!H5&gt;0,INT(Skills!I5/Skills!H5+0.000000001),1)+IF(Skills!H5&gt;0,INT(MIN(Skills!I5,MAX(0,MAX(0,Inputs!$B$43-B1265)-((R1228-1)*(IF(Inputs!$B$38="pvp",15,MAX(0.1,Skills!D5-IF(TRUE=TRUE,Inputs!$B$32,0)))*(1-IF(AND(ArtifactsInput!$M$27,Inputs!$B$4="Chapter Hunt"),CHOOSE(ArtifactsInput!$N$27+1,20,24,28,32,36,40),0)/100)))))/Skills!H5+0.000000001),1)))/Inputs!$B$43),G1228*Q1228))*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Skills!A6</f>
        <v/>
      </c>
      <c r="B1229">
        <f>Skills!B6</f>
        <v/>
      </c>
      <c r="C1229">
        <f>Inputs!$B$3&gt;=40</f>
        <v/>
      </c>
      <c r="D1229">
        <f>IF(Skills!C6=1,60+Inputs!$B$25+Inputs!$B$29,IF(Skills!C6=2,90+Inputs!$B$26+Inputs!$B$29,IF(Skills!C6=3,120+Inputs!$B$27+Inputs!$B$29,MAX(0,(Inputs!$B$3-100)*3)+Inputs!$B$28+Inputs!$B$29)))</f>
        <v/>
      </c>
      <c r="E1229">
        <f>INDEX(FactorTable!$B$2:$Y$301, MATCH(ROUND(MIN(300,MAX(1,D1229)),0), FactorTable!$A$2:$A$301,0), Skills!M6+1)</f>
        <v/>
      </c>
      <c r="F1229">
        <f>IF(Skills!N6=TRUE,(Skills!L6/10)*(E1229/1000),Skills!L6/10)+Skills!O6</f>
        <v/>
      </c>
      <c r="G1229">
        <f>Skills!G6*IF(Skills!H6&gt;0,INT(IF(Inputs!$B$38="pvp",MIN(Skills!I6,15),Skills!I6)/Skills!H6+0.000000001),1)</f>
        <v/>
      </c>
      <c r="H1229">
        <f>1-(1-Skills!J6/100)^Skills!K6</f>
        <v/>
      </c>
      <c r="I1229" t="inlineStr">
        <is>
          <t>1</t>
        </is>
      </c>
      <c r="J1229">
        <f>((Inputs!$B$6*(1+Inputs!$B$7/100))+(((Inputs!$B$12*(1+Inputs!$B$13/100))-(Inputs!$B$12*(1+Inputs!$B$13/100)))+0.25*(Inputs!$B$14-Inputs!$B$14))*(1+Inputs!$B$7/100))*(F1229/100)</f>
        <v/>
      </c>
      <c r="K1229">
        <f>J1229*(1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1230=TRUE,F1230,0)/100)*(1+(IF(Skills!A6="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1249=TRUE)*(F1249-Calc!F26)),(Inputs!$B$23+((C1254=TRUE)*(F1254-Calc!F31))+(IF(ArtifactsInput!$M$15,CHOOSE(ArtifactsInput!$N$15+1,25,30,35,40,45,50)/100*(Inputs!$B$11-Inputs!$B$11),0))))/100+(Inputs!$B$23+((C1254=TRUE)*(F1254-Calc!F31))+(IF(ArtifactsInput!$M$15,CHOOSE(ArtifactsInput!$N$15+1,25,30,35,40,45,50)/100*(Inputs!$B$11-Inputs!$B$11),0)))/100)/2</f>
        <v/>
      </c>
      <c r="M1229">
        <f>L1229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IF(B1268=0,0,O1229/B1268)</f>
        <v/>
      </c>
      <c r="Q1229">
        <f>IFERROR(1/(IF(Inputs!$B$38="pvp",15,MAX(0.1,1-0.4*MIN(1,(B1260-1)/1.5)-IF(FALSE=TRUE,Inputs!$B$32,0)))*(1-IF(AND(ArtifactsInput!$M$27,Inputs!$B$4="Chapter Hunt"),CHOOSE(ArtifactsInput!$N$27+1,20,24,28,32,36,40),0)/100)),0)</f>
        <v/>
      </c>
      <c r="R1229">
        <f>IF(AND(Inputs!$B$38&lt;&gt;"pvp",Inputs!$B$43&gt;0),IF(MAX(0,Inputs!$B$43-B1265)&lt;=0,0,(INT(MAX(0,Inputs!$B$43-B1265)/(IF(Inputs!$B$38="pvp",15,MAX(0.1,1-0.4*MIN(1,(B1260-1)/1.5)-IF(FALSE=TRUE,Inputs!$B$32,0)))*(1-IF(AND(ArtifactsInput!$M$27,Inputs!$B$4="Chapter Hunt"),CHOOSE(ArtifactsInput!$N$27+1,20,24,28,32,36,40),0)/100)))+1)),0)</f>
        <v/>
      </c>
      <c r="S1229">
        <f>IFERROR(O1229/N1229,0)</f>
        <v/>
      </c>
      <c r="T1229">
        <f>IF(C1229,(H1229*N1229*IF(AND(Inputs!$B$38&lt;&gt;"pvp",Inputs!$B$43&gt;0),((Skills!G6*((R1229-1)*IF(Skills!H6&gt;0,INT(Skills!I6/Skills!H6+0.000000001),1)+IF(Skills!H6&gt;0,INT(MIN(Skills!I6,MAX(0,MAX(0,Inputs!$B$43-B1265)-((R1229-1)*(IF(Inputs!$B$38="pvp",15,MAX(0.1,1-0.4*MIN(1,(B1260-1)/1.5)-IF(FALSE=TRUE,Inputs!$B$32,0)))*(1-IF(AND(ArtifactsInput!$M$27,Inputs!$B$4="Chapter Hunt"),CHOOSE(ArtifactsInput!$N$27+1,20,24,28,32,36,40),0)/100)))))/Skills!H6+0.000000001),1)))/Inputs!$B$43),G1229*Q1229)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6*((R1229-1)*IF(Skills!H6&gt;0,INT(Skills!I6/Skills!H6+0.000000001),1)+IF(Skills!H6&gt;0,INT(MIN(Skills!I6,MAX(0,MAX(0,Inputs!$B$43-B1265)-((R1229-1)*(IF(Inputs!$B$38="pvp",15,MAX(0.1,1-0.4*MIN(1,(B1260-1)/1.5)-IF(FALSE=TRUE,Inputs!$B$32,0)))*(1-IF(AND(ArtifactsInput!$M$27,Inputs!$B$4="Chapter Hunt"),CHOOSE(ArtifactsInput!$N$27+1,20,24,28,32,36,40),0)/100)))))/Skills!H6+0.000000001),1)))/Inputs!$B$43),G1229*Q1229))*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Skills!A7</f>
        <v/>
      </c>
      <c r="B1230">
        <f>Skills!B7</f>
        <v/>
      </c>
      <c r="C1230">
        <f>Inputs!$B$3&gt;=107</f>
        <v/>
      </c>
      <c r="D1230">
        <f>IF(Skills!C7=1,60+Inputs!$B$25+Inputs!$B$29,IF(Skills!C7=2,90+Inputs!$B$26+Inputs!$B$29,IF(Skills!C7=3,120+Inputs!$B$27+Inputs!$B$29,MAX(0,(Inputs!$B$3-100)*3)+Inputs!$B$28+Inputs!$B$29)))</f>
        <v/>
      </c>
      <c r="E1230">
        <f>INDEX(FactorTable!$B$2:$Y$301, MATCH(ROUND(MIN(300,MAX(1,D1230)),0), FactorTable!$A$2:$A$301,0), Skills!M7+1)</f>
        <v/>
      </c>
      <c r="F1230">
        <f>IF(Skills!N7=TRUE,(Skills!L7/10)*(E1230/1000),Skills!L7/10)+Skills!O7</f>
        <v/>
      </c>
      <c r="G1230" t="inlineStr"/>
      <c r="H1230" t="inlineStr"/>
      <c r="I1230" t="inlineStr">
        <is>
          <t>1</t>
        </is>
      </c>
      <c r="J1230" t="inlineStr"/>
      <c r="K1230" t="inlineStr"/>
      <c r="L1230" t="inlineStr"/>
      <c r="M1230" t="inlineStr"/>
      <c r="N1230" t="inlineStr"/>
      <c r="O1230" t="inlineStr"/>
      <c r="P1230" t="inlineStr"/>
      <c r="Q1230" t="inlineStr"/>
      <c r="R1230" t="inlineStr"/>
      <c r="S1230" t="inlineStr"/>
      <c r="T1230" t="inlineStr"/>
      <c r="V1230" t="inlineStr"/>
    </row>
    <row r="1231">
      <c r="A1231">
        <f>Skills!A8</f>
        <v/>
      </c>
      <c r="B1231">
        <f>Skills!B8</f>
        <v/>
      </c>
      <c r="C1231">
        <f>Inputs!$B$3&gt;=130</f>
        <v/>
      </c>
      <c r="D1231">
        <f>IF(Skills!C8=1,60+Inputs!$B$25+Inputs!$B$29,IF(Skills!C8=2,90+Inputs!$B$26+Inputs!$B$29,IF(Skills!C8=3,120+Inputs!$B$27+Inputs!$B$29,MAX(0,(Inputs!$B$3-100)*3)+Inputs!$B$28+Inputs!$B$29)))</f>
        <v/>
      </c>
      <c r="E1231">
        <f>INDEX(FactorTable!$B$2:$Y$301, MATCH(ROUND(MIN(300,MAX(1,D1231)),0), FactorTable!$A$2:$A$301,0), Skills!M8+1)</f>
        <v/>
      </c>
      <c r="F1231">
        <f>IF(Skills!N8=TRUE,(Skills!L8/10)*(E1231/1000),Skills!L8/10)+Skills!O8</f>
        <v/>
      </c>
      <c r="G1231">
        <f>Skills!G8*IF(Skills!H8&gt;0,INT(IF(Inputs!$B$38="pvp",MIN(Skills!I8,15),Skills!I8)/Skills!H8+0.000000001),1)</f>
        <v/>
      </c>
      <c r="H1231">
        <f>1-(1-Skills!J8/100)^Skills!K8</f>
        <v/>
      </c>
      <c r="I1231" t="inlineStr">
        <is>
          <t>1</t>
        </is>
      </c>
      <c r="J1231">
        <f>((Inputs!$B$6*(1+Inputs!$B$7/100))+(((Inputs!$B$12*(1+Inputs!$B$13/100))-(Inputs!$B$12*(1+Inputs!$B$13/100)))+0.25*(Inputs!$B$14-Inputs!$B$14))*(1+Inputs!$B$7/100))*(F1231/100)</f>
        <v/>
      </c>
      <c r="K1231">
        <f>J1231*(1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1231)</f>
        <v/>
      </c>
      <c r="L1231">
        <f>K1231*(MIN(Inputs!$B$22+((C1249=TRUE)*(F1249-Calc!F26)),(Inputs!$B$23+((C1254=TRUE)*(F1254-Calc!F31))+(IF(ArtifactsInput!$M$15,CHOOSE(ArtifactsInput!$N$15+1,25,30,35,40,45,50)/100*(Inputs!$B$11-Inputs!$B$11),0))))/100+(Inputs!$B$23+((C1254=TRUE)*(F1254-Calc!F31))+(IF(ArtifactsInput!$M$15,CHOOSE(ArtifactsInput!$N$15+1,25,30,35,40,45,50)/100*(Inputs!$B$11-Inputs!$B$11),0)))/100)/2</f>
        <v/>
      </c>
      <c r="M1231">
        <f>L1231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1">
        <f>L1231*(1-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1">
        <f>(1-Summary!$B$11)*T1231+Summary!$B$11*V1231</f>
        <v/>
      </c>
      <c r="P1231">
        <f>IF(B1268=0,0,O1231/B1268)</f>
        <v/>
      </c>
      <c r="Q1231">
        <f>IFERROR(1/(IF(Inputs!$B$38="pvp",15,MAX(0.1,1-0.4*MIN(1,(B1260-1)/1.5)-IF(FALSE=TRUE,Inputs!$B$32,0)))*(1-IF(AND(ArtifactsInput!$M$27,Inputs!$B$4="Chapter Hunt"),CHOOSE(ArtifactsInput!$N$27+1,20,24,28,32,36,40),0)/100)),0)</f>
        <v/>
      </c>
      <c r="R1231">
        <f>IF(AND(Inputs!$B$38&lt;&gt;"pvp",Inputs!$B$43&gt;0),IF(MAX(0,Inputs!$B$43-B1265)&lt;=0,0,(INT(MAX(0,Inputs!$B$43-B1265)/(IF(Inputs!$B$38="pvp",15,MAX(0.1,1-0.4*MIN(1,(B1260-1)/1.5)-IF(FALSE=TRUE,Inputs!$B$32,0)))*(1-IF(AND(ArtifactsInput!$M$27,Inputs!$B$4="Chapter Hunt"),CHOOSE(ArtifactsInput!$N$27+1,20,24,28,32,36,40),0)/100)))+1)),0)</f>
        <v/>
      </c>
      <c r="S1231">
        <f>IFERROR(O1231/N1231,0)</f>
        <v/>
      </c>
      <c r="T1231">
        <f>IF(C1231,(H1231*N1231*IF(AND(Inputs!$B$38&lt;&gt;"pvp",Inputs!$B$43&gt;0),((Skills!G8*((R1231-1)*IF(Skills!H8&gt;0,INT(Skills!I8/Skills!H8+0.000000001),1)+IF(Skills!H8&gt;0,INT(MIN(Skills!I8,MAX(0,MAX(0,Inputs!$B$43-B1265)-((R1231-1)*(IF(Inputs!$B$38="pvp",15,MAX(0.1,1-0.4*MIN(1,(B1260-1)/1.5)-IF(FALSE=TRUE,Inputs!$B$32,0)))*(1-IF(AND(ArtifactsInput!$M$27,Inputs!$B$4="Chapter Hunt"),CHOOSE(ArtifactsInput!$N$27+1,20,24,28,32,36,40),0)/100)))))/Skills!H8+0.000000001),1)))/Inputs!$B$43),G1231*Q1231)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1">
        <f>IF(C1231,(H1231*N1231*IF(AND(Inputs!$B$38&lt;&gt;"pvp",Inputs!$B$43&gt;0),((Skills!G8*((R1231-1)*IF(Skills!H8&gt;0,INT(Skills!I8/Skills!H8+0.000000001),1)+IF(Skills!H8&gt;0,INT(MIN(Skills!I8,MAX(0,MAX(0,Inputs!$B$43-B1265)-((R1231-1)*(IF(Inputs!$B$38="pvp",15,MAX(0.1,1-0.4*MIN(1,(B1260-1)/1.5)-IF(FALSE=TRUE,Inputs!$B$32,0)))*(1-IF(AND(ArtifactsInput!$M$27,Inputs!$B$4="Chapter Hunt"),CHOOSE(ArtifactsInput!$N$27+1,20,24,28,32,36,40),0)/100)))))/Skills!H8+0.000000001),1)))/Inputs!$B$43),G1231*Q1231))*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2">
      <c r="A1232">
        <f>Skills!A9</f>
        <v/>
      </c>
      <c r="B1232">
        <f>Skills!B9</f>
        <v/>
      </c>
      <c r="C1232">
        <f>Inputs!$B$3&gt;=69</f>
        <v/>
      </c>
      <c r="D1232">
        <f>IF(Skills!C9=1,60+Inputs!$B$25+Inputs!$B$29,IF(Skills!C9=2,90+Inputs!$B$26+Inputs!$B$29,IF(Skills!C9=3,120+Inputs!$B$27+Inputs!$B$29,MAX(0,(Inputs!$B$3-100)*3)+Inputs!$B$28+Inputs!$B$29)))</f>
        <v/>
      </c>
      <c r="E1232">
        <f>INDEX(FactorTable!$B$2:$Y$301, MATCH(ROUND(MIN(300,MAX(1,D1232)),0), FactorTable!$A$2:$A$301,0), Skills!M9+1)</f>
        <v/>
      </c>
      <c r="F1232">
        <f>IF(Skills!N9=TRUE,(Skills!L9/10)*(E1232/1000),Skills!L9/10)+Skills!O9</f>
        <v/>
      </c>
      <c r="G1232">
        <f>Skills!G9*IF(Skills!H9&gt;0,INT(IF(Inputs!$B$38="pvp",MIN(Skills!I9,15),Skills!I9)/Skills!H9+0.000000001),1)</f>
        <v/>
      </c>
      <c r="H1232">
        <f>1-(1-Skills!J9/100)^Skills!K9</f>
        <v/>
      </c>
      <c r="I1232" t="inlineStr">
        <is>
          <t>1</t>
        </is>
      </c>
      <c r="J1232">
        <f>((Inputs!$B$6*(1+Inputs!$B$7/100))+(((Inputs!$B$12*(1+Inputs!$B$13/100))-(Inputs!$B$12*(1+Inputs!$B$13/100)))+0.25*(Inputs!$B$14-Inputs!$B$14))*(1+Inputs!$B$7/100))*(F1232/100)</f>
        <v/>
      </c>
      <c r="K1232">
        <f>J1232*(1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1235=TRUE,F1235,0)/100)*(1+(IF(Skills!A9="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1249=TRUE)*(F1249-Calc!F26)),(Inputs!$B$23+((C1254=TRUE)*(F1254-Calc!F31))+(IF(ArtifactsInput!$M$15,CHOOSE(ArtifactsInput!$N$15+1,25,30,35,40,45,50)/100*(Inputs!$B$11-Inputs!$B$11),0))))/100+(Inputs!$B$23+((C1254=TRUE)*(F1254-Calc!F31))+(IF(ArtifactsInput!$M$15,CHOOSE(ArtifactsInput!$N$15+1,25,30,35,40,45,50)/100*(Inputs!$B$11-Inputs!$B$11),0)))/100)/2</f>
        <v/>
      </c>
      <c r="M1232">
        <f>L1232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IF(B1268=0,0,O1232/B1268)</f>
        <v/>
      </c>
      <c r="Q1232">
        <f>IFERROR(1/(IF(Inputs!$B$38="pvp",15,MAX(0.1,Skills!D9-IF(TRUE=TRUE,Inputs!$B$32,0)))*(1-IF(AND(ArtifactsInput!$M$27,Inputs!$B$4="Chapter Hunt"),CHOOSE(ArtifactsInput!$N$27+1,20,24,28,32,36,40),0)/100)),0)</f>
        <v/>
      </c>
      <c r="R1232">
        <f>IF(AND(Inputs!$B$38&lt;&gt;"pvp",Inputs!$B$43&gt;0),IF(MAX(0,Inputs!$B$43-B1265)&lt;=0,0,(INT(MAX(0,Inputs!$B$43-B1265)/(IF(Inputs!$B$38="pvp",15,MAX(0.1,Skills!D9-IF(TRUE=TRUE,Inputs!$B$32,0)))*(1-IF(AND(ArtifactsInput!$M$27,Inputs!$B$4="Chapter Hunt"),CHOOSE(ArtifactsInput!$N$27+1,20,24,28,32,36,40),0)/100)))+1)),0)</f>
        <v/>
      </c>
      <c r="S1232">
        <f>IFERROR(O1232/N1232,0)</f>
        <v/>
      </c>
      <c r="T1232">
        <f>IF(C1232,(H1232*N1232*IF(AND(Inputs!$B$38&lt;&gt;"pvp",Inputs!$B$43&gt;0),((Skills!G9*((R1232-1)*IF(Skills!H9&gt;0,INT(Skills!I9/Skills!H9+0.000000001),1)+IF(Skills!H9&gt;0,INT(MIN(Skills!I9,MAX(0,MAX(0,Inputs!$B$43-B1265)-((R1232-1)*(IF(Inputs!$B$38="pvp",15,MAX(0.1,Skills!D9-IF(TRUE=TRUE,Inputs!$B$32,0)))*(1-IF(AND(ArtifactsInput!$M$27,Inputs!$B$4="Chapter Hunt"),CHOOSE(ArtifactsInput!$N$27+1,20,24,28,32,36,40),0)/100)))))/Skills!H9+0.000000001),1)))/Inputs!$B$43),G1232*Q1232)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9*((R1232-1)*IF(Skills!H9&gt;0,INT(Skills!I9/Skills!H9+0.000000001),1)+IF(Skills!H9&gt;0,INT(MIN(Skills!I9,MAX(0,MAX(0,Inputs!$B$43-B1265)-((R1232-1)*(IF(Inputs!$B$38="pvp",15,MAX(0.1,Skills!D9-IF(TRUE=TRUE,Inputs!$B$32,0)))*(1-IF(AND(ArtifactsInput!$M$27,Inputs!$B$4="Chapter Hunt"),CHOOSE(ArtifactsInput!$N$27+1,20,24,28,32,36,40),0)/100)))))/Skills!H9+0.000000001),1)))/Inputs!$B$43),G1232*Q1232))*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Skills!A10</f>
        <v/>
      </c>
      <c r="B1233">
        <f>Skills!B10</f>
        <v/>
      </c>
      <c r="C1233">
        <f>Inputs!$B$3&gt;=63</f>
        <v/>
      </c>
      <c r="D1233">
        <f>IF(Skills!C10=1,60+Inputs!$B$25+Inputs!$B$29,IF(Skills!C10=2,90+Inputs!$B$26+Inputs!$B$29,IF(Skills!C10=3,120+Inputs!$B$27+Inputs!$B$29,MAX(0,(Inputs!$B$3-100)*3)+Inputs!$B$28+Inputs!$B$29)))</f>
        <v/>
      </c>
      <c r="E1233">
        <f>INDEX(FactorTable!$B$2:$Y$301, MATCH(ROUND(MIN(300,MAX(1,D1233)),0), FactorTable!$A$2:$A$301,0), Skills!M10+1)</f>
        <v/>
      </c>
      <c r="F1233">
        <f>IF(Skills!N10=TRUE,(Skills!L10/10)*(E1233/1000),Skills!L10/10)+Skills!O10</f>
        <v/>
      </c>
      <c r="G1233">
        <f>Skills!G10*IF(Skills!H10&gt;0,INT(IF(Inputs!$B$38="pvp",MIN(Skills!I10,15),Skills!I10)/Skills!H10+0.000000001),1)</f>
        <v/>
      </c>
      <c r="H1233">
        <f>1-(1-Skills!J10/100)^Skills!K10</f>
        <v/>
      </c>
      <c r="I1233" t="inlineStr">
        <is>
          <t>1</t>
        </is>
      </c>
      <c r="J1233">
        <f>((Inputs!$B$6*(1+Inputs!$B$7/100))+(((Inputs!$B$12*(1+Inputs!$B$13/100))-(Inputs!$B$12*(1+Inputs!$B$13/100)))+0.25*(Inputs!$B$14-Inputs!$B$14))*(1+Inputs!$B$7/100))*(F1233/100)</f>
        <v/>
      </c>
      <c r="K1233">
        <f>J1233*(1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1235=TRUE,F1235,0)/100)*(1+(IF(Skills!A10="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1249=TRUE)*(F1249-Calc!F26)),(Inputs!$B$23+((C1254=TRUE)*(F1254-Calc!F31))+(IF(ArtifactsInput!$M$15,CHOOSE(ArtifactsInput!$N$15+1,25,30,35,40,45,50)/100*(Inputs!$B$11-Inputs!$B$11),0))))/100+(Inputs!$B$23+((C1254=TRUE)*(F1254-Calc!F31))+(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f>IFERROR(1/(IF(Inputs!$B$38="pvp",15,MAX(0.1,Skills!D10-IF(TRUE=TRUE,Inputs!$B$32,0)))*(1-IF(AND(ArtifactsInput!$M$27,Inputs!$B$4="Chapter Hunt"),CHOOSE(ArtifactsInput!$N$27+1,20,24,28,32,36,40),0)/100)),0)</f>
        <v/>
      </c>
      <c r="R1233">
        <f>IF(AND(Inputs!$B$38&lt;&gt;"pvp",Inputs!$B$43&gt;0),IF(MAX(0,Inputs!$B$43-B1265)&lt;=0,0,(INT(MAX(0,Inputs!$B$43-B1265)/(IF(Inputs!$B$38="pvp",15,MAX(0.1,Skills!D10-IF(TRUE=TRUE,Inputs!$B$32,0)))*(1-IF(AND(ArtifactsInput!$M$27,Inputs!$B$4="Chapter Hunt"),CHOOSE(ArtifactsInput!$N$27+1,20,24,28,32,36,40),0)/100)))+1)),0)</f>
        <v/>
      </c>
      <c r="S1233">
        <f>IFERROR(O1233/N1233,0)</f>
        <v/>
      </c>
      <c r="T1233">
        <f>IF(C1233,(H1233*N1233*IF(AND(Inputs!$B$38&lt;&gt;"pvp",Inputs!$B$43&gt;0),((Skills!G10*((R1233-1)*IF(Skills!H10&gt;0,INT(Skills!I10/Skills!H10+0.000000001),1)+IF(Skills!H10&gt;0,INT(MIN(Skills!I10,MAX(0,MAX(0,Inputs!$B$43-B1265)-((R1233-1)*(IF(Inputs!$B$38="pvp",15,MAX(0.1,Skills!D10-IF(TRUE=TRUE,Inputs!$B$32,0)))*(1-IF(AND(ArtifactsInput!$M$27,Inputs!$B$4="Chapter Hunt"),CHOOSE(ArtifactsInput!$N$27+1,20,24,28,32,36,40),0)/100)))))/Skills!H10+0.000000001),1)))/Inputs!$B$43),G1233*Q1233)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3">
        <f>IF(C1233,(H1233*N1233*IF(AND(Inputs!$B$38&lt;&gt;"pvp",Inputs!$B$43&gt;0),((Skills!G10*((R1233-1)*IF(Skills!H10&gt;0,INT(Skills!I10/Skills!H10+0.000000001),1)+IF(Skills!H10&gt;0,INT(MIN(Skills!I10,MAX(0,MAX(0,Inputs!$B$43-B1265)-((R1233-1)*(IF(Inputs!$B$38="pvp",15,MAX(0.1,Skills!D10-IF(TRUE=TRUE,Inputs!$B$32,0)))*(1-IF(AND(ArtifactsInput!$M$27,Inputs!$B$4="Chapter Hunt"),CHOOSE(ArtifactsInput!$N$27+1,20,24,28,32,36,40),0)/100)))))/Skills!H10+0.000000001),1)))/Inputs!$B$43),G1233*Q1233))*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Skills!A11</f>
        <v/>
      </c>
      <c r="B1234">
        <f>Skills!B11</f>
        <v/>
      </c>
      <c r="C1234">
        <f>Inputs!$B$3&gt;=103</f>
        <v/>
      </c>
      <c r="D1234">
        <f>IF(Skills!C11=1,60+Inputs!$B$25+Inputs!$B$29,IF(Skills!C11=2,90+Inputs!$B$26+Inputs!$B$29,IF(Skills!C11=3,120+Inputs!$B$27+Inputs!$B$29,MAX(0,(Inputs!$B$3-100)*3)+Inputs!$B$28+Inputs!$B$29)))</f>
        <v/>
      </c>
      <c r="E1234">
        <f>INDEX(FactorTable!$B$2:$Y$301, MATCH(ROUND(MIN(300,MAX(1,D1234)),0), FactorTable!$A$2:$A$301,0), Skills!M11+1)</f>
        <v/>
      </c>
      <c r="F1234">
        <f>IF(Skills!N11=TRUE,(Skills!L11/10)*(E1234/1000),Skills!L11/10)+Skills!O11</f>
        <v/>
      </c>
      <c r="G1234">
        <f>Skills!G11*IF(Skills!H11&gt;0,INT(IF(Inputs!$B$38="pvp",MIN(Skills!I11,15),Skills!I11)/Skills!H11+0.000000001),1)</f>
        <v/>
      </c>
      <c r="H1234">
        <f>1-(1-Skills!J11/100)^Skills!K11</f>
        <v/>
      </c>
      <c r="I1234" t="inlineStr">
        <is>
          <t>1</t>
        </is>
      </c>
      <c r="J1234">
        <f>((Inputs!$B$6*(1+Inputs!$B$7/100))+(((Inputs!$B$12*(1+Inputs!$B$13/100))-(Inputs!$B$12*(1+Inputs!$B$13/100)))+0.25*(Inputs!$B$14-Inputs!$B$14))*(1+Inputs!$B$7/100))*(F1234/100)</f>
        <v/>
      </c>
      <c r="K1234">
        <f>J1234*(1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1249=TRUE)*(F1249-Calc!F26)),(Inputs!$B$23+((C1254=TRUE)*(F1254-Calc!F31))+(IF(ArtifactsInput!$M$15,CHOOSE(ArtifactsInput!$N$15+1,25,30,35,40,45,50)/100*(Inputs!$B$11-Inputs!$B$11),0))))/100+(Inputs!$B$23+((C1254=TRUE)*(F1254-Calc!F31))+(IF(ArtifactsInput!$M$15,CHOOSE(ArtifactsInput!$N$15+1,25,30,35,40,45,50)/100*(Inputs!$B$11-Inputs!$B$11),0)))/100)/2</f>
        <v/>
      </c>
      <c r="M1234">
        <f>L1234*(1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IF(B1268=0,0,O1234/B1268)</f>
        <v/>
      </c>
      <c r="Q1234">
        <f>IFERROR(1/(IF(Inputs!$B$38="pvp",15,MAX(0.1,Skills!D11-IF(TRUE=TRUE,Inputs!$B$32,0)))*(1-IF(AND(ArtifactsInput!$M$27,Inputs!$B$4="Chapter Hunt"),CHOOSE(ArtifactsInput!$N$27+1,20,24,28,32,36,40),0)/100)),0)</f>
        <v/>
      </c>
      <c r="R1234">
        <f>IF(AND(Inputs!$B$38&lt;&gt;"pvp",Inputs!$B$43&gt;0),IF(MAX(0,Inputs!$B$43-B1265)&lt;=0,0,(INT(MAX(0,Inputs!$B$43-B1265)/(IF(Inputs!$B$38="pvp",15,MAX(0.1,Skills!D11-IF(TRUE=TRUE,Inputs!$B$32,0)))*(1-IF(AND(ArtifactsInput!$M$27,Inputs!$B$4="Chapter Hunt"),CHOOSE(ArtifactsInput!$N$27+1,20,24,28,32,36,40),0)/100)))+1)),0)</f>
        <v/>
      </c>
      <c r="S1234">
        <f>IFERROR(O1234/N1234,0)</f>
        <v/>
      </c>
      <c r="T1234">
        <f>IF(C1234,(H1234*N1234*IF(AND(Inputs!$B$38&lt;&gt;"pvp",Inputs!$B$43&gt;0),((Skills!G11*((R1234-1)*IF(Skills!H11&gt;0,INT(Skills!I11/Skills!H11+0.000000001),1)+IF(Skills!H11&gt;0,INT(MIN(Skills!I11,MAX(0,MAX(0,Inputs!$B$43-B1265)-((R1234-1)*(IF(Inputs!$B$38="pvp",15,MAX(0.1,Skills!D11-IF(TRUE=TRUE,Inputs!$B$32,0)))*(1-IF(AND(ArtifactsInput!$M$27,Inputs!$B$4="Chapter Hunt"),CHOOSE(ArtifactsInput!$N$27+1,20,24,28,32,36,40),0)/100)))))/Skills!H11+0.000000001),1)))/Inputs!$B$43),G1234*Q1234)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4">
        <f>IF(C1234,(H1234*N1234*IF(AND(Inputs!$B$38&lt;&gt;"pvp",Inputs!$B$43&gt;0),((Skills!G11*((R1234-1)*IF(Skills!H11&gt;0,INT(Skills!I11/Skills!H11+0.000000001),1)+IF(Skills!H11&gt;0,INT(MIN(Skills!I11,MAX(0,MAX(0,Inputs!$B$43-B1265)-((R1234-1)*(IF(Inputs!$B$38="pvp",15,MAX(0.1,Skills!D11-IF(TRUE=TRUE,Inputs!$B$32,0)))*(1-IF(AND(ArtifactsInput!$M$27,Inputs!$B$4="Chapter Hunt"),CHOOSE(ArtifactsInput!$N$27+1,20,24,28,32,36,40),0)/100)))))/Skills!H11+0.000000001),1)))/Inputs!$B$43),G1234*Q1234))*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Skills!A12</f>
        <v/>
      </c>
      <c r="B1235">
        <f>Skills!B12</f>
        <v/>
      </c>
      <c r="C1235">
        <f>Inputs!$B$3&gt;=100</f>
        <v/>
      </c>
      <c r="D1235">
        <f>IF(Skills!C12=1,60+Inputs!$B$25+Inputs!$B$29,IF(Skills!C12=2,90+Inputs!$B$26+Inputs!$B$29,IF(Skills!C12=3,120+Inputs!$B$27+Inputs!$B$29,MAX(0,(Inputs!$B$3-100)*3)+Inputs!$B$28+Inputs!$B$29)))</f>
        <v/>
      </c>
      <c r="E1235">
        <f>INDEX(FactorTable!$B$2:$Y$301, MATCH(ROUND(MIN(300,MAX(1,D1235)),0), FactorTable!$A$2:$A$301,0), Skills!M12+1)</f>
        <v/>
      </c>
      <c r="F1235">
        <f>IF(Skills!N12=TRUE,(Skills!L12/10)*(E1235/1000),Skills!L12/10)+Skills!O12</f>
        <v/>
      </c>
      <c r="G1235" t="inlineStr"/>
      <c r="H1235" t="inlineStr"/>
      <c r="I1235" t="inlineStr">
        <is>
          <t>1</t>
        </is>
      </c>
      <c r="J1235" t="inlineStr"/>
      <c r="K1235" t="inlineStr"/>
      <c r="L1235" t="inlineStr"/>
      <c r="M1235" t="inlineStr"/>
      <c r="N1235" t="inlineStr"/>
      <c r="O1235" t="inlineStr"/>
      <c r="P1235" t="inlineStr"/>
      <c r="Q1235" t="inlineStr"/>
      <c r="R1235" t="inlineStr"/>
      <c r="S1235" t="inlineStr"/>
      <c r="T1235" t="inlineStr"/>
      <c r="V1235" t="inlineStr"/>
    </row>
    <row r="1236">
      <c r="A1236">
        <f>Skills!A13</f>
        <v/>
      </c>
      <c r="B1236">
        <f>Skills!B13</f>
        <v/>
      </c>
      <c r="C1236">
        <f>Inputs!$B$3&gt;=60</f>
        <v/>
      </c>
      <c r="D1236">
        <f>IF(Skills!C13=1,60+Inputs!$B$25+Inputs!$B$29,IF(Skills!C13=2,90+Inputs!$B$26+Inputs!$B$29,IF(Skills!C13=3,120+Inputs!$B$27+Inputs!$B$29,MAX(0,(Inputs!$B$3-100)*3)+Inputs!$B$28+Inputs!$B$29)))</f>
        <v/>
      </c>
      <c r="E1236">
        <f>INDEX(FactorTable!$B$2:$Y$301, MATCH(ROUND(MIN(300,MAX(1,D1236)),0), FactorTable!$A$2:$A$301,0), Skills!M13+1)</f>
        <v/>
      </c>
      <c r="F1236">
        <f>IF(Skills!N13=TRUE,(Skills!L13/10)*(E1236/1000),Skills!L13/10)+Skills!O13</f>
        <v/>
      </c>
      <c r="G1236">
        <f>Skills!G13*IF(Skills!H13&gt;0,INT(IF(Inputs!$B$38="pvp",MIN(Skills!I13,15),Skills!I13)/Skills!H13+0.000000001),1)</f>
        <v/>
      </c>
      <c r="H1236">
        <f>1-(1-Skills!J13/100)^Skills!K13</f>
        <v/>
      </c>
      <c r="I1236" t="inlineStr">
        <is>
          <t>1</t>
        </is>
      </c>
      <c r="J1236">
        <f>((Inputs!$B$6*(1+Inputs!$B$7/100))+(((Inputs!$B$12*(1+Inputs!$B$13/100))-(Inputs!$B$12*(1+Inputs!$B$13/100)))+0.25*(Inputs!$B$14-Inputs!$B$14))*(1+Inputs!$B$7/100))*(F1236/100)</f>
        <v/>
      </c>
      <c r="K1236">
        <f>J1236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1237=TRUE,F1237,0)/100)*(1+(IF(Skills!A13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1249=TRUE)*(F1249-Calc!F26)),(Inputs!$B$23+((C1254=TRUE)*(F1254-Calc!F31))+(IF(ArtifactsInput!$M$15,CHOOSE(ArtifactsInput!$N$15+1,25,30,35,40,45,50)/100*(Inputs!$B$11-Inputs!$B$11),0))))/100+(Inputs!$B$23+((C1254=TRUE)*(F1254-Calc!F31))+(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IFERROR(1/(IF(Inputs!$B$38="pvp",15,MAX(0.1,IF(Inputs!$B$3&gt;=122,3,5)+1/(((20+30*(B1260-1)*100/150)/100)*B1260)-IF(FALSE=TRUE,Inputs!$B$32,0)))*(1-IF(AND(ArtifactsInput!$M$27,Inputs!$B$4="Chapter Hunt"),CHOOSE(ArtifactsInput!$N$27+1,20,24,28,32,36,40),0)/100)),0)</f>
        <v/>
      </c>
      <c r="R1236">
        <f>IF(AND(Inputs!$B$38&lt;&gt;"pvp",Inputs!$B$43&gt;0),IF(MAX(0,Inputs!$B$43-B1265)&lt;=0,0,(INT(MAX(0,Inputs!$B$43-B1265)/(IF(Inputs!$B$38="pvp",15,MAX(0.1,IF(Inputs!$B$3&gt;=122,3,5)+1/(((20+30*(B1260-1)*100/150)/100)*B1260)-IF(FALSE=TRUE,Inputs!$B$32,0)))*(1-IF(AND(ArtifactsInput!$M$27,Inputs!$B$4="Chapter Hunt"),CHOOSE(ArtifactsInput!$N$27+1,20,24,28,32,36,40),0)/100)))+1)),0)</f>
        <v/>
      </c>
      <c r="S1236">
        <f>IFERROR(O1236/N1236,0)</f>
        <v/>
      </c>
      <c r="T1236">
        <f>IF(C1236,(H1236*N1236*IF(AND(Inputs!$B$38&lt;&gt;"pvp",Inputs!$B$43&gt;0),((Skills!G13*((R1236-1)*IF(Skills!H13&gt;0,INT(Skills!I13/Skills!H13+0.000000001),1)+IF(Skills!H13&gt;0,INT(MIN(Skills!I13,MAX(0,MAX(0,Inputs!$B$43-B1265)-((R1236-1)*(IF(Inputs!$B$38="pvp",15,MAX(0.1,IF(Inputs!$B$3&gt;=122,3,5)+1/(((20+30*(B1260-1)*100/150)/100)*B1260)-IF(FALSE=TRUE,Inputs!$B$32,0)))*(1-IF(AND(ArtifactsInput!$M$27,Inputs!$B$4="Chapter Hunt"),CHOOSE(ArtifactsInput!$N$27+1,20,24,28,32,36,40),0)/100)))))/Skills!H13+0.000000001),1)))/Inputs!$B$43),G1236*Q1236)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13*((R1236-1)*IF(Skills!H13&gt;0,INT(Skills!I13/Skills!H13+0.000000001),1)+IF(Skills!H13&gt;0,INT(MIN(Skills!I13,MAX(0,MAX(0,Inputs!$B$43-B1265)-((R1236-1)*(IF(Inputs!$B$38="pvp",15,MAX(0.1,IF(Inputs!$B$3&gt;=122,3,5)+1/(((20+30*(B1260-1)*100/150)/100)*B1260)-IF(FALSE=TRUE,Inputs!$B$32,0)))*(1-IF(AND(ArtifactsInput!$M$27,Inputs!$B$4="Chapter Hunt"),CHOOSE(ArtifactsInput!$N$27+1,20,24,28,32,36,40),0)/100)))))/Skills!H13+0.000000001),1)))/Inputs!$B$43),G1236*Q1236))*IF(Inputs!$B$38="pvp",1,(1+(Inputs!$B$21+Skills!Q13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Skills!A14</f>
        <v/>
      </c>
      <c r="B1237">
        <f>Skills!B14</f>
        <v/>
      </c>
      <c r="C1237">
        <f>Inputs!$B$3&gt;=110</f>
        <v/>
      </c>
      <c r="D1237">
        <f>IF(Skills!C14=1,60+Inputs!$B$25+Inputs!$B$29,IF(Skills!C14=2,90+Inputs!$B$26+Inputs!$B$29,IF(Skills!C14=3,120+Inputs!$B$27+Inputs!$B$29,MAX(0,(Inputs!$B$3-100)*3)+Inputs!$B$28+Inputs!$B$29)))</f>
        <v/>
      </c>
      <c r="E1237">
        <f>INDEX(FactorTable!$B$2:$Y$301, MATCH(ROUND(MIN(300,MAX(1,D1237)),0), FactorTable!$A$2:$A$301,0), Skills!M14+1)</f>
        <v/>
      </c>
      <c r="F1237">
        <f>IF(Skills!N14=TRUE,(Skills!L14/10)*(E1237/1000),Skills!L14/10)+Skills!O14</f>
        <v/>
      </c>
      <c r="G1237" t="inlineStr"/>
      <c r="H1237" t="inlineStr"/>
      <c r="I1237" t="inlineStr">
        <is>
          <t>1</t>
        </is>
      </c>
      <c r="J1237" t="inlineStr"/>
      <c r="K1237" t="inlineStr"/>
      <c r="L1237" t="inlineStr"/>
      <c r="M1237" t="inlineStr"/>
      <c r="N1237" t="inlineStr"/>
      <c r="O1237" t="inlineStr"/>
      <c r="P1237" t="inlineStr"/>
      <c r="Q1237" t="inlineStr"/>
      <c r="R1237" t="inlineStr"/>
      <c r="S1237" t="inlineStr"/>
      <c r="T1237" t="inlineStr"/>
      <c r="V1237" t="inlineStr"/>
    </row>
    <row r="1238">
      <c r="A1238">
        <f>Skills!A15</f>
        <v/>
      </c>
      <c r="B1238">
        <f>Skills!B15</f>
        <v/>
      </c>
      <c r="C1238">
        <f>Inputs!$B$3&gt;=74</f>
        <v/>
      </c>
      <c r="D1238">
        <f>IF(Skills!C15=1,60+Inputs!$B$25+Inputs!$B$29,IF(Skills!C15=2,90+Inputs!$B$26+Inputs!$B$29,IF(Skills!C15=3,120+Inputs!$B$27+Inputs!$B$29,MAX(0,(Inputs!$B$3-100)*3)+Inputs!$B$28+Inputs!$B$29)))</f>
        <v/>
      </c>
      <c r="E1238">
        <f>INDEX(FactorTable!$B$2:$Y$301, MATCH(ROUND(MIN(300,MAX(1,D1238)),0), FactorTable!$A$2:$A$301,0), Skills!M15+1)</f>
        <v/>
      </c>
      <c r="F1238">
        <f>IF(Skills!N15=TRUE,(Skills!L15/10)*(E1238/1000),Skills!L15/10)+Skills!O15</f>
        <v/>
      </c>
      <c r="G1238">
        <f>Skills!G15*IF(Skills!H15&gt;0,INT(IF(Inputs!$B$38="pvp",MIN(Skills!I15,15),Skills!I15)/Skills!H15+0.000000001),1)</f>
        <v/>
      </c>
      <c r="H1238">
        <f>1-(1-Skills!J15/100)^Skills!K15</f>
        <v/>
      </c>
      <c r="I1238" t="inlineStr">
        <is>
          <t>1</t>
        </is>
      </c>
      <c r="J1238" t="inlineStr"/>
      <c r="K1238" t="inlineStr"/>
      <c r="L1238" t="inlineStr"/>
      <c r="M1238" t="inlineStr"/>
      <c r="N1238" t="inlineStr"/>
      <c r="O1238">
        <f>(1-Summary!$B$11)*T1238+Summary!$B$11*V1238</f>
        <v/>
      </c>
      <c r="P1238">
        <f>IF(B1268=0,0,O1238/B1268)</f>
        <v/>
      </c>
      <c r="Q1238" t="n">
        <v>0</v>
      </c>
      <c r="R1238" t="n">
        <v>0</v>
      </c>
      <c r="S1238">
        <f>IFERROR(O1238/N1238,0)</f>
        <v/>
      </c>
      <c r="T1238" t="n">
        <v>0</v>
      </c>
      <c r="V1238" t="n">
        <v>0</v>
      </c>
    </row>
    <row r="1239">
      <c r="A1239">
        <f>Skills!A16</f>
        <v/>
      </c>
      <c r="B1239">
        <f>Skills!B16</f>
        <v/>
      </c>
      <c r="C1239">
        <f>Inputs!$B$3&gt;=74</f>
        <v/>
      </c>
      <c r="D1239">
        <f>IF(Skills!C16=1,60+Inputs!$B$25+Inputs!$B$29,IF(Skills!C16=2,90+Inputs!$B$26+Inputs!$B$29,IF(Skills!C16=3,120+Inputs!$B$27+Inputs!$B$29,MAX(0,(Inputs!$B$3-100)*3)+Inputs!$B$28+Inputs!$B$29)))</f>
        <v/>
      </c>
      <c r="E1239">
        <f>INDEX(FactorTable!$B$2:$Y$301, MATCH(ROUND(MIN(300,MAX(1,D1239)),0), FactorTable!$A$2:$A$301,0), Skills!M16+1)</f>
        <v/>
      </c>
      <c r="F1239">
        <f>IF(Skills!N16=TRUE,(Skills!L16/10)*(E1239/1000),Skills!L16/10)+Skills!O16</f>
        <v/>
      </c>
      <c r="G1239">
        <f>Skills!G16*IF(Skills!H16&gt;0,INT(IF(Inputs!$B$38="pvp",MIN(Skills!I16,15),Skills!I16)/Skills!H16+0.000000001),1)</f>
        <v/>
      </c>
      <c r="H1239">
        <f>1-(1-Skills!J16/100)^Skills!K16</f>
        <v/>
      </c>
      <c r="I1239" t="inlineStr">
        <is>
          <t>1</t>
        </is>
      </c>
      <c r="J1239" t="inlineStr"/>
      <c r="K1239" t="inlineStr"/>
      <c r="L1239" t="inlineStr"/>
      <c r="M1239" t="inlineStr"/>
      <c r="N1239" t="inlineStr"/>
      <c r="O1239">
        <f>(1-Summary!$B$11)*T1239+Summary!$B$11*V1239</f>
        <v/>
      </c>
      <c r="P1239">
        <f>IF(B1268=0,0,O1239/B1268)</f>
        <v/>
      </c>
      <c r="Q1239" t="n">
        <v>0</v>
      </c>
      <c r="R1239" t="n">
        <v>0</v>
      </c>
      <c r="S1239">
        <f>IFERROR(O1239/N1239,0)</f>
        <v/>
      </c>
      <c r="T1239" t="n">
        <v>0</v>
      </c>
      <c r="V1239" t="n">
        <v>0</v>
      </c>
    </row>
    <row r="1240">
      <c r="A1240">
        <f>Skills!A17</f>
        <v/>
      </c>
      <c r="B1240">
        <f>Skills!B17</f>
        <v/>
      </c>
      <c r="C1240">
        <f>Inputs!$B$3&gt;=117</f>
        <v/>
      </c>
      <c r="D1240">
        <f>IF(Skills!C17=1,60+Inputs!$B$25+Inputs!$B$29,IF(Skills!C17=2,90+Inputs!$B$26+Inputs!$B$29,IF(Skills!C17=3,120+Inputs!$B$27+Inputs!$B$29,MAX(0,(Inputs!$B$3-100)*3)+Inputs!$B$28+Inputs!$B$29)))</f>
        <v/>
      </c>
      <c r="E1240">
        <f>INDEX(FactorTable!$B$2:$Y$301, MATCH(ROUND(MIN(300,MAX(1,D1240)),0), FactorTable!$A$2:$A$301,0), Skills!M17+1)</f>
        <v/>
      </c>
      <c r="F1240">
        <f>IF(Skills!N17=TRUE,(Skills!L17/10)*(E1240/1000),Skills!L17/10)+Skills!O17</f>
        <v/>
      </c>
      <c r="G1240">
        <f>Skills!G17*IF(Skills!H17&gt;0,INT(IF(Inputs!$B$38="pvp",MIN(Skills!I17,15),Skills!I17)/Skills!H17+0.000000001),1)</f>
        <v/>
      </c>
      <c r="H1240">
        <f>1-(1-Skills!J17/100)^Skills!K17</f>
        <v/>
      </c>
      <c r="I1240" t="inlineStr">
        <is>
          <t>1</t>
        </is>
      </c>
      <c r="J1240" t="inlineStr"/>
      <c r="K1240" t="inlineStr"/>
      <c r="L1240" t="inlineStr"/>
      <c r="M1240" t="inlineStr"/>
      <c r="N1240" t="inlineStr"/>
      <c r="O1240">
        <f>(1-Summary!$B$11)*T1240+Summary!$B$11*V1240</f>
        <v/>
      </c>
      <c r="P1240">
        <f>IF(B1268=0,0,O1240/B1268)</f>
        <v/>
      </c>
      <c r="Q1240">
        <f>IFERROR(1/(IF(Inputs!$B$38="pvp",15,MAX(0.1,Skills!D17-IF(TRUE=TRUE,Inputs!$B$32,0)))*(1-IF(AND(ArtifactsInput!$M$27,Inputs!$B$4="Chapter Hunt"),CHOOSE(ArtifactsInput!$N$27+1,20,24,28,32,36,40),0)/100)),0)</f>
        <v/>
      </c>
      <c r="R1240">
        <f>IF(AND(Inputs!$B$38&lt;&gt;"pvp",Inputs!$B$43&gt;0),IF(Inputs!$B$43&lt;=0,0,(INT(Inputs!$B$43/(IF(Inputs!$B$38="pvp",15,MAX(0.1,Skills!D17-IF(TRUE=TRUE,Inputs!$B$32,0)))*(1-IF(AND(ArtifactsInput!$M$27,Inputs!$B$4="Chapter Hunt"),CHOOSE(ArtifactsInput!$N$27+1,20,24,28,32,36,40),0)/100)))+1)),0)</f>
        <v/>
      </c>
      <c r="S1240">
        <f>IFERROR(O1240/N1240,0)</f>
        <v/>
      </c>
      <c r="T1240" t="n">
        <v>0</v>
      </c>
      <c r="V1240" t="n">
        <v>0</v>
      </c>
    </row>
    <row r="1241">
      <c r="A1241">
        <f>Skills!A18</f>
        <v/>
      </c>
      <c r="B1241">
        <f>Skills!B18</f>
        <v/>
      </c>
      <c r="C1241">
        <f>Inputs!$B$3&gt;=115</f>
        <v/>
      </c>
      <c r="D1241">
        <f>IF(Skills!C18=1,60+Inputs!$B$25+Inputs!$B$29,IF(Skills!C18=2,90+Inputs!$B$26+Inputs!$B$29,IF(Skills!C18=3,120+Inputs!$B$27+Inputs!$B$29,MAX(0,(Inputs!$B$3-100)*3)+Inputs!$B$28+Inputs!$B$29)))</f>
        <v/>
      </c>
      <c r="E1241">
        <f>INDEX(FactorTable!$B$2:$Y$301, MATCH(ROUND(MIN(300,MAX(1,D1241)),0), FactorTable!$A$2:$A$301,0), Skills!M18+1)</f>
        <v/>
      </c>
      <c r="F1241">
        <f>IF(Skills!N18=TRUE,(Skills!L18/10)*(E1241/1000),Skills!L18/10)+Skills!O18</f>
        <v/>
      </c>
      <c r="G1241">
        <f>Skills!G18*IF(Skills!H18&gt;0,INT(IF(Inputs!$B$38="pvp",MIN(Skills!I18,15),Skills!I18)/Skills!H18+0.000000001),1)</f>
        <v/>
      </c>
      <c r="H1241">
        <f>1-(1-Skills!J18/100)^Skills!K18</f>
        <v/>
      </c>
      <c r="I1241" t="inlineStr">
        <is>
          <t>1</t>
        </is>
      </c>
      <c r="J1241" t="inlineStr"/>
      <c r="K1241" t="inlineStr"/>
      <c r="L1241" t="inlineStr"/>
      <c r="M1241" t="inlineStr"/>
      <c r="N1241" t="inlineStr"/>
      <c r="O1241">
        <f>(1-Summary!$B$11)*T1241+Summary!$B$11*V1241</f>
        <v/>
      </c>
      <c r="P1241">
        <f>IF(B1268=0,0,O1241/B1268)</f>
        <v/>
      </c>
      <c r="Q1241">
        <f>IFERROR(1/(IF(Inputs!$B$38="pvp",15,MAX(0.1,Skills!D18-IF(TRUE=TRUE,Inputs!$B$32,0)))*(1-IF(AND(ArtifactsInput!$M$27,Inputs!$B$4="Chapter Hunt"),CHOOSE(ArtifactsInput!$N$27+1,20,24,28,32,36,40),0)/100)),0)</f>
        <v/>
      </c>
      <c r="R1241">
        <f>IF(AND(Inputs!$B$38&lt;&gt;"pvp",Inputs!$B$43&gt;0),IF(Inputs!$B$43&lt;=0,0,(INT(Inputs!$B$43/(IF(Inputs!$B$38="pvp",15,MAX(0.1,Skills!D18-IF(TRUE=TRUE,Inputs!$B$32,0)))*(1-IF(AND(ArtifactsInput!$M$27,Inputs!$B$4="Chapter Hunt"),CHOOSE(ArtifactsInput!$N$27+1,20,24,28,32,36,40),0)/100)))+1)),0)</f>
        <v/>
      </c>
      <c r="S1241">
        <f>IFERROR(O1241/N1241,0)</f>
        <v/>
      </c>
      <c r="T1241" t="n">
        <v>0</v>
      </c>
      <c r="V1241" t="n">
        <v>0</v>
      </c>
    </row>
    <row r="1242">
      <c r="A1242">
        <f>Skills!A19</f>
        <v/>
      </c>
      <c r="B1242">
        <f>Skills!B19</f>
        <v/>
      </c>
      <c r="C1242">
        <f>Inputs!$B$3&gt;=66</f>
        <v/>
      </c>
      <c r="D1242">
        <f>IF(Skills!C19=1,60+Inputs!$B$25+Inputs!$B$29,IF(Skills!C19=2,90+Inputs!$B$26+Inputs!$B$29,IF(Skills!C19=3,120+Inputs!$B$27+Inputs!$B$29,MAX(0,(Inputs!$B$3-100)*3)+Inputs!$B$28+Inputs!$B$29)))</f>
        <v/>
      </c>
      <c r="E1242">
        <f>INDEX(FactorTable!$B$2:$Y$301, MATCH(ROUND(MIN(300,MAX(1,D1242)),0), FactorTable!$A$2:$A$301,0), Skills!M19+1)</f>
        <v/>
      </c>
      <c r="F1242">
        <f>IF(Skills!N19=TRUE,(Skills!L19/10)*(E1242/1000),Skills!L19/10)+Skills!O19</f>
        <v/>
      </c>
      <c r="G1242">
        <f>Skills!G19*IF(Skills!H19&gt;0,INT(IF(Inputs!$B$38="pvp",MIN(Skills!I19,15),Skills!I19)/Skills!H19+0.000000001),1)</f>
        <v/>
      </c>
      <c r="H1242">
        <f>1-(1-Skills!J19/100)^Skills!K19</f>
        <v/>
      </c>
      <c r="I1242" t="inlineStr">
        <is>
          <t>1</t>
        </is>
      </c>
      <c r="J1242" t="inlineStr"/>
      <c r="K1242" t="inlineStr"/>
      <c r="L1242" t="inlineStr"/>
      <c r="M1242" t="inlineStr"/>
      <c r="N1242" t="inlineStr"/>
      <c r="O1242">
        <f>(1-Summary!$B$11)*T1242+Summary!$B$11*V1242</f>
        <v/>
      </c>
      <c r="P1242">
        <f>IF(B1268=0,0,O1242/B1268)</f>
        <v/>
      </c>
      <c r="Q1242" t="n">
        <v>0</v>
      </c>
      <c r="R1242" t="n">
        <v>0</v>
      </c>
      <c r="S1242">
        <f>IFERROR(O1242/N1242,0)</f>
        <v/>
      </c>
      <c r="T1242" t="n">
        <v>0</v>
      </c>
      <c r="V1242" t="n">
        <v>0</v>
      </c>
    </row>
    <row r="1243">
      <c r="A1243">
        <f>Skills!A20</f>
        <v/>
      </c>
      <c r="B1243">
        <f>Skills!B20</f>
        <v/>
      </c>
      <c r="C1243">
        <f>Inputs!$B$3&gt;=72</f>
        <v/>
      </c>
      <c r="D1243">
        <f>IF(Skills!C20=1,60+Inputs!$B$25+Inputs!$B$29,IF(Skills!C20=2,90+Inputs!$B$26+Inputs!$B$29,IF(Skills!C20=3,120+Inputs!$B$27+Inputs!$B$29,MAX(0,(Inputs!$B$3-100)*3)+Inputs!$B$28+Inputs!$B$29)))</f>
        <v/>
      </c>
      <c r="E1243">
        <f>INDEX(FactorTable!$B$2:$Y$301, MATCH(ROUND(MIN(300,MAX(1,D1243)),0), FactorTable!$A$2:$A$301,0), Skills!M20+1)</f>
        <v/>
      </c>
      <c r="F1243">
        <f>IF(Skills!N20=TRUE,(Skills!L20/10)*(E1243/1000),Skills!L20/10)+Skills!O20</f>
        <v/>
      </c>
      <c r="G1243">
        <f>Skills!G20*IF(Skills!H20&gt;0,INT(IF(Inputs!$B$38="pvp",MIN(Skills!I20,15),Skills!I20)/Skills!H20+0.000000001),1)</f>
        <v/>
      </c>
      <c r="H1243">
        <f>1-(1-Skills!J20/100)^Skills!K20</f>
        <v/>
      </c>
      <c r="I1243" t="inlineStr">
        <is>
          <t>1</t>
        </is>
      </c>
      <c r="J1243" t="inlineStr"/>
      <c r="K1243" t="inlineStr"/>
      <c r="L1243" t="inlineStr"/>
      <c r="M1243" t="inlineStr"/>
      <c r="N1243" t="inlineStr"/>
      <c r="O1243">
        <f>(1-Summary!$B$11)*T1243+Summary!$B$11*V1243</f>
        <v/>
      </c>
      <c r="P1243">
        <f>IF(B1268=0,0,O1243/B1268)</f>
        <v/>
      </c>
      <c r="Q1243" t="n">
        <v>0</v>
      </c>
      <c r="R1243" t="n">
        <v>0</v>
      </c>
      <c r="S1243">
        <f>IFERROR(O1243/N1243,0)</f>
        <v/>
      </c>
      <c r="T1243" t="n">
        <v>0</v>
      </c>
      <c r="V1243" t="n">
        <v>0</v>
      </c>
    </row>
    <row r="1244">
      <c r="A1244">
        <f>Skills!A21</f>
        <v/>
      </c>
      <c r="B1244">
        <f>Skills!B21</f>
        <v/>
      </c>
      <c r="C1244">
        <f>TRUE</f>
        <v/>
      </c>
      <c r="D1244">
        <f>IF(Skills!C21=1,60+Inputs!$B$25+Inputs!$B$29,IF(Skills!C21=2,90+Inputs!$B$26+Inputs!$B$29,IF(Skills!C21=3,120+Inputs!$B$27+Inputs!$B$29,MAX(0,(Inputs!$B$3-100)*3)+Inputs!$B$28+Inputs!$B$29)))</f>
        <v/>
      </c>
      <c r="E1244">
        <f>INDEX(FactorTable!$B$2:$Y$301, MATCH(ROUND(MIN(300,MAX(1,D1244)),0), FactorTable!$A$2:$A$301,0), Skills!M21+1)</f>
        <v/>
      </c>
      <c r="F1244">
        <f>IF(Skills!N21=TRUE,(Skills!L21/10)*(E1244/1000),Skills!L21/10)+Skills!O21</f>
        <v/>
      </c>
      <c r="G1244">
        <f>Skills!G21*IF(Skills!H21&gt;0,INT(IF(Inputs!$B$38="pvp",MIN(Skills!I21,15),Skills!I21)/Skills!H21+0.000000001),1)</f>
        <v/>
      </c>
      <c r="H1244">
        <f>1-(1-Skills!J21/100)^Skills!K21</f>
        <v/>
      </c>
      <c r="I1244" t="inlineStr">
        <is>
          <t>1</t>
        </is>
      </c>
      <c r="J1244" t="inlineStr"/>
      <c r="K1244" t="inlineStr"/>
      <c r="L1244" t="inlineStr"/>
      <c r="M1244" t="inlineStr"/>
      <c r="N1244" t="inlineStr"/>
      <c r="O1244">
        <f>(1-Summary!$B$11)*T1244+Summary!$B$11*V1244</f>
        <v/>
      </c>
      <c r="P1244">
        <f>IF(B1268=0,0,O1244/B1268)</f>
        <v/>
      </c>
      <c r="Q1244">
        <f>IFERROR(1/(IF(Inputs!$B$38="pvp",15,MAX(0.1,Skills!D21-IF(TRUE=TRUE,Inputs!$B$32,0)))*(1-IF(AND(ArtifactsInput!$M$27,Inputs!$B$4="Chapter Hunt"),CHOOSE(ArtifactsInput!$N$27+1,20,24,28,32,36,40),0)/100)),0)</f>
        <v/>
      </c>
      <c r="R1244">
        <f>IF(AND(Inputs!$B$38&lt;&gt;"pvp",Inputs!$B$43&gt;0),IF(Inputs!$B$43&lt;=0,0,(INT(Inputs!$B$43/(IF(Inputs!$B$38="pvp",15,MAX(0.1,Skills!D21-IF(TRUE=TRUE,Inputs!$B$32,0)))*(1-IF(AND(ArtifactsInput!$M$27,Inputs!$B$4="Chapter Hunt"),CHOOSE(ArtifactsInput!$N$27+1,20,24,28,32,36,40),0)/100)))+1)),0)</f>
        <v/>
      </c>
      <c r="S1244">
        <f>IFERROR(O1244/N1244,0)</f>
        <v/>
      </c>
      <c r="T1244" t="n">
        <v>0</v>
      </c>
      <c r="V1244" t="n">
        <v>0</v>
      </c>
    </row>
    <row r="1245">
      <c r="A1245">
        <f>Skills!A22</f>
        <v/>
      </c>
      <c r="B1245">
        <f>Skills!B22</f>
        <v/>
      </c>
      <c r="C1245">
        <f>Inputs!$B$3&gt;=15</f>
        <v/>
      </c>
      <c r="D1245">
        <f>IF(Skills!C22=1,60+Inputs!$B$25+Inputs!$B$29,IF(Skills!C22=2,90+Inputs!$B$26+Inputs!$B$29,IF(Skills!C22=3,120+Inputs!$B$27+Inputs!$B$29,MAX(0,(Inputs!$B$3-100)*3)+Inputs!$B$28+Inputs!$B$29)))</f>
        <v/>
      </c>
      <c r="E1245">
        <f>INDEX(FactorTable!$B$2:$Y$301, MATCH(ROUND(MIN(300,MAX(1,D1245)),0), FactorTable!$A$2:$A$301,0), Skills!M22+1)</f>
        <v/>
      </c>
      <c r="F1245">
        <f>IF(Skills!N22=TRUE,(Skills!L22/10)*(E1245/1000),Skills!L22/10)+Skills!O22</f>
        <v/>
      </c>
      <c r="G1245">
        <f>Skills!G22*IF(Skills!H22&gt;0,INT(IF(Inputs!$B$38="pvp",MIN(Skills!I22,15),Skills!I22)/Skills!H22+0.000000001),1)</f>
        <v/>
      </c>
      <c r="H1245">
        <f>1-(1-Skills!J22/100)^Skills!K22</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Skills!A23</f>
        <v/>
      </c>
      <c r="B1246">
        <f>Skills!B23</f>
        <v/>
      </c>
      <c r="C1246">
        <f>Inputs!$B$3&gt;=10</f>
        <v/>
      </c>
      <c r="D1246">
        <f>IF(Skills!C23=1,60+Inputs!$B$25+Inputs!$B$29,IF(Skills!C23=2,90+Inputs!$B$26+Inputs!$B$29,IF(Skills!C23=3,120+Inputs!$B$27+Inputs!$B$29,MAX(0,(Inputs!$B$3-100)*3)+Inputs!$B$28+Inputs!$B$29)))</f>
        <v/>
      </c>
      <c r="E1246">
        <f>INDEX(FactorTable!$B$2:$Y$301, MATCH(ROUND(MIN(300,MAX(1,D1246)),0), FactorTable!$A$2:$A$301,0), Skills!M23+1)</f>
        <v/>
      </c>
      <c r="F1246">
        <f>IF(Skills!N23=TRUE,(Skills!L23/10)*(E1246/1000),Skills!L23/10)+Skills!O23</f>
        <v/>
      </c>
      <c r="G1246">
        <f>Skills!G23*IF(Skills!H23&gt;0,INT(IF(Inputs!$B$38="pvp",MIN(Skills!I23,15),Skills!I23)/Skills!H23+0.000000001),1)</f>
        <v/>
      </c>
      <c r="H1246">
        <f>1-(1-Skills!J23/100)^Skills!K23</f>
        <v/>
      </c>
      <c r="I1246" t="inlineStr">
        <is>
          <t>1</t>
        </is>
      </c>
      <c r="J1246" t="inlineStr"/>
      <c r="K1246" t="inlineStr"/>
      <c r="L1246" t="inlineStr"/>
      <c r="M1246" t="inlineStr"/>
      <c r="N1246" t="inlineStr"/>
      <c r="O1246">
        <f>(1-Summary!$B$11)*T1246+Summary!$B$11*V1246</f>
        <v/>
      </c>
      <c r="P1246">
        <f>IF(B1268=0,0,O1246/B1268)</f>
        <v/>
      </c>
      <c r="Q1246" t="n">
        <v>0</v>
      </c>
      <c r="R1246" t="n">
        <v>0</v>
      </c>
      <c r="S1246">
        <f>IFERROR(O1246/N1246,0)</f>
        <v/>
      </c>
      <c r="T1246" t="n">
        <v>0</v>
      </c>
      <c r="V1246" t="n">
        <v>0</v>
      </c>
    </row>
    <row r="1247">
      <c r="A1247">
        <f>Skills!A24</f>
        <v/>
      </c>
      <c r="B1247">
        <f>Skills!B24</f>
        <v/>
      </c>
      <c r="C1247">
        <f>Inputs!$B$3&gt;=33</f>
        <v/>
      </c>
      <c r="D1247">
        <f>IF(Skills!C24=1,60+Inputs!$B$25+Inputs!$B$29,IF(Skills!C24=2,90+Inputs!$B$26+Inputs!$B$29,IF(Skills!C24=3,120+Inputs!$B$27+Inputs!$B$29,MAX(0,(Inputs!$B$3-100)*3)+Inputs!$B$28+Inputs!$B$29)))</f>
        <v/>
      </c>
      <c r="E1247">
        <f>INDEX(FactorTable!$B$2:$Y$301, MATCH(ROUND(MIN(300,MAX(1,D1247)),0), FactorTable!$A$2:$A$301,0), Skills!M24+1)</f>
        <v/>
      </c>
      <c r="F1247">
        <f>IF(Skills!N24=TRUE,(Skills!L24/10)*(E1247/1000),Skills!L24/10)+Skills!O24</f>
        <v/>
      </c>
      <c r="G1247">
        <f>Skills!G24*IF(Skills!H24&gt;0,INT(IF(Inputs!$B$38="pvp",MIN(Skills!I24,15),Skills!I24)/Skills!H24+0.000000001),1)</f>
        <v/>
      </c>
      <c r="H1247">
        <f>1-(1-Skills!J24/100)^Skills!K24</f>
        <v/>
      </c>
      <c r="I1247" t="inlineStr">
        <is>
          <t>1</t>
        </is>
      </c>
      <c r="J1247" t="inlineStr"/>
      <c r="K1247" t="inlineStr"/>
      <c r="L1247" t="inlineStr"/>
      <c r="M1247" t="inlineStr"/>
      <c r="N1247" t="inlineStr"/>
      <c r="O1247">
        <f>(1-Summary!$B$11)*T1247+Summary!$B$11*V1247</f>
        <v/>
      </c>
      <c r="P1247">
        <f>IF(B1268=0,0,O1247/B1268)</f>
        <v/>
      </c>
      <c r="Q1247" t="n">
        <v>0</v>
      </c>
      <c r="R1247" t="n">
        <v>0</v>
      </c>
      <c r="S1247">
        <f>IFERROR(O1247/N1247,0)</f>
        <v/>
      </c>
      <c r="T1247" t="n">
        <v>0</v>
      </c>
      <c r="V1247" t="n">
        <v>0</v>
      </c>
    </row>
    <row r="1248">
      <c r="A1248">
        <f>Skills!A25</f>
        <v/>
      </c>
      <c r="B1248">
        <f>Skills!B25</f>
        <v/>
      </c>
      <c r="C1248">
        <f>Inputs!$B$3&gt;=38</f>
        <v/>
      </c>
      <c r="D1248">
        <f>IF(Skills!C25=1,60+Inputs!$B$25+Inputs!$B$29,IF(Skills!C25=2,90+Inputs!$B$26+Inputs!$B$29,IF(Skills!C25=3,120+Inputs!$B$27+Inputs!$B$29,MAX(0,(Inputs!$B$3-100)*3)+Inputs!$B$28+Inputs!$B$29)))</f>
        <v/>
      </c>
      <c r="E1248">
        <f>INDEX(FactorTable!$B$2:$Y$301, MATCH(ROUND(MIN(300,MAX(1,D1248)),0), FactorTable!$A$2:$A$301,0), Skills!M25+1)</f>
        <v/>
      </c>
      <c r="F1248">
        <f>IF(Skills!N25=TRUE,(Skills!L25/10)*(E1248/1000),Skills!L25/10)+Skills!O25</f>
        <v/>
      </c>
      <c r="G1248">
        <f>Skills!G25*IF(Skills!H25&gt;0,INT(IF(Inputs!$B$38="pvp",MIN(Skills!I25,15),Skills!I25)/Skills!H25+0.000000001),1)</f>
        <v/>
      </c>
      <c r="H1248">
        <f>1-(1-Skills!J25/100)^Skills!K25</f>
        <v/>
      </c>
      <c r="I1248" t="inlineStr">
        <is>
          <t>1</t>
        </is>
      </c>
      <c r="J1248" t="inlineStr"/>
      <c r="K1248" t="inlineStr"/>
      <c r="L1248" t="inlineStr"/>
      <c r="M1248" t="inlineStr"/>
      <c r="N1248" t="inlineStr"/>
      <c r="O1248">
        <f>(1-Summary!$B$11)*T1248+Summary!$B$11*V1248</f>
        <v/>
      </c>
      <c r="P1248">
        <f>IF(B1268=0,0,O1248/B1268)</f>
        <v/>
      </c>
      <c r="Q1248" t="n">
        <v>0</v>
      </c>
      <c r="R1248" t="n">
        <v>0</v>
      </c>
      <c r="S1248">
        <f>IFERROR(O1248/N1248,0)</f>
        <v/>
      </c>
      <c r="T1248" t="n">
        <v>0</v>
      </c>
      <c r="V1248" t="n">
        <v>0</v>
      </c>
    </row>
    <row r="1249">
      <c r="A1249">
        <f>Skills!A26</f>
        <v/>
      </c>
      <c r="B1249">
        <f>Skills!B26</f>
        <v/>
      </c>
      <c r="C1249">
        <f>Inputs!$B$3&gt;=43</f>
        <v/>
      </c>
      <c r="D1249">
        <f>IF(Skills!C26=1,60+Inputs!$B$25+Inputs!$B$29,IF(Skills!C26=2,90+Inputs!$B$26+Inputs!$B$29,IF(Skills!C26=3,120+Inputs!$B$27+Inputs!$B$29,MAX(0,(Inputs!$B$3-100)*3)+Inputs!$B$28+Inputs!$B$29)))</f>
        <v/>
      </c>
      <c r="E1249">
        <f>INDEX(FactorTable!$B$2:$Y$301, MATCH(ROUND(MIN(300,MAX(1,D1249)),0), FactorTable!$A$2:$A$301,0), Skills!M26+1)</f>
        <v/>
      </c>
      <c r="F1249">
        <f>IF(Skills!N26=TRUE,(Skills!L26/10)*(E1249/1000),Skills!L26/10)+Skills!O26</f>
        <v/>
      </c>
      <c r="G1249">
        <f>Skills!G26*IF(Skills!H26&gt;0,INT(IF(Inputs!$B$38="pvp",MIN(Skills!I26,15),Skills!I26)/Skills!H26+0.000000001),1)</f>
        <v/>
      </c>
      <c r="H1249">
        <f>1-(1-Skills!J26/100)^Skills!K26</f>
        <v/>
      </c>
      <c r="I1249" t="inlineStr">
        <is>
          <t>1</t>
        </is>
      </c>
      <c r="J1249" t="inlineStr"/>
      <c r="K1249" t="inlineStr"/>
      <c r="L1249" t="inlineStr"/>
      <c r="M1249" t="inlineStr"/>
      <c r="N1249" t="inlineStr"/>
      <c r="O1249">
        <f>(1-Summary!$B$11)*T1249+Summary!$B$11*V1249</f>
        <v/>
      </c>
      <c r="P1249">
        <f>IF(B1268=0,0,O1249/B1268)</f>
        <v/>
      </c>
      <c r="Q1249" t="n">
        <v>0</v>
      </c>
      <c r="R1249" t="n">
        <v>0</v>
      </c>
      <c r="S1249">
        <f>IFERROR(O1249/N1249,0)</f>
        <v/>
      </c>
      <c r="T1249" t="n">
        <v>0</v>
      </c>
      <c r="V1249" t="n">
        <v>0</v>
      </c>
    </row>
    <row r="1250">
      <c r="A1250">
        <f>Skills!A27</f>
        <v/>
      </c>
      <c r="B1250">
        <f>Skills!B27</f>
        <v/>
      </c>
      <c r="C1250">
        <f>Inputs!$B$3&gt;=75</f>
        <v/>
      </c>
      <c r="D1250">
        <f>IF(Skills!C27=1,60+Inputs!$B$25+Inputs!$B$29,IF(Skills!C27=2,90+Inputs!$B$26+Inputs!$B$29,IF(Skills!C27=3,120+Inputs!$B$27+Inputs!$B$29,MAX(0,(Inputs!$B$3-100)*3)+Inputs!$B$28+Inputs!$B$29)))</f>
        <v/>
      </c>
      <c r="E1250">
        <f>INDEX(FactorTable!$B$2:$Y$301, MATCH(ROUND(MIN(300,MAX(1,D1250)),0), FactorTable!$A$2:$A$301,0), Skills!M27+1)</f>
        <v/>
      </c>
      <c r="F1250">
        <f>IF(Skills!N27=TRUE,(Skills!L27/10)*(E1250/1000),Skills!L27/10)+Skills!O27</f>
        <v/>
      </c>
      <c r="G1250">
        <f>Skills!G27*IF(Skills!H27&gt;0,INT(IF(Inputs!$B$38="pvp",MIN(Skills!I27,15),Skills!I27)/Skills!H27+0.000000001),1)</f>
        <v/>
      </c>
      <c r="H1250">
        <f>1-(1-Skills!J27/100)^Skills!K27</f>
        <v/>
      </c>
      <c r="I1250" t="inlineStr">
        <is>
          <t>1</t>
        </is>
      </c>
      <c r="J1250" t="inlineStr"/>
      <c r="K1250" t="inlineStr"/>
      <c r="L1250" t="inlineStr"/>
      <c r="M1250" t="inlineStr"/>
      <c r="N1250" t="inlineStr"/>
      <c r="O1250">
        <f>(1-Summary!$B$11)*T1250+Summary!$B$11*V1250</f>
        <v/>
      </c>
      <c r="P1250">
        <f>IF(B1268=0,0,O1250/B1268)</f>
        <v/>
      </c>
      <c r="Q1250" t="n">
        <v>0</v>
      </c>
      <c r="R1250" t="n">
        <v>0</v>
      </c>
      <c r="S1250">
        <f>IFERROR(O1250/N1250,0)</f>
        <v/>
      </c>
      <c r="T1250" t="n">
        <v>0</v>
      </c>
      <c r="V1250" t="n">
        <v>0</v>
      </c>
    </row>
    <row r="1251">
      <c r="A1251">
        <f>Skills!A28</f>
        <v/>
      </c>
      <c r="B1251">
        <f>Skills!B28</f>
        <v/>
      </c>
      <c r="C1251">
        <f>Inputs!$B$3&gt;=125</f>
        <v/>
      </c>
      <c r="D1251">
        <f>IF(Skills!C28=1,60+Inputs!$B$25+Inputs!$B$29,IF(Skills!C28=2,90+Inputs!$B$26+Inputs!$B$29,IF(Skills!C28=3,120+Inputs!$B$27+Inputs!$B$29,MAX(0,(Inputs!$B$3-100)*3)+Inputs!$B$28+Inputs!$B$29)))</f>
        <v/>
      </c>
      <c r="E1251">
        <f>INDEX(FactorTable!$B$2:$Y$301, MATCH(ROUND(MIN(300,MAX(1,D1251)),0), FactorTable!$A$2:$A$301,0), Skills!M28+1)</f>
        <v/>
      </c>
      <c r="F1251">
        <f>IF(Skills!N28=TRUE,(Skills!L28/10)*(E1251/1000),Skills!L28/10)+Skills!O28</f>
        <v/>
      </c>
      <c r="G1251">
        <f>Skills!G28*IF(Skills!H28&gt;0,INT(IF(Inputs!$B$38="pvp",MIN(Skills!I28,15),Skills!I28)/Skills!H28+0.000000001),1)</f>
        <v/>
      </c>
      <c r="H1251">
        <f>1-(1-Skills!J28/100)^Skills!K28</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Skills!A29</f>
        <v/>
      </c>
      <c r="B1252">
        <f>Skills!B29</f>
        <v/>
      </c>
      <c r="C1252">
        <f>Inputs!$B$3&gt;=125</f>
        <v/>
      </c>
      <c r="D1252">
        <f>IF(Skills!C29=1,60+Inputs!$B$25+Inputs!$B$29,IF(Skills!C29=2,90+Inputs!$B$26+Inputs!$B$29,IF(Skills!C29=3,120+Inputs!$B$27+Inputs!$B$29,MAX(0,(Inputs!$B$3-100)*3)+Inputs!$B$28+Inputs!$B$29)))</f>
        <v/>
      </c>
      <c r="E1252">
        <f>INDEX(FactorTable!$B$2:$Y$301, MATCH(ROUND(MIN(300,MAX(1,D1252)),0), FactorTable!$A$2:$A$301,0), Skills!M29+1)</f>
        <v/>
      </c>
      <c r="F1252">
        <f>IF(Skills!N29=TRUE,(Skills!L29/10)*(E1252/1000),Skills!L29/10)+Skills!O29</f>
        <v/>
      </c>
      <c r="G1252">
        <f>Skills!G29*IF(Skills!H29&gt;0,INT(IF(Inputs!$B$38="pvp",MIN(Skills!I29,15),Skills!I29)/Skills!H29+0.000000001),1)</f>
        <v/>
      </c>
      <c r="H1252">
        <f>1-(1-Skills!J29/100)^Skills!K29</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Skills!A30</f>
        <v/>
      </c>
      <c r="B1253">
        <f>Skills!B30</f>
        <v/>
      </c>
      <c r="C1253">
        <f>Inputs!$B$3&gt;=120</f>
        <v/>
      </c>
      <c r="D1253">
        <f>IF(Skills!C30=1,60+Inputs!$B$25+Inputs!$B$29,IF(Skills!C30=2,90+Inputs!$B$26+Inputs!$B$29,IF(Skills!C30=3,120+Inputs!$B$27+Inputs!$B$29,MAX(0,(Inputs!$B$3-100)*3)+Inputs!$B$28+Inputs!$B$29)))</f>
        <v/>
      </c>
      <c r="E1253">
        <f>INDEX(FactorTable!$B$2:$Y$301, MATCH(ROUND(MIN(300,MAX(1,D1253)),0), FactorTable!$A$2:$A$301,0), Skills!M30+1)</f>
        <v/>
      </c>
      <c r="F1253">
        <f>IF(Skills!N30=TRUE,(Skills!L30/10)*(E1253/1000),Skills!L30/10)+Skills!O30</f>
        <v/>
      </c>
      <c r="G1253">
        <f>Skills!G30*IF(Skills!H30&gt;0,INT(IF(Inputs!$B$38="pvp",MIN(Skills!I30,15),Skills!I30)/Skills!H30+0.000000001),1)</f>
        <v/>
      </c>
      <c r="H1253">
        <f>1-(1-Skills!J30/100)^Skills!K30</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Skills!A31</f>
        <v/>
      </c>
      <c r="B1254">
        <f>Skills!B31</f>
        <v/>
      </c>
      <c r="C1254">
        <f>Inputs!$B$3&gt;=120</f>
        <v/>
      </c>
      <c r="D1254">
        <f>IF(Skills!C31=1,60+Inputs!$B$25+Inputs!$B$29,IF(Skills!C31=2,90+Inputs!$B$26+Inputs!$B$29,IF(Skills!C31=3,120+Inputs!$B$27+Inputs!$B$29,MAX(0,(Inputs!$B$3-100)*3)+Inputs!$B$28+Inputs!$B$29)))</f>
        <v/>
      </c>
      <c r="E1254">
        <f>INDEX(FactorTable!$B$2:$Y$301, MATCH(ROUND(MIN(300,MAX(1,D1254)),0), FactorTable!$A$2:$A$301,0), Skills!M31+1)</f>
        <v/>
      </c>
      <c r="F1254">
        <f>IF(Skills!N31=TRUE,(Skills!L31/10)*(E1254/1000),Skills!L31/10)+Skills!O31</f>
        <v/>
      </c>
      <c r="G1254">
        <f>Skills!G31*IF(Skills!H31&gt;0,INT(IF(Inputs!$B$38="pvp",MIN(Skills!I31,15),Skills!I31)/Skills!H31+0.000000001),1)</f>
        <v/>
      </c>
      <c r="H1254">
        <f>1-(1-Skills!J31/100)^Skills!K31</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Skills!A32</f>
        <v/>
      </c>
      <c r="B1255">
        <f>Skills!B32</f>
        <v/>
      </c>
      <c r="C1255">
        <f>Inputs!$B$3&gt;=45</f>
        <v/>
      </c>
      <c r="D1255">
        <f>IF(Skills!C32=1,60+Inputs!$B$25+Inputs!$B$29,IF(Skills!C32=2,90+Inputs!$B$26+Inputs!$B$29,IF(Skills!C32=3,120+Inputs!$B$27+Inputs!$B$29,MAX(0,(Inputs!$B$3-100)*3)+Inputs!$B$28+Inputs!$B$29)))</f>
        <v/>
      </c>
      <c r="E1255">
        <f>INDEX(FactorTable!$B$2:$Y$301, MATCH(ROUND(MIN(300,MAX(1,D1255)),0), FactorTable!$A$2:$A$301,0), Skills!M32+1)</f>
        <v/>
      </c>
      <c r="F1255">
        <f>IF(Skills!N32=TRUE,(Skills!L32/10)*(E1255/1000),Skills!L32/10)+Skills!O32</f>
        <v/>
      </c>
      <c r="G1255">
        <f>Skills!G32*IF(Skills!H32&gt;0,INT(IF(Inputs!$B$38="pvp",MIN(Skills!I32,15),Skills!I32)/Skills!H32+0.000000001),1)</f>
        <v/>
      </c>
      <c r="H1255">
        <f>1-(1-Skills!J32/100)^Skills!K32</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1244=TRUE)*F1244*IF(AND(Inputs!$B$38&lt;&gt;"pvp",Inputs!$B$43&gt;0),(((R1244-1)*MIN((Skills!T21*(1+Inputs!$B$34/100)),(1/Q1244))+MIN((Skills!T21*(1+Inputs!$B$34/100)),MAX(0,Inputs!$B$43-((R1244-1)*(1/Q1244)))))/Inputs!$B$43),IF(Inputs!$B$38="pvp",MIN((Skills!T21*(1+Inputs!$B$34/100)),15)/15,MIN(1,(Skills!T21*(1+Inputs!$B$34/100))/(1/Q1244)))))</f>
        <v/>
      </c>
    </row>
    <row r="1260">
      <c r="A1260" t="inlineStr">
        <is>
          <t>Actions Per Second</t>
        </is>
      </c>
      <c r="B1260">
        <f>1+MIN(150,150*(1-(1-(Inputs!$B$11+((C1246=TRUE)*(F1246-Calc!F23))+((C1247=TRUE)*(F1247-Calc!F24)))/150)*(1-B1259/150)))/100</f>
        <v/>
      </c>
    </row>
    <row r="1261">
      <c r="A1261" t="inlineStr">
        <is>
          <t>Skill + Buff Cast Rate</t>
        </is>
      </c>
      <c r="B1261">
        <f>IF(AND(Inputs!$B$38&lt;&gt;"pvp",Inputs!$B$43&gt;0),SUMPRODUCT((Skills!E2:E32=TRUE)*(C1225:C1255=TRUE)*R1225:R1255*Skills!F2:F32)/Inputs!$B$43,SUMPRODUCT((Skills!E2:E32=TRUE)*(C1225:C1255=TRUE)*Q1225:Q1255*Skills!F2:F32))</f>
        <v/>
      </c>
    </row>
    <row r="1262">
      <c r="A1262" t="inlineStr">
        <is>
          <t>Arrow Stream Casts Per Second</t>
        </is>
      </c>
      <c r="B1262">
        <f>MAX(0,B1260-B1261)</f>
        <v/>
      </c>
    </row>
    <row r="1263">
      <c r="A1263" t="inlineStr">
        <is>
          <t>Global Critical Damage Bonus % (Sharp Eyes + Concentration)</t>
        </is>
      </c>
      <c r="B1263">
        <f>(C1241=TRUE)*F1241*IF(AND(Inputs!$B$38&lt;&gt;"pvp",Inputs!$B$43&gt;0),(((R1241-1)*MIN((Skills!T18*(1+Inputs!$B$34/100)),(1/Q1241))+MIN((Skills!T18*(1+Inputs!$B$34/100)),MAX(0,Inputs!$B$43-((R1241-1)*(1/Q1241)))))/Inputs!$B$43),IF(Inputs!$B$38="pvp",MIN((Skills!T18*(1+Inputs!$B$34/100)),15)/15,MIN(1,(Skills!T18*(1+Inputs!$B$34/100))/(1/Q1241))))+(C1242=TRUE)*7*F1242</f>
        <v/>
      </c>
    </row>
    <row r="1264">
      <c r="A1264" t="inlineStr">
        <is>
          <t>Global Final Damage Bonus % (Mortal Blow)</t>
        </is>
      </c>
      <c r="B1264">
        <f>(C1243=TRUE)*F1243</f>
        <v/>
      </c>
    </row>
    <row r="1265">
      <c r="A1265" t="inlineStr">
        <is>
          <t>Buff-Casting Startup Delay (s, fixed-duration only)</t>
        </is>
      </c>
      <c r="B1265">
        <f>IF(AND(Inputs!$B$38&lt;&gt;"pvp",Inputs!$B$43&gt;0),SUMPRODUCT((Skills!T2:T32&gt;0)*(Skills!E2:E32=TRUE)*(C1225:C1255=TRUE))/B1260,0)</f>
        <v/>
      </c>
    </row>
    <row r="1266">
      <c r="A1266" t="inlineStr">
        <is>
          <t>Boss-Only Total DPS (this block's swept value)</t>
        </is>
      </c>
      <c r="B1266">
        <f>SUM(T1225:T1255)</f>
        <v/>
      </c>
    </row>
    <row r="1267">
      <c r="A1267" t="inlineStr">
        <is>
          <t>Normal-Only Total DPS (this block's swept value)</t>
        </is>
      </c>
      <c r="B1267">
        <f>SUM(V1225:V1255)</f>
        <v/>
      </c>
    </row>
    <row r="1268">
      <c r="A1268" s="6" t="inlineStr">
        <is>
          <t>TOTAL DPS</t>
        </is>
      </c>
      <c r="B1268" s="6">
        <f>SUM(O1225:O1255)</f>
        <v/>
      </c>
    </row>
    <row r="1271">
      <c r="A1271" s="6" t="inlineStr">
        <is>
          <t>Stat: Buff Duration Increase %</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Skills!G2*IF(Skills!H2&gt;0,INT(IF(Inputs!$B$38="pvp",MIN(Skills!I2,15),Skills!I2)/Skills!H2+0.000000001),1)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1297=TRUE)*(F1297-Calc!F26)),(Inputs!$B$23+((C1302=TRUE)*(F1302-Calc!F31))+(IF(ArtifactsInput!$M$15,CHOOSE(ArtifactsInput!$N$15+1,25,30,35,40,45,50)/100*(Inputs!$B$11-Inputs!$B$11),0))))/100+(Inputs!$B$23+((C1302=TRUE)*(F1302-Calc!F31))+(IF(ArtifactsInput!$M$15,CHOOSE(ArtifactsInput!$N$15+1,25,30,35,40,45,50)/100*(Inputs!$B$11-Inputs!$B$11),0)))/100)/2</f>
        <v/>
      </c>
      <c r="M1273">
        <f>L1273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IF(B1316=0,0,O1273/B1316)</f>
        <v/>
      </c>
      <c r="Q1273" t="n">
        <v>0</v>
      </c>
      <c r="R1273" t="n">
        <v>0</v>
      </c>
      <c r="S1273">
        <f>IFERROR(O1273/N1273,0)</f>
        <v/>
      </c>
      <c r="T1273">
        <f>IF(C1273,(Skills!G2*N1273*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f>Skills!G3*IF(Skills!H3&gt;0,INT(IF(Inputs!$B$38="pvp",MIN(Skills!I3,15),Skills!I3)/Skills!H3+0.000000001),1)</f>
        <v/>
      </c>
      <c r="H1274">
        <f>1-(1-Skills!J3/100)^Skills!K3</f>
        <v/>
      </c>
      <c r="I1274" t="inlineStr">
        <is>
          <t>1</t>
        </is>
      </c>
      <c r="J1274">
        <f>((Inputs!$B$6*(1+Inputs!$B$7/100))+(((Inputs!$B$12*(1+Inputs!$B$13/100))-(Inputs!$B$12*(1+Inputs!$B$13/100)))+0.25*(Inputs!$B$14-Inputs!$B$14))*(1+Inputs!$B$7/100))*(F1274/100)</f>
        <v/>
      </c>
      <c r="K1274">
        <f>J1274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1275=TRUE,F1275,0)/100)*(1+(IF(Skills!A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C1297=TRUE)*(F1297-Calc!F26)),(Inputs!$B$23+((C1302=TRUE)*(F1302-Calc!F31))+(IF(ArtifactsInput!$M$15,CHOOSE(ArtifactsInput!$N$15+1,25,30,35,40,45,50)/100*(Inputs!$B$11-Inputs!$B$11),0))))/100+(Inputs!$B$23+((C1302=TRUE)*(F1302-Calc!F31))+(IF(ArtifactsInput!$M$15,CHOOSE(ArtifactsInput!$N$15+1,25,30,35,40,45,50)/100*(Inputs!$B$11-Inputs!$B$11),0)))/100)/2</f>
        <v/>
      </c>
      <c r="M1274">
        <f>L1274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(1-Summary!$B$11)*T1274+Summary!$B$11*V1274</f>
        <v/>
      </c>
      <c r="P1274">
        <f>IF(B1316=0,0,O1274/B1316)</f>
        <v/>
      </c>
      <c r="Q1274">
        <f>IFERROR(1/(IF(Inputs!$B$38="pvp",15,MAX(0.1,1/B1308-IF(FALSE=TRUE,Inputs!$B$32,0)))*(1-IF(AND(ArtifactsInput!$M$27,Inputs!$B$4="Chapter Hunt"),CHOOSE(ArtifactsInput!$N$27+1,20,24,28,32,36,40),0)/100)),0)</f>
        <v/>
      </c>
      <c r="R1274">
        <f>IF(AND(Inputs!$B$38&lt;&gt;"pvp",Inputs!$B$43&gt;0),IF(MAX(0,Inputs!$B$43-B1313)&lt;=0,0,(INT(MAX(0,Inputs!$B$43-B1313)/(IF(Inputs!$B$38="pvp",15,MAX(0.1,1/B1308-IF(FALSE=TRUE,Inputs!$B$32,0)))*(1-IF(AND(ArtifactsInput!$M$27,Inputs!$B$4="Chapter Hunt"),CHOOSE(ArtifactsInput!$N$27+1,20,24,28,32,36,40),0)/100)))+1)),0)</f>
        <v/>
      </c>
      <c r="S1274">
        <f>IFERROR(O1274/N1274,0)</f>
        <v/>
      </c>
      <c r="T1274">
        <f>IF(C1274,(H1274*N1274*IF(AND(Inputs!$B$38&lt;&gt;"pvp",Inputs!$B$43&gt;0),((Skills!G3*((R1274-1)*IF(Skills!H3&gt;0,INT(Skills!I3/Skills!H3+0.000000001),1)+IF(Skills!H3&gt;0,INT(MIN(Skills!I3,MAX(0,MAX(0,Inputs!$B$43-B1313)-((R1274-1)*(IF(Inputs!$B$38="pvp",15,MAX(0.1,1/B1308-IF(FALSE=TRUE,Inputs!$B$32,0)))*(1-IF(AND(ArtifactsInput!$M$27,Inputs!$B$4="Chapter Hunt"),CHOOSE(ArtifactsInput!$N$27+1,20,24,28,32,36,40),0)/100)))))/Skills!H3+0.000000001),1)))/Inputs!$B$43),G1274*Q1274)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INDEX(FactorTable!$B$2:$Y$301, MATCH(ROUND(MIN(300,MAX(1,U1273)),0), FactorTable!$A$2:$A$301,0), 22)</f>
        <v/>
      </c>
      <c r="V1274">
        <f>IF(C1274,(H1274*N1274*IF(AND(Inputs!$B$38&lt;&gt;"pvp",Inputs!$B$43&gt;0),((Skills!G3*((R1274-1)*IF(Skills!H3&gt;0,INT(Skills!I3/Skills!H3+0.000000001),1)+IF(Skills!H3&gt;0,INT(MIN(Skills!I3,MAX(0,MAX(0,Inputs!$B$43-B1313)-((R1274-1)*(IF(Inputs!$B$38="pvp",15,MAX(0.1,1/B1308-IF(FALSE=TRUE,Inputs!$B$32,0)))*(1-IF(AND(ArtifactsInput!$M$27,Inputs!$B$4="Chapter Hunt"),CHOOSE(ArtifactsInput!$N$27+1,20,24,28,32,36,40),0)/100)))))/Skills!H3+0.000000001),1)))/Inputs!$B$43),G1274*Q1274))*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Skills!A4</f>
        <v/>
      </c>
      <c r="B1275">
        <f>Skills!B4</f>
        <v/>
      </c>
      <c r="C1275">
        <f>Inputs!$B$3&gt;=105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t="inlineStr"/>
      <c r="H1275" t="inlineStr"/>
      <c r="I1275" t="inlineStr">
        <is>
          <t>1</t>
        </is>
      </c>
      <c r="J1275" t="inlineStr"/>
      <c r="K1275" t="inlineStr"/>
      <c r="L1275" t="inlineStr"/>
      <c r="M1275" t="inlineStr"/>
      <c r="N1275" t="inlineStr"/>
      <c r="O1275" t="inlineStr"/>
      <c r="P1275" t="inlineStr"/>
      <c r="Q1275" t="inlineStr"/>
      <c r="R1275" t="inlineStr"/>
      <c r="S1275" t="inlineStr"/>
      <c r="T1275" t="inlineStr"/>
      <c r="U1275">
        <f>290*U1274/1000</f>
        <v/>
      </c>
      <c r="V1275" t="inlineStr"/>
    </row>
    <row r="1276">
      <c r="A1276">
        <f>Skills!A5</f>
        <v/>
      </c>
      <c r="B1276">
        <f>Skills!B5</f>
        <v/>
      </c>
      <c r="C1276">
        <f>Inputs!$B$3&gt;=35</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Skills!G5*IF(Skills!H5&gt;0,INT(IF(Inputs!$B$38="pvp",MIN(Skills!I5,15),Skills!I5)/Skills!H5+0.000000001),1)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5="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1297=TRUE)*(F1297-Calc!F26)),(Inputs!$B$23+((C1302=TRUE)*(F1302-Calc!F31))+(IF(ArtifactsInput!$M$15,CHOOSE(ArtifactsInput!$N$15+1,25,30,35,40,45,50)/100*(Inputs!$B$11-Inputs!$B$11),0))))/100+(Inputs!$B$23+((C1302=TRUE)*(F1302-Calc!F31))+(IF(ArtifactsInput!$M$15,CHOOSE(ArtifactsInput!$N$15+1,25,30,35,40,45,50)/100*(Inputs!$B$11-Inputs!$B$11),0)))/100)/2</f>
        <v/>
      </c>
      <c r="M1276">
        <f>L1276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IF(B1316=0,0,O1276/B1316)</f>
        <v/>
      </c>
      <c r="Q1276">
        <f>IFERROR(1/(IF(Inputs!$B$38="pvp",15,MAX(0.1,Skills!D5-IF(TRUE=TRUE,Inputs!$B$32,0)))*(1-IF(AND(ArtifactsInput!$M$27,Inputs!$B$4="Chapter Hunt"),CHOOSE(ArtifactsInput!$N$27+1,20,24,28,32,36,40),0)/100)),0)</f>
        <v/>
      </c>
      <c r="R1276">
        <f>IF(AND(Inputs!$B$38&lt;&gt;"pvp",Inputs!$B$43&gt;0),IF(MAX(0,Inputs!$B$43-B1313)&lt;=0,0,(INT(MAX(0,Inputs!$B$43-B1313)/(IF(Inputs!$B$38="pvp",15,MAX(0.1,Skills!D5-IF(TRUE=TRUE,Inputs!$B$32,0)))*(1-IF(AND(ArtifactsInput!$M$27,Inputs!$B$4="Chapter Hunt"),CHOOSE(ArtifactsInput!$N$27+1,20,24,28,32,36,40),0)/100)))+1)),0)</f>
        <v/>
      </c>
      <c r="S1276">
        <f>IFERROR(O1276/N1276,0)</f>
        <v/>
      </c>
      <c r="T1276">
        <f>IF(C1276,(H1276*N1276*IF(AND(Inputs!$B$38&lt;&gt;"pvp",Inputs!$B$43&gt;0),((Skills!G5*((R1276-1)*IF(Skills!H5&gt;0,INT(Skills!I5/Skills!H5+0.000000001),1)+IF(Skills!H5&gt;0,INT(MIN(Skills!I5,MAX(0,MAX(0,Inputs!$B$43-B1313)-((R1276-1)*(IF(Inputs!$B$38="pvp",15,MAX(0.1,Skills!D5-IF(TRUE=TRUE,Inputs!$B$32,0)))*(1-IF(AND(ArtifactsInput!$M$27,Inputs!$B$4="Chapter Hunt"),CHOOSE(ArtifactsInput!$N$27+1,20,24,28,32,36,40),0)/100)))))/Skills!H5+0.000000001),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INT(Skills!I5/Skills!H5+0.000000001),1)+IF(Skills!H5&gt;0,INT(MIN(Skills!I5,MAX(0,MAX(0,Inputs!$B$43-B1313)-((R1276-1)*(IF(Inputs!$B$38="pvp",15,MAX(0.1,Skills!D5-IF(TRUE=TRUE,Inputs!$B$32,0)))*(1-IF(AND(ArtifactsInput!$M$27,Inputs!$B$4="Chapter Hunt"),CHOOSE(ArtifactsInput!$N$27+1,20,24,28,32,36,40),0)/100)))))/Skills!H5+0.000000001),1)))/Inputs!$B$43),G1276*Q1276))*IF(Inputs!$B$38="pvp",1,(1+(Inputs!$B$21+Skills!Q5+(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Inputs!$B$3&gt;=40</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Skills!G6*IF(Skills!H6&gt;0,INT(IF(Inputs!$B$38="pvp",MIN(Skills!I6,15),Skills!I6)/Skills!H6+0.000000001),1)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1278=TRUE,F1278,0)/100)*(1+(IF(Skills!A6="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26)),(Inputs!$B$23+((C1302=TRUE)*(F1302-Calc!F31))+(IF(ArtifactsInput!$M$15,CHOOSE(ArtifactsInput!$N$15+1,25,30,35,40,45,50)/100*(Inputs!$B$11-Inputs!$B$11),0))))/100+(Inputs!$B$23+((C1302=TRUE)*(F1302-Calc!F31))+(IF(ArtifactsInput!$M$15,CHOOSE(ArtifactsInput!$N$15+1,25,30,35,40,45,50)/100*(Inputs!$B$11-Inputs!$B$11),0)))/100)/2</f>
        <v/>
      </c>
      <c r="M1277">
        <f>L1277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IF(B1316=0,0,O1277/B1316)</f>
        <v/>
      </c>
      <c r="Q1277">
        <f>IFERROR(1/(IF(Inputs!$B$38="pvp",15,MAX(0.1,1-0.4*MIN(1,(B1308-1)/1.5)-IF(FALSE=TRUE,Inputs!$B$32,0)))*(1-IF(AND(ArtifactsInput!$M$27,Inputs!$B$4="Chapter Hunt"),CHOOSE(ArtifactsInput!$N$27+1,20,24,28,32,36,40),0)/100)),0)</f>
        <v/>
      </c>
      <c r="R1277">
        <f>IF(AND(Inputs!$B$38&lt;&gt;"pvp",Inputs!$B$43&gt;0),IF(MAX(0,Inputs!$B$43-B1313)&lt;=0,0,(INT(MAX(0,Inputs!$B$43-B1313)/(IF(Inputs!$B$38="pvp",15,MAX(0.1,1-0.4*MIN(1,(B1308-1)/1.5)-IF(FALSE=TRUE,Inputs!$B$32,0)))*(1-IF(AND(ArtifactsInput!$M$27,Inputs!$B$4="Chapter Hunt"),CHOOSE(ArtifactsInput!$N$27+1,20,24,28,32,36,40),0)/100)))+1)),0)</f>
        <v/>
      </c>
      <c r="S1277">
        <f>IFERROR(O1277/N1277,0)</f>
        <v/>
      </c>
      <c r="T1277">
        <f>IF(C1277,(H1277*N1277*IF(AND(Inputs!$B$38&lt;&gt;"pvp",Inputs!$B$43&gt;0),((Skills!G6*((R1277-1)*IF(Skills!H6&gt;0,INT(Skills!I6/Skills!H6+0.000000001),1)+IF(Skills!H6&gt;0,INT(MIN(Skills!I6,MAX(0,MAX(0,Inputs!$B$43-B1313)-((R1277-1)*(IF(Inputs!$B$38="pvp",15,MAX(0.1,1-0.4*MIN(1,(B1308-1)/1.5)-IF(FALSE=TRUE,Inputs!$B$32,0)))*(1-IF(AND(ArtifactsInput!$M$27,Inputs!$B$4="Chapter Hunt"),CHOOSE(ArtifactsInput!$N$27+1,20,24,28,32,36,40),0)/100)))))/Skills!H6+0.000000001),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INT(Skills!I6/Skills!H6+0.000000001),1)+IF(Skills!H6&gt;0,INT(MIN(Skills!I6,MAX(0,MAX(0,Inputs!$B$43-B1313)-((R1277-1)*(IF(Inputs!$B$38="pvp",15,MAX(0.1,1-0.4*MIN(1,(B1308-1)/1.5)-IF(FALSE=TRUE,Inputs!$B$32,0)))*(1-IF(AND(ArtifactsInput!$M$27,Inputs!$B$4="Chapter Hunt"),CHOOSE(ArtifactsInput!$N$27+1,20,24,28,32,36,40),0)/100)))))/Skills!H6+0.000000001),1)))/Inputs!$B$43),G1277*Q1277))*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t="inlineStr"/>
      <c r="H1278" t="inlineStr"/>
      <c r="I1278" t="inlineStr">
        <is>
          <t>1</t>
        </is>
      </c>
      <c r="J1278" t="inlineStr"/>
      <c r="K1278" t="inlineStr"/>
      <c r="L1278" t="inlineStr"/>
      <c r="M1278" t="inlineStr"/>
      <c r="N1278" t="inlineStr"/>
      <c r="O1278" t="inlineStr"/>
      <c r="P1278" t="inlineStr"/>
      <c r="Q1278" t="inlineStr"/>
      <c r="R1278" t="inlineStr"/>
      <c r="S1278" t="inlineStr"/>
      <c r="T1278" t="inlineStr"/>
      <c r="V1278" t="inlineStr"/>
    </row>
    <row r="1279">
      <c r="A1279">
        <f>Skills!A8</f>
        <v/>
      </c>
      <c r="B1279">
        <f>Skills!B8</f>
        <v/>
      </c>
      <c r="C1279">
        <f>Inputs!$B$3&gt;=130</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Skills!G8*IF(Skills!H8&gt;0,INT(IF(Inputs!$B$38="pvp",MIN(Skills!I8,15),Skills!I8)/Skills!H8+0.000000001),1)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26)),(Inputs!$B$23+((C1302=TRUE)*(F1302-Calc!F31))+(IF(ArtifactsInput!$M$15,CHOOSE(ArtifactsInput!$N$15+1,25,30,35,40,45,50)/100*(Inputs!$B$11-Inputs!$B$11),0))))/100+(Inputs!$B$23+((C1302=TRUE)*(F1302-Calc!F31))+(IF(ArtifactsInput!$M$15,CHOOSE(ArtifactsInput!$N$15+1,25,30,35,40,45,50)/100*(Inputs!$B$11-Inputs!$B$11),0)))/100)/2</f>
        <v/>
      </c>
      <c r="M1279">
        <f>L1279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IF(B1316=0,0,O1279/B1316)</f>
        <v/>
      </c>
      <c r="Q1279">
        <f>IFERROR(1/(IF(Inputs!$B$38="pvp",15,MAX(0.1,1-0.4*MIN(1,(B1308-1)/1.5)-IF(FALSE=TRUE,Inputs!$B$32,0)))*(1-IF(AND(ArtifactsInput!$M$27,Inputs!$B$4="Chapter Hunt"),CHOOSE(ArtifactsInput!$N$27+1,20,24,28,32,36,40),0)/100)),0)</f>
        <v/>
      </c>
      <c r="R1279">
        <f>IF(AND(Inputs!$B$38&lt;&gt;"pvp",Inputs!$B$43&gt;0),IF(MAX(0,Inputs!$B$43-B1313)&lt;=0,0,(INT(MAX(0,Inputs!$B$43-B1313)/(IF(Inputs!$B$38="pvp",15,MAX(0.1,1-0.4*MIN(1,(B1308-1)/1.5)-IF(FALSE=TRUE,Inputs!$B$32,0)))*(1-IF(AND(ArtifactsInput!$M$27,Inputs!$B$4="Chapter Hunt"),CHOOSE(ArtifactsInput!$N$27+1,20,24,28,32,36,40),0)/100)))+1)),0)</f>
        <v/>
      </c>
      <c r="S1279">
        <f>IFERROR(O1279/N1279,0)</f>
        <v/>
      </c>
      <c r="T1279">
        <f>IF(C1279,(H1279*N1279*IF(AND(Inputs!$B$38&lt;&gt;"pvp",Inputs!$B$43&gt;0),((Skills!G8*((R1279-1)*IF(Skills!H8&gt;0,INT(Skills!I8/Skills!H8+0.000000001),1)+IF(Skills!H8&gt;0,INT(MIN(Skills!I8,MAX(0,MAX(0,Inputs!$B$43-B1313)-((R1279-1)*(IF(Inputs!$B$38="pvp",15,MAX(0.1,1-0.4*MIN(1,(B1308-1)/1.5)-IF(FALSE=TRUE,Inputs!$B$32,0)))*(1-IF(AND(ArtifactsInput!$M$27,Inputs!$B$4="Chapter Hunt"),CHOOSE(ArtifactsInput!$N$27+1,20,24,28,32,36,40),0)/100)))))/Skills!H8+0.000000001),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INT(Skills!I8/Skills!H8+0.000000001),1)+IF(Skills!H8&gt;0,INT(MIN(Skills!I8,MAX(0,MAX(0,Inputs!$B$43-B1313)-((R1279-1)*(IF(Inputs!$B$38="pvp",15,MAX(0.1,1-0.4*MIN(1,(B1308-1)/1.5)-IF(FALSE=TRUE,Inputs!$B$32,0)))*(1-IF(AND(ArtifactsInput!$M$27,Inputs!$B$4="Chapter Hunt"),CHOOSE(ArtifactsInput!$N$27+1,20,24,28,32,36,40),0)/100)))))/Skills!H8+0.000000001),1)))/Inputs!$B$43),G1279*Q1279))*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Inputs!$B$3&gt;=69</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Skills!G9*IF(Skills!H9&gt;0,INT(IF(Inputs!$B$38="pvp",MIN(Skills!I9,15),Skills!I9)/Skills!H9+0.000000001),1)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1283=TRUE,F1283,0)/100)*(1+(IF(Skills!A9="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26)),(Inputs!$B$23+((C1302=TRUE)*(F1302-Calc!F31))+(IF(ArtifactsInput!$M$15,CHOOSE(ArtifactsInput!$N$15+1,25,30,35,40,45,50)/100*(Inputs!$B$11-Inputs!$B$11),0))))/100+(Inputs!$B$23+((C1302=TRUE)*(F1302-Calc!F31))+(IF(ArtifactsInput!$M$15,CHOOSE(ArtifactsInput!$N$15+1,25,30,35,40,45,50)/100*(Inputs!$B$11-Inputs!$B$11),0)))/100)/2</f>
        <v/>
      </c>
      <c r="M1280">
        <f>L1280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IF(B1316=0,0,O1280/B1316)</f>
        <v/>
      </c>
      <c r="Q1280">
        <f>IFERROR(1/(IF(Inputs!$B$38="pvp",15,MAX(0.1,Skills!D9-IF(TRUE=TRUE,Inputs!$B$32,0)))*(1-IF(AND(ArtifactsInput!$M$27,Inputs!$B$4="Chapter Hunt"),CHOOSE(ArtifactsInput!$N$27+1,20,24,28,32,36,40),0)/100)),0)</f>
        <v/>
      </c>
      <c r="R1280">
        <f>IF(AND(Inputs!$B$38&lt;&gt;"pvp",Inputs!$B$43&gt;0),IF(MAX(0,Inputs!$B$43-B1313)&lt;=0,0,(INT(MAX(0,Inputs!$B$43-B1313)/(IF(Inputs!$B$38="pvp",15,MAX(0.1,Skills!D9-IF(TRUE=TRUE,Inputs!$B$32,0)))*(1-IF(AND(ArtifactsInput!$M$27,Inputs!$B$4="Chapter Hunt"),CHOOSE(ArtifactsInput!$N$27+1,20,24,28,32,36,40),0)/100)))+1)),0)</f>
        <v/>
      </c>
      <c r="S1280">
        <f>IFERROR(O1280/N1280,0)</f>
        <v/>
      </c>
      <c r="T1280">
        <f>IF(C1280,(H1280*N1280*IF(AND(Inputs!$B$38&lt;&gt;"pvp",Inputs!$B$43&gt;0),((Skills!G9*((R1280-1)*IF(Skills!H9&gt;0,INT(Skills!I9/Skills!H9+0.000000001),1)+IF(Skills!H9&gt;0,INT(MIN(Skills!I9,MAX(0,MAX(0,Inputs!$B$43-B1313)-((R1280-1)*(IF(Inputs!$B$38="pvp",15,MAX(0.1,Skills!D9-IF(TRUE=TRUE,Inputs!$B$32,0)))*(1-IF(AND(ArtifactsInput!$M$27,Inputs!$B$4="Chapter Hunt"),CHOOSE(ArtifactsInput!$N$27+1,20,24,28,32,36,40),0)/100)))))/Skills!H9+0.000000001),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INT(Skills!I9/Skills!H9+0.000000001),1)+IF(Skills!H9&gt;0,INT(MIN(Skills!I9,MAX(0,MAX(0,Inputs!$B$43-B1313)-((R1280-1)*(IF(Inputs!$B$38="pvp",15,MAX(0.1,Skills!D9-IF(TRUE=TRUE,Inputs!$B$32,0)))*(1-IF(AND(ArtifactsInput!$M$27,Inputs!$B$4="Chapter Hunt"),CHOOSE(ArtifactsInput!$N$27+1,20,24,28,32,36,40),0)/100)))))/Skills!H9+0.000000001),1)))/Inputs!$B$43),G1280*Q1280))*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Inputs!$B$3&gt;=63</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Skills!G10*IF(Skills!H10&gt;0,INT(IF(Inputs!$B$38="pvp",MIN(Skills!I10,15),Skills!I10)/Skills!H10+0.000000001),1)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10="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26)),(Inputs!$B$23+((C1302=TRUE)*(F1302-Calc!F31))+(IF(ArtifactsInput!$M$15,CHOOSE(ArtifactsInput!$N$15+1,25,30,35,40,45,50)/100*(Inputs!$B$11-Inputs!$B$11),0))))/100+(Inputs!$B$23+((C1302=TRUE)*(F1302-Calc!F31))+(IF(ArtifactsInput!$M$15,CHOOSE(ArtifactsInput!$N$15+1,25,30,35,40,45,50)/100*(Inputs!$B$11-Inputs!$B$11),0)))/100)/2</f>
        <v/>
      </c>
      <c r="M1281">
        <f>L1281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IF(B1316=0,0,O1281/B1316)</f>
        <v/>
      </c>
      <c r="Q1281">
        <f>IFERROR(1/(IF(Inputs!$B$38="pvp",15,MAX(0.1,Skills!D10-IF(TRUE=TRUE,Inputs!$B$32,0)))*(1-IF(AND(ArtifactsInput!$M$27,Inputs!$B$4="Chapter Hunt"),CHOOSE(ArtifactsInput!$N$27+1,20,24,28,32,36,40),0)/100)),0)</f>
        <v/>
      </c>
      <c r="R1281">
        <f>IF(AND(Inputs!$B$38&lt;&gt;"pvp",Inputs!$B$43&gt;0),IF(MAX(0,Inputs!$B$43-B1313)&lt;=0,0,(INT(MAX(0,Inputs!$B$43-B1313)/(IF(Inputs!$B$38="pvp",15,MAX(0.1,Skills!D10-IF(TRUE=TRUE,Inputs!$B$32,0)))*(1-IF(AND(ArtifactsInput!$M$27,Inputs!$B$4="Chapter Hunt"),CHOOSE(ArtifactsInput!$N$27+1,20,24,28,32,36,40),0)/100)))+1)),0)</f>
        <v/>
      </c>
      <c r="S1281">
        <f>IFERROR(O1281/N1281,0)</f>
        <v/>
      </c>
      <c r="T1281">
        <f>IF(C1281,(H1281*N1281*IF(AND(Inputs!$B$38&lt;&gt;"pvp",Inputs!$B$43&gt;0),((Skills!G10*((R1281-1)*IF(Skills!H10&gt;0,INT(Skills!I10/Skills!H10+0.000000001),1)+IF(Skills!H10&gt;0,INT(MIN(Skills!I10,MAX(0,MAX(0,Inputs!$B$43-B1313)-((R1281-1)*(IF(Inputs!$B$38="pvp",15,MAX(0.1,Skills!D10-IF(TRUE=TRUE,Inputs!$B$32,0)))*(1-IF(AND(ArtifactsInput!$M$27,Inputs!$B$4="Chapter Hunt"),CHOOSE(ArtifactsInput!$N$27+1,20,24,28,32,36,40),0)/100)))))/Skills!H10+0.000000001),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INT(Skills!I10/Skills!H10+0.000000001),1)+IF(Skills!H10&gt;0,INT(MIN(Skills!I10,MAX(0,MAX(0,Inputs!$B$43-B1313)-((R1281-1)*(IF(Inputs!$B$38="pvp",15,MAX(0.1,Skills!D10-IF(TRUE=TRUE,Inputs!$B$32,0)))*(1-IF(AND(ArtifactsInput!$M$27,Inputs!$B$4="Chapter Hunt"),CHOOSE(ArtifactsInput!$N$27+1,20,24,28,32,36,40),0)/100)))))/Skills!H10+0.000000001),1)))/Inputs!$B$43),G1281*Q1281))*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Inputs!$B$3&gt;=103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Skills!G11*IF(Skills!H11&gt;0,INT(IF(Inputs!$B$38="pvp",MIN(Skills!I11,15),Skills!I11)/Skills!H11+0.000000001),1)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26)),(Inputs!$B$23+((C1302=TRUE)*(F1302-Calc!F31))+(IF(ArtifactsInput!$M$15,CHOOSE(ArtifactsInput!$N$15+1,25,30,35,40,45,50)/100*(Inputs!$B$11-Inputs!$B$11),0))))/100+(Inputs!$B$23+((C1302=TRUE)*(F1302-Calc!F31))+(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f>IFERROR(1/(IF(Inputs!$B$38="pvp",15,MAX(0.1,Skills!D11-IF(TRUE=TRUE,Inputs!$B$32,0)))*(1-IF(AND(ArtifactsInput!$M$27,Inputs!$B$4="Chapter Hunt"),CHOOSE(ArtifactsInput!$N$27+1,20,24,28,32,36,40),0)/100)),0)</f>
        <v/>
      </c>
      <c r="R1282">
        <f>IF(AND(Inputs!$B$38&lt;&gt;"pvp",Inputs!$B$43&gt;0),IF(MAX(0,Inputs!$B$43-B1313)&lt;=0,0,(INT(MAX(0,Inputs!$B$43-B1313)/(IF(Inputs!$B$38="pvp",15,MAX(0.1,Skills!D11-IF(TRUE=TRUE,Inputs!$B$32,0)))*(1-IF(AND(ArtifactsInput!$M$27,Inputs!$B$4="Chapter Hunt"),CHOOSE(ArtifactsInput!$N$27+1,20,24,28,32,36,40),0)/100)))+1)),0)</f>
        <v/>
      </c>
      <c r="S1282">
        <f>IFERROR(O1282/N1282,0)</f>
        <v/>
      </c>
      <c r="T1282">
        <f>IF(C1282,(H1282*N1282*IF(AND(Inputs!$B$38&lt;&gt;"pvp",Inputs!$B$43&gt;0),((Skills!G11*((R1282-1)*IF(Skills!H11&gt;0,INT(Skills!I11/Skills!H11+0.000000001),1)+IF(Skills!H11&gt;0,INT(MIN(Skills!I11,MAX(0,MAX(0,Inputs!$B$43-B1313)-((R1282-1)*(IF(Inputs!$B$38="pvp",15,MAX(0.1,Skills!D11-IF(TRUE=TRUE,Inputs!$B$32,0)))*(1-IF(AND(ArtifactsInput!$M$27,Inputs!$B$4="Chapter Hunt"),CHOOSE(ArtifactsInput!$N$27+1,20,24,28,32,36,40),0)/100)))))/Skills!H11+0.000000001)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INT(Skills!I11/Skills!H11+0.000000001),1)+IF(Skills!H11&gt;0,INT(MIN(Skills!I11,MAX(0,MAX(0,Inputs!$B$43-B1313)-((R1282-1)*(IF(Inputs!$B$38="pvp",15,MAX(0.1,Skills!D11-IF(TRUE=TRUE,Inputs!$B$32,0)))*(1-IF(AND(ArtifactsInput!$M$27,Inputs!$B$4="Chapter Hunt"),CHOOSE(ArtifactsInput!$N$27+1,20,24,28,32,36,40),0)/100)))))/Skills!H11+0.000000001),1)))/Inputs!$B$43),G1282*Q1282))*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c r="T1283" t="inlineStr"/>
      <c r="V1283" t="inlineStr"/>
    </row>
    <row r="1284">
      <c r="A1284">
        <f>Skills!A13</f>
        <v/>
      </c>
      <c r="B1284">
        <f>Skills!B13</f>
        <v/>
      </c>
      <c r="C1284">
        <f>Inputs!$B$3&gt;=60</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Skills!G13*IF(Skills!H13&gt;0,INT(IF(Inputs!$B$38="pvp",MIN(Skills!I13,15),Skills!I13)/Skills!H13+0.000000001),1)</f>
        <v/>
      </c>
      <c r="H1284">
        <f>1-(1-Skills!J13/100)^Skills!K13</f>
        <v/>
      </c>
      <c r="I1284" t="inlineStr">
        <is>
          <t>1</t>
        </is>
      </c>
      <c r="J1284">
        <f>((Inputs!$B$6*(1+Inputs!$B$7/100))+(((Inputs!$B$12*(1+Inputs!$B$13/100))-(Inputs!$B$12*(1+Inputs!$B$13/100)))+0.25*(Inputs!$B$14-Inputs!$B$14))*(1+Inputs!$B$7/100))*(F1284/100)</f>
        <v/>
      </c>
      <c r="K1284">
        <f>J1284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Skills!A13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26)),(Inputs!$B$23+((C1302=TRUE)*(F1302-Calc!F31))+(IF(ArtifactsInput!$M$15,CHOOSE(ArtifactsInput!$N$15+1,25,30,35,40,45,50)/100*(Inputs!$B$11-Inputs!$B$11),0))))/100+(Inputs!$B$23+((C1302=TRUE)*(F1302-Calc!F31))+(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f>IFERROR(1/(IF(Inputs!$B$38="pvp",15,MAX(0.1,IF(Inputs!$B$3&gt;=122,3,5)+1/(((20+30*(B1308-1)*100/150)/100)*B1308)-IF(FALSE=TRUE,Inputs!$B$32,0)))*(1-IF(AND(ArtifactsInput!$M$27,Inputs!$B$4="Chapter Hunt"),CHOOSE(ArtifactsInput!$N$27+1,20,24,28,32,36,40),0)/100)),0)</f>
        <v/>
      </c>
      <c r="R1284">
        <f>IF(AND(Inputs!$B$38&lt;&gt;"pvp",Inputs!$B$43&gt;0),IF(MAX(0,Inputs!$B$43-B1313)&lt;=0,0,(INT(MAX(0,Inputs!$B$43-B1313)/(IF(Inputs!$B$38="pvp",15,MAX(0.1,IF(Inputs!$B$3&gt;=122,3,5)+1/(((20+30*(B1308-1)*100/150)/100)*B1308)-IF(FALSE=TRUE,Inputs!$B$32,0)))*(1-IF(AND(ArtifactsInput!$M$27,Inputs!$B$4="Chapter Hunt"),CHOOSE(ArtifactsInput!$N$27+1,20,24,28,32,36,40),0)/100)))+1)),0)</f>
        <v/>
      </c>
      <c r="S1284">
        <f>IFERROR(O1284/N1284,0)</f>
        <v/>
      </c>
      <c r="T1284">
        <f>IF(C1284,(H1284*N1284*IF(AND(Inputs!$B$38&lt;&gt;"pvp",Inputs!$B$43&gt;0),((Skills!G13*((R1284-1)*IF(Skills!H13&gt;0,INT(Skills!I13/Skills!H13+0.000000001),1)+IF(Skills!H13&gt;0,INT(MIN(Skills!I13,MAX(0,MAX(0,Inputs!$B$43-B1313)-((R1284-1)*(IF(Inputs!$B$38="pvp",15,MAX(0.1,IF(Inputs!$B$3&gt;=122,3,5)+1/(((20+30*(B1308-1)*100/150)/100)*B1308)-IF(FALSE=TRUE,Inputs!$B$32,0)))*(1-IF(AND(ArtifactsInput!$M$27,Inputs!$B$4="Chapter Hunt"),CHOOSE(ArtifactsInput!$N$27+1,20,24,28,32,36,40),0)/100)))))/Skills!H13+0.000000001),1)))/Inputs!$B$43),G1284*Q1284)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13*((R1284-1)*IF(Skills!H13&gt;0,INT(Skills!I13/Skills!H13+0.000000001),1)+IF(Skills!H13&gt;0,INT(MIN(Skills!I13,MAX(0,MAX(0,Inputs!$B$43-B1313)-((R1284-1)*(IF(Inputs!$B$38="pvp",15,MAX(0.1,IF(Inputs!$B$3&gt;=122,3,5)+1/(((20+30*(B1308-1)*100/150)/100)*B1308)-IF(FALSE=TRUE,Inputs!$B$32,0)))*(1-IF(AND(ArtifactsInput!$M$27,Inputs!$B$4="Chapter Hunt"),CHOOSE(ArtifactsInput!$N$27+1,20,24,28,32,36,40),0)/100)))))/Skills!H13+0.000000001),1)))/Inputs!$B$43),G1284*Q1284))*IF(Inputs!$B$38="pvp",1,(1+(Inputs!$B$21+Skills!Q13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t="inlineStr"/>
      <c r="H1285" t="inlineStr"/>
      <c r="I1285" t="inlineStr">
        <is>
          <t>1</t>
        </is>
      </c>
      <c r="J1285" t="inlineStr"/>
      <c r="K1285" t="inlineStr"/>
      <c r="L1285" t="inlineStr"/>
      <c r="M1285" t="inlineStr"/>
      <c r="N1285" t="inlineStr"/>
      <c r="O1285" t="inlineStr"/>
      <c r="P1285" t="inlineStr"/>
      <c r="Q1285" t="inlineStr"/>
      <c r="R1285" t="inlineStr"/>
      <c r="S1285" t="inlineStr"/>
      <c r="T1285" t="inlineStr"/>
      <c r="V1285" t="inlineStr"/>
    </row>
    <row r="1286">
      <c r="A1286">
        <f>Skills!A15</f>
        <v/>
      </c>
      <c r="B1286">
        <f>Skills!B15</f>
        <v/>
      </c>
      <c r="C1286">
        <f>Inputs!$B$3&gt;=74</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Skills!G15*IF(Skills!H15&gt;0,INT(IF(Inputs!$B$38="pvp",MIN(Skills!I15,15),Skills!I15)/Skills!H15+0.000000001),1)</f>
        <v/>
      </c>
      <c r="H1286">
        <f>1-(1-Skills!J15/100)^Skills!K15</f>
        <v/>
      </c>
      <c r="I1286" t="inlineStr">
        <is>
          <t>1</t>
        </is>
      </c>
      <c r="J1286" t="inlineStr"/>
      <c r="K1286" t="inlineStr"/>
      <c r="L1286" t="inlineStr"/>
      <c r="M1286" t="inlineStr"/>
      <c r="N1286" t="inlineStr"/>
      <c r="O1286">
        <f>(1-Summary!$B$11)*T1286+Summary!$B$11*V1286</f>
        <v/>
      </c>
      <c r="P1286">
        <f>IF(B1316=0,0,O1286/B1316)</f>
        <v/>
      </c>
      <c r="Q1286" t="n">
        <v>0</v>
      </c>
      <c r="R1286" t="n">
        <v>0</v>
      </c>
      <c r="S1286">
        <f>IFERROR(O1286/N1286,0)</f>
        <v/>
      </c>
      <c r="T1286" t="n">
        <v>0</v>
      </c>
      <c r="V1286" t="n">
        <v>0</v>
      </c>
    </row>
    <row r="1287">
      <c r="A1287">
        <f>Skills!A16</f>
        <v/>
      </c>
      <c r="B1287">
        <f>Skills!B16</f>
        <v/>
      </c>
      <c r="C1287">
        <f>Inputs!$B$3&gt;=74</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Skills!G16*IF(Skills!H16&gt;0,INT(IF(Inputs!$B$38="pvp",MIN(Skills!I16,15),Skills!I16)/Skills!H16+0.000000001),1)</f>
        <v/>
      </c>
      <c r="H1287">
        <f>1-(1-Skills!J16/100)^Skills!K16</f>
        <v/>
      </c>
      <c r="I1287" t="inlineStr">
        <is>
          <t>1</t>
        </is>
      </c>
      <c r="J1287" t="inlineStr"/>
      <c r="K1287" t="inlineStr"/>
      <c r="L1287" t="inlineStr"/>
      <c r="M1287" t="inlineStr"/>
      <c r="N1287" t="inlineStr"/>
      <c r="O1287">
        <f>(1-Summary!$B$11)*T1287+Summary!$B$11*V1287</f>
        <v/>
      </c>
      <c r="P1287">
        <f>IF(B1316=0,0,O1287/B1316)</f>
        <v/>
      </c>
      <c r="Q1287" t="n">
        <v>0</v>
      </c>
      <c r="R1287" t="n">
        <v>0</v>
      </c>
      <c r="S1287">
        <f>IFERROR(O1287/N1287,0)</f>
        <v/>
      </c>
      <c r="T1287" t="n">
        <v>0</v>
      </c>
      <c r="V1287" t="n">
        <v>0</v>
      </c>
    </row>
    <row r="1288">
      <c r="A1288">
        <f>Skills!A17</f>
        <v/>
      </c>
      <c r="B1288">
        <f>Skills!B17</f>
        <v/>
      </c>
      <c r="C1288">
        <f>Inputs!$B$3&gt;=117</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Skills!G17*IF(Skills!H17&gt;0,INT(IF(Inputs!$B$38="pvp",MIN(Skills!I17,15),Skills!I17)/Skills!H17+0.000000001),1)</f>
        <v/>
      </c>
      <c r="H1288">
        <f>1-(1-Skills!J17/100)^Skills!K17</f>
        <v/>
      </c>
      <c r="I1288" t="inlineStr">
        <is>
          <t>1</t>
        </is>
      </c>
      <c r="J1288" t="inlineStr"/>
      <c r="K1288" t="inlineStr"/>
      <c r="L1288" t="inlineStr"/>
      <c r="M1288" t="inlineStr"/>
      <c r="N1288" t="inlineStr"/>
      <c r="O1288">
        <f>(1-Summary!$B$11)*T1288+Summary!$B$11*V1288</f>
        <v/>
      </c>
      <c r="P1288">
        <f>IF(B1316=0,0,O1288/B1316)</f>
        <v/>
      </c>
      <c r="Q1288">
        <f>IFERROR(1/(IF(Inputs!$B$38="pvp",15,MAX(0.1,Skills!D17-IF(TRUE=TRUE,Inputs!$B$32,0)))*(1-IF(AND(ArtifactsInput!$M$27,Inputs!$B$4="Chapter Hunt"),CHOOSE(ArtifactsInput!$N$27+1,20,24,28,32,36,40),0)/100)),0)</f>
        <v/>
      </c>
      <c r="R1288">
        <f>IF(AND(Inputs!$B$38&lt;&gt;"pvp",Inputs!$B$43&gt;0),IF(Inputs!$B$43&lt;=0,0,(INT(Inputs!$B$43/(IF(Inputs!$B$38="pvp",15,MAX(0.1,Skills!D17-IF(TRUE=TRUE,Inputs!$B$32,0)))*(1-IF(AND(ArtifactsInput!$M$27,Inputs!$B$4="Chapter Hunt"),CHOOSE(ArtifactsInput!$N$27+1,20,24,28,32,36,40),0)/100)))+1)),0)</f>
        <v/>
      </c>
      <c r="S1288">
        <f>IFERROR(O1288/N1288,0)</f>
        <v/>
      </c>
      <c r="T1288" t="n">
        <v>0</v>
      </c>
      <c r="V1288" t="n">
        <v>0</v>
      </c>
    </row>
    <row r="1289">
      <c r="A1289">
        <f>Skills!A18</f>
        <v/>
      </c>
      <c r="B1289">
        <f>Skills!B18</f>
        <v/>
      </c>
      <c r="C1289">
        <f>Inputs!$B$3&gt;=115</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Skills!G18*IF(Skills!H18&gt;0,INT(IF(Inputs!$B$38="pvp",MIN(Skills!I18,15),Skills!I18)/Skills!H18+0.000000001),1)</f>
        <v/>
      </c>
      <c r="H1289">
        <f>1-(1-Skills!J18/100)^Skills!K18</f>
        <v/>
      </c>
      <c r="I1289" t="inlineStr">
        <is>
          <t>1</t>
        </is>
      </c>
      <c r="J1289" t="inlineStr"/>
      <c r="K1289" t="inlineStr"/>
      <c r="L1289" t="inlineStr"/>
      <c r="M1289" t="inlineStr"/>
      <c r="N1289" t="inlineStr"/>
      <c r="O1289">
        <f>(1-Summary!$B$11)*T1289+Summary!$B$11*V1289</f>
        <v/>
      </c>
      <c r="P1289">
        <f>IF(B1316=0,0,O1289/B1316)</f>
        <v/>
      </c>
      <c r="Q1289">
        <f>IFERROR(1/(IF(Inputs!$B$38="pvp",15,MAX(0.1,Skills!D18-IF(TRUE=TRUE,Inputs!$B$32,0)))*(1-IF(AND(ArtifactsInput!$M$27,Inputs!$B$4="Chapter Hunt"),CHOOSE(ArtifactsInput!$N$27+1,20,24,28,32,36,40),0)/100)),0)</f>
        <v/>
      </c>
      <c r="R1289">
        <f>IF(AND(Inputs!$B$38&lt;&gt;"pvp",Inputs!$B$43&gt;0),IF(Inputs!$B$43&lt;=0,0,(INT(Inputs!$B$43/(IF(Inputs!$B$38="pvp",15,MAX(0.1,Skills!D18-IF(TRUE=TRUE,Inputs!$B$32,0)))*(1-IF(AND(ArtifactsInput!$M$27,Inputs!$B$4="Chapter Hunt"),CHOOSE(ArtifactsInput!$N$27+1,20,24,28,32,36,40),0)/100)))+1)),0)</f>
        <v/>
      </c>
      <c r="S1289">
        <f>IFERROR(O1289/N1289,0)</f>
        <v/>
      </c>
      <c r="T1289" t="n">
        <v>0</v>
      </c>
      <c r="V1289" t="n">
        <v>0</v>
      </c>
    </row>
    <row r="1290">
      <c r="A1290">
        <f>Skills!A19</f>
        <v/>
      </c>
      <c r="B1290">
        <f>Skills!B19</f>
        <v/>
      </c>
      <c r="C1290">
        <f>Inputs!$B$3&gt;=66</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Skills!G19*IF(Skills!H19&gt;0,INT(IF(Inputs!$B$38="pvp",MIN(Skills!I19,15),Skills!I19)/Skills!H19+0.000000001),1)</f>
        <v/>
      </c>
      <c r="H1290">
        <f>1-(1-Skills!J19/100)^Skills!K19</f>
        <v/>
      </c>
      <c r="I1290" t="inlineStr">
        <is>
          <t>1</t>
        </is>
      </c>
      <c r="J1290" t="inlineStr"/>
      <c r="K1290" t="inlineStr"/>
      <c r="L1290" t="inlineStr"/>
      <c r="M1290" t="inlineStr"/>
      <c r="N1290" t="inlineStr"/>
      <c r="O1290">
        <f>(1-Summary!$B$11)*T1290+Summary!$B$11*V1290</f>
        <v/>
      </c>
      <c r="P1290">
        <f>IF(B1316=0,0,O1290/B1316)</f>
        <v/>
      </c>
      <c r="Q1290" t="n">
        <v>0</v>
      </c>
      <c r="R1290" t="n">
        <v>0</v>
      </c>
      <c r="S1290">
        <f>IFERROR(O1290/N1290,0)</f>
        <v/>
      </c>
      <c r="T1290" t="n">
        <v>0</v>
      </c>
      <c r="V1290" t="n">
        <v>0</v>
      </c>
    </row>
    <row r="1291">
      <c r="A1291">
        <f>Skills!A20</f>
        <v/>
      </c>
      <c r="B1291">
        <f>Skills!B20</f>
        <v/>
      </c>
      <c r="C1291">
        <f>Inputs!$B$3&gt;=72</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Skills!G20*IF(Skills!H20&gt;0,INT(IF(Inputs!$B$38="pvp",MIN(Skills!I20,15),Skills!I20)/Skills!H20+0.000000001),1)</f>
        <v/>
      </c>
      <c r="H1291">
        <f>1-(1-Skills!J20/100)^Skills!K20</f>
        <v/>
      </c>
      <c r="I1291" t="inlineStr">
        <is>
          <t>1</t>
        </is>
      </c>
      <c r="J1291" t="inlineStr"/>
      <c r="K1291" t="inlineStr"/>
      <c r="L1291" t="inlineStr"/>
      <c r="M1291" t="inlineStr"/>
      <c r="N1291" t="inlineStr"/>
      <c r="O1291">
        <f>(1-Summary!$B$11)*T1291+Summary!$B$11*V1291</f>
        <v/>
      </c>
      <c r="P1291">
        <f>IF(B1316=0,0,O1291/B1316)</f>
        <v/>
      </c>
      <c r="Q1291" t="n">
        <v>0</v>
      </c>
      <c r="R1291" t="n">
        <v>0</v>
      </c>
      <c r="S1291">
        <f>IFERROR(O1291/N1291,0)</f>
        <v/>
      </c>
      <c r="T1291" t="n">
        <v>0</v>
      </c>
      <c r="V1291" t="n">
        <v>0</v>
      </c>
    </row>
    <row r="1292">
      <c r="A1292">
        <f>Skills!A21</f>
        <v/>
      </c>
      <c r="B1292">
        <f>Skills!B21</f>
        <v/>
      </c>
      <c r="C1292">
        <f>TRUE</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Skills!G21*IF(Skills!H21&gt;0,INT(IF(Inputs!$B$38="pvp",MIN(Skills!I21,15),Skills!I21)/Skills!H21+0.000000001),1)</f>
        <v/>
      </c>
      <c r="H1292">
        <f>1-(1-Skills!J21/100)^Skills!K21</f>
        <v/>
      </c>
      <c r="I1292" t="inlineStr">
        <is>
          <t>1</t>
        </is>
      </c>
      <c r="J1292" t="inlineStr"/>
      <c r="K1292" t="inlineStr"/>
      <c r="L1292" t="inlineStr"/>
      <c r="M1292" t="inlineStr"/>
      <c r="N1292" t="inlineStr"/>
      <c r="O1292">
        <f>(1-Summary!$B$11)*T1292+Summary!$B$11*V1292</f>
        <v/>
      </c>
      <c r="P1292">
        <f>IF(B1316=0,0,O1292/B1316)</f>
        <v/>
      </c>
      <c r="Q1292">
        <f>IFERROR(1/(IF(Inputs!$B$38="pvp",15,MAX(0.1,Skills!D21-IF(TRUE=TRUE,Inputs!$B$32,0)))*(1-IF(AND(ArtifactsInput!$M$27,Inputs!$B$4="Chapter Hunt"),CHOOSE(ArtifactsInput!$N$27+1,20,24,28,32,36,40),0)/100)),0)</f>
        <v/>
      </c>
      <c r="R1292">
        <f>IF(AND(Inputs!$B$38&lt;&gt;"pvp",Inputs!$B$43&gt;0),IF(Inputs!$B$43&lt;=0,0,(INT(Inputs!$B$43/(IF(Inputs!$B$38="pvp",15,MAX(0.1,Skills!D21-IF(TRUE=TRUE,Inputs!$B$32,0)))*(1-IF(AND(ArtifactsInput!$M$27,Inputs!$B$4="Chapter Hunt"),CHOOSE(ArtifactsInput!$N$27+1,20,24,28,32,36,40),0)/100)))+1)),0)</f>
        <v/>
      </c>
      <c r="S1292">
        <f>IFERROR(O1292/N1292,0)</f>
        <v/>
      </c>
      <c r="T1292" t="n">
        <v>0</v>
      </c>
      <c r="V1292" t="n">
        <v>0</v>
      </c>
    </row>
    <row r="1293">
      <c r="A1293">
        <f>Skills!A22</f>
        <v/>
      </c>
      <c r="B1293">
        <f>Skills!B22</f>
        <v/>
      </c>
      <c r="C1293">
        <f>Inputs!$B$3&gt;=15</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Skills!G22*IF(Skills!H22&gt;0,INT(IF(Inputs!$B$38="pvp",MIN(Skills!I22,15),Skills!I22)/Skills!H22+0.000000001),1)</f>
        <v/>
      </c>
      <c r="H1293">
        <f>1-(1-Skills!J22/100)^Skills!K22</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Skills!A23</f>
        <v/>
      </c>
      <c r="B1294">
        <f>Skills!B23</f>
        <v/>
      </c>
      <c r="C1294">
        <f>Inputs!$B$3&gt;=10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Skills!G23*IF(Skills!H23&gt;0,INT(IF(Inputs!$B$38="pvp",MIN(Skills!I23,15),Skills!I23)/Skills!H23+0.000000001),1)</f>
        <v/>
      </c>
      <c r="H1294">
        <f>1-(1-Skills!J23/100)^Skills!K23</f>
        <v/>
      </c>
      <c r="I1294" t="inlineStr">
        <is>
          <t>1</t>
        </is>
      </c>
      <c r="J1294" t="inlineStr"/>
      <c r="K1294" t="inlineStr"/>
      <c r="L1294" t="inlineStr"/>
      <c r="M1294" t="inlineStr"/>
      <c r="N1294" t="inlineStr"/>
      <c r="O1294">
        <f>(1-Summary!$B$11)*T1294+Summary!$B$11*V1294</f>
        <v/>
      </c>
      <c r="P1294">
        <f>IF(B1316=0,0,O1294/B1316)</f>
        <v/>
      </c>
      <c r="Q1294" t="n">
        <v>0</v>
      </c>
      <c r="R1294" t="n">
        <v>0</v>
      </c>
      <c r="S1294">
        <f>IFERROR(O1294/N1294,0)</f>
        <v/>
      </c>
      <c r="T1294" t="n">
        <v>0</v>
      </c>
      <c r="V1294" t="n">
        <v>0</v>
      </c>
    </row>
    <row r="1295">
      <c r="A1295">
        <f>Skills!A24</f>
        <v/>
      </c>
      <c r="B1295">
        <f>Skills!B24</f>
        <v/>
      </c>
      <c r="C1295">
        <f>Inputs!$B$3&gt;=33</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Skills!G24*IF(Skills!H24&gt;0,INT(IF(Inputs!$B$38="pvp",MIN(Skills!I24,15),Skills!I24)/Skills!H24+0.000000001),1)</f>
        <v/>
      </c>
      <c r="H1295">
        <f>1-(1-Skills!J24/100)^Skills!K24</f>
        <v/>
      </c>
      <c r="I1295" t="inlineStr">
        <is>
          <t>1</t>
        </is>
      </c>
      <c r="J1295" t="inlineStr"/>
      <c r="K1295" t="inlineStr"/>
      <c r="L1295" t="inlineStr"/>
      <c r="M1295" t="inlineStr"/>
      <c r="N1295" t="inlineStr"/>
      <c r="O1295">
        <f>(1-Summary!$B$11)*T1295+Summary!$B$11*V1295</f>
        <v/>
      </c>
      <c r="P1295">
        <f>IF(B1316=0,0,O1295/B1316)</f>
        <v/>
      </c>
      <c r="Q1295" t="n">
        <v>0</v>
      </c>
      <c r="R1295" t="n">
        <v>0</v>
      </c>
      <c r="S1295">
        <f>IFERROR(O1295/N1295,0)</f>
        <v/>
      </c>
      <c r="T1295" t="n">
        <v>0</v>
      </c>
      <c r="V1295" t="n">
        <v>0</v>
      </c>
    </row>
    <row r="1296">
      <c r="A1296">
        <f>Skills!A25</f>
        <v/>
      </c>
      <c r="B1296">
        <f>Skills!B25</f>
        <v/>
      </c>
      <c r="C1296">
        <f>Inputs!$B$3&gt;=38</f>
        <v/>
      </c>
      <c r="D1296">
        <f>IF(Skills!C25=1,60+Inputs!$B$25+Inputs!$B$29,IF(Skills!C25=2,90+Inputs!$B$26+Inputs!$B$29,IF(Skills!C25=3,120+Inputs!$B$27+Inputs!$B$29,MAX(0,(Inputs!$B$3-100)*3)+Inputs!$B$28+Inputs!$B$29)))</f>
        <v/>
      </c>
      <c r="E1296">
        <f>INDEX(FactorTable!$B$2:$Y$301, MATCH(ROUND(MIN(300,MAX(1,D1296)),0), FactorTable!$A$2:$A$301,0), Skills!M25+1)</f>
        <v/>
      </c>
      <c r="F1296">
        <f>IF(Skills!N25=TRUE,(Skills!L25/10)*(E1296/1000),Skills!L25/10)+Skills!O25</f>
        <v/>
      </c>
      <c r="G1296">
        <f>Skills!G25*IF(Skills!H25&gt;0,INT(IF(Inputs!$B$38="pvp",MIN(Skills!I25,15),Skills!I25)/Skills!H25+0.000000001),1)</f>
        <v/>
      </c>
      <c r="H1296">
        <f>1-(1-Skills!J25/100)^Skills!K25</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Skills!A26</f>
        <v/>
      </c>
      <c r="B1297">
        <f>Skills!B26</f>
        <v/>
      </c>
      <c r="C1297">
        <f>Inputs!$B$3&gt;=43</f>
        <v/>
      </c>
      <c r="D1297">
        <f>IF(Skills!C26=1,60+Inputs!$B$25+Inputs!$B$29,IF(Skills!C26=2,90+Inputs!$B$26+Inputs!$B$29,IF(Skills!C26=3,120+Inputs!$B$27+Inputs!$B$29,MAX(0,(Inputs!$B$3-100)*3)+Inputs!$B$28+Inputs!$B$29)))</f>
        <v/>
      </c>
      <c r="E1297">
        <f>INDEX(FactorTable!$B$2:$Y$301, MATCH(ROUND(MIN(300,MAX(1,D1297)),0), FactorTable!$A$2:$A$301,0), Skills!M26+1)</f>
        <v/>
      </c>
      <c r="F1297">
        <f>IF(Skills!N26=TRUE,(Skills!L26/10)*(E1297/1000),Skills!L26/10)+Skills!O26</f>
        <v/>
      </c>
      <c r="G1297">
        <f>Skills!G26*IF(Skills!H26&gt;0,INT(IF(Inputs!$B$38="pvp",MIN(Skills!I26,15),Skills!I26)/Skills!H26+0.000000001),1)</f>
        <v/>
      </c>
      <c r="H1297">
        <f>1-(1-Skills!J26/100)^Skills!K26</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Skills!A27</f>
        <v/>
      </c>
      <c r="B1298">
        <f>Skills!B27</f>
        <v/>
      </c>
      <c r="C1298">
        <f>Inputs!$B$3&gt;=75</f>
        <v/>
      </c>
      <c r="D1298">
        <f>IF(Skills!C27=1,60+Inputs!$B$25+Inputs!$B$29,IF(Skills!C27=2,90+Inputs!$B$26+Inputs!$B$29,IF(Skills!C27=3,120+Inputs!$B$27+Inputs!$B$29,MAX(0,(Inputs!$B$3-100)*3)+Inputs!$B$28+Inputs!$B$29)))</f>
        <v/>
      </c>
      <c r="E1298">
        <f>INDEX(FactorTable!$B$2:$Y$301, MATCH(ROUND(MIN(300,MAX(1,D1298)),0), FactorTable!$A$2:$A$301,0), Skills!M27+1)</f>
        <v/>
      </c>
      <c r="F1298">
        <f>IF(Skills!N27=TRUE,(Skills!L27/10)*(E1298/1000),Skills!L27/10)+Skills!O27</f>
        <v/>
      </c>
      <c r="G1298">
        <f>Skills!G27*IF(Skills!H27&gt;0,INT(IF(Inputs!$B$38="pvp",MIN(Skills!I27,15),Skills!I27)/Skills!H27+0.000000001),1)</f>
        <v/>
      </c>
      <c r="H1298">
        <f>1-(1-Skills!J27/100)^Skills!K27</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Skills!A28</f>
        <v/>
      </c>
      <c r="B1299">
        <f>Skills!B28</f>
        <v/>
      </c>
      <c r="C1299">
        <f>Inputs!$B$3&gt;=125</f>
        <v/>
      </c>
      <c r="D1299">
        <f>IF(Skills!C28=1,60+Inputs!$B$25+Inputs!$B$29,IF(Skills!C28=2,90+Inputs!$B$26+Inputs!$B$29,IF(Skills!C28=3,120+Inputs!$B$27+Inputs!$B$29,MAX(0,(Inputs!$B$3-100)*3)+Inputs!$B$28+Inputs!$B$29)))</f>
        <v/>
      </c>
      <c r="E1299">
        <f>INDEX(FactorTable!$B$2:$Y$301, MATCH(ROUND(MIN(300,MAX(1,D1299)),0), FactorTable!$A$2:$A$301,0), Skills!M28+1)</f>
        <v/>
      </c>
      <c r="F1299">
        <f>IF(Skills!N28=TRUE,(Skills!L28/10)*(E1299/1000),Skills!L28/10)+Skills!O28</f>
        <v/>
      </c>
      <c r="G1299">
        <f>Skills!G28*IF(Skills!H28&gt;0,INT(IF(Inputs!$B$38="pvp",MIN(Skills!I28,15),Skills!I28)/Skills!H28+0.000000001),1)</f>
        <v/>
      </c>
      <c r="H1299">
        <f>1-(1-Skills!J28/100)^Skills!K28</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Skills!A29</f>
        <v/>
      </c>
      <c r="B1300">
        <f>Skills!B29</f>
        <v/>
      </c>
      <c r="C1300">
        <f>Inputs!$B$3&gt;=125</f>
        <v/>
      </c>
      <c r="D1300">
        <f>IF(Skills!C29=1,60+Inputs!$B$25+Inputs!$B$29,IF(Skills!C29=2,90+Inputs!$B$26+Inputs!$B$29,IF(Skills!C29=3,120+Inputs!$B$27+Inputs!$B$29,MAX(0,(Inputs!$B$3-100)*3)+Inputs!$B$28+Inputs!$B$29)))</f>
        <v/>
      </c>
      <c r="E1300">
        <f>INDEX(FactorTable!$B$2:$Y$301, MATCH(ROUND(MIN(300,MAX(1,D1300)),0), FactorTable!$A$2:$A$301,0), Skills!M29+1)</f>
        <v/>
      </c>
      <c r="F1300">
        <f>IF(Skills!N29=TRUE,(Skills!L29/10)*(E1300/1000),Skills!L29/10)+Skills!O29</f>
        <v/>
      </c>
      <c r="G1300">
        <f>Skills!G29*IF(Skills!H29&gt;0,INT(IF(Inputs!$B$38="pvp",MIN(Skills!I29,15),Skills!I29)/Skills!H29+0.000000001),1)</f>
        <v/>
      </c>
      <c r="H1300">
        <f>1-(1-Skills!J29/100)^Skills!K29</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Skills!A30</f>
        <v/>
      </c>
      <c r="B1301">
        <f>Skills!B30</f>
        <v/>
      </c>
      <c r="C1301">
        <f>Inputs!$B$3&gt;=120</f>
        <v/>
      </c>
      <c r="D1301">
        <f>IF(Skills!C30=1,60+Inputs!$B$25+Inputs!$B$29,IF(Skills!C30=2,90+Inputs!$B$26+Inputs!$B$29,IF(Skills!C30=3,120+Inputs!$B$27+Inputs!$B$29,MAX(0,(Inputs!$B$3-100)*3)+Inputs!$B$28+Inputs!$B$29)))</f>
        <v/>
      </c>
      <c r="E1301">
        <f>INDEX(FactorTable!$B$2:$Y$301, MATCH(ROUND(MIN(300,MAX(1,D1301)),0), FactorTable!$A$2:$A$301,0), Skills!M30+1)</f>
        <v/>
      </c>
      <c r="F1301">
        <f>IF(Skills!N30=TRUE,(Skills!L30/10)*(E1301/1000),Skills!L30/10)+Skills!O30</f>
        <v/>
      </c>
      <c r="G1301">
        <f>Skills!G30*IF(Skills!H30&gt;0,INT(IF(Inputs!$B$38="pvp",MIN(Skills!I30,15),Skills!I30)/Skills!H30+0.000000001),1)</f>
        <v/>
      </c>
      <c r="H1301">
        <f>1-(1-Skills!J30/100)^Skills!K30</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Skills!A31</f>
        <v/>
      </c>
      <c r="B1302">
        <f>Skills!B31</f>
        <v/>
      </c>
      <c r="C1302">
        <f>Inputs!$B$3&gt;=120</f>
        <v/>
      </c>
      <c r="D1302">
        <f>IF(Skills!C31=1,60+Inputs!$B$25+Inputs!$B$29,IF(Skills!C31=2,90+Inputs!$B$26+Inputs!$B$29,IF(Skills!C31=3,120+Inputs!$B$27+Inputs!$B$29,MAX(0,(Inputs!$B$3-100)*3)+Inputs!$B$28+Inputs!$B$29)))</f>
        <v/>
      </c>
      <c r="E1302">
        <f>INDEX(FactorTable!$B$2:$Y$301, MATCH(ROUND(MIN(300,MAX(1,D1302)),0), FactorTable!$A$2:$A$301,0), Skills!M31+1)</f>
        <v/>
      </c>
      <c r="F1302">
        <f>IF(Skills!N31=TRUE,(Skills!L31/10)*(E1302/1000),Skills!L31/10)+Skills!O31</f>
        <v/>
      </c>
      <c r="G1302">
        <f>Skills!G31*IF(Skills!H31&gt;0,INT(IF(Inputs!$B$38="pvp",MIN(Skills!I31,15),Skills!I31)/Skills!H31+0.000000001),1)</f>
        <v/>
      </c>
      <c r="H1302">
        <f>1-(1-Skills!J31/100)^Skills!K31</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Skills!A32</f>
        <v/>
      </c>
      <c r="B1303">
        <f>Skills!B32</f>
        <v/>
      </c>
      <c r="C1303">
        <f>Inputs!$B$3&gt;=45</f>
        <v/>
      </c>
      <c r="D1303">
        <f>IF(Skills!C32=1,60+Inputs!$B$25+Inputs!$B$29,IF(Skills!C32=2,90+Inputs!$B$26+Inputs!$B$29,IF(Skills!C32=3,120+Inputs!$B$27+Inputs!$B$29,MAX(0,(Inputs!$B$3-100)*3)+Inputs!$B$28+Inputs!$B$29)))</f>
        <v/>
      </c>
      <c r="E1303">
        <f>INDEX(FactorTable!$B$2:$Y$301, MATCH(ROUND(MIN(300,MAX(1,D1303)),0), FactorTable!$A$2:$A$301,0), Skills!M32+1)</f>
        <v/>
      </c>
      <c r="F1303">
        <f>IF(Skills!N32=TRUE,(Skills!L32/10)*(E1303/1000),Skills!L32/10)+Skills!O32</f>
        <v/>
      </c>
      <c r="G1303">
        <f>Skills!G32*IF(Skills!H32&gt;0,INT(IF(Inputs!$B$38="pvp",MIN(Skills!I32,15),Skills!I32)/Skills!H32+0.000000001),1)</f>
        <v/>
      </c>
      <c r="H1303">
        <f>1-(1-Skills!J32/100)^Skills!K32</f>
        <v/>
      </c>
      <c r="I1303" t="inlineStr">
        <is>
          <t>1</t>
        </is>
      </c>
      <c r="J1303" t="inlineStr"/>
      <c r="K1303" t="inlineStr"/>
      <c r="L1303" t="inlineStr"/>
      <c r="M1303" t="inlineStr"/>
      <c r="N1303" t="inlineStr"/>
      <c r="O1303">
        <f>(1-Summary!$B$11)*T1303+Summary!$B$11*V1303</f>
        <v/>
      </c>
      <c r="P1303">
        <f>IF(B1316=0,0,O1303/B1316)</f>
        <v/>
      </c>
      <c r="Q1303" t="n">
        <v>0</v>
      </c>
      <c r="R1303" t="n">
        <v>0</v>
      </c>
      <c r="S1303">
        <f>IFERROR(O1303/N1303,0)</f>
        <v/>
      </c>
      <c r="T1303" t="n">
        <v>0</v>
      </c>
      <c r="V1303" t="n">
        <v>0</v>
      </c>
    </row>
    <row r="1305">
      <c r="A1305" t="inlineStr">
        <is>
          <t>Attack% Bucket Multiplier</t>
        </is>
      </c>
      <c r="B1305">
        <f>(1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t>
        </is>
      </c>
      <c r="B1307">
        <f>((C1292=TRUE)*F1292*IF(AND(Inputs!$B$38&lt;&gt;"pvp",Inputs!$B$43&gt;0),(((R1292-1)*MIN((Skills!T21*(1+(Inputs!$B$34+1)/100)),(1/Q1292))+MIN((Skills!T21*(1+(Inputs!$B$34+1)/100)),MAX(0,Inputs!$B$43-((R1292-1)*(1/Q1292)))))/Inputs!$B$43),IF(Inputs!$B$38="pvp",MIN((Skills!T21*(1+(Inputs!$B$34+1)/100)),15)/15,MIN(1,(Skills!T21*(1+(Inputs!$B$34+1)/100))/(1/Q1292)))))</f>
        <v/>
      </c>
    </row>
    <row r="1308">
      <c r="A1308" t="inlineStr">
        <is>
          <t>Actions Per Second</t>
        </is>
      </c>
      <c r="B1308">
        <f>1+MIN(150,150*(1-(1-(Inputs!$B$11+((C1294=TRUE)*(F1294-Calc!F23))+((C1295=TRUE)*(F1295-Calc!F24)))/150)*(1-B1307/150)))/100</f>
        <v/>
      </c>
    </row>
    <row r="1309">
      <c r="A1309" t="inlineStr">
        <is>
          <t>Skill + Buff Cast Rate</t>
        </is>
      </c>
      <c r="B1309">
        <f>IF(AND(Inputs!$B$38&lt;&gt;"pvp",Inputs!$B$43&gt;0),SUMPRODUCT((Skills!E2:E32=TRUE)*(C1273:C1303=TRUE)*R1273:R1303*Skills!F2:F32)/Inputs!$B$43,SUMPRODUCT((Skills!E2:E32=TRUE)*(C1273:C1303=TRUE)*Q1273:Q1303*Skills!F2:F32))</f>
        <v/>
      </c>
    </row>
    <row r="1310">
      <c r="A1310" t="inlineStr">
        <is>
          <t>Arrow Stream Casts Per Second</t>
        </is>
      </c>
      <c r="B1310">
        <f>MAX(0,B1308-B1309)</f>
        <v/>
      </c>
    </row>
    <row r="1311">
      <c r="A1311" t="inlineStr">
        <is>
          <t>Global Critical Damage Bonus % (Sharp Eyes + Concentration)</t>
        </is>
      </c>
      <c r="B1311">
        <f>(C1289=TRUE)*F1289*IF(AND(Inputs!$B$38&lt;&gt;"pvp",Inputs!$B$43&gt;0),(((R1289-1)*MIN((Skills!T18*(1+(Inputs!$B$34+1)/100)),(1/Q1289))+MIN((Skills!T18*(1+(Inputs!$B$34+1)/100)),MAX(0,Inputs!$B$43-((R1289-1)*(1/Q1289)))))/Inputs!$B$43),IF(Inputs!$B$38="pvp",MIN((Skills!T18*(1+(Inputs!$B$34+1)/100)),15)/15,MIN(1,(Skills!T18*(1+(Inputs!$B$34+1)/100))/(1/Q1289))))+(C1290=TRUE)*7*F1290</f>
        <v/>
      </c>
    </row>
    <row r="1312">
      <c r="A1312" t="inlineStr">
        <is>
          <t>Global Final Damage Bonus % (Mortal Blow)</t>
        </is>
      </c>
      <c r="B1312">
        <f>(C1291=TRUE)*F1291</f>
        <v/>
      </c>
    </row>
    <row r="1313">
      <c r="A1313" t="inlineStr">
        <is>
          <t>Buff-Casting Startup Delay (s, fixed-duration only)</t>
        </is>
      </c>
      <c r="B1313">
        <f>IF(AND(Inputs!$B$38&lt;&gt;"pvp",Inputs!$B$43&gt;0),SUMPRODUCT((Skills!T2:T32&gt;0)*(Skills!E2:E32=TRUE)*(C1273:C1303=TRUE))/B1308,0)</f>
        <v/>
      </c>
    </row>
    <row r="1314">
      <c r="A1314" t="inlineStr">
        <is>
          <t>Boss-Only Total DPS (this block's swept value)</t>
        </is>
      </c>
      <c r="B1314">
        <f>SUM(T1273:T1303)</f>
        <v/>
      </c>
    </row>
    <row r="1315">
      <c r="A1315" t="inlineStr">
        <is>
          <t>Normal-Only Total DPS (this block's swept value)</t>
        </is>
      </c>
      <c r="B1315">
        <f>SUM(V1273:V1303)</f>
        <v/>
      </c>
    </row>
    <row r="1316">
      <c r="A1316" s="6" t="inlineStr">
        <is>
          <t>TOTAL DPS</t>
        </is>
      </c>
      <c r="B1316" s="6">
        <f>SUM(O1273:O1303)</f>
        <v/>
      </c>
    </row>
    <row r="1319">
      <c r="A1319" s="6" t="inlineStr">
        <is>
          <t>Stat: Charm of the Undead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Skills!G2*IF(Skills!H2&gt;0,INT(IF(Inputs!$B$38="pvp",MIN(Skills!I2,15),Skills!I2)/Skills!H2+0.000000001),1)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1345=TRUE)*(F1345-Calc!F26)),(Inputs!$B$23+((C1350=TRUE)*(F1350-Calc!F31))+(IF(ArtifactsInput!$M$15,CHOOSE(ArtifactsInput!$N$15+1,25,30,35,40,45,50)/100*(Inputs!$B$11-Inputs!$B$11),0))))/100+(Inputs!$B$23+((C1350=TRUE)*(F1350-Calc!F31))+(IF(ArtifactsInput!$M$15,CHOOSE(ArtifactsInput!$N$15+1,25,30,35,40,45,50)/100*(Inputs!$B$11-Inputs!$B$11),0)))/100)/2</f>
        <v/>
      </c>
      <c r="M1321">
        <f>L1321*(1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IF(B1364=0,0,O1321/B1364)</f>
        <v/>
      </c>
      <c r="Q1321" t="n">
        <v>0</v>
      </c>
      <c r="R1321" t="n">
        <v>0</v>
      </c>
      <c r="S1321">
        <f>IFERROR(O1321/N1321,0)</f>
        <v/>
      </c>
      <c r="T1321">
        <f>IF(C1321,(Skills!G2*N1321*B1358)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IF(C1321,(Skills!G2*N1321*B1358)*IF(Inputs!$B$38="pvp",1,(1+(Inputs!$B$21+Skills!Q2+(IF(ArtifactsInput!$M$33,CHOOSE(ArtifactsInput!$N$33+1,30,36,42,48,54,60),0))+(IF(AND(ArtifactsInput!$M$35,Inputs!$B$4&lt;&gt;"Chapter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Inputs!$B$3&gt;=50</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Skills!G3*IF(Skills!H3&gt;0,INT(IF(Inputs!$B$38="pvp",MIN(Skills!I3,15),Skills!I3)/Skills!H3+0.000000001),1)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1323=TRUE,F1323,0)/100)*(1+(IF(Skills!A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1345=TRUE)*(F1345-Calc!F26)),(Inputs!$B$23+((C1350=TRUE)*(F1350-Calc!F31))+(IF(ArtifactsInput!$M$15,CHOOSE(ArtifactsInput!$N$15+1,25,30,35,40,45,50)/100*(Inputs!$B$11-Inputs!$B$11),0))))/100+(Inputs!$B$23+((C1350=TRUE)*(F1350-Calc!F31))+(IF(ArtifactsInput!$M$15,CHOOSE(ArtifactsInput!$N$15+1,25,30,35,40,45,50)/100*(Inputs!$B$11-Inputs!$B$11),0)))/100)/2</f>
        <v/>
      </c>
      <c r="M1322">
        <f>L1322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IF(B1364=0,0,O1322/B1364)</f>
        <v/>
      </c>
      <c r="Q1322">
        <f>IFERROR(1/(IF(Inputs!$B$38="pvp",15,MAX(0.1,1/B1356-IF(FALSE=TRUE,Inputs!$B$32,0)))*(1-IF(AND(ArtifactsInput!$M$27,Inputs!$B$4="Chapter Hunt"),CHOOSE(ArtifactsInput!$N$27+1,20,24,28,32,36,40),0)/100)),0)</f>
        <v/>
      </c>
      <c r="R1322">
        <f>IF(AND(Inputs!$B$38&lt;&gt;"pvp",Inputs!$B$43&gt;0),IF(MAX(0,Inputs!$B$43-B1361)&lt;=0,0,(INT(MAX(0,Inputs!$B$43-B1361)/(IF(Inputs!$B$38="pvp",15,MAX(0.1,1/B1356-IF(FALSE=TRUE,Inputs!$B$32,0)))*(1-IF(AND(ArtifactsInput!$M$27,Inputs!$B$4="Chapter Hunt"),CHOOSE(ArtifactsInput!$N$27+1,20,24,28,32,36,40),0)/100)))+1)),0)</f>
        <v/>
      </c>
      <c r="S1322">
        <f>IFERROR(O1322/N1322,0)</f>
        <v/>
      </c>
      <c r="T1322">
        <f>IF(C1322,(H1322*N1322*IF(AND(Inputs!$B$38&lt;&gt;"pvp",Inputs!$B$43&gt;0),((Skills!G3*((R1322-1)*IF(Skills!H3&gt;0,INT(Skills!I3/Skills!H3+0.000000001),1)+IF(Skills!H3&gt;0,INT(MIN(Skills!I3,MAX(0,MAX(0,Inputs!$B$43-B1361)-((R1322-1)*(IF(Inputs!$B$38="pvp",15,MAX(0.1,1/B1356-IF(FALSE=TRUE,Inputs!$B$32,0)))*(1-IF(AND(ArtifactsInput!$M$27,Inputs!$B$4="Chapter Hunt"),CHOOSE(ArtifactsInput!$N$27+1,20,24,28,32,36,40),0)/100)))))/Skills!H3+0.000000001),1)))/Inputs!$B$43),G1322*Q1322)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H1322*N1322*IF(AND(Inputs!$B$38&lt;&gt;"pvp",Inputs!$B$43&gt;0),((Skills!G3*((R1322-1)*IF(Skills!H3&gt;0,INT(Skills!I3/Skills!H3+0.000000001),1)+IF(Skills!H3&gt;0,INT(MIN(Skills!I3,MAX(0,MAX(0,Inputs!$B$43-B1361)-((R1322-1)*(IF(Inputs!$B$38="pvp",15,MAX(0.1,1/B1356-IF(FALSE=TRUE,Inputs!$B$32,0)))*(1-IF(AND(ArtifactsInput!$M$27,Inputs!$B$4="Chapter Hunt"),CHOOSE(ArtifactsInput!$N$27+1,20,24,28,32,36,40),0)/100)))))/Skills!H3+0.000000001),1)))/Inputs!$B$43),G1322*Q1322))*IF(Inputs!$B$38="pvp",1,(1+(Inputs!$B$21+Skills!Q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Inputs!$B$3&gt;=105</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t="inlineStr"/>
      <c r="H1323" t="inlineStr"/>
      <c r="I1323" t="inlineStr">
        <is>
          <t>1</t>
        </is>
      </c>
      <c r="J1323" t="inlineStr"/>
      <c r="K1323" t="inlineStr"/>
      <c r="L1323" t="inlineStr"/>
      <c r="M1323" t="inlineStr"/>
      <c r="N1323" t="inlineStr"/>
      <c r="O1323" t="inlineStr"/>
      <c r="P1323" t="inlineStr"/>
      <c r="Q1323" t="inlineStr"/>
      <c r="R1323" t="inlineStr"/>
      <c r="S1323" t="inlineStr"/>
      <c r="T1323" t="inlineStr"/>
      <c r="U1323">
        <f>290*U1322/1000</f>
        <v/>
      </c>
      <c r="V1323" t="inlineStr"/>
    </row>
    <row r="1324">
      <c r="A1324">
        <f>Skills!A5</f>
        <v/>
      </c>
      <c r="B1324">
        <f>Skills!B5</f>
        <v/>
      </c>
      <c r="C1324">
        <f>Inputs!$B$3&gt;=35</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Skills!G5*IF(Skills!H5&gt;0,INT(IF(Inputs!$B$38="pvp",MIN(Skills!I5,15),Skills!I5)/Skills!H5+0.000000001),1)</f>
        <v/>
      </c>
      <c r="H1324">
        <f>1-(1-Skills!J5/100)^Skills!K5</f>
        <v/>
      </c>
      <c r="I1324" t="inlineStr">
        <is>
          <t>1</t>
        </is>
      </c>
      <c r="J1324">
        <f>((Inputs!$B$6*(1+Inputs!$B$7/100))+(((Inputs!$B$12*(1+Inputs!$B$13/100))-(Inputs!$B$12*(1+Inputs!$B$13/100)))+0.25*(Inputs!$B$14-Inputs!$B$14))*(1+Inputs!$B$7/100))*(F1324/100)</f>
        <v/>
      </c>
      <c r="K1324">
        <f>J1324*(1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1331=TRUE,F1331,0)/100)*(1+(IF(Skills!A5="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1345=TRUE)*(F1345-Calc!F26)),(Inputs!$B$23+((C1350=TRUE)*(F1350-Calc!F31))+(IF(ArtifactsInput!$M$15,CHOOSE(ArtifactsInput!$N$15+1,25,30,35,40,45,50)/100*(Inputs!$B$11-Inputs!$B$11),0))))/100+(Inputs!$B$23+((C1350=TRUE)*(F1350-Calc!F31))+(IF(ArtifactsInput!$M$15,CHOOSE(ArtifactsInput!$N$15+1,25,30,35,40,45,50)/100*(Inputs!$B$11-Inputs!$B$11),0)))/100)/2</f>
        <v/>
      </c>
      <c r="M1324">
        <f>L1324*(1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IF(B1364=0,0,O1324/B1364)</f>
        <v/>
      </c>
      <c r="Q1324">
        <f>IFERROR(1/(IF(Inputs!$B$38="pvp",15,MAX(0.1,Skills!D5-IF(TRUE=TRUE,Inputs!$B$32,0)))*(1-IF(AND(ArtifactsInput!$M$27,Inputs!$B$4="Chapter Hunt"),CHOOSE(ArtifactsInput!$N$27+1,20,24,28,32,36,40),0)/100)),0)</f>
        <v/>
      </c>
      <c r="R1324">
        <f>IF(AND(Inputs!$B$38&lt;&gt;"pvp",Inputs!$B$43&gt;0),IF(MAX(0,Inputs!$B$43-B1361)&lt;=0,0,(INT(MAX(0,Inputs!$B$43-B1361)/(IF(Inputs!$B$38="pvp",15,MAX(0.1,Skills!D5-IF(TRUE=TRUE,Inputs!$B$32,0)))*(1-IF(AND(ArtifactsInput!$M$27,Inputs!$B$4="Chapter Hunt"),CHOOSE(ArtifactsInput!$N$27+1,20,24,28,32,36,40),0)/100)))+1)),0)</f>
        <v/>
      </c>
      <c r="S1324">
        <f>IFERROR(O1324/N1324,0)</f>
        <v/>
      </c>
      <c r="T1324">
        <f>IF(C1324,(H1324*N1324*IF(AND(Inputs!$B$38&lt;&gt;"pvp",Inputs!$B$43&gt;0),((Skills!G5*((R1324-1)*IF(Skills!H5&gt;0,INT(Skills!I5/Skills!H5+0.000000001),1)+IF(Skills!H5&gt;0,INT(MIN(Skills!I5,MAX(0,MAX(0,Inputs!$B$43-B1361)-((R1324-1)*(IF(Inputs!$B$38="pvp",15,MAX(0.1,Skills!D5-IF(TRUE=TRUE,Inputs!$B$32,0)))*(1-IF(AND(ArtifactsInput!$M$27,Inputs!$B$4="Chapter Hunt"),CHOOSE(ArtifactsInput!$N$27+1,20,24,28,32,36,40),0)/100)))))/Skills!H5+0.000000001),1)))/Inputs!$B$43),G1324*Q1324)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5*((R1324-1)*IF(Skills!H5&gt;0,INT(Skills!I5/Skills!H5+0.000000001),1)+IF(Skills!H5&gt;0,INT(MIN(Skills!I5,MAX(0,MAX(0,Inputs!$B$43-B1361)-((R1324-1)*(IF(Inputs!$B$38="pvp",15,MAX(0.1,Skills!D5-IF(TRUE=TRUE,Inputs!$B$32,0)))*(1-IF(AND(ArtifactsInput!$M$27,Inputs!$B$4="Chapter Hunt"),CHOOSE(ArtifactsInput!$N$27+1,20,24,28,32,36,40),0)/100)))))/Skills!H5+0.000000001),1)))/Inputs!$B$43),G1324*Q1324))*IF(Inputs!$B$38="pvp",1,(1+(Inputs!$B$21+Skills!Q5+(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Skills!A6</f>
        <v/>
      </c>
      <c r="B1325">
        <f>Skills!B6</f>
        <v/>
      </c>
      <c r="C1325">
        <f>Inputs!$B$3&gt;=40</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Skills!G6*IF(Skills!H6&gt;0,INT(IF(Inputs!$B$38="pvp",MIN(Skills!I6,15),Skills!I6)/Skills!H6+0.000000001),1)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1326=TRUE,F1326,0)/100)*(1+(IF(Skills!A6="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1345=TRUE)*(F1345-Calc!F26)),(Inputs!$B$23+((C1350=TRUE)*(F1350-Calc!F31))+(IF(ArtifactsInput!$M$15,CHOOSE(ArtifactsInput!$N$15+1,25,30,35,40,45,50)/100*(Inputs!$B$11-Inputs!$B$11),0))))/100+(Inputs!$B$23+((C1350=TRUE)*(F1350-Calc!F31))+(IF(ArtifactsInput!$M$15,CHOOSE(ArtifactsInput!$N$15+1,25,30,35,40,45,50)/100*(Inputs!$B$11-Inputs!$B$11),0)))/100)/2</f>
        <v/>
      </c>
      <c r="M1325">
        <f>L1325*(1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IF(B1364=0,0,O1325/B1364)</f>
        <v/>
      </c>
      <c r="Q1325">
        <f>IFERROR(1/(IF(Inputs!$B$38="pvp",15,MAX(0.1,1-0.4*MIN(1,(B1356-1)/1.5)-IF(FALSE=TRUE,Inputs!$B$32,0)))*(1-IF(AND(ArtifactsInput!$M$27,Inputs!$B$4="Chapter Hunt"),CHOOSE(ArtifactsInput!$N$27+1,20,24,28,32,36,40),0)/100)),0)</f>
        <v/>
      </c>
      <c r="R1325">
        <f>IF(AND(Inputs!$B$38&lt;&gt;"pvp",Inputs!$B$43&gt;0),IF(MAX(0,Inputs!$B$43-B1361)&lt;=0,0,(INT(MAX(0,Inputs!$B$43-B1361)/(IF(Inputs!$B$38="pvp",15,MAX(0.1,1-0.4*MIN(1,(B1356-1)/1.5)-IF(FALSE=TRUE,Inputs!$B$32,0)))*(1-IF(AND(ArtifactsInput!$M$27,Inputs!$B$4="Chapter Hunt"),CHOOSE(ArtifactsInput!$N$27+1,20,24,28,32,36,40),0)/100)))+1)),0)</f>
        <v/>
      </c>
      <c r="S1325">
        <f>IFERROR(O1325/N1325,0)</f>
        <v/>
      </c>
      <c r="T1325">
        <f>IF(C1325,(H1325*N1325*IF(AND(Inputs!$B$38&lt;&gt;"pvp",Inputs!$B$43&gt;0),((Skills!G6*((R1325-1)*IF(Skills!H6&gt;0,INT(Skills!I6/Skills!H6+0.000000001),1)+IF(Skills!H6&gt;0,INT(MIN(Skills!I6,MAX(0,MAX(0,Inputs!$B$43-B1361)-((R1325-1)*(IF(Inputs!$B$38="pvp",15,MAX(0.1,1-0.4*MIN(1,(B1356-1)/1.5)-IF(FALSE=TRUE,Inputs!$B$32,0)))*(1-IF(AND(ArtifactsInput!$M$27,Inputs!$B$4="Chapter Hunt"),CHOOSE(ArtifactsInput!$N$27+1,20,24,28,32,36,40),0)/100)))))/Skills!H6+0.000000001),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INT(Skills!I6/Skills!H6+0.000000001),1)+IF(Skills!H6&gt;0,INT(MIN(Skills!I6,MAX(0,MAX(0,Inputs!$B$43-B1361)-((R1325-1)*(IF(Inputs!$B$38="pvp",15,MAX(0.1,1-0.4*MIN(1,(B1356-1)/1.5)-IF(FALSE=TRUE,Inputs!$B$32,0)))*(1-IF(AND(ArtifactsInput!$M$27,Inputs!$B$4="Chapter Hunt"),CHOOSE(ArtifactsInput!$N$27+1,20,24,28,32,36,40),0)/100)))))/Skills!H6+0.000000001),1)))/Inputs!$B$43),G1325*Q1325))*IF(Inputs!$B$38="pvp",1,(1+(Inputs!$B$21+Skills!Q6+(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Inputs!$B$3&gt;=107</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t="inlineStr"/>
      <c r="H1326" t="inlineStr"/>
      <c r="I1326" t="inlineStr">
        <is>
          <t>1</t>
        </is>
      </c>
      <c r="J1326" t="inlineStr"/>
      <c r="K1326" t="inlineStr"/>
      <c r="L1326" t="inlineStr"/>
      <c r="M1326" t="inlineStr"/>
      <c r="N1326" t="inlineStr"/>
      <c r="O1326" t="inlineStr"/>
      <c r="P1326" t="inlineStr"/>
      <c r="Q1326" t="inlineStr"/>
      <c r="R1326" t="inlineStr"/>
      <c r="S1326" t="inlineStr"/>
      <c r="T1326" t="inlineStr"/>
      <c r="V1326" t="inlineStr"/>
    </row>
    <row r="1327">
      <c r="A1327">
        <f>Skills!A8</f>
        <v/>
      </c>
      <c r="B1327">
        <f>Skills!B8</f>
        <v/>
      </c>
      <c r="C1327">
        <f>Inputs!$B$3&gt;=130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Skills!G8*IF(Skills!H8&gt;0,INT(IF(Inputs!$B$38="pvp",MIN(Skills!I8,15),Skills!I8)/Skills!H8+0.000000001),1)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26)),(Inputs!$B$23+((C1350=TRUE)*(F1350-Calc!F31))+(IF(ArtifactsInput!$M$15,CHOOSE(ArtifactsInput!$N$15+1,25,30,35,40,45,50)/100*(Inputs!$B$11-Inputs!$B$11),0))))/100+(Inputs!$B$23+((C1350=TRUE)*(F1350-Calc!F31))+(IF(ArtifactsInput!$M$15,CHOOSE(ArtifactsInput!$N$15+1,25,30,35,40,45,50)/100*(Inputs!$B$11-Inputs!$B$11),0)))/100)/2</f>
        <v/>
      </c>
      <c r="M1327">
        <f>L1327*(1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IF(B1364=0,0,O1327/B1364)</f>
        <v/>
      </c>
      <c r="Q1327">
        <f>IFERROR(1/(IF(Inputs!$B$38="pvp",15,MAX(0.1,1-0.4*MIN(1,(B1356-1)/1.5)-IF(FALSE=TRUE,Inputs!$B$32,0)))*(1-IF(AND(ArtifactsInput!$M$27,Inputs!$B$4="Chapter Hunt"),CHOOSE(ArtifactsInput!$N$27+1,20,24,28,32,36,40),0)/100)),0)</f>
        <v/>
      </c>
      <c r="R1327">
        <f>IF(AND(Inputs!$B$38&lt;&gt;"pvp",Inputs!$B$43&gt;0),IF(MAX(0,Inputs!$B$43-B1361)&lt;=0,0,(INT(MAX(0,Inputs!$B$43-B1361)/(IF(Inputs!$B$38="pvp",15,MAX(0.1,1-0.4*MIN(1,(B1356-1)/1.5)-IF(FALSE=TRUE,Inputs!$B$32,0)))*(1-IF(AND(ArtifactsInput!$M$27,Inputs!$B$4="Chapter Hunt"),CHOOSE(ArtifactsInput!$N$27+1,20,24,28,32,36,40),0)/100)))+1)),0)</f>
        <v/>
      </c>
      <c r="S1327">
        <f>IFERROR(O1327/N1327,0)</f>
        <v/>
      </c>
      <c r="T1327">
        <f>IF(C1327,(H1327*N1327*IF(AND(Inputs!$B$38&lt;&gt;"pvp",Inputs!$B$43&gt;0),((Skills!G8*((R1327-1)*IF(Skills!H8&gt;0,INT(Skills!I8/Skills!H8+0.000000001),1)+IF(Skills!H8&gt;0,INT(MIN(Skills!I8,MAX(0,MAX(0,Inputs!$B$43-B1361)-((R1327-1)*(IF(Inputs!$B$38="pvp",15,MAX(0.1,1-0.4*MIN(1,(B1356-1)/1.5)-IF(FALSE=TRUE,Inputs!$B$32,0)))*(1-IF(AND(ArtifactsInput!$M$27,Inputs!$B$4="Chapter Hunt"),CHOOSE(ArtifactsInput!$N$27+1,20,24,28,32,36,40),0)/100)))))/Skills!H8+0.000000001),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INT(Skills!I8/Skills!H8+0.000000001),1)+IF(Skills!H8&gt;0,INT(MIN(Skills!I8,MAX(0,MAX(0,Inputs!$B$43-B1361)-((R1327-1)*(IF(Inputs!$B$38="pvp",15,MAX(0.1,1-0.4*MIN(1,(B1356-1)/1.5)-IF(FALSE=TRUE,Inputs!$B$32,0)))*(1-IF(AND(ArtifactsInput!$M$27,Inputs!$B$4="Chapter Hunt"),CHOOSE(ArtifactsInput!$N$27+1,20,24,28,32,36,40),0)/100)))))/Skills!H8+0.000000001),1)))/Inputs!$B$43),G1327*Q1327))*IF(Inputs!$B$38="pvp",1,(1+(Inputs!$B$21+Skills!Q8+(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Inputs!$B$3&gt;=69</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Skills!G9*IF(Skills!H9&gt;0,INT(IF(Inputs!$B$38="pvp",MIN(Skills!I9,15),Skills!I9)/Skills!H9+0.000000001),1)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1331=TRUE,F1331,0)/100)*(1+(IF(Skills!A9="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26)),(Inputs!$B$23+((C1350=TRUE)*(F1350-Calc!F31))+(IF(ArtifactsInput!$M$15,CHOOSE(ArtifactsInput!$N$15+1,25,30,35,40,45,50)/100*(Inputs!$B$11-Inputs!$B$11),0))))/100+(Inputs!$B$23+((C1350=TRUE)*(F1350-Calc!F31))+(IF(ArtifactsInput!$M$15,CHOOSE(ArtifactsInput!$N$15+1,25,30,35,40,45,50)/100*(Inputs!$B$11-Inputs!$B$11),0)))/100)/2</f>
        <v/>
      </c>
      <c r="M1328">
        <f>L1328*(1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IF(B1364=0,0,O1328/B1364)</f>
        <v/>
      </c>
      <c r="Q1328">
        <f>IFERROR(1/(IF(Inputs!$B$38="pvp",15,MAX(0.1,Skills!D9-IF(TRUE=TRUE,Inputs!$B$32,0)))*(1-IF(AND(ArtifactsInput!$M$27,Inputs!$B$4="Chapter Hunt"),CHOOSE(ArtifactsInput!$N$27+1,20,24,28,32,36,40),0)/100)),0)</f>
        <v/>
      </c>
      <c r="R1328">
        <f>IF(AND(Inputs!$B$38&lt;&gt;"pvp",Inputs!$B$43&gt;0),IF(MAX(0,Inputs!$B$43-B1361)&lt;=0,0,(INT(MAX(0,Inputs!$B$43-B1361)/(IF(Inputs!$B$38="pvp",15,MAX(0.1,Skills!D9-IF(TRUE=TRUE,Inputs!$B$32,0)))*(1-IF(AND(ArtifactsInput!$M$27,Inputs!$B$4="Chapter Hunt"),CHOOSE(ArtifactsInput!$N$27+1,20,24,28,32,36,40),0)/100)))+1)),0)</f>
        <v/>
      </c>
      <c r="S1328">
        <f>IFERROR(O1328/N1328,0)</f>
        <v/>
      </c>
      <c r="T1328">
        <f>IF(C1328,(H1328*N1328*IF(AND(Inputs!$B$38&lt;&gt;"pvp",Inputs!$B$43&gt;0),((Skills!G9*((R1328-1)*IF(Skills!H9&gt;0,INT(Skills!I9/Skills!H9+0.000000001),1)+IF(Skills!H9&gt;0,INT(MIN(Skills!I9,MAX(0,MAX(0,Inputs!$B$43-B1361)-((R1328-1)*(IF(Inputs!$B$38="pvp",15,MAX(0.1,Skills!D9-IF(TRUE=TRUE,Inputs!$B$32,0)))*(1-IF(AND(ArtifactsInput!$M$27,Inputs!$B$4="Chapter Hunt"),CHOOSE(ArtifactsInput!$N$27+1,20,24,28,32,36,40),0)/100)))))/Skills!H9+0.000000001),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INT(Skills!I9/Skills!H9+0.000000001),1)+IF(Skills!H9&gt;0,INT(MIN(Skills!I9,MAX(0,MAX(0,Inputs!$B$43-B1361)-((R1328-1)*(IF(Inputs!$B$38="pvp",15,MAX(0.1,Skills!D9-IF(TRUE=TRUE,Inputs!$B$32,0)))*(1-IF(AND(ArtifactsInput!$M$27,Inputs!$B$4="Chapter Hunt"),CHOOSE(ArtifactsInput!$N$27+1,20,24,28,32,36,40),0)/100)))))/Skills!H9+0.000000001),1)))/Inputs!$B$43),G1328*Q1328))*IF(Inputs!$B$38="pvp",1,(1+(Inputs!$B$21+Skills!Q9+(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Inputs!$B$3&gt;=63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Skills!G10*IF(Skills!H10&gt;0,INT(IF(Inputs!$B$38="pvp",MIN(Skills!I10,15),Skills!I10)/Skills!H10+0.000000001),1)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10="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26)),(Inputs!$B$23+((C1350=TRUE)*(F1350-Calc!F31))+(IF(ArtifactsInput!$M$15,CHOOSE(ArtifactsInput!$N$15+1,25,30,35,40,45,50)/100*(Inputs!$B$11-Inputs!$B$11),0))))/100+(Inputs!$B$23+((C1350=TRUE)*(F1350-Calc!F31))+(IF(ArtifactsInput!$M$15,CHOOSE(ArtifactsInput!$N$15+1,25,30,35,40,45,50)/100*(Inputs!$B$11-Inputs!$B$11),0)))/100)/2</f>
        <v/>
      </c>
      <c r="M1329">
        <f>L1329*(1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IF(B1364=0,0,O1329/B1364)</f>
        <v/>
      </c>
      <c r="Q1329">
        <f>IFERROR(1/(IF(Inputs!$B$38="pvp",15,MAX(0.1,Skills!D10-IF(TRUE=TRUE,Inputs!$B$32,0)))*(1-IF(AND(ArtifactsInput!$M$27,Inputs!$B$4="Chapter Hunt"),CHOOSE(ArtifactsInput!$N$27+1,20,24,28,32,36,40),0)/100)),0)</f>
        <v/>
      </c>
      <c r="R1329">
        <f>IF(AND(Inputs!$B$38&lt;&gt;"pvp",Inputs!$B$43&gt;0),IF(MAX(0,Inputs!$B$43-B1361)&lt;=0,0,(INT(MAX(0,Inputs!$B$43-B1361)/(IF(Inputs!$B$38="pvp",15,MAX(0.1,Skills!D10-IF(TRUE=TRUE,Inputs!$B$32,0)))*(1-IF(AND(ArtifactsInput!$M$27,Inputs!$B$4="Chapter Hunt"),CHOOSE(ArtifactsInput!$N$27+1,20,24,28,32,36,40),0)/100)))+1)),0)</f>
        <v/>
      </c>
      <c r="S1329">
        <f>IFERROR(O1329/N1329,0)</f>
        <v/>
      </c>
      <c r="T1329">
        <f>IF(C1329,(H1329*N1329*IF(AND(Inputs!$B$38&lt;&gt;"pvp",Inputs!$B$43&gt;0),((Skills!G10*((R1329-1)*IF(Skills!H10&gt;0,INT(Skills!I10/Skills!H10+0.000000001),1)+IF(Skills!H10&gt;0,INT(MIN(Skills!I10,MAX(0,MAX(0,Inputs!$B$43-B1361)-((R1329-1)*(IF(Inputs!$B$38="pvp",15,MAX(0.1,Skills!D10-IF(TRUE=TRUE,Inputs!$B$32,0)))*(1-IF(AND(ArtifactsInput!$M$27,Inputs!$B$4="Chapter Hunt"),CHOOSE(ArtifactsInput!$N$27+1,20,24,28,32,36,40),0)/100)))))/Skills!H10+0.000000001),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INT(Skills!I10/Skills!H10+0.000000001),1)+IF(Skills!H10&gt;0,INT(MIN(Skills!I10,MAX(0,MAX(0,Inputs!$B$43-B1361)-((R1329-1)*(IF(Inputs!$B$38="pvp",15,MAX(0.1,Skills!D10-IF(TRUE=TRUE,Inputs!$B$32,0)))*(1-IF(AND(ArtifactsInput!$M$27,Inputs!$B$4="Chapter Hunt"),CHOOSE(ArtifactsInput!$N$27+1,20,24,28,32,36,40),0)/100)))))/Skills!H10+0.000000001),1)))/Inputs!$B$43),G1329*Q1329))*IF(Inputs!$B$38="pvp",1,(1+(Inputs!$B$21+Skills!Q10+(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Inputs!$B$3&gt;=103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Skills!G11*IF(Skills!H11&gt;0,INT(IF(Inputs!$B$38="pvp",MIN(Skills!I11,15),Skills!I11)/Skills!H11+0.000000001),1)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1345=TRUE)*(F1345-Calc!F26)),(Inputs!$B$23+((C1350=TRUE)*(F1350-Calc!F31))+(IF(ArtifactsInput!$M$15,CHOOSE(ArtifactsInput!$N$15+1,25,30,35,40,45,50)/100*(Inputs!$B$11-Inputs!$B$11),0))))/100+(Inputs!$B$23+((C1350=TRUE)*(F1350-Calc!F31))+(IF(ArtifactsInput!$M$15,CHOOSE(ArtifactsInput!$N$15+1,25,30,35,40,45,50)/100*(Inputs!$B$11-Inputs!$B$11),0)))/100)/2</f>
        <v/>
      </c>
      <c r="M1330">
        <f>L1330*(1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IF(B1364=0,0,O1330/B1364)</f>
        <v/>
      </c>
      <c r="Q1330">
        <f>IFERROR(1/(IF(Inputs!$B$38="pvp",15,MAX(0.1,Skills!D11-IF(TRUE=TRUE,Inputs!$B$32,0)))*(1-IF(AND(ArtifactsInput!$M$27,Inputs!$B$4="Chapter Hunt"),CHOOSE(ArtifactsInput!$N$27+1,20,24,28,32,36,40),0)/100)),0)</f>
        <v/>
      </c>
      <c r="R1330">
        <f>IF(AND(Inputs!$B$38&lt;&gt;"pvp",Inputs!$B$43&gt;0),IF(MAX(0,Inputs!$B$43-B1361)&lt;=0,0,(INT(MAX(0,Inputs!$B$43-B1361)/(IF(Inputs!$B$38="pvp",15,MAX(0.1,Skills!D11-IF(TRUE=TRUE,Inputs!$B$32,0)))*(1-IF(AND(ArtifactsInput!$M$27,Inputs!$B$4="Chapter Hunt"),CHOOSE(ArtifactsInput!$N$27+1,20,24,28,32,36,40),0)/100)))+1)),0)</f>
        <v/>
      </c>
      <c r="S1330">
        <f>IFERROR(O1330/N1330,0)</f>
        <v/>
      </c>
      <c r="T1330">
        <f>IF(C1330,(H1330*N1330*IF(AND(Inputs!$B$38&lt;&gt;"pvp",Inputs!$B$43&gt;0),((Skills!G11*((R1330-1)*IF(Skills!H11&gt;0,INT(Skills!I11/Skills!H11+0.000000001),1)+IF(Skills!H11&gt;0,INT(MIN(Skills!I11,MAX(0,MAX(0,Inputs!$B$43-B1361)-((R1330-1)*(IF(Inputs!$B$38="pvp",15,MAX(0.1,Skills!D11-IF(TRUE=TRUE,Inputs!$B$32,0)))*(1-IF(AND(ArtifactsInput!$M$27,Inputs!$B$4="Chapter Hunt"),CHOOSE(ArtifactsInput!$N$27+1,20,24,28,32,36,40),0)/100)))))/Skills!H11+0.000000001)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INT(Skills!I11/Skills!H11+0.000000001),1)+IF(Skills!H11&gt;0,INT(MIN(Skills!I11,MAX(0,MAX(0,Inputs!$B$43-B1361)-((R1330-1)*(IF(Inputs!$B$38="pvp",15,MAX(0.1,Skills!D11-IF(TRUE=TRUE,Inputs!$B$32,0)))*(1-IF(AND(ArtifactsInput!$M$27,Inputs!$B$4="Chapter Hunt"),CHOOSE(ArtifactsInput!$N$27+1,20,24,28,32,36,40),0)/100)))))/Skills!H11+0.000000001),1)))/Inputs!$B$43),G1330*Q1330))*IF(Inputs!$B$38="pvp",1,(1+(Inputs!$B$21+Skills!Q11+(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Inputs!$B$3&gt;=60</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Skills!G13*IF(Skills!H13&gt;0,INT(IF(Inputs!$B$38="pvp",MIN(Skills!I13,15),Skills!I13)/Skills!H13+0.000000001),1)</f>
        <v/>
      </c>
      <c r="H1332">
        <f>1-(1-Skills!J13/100)^Skills!K13</f>
        <v/>
      </c>
      <c r="I1332" t="inlineStr">
        <is>
          <t>1</t>
        </is>
      </c>
      <c r="J1332">
        <f>((Inputs!$B$6*(1+Inputs!$B$7/100))+(((Inputs!$B$12*(1+Inputs!$B$13/100))-(Inputs!$B$12*(1+Inputs!$B$13/100)))+0.25*(Inputs!$B$14-Inputs!$B$14))*(1+Inputs!$B$7/100))*(F1332/100)</f>
        <v/>
      </c>
      <c r="K1332">
        <f>J1332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Skills!A13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26)),(Inputs!$B$23+((C1350=TRUE)*(F1350-Calc!F31))+(IF(ArtifactsInput!$M$15,CHOOSE(ArtifactsInput!$N$15+1,25,30,35,40,45,50)/100*(Inputs!$B$11-Inputs!$B$11),0))))/100+(Inputs!$B$23+((C1350=TRUE)*(F1350-Calc!F31))+(IF(ArtifactsInput!$M$15,CHOOSE(ArtifactsInput!$N$15+1,25,30,35,40,45,50)/100*(Inputs!$B$11-Inputs!$B$11),0)))/100)/2</f>
        <v/>
      </c>
      <c r="M1332">
        <f>L1332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IF(B1364=0,0,O1332/B1364)</f>
        <v/>
      </c>
      <c r="Q1332">
        <f>IFERROR(1/(IF(Inputs!$B$38="pvp",15,MAX(0.1,IF(Inputs!$B$3&gt;=122,3,5)+1/(((20+30*(B1356-1)*100/150)/100)*B1356)-IF(FALSE=TRUE,Inputs!$B$32,0)))*(1-IF(AND(ArtifactsInput!$M$27,Inputs!$B$4="Chapter Hunt"),CHOOSE(ArtifactsInput!$N$27+1,20,24,28,32,36,40),0)/100)),0)</f>
        <v/>
      </c>
      <c r="R1332">
        <f>IF(AND(Inputs!$B$38&lt;&gt;"pvp",Inputs!$B$43&gt;0),IF(MAX(0,Inputs!$B$43-B1361)&lt;=0,0,(INT(MAX(0,Inputs!$B$43-B1361)/(IF(Inputs!$B$38="pvp",15,MAX(0.1,IF(Inputs!$B$3&gt;=122,3,5)+1/(((20+30*(B1356-1)*100/150)/100)*B1356)-IF(FALSE=TRUE,Inputs!$B$32,0)))*(1-IF(AND(ArtifactsInput!$M$27,Inputs!$B$4="Chapter Hunt"),CHOOSE(ArtifactsInput!$N$27+1,20,24,28,32,36,40),0)/100)))+1)),0)</f>
        <v/>
      </c>
      <c r="S1332">
        <f>IFERROR(O1332/N1332,0)</f>
        <v/>
      </c>
      <c r="T1332">
        <f>IF(C1332,(H1332*N1332*IF(AND(Inputs!$B$38&lt;&gt;"pvp",Inputs!$B$43&gt;0),((Skills!G13*((R1332-1)*IF(Skills!H13&gt;0,INT(Skills!I13/Skills!H13+0.000000001),1)+IF(Skills!H13&gt;0,INT(MIN(Skills!I13,MAX(0,MAX(0,Inputs!$B$43-B1361)-((R1332-1)*(IF(Inputs!$B$38="pvp",15,MAX(0.1,IF(Inputs!$B$3&gt;=122,3,5)+1/(((20+30*(B1356-1)*100/150)/100)*B1356)-IF(FALSE=TRUE,Inputs!$B$32,0)))*(1-IF(AND(ArtifactsInput!$M$27,Inputs!$B$4="Chapter Hunt"),CHOOSE(ArtifactsInput!$N$27+1,20,24,28,32,36,40),0)/100)))))/Skills!H13+0.000000001),1)))/Inputs!$B$43),G1332*Q1332)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13*((R1332-1)*IF(Skills!H13&gt;0,INT(Skills!I13/Skills!H13+0.000000001),1)+IF(Skills!H13&gt;0,INT(MIN(Skills!I13,MAX(0,MAX(0,Inputs!$B$43-B1361)-((R1332-1)*(IF(Inputs!$B$38="pvp",15,MAX(0.1,IF(Inputs!$B$3&gt;=122,3,5)+1/(((20+30*(B1356-1)*100/150)/100)*B1356)-IF(FALSE=TRUE,Inputs!$B$32,0)))*(1-IF(AND(ArtifactsInput!$M$27,Inputs!$B$4="Chapter Hunt"),CHOOSE(ArtifactsInput!$N$27+1,20,24,28,32,36,40),0)/100)))))/Skills!H13+0.000000001),1)))/Inputs!$B$43),G1332*Q1332))*IF(Inputs!$B$38="pvp",1,(1+(Inputs!$B$21+Skills!Q13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Skills!A14</f>
        <v/>
      </c>
      <c r="B1333">
        <f>Skills!B14</f>
        <v/>
      </c>
      <c r="C1333">
        <f>Inputs!$B$3&gt;=110</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t="inlineStr"/>
      <c r="H1333" t="inlineStr"/>
      <c r="I1333" t="inlineStr">
        <is>
          <t>1</t>
        </is>
      </c>
      <c r="J1333" t="inlineStr"/>
      <c r="K1333" t="inlineStr"/>
      <c r="L1333" t="inlineStr"/>
      <c r="M1333" t="inlineStr"/>
      <c r="N1333" t="inlineStr"/>
      <c r="O1333" t="inlineStr"/>
      <c r="P1333" t="inlineStr"/>
      <c r="Q1333" t="inlineStr"/>
      <c r="R1333" t="inlineStr"/>
      <c r="S1333" t="inlineStr"/>
      <c r="T1333" t="inlineStr"/>
      <c r="V1333" t="inlineStr"/>
    </row>
    <row r="1334">
      <c r="A1334">
        <f>Skills!A15</f>
        <v/>
      </c>
      <c r="B1334">
        <f>Skills!B15</f>
        <v/>
      </c>
      <c r="C1334">
        <f>Inputs!$B$3&gt;=74</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Skills!G15*IF(Skills!H15&gt;0,INT(IF(Inputs!$B$38="pvp",MIN(Skills!I15,15),Skills!I15)/Skills!H15+0.000000001),1)</f>
        <v/>
      </c>
      <c r="H1334">
        <f>1-(1-Skills!J15/100)^Skills!K15</f>
        <v/>
      </c>
      <c r="I1334" t="inlineStr">
        <is>
          <t>1</t>
        </is>
      </c>
      <c r="J1334" t="inlineStr"/>
      <c r="K1334" t="inlineStr"/>
      <c r="L1334" t="inlineStr"/>
      <c r="M1334" t="inlineStr"/>
      <c r="N1334" t="inlineStr"/>
      <c r="O1334">
        <f>(1-Summary!$B$11)*T1334+Summary!$B$11*V1334</f>
        <v/>
      </c>
      <c r="P1334">
        <f>IF(B1364=0,0,O1334/B1364)</f>
        <v/>
      </c>
      <c r="Q1334" t="n">
        <v>0</v>
      </c>
      <c r="R1334" t="n">
        <v>0</v>
      </c>
      <c r="S1334">
        <f>IFERROR(O1334/N1334,0)</f>
        <v/>
      </c>
      <c r="T1334" t="n">
        <v>0</v>
      </c>
      <c r="V1334" t="n">
        <v>0</v>
      </c>
    </row>
    <row r="1335">
      <c r="A1335">
        <f>Skills!A16</f>
        <v/>
      </c>
      <c r="B1335">
        <f>Skills!B16</f>
        <v/>
      </c>
      <c r="C1335">
        <f>Inputs!$B$3&gt;=74</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Skills!G16*IF(Skills!H16&gt;0,INT(IF(Inputs!$B$38="pvp",MIN(Skills!I16,15),Skills!I16)/Skills!H16+0.000000001),1)</f>
        <v/>
      </c>
      <c r="H1335">
        <f>1-(1-Skills!J16/100)^Skills!K16</f>
        <v/>
      </c>
      <c r="I1335" t="inlineStr">
        <is>
          <t>1</t>
        </is>
      </c>
      <c r="J1335" t="inlineStr"/>
      <c r="K1335" t="inlineStr"/>
      <c r="L1335" t="inlineStr"/>
      <c r="M1335" t="inlineStr"/>
      <c r="N1335" t="inlineStr"/>
      <c r="O1335">
        <f>(1-Summary!$B$11)*T1335+Summary!$B$11*V1335</f>
        <v/>
      </c>
      <c r="P1335">
        <f>IF(B1364=0,0,O1335/B1364)</f>
        <v/>
      </c>
      <c r="Q1335" t="n">
        <v>0</v>
      </c>
      <c r="R1335" t="n">
        <v>0</v>
      </c>
      <c r="S1335">
        <f>IFERROR(O1335/N1335,0)</f>
        <v/>
      </c>
      <c r="T1335" t="n">
        <v>0</v>
      </c>
      <c r="V1335" t="n">
        <v>0</v>
      </c>
    </row>
    <row r="1336">
      <c r="A1336">
        <f>Skills!A17</f>
        <v/>
      </c>
      <c r="B1336">
        <f>Skills!B17</f>
        <v/>
      </c>
      <c r="C1336">
        <f>Inputs!$B$3&gt;=117</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Skills!G17*IF(Skills!H17&gt;0,INT(IF(Inputs!$B$38="pvp",MIN(Skills!I17,15),Skills!I17)/Skills!H17+0.000000001),1)</f>
        <v/>
      </c>
      <c r="H1336">
        <f>1-(1-Skills!J17/100)^Skills!K17</f>
        <v/>
      </c>
      <c r="I1336" t="inlineStr">
        <is>
          <t>1</t>
        </is>
      </c>
      <c r="J1336" t="inlineStr"/>
      <c r="K1336" t="inlineStr"/>
      <c r="L1336" t="inlineStr"/>
      <c r="M1336" t="inlineStr"/>
      <c r="N1336" t="inlineStr"/>
      <c r="O1336">
        <f>(1-Summary!$B$11)*T1336+Summary!$B$11*V1336</f>
        <v/>
      </c>
      <c r="P1336">
        <f>IF(B1364=0,0,O1336/B1364)</f>
        <v/>
      </c>
      <c r="Q1336">
        <f>IFERROR(1/(IF(Inputs!$B$38="pvp",15,MAX(0.1,Skills!D17-IF(TRUE=TRUE,Inputs!$B$32,0)))*(1-IF(AND(ArtifactsInput!$M$27,Inputs!$B$4="Chapter Hunt"),CHOOSE(ArtifactsInput!$N$27+1,20,24,28,32,36,40),0)/100)),0)</f>
        <v/>
      </c>
      <c r="R1336">
        <f>IF(AND(Inputs!$B$38&lt;&gt;"pvp",Inputs!$B$43&gt;0),IF(Inputs!$B$43&lt;=0,0,(INT(Inputs!$B$43/(IF(Inputs!$B$38="pvp",15,MAX(0.1,Skills!D17-IF(TRUE=TRUE,Inputs!$B$32,0)))*(1-IF(AND(ArtifactsInput!$M$27,Inputs!$B$4="Chapter Hunt"),CHOOSE(ArtifactsInput!$N$27+1,20,24,28,32,36,40),0)/100)))+1)),0)</f>
        <v/>
      </c>
      <c r="S1336">
        <f>IFERROR(O1336/N1336,0)</f>
        <v/>
      </c>
      <c r="T1336" t="n">
        <v>0</v>
      </c>
      <c r="V1336" t="n">
        <v>0</v>
      </c>
    </row>
    <row r="1337">
      <c r="A1337">
        <f>Skills!A18</f>
        <v/>
      </c>
      <c r="B1337">
        <f>Skills!B18</f>
        <v/>
      </c>
      <c r="C1337">
        <f>Inputs!$B$3&gt;=115</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Skills!G18*IF(Skills!H18&gt;0,INT(IF(Inputs!$B$38="pvp",MIN(Skills!I18,15),Skills!I18)/Skills!H18+0.000000001),1)</f>
        <v/>
      </c>
      <c r="H1337">
        <f>1-(1-Skills!J18/100)^Skills!K18</f>
        <v/>
      </c>
      <c r="I1337" t="inlineStr">
        <is>
          <t>1</t>
        </is>
      </c>
      <c r="J1337" t="inlineStr"/>
      <c r="K1337" t="inlineStr"/>
      <c r="L1337" t="inlineStr"/>
      <c r="M1337" t="inlineStr"/>
      <c r="N1337" t="inlineStr"/>
      <c r="O1337">
        <f>(1-Summary!$B$11)*T1337+Summary!$B$11*V1337</f>
        <v/>
      </c>
      <c r="P1337">
        <f>IF(B1364=0,0,O1337/B1364)</f>
        <v/>
      </c>
      <c r="Q1337">
        <f>IFERROR(1/(IF(Inputs!$B$38="pvp",15,MAX(0.1,Skills!D18-IF(TRUE=TRUE,Inputs!$B$32,0)))*(1-IF(AND(ArtifactsInput!$M$27,Inputs!$B$4="Chapter Hunt"),CHOOSE(ArtifactsInput!$N$27+1,20,24,28,32,36,40),0)/100)),0)</f>
        <v/>
      </c>
      <c r="R1337">
        <f>IF(AND(Inputs!$B$38&lt;&gt;"pvp",Inputs!$B$43&gt;0),IF(Inputs!$B$43&lt;=0,0,(INT(Inputs!$B$43/(IF(Inputs!$B$38="pvp",15,MAX(0.1,Skills!D18-IF(TRUE=TRUE,Inputs!$B$32,0)))*(1-IF(AND(ArtifactsInput!$M$27,Inputs!$B$4="Chapter Hunt"),CHOOSE(ArtifactsInput!$N$27+1,20,24,28,32,36,40),0)/100)))+1)),0)</f>
        <v/>
      </c>
      <c r="S1337">
        <f>IFERROR(O1337/N1337,0)</f>
        <v/>
      </c>
      <c r="T1337" t="n">
        <v>0</v>
      </c>
      <c r="V1337" t="n">
        <v>0</v>
      </c>
    </row>
    <row r="1338">
      <c r="A1338">
        <f>Skills!A19</f>
        <v/>
      </c>
      <c r="B1338">
        <f>Skills!B19</f>
        <v/>
      </c>
      <c r="C1338">
        <f>Inputs!$B$3&gt;=66</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Skills!G19*IF(Skills!H19&gt;0,INT(IF(Inputs!$B$38="pvp",MIN(Skills!I19,15),Skills!I19)/Skills!H19+0.000000001),1)</f>
        <v/>
      </c>
      <c r="H1338">
        <f>1-(1-Skills!J19/100)^Skills!K19</f>
        <v/>
      </c>
      <c r="I1338" t="inlineStr">
        <is>
          <t>1</t>
        </is>
      </c>
      <c r="J1338" t="inlineStr"/>
      <c r="K1338" t="inlineStr"/>
      <c r="L1338" t="inlineStr"/>
      <c r="M1338" t="inlineStr"/>
      <c r="N1338" t="inlineStr"/>
      <c r="O1338">
        <f>(1-Summary!$B$11)*T1338+Summary!$B$11*V1338</f>
        <v/>
      </c>
      <c r="P1338">
        <f>IF(B1364=0,0,O1338/B1364)</f>
        <v/>
      </c>
      <c r="Q1338" t="n">
        <v>0</v>
      </c>
      <c r="R1338" t="n">
        <v>0</v>
      </c>
      <c r="S1338">
        <f>IFERROR(O1338/N1338,0)</f>
        <v/>
      </c>
      <c r="T1338" t="n">
        <v>0</v>
      </c>
      <c r="V1338" t="n">
        <v>0</v>
      </c>
    </row>
    <row r="1339">
      <c r="A1339">
        <f>Skills!A20</f>
        <v/>
      </c>
      <c r="B1339">
        <f>Skills!B20</f>
        <v/>
      </c>
      <c r="C1339">
        <f>Inputs!$B$3&gt;=72</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Skills!G20*IF(Skills!H20&gt;0,INT(IF(Inputs!$B$38="pvp",MIN(Skills!I20,15),Skills!I20)/Skills!H20+0.000000001),1)</f>
        <v/>
      </c>
      <c r="H1339">
        <f>1-(1-Skills!J20/100)^Skills!K20</f>
        <v/>
      </c>
      <c r="I1339" t="inlineStr">
        <is>
          <t>1</t>
        </is>
      </c>
      <c r="J1339" t="inlineStr"/>
      <c r="K1339" t="inlineStr"/>
      <c r="L1339" t="inlineStr"/>
      <c r="M1339" t="inlineStr"/>
      <c r="N1339" t="inlineStr"/>
      <c r="O1339">
        <f>(1-Summary!$B$11)*T1339+Summary!$B$11*V1339</f>
        <v/>
      </c>
      <c r="P1339">
        <f>IF(B1364=0,0,O1339/B1364)</f>
        <v/>
      </c>
      <c r="Q1339" t="n">
        <v>0</v>
      </c>
      <c r="R1339" t="n">
        <v>0</v>
      </c>
      <c r="S1339">
        <f>IFERROR(O1339/N1339,0)</f>
        <v/>
      </c>
      <c r="T1339" t="n">
        <v>0</v>
      </c>
      <c r="V1339" t="n">
        <v>0</v>
      </c>
    </row>
    <row r="1340">
      <c r="A1340">
        <f>Skills!A21</f>
        <v/>
      </c>
      <c r="B1340">
        <f>Skills!B21</f>
        <v/>
      </c>
      <c r="C1340">
        <f>TRUE</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Skills!G21*IF(Skills!H21&gt;0,INT(IF(Inputs!$B$38="pvp",MIN(Skills!I21,15),Skills!I21)/Skills!H21+0.000000001),1)</f>
        <v/>
      </c>
      <c r="H1340">
        <f>1-(1-Skills!J21/100)^Skills!K21</f>
        <v/>
      </c>
      <c r="I1340" t="inlineStr">
        <is>
          <t>1</t>
        </is>
      </c>
      <c r="J1340" t="inlineStr"/>
      <c r="K1340" t="inlineStr"/>
      <c r="L1340" t="inlineStr"/>
      <c r="M1340" t="inlineStr"/>
      <c r="N1340" t="inlineStr"/>
      <c r="O1340">
        <f>(1-Summary!$B$11)*T1340+Summary!$B$11*V1340</f>
        <v/>
      </c>
      <c r="P1340">
        <f>IF(B1364=0,0,O1340/B1364)</f>
        <v/>
      </c>
      <c r="Q1340">
        <f>IFERROR(1/(IF(Inputs!$B$38="pvp",15,MAX(0.1,Skills!D21-IF(TRUE=TRUE,Inputs!$B$32,0)))*(1-IF(AND(ArtifactsInput!$M$27,Inputs!$B$4="Chapter Hunt"),CHOOSE(ArtifactsInput!$N$27+1,20,24,28,32,36,40),0)/100)),0)</f>
        <v/>
      </c>
      <c r="R1340">
        <f>IF(AND(Inputs!$B$38&lt;&gt;"pvp",Inputs!$B$43&gt;0),IF(Inputs!$B$43&lt;=0,0,(INT(Inputs!$B$43/(IF(Inputs!$B$38="pvp",15,MAX(0.1,Skills!D21-IF(TRUE=TRUE,Inputs!$B$32,0)))*(1-IF(AND(ArtifactsInput!$M$27,Inputs!$B$4="Chapter Hunt"),CHOOSE(ArtifactsInput!$N$27+1,20,24,28,32,36,40),0)/100)))+1)),0)</f>
        <v/>
      </c>
      <c r="S1340">
        <f>IFERROR(O1340/N1340,0)</f>
        <v/>
      </c>
      <c r="T1340" t="n">
        <v>0</v>
      </c>
      <c r="V1340" t="n">
        <v>0</v>
      </c>
    </row>
    <row r="1341">
      <c r="A1341">
        <f>Skills!A22</f>
        <v/>
      </c>
      <c r="B1341">
        <f>Skills!B22</f>
        <v/>
      </c>
      <c r="C1341">
        <f>Inputs!$B$3&gt;=15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Skills!G22*IF(Skills!H22&gt;0,INT(IF(Inputs!$B$38="pvp",MIN(Skills!I22,15),Skills!I22)/Skills!H22+0.000000001),1)</f>
        <v/>
      </c>
      <c r="H1341">
        <f>1-(1-Skills!J22/100)^Skills!K22</f>
        <v/>
      </c>
      <c r="I1341" t="inlineStr">
        <is>
          <t>1</t>
        </is>
      </c>
      <c r="J1341" t="inlineStr"/>
      <c r="K1341" t="inlineStr"/>
      <c r="L1341" t="inlineStr"/>
      <c r="M1341" t="inlineStr"/>
      <c r="N1341" t="inlineStr"/>
      <c r="O1341">
        <f>(1-Summary!$B$11)*T1341+Summary!$B$11*V1341</f>
        <v/>
      </c>
      <c r="P1341">
        <f>IF(B1364=0,0,O1341/B1364)</f>
        <v/>
      </c>
      <c r="Q1341" t="n">
        <v>0</v>
      </c>
      <c r="R1341" t="n">
        <v>0</v>
      </c>
      <c r="S1341">
        <f>IFERROR(O1341/N1341,0)</f>
        <v/>
      </c>
      <c r="T1341" t="n">
        <v>0</v>
      </c>
      <c r="V1341" t="n">
        <v>0</v>
      </c>
    </row>
    <row r="1342">
      <c r="A1342">
        <f>Skills!A23</f>
        <v/>
      </c>
      <c r="B1342">
        <f>Skills!B23</f>
        <v/>
      </c>
      <c r="C1342">
        <f>Inputs!$B$3&gt;=10</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Skills!G23*IF(Skills!H23&gt;0,INT(IF(Inputs!$B$38="pvp",MIN(Skills!I23,15),Skills!I23)/Skills!H23+0.000000001),1)</f>
        <v/>
      </c>
      <c r="H1342">
        <f>1-(1-Skills!J23/100)^Skills!K23</f>
        <v/>
      </c>
      <c r="I1342" t="inlineStr">
        <is>
          <t>1</t>
        </is>
      </c>
      <c r="J1342" t="inlineStr"/>
      <c r="K1342" t="inlineStr"/>
      <c r="L1342" t="inlineStr"/>
      <c r="M1342" t="inlineStr"/>
      <c r="N1342" t="inlineStr"/>
      <c r="O1342">
        <f>(1-Summary!$B$11)*T1342+Summary!$B$11*V1342</f>
        <v/>
      </c>
      <c r="P1342">
        <f>IF(B1364=0,0,O1342/B1364)</f>
        <v/>
      </c>
      <c r="Q1342" t="n">
        <v>0</v>
      </c>
      <c r="R1342" t="n">
        <v>0</v>
      </c>
      <c r="S1342">
        <f>IFERROR(O1342/N1342,0)</f>
        <v/>
      </c>
      <c r="T1342" t="n">
        <v>0</v>
      </c>
      <c r="V1342" t="n">
        <v>0</v>
      </c>
    </row>
    <row r="1343">
      <c r="A1343">
        <f>Skills!A24</f>
        <v/>
      </c>
      <c r="B1343">
        <f>Skills!B24</f>
        <v/>
      </c>
      <c r="C1343">
        <f>Inputs!$B$3&gt;=33</f>
        <v/>
      </c>
      <c r="D1343">
        <f>IF(Skills!C24=1,60+Inputs!$B$25+Inputs!$B$29,IF(Skills!C24=2,90+Inputs!$B$26+Inputs!$B$29,IF(Skills!C24=3,120+Inputs!$B$27+Inputs!$B$29,MAX(0,(Inputs!$B$3-100)*3)+Inputs!$B$28+Inputs!$B$29)))</f>
        <v/>
      </c>
      <c r="E1343">
        <f>INDEX(FactorTable!$B$2:$Y$301, MATCH(ROUND(MIN(300,MAX(1,D1343)),0), FactorTable!$A$2:$A$301,0), Skills!M24+1)</f>
        <v/>
      </c>
      <c r="F1343">
        <f>IF(Skills!N24=TRUE,(Skills!L24/10)*(E1343/1000),Skills!L24/10)+Skills!O24</f>
        <v/>
      </c>
      <c r="G1343">
        <f>Skills!G24*IF(Skills!H24&gt;0,INT(IF(Inputs!$B$38="pvp",MIN(Skills!I24,15),Skills!I24)/Skills!H24+0.000000001),1)</f>
        <v/>
      </c>
      <c r="H1343">
        <f>1-(1-Skills!J24/100)^Skills!K24</f>
        <v/>
      </c>
      <c r="I1343" t="inlineStr">
        <is>
          <t>1</t>
        </is>
      </c>
      <c r="J1343" t="inlineStr"/>
      <c r="K1343" t="inlineStr"/>
      <c r="L1343" t="inlineStr"/>
      <c r="M1343" t="inlineStr"/>
      <c r="N1343" t="inlineStr"/>
      <c r="O1343">
        <f>(1-Summary!$B$11)*T1343+Summary!$B$11*V1343</f>
        <v/>
      </c>
      <c r="P1343">
        <f>IF(B1364=0,0,O1343/B1364)</f>
        <v/>
      </c>
      <c r="Q1343" t="n">
        <v>0</v>
      </c>
      <c r="R1343" t="n">
        <v>0</v>
      </c>
      <c r="S1343">
        <f>IFERROR(O1343/N1343,0)</f>
        <v/>
      </c>
      <c r="T1343" t="n">
        <v>0</v>
      </c>
      <c r="V1343" t="n">
        <v>0</v>
      </c>
    </row>
    <row r="1344">
      <c r="A1344">
        <f>Skills!A25</f>
        <v/>
      </c>
      <c r="B1344">
        <f>Skills!B25</f>
        <v/>
      </c>
      <c r="C1344">
        <f>Inputs!$B$3&gt;=38</f>
        <v/>
      </c>
      <c r="D1344">
        <f>IF(Skills!C25=1,60+Inputs!$B$25+Inputs!$B$29,IF(Skills!C25=2,90+Inputs!$B$26+Inputs!$B$29,IF(Skills!C25=3,120+Inputs!$B$27+Inputs!$B$29,MAX(0,(Inputs!$B$3-100)*3)+Inputs!$B$28+Inputs!$B$29)))</f>
        <v/>
      </c>
      <c r="E1344">
        <f>INDEX(FactorTable!$B$2:$Y$301, MATCH(ROUND(MIN(300,MAX(1,D1344)),0), FactorTable!$A$2:$A$301,0), Skills!M25+1)</f>
        <v/>
      </c>
      <c r="F1344">
        <f>IF(Skills!N25=TRUE,(Skills!L25/10)*(E1344/1000),Skills!L25/10)+Skills!O25</f>
        <v/>
      </c>
      <c r="G1344">
        <f>Skills!G25*IF(Skills!H25&gt;0,INT(IF(Inputs!$B$38="pvp",MIN(Skills!I25,15),Skills!I25)/Skills!H25+0.000000001),1)</f>
        <v/>
      </c>
      <c r="H1344">
        <f>1-(1-Skills!J25/100)^Skills!K25</f>
        <v/>
      </c>
      <c r="I1344" t="inlineStr">
        <is>
          <t>1</t>
        </is>
      </c>
      <c r="J1344" t="inlineStr"/>
      <c r="K1344" t="inlineStr"/>
      <c r="L1344" t="inlineStr"/>
      <c r="M1344" t="inlineStr"/>
      <c r="N1344" t="inlineStr"/>
      <c r="O1344">
        <f>(1-Summary!$B$11)*T1344+Summary!$B$11*V1344</f>
        <v/>
      </c>
      <c r="P1344">
        <f>IF(B1364=0,0,O1344/B1364)</f>
        <v/>
      </c>
      <c r="Q1344" t="n">
        <v>0</v>
      </c>
      <c r="R1344" t="n">
        <v>0</v>
      </c>
      <c r="S1344">
        <f>IFERROR(O1344/N1344,0)</f>
        <v/>
      </c>
      <c r="T1344" t="n">
        <v>0</v>
      </c>
      <c r="V1344" t="n">
        <v>0</v>
      </c>
    </row>
    <row r="1345">
      <c r="A1345">
        <f>Skills!A26</f>
        <v/>
      </c>
      <c r="B1345">
        <f>Skills!B26</f>
        <v/>
      </c>
      <c r="C1345">
        <f>Inputs!$B$3&gt;=43</f>
        <v/>
      </c>
      <c r="D1345">
        <f>IF(Skills!C26=1,60+Inputs!$B$25+Inputs!$B$29,IF(Skills!C26=2,90+Inputs!$B$26+Inputs!$B$29,IF(Skills!C26=3,120+Inputs!$B$27+Inputs!$B$29,MAX(0,(Inputs!$B$3-100)*3)+Inputs!$B$28+Inputs!$B$29)))</f>
        <v/>
      </c>
      <c r="E1345">
        <f>INDEX(FactorTable!$B$2:$Y$301, MATCH(ROUND(MIN(300,MAX(1,D1345)),0), FactorTable!$A$2:$A$301,0), Skills!M26+1)</f>
        <v/>
      </c>
      <c r="F1345">
        <f>IF(Skills!N26=TRUE,(Skills!L26/10)*(E1345/1000),Skills!L26/10)+Skills!O26</f>
        <v/>
      </c>
      <c r="G1345">
        <f>Skills!G26*IF(Skills!H26&gt;0,INT(IF(Inputs!$B$38="pvp",MIN(Skills!I26,15),Skills!I26)/Skills!H26+0.000000001),1)</f>
        <v/>
      </c>
      <c r="H1345">
        <f>1-(1-Skills!J26/100)^Skills!K26</f>
        <v/>
      </c>
      <c r="I1345" t="inlineStr">
        <is>
          <t>1</t>
        </is>
      </c>
      <c r="J1345" t="inlineStr"/>
      <c r="K1345" t="inlineStr"/>
      <c r="L1345" t="inlineStr"/>
      <c r="M1345" t="inlineStr"/>
      <c r="N1345" t="inlineStr"/>
      <c r="O1345">
        <f>(1-Summary!$B$11)*T1345+Summary!$B$11*V1345</f>
        <v/>
      </c>
      <c r="P1345">
        <f>IF(B1364=0,0,O1345/B1364)</f>
        <v/>
      </c>
      <c r="Q1345" t="n">
        <v>0</v>
      </c>
      <c r="R1345" t="n">
        <v>0</v>
      </c>
      <c r="S1345">
        <f>IFERROR(O1345/N1345,0)</f>
        <v/>
      </c>
      <c r="T1345" t="n">
        <v>0</v>
      </c>
      <c r="V1345" t="n">
        <v>0</v>
      </c>
    </row>
    <row r="1346">
      <c r="A1346">
        <f>Skills!A27</f>
        <v/>
      </c>
      <c r="B1346">
        <f>Skills!B27</f>
        <v/>
      </c>
      <c r="C1346">
        <f>Inputs!$B$3&gt;=75</f>
        <v/>
      </c>
      <c r="D1346">
        <f>IF(Skills!C27=1,60+Inputs!$B$25+Inputs!$B$29,IF(Skills!C27=2,90+Inputs!$B$26+Inputs!$B$29,IF(Skills!C27=3,120+Inputs!$B$27+Inputs!$B$29,MAX(0,(Inputs!$B$3-100)*3)+Inputs!$B$28+Inputs!$B$29)))</f>
        <v/>
      </c>
      <c r="E1346">
        <f>INDEX(FactorTable!$B$2:$Y$301, MATCH(ROUND(MIN(300,MAX(1,D1346)),0), FactorTable!$A$2:$A$301,0), Skills!M27+1)</f>
        <v/>
      </c>
      <c r="F1346">
        <f>IF(Skills!N27=TRUE,(Skills!L27/10)*(E1346/1000),Skills!L27/10)+Skills!O27</f>
        <v/>
      </c>
      <c r="G1346">
        <f>Skills!G27*IF(Skills!H27&gt;0,INT(IF(Inputs!$B$38="pvp",MIN(Skills!I27,15),Skills!I27)/Skills!H27+0.000000001),1)</f>
        <v/>
      </c>
      <c r="H1346">
        <f>1-(1-Skills!J27/100)^Skills!K27</f>
        <v/>
      </c>
      <c r="I1346" t="inlineStr">
        <is>
          <t>1</t>
        </is>
      </c>
      <c r="J1346" t="inlineStr"/>
      <c r="K1346" t="inlineStr"/>
      <c r="L1346" t="inlineStr"/>
      <c r="M1346" t="inlineStr"/>
      <c r="N1346" t="inlineStr"/>
      <c r="O1346">
        <f>(1-Summary!$B$11)*T1346+Summary!$B$11*V1346</f>
        <v/>
      </c>
      <c r="P1346">
        <f>IF(B1364=0,0,O1346/B1364)</f>
        <v/>
      </c>
      <c r="Q1346" t="n">
        <v>0</v>
      </c>
      <c r="R1346" t="n">
        <v>0</v>
      </c>
      <c r="S1346">
        <f>IFERROR(O1346/N1346,0)</f>
        <v/>
      </c>
      <c r="T1346" t="n">
        <v>0</v>
      </c>
      <c r="V1346" t="n">
        <v>0</v>
      </c>
    </row>
    <row r="1347">
      <c r="A1347">
        <f>Skills!A28</f>
        <v/>
      </c>
      <c r="B1347">
        <f>Skills!B28</f>
        <v/>
      </c>
      <c r="C1347">
        <f>Inputs!$B$3&gt;=125</f>
        <v/>
      </c>
      <c r="D1347">
        <f>IF(Skills!C28=1,60+Inputs!$B$25+Inputs!$B$29,IF(Skills!C28=2,90+Inputs!$B$26+Inputs!$B$29,IF(Skills!C28=3,120+Inputs!$B$27+Inputs!$B$29,MAX(0,(Inputs!$B$3-100)*3)+Inputs!$B$28+Inputs!$B$29)))</f>
        <v/>
      </c>
      <c r="E1347">
        <f>INDEX(FactorTable!$B$2:$Y$301, MATCH(ROUND(MIN(300,MAX(1,D1347)),0), FactorTable!$A$2:$A$301,0), Skills!M28+1)</f>
        <v/>
      </c>
      <c r="F1347">
        <f>IF(Skills!N28=TRUE,(Skills!L28/10)*(E1347/1000),Skills!L28/10)+Skills!O28</f>
        <v/>
      </c>
      <c r="G1347">
        <f>Skills!G28*IF(Skills!H28&gt;0,INT(IF(Inputs!$B$38="pvp",MIN(Skills!I28,15),Skills!I28)/Skills!H28+0.000000001),1)</f>
        <v/>
      </c>
      <c r="H1347">
        <f>1-(1-Skills!J28/100)^Skills!K28</f>
        <v/>
      </c>
      <c r="I1347" t="inlineStr">
        <is>
          <t>1</t>
        </is>
      </c>
      <c r="J1347" t="inlineStr"/>
      <c r="K1347" t="inlineStr"/>
      <c r="L1347" t="inlineStr"/>
      <c r="M1347" t="inlineStr"/>
      <c r="N1347" t="inlineStr"/>
      <c r="O1347">
        <f>(1-Summary!$B$11)*T1347+Summary!$B$11*V1347</f>
        <v/>
      </c>
      <c r="P1347">
        <f>IF(B1364=0,0,O1347/B1364)</f>
        <v/>
      </c>
      <c r="Q1347" t="n">
        <v>0</v>
      </c>
      <c r="R1347" t="n">
        <v>0</v>
      </c>
      <c r="S1347">
        <f>IFERROR(O1347/N1347,0)</f>
        <v/>
      </c>
      <c r="T1347" t="n">
        <v>0</v>
      </c>
      <c r="V1347" t="n">
        <v>0</v>
      </c>
    </row>
    <row r="1348">
      <c r="A1348">
        <f>Skills!A29</f>
        <v/>
      </c>
      <c r="B1348">
        <f>Skills!B29</f>
        <v/>
      </c>
      <c r="C1348">
        <f>Inputs!$B$3&gt;=125</f>
        <v/>
      </c>
      <c r="D1348">
        <f>IF(Skills!C29=1,60+Inputs!$B$25+Inputs!$B$29,IF(Skills!C29=2,90+Inputs!$B$26+Inputs!$B$29,IF(Skills!C29=3,120+Inputs!$B$27+Inputs!$B$29,MAX(0,(Inputs!$B$3-100)*3)+Inputs!$B$28+Inputs!$B$29)))</f>
        <v/>
      </c>
      <c r="E1348">
        <f>INDEX(FactorTable!$B$2:$Y$301, MATCH(ROUND(MIN(300,MAX(1,D1348)),0), FactorTable!$A$2:$A$301,0), Skills!M29+1)</f>
        <v/>
      </c>
      <c r="F1348">
        <f>IF(Skills!N29=TRUE,(Skills!L29/10)*(E1348/1000),Skills!L29/10)+Skills!O29</f>
        <v/>
      </c>
      <c r="G1348">
        <f>Skills!G29*IF(Skills!H29&gt;0,INT(IF(Inputs!$B$38="pvp",MIN(Skills!I29,15),Skills!I29)/Skills!H29+0.000000001),1)</f>
        <v/>
      </c>
      <c r="H1348">
        <f>1-(1-Skills!J29/100)^Skills!K29</f>
        <v/>
      </c>
      <c r="I1348" t="inlineStr">
        <is>
          <t>1</t>
        </is>
      </c>
      <c r="J1348" t="inlineStr"/>
      <c r="K1348" t="inlineStr"/>
      <c r="L1348" t="inlineStr"/>
      <c r="M1348" t="inlineStr"/>
      <c r="N1348" t="inlineStr"/>
      <c r="O1348">
        <f>(1-Summary!$B$11)*T1348+Summary!$B$11*V1348</f>
        <v/>
      </c>
      <c r="P1348">
        <f>IF(B1364=0,0,O1348/B1364)</f>
        <v/>
      </c>
      <c r="Q1348" t="n">
        <v>0</v>
      </c>
      <c r="R1348" t="n">
        <v>0</v>
      </c>
      <c r="S1348">
        <f>IFERROR(O1348/N1348,0)</f>
        <v/>
      </c>
      <c r="T1348" t="n">
        <v>0</v>
      </c>
      <c r="V1348" t="n">
        <v>0</v>
      </c>
    </row>
    <row r="1349">
      <c r="A1349">
        <f>Skills!A30</f>
        <v/>
      </c>
      <c r="B1349">
        <f>Skills!B30</f>
        <v/>
      </c>
      <c r="C1349">
        <f>Inputs!$B$3&gt;=120</f>
        <v/>
      </c>
      <c r="D1349">
        <f>IF(Skills!C30=1,60+Inputs!$B$25+Inputs!$B$29,IF(Skills!C30=2,90+Inputs!$B$26+Inputs!$B$29,IF(Skills!C30=3,120+Inputs!$B$27+Inputs!$B$29,MAX(0,(Inputs!$B$3-100)*3)+Inputs!$B$28+Inputs!$B$29)))</f>
        <v/>
      </c>
      <c r="E1349">
        <f>INDEX(FactorTable!$B$2:$Y$301, MATCH(ROUND(MIN(300,MAX(1,D1349)),0), FactorTable!$A$2:$A$301,0), Skills!M30+1)</f>
        <v/>
      </c>
      <c r="F1349">
        <f>IF(Skills!N30=TRUE,(Skills!L30/10)*(E1349/1000),Skills!L30/10)+Skills!O30</f>
        <v/>
      </c>
      <c r="G1349">
        <f>Skills!G30*IF(Skills!H30&gt;0,INT(IF(Inputs!$B$38="pvp",MIN(Skills!I30,15),Skills!I30)/Skills!H30+0.000000001),1)</f>
        <v/>
      </c>
      <c r="H1349">
        <f>1-(1-Skills!J30/100)^Skills!K30</f>
        <v/>
      </c>
      <c r="I1349" t="inlineStr">
        <is>
          <t>1</t>
        </is>
      </c>
      <c r="J1349" t="inlineStr"/>
      <c r="K1349" t="inlineStr"/>
      <c r="L1349" t="inlineStr"/>
      <c r="M1349" t="inlineStr"/>
      <c r="N1349" t="inlineStr"/>
      <c r="O1349">
        <f>(1-Summary!$B$11)*T1349+Summary!$B$11*V1349</f>
        <v/>
      </c>
      <c r="P1349">
        <f>IF(B1364=0,0,O1349/B1364)</f>
        <v/>
      </c>
      <c r="Q1349" t="n">
        <v>0</v>
      </c>
      <c r="R1349" t="n">
        <v>0</v>
      </c>
      <c r="S1349">
        <f>IFERROR(O1349/N1349,0)</f>
        <v/>
      </c>
      <c r="T1349" t="n">
        <v>0</v>
      </c>
      <c r="V1349" t="n">
        <v>0</v>
      </c>
    </row>
    <row r="1350">
      <c r="A1350">
        <f>Skills!A31</f>
        <v/>
      </c>
      <c r="B1350">
        <f>Skills!B31</f>
        <v/>
      </c>
      <c r="C1350">
        <f>Inputs!$B$3&gt;=120</f>
        <v/>
      </c>
      <c r="D1350">
        <f>IF(Skills!C31=1,60+Inputs!$B$25+Inputs!$B$29,IF(Skills!C31=2,90+Inputs!$B$26+Inputs!$B$29,IF(Skills!C31=3,120+Inputs!$B$27+Inputs!$B$29,MAX(0,(Inputs!$B$3-100)*3)+Inputs!$B$28+Inputs!$B$29)))</f>
        <v/>
      </c>
      <c r="E1350">
        <f>INDEX(FactorTable!$B$2:$Y$301, MATCH(ROUND(MIN(300,MAX(1,D1350)),0), FactorTable!$A$2:$A$301,0), Skills!M31+1)</f>
        <v/>
      </c>
      <c r="F1350">
        <f>IF(Skills!N31=TRUE,(Skills!L31/10)*(E1350/1000),Skills!L31/10)+Skills!O31</f>
        <v/>
      </c>
      <c r="G1350">
        <f>Skills!G31*IF(Skills!H31&gt;0,INT(IF(Inputs!$B$38="pvp",MIN(Skills!I31,15),Skills!I31)/Skills!H31+0.000000001),1)</f>
        <v/>
      </c>
      <c r="H1350">
        <f>1-(1-Skills!J31/100)^Skills!K31</f>
        <v/>
      </c>
      <c r="I1350" t="inlineStr">
        <is>
          <t>1</t>
        </is>
      </c>
      <c r="J1350" t="inlineStr"/>
      <c r="K1350" t="inlineStr"/>
      <c r="L1350" t="inlineStr"/>
      <c r="M1350" t="inlineStr"/>
      <c r="N1350" t="inlineStr"/>
      <c r="O1350">
        <f>(1-Summary!$B$11)*T1350+Summary!$B$11*V1350</f>
        <v/>
      </c>
      <c r="P1350">
        <f>IF(B1364=0,0,O1350/B1364)</f>
        <v/>
      </c>
      <c r="Q1350" t="n">
        <v>0</v>
      </c>
      <c r="R1350" t="n">
        <v>0</v>
      </c>
      <c r="S1350">
        <f>IFERROR(O1350/N1350,0)</f>
        <v/>
      </c>
      <c r="T1350" t="n">
        <v>0</v>
      </c>
      <c r="V1350" t="n">
        <v>0</v>
      </c>
    </row>
    <row r="1351">
      <c r="A1351">
        <f>Skills!A32</f>
        <v/>
      </c>
      <c r="B1351">
        <f>Skills!B32</f>
        <v/>
      </c>
      <c r="C1351">
        <f>Inputs!$B$3&gt;=45</f>
        <v/>
      </c>
      <c r="D1351">
        <f>IF(Skills!C32=1,60+Inputs!$B$25+Inputs!$B$29,IF(Skills!C32=2,90+Inputs!$B$26+Inputs!$B$29,IF(Skills!C32=3,120+Inputs!$B$27+Inputs!$B$29,MAX(0,(Inputs!$B$3-100)*3)+Inputs!$B$28+Inputs!$B$29)))</f>
        <v/>
      </c>
      <c r="E1351">
        <f>INDEX(FactorTable!$B$2:$Y$301, MATCH(ROUND(MIN(300,MAX(1,D1351)),0), FactorTable!$A$2:$A$301,0), Skills!M32+1)</f>
        <v/>
      </c>
      <c r="F1351">
        <f>IF(Skills!N32=TRUE,(Skills!L32/10)*(E1351/1000),Skills!L32/10)+Skills!O32</f>
        <v/>
      </c>
      <c r="G1351">
        <f>Skills!G32*IF(Skills!H32&gt;0,INT(IF(Inputs!$B$38="pvp",MIN(Skills!I32,15),Skills!I32)/Skills!H32+0.000000001),1)</f>
        <v/>
      </c>
      <c r="H1351">
        <f>1-(1-Skills!J32/100)^Skills!K32</f>
        <v/>
      </c>
      <c r="I1351" t="inlineStr">
        <is>
          <t>1</t>
        </is>
      </c>
      <c r="J1351" t="inlineStr"/>
      <c r="K1351" t="inlineStr"/>
      <c r="L1351" t="inlineStr"/>
      <c r="M1351" t="inlineStr"/>
      <c r="N1351" t="inlineStr"/>
      <c r="O1351">
        <f>(1-Summary!$B$11)*T1351+Summary!$B$11*V1351</f>
        <v/>
      </c>
      <c r="P1351">
        <f>IF(B1364=0,0,O1351/B1364)</f>
        <v/>
      </c>
      <c r="Q1351" t="n">
        <v>0</v>
      </c>
      <c r="R1351" t="n">
        <v>0</v>
      </c>
      <c r="S1351">
        <f>IFERROR(O1351/N1351,0)</f>
        <v/>
      </c>
      <c r="T1351" t="n">
        <v>0</v>
      </c>
      <c r="V1351" t="n">
        <v>0</v>
      </c>
    </row>
    <row r="1353">
      <c r="A1353" t="inlineStr">
        <is>
          <t>Attack% Bucket Multiplier</t>
        </is>
      </c>
      <c r="B1353">
        <f>(1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54">
      <c r="A1354" t="inlineStr">
        <is>
          <t>Global Crit Rate Bonus %</t>
        </is>
      </c>
      <c r="B1354" t="n">
        <v>0</v>
      </c>
    </row>
    <row r="1355">
      <c r="A1355" t="inlineStr">
        <is>
          <t>Attack Speed Buff Bonus %</t>
        </is>
      </c>
      <c r="B1355">
        <f>((C1340=TRUE)*F1340*IF(AND(Inputs!$B$38&lt;&gt;"pvp",Inputs!$B$43&gt;0),(((R1340-1)*MIN((Skills!T21*(1+Inputs!$B$34/100)),(1/Q1340))+MIN((Skills!T21*(1+Inputs!$B$34/100)),MAX(0,Inputs!$B$43-((R1340-1)*(1/Q1340)))))/Inputs!$B$43),IF(Inputs!$B$38="pvp",MIN((Skills!T21*(1+Inputs!$B$34/100)),15)/15,MIN(1,(Skills!T21*(1+Inputs!$B$34/100))/(1/Q1340)))))</f>
        <v/>
      </c>
    </row>
    <row r="1356">
      <c r="A1356" t="inlineStr">
        <is>
          <t>Actions Per Second</t>
        </is>
      </c>
      <c r="B1356">
        <f>1+MIN(150,150*(1-(1-(Inputs!$B$11+((C1342=TRUE)*(F1342-Calc!F23))+((C1343=TRUE)*(F1343-Calc!F24)))/150)*(1-B1355/150)))/100</f>
        <v/>
      </c>
    </row>
    <row r="1357">
      <c r="A1357" t="inlineStr">
        <is>
          <t>Skill + Buff Cast Rate</t>
        </is>
      </c>
      <c r="B1357">
        <f>IF(AND(Inputs!$B$38&lt;&gt;"pvp",Inputs!$B$43&gt;0),SUMPRODUCT((Skills!E2:E32=TRUE)*(C1321:C1351=TRUE)*R1321:R1351*Skills!F2:F32)/Inputs!$B$43,SUMPRODUCT((Skills!E2:E32=TRUE)*(C1321:C1351=TRUE)*Q1321:Q1351*Skills!F2:F32))</f>
        <v/>
      </c>
    </row>
    <row r="1358">
      <c r="A1358" t="inlineStr">
        <is>
          <t>Arrow Stream Casts Per Second</t>
        </is>
      </c>
      <c r="B1358">
        <f>MAX(0,B1356-B1357)</f>
        <v/>
      </c>
    </row>
    <row r="1359">
      <c r="A1359" t="inlineStr">
        <is>
          <t>Global Critical Damage Bonus % (Sharp Eyes + Concentration)</t>
        </is>
      </c>
      <c r="B1359">
        <f>(C1337=TRUE)*F1337*IF(AND(Inputs!$B$38&lt;&gt;"pvp",Inputs!$B$43&gt;0),(((R1337-1)*MIN((Skills!T18*(1+Inputs!$B$34/100)),(1/Q1337))+MIN((Skills!T18*(1+Inputs!$B$34/100)),MAX(0,Inputs!$B$43-((R1337-1)*(1/Q1337)))))/Inputs!$B$43),IF(Inputs!$B$38="pvp",MIN((Skills!T18*(1+Inputs!$B$34/100)),15)/15,MIN(1,(Skills!T18*(1+Inputs!$B$34/100))/(1/Q1337))))+(C1338=TRUE)*7*F1338</f>
        <v/>
      </c>
    </row>
    <row r="1360">
      <c r="A1360" t="inlineStr">
        <is>
          <t>Global Final Damage Bonus % (Mortal Blow)</t>
        </is>
      </c>
      <c r="B1360">
        <f>(C1339=TRUE)*F1339</f>
        <v/>
      </c>
    </row>
    <row r="1361">
      <c r="A1361" t="inlineStr">
        <is>
          <t>Buff-Casting Startup Delay (s, fixed-duration only)</t>
        </is>
      </c>
      <c r="B1361">
        <f>IF(AND(Inputs!$B$38&lt;&gt;"pvp",Inputs!$B$43&gt;0),SUMPRODUCT((Skills!T2:T32&gt;0)*(Skills!E2:E32=TRUE)*(C1321:C1351=TRUE))/B1356,0)</f>
        <v/>
      </c>
    </row>
    <row r="1362">
      <c r="A1362" t="inlineStr">
        <is>
          <t>Boss-Only Total DPS (this block's swept value)</t>
        </is>
      </c>
      <c r="B1362">
        <f>SUM(T1321:T1351)</f>
        <v/>
      </c>
    </row>
    <row r="1363">
      <c r="A1363" t="inlineStr">
        <is>
          <t>Normal-Only Total DPS (this block's swept value)</t>
        </is>
      </c>
      <c r="B1363">
        <f>SUM(V1321:V1351)</f>
        <v/>
      </c>
    </row>
    <row r="1364">
      <c r="A1364" s="6" t="inlineStr">
        <is>
          <t>TOTAL DPS</t>
        </is>
      </c>
      <c r="B1364" s="6">
        <f>SUM(O1321:O1351)</f>
        <v/>
      </c>
    </row>
    <row r="1367">
      <c r="A1367" s="6" t="inlineStr">
        <is>
          <t>Stat: Pig's Ribbon (Equip)</t>
        </is>
      </c>
    </row>
    <row r="1368">
      <c r="A1368" s="5" t="inlineStr">
        <is>
          <t>Key</t>
        </is>
      </c>
      <c r="B1368" s="5" t="inlineStr">
        <is>
          <t>Name</t>
        </is>
      </c>
      <c r="C1368" s="5" t="inlineStr">
        <is>
          <t>Unlocked</t>
        </is>
      </c>
      <c r="D1368" s="5" t="inlineStr">
        <is>
          <t>InputLevel</t>
        </is>
      </c>
      <c r="E1368" s="5" t="inlineStr">
        <is>
          <t>Factor</t>
        </is>
      </c>
      <c r="F1368" s="5" t="inlineStr">
        <is>
          <t>CoefficientPercent</t>
        </is>
      </c>
      <c r="G1368" s="5" t="inlineStr">
        <is>
          <t>EffectiveHits</t>
        </is>
      </c>
      <c r="H1368" s="5" t="inlineStr">
        <is>
          <t>ProcProbability</t>
        </is>
      </c>
      <c r="I1368" s="5" t="inlineStr">
        <is>
          <t>MapleHeroMultiplier</t>
        </is>
      </c>
      <c r="J1368" s="5" t="inlineStr">
        <is>
          <t>BaseDamage</t>
        </is>
      </c>
      <c r="K1368" s="5" t="inlineStr">
        <is>
          <t>BaseHitDamage</t>
        </is>
      </c>
      <c r="L1368" s="5" t="inlineStr">
        <is>
          <t>NonCritAvg</t>
        </is>
      </c>
      <c r="M1368" s="5" t="inlineStr">
        <is>
          <t>CritAvg</t>
        </is>
      </c>
      <c r="N1368" s="5" t="inlineStr">
        <is>
          <t>ExpectedDamage(perHit)</t>
        </is>
      </c>
      <c r="O1368" s="5" t="inlineStr">
        <is>
          <t>DPS</t>
        </is>
      </c>
      <c r="P1368" s="5" t="inlineStr">
        <is>
          <t>% of Total</t>
        </is>
      </c>
      <c r="Q1368" s="5" t="inlineStr">
        <is>
          <t>InvCooldown</t>
        </is>
      </c>
      <c r="R1368" s="5" t="inlineStr">
        <is>
          <t>CastsInFight</t>
        </is>
      </c>
      <c r="S1368" s="5" t="inlineStr">
        <is>
          <t>HitRate(perSec)</t>
        </is>
      </c>
      <c r="U1368" t="inlineStr">
        <is>
          <t>helpers</t>
        </is>
      </c>
    </row>
    <row r="1369">
      <c r="A1369">
        <f>Skills!A2</f>
        <v/>
      </c>
      <c r="B1369">
        <f>Skills!B2</f>
        <v/>
      </c>
      <c r="C1369">
        <f>Inputs!$B$3&gt;=100</f>
        <v/>
      </c>
      <c r="D1369" t="inlineStr"/>
      <c r="E1369" t="inlineStr"/>
      <c r="F1369">
        <f>U1371+Skills!O2</f>
        <v/>
      </c>
      <c r="G1369">
        <f>Skills!G2*IF(Skills!H2&gt;0,INT(IF(Inputs!$B$38="pvp",MIN(Skills!I2,15),Skills!I2)/Skills!H2+0.000000001),1)</f>
        <v/>
      </c>
      <c r="H1369">
        <f>1-(1-Skills!J2/100)^Skills!K2</f>
        <v/>
      </c>
      <c r="I1369" t="inlineStr">
        <is>
          <t>1</t>
        </is>
      </c>
      <c r="J1369">
        <f>((Inputs!$B$6*(1+Inputs!$B$7/100))+(((Inputs!$B$12*(1+Inputs!$B$13/100))-(Inputs!$B$12*(1+Inputs!$B$13/100)))+0.25*(Inputs!$B$14-Inputs!$B$14))*(1+Inputs!$B$7/100))*(F1369/100)</f>
        <v/>
      </c>
      <c r="K1369">
        <f>J1369*(1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1393=TRUE)*(F1393-Calc!F26)),(Inputs!$B$23+((C1398=TRUE)*(F1398-Calc!F31))+(IF(ArtifactsInput!$M$15,CHOOSE(ArtifactsInput!$N$15+1,25,30,35,40,45,50)/100*(Inputs!$B$11-Inputs!$B$11),0))))/100+(Inputs!$B$23+((C1398=TRUE)*(F1398-Calc!F31))+(IF(ArtifactsInput!$M$15,CHOOSE(ArtifactsInput!$N$15+1,25,30,35,40,45,50)/100*(Inputs!$B$11-Inputs!$B$11),0)))/100)/2</f>
        <v/>
      </c>
      <c r="M1369">
        <f>L1369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IF(B1412=0,0,O1369/B1412)</f>
        <v/>
      </c>
      <c r="Q1369" t="n">
        <v>0</v>
      </c>
      <c r="R1369" t="n">
        <v>0</v>
      </c>
      <c r="S1369">
        <f>IFERROR(O1369/N1369,0)</f>
        <v/>
      </c>
      <c r="T1369">
        <f>IF(C1369,(Skills!G2*N1369*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9">
        <f>MAX(0,(Inputs!$B$3-100)*3)+Inputs!$B$28+Inputs!$B$29</f>
        <v/>
      </c>
      <c r="V1369">
        <f>IF(C1369,(Skills!G2*N1369*B1406)*IF(Inputs!$B$38="pvp",1,(1+(Inputs!$B$21+Skills!Q2+(IF(ArtifactsInput!$M$33,CHOOSE(ArtifactsInput!$N$33+1,30,36,42,48,54,60),0))+(IF(AND(ArtifactsInput!$M$35,Inputs!$B$4&lt;&gt;"Chapter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f>Skills!G3*IF(Skills!H3&gt;0,INT(IF(Inputs!$B$38="pvp",MIN(Skills!I3,15),Skills!I3)/Skills!H3+0.000000001),1)</f>
        <v/>
      </c>
      <c r="H1370">
        <f>1-(1-Skills!J3/100)^Skills!K3</f>
        <v/>
      </c>
      <c r="I1370" t="inlineStr">
        <is>
          <t>1</t>
        </is>
      </c>
      <c r="J1370">
        <f>((Inputs!$B$6*(1+Inputs!$B$7/100))+(((Inputs!$B$12*(1+Inputs!$B$13/100))-(Inputs!$B$12*(1+Inputs!$B$13/100)))+0.25*(Inputs!$B$14-Inputs!$B$14))*(1+Inputs!$B$7/100))*(F1370/100)</f>
        <v/>
      </c>
      <c r="K1370">
        <f>J1370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1371=TRUE,F1371,0)/100)*(1+(IF(Skills!A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1393=TRUE)*(F1393-Calc!F26)),(Inputs!$B$23+((C1398=TRUE)*(F1398-Calc!F31))+(IF(ArtifactsInput!$M$15,CHOOSE(ArtifactsInput!$N$15+1,25,30,35,40,45,50)/100*(Inputs!$B$11-Inputs!$B$11),0))))/100+(Inputs!$B$23+((C1398=TRUE)*(F1398-Calc!F31))+(IF(ArtifactsInput!$M$15,CHOOSE(ArtifactsInput!$N$15+1,25,30,35,40,45,50)/100*(Inputs!$B$11-Inputs!$B$11),0)))/100)/2</f>
        <v/>
      </c>
      <c r="M1370">
        <f>L1370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IF(B1412=0,0,O1370/B1412)</f>
        <v/>
      </c>
      <c r="Q1370">
        <f>IFERROR(1/(IF(Inputs!$B$38="pvp",15,MAX(0.1,1/B1404-IF(FALSE=TRUE,Inputs!$B$32,0)))*(1-IF(AND(ArtifactsInput!$M$27,Inputs!$B$4="Chapter Hunt"),CHOOSE(ArtifactsInput!$N$27+1,20,24,28,32,36,40),0)/100)),0)</f>
        <v/>
      </c>
      <c r="R1370">
        <f>IF(AND(Inputs!$B$38&lt;&gt;"pvp",Inputs!$B$43&gt;0),IF(MAX(0,Inputs!$B$43-B1409)&lt;=0,0,(INT(MAX(0,Inputs!$B$43-B1409)/(IF(Inputs!$B$38="pvp",15,MAX(0.1,1/B1404-IF(FALSE=TRUE,Inputs!$B$32,0)))*(1-IF(AND(ArtifactsInput!$M$27,Inputs!$B$4="Chapter Hunt"),CHOOSE(ArtifactsInput!$N$27+1,20,24,28,32,36,40),0)/100)))+1)),0)</f>
        <v/>
      </c>
      <c r="S1370">
        <f>IFERROR(O1370/N1370,0)</f>
        <v/>
      </c>
      <c r="T1370">
        <f>IF(C1370,(H1370*N1370*IF(AND(Inputs!$B$38&lt;&gt;"pvp",Inputs!$B$43&gt;0),((Skills!G3*((R1370-1)*IF(Skills!H3&gt;0,INT(Skills!I3/Skills!H3+0.000000001),1)+IF(Skills!H3&gt;0,INT(MIN(Skills!I3,MAX(0,MAX(0,Inputs!$B$43-B1409)-((R1370-1)*(IF(Inputs!$B$38="pvp",15,MAX(0.1,1/B1404-IF(FALSE=TRUE,Inputs!$B$32,0)))*(1-IF(AND(ArtifactsInput!$M$27,Inputs!$B$4="Chapter Hunt"),CHOOSE(ArtifactsInput!$N$27+1,20,24,28,32,36,40),0)/100)))))/Skills!H3+0.000000001),1)))/Inputs!$B$43),G1370*Q1370)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INDEX(FactorTable!$B$2:$Y$301, MATCH(ROUND(MIN(300,MAX(1,U1369)),0), FactorTable!$A$2:$A$301,0), 22)</f>
        <v/>
      </c>
      <c r="V1370">
        <f>IF(C1370,(H1370*N1370*IF(AND(Inputs!$B$38&lt;&gt;"pvp",Inputs!$B$43&gt;0),((Skills!G3*((R1370-1)*IF(Skills!H3&gt;0,INT(Skills!I3/Skills!H3+0.000000001),1)+IF(Skills!H3&gt;0,INT(MIN(Skills!I3,MAX(0,MAX(0,Inputs!$B$43-B1409)-((R1370-1)*(IF(Inputs!$B$38="pvp",15,MAX(0.1,1/B1404-IF(FALSE=TRUE,Inputs!$B$32,0)))*(1-IF(AND(ArtifactsInput!$M$27,Inputs!$B$4="Chapter Hunt"),CHOOSE(ArtifactsInput!$N$27+1,20,24,28,32,36,40),0)/100)))))/Skills!H3+0.000000001),1)))/Inputs!$B$43),G1370*Q1370))*IF(Inputs!$B$38="pvp",1,(1+(Inputs!$B$21+Skills!Q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Skills!A4</f>
        <v/>
      </c>
      <c r="B1371">
        <f>Skills!B4</f>
        <v/>
      </c>
      <c r="C1371">
        <f>Inputs!$B$3&gt;=105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T1371" t="inlineStr"/>
      <c r="U1371">
        <f>290*U1370/1000</f>
        <v/>
      </c>
      <c r="V1371" t="inlineStr"/>
    </row>
    <row r="1372">
      <c r="A1372">
        <f>Skills!A5</f>
        <v/>
      </c>
      <c r="B1372">
        <f>Skills!B5</f>
        <v/>
      </c>
      <c r="C1372">
        <f>Inputs!$B$3&gt;=35</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Skills!G5*IF(Skills!H5&gt;0,INT(IF(Inputs!$B$38="pvp",MIN(Skills!I5,15),Skills!I5)/Skills!H5+0.000000001),1)</f>
        <v/>
      </c>
      <c r="H1372">
        <f>1-(1-Skills!J5/100)^Skills!K5</f>
        <v/>
      </c>
      <c r="I1372" t="inlineStr">
        <is>
          <t>1</t>
        </is>
      </c>
      <c r="J1372">
        <f>((Inputs!$B$6*(1+Inputs!$B$7/100))+(((Inputs!$B$12*(1+Inputs!$B$13/100))-(Inputs!$B$12*(1+Inputs!$B$13/100)))+0.25*(Inputs!$B$14-Inputs!$B$14))*(1+Inputs!$B$7/100))*(F1372/100)</f>
        <v/>
      </c>
      <c r="K1372">
        <f>J1372*(1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1379=TRUE,F1379,0)/100)*(1+(IF(Skills!A5="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1393=TRUE)*(F1393-Calc!F26)),(Inputs!$B$23+((C1398=TRUE)*(F1398-Calc!F31))+(IF(ArtifactsInput!$M$15,CHOOSE(ArtifactsInput!$N$15+1,25,30,35,40,45,50)/100*(Inputs!$B$11-Inputs!$B$11),0))))/100+(Inputs!$B$23+((C1398=TRUE)*(F1398-Calc!F31))+(IF(ArtifactsInput!$M$15,CHOOSE(ArtifactsInput!$N$15+1,25,30,35,40,45,50)/100*(Inputs!$B$11-Inputs!$B$11),0)))/100)/2</f>
        <v/>
      </c>
      <c r="M1372">
        <f>L1372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IF(B1412=0,0,O1372/B1412)</f>
        <v/>
      </c>
      <c r="Q1372">
        <f>IFERROR(1/(IF(Inputs!$B$38="pvp",15,MAX(0.1,Skills!D5-IF(TRUE=TRUE,Inputs!$B$32,0)))*(1-IF(AND(ArtifactsInput!$M$27,Inputs!$B$4="Chapter Hunt"),CHOOSE(ArtifactsInput!$N$27+1,20,24,28,32,36,40),0)/100)),0)</f>
        <v/>
      </c>
      <c r="R1372">
        <f>IF(AND(Inputs!$B$38&lt;&gt;"pvp",Inputs!$B$43&gt;0),IF(MAX(0,Inputs!$B$43-B1409)&lt;=0,0,(INT(MAX(0,Inputs!$B$43-B1409)/(IF(Inputs!$B$38="pvp",15,MAX(0.1,Skills!D5-IF(TRUE=TRUE,Inputs!$B$32,0)))*(1-IF(AND(ArtifactsInput!$M$27,Inputs!$B$4="Chapter Hunt"),CHOOSE(ArtifactsInput!$N$27+1,20,24,28,32,36,40),0)/100)))+1)),0)</f>
        <v/>
      </c>
      <c r="S1372">
        <f>IFERROR(O1372/N1372,0)</f>
        <v/>
      </c>
      <c r="T1372">
        <f>IF(C1372,(H1372*N1372*IF(AND(Inputs!$B$38&lt;&gt;"pvp",Inputs!$B$43&gt;0),((Skills!G5*((R1372-1)*IF(Skills!H5&gt;0,INT(Skills!I5/Skills!H5+0.000000001),1)+IF(Skills!H5&gt;0,INT(MIN(Skills!I5,MAX(0,MAX(0,Inputs!$B$43-B1409)-((R1372-1)*(IF(Inputs!$B$38="pvp",15,MAX(0.1,Skills!D5-IF(TRUE=TRUE,Inputs!$B$32,0)))*(1-IF(AND(ArtifactsInput!$M$27,Inputs!$B$4="Chapter Hunt"),CHOOSE(ArtifactsInput!$N$27+1,20,24,28,32,36,40),0)/100)))))/Skills!H5+0.000000001),1)))/Inputs!$B$43),G1372*Q1372)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5*((R1372-1)*IF(Skills!H5&gt;0,INT(Skills!I5/Skills!H5+0.000000001),1)+IF(Skills!H5&gt;0,INT(MIN(Skills!I5,MAX(0,MAX(0,Inputs!$B$43-B1409)-((R1372-1)*(IF(Inputs!$B$38="pvp",15,MAX(0.1,Skills!D5-IF(TRUE=TRUE,Inputs!$B$32,0)))*(1-IF(AND(ArtifactsInput!$M$27,Inputs!$B$4="Chapter Hunt"),CHOOSE(ArtifactsInput!$N$27+1,20,24,28,32,36,40),0)/100)))))/Skills!H5+0.000000001),1)))/Inputs!$B$43),G1372*Q1372))*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Skills!A6</f>
        <v/>
      </c>
      <c r="B1373">
        <f>Skills!B6</f>
        <v/>
      </c>
      <c r="C1373">
        <f>Inputs!$B$3&gt;=40</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Skills!G6*IF(Skills!H6&gt;0,INT(IF(Inputs!$B$38="pvp",MIN(Skills!I6,15),Skills!I6)/Skills!H6+0.000000001),1)</f>
        <v/>
      </c>
      <c r="H1373">
        <f>1-(1-Skills!J6/100)^Skills!K6</f>
        <v/>
      </c>
      <c r="I1373" t="inlineStr">
        <is>
          <t>1</t>
        </is>
      </c>
      <c r="J1373">
        <f>((Inputs!$B$6*(1+Inputs!$B$7/100))+(((Inputs!$B$12*(1+Inputs!$B$13/100))-(Inputs!$B$12*(1+Inputs!$B$13/100)))+0.25*(Inputs!$B$14-Inputs!$B$14))*(1+Inputs!$B$7/100))*(F1373/100)</f>
        <v/>
      </c>
      <c r="K1373">
        <f>J1373*(1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1374=TRUE,F1374,0)/100)*(1+(IF(Skills!A6="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1393=TRUE)*(F1393-Calc!F26)),(Inputs!$B$23+((C1398=TRUE)*(F1398-Calc!F31))+(IF(ArtifactsInput!$M$15,CHOOSE(ArtifactsInput!$N$15+1,25,30,35,40,45,50)/100*(Inputs!$B$11-Inputs!$B$11),0))))/100+(Inputs!$B$23+((C1398=TRUE)*(F1398-Calc!F31))+(IF(ArtifactsInput!$M$15,CHOOSE(ArtifactsInput!$N$15+1,25,30,35,40,45,50)/100*(Inputs!$B$11-Inputs!$B$11),0)))/100)/2</f>
        <v/>
      </c>
      <c r="M1373">
        <f>L1373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IF(B1412=0,0,O1373/B1412)</f>
        <v/>
      </c>
      <c r="Q1373">
        <f>IFERROR(1/(IF(Inputs!$B$38="pvp",15,MAX(0.1,1-0.4*MIN(1,(B1404-1)/1.5)-IF(FALSE=TRUE,Inputs!$B$32,0)))*(1-IF(AND(ArtifactsInput!$M$27,Inputs!$B$4="Chapter Hunt"),CHOOSE(ArtifactsInput!$N$27+1,20,24,28,32,36,40),0)/100)),0)</f>
        <v/>
      </c>
      <c r="R1373">
        <f>IF(AND(Inputs!$B$38&lt;&gt;"pvp",Inputs!$B$43&gt;0),IF(MAX(0,Inputs!$B$43-B1409)&lt;=0,0,(INT(MAX(0,Inputs!$B$43-B1409)/(IF(Inputs!$B$38="pvp",15,MAX(0.1,1-0.4*MIN(1,(B1404-1)/1.5)-IF(FALSE=TRUE,Inputs!$B$32,0)))*(1-IF(AND(ArtifactsInput!$M$27,Inputs!$B$4="Chapter Hunt"),CHOOSE(ArtifactsInput!$N$27+1,20,24,28,32,36,40),0)/100)))+1)),0)</f>
        <v/>
      </c>
      <c r="S1373">
        <f>IFERROR(O1373/N1373,0)</f>
        <v/>
      </c>
      <c r="T1373">
        <f>IF(C1373,(H1373*N1373*IF(AND(Inputs!$B$38&lt;&gt;"pvp",Inputs!$B$43&gt;0),((Skills!G6*((R1373-1)*IF(Skills!H6&gt;0,INT(Skills!I6/Skills!H6+0.000000001),1)+IF(Skills!H6&gt;0,INT(MIN(Skills!I6,MAX(0,MAX(0,Inputs!$B$43-B1409)-((R1373-1)*(IF(Inputs!$B$38="pvp",15,MAX(0.1,1-0.4*MIN(1,(B1404-1)/1.5)-IF(FALSE=TRUE,Inputs!$B$32,0)))*(1-IF(AND(ArtifactsInput!$M$27,Inputs!$B$4="Chapter Hunt"),CHOOSE(ArtifactsInput!$N$27+1,20,24,28,32,36,40),0)/100)))))/Skills!H6+0.000000001),1)))/Inputs!$B$43),G1373*Q1373)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6*((R1373-1)*IF(Skills!H6&gt;0,INT(Skills!I6/Skills!H6+0.000000001),1)+IF(Skills!H6&gt;0,INT(MIN(Skills!I6,MAX(0,MAX(0,Inputs!$B$43-B1409)-((R1373-1)*(IF(Inputs!$B$38="pvp",15,MAX(0.1,1-0.4*MIN(1,(B1404-1)/1.5)-IF(FALSE=TRUE,Inputs!$B$32,0)))*(1-IF(AND(ArtifactsInput!$M$27,Inputs!$B$4="Chapter Hunt"),CHOOSE(ArtifactsInput!$N$27+1,20,24,28,32,36,40),0)/100)))))/Skills!H6+0.000000001),1)))/Inputs!$B$43),G1373*Q1373))*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t="inlineStr"/>
      <c r="H1374" t="inlineStr"/>
      <c r="I1374" t="inlineStr">
        <is>
          <t>1</t>
        </is>
      </c>
      <c r="J1374" t="inlineStr"/>
      <c r="K1374" t="inlineStr"/>
      <c r="L1374" t="inlineStr"/>
      <c r="M1374" t="inlineStr"/>
      <c r="N1374" t="inlineStr"/>
      <c r="O1374" t="inlineStr"/>
      <c r="P1374" t="inlineStr"/>
      <c r="Q1374" t="inlineStr"/>
      <c r="R1374" t="inlineStr"/>
      <c r="S1374" t="inlineStr"/>
      <c r="T1374" t="inlineStr"/>
      <c r="V1374" t="inlineStr"/>
    </row>
    <row r="1375">
      <c r="A1375">
        <f>Skills!A8</f>
        <v/>
      </c>
      <c r="B1375">
        <f>Skills!B8</f>
        <v/>
      </c>
      <c r="C1375">
        <f>Inputs!$B$3&gt;=130</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Skills!G8*IF(Skills!H8&gt;0,INT(IF(Inputs!$B$38="pvp",MIN(Skills!I8,15),Skills!I8)/Skills!H8+0.000000001),1)</f>
        <v/>
      </c>
      <c r="H1375">
        <f>1-(1-Skills!J8/100)^Skills!K8</f>
        <v/>
      </c>
      <c r="I1375" t="inlineStr">
        <is>
          <t>1</t>
        </is>
      </c>
      <c r="J1375">
        <f>((Inputs!$B$6*(1+Inputs!$B$7/100))+(((Inputs!$B$12*(1+Inputs!$B$13/100))-(Inputs!$B$12*(1+Inputs!$B$13/100)))+0.25*(Inputs!$B$14-Inputs!$B$14))*(1+Inputs!$B$7/100))*(F1375/100)</f>
        <v/>
      </c>
      <c r="K1375">
        <f>J1375*(1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1393=TRUE)*(F1393-Calc!F26)),(Inputs!$B$23+((C1398=TRUE)*(F1398-Calc!F31))+(IF(ArtifactsInput!$M$15,CHOOSE(ArtifactsInput!$N$15+1,25,30,35,40,45,50)/100*(Inputs!$B$11-Inputs!$B$11),0))))/100+(Inputs!$B$23+((C1398=TRUE)*(F1398-Calc!F31))+(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f>IFERROR(1/(IF(Inputs!$B$38="pvp",15,MAX(0.1,1-0.4*MIN(1,(B1404-1)/1.5)-IF(FALSE=TRUE,Inputs!$B$32,0)))*(1-IF(AND(ArtifactsInput!$M$27,Inputs!$B$4="Chapter Hunt"),CHOOSE(ArtifactsInput!$N$27+1,20,24,28,32,36,40),0)/100)),0)</f>
        <v/>
      </c>
      <c r="R1375">
        <f>IF(AND(Inputs!$B$38&lt;&gt;"pvp",Inputs!$B$43&gt;0),IF(MAX(0,Inputs!$B$43-B1409)&lt;=0,0,(INT(MAX(0,Inputs!$B$43-B1409)/(IF(Inputs!$B$38="pvp",15,MAX(0.1,1-0.4*MIN(1,(B1404-1)/1.5)-IF(FALSE=TRUE,Inputs!$B$32,0)))*(1-IF(AND(ArtifactsInput!$M$27,Inputs!$B$4="Chapter Hunt"),CHOOSE(ArtifactsInput!$N$27+1,20,24,28,32,36,40),0)/100)))+1)),0)</f>
        <v/>
      </c>
      <c r="S1375">
        <f>IFERROR(O1375/N1375,0)</f>
        <v/>
      </c>
      <c r="T1375">
        <f>IF(C1375,(H1375*N1375*IF(AND(Inputs!$B$38&lt;&gt;"pvp",Inputs!$B$43&gt;0),((Skills!G8*((R1375-1)*IF(Skills!H8&gt;0,INT(Skills!I8/Skills!H8+0.000000001),1)+IF(Skills!H8&gt;0,INT(MIN(Skills!I8,MAX(0,MAX(0,Inputs!$B$43-B1409)-((R1375-1)*(IF(Inputs!$B$38="pvp",15,MAX(0.1,1-0.4*MIN(1,(B1404-1)/1.5)-IF(FALSE=TRUE,Inputs!$B$32,0)))*(1-IF(AND(ArtifactsInput!$M$27,Inputs!$B$4="Chapter Hunt"),CHOOSE(ArtifactsInput!$N$27+1,20,24,28,32,36,40),0)/100)))))/Skills!H8+0.000000001),1)))/Inputs!$B$43),G1375*Q1375)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IF(AND(Inputs!$B$38&lt;&gt;"pvp",Inputs!$B$43&gt;0),((Skills!G8*((R1375-1)*IF(Skills!H8&gt;0,INT(Skills!I8/Skills!H8+0.000000001),1)+IF(Skills!H8&gt;0,INT(MIN(Skills!I8,MAX(0,MAX(0,Inputs!$B$43-B1409)-((R1375-1)*(IF(Inputs!$B$38="pvp",15,MAX(0.1,1-0.4*MIN(1,(B1404-1)/1.5)-IF(FALSE=TRUE,Inputs!$B$32,0)))*(1-IF(AND(ArtifactsInput!$M$27,Inputs!$B$4="Chapter Hunt"),CHOOSE(ArtifactsInput!$N$27+1,20,24,28,32,36,40),0)/100)))))/Skills!H8+0.000000001),1)))/Inputs!$B$43),G1375*Q1375))*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Skills!A9</f>
        <v/>
      </c>
      <c r="B1376">
        <f>Skills!B9</f>
        <v/>
      </c>
      <c r="C1376">
        <f>Inputs!$B$3&gt;=69</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Skills!G9*IF(Skills!H9&gt;0,INT(IF(Inputs!$B$38="pvp",MIN(Skills!I9,15),Skills!I9)/Skills!H9+0.000000001),1)</f>
        <v/>
      </c>
      <c r="H1376">
        <f>1-(1-Skills!J9/100)^Skills!K9</f>
        <v/>
      </c>
      <c r="I1376" t="inlineStr">
        <is>
          <t>1</t>
        </is>
      </c>
      <c r="J1376">
        <f>((Inputs!$B$6*(1+Inputs!$B$7/100))+(((Inputs!$B$12*(1+Inputs!$B$13/100))-(Inputs!$B$12*(1+Inputs!$B$13/100)))+0.25*(Inputs!$B$14-Inputs!$B$14))*(1+Inputs!$B$7/100))*(F1376/100)</f>
        <v/>
      </c>
      <c r="K1376">
        <f>J1376*(1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1379=TRUE,F1379,0)/100)*(1+(IF(Skills!A9="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1376)</f>
        <v/>
      </c>
      <c r="L1376">
        <f>K1376*(MIN(Inputs!$B$22+((C1393=TRUE)*(F1393-Calc!F26)),(Inputs!$B$23+((C1398=TRUE)*(F1398-Calc!F31))+(IF(ArtifactsInput!$M$15,CHOOSE(ArtifactsInput!$N$15+1,25,30,35,40,45,50)/100*(Inputs!$B$11-Inputs!$B$11),0))))/100+(Inputs!$B$23+((C1398=TRUE)*(F1398-Calc!F31))+(IF(ArtifactsInput!$M$15,CHOOSE(ArtifactsInput!$N$15+1,25,30,35,40,45,50)/100*(Inputs!$B$11-Inputs!$B$11),0)))/100)/2</f>
        <v/>
      </c>
      <c r="M1376">
        <f>L1376*(1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6">
        <f>L1376*(1-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1376*(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6">
        <f>(1-Summary!$B$11)*T1376+Summary!$B$11*V1376</f>
        <v/>
      </c>
      <c r="P1376">
        <f>IF(B1412=0,0,O1376/B1412)</f>
        <v/>
      </c>
      <c r="Q1376">
        <f>IFERROR(1/(IF(Inputs!$B$38="pvp",15,MAX(0.1,Skills!D9-IF(TRUE=TRUE,Inputs!$B$32,0)))*(1-IF(AND(ArtifactsInput!$M$27,Inputs!$B$4="Chapter Hunt"),CHOOSE(ArtifactsInput!$N$27+1,20,24,28,32,36,40),0)/100)),0)</f>
        <v/>
      </c>
      <c r="R1376">
        <f>IF(AND(Inputs!$B$38&lt;&gt;"pvp",Inputs!$B$43&gt;0),IF(MAX(0,Inputs!$B$43-B1409)&lt;=0,0,(INT(MAX(0,Inputs!$B$43-B1409)/(IF(Inputs!$B$38="pvp",15,MAX(0.1,Skills!D9-IF(TRUE=TRUE,Inputs!$B$32,0)))*(1-IF(AND(ArtifactsInput!$M$27,Inputs!$B$4="Chapter Hunt"),CHOOSE(ArtifactsInput!$N$27+1,20,24,28,32,36,40),0)/100)))+1)),0)</f>
        <v/>
      </c>
      <c r="S1376">
        <f>IFERROR(O1376/N1376,0)</f>
        <v/>
      </c>
      <c r="T1376">
        <f>IF(C1376,(H1376*N1376*IF(AND(Inputs!$B$38&lt;&gt;"pvp",Inputs!$B$43&gt;0),((Skills!G9*((R1376-1)*IF(Skills!H9&gt;0,INT(Skills!I9/Skills!H9+0.000000001),1)+IF(Skills!H9&gt;0,INT(MIN(Skills!I9,MAX(0,MAX(0,Inputs!$B$43-B1409)-((R1376-1)*(IF(Inputs!$B$38="pvp",15,MAX(0.1,Skills!D9-IF(TRUE=TRUE,Inputs!$B$32,0)))*(1-IF(AND(ArtifactsInput!$M$27,Inputs!$B$4="Chapter Hunt"),CHOOSE(ArtifactsInput!$N$27+1,20,24,28,32,36,40),0)/100)))))/Skills!H9+0.000000001),1)))/Inputs!$B$43),G1376*Q1376)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6">
        <f>IF(C1376,(H1376*N1376*IF(AND(Inputs!$B$38&lt;&gt;"pvp",Inputs!$B$43&gt;0),((Skills!G9*((R1376-1)*IF(Skills!H9&gt;0,INT(Skills!I9/Skills!H9+0.000000001),1)+IF(Skills!H9&gt;0,INT(MIN(Skills!I9,MAX(0,MAX(0,Inputs!$B$43-B1409)-((R1376-1)*(IF(Inputs!$B$38="pvp",15,MAX(0.1,Skills!D9-IF(TRUE=TRUE,Inputs!$B$32,0)))*(1-IF(AND(ArtifactsInput!$M$27,Inputs!$B$4="Chapter Hunt"),CHOOSE(ArtifactsInput!$N$27+1,20,24,28,32,36,40),0)/100)))))/Skills!H9+0.000000001),1)))/Inputs!$B$43),G1376*Q1376))*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7">
      <c r="A1377">
        <f>Skills!A10</f>
        <v/>
      </c>
      <c r="B1377">
        <f>Skills!B10</f>
        <v/>
      </c>
      <c r="C1377">
        <f>Inputs!$B$3&gt;=63</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f>Skills!G10*IF(Skills!H10&gt;0,INT(IF(Inputs!$B$38="pvp",MIN(Skills!I10,15),Skills!I10)/Skills!H10+0.000000001),1)</f>
        <v/>
      </c>
      <c r="H1377">
        <f>1-(1-Skills!J10/100)^Skills!K10</f>
        <v/>
      </c>
      <c r="I1377" t="inlineStr">
        <is>
          <t>1</t>
        </is>
      </c>
      <c r="J1377">
        <f>((Inputs!$B$6*(1+Inputs!$B$7/100))+(((Inputs!$B$12*(1+Inputs!$B$13/100))-(Inputs!$B$12*(1+Inputs!$B$13/100)))+0.25*(Inputs!$B$14-Inputs!$B$14))*(1+Inputs!$B$7/100))*(F1377/100)</f>
        <v/>
      </c>
      <c r="K1377">
        <f>J1377*(1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1379=TRUE,F1379,0)/100)*(1+(IF(Skills!A10="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1393=TRUE)*(F1393-Calc!F26)),(Inputs!$B$23+((C1398=TRUE)*(F1398-Calc!F31))+(IF(ArtifactsInput!$M$15,CHOOSE(ArtifactsInput!$N$15+1,25,30,35,40,45,50)/100*(Inputs!$B$11-Inputs!$B$11),0))))/100+(Inputs!$B$23+((C1398=TRUE)*(F1398-Calc!F31))+(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IFERROR(1/(IF(Inputs!$B$38="pvp",15,MAX(0.1,Skills!D10-IF(TRUE=TRUE,Inputs!$B$32,0)))*(1-IF(AND(ArtifactsInput!$M$27,Inputs!$B$4="Chapter Hunt"),CHOOSE(ArtifactsInput!$N$27+1,20,24,28,32,36,40),0)/100)),0)</f>
        <v/>
      </c>
      <c r="R1377">
        <f>IF(AND(Inputs!$B$38&lt;&gt;"pvp",Inputs!$B$43&gt;0),IF(MAX(0,Inputs!$B$43-B1409)&lt;=0,0,(INT(MAX(0,Inputs!$B$43-B1409)/(IF(Inputs!$B$38="pvp",15,MAX(0.1,Skills!D10-IF(TRUE=TRUE,Inputs!$B$32,0)))*(1-IF(AND(ArtifactsInput!$M$27,Inputs!$B$4="Chapter Hunt"),CHOOSE(ArtifactsInput!$N$27+1,20,24,28,32,36,40),0)/100)))+1)),0)</f>
        <v/>
      </c>
      <c r="S1377">
        <f>IFERROR(O1377/N1377,0)</f>
        <v/>
      </c>
      <c r="T1377">
        <f>IF(C1377,(H1377*N1377*IF(AND(Inputs!$B$38&lt;&gt;"pvp",Inputs!$B$43&gt;0),((Skills!G10*((R1377-1)*IF(Skills!H10&gt;0,INT(Skills!I10/Skills!H10+0.000000001),1)+IF(Skills!H10&gt;0,INT(MIN(Skills!I10,MAX(0,MAX(0,Inputs!$B$43-B1409)-((R1377-1)*(IF(Inputs!$B$38="pvp",15,MAX(0.1,Skills!D10-IF(TRUE=TRUE,Inputs!$B$32,0)))*(1-IF(AND(ArtifactsInput!$M$27,Inputs!$B$4="Chapter Hunt"),CHOOSE(ArtifactsInput!$N$27+1,20,24,28,32,36,40),0)/100)))))/Skills!H10+0.000000001),1)))/Inputs!$B$43),G1377*Q1377)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7">
        <f>IF(C1377,(H1377*N1377*IF(AND(Inputs!$B$38&lt;&gt;"pvp",Inputs!$B$43&gt;0),((Skills!G10*((R1377-1)*IF(Skills!H10&gt;0,INT(Skills!I10/Skills!H10+0.000000001),1)+IF(Skills!H10&gt;0,INT(MIN(Skills!I10,MAX(0,MAX(0,Inputs!$B$43-B1409)-((R1377-1)*(IF(Inputs!$B$38="pvp",15,MAX(0.1,Skills!D10-IF(TRUE=TRUE,Inputs!$B$32,0)))*(1-IF(AND(ArtifactsInput!$M$27,Inputs!$B$4="Chapter Hunt"),CHOOSE(ArtifactsInput!$N$27+1,20,24,28,32,36,40),0)/100)))))/Skills!H10+0.000000001),1)))/Inputs!$B$43),G1377*Q1377))*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Skills!A11</f>
        <v/>
      </c>
      <c r="B1378">
        <f>Skills!B11</f>
        <v/>
      </c>
      <c r="C1378">
        <f>Inputs!$B$3&gt;=103</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Skills!G11*IF(Skills!H11&gt;0,INT(IF(Inputs!$B$38="pvp",MIN(Skills!I11,15),Skills!I11)/Skills!H11+0.000000001),1)</f>
        <v/>
      </c>
      <c r="H1378">
        <f>1-(1-Skills!J11/100)^Skills!K11</f>
        <v/>
      </c>
      <c r="I1378" t="inlineStr">
        <is>
          <t>1</t>
        </is>
      </c>
      <c r="J1378">
        <f>((Inputs!$B$6*(1+Inputs!$B$7/100))+(((Inputs!$B$12*(1+Inputs!$B$13/100))-(Inputs!$B$12*(1+Inputs!$B$13/100)))+0.25*(Inputs!$B$14-Inputs!$B$14))*(1+Inputs!$B$7/100))*(F1378/100)</f>
        <v/>
      </c>
      <c r="K1378">
        <f>J1378*(1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1393=TRUE)*(F1393-Calc!F26)),(Inputs!$B$23+((C1398=TRUE)*(F1398-Calc!F31))+(IF(ArtifactsInput!$M$15,CHOOSE(ArtifactsInput!$N$15+1,25,30,35,40,45,50)/100*(Inputs!$B$11-Inputs!$B$11),0))))/100+(Inputs!$B$23+((C1398=TRUE)*(F1398-Calc!F31))+(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IFERROR(1/(IF(Inputs!$B$38="pvp",15,MAX(0.1,Skills!D11-IF(TRUE=TRUE,Inputs!$B$32,0)))*(1-IF(AND(ArtifactsInput!$M$27,Inputs!$B$4="Chapter Hunt"),CHOOSE(ArtifactsInput!$N$27+1,20,24,28,32,36,40),0)/100)),0)</f>
        <v/>
      </c>
      <c r="R1378">
        <f>IF(AND(Inputs!$B$38&lt;&gt;"pvp",Inputs!$B$43&gt;0),IF(MAX(0,Inputs!$B$43-B1409)&lt;=0,0,(INT(MAX(0,Inputs!$B$43-B1409)/(IF(Inputs!$B$38="pvp",15,MAX(0.1,Skills!D11-IF(TRUE=TRUE,Inputs!$B$32,0)))*(1-IF(AND(ArtifactsInput!$M$27,Inputs!$B$4="Chapter Hunt"),CHOOSE(ArtifactsInput!$N$27+1,20,24,28,32,36,40),0)/100)))+1)),0)</f>
        <v/>
      </c>
      <c r="S1378">
        <f>IFERROR(O1378/N1378,0)</f>
        <v/>
      </c>
      <c r="T1378">
        <f>IF(C1378,(H1378*N1378*IF(AND(Inputs!$B$38&lt;&gt;"pvp",Inputs!$B$43&gt;0),((Skills!G11*((R1378-1)*IF(Skills!H11&gt;0,INT(Skills!I11/Skills!H11+0.000000001),1)+IF(Skills!H11&gt;0,INT(MIN(Skills!I11,MAX(0,MAX(0,Inputs!$B$43-B1409)-((R1378-1)*(IF(Inputs!$B$38="pvp",15,MAX(0.1,Skills!D11-IF(TRUE=TRUE,Inputs!$B$32,0)))*(1-IF(AND(ArtifactsInput!$M$27,Inputs!$B$4="Chapter Hunt"),CHOOSE(ArtifactsInput!$N$27+1,20,24,28,32,36,40),0)/100)))))/Skills!H11+0.000000001),1)))/Inputs!$B$43),G1378*Q1378)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11*((R1378-1)*IF(Skills!H11&gt;0,INT(Skills!I11/Skills!H11+0.000000001),1)+IF(Skills!H11&gt;0,INT(MIN(Skills!I11,MAX(0,MAX(0,Inputs!$B$43-B1409)-((R1378-1)*(IF(Inputs!$B$38="pvp",15,MAX(0.1,Skills!D11-IF(TRUE=TRUE,Inputs!$B$32,0)))*(1-IF(AND(ArtifactsInput!$M$27,Inputs!$B$4="Chapter Hunt"),CHOOSE(ArtifactsInput!$N$27+1,20,24,28,32,36,40),0)/100)))))/Skills!H11+0.000000001),1)))/Inputs!$B$43),G1378*Q1378))*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Skills!A12</f>
        <v/>
      </c>
      <c r="B1379">
        <f>Skills!B12</f>
        <v/>
      </c>
      <c r="C1379">
        <f>Inputs!$B$3&gt;=100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V1379" t="inlineStr"/>
    </row>
    <row r="1380">
      <c r="A1380">
        <f>Skills!A13</f>
        <v/>
      </c>
      <c r="B1380">
        <f>Skills!B13</f>
        <v/>
      </c>
      <c r="C1380">
        <f>Inputs!$B$3&gt;=60</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Skills!G13*IF(Skills!H13&gt;0,INT(IF(Inputs!$B$38="pvp",MIN(Skills!I13,15),Skills!I13)/Skills!H13+0.000000001),1)</f>
        <v/>
      </c>
      <c r="H1380">
        <f>1-(1-Skills!J13/100)^Skills!K13</f>
        <v/>
      </c>
      <c r="I1380" t="inlineStr">
        <is>
          <t>1</t>
        </is>
      </c>
      <c r="J1380">
        <f>((Inputs!$B$6*(1+Inputs!$B$7/100))+(((Inputs!$B$12*(1+Inputs!$B$13/100))-(Inputs!$B$12*(1+Inputs!$B$13/100)))+0.25*(Inputs!$B$14-Inputs!$B$14))*(1+Inputs!$B$7/100))*(F1380/100)</f>
        <v/>
      </c>
      <c r="K1380">
        <f>J1380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1381=TRUE,F1381,0)/100)*(1+(IF(Skills!A13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1393=TRUE)*(F1393-Calc!F26)),(Inputs!$B$23+((C1398=TRUE)*(F1398-Calc!F31))+(IF(ArtifactsInput!$M$15,CHOOSE(ArtifactsInput!$N$15+1,25,30,35,40,45,50)/100*(Inputs!$B$11-Inputs!$B$11),0))))/100+(Inputs!$B$23+((C1398=TRUE)*(F1398-Calc!F31))+(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IFERROR(1/(IF(Inputs!$B$38="pvp",15,MAX(0.1,IF(Inputs!$B$3&gt;=122,3,5)+1/(((20+30*(B1404-1)*100/150)/100)*B1404)-IF(FALSE=TRUE,Inputs!$B$32,0)))*(1-IF(AND(ArtifactsInput!$M$27,Inputs!$B$4="Chapter Hunt"),CHOOSE(ArtifactsInput!$N$27+1,20,24,28,32,36,40),0)/100)),0)</f>
        <v/>
      </c>
      <c r="R1380">
        <f>IF(AND(Inputs!$B$38&lt;&gt;"pvp",Inputs!$B$43&gt;0),IF(MAX(0,Inputs!$B$43-B1409)&lt;=0,0,(INT(MAX(0,Inputs!$B$43-B1409)/(IF(Inputs!$B$38="pvp",15,MAX(0.1,IF(Inputs!$B$3&gt;=122,3,5)+1/(((20+30*(B1404-1)*100/150)/100)*B1404)-IF(FALSE=TRUE,Inputs!$B$32,0)))*(1-IF(AND(ArtifactsInput!$M$27,Inputs!$B$4="Chapter Hunt"),CHOOSE(ArtifactsInput!$N$27+1,20,24,28,32,36,40),0)/100)))+1)),0)</f>
        <v/>
      </c>
      <c r="S1380">
        <f>IFERROR(O1380/N1380,0)</f>
        <v/>
      </c>
      <c r="T1380">
        <f>IF(C1380,(H1380*N1380*IF(AND(Inputs!$B$38&lt;&gt;"pvp",Inputs!$B$43&gt;0),((Skills!G13*((R1380-1)*IF(Skills!H13&gt;0,INT(Skills!I13/Skills!H13+0.000000001),1)+IF(Skills!H13&gt;0,INT(MIN(Skills!I13,MAX(0,MAX(0,Inputs!$B$43-B1409)-((R1380-1)*(IF(Inputs!$B$38="pvp",15,MAX(0.1,IF(Inputs!$B$3&gt;=122,3,5)+1/(((20+30*(B1404-1)*100/150)/100)*B1404)-IF(FALSE=TRUE,Inputs!$B$32,0)))*(1-IF(AND(ArtifactsInput!$M$27,Inputs!$B$4="Chapter Hunt"),CHOOSE(ArtifactsInput!$N$27+1,20,24,28,32,36,40),0)/100)))))/Skills!H13+0.000000001),1)))/Inputs!$B$43),G1380*Q1380)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13*((R1380-1)*IF(Skills!H13&gt;0,INT(Skills!I13/Skills!H13+0.000000001),1)+IF(Skills!H13&gt;0,INT(MIN(Skills!I13,MAX(0,MAX(0,Inputs!$B$43-B1409)-((R1380-1)*(IF(Inputs!$B$38="pvp",15,MAX(0.1,IF(Inputs!$B$3&gt;=122,3,5)+1/(((20+30*(B1404-1)*100/150)/100)*B1404)-IF(FALSE=TRUE,Inputs!$B$32,0)))*(1-IF(AND(ArtifactsInput!$M$27,Inputs!$B$4="Chapter Hunt"),CHOOSE(ArtifactsInput!$N$27+1,20,24,28,32,36,40),0)/100)))))/Skills!H13+0.000000001),1)))/Inputs!$B$43),G1380*Q1380))*IF(Inputs!$B$38="pvp",1,(1+(Inputs!$B$21+Skills!Q13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Skills!A14</f>
        <v/>
      </c>
      <c r="B1381">
        <f>Skills!B14</f>
        <v/>
      </c>
      <c r="C1381">
        <f>Inputs!$B$3&gt;=110</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t="inlineStr"/>
      <c r="H1381" t="inlineStr"/>
      <c r="I1381" t="inlineStr">
        <is>
          <t>1</t>
        </is>
      </c>
      <c r="J1381" t="inlineStr"/>
      <c r="K1381" t="inlineStr"/>
      <c r="L1381" t="inlineStr"/>
      <c r="M1381" t="inlineStr"/>
      <c r="N1381" t="inlineStr"/>
      <c r="O1381" t="inlineStr"/>
      <c r="P1381" t="inlineStr"/>
      <c r="Q1381" t="inlineStr"/>
      <c r="R1381" t="inlineStr"/>
      <c r="S1381" t="inlineStr"/>
      <c r="T1381" t="inlineStr"/>
      <c r="V1381" t="inlineStr"/>
    </row>
    <row r="1382">
      <c r="A1382">
        <f>Skills!A15</f>
        <v/>
      </c>
      <c r="B1382">
        <f>Skills!B15</f>
        <v/>
      </c>
      <c r="C1382">
        <f>Inputs!$B$3&gt;=74</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Skills!G15*IF(Skills!H15&gt;0,INT(IF(Inputs!$B$38="pvp",MIN(Skills!I15,15),Skills!I15)/Skills!H15+0.000000001),1)</f>
        <v/>
      </c>
      <c r="H1382">
        <f>1-(1-Skills!J15/100)^Skills!K15</f>
        <v/>
      </c>
      <c r="I1382" t="inlineStr">
        <is>
          <t>1</t>
        </is>
      </c>
      <c r="J1382" t="inlineStr"/>
      <c r="K1382" t="inlineStr"/>
      <c r="L1382" t="inlineStr"/>
      <c r="M1382" t="inlineStr"/>
      <c r="N1382" t="inlineStr"/>
      <c r="O1382">
        <f>(1-Summary!$B$11)*T1382+Summary!$B$11*V1382</f>
        <v/>
      </c>
      <c r="P1382">
        <f>IF(B1412=0,0,O1382/B1412)</f>
        <v/>
      </c>
      <c r="Q1382" t="n">
        <v>0</v>
      </c>
      <c r="R1382" t="n">
        <v>0</v>
      </c>
      <c r="S1382">
        <f>IFERROR(O1382/N1382,0)</f>
        <v/>
      </c>
      <c r="T1382" t="n">
        <v>0</v>
      </c>
      <c r="V1382" t="n">
        <v>0</v>
      </c>
    </row>
    <row r="1383">
      <c r="A1383">
        <f>Skills!A16</f>
        <v/>
      </c>
      <c r="B1383">
        <f>Skills!B16</f>
        <v/>
      </c>
      <c r="C1383">
        <f>Inputs!$B$3&gt;=74</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Skills!G16*IF(Skills!H16&gt;0,INT(IF(Inputs!$B$38="pvp",MIN(Skills!I16,15),Skills!I16)/Skills!H16+0.000000001),1)</f>
        <v/>
      </c>
      <c r="H1383">
        <f>1-(1-Skills!J16/100)^Skills!K16</f>
        <v/>
      </c>
      <c r="I1383" t="inlineStr">
        <is>
          <t>1</t>
        </is>
      </c>
      <c r="J1383" t="inlineStr"/>
      <c r="K1383" t="inlineStr"/>
      <c r="L1383" t="inlineStr"/>
      <c r="M1383" t="inlineStr"/>
      <c r="N1383" t="inlineStr"/>
      <c r="O1383">
        <f>(1-Summary!$B$11)*T1383+Summary!$B$11*V1383</f>
        <v/>
      </c>
      <c r="P1383">
        <f>IF(B1412=0,0,O1383/B1412)</f>
        <v/>
      </c>
      <c r="Q1383" t="n">
        <v>0</v>
      </c>
      <c r="R1383" t="n">
        <v>0</v>
      </c>
      <c r="S1383">
        <f>IFERROR(O1383/N1383,0)</f>
        <v/>
      </c>
      <c r="T1383" t="n">
        <v>0</v>
      </c>
      <c r="V1383" t="n">
        <v>0</v>
      </c>
    </row>
    <row r="1384">
      <c r="A1384">
        <f>Skills!A17</f>
        <v/>
      </c>
      <c r="B1384">
        <f>Skills!B17</f>
        <v/>
      </c>
      <c r="C1384">
        <f>Inputs!$B$3&gt;=117</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Skills!G17*IF(Skills!H17&gt;0,INT(IF(Inputs!$B$38="pvp",MIN(Skills!I17,15),Skills!I17)/Skills!H17+0.000000001),1)</f>
        <v/>
      </c>
      <c r="H1384">
        <f>1-(1-Skills!J17/100)^Skills!K17</f>
        <v/>
      </c>
      <c r="I1384" t="inlineStr">
        <is>
          <t>1</t>
        </is>
      </c>
      <c r="J1384" t="inlineStr"/>
      <c r="K1384" t="inlineStr"/>
      <c r="L1384" t="inlineStr"/>
      <c r="M1384" t="inlineStr"/>
      <c r="N1384" t="inlineStr"/>
      <c r="O1384">
        <f>(1-Summary!$B$11)*T1384+Summary!$B$11*V1384</f>
        <v/>
      </c>
      <c r="P1384">
        <f>IF(B1412=0,0,O1384/B1412)</f>
        <v/>
      </c>
      <c r="Q1384">
        <f>IFERROR(1/(IF(Inputs!$B$38="pvp",15,MAX(0.1,Skills!D17-IF(TRUE=TRUE,Inputs!$B$32,0)))*(1-IF(AND(ArtifactsInput!$M$27,Inputs!$B$4="Chapter Hunt"),CHOOSE(ArtifactsInput!$N$27+1,20,24,28,32,36,40),0)/100)),0)</f>
        <v/>
      </c>
      <c r="R1384">
        <f>IF(AND(Inputs!$B$38&lt;&gt;"pvp",Inputs!$B$43&gt;0),IF(Inputs!$B$43&lt;=0,0,(INT(Inputs!$B$43/(IF(Inputs!$B$38="pvp",15,MAX(0.1,Skills!D17-IF(TRUE=TRUE,Inputs!$B$32,0)))*(1-IF(AND(ArtifactsInput!$M$27,Inputs!$B$4="Chapter Hunt"),CHOOSE(ArtifactsInput!$N$27+1,20,24,28,32,36,40),0)/100)))+1)),0)</f>
        <v/>
      </c>
      <c r="S1384">
        <f>IFERROR(O1384/N1384,0)</f>
        <v/>
      </c>
      <c r="T1384" t="n">
        <v>0</v>
      </c>
      <c r="V1384" t="n">
        <v>0</v>
      </c>
    </row>
    <row r="1385">
      <c r="A1385">
        <f>Skills!A18</f>
        <v/>
      </c>
      <c r="B1385">
        <f>Skills!B18</f>
        <v/>
      </c>
      <c r="C1385">
        <f>Inputs!$B$3&gt;=115</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Skills!G18*IF(Skills!H18&gt;0,INT(IF(Inputs!$B$38="pvp",MIN(Skills!I18,15),Skills!I18)/Skills!H18+0.000000001),1)</f>
        <v/>
      </c>
      <c r="H1385">
        <f>1-(1-Skills!J18/100)^Skills!K18</f>
        <v/>
      </c>
      <c r="I1385" t="inlineStr">
        <is>
          <t>1</t>
        </is>
      </c>
      <c r="J1385" t="inlineStr"/>
      <c r="K1385" t="inlineStr"/>
      <c r="L1385" t="inlineStr"/>
      <c r="M1385" t="inlineStr"/>
      <c r="N1385" t="inlineStr"/>
      <c r="O1385">
        <f>(1-Summary!$B$11)*T1385+Summary!$B$11*V1385</f>
        <v/>
      </c>
      <c r="P1385">
        <f>IF(B1412=0,0,O1385/B1412)</f>
        <v/>
      </c>
      <c r="Q1385">
        <f>IFERROR(1/(IF(Inputs!$B$38="pvp",15,MAX(0.1,Skills!D18-IF(TRUE=TRUE,Inputs!$B$32,0)))*(1-IF(AND(ArtifactsInput!$M$27,Inputs!$B$4="Chapter Hunt"),CHOOSE(ArtifactsInput!$N$27+1,20,24,28,32,36,40),0)/100)),0)</f>
        <v/>
      </c>
      <c r="R1385">
        <f>IF(AND(Inputs!$B$38&lt;&gt;"pvp",Inputs!$B$43&gt;0),IF(Inputs!$B$43&lt;=0,0,(INT(Inputs!$B$43/(IF(Inputs!$B$38="pvp",15,MAX(0.1,Skills!D18-IF(TRUE=TRUE,Inputs!$B$32,0)))*(1-IF(AND(ArtifactsInput!$M$27,Inputs!$B$4="Chapter Hunt"),CHOOSE(ArtifactsInput!$N$27+1,20,24,28,32,36,40),0)/100)))+1)),0)</f>
        <v/>
      </c>
      <c r="S1385">
        <f>IFERROR(O1385/N1385,0)</f>
        <v/>
      </c>
      <c r="T1385" t="n">
        <v>0</v>
      </c>
      <c r="V1385" t="n">
        <v>0</v>
      </c>
    </row>
    <row r="1386">
      <c r="A1386">
        <f>Skills!A19</f>
        <v/>
      </c>
      <c r="B1386">
        <f>Skills!B19</f>
        <v/>
      </c>
      <c r="C1386">
        <f>Inputs!$B$3&gt;=66</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Skills!G19*IF(Skills!H19&gt;0,INT(IF(Inputs!$B$38="pvp",MIN(Skills!I19,15),Skills!I19)/Skills!H19+0.000000001),1)</f>
        <v/>
      </c>
      <c r="H1386">
        <f>1-(1-Skills!J19/100)^Skills!K19</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Skills!A20</f>
        <v/>
      </c>
      <c r="B1387">
        <f>Skills!B20</f>
        <v/>
      </c>
      <c r="C1387">
        <f>Inputs!$B$3&gt;=72</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Skills!G20*IF(Skills!H20&gt;0,INT(IF(Inputs!$B$38="pvp",MIN(Skills!I20,15),Skills!I20)/Skills!H20+0.000000001),1)</f>
        <v/>
      </c>
      <c r="H1387">
        <f>1-(1-Skills!J20/100)^Skills!K20</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Skills!A21</f>
        <v/>
      </c>
      <c r="B1388">
        <f>Skills!B21</f>
        <v/>
      </c>
      <c r="C1388">
        <f>TRUE</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Skills!G21*IF(Skills!H21&gt;0,INT(IF(Inputs!$B$38="pvp",MIN(Skills!I21,15),Skills!I21)/Skills!H21+0.000000001),1)</f>
        <v/>
      </c>
      <c r="H1388">
        <f>1-(1-Skills!J21/100)^Skills!K21</f>
        <v/>
      </c>
      <c r="I1388" t="inlineStr">
        <is>
          <t>1</t>
        </is>
      </c>
      <c r="J1388" t="inlineStr"/>
      <c r="K1388" t="inlineStr"/>
      <c r="L1388" t="inlineStr"/>
      <c r="M1388" t="inlineStr"/>
      <c r="N1388" t="inlineStr"/>
      <c r="O1388">
        <f>(1-Summary!$B$11)*T1388+Summary!$B$11*V1388</f>
        <v/>
      </c>
      <c r="P1388">
        <f>IF(B1412=0,0,O1388/B1412)</f>
        <v/>
      </c>
      <c r="Q1388">
        <f>IFERROR(1/(IF(Inputs!$B$38="pvp",15,MAX(0.1,Skills!D21-IF(TRUE=TRUE,Inputs!$B$32,0)))*(1-IF(AND(ArtifactsInput!$M$27,Inputs!$B$4="Chapter Hunt"),CHOOSE(ArtifactsInput!$N$27+1,20,24,28,32,36,40),0)/100)),0)</f>
        <v/>
      </c>
      <c r="R1388">
        <f>IF(AND(Inputs!$B$38&lt;&gt;"pvp",Inputs!$B$43&gt;0),IF(Inputs!$B$43&lt;=0,0,(INT(Inputs!$B$43/(IF(Inputs!$B$38="pvp",15,MAX(0.1,Skills!D21-IF(TRUE=TRUE,Inputs!$B$32,0)))*(1-IF(AND(ArtifactsInput!$M$27,Inputs!$B$4="Chapter Hunt"),CHOOSE(ArtifactsInput!$N$27+1,20,24,28,32,36,40),0)/100)))+1)),0)</f>
        <v/>
      </c>
      <c r="S1388">
        <f>IFERROR(O1388/N1388,0)</f>
        <v/>
      </c>
      <c r="T1388" t="n">
        <v>0</v>
      </c>
      <c r="V1388" t="n">
        <v>0</v>
      </c>
    </row>
    <row r="1389">
      <c r="A1389">
        <f>Skills!A22</f>
        <v/>
      </c>
      <c r="B1389">
        <f>Skills!B22</f>
        <v/>
      </c>
      <c r="C1389">
        <f>Inputs!$B$3&gt;=15</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Skills!G22*IF(Skills!H22&gt;0,INT(IF(Inputs!$B$38="pvp",MIN(Skills!I22,15),Skills!I22)/Skills!H22+0.000000001),1)</f>
        <v/>
      </c>
      <c r="H1389">
        <f>1-(1-Skills!J22/100)^Skills!K22</f>
        <v/>
      </c>
      <c r="I1389" t="inlineStr">
        <is>
          <t>1</t>
        </is>
      </c>
      <c r="J1389" t="inlineStr"/>
      <c r="K1389" t="inlineStr"/>
      <c r="L1389" t="inlineStr"/>
      <c r="M1389" t="inlineStr"/>
      <c r="N1389" t="inlineStr"/>
      <c r="O1389">
        <f>(1-Summary!$B$11)*T1389+Summary!$B$11*V1389</f>
        <v/>
      </c>
      <c r="P1389">
        <f>IF(B1412=0,0,O1389/B1412)</f>
        <v/>
      </c>
      <c r="Q1389" t="n">
        <v>0</v>
      </c>
      <c r="R1389" t="n">
        <v>0</v>
      </c>
      <c r="S1389">
        <f>IFERROR(O1389/N1389,0)</f>
        <v/>
      </c>
      <c r="T1389" t="n">
        <v>0</v>
      </c>
      <c r="V1389" t="n">
        <v>0</v>
      </c>
    </row>
    <row r="1390">
      <c r="A1390">
        <f>Skills!A23</f>
        <v/>
      </c>
      <c r="B1390">
        <f>Skills!B23</f>
        <v/>
      </c>
      <c r="C1390">
        <f>Inputs!$B$3&gt;=10</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Skills!G23*IF(Skills!H23&gt;0,INT(IF(Inputs!$B$38="pvp",MIN(Skills!I23,15),Skills!I23)/Skills!H23+0.000000001),1)</f>
        <v/>
      </c>
      <c r="H1390">
        <f>1-(1-Skills!J23/100)^Skills!K23</f>
        <v/>
      </c>
      <c r="I1390" t="inlineStr">
        <is>
          <t>1</t>
        </is>
      </c>
      <c r="J1390" t="inlineStr"/>
      <c r="K1390" t="inlineStr"/>
      <c r="L1390" t="inlineStr"/>
      <c r="M1390" t="inlineStr"/>
      <c r="N1390" t="inlineStr"/>
      <c r="O1390">
        <f>(1-Summary!$B$11)*T1390+Summary!$B$11*V1390</f>
        <v/>
      </c>
      <c r="P1390">
        <f>IF(B1412=0,0,O1390/B1412)</f>
        <v/>
      </c>
      <c r="Q1390" t="n">
        <v>0</v>
      </c>
      <c r="R1390" t="n">
        <v>0</v>
      </c>
      <c r="S1390">
        <f>IFERROR(O1390/N1390,0)</f>
        <v/>
      </c>
      <c r="T1390" t="n">
        <v>0</v>
      </c>
      <c r="V1390" t="n">
        <v>0</v>
      </c>
    </row>
    <row r="1391">
      <c r="A1391">
        <f>Skills!A24</f>
        <v/>
      </c>
      <c r="B1391">
        <f>Skills!B24</f>
        <v/>
      </c>
      <c r="C1391">
        <f>Inputs!$B$3&gt;=33</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Skills!G24*IF(Skills!H24&gt;0,INT(IF(Inputs!$B$38="pvp",MIN(Skills!I24,15),Skills!I24)/Skills!H24+0.000000001),1)</f>
        <v/>
      </c>
      <c r="H1391">
        <f>1-(1-Skills!J24/100)^Skills!K24</f>
        <v/>
      </c>
      <c r="I1391" t="inlineStr">
        <is>
          <t>1</t>
        </is>
      </c>
      <c r="J1391" t="inlineStr"/>
      <c r="K1391" t="inlineStr"/>
      <c r="L1391" t="inlineStr"/>
      <c r="M1391" t="inlineStr"/>
      <c r="N1391" t="inlineStr"/>
      <c r="O1391">
        <f>(1-Summary!$B$11)*T1391+Summary!$B$11*V1391</f>
        <v/>
      </c>
      <c r="P1391">
        <f>IF(B1412=0,0,O1391/B1412)</f>
        <v/>
      </c>
      <c r="Q1391" t="n">
        <v>0</v>
      </c>
      <c r="R1391" t="n">
        <v>0</v>
      </c>
      <c r="S1391">
        <f>IFERROR(O1391/N1391,0)</f>
        <v/>
      </c>
      <c r="T1391" t="n">
        <v>0</v>
      </c>
      <c r="V1391" t="n">
        <v>0</v>
      </c>
    </row>
    <row r="1392">
      <c r="A1392">
        <f>Skills!A25</f>
        <v/>
      </c>
      <c r="B1392">
        <f>Skills!B25</f>
        <v/>
      </c>
      <c r="C1392">
        <f>Inputs!$B$3&gt;=38</f>
        <v/>
      </c>
      <c r="D1392">
        <f>IF(Skills!C25=1,60+Inputs!$B$25+Inputs!$B$29,IF(Skills!C25=2,90+Inputs!$B$26+Inputs!$B$29,IF(Skills!C25=3,120+Inputs!$B$27+Inputs!$B$29,MAX(0,(Inputs!$B$3-100)*3)+Inputs!$B$28+Inputs!$B$29)))</f>
        <v/>
      </c>
      <c r="E1392">
        <f>INDEX(FactorTable!$B$2:$Y$301, MATCH(ROUND(MIN(300,MAX(1,D1392)),0), FactorTable!$A$2:$A$301,0), Skills!M25+1)</f>
        <v/>
      </c>
      <c r="F1392">
        <f>IF(Skills!N25=TRUE,(Skills!L25/10)*(E1392/1000),Skills!L25/10)+Skills!O25</f>
        <v/>
      </c>
      <c r="G1392">
        <f>Skills!G25*IF(Skills!H25&gt;0,INT(IF(Inputs!$B$38="pvp",MIN(Skills!I25,15),Skills!I25)/Skills!H25+0.000000001),1)</f>
        <v/>
      </c>
      <c r="H1392">
        <f>1-(1-Skills!J25/100)^Skills!K25</f>
        <v/>
      </c>
      <c r="I1392" t="inlineStr">
        <is>
          <t>1</t>
        </is>
      </c>
      <c r="J1392" t="inlineStr"/>
      <c r="K1392" t="inlineStr"/>
      <c r="L1392" t="inlineStr"/>
      <c r="M1392" t="inlineStr"/>
      <c r="N1392" t="inlineStr"/>
      <c r="O1392">
        <f>(1-Summary!$B$11)*T1392+Summary!$B$11*V1392</f>
        <v/>
      </c>
      <c r="P1392">
        <f>IF(B1412=0,0,O1392/B1412)</f>
        <v/>
      </c>
      <c r="Q1392" t="n">
        <v>0</v>
      </c>
      <c r="R1392" t="n">
        <v>0</v>
      </c>
      <c r="S1392">
        <f>IFERROR(O1392/N1392,0)</f>
        <v/>
      </c>
      <c r="T1392" t="n">
        <v>0</v>
      </c>
      <c r="V1392" t="n">
        <v>0</v>
      </c>
    </row>
    <row r="1393">
      <c r="A1393">
        <f>Skills!A26</f>
        <v/>
      </c>
      <c r="B1393">
        <f>Skills!B26</f>
        <v/>
      </c>
      <c r="C1393">
        <f>Inputs!$B$3&gt;=43</f>
        <v/>
      </c>
      <c r="D1393">
        <f>IF(Skills!C26=1,60+Inputs!$B$25+Inputs!$B$29,IF(Skills!C26=2,90+Inputs!$B$26+Inputs!$B$29,IF(Skills!C26=3,120+Inputs!$B$27+Inputs!$B$29,MAX(0,(Inputs!$B$3-100)*3)+Inputs!$B$28+Inputs!$B$29)))</f>
        <v/>
      </c>
      <c r="E1393">
        <f>INDEX(FactorTable!$B$2:$Y$301, MATCH(ROUND(MIN(300,MAX(1,D1393)),0), FactorTable!$A$2:$A$301,0), Skills!M26+1)</f>
        <v/>
      </c>
      <c r="F1393">
        <f>IF(Skills!N26=TRUE,(Skills!L26/10)*(E1393/1000),Skills!L26/10)+Skills!O26</f>
        <v/>
      </c>
      <c r="G1393">
        <f>Skills!G26*IF(Skills!H26&gt;0,INT(IF(Inputs!$B$38="pvp",MIN(Skills!I26,15),Skills!I26)/Skills!H26+0.000000001),1)</f>
        <v/>
      </c>
      <c r="H1393">
        <f>1-(1-Skills!J26/100)^Skills!K26</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Skills!A27</f>
        <v/>
      </c>
      <c r="B1394">
        <f>Skills!B27</f>
        <v/>
      </c>
      <c r="C1394">
        <f>Inputs!$B$3&gt;=75</f>
        <v/>
      </c>
      <c r="D1394">
        <f>IF(Skills!C27=1,60+Inputs!$B$25+Inputs!$B$29,IF(Skills!C27=2,90+Inputs!$B$26+Inputs!$B$29,IF(Skills!C27=3,120+Inputs!$B$27+Inputs!$B$29,MAX(0,(Inputs!$B$3-100)*3)+Inputs!$B$28+Inputs!$B$29)))</f>
        <v/>
      </c>
      <c r="E1394">
        <f>INDEX(FactorTable!$B$2:$Y$301, MATCH(ROUND(MIN(300,MAX(1,D1394)),0), FactorTable!$A$2:$A$301,0), Skills!M27+1)</f>
        <v/>
      </c>
      <c r="F1394">
        <f>IF(Skills!N27=TRUE,(Skills!L27/10)*(E1394/1000),Skills!L27/10)+Skills!O27</f>
        <v/>
      </c>
      <c r="G1394">
        <f>Skills!G27*IF(Skills!H27&gt;0,INT(IF(Inputs!$B$38="pvp",MIN(Skills!I27,15),Skills!I27)/Skills!H27+0.000000001),1)</f>
        <v/>
      </c>
      <c r="H1394">
        <f>1-(1-Skills!J27/100)^Skills!K27</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Skills!A28</f>
        <v/>
      </c>
      <c r="B1395">
        <f>Skills!B28</f>
        <v/>
      </c>
      <c r="C1395">
        <f>Inputs!$B$3&gt;=125</f>
        <v/>
      </c>
      <c r="D1395">
        <f>IF(Skills!C28=1,60+Inputs!$B$25+Inputs!$B$29,IF(Skills!C28=2,90+Inputs!$B$26+Inputs!$B$29,IF(Skills!C28=3,120+Inputs!$B$27+Inputs!$B$29,MAX(0,(Inputs!$B$3-100)*3)+Inputs!$B$28+Inputs!$B$29)))</f>
        <v/>
      </c>
      <c r="E1395">
        <f>INDEX(FactorTable!$B$2:$Y$301, MATCH(ROUND(MIN(300,MAX(1,D1395)),0), FactorTable!$A$2:$A$301,0), Skills!M28+1)</f>
        <v/>
      </c>
      <c r="F1395">
        <f>IF(Skills!N28=TRUE,(Skills!L28/10)*(E1395/1000),Skills!L28/10)+Skills!O28</f>
        <v/>
      </c>
      <c r="G1395">
        <f>Skills!G28*IF(Skills!H28&gt;0,INT(IF(Inputs!$B$38="pvp",MIN(Skills!I28,15),Skills!I28)/Skills!H28+0.000000001),1)</f>
        <v/>
      </c>
      <c r="H1395">
        <f>1-(1-Skills!J28/100)^Skills!K28</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Skills!A29</f>
        <v/>
      </c>
      <c r="B1396">
        <f>Skills!B29</f>
        <v/>
      </c>
      <c r="C1396">
        <f>Inputs!$B$3&gt;=125</f>
        <v/>
      </c>
      <c r="D1396">
        <f>IF(Skills!C29=1,60+Inputs!$B$25+Inputs!$B$29,IF(Skills!C29=2,90+Inputs!$B$26+Inputs!$B$29,IF(Skills!C29=3,120+Inputs!$B$27+Inputs!$B$29,MAX(0,(Inputs!$B$3-100)*3)+Inputs!$B$28+Inputs!$B$29)))</f>
        <v/>
      </c>
      <c r="E1396">
        <f>INDEX(FactorTable!$B$2:$Y$301, MATCH(ROUND(MIN(300,MAX(1,D1396)),0), FactorTable!$A$2:$A$301,0), Skills!M29+1)</f>
        <v/>
      </c>
      <c r="F1396">
        <f>IF(Skills!N29=TRUE,(Skills!L29/10)*(E1396/1000),Skills!L29/10)+Skills!O29</f>
        <v/>
      </c>
      <c r="G1396">
        <f>Skills!G29*IF(Skills!H29&gt;0,INT(IF(Inputs!$B$38="pvp",MIN(Skills!I29,15),Skills!I29)/Skills!H29+0.000000001),1)</f>
        <v/>
      </c>
      <c r="H1396">
        <f>1-(1-Skills!J29/100)^Skills!K29</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Skills!A30</f>
        <v/>
      </c>
      <c r="B1397">
        <f>Skills!B30</f>
        <v/>
      </c>
      <c r="C1397">
        <f>Inputs!$B$3&gt;=120</f>
        <v/>
      </c>
      <c r="D1397">
        <f>IF(Skills!C30=1,60+Inputs!$B$25+Inputs!$B$29,IF(Skills!C30=2,90+Inputs!$B$26+Inputs!$B$29,IF(Skills!C30=3,120+Inputs!$B$27+Inputs!$B$29,MAX(0,(Inputs!$B$3-100)*3)+Inputs!$B$28+Inputs!$B$29)))</f>
        <v/>
      </c>
      <c r="E1397">
        <f>INDEX(FactorTable!$B$2:$Y$301, MATCH(ROUND(MIN(300,MAX(1,D1397)),0), FactorTable!$A$2:$A$301,0), Skills!M30+1)</f>
        <v/>
      </c>
      <c r="F1397">
        <f>IF(Skills!N30=TRUE,(Skills!L30/10)*(E1397/1000),Skills!L30/10)+Skills!O30</f>
        <v/>
      </c>
      <c r="G1397">
        <f>Skills!G30*IF(Skills!H30&gt;0,INT(IF(Inputs!$B$38="pvp",MIN(Skills!I30,15),Skills!I30)/Skills!H30+0.000000001),1)</f>
        <v/>
      </c>
      <c r="H1397">
        <f>1-(1-Skills!J30/100)^Skills!K30</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Skills!A31</f>
        <v/>
      </c>
      <c r="B1398">
        <f>Skills!B31</f>
        <v/>
      </c>
      <c r="C1398">
        <f>Inputs!$B$3&gt;=120</f>
        <v/>
      </c>
      <c r="D1398">
        <f>IF(Skills!C31=1,60+Inputs!$B$25+Inputs!$B$29,IF(Skills!C31=2,90+Inputs!$B$26+Inputs!$B$29,IF(Skills!C31=3,120+Inputs!$B$27+Inputs!$B$29,MAX(0,(Inputs!$B$3-100)*3)+Inputs!$B$28+Inputs!$B$29)))</f>
        <v/>
      </c>
      <c r="E1398">
        <f>INDEX(FactorTable!$B$2:$Y$301, MATCH(ROUND(MIN(300,MAX(1,D1398)),0), FactorTable!$A$2:$A$301,0), Skills!M31+1)</f>
        <v/>
      </c>
      <c r="F1398">
        <f>IF(Skills!N31=TRUE,(Skills!L31/10)*(E1398/1000),Skills!L31/10)+Skills!O31</f>
        <v/>
      </c>
      <c r="G1398">
        <f>Skills!G31*IF(Skills!H31&gt;0,INT(IF(Inputs!$B$38="pvp",MIN(Skills!I31,15),Skills!I31)/Skills!H31+0.000000001),1)</f>
        <v/>
      </c>
      <c r="H1398">
        <f>1-(1-Skills!J31/100)^Skills!K31</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Skills!A32</f>
        <v/>
      </c>
      <c r="B1399">
        <f>Skills!B32</f>
        <v/>
      </c>
      <c r="C1399">
        <f>Inputs!$B$3&gt;=45</f>
        <v/>
      </c>
      <c r="D1399">
        <f>IF(Skills!C32=1,60+Inputs!$B$25+Inputs!$B$29,IF(Skills!C32=2,90+Inputs!$B$26+Inputs!$B$29,IF(Skills!C32=3,120+Inputs!$B$27+Inputs!$B$29,MAX(0,(Inputs!$B$3-100)*3)+Inputs!$B$28+Inputs!$B$29)))</f>
        <v/>
      </c>
      <c r="E1399">
        <f>INDEX(FactorTable!$B$2:$Y$301, MATCH(ROUND(MIN(300,MAX(1,D1399)),0), FactorTable!$A$2:$A$301,0), Skills!M32+1)</f>
        <v/>
      </c>
      <c r="F1399">
        <f>IF(Skills!N32=TRUE,(Skills!L32/10)*(E1399/1000),Skills!L32/10)+Skills!O32</f>
        <v/>
      </c>
      <c r="G1399">
        <f>Skills!G32*IF(Skills!H32&gt;0,INT(IF(Inputs!$B$38="pvp",MIN(Skills!I32,15),Skills!I32)/Skills!H32+0.000000001),1)</f>
        <v/>
      </c>
      <c r="H1399">
        <f>1-(1-Skills!J32/100)^Skills!K32</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1388=TRUE)*F1388*IF(AND(Inputs!$B$38&lt;&gt;"pvp",Inputs!$B$43&gt;0),(((R1388-1)*MIN((Skills!T21*(1+Inputs!$B$34/100)),(1/Q1388))+MIN((Skills!T21*(1+Inputs!$B$34/100)),MAX(0,Inputs!$B$43-((R1388-1)*(1/Q1388)))))/Inputs!$B$43),IF(Inputs!$B$38="pvp",MIN((Skills!T21*(1+Inputs!$B$34/100)),15)/15,MIN(1,(Skills!T21*(1+Inputs!$B$34/100))/(1/Q1388)))))</f>
        <v/>
      </c>
    </row>
    <row r="1404">
      <c r="A1404" t="inlineStr">
        <is>
          <t>Actions Per Second</t>
        </is>
      </c>
      <c r="B1404">
        <f>1+MIN(150,150*(1-(1-(Inputs!$B$11+((C1390=TRUE)*(F1390-Calc!F23))+((C1391=TRUE)*(F1391-Calc!F24)))/150)*(1-B1403/150)))/100</f>
        <v/>
      </c>
    </row>
    <row r="1405">
      <c r="A1405" t="inlineStr">
        <is>
          <t>Skill + Buff Cast Rate</t>
        </is>
      </c>
      <c r="B1405">
        <f>IF(AND(Inputs!$B$38&lt;&gt;"pvp",Inputs!$B$43&gt;0),SUMPRODUCT((Skills!E2:E32=TRUE)*(C1369:C1399=TRUE)*R1369:R1399*Skills!F2:F32)/Inputs!$B$43,SUMPRODUCT((Skills!E2:E32=TRUE)*(C1369:C1399=TRUE)*Q1369:Q1399*Skills!F2:F32))</f>
        <v/>
      </c>
    </row>
    <row r="1406">
      <c r="A1406" t="inlineStr">
        <is>
          <t>Arrow Stream Casts Per Second</t>
        </is>
      </c>
      <c r="B1406">
        <f>MAX(0,B1404-B1405)</f>
        <v/>
      </c>
    </row>
    <row r="1407">
      <c r="A1407" t="inlineStr">
        <is>
          <t>Global Critical Damage Bonus % (Sharp Eyes + Concentration)</t>
        </is>
      </c>
      <c r="B1407">
        <f>(C1385=TRUE)*F1385*IF(AND(Inputs!$B$38&lt;&gt;"pvp",Inputs!$B$43&gt;0),(((R1385-1)*MIN((Skills!T18*(1+Inputs!$B$34/100)),(1/Q1385))+MIN((Skills!T18*(1+Inputs!$B$34/100)),MAX(0,Inputs!$B$43-((R1385-1)*(1/Q1385)))))/Inputs!$B$43),IF(Inputs!$B$38="pvp",MIN((Skills!T18*(1+Inputs!$B$34/100)),15)/15,MIN(1,(Skills!T18*(1+Inputs!$B$34/100))/(1/Q1385))))+(C1386=TRUE)*7*F1386</f>
        <v/>
      </c>
    </row>
    <row r="1408">
      <c r="A1408" t="inlineStr">
        <is>
          <t>Global Final Damage Bonus % (Mortal Blow)</t>
        </is>
      </c>
      <c r="B1408">
        <f>(C1387=TRUE)*F1387</f>
        <v/>
      </c>
    </row>
    <row r="1409">
      <c r="A1409" t="inlineStr">
        <is>
          <t>Buff-Casting Startup Delay (s, fixed-duration only)</t>
        </is>
      </c>
      <c r="B1409">
        <f>IF(AND(Inputs!$B$38&lt;&gt;"pvp",Inputs!$B$43&gt;0),SUMPRODUCT((Skills!T2:T32&gt;0)*(Skills!E2:E32=TRUE)*(C1369:C1399=TRUE))/B1404,0)</f>
        <v/>
      </c>
    </row>
    <row r="1410">
      <c r="A1410" t="inlineStr">
        <is>
          <t>Boss-Only Total DPS (this block's swept value)</t>
        </is>
      </c>
      <c r="B1410">
        <f>SUM(T1369:T1399)</f>
        <v/>
      </c>
    </row>
    <row r="1411">
      <c r="A1411" t="inlineStr">
        <is>
          <t>Normal-Only Total DPS (this block's swept value)</t>
        </is>
      </c>
      <c r="B1411">
        <f>SUM(V1369:V1399)</f>
        <v/>
      </c>
    </row>
    <row r="1412">
      <c r="A1412" s="6" t="inlineStr">
        <is>
          <t>TOTAL DPS</t>
        </is>
      </c>
      <c r="B1412" s="6">
        <f>SUM(O1369:O1399)</f>
        <v/>
      </c>
    </row>
    <row r="1415">
      <c r="A1415" s="6" t="inlineStr">
        <is>
          <t>Stat: Shamaness Marble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Skills!G2*IF(Skills!H2&gt;0,INT(IF(Inputs!$B$38="pvp",MIN(Skills!I2,15),Skills!I2)/Skills!H2+0.000000001),1)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1441=TRUE)*(F1441-Calc!F26)),(Inputs!$B$23+((C1446=TRUE)*(F1446-Calc!F31))+(IF(ArtifactsInput!$M$15,CHOOSE(ArtifactsInput!$N$15+1,25,30,35,40,45,50)/100*(Inputs!$B$11-Inputs!$B$11),0))))/100+(Inputs!$B$23+((C1446=TRUE)*(F1446-Calc!F31))+(IF(ArtifactsInput!$M$15,CHOOSE(ArtifactsInput!$N$15+1,25,30,35,40,45,50)/100*(Inputs!$B$11-Inputs!$B$11),0)))/100)/2</f>
        <v/>
      </c>
      <c r="M1417">
        <f>L1417*(1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IF(B1460=0,0,O1417/B1460)</f>
        <v/>
      </c>
      <c r="Q1417" t="n">
        <v>0</v>
      </c>
      <c r="R1417" t="n">
        <v>0</v>
      </c>
      <c r="S1417">
        <f>IFERROR(O1417/N1417,0)</f>
        <v/>
      </c>
      <c r="T1417">
        <f>IF(C1417,(Skills!G2*N1417*B1454)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IF(C1417,(Skills!G2*N1417*B1454)*IF(Inputs!$B$38="pvp",1,(1+(Inputs!$B$21+Skills!Q2+(IF(ArtifactsInput!$M$33,CHOOSE(ArtifactsInput!$N$33+1,30,36,42,48,54,60),0))+(IF(AND(ArtifactsInput!$M$35,Inputs!$B$4&lt;&gt;"Chapter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f>Skills!G3*IF(Skills!H3&gt;0,INT(IF(Inputs!$B$38="pvp",MIN(Skills!I3,15),Skills!I3)/Skills!H3+0.000000001),1)</f>
        <v/>
      </c>
      <c r="H1418">
        <f>1-(1-Skills!J3/100)^Skills!K3</f>
        <v/>
      </c>
      <c r="I1418" t="inlineStr">
        <is>
          <t>1</t>
        </is>
      </c>
      <c r="J1418">
        <f>((Inputs!$B$6*(1+Inputs!$B$7/100))+(((Inputs!$B$12*(1+Inputs!$B$13/100))-(Inputs!$B$12*(1+Inputs!$B$13/100)))+0.25*(Inputs!$B$14-Inputs!$B$14))*(1+Inputs!$B$7/100))*(F1418/100)</f>
        <v/>
      </c>
      <c r="K1418">
        <f>J1418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1419=TRUE,F1419,0)/100)*(1+(IF(Skills!A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1441=TRUE)*(F1441-Calc!F26)),(Inputs!$B$23+((C1446=TRUE)*(F1446-Calc!F31))+(IF(ArtifactsInput!$M$15,CHOOSE(ArtifactsInput!$N$15+1,25,30,35,40,45,50)/100*(Inputs!$B$11-Inputs!$B$11),0))))/100+(Inputs!$B$23+((C1446=TRUE)*(F1446-Calc!F31))+(IF(ArtifactsInput!$M$15,CHOOSE(ArtifactsInput!$N$15+1,25,30,35,40,45,50)/100*(Inputs!$B$11-Inputs!$B$11),0)))/100)/2</f>
        <v/>
      </c>
      <c r="M1418">
        <f>L1418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IF(B1460=0,0,O1418/B1460)</f>
        <v/>
      </c>
      <c r="Q1418">
        <f>IFERROR(1/(IF(Inputs!$B$38="pvp",15,MAX(0.1,1/B1452-IF(FALSE=TRUE,Inputs!$B$32,0)))*(1-IF(AND(ArtifactsInput!$M$27,Inputs!$B$4="Chapter Hunt"),CHOOSE(ArtifactsInput!$N$27+1,20,24,28,32,36,40),0)/100)),0)</f>
        <v/>
      </c>
      <c r="R1418">
        <f>IF(AND(Inputs!$B$38&lt;&gt;"pvp",Inputs!$B$43&gt;0),IF(MAX(0,Inputs!$B$43-B1457)&lt;=0,0,(INT(MAX(0,Inputs!$B$43-B1457)/(IF(Inputs!$B$38="pvp",15,MAX(0.1,1/B1452-IF(FALSE=TRUE,Inputs!$B$32,0)))*(1-IF(AND(ArtifactsInput!$M$27,Inputs!$B$4="Chapter Hunt"),CHOOSE(ArtifactsInput!$N$27+1,20,24,28,32,36,40),0)/100)))+1)),0)</f>
        <v/>
      </c>
      <c r="S1418">
        <f>IFERROR(O1418/N1418,0)</f>
        <v/>
      </c>
      <c r="T1418">
        <f>IF(C1418,(H1418*N1418*IF(AND(Inputs!$B$38&lt;&gt;"pvp",Inputs!$B$43&gt;0),((Skills!G3*((R1418-1)*IF(Skills!H3&gt;0,INT(Skills!I3/Skills!H3+0.000000001),1)+IF(Skills!H3&gt;0,INT(MIN(Skills!I3,MAX(0,MAX(0,Inputs!$B$43-B1457)-((R1418-1)*(IF(Inputs!$B$38="pvp",15,MAX(0.1,1/B1452-IF(FALSE=TRUE,Inputs!$B$32,0)))*(1-IF(AND(ArtifactsInput!$M$27,Inputs!$B$4="Chapter Hunt"),CHOOSE(ArtifactsInput!$N$27+1,20,24,28,32,36,40),0)/100)))))/Skills!H3+0.000000001),1)))/Inputs!$B$43),G1418*Q1418)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INDEX(FactorTable!$B$2:$Y$301, MATCH(ROUND(MIN(300,MAX(1,U1417)),0), FactorTable!$A$2:$A$301,0), 22)</f>
        <v/>
      </c>
      <c r="V1418">
        <f>IF(C1418,(H1418*N1418*IF(AND(Inputs!$B$38&lt;&gt;"pvp",Inputs!$B$43&gt;0),((Skills!G3*((R1418-1)*IF(Skills!H3&gt;0,INT(Skills!I3/Skills!H3+0.000000001),1)+IF(Skills!H3&gt;0,INT(MIN(Skills!I3,MAX(0,MAX(0,Inputs!$B$43-B1457)-((R1418-1)*(IF(Inputs!$B$38="pvp",15,MAX(0.1,1/B1452-IF(FALSE=TRUE,Inputs!$B$32,0)))*(1-IF(AND(ArtifactsInput!$M$27,Inputs!$B$4="Chapter Hunt"),CHOOSE(ArtifactsInput!$N$27+1,20,24,28,32,36,40),0)/100)))))/Skills!H3+0.000000001),1)))/Inputs!$B$43),G1418*Q1418))*IF(Inputs!$B$38="pvp",1,(1+(Inputs!$B$21+Skills!Q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T1419" t="inlineStr"/>
      <c r="U1419">
        <f>290*U1418/1000</f>
        <v/>
      </c>
      <c r="V1419" t="inlineStr"/>
    </row>
    <row r="1420">
      <c r="A1420">
        <f>Skills!A5</f>
        <v/>
      </c>
      <c r="B1420">
        <f>Skills!B5</f>
        <v/>
      </c>
      <c r="C1420">
        <f>Inputs!$B$3&gt;=35</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Skills!G5*IF(Skills!H5&gt;0,INT(IF(Inputs!$B$38="pvp",MIN(Skills!I5,15),Skills!I5)/Skills!H5+0.000000001),1)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5="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1441=TRUE)*(F1441-Calc!F26)),(Inputs!$B$23+((C1446=TRUE)*(F1446-Calc!F31))+(IF(ArtifactsInput!$M$15,CHOOSE(ArtifactsInput!$N$15+1,25,30,35,40,45,50)/100*(Inputs!$B$11-Inputs!$B$11),0))))/100+(Inputs!$B$23+((C1446=TRUE)*(F1446-Calc!F31))+(IF(ArtifactsInput!$M$15,CHOOSE(ArtifactsInput!$N$15+1,25,30,35,40,45,50)/100*(Inputs!$B$11-Inputs!$B$11),0)))/100)/2</f>
        <v/>
      </c>
      <c r="M1420">
        <f>L1420*(1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IF(B1460=0,0,O1420/B1460)</f>
        <v/>
      </c>
      <c r="Q1420">
        <f>IFERROR(1/(IF(Inputs!$B$38="pvp",15,MAX(0.1,Skills!D5-IF(TRUE=TRUE,Inputs!$B$32,0)))*(1-IF(AND(ArtifactsInput!$M$27,Inputs!$B$4="Chapter Hunt"),CHOOSE(ArtifactsInput!$N$27+1,20,24,28,32,36,40),0)/100)),0)</f>
        <v/>
      </c>
      <c r="R1420">
        <f>IF(AND(Inputs!$B$38&lt;&gt;"pvp",Inputs!$B$43&gt;0),IF(MAX(0,Inputs!$B$43-B1457)&lt;=0,0,(INT(MAX(0,Inputs!$B$43-B1457)/(IF(Inputs!$B$38="pvp",15,MAX(0.1,Skills!D5-IF(TRUE=TRUE,Inputs!$B$32,0)))*(1-IF(AND(ArtifactsInput!$M$27,Inputs!$B$4="Chapter Hunt"),CHOOSE(ArtifactsInput!$N$27+1,20,24,28,32,36,40),0)/100)))+1)),0)</f>
        <v/>
      </c>
      <c r="S1420">
        <f>IFERROR(O1420/N1420,0)</f>
        <v/>
      </c>
      <c r="T1420">
        <f>IF(C1420,(H1420*N1420*IF(AND(Inputs!$B$38&lt;&gt;"pvp",Inputs!$B$43&gt;0),((Skills!G5*((R1420-1)*IF(Skills!H5&gt;0,INT(Skills!I5/Skills!H5+0.000000001),1)+IF(Skills!H5&gt;0,INT(MIN(Skills!I5,MAX(0,MAX(0,Inputs!$B$43-B1457)-((R1420-1)*(IF(Inputs!$B$38="pvp",15,MAX(0.1,Skills!D5-IF(TRUE=TRUE,Inputs!$B$32,0)))*(1-IF(AND(ArtifactsInput!$M$27,Inputs!$B$4="Chapter Hunt"),CHOOSE(ArtifactsInput!$N$27+1,20,24,28,32,36,40),0)/100)))))/Skills!H5+0.000000001),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INT(Skills!I5/Skills!H5+0.000000001),1)+IF(Skills!H5&gt;0,INT(MIN(Skills!I5,MAX(0,MAX(0,Inputs!$B$43-B1457)-((R1420-1)*(IF(Inputs!$B$38="pvp",15,MAX(0.1,Skills!D5-IF(TRUE=TRUE,Inputs!$B$32,0)))*(1-IF(AND(ArtifactsInput!$M$27,Inputs!$B$4="Chapter Hunt"),CHOOSE(ArtifactsInput!$N$27+1,20,24,28,32,36,40),0)/100)))))/Skills!H5+0.000000001),1)))/Inputs!$B$43),G1420*Q1420))*IF(Inputs!$B$38="pvp",1,(1+(Inputs!$B$21+Skills!Q5+(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Inputs!$B$3&gt;=40</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Skills!G6*IF(Skills!H6&gt;0,INT(IF(Inputs!$B$38="pvp",MIN(Skills!I6,15),Skills!I6)/Skills!H6+0.000000001),1)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1422=TRUE,F1422,0)/100)*(1+(IF(Skills!A6="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1441=TRUE)*(F1441-Calc!F26)),(Inputs!$B$23+((C1446=TRUE)*(F1446-Calc!F31))+(IF(ArtifactsInput!$M$15,CHOOSE(ArtifactsInput!$N$15+1,25,30,35,40,45,50)/100*(Inputs!$B$11-Inputs!$B$11),0))))/100+(Inputs!$B$23+((C1446=TRUE)*(F1446-Calc!F31))+(IF(ArtifactsInput!$M$15,CHOOSE(ArtifactsInput!$N$15+1,25,30,35,40,45,50)/100*(Inputs!$B$11-Inputs!$B$11),0)))/100)/2</f>
        <v/>
      </c>
      <c r="M1421">
        <f>L1421*(1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IF(B1460=0,0,O1421/B1460)</f>
        <v/>
      </c>
      <c r="Q1421">
        <f>IFERROR(1/(IF(Inputs!$B$38="pvp",15,MAX(0.1,1-0.4*MIN(1,(B1452-1)/1.5)-IF(FALSE=TRUE,Inputs!$B$32,0)))*(1-IF(AND(ArtifactsInput!$M$27,Inputs!$B$4="Chapter Hunt"),CHOOSE(ArtifactsInput!$N$27+1,20,24,28,32,36,40),0)/100)),0)</f>
        <v/>
      </c>
      <c r="R1421">
        <f>IF(AND(Inputs!$B$38&lt;&gt;"pvp",Inputs!$B$43&gt;0),IF(MAX(0,Inputs!$B$43-B1457)&lt;=0,0,(INT(MAX(0,Inputs!$B$43-B1457)/(IF(Inputs!$B$38="pvp",15,MAX(0.1,1-0.4*MIN(1,(B1452-1)/1.5)-IF(FALSE=TRUE,Inputs!$B$32,0)))*(1-IF(AND(ArtifactsInput!$M$27,Inputs!$B$4="Chapter Hunt"),CHOOSE(ArtifactsInput!$N$27+1,20,24,28,32,36,40),0)/100)))+1)),0)</f>
        <v/>
      </c>
      <c r="S1421">
        <f>IFERROR(O1421/N1421,0)</f>
        <v/>
      </c>
      <c r="T1421">
        <f>IF(C1421,(H1421*N1421*IF(AND(Inputs!$B$38&lt;&gt;"pvp",Inputs!$B$43&gt;0),((Skills!G6*((R1421-1)*IF(Skills!H6&gt;0,INT(Skills!I6/Skills!H6+0.000000001),1)+IF(Skills!H6&gt;0,INT(MIN(Skills!I6,MAX(0,MAX(0,Inputs!$B$43-B1457)-((R1421-1)*(IF(Inputs!$B$38="pvp",15,MAX(0.1,1-0.4*MIN(1,(B1452-1)/1.5)-IF(FALSE=TRUE,Inputs!$B$32,0)))*(1-IF(AND(ArtifactsInput!$M$27,Inputs!$B$4="Chapter Hunt"),CHOOSE(ArtifactsInput!$N$27+1,20,24,28,32,36,40),0)/100)))))/Skills!H6+0.000000001),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INT(Skills!I6/Skills!H6+0.000000001),1)+IF(Skills!H6&gt;0,INT(MIN(Skills!I6,MAX(0,MAX(0,Inputs!$B$43-B1457)-((R1421-1)*(IF(Inputs!$B$38="pvp",15,MAX(0.1,1-0.4*MIN(1,(B1452-1)/1.5)-IF(FALSE=TRUE,Inputs!$B$32,0)))*(1-IF(AND(ArtifactsInput!$M$27,Inputs!$B$4="Chapter Hunt"),CHOOSE(ArtifactsInput!$N$27+1,20,24,28,32,36,40),0)/100)))))/Skills!H6+0.000000001),1)))/Inputs!$B$43),G1421*Q1421))*IF(Inputs!$B$38="pvp",1,(1+(Inputs!$B$21+Skills!Q6+(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t="inlineStr"/>
      <c r="H1422" t="inlineStr"/>
      <c r="I1422" t="inlineStr">
        <is>
          <t>1</t>
        </is>
      </c>
      <c r="J1422" t="inlineStr"/>
      <c r="K1422" t="inlineStr"/>
      <c r="L1422" t="inlineStr"/>
      <c r="M1422" t="inlineStr"/>
      <c r="N1422" t="inlineStr"/>
      <c r="O1422" t="inlineStr"/>
      <c r="P1422" t="inlineStr"/>
      <c r="Q1422" t="inlineStr"/>
      <c r="R1422" t="inlineStr"/>
      <c r="S1422" t="inlineStr"/>
      <c r="T1422" t="inlineStr"/>
      <c r="V1422" t="inlineStr"/>
    </row>
    <row r="1423">
      <c r="A1423">
        <f>Skills!A8</f>
        <v/>
      </c>
      <c r="B1423">
        <f>Skills!B8</f>
        <v/>
      </c>
      <c r="C1423">
        <f>Inputs!$B$3&gt;=130</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Skills!G8*IF(Skills!H8&gt;0,INT(IF(Inputs!$B$38="pvp",MIN(Skills!I8,15),Skills!I8)/Skills!H8+0.000000001),1)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1441=TRUE)*(F1441-Calc!F26)),(Inputs!$B$23+((C1446=TRUE)*(F1446-Calc!F31))+(IF(ArtifactsInput!$M$15,CHOOSE(ArtifactsInput!$N$15+1,25,30,35,40,45,50)/100*(Inputs!$B$11-Inputs!$B$11),0))))/100+(Inputs!$B$23+((C1446=TRUE)*(F1446-Calc!F31))+(IF(ArtifactsInput!$M$15,CHOOSE(ArtifactsInput!$N$15+1,25,30,35,40,45,50)/100*(Inputs!$B$11-Inputs!$B$11),0)))/100)/2</f>
        <v/>
      </c>
      <c r="M1423">
        <f>L1423*(1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IF(B1460=0,0,O1423/B1460)</f>
        <v/>
      </c>
      <c r="Q1423">
        <f>IFERROR(1/(IF(Inputs!$B$38="pvp",15,MAX(0.1,1-0.4*MIN(1,(B1452-1)/1.5)-IF(FALSE=TRUE,Inputs!$B$32,0)))*(1-IF(AND(ArtifactsInput!$M$27,Inputs!$B$4="Chapter Hunt"),CHOOSE(ArtifactsInput!$N$27+1,20,24,28,32,36,40),0)/100)),0)</f>
        <v/>
      </c>
      <c r="R1423">
        <f>IF(AND(Inputs!$B$38&lt;&gt;"pvp",Inputs!$B$43&gt;0),IF(MAX(0,Inputs!$B$43-B1457)&lt;=0,0,(INT(MAX(0,Inputs!$B$43-B1457)/(IF(Inputs!$B$38="pvp",15,MAX(0.1,1-0.4*MIN(1,(B1452-1)/1.5)-IF(FALSE=TRUE,Inputs!$B$32,0)))*(1-IF(AND(ArtifactsInput!$M$27,Inputs!$B$4="Chapter Hunt"),CHOOSE(ArtifactsInput!$N$27+1,20,24,28,32,36,40),0)/100)))+1)),0)</f>
        <v/>
      </c>
      <c r="S1423">
        <f>IFERROR(O1423/N1423,0)</f>
        <v/>
      </c>
      <c r="T1423">
        <f>IF(C1423,(H1423*N1423*IF(AND(Inputs!$B$38&lt;&gt;"pvp",Inputs!$B$43&gt;0),((Skills!G8*((R1423-1)*IF(Skills!H8&gt;0,INT(Skills!I8/Skills!H8+0.000000001),1)+IF(Skills!H8&gt;0,INT(MIN(Skills!I8,MAX(0,MAX(0,Inputs!$B$43-B1457)-((R1423-1)*(IF(Inputs!$B$38="pvp",15,MAX(0.1,1-0.4*MIN(1,(B1452-1)/1.5)-IF(FALSE=TRUE,Inputs!$B$32,0)))*(1-IF(AND(ArtifactsInput!$M$27,Inputs!$B$4="Chapter Hunt"),CHOOSE(ArtifactsInput!$N$27+1,20,24,28,32,36,40),0)/100)))))/Skills!H8+0.000000001),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INT(Skills!I8/Skills!H8+0.000000001),1)+IF(Skills!H8&gt;0,INT(MIN(Skills!I8,MAX(0,MAX(0,Inputs!$B$43-B1457)-((R1423-1)*(IF(Inputs!$B$38="pvp",15,MAX(0.1,1-0.4*MIN(1,(B1452-1)/1.5)-IF(FALSE=TRUE,Inputs!$B$32,0)))*(1-IF(AND(ArtifactsInput!$M$27,Inputs!$B$4="Chapter Hunt"),CHOOSE(ArtifactsInput!$N$27+1,20,24,28,32,36,40),0)/100)))))/Skills!H8+0.000000001),1)))/Inputs!$B$43),G1423*Q1423))*IF(Inputs!$B$38="pvp",1,(1+(Inputs!$B$21+Skills!Q8+(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Skills!G9*IF(Skills!H9&gt;0,INT(IF(Inputs!$B$38="pvp",MIN(Skills!I9,15),Skills!I9)/Skills!H9+0.000000001),1)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1427=TRUE,F1427,0)/100)*(1+(IF(Skills!A9="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1441=TRUE)*(F1441-Calc!F26)),(Inputs!$B$23+((C1446=TRUE)*(F1446-Calc!F31))+(IF(ArtifactsInput!$M$15,CHOOSE(ArtifactsInput!$N$15+1,25,30,35,40,45,50)/100*(Inputs!$B$11-Inputs!$B$11),0))))/100+(Inputs!$B$23+((C1446=TRUE)*(F1446-Calc!F31))+(IF(ArtifactsInput!$M$15,CHOOSE(ArtifactsInput!$N$15+1,25,30,35,40,45,50)/100*(Inputs!$B$11-Inputs!$B$11),0)))/100)/2</f>
        <v/>
      </c>
      <c r="M1424">
        <f>L1424*(1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IF(B1460=0,0,O1424/B1460)</f>
        <v/>
      </c>
      <c r="Q1424">
        <f>IFERROR(1/(IF(Inputs!$B$38="pvp",15,MAX(0.1,Skills!D9-IF(TRUE=TRUE,Inputs!$B$32,0)))*(1-IF(AND(ArtifactsInput!$M$27,Inputs!$B$4="Chapter Hunt"),CHOOSE(ArtifactsInput!$N$27+1,20,24,28,32,36,40),0)/100)),0)</f>
        <v/>
      </c>
      <c r="R1424">
        <f>IF(AND(Inputs!$B$38&lt;&gt;"pvp",Inputs!$B$43&gt;0),IF(MAX(0,Inputs!$B$43-B1457)&lt;=0,0,(INT(MAX(0,Inputs!$B$43-B1457)/(IF(Inputs!$B$38="pvp",15,MAX(0.1,Skills!D9-IF(TRUE=TRUE,Inputs!$B$32,0)))*(1-IF(AND(ArtifactsInput!$M$27,Inputs!$B$4="Chapter Hunt"),CHOOSE(ArtifactsInput!$N$27+1,20,24,28,32,36,40),0)/100)))+1)),0)</f>
        <v/>
      </c>
      <c r="S1424">
        <f>IFERROR(O1424/N1424,0)</f>
        <v/>
      </c>
      <c r="T1424">
        <f>IF(C1424,(H1424*N1424*IF(AND(Inputs!$B$38&lt;&gt;"pvp",Inputs!$B$43&gt;0),((Skills!G9*((R1424-1)*IF(Skills!H9&gt;0,INT(Skills!I9/Skills!H9+0.000000001),1)+IF(Skills!H9&gt;0,INT(MIN(Skills!I9,MAX(0,MAX(0,Inputs!$B$43-B1457)-((R1424-1)*(IF(Inputs!$B$38="pvp",15,MAX(0.1,Skills!D9-IF(TRUE=TRUE,Inputs!$B$32,0)))*(1-IF(AND(ArtifactsInput!$M$27,Inputs!$B$4="Chapter Hunt"),CHOOSE(ArtifactsInput!$N$27+1,20,24,28,32,36,40),0)/100)))))/Skills!H9+0.000000001),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INT(Skills!I9/Skills!H9+0.000000001),1)+IF(Skills!H9&gt;0,INT(MIN(Skills!I9,MAX(0,MAX(0,Inputs!$B$43-B1457)-((R1424-1)*(IF(Inputs!$B$38="pvp",15,MAX(0.1,Skills!D9-IF(TRUE=TRUE,Inputs!$B$32,0)))*(1-IF(AND(ArtifactsInput!$M$27,Inputs!$B$4="Chapter Hunt"),CHOOSE(ArtifactsInput!$N$27+1,20,24,28,32,36,40),0)/100)))))/Skills!H9+0.000000001),1)))/Inputs!$B$43),G1424*Q1424))*IF(Inputs!$B$38="pvp",1,(1+(Inputs!$B$21+Skills!Q9+(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Skills!G10*IF(Skills!H10&gt;0,INT(IF(Inputs!$B$38="pvp",MIN(Skills!I10,15),Skills!I10)/Skills!H10+0.000000001),1)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10="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1441=TRUE)*(F1441-Calc!F26)),(Inputs!$B$23+((C1446=TRUE)*(F1446-Calc!F31))+(IF(ArtifactsInput!$M$15,CHOOSE(ArtifactsInput!$N$15+1,25,30,35,40,45,50)/100*(Inputs!$B$11-Inputs!$B$11),0))))/100+(Inputs!$B$23+((C1446=TRUE)*(F1446-Calc!F31))+(IF(ArtifactsInput!$M$15,CHOOSE(ArtifactsInput!$N$15+1,25,30,35,40,45,50)/100*(Inputs!$B$11-Inputs!$B$11),0)))/100)/2</f>
        <v/>
      </c>
      <c r="M1425">
        <f>L1425*(1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IF(B1460=0,0,O1425/B1460)</f>
        <v/>
      </c>
      <c r="Q1425">
        <f>IFERROR(1/(IF(Inputs!$B$38="pvp",15,MAX(0.1,Skills!D10-IF(TRUE=TRUE,Inputs!$B$32,0)))*(1-IF(AND(ArtifactsInput!$M$27,Inputs!$B$4="Chapter Hunt"),CHOOSE(ArtifactsInput!$N$27+1,20,24,28,32,36,40),0)/100)),0)</f>
        <v/>
      </c>
      <c r="R1425">
        <f>IF(AND(Inputs!$B$38&lt;&gt;"pvp",Inputs!$B$43&gt;0),IF(MAX(0,Inputs!$B$43-B1457)&lt;=0,0,(INT(MAX(0,Inputs!$B$43-B1457)/(IF(Inputs!$B$38="pvp",15,MAX(0.1,Skills!D10-IF(TRUE=TRUE,Inputs!$B$32,0)))*(1-IF(AND(ArtifactsInput!$M$27,Inputs!$B$4="Chapter Hunt"),CHOOSE(ArtifactsInput!$N$27+1,20,24,28,32,36,40),0)/100)))+1)),0)</f>
        <v/>
      </c>
      <c r="S1425">
        <f>IFERROR(O1425/N1425,0)</f>
        <v/>
      </c>
      <c r="T1425">
        <f>IF(C1425,(H1425*N1425*IF(AND(Inputs!$B$38&lt;&gt;"pvp",Inputs!$B$43&gt;0),((Skills!G10*((R1425-1)*IF(Skills!H10&gt;0,INT(Skills!I10/Skills!H10+0.000000001),1)+IF(Skills!H10&gt;0,INT(MIN(Skills!I10,MAX(0,MAX(0,Inputs!$B$43-B1457)-((R1425-1)*(IF(Inputs!$B$38="pvp",15,MAX(0.1,Skills!D10-IF(TRUE=TRUE,Inputs!$B$32,0)))*(1-IF(AND(ArtifactsInput!$M$27,Inputs!$B$4="Chapter Hunt"),CHOOSE(ArtifactsInput!$N$27+1,20,24,28,32,36,40),0)/100)))))/Skills!H10+0.000000001),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INT(Skills!I10/Skills!H10+0.000000001),1)+IF(Skills!H10&gt;0,INT(MIN(Skills!I10,MAX(0,MAX(0,Inputs!$B$43-B1457)-((R1425-1)*(IF(Inputs!$B$38="pvp",15,MAX(0.1,Skills!D10-IF(TRUE=TRUE,Inputs!$B$32,0)))*(1-IF(AND(ArtifactsInput!$M$27,Inputs!$B$4="Chapter Hunt"),CHOOSE(ArtifactsInput!$N$27+1,20,24,28,32,36,40),0)/100)))))/Skills!H10+0.000000001),1)))/Inputs!$B$43),G1425*Q1425))*IF(Inputs!$B$38="pvp",1,(1+(Inputs!$B$21+Skills!Q10+(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Inputs!$B$3&gt;=103</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Skills!G11*IF(Skills!H11&gt;0,INT(IF(Inputs!$B$38="pvp",MIN(Skills!I11,15),Skills!I11)/Skills!H11+0.000000001),1)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1441=TRUE)*(F1441-Calc!F26)),(Inputs!$B$23+((C1446=TRUE)*(F1446-Calc!F31))+(IF(ArtifactsInput!$M$15,CHOOSE(ArtifactsInput!$N$15+1,25,30,35,40,45,50)/100*(Inputs!$B$11-Inputs!$B$11),0))))/100+(Inputs!$B$23+((C1446=TRUE)*(F1446-Calc!F31))+(IF(ArtifactsInput!$M$15,CHOOSE(ArtifactsInput!$N$15+1,25,30,35,40,45,50)/100*(Inputs!$B$11-Inputs!$B$11),0)))/100)/2</f>
        <v/>
      </c>
      <c r="M1426">
        <f>L1426*(1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IF(B1460=0,0,O1426/B1460)</f>
        <v/>
      </c>
      <c r="Q1426">
        <f>IFERROR(1/(IF(Inputs!$B$38="pvp",15,MAX(0.1,Skills!D11-IF(TRUE=TRUE,Inputs!$B$32,0)))*(1-IF(AND(ArtifactsInput!$M$27,Inputs!$B$4="Chapter Hunt"),CHOOSE(ArtifactsInput!$N$27+1,20,24,28,32,36,40),0)/100)),0)</f>
        <v/>
      </c>
      <c r="R1426">
        <f>IF(AND(Inputs!$B$38&lt;&gt;"pvp",Inputs!$B$43&gt;0),IF(MAX(0,Inputs!$B$43-B1457)&lt;=0,0,(INT(MAX(0,Inputs!$B$43-B1457)/(IF(Inputs!$B$38="pvp",15,MAX(0.1,Skills!D11-IF(TRUE=TRUE,Inputs!$B$32,0)))*(1-IF(AND(ArtifactsInput!$M$27,Inputs!$B$4="Chapter Hunt"),CHOOSE(ArtifactsInput!$N$27+1,20,24,28,32,36,40),0)/100)))+1)),0)</f>
        <v/>
      </c>
      <c r="S1426">
        <f>IFERROR(O1426/N1426,0)</f>
        <v/>
      </c>
      <c r="T1426">
        <f>IF(C1426,(H1426*N1426*IF(AND(Inputs!$B$38&lt;&gt;"pvp",Inputs!$B$43&gt;0),((Skills!G11*((R1426-1)*IF(Skills!H11&gt;0,INT(Skills!I11/Skills!H11+0.000000001),1)+IF(Skills!H11&gt;0,INT(MIN(Skills!I11,MAX(0,MAX(0,Inputs!$B$43-B1457)-((R1426-1)*(IF(Inputs!$B$38="pvp",15,MAX(0.1,Skills!D11-IF(TRUE=TRUE,Inputs!$B$32,0)))*(1-IF(AND(ArtifactsInput!$M$27,Inputs!$B$4="Chapter Hunt"),CHOOSE(ArtifactsInput!$N$27+1,20,24,28,32,36,40),0)/100)))))/Skills!H11+0.000000001)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INT(Skills!I11/Skills!H11+0.000000001),1)+IF(Skills!H11&gt;0,INT(MIN(Skills!I11,MAX(0,MAX(0,Inputs!$B$43-B1457)-((R1426-1)*(IF(Inputs!$B$38="pvp",15,MAX(0.1,Skills!D11-IF(TRUE=TRUE,Inputs!$B$32,0)))*(1-IF(AND(ArtifactsInput!$M$27,Inputs!$B$4="Chapter Hunt"),CHOOSE(ArtifactsInput!$N$27+1,20,24,28,32,36,40),0)/100)))))/Skills!H11+0.000000001),1)))/Inputs!$B$43),G1426*Q1426))*IF(Inputs!$B$38="pvp",1,(1+(Inputs!$B$21+Skills!Q11+(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c r="T1427" t="inlineStr"/>
      <c r="V1427" t="inlineStr"/>
    </row>
    <row r="1428">
      <c r="A1428">
        <f>Skills!A13</f>
        <v/>
      </c>
      <c r="B1428">
        <f>Skills!B13</f>
        <v/>
      </c>
      <c r="C1428">
        <f>Inputs!$B$3&gt;=60</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Skills!G13*IF(Skills!H13&gt;0,INT(IF(Inputs!$B$38="pvp",MIN(Skills!I13,15),Skills!I13)/Skills!H13+0.000000001),1)</f>
        <v/>
      </c>
      <c r="H1428">
        <f>1-(1-Skills!J13/100)^Skills!K13</f>
        <v/>
      </c>
      <c r="I1428" t="inlineStr">
        <is>
          <t>1</t>
        </is>
      </c>
      <c r="J1428">
        <f>((Inputs!$B$6*(1+Inputs!$B$7/100))+(((Inputs!$B$12*(1+Inputs!$B$13/100))-(Inputs!$B$12*(1+Inputs!$B$13/100)))+0.25*(Inputs!$B$14-Inputs!$B$14))*(1+Inputs!$B$7/100))*(F1428/100)</f>
        <v/>
      </c>
      <c r="K1428">
        <f>J1428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1429=TRUE,F1429,0)/100)*(1+(IF(Skills!A13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1441=TRUE)*(F1441-Calc!F26)),(Inputs!$B$23+((C1446=TRUE)*(F1446-Calc!F31))+(IF(ArtifactsInput!$M$15,CHOOSE(ArtifactsInput!$N$15+1,25,30,35,40,45,50)/100*(Inputs!$B$11-Inputs!$B$11),0))))/100+(Inputs!$B$23+((C1446=TRUE)*(F1446-Calc!F31))+(IF(ArtifactsInput!$M$15,CHOOSE(ArtifactsInput!$N$15+1,25,30,35,40,45,50)/100*(Inputs!$B$11-Inputs!$B$11),0)))/100)/2</f>
        <v/>
      </c>
      <c r="M1428">
        <f>L1428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8">
        <f>L1428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8">
        <f>(1-Summary!$B$11)*T1428+Summary!$B$11*V1428</f>
        <v/>
      </c>
      <c r="P1428">
        <f>IF(B1460=0,0,O1428/B1460)</f>
        <v/>
      </c>
      <c r="Q1428">
        <f>IFERROR(1/(IF(Inputs!$B$38="pvp",15,MAX(0.1,IF(Inputs!$B$3&gt;=122,3,5)+1/(((20+30*(B1452-1)*100/150)/100)*B1452)-IF(FALSE=TRUE,Inputs!$B$32,0)))*(1-IF(AND(ArtifactsInput!$M$27,Inputs!$B$4="Chapter Hunt"),CHOOSE(ArtifactsInput!$N$27+1,20,24,28,32,36,40),0)/100)),0)</f>
        <v/>
      </c>
      <c r="R1428">
        <f>IF(AND(Inputs!$B$38&lt;&gt;"pvp",Inputs!$B$43&gt;0),IF(MAX(0,Inputs!$B$43-B1457)&lt;=0,0,(INT(MAX(0,Inputs!$B$43-B1457)/(IF(Inputs!$B$38="pvp",15,MAX(0.1,IF(Inputs!$B$3&gt;=122,3,5)+1/(((20+30*(B1452-1)*100/150)/100)*B1452)-IF(FALSE=TRUE,Inputs!$B$32,0)))*(1-IF(AND(ArtifactsInput!$M$27,Inputs!$B$4="Chapter Hunt"),CHOOSE(ArtifactsInput!$N$27+1,20,24,28,32,36,40),0)/100)))+1)),0)</f>
        <v/>
      </c>
      <c r="S1428">
        <f>IFERROR(O1428/N1428,0)</f>
        <v/>
      </c>
      <c r="T1428">
        <f>IF(C1428,(H1428*N1428*IF(AND(Inputs!$B$38&lt;&gt;"pvp",Inputs!$B$43&gt;0),((Skills!G13*((R1428-1)*IF(Skills!H13&gt;0,INT(Skills!I13/Skills!H13+0.000000001),1)+IF(Skills!H13&gt;0,INT(MIN(Skills!I13,MAX(0,MAX(0,Inputs!$B$43-B1457)-((R1428-1)*(IF(Inputs!$B$38="pvp",15,MAX(0.1,IF(Inputs!$B$3&gt;=122,3,5)+1/(((20+30*(B1452-1)*100/150)/100)*B1452)-IF(FALSE=TRUE,Inputs!$B$32,0)))*(1-IF(AND(ArtifactsInput!$M$27,Inputs!$B$4="Chapter Hunt"),CHOOSE(ArtifactsInput!$N$27+1,20,24,28,32,36,40),0)/100)))))/Skills!H13+0.000000001),1)))/Inputs!$B$43),G1428*Q1428)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13*((R1428-1)*IF(Skills!H13&gt;0,INT(Skills!I13/Skills!H13+0.000000001),1)+IF(Skills!H13&gt;0,INT(MIN(Skills!I13,MAX(0,MAX(0,Inputs!$B$43-B1457)-((R1428-1)*(IF(Inputs!$B$38="pvp",15,MAX(0.1,IF(Inputs!$B$3&gt;=122,3,5)+1/(((20+30*(B1452-1)*100/150)/100)*B1452)-IF(FALSE=TRUE,Inputs!$B$32,0)))*(1-IF(AND(ArtifactsInput!$M$27,Inputs!$B$4="Chapter Hunt"),CHOOSE(ArtifactsInput!$N$27+1,20,24,28,32,36,40),0)/100)))))/Skills!H13+0.000000001),1)))/Inputs!$B$43),G1428*Q1428))*IF(Inputs!$B$38="pvp",1,(1+(Inputs!$B$21+Skills!Q13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Skills!A14</f>
        <v/>
      </c>
      <c r="B1429">
        <f>Skills!B14</f>
        <v/>
      </c>
      <c r="C1429">
        <f>Inputs!$B$3&gt;=110</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Skills!A15</f>
        <v/>
      </c>
      <c r="B1430">
        <f>Skills!B15</f>
        <v/>
      </c>
      <c r="C1430">
        <f>Inputs!$B$3&gt;=74</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Skills!G15*IF(Skills!H15&gt;0,INT(IF(Inputs!$B$38="pvp",MIN(Skills!I15,15),Skills!I15)/Skills!H15+0.000000001),1)</f>
        <v/>
      </c>
      <c r="H1430">
        <f>1-(1-Skills!J15/100)^Skills!K15</f>
        <v/>
      </c>
      <c r="I1430" t="inlineStr">
        <is>
          <t>1</t>
        </is>
      </c>
      <c r="J1430" t="inlineStr"/>
      <c r="K1430" t="inlineStr"/>
      <c r="L1430" t="inlineStr"/>
      <c r="M1430" t="inlineStr"/>
      <c r="N1430" t="inlineStr"/>
      <c r="O1430">
        <f>(1-Summary!$B$11)*T1430+Summary!$B$11*V1430</f>
        <v/>
      </c>
      <c r="P1430">
        <f>IF(B1460=0,0,O1430/B1460)</f>
        <v/>
      </c>
      <c r="Q1430" t="n">
        <v>0</v>
      </c>
      <c r="R1430" t="n">
        <v>0</v>
      </c>
      <c r="S1430">
        <f>IFERROR(O1430/N1430,0)</f>
        <v/>
      </c>
      <c r="T1430" t="n">
        <v>0</v>
      </c>
      <c r="V1430" t="n">
        <v>0</v>
      </c>
    </row>
    <row r="1431">
      <c r="A1431">
        <f>Skills!A16</f>
        <v/>
      </c>
      <c r="B1431">
        <f>Skills!B16</f>
        <v/>
      </c>
      <c r="C1431">
        <f>Inputs!$B$3&gt;=74</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Skills!G16*IF(Skills!H16&gt;0,INT(IF(Inputs!$B$38="pvp",MIN(Skills!I16,15),Skills!I16)/Skills!H16+0.000000001),1)</f>
        <v/>
      </c>
      <c r="H1431">
        <f>1-(1-Skills!J16/100)^Skills!K16</f>
        <v/>
      </c>
      <c r="I1431" t="inlineStr">
        <is>
          <t>1</t>
        </is>
      </c>
      <c r="J1431" t="inlineStr"/>
      <c r="K1431" t="inlineStr"/>
      <c r="L1431" t="inlineStr"/>
      <c r="M1431" t="inlineStr"/>
      <c r="N1431" t="inlineStr"/>
      <c r="O1431">
        <f>(1-Summary!$B$11)*T1431+Summary!$B$11*V1431</f>
        <v/>
      </c>
      <c r="P1431">
        <f>IF(B1460=0,0,O1431/B1460)</f>
        <v/>
      </c>
      <c r="Q1431" t="n">
        <v>0</v>
      </c>
      <c r="R1431" t="n">
        <v>0</v>
      </c>
      <c r="S1431">
        <f>IFERROR(O1431/N1431,0)</f>
        <v/>
      </c>
      <c r="T1431" t="n">
        <v>0</v>
      </c>
      <c r="V1431" t="n">
        <v>0</v>
      </c>
    </row>
    <row r="1432">
      <c r="A1432">
        <f>Skills!A17</f>
        <v/>
      </c>
      <c r="B1432">
        <f>Skills!B17</f>
        <v/>
      </c>
      <c r="C1432">
        <f>Inputs!$B$3&gt;=117</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Skills!G17*IF(Skills!H17&gt;0,INT(IF(Inputs!$B$38="pvp",MIN(Skills!I17,15),Skills!I17)/Skills!H17+0.000000001),1)</f>
        <v/>
      </c>
      <c r="H1432">
        <f>1-(1-Skills!J17/100)^Skills!K17</f>
        <v/>
      </c>
      <c r="I1432" t="inlineStr">
        <is>
          <t>1</t>
        </is>
      </c>
      <c r="J1432" t="inlineStr"/>
      <c r="K1432" t="inlineStr"/>
      <c r="L1432" t="inlineStr"/>
      <c r="M1432" t="inlineStr"/>
      <c r="N1432" t="inlineStr"/>
      <c r="O1432">
        <f>(1-Summary!$B$11)*T1432+Summary!$B$11*V1432</f>
        <v/>
      </c>
      <c r="P1432">
        <f>IF(B1460=0,0,O1432/B1460)</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Skills!G18*IF(Skills!H18&gt;0,INT(IF(Inputs!$B$38="pvp",MIN(Skills!I18,15),Skills!I18)/Skills!H18+0.000000001),1)</f>
        <v/>
      </c>
      <c r="H1433">
        <f>1-(1-Skills!J18/100)^Skills!K18</f>
        <v/>
      </c>
      <c r="I1433" t="inlineStr">
        <is>
          <t>1</t>
        </is>
      </c>
      <c r="J1433" t="inlineStr"/>
      <c r="K1433" t="inlineStr"/>
      <c r="L1433" t="inlineStr"/>
      <c r="M1433" t="inlineStr"/>
      <c r="N1433" t="inlineStr"/>
      <c r="O1433">
        <f>(1-Summary!$B$11)*T1433+Summary!$B$11*V1433</f>
        <v/>
      </c>
      <c r="P1433">
        <f>IF(B1460=0,0,O1433/B1460)</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Inputs!$B$3&gt;=66</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Skills!G19*IF(Skills!H19&gt;0,INT(IF(Inputs!$B$38="pvp",MIN(Skills!I19,15),Skills!I19)/Skills!H19+0.000000001),1)</f>
        <v/>
      </c>
      <c r="H1434">
        <f>1-(1-Skills!J19/100)^Skills!K19</f>
        <v/>
      </c>
      <c r="I1434" t="inlineStr">
        <is>
          <t>1</t>
        </is>
      </c>
      <c r="J1434" t="inlineStr"/>
      <c r="K1434" t="inlineStr"/>
      <c r="L1434" t="inlineStr"/>
      <c r="M1434" t="inlineStr"/>
      <c r="N1434" t="inlineStr"/>
      <c r="O1434">
        <f>(1-Summary!$B$11)*T1434+Summary!$B$11*V1434</f>
        <v/>
      </c>
      <c r="P1434">
        <f>IF(B1460=0,0,O1434/B1460)</f>
        <v/>
      </c>
      <c r="Q1434" t="n">
        <v>0</v>
      </c>
      <c r="R1434" t="n">
        <v>0</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Skills!G20*IF(Skills!H20&gt;0,INT(IF(Inputs!$B$38="pvp",MIN(Skills!I20,15),Skills!I20)/Skills!H20+0.000000001),1)</f>
        <v/>
      </c>
      <c r="H1435">
        <f>1-(1-Skills!J20/100)^Skills!K20</f>
        <v/>
      </c>
      <c r="I1435" t="inlineStr">
        <is>
          <t>1</t>
        </is>
      </c>
      <c r="J1435" t="inlineStr"/>
      <c r="K1435" t="inlineStr"/>
      <c r="L1435" t="inlineStr"/>
      <c r="M1435" t="inlineStr"/>
      <c r="N1435" t="inlineStr"/>
      <c r="O1435">
        <f>(1-Summary!$B$11)*T1435+Summary!$B$11*V1435</f>
        <v/>
      </c>
      <c r="P1435">
        <f>IF(B1460=0,0,O1435/B1460)</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Skills!G21*IF(Skills!H21&gt;0,INT(IF(Inputs!$B$38="pvp",MIN(Skills!I21,15),Skills!I21)/Skills!H21+0.000000001),1)</f>
        <v/>
      </c>
      <c r="H1436">
        <f>1-(1-Skills!J21/100)^Skills!K21</f>
        <v/>
      </c>
      <c r="I1436" t="inlineStr">
        <is>
          <t>1</t>
        </is>
      </c>
      <c r="J1436" t="inlineStr"/>
      <c r="K1436" t="inlineStr"/>
      <c r="L1436" t="inlineStr"/>
      <c r="M1436" t="inlineStr"/>
      <c r="N1436" t="inlineStr"/>
      <c r="O1436">
        <f>(1-Summary!$B$11)*T1436+Summary!$B$11*V1436</f>
        <v/>
      </c>
      <c r="P1436">
        <f>IF(B1460=0,0,O1436/B1460)</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Inputs!$B$3&gt;=15</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Skills!G22*IF(Skills!H22&gt;0,INT(IF(Inputs!$B$38="pvp",MIN(Skills!I22,15),Skills!I22)/Skills!H22+0.000000001),1)</f>
        <v/>
      </c>
      <c r="H1437">
        <f>1-(1-Skills!J22/100)^Skills!K22</f>
        <v/>
      </c>
      <c r="I1437" t="inlineStr">
        <is>
          <t>1</t>
        </is>
      </c>
      <c r="J1437" t="inlineStr"/>
      <c r="K1437" t="inlineStr"/>
      <c r="L1437" t="inlineStr"/>
      <c r="M1437" t="inlineStr"/>
      <c r="N1437" t="inlineStr"/>
      <c r="O1437">
        <f>(1-Summary!$B$11)*T1437+Summary!$B$11*V1437</f>
        <v/>
      </c>
      <c r="P1437">
        <f>IF(B1460=0,0,O1437/B1460)</f>
        <v/>
      </c>
      <c r="Q1437" t="n">
        <v>0</v>
      </c>
      <c r="R1437" t="n">
        <v>0</v>
      </c>
      <c r="S1437">
        <f>IFERROR(O1437/N1437,0)</f>
        <v/>
      </c>
      <c r="T1437" t="n">
        <v>0</v>
      </c>
      <c r="V1437" t="n">
        <v>0</v>
      </c>
    </row>
    <row r="1438">
      <c r="A1438">
        <f>Skills!A23</f>
        <v/>
      </c>
      <c r="B1438">
        <f>Skills!B23</f>
        <v/>
      </c>
      <c r="C1438">
        <f>Inputs!$B$3&gt;=10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Skills!G23*IF(Skills!H23&gt;0,INT(IF(Inputs!$B$38="pvp",MIN(Skills!I23,15),Skills!I23)/Skills!H23+0.000000001),1)</f>
        <v/>
      </c>
      <c r="H1438">
        <f>1-(1-Skills!J23/100)^Skills!K23</f>
        <v/>
      </c>
      <c r="I1438" t="inlineStr">
        <is>
          <t>1</t>
        </is>
      </c>
      <c r="J1438" t="inlineStr"/>
      <c r="K1438" t="inlineStr"/>
      <c r="L1438" t="inlineStr"/>
      <c r="M1438" t="inlineStr"/>
      <c r="N1438" t="inlineStr"/>
      <c r="O1438">
        <f>(1-Summary!$B$11)*T1438+Summary!$B$11*V1438</f>
        <v/>
      </c>
      <c r="P1438">
        <f>IF(B1460=0,0,O1438/B1460)</f>
        <v/>
      </c>
      <c r="Q1438" t="n">
        <v>0</v>
      </c>
      <c r="R1438" t="n">
        <v>0</v>
      </c>
      <c r="S1438">
        <f>IFERROR(O1438/N1438,0)</f>
        <v/>
      </c>
      <c r="T1438" t="n">
        <v>0</v>
      </c>
      <c r="V1438" t="n">
        <v>0</v>
      </c>
    </row>
    <row r="1439">
      <c r="A1439">
        <f>Skills!A24</f>
        <v/>
      </c>
      <c r="B1439">
        <f>Skills!B24</f>
        <v/>
      </c>
      <c r="C1439">
        <f>Inputs!$B$3&gt;=33</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Skills!G24*IF(Skills!H24&gt;0,INT(IF(Inputs!$B$38="pvp",MIN(Skills!I24,15),Skills!I24)/Skills!H24+0.000000001),1)</f>
        <v/>
      </c>
      <c r="H1439">
        <f>1-(1-Skills!J24/100)^Skills!K24</f>
        <v/>
      </c>
      <c r="I1439" t="inlineStr">
        <is>
          <t>1</t>
        </is>
      </c>
      <c r="J1439" t="inlineStr"/>
      <c r="K1439" t="inlineStr"/>
      <c r="L1439" t="inlineStr"/>
      <c r="M1439" t="inlineStr"/>
      <c r="N1439" t="inlineStr"/>
      <c r="O1439">
        <f>(1-Summary!$B$11)*T1439+Summary!$B$11*V1439</f>
        <v/>
      </c>
      <c r="P1439">
        <f>IF(B1460=0,0,O1439/B1460)</f>
        <v/>
      </c>
      <c r="Q1439" t="n">
        <v>0</v>
      </c>
      <c r="R1439" t="n">
        <v>0</v>
      </c>
      <c r="S1439">
        <f>IFERROR(O1439/N1439,0)</f>
        <v/>
      </c>
      <c r="T1439" t="n">
        <v>0</v>
      </c>
      <c r="V1439" t="n">
        <v>0</v>
      </c>
    </row>
    <row r="1440">
      <c r="A1440">
        <f>Skills!A25</f>
        <v/>
      </c>
      <c r="B1440">
        <f>Skills!B25</f>
        <v/>
      </c>
      <c r="C1440">
        <f>Inputs!$B$3&gt;=38</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Skills!G25*IF(Skills!H25&gt;0,INT(IF(Inputs!$B$38="pvp",MIN(Skills!I25,15),Skills!I25)/Skills!H25+0.000000001),1)</f>
        <v/>
      </c>
      <c r="H1440">
        <f>1-(1-Skills!J25/100)^Skills!K25</f>
        <v/>
      </c>
      <c r="I1440" t="inlineStr">
        <is>
          <t>1</t>
        </is>
      </c>
      <c r="J1440" t="inlineStr"/>
      <c r="K1440" t="inlineStr"/>
      <c r="L1440" t="inlineStr"/>
      <c r="M1440" t="inlineStr"/>
      <c r="N1440" t="inlineStr"/>
      <c r="O1440">
        <f>(1-Summary!$B$11)*T1440+Summary!$B$11*V1440</f>
        <v/>
      </c>
      <c r="P1440">
        <f>IF(B1460=0,0,O1440/B1460)</f>
        <v/>
      </c>
      <c r="Q1440" t="n">
        <v>0</v>
      </c>
      <c r="R1440" t="n">
        <v>0</v>
      </c>
      <c r="S1440">
        <f>IFERROR(O1440/N1440,0)</f>
        <v/>
      </c>
      <c r="T1440" t="n">
        <v>0</v>
      </c>
      <c r="V1440" t="n">
        <v>0</v>
      </c>
    </row>
    <row r="1441">
      <c r="A1441">
        <f>Skills!A26</f>
        <v/>
      </c>
      <c r="B1441">
        <f>Skills!B26</f>
        <v/>
      </c>
      <c r="C1441">
        <f>Inputs!$B$3&gt;=43</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Skills!G26*IF(Skills!H26&gt;0,INT(IF(Inputs!$B$38="pvp",MIN(Skills!I26,15),Skills!I26)/Skills!H26+0.000000001),1)</f>
        <v/>
      </c>
      <c r="H1441">
        <f>1-(1-Skills!J26/100)^Skills!K26</f>
        <v/>
      </c>
      <c r="I1441" t="inlineStr">
        <is>
          <t>1</t>
        </is>
      </c>
      <c r="J1441" t="inlineStr"/>
      <c r="K1441" t="inlineStr"/>
      <c r="L1441" t="inlineStr"/>
      <c r="M1441" t="inlineStr"/>
      <c r="N1441" t="inlineStr"/>
      <c r="O1441">
        <f>(1-Summary!$B$11)*T1441+Summary!$B$11*V1441</f>
        <v/>
      </c>
      <c r="P1441">
        <f>IF(B1460=0,0,O1441/B1460)</f>
        <v/>
      </c>
      <c r="Q1441" t="n">
        <v>0</v>
      </c>
      <c r="R1441" t="n">
        <v>0</v>
      </c>
      <c r="S1441">
        <f>IFERROR(O1441/N1441,0)</f>
        <v/>
      </c>
      <c r="T1441" t="n">
        <v>0</v>
      </c>
      <c r="V1441" t="n">
        <v>0</v>
      </c>
    </row>
    <row r="1442">
      <c r="A1442">
        <f>Skills!A27</f>
        <v/>
      </c>
      <c r="B1442">
        <f>Skills!B27</f>
        <v/>
      </c>
      <c r="C1442">
        <f>Inputs!$B$3&gt;=75</f>
        <v/>
      </c>
      <c r="D1442">
        <f>IF(Skills!C27=1,60+Inputs!$B$25+Inputs!$B$29,IF(Skills!C27=2,90+Inputs!$B$26+Inputs!$B$29,IF(Skills!C27=3,120+Inputs!$B$27+Inputs!$B$29,MAX(0,(Inputs!$B$3-100)*3)+Inputs!$B$28+Inputs!$B$29)))</f>
        <v/>
      </c>
      <c r="E1442">
        <f>INDEX(FactorTable!$B$2:$Y$301, MATCH(ROUND(MIN(300,MAX(1,D1442)),0), FactorTable!$A$2:$A$301,0), Skills!M27+1)</f>
        <v/>
      </c>
      <c r="F1442">
        <f>IF(Skills!N27=TRUE,(Skills!L27/10)*(E1442/1000),Skills!L27/10)+Skills!O27</f>
        <v/>
      </c>
      <c r="G1442">
        <f>Skills!G27*IF(Skills!H27&gt;0,INT(IF(Inputs!$B$38="pvp",MIN(Skills!I27,15),Skills!I27)/Skills!H27+0.000000001),1)</f>
        <v/>
      </c>
      <c r="H1442">
        <f>1-(1-Skills!J27/100)^Skills!K27</f>
        <v/>
      </c>
      <c r="I1442" t="inlineStr">
        <is>
          <t>1</t>
        </is>
      </c>
      <c r="J1442" t="inlineStr"/>
      <c r="K1442" t="inlineStr"/>
      <c r="L1442" t="inlineStr"/>
      <c r="M1442" t="inlineStr"/>
      <c r="N1442" t="inlineStr"/>
      <c r="O1442">
        <f>(1-Summary!$B$11)*T1442+Summary!$B$11*V1442</f>
        <v/>
      </c>
      <c r="P1442">
        <f>IF(B1460=0,0,O1442/B1460)</f>
        <v/>
      </c>
      <c r="Q1442" t="n">
        <v>0</v>
      </c>
      <c r="R1442" t="n">
        <v>0</v>
      </c>
      <c r="S1442">
        <f>IFERROR(O1442/N1442,0)</f>
        <v/>
      </c>
      <c r="T1442" t="n">
        <v>0</v>
      </c>
      <c r="V1442" t="n">
        <v>0</v>
      </c>
    </row>
    <row r="1443">
      <c r="A1443">
        <f>Skills!A28</f>
        <v/>
      </c>
      <c r="B1443">
        <f>Skills!B28</f>
        <v/>
      </c>
      <c r="C1443">
        <f>Inputs!$B$3&gt;=125</f>
        <v/>
      </c>
      <c r="D1443">
        <f>IF(Skills!C28=1,60+Inputs!$B$25+Inputs!$B$29,IF(Skills!C28=2,90+Inputs!$B$26+Inputs!$B$29,IF(Skills!C28=3,120+Inputs!$B$27+Inputs!$B$29,MAX(0,(Inputs!$B$3-100)*3)+Inputs!$B$28+Inputs!$B$29)))</f>
        <v/>
      </c>
      <c r="E1443">
        <f>INDEX(FactorTable!$B$2:$Y$301, MATCH(ROUND(MIN(300,MAX(1,D1443)),0), FactorTable!$A$2:$A$301,0), Skills!M28+1)</f>
        <v/>
      </c>
      <c r="F1443">
        <f>IF(Skills!N28=TRUE,(Skills!L28/10)*(E1443/1000),Skills!L28/10)+Skills!O28</f>
        <v/>
      </c>
      <c r="G1443">
        <f>Skills!G28*IF(Skills!H28&gt;0,INT(IF(Inputs!$B$38="pvp",MIN(Skills!I28,15),Skills!I28)/Skills!H28+0.000000001),1)</f>
        <v/>
      </c>
      <c r="H1443">
        <f>1-(1-Skills!J28/100)^Skills!K28</f>
        <v/>
      </c>
      <c r="I1443" t="inlineStr">
        <is>
          <t>1</t>
        </is>
      </c>
      <c r="J1443" t="inlineStr"/>
      <c r="K1443" t="inlineStr"/>
      <c r="L1443" t="inlineStr"/>
      <c r="M1443" t="inlineStr"/>
      <c r="N1443" t="inlineStr"/>
      <c r="O1443">
        <f>(1-Summary!$B$11)*T1443+Summary!$B$11*V1443</f>
        <v/>
      </c>
      <c r="P1443">
        <f>IF(B1460=0,0,O1443/B1460)</f>
        <v/>
      </c>
      <c r="Q1443" t="n">
        <v>0</v>
      </c>
      <c r="R1443" t="n">
        <v>0</v>
      </c>
      <c r="S1443">
        <f>IFERROR(O1443/N1443,0)</f>
        <v/>
      </c>
      <c r="T1443" t="n">
        <v>0</v>
      </c>
      <c r="V1443" t="n">
        <v>0</v>
      </c>
    </row>
    <row r="1444">
      <c r="A1444">
        <f>Skills!A29</f>
        <v/>
      </c>
      <c r="B1444">
        <f>Skills!B29</f>
        <v/>
      </c>
      <c r="C1444">
        <f>Inputs!$B$3&gt;=125</f>
        <v/>
      </c>
      <c r="D1444">
        <f>IF(Skills!C29=1,60+Inputs!$B$25+Inputs!$B$29,IF(Skills!C29=2,90+Inputs!$B$26+Inputs!$B$29,IF(Skills!C29=3,120+Inputs!$B$27+Inputs!$B$29,MAX(0,(Inputs!$B$3-100)*3)+Inputs!$B$28+Inputs!$B$29)))</f>
        <v/>
      </c>
      <c r="E1444">
        <f>INDEX(FactorTable!$B$2:$Y$301, MATCH(ROUND(MIN(300,MAX(1,D1444)),0), FactorTable!$A$2:$A$301,0), Skills!M29+1)</f>
        <v/>
      </c>
      <c r="F1444">
        <f>IF(Skills!N29=TRUE,(Skills!L29/10)*(E1444/1000),Skills!L29/10)+Skills!O29</f>
        <v/>
      </c>
      <c r="G1444">
        <f>Skills!G29*IF(Skills!H29&gt;0,INT(IF(Inputs!$B$38="pvp",MIN(Skills!I29,15),Skills!I29)/Skills!H29+0.000000001),1)</f>
        <v/>
      </c>
      <c r="H1444">
        <f>1-(1-Skills!J29/100)^Skills!K29</f>
        <v/>
      </c>
      <c r="I1444" t="inlineStr">
        <is>
          <t>1</t>
        </is>
      </c>
      <c r="J1444" t="inlineStr"/>
      <c r="K1444" t="inlineStr"/>
      <c r="L1444" t="inlineStr"/>
      <c r="M1444" t="inlineStr"/>
      <c r="N1444" t="inlineStr"/>
      <c r="O1444">
        <f>(1-Summary!$B$11)*T1444+Summary!$B$11*V1444</f>
        <v/>
      </c>
      <c r="P1444">
        <f>IF(B1460=0,0,O1444/B1460)</f>
        <v/>
      </c>
      <c r="Q1444" t="n">
        <v>0</v>
      </c>
      <c r="R1444" t="n">
        <v>0</v>
      </c>
      <c r="S1444">
        <f>IFERROR(O1444/N1444,0)</f>
        <v/>
      </c>
      <c r="T1444" t="n">
        <v>0</v>
      </c>
      <c r="V1444" t="n">
        <v>0</v>
      </c>
    </row>
    <row r="1445">
      <c r="A1445">
        <f>Skills!A30</f>
        <v/>
      </c>
      <c r="B1445">
        <f>Skills!B30</f>
        <v/>
      </c>
      <c r="C1445">
        <f>Inputs!$B$3&gt;=120</f>
        <v/>
      </c>
      <c r="D1445">
        <f>IF(Skills!C30=1,60+Inputs!$B$25+Inputs!$B$29,IF(Skills!C30=2,90+Inputs!$B$26+Inputs!$B$29,IF(Skills!C30=3,120+Inputs!$B$27+Inputs!$B$29,MAX(0,(Inputs!$B$3-100)*3)+Inputs!$B$28+Inputs!$B$29)))</f>
        <v/>
      </c>
      <c r="E1445">
        <f>INDEX(FactorTable!$B$2:$Y$301, MATCH(ROUND(MIN(300,MAX(1,D1445)),0), FactorTable!$A$2:$A$301,0), Skills!M30+1)</f>
        <v/>
      </c>
      <c r="F1445">
        <f>IF(Skills!N30=TRUE,(Skills!L30/10)*(E1445/1000),Skills!L30/10)+Skills!O30</f>
        <v/>
      </c>
      <c r="G1445">
        <f>Skills!G30*IF(Skills!H30&gt;0,INT(IF(Inputs!$B$38="pvp",MIN(Skills!I30,15),Skills!I30)/Skills!H30+0.000000001),1)</f>
        <v/>
      </c>
      <c r="H1445">
        <f>1-(1-Skills!J30/100)^Skills!K30</f>
        <v/>
      </c>
      <c r="I1445" t="inlineStr">
        <is>
          <t>1</t>
        </is>
      </c>
      <c r="J1445" t="inlineStr"/>
      <c r="K1445" t="inlineStr"/>
      <c r="L1445" t="inlineStr"/>
      <c r="M1445" t="inlineStr"/>
      <c r="N1445" t="inlineStr"/>
      <c r="O1445">
        <f>(1-Summary!$B$11)*T1445+Summary!$B$11*V1445</f>
        <v/>
      </c>
      <c r="P1445">
        <f>IF(B1460=0,0,O1445/B1460)</f>
        <v/>
      </c>
      <c r="Q1445" t="n">
        <v>0</v>
      </c>
      <c r="R1445" t="n">
        <v>0</v>
      </c>
      <c r="S1445">
        <f>IFERROR(O1445/N1445,0)</f>
        <v/>
      </c>
      <c r="T1445" t="n">
        <v>0</v>
      </c>
      <c r="V1445" t="n">
        <v>0</v>
      </c>
    </row>
    <row r="1446">
      <c r="A1446">
        <f>Skills!A31</f>
        <v/>
      </c>
      <c r="B1446">
        <f>Skills!B31</f>
        <v/>
      </c>
      <c r="C1446">
        <f>Inputs!$B$3&gt;=120</f>
        <v/>
      </c>
      <c r="D1446">
        <f>IF(Skills!C31=1,60+Inputs!$B$25+Inputs!$B$29,IF(Skills!C31=2,90+Inputs!$B$26+Inputs!$B$29,IF(Skills!C31=3,120+Inputs!$B$27+Inputs!$B$29,MAX(0,(Inputs!$B$3-100)*3)+Inputs!$B$28+Inputs!$B$29)))</f>
        <v/>
      </c>
      <c r="E1446">
        <f>INDEX(FactorTable!$B$2:$Y$301, MATCH(ROUND(MIN(300,MAX(1,D1446)),0), FactorTable!$A$2:$A$301,0), Skills!M31+1)</f>
        <v/>
      </c>
      <c r="F1446">
        <f>IF(Skills!N31=TRUE,(Skills!L31/10)*(E1446/1000),Skills!L31/10)+Skills!O31</f>
        <v/>
      </c>
      <c r="G1446">
        <f>Skills!G31*IF(Skills!H31&gt;0,INT(IF(Inputs!$B$38="pvp",MIN(Skills!I31,15),Skills!I31)/Skills!H31+0.000000001),1)</f>
        <v/>
      </c>
      <c r="H1446">
        <f>1-(1-Skills!J31/100)^Skills!K31</f>
        <v/>
      </c>
      <c r="I1446" t="inlineStr">
        <is>
          <t>1</t>
        </is>
      </c>
      <c r="J1446" t="inlineStr"/>
      <c r="K1446" t="inlineStr"/>
      <c r="L1446" t="inlineStr"/>
      <c r="M1446" t="inlineStr"/>
      <c r="N1446" t="inlineStr"/>
      <c r="O1446">
        <f>(1-Summary!$B$11)*T1446+Summary!$B$11*V1446</f>
        <v/>
      </c>
      <c r="P1446">
        <f>IF(B1460=0,0,O1446/B1460)</f>
        <v/>
      </c>
      <c r="Q1446" t="n">
        <v>0</v>
      </c>
      <c r="R1446" t="n">
        <v>0</v>
      </c>
      <c r="S1446">
        <f>IFERROR(O1446/N1446,0)</f>
        <v/>
      </c>
      <c r="T1446" t="n">
        <v>0</v>
      </c>
      <c r="V1446" t="n">
        <v>0</v>
      </c>
    </row>
    <row r="1447">
      <c r="A1447">
        <f>Skills!A32</f>
        <v/>
      </c>
      <c r="B1447">
        <f>Skills!B32</f>
        <v/>
      </c>
      <c r="C1447">
        <f>Inputs!$B$3&gt;=45</f>
        <v/>
      </c>
      <c r="D1447">
        <f>IF(Skills!C32=1,60+Inputs!$B$25+Inputs!$B$29,IF(Skills!C32=2,90+Inputs!$B$26+Inputs!$B$29,IF(Skills!C32=3,120+Inputs!$B$27+Inputs!$B$29,MAX(0,(Inputs!$B$3-100)*3)+Inputs!$B$28+Inputs!$B$29)))</f>
        <v/>
      </c>
      <c r="E1447">
        <f>INDEX(FactorTable!$B$2:$Y$301, MATCH(ROUND(MIN(300,MAX(1,D1447)),0), FactorTable!$A$2:$A$301,0), Skills!M32+1)</f>
        <v/>
      </c>
      <c r="F1447">
        <f>IF(Skills!N32=TRUE,(Skills!L32/10)*(E1447/1000),Skills!L32/10)+Skills!O32</f>
        <v/>
      </c>
      <c r="G1447">
        <f>Skills!G32*IF(Skills!H32&gt;0,INT(IF(Inputs!$B$38="pvp",MIN(Skills!I32,15),Skills!I32)/Skills!H32+0.000000001),1)</f>
        <v/>
      </c>
      <c r="H1447">
        <f>1-(1-Skills!J32/100)^Skills!K32</f>
        <v/>
      </c>
      <c r="I1447" t="inlineStr">
        <is>
          <t>1</t>
        </is>
      </c>
      <c r="J1447" t="inlineStr"/>
      <c r="K1447" t="inlineStr"/>
      <c r="L1447" t="inlineStr"/>
      <c r="M1447" t="inlineStr"/>
      <c r="N1447" t="inlineStr"/>
      <c r="O1447">
        <f>(1-Summary!$B$11)*T1447+Summary!$B$11*V1447</f>
        <v/>
      </c>
      <c r="P1447">
        <f>IF(B1460=0,0,O1447/B1460)</f>
        <v/>
      </c>
      <c r="Q1447" t="n">
        <v>0</v>
      </c>
      <c r="R1447" t="n">
        <v>0</v>
      </c>
      <c r="S1447">
        <f>IFERROR(O1447/N1447,0)</f>
        <v/>
      </c>
      <c r="T1447" t="n">
        <v>0</v>
      </c>
      <c r="V1447" t="n">
        <v>0</v>
      </c>
    </row>
    <row r="1449">
      <c r="A1449" t="inlineStr">
        <is>
          <t>Attack% Bucket Multiplier</t>
        </is>
      </c>
      <c r="B1449">
        <f>(1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0">
      <c r="A1450" t="inlineStr">
        <is>
          <t>Global Crit Rate Bonus %</t>
        </is>
      </c>
      <c r="B1450" t="n">
        <v>0</v>
      </c>
    </row>
    <row r="1451">
      <c r="A1451" t="inlineStr">
        <is>
          <t>Attack Speed Buff Bonus %</t>
        </is>
      </c>
      <c r="B1451">
        <f>((C1436=TRUE)*F1436*IF(AND(Inputs!$B$38&lt;&gt;"pvp",Inputs!$B$43&gt;0),(((R1436-1)*MIN((Skills!T21*(1+Inputs!$B$34/100)),(1/Q1436))+MIN((Skills!T21*(1+Inputs!$B$34/100)),MAX(0,Inputs!$B$43-((R1436-1)*(1/Q1436)))))/Inputs!$B$43),IF(Inputs!$B$38="pvp",MIN((Skills!T21*(1+Inputs!$B$34/100)),15)/15,MIN(1,(Skills!T21*(1+Inputs!$B$34/100))/(1/Q1436)))))</f>
        <v/>
      </c>
    </row>
    <row r="1452">
      <c r="A1452" t="inlineStr">
        <is>
          <t>Actions Per Second</t>
        </is>
      </c>
      <c r="B1452">
        <f>1+MIN(150,150*(1-(1-(Inputs!$B$11+((C1438=TRUE)*(F1438-Calc!F23))+((C1439=TRUE)*(F1439-Calc!F24)))/150)*(1-B1451/150)))/100</f>
        <v/>
      </c>
    </row>
    <row r="1453">
      <c r="A1453" t="inlineStr">
        <is>
          <t>Skill + Buff Cast Rate</t>
        </is>
      </c>
      <c r="B1453">
        <f>IF(AND(Inputs!$B$38&lt;&gt;"pvp",Inputs!$B$43&gt;0),SUMPRODUCT((Skills!E2:E32=TRUE)*(C1417:C1447=TRUE)*R1417:R1447*Skills!F2:F32)/Inputs!$B$43,SUMPRODUCT((Skills!E2:E32=TRUE)*(C1417:C1447=TRUE)*Q1417:Q1447*Skills!F2:F32))</f>
        <v/>
      </c>
    </row>
    <row r="1454">
      <c r="A1454" t="inlineStr">
        <is>
          <t>Arrow Stream Casts Per Second</t>
        </is>
      </c>
      <c r="B1454">
        <f>MAX(0,B1452-B1453)</f>
        <v/>
      </c>
    </row>
    <row r="1455">
      <c r="A1455" t="inlineStr">
        <is>
          <t>Global Critical Damage Bonus % (Sharp Eyes + Concentration)</t>
        </is>
      </c>
      <c r="B1455">
        <f>(C1433=TRUE)*F1433*IF(AND(Inputs!$B$38&lt;&gt;"pvp",Inputs!$B$43&gt;0),(((R1433-1)*MIN((Skills!T18*(1+Inputs!$B$34/100)),(1/Q1433))+MIN((Skills!T18*(1+Inputs!$B$34/100)),MAX(0,Inputs!$B$43-((R1433-1)*(1/Q1433)))))/Inputs!$B$43),IF(Inputs!$B$38="pvp",MIN((Skills!T18*(1+Inputs!$B$34/100)),15)/15,MIN(1,(Skills!T18*(1+Inputs!$B$34/100))/(1/Q1433))))+(C1434=TRUE)*7*F1434</f>
        <v/>
      </c>
    </row>
    <row r="1456">
      <c r="A1456" t="inlineStr">
        <is>
          <t>Global Final Damage Bonus % (Mortal Blow)</t>
        </is>
      </c>
      <c r="B1456">
        <f>(C1435=TRUE)*F1435</f>
        <v/>
      </c>
    </row>
    <row r="1457">
      <c r="A1457" t="inlineStr">
        <is>
          <t>Buff-Casting Startup Delay (s, fixed-duration only)</t>
        </is>
      </c>
      <c r="B1457">
        <f>IF(AND(Inputs!$B$38&lt;&gt;"pvp",Inputs!$B$43&gt;0),SUMPRODUCT((Skills!T2:T32&gt;0)*(Skills!E2:E32=TRUE)*(C1417:C1447=TRUE))/B1452,0)</f>
        <v/>
      </c>
    </row>
    <row r="1458">
      <c r="A1458" t="inlineStr">
        <is>
          <t>Boss-Only Total DPS (this block's swept value)</t>
        </is>
      </c>
      <c r="B1458">
        <f>SUM(T1417:T1447)</f>
        <v/>
      </c>
    </row>
    <row r="1459">
      <c r="A1459" t="inlineStr">
        <is>
          <t>Normal-Only Total DPS (this block's swept value)</t>
        </is>
      </c>
      <c r="B1459">
        <f>SUM(V1417:V1447)</f>
        <v/>
      </c>
    </row>
    <row r="1460">
      <c r="A1460" s="6" t="inlineStr">
        <is>
          <t>TOTAL DPS</t>
        </is>
      </c>
      <c r="B1460" s="6">
        <f>SUM(O1417:O1447)</f>
        <v/>
      </c>
    </row>
    <row r="1463">
      <c r="A1463" s="6" t="inlineStr">
        <is>
          <t>Stat: The Contract of Darkness (Equip)</t>
        </is>
      </c>
    </row>
    <row r="1464">
      <c r="A1464" s="5" t="inlineStr">
        <is>
          <t>Key</t>
        </is>
      </c>
      <c r="B1464" s="5" t="inlineStr">
        <is>
          <t>Name</t>
        </is>
      </c>
      <c r="C1464" s="5" t="inlineStr">
        <is>
          <t>Unlocked</t>
        </is>
      </c>
      <c r="D1464" s="5" t="inlineStr">
        <is>
          <t>InputLevel</t>
        </is>
      </c>
      <c r="E1464" s="5" t="inlineStr">
        <is>
          <t>Factor</t>
        </is>
      </c>
      <c r="F1464" s="5" t="inlineStr">
        <is>
          <t>CoefficientPercent</t>
        </is>
      </c>
      <c r="G1464" s="5" t="inlineStr">
        <is>
          <t>EffectiveHits</t>
        </is>
      </c>
      <c r="H1464" s="5" t="inlineStr">
        <is>
          <t>ProcProbability</t>
        </is>
      </c>
      <c r="I1464" s="5" t="inlineStr">
        <is>
          <t>MapleHeroMultiplier</t>
        </is>
      </c>
      <c r="J1464" s="5" t="inlineStr">
        <is>
          <t>BaseDamage</t>
        </is>
      </c>
      <c r="K1464" s="5" t="inlineStr">
        <is>
          <t>BaseHitDamage</t>
        </is>
      </c>
      <c r="L1464" s="5" t="inlineStr">
        <is>
          <t>NonCritAvg</t>
        </is>
      </c>
      <c r="M1464" s="5" t="inlineStr">
        <is>
          <t>CritAvg</t>
        </is>
      </c>
      <c r="N1464" s="5" t="inlineStr">
        <is>
          <t>ExpectedDamage(perHit)</t>
        </is>
      </c>
      <c r="O1464" s="5" t="inlineStr">
        <is>
          <t>DPS</t>
        </is>
      </c>
      <c r="P1464" s="5" t="inlineStr">
        <is>
          <t>% of Total</t>
        </is>
      </c>
      <c r="Q1464" s="5" t="inlineStr">
        <is>
          <t>InvCooldown</t>
        </is>
      </c>
      <c r="R1464" s="5" t="inlineStr">
        <is>
          <t>CastsInFight</t>
        </is>
      </c>
      <c r="S1464" s="5" t="inlineStr">
        <is>
          <t>HitRate(perSec)</t>
        </is>
      </c>
      <c r="U1464" t="inlineStr">
        <is>
          <t>helpers</t>
        </is>
      </c>
    </row>
    <row r="1465">
      <c r="A1465">
        <f>Skills!A2</f>
        <v/>
      </c>
      <c r="B1465">
        <f>Skills!B2</f>
        <v/>
      </c>
      <c r="C1465">
        <f>Inputs!$B$3&gt;=100</f>
        <v/>
      </c>
      <c r="D1465" t="inlineStr"/>
      <c r="E1465" t="inlineStr"/>
      <c r="F1465">
        <f>U1467+Skills!O2</f>
        <v/>
      </c>
      <c r="G1465">
        <f>Skills!G2*IF(Skills!H2&gt;0,INT(IF(Inputs!$B$38="pvp",MIN(Skills!I2,15),Skills!I2)/Skills!H2+0.000000001),1)</f>
        <v/>
      </c>
      <c r="H1465">
        <f>1-(1-Skills!J2/100)^Skills!K2</f>
        <v/>
      </c>
      <c r="I1465" t="inlineStr">
        <is>
          <t>1</t>
        </is>
      </c>
      <c r="J1465">
        <f>((Inputs!$B$6*(1+Inputs!$B$7/100))+(((Inputs!$B$12*(1+Inputs!$B$13/100))-(Inputs!$B$12*(1+Inputs!$B$13/100)))+0.25*(Inputs!$B$14-Inputs!$B$14))*(1+Inputs!$B$7/100))*(F1465/100)</f>
        <v/>
      </c>
      <c r="K1465">
        <f>J1465*(1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1489=TRUE)*(F1489-Calc!F26)),(Inputs!$B$23+((C1494=TRUE)*(F1494-Calc!F31))+(IF(ArtifactsInput!$M$15,CHOOSE(ArtifactsInput!$N$15+1,25,30,35,40,45,50)/100*(Inputs!$B$11-Inputs!$B$11),0))))/100+(Inputs!$B$23+((C1494=TRUE)*(F1494-Calc!F31))+(IF(ArtifactsInput!$M$15,CHOOSE(ArtifactsInput!$N$15+1,25,30,35,40,45,50)/100*(Inputs!$B$11-Inputs!$B$11),0)))/100)/2</f>
        <v/>
      </c>
      <c r="M1465">
        <f>L1465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IF(B1508=0,0,O1465/B1508)</f>
        <v/>
      </c>
      <c r="Q1465" t="n">
        <v>0</v>
      </c>
      <c r="R1465" t="n">
        <v>0</v>
      </c>
      <c r="S1465">
        <f>IFERROR(O1465/N1465,0)</f>
        <v/>
      </c>
      <c r="T1465">
        <f>IF(C1465,(Skills!G2*N1465*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5">
        <f>MAX(0,(Inputs!$B$3-100)*3)+Inputs!$B$28+Inputs!$B$29</f>
        <v/>
      </c>
      <c r="V1465">
        <f>IF(C1465,(Skills!G2*N1465*B1502)*IF(Inputs!$B$38="pvp",1,(1+(Inputs!$B$21+Skills!Q2+(IF(ArtifactsInput!$M$33,CHOOSE(ArtifactsInput!$N$33+1,30,36,42,48,54,60),0))+(IF(AND(ArtifactsInput!$M$35,Inputs!$B$4&lt;&gt;"Chapter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Skills!A3</f>
        <v/>
      </c>
      <c r="B1466">
        <f>Skills!B3</f>
        <v/>
      </c>
      <c r="C1466">
        <f>Inputs!$B$3&gt;=50</f>
        <v/>
      </c>
      <c r="D1466">
        <f>IF(Skills!C3=1,60+Inputs!$B$25+Inputs!$B$29,IF(Skills!C3=2,90+Inputs!$B$26+Inputs!$B$29,IF(Skills!C3=3,120+Inputs!$B$27+Inputs!$B$29,MAX(0,(Inputs!$B$3-100)*3)+Inputs!$B$28+Inputs!$B$29)))</f>
        <v/>
      </c>
      <c r="E1466">
        <f>INDEX(FactorTable!$B$2:$Y$301, MATCH(ROUND(MIN(300,MAX(1,D1466)),0), FactorTable!$A$2:$A$301,0), Skills!M3+1)</f>
        <v/>
      </c>
      <c r="F1466">
        <f>IF(Skills!N3=TRUE,(Skills!L3/10)*(E1466/1000),Skills!L3/10)+Skills!O3</f>
        <v/>
      </c>
      <c r="G1466">
        <f>Skills!G3*IF(Skills!H3&gt;0,INT(IF(Inputs!$B$38="pvp",MIN(Skills!I3,15),Skills!I3)/Skills!H3+0.000000001),1)</f>
        <v/>
      </c>
      <c r="H1466">
        <f>1-(1-Skills!J3/100)^Skills!K3</f>
        <v/>
      </c>
      <c r="I1466" t="inlineStr">
        <is>
          <t>1</t>
        </is>
      </c>
      <c r="J1466">
        <f>((Inputs!$B$6*(1+Inputs!$B$7/100))+(((Inputs!$B$12*(1+Inputs!$B$13/100))-(Inputs!$B$12*(1+Inputs!$B$13/100)))+0.25*(Inputs!$B$14-Inputs!$B$14))*(1+Inputs!$B$7/100))*(F1466/100)</f>
        <v/>
      </c>
      <c r="K1466">
        <f>J1466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1467=TRUE,F1467,0)/100)*(1+(IF(Skills!A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1489=TRUE)*(F1489-Calc!F26)),(Inputs!$B$23+((C1494=TRUE)*(F1494-Calc!F31))+(IF(ArtifactsInput!$M$15,CHOOSE(ArtifactsInput!$N$15+1,25,30,35,40,45,50)/100*(Inputs!$B$11-Inputs!$B$11),0))))/100+(Inputs!$B$23+((C1494=TRUE)*(F1494-Calc!F31))+(IF(ArtifactsInput!$M$15,CHOOSE(ArtifactsInput!$N$15+1,25,30,35,40,45,50)/100*(Inputs!$B$11-Inputs!$B$11),0)))/100)/2</f>
        <v/>
      </c>
      <c r="M1466">
        <f>L1466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IF(B1508=0,0,O1466/B1508)</f>
        <v/>
      </c>
      <c r="Q1466">
        <f>IFERROR(1/(IF(Inputs!$B$38="pvp",15,MAX(0.1,1/B1500-IF(FALSE=TRUE,Inputs!$B$32,0)))*(1-IF(AND(ArtifactsInput!$M$27,Inputs!$B$4="Chapter Hunt"),CHOOSE(ArtifactsInput!$N$27+1,20,24,28,32,36,40),0)/100)),0)</f>
        <v/>
      </c>
      <c r="R1466">
        <f>IF(AND(Inputs!$B$38&lt;&gt;"pvp",Inputs!$B$43&gt;0),IF(MAX(0,Inputs!$B$43-B1505)&lt;=0,0,(INT(MAX(0,Inputs!$B$43-B1505)/(IF(Inputs!$B$38="pvp",15,MAX(0.1,1/B1500-IF(FALSE=TRUE,Inputs!$B$32,0)))*(1-IF(AND(ArtifactsInput!$M$27,Inputs!$B$4="Chapter Hunt"),CHOOSE(ArtifactsInput!$N$27+1,20,24,28,32,36,40),0)/100)))+1)),0)</f>
        <v/>
      </c>
      <c r="S1466">
        <f>IFERROR(O1466/N1466,0)</f>
        <v/>
      </c>
      <c r="T1466">
        <f>IF(C1466,(H1466*N1466*IF(AND(Inputs!$B$38&lt;&gt;"pvp",Inputs!$B$43&gt;0),((Skills!G3*((R1466-1)*IF(Skills!H3&gt;0,INT(Skills!I3/Skills!H3+0.000000001),1)+IF(Skills!H3&gt;0,INT(MIN(Skills!I3,MAX(0,MAX(0,Inputs!$B$43-B1505)-((R1466-1)*(IF(Inputs!$B$38="pvp",15,MAX(0.1,1/B1500-IF(FALSE=TRUE,Inputs!$B$32,0)))*(1-IF(AND(ArtifactsInput!$M$27,Inputs!$B$4="Chapter Hunt"),CHOOSE(ArtifactsInput!$N$27+1,20,24,28,32,36,40),0)/100)))))/Skills!H3+0.000000001),1)))/Inputs!$B$43),G1466*Q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6">
        <f>INDEX(FactorTable!$B$2:$Y$301, MATCH(ROUND(MIN(300,MAX(1,U1465)),0), FactorTable!$A$2:$A$301,0), 22)</f>
        <v/>
      </c>
      <c r="V1466">
        <f>IF(C1466,(H1466*N1466*IF(AND(Inputs!$B$38&lt;&gt;"pvp",Inputs!$B$43&gt;0),((Skills!G3*((R1466-1)*IF(Skills!H3&gt;0,INT(Skills!I3/Skills!H3+0.000000001),1)+IF(Skills!H3&gt;0,INT(MIN(Skills!I3,MAX(0,MAX(0,Inputs!$B$43-B1505)-((R1466-1)*(IF(Inputs!$B$38="pvp",15,MAX(0.1,1/B1500-IF(FALSE=TRUE,Inputs!$B$32,0)))*(1-IF(AND(ArtifactsInput!$M$27,Inputs!$B$4="Chapter Hunt"),CHOOSE(ArtifactsInput!$N$27+1,20,24,28,32,36,40),0)/100)))))/Skills!H3+0.000000001),1)))/Inputs!$B$43),G1466*Q1466))*IF(Inputs!$B$38="pvp",1,(1+(Inputs!$B$21+Skills!Q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Skills!A4</f>
        <v/>
      </c>
      <c r="B1467">
        <f>Skills!B4</f>
        <v/>
      </c>
      <c r="C1467">
        <f>Inputs!$B$3&gt;=105</f>
        <v/>
      </c>
      <c r="D1467">
        <f>IF(Skills!C4=1,60+Inputs!$B$25+Inputs!$B$29,IF(Skills!C4=2,90+Inputs!$B$26+Inputs!$B$29,IF(Skills!C4=3,120+Inputs!$B$27+Inputs!$B$29,MAX(0,(Inputs!$B$3-100)*3)+Inputs!$B$28+Inputs!$B$29)))</f>
        <v/>
      </c>
      <c r="E1467">
        <f>INDEX(FactorTable!$B$2:$Y$301, MATCH(ROUND(MIN(300,MAX(1,D1467)),0), FactorTable!$A$2:$A$301,0), Skills!M4+1)</f>
        <v/>
      </c>
      <c r="F1467">
        <f>IF(Skills!N4=TRUE,(Skills!L4/10)*(E1467/1000),Skills!L4/10)+Skills!O4</f>
        <v/>
      </c>
      <c r="G1467" t="inlineStr"/>
      <c r="H1467" t="inlineStr"/>
      <c r="I1467" t="inlineStr">
        <is>
          <t>1</t>
        </is>
      </c>
      <c r="J1467" t="inlineStr"/>
      <c r="K1467" t="inlineStr"/>
      <c r="L1467" t="inlineStr"/>
      <c r="M1467" t="inlineStr"/>
      <c r="N1467" t="inlineStr"/>
      <c r="O1467" t="inlineStr"/>
      <c r="P1467" t="inlineStr"/>
      <c r="Q1467" t="inlineStr"/>
      <c r="R1467" t="inlineStr"/>
      <c r="S1467" t="inlineStr"/>
      <c r="T1467" t="inlineStr"/>
      <c r="U1467">
        <f>290*U1466/1000</f>
        <v/>
      </c>
      <c r="V1467" t="inlineStr"/>
    </row>
    <row r="1468">
      <c r="A1468">
        <f>Skills!A5</f>
        <v/>
      </c>
      <c r="B1468">
        <f>Skills!B5</f>
        <v/>
      </c>
      <c r="C1468">
        <f>Inputs!$B$3&gt;=35</f>
        <v/>
      </c>
      <c r="D1468">
        <f>IF(Skills!C5=1,60+Inputs!$B$25+Inputs!$B$29,IF(Skills!C5=2,90+Inputs!$B$26+Inputs!$B$29,IF(Skills!C5=3,120+Inputs!$B$27+Inputs!$B$29,MAX(0,(Inputs!$B$3-100)*3)+Inputs!$B$28+Inputs!$B$29)))</f>
        <v/>
      </c>
      <c r="E1468">
        <f>INDEX(FactorTable!$B$2:$Y$301, MATCH(ROUND(MIN(300,MAX(1,D1468)),0), FactorTable!$A$2:$A$301,0), Skills!M5+1)</f>
        <v/>
      </c>
      <c r="F1468">
        <f>IF(Skills!N5=TRUE,(Skills!L5/10)*(E1468/1000),Skills!L5/10)+Skills!O5</f>
        <v/>
      </c>
      <c r="G1468">
        <f>Skills!G5*IF(Skills!H5&gt;0,INT(IF(Inputs!$B$38="pvp",MIN(Skills!I5,15),Skills!I5)/Skills!H5+0.000000001),1)</f>
        <v/>
      </c>
      <c r="H1468">
        <f>1-(1-Skills!J5/100)^Skills!K5</f>
        <v/>
      </c>
      <c r="I1468" t="inlineStr">
        <is>
          <t>1</t>
        </is>
      </c>
      <c r="J1468">
        <f>((Inputs!$B$6*(1+Inputs!$B$7/100))+(((Inputs!$B$12*(1+Inputs!$B$13/100))-(Inputs!$B$12*(1+Inputs!$B$13/100)))+0.25*(Inputs!$B$14-Inputs!$B$14))*(1+Inputs!$B$7/100))*(F1468/100)</f>
        <v/>
      </c>
      <c r="K1468">
        <f>J1468*(1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1475=TRUE,F1475,0)/100)*(1+(IF(Skills!A5="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26)),(Inputs!$B$23+((C1494=TRUE)*(F1494-Calc!F31))+(IF(ArtifactsInput!$M$15,CHOOSE(ArtifactsInput!$N$15+1,25,30,35,40,45,50)/100*(Inputs!$B$11-Inputs!$B$11),0))))/100+(Inputs!$B$23+((C1494=TRUE)*(F1494-Calc!F31))+(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f>IFERROR(1/(IF(Inputs!$B$38="pvp",15,MAX(0.1,Skills!D5-IF(TRUE=TRUE,Inputs!$B$32,0)))*(1-IF(AND(ArtifactsInput!$M$27,Inputs!$B$4="Chapter Hunt"),CHOOSE(ArtifactsInput!$N$27+1,20,24,28,32,36,40),0)/100)),0)</f>
        <v/>
      </c>
      <c r="R1468">
        <f>IF(AND(Inputs!$B$38&lt;&gt;"pvp",Inputs!$B$43&gt;0),IF(MAX(0,Inputs!$B$43-B1505)&lt;=0,0,(INT(MAX(0,Inputs!$B$43-B1505)/(IF(Inputs!$B$38="pvp",15,MAX(0.1,Skills!D5-IF(TRUE=TRUE,Inputs!$B$32,0)))*(1-IF(AND(ArtifactsInput!$M$27,Inputs!$B$4="Chapter Hunt"),CHOOSE(ArtifactsInput!$N$27+1,20,24,28,32,36,40),0)/100)))+1)),0)</f>
        <v/>
      </c>
      <c r="S1468">
        <f>IFERROR(O1468/N1468,0)</f>
        <v/>
      </c>
      <c r="T1468">
        <f>IF(C1468,(H1468*N1468*IF(AND(Inputs!$B$38&lt;&gt;"pvp",Inputs!$B$43&gt;0),((Skills!G5*((R1468-1)*IF(Skills!H5&gt;0,INT(Skills!I5/Skills!H5+0.000000001),1)+IF(Skills!H5&gt;0,INT(MIN(Skills!I5,MAX(0,MAX(0,Inputs!$B$43-B1505)-((R1468-1)*(IF(Inputs!$B$38="pvp",15,MAX(0.1,Skills!D5-IF(TRUE=TRUE,Inputs!$B$32,0)))*(1-IF(AND(ArtifactsInput!$M$27,Inputs!$B$4="Chapter Hunt"),CHOOSE(ArtifactsInput!$N$27+1,20,24,28,32,36,40),0)/100)))))/Skills!H5+0.000000001),1)))/Inputs!$B$43),G1468*Q1468)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5*((R1468-1)*IF(Skills!H5&gt;0,INT(Skills!I5/Skills!H5+0.000000001),1)+IF(Skills!H5&gt;0,INT(MIN(Skills!I5,MAX(0,MAX(0,Inputs!$B$43-B1505)-((R1468-1)*(IF(Inputs!$B$38="pvp",15,MAX(0.1,Skills!D5-IF(TRUE=TRUE,Inputs!$B$32,0)))*(1-IF(AND(ArtifactsInput!$M$27,Inputs!$B$4="Chapter Hunt"),CHOOSE(ArtifactsInput!$N$27+1,20,24,28,32,36,40),0)/100)))))/Skills!H5+0.000000001),1)))/Inputs!$B$43),G1468*Q1468))*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Skills!A6</f>
        <v/>
      </c>
      <c r="B1469">
        <f>Skills!B6</f>
        <v/>
      </c>
      <c r="C1469">
        <f>Inputs!$B$3&gt;=40</f>
        <v/>
      </c>
      <c r="D1469">
        <f>IF(Skills!C6=1,60+Inputs!$B$25+Inputs!$B$29,IF(Skills!C6=2,90+Inputs!$B$26+Inputs!$B$29,IF(Skills!C6=3,120+Inputs!$B$27+Inputs!$B$29,MAX(0,(Inputs!$B$3-100)*3)+Inputs!$B$28+Inputs!$B$29)))</f>
        <v/>
      </c>
      <c r="E1469">
        <f>INDEX(FactorTable!$B$2:$Y$301, MATCH(ROUND(MIN(300,MAX(1,D1469)),0), FactorTable!$A$2:$A$301,0), Skills!M6+1)</f>
        <v/>
      </c>
      <c r="F1469">
        <f>IF(Skills!N6=TRUE,(Skills!L6/10)*(E1469/1000),Skills!L6/10)+Skills!O6</f>
        <v/>
      </c>
      <c r="G1469">
        <f>Skills!G6*IF(Skills!H6&gt;0,INT(IF(Inputs!$B$38="pvp",MIN(Skills!I6,15),Skills!I6)/Skills!H6+0.000000001),1)</f>
        <v/>
      </c>
      <c r="H1469">
        <f>1-(1-Skills!J6/100)^Skills!K6</f>
        <v/>
      </c>
      <c r="I1469" t="inlineStr">
        <is>
          <t>1</t>
        </is>
      </c>
      <c r="J1469">
        <f>((Inputs!$B$6*(1+Inputs!$B$7/100))+(((Inputs!$B$12*(1+Inputs!$B$13/100))-(Inputs!$B$12*(1+Inputs!$B$13/100)))+0.25*(Inputs!$B$14-Inputs!$B$14))*(1+Inputs!$B$7/100))*(F1469/100)</f>
        <v/>
      </c>
      <c r="K1469">
        <f>J1469*(1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1470=TRUE,F1470,0)/100)*(1+(IF(Skills!A6="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C1489=TRUE)*(F1489-Calc!F26)),(Inputs!$B$23+((C1494=TRUE)*(F1494-Calc!F31))+(IF(ArtifactsInput!$M$15,CHOOSE(ArtifactsInput!$N$15+1,25,30,35,40,45,50)/100*(Inputs!$B$11-Inputs!$B$11),0))))/100+(Inputs!$B$23+((C1494=TRUE)*(F1494-Calc!F31))+(IF(ArtifactsInput!$M$15,CHOOSE(ArtifactsInput!$N$15+1,25,30,35,40,45,50)/100*(Inputs!$B$11-Inputs!$B$11),0)))/100)/2</f>
        <v/>
      </c>
      <c r="M1469">
        <f>L1469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(1-Summary!$B$11)*T1469+Summary!$B$11*V1469</f>
        <v/>
      </c>
      <c r="P1469">
        <f>IF(B1508=0,0,O1469/B1508)</f>
        <v/>
      </c>
      <c r="Q1469">
        <f>IFERROR(1/(IF(Inputs!$B$38="pvp",15,MAX(0.1,1-0.4*MIN(1,(B1500-1)/1.5)-IF(FALSE=TRUE,Inputs!$B$32,0)))*(1-IF(AND(ArtifactsInput!$M$27,Inputs!$B$4="Chapter Hunt"),CHOOSE(ArtifactsInput!$N$27+1,20,24,28,32,36,40),0)/100)),0)</f>
        <v/>
      </c>
      <c r="R1469">
        <f>IF(AND(Inputs!$B$38&lt;&gt;"pvp",Inputs!$B$43&gt;0),IF(MAX(0,Inputs!$B$43-B1505)&lt;=0,0,(INT(MAX(0,Inputs!$B$43-B1505)/(IF(Inputs!$B$38="pvp",15,MAX(0.1,1-0.4*MIN(1,(B1500-1)/1.5)-IF(FALSE=TRUE,Inputs!$B$32,0)))*(1-IF(AND(ArtifactsInput!$M$27,Inputs!$B$4="Chapter Hunt"),CHOOSE(ArtifactsInput!$N$27+1,20,24,28,32,36,40),0)/100)))+1)),0)</f>
        <v/>
      </c>
      <c r="S1469">
        <f>IFERROR(O1469/N1469,0)</f>
        <v/>
      </c>
      <c r="T1469">
        <f>IF(C1469,(H1469*N1469*IF(AND(Inputs!$B$38&lt;&gt;"pvp",Inputs!$B$43&gt;0),((Skills!G6*((R1469-1)*IF(Skills!H6&gt;0,INT(Skills!I6/Skills!H6+0.000000001),1)+IF(Skills!H6&gt;0,INT(MIN(Skills!I6,MAX(0,MAX(0,Inputs!$B$43-B1505)-((R1469-1)*(IF(Inputs!$B$38="pvp",15,MAX(0.1,1-0.4*MIN(1,(B1500-1)/1.5)-IF(FALSE=TRUE,Inputs!$B$32,0)))*(1-IF(AND(ArtifactsInput!$M$27,Inputs!$B$4="Chapter Hunt"),CHOOSE(ArtifactsInput!$N$27+1,20,24,28,32,36,40),0)/100)))))/Skills!H6+0.000000001),1)))/Inputs!$B$43),G1469*Q1469)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9">
        <f>IF(C1469,(H1469*N1469*IF(AND(Inputs!$B$38&lt;&gt;"pvp",Inputs!$B$43&gt;0),((Skills!G6*((R1469-1)*IF(Skills!H6&gt;0,INT(Skills!I6/Skills!H6+0.000000001),1)+IF(Skills!H6&gt;0,INT(MIN(Skills!I6,MAX(0,MAX(0,Inputs!$B$43-B1505)-((R1469-1)*(IF(Inputs!$B$38="pvp",15,MAX(0.1,1-0.4*MIN(1,(B1500-1)/1.5)-IF(FALSE=TRUE,Inputs!$B$32,0)))*(1-IF(AND(ArtifactsInput!$M$27,Inputs!$B$4="Chapter Hunt"),CHOOSE(ArtifactsInput!$N$27+1,20,24,28,32,36,40),0)/100)))))/Skills!H6+0.000000001),1)))/Inputs!$B$43),G1469*Q1469))*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Skills!A7</f>
        <v/>
      </c>
      <c r="B1470">
        <f>Skills!B7</f>
        <v/>
      </c>
      <c r="C1470">
        <f>Inputs!$B$3&gt;=107</f>
        <v/>
      </c>
      <c r="D1470">
        <f>IF(Skills!C7=1,60+Inputs!$B$25+Inputs!$B$29,IF(Skills!C7=2,90+Inputs!$B$26+Inputs!$B$29,IF(Skills!C7=3,120+Inputs!$B$27+Inputs!$B$29,MAX(0,(Inputs!$B$3-100)*3)+Inputs!$B$28+Inputs!$B$29)))</f>
        <v/>
      </c>
      <c r="E1470">
        <f>INDEX(FactorTable!$B$2:$Y$301, MATCH(ROUND(MIN(300,MAX(1,D1470)),0), FactorTable!$A$2:$A$301,0), Skills!M7+1)</f>
        <v/>
      </c>
      <c r="F1470">
        <f>IF(Skills!N7=TRUE,(Skills!L7/10)*(E1470/1000),Skills!L7/10)+Skills!O7</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V1470" t="inlineStr"/>
    </row>
    <row r="1471">
      <c r="A1471">
        <f>Skills!A8</f>
        <v/>
      </c>
      <c r="B1471">
        <f>Skills!B8</f>
        <v/>
      </c>
      <c r="C1471">
        <f>Inputs!$B$3&gt;=130</f>
        <v/>
      </c>
      <c r="D1471">
        <f>IF(Skills!C8=1,60+Inputs!$B$25+Inputs!$B$29,IF(Skills!C8=2,90+Inputs!$B$26+Inputs!$B$29,IF(Skills!C8=3,120+Inputs!$B$27+Inputs!$B$29,MAX(0,(Inputs!$B$3-100)*3)+Inputs!$B$28+Inputs!$B$29)))</f>
        <v/>
      </c>
      <c r="E1471">
        <f>INDEX(FactorTable!$B$2:$Y$301, MATCH(ROUND(MIN(300,MAX(1,D1471)),0), FactorTable!$A$2:$A$301,0), Skills!M8+1)</f>
        <v/>
      </c>
      <c r="F1471">
        <f>IF(Skills!N8=TRUE,(Skills!L8/10)*(E1471/1000),Skills!L8/10)+Skills!O8</f>
        <v/>
      </c>
      <c r="G1471">
        <f>Skills!G8*IF(Skills!H8&gt;0,INT(IF(Inputs!$B$38="pvp",MIN(Skills!I8,15),Skills!I8)/Skills!H8+0.000000001),1)</f>
        <v/>
      </c>
      <c r="H1471">
        <f>1-(1-Skills!J8/100)^Skills!K8</f>
        <v/>
      </c>
      <c r="I1471" t="inlineStr">
        <is>
          <t>1</t>
        </is>
      </c>
      <c r="J1471">
        <f>((Inputs!$B$6*(1+Inputs!$B$7/100))+(((Inputs!$B$12*(1+Inputs!$B$13/100))-(Inputs!$B$12*(1+Inputs!$B$13/100)))+0.25*(Inputs!$B$14-Inputs!$B$14))*(1+Inputs!$B$7/100))*(F1471/100)</f>
        <v/>
      </c>
      <c r="K1471">
        <f>J1471*(1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26)),(Inputs!$B$23+((C1494=TRUE)*(F1494-Calc!F31))+(IF(ArtifactsInput!$M$15,CHOOSE(ArtifactsInput!$N$15+1,25,30,35,40,45,50)/100*(Inputs!$B$11-Inputs!$B$11),0))))/100+(Inputs!$B$23+((C1494=TRUE)*(F1494-Calc!F31))+(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IFERROR(1/(IF(Inputs!$B$38="pvp",15,MAX(0.1,1-0.4*MIN(1,(B1500-1)/1.5)-IF(FALSE=TRUE,Inputs!$B$32,0)))*(1-IF(AND(ArtifactsInput!$M$27,Inputs!$B$4="Chapter Hunt"),CHOOSE(ArtifactsInput!$N$27+1,20,24,28,32,36,40),0)/100)),0)</f>
        <v/>
      </c>
      <c r="R1471">
        <f>IF(AND(Inputs!$B$38&lt;&gt;"pvp",Inputs!$B$43&gt;0),IF(MAX(0,Inputs!$B$43-B1505)&lt;=0,0,(INT(MAX(0,Inputs!$B$43-B1505)/(IF(Inputs!$B$38="pvp",15,MAX(0.1,1-0.4*MIN(1,(B1500-1)/1.5)-IF(FALSE=TRUE,Inputs!$B$32,0)))*(1-IF(AND(ArtifactsInput!$M$27,Inputs!$B$4="Chapter Hunt"),CHOOSE(ArtifactsInput!$N$27+1,20,24,28,32,36,40),0)/100)))+1)),0)</f>
        <v/>
      </c>
      <c r="S1471">
        <f>IFERROR(O1471/N1471,0)</f>
        <v/>
      </c>
      <c r="T1471">
        <f>IF(C1471,(H1471*N1471*IF(AND(Inputs!$B$38&lt;&gt;"pvp",Inputs!$B$43&gt;0),((Skills!G8*((R1471-1)*IF(Skills!H8&gt;0,INT(Skills!I8/Skills!H8+0.000000001),1)+IF(Skills!H8&gt;0,INT(MIN(Skills!I8,MAX(0,MAX(0,Inputs!$B$43-B1505)-((R1471-1)*(IF(Inputs!$B$38="pvp",15,MAX(0.1,1-0.4*MIN(1,(B1500-1)/1.5)-IF(FALSE=TRUE,Inputs!$B$32,0)))*(1-IF(AND(ArtifactsInput!$M$27,Inputs!$B$4="Chapter Hunt"),CHOOSE(ArtifactsInput!$N$27+1,20,24,28,32,36,40),0)/100)))))/Skills!H8+0.000000001),1)))/Inputs!$B$43),G1471*Q1471)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8*((R1471-1)*IF(Skills!H8&gt;0,INT(Skills!I8/Skills!H8+0.000000001),1)+IF(Skills!H8&gt;0,INT(MIN(Skills!I8,MAX(0,MAX(0,Inputs!$B$43-B1505)-((R1471-1)*(IF(Inputs!$B$38="pvp",15,MAX(0.1,1-0.4*MIN(1,(B1500-1)/1.5)-IF(FALSE=TRUE,Inputs!$B$32,0)))*(1-IF(AND(ArtifactsInput!$M$27,Inputs!$B$4="Chapter Hunt"),CHOOSE(ArtifactsInput!$N$27+1,20,24,28,32,36,40),0)/100)))))/Skills!H8+0.000000001),1)))/Inputs!$B$43),G1471*Q1471))*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Skills!A9</f>
        <v/>
      </c>
      <c r="B1472">
        <f>Skills!B9</f>
        <v/>
      </c>
      <c r="C1472">
        <f>Inputs!$B$3&gt;=69</f>
        <v/>
      </c>
      <c r="D1472">
        <f>IF(Skills!C9=1,60+Inputs!$B$25+Inputs!$B$29,IF(Skills!C9=2,90+Inputs!$B$26+Inputs!$B$29,IF(Skills!C9=3,120+Inputs!$B$27+Inputs!$B$29,MAX(0,(Inputs!$B$3-100)*3)+Inputs!$B$28+Inputs!$B$29)))</f>
        <v/>
      </c>
      <c r="E1472">
        <f>INDEX(FactorTable!$B$2:$Y$301, MATCH(ROUND(MIN(300,MAX(1,D1472)),0), FactorTable!$A$2:$A$301,0), Skills!M9+1)</f>
        <v/>
      </c>
      <c r="F1472">
        <f>IF(Skills!N9=TRUE,(Skills!L9/10)*(E1472/1000),Skills!L9/10)+Skills!O9</f>
        <v/>
      </c>
      <c r="G1472">
        <f>Skills!G9*IF(Skills!H9&gt;0,INT(IF(Inputs!$B$38="pvp",MIN(Skills!I9,15),Skills!I9)/Skills!H9+0.000000001),1)</f>
        <v/>
      </c>
      <c r="H1472">
        <f>1-(1-Skills!J9/100)^Skills!K9</f>
        <v/>
      </c>
      <c r="I1472" t="inlineStr">
        <is>
          <t>1</t>
        </is>
      </c>
      <c r="J1472">
        <f>((Inputs!$B$6*(1+Inputs!$B$7/100))+(((Inputs!$B$12*(1+Inputs!$B$13/100))-(Inputs!$B$12*(1+Inputs!$B$13/100)))+0.25*(Inputs!$B$14-Inputs!$B$14))*(1+Inputs!$B$7/100))*(F1472/100)</f>
        <v/>
      </c>
      <c r="K1472">
        <f>J1472*(1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1475=TRUE,F1475,0)/100)*(1+(IF(Skills!A9="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26)),(Inputs!$B$23+((C1494=TRUE)*(F1494-Calc!F31))+(IF(ArtifactsInput!$M$15,CHOOSE(ArtifactsInput!$N$15+1,25,30,35,40,45,50)/100*(Inputs!$B$11-Inputs!$B$11),0))))/100+(Inputs!$B$23+((C1494=TRUE)*(F1494-Calc!F31))+(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IFERROR(1/(IF(Inputs!$B$38="pvp",15,MAX(0.1,Skills!D9-IF(TRUE=TRUE,Inputs!$B$32,0)))*(1-IF(AND(ArtifactsInput!$M$27,Inputs!$B$4="Chapter Hunt"),CHOOSE(ArtifactsInput!$N$27+1,20,24,28,32,36,40),0)/100)),0)</f>
        <v/>
      </c>
      <c r="R1472">
        <f>IF(AND(Inputs!$B$38&lt;&gt;"pvp",Inputs!$B$43&gt;0),IF(MAX(0,Inputs!$B$43-B1505)&lt;=0,0,(INT(MAX(0,Inputs!$B$43-B1505)/(IF(Inputs!$B$38="pvp",15,MAX(0.1,Skills!D9-IF(TRUE=TRUE,Inputs!$B$32,0)))*(1-IF(AND(ArtifactsInput!$M$27,Inputs!$B$4="Chapter Hunt"),CHOOSE(ArtifactsInput!$N$27+1,20,24,28,32,36,40),0)/100)))+1)),0)</f>
        <v/>
      </c>
      <c r="S1472">
        <f>IFERROR(O1472/N1472,0)</f>
        <v/>
      </c>
      <c r="T1472">
        <f>IF(C1472,(H1472*N1472*IF(AND(Inputs!$B$38&lt;&gt;"pvp",Inputs!$B$43&gt;0),((Skills!G9*((R1472-1)*IF(Skills!H9&gt;0,INT(Skills!I9/Skills!H9+0.000000001),1)+IF(Skills!H9&gt;0,INT(MIN(Skills!I9,MAX(0,MAX(0,Inputs!$B$43-B1505)-((R1472-1)*(IF(Inputs!$B$38="pvp",15,MAX(0.1,Skills!D9-IF(TRUE=TRUE,Inputs!$B$32,0)))*(1-IF(AND(ArtifactsInput!$M$27,Inputs!$B$4="Chapter Hunt"),CHOOSE(ArtifactsInput!$N$27+1,20,24,28,32,36,40),0)/100)))))/Skills!H9+0.000000001),1)))/Inputs!$B$43),G1472*Q1472)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9*((R1472-1)*IF(Skills!H9&gt;0,INT(Skills!I9/Skills!H9+0.000000001),1)+IF(Skills!H9&gt;0,INT(MIN(Skills!I9,MAX(0,MAX(0,Inputs!$B$43-B1505)-((R1472-1)*(IF(Inputs!$B$38="pvp",15,MAX(0.1,Skills!D9-IF(TRUE=TRUE,Inputs!$B$32,0)))*(1-IF(AND(ArtifactsInput!$M$27,Inputs!$B$4="Chapter Hunt"),CHOOSE(ArtifactsInput!$N$27+1,20,24,28,32,36,40),0)/100)))))/Skills!H9+0.000000001),1)))/Inputs!$B$43),G1472*Q1472))*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Skills!A10</f>
        <v/>
      </c>
      <c r="B1473">
        <f>Skills!B10</f>
        <v/>
      </c>
      <c r="C1473">
        <f>Inputs!$B$3&gt;=63</f>
        <v/>
      </c>
      <c r="D1473">
        <f>IF(Skills!C10=1,60+Inputs!$B$25+Inputs!$B$29,IF(Skills!C10=2,90+Inputs!$B$26+Inputs!$B$29,IF(Skills!C10=3,120+Inputs!$B$27+Inputs!$B$29,MAX(0,(Inputs!$B$3-100)*3)+Inputs!$B$28+Inputs!$B$29)))</f>
        <v/>
      </c>
      <c r="E1473">
        <f>INDEX(FactorTable!$B$2:$Y$301, MATCH(ROUND(MIN(300,MAX(1,D1473)),0), FactorTable!$A$2:$A$301,0), Skills!M10+1)</f>
        <v/>
      </c>
      <c r="F1473">
        <f>IF(Skills!N10=TRUE,(Skills!L10/10)*(E1473/1000),Skills!L10/10)+Skills!O10</f>
        <v/>
      </c>
      <c r="G1473">
        <f>Skills!G10*IF(Skills!H10&gt;0,INT(IF(Inputs!$B$38="pvp",MIN(Skills!I10,15),Skills!I10)/Skills!H10+0.000000001),1)</f>
        <v/>
      </c>
      <c r="H1473">
        <f>1-(1-Skills!J10/100)^Skills!K10</f>
        <v/>
      </c>
      <c r="I1473" t="inlineStr">
        <is>
          <t>1</t>
        </is>
      </c>
      <c r="J1473">
        <f>((Inputs!$B$6*(1+Inputs!$B$7/100))+(((Inputs!$B$12*(1+Inputs!$B$13/100))-(Inputs!$B$12*(1+Inputs!$B$13/100)))+0.25*(Inputs!$B$14-Inputs!$B$14))*(1+Inputs!$B$7/100))*(F1473/100)</f>
        <v/>
      </c>
      <c r="K1473">
        <f>J1473*(1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1475=TRUE,F1475,0)/100)*(1+(IF(Skills!A10="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26)),(Inputs!$B$23+((C1494=TRUE)*(F1494-Calc!F31))+(IF(ArtifactsInput!$M$15,CHOOSE(ArtifactsInput!$N$15+1,25,30,35,40,45,50)/100*(Inputs!$B$11-Inputs!$B$11),0))))/100+(Inputs!$B$23+((C1494=TRUE)*(F1494-Calc!F31))+(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IFERROR(1/(IF(Inputs!$B$38="pvp",15,MAX(0.1,Skills!D10-IF(TRUE=TRUE,Inputs!$B$32,0)))*(1-IF(AND(ArtifactsInput!$M$27,Inputs!$B$4="Chapter Hunt"),CHOOSE(ArtifactsInput!$N$27+1,20,24,28,32,36,40),0)/100)),0)</f>
        <v/>
      </c>
      <c r="R1473">
        <f>IF(AND(Inputs!$B$38&lt;&gt;"pvp",Inputs!$B$43&gt;0),IF(MAX(0,Inputs!$B$43-B1505)&lt;=0,0,(INT(MAX(0,Inputs!$B$43-B1505)/(IF(Inputs!$B$38="pvp",15,MAX(0.1,Skills!D10-IF(TRUE=TRUE,Inputs!$B$32,0)))*(1-IF(AND(ArtifactsInput!$M$27,Inputs!$B$4="Chapter Hunt"),CHOOSE(ArtifactsInput!$N$27+1,20,24,28,32,36,40),0)/100)))+1)),0)</f>
        <v/>
      </c>
      <c r="S1473">
        <f>IFERROR(O1473/N1473,0)</f>
        <v/>
      </c>
      <c r="T1473">
        <f>IF(C1473,(H1473*N1473*IF(AND(Inputs!$B$38&lt;&gt;"pvp",Inputs!$B$43&gt;0),((Skills!G10*((R1473-1)*IF(Skills!H10&gt;0,INT(Skills!I10/Skills!H10+0.000000001),1)+IF(Skills!H10&gt;0,INT(MIN(Skills!I10,MAX(0,MAX(0,Inputs!$B$43-B1505)-((R1473-1)*(IF(Inputs!$B$38="pvp",15,MAX(0.1,Skills!D10-IF(TRUE=TRUE,Inputs!$B$32,0)))*(1-IF(AND(ArtifactsInput!$M$27,Inputs!$B$4="Chapter Hunt"),CHOOSE(ArtifactsInput!$N$27+1,20,24,28,32,36,40),0)/100)))))/Skills!H10+0.000000001),1)))/Inputs!$B$43),G1473*Q1473)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10*((R1473-1)*IF(Skills!H10&gt;0,INT(Skills!I10/Skills!H10+0.000000001),1)+IF(Skills!H10&gt;0,INT(MIN(Skills!I10,MAX(0,MAX(0,Inputs!$B$43-B1505)-((R1473-1)*(IF(Inputs!$B$38="pvp",15,MAX(0.1,Skills!D10-IF(TRUE=TRUE,Inputs!$B$32,0)))*(1-IF(AND(ArtifactsInput!$M$27,Inputs!$B$4="Chapter Hunt"),CHOOSE(ArtifactsInput!$N$27+1,20,24,28,32,36,40),0)/100)))))/Skills!H10+0.000000001),1)))/Inputs!$B$43),G1473*Q1473))*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Skills!A11</f>
        <v/>
      </c>
      <c r="B1474">
        <f>Skills!B11</f>
        <v/>
      </c>
      <c r="C1474">
        <f>Inputs!$B$3&gt;=103</f>
        <v/>
      </c>
      <c r="D1474">
        <f>IF(Skills!C11=1,60+Inputs!$B$25+Inputs!$B$29,IF(Skills!C11=2,90+Inputs!$B$26+Inputs!$B$29,IF(Skills!C11=3,120+Inputs!$B$27+Inputs!$B$29,MAX(0,(Inputs!$B$3-100)*3)+Inputs!$B$28+Inputs!$B$29)))</f>
        <v/>
      </c>
      <c r="E1474">
        <f>INDEX(FactorTable!$B$2:$Y$301, MATCH(ROUND(MIN(300,MAX(1,D1474)),0), FactorTable!$A$2:$A$301,0), Skills!M11+1)</f>
        <v/>
      </c>
      <c r="F1474">
        <f>IF(Skills!N11=TRUE,(Skills!L11/10)*(E1474/1000),Skills!L11/10)+Skills!O11</f>
        <v/>
      </c>
      <c r="G1474">
        <f>Skills!G11*IF(Skills!H11&gt;0,INT(IF(Inputs!$B$38="pvp",MIN(Skills!I11,15),Skills!I11)/Skills!H11+0.000000001),1)</f>
        <v/>
      </c>
      <c r="H1474">
        <f>1-(1-Skills!J11/100)^Skills!K11</f>
        <v/>
      </c>
      <c r="I1474" t="inlineStr">
        <is>
          <t>1</t>
        </is>
      </c>
      <c r="J1474">
        <f>((Inputs!$B$6*(1+Inputs!$B$7/100))+(((Inputs!$B$12*(1+Inputs!$B$13/100))-(Inputs!$B$12*(1+Inputs!$B$13/100)))+0.25*(Inputs!$B$14-Inputs!$B$14))*(1+Inputs!$B$7/100))*(F1474/100)</f>
        <v/>
      </c>
      <c r="K1474">
        <f>J1474*(1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C1489=TRUE)*(F1489-Calc!F26)),(Inputs!$B$23+((C1494=TRUE)*(F1494-Calc!F31))+(IF(ArtifactsInput!$M$15,CHOOSE(ArtifactsInput!$N$15+1,25,30,35,40,45,50)/100*(Inputs!$B$11-Inputs!$B$11),0))))/100+(Inputs!$B$23+((C1494=TRUE)*(F1494-Calc!F31))+(IF(ArtifactsInput!$M$15,CHOOSE(ArtifactsInput!$N$15+1,25,30,35,40,45,50)/100*(Inputs!$B$11-Inputs!$B$11),0)))/100)/2</f>
        <v/>
      </c>
      <c r="M1474">
        <f>L1474*(1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(1-Summary!$B$11)*T1474+Summary!$B$11*V1474</f>
        <v/>
      </c>
      <c r="P1474">
        <f>IF(B1508=0,0,O1474/B1508)</f>
        <v/>
      </c>
      <c r="Q1474">
        <f>IFERROR(1/(IF(Inputs!$B$38="pvp",15,MAX(0.1,Skills!D11-IF(TRUE=TRUE,Inputs!$B$32,0)))*(1-IF(AND(ArtifactsInput!$M$27,Inputs!$B$4="Chapter Hunt"),CHOOSE(ArtifactsInput!$N$27+1,20,24,28,32,36,40),0)/100)),0)</f>
        <v/>
      </c>
      <c r="R1474">
        <f>IF(AND(Inputs!$B$38&lt;&gt;"pvp",Inputs!$B$43&gt;0),IF(MAX(0,Inputs!$B$43-B1505)&lt;=0,0,(INT(MAX(0,Inputs!$B$43-B1505)/(IF(Inputs!$B$38="pvp",15,MAX(0.1,Skills!D11-IF(TRUE=TRUE,Inputs!$B$32,0)))*(1-IF(AND(ArtifactsInput!$M$27,Inputs!$B$4="Chapter Hunt"),CHOOSE(ArtifactsInput!$N$27+1,20,24,28,32,36,40),0)/100)))+1)),0)</f>
        <v/>
      </c>
      <c r="S1474">
        <f>IFERROR(O1474/N1474,0)</f>
        <v/>
      </c>
      <c r="T1474">
        <f>IF(C1474,(H1474*N1474*IF(AND(Inputs!$B$38&lt;&gt;"pvp",Inputs!$B$43&gt;0),((Skills!G11*((R1474-1)*IF(Skills!H11&gt;0,INT(Skills!I11/Skills!H11+0.000000001),1)+IF(Skills!H11&gt;0,INT(MIN(Skills!I11,MAX(0,MAX(0,Inputs!$B$43-B1505)-((R1474-1)*(IF(Inputs!$B$38="pvp",15,MAX(0.1,Skills!D11-IF(TRUE=TRUE,Inputs!$B$32,0)))*(1-IF(AND(ArtifactsInput!$M$27,Inputs!$B$4="Chapter Hunt"),CHOOSE(ArtifactsInput!$N$27+1,20,24,28,32,36,40),0)/100)))))/Skills!H11+0.000000001),1)))/Inputs!$B$43),G1474*Q1474)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4">
        <f>IF(C1474,(H1474*N1474*IF(AND(Inputs!$B$38&lt;&gt;"pvp",Inputs!$B$43&gt;0),((Skills!G11*((R1474-1)*IF(Skills!H11&gt;0,INT(Skills!I11/Skills!H11+0.000000001),1)+IF(Skills!H11&gt;0,INT(MIN(Skills!I11,MAX(0,MAX(0,Inputs!$B$43-B1505)-((R1474-1)*(IF(Inputs!$B$38="pvp",15,MAX(0.1,Skills!D11-IF(TRUE=TRUE,Inputs!$B$32,0)))*(1-IF(AND(ArtifactsInput!$M$27,Inputs!$B$4="Chapter Hunt"),CHOOSE(ArtifactsInput!$N$27+1,20,24,28,32,36,40),0)/100)))))/Skills!H11+0.000000001),1)))/Inputs!$B$43),G1474*Q1474))*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Skills!A12</f>
        <v/>
      </c>
      <c r="B1475">
        <f>Skills!B12</f>
        <v/>
      </c>
      <c r="C1475">
        <f>Inputs!$B$3&gt;=100</f>
        <v/>
      </c>
      <c r="D1475">
        <f>IF(Skills!C12=1,60+Inputs!$B$25+Inputs!$B$29,IF(Skills!C12=2,90+Inputs!$B$26+Inputs!$B$29,IF(Skills!C12=3,120+Inputs!$B$27+Inputs!$B$29,MAX(0,(Inputs!$B$3-100)*3)+Inputs!$B$28+Inputs!$B$29)))</f>
        <v/>
      </c>
      <c r="E1475">
        <f>INDEX(FactorTable!$B$2:$Y$301, MATCH(ROUND(MIN(300,MAX(1,D1475)),0), FactorTable!$A$2:$A$301,0), Skills!M12+1)</f>
        <v/>
      </c>
      <c r="F1475">
        <f>IF(Skills!N12=TRUE,(Skills!L12/10)*(E1475/1000),Skills!L12/10)+Skills!O12</f>
        <v/>
      </c>
      <c r="G1475" t="inlineStr"/>
      <c r="H1475" t="inlineStr"/>
      <c r="I1475" t="inlineStr">
        <is>
          <t>1</t>
        </is>
      </c>
      <c r="J1475" t="inlineStr"/>
      <c r="K1475" t="inlineStr"/>
      <c r="L1475" t="inlineStr"/>
      <c r="M1475" t="inlineStr"/>
      <c r="N1475" t="inlineStr"/>
      <c r="O1475" t="inlineStr"/>
      <c r="P1475" t="inlineStr"/>
      <c r="Q1475" t="inlineStr"/>
      <c r="R1475" t="inlineStr"/>
      <c r="S1475" t="inlineStr"/>
      <c r="T1475" t="inlineStr"/>
      <c r="V1475" t="inlineStr"/>
    </row>
    <row r="1476">
      <c r="A1476">
        <f>Skills!A13</f>
        <v/>
      </c>
      <c r="B1476">
        <f>Skills!B13</f>
        <v/>
      </c>
      <c r="C1476">
        <f>Inputs!$B$3&gt;=60</f>
        <v/>
      </c>
      <c r="D1476">
        <f>IF(Skills!C13=1,60+Inputs!$B$25+Inputs!$B$29,IF(Skills!C13=2,90+Inputs!$B$26+Inputs!$B$29,IF(Skills!C13=3,120+Inputs!$B$27+Inputs!$B$29,MAX(0,(Inputs!$B$3-100)*3)+Inputs!$B$28+Inputs!$B$29)))</f>
        <v/>
      </c>
      <c r="E1476">
        <f>INDEX(FactorTable!$B$2:$Y$301, MATCH(ROUND(MIN(300,MAX(1,D1476)),0), FactorTable!$A$2:$A$301,0), Skills!M13+1)</f>
        <v/>
      </c>
      <c r="F1476">
        <f>IF(Skills!N13=TRUE,(Skills!L13/10)*(E1476/1000),Skills!L13/10)+Skills!O13</f>
        <v/>
      </c>
      <c r="G1476">
        <f>Skills!G13*IF(Skills!H13&gt;0,INT(IF(Inputs!$B$38="pvp",MIN(Skills!I13,15),Skills!I13)/Skills!H13+0.000000001),1)</f>
        <v/>
      </c>
      <c r="H1476">
        <f>1-(1-Skills!J13/100)^Skills!K13</f>
        <v/>
      </c>
      <c r="I1476" t="inlineStr">
        <is>
          <t>1</t>
        </is>
      </c>
      <c r="J1476">
        <f>((Inputs!$B$6*(1+Inputs!$B$7/100))+(((Inputs!$B$12*(1+Inputs!$B$13/100))-(Inputs!$B$12*(1+Inputs!$B$13/100)))+0.25*(Inputs!$B$14-Inputs!$B$14))*(1+Inputs!$B$7/100))*(F1476/100)</f>
        <v/>
      </c>
      <c r="K1476">
        <f>J1476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1477=TRUE,F1477,0)/100)*(1+(IF(Skills!A13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26)),(Inputs!$B$23+((C1494=TRUE)*(F1494-Calc!F31))+(IF(ArtifactsInput!$M$15,CHOOSE(ArtifactsInput!$N$15+1,25,30,35,40,45,50)/100*(Inputs!$B$11-Inputs!$B$11),0))))/100+(Inputs!$B$23+((C1494=TRUE)*(F1494-Calc!F31))+(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IFERROR(1/(IF(Inputs!$B$38="pvp",15,MAX(0.1,IF(Inputs!$B$3&gt;=122,3,5)+1/(((20+30*(B1500-1)*100/150)/100)*B1500)-IF(FALSE=TRUE,Inputs!$B$32,0)))*(1-IF(AND(ArtifactsInput!$M$27,Inputs!$B$4="Chapter Hunt"),CHOOSE(ArtifactsInput!$N$27+1,20,24,28,32,36,40),0)/100)),0)</f>
        <v/>
      </c>
      <c r="R1476">
        <f>IF(AND(Inputs!$B$38&lt;&gt;"pvp",Inputs!$B$43&gt;0),IF(MAX(0,Inputs!$B$43-B1505)&lt;=0,0,(INT(MAX(0,Inputs!$B$43-B1505)/(IF(Inputs!$B$38="pvp",15,MAX(0.1,IF(Inputs!$B$3&gt;=122,3,5)+1/(((20+30*(B1500-1)*100/150)/100)*B1500)-IF(FALSE=TRUE,Inputs!$B$32,0)))*(1-IF(AND(ArtifactsInput!$M$27,Inputs!$B$4="Chapter Hunt"),CHOOSE(ArtifactsInput!$N$27+1,20,24,28,32,36,40),0)/100)))+1)),0)</f>
        <v/>
      </c>
      <c r="S1476">
        <f>IFERROR(O1476/N1476,0)</f>
        <v/>
      </c>
      <c r="T1476">
        <f>IF(C1476,(H1476*N1476*IF(AND(Inputs!$B$38&lt;&gt;"pvp",Inputs!$B$43&gt;0),((Skills!G13*((R1476-1)*IF(Skills!H13&gt;0,INT(Skills!I13/Skills!H13+0.000000001),1)+IF(Skills!H13&gt;0,INT(MIN(Skills!I13,MAX(0,MAX(0,Inputs!$B$43-B1505)-((R1476-1)*(IF(Inputs!$B$38="pvp",15,MAX(0.1,IF(Inputs!$B$3&gt;=122,3,5)+1/(((20+30*(B1500-1)*100/150)/100)*B1500)-IF(FALSE=TRUE,Inputs!$B$32,0)))*(1-IF(AND(ArtifactsInput!$M$27,Inputs!$B$4="Chapter Hunt"),CHOOSE(ArtifactsInput!$N$27+1,20,24,28,32,36,40),0)/100)))))/Skills!H13+0.000000001),1)))/Inputs!$B$43),G1476*Q1476)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13*((R1476-1)*IF(Skills!H13&gt;0,INT(Skills!I13/Skills!H13+0.000000001),1)+IF(Skills!H13&gt;0,INT(MIN(Skills!I13,MAX(0,MAX(0,Inputs!$B$43-B1505)-((R1476-1)*(IF(Inputs!$B$38="pvp",15,MAX(0.1,IF(Inputs!$B$3&gt;=122,3,5)+1/(((20+30*(B1500-1)*100/150)/100)*B1500)-IF(FALSE=TRUE,Inputs!$B$32,0)))*(1-IF(AND(ArtifactsInput!$M$27,Inputs!$B$4="Chapter Hunt"),CHOOSE(ArtifactsInput!$N$27+1,20,24,28,32,36,40),0)/100)))))/Skills!H13+0.000000001),1)))/Inputs!$B$43),G1476*Q1476))*IF(Inputs!$B$38="pvp",1,(1+(Inputs!$B$21+Skills!Q13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Skills!A14</f>
        <v/>
      </c>
      <c r="B1477">
        <f>Skills!B14</f>
        <v/>
      </c>
      <c r="C1477">
        <f>Inputs!$B$3&gt;=110</f>
        <v/>
      </c>
      <c r="D1477">
        <f>IF(Skills!C14=1,60+Inputs!$B$25+Inputs!$B$29,IF(Skills!C14=2,90+Inputs!$B$26+Inputs!$B$29,IF(Skills!C14=3,120+Inputs!$B$27+Inputs!$B$29,MAX(0,(Inputs!$B$3-100)*3)+Inputs!$B$28+Inputs!$B$29)))</f>
        <v/>
      </c>
      <c r="E1477">
        <f>INDEX(FactorTable!$B$2:$Y$301, MATCH(ROUND(MIN(300,MAX(1,D1477)),0), FactorTable!$A$2:$A$301,0), Skills!M14+1)</f>
        <v/>
      </c>
      <c r="F1477">
        <f>IF(Skills!N14=TRUE,(Skills!L14/10)*(E1477/1000),Skills!L14/10)+Skills!O14</f>
        <v/>
      </c>
      <c r="G1477" t="inlineStr"/>
      <c r="H1477" t="inlineStr"/>
      <c r="I1477" t="inlineStr">
        <is>
          <t>1</t>
        </is>
      </c>
      <c r="J1477" t="inlineStr"/>
      <c r="K1477" t="inlineStr"/>
      <c r="L1477" t="inlineStr"/>
      <c r="M1477" t="inlineStr"/>
      <c r="N1477" t="inlineStr"/>
      <c r="O1477" t="inlineStr"/>
      <c r="P1477" t="inlineStr"/>
      <c r="Q1477" t="inlineStr"/>
      <c r="R1477" t="inlineStr"/>
      <c r="S1477" t="inlineStr"/>
      <c r="T1477" t="inlineStr"/>
      <c r="V1477" t="inlineStr"/>
    </row>
    <row r="1478">
      <c r="A1478">
        <f>Skills!A15</f>
        <v/>
      </c>
      <c r="B1478">
        <f>Skills!B15</f>
        <v/>
      </c>
      <c r="C1478">
        <f>Inputs!$B$3&gt;=74</f>
        <v/>
      </c>
      <c r="D1478">
        <f>IF(Skills!C15=1,60+Inputs!$B$25+Inputs!$B$29,IF(Skills!C15=2,90+Inputs!$B$26+Inputs!$B$29,IF(Skills!C15=3,120+Inputs!$B$27+Inputs!$B$29,MAX(0,(Inputs!$B$3-100)*3)+Inputs!$B$28+Inputs!$B$29)))</f>
        <v/>
      </c>
      <c r="E1478">
        <f>INDEX(FactorTable!$B$2:$Y$301, MATCH(ROUND(MIN(300,MAX(1,D1478)),0), FactorTable!$A$2:$A$301,0), Skills!M15+1)</f>
        <v/>
      </c>
      <c r="F1478">
        <f>IF(Skills!N15=TRUE,(Skills!L15/10)*(E1478/1000),Skills!L15/10)+Skills!O15</f>
        <v/>
      </c>
      <c r="G1478">
        <f>Skills!G15*IF(Skills!H15&gt;0,INT(IF(Inputs!$B$38="pvp",MIN(Skills!I15,15),Skills!I15)/Skills!H15+0.000000001),1)</f>
        <v/>
      </c>
      <c r="H1478">
        <f>1-(1-Skills!J15/100)^Skills!K15</f>
        <v/>
      </c>
      <c r="I1478" t="inlineStr">
        <is>
          <t>1</t>
        </is>
      </c>
      <c r="J1478" t="inlineStr"/>
      <c r="K1478" t="inlineStr"/>
      <c r="L1478" t="inlineStr"/>
      <c r="M1478" t="inlineStr"/>
      <c r="N1478" t="inlineStr"/>
      <c r="O1478">
        <f>(1-Summary!$B$11)*T1478+Summary!$B$11*V1478</f>
        <v/>
      </c>
      <c r="P1478">
        <f>IF(B1508=0,0,O1478/B1508)</f>
        <v/>
      </c>
      <c r="Q1478" t="n">
        <v>0</v>
      </c>
      <c r="R1478" t="n">
        <v>0</v>
      </c>
      <c r="S1478">
        <f>IFERROR(O1478/N1478,0)</f>
        <v/>
      </c>
      <c r="T1478" t="n">
        <v>0</v>
      </c>
      <c r="V1478" t="n">
        <v>0</v>
      </c>
    </row>
    <row r="1479">
      <c r="A1479">
        <f>Skills!A16</f>
        <v/>
      </c>
      <c r="B1479">
        <f>Skills!B16</f>
        <v/>
      </c>
      <c r="C1479">
        <f>Inputs!$B$3&gt;=74</f>
        <v/>
      </c>
      <c r="D1479">
        <f>IF(Skills!C16=1,60+Inputs!$B$25+Inputs!$B$29,IF(Skills!C16=2,90+Inputs!$B$26+Inputs!$B$29,IF(Skills!C16=3,120+Inputs!$B$27+Inputs!$B$29,MAX(0,(Inputs!$B$3-100)*3)+Inputs!$B$28+Inputs!$B$29)))</f>
        <v/>
      </c>
      <c r="E1479">
        <f>INDEX(FactorTable!$B$2:$Y$301, MATCH(ROUND(MIN(300,MAX(1,D1479)),0), FactorTable!$A$2:$A$301,0), Skills!M16+1)</f>
        <v/>
      </c>
      <c r="F1479">
        <f>IF(Skills!N16=TRUE,(Skills!L16/10)*(E1479/1000),Skills!L16/10)+Skills!O16</f>
        <v/>
      </c>
      <c r="G1479">
        <f>Skills!G16*IF(Skills!H16&gt;0,INT(IF(Inputs!$B$38="pvp",MIN(Skills!I16,15),Skills!I16)/Skills!H16+0.000000001),1)</f>
        <v/>
      </c>
      <c r="H1479">
        <f>1-(1-Skills!J16/100)^Skills!K16</f>
        <v/>
      </c>
      <c r="I1479" t="inlineStr">
        <is>
          <t>1</t>
        </is>
      </c>
      <c r="J1479" t="inlineStr"/>
      <c r="K1479" t="inlineStr"/>
      <c r="L1479" t="inlineStr"/>
      <c r="M1479" t="inlineStr"/>
      <c r="N1479" t="inlineStr"/>
      <c r="O1479">
        <f>(1-Summary!$B$11)*T1479+Summary!$B$11*V1479</f>
        <v/>
      </c>
      <c r="P1479">
        <f>IF(B1508=0,0,O1479/B1508)</f>
        <v/>
      </c>
      <c r="Q1479" t="n">
        <v>0</v>
      </c>
      <c r="R1479" t="n">
        <v>0</v>
      </c>
      <c r="S1479">
        <f>IFERROR(O1479/N1479,0)</f>
        <v/>
      </c>
      <c r="T1479" t="n">
        <v>0</v>
      </c>
      <c r="V1479" t="n">
        <v>0</v>
      </c>
    </row>
    <row r="1480">
      <c r="A1480">
        <f>Skills!A17</f>
        <v/>
      </c>
      <c r="B1480">
        <f>Skills!B17</f>
        <v/>
      </c>
      <c r="C1480">
        <f>Inputs!$B$3&gt;=117</f>
        <v/>
      </c>
      <c r="D1480">
        <f>IF(Skills!C17=1,60+Inputs!$B$25+Inputs!$B$29,IF(Skills!C17=2,90+Inputs!$B$26+Inputs!$B$29,IF(Skills!C17=3,120+Inputs!$B$27+Inputs!$B$29,MAX(0,(Inputs!$B$3-100)*3)+Inputs!$B$28+Inputs!$B$29)))</f>
        <v/>
      </c>
      <c r="E1480">
        <f>INDEX(FactorTable!$B$2:$Y$301, MATCH(ROUND(MIN(300,MAX(1,D1480)),0), FactorTable!$A$2:$A$301,0), Skills!M17+1)</f>
        <v/>
      </c>
      <c r="F1480">
        <f>IF(Skills!N17=TRUE,(Skills!L17/10)*(E1480/1000),Skills!L17/10)+Skills!O17</f>
        <v/>
      </c>
      <c r="G1480">
        <f>Skills!G17*IF(Skills!H17&gt;0,INT(IF(Inputs!$B$38="pvp",MIN(Skills!I17,15),Skills!I17)/Skills!H17+0.000000001),1)</f>
        <v/>
      </c>
      <c r="H1480">
        <f>1-(1-Skills!J17/100)^Skills!K17</f>
        <v/>
      </c>
      <c r="I1480" t="inlineStr">
        <is>
          <t>1</t>
        </is>
      </c>
      <c r="J1480" t="inlineStr"/>
      <c r="K1480" t="inlineStr"/>
      <c r="L1480" t="inlineStr"/>
      <c r="M1480" t="inlineStr"/>
      <c r="N1480" t="inlineStr"/>
      <c r="O1480">
        <f>(1-Summary!$B$11)*T1480+Summary!$B$11*V1480</f>
        <v/>
      </c>
      <c r="P1480">
        <f>IF(B1508=0,0,O1480/B1508)</f>
        <v/>
      </c>
      <c r="Q1480">
        <f>IFERROR(1/(IF(Inputs!$B$38="pvp",15,MAX(0.1,Skills!D17-IF(TRUE=TRUE,Inputs!$B$32,0)))*(1-IF(AND(ArtifactsInput!$M$27,Inputs!$B$4="Chapter Hunt"),CHOOSE(ArtifactsInput!$N$27+1,20,24,28,32,36,40),0)/100)),0)</f>
        <v/>
      </c>
      <c r="R1480">
        <f>IF(AND(Inputs!$B$38&lt;&gt;"pvp",Inputs!$B$43&gt;0),IF(Inputs!$B$43&lt;=0,0,(INT(Inputs!$B$43/(IF(Inputs!$B$38="pvp",15,MAX(0.1,Skills!D17-IF(TRUE=TRUE,Inputs!$B$32,0)))*(1-IF(AND(ArtifactsInput!$M$27,Inputs!$B$4="Chapter Hunt"),CHOOSE(ArtifactsInput!$N$27+1,20,24,28,32,36,40),0)/100)))+1)),0)</f>
        <v/>
      </c>
      <c r="S1480">
        <f>IFERROR(O1480/N1480,0)</f>
        <v/>
      </c>
      <c r="T1480" t="n">
        <v>0</v>
      </c>
      <c r="V1480" t="n">
        <v>0</v>
      </c>
    </row>
    <row r="1481">
      <c r="A1481">
        <f>Skills!A18</f>
        <v/>
      </c>
      <c r="B1481">
        <f>Skills!B18</f>
        <v/>
      </c>
      <c r="C1481">
        <f>Inputs!$B$3&gt;=115</f>
        <v/>
      </c>
      <c r="D1481">
        <f>IF(Skills!C18=1,60+Inputs!$B$25+Inputs!$B$29,IF(Skills!C18=2,90+Inputs!$B$26+Inputs!$B$29,IF(Skills!C18=3,120+Inputs!$B$27+Inputs!$B$29,MAX(0,(Inputs!$B$3-100)*3)+Inputs!$B$28+Inputs!$B$29)))</f>
        <v/>
      </c>
      <c r="E1481">
        <f>INDEX(FactorTable!$B$2:$Y$301, MATCH(ROUND(MIN(300,MAX(1,D1481)),0), FactorTable!$A$2:$A$301,0), Skills!M18+1)</f>
        <v/>
      </c>
      <c r="F1481">
        <f>IF(Skills!N18=TRUE,(Skills!L18/10)*(E1481/1000),Skills!L18/10)+Skills!O18</f>
        <v/>
      </c>
      <c r="G1481">
        <f>Skills!G18*IF(Skills!H18&gt;0,INT(IF(Inputs!$B$38="pvp",MIN(Skills!I18,15),Skills!I18)/Skills!H18+0.000000001),1)</f>
        <v/>
      </c>
      <c r="H1481">
        <f>1-(1-Skills!J18/100)^Skills!K18</f>
        <v/>
      </c>
      <c r="I1481" t="inlineStr">
        <is>
          <t>1</t>
        </is>
      </c>
      <c r="J1481" t="inlineStr"/>
      <c r="K1481" t="inlineStr"/>
      <c r="L1481" t="inlineStr"/>
      <c r="M1481" t="inlineStr"/>
      <c r="N1481" t="inlineStr"/>
      <c r="O1481">
        <f>(1-Summary!$B$11)*T1481+Summary!$B$11*V1481</f>
        <v/>
      </c>
      <c r="P1481">
        <f>IF(B1508=0,0,O1481/B1508)</f>
        <v/>
      </c>
      <c r="Q1481">
        <f>IFERROR(1/(IF(Inputs!$B$38="pvp",15,MAX(0.1,Skills!D18-IF(TRUE=TRUE,Inputs!$B$32,0)))*(1-IF(AND(ArtifactsInput!$M$27,Inputs!$B$4="Chapter Hunt"),CHOOSE(ArtifactsInput!$N$27+1,20,24,28,32,36,40),0)/100)),0)</f>
        <v/>
      </c>
      <c r="R1481">
        <f>IF(AND(Inputs!$B$38&lt;&gt;"pvp",Inputs!$B$43&gt;0),IF(Inputs!$B$43&lt;=0,0,(INT(Inputs!$B$43/(IF(Inputs!$B$38="pvp",15,MAX(0.1,Skills!D18-IF(TRUE=TRUE,Inputs!$B$32,0)))*(1-IF(AND(ArtifactsInput!$M$27,Inputs!$B$4="Chapter Hunt"),CHOOSE(ArtifactsInput!$N$27+1,20,24,28,32,36,40),0)/100)))+1)),0)</f>
        <v/>
      </c>
      <c r="S1481">
        <f>IFERROR(O1481/N1481,0)</f>
        <v/>
      </c>
      <c r="T1481" t="n">
        <v>0</v>
      </c>
      <c r="V1481" t="n">
        <v>0</v>
      </c>
    </row>
    <row r="1482">
      <c r="A1482">
        <f>Skills!A19</f>
        <v/>
      </c>
      <c r="B1482">
        <f>Skills!B19</f>
        <v/>
      </c>
      <c r="C1482">
        <f>Inputs!$B$3&gt;=66</f>
        <v/>
      </c>
      <c r="D1482">
        <f>IF(Skills!C19=1,60+Inputs!$B$25+Inputs!$B$29,IF(Skills!C19=2,90+Inputs!$B$26+Inputs!$B$29,IF(Skills!C19=3,120+Inputs!$B$27+Inputs!$B$29,MAX(0,(Inputs!$B$3-100)*3)+Inputs!$B$28+Inputs!$B$29)))</f>
        <v/>
      </c>
      <c r="E1482">
        <f>INDEX(FactorTable!$B$2:$Y$301, MATCH(ROUND(MIN(300,MAX(1,D1482)),0), FactorTable!$A$2:$A$301,0), Skills!M19+1)</f>
        <v/>
      </c>
      <c r="F1482">
        <f>IF(Skills!N19=TRUE,(Skills!L19/10)*(E1482/1000),Skills!L19/10)+Skills!O19</f>
        <v/>
      </c>
      <c r="G1482">
        <f>Skills!G19*IF(Skills!H19&gt;0,INT(IF(Inputs!$B$38="pvp",MIN(Skills!I19,15),Skills!I19)/Skills!H19+0.000000001),1)</f>
        <v/>
      </c>
      <c r="H1482">
        <f>1-(1-Skills!J19/100)^Skills!K19</f>
        <v/>
      </c>
      <c r="I1482" t="inlineStr">
        <is>
          <t>1</t>
        </is>
      </c>
      <c r="J1482" t="inlineStr"/>
      <c r="K1482" t="inlineStr"/>
      <c r="L1482" t="inlineStr"/>
      <c r="M1482" t="inlineStr"/>
      <c r="N1482" t="inlineStr"/>
      <c r="O1482">
        <f>(1-Summary!$B$11)*T1482+Summary!$B$11*V1482</f>
        <v/>
      </c>
      <c r="P1482">
        <f>IF(B1508=0,0,O1482/B1508)</f>
        <v/>
      </c>
      <c r="Q1482" t="n">
        <v>0</v>
      </c>
      <c r="R1482" t="n">
        <v>0</v>
      </c>
      <c r="S1482">
        <f>IFERROR(O1482/N1482,0)</f>
        <v/>
      </c>
      <c r="T1482" t="n">
        <v>0</v>
      </c>
      <c r="V1482" t="n">
        <v>0</v>
      </c>
    </row>
    <row r="1483">
      <c r="A1483">
        <f>Skills!A20</f>
        <v/>
      </c>
      <c r="B1483">
        <f>Skills!B20</f>
        <v/>
      </c>
      <c r="C1483">
        <f>Inputs!$B$3&gt;=72</f>
        <v/>
      </c>
      <c r="D1483">
        <f>IF(Skills!C20=1,60+Inputs!$B$25+Inputs!$B$29,IF(Skills!C20=2,90+Inputs!$B$26+Inputs!$B$29,IF(Skills!C20=3,120+Inputs!$B$27+Inputs!$B$29,MAX(0,(Inputs!$B$3-100)*3)+Inputs!$B$28+Inputs!$B$29)))</f>
        <v/>
      </c>
      <c r="E1483">
        <f>INDEX(FactorTable!$B$2:$Y$301, MATCH(ROUND(MIN(300,MAX(1,D1483)),0), FactorTable!$A$2:$A$301,0), Skills!M20+1)</f>
        <v/>
      </c>
      <c r="F1483">
        <f>IF(Skills!N20=TRUE,(Skills!L20/10)*(E1483/1000),Skills!L20/10)+Skills!O20</f>
        <v/>
      </c>
      <c r="G1483">
        <f>Skills!G20*IF(Skills!H20&gt;0,INT(IF(Inputs!$B$38="pvp",MIN(Skills!I20,15),Skills!I20)/Skills!H20+0.000000001),1)</f>
        <v/>
      </c>
      <c r="H1483">
        <f>1-(1-Skills!J20/100)^Skills!K20</f>
        <v/>
      </c>
      <c r="I1483" t="inlineStr">
        <is>
          <t>1</t>
        </is>
      </c>
      <c r="J1483" t="inlineStr"/>
      <c r="K1483" t="inlineStr"/>
      <c r="L1483" t="inlineStr"/>
      <c r="M1483" t="inlineStr"/>
      <c r="N1483" t="inlineStr"/>
      <c r="O1483">
        <f>(1-Summary!$B$11)*T1483+Summary!$B$11*V1483</f>
        <v/>
      </c>
      <c r="P1483">
        <f>IF(B1508=0,0,O1483/B1508)</f>
        <v/>
      </c>
      <c r="Q1483" t="n">
        <v>0</v>
      </c>
      <c r="R1483" t="n">
        <v>0</v>
      </c>
      <c r="S1483">
        <f>IFERROR(O1483/N1483,0)</f>
        <v/>
      </c>
      <c r="T1483" t="n">
        <v>0</v>
      </c>
      <c r="V1483" t="n">
        <v>0</v>
      </c>
    </row>
    <row r="1484">
      <c r="A1484">
        <f>Skills!A21</f>
        <v/>
      </c>
      <c r="B1484">
        <f>Skills!B21</f>
        <v/>
      </c>
      <c r="C1484">
        <f>TRUE</f>
        <v/>
      </c>
      <c r="D1484">
        <f>IF(Skills!C21=1,60+Inputs!$B$25+Inputs!$B$29,IF(Skills!C21=2,90+Inputs!$B$26+Inputs!$B$29,IF(Skills!C21=3,120+Inputs!$B$27+Inputs!$B$29,MAX(0,(Inputs!$B$3-100)*3)+Inputs!$B$28+Inputs!$B$29)))</f>
        <v/>
      </c>
      <c r="E1484">
        <f>INDEX(FactorTable!$B$2:$Y$301, MATCH(ROUND(MIN(300,MAX(1,D1484)),0), FactorTable!$A$2:$A$301,0), Skills!M21+1)</f>
        <v/>
      </c>
      <c r="F1484">
        <f>IF(Skills!N21=TRUE,(Skills!L21/10)*(E1484/1000),Skills!L21/10)+Skills!O21</f>
        <v/>
      </c>
      <c r="G1484">
        <f>Skills!G21*IF(Skills!H21&gt;0,INT(IF(Inputs!$B$38="pvp",MIN(Skills!I21,15),Skills!I21)/Skills!H21+0.000000001),1)</f>
        <v/>
      </c>
      <c r="H1484">
        <f>1-(1-Skills!J21/100)^Skills!K21</f>
        <v/>
      </c>
      <c r="I1484" t="inlineStr">
        <is>
          <t>1</t>
        </is>
      </c>
      <c r="J1484" t="inlineStr"/>
      <c r="K1484" t="inlineStr"/>
      <c r="L1484" t="inlineStr"/>
      <c r="M1484" t="inlineStr"/>
      <c r="N1484" t="inlineStr"/>
      <c r="O1484">
        <f>(1-Summary!$B$11)*T1484+Summary!$B$11*V1484</f>
        <v/>
      </c>
      <c r="P1484">
        <f>IF(B1508=0,0,O1484/B1508)</f>
        <v/>
      </c>
      <c r="Q1484">
        <f>IFERROR(1/(IF(Inputs!$B$38="pvp",15,MAX(0.1,Skills!D21-IF(TRUE=TRUE,Inputs!$B$32,0)))*(1-IF(AND(ArtifactsInput!$M$27,Inputs!$B$4="Chapter Hunt"),CHOOSE(ArtifactsInput!$N$27+1,20,24,28,32,36,40),0)/100)),0)</f>
        <v/>
      </c>
      <c r="R1484">
        <f>IF(AND(Inputs!$B$38&lt;&gt;"pvp",Inputs!$B$43&gt;0),IF(Inputs!$B$43&lt;=0,0,(INT(Inputs!$B$43/(IF(Inputs!$B$38="pvp",15,MAX(0.1,Skills!D21-IF(TRUE=TRUE,Inputs!$B$32,0)))*(1-IF(AND(ArtifactsInput!$M$27,Inputs!$B$4="Chapter Hunt"),CHOOSE(ArtifactsInput!$N$27+1,20,24,28,32,36,40),0)/100)))+1)),0)</f>
        <v/>
      </c>
      <c r="S1484">
        <f>IFERROR(O1484/N1484,0)</f>
        <v/>
      </c>
      <c r="T1484" t="n">
        <v>0</v>
      </c>
      <c r="V1484" t="n">
        <v>0</v>
      </c>
    </row>
    <row r="1485">
      <c r="A1485">
        <f>Skills!A22</f>
        <v/>
      </c>
      <c r="B1485">
        <f>Skills!B22</f>
        <v/>
      </c>
      <c r="C1485">
        <f>Inputs!$B$3&gt;=15</f>
        <v/>
      </c>
      <c r="D1485">
        <f>IF(Skills!C22=1,60+Inputs!$B$25+Inputs!$B$29,IF(Skills!C22=2,90+Inputs!$B$26+Inputs!$B$29,IF(Skills!C22=3,120+Inputs!$B$27+Inputs!$B$29,MAX(0,(Inputs!$B$3-100)*3)+Inputs!$B$28+Inputs!$B$29)))</f>
        <v/>
      </c>
      <c r="E1485">
        <f>INDEX(FactorTable!$B$2:$Y$301, MATCH(ROUND(MIN(300,MAX(1,D1485)),0), FactorTable!$A$2:$A$301,0), Skills!M22+1)</f>
        <v/>
      </c>
      <c r="F1485">
        <f>IF(Skills!N22=TRUE,(Skills!L22/10)*(E1485/1000),Skills!L22/10)+Skills!O22</f>
        <v/>
      </c>
      <c r="G1485">
        <f>Skills!G22*IF(Skills!H22&gt;0,INT(IF(Inputs!$B$38="pvp",MIN(Skills!I22,15),Skills!I22)/Skills!H22+0.000000001),1)</f>
        <v/>
      </c>
      <c r="H1485">
        <f>1-(1-Skills!J22/100)^Skills!K22</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Skills!A23</f>
        <v/>
      </c>
      <c r="B1486">
        <f>Skills!B23</f>
        <v/>
      </c>
      <c r="C1486">
        <f>Inputs!$B$3&gt;=10</f>
        <v/>
      </c>
      <c r="D1486">
        <f>IF(Skills!C23=1,60+Inputs!$B$25+Inputs!$B$29,IF(Skills!C23=2,90+Inputs!$B$26+Inputs!$B$29,IF(Skills!C23=3,120+Inputs!$B$27+Inputs!$B$29,MAX(0,(Inputs!$B$3-100)*3)+Inputs!$B$28+Inputs!$B$29)))</f>
        <v/>
      </c>
      <c r="E1486">
        <f>INDEX(FactorTable!$B$2:$Y$301, MATCH(ROUND(MIN(300,MAX(1,D1486)),0), FactorTable!$A$2:$A$301,0), Skills!M23+1)</f>
        <v/>
      </c>
      <c r="F1486">
        <f>IF(Skills!N23=TRUE,(Skills!L23/10)*(E1486/1000),Skills!L23/10)+Skills!O23</f>
        <v/>
      </c>
      <c r="G1486">
        <f>Skills!G23*IF(Skills!H23&gt;0,INT(IF(Inputs!$B$38="pvp",MIN(Skills!I23,15),Skills!I23)/Skills!H23+0.000000001),1)</f>
        <v/>
      </c>
      <c r="H1486">
        <f>1-(1-Skills!J23/100)^Skills!K23</f>
        <v/>
      </c>
      <c r="I1486" t="inlineStr">
        <is>
          <t>1</t>
        </is>
      </c>
      <c r="J1486" t="inlineStr"/>
      <c r="K1486" t="inlineStr"/>
      <c r="L1486" t="inlineStr"/>
      <c r="M1486" t="inlineStr"/>
      <c r="N1486" t="inlineStr"/>
      <c r="O1486">
        <f>(1-Summary!$B$11)*T1486+Summary!$B$11*V1486</f>
        <v/>
      </c>
      <c r="P1486">
        <f>IF(B1508=0,0,O1486/B1508)</f>
        <v/>
      </c>
      <c r="Q1486" t="n">
        <v>0</v>
      </c>
      <c r="R1486" t="n">
        <v>0</v>
      </c>
      <c r="S1486">
        <f>IFERROR(O1486/N1486,0)</f>
        <v/>
      </c>
      <c r="T1486" t="n">
        <v>0</v>
      </c>
      <c r="V1486" t="n">
        <v>0</v>
      </c>
    </row>
    <row r="1487">
      <c r="A1487">
        <f>Skills!A24</f>
        <v/>
      </c>
      <c r="B1487">
        <f>Skills!B24</f>
        <v/>
      </c>
      <c r="C1487">
        <f>Inputs!$B$3&gt;=33</f>
        <v/>
      </c>
      <c r="D1487">
        <f>IF(Skills!C24=1,60+Inputs!$B$25+Inputs!$B$29,IF(Skills!C24=2,90+Inputs!$B$26+Inputs!$B$29,IF(Skills!C24=3,120+Inputs!$B$27+Inputs!$B$29,MAX(0,(Inputs!$B$3-100)*3)+Inputs!$B$28+Inputs!$B$29)))</f>
        <v/>
      </c>
      <c r="E1487">
        <f>INDEX(FactorTable!$B$2:$Y$301, MATCH(ROUND(MIN(300,MAX(1,D1487)),0), FactorTable!$A$2:$A$301,0), Skills!M24+1)</f>
        <v/>
      </c>
      <c r="F1487">
        <f>IF(Skills!N24=TRUE,(Skills!L24/10)*(E1487/1000),Skills!L24/10)+Skills!O24</f>
        <v/>
      </c>
      <c r="G1487">
        <f>Skills!G24*IF(Skills!H24&gt;0,INT(IF(Inputs!$B$38="pvp",MIN(Skills!I24,15),Skills!I24)/Skills!H24+0.000000001),1)</f>
        <v/>
      </c>
      <c r="H1487">
        <f>1-(1-Skills!J24/100)^Skills!K24</f>
        <v/>
      </c>
      <c r="I1487" t="inlineStr">
        <is>
          <t>1</t>
        </is>
      </c>
      <c r="J1487" t="inlineStr"/>
      <c r="K1487" t="inlineStr"/>
      <c r="L1487" t="inlineStr"/>
      <c r="M1487" t="inlineStr"/>
      <c r="N1487" t="inlineStr"/>
      <c r="O1487">
        <f>(1-Summary!$B$11)*T1487+Summary!$B$11*V1487</f>
        <v/>
      </c>
      <c r="P1487">
        <f>IF(B1508=0,0,O1487/B1508)</f>
        <v/>
      </c>
      <c r="Q1487" t="n">
        <v>0</v>
      </c>
      <c r="R1487" t="n">
        <v>0</v>
      </c>
      <c r="S1487">
        <f>IFERROR(O1487/N1487,0)</f>
        <v/>
      </c>
      <c r="T1487" t="n">
        <v>0</v>
      </c>
      <c r="V1487" t="n">
        <v>0</v>
      </c>
    </row>
    <row r="1488">
      <c r="A1488">
        <f>Skills!A25</f>
        <v/>
      </c>
      <c r="B1488">
        <f>Skills!B25</f>
        <v/>
      </c>
      <c r="C1488">
        <f>Inputs!$B$3&gt;=38</f>
        <v/>
      </c>
      <c r="D1488">
        <f>IF(Skills!C25=1,60+Inputs!$B$25+Inputs!$B$29,IF(Skills!C25=2,90+Inputs!$B$26+Inputs!$B$29,IF(Skills!C25=3,120+Inputs!$B$27+Inputs!$B$29,MAX(0,(Inputs!$B$3-100)*3)+Inputs!$B$28+Inputs!$B$29)))</f>
        <v/>
      </c>
      <c r="E1488">
        <f>INDEX(FactorTable!$B$2:$Y$301, MATCH(ROUND(MIN(300,MAX(1,D1488)),0), FactorTable!$A$2:$A$301,0), Skills!M25+1)</f>
        <v/>
      </c>
      <c r="F1488">
        <f>IF(Skills!N25=TRUE,(Skills!L25/10)*(E1488/1000),Skills!L25/10)+Skills!O25</f>
        <v/>
      </c>
      <c r="G1488">
        <f>Skills!G25*IF(Skills!H25&gt;0,INT(IF(Inputs!$B$38="pvp",MIN(Skills!I25,15),Skills!I25)/Skills!H25+0.000000001),1)</f>
        <v/>
      </c>
      <c r="H1488">
        <f>1-(1-Skills!J25/100)^Skills!K25</f>
        <v/>
      </c>
      <c r="I1488" t="inlineStr">
        <is>
          <t>1</t>
        </is>
      </c>
      <c r="J1488" t="inlineStr"/>
      <c r="K1488" t="inlineStr"/>
      <c r="L1488" t="inlineStr"/>
      <c r="M1488" t="inlineStr"/>
      <c r="N1488" t="inlineStr"/>
      <c r="O1488">
        <f>(1-Summary!$B$11)*T1488+Summary!$B$11*V1488</f>
        <v/>
      </c>
      <c r="P1488">
        <f>IF(B1508=0,0,O1488/B1508)</f>
        <v/>
      </c>
      <c r="Q1488" t="n">
        <v>0</v>
      </c>
      <c r="R1488" t="n">
        <v>0</v>
      </c>
      <c r="S1488">
        <f>IFERROR(O1488/N1488,0)</f>
        <v/>
      </c>
      <c r="T1488" t="n">
        <v>0</v>
      </c>
      <c r="V1488" t="n">
        <v>0</v>
      </c>
    </row>
    <row r="1489">
      <c r="A1489">
        <f>Skills!A26</f>
        <v/>
      </c>
      <c r="B1489">
        <f>Skills!B26</f>
        <v/>
      </c>
      <c r="C1489">
        <f>Inputs!$B$3&gt;=43</f>
        <v/>
      </c>
      <c r="D1489">
        <f>IF(Skills!C26=1,60+Inputs!$B$25+Inputs!$B$29,IF(Skills!C26=2,90+Inputs!$B$26+Inputs!$B$29,IF(Skills!C26=3,120+Inputs!$B$27+Inputs!$B$29,MAX(0,(Inputs!$B$3-100)*3)+Inputs!$B$28+Inputs!$B$29)))</f>
        <v/>
      </c>
      <c r="E1489">
        <f>INDEX(FactorTable!$B$2:$Y$301, MATCH(ROUND(MIN(300,MAX(1,D1489)),0), FactorTable!$A$2:$A$301,0), Skills!M26+1)</f>
        <v/>
      </c>
      <c r="F1489">
        <f>IF(Skills!N26=TRUE,(Skills!L26/10)*(E1489/1000),Skills!L26/10)+Skills!O26</f>
        <v/>
      </c>
      <c r="G1489">
        <f>Skills!G26*IF(Skills!H26&gt;0,INT(IF(Inputs!$B$38="pvp",MIN(Skills!I26,15),Skills!I26)/Skills!H26+0.000000001),1)</f>
        <v/>
      </c>
      <c r="H1489">
        <f>1-(1-Skills!J26/100)^Skills!K26</f>
        <v/>
      </c>
      <c r="I1489" t="inlineStr">
        <is>
          <t>1</t>
        </is>
      </c>
      <c r="J1489" t="inlineStr"/>
      <c r="K1489" t="inlineStr"/>
      <c r="L1489" t="inlineStr"/>
      <c r="M1489" t="inlineStr"/>
      <c r="N1489" t="inlineStr"/>
      <c r="O1489">
        <f>(1-Summary!$B$11)*T1489+Summary!$B$11*V1489</f>
        <v/>
      </c>
      <c r="P1489">
        <f>IF(B1508=0,0,O1489/B1508)</f>
        <v/>
      </c>
      <c r="Q1489" t="n">
        <v>0</v>
      </c>
      <c r="R1489" t="n">
        <v>0</v>
      </c>
      <c r="S1489">
        <f>IFERROR(O1489/N1489,0)</f>
        <v/>
      </c>
      <c r="T1489" t="n">
        <v>0</v>
      </c>
      <c r="V1489" t="n">
        <v>0</v>
      </c>
    </row>
    <row r="1490">
      <c r="A1490">
        <f>Skills!A27</f>
        <v/>
      </c>
      <c r="B1490">
        <f>Skills!B27</f>
        <v/>
      </c>
      <c r="C1490">
        <f>Inputs!$B$3&gt;=75</f>
        <v/>
      </c>
      <c r="D1490">
        <f>IF(Skills!C27=1,60+Inputs!$B$25+Inputs!$B$29,IF(Skills!C27=2,90+Inputs!$B$26+Inputs!$B$29,IF(Skills!C27=3,120+Inputs!$B$27+Inputs!$B$29,MAX(0,(Inputs!$B$3-100)*3)+Inputs!$B$28+Inputs!$B$29)))</f>
        <v/>
      </c>
      <c r="E1490">
        <f>INDEX(FactorTable!$B$2:$Y$301, MATCH(ROUND(MIN(300,MAX(1,D1490)),0), FactorTable!$A$2:$A$301,0), Skills!M27+1)</f>
        <v/>
      </c>
      <c r="F1490">
        <f>IF(Skills!N27=TRUE,(Skills!L27/10)*(E1490/1000),Skills!L27/10)+Skills!O27</f>
        <v/>
      </c>
      <c r="G1490">
        <f>Skills!G27*IF(Skills!H27&gt;0,INT(IF(Inputs!$B$38="pvp",MIN(Skills!I27,15),Skills!I27)/Skills!H27+0.000000001),1)</f>
        <v/>
      </c>
      <c r="H1490">
        <f>1-(1-Skills!J27/100)^Skills!K27</f>
        <v/>
      </c>
      <c r="I1490" t="inlineStr">
        <is>
          <t>1</t>
        </is>
      </c>
      <c r="J1490" t="inlineStr"/>
      <c r="K1490" t="inlineStr"/>
      <c r="L1490" t="inlineStr"/>
      <c r="M1490" t="inlineStr"/>
      <c r="N1490" t="inlineStr"/>
      <c r="O1490">
        <f>(1-Summary!$B$11)*T1490+Summary!$B$11*V1490</f>
        <v/>
      </c>
      <c r="P1490">
        <f>IF(B1508=0,0,O1490/B1508)</f>
        <v/>
      </c>
      <c r="Q1490" t="n">
        <v>0</v>
      </c>
      <c r="R1490" t="n">
        <v>0</v>
      </c>
      <c r="S1490">
        <f>IFERROR(O1490/N1490,0)</f>
        <v/>
      </c>
      <c r="T1490" t="n">
        <v>0</v>
      </c>
      <c r="V1490" t="n">
        <v>0</v>
      </c>
    </row>
    <row r="1491">
      <c r="A1491">
        <f>Skills!A28</f>
        <v/>
      </c>
      <c r="B1491">
        <f>Skills!B28</f>
        <v/>
      </c>
      <c r="C1491">
        <f>Inputs!$B$3&gt;=125</f>
        <v/>
      </c>
      <c r="D1491">
        <f>IF(Skills!C28=1,60+Inputs!$B$25+Inputs!$B$29,IF(Skills!C28=2,90+Inputs!$B$26+Inputs!$B$29,IF(Skills!C28=3,120+Inputs!$B$27+Inputs!$B$29,MAX(0,(Inputs!$B$3-100)*3)+Inputs!$B$28+Inputs!$B$29)))</f>
        <v/>
      </c>
      <c r="E1491">
        <f>INDEX(FactorTable!$B$2:$Y$301, MATCH(ROUND(MIN(300,MAX(1,D1491)),0), FactorTable!$A$2:$A$301,0), Skills!M28+1)</f>
        <v/>
      </c>
      <c r="F1491">
        <f>IF(Skills!N28=TRUE,(Skills!L28/10)*(E1491/1000),Skills!L28/10)+Skills!O28</f>
        <v/>
      </c>
      <c r="G1491">
        <f>Skills!G28*IF(Skills!H28&gt;0,INT(IF(Inputs!$B$38="pvp",MIN(Skills!I28,15),Skills!I28)/Skills!H28+0.000000001),1)</f>
        <v/>
      </c>
      <c r="H1491">
        <f>1-(1-Skills!J28/100)^Skills!K28</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Skills!A29</f>
        <v/>
      </c>
      <c r="B1492">
        <f>Skills!B29</f>
        <v/>
      </c>
      <c r="C1492">
        <f>Inputs!$B$3&gt;=125</f>
        <v/>
      </c>
      <c r="D1492">
        <f>IF(Skills!C29=1,60+Inputs!$B$25+Inputs!$B$29,IF(Skills!C29=2,90+Inputs!$B$26+Inputs!$B$29,IF(Skills!C29=3,120+Inputs!$B$27+Inputs!$B$29,MAX(0,(Inputs!$B$3-100)*3)+Inputs!$B$28+Inputs!$B$29)))</f>
        <v/>
      </c>
      <c r="E1492">
        <f>INDEX(FactorTable!$B$2:$Y$301, MATCH(ROUND(MIN(300,MAX(1,D1492)),0), FactorTable!$A$2:$A$301,0), Skills!M29+1)</f>
        <v/>
      </c>
      <c r="F1492">
        <f>IF(Skills!N29=TRUE,(Skills!L29/10)*(E1492/1000),Skills!L29/10)+Skills!O29</f>
        <v/>
      </c>
      <c r="G1492">
        <f>Skills!G29*IF(Skills!H29&gt;0,INT(IF(Inputs!$B$38="pvp",MIN(Skills!I29,15),Skills!I29)/Skills!H29+0.000000001),1)</f>
        <v/>
      </c>
      <c r="H1492">
        <f>1-(1-Skills!J29/100)^Skills!K29</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Skills!A30</f>
        <v/>
      </c>
      <c r="B1493">
        <f>Skills!B30</f>
        <v/>
      </c>
      <c r="C1493">
        <f>Inputs!$B$3&gt;=120</f>
        <v/>
      </c>
      <c r="D1493">
        <f>IF(Skills!C30=1,60+Inputs!$B$25+Inputs!$B$29,IF(Skills!C30=2,90+Inputs!$B$26+Inputs!$B$29,IF(Skills!C30=3,120+Inputs!$B$27+Inputs!$B$29,MAX(0,(Inputs!$B$3-100)*3)+Inputs!$B$28+Inputs!$B$29)))</f>
        <v/>
      </c>
      <c r="E1493">
        <f>INDEX(FactorTable!$B$2:$Y$301, MATCH(ROUND(MIN(300,MAX(1,D1493)),0), FactorTable!$A$2:$A$301,0), Skills!M30+1)</f>
        <v/>
      </c>
      <c r="F1493">
        <f>IF(Skills!N30=TRUE,(Skills!L30/10)*(E1493/1000),Skills!L30/10)+Skills!O30</f>
        <v/>
      </c>
      <c r="G1493">
        <f>Skills!G30*IF(Skills!H30&gt;0,INT(IF(Inputs!$B$38="pvp",MIN(Skills!I30,15),Skills!I30)/Skills!H30+0.000000001),1)</f>
        <v/>
      </c>
      <c r="H1493">
        <f>1-(1-Skills!J30/100)^Skills!K30</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Skills!A31</f>
        <v/>
      </c>
      <c r="B1494">
        <f>Skills!B31</f>
        <v/>
      </c>
      <c r="C1494">
        <f>Inputs!$B$3&gt;=120</f>
        <v/>
      </c>
      <c r="D1494">
        <f>IF(Skills!C31=1,60+Inputs!$B$25+Inputs!$B$29,IF(Skills!C31=2,90+Inputs!$B$26+Inputs!$B$29,IF(Skills!C31=3,120+Inputs!$B$27+Inputs!$B$29,MAX(0,(Inputs!$B$3-100)*3)+Inputs!$B$28+Inputs!$B$29)))</f>
        <v/>
      </c>
      <c r="E1494">
        <f>INDEX(FactorTable!$B$2:$Y$301, MATCH(ROUND(MIN(300,MAX(1,D1494)),0), FactorTable!$A$2:$A$301,0), Skills!M31+1)</f>
        <v/>
      </c>
      <c r="F1494">
        <f>IF(Skills!N31=TRUE,(Skills!L31/10)*(E1494/1000),Skills!L31/10)+Skills!O31</f>
        <v/>
      </c>
      <c r="G1494">
        <f>Skills!G31*IF(Skills!H31&gt;0,INT(IF(Inputs!$B$38="pvp",MIN(Skills!I31,15),Skills!I31)/Skills!H31+0.000000001),1)</f>
        <v/>
      </c>
      <c r="H1494">
        <f>1-(1-Skills!J31/100)^Skills!K31</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Skills!A32</f>
        <v/>
      </c>
      <c r="B1495">
        <f>Skills!B32</f>
        <v/>
      </c>
      <c r="C1495">
        <f>Inputs!$B$3&gt;=45</f>
        <v/>
      </c>
      <c r="D1495">
        <f>IF(Skills!C32=1,60+Inputs!$B$25+Inputs!$B$29,IF(Skills!C32=2,90+Inputs!$B$26+Inputs!$B$29,IF(Skills!C32=3,120+Inputs!$B$27+Inputs!$B$29,MAX(0,(Inputs!$B$3-100)*3)+Inputs!$B$28+Inputs!$B$29)))</f>
        <v/>
      </c>
      <c r="E1495">
        <f>INDEX(FactorTable!$B$2:$Y$301, MATCH(ROUND(MIN(300,MAX(1,D1495)),0), FactorTable!$A$2:$A$301,0), Skills!M32+1)</f>
        <v/>
      </c>
      <c r="F1495">
        <f>IF(Skills!N32=TRUE,(Skills!L32/10)*(E1495/1000),Skills!L32/10)+Skills!O32</f>
        <v/>
      </c>
      <c r="G1495">
        <f>Skills!G32*IF(Skills!H32&gt;0,INT(IF(Inputs!$B$38="pvp",MIN(Skills!I32,15),Skills!I32)/Skills!H32+0.000000001),1)</f>
        <v/>
      </c>
      <c r="H1495">
        <f>1-(1-Skills!J32/100)^Skills!K32</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21*(1+Inputs!$B$34/100)),(1/Q1484))+MIN((Skills!T21*(1+Inputs!$B$34/100)),MAX(0,Inputs!$B$43-((R1484-1)*(1/Q1484)))))/Inputs!$B$43),IF(Inputs!$B$38="pvp",MIN((Skills!T21*(1+Inputs!$B$34/100)),15)/15,MIN(1,(Skills!T21*(1+Inputs!$B$34/100))/(1/Q1484)))))</f>
        <v/>
      </c>
    </row>
    <row r="1500">
      <c r="A1500" t="inlineStr">
        <is>
          <t>Actions Per Second</t>
        </is>
      </c>
      <c r="B1500">
        <f>1+MIN(150,150*(1-(1-(Inputs!$B$11+((C1486=TRUE)*(F1486-Calc!F23))+((C1487=TRUE)*(F1487-Calc!F24)))/150)*(1-B1499/150)))/100</f>
        <v/>
      </c>
    </row>
    <row r="1501">
      <c r="A1501" t="inlineStr">
        <is>
          <t>Skill + Buff Cast Rate</t>
        </is>
      </c>
      <c r="B1501">
        <f>IF(AND(Inputs!$B$38&lt;&gt;"pvp",Inputs!$B$43&gt;0),SUMPRODUCT((Skills!E2:E32=TRUE)*(C1465:C1495=TRUE)*R1465:R1495*Skills!F2:F32)/Inputs!$B$43,SUMPRODUCT((Skills!E2:E32=TRUE)*(C1465:C1495=TRUE)*Q1465:Q1495*Skills!F2:F32))</f>
        <v/>
      </c>
    </row>
    <row r="1502">
      <c r="A1502" t="inlineStr">
        <is>
          <t>Arrow Stream Casts Per Second</t>
        </is>
      </c>
      <c r="B1502">
        <f>MAX(0,B1500-B1501)</f>
        <v/>
      </c>
    </row>
    <row r="1503">
      <c r="A1503" t="inlineStr">
        <is>
          <t>Global Critical Damage Bonus % (Sharp Eyes + Concentration)</t>
        </is>
      </c>
      <c r="B1503">
        <f>(C1481=TRUE)*F1481*IF(AND(Inputs!$B$38&lt;&gt;"pvp",Inputs!$B$43&gt;0),(((R1481-1)*MIN((Skills!T18*(1+Inputs!$B$34/100)),(1/Q1481))+MIN((Skills!T18*(1+Inputs!$B$34/100)),MAX(0,Inputs!$B$43-((R1481-1)*(1/Q1481)))))/Inputs!$B$43),IF(Inputs!$B$38="pvp",MIN((Skills!T18*(1+Inputs!$B$34/100)),15)/15,MIN(1,(Skills!T18*(1+Inputs!$B$34/100))/(1/Q1481))))+(C1482=TRUE)*7*F1482</f>
        <v/>
      </c>
    </row>
    <row r="1504">
      <c r="A1504" t="inlineStr">
        <is>
          <t>Global Final Damage Bonus % (Mortal Blow)</t>
        </is>
      </c>
      <c r="B1504">
        <f>(C1483=TRUE)*F1483</f>
        <v/>
      </c>
    </row>
    <row r="1505">
      <c r="A1505" t="inlineStr">
        <is>
          <t>Buff-Casting Startup Delay (s, fixed-duration only)</t>
        </is>
      </c>
      <c r="B1505">
        <f>IF(AND(Inputs!$B$38&lt;&gt;"pvp",Inputs!$B$43&gt;0),SUMPRODUCT((Skills!T2:T32&gt;0)*(Skills!E2:E32=TRUE)*(C1465:C1495=TRUE))/B1500,0)</f>
        <v/>
      </c>
    </row>
    <row r="1506">
      <c r="A1506" t="inlineStr">
        <is>
          <t>Boss-Only Total DPS (this block's swept value)</t>
        </is>
      </c>
      <c r="B1506">
        <f>SUM(T1465:T1495)</f>
        <v/>
      </c>
    </row>
    <row r="1507">
      <c r="A1507" t="inlineStr">
        <is>
          <t>Normal-Only Total DPS (this block's swept value)</t>
        </is>
      </c>
      <c r="B1507">
        <f>SUM(V1465:V1495)</f>
        <v/>
      </c>
    </row>
    <row r="1508">
      <c r="A1508" s="6" t="inlineStr">
        <is>
          <t>TOTAL DPS</t>
        </is>
      </c>
      <c r="B1508" s="6">
        <f>SUM(O1465:O1495)</f>
        <v/>
      </c>
    </row>
    <row r="1511">
      <c r="A1511" s="6" t="inlineStr">
        <is>
          <t>Stat: Rainbow-colored Snail Shell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Skills!G2*IF(Skills!H2&gt;0,INT(IF(Inputs!$B$38="pvp",MIN(Skills!I2,15),Skills!I2)/Skills!H2+0.000000001),1)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1537=TRUE)*(F1537-Calc!F26)),(Inputs!$B$23+((C1542=TRUE)*(F1542-Calc!F31))+(IF(ArtifactsInput!$M$15,CHOOSE(ArtifactsInput!$N$15+1,25,30,35,40,45,50)/100*(Inputs!$B$11-Inputs!$B$11),0))))/100+(Inputs!$B$23+((C1542=TRUE)*(F1542-Calc!F31))+(IF(ArtifactsInput!$M$15,CHOOSE(ArtifactsInput!$N$15+1,25,30,35,40,45,50)/100*(Inputs!$B$11-Inputs!$B$11),0)))/100)/2</f>
        <v/>
      </c>
      <c r="M1513">
        <f>L1513*(1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3">
        <f>L1513*(1-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1513*(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3">
        <f>(1-Summary!$B$11)*T1513+Summary!$B$11*V1513</f>
        <v/>
      </c>
      <c r="P1513">
        <f>IF(B1556=0,0,O1513/B1556)</f>
        <v/>
      </c>
      <c r="Q1513" t="n">
        <v>0</v>
      </c>
      <c r="R1513" t="n">
        <v>0</v>
      </c>
      <c r="S1513">
        <f>IFERROR(O1513/N1513,0)</f>
        <v/>
      </c>
      <c r="T1513">
        <f>IF(C1513,(Skills!G2*N1513*B1550)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IF(C1513,(Skills!G2*N1513*B1550)*IF(Inputs!$B$38="pvp",1,(1+(Inputs!$B$21+Skills!Q2+(IF(ArtifactsInput!$M$33,CHOOSE(ArtifactsInput!$N$33+1,30,36,42,48,54,60),0))+(IF(AND(ArtifactsInput!$M$35,Inputs!$B$4&lt;&gt;"Chapter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f>Skills!G3*IF(Skills!H3&gt;0,INT(IF(Inputs!$B$38="pvp",MIN(Skills!I3,15),Skills!I3)/Skills!H3+0.000000001),1)</f>
        <v/>
      </c>
      <c r="H1514">
        <f>1-(1-Skills!J3/100)^Skills!K3</f>
        <v/>
      </c>
      <c r="I1514" t="inlineStr">
        <is>
          <t>1</t>
        </is>
      </c>
      <c r="J1514">
        <f>((Inputs!$B$6*(1+Inputs!$B$7/100))+(((Inputs!$B$12*(1+Inputs!$B$13/100))-(Inputs!$B$12*(1+Inputs!$B$13/100)))+0.25*(Inputs!$B$14-Inputs!$B$14))*(1+Inputs!$B$7/100))*(F1514/100)</f>
        <v/>
      </c>
      <c r="K1514">
        <f>J1514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1515=TRUE,F1515,0)/100)*(1+(IF(Skills!A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C1537=TRUE)*(F1537-Calc!F26)),(Inputs!$B$23+((C1542=TRUE)*(F1542-Calc!F31))+(IF(ArtifactsInput!$M$15,CHOOSE(ArtifactsInput!$N$15+1,25,30,35,40,45,50)/100*(Inputs!$B$11-Inputs!$B$11),0))))/100+(Inputs!$B$23+((C1542=TRUE)*(F1542-Calc!F31))+(IF(ArtifactsInput!$M$15,CHOOSE(ArtifactsInput!$N$15+1,25,30,35,40,45,50)/100*(Inputs!$B$11-Inputs!$B$11),0)))/100)/2</f>
        <v/>
      </c>
      <c r="M1514">
        <f>L1514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4">
        <f>L1514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4">
        <f>(1-Summary!$B$11)*T1514+Summary!$B$11*V1514</f>
        <v/>
      </c>
      <c r="P1514">
        <f>IF(B1556=0,0,O1514/B1556)</f>
        <v/>
      </c>
      <c r="Q1514">
        <f>IFERROR(1/(IF(Inputs!$B$38="pvp",15,MAX(0.1,1/B1548-IF(FALSE=TRUE,Inputs!$B$32,0)))*(1-IF(AND(ArtifactsInput!$M$27,Inputs!$B$4="Chapter Hunt"),CHOOSE(ArtifactsInput!$N$27+1,20,24,28,32,36,40),0)/100)),0)</f>
        <v/>
      </c>
      <c r="R1514">
        <f>IF(AND(Inputs!$B$38&lt;&gt;"pvp",Inputs!$B$43&gt;0),IF(MAX(0,Inputs!$B$43-B1553)&lt;=0,0,(INT(MAX(0,Inputs!$B$43-B1553)/(IF(Inputs!$B$38="pvp",15,MAX(0.1,1/B1548-IF(FALSE=TRUE,Inputs!$B$32,0)))*(1-IF(AND(ArtifactsInput!$M$27,Inputs!$B$4="Chapter Hunt"),CHOOSE(ArtifactsInput!$N$27+1,20,24,28,32,36,40),0)/100)))+1)),0)</f>
        <v/>
      </c>
      <c r="S1514">
        <f>IFERROR(O1514/N1514,0)</f>
        <v/>
      </c>
      <c r="T1514">
        <f>IF(C1514,(H1514*N1514*IF(AND(Inputs!$B$38&lt;&gt;"pvp",Inputs!$B$43&gt;0),((Skills!G3*((R1514-1)*IF(Skills!H3&gt;0,INT(Skills!I3/Skills!H3+0.000000001),1)+IF(Skills!H3&gt;0,INT(MIN(Skills!I3,MAX(0,MAX(0,Inputs!$B$43-B1553)-((R1514-1)*(IF(Inputs!$B$38="pvp",15,MAX(0.1,1/B1548-IF(FALSE=TRUE,Inputs!$B$32,0)))*(1-IF(AND(ArtifactsInput!$M$27,Inputs!$B$4="Chapter Hunt"),CHOOSE(ArtifactsInput!$N$27+1,20,24,28,32,36,40),0)/100)))))/Skills!H3+0.000000001),1)))/Inputs!$B$43),G1514*Q1514)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INDEX(FactorTable!$B$2:$Y$301, MATCH(ROUND(MIN(300,MAX(1,U1513)),0), FactorTable!$A$2:$A$301,0), 22)</f>
        <v/>
      </c>
      <c r="V1514">
        <f>IF(C1514,(H1514*N1514*IF(AND(Inputs!$B$38&lt;&gt;"pvp",Inputs!$B$43&gt;0),((Skills!G3*((R1514-1)*IF(Skills!H3&gt;0,INT(Skills!I3/Skills!H3+0.000000001),1)+IF(Skills!H3&gt;0,INT(MIN(Skills!I3,MAX(0,MAX(0,Inputs!$B$43-B1553)-((R1514-1)*(IF(Inputs!$B$38="pvp",15,MAX(0.1,1/B1548-IF(FALSE=TRUE,Inputs!$B$32,0)))*(1-IF(AND(ArtifactsInput!$M$27,Inputs!$B$4="Chapter Hunt"),CHOOSE(ArtifactsInput!$N$27+1,20,24,28,32,36,40),0)/100)))))/Skills!H3+0.000000001),1)))/Inputs!$B$43),G1514*Q1514))*IF(Inputs!$B$38="pvp",1,(1+(Inputs!$B$21+Skills!Q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Skills!G5*IF(Skills!H5&gt;0,INT(IF(Inputs!$B$38="pvp",MIN(Skills!I5,15),Skills!I5)/Skills!H5+0.000000001),1)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5="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1537=TRUE)*(F1537-Calc!F26)),(Inputs!$B$23+((C1542=TRUE)*(F1542-Calc!F31))+(IF(ArtifactsInput!$M$15,CHOOSE(ArtifactsInput!$N$15+1,25,30,35,40,45,50)/100*(Inputs!$B$11-Inputs!$B$11),0))))/100+(Inputs!$B$23+((C1542=TRUE)*(F1542-Calc!F31))+(IF(ArtifactsInput!$M$15,CHOOSE(ArtifactsInput!$N$15+1,25,30,35,40,45,50)/100*(Inputs!$B$11-Inputs!$B$11),0)))/100)/2</f>
        <v/>
      </c>
      <c r="M1516">
        <f>L1516*(1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6">
        <f>L1516*(1-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1516*(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6">
        <f>(1-Summary!$B$11)*T1516+Summary!$B$11*V1516</f>
        <v/>
      </c>
      <c r="P1516">
        <f>IF(B1556=0,0,O1516/B1556)</f>
        <v/>
      </c>
      <c r="Q1516">
        <f>IFERROR(1/(IF(Inputs!$B$38="pvp",15,MAX(0.1,Skills!D5-IF(TRUE=TRUE,Inputs!$B$32,0)))*(1-IF(AND(ArtifactsInput!$M$27,Inputs!$B$4="Chapter Hunt"),CHOOSE(ArtifactsInput!$N$27+1,20,24,28,32,36,40),0)/100)),0)</f>
        <v/>
      </c>
      <c r="R1516">
        <f>IF(AND(Inputs!$B$38&lt;&gt;"pvp",Inputs!$B$43&gt;0),IF(MAX(0,Inputs!$B$43-B1553)&lt;=0,0,(INT(MAX(0,Inputs!$B$43-B1553)/(IF(Inputs!$B$38="pvp",15,MAX(0.1,Skills!D5-IF(TRUE=TRUE,Inputs!$B$32,0)))*(1-IF(AND(ArtifactsInput!$M$27,Inputs!$B$4="Chapter Hunt"),CHOOSE(ArtifactsInput!$N$27+1,20,24,28,32,36,40),0)/100)))+1)),0)</f>
        <v/>
      </c>
      <c r="S1516">
        <f>IFERROR(O1516/N1516,0)</f>
        <v/>
      </c>
      <c r="T1516">
        <f>IF(C1516,(H1516*N1516*IF(AND(Inputs!$B$38&lt;&gt;"pvp",Inputs!$B$43&gt;0),((Skills!G5*((R1516-1)*IF(Skills!H5&gt;0,INT(Skills!I5/Skills!H5+0.000000001),1)+IF(Skills!H5&gt;0,INT(MIN(Skills!I5,MAX(0,MAX(0,Inputs!$B$43-B1553)-((R1516-1)*(IF(Inputs!$B$38="pvp",15,MAX(0.1,Skills!D5-IF(TRUE=TRUE,Inputs!$B$32,0)))*(1-IF(AND(ArtifactsInput!$M$27,Inputs!$B$4="Chapter Hunt"),CHOOSE(ArtifactsInput!$N$27+1,20,24,28,32,36,40),0)/100)))))/Skills!H5+0.000000001),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INT(Skills!I5/Skills!H5+0.000000001),1)+IF(Skills!H5&gt;0,INT(MIN(Skills!I5,MAX(0,MAX(0,Inputs!$B$43-B1553)-((R1516-1)*(IF(Inputs!$B$38="pvp",15,MAX(0.1,Skills!D5-IF(TRUE=TRUE,Inputs!$B$32,0)))*(1-IF(AND(ArtifactsInput!$M$27,Inputs!$B$4="Chapter Hunt"),CHOOSE(ArtifactsInput!$N$27+1,20,24,28,32,36,40),0)/100)))))/Skills!H5+0.000000001),1)))/Inputs!$B$43),G1516*Q1516))*IF(Inputs!$B$38="pvp",1,(1+(Inputs!$B$21+Skills!Q5+(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Inputs!$B$3&gt;=40</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Skills!G6*IF(Skills!H6&gt;0,INT(IF(Inputs!$B$38="pvp",MIN(Skills!I6,15),Skills!I6)/Skills!H6+0.000000001),1)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1518=TRUE,F1518,0)/100)*(1+(IF(Skills!A6="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1537=TRUE)*(F1537-Calc!F26)),(Inputs!$B$23+((C1542=TRUE)*(F1542-Calc!F31))+(IF(ArtifactsInput!$M$15,CHOOSE(ArtifactsInput!$N$15+1,25,30,35,40,45,50)/100*(Inputs!$B$11-Inputs!$B$11),0))))/100+(Inputs!$B$23+((C1542=TRUE)*(F1542-Calc!F31))+(IF(ArtifactsInput!$M$15,CHOOSE(ArtifactsInput!$N$15+1,25,30,35,40,45,50)/100*(Inputs!$B$11-Inputs!$B$11),0)))/100)/2</f>
        <v/>
      </c>
      <c r="M1517">
        <f>L1517*(1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7">
        <f>L1517*(1-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1517*(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7">
        <f>(1-Summary!$B$11)*T1517+Summary!$B$11*V1517</f>
        <v/>
      </c>
      <c r="P1517">
        <f>IF(B1556=0,0,O1517/B1556)</f>
        <v/>
      </c>
      <c r="Q1517">
        <f>IFERROR(1/(IF(Inputs!$B$38="pvp",15,MAX(0.1,1-0.4*MIN(1,(B1548-1)/1.5)-IF(FALSE=TRUE,Inputs!$B$32,0)))*(1-IF(AND(ArtifactsInput!$M$27,Inputs!$B$4="Chapter Hunt"),CHOOSE(ArtifactsInput!$N$27+1,20,24,28,32,36,40),0)/100)),0)</f>
        <v/>
      </c>
      <c r="R1517">
        <f>IF(AND(Inputs!$B$38&lt;&gt;"pvp",Inputs!$B$43&gt;0),IF(MAX(0,Inputs!$B$43-B1553)&lt;=0,0,(INT(MAX(0,Inputs!$B$43-B1553)/(IF(Inputs!$B$38="pvp",15,MAX(0.1,1-0.4*MIN(1,(B1548-1)/1.5)-IF(FALSE=TRUE,Inputs!$B$32,0)))*(1-IF(AND(ArtifactsInput!$M$27,Inputs!$B$4="Chapter Hunt"),CHOOSE(ArtifactsInput!$N$27+1,20,24,28,32,36,40),0)/100)))+1)),0)</f>
        <v/>
      </c>
      <c r="S1517">
        <f>IFERROR(O1517/N1517,0)</f>
        <v/>
      </c>
      <c r="T1517">
        <f>IF(C1517,(H1517*N1517*IF(AND(Inputs!$B$38&lt;&gt;"pvp",Inputs!$B$43&gt;0),((Skills!G6*((R1517-1)*IF(Skills!H6&gt;0,INT(Skills!I6/Skills!H6+0.000000001),1)+IF(Skills!H6&gt;0,INT(MIN(Skills!I6,MAX(0,MAX(0,Inputs!$B$43-B1553)-((R1517-1)*(IF(Inputs!$B$38="pvp",15,MAX(0.1,1-0.4*MIN(1,(B1548-1)/1.5)-IF(FALSE=TRUE,Inputs!$B$32,0)))*(1-IF(AND(ArtifactsInput!$M$27,Inputs!$B$4="Chapter Hunt"),CHOOSE(ArtifactsInput!$N$27+1,20,24,28,32,36,40),0)/100)))))/Skills!H6+0.000000001),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INT(Skills!I6/Skills!H6+0.000000001),1)+IF(Skills!H6&gt;0,INT(MIN(Skills!I6,MAX(0,MAX(0,Inputs!$B$43-B1553)-((R1517-1)*(IF(Inputs!$B$38="pvp",15,MAX(0.1,1-0.4*MIN(1,(B1548-1)/1.5)-IF(FALSE=TRUE,Inputs!$B$32,0)))*(1-IF(AND(ArtifactsInput!$M$27,Inputs!$B$4="Chapter Hunt"),CHOOSE(ArtifactsInput!$N$27+1,20,24,28,32,36,40),0)/100)))))/Skills!H6+0.000000001),1)))/Inputs!$B$43),G1517*Q1517))*IF(Inputs!$B$38="pvp",1,(1+(Inputs!$B$21+Skills!Q6+(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t="inlineStr"/>
      <c r="H1518" t="inlineStr"/>
      <c r="I1518" t="inlineStr">
        <is>
          <t>1</t>
        </is>
      </c>
      <c r="J1518" t="inlineStr"/>
      <c r="K1518" t="inlineStr"/>
      <c r="L1518" t="inlineStr"/>
      <c r="M1518" t="inlineStr"/>
      <c r="N1518" t="inlineStr"/>
      <c r="O1518" t="inlineStr"/>
      <c r="P1518" t="inlineStr"/>
      <c r="Q1518" t="inlineStr"/>
      <c r="R1518" t="inlineStr"/>
      <c r="S1518" t="inlineStr"/>
      <c r="T1518" t="inlineStr"/>
      <c r="V1518" t="inlineStr"/>
    </row>
    <row r="1519">
      <c r="A1519">
        <f>Skills!A8</f>
        <v/>
      </c>
      <c r="B1519">
        <f>Skills!B8</f>
        <v/>
      </c>
      <c r="C1519">
        <f>Inputs!$B$3&gt;=130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Skills!G8*IF(Skills!H8&gt;0,INT(IF(Inputs!$B$38="pvp",MIN(Skills!I8,15),Skills!I8)/Skills!H8+0.000000001),1)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1537=TRUE)*(F1537-Calc!F26)),(Inputs!$B$23+((C1542=TRUE)*(F1542-Calc!F31))+(IF(ArtifactsInput!$M$15,CHOOSE(ArtifactsInput!$N$15+1,25,30,35,40,45,50)/100*(Inputs!$B$11-Inputs!$B$11),0))))/100+(Inputs!$B$23+((C1542=TRUE)*(F1542-Calc!F31))+(IF(ArtifactsInput!$M$15,CHOOSE(ArtifactsInput!$N$15+1,25,30,35,40,45,50)/100*(Inputs!$B$11-Inputs!$B$11),0)))/100)/2</f>
        <v/>
      </c>
      <c r="M1519">
        <f>L1519*(1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9">
        <f>L1519*(1-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1519*(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9">
        <f>(1-Summary!$B$11)*T1519+Summary!$B$11*V1519</f>
        <v/>
      </c>
      <c r="P1519">
        <f>IF(B1556=0,0,O1519/B1556)</f>
        <v/>
      </c>
      <c r="Q1519">
        <f>IFERROR(1/(IF(Inputs!$B$38="pvp",15,MAX(0.1,1-0.4*MIN(1,(B1548-1)/1.5)-IF(FALSE=TRUE,Inputs!$B$32,0)))*(1-IF(AND(ArtifactsInput!$M$27,Inputs!$B$4="Chapter Hunt"),CHOOSE(ArtifactsInput!$N$27+1,20,24,28,32,36,40),0)/100)),0)</f>
        <v/>
      </c>
      <c r="R1519">
        <f>IF(AND(Inputs!$B$38&lt;&gt;"pvp",Inputs!$B$43&gt;0),IF(MAX(0,Inputs!$B$43-B1553)&lt;=0,0,(INT(MAX(0,Inputs!$B$43-B1553)/(IF(Inputs!$B$38="pvp",15,MAX(0.1,1-0.4*MIN(1,(B1548-1)/1.5)-IF(FALSE=TRUE,Inputs!$B$32,0)))*(1-IF(AND(ArtifactsInput!$M$27,Inputs!$B$4="Chapter Hunt"),CHOOSE(ArtifactsInput!$N$27+1,20,24,28,32,36,40),0)/100)))+1)),0)</f>
        <v/>
      </c>
      <c r="S1519">
        <f>IFERROR(O1519/N1519,0)</f>
        <v/>
      </c>
      <c r="T1519">
        <f>IF(C1519,(H1519*N1519*IF(AND(Inputs!$B$38&lt;&gt;"pvp",Inputs!$B$43&gt;0),((Skills!G8*((R1519-1)*IF(Skills!H8&gt;0,INT(Skills!I8/Skills!H8+0.000000001),1)+IF(Skills!H8&gt;0,INT(MIN(Skills!I8,MAX(0,MAX(0,Inputs!$B$43-B1553)-((R1519-1)*(IF(Inputs!$B$38="pvp",15,MAX(0.1,1-0.4*MIN(1,(B1548-1)/1.5)-IF(FALSE=TRUE,Inputs!$B$32,0)))*(1-IF(AND(ArtifactsInput!$M$27,Inputs!$B$4="Chapter Hunt"),CHOOSE(ArtifactsInput!$N$27+1,20,24,28,32,36,40),0)/100)))))/Skills!H8+0.000000001),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INT(Skills!I8/Skills!H8+0.000000001),1)+IF(Skills!H8&gt;0,INT(MIN(Skills!I8,MAX(0,MAX(0,Inputs!$B$43-B1553)-((R1519-1)*(IF(Inputs!$B$38="pvp",15,MAX(0.1,1-0.4*MIN(1,(B1548-1)/1.5)-IF(FALSE=TRUE,Inputs!$B$32,0)))*(1-IF(AND(ArtifactsInput!$M$27,Inputs!$B$4="Chapter Hunt"),CHOOSE(ArtifactsInput!$N$27+1,20,24,28,32,36,40),0)/100)))))/Skills!H8+0.000000001),1)))/Inputs!$B$43),G1519*Q1519))*IF(Inputs!$B$38="pvp",1,(1+(Inputs!$B$21+Skills!Q8+(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Inputs!$B$3&gt;=69</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Skills!G9*IF(Skills!H9&gt;0,INT(IF(Inputs!$B$38="pvp",MIN(Skills!I9,15),Skills!I9)/Skills!H9+0.000000001),1)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1523=TRUE,F1523,0)/100)*(1+(IF(Skills!A9="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1537=TRUE)*(F1537-Calc!F26)),(Inputs!$B$23+((C1542=TRUE)*(F1542-Calc!F31))+(IF(ArtifactsInput!$M$15,CHOOSE(ArtifactsInput!$N$15+1,25,30,35,40,45,50)/100*(Inputs!$B$11-Inputs!$B$11),0))))/100+(Inputs!$B$23+((C1542=TRUE)*(F1542-Calc!F31))+(IF(ArtifactsInput!$M$15,CHOOSE(ArtifactsInput!$N$15+1,25,30,35,40,45,50)/100*(Inputs!$B$11-Inputs!$B$11),0)))/100)/2</f>
        <v/>
      </c>
      <c r="M1520">
        <f>L1520*(1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0">
        <f>L1520*(1-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1520*(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0">
        <f>(1-Summary!$B$11)*T1520+Summary!$B$11*V1520</f>
        <v/>
      </c>
      <c r="P1520">
        <f>IF(B1556=0,0,O1520/B1556)</f>
        <v/>
      </c>
      <c r="Q1520">
        <f>IFERROR(1/(IF(Inputs!$B$38="pvp",15,MAX(0.1,Skills!D9-IF(TRUE=TRUE,Inputs!$B$32,0)))*(1-IF(AND(ArtifactsInput!$M$27,Inputs!$B$4="Chapter Hunt"),CHOOSE(ArtifactsInput!$N$27+1,20,24,28,32,36,40),0)/100)),0)</f>
        <v/>
      </c>
      <c r="R1520">
        <f>IF(AND(Inputs!$B$38&lt;&gt;"pvp",Inputs!$B$43&gt;0),IF(MAX(0,Inputs!$B$43-B1553)&lt;=0,0,(INT(MAX(0,Inputs!$B$43-B1553)/(IF(Inputs!$B$38="pvp",15,MAX(0.1,Skills!D9-IF(TRUE=TRUE,Inputs!$B$32,0)))*(1-IF(AND(ArtifactsInput!$M$27,Inputs!$B$4="Chapter Hunt"),CHOOSE(ArtifactsInput!$N$27+1,20,24,28,32,36,40),0)/100)))+1)),0)</f>
        <v/>
      </c>
      <c r="S1520">
        <f>IFERROR(O1520/N1520,0)</f>
        <v/>
      </c>
      <c r="T1520">
        <f>IF(C1520,(H1520*N1520*IF(AND(Inputs!$B$38&lt;&gt;"pvp",Inputs!$B$43&gt;0),((Skills!G9*((R1520-1)*IF(Skills!H9&gt;0,INT(Skills!I9/Skills!H9+0.000000001),1)+IF(Skills!H9&gt;0,INT(MIN(Skills!I9,MAX(0,MAX(0,Inputs!$B$43-B1553)-((R1520-1)*(IF(Inputs!$B$38="pvp",15,MAX(0.1,Skills!D9-IF(TRUE=TRUE,Inputs!$B$32,0)))*(1-IF(AND(ArtifactsInput!$M$27,Inputs!$B$4="Chapter Hunt"),CHOOSE(ArtifactsInput!$N$27+1,20,24,28,32,36,40),0)/100)))))/Skills!H9+0.000000001),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INT(Skills!I9/Skills!H9+0.000000001),1)+IF(Skills!H9&gt;0,INT(MIN(Skills!I9,MAX(0,MAX(0,Inputs!$B$43-B1553)-((R1520-1)*(IF(Inputs!$B$38="pvp",15,MAX(0.1,Skills!D9-IF(TRUE=TRUE,Inputs!$B$32,0)))*(1-IF(AND(ArtifactsInput!$M$27,Inputs!$B$4="Chapter Hunt"),CHOOSE(ArtifactsInput!$N$27+1,20,24,28,32,36,40),0)/100)))))/Skills!H9+0.000000001),1)))/Inputs!$B$43),G1520*Q1520))*IF(Inputs!$B$38="pvp",1,(1+(Inputs!$B$21+Skills!Q9+(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Inputs!$B$3&gt;=63</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Skills!G10*IF(Skills!H10&gt;0,INT(IF(Inputs!$B$38="pvp",MIN(Skills!I10,15),Skills!I10)/Skills!H10+0.000000001),1)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10="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1537=TRUE)*(F1537-Calc!F26)),(Inputs!$B$23+((C1542=TRUE)*(F1542-Calc!F31))+(IF(ArtifactsInput!$M$15,CHOOSE(ArtifactsInput!$N$15+1,25,30,35,40,45,50)/100*(Inputs!$B$11-Inputs!$B$11),0))))/100+(Inputs!$B$23+((C1542=TRUE)*(F1542-Calc!F31))+(IF(ArtifactsInput!$M$15,CHOOSE(ArtifactsInput!$N$15+1,25,30,35,40,45,50)/100*(Inputs!$B$11-Inputs!$B$11),0)))/100)/2</f>
        <v/>
      </c>
      <c r="M1521">
        <f>L1521*(1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1">
        <f>L1521*(1-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1">
        <f>(1-Summary!$B$11)*T1521+Summary!$B$11*V1521</f>
        <v/>
      </c>
      <c r="P1521">
        <f>IF(B1556=0,0,O1521/B1556)</f>
        <v/>
      </c>
      <c r="Q1521">
        <f>IFERROR(1/(IF(Inputs!$B$38="pvp",15,MAX(0.1,Skills!D10-IF(TRUE=TRUE,Inputs!$B$32,0)))*(1-IF(AND(ArtifactsInput!$M$27,Inputs!$B$4="Chapter Hunt"),CHOOSE(ArtifactsInput!$N$27+1,20,24,28,32,36,40),0)/100)),0)</f>
        <v/>
      </c>
      <c r="R1521">
        <f>IF(AND(Inputs!$B$38&lt;&gt;"pvp",Inputs!$B$43&gt;0),IF(MAX(0,Inputs!$B$43-B1553)&lt;=0,0,(INT(MAX(0,Inputs!$B$43-B1553)/(IF(Inputs!$B$38="pvp",15,MAX(0.1,Skills!D10-IF(TRUE=TRUE,Inputs!$B$32,0)))*(1-IF(AND(ArtifactsInput!$M$27,Inputs!$B$4="Chapter Hunt"),CHOOSE(ArtifactsInput!$N$27+1,20,24,28,32,36,40),0)/100)))+1)),0)</f>
        <v/>
      </c>
      <c r="S1521">
        <f>IFERROR(O1521/N1521,0)</f>
        <v/>
      </c>
      <c r="T1521">
        <f>IF(C1521,(H1521*N1521*IF(AND(Inputs!$B$38&lt;&gt;"pvp",Inputs!$B$43&gt;0),((Skills!G10*((R1521-1)*IF(Skills!H10&gt;0,INT(Skills!I10/Skills!H10+0.000000001),1)+IF(Skills!H10&gt;0,INT(MIN(Skills!I10,MAX(0,MAX(0,Inputs!$B$43-B1553)-((R1521-1)*(IF(Inputs!$B$38="pvp",15,MAX(0.1,Skills!D10-IF(TRUE=TRUE,Inputs!$B$32,0)))*(1-IF(AND(ArtifactsInput!$M$27,Inputs!$B$4="Chapter Hunt"),CHOOSE(ArtifactsInput!$N$27+1,20,24,28,32,36,40),0)/100)))))/Skills!H10+0.000000001),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INT(Skills!I10/Skills!H10+0.000000001),1)+IF(Skills!H10&gt;0,INT(MIN(Skills!I10,MAX(0,MAX(0,Inputs!$B$43-B1553)-((R1521-1)*(IF(Inputs!$B$38="pvp",15,MAX(0.1,Skills!D10-IF(TRUE=TRUE,Inputs!$B$32,0)))*(1-IF(AND(ArtifactsInput!$M$27,Inputs!$B$4="Chapter Hunt"),CHOOSE(ArtifactsInput!$N$27+1,20,24,28,32,36,40),0)/100)))))/Skills!H10+0.000000001),1)))/Inputs!$B$43),G1521*Q1521))*IF(Inputs!$B$38="pvp",1,(1+(Inputs!$B$21+Skills!Q10+(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Inputs!$B$3&gt;=103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Skills!G11*IF(Skills!H11&gt;0,INT(IF(Inputs!$B$38="pvp",MIN(Skills!I11,15),Skills!I11)/Skills!H11+0.000000001),1)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1537=TRUE)*(F1537-Calc!F26)),(Inputs!$B$23+((C1542=TRUE)*(F1542-Calc!F31))+(IF(ArtifactsInput!$M$15,CHOOSE(ArtifactsInput!$N$15+1,25,30,35,40,45,50)/100*(Inputs!$B$11-Inputs!$B$11),0))))/100+(Inputs!$B$23+((C1542=TRUE)*(F1542-Calc!F31))+(IF(ArtifactsInput!$M$15,CHOOSE(ArtifactsInput!$N$15+1,25,30,35,40,45,50)/100*(Inputs!$B$11-Inputs!$B$11),0)))/100)/2</f>
        <v/>
      </c>
      <c r="M1522">
        <f>L1522*(1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2">
        <f>L1522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1522*(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2">
        <f>(1-Summary!$B$11)*T1522+Summary!$B$11*V1522</f>
        <v/>
      </c>
      <c r="P1522">
        <f>IF(B1556=0,0,O1522/B1556)</f>
        <v/>
      </c>
      <c r="Q1522">
        <f>IFERROR(1/(IF(Inputs!$B$38="pvp",15,MAX(0.1,Skills!D11-IF(TRUE=TRUE,Inputs!$B$32,0)))*(1-IF(AND(ArtifactsInput!$M$27,Inputs!$B$4="Chapter Hunt"),CHOOSE(ArtifactsInput!$N$27+1,20,24,28,32,36,40),0)/100)),0)</f>
        <v/>
      </c>
      <c r="R1522">
        <f>IF(AND(Inputs!$B$38&lt;&gt;"pvp",Inputs!$B$43&gt;0),IF(MAX(0,Inputs!$B$43-B1553)&lt;=0,0,(INT(MAX(0,Inputs!$B$43-B1553)/(IF(Inputs!$B$38="pvp",15,MAX(0.1,Skills!D11-IF(TRUE=TRUE,Inputs!$B$32,0)))*(1-IF(AND(ArtifactsInput!$M$27,Inputs!$B$4="Chapter Hunt"),CHOOSE(ArtifactsInput!$N$27+1,20,24,28,32,36,40),0)/100)))+1)),0)</f>
        <v/>
      </c>
      <c r="S1522">
        <f>IFERROR(O1522/N1522,0)</f>
        <v/>
      </c>
      <c r="T1522">
        <f>IF(C1522,(H1522*N1522*IF(AND(Inputs!$B$38&lt;&gt;"pvp",Inputs!$B$43&gt;0),((Skills!G11*((R1522-1)*IF(Skills!H11&gt;0,INT(Skills!I11/Skills!H11+0.000000001),1)+IF(Skills!H11&gt;0,INT(MIN(Skills!I11,MAX(0,MAX(0,Inputs!$B$43-B1553)-((R1522-1)*(IF(Inputs!$B$38="pvp",15,MAX(0.1,Skills!D11-IF(TRUE=TRUE,Inputs!$B$32,0)))*(1-IF(AND(ArtifactsInput!$M$27,Inputs!$B$4="Chapter Hunt"),CHOOSE(ArtifactsInput!$N$27+1,20,24,28,32,36,40),0)/100)))))/Skills!H11+0.000000001)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INT(Skills!I11/Skills!H11+0.000000001),1)+IF(Skills!H11&gt;0,INT(MIN(Skills!I11,MAX(0,MAX(0,Inputs!$B$43-B1553)-((R1522-1)*(IF(Inputs!$B$38="pvp",15,MAX(0.1,Skills!D11-IF(TRUE=TRUE,Inputs!$B$32,0)))*(1-IF(AND(ArtifactsInput!$M$27,Inputs!$B$4="Chapter Hunt"),CHOOSE(ArtifactsInput!$N$27+1,20,24,28,32,36,40),0)/100)))))/Skills!H11+0.000000001),1)))/Inputs!$B$43),G1522*Q1522))*IF(Inputs!$B$38="pvp",1,(1+(Inputs!$B$21+Skills!Q11+(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V1523" t="inlineStr"/>
    </row>
    <row r="1524">
      <c r="A1524">
        <f>Skills!A13</f>
        <v/>
      </c>
      <c r="B1524">
        <f>Skills!B13</f>
        <v/>
      </c>
      <c r="C1524">
        <f>Inputs!$B$3&gt;=60</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Skills!G13*IF(Skills!H13&gt;0,INT(IF(Inputs!$B$38="pvp",MIN(Skills!I13,15),Skills!I13)/Skills!H13+0.000000001),1)</f>
        <v/>
      </c>
      <c r="H1524">
        <f>1-(1-Skills!J13/100)^Skills!K13</f>
        <v/>
      </c>
      <c r="I1524" t="inlineStr">
        <is>
          <t>1</t>
        </is>
      </c>
      <c r="J1524">
        <f>((Inputs!$B$6*(1+Inputs!$B$7/100))+(((Inputs!$B$12*(1+Inputs!$B$13/100))-(Inputs!$B$12*(1+Inputs!$B$13/100)))+0.25*(Inputs!$B$14-Inputs!$B$14))*(1+Inputs!$B$7/100))*(F1524/100)</f>
        <v/>
      </c>
      <c r="K1524">
        <f>J1524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Skills!A13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1537=TRUE)*(F1537-Calc!F26)),(Inputs!$B$23+((C1542=TRUE)*(F1542-Calc!F31))+(IF(ArtifactsInput!$M$15,CHOOSE(ArtifactsInput!$N$15+1,25,30,35,40,45,50)/100*(Inputs!$B$11-Inputs!$B$11),0))))/100+(Inputs!$B$23+((C1542=TRUE)*(F1542-Calc!F31))+(IF(ArtifactsInput!$M$15,CHOOSE(ArtifactsInput!$N$15+1,25,30,35,40,45,50)/100*(Inputs!$B$11-Inputs!$B$11),0)))/100)/2</f>
        <v/>
      </c>
      <c r="M1524">
        <f>L1524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4">
        <f>L1524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4">
        <f>(1-Summary!$B$11)*T1524+Summary!$B$11*V1524</f>
        <v/>
      </c>
      <c r="P1524">
        <f>IF(B1556=0,0,O1524/B1556)</f>
        <v/>
      </c>
      <c r="Q1524">
        <f>IFERROR(1/(IF(Inputs!$B$38="pvp",15,MAX(0.1,IF(Inputs!$B$3&gt;=122,3,5)+1/(((20+30*(B1548-1)*100/150)/100)*B1548)-IF(FALSE=TRUE,Inputs!$B$32,0)))*(1-IF(AND(ArtifactsInput!$M$27,Inputs!$B$4="Chapter Hunt"),CHOOSE(ArtifactsInput!$N$27+1,20,24,28,32,36,40),0)/100)),0)</f>
        <v/>
      </c>
      <c r="R1524">
        <f>IF(AND(Inputs!$B$38&lt;&gt;"pvp",Inputs!$B$43&gt;0),IF(MAX(0,Inputs!$B$43-B1553)&lt;=0,0,(INT(MAX(0,Inputs!$B$43-B1553)/(IF(Inputs!$B$38="pvp",15,MAX(0.1,IF(Inputs!$B$3&gt;=122,3,5)+1/(((20+30*(B1548-1)*100/150)/100)*B1548)-IF(FALSE=TRUE,Inputs!$B$32,0)))*(1-IF(AND(ArtifactsInput!$M$27,Inputs!$B$4="Chapter Hunt"),CHOOSE(ArtifactsInput!$N$27+1,20,24,28,32,36,40),0)/100)))+1)),0)</f>
        <v/>
      </c>
      <c r="S1524">
        <f>IFERROR(O1524/N1524,0)</f>
        <v/>
      </c>
      <c r="T1524">
        <f>IF(C1524,(H1524*N1524*IF(AND(Inputs!$B$38&lt;&gt;"pvp",Inputs!$B$43&gt;0),((Skills!G13*((R1524-1)*IF(Skills!H13&gt;0,INT(Skills!I13/Skills!H13+0.000000001),1)+IF(Skills!H13&gt;0,INT(MIN(Skills!I13,MAX(0,MAX(0,Inputs!$B$43-B1553)-((R1524-1)*(IF(Inputs!$B$38="pvp",15,MAX(0.1,IF(Inputs!$B$3&gt;=122,3,5)+1/(((20+30*(B1548-1)*100/150)/100)*B1548)-IF(FALSE=TRUE,Inputs!$B$32,0)))*(1-IF(AND(ArtifactsInput!$M$27,Inputs!$B$4="Chapter Hunt"),CHOOSE(ArtifactsInput!$N$27+1,20,24,28,32,36,40),0)/100)))))/Skills!H13+0.000000001),1)))/Inputs!$B$43),G1524*Q1524)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13*((R1524-1)*IF(Skills!H13&gt;0,INT(Skills!I13/Skills!H13+0.000000001),1)+IF(Skills!H13&gt;0,INT(MIN(Skills!I13,MAX(0,MAX(0,Inputs!$B$43-B1553)-((R1524-1)*(IF(Inputs!$B$38="pvp",15,MAX(0.1,IF(Inputs!$B$3&gt;=122,3,5)+1/(((20+30*(B1548-1)*100/150)/100)*B1548)-IF(FALSE=TRUE,Inputs!$B$32,0)))*(1-IF(AND(ArtifactsInput!$M$27,Inputs!$B$4="Chapter Hunt"),CHOOSE(ArtifactsInput!$N$27+1,20,24,28,32,36,40),0)/100)))))/Skills!H13+0.000000001),1)))/Inputs!$B$43),G1524*Q1524))*IF(Inputs!$B$38="pvp",1,(1+(Inputs!$B$21+Skills!Q13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t="inlineStr"/>
      <c r="H1525" t="inlineStr"/>
      <c r="I1525" t="inlineStr">
        <is>
          <t>1</t>
        </is>
      </c>
      <c r="J1525" t="inlineStr"/>
      <c r="K1525" t="inlineStr"/>
      <c r="L1525" t="inlineStr"/>
      <c r="M1525" t="inlineStr"/>
      <c r="N1525" t="inlineStr"/>
      <c r="O1525" t="inlineStr"/>
      <c r="P1525" t="inlineStr"/>
      <c r="Q1525" t="inlineStr"/>
      <c r="R1525" t="inlineStr"/>
      <c r="S1525" t="inlineStr"/>
      <c r="T1525" t="inlineStr"/>
      <c r="V1525" t="inlineStr"/>
    </row>
    <row r="1526">
      <c r="A1526">
        <f>Skills!A15</f>
        <v/>
      </c>
      <c r="B1526">
        <f>Skills!B15</f>
        <v/>
      </c>
      <c r="C1526">
        <f>Inputs!$B$3&gt;=74</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Skills!G15*IF(Skills!H15&gt;0,INT(IF(Inputs!$B$38="pvp",MIN(Skills!I15,15),Skills!I15)/Skills!H15+0.000000001),1)</f>
        <v/>
      </c>
      <c r="H1526">
        <f>1-(1-Skills!J15/100)^Skills!K15</f>
        <v/>
      </c>
      <c r="I1526" t="inlineStr">
        <is>
          <t>1</t>
        </is>
      </c>
      <c r="J1526" t="inlineStr"/>
      <c r="K1526" t="inlineStr"/>
      <c r="L1526" t="inlineStr"/>
      <c r="M1526" t="inlineStr"/>
      <c r="N1526" t="inlineStr"/>
      <c r="O1526">
        <f>(1-Summary!$B$11)*T1526+Summary!$B$11*V1526</f>
        <v/>
      </c>
      <c r="P1526">
        <f>IF(B1556=0,0,O1526/B1556)</f>
        <v/>
      </c>
      <c r="Q1526" t="n">
        <v>0</v>
      </c>
      <c r="R1526" t="n">
        <v>0</v>
      </c>
      <c r="S1526">
        <f>IFERROR(O1526/N1526,0)</f>
        <v/>
      </c>
      <c r="T1526" t="n">
        <v>0</v>
      </c>
      <c r="V1526" t="n">
        <v>0</v>
      </c>
    </row>
    <row r="1527">
      <c r="A1527">
        <f>Skills!A16</f>
        <v/>
      </c>
      <c r="B1527">
        <f>Skills!B16</f>
        <v/>
      </c>
      <c r="C1527">
        <f>Inputs!$B$3&gt;=74</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Skills!G16*IF(Skills!H16&gt;0,INT(IF(Inputs!$B$38="pvp",MIN(Skills!I16,15),Skills!I16)/Skills!H16+0.000000001),1)</f>
        <v/>
      </c>
      <c r="H1527">
        <f>1-(1-Skills!J16/100)^Skills!K16</f>
        <v/>
      </c>
      <c r="I1527" t="inlineStr">
        <is>
          <t>1</t>
        </is>
      </c>
      <c r="J1527" t="inlineStr"/>
      <c r="K1527" t="inlineStr"/>
      <c r="L1527" t="inlineStr"/>
      <c r="M1527" t="inlineStr"/>
      <c r="N1527" t="inlineStr"/>
      <c r="O1527">
        <f>(1-Summary!$B$11)*T1527+Summary!$B$11*V1527</f>
        <v/>
      </c>
      <c r="P1527">
        <f>IF(B1556=0,0,O1527/B1556)</f>
        <v/>
      </c>
      <c r="Q1527" t="n">
        <v>0</v>
      </c>
      <c r="R1527" t="n">
        <v>0</v>
      </c>
      <c r="S1527">
        <f>IFERROR(O1527/N1527,0)</f>
        <v/>
      </c>
      <c r="T1527" t="n">
        <v>0</v>
      </c>
      <c r="V1527" t="n">
        <v>0</v>
      </c>
    </row>
    <row r="1528">
      <c r="A1528">
        <f>Skills!A17</f>
        <v/>
      </c>
      <c r="B1528">
        <f>Skills!B17</f>
        <v/>
      </c>
      <c r="C1528">
        <f>Inputs!$B$3&gt;=117</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Skills!G17*IF(Skills!H17&gt;0,INT(IF(Inputs!$B$38="pvp",MIN(Skills!I17,15),Skills!I17)/Skills!H17+0.000000001),1)</f>
        <v/>
      </c>
      <c r="H1528">
        <f>1-(1-Skills!J17/100)^Skills!K17</f>
        <v/>
      </c>
      <c r="I1528" t="inlineStr">
        <is>
          <t>1</t>
        </is>
      </c>
      <c r="J1528" t="inlineStr"/>
      <c r="K1528" t="inlineStr"/>
      <c r="L1528" t="inlineStr"/>
      <c r="M1528" t="inlineStr"/>
      <c r="N1528" t="inlineStr"/>
      <c r="O1528">
        <f>(1-Summary!$B$11)*T1528+Summary!$B$11*V1528</f>
        <v/>
      </c>
      <c r="P1528">
        <f>IF(B1556=0,0,O1528/B1556)</f>
        <v/>
      </c>
      <c r="Q1528">
        <f>IFERROR(1/(IF(Inputs!$B$38="pvp",15,MAX(0.1,Skills!D17-IF(TRUE=TRUE,Inputs!$B$32,0)))*(1-IF(AND(ArtifactsInput!$M$27,Inputs!$B$4="Chapter Hunt"),CHOOSE(ArtifactsInput!$N$27+1,20,24,28,32,36,40),0)/100)),0)</f>
        <v/>
      </c>
      <c r="R1528">
        <f>IF(AND(Inputs!$B$38&lt;&gt;"pvp",Inputs!$B$43&gt;0),IF(Inputs!$B$43&lt;=0,0,(INT(Inputs!$B$43/(IF(Inputs!$B$38="pvp",15,MAX(0.1,Skills!D17-IF(TRUE=TRUE,Inputs!$B$32,0)))*(1-IF(AND(ArtifactsInput!$M$27,Inputs!$B$4="Chapter Hunt"),CHOOSE(ArtifactsInput!$N$27+1,20,24,28,32,36,40),0)/100)))+1)),0)</f>
        <v/>
      </c>
      <c r="S1528">
        <f>IFERROR(O1528/N1528,0)</f>
        <v/>
      </c>
      <c r="T1528" t="n">
        <v>0</v>
      </c>
      <c r="V1528" t="n">
        <v>0</v>
      </c>
    </row>
    <row r="1529">
      <c r="A1529">
        <f>Skills!A18</f>
        <v/>
      </c>
      <c r="B1529">
        <f>Skills!B18</f>
        <v/>
      </c>
      <c r="C1529">
        <f>Inputs!$B$3&gt;=115</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Skills!G18*IF(Skills!H18&gt;0,INT(IF(Inputs!$B$38="pvp",MIN(Skills!I18,15),Skills!I18)/Skills!H18+0.000000001),1)</f>
        <v/>
      </c>
      <c r="H1529">
        <f>1-(1-Skills!J18/100)^Skills!K18</f>
        <v/>
      </c>
      <c r="I1529" t="inlineStr">
        <is>
          <t>1</t>
        </is>
      </c>
      <c r="J1529" t="inlineStr"/>
      <c r="K1529" t="inlineStr"/>
      <c r="L1529" t="inlineStr"/>
      <c r="M1529" t="inlineStr"/>
      <c r="N1529" t="inlineStr"/>
      <c r="O1529">
        <f>(1-Summary!$B$11)*T1529+Summary!$B$11*V1529</f>
        <v/>
      </c>
      <c r="P1529">
        <f>IF(B1556=0,0,O1529/B1556)</f>
        <v/>
      </c>
      <c r="Q1529">
        <f>IFERROR(1/(IF(Inputs!$B$38="pvp",15,MAX(0.1,Skills!D18-IF(TRUE=TRUE,Inputs!$B$32,0)))*(1-IF(AND(ArtifactsInput!$M$27,Inputs!$B$4="Chapter Hunt"),CHOOSE(ArtifactsInput!$N$27+1,20,24,28,32,36,40),0)/100)),0)</f>
        <v/>
      </c>
      <c r="R1529">
        <f>IF(AND(Inputs!$B$38&lt;&gt;"pvp",Inputs!$B$43&gt;0),IF(Inputs!$B$43&lt;=0,0,(INT(Inputs!$B$43/(IF(Inputs!$B$38="pvp",15,MAX(0.1,Skills!D18-IF(TRUE=TRUE,Inputs!$B$32,0)))*(1-IF(AND(ArtifactsInput!$M$27,Inputs!$B$4="Chapter Hunt"),CHOOSE(ArtifactsInput!$N$27+1,20,24,28,32,36,40),0)/100)))+1)),0)</f>
        <v/>
      </c>
      <c r="S1529">
        <f>IFERROR(O1529/N1529,0)</f>
        <v/>
      </c>
      <c r="T1529" t="n">
        <v>0</v>
      </c>
      <c r="V1529" t="n">
        <v>0</v>
      </c>
    </row>
    <row r="1530">
      <c r="A1530">
        <f>Skills!A19</f>
        <v/>
      </c>
      <c r="B1530">
        <f>Skills!B19</f>
        <v/>
      </c>
      <c r="C1530">
        <f>Inputs!$B$3&gt;=66</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Skills!G19*IF(Skills!H19&gt;0,INT(IF(Inputs!$B$38="pvp",MIN(Skills!I19,15),Skills!I19)/Skills!H19+0.000000001),1)</f>
        <v/>
      </c>
      <c r="H1530">
        <f>1-(1-Skills!J19/100)^Skills!K19</f>
        <v/>
      </c>
      <c r="I1530" t="inlineStr">
        <is>
          <t>1</t>
        </is>
      </c>
      <c r="J1530" t="inlineStr"/>
      <c r="K1530" t="inlineStr"/>
      <c r="L1530" t="inlineStr"/>
      <c r="M1530" t="inlineStr"/>
      <c r="N1530" t="inlineStr"/>
      <c r="O1530">
        <f>(1-Summary!$B$11)*T1530+Summary!$B$11*V1530</f>
        <v/>
      </c>
      <c r="P1530">
        <f>IF(B1556=0,0,O1530/B1556)</f>
        <v/>
      </c>
      <c r="Q1530" t="n">
        <v>0</v>
      </c>
      <c r="R1530" t="n">
        <v>0</v>
      </c>
      <c r="S1530">
        <f>IFERROR(O1530/N1530,0)</f>
        <v/>
      </c>
      <c r="T1530" t="n">
        <v>0</v>
      </c>
      <c r="V1530" t="n">
        <v>0</v>
      </c>
    </row>
    <row r="1531">
      <c r="A1531">
        <f>Skills!A20</f>
        <v/>
      </c>
      <c r="B1531">
        <f>Skills!B20</f>
        <v/>
      </c>
      <c r="C1531">
        <f>Inputs!$B$3&gt;=72</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Skills!G20*IF(Skills!H20&gt;0,INT(IF(Inputs!$B$38="pvp",MIN(Skills!I20,15),Skills!I20)/Skills!H20+0.000000001),1)</f>
        <v/>
      </c>
      <c r="H1531">
        <f>1-(1-Skills!J20/100)^Skills!K20</f>
        <v/>
      </c>
      <c r="I1531" t="inlineStr">
        <is>
          <t>1</t>
        </is>
      </c>
      <c r="J1531" t="inlineStr"/>
      <c r="K1531" t="inlineStr"/>
      <c r="L1531" t="inlineStr"/>
      <c r="M1531" t="inlineStr"/>
      <c r="N1531" t="inlineStr"/>
      <c r="O1531">
        <f>(1-Summary!$B$11)*T1531+Summary!$B$11*V1531</f>
        <v/>
      </c>
      <c r="P1531">
        <f>IF(B1556=0,0,O1531/B1556)</f>
        <v/>
      </c>
      <c r="Q1531" t="n">
        <v>0</v>
      </c>
      <c r="R1531" t="n">
        <v>0</v>
      </c>
      <c r="S1531">
        <f>IFERROR(O1531/N1531,0)</f>
        <v/>
      </c>
      <c r="T1531" t="n">
        <v>0</v>
      </c>
      <c r="V1531" t="n">
        <v>0</v>
      </c>
    </row>
    <row r="1532">
      <c r="A1532">
        <f>Skills!A21</f>
        <v/>
      </c>
      <c r="B1532">
        <f>Skills!B21</f>
        <v/>
      </c>
      <c r="C1532">
        <f>TRUE</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Skills!G21*IF(Skills!H21&gt;0,INT(IF(Inputs!$B$38="pvp",MIN(Skills!I21,15),Skills!I21)/Skills!H21+0.000000001),1)</f>
        <v/>
      </c>
      <c r="H1532">
        <f>1-(1-Skills!J21/100)^Skills!K21</f>
        <v/>
      </c>
      <c r="I1532" t="inlineStr">
        <is>
          <t>1</t>
        </is>
      </c>
      <c r="J1532" t="inlineStr"/>
      <c r="K1532" t="inlineStr"/>
      <c r="L1532" t="inlineStr"/>
      <c r="M1532" t="inlineStr"/>
      <c r="N1532" t="inlineStr"/>
      <c r="O1532">
        <f>(1-Summary!$B$11)*T1532+Summary!$B$11*V1532</f>
        <v/>
      </c>
      <c r="P1532">
        <f>IF(B1556=0,0,O1532/B1556)</f>
        <v/>
      </c>
      <c r="Q1532">
        <f>IFERROR(1/(IF(Inputs!$B$38="pvp",15,MAX(0.1,Skills!D21-IF(TRUE=TRUE,Inputs!$B$32,0)))*(1-IF(AND(ArtifactsInput!$M$27,Inputs!$B$4="Chapter Hunt"),CHOOSE(ArtifactsInput!$N$27+1,20,24,28,32,36,40),0)/100)),0)</f>
        <v/>
      </c>
      <c r="R1532">
        <f>IF(AND(Inputs!$B$38&lt;&gt;"pvp",Inputs!$B$43&gt;0),IF(Inputs!$B$43&lt;=0,0,(INT(Inputs!$B$43/(IF(Inputs!$B$38="pvp",15,MAX(0.1,Skills!D21-IF(TRUE=TRUE,Inputs!$B$32,0)))*(1-IF(AND(ArtifactsInput!$M$27,Inputs!$B$4="Chapter Hunt"),CHOOSE(ArtifactsInput!$N$27+1,20,24,28,32,36,40),0)/100)))+1)),0)</f>
        <v/>
      </c>
      <c r="S1532">
        <f>IFERROR(O1532/N1532,0)</f>
        <v/>
      </c>
      <c r="T1532" t="n">
        <v>0</v>
      </c>
      <c r="V1532" t="n">
        <v>0</v>
      </c>
    </row>
    <row r="1533">
      <c r="A1533">
        <f>Skills!A22</f>
        <v/>
      </c>
      <c r="B1533">
        <f>Skills!B22</f>
        <v/>
      </c>
      <c r="C1533">
        <f>Inputs!$B$3&gt;=15</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Skills!G22*IF(Skills!H22&gt;0,INT(IF(Inputs!$B$38="pvp",MIN(Skills!I22,15),Skills!I22)/Skills!H22+0.000000001),1)</f>
        <v/>
      </c>
      <c r="H1533">
        <f>1-(1-Skills!J22/100)^Skills!K22</f>
        <v/>
      </c>
      <c r="I1533" t="inlineStr">
        <is>
          <t>1</t>
        </is>
      </c>
      <c r="J1533" t="inlineStr"/>
      <c r="K1533" t="inlineStr"/>
      <c r="L1533" t="inlineStr"/>
      <c r="M1533" t="inlineStr"/>
      <c r="N1533" t="inlineStr"/>
      <c r="O1533">
        <f>(1-Summary!$B$11)*T1533+Summary!$B$11*V1533</f>
        <v/>
      </c>
      <c r="P1533">
        <f>IF(B1556=0,0,O1533/B1556)</f>
        <v/>
      </c>
      <c r="Q1533" t="n">
        <v>0</v>
      </c>
      <c r="R1533" t="n">
        <v>0</v>
      </c>
      <c r="S1533">
        <f>IFERROR(O1533/N1533,0)</f>
        <v/>
      </c>
      <c r="T1533" t="n">
        <v>0</v>
      </c>
      <c r="V1533" t="n">
        <v>0</v>
      </c>
    </row>
    <row r="1534">
      <c r="A1534">
        <f>Skills!A23</f>
        <v/>
      </c>
      <c r="B1534">
        <f>Skills!B23</f>
        <v/>
      </c>
      <c r="C1534">
        <f>Inputs!$B$3&gt;=10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Skills!G23*IF(Skills!H23&gt;0,INT(IF(Inputs!$B$38="pvp",MIN(Skills!I23,15),Skills!I23)/Skills!H23+0.000000001),1)</f>
        <v/>
      </c>
      <c r="H1534">
        <f>1-(1-Skills!J23/100)^Skills!K23</f>
        <v/>
      </c>
      <c r="I1534" t="inlineStr">
        <is>
          <t>1</t>
        </is>
      </c>
      <c r="J1534" t="inlineStr"/>
      <c r="K1534" t="inlineStr"/>
      <c r="L1534" t="inlineStr"/>
      <c r="M1534" t="inlineStr"/>
      <c r="N1534" t="inlineStr"/>
      <c r="O1534">
        <f>(1-Summary!$B$11)*T1534+Summary!$B$11*V1534</f>
        <v/>
      </c>
      <c r="P1534">
        <f>IF(B1556=0,0,O1534/B1556)</f>
        <v/>
      </c>
      <c r="Q1534" t="n">
        <v>0</v>
      </c>
      <c r="R1534" t="n">
        <v>0</v>
      </c>
      <c r="S1534">
        <f>IFERROR(O1534/N1534,0)</f>
        <v/>
      </c>
      <c r="T1534" t="n">
        <v>0</v>
      </c>
      <c r="V1534" t="n">
        <v>0</v>
      </c>
    </row>
    <row r="1535">
      <c r="A1535">
        <f>Skills!A24</f>
        <v/>
      </c>
      <c r="B1535">
        <f>Skills!B24</f>
        <v/>
      </c>
      <c r="C1535">
        <f>Inputs!$B$3&gt;=33</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Skills!G24*IF(Skills!H24&gt;0,INT(IF(Inputs!$B$38="pvp",MIN(Skills!I24,15),Skills!I24)/Skills!H24+0.000000001),1)</f>
        <v/>
      </c>
      <c r="H1535">
        <f>1-(1-Skills!J24/100)^Skills!K24</f>
        <v/>
      </c>
      <c r="I1535" t="inlineStr">
        <is>
          <t>1</t>
        </is>
      </c>
      <c r="J1535" t="inlineStr"/>
      <c r="K1535" t="inlineStr"/>
      <c r="L1535" t="inlineStr"/>
      <c r="M1535" t="inlineStr"/>
      <c r="N1535" t="inlineStr"/>
      <c r="O1535">
        <f>(1-Summary!$B$11)*T1535+Summary!$B$11*V1535</f>
        <v/>
      </c>
      <c r="P1535">
        <f>IF(B1556=0,0,O1535/B1556)</f>
        <v/>
      </c>
      <c r="Q1535" t="n">
        <v>0</v>
      </c>
      <c r="R1535" t="n">
        <v>0</v>
      </c>
      <c r="S1535">
        <f>IFERROR(O1535/N1535,0)</f>
        <v/>
      </c>
      <c r="T1535" t="n">
        <v>0</v>
      </c>
      <c r="V1535" t="n">
        <v>0</v>
      </c>
    </row>
    <row r="1536">
      <c r="A1536">
        <f>Skills!A25</f>
        <v/>
      </c>
      <c r="B1536">
        <f>Skills!B25</f>
        <v/>
      </c>
      <c r="C1536">
        <f>Inputs!$B$3&gt;=38</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Skills!G25*IF(Skills!H25&gt;0,INT(IF(Inputs!$B$38="pvp",MIN(Skills!I25,15),Skills!I25)/Skills!H25+0.000000001),1)</f>
        <v/>
      </c>
      <c r="H1536">
        <f>1-(1-Skills!J25/100)^Skills!K25</f>
        <v/>
      </c>
      <c r="I1536" t="inlineStr">
        <is>
          <t>1</t>
        </is>
      </c>
      <c r="J1536" t="inlineStr"/>
      <c r="K1536" t="inlineStr"/>
      <c r="L1536" t="inlineStr"/>
      <c r="M1536" t="inlineStr"/>
      <c r="N1536" t="inlineStr"/>
      <c r="O1536">
        <f>(1-Summary!$B$11)*T1536+Summary!$B$11*V1536</f>
        <v/>
      </c>
      <c r="P1536">
        <f>IF(B1556=0,0,O1536/B1556)</f>
        <v/>
      </c>
      <c r="Q1536" t="n">
        <v>0</v>
      </c>
      <c r="R1536" t="n">
        <v>0</v>
      </c>
      <c r="S1536">
        <f>IFERROR(O1536/N1536,0)</f>
        <v/>
      </c>
      <c r="T1536" t="n">
        <v>0</v>
      </c>
      <c r="V1536" t="n">
        <v>0</v>
      </c>
    </row>
    <row r="1537">
      <c r="A1537">
        <f>Skills!A26</f>
        <v/>
      </c>
      <c r="B1537">
        <f>Skills!B26</f>
        <v/>
      </c>
      <c r="C1537">
        <f>Inputs!$B$3&gt;=43</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Skills!G26*IF(Skills!H26&gt;0,INT(IF(Inputs!$B$38="pvp",MIN(Skills!I26,15),Skills!I26)/Skills!H26+0.000000001),1)</f>
        <v/>
      </c>
      <c r="H1537">
        <f>1-(1-Skills!J26/100)^Skills!K26</f>
        <v/>
      </c>
      <c r="I1537" t="inlineStr">
        <is>
          <t>1</t>
        </is>
      </c>
      <c r="J1537" t="inlineStr"/>
      <c r="K1537" t="inlineStr"/>
      <c r="L1537" t="inlineStr"/>
      <c r="M1537" t="inlineStr"/>
      <c r="N1537" t="inlineStr"/>
      <c r="O1537">
        <f>(1-Summary!$B$11)*T1537+Summary!$B$11*V1537</f>
        <v/>
      </c>
      <c r="P1537">
        <f>IF(B1556=0,0,O1537/B1556)</f>
        <v/>
      </c>
      <c r="Q1537" t="n">
        <v>0</v>
      </c>
      <c r="R1537" t="n">
        <v>0</v>
      </c>
      <c r="S1537">
        <f>IFERROR(O1537/N1537,0)</f>
        <v/>
      </c>
      <c r="T1537" t="n">
        <v>0</v>
      </c>
      <c r="V1537" t="n">
        <v>0</v>
      </c>
    </row>
    <row r="1538">
      <c r="A1538">
        <f>Skills!A27</f>
        <v/>
      </c>
      <c r="B1538">
        <f>Skills!B27</f>
        <v/>
      </c>
      <c r="C1538">
        <f>Inputs!$B$3&gt;=75</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Skills!G27*IF(Skills!H27&gt;0,INT(IF(Inputs!$B$38="pvp",MIN(Skills!I27,15),Skills!I27)/Skills!H27+0.000000001),1)</f>
        <v/>
      </c>
      <c r="H1538">
        <f>1-(1-Skills!J27/100)^Skills!K27</f>
        <v/>
      </c>
      <c r="I1538" t="inlineStr">
        <is>
          <t>1</t>
        </is>
      </c>
      <c r="J1538" t="inlineStr"/>
      <c r="K1538" t="inlineStr"/>
      <c r="L1538" t="inlineStr"/>
      <c r="M1538" t="inlineStr"/>
      <c r="N1538" t="inlineStr"/>
      <c r="O1538">
        <f>(1-Summary!$B$11)*T1538+Summary!$B$11*V1538</f>
        <v/>
      </c>
      <c r="P1538">
        <f>IF(B1556=0,0,O1538/B1556)</f>
        <v/>
      </c>
      <c r="Q1538" t="n">
        <v>0</v>
      </c>
      <c r="R1538" t="n">
        <v>0</v>
      </c>
      <c r="S1538">
        <f>IFERROR(O1538/N1538,0)</f>
        <v/>
      </c>
      <c r="T1538" t="n">
        <v>0</v>
      </c>
      <c r="V1538" t="n">
        <v>0</v>
      </c>
    </row>
    <row r="1539">
      <c r="A1539">
        <f>Skills!A28</f>
        <v/>
      </c>
      <c r="B1539">
        <f>Skills!B28</f>
        <v/>
      </c>
      <c r="C1539">
        <f>Inputs!$B$3&gt;=125</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Skills!G28*IF(Skills!H28&gt;0,INT(IF(Inputs!$B$38="pvp",MIN(Skills!I28,15),Skills!I28)/Skills!H28+0.000000001),1)</f>
        <v/>
      </c>
      <c r="H1539">
        <f>1-(1-Skills!J28/100)^Skills!K28</f>
        <v/>
      </c>
      <c r="I1539" t="inlineStr">
        <is>
          <t>1</t>
        </is>
      </c>
      <c r="J1539" t="inlineStr"/>
      <c r="K1539" t="inlineStr"/>
      <c r="L1539" t="inlineStr"/>
      <c r="M1539" t="inlineStr"/>
      <c r="N1539" t="inlineStr"/>
      <c r="O1539">
        <f>(1-Summary!$B$11)*T1539+Summary!$B$11*V1539</f>
        <v/>
      </c>
      <c r="P1539">
        <f>IF(B1556=0,0,O1539/B1556)</f>
        <v/>
      </c>
      <c r="Q1539" t="n">
        <v>0</v>
      </c>
      <c r="R1539" t="n">
        <v>0</v>
      </c>
      <c r="S1539">
        <f>IFERROR(O1539/N1539,0)</f>
        <v/>
      </c>
      <c r="T1539" t="n">
        <v>0</v>
      </c>
      <c r="V1539" t="n">
        <v>0</v>
      </c>
    </row>
    <row r="1540">
      <c r="A1540">
        <f>Skills!A29</f>
        <v/>
      </c>
      <c r="B1540">
        <f>Skills!B29</f>
        <v/>
      </c>
      <c r="C1540">
        <f>Inputs!$B$3&gt;=125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Skills!G29*IF(Skills!H29&gt;0,INT(IF(Inputs!$B$38="pvp",MIN(Skills!I29,15),Skills!I29)/Skills!H29+0.000000001),1)</f>
        <v/>
      </c>
      <c r="H1540">
        <f>1-(1-Skills!J29/100)^Skills!K29</f>
        <v/>
      </c>
      <c r="I1540" t="inlineStr">
        <is>
          <t>1</t>
        </is>
      </c>
      <c r="J1540" t="inlineStr"/>
      <c r="K1540" t="inlineStr"/>
      <c r="L1540" t="inlineStr"/>
      <c r="M1540" t="inlineStr"/>
      <c r="N1540" t="inlineStr"/>
      <c r="O1540">
        <f>(1-Summary!$B$11)*T1540+Summary!$B$11*V1540</f>
        <v/>
      </c>
      <c r="P1540">
        <f>IF(B1556=0,0,O1540/B1556)</f>
        <v/>
      </c>
      <c r="Q1540" t="n">
        <v>0</v>
      </c>
      <c r="R1540" t="n">
        <v>0</v>
      </c>
      <c r="S1540">
        <f>IFERROR(O1540/N1540,0)</f>
        <v/>
      </c>
      <c r="T1540" t="n">
        <v>0</v>
      </c>
      <c r="V1540" t="n">
        <v>0</v>
      </c>
    </row>
    <row r="1541">
      <c r="A1541">
        <f>Skills!A30</f>
        <v/>
      </c>
      <c r="B1541">
        <f>Skills!B30</f>
        <v/>
      </c>
      <c r="C1541">
        <f>Inputs!$B$3&gt;=120</f>
        <v/>
      </c>
      <c r="D1541">
        <f>IF(Skills!C30=1,60+Inputs!$B$25+Inputs!$B$29,IF(Skills!C30=2,90+Inputs!$B$26+Inputs!$B$29,IF(Skills!C30=3,120+Inputs!$B$27+Inputs!$B$29,MAX(0,(Inputs!$B$3-100)*3)+Inputs!$B$28+Inputs!$B$29)))</f>
        <v/>
      </c>
      <c r="E1541">
        <f>INDEX(FactorTable!$B$2:$Y$301, MATCH(ROUND(MIN(300,MAX(1,D1541)),0), FactorTable!$A$2:$A$301,0), Skills!M30+1)</f>
        <v/>
      </c>
      <c r="F1541">
        <f>IF(Skills!N30=TRUE,(Skills!L30/10)*(E1541/1000),Skills!L30/10)+Skills!O30</f>
        <v/>
      </c>
      <c r="G1541">
        <f>Skills!G30*IF(Skills!H30&gt;0,INT(IF(Inputs!$B$38="pvp",MIN(Skills!I30,15),Skills!I30)/Skills!H30+0.000000001),1)</f>
        <v/>
      </c>
      <c r="H1541">
        <f>1-(1-Skills!J30/100)^Skills!K30</f>
        <v/>
      </c>
      <c r="I1541" t="inlineStr">
        <is>
          <t>1</t>
        </is>
      </c>
      <c r="J1541" t="inlineStr"/>
      <c r="K1541" t="inlineStr"/>
      <c r="L1541" t="inlineStr"/>
      <c r="M1541" t="inlineStr"/>
      <c r="N1541" t="inlineStr"/>
      <c r="O1541">
        <f>(1-Summary!$B$11)*T1541+Summary!$B$11*V1541</f>
        <v/>
      </c>
      <c r="P1541">
        <f>IF(B1556=0,0,O1541/B1556)</f>
        <v/>
      </c>
      <c r="Q1541" t="n">
        <v>0</v>
      </c>
      <c r="R1541" t="n">
        <v>0</v>
      </c>
      <c r="S1541">
        <f>IFERROR(O1541/N1541,0)</f>
        <v/>
      </c>
      <c r="T1541" t="n">
        <v>0</v>
      </c>
      <c r="V1541" t="n">
        <v>0</v>
      </c>
    </row>
    <row r="1542">
      <c r="A1542">
        <f>Skills!A31</f>
        <v/>
      </c>
      <c r="B1542">
        <f>Skills!B31</f>
        <v/>
      </c>
      <c r="C1542">
        <f>Inputs!$B$3&gt;=120</f>
        <v/>
      </c>
      <c r="D1542">
        <f>IF(Skills!C31=1,60+Inputs!$B$25+Inputs!$B$29,IF(Skills!C31=2,90+Inputs!$B$26+Inputs!$B$29,IF(Skills!C31=3,120+Inputs!$B$27+Inputs!$B$29,MAX(0,(Inputs!$B$3-100)*3)+Inputs!$B$28+Inputs!$B$29)))</f>
        <v/>
      </c>
      <c r="E1542">
        <f>INDEX(FactorTable!$B$2:$Y$301, MATCH(ROUND(MIN(300,MAX(1,D1542)),0), FactorTable!$A$2:$A$301,0), Skills!M31+1)</f>
        <v/>
      </c>
      <c r="F1542">
        <f>IF(Skills!N31=TRUE,(Skills!L31/10)*(E1542/1000),Skills!L31/10)+Skills!O31</f>
        <v/>
      </c>
      <c r="G1542">
        <f>Skills!G31*IF(Skills!H31&gt;0,INT(IF(Inputs!$B$38="pvp",MIN(Skills!I31,15),Skills!I31)/Skills!H31+0.000000001),1)</f>
        <v/>
      </c>
      <c r="H1542">
        <f>1-(1-Skills!J31/100)^Skills!K31</f>
        <v/>
      </c>
      <c r="I1542" t="inlineStr">
        <is>
          <t>1</t>
        </is>
      </c>
      <c r="J1542" t="inlineStr"/>
      <c r="K1542" t="inlineStr"/>
      <c r="L1542" t="inlineStr"/>
      <c r="M1542" t="inlineStr"/>
      <c r="N1542" t="inlineStr"/>
      <c r="O1542">
        <f>(1-Summary!$B$11)*T1542+Summary!$B$11*V1542</f>
        <v/>
      </c>
      <c r="P1542">
        <f>IF(B1556=0,0,O1542/B1556)</f>
        <v/>
      </c>
      <c r="Q1542" t="n">
        <v>0</v>
      </c>
      <c r="R1542" t="n">
        <v>0</v>
      </c>
      <c r="S1542">
        <f>IFERROR(O1542/N1542,0)</f>
        <v/>
      </c>
      <c r="T1542" t="n">
        <v>0</v>
      </c>
      <c r="V1542" t="n">
        <v>0</v>
      </c>
    </row>
    <row r="1543">
      <c r="A1543">
        <f>Skills!A32</f>
        <v/>
      </c>
      <c r="B1543">
        <f>Skills!B32</f>
        <v/>
      </c>
      <c r="C1543">
        <f>Inputs!$B$3&gt;=45</f>
        <v/>
      </c>
      <c r="D1543">
        <f>IF(Skills!C32=1,60+Inputs!$B$25+Inputs!$B$29,IF(Skills!C32=2,90+Inputs!$B$26+Inputs!$B$29,IF(Skills!C32=3,120+Inputs!$B$27+Inputs!$B$29,MAX(0,(Inputs!$B$3-100)*3)+Inputs!$B$28+Inputs!$B$29)))</f>
        <v/>
      </c>
      <c r="E1543">
        <f>INDEX(FactorTable!$B$2:$Y$301, MATCH(ROUND(MIN(300,MAX(1,D1543)),0), FactorTable!$A$2:$A$301,0), Skills!M32+1)</f>
        <v/>
      </c>
      <c r="F1543">
        <f>IF(Skills!N32=TRUE,(Skills!L32/10)*(E1543/1000),Skills!L32/10)+Skills!O32</f>
        <v/>
      </c>
      <c r="G1543">
        <f>Skills!G32*IF(Skills!H32&gt;0,INT(IF(Inputs!$B$38="pvp",MIN(Skills!I32,15),Skills!I32)/Skills!H32+0.000000001),1)</f>
        <v/>
      </c>
      <c r="H1543">
        <f>1-(1-Skills!J32/100)^Skills!K32</f>
        <v/>
      </c>
      <c r="I1543" t="inlineStr">
        <is>
          <t>1</t>
        </is>
      </c>
      <c r="J1543" t="inlineStr"/>
      <c r="K1543" t="inlineStr"/>
      <c r="L1543" t="inlineStr"/>
      <c r="M1543" t="inlineStr"/>
      <c r="N1543" t="inlineStr"/>
      <c r="O1543">
        <f>(1-Summary!$B$11)*T1543+Summary!$B$11*V1543</f>
        <v/>
      </c>
      <c r="P1543">
        <f>IF(B1556=0,0,O1543/B1556)</f>
        <v/>
      </c>
      <c r="Q1543" t="n">
        <v>0</v>
      </c>
      <c r="R1543" t="n">
        <v>0</v>
      </c>
      <c r="S1543">
        <f>IFERROR(O1543/N1543,0)</f>
        <v/>
      </c>
      <c r="T1543" t="n">
        <v>0</v>
      </c>
      <c r="V1543" t="n">
        <v>0</v>
      </c>
    </row>
    <row r="1545">
      <c r="A1545" t="inlineStr">
        <is>
          <t>Attack% Bucket Multiplier</t>
        </is>
      </c>
      <c r="B1545">
        <f>(1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6">
      <c r="A1546" t="inlineStr">
        <is>
          <t>Global Crit Rate Bonus %</t>
        </is>
      </c>
      <c r="B1546" t="n">
        <v>0</v>
      </c>
    </row>
    <row r="1547">
      <c r="A1547" t="inlineStr">
        <is>
          <t>Attack Speed Buff Bonus %</t>
        </is>
      </c>
      <c r="B1547">
        <f>((C1532=TRUE)*F1532*IF(AND(Inputs!$B$38&lt;&gt;"pvp",Inputs!$B$43&gt;0),(((R1532-1)*MIN((Skills!T21*(1+Inputs!$B$34/100)),(1/Q1532))+MIN((Skills!T21*(1+Inputs!$B$34/100)),MAX(0,Inputs!$B$43-((R1532-1)*(1/Q1532)))))/Inputs!$B$43),IF(Inputs!$B$38="pvp",MIN((Skills!T21*(1+Inputs!$B$34/100)),15)/15,MIN(1,(Skills!T21*(1+Inputs!$B$34/100))/(1/Q1532)))))</f>
        <v/>
      </c>
    </row>
    <row r="1548">
      <c r="A1548" t="inlineStr">
        <is>
          <t>Actions Per Second</t>
        </is>
      </c>
      <c r="B1548">
        <f>1+MIN(150,150*(1-(1-(Inputs!$B$11+((C1534=TRUE)*(F1534-Calc!F23))+((C1535=TRUE)*(F1535-Calc!F24)))/150)*(1-B1547/150)))/100</f>
        <v/>
      </c>
    </row>
    <row r="1549">
      <c r="A1549" t="inlineStr">
        <is>
          <t>Skill + Buff Cast Rate</t>
        </is>
      </c>
      <c r="B1549">
        <f>IF(AND(Inputs!$B$38&lt;&gt;"pvp",Inputs!$B$43&gt;0),SUMPRODUCT((Skills!E2:E32=TRUE)*(C1513:C1543=TRUE)*R1513:R1543*Skills!F2:F32)/Inputs!$B$43,SUMPRODUCT((Skills!E2:E32=TRUE)*(C1513:C1543=TRUE)*Q1513:Q1543*Skills!F2:F32))</f>
        <v/>
      </c>
    </row>
    <row r="1550">
      <c r="A1550" t="inlineStr">
        <is>
          <t>Arrow Stream Casts Per Second</t>
        </is>
      </c>
      <c r="B1550">
        <f>MAX(0,B1548-B1549)</f>
        <v/>
      </c>
    </row>
    <row r="1551">
      <c r="A1551" t="inlineStr">
        <is>
          <t>Global Critical Damage Bonus % (Sharp Eyes + Concentration)</t>
        </is>
      </c>
      <c r="B1551">
        <f>(C1529=TRUE)*F1529*IF(AND(Inputs!$B$38&lt;&gt;"pvp",Inputs!$B$43&gt;0),(((R1529-1)*MIN((Skills!T18*(1+Inputs!$B$34/100)),(1/Q1529))+MIN((Skills!T18*(1+Inputs!$B$34/100)),MAX(0,Inputs!$B$43-((R1529-1)*(1/Q1529)))))/Inputs!$B$43),IF(Inputs!$B$38="pvp",MIN((Skills!T18*(1+Inputs!$B$34/100)),15)/15,MIN(1,(Skills!T18*(1+Inputs!$B$34/100))/(1/Q1529))))+(C1530=TRUE)*7*F1530</f>
        <v/>
      </c>
    </row>
    <row r="1552">
      <c r="A1552" t="inlineStr">
        <is>
          <t>Global Final Damage Bonus % (Mortal Blow)</t>
        </is>
      </c>
      <c r="B1552">
        <f>(C1531=TRUE)*F1531</f>
        <v/>
      </c>
    </row>
    <row r="1553">
      <c r="A1553" t="inlineStr">
        <is>
          <t>Buff-Casting Startup Delay (s, fixed-duration only)</t>
        </is>
      </c>
      <c r="B1553">
        <f>IF(AND(Inputs!$B$38&lt;&gt;"pvp",Inputs!$B$43&gt;0),SUMPRODUCT((Skills!T2:T32&gt;0)*(Skills!E2:E32=TRUE)*(C1513:C1543=TRUE))/B1548,0)</f>
        <v/>
      </c>
    </row>
    <row r="1554">
      <c r="A1554" t="inlineStr">
        <is>
          <t>Boss-Only Total DPS (this block's swept value)</t>
        </is>
      </c>
      <c r="B1554">
        <f>SUM(T1513:T1543)</f>
        <v/>
      </c>
    </row>
    <row r="1555">
      <c r="A1555" t="inlineStr">
        <is>
          <t>Normal-Only Total DPS (this block's swept value)</t>
        </is>
      </c>
      <c r="B1555">
        <f>SUM(V1513:V1543)</f>
        <v/>
      </c>
    </row>
    <row r="1556">
      <c r="A1556" s="6" t="inlineStr">
        <is>
          <t>TOTAL DPS</t>
        </is>
      </c>
      <c r="B1556" s="6">
        <f>SUM(O1513:O1543)</f>
        <v/>
      </c>
    </row>
    <row r="1559">
      <c r="A1559" s="6" t="inlineStr">
        <is>
          <t>Stat: Hexagon Necklace (Equip)</t>
        </is>
      </c>
    </row>
    <row r="1560">
      <c r="A1560" s="5" t="inlineStr">
        <is>
          <t>Key</t>
        </is>
      </c>
      <c r="B1560" s="5" t="inlineStr">
        <is>
          <t>Name</t>
        </is>
      </c>
      <c r="C1560" s="5" t="inlineStr">
        <is>
          <t>Unlocked</t>
        </is>
      </c>
      <c r="D1560" s="5" t="inlineStr">
        <is>
          <t>InputLevel</t>
        </is>
      </c>
      <c r="E1560" s="5" t="inlineStr">
        <is>
          <t>Factor</t>
        </is>
      </c>
      <c r="F1560" s="5" t="inlineStr">
        <is>
          <t>CoefficientPercent</t>
        </is>
      </c>
      <c r="G1560" s="5" t="inlineStr">
        <is>
          <t>EffectiveHits</t>
        </is>
      </c>
      <c r="H1560" s="5" t="inlineStr">
        <is>
          <t>ProcProbability</t>
        </is>
      </c>
      <c r="I1560" s="5" t="inlineStr">
        <is>
          <t>MapleHeroMultiplier</t>
        </is>
      </c>
      <c r="J1560" s="5" t="inlineStr">
        <is>
          <t>BaseDamage</t>
        </is>
      </c>
      <c r="K1560" s="5" t="inlineStr">
        <is>
          <t>BaseHitDamage</t>
        </is>
      </c>
      <c r="L1560" s="5" t="inlineStr">
        <is>
          <t>NonCritAvg</t>
        </is>
      </c>
      <c r="M1560" s="5" t="inlineStr">
        <is>
          <t>CritAvg</t>
        </is>
      </c>
      <c r="N1560" s="5" t="inlineStr">
        <is>
          <t>ExpectedDamage(perHit)</t>
        </is>
      </c>
      <c r="O1560" s="5" t="inlineStr">
        <is>
          <t>DPS</t>
        </is>
      </c>
      <c r="P1560" s="5" t="inlineStr">
        <is>
          <t>% of Total</t>
        </is>
      </c>
      <c r="Q1560" s="5" t="inlineStr">
        <is>
          <t>InvCooldown</t>
        </is>
      </c>
      <c r="R1560" s="5" t="inlineStr">
        <is>
          <t>CastsInFight</t>
        </is>
      </c>
      <c r="S1560" s="5" t="inlineStr">
        <is>
          <t>HitRate(perSec)</t>
        </is>
      </c>
      <c r="U1560" t="inlineStr">
        <is>
          <t>helpers</t>
        </is>
      </c>
    </row>
    <row r="1561">
      <c r="A1561">
        <f>Skills!A2</f>
        <v/>
      </c>
      <c r="B1561">
        <f>Skills!B2</f>
        <v/>
      </c>
      <c r="C1561">
        <f>Inputs!$B$3&gt;=100</f>
        <v/>
      </c>
      <c r="D1561" t="inlineStr"/>
      <c r="E1561" t="inlineStr"/>
      <c r="F1561">
        <f>U1563+Skills!O2</f>
        <v/>
      </c>
      <c r="G1561">
        <f>Skills!G2*IF(Skills!H2&gt;0,INT(IF(Inputs!$B$38="pvp",MIN(Skills!I2,15),Skills!I2)/Skills!H2+0.000000001),1)</f>
        <v/>
      </c>
      <c r="H1561">
        <f>1-(1-Skills!J2/100)^Skills!K2</f>
        <v/>
      </c>
      <c r="I1561" t="inlineStr">
        <is>
          <t>1</t>
        </is>
      </c>
      <c r="J1561">
        <f>((Inputs!$B$6*(1+Inputs!$B$7/100))+(((Inputs!$B$12*(1+Inputs!$B$13/100))-(Inputs!$B$12*(1+Inputs!$B$13/100)))+0.25*(Inputs!$B$14-Inputs!$B$14))*(1+Inputs!$B$7/100))*(F1561/100)</f>
        <v/>
      </c>
      <c r="K1561">
        <f>J1561*(1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1585=TRUE)*(F1585-Calc!F26)),(Inputs!$B$23+((C1590=TRUE)*(F1590-Calc!F31))+(IF(ArtifactsInput!$M$15,CHOOSE(ArtifactsInput!$N$15+1,25,30,35,40,45,50)/100*(Inputs!$B$11-Inputs!$B$11),0))))/100+(Inputs!$B$23+((C1590=TRUE)*(F1590-Calc!F31))+(IF(ArtifactsInput!$M$15,CHOOSE(ArtifactsInput!$N$15+1,25,30,35,40,45,50)/100*(Inputs!$B$11-Inputs!$B$11),0)))/100)/2</f>
        <v/>
      </c>
      <c r="M1561">
        <f>L1561*(1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IF(B1604=0,0,O1561/B1604)</f>
        <v/>
      </c>
      <c r="Q1561" t="n">
        <v>0</v>
      </c>
      <c r="R1561" t="n">
        <v>0</v>
      </c>
      <c r="S1561">
        <f>IFERROR(O1561/N1561,0)</f>
        <v/>
      </c>
      <c r="T1561">
        <f>IF(C1561,(Skills!G2*N1561*B1598)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MAX(0,(Inputs!$B$3-100)*3)+Inputs!$B$28+Inputs!$B$29</f>
        <v/>
      </c>
      <c r="V1561">
        <f>IF(C1561,(Skills!G2*N1561*B1598)*IF(Inputs!$B$38="pvp",1,(1+(Inputs!$B$21+Skills!Q2+(IF(ArtifactsInput!$M$33,CHOOSE(ArtifactsInput!$N$33+1,30,36,42,48,54,60),0))+(IF(AND(ArtifactsInput!$M$35,Inputs!$B$4&lt;&gt;"Chapter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Skills!A3</f>
        <v/>
      </c>
      <c r="B1562">
        <f>Skills!B3</f>
        <v/>
      </c>
      <c r="C1562">
        <f>Inputs!$B$3&gt;=50</f>
        <v/>
      </c>
      <c r="D1562">
        <f>IF(Skills!C3=1,60+Inputs!$B$25+Inputs!$B$29,IF(Skills!C3=2,90+Inputs!$B$26+Inputs!$B$29,IF(Skills!C3=3,120+Inputs!$B$27+Inputs!$B$29,MAX(0,(Inputs!$B$3-100)*3)+Inputs!$B$28+Inputs!$B$29)))</f>
        <v/>
      </c>
      <c r="E1562">
        <f>INDEX(FactorTable!$B$2:$Y$301, MATCH(ROUND(MIN(300,MAX(1,D1562)),0), FactorTable!$A$2:$A$301,0), Skills!M3+1)</f>
        <v/>
      </c>
      <c r="F1562">
        <f>IF(Skills!N3=TRUE,(Skills!L3/10)*(E1562/1000),Skills!L3/10)+Skills!O3</f>
        <v/>
      </c>
      <c r="G1562">
        <f>Skills!G3*IF(Skills!H3&gt;0,INT(IF(Inputs!$B$38="pvp",MIN(Skills!I3,15),Skills!I3)/Skills!H3+0.000000001),1)</f>
        <v/>
      </c>
      <c r="H1562">
        <f>1-(1-Skills!J3/100)^Skills!K3</f>
        <v/>
      </c>
      <c r="I1562" t="inlineStr">
        <is>
          <t>1</t>
        </is>
      </c>
      <c r="J1562">
        <f>((Inputs!$B$6*(1+Inputs!$B$7/100))+(((Inputs!$B$12*(1+Inputs!$B$13/100))-(Inputs!$B$12*(1+Inputs!$B$13/100)))+0.25*(Inputs!$B$14-Inputs!$B$14))*(1+Inputs!$B$7/100))*(F1562/100)</f>
        <v/>
      </c>
      <c r="K1562">
        <f>J1562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1563=TRUE,F1563,0)/100)*(1+(IF(Skills!A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1585=TRUE)*(F1585-Calc!F26)),(Inputs!$B$23+((C1590=TRUE)*(F1590-Calc!F31))+(IF(ArtifactsInput!$M$15,CHOOSE(ArtifactsInput!$N$15+1,25,30,35,40,45,50)/100*(Inputs!$B$11-Inputs!$B$11),0))))/100+(Inputs!$B$23+((C1590=TRUE)*(F1590-Calc!F31))+(IF(ArtifactsInput!$M$15,CHOOSE(ArtifactsInput!$N$15+1,25,30,35,40,45,50)/100*(Inputs!$B$11-Inputs!$B$11),0)))/100)/2</f>
        <v/>
      </c>
      <c r="M1562">
        <f>L1562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IF(B1604=0,0,O1562/B1604)</f>
        <v/>
      </c>
      <c r="Q1562">
        <f>IFERROR(1/(IF(Inputs!$B$38="pvp",15,MAX(0.1,1/B1596-IF(FALSE=TRUE,Inputs!$B$32,0)))*(1-IF(AND(ArtifactsInput!$M$27,Inputs!$B$4="Chapter Hunt"),CHOOSE(ArtifactsInput!$N$27+1,20,24,28,32,36,40),0)/100)),0)</f>
        <v/>
      </c>
      <c r="R1562">
        <f>IF(AND(Inputs!$B$38&lt;&gt;"pvp",Inputs!$B$43&gt;0),IF(MAX(0,Inputs!$B$43-B1601)&lt;=0,0,(INT(MAX(0,Inputs!$B$43-B1601)/(IF(Inputs!$B$38="pvp",15,MAX(0.1,1/B1596-IF(FALSE=TRUE,Inputs!$B$32,0)))*(1-IF(AND(ArtifactsInput!$M$27,Inputs!$B$4="Chapter Hunt"),CHOOSE(ArtifactsInput!$N$27+1,20,24,28,32,36,40),0)/100)))+1)),0)</f>
        <v/>
      </c>
      <c r="S1562">
        <f>IFERROR(O1562/N1562,0)</f>
        <v/>
      </c>
      <c r="T1562">
        <f>IF(C1562,(H1562*N1562*IF(AND(Inputs!$B$38&lt;&gt;"pvp",Inputs!$B$43&gt;0),((Skills!G3*((R1562-1)*IF(Skills!H3&gt;0,INT(Skills!I3/Skills!H3+0.000000001),1)+IF(Skills!H3&gt;0,INT(MIN(Skills!I3,MAX(0,MAX(0,Inputs!$B$43-B1601)-((R1562-1)*(IF(Inputs!$B$38="pvp",15,MAX(0.1,1/B1596-IF(FALSE=TRUE,Inputs!$B$32,0)))*(1-IF(AND(ArtifactsInput!$M$27,Inputs!$B$4="Chapter Hunt"),CHOOSE(ArtifactsInput!$N$27+1,20,24,28,32,36,40),0)/100)))))/Skills!H3+0.000000001),1)))/Inputs!$B$43),G1562*Q1562)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INDEX(FactorTable!$B$2:$Y$301, MATCH(ROUND(MIN(300,MAX(1,U1561)),0), FactorTable!$A$2:$A$301,0), 22)</f>
        <v/>
      </c>
      <c r="V1562">
        <f>IF(C1562,(H1562*N1562*IF(AND(Inputs!$B$38&lt;&gt;"pvp",Inputs!$B$43&gt;0),((Skills!G3*((R1562-1)*IF(Skills!H3&gt;0,INT(Skills!I3/Skills!H3+0.000000001),1)+IF(Skills!H3&gt;0,INT(MIN(Skills!I3,MAX(0,MAX(0,Inputs!$B$43-B1601)-((R1562-1)*(IF(Inputs!$B$38="pvp",15,MAX(0.1,1/B1596-IF(FALSE=TRUE,Inputs!$B$32,0)))*(1-IF(AND(ArtifactsInput!$M$27,Inputs!$B$4="Chapter Hunt"),CHOOSE(ArtifactsInput!$N$27+1,20,24,28,32,36,40),0)/100)))))/Skills!H3+0.000000001),1)))/Inputs!$B$43),G1562*Q1562))*IF(Inputs!$B$38="pvp",1,(1+(Inputs!$B$21+Skills!Q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Skills!A4</f>
        <v/>
      </c>
      <c r="B1563">
        <f>Skills!B4</f>
        <v/>
      </c>
      <c r="C1563">
        <f>Inputs!$B$3&gt;=105</f>
        <v/>
      </c>
      <c r="D1563">
        <f>IF(Skills!C4=1,60+Inputs!$B$25+Inputs!$B$29,IF(Skills!C4=2,90+Inputs!$B$26+Inputs!$B$29,IF(Skills!C4=3,120+Inputs!$B$27+Inputs!$B$29,MAX(0,(Inputs!$B$3-100)*3)+Inputs!$B$28+Inputs!$B$29)))</f>
        <v/>
      </c>
      <c r="E1563">
        <f>INDEX(FactorTable!$B$2:$Y$301, MATCH(ROUND(MIN(300,MAX(1,D1563)),0), FactorTable!$A$2:$A$301,0), Skills!M4+1)</f>
        <v/>
      </c>
      <c r="F1563">
        <f>IF(Skills!N4=TRUE,(Skills!L4/10)*(E1563/1000),Skills!L4/10)+Skills!O4</f>
        <v/>
      </c>
      <c r="G1563" t="inlineStr"/>
      <c r="H1563" t="inlineStr"/>
      <c r="I1563" t="inlineStr">
        <is>
          <t>1</t>
        </is>
      </c>
      <c r="J1563" t="inlineStr"/>
      <c r="K1563" t="inlineStr"/>
      <c r="L1563" t="inlineStr"/>
      <c r="M1563" t="inlineStr"/>
      <c r="N1563" t="inlineStr"/>
      <c r="O1563" t="inlineStr"/>
      <c r="P1563" t="inlineStr"/>
      <c r="Q1563" t="inlineStr"/>
      <c r="R1563" t="inlineStr"/>
      <c r="S1563" t="inlineStr"/>
      <c r="T1563" t="inlineStr"/>
      <c r="U1563">
        <f>290*U1562/1000</f>
        <v/>
      </c>
      <c r="V1563" t="inlineStr"/>
    </row>
    <row r="1564">
      <c r="A1564">
        <f>Skills!A5</f>
        <v/>
      </c>
      <c r="B1564">
        <f>Skills!B5</f>
        <v/>
      </c>
      <c r="C1564">
        <f>Inputs!$B$3&gt;=35</f>
        <v/>
      </c>
      <c r="D1564">
        <f>IF(Skills!C5=1,60+Inputs!$B$25+Inputs!$B$29,IF(Skills!C5=2,90+Inputs!$B$26+Inputs!$B$29,IF(Skills!C5=3,120+Inputs!$B$27+Inputs!$B$29,MAX(0,(Inputs!$B$3-100)*3)+Inputs!$B$28+Inputs!$B$29)))</f>
        <v/>
      </c>
      <c r="E1564">
        <f>INDEX(FactorTable!$B$2:$Y$301, MATCH(ROUND(MIN(300,MAX(1,D1564)),0), FactorTable!$A$2:$A$301,0), Skills!M5+1)</f>
        <v/>
      </c>
      <c r="F1564">
        <f>IF(Skills!N5=TRUE,(Skills!L5/10)*(E1564/1000),Skills!L5/10)+Skills!O5</f>
        <v/>
      </c>
      <c r="G1564">
        <f>Skills!G5*IF(Skills!H5&gt;0,INT(IF(Inputs!$B$38="pvp",MIN(Skills!I5,15),Skills!I5)/Skills!H5+0.000000001),1)</f>
        <v/>
      </c>
      <c r="H1564">
        <f>1-(1-Skills!J5/100)^Skills!K5</f>
        <v/>
      </c>
      <c r="I1564" t="inlineStr">
        <is>
          <t>1</t>
        </is>
      </c>
      <c r="J1564">
        <f>((Inputs!$B$6*(1+Inputs!$B$7/100))+(((Inputs!$B$12*(1+Inputs!$B$13/100))-(Inputs!$B$12*(1+Inputs!$B$13/100)))+0.25*(Inputs!$B$14-Inputs!$B$14))*(1+Inputs!$B$7/100))*(F1564/100)</f>
        <v/>
      </c>
      <c r="K1564">
        <f>J1564*(1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1571=TRUE,F1571,0)/100)*(1+(IF(Skills!A5="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1585=TRUE)*(F1585-Calc!F26)),(Inputs!$B$23+((C1590=TRUE)*(F1590-Calc!F31))+(IF(ArtifactsInput!$M$15,CHOOSE(ArtifactsInput!$N$15+1,25,30,35,40,45,50)/100*(Inputs!$B$11-Inputs!$B$11),0))))/100+(Inputs!$B$23+((C1590=TRUE)*(F1590-Calc!F31))+(IF(ArtifactsInput!$M$15,CHOOSE(ArtifactsInput!$N$15+1,25,30,35,40,45,50)/100*(Inputs!$B$11-Inputs!$B$11),0)))/100)/2</f>
        <v/>
      </c>
      <c r="M1564">
        <f>L1564*(1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IF(B1604=0,0,O1564/B1604)</f>
        <v/>
      </c>
      <c r="Q1564">
        <f>IFERROR(1/(IF(Inputs!$B$38="pvp",15,MAX(0.1,Skills!D5-IF(TRUE=TRUE,Inputs!$B$32,0)))*(1-IF(AND(ArtifactsInput!$M$27,Inputs!$B$4="Chapter Hunt"),CHOOSE(ArtifactsInput!$N$27+1,20,24,28,32,36,40),0)/100)),0)</f>
        <v/>
      </c>
      <c r="R1564">
        <f>IF(AND(Inputs!$B$38&lt;&gt;"pvp",Inputs!$B$43&gt;0),IF(MAX(0,Inputs!$B$43-B1601)&lt;=0,0,(INT(MAX(0,Inputs!$B$43-B1601)/(IF(Inputs!$B$38="pvp",15,MAX(0.1,Skills!D5-IF(TRUE=TRUE,Inputs!$B$32,0)))*(1-IF(AND(ArtifactsInput!$M$27,Inputs!$B$4="Chapter Hunt"),CHOOSE(ArtifactsInput!$N$27+1,20,24,28,32,36,40),0)/100)))+1)),0)</f>
        <v/>
      </c>
      <c r="S1564">
        <f>IFERROR(O1564/N1564,0)</f>
        <v/>
      </c>
      <c r="T1564">
        <f>IF(C1564,(H1564*N1564*IF(AND(Inputs!$B$38&lt;&gt;"pvp",Inputs!$B$43&gt;0),((Skills!G5*((R1564-1)*IF(Skills!H5&gt;0,INT(Skills!I5/Skills!H5+0.000000001),1)+IF(Skills!H5&gt;0,INT(MIN(Skills!I5,MAX(0,MAX(0,Inputs!$B$43-B1601)-((R1564-1)*(IF(Inputs!$B$38="pvp",15,MAX(0.1,Skills!D5-IF(TRUE=TRUE,Inputs!$B$32,0)))*(1-IF(AND(ArtifactsInput!$M$27,Inputs!$B$4="Chapter Hunt"),CHOOSE(ArtifactsInput!$N$27+1,20,24,28,32,36,40),0)/100)))))/Skills!H5+0.000000001),1)))/Inputs!$B$43),G1564*Q1564)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5*((R1564-1)*IF(Skills!H5&gt;0,INT(Skills!I5/Skills!H5+0.000000001),1)+IF(Skills!H5&gt;0,INT(MIN(Skills!I5,MAX(0,MAX(0,Inputs!$B$43-B1601)-((R1564-1)*(IF(Inputs!$B$38="pvp",15,MAX(0.1,Skills!D5-IF(TRUE=TRUE,Inputs!$B$32,0)))*(1-IF(AND(ArtifactsInput!$M$27,Inputs!$B$4="Chapter Hunt"),CHOOSE(ArtifactsInput!$N$27+1,20,24,28,32,36,40),0)/100)))))/Skills!H5+0.000000001),1)))/Inputs!$B$43),G1564*Q1564))*IF(Inputs!$B$38="pvp",1,(1+(Inputs!$B$21+Skills!Q5+(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Skills!A6</f>
        <v/>
      </c>
      <c r="B1565">
        <f>Skills!B6</f>
        <v/>
      </c>
      <c r="C1565">
        <f>Inputs!$B$3&gt;=40</f>
        <v/>
      </c>
      <c r="D1565">
        <f>IF(Skills!C6=1,60+Inputs!$B$25+Inputs!$B$29,IF(Skills!C6=2,90+Inputs!$B$26+Inputs!$B$29,IF(Skills!C6=3,120+Inputs!$B$27+Inputs!$B$29,MAX(0,(Inputs!$B$3-100)*3)+Inputs!$B$28+Inputs!$B$29)))</f>
        <v/>
      </c>
      <c r="E1565">
        <f>INDEX(FactorTable!$B$2:$Y$301, MATCH(ROUND(MIN(300,MAX(1,D1565)),0), FactorTable!$A$2:$A$301,0), Skills!M6+1)</f>
        <v/>
      </c>
      <c r="F1565">
        <f>IF(Skills!N6=TRUE,(Skills!L6/10)*(E1565/1000),Skills!L6/10)+Skills!O6</f>
        <v/>
      </c>
      <c r="G1565">
        <f>Skills!G6*IF(Skills!H6&gt;0,INT(IF(Inputs!$B$38="pvp",MIN(Skills!I6,15),Skills!I6)/Skills!H6+0.000000001),1)</f>
        <v/>
      </c>
      <c r="H1565">
        <f>1-(1-Skills!J6/100)^Skills!K6</f>
        <v/>
      </c>
      <c r="I1565" t="inlineStr">
        <is>
          <t>1</t>
        </is>
      </c>
      <c r="J1565">
        <f>((Inputs!$B$6*(1+Inputs!$B$7/100))+(((Inputs!$B$12*(1+Inputs!$B$13/100))-(Inputs!$B$12*(1+Inputs!$B$13/100)))+0.25*(Inputs!$B$14-Inputs!$B$14))*(1+Inputs!$B$7/100))*(F1565/100)</f>
        <v/>
      </c>
      <c r="K1565">
        <f>J1565*(1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1566=TRUE,F1566,0)/100)*(1+(IF(Skills!A6="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1585=TRUE)*(F1585-Calc!F26)),(Inputs!$B$23+((C1590=TRUE)*(F1590-Calc!F31))+(IF(ArtifactsInput!$M$15,CHOOSE(ArtifactsInput!$N$15+1,25,30,35,40,45,50)/100*(Inputs!$B$11-Inputs!$B$11),0))))/100+(Inputs!$B$23+((C1590=TRUE)*(F1590-Calc!F31))+(IF(ArtifactsInput!$M$15,CHOOSE(ArtifactsInput!$N$15+1,25,30,35,40,45,50)/100*(Inputs!$B$11-Inputs!$B$11),0)))/100)/2</f>
        <v/>
      </c>
      <c r="M1565">
        <f>L1565*(1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IF(B1604=0,0,O1565/B1604)</f>
        <v/>
      </c>
      <c r="Q1565">
        <f>IFERROR(1/(IF(Inputs!$B$38="pvp",15,MAX(0.1,1-0.4*MIN(1,(B1596-1)/1.5)-IF(FALSE=TRUE,Inputs!$B$32,0)))*(1-IF(AND(ArtifactsInput!$M$27,Inputs!$B$4="Chapter Hunt"),CHOOSE(ArtifactsInput!$N$27+1,20,24,28,32,36,40),0)/100)),0)</f>
        <v/>
      </c>
      <c r="R1565">
        <f>IF(AND(Inputs!$B$38&lt;&gt;"pvp",Inputs!$B$43&gt;0),IF(MAX(0,Inputs!$B$43-B1601)&lt;=0,0,(INT(MAX(0,Inputs!$B$43-B1601)/(IF(Inputs!$B$38="pvp",15,MAX(0.1,1-0.4*MIN(1,(B1596-1)/1.5)-IF(FALSE=TRUE,Inputs!$B$32,0)))*(1-IF(AND(ArtifactsInput!$M$27,Inputs!$B$4="Chapter Hunt"),CHOOSE(ArtifactsInput!$N$27+1,20,24,28,32,36,40),0)/100)))+1)),0)</f>
        <v/>
      </c>
      <c r="S1565">
        <f>IFERROR(O1565/N1565,0)</f>
        <v/>
      </c>
      <c r="T1565">
        <f>IF(C1565,(H1565*N1565*IF(AND(Inputs!$B$38&lt;&gt;"pvp",Inputs!$B$43&gt;0),((Skills!G6*((R1565-1)*IF(Skills!H6&gt;0,INT(Skills!I6/Skills!H6+0.000000001),1)+IF(Skills!H6&gt;0,INT(MIN(Skills!I6,MAX(0,MAX(0,Inputs!$B$43-B1601)-((R1565-1)*(IF(Inputs!$B$38="pvp",15,MAX(0.1,1-0.4*MIN(1,(B1596-1)/1.5)-IF(FALSE=TRUE,Inputs!$B$32,0)))*(1-IF(AND(ArtifactsInput!$M$27,Inputs!$B$4="Chapter Hunt"),CHOOSE(ArtifactsInput!$N$27+1,20,24,28,32,36,40),0)/100)))))/Skills!H6+0.000000001),1)))/Inputs!$B$43),G1565*Q1565)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6*((R1565-1)*IF(Skills!H6&gt;0,INT(Skills!I6/Skills!H6+0.000000001),1)+IF(Skills!H6&gt;0,INT(MIN(Skills!I6,MAX(0,MAX(0,Inputs!$B$43-B1601)-((R1565-1)*(IF(Inputs!$B$38="pvp",15,MAX(0.1,1-0.4*MIN(1,(B1596-1)/1.5)-IF(FALSE=TRUE,Inputs!$B$32,0)))*(1-IF(AND(ArtifactsInput!$M$27,Inputs!$B$4="Chapter Hunt"),CHOOSE(ArtifactsInput!$N$27+1,20,24,28,32,36,40),0)/100)))))/Skills!H6+0.000000001),1)))/Inputs!$B$43),G1565*Q1565))*IF(Inputs!$B$38="pvp",1,(1+(Inputs!$B$21+Skills!Q6+(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Skills!A7</f>
        <v/>
      </c>
      <c r="B1566">
        <f>Skills!B7</f>
        <v/>
      </c>
      <c r="C1566">
        <f>Inputs!$B$3&gt;=107</f>
        <v/>
      </c>
      <c r="D1566">
        <f>IF(Skills!C7=1,60+Inputs!$B$25+Inputs!$B$29,IF(Skills!C7=2,90+Inputs!$B$26+Inputs!$B$29,IF(Skills!C7=3,120+Inputs!$B$27+Inputs!$B$29,MAX(0,(Inputs!$B$3-100)*3)+Inputs!$B$28+Inputs!$B$29)))</f>
        <v/>
      </c>
      <c r="E1566">
        <f>INDEX(FactorTable!$B$2:$Y$301, MATCH(ROUND(MIN(300,MAX(1,D1566)),0), FactorTable!$A$2:$A$301,0), Skills!M7+1)</f>
        <v/>
      </c>
      <c r="F1566">
        <f>IF(Skills!N7=TRUE,(Skills!L7/10)*(E1566/1000),Skills!L7/10)+Skills!O7</f>
        <v/>
      </c>
      <c r="G1566" t="inlineStr"/>
      <c r="H1566" t="inlineStr"/>
      <c r="I1566" t="inlineStr">
        <is>
          <t>1</t>
        </is>
      </c>
      <c r="J1566" t="inlineStr"/>
      <c r="K1566" t="inlineStr"/>
      <c r="L1566" t="inlineStr"/>
      <c r="M1566" t="inlineStr"/>
      <c r="N1566" t="inlineStr"/>
      <c r="O1566" t="inlineStr"/>
      <c r="P1566" t="inlineStr"/>
      <c r="Q1566" t="inlineStr"/>
      <c r="R1566" t="inlineStr"/>
      <c r="S1566" t="inlineStr"/>
      <c r="T1566" t="inlineStr"/>
      <c r="V1566" t="inlineStr"/>
    </row>
    <row r="1567">
      <c r="A1567">
        <f>Skills!A8</f>
        <v/>
      </c>
      <c r="B1567">
        <f>Skills!B8</f>
        <v/>
      </c>
      <c r="C1567">
        <f>Inputs!$B$3&gt;=130</f>
        <v/>
      </c>
      <c r="D1567">
        <f>IF(Skills!C8=1,60+Inputs!$B$25+Inputs!$B$29,IF(Skills!C8=2,90+Inputs!$B$26+Inputs!$B$29,IF(Skills!C8=3,120+Inputs!$B$27+Inputs!$B$29,MAX(0,(Inputs!$B$3-100)*3)+Inputs!$B$28+Inputs!$B$29)))</f>
        <v/>
      </c>
      <c r="E1567">
        <f>INDEX(FactorTable!$B$2:$Y$301, MATCH(ROUND(MIN(300,MAX(1,D1567)),0), FactorTable!$A$2:$A$301,0), Skills!M8+1)</f>
        <v/>
      </c>
      <c r="F1567">
        <f>IF(Skills!N8=TRUE,(Skills!L8/10)*(E1567/1000),Skills!L8/10)+Skills!O8</f>
        <v/>
      </c>
      <c r="G1567">
        <f>Skills!G8*IF(Skills!H8&gt;0,INT(IF(Inputs!$B$38="pvp",MIN(Skills!I8,15),Skills!I8)/Skills!H8+0.000000001),1)</f>
        <v/>
      </c>
      <c r="H1567">
        <f>1-(1-Skills!J8/100)^Skills!K8</f>
        <v/>
      </c>
      <c r="I1567" t="inlineStr">
        <is>
          <t>1</t>
        </is>
      </c>
      <c r="J1567">
        <f>((Inputs!$B$6*(1+Inputs!$B$7/100))+(((Inputs!$B$12*(1+Inputs!$B$13/100))-(Inputs!$B$12*(1+Inputs!$B$13/100)))+0.25*(Inputs!$B$14-Inputs!$B$14))*(1+Inputs!$B$7/100))*(F1567/100)</f>
        <v/>
      </c>
      <c r="K1567">
        <f>J1567*(1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1585=TRUE)*(F1585-Calc!F26)),(Inputs!$B$23+((C1590=TRUE)*(F1590-Calc!F31))+(IF(ArtifactsInput!$M$15,CHOOSE(ArtifactsInput!$N$15+1,25,30,35,40,45,50)/100*(Inputs!$B$11-Inputs!$B$11),0))))/100+(Inputs!$B$23+((C1590=TRUE)*(F1590-Calc!F31))+(IF(ArtifactsInput!$M$15,CHOOSE(ArtifactsInput!$N$15+1,25,30,35,40,45,50)/100*(Inputs!$B$11-Inputs!$B$11),0)))/100)/2</f>
        <v/>
      </c>
      <c r="M1567">
        <f>L1567*(1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IF(B1604=0,0,O1567/B1604)</f>
        <v/>
      </c>
      <c r="Q1567">
        <f>IFERROR(1/(IF(Inputs!$B$38="pvp",15,MAX(0.1,1-0.4*MIN(1,(B1596-1)/1.5)-IF(FALSE=TRUE,Inputs!$B$32,0)))*(1-IF(AND(ArtifactsInput!$M$27,Inputs!$B$4="Chapter Hunt"),CHOOSE(ArtifactsInput!$N$27+1,20,24,28,32,36,40),0)/100)),0)</f>
        <v/>
      </c>
      <c r="R1567">
        <f>IF(AND(Inputs!$B$38&lt;&gt;"pvp",Inputs!$B$43&gt;0),IF(MAX(0,Inputs!$B$43-B1601)&lt;=0,0,(INT(MAX(0,Inputs!$B$43-B1601)/(IF(Inputs!$B$38="pvp",15,MAX(0.1,1-0.4*MIN(1,(B1596-1)/1.5)-IF(FALSE=TRUE,Inputs!$B$32,0)))*(1-IF(AND(ArtifactsInput!$M$27,Inputs!$B$4="Chapter Hunt"),CHOOSE(ArtifactsInput!$N$27+1,20,24,28,32,36,40),0)/100)))+1)),0)</f>
        <v/>
      </c>
      <c r="S1567">
        <f>IFERROR(O1567/N1567,0)</f>
        <v/>
      </c>
      <c r="T1567">
        <f>IF(C1567,(H1567*N1567*IF(AND(Inputs!$B$38&lt;&gt;"pvp",Inputs!$B$43&gt;0),((Skills!G8*((R1567-1)*IF(Skills!H8&gt;0,INT(Skills!I8/Skills!H8+0.000000001),1)+IF(Skills!H8&gt;0,INT(MIN(Skills!I8,MAX(0,MAX(0,Inputs!$B$43-B1601)-((R1567-1)*(IF(Inputs!$B$38="pvp",15,MAX(0.1,1-0.4*MIN(1,(B1596-1)/1.5)-IF(FALSE=TRUE,Inputs!$B$32,0)))*(1-IF(AND(ArtifactsInput!$M$27,Inputs!$B$4="Chapter Hunt"),CHOOSE(ArtifactsInput!$N$27+1,20,24,28,32,36,40),0)/100)))))/Skills!H8+0.000000001),1)))/Inputs!$B$43),G1567*Q1567)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8*((R1567-1)*IF(Skills!H8&gt;0,INT(Skills!I8/Skills!H8+0.000000001),1)+IF(Skills!H8&gt;0,INT(MIN(Skills!I8,MAX(0,MAX(0,Inputs!$B$43-B1601)-((R1567-1)*(IF(Inputs!$B$38="pvp",15,MAX(0.1,1-0.4*MIN(1,(B1596-1)/1.5)-IF(FALSE=TRUE,Inputs!$B$32,0)))*(1-IF(AND(ArtifactsInput!$M$27,Inputs!$B$4="Chapter Hunt"),CHOOSE(ArtifactsInput!$N$27+1,20,24,28,32,36,40),0)/100)))))/Skills!H8+0.000000001),1)))/Inputs!$B$43),G1567*Q1567))*IF(Inputs!$B$38="pvp",1,(1+(Inputs!$B$21+Skills!Q8+(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Skills!A9</f>
        <v/>
      </c>
      <c r="B1568">
        <f>Skills!B9</f>
        <v/>
      </c>
      <c r="C1568">
        <f>Inputs!$B$3&gt;=69</f>
        <v/>
      </c>
      <c r="D1568">
        <f>IF(Skills!C9=1,60+Inputs!$B$25+Inputs!$B$29,IF(Skills!C9=2,90+Inputs!$B$26+Inputs!$B$29,IF(Skills!C9=3,120+Inputs!$B$27+Inputs!$B$29,MAX(0,(Inputs!$B$3-100)*3)+Inputs!$B$28+Inputs!$B$29)))</f>
        <v/>
      </c>
      <c r="E1568">
        <f>INDEX(FactorTable!$B$2:$Y$301, MATCH(ROUND(MIN(300,MAX(1,D1568)),0), FactorTable!$A$2:$A$301,0), Skills!M9+1)</f>
        <v/>
      </c>
      <c r="F1568">
        <f>IF(Skills!N9=TRUE,(Skills!L9/10)*(E1568/1000),Skills!L9/10)+Skills!O9</f>
        <v/>
      </c>
      <c r="G1568">
        <f>Skills!G9*IF(Skills!H9&gt;0,INT(IF(Inputs!$B$38="pvp",MIN(Skills!I9,15),Skills!I9)/Skills!H9+0.000000001),1)</f>
        <v/>
      </c>
      <c r="H1568">
        <f>1-(1-Skills!J9/100)^Skills!K9</f>
        <v/>
      </c>
      <c r="I1568" t="inlineStr">
        <is>
          <t>1</t>
        </is>
      </c>
      <c r="J1568">
        <f>((Inputs!$B$6*(1+Inputs!$B$7/100))+(((Inputs!$B$12*(1+Inputs!$B$13/100))-(Inputs!$B$12*(1+Inputs!$B$13/100)))+0.25*(Inputs!$B$14-Inputs!$B$14))*(1+Inputs!$B$7/100))*(F1568/100)</f>
        <v/>
      </c>
      <c r="K1568">
        <f>J1568*(1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1571=TRUE,F1571,0)/100)*(1+(IF(Skills!A9="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C1585=TRUE)*(F1585-Calc!F26)),(Inputs!$B$23+((C1590=TRUE)*(F1590-Calc!F31))+(IF(ArtifactsInput!$M$15,CHOOSE(ArtifactsInput!$N$15+1,25,30,35,40,45,50)/100*(Inputs!$B$11-Inputs!$B$11),0))))/100+(Inputs!$B$23+((C1590=TRUE)*(F1590-Calc!F31))+(IF(ArtifactsInput!$M$15,CHOOSE(ArtifactsInput!$N$15+1,25,30,35,40,45,50)/100*(Inputs!$B$11-Inputs!$B$11),0)))/100)/2</f>
        <v/>
      </c>
      <c r="M1568">
        <f>L1568*(1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(1-Summary!$B$11)*T1568+Summary!$B$11*V1568</f>
        <v/>
      </c>
      <c r="P1568">
        <f>IF(B1604=0,0,O1568/B1604)</f>
        <v/>
      </c>
      <c r="Q1568">
        <f>IFERROR(1/(IF(Inputs!$B$38="pvp",15,MAX(0.1,Skills!D9-IF(TRUE=TRUE,Inputs!$B$32,0)))*(1-IF(AND(ArtifactsInput!$M$27,Inputs!$B$4="Chapter Hunt"),CHOOSE(ArtifactsInput!$N$27+1,20,24,28,32,36,40),0)/100)),0)</f>
        <v/>
      </c>
      <c r="R1568">
        <f>IF(AND(Inputs!$B$38&lt;&gt;"pvp",Inputs!$B$43&gt;0),IF(MAX(0,Inputs!$B$43-B1601)&lt;=0,0,(INT(MAX(0,Inputs!$B$43-B1601)/(IF(Inputs!$B$38="pvp",15,MAX(0.1,Skills!D9-IF(TRUE=TRUE,Inputs!$B$32,0)))*(1-IF(AND(ArtifactsInput!$M$27,Inputs!$B$4="Chapter Hunt"),CHOOSE(ArtifactsInput!$N$27+1,20,24,28,32,36,40),0)/100)))+1)),0)</f>
        <v/>
      </c>
      <c r="S1568">
        <f>IFERROR(O1568/N1568,0)</f>
        <v/>
      </c>
      <c r="T1568">
        <f>IF(C1568,(H1568*N1568*IF(AND(Inputs!$B$38&lt;&gt;"pvp",Inputs!$B$43&gt;0),((Skills!G9*((R1568-1)*IF(Skills!H9&gt;0,INT(Skills!I9/Skills!H9+0.000000001),1)+IF(Skills!H9&gt;0,INT(MIN(Skills!I9,MAX(0,MAX(0,Inputs!$B$43-B1601)-((R1568-1)*(IF(Inputs!$B$38="pvp",15,MAX(0.1,Skills!D9-IF(TRUE=TRUE,Inputs!$B$32,0)))*(1-IF(AND(ArtifactsInput!$M$27,Inputs!$B$4="Chapter Hunt"),CHOOSE(ArtifactsInput!$N$27+1,20,24,28,32,36,40),0)/100)))))/Skills!H9+0.000000001),1)))/Inputs!$B$43),G1568*Q1568)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8">
        <f>IF(C1568,(H1568*N1568*IF(AND(Inputs!$B$38&lt;&gt;"pvp",Inputs!$B$43&gt;0),((Skills!G9*((R1568-1)*IF(Skills!H9&gt;0,INT(Skills!I9/Skills!H9+0.000000001),1)+IF(Skills!H9&gt;0,INT(MIN(Skills!I9,MAX(0,MAX(0,Inputs!$B$43-B1601)-((R1568-1)*(IF(Inputs!$B$38="pvp",15,MAX(0.1,Skills!D9-IF(TRUE=TRUE,Inputs!$B$32,0)))*(1-IF(AND(ArtifactsInput!$M$27,Inputs!$B$4="Chapter Hunt"),CHOOSE(ArtifactsInput!$N$27+1,20,24,28,32,36,40),0)/100)))))/Skills!H9+0.000000001),1)))/Inputs!$B$43),G1568*Q1568))*IF(Inputs!$B$38="pvp",1,(1+(Inputs!$B$21+Skills!Q9+(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9">
      <c r="A1569">
        <f>Skills!A10</f>
        <v/>
      </c>
      <c r="B1569">
        <f>Skills!B10</f>
        <v/>
      </c>
      <c r="C1569">
        <f>Inputs!$B$3&gt;=63</f>
        <v/>
      </c>
      <c r="D1569">
        <f>IF(Skills!C10=1,60+Inputs!$B$25+Inputs!$B$29,IF(Skills!C10=2,90+Inputs!$B$26+Inputs!$B$29,IF(Skills!C10=3,120+Inputs!$B$27+Inputs!$B$29,MAX(0,(Inputs!$B$3-100)*3)+Inputs!$B$28+Inputs!$B$29)))</f>
        <v/>
      </c>
      <c r="E1569">
        <f>INDEX(FactorTable!$B$2:$Y$301, MATCH(ROUND(MIN(300,MAX(1,D1569)),0), FactorTable!$A$2:$A$301,0), Skills!M10+1)</f>
        <v/>
      </c>
      <c r="F1569">
        <f>IF(Skills!N10=TRUE,(Skills!L10/10)*(E1569/1000),Skills!L10/10)+Skills!O10</f>
        <v/>
      </c>
      <c r="G1569">
        <f>Skills!G10*IF(Skills!H10&gt;0,INT(IF(Inputs!$B$38="pvp",MIN(Skills!I10,15),Skills!I10)/Skills!H10+0.000000001),1)</f>
        <v/>
      </c>
      <c r="H1569">
        <f>1-(1-Skills!J10/100)^Skills!K10</f>
        <v/>
      </c>
      <c r="I1569" t="inlineStr">
        <is>
          <t>1</t>
        </is>
      </c>
      <c r="J1569">
        <f>((Inputs!$B$6*(1+Inputs!$B$7/100))+(((Inputs!$B$12*(1+Inputs!$B$13/100))-(Inputs!$B$12*(1+Inputs!$B$13/100)))+0.25*(Inputs!$B$14-Inputs!$B$14))*(1+Inputs!$B$7/100))*(F1569/100)</f>
        <v/>
      </c>
      <c r="K1569">
        <f>J1569*(1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1571=TRUE,F1571,0)/100)*(1+(IF(Skills!A10="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1585=TRUE)*(F1585-Calc!F26)),(Inputs!$B$23+((C1590=TRUE)*(F1590-Calc!F31))+(IF(ArtifactsInput!$M$15,CHOOSE(ArtifactsInput!$N$15+1,25,30,35,40,45,50)/100*(Inputs!$B$11-Inputs!$B$11),0))))/100+(Inputs!$B$23+((C1590=TRUE)*(F1590-Calc!F31))+(IF(ArtifactsInput!$M$15,CHOOSE(ArtifactsInput!$N$15+1,25,30,35,40,45,50)/100*(Inputs!$B$11-Inputs!$B$11),0)))/100)/2</f>
        <v/>
      </c>
      <c r="M1569">
        <f>L1569*(1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IF(B1604=0,0,O1569/B1604)</f>
        <v/>
      </c>
      <c r="Q1569">
        <f>IFERROR(1/(IF(Inputs!$B$38="pvp",15,MAX(0.1,Skills!D10-IF(TRUE=TRUE,Inputs!$B$32,0)))*(1-IF(AND(ArtifactsInput!$M$27,Inputs!$B$4="Chapter Hunt"),CHOOSE(ArtifactsInput!$N$27+1,20,24,28,32,36,40),0)/100)),0)</f>
        <v/>
      </c>
      <c r="R1569">
        <f>IF(AND(Inputs!$B$38&lt;&gt;"pvp",Inputs!$B$43&gt;0),IF(MAX(0,Inputs!$B$43-B1601)&lt;=0,0,(INT(MAX(0,Inputs!$B$43-B1601)/(IF(Inputs!$B$38="pvp",15,MAX(0.1,Skills!D10-IF(TRUE=TRUE,Inputs!$B$32,0)))*(1-IF(AND(ArtifactsInput!$M$27,Inputs!$B$4="Chapter Hunt"),CHOOSE(ArtifactsInput!$N$27+1,20,24,28,32,36,40),0)/100)))+1)),0)</f>
        <v/>
      </c>
      <c r="S1569">
        <f>IFERROR(O1569/N1569,0)</f>
        <v/>
      </c>
      <c r="T1569">
        <f>IF(C1569,(H1569*N1569*IF(AND(Inputs!$B$38&lt;&gt;"pvp",Inputs!$B$43&gt;0),((Skills!G10*((R1569-1)*IF(Skills!H10&gt;0,INT(Skills!I10/Skills!H10+0.000000001),1)+IF(Skills!H10&gt;0,INT(MIN(Skills!I10,MAX(0,MAX(0,Inputs!$B$43-B1601)-((R1569-1)*(IF(Inputs!$B$38="pvp",15,MAX(0.1,Skills!D10-IF(TRUE=TRUE,Inputs!$B$32,0)))*(1-IF(AND(ArtifactsInput!$M$27,Inputs!$B$4="Chapter Hunt"),CHOOSE(ArtifactsInput!$N$27+1,20,24,28,32,36,40),0)/100)))))/Skills!H10+0.000000001),1)))/Inputs!$B$43),G1569*Q1569)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9">
        <f>IF(C1569,(H1569*N1569*IF(AND(Inputs!$B$38&lt;&gt;"pvp",Inputs!$B$43&gt;0),((Skills!G10*((R1569-1)*IF(Skills!H10&gt;0,INT(Skills!I10/Skills!H10+0.000000001),1)+IF(Skills!H10&gt;0,INT(MIN(Skills!I10,MAX(0,MAX(0,Inputs!$B$43-B1601)-((R1569-1)*(IF(Inputs!$B$38="pvp",15,MAX(0.1,Skills!D10-IF(TRUE=TRUE,Inputs!$B$32,0)))*(1-IF(AND(ArtifactsInput!$M$27,Inputs!$B$4="Chapter Hunt"),CHOOSE(ArtifactsInput!$N$27+1,20,24,28,32,36,40),0)/100)))))/Skills!H10+0.000000001),1)))/Inputs!$B$43),G1569*Q1569))*IF(Inputs!$B$38="pvp",1,(1+(Inputs!$B$21+Skills!Q10+(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Skills!A11</f>
        <v/>
      </c>
      <c r="B1570">
        <f>Skills!B11</f>
        <v/>
      </c>
      <c r="C1570">
        <f>Inputs!$B$3&gt;=103</f>
        <v/>
      </c>
      <c r="D1570">
        <f>IF(Skills!C11=1,60+Inputs!$B$25+Inputs!$B$29,IF(Skills!C11=2,90+Inputs!$B$26+Inputs!$B$29,IF(Skills!C11=3,120+Inputs!$B$27+Inputs!$B$29,MAX(0,(Inputs!$B$3-100)*3)+Inputs!$B$28+Inputs!$B$29)))</f>
        <v/>
      </c>
      <c r="E1570">
        <f>INDEX(FactorTable!$B$2:$Y$301, MATCH(ROUND(MIN(300,MAX(1,D1570)),0), FactorTable!$A$2:$A$301,0), Skills!M11+1)</f>
        <v/>
      </c>
      <c r="F1570">
        <f>IF(Skills!N11=TRUE,(Skills!L11/10)*(E1570/1000),Skills!L11/10)+Skills!O11</f>
        <v/>
      </c>
      <c r="G1570">
        <f>Skills!G11*IF(Skills!H11&gt;0,INT(IF(Inputs!$B$38="pvp",MIN(Skills!I11,15),Skills!I11)/Skills!H11+0.000000001),1)</f>
        <v/>
      </c>
      <c r="H1570">
        <f>1-(1-Skills!J11/100)^Skills!K11</f>
        <v/>
      </c>
      <c r="I1570" t="inlineStr">
        <is>
          <t>1</t>
        </is>
      </c>
      <c r="J1570">
        <f>((Inputs!$B$6*(1+Inputs!$B$7/100))+(((Inputs!$B$12*(1+Inputs!$B$13/100))-(Inputs!$B$12*(1+Inputs!$B$13/100)))+0.25*(Inputs!$B$14-Inputs!$B$14))*(1+Inputs!$B$7/100))*(F1570/100)</f>
        <v/>
      </c>
      <c r="K1570">
        <f>J1570*(1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1585=TRUE)*(F1585-Calc!F26)),(Inputs!$B$23+((C1590=TRUE)*(F1590-Calc!F31))+(IF(ArtifactsInput!$M$15,CHOOSE(ArtifactsInput!$N$15+1,25,30,35,40,45,50)/100*(Inputs!$B$11-Inputs!$B$11),0))))/100+(Inputs!$B$23+((C1590=TRUE)*(F1590-Calc!F31))+(IF(ArtifactsInput!$M$15,CHOOSE(ArtifactsInput!$N$15+1,25,30,35,40,45,50)/100*(Inputs!$B$11-Inputs!$B$11),0)))/100)/2</f>
        <v/>
      </c>
      <c r="M1570">
        <f>L1570*(1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IF(B1604=0,0,O1570/B1604)</f>
        <v/>
      </c>
      <c r="Q1570">
        <f>IFERROR(1/(IF(Inputs!$B$38="pvp",15,MAX(0.1,Skills!D11-IF(TRUE=TRUE,Inputs!$B$32,0)))*(1-IF(AND(ArtifactsInput!$M$27,Inputs!$B$4="Chapter Hunt"),CHOOSE(ArtifactsInput!$N$27+1,20,24,28,32,36,40),0)/100)),0)</f>
        <v/>
      </c>
      <c r="R1570">
        <f>IF(AND(Inputs!$B$38&lt;&gt;"pvp",Inputs!$B$43&gt;0),IF(MAX(0,Inputs!$B$43-B1601)&lt;=0,0,(INT(MAX(0,Inputs!$B$43-B1601)/(IF(Inputs!$B$38="pvp",15,MAX(0.1,Skills!D11-IF(TRUE=TRUE,Inputs!$B$32,0)))*(1-IF(AND(ArtifactsInput!$M$27,Inputs!$B$4="Chapter Hunt"),CHOOSE(ArtifactsInput!$N$27+1,20,24,28,32,36,40),0)/100)))+1)),0)</f>
        <v/>
      </c>
      <c r="S1570">
        <f>IFERROR(O1570/N1570,0)</f>
        <v/>
      </c>
      <c r="T1570">
        <f>IF(C1570,(H1570*N1570*IF(AND(Inputs!$B$38&lt;&gt;"pvp",Inputs!$B$43&gt;0),((Skills!G11*((R1570-1)*IF(Skills!H11&gt;0,INT(Skills!I11/Skills!H11+0.000000001),1)+IF(Skills!H11&gt;0,INT(MIN(Skills!I11,MAX(0,MAX(0,Inputs!$B$43-B1601)-((R1570-1)*(IF(Inputs!$B$38="pvp",15,MAX(0.1,Skills!D11-IF(TRUE=TRUE,Inputs!$B$32,0)))*(1-IF(AND(ArtifactsInput!$M$27,Inputs!$B$4="Chapter Hunt"),CHOOSE(ArtifactsInput!$N$27+1,20,24,28,32,36,40),0)/100)))))/Skills!H11+0.000000001),1)))/Inputs!$B$43),G1570*Q1570)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0">
        <f>IF(C1570,(H1570*N1570*IF(AND(Inputs!$B$38&lt;&gt;"pvp",Inputs!$B$43&gt;0),((Skills!G11*((R1570-1)*IF(Skills!H11&gt;0,INT(Skills!I11/Skills!H11+0.000000001),1)+IF(Skills!H11&gt;0,INT(MIN(Skills!I11,MAX(0,MAX(0,Inputs!$B$43-B1601)-((R1570-1)*(IF(Inputs!$B$38="pvp",15,MAX(0.1,Skills!D11-IF(TRUE=TRUE,Inputs!$B$32,0)))*(1-IF(AND(ArtifactsInput!$M$27,Inputs!$B$4="Chapter Hunt"),CHOOSE(ArtifactsInput!$N$27+1,20,24,28,32,36,40),0)/100)))))/Skills!H11+0.000000001),1)))/Inputs!$B$43),G1570*Q1570))*IF(Inputs!$B$38="pvp",1,(1+(Inputs!$B$21+Skills!Q11+(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Skills!A12</f>
        <v/>
      </c>
      <c r="B1571">
        <f>Skills!B12</f>
        <v/>
      </c>
      <c r="C1571">
        <f>Inputs!$B$3&gt;=100</f>
        <v/>
      </c>
      <c r="D1571">
        <f>IF(Skills!C12=1,60+Inputs!$B$25+Inputs!$B$29,IF(Skills!C12=2,90+Inputs!$B$26+Inputs!$B$29,IF(Skills!C12=3,120+Inputs!$B$27+Inputs!$B$29,MAX(0,(Inputs!$B$3-100)*3)+Inputs!$B$28+Inputs!$B$29)))</f>
        <v/>
      </c>
      <c r="E1571">
        <f>INDEX(FactorTable!$B$2:$Y$301, MATCH(ROUND(MIN(300,MAX(1,D1571)),0), FactorTable!$A$2:$A$301,0), Skills!M12+1)</f>
        <v/>
      </c>
      <c r="F1571">
        <f>IF(Skills!N12=TRUE,(Skills!L12/10)*(E1571/1000),Skills!L12/10)+Skills!O12</f>
        <v/>
      </c>
      <c r="G1571" t="inlineStr"/>
      <c r="H1571" t="inlineStr"/>
      <c r="I1571" t="inlineStr">
        <is>
          <t>1</t>
        </is>
      </c>
      <c r="J1571" t="inlineStr"/>
      <c r="K1571" t="inlineStr"/>
      <c r="L1571" t="inlineStr"/>
      <c r="M1571" t="inlineStr"/>
      <c r="N1571" t="inlineStr"/>
      <c r="O1571" t="inlineStr"/>
      <c r="P1571" t="inlineStr"/>
      <c r="Q1571" t="inlineStr"/>
      <c r="R1571" t="inlineStr"/>
      <c r="S1571" t="inlineStr"/>
      <c r="T1571" t="inlineStr"/>
      <c r="V1571" t="inlineStr"/>
    </row>
    <row r="1572">
      <c r="A1572">
        <f>Skills!A13</f>
        <v/>
      </c>
      <c r="B1572">
        <f>Skills!B13</f>
        <v/>
      </c>
      <c r="C1572">
        <f>Inputs!$B$3&gt;=60</f>
        <v/>
      </c>
      <c r="D1572">
        <f>IF(Skills!C13=1,60+Inputs!$B$25+Inputs!$B$29,IF(Skills!C13=2,90+Inputs!$B$26+Inputs!$B$29,IF(Skills!C13=3,120+Inputs!$B$27+Inputs!$B$29,MAX(0,(Inputs!$B$3-100)*3)+Inputs!$B$28+Inputs!$B$29)))</f>
        <v/>
      </c>
      <c r="E1572">
        <f>INDEX(FactorTable!$B$2:$Y$301, MATCH(ROUND(MIN(300,MAX(1,D1572)),0), FactorTable!$A$2:$A$301,0), Skills!M13+1)</f>
        <v/>
      </c>
      <c r="F1572">
        <f>IF(Skills!N13=TRUE,(Skills!L13/10)*(E1572/1000),Skills!L13/10)+Skills!O13</f>
        <v/>
      </c>
      <c r="G1572">
        <f>Skills!G13*IF(Skills!H13&gt;0,INT(IF(Inputs!$B$38="pvp",MIN(Skills!I13,15),Skills!I13)/Skills!H13+0.000000001),1)</f>
        <v/>
      </c>
      <c r="H1572">
        <f>1-(1-Skills!J13/100)^Skills!K13</f>
        <v/>
      </c>
      <c r="I1572" t="inlineStr">
        <is>
          <t>1</t>
        </is>
      </c>
      <c r="J1572">
        <f>((Inputs!$B$6*(1+Inputs!$B$7/100))+(((Inputs!$B$12*(1+Inputs!$B$13/100))-(Inputs!$B$12*(1+Inputs!$B$13/100)))+0.25*(Inputs!$B$14-Inputs!$B$14))*(1+Inputs!$B$7/100))*(F1572/100)</f>
        <v/>
      </c>
      <c r="K1572">
        <f>J1572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1573=TRUE,F1573,0)/100)*(1+(IF(Skills!A13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1585=TRUE)*(F1585-Calc!F26)),(Inputs!$B$23+((C1590=TRUE)*(F1590-Calc!F31))+(IF(ArtifactsInput!$M$15,CHOOSE(ArtifactsInput!$N$15+1,25,30,35,40,45,50)/100*(Inputs!$B$11-Inputs!$B$11),0))))/100+(Inputs!$B$23+((C1590=TRUE)*(F1590-Calc!F31))+(IF(ArtifactsInput!$M$15,CHOOSE(ArtifactsInput!$N$15+1,25,30,35,40,45,50)/100*(Inputs!$B$11-Inputs!$B$11),0)))/100)/2</f>
        <v/>
      </c>
      <c r="M1572">
        <f>L1572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IF(B1604=0,0,O1572/B1604)</f>
        <v/>
      </c>
      <c r="Q1572">
        <f>IFERROR(1/(IF(Inputs!$B$38="pvp",15,MAX(0.1,IF(Inputs!$B$3&gt;=122,3,5)+1/(((20+30*(B1596-1)*100/150)/100)*B1596)-IF(FALSE=TRUE,Inputs!$B$32,0)))*(1-IF(AND(ArtifactsInput!$M$27,Inputs!$B$4="Chapter Hunt"),CHOOSE(ArtifactsInput!$N$27+1,20,24,28,32,36,40),0)/100)),0)</f>
        <v/>
      </c>
      <c r="R1572">
        <f>IF(AND(Inputs!$B$38&lt;&gt;"pvp",Inputs!$B$43&gt;0),IF(MAX(0,Inputs!$B$43-B1601)&lt;=0,0,(INT(MAX(0,Inputs!$B$43-B1601)/(IF(Inputs!$B$38="pvp",15,MAX(0.1,IF(Inputs!$B$3&gt;=122,3,5)+1/(((20+30*(B1596-1)*100/150)/100)*B1596)-IF(FALSE=TRUE,Inputs!$B$32,0)))*(1-IF(AND(ArtifactsInput!$M$27,Inputs!$B$4="Chapter Hunt"),CHOOSE(ArtifactsInput!$N$27+1,20,24,28,32,36,40),0)/100)))+1)),0)</f>
        <v/>
      </c>
      <c r="S1572">
        <f>IFERROR(O1572/N1572,0)</f>
        <v/>
      </c>
      <c r="T1572">
        <f>IF(C1572,(H1572*N1572*IF(AND(Inputs!$B$38&lt;&gt;"pvp",Inputs!$B$43&gt;0),((Skills!G13*((R1572-1)*IF(Skills!H13&gt;0,INT(Skills!I13/Skills!H13+0.000000001),1)+IF(Skills!H13&gt;0,INT(MIN(Skills!I13,MAX(0,MAX(0,Inputs!$B$43-B1601)-((R1572-1)*(IF(Inputs!$B$38="pvp",15,MAX(0.1,IF(Inputs!$B$3&gt;=122,3,5)+1/(((20+30*(B1596-1)*100/150)/100)*B1596)-IF(FALSE=TRUE,Inputs!$B$32,0)))*(1-IF(AND(ArtifactsInput!$M$27,Inputs!$B$4="Chapter Hunt"),CHOOSE(ArtifactsInput!$N$27+1,20,24,28,32,36,40),0)/100)))))/Skills!H13+0.000000001),1)))/Inputs!$B$43),G1572*Q1572)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13*((R1572-1)*IF(Skills!H13&gt;0,INT(Skills!I13/Skills!H13+0.000000001),1)+IF(Skills!H13&gt;0,INT(MIN(Skills!I13,MAX(0,MAX(0,Inputs!$B$43-B1601)-((R1572-1)*(IF(Inputs!$B$38="pvp",15,MAX(0.1,IF(Inputs!$B$3&gt;=122,3,5)+1/(((20+30*(B1596-1)*100/150)/100)*B1596)-IF(FALSE=TRUE,Inputs!$B$32,0)))*(1-IF(AND(ArtifactsInput!$M$27,Inputs!$B$4="Chapter Hunt"),CHOOSE(ArtifactsInput!$N$27+1,20,24,28,32,36,40),0)/100)))))/Skills!H13+0.000000001),1)))/Inputs!$B$43),G1572*Q1572))*IF(Inputs!$B$38="pvp",1,(1+(Inputs!$B$21+Skills!Q13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Skills!A14</f>
        <v/>
      </c>
      <c r="B1573">
        <f>Skills!B14</f>
        <v/>
      </c>
      <c r="C1573">
        <f>Inputs!$B$3&gt;=110</f>
        <v/>
      </c>
      <c r="D1573">
        <f>IF(Skills!C14=1,60+Inputs!$B$25+Inputs!$B$29,IF(Skills!C14=2,90+Inputs!$B$26+Inputs!$B$29,IF(Skills!C14=3,120+Inputs!$B$27+Inputs!$B$29,MAX(0,(Inputs!$B$3-100)*3)+Inputs!$B$28+Inputs!$B$29)))</f>
        <v/>
      </c>
      <c r="E1573">
        <f>INDEX(FactorTable!$B$2:$Y$301, MATCH(ROUND(MIN(300,MAX(1,D1573)),0), FactorTable!$A$2:$A$301,0), Skills!M14+1)</f>
        <v/>
      </c>
      <c r="F1573">
        <f>IF(Skills!N14=TRUE,(Skills!L14/10)*(E1573/1000),Skills!L14/10)+Skills!O14</f>
        <v/>
      </c>
      <c r="G1573" t="inlineStr"/>
      <c r="H1573" t="inlineStr"/>
      <c r="I1573" t="inlineStr">
        <is>
          <t>1</t>
        </is>
      </c>
      <c r="J1573" t="inlineStr"/>
      <c r="K1573" t="inlineStr"/>
      <c r="L1573" t="inlineStr"/>
      <c r="M1573" t="inlineStr"/>
      <c r="N1573" t="inlineStr"/>
      <c r="O1573" t="inlineStr"/>
      <c r="P1573" t="inlineStr"/>
      <c r="Q1573" t="inlineStr"/>
      <c r="R1573" t="inlineStr"/>
      <c r="S1573" t="inlineStr"/>
      <c r="T1573" t="inlineStr"/>
      <c r="V1573" t="inlineStr"/>
    </row>
    <row r="1574">
      <c r="A1574">
        <f>Skills!A15</f>
        <v/>
      </c>
      <c r="B1574">
        <f>Skills!B15</f>
        <v/>
      </c>
      <c r="C1574">
        <f>Inputs!$B$3&gt;=74</f>
        <v/>
      </c>
      <c r="D1574">
        <f>IF(Skills!C15=1,60+Inputs!$B$25+Inputs!$B$29,IF(Skills!C15=2,90+Inputs!$B$26+Inputs!$B$29,IF(Skills!C15=3,120+Inputs!$B$27+Inputs!$B$29,MAX(0,(Inputs!$B$3-100)*3)+Inputs!$B$28+Inputs!$B$29)))</f>
        <v/>
      </c>
      <c r="E1574">
        <f>INDEX(FactorTable!$B$2:$Y$301, MATCH(ROUND(MIN(300,MAX(1,D1574)),0), FactorTable!$A$2:$A$301,0), Skills!M15+1)</f>
        <v/>
      </c>
      <c r="F1574">
        <f>IF(Skills!N15=TRUE,(Skills!L15/10)*(E1574/1000),Skills!L15/10)+Skills!O15</f>
        <v/>
      </c>
      <c r="G1574">
        <f>Skills!G15*IF(Skills!H15&gt;0,INT(IF(Inputs!$B$38="pvp",MIN(Skills!I15,15),Skills!I15)/Skills!H15+0.000000001),1)</f>
        <v/>
      </c>
      <c r="H1574">
        <f>1-(1-Skills!J15/100)^Skills!K15</f>
        <v/>
      </c>
      <c r="I1574" t="inlineStr">
        <is>
          <t>1</t>
        </is>
      </c>
      <c r="J1574" t="inlineStr"/>
      <c r="K1574" t="inlineStr"/>
      <c r="L1574" t="inlineStr"/>
      <c r="M1574" t="inlineStr"/>
      <c r="N1574" t="inlineStr"/>
      <c r="O1574">
        <f>(1-Summary!$B$11)*T1574+Summary!$B$11*V1574</f>
        <v/>
      </c>
      <c r="P1574">
        <f>IF(B1604=0,0,O1574/B1604)</f>
        <v/>
      </c>
      <c r="Q1574" t="n">
        <v>0</v>
      </c>
      <c r="R1574" t="n">
        <v>0</v>
      </c>
      <c r="S1574">
        <f>IFERROR(O1574/N1574,0)</f>
        <v/>
      </c>
      <c r="T1574" t="n">
        <v>0</v>
      </c>
      <c r="V1574" t="n">
        <v>0</v>
      </c>
    </row>
    <row r="1575">
      <c r="A1575">
        <f>Skills!A16</f>
        <v/>
      </c>
      <c r="B1575">
        <f>Skills!B16</f>
        <v/>
      </c>
      <c r="C1575">
        <f>Inputs!$B$3&gt;=74</f>
        <v/>
      </c>
      <c r="D1575">
        <f>IF(Skills!C16=1,60+Inputs!$B$25+Inputs!$B$29,IF(Skills!C16=2,90+Inputs!$B$26+Inputs!$B$29,IF(Skills!C16=3,120+Inputs!$B$27+Inputs!$B$29,MAX(0,(Inputs!$B$3-100)*3)+Inputs!$B$28+Inputs!$B$29)))</f>
        <v/>
      </c>
      <c r="E1575">
        <f>INDEX(FactorTable!$B$2:$Y$301, MATCH(ROUND(MIN(300,MAX(1,D1575)),0), FactorTable!$A$2:$A$301,0), Skills!M16+1)</f>
        <v/>
      </c>
      <c r="F1575">
        <f>IF(Skills!N16=TRUE,(Skills!L16/10)*(E1575/1000),Skills!L16/10)+Skills!O16</f>
        <v/>
      </c>
      <c r="G1575">
        <f>Skills!G16*IF(Skills!H16&gt;0,INT(IF(Inputs!$B$38="pvp",MIN(Skills!I16,15),Skills!I16)/Skills!H16+0.000000001),1)</f>
        <v/>
      </c>
      <c r="H1575">
        <f>1-(1-Skills!J16/100)^Skills!K16</f>
        <v/>
      </c>
      <c r="I1575" t="inlineStr">
        <is>
          <t>1</t>
        </is>
      </c>
      <c r="J1575" t="inlineStr"/>
      <c r="K1575" t="inlineStr"/>
      <c r="L1575" t="inlineStr"/>
      <c r="M1575" t="inlineStr"/>
      <c r="N1575" t="inlineStr"/>
      <c r="O1575">
        <f>(1-Summary!$B$11)*T1575+Summary!$B$11*V1575</f>
        <v/>
      </c>
      <c r="P1575">
        <f>IF(B1604=0,0,O1575/B1604)</f>
        <v/>
      </c>
      <c r="Q1575" t="n">
        <v>0</v>
      </c>
      <c r="R1575" t="n">
        <v>0</v>
      </c>
      <c r="S1575">
        <f>IFERROR(O1575/N1575,0)</f>
        <v/>
      </c>
      <c r="T1575" t="n">
        <v>0</v>
      </c>
      <c r="V1575" t="n">
        <v>0</v>
      </c>
    </row>
    <row r="1576">
      <c r="A1576">
        <f>Skills!A17</f>
        <v/>
      </c>
      <c r="B1576">
        <f>Skills!B17</f>
        <v/>
      </c>
      <c r="C1576">
        <f>Inputs!$B$3&gt;=117</f>
        <v/>
      </c>
      <c r="D1576">
        <f>IF(Skills!C17=1,60+Inputs!$B$25+Inputs!$B$29,IF(Skills!C17=2,90+Inputs!$B$26+Inputs!$B$29,IF(Skills!C17=3,120+Inputs!$B$27+Inputs!$B$29,MAX(0,(Inputs!$B$3-100)*3)+Inputs!$B$28+Inputs!$B$29)))</f>
        <v/>
      </c>
      <c r="E1576">
        <f>INDEX(FactorTable!$B$2:$Y$301, MATCH(ROUND(MIN(300,MAX(1,D1576)),0), FactorTable!$A$2:$A$301,0), Skills!M17+1)</f>
        <v/>
      </c>
      <c r="F1576">
        <f>IF(Skills!N17=TRUE,(Skills!L17/10)*(E1576/1000),Skills!L17/10)+Skills!O17</f>
        <v/>
      </c>
      <c r="G1576">
        <f>Skills!G17*IF(Skills!H17&gt;0,INT(IF(Inputs!$B$38="pvp",MIN(Skills!I17,15),Skills!I17)/Skills!H17+0.000000001),1)</f>
        <v/>
      </c>
      <c r="H1576">
        <f>1-(1-Skills!J17/100)^Skills!K17</f>
        <v/>
      </c>
      <c r="I1576" t="inlineStr">
        <is>
          <t>1</t>
        </is>
      </c>
      <c r="J1576" t="inlineStr"/>
      <c r="K1576" t="inlineStr"/>
      <c r="L1576" t="inlineStr"/>
      <c r="M1576" t="inlineStr"/>
      <c r="N1576" t="inlineStr"/>
      <c r="O1576">
        <f>(1-Summary!$B$11)*T1576+Summary!$B$11*V1576</f>
        <v/>
      </c>
      <c r="P1576">
        <f>IF(B1604=0,0,O1576/B1604)</f>
        <v/>
      </c>
      <c r="Q1576">
        <f>IFERROR(1/(IF(Inputs!$B$38="pvp",15,MAX(0.1,Skills!D17-IF(TRUE=TRUE,Inputs!$B$32,0)))*(1-IF(AND(ArtifactsInput!$M$27,Inputs!$B$4="Chapter Hunt"),CHOOSE(ArtifactsInput!$N$27+1,20,24,28,32,36,40),0)/100)),0)</f>
        <v/>
      </c>
      <c r="R1576">
        <f>IF(AND(Inputs!$B$38&lt;&gt;"pvp",Inputs!$B$43&gt;0),IF(Inputs!$B$43&lt;=0,0,(INT(Inputs!$B$43/(IF(Inputs!$B$38="pvp",15,MAX(0.1,Skills!D17-IF(TRUE=TRUE,Inputs!$B$32,0)))*(1-IF(AND(ArtifactsInput!$M$27,Inputs!$B$4="Chapter Hunt"),CHOOSE(ArtifactsInput!$N$27+1,20,24,28,32,36,40),0)/100)))+1)),0)</f>
        <v/>
      </c>
      <c r="S1576">
        <f>IFERROR(O1576/N1576,0)</f>
        <v/>
      </c>
      <c r="T1576" t="n">
        <v>0</v>
      </c>
      <c r="V1576" t="n">
        <v>0</v>
      </c>
    </row>
    <row r="1577">
      <c r="A1577">
        <f>Skills!A18</f>
        <v/>
      </c>
      <c r="B1577">
        <f>Skills!B18</f>
        <v/>
      </c>
      <c r="C1577">
        <f>Inputs!$B$3&gt;=115</f>
        <v/>
      </c>
      <c r="D1577">
        <f>IF(Skills!C18=1,60+Inputs!$B$25+Inputs!$B$29,IF(Skills!C18=2,90+Inputs!$B$26+Inputs!$B$29,IF(Skills!C18=3,120+Inputs!$B$27+Inputs!$B$29,MAX(0,(Inputs!$B$3-100)*3)+Inputs!$B$28+Inputs!$B$29)))</f>
        <v/>
      </c>
      <c r="E1577">
        <f>INDEX(FactorTable!$B$2:$Y$301, MATCH(ROUND(MIN(300,MAX(1,D1577)),0), FactorTable!$A$2:$A$301,0), Skills!M18+1)</f>
        <v/>
      </c>
      <c r="F1577">
        <f>IF(Skills!N18=TRUE,(Skills!L18/10)*(E1577/1000),Skills!L18/10)+Skills!O18</f>
        <v/>
      </c>
      <c r="G1577">
        <f>Skills!G18*IF(Skills!H18&gt;0,INT(IF(Inputs!$B$38="pvp",MIN(Skills!I18,15),Skills!I18)/Skills!H18+0.000000001),1)</f>
        <v/>
      </c>
      <c r="H1577">
        <f>1-(1-Skills!J18/100)^Skills!K18</f>
        <v/>
      </c>
      <c r="I1577" t="inlineStr">
        <is>
          <t>1</t>
        </is>
      </c>
      <c r="J1577" t="inlineStr"/>
      <c r="K1577" t="inlineStr"/>
      <c r="L1577" t="inlineStr"/>
      <c r="M1577" t="inlineStr"/>
      <c r="N1577" t="inlineStr"/>
      <c r="O1577">
        <f>(1-Summary!$B$11)*T1577+Summary!$B$11*V1577</f>
        <v/>
      </c>
      <c r="P1577">
        <f>IF(B1604=0,0,O1577/B1604)</f>
        <v/>
      </c>
      <c r="Q1577">
        <f>IFERROR(1/(IF(Inputs!$B$38="pvp",15,MAX(0.1,Skills!D18-IF(TRUE=TRUE,Inputs!$B$32,0)))*(1-IF(AND(ArtifactsInput!$M$27,Inputs!$B$4="Chapter Hunt"),CHOOSE(ArtifactsInput!$N$27+1,20,24,28,32,36,40),0)/100)),0)</f>
        <v/>
      </c>
      <c r="R1577">
        <f>IF(AND(Inputs!$B$38&lt;&gt;"pvp",Inputs!$B$43&gt;0),IF(Inputs!$B$43&lt;=0,0,(INT(Inputs!$B$43/(IF(Inputs!$B$38="pvp",15,MAX(0.1,Skills!D18-IF(TRUE=TRUE,Inputs!$B$32,0)))*(1-IF(AND(ArtifactsInput!$M$27,Inputs!$B$4="Chapter Hunt"),CHOOSE(ArtifactsInput!$N$27+1,20,24,28,32,36,40),0)/100)))+1)),0)</f>
        <v/>
      </c>
      <c r="S1577">
        <f>IFERROR(O1577/N1577,0)</f>
        <v/>
      </c>
      <c r="T1577" t="n">
        <v>0</v>
      </c>
      <c r="V1577" t="n">
        <v>0</v>
      </c>
    </row>
    <row r="1578">
      <c r="A1578">
        <f>Skills!A19</f>
        <v/>
      </c>
      <c r="B1578">
        <f>Skills!B19</f>
        <v/>
      </c>
      <c r="C1578">
        <f>Inputs!$B$3&gt;=66</f>
        <v/>
      </c>
      <c r="D1578">
        <f>IF(Skills!C19=1,60+Inputs!$B$25+Inputs!$B$29,IF(Skills!C19=2,90+Inputs!$B$26+Inputs!$B$29,IF(Skills!C19=3,120+Inputs!$B$27+Inputs!$B$29,MAX(0,(Inputs!$B$3-100)*3)+Inputs!$B$28+Inputs!$B$29)))</f>
        <v/>
      </c>
      <c r="E1578">
        <f>INDEX(FactorTable!$B$2:$Y$301, MATCH(ROUND(MIN(300,MAX(1,D1578)),0), FactorTable!$A$2:$A$301,0), Skills!M19+1)</f>
        <v/>
      </c>
      <c r="F1578">
        <f>IF(Skills!N19=TRUE,(Skills!L19/10)*(E1578/1000),Skills!L19/10)+Skills!O19</f>
        <v/>
      </c>
      <c r="G1578">
        <f>Skills!G19*IF(Skills!H19&gt;0,INT(IF(Inputs!$B$38="pvp",MIN(Skills!I19,15),Skills!I19)/Skills!H19+0.000000001),1)</f>
        <v/>
      </c>
      <c r="H1578">
        <f>1-(1-Skills!J19/100)^Skills!K19</f>
        <v/>
      </c>
      <c r="I1578" t="inlineStr">
        <is>
          <t>1</t>
        </is>
      </c>
      <c r="J1578" t="inlineStr"/>
      <c r="K1578" t="inlineStr"/>
      <c r="L1578" t="inlineStr"/>
      <c r="M1578" t="inlineStr"/>
      <c r="N1578" t="inlineStr"/>
      <c r="O1578">
        <f>(1-Summary!$B$11)*T1578+Summary!$B$11*V1578</f>
        <v/>
      </c>
      <c r="P1578">
        <f>IF(B1604=0,0,O1578/B1604)</f>
        <v/>
      </c>
      <c r="Q1578" t="n">
        <v>0</v>
      </c>
      <c r="R1578" t="n">
        <v>0</v>
      </c>
      <c r="S1578">
        <f>IFERROR(O1578/N1578,0)</f>
        <v/>
      </c>
      <c r="T1578" t="n">
        <v>0</v>
      </c>
      <c r="V1578" t="n">
        <v>0</v>
      </c>
    </row>
    <row r="1579">
      <c r="A1579">
        <f>Skills!A20</f>
        <v/>
      </c>
      <c r="B1579">
        <f>Skills!B20</f>
        <v/>
      </c>
      <c r="C1579">
        <f>Inputs!$B$3&gt;=72</f>
        <v/>
      </c>
      <c r="D1579">
        <f>IF(Skills!C20=1,60+Inputs!$B$25+Inputs!$B$29,IF(Skills!C20=2,90+Inputs!$B$26+Inputs!$B$29,IF(Skills!C20=3,120+Inputs!$B$27+Inputs!$B$29,MAX(0,(Inputs!$B$3-100)*3)+Inputs!$B$28+Inputs!$B$29)))</f>
        <v/>
      </c>
      <c r="E1579">
        <f>INDEX(FactorTable!$B$2:$Y$301, MATCH(ROUND(MIN(300,MAX(1,D1579)),0), FactorTable!$A$2:$A$301,0), Skills!M20+1)</f>
        <v/>
      </c>
      <c r="F1579">
        <f>IF(Skills!N20=TRUE,(Skills!L20/10)*(E1579/1000),Skills!L20/10)+Skills!O20</f>
        <v/>
      </c>
      <c r="G1579">
        <f>Skills!G20*IF(Skills!H20&gt;0,INT(IF(Inputs!$B$38="pvp",MIN(Skills!I20,15),Skills!I20)/Skills!H20+0.000000001),1)</f>
        <v/>
      </c>
      <c r="H1579">
        <f>1-(1-Skills!J20/100)^Skills!K20</f>
        <v/>
      </c>
      <c r="I1579" t="inlineStr">
        <is>
          <t>1</t>
        </is>
      </c>
      <c r="J1579" t="inlineStr"/>
      <c r="K1579" t="inlineStr"/>
      <c r="L1579" t="inlineStr"/>
      <c r="M1579" t="inlineStr"/>
      <c r="N1579" t="inlineStr"/>
      <c r="O1579">
        <f>(1-Summary!$B$11)*T1579+Summary!$B$11*V1579</f>
        <v/>
      </c>
      <c r="P1579">
        <f>IF(B1604=0,0,O1579/B1604)</f>
        <v/>
      </c>
      <c r="Q1579" t="n">
        <v>0</v>
      </c>
      <c r="R1579" t="n">
        <v>0</v>
      </c>
      <c r="S1579">
        <f>IFERROR(O1579/N1579,0)</f>
        <v/>
      </c>
      <c r="T1579" t="n">
        <v>0</v>
      </c>
      <c r="V1579" t="n">
        <v>0</v>
      </c>
    </row>
    <row r="1580">
      <c r="A1580">
        <f>Skills!A21</f>
        <v/>
      </c>
      <c r="B1580">
        <f>Skills!B21</f>
        <v/>
      </c>
      <c r="C1580">
        <f>TRUE</f>
        <v/>
      </c>
      <c r="D1580">
        <f>IF(Skills!C21=1,60+Inputs!$B$25+Inputs!$B$29,IF(Skills!C21=2,90+Inputs!$B$26+Inputs!$B$29,IF(Skills!C21=3,120+Inputs!$B$27+Inputs!$B$29,MAX(0,(Inputs!$B$3-100)*3)+Inputs!$B$28+Inputs!$B$29)))</f>
        <v/>
      </c>
      <c r="E1580">
        <f>INDEX(FactorTable!$B$2:$Y$301, MATCH(ROUND(MIN(300,MAX(1,D1580)),0), FactorTable!$A$2:$A$301,0), Skills!M21+1)</f>
        <v/>
      </c>
      <c r="F1580">
        <f>IF(Skills!N21=TRUE,(Skills!L21/10)*(E1580/1000),Skills!L21/10)+Skills!O21</f>
        <v/>
      </c>
      <c r="G1580">
        <f>Skills!G21*IF(Skills!H21&gt;0,INT(IF(Inputs!$B$38="pvp",MIN(Skills!I21,15),Skills!I21)/Skills!H21+0.000000001),1)</f>
        <v/>
      </c>
      <c r="H1580">
        <f>1-(1-Skills!J21/100)^Skills!K21</f>
        <v/>
      </c>
      <c r="I1580" t="inlineStr">
        <is>
          <t>1</t>
        </is>
      </c>
      <c r="J1580" t="inlineStr"/>
      <c r="K1580" t="inlineStr"/>
      <c r="L1580" t="inlineStr"/>
      <c r="M1580" t="inlineStr"/>
      <c r="N1580" t="inlineStr"/>
      <c r="O1580">
        <f>(1-Summary!$B$11)*T1580+Summary!$B$11*V1580</f>
        <v/>
      </c>
      <c r="P1580">
        <f>IF(B1604=0,0,O1580/B1604)</f>
        <v/>
      </c>
      <c r="Q1580">
        <f>IFERROR(1/(IF(Inputs!$B$38="pvp",15,MAX(0.1,Skills!D21-IF(TRUE=TRUE,Inputs!$B$32,0)))*(1-IF(AND(ArtifactsInput!$M$27,Inputs!$B$4="Chapter Hunt"),CHOOSE(ArtifactsInput!$N$27+1,20,24,28,32,36,40),0)/100)),0)</f>
        <v/>
      </c>
      <c r="R1580">
        <f>IF(AND(Inputs!$B$38&lt;&gt;"pvp",Inputs!$B$43&gt;0),IF(Inputs!$B$43&lt;=0,0,(INT(Inputs!$B$43/(IF(Inputs!$B$38="pvp",15,MAX(0.1,Skills!D21-IF(TRUE=TRUE,Inputs!$B$32,0)))*(1-IF(AND(ArtifactsInput!$M$27,Inputs!$B$4="Chapter Hunt"),CHOOSE(ArtifactsInput!$N$27+1,20,24,28,32,36,40),0)/100)))+1)),0)</f>
        <v/>
      </c>
      <c r="S1580">
        <f>IFERROR(O1580/N1580,0)</f>
        <v/>
      </c>
      <c r="T1580" t="n">
        <v>0</v>
      </c>
      <c r="V1580" t="n">
        <v>0</v>
      </c>
    </row>
    <row r="1581">
      <c r="A1581">
        <f>Skills!A22</f>
        <v/>
      </c>
      <c r="B1581">
        <f>Skills!B22</f>
        <v/>
      </c>
      <c r="C1581">
        <f>Inputs!$B$3&gt;=15</f>
        <v/>
      </c>
      <c r="D1581">
        <f>IF(Skills!C22=1,60+Inputs!$B$25+Inputs!$B$29,IF(Skills!C22=2,90+Inputs!$B$26+Inputs!$B$29,IF(Skills!C22=3,120+Inputs!$B$27+Inputs!$B$29,MAX(0,(Inputs!$B$3-100)*3)+Inputs!$B$28+Inputs!$B$29)))</f>
        <v/>
      </c>
      <c r="E1581">
        <f>INDEX(FactorTable!$B$2:$Y$301, MATCH(ROUND(MIN(300,MAX(1,D1581)),0), FactorTable!$A$2:$A$301,0), Skills!M22+1)</f>
        <v/>
      </c>
      <c r="F1581">
        <f>IF(Skills!N22=TRUE,(Skills!L22/10)*(E1581/1000),Skills!L22/10)+Skills!O22</f>
        <v/>
      </c>
      <c r="G1581">
        <f>Skills!G22*IF(Skills!H22&gt;0,INT(IF(Inputs!$B$38="pvp",MIN(Skills!I22,15),Skills!I22)/Skills!H22+0.000000001),1)</f>
        <v/>
      </c>
      <c r="H1581">
        <f>1-(1-Skills!J22/100)^Skills!K22</f>
        <v/>
      </c>
      <c r="I1581" t="inlineStr">
        <is>
          <t>1</t>
        </is>
      </c>
      <c r="J1581" t="inlineStr"/>
      <c r="K1581" t="inlineStr"/>
      <c r="L1581" t="inlineStr"/>
      <c r="M1581" t="inlineStr"/>
      <c r="N1581" t="inlineStr"/>
      <c r="O1581">
        <f>(1-Summary!$B$11)*T1581+Summary!$B$11*V1581</f>
        <v/>
      </c>
      <c r="P1581">
        <f>IF(B1604=0,0,O1581/B1604)</f>
        <v/>
      </c>
      <c r="Q1581" t="n">
        <v>0</v>
      </c>
      <c r="R1581" t="n">
        <v>0</v>
      </c>
      <c r="S1581">
        <f>IFERROR(O1581/N1581,0)</f>
        <v/>
      </c>
      <c r="T1581" t="n">
        <v>0</v>
      </c>
      <c r="V1581" t="n">
        <v>0</v>
      </c>
    </row>
    <row r="1582">
      <c r="A1582">
        <f>Skills!A23</f>
        <v/>
      </c>
      <c r="B1582">
        <f>Skills!B23</f>
        <v/>
      </c>
      <c r="C1582">
        <f>Inputs!$B$3&gt;=10</f>
        <v/>
      </c>
      <c r="D1582">
        <f>IF(Skills!C23=1,60+Inputs!$B$25+Inputs!$B$29,IF(Skills!C23=2,90+Inputs!$B$26+Inputs!$B$29,IF(Skills!C23=3,120+Inputs!$B$27+Inputs!$B$29,MAX(0,(Inputs!$B$3-100)*3)+Inputs!$B$28+Inputs!$B$29)))</f>
        <v/>
      </c>
      <c r="E1582">
        <f>INDEX(FactorTable!$B$2:$Y$301, MATCH(ROUND(MIN(300,MAX(1,D1582)),0), FactorTable!$A$2:$A$301,0), Skills!M23+1)</f>
        <v/>
      </c>
      <c r="F1582">
        <f>IF(Skills!N23=TRUE,(Skills!L23/10)*(E1582/1000),Skills!L23/10)+Skills!O23</f>
        <v/>
      </c>
      <c r="G1582">
        <f>Skills!G23*IF(Skills!H23&gt;0,INT(IF(Inputs!$B$38="pvp",MIN(Skills!I23,15),Skills!I23)/Skills!H23+0.000000001),1)</f>
        <v/>
      </c>
      <c r="H1582">
        <f>1-(1-Skills!J23/100)^Skills!K23</f>
        <v/>
      </c>
      <c r="I1582" t="inlineStr">
        <is>
          <t>1</t>
        </is>
      </c>
      <c r="J1582" t="inlineStr"/>
      <c r="K1582" t="inlineStr"/>
      <c r="L1582" t="inlineStr"/>
      <c r="M1582" t="inlineStr"/>
      <c r="N1582" t="inlineStr"/>
      <c r="O1582">
        <f>(1-Summary!$B$11)*T1582+Summary!$B$11*V1582</f>
        <v/>
      </c>
      <c r="P1582">
        <f>IF(B1604=0,0,O1582/B1604)</f>
        <v/>
      </c>
      <c r="Q1582" t="n">
        <v>0</v>
      </c>
      <c r="R1582" t="n">
        <v>0</v>
      </c>
      <c r="S1582">
        <f>IFERROR(O1582/N1582,0)</f>
        <v/>
      </c>
      <c r="T1582" t="n">
        <v>0</v>
      </c>
      <c r="V1582" t="n">
        <v>0</v>
      </c>
    </row>
    <row r="1583">
      <c r="A1583">
        <f>Skills!A24</f>
        <v/>
      </c>
      <c r="B1583">
        <f>Skills!B24</f>
        <v/>
      </c>
      <c r="C1583">
        <f>Inputs!$B$3&gt;=33</f>
        <v/>
      </c>
      <c r="D1583">
        <f>IF(Skills!C24=1,60+Inputs!$B$25+Inputs!$B$29,IF(Skills!C24=2,90+Inputs!$B$26+Inputs!$B$29,IF(Skills!C24=3,120+Inputs!$B$27+Inputs!$B$29,MAX(0,(Inputs!$B$3-100)*3)+Inputs!$B$28+Inputs!$B$29)))</f>
        <v/>
      </c>
      <c r="E1583">
        <f>INDEX(FactorTable!$B$2:$Y$301, MATCH(ROUND(MIN(300,MAX(1,D1583)),0), FactorTable!$A$2:$A$301,0), Skills!M24+1)</f>
        <v/>
      </c>
      <c r="F1583">
        <f>IF(Skills!N24=TRUE,(Skills!L24/10)*(E1583/1000),Skills!L24/10)+Skills!O24</f>
        <v/>
      </c>
      <c r="G1583">
        <f>Skills!G24*IF(Skills!H24&gt;0,INT(IF(Inputs!$B$38="pvp",MIN(Skills!I24,15),Skills!I24)/Skills!H24+0.000000001),1)</f>
        <v/>
      </c>
      <c r="H1583">
        <f>1-(1-Skills!J24/100)^Skills!K24</f>
        <v/>
      </c>
      <c r="I1583" t="inlineStr">
        <is>
          <t>1</t>
        </is>
      </c>
      <c r="J1583" t="inlineStr"/>
      <c r="K1583" t="inlineStr"/>
      <c r="L1583" t="inlineStr"/>
      <c r="M1583" t="inlineStr"/>
      <c r="N1583" t="inlineStr"/>
      <c r="O1583">
        <f>(1-Summary!$B$11)*T1583+Summary!$B$11*V1583</f>
        <v/>
      </c>
      <c r="P1583">
        <f>IF(B1604=0,0,O1583/B1604)</f>
        <v/>
      </c>
      <c r="Q1583" t="n">
        <v>0</v>
      </c>
      <c r="R1583" t="n">
        <v>0</v>
      </c>
      <c r="S1583">
        <f>IFERROR(O1583/N1583,0)</f>
        <v/>
      </c>
      <c r="T1583" t="n">
        <v>0</v>
      </c>
      <c r="V1583" t="n">
        <v>0</v>
      </c>
    </row>
    <row r="1584">
      <c r="A1584">
        <f>Skills!A25</f>
        <v/>
      </c>
      <c r="B1584">
        <f>Skills!B25</f>
        <v/>
      </c>
      <c r="C1584">
        <f>Inputs!$B$3&gt;=38</f>
        <v/>
      </c>
      <c r="D1584">
        <f>IF(Skills!C25=1,60+Inputs!$B$25+Inputs!$B$29,IF(Skills!C25=2,90+Inputs!$B$26+Inputs!$B$29,IF(Skills!C25=3,120+Inputs!$B$27+Inputs!$B$29,MAX(0,(Inputs!$B$3-100)*3)+Inputs!$B$28+Inputs!$B$29)))</f>
        <v/>
      </c>
      <c r="E1584">
        <f>INDEX(FactorTable!$B$2:$Y$301, MATCH(ROUND(MIN(300,MAX(1,D1584)),0), FactorTable!$A$2:$A$301,0), Skills!M25+1)</f>
        <v/>
      </c>
      <c r="F1584">
        <f>IF(Skills!N25=TRUE,(Skills!L25/10)*(E1584/1000),Skills!L25/10)+Skills!O25</f>
        <v/>
      </c>
      <c r="G1584">
        <f>Skills!G25*IF(Skills!H25&gt;0,INT(IF(Inputs!$B$38="pvp",MIN(Skills!I25,15),Skills!I25)/Skills!H25+0.000000001),1)</f>
        <v/>
      </c>
      <c r="H1584">
        <f>1-(1-Skills!J25/100)^Skills!K25</f>
        <v/>
      </c>
      <c r="I1584" t="inlineStr">
        <is>
          <t>1</t>
        </is>
      </c>
      <c r="J1584" t="inlineStr"/>
      <c r="K1584" t="inlineStr"/>
      <c r="L1584" t="inlineStr"/>
      <c r="M1584" t="inlineStr"/>
      <c r="N1584" t="inlineStr"/>
      <c r="O1584">
        <f>(1-Summary!$B$11)*T1584+Summary!$B$11*V1584</f>
        <v/>
      </c>
      <c r="P1584">
        <f>IF(B1604=0,0,O1584/B1604)</f>
        <v/>
      </c>
      <c r="Q1584" t="n">
        <v>0</v>
      </c>
      <c r="R1584" t="n">
        <v>0</v>
      </c>
      <c r="S1584">
        <f>IFERROR(O1584/N1584,0)</f>
        <v/>
      </c>
      <c r="T1584" t="n">
        <v>0</v>
      </c>
      <c r="V1584" t="n">
        <v>0</v>
      </c>
    </row>
    <row r="1585">
      <c r="A1585">
        <f>Skills!A26</f>
        <v/>
      </c>
      <c r="B1585">
        <f>Skills!B26</f>
        <v/>
      </c>
      <c r="C1585">
        <f>Inputs!$B$3&gt;=43</f>
        <v/>
      </c>
      <c r="D1585">
        <f>IF(Skills!C26=1,60+Inputs!$B$25+Inputs!$B$29,IF(Skills!C26=2,90+Inputs!$B$26+Inputs!$B$29,IF(Skills!C26=3,120+Inputs!$B$27+Inputs!$B$29,MAX(0,(Inputs!$B$3-100)*3)+Inputs!$B$28+Inputs!$B$29)))</f>
        <v/>
      </c>
      <c r="E1585">
        <f>INDEX(FactorTable!$B$2:$Y$301, MATCH(ROUND(MIN(300,MAX(1,D1585)),0), FactorTable!$A$2:$A$301,0), Skills!M26+1)</f>
        <v/>
      </c>
      <c r="F1585">
        <f>IF(Skills!N26=TRUE,(Skills!L26/10)*(E1585/1000),Skills!L26/10)+Skills!O26</f>
        <v/>
      </c>
      <c r="G1585">
        <f>Skills!G26*IF(Skills!H26&gt;0,INT(IF(Inputs!$B$38="pvp",MIN(Skills!I26,15),Skills!I26)/Skills!H26+0.000000001),1)</f>
        <v/>
      </c>
      <c r="H1585">
        <f>1-(1-Skills!J26/100)^Skills!K26</f>
        <v/>
      </c>
      <c r="I1585" t="inlineStr">
        <is>
          <t>1</t>
        </is>
      </c>
      <c r="J1585" t="inlineStr"/>
      <c r="K1585" t="inlineStr"/>
      <c r="L1585" t="inlineStr"/>
      <c r="M1585" t="inlineStr"/>
      <c r="N1585" t="inlineStr"/>
      <c r="O1585">
        <f>(1-Summary!$B$11)*T1585+Summary!$B$11*V1585</f>
        <v/>
      </c>
      <c r="P1585">
        <f>IF(B1604=0,0,O1585/B1604)</f>
        <v/>
      </c>
      <c r="Q1585" t="n">
        <v>0</v>
      </c>
      <c r="R1585" t="n">
        <v>0</v>
      </c>
      <c r="S1585">
        <f>IFERROR(O1585/N1585,0)</f>
        <v/>
      </c>
      <c r="T1585" t="n">
        <v>0</v>
      </c>
      <c r="V1585" t="n">
        <v>0</v>
      </c>
    </row>
    <row r="1586">
      <c r="A1586">
        <f>Skills!A27</f>
        <v/>
      </c>
      <c r="B1586">
        <f>Skills!B27</f>
        <v/>
      </c>
      <c r="C1586">
        <f>Inputs!$B$3&gt;=75</f>
        <v/>
      </c>
      <c r="D1586">
        <f>IF(Skills!C27=1,60+Inputs!$B$25+Inputs!$B$29,IF(Skills!C27=2,90+Inputs!$B$26+Inputs!$B$29,IF(Skills!C27=3,120+Inputs!$B$27+Inputs!$B$29,MAX(0,(Inputs!$B$3-100)*3)+Inputs!$B$28+Inputs!$B$29)))</f>
        <v/>
      </c>
      <c r="E1586">
        <f>INDEX(FactorTable!$B$2:$Y$301, MATCH(ROUND(MIN(300,MAX(1,D1586)),0), FactorTable!$A$2:$A$301,0), Skills!M27+1)</f>
        <v/>
      </c>
      <c r="F1586">
        <f>IF(Skills!N27=TRUE,(Skills!L27/10)*(E1586/1000),Skills!L27/10)+Skills!O27</f>
        <v/>
      </c>
      <c r="G1586">
        <f>Skills!G27*IF(Skills!H27&gt;0,INT(IF(Inputs!$B$38="pvp",MIN(Skills!I27,15),Skills!I27)/Skills!H27+0.000000001),1)</f>
        <v/>
      </c>
      <c r="H1586">
        <f>1-(1-Skills!J27/100)^Skills!K27</f>
        <v/>
      </c>
      <c r="I1586" t="inlineStr">
        <is>
          <t>1</t>
        </is>
      </c>
      <c r="J1586" t="inlineStr"/>
      <c r="K1586" t="inlineStr"/>
      <c r="L1586" t="inlineStr"/>
      <c r="M1586" t="inlineStr"/>
      <c r="N1586" t="inlineStr"/>
      <c r="O1586">
        <f>(1-Summary!$B$11)*T1586+Summary!$B$11*V1586</f>
        <v/>
      </c>
      <c r="P1586">
        <f>IF(B1604=0,0,O1586/B1604)</f>
        <v/>
      </c>
      <c r="Q1586" t="n">
        <v>0</v>
      </c>
      <c r="R1586" t="n">
        <v>0</v>
      </c>
      <c r="S1586">
        <f>IFERROR(O1586/N1586,0)</f>
        <v/>
      </c>
      <c r="T1586" t="n">
        <v>0</v>
      </c>
      <c r="V1586" t="n">
        <v>0</v>
      </c>
    </row>
    <row r="1587">
      <c r="A1587">
        <f>Skills!A28</f>
        <v/>
      </c>
      <c r="B1587">
        <f>Skills!B28</f>
        <v/>
      </c>
      <c r="C1587">
        <f>Inputs!$B$3&gt;=125</f>
        <v/>
      </c>
      <c r="D1587">
        <f>IF(Skills!C28=1,60+Inputs!$B$25+Inputs!$B$29,IF(Skills!C28=2,90+Inputs!$B$26+Inputs!$B$29,IF(Skills!C28=3,120+Inputs!$B$27+Inputs!$B$29,MAX(0,(Inputs!$B$3-100)*3)+Inputs!$B$28+Inputs!$B$29)))</f>
        <v/>
      </c>
      <c r="E1587">
        <f>INDEX(FactorTable!$B$2:$Y$301, MATCH(ROUND(MIN(300,MAX(1,D1587)),0), FactorTable!$A$2:$A$301,0), Skills!M28+1)</f>
        <v/>
      </c>
      <c r="F1587">
        <f>IF(Skills!N28=TRUE,(Skills!L28/10)*(E1587/1000),Skills!L28/10)+Skills!O28</f>
        <v/>
      </c>
      <c r="G1587">
        <f>Skills!G28*IF(Skills!H28&gt;0,INT(IF(Inputs!$B$38="pvp",MIN(Skills!I28,15),Skills!I28)/Skills!H28+0.000000001),1)</f>
        <v/>
      </c>
      <c r="H1587">
        <f>1-(1-Skills!J28/100)^Skills!K28</f>
        <v/>
      </c>
      <c r="I1587" t="inlineStr">
        <is>
          <t>1</t>
        </is>
      </c>
      <c r="J1587" t="inlineStr"/>
      <c r="K1587" t="inlineStr"/>
      <c r="L1587" t="inlineStr"/>
      <c r="M1587" t="inlineStr"/>
      <c r="N1587" t="inlineStr"/>
      <c r="O1587">
        <f>(1-Summary!$B$11)*T1587+Summary!$B$11*V1587</f>
        <v/>
      </c>
      <c r="P1587">
        <f>IF(B1604=0,0,O1587/B1604)</f>
        <v/>
      </c>
      <c r="Q1587" t="n">
        <v>0</v>
      </c>
      <c r="R1587" t="n">
        <v>0</v>
      </c>
      <c r="S1587">
        <f>IFERROR(O1587/N1587,0)</f>
        <v/>
      </c>
      <c r="T1587" t="n">
        <v>0</v>
      </c>
      <c r="V1587" t="n">
        <v>0</v>
      </c>
    </row>
    <row r="1588">
      <c r="A1588">
        <f>Skills!A29</f>
        <v/>
      </c>
      <c r="B1588">
        <f>Skills!B29</f>
        <v/>
      </c>
      <c r="C1588">
        <f>Inputs!$B$3&gt;=125</f>
        <v/>
      </c>
      <c r="D1588">
        <f>IF(Skills!C29=1,60+Inputs!$B$25+Inputs!$B$29,IF(Skills!C29=2,90+Inputs!$B$26+Inputs!$B$29,IF(Skills!C29=3,120+Inputs!$B$27+Inputs!$B$29,MAX(0,(Inputs!$B$3-100)*3)+Inputs!$B$28+Inputs!$B$29)))</f>
        <v/>
      </c>
      <c r="E1588">
        <f>INDEX(FactorTable!$B$2:$Y$301, MATCH(ROUND(MIN(300,MAX(1,D1588)),0), FactorTable!$A$2:$A$301,0), Skills!M29+1)</f>
        <v/>
      </c>
      <c r="F1588">
        <f>IF(Skills!N29=TRUE,(Skills!L29/10)*(E1588/1000),Skills!L29/10)+Skills!O29</f>
        <v/>
      </c>
      <c r="G1588">
        <f>Skills!G29*IF(Skills!H29&gt;0,INT(IF(Inputs!$B$38="pvp",MIN(Skills!I29,15),Skills!I29)/Skills!H29+0.000000001),1)</f>
        <v/>
      </c>
      <c r="H1588">
        <f>1-(1-Skills!J29/100)^Skills!K29</f>
        <v/>
      </c>
      <c r="I1588" t="inlineStr">
        <is>
          <t>1</t>
        </is>
      </c>
      <c r="J1588" t="inlineStr"/>
      <c r="K1588" t="inlineStr"/>
      <c r="L1588" t="inlineStr"/>
      <c r="M1588" t="inlineStr"/>
      <c r="N1588" t="inlineStr"/>
      <c r="O1588">
        <f>(1-Summary!$B$11)*T1588+Summary!$B$11*V1588</f>
        <v/>
      </c>
      <c r="P1588">
        <f>IF(B1604=0,0,O1588/B1604)</f>
        <v/>
      </c>
      <c r="Q1588" t="n">
        <v>0</v>
      </c>
      <c r="R1588" t="n">
        <v>0</v>
      </c>
      <c r="S1588">
        <f>IFERROR(O1588/N1588,0)</f>
        <v/>
      </c>
      <c r="T1588" t="n">
        <v>0</v>
      </c>
      <c r="V1588" t="n">
        <v>0</v>
      </c>
    </row>
    <row r="1589">
      <c r="A1589">
        <f>Skills!A30</f>
        <v/>
      </c>
      <c r="B1589">
        <f>Skills!B30</f>
        <v/>
      </c>
      <c r="C1589">
        <f>Inputs!$B$3&gt;=120</f>
        <v/>
      </c>
      <c r="D1589">
        <f>IF(Skills!C30=1,60+Inputs!$B$25+Inputs!$B$29,IF(Skills!C30=2,90+Inputs!$B$26+Inputs!$B$29,IF(Skills!C30=3,120+Inputs!$B$27+Inputs!$B$29,MAX(0,(Inputs!$B$3-100)*3)+Inputs!$B$28+Inputs!$B$29)))</f>
        <v/>
      </c>
      <c r="E1589">
        <f>INDEX(FactorTable!$B$2:$Y$301, MATCH(ROUND(MIN(300,MAX(1,D1589)),0), FactorTable!$A$2:$A$301,0), Skills!M30+1)</f>
        <v/>
      </c>
      <c r="F1589">
        <f>IF(Skills!N30=TRUE,(Skills!L30/10)*(E1589/1000),Skills!L30/10)+Skills!O30</f>
        <v/>
      </c>
      <c r="G1589">
        <f>Skills!G30*IF(Skills!H30&gt;0,INT(IF(Inputs!$B$38="pvp",MIN(Skills!I30,15),Skills!I30)/Skills!H30+0.000000001),1)</f>
        <v/>
      </c>
      <c r="H1589">
        <f>1-(1-Skills!J30/100)^Skills!K30</f>
        <v/>
      </c>
      <c r="I1589" t="inlineStr">
        <is>
          <t>1</t>
        </is>
      </c>
      <c r="J1589" t="inlineStr"/>
      <c r="K1589" t="inlineStr"/>
      <c r="L1589" t="inlineStr"/>
      <c r="M1589" t="inlineStr"/>
      <c r="N1589" t="inlineStr"/>
      <c r="O1589">
        <f>(1-Summary!$B$11)*T1589+Summary!$B$11*V1589</f>
        <v/>
      </c>
      <c r="P1589">
        <f>IF(B1604=0,0,O1589/B1604)</f>
        <v/>
      </c>
      <c r="Q1589" t="n">
        <v>0</v>
      </c>
      <c r="R1589" t="n">
        <v>0</v>
      </c>
      <c r="S1589">
        <f>IFERROR(O1589/N1589,0)</f>
        <v/>
      </c>
      <c r="T1589" t="n">
        <v>0</v>
      </c>
      <c r="V1589" t="n">
        <v>0</v>
      </c>
    </row>
    <row r="1590">
      <c r="A1590">
        <f>Skills!A31</f>
        <v/>
      </c>
      <c r="B1590">
        <f>Skills!B31</f>
        <v/>
      </c>
      <c r="C1590">
        <f>Inputs!$B$3&gt;=120</f>
        <v/>
      </c>
      <c r="D1590">
        <f>IF(Skills!C31=1,60+Inputs!$B$25+Inputs!$B$29,IF(Skills!C31=2,90+Inputs!$B$26+Inputs!$B$29,IF(Skills!C31=3,120+Inputs!$B$27+Inputs!$B$29,MAX(0,(Inputs!$B$3-100)*3)+Inputs!$B$28+Inputs!$B$29)))</f>
        <v/>
      </c>
      <c r="E1590">
        <f>INDEX(FactorTable!$B$2:$Y$301, MATCH(ROUND(MIN(300,MAX(1,D1590)),0), FactorTable!$A$2:$A$301,0), Skills!M31+1)</f>
        <v/>
      </c>
      <c r="F1590">
        <f>IF(Skills!N31=TRUE,(Skills!L31/10)*(E1590/1000),Skills!L31/10)+Skills!O31</f>
        <v/>
      </c>
      <c r="G1590">
        <f>Skills!G31*IF(Skills!H31&gt;0,INT(IF(Inputs!$B$38="pvp",MIN(Skills!I31,15),Skills!I31)/Skills!H31+0.000000001),1)</f>
        <v/>
      </c>
      <c r="H1590">
        <f>1-(1-Skills!J31/100)^Skills!K31</f>
        <v/>
      </c>
      <c r="I1590" t="inlineStr">
        <is>
          <t>1</t>
        </is>
      </c>
      <c r="J1590" t="inlineStr"/>
      <c r="K1590" t="inlineStr"/>
      <c r="L1590" t="inlineStr"/>
      <c r="M1590" t="inlineStr"/>
      <c r="N1590" t="inlineStr"/>
      <c r="O1590">
        <f>(1-Summary!$B$11)*T1590+Summary!$B$11*V1590</f>
        <v/>
      </c>
      <c r="P1590">
        <f>IF(B1604=0,0,O1590/B1604)</f>
        <v/>
      </c>
      <c r="Q1590" t="n">
        <v>0</v>
      </c>
      <c r="R1590" t="n">
        <v>0</v>
      </c>
      <c r="S1590">
        <f>IFERROR(O1590/N1590,0)</f>
        <v/>
      </c>
      <c r="T1590" t="n">
        <v>0</v>
      </c>
      <c r="V1590" t="n">
        <v>0</v>
      </c>
    </row>
    <row r="1591">
      <c r="A1591">
        <f>Skills!A32</f>
        <v/>
      </c>
      <c r="B1591">
        <f>Skills!B32</f>
        <v/>
      </c>
      <c r="C1591">
        <f>Inputs!$B$3&gt;=45</f>
        <v/>
      </c>
      <c r="D1591">
        <f>IF(Skills!C32=1,60+Inputs!$B$25+Inputs!$B$29,IF(Skills!C32=2,90+Inputs!$B$26+Inputs!$B$29,IF(Skills!C32=3,120+Inputs!$B$27+Inputs!$B$29,MAX(0,(Inputs!$B$3-100)*3)+Inputs!$B$28+Inputs!$B$29)))</f>
        <v/>
      </c>
      <c r="E1591">
        <f>INDEX(FactorTable!$B$2:$Y$301, MATCH(ROUND(MIN(300,MAX(1,D1591)),0), FactorTable!$A$2:$A$301,0), Skills!M32+1)</f>
        <v/>
      </c>
      <c r="F1591">
        <f>IF(Skills!N32=TRUE,(Skills!L32/10)*(E1591/1000),Skills!L32/10)+Skills!O32</f>
        <v/>
      </c>
      <c r="G1591">
        <f>Skills!G32*IF(Skills!H32&gt;0,INT(IF(Inputs!$B$38="pvp",MIN(Skills!I32,15),Skills!I32)/Skills!H32+0.000000001),1)</f>
        <v/>
      </c>
      <c r="H1591">
        <f>1-(1-Skills!J32/100)^Skills!K32</f>
        <v/>
      </c>
      <c r="I1591" t="inlineStr">
        <is>
          <t>1</t>
        </is>
      </c>
      <c r="J1591" t="inlineStr"/>
      <c r="K1591" t="inlineStr"/>
      <c r="L1591" t="inlineStr"/>
      <c r="M1591" t="inlineStr"/>
      <c r="N1591" t="inlineStr"/>
      <c r="O1591">
        <f>(1-Summary!$B$11)*T1591+Summary!$B$11*V1591</f>
        <v/>
      </c>
      <c r="P1591">
        <f>IF(B1604=0,0,O1591/B1604)</f>
        <v/>
      </c>
      <c r="Q1591" t="n">
        <v>0</v>
      </c>
      <c r="R1591" t="n">
        <v>0</v>
      </c>
      <c r="S1591">
        <f>IFERROR(O1591/N1591,0)</f>
        <v/>
      </c>
      <c r="T1591" t="n">
        <v>0</v>
      </c>
      <c r="V1591" t="n">
        <v>0</v>
      </c>
    </row>
    <row r="1593">
      <c r="A1593" t="inlineStr">
        <is>
          <t>Attack% Bucket Multiplier</t>
        </is>
      </c>
      <c r="B1593">
        <f>(1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4">
      <c r="A1594" t="inlineStr">
        <is>
          <t>Global Crit Rate Bonus %</t>
        </is>
      </c>
      <c r="B1594" t="n">
        <v>0</v>
      </c>
    </row>
    <row r="1595">
      <c r="A1595" t="inlineStr">
        <is>
          <t>Attack Speed Buff Bonus %</t>
        </is>
      </c>
      <c r="B1595">
        <f>((C1580=TRUE)*F1580*IF(AND(Inputs!$B$38&lt;&gt;"pvp",Inputs!$B$43&gt;0),(((R1580-1)*MIN((Skills!T21*(1+Inputs!$B$34/100)),(1/Q1580))+MIN((Skills!T21*(1+Inputs!$B$34/100)),MAX(0,Inputs!$B$43-((R1580-1)*(1/Q1580)))))/Inputs!$B$43),IF(Inputs!$B$38="pvp",MIN((Skills!T21*(1+Inputs!$B$34/100)),15)/15,MIN(1,(Skills!T21*(1+Inputs!$B$34/100))/(1/Q1580)))))</f>
        <v/>
      </c>
    </row>
    <row r="1596">
      <c r="A1596" t="inlineStr">
        <is>
          <t>Actions Per Second</t>
        </is>
      </c>
      <c r="B1596">
        <f>1+MIN(150,150*(1-(1-(Inputs!$B$11+((C1582=TRUE)*(F1582-Calc!F23))+((C1583=TRUE)*(F1583-Calc!F24)))/150)*(1-B1595/150)))/100</f>
        <v/>
      </c>
    </row>
    <row r="1597">
      <c r="A1597" t="inlineStr">
        <is>
          <t>Skill + Buff Cast Rate</t>
        </is>
      </c>
      <c r="B1597">
        <f>IF(AND(Inputs!$B$38&lt;&gt;"pvp",Inputs!$B$43&gt;0),SUMPRODUCT((Skills!E2:E32=TRUE)*(C1561:C1591=TRUE)*R1561:R1591*Skills!F2:F32)/Inputs!$B$43,SUMPRODUCT((Skills!E2:E32=TRUE)*(C1561:C1591=TRUE)*Q1561:Q1591*Skills!F2:F32))</f>
        <v/>
      </c>
    </row>
    <row r="1598">
      <c r="A1598" t="inlineStr">
        <is>
          <t>Arrow Stream Casts Per Second</t>
        </is>
      </c>
      <c r="B1598">
        <f>MAX(0,B1596-B1597)</f>
        <v/>
      </c>
    </row>
    <row r="1599">
      <c r="A1599" t="inlineStr">
        <is>
          <t>Global Critical Damage Bonus % (Sharp Eyes + Concentration)</t>
        </is>
      </c>
      <c r="B1599">
        <f>(C1577=TRUE)*F1577*IF(AND(Inputs!$B$38&lt;&gt;"pvp",Inputs!$B$43&gt;0),(((R1577-1)*MIN((Skills!T18*(1+Inputs!$B$34/100)),(1/Q1577))+MIN((Skills!T18*(1+Inputs!$B$34/100)),MAX(0,Inputs!$B$43-((R1577-1)*(1/Q1577)))))/Inputs!$B$43),IF(Inputs!$B$38="pvp",MIN((Skills!T18*(1+Inputs!$B$34/100)),15)/15,MIN(1,(Skills!T18*(1+Inputs!$B$34/100))/(1/Q1577))))+(C1578=TRUE)*7*F1578</f>
        <v/>
      </c>
    </row>
    <row r="1600">
      <c r="A1600" t="inlineStr">
        <is>
          <t>Global Final Damage Bonus % (Mortal Blow)</t>
        </is>
      </c>
      <c r="B1600">
        <f>(C1579=TRUE)*F1579</f>
        <v/>
      </c>
    </row>
    <row r="1601">
      <c r="A1601" t="inlineStr">
        <is>
          <t>Buff-Casting Startup Delay (s, fixed-duration only)</t>
        </is>
      </c>
      <c r="B1601">
        <f>IF(AND(Inputs!$B$38&lt;&gt;"pvp",Inputs!$B$43&gt;0),SUMPRODUCT((Skills!T2:T32&gt;0)*(Skills!E2:E32=TRUE)*(C1561:C1591=TRUE))/B1596,0)</f>
        <v/>
      </c>
    </row>
    <row r="1602">
      <c r="A1602" t="inlineStr">
        <is>
          <t>Boss-Only Total DPS (this block's swept value)</t>
        </is>
      </c>
      <c r="B1602">
        <f>SUM(T1561:T1591)</f>
        <v/>
      </c>
    </row>
    <row r="1603">
      <c r="A1603" t="inlineStr">
        <is>
          <t>Normal-Only Total DPS (this block's swept value)</t>
        </is>
      </c>
      <c r="B1603">
        <f>SUM(V1561:V1591)</f>
        <v/>
      </c>
    </row>
    <row r="1604">
      <c r="A1604" s="6" t="inlineStr">
        <is>
          <t>TOTAL DPS</t>
        </is>
      </c>
      <c r="B1604" s="6">
        <f>SUM(O1561:O1591)</f>
        <v/>
      </c>
    </row>
    <row r="1607">
      <c r="A1607" s="6" t="inlineStr">
        <is>
          <t>Stat: Arwen's Glass Shoes (Equip)</t>
        </is>
      </c>
    </row>
    <row r="1608">
      <c r="A1608" s="5" t="inlineStr">
        <is>
          <t>Key</t>
        </is>
      </c>
      <c r="B1608" s="5" t="inlineStr">
        <is>
          <t>Name</t>
        </is>
      </c>
      <c r="C1608" s="5" t="inlineStr">
        <is>
          <t>Unlocked</t>
        </is>
      </c>
      <c r="D1608" s="5" t="inlineStr">
        <is>
          <t>InputLevel</t>
        </is>
      </c>
      <c r="E1608" s="5" t="inlineStr">
        <is>
          <t>Factor</t>
        </is>
      </c>
      <c r="F1608" s="5" t="inlineStr">
        <is>
          <t>CoefficientPercent</t>
        </is>
      </c>
      <c r="G1608" s="5" t="inlineStr">
        <is>
          <t>EffectiveHits</t>
        </is>
      </c>
      <c r="H1608" s="5" t="inlineStr">
        <is>
          <t>ProcProbability</t>
        </is>
      </c>
      <c r="I1608" s="5" t="inlineStr">
        <is>
          <t>MapleHeroMultiplier</t>
        </is>
      </c>
      <c r="J1608" s="5" t="inlineStr">
        <is>
          <t>BaseDamage</t>
        </is>
      </c>
      <c r="K1608" s="5" t="inlineStr">
        <is>
          <t>BaseHitDamage</t>
        </is>
      </c>
      <c r="L1608" s="5" t="inlineStr">
        <is>
          <t>NonCritAvg</t>
        </is>
      </c>
      <c r="M1608" s="5" t="inlineStr">
        <is>
          <t>CritAvg</t>
        </is>
      </c>
      <c r="N1608" s="5" t="inlineStr">
        <is>
          <t>ExpectedDamage(perHit)</t>
        </is>
      </c>
      <c r="O1608" s="5" t="inlineStr">
        <is>
          <t>DPS</t>
        </is>
      </c>
      <c r="P1608" s="5" t="inlineStr">
        <is>
          <t>% of Total</t>
        </is>
      </c>
      <c r="Q1608" s="5" t="inlineStr">
        <is>
          <t>InvCooldown</t>
        </is>
      </c>
      <c r="R1608" s="5" t="inlineStr">
        <is>
          <t>CastsInFight</t>
        </is>
      </c>
      <c r="S1608" s="5" t="inlineStr">
        <is>
          <t>HitRate(perSec)</t>
        </is>
      </c>
      <c r="U1608" t="inlineStr">
        <is>
          <t>helpers</t>
        </is>
      </c>
    </row>
    <row r="1609">
      <c r="A1609">
        <f>Skills!A2</f>
        <v/>
      </c>
      <c r="B1609">
        <f>Skills!B2</f>
        <v/>
      </c>
      <c r="C1609">
        <f>Inputs!$B$3&gt;=100</f>
        <v/>
      </c>
      <c r="D1609" t="inlineStr"/>
      <c r="E1609" t="inlineStr"/>
      <c r="F1609">
        <f>U1611+Skills!O2</f>
        <v/>
      </c>
      <c r="G1609">
        <f>Skills!G2*IF(Skills!H2&gt;0,INT(IF(Inputs!$B$38="pvp",MIN(Skills!I2,15),Skills!I2)/Skills!H2+0.000000001),1)</f>
        <v/>
      </c>
      <c r="H1609">
        <f>1-(1-Skills!J2/100)^Skills!K2</f>
        <v/>
      </c>
      <c r="I1609" t="inlineStr">
        <is>
          <t>1</t>
        </is>
      </c>
      <c r="J1609">
        <f>((Inputs!$B$6*(1+Inputs!$B$7/100))+(((Inputs!$B$12*(1+Inputs!$B$13/100))-(Inputs!$B$12*(1+Inputs!$B$13/100)))+0.25*(Inputs!$B$14-Inputs!$B$14))*(1+Inputs!$B$7/100))*(F1609/100)</f>
        <v/>
      </c>
      <c r="K1609">
        <f>J1609*(1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1609)</f>
        <v/>
      </c>
      <c r="L1609">
        <f>K1609*(MIN(Inputs!$B$22+((C1633=TRUE)*(F1633-Calc!F26)),(Inputs!$B$23+((C1638=TRUE)*(F1638-Calc!F31))+(IF(ArtifactsInput!$M$15,CHOOSE(ArtifactsInput!$N$15+1,25,30,35,40,45,50)/100*(Inputs!$B$11-Inputs!$B$11),0))))/100+(Inputs!$B$23+((C1638=TRUE)*(F1638-Calc!F31))+(IF(ArtifactsInput!$M$15,CHOOSE(ArtifactsInput!$N$15+1,25,30,35,40,45,50)/100*(Inputs!$B$11-Inputs!$B$11),0)))/100)/2</f>
        <v/>
      </c>
      <c r="M1609">
        <f>L1609*(1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9">
        <f>L1609*(1-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1609*(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9">
        <f>(1-Summary!$B$11)*T1609+Summary!$B$11*V1609</f>
        <v/>
      </c>
      <c r="P1609">
        <f>IF(B1652=0,0,O1609/B1652)</f>
        <v/>
      </c>
      <c r="Q1609" t="n">
        <v>0</v>
      </c>
      <c r="R1609" t="n">
        <v>0</v>
      </c>
      <c r="S1609">
        <f>IFERROR(O1609/N1609,0)</f>
        <v/>
      </c>
      <c r="T1609">
        <f>IF(C1609,(Skills!G2*N1609*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9">
        <f>MAX(0,(Inputs!$B$3-100)*3)+Inputs!$B$28+Inputs!$B$29</f>
        <v/>
      </c>
      <c r="V1609">
        <f>IF(C1609,(Skills!G2*N1609*B1646)*IF(Inputs!$B$38="pvp",1,(1+(Inputs!$B$21+Skills!Q2+(IF(ArtifactsInput!$M$33,CHOOSE(ArtifactsInput!$N$33+1,30,36,42,48,54,60),0))+(IF(AND(ArtifactsInput!$M$35,Inputs!$B$4&lt;&gt;"Chapter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0">
      <c r="A1610">
        <f>Skills!A3</f>
        <v/>
      </c>
      <c r="B1610">
        <f>Skills!B3</f>
        <v/>
      </c>
      <c r="C1610">
        <f>Inputs!$B$3&gt;=50</f>
        <v/>
      </c>
      <c r="D1610">
        <f>IF(Skills!C3=1,60+Inputs!$B$25+Inputs!$B$29,IF(Skills!C3=2,90+Inputs!$B$26+Inputs!$B$29,IF(Skills!C3=3,120+Inputs!$B$27+Inputs!$B$29,MAX(0,(Inputs!$B$3-100)*3)+Inputs!$B$28+Inputs!$B$29)))</f>
        <v/>
      </c>
      <c r="E1610">
        <f>INDEX(FactorTable!$B$2:$Y$301, MATCH(ROUND(MIN(300,MAX(1,D1610)),0), FactorTable!$A$2:$A$301,0), Skills!M3+1)</f>
        <v/>
      </c>
      <c r="F1610">
        <f>IF(Skills!N3=TRUE,(Skills!L3/10)*(E1610/1000),Skills!L3/10)+Skills!O3</f>
        <v/>
      </c>
      <c r="G1610">
        <f>Skills!G3*IF(Skills!H3&gt;0,INT(IF(Inputs!$B$38="pvp",MIN(Skills!I3,15),Skills!I3)/Skills!H3+0.000000001),1)</f>
        <v/>
      </c>
      <c r="H1610">
        <f>1-(1-Skills!J3/100)^Skills!K3</f>
        <v/>
      </c>
      <c r="I1610" t="inlineStr">
        <is>
          <t>1</t>
        </is>
      </c>
      <c r="J1610">
        <f>((Inputs!$B$6*(1+Inputs!$B$7/100))+(((Inputs!$B$12*(1+Inputs!$B$13/100))-(Inputs!$B$12*(1+Inputs!$B$13/100)))+0.25*(Inputs!$B$14-Inputs!$B$14))*(1+Inputs!$B$7/100))*(F1610/100)</f>
        <v/>
      </c>
      <c r="K1610">
        <f>J1610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1611=TRUE,F1611,0)/100)*(1+(IF(Skills!A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1633=TRUE)*(F1633-Calc!F26)),(Inputs!$B$23+((C1638=TRUE)*(F1638-Calc!F31))+(IF(ArtifactsInput!$M$15,CHOOSE(ArtifactsInput!$N$15+1,25,30,35,40,45,50)/100*(Inputs!$B$11-Inputs!$B$11),0))))/100+(Inputs!$B$23+((C1638=TRUE)*(F1638-Calc!F31))+(IF(ArtifactsInput!$M$15,CHOOSE(ArtifactsInput!$N$15+1,25,30,35,40,45,50)/100*(Inputs!$B$11-Inputs!$B$11),0)))/100)/2</f>
        <v/>
      </c>
      <c r="M1610">
        <f>L1610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IF(B1652=0,0,O1610/B1652)</f>
        <v/>
      </c>
      <c r="Q1610">
        <f>IFERROR(1/(IF(Inputs!$B$38="pvp",15,MAX(0.1,1/B1644-IF(FALSE=TRUE,Inputs!$B$32,0)))*(1-IF(AND(ArtifactsInput!$M$27,Inputs!$B$4="Chapter Hunt"),CHOOSE(ArtifactsInput!$N$27+1,20,24,28,32,36,40),0)/100)),0)</f>
        <v/>
      </c>
      <c r="R1610">
        <f>IF(AND(Inputs!$B$38&lt;&gt;"pvp",Inputs!$B$43&gt;0),IF(MAX(0,Inputs!$B$43-B1649)&lt;=0,0,(INT(MAX(0,Inputs!$B$43-B1649)/(IF(Inputs!$B$38="pvp",15,MAX(0.1,1/B1644-IF(FALSE=TRUE,Inputs!$B$32,0)))*(1-IF(AND(ArtifactsInput!$M$27,Inputs!$B$4="Chapter Hunt"),CHOOSE(ArtifactsInput!$N$27+1,20,24,28,32,36,40),0)/100)))+1)),0)</f>
        <v/>
      </c>
      <c r="S1610">
        <f>IFERROR(O1610/N1610,0)</f>
        <v/>
      </c>
      <c r="T1610">
        <f>IF(C1610,(H1610*N1610*IF(AND(Inputs!$B$38&lt;&gt;"pvp",Inputs!$B$43&gt;0),((Skills!G3*((R1610-1)*IF(Skills!H3&gt;0,INT(Skills!I3/Skills!H3+0.000000001),1)+IF(Skills!H3&gt;0,INT(MIN(Skills!I3,MAX(0,MAX(0,Inputs!$B$43-B1649)-((R1610-1)*(IF(Inputs!$B$38="pvp",15,MAX(0.1,1/B1644-IF(FALSE=TRUE,Inputs!$B$32,0)))*(1-IF(AND(ArtifactsInput!$M$27,Inputs!$B$4="Chapter Hunt"),CHOOSE(ArtifactsInput!$N$27+1,20,24,28,32,36,40),0)/100)))))/Skills!H3+0.000000001),1)))/Inputs!$B$43),G1610*Q1610)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0">
        <f>INDEX(FactorTable!$B$2:$Y$301, MATCH(ROUND(MIN(300,MAX(1,U1609)),0), FactorTable!$A$2:$A$301,0), 22)</f>
        <v/>
      </c>
      <c r="V1610">
        <f>IF(C1610,(H1610*N1610*IF(AND(Inputs!$B$38&lt;&gt;"pvp",Inputs!$B$43&gt;0),((Skills!G3*((R1610-1)*IF(Skills!H3&gt;0,INT(Skills!I3/Skills!H3+0.000000001),1)+IF(Skills!H3&gt;0,INT(MIN(Skills!I3,MAX(0,MAX(0,Inputs!$B$43-B1649)-((R1610-1)*(IF(Inputs!$B$38="pvp",15,MAX(0.1,1/B1644-IF(FALSE=TRUE,Inputs!$B$32,0)))*(1-IF(AND(ArtifactsInput!$M$27,Inputs!$B$4="Chapter Hunt"),CHOOSE(ArtifactsInput!$N$27+1,20,24,28,32,36,40),0)/100)))))/Skills!H3+0.000000001),1)))/Inputs!$B$43),G1610*Q1610))*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Skills!A4</f>
        <v/>
      </c>
      <c r="B1611">
        <f>Skills!B4</f>
        <v/>
      </c>
      <c r="C1611">
        <f>Inputs!$B$3&gt;=105</f>
        <v/>
      </c>
      <c r="D1611">
        <f>IF(Skills!C4=1,60+Inputs!$B$25+Inputs!$B$29,IF(Skills!C4=2,90+Inputs!$B$26+Inputs!$B$29,IF(Skills!C4=3,120+Inputs!$B$27+Inputs!$B$29,MAX(0,(Inputs!$B$3-100)*3)+Inputs!$B$28+Inputs!$B$29)))</f>
        <v/>
      </c>
      <c r="E1611">
        <f>INDEX(FactorTable!$B$2:$Y$301, MATCH(ROUND(MIN(300,MAX(1,D1611)),0), FactorTable!$A$2:$A$301,0), Skills!M4+1)</f>
        <v/>
      </c>
      <c r="F1611">
        <f>IF(Skills!N4=TRUE,(Skills!L4/10)*(E1611/1000),Skills!L4/10)+Skills!O4</f>
        <v/>
      </c>
      <c r="G1611" t="inlineStr"/>
      <c r="H1611" t="inlineStr"/>
      <c r="I1611" t="inlineStr">
        <is>
          <t>1</t>
        </is>
      </c>
      <c r="J1611" t="inlineStr"/>
      <c r="K1611" t="inlineStr"/>
      <c r="L1611" t="inlineStr"/>
      <c r="M1611" t="inlineStr"/>
      <c r="N1611" t="inlineStr"/>
      <c r="O1611" t="inlineStr"/>
      <c r="P1611" t="inlineStr"/>
      <c r="Q1611" t="inlineStr"/>
      <c r="R1611" t="inlineStr"/>
      <c r="S1611" t="inlineStr"/>
      <c r="T1611" t="inlineStr"/>
      <c r="U1611">
        <f>290*U1610/1000</f>
        <v/>
      </c>
      <c r="V1611" t="inlineStr"/>
    </row>
    <row r="1612">
      <c r="A1612">
        <f>Skills!A5</f>
        <v/>
      </c>
      <c r="B1612">
        <f>Skills!B5</f>
        <v/>
      </c>
      <c r="C1612">
        <f>Inputs!$B$3&gt;=35</f>
        <v/>
      </c>
      <c r="D1612">
        <f>IF(Skills!C5=1,60+Inputs!$B$25+Inputs!$B$29,IF(Skills!C5=2,90+Inputs!$B$26+Inputs!$B$29,IF(Skills!C5=3,120+Inputs!$B$27+Inputs!$B$29,MAX(0,(Inputs!$B$3-100)*3)+Inputs!$B$28+Inputs!$B$29)))</f>
        <v/>
      </c>
      <c r="E1612">
        <f>INDEX(FactorTable!$B$2:$Y$301, MATCH(ROUND(MIN(300,MAX(1,D1612)),0), FactorTable!$A$2:$A$301,0), Skills!M5+1)</f>
        <v/>
      </c>
      <c r="F1612">
        <f>IF(Skills!N5=TRUE,(Skills!L5/10)*(E1612/1000),Skills!L5/10)+Skills!O5</f>
        <v/>
      </c>
      <c r="G1612">
        <f>Skills!G5*IF(Skills!H5&gt;0,INT(IF(Inputs!$B$38="pvp",MIN(Skills!I5,15),Skills!I5)/Skills!H5+0.000000001),1)</f>
        <v/>
      </c>
      <c r="H1612">
        <f>1-(1-Skills!J5/100)^Skills!K5</f>
        <v/>
      </c>
      <c r="I1612" t="inlineStr">
        <is>
          <t>1</t>
        </is>
      </c>
      <c r="J1612">
        <f>((Inputs!$B$6*(1+Inputs!$B$7/100))+(((Inputs!$B$12*(1+Inputs!$B$13/100))-(Inputs!$B$12*(1+Inputs!$B$13/100)))+0.25*(Inputs!$B$14-Inputs!$B$14))*(1+Inputs!$B$7/100))*(F1612/100)</f>
        <v/>
      </c>
      <c r="K1612">
        <f>J1612*(1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1619=TRUE,F1619,0)/100)*(1+(IF(Skills!A5="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1633=TRUE)*(F1633-Calc!F26)),(Inputs!$B$23+((C1638=TRUE)*(F1638-Calc!F31))+(IF(ArtifactsInput!$M$15,CHOOSE(ArtifactsInput!$N$15+1,25,30,35,40,45,50)/100*(Inputs!$B$11-Inputs!$B$11),0))))/100+(Inputs!$B$23+((C1638=TRUE)*(F1638-Calc!F31))+(IF(ArtifactsInput!$M$15,CHOOSE(ArtifactsInput!$N$15+1,25,30,35,40,45,50)/100*(Inputs!$B$11-Inputs!$B$11),0)))/100)/2</f>
        <v/>
      </c>
      <c r="M1612">
        <f>L1612*(1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IF(B1652=0,0,O1612/B1652)</f>
        <v/>
      </c>
      <c r="Q1612">
        <f>IFERROR(1/(IF(Inputs!$B$38="pvp",15,MAX(0.1,Skills!D5-IF(TRUE=TRUE,Inputs!$B$32,0)))*(1-IF(AND(ArtifactsInput!$M$27,Inputs!$B$4="Chapter Hunt"),CHOOSE(ArtifactsInput!$N$27+1,20,24,28,32,36,40),0)/100)),0)</f>
        <v/>
      </c>
      <c r="R1612">
        <f>IF(AND(Inputs!$B$38&lt;&gt;"pvp",Inputs!$B$43&gt;0),IF(MAX(0,Inputs!$B$43-B1649)&lt;=0,0,(INT(MAX(0,Inputs!$B$43-B1649)/(IF(Inputs!$B$38="pvp",15,MAX(0.1,Skills!D5-IF(TRUE=TRUE,Inputs!$B$32,0)))*(1-IF(AND(ArtifactsInput!$M$27,Inputs!$B$4="Chapter Hunt"),CHOOSE(ArtifactsInput!$N$27+1,20,24,28,32,36,40),0)/100)))+1)),0)</f>
        <v/>
      </c>
      <c r="S1612">
        <f>IFERROR(O1612/N1612,0)</f>
        <v/>
      </c>
      <c r="T1612">
        <f>IF(C1612,(H1612*N1612*IF(AND(Inputs!$B$38&lt;&gt;"pvp",Inputs!$B$43&gt;0),((Skills!G5*((R1612-1)*IF(Skills!H5&gt;0,INT(Skills!I5/Skills!H5+0.000000001),1)+IF(Skills!H5&gt;0,INT(MIN(Skills!I5,MAX(0,MAX(0,Inputs!$B$43-B1649)-((R1612-1)*(IF(Inputs!$B$38="pvp",15,MAX(0.1,Skills!D5-IF(TRUE=TRUE,Inputs!$B$32,0)))*(1-IF(AND(ArtifactsInput!$M$27,Inputs!$B$4="Chapter Hunt"),CHOOSE(ArtifactsInput!$N$27+1,20,24,28,32,36,40),0)/100)))))/Skills!H5+0.000000001),1)))/Inputs!$B$43),G1612*Q1612)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5*((R1612-1)*IF(Skills!H5&gt;0,INT(Skills!I5/Skills!H5+0.000000001),1)+IF(Skills!H5&gt;0,INT(MIN(Skills!I5,MAX(0,MAX(0,Inputs!$B$43-B1649)-((R1612-1)*(IF(Inputs!$B$38="pvp",15,MAX(0.1,Skills!D5-IF(TRUE=TRUE,Inputs!$B$32,0)))*(1-IF(AND(ArtifactsInput!$M$27,Inputs!$B$4="Chapter Hunt"),CHOOSE(ArtifactsInput!$N$27+1,20,24,28,32,36,40),0)/100)))))/Skills!H5+0.000000001),1)))/Inputs!$B$43),G1612*Q1612))*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Skills!A6</f>
        <v/>
      </c>
      <c r="B1613">
        <f>Skills!B6</f>
        <v/>
      </c>
      <c r="C1613">
        <f>Inputs!$B$3&gt;=40</f>
        <v/>
      </c>
      <c r="D1613">
        <f>IF(Skills!C6=1,60+Inputs!$B$25+Inputs!$B$29,IF(Skills!C6=2,90+Inputs!$B$26+Inputs!$B$29,IF(Skills!C6=3,120+Inputs!$B$27+Inputs!$B$29,MAX(0,(Inputs!$B$3-100)*3)+Inputs!$B$28+Inputs!$B$29)))</f>
        <v/>
      </c>
      <c r="E1613">
        <f>INDEX(FactorTable!$B$2:$Y$301, MATCH(ROUND(MIN(300,MAX(1,D1613)),0), FactorTable!$A$2:$A$301,0), Skills!M6+1)</f>
        <v/>
      </c>
      <c r="F1613">
        <f>IF(Skills!N6=TRUE,(Skills!L6/10)*(E1613/1000),Skills!L6/10)+Skills!O6</f>
        <v/>
      </c>
      <c r="G1613">
        <f>Skills!G6*IF(Skills!H6&gt;0,INT(IF(Inputs!$B$38="pvp",MIN(Skills!I6,15),Skills!I6)/Skills!H6+0.000000001),1)</f>
        <v/>
      </c>
      <c r="H1613">
        <f>1-(1-Skills!J6/100)^Skills!K6</f>
        <v/>
      </c>
      <c r="I1613" t="inlineStr">
        <is>
          <t>1</t>
        </is>
      </c>
      <c r="J1613">
        <f>((Inputs!$B$6*(1+Inputs!$B$7/100))+(((Inputs!$B$12*(1+Inputs!$B$13/100))-(Inputs!$B$12*(1+Inputs!$B$13/100)))+0.25*(Inputs!$B$14-Inputs!$B$14))*(1+Inputs!$B$7/100))*(F1613/100)</f>
        <v/>
      </c>
      <c r="K1613">
        <f>J1613*(1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1614=TRUE,F1614,0)/100)*(1+(IF(Skills!A6="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26)),(Inputs!$B$23+((C1638=TRUE)*(F1638-Calc!F31))+(IF(ArtifactsInput!$M$15,CHOOSE(ArtifactsInput!$N$15+1,25,30,35,40,45,50)/100*(Inputs!$B$11-Inputs!$B$11),0))))/100+(Inputs!$B$23+((C1638=TRUE)*(F1638-Calc!F31))+(IF(ArtifactsInput!$M$15,CHOOSE(ArtifactsInput!$N$15+1,25,30,35,40,45,50)/100*(Inputs!$B$11-Inputs!$B$11),0)))/100)/2</f>
        <v/>
      </c>
      <c r="M1613">
        <f>L1613*(1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f>IFERROR(1/(IF(Inputs!$B$38="pvp",15,MAX(0.1,1-0.4*MIN(1,(B1644-1)/1.5)-IF(FALSE=TRUE,Inputs!$B$32,0)))*(1-IF(AND(ArtifactsInput!$M$27,Inputs!$B$4="Chapter Hunt"),CHOOSE(ArtifactsInput!$N$27+1,20,24,28,32,36,40),0)/100)),0)</f>
        <v/>
      </c>
      <c r="R1613">
        <f>IF(AND(Inputs!$B$38&lt;&gt;"pvp",Inputs!$B$43&gt;0),IF(MAX(0,Inputs!$B$43-B1649)&lt;=0,0,(INT(MAX(0,Inputs!$B$43-B1649)/(IF(Inputs!$B$38="pvp",15,MAX(0.1,1-0.4*MIN(1,(B1644-1)/1.5)-IF(FALSE=TRUE,Inputs!$B$32,0)))*(1-IF(AND(ArtifactsInput!$M$27,Inputs!$B$4="Chapter Hunt"),CHOOSE(ArtifactsInput!$N$27+1,20,24,28,32,36,40),0)/100)))+1)),0)</f>
        <v/>
      </c>
      <c r="S1613">
        <f>IFERROR(O1613/N1613,0)</f>
        <v/>
      </c>
      <c r="T1613">
        <f>IF(C1613,(H1613*N1613*IF(AND(Inputs!$B$38&lt;&gt;"pvp",Inputs!$B$43&gt;0),((Skills!G6*((R1613-1)*IF(Skills!H6&gt;0,INT(Skills!I6/Skills!H6+0.000000001),1)+IF(Skills!H6&gt;0,INT(MIN(Skills!I6,MAX(0,MAX(0,Inputs!$B$43-B1649)-((R1613-1)*(IF(Inputs!$B$38="pvp",15,MAX(0.1,1-0.4*MIN(1,(B1644-1)/1.5)-IF(FALSE=TRUE,Inputs!$B$32,0)))*(1-IF(AND(ArtifactsInput!$M$27,Inputs!$B$4="Chapter Hunt"),CHOOSE(ArtifactsInput!$N$27+1,20,24,28,32,36,40),0)/100)))))/Skills!H6+0.000000001),1)))/Inputs!$B$43),G1613*Q1613)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3">
        <f>IF(C1613,(H1613*N1613*IF(AND(Inputs!$B$38&lt;&gt;"pvp",Inputs!$B$43&gt;0),((Skills!G6*((R1613-1)*IF(Skills!H6&gt;0,INT(Skills!I6/Skills!H6+0.000000001),1)+IF(Skills!H6&gt;0,INT(MIN(Skills!I6,MAX(0,MAX(0,Inputs!$B$43-B1649)-((R1613-1)*(IF(Inputs!$B$38="pvp",15,MAX(0.1,1-0.4*MIN(1,(B1644-1)/1.5)-IF(FALSE=TRUE,Inputs!$B$32,0)))*(1-IF(AND(ArtifactsInput!$M$27,Inputs!$B$4="Chapter Hunt"),CHOOSE(ArtifactsInput!$N$27+1,20,24,28,32,36,40),0)/100)))))/Skills!H6+0.000000001),1)))/Inputs!$B$43),G1613*Q1613))*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Skills!A7</f>
        <v/>
      </c>
      <c r="B1614">
        <f>Skills!B7</f>
        <v/>
      </c>
      <c r="C1614">
        <f>Inputs!$B$3&gt;=107</f>
        <v/>
      </c>
      <c r="D1614">
        <f>IF(Skills!C7=1,60+Inputs!$B$25+Inputs!$B$29,IF(Skills!C7=2,90+Inputs!$B$26+Inputs!$B$29,IF(Skills!C7=3,120+Inputs!$B$27+Inputs!$B$29,MAX(0,(Inputs!$B$3-100)*3)+Inputs!$B$28+Inputs!$B$29)))</f>
        <v/>
      </c>
      <c r="E1614">
        <f>INDEX(FactorTable!$B$2:$Y$301, MATCH(ROUND(MIN(300,MAX(1,D1614)),0), FactorTable!$A$2:$A$301,0), Skills!M7+1)</f>
        <v/>
      </c>
      <c r="F1614">
        <f>IF(Skills!N7=TRUE,(Skills!L7/10)*(E1614/1000),Skills!L7/10)+Skills!O7</f>
        <v/>
      </c>
      <c r="G1614" t="inlineStr"/>
      <c r="H1614" t="inlineStr"/>
      <c r="I1614" t="inlineStr">
        <is>
          <t>1</t>
        </is>
      </c>
      <c r="J1614" t="inlineStr"/>
      <c r="K1614" t="inlineStr"/>
      <c r="L1614" t="inlineStr"/>
      <c r="M1614" t="inlineStr"/>
      <c r="N1614" t="inlineStr"/>
      <c r="O1614" t="inlineStr"/>
      <c r="P1614" t="inlineStr"/>
      <c r="Q1614" t="inlineStr"/>
      <c r="R1614" t="inlineStr"/>
      <c r="S1614" t="inlineStr"/>
      <c r="T1614" t="inlineStr"/>
      <c r="V1614" t="inlineStr"/>
    </row>
    <row r="1615">
      <c r="A1615">
        <f>Skills!A8</f>
        <v/>
      </c>
      <c r="B1615">
        <f>Skills!B8</f>
        <v/>
      </c>
      <c r="C1615">
        <f>Inputs!$B$3&gt;=130</f>
        <v/>
      </c>
      <c r="D1615">
        <f>IF(Skills!C8=1,60+Inputs!$B$25+Inputs!$B$29,IF(Skills!C8=2,90+Inputs!$B$26+Inputs!$B$29,IF(Skills!C8=3,120+Inputs!$B$27+Inputs!$B$29,MAX(0,(Inputs!$B$3-100)*3)+Inputs!$B$28+Inputs!$B$29)))</f>
        <v/>
      </c>
      <c r="E1615">
        <f>INDEX(FactorTable!$B$2:$Y$301, MATCH(ROUND(MIN(300,MAX(1,D1615)),0), FactorTable!$A$2:$A$301,0), Skills!M8+1)</f>
        <v/>
      </c>
      <c r="F1615">
        <f>IF(Skills!N8=TRUE,(Skills!L8/10)*(E1615/1000),Skills!L8/10)+Skills!O8</f>
        <v/>
      </c>
      <c r="G1615">
        <f>Skills!G8*IF(Skills!H8&gt;0,INT(IF(Inputs!$B$38="pvp",MIN(Skills!I8,15),Skills!I8)/Skills!H8+0.000000001),1)</f>
        <v/>
      </c>
      <c r="H1615">
        <f>1-(1-Skills!J8/100)^Skills!K8</f>
        <v/>
      </c>
      <c r="I1615" t="inlineStr">
        <is>
          <t>1</t>
        </is>
      </c>
      <c r="J1615">
        <f>((Inputs!$B$6*(1+Inputs!$B$7/100))+(((Inputs!$B$12*(1+Inputs!$B$13/100))-(Inputs!$B$12*(1+Inputs!$B$13/100)))+0.25*(Inputs!$B$14-Inputs!$B$14))*(1+Inputs!$B$7/100))*(F1615/100)</f>
        <v/>
      </c>
      <c r="K1615">
        <f>J1615*(1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26)),(Inputs!$B$23+((C1638=TRUE)*(F1638-Calc!F31))+(IF(ArtifactsInput!$M$15,CHOOSE(ArtifactsInput!$N$15+1,25,30,35,40,45,50)/100*(Inputs!$B$11-Inputs!$B$11),0))))/100+(Inputs!$B$23+((C1638=TRUE)*(F1638-Calc!F31))+(IF(ArtifactsInput!$M$15,CHOOSE(ArtifactsInput!$N$15+1,25,30,35,40,45,50)/100*(Inputs!$B$11-Inputs!$B$11),0)))/100)/2</f>
        <v/>
      </c>
      <c r="M1615">
        <f>L1615*(1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IFERROR(1/(IF(Inputs!$B$38="pvp",15,MAX(0.1,1-0.4*MIN(1,(B1644-1)/1.5)-IF(FALSE=TRUE,Inputs!$B$32,0)))*(1-IF(AND(ArtifactsInput!$M$27,Inputs!$B$4="Chapter Hunt"),CHOOSE(ArtifactsInput!$N$27+1,20,24,28,32,36,40),0)/100)),0)</f>
        <v/>
      </c>
      <c r="R1615">
        <f>IF(AND(Inputs!$B$38&lt;&gt;"pvp",Inputs!$B$43&gt;0),IF(MAX(0,Inputs!$B$43-B1649)&lt;=0,0,(INT(MAX(0,Inputs!$B$43-B1649)/(IF(Inputs!$B$38="pvp",15,MAX(0.1,1-0.4*MIN(1,(B1644-1)/1.5)-IF(FALSE=TRUE,Inputs!$B$32,0)))*(1-IF(AND(ArtifactsInput!$M$27,Inputs!$B$4="Chapter Hunt"),CHOOSE(ArtifactsInput!$N$27+1,20,24,28,32,36,40),0)/100)))+1)),0)</f>
        <v/>
      </c>
      <c r="S1615">
        <f>IFERROR(O1615/N1615,0)</f>
        <v/>
      </c>
      <c r="T1615">
        <f>IF(C1615,(H1615*N1615*IF(AND(Inputs!$B$38&lt;&gt;"pvp",Inputs!$B$43&gt;0),((Skills!G8*((R1615-1)*IF(Skills!H8&gt;0,INT(Skills!I8/Skills!H8+0.000000001),1)+IF(Skills!H8&gt;0,INT(MIN(Skills!I8,MAX(0,MAX(0,Inputs!$B$43-B1649)-((R1615-1)*(IF(Inputs!$B$38="pvp",15,MAX(0.1,1-0.4*MIN(1,(B1644-1)/1.5)-IF(FALSE=TRUE,Inputs!$B$32,0)))*(1-IF(AND(ArtifactsInput!$M$27,Inputs!$B$4="Chapter Hunt"),CHOOSE(ArtifactsInput!$N$27+1,20,24,28,32,36,40),0)/100)))))/Skills!H8+0.000000001),1)))/Inputs!$B$43),G1615*Q1615)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5">
        <f>IF(C1615,(H1615*N1615*IF(AND(Inputs!$B$38&lt;&gt;"pvp",Inputs!$B$43&gt;0),((Skills!G8*((R1615-1)*IF(Skills!H8&gt;0,INT(Skills!I8/Skills!H8+0.000000001),1)+IF(Skills!H8&gt;0,INT(MIN(Skills!I8,MAX(0,MAX(0,Inputs!$B$43-B1649)-((R1615-1)*(IF(Inputs!$B$38="pvp",15,MAX(0.1,1-0.4*MIN(1,(B1644-1)/1.5)-IF(FALSE=TRUE,Inputs!$B$32,0)))*(1-IF(AND(ArtifactsInput!$M$27,Inputs!$B$4="Chapter Hunt"),CHOOSE(ArtifactsInput!$N$27+1,20,24,28,32,36,40),0)/100)))))/Skills!H8+0.000000001),1)))/Inputs!$B$43),G1615*Q1615))*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Skills!A9</f>
        <v/>
      </c>
      <c r="B1616">
        <f>Skills!B9</f>
        <v/>
      </c>
      <c r="C1616">
        <f>Inputs!$B$3&gt;=69</f>
        <v/>
      </c>
      <c r="D1616">
        <f>IF(Skills!C9=1,60+Inputs!$B$25+Inputs!$B$29,IF(Skills!C9=2,90+Inputs!$B$26+Inputs!$B$29,IF(Skills!C9=3,120+Inputs!$B$27+Inputs!$B$29,MAX(0,(Inputs!$B$3-100)*3)+Inputs!$B$28+Inputs!$B$29)))</f>
        <v/>
      </c>
      <c r="E1616">
        <f>INDEX(FactorTable!$B$2:$Y$301, MATCH(ROUND(MIN(300,MAX(1,D1616)),0), FactorTable!$A$2:$A$301,0), Skills!M9+1)</f>
        <v/>
      </c>
      <c r="F1616">
        <f>IF(Skills!N9=TRUE,(Skills!L9/10)*(E1616/1000),Skills!L9/10)+Skills!O9</f>
        <v/>
      </c>
      <c r="G1616">
        <f>Skills!G9*IF(Skills!H9&gt;0,INT(IF(Inputs!$B$38="pvp",MIN(Skills!I9,15),Skills!I9)/Skills!H9+0.000000001),1)</f>
        <v/>
      </c>
      <c r="H1616">
        <f>1-(1-Skills!J9/100)^Skills!K9</f>
        <v/>
      </c>
      <c r="I1616" t="inlineStr">
        <is>
          <t>1</t>
        </is>
      </c>
      <c r="J1616">
        <f>((Inputs!$B$6*(1+Inputs!$B$7/100))+(((Inputs!$B$12*(1+Inputs!$B$13/100))-(Inputs!$B$12*(1+Inputs!$B$13/100)))+0.25*(Inputs!$B$14-Inputs!$B$14))*(1+Inputs!$B$7/100))*(F1616/100)</f>
        <v/>
      </c>
      <c r="K1616">
        <f>J1616*(1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1619=TRUE,F1619,0)/100)*(1+(IF(Skills!A9="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26)),(Inputs!$B$23+((C1638=TRUE)*(F1638-Calc!F31))+(IF(ArtifactsInput!$M$15,CHOOSE(ArtifactsInput!$N$15+1,25,30,35,40,45,50)/100*(Inputs!$B$11-Inputs!$B$11),0))))/100+(Inputs!$B$23+((C1638=TRUE)*(F1638-Calc!F31))+(IF(ArtifactsInput!$M$15,CHOOSE(ArtifactsInput!$N$15+1,25,30,35,40,45,50)/100*(Inputs!$B$11-Inputs!$B$11),0)))/100)/2</f>
        <v/>
      </c>
      <c r="M1616">
        <f>L1616*(1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IFERROR(1/(IF(Inputs!$B$38="pvp",15,MAX(0.1,Skills!D9-IF(TRUE=TRUE,Inputs!$B$32,0)))*(1-IF(AND(ArtifactsInput!$M$27,Inputs!$B$4="Chapter Hunt"),CHOOSE(ArtifactsInput!$N$27+1,20,24,28,32,36,40),0)/100)),0)</f>
        <v/>
      </c>
      <c r="R1616">
        <f>IF(AND(Inputs!$B$38&lt;&gt;"pvp",Inputs!$B$43&gt;0),IF(MAX(0,Inputs!$B$43-B1649)&lt;=0,0,(INT(MAX(0,Inputs!$B$43-B1649)/(IF(Inputs!$B$38="pvp",15,MAX(0.1,Skills!D9-IF(TRUE=TRUE,Inputs!$B$32,0)))*(1-IF(AND(ArtifactsInput!$M$27,Inputs!$B$4="Chapter Hunt"),CHOOSE(ArtifactsInput!$N$27+1,20,24,28,32,36,40),0)/100)))+1)),0)</f>
        <v/>
      </c>
      <c r="S1616">
        <f>IFERROR(O1616/N1616,0)</f>
        <v/>
      </c>
      <c r="T1616">
        <f>IF(C1616,(H1616*N1616*IF(AND(Inputs!$B$38&lt;&gt;"pvp",Inputs!$B$43&gt;0),((Skills!G9*((R1616-1)*IF(Skills!H9&gt;0,INT(Skills!I9/Skills!H9+0.000000001),1)+IF(Skills!H9&gt;0,INT(MIN(Skills!I9,MAX(0,MAX(0,Inputs!$B$43-B1649)-((R1616-1)*(IF(Inputs!$B$38="pvp",15,MAX(0.1,Skills!D9-IF(TRUE=TRUE,Inputs!$B$32,0)))*(1-IF(AND(ArtifactsInput!$M$27,Inputs!$B$4="Chapter Hunt"),CHOOSE(ArtifactsInput!$N$27+1,20,24,28,32,36,40),0)/100)))))/Skills!H9+0.000000001),1)))/Inputs!$B$43),G1616*Q1616)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9*((R1616-1)*IF(Skills!H9&gt;0,INT(Skills!I9/Skills!H9+0.000000001),1)+IF(Skills!H9&gt;0,INT(MIN(Skills!I9,MAX(0,MAX(0,Inputs!$B$43-B1649)-((R1616-1)*(IF(Inputs!$B$38="pvp",15,MAX(0.1,Skills!D9-IF(TRUE=TRUE,Inputs!$B$32,0)))*(1-IF(AND(ArtifactsInput!$M$27,Inputs!$B$4="Chapter Hunt"),CHOOSE(ArtifactsInput!$N$27+1,20,24,28,32,36,40),0)/100)))))/Skills!H9+0.000000001),1)))/Inputs!$B$43),G1616*Q1616))*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Skills!A10</f>
        <v/>
      </c>
      <c r="B1617">
        <f>Skills!B10</f>
        <v/>
      </c>
      <c r="C1617">
        <f>Inputs!$B$3&gt;=63</f>
        <v/>
      </c>
      <c r="D1617">
        <f>IF(Skills!C10=1,60+Inputs!$B$25+Inputs!$B$29,IF(Skills!C10=2,90+Inputs!$B$26+Inputs!$B$29,IF(Skills!C10=3,120+Inputs!$B$27+Inputs!$B$29,MAX(0,(Inputs!$B$3-100)*3)+Inputs!$B$28+Inputs!$B$29)))</f>
        <v/>
      </c>
      <c r="E1617">
        <f>INDEX(FactorTable!$B$2:$Y$301, MATCH(ROUND(MIN(300,MAX(1,D1617)),0), FactorTable!$A$2:$A$301,0), Skills!M10+1)</f>
        <v/>
      </c>
      <c r="F1617">
        <f>IF(Skills!N10=TRUE,(Skills!L10/10)*(E1617/1000),Skills!L10/10)+Skills!O10</f>
        <v/>
      </c>
      <c r="G1617">
        <f>Skills!G10*IF(Skills!H10&gt;0,INT(IF(Inputs!$B$38="pvp",MIN(Skills!I10,15),Skills!I10)/Skills!H10+0.000000001),1)</f>
        <v/>
      </c>
      <c r="H1617">
        <f>1-(1-Skills!J10/100)^Skills!K10</f>
        <v/>
      </c>
      <c r="I1617" t="inlineStr">
        <is>
          <t>1</t>
        </is>
      </c>
      <c r="J1617">
        <f>((Inputs!$B$6*(1+Inputs!$B$7/100))+(((Inputs!$B$12*(1+Inputs!$B$13/100))-(Inputs!$B$12*(1+Inputs!$B$13/100)))+0.25*(Inputs!$B$14-Inputs!$B$14))*(1+Inputs!$B$7/100))*(F1617/100)</f>
        <v/>
      </c>
      <c r="K1617">
        <f>J1617*(1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1619=TRUE,F1619,0)/100)*(1+(IF(Skills!A10="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26)),(Inputs!$B$23+((C1638=TRUE)*(F1638-Calc!F31))+(IF(ArtifactsInput!$M$15,CHOOSE(ArtifactsInput!$N$15+1,25,30,35,40,45,50)/100*(Inputs!$B$11-Inputs!$B$11),0))))/100+(Inputs!$B$23+((C1638=TRUE)*(F1638-Calc!F31))+(IF(ArtifactsInput!$M$15,CHOOSE(ArtifactsInput!$N$15+1,25,30,35,40,45,50)/100*(Inputs!$B$11-Inputs!$B$11),0)))/100)/2</f>
        <v/>
      </c>
      <c r="M1617">
        <f>L1617*(1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IFERROR(1/(IF(Inputs!$B$38="pvp",15,MAX(0.1,Skills!D10-IF(TRUE=TRUE,Inputs!$B$32,0)))*(1-IF(AND(ArtifactsInput!$M$27,Inputs!$B$4="Chapter Hunt"),CHOOSE(ArtifactsInput!$N$27+1,20,24,28,32,36,40),0)/100)),0)</f>
        <v/>
      </c>
      <c r="R1617">
        <f>IF(AND(Inputs!$B$38&lt;&gt;"pvp",Inputs!$B$43&gt;0),IF(MAX(0,Inputs!$B$43-B1649)&lt;=0,0,(INT(MAX(0,Inputs!$B$43-B1649)/(IF(Inputs!$B$38="pvp",15,MAX(0.1,Skills!D10-IF(TRUE=TRUE,Inputs!$B$32,0)))*(1-IF(AND(ArtifactsInput!$M$27,Inputs!$B$4="Chapter Hunt"),CHOOSE(ArtifactsInput!$N$27+1,20,24,28,32,36,40),0)/100)))+1)),0)</f>
        <v/>
      </c>
      <c r="S1617">
        <f>IFERROR(O1617/N1617,0)</f>
        <v/>
      </c>
      <c r="T1617">
        <f>IF(C1617,(H1617*N1617*IF(AND(Inputs!$B$38&lt;&gt;"pvp",Inputs!$B$43&gt;0),((Skills!G10*((R1617-1)*IF(Skills!H10&gt;0,INT(Skills!I10/Skills!H10+0.000000001),1)+IF(Skills!H10&gt;0,INT(MIN(Skills!I10,MAX(0,MAX(0,Inputs!$B$43-B1649)-((R1617-1)*(IF(Inputs!$B$38="pvp",15,MAX(0.1,Skills!D10-IF(TRUE=TRUE,Inputs!$B$32,0)))*(1-IF(AND(ArtifactsInput!$M$27,Inputs!$B$4="Chapter Hunt"),CHOOSE(ArtifactsInput!$N$27+1,20,24,28,32,36,40),0)/100)))))/Skills!H10+0.000000001),1)))/Inputs!$B$43),G1617*Q1617)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10*((R1617-1)*IF(Skills!H10&gt;0,INT(Skills!I10/Skills!H10+0.000000001),1)+IF(Skills!H10&gt;0,INT(MIN(Skills!I10,MAX(0,MAX(0,Inputs!$B$43-B1649)-((R1617-1)*(IF(Inputs!$B$38="pvp",15,MAX(0.1,Skills!D10-IF(TRUE=TRUE,Inputs!$B$32,0)))*(1-IF(AND(ArtifactsInput!$M$27,Inputs!$B$4="Chapter Hunt"),CHOOSE(ArtifactsInput!$N$27+1,20,24,28,32,36,40),0)/100)))))/Skills!H10+0.000000001),1)))/Inputs!$B$43),G1617*Q1617))*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Skills!A11</f>
        <v/>
      </c>
      <c r="B1618">
        <f>Skills!B11</f>
        <v/>
      </c>
      <c r="C1618">
        <f>Inputs!$B$3&gt;=103</f>
        <v/>
      </c>
      <c r="D1618">
        <f>IF(Skills!C11=1,60+Inputs!$B$25+Inputs!$B$29,IF(Skills!C11=2,90+Inputs!$B$26+Inputs!$B$29,IF(Skills!C11=3,120+Inputs!$B$27+Inputs!$B$29,MAX(0,(Inputs!$B$3-100)*3)+Inputs!$B$28+Inputs!$B$29)))</f>
        <v/>
      </c>
      <c r="E1618">
        <f>INDEX(FactorTable!$B$2:$Y$301, MATCH(ROUND(MIN(300,MAX(1,D1618)),0), FactorTable!$A$2:$A$301,0), Skills!M11+1)</f>
        <v/>
      </c>
      <c r="F1618">
        <f>IF(Skills!N11=TRUE,(Skills!L11/10)*(E1618/1000),Skills!L11/10)+Skills!O11</f>
        <v/>
      </c>
      <c r="G1618">
        <f>Skills!G11*IF(Skills!H11&gt;0,INT(IF(Inputs!$B$38="pvp",MIN(Skills!I11,15),Skills!I11)/Skills!H11+0.000000001),1)</f>
        <v/>
      </c>
      <c r="H1618">
        <f>1-(1-Skills!J11/100)^Skills!K11</f>
        <v/>
      </c>
      <c r="I1618" t="inlineStr">
        <is>
          <t>1</t>
        </is>
      </c>
      <c r="J1618">
        <f>((Inputs!$B$6*(1+Inputs!$B$7/100))+(((Inputs!$B$12*(1+Inputs!$B$13/100))-(Inputs!$B$12*(1+Inputs!$B$13/100)))+0.25*(Inputs!$B$14-Inputs!$B$14))*(1+Inputs!$B$7/100))*(F1618/100)</f>
        <v/>
      </c>
      <c r="K1618">
        <f>J1618*(1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26)),(Inputs!$B$23+((C1638=TRUE)*(F1638-Calc!F31))+(IF(ArtifactsInput!$M$15,CHOOSE(ArtifactsInput!$N$15+1,25,30,35,40,45,50)/100*(Inputs!$B$11-Inputs!$B$11),0))))/100+(Inputs!$B$23+((C1638=TRUE)*(F1638-Calc!F31))+(IF(ArtifactsInput!$M$15,CHOOSE(ArtifactsInput!$N$15+1,25,30,35,40,45,50)/100*(Inputs!$B$11-Inputs!$B$11),0)))/100)/2</f>
        <v/>
      </c>
      <c r="M1618">
        <f>L1618*(1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IFERROR(1/(IF(Inputs!$B$38="pvp",15,MAX(0.1,Skills!D11-IF(TRUE=TRUE,Inputs!$B$32,0)))*(1-IF(AND(ArtifactsInput!$M$27,Inputs!$B$4="Chapter Hunt"),CHOOSE(ArtifactsInput!$N$27+1,20,24,28,32,36,40),0)/100)),0)</f>
        <v/>
      </c>
      <c r="R1618">
        <f>IF(AND(Inputs!$B$38&lt;&gt;"pvp",Inputs!$B$43&gt;0),IF(MAX(0,Inputs!$B$43-B1649)&lt;=0,0,(INT(MAX(0,Inputs!$B$43-B1649)/(IF(Inputs!$B$38="pvp",15,MAX(0.1,Skills!D11-IF(TRUE=TRUE,Inputs!$B$32,0)))*(1-IF(AND(ArtifactsInput!$M$27,Inputs!$B$4="Chapter Hunt"),CHOOSE(ArtifactsInput!$N$27+1,20,24,28,32,36,40),0)/100)))+1)),0)</f>
        <v/>
      </c>
      <c r="S1618">
        <f>IFERROR(O1618/N1618,0)</f>
        <v/>
      </c>
      <c r="T1618">
        <f>IF(C1618,(H1618*N1618*IF(AND(Inputs!$B$38&lt;&gt;"pvp",Inputs!$B$43&gt;0),((Skills!G11*((R1618-1)*IF(Skills!H11&gt;0,INT(Skills!I11/Skills!H11+0.000000001),1)+IF(Skills!H11&gt;0,INT(MIN(Skills!I11,MAX(0,MAX(0,Inputs!$B$43-B1649)-((R1618-1)*(IF(Inputs!$B$38="pvp",15,MAX(0.1,Skills!D11-IF(TRUE=TRUE,Inputs!$B$32,0)))*(1-IF(AND(ArtifactsInput!$M$27,Inputs!$B$4="Chapter Hunt"),CHOOSE(ArtifactsInput!$N$27+1,20,24,28,32,36,40),0)/100)))))/Skills!H11+0.000000001),1)))/Inputs!$B$43),G1618*Q1618)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11*((R1618-1)*IF(Skills!H11&gt;0,INT(Skills!I11/Skills!H11+0.000000001),1)+IF(Skills!H11&gt;0,INT(MIN(Skills!I11,MAX(0,MAX(0,Inputs!$B$43-B1649)-((R1618-1)*(IF(Inputs!$B$38="pvp",15,MAX(0.1,Skills!D11-IF(TRUE=TRUE,Inputs!$B$32,0)))*(1-IF(AND(ArtifactsInput!$M$27,Inputs!$B$4="Chapter Hunt"),CHOOSE(ArtifactsInput!$N$27+1,20,24,28,32,36,40),0)/100)))))/Skills!H11+0.000000001),1)))/Inputs!$B$43),G1618*Q1618))*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Skills!A12</f>
        <v/>
      </c>
      <c r="B1619">
        <f>Skills!B12</f>
        <v/>
      </c>
      <c r="C1619">
        <f>Inputs!$B$3&gt;=100</f>
        <v/>
      </c>
      <c r="D1619">
        <f>IF(Skills!C12=1,60+Inputs!$B$25+Inputs!$B$29,IF(Skills!C12=2,90+Inputs!$B$26+Inputs!$B$29,IF(Skills!C12=3,120+Inputs!$B$27+Inputs!$B$29,MAX(0,(Inputs!$B$3-100)*3)+Inputs!$B$28+Inputs!$B$29)))</f>
        <v/>
      </c>
      <c r="E1619">
        <f>INDEX(FactorTable!$B$2:$Y$301, MATCH(ROUND(MIN(300,MAX(1,D1619)),0), FactorTable!$A$2:$A$301,0), Skills!M12+1)</f>
        <v/>
      </c>
      <c r="F1619">
        <f>IF(Skills!N12=TRUE,(Skills!L12/10)*(E1619/1000),Skills!L12/10)+Skills!O12</f>
        <v/>
      </c>
      <c r="G1619" t="inlineStr"/>
      <c r="H1619" t="inlineStr"/>
      <c r="I1619" t="inlineStr">
        <is>
          <t>1</t>
        </is>
      </c>
      <c r="J1619" t="inlineStr"/>
      <c r="K1619" t="inlineStr"/>
      <c r="L1619" t="inlineStr"/>
      <c r="M1619" t="inlineStr"/>
      <c r="N1619" t="inlineStr"/>
      <c r="O1619" t="inlineStr"/>
      <c r="P1619" t="inlineStr"/>
      <c r="Q1619" t="inlineStr"/>
      <c r="R1619" t="inlineStr"/>
      <c r="S1619" t="inlineStr"/>
      <c r="T1619" t="inlineStr"/>
      <c r="V1619" t="inlineStr"/>
    </row>
    <row r="1620">
      <c r="A1620">
        <f>Skills!A13</f>
        <v/>
      </c>
      <c r="B1620">
        <f>Skills!B13</f>
        <v/>
      </c>
      <c r="C1620">
        <f>Inputs!$B$3&gt;=60</f>
        <v/>
      </c>
      <c r="D1620">
        <f>IF(Skills!C13=1,60+Inputs!$B$25+Inputs!$B$29,IF(Skills!C13=2,90+Inputs!$B$26+Inputs!$B$29,IF(Skills!C13=3,120+Inputs!$B$27+Inputs!$B$29,MAX(0,(Inputs!$B$3-100)*3)+Inputs!$B$28+Inputs!$B$29)))</f>
        <v/>
      </c>
      <c r="E1620">
        <f>INDEX(FactorTable!$B$2:$Y$301, MATCH(ROUND(MIN(300,MAX(1,D1620)),0), FactorTable!$A$2:$A$301,0), Skills!M13+1)</f>
        <v/>
      </c>
      <c r="F1620">
        <f>IF(Skills!N13=TRUE,(Skills!L13/10)*(E1620/1000),Skills!L13/10)+Skills!O13</f>
        <v/>
      </c>
      <c r="G1620">
        <f>Skills!G13*IF(Skills!H13&gt;0,INT(IF(Inputs!$B$38="pvp",MIN(Skills!I13,15),Skills!I13)/Skills!H13+0.000000001),1)</f>
        <v/>
      </c>
      <c r="H1620">
        <f>1-(1-Skills!J13/100)^Skills!K13</f>
        <v/>
      </c>
      <c r="I1620" t="inlineStr">
        <is>
          <t>1</t>
        </is>
      </c>
      <c r="J1620">
        <f>((Inputs!$B$6*(1+Inputs!$B$7/100))+(((Inputs!$B$12*(1+Inputs!$B$13/100))-(Inputs!$B$12*(1+Inputs!$B$13/100)))+0.25*(Inputs!$B$14-Inputs!$B$14))*(1+Inputs!$B$7/100))*(F1620/100)</f>
        <v/>
      </c>
      <c r="K1620">
        <f>J1620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1621=TRUE,F1621,0)/100)*(1+(IF(Skills!A13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26)),(Inputs!$B$23+((C1638=TRUE)*(F1638-Calc!F31))+(IF(ArtifactsInput!$M$15,CHOOSE(ArtifactsInput!$N$15+1,25,30,35,40,45,50)/100*(Inputs!$B$11-Inputs!$B$11),0))))/100+(Inputs!$B$23+((C1638=TRUE)*(F1638-Calc!F31))+(IF(ArtifactsInput!$M$15,CHOOSE(ArtifactsInput!$N$15+1,25,30,35,40,45,50)/100*(Inputs!$B$11-Inputs!$B$11),0)))/100)/2</f>
        <v/>
      </c>
      <c r="M1620">
        <f>L1620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IFERROR(1/(IF(Inputs!$B$38="pvp",15,MAX(0.1,IF(Inputs!$B$3&gt;=122,3,5)+1/(((20+30*(B1644-1)*100/150)/100)*B1644)-IF(FALSE=TRUE,Inputs!$B$32,0)))*(1-IF(AND(ArtifactsInput!$M$27,Inputs!$B$4="Chapter Hunt"),CHOOSE(ArtifactsInput!$N$27+1,20,24,28,32,36,40),0)/100)),0)</f>
        <v/>
      </c>
      <c r="R1620">
        <f>IF(AND(Inputs!$B$38&lt;&gt;"pvp",Inputs!$B$43&gt;0),IF(MAX(0,Inputs!$B$43-B1649)&lt;=0,0,(INT(MAX(0,Inputs!$B$43-B1649)/(IF(Inputs!$B$38="pvp",15,MAX(0.1,IF(Inputs!$B$3&gt;=122,3,5)+1/(((20+30*(B1644-1)*100/150)/100)*B1644)-IF(FALSE=TRUE,Inputs!$B$32,0)))*(1-IF(AND(ArtifactsInput!$M$27,Inputs!$B$4="Chapter Hunt"),CHOOSE(ArtifactsInput!$N$27+1,20,24,28,32,36,40),0)/100)))+1)),0)</f>
        <v/>
      </c>
      <c r="S1620">
        <f>IFERROR(O1620/N1620,0)</f>
        <v/>
      </c>
      <c r="T1620">
        <f>IF(C1620,(H1620*N1620*IF(AND(Inputs!$B$38&lt;&gt;"pvp",Inputs!$B$43&gt;0),((Skills!G13*((R1620-1)*IF(Skills!H13&gt;0,INT(Skills!I13/Skills!H13+0.000000001),1)+IF(Skills!H13&gt;0,INT(MIN(Skills!I13,MAX(0,MAX(0,Inputs!$B$43-B1649)-((R1620-1)*(IF(Inputs!$B$38="pvp",15,MAX(0.1,IF(Inputs!$B$3&gt;=122,3,5)+1/(((20+30*(B1644-1)*100/150)/100)*B1644)-IF(FALSE=TRUE,Inputs!$B$32,0)))*(1-IF(AND(ArtifactsInput!$M$27,Inputs!$B$4="Chapter Hunt"),CHOOSE(ArtifactsInput!$N$27+1,20,24,28,32,36,40),0)/100)))))/Skills!H13+0.000000001),1)))/Inputs!$B$43),G1620*Q1620)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13*((R1620-1)*IF(Skills!H13&gt;0,INT(Skills!I13/Skills!H13+0.000000001),1)+IF(Skills!H13&gt;0,INT(MIN(Skills!I13,MAX(0,MAX(0,Inputs!$B$43-B1649)-((R1620-1)*(IF(Inputs!$B$38="pvp",15,MAX(0.1,IF(Inputs!$B$3&gt;=122,3,5)+1/(((20+30*(B1644-1)*100/150)/100)*B1644)-IF(FALSE=TRUE,Inputs!$B$32,0)))*(1-IF(AND(ArtifactsInput!$M$27,Inputs!$B$4="Chapter Hunt"),CHOOSE(ArtifactsInput!$N$27+1,20,24,28,32,36,40),0)/100)))))/Skills!H13+0.000000001),1)))/Inputs!$B$43),G1620*Q1620))*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Skills!A14</f>
        <v/>
      </c>
      <c r="B1621">
        <f>Skills!B14</f>
        <v/>
      </c>
      <c r="C1621">
        <f>Inputs!$B$3&gt;=110</f>
        <v/>
      </c>
      <c r="D1621">
        <f>IF(Skills!C14=1,60+Inputs!$B$25+Inputs!$B$29,IF(Skills!C14=2,90+Inputs!$B$26+Inputs!$B$29,IF(Skills!C14=3,120+Inputs!$B$27+Inputs!$B$29,MAX(0,(Inputs!$B$3-100)*3)+Inputs!$B$28+Inputs!$B$29)))</f>
        <v/>
      </c>
      <c r="E1621">
        <f>INDEX(FactorTable!$B$2:$Y$301, MATCH(ROUND(MIN(300,MAX(1,D1621)),0), FactorTable!$A$2:$A$301,0), Skills!M14+1)</f>
        <v/>
      </c>
      <c r="F1621">
        <f>IF(Skills!N14=TRUE,(Skills!L14/10)*(E1621/1000),Skills!L14/10)+Skills!O14</f>
        <v/>
      </c>
      <c r="G1621" t="inlineStr"/>
      <c r="H1621" t="inlineStr"/>
      <c r="I1621" t="inlineStr">
        <is>
          <t>1</t>
        </is>
      </c>
      <c r="J1621" t="inlineStr"/>
      <c r="K1621" t="inlineStr"/>
      <c r="L1621" t="inlineStr"/>
      <c r="M1621" t="inlineStr"/>
      <c r="N1621" t="inlineStr"/>
      <c r="O1621" t="inlineStr"/>
      <c r="P1621" t="inlineStr"/>
      <c r="Q1621" t="inlineStr"/>
      <c r="R1621" t="inlineStr"/>
      <c r="S1621" t="inlineStr"/>
      <c r="T1621" t="inlineStr"/>
      <c r="V1621" t="inlineStr"/>
    </row>
    <row r="1622">
      <c r="A1622">
        <f>Skills!A15</f>
        <v/>
      </c>
      <c r="B1622">
        <f>Skills!B15</f>
        <v/>
      </c>
      <c r="C1622">
        <f>Inputs!$B$3&gt;=74</f>
        <v/>
      </c>
      <c r="D1622">
        <f>IF(Skills!C15=1,60+Inputs!$B$25+Inputs!$B$29,IF(Skills!C15=2,90+Inputs!$B$26+Inputs!$B$29,IF(Skills!C15=3,120+Inputs!$B$27+Inputs!$B$29,MAX(0,(Inputs!$B$3-100)*3)+Inputs!$B$28+Inputs!$B$29)))</f>
        <v/>
      </c>
      <c r="E1622">
        <f>INDEX(FactorTable!$B$2:$Y$301, MATCH(ROUND(MIN(300,MAX(1,D1622)),0), FactorTable!$A$2:$A$301,0), Skills!M15+1)</f>
        <v/>
      </c>
      <c r="F1622">
        <f>IF(Skills!N15=TRUE,(Skills!L15/10)*(E1622/1000),Skills!L15/10)+Skills!O15</f>
        <v/>
      </c>
      <c r="G1622">
        <f>Skills!G15*IF(Skills!H15&gt;0,INT(IF(Inputs!$B$38="pvp",MIN(Skills!I15,15),Skills!I15)/Skills!H15+0.000000001),1)</f>
        <v/>
      </c>
      <c r="H1622">
        <f>1-(1-Skills!J15/100)^Skills!K15</f>
        <v/>
      </c>
      <c r="I1622" t="inlineStr">
        <is>
          <t>1</t>
        </is>
      </c>
      <c r="J1622" t="inlineStr"/>
      <c r="K1622" t="inlineStr"/>
      <c r="L1622" t="inlineStr"/>
      <c r="M1622" t="inlineStr"/>
      <c r="N1622" t="inlineStr"/>
      <c r="O1622">
        <f>(1-Summary!$B$11)*T1622+Summary!$B$11*V1622</f>
        <v/>
      </c>
      <c r="P1622">
        <f>IF(B1652=0,0,O1622/B1652)</f>
        <v/>
      </c>
      <c r="Q1622" t="n">
        <v>0</v>
      </c>
      <c r="R1622" t="n">
        <v>0</v>
      </c>
      <c r="S1622">
        <f>IFERROR(O1622/N1622,0)</f>
        <v/>
      </c>
      <c r="T1622" t="n">
        <v>0</v>
      </c>
      <c r="V1622" t="n">
        <v>0</v>
      </c>
    </row>
    <row r="1623">
      <c r="A1623">
        <f>Skills!A16</f>
        <v/>
      </c>
      <c r="B1623">
        <f>Skills!B16</f>
        <v/>
      </c>
      <c r="C1623">
        <f>Inputs!$B$3&gt;=74</f>
        <v/>
      </c>
      <c r="D1623">
        <f>IF(Skills!C16=1,60+Inputs!$B$25+Inputs!$B$29,IF(Skills!C16=2,90+Inputs!$B$26+Inputs!$B$29,IF(Skills!C16=3,120+Inputs!$B$27+Inputs!$B$29,MAX(0,(Inputs!$B$3-100)*3)+Inputs!$B$28+Inputs!$B$29)))</f>
        <v/>
      </c>
      <c r="E1623">
        <f>INDEX(FactorTable!$B$2:$Y$301, MATCH(ROUND(MIN(300,MAX(1,D1623)),0), FactorTable!$A$2:$A$301,0), Skills!M16+1)</f>
        <v/>
      </c>
      <c r="F1623">
        <f>IF(Skills!N16=TRUE,(Skills!L16/10)*(E1623/1000),Skills!L16/10)+Skills!O16</f>
        <v/>
      </c>
      <c r="G1623">
        <f>Skills!G16*IF(Skills!H16&gt;0,INT(IF(Inputs!$B$38="pvp",MIN(Skills!I16,15),Skills!I16)/Skills!H16+0.000000001),1)</f>
        <v/>
      </c>
      <c r="H1623">
        <f>1-(1-Skills!J16/100)^Skills!K16</f>
        <v/>
      </c>
      <c r="I1623" t="inlineStr">
        <is>
          <t>1</t>
        </is>
      </c>
      <c r="J1623" t="inlineStr"/>
      <c r="K1623" t="inlineStr"/>
      <c r="L1623" t="inlineStr"/>
      <c r="M1623" t="inlineStr"/>
      <c r="N1623" t="inlineStr"/>
      <c r="O1623">
        <f>(1-Summary!$B$11)*T1623+Summary!$B$11*V1623</f>
        <v/>
      </c>
      <c r="P1623">
        <f>IF(B1652=0,0,O1623/B1652)</f>
        <v/>
      </c>
      <c r="Q1623" t="n">
        <v>0</v>
      </c>
      <c r="R1623" t="n">
        <v>0</v>
      </c>
      <c r="S1623">
        <f>IFERROR(O1623/N1623,0)</f>
        <v/>
      </c>
      <c r="T1623" t="n">
        <v>0</v>
      </c>
      <c r="V1623" t="n">
        <v>0</v>
      </c>
    </row>
    <row r="1624">
      <c r="A1624">
        <f>Skills!A17</f>
        <v/>
      </c>
      <c r="B1624">
        <f>Skills!B17</f>
        <v/>
      </c>
      <c r="C1624">
        <f>Inputs!$B$3&gt;=117</f>
        <v/>
      </c>
      <c r="D1624">
        <f>IF(Skills!C17=1,60+Inputs!$B$25+Inputs!$B$29,IF(Skills!C17=2,90+Inputs!$B$26+Inputs!$B$29,IF(Skills!C17=3,120+Inputs!$B$27+Inputs!$B$29,MAX(0,(Inputs!$B$3-100)*3)+Inputs!$B$28+Inputs!$B$29)))</f>
        <v/>
      </c>
      <c r="E1624">
        <f>INDEX(FactorTable!$B$2:$Y$301, MATCH(ROUND(MIN(300,MAX(1,D1624)),0), FactorTable!$A$2:$A$301,0), Skills!M17+1)</f>
        <v/>
      </c>
      <c r="F1624">
        <f>IF(Skills!N17=TRUE,(Skills!L17/10)*(E1624/1000),Skills!L17/10)+Skills!O17</f>
        <v/>
      </c>
      <c r="G1624">
        <f>Skills!G17*IF(Skills!H17&gt;0,INT(IF(Inputs!$B$38="pvp",MIN(Skills!I17,15),Skills!I17)/Skills!H17+0.000000001),1)</f>
        <v/>
      </c>
      <c r="H1624">
        <f>1-(1-Skills!J17/100)^Skills!K17</f>
        <v/>
      </c>
      <c r="I1624" t="inlineStr">
        <is>
          <t>1</t>
        </is>
      </c>
      <c r="J1624" t="inlineStr"/>
      <c r="K1624" t="inlineStr"/>
      <c r="L1624" t="inlineStr"/>
      <c r="M1624" t="inlineStr"/>
      <c r="N1624" t="inlineStr"/>
      <c r="O1624">
        <f>(1-Summary!$B$11)*T1624+Summary!$B$11*V1624</f>
        <v/>
      </c>
      <c r="P1624">
        <f>IF(B1652=0,0,O1624/B1652)</f>
        <v/>
      </c>
      <c r="Q1624">
        <f>IFERROR(1/(IF(Inputs!$B$38="pvp",15,MAX(0.1,Skills!D17-IF(TRUE=TRUE,Inputs!$B$32,0)))*(1-IF(AND(ArtifactsInput!$M$27,Inputs!$B$4="Chapter Hunt"),CHOOSE(ArtifactsInput!$N$27+1,20,24,28,32,36,40),0)/100)),0)</f>
        <v/>
      </c>
      <c r="R1624">
        <f>IF(AND(Inputs!$B$38&lt;&gt;"pvp",Inputs!$B$43&gt;0),IF(Inputs!$B$43&lt;=0,0,(INT(Inputs!$B$43/(IF(Inputs!$B$38="pvp",15,MAX(0.1,Skills!D17-IF(TRUE=TRUE,Inputs!$B$32,0)))*(1-IF(AND(ArtifactsInput!$M$27,Inputs!$B$4="Chapter Hunt"),CHOOSE(ArtifactsInput!$N$27+1,20,24,28,32,36,40),0)/100)))+1)),0)</f>
        <v/>
      </c>
      <c r="S1624">
        <f>IFERROR(O1624/N1624,0)</f>
        <v/>
      </c>
      <c r="T1624" t="n">
        <v>0</v>
      </c>
      <c r="V1624" t="n">
        <v>0</v>
      </c>
    </row>
    <row r="1625">
      <c r="A1625">
        <f>Skills!A18</f>
        <v/>
      </c>
      <c r="B1625">
        <f>Skills!B18</f>
        <v/>
      </c>
      <c r="C1625">
        <f>Inputs!$B$3&gt;=115</f>
        <v/>
      </c>
      <c r="D1625">
        <f>IF(Skills!C18=1,60+Inputs!$B$25+Inputs!$B$29,IF(Skills!C18=2,90+Inputs!$B$26+Inputs!$B$29,IF(Skills!C18=3,120+Inputs!$B$27+Inputs!$B$29,MAX(0,(Inputs!$B$3-100)*3)+Inputs!$B$28+Inputs!$B$29)))</f>
        <v/>
      </c>
      <c r="E1625">
        <f>INDEX(FactorTable!$B$2:$Y$301, MATCH(ROUND(MIN(300,MAX(1,D1625)),0), FactorTable!$A$2:$A$301,0), Skills!M18+1)</f>
        <v/>
      </c>
      <c r="F1625">
        <f>IF(Skills!N18=TRUE,(Skills!L18/10)*(E1625/1000),Skills!L18/10)+Skills!O18</f>
        <v/>
      </c>
      <c r="G1625">
        <f>Skills!G18*IF(Skills!H18&gt;0,INT(IF(Inputs!$B$38="pvp",MIN(Skills!I18,15),Skills!I18)/Skills!H18+0.000000001),1)</f>
        <v/>
      </c>
      <c r="H1625">
        <f>1-(1-Skills!J18/100)^Skills!K18</f>
        <v/>
      </c>
      <c r="I1625" t="inlineStr">
        <is>
          <t>1</t>
        </is>
      </c>
      <c r="J1625" t="inlineStr"/>
      <c r="K1625" t="inlineStr"/>
      <c r="L1625" t="inlineStr"/>
      <c r="M1625" t="inlineStr"/>
      <c r="N1625" t="inlineStr"/>
      <c r="O1625">
        <f>(1-Summary!$B$11)*T1625+Summary!$B$11*V1625</f>
        <v/>
      </c>
      <c r="P1625">
        <f>IF(B1652=0,0,O1625/B1652)</f>
        <v/>
      </c>
      <c r="Q1625">
        <f>IFERROR(1/(IF(Inputs!$B$38="pvp",15,MAX(0.1,Skills!D18-IF(TRUE=TRUE,Inputs!$B$32,0)))*(1-IF(AND(ArtifactsInput!$M$27,Inputs!$B$4="Chapter Hunt"),CHOOSE(ArtifactsInput!$N$27+1,20,24,28,32,36,40),0)/100)),0)</f>
        <v/>
      </c>
      <c r="R1625">
        <f>IF(AND(Inputs!$B$38&lt;&gt;"pvp",Inputs!$B$43&gt;0),IF(Inputs!$B$43&lt;=0,0,(INT(Inputs!$B$43/(IF(Inputs!$B$38="pvp",15,MAX(0.1,Skills!D18-IF(TRUE=TRUE,Inputs!$B$32,0)))*(1-IF(AND(ArtifactsInput!$M$27,Inputs!$B$4="Chapter Hunt"),CHOOSE(ArtifactsInput!$N$27+1,20,24,28,32,36,40),0)/100)))+1)),0)</f>
        <v/>
      </c>
      <c r="S1625">
        <f>IFERROR(O1625/N1625,0)</f>
        <v/>
      </c>
      <c r="T1625" t="n">
        <v>0</v>
      </c>
      <c r="V1625" t="n">
        <v>0</v>
      </c>
    </row>
    <row r="1626">
      <c r="A1626">
        <f>Skills!A19</f>
        <v/>
      </c>
      <c r="B1626">
        <f>Skills!B19</f>
        <v/>
      </c>
      <c r="C1626">
        <f>Inputs!$B$3&gt;=66</f>
        <v/>
      </c>
      <c r="D1626">
        <f>IF(Skills!C19=1,60+Inputs!$B$25+Inputs!$B$29,IF(Skills!C19=2,90+Inputs!$B$26+Inputs!$B$29,IF(Skills!C19=3,120+Inputs!$B$27+Inputs!$B$29,MAX(0,(Inputs!$B$3-100)*3)+Inputs!$B$28+Inputs!$B$29)))</f>
        <v/>
      </c>
      <c r="E1626">
        <f>INDEX(FactorTable!$B$2:$Y$301, MATCH(ROUND(MIN(300,MAX(1,D1626)),0), FactorTable!$A$2:$A$301,0), Skills!M19+1)</f>
        <v/>
      </c>
      <c r="F1626">
        <f>IF(Skills!N19=TRUE,(Skills!L19/10)*(E1626/1000),Skills!L19/10)+Skills!O19</f>
        <v/>
      </c>
      <c r="G1626">
        <f>Skills!G19*IF(Skills!H19&gt;0,INT(IF(Inputs!$B$38="pvp",MIN(Skills!I19,15),Skills!I19)/Skills!H19+0.000000001),1)</f>
        <v/>
      </c>
      <c r="H1626">
        <f>1-(1-Skills!J19/100)^Skills!K19</f>
        <v/>
      </c>
      <c r="I1626" t="inlineStr">
        <is>
          <t>1</t>
        </is>
      </c>
      <c r="J1626" t="inlineStr"/>
      <c r="K1626" t="inlineStr"/>
      <c r="L1626" t="inlineStr"/>
      <c r="M1626" t="inlineStr"/>
      <c r="N1626" t="inlineStr"/>
      <c r="O1626">
        <f>(1-Summary!$B$11)*T1626+Summary!$B$11*V1626</f>
        <v/>
      </c>
      <c r="P1626">
        <f>IF(B1652=0,0,O1626/B1652)</f>
        <v/>
      </c>
      <c r="Q1626" t="n">
        <v>0</v>
      </c>
      <c r="R1626" t="n">
        <v>0</v>
      </c>
      <c r="S1626">
        <f>IFERROR(O1626/N1626,0)</f>
        <v/>
      </c>
      <c r="T1626" t="n">
        <v>0</v>
      </c>
      <c r="V1626" t="n">
        <v>0</v>
      </c>
    </row>
    <row r="1627">
      <c r="A1627">
        <f>Skills!A20</f>
        <v/>
      </c>
      <c r="B1627">
        <f>Skills!B20</f>
        <v/>
      </c>
      <c r="C1627">
        <f>Inputs!$B$3&gt;=72</f>
        <v/>
      </c>
      <c r="D1627">
        <f>IF(Skills!C20=1,60+Inputs!$B$25+Inputs!$B$29,IF(Skills!C20=2,90+Inputs!$B$26+Inputs!$B$29,IF(Skills!C20=3,120+Inputs!$B$27+Inputs!$B$29,MAX(0,(Inputs!$B$3-100)*3)+Inputs!$B$28+Inputs!$B$29)))</f>
        <v/>
      </c>
      <c r="E1627">
        <f>INDEX(FactorTable!$B$2:$Y$301, MATCH(ROUND(MIN(300,MAX(1,D1627)),0), FactorTable!$A$2:$A$301,0), Skills!M20+1)</f>
        <v/>
      </c>
      <c r="F1627">
        <f>IF(Skills!N20=TRUE,(Skills!L20/10)*(E1627/1000),Skills!L20/10)+Skills!O20</f>
        <v/>
      </c>
      <c r="G1627">
        <f>Skills!G20*IF(Skills!H20&gt;0,INT(IF(Inputs!$B$38="pvp",MIN(Skills!I20,15),Skills!I20)/Skills!H20+0.000000001),1)</f>
        <v/>
      </c>
      <c r="H1627">
        <f>1-(1-Skills!J20/100)^Skills!K20</f>
        <v/>
      </c>
      <c r="I1627" t="inlineStr">
        <is>
          <t>1</t>
        </is>
      </c>
      <c r="J1627" t="inlineStr"/>
      <c r="K1627" t="inlineStr"/>
      <c r="L1627" t="inlineStr"/>
      <c r="M1627" t="inlineStr"/>
      <c r="N1627" t="inlineStr"/>
      <c r="O1627">
        <f>(1-Summary!$B$11)*T1627+Summary!$B$11*V1627</f>
        <v/>
      </c>
      <c r="P1627">
        <f>IF(B1652=0,0,O1627/B1652)</f>
        <v/>
      </c>
      <c r="Q1627" t="n">
        <v>0</v>
      </c>
      <c r="R1627" t="n">
        <v>0</v>
      </c>
      <c r="S1627">
        <f>IFERROR(O1627/N1627,0)</f>
        <v/>
      </c>
      <c r="T1627" t="n">
        <v>0</v>
      </c>
      <c r="V1627" t="n">
        <v>0</v>
      </c>
    </row>
    <row r="1628">
      <c r="A1628">
        <f>Skills!A21</f>
        <v/>
      </c>
      <c r="B1628">
        <f>Skills!B21</f>
        <v/>
      </c>
      <c r="C1628">
        <f>TRUE</f>
        <v/>
      </c>
      <c r="D1628">
        <f>IF(Skills!C21=1,60+Inputs!$B$25+Inputs!$B$29,IF(Skills!C21=2,90+Inputs!$B$26+Inputs!$B$29,IF(Skills!C21=3,120+Inputs!$B$27+Inputs!$B$29,MAX(0,(Inputs!$B$3-100)*3)+Inputs!$B$28+Inputs!$B$29)))</f>
        <v/>
      </c>
      <c r="E1628">
        <f>INDEX(FactorTable!$B$2:$Y$301, MATCH(ROUND(MIN(300,MAX(1,D1628)),0), FactorTable!$A$2:$A$301,0), Skills!M21+1)</f>
        <v/>
      </c>
      <c r="F1628">
        <f>IF(Skills!N21=TRUE,(Skills!L21/10)*(E1628/1000),Skills!L21/10)+Skills!O21</f>
        <v/>
      </c>
      <c r="G1628">
        <f>Skills!G21*IF(Skills!H21&gt;0,INT(IF(Inputs!$B$38="pvp",MIN(Skills!I21,15),Skills!I21)/Skills!H21+0.000000001),1)</f>
        <v/>
      </c>
      <c r="H1628">
        <f>1-(1-Skills!J21/100)^Skills!K21</f>
        <v/>
      </c>
      <c r="I1628" t="inlineStr">
        <is>
          <t>1</t>
        </is>
      </c>
      <c r="J1628" t="inlineStr"/>
      <c r="K1628" t="inlineStr"/>
      <c r="L1628" t="inlineStr"/>
      <c r="M1628" t="inlineStr"/>
      <c r="N1628" t="inlineStr"/>
      <c r="O1628">
        <f>(1-Summary!$B$11)*T1628+Summary!$B$11*V1628</f>
        <v/>
      </c>
      <c r="P1628">
        <f>IF(B1652=0,0,O1628/B1652)</f>
        <v/>
      </c>
      <c r="Q1628">
        <f>IFERROR(1/(IF(Inputs!$B$38="pvp",15,MAX(0.1,Skills!D21-IF(TRUE=TRUE,Inputs!$B$32,0)))*(1-IF(AND(ArtifactsInput!$M$27,Inputs!$B$4="Chapter Hunt"),CHOOSE(ArtifactsInput!$N$27+1,20,24,28,32,36,40),0)/100)),0)</f>
        <v/>
      </c>
      <c r="R1628">
        <f>IF(AND(Inputs!$B$38&lt;&gt;"pvp",Inputs!$B$43&gt;0),IF(Inputs!$B$43&lt;=0,0,(INT(Inputs!$B$43/(IF(Inputs!$B$38="pvp",15,MAX(0.1,Skills!D21-IF(TRUE=TRUE,Inputs!$B$32,0)))*(1-IF(AND(ArtifactsInput!$M$27,Inputs!$B$4="Chapter Hunt"),CHOOSE(ArtifactsInput!$N$27+1,20,24,28,32,36,40),0)/100)))+1)),0)</f>
        <v/>
      </c>
      <c r="S1628">
        <f>IFERROR(O1628/N1628,0)</f>
        <v/>
      </c>
      <c r="T1628" t="n">
        <v>0</v>
      </c>
      <c r="V1628" t="n">
        <v>0</v>
      </c>
    </row>
    <row r="1629">
      <c r="A1629">
        <f>Skills!A22</f>
        <v/>
      </c>
      <c r="B1629">
        <f>Skills!B22</f>
        <v/>
      </c>
      <c r="C1629">
        <f>Inputs!$B$3&gt;=15</f>
        <v/>
      </c>
      <c r="D1629">
        <f>IF(Skills!C22=1,60+Inputs!$B$25+Inputs!$B$29,IF(Skills!C22=2,90+Inputs!$B$26+Inputs!$B$29,IF(Skills!C22=3,120+Inputs!$B$27+Inputs!$B$29,MAX(0,(Inputs!$B$3-100)*3)+Inputs!$B$28+Inputs!$B$29)))</f>
        <v/>
      </c>
      <c r="E1629">
        <f>INDEX(FactorTable!$B$2:$Y$301, MATCH(ROUND(MIN(300,MAX(1,D1629)),0), FactorTable!$A$2:$A$301,0), Skills!M22+1)</f>
        <v/>
      </c>
      <c r="F1629">
        <f>IF(Skills!N22=TRUE,(Skills!L22/10)*(E1629/1000),Skills!L22/10)+Skills!O22</f>
        <v/>
      </c>
      <c r="G1629">
        <f>Skills!G22*IF(Skills!H22&gt;0,INT(IF(Inputs!$B$38="pvp",MIN(Skills!I22,15),Skills!I22)/Skills!H22+0.000000001),1)</f>
        <v/>
      </c>
      <c r="H1629">
        <f>1-(1-Skills!J22/100)^Skills!K22</f>
        <v/>
      </c>
      <c r="I1629" t="inlineStr">
        <is>
          <t>1</t>
        </is>
      </c>
      <c r="J1629" t="inlineStr"/>
      <c r="K1629" t="inlineStr"/>
      <c r="L1629" t="inlineStr"/>
      <c r="M1629" t="inlineStr"/>
      <c r="N1629" t="inlineStr"/>
      <c r="O1629">
        <f>(1-Summary!$B$11)*T1629+Summary!$B$11*V1629</f>
        <v/>
      </c>
      <c r="P1629">
        <f>IF(B1652=0,0,O1629/B1652)</f>
        <v/>
      </c>
      <c r="Q1629" t="n">
        <v>0</v>
      </c>
      <c r="R1629" t="n">
        <v>0</v>
      </c>
      <c r="S1629">
        <f>IFERROR(O1629/N1629,0)</f>
        <v/>
      </c>
      <c r="T1629" t="n">
        <v>0</v>
      </c>
      <c r="V1629" t="n">
        <v>0</v>
      </c>
    </row>
    <row r="1630">
      <c r="A1630">
        <f>Skills!A23</f>
        <v/>
      </c>
      <c r="B1630">
        <f>Skills!B23</f>
        <v/>
      </c>
      <c r="C1630">
        <f>Inputs!$B$3&gt;=10</f>
        <v/>
      </c>
      <c r="D1630">
        <f>IF(Skills!C23=1,60+Inputs!$B$25+Inputs!$B$29,IF(Skills!C23=2,90+Inputs!$B$26+Inputs!$B$29,IF(Skills!C23=3,120+Inputs!$B$27+Inputs!$B$29,MAX(0,(Inputs!$B$3-100)*3)+Inputs!$B$28+Inputs!$B$29)))</f>
        <v/>
      </c>
      <c r="E1630">
        <f>INDEX(FactorTable!$B$2:$Y$301, MATCH(ROUND(MIN(300,MAX(1,D1630)),0), FactorTable!$A$2:$A$301,0), Skills!M23+1)</f>
        <v/>
      </c>
      <c r="F1630">
        <f>IF(Skills!N23=TRUE,(Skills!L23/10)*(E1630/1000),Skills!L23/10)+Skills!O23</f>
        <v/>
      </c>
      <c r="G1630">
        <f>Skills!G23*IF(Skills!H23&gt;0,INT(IF(Inputs!$B$38="pvp",MIN(Skills!I23,15),Skills!I23)/Skills!H23+0.000000001),1)</f>
        <v/>
      </c>
      <c r="H1630">
        <f>1-(1-Skills!J23/100)^Skills!K23</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Skills!A24</f>
        <v/>
      </c>
      <c r="B1631">
        <f>Skills!B24</f>
        <v/>
      </c>
      <c r="C1631">
        <f>Inputs!$B$3&gt;=33</f>
        <v/>
      </c>
      <c r="D1631">
        <f>IF(Skills!C24=1,60+Inputs!$B$25+Inputs!$B$29,IF(Skills!C24=2,90+Inputs!$B$26+Inputs!$B$29,IF(Skills!C24=3,120+Inputs!$B$27+Inputs!$B$29,MAX(0,(Inputs!$B$3-100)*3)+Inputs!$B$28+Inputs!$B$29)))</f>
        <v/>
      </c>
      <c r="E1631">
        <f>INDEX(FactorTable!$B$2:$Y$301, MATCH(ROUND(MIN(300,MAX(1,D1631)),0), FactorTable!$A$2:$A$301,0), Skills!M24+1)</f>
        <v/>
      </c>
      <c r="F1631">
        <f>IF(Skills!N24=TRUE,(Skills!L24/10)*(E1631/1000),Skills!L24/10)+Skills!O24</f>
        <v/>
      </c>
      <c r="G1631">
        <f>Skills!G24*IF(Skills!H24&gt;0,INT(IF(Inputs!$B$38="pvp",MIN(Skills!I24,15),Skills!I24)/Skills!H24+0.000000001),1)</f>
        <v/>
      </c>
      <c r="H1631">
        <f>1-(1-Skills!J24/100)^Skills!K24</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Skills!A25</f>
        <v/>
      </c>
      <c r="B1632">
        <f>Skills!B25</f>
        <v/>
      </c>
      <c r="C1632">
        <f>Inputs!$B$3&gt;=38</f>
        <v/>
      </c>
      <c r="D1632">
        <f>IF(Skills!C25=1,60+Inputs!$B$25+Inputs!$B$29,IF(Skills!C25=2,90+Inputs!$B$26+Inputs!$B$29,IF(Skills!C25=3,120+Inputs!$B$27+Inputs!$B$29,MAX(0,(Inputs!$B$3-100)*3)+Inputs!$B$28+Inputs!$B$29)))</f>
        <v/>
      </c>
      <c r="E1632">
        <f>INDEX(FactorTable!$B$2:$Y$301, MATCH(ROUND(MIN(300,MAX(1,D1632)),0), FactorTable!$A$2:$A$301,0), Skills!M25+1)</f>
        <v/>
      </c>
      <c r="F1632">
        <f>IF(Skills!N25=TRUE,(Skills!L25/10)*(E1632/1000),Skills!L25/10)+Skills!O25</f>
        <v/>
      </c>
      <c r="G1632">
        <f>Skills!G25*IF(Skills!H25&gt;0,INT(IF(Inputs!$B$38="pvp",MIN(Skills!I25,15),Skills!I25)/Skills!H25+0.000000001),1)</f>
        <v/>
      </c>
      <c r="H1632">
        <f>1-(1-Skills!J25/100)^Skills!K25</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Skills!A26</f>
        <v/>
      </c>
      <c r="B1633">
        <f>Skills!B26</f>
        <v/>
      </c>
      <c r="C1633">
        <f>Inputs!$B$3&gt;=43</f>
        <v/>
      </c>
      <c r="D1633">
        <f>IF(Skills!C26=1,60+Inputs!$B$25+Inputs!$B$29,IF(Skills!C26=2,90+Inputs!$B$26+Inputs!$B$29,IF(Skills!C26=3,120+Inputs!$B$27+Inputs!$B$29,MAX(0,(Inputs!$B$3-100)*3)+Inputs!$B$28+Inputs!$B$29)))</f>
        <v/>
      </c>
      <c r="E1633">
        <f>INDEX(FactorTable!$B$2:$Y$301, MATCH(ROUND(MIN(300,MAX(1,D1633)),0), FactorTable!$A$2:$A$301,0), Skills!M26+1)</f>
        <v/>
      </c>
      <c r="F1633">
        <f>IF(Skills!N26=TRUE,(Skills!L26/10)*(E1633/1000),Skills!L26/10)+Skills!O26</f>
        <v/>
      </c>
      <c r="G1633">
        <f>Skills!G26*IF(Skills!H26&gt;0,INT(IF(Inputs!$B$38="pvp",MIN(Skills!I26,15),Skills!I26)/Skills!H26+0.000000001),1)</f>
        <v/>
      </c>
      <c r="H1633">
        <f>1-(1-Skills!J26/100)^Skills!K26</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Skills!A27</f>
        <v/>
      </c>
      <c r="B1634">
        <f>Skills!B27</f>
        <v/>
      </c>
      <c r="C1634">
        <f>Inputs!$B$3&gt;=75</f>
        <v/>
      </c>
      <c r="D1634">
        <f>IF(Skills!C27=1,60+Inputs!$B$25+Inputs!$B$29,IF(Skills!C27=2,90+Inputs!$B$26+Inputs!$B$29,IF(Skills!C27=3,120+Inputs!$B$27+Inputs!$B$29,MAX(0,(Inputs!$B$3-100)*3)+Inputs!$B$28+Inputs!$B$29)))</f>
        <v/>
      </c>
      <c r="E1634">
        <f>INDEX(FactorTable!$B$2:$Y$301, MATCH(ROUND(MIN(300,MAX(1,D1634)),0), FactorTable!$A$2:$A$301,0), Skills!M27+1)</f>
        <v/>
      </c>
      <c r="F1634">
        <f>IF(Skills!N27=TRUE,(Skills!L27/10)*(E1634/1000),Skills!L27/10)+Skills!O27</f>
        <v/>
      </c>
      <c r="G1634">
        <f>Skills!G27*IF(Skills!H27&gt;0,INT(IF(Inputs!$B$38="pvp",MIN(Skills!I27,15),Skills!I27)/Skills!H27+0.000000001),1)</f>
        <v/>
      </c>
      <c r="H1634">
        <f>1-(1-Skills!J27/100)^Skills!K27</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Skills!A28</f>
        <v/>
      </c>
      <c r="B1635">
        <f>Skills!B28</f>
        <v/>
      </c>
      <c r="C1635">
        <f>Inputs!$B$3&gt;=125</f>
        <v/>
      </c>
      <c r="D1635">
        <f>IF(Skills!C28=1,60+Inputs!$B$25+Inputs!$B$29,IF(Skills!C28=2,90+Inputs!$B$26+Inputs!$B$29,IF(Skills!C28=3,120+Inputs!$B$27+Inputs!$B$29,MAX(0,(Inputs!$B$3-100)*3)+Inputs!$B$28+Inputs!$B$29)))</f>
        <v/>
      </c>
      <c r="E1635">
        <f>INDEX(FactorTable!$B$2:$Y$301, MATCH(ROUND(MIN(300,MAX(1,D1635)),0), FactorTable!$A$2:$A$301,0), Skills!M28+1)</f>
        <v/>
      </c>
      <c r="F1635">
        <f>IF(Skills!N28=TRUE,(Skills!L28/10)*(E1635/1000),Skills!L28/10)+Skills!O28</f>
        <v/>
      </c>
      <c r="G1635">
        <f>Skills!G28*IF(Skills!H28&gt;0,INT(IF(Inputs!$B$38="pvp",MIN(Skills!I28,15),Skills!I28)/Skills!H28+0.000000001),1)</f>
        <v/>
      </c>
      <c r="H1635">
        <f>1-(1-Skills!J28/100)^Skills!K28</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Skills!A29</f>
        <v/>
      </c>
      <c r="B1636">
        <f>Skills!B29</f>
        <v/>
      </c>
      <c r="C1636">
        <f>Inputs!$B$3&gt;=125</f>
        <v/>
      </c>
      <c r="D1636">
        <f>IF(Skills!C29=1,60+Inputs!$B$25+Inputs!$B$29,IF(Skills!C29=2,90+Inputs!$B$26+Inputs!$B$29,IF(Skills!C29=3,120+Inputs!$B$27+Inputs!$B$29,MAX(0,(Inputs!$B$3-100)*3)+Inputs!$B$28+Inputs!$B$29)))</f>
        <v/>
      </c>
      <c r="E1636">
        <f>INDEX(FactorTable!$B$2:$Y$301, MATCH(ROUND(MIN(300,MAX(1,D1636)),0), FactorTable!$A$2:$A$301,0), Skills!M29+1)</f>
        <v/>
      </c>
      <c r="F1636">
        <f>IF(Skills!N29=TRUE,(Skills!L29/10)*(E1636/1000),Skills!L29/10)+Skills!O29</f>
        <v/>
      </c>
      <c r="G1636">
        <f>Skills!G29*IF(Skills!H29&gt;0,INT(IF(Inputs!$B$38="pvp",MIN(Skills!I29,15),Skills!I29)/Skills!H29+0.000000001),1)</f>
        <v/>
      </c>
      <c r="H1636">
        <f>1-(1-Skills!J29/100)^Skills!K29</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Skills!A30</f>
        <v/>
      </c>
      <c r="B1637">
        <f>Skills!B30</f>
        <v/>
      </c>
      <c r="C1637">
        <f>Inputs!$B$3&gt;=120</f>
        <v/>
      </c>
      <c r="D1637">
        <f>IF(Skills!C30=1,60+Inputs!$B$25+Inputs!$B$29,IF(Skills!C30=2,90+Inputs!$B$26+Inputs!$B$29,IF(Skills!C30=3,120+Inputs!$B$27+Inputs!$B$29,MAX(0,(Inputs!$B$3-100)*3)+Inputs!$B$28+Inputs!$B$29)))</f>
        <v/>
      </c>
      <c r="E1637">
        <f>INDEX(FactorTable!$B$2:$Y$301, MATCH(ROUND(MIN(300,MAX(1,D1637)),0), FactorTable!$A$2:$A$301,0), Skills!M30+1)</f>
        <v/>
      </c>
      <c r="F1637">
        <f>IF(Skills!N30=TRUE,(Skills!L30/10)*(E1637/1000),Skills!L30/10)+Skills!O30</f>
        <v/>
      </c>
      <c r="G1637">
        <f>Skills!G30*IF(Skills!H30&gt;0,INT(IF(Inputs!$B$38="pvp",MIN(Skills!I30,15),Skills!I30)/Skills!H30+0.000000001),1)</f>
        <v/>
      </c>
      <c r="H1637">
        <f>1-(1-Skills!J30/100)^Skills!K30</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Skills!A31</f>
        <v/>
      </c>
      <c r="B1638">
        <f>Skills!B31</f>
        <v/>
      </c>
      <c r="C1638">
        <f>Inputs!$B$3&gt;=120</f>
        <v/>
      </c>
      <c r="D1638">
        <f>IF(Skills!C31=1,60+Inputs!$B$25+Inputs!$B$29,IF(Skills!C31=2,90+Inputs!$B$26+Inputs!$B$29,IF(Skills!C31=3,120+Inputs!$B$27+Inputs!$B$29,MAX(0,(Inputs!$B$3-100)*3)+Inputs!$B$28+Inputs!$B$29)))</f>
        <v/>
      </c>
      <c r="E1638">
        <f>INDEX(FactorTable!$B$2:$Y$301, MATCH(ROUND(MIN(300,MAX(1,D1638)),0), FactorTable!$A$2:$A$301,0), Skills!M31+1)</f>
        <v/>
      </c>
      <c r="F1638">
        <f>IF(Skills!N31=TRUE,(Skills!L31/10)*(E1638/1000),Skills!L31/10)+Skills!O31</f>
        <v/>
      </c>
      <c r="G1638">
        <f>Skills!G31*IF(Skills!H31&gt;0,INT(IF(Inputs!$B$38="pvp",MIN(Skills!I31,15),Skills!I31)/Skills!H31+0.000000001),1)</f>
        <v/>
      </c>
      <c r="H1638">
        <f>1-(1-Skills!J31/100)^Skills!K31</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Skills!A32</f>
        <v/>
      </c>
      <c r="B1639">
        <f>Skills!B32</f>
        <v/>
      </c>
      <c r="C1639">
        <f>Inputs!$B$3&gt;=45</f>
        <v/>
      </c>
      <c r="D1639">
        <f>IF(Skills!C32=1,60+Inputs!$B$25+Inputs!$B$29,IF(Skills!C32=2,90+Inputs!$B$26+Inputs!$B$29,IF(Skills!C32=3,120+Inputs!$B$27+Inputs!$B$29,MAX(0,(Inputs!$B$3-100)*3)+Inputs!$B$28+Inputs!$B$29)))</f>
        <v/>
      </c>
      <c r="E1639">
        <f>INDEX(FactorTable!$B$2:$Y$301, MATCH(ROUND(MIN(300,MAX(1,D1639)),0), FactorTable!$A$2:$A$301,0), Skills!M32+1)</f>
        <v/>
      </c>
      <c r="F1639">
        <f>IF(Skills!N32=TRUE,(Skills!L32/10)*(E1639/1000),Skills!L32/10)+Skills!O32</f>
        <v/>
      </c>
      <c r="G1639">
        <f>Skills!G32*IF(Skills!H32&gt;0,INT(IF(Inputs!$B$38="pvp",MIN(Skills!I32,15),Skills!I32)/Skills!H32+0.000000001),1)</f>
        <v/>
      </c>
      <c r="H1639">
        <f>1-(1-Skills!J32/100)^Skills!K32</f>
        <v/>
      </c>
      <c r="I1639" t="inlineStr">
        <is>
          <t>1</t>
        </is>
      </c>
      <c r="J1639" t="inlineStr"/>
      <c r="K1639" t="inlineStr"/>
      <c r="L1639" t="inlineStr"/>
      <c r="M1639" t="inlineStr"/>
      <c r="N1639" t="inlineStr"/>
      <c r="O1639">
        <f>(1-Summary!$B$11)*T1639+Summary!$B$11*V1639</f>
        <v/>
      </c>
      <c r="P1639">
        <f>IF(B1652=0,0,O1639/B1652)</f>
        <v/>
      </c>
      <c r="Q1639" t="n">
        <v>0</v>
      </c>
      <c r="R1639" t="n">
        <v>0</v>
      </c>
      <c r="S1639">
        <f>IFERROR(O1639/N1639,0)</f>
        <v/>
      </c>
      <c r="T1639" t="n">
        <v>0</v>
      </c>
      <c r="V1639" t="n">
        <v>0</v>
      </c>
    </row>
    <row r="1641">
      <c r="A1641" t="inlineStr">
        <is>
          <t>Attack% Bucket Multiplier</t>
        </is>
      </c>
      <c r="B1641">
        <f>(1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t>
        </is>
      </c>
      <c r="B1643">
        <f>((C1628=TRUE)*F1628*IF(AND(Inputs!$B$38&lt;&gt;"pvp",Inputs!$B$43&gt;0),(((R1628-1)*MIN((Skills!T21*(1+Inputs!$B$34/100)),(1/Q1628))+MIN((Skills!T21*(1+Inputs!$B$34/100)),MAX(0,Inputs!$B$43-((R1628-1)*(1/Q1628)))))/Inputs!$B$43),IF(Inputs!$B$38="pvp",MIN((Skills!T21*(1+Inputs!$B$34/100)),15)/15,MIN(1,(Skills!T21*(1+Inputs!$B$34/100))/(1/Q1628)))))</f>
        <v/>
      </c>
    </row>
    <row r="1644">
      <c r="A1644" t="inlineStr">
        <is>
          <t>Actions Per Second</t>
        </is>
      </c>
      <c r="B1644">
        <f>1+MIN(150,150*(1-(1-(Inputs!$B$11+((C1630=TRUE)*(F1630-Calc!F23))+((C1631=TRUE)*(F1631-Calc!F24)))/150)*(1-B1643/150)))/100</f>
        <v/>
      </c>
    </row>
    <row r="1645">
      <c r="A1645" t="inlineStr">
        <is>
          <t>Skill + Buff Cast Rate</t>
        </is>
      </c>
      <c r="B1645">
        <f>IF(AND(Inputs!$B$38&lt;&gt;"pvp",Inputs!$B$43&gt;0),SUMPRODUCT((Skills!E2:E32=TRUE)*(C1609:C1639=TRUE)*R1609:R1639*Skills!F2:F32)/Inputs!$B$43,SUMPRODUCT((Skills!E2:E32=TRUE)*(C1609:C1639=TRUE)*Q1609:Q1639*Skills!F2:F32))</f>
        <v/>
      </c>
    </row>
    <row r="1646">
      <c r="A1646" t="inlineStr">
        <is>
          <t>Arrow Stream Casts Per Second</t>
        </is>
      </c>
      <c r="B1646">
        <f>MAX(0,B1644-B1645)</f>
        <v/>
      </c>
    </row>
    <row r="1647">
      <c r="A1647" t="inlineStr">
        <is>
          <t>Global Critical Damage Bonus % (Sharp Eyes + Concentration)</t>
        </is>
      </c>
      <c r="B1647">
        <f>(C1625=TRUE)*F1625*IF(AND(Inputs!$B$38&lt;&gt;"pvp",Inputs!$B$43&gt;0),(((R1625-1)*MIN((Skills!T18*(1+Inputs!$B$34/100)),(1/Q1625))+MIN((Skills!T18*(1+Inputs!$B$34/100)),MAX(0,Inputs!$B$43-((R1625-1)*(1/Q1625)))))/Inputs!$B$43),IF(Inputs!$B$38="pvp",MIN((Skills!T18*(1+Inputs!$B$34/100)),15)/15,MIN(1,(Skills!T18*(1+Inputs!$B$34/100))/(1/Q1625))))+(C1626=TRUE)*7*F1626</f>
        <v/>
      </c>
    </row>
    <row r="1648">
      <c r="A1648" t="inlineStr">
        <is>
          <t>Global Final Damage Bonus % (Mortal Blow)</t>
        </is>
      </c>
      <c r="B1648">
        <f>(C1627=TRUE)*F1627</f>
        <v/>
      </c>
    </row>
    <row r="1649">
      <c r="A1649" t="inlineStr">
        <is>
          <t>Buff-Casting Startup Delay (s, fixed-duration only)</t>
        </is>
      </c>
      <c r="B1649">
        <f>IF(AND(Inputs!$B$38&lt;&gt;"pvp",Inputs!$B$43&gt;0),SUMPRODUCT((Skills!T2:T32&gt;0)*(Skills!E2:E32=TRUE)*(C1609:C1639=TRUE))/B1644,0)</f>
        <v/>
      </c>
    </row>
    <row r="1650">
      <c r="A1650" t="inlineStr">
        <is>
          <t>Boss-Only Total DPS (this block's swept value)</t>
        </is>
      </c>
      <c r="B1650">
        <f>SUM(T1609:T1639)</f>
        <v/>
      </c>
    </row>
    <row r="1651">
      <c r="A1651" t="inlineStr">
        <is>
          <t>Normal-Only Total DPS (this block's swept value)</t>
        </is>
      </c>
      <c r="B1651">
        <f>SUM(V1609:V1639)</f>
        <v/>
      </c>
    </row>
    <row r="1652">
      <c r="A1652" s="6" t="inlineStr">
        <is>
          <t>TOTAL DPS</t>
        </is>
      </c>
      <c r="B1652" s="6">
        <f>SUM(O1609:O1639)</f>
        <v/>
      </c>
    </row>
    <row r="1655">
      <c r="A1655" s="6" t="inlineStr">
        <is>
          <t>Stat: Mushmom's Cap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Skills!G2*IF(Skills!H2&gt;0,INT(IF(Inputs!$B$38="pvp",MIN(Skills!I2,15),Skills!I2)/Skills!H2+0.000000001),1)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1681=TRUE)*(F1681-Calc!F26)),(Inputs!$B$23+((C1686=TRUE)*(F1686-Calc!F31))+(IF(ArtifactsInput!$M$15,CHOOSE(ArtifactsInput!$N$15+1,25,30,35,40,45,50)/100*(Inputs!$B$11-Inputs!$B$11),0))))/100+(Inputs!$B$23+((C1686=TRUE)*(F1686-Calc!F31))+(IF(ArtifactsInput!$M$15,CHOOSE(ArtifactsInput!$N$15+1,25,30,35,40,45,50)/100*(Inputs!$B$11-Inputs!$B$11),0)))/100)/2</f>
        <v/>
      </c>
      <c r="M1657">
        <f>L1657*(1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IF(B1700=0,0,O1657/B1700)</f>
        <v/>
      </c>
      <c r="Q1657" t="n">
        <v>0</v>
      </c>
      <c r="R1657" t="n">
        <v>0</v>
      </c>
      <c r="S1657">
        <f>IFERROR(O1657/N1657,0)</f>
        <v/>
      </c>
      <c r="T1657">
        <f>IF(C1657,(Skills!G2*N1657*B1694)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IF(C1657,(Skills!G2*N1657*B1694)*IF(Inputs!$B$38="pvp",1,(1+(Inputs!$B$21+Skills!Q2+(IF(ArtifactsInput!$M$33,CHOOSE(ArtifactsInput!$N$33+1,30,36,42,48,54,60),0))+(IF(AND(ArtifactsInput!$M$35,Inputs!$B$4&lt;&gt;"Chapter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Inputs!$B$3&gt;=50</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Skills!G3*IF(Skills!H3&gt;0,INT(IF(Inputs!$B$38="pvp",MIN(Skills!I3,15),Skills!I3)/Skills!H3+0.000000001),1)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1659=TRUE,F1659,0)/100)*(1+(IF(Skills!A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1681=TRUE)*(F1681-Calc!F26)),(Inputs!$B$23+((C1686=TRUE)*(F1686-Calc!F31))+(IF(ArtifactsInput!$M$15,CHOOSE(ArtifactsInput!$N$15+1,25,30,35,40,45,50)/100*(Inputs!$B$11-Inputs!$B$11),0))))/100+(Inputs!$B$23+((C1686=TRUE)*(F1686-Calc!F31))+(IF(ArtifactsInput!$M$15,CHOOSE(ArtifactsInput!$N$15+1,25,30,35,40,45,50)/100*(Inputs!$B$11-Inputs!$B$11),0)))/100)/2</f>
        <v/>
      </c>
      <c r="M1658">
        <f>L1658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IF(B1700=0,0,O1658/B1700)</f>
        <v/>
      </c>
      <c r="Q1658">
        <f>IFERROR(1/(IF(Inputs!$B$38="pvp",15,MAX(0.1,1/B1692-IF(FALSE=TRUE,Inputs!$B$32,0)))*(1-IF(AND(ArtifactsInput!$M$27,Inputs!$B$4="Chapter Hunt"),CHOOSE(ArtifactsInput!$N$27+1,20,24,28,32,36,40),0)/100)),0)</f>
        <v/>
      </c>
      <c r="R1658">
        <f>IF(AND(Inputs!$B$38&lt;&gt;"pvp",Inputs!$B$43&gt;0),IF(MAX(0,Inputs!$B$43-B1697)&lt;=0,0,(INT(MAX(0,Inputs!$B$43-B1697)/(IF(Inputs!$B$38="pvp",15,MAX(0.1,1/B1692-IF(FALSE=TRUE,Inputs!$B$32,0)))*(1-IF(AND(ArtifactsInput!$M$27,Inputs!$B$4="Chapter Hunt"),CHOOSE(ArtifactsInput!$N$27+1,20,24,28,32,36,40),0)/100)))+1)),0)</f>
        <v/>
      </c>
      <c r="S1658">
        <f>IFERROR(O1658/N1658,0)</f>
        <v/>
      </c>
      <c r="T1658">
        <f>IF(C1658,(H1658*N1658*IF(AND(Inputs!$B$38&lt;&gt;"pvp",Inputs!$B$43&gt;0),((Skills!G3*((R1658-1)*IF(Skills!H3&gt;0,INT(Skills!I3/Skills!H3+0.000000001),1)+IF(Skills!H3&gt;0,INT(MIN(Skills!I3,MAX(0,MAX(0,Inputs!$B$43-B1697)-((R1658-1)*(IF(Inputs!$B$38="pvp",15,MAX(0.1,1/B1692-IF(FALSE=TRUE,Inputs!$B$32,0)))*(1-IF(AND(ArtifactsInput!$M$27,Inputs!$B$4="Chapter Hunt"),CHOOSE(ArtifactsInput!$N$27+1,20,24,28,32,36,40),0)/100)))))/Skills!H3+0.000000001),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INT(Skills!I3/Skills!H3+0.000000001),1)+IF(Skills!H3&gt;0,INT(MIN(Skills!I3,MAX(0,MAX(0,Inputs!$B$43-B1697)-((R1658-1)*(IF(Inputs!$B$38="pvp",15,MAX(0.1,1/B1692-IF(FALSE=TRUE,Inputs!$B$32,0)))*(1-IF(AND(ArtifactsInput!$M$27,Inputs!$B$4="Chapter Hunt"),CHOOSE(ArtifactsInput!$N$27+1,20,24,28,32,36,40),0)/100)))))/Skills!H3+0.000000001),1)))/Inputs!$B$43),G1658*Q1658))*IF(Inputs!$B$38="pvp",1,(1+(Inputs!$B$21+Skills!Q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Inputs!$B$3&gt;=105</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t="inlineStr"/>
      <c r="H1659" t="inlineStr"/>
      <c r="I1659" t="inlineStr">
        <is>
          <t>1</t>
        </is>
      </c>
      <c r="J1659" t="inlineStr"/>
      <c r="K1659" t="inlineStr"/>
      <c r="L1659" t="inlineStr"/>
      <c r="M1659" t="inlineStr"/>
      <c r="N1659" t="inlineStr"/>
      <c r="O1659" t="inlineStr"/>
      <c r="P1659" t="inlineStr"/>
      <c r="Q1659" t="inlineStr"/>
      <c r="R1659" t="inlineStr"/>
      <c r="S1659" t="inlineStr"/>
      <c r="T1659" t="inlineStr"/>
      <c r="U1659">
        <f>290*U1658/1000</f>
        <v/>
      </c>
      <c r="V1659" t="inlineStr"/>
    </row>
    <row r="1660">
      <c r="A1660">
        <f>Skills!A5</f>
        <v/>
      </c>
      <c r="B1660">
        <f>Skills!B5</f>
        <v/>
      </c>
      <c r="C1660">
        <f>Inputs!$B$3&gt;=35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Skills!G5*IF(Skills!H5&gt;0,INT(IF(Inputs!$B$38="pvp",MIN(Skills!I5,15),Skills!I5)/Skills!H5+0.000000001),1)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1667=TRUE,F1667,0)/100)*(1+(IF(Skills!A5="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1681=TRUE)*(F1681-Calc!F26)),(Inputs!$B$23+((C1686=TRUE)*(F1686-Calc!F31))+(IF(ArtifactsInput!$M$15,CHOOSE(ArtifactsInput!$N$15+1,25,30,35,40,45,50)/100*(Inputs!$B$11-Inputs!$B$11),0))))/100+(Inputs!$B$23+((C1686=TRUE)*(F1686-Calc!F31))+(IF(ArtifactsInput!$M$15,CHOOSE(ArtifactsInput!$N$15+1,25,30,35,40,45,50)/100*(Inputs!$B$11-Inputs!$B$11),0)))/100)/2</f>
        <v/>
      </c>
      <c r="M1660">
        <f>L1660*(1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IF(B1700=0,0,O1660/B1700)</f>
        <v/>
      </c>
      <c r="Q1660">
        <f>IFERROR(1/(IF(Inputs!$B$38="pvp",15,MAX(0.1,Skills!D5-IF(TRUE=TRUE,Inputs!$B$32,0)))*(1-IF(AND(ArtifactsInput!$M$27,Inputs!$B$4="Chapter Hunt"),CHOOSE(ArtifactsInput!$N$27+1,20,24,28,32,36,40),0)/100)),0)</f>
        <v/>
      </c>
      <c r="R1660">
        <f>IF(AND(Inputs!$B$38&lt;&gt;"pvp",Inputs!$B$43&gt;0),IF(MAX(0,Inputs!$B$43-B1697)&lt;=0,0,(INT(MAX(0,Inputs!$B$43-B1697)/(IF(Inputs!$B$38="pvp",15,MAX(0.1,Skills!D5-IF(TRUE=TRUE,Inputs!$B$32,0)))*(1-IF(AND(ArtifactsInput!$M$27,Inputs!$B$4="Chapter Hunt"),CHOOSE(ArtifactsInput!$N$27+1,20,24,28,32,36,40),0)/100)))+1)),0)</f>
        <v/>
      </c>
      <c r="S1660">
        <f>IFERROR(O1660/N1660,0)</f>
        <v/>
      </c>
      <c r="T1660">
        <f>IF(C1660,(H1660*N1660*IF(AND(Inputs!$B$38&lt;&gt;"pvp",Inputs!$B$43&gt;0),((Skills!G5*((R1660-1)*IF(Skills!H5&gt;0,INT(Skills!I5/Skills!H5+0.000000001),1)+IF(Skills!H5&gt;0,INT(MIN(Skills!I5,MAX(0,MAX(0,Inputs!$B$43-B1697)-((R1660-1)*(IF(Inputs!$B$38="pvp",15,MAX(0.1,Skills!D5-IF(TRUE=TRUE,Inputs!$B$32,0)))*(1-IF(AND(ArtifactsInput!$M$27,Inputs!$B$4="Chapter Hunt"),CHOOSE(ArtifactsInput!$N$27+1,20,24,28,32,36,40),0)/100)))))/Skills!H5+0.000000001),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INT(Skills!I5/Skills!H5+0.000000001),1)+IF(Skills!H5&gt;0,INT(MIN(Skills!I5,MAX(0,MAX(0,Inputs!$B$43-B1697)-((R1660-1)*(IF(Inputs!$B$38="pvp",15,MAX(0.1,Skills!D5-IF(TRUE=TRUE,Inputs!$B$32,0)))*(1-IF(AND(ArtifactsInput!$M$27,Inputs!$B$4="Chapter Hunt"),CHOOSE(ArtifactsInput!$N$27+1,20,24,28,32,36,40),0)/100)))))/Skills!H5+0.000000001),1)))/Inputs!$B$43),G1660*Q1660))*IF(Inputs!$B$38="pvp",1,(1+(Inputs!$B$21+Skills!Q5+(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Inputs!$B$3&gt;=40</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Skills!G6*IF(Skills!H6&gt;0,INT(IF(Inputs!$B$38="pvp",MIN(Skills!I6,15),Skills!I6)/Skills!H6+0.000000001),1)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1662=TRUE,F1662,0)/100)*(1+(IF(Skills!A6="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1681=TRUE)*(F1681-Calc!F26)),(Inputs!$B$23+((C1686=TRUE)*(F1686-Calc!F31))+(IF(ArtifactsInput!$M$15,CHOOSE(ArtifactsInput!$N$15+1,25,30,35,40,45,50)/100*(Inputs!$B$11-Inputs!$B$11),0))))/100+(Inputs!$B$23+((C1686=TRUE)*(F1686-Calc!F31))+(IF(ArtifactsInput!$M$15,CHOOSE(ArtifactsInput!$N$15+1,25,30,35,40,45,50)/100*(Inputs!$B$11-Inputs!$B$11),0)))/100)/2</f>
        <v/>
      </c>
      <c r="M1661">
        <f>L1661*(1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IF(B1700=0,0,O1661/B1700)</f>
        <v/>
      </c>
      <c r="Q1661">
        <f>IFERROR(1/(IF(Inputs!$B$38="pvp",15,MAX(0.1,1-0.4*MIN(1,(B1692-1)/1.5)-IF(FALSE=TRUE,Inputs!$B$32,0)))*(1-IF(AND(ArtifactsInput!$M$27,Inputs!$B$4="Chapter Hunt"),CHOOSE(ArtifactsInput!$N$27+1,20,24,28,32,36,40),0)/100)),0)</f>
        <v/>
      </c>
      <c r="R1661">
        <f>IF(AND(Inputs!$B$38&lt;&gt;"pvp",Inputs!$B$43&gt;0),IF(MAX(0,Inputs!$B$43-B1697)&lt;=0,0,(INT(MAX(0,Inputs!$B$43-B1697)/(IF(Inputs!$B$38="pvp",15,MAX(0.1,1-0.4*MIN(1,(B1692-1)/1.5)-IF(FALSE=TRUE,Inputs!$B$32,0)))*(1-IF(AND(ArtifactsInput!$M$27,Inputs!$B$4="Chapter Hunt"),CHOOSE(ArtifactsInput!$N$27+1,20,24,28,32,36,40),0)/100)))+1)),0)</f>
        <v/>
      </c>
      <c r="S1661">
        <f>IFERROR(O1661/N1661,0)</f>
        <v/>
      </c>
      <c r="T1661">
        <f>IF(C1661,(H1661*N1661*IF(AND(Inputs!$B$38&lt;&gt;"pvp",Inputs!$B$43&gt;0),((Skills!G6*((R1661-1)*IF(Skills!H6&gt;0,INT(Skills!I6/Skills!H6+0.000000001),1)+IF(Skills!H6&gt;0,INT(MIN(Skills!I6,MAX(0,MAX(0,Inputs!$B$43-B1697)-((R1661-1)*(IF(Inputs!$B$38="pvp",15,MAX(0.1,1-0.4*MIN(1,(B1692-1)/1.5)-IF(FALSE=TRUE,Inputs!$B$32,0)))*(1-IF(AND(ArtifactsInput!$M$27,Inputs!$B$4="Chapter Hunt"),CHOOSE(ArtifactsInput!$N$27+1,20,24,28,32,36,40),0)/100)))))/Skills!H6+0.000000001),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INT(Skills!I6/Skills!H6+0.000000001),1)+IF(Skills!H6&gt;0,INT(MIN(Skills!I6,MAX(0,MAX(0,Inputs!$B$43-B1697)-((R1661-1)*(IF(Inputs!$B$38="pvp",15,MAX(0.1,1-0.4*MIN(1,(B1692-1)/1.5)-IF(FALSE=TRUE,Inputs!$B$32,0)))*(1-IF(AND(ArtifactsInput!$M$27,Inputs!$B$4="Chapter Hunt"),CHOOSE(ArtifactsInput!$N$27+1,20,24,28,32,36,40),0)/100)))))/Skills!H6+0.000000001),1)))/Inputs!$B$43),G1661*Q1661))*IF(Inputs!$B$38="pvp",1,(1+(Inputs!$B$21+Skills!Q6+(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Inputs!$B$3&gt;=107</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t="inlineStr"/>
      <c r="H1662" t="inlineStr"/>
      <c r="I1662" t="inlineStr">
        <is>
          <t>1</t>
        </is>
      </c>
      <c r="J1662" t="inlineStr"/>
      <c r="K1662" t="inlineStr"/>
      <c r="L1662" t="inlineStr"/>
      <c r="M1662" t="inlineStr"/>
      <c r="N1662" t="inlineStr"/>
      <c r="O1662" t="inlineStr"/>
      <c r="P1662" t="inlineStr"/>
      <c r="Q1662" t="inlineStr"/>
      <c r="R1662" t="inlineStr"/>
      <c r="S1662" t="inlineStr"/>
      <c r="T1662" t="inlineStr"/>
      <c r="V1662" t="inlineStr"/>
    </row>
    <row r="1663">
      <c r="A1663">
        <f>Skills!A8</f>
        <v/>
      </c>
      <c r="B1663">
        <f>Skills!B8</f>
        <v/>
      </c>
      <c r="C1663">
        <f>Inputs!$B$3&gt;=130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Skills!G8*IF(Skills!H8&gt;0,INT(IF(Inputs!$B$38="pvp",MIN(Skills!I8,15),Skills!I8)/Skills!H8+0.000000001),1)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1681=TRUE)*(F1681-Calc!F26)),(Inputs!$B$23+((C1686=TRUE)*(F1686-Calc!F31))+(IF(ArtifactsInput!$M$15,CHOOSE(ArtifactsInput!$N$15+1,25,30,35,40,45,50)/100*(Inputs!$B$11-Inputs!$B$11),0))))/100+(Inputs!$B$23+((C1686=TRUE)*(F1686-Calc!F31))+(IF(ArtifactsInput!$M$15,CHOOSE(ArtifactsInput!$N$15+1,25,30,35,40,45,50)/100*(Inputs!$B$11-Inputs!$B$11),0)))/100)/2</f>
        <v/>
      </c>
      <c r="M1663">
        <f>L1663*(1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IF(B1700=0,0,O1663/B1700)</f>
        <v/>
      </c>
      <c r="Q1663">
        <f>IFERROR(1/(IF(Inputs!$B$38="pvp",15,MAX(0.1,1-0.4*MIN(1,(B1692-1)/1.5)-IF(FALSE=TRUE,Inputs!$B$32,0)))*(1-IF(AND(ArtifactsInput!$M$27,Inputs!$B$4="Chapter Hunt"),CHOOSE(ArtifactsInput!$N$27+1,20,24,28,32,36,40),0)/100)),0)</f>
        <v/>
      </c>
      <c r="R1663">
        <f>IF(AND(Inputs!$B$38&lt;&gt;"pvp",Inputs!$B$43&gt;0),IF(MAX(0,Inputs!$B$43-B1697)&lt;=0,0,(INT(MAX(0,Inputs!$B$43-B1697)/(IF(Inputs!$B$38="pvp",15,MAX(0.1,1-0.4*MIN(1,(B1692-1)/1.5)-IF(FALSE=TRUE,Inputs!$B$32,0)))*(1-IF(AND(ArtifactsInput!$M$27,Inputs!$B$4="Chapter Hunt"),CHOOSE(ArtifactsInput!$N$27+1,20,24,28,32,36,40),0)/100)))+1)),0)</f>
        <v/>
      </c>
      <c r="S1663">
        <f>IFERROR(O1663/N1663,0)</f>
        <v/>
      </c>
      <c r="T1663">
        <f>IF(C1663,(H1663*N1663*IF(AND(Inputs!$B$38&lt;&gt;"pvp",Inputs!$B$43&gt;0),((Skills!G8*((R1663-1)*IF(Skills!H8&gt;0,INT(Skills!I8/Skills!H8+0.000000001),1)+IF(Skills!H8&gt;0,INT(MIN(Skills!I8,MAX(0,MAX(0,Inputs!$B$43-B1697)-((R1663-1)*(IF(Inputs!$B$38="pvp",15,MAX(0.1,1-0.4*MIN(1,(B1692-1)/1.5)-IF(FALSE=TRUE,Inputs!$B$32,0)))*(1-IF(AND(ArtifactsInput!$M$27,Inputs!$B$4="Chapter Hunt"),CHOOSE(ArtifactsInput!$N$27+1,20,24,28,32,36,40),0)/100)))))/Skills!H8+0.000000001),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INT(Skills!I8/Skills!H8+0.000000001),1)+IF(Skills!H8&gt;0,INT(MIN(Skills!I8,MAX(0,MAX(0,Inputs!$B$43-B1697)-((R1663-1)*(IF(Inputs!$B$38="pvp",15,MAX(0.1,1-0.4*MIN(1,(B1692-1)/1.5)-IF(FALSE=TRUE,Inputs!$B$32,0)))*(1-IF(AND(ArtifactsInput!$M$27,Inputs!$B$4="Chapter Hunt"),CHOOSE(ArtifactsInput!$N$27+1,20,24,28,32,36,40),0)/100)))))/Skills!H8+0.000000001),1)))/Inputs!$B$43),G1663*Q1663))*IF(Inputs!$B$38="pvp",1,(1+(Inputs!$B$21+Skills!Q8+(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Inputs!$B$3&gt;=69</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Skills!G9*IF(Skills!H9&gt;0,INT(IF(Inputs!$B$38="pvp",MIN(Skills!I9,15),Skills!I9)/Skills!H9+0.000000001),1)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1667=TRUE,F1667,0)/100)*(1+(IF(Skills!A9="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1681=TRUE)*(F1681-Calc!F26)),(Inputs!$B$23+((C1686=TRUE)*(F1686-Calc!F31))+(IF(ArtifactsInput!$M$15,CHOOSE(ArtifactsInput!$N$15+1,25,30,35,40,45,50)/100*(Inputs!$B$11-Inputs!$B$11),0))))/100+(Inputs!$B$23+((C1686=TRUE)*(F1686-Calc!F31))+(IF(ArtifactsInput!$M$15,CHOOSE(ArtifactsInput!$N$15+1,25,30,35,40,45,50)/100*(Inputs!$B$11-Inputs!$B$11),0)))/100)/2</f>
        <v/>
      </c>
      <c r="M1664">
        <f>L1664*(1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IF(B1700=0,0,O1664/B1700)</f>
        <v/>
      </c>
      <c r="Q1664">
        <f>IFERROR(1/(IF(Inputs!$B$38="pvp",15,MAX(0.1,Skills!D9-IF(TRUE=TRUE,Inputs!$B$32,0)))*(1-IF(AND(ArtifactsInput!$M$27,Inputs!$B$4="Chapter Hunt"),CHOOSE(ArtifactsInput!$N$27+1,20,24,28,32,36,40),0)/100)),0)</f>
        <v/>
      </c>
      <c r="R1664">
        <f>IF(AND(Inputs!$B$38&lt;&gt;"pvp",Inputs!$B$43&gt;0),IF(MAX(0,Inputs!$B$43-B1697)&lt;=0,0,(INT(MAX(0,Inputs!$B$43-B1697)/(IF(Inputs!$B$38="pvp",15,MAX(0.1,Skills!D9-IF(TRUE=TRUE,Inputs!$B$32,0)))*(1-IF(AND(ArtifactsInput!$M$27,Inputs!$B$4="Chapter Hunt"),CHOOSE(ArtifactsInput!$N$27+1,20,24,28,32,36,40),0)/100)))+1)),0)</f>
        <v/>
      </c>
      <c r="S1664">
        <f>IFERROR(O1664/N1664,0)</f>
        <v/>
      </c>
      <c r="T1664">
        <f>IF(C1664,(H1664*N1664*IF(AND(Inputs!$B$38&lt;&gt;"pvp",Inputs!$B$43&gt;0),((Skills!G9*((R1664-1)*IF(Skills!H9&gt;0,INT(Skills!I9/Skills!H9+0.000000001),1)+IF(Skills!H9&gt;0,INT(MIN(Skills!I9,MAX(0,MAX(0,Inputs!$B$43-B1697)-((R1664-1)*(IF(Inputs!$B$38="pvp",15,MAX(0.1,Skills!D9-IF(TRUE=TRUE,Inputs!$B$32,0)))*(1-IF(AND(ArtifactsInput!$M$27,Inputs!$B$4="Chapter Hunt"),CHOOSE(ArtifactsInput!$N$27+1,20,24,28,32,36,40),0)/100)))))/Skills!H9+0.000000001),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INT(Skills!I9/Skills!H9+0.000000001),1)+IF(Skills!H9&gt;0,INT(MIN(Skills!I9,MAX(0,MAX(0,Inputs!$B$43-B1697)-((R1664-1)*(IF(Inputs!$B$38="pvp",15,MAX(0.1,Skills!D9-IF(TRUE=TRUE,Inputs!$B$32,0)))*(1-IF(AND(ArtifactsInput!$M$27,Inputs!$B$4="Chapter Hunt"),CHOOSE(ArtifactsInput!$N$27+1,20,24,28,32,36,40),0)/100)))))/Skills!H9+0.000000001),1)))/Inputs!$B$43),G1664*Q1664))*IF(Inputs!$B$38="pvp",1,(1+(Inputs!$B$21+Skills!Q9+(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Inputs!$B$3&gt;=63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Skills!G10*IF(Skills!H10&gt;0,INT(IF(Inputs!$B$38="pvp",MIN(Skills!I10,15),Skills!I10)/Skills!H10+0.000000001),1)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1667=TRUE,F1667,0)/100)*(1+(IF(Skills!A10="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1681=TRUE)*(F1681-Calc!F26)),(Inputs!$B$23+((C1686=TRUE)*(F1686-Calc!F31))+(IF(ArtifactsInput!$M$15,CHOOSE(ArtifactsInput!$N$15+1,25,30,35,40,45,50)/100*(Inputs!$B$11-Inputs!$B$11),0))))/100+(Inputs!$B$23+((C1686=TRUE)*(F1686-Calc!F31))+(IF(ArtifactsInput!$M$15,CHOOSE(ArtifactsInput!$N$15+1,25,30,35,40,45,50)/100*(Inputs!$B$11-Inputs!$B$11),0)))/100)/2</f>
        <v/>
      </c>
      <c r="M1665">
        <f>L1665*(1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IF(B1700=0,0,O1665/B1700)</f>
        <v/>
      </c>
      <c r="Q1665">
        <f>IFERROR(1/(IF(Inputs!$B$38="pvp",15,MAX(0.1,Skills!D10-IF(TRUE=TRUE,Inputs!$B$32,0)))*(1-IF(AND(ArtifactsInput!$M$27,Inputs!$B$4="Chapter Hunt"),CHOOSE(ArtifactsInput!$N$27+1,20,24,28,32,36,40),0)/100)),0)</f>
        <v/>
      </c>
      <c r="R1665">
        <f>IF(AND(Inputs!$B$38&lt;&gt;"pvp",Inputs!$B$43&gt;0),IF(MAX(0,Inputs!$B$43-B1697)&lt;=0,0,(INT(MAX(0,Inputs!$B$43-B1697)/(IF(Inputs!$B$38="pvp",15,MAX(0.1,Skills!D10-IF(TRUE=TRUE,Inputs!$B$32,0)))*(1-IF(AND(ArtifactsInput!$M$27,Inputs!$B$4="Chapter Hunt"),CHOOSE(ArtifactsInput!$N$27+1,20,24,28,32,36,40),0)/100)))+1)),0)</f>
        <v/>
      </c>
      <c r="S1665">
        <f>IFERROR(O1665/N1665,0)</f>
        <v/>
      </c>
      <c r="T1665">
        <f>IF(C1665,(H1665*N1665*IF(AND(Inputs!$B$38&lt;&gt;"pvp",Inputs!$B$43&gt;0),((Skills!G10*((R1665-1)*IF(Skills!H10&gt;0,INT(Skills!I10/Skills!H10+0.000000001),1)+IF(Skills!H10&gt;0,INT(MIN(Skills!I10,MAX(0,MAX(0,Inputs!$B$43-B1697)-((R1665-1)*(IF(Inputs!$B$38="pvp",15,MAX(0.1,Skills!D10-IF(TRUE=TRUE,Inputs!$B$32,0)))*(1-IF(AND(ArtifactsInput!$M$27,Inputs!$B$4="Chapter Hunt"),CHOOSE(ArtifactsInput!$N$27+1,20,24,28,32,36,40),0)/100)))))/Skills!H10+0.000000001),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INT(Skills!I10/Skills!H10+0.000000001),1)+IF(Skills!H10&gt;0,INT(MIN(Skills!I10,MAX(0,MAX(0,Inputs!$B$43-B1697)-((R1665-1)*(IF(Inputs!$B$38="pvp",15,MAX(0.1,Skills!D10-IF(TRUE=TRUE,Inputs!$B$32,0)))*(1-IF(AND(ArtifactsInput!$M$27,Inputs!$B$4="Chapter Hunt"),CHOOSE(ArtifactsInput!$N$27+1,20,24,28,32,36,40),0)/100)))))/Skills!H10+0.000000001),1)))/Inputs!$B$43),G1665*Q1665))*IF(Inputs!$B$38="pvp",1,(1+(Inputs!$B$21+Skills!Q10+(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Inputs!$B$3&gt;=103</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Skills!G11*IF(Skills!H11&gt;0,INT(IF(Inputs!$B$38="pvp",MIN(Skills!I11,15),Skills!I11)/Skills!H11+0.000000001),1)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1681=TRUE)*(F1681-Calc!F26)),(Inputs!$B$23+((C1686=TRUE)*(F1686-Calc!F31))+(IF(ArtifactsInput!$M$15,CHOOSE(ArtifactsInput!$N$15+1,25,30,35,40,45,50)/100*(Inputs!$B$11-Inputs!$B$11),0))))/100+(Inputs!$B$23+((C1686=TRUE)*(F1686-Calc!F31))+(IF(ArtifactsInput!$M$15,CHOOSE(ArtifactsInput!$N$15+1,25,30,35,40,45,50)/100*(Inputs!$B$11-Inputs!$B$11),0)))/100)/2</f>
        <v/>
      </c>
      <c r="M1666">
        <f>L1666*(1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IF(B1700=0,0,O1666/B1700)</f>
        <v/>
      </c>
      <c r="Q1666">
        <f>IFERROR(1/(IF(Inputs!$B$38="pvp",15,MAX(0.1,Skills!D11-IF(TRUE=TRUE,Inputs!$B$32,0)))*(1-IF(AND(ArtifactsInput!$M$27,Inputs!$B$4="Chapter Hunt"),CHOOSE(ArtifactsInput!$N$27+1,20,24,28,32,36,40),0)/100)),0)</f>
        <v/>
      </c>
      <c r="R1666">
        <f>IF(AND(Inputs!$B$38&lt;&gt;"pvp",Inputs!$B$43&gt;0),IF(MAX(0,Inputs!$B$43-B1697)&lt;=0,0,(INT(MAX(0,Inputs!$B$43-B1697)/(IF(Inputs!$B$38="pvp",15,MAX(0.1,Skills!D11-IF(TRUE=TRUE,Inputs!$B$32,0)))*(1-IF(AND(ArtifactsInput!$M$27,Inputs!$B$4="Chapter Hunt"),CHOOSE(ArtifactsInput!$N$27+1,20,24,28,32,36,40),0)/100)))+1)),0)</f>
        <v/>
      </c>
      <c r="S1666">
        <f>IFERROR(O1666/N1666,0)</f>
        <v/>
      </c>
      <c r="T1666">
        <f>IF(C1666,(H1666*N1666*IF(AND(Inputs!$B$38&lt;&gt;"pvp",Inputs!$B$43&gt;0),((Skills!G11*((R1666-1)*IF(Skills!H11&gt;0,INT(Skills!I11/Skills!H11+0.000000001),1)+IF(Skills!H11&gt;0,INT(MIN(Skills!I11,MAX(0,MAX(0,Inputs!$B$43-B1697)-((R1666-1)*(IF(Inputs!$B$38="pvp",15,MAX(0.1,Skills!D11-IF(TRUE=TRUE,Inputs!$B$32,0)))*(1-IF(AND(ArtifactsInput!$M$27,Inputs!$B$4="Chapter Hunt"),CHOOSE(ArtifactsInput!$N$27+1,20,24,28,32,36,40),0)/100)))))/Skills!H11+0.000000001)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INT(Skills!I11/Skills!H11+0.000000001),1)+IF(Skills!H11&gt;0,INT(MIN(Skills!I11,MAX(0,MAX(0,Inputs!$B$43-B1697)-((R1666-1)*(IF(Inputs!$B$38="pvp",15,MAX(0.1,Skills!D11-IF(TRUE=TRUE,Inputs!$B$32,0)))*(1-IF(AND(ArtifactsInput!$M$27,Inputs!$B$4="Chapter Hunt"),CHOOSE(ArtifactsInput!$N$27+1,20,24,28,32,36,40),0)/100)))))/Skills!H11+0.000000001),1)))/Inputs!$B$43),G1666*Q1666))*IF(Inputs!$B$38="pvp",1,(1+(Inputs!$B$21+Skills!Q11+(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Inputs!$B$3&gt;=100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t="inlineStr"/>
      <c r="H1667" t="inlineStr"/>
      <c r="I1667" t="inlineStr">
        <is>
          <t>1</t>
        </is>
      </c>
      <c r="J1667" t="inlineStr"/>
      <c r="K1667" t="inlineStr"/>
      <c r="L1667" t="inlineStr"/>
      <c r="M1667" t="inlineStr"/>
      <c r="N1667" t="inlineStr"/>
      <c r="O1667" t="inlineStr"/>
      <c r="P1667" t="inlineStr"/>
      <c r="Q1667" t="inlineStr"/>
      <c r="R1667" t="inlineStr"/>
      <c r="S1667" t="inlineStr"/>
      <c r="T1667" t="inlineStr"/>
      <c r="V1667" t="inlineStr"/>
    </row>
    <row r="1668">
      <c r="A1668">
        <f>Skills!A13</f>
        <v/>
      </c>
      <c r="B1668">
        <f>Skills!B13</f>
        <v/>
      </c>
      <c r="C1668">
        <f>Inputs!$B$3&gt;=60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Skills!G13*IF(Skills!H13&gt;0,INT(IF(Inputs!$B$38="pvp",MIN(Skills!I13,15),Skills!I13)/Skills!H13+0.000000001),1)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1669=TRUE,F1669,0)/100)*(1+(IF(Skills!A13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1681=TRUE)*(F1681-Calc!F26)),(Inputs!$B$23+((C1686=TRUE)*(F1686-Calc!F31))+(IF(ArtifactsInput!$M$15,CHOOSE(ArtifactsInput!$N$15+1,25,30,35,40,45,50)/100*(Inputs!$B$11-Inputs!$B$11),0))))/100+(Inputs!$B$23+((C1686=TRUE)*(F1686-Calc!F31))+(IF(ArtifactsInput!$M$15,CHOOSE(ArtifactsInput!$N$15+1,25,30,35,40,45,50)/100*(Inputs!$B$11-Inputs!$B$11),0)))/100)/2</f>
        <v/>
      </c>
      <c r="M1668">
        <f>L1668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IF(B1700=0,0,O1668/B1700)</f>
        <v/>
      </c>
      <c r="Q1668">
        <f>IFERROR(1/(IF(Inputs!$B$38="pvp",15,MAX(0.1,IF(Inputs!$B$3&gt;=122,3,5)+1/(((20+30*(B1692-1)*100/150)/100)*B1692)-IF(FALSE=TRUE,Inputs!$B$32,0)))*(1-IF(AND(ArtifactsInput!$M$27,Inputs!$B$4="Chapter Hunt"),CHOOSE(ArtifactsInput!$N$27+1,20,24,28,32,36,40),0)/100)),0)</f>
        <v/>
      </c>
      <c r="R1668">
        <f>IF(AND(Inputs!$B$38&lt;&gt;"pvp",Inputs!$B$43&gt;0),IF(MAX(0,Inputs!$B$43-B1697)&lt;=0,0,(INT(MAX(0,Inputs!$B$43-B1697)/(IF(Inputs!$B$38="pvp",15,MAX(0.1,IF(Inputs!$B$3&gt;=122,3,5)+1/(((20+30*(B1692-1)*100/150)/100)*B1692)-IF(FALSE=TRUE,Inputs!$B$32,0)))*(1-IF(AND(ArtifactsInput!$M$27,Inputs!$B$4="Chapter Hunt"),CHOOSE(ArtifactsInput!$N$27+1,20,24,28,32,36,40),0)/100)))+1)),0)</f>
        <v/>
      </c>
      <c r="S1668">
        <f>IFERROR(O1668/N1668,0)</f>
        <v/>
      </c>
      <c r="T1668">
        <f>IF(C1668,(H1668*N1668*IF(AND(Inputs!$B$38&lt;&gt;"pvp",Inputs!$B$43&gt;0),((Skills!G13*((R1668-1)*IF(Skills!H13&gt;0,INT(Skills!I13/Skills!H13+0.000000001),1)+IF(Skills!H13&gt;0,INT(MIN(Skills!I13,MAX(0,MAX(0,Inputs!$B$43-B1697)-((R1668-1)*(IF(Inputs!$B$38="pvp",15,MAX(0.1,IF(Inputs!$B$3&gt;=122,3,5)+1/(((20+30*(B1692-1)*100/150)/100)*B1692)-IF(FALSE=TRUE,Inputs!$B$32,0)))*(1-IF(AND(ArtifactsInput!$M$27,Inputs!$B$4="Chapter Hunt"),CHOOSE(ArtifactsInput!$N$27+1,20,24,28,32,36,40),0)/100)))))/Skills!H13+0.000000001),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INT(Skills!I13/Skills!H13+0.000000001),1)+IF(Skills!H13&gt;0,INT(MIN(Skills!I13,MAX(0,MAX(0,Inputs!$B$43-B1697)-((R1668-1)*(IF(Inputs!$B$38="pvp",15,MAX(0.1,IF(Inputs!$B$3&gt;=122,3,5)+1/(((20+30*(B1692-1)*100/150)/100)*B1692)-IF(FALSE=TRUE,Inputs!$B$32,0)))*(1-IF(AND(ArtifactsInput!$M$27,Inputs!$B$4="Chapter Hunt"),CHOOSE(ArtifactsInput!$N$27+1,20,24,28,32,36,40),0)/100)))))/Skills!H13+0.000000001),1)))/Inputs!$B$43),G1668*Q1668))*IF(Inputs!$B$38="pvp",1,(1+(Inputs!$B$21+Skills!Q13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Inputs!$B$3&gt;=110</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t="inlineStr"/>
      <c r="H1669" t="inlineStr"/>
      <c r="I1669" t="inlineStr">
        <is>
          <t>1</t>
        </is>
      </c>
      <c r="J1669" t="inlineStr"/>
      <c r="K1669" t="inlineStr"/>
      <c r="L1669" t="inlineStr"/>
      <c r="M1669" t="inlineStr"/>
      <c r="N1669" t="inlineStr"/>
      <c r="O1669" t="inlineStr"/>
      <c r="P1669" t="inlineStr"/>
      <c r="Q1669" t="inlineStr"/>
      <c r="R1669" t="inlineStr"/>
      <c r="S1669" t="inlineStr"/>
      <c r="T1669" t="inlineStr"/>
      <c r="V1669" t="inlineStr"/>
    </row>
    <row r="1670">
      <c r="A1670">
        <f>Skills!A15</f>
        <v/>
      </c>
      <c r="B1670">
        <f>Skills!B15</f>
        <v/>
      </c>
      <c r="C1670">
        <f>Inputs!$B$3&gt;=74</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f>Skills!G15*IF(Skills!H15&gt;0,INT(IF(Inputs!$B$38="pvp",MIN(Skills!I15,15),Skills!I15)/Skills!H15+0.000000001),1)</f>
        <v/>
      </c>
      <c r="H1670">
        <f>1-(1-Skills!J15/100)^Skills!K15</f>
        <v/>
      </c>
      <c r="I1670" t="inlineStr">
        <is>
          <t>1</t>
        </is>
      </c>
      <c r="J1670" t="inlineStr"/>
      <c r="K1670" t="inlineStr"/>
      <c r="L1670" t="inlineStr"/>
      <c r="M1670" t="inlineStr"/>
      <c r="N1670" t="inlineStr"/>
      <c r="O1670">
        <f>(1-Summary!$B$11)*T1670+Summary!$B$11*V1670</f>
        <v/>
      </c>
      <c r="P1670">
        <f>IF(B1700=0,0,O1670/B1700)</f>
        <v/>
      </c>
      <c r="Q1670" t="n">
        <v>0</v>
      </c>
      <c r="R1670" t="n">
        <v>0</v>
      </c>
      <c r="S1670">
        <f>IFERROR(O1670/N1670,0)</f>
        <v/>
      </c>
      <c r="T1670" t="n">
        <v>0</v>
      </c>
      <c r="V1670" t="n">
        <v>0</v>
      </c>
    </row>
    <row r="1671">
      <c r="A1671">
        <f>Skills!A16</f>
        <v/>
      </c>
      <c r="B1671">
        <f>Skills!B16</f>
        <v/>
      </c>
      <c r="C1671">
        <f>Inputs!$B$3&gt;=74</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f>Skills!G16*IF(Skills!H16&gt;0,INT(IF(Inputs!$B$38="pvp",MIN(Skills!I16,15),Skills!I16)/Skills!H16+0.000000001),1)</f>
        <v/>
      </c>
      <c r="H1671">
        <f>1-(1-Skills!J16/100)^Skills!K16</f>
        <v/>
      </c>
      <c r="I1671" t="inlineStr">
        <is>
          <t>1</t>
        </is>
      </c>
      <c r="J1671" t="inlineStr"/>
      <c r="K1671" t="inlineStr"/>
      <c r="L1671" t="inlineStr"/>
      <c r="M1671" t="inlineStr"/>
      <c r="N1671" t="inlineStr"/>
      <c r="O1671">
        <f>(1-Summary!$B$11)*T1671+Summary!$B$11*V1671</f>
        <v/>
      </c>
      <c r="P1671">
        <f>IF(B1700=0,0,O1671/B1700)</f>
        <v/>
      </c>
      <c r="Q1671" t="n">
        <v>0</v>
      </c>
      <c r="R1671" t="n">
        <v>0</v>
      </c>
      <c r="S1671">
        <f>IFERROR(O1671/N1671,0)</f>
        <v/>
      </c>
      <c r="T1671" t="n">
        <v>0</v>
      </c>
      <c r="V1671" t="n">
        <v>0</v>
      </c>
    </row>
    <row r="1672">
      <c r="A1672">
        <f>Skills!A17</f>
        <v/>
      </c>
      <c r="B1672">
        <f>Skills!B17</f>
        <v/>
      </c>
      <c r="C1672">
        <f>Inputs!$B$3&gt;=117</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Skills!G17*IF(Skills!H17&gt;0,INT(IF(Inputs!$B$38="pvp",MIN(Skills!I17,15),Skills!I17)/Skills!H17+0.000000001),1)</f>
        <v/>
      </c>
      <c r="H1672">
        <f>1-(1-Skills!J17/100)^Skills!K17</f>
        <v/>
      </c>
      <c r="I1672" t="inlineStr">
        <is>
          <t>1</t>
        </is>
      </c>
      <c r="J1672" t="inlineStr"/>
      <c r="K1672" t="inlineStr"/>
      <c r="L1672" t="inlineStr"/>
      <c r="M1672" t="inlineStr"/>
      <c r="N1672" t="inlineStr"/>
      <c r="O1672">
        <f>(1-Summary!$B$11)*T1672+Summary!$B$11*V1672</f>
        <v/>
      </c>
      <c r="P1672">
        <f>IF(B1700=0,0,O1672/B1700)</f>
        <v/>
      </c>
      <c r="Q1672">
        <f>IFERROR(1/(IF(Inputs!$B$38="pvp",15,MAX(0.1,Skills!D17-IF(TRUE=TRUE,Inputs!$B$32,0)))*(1-IF(AND(ArtifactsInput!$M$27,Inputs!$B$4="Chapter Hunt"),CHOOSE(ArtifactsInput!$N$27+1,20,24,28,32,36,40),0)/100)),0)</f>
        <v/>
      </c>
      <c r="R1672">
        <f>IF(AND(Inputs!$B$38&lt;&gt;"pvp",Inputs!$B$43&gt;0),IF(Inputs!$B$43&lt;=0,0,(INT(Inputs!$B$43/(IF(Inputs!$B$38="pvp",15,MAX(0.1,Skills!D17-IF(TRUE=TRUE,Inputs!$B$32,0)))*(1-IF(AND(ArtifactsInput!$M$27,Inputs!$B$4="Chapter Hunt"),CHOOSE(ArtifactsInput!$N$27+1,20,24,28,32,36,40),0)/100)))+1)),0)</f>
        <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Skills!G18*IF(Skills!H18&gt;0,INT(IF(Inputs!$B$38="pvp",MIN(Skills!I18,15),Skills!I18)/Skills!H18+0.000000001),1)</f>
        <v/>
      </c>
      <c r="H1673">
        <f>1-(1-Skills!J18/100)^Skills!K18</f>
        <v/>
      </c>
      <c r="I1673" t="inlineStr">
        <is>
          <t>1</t>
        </is>
      </c>
      <c r="J1673" t="inlineStr"/>
      <c r="K1673" t="inlineStr"/>
      <c r="L1673" t="inlineStr"/>
      <c r="M1673" t="inlineStr"/>
      <c r="N1673" t="inlineStr"/>
      <c r="O1673">
        <f>(1-Summary!$B$11)*T1673+Summary!$B$11*V1673</f>
        <v/>
      </c>
      <c r="P1673">
        <f>IF(B1700=0,0,O1673/B1700)</f>
        <v/>
      </c>
      <c r="Q1673">
        <f>IFERROR(1/(IF(Inputs!$B$38="pvp",15,MAX(0.1,Skills!D18-IF(TRUE=TRUE,Inputs!$B$32,0)))*(1-IF(AND(ArtifactsInput!$M$27,Inputs!$B$4="Chapter Hunt"),CHOOSE(ArtifactsInput!$N$27+1,20,24,28,32,36,40),0)/100)),0)</f>
        <v/>
      </c>
      <c r="R1673">
        <f>IF(AND(Inputs!$B$38&lt;&gt;"pvp",Inputs!$B$43&gt;0),IF(Inputs!$B$43&lt;=0,0,(INT(Inputs!$B$43/(IF(Inputs!$B$38="pvp",15,MAX(0.1,Skills!D18-IF(TRUE=TRUE,Inputs!$B$32,0)))*(1-IF(AND(ArtifactsInput!$M$27,Inputs!$B$4="Chapter Hunt"),CHOOSE(ArtifactsInput!$N$27+1,20,24,28,32,36,40),0)/100)))+1)),0)</f>
        <v/>
      </c>
      <c r="S1673">
        <f>IFERROR(O1673/N1673,0)</f>
        <v/>
      </c>
      <c r="T1673" t="n">
        <v>0</v>
      </c>
      <c r="V1673" t="n">
        <v>0</v>
      </c>
    </row>
    <row r="1674">
      <c r="A1674">
        <f>Skills!A19</f>
        <v/>
      </c>
      <c r="B1674">
        <f>Skills!B19</f>
        <v/>
      </c>
      <c r="C1674">
        <f>Inputs!$B$3&gt;=66</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Skills!G19*IF(Skills!H19&gt;0,INT(IF(Inputs!$B$38="pvp",MIN(Skills!I19,15),Skills!I19)/Skills!H19+0.000000001),1)</f>
        <v/>
      </c>
      <c r="H1674">
        <f>1-(1-Skills!J19/100)^Skills!K19</f>
        <v/>
      </c>
      <c r="I1674" t="inlineStr">
        <is>
          <t>1</t>
        </is>
      </c>
      <c r="J1674" t="inlineStr"/>
      <c r="K1674" t="inlineStr"/>
      <c r="L1674" t="inlineStr"/>
      <c r="M1674" t="inlineStr"/>
      <c r="N1674" t="inlineStr"/>
      <c r="O1674">
        <f>(1-Summary!$B$11)*T1674+Summary!$B$11*V1674</f>
        <v/>
      </c>
      <c r="P1674">
        <f>IF(B1700=0,0,O1674/B1700)</f>
        <v/>
      </c>
      <c r="Q1674" t="n">
        <v>0</v>
      </c>
      <c r="R1674" t="n">
        <v>0</v>
      </c>
      <c r="S1674">
        <f>IFERROR(O1674/N1674,0)</f>
        <v/>
      </c>
      <c r="T1674" t="n">
        <v>0</v>
      </c>
      <c r="V1674" t="n">
        <v>0</v>
      </c>
    </row>
    <row r="1675">
      <c r="A1675">
        <f>Skills!A20</f>
        <v/>
      </c>
      <c r="B1675">
        <f>Skills!B20</f>
        <v/>
      </c>
      <c r="C1675">
        <f>Inputs!$B$3&gt;=72</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Skills!G20*IF(Skills!H20&gt;0,INT(IF(Inputs!$B$38="pvp",MIN(Skills!I20,15),Skills!I20)/Skills!H20+0.000000001),1)</f>
        <v/>
      </c>
      <c r="H1675">
        <f>1-(1-Skills!J20/100)^Skills!K20</f>
        <v/>
      </c>
      <c r="I1675" t="inlineStr">
        <is>
          <t>1</t>
        </is>
      </c>
      <c r="J1675" t="inlineStr"/>
      <c r="K1675" t="inlineStr"/>
      <c r="L1675" t="inlineStr"/>
      <c r="M1675" t="inlineStr"/>
      <c r="N1675" t="inlineStr"/>
      <c r="O1675">
        <f>(1-Summary!$B$11)*T1675+Summary!$B$11*V1675</f>
        <v/>
      </c>
      <c r="P1675">
        <f>IF(B1700=0,0,O1675/B1700)</f>
        <v/>
      </c>
      <c r="Q1675" t="n">
        <v>0</v>
      </c>
      <c r="R1675" t="n">
        <v>0</v>
      </c>
      <c r="S1675">
        <f>IFERROR(O1675/N1675,0)</f>
        <v/>
      </c>
      <c r="T1675" t="n">
        <v>0</v>
      </c>
      <c r="V1675" t="n">
        <v>0</v>
      </c>
    </row>
    <row r="1676">
      <c r="A1676">
        <f>Skills!A21</f>
        <v/>
      </c>
      <c r="B1676">
        <f>Skills!B21</f>
        <v/>
      </c>
      <c r="C1676">
        <f>TRUE</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Skills!G21*IF(Skills!H21&gt;0,INT(IF(Inputs!$B$38="pvp",MIN(Skills!I21,15),Skills!I21)/Skills!H21+0.000000001),1)</f>
        <v/>
      </c>
      <c r="H1676">
        <f>1-(1-Skills!J21/100)^Skills!K21</f>
        <v/>
      </c>
      <c r="I1676" t="inlineStr">
        <is>
          <t>1</t>
        </is>
      </c>
      <c r="J1676" t="inlineStr"/>
      <c r="K1676" t="inlineStr"/>
      <c r="L1676" t="inlineStr"/>
      <c r="M1676" t="inlineStr"/>
      <c r="N1676" t="inlineStr"/>
      <c r="O1676">
        <f>(1-Summary!$B$11)*T1676+Summary!$B$11*V1676</f>
        <v/>
      </c>
      <c r="P1676">
        <f>IF(B1700=0,0,O1676/B1700)</f>
        <v/>
      </c>
      <c r="Q1676">
        <f>IFERROR(1/(IF(Inputs!$B$38="pvp",15,MAX(0.1,Skills!D21-IF(TRUE=TRUE,Inputs!$B$32,0)))*(1-IF(AND(ArtifactsInput!$M$27,Inputs!$B$4="Chapter Hunt"),CHOOSE(ArtifactsInput!$N$27+1,20,24,28,32,36,40),0)/100)),0)</f>
        <v/>
      </c>
      <c r="R1676">
        <f>IF(AND(Inputs!$B$38&lt;&gt;"pvp",Inputs!$B$43&gt;0),IF(Inputs!$B$43&lt;=0,0,(INT(Inputs!$B$43/(IF(Inputs!$B$38="pvp",15,MAX(0.1,Skills!D21-IF(TRUE=TRUE,Inputs!$B$32,0)))*(1-IF(AND(ArtifactsInput!$M$27,Inputs!$B$4="Chapter Hunt"),CHOOSE(ArtifactsInput!$N$27+1,20,24,28,32,36,40),0)/100)))+1)),0)</f>
        <v/>
      </c>
      <c r="S1676">
        <f>IFERROR(O1676/N1676,0)</f>
        <v/>
      </c>
      <c r="T1676" t="n">
        <v>0</v>
      </c>
      <c r="V1676" t="n">
        <v>0</v>
      </c>
    </row>
    <row r="1677">
      <c r="A1677">
        <f>Skills!A22</f>
        <v/>
      </c>
      <c r="B1677">
        <f>Skills!B22</f>
        <v/>
      </c>
      <c r="C1677">
        <f>Inputs!$B$3&gt;=15</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Skills!G22*IF(Skills!H22&gt;0,INT(IF(Inputs!$B$38="pvp",MIN(Skills!I22,15),Skills!I22)/Skills!H22+0.000000001),1)</f>
        <v/>
      </c>
      <c r="H1677">
        <f>1-(1-Skills!J22/100)^Skills!K22</f>
        <v/>
      </c>
      <c r="I1677" t="inlineStr">
        <is>
          <t>1</t>
        </is>
      </c>
      <c r="J1677" t="inlineStr"/>
      <c r="K1677" t="inlineStr"/>
      <c r="L1677" t="inlineStr"/>
      <c r="M1677" t="inlineStr"/>
      <c r="N1677" t="inlineStr"/>
      <c r="O1677">
        <f>(1-Summary!$B$11)*T1677+Summary!$B$11*V1677</f>
        <v/>
      </c>
      <c r="P1677">
        <f>IF(B1700=0,0,O1677/B1700)</f>
        <v/>
      </c>
      <c r="Q1677" t="n">
        <v>0</v>
      </c>
      <c r="R1677" t="n">
        <v>0</v>
      </c>
      <c r="S1677">
        <f>IFERROR(O1677/N1677,0)</f>
        <v/>
      </c>
      <c r="T1677" t="n">
        <v>0</v>
      </c>
      <c r="V1677" t="n">
        <v>0</v>
      </c>
    </row>
    <row r="1678">
      <c r="A1678">
        <f>Skills!A23</f>
        <v/>
      </c>
      <c r="B1678">
        <f>Skills!B23</f>
        <v/>
      </c>
      <c r="C1678">
        <f>Inputs!$B$3&gt;=10</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Skills!G23*IF(Skills!H23&gt;0,INT(IF(Inputs!$B$38="pvp",MIN(Skills!I23,15),Skills!I23)/Skills!H23+0.000000001),1)</f>
        <v/>
      </c>
      <c r="H1678">
        <f>1-(1-Skills!J23/100)^Skills!K23</f>
        <v/>
      </c>
      <c r="I1678" t="inlineStr">
        <is>
          <t>1</t>
        </is>
      </c>
      <c r="J1678" t="inlineStr"/>
      <c r="K1678" t="inlineStr"/>
      <c r="L1678" t="inlineStr"/>
      <c r="M1678" t="inlineStr"/>
      <c r="N1678" t="inlineStr"/>
      <c r="O1678">
        <f>(1-Summary!$B$11)*T1678+Summary!$B$11*V1678</f>
        <v/>
      </c>
      <c r="P1678">
        <f>IF(B1700=0,0,O1678/B1700)</f>
        <v/>
      </c>
      <c r="Q1678" t="n">
        <v>0</v>
      </c>
      <c r="R1678" t="n">
        <v>0</v>
      </c>
      <c r="S1678">
        <f>IFERROR(O1678/N1678,0)</f>
        <v/>
      </c>
      <c r="T1678" t="n">
        <v>0</v>
      </c>
      <c r="V1678" t="n">
        <v>0</v>
      </c>
    </row>
    <row r="1679">
      <c r="A1679">
        <f>Skills!A24</f>
        <v/>
      </c>
      <c r="B1679">
        <f>Skills!B24</f>
        <v/>
      </c>
      <c r="C1679">
        <f>Inputs!$B$3&gt;=33</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Skills!G24*IF(Skills!H24&gt;0,INT(IF(Inputs!$B$38="pvp",MIN(Skills!I24,15),Skills!I24)/Skills!H24+0.000000001),1)</f>
        <v/>
      </c>
      <c r="H1679">
        <f>1-(1-Skills!J24/100)^Skills!K24</f>
        <v/>
      </c>
      <c r="I1679" t="inlineStr">
        <is>
          <t>1</t>
        </is>
      </c>
      <c r="J1679" t="inlineStr"/>
      <c r="K1679" t="inlineStr"/>
      <c r="L1679" t="inlineStr"/>
      <c r="M1679" t="inlineStr"/>
      <c r="N1679" t="inlineStr"/>
      <c r="O1679">
        <f>(1-Summary!$B$11)*T1679+Summary!$B$11*V1679</f>
        <v/>
      </c>
      <c r="P1679">
        <f>IF(B1700=0,0,O1679/B1700)</f>
        <v/>
      </c>
      <c r="Q1679" t="n">
        <v>0</v>
      </c>
      <c r="R1679" t="n">
        <v>0</v>
      </c>
      <c r="S1679">
        <f>IFERROR(O1679/N1679,0)</f>
        <v/>
      </c>
      <c r="T1679" t="n">
        <v>0</v>
      </c>
      <c r="V1679" t="n">
        <v>0</v>
      </c>
    </row>
    <row r="1680">
      <c r="A1680">
        <f>Skills!A25</f>
        <v/>
      </c>
      <c r="B1680">
        <f>Skills!B25</f>
        <v/>
      </c>
      <c r="C1680">
        <f>Inputs!$B$3&gt;=38</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Skills!G25*IF(Skills!H25&gt;0,INT(IF(Inputs!$B$38="pvp",MIN(Skills!I25,15),Skills!I25)/Skills!H25+0.000000001),1)</f>
        <v/>
      </c>
      <c r="H1680">
        <f>1-(1-Skills!J25/100)^Skills!K25</f>
        <v/>
      </c>
      <c r="I1680" t="inlineStr">
        <is>
          <t>1</t>
        </is>
      </c>
      <c r="J1680" t="inlineStr"/>
      <c r="K1680" t="inlineStr"/>
      <c r="L1680" t="inlineStr"/>
      <c r="M1680" t="inlineStr"/>
      <c r="N1680" t="inlineStr"/>
      <c r="O1680">
        <f>(1-Summary!$B$11)*T1680+Summary!$B$11*V1680</f>
        <v/>
      </c>
      <c r="P1680">
        <f>IF(B1700=0,0,O1680/B1700)</f>
        <v/>
      </c>
      <c r="Q1680" t="n">
        <v>0</v>
      </c>
      <c r="R1680" t="n">
        <v>0</v>
      </c>
      <c r="S1680">
        <f>IFERROR(O1680/N1680,0)</f>
        <v/>
      </c>
      <c r="T1680" t="n">
        <v>0</v>
      </c>
      <c r="V1680" t="n">
        <v>0</v>
      </c>
    </row>
    <row r="1681">
      <c r="A1681">
        <f>Skills!A26</f>
        <v/>
      </c>
      <c r="B1681">
        <f>Skills!B26</f>
        <v/>
      </c>
      <c r="C1681">
        <f>Inputs!$B$3&gt;=43</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Skills!G26*IF(Skills!H26&gt;0,INT(IF(Inputs!$B$38="pvp",MIN(Skills!I26,15),Skills!I26)/Skills!H26+0.000000001),1)</f>
        <v/>
      </c>
      <c r="H1681">
        <f>1-(1-Skills!J26/100)^Skills!K26</f>
        <v/>
      </c>
      <c r="I1681" t="inlineStr">
        <is>
          <t>1</t>
        </is>
      </c>
      <c r="J1681" t="inlineStr"/>
      <c r="K1681" t="inlineStr"/>
      <c r="L1681" t="inlineStr"/>
      <c r="M1681" t="inlineStr"/>
      <c r="N1681" t="inlineStr"/>
      <c r="O1681">
        <f>(1-Summary!$B$11)*T1681+Summary!$B$11*V1681</f>
        <v/>
      </c>
      <c r="P1681">
        <f>IF(B1700=0,0,O1681/B1700)</f>
        <v/>
      </c>
      <c r="Q1681" t="n">
        <v>0</v>
      </c>
      <c r="R1681" t="n">
        <v>0</v>
      </c>
      <c r="S1681">
        <f>IFERROR(O1681/N1681,0)</f>
        <v/>
      </c>
      <c r="T1681" t="n">
        <v>0</v>
      </c>
      <c r="V1681" t="n">
        <v>0</v>
      </c>
    </row>
    <row r="1682">
      <c r="A1682">
        <f>Skills!A27</f>
        <v/>
      </c>
      <c r="B1682">
        <f>Skills!B27</f>
        <v/>
      </c>
      <c r="C1682">
        <f>Inputs!$B$3&gt;=75</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Skills!G27*IF(Skills!H27&gt;0,INT(IF(Inputs!$B$38="pvp",MIN(Skills!I27,15),Skills!I27)/Skills!H27+0.000000001),1)</f>
        <v/>
      </c>
      <c r="H1682">
        <f>1-(1-Skills!J27/100)^Skills!K27</f>
        <v/>
      </c>
      <c r="I1682" t="inlineStr">
        <is>
          <t>1</t>
        </is>
      </c>
      <c r="J1682" t="inlineStr"/>
      <c r="K1682" t="inlineStr"/>
      <c r="L1682" t="inlineStr"/>
      <c r="M1682" t="inlineStr"/>
      <c r="N1682" t="inlineStr"/>
      <c r="O1682">
        <f>(1-Summary!$B$11)*T1682+Summary!$B$11*V1682</f>
        <v/>
      </c>
      <c r="P1682">
        <f>IF(B1700=0,0,O1682/B1700)</f>
        <v/>
      </c>
      <c r="Q1682" t="n">
        <v>0</v>
      </c>
      <c r="R1682" t="n">
        <v>0</v>
      </c>
      <c r="S1682">
        <f>IFERROR(O1682/N1682,0)</f>
        <v/>
      </c>
      <c r="T1682" t="n">
        <v>0</v>
      </c>
      <c r="V1682" t="n">
        <v>0</v>
      </c>
    </row>
    <row r="1683">
      <c r="A1683">
        <f>Skills!A28</f>
        <v/>
      </c>
      <c r="B1683">
        <f>Skills!B28</f>
        <v/>
      </c>
      <c r="C1683">
        <f>Inputs!$B$3&gt;=125</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Skills!G28*IF(Skills!H28&gt;0,INT(IF(Inputs!$B$38="pvp",MIN(Skills!I28,15),Skills!I28)/Skills!H28+0.000000001),1)</f>
        <v/>
      </c>
      <c r="H1683">
        <f>1-(1-Skills!J28/100)^Skills!K28</f>
        <v/>
      </c>
      <c r="I1683" t="inlineStr">
        <is>
          <t>1</t>
        </is>
      </c>
      <c r="J1683" t="inlineStr"/>
      <c r="K1683" t="inlineStr"/>
      <c r="L1683" t="inlineStr"/>
      <c r="M1683" t="inlineStr"/>
      <c r="N1683" t="inlineStr"/>
      <c r="O1683">
        <f>(1-Summary!$B$11)*T1683+Summary!$B$11*V1683</f>
        <v/>
      </c>
      <c r="P1683">
        <f>IF(B1700=0,0,O1683/B1700)</f>
        <v/>
      </c>
      <c r="Q1683" t="n">
        <v>0</v>
      </c>
      <c r="R1683" t="n">
        <v>0</v>
      </c>
      <c r="S1683">
        <f>IFERROR(O1683/N1683,0)</f>
        <v/>
      </c>
      <c r="T1683" t="n">
        <v>0</v>
      </c>
      <c r="V1683" t="n">
        <v>0</v>
      </c>
    </row>
    <row r="1684">
      <c r="A1684">
        <f>Skills!A29</f>
        <v/>
      </c>
      <c r="B1684">
        <f>Skills!B29</f>
        <v/>
      </c>
      <c r="C1684">
        <f>Inputs!$B$3&gt;=125</f>
        <v/>
      </c>
      <c r="D1684">
        <f>IF(Skills!C29=1,60+Inputs!$B$25+Inputs!$B$29,IF(Skills!C29=2,90+Inputs!$B$26+Inputs!$B$29,IF(Skills!C29=3,120+Inputs!$B$27+Inputs!$B$29,MAX(0,(Inputs!$B$3-100)*3)+Inputs!$B$28+Inputs!$B$29)))</f>
        <v/>
      </c>
      <c r="E1684">
        <f>INDEX(FactorTable!$B$2:$Y$301, MATCH(ROUND(MIN(300,MAX(1,D1684)),0), FactorTable!$A$2:$A$301,0), Skills!M29+1)</f>
        <v/>
      </c>
      <c r="F1684">
        <f>IF(Skills!N29=TRUE,(Skills!L29/10)*(E1684/1000),Skills!L29/10)+Skills!O29</f>
        <v/>
      </c>
      <c r="G1684">
        <f>Skills!G29*IF(Skills!H29&gt;0,INT(IF(Inputs!$B$38="pvp",MIN(Skills!I29,15),Skills!I29)/Skills!H29+0.000000001),1)</f>
        <v/>
      </c>
      <c r="H1684">
        <f>1-(1-Skills!J29/100)^Skills!K29</f>
        <v/>
      </c>
      <c r="I1684" t="inlineStr">
        <is>
          <t>1</t>
        </is>
      </c>
      <c r="J1684" t="inlineStr"/>
      <c r="K1684" t="inlineStr"/>
      <c r="L1684" t="inlineStr"/>
      <c r="M1684" t="inlineStr"/>
      <c r="N1684" t="inlineStr"/>
      <c r="O1684">
        <f>(1-Summary!$B$11)*T1684+Summary!$B$11*V1684</f>
        <v/>
      </c>
      <c r="P1684">
        <f>IF(B1700=0,0,O1684/B1700)</f>
        <v/>
      </c>
      <c r="Q1684" t="n">
        <v>0</v>
      </c>
      <c r="R1684" t="n">
        <v>0</v>
      </c>
      <c r="S1684">
        <f>IFERROR(O1684/N1684,0)</f>
        <v/>
      </c>
      <c r="T1684" t="n">
        <v>0</v>
      </c>
      <c r="V1684" t="n">
        <v>0</v>
      </c>
    </row>
    <row r="1685">
      <c r="A1685">
        <f>Skills!A30</f>
        <v/>
      </c>
      <c r="B1685">
        <f>Skills!B30</f>
        <v/>
      </c>
      <c r="C1685">
        <f>Inputs!$B$3&gt;=120</f>
        <v/>
      </c>
      <c r="D1685">
        <f>IF(Skills!C30=1,60+Inputs!$B$25+Inputs!$B$29,IF(Skills!C30=2,90+Inputs!$B$26+Inputs!$B$29,IF(Skills!C30=3,120+Inputs!$B$27+Inputs!$B$29,MAX(0,(Inputs!$B$3-100)*3)+Inputs!$B$28+Inputs!$B$29)))</f>
        <v/>
      </c>
      <c r="E1685">
        <f>INDEX(FactorTable!$B$2:$Y$301, MATCH(ROUND(MIN(300,MAX(1,D1685)),0), FactorTable!$A$2:$A$301,0), Skills!M30+1)</f>
        <v/>
      </c>
      <c r="F1685">
        <f>IF(Skills!N30=TRUE,(Skills!L30/10)*(E1685/1000),Skills!L30/10)+Skills!O30</f>
        <v/>
      </c>
      <c r="G1685">
        <f>Skills!G30*IF(Skills!H30&gt;0,INT(IF(Inputs!$B$38="pvp",MIN(Skills!I30,15),Skills!I30)/Skills!H30+0.000000001),1)</f>
        <v/>
      </c>
      <c r="H1685">
        <f>1-(1-Skills!J30/100)^Skills!K30</f>
        <v/>
      </c>
      <c r="I1685" t="inlineStr">
        <is>
          <t>1</t>
        </is>
      </c>
      <c r="J1685" t="inlineStr"/>
      <c r="K1685" t="inlineStr"/>
      <c r="L1685" t="inlineStr"/>
      <c r="M1685" t="inlineStr"/>
      <c r="N1685" t="inlineStr"/>
      <c r="O1685">
        <f>(1-Summary!$B$11)*T1685+Summary!$B$11*V1685</f>
        <v/>
      </c>
      <c r="P1685">
        <f>IF(B1700=0,0,O1685/B1700)</f>
        <v/>
      </c>
      <c r="Q1685" t="n">
        <v>0</v>
      </c>
      <c r="R1685" t="n">
        <v>0</v>
      </c>
      <c r="S1685">
        <f>IFERROR(O1685/N1685,0)</f>
        <v/>
      </c>
      <c r="T1685" t="n">
        <v>0</v>
      </c>
      <c r="V1685" t="n">
        <v>0</v>
      </c>
    </row>
    <row r="1686">
      <c r="A1686">
        <f>Skills!A31</f>
        <v/>
      </c>
      <c r="B1686">
        <f>Skills!B31</f>
        <v/>
      </c>
      <c r="C1686">
        <f>Inputs!$B$3&gt;=120</f>
        <v/>
      </c>
      <c r="D1686">
        <f>IF(Skills!C31=1,60+Inputs!$B$25+Inputs!$B$29,IF(Skills!C31=2,90+Inputs!$B$26+Inputs!$B$29,IF(Skills!C31=3,120+Inputs!$B$27+Inputs!$B$29,MAX(0,(Inputs!$B$3-100)*3)+Inputs!$B$28+Inputs!$B$29)))</f>
        <v/>
      </c>
      <c r="E1686">
        <f>INDEX(FactorTable!$B$2:$Y$301, MATCH(ROUND(MIN(300,MAX(1,D1686)),0), FactorTable!$A$2:$A$301,0), Skills!M31+1)</f>
        <v/>
      </c>
      <c r="F1686">
        <f>IF(Skills!N31=TRUE,(Skills!L31/10)*(E1686/1000),Skills!L31/10)+Skills!O31</f>
        <v/>
      </c>
      <c r="G1686">
        <f>Skills!G31*IF(Skills!H31&gt;0,INT(IF(Inputs!$B$38="pvp",MIN(Skills!I31,15),Skills!I31)/Skills!H31+0.000000001),1)</f>
        <v/>
      </c>
      <c r="H1686">
        <f>1-(1-Skills!J31/100)^Skills!K31</f>
        <v/>
      </c>
      <c r="I1686" t="inlineStr">
        <is>
          <t>1</t>
        </is>
      </c>
      <c r="J1686" t="inlineStr"/>
      <c r="K1686" t="inlineStr"/>
      <c r="L1686" t="inlineStr"/>
      <c r="M1686" t="inlineStr"/>
      <c r="N1686" t="inlineStr"/>
      <c r="O1686">
        <f>(1-Summary!$B$11)*T1686+Summary!$B$11*V1686</f>
        <v/>
      </c>
      <c r="P1686">
        <f>IF(B1700=0,0,O1686/B1700)</f>
        <v/>
      </c>
      <c r="Q1686" t="n">
        <v>0</v>
      </c>
      <c r="R1686" t="n">
        <v>0</v>
      </c>
      <c r="S1686">
        <f>IFERROR(O1686/N1686,0)</f>
        <v/>
      </c>
      <c r="T1686" t="n">
        <v>0</v>
      </c>
      <c r="V1686" t="n">
        <v>0</v>
      </c>
    </row>
    <row r="1687">
      <c r="A1687">
        <f>Skills!A32</f>
        <v/>
      </c>
      <c r="B1687">
        <f>Skills!B32</f>
        <v/>
      </c>
      <c r="C1687">
        <f>Inputs!$B$3&gt;=45</f>
        <v/>
      </c>
      <c r="D1687">
        <f>IF(Skills!C32=1,60+Inputs!$B$25+Inputs!$B$29,IF(Skills!C32=2,90+Inputs!$B$26+Inputs!$B$29,IF(Skills!C32=3,120+Inputs!$B$27+Inputs!$B$29,MAX(0,(Inputs!$B$3-100)*3)+Inputs!$B$28+Inputs!$B$29)))</f>
        <v/>
      </c>
      <c r="E1687">
        <f>INDEX(FactorTable!$B$2:$Y$301, MATCH(ROUND(MIN(300,MAX(1,D1687)),0), FactorTable!$A$2:$A$301,0), Skills!M32+1)</f>
        <v/>
      </c>
      <c r="F1687">
        <f>IF(Skills!N32=TRUE,(Skills!L32/10)*(E1687/1000),Skills!L32/10)+Skills!O32</f>
        <v/>
      </c>
      <c r="G1687">
        <f>Skills!G32*IF(Skills!H32&gt;0,INT(IF(Inputs!$B$38="pvp",MIN(Skills!I32,15),Skills!I32)/Skills!H32+0.000000001),1)</f>
        <v/>
      </c>
      <c r="H1687">
        <f>1-(1-Skills!J32/100)^Skills!K32</f>
        <v/>
      </c>
      <c r="I1687" t="inlineStr">
        <is>
          <t>1</t>
        </is>
      </c>
      <c r="J1687" t="inlineStr"/>
      <c r="K1687" t="inlineStr"/>
      <c r="L1687" t="inlineStr"/>
      <c r="M1687" t="inlineStr"/>
      <c r="N1687" t="inlineStr"/>
      <c r="O1687">
        <f>(1-Summary!$B$11)*T1687+Summary!$B$11*V1687</f>
        <v/>
      </c>
      <c r="P1687">
        <f>IF(B1700=0,0,O1687/B1700)</f>
        <v/>
      </c>
      <c r="Q1687" t="n">
        <v>0</v>
      </c>
      <c r="R1687" t="n">
        <v>0</v>
      </c>
      <c r="S1687">
        <f>IFERROR(O1687/N1687,0)</f>
        <v/>
      </c>
      <c r="T1687" t="n">
        <v>0</v>
      </c>
      <c r="V1687" t="n">
        <v>0</v>
      </c>
    </row>
    <row r="1689">
      <c r="A1689" t="inlineStr">
        <is>
          <t>Attack% Bucket Multiplier</t>
        </is>
      </c>
      <c r="B1689">
        <f>(1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0">
      <c r="A1690" t="inlineStr">
        <is>
          <t>Global Crit Rate Bonus %</t>
        </is>
      </c>
      <c r="B1690" t="n">
        <v>0</v>
      </c>
    </row>
    <row r="1691">
      <c r="A1691" t="inlineStr">
        <is>
          <t>Attack Speed Buff Bonus %</t>
        </is>
      </c>
      <c r="B1691">
        <f>((C1676=TRUE)*F1676*IF(AND(Inputs!$B$38&lt;&gt;"pvp",Inputs!$B$43&gt;0),(((R1676-1)*MIN((Skills!T21*(1+Inputs!$B$34/100)),(1/Q1676))+MIN((Skills!T21*(1+Inputs!$B$34/100)),MAX(0,Inputs!$B$43-((R1676-1)*(1/Q1676)))))/Inputs!$B$43),IF(Inputs!$B$38="pvp",MIN((Skills!T21*(1+Inputs!$B$34/100)),15)/15,MIN(1,(Skills!T21*(1+Inputs!$B$34/100))/(1/Q1676)))))</f>
        <v/>
      </c>
    </row>
    <row r="1692">
      <c r="A1692" t="inlineStr">
        <is>
          <t>Actions Per Second</t>
        </is>
      </c>
      <c r="B1692">
        <f>1+MIN(150,150*(1-(1-(Inputs!$B$11+((C1678=TRUE)*(F1678-Calc!F23))+((C1679=TRUE)*(F1679-Calc!F24)))/150)*(1-B1691/150)))/100</f>
        <v/>
      </c>
    </row>
    <row r="1693">
      <c r="A1693" t="inlineStr">
        <is>
          <t>Skill + Buff Cast Rate</t>
        </is>
      </c>
      <c r="B1693">
        <f>IF(AND(Inputs!$B$38&lt;&gt;"pvp",Inputs!$B$43&gt;0),SUMPRODUCT((Skills!E2:E32=TRUE)*(C1657:C1687=TRUE)*R1657:R1687*Skills!F2:F32)/Inputs!$B$43,SUMPRODUCT((Skills!E2:E32=TRUE)*(C1657:C1687=TRUE)*Q1657:Q1687*Skills!F2:F32))</f>
        <v/>
      </c>
    </row>
    <row r="1694">
      <c r="A1694" t="inlineStr">
        <is>
          <t>Arrow Stream Casts Per Second</t>
        </is>
      </c>
      <c r="B1694">
        <f>MAX(0,B1692-B1693)</f>
        <v/>
      </c>
    </row>
    <row r="1695">
      <c r="A1695" t="inlineStr">
        <is>
          <t>Global Critical Damage Bonus % (Sharp Eyes + Concentration)</t>
        </is>
      </c>
      <c r="B1695">
        <f>(C1673=TRUE)*F1673*IF(AND(Inputs!$B$38&lt;&gt;"pvp",Inputs!$B$43&gt;0),(((R1673-1)*MIN((Skills!T18*(1+Inputs!$B$34/100)),(1/Q1673))+MIN((Skills!T18*(1+Inputs!$B$34/100)),MAX(0,Inputs!$B$43-((R1673-1)*(1/Q1673)))))/Inputs!$B$43),IF(Inputs!$B$38="pvp",MIN((Skills!T18*(1+Inputs!$B$34/100)),15)/15,MIN(1,(Skills!T18*(1+Inputs!$B$34/100))/(1/Q1673))))+(C1674=TRUE)*7*F1674</f>
        <v/>
      </c>
    </row>
    <row r="1696">
      <c r="A1696" t="inlineStr">
        <is>
          <t>Global Final Damage Bonus % (Mortal Blow)</t>
        </is>
      </c>
      <c r="B1696">
        <f>(C1675=TRUE)*F1675</f>
        <v/>
      </c>
    </row>
    <row r="1697">
      <c r="A1697" t="inlineStr">
        <is>
          <t>Buff-Casting Startup Delay (s, fixed-duration only)</t>
        </is>
      </c>
      <c r="B1697">
        <f>IF(AND(Inputs!$B$38&lt;&gt;"pvp",Inputs!$B$43&gt;0),SUMPRODUCT((Skills!T2:T32&gt;0)*(Skills!E2:E32=TRUE)*(C1657:C1687=TRUE))/B1692,0)</f>
        <v/>
      </c>
    </row>
    <row r="1698">
      <c r="A1698" t="inlineStr">
        <is>
          <t>Boss-Only Total DPS (this block's swept value)</t>
        </is>
      </c>
      <c r="B1698">
        <f>SUM(T1657:T1687)</f>
        <v/>
      </c>
    </row>
    <row r="1699">
      <c r="A1699" t="inlineStr">
        <is>
          <t>Normal-Only Total DPS (this block's swept value)</t>
        </is>
      </c>
      <c r="B1699">
        <f>SUM(V1657:V1687)</f>
        <v/>
      </c>
    </row>
    <row r="1700">
      <c r="A1700" s="6" t="inlineStr">
        <is>
          <t>TOTAL DPS</t>
        </is>
      </c>
      <c r="B1700" s="6">
        <f>SUM(O1657:O1687)</f>
        <v/>
      </c>
    </row>
    <row r="1703">
      <c r="A1703" s="6" t="inlineStr">
        <is>
          <t>Stat: Clear Spring Water (Equip)</t>
        </is>
      </c>
    </row>
    <row r="1704">
      <c r="A1704" s="5" t="inlineStr">
        <is>
          <t>Key</t>
        </is>
      </c>
      <c r="B1704" s="5" t="inlineStr">
        <is>
          <t>Name</t>
        </is>
      </c>
      <c r="C1704" s="5" t="inlineStr">
        <is>
          <t>Unlocked</t>
        </is>
      </c>
      <c r="D1704" s="5" t="inlineStr">
        <is>
          <t>InputLevel</t>
        </is>
      </c>
      <c r="E1704" s="5" t="inlineStr">
        <is>
          <t>Factor</t>
        </is>
      </c>
      <c r="F1704" s="5" t="inlineStr">
        <is>
          <t>CoefficientPercent</t>
        </is>
      </c>
      <c r="G1704" s="5" t="inlineStr">
        <is>
          <t>EffectiveHits</t>
        </is>
      </c>
      <c r="H1704" s="5" t="inlineStr">
        <is>
          <t>ProcProbability</t>
        </is>
      </c>
      <c r="I1704" s="5" t="inlineStr">
        <is>
          <t>MapleHeroMultiplier</t>
        </is>
      </c>
      <c r="J1704" s="5" t="inlineStr">
        <is>
          <t>BaseDamage</t>
        </is>
      </c>
      <c r="K1704" s="5" t="inlineStr">
        <is>
          <t>BaseHitDamage</t>
        </is>
      </c>
      <c r="L1704" s="5" t="inlineStr">
        <is>
          <t>NonCritAvg</t>
        </is>
      </c>
      <c r="M1704" s="5" t="inlineStr">
        <is>
          <t>CritAvg</t>
        </is>
      </c>
      <c r="N1704" s="5" t="inlineStr">
        <is>
          <t>ExpectedDamage(perHit)</t>
        </is>
      </c>
      <c r="O1704" s="5" t="inlineStr">
        <is>
          <t>DPS</t>
        </is>
      </c>
      <c r="P1704" s="5" t="inlineStr">
        <is>
          <t>% of Total</t>
        </is>
      </c>
      <c r="Q1704" s="5" t="inlineStr">
        <is>
          <t>InvCooldown</t>
        </is>
      </c>
      <c r="R1704" s="5" t="inlineStr">
        <is>
          <t>CastsInFight</t>
        </is>
      </c>
      <c r="S1704" s="5" t="inlineStr">
        <is>
          <t>HitRate(perSec)</t>
        </is>
      </c>
      <c r="U1704" t="inlineStr">
        <is>
          <t>helpers</t>
        </is>
      </c>
    </row>
    <row r="1705">
      <c r="A1705">
        <f>Skills!A2</f>
        <v/>
      </c>
      <c r="B1705">
        <f>Skills!B2</f>
        <v/>
      </c>
      <c r="C1705">
        <f>Inputs!$B$3&gt;=100</f>
        <v/>
      </c>
      <c r="D1705" t="inlineStr"/>
      <c r="E1705" t="inlineStr"/>
      <c r="F1705">
        <f>U1707+Skills!O2</f>
        <v/>
      </c>
      <c r="G1705">
        <f>Skills!G2*IF(Skills!H2&gt;0,INT(IF(Inputs!$B$38="pvp",MIN(Skills!I2,15),Skills!I2)/Skills!H2+0.000000001),1)</f>
        <v/>
      </c>
      <c r="H1705">
        <f>1-(1-Skills!J2/100)^Skills!K2</f>
        <v/>
      </c>
      <c r="I1705" t="inlineStr">
        <is>
          <t>1</t>
        </is>
      </c>
      <c r="J1705">
        <f>((Inputs!$B$6*(1+Inputs!$B$7/100))+(((Inputs!$B$12*(1+Inputs!$B$13/100))-(Inputs!$B$12*(1+Inputs!$B$13/100)))+0.25*(Inputs!$B$14-Inputs!$B$14))*(1+Inputs!$B$7/100))*(F1705/100)</f>
        <v/>
      </c>
      <c r="K1705">
        <f>J1705*(1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1729=TRUE)*(F1729-Calc!F26)),(Inputs!$B$23+((C1734=TRUE)*(F1734-Calc!F31))+(IF(ArtifactsInput!$M$15,CHOOSE(ArtifactsInput!$N$15+1,25,30,35,40,45,50)/100*(Inputs!$B$11-Inputs!$B$11),0))))/100+(Inputs!$B$23+((C1734=TRUE)*(F1734-Calc!F31))+(IF(ArtifactsInput!$M$15,CHOOSE(ArtifactsInput!$N$15+1,25,30,35,40,45,50)/100*(Inputs!$B$11-Inputs!$B$11),0)))/100)/2</f>
        <v/>
      </c>
      <c r="M1705">
        <f>L1705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IF(B1748=0,0,O1705/B1748)</f>
        <v/>
      </c>
      <c r="Q1705" t="n">
        <v>0</v>
      </c>
      <c r="R1705" t="n">
        <v>0</v>
      </c>
      <c r="S1705">
        <f>IFERROR(O1705/N1705,0)</f>
        <v/>
      </c>
      <c r="T1705">
        <f>IF(C1705,(Skills!G2*N1705*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MAX(0,(Inputs!$B$3-100)*3)+Inputs!$B$28+Inputs!$B$29</f>
        <v/>
      </c>
      <c r="V1705">
        <f>IF(C1705,(Skills!G2*N1705*B1742)*IF(Inputs!$B$38="pvp",1,(1+(Inputs!$B$21+Skills!Q2+(IF(ArtifactsInput!$M$33,CHOOSE(ArtifactsInput!$N$33+1,30,36,42,48,54,60),0))+(IF(AND(ArtifactsInput!$M$35,Inputs!$B$4&lt;&gt;"Chapter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Skills!A3</f>
        <v/>
      </c>
      <c r="B1706">
        <f>Skills!B3</f>
        <v/>
      </c>
      <c r="C1706">
        <f>Inputs!$B$3&gt;=50</f>
        <v/>
      </c>
      <c r="D1706">
        <f>IF(Skills!C3=1,60+Inputs!$B$25+Inputs!$B$29,IF(Skills!C3=2,90+Inputs!$B$26+Inputs!$B$29,IF(Skills!C3=3,120+Inputs!$B$27+Inputs!$B$29,MAX(0,(Inputs!$B$3-100)*3)+Inputs!$B$28+Inputs!$B$29)))</f>
        <v/>
      </c>
      <c r="E1706">
        <f>INDEX(FactorTable!$B$2:$Y$301, MATCH(ROUND(MIN(300,MAX(1,D1706)),0), FactorTable!$A$2:$A$301,0), Skills!M3+1)</f>
        <v/>
      </c>
      <c r="F1706">
        <f>IF(Skills!N3=TRUE,(Skills!L3/10)*(E1706/1000),Skills!L3/10)+Skills!O3</f>
        <v/>
      </c>
      <c r="G1706">
        <f>Skills!G3*IF(Skills!H3&gt;0,INT(IF(Inputs!$B$38="pvp",MIN(Skills!I3,15),Skills!I3)/Skills!H3+0.000000001),1)</f>
        <v/>
      </c>
      <c r="H1706">
        <f>1-(1-Skills!J3/100)^Skills!K3</f>
        <v/>
      </c>
      <c r="I1706" t="inlineStr">
        <is>
          <t>1</t>
        </is>
      </c>
      <c r="J1706">
        <f>((Inputs!$B$6*(1+Inputs!$B$7/100))+(((Inputs!$B$12*(1+Inputs!$B$13/100))-(Inputs!$B$12*(1+Inputs!$B$13/100)))+0.25*(Inputs!$B$14-Inputs!$B$14))*(1+Inputs!$B$7/100))*(F1706/100)</f>
        <v/>
      </c>
      <c r="K1706">
        <f>J1706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1707=TRUE,F1707,0)/100)*(1+(IF(Skills!A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1729=TRUE)*(F1729-Calc!F26)),(Inputs!$B$23+((C1734=TRUE)*(F1734-Calc!F31))+(IF(ArtifactsInput!$M$15,CHOOSE(ArtifactsInput!$N$15+1,25,30,35,40,45,50)/100*(Inputs!$B$11-Inputs!$B$11),0))))/100+(Inputs!$B$23+((C1734=TRUE)*(F1734-Calc!F31))+(IF(ArtifactsInput!$M$15,CHOOSE(ArtifactsInput!$N$15+1,25,30,35,40,45,50)/100*(Inputs!$B$11-Inputs!$B$11),0)))/100)/2</f>
        <v/>
      </c>
      <c r="M1706">
        <f>L1706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IF(B1748=0,0,O1706/B1748)</f>
        <v/>
      </c>
      <c r="Q1706">
        <f>IFERROR(1/(IF(Inputs!$B$38="pvp",15,MAX(0.1,1/B1740-IF(FALSE=TRUE,Inputs!$B$32,0)))*(1-IF(AND(ArtifactsInput!$M$27,Inputs!$B$4="Chapter Hunt"),CHOOSE(ArtifactsInput!$N$27+1,20,24,28,32,36,40),0)/100)),0)</f>
        <v/>
      </c>
      <c r="R1706">
        <f>IF(AND(Inputs!$B$38&lt;&gt;"pvp",Inputs!$B$43&gt;0),IF(MAX(0,Inputs!$B$43-B1745)&lt;=0,0,(INT(MAX(0,Inputs!$B$43-B1745)/(IF(Inputs!$B$38="pvp",15,MAX(0.1,1/B1740-IF(FALSE=TRUE,Inputs!$B$32,0)))*(1-IF(AND(ArtifactsInput!$M$27,Inputs!$B$4="Chapter Hunt"),CHOOSE(ArtifactsInput!$N$27+1,20,24,28,32,36,40),0)/100)))+1)),0)</f>
        <v/>
      </c>
      <c r="S1706">
        <f>IFERROR(O1706/N1706,0)</f>
        <v/>
      </c>
      <c r="T1706">
        <f>IF(C1706,(H1706*N1706*IF(AND(Inputs!$B$38&lt;&gt;"pvp",Inputs!$B$43&gt;0),((Skills!G3*((R1706-1)*IF(Skills!H3&gt;0,INT(Skills!I3/Skills!H3+0.000000001),1)+IF(Skills!H3&gt;0,INT(MIN(Skills!I3,MAX(0,MAX(0,Inputs!$B$43-B1745)-((R1706-1)*(IF(Inputs!$B$38="pvp",15,MAX(0.1,1/B1740-IF(FALSE=TRUE,Inputs!$B$32,0)))*(1-IF(AND(ArtifactsInput!$M$27,Inputs!$B$4="Chapter Hunt"),CHOOSE(ArtifactsInput!$N$27+1,20,24,28,32,36,40),0)/100)))))/Skills!H3+0.000000001),1)))/Inputs!$B$43),G1706*Q1706)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INDEX(FactorTable!$B$2:$Y$301, MATCH(ROUND(MIN(300,MAX(1,U1705)),0), FactorTable!$A$2:$A$301,0), 22)</f>
        <v/>
      </c>
      <c r="V1706">
        <f>IF(C1706,(H1706*N1706*IF(AND(Inputs!$B$38&lt;&gt;"pvp",Inputs!$B$43&gt;0),((Skills!G3*((R1706-1)*IF(Skills!H3&gt;0,INT(Skills!I3/Skills!H3+0.000000001),1)+IF(Skills!H3&gt;0,INT(MIN(Skills!I3,MAX(0,MAX(0,Inputs!$B$43-B1745)-((R1706-1)*(IF(Inputs!$B$38="pvp",15,MAX(0.1,1/B1740-IF(FALSE=TRUE,Inputs!$B$32,0)))*(1-IF(AND(ArtifactsInput!$M$27,Inputs!$B$4="Chapter Hunt"),CHOOSE(ArtifactsInput!$N$27+1,20,24,28,32,36,40),0)/100)))))/Skills!H3+0.000000001),1)))/Inputs!$B$43),G1706*Q1706))*IF(Inputs!$B$38="pvp",1,(1+(Inputs!$B$21+Skills!Q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Skills!A4</f>
        <v/>
      </c>
      <c r="B1707">
        <f>Skills!B4</f>
        <v/>
      </c>
      <c r="C1707">
        <f>Inputs!$B$3&gt;=105</f>
        <v/>
      </c>
      <c r="D1707">
        <f>IF(Skills!C4=1,60+Inputs!$B$25+Inputs!$B$29,IF(Skills!C4=2,90+Inputs!$B$26+Inputs!$B$29,IF(Skills!C4=3,120+Inputs!$B$27+Inputs!$B$29,MAX(0,(Inputs!$B$3-100)*3)+Inputs!$B$28+Inputs!$B$29)))</f>
        <v/>
      </c>
      <c r="E1707">
        <f>INDEX(FactorTable!$B$2:$Y$301, MATCH(ROUND(MIN(300,MAX(1,D1707)),0), FactorTable!$A$2:$A$301,0), Skills!M4+1)</f>
        <v/>
      </c>
      <c r="F1707">
        <f>IF(Skills!N4=TRUE,(Skills!L4/10)*(E1707/1000),Skills!L4/10)+Skills!O4</f>
        <v/>
      </c>
      <c r="G1707" t="inlineStr"/>
      <c r="H1707" t="inlineStr"/>
      <c r="I1707" t="inlineStr">
        <is>
          <t>1</t>
        </is>
      </c>
      <c r="J1707" t="inlineStr"/>
      <c r="K1707" t="inlineStr"/>
      <c r="L1707" t="inlineStr"/>
      <c r="M1707" t="inlineStr"/>
      <c r="N1707" t="inlineStr"/>
      <c r="O1707" t="inlineStr"/>
      <c r="P1707" t="inlineStr"/>
      <c r="Q1707" t="inlineStr"/>
      <c r="R1707" t="inlineStr"/>
      <c r="S1707" t="inlineStr"/>
      <c r="T1707" t="inlineStr"/>
      <c r="U1707">
        <f>290*U1706/1000</f>
        <v/>
      </c>
      <c r="V1707" t="inlineStr"/>
    </row>
    <row r="1708">
      <c r="A1708">
        <f>Skills!A5</f>
        <v/>
      </c>
      <c r="B1708">
        <f>Skills!B5</f>
        <v/>
      </c>
      <c r="C1708">
        <f>Inputs!$B$3&gt;=35</f>
        <v/>
      </c>
      <c r="D1708">
        <f>IF(Skills!C5=1,60+Inputs!$B$25+Inputs!$B$29,IF(Skills!C5=2,90+Inputs!$B$26+Inputs!$B$29,IF(Skills!C5=3,120+Inputs!$B$27+Inputs!$B$29,MAX(0,(Inputs!$B$3-100)*3)+Inputs!$B$28+Inputs!$B$29)))</f>
        <v/>
      </c>
      <c r="E1708">
        <f>INDEX(FactorTable!$B$2:$Y$301, MATCH(ROUND(MIN(300,MAX(1,D1708)),0), FactorTable!$A$2:$A$301,0), Skills!M5+1)</f>
        <v/>
      </c>
      <c r="F1708">
        <f>IF(Skills!N5=TRUE,(Skills!L5/10)*(E1708/1000),Skills!L5/10)+Skills!O5</f>
        <v/>
      </c>
      <c r="G1708">
        <f>Skills!G5*IF(Skills!H5&gt;0,INT(IF(Inputs!$B$38="pvp",MIN(Skills!I5,15),Skills!I5)/Skills!H5+0.000000001),1)</f>
        <v/>
      </c>
      <c r="H1708">
        <f>1-(1-Skills!J5/100)^Skills!K5</f>
        <v/>
      </c>
      <c r="I1708" t="inlineStr">
        <is>
          <t>1</t>
        </is>
      </c>
      <c r="J1708">
        <f>((Inputs!$B$6*(1+Inputs!$B$7/100))+(((Inputs!$B$12*(1+Inputs!$B$13/100))-(Inputs!$B$12*(1+Inputs!$B$13/100)))+0.25*(Inputs!$B$14-Inputs!$B$14))*(1+Inputs!$B$7/100))*(F1708/100)</f>
        <v/>
      </c>
      <c r="K1708">
        <f>J1708*(1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1715=TRUE,F1715,0)/100)*(1+(IF(Skills!A5="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1729=TRUE)*(F1729-Calc!F26)),(Inputs!$B$23+((C1734=TRUE)*(F1734-Calc!F31))+(IF(ArtifactsInput!$M$15,CHOOSE(ArtifactsInput!$N$15+1,25,30,35,40,45,50)/100*(Inputs!$B$11-Inputs!$B$11),0))))/100+(Inputs!$B$23+((C1734=TRUE)*(F1734-Calc!F31))+(IF(ArtifactsInput!$M$15,CHOOSE(ArtifactsInput!$N$15+1,25,30,35,40,45,50)/100*(Inputs!$B$11-Inputs!$B$11),0)))/100)/2</f>
        <v/>
      </c>
      <c r="M1708">
        <f>L1708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IF(B1748=0,0,O1708/B1748)</f>
        <v/>
      </c>
      <c r="Q1708">
        <f>IFERROR(1/(IF(Inputs!$B$38="pvp",15,MAX(0.1,Skills!D5-IF(TRUE=TRUE,Inputs!$B$32,0)))*(1-IF(AND(ArtifactsInput!$M$27,Inputs!$B$4="Chapter Hunt"),CHOOSE(ArtifactsInput!$N$27+1,20,24,28,32,36,40),0)/100)),0)</f>
        <v/>
      </c>
      <c r="R1708">
        <f>IF(AND(Inputs!$B$38&lt;&gt;"pvp",Inputs!$B$43&gt;0),IF(MAX(0,Inputs!$B$43-B1745)&lt;=0,0,(INT(MAX(0,Inputs!$B$43-B1745)/(IF(Inputs!$B$38="pvp",15,MAX(0.1,Skills!D5-IF(TRUE=TRUE,Inputs!$B$32,0)))*(1-IF(AND(ArtifactsInput!$M$27,Inputs!$B$4="Chapter Hunt"),CHOOSE(ArtifactsInput!$N$27+1,20,24,28,32,36,40),0)/100)))+1)),0)</f>
        <v/>
      </c>
      <c r="S1708">
        <f>IFERROR(O1708/N1708,0)</f>
        <v/>
      </c>
      <c r="T1708">
        <f>IF(C1708,(H1708*N1708*IF(AND(Inputs!$B$38&lt;&gt;"pvp",Inputs!$B$43&gt;0),((Skills!G5*((R1708-1)*IF(Skills!H5&gt;0,INT(Skills!I5/Skills!H5+0.000000001),1)+IF(Skills!H5&gt;0,INT(MIN(Skills!I5,MAX(0,MAX(0,Inputs!$B$43-B1745)-((R1708-1)*(IF(Inputs!$B$38="pvp",15,MAX(0.1,Skills!D5-IF(TRUE=TRUE,Inputs!$B$32,0)))*(1-IF(AND(ArtifactsInput!$M$27,Inputs!$B$4="Chapter Hunt"),CHOOSE(ArtifactsInput!$N$27+1,20,24,28,32,36,40),0)/100)))))/Skills!H5+0.000000001),1)))/Inputs!$B$43),G1708*Q1708)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5*((R1708-1)*IF(Skills!H5&gt;0,INT(Skills!I5/Skills!H5+0.000000001),1)+IF(Skills!H5&gt;0,INT(MIN(Skills!I5,MAX(0,MAX(0,Inputs!$B$43-B1745)-((R1708-1)*(IF(Inputs!$B$38="pvp",15,MAX(0.1,Skills!D5-IF(TRUE=TRUE,Inputs!$B$32,0)))*(1-IF(AND(ArtifactsInput!$M$27,Inputs!$B$4="Chapter Hunt"),CHOOSE(ArtifactsInput!$N$27+1,20,24,28,32,36,40),0)/100)))))/Skills!H5+0.000000001),1)))/Inputs!$B$43),G1708*Q1708))*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Skills!A6</f>
        <v/>
      </c>
      <c r="B1709">
        <f>Skills!B6</f>
        <v/>
      </c>
      <c r="C1709">
        <f>Inputs!$B$3&gt;=40</f>
        <v/>
      </c>
      <c r="D1709">
        <f>IF(Skills!C6=1,60+Inputs!$B$25+Inputs!$B$29,IF(Skills!C6=2,90+Inputs!$B$26+Inputs!$B$29,IF(Skills!C6=3,120+Inputs!$B$27+Inputs!$B$29,MAX(0,(Inputs!$B$3-100)*3)+Inputs!$B$28+Inputs!$B$29)))</f>
        <v/>
      </c>
      <c r="E1709">
        <f>INDEX(FactorTable!$B$2:$Y$301, MATCH(ROUND(MIN(300,MAX(1,D1709)),0), FactorTable!$A$2:$A$301,0), Skills!M6+1)</f>
        <v/>
      </c>
      <c r="F1709">
        <f>IF(Skills!N6=TRUE,(Skills!L6/10)*(E1709/1000),Skills!L6/10)+Skills!O6</f>
        <v/>
      </c>
      <c r="G1709">
        <f>Skills!G6*IF(Skills!H6&gt;0,INT(IF(Inputs!$B$38="pvp",MIN(Skills!I6,15),Skills!I6)/Skills!H6+0.000000001),1)</f>
        <v/>
      </c>
      <c r="H1709">
        <f>1-(1-Skills!J6/100)^Skills!K6</f>
        <v/>
      </c>
      <c r="I1709" t="inlineStr">
        <is>
          <t>1</t>
        </is>
      </c>
      <c r="J1709">
        <f>((Inputs!$B$6*(1+Inputs!$B$7/100))+(((Inputs!$B$12*(1+Inputs!$B$13/100))-(Inputs!$B$12*(1+Inputs!$B$13/100)))+0.25*(Inputs!$B$14-Inputs!$B$14))*(1+Inputs!$B$7/100))*(F1709/100)</f>
        <v/>
      </c>
      <c r="K1709">
        <f>J1709*(1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1710=TRUE,F1710,0)/100)*(1+(IF(Skills!A6="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1729=TRUE)*(F1729-Calc!F26)),(Inputs!$B$23+((C1734=TRUE)*(F1734-Calc!F31))+(IF(ArtifactsInput!$M$15,CHOOSE(ArtifactsInput!$N$15+1,25,30,35,40,45,50)/100*(Inputs!$B$11-Inputs!$B$11),0))))/100+(Inputs!$B$23+((C1734=TRUE)*(F1734-Calc!F31))+(IF(ArtifactsInput!$M$15,CHOOSE(ArtifactsInput!$N$15+1,25,30,35,40,45,50)/100*(Inputs!$B$11-Inputs!$B$11),0)))/100)/2</f>
        <v/>
      </c>
      <c r="M1709">
        <f>L1709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IF(B1748=0,0,O1709/B1748)</f>
        <v/>
      </c>
      <c r="Q1709">
        <f>IFERROR(1/(IF(Inputs!$B$38="pvp",15,MAX(0.1,1-0.4*MIN(1,(B1740-1)/1.5)-IF(FALSE=TRUE,Inputs!$B$32,0)))*(1-IF(AND(ArtifactsInput!$M$27,Inputs!$B$4="Chapter Hunt"),CHOOSE(ArtifactsInput!$N$27+1,20,24,28,32,36,40),0)/100)),0)</f>
        <v/>
      </c>
      <c r="R1709">
        <f>IF(AND(Inputs!$B$38&lt;&gt;"pvp",Inputs!$B$43&gt;0),IF(MAX(0,Inputs!$B$43-B1745)&lt;=0,0,(INT(MAX(0,Inputs!$B$43-B1745)/(IF(Inputs!$B$38="pvp",15,MAX(0.1,1-0.4*MIN(1,(B1740-1)/1.5)-IF(FALSE=TRUE,Inputs!$B$32,0)))*(1-IF(AND(ArtifactsInput!$M$27,Inputs!$B$4="Chapter Hunt"),CHOOSE(ArtifactsInput!$N$27+1,20,24,28,32,36,40),0)/100)))+1)),0)</f>
        <v/>
      </c>
      <c r="S1709">
        <f>IFERROR(O1709/N1709,0)</f>
        <v/>
      </c>
      <c r="T1709">
        <f>IF(C1709,(H1709*N1709*IF(AND(Inputs!$B$38&lt;&gt;"pvp",Inputs!$B$43&gt;0),((Skills!G6*((R1709-1)*IF(Skills!H6&gt;0,INT(Skills!I6/Skills!H6+0.000000001),1)+IF(Skills!H6&gt;0,INT(MIN(Skills!I6,MAX(0,MAX(0,Inputs!$B$43-B1745)-((R1709-1)*(IF(Inputs!$B$38="pvp",15,MAX(0.1,1-0.4*MIN(1,(B1740-1)/1.5)-IF(FALSE=TRUE,Inputs!$B$32,0)))*(1-IF(AND(ArtifactsInput!$M$27,Inputs!$B$4="Chapter Hunt"),CHOOSE(ArtifactsInput!$N$27+1,20,24,28,32,36,40),0)/100)))))/Skills!H6+0.000000001),1)))/Inputs!$B$43),G1709*Q1709)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6*((R1709-1)*IF(Skills!H6&gt;0,INT(Skills!I6/Skills!H6+0.000000001),1)+IF(Skills!H6&gt;0,INT(MIN(Skills!I6,MAX(0,MAX(0,Inputs!$B$43-B1745)-((R1709-1)*(IF(Inputs!$B$38="pvp",15,MAX(0.1,1-0.4*MIN(1,(B1740-1)/1.5)-IF(FALSE=TRUE,Inputs!$B$32,0)))*(1-IF(AND(ArtifactsInput!$M$27,Inputs!$B$4="Chapter Hunt"),CHOOSE(ArtifactsInput!$N$27+1,20,24,28,32,36,40),0)/100)))))/Skills!H6+0.000000001),1)))/Inputs!$B$43),G1709*Q1709))*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Skills!A7</f>
        <v/>
      </c>
      <c r="B1710">
        <f>Skills!B7</f>
        <v/>
      </c>
      <c r="C1710">
        <f>Inputs!$B$3&gt;=107</f>
        <v/>
      </c>
      <c r="D1710">
        <f>IF(Skills!C7=1,60+Inputs!$B$25+Inputs!$B$29,IF(Skills!C7=2,90+Inputs!$B$26+Inputs!$B$29,IF(Skills!C7=3,120+Inputs!$B$27+Inputs!$B$29,MAX(0,(Inputs!$B$3-100)*3)+Inputs!$B$28+Inputs!$B$29)))</f>
        <v/>
      </c>
      <c r="E1710">
        <f>INDEX(FactorTable!$B$2:$Y$301, MATCH(ROUND(MIN(300,MAX(1,D1710)),0), FactorTable!$A$2:$A$301,0), Skills!M7+1)</f>
        <v/>
      </c>
      <c r="F1710">
        <f>IF(Skills!N7=TRUE,(Skills!L7/10)*(E1710/1000),Skills!L7/10)+Skills!O7</f>
        <v/>
      </c>
      <c r="G1710" t="inlineStr"/>
      <c r="H1710" t="inlineStr"/>
      <c r="I1710" t="inlineStr">
        <is>
          <t>1</t>
        </is>
      </c>
      <c r="J1710" t="inlineStr"/>
      <c r="K1710" t="inlineStr"/>
      <c r="L1710" t="inlineStr"/>
      <c r="M1710" t="inlineStr"/>
      <c r="N1710" t="inlineStr"/>
      <c r="O1710" t="inlineStr"/>
      <c r="P1710" t="inlineStr"/>
      <c r="Q1710" t="inlineStr"/>
      <c r="R1710" t="inlineStr"/>
      <c r="S1710" t="inlineStr"/>
      <c r="T1710" t="inlineStr"/>
      <c r="V1710" t="inlineStr"/>
    </row>
    <row r="1711">
      <c r="A1711">
        <f>Skills!A8</f>
        <v/>
      </c>
      <c r="B1711">
        <f>Skills!B8</f>
        <v/>
      </c>
      <c r="C1711">
        <f>Inputs!$B$3&gt;=130</f>
        <v/>
      </c>
      <c r="D1711">
        <f>IF(Skills!C8=1,60+Inputs!$B$25+Inputs!$B$29,IF(Skills!C8=2,90+Inputs!$B$26+Inputs!$B$29,IF(Skills!C8=3,120+Inputs!$B$27+Inputs!$B$29,MAX(0,(Inputs!$B$3-100)*3)+Inputs!$B$28+Inputs!$B$29)))</f>
        <v/>
      </c>
      <c r="E1711">
        <f>INDEX(FactorTable!$B$2:$Y$301, MATCH(ROUND(MIN(300,MAX(1,D1711)),0), FactorTable!$A$2:$A$301,0), Skills!M8+1)</f>
        <v/>
      </c>
      <c r="F1711">
        <f>IF(Skills!N8=TRUE,(Skills!L8/10)*(E1711/1000),Skills!L8/10)+Skills!O8</f>
        <v/>
      </c>
      <c r="G1711">
        <f>Skills!G8*IF(Skills!H8&gt;0,INT(IF(Inputs!$B$38="pvp",MIN(Skills!I8,15),Skills!I8)/Skills!H8+0.000000001),1)</f>
        <v/>
      </c>
      <c r="H1711">
        <f>1-(1-Skills!J8/100)^Skills!K8</f>
        <v/>
      </c>
      <c r="I1711" t="inlineStr">
        <is>
          <t>1</t>
        </is>
      </c>
      <c r="J1711">
        <f>((Inputs!$B$6*(1+Inputs!$B$7/100))+(((Inputs!$B$12*(1+Inputs!$B$13/100))-(Inputs!$B$12*(1+Inputs!$B$13/100)))+0.25*(Inputs!$B$14-Inputs!$B$14))*(1+Inputs!$B$7/100))*(F1711/100)</f>
        <v/>
      </c>
      <c r="K1711">
        <f>J1711*(1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26)),(Inputs!$B$23+((C1734=TRUE)*(F1734-Calc!F31))+(IF(ArtifactsInput!$M$15,CHOOSE(ArtifactsInput!$N$15+1,25,30,35,40,45,50)/100*(Inputs!$B$11-Inputs!$B$11),0))))/100+(Inputs!$B$23+((C1734=TRUE)*(F1734-Calc!F31))+(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f>IFERROR(1/(IF(Inputs!$B$38="pvp",15,MAX(0.1,1-0.4*MIN(1,(B1740-1)/1.5)-IF(FALSE=TRUE,Inputs!$B$32,0)))*(1-IF(AND(ArtifactsInput!$M$27,Inputs!$B$4="Chapter Hunt"),CHOOSE(ArtifactsInput!$N$27+1,20,24,28,32,36,40),0)/100)),0)</f>
        <v/>
      </c>
      <c r="R1711">
        <f>IF(AND(Inputs!$B$38&lt;&gt;"pvp",Inputs!$B$43&gt;0),IF(MAX(0,Inputs!$B$43-B1745)&lt;=0,0,(INT(MAX(0,Inputs!$B$43-B1745)/(IF(Inputs!$B$38="pvp",15,MAX(0.1,1-0.4*MIN(1,(B1740-1)/1.5)-IF(FALSE=TRUE,Inputs!$B$32,0)))*(1-IF(AND(ArtifactsInput!$M$27,Inputs!$B$4="Chapter Hunt"),CHOOSE(ArtifactsInput!$N$27+1,20,24,28,32,36,40),0)/100)))+1)),0)</f>
        <v/>
      </c>
      <c r="S1711">
        <f>IFERROR(O1711/N1711,0)</f>
        <v/>
      </c>
      <c r="T1711">
        <f>IF(C1711,(H1711*N1711*IF(AND(Inputs!$B$38&lt;&gt;"pvp",Inputs!$B$43&gt;0),((Skills!G8*((R1711-1)*IF(Skills!H8&gt;0,INT(Skills!I8/Skills!H8+0.000000001),1)+IF(Skills!H8&gt;0,INT(MIN(Skills!I8,MAX(0,MAX(0,Inputs!$B$43-B1745)-((R1711-1)*(IF(Inputs!$B$38="pvp",15,MAX(0.1,1-0.4*MIN(1,(B1740-1)/1.5)-IF(FALSE=TRUE,Inputs!$B$32,0)))*(1-IF(AND(ArtifactsInput!$M$27,Inputs!$B$4="Chapter Hunt"),CHOOSE(ArtifactsInput!$N$27+1,20,24,28,32,36,40),0)/100)))))/Skills!H8+0.000000001),1)))/Inputs!$B$43),G1711*Q1711)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8*((R1711-1)*IF(Skills!H8&gt;0,INT(Skills!I8/Skills!H8+0.000000001),1)+IF(Skills!H8&gt;0,INT(MIN(Skills!I8,MAX(0,MAX(0,Inputs!$B$43-B1745)-((R1711-1)*(IF(Inputs!$B$38="pvp",15,MAX(0.1,1-0.4*MIN(1,(B1740-1)/1.5)-IF(FALSE=TRUE,Inputs!$B$32,0)))*(1-IF(AND(ArtifactsInput!$M$27,Inputs!$B$4="Chapter Hunt"),CHOOSE(ArtifactsInput!$N$27+1,20,24,28,32,36,40),0)/100)))))/Skills!H8+0.000000001),1)))/Inputs!$B$43),G1711*Q1711))*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Skills!A9</f>
        <v/>
      </c>
      <c r="B1712">
        <f>Skills!B9</f>
        <v/>
      </c>
      <c r="C1712">
        <f>Inputs!$B$3&gt;=69</f>
        <v/>
      </c>
      <c r="D1712">
        <f>IF(Skills!C9=1,60+Inputs!$B$25+Inputs!$B$29,IF(Skills!C9=2,90+Inputs!$B$26+Inputs!$B$29,IF(Skills!C9=3,120+Inputs!$B$27+Inputs!$B$29,MAX(0,(Inputs!$B$3-100)*3)+Inputs!$B$28+Inputs!$B$29)))</f>
        <v/>
      </c>
      <c r="E1712">
        <f>INDEX(FactorTable!$B$2:$Y$301, MATCH(ROUND(MIN(300,MAX(1,D1712)),0), FactorTable!$A$2:$A$301,0), Skills!M9+1)</f>
        <v/>
      </c>
      <c r="F1712">
        <f>IF(Skills!N9=TRUE,(Skills!L9/10)*(E1712/1000),Skills!L9/10)+Skills!O9</f>
        <v/>
      </c>
      <c r="G1712">
        <f>Skills!G9*IF(Skills!H9&gt;0,INT(IF(Inputs!$B$38="pvp",MIN(Skills!I9,15),Skills!I9)/Skills!H9+0.000000001),1)</f>
        <v/>
      </c>
      <c r="H1712">
        <f>1-(1-Skills!J9/100)^Skills!K9</f>
        <v/>
      </c>
      <c r="I1712" t="inlineStr">
        <is>
          <t>1</t>
        </is>
      </c>
      <c r="J1712">
        <f>((Inputs!$B$6*(1+Inputs!$B$7/100))+(((Inputs!$B$12*(1+Inputs!$B$13/100))-(Inputs!$B$12*(1+Inputs!$B$13/100)))+0.25*(Inputs!$B$14-Inputs!$B$14))*(1+Inputs!$B$7/100))*(F1712/100)</f>
        <v/>
      </c>
      <c r="K1712">
        <f>J1712*(1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1715=TRUE,F1715,0)/100)*(1+(IF(Skills!A9="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26)),(Inputs!$B$23+((C1734=TRUE)*(F1734-Calc!F31))+(IF(ArtifactsInput!$M$15,CHOOSE(ArtifactsInput!$N$15+1,25,30,35,40,45,50)/100*(Inputs!$B$11-Inputs!$B$11),0))))/100+(Inputs!$B$23+((C1734=TRUE)*(F1734-Calc!F31))+(IF(ArtifactsInput!$M$15,CHOOSE(ArtifactsInput!$N$15+1,25,30,35,40,45,50)/100*(Inputs!$B$11-Inputs!$B$11),0)))/100)/2</f>
        <v/>
      </c>
      <c r="M1712">
        <f>L1712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IF(B1748=0,0,O1712/B1748)</f>
        <v/>
      </c>
      <c r="Q1712">
        <f>IFERROR(1/(IF(Inputs!$B$38="pvp",15,MAX(0.1,Skills!D9-IF(TRUE=TRUE,Inputs!$B$32,0)))*(1-IF(AND(ArtifactsInput!$M$27,Inputs!$B$4="Chapter Hunt"),CHOOSE(ArtifactsInput!$N$27+1,20,24,28,32,36,40),0)/100)),0)</f>
        <v/>
      </c>
      <c r="R1712">
        <f>IF(AND(Inputs!$B$38&lt;&gt;"pvp",Inputs!$B$43&gt;0),IF(MAX(0,Inputs!$B$43-B1745)&lt;=0,0,(INT(MAX(0,Inputs!$B$43-B1745)/(IF(Inputs!$B$38="pvp",15,MAX(0.1,Skills!D9-IF(TRUE=TRUE,Inputs!$B$32,0)))*(1-IF(AND(ArtifactsInput!$M$27,Inputs!$B$4="Chapter Hunt"),CHOOSE(ArtifactsInput!$N$27+1,20,24,28,32,36,40),0)/100)))+1)),0)</f>
        <v/>
      </c>
      <c r="S1712">
        <f>IFERROR(O1712/N1712,0)</f>
        <v/>
      </c>
      <c r="T1712">
        <f>IF(C1712,(H1712*N1712*IF(AND(Inputs!$B$38&lt;&gt;"pvp",Inputs!$B$43&gt;0),((Skills!G9*((R1712-1)*IF(Skills!H9&gt;0,INT(Skills!I9/Skills!H9+0.000000001),1)+IF(Skills!H9&gt;0,INT(MIN(Skills!I9,MAX(0,MAX(0,Inputs!$B$43-B1745)-((R1712-1)*(IF(Inputs!$B$38="pvp",15,MAX(0.1,Skills!D9-IF(TRUE=TRUE,Inputs!$B$32,0)))*(1-IF(AND(ArtifactsInput!$M$27,Inputs!$B$4="Chapter Hunt"),CHOOSE(ArtifactsInput!$N$27+1,20,24,28,32,36,40),0)/100)))))/Skills!H9+0.000000001),1)))/Inputs!$B$43),G1712*Q1712)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9*((R1712-1)*IF(Skills!H9&gt;0,INT(Skills!I9/Skills!H9+0.000000001),1)+IF(Skills!H9&gt;0,INT(MIN(Skills!I9,MAX(0,MAX(0,Inputs!$B$43-B1745)-((R1712-1)*(IF(Inputs!$B$38="pvp",15,MAX(0.1,Skills!D9-IF(TRUE=TRUE,Inputs!$B$32,0)))*(1-IF(AND(ArtifactsInput!$M$27,Inputs!$B$4="Chapter Hunt"),CHOOSE(ArtifactsInput!$N$27+1,20,24,28,32,36,40),0)/100)))))/Skills!H9+0.000000001),1)))/Inputs!$B$43),G1712*Q1712))*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Skills!A10</f>
        <v/>
      </c>
      <c r="B1713">
        <f>Skills!B10</f>
        <v/>
      </c>
      <c r="C1713">
        <f>Inputs!$B$3&gt;=63</f>
        <v/>
      </c>
      <c r="D1713">
        <f>IF(Skills!C10=1,60+Inputs!$B$25+Inputs!$B$29,IF(Skills!C10=2,90+Inputs!$B$26+Inputs!$B$29,IF(Skills!C10=3,120+Inputs!$B$27+Inputs!$B$29,MAX(0,(Inputs!$B$3-100)*3)+Inputs!$B$28+Inputs!$B$29)))</f>
        <v/>
      </c>
      <c r="E1713">
        <f>INDEX(FactorTable!$B$2:$Y$301, MATCH(ROUND(MIN(300,MAX(1,D1713)),0), FactorTable!$A$2:$A$301,0), Skills!M10+1)</f>
        <v/>
      </c>
      <c r="F1713">
        <f>IF(Skills!N10=TRUE,(Skills!L10/10)*(E1713/1000),Skills!L10/10)+Skills!O10</f>
        <v/>
      </c>
      <c r="G1713">
        <f>Skills!G10*IF(Skills!H10&gt;0,INT(IF(Inputs!$B$38="pvp",MIN(Skills!I10,15),Skills!I10)/Skills!H10+0.000000001),1)</f>
        <v/>
      </c>
      <c r="H1713">
        <f>1-(1-Skills!J10/100)^Skills!K10</f>
        <v/>
      </c>
      <c r="I1713" t="inlineStr">
        <is>
          <t>1</t>
        </is>
      </c>
      <c r="J1713">
        <f>((Inputs!$B$6*(1+Inputs!$B$7/100))+(((Inputs!$B$12*(1+Inputs!$B$13/100))-(Inputs!$B$12*(1+Inputs!$B$13/100)))+0.25*(Inputs!$B$14-Inputs!$B$14))*(1+Inputs!$B$7/100))*(F1713/100)</f>
        <v/>
      </c>
      <c r="K1713">
        <f>J1713*(1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10="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26)),(Inputs!$B$23+((C1734=TRUE)*(F1734-Calc!F31))+(IF(ArtifactsInput!$M$15,CHOOSE(ArtifactsInput!$N$15+1,25,30,35,40,45,50)/100*(Inputs!$B$11-Inputs!$B$11),0))))/100+(Inputs!$B$23+((C1734=TRUE)*(F1734-Calc!F31))+(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IFERROR(1/(IF(Inputs!$B$38="pvp",15,MAX(0.1,Skills!D10-IF(TRUE=TRUE,Inputs!$B$32,0)))*(1-IF(AND(ArtifactsInput!$M$27,Inputs!$B$4="Chapter Hunt"),CHOOSE(ArtifactsInput!$N$27+1,20,24,28,32,36,40),0)/100)),0)</f>
        <v/>
      </c>
      <c r="R1713">
        <f>IF(AND(Inputs!$B$38&lt;&gt;"pvp",Inputs!$B$43&gt;0),IF(MAX(0,Inputs!$B$43-B1745)&lt;=0,0,(INT(MAX(0,Inputs!$B$43-B1745)/(IF(Inputs!$B$38="pvp",15,MAX(0.1,Skills!D10-IF(TRUE=TRUE,Inputs!$B$32,0)))*(1-IF(AND(ArtifactsInput!$M$27,Inputs!$B$4="Chapter Hunt"),CHOOSE(ArtifactsInput!$N$27+1,20,24,28,32,36,40),0)/100)))+1)),0)</f>
        <v/>
      </c>
      <c r="S1713">
        <f>IFERROR(O1713/N1713,0)</f>
        <v/>
      </c>
      <c r="T1713">
        <f>IF(C1713,(H1713*N1713*IF(AND(Inputs!$B$38&lt;&gt;"pvp",Inputs!$B$43&gt;0),((Skills!G10*((R1713-1)*IF(Skills!H10&gt;0,INT(Skills!I10/Skills!H10+0.000000001),1)+IF(Skills!H10&gt;0,INT(MIN(Skills!I10,MAX(0,MAX(0,Inputs!$B$43-B1745)-((R1713-1)*(IF(Inputs!$B$38="pvp",15,MAX(0.1,Skills!D10-IF(TRUE=TRUE,Inputs!$B$32,0)))*(1-IF(AND(ArtifactsInput!$M$27,Inputs!$B$4="Chapter Hunt"),CHOOSE(ArtifactsInput!$N$27+1,20,24,28,32,36,40),0)/100)))))/Skills!H10+0.000000001),1)))/Inputs!$B$43),G1713*Q1713)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10*((R1713-1)*IF(Skills!H10&gt;0,INT(Skills!I10/Skills!H10+0.000000001),1)+IF(Skills!H10&gt;0,INT(MIN(Skills!I10,MAX(0,MAX(0,Inputs!$B$43-B1745)-((R1713-1)*(IF(Inputs!$B$38="pvp",15,MAX(0.1,Skills!D10-IF(TRUE=TRUE,Inputs!$B$32,0)))*(1-IF(AND(ArtifactsInput!$M$27,Inputs!$B$4="Chapter Hunt"),CHOOSE(ArtifactsInput!$N$27+1,20,24,28,32,36,40),0)/100)))))/Skills!H10+0.000000001),1)))/Inputs!$B$43),G1713*Q1713))*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Skills!A11</f>
        <v/>
      </c>
      <c r="B1714">
        <f>Skills!B11</f>
        <v/>
      </c>
      <c r="C1714">
        <f>Inputs!$B$3&gt;=103</f>
        <v/>
      </c>
      <c r="D1714">
        <f>IF(Skills!C11=1,60+Inputs!$B$25+Inputs!$B$29,IF(Skills!C11=2,90+Inputs!$B$26+Inputs!$B$29,IF(Skills!C11=3,120+Inputs!$B$27+Inputs!$B$29,MAX(0,(Inputs!$B$3-100)*3)+Inputs!$B$28+Inputs!$B$29)))</f>
        <v/>
      </c>
      <c r="E1714">
        <f>INDEX(FactorTable!$B$2:$Y$301, MATCH(ROUND(MIN(300,MAX(1,D1714)),0), FactorTable!$A$2:$A$301,0), Skills!M11+1)</f>
        <v/>
      </c>
      <c r="F1714">
        <f>IF(Skills!N11=TRUE,(Skills!L11/10)*(E1714/1000),Skills!L11/10)+Skills!O11</f>
        <v/>
      </c>
      <c r="G1714">
        <f>Skills!G11*IF(Skills!H11&gt;0,INT(IF(Inputs!$B$38="pvp",MIN(Skills!I11,15),Skills!I11)/Skills!H11+0.000000001),1)</f>
        <v/>
      </c>
      <c r="H1714">
        <f>1-(1-Skills!J11/100)^Skills!K11</f>
        <v/>
      </c>
      <c r="I1714" t="inlineStr">
        <is>
          <t>1</t>
        </is>
      </c>
      <c r="J1714">
        <f>((Inputs!$B$6*(1+Inputs!$B$7/100))+(((Inputs!$B$12*(1+Inputs!$B$13/100))-(Inputs!$B$12*(1+Inputs!$B$13/100)))+0.25*(Inputs!$B$14-Inputs!$B$14))*(1+Inputs!$B$7/100))*(F1714/100)</f>
        <v/>
      </c>
      <c r="K1714">
        <f>J1714*(1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1729=TRUE)*(F1729-Calc!F26)),(Inputs!$B$23+((C1734=TRUE)*(F1734-Calc!F31))+(IF(ArtifactsInput!$M$15,CHOOSE(ArtifactsInput!$N$15+1,25,30,35,40,45,50)/100*(Inputs!$B$11-Inputs!$B$11),0))))/100+(Inputs!$B$23+((C1734=TRUE)*(F1734-Calc!F31))+(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IFERROR(1/(IF(Inputs!$B$38="pvp",15,MAX(0.1,Skills!D11-IF(TRUE=TRUE,Inputs!$B$32,0)))*(1-IF(AND(ArtifactsInput!$M$27,Inputs!$B$4="Chapter Hunt"),CHOOSE(ArtifactsInput!$N$27+1,20,24,28,32,36,40),0)/100)),0)</f>
        <v/>
      </c>
      <c r="R1714">
        <f>IF(AND(Inputs!$B$38&lt;&gt;"pvp",Inputs!$B$43&gt;0),IF(MAX(0,Inputs!$B$43-B1745)&lt;=0,0,(INT(MAX(0,Inputs!$B$43-B1745)/(IF(Inputs!$B$38="pvp",15,MAX(0.1,Skills!D11-IF(TRUE=TRUE,Inputs!$B$32,0)))*(1-IF(AND(ArtifactsInput!$M$27,Inputs!$B$4="Chapter Hunt"),CHOOSE(ArtifactsInput!$N$27+1,20,24,28,32,36,40),0)/100)))+1)),0)</f>
        <v/>
      </c>
      <c r="S1714">
        <f>IFERROR(O1714/N1714,0)</f>
        <v/>
      </c>
      <c r="T1714">
        <f>IF(C1714,(H1714*N1714*IF(AND(Inputs!$B$38&lt;&gt;"pvp",Inputs!$B$43&gt;0),((Skills!G11*((R1714-1)*IF(Skills!H11&gt;0,INT(Skills!I11/Skills!H11+0.000000001),1)+IF(Skills!H11&gt;0,INT(MIN(Skills!I11,MAX(0,MAX(0,Inputs!$B$43-B1745)-((R1714-1)*(IF(Inputs!$B$38="pvp",15,MAX(0.1,Skills!D11-IF(TRUE=TRUE,Inputs!$B$32,0)))*(1-IF(AND(ArtifactsInput!$M$27,Inputs!$B$4="Chapter Hunt"),CHOOSE(ArtifactsInput!$N$27+1,20,24,28,32,36,40),0)/100)))))/Skills!H11+0.000000001),1)))/Inputs!$B$43),G1714*Q1714)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11*((R1714-1)*IF(Skills!H11&gt;0,INT(Skills!I11/Skills!H11+0.000000001),1)+IF(Skills!H11&gt;0,INT(MIN(Skills!I11,MAX(0,MAX(0,Inputs!$B$43-B1745)-((R1714-1)*(IF(Inputs!$B$38="pvp",15,MAX(0.1,Skills!D11-IF(TRUE=TRUE,Inputs!$B$32,0)))*(1-IF(AND(ArtifactsInput!$M$27,Inputs!$B$4="Chapter Hunt"),CHOOSE(ArtifactsInput!$N$27+1,20,24,28,32,36,40),0)/100)))))/Skills!H11+0.000000001),1)))/Inputs!$B$43),G1714*Q1714))*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Skills!A12</f>
        <v/>
      </c>
      <c r="B1715">
        <f>Skills!B12</f>
        <v/>
      </c>
      <c r="C1715">
        <f>Inputs!$B$3&gt;=100</f>
        <v/>
      </c>
      <c r="D1715">
        <f>IF(Skills!C12=1,60+Inputs!$B$25+Inputs!$B$29,IF(Skills!C12=2,90+Inputs!$B$26+Inputs!$B$29,IF(Skills!C12=3,120+Inputs!$B$27+Inputs!$B$29,MAX(0,(Inputs!$B$3-100)*3)+Inputs!$B$28+Inputs!$B$29)))</f>
        <v/>
      </c>
      <c r="E1715">
        <f>INDEX(FactorTable!$B$2:$Y$301, MATCH(ROUND(MIN(300,MAX(1,D1715)),0), FactorTable!$A$2:$A$301,0), Skills!M12+1)</f>
        <v/>
      </c>
      <c r="F1715">
        <f>IF(Skills!N12=TRUE,(Skills!L12/10)*(E1715/1000),Skills!L12/10)+Skills!O12</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T1715" t="inlineStr"/>
      <c r="V1715" t="inlineStr"/>
    </row>
    <row r="1716">
      <c r="A1716">
        <f>Skills!A13</f>
        <v/>
      </c>
      <c r="B1716">
        <f>Skills!B13</f>
        <v/>
      </c>
      <c r="C1716">
        <f>Inputs!$B$3&gt;=60</f>
        <v/>
      </c>
      <c r="D1716">
        <f>IF(Skills!C13=1,60+Inputs!$B$25+Inputs!$B$29,IF(Skills!C13=2,90+Inputs!$B$26+Inputs!$B$29,IF(Skills!C13=3,120+Inputs!$B$27+Inputs!$B$29,MAX(0,(Inputs!$B$3-100)*3)+Inputs!$B$28+Inputs!$B$29)))</f>
        <v/>
      </c>
      <c r="E1716">
        <f>INDEX(FactorTable!$B$2:$Y$301, MATCH(ROUND(MIN(300,MAX(1,D1716)),0), FactorTable!$A$2:$A$301,0), Skills!M13+1)</f>
        <v/>
      </c>
      <c r="F1716">
        <f>IF(Skills!N13=TRUE,(Skills!L13/10)*(E1716/1000),Skills!L13/10)+Skills!O13</f>
        <v/>
      </c>
      <c r="G1716">
        <f>Skills!G13*IF(Skills!H13&gt;0,INT(IF(Inputs!$B$38="pvp",MIN(Skills!I13,15),Skills!I13)/Skills!H13+0.000000001),1)</f>
        <v/>
      </c>
      <c r="H1716">
        <f>1-(1-Skills!J13/100)^Skills!K13</f>
        <v/>
      </c>
      <c r="I1716" t="inlineStr">
        <is>
          <t>1</t>
        </is>
      </c>
      <c r="J1716">
        <f>((Inputs!$B$6*(1+Inputs!$B$7/100))+(((Inputs!$B$12*(1+Inputs!$B$13/100))-(Inputs!$B$12*(1+Inputs!$B$13/100)))+0.25*(Inputs!$B$14-Inputs!$B$14))*(1+Inputs!$B$7/100))*(F1716/100)</f>
        <v/>
      </c>
      <c r="K1716">
        <f>J1716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1717=TRUE,F1717,0)/100)*(1+(IF(Skills!A13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26)),(Inputs!$B$23+((C1734=TRUE)*(F1734-Calc!F31))+(IF(ArtifactsInput!$M$15,CHOOSE(ArtifactsInput!$N$15+1,25,30,35,40,45,50)/100*(Inputs!$B$11-Inputs!$B$11),0))))/100+(Inputs!$B$23+((C1734=TRUE)*(F1734-Calc!F31))+(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IFERROR(1/(IF(Inputs!$B$38="pvp",15,MAX(0.1,IF(Inputs!$B$3&gt;=122,3,5)+1/(((20+30*(B1740-1)*100/150)/100)*B1740)-IF(FALSE=TRUE,Inputs!$B$32,0)))*(1-IF(AND(ArtifactsInput!$M$27,Inputs!$B$4="Chapter Hunt"),CHOOSE(ArtifactsInput!$N$27+1,20,24,28,32,36,40),0)/100)),0)</f>
        <v/>
      </c>
      <c r="R1716">
        <f>IF(AND(Inputs!$B$38&lt;&gt;"pvp",Inputs!$B$43&gt;0),IF(MAX(0,Inputs!$B$43-B1745)&lt;=0,0,(INT(MAX(0,Inputs!$B$43-B1745)/(IF(Inputs!$B$38="pvp",15,MAX(0.1,IF(Inputs!$B$3&gt;=122,3,5)+1/(((20+30*(B1740-1)*100/150)/100)*B1740)-IF(FALSE=TRUE,Inputs!$B$32,0)))*(1-IF(AND(ArtifactsInput!$M$27,Inputs!$B$4="Chapter Hunt"),CHOOSE(ArtifactsInput!$N$27+1,20,24,28,32,36,40),0)/100)))+1)),0)</f>
        <v/>
      </c>
      <c r="S1716">
        <f>IFERROR(O1716/N1716,0)</f>
        <v/>
      </c>
      <c r="T1716">
        <f>IF(C1716,(H1716*N1716*IF(AND(Inputs!$B$38&lt;&gt;"pvp",Inputs!$B$43&gt;0),((Skills!G13*((R1716-1)*IF(Skills!H13&gt;0,INT(Skills!I13/Skills!H13+0.000000001),1)+IF(Skills!H13&gt;0,INT(MIN(Skills!I13,MAX(0,MAX(0,Inputs!$B$43-B1745)-((R1716-1)*(IF(Inputs!$B$38="pvp",15,MAX(0.1,IF(Inputs!$B$3&gt;=122,3,5)+1/(((20+30*(B1740-1)*100/150)/100)*B1740)-IF(FALSE=TRUE,Inputs!$B$32,0)))*(1-IF(AND(ArtifactsInput!$M$27,Inputs!$B$4="Chapter Hunt"),CHOOSE(ArtifactsInput!$N$27+1,20,24,28,32,36,40),0)/100)))))/Skills!H13+0.000000001),1)))/Inputs!$B$43),G1716*Q1716)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13*((R1716-1)*IF(Skills!H13&gt;0,INT(Skills!I13/Skills!H13+0.000000001),1)+IF(Skills!H13&gt;0,INT(MIN(Skills!I13,MAX(0,MAX(0,Inputs!$B$43-B1745)-((R1716-1)*(IF(Inputs!$B$38="pvp",15,MAX(0.1,IF(Inputs!$B$3&gt;=122,3,5)+1/(((20+30*(B1740-1)*100/150)/100)*B1740)-IF(FALSE=TRUE,Inputs!$B$32,0)))*(1-IF(AND(ArtifactsInput!$M$27,Inputs!$B$4="Chapter Hunt"),CHOOSE(ArtifactsInput!$N$27+1,20,24,28,32,36,40),0)/100)))))/Skills!H13+0.000000001),1)))/Inputs!$B$43),G1716*Q1716))*IF(Inputs!$B$38="pvp",1,(1+(Inputs!$B$21+Skills!Q13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Skills!A14</f>
        <v/>
      </c>
      <c r="B1717">
        <f>Skills!B14</f>
        <v/>
      </c>
      <c r="C1717">
        <f>Inputs!$B$3&gt;=110</f>
        <v/>
      </c>
      <c r="D1717">
        <f>IF(Skills!C14=1,60+Inputs!$B$25+Inputs!$B$29,IF(Skills!C14=2,90+Inputs!$B$26+Inputs!$B$29,IF(Skills!C14=3,120+Inputs!$B$27+Inputs!$B$29,MAX(0,(Inputs!$B$3-100)*3)+Inputs!$B$28+Inputs!$B$29)))</f>
        <v/>
      </c>
      <c r="E1717">
        <f>INDEX(FactorTable!$B$2:$Y$301, MATCH(ROUND(MIN(300,MAX(1,D1717)),0), FactorTable!$A$2:$A$301,0), Skills!M14+1)</f>
        <v/>
      </c>
      <c r="F1717">
        <f>IF(Skills!N14=TRUE,(Skills!L14/10)*(E1717/1000),Skills!L14/10)+Skills!O14</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Skills!A15</f>
        <v/>
      </c>
      <c r="B1718">
        <f>Skills!B15</f>
        <v/>
      </c>
      <c r="C1718">
        <f>Inputs!$B$3&gt;=74</f>
        <v/>
      </c>
      <c r="D1718">
        <f>IF(Skills!C15=1,60+Inputs!$B$25+Inputs!$B$29,IF(Skills!C15=2,90+Inputs!$B$26+Inputs!$B$29,IF(Skills!C15=3,120+Inputs!$B$27+Inputs!$B$29,MAX(0,(Inputs!$B$3-100)*3)+Inputs!$B$28+Inputs!$B$29)))</f>
        <v/>
      </c>
      <c r="E1718">
        <f>INDEX(FactorTable!$B$2:$Y$301, MATCH(ROUND(MIN(300,MAX(1,D1718)),0), FactorTable!$A$2:$A$301,0), Skills!M15+1)</f>
        <v/>
      </c>
      <c r="F1718">
        <f>IF(Skills!N15=TRUE,(Skills!L15/10)*(E1718/1000),Skills!L15/10)+Skills!O15</f>
        <v/>
      </c>
      <c r="G1718">
        <f>Skills!G15*IF(Skills!H15&gt;0,INT(IF(Inputs!$B$38="pvp",MIN(Skills!I15,15),Skills!I15)/Skills!H15+0.000000001),1)</f>
        <v/>
      </c>
      <c r="H1718">
        <f>1-(1-Skills!J15/100)^Skills!K15</f>
        <v/>
      </c>
      <c r="I1718" t="inlineStr">
        <is>
          <t>1</t>
        </is>
      </c>
      <c r="J1718" t="inlineStr"/>
      <c r="K1718" t="inlineStr"/>
      <c r="L1718" t="inlineStr"/>
      <c r="M1718" t="inlineStr"/>
      <c r="N1718" t="inlineStr"/>
      <c r="O1718">
        <f>(1-Summary!$B$11)*T1718+Summary!$B$11*V1718</f>
        <v/>
      </c>
      <c r="P1718">
        <f>IF(B1748=0,0,O1718/B1748)</f>
        <v/>
      </c>
      <c r="Q1718" t="n">
        <v>0</v>
      </c>
      <c r="R1718" t="n">
        <v>0</v>
      </c>
      <c r="S1718">
        <f>IFERROR(O1718/N1718,0)</f>
        <v/>
      </c>
      <c r="T1718" t="n">
        <v>0</v>
      </c>
      <c r="V1718" t="n">
        <v>0</v>
      </c>
    </row>
    <row r="1719">
      <c r="A1719">
        <f>Skills!A16</f>
        <v/>
      </c>
      <c r="B1719">
        <f>Skills!B16</f>
        <v/>
      </c>
      <c r="C1719">
        <f>Inputs!$B$3&gt;=74</f>
        <v/>
      </c>
      <c r="D1719">
        <f>IF(Skills!C16=1,60+Inputs!$B$25+Inputs!$B$29,IF(Skills!C16=2,90+Inputs!$B$26+Inputs!$B$29,IF(Skills!C16=3,120+Inputs!$B$27+Inputs!$B$29,MAX(0,(Inputs!$B$3-100)*3)+Inputs!$B$28+Inputs!$B$29)))</f>
        <v/>
      </c>
      <c r="E1719">
        <f>INDEX(FactorTable!$B$2:$Y$301, MATCH(ROUND(MIN(300,MAX(1,D1719)),0), FactorTable!$A$2:$A$301,0), Skills!M16+1)</f>
        <v/>
      </c>
      <c r="F1719">
        <f>IF(Skills!N16=TRUE,(Skills!L16/10)*(E1719/1000),Skills!L16/10)+Skills!O16</f>
        <v/>
      </c>
      <c r="G1719">
        <f>Skills!G16*IF(Skills!H16&gt;0,INT(IF(Inputs!$B$38="pvp",MIN(Skills!I16,15),Skills!I16)/Skills!H16+0.000000001),1)</f>
        <v/>
      </c>
      <c r="H1719">
        <f>1-(1-Skills!J16/100)^Skills!K16</f>
        <v/>
      </c>
      <c r="I1719" t="inlineStr">
        <is>
          <t>1</t>
        </is>
      </c>
      <c r="J1719" t="inlineStr"/>
      <c r="K1719" t="inlineStr"/>
      <c r="L1719" t="inlineStr"/>
      <c r="M1719" t="inlineStr"/>
      <c r="N1719" t="inlineStr"/>
      <c r="O1719">
        <f>(1-Summary!$B$11)*T1719+Summary!$B$11*V1719</f>
        <v/>
      </c>
      <c r="P1719">
        <f>IF(B1748=0,0,O1719/B1748)</f>
        <v/>
      </c>
      <c r="Q1719" t="n">
        <v>0</v>
      </c>
      <c r="R1719" t="n">
        <v>0</v>
      </c>
      <c r="S1719">
        <f>IFERROR(O1719/N1719,0)</f>
        <v/>
      </c>
      <c r="T1719" t="n">
        <v>0</v>
      </c>
      <c r="V1719" t="n">
        <v>0</v>
      </c>
    </row>
    <row r="1720">
      <c r="A1720">
        <f>Skills!A17</f>
        <v/>
      </c>
      <c r="B1720">
        <f>Skills!B17</f>
        <v/>
      </c>
      <c r="C1720">
        <f>Inputs!$B$3&gt;=117</f>
        <v/>
      </c>
      <c r="D1720">
        <f>IF(Skills!C17=1,60+Inputs!$B$25+Inputs!$B$29,IF(Skills!C17=2,90+Inputs!$B$26+Inputs!$B$29,IF(Skills!C17=3,120+Inputs!$B$27+Inputs!$B$29,MAX(0,(Inputs!$B$3-100)*3)+Inputs!$B$28+Inputs!$B$29)))</f>
        <v/>
      </c>
      <c r="E1720">
        <f>INDEX(FactorTable!$B$2:$Y$301, MATCH(ROUND(MIN(300,MAX(1,D1720)),0), FactorTable!$A$2:$A$301,0), Skills!M17+1)</f>
        <v/>
      </c>
      <c r="F1720">
        <f>IF(Skills!N17=TRUE,(Skills!L17/10)*(E1720/1000),Skills!L17/10)+Skills!O17</f>
        <v/>
      </c>
      <c r="G1720">
        <f>Skills!G17*IF(Skills!H17&gt;0,INT(IF(Inputs!$B$38="pvp",MIN(Skills!I17,15),Skills!I17)/Skills!H17+0.000000001),1)</f>
        <v/>
      </c>
      <c r="H1720">
        <f>1-(1-Skills!J17/100)^Skills!K17</f>
        <v/>
      </c>
      <c r="I1720" t="inlineStr">
        <is>
          <t>1</t>
        </is>
      </c>
      <c r="J1720" t="inlineStr"/>
      <c r="K1720" t="inlineStr"/>
      <c r="L1720" t="inlineStr"/>
      <c r="M1720" t="inlineStr"/>
      <c r="N1720" t="inlineStr"/>
      <c r="O1720">
        <f>(1-Summary!$B$11)*T1720+Summary!$B$11*V1720</f>
        <v/>
      </c>
      <c r="P1720">
        <f>IF(B1748=0,0,O1720/B1748)</f>
        <v/>
      </c>
      <c r="Q1720">
        <f>IFERROR(1/(IF(Inputs!$B$38="pvp",15,MAX(0.1,Skills!D17-IF(TRUE=TRUE,Inputs!$B$32,0)))*(1-IF(AND(ArtifactsInput!$M$27,Inputs!$B$4="Chapter Hunt"),CHOOSE(ArtifactsInput!$N$27+1,20,24,28,32,36,40),0)/100)),0)</f>
        <v/>
      </c>
      <c r="R1720">
        <f>IF(AND(Inputs!$B$38&lt;&gt;"pvp",Inputs!$B$43&gt;0),IF(Inputs!$B$43&lt;=0,0,(INT(Inputs!$B$43/(IF(Inputs!$B$38="pvp",15,MAX(0.1,Skills!D17-IF(TRUE=TRUE,Inputs!$B$32,0)))*(1-IF(AND(ArtifactsInput!$M$27,Inputs!$B$4="Chapter Hunt"),CHOOSE(ArtifactsInput!$N$27+1,20,24,28,32,36,40),0)/100)))+1)),0)</f>
        <v/>
      </c>
      <c r="S1720">
        <f>IFERROR(O1720/N1720,0)</f>
        <v/>
      </c>
      <c r="T1720" t="n">
        <v>0</v>
      </c>
      <c r="V1720" t="n">
        <v>0</v>
      </c>
    </row>
    <row r="1721">
      <c r="A1721">
        <f>Skills!A18</f>
        <v/>
      </c>
      <c r="B1721">
        <f>Skills!B18</f>
        <v/>
      </c>
      <c r="C1721">
        <f>Inputs!$B$3&gt;=115</f>
        <v/>
      </c>
      <c r="D1721">
        <f>IF(Skills!C18=1,60+Inputs!$B$25+Inputs!$B$29,IF(Skills!C18=2,90+Inputs!$B$26+Inputs!$B$29,IF(Skills!C18=3,120+Inputs!$B$27+Inputs!$B$29,MAX(0,(Inputs!$B$3-100)*3)+Inputs!$B$28+Inputs!$B$29)))</f>
        <v/>
      </c>
      <c r="E1721">
        <f>INDEX(FactorTable!$B$2:$Y$301, MATCH(ROUND(MIN(300,MAX(1,D1721)),0), FactorTable!$A$2:$A$301,0), Skills!M18+1)</f>
        <v/>
      </c>
      <c r="F1721">
        <f>IF(Skills!N18=TRUE,(Skills!L18/10)*(E1721/1000),Skills!L18/10)+Skills!O18</f>
        <v/>
      </c>
      <c r="G1721">
        <f>Skills!G18*IF(Skills!H18&gt;0,INT(IF(Inputs!$B$38="pvp",MIN(Skills!I18,15),Skills!I18)/Skills!H18+0.000000001),1)</f>
        <v/>
      </c>
      <c r="H1721">
        <f>1-(1-Skills!J18/100)^Skills!K18</f>
        <v/>
      </c>
      <c r="I1721" t="inlineStr">
        <is>
          <t>1</t>
        </is>
      </c>
      <c r="J1721" t="inlineStr"/>
      <c r="K1721" t="inlineStr"/>
      <c r="L1721" t="inlineStr"/>
      <c r="M1721" t="inlineStr"/>
      <c r="N1721" t="inlineStr"/>
      <c r="O1721">
        <f>(1-Summary!$B$11)*T1721+Summary!$B$11*V1721</f>
        <v/>
      </c>
      <c r="P1721">
        <f>IF(B1748=0,0,O1721/B1748)</f>
        <v/>
      </c>
      <c r="Q1721">
        <f>IFERROR(1/(IF(Inputs!$B$38="pvp",15,MAX(0.1,Skills!D18-IF(TRUE=TRUE,Inputs!$B$32,0)))*(1-IF(AND(ArtifactsInput!$M$27,Inputs!$B$4="Chapter Hunt"),CHOOSE(ArtifactsInput!$N$27+1,20,24,28,32,36,40),0)/100)),0)</f>
        <v/>
      </c>
      <c r="R1721">
        <f>IF(AND(Inputs!$B$38&lt;&gt;"pvp",Inputs!$B$43&gt;0),IF(Inputs!$B$43&lt;=0,0,(INT(Inputs!$B$43/(IF(Inputs!$B$38="pvp",15,MAX(0.1,Skills!D18-IF(TRUE=TRUE,Inputs!$B$32,0)))*(1-IF(AND(ArtifactsInput!$M$27,Inputs!$B$4="Chapter Hunt"),CHOOSE(ArtifactsInput!$N$27+1,20,24,28,32,36,40),0)/100)))+1)),0)</f>
        <v/>
      </c>
      <c r="S1721">
        <f>IFERROR(O1721/N1721,0)</f>
        <v/>
      </c>
      <c r="T1721" t="n">
        <v>0</v>
      </c>
      <c r="V1721" t="n">
        <v>0</v>
      </c>
    </row>
    <row r="1722">
      <c r="A1722">
        <f>Skills!A19</f>
        <v/>
      </c>
      <c r="B1722">
        <f>Skills!B19</f>
        <v/>
      </c>
      <c r="C1722">
        <f>Inputs!$B$3&gt;=66</f>
        <v/>
      </c>
      <c r="D1722">
        <f>IF(Skills!C19=1,60+Inputs!$B$25+Inputs!$B$29,IF(Skills!C19=2,90+Inputs!$B$26+Inputs!$B$29,IF(Skills!C19=3,120+Inputs!$B$27+Inputs!$B$29,MAX(0,(Inputs!$B$3-100)*3)+Inputs!$B$28+Inputs!$B$29)))</f>
        <v/>
      </c>
      <c r="E1722">
        <f>INDEX(FactorTable!$B$2:$Y$301, MATCH(ROUND(MIN(300,MAX(1,D1722)),0), FactorTable!$A$2:$A$301,0), Skills!M19+1)</f>
        <v/>
      </c>
      <c r="F1722">
        <f>IF(Skills!N19=TRUE,(Skills!L19/10)*(E1722/1000),Skills!L19/10)+Skills!O19</f>
        <v/>
      </c>
      <c r="G1722">
        <f>Skills!G19*IF(Skills!H19&gt;0,INT(IF(Inputs!$B$38="pvp",MIN(Skills!I19,15),Skills!I19)/Skills!H19+0.000000001),1)</f>
        <v/>
      </c>
      <c r="H1722">
        <f>1-(1-Skills!J19/100)^Skills!K19</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Skills!A20</f>
        <v/>
      </c>
      <c r="B1723">
        <f>Skills!B20</f>
        <v/>
      </c>
      <c r="C1723">
        <f>Inputs!$B$3&gt;=72</f>
        <v/>
      </c>
      <c r="D1723">
        <f>IF(Skills!C20=1,60+Inputs!$B$25+Inputs!$B$29,IF(Skills!C20=2,90+Inputs!$B$26+Inputs!$B$29,IF(Skills!C20=3,120+Inputs!$B$27+Inputs!$B$29,MAX(0,(Inputs!$B$3-100)*3)+Inputs!$B$28+Inputs!$B$29)))</f>
        <v/>
      </c>
      <c r="E1723">
        <f>INDEX(FactorTable!$B$2:$Y$301, MATCH(ROUND(MIN(300,MAX(1,D1723)),0), FactorTable!$A$2:$A$301,0), Skills!M20+1)</f>
        <v/>
      </c>
      <c r="F1723">
        <f>IF(Skills!N20=TRUE,(Skills!L20/10)*(E1723/1000),Skills!L20/10)+Skills!O20</f>
        <v/>
      </c>
      <c r="G1723">
        <f>Skills!G20*IF(Skills!H20&gt;0,INT(IF(Inputs!$B$38="pvp",MIN(Skills!I20,15),Skills!I20)/Skills!H20+0.000000001),1)</f>
        <v/>
      </c>
      <c r="H1723">
        <f>1-(1-Skills!J20/100)^Skills!K20</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Skills!A21</f>
        <v/>
      </c>
      <c r="B1724">
        <f>Skills!B21</f>
        <v/>
      </c>
      <c r="C1724">
        <f>TRUE</f>
        <v/>
      </c>
      <c r="D1724">
        <f>IF(Skills!C21=1,60+Inputs!$B$25+Inputs!$B$29,IF(Skills!C21=2,90+Inputs!$B$26+Inputs!$B$29,IF(Skills!C21=3,120+Inputs!$B$27+Inputs!$B$29,MAX(0,(Inputs!$B$3-100)*3)+Inputs!$B$28+Inputs!$B$29)))</f>
        <v/>
      </c>
      <c r="E1724">
        <f>INDEX(FactorTable!$B$2:$Y$301, MATCH(ROUND(MIN(300,MAX(1,D1724)),0), FactorTable!$A$2:$A$301,0), Skills!M21+1)</f>
        <v/>
      </c>
      <c r="F1724">
        <f>IF(Skills!N21=TRUE,(Skills!L21/10)*(E1724/1000),Skills!L21/10)+Skills!O21</f>
        <v/>
      </c>
      <c r="G1724">
        <f>Skills!G21*IF(Skills!H21&gt;0,INT(IF(Inputs!$B$38="pvp",MIN(Skills!I21,15),Skills!I21)/Skills!H21+0.000000001),1)</f>
        <v/>
      </c>
      <c r="H1724">
        <f>1-(1-Skills!J21/100)^Skills!K21</f>
        <v/>
      </c>
      <c r="I1724" t="inlineStr">
        <is>
          <t>1</t>
        </is>
      </c>
      <c r="J1724" t="inlineStr"/>
      <c r="K1724" t="inlineStr"/>
      <c r="L1724" t="inlineStr"/>
      <c r="M1724" t="inlineStr"/>
      <c r="N1724" t="inlineStr"/>
      <c r="O1724">
        <f>(1-Summary!$B$11)*T1724+Summary!$B$11*V1724</f>
        <v/>
      </c>
      <c r="P1724">
        <f>IF(B1748=0,0,O1724/B1748)</f>
        <v/>
      </c>
      <c r="Q1724">
        <f>IFERROR(1/(IF(Inputs!$B$38="pvp",15,MAX(0.1,Skills!D21-IF(TRUE=TRUE,Inputs!$B$32,0)))*(1-IF(AND(ArtifactsInput!$M$27,Inputs!$B$4="Chapter Hunt"),CHOOSE(ArtifactsInput!$N$27+1,20,24,28,32,36,40),0)/100)),0)</f>
        <v/>
      </c>
      <c r="R1724">
        <f>IF(AND(Inputs!$B$38&lt;&gt;"pvp",Inputs!$B$43&gt;0),IF(Inputs!$B$43&lt;=0,0,(INT(Inputs!$B$43/(IF(Inputs!$B$38="pvp",15,MAX(0.1,Skills!D21-IF(TRUE=TRUE,Inputs!$B$32,0)))*(1-IF(AND(ArtifactsInput!$M$27,Inputs!$B$4="Chapter Hunt"),CHOOSE(ArtifactsInput!$N$27+1,20,24,28,32,36,40),0)/100)))+1)),0)</f>
        <v/>
      </c>
      <c r="S1724">
        <f>IFERROR(O1724/N1724,0)</f>
        <v/>
      </c>
      <c r="T1724" t="n">
        <v>0</v>
      </c>
      <c r="V1724" t="n">
        <v>0</v>
      </c>
    </row>
    <row r="1725">
      <c r="A1725">
        <f>Skills!A22</f>
        <v/>
      </c>
      <c r="B1725">
        <f>Skills!B22</f>
        <v/>
      </c>
      <c r="C1725">
        <f>Inputs!$B$3&gt;=15</f>
        <v/>
      </c>
      <c r="D1725">
        <f>IF(Skills!C22=1,60+Inputs!$B$25+Inputs!$B$29,IF(Skills!C22=2,90+Inputs!$B$26+Inputs!$B$29,IF(Skills!C22=3,120+Inputs!$B$27+Inputs!$B$29,MAX(0,(Inputs!$B$3-100)*3)+Inputs!$B$28+Inputs!$B$29)))</f>
        <v/>
      </c>
      <c r="E1725">
        <f>INDEX(FactorTable!$B$2:$Y$301, MATCH(ROUND(MIN(300,MAX(1,D1725)),0), FactorTable!$A$2:$A$301,0), Skills!M22+1)</f>
        <v/>
      </c>
      <c r="F1725">
        <f>IF(Skills!N22=TRUE,(Skills!L22/10)*(E1725/1000),Skills!L22/10)+Skills!O22</f>
        <v/>
      </c>
      <c r="G1725">
        <f>Skills!G22*IF(Skills!H22&gt;0,INT(IF(Inputs!$B$38="pvp",MIN(Skills!I22,15),Skills!I22)/Skills!H22+0.000000001),1)</f>
        <v/>
      </c>
      <c r="H1725">
        <f>1-(1-Skills!J22/100)^Skills!K22</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Skills!A23</f>
        <v/>
      </c>
      <c r="B1726">
        <f>Skills!B23</f>
        <v/>
      </c>
      <c r="C1726">
        <f>Inputs!$B$3&gt;=10</f>
        <v/>
      </c>
      <c r="D1726">
        <f>IF(Skills!C23=1,60+Inputs!$B$25+Inputs!$B$29,IF(Skills!C23=2,90+Inputs!$B$26+Inputs!$B$29,IF(Skills!C23=3,120+Inputs!$B$27+Inputs!$B$29,MAX(0,(Inputs!$B$3-100)*3)+Inputs!$B$28+Inputs!$B$29)))</f>
        <v/>
      </c>
      <c r="E1726">
        <f>INDEX(FactorTable!$B$2:$Y$301, MATCH(ROUND(MIN(300,MAX(1,D1726)),0), FactorTable!$A$2:$A$301,0), Skills!M23+1)</f>
        <v/>
      </c>
      <c r="F1726">
        <f>IF(Skills!N23=TRUE,(Skills!L23/10)*(E1726/1000),Skills!L23/10)+Skills!O23</f>
        <v/>
      </c>
      <c r="G1726">
        <f>Skills!G23*IF(Skills!H23&gt;0,INT(IF(Inputs!$B$38="pvp",MIN(Skills!I23,15),Skills!I23)/Skills!H23+0.000000001),1)</f>
        <v/>
      </c>
      <c r="H1726">
        <f>1-(1-Skills!J23/100)^Skills!K23</f>
        <v/>
      </c>
      <c r="I1726" t="inlineStr">
        <is>
          <t>1</t>
        </is>
      </c>
      <c r="J1726" t="inlineStr"/>
      <c r="K1726" t="inlineStr"/>
      <c r="L1726" t="inlineStr"/>
      <c r="M1726" t="inlineStr"/>
      <c r="N1726" t="inlineStr"/>
      <c r="O1726">
        <f>(1-Summary!$B$11)*T1726+Summary!$B$11*V1726</f>
        <v/>
      </c>
      <c r="P1726">
        <f>IF(B1748=0,0,O1726/B1748)</f>
        <v/>
      </c>
      <c r="Q1726" t="n">
        <v>0</v>
      </c>
      <c r="R1726" t="n">
        <v>0</v>
      </c>
      <c r="S1726">
        <f>IFERROR(O1726/N1726,0)</f>
        <v/>
      </c>
      <c r="T1726" t="n">
        <v>0</v>
      </c>
      <c r="V1726" t="n">
        <v>0</v>
      </c>
    </row>
    <row r="1727">
      <c r="A1727">
        <f>Skills!A24</f>
        <v/>
      </c>
      <c r="B1727">
        <f>Skills!B24</f>
        <v/>
      </c>
      <c r="C1727">
        <f>Inputs!$B$3&gt;=33</f>
        <v/>
      </c>
      <c r="D1727">
        <f>IF(Skills!C24=1,60+Inputs!$B$25+Inputs!$B$29,IF(Skills!C24=2,90+Inputs!$B$26+Inputs!$B$29,IF(Skills!C24=3,120+Inputs!$B$27+Inputs!$B$29,MAX(0,(Inputs!$B$3-100)*3)+Inputs!$B$28+Inputs!$B$29)))</f>
        <v/>
      </c>
      <c r="E1727">
        <f>INDEX(FactorTable!$B$2:$Y$301, MATCH(ROUND(MIN(300,MAX(1,D1727)),0), FactorTable!$A$2:$A$301,0), Skills!M24+1)</f>
        <v/>
      </c>
      <c r="F1727">
        <f>IF(Skills!N24=TRUE,(Skills!L24/10)*(E1727/1000),Skills!L24/10)+Skills!O24</f>
        <v/>
      </c>
      <c r="G1727">
        <f>Skills!G24*IF(Skills!H24&gt;0,INT(IF(Inputs!$B$38="pvp",MIN(Skills!I24,15),Skills!I24)/Skills!H24+0.000000001),1)</f>
        <v/>
      </c>
      <c r="H1727">
        <f>1-(1-Skills!J24/100)^Skills!K24</f>
        <v/>
      </c>
      <c r="I1727" t="inlineStr">
        <is>
          <t>1</t>
        </is>
      </c>
      <c r="J1727" t="inlineStr"/>
      <c r="K1727" t="inlineStr"/>
      <c r="L1727" t="inlineStr"/>
      <c r="M1727" t="inlineStr"/>
      <c r="N1727" t="inlineStr"/>
      <c r="O1727">
        <f>(1-Summary!$B$11)*T1727+Summary!$B$11*V1727</f>
        <v/>
      </c>
      <c r="P1727">
        <f>IF(B1748=0,0,O1727/B1748)</f>
        <v/>
      </c>
      <c r="Q1727" t="n">
        <v>0</v>
      </c>
      <c r="R1727" t="n">
        <v>0</v>
      </c>
      <c r="S1727">
        <f>IFERROR(O1727/N1727,0)</f>
        <v/>
      </c>
      <c r="T1727" t="n">
        <v>0</v>
      </c>
      <c r="V1727" t="n">
        <v>0</v>
      </c>
    </row>
    <row r="1728">
      <c r="A1728">
        <f>Skills!A25</f>
        <v/>
      </c>
      <c r="B1728">
        <f>Skills!B25</f>
        <v/>
      </c>
      <c r="C1728">
        <f>Inputs!$B$3&gt;=38</f>
        <v/>
      </c>
      <c r="D1728">
        <f>IF(Skills!C25=1,60+Inputs!$B$25+Inputs!$B$29,IF(Skills!C25=2,90+Inputs!$B$26+Inputs!$B$29,IF(Skills!C25=3,120+Inputs!$B$27+Inputs!$B$29,MAX(0,(Inputs!$B$3-100)*3)+Inputs!$B$28+Inputs!$B$29)))</f>
        <v/>
      </c>
      <c r="E1728">
        <f>INDEX(FactorTable!$B$2:$Y$301, MATCH(ROUND(MIN(300,MAX(1,D1728)),0), FactorTable!$A$2:$A$301,0), Skills!M25+1)</f>
        <v/>
      </c>
      <c r="F1728">
        <f>IF(Skills!N25=TRUE,(Skills!L25/10)*(E1728/1000),Skills!L25/10)+Skills!O25</f>
        <v/>
      </c>
      <c r="G1728">
        <f>Skills!G25*IF(Skills!H25&gt;0,INT(IF(Inputs!$B$38="pvp",MIN(Skills!I25,15),Skills!I25)/Skills!H25+0.000000001),1)</f>
        <v/>
      </c>
      <c r="H1728">
        <f>1-(1-Skills!J25/100)^Skills!K25</f>
        <v/>
      </c>
      <c r="I1728" t="inlineStr">
        <is>
          <t>1</t>
        </is>
      </c>
      <c r="J1728" t="inlineStr"/>
      <c r="K1728" t="inlineStr"/>
      <c r="L1728" t="inlineStr"/>
      <c r="M1728" t="inlineStr"/>
      <c r="N1728" t="inlineStr"/>
      <c r="O1728">
        <f>(1-Summary!$B$11)*T1728+Summary!$B$11*V1728</f>
        <v/>
      </c>
      <c r="P1728">
        <f>IF(B1748=0,0,O1728/B1748)</f>
        <v/>
      </c>
      <c r="Q1728" t="n">
        <v>0</v>
      </c>
      <c r="R1728" t="n">
        <v>0</v>
      </c>
      <c r="S1728">
        <f>IFERROR(O1728/N1728,0)</f>
        <v/>
      </c>
      <c r="T1728" t="n">
        <v>0</v>
      </c>
      <c r="V1728" t="n">
        <v>0</v>
      </c>
    </row>
    <row r="1729">
      <c r="A1729">
        <f>Skills!A26</f>
        <v/>
      </c>
      <c r="B1729">
        <f>Skills!B26</f>
        <v/>
      </c>
      <c r="C1729">
        <f>Inputs!$B$3&gt;=43</f>
        <v/>
      </c>
      <c r="D1729">
        <f>IF(Skills!C26=1,60+Inputs!$B$25+Inputs!$B$29,IF(Skills!C26=2,90+Inputs!$B$26+Inputs!$B$29,IF(Skills!C26=3,120+Inputs!$B$27+Inputs!$B$29,MAX(0,(Inputs!$B$3-100)*3)+Inputs!$B$28+Inputs!$B$29)))</f>
        <v/>
      </c>
      <c r="E1729">
        <f>INDEX(FactorTable!$B$2:$Y$301, MATCH(ROUND(MIN(300,MAX(1,D1729)),0), FactorTable!$A$2:$A$301,0), Skills!M26+1)</f>
        <v/>
      </c>
      <c r="F1729">
        <f>IF(Skills!N26=TRUE,(Skills!L26/10)*(E1729/1000),Skills!L26/10)+Skills!O26</f>
        <v/>
      </c>
      <c r="G1729">
        <f>Skills!G26*IF(Skills!H26&gt;0,INT(IF(Inputs!$B$38="pvp",MIN(Skills!I26,15),Skills!I26)/Skills!H26+0.000000001),1)</f>
        <v/>
      </c>
      <c r="H1729">
        <f>1-(1-Skills!J26/100)^Skills!K26</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Skills!A27</f>
        <v/>
      </c>
      <c r="B1730">
        <f>Skills!B27</f>
        <v/>
      </c>
      <c r="C1730">
        <f>Inputs!$B$3&gt;=75</f>
        <v/>
      </c>
      <c r="D1730">
        <f>IF(Skills!C27=1,60+Inputs!$B$25+Inputs!$B$29,IF(Skills!C27=2,90+Inputs!$B$26+Inputs!$B$29,IF(Skills!C27=3,120+Inputs!$B$27+Inputs!$B$29,MAX(0,(Inputs!$B$3-100)*3)+Inputs!$B$28+Inputs!$B$29)))</f>
        <v/>
      </c>
      <c r="E1730">
        <f>INDEX(FactorTable!$B$2:$Y$301, MATCH(ROUND(MIN(300,MAX(1,D1730)),0), FactorTable!$A$2:$A$301,0), Skills!M27+1)</f>
        <v/>
      </c>
      <c r="F1730">
        <f>IF(Skills!N27=TRUE,(Skills!L27/10)*(E1730/1000),Skills!L27/10)+Skills!O27</f>
        <v/>
      </c>
      <c r="G1730">
        <f>Skills!G27*IF(Skills!H27&gt;0,INT(IF(Inputs!$B$38="pvp",MIN(Skills!I27,15),Skills!I27)/Skills!H27+0.000000001),1)</f>
        <v/>
      </c>
      <c r="H1730">
        <f>1-(1-Skills!J27/100)^Skills!K27</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Skills!A28</f>
        <v/>
      </c>
      <c r="B1731">
        <f>Skills!B28</f>
        <v/>
      </c>
      <c r="C1731">
        <f>Inputs!$B$3&gt;=125</f>
        <v/>
      </c>
      <c r="D1731">
        <f>IF(Skills!C28=1,60+Inputs!$B$25+Inputs!$B$29,IF(Skills!C28=2,90+Inputs!$B$26+Inputs!$B$29,IF(Skills!C28=3,120+Inputs!$B$27+Inputs!$B$29,MAX(0,(Inputs!$B$3-100)*3)+Inputs!$B$28+Inputs!$B$29)))</f>
        <v/>
      </c>
      <c r="E1731">
        <f>INDEX(FactorTable!$B$2:$Y$301, MATCH(ROUND(MIN(300,MAX(1,D1731)),0), FactorTable!$A$2:$A$301,0), Skills!M28+1)</f>
        <v/>
      </c>
      <c r="F1731">
        <f>IF(Skills!N28=TRUE,(Skills!L28/10)*(E1731/1000),Skills!L28/10)+Skills!O28</f>
        <v/>
      </c>
      <c r="G1731">
        <f>Skills!G28*IF(Skills!H28&gt;0,INT(IF(Inputs!$B$38="pvp",MIN(Skills!I28,15),Skills!I28)/Skills!H28+0.000000001),1)</f>
        <v/>
      </c>
      <c r="H1731">
        <f>1-(1-Skills!J28/100)^Skills!K28</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Skills!A29</f>
        <v/>
      </c>
      <c r="B1732">
        <f>Skills!B29</f>
        <v/>
      </c>
      <c r="C1732">
        <f>Inputs!$B$3&gt;=125</f>
        <v/>
      </c>
      <c r="D1732">
        <f>IF(Skills!C29=1,60+Inputs!$B$25+Inputs!$B$29,IF(Skills!C29=2,90+Inputs!$B$26+Inputs!$B$29,IF(Skills!C29=3,120+Inputs!$B$27+Inputs!$B$29,MAX(0,(Inputs!$B$3-100)*3)+Inputs!$B$28+Inputs!$B$29)))</f>
        <v/>
      </c>
      <c r="E1732">
        <f>INDEX(FactorTable!$B$2:$Y$301, MATCH(ROUND(MIN(300,MAX(1,D1732)),0), FactorTable!$A$2:$A$301,0), Skills!M29+1)</f>
        <v/>
      </c>
      <c r="F1732">
        <f>IF(Skills!N29=TRUE,(Skills!L29/10)*(E1732/1000),Skills!L29/10)+Skills!O29</f>
        <v/>
      </c>
      <c r="G1732">
        <f>Skills!G29*IF(Skills!H29&gt;0,INT(IF(Inputs!$B$38="pvp",MIN(Skills!I29,15),Skills!I29)/Skills!H29+0.000000001),1)</f>
        <v/>
      </c>
      <c r="H1732">
        <f>1-(1-Skills!J29/100)^Skills!K29</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Skills!A30</f>
        <v/>
      </c>
      <c r="B1733">
        <f>Skills!B30</f>
        <v/>
      </c>
      <c r="C1733">
        <f>Inputs!$B$3&gt;=120</f>
        <v/>
      </c>
      <c r="D1733">
        <f>IF(Skills!C30=1,60+Inputs!$B$25+Inputs!$B$29,IF(Skills!C30=2,90+Inputs!$B$26+Inputs!$B$29,IF(Skills!C30=3,120+Inputs!$B$27+Inputs!$B$29,MAX(0,(Inputs!$B$3-100)*3)+Inputs!$B$28+Inputs!$B$29)))</f>
        <v/>
      </c>
      <c r="E1733">
        <f>INDEX(FactorTable!$B$2:$Y$301, MATCH(ROUND(MIN(300,MAX(1,D1733)),0), FactorTable!$A$2:$A$301,0), Skills!M30+1)</f>
        <v/>
      </c>
      <c r="F1733">
        <f>IF(Skills!N30=TRUE,(Skills!L30/10)*(E1733/1000),Skills!L30/10)+Skills!O30</f>
        <v/>
      </c>
      <c r="G1733">
        <f>Skills!G30*IF(Skills!H30&gt;0,INT(IF(Inputs!$B$38="pvp",MIN(Skills!I30,15),Skills!I30)/Skills!H30+0.000000001),1)</f>
        <v/>
      </c>
      <c r="H1733">
        <f>1-(1-Skills!J30/100)^Skills!K30</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Skills!A31</f>
        <v/>
      </c>
      <c r="B1734">
        <f>Skills!B31</f>
        <v/>
      </c>
      <c r="C1734">
        <f>Inputs!$B$3&gt;=120</f>
        <v/>
      </c>
      <c r="D1734">
        <f>IF(Skills!C31=1,60+Inputs!$B$25+Inputs!$B$29,IF(Skills!C31=2,90+Inputs!$B$26+Inputs!$B$29,IF(Skills!C31=3,120+Inputs!$B$27+Inputs!$B$29,MAX(0,(Inputs!$B$3-100)*3)+Inputs!$B$28+Inputs!$B$29)))</f>
        <v/>
      </c>
      <c r="E1734">
        <f>INDEX(FactorTable!$B$2:$Y$301, MATCH(ROUND(MIN(300,MAX(1,D1734)),0), FactorTable!$A$2:$A$301,0), Skills!M31+1)</f>
        <v/>
      </c>
      <c r="F1734">
        <f>IF(Skills!N31=TRUE,(Skills!L31/10)*(E1734/1000),Skills!L31/10)+Skills!O31</f>
        <v/>
      </c>
      <c r="G1734">
        <f>Skills!G31*IF(Skills!H31&gt;0,INT(IF(Inputs!$B$38="pvp",MIN(Skills!I31,15),Skills!I31)/Skills!H31+0.000000001),1)</f>
        <v/>
      </c>
      <c r="H1734">
        <f>1-(1-Skills!J31/100)^Skills!K31</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Skills!A32</f>
        <v/>
      </c>
      <c r="B1735">
        <f>Skills!B32</f>
        <v/>
      </c>
      <c r="C1735">
        <f>Inputs!$B$3&gt;=45</f>
        <v/>
      </c>
      <c r="D1735">
        <f>IF(Skills!C32=1,60+Inputs!$B$25+Inputs!$B$29,IF(Skills!C32=2,90+Inputs!$B$26+Inputs!$B$29,IF(Skills!C32=3,120+Inputs!$B$27+Inputs!$B$29,MAX(0,(Inputs!$B$3-100)*3)+Inputs!$B$28+Inputs!$B$29)))</f>
        <v/>
      </c>
      <c r="E1735">
        <f>INDEX(FactorTable!$B$2:$Y$301, MATCH(ROUND(MIN(300,MAX(1,D1735)),0), FactorTable!$A$2:$A$301,0), Skills!M32+1)</f>
        <v/>
      </c>
      <c r="F1735">
        <f>IF(Skills!N32=TRUE,(Skills!L32/10)*(E1735/1000),Skills!L32/10)+Skills!O32</f>
        <v/>
      </c>
      <c r="G1735">
        <f>Skills!G32*IF(Skills!H32&gt;0,INT(IF(Inputs!$B$38="pvp",MIN(Skills!I32,15),Skills!I32)/Skills!H32+0.000000001),1)</f>
        <v/>
      </c>
      <c r="H1735">
        <f>1-(1-Skills!J32/100)^Skills!K32</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1724=TRUE)*F1724*IF(AND(Inputs!$B$38&lt;&gt;"pvp",Inputs!$B$43&gt;0),(((R1724-1)*MIN((Skills!T21*(1+Inputs!$B$34/100)),(1/Q1724))+MIN((Skills!T21*(1+Inputs!$B$34/100)),MAX(0,Inputs!$B$43-((R1724-1)*(1/Q1724)))))/Inputs!$B$43),IF(Inputs!$B$38="pvp",MIN((Skills!T21*(1+Inputs!$B$34/100)),15)/15,MIN(1,(Skills!T21*(1+Inputs!$B$34/100))/(1/Q1724)))))</f>
        <v/>
      </c>
    </row>
    <row r="1740">
      <c r="A1740" t="inlineStr">
        <is>
          <t>Actions Per Second</t>
        </is>
      </c>
      <c r="B1740">
        <f>1+MIN(150,150*(1-(1-(Inputs!$B$11+((C1726=TRUE)*(F1726-Calc!F23))+((C1727=TRUE)*(F1727-Calc!F24)))/150)*(1-B1739/150)))/100</f>
        <v/>
      </c>
    </row>
    <row r="1741">
      <c r="A1741" t="inlineStr">
        <is>
          <t>Skill + Buff Cast Rate</t>
        </is>
      </c>
      <c r="B1741">
        <f>IF(AND(Inputs!$B$38&lt;&gt;"pvp",Inputs!$B$43&gt;0),SUMPRODUCT((Skills!E2:E32=TRUE)*(C1705:C1735=TRUE)*R1705:R1735*Skills!F2:F32)/Inputs!$B$43,SUMPRODUCT((Skills!E2:E32=TRUE)*(C1705:C1735=TRUE)*Q1705:Q1735*Skills!F2:F32))</f>
        <v/>
      </c>
    </row>
    <row r="1742">
      <c r="A1742" t="inlineStr">
        <is>
          <t>Arrow Stream Casts Per Second</t>
        </is>
      </c>
      <c r="B1742">
        <f>MAX(0,B1740-B1741)</f>
        <v/>
      </c>
    </row>
    <row r="1743">
      <c r="A1743" t="inlineStr">
        <is>
          <t>Global Critical Damage Bonus % (Sharp Eyes + Concentration)</t>
        </is>
      </c>
      <c r="B1743">
        <f>(C1721=TRUE)*F1721*IF(AND(Inputs!$B$38&lt;&gt;"pvp",Inputs!$B$43&gt;0),(((R1721-1)*MIN((Skills!T18*(1+Inputs!$B$34/100)),(1/Q1721))+MIN((Skills!T18*(1+Inputs!$B$34/100)),MAX(0,Inputs!$B$43-((R1721-1)*(1/Q1721)))))/Inputs!$B$43),IF(Inputs!$B$38="pvp",MIN((Skills!T18*(1+Inputs!$B$34/100)),15)/15,MIN(1,(Skills!T18*(1+Inputs!$B$34/100))/(1/Q1721))))+(C1722=TRUE)*7*F1722</f>
        <v/>
      </c>
    </row>
    <row r="1744">
      <c r="A1744" t="inlineStr">
        <is>
          <t>Global Final Damage Bonus % (Mortal Blow)</t>
        </is>
      </c>
      <c r="B1744">
        <f>(C1723=TRUE)*F1723</f>
        <v/>
      </c>
    </row>
    <row r="1745">
      <c r="A1745" t="inlineStr">
        <is>
          <t>Buff-Casting Startup Delay (s, fixed-duration only)</t>
        </is>
      </c>
      <c r="B1745">
        <f>IF(AND(Inputs!$B$38&lt;&gt;"pvp",Inputs!$B$43&gt;0),SUMPRODUCT((Skills!T2:T32&gt;0)*(Skills!E2:E32=TRUE)*(C1705:C1735=TRUE))/B1740,0)</f>
        <v/>
      </c>
    </row>
    <row r="1746">
      <c r="A1746" t="inlineStr">
        <is>
          <t>Boss-Only Total DPS (this block's swept value)</t>
        </is>
      </c>
      <c r="B1746">
        <f>SUM(T1705:T1735)</f>
        <v/>
      </c>
    </row>
    <row r="1747">
      <c r="A1747" t="inlineStr">
        <is>
          <t>Normal-Only Total DPS (this block's swept value)</t>
        </is>
      </c>
      <c r="B1747">
        <f>SUM(V1705:V1735)</f>
        <v/>
      </c>
    </row>
    <row r="1748">
      <c r="A1748" s="6" t="inlineStr">
        <is>
          <t>TOTAL DPS</t>
        </is>
      </c>
      <c r="B1748" s="6">
        <f>SUM(O1705:O1735)</f>
        <v/>
      </c>
    </row>
    <row r="1751">
      <c r="A1751" s="6" t="inlineStr">
        <is>
          <t>Stat: Athena Pierce's Old Gloves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Skills!G2*IF(Skills!H2&gt;0,INT(IF(Inputs!$B$38="pvp",MIN(Skills!I2,15),Skills!I2)/Skills!H2+0.000000001),1)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3">
        <f>L1753*(1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IF(B1796=0,0,O1753/B1796)</f>
        <v/>
      </c>
      <c r="Q1753" t="n">
        <v>0</v>
      </c>
      <c r="R1753" t="n">
        <v>0</v>
      </c>
      <c r="S1753">
        <f>IFERROR(O1753/N1753,0)</f>
        <v/>
      </c>
      <c r="T1753">
        <f>IF(C1753,(Skills!G2*N1753*B1790)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IF(C1753,(Skills!G2*N1753*B1790)*IF(Inputs!$B$38="pvp",1,(1+(Inputs!$B$21+Skills!Q2+(IF(ArtifactsInput!$M$33,CHOOSE(ArtifactsInput!$N$33+1,30,36,42,48,54,60),0))+(IF(AND(ArtifactsInput!$M$35,Inputs!$B$4&lt;&gt;"Chapter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f>Skills!G3*IF(Skills!H3&gt;0,INT(IF(Inputs!$B$38="pvp",MIN(Skills!I3,15),Skills!I3)/Skills!H3+0.000000001),1)</f>
        <v/>
      </c>
      <c r="H1754">
        <f>1-(1-Skills!J3/100)^Skills!K3</f>
        <v/>
      </c>
      <c r="I1754" t="inlineStr">
        <is>
          <t>1</t>
        </is>
      </c>
      <c r="J1754">
        <f>((Inputs!$B$6*(1+Inputs!$B$7/100))+(((Inputs!$B$12*(1+Inputs!$B$13/100))-(Inputs!$B$12*(1+Inputs!$B$13/100)))+0.25*(Inputs!$B$14-Inputs!$B$14))*(1+Inputs!$B$7/100))*(F1754/100)</f>
        <v/>
      </c>
      <c r="K1754">
        <f>J1754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1755=TRUE,F1755,0)/100)*(1+(IF(Skills!A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4">
        <f>L1754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IF(B1796=0,0,O1754/B1796)</f>
        <v/>
      </c>
      <c r="Q1754">
        <f>IFERROR(1/(IF(Inputs!$B$38="pvp",15,MAX(0.1,1/B1788-IF(FALSE=TRUE,Inputs!$B$32,0)))*(1-IF(AND(ArtifactsInput!$M$27,Inputs!$B$4="Chapter Hunt"),CHOOSE(ArtifactsInput!$N$27+1,20,24,28,32,36,40),0)/100)),0)</f>
        <v/>
      </c>
      <c r="R1754">
        <f>IF(AND(Inputs!$B$38&lt;&gt;"pvp",Inputs!$B$43&gt;0),IF(MAX(0,Inputs!$B$43-B1793)&lt;=0,0,(INT(MAX(0,Inputs!$B$43-B1793)/(IF(Inputs!$B$38="pvp",15,MAX(0.1,1/B1788-IF(FALSE=TRUE,Inputs!$B$32,0)))*(1-IF(AND(ArtifactsInput!$M$27,Inputs!$B$4="Chapter Hunt"),CHOOSE(ArtifactsInput!$N$27+1,20,24,28,32,36,40),0)/100)))+1)),0)</f>
        <v/>
      </c>
      <c r="S1754">
        <f>IFERROR(O1754/N1754,0)</f>
        <v/>
      </c>
      <c r="T1754">
        <f>IF(C1754,(H1754*N1754*IF(AND(Inputs!$B$38&lt;&gt;"pvp",Inputs!$B$43&gt;0),((Skills!G3*((R1754-1)*IF(Skills!H3&gt;0,INT(Skills!I3/Skills!H3+0.000000001),1)+IF(Skills!H3&gt;0,INT(MIN(Skills!I3,MAX(0,MAX(0,Inputs!$B$43-B1793)-((R1754-1)*(IF(Inputs!$B$38="pvp",15,MAX(0.1,1/B1788-IF(FALSE=TRUE,Inputs!$B$32,0)))*(1-IF(AND(ArtifactsInput!$M$27,Inputs!$B$4="Chapter Hunt"),CHOOSE(ArtifactsInput!$N$27+1,20,24,28,32,36,40),0)/100)))))/Skills!H3+0.000000001),1)))/Inputs!$B$43),G1754*Q1754)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4">
        <f>INDEX(FactorTable!$B$2:$Y$301, MATCH(ROUND(MIN(300,MAX(1,U1753)),0), FactorTable!$A$2:$A$301,0), 22)</f>
        <v/>
      </c>
      <c r="V1754">
        <f>IF(C1754,(H1754*N1754*IF(AND(Inputs!$B$38&lt;&gt;"pvp",Inputs!$B$43&gt;0),((Skills!G3*((R1754-1)*IF(Skills!H3&gt;0,INT(Skills!I3/Skills!H3+0.000000001),1)+IF(Skills!H3&gt;0,INT(MIN(Skills!I3,MAX(0,MAX(0,Inputs!$B$43-B1793)-((R1754-1)*(IF(Inputs!$B$38="pvp",15,MAX(0.1,1/B1788-IF(FALSE=TRUE,Inputs!$B$32,0)))*(1-IF(AND(ArtifactsInput!$M$27,Inputs!$B$4="Chapter Hunt"),CHOOSE(ArtifactsInput!$N$27+1,20,24,28,32,36,40),0)/100)))))/Skills!H3+0.000000001),1)))/Inputs!$B$43),G1754*Q1754))*IF(Inputs!$B$38="pvp",1,(1+(Inputs!$B$21+Skills!Q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U1755">
        <f>290*U1754/1000</f>
        <v/>
      </c>
      <c r="V1755" t="inlineStr"/>
    </row>
    <row r="1756">
      <c r="A1756">
        <f>Skills!A5</f>
        <v/>
      </c>
      <c r="B1756">
        <f>Skills!B5</f>
        <v/>
      </c>
      <c r="C1756">
        <f>Inputs!$B$3&gt;=35</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Skills!G5*IF(Skills!H5&gt;0,INT(IF(Inputs!$B$38="pvp",MIN(Skills!I5,15),Skills!I5)/Skills!H5+0.000000001),1)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5="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6">
        <f>L1756*(1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IF(B1796=0,0,O1756/B1796)</f>
        <v/>
      </c>
      <c r="Q1756">
        <f>IFERROR(1/(IF(Inputs!$B$38="pvp",15,MAX(0.1,Skills!D5-IF(TRUE=TRUE,Inputs!$B$32,0)))*(1-IF(AND(ArtifactsInput!$M$27,Inputs!$B$4="Chapter Hunt"),CHOOSE(ArtifactsInput!$N$27+1,20,24,28,32,36,40),0)/100)),0)</f>
        <v/>
      </c>
      <c r="R1756">
        <f>IF(AND(Inputs!$B$38&lt;&gt;"pvp",Inputs!$B$43&gt;0),IF(MAX(0,Inputs!$B$43-B1793)&lt;=0,0,(INT(MAX(0,Inputs!$B$43-B1793)/(IF(Inputs!$B$38="pvp",15,MAX(0.1,Skills!D5-IF(TRUE=TRUE,Inputs!$B$32,0)))*(1-IF(AND(ArtifactsInput!$M$27,Inputs!$B$4="Chapter Hunt"),CHOOSE(ArtifactsInput!$N$27+1,20,24,28,32,36,40),0)/100)))+1)),0)</f>
        <v/>
      </c>
      <c r="S1756">
        <f>IFERROR(O1756/N1756,0)</f>
        <v/>
      </c>
      <c r="T1756">
        <f>IF(C1756,(H1756*N1756*IF(AND(Inputs!$B$38&lt;&gt;"pvp",Inputs!$B$43&gt;0),((Skills!G5*((R1756-1)*IF(Skills!H5&gt;0,INT(Skills!I5/Skills!H5+0.000000001),1)+IF(Skills!H5&gt;0,INT(MIN(Skills!I5,MAX(0,MAX(0,Inputs!$B$43-B1793)-((R1756-1)*(IF(Inputs!$B$38="pvp",15,MAX(0.1,Skills!D5-IF(TRUE=TRUE,Inputs!$B$32,0)))*(1-IF(AND(ArtifactsInput!$M$27,Inputs!$B$4="Chapter Hunt"),CHOOSE(ArtifactsInput!$N$27+1,20,24,28,32,36,40),0)/100)))))/Skills!H5+0.000000001),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INT(Skills!I5/Skills!H5+0.000000001),1)+IF(Skills!H5&gt;0,INT(MIN(Skills!I5,MAX(0,MAX(0,Inputs!$B$43-B1793)-((R1756-1)*(IF(Inputs!$B$38="pvp",15,MAX(0.1,Skills!D5-IF(TRUE=TRUE,Inputs!$B$32,0)))*(1-IF(AND(ArtifactsInput!$M$27,Inputs!$B$4="Chapter Hunt"),CHOOSE(ArtifactsInput!$N$27+1,20,24,28,32,36,40),0)/100)))))/Skills!H5+0.000000001),1)))/Inputs!$B$43),G1756*Q1756))*IF(Inputs!$B$38="pvp",1,(1+(Inputs!$B$21+Skills!Q5+(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Inputs!$B$3&gt;=40</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Skills!G6*IF(Skills!H6&gt;0,INT(IF(Inputs!$B$38="pvp",MIN(Skills!I6,15),Skills!I6)/Skills!H6+0.000000001),1)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1758=TRUE,F1758,0)/100)*(1+(IF(Skills!A6="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7">
        <f>L1757*(1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IF(B1796=0,0,O1757/B1796)</f>
        <v/>
      </c>
      <c r="Q1757">
        <f>IFERROR(1/(IF(Inputs!$B$38="pvp",15,MAX(0.1,1-0.4*MIN(1,(B1788-1)/1.5)-IF(FALSE=TRUE,Inputs!$B$32,0)))*(1-IF(AND(ArtifactsInput!$M$27,Inputs!$B$4="Chapter Hunt"),CHOOSE(ArtifactsInput!$N$27+1,20,24,28,32,36,40),0)/100)),0)</f>
        <v/>
      </c>
      <c r="R1757">
        <f>IF(AND(Inputs!$B$38&lt;&gt;"pvp",Inputs!$B$43&gt;0),IF(MAX(0,Inputs!$B$43-B1793)&lt;=0,0,(INT(MAX(0,Inputs!$B$43-B1793)/(IF(Inputs!$B$38="pvp",15,MAX(0.1,1-0.4*MIN(1,(B1788-1)/1.5)-IF(FALSE=TRUE,Inputs!$B$32,0)))*(1-IF(AND(ArtifactsInput!$M$27,Inputs!$B$4="Chapter Hunt"),CHOOSE(ArtifactsInput!$N$27+1,20,24,28,32,36,40),0)/100)))+1)),0)</f>
        <v/>
      </c>
      <c r="S1757">
        <f>IFERROR(O1757/N1757,0)</f>
        <v/>
      </c>
      <c r="T1757">
        <f>IF(C1757,(H1757*N1757*IF(AND(Inputs!$B$38&lt;&gt;"pvp",Inputs!$B$43&gt;0),((Skills!G6*((R1757-1)*IF(Skills!H6&gt;0,INT(Skills!I6/Skills!H6+0.000000001),1)+IF(Skills!H6&gt;0,INT(MIN(Skills!I6,MAX(0,MAX(0,Inputs!$B$43-B1793)-((R1757-1)*(IF(Inputs!$B$38="pvp",15,MAX(0.1,1-0.4*MIN(1,(B1788-1)/1.5)-IF(FALSE=TRUE,Inputs!$B$32,0)))*(1-IF(AND(ArtifactsInput!$M$27,Inputs!$B$4="Chapter Hunt"),CHOOSE(ArtifactsInput!$N$27+1,20,24,28,32,36,40),0)/100)))))/Skills!H6+0.000000001),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INT(Skills!I6/Skills!H6+0.000000001),1)+IF(Skills!H6&gt;0,INT(MIN(Skills!I6,MAX(0,MAX(0,Inputs!$B$43-B1793)-((R1757-1)*(IF(Inputs!$B$38="pvp",15,MAX(0.1,1-0.4*MIN(1,(B1788-1)/1.5)-IF(FALSE=TRUE,Inputs!$B$32,0)))*(1-IF(AND(ArtifactsInput!$M$27,Inputs!$B$4="Chapter Hunt"),CHOOSE(ArtifactsInput!$N$27+1,20,24,28,32,36,40),0)/100)))))/Skills!H6+0.000000001),1)))/Inputs!$B$43),G1757*Q1757))*IF(Inputs!$B$38="pvp",1,(1+(Inputs!$B$21+Skills!Q6+(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t="inlineStr"/>
      <c r="H1758" t="inlineStr"/>
      <c r="I1758" t="inlineStr">
        <is>
          <t>1</t>
        </is>
      </c>
      <c r="J1758" t="inlineStr"/>
      <c r="K1758" t="inlineStr"/>
      <c r="L1758" t="inlineStr"/>
      <c r="M1758" t="inlineStr"/>
      <c r="N1758" t="inlineStr"/>
      <c r="O1758" t="inlineStr"/>
      <c r="P1758" t="inlineStr"/>
      <c r="Q1758" t="inlineStr"/>
      <c r="R1758" t="inlineStr"/>
      <c r="S1758" t="inlineStr"/>
      <c r="T1758" t="inlineStr"/>
      <c r="V1758" t="inlineStr"/>
    </row>
    <row r="1759">
      <c r="A1759">
        <f>Skills!A8</f>
        <v/>
      </c>
      <c r="B1759">
        <f>Skills!B8</f>
        <v/>
      </c>
      <c r="C1759">
        <f>Inputs!$B$3&gt;=130</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Skills!G8*IF(Skills!H8&gt;0,INT(IF(Inputs!$B$38="pvp",MIN(Skills!I8,15),Skills!I8)/Skills!H8+0.000000001),1)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9">
        <f>L1759*(1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IF(B1796=0,0,O1759/B1796)</f>
        <v/>
      </c>
      <c r="Q1759">
        <f>IFERROR(1/(IF(Inputs!$B$38="pvp",15,MAX(0.1,1-0.4*MIN(1,(B1788-1)/1.5)-IF(FALSE=TRUE,Inputs!$B$32,0)))*(1-IF(AND(ArtifactsInput!$M$27,Inputs!$B$4="Chapter Hunt"),CHOOSE(ArtifactsInput!$N$27+1,20,24,28,32,36,40),0)/100)),0)</f>
        <v/>
      </c>
      <c r="R1759">
        <f>IF(AND(Inputs!$B$38&lt;&gt;"pvp",Inputs!$B$43&gt;0),IF(MAX(0,Inputs!$B$43-B1793)&lt;=0,0,(INT(MAX(0,Inputs!$B$43-B1793)/(IF(Inputs!$B$38="pvp",15,MAX(0.1,1-0.4*MIN(1,(B1788-1)/1.5)-IF(FALSE=TRUE,Inputs!$B$32,0)))*(1-IF(AND(ArtifactsInput!$M$27,Inputs!$B$4="Chapter Hunt"),CHOOSE(ArtifactsInput!$N$27+1,20,24,28,32,36,40),0)/100)))+1)),0)</f>
        <v/>
      </c>
      <c r="S1759">
        <f>IFERROR(O1759/N1759,0)</f>
        <v/>
      </c>
      <c r="T1759">
        <f>IF(C1759,(H1759*N1759*IF(AND(Inputs!$B$38&lt;&gt;"pvp",Inputs!$B$43&gt;0),((Skills!G8*((R1759-1)*IF(Skills!H8&gt;0,INT(Skills!I8/Skills!H8+0.000000001),1)+IF(Skills!H8&gt;0,INT(MIN(Skills!I8,MAX(0,MAX(0,Inputs!$B$43-B1793)-((R1759-1)*(IF(Inputs!$B$38="pvp",15,MAX(0.1,1-0.4*MIN(1,(B1788-1)/1.5)-IF(FALSE=TRUE,Inputs!$B$32,0)))*(1-IF(AND(ArtifactsInput!$M$27,Inputs!$B$4="Chapter Hunt"),CHOOSE(ArtifactsInput!$N$27+1,20,24,28,32,36,40),0)/100)))))/Skills!H8+0.000000001),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INT(Skills!I8/Skills!H8+0.000000001),1)+IF(Skills!H8&gt;0,INT(MIN(Skills!I8,MAX(0,MAX(0,Inputs!$B$43-B1793)-((R1759-1)*(IF(Inputs!$B$38="pvp",15,MAX(0.1,1-0.4*MIN(1,(B1788-1)/1.5)-IF(FALSE=TRUE,Inputs!$B$32,0)))*(1-IF(AND(ArtifactsInput!$M$27,Inputs!$B$4="Chapter Hunt"),CHOOSE(ArtifactsInput!$N$27+1,20,24,28,32,36,40),0)/100)))))/Skills!H8+0.000000001),1)))/Inputs!$B$43),G1759*Q1759))*IF(Inputs!$B$38="pvp",1,(1+(Inputs!$B$21+Skills!Q8+(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Skills!G9*IF(Skills!H9&gt;0,INT(IF(Inputs!$B$38="pvp",MIN(Skills!I9,15),Skills!I9)/Skills!H9+0.000000001),1)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1763=TRUE,F1763,0)/100)*(1+(IF(Skills!A9="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0">
        <f>L1760*(1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IF(B1796=0,0,O1760/B1796)</f>
        <v/>
      </c>
      <c r="Q1760">
        <f>IFERROR(1/(IF(Inputs!$B$38="pvp",15,MAX(0.1,Skills!D9-IF(TRUE=TRUE,Inputs!$B$32,0)))*(1-IF(AND(ArtifactsInput!$M$27,Inputs!$B$4="Chapter Hunt"),CHOOSE(ArtifactsInput!$N$27+1,20,24,28,32,36,40),0)/100)),0)</f>
        <v/>
      </c>
      <c r="R1760">
        <f>IF(AND(Inputs!$B$38&lt;&gt;"pvp",Inputs!$B$43&gt;0),IF(MAX(0,Inputs!$B$43-B1793)&lt;=0,0,(INT(MAX(0,Inputs!$B$43-B1793)/(IF(Inputs!$B$38="pvp",15,MAX(0.1,Skills!D9-IF(TRUE=TRUE,Inputs!$B$32,0)))*(1-IF(AND(ArtifactsInput!$M$27,Inputs!$B$4="Chapter Hunt"),CHOOSE(ArtifactsInput!$N$27+1,20,24,28,32,36,40),0)/100)))+1)),0)</f>
        <v/>
      </c>
      <c r="S1760">
        <f>IFERROR(O1760/N1760,0)</f>
        <v/>
      </c>
      <c r="T1760">
        <f>IF(C1760,(H1760*N1760*IF(AND(Inputs!$B$38&lt;&gt;"pvp",Inputs!$B$43&gt;0),((Skills!G9*((R1760-1)*IF(Skills!H9&gt;0,INT(Skills!I9/Skills!H9+0.000000001),1)+IF(Skills!H9&gt;0,INT(MIN(Skills!I9,MAX(0,MAX(0,Inputs!$B$43-B1793)-((R1760-1)*(IF(Inputs!$B$38="pvp",15,MAX(0.1,Skills!D9-IF(TRUE=TRUE,Inputs!$B$32,0)))*(1-IF(AND(ArtifactsInput!$M$27,Inputs!$B$4="Chapter Hunt"),CHOOSE(ArtifactsInput!$N$27+1,20,24,28,32,36,40),0)/100)))))/Skills!H9+0.000000001),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INT(Skills!I9/Skills!H9+0.000000001),1)+IF(Skills!H9&gt;0,INT(MIN(Skills!I9,MAX(0,MAX(0,Inputs!$B$43-B1793)-((R1760-1)*(IF(Inputs!$B$38="pvp",15,MAX(0.1,Skills!D9-IF(TRUE=TRUE,Inputs!$B$32,0)))*(1-IF(AND(ArtifactsInput!$M$27,Inputs!$B$4="Chapter Hunt"),CHOOSE(ArtifactsInput!$N$27+1,20,24,28,32,36,40),0)/100)))))/Skills!H9+0.000000001),1)))/Inputs!$B$43),G1760*Q1760))*IF(Inputs!$B$38="pvp",1,(1+(Inputs!$B$21+Skills!Q9+(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Skills!G10*IF(Skills!H10&gt;0,INT(IF(Inputs!$B$38="pvp",MIN(Skills!I10,15),Skills!I10)/Skills!H10+0.000000001),1)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10="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1">
        <f>L1761*(1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IF(B1796=0,0,O1761/B1796)</f>
        <v/>
      </c>
      <c r="Q1761">
        <f>IFERROR(1/(IF(Inputs!$B$38="pvp",15,MAX(0.1,Skills!D10-IF(TRUE=TRUE,Inputs!$B$32,0)))*(1-IF(AND(ArtifactsInput!$M$27,Inputs!$B$4="Chapter Hunt"),CHOOSE(ArtifactsInput!$N$27+1,20,24,28,32,36,40),0)/100)),0)</f>
        <v/>
      </c>
      <c r="R1761">
        <f>IF(AND(Inputs!$B$38&lt;&gt;"pvp",Inputs!$B$43&gt;0),IF(MAX(0,Inputs!$B$43-B1793)&lt;=0,0,(INT(MAX(0,Inputs!$B$43-B1793)/(IF(Inputs!$B$38="pvp",15,MAX(0.1,Skills!D10-IF(TRUE=TRUE,Inputs!$B$32,0)))*(1-IF(AND(ArtifactsInput!$M$27,Inputs!$B$4="Chapter Hunt"),CHOOSE(ArtifactsInput!$N$27+1,20,24,28,32,36,40),0)/100)))+1)),0)</f>
        <v/>
      </c>
      <c r="S1761">
        <f>IFERROR(O1761/N1761,0)</f>
        <v/>
      </c>
      <c r="T1761">
        <f>IF(C1761,(H1761*N1761*IF(AND(Inputs!$B$38&lt;&gt;"pvp",Inputs!$B$43&gt;0),((Skills!G10*((R1761-1)*IF(Skills!H10&gt;0,INT(Skills!I10/Skills!H10+0.000000001),1)+IF(Skills!H10&gt;0,INT(MIN(Skills!I10,MAX(0,MAX(0,Inputs!$B$43-B1793)-((R1761-1)*(IF(Inputs!$B$38="pvp",15,MAX(0.1,Skills!D10-IF(TRUE=TRUE,Inputs!$B$32,0)))*(1-IF(AND(ArtifactsInput!$M$27,Inputs!$B$4="Chapter Hunt"),CHOOSE(ArtifactsInput!$N$27+1,20,24,28,32,36,40),0)/100)))))/Skills!H10+0.000000001),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INT(Skills!I10/Skills!H10+0.000000001),1)+IF(Skills!H10&gt;0,INT(MIN(Skills!I10,MAX(0,MAX(0,Inputs!$B$43-B1793)-((R1761-1)*(IF(Inputs!$B$38="pvp",15,MAX(0.1,Skills!D10-IF(TRUE=TRUE,Inputs!$B$32,0)))*(1-IF(AND(ArtifactsInput!$M$27,Inputs!$B$4="Chapter Hunt"),CHOOSE(ArtifactsInput!$N$27+1,20,24,28,32,36,40),0)/100)))))/Skills!H10+0.000000001),1)))/Inputs!$B$43),G1761*Q1761))*IF(Inputs!$B$38="pvp",1,(1+(Inputs!$B$21+Skills!Q10+(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Inputs!$B$3&gt;=103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Skills!G11*IF(Skills!H11&gt;0,INT(IF(Inputs!$B$38="pvp",MIN(Skills!I11,15),Skills!I11)/Skills!H11+0.000000001),1)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2">
        <f>L1762*(1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IF(B1796=0,0,O1762/B1796)</f>
        <v/>
      </c>
      <c r="Q1762">
        <f>IFERROR(1/(IF(Inputs!$B$38="pvp",15,MAX(0.1,Skills!D11-IF(TRUE=TRUE,Inputs!$B$32,0)))*(1-IF(AND(ArtifactsInput!$M$27,Inputs!$B$4="Chapter Hunt"),CHOOSE(ArtifactsInput!$N$27+1,20,24,28,32,36,40),0)/100)),0)</f>
        <v/>
      </c>
      <c r="R1762">
        <f>IF(AND(Inputs!$B$38&lt;&gt;"pvp",Inputs!$B$43&gt;0),IF(MAX(0,Inputs!$B$43-B1793)&lt;=0,0,(INT(MAX(0,Inputs!$B$43-B1793)/(IF(Inputs!$B$38="pvp",15,MAX(0.1,Skills!D11-IF(TRUE=TRUE,Inputs!$B$32,0)))*(1-IF(AND(ArtifactsInput!$M$27,Inputs!$B$4="Chapter Hunt"),CHOOSE(ArtifactsInput!$N$27+1,20,24,28,32,36,40),0)/100)))+1)),0)</f>
        <v/>
      </c>
      <c r="S1762">
        <f>IFERROR(O1762/N1762,0)</f>
        <v/>
      </c>
      <c r="T1762">
        <f>IF(C1762,(H1762*N1762*IF(AND(Inputs!$B$38&lt;&gt;"pvp",Inputs!$B$43&gt;0),((Skills!G11*((R1762-1)*IF(Skills!H11&gt;0,INT(Skills!I11/Skills!H11+0.000000001),1)+IF(Skills!H11&gt;0,INT(MIN(Skills!I11,MAX(0,MAX(0,Inputs!$B$43-B1793)-((R1762-1)*(IF(Inputs!$B$38="pvp",15,MAX(0.1,Skills!D11-IF(TRUE=TRUE,Inputs!$B$32,0)))*(1-IF(AND(ArtifactsInput!$M$27,Inputs!$B$4="Chapter Hunt"),CHOOSE(ArtifactsInput!$N$27+1,20,24,28,32,36,40),0)/100)))))/Skills!H11+0.000000001)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INT(Skills!I11/Skills!H11+0.000000001),1)+IF(Skills!H11&gt;0,INT(MIN(Skills!I11,MAX(0,MAX(0,Inputs!$B$43-B1793)-((R1762-1)*(IF(Inputs!$B$38="pvp",15,MAX(0.1,Skills!D11-IF(TRUE=TRUE,Inputs!$B$32,0)))*(1-IF(AND(ArtifactsInput!$M$27,Inputs!$B$4="Chapter Hunt"),CHOOSE(ArtifactsInput!$N$27+1,20,24,28,32,36,40),0)/100)))))/Skills!H11+0.000000001),1)))/Inputs!$B$43),G1762*Q1762))*IF(Inputs!$B$38="pvp",1,(1+(Inputs!$B$21+Skills!Q11+(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c r="T1763" t="inlineStr"/>
      <c r="V1763" t="inlineStr"/>
    </row>
    <row r="1764">
      <c r="A1764">
        <f>Skills!A13</f>
        <v/>
      </c>
      <c r="B1764">
        <f>Skills!B13</f>
        <v/>
      </c>
      <c r="C1764">
        <f>Inputs!$B$3&gt;=60</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Skills!G13*IF(Skills!H13&gt;0,INT(IF(Inputs!$B$38="pvp",MIN(Skills!I13,15),Skills!I13)/Skills!H13+0.000000001),1)</f>
        <v/>
      </c>
      <c r="H1764">
        <f>1-(1-Skills!J13/100)^Skills!K13</f>
        <v/>
      </c>
      <c r="I1764" t="inlineStr">
        <is>
          <t>1</t>
        </is>
      </c>
      <c r="J1764">
        <f>((Inputs!$B$6*(1+Inputs!$B$7/100))+(((Inputs!$B$12*(1+Inputs!$B$13/100))-(Inputs!$B$12*(1+Inputs!$B$13/100)))+0.25*(Inputs!$B$14-Inputs!$B$14))*(1+Inputs!$B$7/100))*(F1764/100)</f>
        <v/>
      </c>
      <c r="K1764">
        <f>J1764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Skills!A13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1764)</f>
        <v/>
      </c>
      <c r="L1764">
        <f>K1764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4">
        <f>L1764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4">
        <f>L1764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4">
        <f>(1-Summary!$B$11)*T1764+Summary!$B$11*V1764</f>
        <v/>
      </c>
      <c r="P1764">
        <f>IF(B1796=0,0,O1764/B1796)</f>
        <v/>
      </c>
      <c r="Q1764">
        <f>IFERROR(1/(IF(Inputs!$B$38="pvp",15,MAX(0.1,IF(Inputs!$B$3&gt;=122,3,5)+1/(((20+30*(B1788-1)*100/150)/100)*B1788)-IF(FALSE=TRUE,Inputs!$B$32,0)))*(1-IF(AND(ArtifactsInput!$M$27,Inputs!$B$4="Chapter Hunt"),CHOOSE(ArtifactsInput!$N$27+1,20,24,28,32,36,40),0)/100)),0)</f>
        <v/>
      </c>
      <c r="R1764">
        <f>IF(AND(Inputs!$B$38&lt;&gt;"pvp",Inputs!$B$43&gt;0),IF(MAX(0,Inputs!$B$43-B1793)&lt;=0,0,(INT(MAX(0,Inputs!$B$43-B1793)/(IF(Inputs!$B$38="pvp",15,MAX(0.1,IF(Inputs!$B$3&gt;=122,3,5)+1/(((20+30*(B1788-1)*100/150)/100)*B1788)-IF(FALSE=TRUE,Inputs!$B$32,0)))*(1-IF(AND(ArtifactsInput!$M$27,Inputs!$B$4="Chapter Hunt"),CHOOSE(ArtifactsInput!$N$27+1,20,24,28,32,36,40),0)/100)))+1)),0)</f>
        <v/>
      </c>
      <c r="S1764">
        <f>IFERROR(O1764/N1764,0)</f>
        <v/>
      </c>
      <c r="T1764">
        <f>IF(C1764,(H1764*N1764*IF(AND(Inputs!$B$38&lt;&gt;"pvp",Inputs!$B$43&gt;0),((Skills!G13*((R1764-1)*IF(Skills!H13&gt;0,INT(Skills!I13/Skills!H13+0.000000001),1)+IF(Skills!H13&gt;0,INT(MIN(Skills!I13,MAX(0,MAX(0,Inputs!$B$43-B1793)-((R1764-1)*(IF(Inputs!$B$38="pvp",15,MAX(0.1,IF(Inputs!$B$3&gt;=122,3,5)+1/(((20+30*(B1788-1)*100/150)/100)*B1788)-IF(FALSE=TRUE,Inputs!$B$32,0)))*(1-IF(AND(ArtifactsInput!$M$27,Inputs!$B$4="Chapter Hunt"),CHOOSE(ArtifactsInput!$N$27+1,20,24,28,32,36,40),0)/100)))))/Skills!H13+0.000000001),1)))/Inputs!$B$43),G1764*Q1764)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4">
        <f>IF(C1764,(H1764*N1764*IF(AND(Inputs!$B$38&lt;&gt;"pvp",Inputs!$B$43&gt;0),((Skills!G13*((R1764-1)*IF(Skills!H13&gt;0,INT(Skills!I13/Skills!H13+0.000000001),1)+IF(Skills!H13&gt;0,INT(MIN(Skills!I13,MAX(0,MAX(0,Inputs!$B$43-B1793)-((R1764-1)*(IF(Inputs!$B$38="pvp",15,MAX(0.1,IF(Inputs!$B$3&gt;=122,3,5)+1/(((20+30*(B1788-1)*100/150)/100)*B1788)-IF(FALSE=TRUE,Inputs!$B$32,0)))*(1-IF(AND(ArtifactsInput!$M$27,Inputs!$B$4="Chapter Hunt"),CHOOSE(ArtifactsInput!$N$27+1,20,24,28,32,36,40),0)/100)))))/Skills!H13+0.000000001),1)))/Inputs!$B$43),G1764*Q1764))*IF(Inputs!$B$38="pvp",1,(1+(Inputs!$B$21+Skills!Q13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t="inlineStr"/>
      <c r="H1765" t="inlineStr"/>
      <c r="I1765" t="inlineStr">
        <is>
          <t>1</t>
        </is>
      </c>
      <c r="J1765" t="inlineStr"/>
      <c r="K1765" t="inlineStr"/>
      <c r="L1765" t="inlineStr"/>
      <c r="M1765" t="inlineStr"/>
      <c r="N1765" t="inlineStr"/>
      <c r="O1765" t="inlineStr"/>
      <c r="P1765" t="inlineStr"/>
      <c r="Q1765" t="inlineStr"/>
      <c r="R1765" t="inlineStr"/>
      <c r="S1765" t="inlineStr"/>
      <c r="T1765" t="inlineStr"/>
      <c r="V1765" t="inlineStr"/>
    </row>
    <row r="1766">
      <c r="A1766">
        <f>Skills!A15</f>
        <v/>
      </c>
      <c r="B1766">
        <f>Skills!B15</f>
        <v/>
      </c>
      <c r="C1766">
        <f>Inputs!$B$3&gt;=74</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Skills!G15*IF(Skills!H15&gt;0,INT(IF(Inputs!$B$38="pvp",MIN(Skills!I15,15),Skills!I15)/Skills!H15+0.000000001),1)</f>
        <v/>
      </c>
      <c r="H1766">
        <f>1-(1-Skills!J15/100)^Skills!K15</f>
        <v/>
      </c>
      <c r="I1766" t="inlineStr">
        <is>
          <t>1</t>
        </is>
      </c>
      <c r="J1766" t="inlineStr"/>
      <c r="K1766" t="inlineStr"/>
      <c r="L1766" t="inlineStr"/>
      <c r="M1766" t="inlineStr"/>
      <c r="N1766" t="inlineStr"/>
      <c r="O1766">
        <f>(1-Summary!$B$11)*T1766+Summary!$B$11*V1766</f>
        <v/>
      </c>
      <c r="P1766">
        <f>IF(B1796=0,0,O1766/B1796)</f>
        <v/>
      </c>
      <c r="Q1766" t="n">
        <v>0</v>
      </c>
      <c r="R1766" t="n">
        <v>0</v>
      </c>
      <c r="S1766">
        <f>IFERROR(O1766/N1766,0)</f>
        <v/>
      </c>
      <c r="T1766" t="n">
        <v>0</v>
      </c>
      <c r="V1766" t="n">
        <v>0</v>
      </c>
    </row>
    <row r="1767">
      <c r="A1767">
        <f>Skills!A16</f>
        <v/>
      </c>
      <c r="B1767">
        <f>Skills!B16</f>
        <v/>
      </c>
      <c r="C1767">
        <f>Inputs!$B$3&gt;=74</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Skills!G16*IF(Skills!H16&gt;0,INT(IF(Inputs!$B$38="pvp",MIN(Skills!I16,15),Skills!I16)/Skills!H16+0.000000001),1)</f>
        <v/>
      </c>
      <c r="H1767">
        <f>1-(1-Skills!J16/100)^Skills!K16</f>
        <v/>
      </c>
      <c r="I1767" t="inlineStr">
        <is>
          <t>1</t>
        </is>
      </c>
      <c r="J1767" t="inlineStr"/>
      <c r="K1767" t="inlineStr"/>
      <c r="L1767" t="inlineStr"/>
      <c r="M1767" t="inlineStr"/>
      <c r="N1767" t="inlineStr"/>
      <c r="O1767">
        <f>(1-Summary!$B$11)*T1767+Summary!$B$11*V1767</f>
        <v/>
      </c>
      <c r="P1767">
        <f>IF(B1796=0,0,O1767/B1796)</f>
        <v/>
      </c>
      <c r="Q1767" t="n">
        <v>0</v>
      </c>
      <c r="R1767" t="n">
        <v>0</v>
      </c>
      <c r="S1767">
        <f>IFERROR(O1767/N1767,0)</f>
        <v/>
      </c>
      <c r="T1767" t="n">
        <v>0</v>
      </c>
      <c r="V1767" t="n">
        <v>0</v>
      </c>
    </row>
    <row r="1768">
      <c r="A1768">
        <f>Skills!A17</f>
        <v/>
      </c>
      <c r="B1768">
        <f>Skills!B17</f>
        <v/>
      </c>
      <c r="C1768">
        <f>Inputs!$B$3&gt;=117</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Skills!G17*IF(Skills!H17&gt;0,INT(IF(Inputs!$B$38="pvp",MIN(Skills!I17,15),Skills!I17)/Skills!H17+0.000000001),1)</f>
        <v/>
      </c>
      <c r="H1768">
        <f>1-(1-Skills!J17/100)^Skills!K17</f>
        <v/>
      </c>
      <c r="I1768" t="inlineStr">
        <is>
          <t>1</t>
        </is>
      </c>
      <c r="J1768" t="inlineStr"/>
      <c r="K1768" t="inlineStr"/>
      <c r="L1768" t="inlineStr"/>
      <c r="M1768" t="inlineStr"/>
      <c r="N1768" t="inlineStr"/>
      <c r="O1768">
        <f>(1-Summary!$B$11)*T1768+Summary!$B$11*V1768</f>
        <v/>
      </c>
      <c r="P1768">
        <f>IF(B1796=0,0,O1768/B1796)</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Skills!G18*IF(Skills!H18&gt;0,INT(IF(Inputs!$B$38="pvp",MIN(Skills!I18,15),Skills!I18)/Skills!H18+0.000000001),1)</f>
        <v/>
      </c>
      <c r="H1769">
        <f>1-(1-Skills!J18/100)^Skills!K18</f>
        <v/>
      </c>
      <c r="I1769" t="inlineStr">
        <is>
          <t>1</t>
        </is>
      </c>
      <c r="J1769" t="inlineStr"/>
      <c r="K1769" t="inlineStr"/>
      <c r="L1769" t="inlineStr"/>
      <c r="M1769" t="inlineStr"/>
      <c r="N1769" t="inlineStr"/>
      <c r="O1769">
        <f>(1-Summary!$B$11)*T1769+Summary!$B$11*V1769</f>
        <v/>
      </c>
      <c r="P1769">
        <f>IF(B1796=0,0,O1769/B1796)</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Inputs!$B$3&gt;=66</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Skills!G19*IF(Skills!H19&gt;0,INT(IF(Inputs!$B$38="pvp",MIN(Skills!I19,15),Skills!I19)/Skills!H19+0.000000001),1)</f>
        <v/>
      </c>
      <c r="H1770">
        <f>1-(1-Skills!J19/100)^Skills!K19</f>
        <v/>
      </c>
      <c r="I1770" t="inlineStr">
        <is>
          <t>1</t>
        </is>
      </c>
      <c r="J1770" t="inlineStr"/>
      <c r="K1770" t="inlineStr"/>
      <c r="L1770" t="inlineStr"/>
      <c r="M1770" t="inlineStr"/>
      <c r="N1770" t="inlineStr"/>
      <c r="O1770">
        <f>(1-Summary!$B$11)*T1770+Summary!$B$11*V1770</f>
        <v/>
      </c>
      <c r="P1770">
        <f>IF(B1796=0,0,O1770/B1796)</f>
        <v/>
      </c>
      <c r="Q1770" t="n">
        <v>0</v>
      </c>
      <c r="R1770" t="n">
        <v>0</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Skills!G20*IF(Skills!H20&gt;0,INT(IF(Inputs!$B$38="pvp",MIN(Skills!I20,15),Skills!I20)/Skills!H20+0.000000001),1)</f>
        <v/>
      </c>
      <c r="H1771">
        <f>1-(1-Skills!J20/100)^Skills!K20</f>
        <v/>
      </c>
      <c r="I1771" t="inlineStr">
        <is>
          <t>1</t>
        </is>
      </c>
      <c r="J1771" t="inlineStr"/>
      <c r="K1771" t="inlineStr"/>
      <c r="L1771" t="inlineStr"/>
      <c r="M1771" t="inlineStr"/>
      <c r="N1771" t="inlineStr"/>
      <c r="O1771">
        <f>(1-Summary!$B$11)*T1771+Summary!$B$11*V1771</f>
        <v/>
      </c>
      <c r="P1771">
        <f>IF(B1796=0,0,O1771/B1796)</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Skills!G21*IF(Skills!H21&gt;0,INT(IF(Inputs!$B$38="pvp",MIN(Skills!I21,15),Skills!I21)/Skills!H21+0.000000001),1)</f>
        <v/>
      </c>
      <c r="H1772">
        <f>1-(1-Skills!J21/100)^Skills!K21</f>
        <v/>
      </c>
      <c r="I1772" t="inlineStr">
        <is>
          <t>1</t>
        </is>
      </c>
      <c r="J1772" t="inlineStr"/>
      <c r="K1772" t="inlineStr"/>
      <c r="L1772" t="inlineStr"/>
      <c r="M1772" t="inlineStr"/>
      <c r="N1772" t="inlineStr"/>
      <c r="O1772">
        <f>(1-Summary!$B$11)*T1772+Summary!$B$11*V1772</f>
        <v/>
      </c>
      <c r="P1772">
        <f>IF(B1796=0,0,O1772/B1796)</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Inputs!$B$3&gt;=15</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Skills!G22*IF(Skills!H22&gt;0,INT(IF(Inputs!$B$38="pvp",MIN(Skills!I22,15),Skills!I22)/Skills!H22+0.000000001),1)</f>
        <v/>
      </c>
      <c r="H1773">
        <f>1-(1-Skills!J22/100)^Skills!K22</f>
        <v/>
      </c>
      <c r="I1773" t="inlineStr">
        <is>
          <t>1</t>
        </is>
      </c>
      <c r="J1773" t="inlineStr"/>
      <c r="K1773" t="inlineStr"/>
      <c r="L1773" t="inlineStr"/>
      <c r="M1773" t="inlineStr"/>
      <c r="N1773" t="inlineStr"/>
      <c r="O1773">
        <f>(1-Summary!$B$11)*T1773+Summary!$B$11*V1773</f>
        <v/>
      </c>
      <c r="P1773">
        <f>IF(B1796=0,0,O1773/B1796)</f>
        <v/>
      </c>
      <c r="Q1773" t="n">
        <v>0</v>
      </c>
      <c r="R1773" t="n">
        <v>0</v>
      </c>
      <c r="S1773">
        <f>IFERROR(O1773/N1773,0)</f>
        <v/>
      </c>
      <c r="T1773" t="n">
        <v>0</v>
      </c>
      <c r="V1773" t="n">
        <v>0</v>
      </c>
    </row>
    <row r="1774">
      <c r="A1774">
        <f>Skills!A23</f>
        <v/>
      </c>
      <c r="B1774">
        <f>Skills!B23</f>
        <v/>
      </c>
      <c r="C1774">
        <f>Inputs!$B$3&gt;=10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Skills!G23*IF(Skills!H23&gt;0,INT(IF(Inputs!$B$38="pvp",MIN(Skills!I23,15),Skills!I23)/Skills!H23+0.000000001),1)</f>
        <v/>
      </c>
      <c r="H1774">
        <f>1-(1-Skills!J23/100)^Skills!K23</f>
        <v/>
      </c>
      <c r="I1774" t="inlineStr">
        <is>
          <t>1</t>
        </is>
      </c>
      <c r="J1774" t="inlineStr"/>
      <c r="K1774" t="inlineStr"/>
      <c r="L1774" t="inlineStr"/>
      <c r="M1774" t="inlineStr"/>
      <c r="N1774" t="inlineStr"/>
      <c r="O1774">
        <f>(1-Summary!$B$11)*T1774+Summary!$B$11*V1774</f>
        <v/>
      </c>
      <c r="P1774">
        <f>IF(B1796=0,0,O1774/B1796)</f>
        <v/>
      </c>
      <c r="Q1774" t="n">
        <v>0</v>
      </c>
      <c r="R1774" t="n">
        <v>0</v>
      </c>
      <c r="S1774">
        <f>IFERROR(O1774/N1774,0)</f>
        <v/>
      </c>
      <c r="T1774" t="n">
        <v>0</v>
      </c>
      <c r="V1774" t="n">
        <v>0</v>
      </c>
    </row>
    <row r="1775">
      <c r="A1775">
        <f>Skills!A24</f>
        <v/>
      </c>
      <c r="B1775">
        <f>Skills!B24</f>
        <v/>
      </c>
      <c r="C1775">
        <f>Inputs!$B$3&gt;=33</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Skills!G24*IF(Skills!H24&gt;0,INT(IF(Inputs!$B$38="pvp",MIN(Skills!I24,15),Skills!I24)/Skills!H24+0.000000001),1)</f>
        <v/>
      </c>
      <c r="H1775">
        <f>1-(1-Skills!J24/100)^Skills!K24</f>
        <v/>
      </c>
      <c r="I1775" t="inlineStr">
        <is>
          <t>1</t>
        </is>
      </c>
      <c r="J1775" t="inlineStr"/>
      <c r="K1775" t="inlineStr"/>
      <c r="L1775" t="inlineStr"/>
      <c r="M1775" t="inlineStr"/>
      <c r="N1775" t="inlineStr"/>
      <c r="O1775">
        <f>(1-Summary!$B$11)*T1775+Summary!$B$11*V1775</f>
        <v/>
      </c>
      <c r="P1775">
        <f>IF(B1796=0,0,O1775/B1796)</f>
        <v/>
      </c>
      <c r="Q1775" t="n">
        <v>0</v>
      </c>
      <c r="R1775" t="n">
        <v>0</v>
      </c>
      <c r="S1775">
        <f>IFERROR(O1775/N1775,0)</f>
        <v/>
      </c>
      <c r="T1775" t="n">
        <v>0</v>
      </c>
      <c r="V1775" t="n">
        <v>0</v>
      </c>
    </row>
    <row r="1776">
      <c r="A1776">
        <f>Skills!A25</f>
        <v/>
      </c>
      <c r="B1776">
        <f>Skills!B25</f>
        <v/>
      </c>
      <c r="C1776">
        <f>Inputs!$B$3&gt;=38</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Skills!G25*IF(Skills!H25&gt;0,INT(IF(Inputs!$B$38="pvp",MIN(Skills!I25,15),Skills!I25)/Skills!H25+0.000000001),1)</f>
        <v/>
      </c>
      <c r="H1776">
        <f>1-(1-Skills!J25/100)^Skills!K25</f>
        <v/>
      </c>
      <c r="I1776" t="inlineStr">
        <is>
          <t>1</t>
        </is>
      </c>
      <c r="J1776" t="inlineStr"/>
      <c r="K1776" t="inlineStr"/>
      <c r="L1776" t="inlineStr"/>
      <c r="M1776" t="inlineStr"/>
      <c r="N1776" t="inlineStr"/>
      <c r="O1776">
        <f>(1-Summary!$B$11)*T1776+Summary!$B$11*V1776</f>
        <v/>
      </c>
      <c r="P1776">
        <f>IF(B1796=0,0,O1776/B1796)</f>
        <v/>
      </c>
      <c r="Q1776" t="n">
        <v>0</v>
      </c>
      <c r="R1776" t="n">
        <v>0</v>
      </c>
      <c r="S1776">
        <f>IFERROR(O1776/N1776,0)</f>
        <v/>
      </c>
      <c r="T1776" t="n">
        <v>0</v>
      </c>
      <c r="V1776" t="n">
        <v>0</v>
      </c>
    </row>
    <row r="1777">
      <c r="A1777">
        <f>Skills!A26</f>
        <v/>
      </c>
      <c r="B1777">
        <f>Skills!B26</f>
        <v/>
      </c>
      <c r="C1777">
        <f>Inputs!$B$3&gt;=43</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Skills!G26*IF(Skills!H26&gt;0,INT(IF(Inputs!$B$38="pvp",MIN(Skills!I26,15),Skills!I26)/Skills!H26+0.000000001),1)</f>
        <v/>
      </c>
      <c r="H1777">
        <f>1-(1-Skills!J26/100)^Skills!K26</f>
        <v/>
      </c>
      <c r="I1777" t="inlineStr">
        <is>
          <t>1</t>
        </is>
      </c>
      <c r="J1777" t="inlineStr"/>
      <c r="K1777" t="inlineStr"/>
      <c r="L1777" t="inlineStr"/>
      <c r="M1777" t="inlineStr"/>
      <c r="N1777" t="inlineStr"/>
      <c r="O1777">
        <f>(1-Summary!$B$11)*T1777+Summary!$B$11*V1777</f>
        <v/>
      </c>
      <c r="P1777">
        <f>IF(B1796=0,0,O1777/B1796)</f>
        <v/>
      </c>
      <c r="Q1777" t="n">
        <v>0</v>
      </c>
      <c r="R1777" t="n">
        <v>0</v>
      </c>
      <c r="S1777">
        <f>IFERROR(O1777/N1777,0)</f>
        <v/>
      </c>
      <c r="T1777" t="n">
        <v>0</v>
      </c>
      <c r="V1777" t="n">
        <v>0</v>
      </c>
    </row>
    <row r="1778">
      <c r="A1778">
        <f>Skills!A27</f>
        <v/>
      </c>
      <c r="B1778">
        <f>Skills!B27</f>
        <v/>
      </c>
      <c r="C1778">
        <f>Inputs!$B$3&gt;=75</f>
        <v/>
      </c>
      <c r="D1778">
        <f>IF(Skills!C27=1,60+Inputs!$B$25+Inputs!$B$29,IF(Skills!C27=2,90+Inputs!$B$26+Inputs!$B$29,IF(Skills!C27=3,120+Inputs!$B$27+Inputs!$B$29,MAX(0,(Inputs!$B$3-100)*3)+Inputs!$B$28+Inputs!$B$29)))</f>
        <v/>
      </c>
      <c r="E1778">
        <f>INDEX(FactorTable!$B$2:$Y$301, MATCH(ROUND(MIN(300,MAX(1,D1778)),0), FactorTable!$A$2:$A$301,0), Skills!M27+1)</f>
        <v/>
      </c>
      <c r="F1778">
        <f>IF(Skills!N27=TRUE,(Skills!L27/10)*(E1778/1000),Skills!L27/10)+Skills!O27</f>
        <v/>
      </c>
      <c r="G1778">
        <f>Skills!G27*IF(Skills!H27&gt;0,INT(IF(Inputs!$B$38="pvp",MIN(Skills!I27,15),Skills!I27)/Skills!H27+0.000000001),1)</f>
        <v/>
      </c>
      <c r="H1778">
        <f>1-(1-Skills!J27/100)^Skills!K27</f>
        <v/>
      </c>
      <c r="I1778" t="inlineStr">
        <is>
          <t>1</t>
        </is>
      </c>
      <c r="J1778" t="inlineStr"/>
      <c r="K1778" t="inlineStr"/>
      <c r="L1778" t="inlineStr"/>
      <c r="M1778" t="inlineStr"/>
      <c r="N1778" t="inlineStr"/>
      <c r="O1778">
        <f>(1-Summary!$B$11)*T1778+Summary!$B$11*V1778</f>
        <v/>
      </c>
      <c r="P1778">
        <f>IF(B1796=0,0,O1778/B1796)</f>
        <v/>
      </c>
      <c r="Q1778" t="n">
        <v>0</v>
      </c>
      <c r="R1778" t="n">
        <v>0</v>
      </c>
      <c r="S1778">
        <f>IFERROR(O1778/N1778,0)</f>
        <v/>
      </c>
      <c r="T1778" t="n">
        <v>0</v>
      </c>
      <c r="V1778" t="n">
        <v>0</v>
      </c>
    </row>
    <row r="1779">
      <c r="A1779">
        <f>Skills!A28</f>
        <v/>
      </c>
      <c r="B1779">
        <f>Skills!B28</f>
        <v/>
      </c>
      <c r="C1779">
        <f>Inputs!$B$3&gt;=125</f>
        <v/>
      </c>
      <c r="D1779">
        <f>IF(Skills!C28=1,60+Inputs!$B$25+Inputs!$B$29,IF(Skills!C28=2,90+Inputs!$B$26+Inputs!$B$29,IF(Skills!C28=3,120+Inputs!$B$27+Inputs!$B$29,MAX(0,(Inputs!$B$3-100)*3)+Inputs!$B$28+Inputs!$B$29)))</f>
        <v/>
      </c>
      <c r="E1779">
        <f>INDEX(FactorTable!$B$2:$Y$301, MATCH(ROUND(MIN(300,MAX(1,D1779)),0), FactorTable!$A$2:$A$301,0), Skills!M28+1)</f>
        <v/>
      </c>
      <c r="F1779">
        <f>IF(Skills!N28=TRUE,(Skills!L28/10)*(E1779/1000),Skills!L28/10)+Skills!O28</f>
        <v/>
      </c>
      <c r="G1779">
        <f>Skills!G28*IF(Skills!H28&gt;0,INT(IF(Inputs!$B$38="pvp",MIN(Skills!I28,15),Skills!I28)/Skills!H28+0.000000001),1)</f>
        <v/>
      </c>
      <c r="H1779">
        <f>1-(1-Skills!J28/100)^Skills!K28</f>
        <v/>
      </c>
      <c r="I1779" t="inlineStr">
        <is>
          <t>1</t>
        </is>
      </c>
      <c r="J1779" t="inlineStr"/>
      <c r="K1779" t="inlineStr"/>
      <c r="L1779" t="inlineStr"/>
      <c r="M1779" t="inlineStr"/>
      <c r="N1779" t="inlineStr"/>
      <c r="O1779">
        <f>(1-Summary!$B$11)*T1779+Summary!$B$11*V1779</f>
        <v/>
      </c>
      <c r="P1779">
        <f>IF(B1796=0,0,O1779/B1796)</f>
        <v/>
      </c>
      <c r="Q1779" t="n">
        <v>0</v>
      </c>
      <c r="R1779" t="n">
        <v>0</v>
      </c>
      <c r="S1779">
        <f>IFERROR(O1779/N1779,0)</f>
        <v/>
      </c>
      <c r="T1779" t="n">
        <v>0</v>
      </c>
      <c r="V1779" t="n">
        <v>0</v>
      </c>
    </row>
    <row r="1780">
      <c r="A1780">
        <f>Skills!A29</f>
        <v/>
      </c>
      <c r="B1780">
        <f>Skills!B29</f>
        <v/>
      </c>
      <c r="C1780">
        <f>Inputs!$B$3&gt;=125</f>
        <v/>
      </c>
      <c r="D1780">
        <f>IF(Skills!C29=1,60+Inputs!$B$25+Inputs!$B$29,IF(Skills!C29=2,90+Inputs!$B$26+Inputs!$B$29,IF(Skills!C29=3,120+Inputs!$B$27+Inputs!$B$29,MAX(0,(Inputs!$B$3-100)*3)+Inputs!$B$28+Inputs!$B$29)))</f>
        <v/>
      </c>
      <c r="E1780">
        <f>INDEX(FactorTable!$B$2:$Y$301, MATCH(ROUND(MIN(300,MAX(1,D1780)),0), FactorTable!$A$2:$A$301,0), Skills!M29+1)</f>
        <v/>
      </c>
      <c r="F1780">
        <f>IF(Skills!N29=TRUE,(Skills!L29/10)*(E1780/1000),Skills!L29/10)+Skills!O29</f>
        <v/>
      </c>
      <c r="G1780">
        <f>Skills!G29*IF(Skills!H29&gt;0,INT(IF(Inputs!$B$38="pvp",MIN(Skills!I29,15),Skills!I29)/Skills!H29+0.000000001),1)</f>
        <v/>
      </c>
      <c r="H1780">
        <f>1-(1-Skills!J29/100)^Skills!K29</f>
        <v/>
      </c>
      <c r="I1780" t="inlineStr">
        <is>
          <t>1</t>
        </is>
      </c>
      <c r="J1780" t="inlineStr"/>
      <c r="K1780" t="inlineStr"/>
      <c r="L1780" t="inlineStr"/>
      <c r="M1780" t="inlineStr"/>
      <c r="N1780" t="inlineStr"/>
      <c r="O1780">
        <f>(1-Summary!$B$11)*T1780+Summary!$B$11*V1780</f>
        <v/>
      </c>
      <c r="P1780">
        <f>IF(B1796=0,0,O1780/B1796)</f>
        <v/>
      </c>
      <c r="Q1780" t="n">
        <v>0</v>
      </c>
      <c r="R1780" t="n">
        <v>0</v>
      </c>
      <c r="S1780">
        <f>IFERROR(O1780/N1780,0)</f>
        <v/>
      </c>
      <c r="T1780" t="n">
        <v>0</v>
      </c>
      <c r="V1780" t="n">
        <v>0</v>
      </c>
    </row>
    <row r="1781">
      <c r="A1781">
        <f>Skills!A30</f>
        <v/>
      </c>
      <c r="B1781">
        <f>Skills!B30</f>
        <v/>
      </c>
      <c r="C1781">
        <f>Inputs!$B$3&gt;=120</f>
        <v/>
      </c>
      <c r="D1781">
        <f>IF(Skills!C30=1,60+Inputs!$B$25+Inputs!$B$29,IF(Skills!C30=2,90+Inputs!$B$26+Inputs!$B$29,IF(Skills!C30=3,120+Inputs!$B$27+Inputs!$B$29,MAX(0,(Inputs!$B$3-100)*3)+Inputs!$B$28+Inputs!$B$29)))</f>
        <v/>
      </c>
      <c r="E1781">
        <f>INDEX(FactorTable!$B$2:$Y$301, MATCH(ROUND(MIN(300,MAX(1,D1781)),0), FactorTable!$A$2:$A$301,0), Skills!M30+1)</f>
        <v/>
      </c>
      <c r="F1781">
        <f>IF(Skills!N30=TRUE,(Skills!L30/10)*(E1781/1000),Skills!L30/10)+Skills!O30</f>
        <v/>
      </c>
      <c r="G1781">
        <f>Skills!G30*IF(Skills!H30&gt;0,INT(IF(Inputs!$B$38="pvp",MIN(Skills!I30,15),Skills!I30)/Skills!H30+0.000000001),1)</f>
        <v/>
      </c>
      <c r="H1781">
        <f>1-(1-Skills!J30/100)^Skills!K30</f>
        <v/>
      </c>
      <c r="I1781" t="inlineStr">
        <is>
          <t>1</t>
        </is>
      </c>
      <c r="J1781" t="inlineStr"/>
      <c r="K1781" t="inlineStr"/>
      <c r="L1781" t="inlineStr"/>
      <c r="M1781" t="inlineStr"/>
      <c r="N1781" t="inlineStr"/>
      <c r="O1781">
        <f>(1-Summary!$B$11)*T1781+Summary!$B$11*V1781</f>
        <v/>
      </c>
      <c r="P1781">
        <f>IF(B1796=0,0,O1781/B1796)</f>
        <v/>
      </c>
      <c r="Q1781" t="n">
        <v>0</v>
      </c>
      <c r="R1781" t="n">
        <v>0</v>
      </c>
      <c r="S1781">
        <f>IFERROR(O1781/N1781,0)</f>
        <v/>
      </c>
      <c r="T1781" t="n">
        <v>0</v>
      </c>
      <c r="V1781" t="n">
        <v>0</v>
      </c>
    </row>
    <row r="1782">
      <c r="A1782">
        <f>Skills!A31</f>
        <v/>
      </c>
      <c r="B1782">
        <f>Skills!B31</f>
        <v/>
      </c>
      <c r="C1782">
        <f>Inputs!$B$3&gt;=120</f>
        <v/>
      </c>
      <c r="D1782">
        <f>IF(Skills!C31=1,60+Inputs!$B$25+Inputs!$B$29,IF(Skills!C31=2,90+Inputs!$B$26+Inputs!$B$29,IF(Skills!C31=3,120+Inputs!$B$27+Inputs!$B$29,MAX(0,(Inputs!$B$3-100)*3)+Inputs!$B$28+Inputs!$B$29)))</f>
        <v/>
      </c>
      <c r="E1782">
        <f>INDEX(FactorTable!$B$2:$Y$301, MATCH(ROUND(MIN(300,MAX(1,D1782)),0), FactorTable!$A$2:$A$301,0), Skills!M31+1)</f>
        <v/>
      </c>
      <c r="F1782">
        <f>IF(Skills!N31=TRUE,(Skills!L31/10)*(E1782/1000),Skills!L31/10)+Skills!O31</f>
        <v/>
      </c>
      <c r="G1782">
        <f>Skills!G31*IF(Skills!H31&gt;0,INT(IF(Inputs!$B$38="pvp",MIN(Skills!I31,15),Skills!I31)/Skills!H31+0.000000001),1)</f>
        <v/>
      </c>
      <c r="H1782">
        <f>1-(1-Skills!J31/100)^Skills!K31</f>
        <v/>
      </c>
      <c r="I1782" t="inlineStr">
        <is>
          <t>1</t>
        </is>
      </c>
      <c r="J1782" t="inlineStr"/>
      <c r="K1782" t="inlineStr"/>
      <c r="L1782" t="inlineStr"/>
      <c r="M1782" t="inlineStr"/>
      <c r="N1782" t="inlineStr"/>
      <c r="O1782">
        <f>(1-Summary!$B$11)*T1782+Summary!$B$11*V1782</f>
        <v/>
      </c>
      <c r="P1782">
        <f>IF(B1796=0,0,O1782/B1796)</f>
        <v/>
      </c>
      <c r="Q1782" t="n">
        <v>0</v>
      </c>
      <c r="R1782" t="n">
        <v>0</v>
      </c>
      <c r="S1782">
        <f>IFERROR(O1782/N1782,0)</f>
        <v/>
      </c>
      <c r="T1782" t="n">
        <v>0</v>
      </c>
      <c r="V1782" t="n">
        <v>0</v>
      </c>
    </row>
    <row r="1783">
      <c r="A1783">
        <f>Skills!A32</f>
        <v/>
      </c>
      <c r="B1783">
        <f>Skills!B32</f>
        <v/>
      </c>
      <c r="C1783">
        <f>Inputs!$B$3&gt;=45</f>
        <v/>
      </c>
      <c r="D1783">
        <f>IF(Skills!C32=1,60+Inputs!$B$25+Inputs!$B$29,IF(Skills!C32=2,90+Inputs!$B$26+Inputs!$B$29,IF(Skills!C32=3,120+Inputs!$B$27+Inputs!$B$29,MAX(0,(Inputs!$B$3-100)*3)+Inputs!$B$28+Inputs!$B$29)))</f>
        <v/>
      </c>
      <c r="E1783">
        <f>INDEX(FactorTable!$B$2:$Y$301, MATCH(ROUND(MIN(300,MAX(1,D1783)),0), FactorTable!$A$2:$A$301,0), Skills!M32+1)</f>
        <v/>
      </c>
      <c r="F1783">
        <f>IF(Skills!N32=TRUE,(Skills!L32/10)*(E1783/1000),Skills!L32/10)+Skills!O32</f>
        <v/>
      </c>
      <c r="G1783">
        <f>Skills!G32*IF(Skills!H32&gt;0,INT(IF(Inputs!$B$38="pvp",MIN(Skills!I32,15),Skills!I32)/Skills!H32+0.000000001),1)</f>
        <v/>
      </c>
      <c r="H1783">
        <f>1-(1-Skills!J32/100)^Skills!K32</f>
        <v/>
      </c>
      <c r="I1783" t="inlineStr">
        <is>
          <t>1</t>
        </is>
      </c>
      <c r="J1783" t="inlineStr"/>
      <c r="K1783" t="inlineStr"/>
      <c r="L1783" t="inlineStr"/>
      <c r="M1783" t="inlineStr"/>
      <c r="N1783" t="inlineStr"/>
      <c r="O1783">
        <f>(1-Summary!$B$11)*T1783+Summary!$B$11*V1783</f>
        <v/>
      </c>
      <c r="P1783">
        <f>IF(B1796=0,0,O1783/B1796)</f>
        <v/>
      </c>
      <c r="Q1783" t="n">
        <v>0</v>
      </c>
      <c r="R1783" t="n">
        <v>0</v>
      </c>
      <c r="S1783">
        <f>IFERROR(O1783/N1783,0)</f>
        <v/>
      </c>
      <c r="T1783" t="n">
        <v>0</v>
      </c>
      <c r="V1783" t="n">
        <v>0</v>
      </c>
    </row>
    <row r="1785">
      <c r="A1785" t="inlineStr">
        <is>
          <t>Attack% Bucket Multiplier</t>
        </is>
      </c>
      <c r="B1785">
        <f>(1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6">
      <c r="A1786" t="inlineStr">
        <is>
          <t>Global Crit Rate Bonus %</t>
        </is>
      </c>
      <c r="B1786" t="n">
        <v>0</v>
      </c>
    </row>
    <row r="1787">
      <c r="A1787" t="inlineStr">
        <is>
          <t>Attack Speed Buff Bonus %</t>
        </is>
      </c>
      <c r="B1787">
        <f>((C1772=TRUE)*F1772*IF(AND(Inputs!$B$38&lt;&gt;"pvp",Inputs!$B$43&gt;0),(((R1772-1)*MIN((Skills!T21*(1+Inputs!$B$34/100)),(1/Q1772))+MIN((Skills!T21*(1+Inputs!$B$34/100)),MAX(0,Inputs!$B$43-((R1772-1)*(1/Q1772)))))/Inputs!$B$43),IF(Inputs!$B$38="pvp",MIN((Skills!T21*(1+Inputs!$B$34/100)),15)/15,MIN(1,(Skills!T21*(1+Inputs!$B$34/100))/(1/Q1772)))))</f>
        <v/>
      </c>
    </row>
    <row r="1788">
      <c r="A1788" t="inlineStr">
        <is>
          <t>Actions Per Second</t>
        </is>
      </c>
      <c r="B1788">
        <f>1+MIN(150,150*(1-(1-(Inputs!$B$11+((C1774=TRUE)*(F1774-Calc!F23))+((C1775=TRUE)*(F1775-Calc!F24)))/150)*(1-B1787/150)))/100</f>
        <v/>
      </c>
    </row>
    <row r="1789">
      <c r="A1789" t="inlineStr">
        <is>
          <t>Skill + Buff Cast Rate</t>
        </is>
      </c>
      <c r="B1789">
        <f>IF(AND(Inputs!$B$38&lt;&gt;"pvp",Inputs!$B$43&gt;0),SUMPRODUCT((Skills!E2:E32=TRUE)*(C1753:C1783=TRUE)*R1753:R1783*Skills!F2:F32)/Inputs!$B$43,SUMPRODUCT((Skills!E2:E32=TRUE)*(C1753:C1783=TRUE)*Q1753:Q1783*Skills!F2:F32))</f>
        <v/>
      </c>
    </row>
    <row r="1790">
      <c r="A1790" t="inlineStr">
        <is>
          <t>Arrow Stream Casts Per Second</t>
        </is>
      </c>
      <c r="B1790">
        <f>MAX(0,B1788-B1789)</f>
        <v/>
      </c>
    </row>
    <row r="1791">
      <c r="A1791" t="inlineStr">
        <is>
          <t>Global Critical Damage Bonus % (Sharp Eyes + Concentration)</t>
        </is>
      </c>
      <c r="B1791">
        <f>(C1769=TRUE)*F1769*IF(AND(Inputs!$B$38&lt;&gt;"pvp",Inputs!$B$43&gt;0),(((R1769-1)*MIN((Skills!T18*(1+Inputs!$B$34/100)),(1/Q1769))+MIN((Skills!T18*(1+Inputs!$B$34/100)),MAX(0,Inputs!$B$43-((R1769-1)*(1/Q1769)))))/Inputs!$B$43),IF(Inputs!$B$38="pvp",MIN((Skills!T18*(1+Inputs!$B$34/100)),15)/15,MIN(1,(Skills!T18*(1+Inputs!$B$34/100))/(1/Q1769))))+(C1770=TRUE)*7*F1770</f>
        <v/>
      </c>
    </row>
    <row r="1792">
      <c r="A1792" t="inlineStr">
        <is>
          <t>Global Final Damage Bonus % (Mortal Blow)</t>
        </is>
      </c>
      <c r="B1792">
        <f>(C1771=TRUE)*F1771</f>
        <v/>
      </c>
    </row>
    <row r="1793">
      <c r="A1793" t="inlineStr">
        <is>
          <t>Buff-Casting Startup Delay (s, fixed-duration only)</t>
        </is>
      </c>
      <c r="B1793">
        <f>IF(AND(Inputs!$B$38&lt;&gt;"pvp",Inputs!$B$43&gt;0),SUMPRODUCT((Skills!T2:T32&gt;0)*(Skills!E2:E32=TRUE)*(C1753:C1783=TRUE))/B1788,0)</f>
        <v/>
      </c>
    </row>
    <row r="1794">
      <c r="A1794" t="inlineStr">
        <is>
          <t>Boss-Only Total DPS (this block's swept value)</t>
        </is>
      </c>
      <c r="B1794">
        <f>SUM(T1753:T1783)</f>
        <v/>
      </c>
    </row>
    <row r="1795">
      <c r="A1795" t="inlineStr">
        <is>
          <t>Normal-Only Total DPS (this block's swept value)</t>
        </is>
      </c>
      <c r="B1795">
        <f>SUM(V1753:V1783)</f>
        <v/>
      </c>
    </row>
    <row r="1796">
      <c r="A1796" s="6" t="inlineStr">
        <is>
          <t>TOTAL DPS</t>
        </is>
      </c>
      <c r="B1796" s="6">
        <f>SUM(O1753:O1783)</f>
        <v/>
      </c>
    </row>
    <row r="1799">
      <c r="A1799" s="6" t="inlineStr">
        <is>
          <t>Stat: Zakum's Stone Piece (Equip)</t>
        </is>
      </c>
    </row>
    <row r="1800">
      <c r="A1800" s="5" t="inlineStr">
        <is>
          <t>Key</t>
        </is>
      </c>
      <c r="B1800" s="5" t="inlineStr">
        <is>
          <t>Name</t>
        </is>
      </c>
      <c r="C1800" s="5" t="inlineStr">
        <is>
          <t>Unlocked</t>
        </is>
      </c>
      <c r="D1800" s="5" t="inlineStr">
        <is>
          <t>InputLevel</t>
        </is>
      </c>
      <c r="E1800" s="5" t="inlineStr">
        <is>
          <t>Factor</t>
        </is>
      </c>
      <c r="F1800" s="5" t="inlineStr">
        <is>
          <t>CoefficientPercent</t>
        </is>
      </c>
      <c r="G1800" s="5" t="inlineStr">
        <is>
          <t>EffectiveHits</t>
        </is>
      </c>
      <c r="H1800" s="5" t="inlineStr">
        <is>
          <t>ProcProbability</t>
        </is>
      </c>
      <c r="I1800" s="5" t="inlineStr">
        <is>
          <t>MapleHeroMultiplier</t>
        </is>
      </c>
      <c r="J1800" s="5" t="inlineStr">
        <is>
          <t>BaseDamage</t>
        </is>
      </c>
      <c r="K1800" s="5" t="inlineStr">
        <is>
          <t>BaseHitDamage</t>
        </is>
      </c>
      <c r="L1800" s="5" t="inlineStr">
        <is>
          <t>NonCritAvg</t>
        </is>
      </c>
      <c r="M1800" s="5" t="inlineStr">
        <is>
          <t>CritAvg</t>
        </is>
      </c>
      <c r="N1800" s="5" t="inlineStr">
        <is>
          <t>ExpectedDamage(perHit)</t>
        </is>
      </c>
      <c r="O1800" s="5" t="inlineStr">
        <is>
          <t>DPS</t>
        </is>
      </c>
      <c r="P1800" s="5" t="inlineStr">
        <is>
          <t>% of Total</t>
        </is>
      </c>
      <c r="Q1800" s="5" t="inlineStr">
        <is>
          <t>InvCooldown</t>
        </is>
      </c>
      <c r="R1800" s="5" t="inlineStr">
        <is>
          <t>CastsInFight</t>
        </is>
      </c>
      <c r="S1800" s="5" t="inlineStr">
        <is>
          <t>HitRate(perSec)</t>
        </is>
      </c>
      <c r="U1800" t="inlineStr">
        <is>
          <t>helpers</t>
        </is>
      </c>
    </row>
    <row r="1801">
      <c r="A1801">
        <f>Skills!A2</f>
        <v/>
      </c>
      <c r="B1801">
        <f>Skills!B2</f>
        <v/>
      </c>
      <c r="C1801">
        <f>Inputs!$B$3&gt;=100</f>
        <v/>
      </c>
      <c r="D1801" t="inlineStr"/>
      <c r="E1801" t="inlineStr"/>
      <c r="F1801">
        <f>U1803+Skills!O2</f>
        <v/>
      </c>
      <c r="G1801">
        <f>Skills!G2*IF(Skills!H2&gt;0,INT(IF(Inputs!$B$38="pvp",MIN(Skills!I2,15),Skills!I2)/Skills!H2+0.000000001),1)</f>
        <v/>
      </c>
      <c r="H1801">
        <f>1-(1-Skills!J2/100)^Skills!K2</f>
        <v/>
      </c>
      <c r="I1801" t="inlineStr">
        <is>
          <t>1</t>
        </is>
      </c>
      <c r="J1801">
        <f>((Inputs!$B$6*(1+Inputs!$B$7/100))+(((Inputs!$B$12*(1+Inputs!$B$13/100))-(Inputs!$B$12*(1+Inputs!$B$13/100)))+0.25*(Inputs!$B$14-Inputs!$B$14))*(1+Inputs!$B$7/100))*(F1801/100)</f>
        <v/>
      </c>
      <c r="K1801">
        <f>J1801*(1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1825=TRUE)*(F1825-Calc!F26)),(Inputs!$B$23+((C1830=TRUE)*(F1830-Calc!F31))+(IF(ArtifactsInput!$M$15,CHOOSE(ArtifactsInput!$N$15+1,25,30,35,40,45,50)/100*(Inputs!$B$11-Inputs!$B$11),0))))/100+(Inputs!$B$23+((C1830=TRUE)*(F1830-Calc!F31))+(IF(ArtifactsInput!$M$15,CHOOSE(ArtifactsInput!$N$15+1,25,30,35,40,45,50)/100*(Inputs!$B$11-Inputs!$B$11),0)))/100)/2</f>
        <v/>
      </c>
      <c r="M1801">
        <f>L1801*(1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IF(B1844=0,0,O1801/B1844)</f>
        <v/>
      </c>
      <c r="Q1801" t="n">
        <v>0</v>
      </c>
      <c r="R1801" t="n">
        <v>0</v>
      </c>
      <c r="S1801">
        <f>IFERROR(O1801/N1801,0)</f>
        <v/>
      </c>
      <c r="T1801">
        <f>IF(C1801,(Skills!G2*N1801*B1838)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MAX(0,(Inputs!$B$3-100)*3)+Inputs!$B$28+Inputs!$B$29</f>
        <v/>
      </c>
      <c r="V1801">
        <f>IF(C1801,(Skills!G2*N1801*B1838)*IF(Inputs!$B$38="pvp",1,(1+(Inputs!$B$21+Skills!Q2+(IF(ArtifactsInput!$M$33,CHOOSE(ArtifactsInput!$N$33+1,30,36,42,48,54,60),0))+(IF(AND(ArtifactsInput!$M$35,Inputs!$B$4&lt;&gt;"Chapter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Skills!A3</f>
        <v/>
      </c>
      <c r="B1802">
        <f>Skills!B3</f>
        <v/>
      </c>
      <c r="C1802">
        <f>Inputs!$B$3&gt;=50</f>
        <v/>
      </c>
      <c r="D1802">
        <f>IF(Skills!C3=1,60+Inputs!$B$25+Inputs!$B$29,IF(Skills!C3=2,90+Inputs!$B$26+Inputs!$B$29,IF(Skills!C3=3,120+Inputs!$B$27+Inputs!$B$29,MAX(0,(Inputs!$B$3-100)*3)+Inputs!$B$28+Inputs!$B$29)))</f>
        <v/>
      </c>
      <c r="E1802">
        <f>INDEX(FactorTable!$B$2:$Y$301, MATCH(ROUND(MIN(300,MAX(1,D1802)),0), FactorTable!$A$2:$A$301,0), Skills!M3+1)</f>
        <v/>
      </c>
      <c r="F1802">
        <f>IF(Skills!N3=TRUE,(Skills!L3/10)*(E1802/1000),Skills!L3/10)+Skills!O3</f>
        <v/>
      </c>
      <c r="G1802">
        <f>Skills!G3*IF(Skills!H3&gt;0,INT(IF(Inputs!$B$38="pvp",MIN(Skills!I3,15),Skills!I3)/Skills!H3+0.000000001),1)</f>
        <v/>
      </c>
      <c r="H1802">
        <f>1-(1-Skills!J3/100)^Skills!K3</f>
        <v/>
      </c>
      <c r="I1802" t="inlineStr">
        <is>
          <t>1</t>
        </is>
      </c>
      <c r="J1802">
        <f>((Inputs!$B$6*(1+Inputs!$B$7/100))+(((Inputs!$B$12*(1+Inputs!$B$13/100))-(Inputs!$B$12*(1+Inputs!$B$13/100)))+0.25*(Inputs!$B$14-Inputs!$B$14))*(1+Inputs!$B$7/100))*(F1802/100)</f>
        <v/>
      </c>
      <c r="K1802">
        <f>J1802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1803=TRUE,F1803,0)/100)*(1+(IF(Skills!A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1825=TRUE)*(F1825-Calc!F26)),(Inputs!$B$23+((C1830=TRUE)*(F1830-Calc!F31))+(IF(ArtifactsInput!$M$15,CHOOSE(ArtifactsInput!$N$15+1,25,30,35,40,45,50)/100*(Inputs!$B$11-Inputs!$B$11),0))))/100+(Inputs!$B$23+((C1830=TRUE)*(F1830-Calc!F31))+(IF(ArtifactsInput!$M$15,CHOOSE(ArtifactsInput!$N$15+1,25,30,35,40,45,50)/100*(Inputs!$B$11-Inputs!$B$11),0)))/100)/2</f>
        <v/>
      </c>
      <c r="M1802">
        <f>L1802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IF(B1844=0,0,O1802/B1844)</f>
        <v/>
      </c>
      <c r="Q1802">
        <f>IFERROR(1/(IF(Inputs!$B$38="pvp",15,MAX(0.1,1/B1836-IF(FALSE=TRUE,Inputs!$B$32,0)))*(1-IF(AND(ArtifactsInput!$M$27,Inputs!$B$4="Chapter Hunt"),CHOOSE(ArtifactsInput!$N$27+1,20,24,28,32,36,40),0)/100)),0)</f>
        <v/>
      </c>
      <c r="R1802">
        <f>IF(AND(Inputs!$B$38&lt;&gt;"pvp",Inputs!$B$43&gt;0),IF(MAX(0,Inputs!$B$43-B1841)&lt;=0,0,(INT(MAX(0,Inputs!$B$43-B1841)/(IF(Inputs!$B$38="pvp",15,MAX(0.1,1/B1836-IF(FALSE=TRUE,Inputs!$B$32,0)))*(1-IF(AND(ArtifactsInput!$M$27,Inputs!$B$4="Chapter Hunt"),CHOOSE(ArtifactsInput!$N$27+1,20,24,28,32,36,40),0)/100)))+1)),0)</f>
        <v/>
      </c>
      <c r="S1802">
        <f>IFERROR(O1802/N1802,0)</f>
        <v/>
      </c>
      <c r="T1802">
        <f>IF(C1802,(H1802*N1802*IF(AND(Inputs!$B$38&lt;&gt;"pvp",Inputs!$B$43&gt;0),((Skills!G3*((R1802-1)*IF(Skills!H3&gt;0,INT(Skills!I3/Skills!H3+0.000000001),1)+IF(Skills!H3&gt;0,INT(MIN(Skills!I3,MAX(0,MAX(0,Inputs!$B$43-B1841)-((R1802-1)*(IF(Inputs!$B$38="pvp",15,MAX(0.1,1/B1836-IF(FALSE=TRUE,Inputs!$B$32,0)))*(1-IF(AND(ArtifactsInput!$M$27,Inputs!$B$4="Chapter Hunt"),CHOOSE(ArtifactsInput!$N$27+1,20,24,28,32,36,40),0)/100)))))/Skills!H3+0.000000001),1)))/Inputs!$B$43),G1802*Q1802)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INDEX(FactorTable!$B$2:$Y$301, MATCH(ROUND(MIN(300,MAX(1,U1801)),0), FactorTable!$A$2:$A$301,0), 22)</f>
        <v/>
      </c>
      <c r="V1802">
        <f>IF(C1802,(H1802*N1802*IF(AND(Inputs!$B$38&lt;&gt;"pvp",Inputs!$B$43&gt;0),((Skills!G3*((R1802-1)*IF(Skills!H3&gt;0,INT(Skills!I3/Skills!H3+0.000000001),1)+IF(Skills!H3&gt;0,INT(MIN(Skills!I3,MAX(0,MAX(0,Inputs!$B$43-B1841)-((R1802-1)*(IF(Inputs!$B$38="pvp",15,MAX(0.1,1/B1836-IF(FALSE=TRUE,Inputs!$B$32,0)))*(1-IF(AND(ArtifactsInput!$M$27,Inputs!$B$4="Chapter Hunt"),CHOOSE(ArtifactsInput!$N$27+1,20,24,28,32,36,40),0)/100)))))/Skills!H3+0.000000001),1)))/Inputs!$B$43),G1802*Q1802))*IF(Inputs!$B$38="pvp",1,(1+(Inputs!$B$21+Skills!Q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Skills!A4</f>
        <v/>
      </c>
      <c r="B1803">
        <f>Skills!B4</f>
        <v/>
      </c>
      <c r="C1803">
        <f>Inputs!$B$3&gt;=105</f>
        <v/>
      </c>
      <c r="D1803">
        <f>IF(Skills!C4=1,60+Inputs!$B$25+Inputs!$B$29,IF(Skills!C4=2,90+Inputs!$B$26+Inputs!$B$29,IF(Skills!C4=3,120+Inputs!$B$27+Inputs!$B$29,MAX(0,(Inputs!$B$3-100)*3)+Inputs!$B$28+Inputs!$B$29)))</f>
        <v/>
      </c>
      <c r="E1803">
        <f>INDEX(FactorTable!$B$2:$Y$301, MATCH(ROUND(MIN(300,MAX(1,D1803)),0), FactorTable!$A$2:$A$301,0), Skills!M4+1)</f>
        <v/>
      </c>
      <c r="F1803">
        <f>IF(Skills!N4=TRUE,(Skills!L4/10)*(E1803/1000),Skills!L4/10)+Skills!O4</f>
        <v/>
      </c>
      <c r="G1803" t="inlineStr"/>
      <c r="H1803" t="inlineStr"/>
      <c r="I1803" t="inlineStr">
        <is>
          <t>1</t>
        </is>
      </c>
      <c r="J1803" t="inlineStr"/>
      <c r="K1803" t="inlineStr"/>
      <c r="L1803" t="inlineStr"/>
      <c r="M1803" t="inlineStr"/>
      <c r="N1803" t="inlineStr"/>
      <c r="O1803" t="inlineStr"/>
      <c r="P1803" t="inlineStr"/>
      <c r="Q1803" t="inlineStr"/>
      <c r="R1803" t="inlineStr"/>
      <c r="S1803" t="inlineStr"/>
      <c r="T1803" t="inlineStr"/>
      <c r="U1803">
        <f>290*U1802/1000</f>
        <v/>
      </c>
      <c r="V1803" t="inlineStr"/>
    </row>
    <row r="1804">
      <c r="A1804">
        <f>Skills!A5</f>
        <v/>
      </c>
      <c r="B1804">
        <f>Skills!B5</f>
        <v/>
      </c>
      <c r="C1804">
        <f>Inputs!$B$3&gt;=35</f>
        <v/>
      </c>
      <c r="D1804">
        <f>IF(Skills!C5=1,60+Inputs!$B$25+Inputs!$B$29,IF(Skills!C5=2,90+Inputs!$B$26+Inputs!$B$29,IF(Skills!C5=3,120+Inputs!$B$27+Inputs!$B$29,MAX(0,(Inputs!$B$3-100)*3)+Inputs!$B$28+Inputs!$B$29)))</f>
        <v/>
      </c>
      <c r="E1804">
        <f>INDEX(FactorTable!$B$2:$Y$301, MATCH(ROUND(MIN(300,MAX(1,D1804)),0), FactorTable!$A$2:$A$301,0), Skills!M5+1)</f>
        <v/>
      </c>
      <c r="F1804">
        <f>IF(Skills!N5=TRUE,(Skills!L5/10)*(E1804/1000),Skills!L5/10)+Skills!O5</f>
        <v/>
      </c>
      <c r="G1804">
        <f>Skills!G5*IF(Skills!H5&gt;0,INT(IF(Inputs!$B$38="pvp",MIN(Skills!I5,15),Skills!I5)/Skills!H5+0.000000001),1)</f>
        <v/>
      </c>
      <c r="H1804">
        <f>1-(1-Skills!J5/100)^Skills!K5</f>
        <v/>
      </c>
      <c r="I1804" t="inlineStr">
        <is>
          <t>1</t>
        </is>
      </c>
      <c r="J1804">
        <f>((Inputs!$B$6*(1+Inputs!$B$7/100))+(((Inputs!$B$12*(1+Inputs!$B$13/100))-(Inputs!$B$12*(1+Inputs!$B$13/100)))+0.25*(Inputs!$B$14-Inputs!$B$14))*(1+Inputs!$B$7/100))*(F1804/100)</f>
        <v/>
      </c>
      <c r="K1804">
        <f>J1804*(1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1811=TRUE,F1811,0)/100)*(1+(IF(Skills!A5="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1825=TRUE)*(F1825-Calc!F26)),(Inputs!$B$23+((C1830=TRUE)*(F1830-Calc!F31))+(IF(ArtifactsInput!$M$15,CHOOSE(ArtifactsInput!$N$15+1,25,30,35,40,45,50)/100*(Inputs!$B$11-Inputs!$B$11),0))))/100+(Inputs!$B$23+((C1830=TRUE)*(F1830-Calc!F31))+(IF(ArtifactsInput!$M$15,CHOOSE(ArtifactsInput!$N$15+1,25,30,35,40,45,50)/100*(Inputs!$B$11-Inputs!$B$11),0)))/100)/2</f>
        <v/>
      </c>
      <c r="M1804">
        <f>L1804*(1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IF(B1844=0,0,O1804/B1844)</f>
        <v/>
      </c>
      <c r="Q1804">
        <f>IFERROR(1/(IF(Inputs!$B$38="pvp",15,MAX(0.1,Skills!D5-IF(TRUE=TRUE,Inputs!$B$32,0)))*(1-IF(AND(ArtifactsInput!$M$27,Inputs!$B$4="Chapter Hunt"),CHOOSE(ArtifactsInput!$N$27+1,20,24,28,32,36,40),0)/100)),0)</f>
        <v/>
      </c>
      <c r="R1804">
        <f>IF(AND(Inputs!$B$38&lt;&gt;"pvp",Inputs!$B$43&gt;0),IF(MAX(0,Inputs!$B$43-B1841)&lt;=0,0,(INT(MAX(0,Inputs!$B$43-B1841)/(IF(Inputs!$B$38="pvp",15,MAX(0.1,Skills!D5-IF(TRUE=TRUE,Inputs!$B$32,0)))*(1-IF(AND(ArtifactsInput!$M$27,Inputs!$B$4="Chapter Hunt"),CHOOSE(ArtifactsInput!$N$27+1,20,24,28,32,36,40),0)/100)))+1)),0)</f>
        <v/>
      </c>
      <c r="S1804">
        <f>IFERROR(O1804/N1804,0)</f>
        <v/>
      </c>
      <c r="T1804">
        <f>IF(C1804,(H1804*N1804*IF(AND(Inputs!$B$38&lt;&gt;"pvp",Inputs!$B$43&gt;0),((Skills!G5*((R1804-1)*IF(Skills!H5&gt;0,INT(Skills!I5/Skills!H5+0.000000001),1)+IF(Skills!H5&gt;0,INT(MIN(Skills!I5,MAX(0,MAX(0,Inputs!$B$43-B1841)-((R1804-1)*(IF(Inputs!$B$38="pvp",15,MAX(0.1,Skills!D5-IF(TRUE=TRUE,Inputs!$B$32,0)))*(1-IF(AND(ArtifactsInput!$M$27,Inputs!$B$4="Chapter Hunt"),CHOOSE(ArtifactsInput!$N$27+1,20,24,28,32,36,40),0)/100)))))/Skills!H5+0.000000001),1)))/Inputs!$B$43),G1804*Q1804)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5*((R1804-1)*IF(Skills!H5&gt;0,INT(Skills!I5/Skills!H5+0.000000001),1)+IF(Skills!H5&gt;0,INT(MIN(Skills!I5,MAX(0,MAX(0,Inputs!$B$43-B1841)-((R1804-1)*(IF(Inputs!$B$38="pvp",15,MAX(0.1,Skills!D5-IF(TRUE=TRUE,Inputs!$B$32,0)))*(1-IF(AND(ArtifactsInput!$M$27,Inputs!$B$4="Chapter Hunt"),CHOOSE(ArtifactsInput!$N$27+1,20,24,28,32,36,40),0)/100)))))/Skills!H5+0.000000001),1)))/Inputs!$B$43),G1804*Q1804))*IF(Inputs!$B$38="pvp",1,(1+(Inputs!$B$21+Skills!Q5+(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Skills!A6</f>
        <v/>
      </c>
      <c r="B1805">
        <f>Skills!B6</f>
        <v/>
      </c>
      <c r="C1805">
        <f>Inputs!$B$3&gt;=40</f>
        <v/>
      </c>
      <c r="D1805">
        <f>IF(Skills!C6=1,60+Inputs!$B$25+Inputs!$B$29,IF(Skills!C6=2,90+Inputs!$B$26+Inputs!$B$29,IF(Skills!C6=3,120+Inputs!$B$27+Inputs!$B$29,MAX(0,(Inputs!$B$3-100)*3)+Inputs!$B$28+Inputs!$B$29)))</f>
        <v/>
      </c>
      <c r="E1805">
        <f>INDEX(FactorTable!$B$2:$Y$301, MATCH(ROUND(MIN(300,MAX(1,D1805)),0), FactorTable!$A$2:$A$301,0), Skills!M6+1)</f>
        <v/>
      </c>
      <c r="F1805">
        <f>IF(Skills!N6=TRUE,(Skills!L6/10)*(E1805/1000),Skills!L6/10)+Skills!O6</f>
        <v/>
      </c>
      <c r="G1805">
        <f>Skills!G6*IF(Skills!H6&gt;0,INT(IF(Inputs!$B$38="pvp",MIN(Skills!I6,15),Skills!I6)/Skills!H6+0.000000001),1)</f>
        <v/>
      </c>
      <c r="H1805">
        <f>1-(1-Skills!J6/100)^Skills!K6</f>
        <v/>
      </c>
      <c r="I1805" t="inlineStr">
        <is>
          <t>1</t>
        </is>
      </c>
      <c r="J1805">
        <f>((Inputs!$B$6*(1+Inputs!$B$7/100))+(((Inputs!$B$12*(1+Inputs!$B$13/100))-(Inputs!$B$12*(1+Inputs!$B$13/100)))+0.25*(Inputs!$B$14-Inputs!$B$14))*(1+Inputs!$B$7/100))*(F1805/100)</f>
        <v/>
      </c>
      <c r="K1805">
        <f>J1805*(1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1806=TRUE,F1806,0)/100)*(1+(IF(Skills!A6="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1825=TRUE)*(F1825-Calc!F26)),(Inputs!$B$23+((C1830=TRUE)*(F1830-Calc!F31))+(IF(ArtifactsInput!$M$15,CHOOSE(ArtifactsInput!$N$15+1,25,30,35,40,45,50)/100*(Inputs!$B$11-Inputs!$B$11),0))))/100+(Inputs!$B$23+((C1830=TRUE)*(F1830-Calc!F31))+(IF(ArtifactsInput!$M$15,CHOOSE(ArtifactsInput!$N$15+1,25,30,35,40,45,50)/100*(Inputs!$B$11-Inputs!$B$11),0)))/100)/2</f>
        <v/>
      </c>
      <c r="M1805">
        <f>L1805*(1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IF(B1844=0,0,O1805/B1844)</f>
        <v/>
      </c>
      <c r="Q1805">
        <f>IFERROR(1/(IF(Inputs!$B$38="pvp",15,MAX(0.1,1-0.4*MIN(1,(B1836-1)/1.5)-IF(FALSE=TRUE,Inputs!$B$32,0)))*(1-IF(AND(ArtifactsInput!$M$27,Inputs!$B$4="Chapter Hunt"),CHOOSE(ArtifactsInput!$N$27+1,20,24,28,32,36,40),0)/100)),0)</f>
        <v/>
      </c>
      <c r="R1805">
        <f>IF(AND(Inputs!$B$38&lt;&gt;"pvp",Inputs!$B$43&gt;0),IF(MAX(0,Inputs!$B$43-B1841)&lt;=0,0,(INT(MAX(0,Inputs!$B$43-B1841)/(IF(Inputs!$B$38="pvp",15,MAX(0.1,1-0.4*MIN(1,(B1836-1)/1.5)-IF(FALSE=TRUE,Inputs!$B$32,0)))*(1-IF(AND(ArtifactsInput!$M$27,Inputs!$B$4="Chapter Hunt"),CHOOSE(ArtifactsInput!$N$27+1,20,24,28,32,36,40),0)/100)))+1)),0)</f>
        <v/>
      </c>
      <c r="S1805">
        <f>IFERROR(O1805/N1805,0)</f>
        <v/>
      </c>
      <c r="T1805">
        <f>IF(C1805,(H1805*N1805*IF(AND(Inputs!$B$38&lt;&gt;"pvp",Inputs!$B$43&gt;0),((Skills!G6*((R1805-1)*IF(Skills!H6&gt;0,INT(Skills!I6/Skills!H6+0.000000001),1)+IF(Skills!H6&gt;0,INT(MIN(Skills!I6,MAX(0,MAX(0,Inputs!$B$43-B1841)-((R1805-1)*(IF(Inputs!$B$38="pvp",15,MAX(0.1,1-0.4*MIN(1,(B1836-1)/1.5)-IF(FALSE=TRUE,Inputs!$B$32,0)))*(1-IF(AND(ArtifactsInput!$M$27,Inputs!$B$4="Chapter Hunt"),CHOOSE(ArtifactsInput!$N$27+1,20,24,28,32,36,40),0)/100)))))/Skills!H6+0.000000001),1)))/Inputs!$B$43),G1805*Q1805)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IF(AND(Inputs!$B$38&lt;&gt;"pvp",Inputs!$B$43&gt;0),((Skills!G6*((R1805-1)*IF(Skills!H6&gt;0,INT(Skills!I6/Skills!H6+0.000000001),1)+IF(Skills!H6&gt;0,INT(MIN(Skills!I6,MAX(0,MAX(0,Inputs!$B$43-B1841)-((R1805-1)*(IF(Inputs!$B$38="pvp",15,MAX(0.1,1-0.4*MIN(1,(B1836-1)/1.5)-IF(FALSE=TRUE,Inputs!$B$32,0)))*(1-IF(AND(ArtifactsInput!$M$27,Inputs!$B$4="Chapter Hunt"),CHOOSE(ArtifactsInput!$N$27+1,20,24,28,32,36,40),0)/100)))))/Skills!H6+0.000000001),1)))/Inputs!$B$43),G1805*Q1805))*IF(Inputs!$B$38="pvp",1,(1+(Inputs!$B$21+Skills!Q6+(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Skills!A7</f>
        <v/>
      </c>
      <c r="B1806">
        <f>Skills!B7</f>
        <v/>
      </c>
      <c r="C1806">
        <f>Inputs!$B$3&gt;=107</f>
        <v/>
      </c>
      <c r="D1806">
        <f>IF(Skills!C7=1,60+Inputs!$B$25+Inputs!$B$29,IF(Skills!C7=2,90+Inputs!$B$26+Inputs!$B$29,IF(Skills!C7=3,120+Inputs!$B$27+Inputs!$B$29,MAX(0,(Inputs!$B$3-100)*3)+Inputs!$B$28+Inputs!$B$29)))</f>
        <v/>
      </c>
      <c r="E1806">
        <f>INDEX(FactorTable!$B$2:$Y$301, MATCH(ROUND(MIN(300,MAX(1,D1806)),0), FactorTable!$A$2:$A$301,0), Skills!M7+1)</f>
        <v/>
      </c>
      <c r="F1806">
        <f>IF(Skills!N7=TRUE,(Skills!L7/10)*(E1806/1000),Skills!L7/10)+Skills!O7</f>
        <v/>
      </c>
      <c r="G1806" t="inlineStr"/>
      <c r="H1806" t="inlineStr"/>
      <c r="I1806" t="inlineStr">
        <is>
          <t>1</t>
        </is>
      </c>
      <c r="J1806" t="inlineStr"/>
      <c r="K1806" t="inlineStr"/>
      <c r="L1806" t="inlineStr"/>
      <c r="M1806" t="inlineStr"/>
      <c r="N1806" t="inlineStr"/>
      <c r="O1806" t="inlineStr"/>
      <c r="P1806" t="inlineStr"/>
      <c r="Q1806" t="inlineStr"/>
      <c r="R1806" t="inlineStr"/>
      <c r="S1806" t="inlineStr"/>
      <c r="T1806" t="inlineStr"/>
      <c r="V1806" t="inlineStr"/>
    </row>
    <row r="1807">
      <c r="A1807">
        <f>Skills!A8</f>
        <v/>
      </c>
      <c r="B1807">
        <f>Skills!B8</f>
        <v/>
      </c>
      <c r="C1807">
        <f>Inputs!$B$3&gt;=130</f>
        <v/>
      </c>
      <c r="D1807">
        <f>IF(Skills!C8=1,60+Inputs!$B$25+Inputs!$B$29,IF(Skills!C8=2,90+Inputs!$B$26+Inputs!$B$29,IF(Skills!C8=3,120+Inputs!$B$27+Inputs!$B$29,MAX(0,(Inputs!$B$3-100)*3)+Inputs!$B$28+Inputs!$B$29)))</f>
        <v/>
      </c>
      <c r="E1807">
        <f>INDEX(FactorTable!$B$2:$Y$301, MATCH(ROUND(MIN(300,MAX(1,D1807)),0), FactorTable!$A$2:$A$301,0), Skills!M8+1)</f>
        <v/>
      </c>
      <c r="F1807">
        <f>IF(Skills!N8=TRUE,(Skills!L8/10)*(E1807/1000),Skills!L8/10)+Skills!O8</f>
        <v/>
      </c>
      <c r="G1807">
        <f>Skills!G8*IF(Skills!H8&gt;0,INT(IF(Inputs!$B$38="pvp",MIN(Skills!I8,15),Skills!I8)/Skills!H8+0.000000001),1)</f>
        <v/>
      </c>
      <c r="H1807">
        <f>1-(1-Skills!J8/100)^Skills!K8</f>
        <v/>
      </c>
      <c r="I1807" t="inlineStr">
        <is>
          <t>1</t>
        </is>
      </c>
      <c r="J1807">
        <f>((Inputs!$B$6*(1+Inputs!$B$7/100))+(((Inputs!$B$12*(1+Inputs!$B$13/100))-(Inputs!$B$12*(1+Inputs!$B$13/100)))+0.25*(Inputs!$B$14-Inputs!$B$14))*(1+Inputs!$B$7/100))*(F1807/100)</f>
        <v/>
      </c>
      <c r="K1807">
        <f>J1807*(1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1807)</f>
        <v/>
      </c>
      <c r="L1807">
        <f>K1807*(MIN(Inputs!$B$22+((C1825=TRUE)*(F1825-Calc!F26)),(Inputs!$B$23+((C1830=TRUE)*(F1830-Calc!F31))+(IF(ArtifactsInput!$M$15,CHOOSE(ArtifactsInput!$N$15+1,25,30,35,40,45,50)/100*(Inputs!$B$11-Inputs!$B$11),0))))/100+(Inputs!$B$23+((C1830=TRUE)*(F1830-Calc!F31))+(IF(ArtifactsInput!$M$15,CHOOSE(ArtifactsInput!$N$15+1,25,30,35,40,45,50)/100*(Inputs!$B$11-Inputs!$B$11),0)))/100)/2</f>
        <v/>
      </c>
      <c r="M1807">
        <f>L1807*(1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7">
        <f>L1807*(1-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1807*(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7">
        <f>(1-Summary!$B$11)*T1807+Summary!$B$11*V1807</f>
        <v/>
      </c>
      <c r="P1807">
        <f>IF(B1844=0,0,O1807/B1844)</f>
        <v/>
      </c>
      <c r="Q1807">
        <f>IFERROR(1/(IF(Inputs!$B$38="pvp",15,MAX(0.1,1-0.4*MIN(1,(B1836-1)/1.5)-IF(FALSE=TRUE,Inputs!$B$32,0)))*(1-IF(AND(ArtifactsInput!$M$27,Inputs!$B$4="Chapter Hunt"),CHOOSE(ArtifactsInput!$N$27+1,20,24,28,32,36,40),0)/100)),0)</f>
        <v/>
      </c>
      <c r="R1807">
        <f>IF(AND(Inputs!$B$38&lt;&gt;"pvp",Inputs!$B$43&gt;0),IF(MAX(0,Inputs!$B$43-B1841)&lt;=0,0,(INT(MAX(0,Inputs!$B$43-B1841)/(IF(Inputs!$B$38="pvp",15,MAX(0.1,1-0.4*MIN(1,(B1836-1)/1.5)-IF(FALSE=TRUE,Inputs!$B$32,0)))*(1-IF(AND(ArtifactsInput!$M$27,Inputs!$B$4="Chapter Hunt"),CHOOSE(ArtifactsInput!$N$27+1,20,24,28,32,36,40),0)/100)))+1)),0)</f>
        <v/>
      </c>
      <c r="S1807">
        <f>IFERROR(O1807/N1807,0)</f>
        <v/>
      </c>
      <c r="T1807">
        <f>IF(C1807,(H1807*N1807*IF(AND(Inputs!$B$38&lt;&gt;"pvp",Inputs!$B$43&gt;0),((Skills!G8*((R1807-1)*IF(Skills!H8&gt;0,INT(Skills!I8/Skills!H8+0.000000001),1)+IF(Skills!H8&gt;0,INT(MIN(Skills!I8,MAX(0,MAX(0,Inputs!$B$43-B1841)-((R1807-1)*(IF(Inputs!$B$38="pvp",15,MAX(0.1,1-0.4*MIN(1,(B1836-1)/1.5)-IF(FALSE=TRUE,Inputs!$B$32,0)))*(1-IF(AND(ArtifactsInput!$M$27,Inputs!$B$4="Chapter Hunt"),CHOOSE(ArtifactsInput!$N$27+1,20,24,28,32,36,40),0)/100)))))/Skills!H8+0.000000001),1)))/Inputs!$B$43),G1807*Q1807)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7">
        <f>IF(C1807,(H1807*N1807*IF(AND(Inputs!$B$38&lt;&gt;"pvp",Inputs!$B$43&gt;0),((Skills!G8*((R1807-1)*IF(Skills!H8&gt;0,INT(Skills!I8/Skills!H8+0.000000001),1)+IF(Skills!H8&gt;0,INT(MIN(Skills!I8,MAX(0,MAX(0,Inputs!$B$43-B1841)-((R1807-1)*(IF(Inputs!$B$38="pvp",15,MAX(0.1,1-0.4*MIN(1,(B1836-1)/1.5)-IF(FALSE=TRUE,Inputs!$B$32,0)))*(1-IF(AND(ArtifactsInput!$M$27,Inputs!$B$4="Chapter Hunt"),CHOOSE(ArtifactsInput!$N$27+1,20,24,28,32,36,40),0)/100)))))/Skills!H8+0.000000001),1)))/Inputs!$B$43),G1807*Q1807))*IF(Inputs!$B$38="pvp",1,(1+(Inputs!$B$21+Skills!Q8+(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8">
      <c r="A1808">
        <f>Skills!A9</f>
        <v/>
      </c>
      <c r="B1808">
        <f>Skills!B9</f>
        <v/>
      </c>
      <c r="C1808">
        <f>Inputs!$B$3&gt;=69</f>
        <v/>
      </c>
      <c r="D1808">
        <f>IF(Skills!C9=1,60+Inputs!$B$25+Inputs!$B$29,IF(Skills!C9=2,90+Inputs!$B$26+Inputs!$B$29,IF(Skills!C9=3,120+Inputs!$B$27+Inputs!$B$29,MAX(0,(Inputs!$B$3-100)*3)+Inputs!$B$28+Inputs!$B$29)))</f>
        <v/>
      </c>
      <c r="E1808">
        <f>INDEX(FactorTable!$B$2:$Y$301, MATCH(ROUND(MIN(300,MAX(1,D1808)),0), FactorTable!$A$2:$A$301,0), Skills!M9+1)</f>
        <v/>
      </c>
      <c r="F1808">
        <f>IF(Skills!N9=TRUE,(Skills!L9/10)*(E1808/1000),Skills!L9/10)+Skills!O9</f>
        <v/>
      </c>
      <c r="G1808">
        <f>Skills!G9*IF(Skills!H9&gt;0,INT(IF(Inputs!$B$38="pvp",MIN(Skills!I9,15),Skills!I9)/Skills!H9+0.000000001),1)</f>
        <v/>
      </c>
      <c r="H1808">
        <f>1-(1-Skills!J9/100)^Skills!K9</f>
        <v/>
      </c>
      <c r="I1808" t="inlineStr">
        <is>
          <t>1</t>
        </is>
      </c>
      <c r="J1808">
        <f>((Inputs!$B$6*(1+Inputs!$B$7/100))+(((Inputs!$B$12*(1+Inputs!$B$13/100))-(Inputs!$B$12*(1+Inputs!$B$13/100)))+0.25*(Inputs!$B$14-Inputs!$B$14))*(1+Inputs!$B$7/100))*(F1808/100)</f>
        <v/>
      </c>
      <c r="K1808">
        <f>J1808*(1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1811=TRUE,F1811,0)/100)*(1+(IF(Skills!A9="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1808)</f>
        <v/>
      </c>
      <c r="L1808">
        <f>K1808*(MIN(Inputs!$B$22+((C1825=TRUE)*(F1825-Calc!F26)),(Inputs!$B$23+((C1830=TRUE)*(F1830-Calc!F31))+(IF(ArtifactsInput!$M$15,CHOOSE(ArtifactsInput!$N$15+1,25,30,35,40,45,50)/100*(Inputs!$B$11-Inputs!$B$11),0))))/100+(Inputs!$B$23+((C1830=TRUE)*(F1830-Calc!F31))+(IF(ArtifactsInput!$M$15,CHOOSE(ArtifactsInput!$N$15+1,25,30,35,40,45,50)/100*(Inputs!$B$11-Inputs!$B$11),0)))/100)/2</f>
        <v/>
      </c>
      <c r="M1808">
        <f>L1808*(1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8">
        <f>L1808*(1-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1808*(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8">
        <f>(1-Summary!$B$11)*T1808+Summary!$B$11*V1808</f>
        <v/>
      </c>
      <c r="P1808">
        <f>IF(B1844=0,0,O1808/B1844)</f>
        <v/>
      </c>
      <c r="Q1808">
        <f>IFERROR(1/(IF(Inputs!$B$38="pvp",15,MAX(0.1,Skills!D9-IF(TRUE=TRUE,Inputs!$B$32,0)))*(1-IF(AND(ArtifactsInput!$M$27,Inputs!$B$4="Chapter Hunt"),CHOOSE(ArtifactsInput!$N$27+1,20,24,28,32,36,40),0)/100)),0)</f>
        <v/>
      </c>
      <c r="R1808">
        <f>IF(AND(Inputs!$B$38&lt;&gt;"pvp",Inputs!$B$43&gt;0),IF(MAX(0,Inputs!$B$43-B1841)&lt;=0,0,(INT(MAX(0,Inputs!$B$43-B1841)/(IF(Inputs!$B$38="pvp",15,MAX(0.1,Skills!D9-IF(TRUE=TRUE,Inputs!$B$32,0)))*(1-IF(AND(ArtifactsInput!$M$27,Inputs!$B$4="Chapter Hunt"),CHOOSE(ArtifactsInput!$N$27+1,20,24,28,32,36,40),0)/100)))+1)),0)</f>
        <v/>
      </c>
      <c r="S1808">
        <f>IFERROR(O1808/N1808,0)</f>
        <v/>
      </c>
      <c r="T1808">
        <f>IF(C1808,(H1808*N1808*IF(AND(Inputs!$B$38&lt;&gt;"pvp",Inputs!$B$43&gt;0),((Skills!G9*((R1808-1)*IF(Skills!H9&gt;0,INT(Skills!I9/Skills!H9+0.000000001),1)+IF(Skills!H9&gt;0,INT(MIN(Skills!I9,MAX(0,MAX(0,Inputs!$B$43-B1841)-((R1808-1)*(IF(Inputs!$B$38="pvp",15,MAX(0.1,Skills!D9-IF(TRUE=TRUE,Inputs!$B$32,0)))*(1-IF(AND(ArtifactsInput!$M$27,Inputs!$B$4="Chapter Hunt"),CHOOSE(ArtifactsInput!$N$27+1,20,24,28,32,36,40),0)/100)))))/Skills!H9+0.000000001),1)))/Inputs!$B$43),G1808*Q1808)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8">
        <f>IF(C1808,(H1808*N1808*IF(AND(Inputs!$B$38&lt;&gt;"pvp",Inputs!$B$43&gt;0),((Skills!G9*((R1808-1)*IF(Skills!H9&gt;0,INT(Skills!I9/Skills!H9+0.000000001),1)+IF(Skills!H9&gt;0,INT(MIN(Skills!I9,MAX(0,MAX(0,Inputs!$B$43-B1841)-((R1808-1)*(IF(Inputs!$B$38="pvp",15,MAX(0.1,Skills!D9-IF(TRUE=TRUE,Inputs!$B$32,0)))*(1-IF(AND(ArtifactsInput!$M$27,Inputs!$B$4="Chapter Hunt"),CHOOSE(ArtifactsInput!$N$27+1,20,24,28,32,36,40),0)/100)))))/Skills!H9+0.000000001),1)))/Inputs!$B$43),G1808*Q1808))*IF(Inputs!$B$38="pvp",1,(1+(Inputs!$B$21+Skills!Q9+(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9">
      <c r="A1809">
        <f>Skills!A10</f>
        <v/>
      </c>
      <c r="B1809">
        <f>Skills!B10</f>
        <v/>
      </c>
      <c r="C1809">
        <f>Inputs!$B$3&gt;=63</f>
        <v/>
      </c>
      <c r="D1809">
        <f>IF(Skills!C10=1,60+Inputs!$B$25+Inputs!$B$29,IF(Skills!C10=2,90+Inputs!$B$26+Inputs!$B$29,IF(Skills!C10=3,120+Inputs!$B$27+Inputs!$B$29,MAX(0,(Inputs!$B$3-100)*3)+Inputs!$B$28+Inputs!$B$29)))</f>
        <v/>
      </c>
      <c r="E1809">
        <f>INDEX(FactorTable!$B$2:$Y$301, MATCH(ROUND(MIN(300,MAX(1,D1809)),0), FactorTable!$A$2:$A$301,0), Skills!M10+1)</f>
        <v/>
      </c>
      <c r="F1809">
        <f>IF(Skills!N10=TRUE,(Skills!L10/10)*(E1809/1000),Skills!L10/10)+Skills!O10</f>
        <v/>
      </c>
      <c r="G1809">
        <f>Skills!G10*IF(Skills!H10&gt;0,INT(IF(Inputs!$B$38="pvp",MIN(Skills!I10,15),Skills!I10)/Skills!H10+0.000000001),1)</f>
        <v/>
      </c>
      <c r="H1809">
        <f>1-(1-Skills!J10/100)^Skills!K10</f>
        <v/>
      </c>
      <c r="I1809" t="inlineStr">
        <is>
          <t>1</t>
        </is>
      </c>
      <c r="J1809">
        <f>((Inputs!$B$6*(1+Inputs!$B$7/100))+(((Inputs!$B$12*(1+Inputs!$B$13/100))-(Inputs!$B$12*(1+Inputs!$B$13/100)))+0.25*(Inputs!$B$14-Inputs!$B$14))*(1+Inputs!$B$7/100))*(F1809/100)</f>
        <v/>
      </c>
      <c r="K1809">
        <f>J1809*(1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1811=TRUE,F1811,0)/100)*(1+(IF(Skills!A10="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1809)</f>
        <v/>
      </c>
      <c r="L1809">
        <f>K1809*(MIN(Inputs!$B$22+((C1825=TRUE)*(F1825-Calc!F26)),(Inputs!$B$23+((C1830=TRUE)*(F1830-Calc!F31))+(IF(ArtifactsInput!$M$15,CHOOSE(ArtifactsInput!$N$15+1,25,30,35,40,45,50)/100*(Inputs!$B$11-Inputs!$B$11),0))))/100+(Inputs!$B$23+((C1830=TRUE)*(F1830-Calc!F31))+(IF(ArtifactsInput!$M$15,CHOOSE(ArtifactsInput!$N$15+1,25,30,35,40,45,50)/100*(Inputs!$B$11-Inputs!$B$11),0)))/100)/2</f>
        <v/>
      </c>
      <c r="M1809">
        <f>L1809*(1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9">
        <f>L1809*(1-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1809*(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9">
        <f>(1-Summary!$B$11)*T1809+Summary!$B$11*V1809</f>
        <v/>
      </c>
      <c r="P1809">
        <f>IF(B1844=0,0,O1809/B1844)</f>
        <v/>
      </c>
      <c r="Q1809">
        <f>IFERROR(1/(IF(Inputs!$B$38="pvp",15,MAX(0.1,Skills!D10-IF(TRUE=TRUE,Inputs!$B$32,0)))*(1-IF(AND(ArtifactsInput!$M$27,Inputs!$B$4="Chapter Hunt"),CHOOSE(ArtifactsInput!$N$27+1,20,24,28,32,36,40),0)/100)),0)</f>
        <v/>
      </c>
      <c r="R1809">
        <f>IF(AND(Inputs!$B$38&lt;&gt;"pvp",Inputs!$B$43&gt;0),IF(MAX(0,Inputs!$B$43-B1841)&lt;=0,0,(INT(MAX(0,Inputs!$B$43-B1841)/(IF(Inputs!$B$38="pvp",15,MAX(0.1,Skills!D10-IF(TRUE=TRUE,Inputs!$B$32,0)))*(1-IF(AND(ArtifactsInput!$M$27,Inputs!$B$4="Chapter Hunt"),CHOOSE(ArtifactsInput!$N$27+1,20,24,28,32,36,40),0)/100)))+1)),0)</f>
        <v/>
      </c>
      <c r="S1809">
        <f>IFERROR(O1809/N1809,0)</f>
        <v/>
      </c>
      <c r="T1809">
        <f>IF(C1809,(H1809*N1809*IF(AND(Inputs!$B$38&lt;&gt;"pvp",Inputs!$B$43&gt;0),((Skills!G10*((R1809-1)*IF(Skills!H10&gt;0,INT(Skills!I10/Skills!H10+0.000000001),1)+IF(Skills!H10&gt;0,INT(MIN(Skills!I10,MAX(0,MAX(0,Inputs!$B$43-B1841)-((R1809-1)*(IF(Inputs!$B$38="pvp",15,MAX(0.1,Skills!D10-IF(TRUE=TRUE,Inputs!$B$32,0)))*(1-IF(AND(ArtifactsInput!$M$27,Inputs!$B$4="Chapter Hunt"),CHOOSE(ArtifactsInput!$N$27+1,20,24,28,32,36,40),0)/100)))))/Skills!H10+0.000000001),1)))/Inputs!$B$43),G1809*Q1809)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9">
        <f>IF(C1809,(H1809*N1809*IF(AND(Inputs!$B$38&lt;&gt;"pvp",Inputs!$B$43&gt;0),((Skills!G10*((R1809-1)*IF(Skills!H10&gt;0,INT(Skills!I10/Skills!H10+0.000000001),1)+IF(Skills!H10&gt;0,INT(MIN(Skills!I10,MAX(0,MAX(0,Inputs!$B$43-B1841)-((R1809-1)*(IF(Inputs!$B$38="pvp",15,MAX(0.1,Skills!D10-IF(TRUE=TRUE,Inputs!$B$32,0)))*(1-IF(AND(ArtifactsInput!$M$27,Inputs!$B$4="Chapter Hunt"),CHOOSE(ArtifactsInput!$N$27+1,20,24,28,32,36,40),0)/100)))))/Skills!H10+0.000000001),1)))/Inputs!$B$43),G1809*Q1809))*IF(Inputs!$B$38="pvp",1,(1+(Inputs!$B$21+Skills!Q10+(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0">
      <c r="A1810">
        <f>Skills!A11</f>
        <v/>
      </c>
      <c r="B1810">
        <f>Skills!B11</f>
        <v/>
      </c>
      <c r="C1810">
        <f>Inputs!$B$3&gt;=103</f>
        <v/>
      </c>
      <c r="D1810">
        <f>IF(Skills!C11=1,60+Inputs!$B$25+Inputs!$B$29,IF(Skills!C11=2,90+Inputs!$B$26+Inputs!$B$29,IF(Skills!C11=3,120+Inputs!$B$27+Inputs!$B$29,MAX(0,(Inputs!$B$3-100)*3)+Inputs!$B$28+Inputs!$B$29)))</f>
        <v/>
      </c>
      <c r="E1810">
        <f>INDEX(FactorTable!$B$2:$Y$301, MATCH(ROUND(MIN(300,MAX(1,D1810)),0), FactorTable!$A$2:$A$301,0), Skills!M11+1)</f>
        <v/>
      </c>
      <c r="F1810">
        <f>IF(Skills!N11=TRUE,(Skills!L11/10)*(E1810/1000),Skills!L11/10)+Skills!O11</f>
        <v/>
      </c>
      <c r="G1810">
        <f>Skills!G11*IF(Skills!H11&gt;0,INT(IF(Inputs!$B$38="pvp",MIN(Skills!I11,15),Skills!I11)/Skills!H11+0.000000001),1)</f>
        <v/>
      </c>
      <c r="H1810">
        <f>1-(1-Skills!J11/100)^Skills!K11</f>
        <v/>
      </c>
      <c r="I1810" t="inlineStr">
        <is>
          <t>1</t>
        </is>
      </c>
      <c r="J1810">
        <f>((Inputs!$B$6*(1+Inputs!$B$7/100))+(((Inputs!$B$12*(1+Inputs!$B$13/100))-(Inputs!$B$12*(1+Inputs!$B$13/100)))+0.25*(Inputs!$B$14-Inputs!$B$14))*(1+Inputs!$B$7/100))*(F1810/100)</f>
        <v/>
      </c>
      <c r="K1810">
        <f>J1810*(1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C1825=TRUE)*(F1825-Calc!F26)),(Inputs!$B$23+((C1830=TRUE)*(F1830-Calc!F31))+(IF(ArtifactsInput!$M$15,CHOOSE(ArtifactsInput!$N$15+1,25,30,35,40,45,50)/100*(Inputs!$B$11-Inputs!$B$11),0))))/100+(Inputs!$B$23+((C1830=TRUE)*(F1830-Calc!F31))+(IF(ArtifactsInput!$M$15,CHOOSE(ArtifactsInput!$N$15+1,25,30,35,40,45,50)/100*(Inputs!$B$11-Inputs!$B$11),0)))/100)/2</f>
        <v/>
      </c>
      <c r="M1810">
        <f>L1810*(1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(1-Summary!$B$11)*T1810+Summary!$B$11*V1810</f>
        <v/>
      </c>
      <c r="P1810">
        <f>IF(B1844=0,0,O1810/B1844)</f>
        <v/>
      </c>
      <c r="Q1810">
        <f>IFERROR(1/(IF(Inputs!$B$38="pvp",15,MAX(0.1,Skills!D11-IF(TRUE=TRUE,Inputs!$B$32,0)))*(1-IF(AND(ArtifactsInput!$M$27,Inputs!$B$4="Chapter Hunt"),CHOOSE(ArtifactsInput!$N$27+1,20,24,28,32,36,40),0)/100)),0)</f>
        <v/>
      </c>
      <c r="R1810">
        <f>IF(AND(Inputs!$B$38&lt;&gt;"pvp",Inputs!$B$43&gt;0),IF(MAX(0,Inputs!$B$43-B1841)&lt;=0,0,(INT(MAX(0,Inputs!$B$43-B1841)/(IF(Inputs!$B$38="pvp",15,MAX(0.1,Skills!D11-IF(TRUE=TRUE,Inputs!$B$32,0)))*(1-IF(AND(ArtifactsInput!$M$27,Inputs!$B$4="Chapter Hunt"),CHOOSE(ArtifactsInput!$N$27+1,20,24,28,32,36,40),0)/100)))+1)),0)</f>
        <v/>
      </c>
      <c r="S1810">
        <f>IFERROR(O1810/N1810,0)</f>
        <v/>
      </c>
      <c r="T1810">
        <f>IF(C1810,(H1810*N1810*IF(AND(Inputs!$B$38&lt;&gt;"pvp",Inputs!$B$43&gt;0),((Skills!G11*((R1810-1)*IF(Skills!H11&gt;0,INT(Skills!I11/Skills!H11+0.000000001),1)+IF(Skills!H11&gt;0,INT(MIN(Skills!I11,MAX(0,MAX(0,Inputs!$B$43-B1841)-((R1810-1)*(IF(Inputs!$B$38="pvp",15,MAX(0.1,Skills!D11-IF(TRUE=TRUE,Inputs!$B$32,0)))*(1-IF(AND(ArtifactsInput!$M$27,Inputs!$B$4="Chapter Hunt"),CHOOSE(ArtifactsInput!$N$27+1,20,24,28,32,36,40),0)/100)))))/Skills!H11+0.000000001),1)))/Inputs!$B$43),G1810*Q1810)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0">
        <f>IF(C1810,(H1810*N1810*IF(AND(Inputs!$B$38&lt;&gt;"pvp",Inputs!$B$43&gt;0),((Skills!G11*((R1810-1)*IF(Skills!H11&gt;0,INT(Skills!I11/Skills!H11+0.000000001),1)+IF(Skills!H11&gt;0,INT(MIN(Skills!I11,MAX(0,MAX(0,Inputs!$B$43-B1841)-((R1810-1)*(IF(Inputs!$B$38="pvp",15,MAX(0.1,Skills!D11-IF(TRUE=TRUE,Inputs!$B$32,0)))*(1-IF(AND(ArtifactsInput!$M$27,Inputs!$B$4="Chapter Hunt"),CHOOSE(ArtifactsInput!$N$27+1,20,24,28,32,36,40),0)/100)))))/Skills!H11+0.000000001),1)))/Inputs!$B$43),G1810*Q1810))*IF(Inputs!$B$38="pvp",1,(1+(Inputs!$B$21+Skills!Q11+(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Skills!A12</f>
        <v/>
      </c>
      <c r="B1811">
        <f>Skills!B12</f>
        <v/>
      </c>
      <c r="C1811">
        <f>Inputs!$B$3&gt;=100</f>
        <v/>
      </c>
      <c r="D1811">
        <f>IF(Skills!C12=1,60+Inputs!$B$25+Inputs!$B$29,IF(Skills!C12=2,90+Inputs!$B$26+Inputs!$B$29,IF(Skills!C12=3,120+Inputs!$B$27+Inputs!$B$29,MAX(0,(Inputs!$B$3-100)*3)+Inputs!$B$28+Inputs!$B$29)))</f>
        <v/>
      </c>
      <c r="E1811">
        <f>INDEX(FactorTable!$B$2:$Y$301, MATCH(ROUND(MIN(300,MAX(1,D1811)),0), FactorTable!$A$2:$A$301,0), Skills!M12+1)</f>
        <v/>
      </c>
      <c r="F1811">
        <f>IF(Skills!N12=TRUE,(Skills!L12/10)*(E1811/1000),Skills!L12/10)+Skills!O12</f>
        <v/>
      </c>
      <c r="G1811" t="inlineStr"/>
      <c r="H1811" t="inlineStr"/>
      <c r="I1811" t="inlineStr">
        <is>
          <t>1</t>
        </is>
      </c>
      <c r="J1811" t="inlineStr"/>
      <c r="K1811" t="inlineStr"/>
      <c r="L1811" t="inlineStr"/>
      <c r="M1811" t="inlineStr"/>
      <c r="N1811" t="inlineStr"/>
      <c r="O1811" t="inlineStr"/>
      <c r="P1811" t="inlineStr"/>
      <c r="Q1811" t="inlineStr"/>
      <c r="R1811" t="inlineStr"/>
      <c r="S1811" t="inlineStr"/>
      <c r="T1811" t="inlineStr"/>
      <c r="V1811" t="inlineStr"/>
    </row>
    <row r="1812">
      <c r="A1812">
        <f>Skills!A13</f>
        <v/>
      </c>
      <c r="B1812">
        <f>Skills!B13</f>
        <v/>
      </c>
      <c r="C1812">
        <f>Inputs!$B$3&gt;=60</f>
        <v/>
      </c>
      <c r="D1812">
        <f>IF(Skills!C13=1,60+Inputs!$B$25+Inputs!$B$29,IF(Skills!C13=2,90+Inputs!$B$26+Inputs!$B$29,IF(Skills!C13=3,120+Inputs!$B$27+Inputs!$B$29,MAX(0,(Inputs!$B$3-100)*3)+Inputs!$B$28+Inputs!$B$29)))</f>
        <v/>
      </c>
      <c r="E1812">
        <f>INDEX(FactorTable!$B$2:$Y$301, MATCH(ROUND(MIN(300,MAX(1,D1812)),0), FactorTable!$A$2:$A$301,0), Skills!M13+1)</f>
        <v/>
      </c>
      <c r="F1812">
        <f>IF(Skills!N13=TRUE,(Skills!L13/10)*(E1812/1000),Skills!L13/10)+Skills!O13</f>
        <v/>
      </c>
      <c r="G1812">
        <f>Skills!G13*IF(Skills!H13&gt;0,INT(IF(Inputs!$B$38="pvp",MIN(Skills!I13,15),Skills!I13)/Skills!H13+0.000000001),1)</f>
        <v/>
      </c>
      <c r="H1812">
        <f>1-(1-Skills!J13/100)^Skills!K13</f>
        <v/>
      </c>
      <c r="I1812" t="inlineStr">
        <is>
          <t>1</t>
        </is>
      </c>
      <c r="J1812">
        <f>((Inputs!$B$6*(1+Inputs!$B$7/100))+(((Inputs!$B$12*(1+Inputs!$B$13/100))-(Inputs!$B$12*(1+Inputs!$B$13/100)))+0.25*(Inputs!$B$14-Inputs!$B$14))*(1+Inputs!$B$7/100))*(F1812/100)</f>
        <v/>
      </c>
      <c r="K1812">
        <f>J1812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1813=TRUE,F1813,0)/100)*(1+(IF(Skills!A13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1825=TRUE)*(F1825-Calc!F26)),(Inputs!$B$23+((C1830=TRUE)*(F1830-Calc!F31))+(IF(ArtifactsInput!$M$15,CHOOSE(ArtifactsInput!$N$15+1,25,30,35,40,45,50)/100*(Inputs!$B$11-Inputs!$B$11),0))))/100+(Inputs!$B$23+((C1830=TRUE)*(F1830-Calc!F31))+(IF(ArtifactsInput!$M$15,CHOOSE(ArtifactsInput!$N$15+1,25,30,35,40,45,50)/100*(Inputs!$B$11-Inputs!$B$11),0)))/100)/2</f>
        <v/>
      </c>
      <c r="M1812">
        <f>L1812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IF(B1844=0,0,O1812/B1844)</f>
        <v/>
      </c>
      <c r="Q1812">
        <f>IFERROR(1/(IF(Inputs!$B$38="pvp",15,MAX(0.1,IF(Inputs!$B$3&gt;=122,3,5)+1/(((20+30*(B1836-1)*100/150)/100)*B1836)-IF(FALSE=TRUE,Inputs!$B$32,0)))*(1-IF(AND(ArtifactsInput!$M$27,Inputs!$B$4="Chapter Hunt"),CHOOSE(ArtifactsInput!$N$27+1,20,24,28,32,36,40),0)/100)),0)</f>
        <v/>
      </c>
      <c r="R1812">
        <f>IF(AND(Inputs!$B$38&lt;&gt;"pvp",Inputs!$B$43&gt;0),IF(MAX(0,Inputs!$B$43-B1841)&lt;=0,0,(INT(MAX(0,Inputs!$B$43-B1841)/(IF(Inputs!$B$38="pvp",15,MAX(0.1,IF(Inputs!$B$3&gt;=122,3,5)+1/(((20+30*(B1836-1)*100/150)/100)*B1836)-IF(FALSE=TRUE,Inputs!$B$32,0)))*(1-IF(AND(ArtifactsInput!$M$27,Inputs!$B$4="Chapter Hunt"),CHOOSE(ArtifactsInput!$N$27+1,20,24,28,32,36,40),0)/100)))+1)),0)</f>
        <v/>
      </c>
      <c r="S1812">
        <f>IFERROR(O1812/N1812,0)</f>
        <v/>
      </c>
      <c r="T1812">
        <f>IF(C1812,(H1812*N1812*IF(AND(Inputs!$B$38&lt;&gt;"pvp",Inputs!$B$43&gt;0),((Skills!G13*((R1812-1)*IF(Skills!H13&gt;0,INT(Skills!I13/Skills!H13+0.000000001),1)+IF(Skills!H13&gt;0,INT(MIN(Skills!I13,MAX(0,MAX(0,Inputs!$B$43-B1841)-((R1812-1)*(IF(Inputs!$B$38="pvp",15,MAX(0.1,IF(Inputs!$B$3&gt;=122,3,5)+1/(((20+30*(B1836-1)*100/150)/100)*B1836)-IF(FALSE=TRUE,Inputs!$B$32,0)))*(1-IF(AND(ArtifactsInput!$M$27,Inputs!$B$4="Chapter Hunt"),CHOOSE(ArtifactsInput!$N$27+1,20,24,28,32,36,40),0)/100)))))/Skills!H13+0.000000001),1)))/Inputs!$B$43),G1812*Q1812)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2">
        <f>IF(C1812,(H1812*N1812*IF(AND(Inputs!$B$38&lt;&gt;"pvp",Inputs!$B$43&gt;0),((Skills!G13*((R1812-1)*IF(Skills!H13&gt;0,INT(Skills!I13/Skills!H13+0.000000001),1)+IF(Skills!H13&gt;0,INT(MIN(Skills!I13,MAX(0,MAX(0,Inputs!$B$43-B1841)-((R1812-1)*(IF(Inputs!$B$38="pvp",15,MAX(0.1,IF(Inputs!$B$3&gt;=122,3,5)+1/(((20+30*(B1836-1)*100/150)/100)*B1836)-IF(FALSE=TRUE,Inputs!$B$32,0)))*(1-IF(AND(ArtifactsInput!$M$27,Inputs!$B$4="Chapter Hunt"),CHOOSE(ArtifactsInput!$N$27+1,20,24,28,32,36,40),0)/100)))))/Skills!H13+0.000000001),1)))/Inputs!$B$43),G1812*Q1812))*IF(Inputs!$B$38="pvp",1,(1+(Inputs!$B$21+Skills!Q13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Skills!A14</f>
        <v/>
      </c>
      <c r="B1813">
        <f>Skills!B14</f>
        <v/>
      </c>
      <c r="C1813">
        <f>Inputs!$B$3&gt;=110</f>
        <v/>
      </c>
      <c r="D1813">
        <f>IF(Skills!C14=1,60+Inputs!$B$25+Inputs!$B$29,IF(Skills!C14=2,90+Inputs!$B$26+Inputs!$B$29,IF(Skills!C14=3,120+Inputs!$B$27+Inputs!$B$29,MAX(0,(Inputs!$B$3-100)*3)+Inputs!$B$28+Inputs!$B$29)))</f>
        <v/>
      </c>
      <c r="E1813">
        <f>INDEX(FactorTable!$B$2:$Y$301, MATCH(ROUND(MIN(300,MAX(1,D1813)),0), FactorTable!$A$2:$A$301,0), Skills!M14+1)</f>
        <v/>
      </c>
      <c r="F1813">
        <f>IF(Skills!N14=TRUE,(Skills!L14/10)*(E1813/1000),Skills!L14/10)+Skills!O14</f>
        <v/>
      </c>
      <c r="G1813" t="inlineStr"/>
      <c r="H1813" t="inlineStr"/>
      <c r="I1813" t="inlineStr">
        <is>
          <t>1</t>
        </is>
      </c>
      <c r="J1813" t="inlineStr"/>
      <c r="K1813" t="inlineStr"/>
      <c r="L1813" t="inlineStr"/>
      <c r="M1813" t="inlineStr"/>
      <c r="N1813" t="inlineStr"/>
      <c r="O1813" t="inlineStr"/>
      <c r="P1813" t="inlineStr"/>
      <c r="Q1813" t="inlineStr"/>
      <c r="R1813" t="inlineStr"/>
      <c r="S1813" t="inlineStr"/>
      <c r="T1813" t="inlineStr"/>
      <c r="V1813" t="inlineStr"/>
    </row>
    <row r="1814">
      <c r="A1814">
        <f>Skills!A15</f>
        <v/>
      </c>
      <c r="B1814">
        <f>Skills!B15</f>
        <v/>
      </c>
      <c r="C1814">
        <f>Inputs!$B$3&gt;=74</f>
        <v/>
      </c>
      <c r="D1814">
        <f>IF(Skills!C15=1,60+Inputs!$B$25+Inputs!$B$29,IF(Skills!C15=2,90+Inputs!$B$26+Inputs!$B$29,IF(Skills!C15=3,120+Inputs!$B$27+Inputs!$B$29,MAX(0,(Inputs!$B$3-100)*3)+Inputs!$B$28+Inputs!$B$29)))</f>
        <v/>
      </c>
      <c r="E1814">
        <f>INDEX(FactorTable!$B$2:$Y$301, MATCH(ROUND(MIN(300,MAX(1,D1814)),0), FactorTable!$A$2:$A$301,0), Skills!M15+1)</f>
        <v/>
      </c>
      <c r="F1814">
        <f>IF(Skills!N15=TRUE,(Skills!L15/10)*(E1814/1000),Skills!L15/10)+Skills!O15</f>
        <v/>
      </c>
      <c r="G1814">
        <f>Skills!G15*IF(Skills!H15&gt;0,INT(IF(Inputs!$B$38="pvp",MIN(Skills!I15,15),Skills!I15)/Skills!H15+0.000000001),1)</f>
        <v/>
      </c>
      <c r="H1814">
        <f>1-(1-Skills!J15/100)^Skills!K15</f>
        <v/>
      </c>
      <c r="I1814" t="inlineStr">
        <is>
          <t>1</t>
        </is>
      </c>
      <c r="J1814" t="inlineStr"/>
      <c r="K1814" t="inlineStr"/>
      <c r="L1814" t="inlineStr"/>
      <c r="M1814" t="inlineStr"/>
      <c r="N1814" t="inlineStr"/>
      <c r="O1814">
        <f>(1-Summary!$B$11)*T1814+Summary!$B$11*V1814</f>
        <v/>
      </c>
      <c r="P1814">
        <f>IF(B1844=0,0,O1814/B1844)</f>
        <v/>
      </c>
      <c r="Q1814" t="n">
        <v>0</v>
      </c>
      <c r="R1814" t="n">
        <v>0</v>
      </c>
      <c r="S1814">
        <f>IFERROR(O1814/N1814,0)</f>
        <v/>
      </c>
      <c r="T1814" t="n">
        <v>0</v>
      </c>
      <c r="V1814" t="n">
        <v>0</v>
      </c>
    </row>
    <row r="1815">
      <c r="A1815">
        <f>Skills!A16</f>
        <v/>
      </c>
      <c r="B1815">
        <f>Skills!B16</f>
        <v/>
      </c>
      <c r="C1815">
        <f>Inputs!$B$3&gt;=74</f>
        <v/>
      </c>
      <c r="D1815">
        <f>IF(Skills!C16=1,60+Inputs!$B$25+Inputs!$B$29,IF(Skills!C16=2,90+Inputs!$B$26+Inputs!$B$29,IF(Skills!C16=3,120+Inputs!$B$27+Inputs!$B$29,MAX(0,(Inputs!$B$3-100)*3)+Inputs!$B$28+Inputs!$B$29)))</f>
        <v/>
      </c>
      <c r="E1815">
        <f>INDEX(FactorTable!$B$2:$Y$301, MATCH(ROUND(MIN(300,MAX(1,D1815)),0), FactorTable!$A$2:$A$301,0), Skills!M16+1)</f>
        <v/>
      </c>
      <c r="F1815">
        <f>IF(Skills!N16=TRUE,(Skills!L16/10)*(E1815/1000),Skills!L16/10)+Skills!O16</f>
        <v/>
      </c>
      <c r="G1815">
        <f>Skills!G16*IF(Skills!H16&gt;0,INT(IF(Inputs!$B$38="pvp",MIN(Skills!I16,15),Skills!I16)/Skills!H16+0.000000001),1)</f>
        <v/>
      </c>
      <c r="H1815">
        <f>1-(1-Skills!J16/100)^Skills!K16</f>
        <v/>
      </c>
      <c r="I1815" t="inlineStr">
        <is>
          <t>1</t>
        </is>
      </c>
      <c r="J1815" t="inlineStr"/>
      <c r="K1815" t="inlineStr"/>
      <c r="L1815" t="inlineStr"/>
      <c r="M1815" t="inlineStr"/>
      <c r="N1815" t="inlineStr"/>
      <c r="O1815">
        <f>(1-Summary!$B$11)*T1815+Summary!$B$11*V1815</f>
        <v/>
      </c>
      <c r="P1815">
        <f>IF(B1844=0,0,O1815/B1844)</f>
        <v/>
      </c>
      <c r="Q1815" t="n">
        <v>0</v>
      </c>
      <c r="R1815" t="n">
        <v>0</v>
      </c>
      <c r="S1815">
        <f>IFERROR(O1815/N1815,0)</f>
        <v/>
      </c>
      <c r="T1815" t="n">
        <v>0</v>
      </c>
      <c r="V1815" t="n">
        <v>0</v>
      </c>
    </row>
    <row r="1816">
      <c r="A1816">
        <f>Skills!A17</f>
        <v/>
      </c>
      <c r="B1816">
        <f>Skills!B17</f>
        <v/>
      </c>
      <c r="C1816">
        <f>Inputs!$B$3&gt;=117</f>
        <v/>
      </c>
      <c r="D1816">
        <f>IF(Skills!C17=1,60+Inputs!$B$25+Inputs!$B$29,IF(Skills!C17=2,90+Inputs!$B$26+Inputs!$B$29,IF(Skills!C17=3,120+Inputs!$B$27+Inputs!$B$29,MAX(0,(Inputs!$B$3-100)*3)+Inputs!$B$28+Inputs!$B$29)))</f>
        <v/>
      </c>
      <c r="E1816">
        <f>INDEX(FactorTable!$B$2:$Y$301, MATCH(ROUND(MIN(300,MAX(1,D1816)),0), FactorTable!$A$2:$A$301,0), Skills!M17+1)</f>
        <v/>
      </c>
      <c r="F1816">
        <f>IF(Skills!N17=TRUE,(Skills!L17/10)*(E1816/1000),Skills!L17/10)+Skills!O17</f>
        <v/>
      </c>
      <c r="G1816">
        <f>Skills!G17*IF(Skills!H17&gt;0,INT(IF(Inputs!$B$38="pvp",MIN(Skills!I17,15),Skills!I17)/Skills!H17+0.000000001),1)</f>
        <v/>
      </c>
      <c r="H1816">
        <f>1-(1-Skills!J17/100)^Skills!K17</f>
        <v/>
      </c>
      <c r="I1816" t="inlineStr">
        <is>
          <t>1</t>
        </is>
      </c>
      <c r="J1816" t="inlineStr"/>
      <c r="K1816" t="inlineStr"/>
      <c r="L1816" t="inlineStr"/>
      <c r="M1816" t="inlineStr"/>
      <c r="N1816" t="inlineStr"/>
      <c r="O1816">
        <f>(1-Summary!$B$11)*T1816+Summary!$B$11*V1816</f>
        <v/>
      </c>
      <c r="P1816">
        <f>IF(B1844=0,0,O1816/B1844)</f>
        <v/>
      </c>
      <c r="Q1816">
        <f>IFERROR(1/(IF(Inputs!$B$38="pvp",15,MAX(0.1,Skills!D17-IF(TRUE=TRUE,Inputs!$B$32,0)))*(1-IF(AND(ArtifactsInput!$M$27,Inputs!$B$4="Chapter Hunt"),CHOOSE(ArtifactsInput!$N$27+1,20,24,28,32,36,40),0)/100)),0)</f>
        <v/>
      </c>
      <c r="R1816">
        <f>IF(AND(Inputs!$B$38&lt;&gt;"pvp",Inputs!$B$43&gt;0),IF(Inputs!$B$43&lt;=0,0,(INT(Inputs!$B$43/(IF(Inputs!$B$38="pvp",15,MAX(0.1,Skills!D17-IF(TRUE=TRUE,Inputs!$B$32,0)))*(1-IF(AND(ArtifactsInput!$M$27,Inputs!$B$4="Chapter Hunt"),CHOOSE(ArtifactsInput!$N$27+1,20,24,28,32,36,40),0)/100)))+1)),0)</f>
        <v/>
      </c>
      <c r="S1816">
        <f>IFERROR(O1816/N1816,0)</f>
        <v/>
      </c>
      <c r="T1816" t="n">
        <v>0</v>
      </c>
      <c r="V1816" t="n">
        <v>0</v>
      </c>
    </row>
    <row r="1817">
      <c r="A1817">
        <f>Skills!A18</f>
        <v/>
      </c>
      <c r="B1817">
        <f>Skills!B18</f>
        <v/>
      </c>
      <c r="C1817">
        <f>Inputs!$B$3&gt;=115</f>
        <v/>
      </c>
      <c r="D1817">
        <f>IF(Skills!C18=1,60+Inputs!$B$25+Inputs!$B$29,IF(Skills!C18=2,90+Inputs!$B$26+Inputs!$B$29,IF(Skills!C18=3,120+Inputs!$B$27+Inputs!$B$29,MAX(0,(Inputs!$B$3-100)*3)+Inputs!$B$28+Inputs!$B$29)))</f>
        <v/>
      </c>
      <c r="E1817">
        <f>INDEX(FactorTable!$B$2:$Y$301, MATCH(ROUND(MIN(300,MAX(1,D1817)),0), FactorTable!$A$2:$A$301,0), Skills!M18+1)</f>
        <v/>
      </c>
      <c r="F1817">
        <f>IF(Skills!N18=TRUE,(Skills!L18/10)*(E1817/1000),Skills!L18/10)+Skills!O18</f>
        <v/>
      </c>
      <c r="G1817">
        <f>Skills!G18*IF(Skills!H18&gt;0,INT(IF(Inputs!$B$38="pvp",MIN(Skills!I18,15),Skills!I18)/Skills!H18+0.000000001),1)</f>
        <v/>
      </c>
      <c r="H1817">
        <f>1-(1-Skills!J18/100)^Skills!K18</f>
        <v/>
      </c>
      <c r="I1817" t="inlineStr">
        <is>
          <t>1</t>
        </is>
      </c>
      <c r="J1817" t="inlineStr"/>
      <c r="K1817" t="inlineStr"/>
      <c r="L1817" t="inlineStr"/>
      <c r="M1817" t="inlineStr"/>
      <c r="N1817" t="inlineStr"/>
      <c r="O1817">
        <f>(1-Summary!$B$11)*T1817+Summary!$B$11*V1817</f>
        <v/>
      </c>
      <c r="P1817">
        <f>IF(B1844=0,0,O1817/B1844)</f>
        <v/>
      </c>
      <c r="Q1817">
        <f>IFERROR(1/(IF(Inputs!$B$38="pvp",15,MAX(0.1,Skills!D18-IF(TRUE=TRUE,Inputs!$B$32,0)))*(1-IF(AND(ArtifactsInput!$M$27,Inputs!$B$4="Chapter Hunt"),CHOOSE(ArtifactsInput!$N$27+1,20,24,28,32,36,40),0)/100)),0)</f>
        <v/>
      </c>
      <c r="R1817">
        <f>IF(AND(Inputs!$B$38&lt;&gt;"pvp",Inputs!$B$43&gt;0),IF(Inputs!$B$43&lt;=0,0,(INT(Inputs!$B$43/(IF(Inputs!$B$38="pvp",15,MAX(0.1,Skills!D18-IF(TRUE=TRUE,Inputs!$B$32,0)))*(1-IF(AND(ArtifactsInput!$M$27,Inputs!$B$4="Chapter Hunt"),CHOOSE(ArtifactsInput!$N$27+1,20,24,28,32,36,40),0)/100)))+1)),0)</f>
        <v/>
      </c>
      <c r="S1817">
        <f>IFERROR(O1817/N1817,0)</f>
        <v/>
      </c>
      <c r="T1817" t="n">
        <v>0</v>
      </c>
      <c r="V1817" t="n">
        <v>0</v>
      </c>
    </row>
    <row r="1818">
      <c r="A1818">
        <f>Skills!A19</f>
        <v/>
      </c>
      <c r="B1818">
        <f>Skills!B19</f>
        <v/>
      </c>
      <c r="C1818">
        <f>Inputs!$B$3&gt;=66</f>
        <v/>
      </c>
      <c r="D1818">
        <f>IF(Skills!C19=1,60+Inputs!$B$25+Inputs!$B$29,IF(Skills!C19=2,90+Inputs!$B$26+Inputs!$B$29,IF(Skills!C19=3,120+Inputs!$B$27+Inputs!$B$29,MAX(0,(Inputs!$B$3-100)*3)+Inputs!$B$28+Inputs!$B$29)))</f>
        <v/>
      </c>
      <c r="E1818">
        <f>INDEX(FactorTable!$B$2:$Y$301, MATCH(ROUND(MIN(300,MAX(1,D1818)),0), FactorTable!$A$2:$A$301,0), Skills!M19+1)</f>
        <v/>
      </c>
      <c r="F1818">
        <f>IF(Skills!N19=TRUE,(Skills!L19/10)*(E1818/1000),Skills!L19/10)+Skills!O19</f>
        <v/>
      </c>
      <c r="G1818">
        <f>Skills!G19*IF(Skills!H19&gt;0,INT(IF(Inputs!$B$38="pvp",MIN(Skills!I19,15),Skills!I19)/Skills!H19+0.000000001),1)</f>
        <v/>
      </c>
      <c r="H1818">
        <f>1-(1-Skills!J19/100)^Skills!K19</f>
        <v/>
      </c>
      <c r="I1818" t="inlineStr">
        <is>
          <t>1</t>
        </is>
      </c>
      <c r="J1818" t="inlineStr"/>
      <c r="K1818" t="inlineStr"/>
      <c r="L1818" t="inlineStr"/>
      <c r="M1818" t="inlineStr"/>
      <c r="N1818" t="inlineStr"/>
      <c r="O1818">
        <f>(1-Summary!$B$11)*T1818+Summary!$B$11*V1818</f>
        <v/>
      </c>
      <c r="P1818">
        <f>IF(B1844=0,0,O1818/B1844)</f>
        <v/>
      </c>
      <c r="Q1818" t="n">
        <v>0</v>
      </c>
      <c r="R1818" t="n">
        <v>0</v>
      </c>
      <c r="S1818">
        <f>IFERROR(O1818/N1818,0)</f>
        <v/>
      </c>
      <c r="T1818" t="n">
        <v>0</v>
      </c>
      <c r="V1818" t="n">
        <v>0</v>
      </c>
    </row>
    <row r="1819">
      <c r="A1819">
        <f>Skills!A20</f>
        <v/>
      </c>
      <c r="B1819">
        <f>Skills!B20</f>
        <v/>
      </c>
      <c r="C1819">
        <f>Inputs!$B$3&gt;=72</f>
        <v/>
      </c>
      <c r="D1819">
        <f>IF(Skills!C20=1,60+Inputs!$B$25+Inputs!$B$29,IF(Skills!C20=2,90+Inputs!$B$26+Inputs!$B$29,IF(Skills!C20=3,120+Inputs!$B$27+Inputs!$B$29,MAX(0,(Inputs!$B$3-100)*3)+Inputs!$B$28+Inputs!$B$29)))</f>
        <v/>
      </c>
      <c r="E1819">
        <f>INDEX(FactorTable!$B$2:$Y$301, MATCH(ROUND(MIN(300,MAX(1,D1819)),0), FactorTable!$A$2:$A$301,0), Skills!M20+1)</f>
        <v/>
      </c>
      <c r="F1819">
        <f>IF(Skills!N20=TRUE,(Skills!L20/10)*(E1819/1000),Skills!L20/10)+Skills!O20</f>
        <v/>
      </c>
      <c r="G1819">
        <f>Skills!G20*IF(Skills!H20&gt;0,INT(IF(Inputs!$B$38="pvp",MIN(Skills!I20,15),Skills!I20)/Skills!H20+0.000000001),1)</f>
        <v/>
      </c>
      <c r="H1819">
        <f>1-(1-Skills!J20/100)^Skills!K20</f>
        <v/>
      </c>
      <c r="I1819" t="inlineStr">
        <is>
          <t>1</t>
        </is>
      </c>
      <c r="J1819" t="inlineStr"/>
      <c r="K1819" t="inlineStr"/>
      <c r="L1819" t="inlineStr"/>
      <c r="M1819" t="inlineStr"/>
      <c r="N1819" t="inlineStr"/>
      <c r="O1819">
        <f>(1-Summary!$B$11)*T1819+Summary!$B$11*V1819</f>
        <v/>
      </c>
      <c r="P1819">
        <f>IF(B1844=0,0,O1819/B1844)</f>
        <v/>
      </c>
      <c r="Q1819" t="n">
        <v>0</v>
      </c>
      <c r="R1819" t="n">
        <v>0</v>
      </c>
      <c r="S1819">
        <f>IFERROR(O1819/N1819,0)</f>
        <v/>
      </c>
      <c r="T1819" t="n">
        <v>0</v>
      </c>
      <c r="V1819" t="n">
        <v>0</v>
      </c>
    </row>
    <row r="1820">
      <c r="A1820">
        <f>Skills!A21</f>
        <v/>
      </c>
      <c r="B1820">
        <f>Skills!B21</f>
        <v/>
      </c>
      <c r="C1820">
        <f>TRUE</f>
        <v/>
      </c>
      <c r="D1820">
        <f>IF(Skills!C21=1,60+Inputs!$B$25+Inputs!$B$29,IF(Skills!C21=2,90+Inputs!$B$26+Inputs!$B$29,IF(Skills!C21=3,120+Inputs!$B$27+Inputs!$B$29,MAX(0,(Inputs!$B$3-100)*3)+Inputs!$B$28+Inputs!$B$29)))</f>
        <v/>
      </c>
      <c r="E1820">
        <f>INDEX(FactorTable!$B$2:$Y$301, MATCH(ROUND(MIN(300,MAX(1,D1820)),0), FactorTable!$A$2:$A$301,0), Skills!M21+1)</f>
        <v/>
      </c>
      <c r="F1820">
        <f>IF(Skills!N21=TRUE,(Skills!L21/10)*(E1820/1000),Skills!L21/10)+Skills!O21</f>
        <v/>
      </c>
      <c r="G1820">
        <f>Skills!G21*IF(Skills!H21&gt;0,INT(IF(Inputs!$B$38="pvp",MIN(Skills!I21,15),Skills!I21)/Skills!H21+0.000000001),1)</f>
        <v/>
      </c>
      <c r="H1820">
        <f>1-(1-Skills!J21/100)^Skills!K21</f>
        <v/>
      </c>
      <c r="I1820" t="inlineStr">
        <is>
          <t>1</t>
        </is>
      </c>
      <c r="J1820" t="inlineStr"/>
      <c r="K1820" t="inlineStr"/>
      <c r="L1820" t="inlineStr"/>
      <c r="M1820" t="inlineStr"/>
      <c r="N1820" t="inlineStr"/>
      <c r="O1820">
        <f>(1-Summary!$B$11)*T1820+Summary!$B$11*V1820</f>
        <v/>
      </c>
      <c r="P1820">
        <f>IF(B1844=0,0,O1820/B1844)</f>
        <v/>
      </c>
      <c r="Q1820">
        <f>IFERROR(1/(IF(Inputs!$B$38="pvp",15,MAX(0.1,Skills!D21-IF(TRUE=TRUE,Inputs!$B$32,0)))*(1-IF(AND(ArtifactsInput!$M$27,Inputs!$B$4="Chapter Hunt"),CHOOSE(ArtifactsInput!$N$27+1,20,24,28,32,36,40),0)/100)),0)</f>
        <v/>
      </c>
      <c r="R1820">
        <f>IF(AND(Inputs!$B$38&lt;&gt;"pvp",Inputs!$B$43&gt;0),IF(Inputs!$B$43&lt;=0,0,(INT(Inputs!$B$43/(IF(Inputs!$B$38="pvp",15,MAX(0.1,Skills!D21-IF(TRUE=TRUE,Inputs!$B$32,0)))*(1-IF(AND(ArtifactsInput!$M$27,Inputs!$B$4="Chapter Hunt"),CHOOSE(ArtifactsInput!$N$27+1,20,24,28,32,36,40),0)/100)))+1)),0)</f>
        <v/>
      </c>
      <c r="S1820">
        <f>IFERROR(O1820/N1820,0)</f>
        <v/>
      </c>
      <c r="T1820" t="n">
        <v>0</v>
      </c>
      <c r="V1820" t="n">
        <v>0</v>
      </c>
    </row>
    <row r="1821">
      <c r="A1821">
        <f>Skills!A22</f>
        <v/>
      </c>
      <c r="B1821">
        <f>Skills!B22</f>
        <v/>
      </c>
      <c r="C1821">
        <f>Inputs!$B$3&gt;=15</f>
        <v/>
      </c>
      <c r="D1821">
        <f>IF(Skills!C22=1,60+Inputs!$B$25+Inputs!$B$29,IF(Skills!C22=2,90+Inputs!$B$26+Inputs!$B$29,IF(Skills!C22=3,120+Inputs!$B$27+Inputs!$B$29,MAX(0,(Inputs!$B$3-100)*3)+Inputs!$B$28+Inputs!$B$29)))</f>
        <v/>
      </c>
      <c r="E1821">
        <f>INDEX(FactorTable!$B$2:$Y$301, MATCH(ROUND(MIN(300,MAX(1,D1821)),0), FactorTable!$A$2:$A$301,0), Skills!M22+1)</f>
        <v/>
      </c>
      <c r="F1821">
        <f>IF(Skills!N22=TRUE,(Skills!L22/10)*(E1821/1000),Skills!L22/10)+Skills!O22</f>
        <v/>
      </c>
      <c r="G1821">
        <f>Skills!G22*IF(Skills!H22&gt;0,INT(IF(Inputs!$B$38="pvp",MIN(Skills!I22,15),Skills!I22)/Skills!H22+0.000000001),1)</f>
        <v/>
      </c>
      <c r="H1821">
        <f>1-(1-Skills!J22/100)^Skills!K22</f>
        <v/>
      </c>
      <c r="I1821" t="inlineStr">
        <is>
          <t>1</t>
        </is>
      </c>
      <c r="J1821" t="inlineStr"/>
      <c r="K1821" t="inlineStr"/>
      <c r="L1821" t="inlineStr"/>
      <c r="M1821" t="inlineStr"/>
      <c r="N1821" t="inlineStr"/>
      <c r="O1821">
        <f>(1-Summary!$B$11)*T1821+Summary!$B$11*V1821</f>
        <v/>
      </c>
      <c r="P1821">
        <f>IF(B1844=0,0,O1821/B1844)</f>
        <v/>
      </c>
      <c r="Q1821" t="n">
        <v>0</v>
      </c>
      <c r="R1821" t="n">
        <v>0</v>
      </c>
      <c r="S1821">
        <f>IFERROR(O1821/N1821,0)</f>
        <v/>
      </c>
      <c r="T1821" t="n">
        <v>0</v>
      </c>
      <c r="V1821" t="n">
        <v>0</v>
      </c>
    </row>
    <row r="1822">
      <c r="A1822">
        <f>Skills!A23</f>
        <v/>
      </c>
      <c r="B1822">
        <f>Skills!B23</f>
        <v/>
      </c>
      <c r="C1822">
        <f>Inputs!$B$3&gt;=10</f>
        <v/>
      </c>
      <c r="D1822">
        <f>IF(Skills!C23=1,60+Inputs!$B$25+Inputs!$B$29,IF(Skills!C23=2,90+Inputs!$B$26+Inputs!$B$29,IF(Skills!C23=3,120+Inputs!$B$27+Inputs!$B$29,MAX(0,(Inputs!$B$3-100)*3)+Inputs!$B$28+Inputs!$B$29)))</f>
        <v/>
      </c>
      <c r="E1822">
        <f>INDEX(FactorTable!$B$2:$Y$301, MATCH(ROUND(MIN(300,MAX(1,D1822)),0), FactorTable!$A$2:$A$301,0), Skills!M23+1)</f>
        <v/>
      </c>
      <c r="F1822">
        <f>IF(Skills!N23=TRUE,(Skills!L23/10)*(E1822/1000),Skills!L23/10)+Skills!O23</f>
        <v/>
      </c>
      <c r="G1822">
        <f>Skills!G23*IF(Skills!H23&gt;0,INT(IF(Inputs!$B$38="pvp",MIN(Skills!I23,15),Skills!I23)/Skills!H23+0.000000001),1)</f>
        <v/>
      </c>
      <c r="H1822">
        <f>1-(1-Skills!J23/100)^Skills!K23</f>
        <v/>
      </c>
      <c r="I1822" t="inlineStr">
        <is>
          <t>1</t>
        </is>
      </c>
      <c r="J1822" t="inlineStr"/>
      <c r="K1822" t="inlineStr"/>
      <c r="L1822" t="inlineStr"/>
      <c r="M1822" t="inlineStr"/>
      <c r="N1822" t="inlineStr"/>
      <c r="O1822">
        <f>(1-Summary!$B$11)*T1822+Summary!$B$11*V1822</f>
        <v/>
      </c>
      <c r="P1822">
        <f>IF(B1844=0,0,O1822/B1844)</f>
        <v/>
      </c>
      <c r="Q1822" t="n">
        <v>0</v>
      </c>
      <c r="R1822" t="n">
        <v>0</v>
      </c>
      <c r="S1822">
        <f>IFERROR(O1822/N1822,0)</f>
        <v/>
      </c>
      <c r="T1822" t="n">
        <v>0</v>
      </c>
      <c r="V1822" t="n">
        <v>0</v>
      </c>
    </row>
    <row r="1823">
      <c r="A1823">
        <f>Skills!A24</f>
        <v/>
      </c>
      <c r="B1823">
        <f>Skills!B24</f>
        <v/>
      </c>
      <c r="C1823">
        <f>Inputs!$B$3&gt;=33</f>
        <v/>
      </c>
      <c r="D1823">
        <f>IF(Skills!C24=1,60+Inputs!$B$25+Inputs!$B$29,IF(Skills!C24=2,90+Inputs!$B$26+Inputs!$B$29,IF(Skills!C24=3,120+Inputs!$B$27+Inputs!$B$29,MAX(0,(Inputs!$B$3-100)*3)+Inputs!$B$28+Inputs!$B$29)))</f>
        <v/>
      </c>
      <c r="E1823">
        <f>INDEX(FactorTable!$B$2:$Y$301, MATCH(ROUND(MIN(300,MAX(1,D1823)),0), FactorTable!$A$2:$A$301,0), Skills!M24+1)</f>
        <v/>
      </c>
      <c r="F1823">
        <f>IF(Skills!N24=TRUE,(Skills!L24/10)*(E1823/1000),Skills!L24/10)+Skills!O24</f>
        <v/>
      </c>
      <c r="G1823">
        <f>Skills!G24*IF(Skills!H24&gt;0,INT(IF(Inputs!$B$38="pvp",MIN(Skills!I24,15),Skills!I24)/Skills!H24+0.000000001),1)</f>
        <v/>
      </c>
      <c r="H1823">
        <f>1-(1-Skills!J24/100)^Skills!K24</f>
        <v/>
      </c>
      <c r="I1823" t="inlineStr">
        <is>
          <t>1</t>
        </is>
      </c>
      <c r="J1823" t="inlineStr"/>
      <c r="K1823" t="inlineStr"/>
      <c r="L1823" t="inlineStr"/>
      <c r="M1823" t="inlineStr"/>
      <c r="N1823" t="inlineStr"/>
      <c r="O1823">
        <f>(1-Summary!$B$11)*T1823+Summary!$B$11*V1823</f>
        <v/>
      </c>
      <c r="P1823">
        <f>IF(B1844=0,0,O1823/B1844)</f>
        <v/>
      </c>
      <c r="Q1823" t="n">
        <v>0</v>
      </c>
      <c r="R1823" t="n">
        <v>0</v>
      </c>
      <c r="S1823">
        <f>IFERROR(O1823/N1823,0)</f>
        <v/>
      </c>
      <c r="T1823" t="n">
        <v>0</v>
      </c>
      <c r="V1823" t="n">
        <v>0</v>
      </c>
    </row>
    <row r="1824">
      <c r="A1824">
        <f>Skills!A25</f>
        <v/>
      </c>
      <c r="B1824">
        <f>Skills!B25</f>
        <v/>
      </c>
      <c r="C1824">
        <f>Inputs!$B$3&gt;=38</f>
        <v/>
      </c>
      <c r="D1824">
        <f>IF(Skills!C25=1,60+Inputs!$B$25+Inputs!$B$29,IF(Skills!C25=2,90+Inputs!$B$26+Inputs!$B$29,IF(Skills!C25=3,120+Inputs!$B$27+Inputs!$B$29,MAX(0,(Inputs!$B$3-100)*3)+Inputs!$B$28+Inputs!$B$29)))</f>
        <v/>
      </c>
      <c r="E1824">
        <f>INDEX(FactorTable!$B$2:$Y$301, MATCH(ROUND(MIN(300,MAX(1,D1824)),0), FactorTable!$A$2:$A$301,0), Skills!M25+1)</f>
        <v/>
      </c>
      <c r="F1824">
        <f>IF(Skills!N25=TRUE,(Skills!L25/10)*(E1824/1000),Skills!L25/10)+Skills!O25</f>
        <v/>
      </c>
      <c r="G1824">
        <f>Skills!G25*IF(Skills!H25&gt;0,INT(IF(Inputs!$B$38="pvp",MIN(Skills!I25,15),Skills!I25)/Skills!H25+0.000000001),1)</f>
        <v/>
      </c>
      <c r="H1824">
        <f>1-(1-Skills!J25/100)^Skills!K25</f>
        <v/>
      </c>
      <c r="I1824" t="inlineStr">
        <is>
          <t>1</t>
        </is>
      </c>
      <c r="J1824" t="inlineStr"/>
      <c r="K1824" t="inlineStr"/>
      <c r="L1824" t="inlineStr"/>
      <c r="M1824" t="inlineStr"/>
      <c r="N1824" t="inlineStr"/>
      <c r="O1824">
        <f>(1-Summary!$B$11)*T1824+Summary!$B$11*V1824</f>
        <v/>
      </c>
      <c r="P1824">
        <f>IF(B1844=0,0,O1824/B1844)</f>
        <v/>
      </c>
      <c r="Q1824" t="n">
        <v>0</v>
      </c>
      <c r="R1824" t="n">
        <v>0</v>
      </c>
      <c r="S1824">
        <f>IFERROR(O1824/N1824,0)</f>
        <v/>
      </c>
      <c r="T1824" t="n">
        <v>0</v>
      </c>
      <c r="V1824" t="n">
        <v>0</v>
      </c>
    </row>
    <row r="1825">
      <c r="A1825">
        <f>Skills!A26</f>
        <v/>
      </c>
      <c r="B1825">
        <f>Skills!B26</f>
        <v/>
      </c>
      <c r="C1825">
        <f>Inputs!$B$3&gt;=43</f>
        <v/>
      </c>
      <c r="D1825">
        <f>IF(Skills!C26=1,60+Inputs!$B$25+Inputs!$B$29,IF(Skills!C26=2,90+Inputs!$B$26+Inputs!$B$29,IF(Skills!C26=3,120+Inputs!$B$27+Inputs!$B$29,MAX(0,(Inputs!$B$3-100)*3)+Inputs!$B$28+Inputs!$B$29)))</f>
        <v/>
      </c>
      <c r="E1825">
        <f>INDEX(FactorTable!$B$2:$Y$301, MATCH(ROUND(MIN(300,MAX(1,D1825)),0), FactorTable!$A$2:$A$301,0), Skills!M26+1)</f>
        <v/>
      </c>
      <c r="F1825">
        <f>IF(Skills!N26=TRUE,(Skills!L26/10)*(E1825/1000),Skills!L26/10)+Skills!O26</f>
        <v/>
      </c>
      <c r="G1825">
        <f>Skills!G26*IF(Skills!H26&gt;0,INT(IF(Inputs!$B$38="pvp",MIN(Skills!I26,15),Skills!I26)/Skills!H26+0.000000001),1)</f>
        <v/>
      </c>
      <c r="H1825">
        <f>1-(1-Skills!J26/100)^Skills!K26</f>
        <v/>
      </c>
      <c r="I1825" t="inlineStr">
        <is>
          <t>1</t>
        </is>
      </c>
      <c r="J1825" t="inlineStr"/>
      <c r="K1825" t="inlineStr"/>
      <c r="L1825" t="inlineStr"/>
      <c r="M1825" t="inlineStr"/>
      <c r="N1825" t="inlineStr"/>
      <c r="O1825">
        <f>(1-Summary!$B$11)*T1825+Summary!$B$11*V1825</f>
        <v/>
      </c>
      <c r="P1825">
        <f>IF(B1844=0,0,O1825/B1844)</f>
        <v/>
      </c>
      <c r="Q1825" t="n">
        <v>0</v>
      </c>
      <c r="R1825" t="n">
        <v>0</v>
      </c>
      <c r="S1825">
        <f>IFERROR(O1825/N1825,0)</f>
        <v/>
      </c>
      <c r="T1825" t="n">
        <v>0</v>
      </c>
      <c r="V1825" t="n">
        <v>0</v>
      </c>
    </row>
    <row r="1826">
      <c r="A1826">
        <f>Skills!A27</f>
        <v/>
      </c>
      <c r="B1826">
        <f>Skills!B27</f>
        <v/>
      </c>
      <c r="C1826">
        <f>Inputs!$B$3&gt;=75</f>
        <v/>
      </c>
      <c r="D1826">
        <f>IF(Skills!C27=1,60+Inputs!$B$25+Inputs!$B$29,IF(Skills!C27=2,90+Inputs!$B$26+Inputs!$B$29,IF(Skills!C27=3,120+Inputs!$B$27+Inputs!$B$29,MAX(0,(Inputs!$B$3-100)*3)+Inputs!$B$28+Inputs!$B$29)))</f>
        <v/>
      </c>
      <c r="E1826">
        <f>INDEX(FactorTable!$B$2:$Y$301, MATCH(ROUND(MIN(300,MAX(1,D1826)),0), FactorTable!$A$2:$A$301,0), Skills!M27+1)</f>
        <v/>
      </c>
      <c r="F1826">
        <f>IF(Skills!N27=TRUE,(Skills!L27/10)*(E1826/1000),Skills!L27/10)+Skills!O27</f>
        <v/>
      </c>
      <c r="G1826">
        <f>Skills!G27*IF(Skills!H27&gt;0,INT(IF(Inputs!$B$38="pvp",MIN(Skills!I27,15),Skills!I27)/Skills!H27+0.000000001),1)</f>
        <v/>
      </c>
      <c r="H1826">
        <f>1-(1-Skills!J27/100)^Skills!K27</f>
        <v/>
      </c>
      <c r="I1826" t="inlineStr">
        <is>
          <t>1</t>
        </is>
      </c>
      <c r="J1826" t="inlineStr"/>
      <c r="K1826" t="inlineStr"/>
      <c r="L1826" t="inlineStr"/>
      <c r="M1826" t="inlineStr"/>
      <c r="N1826" t="inlineStr"/>
      <c r="O1826">
        <f>(1-Summary!$B$11)*T1826+Summary!$B$11*V1826</f>
        <v/>
      </c>
      <c r="P1826">
        <f>IF(B1844=0,0,O1826/B1844)</f>
        <v/>
      </c>
      <c r="Q1826" t="n">
        <v>0</v>
      </c>
      <c r="R1826" t="n">
        <v>0</v>
      </c>
      <c r="S1826">
        <f>IFERROR(O1826/N1826,0)</f>
        <v/>
      </c>
      <c r="T1826" t="n">
        <v>0</v>
      </c>
      <c r="V1826" t="n">
        <v>0</v>
      </c>
    </row>
    <row r="1827">
      <c r="A1827">
        <f>Skills!A28</f>
        <v/>
      </c>
      <c r="B1827">
        <f>Skills!B28</f>
        <v/>
      </c>
      <c r="C1827">
        <f>Inputs!$B$3&gt;=125</f>
        <v/>
      </c>
      <c r="D1827">
        <f>IF(Skills!C28=1,60+Inputs!$B$25+Inputs!$B$29,IF(Skills!C28=2,90+Inputs!$B$26+Inputs!$B$29,IF(Skills!C28=3,120+Inputs!$B$27+Inputs!$B$29,MAX(0,(Inputs!$B$3-100)*3)+Inputs!$B$28+Inputs!$B$29)))</f>
        <v/>
      </c>
      <c r="E1827">
        <f>INDEX(FactorTable!$B$2:$Y$301, MATCH(ROUND(MIN(300,MAX(1,D1827)),0), FactorTable!$A$2:$A$301,0), Skills!M28+1)</f>
        <v/>
      </c>
      <c r="F1827">
        <f>IF(Skills!N28=TRUE,(Skills!L28/10)*(E1827/1000),Skills!L28/10)+Skills!O28</f>
        <v/>
      </c>
      <c r="G1827">
        <f>Skills!G28*IF(Skills!H28&gt;0,INT(IF(Inputs!$B$38="pvp",MIN(Skills!I28,15),Skills!I28)/Skills!H28+0.000000001),1)</f>
        <v/>
      </c>
      <c r="H1827">
        <f>1-(1-Skills!J28/100)^Skills!K28</f>
        <v/>
      </c>
      <c r="I1827" t="inlineStr">
        <is>
          <t>1</t>
        </is>
      </c>
      <c r="J1827" t="inlineStr"/>
      <c r="K1827" t="inlineStr"/>
      <c r="L1827" t="inlineStr"/>
      <c r="M1827" t="inlineStr"/>
      <c r="N1827" t="inlineStr"/>
      <c r="O1827">
        <f>(1-Summary!$B$11)*T1827+Summary!$B$11*V1827</f>
        <v/>
      </c>
      <c r="P1827">
        <f>IF(B1844=0,0,O1827/B1844)</f>
        <v/>
      </c>
      <c r="Q1827" t="n">
        <v>0</v>
      </c>
      <c r="R1827" t="n">
        <v>0</v>
      </c>
      <c r="S1827">
        <f>IFERROR(O1827/N1827,0)</f>
        <v/>
      </c>
      <c r="T1827" t="n">
        <v>0</v>
      </c>
      <c r="V1827" t="n">
        <v>0</v>
      </c>
    </row>
    <row r="1828">
      <c r="A1828">
        <f>Skills!A29</f>
        <v/>
      </c>
      <c r="B1828">
        <f>Skills!B29</f>
        <v/>
      </c>
      <c r="C1828">
        <f>Inputs!$B$3&gt;=125</f>
        <v/>
      </c>
      <c r="D1828">
        <f>IF(Skills!C29=1,60+Inputs!$B$25+Inputs!$B$29,IF(Skills!C29=2,90+Inputs!$B$26+Inputs!$B$29,IF(Skills!C29=3,120+Inputs!$B$27+Inputs!$B$29,MAX(0,(Inputs!$B$3-100)*3)+Inputs!$B$28+Inputs!$B$29)))</f>
        <v/>
      </c>
      <c r="E1828">
        <f>INDEX(FactorTable!$B$2:$Y$301, MATCH(ROUND(MIN(300,MAX(1,D1828)),0), FactorTable!$A$2:$A$301,0), Skills!M29+1)</f>
        <v/>
      </c>
      <c r="F1828">
        <f>IF(Skills!N29=TRUE,(Skills!L29/10)*(E1828/1000),Skills!L29/10)+Skills!O29</f>
        <v/>
      </c>
      <c r="G1828">
        <f>Skills!G29*IF(Skills!H29&gt;0,INT(IF(Inputs!$B$38="pvp",MIN(Skills!I29,15),Skills!I29)/Skills!H29+0.000000001),1)</f>
        <v/>
      </c>
      <c r="H1828">
        <f>1-(1-Skills!J29/100)^Skills!K29</f>
        <v/>
      </c>
      <c r="I1828" t="inlineStr">
        <is>
          <t>1</t>
        </is>
      </c>
      <c r="J1828" t="inlineStr"/>
      <c r="K1828" t="inlineStr"/>
      <c r="L1828" t="inlineStr"/>
      <c r="M1828" t="inlineStr"/>
      <c r="N1828" t="inlineStr"/>
      <c r="O1828">
        <f>(1-Summary!$B$11)*T1828+Summary!$B$11*V1828</f>
        <v/>
      </c>
      <c r="P1828">
        <f>IF(B1844=0,0,O1828/B1844)</f>
        <v/>
      </c>
      <c r="Q1828" t="n">
        <v>0</v>
      </c>
      <c r="R1828" t="n">
        <v>0</v>
      </c>
      <c r="S1828">
        <f>IFERROR(O1828/N1828,0)</f>
        <v/>
      </c>
      <c r="T1828" t="n">
        <v>0</v>
      </c>
      <c r="V1828" t="n">
        <v>0</v>
      </c>
    </row>
    <row r="1829">
      <c r="A1829">
        <f>Skills!A30</f>
        <v/>
      </c>
      <c r="B1829">
        <f>Skills!B30</f>
        <v/>
      </c>
      <c r="C1829">
        <f>Inputs!$B$3&gt;=120</f>
        <v/>
      </c>
      <c r="D1829">
        <f>IF(Skills!C30=1,60+Inputs!$B$25+Inputs!$B$29,IF(Skills!C30=2,90+Inputs!$B$26+Inputs!$B$29,IF(Skills!C30=3,120+Inputs!$B$27+Inputs!$B$29,MAX(0,(Inputs!$B$3-100)*3)+Inputs!$B$28+Inputs!$B$29)))</f>
        <v/>
      </c>
      <c r="E1829">
        <f>INDEX(FactorTable!$B$2:$Y$301, MATCH(ROUND(MIN(300,MAX(1,D1829)),0), FactorTable!$A$2:$A$301,0), Skills!M30+1)</f>
        <v/>
      </c>
      <c r="F1829">
        <f>IF(Skills!N30=TRUE,(Skills!L30/10)*(E1829/1000),Skills!L30/10)+Skills!O30</f>
        <v/>
      </c>
      <c r="G1829">
        <f>Skills!G30*IF(Skills!H30&gt;0,INT(IF(Inputs!$B$38="pvp",MIN(Skills!I30,15),Skills!I30)/Skills!H30+0.000000001),1)</f>
        <v/>
      </c>
      <c r="H1829">
        <f>1-(1-Skills!J30/100)^Skills!K30</f>
        <v/>
      </c>
      <c r="I1829" t="inlineStr">
        <is>
          <t>1</t>
        </is>
      </c>
      <c r="J1829" t="inlineStr"/>
      <c r="K1829" t="inlineStr"/>
      <c r="L1829" t="inlineStr"/>
      <c r="M1829" t="inlineStr"/>
      <c r="N1829" t="inlineStr"/>
      <c r="O1829">
        <f>(1-Summary!$B$11)*T1829+Summary!$B$11*V1829</f>
        <v/>
      </c>
      <c r="P1829">
        <f>IF(B1844=0,0,O1829/B1844)</f>
        <v/>
      </c>
      <c r="Q1829" t="n">
        <v>0</v>
      </c>
      <c r="R1829" t="n">
        <v>0</v>
      </c>
      <c r="S1829">
        <f>IFERROR(O1829/N1829,0)</f>
        <v/>
      </c>
      <c r="T1829" t="n">
        <v>0</v>
      </c>
      <c r="V1829" t="n">
        <v>0</v>
      </c>
    </row>
    <row r="1830">
      <c r="A1830">
        <f>Skills!A31</f>
        <v/>
      </c>
      <c r="B1830">
        <f>Skills!B31</f>
        <v/>
      </c>
      <c r="C1830">
        <f>Inputs!$B$3&gt;=120</f>
        <v/>
      </c>
      <c r="D1830">
        <f>IF(Skills!C31=1,60+Inputs!$B$25+Inputs!$B$29,IF(Skills!C31=2,90+Inputs!$B$26+Inputs!$B$29,IF(Skills!C31=3,120+Inputs!$B$27+Inputs!$B$29,MAX(0,(Inputs!$B$3-100)*3)+Inputs!$B$28+Inputs!$B$29)))</f>
        <v/>
      </c>
      <c r="E1830">
        <f>INDEX(FactorTable!$B$2:$Y$301, MATCH(ROUND(MIN(300,MAX(1,D1830)),0), FactorTable!$A$2:$A$301,0), Skills!M31+1)</f>
        <v/>
      </c>
      <c r="F1830">
        <f>IF(Skills!N31=TRUE,(Skills!L31/10)*(E1830/1000),Skills!L31/10)+Skills!O31</f>
        <v/>
      </c>
      <c r="G1830">
        <f>Skills!G31*IF(Skills!H31&gt;0,INT(IF(Inputs!$B$38="pvp",MIN(Skills!I31,15),Skills!I31)/Skills!H31+0.000000001),1)</f>
        <v/>
      </c>
      <c r="H1830">
        <f>1-(1-Skills!J31/100)^Skills!K31</f>
        <v/>
      </c>
      <c r="I1830" t="inlineStr">
        <is>
          <t>1</t>
        </is>
      </c>
      <c r="J1830" t="inlineStr"/>
      <c r="K1830" t="inlineStr"/>
      <c r="L1830" t="inlineStr"/>
      <c r="M1830" t="inlineStr"/>
      <c r="N1830" t="inlineStr"/>
      <c r="O1830">
        <f>(1-Summary!$B$11)*T1830+Summary!$B$11*V1830</f>
        <v/>
      </c>
      <c r="P1830">
        <f>IF(B1844=0,0,O1830/B1844)</f>
        <v/>
      </c>
      <c r="Q1830" t="n">
        <v>0</v>
      </c>
      <c r="R1830" t="n">
        <v>0</v>
      </c>
      <c r="S1830">
        <f>IFERROR(O1830/N1830,0)</f>
        <v/>
      </c>
      <c r="T1830" t="n">
        <v>0</v>
      </c>
      <c r="V1830" t="n">
        <v>0</v>
      </c>
    </row>
    <row r="1831">
      <c r="A1831">
        <f>Skills!A32</f>
        <v/>
      </c>
      <c r="B1831">
        <f>Skills!B32</f>
        <v/>
      </c>
      <c r="C1831">
        <f>Inputs!$B$3&gt;=45</f>
        <v/>
      </c>
      <c r="D1831">
        <f>IF(Skills!C32=1,60+Inputs!$B$25+Inputs!$B$29,IF(Skills!C32=2,90+Inputs!$B$26+Inputs!$B$29,IF(Skills!C32=3,120+Inputs!$B$27+Inputs!$B$29,MAX(0,(Inputs!$B$3-100)*3)+Inputs!$B$28+Inputs!$B$29)))</f>
        <v/>
      </c>
      <c r="E1831">
        <f>INDEX(FactorTable!$B$2:$Y$301, MATCH(ROUND(MIN(300,MAX(1,D1831)),0), FactorTable!$A$2:$A$301,0), Skills!M32+1)</f>
        <v/>
      </c>
      <c r="F1831">
        <f>IF(Skills!N32=TRUE,(Skills!L32/10)*(E1831/1000),Skills!L32/10)+Skills!O32</f>
        <v/>
      </c>
      <c r="G1831">
        <f>Skills!G32*IF(Skills!H32&gt;0,INT(IF(Inputs!$B$38="pvp",MIN(Skills!I32,15),Skills!I32)/Skills!H32+0.000000001),1)</f>
        <v/>
      </c>
      <c r="H1831">
        <f>1-(1-Skills!J32/100)^Skills!K32</f>
        <v/>
      </c>
      <c r="I1831" t="inlineStr">
        <is>
          <t>1</t>
        </is>
      </c>
      <c r="J1831" t="inlineStr"/>
      <c r="K1831" t="inlineStr"/>
      <c r="L1831" t="inlineStr"/>
      <c r="M1831" t="inlineStr"/>
      <c r="N1831" t="inlineStr"/>
      <c r="O1831">
        <f>(1-Summary!$B$11)*T1831+Summary!$B$11*V1831</f>
        <v/>
      </c>
      <c r="P1831">
        <f>IF(B1844=0,0,O1831/B1844)</f>
        <v/>
      </c>
      <c r="Q1831" t="n">
        <v>0</v>
      </c>
      <c r="R1831" t="n">
        <v>0</v>
      </c>
      <c r="S1831">
        <f>IFERROR(O1831/N1831,0)</f>
        <v/>
      </c>
      <c r="T1831" t="n">
        <v>0</v>
      </c>
      <c r="V1831" t="n">
        <v>0</v>
      </c>
    </row>
    <row r="1833">
      <c r="A1833" t="inlineStr">
        <is>
          <t>Attack% Bucket Multiplier</t>
        </is>
      </c>
      <c r="B1833">
        <f>(1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34">
      <c r="A1834" t="inlineStr">
        <is>
          <t>Global Crit Rate Bonus %</t>
        </is>
      </c>
      <c r="B1834" t="n">
        <v>0</v>
      </c>
    </row>
    <row r="1835">
      <c r="A1835" t="inlineStr">
        <is>
          <t>Attack Speed Buff Bonus %</t>
        </is>
      </c>
      <c r="B1835">
        <f>((C1820=TRUE)*F1820*IF(AND(Inputs!$B$38&lt;&gt;"pvp",Inputs!$B$43&gt;0),(((R1820-1)*MIN((Skills!T21*(1+Inputs!$B$34/100)),(1/Q1820))+MIN((Skills!T21*(1+Inputs!$B$34/100)),MAX(0,Inputs!$B$43-((R1820-1)*(1/Q1820)))))/Inputs!$B$43),IF(Inputs!$B$38="pvp",MIN((Skills!T21*(1+Inputs!$B$34/100)),15)/15,MIN(1,(Skills!T21*(1+Inputs!$B$34/100))/(1/Q1820)))))</f>
        <v/>
      </c>
    </row>
    <row r="1836">
      <c r="A1836" t="inlineStr">
        <is>
          <t>Actions Per Second</t>
        </is>
      </c>
      <c r="B1836">
        <f>1+MIN(150,150*(1-(1-(Inputs!$B$11+((C1822=TRUE)*(F1822-Calc!F23))+((C1823=TRUE)*(F1823-Calc!F24)))/150)*(1-B1835/150)))/100</f>
        <v/>
      </c>
    </row>
    <row r="1837">
      <c r="A1837" t="inlineStr">
        <is>
          <t>Skill + Buff Cast Rate</t>
        </is>
      </c>
      <c r="B1837">
        <f>IF(AND(Inputs!$B$38&lt;&gt;"pvp",Inputs!$B$43&gt;0),SUMPRODUCT((Skills!E2:E32=TRUE)*(C1801:C1831=TRUE)*R1801:R1831*Skills!F2:F32)/Inputs!$B$43,SUMPRODUCT((Skills!E2:E32=TRUE)*(C1801:C1831=TRUE)*Q1801:Q1831*Skills!F2:F32))</f>
        <v/>
      </c>
    </row>
    <row r="1838">
      <c r="A1838" t="inlineStr">
        <is>
          <t>Arrow Stream Casts Per Second</t>
        </is>
      </c>
      <c r="B1838">
        <f>MAX(0,B1836-B1837)</f>
        <v/>
      </c>
    </row>
    <row r="1839">
      <c r="A1839" t="inlineStr">
        <is>
          <t>Global Critical Damage Bonus % (Sharp Eyes + Concentration)</t>
        </is>
      </c>
      <c r="B1839">
        <f>(C1817=TRUE)*F1817*IF(AND(Inputs!$B$38&lt;&gt;"pvp",Inputs!$B$43&gt;0),(((R1817-1)*MIN((Skills!T18*(1+Inputs!$B$34/100)),(1/Q1817))+MIN((Skills!T18*(1+Inputs!$B$34/100)),MAX(0,Inputs!$B$43-((R1817-1)*(1/Q1817)))))/Inputs!$B$43),IF(Inputs!$B$38="pvp",MIN((Skills!T18*(1+Inputs!$B$34/100)),15)/15,MIN(1,(Skills!T18*(1+Inputs!$B$34/100))/(1/Q1817))))+(C1818=TRUE)*7*F1818</f>
        <v/>
      </c>
    </row>
    <row r="1840">
      <c r="A1840" t="inlineStr">
        <is>
          <t>Global Final Damage Bonus % (Mortal Blow)</t>
        </is>
      </c>
      <c r="B1840">
        <f>(C1819=TRUE)*F1819</f>
        <v/>
      </c>
    </row>
    <row r="1841">
      <c r="A1841" t="inlineStr">
        <is>
          <t>Buff-Casting Startup Delay (s, fixed-duration only)</t>
        </is>
      </c>
      <c r="B1841">
        <f>IF(AND(Inputs!$B$38&lt;&gt;"pvp",Inputs!$B$43&gt;0),SUMPRODUCT((Skills!T2:T32&gt;0)*(Skills!E2:E32=TRUE)*(C1801:C1831=TRUE))/B1836,0)</f>
        <v/>
      </c>
    </row>
    <row r="1842">
      <c r="A1842" t="inlineStr">
        <is>
          <t>Boss-Only Total DPS (this block's swept value)</t>
        </is>
      </c>
      <c r="B1842">
        <f>SUM(T1801:T1831)</f>
        <v/>
      </c>
    </row>
    <row r="1843">
      <c r="A1843" t="inlineStr">
        <is>
          <t>Normal-Only Total DPS (this block's swept value)</t>
        </is>
      </c>
      <c r="B1843">
        <f>SUM(V1801:V1831)</f>
        <v/>
      </c>
    </row>
    <row r="1844">
      <c r="A1844" s="6" t="inlineStr">
        <is>
          <t>TOTAL DPS</t>
        </is>
      </c>
      <c r="B1844" s="6">
        <f>SUM(O1801:O1831)</f>
        <v/>
      </c>
    </row>
    <row r="1847">
      <c r="A1847" s="6" t="inlineStr">
        <is>
          <t>Stat: Horntail's Scale (Equip)</t>
        </is>
      </c>
    </row>
    <row r="1848">
      <c r="A1848" s="5" t="inlineStr">
        <is>
          <t>Key</t>
        </is>
      </c>
      <c r="B1848" s="5" t="inlineStr">
        <is>
          <t>Name</t>
        </is>
      </c>
      <c r="C1848" s="5" t="inlineStr">
        <is>
          <t>Unlocked</t>
        </is>
      </c>
      <c r="D1848" s="5" t="inlineStr">
        <is>
          <t>InputLevel</t>
        </is>
      </c>
      <c r="E1848" s="5" t="inlineStr">
        <is>
          <t>Factor</t>
        </is>
      </c>
      <c r="F1848" s="5" t="inlineStr">
        <is>
          <t>CoefficientPercent</t>
        </is>
      </c>
      <c r="G1848" s="5" t="inlineStr">
        <is>
          <t>EffectiveHits</t>
        </is>
      </c>
      <c r="H1848" s="5" t="inlineStr">
        <is>
          <t>ProcProbability</t>
        </is>
      </c>
      <c r="I1848" s="5" t="inlineStr">
        <is>
          <t>MapleHeroMultiplier</t>
        </is>
      </c>
      <c r="J1848" s="5" t="inlineStr">
        <is>
          <t>BaseDamage</t>
        </is>
      </c>
      <c r="K1848" s="5" t="inlineStr">
        <is>
          <t>BaseHitDamage</t>
        </is>
      </c>
      <c r="L1848" s="5" t="inlineStr">
        <is>
          <t>NonCritAvg</t>
        </is>
      </c>
      <c r="M1848" s="5" t="inlineStr">
        <is>
          <t>CritAvg</t>
        </is>
      </c>
      <c r="N1848" s="5" t="inlineStr">
        <is>
          <t>ExpectedDamage(perHit)</t>
        </is>
      </c>
      <c r="O1848" s="5" t="inlineStr">
        <is>
          <t>DPS</t>
        </is>
      </c>
      <c r="P1848" s="5" t="inlineStr">
        <is>
          <t>% of Total</t>
        </is>
      </c>
      <c r="Q1848" s="5" t="inlineStr">
        <is>
          <t>InvCooldown</t>
        </is>
      </c>
      <c r="R1848" s="5" t="inlineStr">
        <is>
          <t>CastsInFight</t>
        </is>
      </c>
      <c r="S1848" s="5" t="inlineStr">
        <is>
          <t>HitRate(perSec)</t>
        </is>
      </c>
      <c r="U1848" t="inlineStr">
        <is>
          <t>helpers</t>
        </is>
      </c>
    </row>
    <row r="1849">
      <c r="A1849">
        <f>Skills!A2</f>
        <v/>
      </c>
      <c r="B1849">
        <f>Skills!B2</f>
        <v/>
      </c>
      <c r="C1849">
        <f>Inputs!$B$3&gt;=100</f>
        <v/>
      </c>
      <c r="D1849" t="inlineStr"/>
      <c r="E1849" t="inlineStr"/>
      <c r="F1849">
        <f>U1851+Skills!O2</f>
        <v/>
      </c>
      <c r="G1849">
        <f>Skills!G2*IF(Skills!H2&gt;0,INT(IF(Inputs!$B$38="pvp",MIN(Skills!I2,15),Skills!I2)/Skills!H2+0.000000001),1)</f>
        <v/>
      </c>
      <c r="H1849">
        <f>1-(1-Skills!J2/100)^Skills!K2</f>
        <v/>
      </c>
      <c r="I1849" t="inlineStr">
        <is>
          <t>1</t>
        </is>
      </c>
      <c r="J1849">
        <f>((Inputs!$B$6*(1+Inputs!$B$7/100))+(((Inputs!$B$12*(1+Inputs!$B$13/100))-(Inputs!$B$12*(1+Inputs!$B$13/100)))+0.25*(Inputs!$B$14-Inputs!$B$14))*(1+Inputs!$B$7/100))*(F1849/100)</f>
        <v/>
      </c>
      <c r="K1849">
        <f>J1849*(1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1849)</f>
        <v/>
      </c>
      <c r="L1849">
        <f>K1849*(MIN(Inputs!$B$22+((C1873=TRUE)*(F1873-Calc!F26)),(Inputs!$B$23+((C1878=TRUE)*(F1878-Calc!F31))+(IF(ArtifactsInput!$M$15,CHOOSE(ArtifactsInput!$N$15+1,25,30,35,40,45,50)/100*(Inputs!$B$11-Inputs!$B$11),0))))/100+(Inputs!$B$23+((C1878=TRUE)*(F1878-Calc!F31))+(IF(ArtifactsInput!$M$15,CHOOSE(ArtifactsInput!$N$15+1,25,30,35,40,45,50)/100*(Inputs!$B$11-Inputs!$B$11),0)))/100)/2</f>
        <v/>
      </c>
      <c r="M1849">
        <f>L1849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9">
        <f>L1849*(1-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1849*(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9">
        <f>(1-Summary!$B$11)*T1849+Summary!$B$11*V1849</f>
        <v/>
      </c>
      <c r="P1849">
        <f>IF(B1892=0,0,O1849/B1892)</f>
        <v/>
      </c>
      <c r="Q1849" t="n">
        <v>0</v>
      </c>
      <c r="R1849" t="n">
        <v>0</v>
      </c>
      <c r="S1849">
        <f>IFERROR(O1849/N1849,0)</f>
        <v/>
      </c>
      <c r="T1849">
        <f>IF(C1849,(Skills!G2*N1849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9">
        <f>MAX(0,(Inputs!$B$3-100)*3)+Inputs!$B$28+Inputs!$B$29</f>
        <v/>
      </c>
      <c r="V1849">
        <f>IF(C1849,(Skills!G2*N1849*B1886)*IF(Inputs!$B$38="pvp",1,(1+(Inputs!$B$21+Skills!Q2+(IF(ArtifactsInput!$M$33,CHOOSE(ArtifactsInput!$N$33+1,30,36,42,48,54,60),0))+(IF(AND(ArtifactsInput!$M$35,Inputs!$B$4&lt;&gt;"Chapter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0">
      <c r="A1850">
        <f>Skills!A3</f>
        <v/>
      </c>
      <c r="B1850">
        <f>Skills!B3</f>
        <v/>
      </c>
      <c r="C1850">
        <f>Inputs!$B$3&gt;=50</f>
        <v/>
      </c>
      <c r="D1850">
        <f>IF(Skills!C3=1,60+Inputs!$B$25+Inputs!$B$29,IF(Skills!C3=2,90+Inputs!$B$26+Inputs!$B$29,IF(Skills!C3=3,120+Inputs!$B$27+Inputs!$B$29,MAX(0,(Inputs!$B$3-100)*3)+Inputs!$B$28+Inputs!$B$29)))</f>
        <v/>
      </c>
      <c r="E1850">
        <f>INDEX(FactorTable!$B$2:$Y$301, MATCH(ROUND(MIN(300,MAX(1,D1850)),0), FactorTable!$A$2:$A$301,0), Skills!M3+1)</f>
        <v/>
      </c>
      <c r="F1850">
        <f>IF(Skills!N3=TRUE,(Skills!L3/10)*(E1850/1000),Skills!L3/10)+Skills!O3</f>
        <v/>
      </c>
      <c r="G1850">
        <f>Skills!G3*IF(Skills!H3&gt;0,INT(IF(Inputs!$B$38="pvp",MIN(Skills!I3,15),Skills!I3)/Skills!H3+0.000000001),1)</f>
        <v/>
      </c>
      <c r="H1850">
        <f>1-(1-Skills!J3/100)^Skills!K3</f>
        <v/>
      </c>
      <c r="I1850" t="inlineStr">
        <is>
          <t>1</t>
        </is>
      </c>
      <c r="J1850">
        <f>((Inputs!$B$6*(1+Inputs!$B$7/100))+(((Inputs!$B$12*(1+Inputs!$B$13/100))-(Inputs!$B$12*(1+Inputs!$B$13/100)))+0.25*(Inputs!$B$14-Inputs!$B$14))*(1+Inputs!$B$7/100))*(F1850/100)</f>
        <v/>
      </c>
      <c r="K1850">
        <f>J1850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1851=TRUE,F1851,0)/100)*(1+(IF(Skills!A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1850)</f>
        <v/>
      </c>
      <c r="L1850">
        <f>K1850*(MIN(Inputs!$B$22+((C1873=TRUE)*(F1873-Calc!F26)),(Inputs!$B$23+((C1878=TRUE)*(F1878-Calc!F31))+(IF(ArtifactsInput!$M$15,CHOOSE(ArtifactsInput!$N$15+1,25,30,35,40,45,50)/100*(Inputs!$B$11-Inputs!$B$11),0))))/100+(Inputs!$B$23+((C1878=TRUE)*(F1878-Calc!F31))+(IF(ArtifactsInput!$M$15,CHOOSE(ArtifactsInput!$N$15+1,25,30,35,40,45,50)/100*(Inputs!$B$11-Inputs!$B$11),0)))/100)/2</f>
        <v/>
      </c>
      <c r="M1850">
        <f>L1850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0">
        <f>L1850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0">
        <f>(1-Summary!$B$11)*T1850+Summary!$B$11*V1850</f>
        <v/>
      </c>
      <c r="P1850">
        <f>IF(B1892=0,0,O1850/B1892)</f>
        <v/>
      </c>
      <c r="Q1850">
        <f>IFERROR(1/(IF(Inputs!$B$38="pvp",15,MAX(0.1,1/B1884-IF(FALSE=TRUE,Inputs!$B$32,0)))*(1-IF(AND(ArtifactsInput!$M$27,Inputs!$B$4="Chapter Hunt"),CHOOSE(ArtifactsInput!$N$27+1,20,24,28,32,36,40),0)/100)),0)</f>
        <v/>
      </c>
      <c r="R1850">
        <f>IF(AND(Inputs!$B$38&lt;&gt;"pvp",Inputs!$B$43&gt;0),IF(MAX(0,Inputs!$B$43-B1889)&lt;=0,0,(INT(MAX(0,Inputs!$B$43-B1889)/(IF(Inputs!$B$38="pvp",15,MAX(0.1,1/B1884-IF(FALSE=TRUE,Inputs!$B$32,0)))*(1-IF(AND(ArtifactsInput!$M$27,Inputs!$B$4="Chapter Hunt"),CHOOSE(ArtifactsInput!$N$27+1,20,24,28,32,36,40),0)/100)))+1)),0)</f>
        <v/>
      </c>
      <c r="S1850">
        <f>IFERROR(O1850/N1850,0)</f>
        <v/>
      </c>
      <c r="T1850">
        <f>IF(C1850,(H1850*N1850*IF(AND(Inputs!$B$38&lt;&gt;"pvp",Inputs!$B$43&gt;0),((Skills!G3*((R1850-1)*IF(Skills!H3&gt;0,INT(Skills!I3/Skills!H3+0.000000001),1)+IF(Skills!H3&gt;0,INT(MIN(Skills!I3,MAX(0,MAX(0,Inputs!$B$43-B1889)-((R1850-1)*(IF(Inputs!$B$38="pvp",15,MAX(0.1,1/B1884-IF(FALSE=TRUE,Inputs!$B$32,0)))*(1-IF(AND(ArtifactsInput!$M$27,Inputs!$B$4="Chapter Hunt"),CHOOSE(ArtifactsInput!$N$27+1,20,24,28,32,36,40),0)/100)))))/Skills!H3+0.000000001),1)))/Inputs!$B$43),G1850*Q1850)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0">
        <f>INDEX(FactorTable!$B$2:$Y$301, MATCH(ROUND(MIN(300,MAX(1,U1849)),0), FactorTable!$A$2:$A$301,0), 22)</f>
        <v/>
      </c>
      <c r="V1850">
        <f>IF(C1850,(H1850*N1850*IF(AND(Inputs!$B$38&lt;&gt;"pvp",Inputs!$B$43&gt;0),((Skills!G3*((R1850-1)*IF(Skills!H3&gt;0,INT(Skills!I3/Skills!H3+0.000000001),1)+IF(Skills!H3&gt;0,INT(MIN(Skills!I3,MAX(0,MAX(0,Inputs!$B$43-B1889)-((R1850-1)*(IF(Inputs!$B$38="pvp",15,MAX(0.1,1/B1884-IF(FALSE=TRUE,Inputs!$B$32,0)))*(1-IF(AND(ArtifactsInput!$M$27,Inputs!$B$4="Chapter Hunt"),CHOOSE(ArtifactsInput!$N$27+1,20,24,28,32,36,40),0)/100)))))/Skills!H3+0.000000001),1)))/Inputs!$B$43),G1850*Q1850))*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1">
      <c r="A1851">
        <f>Skills!A4</f>
        <v/>
      </c>
      <c r="B1851">
        <f>Skills!B4</f>
        <v/>
      </c>
      <c r="C1851">
        <f>Inputs!$B$3&gt;=105</f>
        <v/>
      </c>
      <c r="D1851">
        <f>IF(Skills!C4=1,60+Inputs!$B$25+Inputs!$B$29,IF(Skills!C4=2,90+Inputs!$B$26+Inputs!$B$29,IF(Skills!C4=3,120+Inputs!$B$27+Inputs!$B$29,MAX(0,(Inputs!$B$3-100)*3)+Inputs!$B$28+Inputs!$B$29)))</f>
        <v/>
      </c>
      <c r="E1851">
        <f>INDEX(FactorTable!$B$2:$Y$301, MATCH(ROUND(MIN(300,MAX(1,D1851)),0), FactorTable!$A$2:$A$301,0), Skills!M4+1)</f>
        <v/>
      </c>
      <c r="F1851">
        <f>IF(Skills!N4=TRUE,(Skills!L4/10)*(E1851/1000),Skills!L4/10)+Skills!O4</f>
        <v/>
      </c>
      <c r="G1851" t="inlineStr"/>
      <c r="H1851" t="inlineStr"/>
      <c r="I1851" t="inlineStr">
        <is>
          <t>1</t>
        </is>
      </c>
      <c r="J1851" t="inlineStr"/>
      <c r="K1851" t="inlineStr"/>
      <c r="L1851" t="inlineStr"/>
      <c r="M1851" t="inlineStr"/>
      <c r="N1851" t="inlineStr"/>
      <c r="O1851" t="inlineStr"/>
      <c r="P1851" t="inlineStr"/>
      <c r="Q1851" t="inlineStr"/>
      <c r="R1851" t="inlineStr"/>
      <c r="S1851" t="inlineStr"/>
      <c r="T1851" t="inlineStr"/>
      <c r="U1851">
        <f>290*U1850/1000</f>
        <v/>
      </c>
      <c r="V1851" t="inlineStr"/>
    </row>
    <row r="1852">
      <c r="A1852">
        <f>Skills!A5</f>
        <v/>
      </c>
      <c r="B1852">
        <f>Skills!B5</f>
        <v/>
      </c>
      <c r="C1852">
        <f>Inputs!$B$3&gt;=35</f>
        <v/>
      </c>
      <c r="D1852">
        <f>IF(Skills!C5=1,60+Inputs!$B$25+Inputs!$B$29,IF(Skills!C5=2,90+Inputs!$B$26+Inputs!$B$29,IF(Skills!C5=3,120+Inputs!$B$27+Inputs!$B$29,MAX(0,(Inputs!$B$3-100)*3)+Inputs!$B$28+Inputs!$B$29)))</f>
        <v/>
      </c>
      <c r="E1852">
        <f>INDEX(FactorTable!$B$2:$Y$301, MATCH(ROUND(MIN(300,MAX(1,D1852)),0), FactorTable!$A$2:$A$301,0), Skills!M5+1)</f>
        <v/>
      </c>
      <c r="F1852">
        <f>IF(Skills!N5=TRUE,(Skills!L5/10)*(E1852/1000),Skills!L5/10)+Skills!O5</f>
        <v/>
      </c>
      <c r="G1852">
        <f>Skills!G5*IF(Skills!H5&gt;0,INT(IF(Inputs!$B$38="pvp",MIN(Skills!I5,15),Skills!I5)/Skills!H5+0.000000001),1)</f>
        <v/>
      </c>
      <c r="H1852">
        <f>1-(1-Skills!J5/100)^Skills!K5</f>
        <v/>
      </c>
      <c r="I1852" t="inlineStr">
        <is>
          <t>1</t>
        </is>
      </c>
      <c r="J1852">
        <f>((Inputs!$B$6*(1+Inputs!$B$7/100))+(((Inputs!$B$12*(1+Inputs!$B$13/100))-(Inputs!$B$12*(1+Inputs!$B$13/100)))+0.25*(Inputs!$B$14-Inputs!$B$14))*(1+Inputs!$B$7/100))*(F1852/100)</f>
        <v/>
      </c>
      <c r="K1852">
        <f>J1852*(1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1859=TRUE,F1859,0)/100)*(1+(IF(Skills!A5="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1852)</f>
        <v/>
      </c>
      <c r="L1852">
        <f>K1852*(MIN(Inputs!$B$22+((C1873=TRUE)*(F1873-Calc!F26)),(Inputs!$B$23+((C1878=TRUE)*(F1878-Calc!F31))+(IF(ArtifactsInput!$M$15,CHOOSE(ArtifactsInput!$N$15+1,25,30,35,40,45,50)/100*(Inputs!$B$11-Inputs!$B$11),0))))/100+(Inputs!$B$23+((C1878=TRUE)*(F1878-Calc!F31))+(IF(ArtifactsInput!$M$15,CHOOSE(ArtifactsInput!$N$15+1,25,30,35,40,45,50)/100*(Inputs!$B$11-Inputs!$B$11),0)))/100)/2</f>
        <v/>
      </c>
      <c r="M1852">
        <f>L1852*(1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2">
        <f>L1852*(1-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1852*(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2">
        <f>(1-Summary!$B$11)*T1852+Summary!$B$11*V1852</f>
        <v/>
      </c>
      <c r="P1852">
        <f>IF(B1892=0,0,O1852/B1892)</f>
        <v/>
      </c>
      <c r="Q1852">
        <f>IFERROR(1/(IF(Inputs!$B$38="pvp",15,MAX(0.1,Skills!D5-IF(TRUE=TRUE,Inputs!$B$32,0)))*(1-IF(AND(ArtifactsInput!$M$27,Inputs!$B$4="Chapter Hunt"),CHOOSE(ArtifactsInput!$N$27+1,20,24,28,32,36,40),0)/100)),0)</f>
        <v/>
      </c>
      <c r="R1852">
        <f>IF(AND(Inputs!$B$38&lt;&gt;"pvp",Inputs!$B$43&gt;0),IF(MAX(0,Inputs!$B$43-B1889)&lt;=0,0,(INT(MAX(0,Inputs!$B$43-B1889)/(IF(Inputs!$B$38="pvp",15,MAX(0.1,Skills!D5-IF(TRUE=TRUE,Inputs!$B$32,0)))*(1-IF(AND(ArtifactsInput!$M$27,Inputs!$B$4="Chapter Hunt"),CHOOSE(ArtifactsInput!$N$27+1,20,24,28,32,36,40),0)/100)))+1)),0)</f>
        <v/>
      </c>
      <c r="S1852">
        <f>IFERROR(O1852/N1852,0)</f>
        <v/>
      </c>
      <c r="T1852">
        <f>IF(C1852,(H1852*N1852*IF(AND(Inputs!$B$38&lt;&gt;"pvp",Inputs!$B$43&gt;0),((Skills!G5*((R1852-1)*IF(Skills!H5&gt;0,INT(Skills!I5/Skills!H5+0.000000001),1)+IF(Skills!H5&gt;0,INT(MIN(Skills!I5,MAX(0,MAX(0,Inputs!$B$43-B1889)-((R1852-1)*(IF(Inputs!$B$38="pvp",15,MAX(0.1,Skills!D5-IF(TRUE=TRUE,Inputs!$B$32,0)))*(1-IF(AND(ArtifactsInput!$M$27,Inputs!$B$4="Chapter Hunt"),CHOOSE(ArtifactsInput!$N$27+1,20,24,28,32,36,40),0)/100)))))/Skills!H5+0.000000001),1)))/Inputs!$B$43),G1852*Q1852)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2">
        <f>IF(C1852,(H1852*N1852*IF(AND(Inputs!$B$38&lt;&gt;"pvp",Inputs!$B$43&gt;0),((Skills!G5*((R1852-1)*IF(Skills!H5&gt;0,INT(Skills!I5/Skills!H5+0.000000001),1)+IF(Skills!H5&gt;0,INT(MIN(Skills!I5,MAX(0,MAX(0,Inputs!$B$43-B1889)-((R1852-1)*(IF(Inputs!$B$38="pvp",15,MAX(0.1,Skills!D5-IF(TRUE=TRUE,Inputs!$B$32,0)))*(1-IF(AND(ArtifactsInput!$M$27,Inputs!$B$4="Chapter Hunt"),CHOOSE(ArtifactsInput!$N$27+1,20,24,28,32,36,40),0)/100)))))/Skills!H5+0.000000001),1)))/Inputs!$B$43),G1852*Q1852))*IF(Inputs!$B$38="pvp",1,(1+(Inputs!$B$21+Skills!Q5+(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3">
      <c r="A1853">
        <f>Skills!A6</f>
        <v/>
      </c>
      <c r="B1853">
        <f>Skills!B6</f>
        <v/>
      </c>
      <c r="C1853">
        <f>Inputs!$B$3&gt;=40</f>
        <v/>
      </c>
      <c r="D1853">
        <f>IF(Skills!C6=1,60+Inputs!$B$25+Inputs!$B$29,IF(Skills!C6=2,90+Inputs!$B$26+Inputs!$B$29,IF(Skills!C6=3,120+Inputs!$B$27+Inputs!$B$29,MAX(0,(Inputs!$B$3-100)*3)+Inputs!$B$28+Inputs!$B$29)))</f>
        <v/>
      </c>
      <c r="E1853">
        <f>INDEX(FactorTable!$B$2:$Y$301, MATCH(ROUND(MIN(300,MAX(1,D1853)),0), FactorTable!$A$2:$A$301,0), Skills!M6+1)</f>
        <v/>
      </c>
      <c r="F1853">
        <f>IF(Skills!N6=TRUE,(Skills!L6/10)*(E1853/1000),Skills!L6/10)+Skills!O6</f>
        <v/>
      </c>
      <c r="G1853">
        <f>Skills!G6*IF(Skills!H6&gt;0,INT(IF(Inputs!$B$38="pvp",MIN(Skills!I6,15),Skills!I6)/Skills!H6+0.000000001),1)</f>
        <v/>
      </c>
      <c r="H1853">
        <f>1-(1-Skills!J6/100)^Skills!K6</f>
        <v/>
      </c>
      <c r="I1853" t="inlineStr">
        <is>
          <t>1</t>
        </is>
      </c>
      <c r="J1853">
        <f>((Inputs!$B$6*(1+Inputs!$B$7/100))+(((Inputs!$B$12*(1+Inputs!$B$13/100))-(Inputs!$B$12*(1+Inputs!$B$13/100)))+0.25*(Inputs!$B$14-Inputs!$B$14))*(1+Inputs!$B$7/100))*(F1853/100)</f>
        <v/>
      </c>
      <c r="K1853">
        <f>J1853*(1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1854=TRUE,F1854,0)/100)*(1+(IF(Skills!A6="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1853)</f>
        <v/>
      </c>
      <c r="L1853">
        <f>K1853*(MIN(Inputs!$B$22+((C1873=TRUE)*(F1873-Calc!F26)),(Inputs!$B$23+((C1878=TRUE)*(F1878-Calc!F31))+(IF(ArtifactsInput!$M$15,CHOOSE(ArtifactsInput!$N$15+1,25,30,35,40,45,50)/100*(Inputs!$B$11-Inputs!$B$11),0))))/100+(Inputs!$B$23+((C1878=TRUE)*(F1878-Calc!F31))+(IF(ArtifactsInput!$M$15,CHOOSE(ArtifactsInput!$N$15+1,25,30,35,40,45,50)/100*(Inputs!$B$11-Inputs!$B$11),0)))/100)/2</f>
        <v/>
      </c>
      <c r="M1853">
        <f>L1853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3">
        <f>L1853*(1-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1853*(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3">
        <f>(1-Summary!$B$11)*T1853+Summary!$B$11*V1853</f>
        <v/>
      </c>
      <c r="P1853">
        <f>IF(B1892=0,0,O1853/B1892)</f>
        <v/>
      </c>
      <c r="Q1853">
        <f>IFERROR(1/(IF(Inputs!$B$38="pvp",15,MAX(0.1,1-0.4*MIN(1,(B1884-1)/1.5)-IF(FALSE=TRUE,Inputs!$B$32,0)))*(1-IF(AND(ArtifactsInput!$M$27,Inputs!$B$4="Chapter Hunt"),CHOOSE(ArtifactsInput!$N$27+1,20,24,28,32,36,40),0)/100)),0)</f>
        <v/>
      </c>
      <c r="R1853">
        <f>IF(AND(Inputs!$B$38&lt;&gt;"pvp",Inputs!$B$43&gt;0),IF(MAX(0,Inputs!$B$43-B1889)&lt;=0,0,(INT(MAX(0,Inputs!$B$43-B1889)/(IF(Inputs!$B$38="pvp",15,MAX(0.1,1-0.4*MIN(1,(B1884-1)/1.5)-IF(FALSE=TRUE,Inputs!$B$32,0)))*(1-IF(AND(ArtifactsInput!$M$27,Inputs!$B$4="Chapter Hunt"),CHOOSE(ArtifactsInput!$N$27+1,20,24,28,32,36,40),0)/100)))+1)),0)</f>
        <v/>
      </c>
      <c r="S1853">
        <f>IFERROR(O1853/N1853,0)</f>
        <v/>
      </c>
      <c r="T1853">
        <f>IF(C1853,(H1853*N1853*IF(AND(Inputs!$B$38&lt;&gt;"pvp",Inputs!$B$43&gt;0),((Skills!G6*((R1853-1)*IF(Skills!H6&gt;0,INT(Skills!I6/Skills!H6+0.000000001),1)+IF(Skills!H6&gt;0,INT(MIN(Skills!I6,MAX(0,MAX(0,Inputs!$B$43-B1889)-((R1853-1)*(IF(Inputs!$B$38="pvp",15,MAX(0.1,1-0.4*MIN(1,(B1884-1)/1.5)-IF(FALSE=TRUE,Inputs!$B$32,0)))*(1-IF(AND(ArtifactsInput!$M$27,Inputs!$B$4="Chapter Hunt"),CHOOSE(ArtifactsInput!$N$27+1,20,24,28,32,36,40),0)/100)))))/Skills!H6+0.000000001),1)))/Inputs!$B$43),G1853*Q1853)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3">
        <f>IF(C1853,(H1853*N1853*IF(AND(Inputs!$B$38&lt;&gt;"pvp",Inputs!$B$43&gt;0),((Skills!G6*((R1853-1)*IF(Skills!H6&gt;0,INT(Skills!I6/Skills!H6+0.000000001),1)+IF(Skills!H6&gt;0,INT(MIN(Skills!I6,MAX(0,MAX(0,Inputs!$B$43-B1889)-((R1853-1)*(IF(Inputs!$B$38="pvp",15,MAX(0.1,1-0.4*MIN(1,(B1884-1)/1.5)-IF(FALSE=TRUE,Inputs!$B$32,0)))*(1-IF(AND(ArtifactsInput!$M$27,Inputs!$B$4="Chapter Hunt"),CHOOSE(ArtifactsInput!$N$27+1,20,24,28,32,36,40),0)/100)))))/Skills!H6+0.000000001),1)))/Inputs!$B$43),G1853*Q1853)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4">
      <c r="A1854">
        <f>Skills!A7</f>
        <v/>
      </c>
      <c r="B1854">
        <f>Skills!B7</f>
        <v/>
      </c>
      <c r="C1854">
        <f>Inputs!$B$3&gt;=107</f>
        <v/>
      </c>
      <c r="D1854">
        <f>IF(Skills!C7=1,60+Inputs!$B$25+Inputs!$B$29,IF(Skills!C7=2,90+Inputs!$B$26+Inputs!$B$29,IF(Skills!C7=3,120+Inputs!$B$27+Inputs!$B$29,MAX(0,(Inputs!$B$3-100)*3)+Inputs!$B$28+Inputs!$B$29)))</f>
        <v/>
      </c>
      <c r="E1854">
        <f>INDEX(FactorTable!$B$2:$Y$301, MATCH(ROUND(MIN(300,MAX(1,D1854)),0), FactorTable!$A$2:$A$301,0), Skills!M7+1)</f>
        <v/>
      </c>
      <c r="F1854">
        <f>IF(Skills!N7=TRUE,(Skills!L7/10)*(E1854/1000),Skills!L7/10)+Skills!O7</f>
        <v/>
      </c>
      <c r="G1854" t="inlineStr"/>
      <c r="H1854" t="inlineStr"/>
      <c r="I1854" t="inlineStr">
        <is>
          <t>1</t>
        </is>
      </c>
      <c r="J1854" t="inlineStr"/>
      <c r="K1854" t="inlineStr"/>
      <c r="L1854" t="inlineStr"/>
      <c r="M1854" t="inlineStr"/>
      <c r="N1854" t="inlineStr"/>
      <c r="O1854" t="inlineStr"/>
      <c r="P1854" t="inlineStr"/>
      <c r="Q1854" t="inlineStr"/>
      <c r="R1854" t="inlineStr"/>
      <c r="S1854" t="inlineStr"/>
      <c r="T1854" t="inlineStr"/>
      <c r="V1854" t="inlineStr"/>
    </row>
    <row r="1855">
      <c r="A1855">
        <f>Skills!A8</f>
        <v/>
      </c>
      <c r="B1855">
        <f>Skills!B8</f>
        <v/>
      </c>
      <c r="C1855">
        <f>Inputs!$B$3&gt;=130</f>
        <v/>
      </c>
      <c r="D1855">
        <f>IF(Skills!C8=1,60+Inputs!$B$25+Inputs!$B$29,IF(Skills!C8=2,90+Inputs!$B$26+Inputs!$B$29,IF(Skills!C8=3,120+Inputs!$B$27+Inputs!$B$29,MAX(0,(Inputs!$B$3-100)*3)+Inputs!$B$28+Inputs!$B$29)))</f>
        <v/>
      </c>
      <c r="E1855">
        <f>INDEX(FactorTable!$B$2:$Y$301, MATCH(ROUND(MIN(300,MAX(1,D1855)),0), FactorTable!$A$2:$A$301,0), Skills!M8+1)</f>
        <v/>
      </c>
      <c r="F1855">
        <f>IF(Skills!N8=TRUE,(Skills!L8/10)*(E1855/1000),Skills!L8/10)+Skills!O8</f>
        <v/>
      </c>
      <c r="G1855">
        <f>Skills!G8*IF(Skills!H8&gt;0,INT(IF(Inputs!$B$38="pvp",MIN(Skills!I8,15),Skills!I8)/Skills!H8+0.000000001),1)</f>
        <v/>
      </c>
      <c r="H1855">
        <f>1-(1-Skills!J8/100)^Skills!K8</f>
        <v/>
      </c>
      <c r="I1855" t="inlineStr">
        <is>
          <t>1</t>
        </is>
      </c>
      <c r="J1855">
        <f>((Inputs!$B$6*(1+Inputs!$B$7/100))+(((Inputs!$B$12*(1+Inputs!$B$13/100))-(Inputs!$B$12*(1+Inputs!$B$13/100)))+0.25*(Inputs!$B$14-Inputs!$B$14))*(1+Inputs!$B$7/100))*(F1855/100)</f>
        <v/>
      </c>
      <c r="K1855">
        <f>J1855*(1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1855)</f>
        <v/>
      </c>
      <c r="L1855">
        <f>K1855*(MIN(Inputs!$B$22+((C1873=TRUE)*(F1873-Calc!F26)),(Inputs!$B$23+((C1878=TRUE)*(F1878-Calc!F31))+(IF(ArtifactsInput!$M$15,CHOOSE(ArtifactsInput!$N$15+1,25,30,35,40,45,50)/100*(Inputs!$B$11-Inputs!$B$11),0))))/100+(Inputs!$B$23+((C1878=TRUE)*(F1878-Calc!F31))+(IF(ArtifactsInput!$M$15,CHOOSE(ArtifactsInput!$N$15+1,25,30,35,40,45,50)/100*(Inputs!$B$11-Inputs!$B$11),0)))/100)/2</f>
        <v/>
      </c>
      <c r="M1855">
        <f>L1855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5">
        <f>L1855*(1-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1855*(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5">
        <f>(1-Summary!$B$11)*T1855+Summary!$B$11*V1855</f>
        <v/>
      </c>
      <c r="P1855">
        <f>IF(B1892=0,0,O1855/B1892)</f>
        <v/>
      </c>
      <c r="Q1855">
        <f>IFERROR(1/(IF(Inputs!$B$38="pvp",15,MAX(0.1,1-0.4*MIN(1,(B1884-1)/1.5)-IF(FALSE=TRUE,Inputs!$B$32,0)))*(1-IF(AND(ArtifactsInput!$M$27,Inputs!$B$4="Chapter Hunt"),CHOOSE(ArtifactsInput!$N$27+1,20,24,28,32,36,40),0)/100)),0)</f>
        <v/>
      </c>
      <c r="R1855">
        <f>IF(AND(Inputs!$B$38&lt;&gt;"pvp",Inputs!$B$43&gt;0),IF(MAX(0,Inputs!$B$43-B1889)&lt;=0,0,(INT(MAX(0,Inputs!$B$43-B1889)/(IF(Inputs!$B$38="pvp",15,MAX(0.1,1-0.4*MIN(1,(B1884-1)/1.5)-IF(FALSE=TRUE,Inputs!$B$32,0)))*(1-IF(AND(ArtifactsInput!$M$27,Inputs!$B$4="Chapter Hunt"),CHOOSE(ArtifactsInput!$N$27+1,20,24,28,32,36,40),0)/100)))+1)),0)</f>
        <v/>
      </c>
      <c r="S1855">
        <f>IFERROR(O1855/N1855,0)</f>
        <v/>
      </c>
      <c r="T1855">
        <f>IF(C1855,(H1855*N1855*IF(AND(Inputs!$B$38&lt;&gt;"pvp",Inputs!$B$43&gt;0),((Skills!G8*((R1855-1)*IF(Skills!H8&gt;0,INT(Skills!I8/Skills!H8+0.000000001),1)+IF(Skills!H8&gt;0,INT(MIN(Skills!I8,MAX(0,MAX(0,Inputs!$B$43-B1889)-((R1855-1)*(IF(Inputs!$B$38="pvp",15,MAX(0.1,1-0.4*MIN(1,(B1884-1)/1.5)-IF(FALSE=TRUE,Inputs!$B$32,0)))*(1-IF(AND(ArtifactsInput!$M$27,Inputs!$B$4="Chapter Hunt"),CHOOSE(ArtifactsInput!$N$27+1,20,24,28,32,36,40),0)/100)))))/Skills!H8+0.000000001),1)))/Inputs!$B$43),G1855*Q1855)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5">
        <f>IF(C1855,(H1855*N1855*IF(AND(Inputs!$B$38&lt;&gt;"pvp",Inputs!$B$43&gt;0),((Skills!G8*((R1855-1)*IF(Skills!H8&gt;0,INT(Skills!I8/Skills!H8+0.000000001),1)+IF(Skills!H8&gt;0,INT(MIN(Skills!I8,MAX(0,MAX(0,Inputs!$B$43-B1889)-((R1855-1)*(IF(Inputs!$B$38="pvp",15,MAX(0.1,1-0.4*MIN(1,(B1884-1)/1.5)-IF(FALSE=TRUE,Inputs!$B$32,0)))*(1-IF(AND(ArtifactsInput!$M$27,Inputs!$B$4="Chapter Hunt"),CHOOSE(ArtifactsInput!$N$27+1,20,24,28,32,36,40),0)/100)))))/Skills!H8+0.000000001),1)))/Inputs!$B$43),G1855*Q1855)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6">
      <c r="A1856">
        <f>Skills!A9</f>
        <v/>
      </c>
      <c r="B1856">
        <f>Skills!B9</f>
        <v/>
      </c>
      <c r="C1856">
        <f>Inputs!$B$3&gt;=69</f>
        <v/>
      </c>
      <c r="D1856">
        <f>IF(Skills!C9=1,60+Inputs!$B$25+Inputs!$B$29,IF(Skills!C9=2,90+Inputs!$B$26+Inputs!$B$29,IF(Skills!C9=3,120+Inputs!$B$27+Inputs!$B$29,MAX(0,(Inputs!$B$3-100)*3)+Inputs!$B$28+Inputs!$B$29)))</f>
        <v/>
      </c>
      <c r="E1856">
        <f>INDEX(FactorTable!$B$2:$Y$301, MATCH(ROUND(MIN(300,MAX(1,D1856)),0), FactorTable!$A$2:$A$301,0), Skills!M9+1)</f>
        <v/>
      </c>
      <c r="F1856">
        <f>IF(Skills!N9=TRUE,(Skills!L9/10)*(E1856/1000),Skills!L9/10)+Skills!O9</f>
        <v/>
      </c>
      <c r="G1856">
        <f>Skills!G9*IF(Skills!H9&gt;0,INT(IF(Inputs!$B$38="pvp",MIN(Skills!I9,15),Skills!I9)/Skills!H9+0.000000001),1)</f>
        <v/>
      </c>
      <c r="H1856">
        <f>1-(1-Skills!J9/100)^Skills!K9</f>
        <v/>
      </c>
      <c r="I1856" t="inlineStr">
        <is>
          <t>1</t>
        </is>
      </c>
      <c r="J1856">
        <f>((Inputs!$B$6*(1+Inputs!$B$7/100))+(((Inputs!$B$12*(1+Inputs!$B$13/100))-(Inputs!$B$12*(1+Inputs!$B$13/100)))+0.25*(Inputs!$B$14-Inputs!$B$14))*(1+Inputs!$B$7/100))*(F1856/100)</f>
        <v/>
      </c>
      <c r="K1856">
        <f>J1856*(1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1859=TRUE,F1859,0)/100)*(1+(IF(Skills!A9="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1856)</f>
        <v/>
      </c>
      <c r="L1856">
        <f>K1856*(MIN(Inputs!$B$22+((C1873=TRUE)*(F1873-Calc!F26)),(Inputs!$B$23+((C1878=TRUE)*(F1878-Calc!F31))+(IF(ArtifactsInput!$M$15,CHOOSE(ArtifactsInput!$N$15+1,25,30,35,40,45,50)/100*(Inputs!$B$11-Inputs!$B$11),0))))/100+(Inputs!$B$23+((C1878=TRUE)*(F1878-Calc!F31))+(IF(ArtifactsInput!$M$15,CHOOSE(ArtifactsInput!$N$15+1,25,30,35,40,45,50)/100*(Inputs!$B$11-Inputs!$B$11),0)))/100)/2</f>
        <v/>
      </c>
      <c r="M1856">
        <f>L1856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6">
        <f>L1856*(1-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1856*(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6">
        <f>(1-Summary!$B$11)*T1856+Summary!$B$11*V1856</f>
        <v/>
      </c>
      <c r="P1856">
        <f>IF(B1892=0,0,O1856/B1892)</f>
        <v/>
      </c>
      <c r="Q1856">
        <f>IFERROR(1/(IF(Inputs!$B$38="pvp",15,MAX(0.1,Skills!D9-IF(TRUE=TRUE,Inputs!$B$32,0)))*(1-IF(AND(ArtifactsInput!$M$27,Inputs!$B$4="Chapter Hunt"),CHOOSE(ArtifactsInput!$N$27+1,20,24,28,32,36,40),0)/100)),0)</f>
        <v/>
      </c>
      <c r="R1856">
        <f>IF(AND(Inputs!$B$38&lt;&gt;"pvp",Inputs!$B$43&gt;0),IF(MAX(0,Inputs!$B$43-B1889)&lt;=0,0,(INT(MAX(0,Inputs!$B$43-B1889)/(IF(Inputs!$B$38="pvp",15,MAX(0.1,Skills!D9-IF(TRUE=TRUE,Inputs!$B$32,0)))*(1-IF(AND(ArtifactsInput!$M$27,Inputs!$B$4="Chapter Hunt"),CHOOSE(ArtifactsInput!$N$27+1,20,24,28,32,36,40),0)/100)))+1)),0)</f>
        <v/>
      </c>
      <c r="S1856">
        <f>IFERROR(O1856/N1856,0)</f>
        <v/>
      </c>
      <c r="T1856">
        <f>IF(C1856,(H1856*N1856*IF(AND(Inputs!$B$38&lt;&gt;"pvp",Inputs!$B$43&gt;0),((Skills!G9*((R1856-1)*IF(Skills!H9&gt;0,INT(Skills!I9/Skills!H9+0.000000001),1)+IF(Skills!H9&gt;0,INT(MIN(Skills!I9,MAX(0,MAX(0,Inputs!$B$43-B1889)-((R1856-1)*(IF(Inputs!$B$38="pvp",15,MAX(0.1,Skills!D9-IF(TRUE=TRUE,Inputs!$B$32,0)))*(1-IF(AND(ArtifactsInput!$M$27,Inputs!$B$4="Chapter Hunt"),CHOOSE(ArtifactsInput!$N$27+1,20,24,28,32,36,40),0)/100)))))/Skills!H9+0.000000001),1)))/Inputs!$B$43),G1856*Q1856)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6">
        <f>IF(C1856,(H1856*N1856*IF(AND(Inputs!$B$38&lt;&gt;"pvp",Inputs!$B$43&gt;0),((Skills!G9*((R1856-1)*IF(Skills!H9&gt;0,INT(Skills!I9/Skills!H9+0.000000001),1)+IF(Skills!H9&gt;0,INT(MIN(Skills!I9,MAX(0,MAX(0,Inputs!$B$43-B1889)-((R1856-1)*(IF(Inputs!$B$38="pvp",15,MAX(0.1,Skills!D9-IF(TRUE=TRUE,Inputs!$B$32,0)))*(1-IF(AND(ArtifactsInput!$M$27,Inputs!$B$4="Chapter Hunt"),CHOOSE(ArtifactsInput!$N$27+1,20,24,28,32,36,40),0)/100)))))/Skills!H9+0.000000001),1)))/Inputs!$B$43),G1856*Q1856)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7">
      <c r="A1857">
        <f>Skills!A10</f>
        <v/>
      </c>
      <c r="B1857">
        <f>Skills!B10</f>
        <v/>
      </c>
      <c r="C1857">
        <f>Inputs!$B$3&gt;=63</f>
        <v/>
      </c>
      <c r="D1857">
        <f>IF(Skills!C10=1,60+Inputs!$B$25+Inputs!$B$29,IF(Skills!C10=2,90+Inputs!$B$26+Inputs!$B$29,IF(Skills!C10=3,120+Inputs!$B$27+Inputs!$B$29,MAX(0,(Inputs!$B$3-100)*3)+Inputs!$B$28+Inputs!$B$29)))</f>
        <v/>
      </c>
      <c r="E1857">
        <f>INDEX(FactorTable!$B$2:$Y$301, MATCH(ROUND(MIN(300,MAX(1,D1857)),0), FactorTable!$A$2:$A$301,0), Skills!M10+1)</f>
        <v/>
      </c>
      <c r="F1857">
        <f>IF(Skills!N10=TRUE,(Skills!L10/10)*(E1857/1000),Skills!L10/10)+Skills!O10</f>
        <v/>
      </c>
      <c r="G1857">
        <f>Skills!G10*IF(Skills!H10&gt;0,INT(IF(Inputs!$B$38="pvp",MIN(Skills!I10,15),Skills!I10)/Skills!H10+0.000000001),1)</f>
        <v/>
      </c>
      <c r="H1857">
        <f>1-(1-Skills!J10/100)^Skills!K10</f>
        <v/>
      </c>
      <c r="I1857" t="inlineStr">
        <is>
          <t>1</t>
        </is>
      </c>
      <c r="J1857">
        <f>((Inputs!$B$6*(1+Inputs!$B$7/100))+(((Inputs!$B$12*(1+Inputs!$B$13/100))-(Inputs!$B$12*(1+Inputs!$B$13/100)))+0.25*(Inputs!$B$14-Inputs!$B$14))*(1+Inputs!$B$7/100))*(F1857/100)</f>
        <v/>
      </c>
      <c r="K1857">
        <f>J1857*(1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1859=TRUE,F1859,0)/100)*(1+(IF(Skills!A10="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1857)</f>
        <v/>
      </c>
      <c r="L1857">
        <f>K1857*(MIN(Inputs!$B$22+((C1873=TRUE)*(F1873-Calc!F26)),(Inputs!$B$23+((C1878=TRUE)*(F1878-Calc!F31))+(IF(ArtifactsInput!$M$15,CHOOSE(ArtifactsInput!$N$15+1,25,30,35,40,45,50)/100*(Inputs!$B$11-Inputs!$B$11),0))))/100+(Inputs!$B$23+((C1878=TRUE)*(F1878-Calc!F31))+(IF(ArtifactsInput!$M$15,CHOOSE(ArtifactsInput!$N$15+1,25,30,35,40,45,50)/100*(Inputs!$B$11-Inputs!$B$11),0)))/100)/2</f>
        <v/>
      </c>
      <c r="M1857">
        <f>L1857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7">
        <f>L1857*(1-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1857*(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7">
        <f>(1-Summary!$B$11)*T1857+Summary!$B$11*V1857</f>
        <v/>
      </c>
      <c r="P1857">
        <f>IF(B1892=0,0,O1857/B1892)</f>
        <v/>
      </c>
      <c r="Q1857">
        <f>IFERROR(1/(IF(Inputs!$B$38="pvp",15,MAX(0.1,Skills!D10-IF(TRUE=TRUE,Inputs!$B$32,0)))*(1-IF(AND(ArtifactsInput!$M$27,Inputs!$B$4="Chapter Hunt"),CHOOSE(ArtifactsInput!$N$27+1,20,24,28,32,36,40),0)/100)),0)</f>
        <v/>
      </c>
      <c r="R1857">
        <f>IF(AND(Inputs!$B$38&lt;&gt;"pvp",Inputs!$B$43&gt;0),IF(MAX(0,Inputs!$B$43-B1889)&lt;=0,0,(INT(MAX(0,Inputs!$B$43-B1889)/(IF(Inputs!$B$38="pvp",15,MAX(0.1,Skills!D10-IF(TRUE=TRUE,Inputs!$B$32,0)))*(1-IF(AND(ArtifactsInput!$M$27,Inputs!$B$4="Chapter Hunt"),CHOOSE(ArtifactsInput!$N$27+1,20,24,28,32,36,40),0)/100)))+1)),0)</f>
        <v/>
      </c>
      <c r="S1857">
        <f>IFERROR(O1857/N1857,0)</f>
        <v/>
      </c>
      <c r="T1857">
        <f>IF(C1857,(H1857*N1857*IF(AND(Inputs!$B$38&lt;&gt;"pvp",Inputs!$B$43&gt;0),((Skills!G10*((R1857-1)*IF(Skills!H10&gt;0,INT(Skills!I10/Skills!H10+0.000000001),1)+IF(Skills!H10&gt;0,INT(MIN(Skills!I10,MAX(0,MAX(0,Inputs!$B$43-B1889)-((R1857-1)*(IF(Inputs!$B$38="pvp",15,MAX(0.1,Skills!D10-IF(TRUE=TRUE,Inputs!$B$32,0)))*(1-IF(AND(ArtifactsInput!$M$27,Inputs!$B$4="Chapter Hunt"),CHOOSE(ArtifactsInput!$N$27+1,20,24,28,32,36,40),0)/100)))))/Skills!H10+0.000000001),1)))/Inputs!$B$43),G1857*Q1857)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7">
        <f>IF(C1857,(H1857*N1857*IF(AND(Inputs!$B$38&lt;&gt;"pvp",Inputs!$B$43&gt;0),((Skills!G10*((R1857-1)*IF(Skills!H10&gt;0,INT(Skills!I10/Skills!H10+0.000000001),1)+IF(Skills!H10&gt;0,INT(MIN(Skills!I10,MAX(0,MAX(0,Inputs!$B$43-B1889)-((R1857-1)*(IF(Inputs!$B$38="pvp",15,MAX(0.1,Skills!D10-IF(TRUE=TRUE,Inputs!$B$32,0)))*(1-IF(AND(ArtifactsInput!$M$27,Inputs!$B$4="Chapter Hunt"),CHOOSE(ArtifactsInput!$N$27+1,20,24,28,32,36,40),0)/100)))))/Skills!H10+0.000000001),1)))/Inputs!$B$43),G1857*Q1857)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8">
      <c r="A1858">
        <f>Skills!A11</f>
        <v/>
      </c>
      <c r="B1858">
        <f>Skills!B11</f>
        <v/>
      </c>
      <c r="C1858">
        <f>Inputs!$B$3&gt;=103</f>
        <v/>
      </c>
      <c r="D1858">
        <f>IF(Skills!C11=1,60+Inputs!$B$25+Inputs!$B$29,IF(Skills!C11=2,90+Inputs!$B$26+Inputs!$B$29,IF(Skills!C11=3,120+Inputs!$B$27+Inputs!$B$29,MAX(0,(Inputs!$B$3-100)*3)+Inputs!$B$28+Inputs!$B$29)))</f>
        <v/>
      </c>
      <c r="E1858">
        <f>INDEX(FactorTable!$B$2:$Y$301, MATCH(ROUND(MIN(300,MAX(1,D1858)),0), FactorTable!$A$2:$A$301,0), Skills!M11+1)</f>
        <v/>
      </c>
      <c r="F1858">
        <f>IF(Skills!N11=TRUE,(Skills!L11/10)*(E1858/1000),Skills!L11/10)+Skills!O11</f>
        <v/>
      </c>
      <c r="G1858">
        <f>Skills!G11*IF(Skills!H11&gt;0,INT(IF(Inputs!$B$38="pvp",MIN(Skills!I11,15),Skills!I11)/Skills!H11+0.000000001),1)</f>
        <v/>
      </c>
      <c r="H1858">
        <f>1-(1-Skills!J11/100)^Skills!K11</f>
        <v/>
      </c>
      <c r="I1858" t="inlineStr">
        <is>
          <t>1</t>
        </is>
      </c>
      <c r="J1858">
        <f>((Inputs!$B$6*(1+Inputs!$B$7/100))+(((Inputs!$B$12*(1+Inputs!$B$13/100))-(Inputs!$B$12*(1+Inputs!$B$13/100)))+0.25*(Inputs!$B$14-Inputs!$B$14))*(1+Inputs!$B$7/100))*(F1858/100)</f>
        <v/>
      </c>
      <c r="K1858">
        <f>J1858*(1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C1873=TRUE)*(F1873-Calc!F26)),(Inputs!$B$23+((C1878=TRUE)*(F1878-Calc!F31))+(IF(ArtifactsInput!$M$15,CHOOSE(ArtifactsInput!$N$15+1,25,30,35,40,45,50)/100*(Inputs!$B$11-Inputs!$B$11),0))))/100+(Inputs!$B$23+((C1878=TRUE)*(F1878-Calc!F31))+(IF(ArtifactsInput!$M$15,CHOOSE(ArtifactsInput!$N$15+1,25,30,35,40,45,50)/100*(Inputs!$B$11-Inputs!$B$11),0)))/100)/2</f>
        <v/>
      </c>
      <c r="M1858">
        <f>L1858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(1-Summary!$B$11)*T1858+Summary!$B$11*V1858</f>
        <v/>
      </c>
      <c r="P1858">
        <f>IF(B1892=0,0,O1858/B1892)</f>
        <v/>
      </c>
      <c r="Q1858">
        <f>IFERROR(1/(IF(Inputs!$B$38="pvp",15,MAX(0.1,Skills!D11-IF(TRUE=TRUE,Inputs!$B$32,0)))*(1-IF(AND(ArtifactsInput!$M$27,Inputs!$B$4="Chapter Hunt"),CHOOSE(ArtifactsInput!$N$27+1,20,24,28,32,36,40),0)/100)),0)</f>
        <v/>
      </c>
      <c r="R1858">
        <f>IF(AND(Inputs!$B$38&lt;&gt;"pvp",Inputs!$B$43&gt;0),IF(MAX(0,Inputs!$B$43-B1889)&lt;=0,0,(INT(MAX(0,Inputs!$B$43-B1889)/(IF(Inputs!$B$38="pvp",15,MAX(0.1,Skills!D11-IF(TRUE=TRUE,Inputs!$B$32,0)))*(1-IF(AND(ArtifactsInput!$M$27,Inputs!$B$4="Chapter Hunt"),CHOOSE(ArtifactsInput!$N$27+1,20,24,28,32,36,40),0)/100)))+1)),0)</f>
        <v/>
      </c>
      <c r="S1858">
        <f>IFERROR(O1858/N1858,0)</f>
        <v/>
      </c>
      <c r="T1858">
        <f>IF(C1858,(H1858*N1858*IF(AND(Inputs!$B$38&lt;&gt;"pvp",Inputs!$B$43&gt;0),((Skills!G11*((R1858-1)*IF(Skills!H11&gt;0,INT(Skills!I11/Skills!H11+0.000000001),1)+IF(Skills!H11&gt;0,INT(MIN(Skills!I11,MAX(0,MAX(0,Inputs!$B$43-B1889)-((R1858-1)*(IF(Inputs!$B$38="pvp",15,MAX(0.1,Skills!D11-IF(TRUE=TRUE,Inputs!$B$32,0)))*(1-IF(AND(ArtifactsInput!$M$27,Inputs!$B$4="Chapter Hunt"),CHOOSE(ArtifactsInput!$N$27+1,20,24,28,32,36,40),0)/100)))))/Skills!H11+0.000000001),1)))/Inputs!$B$43),G1858*Q1858)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8">
        <f>IF(C1858,(H1858*N1858*IF(AND(Inputs!$B$38&lt;&gt;"pvp",Inputs!$B$43&gt;0),((Skills!G11*((R1858-1)*IF(Skills!H11&gt;0,INT(Skills!I11/Skills!H11+0.000000001),1)+IF(Skills!H11&gt;0,INT(MIN(Skills!I11,MAX(0,MAX(0,Inputs!$B$43-B1889)-((R1858-1)*(IF(Inputs!$B$38="pvp",15,MAX(0.1,Skills!D11-IF(TRUE=TRUE,Inputs!$B$32,0)))*(1-IF(AND(ArtifactsInput!$M$27,Inputs!$B$4="Chapter Hunt"),CHOOSE(ArtifactsInput!$N$27+1,20,24,28,32,36,40),0)/100)))))/Skills!H11+0.000000001),1)))/Inputs!$B$43),G1858*Q1858)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9">
      <c r="A1859">
        <f>Skills!A12</f>
        <v/>
      </c>
      <c r="B1859">
        <f>Skills!B12</f>
        <v/>
      </c>
      <c r="C1859">
        <f>Inputs!$B$3&gt;=100</f>
        <v/>
      </c>
      <c r="D1859">
        <f>IF(Skills!C12=1,60+Inputs!$B$25+Inputs!$B$29,IF(Skills!C12=2,90+Inputs!$B$26+Inputs!$B$29,IF(Skills!C12=3,120+Inputs!$B$27+Inputs!$B$29,MAX(0,(Inputs!$B$3-100)*3)+Inputs!$B$28+Inputs!$B$29)))</f>
        <v/>
      </c>
      <c r="E1859">
        <f>INDEX(FactorTable!$B$2:$Y$301, MATCH(ROUND(MIN(300,MAX(1,D1859)),0), FactorTable!$A$2:$A$301,0), Skills!M12+1)</f>
        <v/>
      </c>
      <c r="F1859">
        <f>IF(Skills!N12=TRUE,(Skills!L12/10)*(E1859/1000),Skills!L12/10)+Skills!O12</f>
        <v/>
      </c>
      <c r="G1859" t="inlineStr"/>
      <c r="H1859" t="inlineStr"/>
      <c r="I1859" t="inlineStr">
        <is>
          <t>1</t>
        </is>
      </c>
      <c r="J1859" t="inlineStr"/>
      <c r="K1859" t="inlineStr"/>
      <c r="L1859" t="inlineStr"/>
      <c r="M1859" t="inlineStr"/>
      <c r="N1859" t="inlineStr"/>
      <c r="O1859" t="inlineStr"/>
      <c r="P1859" t="inlineStr"/>
      <c r="Q1859" t="inlineStr"/>
      <c r="R1859" t="inlineStr"/>
      <c r="S1859" t="inlineStr"/>
      <c r="T1859" t="inlineStr"/>
      <c r="V1859" t="inlineStr"/>
    </row>
    <row r="1860">
      <c r="A1860">
        <f>Skills!A13</f>
        <v/>
      </c>
      <c r="B1860">
        <f>Skills!B13</f>
        <v/>
      </c>
      <c r="C1860">
        <f>Inputs!$B$3&gt;=60</f>
        <v/>
      </c>
      <c r="D1860">
        <f>IF(Skills!C13=1,60+Inputs!$B$25+Inputs!$B$29,IF(Skills!C13=2,90+Inputs!$B$26+Inputs!$B$29,IF(Skills!C13=3,120+Inputs!$B$27+Inputs!$B$29,MAX(0,(Inputs!$B$3-100)*3)+Inputs!$B$28+Inputs!$B$29)))</f>
        <v/>
      </c>
      <c r="E1860">
        <f>INDEX(FactorTable!$B$2:$Y$301, MATCH(ROUND(MIN(300,MAX(1,D1860)),0), FactorTable!$A$2:$A$301,0), Skills!M13+1)</f>
        <v/>
      </c>
      <c r="F1860">
        <f>IF(Skills!N13=TRUE,(Skills!L13/10)*(E1860/1000),Skills!L13/10)+Skills!O13</f>
        <v/>
      </c>
      <c r="G1860">
        <f>Skills!G13*IF(Skills!H13&gt;0,INT(IF(Inputs!$B$38="pvp",MIN(Skills!I13,15),Skills!I13)/Skills!H13+0.000000001),1)</f>
        <v/>
      </c>
      <c r="H1860">
        <f>1-(1-Skills!J13/100)^Skills!K13</f>
        <v/>
      </c>
      <c r="I1860" t="inlineStr">
        <is>
          <t>1</t>
        </is>
      </c>
      <c r="J1860">
        <f>((Inputs!$B$6*(1+Inputs!$B$7/100))+(((Inputs!$B$12*(1+Inputs!$B$13/100))-(Inputs!$B$12*(1+Inputs!$B$13/100)))+0.25*(Inputs!$B$14-Inputs!$B$14))*(1+Inputs!$B$7/100))*(F1860/100)</f>
        <v/>
      </c>
      <c r="K1860">
        <f>J1860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13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1873=TRUE)*(F1873-Calc!F26)),(Inputs!$B$23+((C1878=TRUE)*(F1878-Calc!F31))+(IF(ArtifactsInput!$M$15,CHOOSE(ArtifactsInput!$N$15+1,25,30,35,40,45,50)/100*(Inputs!$B$11-Inputs!$B$11),0))))/100+(Inputs!$B$23+((C1878=TRUE)*(F1878-Calc!F31))+(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f>IFERROR(1/(IF(Inputs!$B$38="pvp",15,MAX(0.1,IF(Inputs!$B$3&gt;=122,3,5)+1/(((20+30*(B1884-1)*100/150)/100)*B1884)-IF(FALSE=TRUE,Inputs!$B$32,0)))*(1-IF(AND(ArtifactsInput!$M$27,Inputs!$B$4="Chapter Hunt"),CHOOSE(ArtifactsInput!$N$27+1,20,24,28,32,36,40),0)/100)),0)</f>
        <v/>
      </c>
      <c r="R1860">
        <f>IF(AND(Inputs!$B$38&lt;&gt;"pvp",Inputs!$B$43&gt;0),IF(MAX(0,Inputs!$B$43-B1889)&lt;=0,0,(INT(MAX(0,Inputs!$B$43-B1889)/(IF(Inputs!$B$38="pvp",15,MAX(0.1,IF(Inputs!$B$3&gt;=122,3,5)+1/(((20+30*(B1884-1)*100/150)/100)*B1884)-IF(FALSE=TRUE,Inputs!$B$32,0)))*(1-IF(AND(ArtifactsInput!$M$27,Inputs!$B$4="Chapter Hunt"),CHOOSE(ArtifactsInput!$N$27+1,20,24,28,32,36,40),0)/100)))+1)),0)</f>
        <v/>
      </c>
      <c r="S1860">
        <f>IFERROR(O1860/N1860,0)</f>
        <v/>
      </c>
      <c r="T1860">
        <f>IF(C1860,(H1860*N1860*IF(AND(Inputs!$B$38&lt;&gt;"pvp",Inputs!$B$43&gt;0),((Skills!G13*((R1860-1)*IF(Skills!H13&gt;0,INT(Skills!I13/Skills!H13+0.000000001),1)+IF(Skills!H13&gt;0,INT(MIN(Skills!I13,MAX(0,MAX(0,Inputs!$B$43-B1889)-((R1860-1)*(IF(Inputs!$B$38="pvp",15,MAX(0.1,IF(Inputs!$B$3&gt;=122,3,5)+1/(((20+30*(B1884-1)*100/150)/100)*B1884)-IF(FALSE=TRUE,Inputs!$B$32,0)))*(1-IF(AND(ArtifactsInput!$M$27,Inputs!$B$4="Chapter Hunt"),CHOOSE(ArtifactsInput!$N$27+1,20,24,28,32,36,40),0)/100)))))/Skills!H13+0.000000001),1)))/Inputs!$B$43),G1860*Q1860)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0">
        <f>IF(C1860,(H1860*N1860*IF(AND(Inputs!$B$38&lt;&gt;"pvp",Inputs!$B$43&gt;0),((Skills!G13*((R1860-1)*IF(Skills!H13&gt;0,INT(Skills!I13/Skills!H13+0.000000001),1)+IF(Skills!H13&gt;0,INT(MIN(Skills!I13,MAX(0,MAX(0,Inputs!$B$43-B1889)-((R1860-1)*(IF(Inputs!$B$38="pvp",15,MAX(0.1,IF(Inputs!$B$3&gt;=122,3,5)+1/(((20+30*(B1884-1)*100/150)/100)*B1884)-IF(FALSE=TRUE,Inputs!$B$32,0)))*(1-IF(AND(ArtifactsInput!$M$27,Inputs!$B$4="Chapter Hunt"),CHOOSE(ArtifactsInput!$N$27+1,20,24,28,32,36,40),0)/100)))))/Skills!H13+0.000000001),1)))/Inputs!$B$43),G1860*Q1860))*IF(Inputs!$B$38="pvp",1,(1+(Inputs!$B$21+Skills!Q13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Skills!A14</f>
        <v/>
      </c>
      <c r="B1861">
        <f>Skills!B14</f>
        <v/>
      </c>
      <c r="C1861">
        <f>Inputs!$B$3&gt;=110</f>
        <v/>
      </c>
      <c r="D1861">
        <f>IF(Skills!C14=1,60+Inputs!$B$25+Inputs!$B$29,IF(Skills!C14=2,90+Inputs!$B$26+Inputs!$B$29,IF(Skills!C14=3,120+Inputs!$B$27+Inputs!$B$29,MAX(0,(Inputs!$B$3-100)*3)+Inputs!$B$28+Inputs!$B$29)))</f>
        <v/>
      </c>
      <c r="E1861">
        <f>INDEX(FactorTable!$B$2:$Y$301, MATCH(ROUND(MIN(300,MAX(1,D1861)),0), FactorTable!$A$2:$A$301,0), Skills!M14+1)</f>
        <v/>
      </c>
      <c r="F1861">
        <f>IF(Skills!N14=TRUE,(Skills!L14/10)*(E1861/1000),Skills!L14/10)+Skills!O14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V1861" t="inlineStr"/>
    </row>
    <row r="1862">
      <c r="A1862">
        <f>Skills!A15</f>
        <v/>
      </c>
      <c r="B1862">
        <f>Skills!B15</f>
        <v/>
      </c>
      <c r="C1862">
        <f>Inputs!$B$3&gt;=74</f>
        <v/>
      </c>
      <c r="D1862">
        <f>IF(Skills!C15=1,60+Inputs!$B$25+Inputs!$B$29,IF(Skills!C15=2,90+Inputs!$B$26+Inputs!$B$29,IF(Skills!C15=3,120+Inputs!$B$27+Inputs!$B$29,MAX(0,(Inputs!$B$3-100)*3)+Inputs!$B$28+Inputs!$B$29)))</f>
        <v/>
      </c>
      <c r="E1862">
        <f>INDEX(FactorTable!$B$2:$Y$301, MATCH(ROUND(MIN(300,MAX(1,D1862)),0), FactorTable!$A$2:$A$301,0), Skills!M15+1)</f>
        <v/>
      </c>
      <c r="F1862">
        <f>IF(Skills!N15=TRUE,(Skills!L15/10)*(E1862/1000),Skills!L15/10)+Skills!O15</f>
        <v/>
      </c>
      <c r="G1862">
        <f>Skills!G15*IF(Skills!H15&gt;0,INT(IF(Inputs!$B$38="pvp",MIN(Skills!I15,15),Skills!I15)/Skills!H15+0.000000001),1)</f>
        <v/>
      </c>
      <c r="H1862">
        <f>1-(1-Skills!J15/100)^Skills!K15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Skills!A16</f>
        <v/>
      </c>
      <c r="B1863">
        <f>Skills!B16</f>
        <v/>
      </c>
      <c r="C1863">
        <f>Inputs!$B$3&gt;=74</f>
        <v/>
      </c>
      <c r="D1863">
        <f>IF(Skills!C16=1,60+Inputs!$B$25+Inputs!$B$29,IF(Skills!C16=2,90+Inputs!$B$26+Inputs!$B$29,IF(Skills!C16=3,120+Inputs!$B$27+Inputs!$B$29,MAX(0,(Inputs!$B$3-100)*3)+Inputs!$B$28+Inputs!$B$29)))</f>
        <v/>
      </c>
      <c r="E1863">
        <f>INDEX(FactorTable!$B$2:$Y$301, MATCH(ROUND(MIN(300,MAX(1,D1863)),0), FactorTable!$A$2:$A$301,0), Skills!M16+1)</f>
        <v/>
      </c>
      <c r="F1863">
        <f>IF(Skills!N16=TRUE,(Skills!L16/10)*(E1863/1000),Skills!L16/10)+Skills!O16</f>
        <v/>
      </c>
      <c r="G1863">
        <f>Skills!G16*IF(Skills!H16&gt;0,INT(IF(Inputs!$B$38="pvp",MIN(Skills!I16,15),Skills!I16)/Skills!H16+0.000000001),1)</f>
        <v/>
      </c>
      <c r="H1863">
        <f>1-(1-Skills!J16/100)^Skills!K16</f>
        <v/>
      </c>
      <c r="I1863" t="inlineStr">
        <is>
          <t>1</t>
        </is>
      </c>
      <c r="J1863" t="inlineStr"/>
      <c r="K1863" t="inlineStr"/>
      <c r="L1863" t="inlineStr"/>
      <c r="M1863" t="inlineStr"/>
      <c r="N1863" t="inlineStr"/>
      <c r="O1863">
        <f>(1-Summary!$B$11)*T1863+Summary!$B$11*V1863</f>
        <v/>
      </c>
      <c r="P1863">
        <f>IF(B1892=0,0,O1863/B1892)</f>
        <v/>
      </c>
      <c r="Q1863" t="n">
        <v>0</v>
      </c>
      <c r="R1863" t="n">
        <v>0</v>
      </c>
      <c r="S1863">
        <f>IFERROR(O1863/N1863,0)</f>
        <v/>
      </c>
      <c r="T1863" t="n">
        <v>0</v>
      </c>
      <c r="V1863" t="n">
        <v>0</v>
      </c>
    </row>
    <row r="1864">
      <c r="A1864">
        <f>Skills!A17</f>
        <v/>
      </c>
      <c r="B1864">
        <f>Skills!B17</f>
        <v/>
      </c>
      <c r="C1864">
        <f>Inputs!$B$3&gt;=117</f>
        <v/>
      </c>
      <c r="D1864">
        <f>IF(Skills!C17=1,60+Inputs!$B$25+Inputs!$B$29,IF(Skills!C17=2,90+Inputs!$B$26+Inputs!$B$29,IF(Skills!C17=3,120+Inputs!$B$27+Inputs!$B$29,MAX(0,(Inputs!$B$3-100)*3)+Inputs!$B$28+Inputs!$B$29)))</f>
        <v/>
      </c>
      <c r="E1864">
        <f>INDEX(FactorTable!$B$2:$Y$301, MATCH(ROUND(MIN(300,MAX(1,D1864)),0), FactorTable!$A$2:$A$301,0), Skills!M17+1)</f>
        <v/>
      </c>
      <c r="F1864">
        <f>IF(Skills!N17=TRUE,(Skills!L17/10)*(E1864/1000),Skills!L17/10)+Skills!O17</f>
        <v/>
      </c>
      <c r="G1864">
        <f>Skills!G17*IF(Skills!H17&gt;0,INT(IF(Inputs!$B$38="pvp",MIN(Skills!I17,15),Skills!I17)/Skills!H17+0.000000001),1)</f>
        <v/>
      </c>
      <c r="H1864">
        <f>1-(1-Skills!J17/100)^Skills!K17</f>
        <v/>
      </c>
      <c r="I1864" t="inlineStr">
        <is>
          <t>1</t>
        </is>
      </c>
      <c r="J1864" t="inlineStr"/>
      <c r="K1864" t="inlineStr"/>
      <c r="L1864" t="inlineStr"/>
      <c r="M1864" t="inlineStr"/>
      <c r="N1864" t="inlineStr"/>
      <c r="O1864">
        <f>(1-Summary!$B$11)*T1864+Summary!$B$11*V1864</f>
        <v/>
      </c>
      <c r="P1864">
        <f>IF(B1892=0,0,O1864/B1892)</f>
        <v/>
      </c>
      <c r="Q1864">
        <f>IFERROR(1/(IF(Inputs!$B$38="pvp",15,MAX(0.1,Skills!D17-IF(TRUE=TRUE,Inputs!$B$32,0)))*(1-IF(AND(ArtifactsInput!$M$27,Inputs!$B$4="Chapter Hunt"),CHOOSE(ArtifactsInput!$N$27+1,20,24,28,32,36,40),0)/100)),0)</f>
        <v/>
      </c>
      <c r="R1864">
        <f>IF(AND(Inputs!$B$38&lt;&gt;"pvp",Inputs!$B$43&gt;0),IF(Inputs!$B$43&lt;=0,0,(INT(Inputs!$B$43/(IF(Inputs!$B$38="pvp",15,MAX(0.1,Skills!D17-IF(TRUE=TRUE,Inputs!$B$32,0)))*(1-IF(AND(ArtifactsInput!$M$27,Inputs!$B$4="Chapter Hunt"),CHOOSE(ArtifactsInput!$N$27+1,20,24,28,32,36,40),0)/100)))+1)),0)</f>
        <v/>
      </c>
      <c r="S1864">
        <f>IFERROR(O1864/N1864,0)</f>
        <v/>
      </c>
      <c r="T1864" t="n">
        <v>0</v>
      </c>
      <c r="V1864" t="n">
        <v>0</v>
      </c>
    </row>
    <row r="1865">
      <c r="A1865">
        <f>Skills!A18</f>
        <v/>
      </c>
      <c r="B1865">
        <f>Skills!B18</f>
        <v/>
      </c>
      <c r="C1865">
        <f>Inputs!$B$3&gt;=115</f>
        <v/>
      </c>
      <c r="D1865">
        <f>IF(Skills!C18=1,60+Inputs!$B$25+Inputs!$B$29,IF(Skills!C18=2,90+Inputs!$B$26+Inputs!$B$29,IF(Skills!C18=3,120+Inputs!$B$27+Inputs!$B$29,MAX(0,(Inputs!$B$3-100)*3)+Inputs!$B$28+Inputs!$B$29)))</f>
        <v/>
      </c>
      <c r="E1865">
        <f>INDEX(FactorTable!$B$2:$Y$301, MATCH(ROUND(MIN(300,MAX(1,D1865)),0), FactorTable!$A$2:$A$301,0), Skills!M18+1)</f>
        <v/>
      </c>
      <c r="F1865">
        <f>IF(Skills!N18=TRUE,(Skills!L18/10)*(E1865/1000),Skills!L18/10)+Skills!O18</f>
        <v/>
      </c>
      <c r="G1865">
        <f>Skills!G18*IF(Skills!H18&gt;0,INT(IF(Inputs!$B$38="pvp",MIN(Skills!I18,15),Skills!I18)/Skills!H18+0.000000001),1)</f>
        <v/>
      </c>
      <c r="H1865">
        <f>1-(1-Skills!J18/100)^Skills!K18</f>
        <v/>
      </c>
      <c r="I1865" t="inlineStr">
        <is>
          <t>1</t>
        </is>
      </c>
      <c r="J1865" t="inlineStr"/>
      <c r="K1865" t="inlineStr"/>
      <c r="L1865" t="inlineStr"/>
      <c r="M1865" t="inlineStr"/>
      <c r="N1865" t="inlineStr"/>
      <c r="O1865">
        <f>(1-Summary!$B$11)*T1865+Summary!$B$11*V1865</f>
        <v/>
      </c>
      <c r="P1865">
        <f>IF(B1892=0,0,O1865/B1892)</f>
        <v/>
      </c>
      <c r="Q1865">
        <f>IFERROR(1/(IF(Inputs!$B$38="pvp",15,MAX(0.1,Skills!D18-IF(TRUE=TRUE,Inputs!$B$32,0)))*(1-IF(AND(ArtifactsInput!$M$27,Inputs!$B$4="Chapter Hunt"),CHOOSE(ArtifactsInput!$N$27+1,20,24,28,32,36,40),0)/100)),0)</f>
        <v/>
      </c>
      <c r="R1865">
        <f>IF(AND(Inputs!$B$38&lt;&gt;"pvp",Inputs!$B$43&gt;0),IF(Inputs!$B$43&lt;=0,0,(INT(Inputs!$B$43/(IF(Inputs!$B$38="pvp",15,MAX(0.1,Skills!D18-IF(TRUE=TRUE,Inputs!$B$32,0)))*(1-IF(AND(ArtifactsInput!$M$27,Inputs!$B$4="Chapter Hunt"),CHOOSE(ArtifactsInput!$N$27+1,20,24,28,32,36,40),0)/100)))+1)),0)</f>
        <v/>
      </c>
      <c r="S1865">
        <f>IFERROR(O1865/N1865,0)</f>
        <v/>
      </c>
      <c r="T1865" t="n">
        <v>0</v>
      </c>
      <c r="V1865" t="n">
        <v>0</v>
      </c>
    </row>
    <row r="1866">
      <c r="A1866">
        <f>Skills!A19</f>
        <v/>
      </c>
      <c r="B1866">
        <f>Skills!B19</f>
        <v/>
      </c>
      <c r="C1866">
        <f>Inputs!$B$3&gt;=66</f>
        <v/>
      </c>
      <c r="D1866">
        <f>IF(Skills!C19=1,60+Inputs!$B$25+Inputs!$B$29,IF(Skills!C19=2,90+Inputs!$B$26+Inputs!$B$29,IF(Skills!C19=3,120+Inputs!$B$27+Inputs!$B$29,MAX(0,(Inputs!$B$3-100)*3)+Inputs!$B$28+Inputs!$B$29)))</f>
        <v/>
      </c>
      <c r="E1866">
        <f>INDEX(FactorTable!$B$2:$Y$301, MATCH(ROUND(MIN(300,MAX(1,D1866)),0), FactorTable!$A$2:$A$301,0), Skills!M19+1)</f>
        <v/>
      </c>
      <c r="F1866">
        <f>IF(Skills!N19=TRUE,(Skills!L19/10)*(E1866/1000),Skills!L19/10)+Skills!O19</f>
        <v/>
      </c>
      <c r="G1866">
        <f>Skills!G19*IF(Skills!H19&gt;0,INT(IF(Inputs!$B$38="pvp",MIN(Skills!I19,15),Skills!I19)/Skills!H19+0.000000001),1)</f>
        <v/>
      </c>
      <c r="H1866">
        <f>1-(1-Skills!J19/100)^Skills!K19</f>
        <v/>
      </c>
      <c r="I1866" t="inlineStr">
        <is>
          <t>1</t>
        </is>
      </c>
      <c r="J1866" t="inlineStr"/>
      <c r="K1866" t="inlineStr"/>
      <c r="L1866" t="inlineStr"/>
      <c r="M1866" t="inlineStr"/>
      <c r="N1866" t="inlineStr"/>
      <c r="O1866">
        <f>(1-Summary!$B$11)*T1866+Summary!$B$11*V1866</f>
        <v/>
      </c>
      <c r="P1866">
        <f>IF(B1892=0,0,O1866/B1892)</f>
        <v/>
      </c>
      <c r="Q1866" t="n">
        <v>0</v>
      </c>
      <c r="R1866" t="n">
        <v>0</v>
      </c>
      <c r="S1866">
        <f>IFERROR(O1866/N1866,0)</f>
        <v/>
      </c>
      <c r="T1866" t="n">
        <v>0</v>
      </c>
      <c r="V1866" t="n">
        <v>0</v>
      </c>
    </row>
    <row r="1867">
      <c r="A1867">
        <f>Skills!A20</f>
        <v/>
      </c>
      <c r="B1867">
        <f>Skills!B20</f>
        <v/>
      </c>
      <c r="C1867">
        <f>Inputs!$B$3&gt;=72</f>
        <v/>
      </c>
      <c r="D1867">
        <f>IF(Skills!C20=1,60+Inputs!$B$25+Inputs!$B$29,IF(Skills!C20=2,90+Inputs!$B$26+Inputs!$B$29,IF(Skills!C20=3,120+Inputs!$B$27+Inputs!$B$29,MAX(0,(Inputs!$B$3-100)*3)+Inputs!$B$28+Inputs!$B$29)))</f>
        <v/>
      </c>
      <c r="E1867">
        <f>INDEX(FactorTable!$B$2:$Y$301, MATCH(ROUND(MIN(300,MAX(1,D1867)),0), FactorTable!$A$2:$A$301,0), Skills!M20+1)</f>
        <v/>
      </c>
      <c r="F1867">
        <f>IF(Skills!N20=TRUE,(Skills!L20/10)*(E1867/1000),Skills!L20/10)+Skills!O20</f>
        <v/>
      </c>
      <c r="G1867">
        <f>Skills!G20*IF(Skills!H20&gt;0,INT(IF(Inputs!$B$38="pvp",MIN(Skills!I20,15),Skills!I20)/Skills!H20+0.000000001),1)</f>
        <v/>
      </c>
      <c r="H1867">
        <f>1-(1-Skills!J20/100)^Skills!K20</f>
        <v/>
      </c>
      <c r="I1867" t="inlineStr">
        <is>
          <t>1</t>
        </is>
      </c>
      <c r="J1867" t="inlineStr"/>
      <c r="K1867" t="inlineStr"/>
      <c r="L1867" t="inlineStr"/>
      <c r="M1867" t="inlineStr"/>
      <c r="N1867" t="inlineStr"/>
      <c r="O1867">
        <f>(1-Summary!$B$11)*T1867+Summary!$B$11*V1867</f>
        <v/>
      </c>
      <c r="P1867">
        <f>IF(B1892=0,0,O1867/B1892)</f>
        <v/>
      </c>
      <c r="Q1867" t="n">
        <v>0</v>
      </c>
      <c r="R1867" t="n">
        <v>0</v>
      </c>
      <c r="S1867">
        <f>IFERROR(O1867/N1867,0)</f>
        <v/>
      </c>
      <c r="T1867" t="n">
        <v>0</v>
      </c>
      <c r="V1867" t="n">
        <v>0</v>
      </c>
    </row>
    <row r="1868">
      <c r="A1868">
        <f>Skills!A21</f>
        <v/>
      </c>
      <c r="B1868">
        <f>Skills!B21</f>
        <v/>
      </c>
      <c r="C1868">
        <f>TRUE</f>
        <v/>
      </c>
      <c r="D1868">
        <f>IF(Skills!C21=1,60+Inputs!$B$25+Inputs!$B$29,IF(Skills!C21=2,90+Inputs!$B$26+Inputs!$B$29,IF(Skills!C21=3,120+Inputs!$B$27+Inputs!$B$29,MAX(0,(Inputs!$B$3-100)*3)+Inputs!$B$28+Inputs!$B$29)))</f>
        <v/>
      </c>
      <c r="E1868">
        <f>INDEX(FactorTable!$B$2:$Y$301, MATCH(ROUND(MIN(300,MAX(1,D1868)),0), FactorTable!$A$2:$A$301,0), Skills!M21+1)</f>
        <v/>
      </c>
      <c r="F1868">
        <f>IF(Skills!N21=TRUE,(Skills!L21/10)*(E1868/1000),Skills!L21/10)+Skills!O21</f>
        <v/>
      </c>
      <c r="G1868">
        <f>Skills!G21*IF(Skills!H21&gt;0,INT(IF(Inputs!$B$38="pvp",MIN(Skills!I21,15),Skills!I21)/Skills!H21+0.000000001),1)</f>
        <v/>
      </c>
      <c r="H1868">
        <f>1-(1-Skills!J21/100)^Skills!K21</f>
        <v/>
      </c>
      <c r="I1868" t="inlineStr">
        <is>
          <t>1</t>
        </is>
      </c>
      <c r="J1868" t="inlineStr"/>
      <c r="K1868" t="inlineStr"/>
      <c r="L1868" t="inlineStr"/>
      <c r="M1868" t="inlineStr"/>
      <c r="N1868" t="inlineStr"/>
      <c r="O1868">
        <f>(1-Summary!$B$11)*T1868+Summary!$B$11*V1868</f>
        <v/>
      </c>
      <c r="P1868">
        <f>IF(B1892=0,0,O1868/B1892)</f>
        <v/>
      </c>
      <c r="Q1868">
        <f>IFERROR(1/(IF(Inputs!$B$38="pvp",15,MAX(0.1,Skills!D21-IF(TRUE=TRUE,Inputs!$B$32,0)))*(1-IF(AND(ArtifactsInput!$M$27,Inputs!$B$4="Chapter Hunt"),CHOOSE(ArtifactsInput!$N$27+1,20,24,28,32,36,40),0)/100)),0)</f>
        <v/>
      </c>
      <c r="R1868">
        <f>IF(AND(Inputs!$B$38&lt;&gt;"pvp",Inputs!$B$43&gt;0),IF(Inputs!$B$43&lt;=0,0,(INT(Inputs!$B$43/(IF(Inputs!$B$38="pvp",15,MAX(0.1,Skills!D21-IF(TRUE=TRUE,Inputs!$B$32,0)))*(1-IF(AND(ArtifactsInput!$M$27,Inputs!$B$4="Chapter Hunt"),CHOOSE(ArtifactsInput!$N$27+1,20,24,28,32,36,40),0)/100)))+1)),0)</f>
        <v/>
      </c>
      <c r="S1868">
        <f>IFERROR(O1868/N1868,0)</f>
        <v/>
      </c>
      <c r="T1868" t="n">
        <v>0</v>
      </c>
      <c r="V1868" t="n">
        <v>0</v>
      </c>
    </row>
    <row r="1869">
      <c r="A1869">
        <f>Skills!A22</f>
        <v/>
      </c>
      <c r="B1869">
        <f>Skills!B22</f>
        <v/>
      </c>
      <c r="C1869">
        <f>Inputs!$B$3&gt;=15</f>
        <v/>
      </c>
      <c r="D1869">
        <f>IF(Skills!C22=1,60+Inputs!$B$25+Inputs!$B$29,IF(Skills!C22=2,90+Inputs!$B$26+Inputs!$B$29,IF(Skills!C22=3,120+Inputs!$B$27+Inputs!$B$29,MAX(0,(Inputs!$B$3-100)*3)+Inputs!$B$28+Inputs!$B$29)))</f>
        <v/>
      </c>
      <c r="E1869">
        <f>INDEX(FactorTable!$B$2:$Y$301, MATCH(ROUND(MIN(300,MAX(1,D1869)),0), FactorTable!$A$2:$A$301,0), Skills!M22+1)</f>
        <v/>
      </c>
      <c r="F1869">
        <f>IF(Skills!N22=TRUE,(Skills!L22/10)*(E1869/1000),Skills!L22/10)+Skills!O22</f>
        <v/>
      </c>
      <c r="G1869">
        <f>Skills!G22*IF(Skills!H22&gt;0,INT(IF(Inputs!$B$38="pvp",MIN(Skills!I22,15),Skills!I22)/Skills!H22+0.000000001),1)</f>
        <v/>
      </c>
      <c r="H1869">
        <f>1-(1-Skills!J22/100)^Skills!K22</f>
        <v/>
      </c>
      <c r="I1869" t="inlineStr">
        <is>
          <t>1</t>
        </is>
      </c>
      <c r="J1869" t="inlineStr"/>
      <c r="K1869" t="inlineStr"/>
      <c r="L1869" t="inlineStr"/>
      <c r="M1869" t="inlineStr"/>
      <c r="N1869" t="inlineStr"/>
      <c r="O1869">
        <f>(1-Summary!$B$11)*T1869+Summary!$B$11*V1869</f>
        <v/>
      </c>
      <c r="P1869">
        <f>IF(B1892=0,0,O1869/B1892)</f>
        <v/>
      </c>
      <c r="Q1869" t="n">
        <v>0</v>
      </c>
      <c r="R1869" t="n">
        <v>0</v>
      </c>
      <c r="S1869">
        <f>IFERROR(O1869/N1869,0)</f>
        <v/>
      </c>
      <c r="T1869" t="n">
        <v>0</v>
      </c>
      <c r="V1869" t="n">
        <v>0</v>
      </c>
    </row>
    <row r="1870">
      <c r="A1870">
        <f>Skills!A23</f>
        <v/>
      </c>
      <c r="B1870">
        <f>Skills!B23</f>
        <v/>
      </c>
      <c r="C1870">
        <f>Inputs!$B$3&gt;=10</f>
        <v/>
      </c>
      <c r="D1870">
        <f>IF(Skills!C23=1,60+Inputs!$B$25+Inputs!$B$29,IF(Skills!C23=2,90+Inputs!$B$26+Inputs!$B$29,IF(Skills!C23=3,120+Inputs!$B$27+Inputs!$B$29,MAX(0,(Inputs!$B$3-100)*3)+Inputs!$B$28+Inputs!$B$29)))</f>
        <v/>
      </c>
      <c r="E1870">
        <f>INDEX(FactorTable!$B$2:$Y$301, MATCH(ROUND(MIN(300,MAX(1,D1870)),0), FactorTable!$A$2:$A$301,0), Skills!M23+1)</f>
        <v/>
      </c>
      <c r="F1870">
        <f>IF(Skills!N23=TRUE,(Skills!L23/10)*(E1870/1000),Skills!L23/10)+Skills!O23</f>
        <v/>
      </c>
      <c r="G1870">
        <f>Skills!G23*IF(Skills!H23&gt;0,INT(IF(Inputs!$B$38="pvp",MIN(Skills!I23,15),Skills!I23)/Skills!H23+0.000000001),1)</f>
        <v/>
      </c>
      <c r="H1870">
        <f>1-(1-Skills!J23/100)^Skills!K23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Skills!A24</f>
        <v/>
      </c>
      <c r="B1871">
        <f>Skills!B24</f>
        <v/>
      </c>
      <c r="C1871">
        <f>Inputs!$B$3&gt;=33</f>
        <v/>
      </c>
      <c r="D1871">
        <f>IF(Skills!C24=1,60+Inputs!$B$25+Inputs!$B$29,IF(Skills!C24=2,90+Inputs!$B$26+Inputs!$B$29,IF(Skills!C24=3,120+Inputs!$B$27+Inputs!$B$29,MAX(0,(Inputs!$B$3-100)*3)+Inputs!$B$28+Inputs!$B$29)))</f>
        <v/>
      </c>
      <c r="E1871">
        <f>INDEX(FactorTable!$B$2:$Y$301, MATCH(ROUND(MIN(300,MAX(1,D1871)),0), FactorTable!$A$2:$A$301,0), Skills!M24+1)</f>
        <v/>
      </c>
      <c r="F1871">
        <f>IF(Skills!N24=TRUE,(Skills!L24/10)*(E1871/1000),Skills!L24/10)+Skills!O24</f>
        <v/>
      </c>
      <c r="G1871">
        <f>Skills!G24*IF(Skills!H24&gt;0,INT(IF(Inputs!$B$38="pvp",MIN(Skills!I24,15),Skills!I24)/Skills!H24+0.000000001),1)</f>
        <v/>
      </c>
      <c r="H1871">
        <f>1-(1-Skills!J24/100)^Skills!K24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Skills!A25</f>
        <v/>
      </c>
      <c r="B1872">
        <f>Skills!B25</f>
        <v/>
      </c>
      <c r="C1872">
        <f>Inputs!$B$3&gt;=38</f>
        <v/>
      </c>
      <c r="D1872">
        <f>IF(Skills!C25=1,60+Inputs!$B$25+Inputs!$B$29,IF(Skills!C25=2,90+Inputs!$B$26+Inputs!$B$29,IF(Skills!C25=3,120+Inputs!$B$27+Inputs!$B$29,MAX(0,(Inputs!$B$3-100)*3)+Inputs!$B$28+Inputs!$B$29)))</f>
        <v/>
      </c>
      <c r="E1872">
        <f>INDEX(FactorTable!$B$2:$Y$301, MATCH(ROUND(MIN(300,MAX(1,D1872)),0), FactorTable!$A$2:$A$301,0), Skills!M25+1)</f>
        <v/>
      </c>
      <c r="F1872">
        <f>IF(Skills!N25=TRUE,(Skills!L25/10)*(E1872/1000),Skills!L25/10)+Skills!O25</f>
        <v/>
      </c>
      <c r="G1872">
        <f>Skills!G25*IF(Skills!H25&gt;0,INT(IF(Inputs!$B$38="pvp",MIN(Skills!I25,15),Skills!I25)/Skills!H25+0.000000001),1)</f>
        <v/>
      </c>
      <c r="H1872">
        <f>1-(1-Skills!J25/100)^Skills!K25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Skills!A26</f>
        <v/>
      </c>
      <c r="B1873">
        <f>Skills!B26</f>
        <v/>
      </c>
      <c r="C1873">
        <f>Inputs!$B$3&gt;=43</f>
        <v/>
      </c>
      <c r="D1873">
        <f>IF(Skills!C26=1,60+Inputs!$B$25+Inputs!$B$29,IF(Skills!C26=2,90+Inputs!$B$26+Inputs!$B$29,IF(Skills!C26=3,120+Inputs!$B$27+Inputs!$B$29,MAX(0,(Inputs!$B$3-100)*3)+Inputs!$B$28+Inputs!$B$29)))</f>
        <v/>
      </c>
      <c r="E1873">
        <f>INDEX(FactorTable!$B$2:$Y$301, MATCH(ROUND(MIN(300,MAX(1,D1873)),0), FactorTable!$A$2:$A$301,0), Skills!M26+1)</f>
        <v/>
      </c>
      <c r="F1873">
        <f>IF(Skills!N26=TRUE,(Skills!L26/10)*(E1873/1000),Skills!L26/10)+Skills!O26</f>
        <v/>
      </c>
      <c r="G1873">
        <f>Skills!G26*IF(Skills!H26&gt;0,INT(IF(Inputs!$B$38="pvp",MIN(Skills!I26,15),Skills!I26)/Skills!H26+0.000000001),1)</f>
        <v/>
      </c>
      <c r="H1873">
        <f>1-(1-Skills!J26/100)^Skills!K26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Skills!A27</f>
        <v/>
      </c>
      <c r="B1874">
        <f>Skills!B27</f>
        <v/>
      </c>
      <c r="C1874">
        <f>Inputs!$B$3&gt;=75</f>
        <v/>
      </c>
      <c r="D1874">
        <f>IF(Skills!C27=1,60+Inputs!$B$25+Inputs!$B$29,IF(Skills!C27=2,90+Inputs!$B$26+Inputs!$B$29,IF(Skills!C27=3,120+Inputs!$B$27+Inputs!$B$29,MAX(0,(Inputs!$B$3-100)*3)+Inputs!$B$28+Inputs!$B$29)))</f>
        <v/>
      </c>
      <c r="E1874">
        <f>INDEX(FactorTable!$B$2:$Y$301, MATCH(ROUND(MIN(300,MAX(1,D1874)),0), FactorTable!$A$2:$A$301,0), Skills!M27+1)</f>
        <v/>
      </c>
      <c r="F1874">
        <f>IF(Skills!N27=TRUE,(Skills!L27/10)*(E1874/1000),Skills!L27/10)+Skills!O27</f>
        <v/>
      </c>
      <c r="G1874">
        <f>Skills!G27*IF(Skills!H27&gt;0,INT(IF(Inputs!$B$38="pvp",MIN(Skills!I27,15),Skills!I27)/Skills!H27+0.000000001),1)</f>
        <v/>
      </c>
      <c r="H1874">
        <f>1-(1-Skills!J27/100)^Skills!K27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Skills!A28</f>
        <v/>
      </c>
      <c r="B1875">
        <f>Skills!B28</f>
        <v/>
      </c>
      <c r="C1875">
        <f>Inputs!$B$3&gt;=125</f>
        <v/>
      </c>
      <c r="D1875">
        <f>IF(Skills!C28=1,60+Inputs!$B$25+Inputs!$B$29,IF(Skills!C28=2,90+Inputs!$B$26+Inputs!$B$29,IF(Skills!C28=3,120+Inputs!$B$27+Inputs!$B$29,MAX(0,(Inputs!$B$3-100)*3)+Inputs!$B$28+Inputs!$B$29)))</f>
        <v/>
      </c>
      <c r="E1875">
        <f>INDEX(FactorTable!$B$2:$Y$301, MATCH(ROUND(MIN(300,MAX(1,D1875)),0), FactorTable!$A$2:$A$301,0), Skills!M28+1)</f>
        <v/>
      </c>
      <c r="F1875">
        <f>IF(Skills!N28=TRUE,(Skills!L28/10)*(E1875/1000),Skills!L28/10)+Skills!O28</f>
        <v/>
      </c>
      <c r="G1875">
        <f>Skills!G28*IF(Skills!H28&gt;0,INT(IF(Inputs!$B$38="pvp",MIN(Skills!I28,15),Skills!I28)/Skills!H28+0.000000001),1)</f>
        <v/>
      </c>
      <c r="H1875">
        <f>1-(1-Skills!J28/100)^Skills!K28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Skills!A29</f>
        <v/>
      </c>
      <c r="B1876">
        <f>Skills!B29</f>
        <v/>
      </c>
      <c r="C1876">
        <f>Inputs!$B$3&gt;=125</f>
        <v/>
      </c>
      <c r="D1876">
        <f>IF(Skills!C29=1,60+Inputs!$B$25+Inputs!$B$29,IF(Skills!C29=2,90+Inputs!$B$26+Inputs!$B$29,IF(Skills!C29=3,120+Inputs!$B$27+Inputs!$B$29,MAX(0,(Inputs!$B$3-100)*3)+Inputs!$B$28+Inputs!$B$29)))</f>
        <v/>
      </c>
      <c r="E1876">
        <f>INDEX(FactorTable!$B$2:$Y$301, MATCH(ROUND(MIN(300,MAX(1,D1876)),0), FactorTable!$A$2:$A$301,0), Skills!M29+1)</f>
        <v/>
      </c>
      <c r="F1876">
        <f>IF(Skills!N29=TRUE,(Skills!L29/10)*(E1876/1000),Skills!L29/10)+Skills!O29</f>
        <v/>
      </c>
      <c r="G1876">
        <f>Skills!G29*IF(Skills!H29&gt;0,INT(IF(Inputs!$B$38="pvp",MIN(Skills!I29,15),Skills!I29)/Skills!H29+0.000000001),1)</f>
        <v/>
      </c>
      <c r="H1876">
        <f>1-(1-Skills!J29/100)^Skills!K29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Skills!A30</f>
        <v/>
      </c>
      <c r="B1877">
        <f>Skills!B30</f>
        <v/>
      </c>
      <c r="C1877">
        <f>Inputs!$B$3&gt;=120</f>
        <v/>
      </c>
      <c r="D1877">
        <f>IF(Skills!C30=1,60+Inputs!$B$25+Inputs!$B$29,IF(Skills!C30=2,90+Inputs!$B$26+Inputs!$B$29,IF(Skills!C30=3,120+Inputs!$B$27+Inputs!$B$29,MAX(0,(Inputs!$B$3-100)*3)+Inputs!$B$28+Inputs!$B$29)))</f>
        <v/>
      </c>
      <c r="E1877">
        <f>INDEX(FactorTable!$B$2:$Y$301, MATCH(ROUND(MIN(300,MAX(1,D1877)),0), FactorTable!$A$2:$A$301,0), Skills!M30+1)</f>
        <v/>
      </c>
      <c r="F1877">
        <f>IF(Skills!N30=TRUE,(Skills!L30/10)*(E1877/1000),Skills!L30/10)+Skills!O30</f>
        <v/>
      </c>
      <c r="G1877">
        <f>Skills!G30*IF(Skills!H30&gt;0,INT(IF(Inputs!$B$38="pvp",MIN(Skills!I30,15),Skills!I30)/Skills!H30+0.000000001),1)</f>
        <v/>
      </c>
      <c r="H1877">
        <f>1-(1-Skills!J30/100)^Skills!K30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Skills!A31</f>
        <v/>
      </c>
      <c r="B1878">
        <f>Skills!B31</f>
        <v/>
      </c>
      <c r="C1878">
        <f>Inputs!$B$3&gt;=120</f>
        <v/>
      </c>
      <c r="D1878">
        <f>IF(Skills!C31=1,60+Inputs!$B$25+Inputs!$B$29,IF(Skills!C31=2,90+Inputs!$B$26+Inputs!$B$29,IF(Skills!C31=3,120+Inputs!$B$27+Inputs!$B$29,MAX(0,(Inputs!$B$3-100)*3)+Inputs!$B$28+Inputs!$B$29)))</f>
        <v/>
      </c>
      <c r="E1878">
        <f>INDEX(FactorTable!$B$2:$Y$301, MATCH(ROUND(MIN(300,MAX(1,D1878)),0), FactorTable!$A$2:$A$301,0), Skills!M31+1)</f>
        <v/>
      </c>
      <c r="F1878">
        <f>IF(Skills!N31=TRUE,(Skills!L31/10)*(E1878/1000),Skills!L31/10)+Skills!O31</f>
        <v/>
      </c>
      <c r="G1878">
        <f>Skills!G31*IF(Skills!H31&gt;0,INT(IF(Inputs!$B$38="pvp",MIN(Skills!I31,15),Skills!I31)/Skills!H31+0.000000001),1)</f>
        <v/>
      </c>
      <c r="H1878">
        <f>1-(1-Skills!J31/100)^Skills!K31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Skills!A32</f>
        <v/>
      </c>
      <c r="B1879">
        <f>Skills!B32</f>
        <v/>
      </c>
      <c r="C1879">
        <f>Inputs!$B$3&gt;=45</f>
        <v/>
      </c>
      <c r="D1879">
        <f>IF(Skills!C32=1,60+Inputs!$B$25+Inputs!$B$29,IF(Skills!C32=2,90+Inputs!$B$26+Inputs!$B$29,IF(Skills!C32=3,120+Inputs!$B$27+Inputs!$B$29,MAX(0,(Inputs!$B$3-100)*3)+Inputs!$B$28+Inputs!$B$29)))</f>
        <v/>
      </c>
      <c r="E1879">
        <f>INDEX(FactorTable!$B$2:$Y$301, MATCH(ROUND(MIN(300,MAX(1,D1879)),0), FactorTable!$A$2:$A$301,0), Skills!M32+1)</f>
        <v/>
      </c>
      <c r="F1879">
        <f>IF(Skills!N32=TRUE,(Skills!L32/10)*(E1879/1000),Skills!L32/10)+Skills!O32</f>
        <v/>
      </c>
      <c r="G1879">
        <f>Skills!G32*IF(Skills!H32&gt;0,INT(IF(Inputs!$B$38="pvp",MIN(Skills!I32,15),Skills!I32)/Skills!H32+0.000000001),1)</f>
        <v/>
      </c>
      <c r="H1879">
        <f>1-(1-Skills!J32/100)^Skills!K32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t>
        </is>
      </c>
      <c r="B1883">
        <f>((C1868=TRUE)*F1868*IF(AND(Inputs!$B$38&lt;&gt;"pvp",Inputs!$B$43&gt;0),(((R1868-1)*MIN((Skills!T21*(1+Inputs!$B$34/100)),(1/Q1868))+MIN((Skills!T21*(1+Inputs!$B$34/100)),MAX(0,Inputs!$B$43-((R1868-1)*(1/Q1868)))))/Inputs!$B$43),IF(Inputs!$B$38="pvp",MIN((Skills!T21*(1+Inputs!$B$34/100)),15)/15,MIN(1,(Skills!T21*(1+Inputs!$B$34/100))/(1/Q1868)))))</f>
        <v/>
      </c>
    </row>
    <row r="1884">
      <c r="A1884" t="inlineStr">
        <is>
          <t>Actions Per Second</t>
        </is>
      </c>
      <c r="B1884">
        <f>1+MIN(150,150*(1-(1-(Inputs!$B$11+((C1870=TRUE)*(F1870-Calc!F23))+((C1871=TRUE)*(F1871-Calc!F24)))/150)*(1-B1883/150)))/100</f>
        <v/>
      </c>
    </row>
    <row r="1885">
      <c r="A1885" t="inlineStr">
        <is>
          <t>Skill + Buff Cast Rate</t>
        </is>
      </c>
      <c r="B1885">
        <f>IF(AND(Inputs!$B$38&lt;&gt;"pvp",Inputs!$B$43&gt;0),SUMPRODUCT((Skills!E2:E32=TRUE)*(C1849:C1879=TRUE)*R1849:R1879*Skills!F2:F32)/Inputs!$B$43,SUMPRODUCT((Skills!E2:E32=TRUE)*(C1849:C1879=TRUE)*Q1849:Q1879*Skills!F2:F32))</f>
        <v/>
      </c>
    </row>
    <row r="1886">
      <c r="A1886" t="inlineStr">
        <is>
          <t>Arrow Stream Casts Per Second</t>
        </is>
      </c>
      <c r="B1886">
        <f>MAX(0,B1884-B1885)</f>
        <v/>
      </c>
    </row>
    <row r="1887">
      <c r="A1887" t="inlineStr">
        <is>
          <t>Global Critical Damage Bonus % (Sharp Eyes + Concentration)</t>
        </is>
      </c>
      <c r="B1887">
        <f>(C1865=TRUE)*F1865*IF(AND(Inputs!$B$38&lt;&gt;"pvp",Inputs!$B$43&gt;0),(((R1865-1)*MIN((Skills!T18*(1+Inputs!$B$34/100)),(1/Q1865))+MIN((Skills!T18*(1+Inputs!$B$34/100)),MAX(0,Inputs!$B$43-((R1865-1)*(1/Q1865)))))/Inputs!$B$43),IF(Inputs!$B$38="pvp",MIN((Skills!T18*(1+Inputs!$B$34/100)),15)/15,MIN(1,(Skills!T18*(1+Inputs!$B$34/100))/(1/Q1865))))+(C1866=TRUE)*7*F1866</f>
        <v/>
      </c>
    </row>
    <row r="1888">
      <c r="A1888" t="inlineStr">
        <is>
          <t>Global Final Damage Bonus % (Mortal Blow)</t>
        </is>
      </c>
      <c r="B1888">
        <f>(C1867=TRUE)*F1867</f>
        <v/>
      </c>
    </row>
    <row r="1889">
      <c r="A1889" t="inlineStr">
        <is>
          <t>Buff-Casting Startup Delay (s, fixed-duration only)</t>
        </is>
      </c>
      <c r="B1889">
        <f>IF(AND(Inputs!$B$38&lt;&gt;"pvp",Inputs!$B$43&gt;0),SUMPRODUCT((Skills!T2:T32&gt;0)*(Skills!E2:E32=TRUE)*(C1849:C1879=TRUE))/B1884,0)</f>
        <v/>
      </c>
    </row>
    <row r="1890">
      <c r="A1890" t="inlineStr">
        <is>
          <t>Boss-Only Total DPS (this block's swept value)</t>
        </is>
      </c>
      <c r="B1890">
        <f>SUM(T1849:T1879)</f>
        <v/>
      </c>
    </row>
    <row r="1891">
      <c r="A1891" t="inlineStr">
        <is>
          <t>Normal-Only Total DPS (this block's swept value)</t>
        </is>
      </c>
      <c r="B1891">
        <f>SUM(V1849:V1879)</f>
        <v/>
      </c>
    </row>
    <row r="1892">
      <c r="A1892" s="6" t="inlineStr">
        <is>
          <t>TOTAL DPS</t>
        </is>
      </c>
      <c r="B1892" s="6">
        <f>SUM(O1849:O1879)</f>
        <v/>
      </c>
    </row>
    <row r="1895">
      <c r="A1895" s="6" t="inlineStr">
        <is>
          <t>Stat: Pink Bean's Giant Rib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Skills!G2*IF(Skills!H2&gt;0,INT(IF(Inputs!$B$38="pvp",MIN(Skills!I2,15),Skills!I2)/Skills!H2+0.000000001),1)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1921=TRUE)*(F1921-Calc!F26)),(Inputs!$B$23+((C1926=TRUE)*(F1926-Calc!F31))+(IF(ArtifactsInput!$M$15,CHOOSE(ArtifactsInput!$N$15+1,25,30,35,40,45,50)/100*(Inputs!$B$11-Inputs!$B$11),0))))/100+(Inputs!$B$23+((C1926=TRUE)*(F1926-Calc!F31))+(IF(ArtifactsInput!$M$15,CHOOSE(ArtifactsInput!$N$15+1,25,30,35,40,45,50)/100*(Inputs!$B$11-Inputs!$B$11),0)))/100)/2</f>
        <v/>
      </c>
      <c r="M1897">
        <f>L1897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IF(B1940=0,0,O1897/B1940)</f>
        <v/>
      </c>
      <c r="Q1897" t="n">
        <v>0</v>
      </c>
      <c r="R1897" t="n">
        <v>0</v>
      </c>
      <c r="S1897">
        <f>IFERROR(O1897/N1897,0)</f>
        <v/>
      </c>
      <c r="T1897">
        <f>IF(C1897,(Skills!G2*N1897*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Inputs!$B$3&gt;=50</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Skills!G3*IF(Skills!H3&gt;0,INT(IF(Inputs!$B$38="pvp",MIN(Skills!I3,15),Skills!I3)/Skills!H3+0.000000001),1)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1899=TRUE,F1899,0)/100)*(1+(IF(Skills!A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1921=TRUE)*(F1921-Calc!F26)),(Inputs!$B$23+((C1926=TRUE)*(F1926-Calc!F31))+(IF(ArtifactsInput!$M$15,CHOOSE(ArtifactsInput!$N$15+1,25,30,35,40,45,50)/100*(Inputs!$B$11-Inputs!$B$11),0))))/100+(Inputs!$B$23+((C1926=TRUE)*(F1926-Calc!F31))+(IF(ArtifactsInput!$M$15,CHOOSE(ArtifactsInput!$N$15+1,25,30,35,40,45,50)/100*(Inputs!$B$11-Inputs!$B$11),0)))/100)/2</f>
        <v/>
      </c>
      <c r="M1898">
        <f>L1898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IF(B1940=0,0,O1898/B1940)</f>
        <v/>
      </c>
      <c r="Q1898">
        <f>IFERROR(1/(IF(Inputs!$B$38="pvp",15,MAX(0.1,1/B1932-IF(FALSE=TRUE,Inputs!$B$32,0)))*(1-IF(AND(ArtifactsInput!$M$27,Inputs!$B$4="Chapter Hunt"),CHOOSE(ArtifactsInput!$N$27+1,20,24,28,32,36,40),0)/100)),0)</f>
        <v/>
      </c>
      <c r="R1898">
        <f>IF(AND(Inputs!$B$38&lt;&gt;"pvp",Inputs!$B$43&gt;0),IF(MAX(0,Inputs!$B$43-B1937)&lt;=0,0,(INT(MAX(0,Inputs!$B$43-B1937)/(IF(Inputs!$B$38="pvp",15,MAX(0.1,1/B1932-IF(FALSE=TRUE,Inputs!$B$32,0)))*(1-IF(AND(ArtifactsInput!$M$27,Inputs!$B$4="Chapter Hunt"),CHOOSE(ArtifactsInput!$N$27+1,20,24,28,32,36,40),0)/100)))+1)),0)</f>
        <v/>
      </c>
      <c r="S1898">
        <f>IFERROR(O1898/N1898,0)</f>
        <v/>
      </c>
      <c r="T1898">
        <f>IF(C1898,(H1898*N1898*IF(AND(Inputs!$B$38&lt;&gt;"pvp",Inputs!$B$43&gt;0),((Skills!G3*((R1898-1)*IF(Skills!H3&gt;0,INT(Skills!I3/Skills!H3+0.000000001),1)+IF(Skills!H3&gt;0,INT(MIN(Skills!I3,MAX(0,MAX(0,Inputs!$B$43-B1937)-((R1898-1)*(IF(Inputs!$B$38="pvp",15,MAX(0.1,1/B1932-IF(FALSE=TRUE,Inputs!$B$32,0)))*(1-IF(AND(ArtifactsInput!$M$27,Inputs!$B$4="Chapter Hunt"),CHOOSE(ArtifactsInput!$N$27+1,20,24,28,32,36,40),0)/100)))))/Skills!H3+0.000000001),1)))/Inputs!$B$43),G1898*Q1898)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H1898*N1898*IF(AND(Inputs!$B$38&lt;&gt;"pvp",Inputs!$B$43&gt;0),((Skills!G3*((R1898-1)*IF(Skills!H3&gt;0,INT(Skills!I3/Skills!H3+0.000000001),1)+IF(Skills!H3&gt;0,INT(MIN(Skills!I3,MAX(0,MAX(0,Inputs!$B$43-B1937)-((R1898-1)*(IF(Inputs!$B$38="pvp",15,MAX(0.1,1/B1932-IF(FALSE=TRUE,Inputs!$B$32,0)))*(1-IF(AND(ArtifactsInput!$M$27,Inputs!$B$4="Chapter Hunt"),CHOOSE(ArtifactsInput!$N$27+1,20,24,28,32,36,40),0)/100)))))/Skills!H3+0.000000001),1)))/Inputs!$B$43),G1898*Q1898))*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Inputs!$B$3&gt;=105</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t="inlineStr"/>
      <c r="H1899" t="inlineStr"/>
      <c r="I1899" t="inlineStr">
        <is>
          <t>1</t>
        </is>
      </c>
      <c r="J1899" t="inlineStr"/>
      <c r="K1899" t="inlineStr"/>
      <c r="L1899" t="inlineStr"/>
      <c r="M1899" t="inlineStr"/>
      <c r="N1899" t="inlineStr"/>
      <c r="O1899" t="inlineStr"/>
      <c r="P1899" t="inlineStr"/>
      <c r="Q1899" t="inlineStr"/>
      <c r="R1899" t="inlineStr"/>
      <c r="S1899" t="inlineStr"/>
      <c r="T1899" t="inlineStr"/>
      <c r="U1899">
        <f>290*U1898/1000</f>
        <v/>
      </c>
      <c r="V1899" t="inlineStr"/>
    </row>
    <row r="1900">
      <c r="A1900">
        <f>Skills!A5</f>
        <v/>
      </c>
      <c r="B1900">
        <f>Skills!B5</f>
        <v/>
      </c>
      <c r="C1900">
        <f>Inputs!$B$3&gt;=35</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Skills!G5*IF(Skills!H5&gt;0,INT(IF(Inputs!$B$38="pvp",MIN(Skills!I5,15),Skills!I5)/Skills!H5+0.000000001),1)</f>
        <v/>
      </c>
      <c r="H1900">
        <f>1-(1-Skills!J5/100)^Skills!K5</f>
        <v/>
      </c>
      <c r="I1900" t="inlineStr">
        <is>
          <t>1</t>
        </is>
      </c>
      <c r="J1900">
        <f>((Inputs!$B$6*(1+Inputs!$B$7/100))+(((Inputs!$B$12*(1+Inputs!$B$13/100))-(Inputs!$B$12*(1+Inputs!$B$13/100)))+0.25*(Inputs!$B$14-Inputs!$B$14))*(1+Inputs!$B$7/100))*(F1900/100)</f>
        <v/>
      </c>
      <c r="K1900">
        <f>J1900*(1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1907=TRUE,F1907,0)/100)*(1+(IF(Skills!A5="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1900)</f>
        <v/>
      </c>
      <c r="L1900">
        <f>K1900*(MIN(Inputs!$B$22+((C1921=TRUE)*(F1921-Calc!F26)),(Inputs!$B$23+((C1926=TRUE)*(F1926-Calc!F31))+(IF(ArtifactsInput!$M$15,CHOOSE(ArtifactsInput!$N$15+1,25,30,35,40,45,50)/100*(Inputs!$B$11-Inputs!$B$11),0))))/100+(Inputs!$B$23+((C1926=TRUE)*(F1926-Calc!F31))+(IF(ArtifactsInput!$M$15,CHOOSE(ArtifactsInput!$N$15+1,25,30,35,40,45,50)/100*(Inputs!$B$11-Inputs!$B$11),0)))/100)/2</f>
        <v/>
      </c>
      <c r="M1900">
        <f>L1900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0">
        <f>L1900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1900*(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0">
        <f>(1-Summary!$B$11)*T1900+Summary!$B$11*V1900</f>
        <v/>
      </c>
      <c r="P1900">
        <f>IF(B1940=0,0,O1900/B1940)</f>
        <v/>
      </c>
      <c r="Q1900">
        <f>IFERROR(1/(IF(Inputs!$B$38="pvp",15,MAX(0.1,Skills!D5-IF(TRUE=TRUE,Inputs!$B$32,0)))*(1-IF(AND(ArtifactsInput!$M$27,Inputs!$B$4="Chapter Hunt"),CHOOSE(ArtifactsInput!$N$27+1,20,24,28,32,36,40),0)/100)),0)</f>
        <v/>
      </c>
      <c r="R1900">
        <f>IF(AND(Inputs!$B$38&lt;&gt;"pvp",Inputs!$B$43&gt;0),IF(MAX(0,Inputs!$B$43-B1937)&lt;=0,0,(INT(MAX(0,Inputs!$B$43-B1937)/(IF(Inputs!$B$38="pvp",15,MAX(0.1,Skills!D5-IF(TRUE=TRUE,Inputs!$B$32,0)))*(1-IF(AND(ArtifactsInput!$M$27,Inputs!$B$4="Chapter Hunt"),CHOOSE(ArtifactsInput!$N$27+1,20,24,28,32,36,40),0)/100)))+1)),0)</f>
        <v/>
      </c>
      <c r="S1900">
        <f>IFERROR(O1900/N1900,0)</f>
        <v/>
      </c>
      <c r="T1900">
        <f>IF(C1900,(H1900*N1900*IF(AND(Inputs!$B$38&lt;&gt;"pvp",Inputs!$B$43&gt;0),((Skills!G5*((R1900-1)*IF(Skills!H5&gt;0,INT(Skills!I5/Skills!H5+0.000000001),1)+IF(Skills!H5&gt;0,INT(MIN(Skills!I5,MAX(0,MAX(0,Inputs!$B$43-B1937)-((R1900-1)*(IF(Inputs!$B$38="pvp",15,MAX(0.1,Skills!D5-IF(TRUE=TRUE,Inputs!$B$32,0)))*(1-IF(AND(ArtifactsInput!$M$27,Inputs!$B$4="Chapter Hunt"),CHOOSE(ArtifactsInput!$N$27+1,20,24,28,32,36,40),0)/100)))))/Skills!H5+0.000000001),1)))/Inputs!$B$43),G1900*Q1900)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0">
        <f>IF(C1900,(H1900*N1900*IF(AND(Inputs!$B$38&lt;&gt;"pvp",Inputs!$B$43&gt;0),((Skills!G5*((R1900-1)*IF(Skills!H5&gt;0,INT(Skills!I5/Skills!H5+0.000000001),1)+IF(Skills!H5&gt;0,INT(MIN(Skills!I5,MAX(0,MAX(0,Inputs!$B$43-B1937)-((R1900-1)*(IF(Inputs!$B$38="pvp",15,MAX(0.1,Skills!D5-IF(TRUE=TRUE,Inputs!$B$32,0)))*(1-IF(AND(ArtifactsInput!$M$27,Inputs!$B$4="Chapter Hunt"),CHOOSE(ArtifactsInput!$N$27+1,20,24,28,32,36,40),0)/100)))))/Skills!H5+0.000000001),1)))/Inputs!$B$43),G1900*Q1900))*IF(Inputs!$B$38="pvp",1,(1+(Inputs!$B$21+Skills!Q5+(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1">
      <c r="A1901">
        <f>Skills!A6</f>
        <v/>
      </c>
      <c r="B1901">
        <f>Skills!B6</f>
        <v/>
      </c>
      <c r="C1901">
        <f>Inputs!$B$3&gt;=40</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Skills!G6*IF(Skills!H6&gt;0,INT(IF(Inputs!$B$38="pvp",MIN(Skills!I6,15),Skills!I6)/Skills!H6+0.000000001),1)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1902=TRUE,F1902,0)/100)*(1+(IF(Skills!A6="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1921=TRUE)*(F1921-Calc!F26)),(Inputs!$B$23+((C1926=TRUE)*(F1926-Calc!F31))+(IF(ArtifactsInput!$M$15,CHOOSE(ArtifactsInput!$N$15+1,25,30,35,40,45,50)/100*(Inputs!$B$11-Inputs!$B$11),0))))/100+(Inputs!$B$23+((C1926=TRUE)*(F1926-Calc!F31))+(IF(ArtifactsInput!$M$15,CHOOSE(ArtifactsInput!$N$15+1,25,30,35,40,45,50)/100*(Inputs!$B$11-Inputs!$B$11),0)))/100)/2</f>
        <v/>
      </c>
      <c r="M1901">
        <f>L1901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IF(B1940=0,0,O1901/B1940)</f>
        <v/>
      </c>
      <c r="Q1901">
        <f>IFERROR(1/(IF(Inputs!$B$38="pvp",15,MAX(0.1,1-0.4*MIN(1,(B1932-1)/1.5)-IF(FALSE=TRUE,Inputs!$B$32,0)))*(1-IF(AND(ArtifactsInput!$M$27,Inputs!$B$4="Chapter Hunt"),CHOOSE(ArtifactsInput!$N$27+1,20,24,28,32,36,40),0)/100)),0)</f>
        <v/>
      </c>
      <c r="R1901">
        <f>IF(AND(Inputs!$B$38&lt;&gt;"pvp",Inputs!$B$43&gt;0),IF(MAX(0,Inputs!$B$43-B1937)&lt;=0,0,(INT(MAX(0,Inputs!$B$43-B1937)/(IF(Inputs!$B$38="pvp",15,MAX(0.1,1-0.4*MIN(1,(B1932-1)/1.5)-IF(FALSE=TRUE,Inputs!$B$32,0)))*(1-IF(AND(ArtifactsInput!$M$27,Inputs!$B$4="Chapter Hunt"),CHOOSE(ArtifactsInput!$N$27+1,20,24,28,32,36,40),0)/100)))+1)),0)</f>
        <v/>
      </c>
      <c r="S1901">
        <f>IFERROR(O1901/N1901,0)</f>
        <v/>
      </c>
      <c r="T1901">
        <f>IF(C1901,(H1901*N1901*IF(AND(Inputs!$B$38&lt;&gt;"pvp",Inputs!$B$43&gt;0),((Skills!G6*((R1901-1)*IF(Skills!H6&gt;0,INT(Skills!I6/Skills!H6+0.000000001),1)+IF(Skills!H6&gt;0,INT(MIN(Skills!I6,MAX(0,MAX(0,Inputs!$B$43-B1937)-((R1901-1)*(IF(Inputs!$B$38="pvp",15,MAX(0.1,1-0.4*MIN(1,(B1932-1)/1.5)-IF(FALSE=TRUE,Inputs!$B$32,0)))*(1-IF(AND(ArtifactsInput!$M$27,Inputs!$B$4="Chapter Hunt"),CHOOSE(ArtifactsInput!$N$27+1,20,24,28,32,36,40),0)/100)))))/Skills!H6+0.000000001),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INT(Skills!I6/Skills!H6+0.000000001),1)+IF(Skills!H6&gt;0,INT(MIN(Skills!I6,MAX(0,MAX(0,Inputs!$B$43-B1937)-((R1901-1)*(IF(Inputs!$B$38="pvp",15,MAX(0.1,1-0.4*MIN(1,(B1932-1)/1.5)-IF(FALSE=TRUE,Inputs!$B$32,0)))*(1-IF(AND(ArtifactsInput!$M$27,Inputs!$B$4="Chapter Hunt"),CHOOSE(ArtifactsInput!$N$27+1,20,24,28,32,36,40),0)/100)))))/Skills!H6+0.000000001),1)))/Inputs!$B$43),G1901*Q1901))*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Inputs!$B$3&gt;=107</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t="inlineStr"/>
      <c r="H1902" t="inlineStr"/>
      <c r="I1902" t="inlineStr">
        <is>
          <t>1</t>
        </is>
      </c>
      <c r="J1902" t="inlineStr"/>
      <c r="K1902" t="inlineStr"/>
      <c r="L1902" t="inlineStr"/>
      <c r="M1902" t="inlineStr"/>
      <c r="N1902" t="inlineStr"/>
      <c r="O1902" t="inlineStr"/>
      <c r="P1902" t="inlineStr"/>
      <c r="Q1902" t="inlineStr"/>
      <c r="R1902" t="inlineStr"/>
      <c r="S1902" t="inlineStr"/>
      <c r="T1902" t="inlineStr"/>
      <c r="V1902" t="inlineStr"/>
    </row>
    <row r="1903">
      <c r="A1903">
        <f>Skills!A8</f>
        <v/>
      </c>
      <c r="B1903">
        <f>Skills!B8</f>
        <v/>
      </c>
      <c r="C1903">
        <f>Inputs!$B$3&gt;=130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Skills!G8*IF(Skills!H8&gt;0,INT(IF(Inputs!$B$38="pvp",MIN(Skills!I8,15),Skills!I8)/Skills!H8+0.000000001),1)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1921=TRUE)*(F1921-Calc!F26)),(Inputs!$B$23+((C1926=TRUE)*(F1926-Calc!F31))+(IF(ArtifactsInput!$M$15,CHOOSE(ArtifactsInput!$N$15+1,25,30,35,40,45,50)/100*(Inputs!$B$11-Inputs!$B$11),0))))/100+(Inputs!$B$23+((C1926=TRUE)*(F1926-Calc!F31))+(IF(ArtifactsInput!$M$15,CHOOSE(ArtifactsInput!$N$15+1,25,30,35,40,45,50)/100*(Inputs!$B$11-Inputs!$B$11),0)))/100)/2</f>
        <v/>
      </c>
      <c r="M1903">
        <f>L1903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IF(B1940=0,0,O1903/B1940)</f>
        <v/>
      </c>
      <c r="Q1903">
        <f>IFERROR(1/(IF(Inputs!$B$38="pvp",15,MAX(0.1,1-0.4*MIN(1,(B1932-1)/1.5)-IF(FALSE=TRUE,Inputs!$B$32,0)))*(1-IF(AND(ArtifactsInput!$M$27,Inputs!$B$4="Chapter Hunt"),CHOOSE(ArtifactsInput!$N$27+1,20,24,28,32,36,40),0)/100)),0)</f>
        <v/>
      </c>
      <c r="R1903">
        <f>IF(AND(Inputs!$B$38&lt;&gt;"pvp",Inputs!$B$43&gt;0),IF(MAX(0,Inputs!$B$43-B1937)&lt;=0,0,(INT(MAX(0,Inputs!$B$43-B1937)/(IF(Inputs!$B$38="pvp",15,MAX(0.1,1-0.4*MIN(1,(B1932-1)/1.5)-IF(FALSE=TRUE,Inputs!$B$32,0)))*(1-IF(AND(ArtifactsInput!$M$27,Inputs!$B$4="Chapter Hunt"),CHOOSE(ArtifactsInput!$N$27+1,20,24,28,32,36,40),0)/100)))+1)),0)</f>
        <v/>
      </c>
      <c r="S1903">
        <f>IFERROR(O1903/N1903,0)</f>
        <v/>
      </c>
      <c r="T1903">
        <f>IF(C1903,(H1903*N1903*IF(AND(Inputs!$B$38&lt;&gt;"pvp",Inputs!$B$43&gt;0),((Skills!G8*((R1903-1)*IF(Skills!H8&gt;0,INT(Skills!I8/Skills!H8+0.000000001),1)+IF(Skills!H8&gt;0,INT(MIN(Skills!I8,MAX(0,MAX(0,Inputs!$B$43-B1937)-((R1903-1)*(IF(Inputs!$B$38="pvp",15,MAX(0.1,1-0.4*MIN(1,(B1932-1)/1.5)-IF(FALSE=TRUE,Inputs!$B$32,0)))*(1-IF(AND(ArtifactsInput!$M$27,Inputs!$B$4="Chapter Hunt"),CHOOSE(ArtifactsInput!$N$27+1,20,24,28,32,36,40),0)/100)))))/Skills!H8+0.000000001),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INT(Skills!I8/Skills!H8+0.000000001),1)+IF(Skills!H8&gt;0,INT(MIN(Skills!I8,MAX(0,MAX(0,Inputs!$B$43-B1937)-((R1903-1)*(IF(Inputs!$B$38="pvp",15,MAX(0.1,1-0.4*MIN(1,(B1932-1)/1.5)-IF(FALSE=TRUE,Inputs!$B$32,0)))*(1-IF(AND(ArtifactsInput!$M$27,Inputs!$B$4="Chapter Hunt"),CHOOSE(ArtifactsInput!$N$27+1,20,24,28,32,36,40),0)/100)))))/Skills!H8+0.000000001),1)))/Inputs!$B$43),G1903*Q1903))*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Inputs!$B$3&gt;=69</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Skills!G9*IF(Skills!H9&gt;0,INT(IF(Inputs!$B$38="pvp",MIN(Skills!I9,15),Skills!I9)/Skills!H9+0.000000001),1)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1907=TRUE,F1907,0)/100)*(1+(IF(Skills!A9="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1921=TRUE)*(F1921-Calc!F26)),(Inputs!$B$23+((C1926=TRUE)*(F1926-Calc!F31))+(IF(ArtifactsInput!$M$15,CHOOSE(ArtifactsInput!$N$15+1,25,30,35,40,45,50)/100*(Inputs!$B$11-Inputs!$B$11),0))))/100+(Inputs!$B$23+((C1926=TRUE)*(F1926-Calc!F31))+(IF(ArtifactsInput!$M$15,CHOOSE(ArtifactsInput!$N$15+1,25,30,35,40,45,50)/100*(Inputs!$B$11-Inputs!$B$11),0)))/100)/2</f>
        <v/>
      </c>
      <c r="M1904">
        <f>L1904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IF(B1940=0,0,O1904/B1940)</f>
        <v/>
      </c>
      <c r="Q1904">
        <f>IFERROR(1/(IF(Inputs!$B$38="pvp",15,MAX(0.1,Skills!D9-IF(TRUE=TRUE,Inputs!$B$32,0)))*(1-IF(AND(ArtifactsInput!$M$27,Inputs!$B$4="Chapter Hunt"),CHOOSE(ArtifactsInput!$N$27+1,20,24,28,32,36,40),0)/100)),0)</f>
        <v/>
      </c>
      <c r="R1904">
        <f>IF(AND(Inputs!$B$38&lt;&gt;"pvp",Inputs!$B$43&gt;0),IF(MAX(0,Inputs!$B$43-B1937)&lt;=0,0,(INT(MAX(0,Inputs!$B$43-B1937)/(IF(Inputs!$B$38="pvp",15,MAX(0.1,Skills!D9-IF(TRUE=TRUE,Inputs!$B$32,0)))*(1-IF(AND(ArtifactsInput!$M$27,Inputs!$B$4="Chapter Hunt"),CHOOSE(ArtifactsInput!$N$27+1,20,24,28,32,36,40),0)/100)))+1)),0)</f>
        <v/>
      </c>
      <c r="S1904">
        <f>IFERROR(O1904/N1904,0)</f>
        <v/>
      </c>
      <c r="T1904">
        <f>IF(C1904,(H1904*N1904*IF(AND(Inputs!$B$38&lt;&gt;"pvp",Inputs!$B$43&gt;0),((Skills!G9*((R1904-1)*IF(Skills!H9&gt;0,INT(Skills!I9/Skills!H9+0.000000001),1)+IF(Skills!H9&gt;0,INT(MIN(Skills!I9,MAX(0,MAX(0,Inputs!$B$43-B1937)-((R1904-1)*(IF(Inputs!$B$38="pvp",15,MAX(0.1,Skills!D9-IF(TRUE=TRUE,Inputs!$B$32,0)))*(1-IF(AND(ArtifactsInput!$M$27,Inputs!$B$4="Chapter Hunt"),CHOOSE(ArtifactsInput!$N$27+1,20,24,28,32,36,40),0)/100)))))/Skills!H9+0.000000001),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INT(Skills!I9/Skills!H9+0.000000001),1)+IF(Skills!H9&gt;0,INT(MIN(Skills!I9,MAX(0,MAX(0,Inputs!$B$43-B1937)-((R1904-1)*(IF(Inputs!$B$38="pvp",15,MAX(0.1,Skills!D9-IF(TRUE=TRUE,Inputs!$B$32,0)))*(1-IF(AND(ArtifactsInput!$M$27,Inputs!$B$4="Chapter Hunt"),CHOOSE(ArtifactsInput!$N$27+1,20,24,28,32,36,40),0)/100)))))/Skills!H9+0.000000001),1)))/Inputs!$B$43),G1904*Q1904))*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Inputs!$B$3&gt;=63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Skills!G10*IF(Skills!H10&gt;0,INT(IF(Inputs!$B$38="pvp",MIN(Skills!I10,15),Skills!I10)/Skills!H10+0.000000001),1)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10="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1921=TRUE)*(F1921-Calc!F26)),(Inputs!$B$23+((C1926=TRUE)*(F1926-Calc!F31))+(IF(ArtifactsInput!$M$15,CHOOSE(ArtifactsInput!$N$15+1,25,30,35,40,45,50)/100*(Inputs!$B$11-Inputs!$B$11),0))))/100+(Inputs!$B$23+((C1926=TRUE)*(F1926-Calc!F31))+(IF(ArtifactsInput!$M$15,CHOOSE(ArtifactsInput!$N$15+1,25,30,35,40,45,50)/100*(Inputs!$B$11-Inputs!$B$11),0)))/100)/2</f>
        <v/>
      </c>
      <c r="M1905">
        <f>L1905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IF(B1940=0,0,O1905/B1940)</f>
        <v/>
      </c>
      <c r="Q1905">
        <f>IFERROR(1/(IF(Inputs!$B$38="pvp",15,MAX(0.1,Skills!D10-IF(TRUE=TRUE,Inputs!$B$32,0)))*(1-IF(AND(ArtifactsInput!$M$27,Inputs!$B$4="Chapter Hunt"),CHOOSE(ArtifactsInput!$N$27+1,20,24,28,32,36,40),0)/100)),0)</f>
        <v/>
      </c>
      <c r="R1905">
        <f>IF(AND(Inputs!$B$38&lt;&gt;"pvp",Inputs!$B$43&gt;0),IF(MAX(0,Inputs!$B$43-B1937)&lt;=0,0,(INT(MAX(0,Inputs!$B$43-B1937)/(IF(Inputs!$B$38="pvp",15,MAX(0.1,Skills!D10-IF(TRUE=TRUE,Inputs!$B$32,0)))*(1-IF(AND(ArtifactsInput!$M$27,Inputs!$B$4="Chapter Hunt"),CHOOSE(ArtifactsInput!$N$27+1,20,24,28,32,36,40),0)/100)))+1)),0)</f>
        <v/>
      </c>
      <c r="S1905">
        <f>IFERROR(O1905/N1905,0)</f>
        <v/>
      </c>
      <c r="T1905">
        <f>IF(C1905,(H1905*N1905*IF(AND(Inputs!$B$38&lt;&gt;"pvp",Inputs!$B$43&gt;0),((Skills!G10*((R1905-1)*IF(Skills!H10&gt;0,INT(Skills!I10/Skills!H10+0.000000001),1)+IF(Skills!H10&gt;0,INT(MIN(Skills!I10,MAX(0,MAX(0,Inputs!$B$43-B1937)-((R1905-1)*(IF(Inputs!$B$38="pvp",15,MAX(0.1,Skills!D10-IF(TRUE=TRUE,Inputs!$B$32,0)))*(1-IF(AND(ArtifactsInput!$M$27,Inputs!$B$4="Chapter Hunt"),CHOOSE(ArtifactsInput!$N$27+1,20,24,28,32,36,40),0)/100)))))/Skills!H10+0.000000001),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INT(Skills!I10/Skills!H10+0.000000001),1)+IF(Skills!H10&gt;0,INT(MIN(Skills!I10,MAX(0,MAX(0,Inputs!$B$43-B1937)-((R1905-1)*(IF(Inputs!$B$38="pvp",15,MAX(0.1,Skills!D10-IF(TRUE=TRUE,Inputs!$B$32,0)))*(1-IF(AND(ArtifactsInput!$M$27,Inputs!$B$4="Chapter Hunt"),CHOOSE(ArtifactsInput!$N$27+1,20,24,28,32,36,40),0)/100)))))/Skills!H10+0.000000001),1)))/Inputs!$B$43),G1905*Q1905))*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Inputs!$B$3&gt;=103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Skills!G11*IF(Skills!H11&gt;0,INT(IF(Inputs!$B$38="pvp",MIN(Skills!I11,15),Skills!I11)/Skills!H11+0.000000001),1)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1921=TRUE)*(F1921-Calc!F26)),(Inputs!$B$23+((C1926=TRUE)*(F1926-Calc!F31))+(IF(ArtifactsInput!$M$15,CHOOSE(ArtifactsInput!$N$15+1,25,30,35,40,45,50)/100*(Inputs!$B$11-Inputs!$B$11),0))))/100+(Inputs!$B$23+((C1926=TRUE)*(F1926-Calc!F31))+(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f>IFERROR(1/(IF(Inputs!$B$38="pvp",15,MAX(0.1,Skills!D11-IF(TRUE=TRUE,Inputs!$B$32,0)))*(1-IF(AND(ArtifactsInput!$M$27,Inputs!$B$4="Chapter Hunt"),CHOOSE(ArtifactsInput!$N$27+1,20,24,28,32,36,40),0)/100)),0)</f>
        <v/>
      </c>
      <c r="R1906">
        <f>IF(AND(Inputs!$B$38&lt;&gt;"pvp",Inputs!$B$43&gt;0),IF(MAX(0,Inputs!$B$43-B1937)&lt;=0,0,(INT(MAX(0,Inputs!$B$43-B1937)/(IF(Inputs!$B$38="pvp",15,MAX(0.1,Skills!D11-IF(TRUE=TRUE,Inputs!$B$32,0)))*(1-IF(AND(ArtifactsInput!$M$27,Inputs!$B$4="Chapter Hunt"),CHOOSE(ArtifactsInput!$N$27+1,20,24,28,32,36,40),0)/100)))+1)),0)</f>
        <v/>
      </c>
      <c r="S1906">
        <f>IFERROR(O1906/N1906,0)</f>
        <v/>
      </c>
      <c r="T1906">
        <f>IF(C1906,(H1906*N1906*IF(AND(Inputs!$B$38&lt;&gt;"pvp",Inputs!$B$43&gt;0),((Skills!G11*((R1906-1)*IF(Skills!H11&gt;0,INT(Skills!I11/Skills!H11+0.000000001),1)+IF(Skills!H11&gt;0,INT(MIN(Skills!I11,MAX(0,MAX(0,Inputs!$B$43-B1937)-((R1906-1)*(IF(Inputs!$B$38="pvp",15,MAX(0.1,Skills!D11-IF(TRUE=TRUE,Inputs!$B$32,0)))*(1-IF(AND(ArtifactsInput!$M$27,Inputs!$B$4="Chapter Hunt"),CHOOSE(ArtifactsInput!$N$27+1,20,24,28,32,36,40),0)/100)))))/Skills!H11+0.000000001)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INT(Skills!I11/Skills!H11+0.000000001),1)+IF(Skills!H11&gt;0,INT(MIN(Skills!I11,MAX(0,MAX(0,Inputs!$B$43-B1937)-((R1906-1)*(IF(Inputs!$B$38="pvp",15,MAX(0.1,Skills!D11-IF(TRUE=TRUE,Inputs!$B$32,0)))*(1-IF(AND(ArtifactsInput!$M$27,Inputs!$B$4="Chapter Hunt"),CHOOSE(ArtifactsInput!$N$27+1,20,24,28,32,36,40),0)/100)))))/Skills!H11+0.000000001),1)))/Inputs!$B$43),G1906*Q1906))*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Inputs!$B$3&gt;=60</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Skills!G13*IF(Skills!H13&gt;0,INT(IF(Inputs!$B$38="pvp",MIN(Skills!I13,15),Skills!I13)/Skills!H13+0.000000001),1)</f>
        <v/>
      </c>
      <c r="H1908">
        <f>1-(1-Skills!J13/100)^Skills!K13</f>
        <v/>
      </c>
      <c r="I1908" t="inlineStr">
        <is>
          <t>1</t>
        </is>
      </c>
      <c r="J1908">
        <f>((Inputs!$B$6*(1+Inputs!$B$7/100))+(((Inputs!$B$12*(1+Inputs!$B$13/100))-(Inputs!$B$12*(1+Inputs!$B$13/100)))+0.25*(Inputs!$B$14-Inputs!$B$14))*(1+Inputs!$B$7/100))*(F1908/100)</f>
        <v/>
      </c>
      <c r="K1908">
        <f>J1908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1909=TRUE,F1909,0)/100)*(1+(IF(Skills!A13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1921=TRUE)*(F1921-Calc!F26)),(Inputs!$B$23+((C1926=TRUE)*(F1926-Calc!F31))+(IF(ArtifactsInput!$M$15,CHOOSE(ArtifactsInput!$N$15+1,25,30,35,40,45,50)/100*(Inputs!$B$11-Inputs!$B$11),0))))/100+(Inputs!$B$23+((C1926=TRUE)*(F1926-Calc!F31))+(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f>IFERROR(1/(IF(Inputs!$B$38="pvp",15,MAX(0.1,IF(Inputs!$B$3&gt;=122,3,5)+1/(((20+30*(B1932-1)*100/150)/100)*B1932)-IF(FALSE=TRUE,Inputs!$B$32,0)))*(1-IF(AND(ArtifactsInput!$M$27,Inputs!$B$4="Chapter Hunt"),CHOOSE(ArtifactsInput!$N$27+1,20,24,28,32,36,40),0)/100)),0)</f>
        <v/>
      </c>
      <c r="R1908">
        <f>IF(AND(Inputs!$B$38&lt;&gt;"pvp",Inputs!$B$43&gt;0),IF(MAX(0,Inputs!$B$43-B1937)&lt;=0,0,(INT(MAX(0,Inputs!$B$43-B1937)/(IF(Inputs!$B$38="pvp",15,MAX(0.1,IF(Inputs!$B$3&gt;=122,3,5)+1/(((20+30*(B1932-1)*100/150)/100)*B1932)-IF(FALSE=TRUE,Inputs!$B$32,0)))*(1-IF(AND(ArtifactsInput!$M$27,Inputs!$B$4="Chapter Hunt"),CHOOSE(ArtifactsInput!$N$27+1,20,24,28,32,36,40),0)/100)))+1)),0)</f>
        <v/>
      </c>
      <c r="S1908">
        <f>IFERROR(O1908/N1908,0)</f>
        <v/>
      </c>
      <c r="T1908">
        <f>IF(C1908,(H1908*N1908*IF(AND(Inputs!$B$38&lt;&gt;"pvp",Inputs!$B$43&gt;0),((Skills!G13*((R1908-1)*IF(Skills!H13&gt;0,INT(Skills!I13/Skills!H13+0.000000001),1)+IF(Skills!H13&gt;0,INT(MIN(Skills!I13,MAX(0,MAX(0,Inputs!$B$43-B1937)-((R1908-1)*(IF(Inputs!$B$38="pvp",15,MAX(0.1,IF(Inputs!$B$3&gt;=122,3,5)+1/(((20+30*(B1932-1)*100/150)/100)*B1932)-IF(FALSE=TRUE,Inputs!$B$32,0)))*(1-IF(AND(ArtifactsInput!$M$27,Inputs!$B$4="Chapter Hunt"),CHOOSE(ArtifactsInput!$N$27+1,20,24,28,32,36,40),0)/100)))))/Skills!H13+0.000000001),1)))/Inputs!$B$43),G1908*Q1908)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8">
        <f>IF(C1908,(H1908*N1908*IF(AND(Inputs!$B$38&lt;&gt;"pvp",Inputs!$B$43&gt;0),((Skills!G13*((R1908-1)*IF(Skills!H13&gt;0,INT(Skills!I13/Skills!H13+0.000000001),1)+IF(Skills!H13&gt;0,INT(MIN(Skills!I13,MAX(0,MAX(0,Inputs!$B$43-B1937)-((R1908-1)*(IF(Inputs!$B$38="pvp",15,MAX(0.1,IF(Inputs!$B$3&gt;=122,3,5)+1/(((20+30*(B1932-1)*100/150)/100)*B1932)-IF(FALSE=TRUE,Inputs!$B$32,0)))*(1-IF(AND(ArtifactsInput!$M$27,Inputs!$B$4="Chapter Hunt"),CHOOSE(ArtifactsInput!$N$27+1,20,24,28,32,36,40),0)/100)))))/Skills!H13+0.000000001),1)))/Inputs!$B$43),G1908*Q1908))*IF(Inputs!$B$38="pvp",1,(1+(Inputs!$B$21+Skills!Q13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Skills!A14</f>
        <v/>
      </c>
      <c r="B1909">
        <f>Skills!B14</f>
        <v/>
      </c>
      <c r="C1909">
        <f>Inputs!$B$3&gt;=110</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t="inlineStr"/>
      <c r="H1909" t="inlineStr"/>
      <c r="I1909" t="inlineStr">
        <is>
          <t>1</t>
        </is>
      </c>
      <c r="J1909" t="inlineStr"/>
      <c r="K1909" t="inlineStr"/>
      <c r="L1909" t="inlineStr"/>
      <c r="M1909" t="inlineStr"/>
      <c r="N1909" t="inlineStr"/>
      <c r="O1909" t="inlineStr"/>
      <c r="P1909" t="inlineStr"/>
      <c r="Q1909" t="inlineStr"/>
      <c r="R1909" t="inlineStr"/>
      <c r="S1909" t="inlineStr"/>
      <c r="T1909" t="inlineStr"/>
      <c r="V1909" t="inlineStr"/>
    </row>
    <row r="1910">
      <c r="A1910">
        <f>Skills!A15</f>
        <v/>
      </c>
      <c r="B1910">
        <f>Skills!B15</f>
        <v/>
      </c>
      <c r="C1910">
        <f>Inputs!$B$3&gt;=74</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Skills!G15*IF(Skills!H15&gt;0,INT(IF(Inputs!$B$38="pvp",MIN(Skills!I15,15),Skills!I15)/Skills!H15+0.000000001),1)</f>
        <v/>
      </c>
      <c r="H1910">
        <f>1-(1-Skills!J15/100)^Skills!K15</f>
        <v/>
      </c>
      <c r="I1910" t="inlineStr">
        <is>
          <t>1</t>
        </is>
      </c>
      <c r="J1910" t="inlineStr"/>
      <c r="K1910" t="inlineStr"/>
      <c r="L1910" t="inlineStr"/>
      <c r="M1910" t="inlineStr"/>
      <c r="N1910" t="inlineStr"/>
      <c r="O1910">
        <f>(1-Summary!$B$11)*T1910+Summary!$B$11*V1910</f>
        <v/>
      </c>
      <c r="P1910">
        <f>IF(B1940=0,0,O1910/B1940)</f>
        <v/>
      </c>
      <c r="Q1910" t="n">
        <v>0</v>
      </c>
      <c r="R1910" t="n">
        <v>0</v>
      </c>
      <c r="S1910">
        <f>IFERROR(O1910/N1910,0)</f>
        <v/>
      </c>
      <c r="T1910" t="n">
        <v>0</v>
      </c>
      <c r="V1910" t="n">
        <v>0</v>
      </c>
    </row>
    <row r="1911">
      <c r="A1911">
        <f>Skills!A16</f>
        <v/>
      </c>
      <c r="B1911">
        <f>Skills!B16</f>
        <v/>
      </c>
      <c r="C1911">
        <f>Inputs!$B$3&gt;=74</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Skills!G16*IF(Skills!H16&gt;0,INT(IF(Inputs!$B$38="pvp",MIN(Skills!I16,15),Skills!I16)/Skills!H16+0.000000001),1)</f>
        <v/>
      </c>
      <c r="H1911">
        <f>1-(1-Skills!J16/100)^Skills!K16</f>
        <v/>
      </c>
      <c r="I1911" t="inlineStr">
        <is>
          <t>1</t>
        </is>
      </c>
      <c r="J1911" t="inlineStr"/>
      <c r="K1911" t="inlineStr"/>
      <c r="L1911" t="inlineStr"/>
      <c r="M1911" t="inlineStr"/>
      <c r="N1911" t="inlineStr"/>
      <c r="O1911">
        <f>(1-Summary!$B$11)*T1911+Summary!$B$11*V1911</f>
        <v/>
      </c>
      <c r="P1911">
        <f>IF(B1940=0,0,O1911/B1940)</f>
        <v/>
      </c>
      <c r="Q1911" t="n">
        <v>0</v>
      </c>
      <c r="R1911" t="n">
        <v>0</v>
      </c>
      <c r="S1911">
        <f>IFERROR(O1911/N1911,0)</f>
        <v/>
      </c>
      <c r="T1911" t="n">
        <v>0</v>
      </c>
      <c r="V1911" t="n">
        <v>0</v>
      </c>
    </row>
    <row r="1912">
      <c r="A1912">
        <f>Skills!A17</f>
        <v/>
      </c>
      <c r="B1912">
        <f>Skills!B17</f>
        <v/>
      </c>
      <c r="C1912">
        <f>Inputs!$B$3&gt;=117</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Skills!G17*IF(Skills!H17&gt;0,INT(IF(Inputs!$B$38="pvp",MIN(Skills!I17,15),Skills!I17)/Skills!H17+0.000000001),1)</f>
        <v/>
      </c>
      <c r="H1912">
        <f>1-(1-Skills!J17/100)^Skills!K17</f>
        <v/>
      </c>
      <c r="I1912" t="inlineStr">
        <is>
          <t>1</t>
        </is>
      </c>
      <c r="J1912" t="inlineStr"/>
      <c r="K1912" t="inlineStr"/>
      <c r="L1912" t="inlineStr"/>
      <c r="M1912" t="inlineStr"/>
      <c r="N1912" t="inlineStr"/>
      <c r="O1912">
        <f>(1-Summary!$B$11)*T1912+Summary!$B$11*V1912</f>
        <v/>
      </c>
      <c r="P1912">
        <f>IF(B1940=0,0,O1912/B1940)</f>
        <v/>
      </c>
      <c r="Q1912">
        <f>IFERROR(1/(IF(Inputs!$B$38="pvp",15,MAX(0.1,Skills!D17-IF(TRUE=TRUE,Inputs!$B$32,0)))*(1-IF(AND(ArtifactsInput!$M$27,Inputs!$B$4="Chapter Hunt"),CHOOSE(ArtifactsInput!$N$27+1,20,24,28,32,36,40),0)/100)),0)</f>
        <v/>
      </c>
      <c r="R1912">
        <f>IF(AND(Inputs!$B$38&lt;&gt;"pvp",Inputs!$B$43&gt;0),IF(Inputs!$B$43&lt;=0,0,(INT(Inputs!$B$43/(IF(Inputs!$B$38="pvp",15,MAX(0.1,Skills!D17-IF(TRUE=TRUE,Inputs!$B$32,0)))*(1-IF(AND(ArtifactsInput!$M$27,Inputs!$B$4="Chapter Hunt"),CHOOSE(ArtifactsInput!$N$27+1,20,24,28,32,36,40),0)/100)))+1)),0)</f>
        <v/>
      </c>
      <c r="S1912">
        <f>IFERROR(O1912/N1912,0)</f>
        <v/>
      </c>
      <c r="T1912" t="n">
        <v>0</v>
      </c>
      <c r="V1912" t="n">
        <v>0</v>
      </c>
    </row>
    <row r="1913">
      <c r="A1913">
        <f>Skills!A18</f>
        <v/>
      </c>
      <c r="B1913">
        <f>Skills!B18</f>
        <v/>
      </c>
      <c r="C1913">
        <f>Inputs!$B$3&gt;=115</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Skills!G18*IF(Skills!H18&gt;0,INT(IF(Inputs!$B$38="pvp",MIN(Skills!I18,15),Skills!I18)/Skills!H18+0.000000001),1)</f>
        <v/>
      </c>
      <c r="H1913">
        <f>1-(1-Skills!J18/100)^Skills!K18</f>
        <v/>
      </c>
      <c r="I1913" t="inlineStr">
        <is>
          <t>1</t>
        </is>
      </c>
      <c r="J1913" t="inlineStr"/>
      <c r="K1913" t="inlineStr"/>
      <c r="L1913" t="inlineStr"/>
      <c r="M1913" t="inlineStr"/>
      <c r="N1913" t="inlineStr"/>
      <c r="O1913">
        <f>(1-Summary!$B$11)*T1913+Summary!$B$11*V1913</f>
        <v/>
      </c>
      <c r="P1913">
        <f>IF(B1940=0,0,O1913/B1940)</f>
        <v/>
      </c>
      <c r="Q1913">
        <f>IFERROR(1/(IF(Inputs!$B$38="pvp",15,MAX(0.1,Skills!D18-IF(TRUE=TRUE,Inputs!$B$32,0)))*(1-IF(AND(ArtifactsInput!$M$27,Inputs!$B$4="Chapter Hunt"),CHOOSE(ArtifactsInput!$N$27+1,20,24,28,32,36,40),0)/100)),0)</f>
        <v/>
      </c>
      <c r="R1913">
        <f>IF(AND(Inputs!$B$38&lt;&gt;"pvp",Inputs!$B$43&gt;0),IF(Inputs!$B$43&lt;=0,0,(INT(Inputs!$B$43/(IF(Inputs!$B$38="pvp",15,MAX(0.1,Skills!D18-IF(TRUE=TRUE,Inputs!$B$32,0)))*(1-IF(AND(ArtifactsInput!$M$27,Inputs!$B$4="Chapter Hunt"),CHOOSE(ArtifactsInput!$N$27+1,20,24,28,32,36,40),0)/100)))+1)),0)</f>
        <v/>
      </c>
      <c r="S1913">
        <f>IFERROR(O1913/N1913,0)</f>
        <v/>
      </c>
      <c r="T1913" t="n">
        <v>0</v>
      </c>
      <c r="V1913" t="n">
        <v>0</v>
      </c>
    </row>
    <row r="1914">
      <c r="A1914">
        <f>Skills!A19</f>
        <v/>
      </c>
      <c r="B1914">
        <f>Skills!B19</f>
        <v/>
      </c>
      <c r="C1914">
        <f>Inputs!$B$3&gt;=66</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Skills!G19*IF(Skills!H19&gt;0,INT(IF(Inputs!$B$38="pvp",MIN(Skills!I19,15),Skills!I19)/Skills!H19+0.000000001),1)</f>
        <v/>
      </c>
      <c r="H1914">
        <f>1-(1-Skills!J19/100)^Skills!K19</f>
        <v/>
      </c>
      <c r="I1914" t="inlineStr">
        <is>
          <t>1</t>
        </is>
      </c>
      <c r="J1914" t="inlineStr"/>
      <c r="K1914" t="inlineStr"/>
      <c r="L1914" t="inlineStr"/>
      <c r="M1914" t="inlineStr"/>
      <c r="N1914" t="inlineStr"/>
      <c r="O1914">
        <f>(1-Summary!$B$11)*T1914+Summary!$B$11*V1914</f>
        <v/>
      </c>
      <c r="P1914">
        <f>IF(B1940=0,0,O1914/B1940)</f>
        <v/>
      </c>
      <c r="Q1914" t="n">
        <v>0</v>
      </c>
      <c r="R1914" t="n">
        <v>0</v>
      </c>
      <c r="S1914">
        <f>IFERROR(O1914/N1914,0)</f>
        <v/>
      </c>
      <c r="T1914" t="n">
        <v>0</v>
      </c>
      <c r="V1914" t="n">
        <v>0</v>
      </c>
    </row>
    <row r="1915">
      <c r="A1915">
        <f>Skills!A20</f>
        <v/>
      </c>
      <c r="B1915">
        <f>Skills!B20</f>
        <v/>
      </c>
      <c r="C1915">
        <f>Inputs!$B$3&gt;=72</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Skills!G20*IF(Skills!H20&gt;0,INT(IF(Inputs!$B$38="pvp",MIN(Skills!I20,15),Skills!I20)/Skills!H20+0.000000001),1)</f>
        <v/>
      </c>
      <c r="H1915">
        <f>1-(1-Skills!J20/100)^Skills!K20</f>
        <v/>
      </c>
      <c r="I1915" t="inlineStr">
        <is>
          <t>1</t>
        </is>
      </c>
      <c r="J1915" t="inlineStr"/>
      <c r="K1915" t="inlineStr"/>
      <c r="L1915" t="inlineStr"/>
      <c r="M1915" t="inlineStr"/>
      <c r="N1915" t="inlineStr"/>
      <c r="O1915">
        <f>(1-Summary!$B$11)*T1915+Summary!$B$11*V1915</f>
        <v/>
      </c>
      <c r="P1915">
        <f>IF(B1940=0,0,O1915/B1940)</f>
        <v/>
      </c>
      <c r="Q1915" t="n">
        <v>0</v>
      </c>
      <c r="R1915" t="n">
        <v>0</v>
      </c>
      <c r="S1915">
        <f>IFERROR(O1915/N1915,0)</f>
        <v/>
      </c>
      <c r="T1915" t="n">
        <v>0</v>
      </c>
      <c r="V1915" t="n">
        <v>0</v>
      </c>
    </row>
    <row r="1916">
      <c r="A1916">
        <f>Skills!A21</f>
        <v/>
      </c>
      <c r="B1916">
        <f>Skills!B21</f>
        <v/>
      </c>
      <c r="C1916">
        <f>TRUE</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Skills!G21*IF(Skills!H21&gt;0,INT(IF(Inputs!$B$38="pvp",MIN(Skills!I21,15),Skills!I21)/Skills!H21+0.000000001),1)</f>
        <v/>
      </c>
      <c r="H1916">
        <f>1-(1-Skills!J21/100)^Skills!K21</f>
        <v/>
      </c>
      <c r="I1916" t="inlineStr">
        <is>
          <t>1</t>
        </is>
      </c>
      <c r="J1916" t="inlineStr"/>
      <c r="K1916" t="inlineStr"/>
      <c r="L1916" t="inlineStr"/>
      <c r="M1916" t="inlineStr"/>
      <c r="N1916" t="inlineStr"/>
      <c r="O1916">
        <f>(1-Summary!$B$11)*T1916+Summary!$B$11*V1916</f>
        <v/>
      </c>
      <c r="P1916">
        <f>IF(B1940=0,0,O1916/B1940)</f>
        <v/>
      </c>
      <c r="Q1916">
        <f>IFERROR(1/(IF(Inputs!$B$38="pvp",15,MAX(0.1,Skills!D21-IF(TRUE=TRUE,Inputs!$B$32,0)))*(1-IF(AND(ArtifactsInput!$M$27,Inputs!$B$4="Chapter Hunt"),CHOOSE(ArtifactsInput!$N$27+1,20,24,28,32,36,40),0)/100)),0)</f>
        <v/>
      </c>
      <c r="R1916">
        <f>IF(AND(Inputs!$B$38&lt;&gt;"pvp",Inputs!$B$43&gt;0),IF(Inputs!$B$43&lt;=0,0,(INT(Inputs!$B$43/(IF(Inputs!$B$38="pvp",15,MAX(0.1,Skills!D21-IF(TRUE=TRUE,Inputs!$B$32,0)))*(1-IF(AND(ArtifactsInput!$M$27,Inputs!$B$4="Chapter Hunt"),CHOOSE(ArtifactsInput!$N$27+1,20,24,28,32,36,40),0)/100)))+1)),0)</f>
        <v/>
      </c>
      <c r="S1916">
        <f>IFERROR(O1916/N1916,0)</f>
        <v/>
      </c>
      <c r="T1916" t="n">
        <v>0</v>
      </c>
      <c r="V1916" t="n">
        <v>0</v>
      </c>
    </row>
    <row r="1917">
      <c r="A1917">
        <f>Skills!A22</f>
        <v/>
      </c>
      <c r="B1917">
        <f>Skills!B22</f>
        <v/>
      </c>
      <c r="C1917">
        <f>Inputs!$B$3&gt;=15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Skills!G22*IF(Skills!H22&gt;0,INT(IF(Inputs!$B$38="pvp",MIN(Skills!I22,15),Skills!I22)/Skills!H22+0.000000001),1)</f>
        <v/>
      </c>
      <c r="H1917">
        <f>1-(1-Skills!J22/100)^Skills!K22</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Skills!A23</f>
        <v/>
      </c>
      <c r="B1918">
        <f>Skills!B23</f>
        <v/>
      </c>
      <c r="C1918">
        <f>Inputs!$B$3&gt;=10</f>
        <v/>
      </c>
      <c r="D1918">
        <f>IF(Skills!C23=1,60+Inputs!$B$25+Inputs!$B$29,IF(Skills!C23=2,90+Inputs!$B$26+Inputs!$B$29,IF(Skills!C23=3,120+Inputs!$B$27+Inputs!$B$29,MAX(0,(Inputs!$B$3-100)*3)+Inputs!$B$28+Inputs!$B$29)))</f>
        <v/>
      </c>
      <c r="E1918">
        <f>INDEX(FactorTable!$B$2:$Y$301, MATCH(ROUND(MIN(300,MAX(1,D1918)),0), FactorTable!$A$2:$A$301,0), Skills!M23+1)</f>
        <v/>
      </c>
      <c r="F1918">
        <f>IF(Skills!N23=TRUE,(Skills!L23/10)*(E1918/1000),Skills!L23/10)+Skills!O23</f>
        <v/>
      </c>
      <c r="G1918">
        <f>Skills!G23*IF(Skills!H23&gt;0,INT(IF(Inputs!$B$38="pvp",MIN(Skills!I23,15),Skills!I23)/Skills!H23+0.000000001),1)</f>
        <v/>
      </c>
      <c r="H1918">
        <f>1-(1-Skills!J23/100)^Skills!K23</f>
        <v/>
      </c>
      <c r="I1918" t="inlineStr">
        <is>
          <t>1</t>
        </is>
      </c>
      <c r="J1918" t="inlineStr"/>
      <c r="K1918" t="inlineStr"/>
      <c r="L1918" t="inlineStr"/>
      <c r="M1918" t="inlineStr"/>
      <c r="N1918" t="inlineStr"/>
      <c r="O1918">
        <f>(1-Summary!$B$11)*T1918+Summary!$B$11*V1918</f>
        <v/>
      </c>
      <c r="P1918">
        <f>IF(B1940=0,0,O1918/B1940)</f>
        <v/>
      </c>
      <c r="Q1918" t="n">
        <v>0</v>
      </c>
      <c r="R1918" t="n">
        <v>0</v>
      </c>
      <c r="S1918">
        <f>IFERROR(O1918/N1918,0)</f>
        <v/>
      </c>
      <c r="T1918" t="n">
        <v>0</v>
      </c>
      <c r="V1918" t="n">
        <v>0</v>
      </c>
    </row>
    <row r="1919">
      <c r="A1919">
        <f>Skills!A24</f>
        <v/>
      </c>
      <c r="B1919">
        <f>Skills!B24</f>
        <v/>
      </c>
      <c r="C1919">
        <f>Inputs!$B$3&gt;=33</f>
        <v/>
      </c>
      <c r="D1919">
        <f>IF(Skills!C24=1,60+Inputs!$B$25+Inputs!$B$29,IF(Skills!C24=2,90+Inputs!$B$26+Inputs!$B$29,IF(Skills!C24=3,120+Inputs!$B$27+Inputs!$B$29,MAX(0,(Inputs!$B$3-100)*3)+Inputs!$B$28+Inputs!$B$29)))</f>
        <v/>
      </c>
      <c r="E1919">
        <f>INDEX(FactorTable!$B$2:$Y$301, MATCH(ROUND(MIN(300,MAX(1,D1919)),0), FactorTable!$A$2:$A$301,0), Skills!M24+1)</f>
        <v/>
      </c>
      <c r="F1919">
        <f>IF(Skills!N24=TRUE,(Skills!L24/10)*(E1919/1000),Skills!L24/10)+Skills!O24</f>
        <v/>
      </c>
      <c r="G1919">
        <f>Skills!G24*IF(Skills!H24&gt;0,INT(IF(Inputs!$B$38="pvp",MIN(Skills!I24,15),Skills!I24)/Skills!H24+0.000000001),1)</f>
        <v/>
      </c>
      <c r="H1919">
        <f>1-(1-Skills!J24/100)^Skills!K24</f>
        <v/>
      </c>
      <c r="I1919" t="inlineStr">
        <is>
          <t>1</t>
        </is>
      </c>
      <c r="J1919" t="inlineStr"/>
      <c r="K1919" t="inlineStr"/>
      <c r="L1919" t="inlineStr"/>
      <c r="M1919" t="inlineStr"/>
      <c r="N1919" t="inlineStr"/>
      <c r="O1919">
        <f>(1-Summary!$B$11)*T1919+Summary!$B$11*V1919</f>
        <v/>
      </c>
      <c r="P1919">
        <f>IF(B1940=0,0,O1919/B1940)</f>
        <v/>
      </c>
      <c r="Q1919" t="n">
        <v>0</v>
      </c>
      <c r="R1919" t="n">
        <v>0</v>
      </c>
      <c r="S1919">
        <f>IFERROR(O1919/N1919,0)</f>
        <v/>
      </c>
      <c r="T1919" t="n">
        <v>0</v>
      </c>
      <c r="V1919" t="n">
        <v>0</v>
      </c>
    </row>
    <row r="1920">
      <c r="A1920">
        <f>Skills!A25</f>
        <v/>
      </c>
      <c r="B1920">
        <f>Skills!B25</f>
        <v/>
      </c>
      <c r="C1920">
        <f>Inputs!$B$3&gt;=38</f>
        <v/>
      </c>
      <c r="D1920">
        <f>IF(Skills!C25=1,60+Inputs!$B$25+Inputs!$B$29,IF(Skills!C25=2,90+Inputs!$B$26+Inputs!$B$29,IF(Skills!C25=3,120+Inputs!$B$27+Inputs!$B$29,MAX(0,(Inputs!$B$3-100)*3)+Inputs!$B$28+Inputs!$B$29)))</f>
        <v/>
      </c>
      <c r="E1920">
        <f>INDEX(FactorTable!$B$2:$Y$301, MATCH(ROUND(MIN(300,MAX(1,D1920)),0), FactorTable!$A$2:$A$301,0), Skills!M25+1)</f>
        <v/>
      </c>
      <c r="F1920">
        <f>IF(Skills!N25=TRUE,(Skills!L25/10)*(E1920/1000),Skills!L25/10)+Skills!O25</f>
        <v/>
      </c>
      <c r="G1920">
        <f>Skills!G25*IF(Skills!H25&gt;0,INT(IF(Inputs!$B$38="pvp",MIN(Skills!I25,15),Skills!I25)/Skills!H25+0.000000001),1)</f>
        <v/>
      </c>
      <c r="H1920">
        <f>1-(1-Skills!J25/100)^Skills!K25</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Skills!A26</f>
        <v/>
      </c>
      <c r="B1921">
        <f>Skills!B26</f>
        <v/>
      </c>
      <c r="C1921">
        <f>Inputs!$B$3&gt;=43</f>
        <v/>
      </c>
      <c r="D1921">
        <f>IF(Skills!C26=1,60+Inputs!$B$25+Inputs!$B$29,IF(Skills!C26=2,90+Inputs!$B$26+Inputs!$B$29,IF(Skills!C26=3,120+Inputs!$B$27+Inputs!$B$29,MAX(0,(Inputs!$B$3-100)*3)+Inputs!$B$28+Inputs!$B$29)))</f>
        <v/>
      </c>
      <c r="E1921">
        <f>INDEX(FactorTable!$B$2:$Y$301, MATCH(ROUND(MIN(300,MAX(1,D1921)),0), FactorTable!$A$2:$A$301,0), Skills!M26+1)</f>
        <v/>
      </c>
      <c r="F1921">
        <f>IF(Skills!N26=TRUE,(Skills!L26/10)*(E1921/1000),Skills!L26/10)+Skills!O26</f>
        <v/>
      </c>
      <c r="G1921">
        <f>Skills!G26*IF(Skills!H26&gt;0,INT(IF(Inputs!$B$38="pvp",MIN(Skills!I26,15),Skills!I26)/Skills!H26+0.000000001),1)</f>
        <v/>
      </c>
      <c r="H1921">
        <f>1-(1-Skills!J26/100)^Skills!K26</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Skills!A27</f>
        <v/>
      </c>
      <c r="B1922">
        <f>Skills!B27</f>
        <v/>
      </c>
      <c r="C1922">
        <f>Inputs!$B$3&gt;=75</f>
        <v/>
      </c>
      <c r="D1922">
        <f>IF(Skills!C27=1,60+Inputs!$B$25+Inputs!$B$29,IF(Skills!C27=2,90+Inputs!$B$26+Inputs!$B$29,IF(Skills!C27=3,120+Inputs!$B$27+Inputs!$B$29,MAX(0,(Inputs!$B$3-100)*3)+Inputs!$B$28+Inputs!$B$29)))</f>
        <v/>
      </c>
      <c r="E1922">
        <f>INDEX(FactorTable!$B$2:$Y$301, MATCH(ROUND(MIN(300,MAX(1,D1922)),0), FactorTable!$A$2:$A$301,0), Skills!M27+1)</f>
        <v/>
      </c>
      <c r="F1922">
        <f>IF(Skills!N27=TRUE,(Skills!L27/10)*(E1922/1000),Skills!L27/10)+Skills!O27</f>
        <v/>
      </c>
      <c r="G1922">
        <f>Skills!G27*IF(Skills!H27&gt;0,INT(IF(Inputs!$B$38="pvp",MIN(Skills!I27,15),Skills!I27)/Skills!H27+0.000000001),1)</f>
        <v/>
      </c>
      <c r="H1922">
        <f>1-(1-Skills!J27/100)^Skills!K27</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Skills!A28</f>
        <v/>
      </c>
      <c r="B1923">
        <f>Skills!B28</f>
        <v/>
      </c>
      <c r="C1923">
        <f>Inputs!$B$3&gt;=125</f>
        <v/>
      </c>
      <c r="D1923">
        <f>IF(Skills!C28=1,60+Inputs!$B$25+Inputs!$B$29,IF(Skills!C28=2,90+Inputs!$B$26+Inputs!$B$29,IF(Skills!C28=3,120+Inputs!$B$27+Inputs!$B$29,MAX(0,(Inputs!$B$3-100)*3)+Inputs!$B$28+Inputs!$B$29)))</f>
        <v/>
      </c>
      <c r="E1923">
        <f>INDEX(FactorTable!$B$2:$Y$301, MATCH(ROUND(MIN(300,MAX(1,D1923)),0), FactorTable!$A$2:$A$301,0), Skills!M28+1)</f>
        <v/>
      </c>
      <c r="F1923">
        <f>IF(Skills!N28=TRUE,(Skills!L28/10)*(E1923/1000),Skills!L28/10)+Skills!O28</f>
        <v/>
      </c>
      <c r="G1923">
        <f>Skills!G28*IF(Skills!H28&gt;0,INT(IF(Inputs!$B$38="pvp",MIN(Skills!I28,15),Skills!I28)/Skills!H28+0.000000001),1)</f>
        <v/>
      </c>
      <c r="H1923">
        <f>1-(1-Skills!J28/100)^Skills!K28</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Skills!A29</f>
        <v/>
      </c>
      <c r="B1924">
        <f>Skills!B29</f>
        <v/>
      </c>
      <c r="C1924">
        <f>Inputs!$B$3&gt;=125</f>
        <v/>
      </c>
      <c r="D1924">
        <f>IF(Skills!C29=1,60+Inputs!$B$25+Inputs!$B$29,IF(Skills!C29=2,90+Inputs!$B$26+Inputs!$B$29,IF(Skills!C29=3,120+Inputs!$B$27+Inputs!$B$29,MAX(0,(Inputs!$B$3-100)*3)+Inputs!$B$28+Inputs!$B$29)))</f>
        <v/>
      </c>
      <c r="E1924">
        <f>INDEX(FactorTable!$B$2:$Y$301, MATCH(ROUND(MIN(300,MAX(1,D1924)),0), FactorTable!$A$2:$A$301,0), Skills!M29+1)</f>
        <v/>
      </c>
      <c r="F1924">
        <f>IF(Skills!N29=TRUE,(Skills!L29/10)*(E1924/1000),Skills!L29/10)+Skills!O29</f>
        <v/>
      </c>
      <c r="G1924">
        <f>Skills!G29*IF(Skills!H29&gt;0,INT(IF(Inputs!$B$38="pvp",MIN(Skills!I29,15),Skills!I29)/Skills!H29+0.000000001),1)</f>
        <v/>
      </c>
      <c r="H1924">
        <f>1-(1-Skills!J29/100)^Skills!K29</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Skills!A30</f>
        <v/>
      </c>
      <c r="B1925">
        <f>Skills!B30</f>
        <v/>
      </c>
      <c r="C1925">
        <f>Inputs!$B$3&gt;=120</f>
        <v/>
      </c>
      <c r="D1925">
        <f>IF(Skills!C30=1,60+Inputs!$B$25+Inputs!$B$29,IF(Skills!C30=2,90+Inputs!$B$26+Inputs!$B$29,IF(Skills!C30=3,120+Inputs!$B$27+Inputs!$B$29,MAX(0,(Inputs!$B$3-100)*3)+Inputs!$B$28+Inputs!$B$29)))</f>
        <v/>
      </c>
      <c r="E1925">
        <f>INDEX(FactorTable!$B$2:$Y$301, MATCH(ROUND(MIN(300,MAX(1,D1925)),0), FactorTable!$A$2:$A$301,0), Skills!M30+1)</f>
        <v/>
      </c>
      <c r="F1925">
        <f>IF(Skills!N30=TRUE,(Skills!L30/10)*(E1925/1000),Skills!L30/10)+Skills!O30</f>
        <v/>
      </c>
      <c r="G1925">
        <f>Skills!G30*IF(Skills!H30&gt;0,INT(IF(Inputs!$B$38="pvp",MIN(Skills!I30,15),Skills!I30)/Skills!H30+0.000000001),1)</f>
        <v/>
      </c>
      <c r="H1925">
        <f>1-(1-Skills!J30/100)^Skills!K30</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Skills!A31</f>
        <v/>
      </c>
      <c r="B1926">
        <f>Skills!B31</f>
        <v/>
      </c>
      <c r="C1926">
        <f>Inputs!$B$3&gt;=120</f>
        <v/>
      </c>
      <c r="D1926">
        <f>IF(Skills!C31=1,60+Inputs!$B$25+Inputs!$B$29,IF(Skills!C31=2,90+Inputs!$B$26+Inputs!$B$29,IF(Skills!C31=3,120+Inputs!$B$27+Inputs!$B$29,MAX(0,(Inputs!$B$3-100)*3)+Inputs!$B$28+Inputs!$B$29)))</f>
        <v/>
      </c>
      <c r="E1926">
        <f>INDEX(FactorTable!$B$2:$Y$301, MATCH(ROUND(MIN(300,MAX(1,D1926)),0), FactorTable!$A$2:$A$301,0), Skills!M31+1)</f>
        <v/>
      </c>
      <c r="F1926">
        <f>IF(Skills!N31=TRUE,(Skills!L31/10)*(E1926/1000),Skills!L31/10)+Skills!O31</f>
        <v/>
      </c>
      <c r="G1926">
        <f>Skills!G31*IF(Skills!H31&gt;0,INT(IF(Inputs!$B$38="pvp",MIN(Skills!I31,15),Skills!I31)/Skills!H31+0.000000001),1)</f>
        <v/>
      </c>
      <c r="H1926">
        <f>1-(1-Skills!J31/100)^Skills!K31</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Skills!A32</f>
        <v/>
      </c>
      <c r="B1927">
        <f>Skills!B32</f>
        <v/>
      </c>
      <c r="C1927">
        <f>Inputs!$B$3&gt;=45</f>
        <v/>
      </c>
      <c r="D1927">
        <f>IF(Skills!C32=1,60+Inputs!$B$25+Inputs!$B$29,IF(Skills!C32=2,90+Inputs!$B$26+Inputs!$B$29,IF(Skills!C32=3,120+Inputs!$B$27+Inputs!$B$29,MAX(0,(Inputs!$B$3-100)*3)+Inputs!$B$28+Inputs!$B$29)))</f>
        <v/>
      </c>
      <c r="E1927">
        <f>INDEX(FactorTable!$B$2:$Y$301, MATCH(ROUND(MIN(300,MAX(1,D1927)),0), FactorTable!$A$2:$A$301,0), Skills!M32+1)</f>
        <v/>
      </c>
      <c r="F1927">
        <f>IF(Skills!N32=TRUE,(Skills!L32/10)*(E1927/1000),Skills!L32/10)+Skills!O32</f>
        <v/>
      </c>
      <c r="G1927">
        <f>Skills!G32*IF(Skills!H32&gt;0,INT(IF(Inputs!$B$38="pvp",MIN(Skills!I32,15),Skills!I32)/Skills!H32+0.000000001),1)</f>
        <v/>
      </c>
      <c r="H1927">
        <f>1-(1-Skills!J32/100)^Skills!K32</f>
        <v/>
      </c>
      <c r="I1927" t="inlineStr">
        <is>
          <t>1</t>
        </is>
      </c>
      <c r="J1927" t="inlineStr"/>
      <c r="K1927" t="inlineStr"/>
      <c r="L1927" t="inlineStr"/>
      <c r="M1927" t="inlineStr"/>
      <c r="N1927" t="inlineStr"/>
      <c r="O1927">
        <f>(1-Summary!$B$11)*T1927+Summary!$B$11*V1927</f>
        <v/>
      </c>
      <c r="P1927">
        <f>IF(B1940=0,0,O1927/B1940)</f>
        <v/>
      </c>
      <c r="Q1927" t="n">
        <v>0</v>
      </c>
      <c r="R1927" t="n">
        <v>0</v>
      </c>
      <c r="S1927">
        <f>IFERROR(O1927/N1927,0)</f>
        <v/>
      </c>
      <c r="T1927" t="n">
        <v>0</v>
      </c>
      <c r="V1927" t="n">
        <v>0</v>
      </c>
    </row>
    <row r="1929">
      <c r="A1929" t="inlineStr">
        <is>
          <t>Attack% Bucket Multiplier</t>
        </is>
      </c>
      <c r="B1929">
        <f>(1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t>
        </is>
      </c>
      <c r="B1931">
        <f>((C1916=TRUE)*F1916*IF(AND(Inputs!$B$38&lt;&gt;"pvp",Inputs!$B$43&gt;0),(((R1916-1)*MIN((Skills!T21*(1+Inputs!$B$34/100)),(1/Q1916))+MIN((Skills!T21*(1+Inputs!$B$34/100)),MAX(0,Inputs!$B$43-((R1916-1)*(1/Q1916)))))/Inputs!$B$43),IF(Inputs!$B$38="pvp",MIN((Skills!T21*(1+Inputs!$B$34/100)),15)/15,MIN(1,(Skills!T21*(1+Inputs!$B$34/100))/(1/Q1916)))))</f>
        <v/>
      </c>
    </row>
    <row r="1932">
      <c r="A1932" t="inlineStr">
        <is>
          <t>Actions Per Second</t>
        </is>
      </c>
      <c r="B1932">
        <f>1+MIN(150,150*(1-(1-(Inputs!$B$11+((C1918=TRUE)*(F1918-Calc!F23))+((C1919=TRUE)*(F1919-Calc!F24)))/150)*(1-B1931/150)))/100</f>
        <v/>
      </c>
    </row>
    <row r="1933">
      <c r="A1933" t="inlineStr">
        <is>
          <t>Skill + Buff Cast Rate</t>
        </is>
      </c>
      <c r="B1933">
        <f>IF(AND(Inputs!$B$38&lt;&gt;"pvp",Inputs!$B$43&gt;0),SUMPRODUCT((Skills!E2:E32=TRUE)*(C1897:C1927=TRUE)*R1897:R1927*Skills!F2:F32)/Inputs!$B$43,SUMPRODUCT((Skills!E2:E32=TRUE)*(C1897:C1927=TRUE)*Q1897:Q1927*Skills!F2:F32))</f>
        <v/>
      </c>
    </row>
    <row r="1934">
      <c r="A1934" t="inlineStr">
        <is>
          <t>Arrow Stream Casts Per Second</t>
        </is>
      </c>
      <c r="B1934">
        <f>MAX(0,B1932-B1933)</f>
        <v/>
      </c>
    </row>
    <row r="1935">
      <c r="A1935" t="inlineStr">
        <is>
          <t>Global Critical Damage Bonus % (Sharp Eyes + Concentration)</t>
        </is>
      </c>
      <c r="B1935">
        <f>(C1913=TRUE)*F1913*IF(AND(Inputs!$B$38&lt;&gt;"pvp",Inputs!$B$43&gt;0),(((R1913-1)*MIN((Skills!T18*(1+Inputs!$B$34/100)),(1/Q1913))+MIN((Skills!T18*(1+Inputs!$B$34/100)),MAX(0,Inputs!$B$43-((R1913-1)*(1/Q1913)))))/Inputs!$B$43),IF(Inputs!$B$38="pvp",MIN((Skills!T18*(1+Inputs!$B$34/100)),15)/15,MIN(1,(Skills!T18*(1+Inputs!$B$34/100))/(1/Q1913))))+(C1914=TRUE)*7*F1914</f>
        <v/>
      </c>
    </row>
    <row r="1936">
      <c r="A1936" t="inlineStr">
        <is>
          <t>Global Final Damage Bonus % (Mortal Blow)</t>
        </is>
      </c>
      <c r="B1936">
        <f>(C1915=TRUE)*F1915</f>
        <v/>
      </c>
    </row>
    <row r="1937">
      <c r="A1937" t="inlineStr">
        <is>
          <t>Buff-Casting Startup Delay (s, fixed-duration only)</t>
        </is>
      </c>
      <c r="B1937">
        <f>IF(AND(Inputs!$B$38&lt;&gt;"pvp",Inputs!$B$43&gt;0),SUMPRODUCT((Skills!T2:T32&gt;0)*(Skills!E2:E32=TRUE)*(C1897:C1927=TRUE))/B1932,0)</f>
        <v/>
      </c>
    </row>
    <row r="1938">
      <c r="A1938" t="inlineStr">
        <is>
          <t>Boss-Only Total DPS (this block's swept value)</t>
        </is>
      </c>
      <c r="B1938">
        <f>SUM(T1897:T1927)</f>
        <v/>
      </c>
    </row>
    <row r="1939">
      <c r="A1939" t="inlineStr">
        <is>
          <t>Normal-Only Total DPS (this block's swept value)</t>
        </is>
      </c>
      <c r="B1939">
        <f>SUM(V1897:V1927)</f>
        <v/>
      </c>
    </row>
    <row r="1940">
      <c r="A1940" s="6" t="inlineStr">
        <is>
          <t>TOTAL DPS</t>
        </is>
      </c>
      <c r="B1940" s="6">
        <f>SUM(O1897:O1927)</f>
        <v/>
      </c>
    </row>
    <row r="1943">
      <c r="A1943" s="6" t="inlineStr">
        <is>
          <t>Stat: Chalice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Skills!G2*IF(Skills!H2&gt;0,INT(IF(Inputs!$B$38="pvp",MIN(Skills!I2,15),Skills!I2)/Skills!H2+0.000000001),1)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1969=TRUE)*(F1969-Calc!F26)),(Inputs!$B$23+((C1974=TRUE)*(F1974-Calc!F31))+(IF(ArtifactsInput!$M$15,CHOOSE(ArtifactsInput!$N$15+1,25,30,35,40,45,50)/100*(Inputs!$B$11-Inputs!$B$11),0))))/100+(Inputs!$B$23+((C1974=TRUE)*(F1974-Calc!F31))+(IF(ArtifactsInput!$M$15,CHOOSE(ArtifactsInput!$N$15+1,25,30,35,40,45,50)/100*(Inputs!$B$11-Inputs!$B$11),0)))/100)/2</f>
        <v/>
      </c>
      <c r="M1945">
        <f>L1945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IF(B1988=0,0,O1945/B1988)</f>
        <v/>
      </c>
      <c r="Q1945" t="n">
        <v>0</v>
      </c>
      <c r="R1945" t="n">
        <v>0</v>
      </c>
      <c r="S1945">
        <f>IFERROR(O1945/N1945,0)</f>
        <v/>
      </c>
      <c r="T1945">
        <f>IF(C1945,(Skills!G2*N1945*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Inputs!$B$3&gt;=50</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Skills!G3*IF(Skills!H3&gt;0,INT(IF(Inputs!$B$38="pvp",MIN(Skills!I3,15),Skills!I3)/Skills!H3+0.000000001),1)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1947=TRUE,F1947,0)/100)*(1+(IF(Skills!A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1969=TRUE)*(F1969-Calc!F26)),(Inputs!$B$23+((C1974=TRUE)*(F1974-Calc!F31))+(IF(ArtifactsInput!$M$15,CHOOSE(ArtifactsInput!$N$15+1,25,30,35,40,45,50)/100*(Inputs!$B$11-Inputs!$B$11),0))))/100+(Inputs!$B$23+((C1974=TRUE)*(F1974-Calc!F31))+(IF(ArtifactsInput!$M$15,CHOOSE(ArtifactsInput!$N$15+1,25,30,35,40,45,50)/100*(Inputs!$B$11-Inputs!$B$11),0)))/100)/2</f>
        <v/>
      </c>
      <c r="M1946">
        <f>L1946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IF(B1988=0,0,O1946/B1988)</f>
        <v/>
      </c>
      <c r="Q1946">
        <f>IFERROR(1/(IF(Inputs!$B$38="pvp",15,MAX(0.1,1/B1980-IF(FALSE=TRUE,Inputs!$B$32,0)))*(1-IF(AND(ArtifactsInput!$M$27,Inputs!$B$4="Chapter Hunt"),CHOOSE(ArtifactsInput!$N$27+1,20,24,28,32,36,40),0)/100)),0)</f>
        <v/>
      </c>
      <c r="R1946">
        <f>IF(AND(Inputs!$B$38&lt;&gt;"pvp",Inputs!$B$43&gt;0),IF(MAX(0,Inputs!$B$43-B1985)&lt;=0,0,(INT(MAX(0,Inputs!$B$43-B1985)/(IF(Inputs!$B$38="pvp",15,MAX(0.1,1/B1980-IF(FALSE=TRUE,Inputs!$B$32,0)))*(1-IF(AND(ArtifactsInput!$M$27,Inputs!$B$4="Chapter Hunt"),CHOOSE(ArtifactsInput!$N$27+1,20,24,28,32,36,40),0)/100)))+1)),0)</f>
        <v/>
      </c>
      <c r="S1946">
        <f>IFERROR(O1946/N1946,0)</f>
        <v/>
      </c>
      <c r="T1946">
        <f>IF(C1946,(H1946*N1946*IF(AND(Inputs!$B$38&lt;&gt;"pvp",Inputs!$B$43&gt;0),((Skills!G3*((R1946-1)*IF(Skills!H3&gt;0,INT(Skills!I3/Skills!H3+0.000000001),1)+IF(Skills!H3&gt;0,INT(MIN(Skills!I3,MAX(0,MAX(0,Inputs!$B$43-B1985)-((R1946-1)*(IF(Inputs!$B$38="pvp",15,MAX(0.1,1/B1980-IF(FALSE=TRUE,Inputs!$B$32,0)))*(1-IF(AND(ArtifactsInput!$M$27,Inputs!$B$4="Chapter Hunt"),CHOOSE(ArtifactsInput!$N$27+1,20,24,28,32,36,40),0)/100)))))/Skills!H3+0.000000001),1)))/Inputs!$B$43),G1946*Q1946)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H1946*N1946*IF(AND(Inputs!$B$38&lt;&gt;"pvp",Inputs!$B$43&gt;0),((Skills!G3*((R1946-1)*IF(Skills!H3&gt;0,INT(Skills!I3/Skills!H3+0.000000001),1)+IF(Skills!H3&gt;0,INT(MIN(Skills!I3,MAX(0,MAX(0,Inputs!$B$43-B1985)-((R1946-1)*(IF(Inputs!$B$38="pvp",15,MAX(0.1,1/B1980-IF(FALSE=TRUE,Inputs!$B$32,0)))*(1-IF(AND(ArtifactsInput!$M$27,Inputs!$B$4="Chapter Hunt"),CHOOSE(ArtifactsInput!$N$27+1,20,24,28,32,36,40),0)/100)))))/Skills!H3+0.000000001),1)))/Inputs!$B$43),G1946*Q1946))*IF(Inputs!$B$38="pvp",1,(1+(Inputs!$B$21+Skills!Q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Inputs!$B$3&gt;=105</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t="inlineStr"/>
      <c r="H1947" t="inlineStr"/>
      <c r="I1947" t="inlineStr">
        <is>
          <t>1</t>
        </is>
      </c>
      <c r="J1947" t="inlineStr"/>
      <c r="K1947" t="inlineStr"/>
      <c r="L1947" t="inlineStr"/>
      <c r="M1947" t="inlineStr"/>
      <c r="N1947" t="inlineStr"/>
      <c r="O1947" t="inlineStr"/>
      <c r="P1947" t="inlineStr"/>
      <c r="Q1947" t="inlineStr"/>
      <c r="R1947" t="inlineStr"/>
      <c r="S1947" t="inlineStr"/>
      <c r="T1947" t="inlineStr"/>
      <c r="U1947">
        <f>290*U1946/1000</f>
        <v/>
      </c>
      <c r="V1947" t="inlineStr"/>
    </row>
    <row r="1948">
      <c r="A1948">
        <f>Skills!A5</f>
        <v/>
      </c>
      <c r="B1948">
        <f>Skills!B5</f>
        <v/>
      </c>
      <c r="C1948">
        <f>Inputs!$B$3&gt;=35</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Skills!G5*IF(Skills!H5&gt;0,INT(IF(Inputs!$B$38="pvp",MIN(Skills!I5,15),Skills!I5)/Skills!H5+0.000000001),1)</f>
        <v/>
      </c>
      <c r="H1948">
        <f>1-(1-Skills!J5/100)^Skills!K5</f>
        <v/>
      </c>
      <c r="I1948" t="inlineStr">
        <is>
          <t>1</t>
        </is>
      </c>
      <c r="J1948">
        <f>((Inputs!$B$6*(1+Inputs!$B$7/100))+(((Inputs!$B$12*(1+Inputs!$B$13/100))-(Inputs!$B$12*(1+Inputs!$B$13/100)))+0.25*(Inputs!$B$14-Inputs!$B$14))*(1+Inputs!$B$7/100))*(F1948/100)</f>
        <v/>
      </c>
      <c r="K1948">
        <f>J1948*(1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1955=TRUE,F1955,0)/100)*(1+(IF(Skills!A5="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1948)</f>
        <v/>
      </c>
      <c r="L1948">
        <f>K1948*(MIN(Inputs!$B$22+((C1969=TRUE)*(F1969-Calc!F26)),(Inputs!$B$23+((C1974=TRUE)*(F1974-Calc!F31))+(IF(ArtifactsInput!$M$15,CHOOSE(ArtifactsInput!$N$15+1,25,30,35,40,45,50)/100*(Inputs!$B$11-Inputs!$B$11),0))))/100+(Inputs!$B$23+((C1974=TRUE)*(F1974-Calc!F31))+(IF(ArtifactsInput!$M$15,CHOOSE(ArtifactsInput!$N$15+1,25,30,35,40,45,50)/100*(Inputs!$B$11-Inputs!$B$11),0)))/100)/2</f>
        <v/>
      </c>
      <c r="M1948">
        <f>L1948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8">
        <f>L1948*(1-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1948*(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8">
        <f>(1-Summary!$B$11)*T1948+Summary!$B$11*V1948</f>
        <v/>
      </c>
      <c r="P1948">
        <f>IF(B1988=0,0,O1948/B1988)</f>
        <v/>
      </c>
      <c r="Q1948">
        <f>IFERROR(1/(IF(Inputs!$B$38="pvp",15,MAX(0.1,Skills!D5-IF(TRUE=TRUE,Inputs!$B$32,0)))*(1-IF(AND(ArtifactsInput!$M$27,Inputs!$B$4="Chapter Hunt"),CHOOSE(ArtifactsInput!$N$27+1,20,24,28,32,36,40),0)/100)),0)</f>
        <v/>
      </c>
      <c r="R1948">
        <f>IF(AND(Inputs!$B$38&lt;&gt;"pvp",Inputs!$B$43&gt;0),IF(MAX(0,Inputs!$B$43-B1985)&lt;=0,0,(INT(MAX(0,Inputs!$B$43-B1985)/(IF(Inputs!$B$38="pvp",15,MAX(0.1,Skills!D5-IF(TRUE=TRUE,Inputs!$B$32,0)))*(1-IF(AND(ArtifactsInput!$M$27,Inputs!$B$4="Chapter Hunt"),CHOOSE(ArtifactsInput!$N$27+1,20,24,28,32,36,40),0)/100)))+1)),0)</f>
        <v/>
      </c>
      <c r="S1948">
        <f>IFERROR(O1948/N1948,0)</f>
        <v/>
      </c>
      <c r="T1948">
        <f>IF(C1948,(H1948*N1948*IF(AND(Inputs!$B$38&lt;&gt;"pvp",Inputs!$B$43&gt;0),((Skills!G5*((R1948-1)*IF(Skills!H5&gt;0,INT(Skills!I5/Skills!H5+0.000000001),1)+IF(Skills!H5&gt;0,INT(MIN(Skills!I5,MAX(0,MAX(0,Inputs!$B$43-B1985)-((R1948-1)*(IF(Inputs!$B$38="pvp",15,MAX(0.1,Skills!D5-IF(TRUE=TRUE,Inputs!$B$32,0)))*(1-IF(AND(ArtifactsInput!$M$27,Inputs!$B$4="Chapter Hunt"),CHOOSE(ArtifactsInput!$N$27+1,20,24,28,32,36,40),0)/100)))))/Skills!H5+0.000000001),1)))/Inputs!$B$43),G1948*Q1948)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8">
        <f>IF(C1948,(H1948*N1948*IF(AND(Inputs!$B$38&lt;&gt;"pvp",Inputs!$B$43&gt;0),((Skills!G5*((R1948-1)*IF(Skills!H5&gt;0,INT(Skills!I5/Skills!H5+0.000000001),1)+IF(Skills!H5&gt;0,INT(MIN(Skills!I5,MAX(0,MAX(0,Inputs!$B$43-B1985)-((R1948-1)*(IF(Inputs!$B$38="pvp",15,MAX(0.1,Skills!D5-IF(TRUE=TRUE,Inputs!$B$32,0)))*(1-IF(AND(ArtifactsInput!$M$27,Inputs!$B$4="Chapter Hunt"),CHOOSE(ArtifactsInput!$N$27+1,20,24,28,32,36,40),0)/100)))))/Skills!H5+0.000000001),1)))/Inputs!$B$43),G1948*Q1948))*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9">
      <c r="A1949">
        <f>Skills!A6</f>
        <v/>
      </c>
      <c r="B1949">
        <f>Skills!B6</f>
        <v/>
      </c>
      <c r="C1949">
        <f>Inputs!$B$3&gt;=40</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Skills!G6*IF(Skills!H6&gt;0,INT(IF(Inputs!$B$38="pvp",MIN(Skills!I6,15),Skills!I6)/Skills!H6+0.000000001),1)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1950=TRUE,F1950,0)/100)*(1+(IF(Skills!A6="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1969=TRUE)*(F1969-Calc!F26)),(Inputs!$B$23+((C1974=TRUE)*(F1974-Calc!F31))+(IF(ArtifactsInput!$M$15,CHOOSE(ArtifactsInput!$N$15+1,25,30,35,40,45,50)/100*(Inputs!$B$11-Inputs!$B$11),0))))/100+(Inputs!$B$23+((C1974=TRUE)*(F1974-Calc!F31))+(IF(ArtifactsInput!$M$15,CHOOSE(ArtifactsInput!$N$15+1,25,30,35,40,45,50)/100*(Inputs!$B$11-Inputs!$B$11),0)))/100)/2</f>
        <v/>
      </c>
      <c r="M1949">
        <f>L1949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IF(B1988=0,0,O1949/B1988)</f>
        <v/>
      </c>
      <c r="Q1949">
        <f>IFERROR(1/(IF(Inputs!$B$38="pvp",15,MAX(0.1,1-0.4*MIN(1,(B1980-1)/1.5)-IF(FALSE=TRUE,Inputs!$B$32,0)))*(1-IF(AND(ArtifactsInput!$M$27,Inputs!$B$4="Chapter Hunt"),CHOOSE(ArtifactsInput!$N$27+1,20,24,28,32,36,40),0)/100)),0)</f>
        <v/>
      </c>
      <c r="R1949">
        <f>IF(AND(Inputs!$B$38&lt;&gt;"pvp",Inputs!$B$43&gt;0),IF(MAX(0,Inputs!$B$43-B1985)&lt;=0,0,(INT(MAX(0,Inputs!$B$43-B1985)/(IF(Inputs!$B$38="pvp",15,MAX(0.1,1-0.4*MIN(1,(B1980-1)/1.5)-IF(FALSE=TRUE,Inputs!$B$32,0)))*(1-IF(AND(ArtifactsInput!$M$27,Inputs!$B$4="Chapter Hunt"),CHOOSE(ArtifactsInput!$N$27+1,20,24,28,32,36,40),0)/100)))+1)),0)</f>
        <v/>
      </c>
      <c r="S1949">
        <f>IFERROR(O1949/N1949,0)</f>
        <v/>
      </c>
      <c r="T1949">
        <f>IF(C1949,(H1949*N1949*IF(AND(Inputs!$B$38&lt;&gt;"pvp",Inputs!$B$43&gt;0),((Skills!G6*((R1949-1)*IF(Skills!H6&gt;0,INT(Skills!I6/Skills!H6+0.000000001),1)+IF(Skills!H6&gt;0,INT(MIN(Skills!I6,MAX(0,MAX(0,Inputs!$B$43-B1985)-((R1949-1)*(IF(Inputs!$B$38="pvp",15,MAX(0.1,1-0.4*MIN(1,(B1980-1)/1.5)-IF(FALSE=TRUE,Inputs!$B$32,0)))*(1-IF(AND(ArtifactsInput!$M$27,Inputs!$B$4="Chapter Hunt"),CHOOSE(ArtifactsInput!$N$27+1,20,24,28,32,36,40),0)/100)))))/Skills!H6+0.000000001),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INT(Skills!I6/Skills!H6+0.000000001),1)+IF(Skills!H6&gt;0,INT(MIN(Skills!I6,MAX(0,MAX(0,Inputs!$B$43-B1985)-((R1949-1)*(IF(Inputs!$B$38="pvp",15,MAX(0.1,1-0.4*MIN(1,(B1980-1)/1.5)-IF(FALSE=TRUE,Inputs!$B$32,0)))*(1-IF(AND(ArtifactsInput!$M$27,Inputs!$B$4="Chapter Hunt"),CHOOSE(ArtifactsInput!$N$27+1,20,24,28,32,36,40),0)/100)))))/Skills!H6+0.000000001),1)))/Inputs!$B$43),G1949*Q1949))*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Inputs!$B$3&gt;=107</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t="inlineStr"/>
      <c r="H1950" t="inlineStr"/>
      <c r="I1950" t="inlineStr">
        <is>
          <t>1</t>
        </is>
      </c>
      <c r="J1950" t="inlineStr"/>
      <c r="K1950" t="inlineStr"/>
      <c r="L1950" t="inlineStr"/>
      <c r="M1950" t="inlineStr"/>
      <c r="N1950" t="inlineStr"/>
      <c r="O1950" t="inlineStr"/>
      <c r="P1950" t="inlineStr"/>
      <c r="Q1950" t="inlineStr"/>
      <c r="R1950" t="inlineStr"/>
      <c r="S1950" t="inlineStr"/>
      <c r="T1950" t="inlineStr"/>
      <c r="V1950" t="inlineStr"/>
    </row>
    <row r="1951">
      <c r="A1951">
        <f>Skills!A8</f>
        <v/>
      </c>
      <c r="B1951">
        <f>Skills!B8</f>
        <v/>
      </c>
      <c r="C1951">
        <f>Inputs!$B$3&gt;=130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Skills!G8*IF(Skills!H8&gt;0,INT(IF(Inputs!$B$38="pvp",MIN(Skills!I8,15),Skills!I8)/Skills!H8+0.000000001),1)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1969=TRUE)*(F1969-Calc!F26)),(Inputs!$B$23+((C1974=TRUE)*(F1974-Calc!F31))+(IF(ArtifactsInput!$M$15,CHOOSE(ArtifactsInput!$N$15+1,25,30,35,40,45,50)/100*(Inputs!$B$11-Inputs!$B$11),0))))/100+(Inputs!$B$23+((C1974=TRUE)*(F1974-Calc!F31))+(IF(ArtifactsInput!$M$15,CHOOSE(ArtifactsInput!$N$15+1,25,30,35,40,45,50)/100*(Inputs!$B$11-Inputs!$B$11),0)))/100)/2</f>
        <v/>
      </c>
      <c r="M1951">
        <f>L1951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IF(B1988=0,0,O1951/B1988)</f>
        <v/>
      </c>
      <c r="Q1951">
        <f>IFERROR(1/(IF(Inputs!$B$38="pvp",15,MAX(0.1,1-0.4*MIN(1,(B1980-1)/1.5)-IF(FALSE=TRUE,Inputs!$B$32,0)))*(1-IF(AND(ArtifactsInput!$M$27,Inputs!$B$4="Chapter Hunt"),CHOOSE(ArtifactsInput!$N$27+1,20,24,28,32,36,40),0)/100)),0)</f>
        <v/>
      </c>
      <c r="R1951">
        <f>IF(AND(Inputs!$B$38&lt;&gt;"pvp",Inputs!$B$43&gt;0),IF(MAX(0,Inputs!$B$43-B1985)&lt;=0,0,(INT(MAX(0,Inputs!$B$43-B1985)/(IF(Inputs!$B$38="pvp",15,MAX(0.1,1-0.4*MIN(1,(B1980-1)/1.5)-IF(FALSE=TRUE,Inputs!$B$32,0)))*(1-IF(AND(ArtifactsInput!$M$27,Inputs!$B$4="Chapter Hunt"),CHOOSE(ArtifactsInput!$N$27+1,20,24,28,32,36,40),0)/100)))+1)),0)</f>
        <v/>
      </c>
      <c r="S1951">
        <f>IFERROR(O1951/N1951,0)</f>
        <v/>
      </c>
      <c r="T1951">
        <f>IF(C1951,(H1951*N1951*IF(AND(Inputs!$B$38&lt;&gt;"pvp",Inputs!$B$43&gt;0),((Skills!G8*((R1951-1)*IF(Skills!H8&gt;0,INT(Skills!I8/Skills!H8+0.000000001),1)+IF(Skills!H8&gt;0,INT(MIN(Skills!I8,MAX(0,MAX(0,Inputs!$B$43-B1985)-((R1951-1)*(IF(Inputs!$B$38="pvp",15,MAX(0.1,1-0.4*MIN(1,(B1980-1)/1.5)-IF(FALSE=TRUE,Inputs!$B$32,0)))*(1-IF(AND(ArtifactsInput!$M$27,Inputs!$B$4="Chapter Hunt"),CHOOSE(ArtifactsInput!$N$27+1,20,24,28,32,36,40),0)/100)))))/Skills!H8+0.000000001),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INT(Skills!I8/Skills!H8+0.000000001),1)+IF(Skills!H8&gt;0,INT(MIN(Skills!I8,MAX(0,MAX(0,Inputs!$B$43-B1985)-((R1951-1)*(IF(Inputs!$B$38="pvp",15,MAX(0.1,1-0.4*MIN(1,(B1980-1)/1.5)-IF(FALSE=TRUE,Inputs!$B$32,0)))*(1-IF(AND(ArtifactsInput!$M$27,Inputs!$B$4="Chapter Hunt"),CHOOSE(ArtifactsInput!$N$27+1,20,24,28,32,36,40),0)/100)))))/Skills!H8+0.000000001),1)))/Inputs!$B$43),G1951*Q1951))*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Inputs!$B$3&gt;=69</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Skills!G9*IF(Skills!H9&gt;0,INT(IF(Inputs!$B$38="pvp",MIN(Skills!I9,15),Skills!I9)/Skills!H9+0.000000001),1)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1955=TRUE,F1955,0)/100)*(1+(IF(Skills!A9="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1969=TRUE)*(F1969-Calc!F26)),(Inputs!$B$23+((C1974=TRUE)*(F1974-Calc!F31))+(IF(ArtifactsInput!$M$15,CHOOSE(ArtifactsInput!$N$15+1,25,30,35,40,45,50)/100*(Inputs!$B$11-Inputs!$B$11),0))))/100+(Inputs!$B$23+((C1974=TRUE)*(F1974-Calc!F31))+(IF(ArtifactsInput!$M$15,CHOOSE(ArtifactsInput!$N$15+1,25,30,35,40,45,50)/100*(Inputs!$B$11-Inputs!$B$11),0)))/100)/2</f>
        <v/>
      </c>
      <c r="M1952">
        <f>L1952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IF(B1988=0,0,O1952/B1988)</f>
        <v/>
      </c>
      <c r="Q1952">
        <f>IFERROR(1/(IF(Inputs!$B$38="pvp",15,MAX(0.1,Skills!D9-IF(TRUE=TRUE,Inputs!$B$32,0)))*(1-IF(AND(ArtifactsInput!$M$27,Inputs!$B$4="Chapter Hunt"),CHOOSE(ArtifactsInput!$N$27+1,20,24,28,32,36,40),0)/100)),0)</f>
        <v/>
      </c>
      <c r="R1952">
        <f>IF(AND(Inputs!$B$38&lt;&gt;"pvp",Inputs!$B$43&gt;0),IF(MAX(0,Inputs!$B$43-B1985)&lt;=0,0,(INT(MAX(0,Inputs!$B$43-B1985)/(IF(Inputs!$B$38="pvp",15,MAX(0.1,Skills!D9-IF(TRUE=TRUE,Inputs!$B$32,0)))*(1-IF(AND(ArtifactsInput!$M$27,Inputs!$B$4="Chapter Hunt"),CHOOSE(ArtifactsInput!$N$27+1,20,24,28,32,36,40),0)/100)))+1)),0)</f>
        <v/>
      </c>
      <c r="S1952">
        <f>IFERROR(O1952/N1952,0)</f>
        <v/>
      </c>
      <c r="T1952">
        <f>IF(C1952,(H1952*N1952*IF(AND(Inputs!$B$38&lt;&gt;"pvp",Inputs!$B$43&gt;0),((Skills!G9*((R1952-1)*IF(Skills!H9&gt;0,INT(Skills!I9/Skills!H9+0.000000001),1)+IF(Skills!H9&gt;0,INT(MIN(Skills!I9,MAX(0,MAX(0,Inputs!$B$43-B1985)-((R1952-1)*(IF(Inputs!$B$38="pvp",15,MAX(0.1,Skills!D9-IF(TRUE=TRUE,Inputs!$B$32,0)))*(1-IF(AND(ArtifactsInput!$M$27,Inputs!$B$4="Chapter Hunt"),CHOOSE(ArtifactsInput!$N$27+1,20,24,28,32,36,40),0)/100)))))/Skills!H9+0.000000001),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INT(Skills!I9/Skills!H9+0.000000001),1)+IF(Skills!H9&gt;0,INT(MIN(Skills!I9,MAX(0,MAX(0,Inputs!$B$43-B1985)-((R1952-1)*(IF(Inputs!$B$38="pvp",15,MAX(0.1,Skills!D9-IF(TRUE=TRUE,Inputs!$B$32,0)))*(1-IF(AND(ArtifactsInput!$M$27,Inputs!$B$4="Chapter Hunt"),CHOOSE(ArtifactsInput!$N$27+1,20,24,28,32,36,40),0)/100)))))/Skills!H9+0.000000001),1)))/Inputs!$B$43),G1952*Q1952))*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Inputs!$B$3&gt;=63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Skills!G10*IF(Skills!H10&gt;0,INT(IF(Inputs!$B$38="pvp",MIN(Skills!I10,15),Skills!I10)/Skills!H10+0.000000001),1)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10="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1969=TRUE)*(F1969-Calc!F26)),(Inputs!$B$23+((C1974=TRUE)*(F1974-Calc!F31))+(IF(ArtifactsInput!$M$15,CHOOSE(ArtifactsInput!$N$15+1,25,30,35,40,45,50)/100*(Inputs!$B$11-Inputs!$B$11),0))))/100+(Inputs!$B$23+((C1974=TRUE)*(F1974-Calc!F31))+(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f>IFERROR(1/(IF(Inputs!$B$38="pvp",15,MAX(0.1,Skills!D10-IF(TRUE=TRUE,Inputs!$B$32,0)))*(1-IF(AND(ArtifactsInput!$M$27,Inputs!$B$4="Chapter Hunt"),CHOOSE(ArtifactsInput!$N$27+1,20,24,28,32,36,40),0)/100)),0)</f>
        <v/>
      </c>
      <c r="R1953">
        <f>IF(AND(Inputs!$B$38&lt;&gt;"pvp",Inputs!$B$43&gt;0),IF(MAX(0,Inputs!$B$43-B1985)&lt;=0,0,(INT(MAX(0,Inputs!$B$43-B1985)/(IF(Inputs!$B$38="pvp",15,MAX(0.1,Skills!D10-IF(TRUE=TRUE,Inputs!$B$32,0)))*(1-IF(AND(ArtifactsInput!$M$27,Inputs!$B$4="Chapter Hunt"),CHOOSE(ArtifactsInput!$N$27+1,20,24,28,32,36,40),0)/100)))+1)),0)</f>
        <v/>
      </c>
      <c r="S1953">
        <f>IFERROR(O1953/N1953,0)</f>
        <v/>
      </c>
      <c r="T1953">
        <f>IF(C1953,(H1953*N1953*IF(AND(Inputs!$B$38&lt;&gt;"pvp",Inputs!$B$43&gt;0),((Skills!G10*((R1953-1)*IF(Skills!H10&gt;0,INT(Skills!I10/Skills!H10+0.000000001),1)+IF(Skills!H10&gt;0,INT(MIN(Skills!I10,MAX(0,MAX(0,Inputs!$B$43-B1985)-((R1953-1)*(IF(Inputs!$B$38="pvp",15,MAX(0.1,Skills!D10-IF(TRUE=TRUE,Inputs!$B$32,0)))*(1-IF(AND(ArtifactsInput!$M$27,Inputs!$B$4="Chapter Hunt"),CHOOSE(ArtifactsInput!$N$27+1,20,24,28,32,36,40),0)/100)))))/Skills!H10+0.000000001),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INT(Skills!I10/Skills!H10+0.000000001),1)+IF(Skills!H10&gt;0,INT(MIN(Skills!I10,MAX(0,MAX(0,Inputs!$B$43-B1985)-((R1953-1)*(IF(Inputs!$B$38="pvp",15,MAX(0.1,Skills!D10-IF(TRUE=TRUE,Inputs!$B$32,0)))*(1-IF(AND(ArtifactsInput!$M$27,Inputs!$B$4="Chapter Hunt"),CHOOSE(ArtifactsInput!$N$27+1,20,24,28,32,36,40),0)/100)))))/Skills!H10+0.000000001),1)))/Inputs!$B$43),G1953*Q1953))*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Inputs!$B$3&gt;=103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Skills!G11*IF(Skills!H11&gt;0,INT(IF(Inputs!$B$38="pvp",MIN(Skills!I11,15),Skills!I11)/Skills!H11+0.000000001),1)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1969=TRUE)*(F1969-Calc!F26)),(Inputs!$B$23+((C1974=TRUE)*(F1974-Calc!F31))+(IF(ArtifactsInput!$M$15,CHOOSE(ArtifactsInput!$N$15+1,25,30,35,40,45,50)/100*(Inputs!$B$11-Inputs!$B$11),0))))/100+(Inputs!$B$23+((C1974=TRUE)*(F1974-Calc!F31))+(IF(ArtifactsInput!$M$15,CHOOSE(ArtifactsInput!$N$15+1,25,30,35,40,45,50)/100*(Inputs!$B$11-Inputs!$B$11),0)))/100)/2</f>
        <v/>
      </c>
      <c r="M1954">
        <f>L1954*(1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IF(B1988=0,0,O1954/B1988)</f>
        <v/>
      </c>
      <c r="Q1954">
        <f>IFERROR(1/(IF(Inputs!$B$38="pvp",15,MAX(0.1,Skills!D11-IF(TRUE=TRUE,Inputs!$B$32,0)))*(1-IF(AND(ArtifactsInput!$M$27,Inputs!$B$4="Chapter Hunt"),CHOOSE(ArtifactsInput!$N$27+1,20,24,28,32,36,40),0)/100)),0)</f>
        <v/>
      </c>
      <c r="R1954">
        <f>IF(AND(Inputs!$B$38&lt;&gt;"pvp",Inputs!$B$43&gt;0),IF(MAX(0,Inputs!$B$43-B1985)&lt;=0,0,(INT(MAX(0,Inputs!$B$43-B1985)/(IF(Inputs!$B$38="pvp",15,MAX(0.1,Skills!D11-IF(TRUE=TRUE,Inputs!$B$32,0)))*(1-IF(AND(ArtifactsInput!$M$27,Inputs!$B$4="Chapter Hunt"),CHOOSE(ArtifactsInput!$N$27+1,20,24,28,32,36,40),0)/100)))+1)),0)</f>
        <v/>
      </c>
      <c r="S1954">
        <f>IFERROR(O1954/N1954,0)</f>
        <v/>
      </c>
      <c r="T1954">
        <f>IF(C1954,(H1954*N1954*IF(AND(Inputs!$B$38&lt;&gt;"pvp",Inputs!$B$43&gt;0),((Skills!G11*((R1954-1)*IF(Skills!H11&gt;0,INT(Skills!I11/Skills!H11+0.000000001),1)+IF(Skills!H11&gt;0,INT(MIN(Skills!I11,MAX(0,MAX(0,Inputs!$B$43-B1985)-((R1954-1)*(IF(Inputs!$B$38="pvp",15,MAX(0.1,Skills!D11-IF(TRUE=TRUE,Inputs!$B$32,0)))*(1-IF(AND(ArtifactsInput!$M$27,Inputs!$B$4="Chapter Hunt"),CHOOSE(ArtifactsInput!$N$27+1,20,24,28,32,36,40),0)/100)))))/Skills!H11+0.000000001)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INT(Skills!I11/Skills!H11+0.000000001),1)+IF(Skills!H11&gt;0,INT(MIN(Skills!I11,MAX(0,MAX(0,Inputs!$B$43-B1985)-((R1954-1)*(IF(Inputs!$B$38="pvp",15,MAX(0.1,Skills!D11-IF(TRUE=TRUE,Inputs!$B$32,0)))*(1-IF(AND(ArtifactsInput!$M$27,Inputs!$B$4="Chapter Hunt"),CHOOSE(ArtifactsInput!$N$27+1,20,24,28,32,36,40),0)/100)))))/Skills!H11+0.000000001),1)))/Inputs!$B$43),G1954*Q1954))*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Inputs!$B$3&gt;=60</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Skills!G13*IF(Skills!H13&gt;0,INT(IF(Inputs!$B$38="pvp",MIN(Skills!I13,15),Skills!I13)/Skills!H13+0.000000001),1)</f>
        <v/>
      </c>
      <c r="H1956">
        <f>1-(1-Skills!J13/100)^Skills!K13</f>
        <v/>
      </c>
      <c r="I1956" t="inlineStr">
        <is>
          <t>1</t>
        </is>
      </c>
      <c r="J1956">
        <f>((Inputs!$B$6*(1+Inputs!$B$7/100))+(((Inputs!$B$12*(1+Inputs!$B$13/100))-(Inputs!$B$12*(1+Inputs!$B$13/100)))+0.25*(Inputs!$B$14-Inputs!$B$14))*(1+Inputs!$B$7/100))*(F1956/100)</f>
        <v/>
      </c>
      <c r="K1956">
        <f>J1956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Skills!A13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1969=TRUE)*(F1969-Calc!F26)),(Inputs!$B$23+((C1974=TRUE)*(F1974-Calc!F31))+(IF(ArtifactsInput!$M$15,CHOOSE(ArtifactsInput!$N$15+1,25,30,35,40,45,50)/100*(Inputs!$B$11-Inputs!$B$11),0))))/100+(Inputs!$B$23+((C1974=TRUE)*(F1974-Calc!F31))+(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IFERROR(1/(IF(Inputs!$B$38="pvp",15,MAX(0.1,IF(Inputs!$B$3&gt;=122,3,5)+1/(((20+30*(B1980-1)*100/150)/100)*B1980)-IF(FALSE=TRUE,Inputs!$B$32,0)))*(1-IF(AND(ArtifactsInput!$M$27,Inputs!$B$4="Chapter Hunt"),CHOOSE(ArtifactsInput!$N$27+1,20,24,28,32,36,40),0)/100)),0)</f>
        <v/>
      </c>
      <c r="R1956">
        <f>IF(AND(Inputs!$B$38&lt;&gt;"pvp",Inputs!$B$43&gt;0),IF(MAX(0,Inputs!$B$43-B1985)&lt;=0,0,(INT(MAX(0,Inputs!$B$43-B1985)/(IF(Inputs!$B$38="pvp",15,MAX(0.1,IF(Inputs!$B$3&gt;=122,3,5)+1/(((20+30*(B1980-1)*100/150)/100)*B1980)-IF(FALSE=TRUE,Inputs!$B$32,0)))*(1-IF(AND(ArtifactsInput!$M$27,Inputs!$B$4="Chapter Hunt"),CHOOSE(ArtifactsInput!$N$27+1,20,24,28,32,36,40),0)/100)))+1)),0)</f>
        <v/>
      </c>
      <c r="S1956">
        <f>IFERROR(O1956/N1956,0)</f>
        <v/>
      </c>
      <c r="T1956">
        <f>IF(C1956,(H1956*N1956*IF(AND(Inputs!$B$38&lt;&gt;"pvp",Inputs!$B$43&gt;0),((Skills!G13*((R1956-1)*IF(Skills!H13&gt;0,INT(Skills!I13/Skills!H13+0.000000001),1)+IF(Skills!H13&gt;0,INT(MIN(Skills!I13,MAX(0,MAX(0,Inputs!$B$43-B1985)-((R1956-1)*(IF(Inputs!$B$38="pvp",15,MAX(0.1,IF(Inputs!$B$3&gt;=122,3,5)+1/(((20+30*(B1980-1)*100/150)/100)*B1980)-IF(FALSE=TRUE,Inputs!$B$32,0)))*(1-IF(AND(ArtifactsInput!$M$27,Inputs!$B$4="Chapter Hunt"),CHOOSE(ArtifactsInput!$N$27+1,20,24,28,32,36,40),0)/100)))))/Skills!H13+0.000000001),1)))/Inputs!$B$43),G1956*Q1956)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13*((R1956-1)*IF(Skills!H13&gt;0,INT(Skills!I13/Skills!H13+0.000000001),1)+IF(Skills!H13&gt;0,INT(MIN(Skills!I13,MAX(0,MAX(0,Inputs!$B$43-B1985)-((R1956-1)*(IF(Inputs!$B$38="pvp",15,MAX(0.1,IF(Inputs!$B$3&gt;=122,3,5)+1/(((20+30*(B1980-1)*100/150)/100)*B1980)-IF(FALSE=TRUE,Inputs!$B$32,0)))*(1-IF(AND(ArtifactsInput!$M$27,Inputs!$B$4="Chapter Hunt"),CHOOSE(ArtifactsInput!$N$27+1,20,24,28,32,36,40),0)/100)))))/Skills!H13+0.000000001),1)))/Inputs!$B$43),G1956*Q1956))*IF(Inputs!$B$38="pvp",1,(1+(Inputs!$B$21+Skills!Q13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Skills!A14</f>
        <v/>
      </c>
      <c r="B1957">
        <f>Skills!B14</f>
        <v/>
      </c>
      <c r="C1957">
        <f>Inputs!$B$3&gt;=110</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t="inlineStr"/>
      <c r="H1957" t="inlineStr"/>
      <c r="I1957" t="inlineStr">
        <is>
          <t>1</t>
        </is>
      </c>
      <c r="J1957" t="inlineStr"/>
      <c r="K1957" t="inlineStr"/>
      <c r="L1957" t="inlineStr"/>
      <c r="M1957" t="inlineStr"/>
      <c r="N1957" t="inlineStr"/>
      <c r="O1957" t="inlineStr"/>
      <c r="P1957" t="inlineStr"/>
      <c r="Q1957" t="inlineStr"/>
      <c r="R1957" t="inlineStr"/>
      <c r="S1957" t="inlineStr"/>
      <c r="T1957" t="inlineStr"/>
      <c r="V1957" t="inlineStr"/>
    </row>
    <row r="1958">
      <c r="A1958">
        <f>Skills!A15</f>
        <v/>
      </c>
      <c r="B1958">
        <f>Skills!B15</f>
        <v/>
      </c>
      <c r="C1958">
        <f>Inputs!$B$3&gt;=74</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Skills!G15*IF(Skills!H15&gt;0,INT(IF(Inputs!$B$38="pvp",MIN(Skills!I15,15),Skills!I15)/Skills!H15+0.000000001),1)</f>
        <v/>
      </c>
      <c r="H1958">
        <f>1-(1-Skills!J15/100)^Skills!K15</f>
        <v/>
      </c>
      <c r="I1958" t="inlineStr">
        <is>
          <t>1</t>
        </is>
      </c>
      <c r="J1958" t="inlineStr"/>
      <c r="K1958" t="inlineStr"/>
      <c r="L1958" t="inlineStr"/>
      <c r="M1958" t="inlineStr"/>
      <c r="N1958" t="inlineStr"/>
      <c r="O1958">
        <f>(1-Summary!$B$11)*T1958+Summary!$B$11*V1958</f>
        <v/>
      </c>
      <c r="P1958">
        <f>IF(B1988=0,0,O1958/B1988)</f>
        <v/>
      </c>
      <c r="Q1958" t="n">
        <v>0</v>
      </c>
      <c r="R1958" t="n">
        <v>0</v>
      </c>
      <c r="S1958">
        <f>IFERROR(O1958/N1958,0)</f>
        <v/>
      </c>
      <c r="T1958" t="n">
        <v>0</v>
      </c>
      <c r="V1958" t="n">
        <v>0</v>
      </c>
    </row>
    <row r="1959">
      <c r="A1959">
        <f>Skills!A16</f>
        <v/>
      </c>
      <c r="B1959">
        <f>Skills!B16</f>
        <v/>
      </c>
      <c r="C1959">
        <f>Inputs!$B$3&gt;=74</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Skills!G16*IF(Skills!H16&gt;0,INT(IF(Inputs!$B$38="pvp",MIN(Skills!I16,15),Skills!I16)/Skills!H16+0.000000001),1)</f>
        <v/>
      </c>
      <c r="H1959">
        <f>1-(1-Skills!J16/100)^Skills!K16</f>
        <v/>
      </c>
      <c r="I1959" t="inlineStr">
        <is>
          <t>1</t>
        </is>
      </c>
      <c r="J1959" t="inlineStr"/>
      <c r="K1959" t="inlineStr"/>
      <c r="L1959" t="inlineStr"/>
      <c r="M1959" t="inlineStr"/>
      <c r="N1959" t="inlineStr"/>
      <c r="O1959">
        <f>(1-Summary!$B$11)*T1959+Summary!$B$11*V1959</f>
        <v/>
      </c>
      <c r="P1959">
        <f>IF(B1988=0,0,O1959/B1988)</f>
        <v/>
      </c>
      <c r="Q1959" t="n">
        <v>0</v>
      </c>
      <c r="R1959" t="n">
        <v>0</v>
      </c>
      <c r="S1959">
        <f>IFERROR(O1959/N1959,0)</f>
        <v/>
      </c>
      <c r="T1959" t="n">
        <v>0</v>
      </c>
      <c r="V1959" t="n">
        <v>0</v>
      </c>
    </row>
    <row r="1960">
      <c r="A1960">
        <f>Skills!A17</f>
        <v/>
      </c>
      <c r="B1960">
        <f>Skills!B17</f>
        <v/>
      </c>
      <c r="C1960">
        <f>Inputs!$B$3&gt;=117</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Skills!G17*IF(Skills!H17&gt;0,INT(IF(Inputs!$B$38="pvp",MIN(Skills!I17,15),Skills!I17)/Skills!H17+0.000000001),1)</f>
        <v/>
      </c>
      <c r="H1960">
        <f>1-(1-Skills!J17/100)^Skills!K17</f>
        <v/>
      </c>
      <c r="I1960" t="inlineStr">
        <is>
          <t>1</t>
        </is>
      </c>
      <c r="J1960" t="inlineStr"/>
      <c r="K1960" t="inlineStr"/>
      <c r="L1960" t="inlineStr"/>
      <c r="M1960" t="inlineStr"/>
      <c r="N1960" t="inlineStr"/>
      <c r="O1960">
        <f>(1-Summary!$B$11)*T1960+Summary!$B$11*V1960</f>
        <v/>
      </c>
      <c r="P1960">
        <f>IF(B1988=0,0,O1960/B1988)</f>
        <v/>
      </c>
      <c r="Q1960">
        <f>IFERROR(1/(IF(Inputs!$B$38="pvp",15,MAX(0.1,Skills!D17-IF(TRUE=TRUE,Inputs!$B$32,0)))*(1-IF(AND(ArtifactsInput!$M$27,Inputs!$B$4="Chapter Hunt"),CHOOSE(ArtifactsInput!$N$27+1,20,24,28,32,36,40),0)/100)),0)</f>
        <v/>
      </c>
      <c r="R1960">
        <f>IF(AND(Inputs!$B$38&lt;&gt;"pvp",Inputs!$B$43&gt;0),IF(Inputs!$B$43&lt;=0,0,(INT(Inputs!$B$43/(IF(Inputs!$B$38="pvp",15,MAX(0.1,Skills!D17-IF(TRUE=TRUE,Inputs!$B$32,0)))*(1-IF(AND(ArtifactsInput!$M$27,Inputs!$B$4="Chapter Hunt"),CHOOSE(ArtifactsInput!$N$27+1,20,24,28,32,36,40),0)/100)))+1)),0)</f>
        <v/>
      </c>
      <c r="S1960">
        <f>IFERROR(O1960/N1960,0)</f>
        <v/>
      </c>
      <c r="T1960" t="n">
        <v>0</v>
      </c>
      <c r="V1960" t="n">
        <v>0</v>
      </c>
    </row>
    <row r="1961">
      <c r="A1961">
        <f>Skills!A18</f>
        <v/>
      </c>
      <c r="B1961">
        <f>Skills!B18</f>
        <v/>
      </c>
      <c r="C1961">
        <f>Inputs!$B$3&gt;=115</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Skills!G18*IF(Skills!H18&gt;0,INT(IF(Inputs!$B$38="pvp",MIN(Skills!I18,15),Skills!I18)/Skills!H18+0.000000001),1)</f>
        <v/>
      </c>
      <c r="H1961">
        <f>1-(1-Skills!J18/100)^Skills!K18</f>
        <v/>
      </c>
      <c r="I1961" t="inlineStr">
        <is>
          <t>1</t>
        </is>
      </c>
      <c r="J1961" t="inlineStr"/>
      <c r="K1961" t="inlineStr"/>
      <c r="L1961" t="inlineStr"/>
      <c r="M1961" t="inlineStr"/>
      <c r="N1961" t="inlineStr"/>
      <c r="O1961">
        <f>(1-Summary!$B$11)*T1961+Summary!$B$11*V1961</f>
        <v/>
      </c>
      <c r="P1961">
        <f>IF(B1988=0,0,O1961/B1988)</f>
        <v/>
      </c>
      <c r="Q1961">
        <f>IFERROR(1/(IF(Inputs!$B$38="pvp",15,MAX(0.1,Skills!D18-IF(TRUE=TRUE,Inputs!$B$32,0)))*(1-IF(AND(ArtifactsInput!$M$27,Inputs!$B$4="Chapter Hunt"),CHOOSE(ArtifactsInput!$N$27+1,20,24,28,32,36,40),0)/100)),0)</f>
        <v/>
      </c>
      <c r="R1961">
        <f>IF(AND(Inputs!$B$38&lt;&gt;"pvp",Inputs!$B$43&gt;0),IF(Inputs!$B$43&lt;=0,0,(INT(Inputs!$B$43/(IF(Inputs!$B$38="pvp",15,MAX(0.1,Skills!D18-IF(TRUE=TRUE,Inputs!$B$32,0)))*(1-IF(AND(ArtifactsInput!$M$27,Inputs!$B$4="Chapter Hunt"),CHOOSE(ArtifactsInput!$N$27+1,20,24,28,32,36,40),0)/100)))+1)),0)</f>
        <v/>
      </c>
      <c r="S1961">
        <f>IFERROR(O1961/N1961,0)</f>
        <v/>
      </c>
      <c r="T1961" t="n">
        <v>0</v>
      </c>
      <c r="V1961" t="n">
        <v>0</v>
      </c>
    </row>
    <row r="1962">
      <c r="A1962">
        <f>Skills!A19</f>
        <v/>
      </c>
      <c r="B1962">
        <f>Skills!B19</f>
        <v/>
      </c>
      <c r="C1962">
        <f>Inputs!$B$3&gt;=66</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Skills!G19*IF(Skills!H19&gt;0,INT(IF(Inputs!$B$38="pvp",MIN(Skills!I19,15),Skills!I19)/Skills!H19+0.000000001),1)</f>
        <v/>
      </c>
      <c r="H1962">
        <f>1-(1-Skills!J19/100)^Skills!K19</f>
        <v/>
      </c>
      <c r="I1962" t="inlineStr">
        <is>
          <t>1</t>
        </is>
      </c>
      <c r="J1962" t="inlineStr"/>
      <c r="K1962" t="inlineStr"/>
      <c r="L1962" t="inlineStr"/>
      <c r="M1962" t="inlineStr"/>
      <c r="N1962" t="inlineStr"/>
      <c r="O1962">
        <f>(1-Summary!$B$11)*T1962+Summary!$B$11*V1962</f>
        <v/>
      </c>
      <c r="P1962">
        <f>IF(B1988=0,0,O1962/B1988)</f>
        <v/>
      </c>
      <c r="Q1962" t="n">
        <v>0</v>
      </c>
      <c r="R1962" t="n">
        <v>0</v>
      </c>
      <c r="S1962">
        <f>IFERROR(O1962/N1962,0)</f>
        <v/>
      </c>
      <c r="T1962" t="n">
        <v>0</v>
      </c>
      <c r="V1962" t="n">
        <v>0</v>
      </c>
    </row>
    <row r="1963">
      <c r="A1963">
        <f>Skills!A20</f>
        <v/>
      </c>
      <c r="B1963">
        <f>Skills!B20</f>
        <v/>
      </c>
      <c r="C1963">
        <f>Inputs!$B$3&gt;=72</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Skills!G20*IF(Skills!H20&gt;0,INT(IF(Inputs!$B$38="pvp",MIN(Skills!I20,15),Skills!I20)/Skills!H20+0.000000001),1)</f>
        <v/>
      </c>
      <c r="H1963">
        <f>1-(1-Skills!J20/100)^Skills!K20</f>
        <v/>
      </c>
      <c r="I1963" t="inlineStr">
        <is>
          <t>1</t>
        </is>
      </c>
      <c r="J1963" t="inlineStr"/>
      <c r="K1963" t="inlineStr"/>
      <c r="L1963" t="inlineStr"/>
      <c r="M1963" t="inlineStr"/>
      <c r="N1963" t="inlineStr"/>
      <c r="O1963">
        <f>(1-Summary!$B$11)*T1963+Summary!$B$11*V1963</f>
        <v/>
      </c>
      <c r="P1963">
        <f>IF(B1988=0,0,O1963/B1988)</f>
        <v/>
      </c>
      <c r="Q1963" t="n">
        <v>0</v>
      </c>
      <c r="R1963" t="n">
        <v>0</v>
      </c>
      <c r="S1963">
        <f>IFERROR(O1963/N1963,0)</f>
        <v/>
      </c>
      <c r="T1963" t="n">
        <v>0</v>
      </c>
      <c r="V1963" t="n">
        <v>0</v>
      </c>
    </row>
    <row r="1964">
      <c r="A1964">
        <f>Skills!A21</f>
        <v/>
      </c>
      <c r="B1964">
        <f>Skills!B21</f>
        <v/>
      </c>
      <c r="C1964">
        <f>TRUE</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Skills!G21*IF(Skills!H21&gt;0,INT(IF(Inputs!$B$38="pvp",MIN(Skills!I21,15),Skills!I21)/Skills!H21+0.000000001),1)</f>
        <v/>
      </c>
      <c r="H1964">
        <f>1-(1-Skills!J21/100)^Skills!K21</f>
        <v/>
      </c>
      <c r="I1964" t="inlineStr">
        <is>
          <t>1</t>
        </is>
      </c>
      <c r="J1964" t="inlineStr"/>
      <c r="K1964" t="inlineStr"/>
      <c r="L1964" t="inlineStr"/>
      <c r="M1964" t="inlineStr"/>
      <c r="N1964" t="inlineStr"/>
      <c r="O1964">
        <f>(1-Summary!$B$11)*T1964+Summary!$B$11*V1964</f>
        <v/>
      </c>
      <c r="P1964">
        <f>IF(B1988=0,0,O1964/B1988)</f>
        <v/>
      </c>
      <c r="Q1964">
        <f>IFERROR(1/(IF(Inputs!$B$38="pvp",15,MAX(0.1,Skills!D21-IF(TRUE=TRUE,Inputs!$B$32,0)))*(1-IF(AND(ArtifactsInput!$M$27,Inputs!$B$4="Chapter Hunt"),CHOOSE(ArtifactsInput!$N$27+1,20,24,28,32,36,40),0)/100)),0)</f>
        <v/>
      </c>
      <c r="R1964">
        <f>IF(AND(Inputs!$B$38&lt;&gt;"pvp",Inputs!$B$43&gt;0),IF(Inputs!$B$43&lt;=0,0,(INT(Inputs!$B$43/(IF(Inputs!$B$38="pvp",15,MAX(0.1,Skills!D21-IF(TRUE=TRUE,Inputs!$B$32,0)))*(1-IF(AND(ArtifactsInput!$M$27,Inputs!$B$4="Chapter Hunt"),CHOOSE(ArtifactsInput!$N$27+1,20,24,28,32,36,40),0)/100)))+1)),0)</f>
        <v/>
      </c>
      <c r="S1964">
        <f>IFERROR(O1964/N1964,0)</f>
        <v/>
      </c>
      <c r="T1964" t="n">
        <v>0</v>
      </c>
      <c r="V1964" t="n">
        <v>0</v>
      </c>
    </row>
    <row r="1965">
      <c r="A1965">
        <f>Skills!A22</f>
        <v/>
      </c>
      <c r="B1965">
        <f>Skills!B22</f>
        <v/>
      </c>
      <c r="C1965">
        <f>Inputs!$B$3&gt;=15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Skills!G22*IF(Skills!H22&gt;0,INT(IF(Inputs!$B$38="pvp",MIN(Skills!I22,15),Skills!I22)/Skills!H22+0.000000001),1)</f>
        <v/>
      </c>
      <c r="H1965">
        <f>1-(1-Skills!J22/100)^Skills!K22</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Skills!A23</f>
        <v/>
      </c>
      <c r="B1966">
        <f>Skills!B23</f>
        <v/>
      </c>
      <c r="C1966">
        <f>Inputs!$B$3&gt;=10</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Skills!G23*IF(Skills!H23&gt;0,INT(IF(Inputs!$B$38="pvp",MIN(Skills!I23,15),Skills!I23)/Skills!H23+0.000000001),1)</f>
        <v/>
      </c>
      <c r="H1966">
        <f>1-(1-Skills!J23/100)^Skills!K23</f>
        <v/>
      </c>
      <c r="I1966" t="inlineStr">
        <is>
          <t>1</t>
        </is>
      </c>
      <c r="J1966" t="inlineStr"/>
      <c r="K1966" t="inlineStr"/>
      <c r="L1966" t="inlineStr"/>
      <c r="M1966" t="inlineStr"/>
      <c r="N1966" t="inlineStr"/>
      <c r="O1966">
        <f>(1-Summary!$B$11)*T1966+Summary!$B$11*V1966</f>
        <v/>
      </c>
      <c r="P1966">
        <f>IF(B1988=0,0,O1966/B1988)</f>
        <v/>
      </c>
      <c r="Q1966" t="n">
        <v>0</v>
      </c>
      <c r="R1966" t="n">
        <v>0</v>
      </c>
      <c r="S1966">
        <f>IFERROR(O1966/N1966,0)</f>
        <v/>
      </c>
      <c r="T1966" t="n">
        <v>0</v>
      </c>
      <c r="V1966" t="n">
        <v>0</v>
      </c>
    </row>
    <row r="1967">
      <c r="A1967">
        <f>Skills!A24</f>
        <v/>
      </c>
      <c r="B1967">
        <f>Skills!B24</f>
        <v/>
      </c>
      <c r="C1967">
        <f>Inputs!$B$3&gt;=33</f>
        <v/>
      </c>
      <c r="D1967">
        <f>IF(Skills!C24=1,60+Inputs!$B$25+Inputs!$B$29,IF(Skills!C24=2,90+Inputs!$B$26+Inputs!$B$29,IF(Skills!C24=3,120+Inputs!$B$27+Inputs!$B$29,MAX(0,(Inputs!$B$3-100)*3)+Inputs!$B$28+Inputs!$B$29)))</f>
        <v/>
      </c>
      <c r="E1967">
        <f>INDEX(FactorTable!$B$2:$Y$301, MATCH(ROUND(MIN(300,MAX(1,D1967)),0), FactorTable!$A$2:$A$301,0), Skills!M24+1)</f>
        <v/>
      </c>
      <c r="F1967">
        <f>IF(Skills!N24=TRUE,(Skills!L24/10)*(E1967/1000),Skills!L24/10)+Skills!O24</f>
        <v/>
      </c>
      <c r="G1967">
        <f>Skills!G24*IF(Skills!H24&gt;0,INT(IF(Inputs!$B$38="pvp",MIN(Skills!I24,15),Skills!I24)/Skills!H24+0.000000001),1)</f>
        <v/>
      </c>
      <c r="H1967">
        <f>1-(1-Skills!J24/100)^Skills!K24</f>
        <v/>
      </c>
      <c r="I1967" t="inlineStr">
        <is>
          <t>1</t>
        </is>
      </c>
      <c r="J1967" t="inlineStr"/>
      <c r="K1967" t="inlineStr"/>
      <c r="L1967" t="inlineStr"/>
      <c r="M1967" t="inlineStr"/>
      <c r="N1967" t="inlineStr"/>
      <c r="O1967">
        <f>(1-Summary!$B$11)*T1967+Summary!$B$11*V1967</f>
        <v/>
      </c>
      <c r="P1967">
        <f>IF(B1988=0,0,O1967/B1988)</f>
        <v/>
      </c>
      <c r="Q1967" t="n">
        <v>0</v>
      </c>
      <c r="R1967" t="n">
        <v>0</v>
      </c>
      <c r="S1967">
        <f>IFERROR(O1967/N1967,0)</f>
        <v/>
      </c>
      <c r="T1967" t="n">
        <v>0</v>
      </c>
      <c r="V1967" t="n">
        <v>0</v>
      </c>
    </row>
    <row r="1968">
      <c r="A1968">
        <f>Skills!A25</f>
        <v/>
      </c>
      <c r="B1968">
        <f>Skills!B25</f>
        <v/>
      </c>
      <c r="C1968">
        <f>Inputs!$B$3&gt;=38</f>
        <v/>
      </c>
      <c r="D1968">
        <f>IF(Skills!C25=1,60+Inputs!$B$25+Inputs!$B$29,IF(Skills!C25=2,90+Inputs!$B$26+Inputs!$B$29,IF(Skills!C25=3,120+Inputs!$B$27+Inputs!$B$29,MAX(0,(Inputs!$B$3-100)*3)+Inputs!$B$28+Inputs!$B$29)))</f>
        <v/>
      </c>
      <c r="E1968">
        <f>INDEX(FactorTable!$B$2:$Y$301, MATCH(ROUND(MIN(300,MAX(1,D1968)),0), FactorTable!$A$2:$A$301,0), Skills!M25+1)</f>
        <v/>
      </c>
      <c r="F1968">
        <f>IF(Skills!N25=TRUE,(Skills!L25/10)*(E1968/1000),Skills!L25/10)+Skills!O25</f>
        <v/>
      </c>
      <c r="G1968">
        <f>Skills!G25*IF(Skills!H25&gt;0,INT(IF(Inputs!$B$38="pvp",MIN(Skills!I25,15),Skills!I25)/Skills!H25+0.000000001),1)</f>
        <v/>
      </c>
      <c r="H1968">
        <f>1-(1-Skills!J25/100)^Skills!K25</f>
        <v/>
      </c>
      <c r="I1968" t="inlineStr">
        <is>
          <t>1</t>
        </is>
      </c>
      <c r="J1968" t="inlineStr"/>
      <c r="K1968" t="inlineStr"/>
      <c r="L1968" t="inlineStr"/>
      <c r="M1968" t="inlineStr"/>
      <c r="N1968" t="inlineStr"/>
      <c r="O1968">
        <f>(1-Summary!$B$11)*T1968+Summary!$B$11*V1968</f>
        <v/>
      </c>
      <c r="P1968">
        <f>IF(B1988=0,0,O1968/B1988)</f>
        <v/>
      </c>
      <c r="Q1968" t="n">
        <v>0</v>
      </c>
      <c r="R1968" t="n">
        <v>0</v>
      </c>
      <c r="S1968">
        <f>IFERROR(O1968/N1968,0)</f>
        <v/>
      </c>
      <c r="T1968" t="n">
        <v>0</v>
      </c>
      <c r="V1968" t="n">
        <v>0</v>
      </c>
    </row>
    <row r="1969">
      <c r="A1969">
        <f>Skills!A26</f>
        <v/>
      </c>
      <c r="B1969">
        <f>Skills!B26</f>
        <v/>
      </c>
      <c r="C1969">
        <f>Inputs!$B$3&gt;=43</f>
        <v/>
      </c>
      <c r="D1969">
        <f>IF(Skills!C26=1,60+Inputs!$B$25+Inputs!$B$29,IF(Skills!C26=2,90+Inputs!$B$26+Inputs!$B$29,IF(Skills!C26=3,120+Inputs!$B$27+Inputs!$B$29,MAX(0,(Inputs!$B$3-100)*3)+Inputs!$B$28+Inputs!$B$29)))</f>
        <v/>
      </c>
      <c r="E1969">
        <f>INDEX(FactorTable!$B$2:$Y$301, MATCH(ROUND(MIN(300,MAX(1,D1969)),0), FactorTable!$A$2:$A$301,0), Skills!M26+1)</f>
        <v/>
      </c>
      <c r="F1969">
        <f>IF(Skills!N26=TRUE,(Skills!L26/10)*(E1969/1000),Skills!L26/10)+Skills!O26</f>
        <v/>
      </c>
      <c r="G1969">
        <f>Skills!G26*IF(Skills!H26&gt;0,INT(IF(Inputs!$B$38="pvp",MIN(Skills!I26,15),Skills!I26)/Skills!H26+0.000000001),1)</f>
        <v/>
      </c>
      <c r="H1969">
        <f>1-(1-Skills!J26/100)^Skills!K26</f>
        <v/>
      </c>
      <c r="I1969" t="inlineStr">
        <is>
          <t>1</t>
        </is>
      </c>
      <c r="J1969" t="inlineStr"/>
      <c r="K1969" t="inlineStr"/>
      <c r="L1969" t="inlineStr"/>
      <c r="M1969" t="inlineStr"/>
      <c r="N1969" t="inlineStr"/>
      <c r="O1969">
        <f>(1-Summary!$B$11)*T1969+Summary!$B$11*V1969</f>
        <v/>
      </c>
      <c r="P1969">
        <f>IF(B1988=0,0,O1969/B1988)</f>
        <v/>
      </c>
      <c r="Q1969" t="n">
        <v>0</v>
      </c>
      <c r="R1969" t="n">
        <v>0</v>
      </c>
      <c r="S1969">
        <f>IFERROR(O1969/N1969,0)</f>
        <v/>
      </c>
      <c r="T1969" t="n">
        <v>0</v>
      </c>
      <c r="V1969" t="n">
        <v>0</v>
      </c>
    </row>
    <row r="1970">
      <c r="A1970">
        <f>Skills!A27</f>
        <v/>
      </c>
      <c r="B1970">
        <f>Skills!B27</f>
        <v/>
      </c>
      <c r="C1970">
        <f>Inputs!$B$3&gt;=75</f>
        <v/>
      </c>
      <c r="D1970">
        <f>IF(Skills!C27=1,60+Inputs!$B$25+Inputs!$B$29,IF(Skills!C27=2,90+Inputs!$B$26+Inputs!$B$29,IF(Skills!C27=3,120+Inputs!$B$27+Inputs!$B$29,MAX(0,(Inputs!$B$3-100)*3)+Inputs!$B$28+Inputs!$B$29)))</f>
        <v/>
      </c>
      <c r="E1970">
        <f>INDEX(FactorTable!$B$2:$Y$301, MATCH(ROUND(MIN(300,MAX(1,D1970)),0), FactorTable!$A$2:$A$301,0), Skills!M27+1)</f>
        <v/>
      </c>
      <c r="F1970">
        <f>IF(Skills!N27=TRUE,(Skills!L27/10)*(E1970/1000),Skills!L27/10)+Skills!O27</f>
        <v/>
      </c>
      <c r="G1970">
        <f>Skills!G27*IF(Skills!H27&gt;0,INT(IF(Inputs!$B$38="pvp",MIN(Skills!I27,15),Skills!I27)/Skills!H27+0.000000001),1)</f>
        <v/>
      </c>
      <c r="H1970">
        <f>1-(1-Skills!J27/100)^Skills!K27</f>
        <v/>
      </c>
      <c r="I1970" t="inlineStr">
        <is>
          <t>1</t>
        </is>
      </c>
      <c r="J1970" t="inlineStr"/>
      <c r="K1970" t="inlineStr"/>
      <c r="L1970" t="inlineStr"/>
      <c r="M1970" t="inlineStr"/>
      <c r="N1970" t="inlineStr"/>
      <c r="O1970">
        <f>(1-Summary!$B$11)*T1970+Summary!$B$11*V1970</f>
        <v/>
      </c>
      <c r="P1970">
        <f>IF(B1988=0,0,O1970/B1988)</f>
        <v/>
      </c>
      <c r="Q1970" t="n">
        <v>0</v>
      </c>
      <c r="R1970" t="n">
        <v>0</v>
      </c>
      <c r="S1970">
        <f>IFERROR(O1970/N1970,0)</f>
        <v/>
      </c>
      <c r="T1970" t="n">
        <v>0</v>
      </c>
      <c r="V1970" t="n">
        <v>0</v>
      </c>
    </row>
    <row r="1971">
      <c r="A1971">
        <f>Skills!A28</f>
        <v/>
      </c>
      <c r="B1971">
        <f>Skills!B28</f>
        <v/>
      </c>
      <c r="C1971">
        <f>Inputs!$B$3&gt;=125</f>
        <v/>
      </c>
      <c r="D1971">
        <f>IF(Skills!C28=1,60+Inputs!$B$25+Inputs!$B$29,IF(Skills!C28=2,90+Inputs!$B$26+Inputs!$B$29,IF(Skills!C28=3,120+Inputs!$B$27+Inputs!$B$29,MAX(0,(Inputs!$B$3-100)*3)+Inputs!$B$28+Inputs!$B$29)))</f>
        <v/>
      </c>
      <c r="E1971">
        <f>INDEX(FactorTable!$B$2:$Y$301, MATCH(ROUND(MIN(300,MAX(1,D1971)),0), FactorTable!$A$2:$A$301,0), Skills!M28+1)</f>
        <v/>
      </c>
      <c r="F1971">
        <f>IF(Skills!N28=TRUE,(Skills!L28/10)*(E1971/1000),Skills!L28/10)+Skills!O28</f>
        <v/>
      </c>
      <c r="G1971">
        <f>Skills!G28*IF(Skills!H28&gt;0,INT(IF(Inputs!$B$38="pvp",MIN(Skills!I28,15),Skills!I28)/Skills!H28+0.000000001),1)</f>
        <v/>
      </c>
      <c r="H1971">
        <f>1-(1-Skills!J28/100)^Skills!K28</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Skills!A29</f>
        <v/>
      </c>
      <c r="B1972">
        <f>Skills!B29</f>
        <v/>
      </c>
      <c r="C1972">
        <f>Inputs!$B$3&gt;=125</f>
        <v/>
      </c>
      <c r="D1972">
        <f>IF(Skills!C29=1,60+Inputs!$B$25+Inputs!$B$29,IF(Skills!C29=2,90+Inputs!$B$26+Inputs!$B$29,IF(Skills!C29=3,120+Inputs!$B$27+Inputs!$B$29,MAX(0,(Inputs!$B$3-100)*3)+Inputs!$B$28+Inputs!$B$29)))</f>
        <v/>
      </c>
      <c r="E1972">
        <f>INDEX(FactorTable!$B$2:$Y$301, MATCH(ROUND(MIN(300,MAX(1,D1972)),0), FactorTable!$A$2:$A$301,0), Skills!M29+1)</f>
        <v/>
      </c>
      <c r="F1972">
        <f>IF(Skills!N29=TRUE,(Skills!L29/10)*(E1972/1000),Skills!L29/10)+Skills!O29</f>
        <v/>
      </c>
      <c r="G1972">
        <f>Skills!G29*IF(Skills!H29&gt;0,INT(IF(Inputs!$B$38="pvp",MIN(Skills!I29,15),Skills!I29)/Skills!H29+0.000000001),1)</f>
        <v/>
      </c>
      <c r="H1972">
        <f>1-(1-Skills!J29/100)^Skills!K29</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Skills!A30</f>
        <v/>
      </c>
      <c r="B1973">
        <f>Skills!B30</f>
        <v/>
      </c>
      <c r="C1973">
        <f>Inputs!$B$3&gt;=120</f>
        <v/>
      </c>
      <c r="D1973">
        <f>IF(Skills!C30=1,60+Inputs!$B$25+Inputs!$B$29,IF(Skills!C30=2,90+Inputs!$B$26+Inputs!$B$29,IF(Skills!C30=3,120+Inputs!$B$27+Inputs!$B$29,MAX(0,(Inputs!$B$3-100)*3)+Inputs!$B$28+Inputs!$B$29)))</f>
        <v/>
      </c>
      <c r="E1973">
        <f>INDEX(FactorTable!$B$2:$Y$301, MATCH(ROUND(MIN(300,MAX(1,D1973)),0), FactorTable!$A$2:$A$301,0), Skills!M30+1)</f>
        <v/>
      </c>
      <c r="F1973">
        <f>IF(Skills!N30=TRUE,(Skills!L30/10)*(E1973/1000),Skills!L30/10)+Skills!O30</f>
        <v/>
      </c>
      <c r="G1973">
        <f>Skills!G30*IF(Skills!H30&gt;0,INT(IF(Inputs!$B$38="pvp",MIN(Skills!I30,15),Skills!I30)/Skills!H30+0.000000001),1)</f>
        <v/>
      </c>
      <c r="H1973">
        <f>1-(1-Skills!J30/100)^Skills!K30</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Skills!A31</f>
        <v/>
      </c>
      <c r="B1974">
        <f>Skills!B31</f>
        <v/>
      </c>
      <c r="C1974">
        <f>Inputs!$B$3&gt;=120</f>
        <v/>
      </c>
      <c r="D1974">
        <f>IF(Skills!C31=1,60+Inputs!$B$25+Inputs!$B$29,IF(Skills!C31=2,90+Inputs!$B$26+Inputs!$B$29,IF(Skills!C31=3,120+Inputs!$B$27+Inputs!$B$29,MAX(0,(Inputs!$B$3-100)*3)+Inputs!$B$28+Inputs!$B$29)))</f>
        <v/>
      </c>
      <c r="E1974">
        <f>INDEX(FactorTable!$B$2:$Y$301, MATCH(ROUND(MIN(300,MAX(1,D1974)),0), FactorTable!$A$2:$A$301,0), Skills!M31+1)</f>
        <v/>
      </c>
      <c r="F1974">
        <f>IF(Skills!N31=TRUE,(Skills!L31/10)*(E1974/1000),Skills!L31/10)+Skills!O31</f>
        <v/>
      </c>
      <c r="G1974">
        <f>Skills!G31*IF(Skills!H31&gt;0,INT(IF(Inputs!$B$38="pvp",MIN(Skills!I31,15),Skills!I31)/Skills!H31+0.000000001),1)</f>
        <v/>
      </c>
      <c r="H1974">
        <f>1-(1-Skills!J31/100)^Skills!K31</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Skills!A32</f>
        <v/>
      </c>
      <c r="B1975">
        <f>Skills!B32</f>
        <v/>
      </c>
      <c r="C1975">
        <f>Inputs!$B$3&gt;=45</f>
        <v/>
      </c>
      <c r="D1975">
        <f>IF(Skills!C32=1,60+Inputs!$B$25+Inputs!$B$29,IF(Skills!C32=2,90+Inputs!$B$26+Inputs!$B$29,IF(Skills!C32=3,120+Inputs!$B$27+Inputs!$B$29,MAX(0,(Inputs!$B$3-100)*3)+Inputs!$B$28+Inputs!$B$29)))</f>
        <v/>
      </c>
      <c r="E1975">
        <f>INDEX(FactorTable!$B$2:$Y$301, MATCH(ROUND(MIN(300,MAX(1,D1975)),0), FactorTable!$A$2:$A$301,0), Skills!M32+1)</f>
        <v/>
      </c>
      <c r="F1975">
        <f>IF(Skills!N32=TRUE,(Skills!L32/10)*(E1975/1000),Skills!L32/10)+Skills!O32</f>
        <v/>
      </c>
      <c r="G1975">
        <f>Skills!G32*IF(Skills!H32&gt;0,INT(IF(Inputs!$B$38="pvp",MIN(Skills!I32,15),Skills!I32)/Skills!H32+0.000000001),1)</f>
        <v/>
      </c>
      <c r="H1975">
        <f>1-(1-Skills!J32/100)^Skills!K32</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1964=TRUE)*F1964*IF(AND(Inputs!$B$38&lt;&gt;"pvp",Inputs!$B$43&gt;0),(((R1964-1)*MIN((Skills!T21*(1+Inputs!$B$34/100)),(1/Q1964))+MIN((Skills!T21*(1+Inputs!$B$34/100)),MAX(0,Inputs!$B$43-((R1964-1)*(1/Q1964)))))/Inputs!$B$43),IF(Inputs!$B$38="pvp",MIN((Skills!T21*(1+Inputs!$B$34/100)),15)/15,MIN(1,(Skills!T21*(1+Inputs!$B$34/100))/(1/Q1964)))))</f>
        <v/>
      </c>
    </row>
    <row r="1980">
      <c r="A1980" t="inlineStr">
        <is>
          <t>Actions Per Second</t>
        </is>
      </c>
      <c r="B1980">
        <f>1+MIN(150,150*(1-(1-(Inputs!$B$11+((C1966=TRUE)*(F1966-Calc!F23))+((C1967=TRUE)*(F1967-Calc!F24)))/150)*(1-B1979/150)))/100</f>
        <v/>
      </c>
    </row>
    <row r="1981">
      <c r="A1981" t="inlineStr">
        <is>
          <t>Skill + Buff Cast Rate</t>
        </is>
      </c>
      <c r="B1981">
        <f>IF(AND(Inputs!$B$38&lt;&gt;"pvp",Inputs!$B$43&gt;0),SUMPRODUCT((Skills!E2:E32=TRUE)*(C1945:C1975=TRUE)*R1945:R1975*Skills!F2:F32)/Inputs!$B$43,SUMPRODUCT((Skills!E2:E32=TRUE)*(C1945:C1975=TRUE)*Q1945:Q1975*Skills!F2:F32))</f>
        <v/>
      </c>
    </row>
    <row r="1982">
      <c r="A1982" t="inlineStr">
        <is>
          <t>Arrow Stream Casts Per Second</t>
        </is>
      </c>
      <c r="B1982">
        <f>MAX(0,B1980-B1981)</f>
        <v/>
      </c>
    </row>
    <row r="1983">
      <c r="A1983" t="inlineStr">
        <is>
          <t>Global Critical Damage Bonus % (Sharp Eyes + Concentration)</t>
        </is>
      </c>
      <c r="B1983">
        <f>(C1961=TRUE)*F1961*IF(AND(Inputs!$B$38&lt;&gt;"pvp",Inputs!$B$43&gt;0),(((R1961-1)*MIN((Skills!T18*(1+Inputs!$B$34/100)),(1/Q1961))+MIN((Skills!T18*(1+Inputs!$B$34/100)),MAX(0,Inputs!$B$43-((R1961-1)*(1/Q1961)))))/Inputs!$B$43),IF(Inputs!$B$38="pvp",MIN((Skills!T18*(1+Inputs!$B$34/100)),15)/15,MIN(1,(Skills!T18*(1+Inputs!$B$34/100))/(1/Q1961))))+(C1962=TRUE)*7*F1962</f>
        <v/>
      </c>
    </row>
    <row r="1984">
      <c r="A1984" t="inlineStr">
        <is>
          <t>Global Final Damage Bonus % (Mortal Blow)</t>
        </is>
      </c>
      <c r="B1984">
        <f>(C1963=TRUE)*F1963</f>
        <v/>
      </c>
    </row>
    <row r="1985">
      <c r="A1985" t="inlineStr">
        <is>
          <t>Buff-Casting Startup Delay (s, fixed-duration only)</t>
        </is>
      </c>
      <c r="B1985">
        <f>IF(AND(Inputs!$B$38&lt;&gt;"pvp",Inputs!$B$43&gt;0),SUMPRODUCT((Skills!T2:T32&gt;0)*(Skills!E2:E32=TRUE)*(C1945:C1975=TRUE))/B1980,0)</f>
        <v/>
      </c>
    </row>
    <row r="1986">
      <c r="A1986" t="inlineStr">
        <is>
          <t>Boss-Only Total DPS (this block's swept value)</t>
        </is>
      </c>
      <c r="B1986">
        <f>SUM(T1945:T1975)</f>
        <v/>
      </c>
    </row>
    <row r="1987">
      <c r="A1987" t="inlineStr">
        <is>
          <t>Normal-Only Total DPS (this block's swept value)</t>
        </is>
      </c>
      <c r="B1987">
        <f>SUM(V1945:V1975)</f>
        <v/>
      </c>
    </row>
    <row r="1988">
      <c r="A1988" s="6" t="inlineStr">
        <is>
          <t>TOTAL DPS</t>
        </is>
      </c>
      <c r="B1988" s="6">
        <f>SUM(O1945:O1975)</f>
        <v/>
      </c>
    </row>
    <row r="1991">
      <c r="A1991" s="6" t="inlineStr">
        <is>
          <t>Stat: Old Music Box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Skills!G2*IF(Skills!H2&gt;0,INT(IF(Inputs!$B$38="pvp",MIN(Skills!I2,15),Skills!I2)/Skills!H2+0.000000001),1)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2017=TRUE)*(F2017-Calc!F26)),(Inputs!$B$23+((C2022=TRUE)*(F2022-Calc!F31))+(IF(ArtifactsInput!$M$15,CHOOSE(ArtifactsInput!$N$15+1,25,30,35,40,45,50)/100*(Inputs!$B$11-Inputs!$B$11),0))))/100+(Inputs!$B$23+((C2022=TRUE)*(F2022-Calc!F31))+(IF(ArtifactsInput!$M$15,CHOOSE(ArtifactsInput!$N$15+1,25,30,35,40,45,50)/100*(Inputs!$B$11-Inputs!$B$11),0)))/100)/2</f>
        <v/>
      </c>
      <c r="M1993">
        <f>L1993*(1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IF(B2036=0,0,O1993/B2036)</f>
        <v/>
      </c>
      <c r="Q1993" t="n">
        <v>0</v>
      </c>
      <c r="R1993" t="n">
        <v>0</v>
      </c>
      <c r="S1993">
        <f>IFERROR(O1993/N1993,0)</f>
        <v/>
      </c>
      <c r="T1993">
        <f>IF(C1993,(Skills!G2*N1993*B2030)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IF(C1993,(Skills!G2*N1993*B2030)*IF(Inputs!$B$38="pvp",1,(1+(Inputs!$B$21+Skills!Q2+(IF(ArtifactsInput!$M$33,CHOOSE(ArtifactsInput!$N$33+1,30,36,42,48,54,60),0))+(IF(AND(ArtifactsInput!$M$35,Inputs!$B$4&lt;&gt;"Chapter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f>Skills!G3*IF(Skills!H3&gt;0,INT(IF(Inputs!$B$38="pvp",MIN(Skills!I3,15),Skills!I3)/Skills!H3+0.000000001),1)</f>
        <v/>
      </c>
      <c r="H1994">
        <f>1-(1-Skills!J3/100)^Skills!K3</f>
        <v/>
      </c>
      <c r="I1994" t="inlineStr">
        <is>
          <t>1</t>
        </is>
      </c>
      <c r="J1994">
        <f>((Inputs!$B$6*(1+Inputs!$B$7/100))+(((Inputs!$B$12*(1+Inputs!$B$13/100))-(Inputs!$B$12*(1+Inputs!$B$13/100)))+0.25*(Inputs!$B$14-Inputs!$B$14))*(1+Inputs!$B$7/100))*(F1994/100)</f>
        <v/>
      </c>
      <c r="K1994">
        <f>J1994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1995=TRUE,F1995,0)/100)*(1+(IF(Skills!A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1994)</f>
        <v/>
      </c>
      <c r="L1994">
        <f>K1994*(MIN(Inputs!$B$22+((C2017=TRUE)*(F2017-Calc!F26)),(Inputs!$B$23+((C2022=TRUE)*(F2022-Calc!F31))+(IF(ArtifactsInput!$M$15,CHOOSE(ArtifactsInput!$N$15+1,25,30,35,40,45,50)/100*(Inputs!$B$11-Inputs!$B$11),0))))/100+(Inputs!$B$23+((C2022=TRUE)*(F2022-Calc!F31))+(IF(ArtifactsInput!$M$15,CHOOSE(ArtifactsInput!$N$15+1,25,30,35,40,45,50)/100*(Inputs!$B$11-Inputs!$B$11),0)))/100)/2</f>
        <v/>
      </c>
      <c r="M1994">
        <f>L1994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4">
        <f>L1994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4">
        <f>(1-Summary!$B$11)*T1994+Summary!$B$11*V1994</f>
        <v/>
      </c>
      <c r="P1994">
        <f>IF(B2036=0,0,O1994/B2036)</f>
        <v/>
      </c>
      <c r="Q1994">
        <f>IFERROR(1/(IF(Inputs!$B$38="pvp",15,MAX(0.1,1/B2028-IF(FALSE=TRUE,Inputs!$B$32,0)))*(1-IF(AND(ArtifactsInput!$M$27,Inputs!$B$4="Chapter Hunt"),CHOOSE(ArtifactsInput!$N$27+1,20,24,28,32,36,40),0)/100)),0)</f>
        <v/>
      </c>
      <c r="R1994">
        <f>IF(AND(Inputs!$B$38&lt;&gt;"pvp",Inputs!$B$43&gt;0),IF(MAX(0,Inputs!$B$43-B2033)&lt;=0,0,(INT(MAX(0,Inputs!$B$43-B2033)/(IF(Inputs!$B$38="pvp",15,MAX(0.1,1/B2028-IF(FALSE=TRUE,Inputs!$B$32,0)))*(1-IF(AND(ArtifactsInput!$M$27,Inputs!$B$4="Chapter Hunt"),CHOOSE(ArtifactsInput!$N$27+1,20,24,28,32,36,40),0)/100)))+1)),0)</f>
        <v/>
      </c>
      <c r="S1994">
        <f>IFERROR(O1994/N1994,0)</f>
        <v/>
      </c>
      <c r="T1994">
        <f>IF(C1994,(H1994*N1994*IF(AND(Inputs!$B$38&lt;&gt;"pvp",Inputs!$B$43&gt;0),((Skills!G3*((R1994-1)*IF(Skills!H3&gt;0,INT(Skills!I3/Skills!H3+0.000000001),1)+IF(Skills!H3&gt;0,INT(MIN(Skills!I3,MAX(0,MAX(0,Inputs!$B$43-B2033)-((R1994-1)*(IF(Inputs!$B$38="pvp",15,MAX(0.1,1/B2028-IF(FALSE=TRUE,Inputs!$B$32,0)))*(1-IF(AND(ArtifactsInput!$M$27,Inputs!$B$4="Chapter Hunt"),CHOOSE(ArtifactsInput!$N$27+1,20,24,28,32,36,40),0)/100)))))/Skills!H3+0.000000001),1)))/Inputs!$B$43),G1994*Q1994)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4">
        <f>INDEX(FactorTable!$B$2:$Y$301, MATCH(ROUND(MIN(300,MAX(1,U1993)),0), FactorTable!$A$2:$A$301,0), 22)</f>
        <v/>
      </c>
      <c r="V1994">
        <f>IF(C1994,(H1994*N1994*IF(AND(Inputs!$B$38&lt;&gt;"pvp",Inputs!$B$43&gt;0),((Skills!G3*((R1994-1)*IF(Skills!H3&gt;0,INT(Skills!I3/Skills!H3+0.000000001),1)+IF(Skills!H3&gt;0,INT(MIN(Skills!I3,MAX(0,MAX(0,Inputs!$B$43-B2033)-((R1994-1)*(IF(Inputs!$B$38="pvp",15,MAX(0.1,1/B2028-IF(FALSE=TRUE,Inputs!$B$32,0)))*(1-IF(AND(ArtifactsInput!$M$27,Inputs!$B$4="Chapter Hunt"),CHOOSE(ArtifactsInput!$N$27+1,20,24,28,32,36,40),0)/100)))))/Skills!H3+0.000000001),1)))/Inputs!$B$43),G1994*Q1994))*IF(Inputs!$B$38="pvp",1,(1+(Inputs!$B$21+Skills!Q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5">
      <c r="A1995">
        <f>Skills!A4</f>
        <v/>
      </c>
      <c r="B1995">
        <f>Skills!B4</f>
        <v/>
      </c>
      <c r="C1995">
        <f>Inputs!$B$3&gt;=105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t="inlineStr"/>
      <c r="H1995" t="inlineStr"/>
      <c r="I1995" t="inlineStr">
        <is>
          <t>1</t>
        </is>
      </c>
      <c r="J1995" t="inlineStr"/>
      <c r="K1995" t="inlineStr"/>
      <c r="L1995" t="inlineStr"/>
      <c r="M1995" t="inlineStr"/>
      <c r="N1995" t="inlineStr"/>
      <c r="O1995" t="inlineStr"/>
      <c r="P1995" t="inlineStr"/>
      <c r="Q1995" t="inlineStr"/>
      <c r="R1995" t="inlineStr"/>
      <c r="S1995" t="inlineStr"/>
      <c r="T1995" t="inlineStr"/>
      <c r="U1995">
        <f>290*U1994/1000</f>
        <v/>
      </c>
      <c r="V1995" t="inlineStr"/>
    </row>
    <row r="1996">
      <c r="A1996">
        <f>Skills!A5</f>
        <v/>
      </c>
      <c r="B1996">
        <f>Skills!B5</f>
        <v/>
      </c>
      <c r="C1996">
        <f>Inputs!$B$3&gt;=35</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Skills!G5*IF(Skills!H5&gt;0,INT(IF(Inputs!$B$38="pvp",MIN(Skills!I5,15),Skills!I5)/Skills!H5+0.000000001),1)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5="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2017=TRUE)*(F2017-Calc!F26)),(Inputs!$B$23+((C2022=TRUE)*(F2022-Calc!F31))+(IF(ArtifactsInput!$M$15,CHOOSE(ArtifactsInput!$N$15+1,25,30,35,40,45,50)/100*(Inputs!$B$11-Inputs!$B$11),0))))/100+(Inputs!$B$23+((C2022=TRUE)*(F2022-Calc!F31))+(IF(ArtifactsInput!$M$15,CHOOSE(ArtifactsInput!$N$15+1,25,30,35,40,45,50)/100*(Inputs!$B$11-Inputs!$B$11),0)))/100)/2</f>
        <v/>
      </c>
      <c r="M1996">
        <f>L1996*(1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IF(B2036=0,0,O1996/B2036)</f>
        <v/>
      </c>
      <c r="Q1996">
        <f>IFERROR(1/(IF(Inputs!$B$38="pvp",15,MAX(0.1,Skills!D5-IF(TRUE=TRUE,Inputs!$B$32,0)))*(1-IF(AND(ArtifactsInput!$M$27,Inputs!$B$4="Chapter Hunt"),CHOOSE(ArtifactsInput!$N$27+1,20,24,28,32,36,40),0)/100)),0)</f>
        <v/>
      </c>
      <c r="R1996">
        <f>IF(AND(Inputs!$B$38&lt;&gt;"pvp",Inputs!$B$43&gt;0),IF(MAX(0,Inputs!$B$43-B2033)&lt;=0,0,(INT(MAX(0,Inputs!$B$43-B2033)/(IF(Inputs!$B$38="pvp",15,MAX(0.1,Skills!D5-IF(TRUE=TRUE,Inputs!$B$32,0)))*(1-IF(AND(ArtifactsInput!$M$27,Inputs!$B$4="Chapter Hunt"),CHOOSE(ArtifactsInput!$N$27+1,20,24,28,32,36,40),0)/100)))+1)),0)</f>
        <v/>
      </c>
      <c r="S1996">
        <f>IFERROR(O1996/N1996,0)</f>
        <v/>
      </c>
      <c r="T1996">
        <f>IF(C1996,(H1996*N1996*IF(AND(Inputs!$B$38&lt;&gt;"pvp",Inputs!$B$43&gt;0),((Skills!G5*((R1996-1)*IF(Skills!H5&gt;0,INT(Skills!I5/Skills!H5+0.000000001),1)+IF(Skills!H5&gt;0,INT(MIN(Skills!I5,MAX(0,MAX(0,Inputs!$B$43-B2033)-((R1996-1)*(IF(Inputs!$B$38="pvp",15,MAX(0.1,Skills!D5-IF(TRUE=TRUE,Inputs!$B$32,0)))*(1-IF(AND(ArtifactsInput!$M$27,Inputs!$B$4="Chapter Hunt"),CHOOSE(ArtifactsInput!$N$27+1,20,24,28,32,36,40),0)/100)))))/Skills!H5+0.000000001),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INT(Skills!I5/Skills!H5+0.000000001),1)+IF(Skills!H5&gt;0,INT(MIN(Skills!I5,MAX(0,MAX(0,Inputs!$B$43-B2033)-((R1996-1)*(IF(Inputs!$B$38="pvp",15,MAX(0.1,Skills!D5-IF(TRUE=TRUE,Inputs!$B$32,0)))*(1-IF(AND(ArtifactsInput!$M$27,Inputs!$B$4="Chapter Hunt"),CHOOSE(ArtifactsInput!$N$27+1,20,24,28,32,36,40),0)/100)))))/Skills!H5+0.000000001),1)))/Inputs!$B$43),G1996*Q1996))*IF(Inputs!$B$38="pvp",1,(1+(Inputs!$B$21+Skills!Q5+(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Inputs!$B$3&gt;=40</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Skills!G6*IF(Skills!H6&gt;0,INT(IF(Inputs!$B$38="pvp",MIN(Skills!I6,15),Skills!I6)/Skills!H6+0.000000001),1)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1998=TRUE,F1998,0)/100)*(1+(IF(Skills!A6="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2017=TRUE)*(F2017-Calc!F26)),(Inputs!$B$23+((C2022=TRUE)*(F2022-Calc!F31))+(IF(ArtifactsInput!$M$15,CHOOSE(ArtifactsInput!$N$15+1,25,30,35,40,45,50)/100*(Inputs!$B$11-Inputs!$B$11),0))))/100+(Inputs!$B$23+((C2022=TRUE)*(F2022-Calc!F31))+(IF(ArtifactsInput!$M$15,CHOOSE(ArtifactsInput!$N$15+1,25,30,35,40,45,50)/100*(Inputs!$B$11-Inputs!$B$11),0)))/100)/2</f>
        <v/>
      </c>
      <c r="M1997">
        <f>L1997*(1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IF(B2036=0,0,O1997/B2036)</f>
        <v/>
      </c>
      <c r="Q1997">
        <f>IFERROR(1/(IF(Inputs!$B$38="pvp",15,MAX(0.1,1-0.4*MIN(1,(B2028-1)/1.5)-IF(FALSE=TRUE,Inputs!$B$32,0)))*(1-IF(AND(ArtifactsInput!$M$27,Inputs!$B$4="Chapter Hunt"),CHOOSE(ArtifactsInput!$N$27+1,20,24,28,32,36,40),0)/100)),0)</f>
        <v/>
      </c>
      <c r="R1997">
        <f>IF(AND(Inputs!$B$38&lt;&gt;"pvp",Inputs!$B$43&gt;0),IF(MAX(0,Inputs!$B$43-B2033)&lt;=0,0,(INT(MAX(0,Inputs!$B$43-B2033)/(IF(Inputs!$B$38="pvp",15,MAX(0.1,1-0.4*MIN(1,(B2028-1)/1.5)-IF(FALSE=TRUE,Inputs!$B$32,0)))*(1-IF(AND(ArtifactsInput!$M$27,Inputs!$B$4="Chapter Hunt"),CHOOSE(ArtifactsInput!$N$27+1,20,24,28,32,36,40),0)/100)))+1)),0)</f>
        <v/>
      </c>
      <c r="S1997">
        <f>IFERROR(O1997/N1997,0)</f>
        <v/>
      </c>
      <c r="T1997">
        <f>IF(C1997,(H1997*N1997*IF(AND(Inputs!$B$38&lt;&gt;"pvp",Inputs!$B$43&gt;0),((Skills!G6*((R1997-1)*IF(Skills!H6&gt;0,INT(Skills!I6/Skills!H6+0.000000001),1)+IF(Skills!H6&gt;0,INT(MIN(Skills!I6,MAX(0,MAX(0,Inputs!$B$43-B2033)-((R1997-1)*(IF(Inputs!$B$38="pvp",15,MAX(0.1,1-0.4*MIN(1,(B2028-1)/1.5)-IF(FALSE=TRUE,Inputs!$B$32,0)))*(1-IF(AND(ArtifactsInput!$M$27,Inputs!$B$4="Chapter Hunt"),CHOOSE(ArtifactsInput!$N$27+1,20,24,28,32,36,40),0)/100)))))/Skills!H6+0.000000001),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INT(Skills!I6/Skills!H6+0.000000001),1)+IF(Skills!H6&gt;0,INT(MIN(Skills!I6,MAX(0,MAX(0,Inputs!$B$43-B2033)-((R1997-1)*(IF(Inputs!$B$38="pvp",15,MAX(0.1,1-0.4*MIN(1,(B2028-1)/1.5)-IF(FALSE=TRUE,Inputs!$B$32,0)))*(1-IF(AND(ArtifactsInput!$M$27,Inputs!$B$4="Chapter Hunt"),CHOOSE(ArtifactsInput!$N$27+1,20,24,28,32,36,40),0)/100)))))/Skills!H6+0.000000001),1)))/Inputs!$B$43),G1997*Q1997))*IF(Inputs!$B$38="pvp",1,(1+(Inputs!$B$21+Skills!Q6+(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t="inlineStr"/>
      <c r="H1998" t="inlineStr"/>
      <c r="I1998" t="inlineStr">
        <is>
          <t>1</t>
        </is>
      </c>
      <c r="J1998" t="inlineStr"/>
      <c r="K1998" t="inlineStr"/>
      <c r="L1998" t="inlineStr"/>
      <c r="M1998" t="inlineStr"/>
      <c r="N1998" t="inlineStr"/>
      <c r="O1998" t="inlineStr"/>
      <c r="P1998" t="inlineStr"/>
      <c r="Q1998" t="inlineStr"/>
      <c r="R1998" t="inlineStr"/>
      <c r="S1998" t="inlineStr"/>
      <c r="T1998" t="inlineStr"/>
      <c r="V1998" t="inlineStr"/>
    </row>
    <row r="1999">
      <c r="A1999">
        <f>Skills!A8</f>
        <v/>
      </c>
      <c r="B1999">
        <f>Skills!B8</f>
        <v/>
      </c>
      <c r="C1999">
        <f>Inputs!$B$3&gt;=130</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Skills!G8*IF(Skills!H8&gt;0,INT(IF(Inputs!$B$38="pvp",MIN(Skills!I8,15),Skills!I8)/Skills!H8+0.000000001),1)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2017=TRUE)*(F2017-Calc!F26)),(Inputs!$B$23+((C2022=TRUE)*(F2022-Calc!F31))+(IF(ArtifactsInput!$M$15,CHOOSE(ArtifactsInput!$N$15+1,25,30,35,40,45,50)/100*(Inputs!$B$11-Inputs!$B$11),0))))/100+(Inputs!$B$23+((C2022=TRUE)*(F2022-Calc!F31))+(IF(ArtifactsInput!$M$15,CHOOSE(ArtifactsInput!$N$15+1,25,30,35,40,45,50)/100*(Inputs!$B$11-Inputs!$B$11),0)))/100)/2</f>
        <v/>
      </c>
      <c r="M1999">
        <f>L1999*(1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IF(B2036=0,0,O1999/B2036)</f>
        <v/>
      </c>
      <c r="Q1999">
        <f>IFERROR(1/(IF(Inputs!$B$38="pvp",15,MAX(0.1,1-0.4*MIN(1,(B2028-1)/1.5)-IF(FALSE=TRUE,Inputs!$B$32,0)))*(1-IF(AND(ArtifactsInput!$M$27,Inputs!$B$4="Chapter Hunt"),CHOOSE(ArtifactsInput!$N$27+1,20,24,28,32,36,40),0)/100)),0)</f>
        <v/>
      </c>
      <c r="R1999">
        <f>IF(AND(Inputs!$B$38&lt;&gt;"pvp",Inputs!$B$43&gt;0),IF(MAX(0,Inputs!$B$43-B2033)&lt;=0,0,(INT(MAX(0,Inputs!$B$43-B2033)/(IF(Inputs!$B$38="pvp",15,MAX(0.1,1-0.4*MIN(1,(B2028-1)/1.5)-IF(FALSE=TRUE,Inputs!$B$32,0)))*(1-IF(AND(ArtifactsInput!$M$27,Inputs!$B$4="Chapter Hunt"),CHOOSE(ArtifactsInput!$N$27+1,20,24,28,32,36,40),0)/100)))+1)),0)</f>
        <v/>
      </c>
      <c r="S1999">
        <f>IFERROR(O1999/N1999,0)</f>
        <v/>
      </c>
      <c r="T1999">
        <f>IF(C1999,(H1999*N1999*IF(AND(Inputs!$B$38&lt;&gt;"pvp",Inputs!$B$43&gt;0),((Skills!G8*((R1999-1)*IF(Skills!H8&gt;0,INT(Skills!I8/Skills!H8+0.000000001),1)+IF(Skills!H8&gt;0,INT(MIN(Skills!I8,MAX(0,MAX(0,Inputs!$B$43-B2033)-((R1999-1)*(IF(Inputs!$B$38="pvp",15,MAX(0.1,1-0.4*MIN(1,(B2028-1)/1.5)-IF(FALSE=TRUE,Inputs!$B$32,0)))*(1-IF(AND(ArtifactsInput!$M$27,Inputs!$B$4="Chapter Hunt"),CHOOSE(ArtifactsInput!$N$27+1,20,24,28,32,36,40),0)/100)))))/Skills!H8+0.000000001),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INT(Skills!I8/Skills!H8+0.000000001),1)+IF(Skills!H8&gt;0,INT(MIN(Skills!I8,MAX(0,MAX(0,Inputs!$B$43-B2033)-((R1999-1)*(IF(Inputs!$B$38="pvp",15,MAX(0.1,1-0.4*MIN(1,(B2028-1)/1.5)-IF(FALSE=TRUE,Inputs!$B$32,0)))*(1-IF(AND(ArtifactsInput!$M$27,Inputs!$B$4="Chapter Hunt"),CHOOSE(ArtifactsInput!$N$27+1,20,24,28,32,36,40),0)/100)))))/Skills!H8+0.000000001),1)))/Inputs!$B$43),G1999*Q1999))*IF(Inputs!$B$38="pvp",1,(1+(Inputs!$B$21+Skills!Q8+(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Inputs!$B$3&gt;=69</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Skills!G9*IF(Skills!H9&gt;0,INT(IF(Inputs!$B$38="pvp",MIN(Skills!I9,15),Skills!I9)/Skills!H9+0.000000001),1)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2003=TRUE,F2003,0)/100)*(1+(IF(Skills!A9="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2017=TRUE)*(F2017-Calc!F26)),(Inputs!$B$23+((C2022=TRUE)*(F2022-Calc!F31))+(IF(ArtifactsInput!$M$15,CHOOSE(ArtifactsInput!$N$15+1,25,30,35,40,45,50)/100*(Inputs!$B$11-Inputs!$B$11),0))))/100+(Inputs!$B$23+((C2022=TRUE)*(F2022-Calc!F31))+(IF(ArtifactsInput!$M$15,CHOOSE(ArtifactsInput!$N$15+1,25,30,35,40,45,50)/100*(Inputs!$B$11-Inputs!$B$11),0)))/100)/2</f>
        <v/>
      </c>
      <c r="M2000">
        <f>L2000*(1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IF(B2036=0,0,O2000/B2036)</f>
        <v/>
      </c>
      <c r="Q2000">
        <f>IFERROR(1/(IF(Inputs!$B$38="pvp",15,MAX(0.1,Skills!D9-IF(TRUE=TRUE,Inputs!$B$32,0)))*(1-IF(AND(ArtifactsInput!$M$27,Inputs!$B$4="Chapter Hunt"),CHOOSE(ArtifactsInput!$N$27+1,20,24,28,32,36,40),0)/100)),0)</f>
        <v/>
      </c>
      <c r="R2000">
        <f>IF(AND(Inputs!$B$38&lt;&gt;"pvp",Inputs!$B$43&gt;0),IF(MAX(0,Inputs!$B$43-B2033)&lt;=0,0,(INT(MAX(0,Inputs!$B$43-B2033)/(IF(Inputs!$B$38="pvp",15,MAX(0.1,Skills!D9-IF(TRUE=TRUE,Inputs!$B$32,0)))*(1-IF(AND(ArtifactsInput!$M$27,Inputs!$B$4="Chapter Hunt"),CHOOSE(ArtifactsInput!$N$27+1,20,24,28,32,36,40),0)/100)))+1)),0)</f>
        <v/>
      </c>
      <c r="S2000">
        <f>IFERROR(O2000/N2000,0)</f>
        <v/>
      </c>
      <c r="T2000">
        <f>IF(C2000,(H2000*N2000*IF(AND(Inputs!$B$38&lt;&gt;"pvp",Inputs!$B$43&gt;0),((Skills!G9*((R2000-1)*IF(Skills!H9&gt;0,INT(Skills!I9/Skills!H9+0.000000001),1)+IF(Skills!H9&gt;0,INT(MIN(Skills!I9,MAX(0,MAX(0,Inputs!$B$43-B2033)-((R2000-1)*(IF(Inputs!$B$38="pvp",15,MAX(0.1,Skills!D9-IF(TRUE=TRUE,Inputs!$B$32,0)))*(1-IF(AND(ArtifactsInput!$M$27,Inputs!$B$4="Chapter Hunt"),CHOOSE(ArtifactsInput!$N$27+1,20,24,28,32,36,40),0)/100)))))/Skills!H9+0.000000001),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INT(Skills!I9/Skills!H9+0.000000001),1)+IF(Skills!H9&gt;0,INT(MIN(Skills!I9,MAX(0,MAX(0,Inputs!$B$43-B2033)-((R2000-1)*(IF(Inputs!$B$38="pvp",15,MAX(0.1,Skills!D9-IF(TRUE=TRUE,Inputs!$B$32,0)))*(1-IF(AND(ArtifactsInput!$M$27,Inputs!$B$4="Chapter Hunt"),CHOOSE(ArtifactsInput!$N$27+1,20,24,28,32,36,40),0)/100)))))/Skills!H9+0.000000001),1)))/Inputs!$B$43),G2000*Q2000))*IF(Inputs!$B$38="pvp",1,(1+(Inputs!$B$21+Skills!Q9+(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Inputs!$B$3&gt;=63</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Skills!G10*IF(Skills!H10&gt;0,INT(IF(Inputs!$B$38="pvp",MIN(Skills!I10,15),Skills!I10)/Skills!H10+0.000000001),1)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10="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2017=TRUE)*(F2017-Calc!F26)),(Inputs!$B$23+((C2022=TRUE)*(F2022-Calc!F31))+(IF(ArtifactsInput!$M$15,CHOOSE(ArtifactsInput!$N$15+1,25,30,35,40,45,50)/100*(Inputs!$B$11-Inputs!$B$11),0))))/100+(Inputs!$B$23+((C2022=TRUE)*(F2022-Calc!F31))+(IF(ArtifactsInput!$M$15,CHOOSE(ArtifactsInput!$N$15+1,25,30,35,40,45,50)/100*(Inputs!$B$11-Inputs!$B$11),0)))/100)/2</f>
        <v/>
      </c>
      <c r="M2001">
        <f>L2001*(1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IF(B2036=0,0,O2001/B2036)</f>
        <v/>
      </c>
      <c r="Q2001">
        <f>IFERROR(1/(IF(Inputs!$B$38="pvp",15,MAX(0.1,Skills!D10-IF(TRUE=TRUE,Inputs!$B$32,0)))*(1-IF(AND(ArtifactsInput!$M$27,Inputs!$B$4="Chapter Hunt"),CHOOSE(ArtifactsInput!$N$27+1,20,24,28,32,36,40),0)/100)),0)</f>
        <v/>
      </c>
      <c r="R2001">
        <f>IF(AND(Inputs!$B$38&lt;&gt;"pvp",Inputs!$B$43&gt;0),IF(MAX(0,Inputs!$B$43-B2033)&lt;=0,0,(INT(MAX(0,Inputs!$B$43-B2033)/(IF(Inputs!$B$38="pvp",15,MAX(0.1,Skills!D10-IF(TRUE=TRUE,Inputs!$B$32,0)))*(1-IF(AND(ArtifactsInput!$M$27,Inputs!$B$4="Chapter Hunt"),CHOOSE(ArtifactsInput!$N$27+1,20,24,28,32,36,40),0)/100)))+1)),0)</f>
        <v/>
      </c>
      <c r="S2001">
        <f>IFERROR(O2001/N2001,0)</f>
        <v/>
      </c>
      <c r="T2001">
        <f>IF(C2001,(H2001*N2001*IF(AND(Inputs!$B$38&lt;&gt;"pvp",Inputs!$B$43&gt;0),((Skills!G10*((R2001-1)*IF(Skills!H10&gt;0,INT(Skills!I10/Skills!H10+0.000000001),1)+IF(Skills!H10&gt;0,INT(MIN(Skills!I10,MAX(0,MAX(0,Inputs!$B$43-B2033)-((R2001-1)*(IF(Inputs!$B$38="pvp",15,MAX(0.1,Skills!D10-IF(TRUE=TRUE,Inputs!$B$32,0)))*(1-IF(AND(ArtifactsInput!$M$27,Inputs!$B$4="Chapter Hunt"),CHOOSE(ArtifactsInput!$N$27+1,20,24,28,32,36,40),0)/100)))))/Skills!H10+0.000000001),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INT(Skills!I10/Skills!H10+0.000000001),1)+IF(Skills!H10&gt;0,INT(MIN(Skills!I10,MAX(0,MAX(0,Inputs!$B$43-B2033)-((R2001-1)*(IF(Inputs!$B$38="pvp",15,MAX(0.1,Skills!D10-IF(TRUE=TRUE,Inputs!$B$32,0)))*(1-IF(AND(ArtifactsInput!$M$27,Inputs!$B$4="Chapter Hunt"),CHOOSE(ArtifactsInput!$N$27+1,20,24,28,32,36,40),0)/100)))))/Skills!H10+0.000000001),1)))/Inputs!$B$43),G2001*Q2001))*IF(Inputs!$B$38="pvp",1,(1+(Inputs!$B$21+Skills!Q10+(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Inputs!$B$3&gt;=103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Skills!G11*IF(Skills!H11&gt;0,INT(IF(Inputs!$B$38="pvp",MIN(Skills!I11,15),Skills!I11)/Skills!H11+0.000000001),1)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2017=TRUE)*(F2017-Calc!F26)),(Inputs!$B$23+((C2022=TRUE)*(F2022-Calc!F31))+(IF(ArtifactsInput!$M$15,CHOOSE(ArtifactsInput!$N$15+1,25,30,35,40,45,50)/100*(Inputs!$B$11-Inputs!$B$11),0))))/100+(Inputs!$B$23+((C2022=TRUE)*(F2022-Calc!F31))+(IF(ArtifactsInput!$M$15,CHOOSE(ArtifactsInput!$N$15+1,25,30,35,40,45,50)/100*(Inputs!$B$11-Inputs!$B$11),0)))/100)/2</f>
        <v/>
      </c>
      <c r="M2002">
        <f>L2002*(1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IF(B2036=0,0,O2002/B2036)</f>
        <v/>
      </c>
      <c r="Q2002">
        <f>IFERROR(1/(IF(Inputs!$B$38="pvp",15,MAX(0.1,Skills!D11-IF(TRUE=TRUE,Inputs!$B$32,0)))*(1-IF(AND(ArtifactsInput!$M$27,Inputs!$B$4="Chapter Hunt"),CHOOSE(ArtifactsInput!$N$27+1,20,24,28,32,36,40),0)/100)),0)</f>
        <v/>
      </c>
      <c r="R2002">
        <f>IF(AND(Inputs!$B$38&lt;&gt;"pvp",Inputs!$B$43&gt;0),IF(MAX(0,Inputs!$B$43-B2033)&lt;=0,0,(INT(MAX(0,Inputs!$B$43-B2033)/(IF(Inputs!$B$38="pvp",15,MAX(0.1,Skills!D11-IF(TRUE=TRUE,Inputs!$B$32,0)))*(1-IF(AND(ArtifactsInput!$M$27,Inputs!$B$4="Chapter Hunt"),CHOOSE(ArtifactsInput!$N$27+1,20,24,28,32,36,40),0)/100)))+1)),0)</f>
        <v/>
      </c>
      <c r="S2002">
        <f>IFERROR(O2002/N2002,0)</f>
        <v/>
      </c>
      <c r="T2002">
        <f>IF(C2002,(H2002*N2002*IF(AND(Inputs!$B$38&lt;&gt;"pvp",Inputs!$B$43&gt;0),((Skills!G11*((R2002-1)*IF(Skills!H11&gt;0,INT(Skills!I11/Skills!H11+0.000000001),1)+IF(Skills!H11&gt;0,INT(MIN(Skills!I11,MAX(0,MAX(0,Inputs!$B$43-B2033)-((R2002-1)*(IF(Inputs!$B$38="pvp",15,MAX(0.1,Skills!D11-IF(TRUE=TRUE,Inputs!$B$32,0)))*(1-IF(AND(ArtifactsInput!$M$27,Inputs!$B$4="Chapter Hunt"),CHOOSE(ArtifactsInput!$N$27+1,20,24,28,32,36,40),0)/100)))))/Skills!H11+0.000000001)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INT(Skills!I11/Skills!H11+0.000000001),1)+IF(Skills!H11&gt;0,INT(MIN(Skills!I11,MAX(0,MAX(0,Inputs!$B$43-B2033)-((R2002-1)*(IF(Inputs!$B$38="pvp",15,MAX(0.1,Skills!D11-IF(TRUE=TRUE,Inputs!$B$32,0)))*(1-IF(AND(ArtifactsInput!$M$27,Inputs!$B$4="Chapter Hunt"),CHOOSE(ArtifactsInput!$N$27+1,20,24,28,32,36,40),0)/100)))))/Skills!H11+0.000000001),1)))/Inputs!$B$43),G2002*Q2002))*IF(Inputs!$B$38="pvp",1,(1+(Inputs!$B$21+Skills!Q11+(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c r="T2003" t="inlineStr"/>
      <c r="V2003" t="inlineStr"/>
    </row>
    <row r="2004">
      <c r="A2004">
        <f>Skills!A13</f>
        <v/>
      </c>
      <c r="B2004">
        <f>Skills!B13</f>
        <v/>
      </c>
      <c r="C2004">
        <f>Inputs!$B$3&gt;=60</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Skills!G13*IF(Skills!H13&gt;0,INT(IF(Inputs!$B$38="pvp",MIN(Skills!I13,15),Skills!I13)/Skills!H13+0.000000001),1)</f>
        <v/>
      </c>
      <c r="H2004">
        <f>1-(1-Skills!J13/100)^Skills!K13</f>
        <v/>
      </c>
      <c r="I2004" t="inlineStr">
        <is>
          <t>1</t>
        </is>
      </c>
      <c r="J2004">
        <f>((Inputs!$B$6*(1+Inputs!$B$7/100))+(((Inputs!$B$12*(1+Inputs!$B$13/100))-(Inputs!$B$12*(1+Inputs!$B$13/100)))+0.25*(Inputs!$B$14-Inputs!$B$14))*(1+Inputs!$B$7/100))*(F2004/100)</f>
        <v/>
      </c>
      <c r="K2004">
        <f>J2004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13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2017=TRUE)*(F2017-Calc!F26)),(Inputs!$B$23+((C2022=TRUE)*(F2022-Calc!F31))+(IF(ArtifactsInput!$M$15,CHOOSE(ArtifactsInput!$N$15+1,25,30,35,40,45,50)/100*(Inputs!$B$11-Inputs!$B$11),0))))/100+(Inputs!$B$23+((C2022=TRUE)*(F2022-Calc!F31))+(IF(ArtifactsInput!$M$15,CHOOSE(ArtifactsInput!$N$15+1,25,30,35,40,45,50)/100*(Inputs!$B$11-Inputs!$B$11),0)))/100)/2</f>
        <v/>
      </c>
      <c r="M2004">
        <f>L2004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IF(B2036=0,0,O2004/B2036)</f>
        <v/>
      </c>
      <c r="Q2004">
        <f>IFERROR(1/(IF(Inputs!$B$38="pvp",15,MAX(0.1,IF(Inputs!$B$3&gt;=122,3,5)+1/(((20+30*(B2028-1)*100/150)/100)*B2028)-IF(FALSE=TRUE,Inputs!$B$32,0)))*(1-IF(AND(ArtifactsInput!$M$27,Inputs!$B$4="Chapter Hunt"),CHOOSE(ArtifactsInput!$N$27+1,20,24,28,32,36,40),0)/100)),0)</f>
        <v/>
      </c>
      <c r="R2004">
        <f>IF(AND(Inputs!$B$38&lt;&gt;"pvp",Inputs!$B$43&gt;0),IF(MAX(0,Inputs!$B$43-B2033)&lt;=0,0,(INT(MAX(0,Inputs!$B$43-B2033)/(IF(Inputs!$B$38="pvp",15,MAX(0.1,IF(Inputs!$B$3&gt;=122,3,5)+1/(((20+30*(B2028-1)*100/150)/100)*B2028)-IF(FALSE=TRUE,Inputs!$B$32,0)))*(1-IF(AND(ArtifactsInput!$M$27,Inputs!$B$4="Chapter Hunt"),CHOOSE(ArtifactsInput!$N$27+1,20,24,28,32,36,40),0)/100)))+1)),0)</f>
        <v/>
      </c>
      <c r="S2004">
        <f>IFERROR(O2004/N2004,0)</f>
        <v/>
      </c>
      <c r="T2004">
        <f>IF(C2004,(H2004*N2004*IF(AND(Inputs!$B$38&lt;&gt;"pvp",Inputs!$B$43&gt;0),((Skills!G13*((R2004-1)*IF(Skills!H13&gt;0,INT(Skills!I13/Skills!H13+0.000000001),1)+IF(Skills!H13&gt;0,INT(MIN(Skills!I13,MAX(0,MAX(0,Inputs!$B$43-B2033)-((R2004-1)*(IF(Inputs!$B$38="pvp",15,MAX(0.1,IF(Inputs!$B$3&gt;=122,3,5)+1/(((20+30*(B2028-1)*100/150)/100)*B2028)-IF(FALSE=TRUE,Inputs!$B$32,0)))*(1-IF(AND(ArtifactsInput!$M$27,Inputs!$B$4="Chapter Hunt"),CHOOSE(ArtifactsInput!$N$27+1,20,24,28,32,36,40),0)/100)))))/Skills!H13+0.000000001),1)))/Inputs!$B$43),G2004*Q2004)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13*((R2004-1)*IF(Skills!H13&gt;0,INT(Skills!I13/Skills!H13+0.000000001),1)+IF(Skills!H13&gt;0,INT(MIN(Skills!I13,MAX(0,MAX(0,Inputs!$B$43-B2033)-((R2004-1)*(IF(Inputs!$B$38="pvp",15,MAX(0.1,IF(Inputs!$B$3&gt;=122,3,5)+1/(((20+30*(B2028-1)*100/150)/100)*B2028)-IF(FALSE=TRUE,Inputs!$B$32,0)))*(1-IF(AND(ArtifactsInput!$M$27,Inputs!$B$4="Chapter Hunt"),CHOOSE(ArtifactsInput!$N$27+1,20,24,28,32,36,40),0)/100)))))/Skills!H13+0.000000001),1)))/Inputs!$B$43),G2004*Q2004))*IF(Inputs!$B$38="pvp",1,(1+(Inputs!$B$21+Skills!Q13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Skills!A15</f>
        <v/>
      </c>
      <c r="B2006">
        <f>Skills!B15</f>
        <v/>
      </c>
      <c r="C2006">
        <f>Inputs!$B$3&gt;=74</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Skills!G15*IF(Skills!H15&gt;0,INT(IF(Inputs!$B$38="pvp",MIN(Skills!I15,15),Skills!I15)/Skills!H15+0.000000001),1)</f>
        <v/>
      </c>
      <c r="H2006">
        <f>1-(1-Skills!J15/100)^Skills!K15</f>
        <v/>
      </c>
      <c r="I2006" t="inlineStr">
        <is>
          <t>1</t>
        </is>
      </c>
      <c r="J2006" t="inlineStr"/>
      <c r="K2006" t="inlineStr"/>
      <c r="L2006" t="inlineStr"/>
      <c r="M2006" t="inlineStr"/>
      <c r="N2006" t="inlineStr"/>
      <c r="O2006">
        <f>(1-Summary!$B$11)*T2006+Summary!$B$11*V2006</f>
        <v/>
      </c>
      <c r="P2006">
        <f>IF(B2036=0,0,O2006/B2036)</f>
        <v/>
      </c>
      <c r="Q2006" t="n">
        <v>0</v>
      </c>
      <c r="R2006" t="n">
        <v>0</v>
      </c>
      <c r="S2006">
        <f>IFERROR(O2006/N2006,0)</f>
        <v/>
      </c>
      <c r="T2006" t="n">
        <v>0</v>
      </c>
      <c r="V2006" t="n">
        <v>0</v>
      </c>
    </row>
    <row r="2007">
      <c r="A2007">
        <f>Skills!A16</f>
        <v/>
      </c>
      <c r="B2007">
        <f>Skills!B16</f>
        <v/>
      </c>
      <c r="C2007">
        <f>Inputs!$B$3&gt;=74</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Skills!G16*IF(Skills!H16&gt;0,INT(IF(Inputs!$B$38="pvp",MIN(Skills!I16,15),Skills!I16)/Skills!H16+0.000000001),1)</f>
        <v/>
      </c>
      <c r="H2007">
        <f>1-(1-Skills!J16/100)^Skills!K16</f>
        <v/>
      </c>
      <c r="I2007" t="inlineStr">
        <is>
          <t>1</t>
        </is>
      </c>
      <c r="J2007" t="inlineStr"/>
      <c r="K2007" t="inlineStr"/>
      <c r="L2007" t="inlineStr"/>
      <c r="M2007" t="inlineStr"/>
      <c r="N2007" t="inlineStr"/>
      <c r="O2007">
        <f>(1-Summary!$B$11)*T2007+Summary!$B$11*V2007</f>
        <v/>
      </c>
      <c r="P2007">
        <f>IF(B2036=0,0,O2007/B2036)</f>
        <v/>
      </c>
      <c r="Q2007" t="n">
        <v>0</v>
      </c>
      <c r="R2007" t="n">
        <v>0</v>
      </c>
      <c r="S2007">
        <f>IFERROR(O2007/N2007,0)</f>
        <v/>
      </c>
      <c r="T2007" t="n">
        <v>0</v>
      </c>
      <c r="V2007" t="n">
        <v>0</v>
      </c>
    </row>
    <row r="2008">
      <c r="A2008">
        <f>Skills!A17</f>
        <v/>
      </c>
      <c r="B2008">
        <f>Skills!B17</f>
        <v/>
      </c>
      <c r="C2008">
        <f>Inputs!$B$3&gt;=117</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Skills!G17*IF(Skills!H17&gt;0,INT(IF(Inputs!$B$38="pvp",MIN(Skills!I17,15),Skills!I17)/Skills!H17+0.000000001),1)</f>
        <v/>
      </c>
      <c r="H2008">
        <f>1-(1-Skills!J17/100)^Skills!K17</f>
        <v/>
      </c>
      <c r="I2008" t="inlineStr">
        <is>
          <t>1</t>
        </is>
      </c>
      <c r="J2008" t="inlineStr"/>
      <c r="K2008" t="inlineStr"/>
      <c r="L2008" t="inlineStr"/>
      <c r="M2008" t="inlineStr"/>
      <c r="N2008" t="inlineStr"/>
      <c r="O2008">
        <f>(1-Summary!$B$11)*T2008+Summary!$B$11*V2008</f>
        <v/>
      </c>
      <c r="P2008">
        <f>IF(B2036=0,0,O2008/B2036)</f>
        <v/>
      </c>
      <c r="Q2008">
        <f>IFERROR(1/(IF(Inputs!$B$38="pvp",15,MAX(0.1,Skills!D17-IF(TRUE=TRUE,Inputs!$B$32,0)))*(1-IF(AND(ArtifactsInput!$M$27,Inputs!$B$4="Chapter Hunt"),CHOOSE(ArtifactsInput!$N$27+1,20,24,28,32,36,40),0)/100)),0)</f>
        <v/>
      </c>
      <c r="R2008">
        <f>IF(AND(Inputs!$B$38&lt;&gt;"pvp",Inputs!$B$43&gt;0),IF(Inputs!$B$43&lt;=0,0,(INT(Inputs!$B$43/(IF(Inputs!$B$38="pvp",15,MAX(0.1,Skills!D17-IF(TRUE=TRUE,Inputs!$B$32,0)))*(1-IF(AND(ArtifactsInput!$M$27,Inputs!$B$4="Chapter Hunt"),CHOOSE(ArtifactsInput!$N$27+1,20,24,28,32,36,40),0)/100)))+1)),0)</f>
        <v/>
      </c>
      <c r="S2008">
        <f>IFERROR(O2008/N2008,0)</f>
        <v/>
      </c>
      <c r="T2008" t="n">
        <v>0</v>
      </c>
      <c r="V2008" t="n">
        <v>0</v>
      </c>
    </row>
    <row r="2009">
      <c r="A2009">
        <f>Skills!A18</f>
        <v/>
      </c>
      <c r="B2009">
        <f>Skills!B18</f>
        <v/>
      </c>
      <c r="C2009">
        <f>Inputs!$B$3&gt;=115</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Skills!G18*IF(Skills!H18&gt;0,INT(IF(Inputs!$B$38="pvp",MIN(Skills!I18,15),Skills!I18)/Skills!H18+0.000000001),1)</f>
        <v/>
      </c>
      <c r="H2009">
        <f>1-(1-Skills!J18/100)^Skills!K18</f>
        <v/>
      </c>
      <c r="I2009" t="inlineStr">
        <is>
          <t>1</t>
        </is>
      </c>
      <c r="J2009" t="inlineStr"/>
      <c r="K2009" t="inlineStr"/>
      <c r="L2009" t="inlineStr"/>
      <c r="M2009" t="inlineStr"/>
      <c r="N2009" t="inlineStr"/>
      <c r="O2009">
        <f>(1-Summary!$B$11)*T2009+Summary!$B$11*V2009</f>
        <v/>
      </c>
      <c r="P2009">
        <f>IF(B2036=0,0,O2009/B2036)</f>
        <v/>
      </c>
      <c r="Q2009">
        <f>IFERROR(1/(IF(Inputs!$B$38="pvp",15,MAX(0.1,Skills!D18-IF(TRUE=TRUE,Inputs!$B$32,0)))*(1-IF(AND(ArtifactsInput!$M$27,Inputs!$B$4="Chapter Hunt"),CHOOSE(ArtifactsInput!$N$27+1,20,24,28,32,36,40),0)/100)),0)</f>
        <v/>
      </c>
      <c r="R2009">
        <f>IF(AND(Inputs!$B$38&lt;&gt;"pvp",Inputs!$B$43&gt;0),IF(Inputs!$B$43&lt;=0,0,(INT(Inputs!$B$43/(IF(Inputs!$B$38="pvp",15,MAX(0.1,Skills!D18-IF(TRUE=TRUE,Inputs!$B$32,0)))*(1-IF(AND(ArtifactsInput!$M$27,Inputs!$B$4="Chapter Hunt"),CHOOSE(ArtifactsInput!$N$27+1,20,24,28,32,36,40),0)/100)))+1)),0)</f>
        <v/>
      </c>
      <c r="S2009">
        <f>IFERROR(O2009/N2009,0)</f>
        <v/>
      </c>
      <c r="T2009" t="n">
        <v>0</v>
      </c>
      <c r="V2009" t="n">
        <v>0</v>
      </c>
    </row>
    <row r="2010">
      <c r="A2010">
        <f>Skills!A19</f>
        <v/>
      </c>
      <c r="B2010">
        <f>Skills!B19</f>
        <v/>
      </c>
      <c r="C2010">
        <f>Inputs!$B$3&gt;=66</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Skills!G19*IF(Skills!H19&gt;0,INT(IF(Inputs!$B$38="pvp",MIN(Skills!I19,15),Skills!I19)/Skills!H19+0.000000001),1)</f>
        <v/>
      </c>
      <c r="H2010">
        <f>1-(1-Skills!J19/100)^Skills!K19</f>
        <v/>
      </c>
      <c r="I2010" t="inlineStr">
        <is>
          <t>1</t>
        </is>
      </c>
      <c r="J2010" t="inlineStr"/>
      <c r="K2010" t="inlineStr"/>
      <c r="L2010" t="inlineStr"/>
      <c r="M2010" t="inlineStr"/>
      <c r="N2010" t="inlineStr"/>
      <c r="O2010">
        <f>(1-Summary!$B$11)*T2010+Summary!$B$11*V2010</f>
        <v/>
      </c>
      <c r="P2010">
        <f>IF(B2036=0,0,O2010/B2036)</f>
        <v/>
      </c>
      <c r="Q2010" t="n">
        <v>0</v>
      </c>
      <c r="R2010" t="n">
        <v>0</v>
      </c>
      <c r="S2010">
        <f>IFERROR(O2010/N2010,0)</f>
        <v/>
      </c>
      <c r="T2010" t="n">
        <v>0</v>
      </c>
      <c r="V2010" t="n">
        <v>0</v>
      </c>
    </row>
    <row r="2011">
      <c r="A2011">
        <f>Skills!A20</f>
        <v/>
      </c>
      <c r="B2011">
        <f>Skills!B20</f>
        <v/>
      </c>
      <c r="C2011">
        <f>Inputs!$B$3&gt;=72</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Skills!G20*IF(Skills!H20&gt;0,INT(IF(Inputs!$B$38="pvp",MIN(Skills!I20,15),Skills!I20)/Skills!H20+0.000000001),1)</f>
        <v/>
      </c>
      <c r="H2011">
        <f>1-(1-Skills!J20/100)^Skills!K20</f>
        <v/>
      </c>
      <c r="I2011" t="inlineStr">
        <is>
          <t>1</t>
        </is>
      </c>
      <c r="J2011" t="inlineStr"/>
      <c r="K2011" t="inlineStr"/>
      <c r="L2011" t="inlineStr"/>
      <c r="M2011" t="inlineStr"/>
      <c r="N2011" t="inlineStr"/>
      <c r="O2011">
        <f>(1-Summary!$B$11)*T2011+Summary!$B$11*V2011</f>
        <v/>
      </c>
      <c r="P2011">
        <f>IF(B2036=0,0,O2011/B2036)</f>
        <v/>
      </c>
      <c r="Q2011" t="n">
        <v>0</v>
      </c>
      <c r="R2011" t="n">
        <v>0</v>
      </c>
      <c r="S2011">
        <f>IFERROR(O2011/N2011,0)</f>
        <v/>
      </c>
      <c r="T2011" t="n">
        <v>0</v>
      </c>
      <c r="V2011" t="n">
        <v>0</v>
      </c>
    </row>
    <row r="2012">
      <c r="A2012">
        <f>Skills!A21</f>
        <v/>
      </c>
      <c r="B2012">
        <f>Skills!B21</f>
        <v/>
      </c>
      <c r="C2012">
        <f>TRUE</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Skills!G21*IF(Skills!H21&gt;0,INT(IF(Inputs!$B$38="pvp",MIN(Skills!I21,15),Skills!I21)/Skills!H21+0.000000001),1)</f>
        <v/>
      </c>
      <c r="H2012">
        <f>1-(1-Skills!J21/100)^Skills!K21</f>
        <v/>
      </c>
      <c r="I2012" t="inlineStr">
        <is>
          <t>1</t>
        </is>
      </c>
      <c r="J2012" t="inlineStr"/>
      <c r="K2012" t="inlineStr"/>
      <c r="L2012" t="inlineStr"/>
      <c r="M2012" t="inlineStr"/>
      <c r="N2012" t="inlineStr"/>
      <c r="O2012">
        <f>(1-Summary!$B$11)*T2012+Summary!$B$11*V2012</f>
        <v/>
      </c>
      <c r="P2012">
        <f>IF(B2036=0,0,O2012/B2036)</f>
        <v/>
      </c>
      <c r="Q2012">
        <f>IFERROR(1/(IF(Inputs!$B$38="pvp",15,MAX(0.1,Skills!D21-IF(TRUE=TRUE,Inputs!$B$32,0)))*(1-IF(AND(ArtifactsInput!$M$27,Inputs!$B$4="Chapter Hunt"),CHOOSE(ArtifactsInput!$N$27+1,20,24,28,32,36,40),0)/100)),0)</f>
        <v/>
      </c>
      <c r="R2012">
        <f>IF(AND(Inputs!$B$38&lt;&gt;"pvp",Inputs!$B$43&gt;0),IF(Inputs!$B$43&lt;=0,0,(INT(Inputs!$B$43/(IF(Inputs!$B$38="pvp",15,MAX(0.1,Skills!D21-IF(TRUE=TRUE,Inputs!$B$32,0)))*(1-IF(AND(ArtifactsInput!$M$27,Inputs!$B$4="Chapter Hunt"),CHOOSE(ArtifactsInput!$N$27+1,20,24,28,32,36,40),0)/100)))+1)),0)</f>
        <v/>
      </c>
      <c r="S2012">
        <f>IFERROR(O2012/N2012,0)</f>
        <v/>
      </c>
      <c r="T2012" t="n">
        <v>0</v>
      </c>
      <c r="V2012" t="n">
        <v>0</v>
      </c>
    </row>
    <row r="2013">
      <c r="A2013">
        <f>Skills!A22</f>
        <v/>
      </c>
      <c r="B2013">
        <f>Skills!B22</f>
        <v/>
      </c>
      <c r="C2013">
        <f>Inputs!$B$3&gt;=15</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Skills!G22*IF(Skills!H22&gt;0,INT(IF(Inputs!$B$38="pvp",MIN(Skills!I22,15),Skills!I22)/Skills!H22+0.000000001),1)</f>
        <v/>
      </c>
      <c r="H2013">
        <f>1-(1-Skills!J22/100)^Skills!K22</f>
        <v/>
      </c>
      <c r="I2013" t="inlineStr">
        <is>
          <t>1</t>
        </is>
      </c>
      <c r="J2013" t="inlineStr"/>
      <c r="K2013" t="inlineStr"/>
      <c r="L2013" t="inlineStr"/>
      <c r="M2013" t="inlineStr"/>
      <c r="N2013" t="inlineStr"/>
      <c r="O2013">
        <f>(1-Summary!$B$11)*T2013+Summary!$B$11*V2013</f>
        <v/>
      </c>
      <c r="P2013">
        <f>IF(B2036=0,0,O2013/B2036)</f>
        <v/>
      </c>
      <c r="Q2013" t="n">
        <v>0</v>
      </c>
      <c r="R2013" t="n">
        <v>0</v>
      </c>
      <c r="S2013">
        <f>IFERROR(O2013/N2013,0)</f>
        <v/>
      </c>
      <c r="T2013" t="n">
        <v>0</v>
      </c>
      <c r="V2013" t="n">
        <v>0</v>
      </c>
    </row>
    <row r="2014">
      <c r="A2014">
        <f>Skills!A23</f>
        <v/>
      </c>
      <c r="B2014">
        <f>Skills!B23</f>
        <v/>
      </c>
      <c r="C2014">
        <f>Inputs!$B$3&gt;=10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Skills!G23*IF(Skills!H23&gt;0,INT(IF(Inputs!$B$38="pvp",MIN(Skills!I23,15),Skills!I23)/Skills!H23+0.000000001),1)</f>
        <v/>
      </c>
      <c r="H2014">
        <f>1-(1-Skills!J23/100)^Skills!K23</f>
        <v/>
      </c>
      <c r="I2014" t="inlineStr">
        <is>
          <t>1</t>
        </is>
      </c>
      <c r="J2014" t="inlineStr"/>
      <c r="K2014" t="inlineStr"/>
      <c r="L2014" t="inlineStr"/>
      <c r="M2014" t="inlineStr"/>
      <c r="N2014" t="inlineStr"/>
      <c r="O2014">
        <f>(1-Summary!$B$11)*T2014+Summary!$B$11*V2014</f>
        <v/>
      </c>
      <c r="P2014">
        <f>IF(B2036=0,0,O2014/B2036)</f>
        <v/>
      </c>
      <c r="Q2014" t="n">
        <v>0</v>
      </c>
      <c r="R2014" t="n">
        <v>0</v>
      </c>
      <c r="S2014">
        <f>IFERROR(O2014/N2014,0)</f>
        <v/>
      </c>
      <c r="T2014" t="n">
        <v>0</v>
      </c>
      <c r="V2014" t="n">
        <v>0</v>
      </c>
    </row>
    <row r="2015">
      <c r="A2015">
        <f>Skills!A24</f>
        <v/>
      </c>
      <c r="B2015">
        <f>Skills!B24</f>
        <v/>
      </c>
      <c r="C2015">
        <f>Inputs!$B$3&gt;=33</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Skills!G24*IF(Skills!H24&gt;0,INT(IF(Inputs!$B$38="pvp",MIN(Skills!I24,15),Skills!I24)/Skills!H24+0.000000001),1)</f>
        <v/>
      </c>
      <c r="H2015">
        <f>1-(1-Skills!J24/100)^Skills!K24</f>
        <v/>
      </c>
      <c r="I2015" t="inlineStr">
        <is>
          <t>1</t>
        </is>
      </c>
      <c r="J2015" t="inlineStr"/>
      <c r="K2015" t="inlineStr"/>
      <c r="L2015" t="inlineStr"/>
      <c r="M2015" t="inlineStr"/>
      <c r="N2015" t="inlineStr"/>
      <c r="O2015">
        <f>(1-Summary!$B$11)*T2015+Summary!$B$11*V2015</f>
        <v/>
      </c>
      <c r="P2015">
        <f>IF(B2036=0,0,O2015/B2036)</f>
        <v/>
      </c>
      <c r="Q2015" t="n">
        <v>0</v>
      </c>
      <c r="R2015" t="n">
        <v>0</v>
      </c>
      <c r="S2015">
        <f>IFERROR(O2015/N2015,0)</f>
        <v/>
      </c>
      <c r="T2015" t="n">
        <v>0</v>
      </c>
      <c r="V2015" t="n">
        <v>0</v>
      </c>
    </row>
    <row r="2016">
      <c r="A2016">
        <f>Skills!A25</f>
        <v/>
      </c>
      <c r="B2016">
        <f>Skills!B25</f>
        <v/>
      </c>
      <c r="C2016">
        <f>Inputs!$B$3&gt;=38</f>
        <v/>
      </c>
      <c r="D2016">
        <f>IF(Skills!C25=1,60+Inputs!$B$25+Inputs!$B$29,IF(Skills!C25=2,90+Inputs!$B$26+Inputs!$B$29,IF(Skills!C25=3,120+Inputs!$B$27+Inputs!$B$29,MAX(0,(Inputs!$B$3-100)*3)+Inputs!$B$28+Inputs!$B$29)))</f>
        <v/>
      </c>
      <c r="E2016">
        <f>INDEX(FactorTable!$B$2:$Y$301, MATCH(ROUND(MIN(300,MAX(1,D2016)),0), FactorTable!$A$2:$A$301,0), Skills!M25+1)</f>
        <v/>
      </c>
      <c r="F2016">
        <f>IF(Skills!N25=TRUE,(Skills!L25/10)*(E2016/1000),Skills!L25/10)+Skills!O25</f>
        <v/>
      </c>
      <c r="G2016">
        <f>Skills!G25*IF(Skills!H25&gt;0,INT(IF(Inputs!$B$38="pvp",MIN(Skills!I25,15),Skills!I25)/Skills!H25+0.000000001),1)</f>
        <v/>
      </c>
      <c r="H2016">
        <f>1-(1-Skills!J25/100)^Skills!K25</f>
        <v/>
      </c>
      <c r="I2016" t="inlineStr">
        <is>
          <t>1</t>
        </is>
      </c>
      <c r="J2016" t="inlineStr"/>
      <c r="K2016" t="inlineStr"/>
      <c r="L2016" t="inlineStr"/>
      <c r="M2016" t="inlineStr"/>
      <c r="N2016" t="inlineStr"/>
      <c r="O2016">
        <f>(1-Summary!$B$11)*T2016+Summary!$B$11*V2016</f>
        <v/>
      </c>
      <c r="P2016">
        <f>IF(B2036=0,0,O2016/B2036)</f>
        <v/>
      </c>
      <c r="Q2016" t="n">
        <v>0</v>
      </c>
      <c r="R2016" t="n">
        <v>0</v>
      </c>
      <c r="S2016">
        <f>IFERROR(O2016/N2016,0)</f>
        <v/>
      </c>
      <c r="T2016" t="n">
        <v>0</v>
      </c>
      <c r="V2016" t="n">
        <v>0</v>
      </c>
    </row>
    <row r="2017">
      <c r="A2017">
        <f>Skills!A26</f>
        <v/>
      </c>
      <c r="B2017">
        <f>Skills!B26</f>
        <v/>
      </c>
      <c r="C2017">
        <f>Inputs!$B$3&gt;=43</f>
        <v/>
      </c>
      <c r="D2017">
        <f>IF(Skills!C26=1,60+Inputs!$B$25+Inputs!$B$29,IF(Skills!C26=2,90+Inputs!$B$26+Inputs!$B$29,IF(Skills!C26=3,120+Inputs!$B$27+Inputs!$B$29,MAX(0,(Inputs!$B$3-100)*3)+Inputs!$B$28+Inputs!$B$29)))</f>
        <v/>
      </c>
      <c r="E2017">
        <f>INDEX(FactorTable!$B$2:$Y$301, MATCH(ROUND(MIN(300,MAX(1,D2017)),0), FactorTable!$A$2:$A$301,0), Skills!M26+1)</f>
        <v/>
      </c>
      <c r="F2017">
        <f>IF(Skills!N26=TRUE,(Skills!L26/10)*(E2017/1000),Skills!L26/10)+Skills!O26</f>
        <v/>
      </c>
      <c r="G2017">
        <f>Skills!G26*IF(Skills!H26&gt;0,INT(IF(Inputs!$B$38="pvp",MIN(Skills!I26,15),Skills!I26)/Skills!H26+0.000000001),1)</f>
        <v/>
      </c>
      <c r="H2017">
        <f>1-(1-Skills!J26/100)^Skills!K26</f>
        <v/>
      </c>
      <c r="I2017" t="inlineStr">
        <is>
          <t>1</t>
        </is>
      </c>
      <c r="J2017" t="inlineStr"/>
      <c r="K2017" t="inlineStr"/>
      <c r="L2017" t="inlineStr"/>
      <c r="M2017" t="inlineStr"/>
      <c r="N2017" t="inlineStr"/>
      <c r="O2017">
        <f>(1-Summary!$B$11)*T2017+Summary!$B$11*V2017</f>
        <v/>
      </c>
      <c r="P2017">
        <f>IF(B2036=0,0,O2017/B2036)</f>
        <v/>
      </c>
      <c r="Q2017" t="n">
        <v>0</v>
      </c>
      <c r="R2017" t="n">
        <v>0</v>
      </c>
      <c r="S2017">
        <f>IFERROR(O2017/N2017,0)</f>
        <v/>
      </c>
      <c r="T2017" t="n">
        <v>0</v>
      </c>
      <c r="V2017" t="n">
        <v>0</v>
      </c>
    </row>
    <row r="2018">
      <c r="A2018">
        <f>Skills!A27</f>
        <v/>
      </c>
      <c r="B2018">
        <f>Skills!B27</f>
        <v/>
      </c>
      <c r="C2018">
        <f>Inputs!$B$3&gt;=75</f>
        <v/>
      </c>
      <c r="D2018">
        <f>IF(Skills!C27=1,60+Inputs!$B$25+Inputs!$B$29,IF(Skills!C27=2,90+Inputs!$B$26+Inputs!$B$29,IF(Skills!C27=3,120+Inputs!$B$27+Inputs!$B$29,MAX(0,(Inputs!$B$3-100)*3)+Inputs!$B$28+Inputs!$B$29)))</f>
        <v/>
      </c>
      <c r="E2018">
        <f>INDEX(FactorTable!$B$2:$Y$301, MATCH(ROUND(MIN(300,MAX(1,D2018)),0), FactorTable!$A$2:$A$301,0), Skills!M27+1)</f>
        <v/>
      </c>
      <c r="F2018">
        <f>IF(Skills!N27=TRUE,(Skills!L27/10)*(E2018/1000),Skills!L27/10)+Skills!O27</f>
        <v/>
      </c>
      <c r="G2018">
        <f>Skills!G27*IF(Skills!H27&gt;0,INT(IF(Inputs!$B$38="pvp",MIN(Skills!I27,15),Skills!I27)/Skills!H27+0.000000001),1)</f>
        <v/>
      </c>
      <c r="H2018">
        <f>1-(1-Skills!J27/100)^Skills!K27</f>
        <v/>
      </c>
      <c r="I2018" t="inlineStr">
        <is>
          <t>1</t>
        </is>
      </c>
      <c r="J2018" t="inlineStr"/>
      <c r="K2018" t="inlineStr"/>
      <c r="L2018" t="inlineStr"/>
      <c r="M2018" t="inlineStr"/>
      <c r="N2018" t="inlineStr"/>
      <c r="O2018">
        <f>(1-Summary!$B$11)*T2018+Summary!$B$11*V2018</f>
        <v/>
      </c>
      <c r="P2018">
        <f>IF(B2036=0,0,O2018/B2036)</f>
        <v/>
      </c>
      <c r="Q2018" t="n">
        <v>0</v>
      </c>
      <c r="R2018" t="n">
        <v>0</v>
      </c>
      <c r="S2018">
        <f>IFERROR(O2018/N2018,0)</f>
        <v/>
      </c>
      <c r="T2018" t="n">
        <v>0</v>
      </c>
      <c r="V2018" t="n">
        <v>0</v>
      </c>
    </row>
    <row r="2019">
      <c r="A2019">
        <f>Skills!A28</f>
        <v/>
      </c>
      <c r="B2019">
        <f>Skills!B28</f>
        <v/>
      </c>
      <c r="C2019">
        <f>Inputs!$B$3&gt;=125</f>
        <v/>
      </c>
      <c r="D2019">
        <f>IF(Skills!C28=1,60+Inputs!$B$25+Inputs!$B$29,IF(Skills!C28=2,90+Inputs!$B$26+Inputs!$B$29,IF(Skills!C28=3,120+Inputs!$B$27+Inputs!$B$29,MAX(0,(Inputs!$B$3-100)*3)+Inputs!$B$28+Inputs!$B$29)))</f>
        <v/>
      </c>
      <c r="E2019">
        <f>INDEX(FactorTable!$B$2:$Y$301, MATCH(ROUND(MIN(300,MAX(1,D2019)),0), FactorTable!$A$2:$A$301,0), Skills!M28+1)</f>
        <v/>
      </c>
      <c r="F2019">
        <f>IF(Skills!N28=TRUE,(Skills!L28/10)*(E2019/1000),Skills!L28/10)+Skills!O28</f>
        <v/>
      </c>
      <c r="G2019">
        <f>Skills!G28*IF(Skills!H28&gt;0,INT(IF(Inputs!$B$38="pvp",MIN(Skills!I28,15),Skills!I28)/Skills!H28+0.000000001),1)</f>
        <v/>
      </c>
      <c r="H2019">
        <f>1-(1-Skills!J28/100)^Skills!K28</f>
        <v/>
      </c>
      <c r="I2019" t="inlineStr">
        <is>
          <t>1</t>
        </is>
      </c>
      <c r="J2019" t="inlineStr"/>
      <c r="K2019" t="inlineStr"/>
      <c r="L2019" t="inlineStr"/>
      <c r="M2019" t="inlineStr"/>
      <c r="N2019" t="inlineStr"/>
      <c r="O2019">
        <f>(1-Summary!$B$11)*T2019+Summary!$B$11*V2019</f>
        <v/>
      </c>
      <c r="P2019">
        <f>IF(B2036=0,0,O2019/B2036)</f>
        <v/>
      </c>
      <c r="Q2019" t="n">
        <v>0</v>
      </c>
      <c r="R2019" t="n">
        <v>0</v>
      </c>
      <c r="S2019">
        <f>IFERROR(O2019/N2019,0)</f>
        <v/>
      </c>
      <c r="T2019" t="n">
        <v>0</v>
      </c>
      <c r="V2019" t="n">
        <v>0</v>
      </c>
    </row>
    <row r="2020">
      <c r="A2020">
        <f>Skills!A29</f>
        <v/>
      </c>
      <c r="B2020">
        <f>Skills!B29</f>
        <v/>
      </c>
      <c r="C2020">
        <f>Inputs!$B$3&gt;=125</f>
        <v/>
      </c>
      <c r="D2020">
        <f>IF(Skills!C29=1,60+Inputs!$B$25+Inputs!$B$29,IF(Skills!C29=2,90+Inputs!$B$26+Inputs!$B$29,IF(Skills!C29=3,120+Inputs!$B$27+Inputs!$B$29,MAX(0,(Inputs!$B$3-100)*3)+Inputs!$B$28+Inputs!$B$29)))</f>
        <v/>
      </c>
      <c r="E2020">
        <f>INDEX(FactorTable!$B$2:$Y$301, MATCH(ROUND(MIN(300,MAX(1,D2020)),0), FactorTable!$A$2:$A$301,0), Skills!M29+1)</f>
        <v/>
      </c>
      <c r="F2020">
        <f>IF(Skills!N29=TRUE,(Skills!L29/10)*(E2020/1000),Skills!L29/10)+Skills!O29</f>
        <v/>
      </c>
      <c r="G2020">
        <f>Skills!G29*IF(Skills!H29&gt;0,INT(IF(Inputs!$B$38="pvp",MIN(Skills!I29,15),Skills!I29)/Skills!H29+0.000000001),1)</f>
        <v/>
      </c>
      <c r="H2020">
        <f>1-(1-Skills!J29/100)^Skills!K29</f>
        <v/>
      </c>
      <c r="I2020" t="inlineStr">
        <is>
          <t>1</t>
        </is>
      </c>
      <c r="J2020" t="inlineStr"/>
      <c r="K2020" t="inlineStr"/>
      <c r="L2020" t="inlineStr"/>
      <c r="M2020" t="inlineStr"/>
      <c r="N2020" t="inlineStr"/>
      <c r="O2020">
        <f>(1-Summary!$B$11)*T2020+Summary!$B$11*V2020</f>
        <v/>
      </c>
      <c r="P2020">
        <f>IF(B2036=0,0,O2020/B2036)</f>
        <v/>
      </c>
      <c r="Q2020" t="n">
        <v>0</v>
      </c>
      <c r="R2020" t="n">
        <v>0</v>
      </c>
      <c r="S2020">
        <f>IFERROR(O2020/N2020,0)</f>
        <v/>
      </c>
      <c r="T2020" t="n">
        <v>0</v>
      </c>
      <c r="V2020" t="n">
        <v>0</v>
      </c>
    </row>
    <row r="2021">
      <c r="A2021">
        <f>Skills!A30</f>
        <v/>
      </c>
      <c r="B2021">
        <f>Skills!B30</f>
        <v/>
      </c>
      <c r="C2021">
        <f>Inputs!$B$3&gt;=120</f>
        <v/>
      </c>
      <c r="D2021">
        <f>IF(Skills!C30=1,60+Inputs!$B$25+Inputs!$B$29,IF(Skills!C30=2,90+Inputs!$B$26+Inputs!$B$29,IF(Skills!C30=3,120+Inputs!$B$27+Inputs!$B$29,MAX(0,(Inputs!$B$3-100)*3)+Inputs!$B$28+Inputs!$B$29)))</f>
        <v/>
      </c>
      <c r="E2021">
        <f>INDEX(FactorTable!$B$2:$Y$301, MATCH(ROUND(MIN(300,MAX(1,D2021)),0), FactorTable!$A$2:$A$301,0), Skills!M30+1)</f>
        <v/>
      </c>
      <c r="F2021">
        <f>IF(Skills!N30=TRUE,(Skills!L30/10)*(E2021/1000),Skills!L30/10)+Skills!O30</f>
        <v/>
      </c>
      <c r="G2021">
        <f>Skills!G30*IF(Skills!H30&gt;0,INT(IF(Inputs!$B$38="pvp",MIN(Skills!I30,15),Skills!I30)/Skills!H30+0.000000001),1)</f>
        <v/>
      </c>
      <c r="H2021">
        <f>1-(1-Skills!J30/100)^Skills!K30</f>
        <v/>
      </c>
      <c r="I2021" t="inlineStr">
        <is>
          <t>1</t>
        </is>
      </c>
      <c r="J2021" t="inlineStr"/>
      <c r="K2021" t="inlineStr"/>
      <c r="L2021" t="inlineStr"/>
      <c r="M2021" t="inlineStr"/>
      <c r="N2021" t="inlineStr"/>
      <c r="O2021">
        <f>(1-Summary!$B$11)*T2021+Summary!$B$11*V2021</f>
        <v/>
      </c>
      <c r="P2021">
        <f>IF(B2036=0,0,O2021/B2036)</f>
        <v/>
      </c>
      <c r="Q2021" t="n">
        <v>0</v>
      </c>
      <c r="R2021" t="n">
        <v>0</v>
      </c>
      <c r="S2021">
        <f>IFERROR(O2021/N2021,0)</f>
        <v/>
      </c>
      <c r="T2021" t="n">
        <v>0</v>
      </c>
      <c r="V2021" t="n">
        <v>0</v>
      </c>
    </row>
    <row r="2022">
      <c r="A2022">
        <f>Skills!A31</f>
        <v/>
      </c>
      <c r="B2022">
        <f>Skills!B31</f>
        <v/>
      </c>
      <c r="C2022">
        <f>Inputs!$B$3&gt;=120</f>
        <v/>
      </c>
      <c r="D2022">
        <f>IF(Skills!C31=1,60+Inputs!$B$25+Inputs!$B$29,IF(Skills!C31=2,90+Inputs!$B$26+Inputs!$B$29,IF(Skills!C31=3,120+Inputs!$B$27+Inputs!$B$29,MAX(0,(Inputs!$B$3-100)*3)+Inputs!$B$28+Inputs!$B$29)))</f>
        <v/>
      </c>
      <c r="E2022">
        <f>INDEX(FactorTable!$B$2:$Y$301, MATCH(ROUND(MIN(300,MAX(1,D2022)),0), FactorTable!$A$2:$A$301,0), Skills!M31+1)</f>
        <v/>
      </c>
      <c r="F2022">
        <f>IF(Skills!N31=TRUE,(Skills!L31/10)*(E2022/1000),Skills!L31/10)+Skills!O31</f>
        <v/>
      </c>
      <c r="G2022">
        <f>Skills!G31*IF(Skills!H31&gt;0,INT(IF(Inputs!$B$38="pvp",MIN(Skills!I31,15),Skills!I31)/Skills!H31+0.000000001),1)</f>
        <v/>
      </c>
      <c r="H2022">
        <f>1-(1-Skills!J31/100)^Skills!K31</f>
        <v/>
      </c>
      <c r="I2022" t="inlineStr">
        <is>
          <t>1</t>
        </is>
      </c>
      <c r="J2022" t="inlineStr"/>
      <c r="K2022" t="inlineStr"/>
      <c r="L2022" t="inlineStr"/>
      <c r="M2022" t="inlineStr"/>
      <c r="N2022" t="inlineStr"/>
      <c r="O2022">
        <f>(1-Summary!$B$11)*T2022+Summary!$B$11*V2022</f>
        <v/>
      </c>
      <c r="P2022">
        <f>IF(B2036=0,0,O2022/B2036)</f>
        <v/>
      </c>
      <c r="Q2022" t="n">
        <v>0</v>
      </c>
      <c r="R2022" t="n">
        <v>0</v>
      </c>
      <c r="S2022">
        <f>IFERROR(O2022/N2022,0)</f>
        <v/>
      </c>
      <c r="T2022" t="n">
        <v>0</v>
      </c>
      <c r="V2022" t="n">
        <v>0</v>
      </c>
    </row>
    <row r="2023">
      <c r="A2023">
        <f>Skills!A32</f>
        <v/>
      </c>
      <c r="B2023">
        <f>Skills!B32</f>
        <v/>
      </c>
      <c r="C2023">
        <f>Inputs!$B$3&gt;=45</f>
        <v/>
      </c>
      <c r="D2023">
        <f>IF(Skills!C32=1,60+Inputs!$B$25+Inputs!$B$29,IF(Skills!C32=2,90+Inputs!$B$26+Inputs!$B$29,IF(Skills!C32=3,120+Inputs!$B$27+Inputs!$B$29,MAX(0,(Inputs!$B$3-100)*3)+Inputs!$B$28+Inputs!$B$29)))</f>
        <v/>
      </c>
      <c r="E2023">
        <f>INDEX(FactorTable!$B$2:$Y$301, MATCH(ROUND(MIN(300,MAX(1,D2023)),0), FactorTable!$A$2:$A$301,0), Skills!M32+1)</f>
        <v/>
      </c>
      <c r="F2023">
        <f>IF(Skills!N32=TRUE,(Skills!L32/10)*(E2023/1000),Skills!L32/10)+Skills!O32</f>
        <v/>
      </c>
      <c r="G2023">
        <f>Skills!G32*IF(Skills!H32&gt;0,INT(IF(Inputs!$B$38="pvp",MIN(Skills!I32,15),Skills!I32)/Skills!H32+0.000000001),1)</f>
        <v/>
      </c>
      <c r="H2023">
        <f>1-(1-Skills!J32/100)^Skills!K32</f>
        <v/>
      </c>
      <c r="I2023" t="inlineStr">
        <is>
          <t>1</t>
        </is>
      </c>
      <c r="J2023" t="inlineStr"/>
      <c r="K2023" t="inlineStr"/>
      <c r="L2023" t="inlineStr"/>
      <c r="M2023" t="inlineStr"/>
      <c r="N2023" t="inlineStr"/>
      <c r="O2023">
        <f>(1-Summary!$B$11)*T2023+Summary!$B$11*V2023</f>
        <v/>
      </c>
      <c r="P2023">
        <f>IF(B2036=0,0,O2023/B2036)</f>
        <v/>
      </c>
      <c r="Q2023" t="n">
        <v>0</v>
      </c>
      <c r="R2023" t="n">
        <v>0</v>
      </c>
      <c r="S2023">
        <f>IFERROR(O2023/N2023,0)</f>
        <v/>
      </c>
      <c r="T2023" t="n">
        <v>0</v>
      </c>
      <c r="V2023" t="n">
        <v>0</v>
      </c>
    </row>
    <row r="2025">
      <c r="A2025" t="inlineStr">
        <is>
          <t>Attack% Bucket Multiplier</t>
        </is>
      </c>
      <c r="B2025">
        <f>(1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6">
      <c r="A2026" t="inlineStr">
        <is>
          <t>Global Crit Rate Bonus %</t>
        </is>
      </c>
      <c r="B2026" t="n">
        <v>0</v>
      </c>
    </row>
    <row r="2027">
      <c r="A2027" t="inlineStr">
        <is>
          <t>Attack Speed Buff Bonus %</t>
        </is>
      </c>
      <c r="B2027">
        <f>((C2012=TRUE)*F2012*IF(AND(Inputs!$B$38&lt;&gt;"pvp",Inputs!$B$43&gt;0),(((R2012-1)*MIN((Skills!T21*(1+Inputs!$B$34/100)),(1/Q2012))+MIN((Skills!T21*(1+Inputs!$B$34/100)),MAX(0,Inputs!$B$43-((R2012-1)*(1/Q2012)))))/Inputs!$B$43),IF(Inputs!$B$38="pvp",MIN((Skills!T21*(1+Inputs!$B$34/100)),15)/15,MIN(1,(Skills!T21*(1+Inputs!$B$34/100))/(1/Q2012)))))</f>
        <v/>
      </c>
    </row>
    <row r="2028">
      <c r="A2028" t="inlineStr">
        <is>
          <t>Actions Per Second</t>
        </is>
      </c>
      <c r="B2028">
        <f>1+MIN(150,150*(1-(1-(Inputs!$B$11+((C2014=TRUE)*(F2014-Calc!F23))+((C2015=TRUE)*(F2015-Calc!F24)))/150)*(1-B2027/150)))/100</f>
        <v/>
      </c>
    </row>
    <row r="2029">
      <c r="A2029" t="inlineStr">
        <is>
          <t>Skill + Buff Cast Rate</t>
        </is>
      </c>
      <c r="B2029">
        <f>IF(AND(Inputs!$B$38&lt;&gt;"pvp",Inputs!$B$43&gt;0),SUMPRODUCT((Skills!E2:E32=TRUE)*(C1993:C2023=TRUE)*R1993:R2023*Skills!F2:F32)/Inputs!$B$43,SUMPRODUCT((Skills!E2:E32=TRUE)*(C1993:C2023=TRUE)*Q1993:Q2023*Skills!F2:F32))</f>
        <v/>
      </c>
    </row>
    <row r="2030">
      <c r="A2030" t="inlineStr">
        <is>
          <t>Arrow Stream Casts Per Second</t>
        </is>
      </c>
      <c r="B2030">
        <f>MAX(0,B2028-B2029)</f>
        <v/>
      </c>
    </row>
    <row r="2031">
      <c r="A2031" t="inlineStr">
        <is>
          <t>Global Critical Damage Bonus % (Sharp Eyes + Concentration)</t>
        </is>
      </c>
      <c r="B2031">
        <f>(C2009=TRUE)*F2009*IF(AND(Inputs!$B$38&lt;&gt;"pvp",Inputs!$B$43&gt;0),(((R2009-1)*MIN((Skills!T18*(1+Inputs!$B$34/100)),(1/Q2009))+MIN((Skills!T18*(1+Inputs!$B$34/100)),MAX(0,Inputs!$B$43-((R2009-1)*(1/Q2009)))))/Inputs!$B$43),IF(Inputs!$B$38="pvp",MIN((Skills!T18*(1+Inputs!$B$34/100)),15)/15,MIN(1,(Skills!T18*(1+Inputs!$B$34/100))/(1/Q2009))))+(C2010=TRUE)*7*F2010</f>
        <v/>
      </c>
    </row>
    <row r="2032">
      <c r="A2032" t="inlineStr">
        <is>
          <t>Global Final Damage Bonus % (Mortal Blow)</t>
        </is>
      </c>
      <c r="B2032">
        <f>(C2011=TRUE)*F2011</f>
        <v/>
      </c>
    </row>
    <row r="2033">
      <c r="A2033" t="inlineStr">
        <is>
          <t>Buff-Casting Startup Delay (s, fixed-duration only)</t>
        </is>
      </c>
      <c r="B2033">
        <f>IF(AND(Inputs!$B$38&lt;&gt;"pvp",Inputs!$B$43&gt;0),SUMPRODUCT((Skills!T2:T32&gt;0)*(Skills!E2:E32=TRUE)*(C1993:C2023=TRUE))/B2028,0)</f>
        <v/>
      </c>
    </row>
    <row r="2034">
      <c r="A2034" t="inlineStr">
        <is>
          <t>Boss-Only Total DPS (this block's swept value)</t>
        </is>
      </c>
      <c r="B2034">
        <f>SUM(T1993:T2023)</f>
        <v/>
      </c>
    </row>
    <row r="2035">
      <c r="A2035" t="inlineStr">
        <is>
          <t>Normal-Only Total DPS (this block's swept value)</t>
        </is>
      </c>
      <c r="B2035">
        <f>SUM(V1993:V2023)</f>
        <v/>
      </c>
    </row>
    <row r="2036">
      <c r="A2036" s="6" t="inlineStr">
        <is>
          <t>TOTAL DPS</t>
        </is>
      </c>
      <c r="B2036" s="6">
        <f>SUM(O1993:O2023)</f>
        <v/>
      </c>
    </row>
    <row r="2039">
      <c r="A2039" s="6" t="inlineStr">
        <is>
          <t>Stat: Silver Pendant (Equip)</t>
        </is>
      </c>
    </row>
    <row r="2040">
      <c r="A2040" s="5" t="inlineStr">
        <is>
          <t>Key</t>
        </is>
      </c>
      <c r="B2040" s="5" t="inlineStr">
        <is>
          <t>Name</t>
        </is>
      </c>
      <c r="C2040" s="5" t="inlineStr">
        <is>
          <t>Unlocked</t>
        </is>
      </c>
      <c r="D2040" s="5" t="inlineStr">
        <is>
          <t>InputLevel</t>
        </is>
      </c>
      <c r="E2040" s="5" t="inlineStr">
        <is>
          <t>Factor</t>
        </is>
      </c>
      <c r="F2040" s="5" t="inlineStr">
        <is>
          <t>CoefficientPercent</t>
        </is>
      </c>
      <c r="G2040" s="5" t="inlineStr">
        <is>
          <t>EffectiveHits</t>
        </is>
      </c>
      <c r="H2040" s="5" t="inlineStr">
        <is>
          <t>ProcProbability</t>
        </is>
      </c>
      <c r="I2040" s="5" t="inlineStr">
        <is>
          <t>MapleHeroMultiplier</t>
        </is>
      </c>
      <c r="J2040" s="5" t="inlineStr">
        <is>
          <t>BaseDamage</t>
        </is>
      </c>
      <c r="K2040" s="5" t="inlineStr">
        <is>
          <t>BaseHitDamage</t>
        </is>
      </c>
      <c r="L2040" s="5" t="inlineStr">
        <is>
          <t>NonCritAvg</t>
        </is>
      </c>
      <c r="M2040" s="5" t="inlineStr">
        <is>
          <t>CritAvg</t>
        </is>
      </c>
      <c r="N2040" s="5" t="inlineStr">
        <is>
          <t>ExpectedDamage(perHit)</t>
        </is>
      </c>
      <c r="O2040" s="5" t="inlineStr">
        <is>
          <t>DPS</t>
        </is>
      </c>
      <c r="P2040" s="5" t="inlineStr">
        <is>
          <t>% of Total</t>
        </is>
      </c>
      <c r="Q2040" s="5" t="inlineStr">
        <is>
          <t>InvCooldown</t>
        </is>
      </c>
      <c r="R2040" s="5" t="inlineStr">
        <is>
          <t>CastsInFight</t>
        </is>
      </c>
      <c r="S2040" s="5" t="inlineStr">
        <is>
          <t>HitRate(perSec)</t>
        </is>
      </c>
      <c r="U2040" t="inlineStr">
        <is>
          <t>helpers</t>
        </is>
      </c>
    </row>
    <row r="2041">
      <c r="A2041">
        <f>Skills!A2</f>
        <v/>
      </c>
      <c r="B2041">
        <f>Skills!B2</f>
        <v/>
      </c>
      <c r="C2041">
        <f>Inputs!$B$3&gt;=100</f>
        <v/>
      </c>
      <c r="D2041" t="inlineStr"/>
      <c r="E2041" t="inlineStr"/>
      <c r="F2041">
        <f>U2043+Skills!O2</f>
        <v/>
      </c>
      <c r="G2041">
        <f>Skills!G2*IF(Skills!H2&gt;0,INT(IF(Inputs!$B$38="pvp",MIN(Skills!I2,15),Skills!I2)/Skills!H2+0.000000001),1)</f>
        <v/>
      </c>
      <c r="H2041">
        <f>1-(1-Skills!J2/100)^Skills!K2</f>
        <v/>
      </c>
      <c r="I2041" t="inlineStr">
        <is>
          <t>1</t>
        </is>
      </c>
      <c r="J2041">
        <f>((Inputs!$B$6*(1+Inputs!$B$7/100))+(((Inputs!$B$12*(1+Inputs!$B$13/100))-(Inputs!$B$12*(1+Inputs!$B$13/100)))+0.25*(Inputs!$B$14-Inputs!$B$14))*(1+Inputs!$B$7/100))*(F2041/100)</f>
        <v/>
      </c>
      <c r="K2041">
        <f>J2041*(1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2065=TRUE)*(F2065-Calc!F26)),(Inputs!$B$23+((C2070=TRUE)*(F2070-Calc!F31))+(IF(ArtifactsInput!$M$15,CHOOSE(ArtifactsInput!$N$15+1,25,30,35,40,45,50)/100*(Inputs!$B$11-Inputs!$B$11),0))))/100+(Inputs!$B$23+((C2070=TRUE)*(F2070-Calc!F31))+(IF(ArtifactsInput!$M$15,CHOOSE(ArtifactsInput!$N$15+1,25,30,35,40,45,50)/100*(Inputs!$B$11-Inputs!$B$11),0)))/100)/2</f>
        <v/>
      </c>
      <c r="M2041">
        <f>L2041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IF(B2084=0,0,O2041/B2084)</f>
        <v/>
      </c>
      <c r="Q2041" t="n">
        <v>0</v>
      </c>
      <c r="R2041" t="n">
        <v>0</v>
      </c>
      <c r="S2041">
        <f>IFERROR(O2041/N2041,0)</f>
        <v/>
      </c>
      <c r="T2041">
        <f>IF(C2041,(Skills!G2*N2041*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MAX(0,(Inputs!$B$3-100)*3)+Inputs!$B$28+Inputs!$B$29</f>
        <v/>
      </c>
      <c r="V2041">
        <f>IF(C2041,(Skills!G2*N2041*B2078)*IF(Inputs!$B$38="pvp",1,(1+(Inputs!$B$21+Skills!Q2+(IF(ArtifactsInput!$M$33,CHOOSE(ArtifactsInput!$N$33+1,30,36,42,48,54,60),0))+(IF(AND(ArtifactsInput!$M$35,Inputs!$B$4&lt;&gt;"Chapter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Skills!A3</f>
        <v/>
      </c>
      <c r="B2042">
        <f>Skills!B3</f>
        <v/>
      </c>
      <c r="C2042">
        <f>Inputs!$B$3&gt;=50</f>
        <v/>
      </c>
      <c r="D2042">
        <f>IF(Skills!C3=1,60+Inputs!$B$25+Inputs!$B$29,IF(Skills!C3=2,90+Inputs!$B$26+Inputs!$B$29,IF(Skills!C3=3,120+Inputs!$B$27+Inputs!$B$29,MAX(0,(Inputs!$B$3-100)*3)+Inputs!$B$28+Inputs!$B$29)))</f>
        <v/>
      </c>
      <c r="E2042">
        <f>INDEX(FactorTable!$B$2:$Y$301, MATCH(ROUND(MIN(300,MAX(1,D2042)),0), FactorTable!$A$2:$A$301,0), Skills!M3+1)</f>
        <v/>
      </c>
      <c r="F2042">
        <f>IF(Skills!N3=TRUE,(Skills!L3/10)*(E2042/1000),Skills!L3/10)+Skills!O3</f>
        <v/>
      </c>
      <c r="G2042">
        <f>Skills!G3*IF(Skills!H3&gt;0,INT(IF(Inputs!$B$38="pvp",MIN(Skills!I3,15),Skills!I3)/Skills!H3+0.000000001),1)</f>
        <v/>
      </c>
      <c r="H2042">
        <f>1-(1-Skills!J3/100)^Skills!K3</f>
        <v/>
      </c>
      <c r="I2042" t="inlineStr">
        <is>
          <t>1</t>
        </is>
      </c>
      <c r="J2042">
        <f>((Inputs!$B$6*(1+Inputs!$B$7/100))+(((Inputs!$B$12*(1+Inputs!$B$13/100))-(Inputs!$B$12*(1+Inputs!$B$13/100)))+0.25*(Inputs!$B$14-Inputs!$B$14))*(1+Inputs!$B$7/100))*(F2042/100)</f>
        <v/>
      </c>
      <c r="K2042">
        <f>J2042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2043=TRUE,F2043,0)/100)*(1+(IF(Skills!A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2065=TRUE)*(F2065-Calc!F26)),(Inputs!$B$23+((C2070=TRUE)*(F2070-Calc!F31))+(IF(ArtifactsInput!$M$15,CHOOSE(ArtifactsInput!$N$15+1,25,30,35,40,45,50)/100*(Inputs!$B$11-Inputs!$B$11),0))))/100+(Inputs!$B$23+((C2070=TRUE)*(F2070-Calc!F31))+(IF(ArtifactsInput!$M$15,CHOOSE(ArtifactsInput!$N$15+1,25,30,35,40,45,50)/100*(Inputs!$B$11-Inputs!$B$11),0)))/100)/2</f>
        <v/>
      </c>
      <c r="M2042">
        <f>L2042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IF(B2084=0,0,O2042/B2084)</f>
        <v/>
      </c>
      <c r="Q2042">
        <f>IFERROR(1/(IF(Inputs!$B$38="pvp",15,MAX(0.1,1/B2076-IF(FALSE=TRUE,Inputs!$B$32,0)))*(1-IF(AND(ArtifactsInput!$M$27,Inputs!$B$4="Chapter Hunt"),CHOOSE(ArtifactsInput!$N$27+1,20,24,28,32,36,40),0)/100)),0)</f>
        <v/>
      </c>
      <c r="R2042">
        <f>IF(AND(Inputs!$B$38&lt;&gt;"pvp",Inputs!$B$43&gt;0),IF(MAX(0,Inputs!$B$43-B2081)&lt;=0,0,(INT(MAX(0,Inputs!$B$43-B2081)/(IF(Inputs!$B$38="pvp",15,MAX(0.1,1/B2076-IF(FALSE=TRUE,Inputs!$B$32,0)))*(1-IF(AND(ArtifactsInput!$M$27,Inputs!$B$4="Chapter Hunt"),CHOOSE(ArtifactsInput!$N$27+1,20,24,28,32,36,40),0)/100)))+1)),0)</f>
        <v/>
      </c>
      <c r="S2042">
        <f>IFERROR(O2042/N2042,0)</f>
        <v/>
      </c>
      <c r="T2042">
        <f>IF(C2042,(H2042*N2042*IF(AND(Inputs!$B$38&lt;&gt;"pvp",Inputs!$B$43&gt;0),((Skills!G3*((R2042-1)*IF(Skills!H3&gt;0,INT(Skills!I3/Skills!H3+0.000000001),1)+IF(Skills!H3&gt;0,INT(MIN(Skills!I3,MAX(0,MAX(0,Inputs!$B$43-B2081)-((R2042-1)*(IF(Inputs!$B$38="pvp",15,MAX(0.1,1/B2076-IF(FALSE=TRUE,Inputs!$B$32,0)))*(1-IF(AND(ArtifactsInput!$M$27,Inputs!$B$4="Chapter Hunt"),CHOOSE(ArtifactsInput!$N$27+1,20,24,28,32,36,40),0)/100)))))/Skills!H3+0.000000001),1)))/Inputs!$B$43),G2042*Q2042)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INDEX(FactorTable!$B$2:$Y$301, MATCH(ROUND(MIN(300,MAX(1,U2041)),0), FactorTable!$A$2:$A$301,0), 22)</f>
        <v/>
      </c>
      <c r="V2042">
        <f>IF(C2042,(H2042*N2042*IF(AND(Inputs!$B$38&lt;&gt;"pvp",Inputs!$B$43&gt;0),((Skills!G3*((R2042-1)*IF(Skills!H3&gt;0,INT(Skills!I3/Skills!H3+0.000000001),1)+IF(Skills!H3&gt;0,INT(MIN(Skills!I3,MAX(0,MAX(0,Inputs!$B$43-B2081)-((R2042-1)*(IF(Inputs!$B$38="pvp",15,MAX(0.1,1/B2076-IF(FALSE=TRUE,Inputs!$B$32,0)))*(1-IF(AND(ArtifactsInput!$M$27,Inputs!$B$4="Chapter Hunt"),CHOOSE(ArtifactsInput!$N$27+1,20,24,28,32,36,40),0)/100)))))/Skills!H3+0.000000001),1)))/Inputs!$B$43),G2042*Q2042))*IF(Inputs!$B$38="pvp",1,(1+(Inputs!$B$21+Skills!Q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Skills!A4</f>
        <v/>
      </c>
      <c r="B2043">
        <f>Skills!B4</f>
        <v/>
      </c>
      <c r="C2043">
        <f>Inputs!$B$3&gt;=105</f>
        <v/>
      </c>
      <c r="D2043">
        <f>IF(Skills!C4=1,60+Inputs!$B$25+Inputs!$B$29,IF(Skills!C4=2,90+Inputs!$B$26+Inputs!$B$29,IF(Skills!C4=3,120+Inputs!$B$27+Inputs!$B$29,MAX(0,(Inputs!$B$3-100)*3)+Inputs!$B$28+Inputs!$B$29)))</f>
        <v/>
      </c>
      <c r="E2043">
        <f>INDEX(FactorTable!$B$2:$Y$301, MATCH(ROUND(MIN(300,MAX(1,D2043)),0), FactorTable!$A$2:$A$301,0), Skills!M4+1)</f>
        <v/>
      </c>
      <c r="F2043">
        <f>IF(Skills!N4=TRUE,(Skills!L4/10)*(E2043/1000),Skills!L4/10)+Skills!O4</f>
        <v/>
      </c>
      <c r="G2043" t="inlineStr"/>
      <c r="H2043" t="inlineStr"/>
      <c r="I2043" t="inlineStr">
        <is>
          <t>1</t>
        </is>
      </c>
      <c r="J2043" t="inlineStr"/>
      <c r="K2043" t="inlineStr"/>
      <c r="L2043" t="inlineStr"/>
      <c r="M2043" t="inlineStr"/>
      <c r="N2043" t="inlineStr"/>
      <c r="O2043" t="inlineStr"/>
      <c r="P2043" t="inlineStr"/>
      <c r="Q2043" t="inlineStr"/>
      <c r="R2043" t="inlineStr"/>
      <c r="S2043" t="inlineStr"/>
      <c r="T2043" t="inlineStr"/>
      <c r="U2043">
        <f>290*U2042/1000</f>
        <v/>
      </c>
      <c r="V2043" t="inlineStr"/>
    </row>
    <row r="2044">
      <c r="A2044">
        <f>Skills!A5</f>
        <v/>
      </c>
      <c r="B2044">
        <f>Skills!B5</f>
        <v/>
      </c>
      <c r="C2044">
        <f>Inputs!$B$3&gt;=35</f>
        <v/>
      </c>
      <c r="D2044">
        <f>IF(Skills!C5=1,60+Inputs!$B$25+Inputs!$B$29,IF(Skills!C5=2,90+Inputs!$B$26+Inputs!$B$29,IF(Skills!C5=3,120+Inputs!$B$27+Inputs!$B$29,MAX(0,(Inputs!$B$3-100)*3)+Inputs!$B$28+Inputs!$B$29)))</f>
        <v/>
      </c>
      <c r="E2044">
        <f>INDEX(FactorTable!$B$2:$Y$301, MATCH(ROUND(MIN(300,MAX(1,D2044)),0), FactorTable!$A$2:$A$301,0), Skills!M5+1)</f>
        <v/>
      </c>
      <c r="F2044">
        <f>IF(Skills!N5=TRUE,(Skills!L5/10)*(E2044/1000),Skills!L5/10)+Skills!O5</f>
        <v/>
      </c>
      <c r="G2044">
        <f>Skills!G5*IF(Skills!H5&gt;0,INT(IF(Inputs!$B$38="pvp",MIN(Skills!I5,15),Skills!I5)/Skills!H5+0.000000001),1)</f>
        <v/>
      </c>
      <c r="H2044">
        <f>1-(1-Skills!J5/100)^Skills!K5</f>
        <v/>
      </c>
      <c r="I2044" t="inlineStr">
        <is>
          <t>1</t>
        </is>
      </c>
      <c r="J2044">
        <f>((Inputs!$B$6*(1+Inputs!$B$7/100))+(((Inputs!$B$12*(1+Inputs!$B$13/100))-(Inputs!$B$12*(1+Inputs!$B$13/100)))+0.25*(Inputs!$B$14-Inputs!$B$14))*(1+Inputs!$B$7/100))*(F2044/100)</f>
        <v/>
      </c>
      <c r="K2044">
        <f>J2044*(1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2051=TRUE,F2051,0)/100)*(1+(IF(Skills!A5="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2044)</f>
        <v/>
      </c>
      <c r="L2044">
        <f>K2044*(MIN(Inputs!$B$22+((C2065=TRUE)*(F2065-Calc!F26)),(Inputs!$B$23+((C2070=TRUE)*(F2070-Calc!F31))+(IF(ArtifactsInput!$M$15,CHOOSE(ArtifactsInput!$N$15+1,25,30,35,40,45,50)/100*(Inputs!$B$11-Inputs!$B$11),0))))/100+(Inputs!$B$23+((C2070=TRUE)*(F2070-Calc!F31))+(IF(ArtifactsInput!$M$15,CHOOSE(ArtifactsInput!$N$15+1,25,30,35,40,45,50)/100*(Inputs!$B$11-Inputs!$B$11),0)))/100)/2</f>
        <v/>
      </c>
      <c r="M2044">
        <f>L2044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4">
        <f>L2044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2044*(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4">
        <f>(1-Summary!$B$11)*T2044+Summary!$B$11*V2044</f>
        <v/>
      </c>
      <c r="P2044">
        <f>IF(B2084=0,0,O2044/B2084)</f>
        <v/>
      </c>
      <c r="Q2044">
        <f>IFERROR(1/(IF(Inputs!$B$38="pvp",15,MAX(0.1,Skills!D5-IF(TRUE=TRUE,Inputs!$B$32,0)))*(1-IF(AND(ArtifactsInput!$M$27,Inputs!$B$4="Chapter Hunt"),CHOOSE(ArtifactsInput!$N$27+1,20,24,28,32,36,40),0)/100)),0)</f>
        <v/>
      </c>
      <c r="R2044">
        <f>IF(AND(Inputs!$B$38&lt;&gt;"pvp",Inputs!$B$43&gt;0),IF(MAX(0,Inputs!$B$43-B2081)&lt;=0,0,(INT(MAX(0,Inputs!$B$43-B2081)/(IF(Inputs!$B$38="pvp",15,MAX(0.1,Skills!D5-IF(TRUE=TRUE,Inputs!$B$32,0)))*(1-IF(AND(ArtifactsInput!$M$27,Inputs!$B$4="Chapter Hunt"),CHOOSE(ArtifactsInput!$N$27+1,20,24,28,32,36,40),0)/100)))+1)),0)</f>
        <v/>
      </c>
      <c r="S2044">
        <f>IFERROR(O2044/N2044,0)</f>
        <v/>
      </c>
      <c r="T2044">
        <f>IF(C2044,(H2044*N2044*IF(AND(Inputs!$B$38&lt;&gt;"pvp",Inputs!$B$43&gt;0),((Skills!G5*((R2044-1)*IF(Skills!H5&gt;0,INT(Skills!I5/Skills!H5+0.000000001),1)+IF(Skills!H5&gt;0,INT(MIN(Skills!I5,MAX(0,MAX(0,Inputs!$B$43-B2081)-((R2044-1)*(IF(Inputs!$B$38="pvp",15,MAX(0.1,Skills!D5-IF(TRUE=TRUE,Inputs!$B$32,0)))*(1-IF(AND(ArtifactsInput!$M$27,Inputs!$B$4="Chapter Hunt"),CHOOSE(ArtifactsInput!$N$27+1,20,24,28,32,36,40),0)/100)))))/Skills!H5+0.000000001),1)))/Inputs!$B$43),G2044*Q2044)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4">
        <f>IF(C2044,(H2044*N2044*IF(AND(Inputs!$B$38&lt;&gt;"pvp",Inputs!$B$43&gt;0),((Skills!G5*((R2044-1)*IF(Skills!H5&gt;0,INT(Skills!I5/Skills!H5+0.000000001),1)+IF(Skills!H5&gt;0,INT(MIN(Skills!I5,MAX(0,MAX(0,Inputs!$B$43-B2081)-((R2044-1)*(IF(Inputs!$B$38="pvp",15,MAX(0.1,Skills!D5-IF(TRUE=TRUE,Inputs!$B$32,0)))*(1-IF(AND(ArtifactsInput!$M$27,Inputs!$B$4="Chapter Hunt"),CHOOSE(ArtifactsInput!$N$27+1,20,24,28,32,36,40),0)/100)))))/Skills!H5+0.000000001),1)))/Inputs!$B$43),G2044*Q2044))*IF(Inputs!$B$38="pvp",1,(1+(Inputs!$B$21+Skills!Q5+(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5">
      <c r="A2045">
        <f>Skills!A6</f>
        <v/>
      </c>
      <c r="B2045">
        <f>Skills!B6</f>
        <v/>
      </c>
      <c r="C2045">
        <f>Inputs!$B$3&gt;=40</f>
        <v/>
      </c>
      <c r="D2045">
        <f>IF(Skills!C6=1,60+Inputs!$B$25+Inputs!$B$29,IF(Skills!C6=2,90+Inputs!$B$26+Inputs!$B$29,IF(Skills!C6=3,120+Inputs!$B$27+Inputs!$B$29,MAX(0,(Inputs!$B$3-100)*3)+Inputs!$B$28+Inputs!$B$29)))</f>
        <v/>
      </c>
      <c r="E2045">
        <f>INDEX(FactorTable!$B$2:$Y$301, MATCH(ROUND(MIN(300,MAX(1,D2045)),0), FactorTable!$A$2:$A$301,0), Skills!M6+1)</f>
        <v/>
      </c>
      <c r="F2045">
        <f>IF(Skills!N6=TRUE,(Skills!L6/10)*(E2045/1000),Skills!L6/10)+Skills!O6</f>
        <v/>
      </c>
      <c r="G2045">
        <f>Skills!G6*IF(Skills!H6&gt;0,INT(IF(Inputs!$B$38="pvp",MIN(Skills!I6,15),Skills!I6)/Skills!H6+0.000000001),1)</f>
        <v/>
      </c>
      <c r="H2045">
        <f>1-(1-Skills!J6/100)^Skills!K6</f>
        <v/>
      </c>
      <c r="I2045" t="inlineStr">
        <is>
          <t>1</t>
        </is>
      </c>
      <c r="J2045">
        <f>((Inputs!$B$6*(1+Inputs!$B$7/100))+(((Inputs!$B$12*(1+Inputs!$B$13/100))-(Inputs!$B$12*(1+Inputs!$B$13/100)))+0.25*(Inputs!$B$14-Inputs!$B$14))*(1+Inputs!$B$7/100))*(F2045/100)</f>
        <v/>
      </c>
      <c r="K2045">
        <f>J2045*(1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2046=TRUE,F2046,0)/100)*(1+(IF(Skills!A6="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2045)</f>
        <v/>
      </c>
      <c r="L2045">
        <f>K2045*(MIN(Inputs!$B$22+((C2065=TRUE)*(F2065-Calc!F26)),(Inputs!$B$23+((C2070=TRUE)*(F2070-Calc!F31))+(IF(ArtifactsInput!$M$15,CHOOSE(ArtifactsInput!$N$15+1,25,30,35,40,45,50)/100*(Inputs!$B$11-Inputs!$B$11),0))))/100+(Inputs!$B$23+((C2070=TRUE)*(F2070-Calc!F31))+(IF(ArtifactsInput!$M$15,CHOOSE(ArtifactsInput!$N$15+1,25,30,35,40,45,50)/100*(Inputs!$B$11-Inputs!$B$11),0)))/100)/2</f>
        <v/>
      </c>
      <c r="M2045">
        <f>L2045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5">
        <f>L2045*(1-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2045*(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5">
        <f>(1-Summary!$B$11)*T2045+Summary!$B$11*V2045</f>
        <v/>
      </c>
      <c r="P2045">
        <f>IF(B2084=0,0,O2045/B2084)</f>
        <v/>
      </c>
      <c r="Q2045">
        <f>IFERROR(1/(IF(Inputs!$B$38="pvp",15,MAX(0.1,1-0.4*MIN(1,(B2076-1)/1.5)-IF(FALSE=TRUE,Inputs!$B$32,0)))*(1-IF(AND(ArtifactsInput!$M$27,Inputs!$B$4="Chapter Hunt"),CHOOSE(ArtifactsInput!$N$27+1,20,24,28,32,36,40),0)/100)),0)</f>
        <v/>
      </c>
      <c r="R2045">
        <f>IF(AND(Inputs!$B$38&lt;&gt;"pvp",Inputs!$B$43&gt;0),IF(MAX(0,Inputs!$B$43-B2081)&lt;=0,0,(INT(MAX(0,Inputs!$B$43-B2081)/(IF(Inputs!$B$38="pvp",15,MAX(0.1,1-0.4*MIN(1,(B2076-1)/1.5)-IF(FALSE=TRUE,Inputs!$B$32,0)))*(1-IF(AND(ArtifactsInput!$M$27,Inputs!$B$4="Chapter Hunt"),CHOOSE(ArtifactsInput!$N$27+1,20,24,28,32,36,40),0)/100)))+1)),0)</f>
        <v/>
      </c>
      <c r="S2045">
        <f>IFERROR(O2045/N2045,0)</f>
        <v/>
      </c>
      <c r="T2045">
        <f>IF(C2045,(H2045*N2045*IF(AND(Inputs!$B$38&lt;&gt;"pvp",Inputs!$B$43&gt;0),((Skills!G6*((R2045-1)*IF(Skills!H6&gt;0,INT(Skills!I6/Skills!H6+0.000000001),1)+IF(Skills!H6&gt;0,INT(MIN(Skills!I6,MAX(0,MAX(0,Inputs!$B$43-B2081)-((R2045-1)*(IF(Inputs!$B$38="pvp",15,MAX(0.1,1-0.4*MIN(1,(B2076-1)/1.5)-IF(FALSE=TRUE,Inputs!$B$32,0)))*(1-IF(AND(ArtifactsInput!$M$27,Inputs!$B$4="Chapter Hunt"),CHOOSE(ArtifactsInput!$N$27+1,20,24,28,32,36,40),0)/100)))))/Skills!H6+0.000000001),1)))/Inputs!$B$43),G2045*Q2045)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5">
        <f>IF(C2045,(H2045*N2045*IF(AND(Inputs!$B$38&lt;&gt;"pvp",Inputs!$B$43&gt;0),((Skills!G6*((R2045-1)*IF(Skills!H6&gt;0,INT(Skills!I6/Skills!H6+0.000000001),1)+IF(Skills!H6&gt;0,INT(MIN(Skills!I6,MAX(0,MAX(0,Inputs!$B$43-B2081)-((R2045-1)*(IF(Inputs!$B$38="pvp",15,MAX(0.1,1-0.4*MIN(1,(B2076-1)/1.5)-IF(FALSE=TRUE,Inputs!$B$32,0)))*(1-IF(AND(ArtifactsInput!$M$27,Inputs!$B$4="Chapter Hunt"),CHOOSE(ArtifactsInput!$N$27+1,20,24,28,32,36,40),0)/100)))))/Skills!H6+0.000000001),1)))/Inputs!$B$43),G2045*Q2045))*IF(Inputs!$B$38="pvp",1,(1+(Inputs!$B$21+Skills!Q6+(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6">
      <c r="A2046">
        <f>Skills!A7</f>
        <v/>
      </c>
      <c r="B2046">
        <f>Skills!B7</f>
        <v/>
      </c>
      <c r="C2046">
        <f>Inputs!$B$3&gt;=107</f>
        <v/>
      </c>
      <c r="D2046">
        <f>IF(Skills!C7=1,60+Inputs!$B$25+Inputs!$B$29,IF(Skills!C7=2,90+Inputs!$B$26+Inputs!$B$29,IF(Skills!C7=3,120+Inputs!$B$27+Inputs!$B$29,MAX(0,(Inputs!$B$3-100)*3)+Inputs!$B$28+Inputs!$B$29)))</f>
        <v/>
      </c>
      <c r="E2046">
        <f>INDEX(FactorTable!$B$2:$Y$301, MATCH(ROUND(MIN(300,MAX(1,D2046)),0), FactorTable!$A$2:$A$301,0), Skills!M7+1)</f>
        <v/>
      </c>
      <c r="F2046">
        <f>IF(Skills!N7=TRUE,(Skills!L7/10)*(E2046/1000),Skills!L7/10)+Skills!O7</f>
        <v/>
      </c>
      <c r="G2046" t="inlineStr"/>
      <c r="H2046" t="inlineStr"/>
      <c r="I2046" t="inlineStr">
        <is>
          <t>1</t>
        </is>
      </c>
      <c r="J2046" t="inlineStr"/>
      <c r="K2046" t="inlineStr"/>
      <c r="L2046" t="inlineStr"/>
      <c r="M2046" t="inlineStr"/>
      <c r="N2046" t="inlineStr"/>
      <c r="O2046" t="inlineStr"/>
      <c r="P2046" t="inlineStr"/>
      <c r="Q2046" t="inlineStr"/>
      <c r="R2046" t="inlineStr"/>
      <c r="S2046" t="inlineStr"/>
      <c r="T2046" t="inlineStr"/>
      <c r="V2046" t="inlineStr"/>
    </row>
    <row r="2047">
      <c r="A2047">
        <f>Skills!A8</f>
        <v/>
      </c>
      <c r="B2047">
        <f>Skills!B8</f>
        <v/>
      </c>
      <c r="C2047">
        <f>Inputs!$B$3&gt;=130</f>
        <v/>
      </c>
      <c r="D2047">
        <f>IF(Skills!C8=1,60+Inputs!$B$25+Inputs!$B$29,IF(Skills!C8=2,90+Inputs!$B$26+Inputs!$B$29,IF(Skills!C8=3,120+Inputs!$B$27+Inputs!$B$29,MAX(0,(Inputs!$B$3-100)*3)+Inputs!$B$28+Inputs!$B$29)))</f>
        <v/>
      </c>
      <c r="E2047">
        <f>INDEX(FactorTable!$B$2:$Y$301, MATCH(ROUND(MIN(300,MAX(1,D2047)),0), FactorTable!$A$2:$A$301,0), Skills!M8+1)</f>
        <v/>
      </c>
      <c r="F2047">
        <f>IF(Skills!N8=TRUE,(Skills!L8/10)*(E2047/1000),Skills!L8/10)+Skills!O8</f>
        <v/>
      </c>
      <c r="G2047">
        <f>Skills!G8*IF(Skills!H8&gt;0,INT(IF(Inputs!$B$38="pvp",MIN(Skills!I8,15),Skills!I8)/Skills!H8+0.000000001),1)</f>
        <v/>
      </c>
      <c r="H2047">
        <f>1-(1-Skills!J8/100)^Skills!K8</f>
        <v/>
      </c>
      <c r="I2047" t="inlineStr">
        <is>
          <t>1</t>
        </is>
      </c>
      <c r="J2047">
        <f>((Inputs!$B$6*(1+Inputs!$B$7/100))+(((Inputs!$B$12*(1+Inputs!$B$13/100))-(Inputs!$B$12*(1+Inputs!$B$13/100)))+0.25*(Inputs!$B$14-Inputs!$B$14))*(1+Inputs!$B$7/100))*(F2047/100)</f>
        <v/>
      </c>
      <c r="K2047">
        <f>J2047*(1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2065=TRUE)*(F2065-Calc!F26)),(Inputs!$B$23+((C2070=TRUE)*(F2070-Calc!F31))+(IF(ArtifactsInput!$M$15,CHOOSE(ArtifactsInput!$N$15+1,25,30,35,40,45,50)/100*(Inputs!$B$11-Inputs!$B$11),0))))/100+(Inputs!$B$23+((C2070=TRUE)*(F2070-Calc!F31))+(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f>IFERROR(1/(IF(Inputs!$B$38="pvp",15,MAX(0.1,1-0.4*MIN(1,(B2076-1)/1.5)-IF(FALSE=TRUE,Inputs!$B$32,0)))*(1-IF(AND(ArtifactsInput!$M$27,Inputs!$B$4="Chapter Hunt"),CHOOSE(ArtifactsInput!$N$27+1,20,24,28,32,36,40),0)/100)),0)</f>
        <v/>
      </c>
      <c r="R2047">
        <f>IF(AND(Inputs!$B$38&lt;&gt;"pvp",Inputs!$B$43&gt;0),IF(MAX(0,Inputs!$B$43-B2081)&lt;=0,0,(INT(MAX(0,Inputs!$B$43-B2081)/(IF(Inputs!$B$38="pvp",15,MAX(0.1,1-0.4*MIN(1,(B2076-1)/1.5)-IF(FALSE=TRUE,Inputs!$B$32,0)))*(1-IF(AND(ArtifactsInput!$M$27,Inputs!$B$4="Chapter Hunt"),CHOOSE(ArtifactsInput!$N$27+1,20,24,28,32,36,40),0)/100)))+1)),0)</f>
        <v/>
      </c>
      <c r="S2047">
        <f>IFERROR(O2047/N2047,0)</f>
        <v/>
      </c>
      <c r="T2047">
        <f>IF(C2047,(H2047*N2047*IF(AND(Inputs!$B$38&lt;&gt;"pvp",Inputs!$B$43&gt;0),((Skills!G8*((R2047-1)*IF(Skills!H8&gt;0,INT(Skills!I8/Skills!H8+0.000000001),1)+IF(Skills!H8&gt;0,INT(MIN(Skills!I8,MAX(0,MAX(0,Inputs!$B$43-B2081)-((R2047-1)*(IF(Inputs!$B$38="pvp",15,MAX(0.1,1-0.4*MIN(1,(B2076-1)/1.5)-IF(FALSE=TRUE,Inputs!$B$32,0)))*(1-IF(AND(ArtifactsInput!$M$27,Inputs!$B$4="Chapter Hunt"),CHOOSE(ArtifactsInput!$N$27+1,20,24,28,32,36,40),0)/100)))))/Skills!H8+0.000000001),1)))/Inputs!$B$43),G2047*Q2047)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7">
        <f>IF(C2047,(H2047*N2047*IF(AND(Inputs!$B$38&lt;&gt;"pvp",Inputs!$B$43&gt;0),((Skills!G8*((R2047-1)*IF(Skills!H8&gt;0,INT(Skills!I8/Skills!H8+0.000000001),1)+IF(Skills!H8&gt;0,INT(MIN(Skills!I8,MAX(0,MAX(0,Inputs!$B$43-B2081)-((R2047-1)*(IF(Inputs!$B$38="pvp",15,MAX(0.1,1-0.4*MIN(1,(B2076-1)/1.5)-IF(FALSE=TRUE,Inputs!$B$32,0)))*(1-IF(AND(ArtifactsInput!$M$27,Inputs!$B$4="Chapter Hunt"),CHOOSE(ArtifactsInput!$N$27+1,20,24,28,32,36,40),0)/100)))))/Skills!H8+0.000000001),1)))/Inputs!$B$43),G2047*Q2047))*IF(Inputs!$B$38="pvp",1,(1+(Inputs!$B$21+Skills!Q8+(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Skills!A9</f>
        <v/>
      </c>
      <c r="B2048">
        <f>Skills!B9</f>
        <v/>
      </c>
      <c r="C2048">
        <f>Inputs!$B$3&gt;=69</f>
        <v/>
      </c>
      <c r="D2048">
        <f>IF(Skills!C9=1,60+Inputs!$B$25+Inputs!$B$29,IF(Skills!C9=2,90+Inputs!$B$26+Inputs!$B$29,IF(Skills!C9=3,120+Inputs!$B$27+Inputs!$B$29,MAX(0,(Inputs!$B$3-100)*3)+Inputs!$B$28+Inputs!$B$29)))</f>
        <v/>
      </c>
      <c r="E2048">
        <f>INDEX(FactorTable!$B$2:$Y$301, MATCH(ROUND(MIN(300,MAX(1,D2048)),0), FactorTable!$A$2:$A$301,0), Skills!M9+1)</f>
        <v/>
      </c>
      <c r="F2048">
        <f>IF(Skills!N9=TRUE,(Skills!L9/10)*(E2048/1000),Skills!L9/10)+Skills!O9</f>
        <v/>
      </c>
      <c r="G2048">
        <f>Skills!G9*IF(Skills!H9&gt;0,INT(IF(Inputs!$B$38="pvp",MIN(Skills!I9,15),Skills!I9)/Skills!H9+0.000000001),1)</f>
        <v/>
      </c>
      <c r="H2048">
        <f>1-(1-Skills!J9/100)^Skills!K9</f>
        <v/>
      </c>
      <c r="I2048" t="inlineStr">
        <is>
          <t>1</t>
        </is>
      </c>
      <c r="J2048">
        <f>((Inputs!$B$6*(1+Inputs!$B$7/100))+(((Inputs!$B$12*(1+Inputs!$B$13/100))-(Inputs!$B$12*(1+Inputs!$B$13/100)))+0.25*(Inputs!$B$14-Inputs!$B$14))*(1+Inputs!$B$7/100))*(F2048/100)</f>
        <v/>
      </c>
      <c r="K2048">
        <f>J2048*(1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2051=TRUE,F2051,0)/100)*(1+(IF(Skills!A9="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2065=TRUE)*(F2065-Calc!F26)),(Inputs!$B$23+((C2070=TRUE)*(F2070-Calc!F31))+(IF(ArtifactsInput!$M$15,CHOOSE(ArtifactsInput!$N$15+1,25,30,35,40,45,50)/100*(Inputs!$B$11-Inputs!$B$11),0))))/100+(Inputs!$B$23+((C2070=TRUE)*(F2070-Calc!F31))+(IF(ArtifactsInput!$M$15,CHOOSE(ArtifactsInput!$N$15+1,25,30,35,40,45,50)/100*(Inputs!$B$11-Inputs!$B$11),0)))/100)/2</f>
        <v/>
      </c>
      <c r="M2048">
        <f>L2048*(1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IF(B2084=0,0,O2048/B2084)</f>
        <v/>
      </c>
      <c r="Q2048">
        <f>IFERROR(1/(IF(Inputs!$B$38="pvp",15,MAX(0.1,Skills!D9-IF(TRUE=TRUE,Inputs!$B$32,0)))*(1-IF(AND(ArtifactsInput!$M$27,Inputs!$B$4="Chapter Hunt"),CHOOSE(ArtifactsInput!$N$27+1,20,24,28,32,36,40),0)/100)),0)</f>
        <v/>
      </c>
      <c r="R2048">
        <f>IF(AND(Inputs!$B$38&lt;&gt;"pvp",Inputs!$B$43&gt;0),IF(MAX(0,Inputs!$B$43-B2081)&lt;=0,0,(INT(MAX(0,Inputs!$B$43-B2081)/(IF(Inputs!$B$38="pvp",15,MAX(0.1,Skills!D9-IF(TRUE=TRUE,Inputs!$B$32,0)))*(1-IF(AND(ArtifactsInput!$M$27,Inputs!$B$4="Chapter Hunt"),CHOOSE(ArtifactsInput!$N$27+1,20,24,28,32,36,40),0)/100)))+1)),0)</f>
        <v/>
      </c>
      <c r="S2048">
        <f>IFERROR(O2048/N2048,0)</f>
        <v/>
      </c>
      <c r="T2048">
        <f>IF(C2048,(H2048*N2048*IF(AND(Inputs!$B$38&lt;&gt;"pvp",Inputs!$B$43&gt;0),((Skills!G9*((R2048-1)*IF(Skills!H9&gt;0,INT(Skills!I9/Skills!H9+0.000000001),1)+IF(Skills!H9&gt;0,INT(MIN(Skills!I9,MAX(0,MAX(0,Inputs!$B$43-B2081)-((R2048-1)*(IF(Inputs!$B$38="pvp",15,MAX(0.1,Skills!D9-IF(TRUE=TRUE,Inputs!$B$32,0)))*(1-IF(AND(ArtifactsInput!$M$27,Inputs!$B$4="Chapter Hunt"),CHOOSE(ArtifactsInput!$N$27+1,20,24,28,32,36,40),0)/100)))))/Skills!H9+0.000000001),1)))/Inputs!$B$43),G2048*Q2048)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8">
        <f>IF(C2048,(H2048*N2048*IF(AND(Inputs!$B$38&lt;&gt;"pvp",Inputs!$B$43&gt;0),((Skills!G9*((R2048-1)*IF(Skills!H9&gt;0,INT(Skills!I9/Skills!H9+0.000000001),1)+IF(Skills!H9&gt;0,INT(MIN(Skills!I9,MAX(0,MAX(0,Inputs!$B$43-B2081)-((R2048-1)*(IF(Inputs!$B$38="pvp",15,MAX(0.1,Skills!D9-IF(TRUE=TRUE,Inputs!$B$32,0)))*(1-IF(AND(ArtifactsInput!$M$27,Inputs!$B$4="Chapter Hunt"),CHOOSE(ArtifactsInput!$N$27+1,20,24,28,32,36,40),0)/100)))))/Skills!H9+0.000000001),1)))/Inputs!$B$43),G2048*Q2048))*IF(Inputs!$B$38="pvp",1,(1+(Inputs!$B$21+Skills!Q9+(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Skills!A10</f>
        <v/>
      </c>
      <c r="B2049">
        <f>Skills!B10</f>
        <v/>
      </c>
      <c r="C2049">
        <f>Inputs!$B$3&gt;=63</f>
        <v/>
      </c>
      <c r="D2049">
        <f>IF(Skills!C10=1,60+Inputs!$B$25+Inputs!$B$29,IF(Skills!C10=2,90+Inputs!$B$26+Inputs!$B$29,IF(Skills!C10=3,120+Inputs!$B$27+Inputs!$B$29,MAX(0,(Inputs!$B$3-100)*3)+Inputs!$B$28+Inputs!$B$29)))</f>
        <v/>
      </c>
      <c r="E2049">
        <f>INDEX(FactorTable!$B$2:$Y$301, MATCH(ROUND(MIN(300,MAX(1,D2049)),0), FactorTable!$A$2:$A$301,0), Skills!M10+1)</f>
        <v/>
      </c>
      <c r="F2049">
        <f>IF(Skills!N10=TRUE,(Skills!L10/10)*(E2049/1000),Skills!L10/10)+Skills!O10</f>
        <v/>
      </c>
      <c r="G2049">
        <f>Skills!G10*IF(Skills!H10&gt;0,INT(IF(Inputs!$B$38="pvp",MIN(Skills!I10,15),Skills!I10)/Skills!H10+0.000000001),1)</f>
        <v/>
      </c>
      <c r="H2049">
        <f>1-(1-Skills!J10/100)^Skills!K10</f>
        <v/>
      </c>
      <c r="I2049" t="inlineStr">
        <is>
          <t>1</t>
        </is>
      </c>
      <c r="J2049">
        <f>((Inputs!$B$6*(1+Inputs!$B$7/100))+(((Inputs!$B$12*(1+Inputs!$B$13/100))-(Inputs!$B$12*(1+Inputs!$B$13/100)))+0.25*(Inputs!$B$14-Inputs!$B$14))*(1+Inputs!$B$7/100))*(F2049/100)</f>
        <v/>
      </c>
      <c r="K2049">
        <f>J2049*(1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2051=TRUE,F2051,0)/100)*(1+(IF(Skills!A10="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2065=TRUE)*(F2065-Calc!F26)),(Inputs!$B$23+((C2070=TRUE)*(F2070-Calc!F31))+(IF(ArtifactsInput!$M$15,CHOOSE(ArtifactsInput!$N$15+1,25,30,35,40,45,50)/100*(Inputs!$B$11-Inputs!$B$11),0))))/100+(Inputs!$B$23+((C2070=TRUE)*(F2070-Calc!F31))+(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IFERROR(1/(IF(Inputs!$B$38="pvp",15,MAX(0.1,Skills!D10-IF(TRUE=TRUE,Inputs!$B$32,0)))*(1-IF(AND(ArtifactsInput!$M$27,Inputs!$B$4="Chapter Hunt"),CHOOSE(ArtifactsInput!$N$27+1,20,24,28,32,36,40),0)/100)),0)</f>
        <v/>
      </c>
      <c r="R2049">
        <f>IF(AND(Inputs!$B$38&lt;&gt;"pvp",Inputs!$B$43&gt;0),IF(MAX(0,Inputs!$B$43-B2081)&lt;=0,0,(INT(MAX(0,Inputs!$B$43-B2081)/(IF(Inputs!$B$38="pvp",15,MAX(0.1,Skills!D10-IF(TRUE=TRUE,Inputs!$B$32,0)))*(1-IF(AND(ArtifactsInput!$M$27,Inputs!$B$4="Chapter Hunt"),CHOOSE(ArtifactsInput!$N$27+1,20,24,28,32,36,40),0)/100)))+1)),0)</f>
        <v/>
      </c>
      <c r="S2049">
        <f>IFERROR(O2049/N2049,0)</f>
        <v/>
      </c>
      <c r="T2049">
        <f>IF(C2049,(H2049*N2049*IF(AND(Inputs!$B$38&lt;&gt;"pvp",Inputs!$B$43&gt;0),((Skills!G10*((R2049-1)*IF(Skills!H10&gt;0,INT(Skills!I10/Skills!H10+0.000000001),1)+IF(Skills!H10&gt;0,INT(MIN(Skills!I10,MAX(0,MAX(0,Inputs!$B$43-B2081)-((R2049-1)*(IF(Inputs!$B$38="pvp",15,MAX(0.1,Skills!D10-IF(TRUE=TRUE,Inputs!$B$32,0)))*(1-IF(AND(ArtifactsInput!$M$27,Inputs!$B$4="Chapter Hunt"),CHOOSE(ArtifactsInput!$N$27+1,20,24,28,32,36,40),0)/100)))))/Skills!H10+0.000000001),1)))/Inputs!$B$43),G2049*Q2049)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9">
        <f>IF(C2049,(H2049*N2049*IF(AND(Inputs!$B$38&lt;&gt;"pvp",Inputs!$B$43&gt;0),((Skills!G10*((R2049-1)*IF(Skills!H10&gt;0,INT(Skills!I10/Skills!H10+0.000000001),1)+IF(Skills!H10&gt;0,INT(MIN(Skills!I10,MAX(0,MAX(0,Inputs!$B$43-B2081)-((R2049-1)*(IF(Inputs!$B$38="pvp",15,MAX(0.1,Skills!D10-IF(TRUE=TRUE,Inputs!$B$32,0)))*(1-IF(AND(ArtifactsInput!$M$27,Inputs!$B$4="Chapter Hunt"),CHOOSE(ArtifactsInput!$N$27+1,20,24,28,32,36,40),0)/100)))))/Skills!H10+0.000000001),1)))/Inputs!$B$43),G2049*Q2049))*IF(Inputs!$B$38="pvp",1,(1+(Inputs!$B$21+Skills!Q10+(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Skills!A11</f>
        <v/>
      </c>
      <c r="B2050">
        <f>Skills!B11</f>
        <v/>
      </c>
      <c r="C2050">
        <f>Inputs!$B$3&gt;=103</f>
        <v/>
      </c>
      <c r="D2050">
        <f>IF(Skills!C11=1,60+Inputs!$B$25+Inputs!$B$29,IF(Skills!C11=2,90+Inputs!$B$26+Inputs!$B$29,IF(Skills!C11=3,120+Inputs!$B$27+Inputs!$B$29,MAX(0,(Inputs!$B$3-100)*3)+Inputs!$B$28+Inputs!$B$29)))</f>
        <v/>
      </c>
      <c r="E2050">
        <f>INDEX(FactorTable!$B$2:$Y$301, MATCH(ROUND(MIN(300,MAX(1,D2050)),0), FactorTable!$A$2:$A$301,0), Skills!M11+1)</f>
        <v/>
      </c>
      <c r="F2050">
        <f>IF(Skills!N11=TRUE,(Skills!L11/10)*(E2050/1000),Skills!L11/10)+Skills!O11</f>
        <v/>
      </c>
      <c r="G2050">
        <f>Skills!G11*IF(Skills!H11&gt;0,INT(IF(Inputs!$B$38="pvp",MIN(Skills!I11,15),Skills!I11)/Skills!H11+0.000000001),1)</f>
        <v/>
      </c>
      <c r="H2050">
        <f>1-(1-Skills!J11/100)^Skills!K11</f>
        <v/>
      </c>
      <c r="I2050" t="inlineStr">
        <is>
          <t>1</t>
        </is>
      </c>
      <c r="J2050">
        <f>((Inputs!$B$6*(1+Inputs!$B$7/100))+(((Inputs!$B$12*(1+Inputs!$B$13/100))-(Inputs!$B$12*(1+Inputs!$B$13/100)))+0.25*(Inputs!$B$14-Inputs!$B$14))*(1+Inputs!$B$7/100))*(F2050/100)</f>
        <v/>
      </c>
      <c r="K2050">
        <f>J2050*(1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2065=TRUE)*(F2065-Calc!F26)),(Inputs!$B$23+((C2070=TRUE)*(F2070-Calc!F31))+(IF(ArtifactsInput!$M$15,CHOOSE(ArtifactsInput!$N$15+1,25,30,35,40,45,50)/100*(Inputs!$B$11-Inputs!$B$11),0))))/100+(Inputs!$B$23+((C2070=TRUE)*(F2070-Calc!F31))+(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IFERROR(1/(IF(Inputs!$B$38="pvp",15,MAX(0.1,Skills!D11-IF(TRUE=TRUE,Inputs!$B$32,0)))*(1-IF(AND(ArtifactsInput!$M$27,Inputs!$B$4="Chapter Hunt"),CHOOSE(ArtifactsInput!$N$27+1,20,24,28,32,36,40),0)/100)),0)</f>
        <v/>
      </c>
      <c r="R2050">
        <f>IF(AND(Inputs!$B$38&lt;&gt;"pvp",Inputs!$B$43&gt;0),IF(MAX(0,Inputs!$B$43-B2081)&lt;=0,0,(INT(MAX(0,Inputs!$B$43-B2081)/(IF(Inputs!$B$38="pvp",15,MAX(0.1,Skills!D11-IF(TRUE=TRUE,Inputs!$B$32,0)))*(1-IF(AND(ArtifactsInput!$M$27,Inputs!$B$4="Chapter Hunt"),CHOOSE(ArtifactsInput!$N$27+1,20,24,28,32,36,40),0)/100)))+1)),0)</f>
        <v/>
      </c>
      <c r="S2050">
        <f>IFERROR(O2050/N2050,0)</f>
        <v/>
      </c>
      <c r="T2050">
        <f>IF(C2050,(H2050*N2050*IF(AND(Inputs!$B$38&lt;&gt;"pvp",Inputs!$B$43&gt;0),((Skills!G11*((R2050-1)*IF(Skills!H11&gt;0,INT(Skills!I11/Skills!H11+0.000000001),1)+IF(Skills!H11&gt;0,INT(MIN(Skills!I11,MAX(0,MAX(0,Inputs!$B$43-B2081)-((R2050-1)*(IF(Inputs!$B$38="pvp",15,MAX(0.1,Skills!D11-IF(TRUE=TRUE,Inputs!$B$32,0)))*(1-IF(AND(ArtifactsInput!$M$27,Inputs!$B$4="Chapter Hunt"),CHOOSE(ArtifactsInput!$N$27+1,20,24,28,32,36,40),0)/100)))))/Skills!H11+0.000000001),1)))/Inputs!$B$43),G2050*Q2050)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11*((R2050-1)*IF(Skills!H11&gt;0,INT(Skills!I11/Skills!H11+0.000000001),1)+IF(Skills!H11&gt;0,INT(MIN(Skills!I11,MAX(0,MAX(0,Inputs!$B$43-B2081)-((R2050-1)*(IF(Inputs!$B$38="pvp",15,MAX(0.1,Skills!D11-IF(TRUE=TRUE,Inputs!$B$32,0)))*(1-IF(AND(ArtifactsInput!$M$27,Inputs!$B$4="Chapter Hunt"),CHOOSE(ArtifactsInput!$N$27+1,20,24,28,32,36,40),0)/100)))))/Skills!H11+0.000000001),1)))/Inputs!$B$43),G2050*Q2050))*IF(Inputs!$B$38="pvp",1,(1+(Inputs!$B$21+Skills!Q11+(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Skills!A12</f>
        <v/>
      </c>
      <c r="B2051">
        <f>Skills!B12</f>
        <v/>
      </c>
      <c r="C2051">
        <f>Inputs!$B$3&gt;=100</f>
        <v/>
      </c>
      <c r="D2051">
        <f>IF(Skills!C12=1,60+Inputs!$B$25+Inputs!$B$29,IF(Skills!C12=2,90+Inputs!$B$26+Inputs!$B$29,IF(Skills!C12=3,120+Inputs!$B$27+Inputs!$B$29,MAX(0,(Inputs!$B$3-100)*3)+Inputs!$B$28+Inputs!$B$29)))</f>
        <v/>
      </c>
      <c r="E2051">
        <f>INDEX(FactorTable!$B$2:$Y$301, MATCH(ROUND(MIN(300,MAX(1,D2051)),0), FactorTable!$A$2:$A$301,0), Skills!M12+1)</f>
        <v/>
      </c>
      <c r="F2051">
        <f>IF(Skills!N12=TRUE,(Skills!L12/10)*(E2051/1000),Skills!L12/10)+Skills!O12</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T2051" t="inlineStr"/>
      <c r="V2051" t="inlineStr"/>
    </row>
    <row r="2052">
      <c r="A2052">
        <f>Skills!A13</f>
        <v/>
      </c>
      <c r="B2052">
        <f>Skills!B13</f>
        <v/>
      </c>
      <c r="C2052">
        <f>Inputs!$B$3&gt;=60</f>
        <v/>
      </c>
      <c r="D2052">
        <f>IF(Skills!C13=1,60+Inputs!$B$25+Inputs!$B$29,IF(Skills!C13=2,90+Inputs!$B$26+Inputs!$B$29,IF(Skills!C13=3,120+Inputs!$B$27+Inputs!$B$29,MAX(0,(Inputs!$B$3-100)*3)+Inputs!$B$28+Inputs!$B$29)))</f>
        <v/>
      </c>
      <c r="E2052">
        <f>INDEX(FactorTable!$B$2:$Y$301, MATCH(ROUND(MIN(300,MAX(1,D2052)),0), FactorTable!$A$2:$A$301,0), Skills!M13+1)</f>
        <v/>
      </c>
      <c r="F2052">
        <f>IF(Skills!N13=TRUE,(Skills!L13/10)*(E2052/1000),Skills!L13/10)+Skills!O13</f>
        <v/>
      </c>
      <c r="G2052">
        <f>Skills!G13*IF(Skills!H13&gt;0,INT(IF(Inputs!$B$38="pvp",MIN(Skills!I13,15),Skills!I13)/Skills!H13+0.000000001),1)</f>
        <v/>
      </c>
      <c r="H2052">
        <f>1-(1-Skills!J13/100)^Skills!K13</f>
        <v/>
      </c>
      <c r="I2052" t="inlineStr">
        <is>
          <t>1</t>
        </is>
      </c>
      <c r="J2052">
        <f>((Inputs!$B$6*(1+Inputs!$B$7/100))+(((Inputs!$B$12*(1+Inputs!$B$13/100))-(Inputs!$B$12*(1+Inputs!$B$13/100)))+0.25*(Inputs!$B$14-Inputs!$B$14))*(1+Inputs!$B$7/100))*(F2052/100)</f>
        <v/>
      </c>
      <c r="K2052">
        <f>J2052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Skills!A13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2065=TRUE)*(F2065-Calc!F26)),(Inputs!$B$23+((C2070=TRUE)*(F2070-Calc!F31))+(IF(ArtifactsInput!$M$15,CHOOSE(ArtifactsInput!$N$15+1,25,30,35,40,45,50)/100*(Inputs!$B$11-Inputs!$B$11),0))))/100+(Inputs!$B$23+((C2070=TRUE)*(F2070-Calc!F31))+(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IFERROR(1/(IF(Inputs!$B$38="pvp",15,MAX(0.1,IF(Inputs!$B$3&gt;=122,3,5)+1/(((20+30*(B2076-1)*100/150)/100)*B2076)-IF(FALSE=TRUE,Inputs!$B$32,0)))*(1-IF(AND(ArtifactsInput!$M$27,Inputs!$B$4="Chapter Hunt"),CHOOSE(ArtifactsInput!$N$27+1,20,24,28,32,36,40),0)/100)),0)</f>
        <v/>
      </c>
      <c r="R2052">
        <f>IF(AND(Inputs!$B$38&lt;&gt;"pvp",Inputs!$B$43&gt;0),IF(MAX(0,Inputs!$B$43-B2081)&lt;=0,0,(INT(MAX(0,Inputs!$B$43-B2081)/(IF(Inputs!$B$38="pvp",15,MAX(0.1,IF(Inputs!$B$3&gt;=122,3,5)+1/(((20+30*(B2076-1)*100/150)/100)*B2076)-IF(FALSE=TRUE,Inputs!$B$32,0)))*(1-IF(AND(ArtifactsInput!$M$27,Inputs!$B$4="Chapter Hunt"),CHOOSE(ArtifactsInput!$N$27+1,20,24,28,32,36,40),0)/100)))+1)),0)</f>
        <v/>
      </c>
      <c r="S2052">
        <f>IFERROR(O2052/N2052,0)</f>
        <v/>
      </c>
      <c r="T2052">
        <f>IF(C2052,(H2052*N2052*IF(AND(Inputs!$B$38&lt;&gt;"pvp",Inputs!$B$43&gt;0),((Skills!G13*((R2052-1)*IF(Skills!H13&gt;0,INT(Skills!I13/Skills!H13+0.000000001),1)+IF(Skills!H13&gt;0,INT(MIN(Skills!I13,MAX(0,MAX(0,Inputs!$B$43-B2081)-((R2052-1)*(IF(Inputs!$B$38="pvp",15,MAX(0.1,IF(Inputs!$B$3&gt;=122,3,5)+1/(((20+30*(B2076-1)*100/150)/100)*B2076)-IF(FALSE=TRUE,Inputs!$B$32,0)))*(1-IF(AND(ArtifactsInput!$M$27,Inputs!$B$4="Chapter Hunt"),CHOOSE(ArtifactsInput!$N$27+1,20,24,28,32,36,40),0)/100)))))/Skills!H13+0.000000001),1)))/Inputs!$B$43),G2052*Q2052)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13*((R2052-1)*IF(Skills!H13&gt;0,INT(Skills!I13/Skills!H13+0.000000001),1)+IF(Skills!H13&gt;0,INT(MIN(Skills!I13,MAX(0,MAX(0,Inputs!$B$43-B2081)-((R2052-1)*(IF(Inputs!$B$38="pvp",15,MAX(0.1,IF(Inputs!$B$3&gt;=122,3,5)+1/(((20+30*(B2076-1)*100/150)/100)*B2076)-IF(FALSE=TRUE,Inputs!$B$32,0)))*(1-IF(AND(ArtifactsInput!$M$27,Inputs!$B$4="Chapter Hunt"),CHOOSE(ArtifactsInput!$N$27+1,20,24,28,32,36,40),0)/100)))))/Skills!H13+0.000000001),1)))/Inputs!$B$43),G2052*Q2052))*IF(Inputs!$B$38="pvp",1,(1+(Inputs!$B$21+Skills!Q13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Skills!A14</f>
        <v/>
      </c>
      <c r="B2053">
        <f>Skills!B14</f>
        <v/>
      </c>
      <c r="C2053">
        <f>Inputs!$B$3&gt;=110</f>
        <v/>
      </c>
      <c r="D2053">
        <f>IF(Skills!C14=1,60+Inputs!$B$25+Inputs!$B$29,IF(Skills!C14=2,90+Inputs!$B$26+Inputs!$B$29,IF(Skills!C14=3,120+Inputs!$B$27+Inputs!$B$29,MAX(0,(Inputs!$B$3-100)*3)+Inputs!$B$28+Inputs!$B$29)))</f>
        <v/>
      </c>
      <c r="E2053">
        <f>INDEX(FactorTable!$B$2:$Y$301, MATCH(ROUND(MIN(300,MAX(1,D2053)),0), FactorTable!$A$2:$A$301,0), Skills!M14+1)</f>
        <v/>
      </c>
      <c r="F2053">
        <f>IF(Skills!N14=TRUE,(Skills!L14/10)*(E2053/1000),Skills!L14/10)+Skills!O14</f>
        <v/>
      </c>
      <c r="G2053" t="inlineStr"/>
      <c r="H2053" t="inlineStr"/>
      <c r="I2053" t="inlineStr">
        <is>
          <t>1</t>
        </is>
      </c>
      <c r="J2053" t="inlineStr"/>
      <c r="K2053" t="inlineStr"/>
      <c r="L2053" t="inlineStr"/>
      <c r="M2053" t="inlineStr"/>
      <c r="N2053" t="inlineStr"/>
      <c r="O2053" t="inlineStr"/>
      <c r="P2053" t="inlineStr"/>
      <c r="Q2053" t="inlineStr"/>
      <c r="R2053" t="inlineStr"/>
      <c r="S2053" t="inlineStr"/>
      <c r="T2053" t="inlineStr"/>
      <c r="V2053" t="inlineStr"/>
    </row>
    <row r="2054">
      <c r="A2054">
        <f>Skills!A15</f>
        <v/>
      </c>
      <c r="B2054">
        <f>Skills!B15</f>
        <v/>
      </c>
      <c r="C2054">
        <f>Inputs!$B$3&gt;=74</f>
        <v/>
      </c>
      <c r="D2054">
        <f>IF(Skills!C15=1,60+Inputs!$B$25+Inputs!$B$29,IF(Skills!C15=2,90+Inputs!$B$26+Inputs!$B$29,IF(Skills!C15=3,120+Inputs!$B$27+Inputs!$B$29,MAX(0,(Inputs!$B$3-100)*3)+Inputs!$B$28+Inputs!$B$29)))</f>
        <v/>
      </c>
      <c r="E2054">
        <f>INDEX(FactorTable!$B$2:$Y$301, MATCH(ROUND(MIN(300,MAX(1,D2054)),0), FactorTable!$A$2:$A$301,0), Skills!M15+1)</f>
        <v/>
      </c>
      <c r="F2054">
        <f>IF(Skills!N15=TRUE,(Skills!L15/10)*(E2054/1000),Skills!L15/10)+Skills!O15</f>
        <v/>
      </c>
      <c r="G2054">
        <f>Skills!G15*IF(Skills!H15&gt;0,INT(IF(Inputs!$B$38="pvp",MIN(Skills!I15,15),Skills!I15)/Skills!H15+0.000000001),1)</f>
        <v/>
      </c>
      <c r="H2054">
        <f>1-(1-Skills!J15/100)^Skills!K15</f>
        <v/>
      </c>
      <c r="I2054" t="inlineStr">
        <is>
          <t>1</t>
        </is>
      </c>
      <c r="J2054" t="inlineStr"/>
      <c r="K2054" t="inlineStr"/>
      <c r="L2054" t="inlineStr"/>
      <c r="M2054" t="inlineStr"/>
      <c r="N2054" t="inlineStr"/>
      <c r="O2054">
        <f>(1-Summary!$B$11)*T2054+Summary!$B$11*V2054</f>
        <v/>
      </c>
      <c r="P2054">
        <f>IF(B2084=0,0,O2054/B2084)</f>
        <v/>
      </c>
      <c r="Q2054" t="n">
        <v>0</v>
      </c>
      <c r="R2054" t="n">
        <v>0</v>
      </c>
      <c r="S2054">
        <f>IFERROR(O2054/N2054,0)</f>
        <v/>
      </c>
      <c r="T2054" t="n">
        <v>0</v>
      </c>
      <c r="V2054" t="n">
        <v>0</v>
      </c>
    </row>
    <row r="2055">
      <c r="A2055">
        <f>Skills!A16</f>
        <v/>
      </c>
      <c r="B2055">
        <f>Skills!B16</f>
        <v/>
      </c>
      <c r="C2055">
        <f>Inputs!$B$3&gt;=74</f>
        <v/>
      </c>
      <c r="D2055">
        <f>IF(Skills!C16=1,60+Inputs!$B$25+Inputs!$B$29,IF(Skills!C16=2,90+Inputs!$B$26+Inputs!$B$29,IF(Skills!C16=3,120+Inputs!$B$27+Inputs!$B$29,MAX(0,(Inputs!$B$3-100)*3)+Inputs!$B$28+Inputs!$B$29)))</f>
        <v/>
      </c>
      <c r="E2055">
        <f>INDEX(FactorTable!$B$2:$Y$301, MATCH(ROUND(MIN(300,MAX(1,D2055)),0), FactorTable!$A$2:$A$301,0), Skills!M16+1)</f>
        <v/>
      </c>
      <c r="F2055">
        <f>IF(Skills!N16=TRUE,(Skills!L16/10)*(E2055/1000),Skills!L16/10)+Skills!O16</f>
        <v/>
      </c>
      <c r="G2055">
        <f>Skills!G16*IF(Skills!H16&gt;0,INT(IF(Inputs!$B$38="pvp",MIN(Skills!I16,15),Skills!I16)/Skills!H16+0.000000001),1)</f>
        <v/>
      </c>
      <c r="H2055">
        <f>1-(1-Skills!J16/100)^Skills!K16</f>
        <v/>
      </c>
      <c r="I2055" t="inlineStr">
        <is>
          <t>1</t>
        </is>
      </c>
      <c r="J2055" t="inlineStr"/>
      <c r="K2055" t="inlineStr"/>
      <c r="L2055" t="inlineStr"/>
      <c r="M2055" t="inlineStr"/>
      <c r="N2055" t="inlineStr"/>
      <c r="O2055">
        <f>(1-Summary!$B$11)*T2055+Summary!$B$11*V2055</f>
        <v/>
      </c>
      <c r="P2055">
        <f>IF(B2084=0,0,O2055/B2084)</f>
        <v/>
      </c>
      <c r="Q2055" t="n">
        <v>0</v>
      </c>
      <c r="R2055" t="n">
        <v>0</v>
      </c>
      <c r="S2055">
        <f>IFERROR(O2055/N2055,0)</f>
        <v/>
      </c>
      <c r="T2055" t="n">
        <v>0</v>
      </c>
      <c r="V2055" t="n">
        <v>0</v>
      </c>
    </row>
    <row r="2056">
      <c r="A2056">
        <f>Skills!A17</f>
        <v/>
      </c>
      <c r="B2056">
        <f>Skills!B17</f>
        <v/>
      </c>
      <c r="C2056">
        <f>Inputs!$B$3&gt;=117</f>
        <v/>
      </c>
      <c r="D2056">
        <f>IF(Skills!C17=1,60+Inputs!$B$25+Inputs!$B$29,IF(Skills!C17=2,90+Inputs!$B$26+Inputs!$B$29,IF(Skills!C17=3,120+Inputs!$B$27+Inputs!$B$29,MAX(0,(Inputs!$B$3-100)*3)+Inputs!$B$28+Inputs!$B$29)))</f>
        <v/>
      </c>
      <c r="E2056">
        <f>INDEX(FactorTable!$B$2:$Y$301, MATCH(ROUND(MIN(300,MAX(1,D2056)),0), FactorTable!$A$2:$A$301,0), Skills!M17+1)</f>
        <v/>
      </c>
      <c r="F2056">
        <f>IF(Skills!N17=TRUE,(Skills!L17/10)*(E2056/1000),Skills!L17/10)+Skills!O17</f>
        <v/>
      </c>
      <c r="G2056">
        <f>Skills!G17*IF(Skills!H17&gt;0,INT(IF(Inputs!$B$38="pvp",MIN(Skills!I17,15),Skills!I17)/Skills!H17+0.000000001),1)</f>
        <v/>
      </c>
      <c r="H2056">
        <f>1-(1-Skills!J17/100)^Skills!K17</f>
        <v/>
      </c>
      <c r="I2056" t="inlineStr">
        <is>
          <t>1</t>
        </is>
      </c>
      <c r="J2056" t="inlineStr"/>
      <c r="K2056" t="inlineStr"/>
      <c r="L2056" t="inlineStr"/>
      <c r="M2056" t="inlineStr"/>
      <c r="N2056" t="inlineStr"/>
      <c r="O2056">
        <f>(1-Summary!$B$11)*T2056+Summary!$B$11*V2056</f>
        <v/>
      </c>
      <c r="P2056">
        <f>IF(B2084=0,0,O2056/B2084)</f>
        <v/>
      </c>
      <c r="Q2056">
        <f>IFERROR(1/(IF(Inputs!$B$38="pvp",15,MAX(0.1,Skills!D17-IF(TRUE=TRUE,Inputs!$B$32,0)))*(1-IF(AND(ArtifactsInput!$M$27,Inputs!$B$4="Chapter Hunt"),CHOOSE(ArtifactsInput!$N$27+1,20,24,28,32,36,40),0)/100)),0)</f>
        <v/>
      </c>
      <c r="R2056">
        <f>IF(AND(Inputs!$B$38&lt;&gt;"pvp",Inputs!$B$43&gt;0),IF(Inputs!$B$43&lt;=0,0,(INT(Inputs!$B$43/(IF(Inputs!$B$38="pvp",15,MAX(0.1,Skills!D17-IF(TRUE=TRUE,Inputs!$B$32,0)))*(1-IF(AND(ArtifactsInput!$M$27,Inputs!$B$4="Chapter Hunt"),CHOOSE(ArtifactsInput!$N$27+1,20,24,28,32,36,40),0)/100)))+1)),0)</f>
        <v/>
      </c>
      <c r="S2056">
        <f>IFERROR(O2056/N2056,0)</f>
        <v/>
      </c>
      <c r="T2056" t="n">
        <v>0</v>
      </c>
      <c r="V2056" t="n">
        <v>0</v>
      </c>
    </row>
    <row r="2057">
      <c r="A2057">
        <f>Skills!A18</f>
        <v/>
      </c>
      <c r="B2057">
        <f>Skills!B18</f>
        <v/>
      </c>
      <c r="C2057">
        <f>Inputs!$B$3&gt;=115</f>
        <v/>
      </c>
      <c r="D2057">
        <f>IF(Skills!C18=1,60+Inputs!$B$25+Inputs!$B$29,IF(Skills!C18=2,90+Inputs!$B$26+Inputs!$B$29,IF(Skills!C18=3,120+Inputs!$B$27+Inputs!$B$29,MAX(0,(Inputs!$B$3-100)*3)+Inputs!$B$28+Inputs!$B$29)))</f>
        <v/>
      </c>
      <c r="E2057">
        <f>INDEX(FactorTable!$B$2:$Y$301, MATCH(ROUND(MIN(300,MAX(1,D2057)),0), FactorTable!$A$2:$A$301,0), Skills!M18+1)</f>
        <v/>
      </c>
      <c r="F2057">
        <f>IF(Skills!N18=TRUE,(Skills!L18/10)*(E2057/1000),Skills!L18/10)+Skills!O18</f>
        <v/>
      </c>
      <c r="G2057">
        <f>Skills!G18*IF(Skills!H18&gt;0,INT(IF(Inputs!$B$38="pvp",MIN(Skills!I18,15),Skills!I18)/Skills!H18+0.000000001),1)</f>
        <v/>
      </c>
      <c r="H2057">
        <f>1-(1-Skills!J18/100)^Skills!K18</f>
        <v/>
      </c>
      <c r="I2057" t="inlineStr">
        <is>
          <t>1</t>
        </is>
      </c>
      <c r="J2057" t="inlineStr"/>
      <c r="K2057" t="inlineStr"/>
      <c r="L2057" t="inlineStr"/>
      <c r="M2057" t="inlineStr"/>
      <c r="N2057" t="inlineStr"/>
      <c r="O2057">
        <f>(1-Summary!$B$11)*T2057+Summary!$B$11*V2057</f>
        <v/>
      </c>
      <c r="P2057">
        <f>IF(B2084=0,0,O2057/B2084)</f>
        <v/>
      </c>
      <c r="Q2057">
        <f>IFERROR(1/(IF(Inputs!$B$38="pvp",15,MAX(0.1,Skills!D18-IF(TRUE=TRUE,Inputs!$B$32,0)))*(1-IF(AND(ArtifactsInput!$M$27,Inputs!$B$4="Chapter Hunt"),CHOOSE(ArtifactsInput!$N$27+1,20,24,28,32,36,40),0)/100)),0)</f>
        <v/>
      </c>
      <c r="R2057">
        <f>IF(AND(Inputs!$B$38&lt;&gt;"pvp",Inputs!$B$43&gt;0),IF(Inputs!$B$43&lt;=0,0,(INT(Inputs!$B$43/(IF(Inputs!$B$38="pvp",15,MAX(0.1,Skills!D18-IF(TRUE=TRUE,Inputs!$B$32,0)))*(1-IF(AND(ArtifactsInput!$M$27,Inputs!$B$4="Chapter Hunt"),CHOOSE(ArtifactsInput!$N$27+1,20,24,28,32,36,40),0)/100)))+1)),0)</f>
        <v/>
      </c>
      <c r="S2057">
        <f>IFERROR(O2057/N2057,0)</f>
        <v/>
      </c>
      <c r="T2057" t="n">
        <v>0</v>
      </c>
      <c r="V2057" t="n">
        <v>0</v>
      </c>
    </row>
    <row r="2058">
      <c r="A2058">
        <f>Skills!A19</f>
        <v/>
      </c>
      <c r="B2058">
        <f>Skills!B19</f>
        <v/>
      </c>
      <c r="C2058">
        <f>Inputs!$B$3&gt;=66</f>
        <v/>
      </c>
      <c r="D2058">
        <f>IF(Skills!C19=1,60+Inputs!$B$25+Inputs!$B$29,IF(Skills!C19=2,90+Inputs!$B$26+Inputs!$B$29,IF(Skills!C19=3,120+Inputs!$B$27+Inputs!$B$29,MAX(0,(Inputs!$B$3-100)*3)+Inputs!$B$28+Inputs!$B$29)))</f>
        <v/>
      </c>
      <c r="E2058">
        <f>INDEX(FactorTable!$B$2:$Y$301, MATCH(ROUND(MIN(300,MAX(1,D2058)),0), FactorTable!$A$2:$A$301,0), Skills!M19+1)</f>
        <v/>
      </c>
      <c r="F2058">
        <f>IF(Skills!N19=TRUE,(Skills!L19/10)*(E2058/1000),Skills!L19/10)+Skills!O19</f>
        <v/>
      </c>
      <c r="G2058">
        <f>Skills!G19*IF(Skills!H19&gt;0,INT(IF(Inputs!$B$38="pvp",MIN(Skills!I19,15),Skills!I19)/Skills!H19+0.000000001),1)</f>
        <v/>
      </c>
      <c r="H2058">
        <f>1-(1-Skills!J19/100)^Skills!K19</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Skills!A20</f>
        <v/>
      </c>
      <c r="B2059">
        <f>Skills!B20</f>
        <v/>
      </c>
      <c r="C2059">
        <f>Inputs!$B$3&gt;=72</f>
        <v/>
      </c>
      <c r="D2059">
        <f>IF(Skills!C20=1,60+Inputs!$B$25+Inputs!$B$29,IF(Skills!C20=2,90+Inputs!$B$26+Inputs!$B$29,IF(Skills!C20=3,120+Inputs!$B$27+Inputs!$B$29,MAX(0,(Inputs!$B$3-100)*3)+Inputs!$B$28+Inputs!$B$29)))</f>
        <v/>
      </c>
      <c r="E2059">
        <f>INDEX(FactorTable!$B$2:$Y$301, MATCH(ROUND(MIN(300,MAX(1,D2059)),0), FactorTable!$A$2:$A$301,0), Skills!M20+1)</f>
        <v/>
      </c>
      <c r="F2059">
        <f>IF(Skills!N20=TRUE,(Skills!L20/10)*(E2059/1000),Skills!L20/10)+Skills!O20</f>
        <v/>
      </c>
      <c r="G2059">
        <f>Skills!G20*IF(Skills!H20&gt;0,INT(IF(Inputs!$B$38="pvp",MIN(Skills!I20,15),Skills!I20)/Skills!H20+0.000000001),1)</f>
        <v/>
      </c>
      <c r="H2059">
        <f>1-(1-Skills!J20/100)^Skills!K20</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Skills!A21</f>
        <v/>
      </c>
      <c r="B2060">
        <f>Skills!B21</f>
        <v/>
      </c>
      <c r="C2060">
        <f>TRUE</f>
        <v/>
      </c>
      <c r="D2060">
        <f>IF(Skills!C21=1,60+Inputs!$B$25+Inputs!$B$29,IF(Skills!C21=2,90+Inputs!$B$26+Inputs!$B$29,IF(Skills!C21=3,120+Inputs!$B$27+Inputs!$B$29,MAX(0,(Inputs!$B$3-100)*3)+Inputs!$B$28+Inputs!$B$29)))</f>
        <v/>
      </c>
      <c r="E2060">
        <f>INDEX(FactorTable!$B$2:$Y$301, MATCH(ROUND(MIN(300,MAX(1,D2060)),0), FactorTable!$A$2:$A$301,0), Skills!M21+1)</f>
        <v/>
      </c>
      <c r="F2060">
        <f>IF(Skills!N21=TRUE,(Skills!L21/10)*(E2060/1000),Skills!L21/10)+Skills!O21</f>
        <v/>
      </c>
      <c r="G2060">
        <f>Skills!G21*IF(Skills!H21&gt;0,INT(IF(Inputs!$B$38="pvp",MIN(Skills!I21,15),Skills!I21)/Skills!H21+0.000000001),1)</f>
        <v/>
      </c>
      <c r="H2060">
        <f>1-(1-Skills!J21/100)^Skills!K21</f>
        <v/>
      </c>
      <c r="I2060" t="inlineStr">
        <is>
          <t>1</t>
        </is>
      </c>
      <c r="J2060" t="inlineStr"/>
      <c r="K2060" t="inlineStr"/>
      <c r="L2060" t="inlineStr"/>
      <c r="M2060" t="inlineStr"/>
      <c r="N2060" t="inlineStr"/>
      <c r="O2060">
        <f>(1-Summary!$B$11)*T2060+Summary!$B$11*V2060</f>
        <v/>
      </c>
      <c r="P2060">
        <f>IF(B2084=0,0,O2060/B2084)</f>
        <v/>
      </c>
      <c r="Q2060">
        <f>IFERROR(1/(IF(Inputs!$B$38="pvp",15,MAX(0.1,Skills!D21-IF(TRUE=TRUE,Inputs!$B$32,0)))*(1-IF(AND(ArtifactsInput!$M$27,Inputs!$B$4="Chapter Hunt"),CHOOSE(ArtifactsInput!$N$27+1,20,24,28,32,36,40),0)/100)),0)</f>
        <v/>
      </c>
      <c r="R2060">
        <f>IF(AND(Inputs!$B$38&lt;&gt;"pvp",Inputs!$B$43&gt;0),IF(Inputs!$B$43&lt;=0,0,(INT(Inputs!$B$43/(IF(Inputs!$B$38="pvp",15,MAX(0.1,Skills!D21-IF(TRUE=TRUE,Inputs!$B$32,0)))*(1-IF(AND(ArtifactsInput!$M$27,Inputs!$B$4="Chapter Hunt"),CHOOSE(ArtifactsInput!$N$27+1,20,24,28,32,36,40),0)/100)))+1)),0)</f>
        <v/>
      </c>
      <c r="S2060">
        <f>IFERROR(O2060/N2060,0)</f>
        <v/>
      </c>
      <c r="T2060" t="n">
        <v>0</v>
      </c>
      <c r="V2060" t="n">
        <v>0</v>
      </c>
    </row>
    <row r="2061">
      <c r="A2061">
        <f>Skills!A22</f>
        <v/>
      </c>
      <c r="B2061">
        <f>Skills!B22</f>
        <v/>
      </c>
      <c r="C2061">
        <f>Inputs!$B$3&gt;=15</f>
        <v/>
      </c>
      <c r="D2061">
        <f>IF(Skills!C22=1,60+Inputs!$B$25+Inputs!$B$29,IF(Skills!C22=2,90+Inputs!$B$26+Inputs!$B$29,IF(Skills!C22=3,120+Inputs!$B$27+Inputs!$B$29,MAX(0,(Inputs!$B$3-100)*3)+Inputs!$B$28+Inputs!$B$29)))</f>
        <v/>
      </c>
      <c r="E2061">
        <f>INDEX(FactorTable!$B$2:$Y$301, MATCH(ROUND(MIN(300,MAX(1,D2061)),0), FactorTable!$A$2:$A$301,0), Skills!M22+1)</f>
        <v/>
      </c>
      <c r="F2061">
        <f>IF(Skills!N22=TRUE,(Skills!L22/10)*(E2061/1000),Skills!L22/10)+Skills!O22</f>
        <v/>
      </c>
      <c r="G2061">
        <f>Skills!G22*IF(Skills!H22&gt;0,INT(IF(Inputs!$B$38="pvp",MIN(Skills!I22,15),Skills!I22)/Skills!H22+0.000000001),1)</f>
        <v/>
      </c>
      <c r="H2061">
        <f>1-(1-Skills!J22/100)^Skills!K22</f>
        <v/>
      </c>
      <c r="I2061" t="inlineStr">
        <is>
          <t>1</t>
        </is>
      </c>
      <c r="J2061" t="inlineStr"/>
      <c r="K2061" t="inlineStr"/>
      <c r="L2061" t="inlineStr"/>
      <c r="M2061" t="inlineStr"/>
      <c r="N2061" t="inlineStr"/>
      <c r="O2061">
        <f>(1-Summary!$B$11)*T2061+Summary!$B$11*V2061</f>
        <v/>
      </c>
      <c r="P2061">
        <f>IF(B2084=0,0,O2061/B2084)</f>
        <v/>
      </c>
      <c r="Q2061" t="n">
        <v>0</v>
      </c>
      <c r="R2061" t="n">
        <v>0</v>
      </c>
      <c r="S2061">
        <f>IFERROR(O2061/N2061,0)</f>
        <v/>
      </c>
      <c r="T2061" t="n">
        <v>0</v>
      </c>
      <c r="V2061" t="n">
        <v>0</v>
      </c>
    </row>
    <row r="2062">
      <c r="A2062">
        <f>Skills!A23</f>
        <v/>
      </c>
      <c r="B2062">
        <f>Skills!B23</f>
        <v/>
      </c>
      <c r="C2062">
        <f>Inputs!$B$3&gt;=10</f>
        <v/>
      </c>
      <c r="D2062">
        <f>IF(Skills!C23=1,60+Inputs!$B$25+Inputs!$B$29,IF(Skills!C23=2,90+Inputs!$B$26+Inputs!$B$29,IF(Skills!C23=3,120+Inputs!$B$27+Inputs!$B$29,MAX(0,(Inputs!$B$3-100)*3)+Inputs!$B$28+Inputs!$B$29)))</f>
        <v/>
      </c>
      <c r="E2062">
        <f>INDEX(FactorTable!$B$2:$Y$301, MATCH(ROUND(MIN(300,MAX(1,D2062)),0), FactorTable!$A$2:$A$301,0), Skills!M23+1)</f>
        <v/>
      </c>
      <c r="F2062">
        <f>IF(Skills!N23=TRUE,(Skills!L23/10)*(E2062/1000),Skills!L23/10)+Skills!O23</f>
        <v/>
      </c>
      <c r="G2062">
        <f>Skills!G23*IF(Skills!H23&gt;0,INT(IF(Inputs!$B$38="pvp",MIN(Skills!I23,15),Skills!I23)/Skills!H23+0.000000001),1)</f>
        <v/>
      </c>
      <c r="H2062">
        <f>1-(1-Skills!J23/100)^Skills!K23</f>
        <v/>
      </c>
      <c r="I2062" t="inlineStr">
        <is>
          <t>1</t>
        </is>
      </c>
      <c r="J2062" t="inlineStr"/>
      <c r="K2062" t="inlineStr"/>
      <c r="L2062" t="inlineStr"/>
      <c r="M2062" t="inlineStr"/>
      <c r="N2062" t="inlineStr"/>
      <c r="O2062">
        <f>(1-Summary!$B$11)*T2062+Summary!$B$11*V2062</f>
        <v/>
      </c>
      <c r="P2062">
        <f>IF(B2084=0,0,O2062/B2084)</f>
        <v/>
      </c>
      <c r="Q2062" t="n">
        <v>0</v>
      </c>
      <c r="R2062" t="n">
        <v>0</v>
      </c>
      <c r="S2062">
        <f>IFERROR(O2062/N2062,0)</f>
        <v/>
      </c>
      <c r="T2062" t="n">
        <v>0</v>
      </c>
      <c r="V2062" t="n">
        <v>0</v>
      </c>
    </row>
    <row r="2063">
      <c r="A2063">
        <f>Skills!A24</f>
        <v/>
      </c>
      <c r="B2063">
        <f>Skills!B24</f>
        <v/>
      </c>
      <c r="C2063">
        <f>Inputs!$B$3&gt;=33</f>
        <v/>
      </c>
      <c r="D2063">
        <f>IF(Skills!C24=1,60+Inputs!$B$25+Inputs!$B$29,IF(Skills!C24=2,90+Inputs!$B$26+Inputs!$B$29,IF(Skills!C24=3,120+Inputs!$B$27+Inputs!$B$29,MAX(0,(Inputs!$B$3-100)*3)+Inputs!$B$28+Inputs!$B$29)))</f>
        <v/>
      </c>
      <c r="E2063">
        <f>INDEX(FactorTable!$B$2:$Y$301, MATCH(ROUND(MIN(300,MAX(1,D2063)),0), FactorTable!$A$2:$A$301,0), Skills!M24+1)</f>
        <v/>
      </c>
      <c r="F2063">
        <f>IF(Skills!N24=TRUE,(Skills!L24/10)*(E2063/1000),Skills!L24/10)+Skills!O24</f>
        <v/>
      </c>
      <c r="G2063">
        <f>Skills!G24*IF(Skills!H24&gt;0,INT(IF(Inputs!$B$38="pvp",MIN(Skills!I24,15),Skills!I24)/Skills!H24+0.000000001),1)</f>
        <v/>
      </c>
      <c r="H2063">
        <f>1-(1-Skills!J24/100)^Skills!K24</f>
        <v/>
      </c>
      <c r="I2063" t="inlineStr">
        <is>
          <t>1</t>
        </is>
      </c>
      <c r="J2063" t="inlineStr"/>
      <c r="K2063" t="inlineStr"/>
      <c r="L2063" t="inlineStr"/>
      <c r="M2063" t="inlineStr"/>
      <c r="N2063" t="inlineStr"/>
      <c r="O2063">
        <f>(1-Summary!$B$11)*T2063+Summary!$B$11*V2063</f>
        <v/>
      </c>
      <c r="P2063">
        <f>IF(B2084=0,0,O2063/B2084)</f>
        <v/>
      </c>
      <c r="Q2063" t="n">
        <v>0</v>
      </c>
      <c r="R2063" t="n">
        <v>0</v>
      </c>
      <c r="S2063">
        <f>IFERROR(O2063/N2063,0)</f>
        <v/>
      </c>
      <c r="T2063" t="n">
        <v>0</v>
      </c>
      <c r="V2063" t="n">
        <v>0</v>
      </c>
    </row>
    <row r="2064">
      <c r="A2064">
        <f>Skills!A25</f>
        <v/>
      </c>
      <c r="B2064">
        <f>Skills!B25</f>
        <v/>
      </c>
      <c r="C2064">
        <f>Inputs!$B$3&gt;=38</f>
        <v/>
      </c>
      <c r="D2064">
        <f>IF(Skills!C25=1,60+Inputs!$B$25+Inputs!$B$29,IF(Skills!C25=2,90+Inputs!$B$26+Inputs!$B$29,IF(Skills!C25=3,120+Inputs!$B$27+Inputs!$B$29,MAX(0,(Inputs!$B$3-100)*3)+Inputs!$B$28+Inputs!$B$29)))</f>
        <v/>
      </c>
      <c r="E2064">
        <f>INDEX(FactorTable!$B$2:$Y$301, MATCH(ROUND(MIN(300,MAX(1,D2064)),0), FactorTable!$A$2:$A$301,0), Skills!M25+1)</f>
        <v/>
      </c>
      <c r="F2064">
        <f>IF(Skills!N25=TRUE,(Skills!L25/10)*(E2064/1000),Skills!L25/10)+Skills!O25</f>
        <v/>
      </c>
      <c r="G2064">
        <f>Skills!G25*IF(Skills!H25&gt;0,INT(IF(Inputs!$B$38="pvp",MIN(Skills!I25,15),Skills!I25)/Skills!H25+0.000000001),1)</f>
        <v/>
      </c>
      <c r="H2064">
        <f>1-(1-Skills!J25/100)^Skills!K25</f>
        <v/>
      </c>
      <c r="I2064" t="inlineStr">
        <is>
          <t>1</t>
        </is>
      </c>
      <c r="J2064" t="inlineStr"/>
      <c r="K2064" t="inlineStr"/>
      <c r="L2064" t="inlineStr"/>
      <c r="M2064" t="inlineStr"/>
      <c r="N2064" t="inlineStr"/>
      <c r="O2064">
        <f>(1-Summary!$B$11)*T2064+Summary!$B$11*V2064</f>
        <v/>
      </c>
      <c r="P2064">
        <f>IF(B2084=0,0,O2064/B2084)</f>
        <v/>
      </c>
      <c r="Q2064" t="n">
        <v>0</v>
      </c>
      <c r="R2064" t="n">
        <v>0</v>
      </c>
      <c r="S2064">
        <f>IFERROR(O2064/N2064,0)</f>
        <v/>
      </c>
      <c r="T2064" t="n">
        <v>0</v>
      </c>
      <c r="V2064" t="n">
        <v>0</v>
      </c>
    </row>
    <row r="2065">
      <c r="A2065">
        <f>Skills!A26</f>
        <v/>
      </c>
      <c r="B2065">
        <f>Skills!B26</f>
        <v/>
      </c>
      <c r="C2065">
        <f>Inputs!$B$3&gt;=43</f>
        <v/>
      </c>
      <c r="D2065">
        <f>IF(Skills!C26=1,60+Inputs!$B$25+Inputs!$B$29,IF(Skills!C26=2,90+Inputs!$B$26+Inputs!$B$29,IF(Skills!C26=3,120+Inputs!$B$27+Inputs!$B$29,MAX(0,(Inputs!$B$3-100)*3)+Inputs!$B$28+Inputs!$B$29)))</f>
        <v/>
      </c>
      <c r="E2065">
        <f>INDEX(FactorTable!$B$2:$Y$301, MATCH(ROUND(MIN(300,MAX(1,D2065)),0), FactorTable!$A$2:$A$301,0), Skills!M26+1)</f>
        <v/>
      </c>
      <c r="F2065">
        <f>IF(Skills!N26=TRUE,(Skills!L26/10)*(E2065/1000),Skills!L26/10)+Skills!O26</f>
        <v/>
      </c>
      <c r="G2065">
        <f>Skills!G26*IF(Skills!H26&gt;0,INT(IF(Inputs!$B$38="pvp",MIN(Skills!I26,15),Skills!I26)/Skills!H26+0.000000001),1)</f>
        <v/>
      </c>
      <c r="H2065">
        <f>1-(1-Skills!J26/100)^Skills!K26</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Skills!A27</f>
        <v/>
      </c>
      <c r="B2066">
        <f>Skills!B27</f>
        <v/>
      </c>
      <c r="C2066">
        <f>Inputs!$B$3&gt;=75</f>
        <v/>
      </c>
      <c r="D2066">
        <f>IF(Skills!C27=1,60+Inputs!$B$25+Inputs!$B$29,IF(Skills!C27=2,90+Inputs!$B$26+Inputs!$B$29,IF(Skills!C27=3,120+Inputs!$B$27+Inputs!$B$29,MAX(0,(Inputs!$B$3-100)*3)+Inputs!$B$28+Inputs!$B$29)))</f>
        <v/>
      </c>
      <c r="E2066">
        <f>INDEX(FactorTable!$B$2:$Y$301, MATCH(ROUND(MIN(300,MAX(1,D2066)),0), FactorTable!$A$2:$A$301,0), Skills!M27+1)</f>
        <v/>
      </c>
      <c r="F2066">
        <f>IF(Skills!N27=TRUE,(Skills!L27/10)*(E2066/1000),Skills!L27/10)+Skills!O27</f>
        <v/>
      </c>
      <c r="G2066">
        <f>Skills!G27*IF(Skills!H27&gt;0,INT(IF(Inputs!$B$38="pvp",MIN(Skills!I27,15),Skills!I27)/Skills!H27+0.000000001),1)</f>
        <v/>
      </c>
      <c r="H2066">
        <f>1-(1-Skills!J27/100)^Skills!K27</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Skills!A28</f>
        <v/>
      </c>
      <c r="B2067">
        <f>Skills!B28</f>
        <v/>
      </c>
      <c r="C2067">
        <f>Inputs!$B$3&gt;=125</f>
        <v/>
      </c>
      <c r="D2067">
        <f>IF(Skills!C28=1,60+Inputs!$B$25+Inputs!$B$29,IF(Skills!C28=2,90+Inputs!$B$26+Inputs!$B$29,IF(Skills!C28=3,120+Inputs!$B$27+Inputs!$B$29,MAX(0,(Inputs!$B$3-100)*3)+Inputs!$B$28+Inputs!$B$29)))</f>
        <v/>
      </c>
      <c r="E2067">
        <f>INDEX(FactorTable!$B$2:$Y$301, MATCH(ROUND(MIN(300,MAX(1,D2067)),0), FactorTable!$A$2:$A$301,0), Skills!M28+1)</f>
        <v/>
      </c>
      <c r="F2067">
        <f>IF(Skills!N28=TRUE,(Skills!L28/10)*(E2067/1000),Skills!L28/10)+Skills!O28</f>
        <v/>
      </c>
      <c r="G2067">
        <f>Skills!G28*IF(Skills!H28&gt;0,INT(IF(Inputs!$B$38="pvp",MIN(Skills!I28,15),Skills!I28)/Skills!H28+0.000000001),1)</f>
        <v/>
      </c>
      <c r="H2067">
        <f>1-(1-Skills!J28/100)^Skills!K28</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Skills!A29</f>
        <v/>
      </c>
      <c r="B2068">
        <f>Skills!B29</f>
        <v/>
      </c>
      <c r="C2068">
        <f>Inputs!$B$3&gt;=125</f>
        <v/>
      </c>
      <c r="D2068">
        <f>IF(Skills!C29=1,60+Inputs!$B$25+Inputs!$B$29,IF(Skills!C29=2,90+Inputs!$B$26+Inputs!$B$29,IF(Skills!C29=3,120+Inputs!$B$27+Inputs!$B$29,MAX(0,(Inputs!$B$3-100)*3)+Inputs!$B$28+Inputs!$B$29)))</f>
        <v/>
      </c>
      <c r="E2068">
        <f>INDEX(FactorTable!$B$2:$Y$301, MATCH(ROUND(MIN(300,MAX(1,D2068)),0), FactorTable!$A$2:$A$301,0), Skills!M29+1)</f>
        <v/>
      </c>
      <c r="F2068">
        <f>IF(Skills!N29=TRUE,(Skills!L29/10)*(E2068/1000),Skills!L29/10)+Skills!O29</f>
        <v/>
      </c>
      <c r="G2068">
        <f>Skills!G29*IF(Skills!H29&gt;0,INT(IF(Inputs!$B$38="pvp",MIN(Skills!I29,15),Skills!I29)/Skills!H29+0.000000001),1)</f>
        <v/>
      </c>
      <c r="H2068">
        <f>1-(1-Skills!J29/100)^Skills!K29</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Skills!A30</f>
        <v/>
      </c>
      <c r="B2069">
        <f>Skills!B30</f>
        <v/>
      </c>
      <c r="C2069">
        <f>Inputs!$B$3&gt;=120</f>
        <v/>
      </c>
      <c r="D2069">
        <f>IF(Skills!C30=1,60+Inputs!$B$25+Inputs!$B$29,IF(Skills!C30=2,90+Inputs!$B$26+Inputs!$B$29,IF(Skills!C30=3,120+Inputs!$B$27+Inputs!$B$29,MAX(0,(Inputs!$B$3-100)*3)+Inputs!$B$28+Inputs!$B$29)))</f>
        <v/>
      </c>
      <c r="E2069">
        <f>INDEX(FactorTable!$B$2:$Y$301, MATCH(ROUND(MIN(300,MAX(1,D2069)),0), FactorTable!$A$2:$A$301,0), Skills!M30+1)</f>
        <v/>
      </c>
      <c r="F2069">
        <f>IF(Skills!N30=TRUE,(Skills!L30/10)*(E2069/1000),Skills!L30/10)+Skills!O30</f>
        <v/>
      </c>
      <c r="G2069">
        <f>Skills!G30*IF(Skills!H30&gt;0,INT(IF(Inputs!$B$38="pvp",MIN(Skills!I30,15),Skills!I30)/Skills!H30+0.000000001),1)</f>
        <v/>
      </c>
      <c r="H2069">
        <f>1-(1-Skills!J30/100)^Skills!K30</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Skills!A31</f>
        <v/>
      </c>
      <c r="B2070">
        <f>Skills!B31</f>
        <v/>
      </c>
      <c r="C2070">
        <f>Inputs!$B$3&gt;=120</f>
        <v/>
      </c>
      <c r="D2070">
        <f>IF(Skills!C31=1,60+Inputs!$B$25+Inputs!$B$29,IF(Skills!C31=2,90+Inputs!$B$26+Inputs!$B$29,IF(Skills!C31=3,120+Inputs!$B$27+Inputs!$B$29,MAX(0,(Inputs!$B$3-100)*3)+Inputs!$B$28+Inputs!$B$29)))</f>
        <v/>
      </c>
      <c r="E2070">
        <f>INDEX(FactorTable!$B$2:$Y$301, MATCH(ROUND(MIN(300,MAX(1,D2070)),0), FactorTable!$A$2:$A$301,0), Skills!M31+1)</f>
        <v/>
      </c>
      <c r="F2070">
        <f>IF(Skills!N31=TRUE,(Skills!L31/10)*(E2070/1000),Skills!L31/10)+Skills!O31</f>
        <v/>
      </c>
      <c r="G2070">
        <f>Skills!G31*IF(Skills!H31&gt;0,INT(IF(Inputs!$B$38="pvp",MIN(Skills!I31,15),Skills!I31)/Skills!H31+0.000000001),1)</f>
        <v/>
      </c>
      <c r="H2070">
        <f>1-(1-Skills!J31/100)^Skills!K31</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Skills!A32</f>
        <v/>
      </c>
      <c r="B2071">
        <f>Skills!B32</f>
        <v/>
      </c>
      <c r="C2071">
        <f>Inputs!$B$3&gt;=45</f>
        <v/>
      </c>
      <c r="D2071">
        <f>IF(Skills!C32=1,60+Inputs!$B$25+Inputs!$B$29,IF(Skills!C32=2,90+Inputs!$B$26+Inputs!$B$29,IF(Skills!C32=3,120+Inputs!$B$27+Inputs!$B$29,MAX(0,(Inputs!$B$3-100)*3)+Inputs!$B$28+Inputs!$B$29)))</f>
        <v/>
      </c>
      <c r="E2071">
        <f>INDEX(FactorTable!$B$2:$Y$301, MATCH(ROUND(MIN(300,MAX(1,D2071)),0), FactorTable!$A$2:$A$301,0), Skills!M32+1)</f>
        <v/>
      </c>
      <c r="F2071">
        <f>IF(Skills!N32=TRUE,(Skills!L32/10)*(E2071/1000),Skills!L32/10)+Skills!O32</f>
        <v/>
      </c>
      <c r="G2071">
        <f>Skills!G32*IF(Skills!H32&gt;0,INT(IF(Inputs!$B$38="pvp",MIN(Skills!I32,15),Skills!I32)/Skills!H32+0.000000001),1)</f>
        <v/>
      </c>
      <c r="H2071">
        <f>1-(1-Skills!J32/100)^Skills!K32</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2060=TRUE)*F2060*IF(AND(Inputs!$B$38&lt;&gt;"pvp",Inputs!$B$43&gt;0),(((R2060-1)*MIN((Skills!T21*(1+Inputs!$B$34/100)),(1/Q2060))+MIN((Skills!T21*(1+Inputs!$B$34/100)),MAX(0,Inputs!$B$43-((R2060-1)*(1/Q2060)))))/Inputs!$B$43),IF(Inputs!$B$38="pvp",MIN((Skills!T21*(1+Inputs!$B$34/100)),15)/15,MIN(1,(Skills!T21*(1+Inputs!$B$34/100))/(1/Q2060)))))</f>
        <v/>
      </c>
    </row>
    <row r="2076">
      <c r="A2076" t="inlineStr">
        <is>
          <t>Actions Per Second</t>
        </is>
      </c>
      <c r="B2076">
        <f>1+MIN(150,150*(1-(1-(Inputs!$B$11+((C2062=TRUE)*(F2062-Calc!F23))+((C2063=TRUE)*(F2063-Calc!F24)))/150)*(1-B2075/150)))/100</f>
        <v/>
      </c>
    </row>
    <row r="2077">
      <c r="A2077" t="inlineStr">
        <is>
          <t>Skill + Buff Cast Rate</t>
        </is>
      </c>
      <c r="B2077">
        <f>IF(AND(Inputs!$B$38&lt;&gt;"pvp",Inputs!$B$43&gt;0),SUMPRODUCT((Skills!E2:E32=TRUE)*(C2041:C2071=TRUE)*R2041:R2071*Skills!F2:F32)/Inputs!$B$43,SUMPRODUCT((Skills!E2:E32=TRUE)*(C2041:C2071=TRUE)*Q2041:Q2071*Skills!F2:F32))</f>
        <v/>
      </c>
    </row>
    <row r="2078">
      <c r="A2078" t="inlineStr">
        <is>
          <t>Arrow Stream Casts Per Second</t>
        </is>
      </c>
      <c r="B2078">
        <f>MAX(0,B2076-B2077)</f>
        <v/>
      </c>
    </row>
    <row r="2079">
      <c r="A2079" t="inlineStr">
        <is>
          <t>Global Critical Damage Bonus % (Sharp Eyes + Concentration)</t>
        </is>
      </c>
      <c r="B2079">
        <f>(C2057=TRUE)*F2057*IF(AND(Inputs!$B$38&lt;&gt;"pvp",Inputs!$B$43&gt;0),(((R2057-1)*MIN((Skills!T18*(1+Inputs!$B$34/100)),(1/Q2057))+MIN((Skills!T18*(1+Inputs!$B$34/100)),MAX(0,Inputs!$B$43-((R2057-1)*(1/Q2057)))))/Inputs!$B$43),IF(Inputs!$B$38="pvp",MIN((Skills!T18*(1+Inputs!$B$34/100)),15)/15,MIN(1,(Skills!T18*(1+Inputs!$B$34/100))/(1/Q2057))))+(C2058=TRUE)*7*F2058</f>
        <v/>
      </c>
    </row>
    <row r="2080">
      <c r="A2080" t="inlineStr">
        <is>
          <t>Global Final Damage Bonus % (Mortal Blow)</t>
        </is>
      </c>
      <c r="B2080">
        <f>(C2059=TRUE)*F2059</f>
        <v/>
      </c>
    </row>
    <row r="2081">
      <c r="A2081" t="inlineStr">
        <is>
          <t>Buff-Casting Startup Delay (s, fixed-duration only)</t>
        </is>
      </c>
      <c r="B2081">
        <f>IF(AND(Inputs!$B$38&lt;&gt;"pvp",Inputs!$B$43&gt;0),SUMPRODUCT((Skills!T2:T32&gt;0)*(Skills!E2:E32=TRUE)*(C2041:C2071=TRUE))/B2076,0)</f>
        <v/>
      </c>
    </row>
    <row r="2082">
      <c r="A2082" t="inlineStr">
        <is>
          <t>Boss-Only Total DPS (this block's swept value)</t>
        </is>
      </c>
      <c r="B2082">
        <f>SUM(T2041:T2071)</f>
        <v/>
      </c>
    </row>
    <row r="2083">
      <c r="A2083" t="inlineStr">
        <is>
          <t>Normal-Only Total DPS (this block's swept value)</t>
        </is>
      </c>
      <c r="B2083">
        <f>SUM(V2041:V2071)</f>
        <v/>
      </c>
    </row>
    <row r="2084">
      <c r="A2084" s="6" t="inlineStr">
        <is>
          <t>TOTAL DPS</t>
        </is>
      </c>
      <c r="B2084" s="6">
        <f>SUM(O2041:O2071)</f>
        <v/>
      </c>
    </row>
    <row r="2087">
      <c r="A2087" s="6" t="inlineStr">
        <is>
          <t>Stat: Star Rock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Skills!G2*IF(Skills!H2&gt;0,INT(IF(Inputs!$B$38="pvp",MIN(Skills!I2,15),Skills!I2)/Skills!H2+0.000000001),1)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2113=TRUE)*(F2113-Calc!F26)),(Inputs!$B$23+((C2118=TRUE)*(F2118-Calc!F31))+(IF(ArtifactsInput!$M$15,CHOOSE(ArtifactsInput!$N$15+1,25,30,35,40,45,50)/100*(Inputs!$B$11-Inputs!$B$11),0))))/100+(Inputs!$B$23+((C2118=TRUE)*(F2118-Calc!F31))+(IF(ArtifactsInput!$M$15,CHOOSE(ArtifactsInput!$N$15+1,25,30,35,40,45,50)/100*(Inputs!$B$11-Inputs!$B$11),0)))/100)/2</f>
        <v/>
      </c>
      <c r="M2089">
        <f>L2089*(1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IF(B2132=0,0,O2089/B2132)</f>
        <v/>
      </c>
      <c r="Q2089" t="n">
        <v>0</v>
      </c>
      <c r="R2089" t="n">
        <v>0</v>
      </c>
      <c r="S2089">
        <f>IFERROR(O2089/N2089,0)</f>
        <v/>
      </c>
      <c r="T2089">
        <f>IF(C2089,(Skills!G2*N2089*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f>Skills!G3*IF(Skills!H3&gt;0,INT(IF(Inputs!$B$38="pvp",MIN(Skills!I3,15),Skills!I3)/Skills!H3+0.000000001),1)</f>
        <v/>
      </c>
      <c r="H2090">
        <f>1-(1-Skills!J3/100)^Skills!K3</f>
        <v/>
      </c>
      <c r="I2090" t="inlineStr">
        <is>
          <t>1</t>
        </is>
      </c>
      <c r="J2090">
        <f>((Inputs!$B$6*(1+Inputs!$B$7/100))+(((Inputs!$B$12*(1+Inputs!$B$13/100))-(Inputs!$B$12*(1+Inputs!$B$13/100)))+0.25*(Inputs!$B$14-Inputs!$B$14))*(1+Inputs!$B$7/100))*(F2090/100)</f>
        <v/>
      </c>
      <c r="K2090">
        <f>J2090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2091=TRUE,F2091,0)/100)*(1+(IF(Skills!A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2090)</f>
        <v/>
      </c>
      <c r="L2090">
        <f>K2090*(MIN(Inputs!$B$22+((C2113=TRUE)*(F2113-Calc!F26)),(Inputs!$B$23+((C2118=TRUE)*(F2118-Calc!F31))+(IF(ArtifactsInput!$M$15,CHOOSE(ArtifactsInput!$N$15+1,25,30,35,40,45,50)/100*(Inputs!$B$11-Inputs!$B$11),0))))/100+(Inputs!$B$23+((C2118=TRUE)*(F2118-Calc!F31))+(IF(ArtifactsInput!$M$15,CHOOSE(ArtifactsInput!$N$15+1,25,30,35,40,45,50)/100*(Inputs!$B$11-Inputs!$B$11),0)))/100)/2</f>
        <v/>
      </c>
      <c r="M2090">
        <f>L2090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0">
        <f>L2090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0">
        <f>(1-Summary!$B$11)*T2090+Summary!$B$11*V2090</f>
        <v/>
      </c>
      <c r="P2090">
        <f>IF(B2132=0,0,O2090/B2132)</f>
        <v/>
      </c>
      <c r="Q2090">
        <f>IFERROR(1/(IF(Inputs!$B$38="pvp",15,MAX(0.1,1/B2124-IF(FALSE=TRUE,Inputs!$B$32,0)))*(1-IF(AND(ArtifactsInput!$M$27,Inputs!$B$4="Chapter Hunt"),CHOOSE(ArtifactsInput!$N$27+1,20,24,28,32,36,40),0)/100)),0)</f>
        <v/>
      </c>
      <c r="R2090">
        <f>IF(AND(Inputs!$B$38&lt;&gt;"pvp",Inputs!$B$43&gt;0),IF(MAX(0,Inputs!$B$43-B2129)&lt;=0,0,(INT(MAX(0,Inputs!$B$43-B2129)/(IF(Inputs!$B$38="pvp",15,MAX(0.1,1/B2124-IF(FALSE=TRUE,Inputs!$B$32,0)))*(1-IF(AND(ArtifactsInput!$M$27,Inputs!$B$4="Chapter Hunt"),CHOOSE(ArtifactsInput!$N$27+1,20,24,28,32,36,40),0)/100)))+1)),0)</f>
        <v/>
      </c>
      <c r="S2090">
        <f>IFERROR(O2090/N2090,0)</f>
        <v/>
      </c>
      <c r="T2090">
        <f>IF(C2090,(H2090*N2090*IF(AND(Inputs!$B$38&lt;&gt;"pvp",Inputs!$B$43&gt;0),((Skills!G3*((R2090-1)*IF(Skills!H3&gt;0,INT(Skills!I3/Skills!H3+0.000000001),1)+IF(Skills!H3&gt;0,INT(MIN(Skills!I3,MAX(0,MAX(0,Inputs!$B$43-B2129)-((R2090-1)*(IF(Inputs!$B$38="pvp",15,MAX(0.1,1/B2124-IF(FALSE=TRUE,Inputs!$B$32,0)))*(1-IF(AND(ArtifactsInput!$M$27,Inputs!$B$4="Chapter Hunt"),CHOOSE(ArtifactsInput!$N$27+1,20,24,28,32,36,40),0)/100)))))/Skills!H3+0.000000001),1)))/Inputs!$B$43),G2090*Q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0">
        <f>INDEX(FactorTable!$B$2:$Y$301, MATCH(ROUND(MIN(300,MAX(1,U2089)),0), FactorTable!$A$2:$A$301,0), 22)</f>
        <v/>
      </c>
      <c r="V2090">
        <f>IF(C2090,(H2090*N2090*IF(AND(Inputs!$B$38&lt;&gt;"pvp",Inputs!$B$43&gt;0),((Skills!G3*((R2090-1)*IF(Skills!H3&gt;0,INT(Skills!I3/Skills!H3+0.000000001),1)+IF(Skills!H3&gt;0,INT(MIN(Skills!I3,MAX(0,MAX(0,Inputs!$B$43-B2129)-((R2090-1)*(IF(Inputs!$B$38="pvp",15,MAX(0.1,1/B2124-IF(FALSE=TRUE,Inputs!$B$32,0)))*(1-IF(AND(ArtifactsInput!$M$27,Inputs!$B$4="Chapter Hunt"),CHOOSE(ArtifactsInput!$N$27+1,20,24,28,32,36,40),0)/100)))))/Skills!H3+0.000000001),1)))/Inputs!$B$43),G2090*Q2090))*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T2091" t="inlineStr"/>
      <c r="U2091">
        <f>290*U2090/1000</f>
        <v/>
      </c>
      <c r="V2091" t="inlineStr"/>
    </row>
    <row r="2092">
      <c r="A2092">
        <f>Skills!A5</f>
        <v/>
      </c>
      <c r="B2092">
        <f>Skills!B5</f>
        <v/>
      </c>
      <c r="C2092">
        <f>Inputs!$B$3&gt;=35</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Skills!G5*IF(Skills!H5&gt;0,INT(IF(Inputs!$B$38="pvp",MIN(Skills!I5,15),Skills!I5)/Skills!H5+0.000000001),1)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5="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2113=TRUE)*(F2113-Calc!F26)),(Inputs!$B$23+((C2118=TRUE)*(F2118-Calc!F31))+(IF(ArtifactsInput!$M$15,CHOOSE(ArtifactsInput!$N$15+1,25,30,35,40,45,50)/100*(Inputs!$B$11-Inputs!$B$11),0))))/100+(Inputs!$B$23+((C2118=TRUE)*(F2118-Calc!F31))+(IF(ArtifactsInput!$M$15,CHOOSE(ArtifactsInput!$N$15+1,25,30,35,40,45,50)/100*(Inputs!$B$11-Inputs!$B$11),0)))/100)/2</f>
        <v/>
      </c>
      <c r="M2092">
        <f>L2092*(1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IF(B2132=0,0,O2092/B2132)</f>
        <v/>
      </c>
      <c r="Q2092">
        <f>IFERROR(1/(IF(Inputs!$B$38="pvp",15,MAX(0.1,Skills!D5-IF(TRUE=TRUE,Inputs!$B$32,0)))*(1-IF(AND(ArtifactsInput!$M$27,Inputs!$B$4="Chapter Hunt"),CHOOSE(ArtifactsInput!$N$27+1,20,24,28,32,36,40),0)/100)),0)</f>
        <v/>
      </c>
      <c r="R2092">
        <f>IF(AND(Inputs!$B$38&lt;&gt;"pvp",Inputs!$B$43&gt;0),IF(MAX(0,Inputs!$B$43-B2129)&lt;=0,0,(INT(MAX(0,Inputs!$B$43-B2129)/(IF(Inputs!$B$38="pvp",15,MAX(0.1,Skills!D5-IF(TRUE=TRUE,Inputs!$B$32,0)))*(1-IF(AND(ArtifactsInput!$M$27,Inputs!$B$4="Chapter Hunt"),CHOOSE(ArtifactsInput!$N$27+1,20,24,28,32,36,40),0)/100)))+1)),0)</f>
        <v/>
      </c>
      <c r="S2092">
        <f>IFERROR(O2092/N2092,0)</f>
        <v/>
      </c>
      <c r="T2092">
        <f>IF(C2092,(H2092*N2092*IF(AND(Inputs!$B$38&lt;&gt;"pvp",Inputs!$B$43&gt;0),((Skills!G5*((R2092-1)*IF(Skills!H5&gt;0,INT(Skills!I5/Skills!H5+0.000000001),1)+IF(Skills!H5&gt;0,INT(MIN(Skills!I5,MAX(0,MAX(0,Inputs!$B$43-B2129)-((R2092-1)*(IF(Inputs!$B$38="pvp",15,MAX(0.1,Skills!D5-IF(TRUE=TRUE,Inputs!$B$32,0)))*(1-IF(AND(ArtifactsInput!$M$27,Inputs!$B$4="Chapter Hunt"),CHOOSE(ArtifactsInput!$N$27+1,20,24,28,32,36,40),0)/100)))))/Skills!H5+0.000000001),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INT(Skills!I5/Skills!H5+0.000000001),1)+IF(Skills!H5&gt;0,INT(MIN(Skills!I5,MAX(0,MAX(0,Inputs!$B$43-B2129)-((R2092-1)*(IF(Inputs!$B$38="pvp",15,MAX(0.1,Skills!D5-IF(TRUE=TRUE,Inputs!$B$32,0)))*(1-IF(AND(ArtifactsInput!$M$27,Inputs!$B$4="Chapter Hunt"),CHOOSE(ArtifactsInput!$N$27+1,20,24,28,32,36,40),0)/100)))))/Skills!H5+0.000000001),1)))/Inputs!$B$43),G2092*Q2092))*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Inputs!$B$3&gt;=40</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Skills!G6*IF(Skills!H6&gt;0,INT(IF(Inputs!$B$38="pvp",MIN(Skills!I6,15),Skills!I6)/Skills!H6+0.000000001),1)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Skills!A6="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2113=TRUE)*(F2113-Calc!F26)),(Inputs!$B$23+((C2118=TRUE)*(F2118-Calc!F31))+(IF(ArtifactsInput!$M$15,CHOOSE(ArtifactsInput!$N$15+1,25,30,35,40,45,50)/100*(Inputs!$B$11-Inputs!$B$11),0))))/100+(Inputs!$B$23+((C2118=TRUE)*(F2118-Calc!F31))+(IF(ArtifactsInput!$M$15,CHOOSE(ArtifactsInput!$N$15+1,25,30,35,40,45,50)/100*(Inputs!$B$11-Inputs!$B$11),0)))/100)/2</f>
        <v/>
      </c>
      <c r="M2093">
        <f>L2093*(1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IF(B2132=0,0,O2093/B2132)</f>
        <v/>
      </c>
      <c r="Q2093">
        <f>IFERROR(1/(IF(Inputs!$B$38="pvp",15,MAX(0.1,1-0.4*MIN(1,(B2124-1)/1.5)-IF(FALSE=TRUE,Inputs!$B$32,0)))*(1-IF(AND(ArtifactsInput!$M$27,Inputs!$B$4="Chapter Hunt"),CHOOSE(ArtifactsInput!$N$27+1,20,24,28,32,36,40),0)/100)),0)</f>
        <v/>
      </c>
      <c r="R2093">
        <f>IF(AND(Inputs!$B$38&lt;&gt;"pvp",Inputs!$B$43&gt;0),IF(MAX(0,Inputs!$B$43-B2129)&lt;=0,0,(INT(MAX(0,Inputs!$B$43-B2129)/(IF(Inputs!$B$38="pvp",15,MAX(0.1,1-0.4*MIN(1,(B2124-1)/1.5)-IF(FALSE=TRUE,Inputs!$B$32,0)))*(1-IF(AND(ArtifactsInput!$M$27,Inputs!$B$4="Chapter Hunt"),CHOOSE(ArtifactsInput!$N$27+1,20,24,28,32,36,40),0)/100)))+1)),0)</f>
        <v/>
      </c>
      <c r="S2093">
        <f>IFERROR(O2093/N2093,0)</f>
        <v/>
      </c>
      <c r="T2093">
        <f>IF(C2093,(H2093*N2093*IF(AND(Inputs!$B$38&lt;&gt;"pvp",Inputs!$B$43&gt;0),((Skills!G6*((R2093-1)*IF(Skills!H6&gt;0,INT(Skills!I6/Skills!H6+0.000000001),1)+IF(Skills!H6&gt;0,INT(MIN(Skills!I6,MAX(0,MAX(0,Inputs!$B$43-B2129)-((R2093-1)*(IF(Inputs!$B$38="pvp",15,MAX(0.1,1-0.4*MIN(1,(B2124-1)/1.5)-IF(FALSE=TRUE,Inputs!$B$32,0)))*(1-IF(AND(ArtifactsInput!$M$27,Inputs!$B$4="Chapter Hunt"),CHOOSE(ArtifactsInput!$N$27+1,20,24,28,32,36,40),0)/100)))))/Skills!H6+0.000000001),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INT(Skills!I6/Skills!H6+0.000000001),1)+IF(Skills!H6&gt;0,INT(MIN(Skills!I6,MAX(0,MAX(0,Inputs!$B$43-B2129)-((R2093-1)*(IF(Inputs!$B$38="pvp",15,MAX(0.1,1-0.4*MIN(1,(B2124-1)/1.5)-IF(FALSE=TRUE,Inputs!$B$32,0)))*(1-IF(AND(ArtifactsInput!$M$27,Inputs!$B$4="Chapter Hunt"),CHOOSE(ArtifactsInput!$N$27+1,20,24,28,32,36,40),0)/100)))))/Skills!H6+0.000000001),1)))/Inputs!$B$43),G2093*Q2093))*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t="inlineStr"/>
      <c r="H2094" t="inlineStr"/>
      <c r="I2094" t="inlineStr">
        <is>
          <t>1</t>
        </is>
      </c>
      <c r="J2094" t="inlineStr"/>
      <c r="K2094" t="inlineStr"/>
      <c r="L2094" t="inlineStr"/>
      <c r="M2094" t="inlineStr"/>
      <c r="N2094" t="inlineStr"/>
      <c r="O2094" t="inlineStr"/>
      <c r="P2094" t="inlineStr"/>
      <c r="Q2094" t="inlineStr"/>
      <c r="R2094" t="inlineStr"/>
      <c r="S2094" t="inlineStr"/>
      <c r="T2094" t="inlineStr"/>
      <c r="V2094" t="inlineStr"/>
    </row>
    <row r="2095">
      <c r="A2095">
        <f>Skills!A8</f>
        <v/>
      </c>
      <c r="B2095">
        <f>Skills!B8</f>
        <v/>
      </c>
      <c r="C2095">
        <f>Inputs!$B$3&gt;=130</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Skills!G8*IF(Skills!H8&gt;0,INT(IF(Inputs!$B$38="pvp",MIN(Skills!I8,15),Skills!I8)/Skills!H8+0.000000001),1)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2113=TRUE)*(F2113-Calc!F26)),(Inputs!$B$23+((C2118=TRUE)*(F2118-Calc!F31))+(IF(ArtifactsInput!$M$15,CHOOSE(ArtifactsInput!$N$15+1,25,30,35,40,45,50)/100*(Inputs!$B$11-Inputs!$B$11),0))))/100+(Inputs!$B$23+((C2118=TRUE)*(F2118-Calc!F31))+(IF(ArtifactsInput!$M$15,CHOOSE(ArtifactsInput!$N$15+1,25,30,35,40,45,50)/100*(Inputs!$B$11-Inputs!$B$11),0)))/100)/2</f>
        <v/>
      </c>
      <c r="M2095">
        <f>L2095*(1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IFERROR(1/(IF(Inputs!$B$38="pvp",15,MAX(0.1,1-0.4*MIN(1,(B2124-1)/1.5)-IF(FALSE=TRUE,Inputs!$B$32,0)))*(1-IF(AND(ArtifactsInput!$M$27,Inputs!$B$4="Chapter Hunt"),CHOOSE(ArtifactsInput!$N$27+1,20,24,28,32,36,40),0)/100)),0)</f>
        <v/>
      </c>
      <c r="R2095">
        <f>IF(AND(Inputs!$B$38&lt;&gt;"pvp",Inputs!$B$43&gt;0),IF(MAX(0,Inputs!$B$43-B2129)&lt;=0,0,(INT(MAX(0,Inputs!$B$43-B2129)/(IF(Inputs!$B$38="pvp",15,MAX(0.1,1-0.4*MIN(1,(B2124-1)/1.5)-IF(FALSE=TRUE,Inputs!$B$32,0)))*(1-IF(AND(ArtifactsInput!$M$27,Inputs!$B$4="Chapter Hunt"),CHOOSE(ArtifactsInput!$N$27+1,20,24,28,32,36,40),0)/100)))+1)),0)</f>
        <v/>
      </c>
      <c r="S2095">
        <f>IFERROR(O2095/N2095,0)</f>
        <v/>
      </c>
      <c r="T2095">
        <f>IF(C2095,(H2095*N2095*IF(AND(Inputs!$B$38&lt;&gt;"pvp",Inputs!$B$43&gt;0),((Skills!G8*((R2095-1)*IF(Skills!H8&gt;0,INT(Skills!I8/Skills!H8+0.000000001),1)+IF(Skills!H8&gt;0,INT(MIN(Skills!I8,MAX(0,MAX(0,Inputs!$B$43-B2129)-((R2095-1)*(IF(Inputs!$B$38="pvp",15,MAX(0.1,1-0.4*MIN(1,(B2124-1)/1.5)-IF(FALSE=TRUE,Inputs!$B$32,0)))*(1-IF(AND(ArtifactsInput!$M$27,Inputs!$B$4="Chapter Hunt"),CHOOSE(ArtifactsInput!$N$27+1,20,24,28,32,36,40),0)/100)))))/Skills!H8+0.000000001),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INT(Skills!I8/Skills!H8+0.000000001),1)+IF(Skills!H8&gt;0,INT(MIN(Skills!I8,MAX(0,MAX(0,Inputs!$B$43-B2129)-((R2095-1)*(IF(Inputs!$B$38="pvp",15,MAX(0.1,1-0.4*MIN(1,(B2124-1)/1.5)-IF(FALSE=TRUE,Inputs!$B$32,0)))*(1-IF(AND(ArtifactsInput!$M$27,Inputs!$B$4="Chapter Hunt"),CHOOSE(ArtifactsInput!$N$27+1,20,24,28,32,36,40),0)/100)))))/Skills!H8+0.000000001),1)))/Inputs!$B$43),G2095*Q2095))*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Skills!G9*IF(Skills!H9&gt;0,INT(IF(Inputs!$B$38="pvp",MIN(Skills!I9,15),Skills!I9)/Skills!H9+0.000000001),1)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2099=TRUE,F2099,0)/100)*(1+(IF(Skills!A9="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2113=TRUE)*(F2113-Calc!F26)),(Inputs!$B$23+((C2118=TRUE)*(F2118-Calc!F31))+(IF(ArtifactsInput!$M$15,CHOOSE(ArtifactsInput!$N$15+1,25,30,35,40,45,50)/100*(Inputs!$B$11-Inputs!$B$11),0))))/100+(Inputs!$B$23+((C2118=TRUE)*(F2118-Calc!F31))+(IF(ArtifactsInput!$M$15,CHOOSE(ArtifactsInput!$N$15+1,25,30,35,40,45,50)/100*(Inputs!$B$11-Inputs!$B$11),0)))/100)/2</f>
        <v/>
      </c>
      <c r="M2096">
        <f>L2096*(1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IFERROR(1/(IF(Inputs!$B$38="pvp",15,MAX(0.1,Skills!D9-IF(TRUE=TRUE,Inputs!$B$32,0)))*(1-IF(AND(ArtifactsInput!$M$27,Inputs!$B$4="Chapter Hunt"),CHOOSE(ArtifactsInput!$N$27+1,20,24,28,32,36,40),0)/100)),0)</f>
        <v/>
      </c>
      <c r="R2096">
        <f>IF(AND(Inputs!$B$38&lt;&gt;"pvp",Inputs!$B$43&gt;0),IF(MAX(0,Inputs!$B$43-B2129)&lt;=0,0,(INT(MAX(0,Inputs!$B$43-B2129)/(IF(Inputs!$B$38="pvp",15,MAX(0.1,Skills!D9-IF(TRUE=TRUE,Inputs!$B$32,0)))*(1-IF(AND(ArtifactsInput!$M$27,Inputs!$B$4="Chapter Hunt"),CHOOSE(ArtifactsInput!$N$27+1,20,24,28,32,36,40),0)/100)))+1)),0)</f>
        <v/>
      </c>
      <c r="S2096">
        <f>IFERROR(O2096/N2096,0)</f>
        <v/>
      </c>
      <c r="T2096">
        <f>IF(C2096,(H2096*N2096*IF(AND(Inputs!$B$38&lt;&gt;"pvp",Inputs!$B$43&gt;0),((Skills!G9*((R2096-1)*IF(Skills!H9&gt;0,INT(Skills!I9/Skills!H9+0.000000001),1)+IF(Skills!H9&gt;0,INT(MIN(Skills!I9,MAX(0,MAX(0,Inputs!$B$43-B2129)-((R2096-1)*(IF(Inputs!$B$38="pvp",15,MAX(0.1,Skills!D9-IF(TRUE=TRUE,Inputs!$B$32,0)))*(1-IF(AND(ArtifactsInput!$M$27,Inputs!$B$4="Chapter Hunt"),CHOOSE(ArtifactsInput!$N$27+1,20,24,28,32,36,40),0)/100)))))/Skills!H9+0.000000001),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INT(Skills!I9/Skills!H9+0.000000001),1)+IF(Skills!H9&gt;0,INT(MIN(Skills!I9,MAX(0,MAX(0,Inputs!$B$43-B2129)-((R2096-1)*(IF(Inputs!$B$38="pvp",15,MAX(0.1,Skills!D9-IF(TRUE=TRUE,Inputs!$B$32,0)))*(1-IF(AND(ArtifactsInput!$M$27,Inputs!$B$4="Chapter Hunt"),CHOOSE(ArtifactsInput!$N$27+1,20,24,28,32,36,40),0)/100)))))/Skills!H9+0.000000001),1)))/Inputs!$B$43),G2096*Q2096))*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Skills!G10*IF(Skills!H10&gt;0,INT(IF(Inputs!$B$38="pvp",MIN(Skills!I10,15),Skills!I10)/Skills!H10+0.000000001),1)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10="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2113=TRUE)*(F2113-Calc!F26)),(Inputs!$B$23+((C2118=TRUE)*(F2118-Calc!F31))+(IF(ArtifactsInput!$M$15,CHOOSE(ArtifactsInput!$N$15+1,25,30,35,40,45,50)/100*(Inputs!$B$11-Inputs!$B$11),0))))/100+(Inputs!$B$23+((C2118=TRUE)*(F2118-Calc!F31))+(IF(ArtifactsInput!$M$15,CHOOSE(ArtifactsInput!$N$15+1,25,30,35,40,45,50)/100*(Inputs!$B$11-Inputs!$B$11),0)))/100)/2</f>
        <v/>
      </c>
      <c r="M2097">
        <f>L2097*(1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IFERROR(1/(IF(Inputs!$B$38="pvp",15,MAX(0.1,Skills!D10-IF(TRUE=TRUE,Inputs!$B$32,0)))*(1-IF(AND(ArtifactsInput!$M$27,Inputs!$B$4="Chapter Hunt"),CHOOSE(ArtifactsInput!$N$27+1,20,24,28,32,36,40),0)/100)),0)</f>
        <v/>
      </c>
      <c r="R2097">
        <f>IF(AND(Inputs!$B$38&lt;&gt;"pvp",Inputs!$B$43&gt;0),IF(MAX(0,Inputs!$B$43-B2129)&lt;=0,0,(INT(MAX(0,Inputs!$B$43-B2129)/(IF(Inputs!$B$38="pvp",15,MAX(0.1,Skills!D10-IF(TRUE=TRUE,Inputs!$B$32,0)))*(1-IF(AND(ArtifactsInput!$M$27,Inputs!$B$4="Chapter Hunt"),CHOOSE(ArtifactsInput!$N$27+1,20,24,28,32,36,40),0)/100)))+1)),0)</f>
        <v/>
      </c>
      <c r="S2097">
        <f>IFERROR(O2097/N2097,0)</f>
        <v/>
      </c>
      <c r="T2097">
        <f>IF(C2097,(H2097*N2097*IF(AND(Inputs!$B$38&lt;&gt;"pvp",Inputs!$B$43&gt;0),((Skills!G10*((R2097-1)*IF(Skills!H10&gt;0,INT(Skills!I10/Skills!H10+0.000000001),1)+IF(Skills!H10&gt;0,INT(MIN(Skills!I10,MAX(0,MAX(0,Inputs!$B$43-B2129)-((R2097-1)*(IF(Inputs!$B$38="pvp",15,MAX(0.1,Skills!D10-IF(TRUE=TRUE,Inputs!$B$32,0)))*(1-IF(AND(ArtifactsInput!$M$27,Inputs!$B$4="Chapter Hunt"),CHOOSE(ArtifactsInput!$N$27+1,20,24,28,32,36,40),0)/100)))))/Skills!H10+0.000000001),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INT(Skills!I10/Skills!H10+0.000000001),1)+IF(Skills!H10&gt;0,INT(MIN(Skills!I10,MAX(0,MAX(0,Inputs!$B$43-B2129)-((R2097-1)*(IF(Inputs!$B$38="pvp",15,MAX(0.1,Skills!D10-IF(TRUE=TRUE,Inputs!$B$32,0)))*(1-IF(AND(ArtifactsInput!$M$27,Inputs!$B$4="Chapter Hunt"),CHOOSE(ArtifactsInput!$N$27+1,20,24,28,32,36,40),0)/100)))))/Skills!H10+0.000000001),1)))/Inputs!$B$43),G2097*Q2097))*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Inputs!$B$3&gt;=103</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Skills!G11*IF(Skills!H11&gt;0,INT(IF(Inputs!$B$38="pvp",MIN(Skills!I11,15),Skills!I11)/Skills!H11+0.000000001),1)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2113=TRUE)*(F2113-Calc!F26)),(Inputs!$B$23+((C2118=TRUE)*(F2118-Calc!F31))+(IF(ArtifactsInput!$M$15,CHOOSE(ArtifactsInput!$N$15+1,25,30,35,40,45,50)/100*(Inputs!$B$11-Inputs!$B$11),0))))/100+(Inputs!$B$23+((C2118=TRUE)*(F2118-Calc!F31))+(IF(ArtifactsInput!$M$15,CHOOSE(ArtifactsInput!$N$15+1,25,30,35,40,45,50)/100*(Inputs!$B$11-Inputs!$B$11),0)))/100)/2</f>
        <v/>
      </c>
      <c r="M2098">
        <f>L2098*(1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IFERROR(1/(IF(Inputs!$B$38="pvp",15,MAX(0.1,Skills!D11-IF(TRUE=TRUE,Inputs!$B$32,0)))*(1-IF(AND(ArtifactsInput!$M$27,Inputs!$B$4="Chapter Hunt"),CHOOSE(ArtifactsInput!$N$27+1,20,24,28,32,36,40),0)/100)),0)</f>
        <v/>
      </c>
      <c r="R2098">
        <f>IF(AND(Inputs!$B$38&lt;&gt;"pvp",Inputs!$B$43&gt;0),IF(MAX(0,Inputs!$B$43-B2129)&lt;=0,0,(INT(MAX(0,Inputs!$B$43-B2129)/(IF(Inputs!$B$38="pvp",15,MAX(0.1,Skills!D11-IF(TRUE=TRUE,Inputs!$B$32,0)))*(1-IF(AND(ArtifactsInput!$M$27,Inputs!$B$4="Chapter Hunt"),CHOOSE(ArtifactsInput!$N$27+1,20,24,28,32,36,40),0)/100)))+1)),0)</f>
        <v/>
      </c>
      <c r="S2098">
        <f>IFERROR(O2098/N2098,0)</f>
        <v/>
      </c>
      <c r="T2098">
        <f>IF(C2098,(H2098*N2098*IF(AND(Inputs!$B$38&lt;&gt;"pvp",Inputs!$B$43&gt;0),((Skills!G11*((R2098-1)*IF(Skills!H11&gt;0,INT(Skills!I11/Skills!H11+0.000000001),1)+IF(Skills!H11&gt;0,INT(MIN(Skills!I11,MAX(0,MAX(0,Inputs!$B$43-B2129)-((R2098-1)*(IF(Inputs!$B$38="pvp",15,MAX(0.1,Skills!D11-IF(TRUE=TRUE,Inputs!$B$32,0)))*(1-IF(AND(ArtifactsInput!$M$27,Inputs!$B$4="Chapter Hunt"),CHOOSE(ArtifactsInput!$N$27+1,20,24,28,32,36,40),0)/100)))))/Skills!H11+0.000000001)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INT(Skills!I11/Skills!H11+0.000000001),1)+IF(Skills!H11&gt;0,INT(MIN(Skills!I11,MAX(0,MAX(0,Inputs!$B$43-B2129)-((R2098-1)*(IF(Inputs!$B$38="pvp",15,MAX(0.1,Skills!D11-IF(TRUE=TRUE,Inputs!$B$32,0)))*(1-IF(AND(ArtifactsInput!$M$27,Inputs!$B$4="Chapter Hunt"),CHOOSE(ArtifactsInput!$N$27+1,20,24,28,32,36,40),0)/100)))))/Skills!H11+0.000000001),1)))/Inputs!$B$43),G2098*Q2098))*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Skills!A13</f>
        <v/>
      </c>
      <c r="B2100">
        <f>Skills!B13</f>
        <v/>
      </c>
      <c r="C2100">
        <f>Inputs!$B$3&gt;=60</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Skills!G13*IF(Skills!H13&gt;0,INT(IF(Inputs!$B$38="pvp",MIN(Skills!I13,15),Skills!I13)/Skills!H13+0.000000001),1)</f>
        <v/>
      </c>
      <c r="H2100">
        <f>1-(1-Skills!J13/100)^Skills!K13</f>
        <v/>
      </c>
      <c r="I2100" t="inlineStr">
        <is>
          <t>1</t>
        </is>
      </c>
      <c r="J2100">
        <f>((Inputs!$B$6*(1+Inputs!$B$7/100))+(((Inputs!$B$12*(1+Inputs!$B$13/100))-(Inputs!$B$12*(1+Inputs!$B$13/100)))+0.25*(Inputs!$B$14-Inputs!$B$14))*(1+Inputs!$B$7/100))*(F2100/100)</f>
        <v/>
      </c>
      <c r="K2100">
        <f>J2100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2101=TRUE,F2101,0)/100)*(1+(IF(Skills!A13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2113=TRUE)*(F2113-Calc!F26)),(Inputs!$B$23+((C2118=TRUE)*(F2118-Calc!F31))+(IF(ArtifactsInput!$M$15,CHOOSE(ArtifactsInput!$N$15+1,25,30,35,40,45,50)/100*(Inputs!$B$11-Inputs!$B$11),0))))/100+(Inputs!$B$23+((C2118=TRUE)*(F2118-Calc!F31))+(IF(ArtifactsInput!$M$15,CHOOSE(ArtifactsInput!$N$15+1,25,30,35,40,45,50)/100*(Inputs!$B$11-Inputs!$B$11),0)))/100)/2</f>
        <v/>
      </c>
      <c r="M2100">
        <f>L2100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IFERROR(1/(IF(Inputs!$B$38="pvp",15,MAX(0.1,IF(Inputs!$B$3&gt;=122,3,5)+1/(((20+30*(B2124-1)*100/150)/100)*B2124)-IF(FALSE=TRUE,Inputs!$B$32,0)))*(1-IF(AND(ArtifactsInput!$M$27,Inputs!$B$4="Chapter Hunt"),CHOOSE(ArtifactsInput!$N$27+1,20,24,28,32,36,40),0)/100)),0)</f>
        <v/>
      </c>
      <c r="R2100">
        <f>IF(AND(Inputs!$B$38&lt;&gt;"pvp",Inputs!$B$43&gt;0),IF(MAX(0,Inputs!$B$43-B2129)&lt;=0,0,(INT(MAX(0,Inputs!$B$43-B2129)/(IF(Inputs!$B$38="pvp",15,MAX(0.1,IF(Inputs!$B$3&gt;=122,3,5)+1/(((20+30*(B2124-1)*100/150)/100)*B2124)-IF(FALSE=TRUE,Inputs!$B$32,0)))*(1-IF(AND(ArtifactsInput!$M$27,Inputs!$B$4="Chapter Hunt"),CHOOSE(ArtifactsInput!$N$27+1,20,24,28,32,36,40),0)/100)))+1)),0)</f>
        <v/>
      </c>
      <c r="S2100">
        <f>IFERROR(O2100/N2100,0)</f>
        <v/>
      </c>
      <c r="T2100">
        <f>IF(C2100,(H2100*N2100*IF(AND(Inputs!$B$38&lt;&gt;"pvp",Inputs!$B$43&gt;0),((Skills!G13*((R2100-1)*IF(Skills!H13&gt;0,INT(Skills!I13/Skills!H13+0.000000001),1)+IF(Skills!H13&gt;0,INT(MIN(Skills!I13,MAX(0,MAX(0,Inputs!$B$43-B2129)-((R2100-1)*(IF(Inputs!$B$38="pvp",15,MAX(0.1,IF(Inputs!$B$3&gt;=122,3,5)+1/(((20+30*(B2124-1)*100/150)/100)*B2124)-IF(FALSE=TRUE,Inputs!$B$32,0)))*(1-IF(AND(ArtifactsInput!$M$27,Inputs!$B$4="Chapter Hunt"),CHOOSE(ArtifactsInput!$N$27+1,20,24,28,32,36,40),0)/100)))))/Skills!H13+0.000000001),1)))/Inputs!$B$43),G2100*Q2100)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13*((R2100-1)*IF(Skills!H13&gt;0,INT(Skills!I13/Skills!H13+0.000000001),1)+IF(Skills!H13&gt;0,INT(MIN(Skills!I13,MAX(0,MAX(0,Inputs!$B$43-B2129)-((R2100-1)*(IF(Inputs!$B$38="pvp",15,MAX(0.1,IF(Inputs!$B$3&gt;=122,3,5)+1/(((20+30*(B2124-1)*100/150)/100)*B2124)-IF(FALSE=TRUE,Inputs!$B$32,0)))*(1-IF(AND(ArtifactsInput!$M$27,Inputs!$B$4="Chapter Hunt"),CHOOSE(ArtifactsInput!$N$27+1,20,24,28,32,36,40),0)/100)))))/Skills!H13+0.000000001),1)))/Inputs!$B$43),G2100*Q2100))*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Skills!A14</f>
        <v/>
      </c>
      <c r="B2101">
        <f>Skills!B14</f>
        <v/>
      </c>
      <c r="C2101">
        <f>Inputs!$B$3&gt;=110</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t="inlineStr"/>
      <c r="H2101" t="inlineStr"/>
      <c r="I2101" t="inlineStr">
        <is>
          <t>1</t>
        </is>
      </c>
      <c r="J2101" t="inlineStr"/>
      <c r="K2101" t="inlineStr"/>
      <c r="L2101" t="inlineStr"/>
      <c r="M2101" t="inlineStr"/>
      <c r="N2101" t="inlineStr"/>
      <c r="O2101" t="inlineStr"/>
      <c r="P2101" t="inlineStr"/>
      <c r="Q2101" t="inlineStr"/>
      <c r="R2101" t="inlineStr"/>
      <c r="S2101" t="inlineStr"/>
      <c r="T2101" t="inlineStr"/>
      <c r="V2101" t="inlineStr"/>
    </row>
    <row r="2102">
      <c r="A2102">
        <f>Skills!A15</f>
        <v/>
      </c>
      <c r="B2102">
        <f>Skills!B15</f>
        <v/>
      </c>
      <c r="C2102">
        <f>Inputs!$B$3&gt;=74</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Skills!G15*IF(Skills!H15&gt;0,INT(IF(Inputs!$B$38="pvp",MIN(Skills!I15,15),Skills!I15)/Skills!H15+0.000000001),1)</f>
        <v/>
      </c>
      <c r="H2102">
        <f>1-(1-Skills!J15/100)^Skills!K15</f>
        <v/>
      </c>
      <c r="I2102" t="inlineStr">
        <is>
          <t>1</t>
        </is>
      </c>
      <c r="J2102" t="inlineStr"/>
      <c r="K2102" t="inlineStr"/>
      <c r="L2102" t="inlineStr"/>
      <c r="M2102" t="inlineStr"/>
      <c r="N2102" t="inlineStr"/>
      <c r="O2102">
        <f>(1-Summary!$B$11)*T2102+Summary!$B$11*V2102</f>
        <v/>
      </c>
      <c r="P2102">
        <f>IF(B2132=0,0,O2102/B2132)</f>
        <v/>
      </c>
      <c r="Q2102" t="n">
        <v>0</v>
      </c>
      <c r="R2102" t="n">
        <v>0</v>
      </c>
      <c r="S2102">
        <f>IFERROR(O2102/N2102,0)</f>
        <v/>
      </c>
      <c r="T2102" t="n">
        <v>0</v>
      </c>
      <c r="V2102" t="n">
        <v>0</v>
      </c>
    </row>
    <row r="2103">
      <c r="A2103">
        <f>Skills!A16</f>
        <v/>
      </c>
      <c r="B2103">
        <f>Skills!B16</f>
        <v/>
      </c>
      <c r="C2103">
        <f>Inputs!$B$3&gt;=74</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Skills!G16*IF(Skills!H16&gt;0,INT(IF(Inputs!$B$38="pvp",MIN(Skills!I16,15),Skills!I16)/Skills!H16+0.000000001),1)</f>
        <v/>
      </c>
      <c r="H2103">
        <f>1-(1-Skills!J16/100)^Skills!K16</f>
        <v/>
      </c>
      <c r="I2103" t="inlineStr">
        <is>
          <t>1</t>
        </is>
      </c>
      <c r="J2103" t="inlineStr"/>
      <c r="K2103" t="inlineStr"/>
      <c r="L2103" t="inlineStr"/>
      <c r="M2103" t="inlineStr"/>
      <c r="N2103" t="inlineStr"/>
      <c r="O2103">
        <f>(1-Summary!$B$11)*T2103+Summary!$B$11*V2103</f>
        <v/>
      </c>
      <c r="P2103">
        <f>IF(B2132=0,0,O2103/B2132)</f>
        <v/>
      </c>
      <c r="Q2103" t="n">
        <v>0</v>
      </c>
      <c r="R2103" t="n">
        <v>0</v>
      </c>
      <c r="S2103">
        <f>IFERROR(O2103/N2103,0)</f>
        <v/>
      </c>
      <c r="T2103" t="n">
        <v>0</v>
      </c>
      <c r="V2103" t="n">
        <v>0</v>
      </c>
    </row>
    <row r="2104">
      <c r="A2104">
        <f>Skills!A17</f>
        <v/>
      </c>
      <c r="B2104">
        <f>Skills!B17</f>
        <v/>
      </c>
      <c r="C2104">
        <f>Inputs!$B$3&gt;=117</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Skills!G17*IF(Skills!H17&gt;0,INT(IF(Inputs!$B$38="pvp",MIN(Skills!I17,15),Skills!I17)/Skills!H17+0.000000001),1)</f>
        <v/>
      </c>
      <c r="H2104">
        <f>1-(1-Skills!J17/100)^Skills!K17</f>
        <v/>
      </c>
      <c r="I2104" t="inlineStr">
        <is>
          <t>1</t>
        </is>
      </c>
      <c r="J2104" t="inlineStr"/>
      <c r="K2104" t="inlineStr"/>
      <c r="L2104" t="inlineStr"/>
      <c r="M2104" t="inlineStr"/>
      <c r="N2104" t="inlineStr"/>
      <c r="O2104">
        <f>(1-Summary!$B$11)*T2104+Summary!$B$11*V2104</f>
        <v/>
      </c>
      <c r="P2104">
        <f>IF(B2132=0,0,O2104/B2132)</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Skills!G18*IF(Skills!H18&gt;0,INT(IF(Inputs!$B$38="pvp",MIN(Skills!I18,15),Skills!I18)/Skills!H18+0.000000001),1)</f>
        <v/>
      </c>
      <c r="H2105">
        <f>1-(1-Skills!J18/100)^Skills!K18</f>
        <v/>
      </c>
      <c r="I2105" t="inlineStr">
        <is>
          <t>1</t>
        </is>
      </c>
      <c r="J2105" t="inlineStr"/>
      <c r="K2105" t="inlineStr"/>
      <c r="L2105" t="inlineStr"/>
      <c r="M2105" t="inlineStr"/>
      <c r="N2105" t="inlineStr"/>
      <c r="O2105">
        <f>(1-Summary!$B$11)*T2105+Summary!$B$11*V2105</f>
        <v/>
      </c>
      <c r="P2105">
        <f>IF(B2132=0,0,O2105/B2132)</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Inputs!$B$3&gt;=66</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Skills!G19*IF(Skills!H19&gt;0,INT(IF(Inputs!$B$38="pvp",MIN(Skills!I19,15),Skills!I19)/Skills!H19+0.000000001),1)</f>
        <v/>
      </c>
      <c r="H2106">
        <f>1-(1-Skills!J19/100)^Skills!K19</f>
        <v/>
      </c>
      <c r="I2106" t="inlineStr">
        <is>
          <t>1</t>
        </is>
      </c>
      <c r="J2106" t="inlineStr"/>
      <c r="K2106" t="inlineStr"/>
      <c r="L2106" t="inlineStr"/>
      <c r="M2106" t="inlineStr"/>
      <c r="N2106" t="inlineStr"/>
      <c r="O2106">
        <f>(1-Summary!$B$11)*T2106+Summary!$B$11*V2106</f>
        <v/>
      </c>
      <c r="P2106">
        <f>IF(B2132=0,0,O2106/B2132)</f>
        <v/>
      </c>
      <c r="Q2106" t="n">
        <v>0</v>
      </c>
      <c r="R2106" t="n">
        <v>0</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Skills!G20*IF(Skills!H20&gt;0,INT(IF(Inputs!$B$38="pvp",MIN(Skills!I20,15),Skills!I20)/Skills!H20+0.000000001),1)</f>
        <v/>
      </c>
      <c r="H2107">
        <f>1-(1-Skills!J20/100)^Skills!K20</f>
        <v/>
      </c>
      <c r="I2107" t="inlineStr">
        <is>
          <t>1</t>
        </is>
      </c>
      <c r="J2107" t="inlineStr"/>
      <c r="K2107" t="inlineStr"/>
      <c r="L2107" t="inlineStr"/>
      <c r="M2107" t="inlineStr"/>
      <c r="N2107" t="inlineStr"/>
      <c r="O2107">
        <f>(1-Summary!$B$11)*T2107+Summary!$B$11*V2107</f>
        <v/>
      </c>
      <c r="P2107">
        <f>IF(B2132=0,0,O2107/B2132)</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Skills!G21*IF(Skills!H21&gt;0,INT(IF(Inputs!$B$38="pvp",MIN(Skills!I21,15),Skills!I21)/Skills!H21+0.000000001),1)</f>
        <v/>
      </c>
      <c r="H2108">
        <f>1-(1-Skills!J21/100)^Skills!K21</f>
        <v/>
      </c>
      <c r="I2108" t="inlineStr">
        <is>
          <t>1</t>
        </is>
      </c>
      <c r="J2108" t="inlineStr"/>
      <c r="K2108" t="inlineStr"/>
      <c r="L2108" t="inlineStr"/>
      <c r="M2108" t="inlineStr"/>
      <c r="N2108" t="inlineStr"/>
      <c r="O2108">
        <f>(1-Summary!$B$11)*T2108+Summary!$B$11*V2108</f>
        <v/>
      </c>
      <c r="P2108">
        <f>IF(B2132=0,0,O2108/B2132)</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Inputs!$B$3&gt;=15</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Skills!G22*IF(Skills!H22&gt;0,INT(IF(Inputs!$B$38="pvp",MIN(Skills!I22,15),Skills!I22)/Skills!H22+0.000000001),1)</f>
        <v/>
      </c>
      <c r="H2109">
        <f>1-(1-Skills!J22/100)^Skills!K22</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Skills!A23</f>
        <v/>
      </c>
      <c r="B2110">
        <f>Skills!B23</f>
        <v/>
      </c>
      <c r="C2110">
        <f>Inputs!$B$3&gt;=10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Skills!G23*IF(Skills!H23&gt;0,INT(IF(Inputs!$B$38="pvp",MIN(Skills!I23,15),Skills!I23)/Skills!H23+0.000000001),1)</f>
        <v/>
      </c>
      <c r="H2110">
        <f>1-(1-Skills!J23/100)^Skills!K23</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Skills!A24</f>
        <v/>
      </c>
      <c r="B2111">
        <f>Skills!B24</f>
        <v/>
      </c>
      <c r="C2111">
        <f>Inputs!$B$3&gt;=33</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Skills!G24*IF(Skills!H24&gt;0,INT(IF(Inputs!$B$38="pvp",MIN(Skills!I24,15),Skills!I24)/Skills!H24+0.000000001),1)</f>
        <v/>
      </c>
      <c r="H2111">
        <f>1-(1-Skills!J24/100)^Skills!K24</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Skills!A25</f>
        <v/>
      </c>
      <c r="B2112">
        <f>Skills!B25</f>
        <v/>
      </c>
      <c r="C2112">
        <f>Inputs!$B$3&gt;=38</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Skills!G25*IF(Skills!H25&gt;0,INT(IF(Inputs!$B$38="pvp",MIN(Skills!I25,15),Skills!I25)/Skills!H25+0.000000001),1)</f>
        <v/>
      </c>
      <c r="H2112">
        <f>1-(1-Skills!J25/100)^Skills!K25</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Skills!A26</f>
        <v/>
      </c>
      <c r="B2113">
        <f>Skills!B26</f>
        <v/>
      </c>
      <c r="C2113">
        <f>Inputs!$B$3&gt;=43</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Skills!G26*IF(Skills!H26&gt;0,INT(IF(Inputs!$B$38="pvp",MIN(Skills!I26,15),Skills!I26)/Skills!H26+0.000000001),1)</f>
        <v/>
      </c>
      <c r="H2113">
        <f>1-(1-Skills!J26/100)^Skills!K26</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Skills!A27</f>
        <v/>
      </c>
      <c r="B2114">
        <f>Skills!B27</f>
        <v/>
      </c>
      <c r="C2114">
        <f>Inputs!$B$3&gt;=75</f>
        <v/>
      </c>
      <c r="D2114">
        <f>IF(Skills!C27=1,60+Inputs!$B$25+Inputs!$B$29,IF(Skills!C27=2,90+Inputs!$B$26+Inputs!$B$29,IF(Skills!C27=3,120+Inputs!$B$27+Inputs!$B$29,MAX(0,(Inputs!$B$3-100)*3)+Inputs!$B$28+Inputs!$B$29)))</f>
        <v/>
      </c>
      <c r="E2114">
        <f>INDEX(FactorTable!$B$2:$Y$301, MATCH(ROUND(MIN(300,MAX(1,D2114)),0), FactorTable!$A$2:$A$301,0), Skills!M27+1)</f>
        <v/>
      </c>
      <c r="F2114">
        <f>IF(Skills!N27=TRUE,(Skills!L27/10)*(E2114/1000),Skills!L27/10)+Skills!O27</f>
        <v/>
      </c>
      <c r="G2114">
        <f>Skills!G27*IF(Skills!H27&gt;0,INT(IF(Inputs!$B$38="pvp",MIN(Skills!I27,15),Skills!I27)/Skills!H27+0.000000001),1)</f>
        <v/>
      </c>
      <c r="H2114">
        <f>1-(1-Skills!J27/100)^Skills!K27</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Skills!A28</f>
        <v/>
      </c>
      <c r="B2115">
        <f>Skills!B28</f>
        <v/>
      </c>
      <c r="C2115">
        <f>Inputs!$B$3&gt;=125</f>
        <v/>
      </c>
      <c r="D2115">
        <f>IF(Skills!C28=1,60+Inputs!$B$25+Inputs!$B$29,IF(Skills!C28=2,90+Inputs!$B$26+Inputs!$B$29,IF(Skills!C28=3,120+Inputs!$B$27+Inputs!$B$29,MAX(0,(Inputs!$B$3-100)*3)+Inputs!$B$28+Inputs!$B$29)))</f>
        <v/>
      </c>
      <c r="E2115">
        <f>INDEX(FactorTable!$B$2:$Y$301, MATCH(ROUND(MIN(300,MAX(1,D2115)),0), FactorTable!$A$2:$A$301,0), Skills!M28+1)</f>
        <v/>
      </c>
      <c r="F2115">
        <f>IF(Skills!N28=TRUE,(Skills!L28/10)*(E2115/1000),Skills!L28/10)+Skills!O28</f>
        <v/>
      </c>
      <c r="G2115">
        <f>Skills!G28*IF(Skills!H28&gt;0,INT(IF(Inputs!$B$38="pvp",MIN(Skills!I28,15),Skills!I28)/Skills!H28+0.000000001),1)</f>
        <v/>
      </c>
      <c r="H2115">
        <f>1-(1-Skills!J28/100)^Skills!K28</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Skills!A29</f>
        <v/>
      </c>
      <c r="B2116">
        <f>Skills!B29</f>
        <v/>
      </c>
      <c r="C2116">
        <f>Inputs!$B$3&gt;=125</f>
        <v/>
      </c>
      <c r="D2116">
        <f>IF(Skills!C29=1,60+Inputs!$B$25+Inputs!$B$29,IF(Skills!C29=2,90+Inputs!$B$26+Inputs!$B$29,IF(Skills!C29=3,120+Inputs!$B$27+Inputs!$B$29,MAX(0,(Inputs!$B$3-100)*3)+Inputs!$B$28+Inputs!$B$29)))</f>
        <v/>
      </c>
      <c r="E2116">
        <f>INDEX(FactorTable!$B$2:$Y$301, MATCH(ROUND(MIN(300,MAX(1,D2116)),0), FactorTable!$A$2:$A$301,0), Skills!M29+1)</f>
        <v/>
      </c>
      <c r="F2116">
        <f>IF(Skills!N29=TRUE,(Skills!L29/10)*(E2116/1000),Skills!L29/10)+Skills!O29</f>
        <v/>
      </c>
      <c r="G2116">
        <f>Skills!G29*IF(Skills!H29&gt;0,INT(IF(Inputs!$B$38="pvp",MIN(Skills!I29,15),Skills!I29)/Skills!H29+0.000000001),1)</f>
        <v/>
      </c>
      <c r="H2116">
        <f>1-(1-Skills!J29/100)^Skills!K29</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Skills!A30</f>
        <v/>
      </c>
      <c r="B2117">
        <f>Skills!B30</f>
        <v/>
      </c>
      <c r="C2117">
        <f>Inputs!$B$3&gt;=120</f>
        <v/>
      </c>
      <c r="D2117">
        <f>IF(Skills!C30=1,60+Inputs!$B$25+Inputs!$B$29,IF(Skills!C30=2,90+Inputs!$B$26+Inputs!$B$29,IF(Skills!C30=3,120+Inputs!$B$27+Inputs!$B$29,MAX(0,(Inputs!$B$3-100)*3)+Inputs!$B$28+Inputs!$B$29)))</f>
        <v/>
      </c>
      <c r="E2117">
        <f>INDEX(FactorTable!$B$2:$Y$301, MATCH(ROUND(MIN(300,MAX(1,D2117)),0), FactorTable!$A$2:$A$301,0), Skills!M30+1)</f>
        <v/>
      </c>
      <c r="F2117">
        <f>IF(Skills!N30=TRUE,(Skills!L30/10)*(E2117/1000),Skills!L30/10)+Skills!O30</f>
        <v/>
      </c>
      <c r="G2117">
        <f>Skills!G30*IF(Skills!H30&gt;0,INT(IF(Inputs!$B$38="pvp",MIN(Skills!I30,15),Skills!I30)/Skills!H30+0.000000001),1)</f>
        <v/>
      </c>
      <c r="H2117">
        <f>1-(1-Skills!J30/100)^Skills!K30</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Skills!A31</f>
        <v/>
      </c>
      <c r="B2118">
        <f>Skills!B31</f>
        <v/>
      </c>
      <c r="C2118">
        <f>Inputs!$B$3&gt;=120</f>
        <v/>
      </c>
      <c r="D2118">
        <f>IF(Skills!C31=1,60+Inputs!$B$25+Inputs!$B$29,IF(Skills!C31=2,90+Inputs!$B$26+Inputs!$B$29,IF(Skills!C31=3,120+Inputs!$B$27+Inputs!$B$29,MAX(0,(Inputs!$B$3-100)*3)+Inputs!$B$28+Inputs!$B$29)))</f>
        <v/>
      </c>
      <c r="E2118">
        <f>INDEX(FactorTable!$B$2:$Y$301, MATCH(ROUND(MIN(300,MAX(1,D2118)),0), FactorTable!$A$2:$A$301,0), Skills!M31+1)</f>
        <v/>
      </c>
      <c r="F2118">
        <f>IF(Skills!N31=TRUE,(Skills!L31/10)*(E2118/1000),Skills!L31/10)+Skills!O31</f>
        <v/>
      </c>
      <c r="G2118">
        <f>Skills!G31*IF(Skills!H31&gt;0,INT(IF(Inputs!$B$38="pvp",MIN(Skills!I31,15),Skills!I31)/Skills!H31+0.000000001),1)</f>
        <v/>
      </c>
      <c r="H2118">
        <f>1-(1-Skills!J31/100)^Skills!K31</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Skills!A32</f>
        <v/>
      </c>
      <c r="B2119">
        <f>Skills!B32</f>
        <v/>
      </c>
      <c r="C2119">
        <f>Inputs!$B$3&gt;=45</f>
        <v/>
      </c>
      <c r="D2119">
        <f>IF(Skills!C32=1,60+Inputs!$B$25+Inputs!$B$29,IF(Skills!C32=2,90+Inputs!$B$26+Inputs!$B$29,IF(Skills!C32=3,120+Inputs!$B$27+Inputs!$B$29,MAX(0,(Inputs!$B$3-100)*3)+Inputs!$B$28+Inputs!$B$29)))</f>
        <v/>
      </c>
      <c r="E2119">
        <f>INDEX(FactorTable!$B$2:$Y$301, MATCH(ROUND(MIN(300,MAX(1,D2119)),0), FactorTable!$A$2:$A$301,0), Skills!M32+1)</f>
        <v/>
      </c>
      <c r="F2119">
        <f>IF(Skills!N32=TRUE,(Skills!L32/10)*(E2119/1000),Skills!L32/10)+Skills!O32</f>
        <v/>
      </c>
      <c r="G2119">
        <f>Skills!G32*IF(Skills!H32&gt;0,INT(IF(Inputs!$B$38="pvp",MIN(Skills!I32,15),Skills!I32)/Skills!H32+0.000000001),1)</f>
        <v/>
      </c>
      <c r="H2119">
        <f>1-(1-Skills!J32/100)^Skills!K32</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t>
        </is>
      </c>
      <c r="B2123">
        <f>((C2108=TRUE)*F2108*IF(AND(Inputs!$B$38&lt;&gt;"pvp",Inputs!$B$43&gt;0),(((R2108-1)*MIN((Skills!T21*(1+Inputs!$B$34/100)),(1/Q2108))+MIN((Skills!T21*(1+Inputs!$B$34/100)),MAX(0,Inputs!$B$43-((R2108-1)*(1/Q2108)))))/Inputs!$B$43),IF(Inputs!$B$38="pvp",MIN((Skills!T21*(1+Inputs!$B$34/100)),15)/15,MIN(1,(Skills!T21*(1+Inputs!$B$34/100))/(1/Q2108)))))</f>
        <v/>
      </c>
    </row>
    <row r="2124">
      <c r="A2124" t="inlineStr">
        <is>
          <t>Actions Per Second</t>
        </is>
      </c>
      <c r="B2124">
        <f>1+MIN(150,150*(1-(1-(Inputs!$B$11+((C2110=TRUE)*(F2110-Calc!F23))+((C2111=TRUE)*(F2111-Calc!F24)))/150)*(1-B2123/150)))/100</f>
        <v/>
      </c>
    </row>
    <row r="2125">
      <c r="A2125" t="inlineStr">
        <is>
          <t>Skill + Buff Cast Rate</t>
        </is>
      </c>
      <c r="B2125">
        <f>IF(AND(Inputs!$B$38&lt;&gt;"pvp",Inputs!$B$43&gt;0),SUMPRODUCT((Skills!E2:E32=TRUE)*(C2089:C2119=TRUE)*R2089:R2119*Skills!F2:F32)/Inputs!$B$43,SUMPRODUCT((Skills!E2:E32=TRUE)*(C2089:C2119=TRUE)*Q2089:Q2119*Skills!F2:F32))</f>
        <v/>
      </c>
    </row>
    <row r="2126">
      <c r="A2126" t="inlineStr">
        <is>
          <t>Arrow Stream Casts Per Second</t>
        </is>
      </c>
      <c r="B2126">
        <f>MAX(0,B2124-B2125)</f>
        <v/>
      </c>
    </row>
    <row r="2127">
      <c r="A2127" t="inlineStr">
        <is>
          <t>Global Critical Damage Bonus % (Sharp Eyes + Concentration)</t>
        </is>
      </c>
      <c r="B2127">
        <f>(C2105=TRUE)*F2105*IF(AND(Inputs!$B$38&lt;&gt;"pvp",Inputs!$B$43&gt;0),(((R2105-1)*MIN((Skills!T18*(1+Inputs!$B$34/100)),(1/Q2105))+MIN((Skills!T18*(1+Inputs!$B$34/100)),MAX(0,Inputs!$B$43-((R2105-1)*(1/Q2105)))))/Inputs!$B$43),IF(Inputs!$B$38="pvp",MIN((Skills!T18*(1+Inputs!$B$34/100)),15)/15,MIN(1,(Skills!T18*(1+Inputs!$B$34/100))/(1/Q2105))))+(C2106=TRUE)*7*F2106</f>
        <v/>
      </c>
    </row>
    <row r="2128">
      <c r="A2128" t="inlineStr">
        <is>
          <t>Global Final Damage Bonus % (Mortal Blow)</t>
        </is>
      </c>
      <c r="B2128">
        <f>(C2107=TRUE)*F2107</f>
        <v/>
      </c>
    </row>
    <row r="2129">
      <c r="A2129" t="inlineStr">
        <is>
          <t>Buff-Casting Startup Delay (s, fixed-duration only)</t>
        </is>
      </c>
      <c r="B2129">
        <f>IF(AND(Inputs!$B$38&lt;&gt;"pvp",Inputs!$B$43&gt;0),SUMPRODUCT((Skills!T2:T32&gt;0)*(Skills!E2:E32=TRUE)*(C2089:C2119=TRUE))/B2124,0)</f>
        <v/>
      </c>
    </row>
    <row r="2130">
      <c r="A2130" t="inlineStr">
        <is>
          <t>Boss-Only Total DPS (this block's swept value)</t>
        </is>
      </c>
      <c r="B2130">
        <f>SUM(T2089:T2119)</f>
        <v/>
      </c>
    </row>
    <row r="2131">
      <c r="A2131" t="inlineStr">
        <is>
          <t>Normal-Only Total DPS (this block's swept value)</t>
        </is>
      </c>
      <c r="B2131">
        <f>SUM(V2089:V2119)</f>
        <v/>
      </c>
    </row>
    <row r="2132">
      <c r="A2132" s="6" t="inlineStr">
        <is>
          <t>TOTAL DPS</t>
        </is>
      </c>
      <c r="B2132" s="6">
        <f>SUM(O2089:O2119)</f>
        <v/>
      </c>
    </row>
    <row r="2135">
      <c r="A2135" s="6" t="inlineStr">
        <is>
          <t>Stat: Book of Ancient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Skills!G2*IF(Skills!H2&gt;0,INT(IF(Inputs!$B$38="pvp",MIN(Skills!I2,15),Skills!I2)/Skills!H2+0.000000001),1)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2161=TRUE)*(F2161-Calc!F26)),(Inputs!$B$23+((C2166=TRUE)*(F2166-Calc!F31))+(IF(ArtifactsInput!$M$15,CHOOSE(ArtifactsInput!$N$15+1,25,30,35,40,45,50)/100*(Inputs!$B$11-Inputs!$B$11),0))))/100+(Inputs!$B$23+((C2166=TRUE)*(F2166-Calc!F31))+(IF(ArtifactsInput!$M$15,CHOOSE(ArtifactsInput!$N$15+1,25,30,35,40,45,50)/100*(Inputs!$B$11-Inputs!$B$11),0)))/100)/2</f>
        <v/>
      </c>
      <c r="M2137">
        <f>L2137*(1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7">
        <f>L2137*(1-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IF(B2180=0,0,O2137/B2180)</f>
        <v/>
      </c>
      <c r="Q2137" t="n">
        <v>0</v>
      </c>
      <c r="R2137" t="n">
        <v>0</v>
      </c>
      <c r="S2137">
        <f>IFERROR(O2137/N2137,0)</f>
        <v/>
      </c>
      <c r="T2137">
        <f>IF(C2137,(Skills!G2*N2137*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Inputs!$B$3&gt;=50</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Skills!G3*IF(Skills!H3&gt;0,INT(IF(Inputs!$B$38="pvp",MIN(Skills!I3,15),Skills!I3)/Skills!H3+0.000000001),1)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2139=TRUE,F2139,0)/100)*(1+(IF(Skills!A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2161=TRUE)*(F2161-Calc!F26)),(Inputs!$B$23+((C2166=TRUE)*(F2166-Calc!F31))+(IF(ArtifactsInput!$M$15,CHOOSE(ArtifactsInput!$N$15+1,25,30,35,40,45,50)/100*(Inputs!$B$11-Inputs!$B$11),0))))/100+(Inputs!$B$23+((C2166=TRUE)*(F2166-Calc!F31))+(IF(ArtifactsInput!$M$15,CHOOSE(ArtifactsInput!$N$15+1,25,30,35,40,45,50)/100*(Inputs!$B$11-Inputs!$B$11),0)))/100)/2</f>
        <v/>
      </c>
      <c r="M2138">
        <f>L2138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8">
        <f>L2138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IF(B2180=0,0,O2138/B2180)</f>
        <v/>
      </c>
      <c r="Q2138">
        <f>IFERROR(1/(IF(Inputs!$B$38="pvp",15,MAX(0.1,1/B2172-IF(FALSE=TRUE,Inputs!$B$32,0)))*(1-IF(AND(ArtifactsInput!$M$27,Inputs!$B$4="Chapter Hunt"),CHOOSE(ArtifactsInput!$N$27+1,20,24,28,32,36,40),0)/100)),0)</f>
        <v/>
      </c>
      <c r="R2138">
        <f>IF(AND(Inputs!$B$38&lt;&gt;"pvp",Inputs!$B$43&gt;0),IF(MAX(0,Inputs!$B$43-B2177)&lt;=0,0,(INT(MAX(0,Inputs!$B$43-B2177)/(IF(Inputs!$B$38="pvp",15,MAX(0.1,1/B2172-IF(FALSE=TRUE,Inputs!$B$32,0)))*(1-IF(AND(ArtifactsInput!$M$27,Inputs!$B$4="Chapter Hunt"),CHOOSE(ArtifactsInput!$N$27+1,20,24,28,32,36,40),0)/100)))+1)),0)</f>
        <v/>
      </c>
      <c r="S2138">
        <f>IFERROR(O2138/N2138,0)</f>
        <v/>
      </c>
      <c r="T2138">
        <f>IF(C2138,(H2138*N2138*IF(AND(Inputs!$B$38&lt;&gt;"pvp",Inputs!$B$43&gt;0),((Skills!G3*((R2138-1)*IF(Skills!H3&gt;0,INT(Skills!I3/Skills!H3+0.000000001),1)+IF(Skills!H3&gt;0,INT(MIN(Skills!I3,MAX(0,MAX(0,Inputs!$B$43-B2177)-((R2138-1)*(IF(Inputs!$B$38="pvp",15,MAX(0.1,1/B2172-IF(FALSE=TRUE,Inputs!$B$32,0)))*(1-IF(AND(ArtifactsInput!$M$27,Inputs!$B$4="Chapter Hunt"),CHOOSE(ArtifactsInput!$N$27+1,20,24,28,32,36,40),0)/100)))))/Skills!H3+0.000000001),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INT(Skills!I3/Skills!H3+0.000000001),1)+IF(Skills!H3&gt;0,INT(MIN(Skills!I3,MAX(0,MAX(0,Inputs!$B$43-B2177)-((R2138-1)*(IF(Inputs!$B$38="pvp",15,MAX(0.1,1/B2172-IF(FALSE=TRUE,Inputs!$B$32,0)))*(1-IF(AND(ArtifactsInput!$M$27,Inputs!$B$4="Chapter Hunt"),CHOOSE(ArtifactsInput!$N$27+1,20,24,28,32,36,40),0)/100)))))/Skills!H3+0.000000001),1)))/Inputs!$B$43),G2138*Q2138))*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Inputs!$B$3&gt;=105</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t="inlineStr"/>
      <c r="H2139" t="inlineStr"/>
      <c r="I2139" t="inlineStr">
        <is>
          <t>1</t>
        </is>
      </c>
      <c r="J2139" t="inlineStr"/>
      <c r="K2139" t="inlineStr"/>
      <c r="L2139" t="inlineStr"/>
      <c r="M2139" t="inlineStr"/>
      <c r="N2139" t="inlineStr"/>
      <c r="O2139" t="inlineStr"/>
      <c r="P2139" t="inlineStr"/>
      <c r="Q2139" t="inlineStr"/>
      <c r="R2139" t="inlineStr"/>
      <c r="S2139" t="inlineStr"/>
      <c r="T2139" t="inlineStr"/>
      <c r="U2139">
        <f>290*U2138/1000</f>
        <v/>
      </c>
      <c r="V2139" t="inlineStr"/>
    </row>
    <row r="2140">
      <c r="A2140">
        <f>Skills!A5</f>
        <v/>
      </c>
      <c r="B2140">
        <f>Skills!B5</f>
        <v/>
      </c>
      <c r="C2140">
        <f>Inputs!$B$3&gt;=35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Skills!G5*IF(Skills!H5&gt;0,INT(IF(Inputs!$B$38="pvp",MIN(Skills!I5,15),Skills!I5)/Skills!H5+0.000000001),1)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2147=TRUE,F2147,0)/100)*(1+(IF(Skills!A5="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2161=TRUE)*(F2161-Calc!F26)),(Inputs!$B$23+((C2166=TRUE)*(F2166-Calc!F31))+(IF(ArtifactsInput!$M$15,CHOOSE(ArtifactsInput!$N$15+1,25,30,35,40,45,50)/100*(Inputs!$B$11-Inputs!$B$11),0))))/100+(Inputs!$B$23+((C2166=TRUE)*(F2166-Calc!F31))+(IF(ArtifactsInput!$M$15,CHOOSE(ArtifactsInput!$N$15+1,25,30,35,40,45,50)/100*(Inputs!$B$11-Inputs!$B$11),0)))/100)/2</f>
        <v/>
      </c>
      <c r="M2140">
        <f>L2140*(1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0">
        <f>L2140*(1-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IF(B2180=0,0,O2140/B2180)</f>
        <v/>
      </c>
      <c r="Q2140">
        <f>IFERROR(1/(IF(Inputs!$B$38="pvp",15,MAX(0.1,Skills!D5-IF(TRUE=TRUE,Inputs!$B$32,0)))*(1-IF(AND(ArtifactsInput!$M$27,Inputs!$B$4="Chapter Hunt"),CHOOSE(ArtifactsInput!$N$27+1,20,24,28,32,36,40),0)/100)),0)</f>
        <v/>
      </c>
      <c r="R2140">
        <f>IF(AND(Inputs!$B$38&lt;&gt;"pvp",Inputs!$B$43&gt;0),IF(MAX(0,Inputs!$B$43-B2177)&lt;=0,0,(INT(MAX(0,Inputs!$B$43-B2177)/(IF(Inputs!$B$38="pvp",15,MAX(0.1,Skills!D5-IF(TRUE=TRUE,Inputs!$B$32,0)))*(1-IF(AND(ArtifactsInput!$M$27,Inputs!$B$4="Chapter Hunt"),CHOOSE(ArtifactsInput!$N$27+1,20,24,28,32,36,40),0)/100)))+1)),0)</f>
        <v/>
      </c>
      <c r="S2140">
        <f>IFERROR(O2140/N2140,0)</f>
        <v/>
      </c>
      <c r="T2140">
        <f>IF(C2140,(H2140*N2140*IF(AND(Inputs!$B$38&lt;&gt;"pvp",Inputs!$B$43&gt;0),((Skills!G5*((R2140-1)*IF(Skills!H5&gt;0,INT(Skills!I5/Skills!H5+0.000000001),1)+IF(Skills!H5&gt;0,INT(MIN(Skills!I5,MAX(0,MAX(0,Inputs!$B$43-B2177)-((R2140-1)*(IF(Inputs!$B$38="pvp",15,MAX(0.1,Skills!D5-IF(TRUE=TRUE,Inputs!$B$32,0)))*(1-IF(AND(ArtifactsInput!$M$27,Inputs!$B$4="Chapter Hunt"),CHOOSE(ArtifactsInput!$N$27+1,20,24,28,32,36,40),0)/100)))))/Skills!H5+0.000000001),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INT(Skills!I5/Skills!H5+0.000000001),1)+IF(Skills!H5&gt;0,INT(MIN(Skills!I5,MAX(0,MAX(0,Inputs!$B$43-B2177)-((R2140-1)*(IF(Inputs!$B$38="pvp",15,MAX(0.1,Skills!D5-IF(TRUE=TRUE,Inputs!$B$32,0)))*(1-IF(AND(ArtifactsInput!$M$27,Inputs!$B$4="Chapter Hunt"),CHOOSE(ArtifactsInput!$N$27+1,20,24,28,32,36,40),0)/100)))))/Skills!H5+0.000000001),1)))/Inputs!$B$43),G2140*Q2140))*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Inputs!$B$3&gt;=40</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Skills!G6*IF(Skills!H6&gt;0,INT(IF(Inputs!$B$38="pvp",MIN(Skills!I6,15),Skills!I6)/Skills!H6+0.000000001),1)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2142=TRUE,F2142,0)/100)*(1+(IF(Skills!A6="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26)),(Inputs!$B$23+((C2166=TRUE)*(F2166-Calc!F31))+(IF(ArtifactsInput!$M$15,CHOOSE(ArtifactsInput!$N$15+1,25,30,35,40,45,50)/100*(Inputs!$B$11-Inputs!$B$11),0))))/100+(Inputs!$B$23+((C2166=TRUE)*(F2166-Calc!F31))+(IF(ArtifactsInput!$M$15,CHOOSE(ArtifactsInput!$N$15+1,25,30,35,40,45,50)/100*(Inputs!$B$11-Inputs!$B$11),0)))/100)/2</f>
        <v/>
      </c>
      <c r="M2141">
        <f>L2141*(1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1">
        <f>L2141*(1-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f>IFERROR(1/(IF(Inputs!$B$38="pvp",15,MAX(0.1,1-0.4*MIN(1,(B2172-1)/1.5)-IF(FALSE=TRUE,Inputs!$B$32,0)))*(1-IF(AND(ArtifactsInput!$M$27,Inputs!$B$4="Chapter Hunt"),CHOOSE(ArtifactsInput!$N$27+1,20,24,28,32,36,40),0)/100)),0)</f>
        <v/>
      </c>
      <c r="R2141">
        <f>IF(AND(Inputs!$B$38&lt;&gt;"pvp",Inputs!$B$43&gt;0),IF(MAX(0,Inputs!$B$43-B2177)&lt;=0,0,(INT(MAX(0,Inputs!$B$43-B2177)/(IF(Inputs!$B$38="pvp",15,MAX(0.1,1-0.4*MIN(1,(B2172-1)/1.5)-IF(FALSE=TRUE,Inputs!$B$32,0)))*(1-IF(AND(ArtifactsInput!$M$27,Inputs!$B$4="Chapter Hunt"),CHOOSE(ArtifactsInput!$N$27+1,20,24,28,32,36,40),0)/100)))+1)),0)</f>
        <v/>
      </c>
      <c r="S2141">
        <f>IFERROR(O2141/N2141,0)</f>
        <v/>
      </c>
      <c r="T2141">
        <f>IF(C2141,(H2141*N2141*IF(AND(Inputs!$B$38&lt;&gt;"pvp",Inputs!$B$43&gt;0),((Skills!G6*((R2141-1)*IF(Skills!H6&gt;0,INT(Skills!I6/Skills!H6+0.000000001),1)+IF(Skills!H6&gt;0,INT(MIN(Skills!I6,MAX(0,MAX(0,Inputs!$B$43-B2177)-((R2141-1)*(IF(Inputs!$B$38="pvp",15,MAX(0.1,1-0.4*MIN(1,(B2172-1)/1.5)-IF(FALSE=TRUE,Inputs!$B$32,0)))*(1-IF(AND(ArtifactsInput!$M$27,Inputs!$B$4="Chapter Hunt"),CHOOSE(ArtifactsInput!$N$27+1,20,24,28,32,36,40),0)/100)))))/Skills!H6+0.000000001),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INT(Skills!I6/Skills!H6+0.000000001),1)+IF(Skills!H6&gt;0,INT(MIN(Skills!I6,MAX(0,MAX(0,Inputs!$B$43-B2177)-((R2141-1)*(IF(Inputs!$B$38="pvp",15,MAX(0.1,1-0.4*MIN(1,(B2172-1)/1.5)-IF(FALSE=TRUE,Inputs!$B$32,0)))*(1-IF(AND(ArtifactsInput!$M$27,Inputs!$B$4="Chapter Hunt"),CHOOSE(ArtifactsInput!$N$27+1,20,24,28,32,36,40),0)/100)))))/Skills!H6+0.000000001),1)))/Inputs!$B$43),G2141*Q2141))*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Inputs!$B$3&gt;=107</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t="inlineStr"/>
      <c r="H2142" t="inlineStr"/>
      <c r="I2142" t="inlineStr">
        <is>
          <t>1</t>
        </is>
      </c>
      <c r="J2142" t="inlineStr"/>
      <c r="K2142" t="inlineStr"/>
      <c r="L2142" t="inlineStr"/>
      <c r="M2142" t="inlineStr"/>
      <c r="N2142" t="inlineStr"/>
      <c r="O2142" t="inlineStr"/>
      <c r="P2142" t="inlineStr"/>
      <c r="Q2142" t="inlineStr"/>
      <c r="R2142" t="inlineStr"/>
      <c r="S2142" t="inlineStr"/>
      <c r="T2142" t="inlineStr"/>
      <c r="V2142" t="inlineStr"/>
    </row>
    <row r="2143">
      <c r="A2143">
        <f>Skills!A8</f>
        <v/>
      </c>
      <c r="B2143">
        <f>Skills!B8</f>
        <v/>
      </c>
      <c r="C2143">
        <f>Inputs!$B$3&gt;=130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Skills!G8*IF(Skills!H8&gt;0,INT(IF(Inputs!$B$38="pvp",MIN(Skills!I8,15),Skills!I8)/Skills!H8+0.000000001),1)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26)),(Inputs!$B$23+((C2166=TRUE)*(F2166-Calc!F31))+(IF(ArtifactsInput!$M$15,CHOOSE(ArtifactsInput!$N$15+1,25,30,35,40,45,50)/100*(Inputs!$B$11-Inputs!$B$11),0))))/100+(Inputs!$B$23+((C2166=TRUE)*(F2166-Calc!F31))+(IF(ArtifactsInput!$M$15,CHOOSE(ArtifactsInput!$N$15+1,25,30,35,40,45,50)/100*(Inputs!$B$11-Inputs!$B$11),0)))/100)/2</f>
        <v/>
      </c>
      <c r="M2143">
        <f>L2143*(1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3">
        <f>L2143*(1-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IFERROR(1/(IF(Inputs!$B$38="pvp",15,MAX(0.1,1-0.4*MIN(1,(B2172-1)/1.5)-IF(FALSE=TRUE,Inputs!$B$32,0)))*(1-IF(AND(ArtifactsInput!$M$27,Inputs!$B$4="Chapter Hunt"),CHOOSE(ArtifactsInput!$N$27+1,20,24,28,32,36,40),0)/100)),0)</f>
        <v/>
      </c>
      <c r="R2143">
        <f>IF(AND(Inputs!$B$38&lt;&gt;"pvp",Inputs!$B$43&gt;0),IF(MAX(0,Inputs!$B$43-B2177)&lt;=0,0,(INT(MAX(0,Inputs!$B$43-B2177)/(IF(Inputs!$B$38="pvp",15,MAX(0.1,1-0.4*MIN(1,(B2172-1)/1.5)-IF(FALSE=TRUE,Inputs!$B$32,0)))*(1-IF(AND(ArtifactsInput!$M$27,Inputs!$B$4="Chapter Hunt"),CHOOSE(ArtifactsInput!$N$27+1,20,24,28,32,36,40),0)/100)))+1)),0)</f>
        <v/>
      </c>
      <c r="S2143">
        <f>IFERROR(O2143/N2143,0)</f>
        <v/>
      </c>
      <c r="T2143">
        <f>IF(C2143,(H2143*N2143*IF(AND(Inputs!$B$38&lt;&gt;"pvp",Inputs!$B$43&gt;0),((Skills!G8*((R2143-1)*IF(Skills!H8&gt;0,INT(Skills!I8/Skills!H8+0.000000001),1)+IF(Skills!H8&gt;0,INT(MIN(Skills!I8,MAX(0,MAX(0,Inputs!$B$43-B2177)-((R2143-1)*(IF(Inputs!$B$38="pvp",15,MAX(0.1,1-0.4*MIN(1,(B2172-1)/1.5)-IF(FALSE=TRUE,Inputs!$B$32,0)))*(1-IF(AND(ArtifactsInput!$M$27,Inputs!$B$4="Chapter Hunt"),CHOOSE(ArtifactsInput!$N$27+1,20,24,28,32,36,40),0)/100)))))/Skills!H8+0.000000001),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INT(Skills!I8/Skills!H8+0.000000001),1)+IF(Skills!H8&gt;0,INT(MIN(Skills!I8,MAX(0,MAX(0,Inputs!$B$43-B2177)-((R2143-1)*(IF(Inputs!$B$38="pvp",15,MAX(0.1,1-0.4*MIN(1,(B2172-1)/1.5)-IF(FALSE=TRUE,Inputs!$B$32,0)))*(1-IF(AND(ArtifactsInput!$M$27,Inputs!$B$4="Chapter Hunt"),CHOOSE(ArtifactsInput!$N$27+1,20,24,28,32,36,40),0)/100)))))/Skills!H8+0.000000001),1)))/Inputs!$B$43),G2143*Q2143))*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Inputs!$B$3&gt;=69</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Skills!G9*IF(Skills!H9&gt;0,INT(IF(Inputs!$B$38="pvp",MIN(Skills!I9,15),Skills!I9)/Skills!H9+0.000000001),1)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2147=TRUE,F2147,0)/100)*(1+(IF(Skills!A9="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26)),(Inputs!$B$23+((C2166=TRUE)*(F2166-Calc!F31))+(IF(ArtifactsInput!$M$15,CHOOSE(ArtifactsInput!$N$15+1,25,30,35,40,45,50)/100*(Inputs!$B$11-Inputs!$B$11),0))))/100+(Inputs!$B$23+((C2166=TRUE)*(F2166-Calc!F31))+(IF(ArtifactsInput!$M$15,CHOOSE(ArtifactsInput!$N$15+1,25,30,35,40,45,50)/100*(Inputs!$B$11-Inputs!$B$11),0)))/100)/2</f>
        <v/>
      </c>
      <c r="M2144">
        <f>L2144*(1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4">
        <f>L2144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IFERROR(1/(IF(Inputs!$B$38="pvp",15,MAX(0.1,Skills!D9-IF(TRUE=TRUE,Inputs!$B$32,0)))*(1-IF(AND(ArtifactsInput!$M$27,Inputs!$B$4="Chapter Hunt"),CHOOSE(ArtifactsInput!$N$27+1,20,24,28,32,36,40),0)/100)),0)</f>
        <v/>
      </c>
      <c r="R2144">
        <f>IF(AND(Inputs!$B$38&lt;&gt;"pvp",Inputs!$B$43&gt;0),IF(MAX(0,Inputs!$B$43-B2177)&lt;=0,0,(INT(MAX(0,Inputs!$B$43-B2177)/(IF(Inputs!$B$38="pvp",15,MAX(0.1,Skills!D9-IF(TRUE=TRUE,Inputs!$B$32,0)))*(1-IF(AND(ArtifactsInput!$M$27,Inputs!$B$4="Chapter Hunt"),CHOOSE(ArtifactsInput!$N$27+1,20,24,28,32,36,40),0)/100)))+1)),0)</f>
        <v/>
      </c>
      <c r="S2144">
        <f>IFERROR(O2144/N2144,0)</f>
        <v/>
      </c>
      <c r="T2144">
        <f>IF(C2144,(H2144*N2144*IF(AND(Inputs!$B$38&lt;&gt;"pvp",Inputs!$B$43&gt;0),((Skills!G9*((R2144-1)*IF(Skills!H9&gt;0,INT(Skills!I9/Skills!H9+0.000000001),1)+IF(Skills!H9&gt;0,INT(MIN(Skills!I9,MAX(0,MAX(0,Inputs!$B$43-B2177)-((R2144-1)*(IF(Inputs!$B$38="pvp",15,MAX(0.1,Skills!D9-IF(TRUE=TRUE,Inputs!$B$32,0)))*(1-IF(AND(ArtifactsInput!$M$27,Inputs!$B$4="Chapter Hunt"),CHOOSE(ArtifactsInput!$N$27+1,20,24,28,32,36,40),0)/100)))))/Skills!H9+0.000000001),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INT(Skills!I9/Skills!H9+0.000000001),1)+IF(Skills!H9&gt;0,INT(MIN(Skills!I9,MAX(0,MAX(0,Inputs!$B$43-B2177)-((R2144-1)*(IF(Inputs!$B$38="pvp",15,MAX(0.1,Skills!D9-IF(TRUE=TRUE,Inputs!$B$32,0)))*(1-IF(AND(ArtifactsInput!$M$27,Inputs!$B$4="Chapter Hunt"),CHOOSE(ArtifactsInput!$N$27+1,20,24,28,32,36,40),0)/100)))))/Skills!H9+0.000000001),1)))/Inputs!$B$43),G2144*Q2144))*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Inputs!$B$3&gt;=63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Skills!G10*IF(Skills!H10&gt;0,INT(IF(Inputs!$B$38="pvp",MIN(Skills!I10,15),Skills!I10)/Skills!H10+0.000000001),1)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2147=TRUE,F2147,0)/100)*(1+(IF(Skills!A10="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26)),(Inputs!$B$23+((C2166=TRUE)*(F2166-Calc!F31))+(IF(ArtifactsInput!$M$15,CHOOSE(ArtifactsInput!$N$15+1,25,30,35,40,45,50)/100*(Inputs!$B$11-Inputs!$B$11),0))))/100+(Inputs!$B$23+((C2166=TRUE)*(F2166-Calc!F31))+(IF(ArtifactsInput!$M$15,CHOOSE(ArtifactsInput!$N$15+1,25,30,35,40,45,50)/100*(Inputs!$B$11-Inputs!$B$11),0)))/100)/2</f>
        <v/>
      </c>
      <c r="M2145">
        <f>L2145*(1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5">
        <f>L2145*(1-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IFERROR(1/(IF(Inputs!$B$38="pvp",15,MAX(0.1,Skills!D10-IF(TRUE=TRUE,Inputs!$B$32,0)))*(1-IF(AND(ArtifactsInput!$M$27,Inputs!$B$4="Chapter Hunt"),CHOOSE(ArtifactsInput!$N$27+1,20,24,28,32,36,40),0)/100)),0)</f>
        <v/>
      </c>
      <c r="R2145">
        <f>IF(AND(Inputs!$B$38&lt;&gt;"pvp",Inputs!$B$43&gt;0),IF(MAX(0,Inputs!$B$43-B2177)&lt;=0,0,(INT(MAX(0,Inputs!$B$43-B2177)/(IF(Inputs!$B$38="pvp",15,MAX(0.1,Skills!D10-IF(TRUE=TRUE,Inputs!$B$32,0)))*(1-IF(AND(ArtifactsInput!$M$27,Inputs!$B$4="Chapter Hunt"),CHOOSE(ArtifactsInput!$N$27+1,20,24,28,32,36,40),0)/100)))+1)),0)</f>
        <v/>
      </c>
      <c r="S2145">
        <f>IFERROR(O2145/N2145,0)</f>
        <v/>
      </c>
      <c r="T2145">
        <f>IF(C2145,(H2145*N2145*IF(AND(Inputs!$B$38&lt;&gt;"pvp",Inputs!$B$43&gt;0),((Skills!G10*((R2145-1)*IF(Skills!H10&gt;0,INT(Skills!I10/Skills!H10+0.000000001),1)+IF(Skills!H10&gt;0,INT(MIN(Skills!I10,MAX(0,MAX(0,Inputs!$B$43-B2177)-((R2145-1)*(IF(Inputs!$B$38="pvp",15,MAX(0.1,Skills!D10-IF(TRUE=TRUE,Inputs!$B$32,0)))*(1-IF(AND(ArtifactsInput!$M$27,Inputs!$B$4="Chapter Hunt"),CHOOSE(ArtifactsInput!$N$27+1,20,24,28,32,36,40),0)/100)))))/Skills!H10+0.000000001),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INT(Skills!I10/Skills!H10+0.000000001),1)+IF(Skills!H10&gt;0,INT(MIN(Skills!I10,MAX(0,MAX(0,Inputs!$B$43-B2177)-((R2145-1)*(IF(Inputs!$B$38="pvp",15,MAX(0.1,Skills!D10-IF(TRUE=TRUE,Inputs!$B$32,0)))*(1-IF(AND(ArtifactsInput!$M$27,Inputs!$B$4="Chapter Hunt"),CHOOSE(ArtifactsInput!$N$27+1,20,24,28,32,36,40),0)/100)))))/Skills!H10+0.000000001),1)))/Inputs!$B$43),G2145*Q2145))*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Inputs!$B$3&gt;=103</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Skills!G11*IF(Skills!H11&gt;0,INT(IF(Inputs!$B$38="pvp",MIN(Skills!I11,15),Skills!I11)/Skills!H11+0.000000001),1)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26)),(Inputs!$B$23+((C2166=TRUE)*(F2166-Calc!F31))+(IF(ArtifactsInput!$M$15,CHOOSE(ArtifactsInput!$N$15+1,25,30,35,40,45,50)/100*(Inputs!$B$11-Inputs!$B$11),0))))/100+(Inputs!$B$23+((C2166=TRUE)*(F2166-Calc!F31))+(IF(ArtifactsInput!$M$15,CHOOSE(ArtifactsInput!$N$15+1,25,30,35,40,45,50)/100*(Inputs!$B$11-Inputs!$B$11),0)))/100)/2</f>
        <v/>
      </c>
      <c r="M2146">
        <f>L2146*(1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6">
        <f>L2146*(1-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IFERROR(1/(IF(Inputs!$B$38="pvp",15,MAX(0.1,Skills!D11-IF(TRUE=TRUE,Inputs!$B$32,0)))*(1-IF(AND(ArtifactsInput!$M$27,Inputs!$B$4="Chapter Hunt"),CHOOSE(ArtifactsInput!$N$27+1,20,24,28,32,36,40),0)/100)),0)</f>
        <v/>
      </c>
      <c r="R2146">
        <f>IF(AND(Inputs!$B$38&lt;&gt;"pvp",Inputs!$B$43&gt;0),IF(MAX(0,Inputs!$B$43-B2177)&lt;=0,0,(INT(MAX(0,Inputs!$B$43-B2177)/(IF(Inputs!$B$38="pvp",15,MAX(0.1,Skills!D11-IF(TRUE=TRUE,Inputs!$B$32,0)))*(1-IF(AND(ArtifactsInput!$M$27,Inputs!$B$4="Chapter Hunt"),CHOOSE(ArtifactsInput!$N$27+1,20,24,28,32,36,40),0)/100)))+1)),0)</f>
        <v/>
      </c>
      <c r="S2146">
        <f>IFERROR(O2146/N2146,0)</f>
        <v/>
      </c>
      <c r="T2146">
        <f>IF(C2146,(H2146*N2146*IF(AND(Inputs!$B$38&lt;&gt;"pvp",Inputs!$B$43&gt;0),((Skills!G11*((R2146-1)*IF(Skills!H11&gt;0,INT(Skills!I11/Skills!H11+0.000000001),1)+IF(Skills!H11&gt;0,INT(MIN(Skills!I11,MAX(0,MAX(0,Inputs!$B$43-B2177)-((R2146-1)*(IF(Inputs!$B$38="pvp",15,MAX(0.1,Skills!D11-IF(TRUE=TRUE,Inputs!$B$32,0)))*(1-IF(AND(ArtifactsInput!$M$27,Inputs!$B$4="Chapter Hunt"),CHOOSE(ArtifactsInput!$N$27+1,20,24,28,32,36,40),0)/100)))))/Skills!H11+0.000000001)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INT(Skills!I11/Skills!H11+0.000000001),1)+IF(Skills!H11&gt;0,INT(MIN(Skills!I11,MAX(0,MAX(0,Inputs!$B$43-B2177)-((R2146-1)*(IF(Inputs!$B$38="pvp",15,MAX(0.1,Skills!D11-IF(TRUE=TRUE,Inputs!$B$32,0)))*(1-IF(AND(ArtifactsInput!$M$27,Inputs!$B$4="Chapter Hunt"),CHOOSE(ArtifactsInput!$N$27+1,20,24,28,32,36,40),0)/100)))))/Skills!H11+0.000000001),1)))/Inputs!$B$43),G2146*Q2146))*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Inputs!$B$3&gt;=100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t="inlineStr"/>
      <c r="H2147" t="inlineStr"/>
      <c r="I2147" t="inlineStr">
        <is>
          <t>1</t>
        </is>
      </c>
      <c r="J2147" t="inlineStr"/>
      <c r="K2147" t="inlineStr"/>
      <c r="L2147" t="inlineStr"/>
      <c r="M2147" t="inlineStr"/>
      <c r="N2147" t="inlineStr"/>
      <c r="O2147" t="inlineStr"/>
      <c r="P2147" t="inlineStr"/>
      <c r="Q2147" t="inlineStr"/>
      <c r="R2147" t="inlineStr"/>
      <c r="S2147" t="inlineStr"/>
      <c r="T2147" t="inlineStr"/>
      <c r="V2147" t="inlineStr"/>
    </row>
    <row r="2148">
      <c r="A2148">
        <f>Skills!A13</f>
        <v/>
      </c>
      <c r="B2148">
        <f>Skills!B13</f>
        <v/>
      </c>
      <c r="C2148">
        <f>Inputs!$B$3&gt;=60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Skills!G13*IF(Skills!H13&gt;0,INT(IF(Inputs!$B$38="pvp",MIN(Skills!I13,15),Skills!I13)/Skills!H13+0.000000001),1)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2149=TRUE,F2149,0)/100)*(1+(IF(Skills!A13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26)),(Inputs!$B$23+((C2166=TRUE)*(F2166-Calc!F31))+(IF(ArtifactsInput!$M$15,CHOOSE(ArtifactsInput!$N$15+1,25,30,35,40,45,50)/100*(Inputs!$B$11-Inputs!$B$11),0))))/100+(Inputs!$B$23+((C2166=TRUE)*(F2166-Calc!F31))+(IF(ArtifactsInput!$M$15,CHOOSE(ArtifactsInput!$N$15+1,25,30,35,40,45,50)/100*(Inputs!$B$11-Inputs!$B$11),0)))/100)/2</f>
        <v/>
      </c>
      <c r="M2148">
        <f>L2148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8">
        <f>L2148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IFERROR(1/(IF(Inputs!$B$38="pvp",15,MAX(0.1,IF(Inputs!$B$3&gt;=122,3,5)+1/(((20+30*(B2172-1)*100/150)/100)*B2172)-IF(FALSE=TRUE,Inputs!$B$32,0)))*(1-IF(AND(ArtifactsInput!$M$27,Inputs!$B$4="Chapter Hunt"),CHOOSE(ArtifactsInput!$N$27+1,20,24,28,32,36,40),0)/100)),0)</f>
        <v/>
      </c>
      <c r="R2148">
        <f>IF(AND(Inputs!$B$38&lt;&gt;"pvp",Inputs!$B$43&gt;0),IF(MAX(0,Inputs!$B$43-B2177)&lt;=0,0,(INT(MAX(0,Inputs!$B$43-B2177)/(IF(Inputs!$B$38="pvp",15,MAX(0.1,IF(Inputs!$B$3&gt;=122,3,5)+1/(((20+30*(B2172-1)*100/150)/100)*B2172)-IF(FALSE=TRUE,Inputs!$B$32,0)))*(1-IF(AND(ArtifactsInput!$M$27,Inputs!$B$4="Chapter Hunt"),CHOOSE(ArtifactsInput!$N$27+1,20,24,28,32,36,40),0)/100)))+1)),0)</f>
        <v/>
      </c>
      <c r="S2148">
        <f>IFERROR(O2148/N2148,0)</f>
        <v/>
      </c>
      <c r="T2148">
        <f>IF(C2148,(H2148*N2148*IF(AND(Inputs!$B$38&lt;&gt;"pvp",Inputs!$B$43&gt;0),((Skills!G13*((R2148-1)*IF(Skills!H13&gt;0,INT(Skills!I13/Skills!H13+0.000000001),1)+IF(Skills!H13&gt;0,INT(MIN(Skills!I13,MAX(0,MAX(0,Inputs!$B$43-B2177)-((R2148-1)*(IF(Inputs!$B$38="pvp",15,MAX(0.1,IF(Inputs!$B$3&gt;=122,3,5)+1/(((20+30*(B2172-1)*100/150)/100)*B2172)-IF(FALSE=TRUE,Inputs!$B$32,0)))*(1-IF(AND(ArtifactsInput!$M$27,Inputs!$B$4="Chapter Hunt"),CHOOSE(ArtifactsInput!$N$27+1,20,24,28,32,36,40),0)/100)))))/Skills!H13+0.000000001),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INT(Skills!I13/Skills!H13+0.000000001),1)+IF(Skills!H13&gt;0,INT(MIN(Skills!I13,MAX(0,MAX(0,Inputs!$B$43-B2177)-((R2148-1)*(IF(Inputs!$B$38="pvp",15,MAX(0.1,IF(Inputs!$B$3&gt;=122,3,5)+1/(((20+30*(B2172-1)*100/150)/100)*B2172)-IF(FALSE=TRUE,Inputs!$B$32,0)))*(1-IF(AND(ArtifactsInput!$M$27,Inputs!$B$4="Chapter Hunt"),CHOOSE(ArtifactsInput!$N$27+1,20,24,28,32,36,40),0)/100)))))/Skills!H13+0.000000001),1)))/Inputs!$B$43),G2148*Q2148))*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Inputs!$B$3&gt;=110</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Skills!A15</f>
        <v/>
      </c>
      <c r="B2150">
        <f>Skills!B15</f>
        <v/>
      </c>
      <c r="C2150">
        <f>Inputs!$B$3&gt;=74</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f>Skills!G15*IF(Skills!H15&gt;0,INT(IF(Inputs!$B$38="pvp",MIN(Skills!I15,15),Skills!I15)/Skills!H15+0.000000001),1)</f>
        <v/>
      </c>
      <c r="H2150">
        <f>1-(1-Skills!J15/100)^Skills!K15</f>
        <v/>
      </c>
      <c r="I2150" t="inlineStr">
        <is>
          <t>1</t>
        </is>
      </c>
      <c r="J2150" t="inlineStr"/>
      <c r="K2150" t="inlineStr"/>
      <c r="L2150" t="inlineStr"/>
      <c r="M2150" t="inlineStr"/>
      <c r="N2150" t="inlineStr"/>
      <c r="O2150">
        <f>(1-Summary!$B$11)*T2150+Summary!$B$11*V2150</f>
        <v/>
      </c>
      <c r="P2150">
        <f>IF(B2180=0,0,O2150/B2180)</f>
        <v/>
      </c>
      <c r="Q2150" t="n">
        <v>0</v>
      </c>
      <c r="R2150" t="n">
        <v>0</v>
      </c>
      <c r="S2150">
        <f>IFERROR(O2150/N2150,0)</f>
        <v/>
      </c>
      <c r="T2150" t="n">
        <v>0</v>
      </c>
      <c r="V2150" t="n">
        <v>0</v>
      </c>
    </row>
    <row r="2151">
      <c r="A2151">
        <f>Skills!A16</f>
        <v/>
      </c>
      <c r="B2151">
        <f>Skills!B16</f>
        <v/>
      </c>
      <c r="C2151">
        <f>Inputs!$B$3&gt;=74</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f>Skills!G16*IF(Skills!H16&gt;0,INT(IF(Inputs!$B$38="pvp",MIN(Skills!I16,15),Skills!I16)/Skills!H16+0.000000001),1)</f>
        <v/>
      </c>
      <c r="H2151">
        <f>1-(1-Skills!J16/100)^Skills!K16</f>
        <v/>
      </c>
      <c r="I2151" t="inlineStr">
        <is>
          <t>1</t>
        </is>
      </c>
      <c r="J2151" t="inlineStr"/>
      <c r="K2151" t="inlineStr"/>
      <c r="L2151" t="inlineStr"/>
      <c r="M2151" t="inlineStr"/>
      <c r="N2151" t="inlineStr"/>
      <c r="O2151">
        <f>(1-Summary!$B$11)*T2151+Summary!$B$11*V2151</f>
        <v/>
      </c>
      <c r="P2151">
        <f>IF(B2180=0,0,O2151/B2180)</f>
        <v/>
      </c>
      <c r="Q2151" t="n">
        <v>0</v>
      </c>
      <c r="R2151" t="n">
        <v>0</v>
      </c>
      <c r="S2151">
        <f>IFERROR(O2151/N2151,0)</f>
        <v/>
      </c>
      <c r="T2151" t="n">
        <v>0</v>
      </c>
      <c r="V2151" t="n">
        <v>0</v>
      </c>
    </row>
    <row r="2152">
      <c r="A2152">
        <f>Skills!A17</f>
        <v/>
      </c>
      <c r="B2152">
        <f>Skills!B17</f>
        <v/>
      </c>
      <c r="C2152">
        <f>Inputs!$B$3&gt;=117</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Skills!G17*IF(Skills!H17&gt;0,INT(IF(Inputs!$B$38="pvp",MIN(Skills!I17,15),Skills!I17)/Skills!H17+0.000000001),1)</f>
        <v/>
      </c>
      <c r="H2152">
        <f>1-(1-Skills!J17/100)^Skills!K17</f>
        <v/>
      </c>
      <c r="I2152" t="inlineStr">
        <is>
          <t>1</t>
        </is>
      </c>
      <c r="J2152" t="inlineStr"/>
      <c r="K2152" t="inlineStr"/>
      <c r="L2152" t="inlineStr"/>
      <c r="M2152" t="inlineStr"/>
      <c r="N2152" t="inlineStr"/>
      <c r="O2152">
        <f>(1-Summary!$B$11)*T2152+Summary!$B$11*V2152</f>
        <v/>
      </c>
      <c r="P2152">
        <f>IF(B2180=0,0,O2152/B2180)</f>
        <v/>
      </c>
      <c r="Q2152">
        <f>IFERROR(1/(IF(Inputs!$B$38="pvp",15,MAX(0.1,Skills!D17-IF(TRUE=TRUE,Inputs!$B$32,0)))*(1-IF(AND(ArtifactsInput!$M$27,Inputs!$B$4="Chapter Hunt"),CHOOSE(ArtifactsInput!$N$27+1,20,24,28,32,36,40),0)/100)),0)</f>
        <v/>
      </c>
      <c r="R2152">
        <f>IF(AND(Inputs!$B$38&lt;&gt;"pvp",Inputs!$B$43&gt;0),IF(Inputs!$B$43&lt;=0,0,(INT(Inputs!$B$43/(IF(Inputs!$B$38="pvp",15,MAX(0.1,Skills!D17-IF(TRUE=TRUE,Inputs!$B$32,0)))*(1-IF(AND(ArtifactsInput!$M$27,Inputs!$B$4="Chapter Hunt"),CHOOSE(ArtifactsInput!$N$27+1,20,24,28,32,36,40),0)/100)))+1)),0)</f>
        <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Skills!G18*IF(Skills!H18&gt;0,INT(IF(Inputs!$B$38="pvp",MIN(Skills!I18,15),Skills!I18)/Skills!H18+0.000000001),1)</f>
        <v/>
      </c>
      <c r="H2153">
        <f>1-(1-Skills!J18/100)^Skills!K18</f>
        <v/>
      </c>
      <c r="I2153" t="inlineStr">
        <is>
          <t>1</t>
        </is>
      </c>
      <c r="J2153" t="inlineStr"/>
      <c r="K2153" t="inlineStr"/>
      <c r="L2153" t="inlineStr"/>
      <c r="M2153" t="inlineStr"/>
      <c r="N2153" t="inlineStr"/>
      <c r="O2153">
        <f>(1-Summary!$B$11)*T2153+Summary!$B$11*V2153</f>
        <v/>
      </c>
      <c r="P2153">
        <f>IF(B2180=0,0,O2153/B2180)</f>
        <v/>
      </c>
      <c r="Q2153">
        <f>IFERROR(1/(IF(Inputs!$B$38="pvp",15,MAX(0.1,Skills!D18-IF(TRUE=TRUE,Inputs!$B$32,0)))*(1-IF(AND(ArtifactsInput!$M$27,Inputs!$B$4="Chapter Hunt"),CHOOSE(ArtifactsInput!$N$27+1,20,24,28,32,36,40),0)/100)),0)</f>
        <v/>
      </c>
      <c r="R2153">
        <f>IF(AND(Inputs!$B$38&lt;&gt;"pvp",Inputs!$B$43&gt;0),IF(Inputs!$B$43&lt;=0,0,(INT(Inputs!$B$43/(IF(Inputs!$B$38="pvp",15,MAX(0.1,Skills!D18-IF(TRUE=TRUE,Inputs!$B$32,0)))*(1-IF(AND(ArtifactsInput!$M$27,Inputs!$B$4="Chapter Hunt"),CHOOSE(ArtifactsInput!$N$27+1,20,24,28,32,36,40),0)/100)))+1)),0)</f>
        <v/>
      </c>
      <c r="S2153">
        <f>IFERROR(O2153/N2153,0)</f>
        <v/>
      </c>
      <c r="T2153" t="n">
        <v>0</v>
      </c>
      <c r="V2153" t="n">
        <v>0</v>
      </c>
    </row>
    <row r="2154">
      <c r="A2154">
        <f>Skills!A19</f>
        <v/>
      </c>
      <c r="B2154">
        <f>Skills!B19</f>
        <v/>
      </c>
      <c r="C2154">
        <f>Inputs!$B$3&gt;=66</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Skills!G19*IF(Skills!H19&gt;0,INT(IF(Inputs!$B$38="pvp",MIN(Skills!I19,15),Skills!I19)/Skills!H19+0.000000001),1)</f>
        <v/>
      </c>
      <c r="H2154">
        <f>1-(1-Skills!J19/100)^Skills!K19</f>
        <v/>
      </c>
      <c r="I2154" t="inlineStr">
        <is>
          <t>1</t>
        </is>
      </c>
      <c r="J2154" t="inlineStr"/>
      <c r="K2154" t="inlineStr"/>
      <c r="L2154" t="inlineStr"/>
      <c r="M2154" t="inlineStr"/>
      <c r="N2154" t="inlineStr"/>
      <c r="O2154">
        <f>(1-Summary!$B$11)*T2154+Summary!$B$11*V2154</f>
        <v/>
      </c>
      <c r="P2154">
        <f>IF(B2180=0,0,O2154/B2180)</f>
        <v/>
      </c>
      <c r="Q2154" t="n">
        <v>0</v>
      </c>
      <c r="R2154" t="n">
        <v>0</v>
      </c>
      <c r="S2154">
        <f>IFERROR(O2154/N2154,0)</f>
        <v/>
      </c>
      <c r="T2154" t="n">
        <v>0</v>
      </c>
      <c r="V2154" t="n">
        <v>0</v>
      </c>
    </row>
    <row r="2155">
      <c r="A2155">
        <f>Skills!A20</f>
        <v/>
      </c>
      <c r="B2155">
        <f>Skills!B20</f>
        <v/>
      </c>
      <c r="C2155">
        <f>Inputs!$B$3&gt;=72</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Skills!G20*IF(Skills!H20&gt;0,INT(IF(Inputs!$B$38="pvp",MIN(Skills!I20,15),Skills!I20)/Skills!H20+0.000000001),1)</f>
        <v/>
      </c>
      <c r="H2155">
        <f>1-(1-Skills!J20/100)^Skills!K20</f>
        <v/>
      </c>
      <c r="I2155" t="inlineStr">
        <is>
          <t>1</t>
        </is>
      </c>
      <c r="J2155" t="inlineStr"/>
      <c r="K2155" t="inlineStr"/>
      <c r="L2155" t="inlineStr"/>
      <c r="M2155" t="inlineStr"/>
      <c r="N2155" t="inlineStr"/>
      <c r="O2155">
        <f>(1-Summary!$B$11)*T2155+Summary!$B$11*V2155</f>
        <v/>
      </c>
      <c r="P2155">
        <f>IF(B2180=0,0,O2155/B2180)</f>
        <v/>
      </c>
      <c r="Q2155" t="n">
        <v>0</v>
      </c>
      <c r="R2155" t="n">
        <v>0</v>
      </c>
      <c r="S2155">
        <f>IFERROR(O2155/N2155,0)</f>
        <v/>
      </c>
      <c r="T2155" t="n">
        <v>0</v>
      </c>
      <c r="V2155" t="n">
        <v>0</v>
      </c>
    </row>
    <row r="2156">
      <c r="A2156">
        <f>Skills!A21</f>
        <v/>
      </c>
      <c r="B2156">
        <f>Skills!B21</f>
        <v/>
      </c>
      <c r="C2156">
        <f>TRUE</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Skills!G21*IF(Skills!H21&gt;0,INT(IF(Inputs!$B$38="pvp",MIN(Skills!I21,15),Skills!I21)/Skills!H21+0.000000001),1)</f>
        <v/>
      </c>
      <c r="H2156">
        <f>1-(1-Skills!J21/100)^Skills!K21</f>
        <v/>
      </c>
      <c r="I2156" t="inlineStr">
        <is>
          <t>1</t>
        </is>
      </c>
      <c r="J2156" t="inlineStr"/>
      <c r="K2156" t="inlineStr"/>
      <c r="L2156" t="inlineStr"/>
      <c r="M2156" t="inlineStr"/>
      <c r="N2156" t="inlineStr"/>
      <c r="O2156">
        <f>(1-Summary!$B$11)*T2156+Summary!$B$11*V2156</f>
        <v/>
      </c>
      <c r="P2156">
        <f>IF(B2180=0,0,O2156/B2180)</f>
        <v/>
      </c>
      <c r="Q2156">
        <f>IFERROR(1/(IF(Inputs!$B$38="pvp",15,MAX(0.1,Skills!D21-IF(TRUE=TRUE,Inputs!$B$32,0)))*(1-IF(AND(ArtifactsInput!$M$27,Inputs!$B$4="Chapter Hunt"),CHOOSE(ArtifactsInput!$N$27+1,20,24,28,32,36,40),0)/100)),0)</f>
        <v/>
      </c>
      <c r="R2156">
        <f>IF(AND(Inputs!$B$38&lt;&gt;"pvp",Inputs!$B$43&gt;0),IF(Inputs!$B$43&lt;=0,0,(INT(Inputs!$B$43/(IF(Inputs!$B$38="pvp",15,MAX(0.1,Skills!D21-IF(TRUE=TRUE,Inputs!$B$32,0)))*(1-IF(AND(ArtifactsInput!$M$27,Inputs!$B$4="Chapter Hunt"),CHOOSE(ArtifactsInput!$N$27+1,20,24,28,32,36,40),0)/100)))+1)),0)</f>
        <v/>
      </c>
      <c r="S2156">
        <f>IFERROR(O2156/N2156,0)</f>
        <v/>
      </c>
      <c r="T2156" t="n">
        <v>0</v>
      </c>
      <c r="V2156" t="n">
        <v>0</v>
      </c>
    </row>
    <row r="2157">
      <c r="A2157">
        <f>Skills!A22</f>
        <v/>
      </c>
      <c r="B2157">
        <f>Skills!B22</f>
        <v/>
      </c>
      <c r="C2157">
        <f>Inputs!$B$3&gt;=15</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Skills!G22*IF(Skills!H22&gt;0,INT(IF(Inputs!$B$38="pvp",MIN(Skills!I22,15),Skills!I22)/Skills!H22+0.000000001),1)</f>
        <v/>
      </c>
      <c r="H2157">
        <f>1-(1-Skills!J22/100)^Skills!K22</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Skills!A23</f>
        <v/>
      </c>
      <c r="B2158">
        <f>Skills!B23</f>
        <v/>
      </c>
      <c r="C2158">
        <f>Inputs!$B$3&gt;=10</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Skills!G23*IF(Skills!H23&gt;0,INT(IF(Inputs!$B$38="pvp",MIN(Skills!I23,15),Skills!I23)/Skills!H23+0.000000001),1)</f>
        <v/>
      </c>
      <c r="H2158">
        <f>1-(1-Skills!J23/100)^Skills!K23</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Skills!A24</f>
        <v/>
      </c>
      <c r="B2159">
        <f>Skills!B24</f>
        <v/>
      </c>
      <c r="C2159">
        <f>Inputs!$B$3&gt;=33</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Skills!G24*IF(Skills!H24&gt;0,INT(IF(Inputs!$B$38="pvp",MIN(Skills!I24,15),Skills!I24)/Skills!H24+0.000000001),1)</f>
        <v/>
      </c>
      <c r="H2159">
        <f>1-(1-Skills!J24/100)^Skills!K24</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Skills!A25</f>
        <v/>
      </c>
      <c r="B2160">
        <f>Skills!B25</f>
        <v/>
      </c>
      <c r="C2160">
        <f>Inputs!$B$3&gt;=38</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Skills!G25*IF(Skills!H25&gt;0,INT(IF(Inputs!$B$38="pvp",MIN(Skills!I25,15),Skills!I25)/Skills!H25+0.000000001),1)</f>
        <v/>
      </c>
      <c r="H2160">
        <f>1-(1-Skills!J25/100)^Skills!K25</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Skills!A26</f>
        <v/>
      </c>
      <c r="B2161">
        <f>Skills!B26</f>
        <v/>
      </c>
      <c r="C2161">
        <f>Inputs!$B$3&gt;=43</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Skills!G26*IF(Skills!H26&gt;0,INT(IF(Inputs!$B$38="pvp",MIN(Skills!I26,15),Skills!I26)/Skills!H26+0.000000001),1)</f>
        <v/>
      </c>
      <c r="H2161">
        <f>1-(1-Skills!J26/100)^Skills!K26</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Skills!A27</f>
        <v/>
      </c>
      <c r="B2162">
        <f>Skills!B27</f>
        <v/>
      </c>
      <c r="C2162">
        <f>Inputs!$B$3&gt;=75</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Skills!G27*IF(Skills!H27&gt;0,INT(IF(Inputs!$B$38="pvp",MIN(Skills!I27,15),Skills!I27)/Skills!H27+0.000000001),1)</f>
        <v/>
      </c>
      <c r="H2162">
        <f>1-(1-Skills!J27/100)^Skills!K27</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Skills!A28</f>
        <v/>
      </c>
      <c r="B2163">
        <f>Skills!B28</f>
        <v/>
      </c>
      <c r="C2163">
        <f>Inputs!$B$3&gt;=125</f>
        <v/>
      </c>
      <c r="D2163">
        <f>IF(Skills!C28=1,60+Inputs!$B$25+Inputs!$B$29,IF(Skills!C28=2,90+Inputs!$B$26+Inputs!$B$29,IF(Skills!C28=3,120+Inputs!$B$27+Inputs!$B$29,MAX(0,(Inputs!$B$3-100)*3)+Inputs!$B$28+Inputs!$B$29)))</f>
        <v/>
      </c>
      <c r="E2163">
        <f>INDEX(FactorTable!$B$2:$Y$301, MATCH(ROUND(MIN(300,MAX(1,D2163)),0), FactorTable!$A$2:$A$301,0), Skills!M28+1)</f>
        <v/>
      </c>
      <c r="F2163">
        <f>IF(Skills!N28=TRUE,(Skills!L28/10)*(E2163/1000),Skills!L28/10)+Skills!O28</f>
        <v/>
      </c>
      <c r="G2163">
        <f>Skills!G28*IF(Skills!H28&gt;0,INT(IF(Inputs!$B$38="pvp",MIN(Skills!I28,15),Skills!I28)/Skills!H28+0.000000001),1)</f>
        <v/>
      </c>
      <c r="H2163">
        <f>1-(1-Skills!J28/100)^Skills!K28</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Skills!A29</f>
        <v/>
      </c>
      <c r="B2164">
        <f>Skills!B29</f>
        <v/>
      </c>
      <c r="C2164">
        <f>Inputs!$B$3&gt;=125</f>
        <v/>
      </c>
      <c r="D2164">
        <f>IF(Skills!C29=1,60+Inputs!$B$25+Inputs!$B$29,IF(Skills!C29=2,90+Inputs!$B$26+Inputs!$B$29,IF(Skills!C29=3,120+Inputs!$B$27+Inputs!$B$29,MAX(0,(Inputs!$B$3-100)*3)+Inputs!$B$28+Inputs!$B$29)))</f>
        <v/>
      </c>
      <c r="E2164">
        <f>INDEX(FactorTable!$B$2:$Y$301, MATCH(ROUND(MIN(300,MAX(1,D2164)),0), FactorTable!$A$2:$A$301,0), Skills!M29+1)</f>
        <v/>
      </c>
      <c r="F2164">
        <f>IF(Skills!N29=TRUE,(Skills!L29/10)*(E2164/1000),Skills!L29/10)+Skills!O29</f>
        <v/>
      </c>
      <c r="G2164">
        <f>Skills!G29*IF(Skills!H29&gt;0,INT(IF(Inputs!$B$38="pvp",MIN(Skills!I29,15),Skills!I29)/Skills!H29+0.000000001),1)</f>
        <v/>
      </c>
      <c r="H2164">
        <f>1-(1-Skills!J29/100)^Skills!K29</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Skills!A30</f>
        <v/>
      </c>
      <c r="B2165">
        <f>Skills!B30</f>
        <v/>
      </c>
      <c r="C2165">
        <f>Inputs!$B$3&gt;=120</f>
        <v/>
      </c>
      <c r="D2165">
        <f>IF(Skills!C30=1,60+Inputs!$B$25+Inputs!$B$29,IF(Skills!C30=2,90+Inputs!$B$26+Inputs!$B$29,IF(Skills!C30=3,120+Inputs!$B$27+Inputs!$B$29,MAX(0,(Inputs!$B$3-100)*3)+Inputs!$B$28+Inputs!$B$29)))</f>
        <v/>
      </c>
      <c r="E2165">
        <f>INDEX(FactorTable!$B$2:$Y$301, MATCH(ROUND(MIN(300,MAX(1,D2165)),0), FactorTable!$A$2:$A$301,0), Skills!M30+1)</f>
        <v/>
      </c>
      <c r="F2165">
        <f>IF(Skills!N30=TRUE,(Skills!L30/10)*(E2165/1000),Skills!L30/10)+Skills!O30</f>
        <v/>
      </c>
      <c r="G2165">
        <f>Skills!G30*IF(Skills!H30&gt;0,INT(IF(Inputs!$B$38="pvp",MIN(Skills!I30,15),Skills!I30)/Skills!H30+0.000000001),1)</f>
        <v/>
      </c>
      <c r="H2165">
        <f>1-(1-Skills!J30/100)^Skills!K30</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Skills!A31</f>
        <v/>
      </c>
      <c r="B2166">
        <f>Skills!B31</f>
        <v/>
      </c>
      <c r="C2166">
        <f>Inputs!$B$3&gt;=120</f>
        <v/>
      </c>
      <c r="D2166">
        <f>IF(Skills!C31=1,60+Inputs!$B$25+Inputs!$B$29,IF(Skills!C31=2,90+Inputs!$B$26+Inputs!$B$29,IF(Skills!C31=3,120+Inputs!$B$27+Inputs!$B$29,MAX(0,(Inputs!$B$3-100)*3)+Inputs!$B$28+Inputs!$B$29)))</f>
        <v/>
      </c>
      <c r="E2166">
        <f>INDEX(FactorTable!$B$2:$Y$301, MATCH(ROUND(MIN(300,MAX(1,D2166)),0), FactorTable!$A$2:$A$301,0), Skills!M31+1)</f>
        <v/>
      </c>
      <c r="F2166">
        <f>IF(Skills!N31=TRUE,(Skills!L31/10)*(E2166/1000),Skills!L31/10)+Skills!O31</f>
        <v/>
      </c>
      <c r="G2166">
        <f>Skills!G31*IF(Skills!H31&gt;0,INT(IF(Inputs!$B$38="pvp",MIN(Skills!I31,15),Skills!I31)/Skills!H31+0.000000001),1)</f>
        <v/>
      </c>
      <c r="H2166">
        <f>1-(1-Skills!J31/100)^Skills!K31</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Skills!A32</f>
        <v/>
      </c>
      <c r="B2167">
        <f>Skills!B32</f>
        <v/>
      </c>
      <c r="C2167">
        <f>Inputs!$B$3&gt;=45</f>
        <v/>
      </c>
      <c r="D2167">
        <f>IF(Skills!C32=1,60+Inputs!$B$25+Inputs!$B$29,IF(Skills!C32=2,90+Inputs!$B$26+Inputs!$B$29,IF(Skills!C32=3,120+Inputs!$B$27+Inputs!$B$29,MAX(0,(Inputs!$B$3-100)*3)+Inputs!$B$28+Inputs!$B$29)))</f>
        <v/>
      </c>
      <c r="E2167">
        <f>INDEX(FactorTable!$B$2:$Y$301, MATCH(ROUND(MIN(300,MAX(1,D2167)),0), FactorTable!$A$2:$A$301,0), Skills!M32+1)</f>
        <v/>
      </c>
      <c r="F2167">
        <f>IF(Skills!N32=TRUE,(Skills!L32/10)*(E2167/1000),Skills!L32/10)+Skills!O32</f>
        <v/>
      </c>
      <c r="G2167">
        <f>Skills!G32*IF(Skills!H32&gt;0,INT(IF(Inputs!$B$38="pvp",MIN(Skills!I32,15),Skills!I32)/Skills!H32+0.000000001),1)</f>
        <v/>
      </c>
      <c r="H2167">
        <f>1-(1-Skills!J32/100)^Skills!K32</f>
        <v/>
      </c>
      <c r="I2167" t="inlineStr">
        <is>
          <t>1</t>
        </is>
      </c>
      <c r="J2167" t="inlineStr"/>
      <c r="K2167" t="inlineStr"/>
      <c r="L2167" t="inlineStr"/>
      <c r="M2167" t="inlineStr"/>
      <c r="N2167" t="inlineStr"/>
      <c r="O2167">
        <f>(1-Summary!$B$11)*T2167+Summary!$B$11*V2167</f>
        <v/>
      </c>
      <c r="P2167">
        <f>IF(B2180=0,0,O2167/B2180)</f>
        <v/>
      </c>
      <c r="Q2167" t="n">
        <v>0</v>
      </c>
      <c r="R2167" t="n">
        <v>0</v>
      </c>
      <c r="S2167">
        <f>IFERROR(O2167/N2167,0)</f>
        <v/>
      </c>
      <c r="T2167" t="n">
        <v>0</v>
      </c>
      <c r="V2167" t="n">
        <v>0</v>
      </c>
    </row>
    <row r="2169">
      <c r="A2169" t="inlineStr">
        <is>
          <t>Attack% Bucket Multiplier</t>
        </is>
      </c>
      <c r="B2169">
        <f>(1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t>
        </is>
      </c>
      <c r="B2171">
        <f>((C2156=TRUE)*F2156*IF(AND(Inputs!$B$38&lt;&gt;"pvp",Inputs!$B$43&gt;0),(((R2156-1)*MIN((Skills!T21*(1+Inputs!$B$34/100)),(1/Q2156))+MIN((Skills!T21*(1+Inputs!$B$34/100)),MAX(0,Inputs!$B$43-((R2156-1)*(1/Q2156)))))/Inputs!$B$43),IF(Inputs!$B$38="pvp",MIN((Skills!T21*(1+Inputs!$B$34/100)),15)/15,MIN(1,(Skills!T21*(1+Inputs!$B$34/100))/(1/Q2156)))))</f>
        <v/>
      </c>
    </row>
    <row r="2172">
      <c r="A2172" t="inlineStr">
        <is>
          <t>Actions Per Second</t>
        </is>
      </c>
      <c r="B2172">
        <f>1+MIN(150,150*(1-(1-(Inputs!$B$11+((C2158=TRUE)*(F2158-Calc!F23))+((C2159=TRUE)*(F2159-Calc!F24)))/150)*(1-B2171/150)))/100</f>
        <v/>
      </c>
    </row>
    <row r="2173">
      <c r="A2173" t="inlineStr">
        <is>
          <t>Skill + Buff Cast Rate</t>
        </is>
      </c>
      <c r="B2173">
        <f>IF(AND(Inputs!$B$38&lt;&gt;"pvp",Inputs!$B$43&gt;0),SUMPRODUCT((Skills!E2:E32=TRUE)*(C2137:C2167=TRUE)*R2137:R2167*Skills!F2:F32)/Inputs!$B$43,SUMPRODUCT((Skills!E2:E32=TRUE)*(C2137:C2167=TRUE)*Q2137:Q2167*Skills!F2:F32))</f>
        <v/>
      </c>
    </row>
    <row r="2174">
      <c r="A2174" t="inlineStr">
        <is>
          <t>Arrow Stream Casts Per Second</t>
        </is>
      </c>
      <c r="B2174">
        <f>MAX(0,B2172-B2173)</f>
        <v/>
      </c>
    </row>
    <row r="2175">
      <c r="A2175" t="inlineStr">
        <is>
          <t>Global Critical Damage Bonus % (Sharp Eyes + Concentration)</t>
        </is>
      </c>
      <c r="B2175">
        <f>(C2153=TRUE)*F2153*IF(AND(Inputs!$B$38&lt;&gt;"pvp",Inputs!$B$43&gt;0),(((R2153-1)*MIN((Skills!T18*(1+Inputs!$B$34/100)),(1/Q2153))+MIN((Skills!T18*(1+Inputs!$B$34/100)),MAX(0,Inputs!$B$43-((R2153-1)*(1/Q2153)))))/Inputs!$B$43),IF(Inputs!$B$38="pvp",MIN((Skills!T18*(1+Inputs!$B$34/100)),15)/15,MIN(1,(Skills!T18*(1+Inputs!$B$34/100))/(1/Q2153))))+(C2154=TRUE)*7*F2154</f>
        <v/>
      </c>
    </row>
    <row r="2176">
      <c r="A2176" t="inlineStr">
        <is>
          <t>Global Final Damage Bonus % (Mortal Blow)</t>
        </is>
      </c>
      <c r="B2176">
        <f>(C2155=TRUE)*F2155</f>
        <v/>
      </c>
    </row>
    <row r="2177">
      <c r="A2177" t="inlineStr">
        <is>
          <t>Buff-Casting Startup Delay (s, fixed-duration only)</t>
        </is>
      </c>
      <c r="B2177">
        <f>IF(AND(Inputs!$B$38&lt;&gt;"pvp",Inputs!$B$43&gt;0),SUMPRODUCT((Skills!T2:T32&gt;0)*(Skills!E2:E32=TRUE)*(C2137:C2167=TRUE))/B2172,0)</f>
        <v/>
      </c>
    </row>
    <row r="2178">
      <c r="A2178" t="inlineStr">
        <is>
          <t>Boss-Only Total DPS (this block's swept value)</t>
        </is>
      </c>
      <c r="B2178">
        <f>SUM(T2137:T2167)</f>
        <v/>
      </c>
    </row>
    <row r="2179">
      <c r="A2179" t="inlineStr">
        <is>
          <t>Normal-Only Total DPS (this block's swept value)</t>
        </is>
      </c>
      <c r="B2179">
        <f>SUM(V2137:V2167)</f>
        <v/>
      </c>
    </row>
    <row r="2180">
      <c r="A2180" s="6" t="inlineStr">
        <is>
          <t>TOTAL DPS</t>
        </is>
      </c>
      <c r="B2180" s="6">
        <f>SUM(O2137:O2167)</f>
        <v/>
      </c>
    </row>
    <row r="2183">
      <c r="A2183" s="6" t="inlineStr">
        <is>
          <t>Stat: Lunar Dew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Skills!G2*IF(Skills!H2&gt;0,INT(IF(Inputs!$B$38="pvp",MIN(Skills!I2,15),Skills!I2)/Skills!H2+0.000000001),1)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2209=TRUE)*(F2209-Calc!F26)),(Inputs!$B$23+((C2214=TRUE)*(F2214-Calc!F31))+(IF(ArtifactsInput!$M$15,CHOOSE(ArtifactsInput!$N$15+1,25,30,35,40,45,50)/100*(Inputs!$B$11-Inputs!$B$11),0))))/100+(Inputs!$B$23+((C2214=TRUE)*(F2214-Calc!F31))+(IF(ArtifactsInput!$M$15,CHOOSE(ArtifactsInput!$N$15+1,25,30,35,40,45,50)/100*(Inputs!$B$11-Inputs!$B$11),0)))/100)/2</f>
        <v/>
      </c>
      <c r="M2185">
        <f>L2185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IF(B2228=0,0,O2185/B2228)</f>
        <v/>
      </c>
      <c r="Q2185" t="n">
        <v>0</v>
      </c>
      <c r="R2185" t="n">
        <v>0</v>
      </c>
      <c r="S2185">
        <f>IFERROR(O2185/N2185,0)</f>
        <v/>
      </c>
      <c r="T2185">
        <f>IF(C2185,(Skills!G2*N2185*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Inputs!$B$3&gt;=50</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Skills!G3*IF(Skills!H3&gt;0,INT(IF(Inputs!$B$38="pvp",MIN(Skills!I3,15),Skills!I3)/Skills!H3+0.000000001),1)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2187=TRUE,F2187,0)/100)*(1+(IF(Skills!A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2209=TRUE)*(F2209-Calc!F26)),(Inputs!$B$23+((C2214=TRUE)*(F2214-Calc!F31))+(IF(ArtifactsInput!$M$15,CHOOSE(ArtifactsInput!$N$15+1,25,30,35,40,45,50)/100*(Inputs!$B$11-Inputs!$B$11),0))))/100+(Inputs!$B$23+((C2214=TRUE)*(F2214-Calc!F31))+(IF(ArtifactsInput!$M$15,CHOOSE(ArtifactsInput!$N$15+1,25,30,35,40,45,50)/100*(Inputs!$B$11-Inputs!$B$11),0)))/100)/2</f>
        <v/>
      </c>
      <c r="M2186">
        <f>L2186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IF(B2228=0,0,O2186/B2228)</f>
        <v/>
      </c>
      <c r="Q2186">
        <f>IFERROR(1/(IF(Inputs!$B$38="pvp",15,MAX(0.1,1/B2220-IF(FALSE=TRUE,Inputs!$B$32,0)))*(1-IF(AND(ArtifactsInput!$M$27,Inputs!$B$4="Chapter Hunt"),CHOOSE(ArtifactsInput!$N$27+1,20,24,28,32,36,40),0)/100)),0)</f>
        <v/>
      </c>
      <c r="R2186">
        <f>IF(AND(Inputs!$B$38&lt;&gt;"pvp",Inputs!$B$43&gt;0),IF(MAX(0,Inputs!$B$43-B2225)&lt;=0,0,(INT(MAX(0,Inputs!$B$43-B2225)/(IF(Inputs!$B$38="pvp",15,MAX(0.1,1/B2220-IF(FALSE=TRUE,Inputs!$B$32,0)))*(1-IF(AND(ArtifactsInput!$M$27,Inputs!$B$4="Chapter Hunt"),CHOOSE(ArtifactsInput!$N$27+1,20,24,28,32,36,40),0)/100)))+1)),0)</f>
        <v/>
      </c>
      <c r="S2186">
        <f>IFERROR(O2186/N2186,0)</f>
        <v/>
      </c>
      <c r="T2186">
        <f>IF(C2186,(H2186*N2186*IF(AND(Inputs!$B$38&lt;&gt;"pvp",Inputs!$B$43&gt;0),((Skills!G3*((R2186-1)*IF(Skills!H3&gt;0,INT(Skills!I3/Skills!H3+0.000000001),1)+IF(Skills!H3&gt;0,INT(MIN(Skills!I3,MAX(0,MAX(0,Inputs!$B$43-B2225)-((R2186-1)*(IF(Inputs!$B$38="pvp",15,MAX(0.1,1/B2220-IF(FALSE=TRUE,Inputs!$B$32,0)))*(1-IF(AND(ArtifactsInput!$M$27,Inputs!$B$4="Chapter Hunt"),CHOOSE(ArtifactsInput!$N$27+1,20,24,28,32,36,40),0)/100)))))/Skills!H3+0.000000001),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INT(Skills!I3/Skills!H3+0.000000001),1)+IF(Skills!H3&gt;0,INT(MIN(Skills!I3,MAX(0,MAX(0,Inputs!$B$43-B2225)-((R2186-1)*(IF(Inputs!$B$38="pvp",15,MAX(0.1,1/B2220-IF(FALSE=TRUE,Inputs!$B$32,0)))*(1-IF(AND(ArtifactsInput!$M$27,Inputs!$B$4="Chapter Hunt"),CHOOSE(ArtifactsInput!$N$27+1,20,24,28,32,36,40),0)/100)))))/Skills!H3+0.000000001),1)))/Inputs!$B$43),G2186*Q2186))*IF(Inputs!$B$38="pvp",1,(1+(Inputs!$B$21+Skills!Q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Inputs!$B$3&gt;=105</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t="inlineStr"/>
      <c r="H2187" t="inlineStr"/>
      <c r="I2187" t="inlineStr">
        <is>
          <t>1</t>
        </is>
      </c>
      <c r="J2187" t="inlineStr"/>
      <c r="K2187" t="inlineStr"/>
      <c r="L2187" t="inlineStr"/>
      <c r="M2187" t="inlineStr"/>
      <c r="N2187" t="inlineStr"/>
      <c r="O2187" t="inlineStr"/>
      <c r="P2187" t="inlineStr"/>
      <c r="Q2187" t="inlineStr"/>
      <c r="R2187" t="inlineStr"/>
      <c r="S2187" t="inlineStr"/>
      <c r="T2187" t="inlineStr"/>
      <c r="U2187">
        <f>290*U2186/1000</f>
        <v/>
      </c>
      <c r="V2187" t="inlineStr"/>
    </row>
    <row r="2188">
      <c r="A2188">
        <f>Skills!A5</f>
        <v/>
      </c>
      <c r="B2188">
        <f>Skills!B5</f>
        <v/>
      </c>
      <c r="C2188">
        <f>Inputs!$B$3&gt;=35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Skills!G5*IF(Skills!H5&gt;0,INT(IF(Inputs!$B$38="pvp",MIN(Skills!I5,15),Skills!I5)/Skills!H5+0.000000001),1)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2195=TRUE,F2195,0)/100)*(1+(IF(Skills!A5="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26)),(Inputs!$B$23+((C2214=TRUE)*(F2214-Calc!F31))+(IF(ArtifactsInput!$M$15,CHOOSE(ArtifactsInput!$N$15+1,25,30,35,40,45,50)/100*(Inputs!$B$11-Inputs!$B$11),0))))/100+(Inputs!$B$23+((C2214=TRUE)*(F2214-Calc!F31))+(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f>IFERROR(1/(IF(Inputs!$B$38="pvp",15,MAX(0.1,Skills!D5-IF(TRUE=TRUE,Inputs!$B$32,0)))*(1-IF(AND(ArtifactsInput!$M$27,Inputs!$B$4="Chapter Hunt"),CHOOSE(ArtifactsInput!$N$27+1,20,24,28,32,36,40),0)/100)),0)</f>
        <v/>
      </c>
      <c r="R2188">
        <f>IF(AND(Inputs!$B$38&lt;&gt;"pvp",Inputs!$B$43&gt;0),IF(MAX(0,Inputs!$B$43-B2225)&lt;=0,0,(INT(MAX(0,Inputs!$B$43-B2225)/(IF(Inputs!$B$38="pvp",15,MAX(0.1,Skills!D5-IF(TRUE=TRUE,Inputs!$B$32,0)))*(1-IF(AND(ArtifactsInput!$M$27,Inputs!$B$4="Chapter Hunt"),CHOOSE(ArtifactsInput!$N$27+1,20,24,28,32,36,40),0)/100)))+1)),0)</f>
        <v/>
      </c>
      <c r="S2188">
        <f>IFERROR(O2188/N2188,0)</f>
        <v/>
      </c>
      <c r="T2188">
        <f>IF(C2188,(H2188*N2188*IF(AND(Inputs!$B$38&lt;&gt;"pvp",Inputs!$B$43&gt;0),((Skills!G5*((R2188-1)*IF(Skills!H5&gt;0,INT(Skills!I5/Skills!H5+0.000000001),1)+IF(Skills!H5&gt;0,INT(MIN(Skills!I5,MAX(0,MAX(0,Inputs!$B$43-B2225)-((R2188-1)*(IF(Inputs!$B$38="pvp",15,MAX(0.1,Skills!D5-IF(TRUE=TRUE,Inputs!$B$32,0)))*(1-IF(AND(ArtifactsInput!$M$27,Inputs!$B$4="Chapter Hunt"),CHOOSE(ArtifactsInput!$N$27+1,20,24,28,32,36,40),0)/100)))))/Skills!H5+0.000000001),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INT(Skills!I5/Skills!H5+0.000000001),1)+IF(Skills!H5&gt;0,INT(MIN(Skills!I5,MAX(0,MAX(0,Inputs!$B$43-B2225)-((R2188-1)*(IF(Inputs!$B$38="pvp",15,MAX(0.1,Skills!D5-IF(TRUE=TRUE,Inputs!$B$32,0)))*(1-IF(AND(ArtifactsInput!$M$27,Inputs!$B$4="Chapter Hunt"),CHOOSE(ArtifactsInput!$N$27+1,20,24,28,32,36,40),0)/100)))))/Skills!H5+0.000000001),1)))/Inputs!$B$43),G2188*Q2188))*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Inputs!$B$3&gt;=40</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Skills!G6*IF(Skills!H6&gt;0,INT(IF(Inputs!$B$38="pvp",MIN(Skills!I6,15),Skills!I6)/Skills!H6+0.000000001),1)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6="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2209=TRUE)*(F2209-Calc!F26)),(Inputs!$B$23+((C2214=TRUE)*(F2214-Calc!F31))+(IF(ArtifactsInput!$M$15,CHOOSE(ArtifactsInput!$N$15+1,25,30,35,40,45,50)/100*(Inputs!$B$11-Inputs!$B$11),0))))/100+(Inputs!$B$23+((C2214=TRUE)*(F2214-Calc!F31))+(IF(ArtifactsInput!$M$15,CHOOSE(ArtifactsInput!$N$15+1,25,30,35,40,45,50)/100*(Inputs!$B$11-Inputs!$B$11),0)))/100)/2</f>
        <v/>
      </c>
      <c r="M2189">
        <f>L2189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IF(B2228=0,0,O2189/B2228)</f>
        <v/>
      </c>
      <c r="Q2189">
        <f>IFERROR(1/(IF(Inputs!$B$38="pvp",15,MAX(0.1,1-0.4*MIN(1,(B2220-1)/1.5)-IF(FALSE=TRUE,Inputs!$B$32,0)))*(1-IF(AND(ArtifactsInput!$M$27,Inputs!$B$4="Chapter Hunt"),CHOOSE(ArtifactsInput!$N$27+1,20,24,28,32,36,40),0)/100)),0)</f>
        <v/>
      </c>
      <c r="R2189">
        <f>IF(AND(Inputs!$B$38&lt;&gt;"pvp",Inputs!$B$43&gt;0),IF(MAX(0,Inputs!$B$43-B2225)&lt;=0,0,(INT(MAX(0,Inputs!$B$43-B2225)/(IF(Inputs!$B$38="pvp",15,MAX(0.1,1-0.4*MIN(1,(B2220-1)/1.5)-IF(FALSE=TRUE,Inputs!$B$32,0)))*(1-IF(AND(ArtifactsInput!$M$27,Inputs!$B$4="Chapter Hunt"),CHOOSE(ArtifactsInput!$N$27+1,20,24,28,32,36,40),0)/100)))+1)),0)</f>
        <v/>
      </c>
      <c r="S2189">
        <f>IFERROR(O2189/N2189,0)</f>
        <v/>
      </c>
      <c r="T2189">
        <f>IF(C2189,(H2189*N2189*IF(AND(Inputs!$B$38&lt;&gt;"pvp",Inputs!$B$43&gt;0),((Skills!G6*((R2189-1)*IF(Skills!H6&gt;0,INT(Skills!I6/Skills!H6+0.000000001),1)+IF(Skills!H6&gt;0,INT(MIN(Skills!I6,MAX(0,MAX(0,Inputs!$B$43-B2225)-((R2189-1)*(IF(Inputs!$B$38="pvp",15,MAX(0.1,1-0.4*MIN(1,(B2220-1)/1.5)-IF(FALSE=TRUE,Inputs!$B$32,0)))*(1-IF(AND(ArtifactsInput!$M$27,Inputs!$B$4="Chapter Hunt"),CHOOSE(ArtifactsInput!$N$27+1,20,24,28,32,36,40),0)/100)))))/Skills!H6+0.000000001),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INT(Skills!I6/Skills!H6+0.000000001),1)+IF(Skills!H6&gt;0,INT(MIN(Skills!I6,MAX(0,MAX(0,Inputs!$B$43-B2225)-((R2189-1)*(IF(Inputs!$B$38="pvp",15,MAX(0.1,1-0.4*MIN(1,(B2220-1)/1.5)-IF(FALSE=TRUE,Inputs!$B$32,0)))*(1-IF(AND(ArtifactsInput!$M$27,Inputs!$B$4="Chapter Hunt"),CHOOSE(ArtifactsInput!$N$27+1,20,24,28,32,36,40),0)/100)))))/Skills!H6+0.000000001),1)))/Inputs!$B$43),G2189*Q2189))*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Inputs!$B$3&gt;=107</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V2190" t="inlineStr"/>
    </row>
    <row r="2191">
      <c r="A2191">
        <f>Skills!A8</f>
        <v/>
      </c>
      <c r="B2191">
        <f>Skills!B8</f>
        <v/>
      </c>
      <c r="C2191">
        <f>Inputs!$B$3&gt;=130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Skills!G8*IF(Skills!H8&gt;0,INT(IF(Inputs!$B$38="pvp",MIN(Skills!I8,15),Skills!I8)/Skills!H8+0.000000001),1)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26)),(Inputs!$B$23+((C2214=TRUE)*(F2214-Calc!F31))+(IF(ArtifactsInput!$M$15,CHOOSE(ArtifactsInput!$N$15+1,25,30,35,40,45,50)/100*(Inputs!$B$11-Inputs!$B$11),0))))/100+(Inputs!$B$23+((C2214=TRUE)*(F2214-Calc!F31))+(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IFERROR(1/(IF(Inputs!$B$38="pvp",15,MAX(0.1,1-0.4*MIN(1,(B2220-1)/1.5)-IF(FALSE=TRUE,Inputs!$B$32,0)))*(1-IF(AND(ArtifactsInput!$M$27,Inputs!$B$4="Chapter Hunt"),CHOOSE(ArtifactsInput!$N$27+1,20,24,28,32,36,40),0)/100)),0)</f>
        <v/>
      </c>
      <c r="R2191">
        <f>IF(AND(Inputs!$B$38&lt;&gt;"pvp",Inputs!$B$43&gt;0),IF(MAX(0,Inputs!$B$43-B2225)&lt;=0,0,(INT(MAX(0,Inputs!$B$43-B2225)/(IF(Inputs!$B$38="pvp",15,MAX(0.1,1-0.4*MIN(1,(B2220-1)/1.5)-IF(FALSE=TRUE,Inputs!$B$32,0)))*(1-IF(AND(ArtifactsInput!$M$27,Inputs!$B$4="Chapter Hunt"),CHOOSE(ArtifactsInput!$N$27+1,20,24,28,32,36,40),0)/100)))+1)),0)</f>
        <v/>
      </c>
      <c r="S2191">
        <f>IFERROR(O2191/N2191,0)</f>
        <v/>
      </c>
      <c r="T2191">
        <f>IF(C2191,(H2191*N2191*IF(AND(Inputs!$B$38&lt;&gt;"pvp",Inputs!$B$43&gt;0),((Skills!G8*((R2191-1)*IF(Skills!H8&gt;0,INT(Skills!I8/Skills!H8+0.000000001),1)+IF(Skills!H8&gt;0,INT(MIN(Skills!I8,MAX(0,MAX(0,Inputs!$B$43-B2225)-((R2191-1)*(IF(Inputs!$B$38="pvp",15,MAX(0.1,1-0.4*MIN(1,(B2220-1)/1.5)-IF(FALSE=TRUE,Inputs!$B$32,0)))*(1-IF(AND(ArtifactsInput!$M$27,Inputs!$B$4="Chapter Hunt"),CHOOSE(ArtifactsInput!$N$27+1,20,24,28,32,36,40),0)/100)))))/Skills!H8+0.000000001),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INT(Skills!I8/Skills!H8+0.000000001),1)+IF(Skills!H8&gt;0,INT(MIN(Skills!I8,MAX(0,MAX(0,Inputs!$B$43-B2225)-((R2191-1)*(IF(Inputs!$B$38="pvp",15,MAX(0.1,1-0.4*MIN(1,(B2220-1)/1.5)-IF(FALSE=TRUE,Inputs!$B$32,0)))*(1-IF(AND(ArtifactsInput!$M$27,Inputs!$B$4="Chapter Hunt"),CHOOSE(ArtifactsInput!$N$27+1,20,24,28,32,36,40),0)/100)))))/Skills!H8+0.000000001),1)))/Inputs!$B$43),G2191*Q2191))*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Inputs!$B$3&gt;=69</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Skills!G9*IF(Skills!H9&gt;0,INT(IF(Inputs!$B$38="pvp",MIN(Skills!I9,15),Skills!I9)/Skills!H9+0.000000001),1)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2195=TRUE,F2195,0)/100)*(1+(IF(Skills!A9="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26)),(Inputs!$B$23+((C2214=TRUE)*(F2214-Calc!F31))+(IF(ArtifactsInput!$M$15,CHOOSE(ArtifactsInput!$N$15+1,25,30,35,40,45,50)/100*(Inputs!$B$11-Inputs!$B$11),0))))/100+(Inputs!$B$23+((C2214=TRUE)*(F2214-Calc!F31))+(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IFERROR(1/(IF(Inputs!$B$38="pvp",15,MAX(0.1,Skills!D9-IF(TRUE=TRUE,Inputs!$B$32,0)))*(1-IF(AND(ArtifactsInput!$M$27,Inputs!$B$4="Chapter Hunt"),CHOOSE(ArtifactsInput!$N$27+1,20,24,28,32,36,40),0)/100)),0)</f>
        <v/>
      </c>
      <c r="R2192">
        <f>IF(AND(Inputs!$B$38&lt;&gt;"pvp",Inputs!$B$43&gt;0),IF(MAX(0,Inputs!$B$43-B2225)&lt;=0,0,(INT(MAX(0,Inputs!$B$43-B2225)/(IF(Inputs!$B$38="pvp",15,MAX(0.1,Skills!D9-IF(TRUE=TRUE,Inputs!$B$32,0)))*(1-IF(AND(ArtifactsInput!$M$27,Inputs!$B$4="Chapter Hunt"),CHOOSE(ArtifactsInput!$N$27+1,20,24,28,32,36,40),0)/100)))+1)),0)</f>
        <v/>
      </c>
      <c r="S2192">
        <f>IFERROR(O2192/N2192,0)</f>
        <v/>
      </c>
      <c r="T2192">
        <f>IF(C2192,(H2192*N2192*IF(AND(Inputs!$B$38&lt;&gt;"pvp",Inputs!$B$43&gt;0),((Skills!G9*((R2192-1)*IF(Skills!H9&gt;0,INT(Skills!I9/Skills!H9+0.000000001),1)+IF(Skills!H9&gt;0,INT(MIN(Skills!I9,MAX(0,MAX(0,Inputs!$B$43-B2225)-((R2192-1)*(IF(Inputs!$B$38="pvp",15,MAX(0.1,Skills!D9-IF(TRUE=TRUE,Inputs!$B$32,0)))*(1-IF(AND(ArtifactsInput!$M$27,Inputs!$B$4="Chapter Hunt"),CHOOSE(ArtifactsInput!$N$27+1,20,24,28,32,36,40),0)/100)))))/Skills!H9+0.000000001),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INT(Skills!I9/Skills!H9+0.000000001),1)+IF(Skills!H9&gt;0,INT(MIN(Skills!I9,MAX(0,MAX(0,Inputs!$B$43-B2225)-((R2192-1)*(IF(Inputs!$B$38="pvp",15,MAX(0.1,Skills!D9-IF(TRUE=TRUE,Inputs!$B$32,0)))*(1-IF(AND(ArtifactsInput!$M$27,Inputs!$B$4="Chapter Hunt"),CHOOSE(ArtifactsInput!$N$27+1,20,24,28,32,36,40),0)/100)))))/Skills!H9+0.000000001),1)))/Inputs!$B$43),G2192*Q2192))*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Inputs!$B$3&gt;=63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Skills!G10*IF(Skills!H10&gt;0,INT(IF(Inputs!$B$38="pvp",MIN(Skills!I10,15),Skills!I10)/Skills!H10+0.000000001),1)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2195=TRUE,F2195,0)/100)*(1+(IF(Skills!A10="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26)),(Inputs!$B$23+((C2214=TRUE)*(F2214-Calc!F31))+(IF(ArtifactsInput!$M$15,CHOOSE(ArtifactsInput!$N$15+1,25,30,35,40,45,50)/100*(Inputs!$B$11-Inputs!$B$11),0))))/100+(Inputs!$B$23+((C2214=TRUE)*(F2214-Calc!F31))+(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IFERROR(1/(IF(Inputs!$B$38="pvp",15,MAX(0.1,Skills!D10-IF(TRUE=TRUE,Inputs!$B$32,0)))*(1-IF(AND(ArtifactsInput!$M$27,Inputs!$B$4="Chapter Hunt"),CHOOSE(ArtifactsInput!$N$27+1,20,24,28,32,36,40),0)/100)),0)</f>
        <v/>
      </c>
      <c r="R2193">
        <f>IF(AND(Inputs!$B$38&lt;&gt;"pvp",Inputs!$B$43&gt;0),IF(MAX(0,Inputs!$B$43-B2225)&lt;=0,0,(INT(MAX(0,Inputs!$B$43-B2225)/(IF(Inputs!$B$38="pvp",15,MAX(0.1,Skills!D10-IF(TRUE=TRUE,Inputs!$B$32,0)))*(1-IF(AND(ArtifactsInput!$M$27,Inputs!$B$4="Chapter Hunt"),CHOOSE(ArtifactsInput!$N$27+1,20,24,28,32,36,40),0)/100)))+1)),0)</f>
        <v/>
      </c>
      <c r="S2193">
        <f>IFERROR(O2193/N2193,0)</f>
        <v/>
      </c>
      <c r="T2193">
        <f>IF(C2193,(H2193*N2193*IF(AND(Inputs!$B$38&lt;&gt;"pvp",Inputs!$B$43&gt;0),((Skills!G10*((R2193-1)*IF(Skills!H10&gt;0,INT(Skills!I10/Skills!H10+0.000000001),1)+IF(Skills!H10&gt;0,INT(MIN(Skills!I10,MAX(0,MAX(0,Inputs!$B$43-B2225)-((R2193-1)*(IF(Inputs!$B$38="pvp",15,MAX(0.1,Skills!D10-IF(TRUE=TRUE,Inputs!$B$32,0)))*(1-IF(AND(ArtifactsInput!$M$27,Inputs!$B$4="Chapter Hunt"),CHOOSE(ArtifactsInput!$N$27+1,20,24,28,32,36,40),0)/100)))))/Skills!H10+0.000000001),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INT(Skills!I10/Skills!H10+0.000000001),1)+IF(Skills!H10&gt;0,INT(MIN(Skills!I10,MAX(0,MAX(0,Inputs!$B$43-B2225)-((R2193-1)*(IF(Inputs!$B$38="pvp",15,MAX(0.1,Skills!D10-IF(TRUE=TRUE,Inputs!$B$32,0)))*(1-IF(AND(ArtifactsInput!$M$27,Inputs!$B$4="Chapter Hunt"),CHOOSE(ArtifactsInput!$N$27+1,20,24,28,32,36,40),0)/100)))))/Skills!H10+0.000000001),1)))/Inputs!$B$43),G2193*Q2193))*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Inputs!$B$3&gt;=103</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Skills!G11*IF(Skills!H11&gt;0,INT(IF(Inputs!$B$38="pvp",MIN(Skills!I11,15),Skills!I11)/Skills!H11+0.000000001),1)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2209=TRUE)*(F2209-Calc!F26)),(Inputs!$B$23+((C2214=TRUE)*(F2214-Calc!F31))+(IF(ArtifactsInput!$M$15,CHOOSE(ArtifactsInput!$N$15+1,25,30,35,40,45,50)/100*(Inputs!$B$11-Inputs!$B$11),0))))/100+(Inputs!$B$23+((C2214=TRUE)*(F2214-Calc!F31))+(IF(ArtifactsInput!$M$15,CHOOSE(ArtifactsInput!$N$15+1,25,30,35,40,45,50)/100*(Inputs!$B$11-Inputs!$B$11),0)))/100)/2</f>
        <v/>
      </c>
      <c r="M2194">
        <f>L2194*(1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IF(B2228=0,0,O2194/B2228)</f>
        <v/>
      </c>
      <c r="Q2194">
        <f>IFERROR(1/(IF(Inputs!$B$38="pvp",15,MAX(0.1,Skills!D11-IF(TRUE=TRUE,Inputs!$B$32,0)))*(1-IF(AND(ArtifactsInput!$M$27,Inputs!$B$4="Chapter Hunt"),CHOOSE(ArtifactsInput!$N$27+1,20,24,28,32,36,40),0)/100)),0)</f>
        <v/>
      </c>
      <c r="R2194">
        <f>IF(AND(Inputs!$B$38&lt;&gt;"pvp",Inputs!$B$43&gt;0),IF(MAX(0,Inputs!$B$43-B2225)&lt;=0,0,(INT(MAX(0,Inputs!$B$43-B2225)/(IF(Inputs!$B$38="pvp",15,MAX(0.1,Skills!D11-IF(TRUE=TRUE,Inputs!$B$32,0)))*(1-IF(AND(ArtifactsInput!$M$27,Inputs!$B$4="Chapter Hunt"),CHOOSE(ArtifactsInput!$N$27+1,20,24,28,32,36,40),0)/100)))+1)),0)</f>
        <v/>
      </c>
      <c r="S2194">
        <f>IFERROR(O2194/N2194,0)</f>
        <v/>
      </c>
      <c r="T2194">
        <f>IF(C2194,(H2194*N2194*IF(AND(Inputs!$B$38&lt;&gt;"pvp",Inputs!$B$43&gt;0),((Skills!G11*((R2194-1)*IF(Skills!H11&gt;0,INT(Skills!I11/Skills!H11+0.000000001),1)+IF(Skills!H11&gt;0,INT(MIN(Skills!I11,MAX(0,MAX(0,Inputs!$B$43-B2225)-((R2194-1)*(IF(Inputs!$B$38="pvp",15,MAX(0.1,Skills!D11-IF(TRUE=TRUE,Inputs!$B$32,0)))*(1-IF(AND(ArtifactsInput!$M$27,Inputs!$B$4="Chapter Hunt"),CHOOSE(ArtifactsInput!$N$27+1,20,24,28,32,36,40),0)/100)))))/Skills!H11+0.000000001)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INT(Skills!I11/Skills!H11+0.000000001),1)+IF(Skills!H11&gt;0,INT(MIN(Skills!I11,MAX(0,MAX(0,Inputs!$B$43-B2225)-((R2194-1)*(IF(Inputs!$B$38="pvp",15,MAX(0.1,Skills!D11-IF(TRUE=TRUE,Inputs!$B$32,0)))*(1-IF(AND(ArtifactsInput!$M$27,Inputs!$B$4="Chapter Hunt"),CHOOSE(ArtifactsInput!$N$27+1,20,24,28,32,36,40),0)/100)))))/Skills!H11+0.000000001),1)))/Inputs!$B$43),G2194*Q2194))*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Inputs!$B$3&gt;=100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t="inlineStr"/>
      <c r="H2195" t="inlineStr"/>
      <c r="I2195" t="inlineStr">
        <is>
          <t>1</t>
        </is>
      </c>
      <c r="J2195" t="inlineStr"/>
      <c r="K2195" t="inlineStr"/>
      <c r="L2195" t="inlineStr"/>
      <c r="M2195" t="inlineStr"/>
      <c r="N2195" t="inlineStr"/>
      <c r="O2195" t="inlineStr"/>
      <c r="P2195" t="inlineStr"/>
      <c r="Q2195" t="inlineStr"/>
      <c r="R2195" t="inlineStr"/>
      <c r="S2195" t="inlineStr"/>
      <c r="T2195" t="inlineStr"/>
      <c r="V2195" t="inlineStr"/>
    </row>
    <row r="2196">
      <c r="A2196">
        <f>Skills!A13</f>
        <v/>
      </c>
      <c r="B2196">
        <f>Skills!B13</f>
        <v/>
      </c>
      <c r="C2196">
        <f>Inputs!$B$3&gt;=60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Skills!G13*IF(Skills!H13&gt;0,INT(IF(Inputs!$B$38="pvp",MIN(Skills!I13,15),Skills!I13)/Skills!H13+0.000000001),1)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2197=TRUE,F2197,0)/100)*(1+(IF(Skills!A13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26)),(Inputs!$B$23+((C2214=TRUE)*(F2214-Calc!F31))+(IF(ArtifactsInput!$M$15,CHOOSE(ArtifactsInput!$N$15+1,25,30,35,40,45,50)/100*(Inputs!$B$11-Inputs!$B$11),0))))/100+(Inputs!$B$23+((C2214=TRUE)*(F2214-Calc!F31))+(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IFERROR(1/(IF(Inputs!$B$38="pvp",15,MAX(0.1,IF(Inputs!$B$3&gt;=122,3,5)+1/(((20+30*(B2220-1)*100/150)/100)*B2220)-IF(FALSE=TRUE,Inputs!$B$32,0)))*(1-IF(AND(ArtifactsInput!$M$27,Inputs!$B$4="Chapter Hunt"),CHOOSE(ArtifactsInput!$N$27+1,20,24,28,32,36,40),0)/100)),0)</f>
        <v/>
      </c>
      <c r="R2196">
        <f>IF(AND(Inputs!$B$38&lt;&gt;"pvp",Inputs!$B$43&gt;0),IF(MAX(0,Inputs!$B$43-B2225)&lt;=0,0,(INT(MAX(0,Inputs!$B$43-B2225)/(IF(Inputs!$B$38="pvp",15,MAX(0.1,IF(Inputs!$B$3&gt;=122,3,5)+1/(((20+30*(B2220-1)*100/150)/100)*B2220)-IF(FALSE=TRUE,Inputs!$B$32,0)))*(1-IF(AND(ArtifactsInput!$M$27,Inputs!$B$4="Chapter Hunt"),CHOOSE(ArtifactsInput!$N$27+1,20,24,28,32,36,40),0)/100)))+1)),0)</f>
        <v/>
      </c>
      <c r="S2196">
        <f>IFERROR(O2196/N2196,0)</f>
        <v/>
      </c>
      <c r="T2196">
        <f>IF(C2196,(H2196*N2196*IF(AND(Inputs!$B$38&lt;&gt;"pvp",Inputs!$B$43&gt;0),((Skills!G13*((R2196-1)*IF(Skills!H13&gt;0,INT(Skills!I13/Skills!H13+0.000000001),1)+IF(Skills!H13&gt;0,INT(MIN(Skills!I13,MAX(0,MAX(0,Inputs!$B$43-B2225)-((R2196-1)*(IF(Inputs!$B$38="pvp",15,MAX(0.1,IF(Inputs!$B$3&gt;=122,3,5)+1/(((20+30*(B2220-1)*100/150)/100)*B2220)-IF(FALSE=TRUE,Inputs!$B$32,0)))*(1-IF(AND(ArtifactsInput!$M$27,Inputs!$B$4="Chapter Hunt"),CHOOSE(ArtifactsInput!$N$27+1,20,24,28,32,36,40),0)/100)))))/Skills!H13+0.000000001),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INT(Skills!I13/Skills!H13+0.000000001),1)+IF(Skills!H13&gt;0,INT(MIN(Skills!I13,MAX(0,MAX(0,Inputs!$B$43-B2225)-((R2196-1)*(IF(Inputs!$B$38="pvp",15,MAX(0.1,IF(Inputs!$B$3&gt;=122,3,5)+1/(((20+30*(B2220-1)*100/150)/100)*B2220)-IF(FALSE=TRUE,Inputs!$B$32,0)))*(1-IF(AND(ArtifactsInput!$M$27,Inputs!$B$4="Chapter Hunt"),CHOOSE(ArtifactsInput!$N$27+1,20,24,28,32,36,40),0)/100)))))/Skills!H13+0.000000001),1)))/Inputs!$B$43),G2196*Q2196))*IF(Inputs!$B$38="pvp",1,(1+(Inputs!$B$21+Skills!Q13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Inputs!$B$3&gt;=110</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Skills!A15</f>
        <v/>
      </c>
      <c r="B2198">
        <f>Skills!B15</f>
        <v/>
      </c>
      <c r="C2198">
        <f>Inputs!$B$3&gt;=74</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f>Skills!G15*IF(Skills!H15&gt;0,INT(IF(Inputs!$B$38="pvp",MIN(Skills!I15,15),Skills!I15)/Skills!H15+0.000000001),1)</f>
        <v/>
      </c>
      <c r="H2198">
        <f>1-(1-Skills!J15/100)^Skills!K15</f>
        <v/>
      </c>
      <c r="I2198" t="inlineStr">
        <is>
          <t>1</t>
        </is>
      </c>
      <c r="J2198" t="inlineStr"/>
      <c r="K2198" t="inlineStr"/>
      <c r="L2198" t="inlineStr"/>
      <c r="M2198" t="inlineStr"/>
      <c r="N2198" t="inlineStr"/>
      <c r="O2198">
        <f>(1-Summary!$B$11)*T2198+Summary!$B$11*V2198</f>
        <v/>
      </c>
      <c r="P2198">
        <f>IF(B2228=0,0,O2198/B2228)</f>
        <v/>
      </c>
      <c r="Q2198" t="n">
        <v>0</v>
      </c>
      <c r="R2198" t="n">
        <v>0</v>
      </c>
      <c r="S2198">
        <f>IFERROR(O2198/N2198,0)</f>
        <v/>
      </c>
      <c r="T2198" t="n">
        <v>0</v>
      </c>
      <c r="V2198" t="n">
        <v>0</v>
      </c>
    </row>
    <row r="2199">
      <c r="A2199">
        <f>Skills!A16</f>
        <v/>
      </c>
      <c r="B2199">
        <f>Skills!B16</f>
        <v/>
      </c>
      <c r="C2199">
        <f>Inputs!$B$3&gt;=74</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f>Skills!G16*IF(Skills!H16&gt;0,INT(IF(Inputs!$B$38="pvp",MIN(Skills!I16,15),Skills!I16)/Skills!H16+0.000000001),1)</f>
        <v/>
      </c>
      <c r="H2199">
        <f>1-(1-Skills!J16/100)^Skills!K16</f>
        <v/>
      </c>
      <c r="I2199" t="inlineStr">
        <is>
          <t>1</t>
        </is>
      </c>
      <c r="J2199" t="inlineStr"/>
      <c r="K2199" t="inlineStr"/>
      <c r="L2199" t="inlineStr"/>
      <c r="M2199" t="inlineStr"/>
      <c r="N2199" t="inlineStr"/>
      <c r="O2199">
        <f>(1-Summary!$B$11)*T2199+Summary!$B$11*V2199</f>
        <v/>
      </c>
      <c r="P2199">
        <f>IF(B2228=0,0,O2199/B2228)</f>
        <v/>
      </c>
      <c r="Q2199" t="n">
        <v>0</v>
      </c>
      <c r="R2199" t="n">
        <v>0</v>
      </c>
      <c r="S2199">
        <f>IFERROR(O2199/N2199,0)</f>
        <v/>
      </c>
      <c r="T2199" t="n">
        <v>0</v>
      </c>
      <c r="V2199" t="n">
        <v>0</v>
      </c>
    </row>
    <row r="2200">
      <c r="A2200">
        <f>Skills!A17</f>
        <v/>
      </c>
      <c r="B2200">
        <f>Skills!B17</f>
        <v/>
      </c>
      <c r="C2200">
        <f>Inputs!$B$3&gt;=117</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Skills!G17*IF(Skills!H17&gt;0,INT(IF(Inputs!$B$38="pvp",MIN(Skills!I17,15),Skills!I17)/Skills!H17+0.000000001),1)</f>
        <v/>
      </c>
      <c r="H2200">
        <f>1-(1-Skills!J17/100)^Skills!K17</f>
        <v/>
      </c>
      <c r="I2200" t="inlineStr">
        <is>
          <t>1</t>
        </is>
      </c>
      <c r="J2200" t="inlineStr"/>
      <c r="K2200" t="inlineStr"/>
      <c r="L2200" t="inlineStr"/>
      <c r="M2200" t="inlineStr"/>
      <c r="N2200" t="inlineStr"/>
      <c r="O2200">
        <f>(1-Summary!$B$11)*T2200+Summary!$B$11*V2200</f>
        <v/>
      </c>
      <c r="P2200">
        <f>IF(B2228=0,0,O2200/B2228)</f>
        <v/>
      </c>
      <c r="Q2200">
        <f>IFERROR(1/(IF(Inputs!$B$38="pvp",15,MAX(0.1,Skills!D17-IF(TRUE=TRUE,Inputs!$B$32,0)))*(1-IF(AND(ArtifactsInput!$M$27,Inputs!$B$4="Chapter Hunt"),CHOOSE(ArtifactsInput!$N$27+1,20,24,28,32,36,40),0)/100)),0)</f>
        <v/>
      </c>
      <c r="R2200">
        <f>IF(AND(Inputs!$B$38&lt;&gt;"pvp",Inputs!$B$43&gt;0),IF(Inputs!$B$43&lt;=0,0,(INT(Inputs!$B$43/(IF(Inputs!$B$38="pvp",15,MAX(0.1,Skills!D17-IF(TRUE=TRUE,Inputs!$B$32,0)))*(1-IF(AND(ArtifactsInput!$M$27,Inputs!$B$4="Chapter Hunt"),CHOOSE(ArtifactsInput!$N$27+1,20,24,28,32,36,40),0)/100)))+1)),0)</f>
        <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Skills!G18*IF(Skills!H18&gt;0,INT(IF(Inputs!$B$38="pvp",MIN(Skills!I18,15),Skills!I18)/Skills!H18+0.000000001),1)</f>
        <v/>
      </c>
      <c r="H2201">
        <f>1-(1-Skills!J18/100)^Skills!K18</f>
        <v/>
      </c>
      <c r="I2201" t="inlineStr">
        <is>
          <t>1</t>
        </is>
      </c>
      <c r="J2201" t="inlineStr"/>
      <c r="K2201" t="inlineStr"/>
      <c r="L2201" t="inlineStr"/>
      <c r="M2201" t="inlineStr"/>
      <c r="N2201" t="inlineStr"/>
      <c r="O2201">
        <f>(1-Summary!$B$11)*T2201+Summary!$B$11*V2201</f>
        <v/>
      </c>
      <c r="P2201">
        <f>IF(B2228=0,0,O2201/B2228)</f>
        <v/>
      </c>
      <c r="Q2201">
        <f>IFERROR(1/(IF(Inputs!$B$38="pvp",15,MAX(0.1,Skills!D18-IF(TRUE=TRUE,Inputs!$B$32,0)))*(1-IF(AND(ArtifactsInput!$M$27,Inputs!$B$4="Chapter Hunt"),CHOOSE(ArtifactsInput!$N$27+1,20,24,28,32,36,40),0)/100)),0)</f>
        <v/>
      </c>
      <c r="R2201">
        <f>IF(AND(Inputs!$B$38&lt;&gt;"pvp",Inputs!$B$43&gt;0),IF(Inputs!$B$43&lt;=0,0,(INT(Inputs!$B$43/(IF(Inputs!$B$38="pvp",15,MAX(0.1,Skills!D18-IF(TRUE=TRUE,Inputs!$B$32,0)))*(1-IF(AND(ArtifactsInput!$M$27,Inputs!$B$4="Chapter Hunt"),CHOOSE(ArtifactsInput!$N$27+1,20,24,28,32,36,40),0)/100)))+1)),0)</f>
        <v/>
      </c>
      <c r="S2201">
        <f>IFERROR(O2201/N2201,0)</f>
        <v/>
      </c>
      <c r="T2201" t="n">
        <v>0</v>
      </c>
      <c r="V2201" t="n">
        <v>0</v>
      </c>
    </row>
    <row r="2202">
      <c r="A2202">
        <f>Skills!A19</f>
        <v/>
      </c>
      <c r="B2202">
        <f>Skills!B19</f>
        <v/>
      </c>
      <c r="C2202">
        <f>Inputs!$B$3&gt;=66</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Skills!G19*IF(Skills!H19&gt;0,INT(IF(Inputs!$B$38="pvp",MIN(Skills!I19,15),Skills!I19)/Skills!H19+0.000000001),1)</f>
        <v/>
      </c>
      <c r="H2202">
        <f>1-(1-Skills!J19/100)^Skills!K19</f>
        <v/>
      </c>
      <c r="I2202" t="inlineStr">
        <is>
          <t>1</t>
        </is>
      </c>
      <c r="J2202" t="inlineStr"/>
      <c r="K2202" t="inlineStr"/>
      <c r="L2202" t="inlineStr"/>
      <c r="M2202" t="inlineStr"/>
      <c r="N2202" t="inlineStr"/>
      <c r="O2202">
        <f>(1-Summary!$B$11)*T2202+Summary!$B$11*V2202</f>
        <v/>
      </c>
      <c r="P2202">
        <f>IF(B2228=0,0,O2202/B2228)</f>
        <v/>
      </c>
      <c r="Q2202" t="n">
        <v>0</v>
      </c>
      <c r="R2202" t="n">
        <v>0</v>
      </c>
      <c r="S2202">
        <f>IFERROR(O2202/N2202,0)</f>
        <v/>
      </c>
      <c r="T2202" t="n">
        <v>0</v>
      </c>
      <c r="V2202" t="n">
        <v>0</v>
      </c>
    </row>
    <row r="2203">
      <c r="A2203">
        <f>Skills!A20</f>
        <v/>
      </c>
      <c r="B2203">
        <f>Skills!B20</f>
        <v/>
      </c>
      <c r="C2203">
        <f>Inputs!$B$3&gt;=72</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Skills!G20*IF(Skills!H20&gt;0,INT(IF(Inputs!$B$38="pvp",MIN(Skills!I20,15),Skills!I20)/Skills!H20+0.000000001),1)</f>
        <v/>
      </c>
      <c r="H2203">
        <f>1-(1-Skills!J20/100)^Skills!K20</f>
        <v/>
      </c>
      <c r="I2203" t="inlineStr">
        <is>
          <t>1</t>
        </is>
      </c>
      <c r="J2203" t="inlineStr"/>
      <c r="K2203" t="inlineStr"/>
      <c r="L2203" t="inlineStr"/>
      <c r="M2203" t="inlineStr"/>
      <c r="N2203" t="inlineStr"/>
      <c r="O2203">
        <f>(1-Summary!$B$11)*T2203+Summary!$B$11*V2203</f>
        <v/>
      </c>
      <c r="P2203">
        <f>IF(B2228=0,0,O2203/B2228)</f>
        <v/>
      </c>
      <c r="Q2203" t="n">
        <v>0</v>
      </c>
      <c r="R2203" t="n">
        <v>0</v>
      </c>
      <c r="S2203">
        <f>IFERROR(O2203/N2203,0)</f>
        <v/>
      </c>
      <c r="T2203" t="n">
        <v>0</v>
      </c>
      <c r="V2203" t="n">
        <v>0</v>
      </c>
    </row>
    <row r="2204">
      <c r="A2204">
        <f>Skills!A21</f>
        <v/>
      </c>
      <c r="B2204">
        <f>Skills!B21</f>
        <v/>
      </c>
      <c r="C2204">
        <f>TRUE</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Skills!G21*IF(Skills!H21&gt;0,INT(IF(Inputs!$B$38="pvp",MIN(Skills!I21,15),Skills!I21)/Skills!H21+0.000000001),1)</f>
        <v/>
      </c>
      <c r="H2204">
        <f>1-(1-Skills!J21/100)^Skills!K21</f>
        <v/>
      </c>
      <c r="I2204" t="inlineStr">
        <is>
          <t>1</t>
        </is>
      </c>
      <c r="J2204" t="inlineStr"/>
      <c r="K2204" t="inlineStr"/>
      <c r="L2204" t="inlineStr"/>
      <c r="M2204" t="inlineStr"/>
      <c r="N2204" t="inlineStr"/>
      <c r="O2204">
        <f>(1-Summary!$B$11)*T2204+Summary!$B$11*V2204</f>
        <v/>
      </c>
      <c r="P2204">
        <f>IF(B2228=0,0,O2204/B2228)</f>
        <v/>
      </c>
      <c r="Q2204">
        <f>IFERROR(1/(IF(Inputs!$B$38="pvp",15,MAX(0.1,Skills!D21-IF(TRUE=TRUE,Inputs!$B$32,0)))*(1-IF(AND(ArtifactsInput!$M$27,Inputs!$B$4="Chapter Hunt"),CHOOSE(ArtifactsInput!$N$27+1,20,24,28,32,36,40),0)/100)),0)</f>
        <v/>
      </c>
      <c r="R2204">
        <f>IF(AND(Inputs!$B$38&lt;&gt;"pvp",Inputs!$B$43&gt;0),IF(Inputs!$B$43&lt;=0,0,(INT(Inputs!$B$43/(IF(Inputs!$B$38="pvp",15,MAX(0.1,Skills!D21-IF(TRUE=TRUE,Inputs!$B$32,0)))*(1-IF(AND(ArtifactsInput!$M$27,Inputs!$B$4="Chapter Hunt"),CHOOSE(ArtifactsInput!$N$27+1,20,24,28,32,36,40),0)/100)))+1)),0)</f>
        <v/>
      </c>
      <c r="S2204">
        <f>IFERROR(O2204/N2204,0)</f>
        <v/>
      </c>
      <c r="T2204" t="n">
        <v>0</v>
      </c>
      <c r="V2204" t="n">
        <v>0</v>
      </c>
    </row>
    <row r="2205">
      <c r="A2205">
        <f>Skills!A22</f>
        <v/>
      </c>
      <c r="B2205">
        <f>Skills!B22</f>
        <v/>
      </c>
      <c r="C2205">
        <f>Inputs!$B$3&gt;=15</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Skills!G22*IF(Skills!H22&gt;0,INT(IF(Inputs!$B$38="pvp",MIN(Skills!I22,15),Skills!I22)/Skills!H22+0.000000001),1)</f>
        <v/>
      </c>
      <c r="H2205">
        <f>1-(1-Skills!J22/100)^Skills!K22</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Skills!A23</f>
        <v/>
      </c>
      <c r="B2206">
        <f>Skills!B23</f>
        <v/>
      </c>
      <c r="C2206">
        <f>Inputs!$B$3&gt;=10</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Skills!G23*IF(Skills!H23&gt;0,INT(IF(Inputs!$B$38="pvp",MIN(Skills!I23,15),Skills!I23)/Skills!H23+0.000000001),1)</f>
        <v/>
      </c>
      <c r="H2206">
        <f>1-(1-Skills!J23/100)^Skills!K23</f>
        <v/>
      </c>
      <c r="I2206" t="inlineStr">
        <is>
          <t>1</t>
        </is>
      </c>
      <c r="J2206" t="inlineStr"/>
      <c r="K2206" t="inlineStr"/>
      <c r="L2206" t="inlineStr"/>
      <c r="M2206" t="inlineStr"/>
      <c r="N2206" t="inlineStr"/>
      <c r="O2206">
        <f>(1-Summary!$B$11)*T2206+Summary!$B$11*V2206</f>
        <v/>
      </c>
      <c r="P2206">
        <f>IF(B2228=0,0,O2206/B2228)</f>
        <v/>
      </c>
      <c r="Q2206" t="n">
        <v>0</v>
      </c>
      <c r="R2206" t="n">
        <v>0</v>
      </c>
      <c r="S2206">
        <f>IFERROR(O2206/N2206,0)</f>
        <v/>
      </c>
      <c r="T2206" t="n">
        <v>0</v>
      </c>
      <c r="V2206" t="n">
        <v>0</v>
      </c>
    </row>
    <row r="2207">
      <c r="A2207">
        <f>Skills!A24</f>
        <v/>
      </c>
      <c r="B2207">
        <f>Skills!B24</f>
        <v/>
      </c>
      <c r="C2207">
        <f>Inputs!$B$3&gt;=33</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Skills!G24*IF(Skills!H24&gt;0,INT(IF(Inputs!$B$38="pvp",MIN(Skills!I24,15),Skills!I24)/Skills!H24+0.000000001),1)</f>
        <v/>
      </c>
      <c r="H2207">
        <f>1-(1-Skills!J24/100)^Skills!K24</f>
        <v/>
      </c>
      <c r="I2207" t="inlineStr">
        <is>
          <t>1</t>
        </is>
      </c>
      <c r="J2207" t="inlineStr"/>
      <c r="K2207" t="inlineStr"/>
      <c r="L2207" t="inlineStr"/>
      <c r="M2207" t="inlineStr"/>
      <c r="N2207" t="inlineStr"/>
      <c r="O2207">
        <f>(1-Summary!$B$11)*T2207+Summary!$B$11*V2207</f>
        <v/>
      </c>
      <c r="P2207">
        <f>IF(B2228=0,0,O2207/B2228)</f>
        <v/>
      </c>
      <c r="Q2207" t="n">
        <v>0</v>
      </c>
      <c r="R2207" t="n">
        <v>0</v>
      </c>
      <c r="S2207">
        <f>IFERROR(O2207/N2207,0)</f>
        <v/>
      </c>
      <c r="T2207" t="n">
        <v>0</v>
      </c>
      <c r="V2207" t="n">
        <v>0</v>
      </c>
    </row>
    <row r="2208">
      <c r="A2208">
        <f>Skills!A25</f>
        <v/>
      </c>
      <c r="B2208">
        <f>Skills!B25</f>
        <v/>
      </c>
      <c r="C2208">
        <f>Inputs!$B$3&gt;=38</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Skills!G25*IF(Skills!H25&gt;0,INT(IF(Inputs!$B$38="pvp",MIN(Skills!I25,15),Skills!I25)/Skills!H25+0.000000001),1)</f>
        <v/>
      </c>
      <c r="H2208">
        <f>1-(1-Skills!J25/100)^Skills!K25</f>
        <v/>
      </c>
      <c r="I2208" t="inlineStr">
        <is>
          <t>1</t>
        </is>
      </c>
      <c r="J2208" t="inlineStr"/>
      <c r="K2208" t="inlineStr"/>
      <c r="L2208" t="inlineStr"/>
      <c r="M2208" t="inlineStr"/>
      <c r="N2208" t="inlineStr"/>
      <c r="O2208">
        <f>(1-Summary!$B$11)*T2208+Summary!$B$11*V2208</f>
        <v/>
      </c>
      <c r="P2208">
        <f>IF(B2228=0,0,O2208/B2228)</f>
        <v/>
      </c>
      <c r="Q2208" t="n">
        <v>0</v>
      </c>
      <c r="R2208" t="n">
        <v>0</v>
      </c>
      <c r="S2208">
        <f>IFERROR(O2208/N2208,0)</f>
        <v/>
      </c>
      <c r="T2208" t="n">
        <v>0</v>
      </c>
      <c r="V2208" t="n">
        <v>0</v>
      </c>
    </row>
    <row r="2209">
      <c r="A2209">
        <f>Skills!A26</f>
        <v/>
      </c>
      <c r="B2209">
        <f>Skills!B26</f>
        <v/>
      </c>
      <c r="C2209">
        <f>Inputs!$B$3&gt;=43</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Skills!G26*IF(Skills!H26&gt;0,INT(IF(Inputs!$B$38="pvp",MIN(Skills!I26,15),Skills!I26)/Skills!H26+0.000000001),1)</f>
        <v/>
      </c>
      <c r="H2209">
        <f>1-(1-Skills!J26/100)^Skills!K26</f>
        <v/>
      </c>
      <c r="I2209" t="inlineStr">
        <is>
          <t>1</t>
        </is>
      </c>
      <c r="J2209" t="inlineStr"/>
      <c r="K2209" t="inlineStr"/>
      <c r="L2209" t="inlineStr"/>
      <c r="M2209" t="inlineStr"/>
      <c r="N2209" t="inlineStr"/>
      <c r="O2209">
        <f>(1-Summary!$B$11)*T2209+Summary!$B$11*V2209</f>
        <v/>
      </c>
      <c r="P2209">
        <f>IF(B2228=0,0,O2209/B2228)</f>
        <v/>
      </c>
      <c r="Q2209" t="n">
        <v>0</v>
      </c>
      <c r="R2209" t="n">
        <v>0</v>
      </c>
      <c r="S2209">
        <f>IFERROR(O2209/N2209,0)</f>
        <v/>
      </c>
      <c r="T2209" t="n">
        <v>0</v>
      </c>
      <c r="V2209" t="n">
        <v>0</v>
      </c>
    </row>
    <row r="2210">
      <c r="A2210">
        <f>Skills!A27</f>
        <v/>
      </c>
      <c r="B2210">
        <f>Skills!B27</f>
        <v/>
      </c>
      <c r="C2210">
        <f>Inputs!$B$3&gt;=75</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Skills!G27*IF(Skills!H27&gt;0,INT(IF(Inputs!$B$38="pvp",MIN(Skills!I27,15),Skills!I27)/Skills!H27+0.000000001),1)</f>
        <v/>
      </c>
      <c r="H2210">
        <f>1-(1-Skills!J27/100)^Skills!K27</f>
        <v/>
      </c>
      <c r="I2210" t="inlineStr">
        <is>
          <t>1</t>
        </is>
      </c>
      <c r="J2210" t="inlineStr"/>
      <c r="K2210" t="inlineStr"/>
      <c r="L2210" t="inlineStr"/>
      <c r="M2210" t="inlineStr"/>
      <c r="N2210" t="inlineStr"/>
      <c r="O2210">
        <f>(1-Summary!$B$11)*T2210+Summary!$B$11*V2210</f>
        <v/>
      </c>
      <c r="P2210">
        <f>IF(B2228=0,0,O2210/B2228)</f>
        <v/>
      </c>
      <c r="Q2210" t="n">
        <v>0</v>
      </c>
      <c r="R2210" t="n">
        <v>0</v>
      </c>
      <c r="S2210">
        <f>IFERROR(O2210/N2210,0)</f>
        <v/>
      </c>
      <c r="T2210" t="n">
        <v>0</v>
      </c>
      <c r="V2210" t="n">
        <v>0</v>
      </c>
    </row>
    <row r="2211">
      <c r="A2211">
        <f>Skills!A28</f>
        <v/>
      </c>
      <c r="B2211">
        <f>Skills!B28</f>
        <v/>
      </c>
      <c r="C2211">
        <f>Inputs!$B$3&gt;=125</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Skills!G28*IF(Skills!H28&gt;0,INT(IF(Inputs!$B$38="pvp",MIN(Skills!I28,15),Skills!I28)/Skills!H28+0.000000001),1)</f>
        <v/>
      </c>
      <c r="H2211">
        <f>1-(1-Skills!J28/100)^Skills!K28</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Skills!A29</f>
        <v/>
      </c>
      <c r="B2212">
        <f>Skills!B29</f>
        <v/>
      </c>
      <c r="C2212">
        <f>Inputs!$B$3&gt;=125</f>
        <v/>
      </c>
      <c r="D2212">
        <f>IF(Skills!C29=1,60+Inputs!$B$25+Inputs!$B$29,IF(Skills!C29=2,90+Inputs!$B$26+Inputs!$B$29,IF(Skills!C29=3,120+Inputs!$B$27+Inputs!$B$29,MAX(0,(Inputs!$B$3-100)*3)+Inputs!$B$28+Inputs!$B$29)))</f>
        <v/>
      </c>
      <c r="E2212">
        <f>INDEX(FactorTable!$B$2:$Y$301, MATCH(ROUND(MIN(300,MAX(1,D2212)),0), FactorTable!$A$2:$A$301,0), Skills!M29+1)</f>
        <v/>
      </c>
      <c r="F2212">
        <f>IF(Skills!N29=TRUE,(Skills!L29/10)*(E2212/1000),Skills!L29/10)+Skills!O29</f>
        <v/>
      </c>
      <c r="G2212">
        <f>Skills!G29*IF(Skills!H29&gt;0,INT(IF(Inputs!$B$38="pvp",MIN(Skills!I29,15),Skills!I29)/Skills!H29+0.000000001),1)</f>
        <v/>
      </c>
      <c r="H2212">
        <f>1-(1-Skills!J29/100)^Skills!K29</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Skills!A30</f>
        <v/>
      </c>
      <c r="B2213">
        <f>Skills!B30</f>
        <v/>
      </c>
      <c r="C2213">
        <f>Inputs!$B$3&gt;=120</f>
        <v/>
      </c>
      <c r="D2213">
        <f>IF(Skills!C30=1,60+Inputs!$B$25+Inputs!$B$29,IF(Skills!C30=2,90+Inputs!$B$26+Inputs!$B$29,IF(Skills!C30=3,120+Inputs!$B$27+Inputs!$B$29,MAX(0,(Inputs!$B$3-100)*3)+Inputs!$B$28+Inputs!$B$29)))</f>
        <v/>
      </c>
      <c r="E2213">
        <f>INDEX(FactorTable!$B$2:$Y$301, MATCH(ROUND(MIN(300,MAX(1,D2213)),0), FactorTable!$A$2:$A$301,0), Skills!M30+1)</f>
        <v/>
      </c>
      <c r="F2213">
        <f>IF(Skills!N30=TRUE,(Skills!L30/10)*(E2213/1000),Skills!L30/10)+Skills!O30</f>
        <v/>
      </c>
      <c r="G2213">
        <f>Skills!G30*IF(Skills!H30&gt;0,INT(IF(Inputs!$B$38="pvp",MIN(Skills!I30,15),Skills!I30)/Skills!H30+0.000000001),1)</f>
        <v/>
      </c>
      <c r="H2213">
        <f>1-(1-Skills!J30/100)^Skills!K30</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Skills!A31</f>
        <v/>
      </c>
      <c r="B2214">
        <f>Skills!B31</f>
        <v/>
      </c>
      <c r="C2214">
        <f>Inputs!$B$3&gt;=120</f>
        <v/>
      </c>
      <c r="D2214">
        <f>IF(Skills!C31=1,60+Inputs!$B$25+Inputs!$B$29,IF(Skills!C31=2,90+Inputs!$B$26+Inputs!$B$29,IF(Skills!C31=3,120+Inputs!$B$27+Inputs!$B$29,MAX(0,(Inputs!$B$3-100)*3)+Inputs!$B$28+Inputs!$B$29)))</f>
        <v/>
      </c>
      <c r="E2214">
        <f>INDEX(FactorTable!$B$2:$Y$301, MATCH(ROUND(MIN(300,MAX(1,D2214)),0), FactorTable!$A$2:$A$301,0), Skills!M31+1)</f>
        <v/>
      </c>
      <c r="F2214">
        <f>IF(Skills!N31=TRUE,(Skills!L31/10)*(E2214/1000),Skills!L31/10)+Skills!O31</f>
        <v/>
      </c>
      <c r="G2214">
        <f>Skills!G31*IF(Skills!H31&gt;0,INT(IF(Inputs!$B$38="pvp",MIN(Skills!I31,15),Skills!I31)/Skills!H31+0.000000001),1)</f>
        <v/>
      </c>
      <c r="H2214">
        <f>1-(1-Skills!J31/100)^Skills!K31</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Skills!A32</f>
        <v/>
      </c>
      <c r="B2215">
        <f>Skills!B32</f>
        <v/>
      </c>
      <c r="C2215">
        <f>Inputs!$B$3&gt;=45</f>
        <v/>
      </c>
      <c r="D2215">
        <f>IF(Skills!C32=1,60+Inputs!$B$25+Inputs!$B$29,IF(Skills!C32=2,90+Inputs!$B$26+Inputs!$B$29,IF(Skills!C32=3,120+Inputs!$B$27+Inputs!$B$29,MAX(0,(Inputs!$B$3-100)*3)+Inputs!$B$28+Inputs!$B$29)))</f>
        <v/>
      </c>
      <c r="E2215">
        <f>INDEX(FactorTable!$B$2:$Y$301, MATCH(ROUND(MIN(300,MAX(1,D2215)),0), FactorTable!$A$2:$A$301,0), Skills!M32+1)</f>
        <v/>
      </c>
      <c r="F2215">
        <f>IF(Skills!N32=TRUE,(Skills!L32/10)*(E2215/1000),Skills!L32/10)+Skills!O32</f>
        <v/>
      </c>
      <c r="G2215">
        <f>Skills!G32*IF(Skills!H32&gt;0,INT(IF(Inputs!$B$38="pvp",MIN(Skills!I32,15),Skills!I32)/Skills!H32+0.000000001),1)</f>
        <v/>
      </c>
      <c r="H2215">
        <f>1-(1-Skills!J32/100)^Skills!K32</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21*(1+Inputs!$B$34/100)),(1/Q2204))+MIN((Skills!T21*(1+Inputs!$B$34/100)),MAX(0,Inputs!$B$43-((R2204-1)*(1/Q2204)))))/Inputs!$B$43),IF(Inputs!$B$38="pvp",MIN((Skills!T21*(1+Inputs!$B$34/100)),15)/15,MIN(1,(Skills!T21*(1+Inputs!$B$34/100))/(1/Q2204)))))</f>
        <v/>
      </c>
    </row>
    <row r="2220">
      <c r="A2220" t="inlineStr">
        <is>
          <t>Actions Per Second</t>
        </is>
      </c>
      <c r="B2220">
        <f>1+MIN(150,150*(1-(1-(Inputs!$B$11+((C2206=TRUE)*(F2206-Calc!F23))+((C2207=TRUE)*(F2207-Calc!F24)))/150)*(1-B2219/150)))/100</f>
        <v/>
      </c>
    </row>
    <row r="2221">
      <c r="A2221" t="inlineStr">
        <is>
          <t>Skill + Buff Cast Rate</t>
        </is>
      </c>
      <c r="B2221">
        <f>IF(AND(Inputs!$B$38&lt;&gt;"pvp",Inputs!$B$43&gt;0),SUMPRODUCT((Skills!E2:E32=TRUE)*(C2185:C2215=TRUE)*R2185:R2215*Skills!F2:F32)/Inputs!$B$43,SUMPRODUCT((Skills!E2:E32=TRUE)*(C2185:C2215=TRUE)*Q2185:Q2215*Skills!F2:F32))</f>
        <v/>
      </c>
    </row>
    <row r="2222">
      <c r="A2222" t="inlineStr">
        <is>
          <t>Arrow Stream Casts Per Second</t>
        </is>
      </c>
      <c r="B2222">
        <f>MAX(0,B2220-B2221)</f>
        <v/>
      </c>
    </row>
    <row r="2223">
      <c r="A2223" t="inlineStr">
        <is>
          <t>Global Critical Damage Bonus % (Sharp Eyes + Concentration)</t>
        </is>
      </c>
      <c r="B2223">
        <f>(C2201=TRUE)*F2201*IF(AND(Inputs!$B$38&lt;&gt;"pvp",Inputs!$B$43&gt;0),(((R2201-1)*MIN((Skills!T18*(1+Inputs!$B$34/100)),(1/Q2201))+MIN((Skills!T18*(1+Inputs!$B$34/100)),MAX(0,Inputs!$B$43-((R2201-1)*(1/Q2201)))))/Inputs!$B$43),IF(Inputs!$B$38="pvp",MIN((Skills!T18*(1+Inputs!$B$34/100)),15)/15,MIN(1,(Skills!T18*(1+Inputs!$B$34/100))/(1/Q2201))))+(C2202=TRUE)*7*F2202</f>
        <v/>
      </c>
    </row>
    <row r="2224">
      <c r="A2224" t="inlineStr">
        <is>
          <t>Global Final Damage Bonus % (Mortal Blow)</t>
        </is>
      </c>
      <c r="B2224">
        <f>(C2203=TRUE)*F2203</f>
        <v/>
      </c>
    </row>
    <row r="2225">
      <c r="A2225" t="inlineStr">
        <is>
          <t>Buff-Casting Startup Delay (s, fixed-duration only)</t>
        </is>
      </c>
      <c r="B2225">
        <f>IF(AND(Inputs!$B$38&lt;&gt;"pvp",Inputs!$B$43&gt;0),SUMPRODUCT((Skills!T2:T32&gt;0)*(Skills!E2:E32=TRUE)*(C2185:C2215=TRUE))/B2220,0)</f>
        <v/>
      </c>
    </row>
    <row r="2226">
      <c r="A2226" t="inlineStr">
        <is>
          <t>Boss-Only Total DPS (this block's swept value)</t>
        </is>
      </c>
      <c r="B2226">
        <f>SUM(T2185:T2215)</f>
        <v/>
      </c>
    </row>
    <row r="2227">
      <c r="A2227" t="inlineStr">
        <is>
          <t>Normal-Only Total DPS (this block's swept value)</t>
        </is>
      </c>
      <c r="B2227">
        <f>SUM(V2185:V2215)</f>
        <v/>
      </c>
    </row>
    <row r="2228">
      <c r="A2228" s="6" t="inlineStr">
        <is>
          <t>TOTAL DPS</t>
        </is>
      </c>
      <c r="B2228" s="6">
        <f>SUM(O2185:O2215)</f>
        <v/>
      </c>
    </row>
    <row r="2231">
      <c r="A2231" s="6" t="inlineStr">
        <is>
          <t>Stat: Fire Flower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Skills!G2*IF(Skills!H2&gt;0,INT(IF(Inputs!$B$38="pvp",MIN(Skills!I2,15),Skills!I2)/Skills!H2+0.000000001),1)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2257=TRUE)*(F2257-Calc!F26)),(Inputs!$B$23+((C2262=TRUE)*(F2262-Calc!F31))+(IF(ArtifactsInput!$M$15,CHOOSE(ArtifactsInput!$N$15+1,25,30,35,40,45,50)/100*(Inputs!$B$11-Inputs!$B$11),0))))/100+(Inputs!$B$23+((C2262=TRUE)*(F2262-Calc!F31))+(IF(ArtifactsInput!$M$15,CHOOSE(ArtifactsInput!$N$15+1,25,30,35,40,45,50)/100*(Inputs!$B$11-Inputs!$B$11),0)))/100)/2</f>
        <v/>
      </c>
      <c r="M2233">
        <f>L2233*(1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IF(B2276=0,0,O2233/B2276)</f>
        <v/>
      </c>
      <c r="Q2233" t="n">
        <v>0</v>
      </c>
      <c r="R2233" t="n">
        <v>0</v>
      </c>
      <c r="S2233">
        <f>IFERROR(O2233/N2233,0)</f>
        <v/>
      </c>
      <c r="T2233">
        <f>IF(C2233,(Skills!G2*N2233*B2270)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IF(C2233,(Skills!G2*N2233*B2270)*IF(Inputs!$B$38="pvp",1,(1+(Inputs!$B$21+Skills!Q2+(IF(ArtifactsInput!$M$33,CHOOSE(ArtifactsInput!$N$33+1,30,36,42,48,54,60),0))+(IF(AND(ArtifactsInput!$M$35,Inputs!$B$4&lt;&gt;"Chapter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f>Skills!G3*IF(Skills!H3&gt;0,INT(IF(Inputs!$B$38="pvp",MIN(Skills!I3,15),Skills!I3)/Skills!H3+0.000000001),1)</f>
        <v/>
      </c>
      <c r="H2234">
        <f>1-(1-Skills!J3/100)^Skills!K3</f>
        <v/>
      </c>
      <c r="I2234" t="inlineStr">
        <is>
          <t>1</t>
        </is>
      </c>
      <c r="J2234">
        <f>((Inputs!$B$6*(1+Inputs!$B$7/100))+(((Inputs!$B$12*(1+Inputs!$B$13/100))-(Inputs!$B$12*(1+Inputs!$B$13/100)))+0.25*(Inputs!$B$14-Inputs!$B$14))*(1+Inputs!$B$7/100))*(F2234/100)</f>
        <v/>
      </c>
      <c r="K2234">
        <f>J2234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2235=TRUE,F2235,0)/100)*(1+(IF(Skills!A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2257=TRUE)*(F2257-Calc!F26)),(Inputs!$B$23+((C2262=TRUE)*(F2262-Calc!F31))+(IF(ArtifactsInput!$M$15,CHOOSE(ArtifactsInput!$N$15+1,25,30,35,40,45,50)/100*(Inputs!$B$11-Inputs!$B$11),0))))/100+(Inputs!$B$23+((C2262=TRUE)*(F2262-Calc!F31))+(IF(ArtifactsInput!$M$15,CHOOSE(ArtifactsInput!$N$15+1,25,30,35,40,45,50)/100*(Inputs!$B$11-Inputs!$B$11),0)))/100)/2</f>
        <v/>
      </c>
      <c r="M2234">
        <f>L2234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IF(B2276=0,0,O2234/B2276)</f>
        <v/>
      </c>
      <c r="Q2234">
        <f>IFERROR(1/(IF(Inputs!$B$38="pvp",15,MAX(0.1,1/B2268-IF(FALSE=TRUE,Inputs!$B$32,0)))*(1-IF(AND(ArtifactsInput!$M$27,Inputs!$B$4="Chapter Hunt"),CHOOSE(ArtifactsInput!$N$27+1,20,24,28,32,36,40),0)/100)),0)</f>
        <v/>
      </c>
      <c r="R2234">
        <f>IF(AND(Inputs!$B$38&lt;&gt;"pvp",Inputs!$B$43&gt;0),IF(MAX(0,Inputs!$B$43-B2273)&lt;=0,0,(INT(MAX(0,Inputs!$B$43-B2273)/(IF(Inputs!$B$38="pvp",15,MAX(0.1,1/B2268-IF(FALSE=TRUE,Inputs!$B$32,0)))*(1-IF(AND(ArtifactsInput!$M$27,Inputs!$B$4="Chapter Hunt"),CHOOSE(ArtifactsInput!$N$27+1,20,24,28,32,36,40),0)/100)))+1)),0)</f>
        <v/>
      </c>
      <c r="S2234">
        <f>IFERROR(O2234/N2234,0)</f>
        <v/>
      </c>
      <c r="T2234">
        <f>IF(C2234,(H2234*N2234*IF(AND(Inputs!$B$38&lt;&gt;"pvp",Inputs!$B$43&gt;0),((Skills!G3*((R2234-1)*IF(Skills!H3&gt;0,INT(Skills!I3/Skills!H3+0.000000001),1)+IF(Skills!H3&gt;0,INT(MIN(Skills!I3,MAX(0,MAX(0,Inputs!$B$43-B2273)-((R2234-1)*(IF(Inputs!$B$38="pvp",15,MAX(0.1,1/B2268-IF(FALSE=TRUE,Inputs!$B$32,0)))*(1-IF(AND(ArtifactsInput!$M$27,Inputs!$B$4="Chapter Hunt"),CHOOSE(ArtifactsInput!$N$27+1,20,24,28,32,36,40),0)/100)))))/Skills!H3+0.000000001),1)))/Inputs!$B$43),G2234*Q2234)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INDEX(FactorTable!$B$2:$Y$301, MATCH(ROUND(MIN(300,MAX(1,U2233)),0), FactorTable!$A$2:$A$301,0), 22)</f>
        <v/>
      </c>
      <c r="V2234">
        <f>IF(C2234,(H2234*N2234*IF(AND(Inputs!$B$38&lt;&gt;"pvp",Inputs!$B$43&gt;0),((Skills!G3*((R2234-1)*IF(Skills!H3&gt;0,INT(Skills!I3/Skills!H3+0.000000001),1)+IF(Skills!H3&gt;0,INT(MIN(Skills!I3,MAX(0,MAX(0,Inputs!$B$43-B2273)-((R2234-1)*(IF(Inputs!$B$38="pvp",15,MAX(0.1,1/B2268-IF(FALSE=TRUE,Inputs!$B$32,0)))*(1-IF(AND(ArtifactsInput!$M$27,Inputs!$B$4="Chapter Hunt"),CHOOSE(ArtifactsInput!$N$27+1,20,24,28,32,36,40),0)/100)))))/Skills!H3+0.000000001),1)))/Inputs!$B$43),G2234*Q2234))*IF(Inputs!$B$38="pvp",1,(1+(Inputs!$B$21+Skills!Q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Skills!G5*IF(Skills!H5&gt;0,INT(IF(Inputs!$B$38="pvp",MIN(Skills!I5,15),Skills!I5)/Skills!H5+0.000000001),1)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5="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2257=TRUE)*(F2257-Calc!F26)),(Inputs!$B$23+((C2262=TRUE)*(F2262-Calc!F31))+(IF(ArtifactsInput!$M$15,CHOOSE(ArtifactsInput!$N$15+1,25,30,35,40,45,50)/100*(Inputs!$B$11-Inputs!$B$11),0))))/100+(Inputs!$B$23+((C2262=TRUE)*(F2262-Calc!F31))+(IF(ArtifactsInput!$M$15,CHOOSE(ArtifactsInput!$N$15+1,25,30,35,40,45,50)/100*(Inputs!$B$11-Inputs!$B$11),0)))/100)/2</f>
        <v/>
      </c>
      <c r="M2236">
        <f>L2236*(1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IF(B2276=0,0,O2236/B2276)</f>
        <v/>
      </c>
      <c r="Q2236">
        <f>IFERROR(1/(IF(Inputs!$B$38="pvp",15,MAX(0.1,Skills!D5-IF(TRUE=TRUE,Inputs!$B$32,0)))*(1-IF(AND(ArtifactsInput!$M$27,Inputs!$B$4="Chapter Hunt"),CHOOSE(ArtifactsInput!$N$27+1,20,24,28,32,36,40),0)/100)),0)</f>
        <v/>
      </c>
      <c r="R2236">
        <f>IF(AND(Inputs!$B$38&lt;&gt;"pvp",Inputs!$B$43&gt;0),IF(MAX(0,Inputs!$B$43-B2273)&lt;=0,0,(INT(MAX(0,Inputs!$B$43-B2273)/(IF(Inputs!$B$38="pvp",15,MAX(0.1,Skills!D5-IF(TRUE=TRUE,Inputs!$B$32,0)))*(1-IF(AND(ArtifactsInput!$M$27,Inputs!$B$4="Chapter Hunt"),CHOOSE(ArtifactsInput!$N$27+1,20,24,28,32,36,40),0)/100)))+1)),0)</f>
        <v/>
      </c>
      <c r="S2236">
        <f>IFERROR(O2236/N2236,0)</f>
        <v/>
      </c>
      <c r="T2236">
        <f>IF(C2236,(H2236*N2236*IF(AND(Inputs!$B$38&lt;&gt;"pvp",Inputs!$B$43&gt;0),((Skills!G5*((R2236-1)*IF(Skills!H5&gt;0,INT(Skills!I5/Skills!H5+0.000000001),1)+IF(Skills!H5&gt;0,INT(MIN(Skills!I5,MAX(0,MAX(0,Inputs!$B$43-B2273)-((R2236-1)*(IF(Inputs!$B$38="pvp",15,MAX(0.1,Skills!D5-IF(TRUE=TRUE,Inputs!$B$32,0)))*(1-IF(AND(ArtifactsInput!$M$27,Inputs!$B$4="Chapter Hunt"),CHOOSE(ArtifactsInput!$N$27+1,20,24,28,32,36,40),0)/100)))))/Skills!H5+0.000000001),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INT(Skills!I5/Skills!H5+0.000000001),1)+IF(Skills!H5&gt;0,INT(MIN(Skills!I5,MAX(0,MAX(0,Inputs!$B$43-B2273)-((R2236-1)*(IF(Inputs!$B$38="pvp",15,MAX(0.1,Skills!D5-IF(TRUE=TRUE,Inputs!$B$32,0)))*(1-IF(AND(ArtifactsInput!$M$27,Inputs!$B$4="Chapter Hunt"),CHOOSE(ArtifactsInput!$N$27+1,20,24,28,32,36,40),0)/100)))))/Skills!H5+0.000000001),1)))/Inputs!$B$43),G2236*Q2236))*IF(Inputs!$B$38="pvp",1,(1+(Inputs!$B$21+Skills!Q5+(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Inputs!$B$3&gt;=40</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Skills!G6*IF(Skills!H6&gt;0,INT(IF(Inputs!$B$38="pvp",MIN(Skills!I6,15),Skills!I6)/Skills!H6+0.000000001),1)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2238=TRUE,F2238,0)/100)*(1+(IF(Skills!A6="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2257=TRUE)*(F2257-Calc!F26)),(Inputs!$B$23+((C2262=TRUE)*(F2262-Calc!F31))+(IF(ArtifactsInput!$M$15,CHOOSE(ArtifactsInput!$N$15+1,25,30,35,40,45,50)/100*(Inputs!$B$11-Inputs!$B$11),0))))/100+(Inputs!$B$23+((C2262=TRUE)*(F2262-Calc!F31))+(IF(ArtifactsInput!$M$15,CHOOSE(ArtifactsInput!$N$15+1,25,30,35,40,45,50)/100*(Inputs!$B$11-Inputs!$B$11),0)))/100)/2</f>
        <v/>
      </c>
      <c r="M2237">
        <f>L2237*(1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IF(B2276=0,0,O2237/B2276)</f>
        <v/>
      </c>
      <c r="Q2237">
        <f>IFERROR(1/(IF(Inputs!$B$38="pvp",15,MAX(0.1,1-0.4*MIN(1,(B2268-1)/1.5)-IF(FALSE=TRUE,Inputs!$B$32,0)))*(1-IF(AND(ArtifactsInput!$M$27,Inputs!$B$4="Chapter Hunt"),CHOOSE(ArtifactsInput!$N$27+1,20,24,28,32,36,40),0)/100)),0)</f>
        <v/>
      </c>
      <c r="R2237">
        <f>IF(AND(Inputs!$B$38&lt;&gt;"pvp",Inputs!$B$43&gt;0),IF(MAX(0,Inputs!$B$43-B2273)&lt;=0,0,(INT(MAX(0,Inputs!$B$43-B2273)/(IF(Inputs!$B$38="pvp",15,MAX(0.1,1-0.4*MIN(1,(B2268-1)/1.5)-IF(FALSE=TRUE,Inputs!$B$32,0)))*(1-IF(AND(ArtifactsInput!$M$27,Inputs!$B$4="Chapter Hunt"),CHOOSE(ArtifactsInput!$N$27+1,20,24,28,32,36,40),0)/100)))+1)),0)</f>
        <v/>
      </c>
      <c r="S2237">
        <f>IFERROR(O2237/N2237,0)</f>
        <v/>
      </c>
      <c r="T2237">
        <f>IF(C2237,(H2237*N2237*IF(AND(Inputs!$B$38&lt;&gt;"pvp",Inputs!$B$43&gt;0),((Skills!G6*((R2237-1)*IF(Skills!H6&gt;0,INT(Skills!I6/Skills!H6+0.000000001),1)+IF(Skills!H6&gt;0,INT(MIN(Skills!I6,MAX(0,MAX(0,Inputs!$B$43-B2273)-((R2237-1)*(IF(Inputs!$B$38="pvp",15,MAX(0.1,1-0.4*MIN(1,(B2268-1)/1.5)-IF(FALSE=TRUE,Inputs!$B$32,0)))*(1-IF(AND(ArtifactsInput!$M$27,Inputs!$B$4="Chapter Hunt"),CHOOSE(ArtifactsInput!$N$27+1,20,24,28,32,36,40),0)/100)))))/Skills!H6+0.000000001),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INT(Skills!I6/Skills!H6+0.000000001),1)+IF(Skills!H6&gt;0,INT(MIN(Skills!I6,MAX(0,MAX(0,Inputs!$B$43-B2273)-((R2237-1)*(IF(Inputs!$B$38="pvp",15,MAX(0.1,1-0.4*MIN(1,(B2268-1)/1.5)-IF(FALSE=TRUE,Inputs!$B$32,0)))*(1-IF(AND(ArtifactsInput!$M$27,Inputs!$B$4="Chapter Hunt"),CHOOSE(ArtifactsInput!$N$27+1,20,24,28,32,36,40),0)/100)))))/Skills!H6+0.000000001),1)))/Inputs!$B$43),G2237*Q2237))*IF(Inputs!$B$38="pvp",1,(1+(Inputs!$B$21+Skills!Q6+(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t="inlineStr"/>
      <c r="H2238" t="inlineStr"/>
      <c r="I2238" t="inlineStr">
        <is>
          <t>1</t>
        </is>
      </c>
      <c r="J2238" t="inlineStr"/>
      <c r="K2238" t="inlineStr"/>
      <c r="L2238" t="inlineStr"/>
      <c r="M2238" t="inlineStr"/>
      <c r="N2238" t="inlineStr"/>
      <c r="O2238" t="inlineStr"/>
      <c r="P2238" t="inlineStr"/>
      <c r="Q2238" t="inlineStr"/>
      <c r="R2238" t="inlineStr"/>
      <c r="S2238" t="inlineStr"/>
      <c r="T2238" t="inlineStr"/>
      <c r="V2238" t="inlineStr"/>
    </row>
    <row r="2239">
      <c r="A2239">
        <f>Skills!A8</f>
        <v/>
      </c>
      <c r="B2239">
        <f>Skills!B8</f>
        <v/>
      </c>
      <c r="C2239">
        <f>Inputs!$B$3&gt;=130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Skills!G8*IF(Skills!H8&gt;0,INT(IF(Inputs!$B$38="pvp",MIN(Skills!I8,15),Skills!I8)/Skills!H8+0.000000001),1)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26)),(Inputs!$B$23+((C2262=TRUE)*(F2262-Calc!F31))+(IF(ArtifactsInput!$M$15,CHOOSE(ArtifactsInput!$N$15+1,25,30,35,40,45,50)/100*(Inputs!$B$11-Inputs!$B$11),0))))/100+(Inputs!$B$23+((C2262=TRUE)*(F2262-Calc!F31))+(IF(ArtifactsInput!$M$15,CHOOSE(ArtifactsInput!$N$15+1,25,30,35,40,45,50)/100*(Inputs!$B$11-Inputs!$B$11),0)))/100)/2</f>
        <v/>
      </c>
      <c r="M2239">
        <f>L2239*(1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IF(B2276=0,0,O2239/B2276)</f>
        <v/>
      </c>
      <c r="Q2239">
        <f>IFERROR(1/(IF(Inputs!$B$38="pvp",15,MAX(0.1,1-0.4*MIN(1,(B2268-1)/1.5)-IF(FALSE=TRUE,Inputs!$B$32,0)))*(1-IF(AND(ArtifactsInput!$M$27,Inputs!$B$4="Chapter Hunt"),CHOOSE(ArtifactsInput!$N$27+1,20,24,28,32,36,40),0)/100)),0)</f>
        <v/>
      </c>
      <c r="R2239">
        <f>IF(AND(Inputs!$B$38&lt;&gt;"pvp",Inputs!$B$43&gt;0),IF(MAX(0,Inputs!$B$43-B2273)&lt;=0,0,(INT(MAX(0,Inputs!$B$43-B2273)/(IF(Inputs!$B$38="pvp",15,MAX(0.1,1-0.4*MIN(1,(B2268-1)/1.5)-IF(FALSE=TRUE,Inputs!$B$32,0)))*(1-IF(AND(ArtifactsInput!$M$27,Inputs!$B$4="Chapter Hunt"),CHOOSE(ArtifactsInput!$N$27+1,20,24,28,32,36,40),0)/100)))+1)),0)</f>
        <v/>
      </c>
      <c r="S2239">
        <f>IFERROR(O2239/N2239,0)</f>
        <v/>
      </c>
      <c r="T2239">
        <f>IF(C2239,(H2239*N2239*IF(AND(Inputs!$B$38&lt;&gt;"pvp",Inputs!$B$43&gt;0),((Skills!G8*((R2239-1)*IF(Skills!H8&gt;0,INT(Skills!I8/Skills!H8+0.000000001),1)+IF(Skills!H8&gt;0,INT(MIN(Skills!I8,MAX(0,MAX(0,Inputs!$B$43-B2273)-((R2239-1)*(IF(Inputs!$B$38="pvp",15,MAX(0.1,1-0.4*MIN(1,(B2268-1)/1.5)-IF(FALSE=TRUE,Inputs!$B$32,0)))*(1-IF(AND(ArtifactsInput!$M$27,Inputs!$B$4="Chapter Hunt"),CHOOSE(ArtifactsInput!$N$27+1,20,24,28,32,36,40),0)/100)))))/Skills!H8+0.000000001),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INT(Skills!I8/Skills!H8+0.000000001),1)+IF(Skills!H8&gt;0,INT(MIN(Skills!I8,MAX(0,MAX(0,Inputs!$B$43-B2273)-((R2239-1)*(IF(Inputs!$B$38="pvp",15,MAX(0.1,1-0.4*MIN(1,(B2268-1)/1.5)-IF(FALSE=TRUE,Inputs!$B$32,0)))*(1-IF(AND(ArtifactsInput!$M$27,Inputs!$B$4="Chapter Hunt"),CHOOSE(ArtifactsInput!$N$27+1,20,24,28,32,36,40),0)/100)))))/Skills!H8+0.000000001),1)))/Inputs!$B$43),G2239*Q2239))*IF(Inputs!$B$38="pvp",1,(1+(Inputs!$B$21+Skills!Q8+(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Inputs!$B$3&gt;=69</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Skills!G9*IF(Skills!H9&gt;0,INT(IF(Inputs!$B$38="pvp",MIN(Skills!I9,15),Skills!I9)/Skills!H9+0.000000001),1)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2243=TRUE,F2243,0)/100)*(1+(IF(Skills!A9="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26)),(Inputs!$B$23+((C2262=TRUE)*(F2262-Calc!F31))+(IF(ArtifactsInput!$M$15,CHOOSE(ArtifactsInput!$N$15+1,25,30,35,40,45,50)/100*(Inputs!$B$11-Inputs!$B$11),0))))/100+(Inputs!$B$23+((C2262=TRUE)*(F2262-Calc!F31))+(IF(ArtifactsInput!$M$15,CHOOSE(ArtifactsInput!$N$15+1,25,30,35,40,45,50)/100*(Inputs!$B$11-Inputs!$B$11),0)))/100)/2</f>
        <v/>
      </c>
      <c r="M2240">
        <f>L2240*(1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IF(B2276=0,0,O2240/B2276)</f>
        <v/>
      </c>
      <c r="Q2240">
        <f>IFERROR(1/(IF(Inputs!$B$38="pvp",15,MAX(0.1,Skills!D9-IF(TRUE=TRUE,Inputs!$B$32,0)))*(1-IF(AND(ArtifactsInput!$M$27,Inputs!$B$4="Chapter Hunt"),CHOOSE(ArtifactsInput!$N$27+1,20,24,28,32,36,40),0)/100)),0)</f>
        <v/>
      </c>
      <c r="R2240">
        <f>IF(AND(Inputs!$B$38&lt;&gt;"pvp",Inputs!$B$43&gt;0),IF(MAX(0,Inputs!$B$43-B2273)&lt;=0,0,(INT(MAX(0,Inputs!$B$43-B2273)/(IF(Inputs!$B$38="pvp",15,MAX(0.1,Skills!D9-IF(TRUE=TRUE,Inputs!$B$32,0)))*(1-IF(AND(ArtifactsInput!$M$27,Inputs!$B$4="Chapter Hunt"),CHOOSE(ArtifactsInput!$N$27+1,20,24,28,32,36,40),0)/100)))+1)),0)</f>
        <v/>
      </c>
      <c r="S2240">
        <f>IFERROR(O2240/N2240,0)</f>
        <v/>
      </c>
      <c r="T2240">
        <f>IF(C2240,(H2240*N2240*IF(AND(Inputs!$B$38&lt;&gt;"pvp",Inputs!$B$43&gt;0),((Skills!G9*((R2240-1)*IF(Skills!H9&gt;0,INT(Skills!I9/Skills!H9+0.000000001),1)+IF(Skills!H9&gt;0,INT(MIN(Skills!I9,MAX(0,MAX(0,Inputs!$B$43-B2273)-((R2240-1)*(IF(Inputs!$B$38="pvp",15,MAX(0.1,Skills!D9-IF(TRUE=TRUE,Inputs!$B$32,0)))*(1-IF(AND(ArtifactsInput!$M$27,Inputs!$B$4="Chapter Hunt"),CHOOSE(ArtifactsInput!$N$27+1,20,24,28,32,36,40),0)/100)))))/Skills!H9+0.000000001),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INT(Skills!I9/Skills!H9+0.000000001),1)+IF(Skills!H9&gt;0,INT(MIN(Skills!I9,MAX(0,MAX(0,Inputs!$B$43-B2273)-((R2240-1)*(IF(Inputs!$B$38="pvp",15,MAX(0.1,Skills!D9-IF(TRUE=TRUE,Inputs!$B$32,0)))*(1-IF(AND(ArtifactsInput!$M$27,Inputs!$B$4="Chapter Hunt"),CHOOSE(ArtifactsInput!$N$27+1,20,24,28,32,36,40),0)/100)))))/Skills!H9+0.000000001),1)))/Inputs!$B$43),G2240*Q2240))*IF(Inputs!$B$38="pvp",1,(1+(Inputs!$B$21+Skills!Q9+(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Inputs!$B$3&gt;=63</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Skills!G10*IF(Skills!H10&gt;0,INT(IF(Inputs!$B$38="pvp",MIN(Skills!I10,15),Skills!I10)/Skills!H10+0.000000001),1)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10="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26)),(Inputs!$B$23+((C2262=TRUE)*(F2262-Calc!F31))+(IF(ArtifactsInput!$M$15,CHOOSE(ArtifactsInput!$N$15+1,25,30,35,40,45,50)/100*(Inputs!$B$11-Inputs!$B$11),0))))/100+(Inputs!$B$23+((C2262=TRUE)*(F2262-Calc!F31))+(IF(ArtifactsInput!$M$15,CHOOSE(ArtifactsInput!$N$15+1,25,30,35,40,45,50)/100*(Inputs!$B$11-Inputs!$B$11),0)))/100)/2</f>
        <v/>
      </c>
      <c r="M2241">
        <f>L2241*(1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IF(B2276=0,0,O2241/B2276)</f>
        <v/>
      </c>
      <c r="Q2241">
        <f>IFERROR(1/(IF(Inputs!$B$38="pvp",15,MAX(0.1,Skills!D10-IF(TRUE=TRUE,Inputs!$B$32,0)))*(1-IF(AND(ArtifactsInput!$M$27,Inputs!$B$4="Chapter Hunt"),CHOOSE(ArtifactsInput!$N$27+1,20,24,28,32,36,40),0)/100)),0)</f>
        <v/>
      </c>
      <c r="R2241">
        <f>IF(AND(Inputs!$B$38&lt;&gt;"pvp",Inputs!$B$43&gt;0),IF(MAX(0,Inputs!$B$43-B2273)&lt;=0,0,(INT(MAX(0,Inputs!$B$43-B2273)/(IF(Inputs!$B$38="pvp",15,MAX(0.1,Skills!D10-IF(TRUE=TRUE,Inputs!$B$32,0)))*(1-IF(AND(ArtifactsInput!$M$27,Inputs!$B$4="Chapter Hunt"),CHOOSE(ArtifactsInput!$N$27+1,20,24,28,32,36,40),0)/100)))+1)),0)</f>
        <v/>
      </c>
      <c r="S2241">
        <f>IFERROR(O2241/N2241,0)</f>
        <v/>
      </c>
      <c r="T2241">
        <f>IF(C2241,(H2241*N2241*IF(AND(Inputs!$B$38&lt;&gt;"pvp",Inputs!$B$43&gt;0),((Skills!G10*((R2241-1)*IF(Skills!H10&gt;0,INT(Skills!I10/Skills!H10+0.000000001),1)+IF(Skills!H10&gt;0,INT(MIN(Skills!I10,MAX(0,MAX(0,Inputs!$B$43-B2273)-((R2241-1)*(IF(Inputs!$B$38="pvp",15,MAX(0.1,Skills!D10-IF(TRUE=TRUE,Inputs!$B$32,0)))*(1-IF(AND(ArtifactsInput!$M$27,Inputs!$B$4="Chapter Hunt"),CHOOSE(ArtifactsInput!$N$27+1,20,24,28,32,36,40),0)/100)))))/Skills!H10+0.000000001),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INT(Skills!I10/Skills!H10+0.000000001),1)+IF(Skills!H10&gt;0,INT(MIN(Skills!I10,MAX(0,MAX(0,Inputs!$B$43-B2273)-((R2241-1)*(IF(Inputs!$B$38="pvp",15,MAX(0.1,Skills!D10-IF(TRUE=TRUE,Inputs!$B$32,0)))*(1-IF(AND(ArtifactsInput!$M$27,Inputs!$B$4="Chapter Hunt"),CHOOSE(ArtifactsInput!$N$27+1,20,24,28,32,36,40),0)/100)))))/Skills!H10+0.000000001),1)))/Inputs!$B$43),G2241*Q2241))*IF(Inputs!$B$38="pvp",1,(1+(Inputs!$B$21+Skills!Q10+(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Inputs!$B$3&gt;=103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Skills!G11*IF(Skills!H11&gt;0,INT(IF(Inputs!$B$38="pvp",MIN(Skills!I11,15),Skills!I11)/Skills!H11+0.000000001),1)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2257=TRUE)*(F2257-Calc!F26)),(Inputs!$B$23+((C2262=TRUE)*(F2262-Calc!F31))+(IF(ArtifactsInput!$M$15,CHOOSE(ArtifactsInput!$N$15+1,25,30,35,40,45,50)/100*(Inputs!$B$11-Inputs!$B$11),0))))/100+(Inputs!$B$23+((C2262=TRUE)*(F2262-Calc!F31))+(IF(ArtifactsInput!$M$15,CHOOSE(ArtifactsInput!$N$15+1,25,30,35,40,45,50)/100*(Inputs!$B$11-Inputs!$B$11),0)))/100)/2</f>
        <v/>
      </c>
      <c r="M2242">
        <f>L2242*(1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IF(B2276=0,0,O2242/B2276)</f>
        <v/>
      </c>
      <c r="Q2242">
        <f>IFERROR(1/(IF(Inputs!$B$38="pvp",15,MAX(0.1,Skills!D11-IF(TRUE=TRUE,Inputs!$B$32,0)))*(1-IF(AND(ArtifactsInput!$M$27,Inputs!$B$4="Chapter Hunt"),CHOOSE(ArtifactsInput!$N$27+1,20,24,28,32,36,40),0)/100)),0)</f>
        <v/>
      </c>
      <c r="R2242">
        <f>IF(AND(Inputs!$B$38&lt;&gt;"pvp",Inputs!$B$43&gt;0),IF(MAX(0,Inputs!$B$43-B2273)&lt;=0,0,(INT(MAX(0,Inputs!$B$43-B2273)/(IF(Inputs!$B$38="pvp",15,MAX(0.1,Skills!D11-IF(TRUE=TRUE,Inputs!$B$32,0)))*(1-IF(AND(ArtifactsInput!$M$27,Inputs!$B$4="Chapter Hunt"),CHOOSE(ArtifactsInput!$N$27+1,20,24,28,32,36,40),0)/100)))+1)),0)</f>
        <v/>
      </c>
      <c r="S2242">
        <f>IFERROR(O2242/N2242,0)</f>
        <v/>
      </c>
      <c r="T2242">
        <f>IF(C2242,(H2242*N2242*IF(AND(Inputs!$B$38&lt;&gt;"pvp",Inputs!$B$43&gt;0),((Skills!G11*((R2242-1)*IF(Skills!H11&gt;0,INT(Skills!I11/Skills!H11+0.000000001),1)+IF(Skills!H11&gt;0,INT(MIN(Skills!I11,MAX(0,MAX(0,Inputs!$B$43-B2273)-((R2242-1)*(IF(Inputs!$B$38="pvp",15,MAX(0.1,Skills!D11-IF(TRUE=TRUE,Inputs!$B$32,0)))*(1-IF(AND(ArtifactsInput!$M$27,Inputs!$B$4="Chapter Hunt"),CHOOSE(ArtifactsInput!$N$27+1,20,24,28,32,36,40),0)/100)))))/Skills!H11+0.000000001)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INT(Skills!I11/Skills!H11+0.000000001),1)+IF(Skills!H11&gt;0,INT(MIN(Skills!I11,MAX(0,MAX(0,Inputs!$B$43-B2273)-((R2242-1)*(IF(Inputs!$B$38="pvp",15,MAX(0.1,Skills!D11-IF(TRUE=TRUE,Inputs!$B$32,0)))*(1-IF(AND(ArtifactsInput!$M$27,Inputs!$B$4="Chapter Hunt"),CHOOSE(ArtifactsInput!$N$27+1,20,24,28,32,36,40),0)/100)))))/Skills!H11+0.000000001),1)))/Inputs!$B$43),G2242*Q2242))*IF(Inputs!$B$38="pvp",1,(1+(Inputs!$B$21+Skills!Q11+(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Skills!A13</f>
        <v/>
      </c>
      <c r="B2244">
        <f>Skills!B13</f>
        <v/>
      </c>
      <c r="C2244">
        <f>Inputs!$B$3&gt;=60</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Skills!G13*IF(Skills!H13&gt;0,INT(IF(Inputs!$B$38="pvp",MIN(Skills!I13,15),Skills!I13)/Skills!H13+0.000000001),1)</f>
        <v/>
      </c>
      <c r="H2244">
        <f>1-(1-Skills!J13/100)^Skills!K13</f>
        <v/>
      </c>
      <c r="I2244" t="inlineStr">
        <is>
          <t>1</t>
        </is>
      </c>
      <c r="J2244">
        <f>((Inputs!$B$6*(1+Inputs!$B$7/100))+(((Inputs!$B$12*(1+Inputs!$B$13/100))-(Inputs!$B$12*(1+Inputs!$B$13/100)))+0.25*(Inputs!$B$14-Inputs!$B$14))*(1+Inputs!$B$7/100))*(F2244/100)</f>
        <v/>
      </c>
      <c r="K2244">
        <f>J2244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Skills!A13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26)),(Inputs!$B$23+((C2262=TRUE)*(F2262-Calc!F31))+(IF(ArtifactsInput!$M$15,CHOOSE(ArtifactsInput!$N$15+1,25,30,35,40,45,50)/100*(Inputs!$B$11-Inputs!$B$11),0))))/100+(Inputs!$B$23+((C2262=TRUE)*(F2262-Calc!F31))+(IF(ArtifactsInput!$M$15,CHOOSE(ArtifactsInput!$N$15+1,25,30,35,40,45,50)/100*(Inputs!$B$11-Inputs!$B$11),0)))/100)/2</f>
        <v/>
      </c>
      <c r="M2244">
        <f>L2244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IF(B2276=0,0,O2244/B2276)</f>
        <v/>
      </c>
      <c r="Q2244">
        <f>IFERROR(1/(IF(Inputs!$B$38="pvp",15,MAX(0.1,IF(Inputs!$B$3&gt;=122,3,5)+1/(((20+30*(B2268-1)*100/150)/100)*B2268)-IF(FALSE=TRUE,Inputs!$B$32,0)))*(1-IF(AND(ArtifactsInput!$M$27,Inputs!$B$4="Chapter Hunt"),CHOOSE(ArtifactsInput!$N$27+1,20,24,28,32,36,40),0)/100)),0)</f>
        <v/>
      </c>
      <c r="R2244">
        <f>IF(AND(Inputs!$B$38&lt;&gt;"pvp",Inputs!$B$43&gt;0),IF(MAX(0,Inputs!$B$43-B2273)&lt;=0,0,(INT(MAX(0,Inputs!$B$43-B2273)/(IF(Inputs!$B$38="pvp",15,MAX(0.1,IF(Inputs!$B$3&gt;=122,3,5)+1/(((20+30*(B2268-1)*100/150)/100)*B2268)-IF(FALSE=TRUE,Inputs!$B$32,0)))*(1-IF(AND(ArtifactsInput!$M$27,Inputs!$B$4="Chapter Hunt"),CHOOSE(ArtifactsInput!$N$27+1,20,24,28,32,36,40),0)/100)))+1)),0)</f>
        <v/>
      </c>
      <c r="S2244">
        <f>IFERROR(O2244/N2244,0)</f>
        <v/>
      </c>
      <c r="T2244">
        <f>IF(C2244,(H2244*N2244*IF(AND(Inputs!$B$38&lt;&gt;"pvp",Inputs!$B$43&gt;0),((Skills!G13*((R2244-1)*IF(Skills!H13&gt;0,INT(Skills!I13/Skills!H13+0.000000001),1)+IF(Skills!H13&gt;0,INT(MIN(Skills!I13,MAX(0,MAX(0,Inputs!$B$43-B2273)-((R2244-1)*(IF(Inputs!$B$38="pvp",15,MAX(0.1,IF(Inputs!$B$3&gt;=122,3,5)+1/(((20+30*(B2268-1)*100/150)/100)*B2268)-IF(FALSE=TRUE,Inputs!$B$32,0)))*(1-IF(AND(ArtifactsInput!$M$27,Inputs!$B$4="Chapter Hunt"),CHOOSE(ArtifactsInput!$N$27+1,20,24,28,32,36,40),0)/100)))))/Skills!H13+0.000000001),1)))/Inputs!$B$43),G2244*Q2244)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13*((R2244-1)*IF(Skills!H13&gt;0,INT(Skills!I13/Skills!H13+0.000000001),1)+IF(Skills!H13&gt;0,INT(MIN(Skills!I13,MAX(0,MAX(0,Inputs!$B$43-B2273)-((R2244-1)*(IF(Inputs!$B$38="pvp",15,MAX(0.1,IF(Inputs!$B$3&gt;=122,3,5)+1/(((20+30*(B2268-1)*100/150)/100)*B2268)-IF(FALSE=TRUE,Inputs!$B$32,0)))*(1-IF(AND(ArtifactsInput!$M$27,Inputs!$B$4="Chapter Hunt"),CHOOSE(ArtifactsInput!$N$27+1,20,24,28,32,36,40),0)/100)))))/Skills!H13+0.000000001),1)))/Inputs!$B$43),G2244*Q2244))*IF(Inputs!$B$38="pvp",1,(1+(Inputs!$B$21+Skills!Q13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t="inlineStr"/>
      <c r="H2245" t="inlineStr"/>
      <c r="I2245" t="inlineStr">
        <is>
          <t>1</t>
        </is>
      </c>
      <c r="J2245" t="inlineStr"/>
      <c r="K2245" t="inlineStr"/>
      <c r="L2245" t="inlineStr"/>
      <c r="M2245" t="inlineStr"/>
      <c r="N2245" t="inlineStr"/>
      <c r="O2245" t="inlineStr"/>
      <c r="P2245" t="inlineStr"/>
      <c r="Q2245" t="inlineStr"/>
      <c r="R2245" t="inlineStr"/>
      <c r="S2245" t="inlineStr"/>
      <c r="T2245" t="inlineStr"/>
      <c r="V2245" t="inlineStr"/>
    </row>
    <row r="2246">
      <c r="A2246">
        <f>Skills!A15</f>
        <v/>
      </c>
      <c r="B2246">
        <f>Skills!B15</f>
        <v/>
      </c>
      <c r="C2246">
        <f>Inputs!$B$3&gt;=74</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Skills!G15*IF(Skills!H15&gt;0,INT(IF(Inputs!$B$38="pvp",MIN(Skills!I15,15),Skills!I15)/Skills!H15+0.000000001),1)</f>
        <v/>
      </c>
      <c r="H2246">
        <f>1-(1-Skills!J15/100)^Skills!K15</f>
        <v/>
      </c>
      <c r="I2246" t="inlineStr">
        <is>
          <t>1</t>
        </is>
      </c>
      <c r="J2246" t="inlineStr"/>
      <c r="K2246" t="inlineStr"/>
      <c r="L2246" t="inlineStr"/>
      <c r="M2246" t="inlineStr"/>
      <c r="N2246" t="inlineStr"/>
      <c r="O2246">
        <f>(1-Summary!$B$11)*T2246+Summary!$B$11*V2246</f>
        <v/>
      </c>
      <c r="P2246">
        <f>IF(B2276=0,0,O2246/B2276)</f>
        <v/>
      </c>
      <c r="Q2246" t="n">
        <v>0</v>
      </c>
      <c r="R2246" t="n">
        <v>0</v>
      </c>
      <c r="S2246">
        <f>IFERROR(O2246/N2246,0)</f>
        <v/>
      </c>
      <c r="T2246" t="n">
        <v>0</v>
      </c>
      <c r="V2246" t="n">
        <v>0</v>
      </c>
    </row>
    <row r="2247">
      <c r="A2247">
        <f>Skills!A16</f>
        <v/>
      </c>
      <c r="B2247">
        <f>Skills!B16</f>
        <v/>
      </c>
      <c r="C2247">
        <f>Inputs!$B$3&gt;=74</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Skills!G16*IF(Skills!H16&gt;0,INT(IF(Inputs!$B$38="pvp",MIN(Skills!I16,15),Skills!I16)/Skills!H16+0.000000001),1)</f>
        <v/>
      </c>
      <c r="H2247">
        <f>1-(1-Skills!J16/100)^Skills!K16</f>
        <v/>
      </c>
      <c r="I2247" t="inlineStr">
        <is>
          <t>1</t>
        </is>
      </c>
      <c r="J2247" t="inlineStr"/>
      <c r="K2247" t="inlineStr"/>
      <c r="L2247" t="inlineStr"/>
      <c r="M2247" t="inlineStr"/>
      <c r="N2247" t="inlineStr"/>
      <c r="O2247">
        <f>(1-Summary!$B$11)*T2247+Summary!$B$11*V2247</f>
        <v/>
      </c>
      <c r="P2247">
        <f>IF(B2276=0,0,O2247/B2276)</f>
        <v/>
      </c>
      <c r="Q2247" t="n">
        <v>0</v>
      </c>
      <c r="R2247" t="n">
        <v>0</v>
      </c>
      <c r="S2247">
        <f>IFERROR(O2247/N2247,0)</f>
        <v/>
      </c>
      <c r="T2247" t="n">
        <v>0</v>
      </c>
      <c r="V2247" t="n">
        <v>0</v>
      </c>
    </row>
    <row r="2248">
      <c r="A2248">
        <f>Skills!A17</f>
        <v/>
      </c>
      <c r="B2248">
        <f>Skills!B17</f>
        <v/>
      </c>
      <c r="C2248">
        <f>Inputs!$B$3&gt;=117</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Skills!G17*IF(Skills!H17&gt;0,INT(IF(Inputs!$B$38="pvp",MIN(Skills!I17,15),Skills!I17)/Skills!H17+0.000000001),1)</f>
        <v/>
      </c>
      <c r="H2248">
        <f>1-(1-Skills!J17/100)^Skills!K17</f>
        <v/>
      </c>
      <c r="I2248" t="inlineStr">
        <is>
          <t>1</t>
        </is>
      </c>
      <c r="J2248" t="inlineStr"/>
      <c r="K2248" t="inlineStr"/>
      <c r="L2248" t="inlineStr"/>
      <c r="M2248" t="inlineStr"/>
      <c r="N2248" t="inlineStr"/>
      <c r="O2248">
        <f>(1-Summary!$B$11)*T2248+Summary!$B$11*V2248</f>
        <v/>
      </c>
      <c r="P2248">
        <f>IF(B2276=0,0,O2248/B2276)</f>
        <v/>
      </c>
      <c r="Q2248">
        <f>IFERROR(1/(IF(Inputs!$B$38="pvp",15,MAX(0.1,Skills!D17-IF(TRUE=TRUE,Inputs!$B$32,0)))*(1-IF(AND(ArtifactsInput!$M$27,Inputs!$B$4="Chapter Hunt"),CHOOSE(ArtifactsInput!$N$27+1,20,24,28,32,36,40),0)/100)),0)</f>
        <v/>
      </c>
      <c r="R2248">
        <f>IF(AND(Inputs!$B$38&lt;&gt;"pvp",Inputs!$B$43&gt;0),IF(Inputs!$B$43&lt;=0,0,(INT(Inputs!$B$43/(IF(Inputs!$B$38="pvp",15,MAX(0.1,Skills!D17-IF(TRUE=TRUE,Inputs!$B$32,0)))*(1-IF(AND(ArtifactsInput!$M$27,Inputs!$B$4="Chapter Hunt"),CHOOSE(ArtifactsInput!$N$27+1,20,24,28,32,36,40),0)/100)))+1)),0)</f>
        <v/>
      </c>
      <c r="S2248">
        <f>IFERROR(O2248/N2248,0)</f>
        <v/>
      </c>
      <c r="T2248" t="n">
        <v>0</v>
      </c>
      <c r="V2248" t="n">
        <v>0</v>
      </c>
    </row>
    <row r="2249">
      <c r="A2249">
        <f>Skills!A18</f>
        <v/>
      </c>
      <c r="B2249">
        <f>Skills!B18</f>
        <v/>
      </c>
      <c r="C2249">
        <f>Inputs!$B$3&gt;=115</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Skills!G18*IF(Skills!H18&gt;0,INT(IF(Inputs!$B$38="pvp",MIN(Skills!I18,15),Skills!I18)/Skills!H18+0.000000001),1)</f>
        <v/>
      </c>
      <c r="H2249">
        <f>1-(1-Skills!J18/100)^Skills!K18</f>
        <v/>
      </c>
      <c r="I2249" t="inlineStr">
        <is>
          <t>1</t>
        </is>
      </c>
      <c r="J2249" t="inlineStr"/>
      <c r="K2249" t="inlineStr"/>
      <c r="L2249" t="inlineStr"/>
      <c r="M2249" t="inlineStr"/>
      <c r="N2249" t="inlineStr"/>
      <c r="O2249">
        <f>(1-Summary!$B$11)*T2249+Summary!$B$11*V2249</f>
        <v/>
      </c>
      <c r="P2249">
        <f>IF(B2276=0,0,O2249/B2276)</f>
        <v/>
      </c>
      <c r="Q2249">
        <f>IFERROR(1/(IF(Inputs!$B$38="pvp",15,MAX(0.1,Skills!D18-IF(TRUE=TRUE,Inputs!$B$32,0)))*(1-IF(AND(ArtifactsInput!$M$27,Inputs!$B$4="Chapter Hunt"),CHOOSE(ArtifactsInput!$N$27+1,20,24,28,32,36,40),0)/100)),0)</f>
        <v/>
      </c>
      <c r="R2249">
        <f>IF(AND(Inputs!$B$38&lt;&gt;"pvp",Inputs!$B$43&gt;0),IF(Inputs!$B$43&lt;=0,0,(INT(Inputs!$B$43/(IF(Inputs!$B$38="pvp",15,MAX(0.1,Skills!D18-IF(TRUE=TRUE,Inputs!$B$32,0)))*(1-IF(AND(ArtifactsInput!$M$27,Inputs!$B$4="Chapter Hunt"),CHOOSE(ArtifactsInput!$N$27+1,20,24,28,32,36,40),0)/100)))+1)),0)</f>
        <v/>
      </c>
      <c r="S2249">
        <f>IFERROR(O2249/N2249,0)</f>
        <v/>
      </c>
      <c r="T2249" t="n">
        <v>0</v>
      </c>
      <c r="V2249" t="n">
        <v>0</v>
      </c>
    </row>
    <row r="2250">
      <c r="A2250">
        <f>Skills!A19</f>
        <v/>
      </c>
      <c r="B2250">
        <f>Skills!B19</f>
        <v/>
      </c>
      <c r="C2250">
        <f>Inputs!$B$3&gt;=66</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Skills!G19*IF(Skills!H19&gt;0,INT(IF(Inputs!$B$38="pvp",MIN(Skills!I19,15),Skills!I19)/Skills!H19+0.000000001),1)</f>
        <v/>
      </c>
      <c r="H2250">
        <f>1-(1-Skills!J19/100)^Skills!K19</f>
        <v/>
      </c>
      <c r="I2250" t="inlineStr">
        <is>
          <t>1</t>
        </is>
      </c>
      <c r="J2250" t="inlineStr"/>
      <c r="K2250" t="inlineStr"/>
      <c r="L2250" t="inlineStr"/>
      <c r="M2250" t="inlineStr"/>
      <c r="N2250" t="inlineStr"/>
      <c r="O2250">
        <f>(1-Summary!$B$11)*T2250+Summary!$B$11*V2250</f>
        <v/>
      </c>
      <c r="P2250">
        <f>IF(B2276=0,0,O2250/B2276)</f>
        <v/>
      </c>
      <c r="Q2250" t="n">
        <v>0</v>
      </c>
      <c r="R2250" t="n">
        <v>0</v>
      </c>
      <c r="S2250">
        <f>IFERROR(O2250/N2250,0)</f>
        <v/>
      </c>
      <c r="T2250" t="n">
        <v>0</v>
      </c>
      <c r="V2250" t="n">
        <v>0</v>
      </c>
    </row>
    <row r="2251">
      <c r="A2251">
        <f>Skills!A20</f>
        <v/>
      </c>
      <c r="B2251">
        <f>Skills!B20</f>
        <v/>
      </c>
      <c r="C2251">
        <f>Inputs!$B$3&gt;=72</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Skills!G20*IF(Skills!H20&gt;0,INT(IF(Inputs!$B$38="pvp",MIN(Skills!I20,15),Skills!I20)/Skills!H20+0.000000001),1)</f>
        <v/>
      </c>
      <c r="H2251">
        <f>1-(1-Skills!J20/100)^Skills!K20</f>
        <v/>
      </c>
      <c r="I2251" t="inlineStr">
        <is>
          <t>1</t>
        </is>
      </c>
      <c r="J2251" t="inlineStr"/>
      <c r="K2251" t="inlineStr"/>
      <c r="L2251" t="inlineStr"/>
      <c r="M2251" t="inlineStr"/>
      <c r="N2251" t="inlineStr"/>
      <c r="O2251">
        <f>(1-Summary!$B$11)*T2251+Summary!$B$11*V2251</f>
        <v/>
      </c>
      <c r="P2251">
        <f>IF(B2276=0,0,O2251/B2276)</f>
        <v/>
      </c>
      <c r="Q2251" t="n">
        <v>0</v>
      </c>
      <c r="R2251" t="n">
        <v>0</v>
      </c>
      <c r="S2251">
        <f>IFERROR(O2251/N2251,0)</f>
        <v/>
      </c>
      <c r="T2251" t="n">
        <v>0</v>
      </c>
      <c r="V2251" t="n">
        <v>0</v>
      </c>
    </row>
    <row r="2252">
      <c r="A2252">
        <f>Skills!A21</f>
        <v/>
      </c>
      <c r="B2252">
        <f>Skills!B21</f>
        <v/>
      </c>
      <c r="C2252">
        <f>TRUE</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Skills!G21*IF(Skills!H21&gt;0,INT(IF(Inputs!$B$38="pvp",MIN(Skills!I21,15),Skills!I21)/Skills!H21+0.000000001),1)</f>
        <v/>
      </c>
      <c r="H2252">
        <f>1-(1-Skills!J21/100)^Skills!K21</f>
        <v/>
      </c>
      <c r="I2252" t="inlineStr">
        <is>
          <t>1</t>
        </is>
      </c>
      <c r="J2252" t="inlineStr"/>
      <c r="K2252" t="inlineStr"/>
      <c r="L2252" t="inlineStr"/>
      <c r="M2252" t="inlineStr"/>
      <c r="N2252" t="inlineStr"/>
      <c r="O2252">
        <f>(1-Summary!$B$11)*T2252+Summary!$B$11*V2252</f>
        <v/>
      </c>
      <c r="P2252">
        <f>IF(B2276=0,0,O2252/B2276)</f>
        <v/>
      </c>
      <c r="Q2252">
        <f>IFERROR(1/(IF(Inputs!$B$38="pvp",15,MAX(0.1,Skills!D21-IF(TRUE=TRUE,Inputs!$B$32,0)))*(1-IF(AND(ArtifactsInput!$M$27,Inputs!$B$4="Chapter Hunt"),CHOOSE(ArtifactsInput!$N$27+1,20,24,28,32,36,40),0)/100)),0)</f>
        <v/>
      </c>
      <c r="R2252">
        <f>IF(AND(Inputs!$B$38&lt;&gt;"pvp",Inputs!$B$43&gt;0),IF(Inputs!$B$43&lt;=0,0,(INT(Inputs!$B$43/(IF(Inputs!$B$38="pvp",15,MAX(0.1,Skills!D21-IF(TRUE=TRUE,Inputs!$B$32,0)))*(1-IF(AND(ArtifactsInput!$M$27,Inputs!$B$4="Chapter Hunt"),CHOOSE(ArtifactsInput!$N$27+1,20,24,28,32,36,40),0)/100)))+1)),0)</f>
        <v/>
      </c>
      <c r="S2252">
        <f>IFERROR(O2252/N2252,0)</f>
        <v/>
      </c>
      <c r="T2252" t="n">
        <v>0</v>
      </c>
      <c r="V2252" t="n">
        <v>0</v>
      </c>
    </row>
    <row r="2253">
      <c r="A2253">
        <f>Skills!A22</f>
        <v/>
      </c>
      <c r="B2253">
        <f>Skills!B22</f>
        <v/>
      </c>
      <c r="C2253">
        <f>Inputs!$B$3&gt;=15</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Skills!G22*IF(Skills!H22&gt;0,INT(IF(Inputs!$B$38="pvp",MIN(Skills!I22,15),Skills!I22)/Skills!H22+0.000000001),1)</f>
        <v/>
      </c>
      <c r="H2253">
        <f>1-(1-Skills!J22/100)^Skills!K22</f>
        <v/>
      </c>
      <c r="I2253" t="inlineStr">
        <is>
          <t>1</t>
        </is>
      </c>
      <c r="J2253" t="inlineStr"/>
      <c r="K2253" t="inlineStr"/>
      <c r="L2253" t="inlineStr"/>
      <c r="M2253" t="inlineStr"/>
      <c r="N2253" t="inlineStr"/>
      <c r="O2253">
        <f>(1-Summary!$B$11)*T2253+Summary!$B$11*V2253</f>
        <v/>
      </c>
      <c r="P2253">
        <f>IF(B2276=0,0,O2253/B2276)</f>
        <v/>
      </c>
      <c r="Q2253" t="n">
        <v>0</v>
      </c>
      <c r="R2253" t="n">
        <v>0</v>
      </c>
      <c r="S2253">
        <f>IFERROR(O2253/N2253,0)</f>
        <v/>
      </c>
      <c r="T2253" t="n">
        <v>0</v>
      </c>
      <c r="V2253" t="n">
        <v>0</v>
      </c>
    </row>
    <row r="2254">
      <c r="A2254">
        <f>Skills!A23</f>
        <v/>
      </c>
      <c r="B2254">
        <f>Skills!B23</f>
        <v/>
      </c>
      <c r="C2254">
        <f>Inputs!$B$3&gt;=10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Skills!G23*IF(Skills!H23&gt;0,INT(IF(Inputs!$B$38="pvp",MIN(Skills!I23,15),Skills!I23)/Skills!H23+0.000000001),1)</f>
        <v/>
      </c>
      <c r="H2254">
        <f>1-(1-Skills!J23/100)^Skills!K23</f>
        <v/>
      </c>
      <c r="I2254" t="inlineStr">
        <is>
          <t>1</t>
        </is>
      </c>
      <c r="J2254" t="inlineStr"/>
      <c r="K2254" t="inlineStr"/>
      <c r="L2254" t="inlineStr"/>
      <c r="M2254" t="inlineStr"/>
      <c r="N2254" t="inlineStr"/>
      <c r="O2254">
        <f>(1-Summary!$B$11)*T2254+Summary!$B$11*V2254</f>
        <v/>
      </c>
      <c r="P2254">
        <f>IF(B2276=0,0,O2254/B2276)</f>
        <v/>
      </c>
      <c r="Q2254" t="n">
        <v>0</v>
      </c>
      <c r="R2254" t="n">
        <v>0</v>
      </c>
      <c r="S2254">
        <f>IFERROR(O2254/N2254,0)</f>
        <v/>
      </c>
      <c r="T2254" t="n">
        <v>0</v>
      </c>
      <c r="V2254" t="n">
        <v>0</v>
      </c>
    </row>
    <row r="2255">
      <c r="A2255">
        <f>Skills!A24</f>
        <v/>
      </c>
      <c r="B2255">
        <f>Skills!B24</f>
        <v/>
      </c>
      <c r="C2255">
        <f>Inputs!$B$3&gt;=33</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Skills!G24*IF(Skills!H24&gt;0,INT(IF(Inputs!$B$38="pvp",MIN(Skills!I24,15),Skills!I24)/Skills!H24+0.000000001),1)</f>
        <v/>
      </c>
      <c r="H2255">
        <f>1-(1-Skills!J24/100)^Skills!K24</f>
        <v/>
      </c>
      <c r="I2255" t="inlineStr">
        <is>
          <t>1</t>
        </is>
      </c>
      <c r="J2255" t="inlineStr"/>
      <c r="K2255" t="inlineStr"/>
      <c r="L2255" t="inlineStr"/>
      <c r="M2255" t="inlineStr"/>
      <c r="N2255" t="inlineStr"/>
      <c r="O2255">
        <f>(1-Summary!$B$11)*T2255+Summary!$B$11*V2255</f>
        <v/>
      </c>
      <c r="P2255">
        <f>IF(B2276=0,0,O2255/B2276)</f>
        <v/>
      </c>
      <c r="Q2255" t="n">
        <v>0</v>
      </c>
      <c r="R2255" t="n">
        <v>0</v>
      </c>
      <c r="S2255">
        <f>IFERROR(O2255/N2255,0)</f>
        <v/>
      </c>
      <c r="T2255" t="n">
        <v>0</v>
      </c>
      <c r="V2255" t="n">
        <v>0</v>
      </c>
    </row>
    <row r="2256">
      <c r="A2256">
        <f>Skills!A25</f>
        <v/>
      </c>
      <c r="B2256">
        <f>Skills!B25</f>
        <v/>
      </c>
      <c r="C2256">
        <f>Inputs!$B$3&gt;=38</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Skills!G25*IF(Skills!H25&gt;0,INT(IF(Inputs!$B$38="pvp",MIN(Skills!I25,15),Skills!I25)/Skills!H25+0.000000001),1)</f>
        <v/>
      </c>
      <c r="H2256">
        <f>1-(1-Skills!J25/100)^Skills!K25</f>
        <v/>
      </c>
      <c r="I2256" t="inlineStr">
        <is>
          <t>1</t>
        </is>
      </c>
      <c r="J2256" t="inlineStr"/>
      <c r="K2256" t="inlineStr"/>
      <c r="L2256" t="inlineStr"/>
      <c r="M2256" t="inlineStr"/>
      <c r="N2256" t="inlineStr"/>
      <c r="O2256">
        <f>(1-Summary!$B$11)*T2256+Summary!$B$11*V2256</f>
        <v/>
      </c>
      <c r="P2256">
        <f>IF(B2276=0,0,O2256/B2276)</f>
        <v/>
      </c>
      <c r="Q2256" t="n">
        <v>0</v>
      </c>
      <c r="R2256" t="n">
        <v>0</v>
      </c>
      <c r="S2256">
        <f>IFERROR(O2256/N2256,0)</f>
        <v/>
      </c>
      <c r="T2256" t="n">
        <v>0</v>
      </c>
      <c r="V2256" t="n">
        <v>0</v>
      </c>
    </row>
    <row r="2257">
      <c r="A2257">
        <f>Skills!A26</f>
        <v/>
      </c>
      <c r="B2257">
        <f>Skills!B26</f>
        <v/>
      </c>
      <c r="C2257">
        <f>Inputs!$B$3&gt;=43</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Skills!G26*IF(Skills!H26&gt;0,INT(IF(Inputs!$B$38="pvp",MIN(Skills!I26,15),Skills!I26)/Skills!H26+0.000000001),1)</f>
        <v/>
      </c>
      <c r="H2257">
        <f>1-(1-Skills!J26/100)^Skills!K26</f>
        <v/>
      </c>
      <c r="I2257" t="inlineStr">
        <is>
          <t>1</t>
        </is>
      </c>
      <c r="J2257" t="inlineStr"/>
      <c r="K2257" t="inlineStr"/>
      <c r="L2257" t="inlineStr"/>
      <c r="M2257" t="inlineStr"/>
      <c r="N2257" t="inlineStr"/>
      <c r="O2257">
        <f>(1-Summary!$B$11)*T2257+Summary!$B$11*V2257</f>
        <v/>
      </c>
      <c r="P2257">
        <f>IF(B2276=0,0,O2257/B2276)</f>
        <v/>
      </c>
      <c r="Q2257" t="n">
        <v>0</v>
      </c>
      <c r="R2257" t="n">
        <v>0</v>
      </c>
      <c r="S2257">
        <f>IFERROR(O2257/N2257,0)</f>
        <v/>
      </c>
      <c r="T2257" t="n">
        <v>0</v>
      </c>
      <c r="V2257" t="n">
        <v>0</v>
      </c>
    </row>
    <row r="2258">
      <c r="A2258">
        <f>Skills!A27</f>
        <v/>
      </c>
      <c r="B2258">
        <f>Skills!B27</f>
        <v/>
      </c>
      <c r="C2258">
        <f>Inputs!$B$3&gt;=75</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Skills!G27*IF(Skills!H27&gt;0,INT(IF(Inputs!$B$38="pvp",MIN(Skills!I27,15),Skills!I27)/Skills!H27+0.000000001),1)</f>
        <v/>
      </c>
      <c r="H2258">
        <f>1-(1-Skills!J27/100)^Skills!K27</f>
        <v/>
      </c>
      <c r="I2258" t="inlineStr">
        <is>
          <t>1</t>
        </is>
      </c>
      <c r="J2258" t="inlineStr"/>
      <c r="K2258" t="inlineStr"/>
      <c r="L2258" t="inlineStr"/>
      <c r="M2258" t="inlineStr"/>
      <c r="N2258" t="inlineStr"/>
      <c r="O2258">
        <f>(1-Summary!$B$11)*T2258+Summary!$B$11*V2258</f>
        <v/>
      </c>
      <c r="P2258">
        <f>IF(B2276=0,0,O2258/B2276)</f>
        <v/>
      </c>
      <c r="Q2258" t="n">
        <v>0</v>
      </c>
      <c r="R2258" t="n">
        <v>0</v>
      </c>
      <c r="S2258">
        <f>IFERROR(O2258/N2258,0)</f>
        <v/>
      </c>
      <c r="T2258" t="n">
        <v>0</v>
      </c>
      <c r="V2258" t="n">
        <v>0</v>
      </c>
    </row>
    <row r="2259">
      <c r="A2259">
        <f>Skills!A28</f>
        <v/>
      </c>
      <c r="B2259">
        <f>Skills!B28</f>
        <v/>
      </c>
      <c r="C2259">
        <f>Inputs!$B$3&gt;=125</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Skills!G28*IF(Skills!H28&gt;0,INT(IF(Inputs!$B$38="pvp",MIN(Skills!I28,15),Skills!I28)/Skills!H28+0.000000001),1)</f>
        <v/>
      </c>
      <c r="H2259">
        <f>1-(1-Skills!J28/100)^Skills!K28</f>
        <v/>
      </c>
      <c r="I2259" t="inlineStr">
        <is>
          <t>1</t>
        </is>
      </c>
      <c r="J2259" t="inlineStr"/>
      <c r="K2259" t="inlineStr"/>
      <c r="L2259" t="inlineStr"/>
      <c r="M2259" t="inlineStr"/>
      <c r="N2259" t="inlineStr"/>
      <c r="O2259">
        <f>(1-Summary!$B$11)*T2259+Summary!$B$11*V2259</f>
        <v/>
      </c>
      <c r="P2259">
        <f>IF(B2276=0,0,O2259/B2276)</f>
        <v/>
      </c>
      <c r="Q2259" t="n">
        <v>0</v>
      </c>
      <c r="R2259" t="n">
        <v>0</v>
      </c>
      <c r="S2259">
        <f>IFERROR(O2259/N2259,0)</f>
        <v/>
      </c>
      <c r="T2259" t="n">
        <v>0</v>
      </c>
      <c r="V2259" t="n">
        <v>0</v>
      </c>
    </row>
    <row r="2260">
      <c r="A2260">
        <f>Skills!A29</f>
        <v/>
      </c>
      <c r="B2260">
        <f>Skills!B29</f>
        <v/>
      </c>
      <c r="C2260">
        <f>Inputs!$B$3&gt;=125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Skills!G29*IF(Skills!H29&gt;0,INT(IF(Inputs!$B$38="pvp",MIN(Skills!I29,15),Skills!I29)/Skills!H29+0.000000001),1)</f>
        <v/>
      </c>
      <c r="H2260">
        <f>1-(1-Skills!J29/100)^Skills!K29</f>
        <v/>
      </c>
      <c r="I2260" t="inlineStr">
        <is>
          <t>1</t>
        </is>
      </c>
      <c r="J2260" t="inlineStr"/>
      <c r="K2260" t="inlineStr"/>
      <c r="L2260" t="inlineStr"/>
      <c r="M2260" t="inlineStr"/>
      <c r="N2260" t="inlineStr"/>
      <c r="O2260">
        <f>(1-Summary!$B$11)*T2260+Summary!$B$11*V2260</f>
        <v/>
      </c>
      <c r="P2260">
        <f>IF(B2276=0,0,O2260/B2276)</f>
        <v/>
      </c>
      <c r="Q2260" t="n">
        <v>0</v>
      </c>
      <c r="R2260" t="n">
        <v>0</v>
      </c>
      <c r="S2260">
        <f>IFERROR(O2260/N2260,0)</f>
        <v/>
      </c>
      <c r="T2260" t="n">
        <v>0</v>
      </c>
      <c r="V2260" t="n">
        <v>0</v>
      </c>
    </row>
    <row r="2261">
      <c r="A2261">
        <f>Skills!A30</f>
        <v/>
      </c>
      <c r="B2261">
        <f>Skills!B30</f>
        <v/>
      </c>
      <c r="C2261">
        <f>Inputs!$B$3&gt;=120</f>
        <v/>
      </c>
      <c r="D2261">
        <f>IF(Skills!C30=1,60+Inputs!$B$25+Inputs!$B$29,IF(Skills!C30=2,90+Inputs!$B$26+Inputs!$B$29,IF(Skills!C30=3,120+Inputs!$B$27+Inputs!$B$29,MAX(0,(Inputs!$B$3-100)*3)+Inputs!$B$28+Inputs!$B$29)))</f>
        <v/>
      </c>
      <c r="E2261">
        <f>INDEX(FactorTable!$B$2:$Y$301, MATCH(ROUND(MIN(300,MAX(1,D2261)),0), FactorTable!$A$2:$A$301,0), Skills!M30+1)</f>
        <v/>
      </c>
      <c r="F2261">
        <f>IF(Skills!N30=TRUE,(Skills!L30/10)*(E2261/1000),Skills!L30/10)+Skills!O30</f>
        <v/>
      </c>
      <c r="G2261">
        <f>Skills!G30*IF(Skills!H30&gt;0,INT(IF(Inputs!$B$38="pvp",MIN(Skills!I30,15),Skills!I30)/Skills!H30+0.000000001),1)</f>
        <v/>
      </c>
      <c r="H2261">
        <f>1-(1-Skills!J30/100)^Skills!K30</f>
        <v/>
      </c>
      <c r="I2261" t="inlineStr">
        <is>
          <t>1</t>
        </is>
      </c>
      <c r="J2261" t="inlineStr"/>
      <c r="K2261" t="inlineStr"/>
      <c r="L2261" t="inlineStr"/>
      <c r="M2261" t="inlineStr"/>
      <c r="N2261" t="inlineStr"/>
      <c r="O2261">
        <f>(1-Summary!$B$11)*T2261+Summary!$B$11*V2261</f>
        <v/>
      </c>
      <c r="P2261">
        <f>IF(B2276=0,0,O2261/B2276)</f>
        <v/>
      </c>
      <c r="Q2261" t="n">
        <v>0</v>
      </c>
      <c r="R2261" t="n">
        <v>0</v>
      </c>
      <c r="S2261">
        <f>IFERROR(O2261/N2261,0)</f>
        <v/>
      </c>
      <c r="T2261" t="n">
        <v>0</v>
      </c>
      <c r="V2261" t="n">
        <v>0</v>
      </c>
    </row>
    <row r="2262">
      <c r="A2262">
        <f>Skills!A31</f>
        <v/>
      </c>
      <c r="B2262">
        <f>Skills!B31</f>
        <v/>
      </c>
      <c r="C2262">
        <f>Inputs!$B$3&gt;=120</f>
        <v/>
      </c>
      <c r="D2262">
        <f>IF(Skills!C31=1,60+Inputs!$B$25+Inputs!$B$29,IF(Skills!C31=2,90+Inputs!$B$26+Inputs!$B$29,IF(Skills!C31=3,120+Inputs!$B$27+Inputs!$B$29,MAX(0,(Inputs!$B$3-100)*3)+Inputs!$B$28+Inputs!$B$29)))</f>
        <v/>
      </c>
      <c r="E2262">
        <f>INDEX(FactorTable!$B$2:$Y$301, MATCH(ROUND(MIN(300,MAX(1,D2262)),0), FactorTable!$A$2:$A$301,0), Skills!M31+1)</f>
        <v/>
      </c>
      <c r="F2262">
        <f>IF(Skills!N31=TRUE,(Skills!L31/10)*(E2262/1000),Skills!L31/10)+Skills!O31</f>
        <v/>
      </c>
      <c r="G2262">
        <f>Skills!G31*IF(Skills!H31&gt;0,INT(IF(Inputs!$B$38="pvp",MIN(Skills!I31,15),Skills!I31)/Skills!H31+0.000000001),1)</f>
        <v/>
      </c>
      <c r="H2262">
        <f>1-(1-Skills!J31/100)^Skills!K31</f>
        <v/>
      </c>
      <c r="I2262" t="inlineStr">
        <is>
          <t>1</t>
        </is>
      </c>
      <c r="J2262" t="inlineStr"/>
      <c r="K2262" t="inlineStr"/>
      <c r="L2262" t="inlineStr"/>
      <c r="M2262" t="inlineStr"/>
      <c r="N2262" t="inlineStr"/>
      <c r="O2262">
        <f>(1-Summary!$B$11)*T2262+Summary!$B$11*V2262</f>
        <v/>
      </c>
      <c r="P2262">
        <f>IF(B2276=0,0,O2262/B2276)</f>
        <v/>
      </c>
      <c r="Q2262" t="n">
        <v>0</v>
      </c>
      <c r="R2262" t="n">
        <v>0</v>
      </c>
      <c r="S2262">
        <f>IFERROR(O2262/N2262,0)</f>
        <v/>
      </c>
      <c r="T2262" t="n">
        <v>0</v>
      </c>
      <c r="V2262" t="n">
        <v>0</v>
      </c>
    </row>
    <row r="2263">
      <c r="A2263">
        <f>Skills!A32</f>
        <v/>
      </c>
      <c r="B2263">
        <f>Skills!B32</f>
        <v/>
      </c>
      <c r="C2263">
        <f>Inputs!$B$3&gt;=45</f>
        <v/>
      </c>
      <c r="D2263">
        <f>IF(Skills!C32=1,60+Inputs!$B$25+Inputs!$B$29,IF(Skills!C32=2,90+Inputs!$B$26+Inputs!$B$29,IF(Skills!C32=3,120+Inputs!$B$27+Inputs!$B$29,MAX(0,(Inputs!$B$3-100)*3)+Inputs!$B$28+Inputs!$B$29)))</f>
        <v/>
      </c>
      <c r="E2263">
        <f>INDEX(FactorTable!$B$2:$Y$301, MATCH(ROUND(MIN(300,MAX(1,D2263)),0), FactorTable!$A$2:$A$301,0), Skills!M32+1)</f>
        <v/>
      </c>
      <c r="F2263">
        <f>IF(Skills!N32=TRUE,(Skills!L32/10)*(E2263/1000),Skills!L32/10)+Skills!O32</f>
        <v/>
      </c>
      <c r="G2263">
        <f>Skills!G32*IF(Skills!H32&gt;0,INT(IF(Inputs!$B$38="pvp",MIN(Skills!I32,15),Skills!I32)/Skills!H32+0.000000001),1)</f>
        <v/>
      </c>
      <c r="H2263">
        <f>1-(1-Skills!J32/100)^Skills!K32</f>
        <v/>
      </c>
      <c r="I2263" t="inlineStr">
        <is>
          <t>1</t>
        </is>
      </c>
      <c r="J2263" t="inlineStr"/>
      <c r="K2263" t="inlineStr"/>
      <c r="L2263" t="inlineStr"/>
      <c r="M2263" t="inlineStr"/>
      <c r="N2263" t="inlineStr"/>
      <c r="O2263">
        <f>(1-Summary!$B$11)*T2263+Summary!$B$11*V2263</f>
        <v/>
      </c>
      <c r="P2263">
        <f>IF(B2276=0,0,O2263/B2276)</f>
        <v/>
      </c>
      <c r="Q2263" t="n">
        <v>0</v>
      </c>
      <c r="R2263" t="n">
        <v>0</v>
      </c>
      <c r="S2263">
        <f>IFERROR(O2263/N2263,0)</f>
        <v/>
      </c>
      <c r="T2263" t="n">
        <v>0</v>
      </c>
      <c r="V2263" t="n">
        <v>0</v>
      </c>
    </row>
    <row r="2265">
      <c r="A2265" t="inlineStr">
        <is>
          <t>Attack% Bucket Multiplier</t>
        </is>
      </c>
      <c r="B2265">
        <f>(1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6">
      <c r="A2266" t="inlineStr">
        <is>
          <t>Global Crit Rate Bonus %</t>
        </is>
      </c>
      <c r="B2266" t="n">
        <v>0</v>
      </c>
    </row>
    <row r="2267">
      <c r="A2267" t="inlineStr">
        <is>
          <t>Attack Speed Buff Bonus %</t>
        </is>
      </c>
      <c r="B2267">
        <f>((C2252=TRUE)*F2252*IF(AND(Inputs!$B$38&lt;&gt;"pvp",Inputs!$B$43&gt;0),(((R2252-1)*MIN((Skills!T21*(1+Inputs!$B$34/100)),(1/Q2252))+MIN((Skills!T21*(1+Inputs!$B$34/100)),MAX(0,Inputs!$B$43-((R2252-1)*(1/Q2252)))))/Inputs!$B$43),IF(Inputs!$B$38="pvp",MIN((Skills!T21*(1+Inputs!$B$34/100)),15)/15,MIN(1,(Skills!T21*(1+Inputs!$B$34/100))/(1/Q2252)))))</f>
        <v/>
      </c>
    </row>
    <row r="2268">
      <c r="A2268" t="inlineStr">
        <is>
          <t>Actions Per Second</t>
        </is>
      </c>
      <c r="B2268">
        <f>1+MIN(150,150*(1-(1-(Inputs!$B$11+((C2254=TRUE)*(F2254-Calc!F23))+((C2255=TRUE)*(F2255-Calc!F24)))/150)*(1-B2267/150)))/100</f>
        <v/>
      </c>
    </row>
    <row r="2269">
      <c r="A2269" t="inlineStr">
        <is>
          <t>Skill + Buff Cast Rate</t>
        </is>
      </c>
      <c r="B2269">
        <f>IF(AND(Inputs!$B$38&lt;&gt;"pvp",Inputs!$B$43&gt;0),SUMPRODUCT((Skills!E2:E32=TRUE)*(C2233:C2263=TRUE)*R2233:R2263*Skills!F2:F32)/Inputs!$B$43,SUMPRODUCT((Skills!E2:E32=TRUE)*(C2233:C2263=TRUE)*Q2233:Q2263*Skills!F2:F32))</f>
        <v/>
      </c>
    </row>
    <row r="2270">
      <c r="A2270" t="inlineStr">
        <is>
          <t>Arrow Stream Casts Per Second</t>
        </is>
      </c>
      <c r="B2270">
        <f>MAX(0,B2268-B2269)</f>
        <v/>
      </c>
    </row>
    <row r="2271">
      <c r="A2271" t="inlineStr">
        <is>
          <t>Global Critical Damage Bonus % (Sharp Eyes + Concentration)</t>
        </is>
      </c>
      <c r="B2271">
        <f>(C2249=TRUE)*F2249*IF(AND(Inputs!$B$38&lt;&gt;"pvp",Inputs!$B$43&gt;0),(((R2249-1)*MIN((Skills!T18*(1+Inputs!$B$34/100)),(1/Q2249))+MIN((Skills!T18*(1+Inputs!$B$34/100)),MAX(0,Inputs!$B$43-((R2249-1)*(1/Q2249)))))/Inputs!$B$43),IF(Inputs!$B$38="pvp",MIN((Skills!T18*(1+Inputs!$B$34/100)),15)/15,MIN(1,(Skills!T18*(1+Inputs!$B$34/100))/(1/Q2249))))+(C2250=TRUE)*7*F2250</f>
        <v/>
      </c>
    </row>
    <row r="2272">
      <c r="A2272" t="inlineStr">
        <is>
          <t>Global Final Damage Bonus % (Mortal Blow)</t>
        </is>
      </c>
      <c r="B2272">
        <f>(C2251=TRUE)*F2251</f>
        <v/>
      </c>
    </row>
    <row r="2273">
      <c r="A2273" t="inlineStr">
        <is>
          <t>Buff-Casting Startup Delay (s, fixed-duration only)</t>
        </is>
      </c>
      <c r="B2273">
        <f>IF(AND(Inputs!$B$38&lt;&gt;"pvp",Inputs!$B$43&gt;0),SUMPRODUCT((Skills!T2:T32&gt;0)*(Skills!E2:E32=TRUE)*(C2233:C2263=TRUE))/B2268,0)</f>
        <v/>
      </c>
    </row>
    <row r="2274">
      <c r="A2274" t="inlineStr">
        <is>
          <t>Boss-Only Total DPS (this block's swept value)</t>
        </is>
      </c>
      <c r="B2274">
        <f>SUM(T2233:T2263)</f>
        <v/>
      </c>
    </row>
    <row r="2275">
      <c r="A2275" t="inlineStr">
        <is>
          <t>Normal-Only Total DPS (this block's swept value)</t>
        </is>
      </c>
      <c r="B2275">
        <f>SUM(V2233:V2263)</f>
        <v/>
      </c>
    </row>
    <row r="2276">
      <c r="A2276" s="6" t="inlineStr">
        <is>
          <t>TOTAL DPS</t>
        </is>
      </c>
      <c r="B2276" s="6">
        <f>SUM(O2233:O2263)</f>
        <v/>
      </c>
    </row>
    <row r="2279">
      <c r="A2279" s="6" t="inlineStr">
        <is>
          <t>Stat: Soul Contract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Skills!G2*IF(Skills!H2&gt;0,INT(IF(Inputs!$B$38="pvp",MIN(Skills!I2,15),Skills!I2)/Skills!H2+0.000000001),1)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2305=TRUE)*(F2305-Calc!F26)),(Inputs!$B$23+((C2310=TRUE)*(F2310-Calc!F31))+(IF(ArtifactsInput!$M$15,CHOOSE(ArtifactsInput!$N$15+1,25,30,35,40,45,50)/100*(Inputs!$B$11-Inputs!$B$11),0))))/100+(Inputs!$B$23+((C2310=TRUE)*(F2310-Calc!F31))+(IF(ArtifactsInput!$M$15,CHOOSE(ArtifactsInput!$N$15+1,25,30,35,40,45,50)/100*(Inputs!$B$11-Inputs!$B$11),0)))/100)/2</f>
        <v/>
      </c>
      <c r="M2281">
        <f>L2281*(1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IF(B2324=0,0,O2281/B2324)</f>
        <v/>
      </c>
      <c r="Q2281" t="n">
        <v>0</v>
      </c>
      <c r="R2281" t="n">
        <v>0</v>
      </c>
      <c r="S2281">
        <f>IFERROR(O2281/N2281,0)</f>
        <v/>
      </c>
      <c r="T2281">
        <f>IF(C2281,(Skills!G2*N2281*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Inputs!$B$3&gt;=50</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f>Skills!G3*IF(Skills!H3&gt;0,INT(IF(Inputs!$B$38="pvp",MIN(Skills!I3,15),Skills!I3)/Skills!H3+0.000000001),1)</f>
        <v/>
      </c>
      <c r="H2282">
        <f>1-(1-Skills!J3/100)^Skills!K3</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2283=TRUE,F2283,0)/100)*(1+(IF(Skills!A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26)),(Inputs!$B$23+((C2310=TRUE)*(F2310-Calc!F31))+(IF(ArtifactsInput!$M$15,CHOOSE(ArtifactsInput!$N$15+1,25,30,35,40,45,50)/100*(Inputs!$B$11-Inputs!$B$11),0))))/100+(Inputs!$B$23+((C2310=TRUE)*(F2310-Calc!F31))+(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f>IFERROR(1/(IF(Inputs!$B$38="pvp",15,MAX(0.1,1/B2316-IF(FALSE=TRUE,Inputs!$B$32,0)))*(1-IF(AND(IF(ArtifactsInput!$M$27,FALSE,TRUE),Inputs!$B$4="Chapter Hunt"),CHOOSE(ArtifactsInput!$N$27+1,20,24,28,32,36,40),0)/100)),0)</f>
        <v/>
      </c>
      <c r="R2282">
        <f>IF(AND(Inputs!$B$38&lt;&gt;"pvp",Inputs!$B$43&gt;0),IF(MAX(0,Inputs!$B$43-B2321)&lt;=0,0,(INT(MAX(0,Inputs!$B$43-B2321)/(IF(Inputs!$B$38="pvp",15,MAX(0.1,1/B2316-IF(FALSE=TRUE,Inputs!$B$32,0)))*(1-IF(AND(IF(ArtifactsInput!$M$27,FALSE,TRUE),Inputs!$B$4="Chapter Hunt"),CHOOSE(ArtifactsInput!$N$27+1,20,24,28,32,36,40),0)/100)))+1)),0)</f>
        <v/>
      </c>
      <c r="S2282">
        <f>IFERROR(O2282/N2282,0)</f>
        <v/>
      </c>
      <c r="T2282">
        <f>IF(C2282,(H2282*N2282*IF(AND(Inputs!$B$38&lt;&gt;"pvp",Inputs!$B$43&gt;0),((Skills!G3*((R2282-1)*IF(Skills!H3&gt;0,INT(Skills!I3/Skills!H3+0.000000001),1)+IF(Skills!H3&gt;0,INT(MIN(Skills!I3,MAX(0,MAX(0,Inputs!$B$43-B2321)-((R2282-1)*(IF(Inputs!$B$38="pvp",15,MAX(0.1,1/B2316-IF(FALSE=TRUE,Inputs!$B$32,0)))*(1-IF(AND(IF(ArtifactsInput!$M$27,FALSE,TRUE),Inputs!$B$4="Chapter Hunt"),CHOOSE(ArtifactsInput!$N$27+1,20,24,28,32,36,40),0)/100)))))/Skills!H3+0.000000001),1)))/Inputs!$B$43),G2282*Q2282)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INDEX(FactorTable!$B$2:$Y$301, MATCH(ROUND(MIN(300,MAX(1,U2281)),0), FactorTable!$A$2:$A$301,0), 22)</f>
        <v/>
      </c>
      <c r="V2282">
        <f>IF(C2282,(H2282*N2282*IF(AND(Inputs!$B$38&lt;&gt;"pvp",Inputs!$B$43&gt;0),((Skills!G3*((R2282-1)*IF(Skills!H3&gt;0,INT(Skills!I3/Skills!H3+0.000000001),1)+IF(Skills!H3&gt;0,INT(MIN(Skills!I3,MAX(0,MAX(0,Inputs!$B$43-B2321)-((R2282-1)*(IF(Inputs!$B$38="pvp",15,MAX(0.1,1/B2316-IF(FALSE=TRUE,Inputs!$B$32,0)))*(1-IF(AND(IF(ArtifactsInput!$M$27,FALSE,TRUE),Inputs!$B$4="Chapter Hunt"),CHOOSE(ArtifactsInput!$N$27+1,20,24,28,32,36,40),0)/100)))))/Skills!H3+0.000000001),1)))/Inputs!$B$43),G2282*Q2282))*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Skills!A4</f>
        <v/>
      </c>
      <c r="B2283">
        <f>Skills!B4</f>
        <v/>
      </c>
      <c r="C2283">
        <f>Inputs!$B$3&gt;=105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t="inlineStr"/>
      <c r="H2283" t="inlineStr"/>
      <c r="I2283" t="inlineStr">
        <is>
          <t>1</t>
        </is>
      </c>
      <c r="J2283" t="inlineStr"/>
      <c r="K2283" t="inlineStr"/>
      <c r="L2283" t="inlineStr"/>
      <c r="M2283" t="inlineStr"/>
      <c r="N2283" t="inlineStr"/>
      <c r="O2283" t="inlineStr"/>
      <c r="P2283" t="inlineStr"/>
      <c r="Q2283" t="inlineStr"/>
      <c r="R2283" t="inlineStr"/>
      <c r="S2283" t="inlineStr"/>
      <c r="T2283" t="inlineStr"/>
      <c r="U2283">
        <f>290*U2282/1000</f>
        <v/>
      </c>
      <c r="V2283" t="inlineStr"/>
    </row>
    <row r="2284">
      <c r="A2284">
        <f>Skills!A5</f>
        <v/>
      </c>
      <c r="B2284">
        <f>Skills!B5</f>
        <v/>
      </c>
      <c r="C2284">
        <f>Inputs!$B$3&gt;=35</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Skills!G5*IF(Skills!H5&gt;0,INT(IF(Inputs!$B$38="pvp",MIN(Skills!I5,15),Skills!I5)/Skills!H5+0.000000001),1)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2305=TRUE)*(F2305-Calc!F26)),(Inputs!$B$23+((C2310=TRUE)*(F2310-Calc!F31))+(IF(ArtifactsInput!$M$15,CHOOSE(ArtifactsInput!$N$15+1,25,30,35,40,45,50)/100*(Inputs!$B$11-Inputs!$B$11),0))))/100+(Inputs!$B$23+((C2310=TRUE)*(F2310-Calc!F31))+(IF(ArtifactsInput!$M$15,CHOOSE(ArtifactsInput!$N$15+1,25,30,35,40,45,50)/100*(Inputs!$B$11-Inputs!$B$11),0)))/100)/2</f>
        <v/>
      </c>
      <c r="M2284">
        <f>L2284*(1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IF(B2324=0,0,O2284/B2324)</f>
        <v/>
      </c>
      <c r="Q2284">
        <f>IFERROR(1/(IF(Inputs!$B$38="pvp",15,MAX(0.1,Skills!D5-IF(TRUE=TRUE,Inputs!$B$32,0)))*(1-IF(AND(IF(ArtifactsInput!$M$27,FALSE,TRUE),Inputs!$B$4="Chapter Hunt"),CHOOSE(ArtifactsInput!$N$27+1,20,24,28,32,36,40),0)/100)),0)</f>
        <v/>
      </c>
      <c r="R2284">
        <f>IF(AND(Inputs!$B$38&lt;&gt;"pvp",Inputs!$B$43&gt;0),IF(MAX(0,Inputs!$B$43-B2321)&lt;=0,0,(INT(MAX(0,Inputs!$B$43-B2321)/(IF(Inputs!$B$38="pvp",15,MAX(0.1,Skills!D5-IF(TRUE=TRUE,Inputs!$B$32,0)))*(1-IF(AND(IF(ArtifactsInput!$M$27,FALSE,TRUE),Inputs!$B$4="Chapter Hunt"),CHOOSE(ArtifactsInput!$N$27+1,20,24,28,32,36,40),0)/100)))+1)),0)</f>
        <v/>
      </c>
      <c r="S2284">
        <f>IFERROR(O2284/N2284,0)</f>
        <v/>
      </c>
      <c r="T2284">
        <f>IF(C2284,(H2284*N2284*IF(AND(Inputs!$B$38&lt;&gt;"pvp",Inputs!$B$43&gt;0),((Skills!G5*((R2284-1)*IF(Skills!H5&gt;0,INT(Skills!I5/Skills!H5+0.000000001),1)+IF(Skills!H5&gt;0,INT(MIN(Skills!I5,MAX(0,MAX(0,Inputs!$B$43-B2321)-((R2284-1)*(IF(Inputs!$B$38="pvp",15,MAX(0.1,Skills!D5-IF(TRUE=TRUE,Inputs!$B$32,0)))*(1-IF(AND(IF(ArtifactsInput!$M$27,FALSE,TRUE),Inputs!$B$4="Chapter Hunt"),CHOOSE(ArtifactsInput!$N$27+1,20,24,28,32,36,40),0)/100)))))/Skills!H5+0.000000001),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INT(Skills!I5/Skills!H5+0.000000001),1)+IF(Skills!H5&gt;0,INT(MIN(Skills!I5,MAX(0,MAX(0,Inputs!$B$43-B2321)-((R2284-1)*(IF(Inputs!$B$38="pvp",15,MAX(0.1,Skills!D5-IF(TRUE=TRUE,Inputs!$B$32,0)))*(1-IF(AND(IF(ArtifactsInput!$M$27,FALSE,TRUE),Inputs!$B$4="Chapter Hunt"),CHOOSE(ArtifactsInput!$N$27+1,20,24,28,32,36,40),0)/100)))))/Skills!H5+0.000000001),1)))/Inputs!$B$43),G2284*Q2284))*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Inputs!$B$3&gt;=40</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Skills!G6*IF(Skills!H6&gt;0,INT(IF(Inputs!$B$38="pvp",MIN(Skills!I6,15),Skills!I6)/Skills!H6+0.000000001),1)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2286=TRUE,F2286,0)/100)*(1+(IF(Skills!A6="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26)),(Inputs!$B$23+((C2310=TRUE)*(F2310-Calc!F31))+(IF(ArtifactsInput!$M$15,CHOOSE(ArtifactsInput!$N$15+1,25,30,35,40,45,50)/100*(Inputs!$B$11-Inputs!$B$11),0))))/100+(Inputs!$B$23+((C2310=TRUE)*(F2310-Calc!F31))+(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IFERROR(1/(IF(Inputs!$B$38="pvp",15,MAX(0.1,1-0.4*MIN(1,(B2316-1)/1.5)-IF(FALSE=TRUE,Inputs!$B$32,0)))*(1-IF(AND(IF(ArtifactsInput!$M$27,FALSE,TRUE),Inputs!$B$4="Chapter Hunt"),CHOOSE(ArtifactsInput!$N$27+1,20,24,28,32,36,40),0)/100)),0)</f>
        <v/>
      </c>
      <c r="R2285">
        <f>IF(AND(Inputs!$B$38&lt;&gt;"pvp",Inputs!$B$43&gt;0),IF(MAX(0,Inputs!$B$43-B2321)&lt;=0,0,(INT(MAX(0,Inputs!$B$43-B2321)/(IF(Inputs!$B$38="pvp",15,MAX(0.1,1-0.4*MIN(1,(B2316-1)/1.5)-IF(FALSE=TRUE,Inputs!$B$32,0)))*(1-IF(AND(IF(ArtifactsInput!$M$27,FALSE,TRUE),Inputs!$B$4="Chapter Hunt"),CHOOSE(ArtifactsInput!$N$27+1,20,24,28,32,36,40),0)/100)))+1)),0)</f>
        <v/>
      </c>
      <c r="S2285">
        <f>IFERROR(O2285/N2285,0)</f>
        <v/>
      </c>
      <c r="T2285">
        <f>IF(C2285,(H2285*N2285*IF(AND(Inputs!$B$38&lt;&gt;"pvp",Inputs!$B$43&gt;0),((Skills!G6*((R2285-1)*IF(Skills!H6&gt;0,INT(Skills!I6/Skills!H6+0.000000001),1)+IF(Skills!H6&gt;0,INT(MIN(Skills!I6,MAX(0,MAX(0,Inputs!$B$43-B2321)-((R2285-1)*(IF(Inputs!$B$38="pvp",15,MAX(0.1,1-0.4*MIN(1,(B2316-1)/1.5)-IF(FALSE=TRUE,Inputs!$B$32,0)))*(1-IF(AND(IF(ArtifactsInput!$M$27,FALSE,TRUE),Inputs!$B$4="Chapter Hunt"),CHOOSE(ArtifactsInput!$N$27+1,20,24,28,32,36,40),0)/100)))))/Skills!H6+0.000000001),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INT(Skills!I6/Skills!H6+0.000000001),1)+IF(Skills!H6&gt;0,INT(MIN(Skills!I6,MAX(0,MAX(0,Inputs!$B$43-B2321)-((R2285-1)*(IF(Inputs!$B$38="pvp",15,MAX(0.1,1-0.4*MIN(1,(B2316-1)/1.5)-IF(FALSE=TRUE,Inputs!$B$32,0)))*(1-IF(AND(IF(ArtifactsInput!$M$27,FALSE,TRUE),Inputs!$B$4="Chapter Hunt"),CHOOSE(ArtifactsInput!$N$27+1,20,24,28,32,36,40),0)/100)))))/Skills!H6+0.000000001),1)))/Inputs!$B$43),G2285*Q2285))*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Inputs!$B$3&gt;=107</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t="inlineStr"/>
      <c r="H2286" t="inlineStr"/>
      <c r="I2286" t="inlineStr">
        <is>
          <t>1</t>
        </is>
      </c>
      <c r="J2286" t="inlineStr"/>
      <c r="K2286" t="inlineStr"/>
      <c r="L2286" t="inlineStr"/>
      <c r="M2286" t="inlineStr"/>
      <c r="N2286" t="inlineStr"/>
      <c r="O2286" t="inlineStr"/>
      <c r="P2286" t="inlineStr"/>
      <c r="Q2286" t="inlineStr"/>
      <c r="R2286" t="inlineStr"/>
      <c r="S2286" t="inlineStr"/>
      <c r="T2286" t="inlineStr"/>
      <c r="V2286" t="inlineStr"/>
    </row>
    <row r="2287">
      <c r="A2287">
        <f>Skills!A8</f>
        <v/>
      </c>
      <c r="B2287">
        <f>Skills!B8</f>
        <v/>
      </c>
      <c r="C2287">
        <f>Inputs!$B$3&gt;=130</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Skills!G8*IF(Skills!H8&gt;0,INT(IF(Inputs!$B$38="pvp",MIN(Skills!I8,15),Skills!I8)/Skills!H8+0.000000001),1)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2305=TRUE)*(F2305-Calc!F26)),(Inputs!$B$23+((C2310=TRUE)*(F2310-Calc!F31))+(IF(ArtifactsInput!$M$15,CHOOSE(ArtifactsInput!$N$15+1,25,30,35,40,45,50)/100*(Inputs!$B$11-Inputs!$B$11),0))))/100+(Inputs!$B$23+((C2310=TRUE)*(F2310-Calc!F31))+(IF(ArtifactsInput!$M$15,CHOOSE(ArtifactsInput!$N$15+1,25,30,35,40,45,50)/100*(Inputs!$B$11-Inputs!$B$11),0)))/100)/2</f>
        <v/>
      </c>
      <c r="M2287">
        <f>L2287*(1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IF(B2324=0,0,O2287/B2324)</f>
        <v/>
      </c>
      <c r="Q2287">
        <f>IFERROR(1/(IF(Inputs!$B$38="pvp",15,MAX(0.1,1-0.4*MIN(1,(B2316-1)/1.5)-IF(FALSE=TRUE,Inputs!$B$32,0)))*(1-IF(AND(IF(ArtifactsInput!$M$27,FALSE,TRUE),Inputs!$B$4="Chapter Hunt"),CHOOSE(ArtifactsInput!$N$27+1,20,24,28,32,36,40),0)/100)),0)</f>
        <v/>
      </c>
      <c r="R2287">
        <f>IF(AND(Inputs!$B$38&lt;&gt;"pvp",Inputs!$B$43&gt;0),IF(MAX(0,Inputs!$B$43-B2321)&lt;=0,0,(INT(MAX(0,Inputs!$B$43-B2321)/(IF(Inputs!$B$38="pvp",15,MAX(0.1,1-0.4*MIN(1,(B2316-1)/1.5)-IF(FALSE=TRUE,Inputs!$B$32,0)))*(1-IF(AND(IF(ArtifactsInput!$M$27,FALSE,TRUE),Inputs!$B$4="Chapter Hunt"),CHOOSE(ArtifactsInput!$N$27+1,20,24,28,32,36,40),0)/100)))+1)),0)</f>
        <v/>
      </c>
      <c r="S2287">
        <f>IFERROR(O2287/N2287,0)</f>
        <v/>
      </c>
      <c r="T2287">
        <f>IF(C2287,(H2287*N2287*IF(AND(Inputs!$B$38&lt;&gt;"pvp",Inputs!$B$43&gt;0),((Skills!G8*((R2287-1)*IF(Skills!H8&gt;0,INT(Skills!I8/Skills!H8+0.000000001),1)+IF(Skills!H8&gt;0,INT(MIN(Skills!I8,MAX(0,MAX(0,Inputs!$B$43-B2321)-((R2287-1)*(IF(Inputs!$B$38="pvp",15,MAX(0.1,1-0.4*MIN(1,(B2316-1)/1.5)-IF(FALSE=TRUE,Inputs!$B$32,0)))*(1-IF(AND(IF(ArtifactsInput!$M$27,FALSE,TRUE),Inputs!$B$4="Chapter Hunt"),CHOOSE(ArtifactsInput!$N$27+1,20,24,28,32,36,40),0)/100)))))/Skills!H8+0.000000001),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INT(Skills!I8/Skills!H8+0.000000001),1)+IF(Skills!H8&gt;0,INT(MIN(Skills!I8,MAX(0,MAX(0,Inputs!$B$43-B2321)-((R2287-1)*(IF(Inputs!$B$38="pvp",15,MAX(0.1,1-0.4*MIN(1,(B2316-1)/1.5)-IF(FALSE=TRUE,Inputs!$B$32,0)))*(1-IF(AND(IF(ArtifactsInput!$M$27,FALSE,TRUE),Inputs!$B$4="Chapter Hunt"),CHOOSE(ArtifactsInput!$N$27+1,20,24,28,32,36,40),0)/100)))))/Skills!H8+0.000000001),1)))/Inputs!$B$43),G2287*Q2287))*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Inputs!$B$3&gt;=69</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Skills!G9*IF(Skills!H9&gt;0,INT(IF(Inputs!$B$38="pvp",MIN(Skills!I9,15),Skills!I9)/Skills!H9+0.000000001),1)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9="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26)),(Inputs!$B$23+((C2310=TRUE)*(F2310-Calc!F31))+(IF(ArtifactsInput!$M$15,CHOOSE(ArtifactsInput!$N$15+1,25,30,35,40,45,50)/100*(Inputs!$B$11-Inputs!$B$11),0))))/100+(Inputs!$B$23+((C2310=TRUE)*(F2310-Calc!F31))+(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IFERROR(1/(IF(Inputs!$B$38="pvp",15,MAX(0.1,Skills!D9-IF(TRUE=TRUE,Inputs!$B$32,0)))*(1-IF(AND(IF(ArtifactsInput!$M$27,FALSE,TRUE),Inputs!$B$4="Chapter Hunt"),CHOOSE(ArtifactsInput!$N$27+1,20,24,28,32,36,40),0)/100)),0)</f>
        <v/>
      </c>
      <c r="R2288">
        <f>IF(AND(Inputs!$B$38&lt;&gt;"pvp",Inputs!$B$43&gt;0),IF(MAX(0,Inputs!$B$43-B2321)&lt;=0,0,(INT(MAX(0,Inputs!$B$43-B2321)/(IF(Inputs!$B$38="pvp",15,MAX(0.1,Skills!D9-IF(TRUE=TRUE,Inputs!$B$32,0)))*(1-IF(AND(IF(ArtifactsInput!$M$27,FALSE,TRUE),Inputs!$B$4="Chapter Hunt"),CHOOSE(ArtifactsInput!$N$27+1,20,24,28,32,36,40),0)/100)))+1)),0)</f>
        <v/>
      </c>
      <c r="S2288">
        <f>IFERROR(O2288/N2288,0)</f>
        <v/>
      </c>
      <c r="T2288">
        <f>IF(C2288,(H2288*N2288*IF(AND(Inputs!$B$38&lt;&gt;"pvp",Inputs!$B$43&gt;0),((Skills!G9*((R2288-1)*IF(Skills!H9&gt;0,INT(Skills!I9/Skills!H9+0.000000001),1)+IF(Skills!H9&gt;0,INT(MIN(Skills!I9,MAX(0,MAX(0,Inputs!$B$43-B2321)-((R2288-1)*(IF(Inputs!$B$38="pvp",15,MAX(0.1,Skills!D9-IF(TRUE=TRUE,Inputs!$B$32,0)))*(1-IF(AND(IF(ArtifactsInput!$M$27,FALSE,TRUE),Inputs!$B$4="Chapter Hunt"),CHOOSE(ArtifactsInput!$N$27+1,20,24,28,32,36,40),0)/100)))))/Skills!H9+0.000000001),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INT(Skills!I9/Skills!H9+0.000000001),1)+IF(Skills!H9&gt;0,INT(MIN(Skills!I9,MAX(0,MAX(0,Inputs!$B$43-B2321)-((R2288-1)*(IF(Inputs!$B$38="pvp",15,MAX(0.1,Skills!D9-IF(TRUE=TRUE,Inputs!$B$32,0)))*(1-IF(AND(IF(ArtifactsInput!$M$27,FALSE,TRUE),Inputs!$B$4="Chapter Hunt"),CHOOSE(ArtifactsInput!$N$27+1,20,24,28,32,36,40),0)/100)))))/Skills!H9+0.000000001),1)))/Inputs!$B$43),G2288*Q2288))*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Inputs!$B$3&gt;=63</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f>Skills!G10*IF(Skills!H10&gt;0,INT(IF(Inputs!$B$38="pvp",MIN(Skills!I10,15),Skills!I10)/Skills!H10+0.000000001),1)</f>
        <v/>
      </c>
      <c r="H2289">
        <f>1-(1-Skills!J10/100)^Skills!K10</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10="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26)),(Inputs!$B$23+((C2310=TRUE)*(F2310-Calc!F31))+(IF(ArtifactsInput!$M$15,CHOOSE(ArtifactsInput!$N$15+1,25,30,35,40,45,50)/100*(Inputs!$B$11-Inputs!$B$11),0))))/100+(Inputs!$B$23+((C2310=TRUE)*(F2310-Calc!F31))+(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IFERROR(1/(IF(Inputs!$B$38="pvp",15,MAX(0.1,Skills!D10-IF(TRUE=TRUE,Inputs!$B$32,0)))*(1-IF(AND(IF(ArtifactsInput!$M$27,FALSE,TRUE),Inputs!$B$4="Chapter Hunt"),CHOOSE(ArtifactsInput!$N$27+1,20,24,28,32,36,40),0)/100)),0)</f>
        <v/>
      </c>
      <c r="R2289">
        <f>IF(AND(Inputs!$B$38&lt;&gt;"pvp",Inputs!$B$43&gt;0),IF(MAX(0,Inputs!$B$43-B2321)&lt;=0,0,(INT(MAX(0,Inputs!$B$43-B2321)/(IF(Inputs!$B$38="pvp",15,MAX(0.1,Skills!D10-IF(TRUE=TRUE,Inputs!$B$32,0)))*(1-IF(AND(IF(ArtifactsInput!$M$27,FALSE,TRUE),Inputs!$B$4="Chapter Hunt"),CHOOSE(ArtifactsInput!$N$27+1,20,24,28,32,36,40),0)/100)))+1)),0)</f>
        <v/>
      </c>
      <c r="S2289">
        <f>IFERROR(O2289/N2289,0)</f>
        <v/>
      </c>
      <c r="T2289">
        <f>IF(C2289,(H2289*N2289*IF(AND(Inputs!$B$38&lt;&gt;"pvp",Inputs!$B$43&gt;0),((Skills!G10*((R2289-1)*IF(Skills!H10&gt;0,INT(Skills!I10/Skills!H10+0.000000001),1)+IF(Skills!H10&gt;0,INT(MIN(Skills!I10,MAX(0,MAX(0,Inputs!$B$43-B2321)-((R2289-1)*(IF(Inputs!$B$38="pvp",15,MAX(0.1,Skills!D10-IF(TRUE=TRUE,Inputs!$B$32,0)))*(1-IF(AND(IF(ArtifactsInput!$M$27,FALSE,TRUE),Inputs!$B$4="Chapter Hunt"),CHOOSE(ArtifactsInput!$N$27+1,20,24,28,32,36,40),0)/100)))))/Skills!H10+0.000000001),1)))/Inputs!$B$43),G2289*Q2289)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10*((R2289-1)*IF(Skills!H10&gt;0,INT(Skills!I10/Skills!H10+0.000000001),1)+IF(Skills!H10&gt;0,INT(MIN(Skills!I10,MAX(0,MAX(0,Inputs!$B$43-B2321)-((R2289-1)*(IF(Inputs!$B$38="pvp",15,MAX(0.1,Skills!D10-IF(TRUE=TRUE,Inputs!$B$32,0)))*(1-IF(AND(IF(ArtifactsInput!$M$27,FALSE,TRUE),Inputs!$B$4="Chapter Hunt"),CHOOSE(ArtifactsInput!$N$27+1,20,24,28,32,36,40),0)/100)))))/Skills!H10+0.000000001),1)))/Inputs!$B$43),G2289*Q2289))*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Skills!A11</f>
        <v/>
      </c>
      <c r="B2290">
        <f>Skills!B11</f>
        <v/>
      </c>
      <c r="C2290">
        <f>Inputs!$B$3&gt;=103</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Skills!G11*IF(Skills!H11&gt;0,INT(IF(Inputs!$B$38="pvp",MIN(Skills!I11,15),Skills!I11)/Skills!H11+0.000000001),1)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26)),(Inputs!$B$23+((C2310=TRUE)*(F2310-Calc!F31))+(IF(ArtifactsInput!$M$15,CHOOSE(ArtifactsInput!$N$15+1,25,30,35,40,45,50)/100*(Inputs!$B$11-Inputs!$B$11),0))))/100+(Inputs!$B$23+((C2310=TRUE)*(F2310-Calc!F31))+(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IFERROR(1/(IF(Inputs!$B$38="pvp",15,MAX(0.1,Skills!D11-IF(TRUE=TRUE,Inputs!$B$32,0)))*(1-IF(AND(IF(ArtifactsInput!$M$27,FALSE,TRUE),Inputs!$B$4="Chapter Hunt"),CHOOSE(ArtifactsInput!$N$27+1,20,24,28,32,36,40),0)/100)),0)</f>
        <v/>
      </c>
      <c r="R2290">
        <f>IF(AND(Inputs!$B$38&lt;&gt;"pvp",Inputs!$B$43&gt;0),IF(MAX(0,Inputs!$B$43-B2321)&lt;=0,0,(INT(MAX(0,Inputs!$B$43-B2321)/(IF(Inputs!$B$38="pvp",15,MAX(0.1,Skills!D11-IF(TRUE=TRUE,Inputs!$B$32,0)))*(1-IF(AND(IF(ArtifactsInput!$M$27,FALSE,TRUE),Inputs!$B$4="Chapter Hunt"),CHOOSE(ArtifactsInput!$N$27+1,20,24,28,32,36,40),0)/100)))+1)),0)</f>
        <v/>
      </c>
      <c r="S2290">
        <f>IFERROR(O2290/N2290,0)</f>
        <v/>
      </c>
      <c r="T2290">
        <f>IF(C2290,(H2290*N2290*IF(AND(Inputs!$B$38&lt;&gt;"pvp",Inputs!$B$43&gt;0),((Skills!G11*((R2290-1)*IF(Skills!H11&gt;0,INT(Skills!I11/Skills!H11+0.000000001),1)+IF(Skills!H11&gt;0,INT(MIN(Skills!I11,MAX(0,MAX(0,Inputs!$B$43-B2321)-((R2290-1)*(IF(Inputs!$B$38="pvp",15,MAX(0.1,Skills!D11-IF(TRUE=TRUE,Inputs!$B$32,0)))*(1-IF(AND(IF(ArtifactsInput!$M$27,FALSE,TRUE),Inputs!$B$4="Chapter Hunt"),CHOOSE(ArtifactsInput!$N$27+1,20,24,28,32,36,40),0)/100)))))/Skills!H11+0.000000001)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INT(Skills!I11/Skills!H11+0.000000001),1)+IF(Skills!H11&gt;0,INT(MIN(Skills!I11,MAX(0,MAX(0,Inputs!$B$43-B2321)-((R2290-1)*(IF(Inputs!$B$38="pvp",15,MAX(0.1,Skills!D11-IF(TRUE=TRUE,Inputs!$B$32,0)))*(1-IF(AND(IF(ArtifactsInput!$M$27,FALSE,TRUE),Inputs!$B$4="Chapter Hunt"),CHOOSE(ArtifactsInput!$N$27+1,20,24,28,32,36,40),0)/100)))))/Skills!H11+0.000000001),1)))/Inputs!$B$43),G2290*Q2290))*IF(Inputs!$B$38="pvp",1,(1+(Inputs!$B$21+Skills!Q11+(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Inputs!$B$3&gt;=100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Skills!A13</f>
        <v/>
      </c>
      <c r="B2292">
        <f>Skills!B13</f>
        <v/>
      </c>
      <c r="C2292">
        <f>Inputs!$B$3&gt;=60</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Skills!G13*IF(Skills!H13&gt;0,INT(IF(Inputs!$B$38="pvp",MIN(Skills!I13,15),Skills!I13)/Skills!H13+0.000000001),1)</f>
        <v/>
      </c>
      <c r="H2292">
        <f>1-(1-Skills!J13/100)^Skills!K13</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26)),(Inputs!$B$23+((C2310=TRUE)*(F2310-Calc!F31))+(IF(ArtifactsInput!$M$15,CHOOSE(ArtifactsInput!$N$15+1,25,30,35,40,45,50)/100*(Inputs!$B$11-Inputs!$B$11),0))))/100+(Inputs!$B$23+((C2310=TRUE)*(F2310-Calc!F31))+(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IFERROR(1/(IF(Inputs!$B$38="pvp",15,MAX(0.1,IF(Inputs!$B$3&gt;=122,3,5)+1/(((20+30*(B2316-1)*100/150)/100)*B2316)-IF(FALSE=TRUE,Inputs!$B$32,0)))*(1-IF(AND(IF(ArtifactsInput!$M$27,FALSE,TRUE),Inputs!$B$4="Chapter Hunt"),CHOOSE(ArtifactsInput!$N$27+1,20,24,28,32,36,40),0)/100)),0)</f>
        <v/>
      </c>
      <c r="R2292">
        <f>IF(AND(Inputs!$B$38&lt;&gt;"pvp",Inputs!$B$43&gt;0),IF(MAX(0,Inputs!$B$43-B2321)&lt;=0,0,(INT(MAX(0,Inputs!$B$43-B2321)/(IF(Inputs!$B$38="pvp",15,MAX(0.1,IF(Inputs!$B$3&gt;=122,3,5)+1/(((20+30*(B2316-1)*100/150)/100)*B2316)-IF(FALSE=TRUE,Inputs!$B$32,0)))*(1-IF(AND(IF(ArtifactsInput!$M$27,FALSE,TRUE),Inputs!$B$4="Chapter Hunt"),CHOOSE(ArtifactsInput!$N$27+1,20,24,28,32,36,40),0)/100)))+1)),0)</f>
        <v/>
      </c>
      <c r="S2292">
        <f>IFERROR(O2292/N2292,0)</f>
        <v/>
      </c>
      <c r="T2292">
        <f>IF(C2292,(H2292*N2292*IF(AND(Inputs!$B$38&lt;&gt;"pvp",Inputs!$B$43&gt;0),((Skills!G13*((R2292-1)*IF(Skills!H13&gt;0,INT(Skills!I13/Skills!H13+0.000000001),1)+IF(Skills!H13&gt;0,INT(MIN(Skills!I13,MAX(0,MAX(0,Inputs!$B$43-B2321)-((R2292-1)*(IF(Inputs!$B$38="pvp",15,MAX(0.1,IF(Inputs!$B$3&gt;=122,3,5)+1/(((20+30*(B2316-1)*100/150)/100)*B2316)-IF(FALSE=TRUE,Inputs!$B$32,0)))*(1-IF(AND(IF(ArtifactsInput!$M$27,FALSE,TRUE),Inputs!$B$4="Chapter Hunt"),CHOOSE(ArtifactsInput!$N$27+1,20,24,28,32,36,40),0)/100)))))/Skills!H13+0.000000001),1)))/Inputs!$B$43),G2292*Q2292)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13*((R2292-1)*IF(Skills!H13&gt;0,INT(Skills!I13/Skills!H13+0.000000001),1)+IF(Skills!H13&gt;0,INT(MIN(Skills!I13,MAX(0,MAX(0,Inputs!$B$43-B2321)-((R2292-1)*(IF(Inputs!$B$38="pvp",15,MAX(0.1,IF(Inputs!$B$3&gt;=122,3,5)+1/(((20+30*(B2316-1)*100/150)/100)*B2316)-IF(FALSE=TRUE,Inputs!$B$32,0)))*(1-IF(AND(IF(ArtifactsInput!$M$27,FALSE,TRUE),Inputs!$B$4="Chapter Hunt"),CHOOSE(ArtifactsInput!$N$27+1,20,24,28,32,36,40),0)/100)))))/Skills!H13+0.000000001),1)))/Inputs!$B$43),G2292*Q2292))*IF(Inputs!$B$38="pvp",1,(1+(Inputs!$B$21+Skills!Q13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Skills!A14</f>
        <v/>
      </c>
      <c r="B2293">
        <f>Skills!B14</f>
        <v/>
      </c>
      <c r="C2293">
        <f>Inputs!$B$3&gt;=110</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Skills!A15</f>
        <v/>
      </c>
      <c r="B2294">
        <f>Skills!B15</f>
        <v/>
      </c>
      <c r="C2294">
        <f>Inputs!$B$3&gt;=74</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f>Skills!G15*IF(Skills!H15&gt;0,INT(IF(Inputs!$B$38="pvp",MIN(Skills!I15,15),Skills!I15)/Skills!H15+0.000000001),1)</f>
        <v/>
      </c>
      <c r="H2294">
        <f>1-(1-Skills!J15/100)^Skills!K15</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Skills!A16</f>
        <v/>
      </c>
      <c r="B2295">
        <f>Skills!B16</f>
        <v/>
      </c>
      <c r="C2295">
        <f>Inputs!$B$3&gt;=74</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f>Skills!G16*IF(Skills!H16&gt;0,INT(IF(Inputs!$B$38="pvp",MIN(Skills!I16,15),Skills!I16)/Skills!H16+0.000000001),1)</f>
        <v/>
      </c>
      <c r="H2295">
        <f>1-(1-Skills!J16/100)^Skills!K16</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Skills!A17</f>
        <v/>
      </c>
      <c r="B2296">
        <f>Skills!B17</f>
        <v/>
      </c>
      <c r="C2296">
        <f>Inputs!$B$3&gt;=117</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Skills!G17*IF(Skills!H17&gt;0,INT(IF(Inputs!$B$38="pvp",MIN(Skills!I17,15),Skills!I17)/Skills!H17+0.000000001),1)</f>
        <v/>
      </c>
      <c r="H2296">
        <f>1-(1-Skills!J17/100)^Skills!K17</f>
        <v/>
      </c>
      <c r="I2296" t="inlineStr">
        <is>
          <t>1</t>
        </is>
      </c>
      <c r="J2296" t="inlineStr"/>
      <c r="K2296" t="inlineStr"/>
      <c r="L2296" t="inlineStr"/>
      <c r="M2296" t="inlineStr"/>
      <c r="N2296" t="inlineStr"/>
      <c r="O2296">
        <f>(1-Summary!$B$11)*T2296+Summary!$B$11*V2296</f>
        <v/>
      </c>
      <c r="P2296">
        <f>IF(B2324=0,0,O2296/B2324)</f>
        <v/>
      </c>
      <c r="Q2296">
        <f>IFERROR(1/(IF(Inputs!$B$38="pvp",15,MAX(0.1,Skills!D17-IF(TRUE=TRUE,Inputs!$B$32,0)))*(1-IF(AND(IF(ArtifactsInput!$M$27,FALSE,TRUE),Inputs!$B$4="Chapter Hunt"),CHOOSE(ArtifactsInput!$N$27+1,20,24,28,32,36,40),0)/100)),0)</f>
        <v/>
      </c>
      <c r="R2296">
        <f>IF(AND(Inputs!$B$38&lt;&gt;"pvp",Inputs!$B$43&gt;0),IF(Inputs!$B$43&lt;=0,0,(INT(Inputs!$B$43/(IF(Inputs!$B$38="pvp",15,MAX(0.1,Skills!D17-IF(TRUE=TRUE,Inputs!$B$32,0)))*(1-IF(AND(IF(ArtifactsInput!$M$27,FALSE,TRUE),Inputs!$B$4="Chapter Hunt"),CHOOSE(ArtifactsInput!$N$27+1,20,24,28,32,36,40),0)/100)))+1)),0)</f>
        <v/>
      </c>
      <c r="S2296">
        <f>IFERROR(O2296/N2296,0)</f>
        <v/>
      </c>
      <c r="T2296" t="n">
        <v>0</v>
      </c>
      <c r="V2296" t="n">
        <v>0</v>
      </c>
    </row>
    <row r="2297">
      <c r="A2297">
        <f>Skills!A18</f>
        <v/>
      </c>
      <c r="B2297">
        <f>Skills!B18</f>
        <v/>
      </c>
      <c r="C2297">
        <f>Inputs!$B$3&gt;=115</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Skills!G18*IF(Skills!H18&gt;0,INT(IF(Inputs!$B$38="pvp",MIN(Skills!I18,15),Skills!I18)/Skills!H18+0.000000001),1)</f>
        <v/>
      </c>
      <c r="H2297">
        <f>1-(1-Skills!J18/100)^Skills!K18</f>
        <v/>
      </c>
      <c r="I2297" t="inlineStr">
        <is>
          <t>1</t>
        </is>
      </c>
      <c r="J2297" t="inlineStr"/>
      <c r="K2297" t="inlineStr"/>
      <c r="L2297" t="inlineStr"/>
      <c r="M2297" t="inlineStr"/>
      <c r="N2297" t="inlineStr"/>
      <c r="O2297">
        <f>(1-Summary!$B$11)*T2297+Summary!$B$11*V2297</f>
        <v/>
      </c>
      <c r="P2297">
        <f>IF(B2324=0,0,O2297/B2324)</f>
        <v/>
      </c>
      <c r="Q2297">
        <f>IFERROR(1/(IF(Inputs!$B$38="pvp",15,MAX(0.1,Skills!D18-IF(TRUE=TRUE,Inputs!$B$32,0)))*(1-IF(AND(IF(ArtifactsInput!$M$27,FALSE,TRUE),Inputs!$B$4="Chapter Hunt"),CHOOSE(ArtifactsInput!$N$27+1,20,24,28,32,36,40),0)/100)),0)</f>
        <v/>
      </c>
      <c r="R2297">
        <f>IF(AND(Inputs!$B$38&lt;&gt;"pvp",Inputs!$B$43&gt;0),IF(Inputs!$B$43&lt;=0,0,(INT(Inputs!$B$43/(IF(Inputs!$B$38="pvp",15,MAX(0.1,Skills!D18-IF(TRUE=TRUE,Inputs!$B$32,0)))*(1-IF(AND(IF(ArtifactsInput!$M$27,FALSE,TRUE),Inputs!$B$4="Chapter Hunt"),CHOOSE(ArtifactsInput!$N$27+1,20,24,28,32,36,40),0)/100)))+1)),0)</f>
        <v/>
      </c>
      <c r="S2297">
        <f>IFERROR(O2297/N2297,0)</f>
        <v/>
      </c>
      <c r="T2297" t="n">
        <v>0</v>
      </c>
      <c r="V2297" t="n">
        <v>0</v>
      </c>
    </row>
    <row r="2298">
      <c r="A2298">
        <f>Skills!A19</f>
        <v/>
      </c>
      <c r="B2298">
        <f>Skills!B19</f>
        <v/>
      </c>
      <c r="C2298">
        <f>Inputs!$B$3&gt;=66</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Skills!G19*IF(Skills!H19&gt;0,INT(IF(Inputs!$B$38="pvp",MIN(Skills!I19,15),Skills!I19)/Skills!H19+0.000000001),1)</f>
        <v/>
      </c>
      <c r="H2298">
        <f>1-(1-Skills!J19/100)^Skills!K19</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Skills!A20</f>
        <v/>
      </c>
      <c r="B2299">
        <f>Skills!B20</f>
        <v/>
      </c>
      <c r="C2299">
        <f>Inputs!$B$3&gt;=72</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Skills!G20*IF(Skills!H20&gt;0,INT(IF(Inputs!$B$38="pvp",MIN(Skills!I20,15),Skills!I20)/Skills!H20+0.000000001),1)</f>
        <v/>
      </c>
      <c r="H2299">
        <f>1-(1-Skills!J20/100)^Skills!K20</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Skills!A21</f>
        <v/>
      </c>
      <c r="B2300">
        <f>Skills!B21</f>
        <v/>
      </c>
      <c r="C2300">
        <f>TRUE</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Skills!G21*IF(Skills!H21&gt;0,INT(IF(Inputs!$B$38="pvp",MIN(Skills!I21,15),Skills!I21)/Skills!H21+0.000000001),1)</f>
        <v/>
      </c>
      <c r="H2300">
        <f>1-(1-Skills!J21/100)^Skills!K21</f>
        <v/>
      </c>
      <c r="I2300" t="inlineStr">
        <is>
          <t>1</t>
        </is>
      </c>
      <c r="J2300" t="inlineStr"/>
      <c r="K2300" t="inlineStr"/>
      <c r="L2300" t="inlineStr"/>
      <c r="M2300" t="inlineStr"/>
      <c r="N2300" t="inlineStr"/>
      <c r="O2300">
        <f>(1-Summary!$B$11)*T2300+Summary!$B$11*V2300</f>
        <v/>
      </c>
      <c r="P2300">
        <f>IF(B2324=0,0,O2300/B2324)</f>
        <v/>
      </c>
      <c r="Q2300">
        <f>IFERROR(1/(IF(Inputs!$B$38="pvp",15,MAX(0.1,Skills!D21-IF(TRUE=TRUE,Inputs!$B$32,0)))*(1-IF(AND(IF(ArtifactsInput!$M$27,FALSE,TRUE),Inputs!$B$4="Chapter Hunt"),CHOOSE(ArtifactsInput!$N$27+1,20,24,28,32,36,40),0)/100)),0)</f>
        <v/>
      </c>
      <c r="R2300">
        <f>IF(AND(Inputs!$B$38&lt;&gt;"pvp",Inputs!$B$43&gt;0),IF(Inputs!$B$43&lt;=0,0,(INT(Inputs!$B$43/(IF(Inputs!$B$38="pvp",15,MAX(0.1,Skills!D21-IF(TRUE=TRUE,Inputs!$B$32,0)))*(1-IF(AND(IF(ArtifactsInput!$M$27,FALSE,TRUE),Inputs!$B$4="Chapter Hunt"),CHOOSE(ArtifactsInput!$N$27+1,20,24,28,32,36,40),0)/100)))+1)),0)</f>
        <v/>
      </c>
      <c r="S2300">
        <f>IFERROR(O2300/N2300,0)</f>
        <v/>
      </c>
      <c r="T2300" t="n">
        <v>0</v>
      </c>
      <c r="V2300" t="n">
        <v>0</v>
      </c>
    </row>
    <row r="2301">
      <c r="A2301">
        <f>Skills!A22</f>
        <v/>
      </c>
      <c r="B2301">
        <f>Skills!B22</f>
        <v/>
      </c>
      <c r="C2301">
        <f>Inputs!$B$3&gt;=15</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Skills!G22*IF(Skills!H22&gt;0,INT(IF(Inputs!$B$38="pvp",MIN(Skills!I22,15),Skills!I22)/Skills!H22+0.000000001),1)</f>
        <v/>
      </c>
      <c r="H2301">
        <f>1-(1-Skills!J22/100)^Skills!K22</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Skills!A23</f>
        <v/>
      </c>
      <c r="B2302">
        <f>Skills!B23</f>
        <v/>
      </c>
      <c r="C2302">
        <f>Inputs!$B$3&gt;=10</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Skills!G23*IF(Skills!H23&gt;0,INT(IF(Inputs!$B$38="pvp",MIN(Skills!I23,15),Skills!I23)/Skills!H23+0.000000001),1)</f>
        <v/>
      </c>
      <c r="H2302">
        <f>1-(1-Skills!J23/100)^Skills!K23</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Skills!A24</f>
        <v/>
      </c>
      <c r="B2303">
        <f>Skills!B24</f>
        <v/>
      </c>
      <c r="C2303">
        <f>Inputs!$B$3&gt;=33</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Skills!G24*IF(Skills!H24&gt;0,INT(IF(Inputs!$B$38="pvp",MIN(Skills!I24,15),Skills!I24)/Skills!H24+0.000000001),1)</f>
        <v/>
      </c>
      <c r="H2303">
        <f>1-(1-Skills!J24/100)^Skills!K24</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Skills!A25</f>
        <v/>
      </c>
      <c r="B2304">
        <f>Skills!B25</f>
        <v/>
      </c>
      <c r="C2304">
        <f>Inputs!$B$3&gt;=38</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Skills!G25*IF(Skills!H25&gt;0,INT(IF(Inputs!$B$38="pvp",MIN(Skills!I25,15),Skills!I25)/Skills!H25+0.000000001),1)</f>
        <v/>
      </c>
      <c r="H2304">
        <f>1-(1-Skills!J25/100)^Skills!K25</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Skills!A26</f>
        <v/>
      </c>
      <c r="B2305">
        <f>Skills!B26</f>
        <v/>
      </c>
      <c r="C2305">
        <f>Inputs!$B$3&gt;=43</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Skills!G26*IF(Skills!H26&gt;0,INT(IF(Inputs!$B$38="pvp",MIN(Skills!I26,15),Skills!I26)/Skills!H26+0.000000001),1)</f>
        <v/>
      </c>
      <c r="H2305">
        <f>1-(1-Skills!J26/100)^Skills!K26</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Skills!A27</f>
        <v/>
      </c>
      <c r="B2306">
        <f>Skills!B27</f>
        <v/>
      </c>
      <c r="C2306">
        <f>Inputs!$B$3&gt;=75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Skills!G27*IF(Skills!H27&gt;0,INT(IF(Inputs!$B$38="pvp",MIN(Skills!I27,15),Skills!I27)/Skills!H27+0.000000001),1)</f>
        <v/>
      </c>
      <c r="H2306">
        <f>1-(1-Skills!J27/100)^Skills!K27</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Skills!A28</f>
        <v/>
      </c>
      <c r="B2307">
        <f>Skills!B28</f>
        <v/>
      </c>
      <c r="C2307">
        <f>Inputs!$B$3&gt;=125</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Skills!G28*IF(Skills!H28&gt;0,INT(IF(Inputs!$B$38="pvp",MIN(Skills!I28,15),Skills!I28)/Skills!H28+0.000000001),1)</f>
        <v/>
      </c>
      <c r="H2307">
        <f>1-(1-Skills!J28/100)^Skills!K28</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Skills!A29</f>
        <v/>
      </c>
      <c r="B2308">
        <f>Skills!B29</f>
        <v/>
      </c>
      <c r="C2308">
        <f>Inputs!$B$3&gt;=125</f>
        <v/>
      </c>
      <c r="D2308">
        <f>IF(Skills!C29=1,60+Inputs!$B$25+Inputs!$B$29,IF(Skills!C29=2,90+Inputs!$B$26+Inputs!$B$29,IF(Skills!C29=3,120+Inputs!$B$27+Inputs!$B$29,MAX(0,(Inputs!$B$3-100)*3)+Inputs!$B$28+Inputs!$B$29)))</f>
        <v/>
      </c>
      <c r="E2308">
        <f>INDEX(FactorTable!$B$2:$Y$301, MATCH(ROUND(MIN(300,MAX(1,D2308)),0), FactorTable!$A$2:$A$301,0), Skills!M29+1)</f>
        <v/>
      </c>
      <c r="F2308">
        <f>IF(Skills!N29=TRUE,(Skills!L29/10)*(E2308/1000),Skills!L29/10)+Skills!O29</f>
        <v/>
      </c>
      <c r="G2308">
        <f>Skills!G29*IF(Skills!H29&gt;0,INT(IF(Inputs!$B$38="pvp",MIN(Skills!I29,15),Skills!I29)/Skills!H29+0.000000001),1)</f>
        <v/>
      </c>
      <c r="H2308">
        <f>1-(1-Skills!J29/100)^Skills!K29</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Skills!A30</f>
        <v/>
      </c>
      <c r="B2309">
        <f>Skills!B30</f>
        <v/>
      </c>
      <c r="C2309">
        <f>Inputs!$B$3&gt;=120</f>
        <v/>
      </c>
      <c r="D2309">
        <f>IF(Skills!C30=1,60+Inputs!$B$25+Inputs!$B$29,IF(Skills!C30=2,90+Inputs!$B$26+Inputs!$B$29,IF(Skills!C30=3,120+Inputs!$B$27+Inputs!$B$29,MAX(0,(Inputs!$B$3-100)*3)+Inputs!$B$28+Inputs!$B$29)))</f>
        <v/>
      </c>
      <c r="E2309">
        <f>INDEX(FactorTable!$B$2:$Y$301, MATCH(ROUND(MIN(300,MAX(1,D2309)),0), FactorTable!$A$2:$A$301,0), Skills!M30+1)</f>
        <v/>
      </c>
      <c r="F2309">
        <f>IF(Skills!N30=TRUE,(Skills!L30/10)*(E2309/1000),Skills!L30/10)+Skills!O30</f>
        <v/>
      </c>
      <c r="G2309">
        <f>Skills!G30*IF(Skills!H30&gt;0,INT(IF(Inputs!$B$38="pvp",MIN(Skills!I30,15),Skills!I30)/Skills!H30+0.000000001),1)</f>
        <v/>
      </c>
      <c r="H2309">
        <f>1-(1-Skills!J30/100)^Skills!K30</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Skills!A31</f>
        <v/>
      </c>
      <c r="B2310">
        <f>Skills!B31</f>
        <v/>
      </c>
      <c r="C2310">
        <f>Inputs!$B$3&gt;=120</f>
        <v/>
      </c>
      <c r="D2310">
        <f>IF(Skills!C31=1,60+Inputs!$B$25+Inputs!$B$29,IF(Skills!C31=2,90+Inputs!$B$26+Inputs!$B$29,IF(Skills!C31=3,120+Inputs!$B$27+Inputs!$B$29,MAX(0,(Inputs!$B$3-100)*3)+Inputs!$B$28+Inputs!$B$29)))</f>
        <v/>
      </c>
      <c r="E2310">
        <f>INDEX(FactorTable!$B$2:$Y$301, MATCH(ROUND(MIN(300,MAX(1,D2310)),0), FactorTable!$A$2:$A$301,0), Skills!M31+1)</f>
        <v/>
      </c>
      <c r="F2310">
        <f>IF(Skills!N31=TRUE,(Skills!L31/10)*(E2310/1000),Skills!L31/10)+Skills!O31</f>
        <v/>
      </c>
      <c r="G2310">
        <f>Skills!G31*IF(Skills!H31&gt;0,INT(IF(Inputs!$B$38="pvp",MIN(Skills!I31,15),Skills!I31)/Skills!H31+0.000000001),1)</f>
        <v/>
      </c>
      <c r="H2310">
        <f>1-(1-Skills!J31/100)^Skills!K31</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Skills!A32</f>
        <v/>
      </c>
      <c r="B2311">
        <f>Skills!B32</f>
        <v/>
      </c>
      <c r="C2311">
        <f>Inputs!$B$3&gt;=45</f>
        <v/>
      </c>
      <c r="D2311">
        <f>IF(Skills!C32=1,60+Inputs!$B$25+Inputs!$B$29,IF(Skills!C32=2,90+Inputs!$B$26+Inputs!$B$29,IF(Skills!C32=3,120+Inputs!$B$27+Inputs!$B$29,MAX(0,(Inputs!$B$3-100)*3)+Inputs!$B$28+Inputs!$B$29)))</f>
        <v/>
      </c>
      <c r="E2311">
        <f>INDEX(FactorTable!$B$2:$Y$301, MATCH(ROUND(MIN(300,MAX(1,D2311)),0), FactorTable!$A$2:$A$301,0), Skills!M32+1)</f>
        <v/>
      </c>
      <c r="F2311">
        <f>IF(Skills!N32=TRUE,(Skills!L32/10)*(E2311/1000),Skills!L32/10)+Skills!O32</f>
        <v/>
      </c>
      <c r="G2311">
        <f>Skills!G32*IF(Skills!H32&gt;0,INT(IF(Inputs!$B$38="pvp",MIN(Skills!I32,15),Skills!I32)/Skills!H32+0.000000001),1)</f>
        <v/>
      </c>
      <c r="H2311">
        <f>1-(1-Skills!J32/100)^Skills!K32</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t="n">
        <v>0</v>
      </c>
    </row>
    <row r="2315">
      <c r="A2315" t="inlineStr">
        <is>
          <t>Attack Speed Buff Bonus %</t>
        </is>
      </c>
      <c r="B2315">
        <f>((C2300=TRUE)*F2300*IF(AND(Inputs!$B$38&lt;&gt;"pvp",Inputs!$B$43&gt;0),(((R2300-1)*MIN((Skills!T21*(1+Inputs!$B$34/100)),(1/Q2300))+MIN((Skills!T21*(1+Inputs!$B$34/100)),MAX(0,Inputs!$B$43-((R2300-1)*(1/Q2300)))))/Inputs!$B$43),IF(Inputs!$B$38="pvp",MIN((Skills!T21*(1+Inputs!$B$34/100)),15)/15,MIN(1,(Skills!T21*(1+Inputs!$B$34/100))/(1/Q2300)))))</f>
        <v/>
      </c>
    </row>
    <row r="2316">
      <c r="A2316" t="inlineStr">
        <is>
          <t>Actions Per Second</t>
        </is>
      </c>
      <c r="B2316">
        <f>1+MIN(150,150*(1-(1-(Inputs!$B$11+((C2302=TRUE)*(F2302-Calc!F23))+((C2303=TRUE)*(F2303-Calc!F24)))/150)*(1-B2315/150)))/100</f>
        <v/>
      </c>
    </row>
    <row r="2317">
      <c r="A2317" t="inlineStr">
        <is>
          <t>Skill + Buff Cast Rate</t>
        </is>
      </c>
      <c r="B2317">
        <f>IF(AND(Inputs!$B$38&lt;&gt;"pvp",Inputs!$B$43&gt;0),SUMPRODUCT((Skills!E2:E32=TRUE)*(C2281:C2311=TRUE)*R2281:R2311*Skills!F2:F32)/Inputs!$B$43,SUMPRODUCT((Skills!E2:E32=TRUE)*(C2281:C2311=TRUE)*Q2281:Q2311*Skills!F2:F32))</f>
        <v/>
      </c>
    </row>
    <row r="2318">
      <c r="A2318" t="inlineStr">
        <is>
          <t>Arrow Stream Casts Per Second</t>
        </is>
      </c>
      <c r="B2318">
        <f>MAX(0,B2316-B2317)</f>
        <v/>
      </c>
    </row>
    <row r="2319">
      <c r="A2319" t="inlineStr">
        <is>
          <t>Global Critical Damage Bonus % (Sharp Eyes + Concentration)</t>
        </is>
      </c>
      <c r="B2319">
        <f>(C2297=TRUE)*F2297*IF(AND(Inputs!$B$38&lt;&gt;"pvp",Inputs!$B$43&gt;0),(((R2297-1)*MIN((Skills!T18*(1+Inputs!$B$34/100)),(1/Q2297))+MIN((Skills!T18*(1+Inputs!$B$34/100)),MAX(0,Inputs!$B$43-((R2297-1)*(1/Q2297)))))/Inputs!$B$43),IF(Inputs!$B$38="pvp",MIN((Skills!T18*(1+Inputs!$B$34/100)),15)/15,MIN(1,(Skills!T18*(1+Inputs!$B$34/100))/(1/Q2297))))+(C2298=TRUE)*7*F2298</f>
        <v/>
      </c>
    </row>
    <row r="2320">
      <c r="A2320" t="inlineStr">
        <is>
          <t>Global Final Damage Bonus % (Mortal Blow)</t>
        </is>
      </c>
      <c r="B2320">
        <f>(C2299=TRUE)*F2299</f>
        <v/>
      </c>
    </row>
    <row r="2321">
      <c r="A2321" t="inlineStr">
        <is>
          <t>Buff-Casting Startup Delay (s, fixed-duration only)</t>
        </is>
      </c>
      <c r="B2321">
        <f>IF(AND(Inputs!$B$38&lt;&gt;"pvp",Inputs!$B$43&gt;0),SUMPRODUCT((Skills!T2:T32&gt;0)*(Skills!E2:E32=TRUE)*(C2281:C2311=TRUE))/B2316,0)</f>
        <v/>
      </c>
    </row>
    <row r="2322">
      <c r="A2322" t="inlineStr">
        <is>
          <t>Boss-Only Total DPS (this block's swept value)</t>
        </is>
      </c>
      <c r="B2322">
        <f>SUM(T2281:T2311)</f>
        <v/>
      </c>
    </row>
    <row r="2323">
      <c r="A2323" t="inlineStr">
        <is>
          <t>Normal-Only Total DPS (this block's swept value)</t>
        </is>
      </c>
      <c r="B2323">
        <f>SUM(V2281:V2311)</f>
        <v/>
      </c>
    </row>
    <row r="2324">
      <c r="A2324" s="6" t="inlineStr">
        <is>
          <t>TOTAL DPS</t>
        </is>
      </c>
      <c r="B2324" s="6">
        <f>SUM(O2281:O2311)</f>
        <v/>
      </c>
    </row>
    <row r="2327">
      <c r="A2327" s="6" t="inlineStr">
        <is>
          <t>Stat: Lit Lamp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Skills!G2*IF(Skills!H2&gt;0,INT(IF(Inputs!$B$38="pvp",MIN(Skills!I2,15),Skills!I2)/Skills!H2+0.000000001),1)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2353=TRUE)*(F2353-Calc!F26)),(Inputs!$B$23+((C2358=TRUE)*(F2358-Calc!F31))+(IF(ArtifactsInput!$M$15,CHOOSE(ArtifactsInput!$N$15+1,25,30,35,40,45,50)/100*(Inputs!$B$11-Inputs!$B$11),0))))/100+(Inputs!$B$23+((C2358=TRUE)*(F2358-Calc!F31))+(IF(ArtifactsInput!$M$15,CHOOSE(ArtifactsInput!$N$15+1,25,30,35,40,45,50)/100*(Inputs!$B$11-Inputs!$B$11),0)))/100)/2</f>
        <v/>
      </c>
      <c r="M2329">
        <f>L2329*(1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IF(B2372=0,0,O2329/B2372)</f>
        <v/>
      </c>
      <c r="Q2329" t="n">
        <v>0</v>
      </c>
      <c r="R2329" t="n">
        <v>0</v>
      </c>
      <c r="S2329">
        <f>IFERROR(O2329/N2329,0)</f>
        <v/>
      </c>
      <c r="T2329">
        <f>IF(C2329,(Skills!G2*N2329*B2366)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IF(C2329,(Skills!G2*N2329*B2366)*IF(Inputs!$B$38="pvp",1,(1+(Inputs!$B$21+Skills!Q2+(IF(ArtifactsInput!$M$33,CHOOSE(ArtifactsInput!$N$33+1,30,36,42,48,54,60),0))+(IF(AND(ArtifactsInput!$M$35,Inputs!$B$4&lt;&gt;"Chapter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Skills!G3*IF(Skills!H3&gt;0,INT(IF(Inputs!$B$38="pvp",MIN(Skills!I3,15),Skills!I3)/Skills!H3+0.000000001),1)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2353=TRUE)*(F2353-Calc!F26)),(Inputs!$B$23+((C2358=TRUE)*(F2358-Calc!F31))+(IF(ArtifactsInput!$M$15,CHOOSE(ArtifactsInput!$N$15+1,25,30,35,40,45,50)/100*(Inputs!$B$11-Inputs!$B$11),0))))/100+(Inputs!$B$23+((C2358=TRUE)*(F2358-Calc!F31))+(IF(ArtifactsInput!$M$15,CHOOSE(ArtifactsInput!$N$15+1,25,30,35,40,45,50)/100*(Inputs!$B$11-Inputs!$B$11),0)))/100)/2</f>
        <v/>
      </c>
      <c r="M2330">
        <f>L2330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IF(B2372=0,0,O2330/B2372)</f>
        <v/>
      </c>
      <c r="Q2330">
        <f>IFERROR(1/(IF(Inputs!$B$38="pvp",15,MAX(0.1,1/B2364-IF(FALSE=TRUE,Inputs!$B$32,0)))*(1-IF(AND(ArtifactsInput!$M$27,Inputs!$B$4="Chapter Hunt"),CHOOSE(ArtifactsInput!$N$27+1,20,24,28,32,36,40),0)/100)),0)</f>
        <v/>
      </c>
      <c r="R2330">
        <f>IF(AND(Inputs!$B$38&lt;&gt;"pvp",Inputs!$B$43&gt;0),IF(MAX(0,Inputs!$B$43-B2369)&lt;=0,0,(INT(MAX(0,Inputs!$B$43-B2369)/(IF(Inputs!$B$38="pvp",15,MAX(0.1,1/B2364-IF(FALSE=TRUE,Inputs!$B$32,0)))*(1-IF(AND(ArtifactsInput!$M$27,Inputs!$B$4="Chapter Hunt"),CHOOSE(ArtifactsInput!$N$27+1,20,24,28,32,36,40),0)/100)))+1)),0)</f>
        <v/>
      </c>
      <c r="S2330">
        <f>IFERROR(O2330/N2330,0)</f>
        <v/>
      </c>
      <c r="T2330">
        <f>IF(C2330,(H2330*N2330*IF(AND(Inputs!$B$38&lt;&gt;"pvp",Inputs!$B$43&gt;0),((Skills!G3*((R2330-1)*IF(Skills!H3&gt;0,INT(Skills!I3/Skills!H3+0.000000001),1)+IF(Skills!H3&gt;0,INT(MIN(Skills!I3,MAX(0,MAX(0,Inputs!$B$43-B2369)-((R2330-1)*(IF(Inputs!$B$38="pvp",15,MAX(0.1,1/B2364-IF(FALSE=TRUE,Inputs!$B$32,0)))*(1-IF(AND(ArtifactsInput!$M$27,Inputs!$B$4="Chapter Hunt"),CHOOSE(ArtifactsInput!$N$27+1,20,24,28,32,36,40),0)/100)))))/Skills!H3+0.000000001),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INT(Skills!I3/Skills!H3+0.000000001),1)+IF(Skills!H3&gt;0,INT(MIN(Skills!I3,MAX(0,MAX(0,Inputs!$B$43-B2369)-((R2330-1)*(IF(Inputs!$B$38="pvp",15,MAX(0.1,1/B2364-IF(FALSE=TRUE,Inputs!$B$32,0)))*(1-IF(AND(ArtifactsInput!$M$27,Inputs!$B$4="Chapter Hunt"),CHOOSE(ArtifactsInput!$N$27+1,20,24,28,32,36,40),0)/100)))))/Skills!H3+0.000000001),1)))/Inputs!$B$43),G2330*Q2330))*IF(Inputs!$B$38="pvp",1,(1+(Inputs!$B$21+Skills!Q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Skills!G5*IF(Skills!H5&gt;0,INT(IF(Inputs!$B$38="pvp",MIN(Skills!I5,15),Skills!I5)/Skills!H5+0.000000001),1)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2339=TRUE,F2339,0)/100)*(1+(IF(Skills!A5="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2353=TRUE)*(F2353-Calc!F26)),(Inputs!$B$23+((C2358=TRUE)*(F2358-Calc!F31))+(IF(ArtifactsInput!$M$15,CHOOSE(ArtifactsInput!$N$15+1,25,30,35,40,45,50)/100*(Inputs!$B$11-Inputs!$B$11),0))))/100+(Inputs!$B$23+((C2358=TRUE)*(F2358-Calc!F31))+(IF(ArtifactsInput!$M$15,CHOOSE(ArtifactsInput!$N$15+1,25,30,35,40,45,50)/100*(Inputs!$B$11-Inputs!$B$11),0)))/100)/2</f>
        <v/>
      </c>
      <c r="M2332">
        <f>L2332*(1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IF(B2372=0,0,O2332/B2372)</f>
        <v/>
      </c>
      <c r="Q2332">
        <f>IFERROR(1/(IF(Inputs!$B$38="pvp",15,MAX(0.1,Skills!D5-IF(TRUE=TRUE,Inputs!$B$32,0)))*(1-IF(AND(ArtifactsInput!$M$27,Inputs!$B$4="Chapter Hunt"),CHOOSE(ArtifactsInput!$N$27+1,20,24,28,32,36,40),0)/100)),0)</f>
        <v/>
      </c>
      <c r="R2332">
        <f>IF(AND(Inputs!$B$38&lt;&gt;"pvp",Inputs!$B$43&gt;0),IF(MAX(0,Inputs!$B$43-B2369)&lt;=0,0,(INT(MAX(0,Inputs!$B$43-B2369)/(IF(Inputs!$B$38="pvp",15,MAX(0.1,Skills!D5-IF(TRUE=TRUE,Inputs!$B$32,0)))*(1-IF(AND(ArtifactsInput!$M$27,Inputs!$B$4="Chapter Hunt"),CHOOSE(ArtifactsInput!$N$27+1,20,24,28,32,36,40),0)/100)))+1)),0)</f>
        <v/>
      </c>
      <c r="S2332">
        <f>IFERROR(O2332/N2332,0)</f>
        <v/>
      </c>
      <c r="T2332">
        <f>IF(C2332,(H2332*N2332*IF(AND(Inputs!$B$38&lt;&gt;"pvp",Inputs!$B$43&gt;0),((Skills!G5*((R2332-1)*IF(Skills!H5&gt;0,INT(Skills!I5/Skills!H5+0.000000001),1)+IF(Skills!H5&gt;0,INT(MIN(Skills!I5,MAX(0,MAX(0,Inputs!$B$43-B2369)-((R2332-1)*(IF(Inputs!$B$38="pvp",15,MAX(0.1,Skills!D5-IF(TRUE=TRUE,Inputs!$B$32,0)))*(1-IF(AND(ArtifactsInput!$M$27,Inputs!$B$4="Chapter Hunt"),CHOOSE(ArtifactsInput!$N$27+1,20,24,28,32,36,40),0)/100)))))/Skills!H5+0.000000001),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INT(Skills!I5/Skills!H5+0.000000001),1)+IF(Skills!H5&gt;0,INT(MIN(Skills!I5,MAX(0,MAX(0,Inputs!$B$43-B2369)-((R2332-1)*(IF(Inputs!$B$38="pvp",15,MAX(0.1,Skills!D5-IF(TRUE=TRUE,Inputs!$B$32,0)))*(1-IF(AND(ArtifactsInput!$M$27,Inputs!$B$4="Chapter Hunt"),CHOOSE(ArtifactsInput!$N$27+1,20,24,28,32,36,40),0)/100)))))/Skills!H5+0.000000001),1)))/Inputs!$B$43),G2332*Q2332))*IF(Inputs!$B$38="pvp",1,(1+(Inputs!$B$21+Skills!Q5+(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Skills!G6*IF(Skills!H6&gt;0,INT(IF(Inputs!$B$38="pvp",MIN(Skills!I6,15),Skills!I6)/Skills!H6+0.000000001),1)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2353=TRUE)*(F2353-Calc!F26)),(Inputs!$B$23+((C2358=TRUE)*(F2358-Calc!F31))+(IF(ArtifactsInput!$M$15,CHOOSE(ArtifactsInput!$N$15+1,25,30,35,40,45,50)/100*(Inputs!$B$11-Inputs!$B$11),0))))/100+(Inputs!$B$23+((C2358=TRUE)*(F2358-Calc!F31))+(IF(ArtifactsInput!$M$15,CHOOSE(ArtifactsInput!$N$15+1,25,30,35,40,45,50)/100*(Inputs!$B$11-Inputs!$B$11),0)))/100)/2</f>
        <v/>
      </c>
      <c r="M2333">
        <f>L2333*(1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IF(B2372=0,0,O2333/B2372)</f>
        <v/>
      </c>
      <c r="Q2333">
        <f>IFERROR(1/(IF(Inputs!$B$38="pvp",15,MAX(0.1,1-0.4*MIN(1,(B2364-1)/1.5)-IF(FALSE=TRUE,Inputs!$B$32,0)))*(1-IF(AND(ArtifactsInput!$M$27,Inputs!$B$4="Chapter Hunt"),CHOOSE(ArtifactsInput!$N$27+1,20,24,28,32,36,40),0)/100)),0)</f>
        <v/>
      </c>
      <c r="R2333">
        <f>IF(AND(Inputs!$B$38&lt;&gt;"pvp",Inputs!$B$43&gt;0),IF(MAX(0,Inputs!$B$43-B2369)&lt;=0,0,(INT(MAX(0,Inputs!$B$43-B2369)/(IF(Inputs!$B$38="pvp",15,MAX(0.1,1-0.4*MIN(1,(B2364-1)/1.5)-IF(FALSE=TRUE,Inputs!$B$32,0)))*(1-IF(AND(ArtifactsInput!$M$27,Inputs!$B$4="Chapter Hunt"),CHOOSE(ArtifactsInput!$N$27+1,20,24,28,32,36,40),0)/100)))+1)),0)</f>
        <v/>
      </c>
      <c r="S2333">
        <f>IFERROR(O2333/N2333,0)</f>
        <v/>
      </c>
      <c r="T2333">
        <f>IF(C2333,(H2333*N2333*IF(AND(Inputs!$B$38&lt;&gt;"pvp",Inputs!$B$43&gt;0),((Skills!G6*((R2333-1)*IF(Skills!H6&gt;0,INT(Skills!I6/Skills!H6+0.000000001),1)+IF(Skills!H6&gt;0,INT(MIN(Skills!I6,MAX(0,MAX(0,Inputs!$B$43-B2369)-((R2333-1)*(IF(Inputs!$B$38="pvp",15,MAX(0.1,1-0.4*MIN(1,(B2364-1)/1.5)-IF(FALSE=TRUE,Inputs!$B$32,0)))*(1-IF(AND(ArtifactsInput!$M$27,Inputs!$B$4="Chapter Hunt"),CHOOSE(ArtifactsInput!$N$27+1,20,24,28,32,36,40),0)/100)))))/Skills!H6+0.000000001),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INT(Skills!I6/Skills!H6+0.000000001),1)+IF(Skills!H6&gt;0,INT(MIN(Skills!I6,MAX(0,MAX(0,Inputs!$B$43-B2369)-((R2333-1)*(IF(Inputs!$B$38="pvp",15,MAX(0.1,1-0.4*MIN(1,(B2364-1)/1.5)-IF(FALSE=TRUE,Inputs!$B$32,0)))*(1-IF(AND(ArtifactsInput!$M$27,Inputs!$B$4="Chapter Hunt"),CHOOSE(ArtifactsInput!$N$27+1,20,24,28,32,36,40),0)/100)))))/Skills!H6+0.000000001),1)))/Inputs!$B$43),G2333*Q2333))*IF(Inputs!$B$38="pvp",1,(1+(Inputs!$B$21+Skills!Q6+(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Inputs!$B$3&gt;=130</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Skills!G8*IF(Skills!H8&gt;0,INT(IF(Inputs!$B$38="pvp",MIN(Skills!I8,15),Skills!I8)/Skills!H8+0.000000001),1)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26)),(Inputs!$B$23+((C2358=TRUE)*(F2358-Calc!F31))+(IF(ArtifactsInput!$M$15,CHOOSE(ArtifactsInput!$N$15+1,25,30,35,40,45,50)/100*(Inputs!$B$11-Inputs!$B$11),0))))/100+(Inputs!$B$23+((C2358=TRUE)*(F2358-Calc!F31))+(IF(ArtifactsInput!$M$15,CHOOSE(ArtifactsInput!$N$15+1,25,30,35,40,45,50)/100*(Inputs!$B$11-Inputs!$B$11),0)))/100)/2</f>
        <v/>
      </c>
      <c r="M2335">
        <f>L2335*(1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IF(B2372=0,0,O2335/B2372)</f>
        <v/>
      </c>
      <c r="Q2335">
        <f>IFERROR(1/(IF(Inputs!$B$38="pvp",15,MAX(0.1,1-0.4*MIN(1,(B2364-1)/1.5)-IF(FALSE=TRUE,Inputs!$B$32,0)))*(1-IF(AND(ArtifactsInput!$M$27,Inputs!$B$4="Chapter Hunt"),CHOOSE(ArtifactsInput!$N$27+1,20,24,28,32,36,40),0)/100)),0)</f>
        <v/>
      </c>
      <c r="R2335">
        <f>IF(AND(Inputs!$B$38&lt;&gt;"pvp",Inputs!$B$43&gt;0),IF(MAX(0,Inputs!$B$43-B2369)&lt;=0,0,(INT(MAX(0,Inputs!$B$43-B2369)/(IF(Inputs!$B$38="pvp",15,MAX(0.1,1-0.4*MIN(1,(B2364-1)/1.5)-IF(FALSE=TRUE,Inputs!$B$32,0)))*(1-IF(AND(ArtifactsInput!$M$27,Inputs!$B$4="Chapter Hunt"),CHOOSE(ArtifactsInput!$N$27+1,20,24,28,32,36,40),0)/100)))+1)),0)</f>
        <v/>
      </c>
      <c r="S2335">
        <f>IFERROR(O2335/N2335,0)</f>
        <v/>
      </c>
      <c r="T2335">
        <f>IF(C2335,(H2335*N2335*IF(AND(Inputs!$B$38&lt;&gt;"pvp",Inputs!$B$43&gt;0),((Skills!G8*((R2335-1)*IF(Skills!H8&gt;0,INT(Skills!I8/Skills!H8+0.000000001),1)+IF(Skills!H8&gt;0,INT(MIN(Skills!I8,MAX(0,MAX(0,Inputs!$B$43-B2369)-((R2335-1)*(IF(Inputs!$B$38="pvp",15,MAX(0.1,1-0.4*MIN(1,(B2364-1)/1.5)-IF(FALSE=TRUE,Inputs!$B$32,0)))*(1-IF(AND(ArtifactsInput!$M$27,Inputs!$B$4="Chapter Hunt"),CHOOSE(ArtifactsInput!$N$27+1,20,24,28,32,36,40),0)/100)))))/Skills!H8+0.000000001),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INT(Skills!I8/Skills!H8+0.000000001),1)+IF(Skills!H8&gt;0,INT(MIN(Skills!I8,MAX(0,MAX(0,Inputs!$B$43-B2369)-((R2335-1)*(IF(Inputs!$B$38="pvp",15,MAX(0.1,1-0.4*MIN(1,(B2364-1)/1.5)-IF(FALSE=TRUE,Inputs!$B$32,0)))*(1-IF(AND(ArtifactsInput!$M$27,Inputs!$B$4="Chapter Hunt"),CHOOSE(ArtifactsInput!$N$27+1,20,24,28,32,36,40),0)/100)))))/Skills!H8+0.000000001),1)))/Inputs!$B$43),G2335*Q2335))*IF(Inputs!$B$38="pvp",1,(1+(Inputs!$B$21+Skills!Q8+(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Inputs!$B$3&gt;=69</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Skills!G9*IF(Skills!H9&gt;0,INT(IF(Inputs!$B$38="pvp",MIN(Skills!I9,15),Skills!I9)/Skills!H9+0.000000001),1)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2339=TRUE,F2339,0)/100)*(1+(IF(Skills!A9="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26)),(Inputs!$B$23+((C2358=TRUE)*(F2358-Calc!F31))+(IF(ArtifactsInput!$M$15,CHOOSE(ArtifactsInput!$N$15+1,25,30,35,40,45,50)/100*(Inputs!$B$11-Inputs!$B$11),0))))/100+(Inputs!$B$23+((C2358=TRUE)*(F2358-Calc!F31))+(IF(ArtifactsInput!$M$15,CHOOSE(ArtifactsInput!$N$15+1,25,30,35,40,45,50)/100*(Inputs!$B$11-Inputs!$B$11),0)))/100)/2</f>
        <v/>
      </c>
      <c r="M2336">
        <f>L2336*(1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IF(B2372=0,0,O2336/B2372)</f>
        <v/>
      </c>
      <c r="Q2336">
        <f>IFERROR(1/(IF(Inputs!$B$38="pvp",15,MAX(0.1,Skills!D9-IF(TRUE=TRUE,Inputs!$B$32,0)))*(1-IF(AND(ArtifactsInput!$M$27,Inputs!$B$4="Chapter Hunt"),CHOOSE(ArtifactsInput!$N$27+1,20,24,28,32,36,40),0)/100)),0)</f>
        <v/>
      </c>
      <c r="R2336">
        <f>IF(AND(Inputs!$B$38&lt;&gt;"pvp",Inputs!$B$43&gt;0),IF(MAX(0,Inputs!$B$43-B2369)&lt;=0,0,(INT(MAX(0,Inputs!$B$43-B2369)/(IF(Inputs!$B$38="pvp",15,MAX(0.1,Skills!D9-IF(TRUE=TRUE,Inputs!$B$32,0)))*(1-IF(AND(ArtifactsInput!$M$27,Inputs!$B$4="Chapter Hunt"),CHOOSE(ArtifactsInput!$N$27+1,20,24,28,32,36,40),0)/100)))+1)),0)</f>
        <v/>
      </c>
      <c r="S2336">
        <f>IFERROR(O2336/N2336,0)</f>
        <v/>
      </c>
      <c r="T2336">
        <f>IF(C2336,(H2336*N2336*IF(AND(Inputs!$B$38&lt;&gt;"pvp",Inputs!$B$43&gt;0),((Skills!G9*((R2336-1)*IF(Skills!H9&gt;0,INT(Skills!I9/Skills!H9+0.000000001),1)+IF(Skills!H9&gt;0,INT(MIN(Skills!I9,MAX(0,MAX(0,Inputs!$B$43-B2369)-((R2336-1)*(IF(Inputs!$B$38="pvp",15,MAX(0.1,Skills!D9-IF(TRUE=TRUE,Inputs!$B$32,0)))*(1-IF(AND(ArtifactsInput!$M$27,Inputs!$B$4="Chapter Hunt"),CHOOSE(ArtifactsInput!$N$27+1,20,24,28,32,36,40),0)/100)))))/Skills!H9+0.000000001),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INT(Skills!I9/Skills!H9+0.000000001),1)+IF(Skills!H9&gt;0,INT(MIN(Skills!I9,MAX(0,MAX(0,Inputs!$B$43-B2369)-((R2336-1)*(IF(Inputs!$B$38="pvp",15,MAX(0.1,Skills!D9-IF(TRUE=TRUE,Inputs!$B$32,0)))*(1-IF(AND(ArtifactsInput!$M$27,Inputs!$B$4="Chapter Hunt"),CHOOSE(ArtifactsInput!$N$27+1,20,24,28,32,36,40),0)/100)))))/Skills!H9+0.000000001),1)))/Inputs!$B$43),G2336*Q2336))*IF(Inputs!$B$38="pvp",1,(1+(Inputs!$B$21+Skills!Q9+(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Inputs!$B$3&gt;=63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Skills!G10*IF(Skills!H10&gt;0,INT(IF(Inputs!$B$38="pvp",MIN(Skills!I10,15),Skills!I10)/Skills!H10+0.000000001),1)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2339=TRUE,F2339,0)/100)*(1+(IF(Skills!A10="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26)),(Inputs!$B$23+((C2358=TRUE)*(F2358-Calc!F31))+(IF(ArtifactsInput!$M$15,CHOOSE(ArtifactsInput!$N$15+1,25,30,35,40,45,50)/100*(Inputs!$B$11-Inputs!$B$11),0))))/100+(Inputs!$B$23+((C2358=TRUE)*(F2358-Calc!F31))+(IF(ArtifactsInput!$M$15,CHOOSE(ArtifactsInput!$N$15+1,25,30,35,40,45,50)/100*(Inputs!$B$11-Inputs!$B$11),0)))/100)/2</f>
        <v/>
      </c>
      <c r="M2337">
        <f>L2337*(1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IF(B2372=0,0,O2337/B2372)</f>
        <v/>
      </c>
      <c r="Q2337">
        <f>IFERROR(1/(IF(Inputs!$B$38="pvp",15,MAX(0.1,Skills!D10-IF(TRUE=TRUE,Inputs!$B$32,0)))*(1-IF(AND(ArtifactsInput!$M$27,Inputs!$B$4="Chapter Hunt"),CHOOSE(ArtifactsInput!$N$27+1,20,24,28,32,36,40),0)/100)),0)</f>
        <v/>
      </c>
      <c r="R2337">
        <f>IF(AND(Inputs!$B$38&lt;&gt;"pvp",Inputs!$B$43&gt;0),IF(MAX(0,Inputs!$B$43-B2369)&lt;=0,0,(INT(MAX(0,Inputs!$B$43-B2369)/(IF(Inputs!$B$38="pvp",15,MAX(0.1,Skills!D10-IF(TRUE=TRUE,Inputs!$B$32,0)))*(1-IF(AND(ArtifactsInput!$M$27,Inputs!$B$4="Chapter Hunt"),CHOOSE(ArtifactsInput!$N$27+1,20,24,28,32,36,40),0)/100)))+1)),0)</f>
        <v/>
      </c>
      <c r="S2337">
        <f>IFERROR(O2337/N2337,0)</f>
        <v/>
      </c>
      <c r="T2337">
        <f>IF(C2337,(H2337*N2337*IF(AND(Inputs!$B$38&lt;&gt;"pvp",Inputs!$B$43&gt;0),((Skills!G10*((R2337-1)*IF(Skills!H10&gt;0,INT(Skills!I10/Skills!H10+0.000000001),1)+IF(Skills!H10&gt;0,INT(MIN(Skills!I10,MAX(0,MAX(0,Inputs!$B$43-B2369)-((R2337-1)*(IF(Inputs!$B$38="pvp",15,MAX(0.1,Skills!D10-IF(TRUE=TRUE,Inputs!$B$32,0)))*(1-IF(AND(ArtifactsInput!$M$27,Inputs!$B$4="Chapter Hunt"),CHOOSE(ArtifactsInput!$N$27+1,20,24,28,32,36,40),0)/100)))))/Skills!H10+0.000000001),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INT(Skills!I10/Skills!H10+0.000000001),1)+IF(Skills!H10&gt;0,INT(MIN(Skills!I10,MAX(0,MAX(0,Inputs!$B$43-B2369)-((R2337-1)*(IF(Inputs!$B$38="pvp",15,MAX(0.1,Skills!D10-IF(TRUE=TRUE,Inputs!$B$32,0)))*(1-IF(AND(ArtifactsInput!$M$27,Inputs!$B$4="Chapter Hunt"),CHOOSE(ArtifactsInput!$N$27+1,20,24,28,32,36,40),0)/100)))))/Skills!H10+0.000000001),1)))/Inputs!$B$43),G2337*Q2337))*IF(Inputs!$B$38="pvp",1,(1+(Inputs!$B$21+Skills!Q10+(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Inputs!$B$3&gt;=103</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f>Skills!G11*IF(Skills!H11&gt;0,INT(IF(Inputs!$B$38="pvp",MIN(Skills!I11,15),Skills!I11)/Skills!H11+0.000000001),1)</f>
        <v/>
      </c>
      <c r="H2338">
        <f>1-(1-Skills!J11/100)^Skills!K11</f>
        <v/>
      </c>
      <c r="I2338" t="inlineStr">
        <is>
          <t>1</t>
        </is>
      </c>
      <c r="J2338">
        <f>((Inputs!$B$6*(1+Inputs!$B$7/100))+(((Inputs!$B$12*(1+Inputs!$B$13/100))-(Inputs!$B$12*(1+Inputs!$B$13/100)))+0.25*(Inputs!$B$14-Inputs!$B$14))*(1+Inputs!$B$7/100))*(F2338/100)</f>
        <v/>
      </c>
      <c r="K2338">
        <f>J2338*(1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C2353=TRUE)*(F2353-Calc!F26)),(Inputs!$B$23+((C2358=TRUE)*(F2358-Calc!F31))+(IF(ArtifactsInput!$M$15,CHOOSE(ArtifactsInput!$N$15+1,25,30,35,40,45,50)/100*(Inputs!$B$11-Inputs!$B$11),0))))/100+(Inputs!$B$23+((C2358=TRUE)*(F2358-Calc!F31))+(IF(ArtifactsInput!$M$15,CHOOSE(ArtifactsInput!$N$15+1,25,30,35,40,45,50)/100*(Inputs!$B$11-Inputs!$B$11),0)))/100)/2</f>
        <v/>
      </c>
      <c r="M2338">
        <f>L2338*(1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(1-Summary!$B$11)*T2338+Summary!$B$11*V2338</f>
        <v/>
      </c>
      <c r="P2338">
        <f>IF(B2372=0,0,O2338/B2372)</f>
        <v/>
      </c>
      <c r="Q2338">
        <f>IFERROR(1/(IF(Inputs!$B$38="pvp",15,MAX(0.1,Skills!D11-IF(TRUE=TRUE,Inputs!$B$32,0)))*(1-IF(AND(ArtifactsInput!$M$27,Inputs!$B$4="Chapter Hunt"),CHOOSE(ArtifactsInput!$N$27+1,20,24,28,32,36,40),0)/100)),0)</f>
        <v/>
      </c>
      <c r="R2338">
        <f>IF(AND(Inputs!$B$38&lt;&gt;"pvp",Inputs!$B$43&gt;0),IF(MAX(0,Inputs!$B$43-B2369)&lt;=0,0,(INT(MAX(0,Inputs!$B$43-B2369)/(IF(Inputs!$B$38="pvp",15,MAX(0.1,Skills!D11-IF(TRUE=TRUE,Inputs!$B$32,0)))*(1-IF(AND(ArtifactsInput!$M$27,Inputs!$B$4="Chapter Hunt"),CHOOSE(ArtifactsInput!$N$27+1,20,24,28,32,36,40),0)/100)))+1)),0)</f>
        <v/>
      </c>
      <c r="S2338">
        <f>IFERROR(O2338/N2338,0)</f>
        <v/>
      </c>
      <c r="T2338">
        <f>IF(C2338,(H2338*N2338*IF(AND(Inputs!$B$38&lt;&gt;"pvp",Inputs!$B$43&gt;0),((Skills!G11*((R2338-1)*IF(Skills!H11&gt;0,INT(Skills!I11/Skills!H11+0.000000001),1)+IF(Skills!H11&gt;0,INT(MIN(Skills!I11,MAX(0,MAX(0,Inputs!$B$43-B2369)-((R2338-1)*(IF(Inputs!$B$38="pvp",15,MAX(0.1,Skills!D11-IF(TRUE=TRUE,Inputs!$B$32,0)))*(1-IF(AND(ArtifactsInput!$M$27,Inputs!$B$4="Chapter Hunt"),CHOOSE(ArtifactsInput!$N$27+1,20,24,28,32,36,40),0)/100)))))/Skills!H11+0.000000001),1)))/Inputs!$B$43),G2338*Q2338)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8">
        <f>IF(C2338,(H2338*N2338*IF(AND(Inputs!$B$38&lt;&gt;"pvp",Inputs!$B$43&gt;0),((Skills!G11*((R2338-1)*IF(Skills!H11&gt;0,INT(Skills!I11/Skills!H11+0.000000001),1)+IF(Skills!H11&gt;0,INT(MIN(Skills!I11,MAX(0,MAX(0,Inputs!$B$43-B2369)-((R2338-1)*(IF(Inputs!$B$38="pvp",15,MAX(0.1,Skills!D11-IF(TRUE=TRUE,Inputs!$B$32,0)))*(1-IF(AND(ArtifactsInput!$M$27,Inputs!$B$4="Chapter Hunt"),CHOOSE(ArtifactsInput!$N$27+1,20,24,28,32,36,40),0)/100)))))/Skills!H11+0.000000001),1)))/Inputs!$B$43),G2338*Q2338))*IF(Inputs!$B$38="pvp",1,(1+(Inputs!$B$21+Skills!Q11+(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Skills!A12</f>
        <v/>
      </c>
      <c r="B2339">
        <f>Skills!B12</f>
        <v/>
      </c>
      <c r="C2339">
        <f>Inputs!$B$3&gt;=100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t="inlineStr"/>
      <c r="H2339" t="inlineStr"/>
      <c r="I2339" t="inlineStr">
        <is>
          <t>1</t>
        </is>
      </c>
      <c r="J2339" t="inlineStr"/>
      <c r="K2339" t="inlineStr"/>
      <c r="L2339" t="inlineStr"/>
      <c r="M2339" t="inlineStr"/>
      <c r="N2339" t="inlineStr"/>
      <c r="O2339" t="inlineStr"/>
      <c r="P2339" t="inlineStr"/>
      <c r="Q2339" t="inlineStr"/>
      <c r="R2339" t="inlineStr"/>
      <c r="S2339" t="inlineStr"/>
      <c r="T2339" t="inlineStr"/>
      <c r="V2339" t="inlineStr"/>
    </row>
    <row r="2340">
      <c r="A2340">
        <f>Skills!A13</f>
        <v/>
      </c>
      <c r="B2340">
        <f>Skills!B13</f>
        <v/>
      </c>
      <c r="C2340">
        <f>Inputs!$B$3&gt;=60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f>Skills!G13*IF(Skills!H13&gt;0,INT(IF(Inputs!$B$38="pvp",MIN(Skills!I13,15),Skills!I13)/Skills!H13+0.000000001),1)</f>
        <v/>
      </c>
      <c r="H2340">
        <f>1-(1-Skills!J13/100)^Skills!K13</f>
        <v/>
      </c>
      <c r="I2340" t="inlineStr">
        <is>
          <t>1</t>
        </is>
      </c>
      <c r="J2340">
        <f>((Inputs!$B$6*(1+Inputs!$B$7/100))+(((Inputs!$B$12*(1+Inputs!$B$13/100))-(Inputs!$B$12*(1+Inputs!$B$13/100)))+0.25*(Inputs!$B$14-Inputs!$B$14))*(1+Inputs!$B$7/100))*(F2340/100)</f>
        <v/>
      </c>
      <c r="K2340">
        <f>J2340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2341=TRUE,F2341,0)/100)*(1+(IF(Skills!A13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26)),(Inputs!$B$23+((C2358=TRUE)*(F2358-Calc!F31))+(IF(ArtifactsInput!$M$15,CHOOSE(ArtifactsInput!$N$15+1,25,30,35,40,45,50)/100*(Inputs!$B$11-Inputs!$B$11),0))))/100+(Inputs!$B$23+((C2358=TRUE)*(F2358-Calc!F31))+(IF(ArtifactsInput!$M$15,CHOOSE(ArtifactsInput!$N$15+1,25,30,35,40,45,50)/100*(Inputs!$B$11-Inputs!$B$11),0)))/100)/2</f>
        <v/>
      </c>
      <c r="M2340">
        <f>L2340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IF(B2372=0,0,O2340/B2372)</f>
        <v/>
      </c>
      <c r="Q2340">
        <f>IFERROR(1/(IF(Inputs!$B$38="pvp",15,MAX(0.1,IF(Inputs!$B$3&gt;=122,3,5)+1/(((20+30*(B2364-1)*100/150)/100)*B2364)-IF(FALSE=TRUE,Inputs!$B$32,0)))*(1-IF(AND(ArtifactsInput!$M$27,Inputs!$B$4="Chapter Hunt"),CHOOSE(ArtifactsInput!$N$27+1,20,24,28,32,36,40),0)/100)),0)</f>
        <v/>
      </c>
      <c r="R2340">
        <f>IF(AND(Inputs!$B$38&lt;&gt;"pvp",Inputs!$B$43&gt;0),IF(MAX(0,Inputs!$B$43-B2369)&lt;=0,0,(INT(MAX(0,Inputs!$B$43-B2369)/(IF(Inputs!$B$38="pvp",15,MAX(0.1,IF(Inputs!$B$3&gt;=122,3,5)+1/(((20+30*(B2364-1)*100/150)/100)*B2364)-IF(FALSE=TRUE,Inputs!$B$32,0)))*(1-IF(AND(ArtifactsInput!$M$27,Inputs!$B$4="Chapter Hunt"),CHOOSE(ArtifactsInput!$N$27+1,20,24,28,32,36,40),0)/100)))+1)),0)</f>
        <v/>
      </c>
      <c r="S2340">
        <f>IFERROR(O2340/N2340,0)</f>
        <v/>
      </c>
      <c r="T2340">
        <f>IF(C2340,(H2340*N2340*IF(AND(Inputs!$B$38&lt;&gt;"pvp",Inputs!$B$43&gt;0),((Skills!G13*((R2340-1)*IF(Skills!H13&gt;0,INT(Skills!I13/Skills!H13+0.000000001),1)+IF(Skills!H13&gt;0,INT(MIN(Skills!I13,MAX(0,MAX(0,Inputs!$B$43-B2369)-((R2340-1)*(IF(Inputs!$B$38="pvp",15,MAX(0.1,IF(Inputs!$B$3&gt;=122,3,5)+1/(((20+30*(B2364-1)*100/150)/100)*B2364)-IF(FALSE=TRUE,Inputs!$B$32,0)))*(1-IF(AND(ArtifactsInput!$M$27,Inputs!$B$4="Chapter Hunt"),CHOOSE(ArtifactsInput!$N$27+1,20,24,28,32,36,40),0)/100)))))/Skills!H13+0.000000001),1)))/Inputs!$B$43),G2340*Q2340)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13*((R2340-1)*IF(Skills!H13&gt;0,INT(Skills!I13/Skills!H13+0.000000001),1)+IF(Skills!H13&gt;0,INT(MIN(Skills!I13,MAX(0,MAX(0,Inputs!$B$43-B2369)-((R2340-1)*(IF(Inputs!$B$38="pvp",15,MAX(0.1,IF(Inputs!$B$3&gt;=122,3,5)+1/(((20+30*(B2364-1)*100/150)/100)*B2364)-IF(FALSE=TRUE,Inputs!$B$32,0)))*(1-IF(AND(ArtifactsInput!$M$27,Inputs!$B$4="Chapter Hunt"),CHOOSE(ArtifactsInput!$N$27+1,20,24,28,32,36,40),0)/100)))))/Skills!H13+0.000000001),1)))/Inputs!$B$43),G2340*Q2340))*IF(Inputs!$B$38="pvp",1,(1+(Inputs!$B$21+Skills!Q13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Skills!A14</f>
        <v/>
      </c>
      <c r="B2341">
        <f>Skills!B14</f>
        <v/>
      </c>
      <c r="C2341">
        <f>Inputs!$B$3&gt;=110</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t="inlineStr"/>
      <c r="H2341" t="inlineStr"/>
      <c r="I2341" t="inlineStr">
        <is>
          <t>1</t>
        </is>
      </c>
      <c r="J2341" t="inlineStr"/>
      <c r="K2341" t="inlineStr"/>
      <c r="L2341" t="inlineStr"/>
      <c r="M2341" t="inlineStr"/>
      <c r="N2341" t="inlineStr"/>
      <c r="O2341" t="inlineStr"/>
      <c r="P2341" t="inlineStr"/>
      <c r="Q2341" t="inlineStr"/>
      <c r="R2341" t="inlineStr"/>
      <c r="S2341" t="inlineStr"/>
      <c r="T2341" t="inlineStr"/>
      <c r="V2341" t="inlineStr"/>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Skills!G15*IF(Skills!H15&gt;0,INT(IF(Inputs!$B$38="pvp",MIN(Skills!I15,15),Skills!I15)/Skills!H15+0.000000001),1)</f>
        <v/>
      </c>
      <c r="H2342">
        <f>1-(1-Skills!J15/100)^Skills!K15</f>
        <v/>
      </c>
      <c r="I2342" t="inlineStr">
        <is>
          <t>1</t>
        </is>
      </c>
      <c r="J2342" t="inlineStr"/>
      <c r="K2342" t="inlineStr"/>
      <c r="L2342" t="inlineStr"/>
      <c r="M2342" t="inlineStr"/>
      <c r="N2342" t="inlineStr"/>
      <c r="O2342">
        <f>(1-Summary!$B$11)*T2342+Summary!$B$11*V2342</f>
        <v/>
      </c>
      <c r="P2342">
        <f>IF(B2372=0,0,O2342/B2372)</f>
        <v/>
      </c>
      <c r="Q2342" t="n">
        <v>0</v>
      </c>
      <c r="R2342" t="n">
        <v>0</v>
      </c>
      <c r="S2342">
        <f>IFERROR(O2342/N2342,0)</f>
        <v/>
      </c>
      <c r="T2342" t="n">
        <v>0</v>
      </c>
      <c r="V2342" t="n">
        <v>0</v>
      </c>
    </row>
    <row r="2343">
      <c r="A2343">
        <f>Skills!A16</f>
        <v/>
      </c>
      <c r="B2343">
        <f>Skills!B16</f>
        <v/>
      </c>
      <c r="C2343">
        <f>Inputs!$B$3&gt;=74</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Skills!G16*IF(Skills!H16&gt;0,INT(IF(Inputs!$B$38="pvp",MIN(Skills!I16,15),Skills!I16)/Skills!H16+0.000000001),1)</f>
        <v/>
      </c>
      <c r="H2343">
        <f>1-(1-Skills!J16/100)^Skills!K16</f>
        <v/>
      </c>
      <c r="I2343" t="inlineStr">
        <is>
          <t>1</t>
        </is>
      </c>
      <c r="J2343" t="inlineStr"/>
      <c r="K2343" t="inlineStr"/>
      <c r="L2343" t="inlineStr"/>
      <c r="M2343" t="inlineStr"/>
      <c r="N2343" t="inlineStr"/>
      <c r="O2343">
        <f>(1-Summary!$B$11)*T2343+Summary!$B$11*V2343</f>
        <v/>
      </c>
      <c r="P2343">
        <f>IF(B2372=0,0,O2343/B2372)</f>
        <v/>
      </c>
      <c r="Q2343" t="n">
        <v>0</v>
      </c>
      <c r="R2343" t="n">
        <v>0</v>
      </c>
      <c r="S2343">
        <f>IFERROR(O2343/N2343,0)</f>
        <v/>
      </c>
      <c r="T2343" t="n">
        <v>0</v>
      </c>
      <c r="V2343" t="n">
        <v>0</v>
      </c>
    </row>
    <row r="2344">
      <c r="A2344">
        <f>Skills!A17</f>
        <v/>
      </c>
      <c r="B2344">
        <f>Skills!B17</f>
        <v/>
      </c>
      <c r="C2344">
        <f>Inputs!$B$3&gt;=117</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Skills!G17*IF(Skills!H17&gt;0,INT(IF(Inputs!$B$38="pvp",MIN(Skills!I17,15),Skills!I17)/Skills!H17+0.000000001),1)</f>
        <v/>
      </c>
      <c r="H2344">
        <f>1-(1-Skills!J17/100)^Skills!K17</f>
        <v/>
      </c>
      <c r="I2344" t="inlineStr">
        <is>
          <t>1</t>
        </is>
      </c>
      <c r="J2344" t="inlineStr"/>
      <c r="K2344" t="inlineStr"/>
      <c r="L2344" t="inlineStr"/>
      <c r="M2344" t="inlineStr"/>
      <c r="N2344" t="inlineStr"/>
      <c r="O2344">
        <f>(1-Summary!$B$11)*T2344+Summary!$B$11*V2344</f>
        <v/>
      </c>
      <c r="P2344">
        <f>IF(B2372=0,0,O2344/B2372)</f>
        <v/>
      </c>
      <c r="Q2344">
        <f>IFERROR(1/(IF(Inputs!$B$38="pvp",15,MAX(0.1,Skills!D17-IF(TRUE=TRUE,Inputs!$B$32,0)))*(1-IF(AND(ArtifactsInput!$M$27,Inputs!$B$4="Chapter Hunt"),CHOOSE(ArtifactsInput!$N$27+1,20,24,28,32,36,40),0)/100)),0)</f>
        <v/>
      </c>
      <c r="R2344">
        <f>IF(AND(Inputs!$B$38&lt;&gt;"pvp",Inputs!$B$43&gt;0),IF(Inputs!$B$43&lt;=0,0,(INT(Inputs!$B$43/(IF(Inputs!$B$38="pvp",15,MAX(0.1,Skills!D17-IF(TRUE=TRUE,Inputs!$B$32,0)))*(1-IF(AND(ArtifactsInput!$M$27,Inputs!$B$4="Chapter Hunt"),CHOOSE(ArtifactsInput!$N$27+1,20,24,28,32,36,40),0)/100)))+1)),0)</f>
        <v/>
      </c>
      <c r="S2344">
        <f>IFERROR(O2344/N2344,0)</f>
        <v/>
      </c>
      <c r="T2344" t="n">
        <v>0</v>
      </c>
      <c r="V2344" t="n">
        <v>0</v>
      </c>
    </row>
    <row r="2345">
      <c r="A2345">
        <f>Skills!A18</f>
        <v/>
      </c>
      <c r="B2345">
        <f>Skills!B18</f>
        <v/>
      </c>
      <c r="C2345">
        <f>Inputs!$B$3&gt;=115</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Skills!G18*IF(Skills!H18&gt;0,INT(IF(Inputs!$B$38="pvp",MIN(Skills!I18,15),Skills!I18)/Skills!H18+0.000000001),1)</f>
        <v/>
      </c>
      <c r="H2345">
        <f>1-(1-Skills!J18/100)^Skills!K18</f>
        <v/>
      </c>
      <c r="I2345" t="inlineStr">
        <is>
          <t>1</t>
        </is>
      </c>
      <c r="J2345" t="inlineStr"/>
      <c r="K2345" t="inlineStr"/>
      <c r="L2345" t="inlineStr"/>
      <c r="M2345" t="inlineStr"/>
      <c r="N2345" t="inlineStr"/>
      <c r="O2345">
        <f>(1-Summary!$B$11)*T2345+Summary!$B$11*V2345</f>
        <v/>
      </c>
      <c r="P2345">
        <f>IF(B2372=0,0,O2345/B2372)</f>
        <v/>
      </c>
      <c r="Q2345">
        <f>IFERROR(1/(IF(Inputs!$B$38="pvp",15,MAX(0.1,Skills!D18-IF(TRUE=TRUE,Inputs!$B$32,0)))*(1-IF(AND(ArtifactsInput!$M$27,Inputs!$B$4="Chapter Hunt"),CHOOSE(ArtifactsInput!$N$27+1,20,24,28,32,36,40),0)/100)),0)</f>
        <v/>
      </c>
      <c r="R2345">
        <f>IF(AND(Inputs!$B$38&lt;&gt;"pvp",Inputs!$B$43&gt;0),IF(Inputs!$B$43&lt;=0,0,(INT(Inputs!$B$43/(IF(Inputs!$B$38="pvp",15,MAX(0.1,Skills!D18-IF(TRUE=TRUE,Inputs!$B$32,0)))*(1-IF(AND(ArtifactsInput!$M$27,Inputs!$B$4="Chapter Hunt"),CHOOSE(ArtifactsInput!$N$27+1,20,24,28,32,36,40),0)/100)))+1)),0)</f>
        <v/>
      </c>
      <c r="S2345">
        <f>IFERROR(O2345/N2345,0)</f>
        <v/>
      </c>
      <c r="T2345" t="n">
        <v>0</v>
      </c>
      <c r="V2345" t="n">
        <v>0</v>
      </c>
    </row>
    <row r="2346">
      <c r="A2346">
        <f>Skills!A19</f>
        <v/>
      </c>
      <c r="B2346">
        <f>Skills!B19</f>
        <v/>
      </c>
      <c r="C2346">
        <f>Inputs!$B$3&gt;=66</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Skills!G19*IF(Skills!H19&gt;0,INT(IF(Inputs!$B$38="pvp",MIN(Skills!I19,15),Skills!I19)/Skills!H19+0.000000001),1)</f>
        <v/>
      </c>
      <c r="H2346">
        <f>1-(1-Skills!J19/100)^Skills!K19</f>
        <v/>
      </c>
      <c r="I2346" t="inlineStr">
        <is>
          <t>1</t>
        </is>
      </c>
      <c r="J2346" t="inlineStr"/>
      <c r="K2346" t="inlineStr"/>
      <c r="L2346" t="inlineStr"/>
      <c r="M2346" t="inlineStr"/>
      <c r="N2346" t="inlineStr"/>
      <c r="O2346">
        <f>(1-Summary!$B$11)*T2346+Summary!$B$11*V2346</f>
        <v/>
      </c>
      <c r="P2346">
        <f>IF(B2372=0,0,O2346/B2372)</f>
        <v/>
      </c>
      <c r="Q2346" t="n">
        <v>0</v>
      </c>
      <c r="R2346" t="n">
        <v>0</v>
      </c>
      <c r="S2346">
        <f>IFERROR(O2346/N2346,0)</f>
        <v/>
      </c>
      <c r="T2346" t="n">
        <v>0</v>
      </c>
      <c r="V2346" t="n">
        <v>0</v>
      </c>
    </row>
    <row r="2347">
      <c r="A2347">
        <f>Skills!A20</f>
        <v/>
      </c>
      <c r="B2347">
        <f>Skills!B20</f>
        <v/>
      </c>
      <c r="C2347">
        <f>Inputs!$B$3&gt;=72</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Skills!G20*IF(Skills!H20&gt;0,INT(IF(Inputs!$B$38="pvp",MIN(Skills!I20,15),Skills!I20)/Skills!H20+0.000000001),1)</f>
        <v/>
      </c>
      <c r="H2347">
        <f>1-(1-Skills!J20/100)^Skills!K20</f>
        <v/>
      </c>
      <c r="I2347" t="inlineStr">
        <is>
          <t>1</t>
        </is>
      </c>
      <c r="J2347" t="inlineStr"/>
      <c r="K2347" t="inlineStr"/>
      <c r="L2347" t="inlineStr"/>
      <c r="M2347" t="inlineStr"/>
      <c r="N2347" t="inlineStr"/>
      <c r="O2347">
        <f>(1-Summary!$B$11)*T2347+Summary!$B$11*V2347</f>
        <v/>
      </c>
      <c r="P2347">
        <f>IF(B2372=0,0,O2347/B2372)</f>
        <v/>
      </c>
      <c r="Q2347" t="n">
        <v>0</v>
      </c>
      <c r="R2347" t="n">
        <v>0</v>
      </c>
      <c r="S2347">
        <f>IFERROR(O2347/N2347,0)</f>
        <v/>
      </c>
      <c r="T2347" t="n">
        <v>0</v>
      </c>
      <c r="V2347" t="n">
        <v>0</v>
      </c>
    </row>
    <row r="2348">
      <c r="A2348">
        <f>Skills!A21</f>
        <v/>
      </c>
      <c r="B2348">
        <f>Skills!B21</f>
        <v/>
      </c>
      <c r="C2348">
        <f>TRUE</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Skills!G21*IF(Skills!H21&gt;0,INT(IF(Inputs!$B$38="pvp",MIN(Skills!I21,15),Skills!I21)/Skills!H21+0.000000001),1)</f>
        <v/>
      </c>
      <c r="H2348">
        <f>1-(1-Skills!J21/100)^Skills!K21</f>
        <v/>
      </c>
      <c r="I2348" t="inlineStr">
        <is>
          <t>1</t>
        </is>
      </c>
      <c r="J2348" t="inlineStr"/>
      <c r="K2348" t="inlineStr"/>
      <c r="L2348" t="inlineStr"/>
      <c r="M2348" t="inlineStr"/>
      <c r="N2348" t="inlineStr"/>
      <c r="O2348">
        <f>(1-Summary!$B$11)*T2348+Summary!$B$11*V2348</f>
        <v/>
      </c>
      <c r="P2348">
        <f>IF(B2372=0,0,O2348/B2372)</f>
        <v/>
      </c>
      <c r="Q2348">
        <f>IFERROR(1/(IF(Inputs!$B$38="pvp",15,MAX(0.1,Skills!D21-IF(TRUE=TRUE,Inputs!$B$32,0)))*(1-IF(AND(ArtifactsInput!$M$27,Inputs!$B$4="Chapter Hunt"),CHOOSE(ArtifactsInput!$N$27+1,20,24,28,32,36,40),0)/100)),0)</f>
        <v/>
      </c>
      <c r="R2348">
        <f>IF(AND(Inputs!$B$38&lt;&gt;"pvp",Inputs!$B$43&gt;0),IF(Inputs!$B$43&lt;=0,0,(INT(Inputs!$B$43/(IF(Inputs!$B$38="pvp",15,MAX(0.1,Skills!D21-IF(TRUE=TRUE,Inputs!$B$32,0)))*(1-IF(AND(ArtifactsInput!$M$27,Inputs!$B$4="Chapter Hunt"),CHOOSE(ArtifactsInput!$N$27+1,20,24,28,32,36,40),0)/100)))+1)),0)</f>
        <v/>
      </c>
      <c r="S2348">
        <f>IFERROR(O2348/N2348,0)</f>
        <v/>
      </c>
      <c r="T2348" t="n">
        <v>0</v>
      </c>
      <c r="V2348" t="n">
        <v>0</v>
      </c>
    </row>
    <row r="2349">
      <c r="A2349">
        <f>Skills!A22</f>
        <v/>
      </c>
      <c r="B2349">
        <f>Skills!B22</f>
        <v/>
      </c>
      <c r="C2349">
        <f>Inputs!$B$3&gt;=15</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Skills!G22*IF(Skills!H22&gt;0,INT(IF(Inputs!$B$38="pvp",MIN(Skills!I22,15),Skills!I22)/Skills!H22+0.000000001),1)</f>
        <v/>
      </c>
      <c r="H2349">
        <f>1-(1-Skills!J22/100)^Skills!K22</f>
        <v/>
      </c>
      <c r="I2349" t="inlineStr">
        <is>
          <t>1</t>
        </is>
      </c>
      <c r="J2349" t="inlineStr"/>
      <c r="K2349" t="inlineStr"/>
      <c r="L2349" t="inlineStr"/>
      <c r="M2349" t="inlineStr"/>
      <c r="N2349" t="inlineStr"/>
      <c r="O2349">
        <f>(1-Summary!$B$11)*T2349+Summary!$B$11*V2349</f>
        <v/>
      </c>
      <c r="P2349">
        <f>IF(B2372=0,0,O2349/B2372)</f>
        <v/>
      </c>
      <c r="Q2349" t="n">
        <v>0</v>
      </c>
      <c r="R2349" t="n">
        <v>0</v>
      </c>
      <c r="S2349">
        <f>IFERROR(O2349/N2349,0)</f>
        <v/>
      </c>
      <c r="T2349" t="n">
        <v>0</v>
      </c>
      <c r="V2349" t="n">
        <v>0</v>
      </c>
    </row>
    <row r="2350">
      <c r="A2350">
        <f>Skills!A23</f>
        <v/>
      </c>
      <c r="B2350">
        <f>Skills!B23</f>
        <v/>
      </c>
      <c r="C2350">
        <f>Inputs!$B$3&gt;=10</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Skills!G23*IF(Skills!H23&gt;0,INT(IF(Inputs!$B$38="pvp",MIN(Skills!I23,15),Skills!I23)/Skills!H23+0.000000001),1)</f>
        <v/>
      </c>
      <c r="H2350">
        <f>1-(1-Skills!J23/100)^Skills!K23</f>
        <v/>
      </c>
      <c r="I2350" t="inlineStr">
        <is>
          <t>1</t>
        </is>
      </c>
      <c r="J2350" t="inlineStr"/>
      <c r="K2350" t="inlineStr"/>
      <c r="L2350" t="inlineStr"/>
      <c r="M2350" t="inlineStr"/>
      <c r="N2350" t="inlineStr"/>
      <c r="O2350">
        <f>(1-Summary!$B$11)*T2350+Summary!$B$11*V2350</f>
        <v/>
      </c>
      <c r="P2350">
        <f>IF(B2372=0,0,O2350/B2372)</f>
        <v/>
      </c>
      <c r="Q2350" t="n">
        <v>0</v>
      </c>
      <c r="R2350" t="n">
        <v>0</v>
      </c>
      <c r="S2350">
        <f>IFERROR(O2350/N2350,0)</f>
        <v/>
      </c>
      <c r="T2350" t="n">
        <v>0</v>
      </c>
      <c r="V2350" t="n">
        <v>0</v>
      </c>
    </row>
    <row r="2351">
      <c r="A2351">
        <f>Skills!A24</f>
        <v/>
      </c>
      <c r="B2351">
        <f>Skills!B24</f>
        <v/>
      </c>
      <c r="C2351">
        <f>Inputs!$B$3&gt;=33</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Skills!G24*IF(Skills!H24&gt;0,INT(IF(Inputs!$B$38="pvp",MIN(Skills!I24,15),Skills!I24)/Skills!H24+0.000000001),1)</f>
        <v/>
      </c>
      <c r="H2351">
        <f>1-(1-Skills!J24/100)^Skills!K24</f>
        <v/>
      </c>
      <c r="I2351" t="inlineStr">
        <is>
          <t>1</t>
        </is>
      </c>
      <c r="J2351" t="inlineStr"/>
      <c r="K2351" t="inlineStr"/>
      <c r="L2351" t="inlineStr"/>
      <c r="M2351" t="inlineStr"/>
      <c r="N2351" t="inlineStr"/>
      <c r="O2351">
        <f>(1-Summary!$B$11)*T2351+Summary!$B$11*V2351</f>
        <v/>
      </c>
      <c r="P2351">
        <f>IF(B2372=0,0,O2351/B2372)</f>
        <v/>
      </c>
      <c r="Q2351" t="n">
        <v>0</v>
      </c>
      <c r="R2351" t="n">
        <v>0</v>
      </c>
      <c r="S2351">
        <f>IFERROR(O2351/N2351,0)</f>
        <v/>
      </c>
      <c r="T2351" t="n">
        <v>0</v>
      </c>
      <c r="V2351" t="n">
        <v>0</v>
      </c>
    </row>
    <row r="2352">
      <c r="A2352">
        <f>Skills!A25</f>
        <v/>
      </c>
      <c r="B2352">
        <f>Skills!B25</f>
        <v/>
      </c>
      <c r="C2352">
        <f>Inputs!$B$3&gt;=38</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Skills!G25*IF(Skills!H25&gt;0,INT(IF(Inputs!$B$38="pvp",MIN(Skills!I25,15),Skills!I25)/Skills!H25+0.000000001),1)</f>
        <v/>
      </c>
      <c r="H2352">
        <f>1-(1-Skills!J25/100)^Skills!K25</f>
        <v/>
      </c>
      <c r="I2352" t="inlineStr">
        <is>
          <t>1</t>
        </is>
      </c>
      <c r="J2352" t="inlineStr"/>
      <c r="K2352" t="inlineStr"/>
      <c r="L2352" t="inlineStr"/>
      <c r="M2352" t="inlineStr"/>
      <c r="N2352" t="inlineStr"/>
      <c r="O2352">
        <f>(1-Summary!$B$11)*T2352+Summary!$B$11*V2352</f>
        <v/>
      </c>
      <c r="P2352">
        <f>IF(B2372=0,0,O2352/B2372)</f>
        <v/>
      </c>
      <c r="Q2352" t="n">
        <v>0</v>
      </c>
      <c r="R2352" t="n">
        <v>0</v>
      </c>
      <c r="S2352">
        <f>IFERROR(O2352/N2352,0)</f>
        <v/>
      </c>
      <c r="T2352" t="n">
        <v>0</v>
      </c>
      <c r="V2352" t="n">
        <v>0</v>
      </c>
    </row>
    <row r="2353">
      <c r="A2353">
        <f>Skills!A26</f>
        <v/>
      </c>
      <c r="B2353">
        <f>Skills!B26</f>
        <v/>
      </c>
      <c r="C2353">
        <f>Inputs!$B$3&gt;=43</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Skills!G26*IF(Skills!H26&gt;0,INT(IF(Inputs!$B$38="pvp",MIN(Skills!I26,15),Skills!I26)/Skills!H26+0.000000001),1)</f>
        <v/>
      </c>
      <c r="H2353">
        <f>1-(1-Skills!J26/100)^Skills!K26</f>
        <v/>
      </c>
      <c r="I2353" t="inlineStr">
        <is>
          <t>1</t>
        </is>
      </c>
      <c r="J2353" t="inlineStr"/>
      <c r="K2353" t="inlineStr"/>
      <c r="L2353" t="inlineStr"/>
      <c r="M2353" t="inlineStr"/>
      <c r="N2353" t="inlineStr"/>
      <c r="O2353">
        <f>(1-Summary!$B$11)*T2353+Summary!$B$11*V2353</f>
        <v/>
      </c>
      <c r="P2353">
        <f>IF(B2372=0,0,O2353/B2372)</f>
        <v/>
      </c>
      <c r="Q2353" t="n">
        <v>0</v>
      </c>
      <c r="R2353" t="n">
        <v>0</v>
      </c>
      <c r="S2353">
        <f>IFERROR(O2353/N2353,0)</f>
        <v/>
      </c>
      <c r="T2353" t="n">
        <v>0</v>
      </c>
      <c r="V2353" t="n">
        <v>0</v>
      </c>
    </row>
    <row r="2354">
      <c r="A2354">
        <f>Skills!A27</f>
        <v/>
      </c>
      <c r="B2354">
        <f>Skills!B27</f>
        <v/>
      </c>
      <c r="C2354">
        <f>Inputs!$B$3&gt;=75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Skills!G27*IF(Skills!H27&gt;0,INT(IF(Inputs!$B$38="pvp",MIN(Skills!I27,15),Skills!I27)/Skills!H27+0.000000001),1)</f>
        <v/>
      </c>
      <c r="H2354">
        <f>1-(1-Skills!J27/100)^Skills!K27</f>
        <v/>
      </c>
      <c r="I2354" t="inlineStr">
        <is>
          <t>1</t>
        </is>
      </c>
      <c r="J2354" t="inlineStr"/>
      <c r="K2354" t="inlineStr"/>
      <c r="L2354" t="inlineStr"/>
      <c r="M2354" t="inlineStr"/>
      <c r="N2354" t="inlineStr"/>
      <c r="O2354">
        <f>(1-Summary!$B$11)*T2354+Summary!$B$11*V2354</f>
        <v/>
      </c>
      <c r="P2354">
        <f>IF(B2372=0,0,O2354/B2372)</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Skills!G28*IF(Skills!H28&gt;0,INT(IF(Inputs!$B$38="pvp",MIN(Skills!I28,15),Skills!I28)/Skills!H28+0.000000001),1)</f>
        <v/>
      </c>
      <c r="H2355">
        <f>1-(1-Skills!J28/100)^Skills!K28</f>
        <v/>
      </c>
      <c r="I2355" t="inlineStr">
        <is>
          <t>1</t>
        </is>
      </c>
      <c r="J2355" t="inlineStr"/>
      <c r="K2355" t="inlineStr"/>
      <c r="L2355" t="inlineStr"/>
      <c r="M2355" t="inlineStr"/>
      <c r="N2355" t="inlineStr"/>
      <c r="O2355">
        <f>(1-Summary!$B$11)*T2355+Summary!$B$11*V2355</f>
        <v/>
      </c>
      <c r="P2355">
        <f>IF(B2372=0,0,O2355/B2372)</f>
        <v/>
      </c>
      <c r="Q2355" t="n">
        <v>0</v>
      </c>
      <c r="R2355" t="n">
        <v>0</v>
      </c>
      <c r="S2355">
        <f>IFERROR(O2355/N2355,0)</f>
        <v/>
      </c>
      <c r="T2355" t="n">
        <v>0</v>
      </c>
      <c r="V2355" t="n">
        <v>0</v>
      </c>
    </row>
    <row r="2356">
      <c r="A2356">
        <f>Skills!A29</f>
        <v/>
      </c>
      <c r="B2356">
        <f>Skills!B29</f>
        <v/>
      </c>
      <c r="C2356">
        <f>Inputs!$B$3&gt;=125</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Skills!G29*IF(Skills!H29&gt;0,INT(IF(Inputs!$B$38="pvp",MIN(Skills!I29,15),Skills!I29)/Skills!H29+0.000000001),1)</f>
        <v/>
      </c>
      <c r="H2356">
        <f>1-(1-Skills!J29/100)^Skills!K29</f>
        <v/>
      </c>
      <c r="I2356" t="inlineStr">
        <is>
          <t>1</t>
        </is>
      </c>
      <c r="J2356" t="inlineStr"/>
      <c r="K2356" t="inlineStr"/>
      <c r="L2356" t="inlineStr"/>
      <c r="M2356" t="inlineStr"/>
      <c r="N2356" t="inlineStr"/>
      <c r="O2356">
        <f>(1-Summary!$B$11)*T2356+Summary!$B$11*V2356</f>
        <v/>
      </c>
      <c r="P2356">
        <f>IF(B2372=0,0,O2356/B2372)</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Skills!G30*IF(Skills!H30&gt;0,INT(IF(Inputs!$B$38="pvp",MIN(Skills!I30,15),Skills!I30)/Skills!H30+0.000000001),1)</f>
        <v/>
      </c>
      <c r="H2357">
        <f>1-(1-Skills!J30/100)^Skills!K30</f>
        <v/>
      </c>
      <c r="I2357" t="inlineStr">
        <is>
          <t>1</t>
        </is>
      </c>
      <c r="J2357" t="inlineStr"/>
      <c r="K2357" t="inlineStr"/>
      <c r="L2357" t="inlineStr"/>
      <c r="M2357" t="inlineStr"/>
      <c r="N2357" t="inlineStr"/>
      <c r="O2357">
        <f>(1-Summary!$B$11)*T2357+Summary!$B$11*V2357</f>
        <v/>
      </c>
      <c r="P2357">
        <f>IF(B2372=0,0,O2357/B2372)</f>
        <v/>
      </c>
      <c r="Q2357" t="n">
        <v>0</v>
      </c>
      <c r="R2357" t="n">
        <v>0</v>
      </c>
      <c r="S2357">
        <f>IFERROR(O2357/N2357,0)</f>
        <v/>
      </c>
      <c r="T2357" t="n">
        <v>0</v>
      </c>
      <c r="V2357" t="n">
        <v>0</v>
      </c>
    </row>
    <row r="2358">
      <c r="A2358">
        <f>Skills!A31</f>
        <v/>
      </c>
      <c r="B2358">
        <f>Skills!B31</f>
        <v/>
      </c>
      <c r="C2358">
        <f>Inputs!$B$3&gt;=120</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Skills!G31*IF(Skills!H31&gt;0,INT(IF(Inputs!$B$38="pvp",MIN(Skills!I31,15),Skills!I31)/Skills!H31+0.000000001),1)</f>
        <v/>
      </c>
      <c r="H2358">
        <f>1-(1-Skills!J31/100)^Skills!K31</f>
        <v/>
      </c>
      <c r="I2358" t="inlineStr">
        <is>
          <t>1</t>
        </is>
      </c>
      <c r="J2358" t="inlineStr"/>
      <c r="K2358" t="inlineStr"/>
      <c r="L2358" t="inlineStr"/>
      <c r="M2358" t="inlineStr"/>
      <c r="N2358" t="inlineStr"/>
      <c r="O2358">
        <f>(1-Summary!$B$11)*T2358+Summary!$B$11*V2358</f>
        <v/>
      </c>
      <c r="P2358">
        <f>IF(B2372=0,0,O2358/B2372)</f>
        <v/>
      </c>
      <c r="Q2358" t="n">
        <v>0</v>
      </c>
      <c r="R2358" t="n">
        <v>0</v>
      </c>
      <c r="S2358">
        <f>IFERROR(O2358/N2358,0)</f>
        <v/>
      </c>
      <c r="T2358" t="n">
        <v>0</v>
      </c>
      <c r="V2358" t="n">
        <v>0</v>
      </c>
    </row>
    <row r="2359">
      <c r="A2359">
        <f>Skills!A32</f>
        <v/>
      </c>
      <c r="B2359">
        <f>Skills!B32</f>
        <v/>
      </c>
      <c r="C2359">
        <f>Inputs!$B$3&gt;=45</f>
        <v/>
      </c>
      <c r="D2359">
        <f>IF(Skills!C32=1,60+Inputs!$B$25+Inputs!$B$29,IF(Skills!C32=2,90+Inputs!$B$26+Inputs!$B$29,IF(Skills!C32=3,120+Inputs!$B$27+Inputs!$B$29,MAX(0,(Inputs!$B$3-100)*3)+Inputs!$B$28+Inputs!$B$29)))</f>
        <v/>
      </c>
      <c r="E2359">
        <f>INDEX(FactorTable!$B$2:$Y$301, MATCH(ROUND(MIN(300,MAX(1,D2359)),0), FactorTable!$A$2:$A$301,0), Skills!M32+1)</f>
        <v/>
      </c>
      <c r="F2359">
        <f>IF(Skills!N32=TRUE,(Skills!L32/10)*(E2359/1000),Skills!L32/10)+Skills!O32</f>
        <v/>
      </c>
      <c r="G2359">
        <f>Skills!G32*IF(Skills!H32&gt;0,INT(IF(Inputs!$B$38="pvp",MIN(Skills!I32,15),Skills!I32)/Skills!H32+0.000000001),1)</f>
        <v/>
      </c>
      <c r="H2359">
        <f>1-(1-Skills!J32/100)^Skills!K32</f>
        <v/>
      </c>
      <c r="I2359" t="inlineStr">
        <is>
          <t>1</t>
        </is>
      </c>
      <c r="J2359" t="inlineStr"/>
      <c r="K2359" t="inlineStr"/>
      <c r="L2359" t="inlineStr"/>
      <c r="M2359" t="inlineStr"/>
      <c r="N2359" t="inlineStr"/>
      <c r="O2359">
        <f>(1-Summary!$B$11)*T2359+Summary!$B$11*V2359</f>
        <v/>
      </c>
      <c r="P2359">
        <f>IF(B2372=0,0,O2359/B2372)</f>
        <v/>
      </c>
      <c r="Q2359" t="n">
        <v>0</v>
      </c>
      <c r="R2359" t="n">
        <v>0</v>
      </c>
      <c r="S2359">
        <f>IFERROR(O2359/N2359,0)</f>
        <v/>
      </c>
      <c r="T2359" t="n">
        <v>0</v>
      </c>
      <c r="V2359" t="n">
        <v>0</v>
      </c>
    </row>
    <row r="2361">
      <c r="A2361" t="inlineStr">
        <is>
          <t>Attack% Bucket Multiplier</t>
        </is>
      </c>
      <c r="B2361">
        <f>(1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2">
      <c r="A2362" t="inlineStr">
        <is>
          <t>Global Crit Rate Bonus %</t>
        </is>
      </c>
      <c r="B2362" t="n">
        <v>0</v>
      </c>
    </row>
    <row r="2363">
      <c r="A2363" t="inlineStr">
        <is>
          <t>Attack Speed Buff Bonus %</t>
        </is>
      </c>
      <c r="B2363">
        <f>((C2348=TRUE)*F2348*IF(AND(Inputs!$B$38&lt;&gt;"pvp",Inputs!$B$43&gt;0),(((R2348-1)*MIN((Skills!T21*(1+Inputs!$B$34/100)),(1/Q2348))+MIN((Skills!T21*(1+Inputs!$B$34/100)),MAX(0,Inputs!$B$43-((R2348-1)*(1/Q2348)))))/Inputs!$B$43),IF(Inputs!$B$38="pvp",MIN((Skills!T21*(1+Inputs!$B$34/100)),15)/15,MIN(1,(Skills!T21*(1+Inputs!$B$34/100))/(1/Q2348)))))</f>
        <v/>
      </c>
    </row>
    <row r="2364">
      <c r="A2364" t="inlineStr">
        <is>
          <t>Actions Per Second</t>
        </is>
      </c>
      <c r="B2364">
        <f>1+MIN(150,150*(1-(1-(Inputs!$B$11+((C2350=TRUE)*(F2350-Calc!F23))+((C2351=TRUE)*(F2351-Calc!F24)))/150)*(1-B2363/150)))/100</f>
        <v/>
      </c>
    </row>
    <row r="2365">
      <c r="A2365" t="inlineStr">
        <is>
          <t>Skill + Buff Cast Rate</t>
        </is>
      </c>
      <c r="B2365">
        <f>IF(AND(Inputs!$B$38&lt;&gt;"pvp",Inputs!$B$43&gt;0),SUMPRODUCT((Skills!E2:E32=TRUE)*(C2329:C2359=TRUE)*R2329:R2359*Skills!F2:F32)/Inputs!$B$43,SUMPRODUCT((Skills!E2:E32=TRUE)*(C2329:C2359=TRUE)*Q2329:Q2359*Skills!F2:F32))</f>
        <v/>
      </c>
    </row>
    <row r="2366">
      <c r="A2366" t="inlineStr">
        <is>
          <t>Arrow Stream Casts Per Second</t>
        </is>
      </c>
      <c r="B2366">
        <f>MAX(0,B2364-B2365)</f>
        <v/>
      </c>
    </row>
    <row r="2367">
      <c r="A2367" t="inlineStr">
        <is>
          <t>Global Critical Damage Bonus % (Sharp Eyes + Concentration)</t>
        </is>
      </c>
      <c r="B2367">
        <f>(C2345=TRUE)*F2345*IF(AND(Inputs!$B$38&lt;&gt;"pvp",Inputs!$B$43&gt;0),(((R2345-1)*MIN((Skills!T18*(1+Inputs!$B$34/100)),(1/Q2345))+MIN((Skills!T18*(1+Inputs!$B$34/100)),MAX(0,Inputs!$B$43-((R2345-1)*(1/Q2345)))))/Inputs!$B$43),IF(Inputs!$B$38="pvp",MIN((Skills!T18*(1+Inputs!$B$34/100)),15)/15,MIN(1,(Skills!T18*(1+Inputs!$B$34/100))/(1/Q2345))))+(C2346=TRUE)*7*F2346</f>
        <v/>
      </c>
    </row>
    <row r="2368">
      <c r="A2368" t="inlineStr">
        <is>
          <t>Global Final Damage Bonus % (Mortal Blow)</t>
        </is>
      </c>
      <c r="B2368">
        <f>(C2347=TRUE)*F2347</f>
        <v/>
      </c>
    </row>
    <row r="2369">
      <c r="A2369" t="inlineStr">
        <is>
          <t>Buff-Casting Startup Delay (s, fixed-duration only)</t>
        </is>
      </c>
      <c r="B2369">
        <f>IF(AND(Inputs!$B$38&lt;&gt;"pvp",Inputs!$B$43&gt;0),SUMPRODUCT((Skills!T2:T32&gt;0)*(Skills!E2:E32=TRUE)*(C2329:C2359=TRUE))/B2364,0)</f>
        <v/>
      </c>
    </row>
    <row r="2370">
      <c r="A2370" t="inlineStr">
        <is>
          <t>Boss-Only Total DPS (this block's swept value)</t>
        </is>
      </c>
      <c r="B2370">
        <f>SUM(T2329:T2359)</f>
        <v/>
      </c>
    </row>
    <row r="2371">
      <c r="A2371" t="inlineStr">
        <is>
          <t>Normal-Only Total DPS (this block's swept value)</t>
        </is>
      </c>
      <c r="B2371">
        <f>SUM(V2329:V2359)</f>
        <v/>
      </c>
    </row>
    <row r="2372">
      <c r="A2372" s="6" t="inlineStr">
        <is>
          <t>TOTAL DPS</t>
        </is>
      </c>
      <c r="B2372" s="6">
        <f>SUM(O2329:O2359)</f>
        <v/>
      </c>
    </row>
    <row r="2375">
      <c r="A2375" s="6" t="inlineStr">
        <is>
          <t>Stat: Soul Pouch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U2379+Skills!O2</f>
        <v/>
      </c>
      <c r="G2377">
        <f>Skills!G2*IF(Skills!H2&gt;0,INT(IF(Inputs!$B$38="pvp",MIN(Skills!I2,15),Skills!I2)/Skills!H2+0.000000001),1)</f>
        <v/>
      </c>
      <c r="H2377">
        <f>1-(1-Skills!J2/100)^Skills!K2</f>
        <v/>
      </c>
      <c r="I2377" t="inlineStr">
        <is>
          <t>1</t>
        </is>
      </c>
      <c r="J2377">
        <f>((Inputs!$B$6*(1+Inputs!$B$7/100))+(((Inputs!$B$12*(1+Inputs!$B$13/100))-(Inputs!$B$12*(1+Inputs!$B$13/100)))+0.25*(Inputs!$B$14-Inputs!$B$14))*(1+Inputs!$B$7/100))*(F2377/100)</f>
        <v/>
      </c>
      <c r="K2377">
        <f>J2377*(1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2401=TRUE)*(F2401-Calc!F26)),(Inputs!$B$23+((C2406=TRUE)*(F2406-Calc!F31))+(IF(ArtifactsInput!$M$15,CHOOSE(ArtifactsInput!$N$15+1,25,30,35,40,45,50)/100*(Inputs!$B$11-Inputs!$B$11),0))))/100+(Inputs!$B$23+((C2406=TRUE)*(F2406-Calc!F31))+(IF(ArtifactsInput!$M$15,CHOOSE(ArtifactsInput!$N$15+1,25,30,35,40,45,50)/100*(Inputs!$B$11-Inputs!$B$11),0)))/100)/2</f>
        <v/>
      </c>
      <c r="M2377">
        <f>L2377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IF(B2420=0,0,O2377/B2420)</f>
        <v/>
      </c>
      <c r="Q2377" t="n">
        <v>0</v>
      </c>
      <c r="R2377" t="n">
        <v>0</v>
      </c>
      <c r="S2377">
        <f>IFERROR(O2377/N2377,0)</f>
        <v/>
      </c>
      <c r="T2377">
        <f>IF(C2377,(Skills!G2*N2377*B2414)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MAX(0,(Inputs!$B$3-100)*3)+Inputs!$B$28+Inputs!$B$29</f>
        <v/>
      </c>
      <c r="V2377">
        <f>IF(C2377,(Skills!G2*N2377*B2414)*IF(Inputs!$B$38="pvp",1,(1+(Inputs!$B$21+Skills!Q2+(IF(ArtifactsInput!$M$33,CHOOSE(ArtifactsInput!$N$33+1,30,36,42,48,54,60),0))+(IF(AND(ArtifactsInput!$M$35,Inputs!$B$4&lt;&gt;"Chapter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Skills!A3</f>
        <v/>
      </c>
      <c r="B2378">
        <f>Skills!B3</f>
        <v/>
      </c>
      <c r="C2378">
        <f>Inputs!$B$3&gt;=50</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Skills!G3*IF(Skills!H3&gt;0,INT(IF(Inputs!$B$38="pvp",MIN(Skills!I3,15),Skills!I3)/Skills!H3+0.000000001),1)</f>
        <v/>
      </c>
      <c r="H2378">
        <f>1-(1-Skills!J3/100)^Skills!K3</f>
        <v/>
      </c>
      <c r="I2378" t="inlineStr">
        <is>
          <t>1</t>
        </is>
      </c>
      <c r="J2378">
        <f>((Inputs!$B$6*(1+Inputs!$B$7/100))+(((Inputs!$B$12*(1+Inputs!$B$13/100))-(Inputs!$B$12*(1+Inputs!$B$13/100)))+0.25*(Inputs!$B$14-Inputs!$B$14))*(1+Inputs!$B$7/100))*(F2378/100)</f>
        <v/>
      </c>
      <c r="K2378">
        <f>J2378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2379=TRUE,F2379,0)/100)*(1+(IF(Skills!A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2401=TRUE)*(F2401-Calc!F26)),(Inputs!$B$23+((C2406=TRUE)*(F2406-Calc!F31))+(IF(ArtifactsInput!$M$15,CHOOSE(ArtifactsInput!$N$15+1,25,30,35,40,45,50)/100*(Inputs!$B$11-Inputs!$B$11),0))))/100+(Inputs!$B$23+((C2406=TRUE)*(F2406-Calc!F31))+(IF(ArtifactsInput!$M$15,CHOOSE(ArtifactsInput!$N$15+1,25,30,35,40,45,50)/100*(Inputs!$B$11-Inputs!$B$11),0)))/100)/2</f>
        <v/>
      </c>
      <c r="M2378">
        <f>L2378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IF(B2420=0,0,O2378/B2420)</f>
        <v/>
      </c>
      <c r="Q2378">
        <f>IFERROR(1/(IF(Inputs!$B$38="pvp",15,MAX(0.1,1/B2412-IF(FALSE=TRUE,Inputs!$B$32,0)))*(1-IF(AND(ArtifactsInput!$M$27,Inputs!$B$4="Chapter Hunt"),CHOOSE(ArtifactsInput!$N$27+1,20,24,28,32,36,40),0)/100)),0)</f>
        <v/>
      </c>
      <c r="R2378">
        <f>IF(AND(Inputs!$B$38&lt;&gt;"pvp",Inputs!$B$43&gt;0),IF(MAX(0,Inputs!$B$43-B2417)&lt;=0,0,(INT(MAX(0,Inputs!$B$43-B2417)/(IF(Inputs!$B$38="pvp",15,MAX(0.1,1/B2412-IF(FALSE=TRUE,Inputs!$B$32,0)))*(1-IF(AND(ArtifactsInput!$M$27,Inputs!$B$4="Chapter Hunt"),CHOOSE(ArtifactsInput!$N$27+1,20,24,28,32,36,40),0)/100)))+1)),0)</f>
        <v/>
      </c>
      <c r="S2378">
        <f>IFERROR(O2378/N2378,0)</f>
        <v/>
      </c>
      <c r="T2378">
        <f>IF(C2378,(H2378*N2378*IF(AND(Inputs!$B$38&lt;&gt;"pvp",Inputs!$B$43&gt;0),((Skills!G3*((R2378-1)*IF(Skills!H3&gt;0,INT(Skills!I3/Skills!H3+0.000000001),1)+IF(Skills!H3&gt;0,INT(MIN(Skills!I3,MAX(0,MAX(0,Inputs!$B$43-B2417)-((R2378-1)*(IF(Inputs!$B$38="pvp",15,MAX(0.1,1/B2412-IF(FALSE=TRUE,Inputs!$B$32,0)))*(1-IF(AND(ArtifactsInput!$M$27,Inputs!$B$4="Chapter Hunt"),CHOOSE(ArtifactsInput!$N$27+1,20,24,28,32,36,40),0)/100)))))/Skills!H3+0.000000001),1)))/Inputs!$B$43),G2378*Q2378)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INDEX(FactorTable!$B$2:$Y$301, MATCH(ROUND(MIN(300,MAX(1,U2377)),0), FactorTable!$A$2:$A$301,0), 22)</f>
        <v/>
      </c>
      <c r="V2378">
        <f>IF(C2378,(H2378*N2378*IF(AND(Inputs!$B$38&lt;&gt;"pvp",Inputs!$B$43&gt;0),((Skills!G3*((R2378-1)*IF(Skills!H3&gt;0,INT(Skills!I3/Skills!H3+0.000000001),1)+IF(Skills!H3&gt;0,INT(MIN(Skills!I3,MAX(0,MAX(0,Inputs!$B$43-B2417)-((R2378-1)*(IF(Inputs!$B$38="pvp",15,MAX(0.1,1/B2412-IF(FALSE=TRUE,Inputs!$B$32,0)))*(1-IF(AND(ArtifactsInput!$M$27,Inputs!$B$4="Chapter Hunt"),CHOOSE(ArtifactsInput!$N$27+1,20,24,28,32,36,40),0)/100)))))/Skills!H3+0.000000001),1)))/Inputs!$B$43),G2378*Q2378))*IF(Inputs!$B$38="pvp",1,(1+(Inputs!$B$21+Skills!Q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Skills!A4</f>
        <v/>
      </c>
      <c r="B2379">
        <f>Skills!B4</f>
        <v/>
      </c>
      <c r="C2379">
        <f>Inputs!$B$3&gt;=105</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t="inlineStr"/>
      <c r="H2379" t="inlineStr"/>
      <c r="I2379" t="inlineStr">
        <is>
          <t>1</t>
        </is>
      </c>
      <c r="J2379" t="inlineStr"/>
      <c r="K2379" t="inlineStr"/>
      <c r="L2379" t="inlineStr"/>
      <c r="M2379" t="inlineStr"/>
      <c r="N2379" t="inlineStr"/>
      <c r="O2379" t="inlineStr"/>
      <c r="P2379" t="inlineStr"/>
      <c r="Q2379" t="inlineStr"/>
      <c r="R2379" t="inlineStr"/>
      <c r="S2379" t="inlineStr"/>
      <c r="T2379" t="inlineStr"/>
      <c r="U2379">
        <f>290*U2378/1000</f>
        <v/>
      </c>
      <c r="V2379" t="inlineStr"/>
    </row>
    <row r="2380">
      <c r="A2380">
        <f>Skills!A5</f>
        <v/>
      </c>
      <c r="B2380">
        <f>Skills!B5</f>
        <v/>
      </c>
      <c r="C2380">
        <f>Inputs!$B$3&gt;=35</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Skills!G5*IF(Skills!H5&gt;0,INT(IF(Inputs!$B$38="pvp",MIN(Skills!I5,15),Skills!I5)/Skills!H5+0.000000001),1)</f>
        <v/>
      </c>
      <c r="H2380">
        <f>1-(1-Skills!J5/100)^Skills!K5</f>
        <v/>
      </c>
      <c r="I2380" t="inlineStr">
        <is>
          <t>1</t>
        </is>
      </c>
      <c r="J2380">
        <f>((Inputs!$B$6*(1+Inputs!$B$7/100))+(((Inputs!$B$12*(1+Inputs!$B$13/100))-(Inputs!$B$12*(1+Inputs!$B$13/100)))+0.25*(Inputs!$B$14-Inputs!$B$14))*(1+Inputs!$B$7/100))*(F2380/100)</f>
        <v/>
      </c>
      <c r="K2380">
        <f>J2380*(1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2387=TRUE,F2387,0)/100)*(1+(IF(Skills!A5="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2401=TRUE)*(F2401-Calc!F26)),(Inputs!$B$23+((C2406=TRUE)*(F2406-Calc!F31))+(IF(ArtifactsInput!$M$15,CHOOSE(ArtifactsInput!$N$15+1,25,30,35,40,45,50)/100*(Inputs!$B$11-Inputs!$B$11),0))))/100+(Inputs!$B$23+((C2406=TRUE)*(F2406-Calc!F31))+(IF(ArtifactsInput!$M$15,CHOOSE(ArtifactsInput!$N$15+1,25,30,35,40,45,50)/100*(Inputs!$B$11-Inputs!$B$11),0)))/100)/2</f>
        <v/>
      </c>
      <c r="M2380">
        <f>L2380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IF(B2420=0,0,O2380/B2420)</f>
        <v/>
      </c>
      <c r="Q2380">
        <f>IFERROR(1/(IF(Inputs!$B$38="pvp",15,MAX(0.1,Skills!D5-IF(TRUE=TRUE,Inputs!$B$32,0)))*(1-IF(AND(ArtifactsInput!$M$27,Inputs!$B$4="Chapter Hunt"),CHOOSE(ArtifactsInput!$N$27+1,20,24,28,32,36,40),0)/100)),0)</f>
        <v/>
      </c>
      <c r="R2380">
        <f>IF(AND(Inputs!$B$38&lt;&gt;"pvp",Inputs!$B$43&gt;0),IF(MAX(0,Inputs!$B$43-B2417)&lt;=0,0,(INT(MAX(0,Inputs!$B$43-B2417)/(IF(Inputs!$B$38="pvp",15,MAX(0.1,Skills!D5-IF(TRUE=TRUE,Inputs!$B$32,0)))*(1-IF(AND(ArtifactsInput!$M$27,Inputs!$B$4="Chapter Hunt"),CHOOSE(ArtifactsInput!$N$27+1,20,24,28,32,36,40),0)/100)))+1)),0)</f>
        <v/>
      </c>
      <c r="S2380">
        <f>IFERROR(O2380/N2380,0)</f>
        <v/>
      </c>
      <c r="T2380">
        <f>IF(C2380,(H2380*N2380*IF(AND(Inputs!$B$38&lt;&gt;"pvp",Inputs!$B$43&gt;0),((Skills!G5*((R2380-1)*IF(Skills!H5&gt;0,INT(Skills!I5/Skills!H5+0.000000001),1)+IF(Skills!H5&gt;0,INT(MIN(Skills!I5,MAX(0,MAX(0,Inputs!$B$43-B2417)-((R2380-1)*(IF(Inputs!$B$38="pvp",15,MAX(0.1,Skills!D5-IF(TRUE=TRUE,Inputs!$B$32,0)))*(1-IF(AND(ArtifactsInput!$M$27,Inputs!$B$4="Chapter Hunt"),CHOOSE(ArtifactsInput!$N$27+1,20,24,28,32,36,40),0)/100)))))/Skills!H5+0.000000001),1)))/Inputs!$B$43),G2380*Q2380)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5*((R2380-1)*IF(Skills!H5&gt;0,INT(Skills!I5/Skills!H5+0.000000001),1)+IF(Skills!H5&gt;0,INT(MIN(Skills!I5,MAX(0,MAX(0,Inputs!$B$43-B2417)-((R2380-1)*(IF(Inputs!$B$38="pvp",15,MAX(0.1,Skills!D5-IF(TRUE=TRUE,Inputs!$B$32,0)))*(1-IF(AND(ArtifactsInput!$M$27,Inputs!$B$4="Chapter Hunt"),CHOOSE(ArtifactsInput!$N$27+1,20,24,28,32,36,40),0)/100)))))/Skills!H5+0.000000001),1)))/Inputs!$B$43),G2380*Q2380))*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Skills!A6</f>
        <v/>
      </c>
      <c r="B2381">
        <f>Skills!B6</f>
        <v/>
      </c>
      <c r="C2381">
        <f>Inputs!$B$3&gt;=40</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Skills!G6*IF(Skills!H6&gt;0,INT(IF(Inputs!$B$38="pvp",MIN(Skills!I6,15),Skills!I6)/Skills!H6+0.000000001),1)</f>
        <v/>
      </c>
      <c r="H2381">
        <f>1-(1-Skills!J6/100)^Skills!K6</f>
        <v/>
      </c>
      <c r="I2381" t="inlineStr">
        <is>
          <t>1</t>
        </is>
      </c>
      <c r="J2381">
        <f>((Inputs!$B$6*(1+Inputs!$B$7/100))+(((Inputs!$B$12*(1+Inputs!$B$13/100))-(Inputs!$B$12*(1+Inputs!$B$13/100)))+0.25*(Inputs!$B$14-Inputs!$B$14))*(1+Inputs!$B$7/100))*(F2381/100)</f>
        <v/>
      </c>
      <c r="K2381">
        <f>J2381*(1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2382=TRUE,F2382,0)/100)*(1+(IF(Skills!A6="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2401=TRUE)*(F2401-Calc!F26)),(Inputs!$B$23+((C2406=TRUE)*(F2406-Calc!F31))+(IF(ArtifactsInput!$M$15,CHOOSE(ArtifactsInput!$N$15+1,25,30,35,40,45,50)/100*(Inputs!$B$11-Inputs!$B$11),0))))/100+(Inputs!$B$23+((C2406=TRUE)*(F2406-Calc!F31))+(IF(ArtifactsInput!$M$15,CHOOSE(ArtifactsInput!$N$15+1,25,30,35,40,45,50)/100*(Inputs!$B$11-Inputs!$B$11),0)))/100)/2</f>
        <v/>
      </c>
      <c r="M2381">
        <f>L2381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IF(B2420=0,0,O2381/B2420)</f>
        <v/>
      </c>
      <c r="Q2381">
        <f>IFERROR(1/(IF(Inputs!$B$38="pvp",15,MAX(0.1,1-0.4*MIN(1,(B2412-1)/1.5)-IF(FALSE=TRUE,Inputs!$B$32,0)))*(1-IF(AND(ArtifactsInput!$M$27,Inputs!$B$4="Chapter Hunt"),CHOOSE(ArtifactsInput!$N$27+1,20,24,28,32,36,40),0)/100)),0)</f>
        <v/>
      </c>
      <c r="R2381">
        <f>IF(AND(Inputs!$B$38&lt;&gt;"pvp",Inputs!$B$43&gt;0),IF(MAX(0,Inputs!$B$43-B2417)&lt;=0,0,(INT(MAX(0,Inputs!$B$43-B2417)/(IF(Inputs!$B$38="pvp",15,MAX(0.1,1-0.4*MIN(1,(B2412-1)/1.5)-IF(FALSE=TRUE,Inputs!$B$32,0)))*(1-IF(AND(ArtifactsInput!$M$27,Inputs!$B$4="Chapter Hunt"),CHOOSE(ArtifactsInput!$N$27+1,20,24,28,32,36,40),0)/100)))+1)),0)</f>
        <v/>
      </c>
      <c r="S2381">
        <f>IFERROR(O2381/N2381,0)</f>
        <v/>
      </c>
      <c r="T2381">
        <f>IF(C2381,(H2381*N2381*IF(AND(Inputs!$B$38&lt;&gt;"pvp",Inputs!$B$43&gt;0),((Skills!G6*((R2381-1)*IF(Skills!H6&gt;0,INT(Skills!I6/Skills!H6+0.000000001),1)+IF(Skills!H6&gt;0,INT(MIN(Skills!I6,MAX(0,MAX(0,Inputs!$B$43-B2417)-((R2381-1)*(IF(Inputs!$B$38="pvp",15,MAX(0.1,1-0.4*MIN(1,(B2412-1)/1.5)-IF(FALSE=TRUE,Inputs!$B$32,0)))*(1-IF(AND(ArtifactsInput!$M$27,Inputs!$B$4="Chapter Hunt"),CHOOSE(ArtifactsInput!$N$27+1,20,24,28,32,36,40),0)/100)))))/Skills!H6+0.000000001),1)))/Inputs!$B$43),G2381*Q2381)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6*((R2381-1)*IF(Skills!H6&gt;0,INT(Skills!I6/Skills!H6+0.000000001),1)+IF(Skills!H6&gt;0,INT(MIN(Skills!I6,MAX(0,MAX(0,Inputs!$B$43-B2417)-((R2381-1)*(IF(Inputs!$B$38="pvp",15,MAX(0.1,1-0.4*MIN(1,(B2412-1)/1.5)-IF(FALSE=TRUE,Inputs!$B$32,0)))*(1-IF(AND(ArtifactsInput!$M$27,Inputs!$B$4="Chapter Hunt"),CHOOSE(ArtifactsInput!$N$27+1,20,24,28,32,36,40),0)/100)))))/Skills!H6+0.000000001),1)))/Inputs!$B$43),G2381*Q2381))*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Skills!A7</f>
        <v/>
      </c>
      <c r="B2382">
        <f>Skills!B7</f>
        <v/>
      </c>
      <c r="C2382">
        <f>Inputs!$B$3&gt;=107</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t="inlineStr"/>
      <c r="H2382" t="inlineStr"/>
      <c r="I2382" t="inlineStr">
        <is>
          <t>1</t>
        </is>
      </c>
      <c r="J2382" t="inlineStr"/>
      <c r="K2382" t="inlineStr"/>
      <c r="L2382" t="inlineStr"/>
      <c r="M2382" t="inlineStr"/>
      <c r="N2382" t="inlineStr"/>
      <c r="O2382" t="inlineStr"/>
      <c r="P2382" t="inlineStr"/>
      <c r="Q2382" t="inlineStr"/>
      <c r="R2382" t="inlineStr"/>
      <c r="S2382" t="inlineStr"/>
      <c r="T2382" t="inlineStr"/>
      <c r="V2382" t="inlineStr"/>
    </row>
    <row r="2383">
      <c r="A2383">
        <f>Skills!A8</f>
        <v/>
      </c>
      <c r="B2383">
        <f>Skills!B8</f>
        <v/>
      </c>
      <c r="C2383">
        <f>Inputs!$B$3&gt;=130</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Skills!G8*IF(Skills!H8&gt;0,INT(IF(Inputs!$B$38="pvp",MIN(Skills!I8,15),Skills!I8)/Skills!H8+0.000000001),1)</f>
        <v/>
      </c>
      <c r="H2383">
        <f>1-(1-Skills!J8/100)^Skills!K8</f>
        <v/>
      </c>
      <c r="I2383" t="inlineStr">
        <is>
          <t>1</t>
        </is>
      </c>
      <c r="J2383">
        <f>((Inputs!$B$6*(1+Inputs!$B$7/100))+(((Inputs!$B$12*(1+Inputs!$B$13/100))-(Inputs!$B$12*(1+Inputs!$B$13/100)))+0.25*(Inputs!$B$14-Inputs!$B$14))*(1+Inputs!$B$7/100))*(F2383/100)</f>
        <v/>
      </c>
      <c r="K2383">
        <f>J2383*(1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2401=TRUE)*(F2401-Calc!F26)),(Inputs!$B$23+((C2406=TRUE)*(F2406-Calc!F31))+(IF(ArtifactsInput!$M$15,CHOOSE(ArtifactsInput!$N$15+1,25,30,35,40,45,50)/100*(Inputs!$B$11-Inputs!$B$11),0))))/100+(Inputs!$B$23+((C2406=TRUE)*(F2406-Calc!F31))+(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f>IFERROR(1/(IF(Inputs!$B$38="pvp",15,MAX(0.1,1-0.4*MIN(1,(B2412-1)/1.5)-IF(FALSE=TRUE,Inputs!$B$32,0)))*(1-IF(AND(ArtifactsInput!$M$27,Inputs!$B$4="Chapter Hunt"),CHOOSE(ArtifactsInput!$N$27+1,20,24,28,32,36,40),0)/100)),0)</f>
        <v/>
      </c>
      <c r="R2383">
        <f>IF(AND(Inputs!$B$38&lt;&gt;"pvp",Inputs!$B$43&gt;0),IF(MAX(0,Inputs!$B$43-B2417)&lt;=0,0,(INT(MAX(0,Inputs!$B$43-B2417)/(IF(Inputs!$B$38="pvp",15,MAX(0.1,1-0.4*MIN(1,(B2412-1)/1.5)-IF(FALSE=TRUE,Inputs!$B$32,0)))*(1-IF(AND(ArtifactsInput!$M$27,Inputs!$B$4="Chapter Hunt"),CHOOSE(ArtifactsInput!$N$27+1,20,24,28,32,36,40),0)/100)))+1)),0)</f>
        <v/>
      </c>
      <c r="S2383">
        <f>IFERROR(O2383/N2383,0)</f>
        <v/>
      </c>
      <c r="T2383">
        <f>IF(C2383,(H2383*N2383*IF(AND(Inputs!$B$38&lt;&gt;"pvp",Inputs!$B$43&gt;0),((Skills!G8*((R2383-1)*IF(Skills!H8&gt;0,INT(Skills!I8/Skills!H8+0.000000001),1)+IF(Skills!H8&gt;0,INT(MIN(Skills!I8,MAX(0,MAX(0,Inputs!$B$43-B2417)-((R2383-1)*(IF(Inputs!$B$38="pvp",15,MAX(0.1,1-0.4*MIN(1,(B2412-1)/1.5)-IF(FALSE=TRUE,Inputs!$B$32,0)))*(1-IF(AND(ArtifactsInput!$M$27,Inputs!$B$4="Chapter Hunt"),CHOOSE(ArtifactsInput!$N$27+1,20,24,28,32,36,40),0)/100)))))/Skills!H8+0.000000001),1)))/Inputs!$B$43),G2383*Q2383)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8*((R2383-1)*IF(Skills!H8&gt;0,INT(Skills!I8/Skills!H8+0.000000001),1)+IF(Skills!H8&gt;0,INT(MIN(Skills!I8,MAX(0,MAX(0,Inputs!$B$43-B2417)-((R2383-1)*(IF(Inputs!$B$38="pvp",15,MAX(0.1,1-0.4*MIN(1,(B2412-1)/1.5)-IF(FALSE=TRUE,Inputs!$B$32,0)))*(1-IF(AND(ArtifactsInput!$M$27,Inputs!$B$4="Chapter Hunt"),CHOOSE(ArtifactsInput!$N$27+1,20,24,28,32,36,40),0)/100)))))/Skills!H8+0.000000001),1)))/Inputs!$B$43),G2383*Q2383))*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Skills!A9</f>
        <v/>
      </c>
      <c r="B2384">
        <f>Skills!B9</f>
        <v/>
      </c>
      <c r="C2384">
        <f>Inputs!$B$3&gt;=69</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Skills!G9*IF(Skills!H9&gt;0,INT(IF(Inputs!$B$38="pvp",MIN(Skills!I9,15),Skills!I9)/Skills!H9+0.000000001),1)</f>
        <v/>
      </c>
      <c r="H2384">
        <f>1-(1-Skills!J9/100)^Skills!K9</f>
        <v/>
      </c>
      <c r="I2384" t="inlineStr">
        <is>
          <t>1</t>
        </is>
      </c>
      <c r="J2384">
        <f>((Inputs!$B$6*(1+Inputs!$B$7/100))+(((Inputs!$B$12*(1+Inputs!$B$13/100))-(Inputs!$B$12*(1+Inputs!$B$13/100)))+0.25*(Inputs!$B$14-Inputs!$B$14))*(1+Inputs!$B$7/100))*(F2384/100)</f>
        <v/>
      </c>
      <c r="K2384">
        <f>J2384*(1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2387=TRUE,F2387,0)/100)*(1+(IF(Skills!A9="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2401=TRUE)*(F2401-Calc!F26)),(Inputs!$B$23+((C2406=TRUE)*(F2406-Calc!F31))+(IF(ArtifactsInput!$M$15,CHOOSE(ArtifactsInput!$N$15+1,25,30,35,40,45,50)/100*(Inputs!$B$11-Inputs!$B$11),0))))/100+(Inputs!$B$23+((C2406=TRUE)*(F2406-Calc!F31))+(IF(ArtifactsInput!$M$15,CHOOSE(ArtifactsInput!$N$15+1,25,30,35,40,45,50)/100*(Inputs!$B$11-Inputs!$B$11),0)))/100)/2</f>
        <v/>
      </c>
      <c r="M2384">
        <f>L2384*(1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IF(B2420=0,0,O2384/B2420)</f>
        <v/>
      </c>
      <c r="Q2384">
        <f>IFERROR(1/(IF(Inputs!$B$38="pvp",15,MAX(0.1,Skills!D9-IF(TRUE=TRUE,Inputs!$B$32,0)))*(1-IF(AND(ArtifactsInput!$M$27,Inputs!$B$4="Chapter Hunt"),CHOOSE(ArtifactsInput!$N$27+1,20,24,28,32,36,40),0)/100)),0)</f>
        <v/>
      </c>
      <c r="R2384">
        <f>IF(AND(Inputs!$B$38&lt;&gt;"pvp",Inputs!$B$43&gt;0),IF(MAX(0,Inputs!$B$43-B2417)&lt;=0,0,(INT(MAX(0,Inputs!$B$43-B2417)/(IF(Inputs!$B$38="pvp",15,MAX(0.1,Skills!D9-IF(TRUE=TRUE,Inputs!$B$32,0)))*(1-IF(AND(ArtifactsInput!$M$27,Inputs!$B$4="Chapter Hunt"),CHOOSE(ArtifactsInput!$N$27+1,20,24,28,32,36,40),0)/100)))+1)),0)</f>
        <v/>
      </c>
      <c r="S2384">
        <f>IFERROR(O2384/N2384,0)</f>
        <v/>
      </c>
      <c r="T2384">
        <f>IF(C2384,(H2384*N2384*IF(AND(Inputs!$B$38&lt;&gt;"pvp",Inputs!$B$43&gt;0),((Skills!G9*((R2384-1)*IF(Skills!H9&gt;0,INT(Skills!I9/Skills!H9+0.000000001),1)+IF(Skills!H9&gt;0,INT(MIN(Skills!I9,MAX(0,MAX(0,Inputs!$B$43-B2417)-((R2384-1)*(IF(Inputs!$B$38="pvp",15,MAX(0.1,Skills!D9-IF(TRUE=TRUE,Inputs!$B$32,0)))*(1-IF(AND(ArtifactsInput!$M$27,Inputs!$B$4="Chapter Hunt"),CHOOSE(ArtifactsInput!$N$27+1,20,24,28,32,36,40),0)/100)))))/Skills!H9+0.000000001),1)))/Inputs!$B$43),G2384*Q2384)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9*((R2384-1)*IF(Skills!H9&gt;0,INT(Skills!I9/Skills!H9+0.000000001),1)+IF(Skills!H9&gt;0,INT(MIN(Skills!I9,MAX(0,MAX(0,Inputs!$B$43-B2417)-((R2384-1)*(IF(Inputs!$B$38="pvp",15,MAX(0.1,Skills!D9-IF(TRUE=TRUE,Inputs!$B$32,0)))*(1-IF(AND(ArtifactsInput!$M$27,Inputs!$B$4="Chapter Hunt"),CHOOSE(ArtifactsInput!$N$27+1,20,24,28,32,36,40),0)/100)))))/Skills!H9+0.000000001),1)))/Inputs!$B$43),G2384*Q2384))*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Skills!A10</f>
        <v/>
      </c>
      <c r="B2385">
        <f>Skills!B10</f>
        <v/>
      </c>
      <c r="C2385">
        <f>Inputs!$B$3&gt;=63</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Skills!G10*IF(Skills!H10&gt;0,INT(IF(Inputs!$B$38="pvp",MIN(Skills!I10,15),Skills!I10)/Skills!H10+0.000000001),1)</f>
        <v/>
      </c>
      <c r="H2385">
        <f>1-(1-Skills!J10/100)^Skills!K10</f>
        <v/>
      </c>
      <c r="I2385" t="inlineStr">
        <is>
          <t>1</t>
        </is>
      </c>
      <c r="J2385">
        <f>((Inputs!$B$6*(1+Inputs!$B$7/100))+(((Inputs!$B$12*(1+Inputs!$B$13/100))-(Inputs!$B$12*(1+Inputs!$B$13/100)))+0.25*(Inputs!$B$14-Inputs!$B$14))*(1+Inputs!$B$7/100))*(F2385/100)</f>
        <v/>
      </c>
      <c r="K2385">
        <f>J2385*(1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2387=TRUE,F2387,0)/100)*(1+(IF(Skills!A10="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2401=TRUE)*(F2401-Calc!F26)),(Inputs!$B$23+((C2406=TRUE)*(F2406-Calc!F31))+(IF(ArtifactsInput!$M$15,CHOOSE(ArtifactsInput!$N$15+1,25,30,35,40,45,50)/100*(Inputs!$B$11-Inputs!$B$11),0))))/100+(Inputs!$B$23+((C2406=TRUE)*(F2406-Calc!F31))+(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IFERROR(1/(IF(Inputs!$B$38="pvp",15,MAX(0.1,Skills!D10-IF(TRUE=TRUE,Inputs!$B$32,0)))*(1-IF(AND(ArtifactsInput!$M$27,Inputs!$B$4="Chapter Hunt"),CHOOSE(ArtifactsInput!$N$27+1,20,24,28,32,36,40),0)/100)),0)</f>
        <v/>
      </c>
      <c r="R2385">
        <f>IF(AND(Inputs!$B$38&lt;&gt;"pvp",Inputs!$B$43&gt;0),IF(MAX(0,Inputs!$B$43-B2417)&lt;=0,0,(INT(MAX(0,Inputs!$B$43-B2417)/(IF(Inputs!$B$38="pvp",15,MAX(0.1,Skills!D10-IF(TRUE=TRUE,Inputs!$B$32,0)))*(1-IF(AND(ArtifactsInput!$M$27,Inputs!$B$4="Chapter Hunt"),CHOOSE(ArtifactsInput!$N$27+1,20,24,28,32,36,40),0)/100)))+1)),0)</f>
        <v/>
      </c>
      <c r="S2385">
        <f>IFERROR(O2385/N2385,0)</f>
        <v/>
      </c>
      <c r="T2385">
        <f>IF(C2385,(H2385*N2385*IF(AND(Inputs!$B$38&lt;&gt;"pvp",Inputs!$B$43&gt;0),((Skills!G10*((R2385-1)*IF(Skills!H10&gt;0,INT(Skills!I10/Skills!H10+0.000000001),1)+IF(Skills!H10&gt;0,INT(MIN(Skills!I10,MAX(0,MAX(0,Inputs!$B$43-B2417)-((R2385-1)*(IF(Inputs!$B$38="pvp",15,MAX(0.1,Skills!D10-IF(TRUE=TRUE,Inputs!$B$32,0)))*(1-IF(AND(ArtifactsInput!$M$27,Inputs!$B$4="Chapter Hunt"),CHOOSE(ArtifactsInput!$N$27+1,20,24,28,32,36,40),0)/100)))))/Skills!H10+0.000000001),1)))/Inputs!$B$43),G2385*Q2385)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5">
        <f>IF(C2385,(H2385*N2385*IF(AND(Inputs!$B$38&lt;&gt;"pvp",Inputs!$B$43&gt;0),((Skills!G10*((R2385-1)*IF(Skills!H10&gt;0,INT(Skills!I10/Skills!H10+0.000000001),1)+IF(Skills!H10&gt;0,INT(MIN(Skills!I10,MAX(0,MAX(0,Inputs!$B$43-B2417)-((R2385-1)*(IF(Inputs!$B$38="pvp",15,MAX(0.1,Skills!D10-IF(TRUE=TRUE,Inputs!$B$32,0)))*(1-IF(AND(ArtifactsInput!$M$27,Inputs!$B$4="Chapter Hunt"),CHOOSE(ArtifactsInput!$N$27+1,20,24,28,32,36,40),0)/100)))))/Skills!H10+0.000000001),1)))/Inputs!$B$43),G2385*Q2385))*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Skills!A11</f>
        <v/>
      </c>
      <c r="B2386">
        <f>Skills!B11</f>
        <v/>
      </c>
      <c r="C2386">
        <f>Inputs!$B$3&gt;=103</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Skills!G11*IF(Skills!H11&gt;0,INT(IF(Inputs!$B$38="pvp",MIN(Skills!I11,15),Skills!I11)/Skills!H11+0.000000001),1)</f>
        <v/>
      </c>
      <c r="H2386">
        <f>1-(1-Skills!J11/100)^Skills!K11</f>
        <v/>
      </c>
      <c r="I2386" t="inlineStr">
        <is>
          <t>1</t>
        </is>
      </c>
      <c r="J2386">
        <f>((Inputs!$B$6*(1+Inputs!$B$7/100))+(((Inputs!$B$12*(1+Inputs!$B$13/100))-(Inputs!$B$12*(1+Inputs!$B$13/100)))+0.25*(Inputs!$B$14-Inputs!$B$14))*(1+Inputs!$B$7/100))*(F2386/100)</f>
        <v/>
      </c>
      <c r="K2386">
        <f>J2386*(1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2401=TRUE)*(F2401-Calc!F26)),(Inputs!$B$23+((C2406=TRUE)*(F2406-Calc!F31))+(IF(ArtifactsInput!$M$15,CHOOSE(ArtifactsInput!$N$15+1,25,30,35,40,45,50)/100*(Inputs!$B$11-Inputs!$B$11),0))))/100+(Inputs!$B$23+((C2406=TRUE)*(F2406-Calc!F31))+(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IFERROR(1/(IF(Inputs!$B$38="pvp",15,MAX(0.1,Skills!D11-IF(TRUE=TRUE,Inputs!$B$32,0)))*(1-IF(AND(ArtifactsInput!$M$27,Inputs!$B$4="Chapter Hunt"),CHOOSE(ArtifactsInput!$N$27+1,20,24,28,32,36,40),0)/100)),0)</f>
        <v/>
      </c>
      <c r="R2386">
        <f>IF(AND(Inputs!$B$38&lt;&gt;"pvp",Inputs!$B$43&gt;0),IF(MAX(0,Inputs!$B$43-B2417)&lt;=0,0,(INT(MAX(0,Inputs!$B$43-B2417)/(IF(Inputs!$B$38="pvp",15,MAX(0.1,Skills!D11-IF(TRUE=TRUE,Inputs!$B$32,0)))*(1-IF(AND(ArtifactsInput!$M$27,Inputs!$B$4="Chapter Hunt"),CHOOSE(ArtifactsInput!$N$27+1,20,24,28,32,36,40),0)/100)))+1)),0)</f>
        <v/>
      </c>
      <c r="S2386">
        <f>IFERROR(O2386/N2386,0)</f>
        <v/>
      </c>
      <c r="T2386">
        <f>IF(C2386,(H2386*N2386*IF(AND(Inputs!$B$38&lt;&gt;"pvp",Inputs!$B$43&gt;0),((Skills!G11*((R2386-1)*IF(Skills!H11&gt;0,INT(Skills!I11/Skills!H11+0.000000001),1)+IF(Skills!H11&gt;0,INT(MIN(Skills!I11,MAX(0,MAX(0,Inputs!$B$43-B2417)-((R2386-1)*(IF(Inputs!$B$38="pvp",15,MAX(0.1,Skills!D11-IF(TRUE=TRUE,Inputs!$B$32,0)))*(1-IF(AND(ArtifactsInput!$M$27,Inputs!$B$4="Chapter Hunt"),CHOOSE(ArtifactsInput!$N$27+1,20,24,28,32,36,40),0)/100)))))/Skills!H11+0.000000001),1)))/Inputs!$B$43),G2386*Q2386)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11*((R2386-1)*IF(Skills!H11&gt;0,INT(Skills!I11/Skills!H11+0.000000001),1)+IF(Skills!H11&gt;0,INT(MIN(Skills!I11,MAX(0,MAX(0,Inputs!$B$43-B2417)-((R2386-1)*(IF(Inputs!$B$38="pvp",15,MAX(0.1,Skills!D11-IF(TRUE=TRUE,Inputs!$B$32,0)))*(1-IF(AND(ArtifactsInput!$M$27,Inputs!$B$4="Chapter Hunt"),CHOOSE(ArtifactsInput!$N$27+1,20,24,28,32,36,40),0)/100)))))/Skills!H11+0.000000001),1)))/Inputs!$B$43),G2386*Q2386))*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Skills!A12</f>
        <v/>
      </c>
      <c r="B2387">
        <f>Skills!B12</f>
        <v/>
      </c>
      <c r="C2387">
        <f>Inputs!$B$3&gt;=100</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Skills!A13</f>
        <v/>
      </c>
      <c r="B2388">
        <f>Skills!B13</f>
        <v/>
      </c>
      <c r="C2388">
        <f>Inputs!$B$3&gt;=60</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Skills!G13*IF(Skills!H13&gt;0,INT(IF(Inputs!$B$38="pvp",MIN(Skills!I13,15),Skills!I13)/Skills!H13+0.000000001),1)</f>
        <v/>
      </c>
      <c r="H2388">
        <f>1-(1-Skills!J13/100)^Skills!K13</f>
        <v/>
      </c>
      <c r="I2388" t="inlineStr">
        <is>
          <t>1</t>
        </is>
      </c>
      <c r="J2388">
        <f>((Inputs!$B$6*(1+Inputs!$B$7/100))+(((Inputs!$B$12*(1+Inputs!$B$13/100))-(Inputs!$B$12*(1+Inputs!$B$13/100)))+0.25*(Inputs!$B$14-Inputs!$B$14))*(1+Inputs!$B$7/100))*(F2388/100)</f>
        <v/>
      </c>
      <c r="K2388">
        <f>J2388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2389=TRUE,F2389,0)/100)*(1+(IF(Skills!A13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2401=TRUE)*(F2401-Calc!F26)),(Inputs!$B$23+((C2406=TRUE)*(F2406-Calc!F31))+(IF(ArtifactsInput!$M$15,CHOOSE(ArtifactsInput!$N$15+1,25,30,35,40,45,50)/100*(Inputs!$B$11-Inputs!$B$11),0))))/100+(Inputs!$B$23+((C2406=TRUE)*(F2406-Calc!F31))+(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IFERROR(1/(IF(Inputs!$B$38="pvp",15,MAX(0.1,IF(Inputs!$B$3&gt;=122,3,5)+1/(((20+30*(B2412-1)*100/150)/100)*B2412)-IF(FALSE=TRUE,Inputs!$B$32,0)))*(1-IF(AND(ArtifactsInput!$M$27,Inputs!$B$4="Chapter Hunt"),CHOOSE(ArtifactsInput!$N$27+1,20,24,28,32,36,40),0)/100)),0)</f>
        <v/>
      </c>
      <c r="R2388">
        <f>IF(AND(Inputs!$B$38&lt;&gt;"pvp",Inputs!$B$43&gt;0),IF(MAX(0,Inputs!$B$43-B2417)&lt;=0,0,(INT(MAX(0,Inputs!$B$43-B2417)/(IF(Inputs!$B$38="pvp",15,MAX(0.1,IF(Inputs!$B$3&gt;=122,3,5)+1/(((20+30*(B2412-1)*100/150)/100)*B2412)-IF(FALSE=TRUE,Inputs!$B$32,0)))*(1-IF(AND(ArtifactsInput!$M$27,Inputs!$B$4="Chapter Hunt"),CHOOSE(ArtifactsInput!$N$27+1,20,24,28,32,36,40),0)/100)))+1)),0)</f>
        <v/>
      </c>
      <c r="S2388">
        <f>IFERROR(O2388/N2388,0)</f>
        <v/>
      </c>
      <c r="T2388">
        <f>IF(C2388,(H2388*N2388*IF(AND(Inputs!$B$38&lt;&gt;"pvp",Inputs!$B$43&gt;0),((Skills!G13*((R2388-1)*IF(Skills!H13&gt;0,INT(Skills!I13/Skills!H13+0.000000001),1)+IF(Skills!H13&gt;0,INT(MIN(Skills!I13,MAX(0,MAX(0,Inputs!$B$43-B2417)-((R2388-1)*(IF(Inputs!$B$38="pvp",15,MAX(0.1,IF(Inputs!$B$3&gt;=122,3,5)+1/(((20+30*(B2412-1)*100/150)/100)*B2412)-IF(FALSE=TRUE,Inputs!$B$32,0)))*(1-IF(AND(ArtifactsInput!$M$27,Inputs!$B$4="Chapter Hunt"),CHOOSE(ArtifactsInput!$N$27+1,20,24,28,32,36,40),0)/100)))))/Skills!H13+0.000000001),1)))/Inputs!$B$43),G2388*Q2388)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13*((R2388-1)*IF(Skills!H13&gt;0,INT(Skills!I13/Skills!H13+0.000000001),1)+IF(Skills!H13&gt;0,INT(MIN(Skills!I13,MAX(0,MAX(0,Inputs!$B$43-B2417)-((R2388-1)*(IF(Inputs!$B$38="pvp",15,MAX(0.1,IF(Inputs!$B$3&gt;=122,3,5)+1/(((20+30*(B2412-1)*100/150)/100)*B2412)-IF(FALSE=TRUE,Inputs!$B$32,0)))*(1-IF(AND(ArtifactsInput!$M$27,Inputs!$B$4="Chapter Hunt"),CHOOSE(ArtifactsInput!$N$27+1,20,24,28,32,36,40),0)/100)))))/Skills!H13+0.000000001),1)))/Inputs!$B$43),G2388*Q2388))*IF(Inputs!$B$38="pvp",1,(1+(Inputs!$B$21+Skills!Q13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Skills!A14</f>
        <v/>
      </c>
      <c r="B2389">
        <f>Skills!B14</f>
        <v/>
      </c>
      <c r="C2389">
        <f>Inputs!$B$3&gt;=110</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t="inlineStr"/>
      <c r="H2389" t="inlineStr"/>
      <c r="I2389" t="inlineStr">
        <is>
          <t>1</t>
        </is>
      </c>
      <c r="J2389" t="inlineStr"/>
      <c r="K2389" t="inlineStr"/>
      <c r="L2389" t="inlineStr"/>
      <c r="M2389" t="inlineStr"/>
      <c r="N2389" t="inlineStr"/>
      <c r="O2389" t="inlineStr"/>
      <c r="P2389" t="inlineStr"/>
      <c r="Q2389" t="inlineStr"/>
      <c r="R2389" t="inlineStr"/>
      <c r="S2389" t="inlineStr"/>
      <c r="T2389" t="inlineStr"/>
      <c r="V2389" t="inlineStr"/>
    </row>
    <row r="2390">
      <c r="A2390">
        <f>Skills!A15</f>
        <v/>
      </c>
      <c r="B2390">
        <f>Skills!B15</f>
        <v/>
      </c>
      <c r="C2390">
        <f>Inputs!$B$3&gt;=74</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Skills!G15*IF(Skills!H15&gt;0,INT(IF(Inputs!$B$38="pvp",MIN(Skills!I15,15),Skills!I15)/Skills!H15+0.000000001),1)</f>
        <v/>
      </c>
      <c r="H2390">
        <f>1-(1-Skills!J15/100)^Skills!K15</f>
        <v/>
      </c>
      <c r="I2390" t="inlineStr">
        <is>
          <t>1</t>
        </is>
      </c>
      <c r="J2390" t="inlineStr"/>
      <c r="K2390" t="inlineStr"/>
      <c r="L2390" t="inlineStr"/>
      <c r="M2390" t="inlineStr"/>
      <c r="N2390" t="inlineStr"/>
      <c r="O2390">
        <f>(1-Summary!$B$11)*T2390+Summary!$B$11*V2390</f>
        <v/>
      </c>
      <c r="P2390">
        <f>IF(B2420=0,0,O2390/B2420)</f>
        <v/>
      </c>
      <c r="Q2390" t="n">
        <v>0</v>
      </c>
      <c r="R2390" t="n">
        <v>0</v>
      </c>
      <c r="S2390">
        <f>IFERROR(O2390/N2390,0)</f>
        <v/>
      </c>
      <c r="T2390" t="n">
        <v>0</v>
      </c>
      <c r="V2390" t="n">
        <v>0</v>
      </c>
    </row>
    <row r="2391">
      <c r="A2391">
        <f>Skills!A16</f>
        <v/>
      </c>
      <c r="B2391">
        <f>Skills!B16</f>
        <v/>
      </c>
      <c r="C2391">
        <f>Inputs!$B$3&gt;=74</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Skills!G16*IF(Skills!H16&gt;0,INT(IF(Inputs!$B$38="pvp",MIN(Skills!I16,15),Skills!I16)/Skills!H16+0.000000001),1)</f>
        <v/>
      </c>
      <c r="H2391">
        <f>1-(1-Skills!J16/100)^Skills!K16</f>
        <v/>
      </c>
      <c r="I2391" t="inlineStr">
        <is>
          <t>1</t>
        </is>
      </c>
      <c r="J2391" t="inlineStr"/>
      <c r="K2391" t="inlineStr"/>
      <c r="L2391" t="inlineStr"/>
      <c r="M2391" t="inlineStr"/>
      <c r="N2391" t="inlineStr"/>
      <c r="O2391">
        <f>(1-Summary!$B$11)*T2391+Summary!$B$11*V2391</f>
        <v/>
      </c>
      <c r="P2391">
        <f>IF(B2420=0,0,O2391/B2420)</f>
        <v/>
      </c>
      <c r="Q2391" t="n">
        <v>0</v>
      </c>
      <c r="R2391" t="n">
        <v>0</v>
      </c>
      <c r="S2391">
        <f>IFERROR(O2391/N2391,0)</f>
        <v/>
      </c>
      <c r="T2391" t="n">
        <v>0</v>
      </c>
      <c r="V2391" t="n">
        <v>0</v>
      </c>
    </row>
    <row r="2392">
      <c r="A2392">
        <f>Skills!A17</f>
        <v/>
      </c>
      <c r="B2392">
        <f>Skills!B17</f>
        <v/>
      </c>
      <c r="C2392">
        <f>Inputs!$B$3&gt;=117</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Skills!G17*IF(Skills!H17&gt;0,INT(IF(Inputs!$B$38="pvp",MIN(Skills!I17,15),Skills!I17)/Skills!H17+0.000000001),1)</f>
        <v/>
      </c>
      <c r="H2392">
        <f>1-(1-Skills!J17/100)^Skills!K17</f>
        <v/>
      </c>
      <c r="I2392" t="inlineStr">
        <is>
          <t>1</t>
        </is>
      </c>
      <c r="J2392" t="inlineStr"/>
      <c r="K2392" t="inlineStr"/>
      <c r="L2392" t="inlineStr"/>
      <c r="M2392" t="inlineStr"/>
      <c r="N2392" t="inlineStr"/>
      <c r="O2392">
        <f>(1-Summary!$B$11)*T2392+Summary!$B$11*V2392</f>
        <v/>
      </c>
      <c r="P2392">
        <f>IF(B2420=0,0,O2392/B2420)</f>
        <v/>
      </c>
      <c r="Q2392">
        <f>IFERROR(1/(IF(Inputs!$B$38="pvp",15,MAX(0.1,Skills!D17-IF(TRUE=TRUE,Inputs!$B$32,0)))*(1-IF(AND(ArtifactsInput!$M$27,Inputs!$B$4="Chapter Hunt"),CHOOSE(ArtifactsInput!$N$27+1,20,24,28,32,36,40),0)/100)),0)</f>
        <v/>
      </c>
      <c r="R2392">
        <f>IF(AND(Inputs!$B$38&lt;&gt;"pvp",Inputs!$B$43&gt;0),IF(Inputs!$B$43&lt;=0,0,(INT(Inputs!$B$43/(IF(Inputs!$B$38="pvp",15,MAX(0.1,Skills!D17-IF(TRUE=TRUE,Inputs!$B$32,0)))*(1-IF(AND(ArtifactsInput!$M$27,Inputs!$B$4="Chapter Hunt"),CHOOSE(ArtifactsInput!$N$27+1,20,24,28,32,36,40),0)/100)))+1)),0)</f>
        <v/>
      </c>
      <c r="S2392">
        <f>IFERROR(O2392/N2392,0)</f>
        <v/>
      </c>
      <c r="T2392" t="n">
        <v>0</v>
      </c>
      <c r="V2392" t="n">
        <v>0</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Skills!G18*IF(Skills!H18&gt;0,INT(IF(Inputs!$B$38="pvp",MIN(Skills!I18,15),Skills!I18)/Skills!H18+0.000000001),1)</f>
        <v/>
      </c>
      <c r="H2393">
        <f>1-(1-Skills!J18/100)^Skills!K18</f>
        <v/>
      </c>
      <c r="I2393" t="inlineStr">
        <is>
          <t>1</t>
        </is>
      </c>
      <c r="J2393" t="inlineStr"/>
      <c r="K2393" t="inlineStr"/>
      <c r="L2393" t="inlineStr"/>
      <c r="M2393" t="inlineStr"/>
      <c r="N2393" t="inlineStr"/>
      <c r="O2393">
        <f>(1-Summary!$B$11)*T2393+Summary!$B$11*V2393</f>
        <v/>
      </c>
      <c r="P2393">
        <f>IF(B2420=0,0,O2393/B2420)</f>
        <v/>
      </c>
      <c r="Q2393">
        <f>IFERROR(1/(IF(Inputs!$B$38="pvp",15,MAX(0.1,Skills!D18-IF(TRUE=TRUE,Inputs!$B$32,0)))*(1-IF(AND(ArtifactsInput!$M$27,Inputs!$B$4="Chapter Hunt"),CHOOSE(ArtifactsInput!$N$27+1,20,24,28,32,36,40),0)/100)),0)</f>
        <v/>
      </c>
      <c r="R2393">
        <f>IF(AND(Inputs!$B$38&lt;&gt;"pvp",Inputs!$B$43&gt;0),IF(Inputs!$B$43&lt;=0,0,(INT(Inputs!$B$43/(IF(Inputs!$B$38="pvp",15,MAX(0.1,Skills!D18-IF(TRUE=TRUE,Inputs!$B$32,0)))*(1-IF(AND(ArtifactsInput!$M$27,Inputs!$B$4="Chapter Hunt"),CHOOSE(ArtifactsInput!$N$27+1,20,24,28,32,36,40),0)/100)))+1)),0)</f>
        <v/>
      </c>
      <c r="S2393">
        <f>IFERROR(O2393/N2393,0)</f>
        <v/>
      </c>
      <c r="T2393" t="n">
        <v>0</v>
      </c>
      <c r="V2393" t="n">
        <v>0</v>
      </c>
    </row>
    <row r="2394">
      <c r="A2394">
        <f>Skills!A19</f>
        <v/>
      </c>
      <c r="B2394">
        <f>Skills!B19</f>
        <v/>
      </c>
      <c r="C2394">
        <f>Inputs!$B$3&gt;=66</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Skills!G19*IF(Skills!H19&gt;0,INT(IF(Inputs!$B$38="pvp",MIN(Skills!I19,15),Skills!I19)/Skills!H19+0.000000001),1)</f>
        <v/>
      </c>
      <c r="H2394">
        <f>1-(1-Skills!J19/100)^Skills!K19</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Skills!A20</f>
        <v/>
      </c>
      <c r="B2395">
        <f>Skills!B20</f>
        <v/>
      </c>
      <c r="C2395">
        <f>Inputs!$B$3&gt;=72</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Skills!G20*IF(Skills!H20&gt;0,INT(IF(Inputs!$B$38="pvp",MIN(Skills!I20,15),Skills!I20)/Skills!H20+0.000000001),1)</f>
        <v/>
      </c>
      <c r="H2395">
        <f>1-(1-Skills!J20/100)^Skills!K20</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Skills!A21</f>
        <v/>
      </c>
      <c r="B2396">
        <f>Skills!B21</f>
        <v/>
      </c>
      <c r="C2396">
        <f>TRUE</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Skills!G21*IF(Skills!H21&gt;0,INT(IF(Inputs!$B$38="pvp",MIN(Skills!I21,15),Skills!I21)/Skills!H21+0.000000001),1)</f>
        <v/>
      </c>
      <c r="H2396">
        <f>1-(1-Skills!J21/100)^Skills!K21</f>
        <v/>
      </c>
      <c r="I2396" t="inlineStr">
        <is>
          <t>1</t>
        </is>
      </c>
      <c r="J2396" t="inlineStr"/>
      <c r="K2396" t="inlineStr"/>
      <c r="L2396" t="inlineStr"/>
      <c r="M2396" t="inlineStr"/>
      <c r="N2396" t="inlineStr"/>
      <c r="O2396">
        <f>(1-Summary!$B$11)*T2396+Summary!$B$11*V2396</f>
        <v/>
      </c>
      <c r="P2396">
        <f>IF(B2420=0,0,O2396/B2420)</f>
        <v/>
      </c>
      <c r="Q2396">
        <f>IFERROR(1/(IF(Inputs!$B$38="pvp",15,MAX(0.1,Skills!D21-IF(TRUE=TRUE,Inputs!$B$32,0)))*(1-IF(AND(ArtifactsInput!$M$27,Inputs!$B$4="Chapter Hunt"),CHOOSE(ArtifactsInput!$N$27+1,20,24,28,32,36,40),0)/100)),0)</f>
        <v/>
      </c>
      <c r="R2396">
        <f>IF(AND(Inputs!$B$38&lt;&gt;"pvp",Inputs!$B$43&gt;0),IF(Inputs!$B$43&lt;=0,0,(INT(Inputs!$B$43/(IF(Inputs!$B$38="pvp",15,MAX(0.1,Skills!D21-IF(TRUE=TRUE,Inputs!$B$32,0)))*(1-IF(AND(ArtifactsInput!$M$27,Inputs!$B$4="Chapter Hunt"),CHOOSE(ArtifactsInput!$N$27+1,20,24,28,32,36,40),0)/100)))+1)),0)</f>
        <v/>
      </c>
      <c r="S2396">
        <f>IFERROR(O2396/N2396,0)</f>
        <v/>
      </c>
      <c r="T2396" t="n">
        <v>0</v>
      </c>
      <c r="V2396" t="n">
        <v>0</v>
      </c>
    </row>
    <row r="2397">
      <c r="A2397">
        <f>Skills!A22</f>
        <v/>
      </c>
      <c r="B2397">
        <f>Skills!B22</f>
        <v/>
      </c>
      <c r="C2397">
        <f>Inputs!$B$3&gt;=15</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Skills!G22*IF(Skills!H22&gt;0,INT(IF(Inputs!$B$38="pvp",MIN(Skills!I22,15),Skills!I22)/Skills!H22+0.000000001),1)</f>
        <v/>
      </c>
      <c r="H2397">
        <f>1-(1-Skills!J22/100)^Skills!K22</f>
        <v/>
      </c>
      <c r="I2397" t="inlineStr">
        <is>
          <t>1</t>
        </is>
      </c>
      <c r="J2397" t="inlineStr"/>
      <c r="K2397" t="inlineStr"/>
      <c r="L2397" t="inlineStr"/>
      <c r="M2397" t="inlineStr"/>
      <c r="N2397" t="inlineStr"/>
      <c r="O2397">
        <f>(1-Summary!$B$11)*T2397+Summary!$B$11*V2397</f>
        <v/>
      </c>
      <c r="P2397">
        <f>IF(B2420=0,0,O2397/B2420)</f>
        <v/>
      </c>
      <c r="Q2397" t="n">
        <v>0</v>
      </c>
      <c r="R2397" t="n">
        <v>0</v>
      </c>
      <c r="S2397">
        <f>IFERROR(O2397/N2397,0)</f>
        <v/>
      </c>
      <c r="T2397" t="n">
        <v>0</v>
      </c>
      <c r="V2397" t="n">
        <v>0</v>
      </c>
    </row>
    <row r="2398">
      <c r="A2398">
        <f>Skills!A23</f>
        <v/>
      </c>
      <c r="B2398">
        <f>Skills!B23</f>
        <v/>
      </c>
      <c r="C2398">
        <f>Inputs!$B$3&gt;=10</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Skills!G23*IF(Skills!H23&gt;0,INT(IF(Inputs!$B$38="pvp",MIN(Skills!I23,15),Skills!I23)/Skills!H23+0.000000001),1)</f>
        <v/>
      </c>
      <c r="H2398">
        <f>1-(1-Skills!J23/100)^Skills!K23</f>
        <v/>
      </c>
      <c r="I2398" t="inlineStr">
        <is>
          <t>1</t>
        </is>
      </c>
      <c r="J2398" t="inlineStr"/>
      <c r="K2398" t="inlineStr"/>
      <c r="L2398" t="inlineStr"/>
      <c r="M2398" t="inlineStr"/>
      <c r="N2398" t="inlineStr"/>
      <c r="O2398">
        <f>(1-Summary!$B$11)*T2398+Summary!$B$11*V2398</f>
        <v/>
      </c>
      <c r="P2398">
        <f>IF(B2420=0,0,O2398/B2420)</f>
        <v/>
      </c>
      <c r="Q2398" t="n">
        <v>0</v>
      </c>
      <c r="R2398" t="n">
        <v>0</v>
      </c>
      <c r="S2398">
        <f>IFERROR(O2398/N2398,0)</f>
        <v/>
      </c>
      <c r="T2398" t="n">
        <v>0</v>
      </c>
      <c r="V2398" t="n">
        <v>0</v>
      </c>
    </row>
    <row r="2399">
      <c r="A2399">
        <f>Skills!A24</f>
        <v/>
      </c>
      <c r="B2399">
        <f>Skills!B24</f>
        <v/>
      </c>
      <c r="C2399">
        <f>Inputs!$B$3&gt;=33</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Skills!G24*IF(Skills!H24&gt;0,INT(IF(Inputs!$B$38="pvp",MIN(Skills!I24,15),Skills!I24)/Skills!H24+0.000000001),1)</f>
        <v/>
      </c>
      <c r="H2399">
        <f>1-(1-Skills!J24/100)^Skills!K24</f>
        <v/>
      </c>
      <c r="I2399" t="inlineStr">
        <is>
          <t>1</t>
        </is>
      </c>
      <c r="J2399" t="inlineStr"/>
      <c r="K2399" t="inlineStr"/>
      <c r="L2399" t="inlineStr"/>
      <c r="M2399" t="inlineStr"/>
      <c r="N2399" t="inlineStr"/>
      <c r="O2399">
        <f>(1-Summary!$B$11)*T2399+Summary!$B$11*V2399</f>
        <v/>
      </c>
      <c r="P2399">
        <f>IF(B2420=0,0,O2399/B2420)</f>
        <v/>
      </c>
      <c r="Q2399" t="n">
        <v>0</v>
      </c>
      <c r="R2399" t="n">
        <v>0</v>
      </c>
      <c r="S2399">
        <f>IFERROR(O2399/N2399,0)</f>
        <v/>
      </c>
      <c r="T2399" t="n">
        <v>0</v>
      </c>
      <c r="V2399" t="n">
        <v>0</v>
      </c>
    </row>
    <row r="2400">
      <c r="A2400">
        <f>Skills!A25</f>
        <v/>
      </c>
      <c r="B2400">
        <f>Skills!B25</f>
        <v/>
      </c>
      <c r="C2400">
        <f>Inputs!$B$3&gt;=38</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Skills!G25*IF(Skills!H25&gt;0,INT(IF(Inputs!$B$38="pvp",MIN(Skills!I25,15),Skills!I25)/Skills!H25+0.000000001),1)</f>
        <v/>
      </c>
      <c r="H2400">
        <f>1-(1-Skills!J25/100)^Skills!K25</f>
        <v/>
      </c>
      <c r="I2400" t="inlineStr">
        <is>
          <t>1</t>
        </is>
      </c>
      <c r="J2400" t="inlineStr"/>
      <c r="K2400" t="inlineStr"/>
      <c r="L2400" t="inlineStr"/>
      <c r="M2400" t="inlineStr"/>
      <c r="N2400" t="inlineStr"/>
      <c r="O2400">
        <f>(1-Summary!$B$11)*T2400+Summary!$B$11*V2400</f>
        <v/>
      </c>
      <c r="P2400">
        <f>IF(B2420=0,0,O2400/B2420)</f>
        <v/>
      </c>
      <c r="Q2400" t="n">
        <v>0</v>
      </c>
      <c r="R2400" t="n">
        <v>0</v>
      </c>
      <c r="S2400">
        <f>IFERROR(O2400/N2400,0)</f>
        <v/>
      </c>
      <c r="T2400" t="n">
        <v>0</v>
      </c>
      <c r="V2400" t="n">
        <v>0</v>
      </c>
    </row>
    <row r="2401">
      <c r="A2401">
        <f>Skills!A26</f>
        <v/>
      </c>
      <c r="B2401">
        <f>Skills!B26</f>
        <v/>
      </c>
      <c r="C2401">
        <f>Inputs!$B$3&gt;=43</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Skills!G26*IF(Skills!H26&gt;0,INT(IF(Inputs!$B$38="pvp",MIN(Skills!I26,15),Skills!I26)/Skills!H26+0.000000001),1)</f>
        <v/>
      </c>
      <c r="H2401">
        <f>1-(1-Skills!J26/100)^Skills!K26</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Skills!A27</f>
        <v/>
      </c>
      <c r="B2402">
        <f>Skills!B27</f>
        <v/>
      </c>
      <c r="C2402">
        <f>Inputs!$B$3&gt;=75</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Skills!G27*IF(Skills!H27&gt;0,INT(IF(Inputs!$B$38="pvp",MIN(Skills!I27,15),Skills!I27)/Skills!H27+0.000000001),1)</f>
        <v/>
      </c>
      <c r="H2402">
        <f>1-(1-Skills!J27/100)^Skills!K27</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Skills!A28</f>
        <v/>
      </c>
      <c r="B2403">
        <f>Skills!B28</f>
        <v/>
      </c>
      <c r="C2403">
        <f>Inputs!$B$3&gt;=125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Skills!G28*IF(Skills!H28&gt;0,INT(IF(Inputs!$B$38="pvp",MIN(Skills!I28,15),Skills!I28)/Skills!H28+0.000000001),1)</f>
        <v/>
      </c>
      <c r="H2403">
        <f>1-(1-Skills!J28/100)^Skills!K28</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Skills!A29</f>
        <v/>
      </c>
      <c r="B2404">
        <f>Skills!B29</f>
        <v/>
      </c>
      <c r="C2404">
        <f>Inputs!$B$3&gt;=125</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Skills!G29*IF(Skills!H29&gt;0,INT(IF(Inputs!$B$38="pvp",MIN(Skills!I29,15),Skills!I29)/Skills!H29+0.000000001),1)</f>
        <v/>
      </c>
      <c r="H2404">
        <f>1-(1-Skills!J29/100)^Skills!K29</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Skills!A30</f>
        <v/>
      </c>
      <c r="B2405">
        <f>Skills!B30</f>
        <v/>
      </c>
      <c r="C2405">
        <f>Inputs!$B$3&gt;=120</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Skills!G30*IF(Skills!H30&gt;0,INT(IF(Inputs!$B$38="pvp",MIN(Skills!I30,15),Skills!I30)/Skills!H30+0.000000001),1)</f>
        <v/>
      </c>
      <c r="H2405">
        <f>1-(1-Skills!J30/100)^Skills!K30</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Skills!A31</f>
        <v/>
      </c>
      <c r="B2406">
        <f>Skills!B31</f>
        <v/>
      </c>
      <c r="C2406">
        <f>Inputs!$B$3&gt;=120</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Skills!G31*IF(Skills!H31&gt;0,INT(IF(Inputs!$B$38="pvp",MIN(Skills!I31,15),Skills!I31)/Skills!H31+0.000000001),1)</f>
        <v/>
      </c>
      <c r="H2406">
        <f>1-(1-Skills!J31/100)^Skills!K31</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Skills!A32</f>
        <v/>
      </c>
      <c r="B2407">
        <f>Skills!B32</f>
        <v/>
      </c>
      <c r="C2407">
        <f>Inputs!$B$3&gt;=45</f>
        <v/>
      </c>
      <c r="D2407">
        <f>IF(Skills!C32=1,60+Inputs!$B$25+Inputs!$B$29,IF(Skills!C32=2,90+Inputs!$B$26+Inputs!$B$29,IF(Skills!C32=3,120+Inputs!$B$27+Inputs!$B$29,MAX(0,(Inputs!$B$3-100)*3)+Inputs!$B$28+Inputs!$B$29)))</f>
        <v/>
      </c>
      <c r="E2407">
        <f>INDEX(FactorTable!$B$2:$Y$301, MATCH(ROUND(MIN(300,MAX(1,D2407)),0), FactorTable!$A$2:$A$301,0), Skills!M32+1)</f>
        <v/>
      </c>
      <c r="F2407">
        <f>IF(Skills!N32=TRUE,(Skills!L32/10)*(E2407/1000),Skills!L32/10)+Skills!O32</f>
        <v/>
      </c>
      <c r="G2407">
        <f>Skills!G32*IF(Skills!H32&gt;0,INT(IF(Inputs!$B$38="pvp",MIN(Skills!I32,15),Skills!I32)/Skills!H32+0.000000001),1)</f>
        <v/>
      </c>
      <c r="H2407">
        <f>1-(1-Skills!J32/100)^Skills!K32</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2396=TRUE)*F2396*IF(AND(Inputs!$B$38&lt;&gt;"pvp",Inputs!$B$43&gt;0),(((R2396-1)*MIN((Skills!T21*(1+Inputs!$B$34/100)),(1/Q2396))+MIN((Skills!T21*(1+Inputs!$B$34/100)),MAX(0,Inputs!$B$43-((R2396-1)*(1/Q2396)))))/Inputs!$B$43),IF(Inputs!$B$38="pvp",MIN((Skills!T21*(1+Inputs!$B$34/100)),15)/15,MIN(1,(Skills!T21*(1+Inputs!$B$34/100))/(1/Q2396)))))</f>
        <v/>
      </c>
    </row>
    <row r="2412">
      <c r="A2412" t="inlineStr">
        <is>
          <t>Actions Per Second</t>
        </is>
      </c>
      <c r="B2412">
        <f>1+MIN(150,150*(1-(1-(Inputs!$B$11+((C2398=TRUE)*(F2398-Calc!F23))+((C2399=TRUE)*(F2399-Calc!F24)))/150)*(1-B2411/150)))/100</f>
        <v/>
      </c>
    </row>
    <row r="2413">
      <c r="A2413" t="inlineStr">
        <is>
          <t>Skill + Buff Cast Rate</t>
        </is>
      </c>
      <c r="B2413">
        <f>IF(AND(Inputs!$B$38&lt;&gt;"pvp",Inputs!$B$43&gt;0),SUMPRODUCT((Skills!E2:E32=TRUE)*(C2377:C2407=TRUE)*R2377:R2407*Skills!F2:F32)/Inputs!$B$43,SUMPRODUCT((Skills!E2:E32=TRUE)*(C2377:C2407=TRUE)*Q2377:Q2407*Skills!F2:F32))</f>
        <v/>
      </c>
    </row>
    <row r="2414">
      <c r="A2414" t="inlineStr">
        <is>
          <t>Arrow Stream Casts Per Second</t>
        </is>
      </c>
      <c r="B2414">
        <f>MAX(0,B2412-B2413)</f>
        <v/>
      </c>
    </row>
    <row r="2415">
      <c r="A2415" t="inlineStr">
        <is>
          <t>Global Critical Damage Bonus % (Sharp Eyes + Concentration)</t>
        </is>
      </c>
      <c r="B2415">
        <f>(C2393=TRUE)*F2393*IF(AND(Inputs!$B$38&lt;&gt;"pvp",Inputs!$B$43&gt;0),(((R2393-1)*MIN((Skills!T18*(1+Inputs!$B$34/100)),(1/Q2393))+MIN((Skills!T18*(1+Inputs!$B$34/100)),MAX(0,Inputs!$B$43-((R2393-1)*(1/Q2393)))))/Inputs!$B$43),IF(Inputs!$B$38="pvp",MIN((Skills!T18*(1+Inputs!$B$34/100)),15)/15,MIN(1,(Skills!T18*(1+Inputs!$B$34/100))/(1/Q2393))))+(C2394=TRUE)*7*F2394</f>
        <v/>
      </c>
    </row>
    <row r="2416">
      <c r="A2416" t="inlineStr">
        <is>
          <t>Global Final Damage Bonus % (Mortal Blow)</t>
        </is>
      </c>
      <c r="B2416">
        <f>(C2395=TRUE)*F2395</f>
        <v/>
      </c>
    </row>
    <row r="2417">
      <c r="A2417" t="inlineStr">
        <is>
          <t>Buff-Casting Startup Delay (s, fixed-duration only)</t>
        </is>
      </c>
      <c r="B2417">
        <f>IF(AND(Inputs!$B$38&lt;&gt;"pvp",Inputs!$B$43&gt;0),SUMPRODUCT((Skills!T2:T32&gt;0)*(Skills!E2:E32=TRUE)*(C2377:C2407=TRUE))/B2412,0)</f>
        <v/>
      </c>
    </row>
    <row r="2418">
      <c r="A2418" t="inlineStr">
        <is>
          <t>Boss-Only Total DPS (this block's swept value)</t>
        </is>
      </c>
      <c r="B2418">
        <f>SUM(T2377:T2407)</f>
        <v/>
      </c>
    </row>
    <row r="2419">
      <c r="A2419" t="inlineStr">
        <is>
          <t>Normal-Only Total DPS (this block's swept value)</t>
        </is>
      </c>
      <c r="B2419">
        <f>SUM(V2377:V2407)</f>
        <v/>
      </c>
    </row>
    <row r="2420">
      <c r="A2420" s="6" t="inlineStr">
        <is>
          <t>TOTAL DPS</t>
        </is>
      </c>
      <c r="B2420" s="6">
        <f>SUM(O2377:O2407)</f>
        <v/>
      </c>
    </row>
    <row r="2423">
      <c r="A2423" s="6" t="inlineStr">
        <is>
          <t>Stat: Ancient Text Piece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Skills!G2*IF(Skills!H2&gt;0,INT(IF(Inputs!$B$38="pvp",MIN(Skills!I2,15),Skills!I2)/Skills!H2+0.000000001),1)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2449=TRUE)*(F2449-Calc!F26)),(Inputs!$B$23+((C2454=TRUE)*(F2454-Calc!F31))+(IF(ArtifactsInput!$M$15,CHOOSE(ArtifactsInput!$N$15+1,25,30,35,40,45,50)/100*(Inputs!$B$11-Inputs!$B$11),0))))/100+(Inputs!$B$23+((C2454=TRUE)*(F2454-Calc!F31))+(IF(ArtifactsInput!$M$15,CHOOSE(ArtifactsInput!$N$15+1,25,30,35,40,45,50)/100*(Inputs!$B$11-Inputs!$B$11),0)))/100)/2</f>
        <v/>
      </c>
      <c r="M2425">
        <f>L2425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IF(B2468=0,0,O2425/B2468)</f>
        <v/>
      </c>
      <c r="Q2425" t="n">
        <v>0</v>
      </c>
      <c r="R2425" t="n">
        <v>0</v>
      </c>
      <c r="S2425">
        <f>IFERROR(O2425/N2425,0)</f>
        <v/>
      </c>
      <c r="T2425">
        <f>IF(C2425,(Skills!G2*N2425*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f>Skills!G3*IF(Skills!H3&gt;0,INT(IF(Inputs!$B$38="pvp",MIN(Skills!I3,15),Skills!I3)/Skills!H3+0.000000001),1)</f>
        <v/>
      </c>
      <c r="H2426">
        <f>1-(1-Skills!J3/100)^Skills!K3</f>
        <v/>
      </c>
      <c r="I2426" t="inlineStr">
        <is>
          <t>1</t>
        </is>
      </c>
      <c r="J2426">
        <f>((Inputs!$B$6*(1+Inputs!$B$7/100))+(((Inputs!$B$12*(1+Inputs!$B$13/100))-(Inputs!$B$12*(1+Inputs!$B$13/100)))+0.25*(Inputs!$B$14-Inputs!$B$14))*(1+Inputs!$B$7/100))*(F2426/100)</f>
        <v/>
      </c>
      <c r="K2426">
        <f>J2426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2427=TRUE,F2427,0)/100)*(1+(IF(Skills!A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2449=TRUE)*(F2449-Calc!F26)),(Inputs!$B$23+((C2454=TRUE)*(F2454-Calc!F31))+(IF(ArtifactsInput!$M$15,CHOOSE(ArtifactsInput!$N$15+1,25,30,35,40,45,50)/100*(Inputs!$B$11-Inputs!$B$11),0))))/100+(Inputs!$B$23+((C2454=TRUE)*(F2454-Calc!F31))+(IF(ArtifactsInput!$M$15,CHOOSE(ArtifactsInput!$N$15+1,25,30,35,40,45,50)/100*(Inputs!$B$11-Inputs!$B$11),0)))/100)/2</f>
        <v/>
      </c>
      <c r="M2426">
        <f>L2426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IF(B2468=0,0,O2426/B2468)</f>
        <v/>
      </c>
      <c r="Q2426">
        <f>IFERROR(1/(IF(Inputs!$B$38="pvp",15,MAX(0.1,1/B2460-IF(FALSE=TRUE,Inputs!$B$32,0)))*(1-IF(AND(ArtifactsInput!$M$27,Inputs!$B$4="Chapter Hunt"),CHOOSE(ArtifactsInput!$N$27+1,20,24,28,32,36,40),0)/100)),0)</f>
        <v/>
      </c>
      <c r="R2426">
        <f>IF(AND(Inputs!$B$38&lt;&gt;"pvp",Inputs!$B$43&gt;0),IF(MAX(0,Inputs!$B$43-B2465)&lt;=0,0,(INT(MAX(0,Inputs!$B$43-B2465)/(IF(Inputs!$B$38="pvp",15,MAX(0.1,1/B2460-IF(FALSE=TRUE,Inputs!$B$32,0)))*(1-IF(AND(ArtifactsInput!$M$27,Inputs!$B$4="Chapter Hunt"),CHOOSE(ArtifactsInput!$N$27+1,20,24,28,32,36,40),0)/100)))+1)),0)</f>
        <v/>
      </c>
      <c r="S2426">
        <f>IFERROR(O2426/N2426,0)</f>
        <v/>
      </c>
      <c r="T2426">
        <f>IF(C2426,(H2426*N2426*IF(AND(Inputs!$B$38&lt;&gt;"pvp",Inputs!$B$43&gt;0),((Skills!G3*((R2426-1)*IF(Skills!H3&gt;0,INT(Skills!I3/Skills!H3+0.000000001),1)+IF(Skills!H3&gt;0,INT(MIN(Skills!I3,MAX(0,MAX(0,Inputs!$B$43-B2465)-((R2426-1)*(IF(Inputs!$B$38="pvp",15,MAX(0.1,1/B2460-IF(FALSE=TRUE,Inputs!$B$32,0)))*(1-IF(AND(ArtifactsInput!$M$27,Inputs!$B$4="Chapter Hunt"),CHOOSE(ArtifactsInput!$N$27+1,20,24,28,32,36,40),0)/100)))))/Skills!H3+0.000000001),1)))/Inputs!$B$43),G2426*Q2426)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INDEX(FactorTable!$B$2:$Y$301, MATCH(ROUND(MIN(300,MAX(1,U2425)),0), FactorTable!$A$2:$A$301,0), 22)</f>
        <v/>
      </c>
      <c r="V2426">
        <f>IF(C2426,(H2426*N2426*IF(AND(Inputs!$B$38&lt;&gt;"pvp",Inputs!$B$43&gt;0),((Skills!G3*((R2426-1)*IF(Skills!H3&gt;0,INT(Skills!I3/Skills!H3+0.000000001),1)+IF(Skills!H3&gt;0,INT(MIN(Skills!I3,MAX(0,MAX(0,Inputs!$B$43-B2465)-((R2426-1)*(IF(Inputs!$B$38="pvp",15,MAX(0.1,1/B2460-IF(FALSE=TRUE,Inputs!$B$32,0)))*(1-IF(AND(ArtifactsInput!$M$27,Inputs!$B$4="Chapter Hunt"),CHOOSE(ArtifactsInput!$N$27+1,20,24,28,32,36,40),0)/100)))))/Skills!H3+0.000000001),1)))/Inputs!$B$43),G2426*Q2426))*IF(Inputs!$B$38="pvp",1,(1+(Inputs!$B$21+Skills!Q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T2427" t="inlineStr"/>
      <c r="U2427">
        <f>290*U2426/1000</f>
        <v/>
      </c>
      <c r="V2427" t="inlineStr"/>
    </row>
    <row r="2428">
      <c r="A2428">
        <f>Skills!A5</f>
        <v/>
      </c>
      <c r="B2428">
        <f>Skills!B5</f>
        <v/>
      </c>
      <c r="C2428">
        <f>Inputs!$B$3&gt;=35</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Skills!G5*IF(Skills!H5&gt;0,INT(IF(Inputs!$B$38="pvp",MIN(Skills!I5,15),Skills!I5)/Skills!H5+0.000000001),1)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5="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2449=TRUE)*(F2449-Calc!F26)),(Inputs!$B$23+((C2454=TRUE)*(F2454-Calc!F31))+(IF(ArtifactsInput!$M$15,CHOOSE(ArtifactsInput!$N$15+1,25,30,35,40,45,50)/100*(Inputs!$B$11-Inputs!$B$11),0))))/100+(Inputs!$B$23+((C2454=TRUE)*(F2454-Calc!F31))+(IF(ArtifactsInput!$M$15,CHOOSE(ArtifactsInput!$N$15+1,25,30,35,40,45,50)/100*(Inputs!$B$11-Inputs!$B$11),0)))/100)/2</f>
        <v/>
      </c>
      <c r="M2428">
        <f>L2428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IF(B2468=0,0,O2428/B2468)</f>
        <v/>
      </c>
      <c r="Q2428">
        <f>IFERROR(1/(IF(Inputs!$B$38="pvp",15,MAX(0.1,Skills!D5-IF(TRUE=TRUE,Inputs!$B$32,0)))*(1-IF(AND(ArtifactsInput!$M$27,Inputs!$B$4="Chapter Hunt"),CHOOSE(ArtifactsInput!$N$27+1,20,24,28,32,36,40),0)/100)),0)</f>
        <v/>
      </c>
      <c r="R2428">
        <f>IF(AND(Inputs!$B$38&lt;&gt;"pvp",Inputs!$B$43&gt;0),IF(MAX(0,Inputs!$B$43-B2465)&lt;=0,0,(INT(MAX(0,Inputs!$B$43-B2465)/(IF(Inputs!$B$38="pvp",15,MAX(0.1,Skills!D5-IF(TRUE=TRUE,Inputs!$B$32,0)))*(1-IF(AND(ArtifactsInput!$M$27,Inputs!$B$4="Chapter Hunt"),CHOOSE(ArtifactsInput!$N$27+1,20,24,28,32,36,40),0)/100)))+1)),0)</f>
        <v/>
      </c>
      <c r="S2428">
        <f>IFERROR(O2428/N2428,0)</f>
        <v/>
      </c>
      <c r="T2428">
        <f>IF(C2428,(H2428*N2428*IF(AND(Inputs!$B$38&lt;&gt;"pvp",Inputs!$B$43&gt;0),((Skills!G5*((R2428-1)*IF(Skills!H5&gt;0,INT(Skills!I5/Skills!H5+0.000000001),1)+IF(Skills!H5&gt;0,INT(MIN(Skills!I5,MAX(0,MAX(0,Inputs!$B$43-B2465)-((R2428-1)*(IF(Inputs!$B$38="pvp",15,MAX(0.1,Skills!D5-IF(TRUE=TRUE,Inputs!$B$32,0)))*(1-IF(AND(ArtifactsInput!$M$27,Inputs!$B$4="Chapter Hunt"),CHOOSE(ArtifactsInput!$N$27+1,20,24,28,32,36,40),0)/100)))))/Skills!H5+0.000000001),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INT(Skills!I5/Skills!H5+0.000000001),1)+IF(Skills!H5&gt;0,INT(MIN(Skills!I5,MAX(0,MAX(0,Inputs!$B$43-B2465)-((R2428-1)*(IF(Inputs!$B$38="pvp",15,MAX(0.1,Skills!D5-IF(TRUE=TRUE,Inputs!$B$32,0)))*(1-IF(AND(ArtifactsInput!$M$27,Inputs!$B$4="Chapter Hunt"),CHOOSE(ArtifactsInput!$N$27+1,20,24,28,32,36,40),0)/100)))))/Skills!H5+0.000000001),1)))/Inputs!$B$43),G2428*Q2428))*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Inputs!$B$3&gt;=40</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Skills!G6*IF(Skills!H6&gt;0,INT(IF(Inputs!$B$38="pvp",MIN(Skills!I6,15),Skills!I6)/Skills!H6+0.000000001),1)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2430=TRUE,F2430,0)/100)*(1+(IF(Skills!A6="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2449=TRUE)*(F2449-Calc!F26)),(Inputs!$B$23+((C2454=TRUE)*(F2454-Calc!F31))+(IF(ArtifactsInput!$M$15,CHOOSE(ArtifactsInput!$N$15+1,25,30,35,40,45,50)/100*(Inputs!$B$11-Inputs!$B$11),0))))/100+(Inputs!$B$23+((C2454=TRUE)*(F2454-Calc!F31))+(IF(ArtifactsInput!$M$15,CHOOSE(ArtifactsInput!$N$15+1,25,30,35,40,45,50)/100*(Inputs!$B$11-Inputs!$B$11),0)))/100)/2</f>
        <v/>
      </c>
      <c r="M2429">
        <f>L2429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IF(B2468=0,0,O2429/B2468)</f>
        <v/>
      </c>
      <c r="Q2429">
        <f>IFERROR(1/(IF(Inputs!$B$38="pvp",15,MAX(0.1,1-0.4*MIN(1,(B2460-1)/1.5)-IF(FALSE=TRUE,Inputs!$B$32,0)))*(1-IF(AND(ArtifactsInput!$M$27,Inputs!$B$4="Chapter Hunt"),CHOOSE(ArtifactsInput!$N$27+1,20,24,28,32,36,40),0)/100)),0)</f>
        <v/>
      </c>
      <c r="R2429">
        <f>IF(AND(Inputs!$B$38&lt;&gt;"pvp",Inputs!$B$43&gt;0),IF(MAX(0,Inputs!$B$43-B2465)&lt;=0,0,(INT(MAX(0,Inputs!$B$43-B2465)/(IF(Inputs!$B$38="pvp",15,MAX(0.1,1-0.4*MIN(1,(B2460-1)/1.5)-IF(FALSE=TRUE,Inputs!$B$32,0)))*(1-IF(AND(ArtifactsInput!$M$27,Inputs!$B$4="Chapter Hunt"),CHOOSE(ArtifactsInput!$N$27+1,20,24,28,32,36,40),0)/100)))+1)),0)</f>
        <v/>
      </c>
      <c r="S2429">
        <f>IFERROR(O2429/N2429,0)</f>
        <v/>
      </c>
      <c r="T2429">
        <f>IF(C2429,(H2429*N2429*IF(AND(Inputs!$B$38&lt;&gt;"pvp",Inputs!$B$43&gt;0),((Skills!G6*((R2429-1)*IF(Skills!H6&gt;0,INT(Skills!I6/Skills!H6+0.000000001),1)+IF(Skills!H6&gt;0,INT(MIN(Skills!I6,MAX(0,MAX(0,Inputs!$B$43-B2465)-((R2429-1)*(IF(Inputs!$B$38="pvp",15,MAX(0.1,1-0.4*MIN(1,(B2460-1)/1.5)-IF(FALSE=TRUE,Inputs!$B$32,0)))*(1-IF(AND(ArtifactsInput!$M$27,Inputs!$B$4="Chapter Hunt"),CHOOSE(ArtifactsInput!$N$27+1,20,24,28,32,36,40),0)/100)))))/Skills!H6+0.000000001),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INT(Skills!I6/Skills!H6+0.000000001),1)+IF(Skills!H6&gt;0,INT(MIN(Skills!I6,MAX(0,MAX(0,Inputs!$B$43-B2465)-((R2429-1)*(IF(Inputs!$B$38="pvp",15,MAX(0.1,1-0.4*MIN(1,(B2460-1)/1.5)-IF(FALSE=TRUE,Inputs!$B$32,0)))*(1-IF(AND(ArtifactsInput!$M$27,Inputs!$B$4="Chapter Hunt"),CHOOSE(ArtifactsInput!$N$27+1,20,24,28,32,36,40),0)/100)))))/Skills!H6+0.000000001),1)))/Inputs!$B$43),G2429*Q2429))*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t="inlineStr"/>
      <c r="H2430" t="inlineStr"/>
      <c r="I2430" t="inlineStr">
        <is>
          <t>1</t>
        </is>
      </c>
      <c r="J2430" t="inlineStr"/>
      <c r="K2430" t="inlineStr"/>
      <c r="L2430" t="inlineStr"/>
      <c r="M2430" t="inlineStr"/>
      <c r="N2430" t="inlineStr"/>
      <c r="O2430" t="inlineStr"/>
      <c r="P2430" t="inlineStr"/>
      <c r="Q2430" t="inlineStr"/>
      <c r="R2430" t="inlineStr"/>
      <c r="S2430" t="inlineStr"/>
      <c r="T2430" t="inlineStr"/>
      <c r="V2430" t="inlineStr"/>
    </row>
    <row r="2431">
      <c r="A2431">
        <f>Skills!A8</f>
        <v/>
      </c>
      <c r="B2431">
        <f>Skills!B8</f>
        <v/>
      </c>
      <c r="C2431">
        <f>Inputs!$B$3&gt;=130</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Skills!G8*IF(Skills!H8&gt;0,INT(IF(Inputs!$B$38="pvp",MIN(Skills!I8,15),Skills!I8)/Skills!H8+0.000000001),1)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2449=TRUE)*(F2449-Calc!F26)),(Inputs!$B$23+((C2454=TRUE)*(F2454-Calc!F31))+(IF(ArtifactsInput!$M$15,CHOOSE(ArtifactsInput!$N$15+1,25,30,35,40,45,50)/100*(Inputs!$B$11-Inputs!$B$11),0))))/100+(Inputs!$B$23+((C2454=TRUE)*(F2454-Calc!F31))+(IF(ArtifactsInput!$M$15,CHOOSE(ArtifactsInput!$N$15+1,25,30,35,40,45,50)/100*(Inputs!$B$11-Inputs!$B$11),0)))/100)/2</f>
        <v/>
      </c>
      <c r="M2431">
        <f>L2431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IF(B2468=0,0,O2431/B2468)</f>
        <v/>
      </c>
      <c r="Q2431">
        <f>IFERROR(1/(IF(Inputs!$B$38="pvp",15,MAX(0.1,1-0.4*MIN(1,(B2460-1)/1.5)-IF(FALSE=TRUE,Inputs!$B$32,0)))*(1-IF(AND(ArtifactsInput!$M$27,Inputs!$B$4="Chapter Hunt"),CHOOSE(ArtifactsInput!$N$27+1,20,24,28,32,36,40),0)/100)),0)</f>
        <v/>
      </c>
      <c r="R2431">
        <f>IF(AND(Inputs!$B$38&lt;&gt;"pvp",Inputs!$B$43&gt;0),IF(MAX(0,Inputs!$B$43-B2465)&lt;=0,0,(INT(MAX(0,Inputs!$B$43-B2465)/(IF(Inputs!$B$38="pvp",15,MAX(0.1,1-0.4*MIN(1,(B2460-1)/1.5)-IF(FALSE=TRUE,Inputs!$B$32,0)))*(1-IF(AND(ArtifactsInput!$M$27,Inputs!$B$4="Chapter Hunt"),CHOOSE(ArtifactsInput!$N$27+1,20,24,28,32,36,40),0)/100)))+1)),0)</f>
        <v/>
      </c>
      <c r="S2431">
        <f>IFERROR(O2431/N2431,0)</f>
        <v/>
      </c>
      <c r="T2431">
        <f>IF(C2431,(H2431*N2431*IF(AND(Inputs!$B$38&lt;&gt;"pvp",Inputs!$B$43&gt;0),((Skills!G8*((R2431-1)*IF(Skills!H8&gt;0,INT(Skills!I8/Skills!H8+0.000000001),1)+IF(Skills!H8&gt;0,INT(MIN(Skills!I8,MAX(0,MAX(0,Inputs!$B$43-B2465)-((R2431-1)*(IF(Inputs!$B$38="pvp",15,MAX(0.1,1-0.4*MIN(1,(B2460-1)/1.5)-IF(FALSE=TRUE,Inputs!$B$32,0)))*(1-IF(AND(ArtifactsInput!$M$27,Inputs!$B$4="Chapter Hunt"),CHOOSE(ArtifactsInput!$N$27+1,20,24,28,32,36,40),0)/100)))))/Skills!H8+0.000000001),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INT(Skills!I8/Skills!H8+0.000000001),1)+IF(Skills!H8&gt;0,INT(MIN(Skills!I8,MAX(0,MAX(0,Inputs!$B$43-B2465)-((R2431-1)*(IF(Inputs!$B$38="pvp",15,MAX(0.1,1-0.4*MIN(1,(B2460-1)/1.5)-IF(FALSE=TRUE,Inputs!$B$32,0)))*(1-IF(AND(ArtifactsInput!$M$27,Inputs!$B$4="Chapter Hunt"),CHOOSE(ArtifactsInput!$N$27+1,20,24,28,32,36,40),0)/100)))))/Skills!H8+0.000000001),1)))/Inputs!$B$43),G2431*Q2431))*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Skills!G9*IF(Skills!H9&gt;0,INT(IF(Inputs!$B$38="pvp",MIN(Skills!I9,15),Skills!I9)/Skills!H9+0.000000001),1)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2435=TRUE,F2435,0)/100)*(1+(IF(Skills!A9="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2449=TRUE)*(F2449-Calc!F26)),(Inputs!$B$23+((C2454=TRUE)*(F2454-Calc!F31))+(IF(ArtifactsInput!$M$15,CHOOSE(ArtifactsInput!$N$15+1,25,30,35,40,45,50)/100*(Inputs!$B$11-Inputs!$B$11),0))))/100+(Inputs!$B$23+((C2454=TRUE)*(F2454-Calc!F31))+(IF(ArtifactsInput!$M$15,CHOOSE(ArtifactsInput!$N$15+1,25,30,35,40,45,50)/100*(Inputs!$B$11-Inputs!$B$11),0)))/100)/2</f>
        <v/>
      </c>
      <c r="M2432">
        <f>L2432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IF(B2468=0,0,O2432/B2468)</f>
        <v/>
      </c>
      <c r="Q2432">
        <f>IFERROR(1/(IF(Inputs!$B$38="pvp",15,MAX(0.1,Skills!D9-IF(TRUE=TRUE,Inputs!$B$32,0)))*(1-IF(AND(ArtifactsInput!$M$27,Inputs!$B$4="Chapter Hunt"),CHOOSE(ArtifactsInput!$N$27+1,20,24,28,32,36,40),0)/100)),0)</f>
        <v/>
      </c>
      <c r="R2432">
        <f>IF(AND(Inputs!$B$38&lt;&gt;"pvp",Inputs!$B$43&gt;0),IF(MAX(0,Inputs!$B$43-B2465)&lt;=0,0,(INT(MAX(0,Inputs!$B$43-B2465)/(IF(Inputs!$B$38="pvp",15,MAX(0.1,Skills!D9-IF(TRUE=TRUE,Inputs!$B$32,0)))*(1-IF(AND(ArtifactsInput!$M$27,Inputs!$B$4="Chapter Hunt"),CHOOSE(ArtifactsInput!$N$27+1,20,24,28,32,36,40),0)/100)))+1)),0)</f>
        <v/>
      </c>
      <c r="S2432">
        <f>IFERROR(O2432/N2432,0)</f>
        <v/>
      </c>
      <c r="T2432">
        <f>IF(C2432,(H2432*N2432*IF(AND(Inputs!$B$38&lt;&gt;"pvp",Inputs!$B$43&gt;0),((Skills!G9*((R2432-1)*IF(Skills!H9&gt;0,INT(Skills!I9/Skills!H9+0.000000001),1)+IF(Skills!H9&gt;0,INT(MIN(Skills!I9,MAX(0,MAX(0,Inputs!$B$43-B2465)-((R2432-1)*(IF(Inputs!$B$38="pvp",15,MAX(0.1,Skills!D9-IF(TRUE=TRUE,Inputs!$B$32,0)))*(1-IF(AND(ArtifactsInput!$M$27,Inputs!$B$4="Chapter Hunt"),CHOOSE(ArtifactsInput!$N$27+1,20,24,28,32,36,40),0)/100)))))/Skills!H9+0.000000001),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INT(Skills!I9/Skills!H9+0.000000001),1)+IF(Skills!H9&gt;0,INT(MIN(Skills!I9,MAX(0,MAX(0,Inputs!$B$43-B2465)-((R2432-1)*(IF(Inputs!$B$38="pvp",15,MAX(0.1,Skills!D9-IF(TRUE=TRUE,Inputs!$B$32,0)))*(1-IF(AND(ArtifactsInput!$M$27,Inputs!$B$4="Chapter Hunt"),CHOOSE(ArtifactsInput!$N$27+1,20,24,28,32,36,40),0)/100)))))/Skills!H9+0.000000001),1)))/Inputs!$B$43),G2432*Q2432))*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Skills!G10*IF(Skills!H10&gt;0,INT(IF(Inputs!$B$38="pvp",MIN(Skills!I10,15),Skills!I10)/Skills!H10+0.000000001),1)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10="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2449=TRUE)*(F2449-Calc!F26)),(Inputs!$B$23+((C2454=TRUE)*(F2454-Calc!F31))+(IF(ArtifactsInput!$M$15,CHOOSE(ArtifactsInput!$N$15+1,25,30,35,40,45,50)/100*(Inputs!$B$11-Inputs!$B$11),0))))/100+(Inputs!$B$23+((C2454=TRUE)*(F2454-Calc!F31))+(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f>IFERROR(1/(IF(Inputs!$B$38="pvp",15,MAX(0.1,Skills!D10-IF(TRUE=TRUE,Inputs!$B$32,0)))*(1-IF(AND(ArtifactsInput!$M$27,Inputs!$B$4="Chapter Hunt"),CHOOSE(ArtifactsInput!$N$27+1,20,24,28,32,36,40),0)/100)),0)</f>
        <v/>
      </c>
      <c r="R2433">
        <f>IF(AND(Inputs!$B$38&lt;&gt;"pvp",Inputs!$B$43&gt;0),IF(MAX(0,Inputs!$B$43-B2465)&lt;=0,0,(INT(MAX(0,Inputs!$B$43-B2465)/(IF(Inputs!$B$38="pvp",15,MAX(0.1,Skills!D10-IF(TRUE=TRUE,Inputs!$B$32,0)))*(1-IF(AND(ArtifactsInput!$M$27,Inputs!$B$4="Chapter Hunt"),CHOOSE(ArtifactsInput!$N$27+1,20,24,28,32,36,40),0)/100)))+1)),0)</f>
        <v/>
      </c>
      <c r="S2433">
        <f>IFERROR(O2433/N2433,0)</f>
        <v/>
      </c>
      <c r="T2433">
        <f>IF(C2433,(H2433*N2433*IF(AND(Inputs!$B$38&lt;&gt;"pvp",Inputs!$B$43&gt;0),((Skills!G10*((R2433-1)*IF(Skills!H10&gt;0,INT(Skills!I10/Skills!H10+0.000000001),1)+IF(Skills!H10&gt;0,INT(MIN(Skills!I10,MAX(0,MAX(0,Inputs!$B$43-B2465)-((R2433-1)*(IF(Inputs!$B$38="pvp",15,MAX(0.1,Skills!D10-IF(TRUE=TRUE,Inputs!$B$32,0)))*(1-IF(AND(ArtifactsInput!$M$27,Inputs!$B$4="Chapter Hunt"),CHOOSE(ArtifactsInput!$N$27+1,20,24,28,32,36,40),0)/100)))))/Skills!H10+0.000000001),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INT(Skills!I10/Skills!H10+0.000000001),1)+IF(Skills!H10&gt;0,INT(MIN(Skills!I10,MAX(0,MAX(0,Inputs!$B$43-B2465)-((R2433-1)*(IF(Inputs!$B$38="pvp",15,MAX(0.1,Skills!D10-IF(TRUE=TRUE,Inputs!$B$32,0)))*(1-IF(AND(ArtifactsInput!$M$27,Inputs!$B$4="Chapter Hunt"),CHOOSE(ArtifactsInput!$N$27+1,20,24,28,32,36,40),0)/100)))))/Skills!H10+0.000000001),1)))/Inputs!$B$43),G2433*Q2433))*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Inputs!$B$3&gt;=103</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Skills!G11*IF(Skills!H11&gt;0,INT(IF(Inputs!$B$38="pvp",MIN(Skills!I11,15),Skills!I11)/Skills!H11+0.000000001),1)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2449=TRUE)*(F2449-Calc!F26)),(Inputs!$B$23+((C2454=TRUE)*(F2454-Calc!F31))+(IF(ArtifactsInput!$M$15,CHOOSE(ArtifactsInput!$N$15+1,25,30,35,40,45,50)/100*(Inputs!$B$11-Inputs!$B$11),0))))/100+(Inputs!$B$23+((C2454=TRUE)*(F2454-Calc!F31))+(IF(ArtifactsInput!$M$15,CHOOSE(ArtifactsInput!$N$15+1,25,30,35,40,45,50)/100*(Inputs!$B$11-Inputs!$B$11),0)))/100)/2</f>
        <v/>
      </c>
      <c r="M2434">
        <f>L2434*(1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IF(B2468=0,0,O2434/B2468)</f>
        <v/>
      </c>
      <c r="Q2434">
        <f>IFERROR(1/(IF(Inputs!$B$38="pvp",15,MAX(0.1,Skills!D11-IF(TRUE=TRUE,Inputs!$B$32,0)))*(1-IF(AND(ArtifactsInput!$M$27,Inputs!$B$4="Chapter Hunt"),CHOOSE(ArtifactsInput!$N$27+1,20,24,28,32,36,40),0)/100)),0)</f>
        <v/>
      </c>
      <c r="R2434">
        <f>IF(AND(Inputs!$B$38&lt;&gt;"pvp",Inputs!$B$43&gt;0),IF(MAX(0,Inputs!$B$43-B2465)&lt;=0,0,(INT(MAX(0,Inputs!$B$43-B2465)/(IF(Inputs!$B$38="pvp",15,MAX(0.1,Skills!D11-IF(TRUE=TRUE,Inputs!$B$32,0)))*(1-IF(AND(ArtifactsInput!$M$27,Inputs!$B$4="Chapter Hunt"),CHOOSE(ArtifactsInput!$N$27+1,20,24,28,32,36,40),0)/100)))+1)),0)</f>
        <v/>
      </c>
      <c r="S2434">
        <f>IFERROR(O2434/N2434,0)</f>
        <v/>
      </c>
      <c r="T2434">
        <f>IF(C2434,(H2434*N2434*IF(AND(Inputs!$B$38&lt;&gt;"pvp",Inputs!$B$43&gt;0),((Skills!G11*((R2434-1)*IF(Skills!H11&gt;0,INT(Skills!I11/Skills!H11+0.000000001),1)+IF(Skills!H11&gt;0,INT(MIN(Skills!I11,MAX(0,MAX(0,Inputs!$B$43-B2465)-((R2434-1)*(IF(Inputs!$B$38="pvp",15,MAX(0.1,Skills!D11-IF(TRUE=TRUE,Inputs!$B$32,0)))*(1-IF(AND(ArtifactsInput!$M$27,Inputs!$B$4="Chapter Hunt"),CHOOSE(ArtifactsInput!$N$27+1,20,24,28,32,36,40),0)/100)))))/Skills!H11+0.000000001)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INT(Skills!I11/Skills!H11+0.000000001),1)+IF(Skills!H11&gt;0,INT(MIN(Skills!I11,MAX(0,MAX(0,Inputs!$B$43-B2465)-((R2434-1)*(IF(Inputs!$B$38="pvp",15,MAX(0.1,Skills!D11-IF(TRUE=TRUE,Inputs!$B$32,0)))*(1-IF(AND(ArtifactsInput!$M$27,Inputs!$B$4="Chapter Hunt"),CHOOSE(ArtifactsInput!$N$27+1,20,24,28,32,36,40),0)/100)))))/Skills!H11+0.000000001),1)))/Inputs!$B$43),G2434*Q2434))*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c r="T2435" t="inlineStr"/>
      <c r="V2435" t="inlineStr"/>
    </row>
    <row r="2436">
      <c r="A2436">
        <f>Skills!A13</f>
        <v/>
      </c>
      <c r="B2436">
        <f>Skills!B13</f>
        <v/>
      </c>
      <c r="C2436">
        <f>Inputs!$B$3&gt;=60</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Skills!G13*IF(Skills!H13&gt;0,INT(IF(Inputs!$B$38="pvp",MIN(Skills!I13,15),Skills!I13)/Skills!H13+0.000000001),1)</f>
        <v/>
      </c>
      <c r="H2436">
        <f>1-(1-Skills!J13/100)^Skills!K13</f>
        <v/>
      </c>
      <c r="I2436" t="inlineStr">
        <is>
          <t>1</t>
        </is>
      </c>
      <c r="J2436">
        <f>((Inputs!$B$6*(1+Inputs!$B$7/100))+(((Inputs!$B$12*(1+Inputs!$B$13/100))-(Inputs!$B$12*(1+Inputs!$B$13/100)))+0.25*(Inputs!$B$14-Inputs!$B$14))*(1+Inputs!$B$7/100))*(F2436/100)</f>
        <v/>
      </c>
      <c r="K2436">
        <f>J2436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2437=TRUE,F2437,0)/100)*(1+(IF(Skills!A13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2449=TRUE)*(F2449-Calc!F26)),(Inputs!$B$23+((C2454=TRUE)*(F2454-Calc!F31))+(IF(ArtifactsInput!$M$15,CHOOSE(ArtifactsInput!$N$15+1,25,30,35,40,45,50)/100*(Inputs!$B$11-Inputs!$B$11),0))))/100+(Inputs!$B$23+((C2454=TRUE)*(F2454-Calc!F31))+(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IFERROR(1/(IF(Inputs!$B$38="pvp",15,MAX(0.1,IF(Inputs!$B$3&gt;=122,3,5)+1/(((20+30*(B2460-1)*100/150)/100)*B2460)-IF(FALSE=TRUE,Inputs!$B$32,0)))*(1-IF(AND(ArtifactsInput!$M$27,Inputs!$B$4="Chapter Hunt"),CHOOSE(ArtifactsInput!$N$27+1,20,24,28,32,36,40),0)/100)),0)</f>
        <v/>
      </c>
      <c r="R2436">
        <f>IF(AND(Inputs!$B$38&lt;&gt;"pvp",Inputs!$B$43&gt;0),IF(MAX(0,Inputs!$B$43-B2465)&lt;=0,0,(INT(MAX(0,Inputs!$B$43-B2465)/(IF(Inputs!$B$38="pvp",15,MAX(0.1,IF(Inputs!$B$3&gt;=122,3,5)+1/(((20+30*(B2460-1)*100/150)/100)*B2460)-IF(FALSE=TRUE,Inputs!$B$32,0)))*(1-IF(AND(ArtifactsInput!$M$27,Inputs!$B$4="Chapter Hunt"),CHOOSE(ArtifactsInput!$N$27+1,20,24,28,32,36,40),0)/100)))+1)),0)</f>
        <v/>
      </c>
      <c r="S2436">
        <f>IFERROR(O2436/N2436,0)</f>
        <v/>
      </c>
      <c r="T2436">
        <f>IF(C2436,(H2436*N2436*IF(AND(Inputs!$B$38&lt;&gt;"pvp",Inputs!$B$43&gt;0),((Skills!G13*((R2436-1)*IF(Skills!H13&gt;0,INT(Skills!I13/Skills!H13+0.000000001),1)+IF(Skills!H13&gt;0,INT(MIN(Skills!I13,MAX(0,MAX(0,Inputs!$B$43-B2465)-((R2436-1)*(IF(Inputs!$B$38="pvp",15,MAX(0.1,IF(Inputs!$B$3&gt;=122,3,5)+1/(((20+30*(B2460-1)*100/150)/100)*B2460)-IF(FALSE=TRUE,Inputs!$B$32,0)))*(1-IF(AND(ArtifactsInput!$M$27,Inputs!$B$4="Chapter Hunt"),CHOOSE(ArtifactsInput!$N$27+1,20,24,28,32,36,40),0)/100)))))/Skills!H13+0.000000001),1)))/Inputs!$B$43),G2436*Q2436)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13*((R2436-1)*IF(Skills!H13&gt;0,INT(Skills!I13/Skills!H13+0.000000001),1)+IF(Skills!H13&gt;0,INT(MIN(Skills!I13,MAX(0,MAX(0,Inputs!$B$43-B2465)-((R2436-1)*(IF(Inputs!$B$38="pvp",15,MAX(0.1,IF(Inputs!$B$3&gt;=122,3,5)+1/(((20+30*(B2460-1)*100/150)/100)*B2460)-IF(FALSE=TRUE,Inputs!$B$32,0)))*(1-IF(AND(ArtifactsInput!$M$27,Inputs!$B$4="Chapter Hunt"),CHOOSE(ArtifactsInput!$N$27+1,20,24,28,32,36,40),0)/100)))))/Skills!H13+0.000000001),1)))/Inputs!$B$43),G2436*Q2436))*IF(Inputs!$B$38="pvp",1,(1+(Inputs!$B$21+Skills!Q13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Skills!A14</f>
        <v/>
      </c>
      <c r="B2437">
        <f>Skills!B14</f>
        <v/>
      </c>
      <c r="C2437">
        <f>Inputs!$B$3&gt;=110</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t="inlineStr"/>
      <c r="H2437" t="inlineStr"/>
      <c r="I2437" t="inlineStr">
        <is>
          <t>1</t>
        </is>
      </c>
      <c r="J2437" t="inlineStr"/>
      <c r="K2437" t="inlineStr"/>
      <c r="L2437" t="inlineStr"/>
      <c r="M2437" t="inlineStr"/>
      <c r="N2437" t="inlineStr"/>
      <c r="O2437" t="inlineStr"/>
      <c r="P2437" t="inlineStr"/>
      <c r="Q2437" t="inlineStr"/>
      <c r="R2437" t="inlineStr"/>
      <c r="S2437" t="inlineStr"/>
      <c r="T2437" t="inlineStr"/>
      <c r="V2437" t="inlineStr"/>
    </row>
    <row r="2438">
      <c r="A2438">
        <f>Skills!A15</f>
        <v/>
      </c>
      <c r="B2438">
        <f>Skills!B15</f>
        <v/>
      </c>
      <c r="C2438">
        <f>Inputs!$B$3&gt;=74</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Skills!G15*IF(Skills!H15&gt;0,INT(IF(Inputs!$B$38="pvp",MIN(Skills!I15,15),Skills!I15)/Skills!H15+0.000000001),1)</f>
        <v/>
      </c>
      <c r="H2438">
        <f>1-(1-Skills!J15/100)^Skills!K15</f>
        <v/>
      </c>
      <c r="I2438" t="inlineStr">
        <is>
          <t>1</t>
        </is>
      </c>
      <c r="J2438" t="inlineStr"/>
      <c r="K2438" t="inlineStr"/>
      <c r="L2438" t="inlineStr"/>
      <c r="M2438" t="inlineStr"/>
      <c r="N2438" t="inlineStr"/>
      <c r="O2438">
        <f>(1-Summary!$B$11)*T2438+Summary!$B$11*V2438</f>
        <v/>
      </c>
      <c r="P2438">
        <f>IF(B2468=0,0,O2438/B2468)</f>
        <v/>
      </c>
      <c r="Q2438" t="n">
        <v>0</v>
      </c>
      <c r="R2438" t="n">
        <v>0</v>
      </c>
      <c r="S2438">
        <f>IFERROR(O2438/N2438,0)</f>
        <v/>
      </c>
      <c r="T2438" t="n">
        <v>0</v>
      </c>
      <c r="V2438" t="n">
        <v>0</v>
      </c>
    </row>
    <row r="2439">
      <c r="A2439">
        <f>Skills!A16</f>
        <v/>
      </c>
      <c r="B2439">
        <f>Skills!B16</f>
        <v/>
      </c>
      <c r="C2439">
        <f>Inputs!$B$3&gt;=74</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Skills!G16*IF(Skills!H16&gt;0,INT(IF(Inputs!$B$38="pvp",MIN(Skills!I16,15),Skills!I16)/Skills!H16+0.000000001),1)</f>
        <v/>
      </c>
      <c r="H2439">
        <f>1-(1-Skills!J16/100)^Skills!K16</f>
        <v/>
      </c>
      <c r="I2439" t="inlineStr">
        <is>
          <t>1</t>
        </is>
      </c>
      <c r="J2439" t="inlineStr"/>
      <c r="K2439" t="inlineStr"/>
      <c r="L2439" t="inlineStr"/>
      <c r="M2439" t="inlineStr"/>
      <c r="N2439" t="inlineStr"/>
      <c r="O2439">
        <f>(1-Summary!$B$11)*T2439+Summary!$B$11*V2439</f>
        <v/>
      </c>
      <c r="P2439">
        <f>IF(B2468=0,0,O2439/B2468)</f>
        <v/>
      </c>
      <c r="Q2439" t="n">
        <v>0</v>
      </c>
      <c r="R2439" t="n">
        <v>0</v>
      </c>
      <c r="S2439">
        <f>IFERROR(O2439/N2439,0)</f>
        <v/>
      </c>
      <c r="T2439" t="n">
        <v>0</v>
      </c>
      <c r="V2439" t="n">
        <v>0</v>
      </c>
    </row>
    <row r="2440">
      <c r="A2440">
        <f>Skills!A17</f>
        <v/>
      </c>
      <c r="B2440">
        <f>Skills!B17</f>
        <v/>
      </c>
      <c r="C2440">
        <f>Inputs!$B$3&gt;=117</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Skills!G17*IF(Skills!H17&gt;0,INT(IF(Inputs!$B$38="pvp",MIN(Skills!I17,15),Skills!I17)/Skills!H17+0.000000001),1)</f>
        <v/>
      </c>
      <c r="H2440">
        <f>1-(1-Skills!J17/100)^Skills!K17</f>
        <v/>
      </c>
      <c r="I2440" t="inlineStr">
        <is>
          <t>1</t>
        </is>
      </c>
      <c r="J2440" t="inlineStr"/>
      <c r="K2440" t="inlineStr"/>
      <c r="L2440" t="inlineStr"/>
      <c r="M2440" t="inlineStr"/>
      <c r="N2440" t="inlineStr"/>
      <c r="O2440">
        <f>(1-Summary!$B$11)*T2440+Summary!$B$11*V2440</f>
        <v/>
      </c>
      <c r="P2440">
        <f>IF(B2468=0,0,O2440/B2468)</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Skills!G18*IF(Skills!H18&gt;0,INT(IF(Inputs!$B$38="pvp",MIN(Skills!I18,15),Skills!I18)/Skills!H18+0.000000001),1)</f>
        <v/>
      </c>
      <c r="H2441">
        <f>1-(1-Skills!J18/100)^Skills!K18</f>
        <v/>
      </c>
      <c r="I2441" t="inlineStr">
        <is>
          <t>1</t>
        </is>
      </c>
      <c r="J2441" t="inlineStr"/>
      <c r="K2441" t="inlineStr"/>
      <c r="L2441" t="inlineStr"/>
      <c r="M2441" t="inlineStr"/>
      <c r="N2441" t="inlineStr"/>
      <c r="O2441">
        <f>(1-Summary!$B$11)*T2441+Summary!$B$11*V2441</f>
        <v/>
      </c>
      <c r="P2441">
        <f>IF(B2468=0,0,O2441/B2468)</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Inputs!$B$3&gt;=66</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Skills!G19*IF(Skills!H19&gt;0,INT(IF(Inputs!$B$38="pvp",MIN(Skills!I19,15),Skills!I19)/Skills!H19+0.000000001),1)</f>
        <v/>
      </c>
      <c r="H2442">
        <f>1-(1-Skills!J19/100)^Skills!K19</f>
        <v/>
      </c>
      <c r="I2442" t="inlineStr">
        <is>
          <t>1</t>
        </is>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Skills!G20*IF(Skills!H20&gt;0,INT(IF(Inputs!$B$38="pvp",MIN(Skills!I20,15),Skills!I20)/Skills!H20+0.000000001),1)</f>
        <v/>
      </c>
      <c r="H2443">
        <f>1-(1-Skills!J20/100)^Skills!K20</f>
        <v/>
      </c>
      <c r="I2443" t="inlineStr">
        <is>
          <t>1</t>
        </is>
      </c>
      <c r="J2443" t="inlineStr"/>
      <c r="K2443" t="inlineStr"/>
      <c r="L2443" t="inlineStr"/>
      <c r="M2443" t="inlineStr"/>
      <c r="N2443" t="inlineStr"/>
      <c r="O2443">
        <f>(1-Summary!$B$11)*T2443+Summary!$B$11*V2443</f>
        <v/>
      </c>
      <c r="P2443">
        <f>IF(B2468=0,0,O2443/B2468)</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Skills!G21*IF(Skills!H21&gt;0,INT(IF(Inputs!$B$38="pvp",MIN(Skills!I21,15),Skills!I21)/Skills!H21+0.000000001),1)</f>
        <v/>
      </c>
      <c r="H2444">
        <f>1-(1-Skills!J21/100)^Skills!K21</f>
        <v/>
      </c>
      <c r="I2444" t="inlineStr">
        <is>
          <t>1</t>
        </is>
      </c>
      <c r="J2444" t="inlineStr"/>
      <c r="K2444" t="inlineStr"/>
      <c r="L2444" t="inlineStr"/>
      <c r="M2444" t="inlineStr"/>
      <c r="N2444" t="inlineStr"/>
      <c r="O2444">
        <f>(1-Summary!$B$11)*T2444+Summary!$B$11*V2444</f>
        <v/>
      </c>
      <c r="P2444">
        <f>IF(B2468=0,0,O2444/B2468)</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Inputs!$B$3&gt;=15</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Skills!G22*IF(Skills!H22&gt;0,INT(IF(Inputs!$B$38="pvp",MIN(Skills!I22,15),Skills!I22)/Skills!H22+0.000000001),1)</f>
        <v/>
      </c>
      <c r="H2445">
        <f>1-(1-Skills!J22/100)^Skills!K22</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Skills!A23</f>
        <v/>
      </c>
      <c r="B2446">
        <f>Skills!B23</f>
        <v/>
      </c>
      <c r="C2446">
        <f>Inputs!$B$3&gt;=10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Skills!G23*IF(Skills!H23&gt;0,INT(IF(Inputs!$B$38="pvp",MIN(Skills!I23,15),Skills!I23)/Skills!H23+0.000000001),1)</f>
        <v/>
      </c>
      <c r="H2446">
        <f>1-(1-Skills!J23/100)^Skills!K23</f>
        <v/>
      </c>
      <c r="I2446" t="inlineStr">
        <is>
          <t>1</t>
        </is>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Skills!A24</f>
        <v/>
      </c>
      <c r="B2447">
        <f>Skills!B24</f>
        <v/>
      </c>
      <c r="C2447">
        <f>Inputs!$B$3&gt;=33</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Skills!G24*IF(Skills!H24&gt;0,INT(IF(Inputs!$B$38="pvp",MIN(Skills!I24,15),Skills!I24)/Skills!H24+0.000000001),1)</f>
        <v/>
      </c>
      <c r="H2447">
        <f>1-(1-Skills!J24/100)^Skills!K24</f>
        <v/>
      </c>
      <c r="I2447" t="inlineStr">
        <is>
          <t>1</t>
        </is>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Skills!A25</f>
        <v/>
      </c>
      <c r="B2448">
        <f>Skills!B25</f>
        <v/>
      </c>
      <c r="C2448">
        <f>Inputs!$B$3&gt;=38</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Skills!G25*IF(Skills!H25&gt;0,INT(IF(Inputs!$B$38="pvp",MIN(Skills!I25,15),Skills!I25)/Skills!H25+0.000000001),1)</f>
        <v/>
      </c>
      <c r="H2448">
        <f>1-(1-Skills!J25/100)^Skills!K25</f>
        <v/>
      </c>
      <c r="I2448" t="inlineStr">
        <is>
          <t>1</t>
        </is>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Skills!A26</f>
        <v/>
      </c>
      <c r="B2449">
        <f>Skills!B26</f>
        <v/>
      </c>
      <c r="C2449">
        <f>Inputs!$B$3&gt;=43</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Skills!G26*IF(Skills!H26&gt;0,INT(IF(Inputs!$B$38="pvp",MIN(Skills!I26,15),Skills!I26)/Skills!H26+0.000000001),1)</f>
        <v/>
      </c>
      <c r="H2449">
        <f>1-(1-Skills!J26/100)^Skills!K26</f>
        <v/>
      </c>
      <c r="I2449" t="inlineStr">
        <is>
          <t>1</t>
        </is>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Skills!A27</f>
        <v/>
      </c>
      <c r="B2450">
        <f>Skills!B27</f>
        <v/>
      </c>
      <c r="C2450">
        <f>Inputs!$B$3&gt;=75</f>
        <v/>
      </c>
      <c r="D2450">
        <f>IF(Skills!C27=1,60+Inputs!$B$25+Inputs!$B$29,IF(Skills!C27=2,90+Inputs!$B$26+Inputs!$B$29,IF(Skills!C27=3,120+Inputs!$B$27+Inputs!$B$29,MAX(0,(Inputs!$B$3-100)*3)+Inputs!$B$28+Inputs!$B$29)))</f>
        <v/>
      </c>
      <c r="E2450">
        <f>INDEX(FactorTable!$B$2:$Y$301, MATCH(ROUND(MIN(300,MAX(1,D2450)),0), FactorTable!$A$2:$A$301,0), Skills!M27+1)</f>
        <v/>
      </c>
      <c r="F2450">
        <f>IF(Skills!N27=TRUE,(Skills!L27/10)*(E2450/1000),Skills!L27/10)+Skills!O27</f>
        <v/>
      </c>
      <c r="G2450">
        <f>Skills!G27*IF(Skills!H27&gt;0,INT(IF(Inputs!$B$38="pvp",MIN(Skills!I27,15),Skills!I27)/Skills!H27+0.000000001),1)</f>
        <v/>
      </c>
      <c r="H2450">
        <f>1-(1-Skills!J27/100)^Skills!K27</f>
        <v/>
      </c>
      <c r="I2450" t="inlineStr">
        <is>
          <t>1</t>
        </is>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Skills!A28</f>
        <v/>
      </c>
      <c r="B2451">
        <f>Skills!B28</f>
        <v/>
      </c>
      <c r="C2451">
        <f>Inputs!$B$3&gt;=125</f>
        <v/>
      </c>
      <c r="D2451">
        <f>IF(Skills!C28=1,60+Inputs!$B$25+Inputs!$B$29,IF(Skills!C28=2,90+Inputs!$B$26+Inputs!$B$29,IF(Skills!C28=3,120+Inputs!$B$27+Inputs!$B$29,MAX(0,(Inputs!$B$3-100)*3)+Inputs!$B$28+Inputs!$B$29)))</f>
        <v/>
      </c>
      <c r="E2451">
        <f>INDEX(FactorTable!$B$2:$Y$301, MATCH(ROUND(MIN(300,MAX(1,D2451)),0), FactorTable!$A$2:$A$301,0), Skills!M28+1)</f>
        <v/>
      </c>
      <c r="F2451">
        <f>IF(Skills!N28=TRUE,(Skills!L28/10)*(E2451/1000),Skills!L28/10)+Skills!O28</f>
        <v/>
      </c>
      <c r="G2451">
        <f>Skills!G28*IF(Skills!H28&gt;0,INT(IF(Inputs!$B$38="pvp",MIN(Skills!I28,15),Skills!I28)/Skills!H28+0.000000001),1)</f>
        <v/>
      </c>
      <c r="H2451">
        <f>1-(1-Skills!J28/100)^Skills!K28</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Skills!A29</f>
        <v/>
      </c>
      <c r="B2452">
        <f>Skills!B29</f>
        <v/>
      </c>
      <c r="C2452">
        <f>Inputs!$B$3&gt;=125</f>
        <v/>
      </c>
      <c r="D2452">
        <f>IF(Skills!C29=1,60+Inputs!$B$25+Inputs!$B$29,IF(Skills!C29=2,90+Inputs!$B$26+Inputs!$B$29,IF(Skills!C29=3,120+Inputs!$B$27+Inputs!$B$29,MAX(0,(Inputs!$B$3-100)*3)+Inputs!$B$28+Inputs!$B$29)))</f>
        <v/>
      </c>
      <c r="E2452">
        <f>INDEX(FactorTable!$B$2:$Y$301, MATCH(ROUND(MIN(300,MAX(1,D2452)),0), FactorTable!$A$2:$A$301,0), Skills!M29+1)</f>
        <v/>
      </c>
      <c r="F2452">
        <f>IF(Skills!N29=TRUE,(Skills!L29/10)*(E2452/1000),Skills!L29/10)+Skills!O29</f>
        <v/>
      </c>
      <c r="G2452">
        <f>Skills!G29*IF(Skills!H29&gt;0,INT(IF(Inputs!$B$38="pvp",MIN(Skills!I29,15),Skills!I29)/Skills!H29+0.000000001),1)</f>
        <v/>
      </c>
      <c r="H2452">
        <f>1-(1-Skills!J29/100)^Skills!K29</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Skills!A30</f>
        <v/>
      </c>
      <c r="B2453">
        <f>Skills!B30</f>
        <v/>
      </c>
      <c r="C2453">
        <f>Inputs!$B$3&gt;=120</f>
        <v/>
      </c>
      <c r="D2453">
        <f>IF(Skills!C30=1,60+Inputs!$B$25+Inputs!$B$29,IF(Skills!C30=2,90+Inputs!$B$26+Inputs!$B$29,IF(Skills!C30=3,120+Inputs!$B$27+Inputs!$B$29,MAX(0,(Inputs!$B$3-100)*3)+Inputs!$B$28+Inputs!$B$29)))</f>
        <v/>
      </c>
      <c r="E2453">
        <f>INDEX(FactorTable!$B$2:$Y$301, MATCH(ROUND(MIN(300,MAX(1,D2453)),0), FactorTable!$A$2:$A$301,0), Skills!M30+1)</f>
        <v/>
      </c>
      <c r="F2453">
        <f>IF(Skills!N30=TRUE,(Skills!L30/10)*(E2453/1000),Skills!L30/10)+Skills!O30</f>
        <v/>
      </c>
      <c r="G2453">
        <f>Skills!G30*IF(Skills!H30&gt;0,INT(IF(Inputs!$B$38="pvp",MIN(Skills!I30,15),Skills!I30)/Skills!H30+0.000000001),1)</f>
        <v/>
      </c>
      <c r="H2453">
        <f>1-(1-Skills!J30/100)^Skills!K30</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Skills!A31</f>
        <v/>
      </c>
      <c r="B2454">
        <f>Skills!B31</f>
        <v/>
      </c>
      <c r="C2454">
        <f>Inputs!$B$3&gt;=120</f>
        <v/>
      </c>
      <c r="D2454">
        <f>IF(Skills!C31=1,60+Inputs!$B$25+Inputs!$B$29,IF(Skills!C31=2,90+Inputs!$B$26+Inputs!$B$29,IF(Skills!C31=3,120+Inputs!$B$27+Inputs!$B$29,MAX(0,(Inputs!$B$3-100)*3)+Inputs!$B$28+Inputs!$B$29)))</f>
        <v/>
      </c>
      <c r="E2454">
        <f>INDEX(FactorTable!$B$2:$Y$301, MATCH(ROUND(MIN(300,MAX(1,D2454)),0), FactorTable!$A$2:$A$301,0), Skills!M31+1)</f>
        <v/>
      </c>
      <c r="F2454">
        <f>IF(Skills!N31=TRUE,(Skills!L31/10)*(E2454/1000),Skills!L31/10)+Skills!O31</f>
        <v/>
      </c>
      <c r="G2454">
        <f>Skills!G31*IF(Skills!H31&gt;0,INT(IF(Inputs!$B$38="pvp",MIN(Skills!I31,15),Skills!I31)/Skills!H31+0.000000001),1)</f>
        <v/>
      </c>
      <c r="H2454">
        <f>1-(1-Skills!J31/100)^Skills!K31</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Skills!A32</f>
        <v/>
      </c>
      <c r="B2455">
        <f>Skills!B32</f>
        <v/>
      </c>
      <c r="C2455">
        <f>Inputs!$B$3&gt;=45</f>
        <v/>
      </c>
      <c r="D2455">
        <f>IF(Skills!C32=1,60+Inputs!$B$25+Inputs!$B$29,IF(Skills!C32=2,90+Inputs!$B$26+Inputs!$B$29,IF(Skills!C32=3,120+Inputs!$B$27+Inputs!$B$29,MAX(0,(Inputs!$B$3-100)*3)+Inputs!$B$28+Inputs!$B$29)))</f>
        <v/>
      </c>
      <c r="E2455">
        <f>INDEX(FactorTable!$B$2:$Y$301, MATCH(ROUND(MIN(300,MAX(1,D2455)),0), FactorTable!$A$2:$A$301,0), Skills!M32+1)</f>
        <v/>
      </c>
      <c r="F2455">
        <f>IF(Skills!N32=TRUE,(Skills!L32/10)*(E2455/1000),Skills!L32/10)+Skills!O32</f>
        <v/>
      </c>
      <c r="G2455">
        <f>Skills!G32*IF(Skills!H32&gt;0,INT(IF(Inputs!$B$38="pvp",MIN(Skills!I32,15),Skills!I32)/Skills!H32+0.000000001),1)</f>
        <v/>
      </c>
      <c r="H2455">
        <f>1-(1-Skills!J32/100)^Skills!K32</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2444=TRUE)*F2444*IF(AND(Inputs!$B$38&lt;&gt;"pvp",Inputs!$B$43&gt;0),(((R2444-1)*MIN((Skills!T21*(1+Inputs!$B$34/100)),(1/Q2444))+MIN((Skills!T21*(1+Inputs!$B$34/100)),MAX(0,Inputs!$B$43-((R2444-1)*(1/Q2444)))))/Inputs!$B$43),IF(Inputs!$B$38="pvp",MIN((Skills!T21*(1+Inputs!$B$34/100)),15)/15,MIN(1,(Skills!T21*(1+Inputs!$B$34/100))/(1/Q2444)))))</f>
        <v/>
      </c>
    </row>
    <row r="2460">
      <c r="A2460" t="inlineStr">
        <is>
          <t>Actions Per Second</t>
        </is>
      </c>
      <c r="B2460">
        <f>1+MIN(150,150*(1-(1-(Inputs!$B$11+((C2446=TRUE)*(F2446-Calc!F23))+((C2447=TRUE)*(F2447-Calc!F24)))/150)*(1-B2459/150)))/100</f>
        <v/>
      </c>
    </row>
    <row r="2461">
      <c r="A2461" t="inlineStr">
        <is>
          <t>Skill + Buff Cast Rate</t>
        </is>
      </c>
      <c r="B2461">
        <f>IF(AND(Inputs!$B$38&lt;&gt;"pvp",Inputs!$B$43&gt;0),SUMPRODUCT((Skills!E2:E32=TRUE)*(C2425:C2455=TRUE)*R2425:R2455*Skills!F2:F32)/Inputs!$B$43,SUMPRODUCT((Skills!E2:E32=TRUE)*(C2425:C2455=TRUE)*Q2425:Q2455*Skills!F2:F32))</f>
        <v/>
      </c>
    </row>
    <row r="2462">
      <c r="A2462" t="inlineStr">
        <is>
          <t>Arrow Stream Casts Per Second</t>
        </is>
      </c>
      <c r="B2462">
        <f>MAX(0,B2460-B2461)</f>
        <v/>
      </c>
    </row>
    <row r="2463">
      <c r="A2463" t="inlineStr">
        <is>
          <t>Global Critical Damage Bonus % (Sharp Eyes + Concentration)</t>
        </is>
      </c>
      <c r="B2463">
        <f>(C2441=TRUE)*F2441*IF(AND(Inputs!$B$38&lt;&gt;"pvp",Inputs!$B$43&gt;0),(((R2441-1)*MIN((Skills!T18*(1+Inputs!$B$34/100)),(1/Q2441))+MIN((Skills!T18*(1+Inputs!$B$34/100)),MAX(0,Inputs!$B$43-((R2441-1)*(1/Q2441)))))/Inputs!$B$43),IF(Inputs!$B$38="pvp",MIN((Skills!T18*(1+Inputs!$B$34/100)),15)/15,MIN(1,(Skills!T18*(1+Inputs!$B$34/100))/(1/Q2441))))+(C2442=TRUE)*7*F2442</f>
        <v/>
      </c>
    </row>
    <row r="2464">
      <c r="A2464" t="inlineStr">
        <is>
          <t>Global Final Damage Bonus % (Mortal Blow)</t>
        </is>
      </c>
      <c r="B2464">
        <f>(C2443=TRUE)*F2443</f>
        <v/>
      </c>
    </row>
    <row r="2465">
      <c r="A2465" t="inlineStr">
        <is>
          <t>Buff-Casting Startup Delay (s, fixed-duration only)</t>
        </is>
      </c>
      <c r="B2465">
        <f>IF(AND(Inputs!$B$38&lt;&gt;"pvp",Inputs!$B$43&gt;0),SUMPRODUCT((Skills!T2:T32&gt;0)*(Skills!E2:E32=TRUE)*(C2425:C2455=TRUE))/B2460,0)</f>
        <v/>
      </c>
    </row>
    <row r="2466">
      <c r="A2466" t="inlineStr">
        <is>
          <t>Boss-Only Total DPS (this block's swept value)</t>
        </is>
      </c>
      <c r="B2466">
        <f>SUM(T2425:T2455)</f>
        <v/>
      </c>
    </row>
    <row r="2467">
      <c r="A2467" t="inlineStr">
        <is>
          <t>Normal-Only Total DPS (this block's swept value)</t>
        </is>
      </c>
      <c r="B2467">
        <f>SUM(V2425:V2455)</f>
        <v/>
      </c>
    </row>
    <row r="2468">
      <c r="A2468" s="6" t="inlineStr">
        <is>
          <t>TOTAL DPS</t>
        </is>
      </c>
      <c r="B2468" s="6">
        <f>SUM(O2425:O2455)</f>
        <v/>
      </c>
    </row>
    <row r="2471">
      <c r="A2471" s="6" t="inlineStr">
        <is>
          <t>Stat: Icy Soul Rock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Skills!G2*IF(Skills!H2&gt;0,INT(IF(Inputs!$B$38="pvp",MIN(Skills!I2,15),Skills!I2)/Skills!H2+0.000000001),1)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2497=TRUE)*(F2497-Calc!F26)),(Inputs!$B$23+((C2502=TRUE)*(F2502-Calc!F31))+(IF(ArtifactsInput!$M$15,CHOOSE(ArtifactsInput!$N$15+1,25,30,35,40,45,50)/100*(Inputs!$B$11-Inputs!$B$11),0))))/100+(Inputs!$B$23+((C2502=TRUE)*(F2502-Calc!F31))+(IF(ArtifactsInput!$M$15,CHOOSE(ArtifactsInput!$N$15+1,25,30,35,40,45,50)/100*(Inputs!$B$11-Inputs!$B$11),0)))/100)/2</f>
        <v/>
      </c>
      <c r="M2473">
        <f>L2473*(1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3">
        <f>L2473*(1-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IF(B2516=0,0,O2473/B2516)</f>
        <v/>
      </c>
      <c r="Q2473" t="n">
        <v>0</v>
      </c>
      <c r="R2473" t="n">
        <v>0</v>
      </c>
      <c r="S2473">
        <f>IFERROR(O2473/N2473,0)</f>
        <v/>
      </c>
      <c r="T2473">
        <f>IF(C2473,(Skills!G2*N2473*B2510)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IF(C2473,(Skills!G2*N2473*B2510)*IF(Inputs!$B$38="pvp",1,(1+(Inputs!$B$21+Skills!Q2+(IF(ArtifactsInput!$M$33,CHOOSE(ArtifactsInput!$N$33+1,30,36,42,48,54,60),0))+(IF(AND(ArtifactsInput!$M$35,Inputs!$B$4&lt;&gt;"Chapter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f>Skills!G3*IF(Skills!H3&gt;0,INT(IF(Inputs!$B$38="pvp",MIN(Skills!I3,15),Skills!I3)/Skills!H3+0.000000001),1)</f>
        <v/>
      </c>
      <c r="H2474">
        <f>1-(1-Skills!J3/100)^Skills!K3</f>
        <v/>
      </c>
      <c r="I2474" t="inlineStr">
        <is>
          <t>1</t>
        </is>
      </c>
      <c r="J2474">
        <f>((Inputs!$B$6*(1+Inputs!$B$7/100))+(((Inputs!$B$12*(1+Inputs!$B$13/100))-(Inputs!$B$12*(1+Inputs!$B$13/100)))+0.25*(Inputs!$B$14-Inputs!$B$14))*(1+Inputs!$B$7/100))*(F2474/100)</f>
        <v/>
      </c>
      <c r="K2474">
        <f>J2474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2497=TRUE)*(F2497-Calc!F26)),(Inputs!$B$23+((C2502=TRUE)*(F2502-Calc!F31))+(IF(ArtifactsInput!$M$15,CHOOSE(ArtifactsInput!$N$15+1,25,30,35,40,45,50)/100*(Inputs!$B$11-Inputs!$B$11),0))))/100+(Inputs!$B$23+((C2502=TRUE)*(F2502-Calc!F31))+(IF(ArtifactsInput!$M$15,CHOOSE(ArtifactsInput!$N$15+1,25,30,35,40,45,50)/100*(Inputs!$B$11-Inputs!$B$11),0)))/100)/2</f>
        <v/>
      </c>
      <c r="M2474">
        <f>L2474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4">
        <f>L2474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IF(B2516=0,0,O2474/B2516)</f>
        <v/>
      </c>
      <c r="Q2474">
        <f>IFERROR(1/(IF(Inputs!$B$38="pvp",15,MAX(0.1,1/B2508-IF(FALSE=TRUE,Inputs!$B$32,0)))*(1-IF(AND(ArtifactsInput!$M$27,Inputs!$B$4="Chapter Hunt"),CHOOSE(ArtifactsInput!$N$27+1,20,24,28,32,36,40),0)/100)),0)</f>
        <v/>
      </c>
      <c r="R2474">
        <f>IF(AND(Inputs!$B$38&lt;&gt;"pvp",Inputs!$B$43&gt;0),IF(MAX(0,Inputs!$B$43-B2513)&lt;=0,0,(INT(MAX(0,Inputs!$B$43-B2513)/(IF(Inputs!$B$38="pvp",15,MAX(0.1,1/B2508-IF(FALSE=TRUE,Inputs!$B$32,0)))*(1-IF(AND(ArtifactsInput!$M$27,Inputs!$B$4="Chapter Hunt"),CHOOSE(ArtifactsInput!$N$27+1,20,24,28,32,36,40),0)/100)))+1)),0)</f>
        <v/>
      </c>
      <c r="S2474">
        <f>IFERROR(O2474/N2474,0)</f>
        <v/>
      </c>
      <c r="T2474">
        <f>IF(C2474,(H2474*N2474*IF(AND(Inputs!$B$38&lt;&gt;"pvp",Inputs!$B$43&gt;0),((Skills!G3*((R2474-1)*IF(Skills!H3&gt;0,INT(Skills!I3/Skills!H3+0.000000001),1)+IF(Skills!H3&gt;0,INT(MIN(Skills!I3,MAX(0,MAX(0,Inputs!$B$43-B2513)-((R2474-1)*(IF(Inputs!$B$38="pvp",15,MAX(0.1,1/B2508-IF(FALSE=TRUE,Inputs!$B$32,0)))*(1-IF(AND(ArtifactsInput!$M$27,Inputs!$B$4="Chapter Hunt"),CHOOSE(ArtifactsInput!$N$27+1,20,24,28,32,36,40),0)/100)))))/Skills!H3+0.000000001),1)))/Inputs!$B$43),G2474*Q2474)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INDEX(FactorTable!$B$2:$Y$301, MATCH(ROUND(MIN(300,MAX(1,U2473)),0), FactorTable!$A$2:$A$301,0), 22)</f>
        <v/>
      </c>
      <c r="V2474">
        <f>IF(C2474,(H2474*N2474*IF(AND(Inputs!$B$38&lt;&gt;"pvp",Inputs!$B$43&gt;0),((Skills!G3*((R2474-1)*IF(Skills!H3&gt;0,INT(Skills!I3/Skills!H3+0.000000001),1)+IF(Skills!H3&gt;0,INT(MIN(Skills!I3,MAX(0,MAX(0,Inputs!$B$43-B2513)-((R2474-1)*(IF(Inputs!$B$38="pvp",15,MAX(0.1,1/B2508-IF(FALSE=TRUE,Inputs!$B$32,0)))*(1-IF(AND(ArtifactsInput!$M$27,Inputs!$B$4="Chapter Hunt"),CHOOSE(ArtifactsInput!$N$27+1,20,24,28,32,36,40),0)/100)))))/Skills!H3+0.000000001),1)))/Inputs!$B$43),G2474*Q2474))*IF(Inputs!$B$38="pvp",1,(1+(Inputs!$B$21+Skills!Q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Skills!A4</f>
        <v/>
      </c>
      <c r="B2475">
        <f>Skills!B4</f>
        <v/>
      </c>
      <c r="C2475">
        <f>Inputs!$B$3&gt;=105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U2475">
        <f>290*U2474/1000</f>
        <v/>
      </c>
      <c r="V2475" t="inlineStr"/>
    </row>
    <row r="2476">
      <c r="A2476">
        <f>Skills!A5</f>
        <v/>
      </c>
      <c r="B2476">
        <f>Skills!B5</f>
        <v/>
      </c>
      <c r="C2476">
        <f>Inputs!$B$3&gt;=35</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Skills!G5*IF(Skills!H5&gt;0,INT(IF(Inputs!$B$38="pvp",MIN(Skills!I5,15),Skills!I5)/Skills!H5+0.000000001),1)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5="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2497=TRUE)*(F2497-Calc!F26)),(Inputs!$B$23+((C2502=TRUE)*(F2502-Calc!F31))+(IF(ArtifactsInput!$M$15,CHOOSE(ArtifactsInput!$N$15+1,25,30,35,40,45,50)/100*(Inputs!$B$11-Inputs!$B$11),0))))/100+(Inputs!$B$23+((C2502=TRUE)*(F2502-Calc!F31))+(IF(ArtifactsInput!$M$15,CHOOSE(ArtifactsInput!$N$15+1,25,30,35,40,45,50)/100*(Inputs!$B$11-Inputs!$B$11),0)))/100)/2</f>
        <v/>
      </c>
      <c r="M2476">
        <f>L2476*(1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6">
        <f>L2476*(1-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IF(B2516=0,0,O2476/B2516)</f>
        <v/>
      </c>
      <c r="Q2476">
        <f>IFERROR(1/(IF(Inputs!$B$38="pvp",15,MAX(0.1,Skills!D5-IF(TRUE=TRUE,Inputs!$B$32,0)))*(1-IF(AND(ArtifactsInput!$M$27,Inputs!$B$4="Chapter Hunt"),CHOOSE(ArtifactsInput!$N$27+1,20,24,28,32,36,40),0)/100)),0)</f>
        <v/>
      </c>
      <c r="R2476">
        <f>IF(AND(Inputs!$B$38&lt;&gt;"pvp",Inputs!$B$43&gt;0),IF(MAX(0,Inputs!$B$43-B2513)&lt;=0,0,(INT(MAX(0,Inputs!$B$43-B2513)/(IF(Inputs!$B$38="pvp",15,MAX(0.1,Skills!D5-IF(TRUE=TRUE,Inputs!$B$32,0)))*(1-IF(AND(ArtifactsInput!$M$27,Inputs!$B$4="Chapter Hunt"),CHOOSE(ArtifactsInput!$N$27+1,20,24,28,32,36,40),0)/100)))+1)),0)</f>
        <v/>
      </c>
      <c r="S2476">
        <f>IFERROR(O2476/N2476,0)</f>
        <v/>
      </c>
      <c r="T2476">
        <f>IF(C2476,(H2476*N2476*IF(AND(Inputs!$B$38&lt;&gt;"pvp",Inputs!$B$43&gt;0),((Skills!G5*((R2476-1)*IF(Skills!H5&gt;0,INT(Skills!I5/Skills!H5+0.000000001),1)+IF(Skills!H5&gt;0,INT(MIN(Skills!I5,MAX(0,MAX(0,Inputs!$B$43-B2513)-((R2476-1)*(IF(Inputs!$B$38="pvp",15,MAX(0.1,Skills!D5-IF(TRUE=TRUE,Inputs!$B$32,0)))*(1-IF(AND(ArtifactsInput!$M$27,Inputs!$B$4="Chapter Hunt"),CHOOSE(ArtifactsInput!$N$27+1,20,24,28,32,36,40),0)/100)))))/Skills!H5+0.000000001),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INT(Skills!I5/Skills!H5+0.000000001),1)+IF(Skills!H5&gt;0,INT(MIN(Skills!I5,MAX(0,MAX(0,Inputs!$B$43-B2513)-((R2476-1)*(IF(Inputs!$B$38="pvp",15,MAX(0.1,Skills!D5-IF(TRUE=TRUE,Inputs!$B$32,0)))*(1-IF(AND(ArtifactsInput!$M$27,Inputs!$B$4="Chapter Hunt"),CHOOSE(ArtifactsInput!$N$27+1,20,24,28,32,36,40),0)/100)))))/Skills!H5+0.000000001),1)))/Inputs!$B$43),G2476*Q2476))*IF(Inputs!$B$38="pvp",1,(1+(Inputs!$B$21+Skills!Q5+(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Inputs!$B$3&gt;=40</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Skills!G6*IF(Skills!H6&gt;0,INT(IF(Inputs!$B$38="pvp",MIN(Skills!I6,15),Skills!I6)/Skills!H6+0.000000001),1)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Skills!A6="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2497=TRUE)*(F2497-Calc!F26)),(Inputs!$B$23+((C2502=TRUE)*(F2502-Calc!F31))+(IF(ArtifactsInput!$M$15,CHOOSE(ArtifactsInput!$N$15+1,25,30,35,40,45,50)/100*(Inputs!$B$11-Inputs!$B$11),0))))/100+(Inputs!$B$23+((C2502=TRUE)*(F2502-Calc!F31))+(IF(ArtifactsInput!$M$15,CHOOSE(ArtifactsInput!$N$15+1,25,30,35,40,45,50)/100*(Inputs!$B$11-Inputs!$B$11),0)))/100)/2</f>
        <v/>
      </c>
      <c r="M2477">
        <f>L2477*(1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7">
        <f>L2477*(1-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IF(B2516=0,0,O2477/B2516)</f>
        <v/>
      </c>
      <c r="Q2477">
        <f>IFERROR(1/(IF(Inputs!$B$38="pvp",15,MAX(0.1,1-0.4*MIN(1,(B2508-1)/1.5)-IF(FALSE=TRUE,Inputs!$B$32,0)))*(1-IF(AND(ArtifactsInput!$M$27,Inputs!$B$4="Chapter Hunt"),CHOOSE(ArtifactsInput!$N$27+1,20,24,28,32,36,40),0)/100)),0)</f>
        <v/>
      </c>
      <c r="R2477">
        <f>IF(AND(Inputs!$B$38&lt;&gt;"pvp",Inputs!$B$43&gt;0),IF(MAX(0,Inputs!$B$43-B2513)&lt;=0,0,(INT(MAX(0,Inputs!$B$43-B2513)/(IF(Inputs!$B$38="pvp",15,MAX(0.1,1-0.4*MIN(1,(B2508-1)/1.5)-IF(FALSE=TRUE,Inputs!$B$32,0)))*(1-IF(AND(ArtifactsInput!$M$27,Inputs!$B$4="Chapter Hunt"),CHOOSE(ArtifactsInput!$N$27+1,20,24,28,32,36,40),0)/100)))+1)),0)</f>
        <v/>
      </c>
      <c r="S2477">
        <f>IFERROR(O2477/N2477,0)</f>
        <v/>
      </c>
      <c r="T2477">
        <f>IF(C2477,(H2477*N2477*IF(AND(Inputs!$B$38&lt;&gt;"pvp",Inputs!$B$43&gt;0),((Skills!G6*((R2477-1)*IF(Skills!H6&gt;0,INT(Skills!I6/Skills!H6+0.000000001),1)+IF(Skills!H6&gt;0,INT(MIN(Skills!I6,MAX(0,MAX(0,Inputs!$B$43-B2513)-((R2477-1)*(IF(Inputs!$B$38="pvp",15,MAX(0.1,1-0.4*MIN(1,(B2508-1)/1.5)-IF(FALSE=TRUE,Inputs!$B$32,0)))*(1-IF(AND(ArtifactsInput!$M$27,Inputs!$B$4="Chapter Hunt"),CHOOSE(ArtifactsInput!$N$27+1,20,24,28,32,36,40),0)/100)))))/Skills!H6+0.000000001),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INT(Skills!I6/Skills!H6+0.000000001),1)+IF(Skills!H6&gt;0,INT(MIN(Skills!I6,MAX(0,MAX(0,Inputs!$B$43-B2513)-((R2477-1)*(IF(Inputs!$B$38="pvp",15,MAX(0.1,1-0.4*MIN(1,(B2508-1)/1.5)-IF(FALSE=TRUE,Inputs!$B$32,0)))*(1-IF(AND(ArtifactsInput!$M$27,Inputs!$B$4="Chapter Hunt"),CHOOSE(ArtifactsInput!$N$27+1,20,24,28,32,36,40),0)/100)))))/Skills!H6+0.000000001),1)))/Inputs!$B$43),G2477*Q2477))*IF(Inputs!$B$38="pvp",1,(1+(Inputs!$B$21+Skills!Q6+(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t="inlineStr"/>
      <c r="H2478" t="inlineStr"/>
      <c r="I2478" t="inlineStr">
        <is>
          <t>1</t>
        </is>
      </c>
      <c r="J2478" t="inlineStr"/>
      <c r="K2478" t="inlineStr"/>
      <c r="L2478" t="inlineStr"/>
      <c r="M2478" t="inlineStr"/>
      <c r="N2478" t="inlineStr"/>
      <c r="O2478" t="inlineStr"/>
      <c r="P2478" t="inlineStr"/>
      <c r="Q2478" t="inlineStr"/>
      <c r="R2478" t="inlineStr"/>
      <c r="S2478" t="inlineStr"/>
      <c r="T2478" t="inlineStr"/>
      <c r="V2478" t="inlineStr"/>
    </row>
    <row r="2479">
      <c r="A2479">
        <f>Skills!A8</f>
        <v/>
      </c>
      <c r="B2479">
        <f>Skills!B8</f>
        <v/>
      </c>
      <c r="C2479">
        <f>Inputs!$B$3&gt;=130</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Skills!G8*IF(Skills!H8&gt;0,INT(IF(Inputs!$B$38="pvp",MIN(Skills!I8,15),Skills!I8)/Skills!H8+0.000000001),1)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2497=TRUE)*(F2497-Calc!F26)),(Inputs!$B$23+((C2502=TRUE)*(F2502-Calc!F31))+(IF(ArtifactsInput!$M$15,CHOOSE(ArtifactsInput!$N$15+1,25,30,35,40,45,50)/100*(Inputs!$B$11-Inputs!$B$11),0))))/100+(Inputs!$B$23+((C2502=TRUE)*(F2502-Calc!F31))+(IF(ArtifactsInput!$M$15,CHOOSE(ArtifactsInput!$N$15+1,25,30,35,40,45,50)/100*(Inputs!$B$11-Inputs!$B$11),0)))/100)/2</f>
        <v/>
      </c>
      <c r="M2479">
        <f>L2479*(1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9">
        <f>L2479*(1-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IF(B2516=0,0,O2479/B2516)</f>
        <v/>
      </c>
      <c r="Q2479">
        <f>IFERROR(1/(IF(Inputs!$B$38="pvp",15,MAX(0.1,1-0.4*MIN(1,(B2508-1)/1.5)-IF(FALSE=TRUE,Inputs!$B$32,0)))*(1-IF(AND(ArtifactsInput!$M$27,Inputs!$B$4="Chapter Hunt"),CHOOSE(ArtifactsInput!$N$27+1,20,24,28,32,36,40),0)/100)),0)</f>
        <v/>
      </c>
      <c r="R2479">
        <f>IF(AND(Inputs!$B$38&lt;&gt;"pvp",Inputs!$B$43&gt;0),IF(MAX(0,Inputs!$B$43-B2513)&lt;=0,0,(INT(MAX(0,Inputs!$B$43-B2513)/(IF(Inputs!$B$38="pvp",15,MAX(0.1,1-0.4*MIN(1,(B2508-1)/1.5)-IF(FALSE=TRUE,Inputs!$B$32,0)))*(1-IF(AND(ArtifactsInput!$M$27,Inputs!$B$4="Chapter Hunt"),CHOOSE(ArtifactsInput!$N$27+1,20,24,28,32,36,40),0)/100)))+1)),0)</f>
        <v/>
      </c>
      <c r="S2479">
        <f>IFERROR(O2479/N2479,0)</f>
        <v/>
      </c>
      <c r="T2479">
        <f>IF(C2479,(H2479*N2479*IF(AND(Inputs!$B$38&lt;&gt;"pvp",Inputs!$B$43&gt;0),((Skills!G8*((R2479-1)*IF(Skills!H8&gt;0,INT(Skills!I8/Skills!H8+0.000000001),1)+IF(Skills!H8&gt;0,INT(MIN(Skills!I8,MAX(0,MAX(0,Inputs!$B$43-B2513)-((R2479-1)*(IF(Inputs!$B$38="pvp",15,MAX(0.1,1-0.4*MIN(1,(B2508-1)/1.5)-IF(FALSE=TRUE,Inputs!$B$32,0)))*(1-IF(AND(ArtifactsInput!$M$27,Inputs!$B$4="Chapter Hunt"),CHOOSE(ArtifactsInput!$N$27+1,20,24,28,32,36,40),0)/100)))))/Skills!H8+0.000000001),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INT(Skills!I8/Skills!H8+0.000000001),1)+IF(Skills!H8&gt;0,INT(MIN(Skills!I8,MAX(0,MAX(0,Inputs!$B$43-B2513)-((R2479-1)*(IF(Inputs!$B$38="pvp",15,MAX(0.1,1-0.4*MIN(1,(B2508-1)/1.5)-IF(FALSE=TRUE,Inputs!$B$32,0)))*(1-IF(AND(ArtifactsInput!$M$27,Inputs!$B$4="Chapter Hunt"),CHOOSE(ArtifactsInput!$N$27+1,20,24,28,32,36,40),0)/100)))))/Skills!H8+0.000000001),1)))/Inputs!$B$43),G2479*Q2479))*IF(Inputs!$B$38="pvp",1,(1+(Inputs!$B$21+Skills!Q8+(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Inputs!$B$3&gt;=69</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Skills!G9*IF(Skills!H9&gt;0,INT(IF(Inputs!$B$38="pvp",MIN(Skills!I9,15),Skills!I9)/Skills!H9+0.000000001),1)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2483=TRUE,F2483,0)/100)*(1+(IF(Skills!A9="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2497=TRUE)*(F2497-Calc!F26)),(Inputs!$B$23+((C2502=TRUE)*(F2502-Calc!F31))+(IF(ArtifactsInput!$M$15,CHOOSE(ArtifactsInput!$N$15+1,25,30,35,40,45,50)/100*(Inputs!$B$11-Inputs!$B$11),0))))/100+(Inputs!$B$23+((C2502=TRUE)*(F2502-Calc!F31))+(IF(ArtifactsInput!$M$15,CHOOSE(ArtifactsInput!$N$15+1,25,30,35,40,45,50)/100*(Inputs!$B$11-Inputs!$B$11),0)))/100)/2</f>
        <v/>
      </c>
      <c r="M2480">
        <f>L2480*(1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0">
        <f>L2480*(1-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IF(B2516=0,0,O2480/B2516)</f>
        <v/>
      </c>
      <c r="Q2480">
        <f>IFERROR(1/(IF(Inputs!$B$38="pvp",15,MAX(0.1,Skills!D9-IF(TRUE=TRUE,Inputs!$B$32,0)))*(1-IF(AND(ArtifactsInput!$M$27,Inputs!$B$4="Chapter Hunt"),CHOOSE(ArtifactsInput!$N$27+1,20,24,28,32,36,40),0)/100)),0)</f>
        <v/>
      </c>
      <c r="R2480">
        <f>IF(AND(Inputs!$B$38&lt;&gt;"pvp",Inputs!$B$43&gt;0),IF(MAX(0,Inputs!$B$43-B2513)&lt;=0,0,(INT(MAX(0,Inputs!$B$43-B2513)/(IF(Inputs!$B$38="pvp",15,MAX(0.1,Skills!D9-IF(TRUE=TRUE,Inputs!$B$32,0)))*(1-IF(AND(ArtifactsInput!$M$27,Inputs!$B$4="Chapter Hunt"),CHOOSE(ArtifactsInput!$N$27+1,20,24,28,32,36,40),0)/100)))+1)),0)</f>
        <v/>
      </c>
      <c r="S2480">
        <f>IFERROR(O2480/N2480,0)</f>
        <v/>
      </c>
      <c r="T2480">
        <f>IF(C2480,(H2480*N2480*IF(AND(Inputs!$B$38&lt;&gt;"pvp",Inputs!$B$43&gt;0),((Skills!G9*((R2480-1)*IF(Skills!H9&gt;0,INT(Skills!I9/Skills!H9+0.000000001),1)+IF(Skills!H9&gt;0,INT(MIN(Skills!I9,MAX(0,MAX(0,Inputs!$B$43-B2513)-((R2480-1)*(IF(Inputs!$B$38="pvp",15,MAX(0.1,Skills!D9-IF(TRUE=TRUE,Inputs!$B$32,0)))*(1-IF(AND(ArtifactsInput!$M$27,Inputs!$B$4="Chapter Hunt"),CHOOSE(ArtifactsInput!$N$27+1,20,24,28,32,36,40),0)/100)))))/Skills!H9+0.000000001),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INT(Skills!I9/Skills!H9+0.000000001),1)+IF(Skills!H9&gt;0,INT(MIN(Skills!I9,MAX(0,MAX(0,Inputs!$B$43-B2513)-((R2480-1)*(IF(Inputs!$B$38="pvp",15,MAX(0.1,Skills!D9-IF(TRUE=TRUE,Inputs!$B$32,0)))*(1-IF(AND(ArtifactsInput!$M$27,Inputs!$B$4="Chapter Hunt"),CHOOSE(ArtifactsInput!$N$27+1,20,24,28,32,36,40),0)/100)))))/Skills!H9+0.000000001),1)))/Inputs!$B$43),G2480*Q2480))*IF(Inputs!$B$38="pvp",1,(1+(Inputs!$B$21+Skills!Q9+(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Inputs!$B$3&gt;=63</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Skills!G10*IF(Skills!H10&gt;0,INT(IF(Inputs!$B$38="pvp",MIN(Skills!I10,15),Skills!I10)/Skills!H10+0.000000001),1)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10="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2497=TRUE)*(F2497-Calc!F26)),(Inputs!$B$23+((C2502=TRUE)*(F2502-Calc!F31))+(IF(ArtifactsInput!$M$15,CHOOSE(ArtifactsInput!$N$15+1,25,30,35,40,45,50)/100*(Inputs!$B$11-Inputs!$B$11),0))))/100+(Inputs!$B$23+((C2502=TRUE)*(F2502-Calc!F31))+(IF(ArtifactsInput!$M$15,CHOOSE(ArtifactsInput!$N$15+1,25,30,35,40,45,50)/100*(Inputs!$B$11-Inputs!$B$11),0)))/100)/2</f>
        <v/>
      </c>
      <c r="M2481">
        <f>L2481*(1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1">
        <f>L2481*(1-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IF(B2516=0,0,O2481/B2516)</f>
        <v/>
      </c>
      <c r="Q2481">
        <f>IFERROR(1/(IF(Inputs!$B$38="pvp",15,MAX(0.1,Skills!D10-IF(TRUE=TRUE,Inputs!$B$32,0)))*(1-IF(AND(ArtifactsInput!$M$27,Inputs!$B$4="Chapter Hunt"),CHOOSE(ArtifactsInput!$N$27+1,20,24,28,32,36,40),0)/100)),0)</f>
        <v/>
      </c>
      <c r="R2481">
        <f>IF(AND(Inputs!$B$38&lt;&gt;"pvp",Inputs!$B$43&gt;0),IF(MAX(0,Inputs!$B$43-B2513)&lt;=0,0,(INT(MAX(0,Inputs!$B$43-B2513)/(IF(Inputs!$B$38="pvp",15,MAX(0.1,Skills!D10-IF(TRUE=TRUE,Inputs!$B$32,0)))*(1-IF(AND(ArtifactsInput!$M$27,Inputs!$B$4="Chapter Hunt"),CHOOSE(ArtifactsInput!$N$27+1,20,24,28,32,36,40),0)/100)))+1)),0)</f>
        <v/>
      </c>
      <c r="S2481">
        <f>IFERROR(O2481/N2481,0)</f>
        <v/>
      </c>
      <c r="T2481">
        <f>IF(C2481,(H2481*N2481*IF(AND(Inputs!$B$38&lt;&gt;"pvp",Inputs!$B$43&gt;0),((Skills!G10*((R2481-1)*IF(Skills!H10&gt;0,INT(Skills!I10/Skills!H10+0.000000001),1)+IF(Skills!H10&gt;0,INT(MIN(Skills!I10,MAX(0,MAX(0,Inputs!$B$43-B2513)-((R2481-1)*(IF(Inputs!$B$38="pvp",15,MAX(0.1,Skills!D10-IF(TRUE=TRUE,Inputs!$B$32,0)))*(1-IF(AND(ArtifactsInput!$M$27,Inputs!$B$4="Chapter Hunt"),CHOOSE(ArtifactsInput!$N$27+1,20,24,28,32,36,40),0)/100)))))/Skills!H10+0.000000001),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INT(Skills!I10/Skills!H10+0.000000001),1)+IF(Skills!H10&gt;0,INT(MIN(Skills!I10,MAX(0,MAX(0,Inputs!$B$43-B2513)-((R2481-1)*(IF(Inputs!$B$38="pvp",15,MAX(0.1,Skills!D10-IF(TRUE=TRUE,Inputs!$B$32,0)))*(1-IF(AND(ArtifactsInput!$M$27,Inputs!$B$4="Chapter Hunt"),CHOOSE(ArtifactsInput!$N$27+1,20,24,28,32,36,40),0)/100)))))/Skills!H10+0.000000001),1)))/Inputs!$B$43),G2481*Q2481))*IF(Inputs!$B$38="pvp",1,(1+(Inputs!$B$21+Skills!Q10+(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Inputs!$B$3&gt;=103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Skills!G11*IF(Skills!H11&gt;0,INT(IF(Inputs!$B$38="pvp",MIN(Skills!I11,15),Skills!I11)/Skills!H11+0.000000001),1)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2497=TRUE)*(F2497-Calc!F26)),(Inputs!$B$23+((C2502=TRUE)*(F2502-Calc!F31))+(IF(ArtifactsInput!$M$15,CHOOSE(ArtifactsInput!$N$15+1,25,30,35,40,45,50)/100*(Inputs!$B$11-Inputs!$B$11),0))))/100+(Inputs!$B$23+((C2502=TRUE)*(F2502-Calc!F31))+(IF(ArtifactsInput!$M$15,CHOOSE(ArtifactsInput!$N$15+1,25,30,35,40,45,50)/100*(Inputs!$B$11-Inputs!$B$11),0)))/100)/2</f>
        <v/>
      </c>
      <c r="M2482">
        <f>L2482*(1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2">
        <f>L2482*(1-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IF(B2516=0,0,O2482/B2516)</f>
        <v/>
      </c>
      <c r="Q2482">
        <f>IFERROR(1/(IF(Inputs!$B$38="pvp",15,MAX(0.1,Skills!D11-IF(TRUE=TRUE,Inputs!$B$32,0)))*(1-IF(AND(ArtifactsInput!$M$27,Inputs!$B$4="Chapter Hunt"),CHOOSE(ArtifactsInput!$N$27+1,20,24,28,32,36,40),0)/100)),0)</f>
        <v/>
      </c>
      <c r="R2482">
        <f>IF(AND(Inputs!$B$38&lt;&gt;"pvp",Inputs!$B$43&gt;0),IF(MAX(0,Inputs!$B$43-B2513)&lt;=0,0,(INT(MAX(0,Inputs!$B$43-B2513)/(IF(Inputs!$B$38="pvp",15,MAX(0.1,Skills!D11-IF(TRUE=TRUE,Inputs!$B$32,0)))*(1-IF(AND(ArtifactsInput!$M$27,Inputs!$B$4="Chapter Hunt"),CHOOSE(ArtifactsInput!$N$27+1,20,24,28,32,36,40),0)/100)))+1)),0)</f>
        <v/>
      </c>
      <c r="S2482">
        <f>IFERROR(O2482/N2482,0)</f>
        <v/>
      </c>
      <c r="T2482">
        <f>IF(C2482,(H2482*N2482*IF(AND(Inputs!$B$38&lt;&gt;"pvp",Inputs!$B$43&gt;0),((Skills!G11*((R2482-1)*IF(Skills!H11&gt;0,INT(Skills!I11/Skills!H11+0.000000001),1)+IF(Skills!H11&gt;0,INT(MIN(Skills!I11,MAX(0,MAX(0,Inputs!$B$43-B2513)-((R2482-1)*(IF(Inputs!$B$38="pvp",15,MAX(0.1,Skills!D11-IF(TRUE=TRUE,Inputs!$B$32,0)))*(1-IF(AND(ArtifactsInput!$M$27,Inputs!$B$4="Chapter Hunt"),CHOOSE(ArtifactsInput!$N$27+1,20,24,28,32,36,40),0)/100)))))/Skills!H11+0.000000001)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INT(Skills!I11/Skills!H11+0.000000001),1)+IF(Skills!H11&gt;0,INT(MIN(Skills!I11,MAX(0,MAX(0,Inputs!$B$43-B2513)-((R2482-1)*(IF(Inputs!$B$38="pvp",15,MAX(0.1,Skills!D11-IF(TRUE=TRUE,Inputs!$B$32,0)))*(1-IF(AND(ArtifactsInput!$M$27,Inputs!$B$4="Chapter Hunt"),CHOOSE(ArtifactsInput!$N$27+1,20,24,28,32,36,40),0)/100)))))/Skills!H11+0.000000001),1)))/Inputs!$B$43),G2482*Q2482))*IF(Inputs!$B$38="pvp",1,(1+(Inputs!$B$21+Skills!Q11+(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c r="T2483" t="inlineStr"/>
      <c r="V2483" t="inlineStr"/>
    </row>
    <row r="2484">
      <c r="A2484">
        <f>Skills!A13</f>
        <v/>
      </c>
      <c r="B2484">
        <f>Skills!B13</f>
        <v/>
      </c>
      <c r="C2484">
        <f>Inputs!$B$3&gt;=60</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Skills!G13*IF(Skills!H13&gt;0,INT(IF(Inputs!$B$38="pvp",MIN(Skills!I13,15),Skills!I13)/Skills!H13+0.000000001),1)</f>
        <v/>
      </c>
      <c r="H2484">
        <f>1-(1-Skills!J13/100)^Skills!K13</f>
        <v/>
      </c>
      <c r="I2484" t="inlineStr">
        <is>
          <t>1</t>
        </is>
      </c>
      <c r="J2484">
        <f>((Inputs!$B$6*(1+Inputs!$B$7/100))+(((Inputs!$B$12*(1+Inputs!$B$13/100))-(Inputs!$B$12*(1+Inputs!$B$13/100)))+0.25*(Inputs!$B$14-Inputs!$B$14))*(1+Inputs!$B$7/100))*(F2484/100)</f>
        <v/>
      </c>
      <c r="K2484">
        <f>J2484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Skills!A13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2497=TRUE)*(F2497-Calc!F26)),(Inputs!$B$23+((C2502=TRUE)*(F2502-Calc!F31))+(IF(ArtifactsInput!$M$15,CHOOSE(ArtifactsInput!$N$15+1,25,30,35,40,45,50)/100*(Inputs!$B$11-Inputs!$B$11),0))))/100+(Inputs!$B$23+((C2502=TRUE)*(F2502-Calc!F31))+(IF(ArtifactsInput!$M$15,CHOOSE(ArtifactsInput!$N$15+1,25,30,35,40,45,50)/100*(Inputs!$B$11-Inputs!$B$11),0)))/100)/2</f>
        <v/>
      </c>
      <c r="M2484">
        <f>L2484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4">
        <f>L2484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IF(B2516=0,0,O2484/B2516)</f>
        <v/>
      </c>
      <c r="Q2484">
        <f>IFERROR(1/(IF(Inputs!$B$38="pvp",15,MAX(0.1,IF(Inputs!$B$3&gt;=122,3,5)+1/(((20+30*(B2508-1)*100/150)/100)*B2508)-IF(FALSE=TRUE,Inputs!$B$32,0)))*(1-IF(AND(ArtifactsInput!$M$27,Inputs!$B$4="Chapter Hunt"),CHOOSE(ArtifactsInput!$N$27+1,20,24,28,32,36,40),0)/100)),0)</f>
        <v/>
      </c>
      <c r="R2484">
        <f>IF(AND(Inputs!$B$38&lt;&gt;"pvp",Inputs!$B$43&gt;0),IF(MAX(0,Inputs!$B$43-B2513)&lt;=0,0,(INT(MAX(0,Inputs!$B$43-B2513)/(IF(Inputs!$B$38="pvp",15,MAX(0.1,IF(Inputs!$B$3&gt;=122,3,5)+1/(((20+30*(B2508-1)*100/150)/100)*B2508)-IF(FALSE=TRUE,Inputs!$B$32,0)))*(1-IF(AND(ArtifactsInput!$M$27,Inputs!$B$4="Chapter Hunt"),CHOOSE(ArtifactsInput!$N$27+1,20,24,28,32,36,40),0)/100)))+1)),0)</f>
        <v/>
      </c>
      <c r="S2484">
        <f>IFERROR(O2484/N2484,0)</f>
        <v/>
      </c>
      <c r="T2484">
        <f>IF(C2484,(H2484*N2484*IF(AND(Inputs!$B$38&lt;&gt;"pvp",Inputs!$B$43&gt;0),((Skills!G13*((R2484-1)*IF(Skills!H13&gt;0,INT(Skills!I13/Skills!H13+0.000000001),1)+IF(Skills!H13&gt;0,INT(MIN(Skills!I13,MAX(0,MAX(0,Inputs!$B$43-B2513)-((R2484-1)*(IF(Inputs!$B$38="pvp",15,MAX(0.1,IF(Inputs!$B$3&gt;=122,3,5)+1/(((20+30*(B2508-1)*100/150)/100)*B2508)-IF(FALSE=TRUE,Inputs!$B$32,0)))*(1-IF(AND(ArtifactsInput!$M$27,Inputs!$B$4="Chapter Hunt"),CHOOSE(ArtifactsInput!$N$27+1,20,24,28,32,36,40),0)/100)))))/Skills!H13+0.000000001),1)))/Inputs!$B$43),G2484*Q2484)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13*((R2484-1)*IF(Skills!H13&gt;0,INT(Skills!I13/Skills!H13+0.000000001),1)+IF(Skills!H13&gt;0,INT(MIN(Skills!I13,MAX(0,MAX(0,Inputs!$B$43-B2513)-((R2484-1)*(IF(Inputs!$B$38="pvp",15,MAX(0.1,IF(Inputs!$B$3&gt;=122,3,5)+1/(((20+30*(B2508-1)*100/150)/100)*B2508)-IF(FALSE=TRUE,Inputs!$B$32,0)))*(1-IF(AND(ArtifactsInput!$M$27,Inputs!$B$4="Chapter Hunt"),CHOOSE(ArtifactsInput!$N$27+1,20,24,28,32,36,40),0)/100)))))/Skills!H13+0.000000001),1)))/Inputs!$B$43),G2484*Q2484))*IF(Inputs!$B$38="pvp",1,(1+(Inputs!$B$21+Skills!Q13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t="inlineStr"/>
      <c r="H2485" t="inlineStr"/>
      <c r="I2485" t="inlineStr">
        <is>
          <t>1</t>
        </is>
      </c>
      <c r="J2485" t="inlineStr"/>
      <c r="K2485" t="inlineStr"/>
      <c r="L2485" t="inlineStr"/>
      <c r="M2485" t="inlineStr"/>
      <c r="N2485" t="inlineStr"/>
      <c r="O2485" t="inlineStr"/>
      <c r="P2485" t="inlineStr"/>
      <c r="Q2485" t="inlineStr"/>
      <c r="R2485" t="inlineStr"/>
      <c r="S2485" t="inlineStr"/>
      <c r="T2485" t="inlineStr"/>
      <c r="V2485" t="inlineStr"/>
    </row>
    <row r="2486">
      <c r="A2486">
        <f>Skills!A15</f>
        <v/>
      </c>
      <c r="B2486">
        <f>Skills!B15</f>
        <v/>
      </c>
      <c r="C2486">
        <f>Inputs!$B$3&gt;=74</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Skills!G15*IF(Skills!H15&gt;0,INT(IF(Inputs!$B$38="pvp",MIN(Skills!I15,15),Skills!I15)/Skills!H15+0.000000001),1)</f>
        <v/>
      </c>
      <c r="H2486">
        <f>1-(1-Skills!J15/100)^Skills!K15</f>
        <v/>
      </c>
      <c r="I2486" t="inlineStr">
        <is>
          <t>1</t>
        </is>
      </c>
      <c r="J2486" t="inlineStr"/>
      <c r="K2486" t="inlineStr"/>
      <c r="L2486" t="inlineStr"/>
      <c r="M2486" t="inlineStr"/>
      <c r="N2486" t="inlineStr"/>
      <c r="O2486">
        <f>(1-Summary!$B$11)*T2486+Summary!$B$11*V2486</f>
        <v/>
      </c>
      <c r="P2486">
        <f>IF(B2516=0,0,O2486/B2516)</f>
        <v/>
      </c>
      <c r="Q2486" t="n">
        <v>0</v>
      </c>
      <c r="R2486" t="n">
        <v>0</v>
      </c>
      <c r="S2486">
        <f>IFERROR(O2486/N2486,0)</f>
        <v/>
      </c>
      <c r="T2486" t="n">
        <v>0</v>
      </c>
      <c r="V2486" t="n">
        <v>0</v>
      </c>
    </row>
    <row r="2487">
      <c r="A2487">
        <f>Skills!A16</f>
        <v/>
      </c>
      <c r="B2487">
        <f>Skills!B16</f>
        <v/>
      </c>
      <c r="C2487">
        <f>Inputs!$B$3&gt;=74</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Skills!G16*IF(Skills!H16&gt;0,INT(IF(Inputs!$B$38="pvp",MIN(Skills!I16,15),Skills!I16)/Skills!H16+0.000000001),1)</f>
        <v/>
      </c>
      <c r="H2487">
        <f>1-(1-Skills!J16/100)^Skills!K16</f>
        <v/>
      </c>
      <c r="I2487" t="inlineStr">
        <is>
          <t>1</t>
        </is>
      </c>
      <c r="J2487" t="inlineStr"/>
      <c r="K2487" t="inlineStr"/>
      <c r="L2487" t="inlineStr"/>
      <c r="M2487" t="inlineStr"/>
      <c r="N2487" t="inlineStr"/>
      <c r="O2487">
        <f>(1-Summary!$B$11)*T2487+Summary!$B$11*V2487</f>
        <v/>
      </c>
      <c r="P2487">
        <f>IF(B2516=0,0,O2487/B2516)</f>
        <v/>
      </c>
      <c r="Q2487" t="n">
        <v>0</v>
      </c>
      <c r="R2487" t="n">
        <v>0</v>
      </c>
      <c r="S2487">
        <f>IFERROR(O2487/N2487,0)</f>
        <v/>
      </c>
      <c r="T2487" t="n">
        <v>0</v>
      </c>
      <c r="V2487" t="n">
        <v>0</v>
      </c>
    </row>
    <row r="2488">
      <c r="A2488">
        <f>Skills!A17</f>
        <v/>
      </c>
      <c r="B2488">
        <f>Skills!B17</f>
        <v/>
      </c>
      <c r="C2488">
        <f>Inputs!$B$3&gt;=117</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Skills!G17*IF(Skills!H17&gt;0,INT(IF(Inputs!$B$38="pvp",MIN(Skills!I17,15),Skills!I17)/Skills!H17+0.000000001),1)</f>
        <v/>
      </c>
      <c r="H2488">
        <f>1-(1-Skills!J17/100)^Skills!K17</f>
        <v/>
      </c>
      <c r="I2488" t="inlineStr">
        <is>
          <t>1</t>
        </is>
      </c>
      <c r="J2488" t="inlineStr"/>
      <c r="K2488" t="inlineStr"/>
      <c r="L2488" t="inlineStr"/>
      <c r="M2488" t="inlineStr"/>
      <c r="N2488" t="inlineStr"/>
      <c r="O2488">
        <f>(1-Summary!$B$11)*T2488+Summary!$B$11*V2488</f>
        <v/>
      </c>
      <c r="P2488">
        <f>IF(B2516=0,0,O2488/B2516)</f>
        <v/>
      </c>
      <c r="Q2488">
        <f>IFERROR(1/(IF(Inputs!$B$38="pvp",15,MAX(0.1,Skills!D17-IF(TRUE=TRUE,Inputs!$B$32,0)))*(1-IF(AND(ArtifactsInput!$M$27,Inputs!$B$4="Chapter Hunt"),CHOOSE(ArtifactsInput!$N$27+1,20,24,28,32,36,40),0)/100)),0)</f>
        <v/>
      </c>
      <c r="R2488">
        <f>IF(AND(Inputs!$B$38&lt;&gt;"pvp",Inputs!$B$43&gt;0),IF(Inputs!$B$43&lt;=0,0,(INT(Inputs!$B$43/(IF(Inputs!$B$38="pvp",15,MAX(0.1,Skills!D17-IF(TRUE=TRUE,Inputs!$B$32,0)))*(1-IF(AND(ArtifactsInput!$M$27,Inputs!$B$4="Chapter Hunt"),CHOOSE(ArtifactsInput!$N$27+1,20,24,28,32,36,40),0)/100)))+1)),0)</f>
        <v/>
      </c>
      <c r="S2488">
        <f>IFERROR(O2488/N2488,0)</f>
        <v/>
      </c>
      <c r="T2488" t="n">
        <v>0</v>
      </c>
      <c r="V2488" t="n">
        <v>0</v>
      </c>
    </row>
    <row r="2489">
      <c r="A2489">
        <f>Skills!A18</f>
        <v/>
      </c>
      <c r="B2489">
        <f>Skills!B18</f>
        <v/>
      </c>
      <c r="C2489">
        <f>Inputs!$B$3&gt;=115</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Skills!G18*IF(Skills!H18&gt;0,INT(IF(Inputs!$B$38="pvp",MIN(Skills!I18,15),Skills!I18)/Skills!H18+0.000000001),1)</f>
        <v/>
      </c>
      <c r="H2489">
        <f>1-(1-Skills!J18/100)^Skills!K18</f>
        <v/>
      </c>
      <c r="I2489" t="inlineStr">
        <is>
          <t>1</t>
        </is>
      </c>
      <c r="J2489" t="inlineStr"/>
      <c r="K2489" t="inlineStr"/>
      <c r="L2489" t="inlineStr"/>
      <c r="M2489" t="inlineStr"/>
      <c r="N2489" t="inlineStr"/>
      <c r="O2489">
        <f>(1-Summary!$B$11)*T2489+Summary!$B$11*V2489</f>
        <v/>
      </c>
      <c r="P2489">
        <f>IF(B2516=0,0,O2489/B2516)</f>
        <v/>
      </c>
      <c r="Q2489">
        <f>IFERROR(1/(IF(Inputs!$B$38="pvp",15,MAX(0.1,Skills!D18-IF(TRUE=TRUE,Inputs!$B$32,0)))*(1-IF(AND(ArtifactsInput!$M$27,Inputs!$B$4="Chapter Hunt"),CHOOSE(ArtifactsInput!$N$27+1,20,24,28,32,36,40),0)/100)),0)</f>
        <v/>
      </c>
      <c r="R2489">
        <f>IF(AND(Inputs!$B$38&lt;&gt;"pvp",Inputs!$B$43&gt;0),IF(Inputs!$B$43&lt;=0,0,(INT(Inputs!$B$43/(IF(Inputs!$B$38="pvp",15,MAX(0.1,Skills!D18-IF(TRUE=TRUE,Inputs!$B$32,0)))*(1-IF(AND(ArtifactsInput!$M$27,Inputs!$B$4="Chapter Hunt"),CHOOSE(ArtifactsInput!$N$27+1,20,24,28,32,36,40),0)/100)))+1)),0)</f>
        <v/>
      </c>
      <c r="S2489">
        <f>IFERROR(O2489/N2489,0)</f>
        <v/>
      </c>
      <c r="T2489" t="n">
        <v>0</v>
      </c>
      <c r="V2489" t="n">
        <v>0</v>
      </c>
    </row>
    <row r="2490">
      <c r="A2490">
        <f>Skills!A19</f>
        <v/>
      </c>
      <c r="B2490">
        <f>Skills!B19</f>
        <v/>
      </c>
      <c r="C2490">
        <f>Inputs!$B$3&gt;=66</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Skills!G19*IF(Skills!H19&gt;0,INT(IF(Inputs!$B$38="pvp",MIN(Skills!I19,15),Skills!I19)/Skills!H19+0.000000001),1)</f>
        <v/>
      </c>
      <c r="H2490">
        <f>1-(1-Skills!J19/100)^Skills!K19</f>
        <v/>
      </c>
      <c r="I2490" t="inlineStr">
        <is>
          <t>1</t>
        </is>
      </c>
      <c r="J2490" t="inlineStr"/>
      <c r="K2490" t="inlineStr"/>
      <c r="L2490" t="inlineStr"/>
      <c r="M2490" t="inlineStr"/>
      <c r="N2490" t="inlineStr"/>
      <c r="O2490">
        <f>(1-Summary!$B$11)*T2490+Summary!$B$11*V2490</f>
        <v/>
      </c>
      <c r="P2490">
        <f>IF(B2516=0,0,O2490/B2516)</f>
        <v/>
      </c>
      <c r="Q2490" t="n">
        <v>0</v>
      </c>
      <c r="R2490" t="n">
        <v>0</v>
      </c>
      <c r="S2490">
        <f>IFERROR(O2490/N2490,0)</f>
        <v/>
      </c>
      <c r="T2490" t="n">
        <v>0</v>
      </c>
      <c r="V2490" t="n">
        <v>0</v>
      </c>
    </row>
    <row r="2491">
      <c r="A2491">
        <f>Skills!A20</f>
        <v/>
      </c>
      <c r="B2491">
        <f>Skills!B20</f>
        <v/>
      </c>
      <c r="C2491">
        <f>Inputs!$B$3&gt;=72</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Skills!G20*IF(Skills!H20&gt;0,INT(IF(Inputs!$B$38="pvp",MIN(Skills!I20,15),Skills!I20)/Skills!H20+0.000000001),1)</f>
        <v/>
      </c>
      <c r="H2491">
        <f>1-(1-Skills!J20/100)^Skills!K20</f>
        <v/>
      </c>
      <c r="I2491" t="inlineStr">
        <is>
          <t>1</t>
        </is>
      </c>
      <c r="J2491" t="inlineStr"/>
      <c r="K2491" t="inlineStr"/>
      <c r="L2491" t="inlineStr"/>
      <c r="M2491" t="inlineStr"/>
      <c r="N2491" t="inlineStr"/>
      <c r="O2491">
        <f>(1-Summary!$B$11)*T2491+Summary!$B$11*V2491</f>
        <v/>
      </c>
      <c r="P2491">
        <f>IF(B2516=0,0,O2491/B2516)</f>
        <v/>
      </c>
      <c r="Q2491" t="n">
        <v>0</v>
      </c>
      <c r="R2491" t="n">
        <v>0</v>
      </c>
      <c r="S2491">
        <f>IFERROR(O2491/N2491,0)</f>
        <v/>
      </c>
      <c r="T2491" t="n">
        <v>0</v>
      </c>
      <c r="V2491" t="n">
        <v>0</v>
      </c>
    </row>
    <row r="2492">
      <c r="A2492">
        <f>Skills!A21</f>
        <v/>
      </c>
      <c r="B2492">
        <f>Skills!B21</f>
        <v/>
      </c>
      <c r="C2492">
        <f>TRUE</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Skills!G21*IF(Skills!H21&gt;0,INT(IF(Inputs!$B$38="pvp",MIN(Skills!I21,15),Skills!I21)/Skills!H21+0.000000001),1)</f>
        <v/>
      </c>
      <c r="H2492">
        <f>1-(1-Skills!J21/100)^Skills!K21</f>
        <v/>
      </c>
      <c r="I2492" t="inlineStr">
        <is>
          <t>1</t>
        </is>
      </c>
      <c r="J2492" t="inlineStr"/>
      <c r="K2492" t="inlineStr"/>
      <c r="L2492" t="inlineStr"/>
      <c r="M2492" t="inlineStr"/>
      <c r="N2492" t="inlineStr"/>
      <c r="O2492">
        <f>(1-Summary!$B$11)*T2492+Summary!$B$11*V2492</f>
        <v/>
      </c>
      <c r="P2492">
        <f>IF(B2516=0,0,O2492/B2516)</f>
        <v/>
      </c>
      <c r="Q2492">
        <f>IFERROR(1/(IF(Inputs!$B$38="pvp",15,MAX(0.1,Skills!D21-IF(TRUE=TRUE,Inputs!$B$32,0)))*(1-IF(AND(ArtifactsInput!$M$27,Inputs!$B$4="Chapter Hunt"),CHOOSE(ArtifactsInput!$N$27+1,20,24,28,32,36,40),0)/100)),0)</f>
        <v/>
      </c>
      <c r="R2492">
        <f>IF(AND(Inputs!$B$38&lt;&gt;"pvp",Inputs!$B$43&gt;0),IF(Inputs!$B$43&lt;=0,0,(INT(Inputs!$B$43/(IF(Inputs!$B$38="pvp",15,MAX(0.1,Skills!D21-IF(TRUE=TRUE,Inputs!$B$32,0)))*(1-IF(AND(ArtifactsInput!$M$27,Inputs!$B$4="Chapter Hunt"),CHOOSE(ArtifactsInput!$N$27+1,20,24,28,32,36,40),0)/100)))+1)),0)</f>
        <v/>
      </c>
      <c r="S2492">
        <f>IFERROR(O2492/N2492,0)</f>
        <v/>
      </c>
      <c r="T2492" t="n">
        <v>0</v>
      </c>
      <c r="V2492" t="n">
        <v>0</v>
      </c>
    </row>
    <row r="2493">
      <c r="A2493">
        <f>Skills!A22</f>
        <v/>
      </c>
      <c r="B2493">
        <f>Skills!B22</f>
        <v/>
      </c>
      <c r="C2493">
        <f>Inputs!$B$3&gt;=15</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Skills!G22*IF(Skills!H22&gt;0,INT(IF(Inputs!$B$38="pvp",MIN(Skills!I22,15),Skills!I22)/Skills!H22+0.000000001),1)</f>
        <v/>
      </c>
      <c r="H2493">
        <f>1-(1-Skills!J22/100)^Skills!K22</f>
        <v/>
      </c>
      <c r="I2493" t="inlineStr">
        <is>
          <t>1</t>
        </is>
      </c>
      <c r="J2493" t="inlineStr"/>
      <c r="K2493" t="inlineStr"/>
      <c r="L2493" t="inlineStr"/>
      <c r="M2493" t="inlineStr"/>
      <c r="N2493" t="inlineStr"/>
      <c r="O2493">
        <f>(1-Summary!$B$11)*T2493+Summary!$B$11*V2493</f>
        <v/>
      </c>
      <c r="P2493">
        <f>IF(B2516=0,0,O2493/B2516)</f>
        <v/>
      </c>
      <c r="Q2493" t="n">
        <v>0</v>
      </c>
      <c r="R2493" t="n">
        <v>0</v>
      </c>
      <c r="S2493">
        <f>IFERROR(O2493/N2493,0)</f>
        <v/>
      </c>
      <c r="T2493" t="n">
        <v>0</v>
      </c>
      <c r="V2493" t="n">
        <v>0</v>
      </c>
    </row>
    <row r="2494">
      <c r="A2494">
        <f>Skills!A23</f>
        <v/>
      </c>
      <c r="B2494">
        <f>Skills!B23</f>
        <v/>
      </c>
      <c r="C2494">
        <f>Inputs!$B$3&gt;=10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Skills!G23*IF(Skills!H23&gt;0,INT(IF(Inputs!$B$38="pvp",MIN(Skills!I23,15),Skills!I23)/Skills!H23+0.000000001),1)</f>
        <v/>
      </c>
      <c r="H2494">
        <f>1-(1-Skills!J23/100)^Skills!K23</f>
        <v/>
      </c>
      <c r="I2494" t="inlineStr">
        <is>
          <t>1</t>
        </is>
      </c>
      <c r="J2494" t="inlineStr"/>
      <c r="K2494" t="inlineStr"/>
      <c r="L2494" t="inlineStr"/>
      <c r="M2494" t="inlineStr"/>
      <c r="N2494" t="inlineStr"/>
      <c r="O2494">
        <f>(1-Summary!$B$11)*T2494+Summary!$B$11*V2494</f>
        <v/>
      </c>
      <c r="P2494">
        <f>IF(B2516=0,0,O2494/B2516)</f>
        <v/>
      </c>
      <c r="Q2494" t="n">
        <v>0</v>
      </c>
      <c r="R2494" t="n">
        <v>0</v>
      </c>
      <c r="S2494">
        <f>IFERROR(O2494/N2494,0)</f>
        <v/>
      </c>
      <c r="T2494" t="n">
        <v>0</v>
      </c>
      <c r="V2494" t="n">
        <v>0</v>
      </c>
    </row>
    <row r="2495">
      <c r="A2495">
        <f>Skills!A24</f>
        <v/>
      </c>
      <c r="B2495">
        <f>Skills!B24</f>
        <v/>
      </c>
      <c r="C2495">
        <f>Inputs!$B$3&gt;=33</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Skills!G24*IF(Skills!H24&gt;0,INT(IF(Inputs!$B$38="pvp",MIN(Skills!I24,15),Skills!I24)/Skills!H24+0.000000001),1)</f>
        <v/>
      </c>
      <c r="H2495">
        <f>1-(1-Skills!J24/100)^Skills!K24</f>
        <v/>
      </c>
      <c r="I2495" t="inlineStr">
        <is>
          <t>1</t>
        </is>
      </c>
      <c r="J2495" t="inlineStr"/>
      <c r="K2495" t="inlineStr"/>
      <c r="L2495" t="inlineStr"/>
      <c r="M2495" t="inlineStr"/>
      <c r="N2495" t="inlineStr"/>
      <c r="O2495">
        <f>(1-Summary!$B$11)*T2495+Summary!$B$11*V2495</f>
        <v/>
      </c>
      <c r="P2495">
        <f>IF(B2516=0,0,O2495/B2516)</f>
        <v/>
      </c>
      <c r="Q2495" t="n">
        <v>0</v>
      </c>
      <c r="R2495" t="n">
        <v>0</v>
      </c>
      <c r="S2495">
        <f>IFERROR(O2495/N2495,0)</f>
        <v/>
      </c>
      <c r="T2495" t="n">
        <v>0</v>
      </c>
      <c r="V2495" t="n">
        <v>0</v>
      </c>
    </row>
    <row r="2496">
      <c r="A2496">
        <f>Skills!A25</f>
        <v/>
      </c>
      <c r="B2496">
        <f>Skills!B25</f>
        <v/>
      </c>
      <c r="C2496">
        <f>Inputs!$B$3&gt;=38</f>
        <v/>
      </c>
      <c r="D2496">
        <f>IF(Skills!C25=1,60+Inputs!$B$25+Inputs!$B$29,IF(Skills!C25=2,90+Inputs!$B$26+Inputs!$B$29,IF(Skills!C25=3,120+Inputs!$B$27+Inputs!$B$29,MAX(0,(Inputs!$B$3-100)*3)+Inputs!$B$28+Inputs!$B$29)))</f>
        <v/>
      </c>
      <c r="E2496">
        <f>INDEX(FactorTable!$B$2:$Y$301, MATCH(ROUND(MIN(300,MAX(1,D2496)),0), FactorTable!$A$2:$A$301,0), Skills!M25+1)</f>
        <v/>
      </c>
      <c r="F2496">
        <f>IF(Skills!N25=TRUE,(Skills!L25/10)*(E2496/1000),Skills!L25/10)+Skills!O25</f>
        <v/>
      </c>
      <c r="G2496">
        <f>Skills!G25*IF(Skills!H25&gt;0,INT(IF(Inputs!$B$38="pvp",MIN(Skills!I25,15),Skills!I25)/Skills!H25+0.000000001),1)</f>
        <v/>
      </c>
      <c r="H2496">
        <f>1-(1-Skills!J25/100)^Skills!K25</f>
        <v/>
      </c>
      <c r="I2496" t="inlineStr">
        <is>
          <t>1</t>
        </is>
      </c>
      <c r="J2496" t="inlineStr"/>
      <c r="K2496" t="inlineStr"/>
      <c r="L2496" t="inlineStr"/>
      <c r="M2496" t="inlineStr"/>
      <c r="N2496" t="inlineStr"/>
      <c r="O2496">
        <f>(1-Summary!$B$11)*T2496+Summary!$B$11*V2496</f>
        <v/>
      </c>
      <c r="P2496">
        <f>IF(B2516=0,0,O2496/B2516)</f>
        <v/>
      </c>
      <c r="Q2496" t="n">
        <v>0</v>
      </c>
      <c r="R2496" t="n">
        <v>0</v>
      </c>
      <c r="S2496">
        <f>IFERROR(O2496/N2496,0)</f>
        <v/>
      </c>
      <c r="T2496" t="n">
        <v>0</v>
      </c>
      <c r="V2496" t="n">
        <v>0</v>
      </c>
    </row>
    <row r="2497">
      <c r="A2497">
        <f>Skills!A26</f>
        <v/>
      </c>
      <c r="B2497">
        <f>Skills!B26</f>
        <v/>
      </c>
      <c r="C2497">
        <f>Inputs!$B$3&gt;=43</f>
        <v/>
      </c>
      <c r="D2497">
        <f>IF(Skills!C26=1,60+Inputs!$B$25+Inputs!$B$29,IF(Skills!C26=2,90+Inputs!$B$26+Inputs!$B$29,IF(Skills!C26=3,120+Inputs!$B$27+Inputs!$B$29,MAX(0,(Inputs!$B$3-100)*3)+Inputs!$B$28+Inputs!$B$29)))</f>
        <v/>
      </c>
      <c r="E2497">
        <f>INDEX(FactorTable!$B$2:$Y$301, MATCH(ROUND(MIN(300,MAX(1,D2497)),0), FactorTable!$A$2:$A$301,0), Skills!M26+1)</f>
        <v/>
      </c>
      <c r="F2497">
        <f>IF(Skills!N26=TRUE,(Skills!L26/10)*(E2497/1000),Skills!L26/10)+Skills!O26</f>
        <v/>
      </c>
      <c r="G2497">
        <f>Skills!G26*IF(Skills!H26&gt;0,INT(IF(Inputs!$B$38="pvp",MIN(Skills!I26,15),Skills!I26)/Skills!H26+0.000000001),1)</f>
        <v/>
      </c>
      <c r="H2497">
        <f>1-(1-Skills!J26/100)^Skills!K26</f>
        <v/>
      </c>
      <c r="I2497" t="inlineStr">
        <is>
          <t>1</t>
        </is>
      </c>
      <c r="J2497" t="inlineStr"/>
      <c r="K2497" t="inlineStr"/>
      <c r="L2497" t="inlineStr"/>
      <c r="M2497" t="inlineStr"/>
      <c r="N2497" t="inlineStr"/>
      <c r="O2497">
        <f>(1-Summary!$B$11)*T2497+Summary!$B$11*V2497</f>
        <v/>
      </c>
      <c r="P2497">
        <f>IF(B2516=0,0,O2497/B2516)</f>
        <v/>
      </c>
      <c r="Q2497" t="n">
        <v>0</v>
      </c>
      <c r="R2497" t="n">
        <v>0</v>
      </c>
      <c r="S2497">
        <f>IFERROR(O2497/N2497,0)</f>
        <v/>
      </c>
      <c r="T2497" t="n">
        <v>0</v>
      </c>
      <c r="V2497" t="n">
        <v>0</v>
      </c>
    </row>
    <row r="2498">
      <c r="A2498">
        <f>Skills!A27</f>
        <v/>
      </c>
      <c r="B2498">
        <f>Skills!B27</f>
        <v/>
      </c>
      <c r="C2498">
        <f>Inputs!$B$3&gt;=75</f>
        <v/>
      </c>
      <c r="D2498">
        <f>IF(Skills!C27=1,60+Inputs!$B$25+Inputs!$B$29,IF(Skills!C27=2,90+Inputs!$B$26+Inputs!$B$29,IF(Skills!C27=3,120+Inputs!$B$27+Inputs!$B$29,MAX(0,(Inputs!$B$3-100)*3)+Inputs!$B$28+Inputs!$B$29)))</f>
        <v/>
      </c>
      <c r="E2498">
        <f>INDEX(FactorTable!$B$2:$Y$301, MATCH(ROUND(MIN(300,MAX(1,D2498)),0), FactorTable!$A$2:$A$301,0), Skills!M27+1)</f>
        <v/>
      </c>
      <c r="F2498">
        <f>IF(Skills!N27=TRUE,(Skills!L27/10)*(E2498/1000),Skills!L27/10)+Skills!O27</f>
        <v/>
      </c>
      <c r="G2498">
        <f>Skills!G27*IF(Skills!H27&gt;0,INT(IF(Inputs!$B$38="pvp",MIN(Skills!I27,15),Skills!I27)/Skills!H27+0.000000001),1)</f>
        <v/>
      </c>
      <c r="H2498">
        <f>1-(1-Skills!J27/100)^Skills!K27</f>
        <v/>
      </c>
      <c r="I2498" t="inlineStr">
        <is>
          <t>1</t>
        </is>
      </c>
      <c r="J2498" t="inlineStr"/>
      <c r="K2498" t="inlineStr"/>
      <c r="L2498" t="inlineStr"/>
      <c r="M2498" t="inlineStr"/>
      <c r="N2498" t="inlineStr"/>
      <c r="O2498">
        <f>(1-Summary!$B$11)*T2498+Summary!$B$11*V2498</f>
        <v/>
      </c>
      <c r="P2498">
        <f>IF(B2516=0,0,O2498/B2516)</f>
        <v/>
      </c>
      <c r="Q2498" t="n">
        <v>0</v>
      </c>
      <c r="R2498" t="n">
        <v>0</v>
      </c>
      <c r="S2498">
        <f>IFERROR(O2498/N2498,0)</f>
        <v/>
      </c>
      <c r="T2498" t="n">
        <v>0</v>
      </c>
      <c r="V2498" t="n">
        <v>0</v>
      </c>
    </row>
    <row r="2499">
      <c r="A2499">
        <f>Skills!A28</f>
        <v/>
      </c>
      <c r="B2499">
        <f>Skills!B28</f>
        <v/>
      </c>
      <c r="C2499">
        <f>Inputs!$B$3&gt;=125</f>
        <v/>
      </c>
      <c r="D2499">
        <f>IF(Skills!C28=1,60+Inputs!$B$25+Inputs!$B$29,IF(Skills!C28=2,90+Inputs!$B$26+Inputs!$B$29,IF(Skills!C28=3,120+Inputs!$B$27+Inputs!$B$29,MAX(0,(Inputs!$B$3-100)*3)+Inputs!$B$28+Inputs!$B$29)))</f>
        <v/>
      </c>
      <c r="E2499">
        <f>INDEX(FactorTable!$B$2:$Y$301, MATCH(ROUND(MIN(300,MAX(1,D2499)),0), FactorTable!$A$2:$A$301,0), Skills!M28+1)</f>
        <v/>
      </c>
      <c r="F2499">
        <f>IF(Skills!N28=TRUE,(Skills!L28/10)*(E2499/1000),Skills!L28/10)+Skills!O28</f>
        <v/>
      </c>
      <c r="G2499">
        <f>Skills!G28*IF(Skills!H28&gt;0,INT(IF(Inputs!$B$38="pvp",MIN(Skills!I28,15),Skills!I28)/Skills!H28+0.000000001),1)</f>
        <v/>
      </c>
      <c r="H2499">
        <f>1-(1-Skills!J28/100)^Skills!K28</f>
        <v/>
      </c>
      <c r="I2499" t="inlineStr">
        <is>
          <t>1</t>
        </is>
      </c>
      <c r="J2499" t="inlineStr"/>
      <c r="K2499" t="inlineStr"/>
      <c r="L2499" t="inlineStr"/>
      <c r="M2499" t="inlineStr"/>
      <c r="N2499" t="inlineStr"/>
      <c r="O2499">
        <f>(1-Summary!$B$11)*T2499+Summary!$B$11*V2499</f>
        <v/>
      </c>
      <c r="P2499">
        <f>IF(B2516=0,0,O2499/B2516)</f>
        <v/>
      </c>
      <c r="Q2499" t="n">
        <v>0</v>
      </c>
      <c r="R2499" t="n">
        <v>0</v>
      </c>
      <c r="S2499">
        <f>IFERROR(O2499/N2499,0)</f>
        <v/>
      </c>
      <c r="T2499" t="n">
        <v>0</v>
      </c>
      <c r="V2499" t="n">
        <v>0</v>
      </c>
    </row>
    <row r="2500">
      <c r="A2500">
        <f>Skills!A29</f>
        <v/>
      </c>
      <c r="B2500">
        <f>Skills!B29</f>
        <v/>
      </c>
      <c r="C2500">
        <f>Inputs!$B$3&gt;=125</f>
        <v/>
      </c>
      <c r="D2500">
        <f>IF(Skills!C29=1,60+Inputs!$B$25+Inputs!$B$29,IF(Skills!C29=2,90+Inputs!$B$26+Inputs!$B$29,IF(Skills!C29=3,120+Inputs!$B$27+Inputs!$B$29,MAX(0,(Inputs!$B$3-100)*3)+Inputs!$B$28+Inputs!$B$29)))</f>
        <v/>
      </c>
      <c r="E2500">
        <f>INDEX(FactorTable!$B$2:$Y$301, MATCH(ROUND(MIN(300,MAX(1,D2500)),0), FactorTable!$A$2:$A$301,0), Skills!M29+1)</f>
        <v/>
      </c>
      <c r="F2500">
        <f>IF(Skills!N29=TRUE,(Skills!L29/10)*(E2500/1000),Skills!L29/10)+Skills!O29</f>
        <v/>
      </c>
      <c r="G2500">
        <f>Skills!G29*IF(Skills!H29&gt;0,INT(IF(Inputs!$B$38="pvp",MIN(Skills!I29,15),Skills!I29)/Skills!H29+0.000000001),1)</f>
        <v/>
      </c>
      <c r="H2500">
        <f>1-(1-Skills!J29/100)^Skills!K29</f>
        <v/>
      </c>
      <c r="I2500" t="inlineStr">
        <is>
          <t>1</t>
        </is>
      </c>
      <c r="J2500" t="inlineStr"/>
      <c r="K2500" t="inlineStr"/>
      <c r="L2500" t="inlineStr"/>
      <c r="M2500" t="inlineStr"/>
      <c r="N2500" t="inlineStr"/>
      <c r="O2500">
        <f>(1-Summary!$B$11)*T2500+Summary!$B$11*V2500</f>
        <v/>
      </c>
      <c r="P2500">
        <f>IF(B2516=0,0,O2500/B2516)</f>
        <v/>
      </c>
      <c r="Q2500" t="n">
        <v>0</v>
      </c>
      <c r="R2500" t="n">
        <v>0</v>
      </c>
      <c r="S2500">
        <f>IFERROR(O2500/N2500,0)</f>
        <v/>
      </c>
      <c r="T2500" t="n">
        <v>0</v>
      </c>
      <c r="V2500" t="n">
        <v>0</v>
      </c>
    </row>
    <row r="2501">
      <c r="A2501">
        <f>Skills!A30</f>
        <v/>
      </c>
      <c r="B2501">
        <f>Skills!B30</f>
        <v/>
      </c>
      <c r="C2501">
        <f>Inputs!$B$3&gt;=120</f>
        <v/>
      </c>
      <c r="D2501">
        <f>IF(Skills!C30=1,60+Inputs!$B$25+Inputs!$B$29,IF(Skills!C30=2,90+Inputs!$B$26+Inputs!$B$29,IF(Skills!C30=3,120+Inputs!$B$27+Inputs!$B$29,MAX(0,(Inputs!$B$3-100)*3)+Inputs!$B$28+Inputs!$B$29)))</f>
        <v/>
      </c>
      <c r="E2501">
        <f>INDEX(FactorTable!$B$2:$Y$301, MATCH(ROUND(MIN(300,MAX(1,D2501)),0), FactorTable!$A$2:$A$301,0), Skills!M30+1)</f>
        <v/>
      </c>
      <c r="F2501">
        <f>IF(Skills!N30=TRUE,(Skills!L30/10)*(E2501/1000),Skills!L30/10)+Skills!O30</f>
        <v/>
      </c>
      <c r="G2501">
        <f>Skills!G30*IF(Skills!H30&gt;0,INT(IF(Inputs!$B$38="pvp",MIN(Skills!I30,15),Skills!I30)/Skills!H30+0.000000001),1)</f>
        <v/>
      </c>
      <c r="H2501">
        <f>1-(1-Skills!J30/100)^Skills!K30</f>
        <v/>
      </c>
      <c r="I2501" t="inlineStr">
        <is>
          <t>1</t>
        </is>
      </c>
      <c r="J2501" t="inlineStr"/>
      <c r="K2501" t="inlineStr"/>
      <c r="L2501" t="inlineStr"/>
      <c r="M2501" t="inlineStr"/>
      <c r="N2501" t="inlineStr"/>
      <c r="O2501">
        <f>(1-Summary!$B$11)*T2501+Summary!$B$11*V2501</f>
        <v/>
      </c>
      <c r="P2501">
        <f>IF(B2516=0,0,O2501/B2516)</f>
        <v/>
      </c>
      <c r="Q2501" t="n">
        <v>0</v>
      </c>
      <c r="R2501" t="n">
        <v>0</v>
      </c>
      <c r="S2501">
        <f>IFERROR(O2501/N2501,0)</f>
        <v/>
      </c>
      <c r="T2501" t="n">
        <v>0</v>
      </c>
      <c r="V2501" t="n">
        <v>0</v>
      </c>
    </row>
    <row r="2502">
      <c r="A2502">
        <f>Skills!A31</f>
        <v/>
      </c>
      <c r="B2502">
        <f>Skills!B31</f>
        <v/>
      </c>
      <c r="C2502">
        <f>Inputs!$B$3&gt;=120</f>
        <v/>
      </c>
      <c r="D2502">
        <f>IF(Skills!C31=1,60+Inputs!$B$25+Inputs!$B$29,IF(Skills!C31=2,90+Inputs!$B$26+Inputs!$B$29,IF(Skills!C31=3,120+Inputs!$B$27+Inputs!$B$29,MAX(0,(Inputs!$B$3-100)*3)+Inputs!$B$28+Inputs!$B$29)))</f>
        <v/>
      </c>
      <c r="E2502">
        <f>INDEX(FactorTable!$B$2:$Y$301, MATCH(ROUND(MIN(300,MAX(1,D2502)),0), FactorTable!$A$2:$A$301,0), Skills!M31+1)</f>
        <v/>
      </c>
      <c r="F2502">
        <f>IF(Skills!N31=TRUE,(Skills!L31/10)*(E2502/1000),Skills!L31/10)+Skills!O31</f>
        <v/>
      </c>
      <c r="G2502">
        <f>Skills!G31*IF(Skills!H31&gt;0,INT(IF(Inputs!$B$38="pvp",MIN(Skills!I31,15),Skills!I31)/Skills!H31+0.000000001),1)</f>
        <v/>
      </c>
      <c r="H2502">
        <f>1-(1-Skills!J31/100)^Skills!K31</f>
        <v/>
      </c>
      <c r="I2502" t="inlineStr">
        <is>
          <t>1</t>
        </is>
      </c>
      <c r="J2502" t="inlineStr"/>
      <c r="K2502" t="inlineStr"/>
      <c r="L2502" t="inlineStr"/>
      <c r="M2502" t="inlineStr"/>
      <c r="N2502" t="inlineStr"/>
      <c r="O2502">
        <f>(1-Summary!$B$11)*T2502+Summary!$B$11*V2502</f>
        <v/>
      </c>
      <c r="P2502">
        <f>IF(B2516=0,0,O2502/B2516)</f>
        <v/>
      </c>
      <c r="Q2502" t="n">
        <v>0</v>
      </c>
      <c r="R2502" t="n">
        <v>0</v>
      </c>
      <c r="S2502">
        <f>IFERROR(O2502/N2502,0)</f>
        <v/>
      </c>
      <c r="T2502" t="n">
        <v>0</v>
      </c>
      <c r="V2502" t="n">
        <v>0</v>
      </c>
    </row>
    <row r="2503">
      <c r="A2503">
        <f>Skills!A32</f>
        <v/>
      </c>
      <c r="B2503">
        <f>Skills!B32</f>
        <v/>
      </c>
      <c r="C2503">
        <f>Inputs!$B$3&gt;=45</f>
        <v/>
      </c>
      <c r="D2503">
        <f>IF(Skills!C32=1,60+Inputs!$B$25+Inputs!$B$29,IF(Skills!C32=2,90+Inputs!$B$26+Inputs!$B$29,IF(Skills!C32=3,120+Inputs!$B$27+Inputs!$B$29,MAX(0,(Inputs!$B$3-100)*3)+Inputs!$B$28+Inputs!$B$29)))</f>
        <v/>
      </c>
      <c r="E2503">
        <f>INDEX(FactorTable!$B$2:$Y$301, MATCH(ROUND(MIN(300,MAX(1,D2503)),0), FactorTable!$A$2:$A$301,0), Skills!M32+1)</f>
        <v/>
      </c>
      <c r="F2503">
        <f>IF(Skills!N32=TRUE,(Skills!L32/10)*(E2503/1000),Skills!L32/10)+Skills!O32</f>
        <v/>
      </c>
      <c r="G2503">
        <f>Skills!G32*IF(Skills!H32&gt;0,INT(IF(Inputs!$B$38="pvp",MIN(Skills!I32,15),Skills!I32)/Skills!H32+0.000000001),1)</f>
        <v/>
      </c>
      <c r="H2503">
        <f>1-(1-Skills!J32/100)^Skills!K32</f>
        <v/>
      </c>
      <c r="I2503" t="inlineStr">
        <is>
          <t>1</t>
        </is>
      </c>
      <c r="J2503" t="inlineStr"/>
      <c r="K2503" t="inlineStr"/>
      <c r="L2503" t="inlineStr"/>
      <c r="M2503" t="inlineStr"/>
      <c r="N2503" t="inlineStr"/>
      <c r="O2503">
        <f>(1-Summary!$B$11)*T2503+Summary!$B$11*V2503</f>
        <v/>
      </c>
      <c r="P2503">
        <f>IF(B2516=0,0,O2503/B2516)</f>
        <v/>
      </c>
      <c r="Q2503" t="n">
        <v>0</v>
      </c>
      <c r="R2503" t="n">
        <v>0</v>
      </c>
      <c r="S2503">
        <f>IFERROR(O2503/N2503,0)</f>
        <v/>
      </c>
      <c r="T2503" t="n">
        <v>0</v>
      </c>
      <c r="V2503" t="n">
        <v>0</v>
      </c>
    </row>
    <row r="2505">
      <c r="A2505" t="inlineStr">
        <is>
          <t>Attack% Bucket Multiplier</t>
        </is>
      </c>
      <c r="B2505">
        <f>(1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6">
      <c r="A2506" t="inlineStr">
        <is>
          <t>Global Crit Rate Bonus %</t>
        </is>
      </c>
      <c r="B2506" t="n">
        <v>0</v>
      </c>
    </row>
    <row r="2507">
      <c r="A2507" t="inlineStr">
        <is>
          <t>Attack Speed Buff Bonus %</t>
        </is>
      </c>
      <c r="B2507">
        <f>((C2492=TRUE)*F2492*IF(AND(Inputs!$B$38&lt;&gt;"pvp",Inputs!$B$43&gt;0),(((R2492-1)*MIN((Skills!T21*(1+Inputs!$B$34/100)),(1/Q2492))+MIN((Skills!T21*(1+Inputs!$B$34/100)),MAX(0,Inputs!$B$43-((R2492-1)*(1/Q2492)))))/Inputs!$B$43),IF(Inputs!$B$38="pvp",MIN((Skills!T21*(1+Inputs!$B$34/100)),15)/15,MIN(1,(Skills!T21*(1+Inputs!$B$34/100))/(1/Q2492)))))</f>
        <v/>
      </c>
    </row>
    <row r="2508">
      <c r="A2508" t="inlineStr">
        <is>
          <t>Actions Per Second</t>
        </is>
      </c>
      <c r="B2508">
        <f>1+MIN(150,150*(1-(1-(Inputs!$B$11+((C2494=TRUE)*(F2494-Calc!F23))+((C2495=TRUE)*(F2495-Calc!F24)))/150)*(1-B2507/150)))/100</f>
        <v/>
      </c>
    </row>
    <row r="2509">
      <c r="A2509" t="inlineStr">
        <is>
          <t>Skill + Buff Cast Rate</t>
        </is>
      </c>
      <c r="B2509">
        <f>IF(AND(Inputs!$B$38&lt;&gt;"pvp",Inputs!$B$43&gt;0),SUMPRODUCT((Skills!E2:E32=TRUE)*(C2473:C2503=TRUE)*R2473:R2503*Skills!F2:F32)/Inputs!$B$43,SUMPRODUCT((Skills!E2:E32=TRUE)*(C2473:C2503=TRUE)*Q2473:Q2503*Skills!F2:F32))</f>
        <v/>
      </c>
    </row>
    <row r="2510">
      <c r="A2510" t="inlineStr">
        <is>
          <t>Arrow Stream Casts Per Second</t>
        </is>
      </c>
      <c r="B2510">
        <f>MAX(0,B2508-B2509)</f>
        <v/>
      </c>
    </row>
    <row r="2511">
      <c r="A2511" t="inlineStr">
        <is>
          <t>Global Critical Damage Bonus % (Sharp Eyes + Concentration)</t>
        </is>
      </c>
      <c r="B2511">
        <f>(C2489=TRUE)*F2489*IF(AND(Inputs!$B$38&lt;&gt;"pvp",Inputs!$B$43&gt;0),(((R2489-1)*MIN((Skills!T18*(1+Inputs!$B$34/100)),(1/Q2489))+MIN((Skills!T18*(1+Inputs!$B$34/100)),MAX(0,Inputs!$B$43-((R2489-1)*(1/Q2489)))))/Inputs!$B$43),IF(Inputs!$B$38="pvp",MIN((Skills!T18*(1+Inputs!$B$34/100)),15)/15,MIN(1,(Skills!T18*(1+Inputs!$B$34/100))/(1/Q2489))))+(C2490=TRUE)*7*F2490</f>
        <v/>
      </c>
    </row>
    <row r="2512">
      <c r="A2512" t="inlineStr">
        <is>
          <t>Global Final Damage Bonus % (Mortal Blow)</t>
        </is>
      </c>
      <c r="B2512">
        <f>(C2491=TRUE)*F2491</f>
        <v/>
      </c>
    </row>
    <row r="2513">
      <c r="A2513" t="inlineStr">
        <is>
          <t>Buff-Casting Startup Delay (s, fixed-duration only)</t>
        </is>
      </c>
      <c r="B2513">
        <f>IF(AND(Inputs!$B$38&lt;&gt;"pvp",Inputs!$B$43&gt;0),SUMPRODUCT((Skills!T2:T32&gt;0)*(Skills!E2:E32=TRUE)*(C2473:C2503=TRUE))/B2508,0)</f>
        <v/>
      </c>
    </row>
    <row r="2514">
      <c r="A2514" t="inlineStr">
        <is>
          <t>Boss-Only Total DPS (this block's swept value)</t>
        </is>
      </c>
      <c r="B2514">
        <f>SUM(T2473:T2503)</f>
        <v/>
      </c>
    </row>
    <row r="2515">
      <c r="A2515" t="inlineStr">
        <is>
          <t>Normal-Only Total DPS (this block's swept value)</t>
        </is>
      </c>
      <c r="B2515">
        <f>SUM(V2473:V2503)</f>
        <v/>
      </c>
    </row>
    <row r="2516">
      <c r="A2516" s="6" t="inlineStr">
        <is>
          <t>TOTAL DPS</t>
        </is>
      </c>
      <c r="B2516" s="6">
        <f>SUM(O2473:O2503)</f>
        <v/>
      </c>
    </row>
    <row r="2519">
      <c r="A2519" s="6" t="inlineStr">
        <is>
          <t>Stat: Flaming Lava (Equip)</t>
        </is>
      </c>
    </row>
    <row r="2520">
      <c r="A2520" s="5" t="inlineStr">
        <is>
          <t>Key</t>
        </is>
      </c>
      <c r="B2520" s="5" t="inlineStr">
        <is>
          <t>Name</t>
        </is>
      </c>
      <c r="C2520" s="5" t="inlineStr">
        <is>
          <t>Unlocked</t>
        </is>
      </c>
      <c r="D2520" s="5" t="inlineStr">
        <is>
          <t>InputLevel</t>
        </is>
      </c>
      <c r="E2520" s="5" t="inlineStr">
        <is>
          <t>Factor</t>
        </is>
      </c>
      <c r="F2520" s="5" t="inlineStr">
        <is>
          <t>CoefficientPercent</t>
        </is>
      </c>
      <c r="G2520" s="5" t="inlineStr">
        <is>
          <t>EffectiveHits</t>
        </is>
      </c>
      <c r="H2520" s="5" t="inlineStr">
        <is>
          <t>ProcProbability</t>
        </is>
      </c>
      <c r="I2520" s="5" t="inlineStr">
        <is>
          <t>MapleHeroMultiplier</t>
        </is>
      </c>
      <c r="J2520" s="5" t="inlineStr">
        <is>
          <t>BaseDamage</t>
        </is>
      </c>
      <c r="K2520" s="5" t="inlineStr">
        <is>
          <t>BaseHitDamage</t>
        </is>
      </c>
      <c r="L2520" s="5" t="inlineStr">
        <is>
          <t>NonCritAvg</t>
        </is>
      </c>
      <c r="M2520" s="5" t="inlineStr">
        <is>
          <t>CritAvg</t>
        </is>
      </c>
      <c r="N2520" s="5" t="inlineStr">
        <is>
          <t>ExpectedDamage(perHit)</t>
        </is>
      </c>
      <c r="O2520" s="5" t="inlineStr">
        <is>
          <t>DPS</t>
        </is>
      </c>
      <c r="P2520" s="5" t="inlineStr">
        <is>
          <t>% of Total</t>
        </is>
      </c>
      <c r="Q2520" s="5" t="inlineStr">
        <is>
          <t>InvCooldown</t>
        </is>
      </c>
      <c r="R2520" s="5" t="inlineStr">
        <is>
          <t>CastsInFight</t>
        </is>
      </c>
      <c r="S2520" s="5" t="inlineStr">
        <is>
          <t>HitRate(perSec)</t>
        </is>
      </c>
      <c r="U2520" t="inlineStr">
        <is>
          <t>helpers</t>
        </is>
      </c>
    </row>
    <row r="2521">
      <c r="A2521">
        <f>Skills!A2</f>
        <v/>
      </c>
      <c r="B2521">
        <f>Skills!B2</f>
        <v/>
      </c>
      <c r="C2521">
        <f>Inputs!$B$3&gt;=100</f>
        <v/>
      </c>
      <c r="D2521" t="inlineStr"/>
      <c r="E2521" t="inlineStr"/>
      <c r="F2521">
        <f>U2523+Skills!O2</f>
        <v/>
      </c>
      <c r="G2521">
        <f>Skills!G2*IF(Skills!H2&gt;0,INT(IF(Inputs!$B$38="pvp",MIN(Skills!I2,15),Skills!I2)/Skills!H2+0.000000001),1)</f>
        <v/>
      </c>
      <c r="H2521">
        <f>1-(1-Skills!J2/100)^Skills!K2</f>
        <v/>
      </c>
      <c r="I2521" t="inlineStr">
        <is>
          <t>1</t>
        </is>
      </c>
      <c r="J2521">
        <f>((Inputs!$B$6*(1+Inputs!$B$7/100))+(((Inputs!$B$12*(1+Inputs!$B$13/100))-(Inputs!$B$12*(1+Inputs!$B$13/100)))+0.25*(Inputs!$B$14-Inputs!$B$14))*(1+Inputs!$B$7/100))*(F2521/100)</f>
        <v/>
      </c>
      <c r="K2521">
        <f>J2521*(1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2545=TRUE)*(F2545-Calc!F26)),(Inputs!$B$23+((C2550=TRUE)*(F2550-Calc!F31))+(IF(ArtifactsInput!$M$15,CHOOSE(ArtifactsInput!$N$15+1,25,30,35,40,45,50)/100*(Inputs!$B$11-Inputs!$B$11),0))))/100+(Inputs!$B$23+((C2550=TRUE)*(F2550-Calc!F31))+(IF(ArtifactsInput!$M$15,CHOOSE(ArtifactsInput!$N$15+1,25,30,35,40,45,50)/100*(Inputs!$B$11-Inputs!$B$11),0)))/100)/2</f>
        <v/>
      </c>
      <c r="M2521">
        <f>L2521*(1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IF(B2564=0,0,O2521/B2564)</f>
        <v/>
      </c>
      <c r="Q2521" t="n">
        <v>0</v>
      </c>
      <c r="R2521" t="n">
        <v>0</v>
      </c>
      <c r="S2521">
        <f>IFERROR(O2521/N2521,0)</f>
        <v/>
      </c>
      <c r="T2521">
        <f>IF(C2521,(Skills!G2*N2521*B2558)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MAX(0,(Inputs!$B$3-100)*3)+Inputs!$B$28+Inputs!$B$29</f>
        <v/>
      </c>
      <c r="V2521">
        <f>IF(C2521,(Skills!G2*N2521*B2558)*IF(Inputs!$B$38="pvp",1,(1+(Inputs!$B$21+Skills!Q2+(IF(ArtifactsInput!$M$33,CHOOSE(ArtifactsInput!$N$33+1,30,36,42,48,54,60),0))+(IF(AND(ArtifactsInput!$M$35,Inputs!$B$4&lt;&gt;"Chapter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Skills!A3</f>
        <v/>
      </c>
      <c r="B2522">
        <f>Skills!B3</f>
        <v/>
      </c>
      <c r="C2522">
        <f>Inputs!$B$3&gt;=50</f>
        <v/>
      </c>
      <c r="D2522">
        <f>IF(Skills!C3=1,60+Inputs!$B$25+Inputs!$B$29,IF(Skills!C3=2,90+Inputs!$B$26+Inputs!$B$29,IF(Skills!C3=3,120+Inputs!$B$27+Inputs!$B$29,MAX(0,(Inputs!$B$3-100)*3)+Inputs!$B$28+Inputs!$B$29)))</f>
        <v/>
      </c>
      <c r="E2522">
        <f>INDEX(FactorTable!$B$2:$Y$301, MATCH(ROUND(MIN(300,MAX(1,D2522)),0), FactorTable!$A$2:$A$301,0), Skills!M3+1)</f>
        <v/>
      </c>
      <c r="F2522">
        <f>IF(Skills!N3=TRUE,(Skills!L3/10)*(E2522/1000),Skills!L3/10)+Skills!O3</f>
        <v/>
      </c>
      <c r="G2522">
        <f>Skills!G3*IF(Skills!H3&gt;0,INT(IF(Inputs!$B$38="pvp",MIN(Skills!I3,15),Skills!I3)/Skills!H3+0.000000001),1)</f>
        <v/>
      </c>
      <c r="H2522">
        <f>1-(1-Skills!J3/100)^Skills!K3</f>
        <v/>
      </c>
      <c r="I2522" t="inlineStr">
        <is>
          <t>1</t>
        </is>
      </c>
      <c r="J2522">
        <f>((Inputs!$B$6*(1+Inputs!$B$7/100))+(((Inputs!$B$12*(1+Inputs!$B$13/100))-(Inputs!$B$12*(1+Inputs!$B$13/100)))+0.25*(Inputs!$B$14-Inputs!$B$14))*(1+Inputs!$B$7/100))*(F2522/100)</f>
        <v/>
      </c>
      <c r="K2522">
        <f>J2522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2523=TRUE,F2523,0)/100)*(1+(IF(Skills!A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2545=TRUE)*(F2545-Calc!F26)),(Inputs!$B$23+((C2550=TRUE)*(F2550-Calc!F31))+(IF(ArtifactsInput!$M$15,CHOOSE(ArtifactsInput!$N$15+1,25,30,35,40,45,50)/100*(Inputs!$B$11-Inputs!$B$11),0))))/100+(Inputs!$B$23+((C2550=TRUE)*(F2550-Calc!F31))+(IF(ArtifactsInput!$M$15,CHOOSE(ArtifactsInput!$N$15+1,25,30,35,40,45,50)/100*(Inputs!$B$11-Inputs!$B$11),0)))/100)/2</f>
        <v/>
      </c>
      <c r="M2522">
        <f>L2522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IF(B2564=0,0,O2522/B2564)</f>
        <v/>
      </c>
      <c r="Q2522">
        <f>IFERROR(1/(IF(Inputs!$B$38="pvp",15,MAX(0.1,1/B2556-IF(FALSE=TRUE,Inputs!$B$32,0)))*(1-IF(AND(ArtifactsInput!$M$27,Inputs!$B$4="Chapter Hunt"),CHOOSE(ArtifactsInput!$N$27+1,20,24,28,32,36,40),0)/100)),0)</f>
        <v/>
      </c>
      <c r="R2522">
        <f>IF(AND(Inputs!$B$38&lt;&gt;"pvp",Inputs!$B$43&gt;0),IF(MAX(0,Inputs!$B$43-B2561)&lt;=0,0,(INT(MAX(0,Inputs!$B$43-B2561)/(IF(Inputs!$B$38="pvp",15,MAX(0.1,1/B2556-IF(FALSE=TRUE,Inputs!$B$32,0)))*(1-IF(AND(ArtifactsInput!$M$27,Inputs!$B$4="Chapter Hunt"),CHOOSE(ArtifactsInput!$N$27+1,20,24,28,32,36,40),0)/100)))+1)),0)</f>
        <v/>
      </c>
      <c r="S2522">
        <f>IFERROR(O2522/N2522,0)</f>
        <v/>
      </c>
      <c r="T2522">
        <f>IF(C2522,(H2522*N2522*IF(AND(Inputs!$B$38&lt;&gt;"pvp",Inputs!$B$43&gt;0),((Skills!G3*((R2522-1)*IF(Skills!H3&gt;0,INT(Skills!I3/Skills!H3+0.000000001),1)+IF(Skills!H3&gt;0,INT(MIN(Skills!I3,MAX(0,MAX(0,Inputs!$B$43-B2561)-((R2522-1)*(IF(Inputs!$B$38="pvp",15,MAX(0.1,1/B2556-IF(FALSE=TRUE,Inputs!$B$32,0)))*(1-IF(AND(ArtifactsInput!$M$27,Inputs!$B$4="Chapter Hunt"),CHOOSE(ArtifactsInput!$N$27+1,20,24,28,32,36,40),0)/100)))))/Skills!H3+0.000000001),1)))/Inputs!$B$43),G2522*Q2522)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2">
        <f>INDEX(FactorTable!$B$2:$Y$301, MATCH(ROUND(MIN(300,MAX(1,U2521)),0), FactorTable!$A$2:$A$301,0), 22)</f>
        <v/>
      </c>
      <c r="V2522">
        <f>IF(C2522,(H2522*N2522*IF(AND(Inputs!$B$38&lt;&gt;"pvp",Inputs!$B$43&gt;0),((Skills!G3*((R2522-1)*IF(Skills!H3&gt;0,INT(Skills!I3/Skills!H3+0.000000001),1)+IF(Skills!H3&gt;0,INT(MIN(Skills!I3,MAX(0,MAX(0,Inputs!$B$43-B2561)-((R2522-1)*(IF(Inputs!$B$38="pvp",15,MAX(0.1,1/B2556-IF(FALSE=TRUE,Inputs!$B$32,0)))*(1-IF(AND(ArtifactsInput!$M$27,Inputs!$B$4="Chapter Hunt"),CHOOSE(ArtifactsInput!$N$27+1,20,24,28,32,36,40),0)/100)))))/Skills!H3+0.000000001),1)))/Inputs!$B$43),G2522*Q2522))*IF(Inputs!$B$38="pvp",1,(1+(Inputs!$B$21+Skills!Q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Skills!A4</f>
        <v/>
      </c>
      <c r="B2523">
        <f>Skills!B4</f>
        <v/>
      </c>
      <c r="C2523">
        <f>Inputs!$B$3&gt;=105</f>
        <v/>
      </c>
      <c r="D2523">
        <f>IF(Skills!C4=1,60+Inputs!$B$25+Inputs!$B$29,IF(Skills!C4=2,90+Inputs!$B$26+Inputs!$B$29,IF(Skills!C4=3,120+Inputs!$B$27+Inputs!$B$29,MAX(0,(Inputs!$B$3-100)*3)+Inputs!$B$28+Inputs!$B$29)))</f>
        <v/>
      </c>
      <c r="E2523">
        <f>INDEX(FactorTable!$B$2:$Y$301, MATCH(ROUND(MIN(300,MAX(1,D2523)),0), FactorTable!$A$2:$A$301,0), Skills!M4+1)</f>
        <v/>
      </c>
      <c r="F2523">
        <f>IF(Skills!N4=TRUE,(Skills!L4/10)*(E2523/1000),Skills!L4/10)+Skills!O4</f>
        <v/>
      </c>
      <c r="G2523" t="inlineStr"/>
      <c r="H2523" t="inlineStr"/>
      <c r="I2523" t="inlineStr">
        <is>
          <t>1</t>
        </is>
      </c>
      <c r="J2523" t="inlineStr"/>
      <c r="K2523" t="inlineStr"/>
      <c r="L2523" t="inlineStr"/>
      <c r="M2523" t="inlineStr"/>
      <c r="N2523" t="inlineStr"/>
      <c r="O2523" t="inlineStr"/>
      <c r="P2523" t="inlineStr"/>
      <c r="Q2523" t="inlineStr"/>
      <c r="R2523" t="inlineStr"/>
      <c r="S2523" t="inlineStr"/>
      <c r="T2523" t="inlineStr"/>
      <c r="U2523">
        <f>290*U2522/1000</f>
        <v/>
      </c>
      <c r="V2523" t="inlineStr"/>
    </row>
    <row r="2524">
      <c r="A2524">
        <f>Skills!A5</f>
        <v/>
      </c>
      <c r="B2524">
        <f>Skills!B5</f>
        <v/>
      </c>
      <c r="C2524">
        <f>Inputs!$B$3&gt;=35</f>
        <v/>
      </c>
      <c r="D2524">
        <f>IF(Skills!C5=1,60+Inputs!$B$25+Inputs!$B$29,IF(Skills!C5=2,90+Inputs!$B$26+Inputs!$B$29,IF(Skills!C5=3,120+Inputs!$B$27+Inputs!$B$29,MAX(0,(Inputs!$B$3-100)*3)+Inputs!$B$28+Inputs!$B$29)))</f>
        <v/>
      </c>
      <c r="E2524">
        <f>INDEX(FactorTable!$B$2:$Y$301, MATCH(ROUND(MIN(300,MAX(1,D2524)),0), FactorTable!$A$2:$A$301,0), Skills!M5+1)</f>
        <v/>
      </c>
      <c r="F2524">
        <f>IF(Skills!N5=TRUE,(Skills!L5/10)*(E2524/1000),Skills!L5/10)+Skills!O5</f>
        <v/>
      </c>
      <c r="G2524">
        <f>Skills!G5*IF(Skills!H5&gt;0,INT(IF(Inputs!$B$38="pvp",MIN(Skills!I5,15),Skills!I5)/Skills!H5+0.000000001),1)</f>
        <v/>
      </c>
      <c r="H2524">
        <f>1-(1-Skills!J5/100)^Skills!K5</f>
        <v/>
      </c>
      <c r="I2524" t="inlineStr">
        <is>
          <t>1</t>
        </is>
      </c>
      <c r="J2524">
        <f>((Inputs!$B$6*(1+Inputs!$B$7/100))+(((Inputs!$B$12*(1+Inputs!$B$13/100))-(Inputs!$B$12*(1+Inputs!$B$13/100)))+0.25*(Inputs!$B$14-Inputs!$B$14))*(1+Inputs!$B$7/100))*(F2524/100)</f>
        <v/>
      </c>
      <c r="K2524">
        <f>J2524*(1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2531=TRUE,F2531,0)/100)*(1+(IF(Skills!A5="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2545=TRUE)*(F2545-Calc!F26)),(Inputs!$B$23+((C2550=TRUE)*(F2550-Calc!F31))+(IF(ArtifactsInput!$M$15,CHOOSE(ArtifactsInput!$N$15+1,25,30,35,40,45,50)/100*(Inputs!$B$11-Inputs!$B$11),0))))/100+(Inputs!$B$23+((C2550=TRUE)*(F2550-Calc!F31))+(IF(ArtifactsInput!$M$15,CHOOSE(ArtifactsInput!$N$15+1,25,30,35,40,45,50)/100*(Inputs!$B$11-Inputs!$B$11),0)))/100)/2</f>
        <v/>
      </c>
      <c r="M2524">
        <f>L2524*(1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IF(B2564=0,0,O2524/B2564)</f>
        <v/>
      </c>
      <c r="Q2524">
        <f>IFERROR(1/(IF(Inputs!$B$38="pvp",15,MAX(0.1,Skills!D5-IF(TRUE=TRUE,Inputs!$B$32,0)))*(1-IF(AND(ArtifactsInput!$M$27,Inputs!$B$4="Chapter Hunt"),CHOOSE(ArtifactsInput!$N$27+1,20,24,28,32,36,40),0)/100)),0)</f>
        <v/>
      </c>
      <c r="R2524">
        <f>IF(AND(Inputs!$B$38&lt;&gt;"pvp",Inputs!$B$43&gt;0),IF(MAX(0,Inputs!$B$43-B2561)&lt;=0,0,(INT(MAX(0,Inputs!$B$43-B2561)/(IF(Inputs!$B$38="pvp",15,MAX(0.1,Skills!D5-IF(TRUE=TRUE,Inputs!$B$32,0)))*(1-IF(AND(ArtifactsInput!$M$27,Inputs!$B$4="Chapter Hunt"),CHOOSE(ArtifactsInput!$N$27+1,20,24,28,32,36,40),0)/100)))+1)),0)</f>
        <v/>
      </c>
      <c r="S2524">
        <f>IFERROR(O2524/N2524,0)</f>
        <v/>
      </c>
      <c r="T2524">
        <f>IF(C2524,(H2524*N2524*IF(AND(Inputs!$B$38&lt;&gt;"pvp",Inputs!$B$43&gt;0),((Skills!G5*((R2524-1)*IF(Skills!H5&gt;0,INT(Skills!I5/Skills!H5+0.000000001),1)+IF(Skills!H5&gt;0,INT(MIN(Skills!I5,MAX(0,MAX(0,Inputs!$B$43-B2561)-((R2524-1)*(IF(Inputs!$B$38="pvp",15,MAX(0.1,Skills!D5-IF(TRUE=TRUE,Inputs!$B$32,0)))*(1-IF(AND(ArtifactsInput!$M$27,Inputs!$B$4="Chapter Hunt"),CHOOSE(ArtifactsInput!$N$27+1,20,24,28,32,36,40),0)/100)))))/Skills!H5+0.000000001),1)))/Inputs!$B$43),G2524*Q2524)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5*((R2524-1)*IF(Skills!H5&gt;0,INT(Skills!I5/Skills!H5+0.000000001),1)+IF(Skills!H5&gt;0,INT(MIN(Skills!I5,MAX(0,MAX(0,Inputs!$B$43-B2561)-((R2524-1)*(IF(Inputs!$B$38="pvp",15,MAX(0.1,Skills!D5-IF(TRUE=TRUE,Inputs!$B$32,0)))*(1-IF(AND(ArtifactsInput!$M$27,Inputs!$B$4="Chapter Hunt"),CHOOSE(ArtifactsInput!$N$27+1,20,24,28,32,36,40),0)/100)))))/Skills!H5+0.000000001),1)))/Inputs!$B$43),G2524*Q2524))*IF(Inputs!$B$38="pvp",1,(1+(Inputs!$B$21+Skills!Q5+(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Skills!A6</f>
        <v/>
      </c>
      <c r="B2525">
        <f>Skills!B6</f>
        <v/>
      </c>
      <c r="C2525">
        <f>Inputs!$B$3&gt;=40</f>
        <v/>
      </c>
      <c r="D2525">
        <f>IF(Skills!C6=1,60+Inputs!$B$25+Inputs!$B$29,IF(Skills!C6=2,90+Inputs!$B$26+Inputs!$B$29,IF(Skills!C6=3,120+Inputs!$B$27+Inputs!$B$29,MAX(0,(Inputs!$B$3-100)*3)+Inputs!$B$28+Inputs!$B$29)))</f>
        <v/>
      </c>
      <c r="E2525">
        <f>INDEX(FactorTable!$B$2:$Y$301, MATCH(ROUND(MIN(300,MAX(1,D2525)),0), FactorTable!$A$2:$A$301,0), Skills!M6+1)</f>
        <v/>
      </c>
      <c r="F2525">
        <f>IF(Skills!N6=TRUE,(Skills!L6/10)*(E2525/1000),Skills!L6/10)+Skills!O6</f>
        <v/>
      </c>
      <c r="G2525">
        <f>Skills!G6*IF(Skills!H6&gt;0,INT(IF(Inputs!$B$38="pvp",MIN(Skills!I6,15),Skills!I6)/Skills!H6+0.000000001),1)</f>
        <v/>
      </c>
      <c r="H2525">
        <f>1-(1-Skills!J6/100)^Skills!K6</f>
        <v/>
      </c>
      <c r="I2525" t="inlineStr">
        <is>
          <t>1</t>
        </is>
      </c>
      <c r="J2525">
        <f>((Inputs!$B$6*(1+Inputs!$B$7/100))+(((Inputs!$B$12*(1+Inputs!$B$13/100))-(Inputs!$B$12*(1+Inputs!$B$13/100)))+0.25*(Inputs!$B$14-Inputs!$B$14))*(1+Inputs!$B$7/100))*(F2525/100)</f>
        <v/>
      </c>
      <c r="K2525">
        <f>J2525*(1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2526=TRUE,F2526,0)/100)*(1+(IF(Skills!A6="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2545=TRUE)*(F2545-Calc!F26)),(Inputs!$B$23+((C2550=TRUE)*(F2550-Calc!F31))+(IF(ArtifactsInput!$M$15,CHOOSE(ArtifactsInput!$N$15+1,25,30,35,40,45,50)/100*(Inputs!$B$11-Inputs!$B$11),0))))/100+(Inputs!$B$23+((C2550=TRUE)*(F2550-Calc!F31))+(IF(ArtifactsInput!$M$15,CHOOSE(ArtifactsInput!$N$15+1,25,30,35,40,45,50)/100*(Inputs!$B$11-Inputs!$B$11),0)))/100)/2</f>
        <v/>
      </c>
      <c r="M2525">
        <f>L2525*(1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IF(B2564=0,0,O2525/B2564)</f>
        <v/>
      </c>
      <c r="Q2525">
        <f>IFERROR(1/(IF(Inputs!$B$38="pvp",15,MAX(0.1,1-0.4*MIN(1,(B2556-1)/1.5)-IF(FALSE=TRUE,Inputs!$B$32,0)))*(1-IF(AND(ArtifactsInput!$M$27,Inputs!$B$4="Chapter Hunt"),CHOOSE(ArtifactsInput!$N$27+1,20,24,28,32,36,40),0)/100)),0)</f>
        <v/>
      </c>
      <c r="R2525">
        <f>IF(AND(Inputs!$B$38&lt;&gt;"pvp",Inputs!$B$43&gt;0),IF(MAX(0,Inputs!$B$43-B2561)&lt;=0,0,(INT(MAX(0,Inputs!$B$43-B2561)/(IF(Inputs!$B$38="pvp",15,MAX(0.1,1-0.4*MIN(1,(B2556-1)/1.5)-IF(FALSE=TRUE,Inputs!$B$32,0)))*(1-IF(AND(ArtifactsInput!$M$27,Inputs!$B$4="Chapter Hunt"),CHOOSE(ArtifactsInput!$N$27+1,20,24,28,32,36,40),0)/100)))+1)),0)</f>
        <v/>
      </c>
      <c r="S2525">
        <f>IFERROR(O2525/N2525,0)</f>
        <v/>
      </c>
      <c r="T2525">
        <f>IF(C2525,(H2525*N2525*IF(AND(Inputs!$B$38&lt;&gt;"pvp",Inputs!$B$43&gt;0),((Skills!G6*((R2525-1)*IF(Skills!H6&gt;0,INT(Skills!I6/Skills!H6+0.000000001),1)+IF(Skills!H6&gt;0,INT(MIN(Skills!I6,MAX(0,MAX(0,Inputs!$B$43-B2561)-((R2525-1)*(IF(Inputs!$B$38="pvp",15,MAX(0.1,1-0.4*MIN(1,(B2556-1)/1.5)-IF(FALSE=TRUE,Inputs!$B$32,0)))*(1-IF(AND(ArtifactsInput!$M$27,Inputs!$B$4="Chapter Hunt"),CHOOSE(ArtifactsInput!$N$27+1,20,24,28,32,36,40),0)/100)))))/Skills!H6+0.000000001),1)))/Inputs!$B$43),G2525*Q2525)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6*((R2525-1)*IF(Skills!H6&gt;0,INT(Skills!I6/Skills!H6+0.000000001),1)+IF(Skills!H6&gt;0,INT(MIN(Skills!I6,MAX(0,MAX(0,Inputs!$B$43-B2561)-((R2525-1)*(IF(Inputs!$B$38="pvp",15,MAX(0.1,1-0.4*MIN(1,(B2556-1)/1.5)-IF(FALSE=TRUE,Inputs!$B$32,0)))*(1-IF(AND(ArtifactsInput!$M$27,Inputs!$B$4="Chapter Hunt"),CHOOSE(ArtifactsInput!$N$27+1,20,24,28,32,36,40),0)/100)))))/Skills!H6+0.000000001),1)))/Inputs!$B$43),G2525*Q2525))*IF(Inputs!$B$38="pvp",1,(1+(Inputs!$B$21+Skills!Q6+(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Skills!A7</f>
        <v/>
      </c>
      <c r="B2526">
        <f>Skills!B7</f>
        <v/>
      </c>
      <c r="C2526">
        <f>Inputs!$B$3&gt;=107</f>
        <v/>
      </c>
      <c r="D2526">
        <f>IF(Skills!C7=1,60+Inputs!$B$25+Inputs!$B$29,IF(Skills!C7=2,90+Inputs!$B$26+Inputs!$B$29,IF(Skills!C7=3,120+Inputs!$B$27+Inputs!$B$29,MAX(0,(Inputs!$B$3-100)*3)+Inputs!$B$28+Inputs!$B$29)))</f>
        <v/>
      </c>
      <c r="E2526">
        <f>INDEX(FactorTable!$B$2:$Y$301, MATCH(ROUND(MIN(300,MAX(1,D2526)),0), FactorTable!$A$2:$A$301,0), Skills!M7+1)</f>
        <v/>
      </c>
      <c r="F2526">
        <f>IF(Skills!N7=TRUE,(Skills!L7/10)*(E2526/1000),Skills!L7/10)+Skills!O7</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Skills!A8</f>
        <v/>
      </c>
      <c r="B2527">
        <f>Skills!B8</f>
        <v/>
      </c>
      <c r="C2527">
        <f>Inputs!$B$3&gt;=130</f>
        <v/>
      </c>
      <c r="D2527">
        <f>IF(Skills!C8=1,60+Inputs!$B$25+Inputs!$B$29,IF(Skills!C8=2,90+Inputs!$B$26+Inputs!$B$29,IF(Skills!C8=3,120+Inputs!$B$27+Inputs!$B$29,MAX(0,(Inputs!$B$3-100)*3)+Inputs!$B$28+Inputs!$B$29)))</f>
        <v/>
      </c>
      <c r="E2527">
        <f>INDEX(FactorTable!$B$2:$Y$301, MATCH(ROUND(MIN(300,MAX(1,D2527)),0), FactorTable!$A$2:$A$301,0), Skills!M8+1)</f>
        <v/>
      </c>
      <c r="F2527">
        <f>IF(Skills!N8=TRUE,(Skills!L8/10)*(E2527/1000),Skills!L8/10)+Skills!O8</f>
        <v/>
      </c>
      <c r="G2527">
        <f>Skills!G8*IF(Skills!H8&gt;0,INT(IF(Inputs!$B$38="pvp",MIN(Skills!I8,15),Skills!I8)/Skills!H8+0.000000001),1)</f>
        <v/>
      </c>
      <c r="H2527">
        <f>1-(1-Skills!J8/100)^Skills!K8</f>
        <v/>
      </c>
      <c r="I2527" t="inlineStr">
        <is>
          <t>1</t>
        </is>
      </c>
      <c r="J2527">
        <f>((Inputs!$B$6*(1+Inputs!$B$7/100))+(((Inputs!$B$12*(1+Inputs!$B$13/100))-(Inputs!$B$12*(1+Inputs!$B$13/100)))+0.25*(Inputs!$B$14-Inputs!$B$14))*(1+Inputs!$B$7/100))*(F2527/100)</f>
        <v/>
      </c>
      <c r="K2527">
        <f>J2527*(1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2545=TRUE)*(F2545-Calc!F26)),(Inputs!$B$23+((C2550=TRUE)*(F2550-Calc!F31))+(IF(ArtifactsInput!$M$15,CHOOSE(ArtifactsInput!$N$15+1,25,30,35,40,45,50)/100*(Inputs!$B$11-Inputs!$B$11),0))))/100+(Inputs!$B$23+((C2550=TRUE)*(F2550-Calc!F31))+(IF(ArtifactsInput!$M$15,CHOOSE(ArtifactsInput!$N$15+1,25,30,35,40,45,50)/100*(Inputs!$B$11-Inputs!$B$11),0)))/100)/2</f>
        <v/>
      </c>
      <c r="M2527">
        <f>L2527*(1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IF(B2564=0,0,O2527/B2564)</f>
        <v/>
      </c>
      <c r="Q2527">
        <f>IFERROR(1/(IF(Inputs!$B$38="pvp",15,MAX(0.1,1-0.4*MIN(1,(B2556-1)/1.5)-IF(FALSE=TRUE,Inputs!$B$32,0)))*(1-IF(AND(ArtifactsInput!$M$27,Inputs!$B$4="Chapter Hunt"),CHOOSE(ArtifactsInput!$N$27+1,20,24,28,32,36,40),0)/100)),0)</f>
        <v/>
      </c>
      <c r="R2527">
        <f>IF(AND(Inputs!$B$38&lt;&gt;"pvp",Inputs!$B$43&gt;0),IF(MAX(0,Inputs!$B$43-B2561)&lt;=0,0,(INT(MAX(0,Inputs!$B$43-B2561)/(IF(Inputs!$B$38="pvp",15,MAX(0.1,1-0.4*MIN(1,(B2556-1)/1.5)-IF(FALSE=TRUE,Inputs!$B$32,0)))*(1-IF(AND(ArtifactsInput!$M$27,Inputs!$B$4="Chapter Hunt"),CHOOSE(ArtifactsInput!$N$27+1,20,24,28,32,36,40),0)/100)))+1)),0)</f>
        <v/>
      </c>
      <c r="S2527">
        <f>IFERROR(O2527/N2527,0)</f>
        <v/>
      </c>
      <c r="T2527">
        <f>IF(C2527,(H2527*N2527*IF(AND(Inputs!$B$38&lt;&gt;"pvp",Inputs!$B$43&gt;0),((Skills!G8*((R2527-1)*IF(Skills!H8&gt;0,INT(Skills!I8/Skills!H8+0.000000001),1)+IF(Skills!H8&gt;0,INT(MIN(Skills!I8,MAX(0,MAX(0,Inputs!$B$43-B2561)-((R2527-1)*(IF(Inputs!$B$38="pvp",15,MAX(0.1,1-0.4*MIN(1,(B2556-1)/1.5)-IF(FALSE=TRUE,Inputs!$B$32,0)))*(1-IF(AND(ArtifactsInput!$M$27,Inputs!$B$4="Chapter Hunt"),CHOOSE(ArtifactsInput!$N$27+1,20,24,28,32,36,40),0)/100)))))/Skills!H8+0.000000001),1)))/Inputs!$B$43),G2527*Q2527)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8*((R2527-1)*IF(Skills!H8&gt;0,INT(Skills!I8/Skills!H8+0.000000001),1)+IF(Skills!H8&gt;0,INT(MIN(Skills!I8,MAX(0,MAX(0,Inputs!$B$43-B2561)-((R2527-1)*(IF(Inputs!$B$38="pvp",15,MAX(0.1,1-0.4*MIN(1,(B2556-1)/1.5)-IF(FALSE=TRUE,Inputs!$B$32,0)))*(1-IF(AND(ArtifactsInput!$M$27,Inputs!$B$4="Chapter Hunt"),CHOOSE(ArtifactsInput!$N$27+1,20,24,28,32,36,40),0)/100)))))/Skills!H8+0.000000001),1)))/Inputs!$B$43),G2527*Q2527))*IF(Inputs!$B$38="pvp",1,(1+(Inputs!$B$21+Skills!Q8+(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Skills!A9</f>
        <v/>
      </c>
      <c r="B2528">
        <f>Skills!B9</f>
        <v/>
      </c>
      <c r="C2528">
        <f>Inputs!$B$3&gt;=69</f>
        <v/>
      </c>
      <c r="D2528">
        <f>IF(Skills!C9=1,60+Inputs!$B$25+Inputs!$B$29,IF(Skills!C9=2,90+Inputs!$B$26+Inputs!$B$29,IF(Skills!C9=3,120+Inputs!$B$27+Inputs!$B$29,MAX(0,(Inputs!$B$3-100)*3)+Inputs!$B$28+Inputs!$B$29)))</f>
        <v/>
      </c>
      <c r="E2528">
        <f>INDEX(FactorTable!$B$2:$Y$301, MATCH(ROUND(MIN(300,MAX(1,D2528)),0), FactorTable!$A$2:$A$301,0), Skills!M9+1)</f>
        <v/>
      </c>
      <c r="F2528">
        <f>IF(Skills!N9=TRUE,(Skills!L9/10)*(E2528/1000),Skills!L9/10)+Skills!O9</f>
        <v/>
      </c>
      <c r="G2528">
        <f>Skills!G9*IF(Skills!H9&gt;0,INT(IF(Inputs!$B$38="pvp",MIN(Skills!I9,15),Skills!I9)/Skills!H9+0.000000001),1)</f>
        <v/>
      </c>
      <c r="H2528">
        <f>1-(1-Skills!J9/100)^Skills!K9</f>
        <v/>
      </c>
      <c r="I2528" t="inlineStr">
        <is>
          <t>1</t>
        </is>
      </c>
      <c r="J2528">
        <f>((Inputs!$B$6*(1+Inputs!$B$7/100))+(((Inputs!$B$12*(1+Inputs!$B$13/100))-(Inputs!$B$12*(1+Inputs!$B$13/100)))+0.25*(Inputs!$B$14-Inputs!$B$14))*(1+Inputs!$B$7/100))*(F2528/100)</f>
        <v/>
      </c>
      <c r="K2528">
        <f>J2528*(1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2531=TRUE,F2531,0)/100)*(1+(IF(Skills!A9="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2545=TRUE)*(F2545-Calc!F26)),(Inputs!$B$23+((C2550=TRUE)*(F2550-Calc!F31))+(IF(ArtifactsInput!$M$15,CHOOSE(ArtifactsInput!$N$15+1,25,30,35,40,45,50)/100*(Inputs!$B$11-Inputs!$B$11),0))))/100+(Inputs!$B$23+((C2550=TRUE)*(F2550-Calc!F31))+(IF(ArtifactsInput!$M$15,CHOOSE(ArtifactsInput!$N$15+1,25,30,35,40,45,50)/100*(Inputs!$B$11-Inputs!$B$11),0)))/100)/2</f>
        <v/>
      </c>
      <c r="M2528">
        <f>L2528*(1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IF(B2564=0,0,O2528/B2564)</f>
        <v/>
      </c>
      <c r="Q2528">
        <f>IFERROR(1/(IF(Inputs!$B$38="pvp",15,MAX(0.1,Skills!D9-IF(TRUE=TRUE,Inputs!$B$32,0)))*(1-IF(AND(ArtifactsInput!$M$27,Inputs!$B$4="Chapter Hunt"),CHOOSE(ArtifactsInput!$N$27+1,20,24,28,32,36,40),0)/100)),0)</f>
        <v/>
      </c>
      <c r="R2528">
        <f>IF(AND(Inputs!$B$38&lt;&gt;"pvp",Inputs!$B$43&gt;0),IF(MAX(0,Inputs!$B$43-B2561)&lt;=0,0,(INT(MAX(0,Inputs!$B$43-B2561)/(IF(Inputs!$B$38="pvp",15,MAX(0.1,Skills!D9-IF(TRUE=TRUE,Inputs!$B$32,0)))*(1-IF(AND(ArtifactsInput!$M$27,Inputs!$B$4="Chapter Hunt"),CHOOSE(ArtifactsInput!$N$27+1,20,24,28,32,36,40),0)/100)))+1)),0)</f>
        <v/>
      </c>
      <c r="S2528">
        <f>IFERROR(O2528/N2528,0)</f>
        <v/>
      </c>
      <c r="T2528">
        <f>IF(C2528,(H2528*N2528*IF(AND(Inputs!$B$38&lt;&gt;"pvp",Inputs!$B$43&gt;0),((Skills!G9*((R2528-1)*IF(Skills!H9&gt;0,INT(Skills!I9/Skills!H9+0.000000001),1)+IF(Skills!H9&gt;0,INT(MIN(Skills!I9,MAX(0,MAX(0,Inputs!$B$43-B2561)-((R2528-1)*(IF(Inputs!$B$38="pvp",15,MAX(0.1,Skills!D9-IF(TRUE=TRUE,Inputs!$B$32,0)))*(1-IF(AND(ArtifactsInput!$M$27,Inputs!$B$4="Chapter Hunt"),CHOOSE(ArtifactsInput!$N$27+1,20,24,28,32,36,40),0)/100)))))/Skills!H9+0.000000001),1)))/Inputs!$B$43),G2528*Q2528)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9*((R2528-1)*IF(Skills!H9&gt;0,INT(Skills!I9/Skills!H9+0.000000001),1)+IF(Skills!H9&gt;0,INT(MIN(Skills!I9,MAX(0,MAX(0,Inputs!$B$43-B2561)-((R2528-1)*(IF(Inputs!$B$38="pvp",15,MAX(0.1,Skills!D9-IF(TRUE=TRUE,Inputs!$B$32,0)))*(1-IF(AND(ArtifactsInput!$M$27,Inputs!$B$4="Chapter Hunt"),CHOOSE(ArtifactsInput!$N$27+1,20,24,28,32,36,40),0)/100)))))/Skills!H9+0.000000001),1)))/Inputs!$B$43),G2528*Q2528))*IF(Inputs!$B$38="pvp",1,(1+(Inputs!$B$21+Skills!Q9+(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Skills!A10</f>
        <v/>
      </c>
      <c r="B2529">
        <f>Skills!B10</f>
        <v/>
      </c>
      <c r="C2529">
        <f>Inputs!$B$3&gt;=63</f>
        <v/>
      </c>
      <c r="D2529">
        <f>IF(Skills!C10=1,60+Inputs!$B$25+Inputs!$B$29,IF(Skills!C10=2,90+Inputs!$B$26+Inputs!$B$29,IF(Skills!C10=3,120+Inputs!$B$27+Inputs!$B$29,MAX(0,(Inputs!$B$3-100)*3)+Inputs!$B$28+Inputs!$B$29)))</f>
        <v/>
      </c>
      <c r="E2529">
        <f>INDEX(FactorTable!$B$2:$Y$301, MATCH(ROUND(MIN(300,MAX(1,D2529)),0), FactorTable!$A$2:$A$301,0), Skills!M10+1)</f>
        <v/>
      </c>
      <c r="F2529">
        <f>IF(Skills!N10=TRUE,(Skills!L10/10)*(E2529/1000),Skills!L10/10)+Skills!O10</f>
        <v/>
      </c>
      <c r="G2529">
        <f>Skills!G10*IF(Skills!H10&gt;0,INT(IF(Inputs!$B$38="pvp",MIN(Skills!I10,15),Skills!I10)/Skills!H10+0.000000001),1)</f>
        <v/>
      </c>
      <c r="H2529">
        <f>1-(1-Skills!J10/100)^Skills!K10</f>
        <v/>
      </c>
      <c r="I2529" t="inlineStr">
        <is>
          <t>1</t>
        </is>
      </c>
      <c r="J2529">
        <f>((Inputs!$B$6*(1+Inputs!$B$7/100))+(((Inputs!$B$12*(1+Inputs!$B$13/100))-(Inputs!$B$12*(1+Inputs!$B$13/100)))+0.25*(Inputs!$B$14-Inputs!$B$14))*(1+Inputs!$B$7/100))*(F2529/100)</f>
        <v/>
      </c>
      <c r="K2529">
        <f>J2529*(1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2531=TRUE,F2531,0)/100)*(1+(IF(Skills!A10="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2545=TRUE)*(F2545-Calc!F26)),(Inputs!$B$23+((C2550=TRUE)*(F2550-Calc!F31))+(IF(ArtifactsInput!$M$15,CHOOSE(ArtifactsInput!$N$15+1,25,30,35,40,45,50)/100*(Inputs!$B$11-Inputs!$B$11),0))))/100+(Inputs!$B$23+((C2550=TRUE)*(F2550-Calc!F31))+(IF(ArtifactsInput!$M$15,CHOOSE(ArtifactsInput!$N$15+1,25,30,35,40,45,50)/100*(Inputs!$B$11-Inputs!$B$11),0)))/100)/2</f>
        <v/>
      </c>
      <c r="M2529">
        <f>L2529*(1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IF(B2564=0,0,O2529/B2564)</f>
        <v/>
      </c>
      <c r="Q2529">
        <f>IFERROR(1/(IF(Inputs!$B$38="pvp",15,MAX(0.1,Skills!D10-IF(TRUE=TRUE,Inputs!$B$32,0)))*(1-IF(AND(ArtifactsInput!$M$27,Inputs!$B$4="Chapter Hunt"),CHOOSE(ArtifactsInput!$N$27+1,20,24,28,32,36,40),0)/100)),0)</f>
        <v/>
      </c>
      <c r="R2529">
        <f>IF(AND(Inputs!$B$38&lt;&gt;"pvp",Inputs!$B$43&gt;0),IF(MAX(0,Inputs!$B$43-B2561)&lt;=0,0,(INT(MAX(0,Inputs!$B$43-B2561)/(IF(Inputs!$B$38="pvp",15,MAX(0.1,Skills!D10-IF(TRUE=TRUE,Inputs!$B$32,0)))*(1-IF(AND(ArtifactsInput!$M$27,Inputs!$B$4="Chapter Hunt"),CHOOSE(ArtifactsInput!$N$27+1,20,24,28,32,36,40),0)/100)))+1)),0)</f>
        <v/>
      </c>
      <c r="S2529">
        <f>IFERROR(O2529/N2529,0)</f>
        <v/>
      </c>
      <c r="T2529">
        <f>IF(C2529,(H2529*N2529*IF(AND(Inputs!$B$38&lt;&gt;"pvp",Inputs!$B$43&gt;0),((Skills!G10*((R2529-1)*IF(Skills!H10&gt;0,INT(Skills!I10/Skills!H10+0.000000001),1)+IF(Skills!H10&gt;0,INT(MIN(Skills!I10,MAX(0,MAX(0,Inputs!$B$43-B2561)-((R2529-1)*(IF(Inputs!$B$38="pvp",15,MAX(0.1,Skills!D10-IF(TRUE=TRUE,Inputs!$B$32,0)))*(1-IF(AND(ArtifactsInput!$M$27,Inputs!$B$4="Chapter Hunt"),CHOOSE(ArtifactsInput!$N$27+1,20,24,28,32,36,40),0)/100)))))/Skills!H10+0.000000001),1)))/Inputs!$B$43),G2529*Q2529)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10*((R2529-1)*IF(Skills!H10&gt;0,INT(Skills!I10/Skills!H10+0.000000001),1)+IF(Skills!H10&gt;0,INT(MIN(Skills!I10,MAX(0,MAX(0,Inputs!$B$43-B2561)-((R2529-1)*(IF(Inputs!$B$38="pvp",15,MAX(0.1,Skills!D10-IF(TRUE=TRUE,Inputs!$B$32,0)))*(1-IF(AND(ArtifactsInput!$M$27,Inputs!$B$4="Chapter Hunt"),CHOOSE(ArtifactsInput!$N$27+1,20,24,28,32,36,40),0)/100)))))/Skills!H10+0.000000001),1)))/Inputs!$B$43),G2529*Q2529))*IF(Inputs!$B$38="pvp",1,(1+(Inputs!$B$21+Skills!Q10+(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Skills!A11</f>
        <v/>
      </c>
      <c r="B2530">
        <f>Skills!B11</f>
        <v/>
      </c>
      <c r="C2530">
        <f>Inputs!$B$3&gt;=103</f>
        <v/>
      </c>
      <c r="D2530">
        <f>IF(Skills!C11=1,60+Inputs!$B$25+Inputs!$B$29,IF(Skills!C11=2,90+Inputs!$B$26+Inputs!$B$29,IF(Skills!C11=3,120+Inputs!$B$27+Inputs!$B$29,MAX(0,(Inputs!$B$3-100)*3)+Inputs!$B$28+Inputs!$B$29)))</f>
        <v/>
      </c>
      <c r="E2530">
        <f>INDEX(FactorTable!$B$2:$Y$301, MATCH(ROUND(MIN(300,MAX(1,D2530)),0), FactorTable!$A$2:$A$301,0), Skills!M11+1)</f>
        <v/>
      </c>
      <c r="F2530">
        <f>IF(Skills!N11=TRUE,(Skills!L11/10)*(E2530/1000),Skills!L11/10)+Skills!O11</f>
        <v/>
      </c>
      <c r="G2530">
        <f>Skills!G11*IF(Skills!H11&gt;0,INT(IF(Inputs!$B$38="pvp",MIN(Skills!I11,15),Skills!I11)/Skills!H11+0.000000001),1)</f>
        <v/>
      </c>
      <c r="H2530">
        <f>1-(1-Skills!J11/100)^Skills!K11</f>
        <v/>
      </c>
      <c r="I2530" t="inlineStr">
        <is>
          <t>1</t>
        </is>
      </c>
      <c r="J2530">
        <f>((Inputs!$B$6*(1+Inputs!$B$7/100))+(((Inputs!$B$12*(1+Inputs!$B$13/100))-(Inputs!$B$12*(1+Inputs!$B$13/100)))+0.25*(Inputs!$B$14-Inputs!$B$14))*(1+Inputs!$B$7/100))*(F2530/100)</f>
        <v/>
      </c>
      <c r="K2530">
        <f>J2530*(1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2545=TRUE)*(F2545-Calc!F26)),(Inputs!$B$23+((C2550=TRUE)*(F2550-Calc!F31))+(IF(ArtifactsInput!$M$15,CHOOSE(ArtifactsInput!$N$15+1,25,30,35,40,45,50)/100*(Inputs!$B$11-Inputs!$B$11),0))))/100+(Inputs!$B$23+((C2550=TRUE)*(F2550-Calc!F31))+(IF(ArtifactsInput!$M$15,CHOOSE(ArtifactsInput!$N$15+1,25,30,35,40,45,50)/100*(Inputs!$B$11-Inputs!$B$11),0)))/100)/2</f>
        <v/>
      </c>
      <c r="M2530">
        <f>L2530*(1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IF(B2564=0,0,O2530/B2564)</f>
        <v/>
      </c>
      <c r="Q2530">
        <f>IFERROR(1/(IF(Inputs!$B$38="pvp",15,MAX(0.1,Skills!D11-IF(TRUE=TRUE,Inputs!$B$32,0)))*(1-IF(AND(ArtifactsInput!$M$27,Inputs!$B$4="Chapter Hunt"),CHOOSE(ArtifactsInput!$N$27+1,20,24,28,32,36,40),0)/100)),0)</f>
        <v/>
      </c>
      <c r="R2530">
        <f>IF(AND(Inputs!$B$38&lt;&gt;"pvp",Inputs!$B$43&gt;0),IF(MAX(0,Inputs!$B$43-B2561)&lt;=0,0,(INT(MAX(0,Inputs!$B$43-B2561)/(IF(Inputs!$B$38="pvp",15,MAX(0.1,Skills!D11-IF(TRUE=TRUE,Inputs!$B$32,0)))*(1-IF(AND(ArtifactsInput!$M$27,Inputs!$B$4="Chapter Hunt"),CHOOSE(ArtifactsInput!$N$27+1,20,24,28,32,36,40),0)/100)))+1)),0)</f>
        <v/>
      </c>
      <c r="S2530">
        <f>IFERROR(O2530/N2530,0)</f>
        <v/>
      </c>
      <c r="T2530">
        <f>IF(C2530,(H2530*N2530*IF(AND(Inputs!$B$38&lt;&gt;"pvp",Inputs!$B$43&gt;0),((Skills!G11*((R2530-1)*IF(Skills!H11&gt;0,INT(Skills!I11/Skills!H11+0.000000001),1)+IF(Skills!H11&gt;0,INT(MIN(Skills!I11,MAX(0,MAX(0,Inputs!$B$43-B2561)-((R2530-1)*(IF(Inputs!$B$38="pvp",15,MAX(0.1,Skills!D11-IF(TRUE=TRUE,Inputs!$B$32,0)))*(1-IF(AND(ArtifactsInput!$M$27,Inputs!$B$4="Chapter Hunt"),CHOOSE(ArtifactsInput!$N$27+1,20,24,28,32,36,40),0)/100)))))/Skills!H11+0.000000001),1)))/Inputs!$B$43),G2530*Q2530)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11*((R2530-1)*IF(Skills!H11&gt;0,INT(Skills!I11/Skills!H11+0.000000001),1)+IF(Skills!H11&gt;0,INT(MIN(Skills!I11,MAX(0,MAX(0,Inputs!$B$43-B2561)-((R2530-1)*(IF(Inputs!$B$38="pvp",15,MAX(0.1,Skills!D11-IF(TRUE=TRUE,Inputs!$B$32,0)))*(1-IF(AND(ArtifactsInput!$M$27,Inputs!$B$4="Chapter Hunt"),CHOOSE(ArtifactsInput!$N$27+1,20,24,28,32,36,40),0)/100)))))/Skills!H11+0.000000001),1)))/Inputs!$B$43),G2530*Q2530))*IF(Inputs!$B$38="pvp",1,(1+(Inputs!$B$21+Skills!Q11+(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Skills!A12</f>
        <v/>
      </c>
      <c r="B2531">
        <f>Skills!B12</f>
        <v/>
      </c>
      <c r="C2531">
        <f>Inputs!$B$3&gt;=100</f>
        <v/>
      </c>
      <c r="D2531">
        <f>IF(Skills!C12=1,60+Inputs!$B$25+Inputs!$B$29,IF(Skills!C12=2,90+Inputs!$B$26+Inputs!$B$29,IF(Skills!C12=3,120+Inputs!$B$27+Inputs!$B$29,MAX(0,(Inputs!$B$3-100)*3)+Inputs!$B$28+Inputs!$B$29)))</f>
        <v/>
      </c>
      <c r="E2531">
        <f>INDEX(FactorTable!$B$2:$Y$301, MATCH(ROUND(MIN(300,MAX(1,D2531)),0), FactorTable!$A$2:$A$301,0), Skills!M12+1)</f>
        <v/>
      </c>
      <c r="F2531">
        <f>IF(Skills!N12=TRUE,(Skills!L12/10)*(E2531/1000),Skills!L12/10)+Skills!O12</f>
        <v/>
      </c>
      <c r="G2531" t="inlineStr"/>
      <c r="H2531" t="inlineStr"/>
      <c r="I2531" t="inlineStr">
        <is>
          <t>1</t>
        </is>
      </c>
      <c r="J2531" t="inlineStr"/>
      <c r="K2531" t="inlineStr"/>
      <c r="L2531" t="inlineStr"/>
      <c r="M2531" t="inlineStr"/>
      <c r="N2531" t="inlineStr"/>
      <c r="O2531" t="inlineStr"/>
      <c r="P2531" t="inlineStr"/>
      <c r="Q2531" t="inlineStr"/>
      <c r="R2531" t="inlineStr"/>
      <c r="S2531" t="inlineStr"/>
      <c r="T2531" t="inlineStr"/>
      <c r="V2531" t="inlineStr"/>
    </row>
    <row r="2532">
      <c r="A2532">
        <f>Skills!A13</f>
        <v/>
      </c>
      <c r="B2532">
        <f>Skills!B13</f>
        <v/>
      </c>
      <c r="C2532">
        <f>Inputs!$B$3&gt;=60</f>
        <v/>
      </c>
      <c r="D2532">
        <f>IF(Skills!C13=1,60+Inputs!$B$25+Inputs!$B$29,IF(Skills!C13=2,90+Inputs!$B$26+Inputs!$B$29,IF(Skills!C13=3,120+Inputs!$B$27+Inputs!$B$29,MAX(0,(Inputs!$B$3-100)*3)+Inputs!$B$28+Inputs!$B$29)))</f>
        <v/>
      </c>
      <c r="E2532">
        <f>INDEX(FactorTable!$B$2:$Y$301, MATCH(ROUND(MIN(300,MAX(1,D2532)),0), FactorTable!$A$2:$A$301,0), Skills!M13+1)</f>
        <v/>
      </c>
      <c r="F2532">
        <f>IF(Skills!N13=TRUE,(Skills!L13/10)*(E2532/1000),Skills!L13/10)+Skills!O13</f>
        <v/>
      </c>
      <c r="G2532">
        <f>Skills!G13*IF(Skills!H13&gt;0,INT(IF(Inputs!$B$38="pvp",MIN(Skills!I13,15),Skills!I13)/Skills!H13+0.000000001),1)</f>
        <v/>
      </c>
      <c r="H2532">
        <f>1-(1-Skills!J13/100)^Skills!K13</f>
        <v/>
      </c>
      <c r="I2532" t="inlineStr">
        <is>
          <t>1</t>
        </is>
      </c>
      <c r="J2532">
        <f>((Inputs!$B$6*(1+Inputs!$B$7/100))+(((Inputs!$B$12*(1+Inputs!$B$13/100))-(Inputs!$B$12*(1+Inputs!$B$13/100)))+0.25*(Inputs!$B$14-Inputs!$B$14))*(1+Inputs!$B$7/100))*(F2532/100)</f>
        <v/>
      </c>
      <c r="K2532">
        <f>J2532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2533=TRUE,F2533,0)/100)*(1+(IF(Skills!A13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2545=TRUE)*(F2545-Calc!F26)),(Inputs!$B$23+((C2550=TRUE)*(F2550-Calc!F31))+(IF(ArtifactsInput!$M$15,CHOOSE(ArtifactsInput!$N$15+1,25,30,35,40,45,50)/100*(Inputs!$B$11-Inputs!$B$11),0))))/100+(Inputs!$B$23+((C2550=TRUE)*(F2550-Calc!F31))+(IF(ArtifactsInput!$M$15,CHOOSE(ArtifactsInput!$N$15+1,25,30,35,40,45,50)/100*(Inputs!$B$11-Inputs!$B$11),0)))/100)/2</f>
        <v/>
      </c>
      <c r="M2532">
        <f>L2532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IF(B2564=0,0,O2532/B2564)</f>
        <v/>
      </c>
      <c r="Q2532">
        <f>IFERROR(1/(IF(Inputs!$B$38="pvp",15,MAX(0.1,IF(Inputs!$B$3&gt;=122,3,5)+1/(((20+30*(B2556-1)*100/150)/100)*B2556)-IF(FALSE=TRUE,Inputs!$B$32,0)))*(1-IF(AND(ArtifactsInput!$M$27,Inputs!$B$4="Chapter Hunt"),CHOOSE(ArtifactsInput!$N$27+1,20,24,28,32,36,40),0)/100)),0)</f>
        <v/>
      </c>
      <c r="R2532">
        <f>IF(AND(Inputs!$B$38&lt;&gt;"pvp",Inputs!$B$43&gt;0),IF(MAX(0,Inputs!$B$43-B2561)&lt;=0,0,(INT(MAX(0,Inputs!$B$43-B2561)/(IF(Inputs!$B$38="pvp",15,MAX(0.1,IF(Inputs!$B$3&gt;=122,3,5)+1/(((20+30*(B2556-1)*100/150)/100)*B2556)-IF(FALSE=TRUE,Inputs!$B$32,0)))*(1-IF(AND(ArtifactsInput!$M$27,Inputs!$B$4="Chapter Hunt"),CHOOSE(ArtifactsInput!$N$27+1,20,24,28,32,36,40),0)/100)))+1)),0)</f>
        <v/>
      </c>
      <c r="S2532">
        <f>IFERROR(O2532/N2532,0)</f>
        <v/>
      </c>
      <c r="T2532">
        <f>IF(C2532,(H2532*N2532*IF(AND(Inputs!$B$38&lt;&gt;"pvp",Inputs!$B$43&gt;0),((Skills!G13*((R2532-1)*IF(Skills!H13&gt;0,INT(Skills!I13/Skills!H13+0.000000001),1)+IF(Skills!H13&gt;0,INT(MIN(Skills!I13,MAX(0,MAX(0,Inputs!$B$43-B2561)-((R2532-1)*(IF(Inputs!$B$38="pvp",15,MAX(0.1,IF(Inputs!$B$3&gt;=122,3,5)+1/(((20+30*(B2556-1)*100/150)/100)*B2556)-IF(FALSE=TRUE,Inputs!$B$32,0)))*(1-IF(AND(ArtifactsInput!$M$27,Inputs!$B$4="Chapter Hunt"),CHOOSE(ArtifactsInput!$N$27+1,20,24,28,32,36,40),0)/100)))))/Skills!H13+0.000000001),1)))/Inputs!$B$43),G2532*Q2532)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13*((R2532-1)*IF(Skills!H13&gt;0,INT(Skills!I13/Skills!H13+0.000000001),1)+IF(Skills!H13&gt;0,INT(MIN(Skills!I13,MAX(0,MAX(0,Inputs!$B$43-B2561)-((R2532-1)*(IF(Inputs!$B$38="pvp",15,MAX(0.1,IF(Inputs!$B$3&gt;=122,3,5)+1/(((20+30*(B2556-1)*100/150)/100)*B2556)-IF(FALSE=TRUE,Inputs!$B$32,0)))*(1-IF(AND(ArtifactsInput!$M$27,Inputs!$B$4="Chapter Hunt"),CHOOSE(ArtifactsInput!$N$27+1,20,24,28,32,36,40),0)/100)))))/Skills!H13+0.000000001),1)))/Inputs!$B$43),G2532*Q2532))*IF(Inputs!$B$38="pvp",1,(1+(Inputs!$B$21+Skills!Q13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Skills!A14</f>
        <v/>
      </c>
      <c r="B2533">
        <f>Skills!B14</f>
        <v/>
      </c>
      <c r="C2533">
        <f>Inputs!$B$3&gt;=110</f>
        <v/>
      </c>
      <c r="D2533">
        <f>IF(Skills!C14=1,60+Inputs!$B$25+Inputs!$B$29,IF(Skills!C14=2,90+Inputs!$B$26+Inputs!$B$29,IF(Skills!C14=3,120+Inputs!$B$27+Inputs!$B$29,MAX(0,(Inputs!$B$3-100)*3)+Inputs!$B$28+Inputs!$B$29)))</f>
        <v/>
      </c>
      <c r="E2533">
        <f>INDEX(FactorTable!$B$2:$Y$301, MATCH(ROUND(MIN(300,MAX(1,D2533)),0), FactorTable!$A$2:$A$301,0), Skills!M14+1)</f>
        <v/>
      </c>
      <c r="F2533">
        <f>IF(Skills!N14=TRUE,(Skills!L14/10)*(E2533/1000),Skills!L14/10)+Skills!O14</f>
        <v/>
      </c>
      <c r="G2533" t="inlineStr"/>
      <c r="H2533" t="inlineStr"/>
      <c r="I2533" t="inlineStr">
        <is>
          <t>1</t>
        </is>
      </c>
      <c r="J2533" t="inlineStr"/>
      <c r="K2533" t="inlineStr"/>
      <c r="L2533" t="inlineStr"/>
      <c r="M2533" t="inlineStr"/>
      <c r="N2533" t="inlineStr"/>
      <c r="O2533" t="inlineStr"/>
      <c r="P2533" t="inlineStr"/>
      <c r="Q2533" t="inlineStr"/>
      <c r="R2533" t="inlineStr"/>
      <c r="S2533" t="inlineStr"/>
      <c r="T2533" t="inlineStr"/>
      <c r="V2533" t="inlineStr"/>
    </row>
    <row r="2534">
      <c r="A2534">
        <f>Skills!A15</f>
        <v/>
      </c>
      <c r="B2534">
        <f>Skills!B15</f>
        <v/>
      </c>
      <c r="C2534">
        <f>Inputs!$B$3&gt;=74</f>
        <v/>
      </c>
      <c r="D2534">
        <f>IF(Skills!C15=1,60+Inputs!$B$25+Inputs!$B$29,IF(Skills!C15=2,90+Inputs!$B$26+Inputs!$B$29,IF(Skills!C15=3,120+Inputs!$B$27+Inputs!$B$29,MAX(0,(Inputs!$B$3-100)*3)+Inputs!$B$28+Inputs!$B$29)))</f>
        <v/>
      </c>
      <c r="E2534">
        <f>INDEX(FactorTable!$B$2:$Y$301, MATCH(ROUND(MIN(300,MAX(1,D2534)),0), FactorTable!$A$2:$A$301,0), Skills!M15+1)</f>
        <v/>
      </c>
      <c r="F2534">
        <f>IF(Skills!N15=TRUE,(Skills!L15/10)*(E2534/1000),Skills!L15/10)+Skills!O15</f>
        <v/>
      </c>
      <c r="G2534">
        <f>Skills!G15*IF(Skills!H15&gt;0,INT(IF(Inputs!$B$38="pvp",MIN(Skills!I15,15),Skills!I15)/Skills!H15+0.000000001),1)</f>
        <v/>
      </c>
      <c r="H2534">
        <f>1-(1-Skills!J15/100)^Skills!K15</f>
        <v/>
      </c>
      <c r="I2534" t="inlineStr">
        <is>
          <t>1</t>
        </is>
      </c>
      <c r="J2534" t="inlineStr"/>
      <c r="K2534" t="inlineStr"/>
      <c r="L2534" t="inlineStr"/>
      <c r="M2534" t="inlineStr"/>
      <c r="N2534" t="inlineStr"/>
      <c r="O2534">
        <f>(1-Summary!$B$11)*T2534+Summary!$B$11*V2534</f>
        <v/>
      </c>
      <c r="P2534">
        <f>IF(B2564=0,0,O2534/B2564)</f>
        <v/>
      </c>
      <c r="Q2534" t="n">
        <v>0</v>
      </c>
      <c r="R2534" t="n">
        <v>0</v>
      </c>
      <c r="S2534">
        <f>IFERROR(O2534/N2534,0)</f>
        <v/>
      </c>
      <c r="T2534" t="n">
        <v>0</v>
      </c>
      <c r="V2534" t="n">
        <v>0</v>
      </c>
    </row>
    <row r="2535">
      <c r="A2535">
        <f>Skills!A16</f>
        <v/>
      </c>
      <c r="B2535">
        <f>Skills!B16</f>
        <v/>
      </c>
      <c r="C2535">
        <f>Inputs!$B$3&gt;=74</f>
        <v/>
      </c>
      <c r="D2535">
        <f>IF(Skills!C16=1,60+Inputs!$B$25+Inputs!$B$29,IF(Skills!C16=2,90+Inputs!$B$26+Inputs!$B$29,IF(Skills!C16=3,120+Inputs!$B$27+Inputs!$B$29,MAX(0,(Inputs!$B$3-100)*3)+Inputs!$B$28+Inputs!$B$29)))</f>
        <v/>
      </c>
      <c r="E2535">
        <f>INDEX(FactorTable!$B$2:$Y$301, MATCH(ROUND(MIN(300,MAX(1,D2535)),0), FactorTable!$A$2:$A$301,0), Skills!M16+1)</f>
        <v/>
      </c>
      <c r="F2535">
        <f>IF(Skills!N16=TRUE,(Skills!L16/10)*(E2535/1000),Skills!L16/10)+Skills!O16</f>
        <v/>
      </c>
      <c r="G2535">
        <f>Skills!G16*IF(Skills!H16&gt;0,INT(IF(Inputs!$B$38="pvp",MIN(Skills!I16,15),Skills!I16)/Skills!H16+0.000000001),1)</f>
        <v/>
      </c>
      <c r="H2535">
        <f>1-(1-Skills!J16/100)^Skills!K16</f>
        <v/>
      </c>
      <c r="I2535" t="inlineStr">
        <is>
          <t>1</t>
        </is>
      </c>
      <c r="J2535" t="inlineStr"/>
      <c r="K2535" t="inlineStr"/>
      <c r="L2535" t="inlineStr"/>
      <c r="M2535" t="inlineStr"/>
      <c r="N2535" t="inlineStr"/>
      <c r="O2535">
        <f>(1-Summary!$B$11)*T2535+Summary!$B$11*V2535</f>
        <v/>
      </c>
      <c r="P2535">
        <f>IF(B2564=0,0,O2535/B2564)</f>
        <v/>
      </c>
      <c r="Q2535" t="n">
        <v>0</v>
      </c>
      <c r="R2535" t="n">
        <v>0</v>
      </c>
      <c r="S2535">
        <f>IFERROR(O2535/N2535,0)</f>
        <v/>
      </c>
      <c r="T2535" t="n">
        <v>0</v>
      </c>
      <c r="V2535" t="n">
        <v>0</v>
      </c>
    </row>
    <row r="2536">
      <c r="A2536">
        <f>Skills!A17</f>
        <v/>
      </c>
      <c r="B2536">
        <f>Skills!B17</f>
        <v/>
      </c>
      <c r="C2536">
        <f>Inputs!$B$3&gt;=117</f>
        <v/>
      </c>
      <c r="D2536">
        <f>IF(Skills!C17=1,60+Inputs!$B$25+Inputs!$B$29,IF(Skills!C17=2,90+Inputs!$B$26+Inputs!$B$29,IF(Skills!C17=3,120+Inputs!$B$27+Inputs!$B$29,MAX(0,(Inputs!$B$3-100)*3)+Inputs!$B$28+Inputs!$B$29)))</f>
        <v/>
      </c>
      <c r="E2536">
        <f>INDEX(FactorTable!$B$2:$Y$301, MATCH(ROUND(MIN(300,MAX(1,D2536)),0), FactorTable!$A$2:$A$301,0), Skills!M17+1)</f>
        <v/>
      </c>
      <c r="F2536">
        <f>IF(Skills!N17=TRUE,(Skills!L17/10)*(E2536/1000),Skills!L17/10)+Skills!O17</f>
        <v/>
      </c>
      <c r="G2536">
        <f>Skills!G17*IF(Skills!H17&gt;0,INT(IF(Inputs!$B$38="pvp",MIN(Skills!I17,15),Skills!I17)/Skills!H17+0.000000001),1)</f>
        <v/>
      </c>
      <c r="H2536">
        <f>1-(1-Skills!J17/100)^Skills!K17</f>
        <v/>
      </c>
      <c r="I2536" t="inlineStr">
        <is>
          <t>1</t>
        </is>
      </c>
      <c r="J2536" t="inlineStr"/>
      <c r="K2536" t="inlineStr"/>
      <c r="L2536" t="inlineStr"/>
      <c r="M2536" t="inlineStr"/>
      <c r="N2536" t="inlineStr"/>
      <c r="O2536">
        <f>(1-Summary!$B$11)*T2536+Summary!$B$11*V2536</f>
        <v/>
      </c>
      <c r="P2536">
        <f>IF(B2564=0,0,O2536/B2564)</f>
        <v/>
      </c>
      <c r="Q2536">
        <f>IFERROR(1/(IF(Inputs!$B$38="pvp",15,MAX(0.1,Skills!D17-IF(TRUE=TRUE,Inputs!$B$32,0)))*(1-IF(AND(ArtifactsInput!$M$27,Inputs!$B$4="Chapter Hunt"),CHOOSE(ArtifactsInput!$N$27+1,20,24,28,32,36,40),0)/100)),0)</f>
        <v/>
      </c>
      <c r="R2536">
        <f>IF(AND(Inputs!$B$38&lt;&gt;"pvp",Inputs!$B$43&gt;0),IF(Inputs!$B$43&lt;=0,0,(INT(Inputs!$B$43/(IF(Inputs!$B$38="pvp",15,MAX(0.1,Skills!D17-IF(TRUE=TRUE,Inputs!$B$32,0)))*(1-IF(AND(ArtifactsInput!$M$27,Inputs!$B$4="Chapter Hunt"),CHOOSE(ArtifactsInput!$N$27+1,20,24,28,32,36,40),0)/100)))+1)),0)</f>
        <v/>
      </c>
      <c r="S2536">
        <f>IFERROR(O2536/N2536,0)</f>
        <v/>
      </c>
      <c r="T2536" t="n">
        <v>0</v>
      </c>
      <c r="V2536" t="n">
        <v>0</v>
      </c>
    </row>
    <row r="2537">
      <c r="A2537">
        <f>Skills!A18</f>
        <v/>
      </c>
      <c r="B2537">
        <f>Skills!B18</f>
        <v/>
      </c>
      <c r="C2537">
        <f>Inputs!$B$3&gt;=115</f>
        <v/>
      </c>
      <c r="D2537">
        <f>IF(Skills!C18=1,60+Inputs!$B$25+Inputs!$B$29,IF(Skills!C18=2,90+Inputs!$B$26+Inputs!$B$29,IF(Skills!C18=3,120+Inputs!$B$27+Inputs!$B$29,MAX(0,(Inputs!$B$3-100)*3)+Inputs!$B$28+Inputs!$B$29)))</f>
        <v/>
      </c>
      <c r="E2537">
        <f>INDEX(FactorTable!$B$2:$Y$301, MATCH(ROUND(MIN(300,MAX(1,D2537)),0), FactorTable!$A$2:$A$301,0), Skills!M18+1)</f>
        <v/>
      </c>
      <c r="F2537">
        <f>IF(Skills!N18=TRUE,(Skills!L18/10)*(E2537/1000),Skills!L18/10)+Skills!O18</f>
        <v/>
      </c>
      <c r="G2537">
        <f>Skills!G18*IF(Skills!H18&gt;0,INT(IF(Inputs!$B$38="pvp",MIN(Skills!I18,15),Skills!I18)/Skills!H18+0.000000001),1)</f>
        <v/>
      </c>
      <c r="H2537">
        <f>1-(1-Skills!J18/100)^Skills!K18</f>
        <v/>
      </c>
      <c r="I2537" t="inlineStr">
        <is>
          <t>1</t>
        </is>
      </c>
      <c r="J2537" t="inlineStr"/>
      <c r="K2537" t="inlineStr"/>
      <c r="L2537" t="inlineStr"/>
      <c r="M2537" t="inlineStr"/>
      <c r="N2537" t="inlineStr"/>
      <c r="O2537">
        <f>(1-Summary!$B$11)*T2537+Summary!$B$11*V2537</f>
        <v/>
      </c>
      <c r="P2537">
        <f>IF(B2564=0,0,O2537/B2564)</f>
        <v/>
      </c>
      <c r="Q2537">
        <f>IFERROR(1/(IF(Inputs!$B$38="pvp",15,MAX(0.1,Skills!D18-IF(TRUE=TRUE,Inputs!$B$32,0)))*(1-IF(AND(ArtifactsInput!$M$27,Inputs!$B$4="Chapter Hunt"),CHOOSE(ArtifactsInput!$N$27+1,20,24,28,32,36,40),0)/100)),0)</f>
        <v/>
      </c>
      <c r="R2537">
        <f>IF(AND(Inputs!$B$38&lt;&gt;"pvp",Inputs!$B$43&gt;0),IF(Inputs!$B$43&lt;=0,0,(INT(Inputs!$B$43/(IF(Inputs!$B$38="pvp",15,MAX(0.1,Skills!D18-IF(TRUE=TRUE,Inputs!$B$32,0)))*(1-IF(AND(ArtifactsInput!$M$27,Inputs!$B$4="Chapter Hunt"),CHOOSE(ArtifactsInput!$N$27+1,20,24,28,32,36,40),0)/100)))+1)),0)</f>
        <v/>
      </c>
      <c r="S2537">
        <f>IFERROR(O2537/N2537,0)</f>
        <v/>
      </c>
      <c r="T2537" t="n">
        <v>0</v>
      </c>
      <c r="V2537" t="n">
        <v>0</v>
      </c>
    </row>
    <row r="2538">
      <c r="A2538">
        <f>Skills!A19</f>
        <v/>
      </c>
      <c r="B2538">
        <f>Skills!B19</f>
        <v/>
      </c>
      <c r="C2538">
        <f>Inputs!$B$3&gt;=66</f>
        <v/>
      </c>
      <c r="D2538">
        <f>IF(Skills!C19=1,60+Inputs!$B$25+Inputs!$B$29,IF(Skills!C19=2,90+Inputs!$B$26+Inputs!$B$29,IF(Skills!C19=3,120+Inputs!$B$27+Inputs!$B$29,MAX(0,(Inputs!$B$3-100)*3)+Inputs!$B$28+Inputs!$B$29)))</f>
        <v/>
      </c>
      <c r="E2538">
        <f>INDEX(FactorTable!$B$2:$Y$301, MATCH(ROUND(MIN(300,MAX(1,D2538)),0), FactorTable!$A$2:$A$301,0), Skills!M19+1)</f>
        <v/>
      </c>
      <c r="F2538">
        <f>IF(Skills!N19=TRUE,(Skills!L19/10)*(E2538/1000),Skills!L19/10)+Skills!O19</f>
        <v/>
      </c>
      <c r="G2538">
        <f>Skills!G19*IF(Skills!H19&gt;0,INT(IF(Inputs!$B$38="pvp",MIN(Skills!I19,15),Skills!I19)/Skills!H19+0.000000001),1)</f>
        <v/>
      </c>
      <c r="H2538">
        <f>1-(1-Skills!J19/100)^Skills!K19</f>
        <v/>
      </c>
      <c r="I2538" t="inlineStr">
        <is>
          <t>1</t>
        </is>
      </c>
      <c r="J2538" t="inlineStr"/>
      <c r="K2538" t="inlineStr"/>
      <c r="L2538" t="inlineStr"/>
      <c r="M2538" t="inlineStr"/>
      <c r="N2538" t="inlineStr"/>
      <c r="O2538">
        <f>(1-Summary!$B$11)*T2538+Summary!$B$11*V2538</f>
        <v/>
      </c>
      <c r="P2538">
        <f>IF(B2564=0,0,O2538/B2564)</f>
        <v/>
      </c>
      <c r="Q2538" t="n">
        <v>0</v>
      </c>
      <c r="R2538" t="n">
        <v>0</v>
      </c>
      <c r="S2538">
        <f>IFERROR(O2538/N2538,0)</f>
        <v/>
      </c>
      <c r="T2538" t="n">
        <v>0</v>
      </c>
      <c r="V2538" t="n">
        <v>0</v>
      </c>
    </row>
    <row r="2539">
      <c r="A2539">
        <f>Skills!A20</f>
        <v/>
      </c>
      <c r="B2539">
        <f>Skills!B20</f>
        <v/>
      </c>
      <c r="C2539">
        <f>Inputs!$B$3&gt;=72</f>
        <v/>
      </c>
      <c r="D2539">
        <f>IF(Skills!C20=1,60+Inputs!$B$25+Inputs!$B$29,IF(Skills!C20=2,90+Inputs!$B$26+Inputs!$B$29,IF(Skills!C20=3,120+Inputs!$B$27+Inputs!$B$29,MAX(0,(Inputs!$B$3-100)*3)+Inputs!$B$28+Inputs!$B$29)))</f>
        <v/>
      </c>
      <c r="E2539">
        <f>INDEX(FactorTable!$B$2:$Y$301, MATCH(ROUND(MIN(300,MAX(1,D2539)),0), FactorTable!$A$2:$A$301,0), Skills!M20+1)</f>
        <v/>
      </c>
      <c r="F2539">
        <f>IF(Skills!N20=TRUE,(Skills!L20/10)*(E2539/1000),Skills!L20/10)+Skills!O20</f>
        <v/>
      </c>
      <c r="G2539">
        <f>Skills!G20*IF(Skills!H20&gt;0,INT(IF(Inputs!$B$38="pvp",MIN(Skills!I20,15),Skills!I20)/Skills!H20+0.000000001),1)</f>
        <v/>
      </c>
      <c r="H2539">
        <f>1-(1-Skills!J20/100)^Skills!K20</f>
        <v/>
      </c>
      <c r="I2539" t="inlineStr">
        <is>
          <t>1</t>
        </is>
      </c>
      <c r="J2539" t="inlineStr"/>
      <c r="K2539" t="inlineStr"/>
      <c r="L2539" t="inlineStr"/>
      <c r="M2539" t="inlineStr"/>
      <c r="N2539" t="inlineStr"/>
      <c r="O2539">
        <f>(1-Summary!$B$11)*T2539+Summary!$B$11*V2539</f>
        <v/>
      </c>
      <c r="P2539">
        <f>IF(B2564=0,0,O2539/B2564)</f>
        <v/>
      </c>
      <c r="Q2539" t="n">
        <v>0</v>
      </c>
      <c r="R2539" t="n">
        <v>0</v>
      </c>
      <c r="S2539">
        <f>IFERROR(O2539/N2539,0)</f>
        <v/>
      </c>
      <c r="T2539" t="n">
        <v>0</v>
      </c>
      <c r="V2539" t="n">
        <v>0</v>
      </c>
    </row>
    <row r="2540">
      <c r="A2540">
        <f>Skills!A21</f>
        <v/>
      </c>
      <c r="B2540">
        <f>Skills!B21</f>
        <v/>
      </c>
      <c r="C2540">
        <f>TRUE</f>
        <v/>
      </c>
      <c r="D2540">
        <f>IF(Skills!C21=1,60+Inputs!$B$25+Inputs!$B$29,IF(Skills!C21=2,90+Inputs!$B$26+Inputs!$B$29,IF(Skills!C21=3,120+Inputs!$B$27+Inputs!$B$29,MAX(0,(Inputs!$B$3-100)*3)+Inputs!$B$28+Inputs!$B$29)))</f>
        <v/>
      </c>
      <c r="E2540">
        <f>INDEX(FactorTable!$B$2:$Y$301, MATCH(ROUND(MIN(300,MAX(1,D2540)),0), FactorTable!$A$2:$A$301,0), Skills!M21+1)</f>
        <v/>
      </c>
      <c r="F2540">
        <f>IF(Skills!N21=TRUE,(Skills!L21/10)*(E2540/1000),Skills!L21/10)+Skills!O21</f>
        <v/>
      </c>
      <c r="G2540">
        <f>Skills!G21*IF(Skills!H21&gt;0,INT(IF(Inputs!$B$38="pvp",MIN(Skills!I21,15),Skills!I21)/Skills!H21+0.000000001),1)</f>
        <v/>
      </c>
      <c r="H2540">
        <f>1-(1-Skills!J21/100)^Skills!K21</f>
        <v/>
      </c>
      <c r="I2540" t="inlineStr">
        <is>
          <t>1</t>
        </is>
      </c>
      <c r="J2540" t="inlineStr"/>
      <c r="K2540" t="inlineStr"/>
      <c r="L2540" t="inlineStr"/>
      <c r="M2540" t="inlineStr"/>
      <c r="N2540" t="inlineStr"/>
      <c r="O2540">
        <f>(1-Summary!$B$11)*T2540+Summary!$B$11*V2540</f>
        <v/>
      </c>
      <c r="P2540">
        <f>IF(B2564=0,0,O2540/B2564)</f>
        <v/>
      </c>
      <c r="Q2540">
        <f>IFERROR(1/(IF(Inputs!$B$38="pvp",15,MAX(0.1,Skills!D21-IF(TRUE=TRUE,Inputs!$B$32,0)))*(1-IF(AND(ArtifactsInput!$M$27,Inputs!$B$4="Chapter Hunt"),CHOOSE(ArtifactsInput!$N$27+1,20,24,28,32,36,40),0)/100)),0)</f>
        <v/>
      </c>
      <c r="R2540">
        <f>IF(AND(Inputs!$B$38&lt;&gt;"pvp",Inputs!$B$43&gt;0),IF(Inputs!$B$43&lt;=0,0,(INT(Inputs!$B$43/(IF(Inputs!$B$38="pvp",15,MAX(0.1,Skills!D21-IF(TRUE=TRUE,Inputs!$B$32,0)))*(1-IF(AND(ArtifactsInput!$M$27,Inputs!$B$4="Chapter Hunt"),CHOOSE(ArtifactsInput!$N$27+1,20,24,28,32,36,40),0)/100)))+1)),0)</f>
        <v/>
      </c>
      <c r="S2540">
        <f>IFERROR(O2540/N2540,0)</f>
        <v/>
      </c>
      <c r="T2540" t="n">
        <v>0</v>
      </c>
      <c r="V2540" t="n">
        <v>0</v>
      </c>
    </row>
    <row r="2541">
      <c r="A2541">
        <f>Skills!A22</f>
        <v/>
      </c>
      <c r="B2541">
        <f>Skills!B22</f>
        <v/>
      </c>
      <c r="C2541">
        <f>Inputs!$B$3&gt;=15</f>
        <v/>
      </c>
      <c r="D2541">
        <f>IF(Skills!C22=1,60+Inputs!$B$25+Inputs!$B$29,IF(Skills!C22=2,90+Inputs!$B$26+Inputs!$B$29,IF(Skills!C22=3,120+Inputs!$B$27+Inputs!$B$29,MAX(0,(Inputs!$B$3-100)*3)+Inputs!$B$28+Inputs!$B$29)))</f>
        <v/>
      </c>
      <c r="E2541">
        <f>INDEX(FactorTable!$B$2:$Y$301, MATCH(ROUND(MIN(300,MAX(1,D2541)),0), FactorTable!$A$2:$A$301,0), Skills!M22+1)</f>
        <v/>
      </c>
      <c r="F2541">
        <f>IF(Skills!N22=TRUE,(Skills!L22/10)*(E2541/1000),Skills!L22/10)+Skills!O22</f>
        <v/>
      </c>
      <c r="G2541">
        <f>Skills!G22*IF(Skills!H22&gt;0,INT(IF(Inputs!$B$38="pvp",MIN(Skills!I22,15),Skills!I22)/Skills!H22+0.000000001),1)</f>
        <v/>
      </c>
      <c r="H2541">
        <f>1-(1-Skills!J22/100)^Skills!K22</f>
        <v/>
      </c>
      <c r="I2541" t="inlineStr">
        <is>
          <t>1</t>
        </is>
      </c>
      <c r="J2541" t="inlineStr"/>
      <c r="K2541" t="inlineStr"/>
      <c r="L2541" t="inlineStr"/>
      <c r="M2541" t="inlineStr"/>
      <c r="N2541" t="inlineStr"/>
      <c r="O2541">
        <f>(1-Summary!$B$11)*T2541+Summary!$B$11*V2541</f>
        <v/>
      </c>
      <c r="P2541">
        <f>IF(B2564=0,0,O2541/B2564)</f>
        <v/>
      </c>
      <c r="Q2541" t="n">
        <v>0</v>
      </c>
      <c r="R2541" t="n">
        <v>0</v>
      </c>
      <c r="S2541">
        <f>IFERROR(O2541/N2541,0)</f>
        <v/>
      </c>
      <c r="T2541" t="n">
        <v>0</v>
      </c>
      <c r="V2541" t="n">
        <v>0</v>
      </c>
    </row>
    <row r="2542">
      <c r="A2542">
        <f>Skills!A23</f>
        <v/>
      </c>
      <c r="B2542">
        <f>Skills!B23</f>
        <v/>
      </c>
      <c r="C2542">
        <f>Inputs!$B$3&gt;=10</f>
        <v/>
      </c>
      <c r="D2542">
        <f>IF(Skills!C23=1,60+Inputs!$B$25+Inputs!$B$29,IF(Skills!C23=2,90+Inputs!$B$26+Inputs!$B$29,IF(Skills!C23=3,120+Inputs!$B$27+Inputs!$B$29,MAX(0,(Inputs!$B$3-100)*3)+Inputs!$B$28+Inputs!$B$29)))</f>
        <v/>
      </c>
      <c r="E2542">
        <f>INDEX(FactorTable!$B$2:$Y$301, MATCH(ROUND(MIN(300,MAX(1,D2542)),0), FactorTable!$A$2:$A$301,0), Skills!M23+1)</f>
        <v/>
      </c>
      <c r="F2542">
        <f>IF(Skills!N23=TRUE,(Skills!L23/10)*(E2542/1000),Skills!L23/10)+Skills!O23</f>
        <v/>
      </c>
      <c r="G2542">
        <f>Skills!G23*IF(Skills!H23&gt;0,INT(IF(Inputs!$B$38="pvp",MIN(Skills!I23,15),Skills!I23)/Skills!H23+0.000000001),1)</f>
        <v/>
      </c>
      <c r="H2542">
        <f>1-(1-Skills!J23/100)^Skills!K23</f>
        <v/>
      </c>
      <c r="I2542" t="inlineStr">
        <is>
          <t>1</t>
        </is>
      </c>
      <c r="J2542" t="inlineStr"/>
      <c r="K2542" t="inlineStr"/>
      <c r="L2542" t="inlineStr"/>
      <c r="M2542" t="inlineStr"/>
      <c r="N2542" t="inlineStr"/>
      <c r="O2542">
        <f>(1-Summary!$B$11)*T2542+Summary!$B$11*V2542</f>
        <v/>
      </c>
      <c r="P2542">
        <f>IF(B2564=0,0,O2542/B2564)</f>
        <v/>
      </c>
      <c r="Q2542" t="n">
        <v>0</v>
      </c>
      <c r="R2542" t="n">
        <v>0</v>
      </c>
      <c r="S2542">
        <f>IFERROR(O2542/N2542,0)</f>
        <v/>
      </c>
      <c r="T2542" t="n">
        <v>0</v>
      </c>
      <c r="V2542" t="n">
        <v>0</v>
      </c>
    </row>
    <row r="2543">
      <c r="A2543">
        <f>Skills!A24</f>
        <v/>
      </c>
      <c r="B2543">
        <f>Skills!B24</f>
        <v/>
      </c>
      <c r="C2543">
        <f>Inputs!$B$3&gt;=33</f>
        <v/>
      </c>
      <c r="D2543">
        <f>IF(Skills!C24=1,60+Inputs!$B$25+Inputs!$B$29,IF(Skills!C24=2,90+Inputs!$B$26+Inputs!$B$29,IF(Skills!C24=3,120+Inputs!$B$27+Inputs!$B$29,MAX(0,(Inputs!$B$3-100)*3)+Inputs!$B$28+Inputs!$B$29)))</f>
        <v/>
      </c>
      <c r="E2543">
        <f>INDEX(FactorTable!$B$2:$Y$301, MATCH(ROUND(MIN(300,MAX(1,D2543)),0), FactorTable!$A$2:$A$301,0), Skills!M24+1)</f>
        <v/>
      </c>
      <c r="F2543">
        <f>IF(Skills!N24=TRUE,(Skills!L24/10)*(E2543/1000),Skills!L24/10)+Skills!O24</f>
        <v/>
      </c>
      <c r="G2543">
        <f>Skills!G24*IF(Skills!H24&gt;0,INT(IF(Inputs!$B$38="pvp",MIN(Skills!I24,15),Skills!I24)/Skills!H24+0.000000001),1)</f>
        <v/>
      </c>
      <c r="H2543">
        <f>1-(1-Skills!J24/100)^Skills!K24</f>
        <v/>
      </c>
      <c r="I2543" t="inlineStr">
        <is>
          <t>1</t>
        </is>
      </c>
      <c r="J2543" t="inlineStr"/>
      <c r="K2543" t="inlineStr"/>
      <c r="L2543" t="inlineStr"/>
      <c r="M2543" t="inlineStr"/>
      <c r="N2543" t="inlineStr"/>
      <c r="O2543">
        <f>(1-Summary!$B$11)*T2543+Summary!$B$11*V2543</f>
        <v/>
      </c>
      <c r="P2543">
        <f>IF(B2564=0,0,O2543/B2564)</f>
        <v/>
      </c>
      <c r="Q2543" t="n">
        <v>0</v>
      </c>
      <c r="R2543" t="n">
        <v>0</v>
      </c>
      <c r="S2543">
        <f>IFERROR(O2543/N2543,0)</f>
        <v/>
      </c>
      <c r="T2543" t="n">
        <v>0</v>
      </c>
      <c r="V2543" t="n">
        <v>0</v>
      </c>
    </row>
    <row r="2544">
      <c r="A2544">
        <f>Skills!A25</f>
        <v/>
      </c>
      <c r="B2544">
        <f>Skills!B25</f>
        <v/>
      </c>
      <c r="C2544">
        <f>Inputs!$B$3&gt;=38</f>
        <v/>
      </c>
      <c r="D2544">
        <f>IF(Skills!C25=1,60+Inputs!$B$25+Inputs!$B$29,IF(Skills!C25=2,90+Inputs!$B$26+Inputs!$B$29,IF(Skills!C25=3,120+Inputs!$B$27+Inputs!$B$29,MAX(0,(Inputs!$B$3-100)*3)+Inputs!$B$28+Inputs!$B$29)))</f>
        <v/>
      </c>
      <c r="E2544">
        <f>INDEX(FactorTable!$B$2:$Y$301, MATCH(ROUND(MIN(300,MAX(1,D2544)),0), FactorTable!$A$2:$A$301,0), Skills!M25+1)</f>
        <v/>
      </c>
      <c r="F2544">
        <f>IF(Skills!N25=TRUE,(Skills!L25/10)*(E2544/1000),Skills!L25/10)+Skills!O25</f>
        <v/>
      </c>
      <c r="G2544">
        <f>Skills!G25*IF(Skills!H25&gt;0,INT(IF(Inputs!$B$38="pvp",MIN(Skills!I25,15),Skills!I25)/Skills!H25+0.000000001),1)</f>
        <v/>
      </c>
      <c r="H2544">
        <f>1-(1-Skills!J25/100)^Skills!K25</f>
        <v/>
      </c>
      <c r="I2544" t="inlineStr">
        <is>
          <t>1</t>
        </is>
      </c>
      <c r="J2544" t="inlineStr"/>
      <c r="K2544" t="inlineStr"/>
      <c r="L2544" t="inlineStr"/>
      <c r="M2544" t="inlineStr"/>
      <c r="N2544" t="inlineStr"/>
      <c r="O2544">
        <f>(1-Summary!$B$11)*T2544+Summary!$B$11*V2544</f>
        <v/>
      </c>
      <c r="P2544">
        <f>IF(B2564=0,0,O2544/B2564)</f>
        <v/>
      </c>
      <c r="Q2544" t="n">
        <v>0</v>
      </c>
      <c r="R2544" t="n">
        <v>0</v>
      </c>
      <c r="S2544">
        <f>IFERROR(O2544/N2544,0)</f>
        <v/>
      </c>
      <c r="T2544" t="n">
        <v>0</v>
      </c>
      <c r="V2544" t="n">
        <v>0</v>
      </c>
    </row>
    <row r="2545">
      <c r="A2545">
        <f>Skills!A26</f>
        <v/>
      </c>
      <c r="B2545">
        <f>Skills!B26</f>
        <v/>
      </c>
      <c r="C2545">
        <f>Inputs!$B$3&gt;=43</f>
        <v/>
      </c>
      <c r="D2545">
        <f>IF(Skills!C26=1,60+Inputs!$B$25+Inputs!$B$29,IF(Skills!C26=2,90+Inputs!$B$26+Inputs!$B$29,IF(Skills!C26=3,120+Inputs!$B$27+Inputs!$B$29,MAX(0,(Inputs!$B$3-100)*3)+Inputs!$B$28+Inputs!$B$29)))</f>
        <v/>
      </c>
      <c r="E2545">
        <f>INDEX(FactorTable!$B$2:$Y$301, MATCH(ROUND(MIN(300,MAX(1,D2545)),0), FactorTable!$A$2:$A$301,0), Skills!M26+1)</f>
        <v/>
      </c>
      <c r="F2545">
        <f>IF(Skills!N26=TRUE,(Skills!L26/10)*(E2545/1000),Skills!L26/10)+Skills!O26</f>
        <v/>
      </c>
      <c r="G2545">
        <f>Skills!G26*IF(Skills!H26&gt;0,INT(IF(Inputs!$B$38="pvp",MIN(Skills!I26,15),Skills!I26)/Skills!H26+0.000000001),1)</f>
        <v/>
      </c>
      <c r="H2545">
        <f>1-(1-Skills!J26/100)^Skills!K26</f>
        <v/>
      </c>
      <c r="I2545" t="inlineStr">
        <is>
          <t>1</t>
        </is>
      </c>
      <c r="J2545" t="inlineStr"/>
      <c r="K2545" t="inlineStr"/>
      <c r="L2545" t="inlineStr"/>
      <c r="M2545" t="inlineStr"/>
      <c r="N2545" t="inlineStr"/>
      <c r="O2545">
        <f>(1-Summary!$B$11)*T2545+Summary!$B$11*V2545</f>
        <v/>
      </c>
      <c r="P2545">
        <f>IF(B2564=0,0,O2545/B2564)</f>
        <v/>
      </c>
      <c r="Q2545" t="n">
        <v>0</v>
      </c>
      <c r="R2545" t="n">
        <v>0</v>
      </c>
      <c r="S2545">
        <f>IFERROR(O2545/N2545,0)</f>
        <v/>
      </c>
      <c r="T2545" t="n">
        <v>0</v>
      </c>
      <c r="V2545" t="n">
        <v>0</v>
      </c>
    </row>
    <row r="2546">
      <c r="A2546">
        <f>Skills!A27</f>
        <v/>
      </c>
      <c r="B2546">
        <f>Skills!B27</f>
        <v/>
      </c>
      <c r="C2546">
        <f>Inputs!$B$3&gt;=75</f>
        <v/>
      </c>
      <c r="D2546">
        <f>IF(Skills!C27=1,60+Inputs!$B$25+Inputs!$B$29,IF(Skills!C27=2,90+Inputs!$B$26+Inputs!$B$29,IF(Skills!C27=3,120+Inputs!$B$27+Inputs!$B$29,MAX(0,(Inputs!$B$3-100)*3)+Inputs!$B$28+Inputs!$B$29)))</f>
        <v/>
      </c>
      <c r="E2546">
        <f>INDEX(FactorTable!$B$2:$Y$301, MATCH(ROUND(MIN(300,MAX(1,D2546)),0), FactorTable!$A$2:$A$301,0), Skills!M27+1)</f>
        <v/>
      </c>
      <c r="F2546">
        <f>IF(Skills!N27=TRUE,(Skills!L27/10)*(E2546/1000),Skills!L27/10)+Skills!O27</f>
        <v/>
      </c>
      <c r="G2546">
        <f>Skills!G27*IF(Skills!H27&gt;0,INT(IF(Inputs!$B$38="pvp",MIN(Skills!I27,15),Skills!I27)/Skills!H27+0.000000001),1)</f>
        <v/>
      </c>
      <c r="H2546">
        <f>1-(1-Skills!J27/100)^Skills!K27</f>
        <v/>
      </c>
      <c r="I2546" t="inlineStr">
        <is>
          <t>1</t>
        </is>
      </c>
      <c r="J2546" t="inlineStr"/>
      <c r="K2546" t="inlineStr"/>
      <c r="L2546" t="inlineStr"/>
      <c r="M2546" t="inlineStr"/>
      <c r="N2546" t="inlineStr"/>
      <c r="O2546">
        <f>(1-Summary!$B$11)*T2546+Summary!$B$11*V2546</f>
        <v/>
      </c>
      <c r="P2546">
        <f>IF(B2564=0,0,O2546/B2564)</f>
        <v/>
      </c>
      <c r="Q2546" t="n">
        <v>0</v>
      </c>
      <c r="R2546" t="n">
        <v>0</v>
      </c>
      <c r="S2546">
        <f>IFERROR(O2546/N2546,0)</f>
        <v/>
      </c>
      <c r="T2546" t="n">
        <v>0</v>
      </c>
      <c r="V2546" t="n">
        <v>0</v>
      </c>
    </row>
    <row r="2547">
      <c r="A2547">
        <f>Skills!A28</f>
        <v/>
      </c>
      <c r="B2547">
        <f>Skills!B28</f>
        <v/>
      </c>
      <c r="C2547">
        <f>Inputs!$B$3&gt;=125</f>
        <v/>
      </c>
      <c r="D2547">
        <f>IF(Skills!C28=1,60+Inputs!$B$25+Inputs!$B$29,IF(Skills!C28=2,90+Inputs!$B$26+Inputs!$B$29,IF(Skills!C28=3,120+Inputs!$B$27+Inputs!$B$29,MAX(0,(Inputs!$B$3-100)*3)+Inputs!$B$28+Inputs!$B$29)))</f>
        <v/>
      </c>
      <c r="E2547">
        <f>INDEX(FactorTable!$B$2:$Y$301, MATCH(ROUND(MIN(300,MAX(1,D2547)),0), FactorTable!$A$2:$A$301,0), Skills!M28+1)</f>
        <v/>
      </c>
      <c r="F2547">
        <f>IF(Skills!N28=TRUE,(Skills!L28/10)*(E2547/1000),Skills!L28/10)+Skills!O28</f>
        <v/>
      </c>
      <c r="G2547">
        <f>Skills!G28*IF(Skills!H28&gt;0,INT(IF(Inputs!$B$38="pvp",MIN(Skills!I28,15),Skills!I28)/Skills!H28+0.000000001),1)</f>
        <v/>
      </c>
      <c r="H2547">
        <f>1-(1-Skills!J28/100)^Skills!K28</f>
        <v/>
      </c>
      <c r="I2547" t="inlineStr">
        <is>
          <t>1</t>
        </is>
      </c>
      <c r="J2547" t="inlineStr"/>
      <c r="K2547" t="inlineStr"/>
      <c r="L2547" t="inlineStr"/>
      <c r="M2547" t="inlineStr"/>
      <c r="N2547" t="inlineStr"/>
      <c r="O2547">
        <f>(1-Summary!$B$11)*T2547+Summary!$B$11*V2547</f>
        <v/>
      </c>
      <c r="P2547">
        <f>IF(B2564=0,0,O2547/B2564)</f>
        <v/>
      </c>
      <c r="Q2547" t="n">
        <v>0</v>
      </c>
      <c r="R2547" t="n">
        <v>0</v>
      </c>
      <c r="S2547">
        <f>IFERROR(O2547/N2547,0)</f>
        <v/>
      </c>
      <c r="T2547" t="n">
        <v>0</v>
      </c>
      <c r="V2547" t="n">
        <v>0</v>
      </c>
    </row>
    <row r="2548">
      <c r="A2548">
        <f>Skills!A29</f>
        <v/>
      </c>
      <c r="B2548">
        <f>Skills!B29</f>
        <v/>
      </c>
      <c r="C2548">
        <f>Inputs!$B$3&gt;=125</f>
        <v/>
      </c>
      <c r="D2548">
        <f>IF(Skills!C29=1,60+Inputs!$B$25+Inputs!$B$29,IF(Skills!C29=2,90+Inputs!$B$26+Inputs!$B$29,IF(Skills!C29=3,120+Inputs!$B$27+Inputs!$B$29,MAX(0,(Inputs!$B$3-100)*3)+Inputs!$B$28+Inputs!$B$29)))</f>
        <v/>
      </c>
      <c r="E2548">
        <f>INDEX(FactorTable!$B$2:$Y$301, MATCH(ROUND(MIN(300,MAX(1,D2548)),0), FactorTable!$A$2:$A$301,0), Skills!M29+1)</f>
        <v/>
      </c>
      <c r="F2548">
        <f>IF(Skills!N29=TRUE,(Skills!L29/10)*(E2548/1000),Skills!L29/10)+Skills!O29</f>
        <v/>
      </c>
      <c r="G2548">
        <f>Skills!G29*IF(Skills!H29&gt;0,INT(IF(Inputs!$B$38="pvp",MIN(Skills!I29,15),Skills!I29)/Skills!H29+0.000000001),1)</f>
        <v/>
      </c>
      <c r="H2548">
        <f>1-(1-Skills!J29/100)^Skills!K29</f>
        <v/>
      </c>
      <c r="I2548" t="inlineStr">
        <is>
          <t>1</t>
        </is>
      </c>
      <c r="J2548" t="inlineStr"/>
      <c r="K2548" t="inlineStr"/>
      <c r="L2548" t="inlineStr"/>
      <c r="M2548" t="inlineStr"/>
      <c r="N2548" t="inlineStr"/>
      <c r="O2548">
        <f>(1-Summary!$B$11)*T2548+Summary!$B$11*V2548</f>
        <v/>
      </c>
      <c r="P2548">
        <f>IF(B2564=0,0,O2548/B2564)</f>
        <v/>
      </c>
      <c r="Q2548" t="n">
        <v>0</v>
      </c>
      <c r="R2548" t="n">
        <v>0</v>
      </c>
      <c r="S2548">
        <f>IFERROR(O2548/N2548,0)</f>
        <v/>
      </c>
      <c r="T2548" t="n">
        <v>0</v>
      </c>
      <c r="V2548" t="n">
        <v>0</v>
      </c>
    </row>
    <row r="2549">
      <c r="A2549">
        <f>Skills!A30</f>
        <v/>
      </c>
      <c r="B2549">
        <f>Skills!B30</f>
        <v/>
      </c>
      <c r="C2549">
        <f>Inputs!$B$3&gt;=120</f>
        <v/>
      </c>
      <c r="D2549">
        <f>IF(Skills!C30=1,60+Inputs!$B$25+Inputs!$B$29,IF(Skills!C30=2,90+Inputs!$B$26+Inputs!$B$29,IF(Skills!C30=3,120+Inputs!$B$27+Inputs!$B$29,MAX(0,(Inputs!$B$3-100)*3)+Inputs!$B$28+Inputs!$B$29)))</f>
        <v/>
      </c>
      <c r="E2549">
        <f>INDEX(FactorTable!$B$2:$Y$301, MATCH(ROUND(MIN(300,MAX(1,D2549)),0), FactorTable!$A$2:$A$301,0), Skills!M30+1)</f>
        <v/>
      </c>
      <c r="F2549">
        <f>IF(Skills!N30=TRUE,(Skills!L30/10)*(E2549/1000),Skills!L30/10)+Skills!O30</f>
        <v/>
      </c>
      <c r="G2549">
        <f>Skills!G30*IF(Skills!H30&gt;0,INT(IF(Inputs!$B$38="pvp",MIN(Skills!I30,15),Skills!I30)/Skills!H30+0.000000001),1)</f>
        <v/>
      </c>
      <c r="H2549">
        <f>1-(1-Skills!J30/100)^Skills!K30</f>
        <v/>
      </c>
      <c r="I2549" t="inlineStr">
        <is>
          <t>1</t>
        </is>
      </c>
      <c r="J2549" t="inlineStr"/>
      <c r="K2549" t="inlineStr"/>
      <c r="L2549" t="inlineStr"/>
      <c r="M2549" t="inlineStr"/>
      <c r="N2549" t="inlineStr"/>
      <c r="O2549">
        <f>(1-Summary!$B$11)*T2549+Summary!$B$11*V2549</f>
        <v/>
      </c>
      <c r="P2549">
        <f>IF(B2564=0,0,O2549/B2564)</f>
        <v/>
      </c>
      <c r="Q2549" t="n">
        <v>0</v>
      </c>
      <c r="R2549" t="n">
        <v>0</v>
      </c>
      <c r="S2549">
        <f>IFERROR(O2549/N2549,0)</f>
        <v/>
      </c>
      <c r="T2549" t="n">
        <v>0</v>
      </c>
      <c r="V2549" t="n">
        <v>0</v>
      </c>
    </row>
    <row r="2550">
      <c r="A2550">
        <f>Skills!A31</f>
        <v/>
      </c>
      <c r="B2550">
        <f>Skills!B31</f>
        <v/>
      </c>
      <c r="C2550">
        <f>Inputs!$B$3&gt;=120</f>
        <v/>
      </c>
      <c r="D2550">
        <f>IF(Skills!C31=1,60+Inputs!$B$25+Inputs!$B$29,IF(Skills!C31=2,90+Inputs!$B$26+Inputs!$B$29,IF(Skills!C31=3,120+Inputs!$B$27+Inputs!$B$29,MAX(0,(Inputs!$B$3-100)*3)+Inputs!$B$28+Inputs!$B$29)))</f>
        <v/>
      </c>
      <c r="E2550">
        <f>INDEX(FactorTable!$B$2:$Y$301, MATCH(ROUND(MIN(300,MAX(1,D2550)),0), FactorTable!$A$2:$A$301,0), Skills!M31+1)</f>
        <v/>
      </c>
      <c r="F2550">
        <f>IF(Skills!N31=TRUE,(Skills!L31/10)*(E2550/1000),Skills!L31/10)+Skills!O31</f>
        <v/>
      </c>
      <c r="G2550">
        <f>Skills!G31*IF(Skills!H31&gt;0,INT(IF(Inputs!$B$38="pvp",MIN(Skills!I31,15),Skills!I31)/Skills!H31+0.000000001),1)</f>
        <v/>
      </c>
      <c r="H2550">
        <f>1-(1-Skills!J31/100)^Skills!K31</f>
        <v/>
      </c>
      <c r="I2550" t="inlineStr">
        <is>
          <t>1</t>
        </is>
      </c>
      <c r="J2550" t="inlineStr"/>
      <c r="K2550" t="inlineStr"/>
      <c r="L2550" t="inlineStr"/>
      <c r="M2550" t="inlineStr"/>
      <c r="N2550" t="inlineStr"/>
      <c r="O2550">
        <f>(1-Summary!$B$11)*T2550+Summary!$B$11*V2550</f>
        <v/>
      </c>
      <c r="P2550">
        <f>IF(B2564=0,0,O2550/B2564)</f>
        <v/>
      </c>
      <c r="Q2550" t="n">
        <v>0</v>
      </c>
      <c r="R2550" t="n">
        <v>0</v>
      </c>
      <c r="S2550">
        <f>IFERROR(O2550/N2550,0)</f>
        <v/>
      </c>
      <c r="T2550" t="n">
        <v>0</v>
      </c>
      <c r="V2550" t="n">
        <v>0</v>
      </c>
    </row>
    <row r="2551">
      <c r="A2551">
        <f>Skills!A32</f>
        <v/>
      </c>
      <c r="B2551">
        <f>Skills!B32</f>
        <v/>
      </c>
      <c r="C2551">
        <f>Inputs!$B$3&gt;=45</f>
        <v/>
      </c>
      <c r="D2551">
        <f>IF(Skills!C32=1,60+Inputs!$B$25+Inputs!$B$29,IF(Skills!C32=2,90+Inputs!$B$26+Inputs!$B$29,IF(Skills!C32=3,120+Inputs!$B$27+Inputs!$B$29,MAX(0,(Inputs!$B$3-100)*3)+Inputs!$B$28+Inputs!$B$29)))</f>
        <v/>
      </c>
      <c r="E2551">
        <f>INDEX(FactorTable!$B$2:$Y$301, MATCH(ROUND(MIN(300,MAX(1,D2551)),0), FactorTable!$A$2:$A$301,0), Skills!M32+1)</f>
        <v/>
      </c>
      <c r="F2551">
        <f>IF(Skills!N32=TRUE,(Skills!L32/10)*(E2551/1000),Skills!L32/10)+Skills!O32</f>
        <v/>
      </c>
      <c r="G2551">
        <f>Skills!G32*IF(Skills!H32&gt;0,INT(IF(Inputs!$B$38="pvp",MIN(Skills!I32,15),Skills!I32)/Skills!H32+0.000000001),1)</f>
        <v/>
      </c>
      <c r="H2551">
        <f>1-(1-Skills!J32/100)^Skills!K32</f>
        <v/>
      </c>
      <c r="I2551" t="inlineStr">
        <is>
          <t>1</t>
        </is>
      </c>
      <c r="J2551" t="inlineStr"/>
      <c r="K2551" t="inlineStr"/>
      <c r="L2551" t="inlineStr"/>
      <c r="M2551" t="inlineStr"/>
      <c r="N2551" t="inlineStr"/>
      <c r="O2551">
        <f>(1-Summary!$B$11)*T2551+Summary!$B$11*V2551</f>
        <v/>
      </c>
      <c r="P2551">
        <f>IF(B2564=0,0,O2551/B2564)</f>
        <v/>
      </c>
      <c r="Q2551" t="n">
        <v>0</v>
      </c>
      <c r="R2551" t="n">
        <v>0</v>
      </c>
      <c r="S2551">
        <f>IFERROR(O2551/N2551,0)</f>
        <v/>
      </c>
      <c r="T2551" t="n">
        <v>0</v>
      </c>
      <c r="V2551" t="n">
        <v>0</v>
      </c>
    </row>
    <row r="2553">
      <c r="A2553" t="inlineStr">
        <is>
          <t>Attack% Bucket Multiplier</t>
        </is>
      </c>
      <c r="B2553">
        <f>(1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4">
      <c r="A2554" t="inlineStr">
        <is>
          <t>Global Crit Rate Bonus %</t>
        </is>
      </c>
      <c r="B2554" t="n">
        <v>0</v>
      </c>
    </row>
    <row r="2555">
      <c r="A2555" t="inlineStr">
        <is>
          <t>Attack Speed Buff Bonus %</t>
        </is>
      </c>
      <c r="B2555">
        <f>((C2540=TRUE)*F2540*IF(AND(Inputs!$B$38&lt;&gt;"pvp",Inputs!$B$43&gt;0),(((R2540-1)*MIN((Skills!T21*(1+Inputs!$B$34/100)),(1/Q2540))+MIN((Skills!T21*(1+Inputs!$B$34/100)),MAX(0,Inputs!$B$43-((R2540-1)*(1/Q2540)))))/Inputs!$B$43),IF(Inputs!$B$38="pvp",MIN((Skills!T21*(1+Inputs!$B$34/100)),15)/15,MIN(1,(Skills!T21*(1+Inputs!$B$34/100))/(1/Q2540)))))</f>
        <v/>
      </c>
    </row>
    <row r="2556">
      <c r="A2556" t="inlineStr">
        <is>
          <t>Actions Per Second</t>
        </is>
      </c>
      <c r="B2556">
        <f>1+MIN(150,150*(1-(1-(Inputs!$B$11+((C2542=TRUE)*(F2542-Calc!F23))+((C2543=TRUE)*(F2543-Calc!F24)))/150)*(1-B2555/150)))/100</f>
        <v/>
      </c>
    </row>
    <row r="2557">
      <c r="A2557" t="inlineStr">
        <is>
          <t>Skill + Buff Cast Rate</t>
        </is>
      </c>
      <c r="B2557">
        <f>IF(AND(Inputs!$B$38&lt;&gt;"pvp",Inputs!$B$43&gt;0),SUMPRODUCT((Skills!E2:E32=TRUE)*(C2521:C2551=TRUE)*R2521:R2551*Skills!F2:F32)/Inputs!$B$43,SUMPRODUCT((Skills!E2:E32=TRUE)*(C2521:C2551=TRUE)*Q2521:Q2551*Skills!F2:F32))</f>
        <v/>
      </c>
    </row>
    <row r="2558">
      <c r="A2558" t="inlineStr">
        <is>
          <t>Arrow Stream Casts Per Second</t>
        </is>
      </c>
      <c r="B2558">
        <f>MAX(0,B2556-B2557)</f>
        <v/>
      </c>
    </row>
    <row r="2559">
      <c r="A2559" t="inlineStr">
        <is>
          <t>Global Critical Damage Bonus % (Sharp Eyes + Concentration)</t>
        </is>
      </c>
      <c r="B2559">
        <f>(C2537=TRUE)*F2537*IF(AND(Inputs!$B$38&lt;&gt;"pvp",Inputs!$B$43&gt;0),(((R2537-1)*MIN((Skills!T18*(1+Inputs!$B$34/100)),(1/Q2537))+MIN((Skills!T18*(1+Inputs!$B$34/100)),MAX(0,Inputs!$B$43-((R2537-1)*(1/Q2537)))))/Inputs!$B$43),IF(Inputs!$B$38="pvp",MIN((Skills!T18*(1+Inputs!$B$34/100)),15)/15,MIN(1,(Skills!T18*(1+Inputs!$B$34/100))/(1/Q2537))))+(C2538=TRUE)*7*F2538</f>
        <v/>
      </c>
    </row>
    <row r="2560">
      <c r="A2560" t="inlineStr">
        <is>
          <t>Global Final Damage Bonus % (Mortal Blow)</t>
        </is>
      </c>
      <c r="B2560">
        <f>(C2539=TRUE)*F2539</f>
        <v/>
      </c>
    </row>
    <row r="2561">
      <c r="A2561" t="inlineStr">
        <is>
          <t>Buff-Casting Startup Delay (s, fixed-duration only)</t>
        </is>
      </c>
      <c r="B2561">
        <f>IF(AND(Inputs!$B$38&lt;&gt;"pvp",Inputs!$B$43&gt;0),SUMPRODUCT((Skills!T2:T32&gt;0)*(Skills!E2:E32=TRUE)*(C2521:C2551=TRUE))/B2556,0)</f>
        <v/>
      </c>
    </row>
    <row r="2562">
      <c r="A2562" t="inlineStr">
        <is>
          <t>Boss-Only Total DPS (this block's swept value)</t>
        </is>
      </c>
      <c r="B2562">
        <f>SUM(T2521:T2551)</f>
        <v/>
      </c>
    </row>
    <row r="2563">
      <c r="A2563" t="inlineStr">
        <is>
          <t>Normal-Only Total DPS (this block's swept value)</t>
        </is>
      </c>
      <c r="B2563">
        <f>SUM(V2521:V2551)</f>
        <v/>
      </c>
    </row>
    <row r="2564">
      <c r="A2564" s="6" t="inlineStr">
        <is>
          <t>TOTAL DPS</t>
        </is>
      </c>
      <c r="B2564" s="6">
        <f>SUM(O2521:O2551)</f>
        <v/>
      </c>
    </row>
    <row r="2567">
      <c r="A2567" s="6" t="inlineStr">
        <is>
          <t>Stat: Sayram's Necklace (Equip)</t>
        </is>
      </c>
    </row>
    <row r="2568">
      <c r="A2568" s="5" t="inlineStr">
        <is>
          <t>Key</t>
        </is>
      </c>
      <c r="B2568" s="5" t="inlineStr">
        <is>
          <t>Name</t>
        </is>
      </c>
      <c r="C2568" s="5" t="inlineStr">
        <is>
          <t>Unlocked</t>
        </is>
      </c>
      <c r="D2568" s="5" t="inlineStr">
        <is>
          <t>InputLevel</t>
        </is>
      </c>
      <c r="E2568" s="5" t="inlineStr">
        <is>
          <t>Factor</t>
        </is>
      </c>
      <c r="F2568" s="5" t="inlineStr">
        <is>
          <t>CoefficientPercent</t>
        </is>
      </c>
      <c r="G2568" s="5" t="inlineStr">
        <is>
          <t>EffectiveHits</t>
        </is>
      </c>
      <c r="H2568" s="5" t="inlineStr">
        <is>
          <t>ProcProbability</t>
        </is>
      </c>
      <c r="I2568" s="5" t="inlineStr">
        <is>
          <t>MapleHeroMultiplier</t>
        </is>
      </c>
      <c r="J2568" s="5" t="inlineStr">
        <is>
          <t>BaseDamage</t>
        </is>
      </c>
      <c r="K2568" s="5" t="inlineStr">
        <is>
          <t>BaseHitDamage</t>
        </is>
      </c>
      <c r="L2568" s="5" t="inlineStr">
        <is>
          <t>NonCritAvg</t>
        </is>
      </c>
      <c r="M2568" s="5" t="inlineStr">
        <is>
          <t>CritAvg</t>
        </is>
      </c>
      <c r="N2568" s="5" t="inlineStr">
        <is>
          <t>ExpectedDamage(perHit)</t>
        </is>
      </c>
      <c r="O2568" s="5" t="inlineStr">
        <is>
          <t>DPS</t>
        </is>
      </c>
      <c r="P2568" s="5" t="inlineStr">
        <is>
          <t>% of Total</t>
        </is>
      </c>
      <c r="Q2568" s="5" t="inlineStr">
        <is>
          <t>InvCooldown</t>
        </is>
      </c>
      <c r="R2568" s="5" t="inlineStr">
        <is>
          <t>CastsInFight</t>
        </is>
      </c>
      <c r="S2568" s="5" t="inlineStr">
        <is>
          <t>HitRate(perSec)</t>
        </is>
      </c>
      <c r="U2568" t="inlineStr">
        <is>
          <t>helpers</t>
        </is>
      </c>
    </row>
    <row r="2569">
      <c r="A2569">
        <f>Skills!A2</f>
        <v/>
      </c>
      <c r="B2569">
        <f>Skills!B2</f>
        <v/>
      </c>
      <c r="C2569">
        <f>Inputs!$B$3&gt;=100</f>
        <v/>
      </c>
      <c r="D2569" t="inlineStr"/>
      <c r="E2569" t="inlineStr"/>
      <c r="F2569">
        <f>U2571+Skills!O2</f>
        <v/>
      </c>
      <c r="G2569">
        <f>Skills!G2*IF(Skills!H2&gt;0,INT(IF(Inputs!$B$38="pvp",MIN(Skills!I2,15),Skills!I2)/Skills!H2+0.000000001),1)</f>
        <v/>
      </c>
      <c r="H2569">
        <f>1-(1-Skills!J2/100)^Skills!K2</f>
        <v/>
      </c>
      <c r="I2569" t="inlineStr">
        <is>
          <t>1</t>
        </is>
      </c>
      <c r="J2569">
        <f>((Inputs!$B$6*(1+Inputs!$B$7/100))+(((Inputs!$B$12*(1+Inputs!$B$13/100))-(Inputs!$B$12*(1+Inputs!$B$13/100)))+0.25*(Inputs!$B$14-Inputs!$B$14))*(1+Inputs!$B$7/100))*(F2569/100)</f>
        <v/>
      </c>
      <c r="K2569">
        <f>J2569*(1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2593=TRUE)*(F2593-Calc!F26)),(Inputs!$B$23+((C2598=TRUE)*(F2598-Calc!F31))+(IF(ArtifactsInput!$M$15,CHOOSE(ArtifactsInput!$N$15+1,25,30,35,40,45,50)/100*(Inputs!$B$11-Inputs!$B$11),0))))/100+(Inputs!$B$23+((C2598=TRUE)*(F2598-Calc!F31))+(IF(ArtifactsInput!$M$15,CHOOSE(ArtifactsInput!$N$15+1,25,30,35,40,45,50)/100*(Inputs!$B$11-Inputs!$B$11),0)))/100)/2</f>
        <v/>
      </c>
      <c r="M2569">
        <f>L2569*(1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IF(B2612=0,0,O2569/B2612)</f>
        <v/>
      </c>
      <c r="Q2569" t="n">
        <v>0</v>
      </c>
      <c r="R2569" t="n">
        <v>0</v>
      </c>
      <c r="S2569">
        <f>IFERROR(O2569/N2569,0)</f>
        <v/>
      </c>
      <c r="T2569">
        <f>IF(C2569,(Skills!G2*N2569*B2606)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MAX(0,(Inputs!$B$3-100)*3)+Inputs!$B$28+Inputs!$B$29</f>
        <v/>
      </c>
      <c r="V2569">
        <f>IF(C2569,(Skills!G2*N2569*B2606)*IF(Inputs!$B$38="pvp",1,(1+(Inputs!$B$21+Skills!Q2+(IF(IF(ArtifactsInput!$M$33,FALSE,TRUE),CHOOSE(ArtifactsInput!$N$33+1,30,36,42,48,54,60),0))+(IF(AND(ArtifactsInput!$M$35,Inputs!$B$4&lt;&gt;"Chapter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Skills!A3</f>
        <v/>
      </c>
      <c r="B2570">
        <f>Skills!B3</f>
        <v/>
      </c>
      <c r="C2570">
        <f>Inputs!$B$3&gt;=50</f>
        <v/>
      </c>
      <c r="D2570">
        <f>IF(Skills!C3=1,60+Inputs!$B$25+Inputs!$B$29,IF(Skills!C3=2,90+Inputs!$B$26+Inputs!$B$29,IF(Skills!C3=3,120+Inputs!$B$27+Inputs!$B$29,MAX(0,(Inputs!$B$3-100)*3)+Inputs!$B$28+Inputs!$B$29)))</f>
        <v/>
      </c>
      <c r="E2570">
        <f>INDEX(FactorTable!$B$2:$Y$301, MATCH(ROUND(MIN(300,MAX(1,D2570)),0), FactorTable!$A$2:$A$301,0), Skills!M3+1)</f>
        <v/>
      </c>
      <c r="F2570">
        <f>IF(Skills!N3=TRUE,(Skills!L3/10)*(E2570/1000),Skills!L3/10)+Skills!O3</f>
        <v/>
      </c>
      <c r="G2570">
        <f>Skills!G3*IF(Skills!H3&gt;0,INT(IF(Inputs!$B$38="pvp",MIN(Skills!I3,15),Skills!I3)/Skills!H3+0.000000001),1)</f>
        <v/>
      </c>
      <c r="H2570">
        <f>1-(1-Skills!J3/100)^Skills!K3</f>
        <v/>
      </c>
      <c r="I2570" t="inlineStr">
        <is>
          <t>1</t>
        </is>
      </c>
      <c r="J2570">
        <f>((Inputs!$B$6*(1+Inputs!$B$7/100))+(((Inputs!$B$12*(1+Inputs!$B$13/100))-(Inputs!$B$12*(1+Inputs!$B$13/100)))+0.25*(Inputs!$B$14-Inputs!$B$14))*(1+Inputs!$B$7/100))*(F2570/100)</f>
        <v/>
      </c>
      <c r="K2570">
        <f>J2570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2571=TRUE,F2571,0)/100)*(1+(IF(Skills!A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2593=TRUE)*(F2593-Calc!F26)),(Inputs!$B$23+((C2598=TRUE)*(F2598-Calc!F31))+(IF(ArtifactsInput!$M$15,CHOOSE(ArtifactsInput!$N$15+1,25,30,35,40,45,50)/100*(Inputs!$B$11-Inputs!$B$11),0))))/100+(Inputs!$B$23+((C2598=TRUE)*(F2598-Calc!F31))+(IF(ArtifactsInput!$M$15,CHOOSE(ArtifactsInput!$N$15+1,25,30,35,40,45,50)/100*(Inputs!$B$11-Inputs!$B$11),0)))/100)/2</f>
        <v/>
      </c>
      <c r="M2570">
        <f>L2570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IF(B2612=0,0,O2570/B2612)</f>
        <v/>
      </c>
      <c r="Q2570">
        <f>IFERROR(1/(IF(Inputs!$B$38="pvp",15,MAX(0.1,1/B2604-IF(FALSE=TRUE,Inputs!$B$32,0)))*(1-IF(AND(ArtifactsInput!$M$27,Inputs!$B$4="Chapter Hunt"),CHOOSE(ArtifactsInput!$N$27+1,20,24,28,32,36,40),0)/100)),0)</f>
        <v/>
      </c>
      <c r="R2570">
        <f>IF(AND(Inputs!$B$38&lt;&gt;"pvp",Inputs!$B$43&gt;0),IF(MAX(0,Inputs!$B$43-B2609)&lt;=0,0,(INT(MAX(0,Inputs!$B$43-B2609)/(IF(Inputs!$B$38="pvp",15,MAX(0.1,1/B2604-IF(FALSE=TRUE,Inputs!$B$32,0)))*(1-IF(AND(ArtifactsInput!$M$27,Inputs!$B$4="Chapter Hunt"),CHOOSE(ArtifactsInput!$N$27+1,20,24,28,32,36,40),0)/100)))+1)),0)</f>
        <v/>
      </c>
      <c r="S2570">
        <f>IFERROR(O2570/N2570,0)</f>
        <v/>
      </c>
      <c r="T2570">
        <f>IF(C2570,(H2570*N2570*IF(AND(Inputs!$B$38&lt;&gt;"pvp",Inputs!$B$43&gt;0),((Skills!G3*((R2570-1)*IF(Skills!H3&gt;0,INT(Skills!I3/Skills!H3+0.000000001),1)+IF(Skills!H3&gt;0,INT(MIN(Skills!I3,MAX(0,MAX(0,Inputs!$B$43-B2609)-((R2570-1)*(IF(Inputs!$B$38="pvp",15,MAX(0.1,1/B2604-IF(FALSE=TRUE,Inputs!$B$32,0)))*(1-IF(AND(ArtifactsInput!$M$27,Inputs!$B$4="Chapter Hunt"),CHOOSE(ArtifactsInput!$N$27+1,20,24,28,32,36,40),0)/100)))))/Skills!H3+0.000000001),1)))/Inputs!$B$43),G2570*Q2570)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INDEX(FactorTable!$B$2:$Y$301, MATCH(ROUND(MIN(300,MAX(1,U2569)),0), FactorTable!$A$2:$A$301,0), 22)</f>
        <v/>
      </c>
      <c r="V2570">
        <f>IF(C2570,(H2570*N2570*IF(AND(Inputs!$B$38&lt;&gt;"pvp",Inputs!$B$43&gt;0),((Skills!G3*((R2570-1)*IF(Skills!H3&gt;0,INT(Skills!I3/Skills!H3+0.000000001),1)+IF(Skills!H3&gt;0,INT(MIN(Skills!I3,MAX(0,MAX(0,Inputs!$B$43-B2609)-((R2570-1)*(IF(Inputs!$B$38="pvp",15,MAX(0.1,1/B2604-IF(FALSE=TRUE,Inputs!$B$32,0)))*(1-IF(AND(ArtifactsInput!$M$27,Inputs!$B$4="Chapter Hunt"),CHOOSE(ArtifactsInput!$N$27+1,20,24,28,32,36,40),0)/100)))))/Skills!H3+0.000000001),1)))/Inputs!$B$43),G2570*Q2570))*IF(Inputs!$B$38="pvp",1,(1+(Inputs!$B$21+Skills!Q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Skills!A4</f>
        <v/>
      </c>
      <c r="B2571">
        <f>Skills!B4</f>
        <v/>
      </c>
      <c r="C2571">
        <f>Inputs!$B$3&gt;=105</f>
        <v/>
      </c>
      <c r="D2571">
        <f>IF(Skills!C4=1,60+Inputs!$B$25+Inputs!$B$29,IF(Skills!C4=2,90+Inputs!$B$26+Inputs!$B$29,IF(Skills!C4=3,120+Inputs!$B$27+Inputs!$B$29,MAX(0,(Inputs!$B$3-100)*3)+Inputs!$B$28+Inputs!$B$29)))</f>
        <v/>
      </c>
      <c r="E2571">
        <f>INDEX(FactorTable!$B$2:$Y$301, MATCH(ROUND(MIN(300,MAX(1,D2571)),0), FactorTable!$A$2:$A$301,0), Skills!M4+1)</f>
        <v/>
      </c>
      <c r="F2571">
        <f>IF(Skills!N4=TRUE,(Skills!L4/10)*(E2571/1000),Skills!L4/10)+Skills!O4</f>
        <v/>
      </c>
      <c r="G2571" t="inlineStr"/>
      <c r="H2571" t="inlineStr"/>
      <c r="I2571" t="inlineStr">
        <is>
          <t>1</t>
        </is>
      </c>
      <c r="J2571" t="inlineStr"/>
      <c r="K2571" t="inlineStr"/>
      <c r="L2571" t="inlineStr"/>
      <c r="M2571" t="inlineStr"/>
      <c r="N2571" t="inlineStr"/>
      <c r="O2571" t="inlineStr"/>
      <c r="P2571" t="inlineStr"/>
      <c r="Q2571" t="inlineStr"/>
      <c r="R2571" t="inlineStr"/>
      <c r="S2571" t="inlineStr"/>
      <c r="T2571" t="inlineStr"/>
      <c r="U2571">
        <f>290*U2570/1000</f>
        <v/>
      </c>
      <c r="V2571" t="inlineStr"/>
    </row>
    <row r="2572">
      <c r="A2572">
        <f>Skills!A5</f>
        <v/>
      </c>
      <c r="B2572">
        <f>Skills!B5</f>
        <v/>
      </c>
      <c r="C2572">
        <f>Inputs!$B$3&gt;=35</f>
        <v/>
      </c>
      <c r="D2572">
        <f>IF(Skills!C5=1,60+Inputs!$B$25+Inputs!$B$29,IF(Skills!C5=2,90+Inputs!$B$26+Inputs!$B$29,IF(Skills!C5=3,120+Inputs!$B$27+Inputs!$B$29,MAX(0,(Inputs!$B$3-100)*3)+Inputs!$B$28+Inputs!$B$29)))</f>
        <v/>
      </c>
      <c r="E2572">
        <f>INDEX(FactorTable!$B$2:$Y$301, MATCH(ROUND(MIN(300,MAX(1,D2572)),0), FactorTable!$A$2:$A$301,0), Skills!M5+1)</f>
        <v/>
      </c>
      <c r="F2572">
        <f>IF(Skills!N5=TRUE,(Skills!L5/10)*(E2572/1000),Skills!L5/10)+Skills!O5</f>
        <v/>
      </c>
      <c r="G2572">
        <f>Skills!G5*IF(Skills!H5&gt;0,INT(IF(Inputs!$B$38="pvp",MIN(Skills!I5,15),Skills!I5)/Skills!H5+0.000000001),1)</f>
        <v/>
      </c>
      <c r="H2572">
        <f>1-(1-Skills!J5/100)^Skills!K5</f>
        <v/>
      </c>
      <c r="I2572" t="inlineStr">
        <is>
          <t>1</t>
        </is>
      </c>
      <c r="J2572">
        <f>((Inputs!$B$6*(1+Inputs!$B$7/100))+(((Inputs!$B$12*(1+Inputs!$B$13/100))-(Inputs!$B$12*(1+Inputs!$B$13/100)))+0.25*(Inputs!$B$14-Inputs!$B$14))*(1+Inputs!$B$7/100))*(F2572/100)</f>
        <v/>
      </c>
      <c r="K2572">
        <f>J2572*(1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2579=TRUE,F2579,0)/100)*(1+(IF(Skills!A5="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2593=TRUE)*(F2593-Calc!F26)),(Inputs!$B$23+((C2598=TRUE)*(F2598-Calc!F31))+(IF(ArtifactsInput!$M$15,CHOOSE(ArtifactsInput!$N$15+1,25,30,35,40,45,50)/100*(Inputs!$B$11-Inputs!$B$11),0))))/100+(Inputs!$B$23+((C2598=TRUE)*(F2598-Calc!F31))+(IF(ArtifactsInput!$M$15,CHOOSE(ArtifactsInput!$N$15+1,25,30,35,40,45,50)/100*(Inputs!$B$11-Inputs!$B$11),0)))/100)/2</f>
        <v/>
      </c>
      <c r="M2572">
        <f>L2572*(1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IF(B2612=0,0,O2572/B2612)</f>
        <v/>
      </c>
      <c r="Q2572">
        <f>IFERROR(1/(IF(Inputs!$B$38="pvp",15,MAX(0.1,Skills!D5-IF(TRUE=TRUE,Inputs!$B$32,0)))*(1-IF(AND(ArtifactsInput!$M$27,Inputs!$B$4="Chapter Hunt"),CHOOSE(ArtifactsInput!$N$27+1,20,24,28,32,36,40),0)/100)),0)</f>
        <v/>
      </c>
      <c r="R2572">
        <f>IF(AND(Inputs!$B$38&lt;&gt;"pvp",Inputs!$B$43&gt;0),IF(MAX(0,Inputs!$B$43-B2609)&lt;=0,0,(INT(MAX(0,Inputs!$B$43-B2609)/(IF(Inputs!$B$38="pvp",15,MAX(0.1,Skills!D5-IF(TRUE=TRUE,Inputs!$B$32,0)))*(1-IF(AND(ArtifactsInput!$M$27,Inputs!$B$4="Chapter Hunt"),CHOOSE(ArtifactsInput!$N$27+1,20,24,28,32,36,40),0)/100)))+1)),0)</f>
        <v/>
      </c>
      <c r="S2572">
        <f>IFERROR(O2572/N2572,0)</f>
        <v/>
      </c>
      <c r="T2572">
        <f>IF(C2572,(H2572*N2572*IF(AND(Inputs!$B$38&lt;&gt;"pvp",Inputs!$B$43&gt;0),((Skills!G5*((R2572-1)*IF(Skills!H5&gt;0,INT(Skills!I5/Skills!H5+0.000000001),1)+IF(Skills!H5&gt;0,INT(MIN(Skills!I5,MAX(0,MAX(0,Inputs!$B$43-B2609)-((R2572-1)*(IF(Inputs!$B$38="pvp",15,MAX(0.1,Skills!D5-IF(TRUE=TRUE,Inputs!$B$32,0)))*(1-IF(AND(ArtifactsInput!$M$27,Inputs!$B$4="Chapter Hunt"),CHOOSE(ArtifactsInput!$N$27+1,20,24,28,32,36,40),0)/100)))))/Skills!H5+0.000000001),1)))/Inputs!$B$43),G2572*Q2572)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5*((R2572-1)*IF(Skills!H5&gt;0,INT(Skills!I5/Skills!H5+0.000000001),1)+IF(Skills!H5&gt;0,INT(MIN(Skills!I5,MAX(0,MAX(0,Inputs!$B$43-B2609)-((R2572-1)*(IF(Inputs!$B$38="pvp",15,MAX(0.1,Skills!D5-IF(TRUE=TRUE,Inputs!$B$32,0)))*(1-IF(AND(ArtifactsInput!$M$27,Inputs!$B$4="Chapter Hunt"),CHOOSE(ArtifactsInput!$N$27+1,20,24,28,32,36,40),0)/100)))))/Skills!H5+0.000000001),1)))/Inputs!$B$43),G2572*Q2572))*IF(Inputs!$B$38="pvp",1,(1+(Inputs!$B$21+Skills!Q5+(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Skills!A6</f>
        <v/>
      </c>
      <c r="B2573">
        <f>Skills!B6</f>
        <v/>
      </c>
      <c r="C2573">
        <f>Inputs!$B$3&gt;=40</f>
        <v/>
      </c>
      <c r="D2573">
        <f>IF(Skills!C6=1,60+Inputs!$B$25+Inputs!$B$29,IF(Skills!C6=2,90+Inputs!$B$26+Inputs!$B$29,IF(Skills!C6=3,120+Inputs!$B$27+Inputs!$B$29,MAX(0,(Inputs!$B$3-100)*3)+Inputs!$B$28+Inputs!$B$29)))</f>
        <v/>
      </c>
      <c r="E2573">
        <f>INDEX(FactorTable!$B$2:$Y$301, MATCH(ROUND(MIN(300,MAX(1,D2573)),0), FactorTable!$A$2:$A$301,0), Skills!M6+1)</f>
        <v/>
      </c>
      <c r="F2573">
        <f>IF(Skills!N6=TRUE,(Skills!L6/10)*(E2573/1000),Skills!L6/10)+Skills!O6</f>
        <v/>
      </c>
      <c r="G2573">
        <f>Skills!G6*IF(Skills!H6&gt;0,INT(IF(Inputs!$B$38="pvp",MIN(Skills!I6,15),Skills!I6)/Skills!H6+0.000000001),1)</f>
        <v/>
      </c>
      <c r="H2573">
        <f>1-(1-Skills!J6/100)^Skills!K6</f>
        <v/>
      </c>
      <c r="I2573" t="inlineStr">
        <is>
          <t>1</t>
        </is>
      </c>
      <c r="J2573">
        <f>((Inputs!$B$6*(1+Inputs!$B$7/100))+(((Inputs!$B$12*(1+Inputs!$B$13/100))-(Inputs!$B$12*(1+Inputs!$B$13/100)))+0.25*(Inputs!$B$14-Inputs!$B$14))*(1+Inputs!$B$7/100))*(F2573/100)</f>
        <v/>
      </c>
      <c r="K2573">
        <f>J2573*(1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2574=TRUE,F2574,0)/100)*(1+(IF(Skills!A6="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2593=TRUE)*(F2593-Calc!F26)),(Inputs!$B$23+((C2598=TRUE)*(F2598-Calc!F31))+(IF(ArtifactsInput!$M$15,CHOOSE(ArtifactsInput!$N$15+1,25,30,35,40,45,50)/100*(Inputs!$B$11-Inputs!$B$11),0))))/100+(Inputs!$B$23+((C2598=TRUE)*(F2598-Calc!F31))+(IF(ArtifactsInput!$M$15,CHOOSE(ArtifactsInput!$N$15+1,25,30,35,40,45,50)/100*(Inputs!$B$11-Inputs!$B$11),0)))/100)/2</f>
        <v/>
      </c>
      <c r="M2573">
        <f>L2573*(1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IF(B2612=0,0,O2573/B2612)</f>
        <v/>
      </c>
      <c r="Q2573">
        <f>IFERROR(1/(IF(Inputs!$B$38="pvp",15,MAX(0.1,1-0.4*MIN(1,(B2604-1)/1.5)-IF(FALSE=TRUE,Inputs!$B$32,0)))*(1-IF(AND(ArtifactsInput!$M$27,Inputs!$B$4="Chapter Hunt"),CHOOSE(ArtifactsInput!$N$27+1,20,24,28,32,36,40),0)/100)),0)</f>
        <v/>
      </c>
      <c r="R2573">
        <f>IF(AND(Inputs!$B$38&lt;&gt;"pvp",Inputs!$B$43&gt;0),IF(MAX(0,Inputs!$B$43-B2609)&lt;=0,0,(INT(MAX(0,Inputs!$B$43-B2609)/(IF(Inputs!$B$38="pvp",15,MAX(0.1,1-0.4*MIN(1,(B2604-1)/1.5)-IF(FALSE=TRUE,Inputs!$B$32,0)))*(1-IF(AND(ArtifactsInput!$M$27,Inputs!$B$4="Chapter Hunt"),CHOOSE(ArtifactsInput!$N$27+1,20,24,28,32,36,40),0)/100)))+1)),0)</f>
        <v/>
      </c>
      <c r="S2573">
        <f>IFERROR(O2573/N2573,0)</f>
        <v/>
      </c>
      <c r="T2573">
        <f>IF(C2573,(H2573*N2573*IF(AND(Inputs!$B$38&lt;&gt;"pvp",Inputs!$B$43&gt;0),((Skills!G6*((R2573-1)*IF(Skills!H6&gt;0,INT(Skills!I6/Skills!H6+0.000000001),1)+IF(Skills!H6&gt;0,INT(MIN(Skills!I6,MAX(0,MAX(0,Inputs!$B$43-B2609)-((R2573-1)*(IF(Inputs!$B$38="pvp",15,MAX(0.1,1-0.4*MIN(1,(B2604-1)/1.5)-IF(FALSE=TRUE,Inputs!$B$32,0)))*(1-IF(AND(ArtifactsInput!$M$27,Inputs!$B$4="Chapter Hunt"),CHOOSE(ArtifactsInput!$N$27+1,20,24,28,32,36,40),0)/100)))))/Skills!H6+0.000000001),1)))/Inputs!$B$43),G2573*Q2573)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6*((R2573-1)*IF(Skills!H6&gt;0,INT(Skills!I6/Skills!H6+0.000000001),1)+IF(Skills!H6&gt;0,INT(MIN(Skills!I6,MAX(0,MAX(0,Inputs!$B$43-B2609)-((R2573-1)*(IF(Inputs!$B$38="pvp",15,MAX(0.1,1-0.4*MIN(1,(B2604-1)/1.5)-IF(FALSE=TRUE,Inputs!$B$32,0)))*(1-IF(AND(ArtifactsInput!$M$27,Inputs!$B$4="Chapter Hunt"),CHOOSE(ArtifactsInput!$N$27+1,20,24,28,32,36,40),0)/100)))))/Skills!H6+0.000000001),1)))/Inputs!$B$43),G2573*Q2573))*IF(Inputs!$B$38="pvp",1,(1+(Inputs!$B$21+Skills!Q6+(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Skills!A7</f>
        <v/>
      </c>
      <c r="B2574">
        <f>Skills!B7</f>
        <v/>
      </c>
      <c r="C2574">
        <f>Inputs!$B$3&gt;=107</f>
        <v/>
      </c>
      <c r="D2574">
        <f>IF(Skills!C7=1,60+Inputs!$B$25+Inputs!$B$29,IF(Skills!C7=2,90+Inputs!$B$26+Inputs!$B$29,IF(Skills!C7=3,120+Inputs!$B$27+Inputs!$B$29,MAX(0,(Inputs!$B$3-100)*3)+Inputs!$B$28+Inputs!$B$29)))</f>
        <v/>
      </c>
      <c r="E2574">
        <f>INDEX(FactorTable!$B$2:$Y$301, MATCH(ROUND(MIN(300,MAX(1,D2574)),0), FactorTable!$A$2:$A$301,0), Skills!M7+1)</f>
        <v/>
      </c>
      <c r="F2574">
        <f>IF(Skills!N7=TRUE,(Skills!L7/10)*(E2574/1000),Skills!L7/10)+Skills!O7</f>
        <v/>
      </c>
      <c r="G2574" t="inlineStr"/>
      <c r="H2574" t="inlineStr"/>
      <c r="I2574" t="inlineStr">
        <is>
          <t>1</t>
        </is>
      </c>
      <c r="J2574" t="inlineStr"/>
      <c r="K2574" t="inlineStr"/>
      <c r="L2574" t="inlineStr"/>
      <c r="M2574" t="inlineStr"/>
      <c r="N2574" t="inlineStr"/>
      <c r="O2574" t="inlineStr"/>
      <c r="P2574" t="inlineStr"/>
      <c r="Q2574" t="inlineStr"/>
      <c r="R2574" t="inlineStr"/>
      <c r="S2574" t="inlineStr"/>
      <c r="T2574" t="inlineStr"/>
      <c r="V2574" t="inlineStr"/>
    </row>
    <row r="2575">
      <c r="A2575">
        <f>Skills!A8</f>
        <v/>
      </c>
      <c r="B2575">
        <f>Skills!B8</f>
        <v/>
      </c>
      <c r="C2575">
        <f>Inputs!$B$3&gt;=130</f>
        <v/>
      </c>
      <c r="D2575">
        <f>IF(Skills!C8=1,60+Inputs!$B$25+Inputs!$B$29,IF(Skills!C8=2,90+Inputs!$B$26+Inputs!$B$29,IF(Skills!C8=3,120+Inputs!$B$27+Inputs!$B$29,MAX(0,(Inputs!$B$3-100)*3)+Inputs!$B$28+Inputs!$B$29)))</f>
        <v/>
      </c>
      <c r="E2575">
        <f>INDEX(FactorTable!$B$2:$Y$301, MATCH(ROUND(MIN(300,MAX(1,D2575)),0), FactorTable!$A$2:$A$301,0), Skills!M8+1)</f>
        <v/>
      </c>
      <c r="F2575">
        <f>IF(Skills!N8=TRUE,(Skills!L8/10)*(E2575/1000),Skills!L8/10)+Skills!O8</f>
        <v/>
      </c>
      <c r="G2575">
        <f>Skills!G8*IF(Skills!H8&gt;0,INT(IF(Inputs!$B$38="pvp",MIN(Skills!I8,15),Skills!I8)/Skills!H8+0.000000001),1)</f>
        <v/>
      </c>
      <c r="H2575">
        <f>1-(1-Skills!J8/100)^Skills!K8</f>
        <v/>
      </c>
      <c r="I2575" t="inlineStr">
        <is>
          <t>1</t>
        </is>
      </c>
      <c r="J2575">
        <f>((Inputs!$B$6*(1+Inputs!$B$7/100))+(((Inputs!$B$12*(1+Inputs!$B$13/100))-(Inputs!$B$12*(1+Inputs!$B$13/100)))+0.25*(Inputs!$B$14-Inputs!$B$14))*(1+Inputs!$B$7/100))*(F2575/100)</f>
        <v/>
      </c>
      <c r="K2575">
        <f>J2575*(1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2593=TRUE)*(F2593-Calc!F26)),(Inputs!$B$23+((C2598=TRUE)*(F2598-Calc!F31))+(IF(ArtifactsInput!$M$15,CHOOSE(ArtifactsInput!$N$15+1,25,30,35,40,45,50)/100*(Inputs!$B$11-Inputs!$B$11),0))))/100+(Inputs!$B$23+((C2598=TRUE)*(F2598-Calc!F31))+(IF(ArtifactsInput!$M$15,CHOOSE(ArtifactsInput!$N$15+1,25,30,35,40,45,50)/100*(Inputs!$B$11-Inputs!$B$11),0)))/100)/2</f>
        <v/>
      </c>
      <c r="M2575">
        <f>L2575*(1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IF(B2612=0,0,O2575/B2612)</f>
        <v/>
      </c>
      <c r="Q2575">
        <f>IFERROR(1/(IF(Inputs!$B$38="pvp",15,MAX(0.1,1-0.4*MIN(1,(B2604-1)/1.5)-IF(FALSE=TRUE,Inputs!$B$32,0)))*(1-IF(AND(ArtifactsInput!$M$27,Inputs!$B$4="Chapter Hunt"),CHOOSE(ArtifactsInput!$N$27+1,20,24,28,32,36,40),0)/100)),0)</f>
        <v/>
      </c>
      <c r="R2575">
        <f>IF(AND(Inputs!$B$38&lt;&gt;"pvp",Inputs!$B$43&gt;0),IF(MAX(0,Inputs!$B$43-B2609)&lt;=0,0,(INT(MAX(0,Inputs!$B$43-B2609)/(IF(Inputs!$B$38="pvp",15,MAX(0.1,1-0.4*MIN(1,(B2604-1)/1.5)-IF(FALSE=TRUE,Inputs!$B$32,0)))*(1-IF(AND(ArtifactsInput!$M$27,Inputs!$B$4="Chapter Hunt"),CHOOSE(ArtifactsInput!$N$27+1,20,24,28,32,36,40),0)/100)))+1)),0)</f>
        <v/>
      </c>
      <c r="S2575">
        <f>IFERROR(O2575/N2575,0)</f>
        <v/>
      </c>
      <c r="T2575">
        <f>IF(C2575,(H2575*N2575*IF(AND(Inputs!$B$38&lt;&gt;"pvp",Inputs!$B$43&gt;0),((Skills!G8*((R2575-1)*IF(Skills!H8&gt;0,INT(Skills!I8/Skills!H8+0.000000001),1)+IF(Skills!H8&gt;0,INT(MIN(Skills!I8,MAX(0,MAX(0,Inputs!$B$43-B2609)-((R2575-1)*(IF(Inputs!$B$38="pvp",15,MAX(0.1,1-0.4*MIN(1,(B2604-1)/1.5)-IF(FALSE=TRUE,Inputs!$B$32,0)))*(1-IF(AND(ArtifactsInput!$M$27,Inputs!$B$4="Chapter Hunt"),CHOOSE(ArtifactsInput!$N$27+1,20,24,28,32,36,40),0)/100)))))/Skills!H8+0.000000001),1)))/Inputs!$B$43),G2575*Q2575)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8*((R2575-1)*IF(Skills!H8&gt;0,INT(Skills!I8/Skills!H8+0.000000001),1)+IF(Skills!H8&gt;0,INT(MIN(Skills!I8,MAX(0,MAX(0,Inputs!$B$43-B2609)-((R2575-1)*(IF(Inputs!$B$38="pvp",15,MAX(0.1,1-0.4*MIN(1,(B2604-1)/1.5)-IF(FALSE=TRUE,Inputs!$B$32,0)))*(1-IF(AND(ArtifactsInput!$M$27,Inputs!$B$4="Chapter Hunt"),CHOOSE(ArtifactsInput!$N$27+1,20,24,28,32,36,40),0)/100)))))/Skills!H8+0.000000001),1)))/Inputs!$B$43),G2575*Q2575))*IF(Inputs!$B$38="pvp",1,(1+(Inputs!$B$21+Skills!Q8+(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Skills!A9</f>
        <v/>
      </c>
      <c r="B2576">
        <f>Skills!B9</f>
        <v/>
      </c>
      <c r="C2576">
        <f>Inputs!$B$3&gt;=69</f>
        <v/>
      </c>
      <c r="D2576">
        <f>IF(Skills!C9=1,60+Inputs!$B$25+Inputs!$B$29,IF(Skills!C9=2,90+Inputs!$B$26+Inputs!$B$29,IF(Skills!C9=3,120+Inputs!$B$27+Inputs!$B$29,MAX(0,(Inputs!$B$3-100)*3)+Inputs!$B$28+Inputs!$B$29)))</f>
        <v/>
      </c>
      <c r="E2576">
        <f>INDEX(FactorTable!$B$2:$Y$301, MATCH(ROUND(MIN(300,MAX(1,D2576)),0), FactorTable!$A$2:$A$301,0), Skills!M9+1)</f>
        <v/>
      </c>
      <c r="F2576">
        <f>IF(Skills!N9=TRUE,(Skills!L9/10)*(E2576/1000),Skills!L9/10)+Skills!O9</f>
        <v/>
      </c>
      <c r="G2576">
        <f>Skills!G9*IF(Skills!H9&gt;0,INT(IF(Inputs!$B$38="pvp",MIN(Skills!I9,15),Skills!I9)/Skills!H9+0.000000001),1)</f>
        <v/>
      </c>
      <c r="H2576">
        <f>1-(1-Skills!J9/100)^Skills!K9</f>
        <v/>
      </c>
      <c r="I2576" t="inlineStr">
        <is>
          <t>1</t>
        </is>
      </c>
      <c r="J2576">
        <f>((Inputs!$B$6*(1+Inputs!$B$7/100))+(((Inputs!$B$12*(1+Inputs!$B$13/100))-(Inputs!$B$12*(1+Inputs!$B$13/100)))+0.25*(Inputs!$B$14-Inputs!$B$14))*(1+Inputs!$B$7/100))*(F2576/100)</f>
        <v/>
      </c>
      <c r="K2576">
        <f>J2576*(1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2579=TRUE,F2579,0)/100)*(1+(IF(Skills!A9="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2593=TRUE)*(F2593-Calc!F26)),(Inputs!$B$23+((C2598=TRUE)*(F2598-Calc!F31))+(IF(ArtifactsInput!$M$15,CHOOSE(ArtifactsInput!$N$15+1,25,30,35,40,45,50)/100*(Inputs!$B$11-Inputs!$B$11),0))))/100+(Inputs!$B$23+((C2598=TRUE)*(F2598-Calc!F31))+(IF(ArtifactsInput!$M$15,CHOOSE(ArtifactsInput!$N$15+1,25,30,35,40,45,50)/100*(Inputs!$B$11-Inputs!$B$11),0)))/100)/2</f>
        <v/>
      </c>
      <c r="M2576">
        <f>L2576*(1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IF(B2612=0,0,O2576/B2612)</f>
        <v/>
      </c>
      <c r="Q2576">
        <f>IFERROR(1/(IF(Inputs!$B$38="pvp",15,MAX(0.1,Skills!D9-IF(TRUE=TRUE,Inputs!$B$32,0)))*(1-IF(AND(ArtifactsInput!$M$27,Inputs!$B$4="Chapter Hunt"),CHOOSE(ArtifactsInput!$N$27+1,20,24,28,32,36,40),0)/100)),0)</f>
        <v/>
      </c>
      <c r="R2576">
        <f>IF(AND(Inputs!$B$38&lt;&gt;"pvp",Inputs!$B$43&gt;0),IF(MAX(0,Inputs!$B$43-B2609)&lt;=0,0,(INT(MAX(0,Inputs!$B$43-B2609)/(IF(Inputs!$B$38="pvp",15,MAX(0.1,Skills!D9-IF(TRUE=TRUE,Inputs!$B$32,0)))*(1-IF(AND(ArtifactsInput!$M$27,Inputs!$B$4="Chapter Hunt"),CHOOSE(ArtifactsInput!$N$27+1,20,24,28,32,36,40),0)/100)))+1)),0)</f>
        <v/>
      </c>
      <c r="S2576">
        <f>IFERROR(O2576/N2576,0)</f>
        <v/>
      </c>
      <c r="T2576">
        <f>IF(C2576,(H2576*N2576*IF(AND(Inputs!$B$38&lt;&gt;"pvp",Inputs!$B$43&gt;0),((Skills!G9*((R2576-1)*IF(Skills!H9&gt;0,INT(Skills!I9/Skills!H9+0.000000001),1)+IF(Skills!H9&gt;0,INT(MIN(Skills!I9,MAX(0,MAX(0,Inputs!$B$43-B2609)-((R2576-1)*(IF(Inputs!$B$38="pvp",15,MAX(0.1,Skills!D9-IF(TRUE=TRUE,Inputs!$B$32,0)))*(1-IF(AND(ArtifactsInput!$M$27,Inputs!$B$4="Chapter Hunt"),CHOOSE(ArtifactsInput!$N$27+1,20,24,28,32,36,40),0)/100)))))/Skills!H9+0.000000001),1)))/Inputs!$B$43),G2576*Q2576)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9*((R2576-1)*IF(Skills!H9&gt;0,INT(Skills!I9/Skills!H9+0.000000001),1)+IF(Skills!H9&gt;0,INT(MIN(Skills!I9,MAX(0,MAX(0,Inputs!$B$43-B2609)-((R2576-1)*(IF(Inputs!$B$38="pvp",15,MAX(0.1,Skills!D9-IF(TRUE=TRUE,Inputs!$B$32,0)))*(1-IF(AND(ArtifactsInput!$M$27,Inputs!$B$4="Chapter Hunt"),CHOOSE(ArtifactsInput!$N$27+1,20,24,28,32,36,40),0)/100)))))/Skills!H9+0.000000001),1)))/Inputs!$B$43),G2576*Q2576))*IF(Inputs!$B$38="pvp",1,(1+(Inputs!$B$21+Skills!Q9+(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Skills!A10</f>
        <v/>
      </c>
      <c r="B2577">
        <f>Skills!B10</f>
        <v/>
      </c>
      <c r="C2577">
        <f>Inputs!$B$3&gt;=63</f>
        <v/>
      </c>
      <c r="D2577">
        <f>IF(Skills!C10=1,60+Inputs!$B$25+Inputs!$B$29,IF(Skills!C10=2,90+Inputs!$B$26+Inputs!$B$29,IF(Skills!C10=3,120+Inputs!$B$27+Inputs!$B$29,MAX(0,(Inputs!$B$3-100)*3)+Inputs!$B$28+Inputs!$B$29)))</f>
        <v/>
      </c>
      <c r="E2577">
        <f>INDEX(FactorTable!$B$2:$Y$301, MATCH(ROUND(MIN(300,MAX(1,D2577)),0), FactorTable!$A$2:$A$301,0), Skills!M10+1)</f>
        <v/>
      </c>
      <c r="F2577">
        <f>IF(Skills!N10=TRUE,(Skills!L10/10)*(E2577/1000),Skills!L10/10)+Skills!O10</f>
        <v/>
      </c>
      <c r="G2577">
        <f>Skills!G10*IF(Skills!H10&gt;0,INT(IF(Inputs!$B$38="pvp",MIN(Skills!I10,15),Skills!I10)/Skills!H10+0.000000001),1)</f>
        <v/>
      </c>
      <c r="H2577">
        <f>1-(1-Skills!J10/100)^Skills!K10</f>
        <v/>
      </c>
      <c r="I2577" t="inlineStr">
        <is>
          <t>1</t>
        </is>
      </c>
      <c r="J2577">
        <f>((Inputs!$B$6*(1+Inputs!$B$7/100))+(((Inputs!$B$12*(1+Inputs!$B$13/100))-(Inputs!$B$12*(1+Inputs!$B$13/100)))+0.25*(Inputs!$B$14-Inputs!$B$14))*(1+Inputs!$B$7/100))*(F2577/100)</f>
        <v/>
      </c>
      <c r="K2577">
        <f>J2577*(1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2579=TRUE,F2579,0)/100)*(1+(IF(Skills!A10="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2593=TRUE)*(F2593-Calc!F26)),(Inputs!$B$23+((C2598=TRUE)*(F2598-Calc!F31))+(IF(ArtifactsInput!$M$15,CHOOSE(ArtifactsInput!$N$15+1,25,30,35,40,45,50)/100*(Inputs!$B$11-Inputs!$B$11),0))))/100+(Inputs!$B$23+((C2598=TRUE)*(F2598-Calc!F31))+(IF(ArtifactsInput!$M$15,CHOOSE(ArtifactsInput!$N$15+1,25,30,35,40,45,50)/100*(Inputs!$B$11-Inputs!$B$11),0)))/100)/2</f>
        <v/>
      </c>
      <c r="M2577">
        <f>L2577*(1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IF(B2612=0,0,O2577/B2612)</f>
        <v/>
      </c>
      <c r="Q2577">
        <f>IFERROR(1/(IF(Inputs!$B$38="pvp",15,MAX(0.1,Skills!D10-IF(TRUE=TRUE,Inputs!$B$32,0)))*(1-IF(AND(ArtifactsInput!$M$27,Inputs!$B$4="Chapter Hunt"),CHOOSE(ArtifactsInput!$N$27+1,20,24,28,32,36,40),0)/100)),0)</f>
        <v/>
      </c>
      <c r="R2577">
        <f>IF(AND(Inputs!$B$38&lt;&gt;"pvp",Inputs!$B$43&gt;0),IF(MAX(0,Inputs!$B$43-B2609)&lt;=0,0,(INT(MAX(0,Inputs!$B$43-B2609)/(IF(Inputs!$B$38="pvp",15,MAX(0.1,Skills!D10-IF(TRUE=TRUE,Inputs!$B$32,0)))*(1-IF(AND(ArtifactsInput!$M$27,Inputs!$B$4="Chapter Hunt"),CHOOSE(ArtifactsInput!$N$27+1,20,24,28,32,36,40),0)/100)))+1)),0)</f>
        <v/>
      </c>
      <c r="S2577">
        <f>IFERROR(O2577/N2577,0)</f>
        <v/>
      </c>
      <c r="T2577">
        <f>IF(C2577,(H2577*N2577*IF(AND(Inputs!$B$38&lt;&gt;"pvp",Inputs!$B$43&gt;0),((Skills!G10*((R2577-1)*IF(Skills!H10&gt;0,INT(Skills!I10/Skills!H10+0.000000001),1)+IF(Skills!H10&gt;0,INT(MIN(Skills!I10,MAX(0,MAX(0,Inputs!$B$43-B2609)-((R2577-1)*(IF(Inputs!$B$38="pvp",15,MAX(0.1,Skills!D10-IF(TRUE=TRUE,Inputs!$B$32,0)))*(1-IF(AND(ArtifactsInput!$M$27,Inputs!$B$4="Chapter Hunt"),CHOOSE(ArtifactsInput!$N$27+1,20,24,28,32,36,40),0)/100)))))/Skills!H10+0.000000001),1)))/Inputs!$B$43),G2577*Q2577)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10*((R2577-1)*IF(Skills!H10&gt;0,INT(Skills!I10/Skills!H10+0.000000001),1)+IF(Skills!H10&gt;0,INT(MIN(Skills!I10,MAX(0,MAX(0,Inputs!$B$43-B2609)-((R2577-1)*(IF(Inputs!$B$38="pvp",15,MAX(0.1,Skills!D10-IF(TRUE=TRUE,Inputs!$B$32,0)))*(1-IF(AND(ArtifactsInput!$M$27,Inputs!$B$4="Chapter Hunt"),CHOOSE(ArtifactsInput!$N$27+1,20,24,28,32,36,40),0)/100)))))/Skills!H10+0.000000001),1)))/Inputs!$B$43),G2577*Q2577))*IF(Inputs!$B$38="pvp",1,(1+(Inputs!$B$21+Skills!Q10+(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Skills!A11</f>
        <v/>
      </c>
      <c r="B2578">
        <f>Skills!B11</f>
        <v/>
      </c>
      <c r="C2578">
        <f>Inputs!$B$3&gt;=103</f>
        <v/>
      </c>
      <c r="D2578">
        <f>IF(Skills!C11=1,60+Inputs!$B$25+Inputs!$B$29,IF(Skills!C11=2,90+Inputs!$B$26+Inputs!$B$29,IF(Skills!C11=3,120+Inputs!$B$27+Inputs!$B$29,MAX(0,(Inputs!$B$3-100)*3)+Inputs!$B$28+Inputs!$B$29)))</f>
        <v/>
      </c>
      <c r="E2578">
        <f>INDEX(FactorTable!$B$2:$Y$301, MATCH(ROUND(MIN(300,MAX(1,D2578)),0), FactorTable!$A$2:$A$301,0), Skills!M11+1)</f>
        <v/>
      </c>
      <c r="F2578">
        <f>IF(Skills!N11=TRUE,(Skills!L11/10)*(E2578/1000),Skills!L11/10)+Skills!O11</f>
        <v/>
      </c>
      <c r="G2578">
        <f>Skills!G11*IF(Skills!H11&gt;0,INT(IF(Inputs!$B$38="pvp",MIN(Skills!I11,15),Skills!I11)/Skills!H11+0.000000001),1)</f>
        <v/>
      </c>
      <c r="H2578">
        <f>1-(1-Skills!J11/100)^Skills!K11</f>
        <v/>
      </c>
      <c r="I2578" t="inlineStr">
        <is>
          <t>1</t>
        </is>
      </c>
      <c r="J2578">
        <f>((Inputs!$B$6*(1+Inputs!$B$7/100))+(((Inputs!$B$12*(1+Inputs!$B$13/100))-(Inputs!$B$12*(1+Inputs!$B$13/100)))+0.25*(Inputs!$B$14-Inputs!$B$14))*(1+Inputs!$B$7/100))*(F2578/100)</f>
        <v/>
      </c>
      <c r="K2578">
        <f>J2578*(1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2593=TRUE)*(F2593-Calc!F26)),(Inputs!$B$23+((C2598=TRUE)*(F2598-Calc!F31))+(IF(ArtifactsInput!$M$15,CHOOSE(ArtifactsInput!$N$15+1,25,30,35,40,45,50)/100*(Inputs!$B$11-Inputs!$B$11),0))))/100+(Inputs!$B$23+((C2598=TRUE)*(F2598-Calc!F31))+(IF(ArtifactsInput!$M$15,CHOOSE(ArtifactsInput!$N$15+1,25,30,35,40,45,50)/100*(Inputs!$B$11-Inputs!$B$11),0)))/100)/2</f>
        <v/>
      </c>
      <c r="M2578">
        <f>L2578*(1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IF(B2612=0,0,O2578/B2612)</f>
        <v/>
      </c>
      <c r="Q2578">
        <f>IFERROR(1/(IF(Inputs!$B$38="pvp",15,MAX(0.1,Skills!D11-IF(TRUE=TRUE,Inputs!$B$32,0)))*(1-IF(AND(ArtifactsInput!$M$27,Inputs!$B$4="Chapter Hunt"),CHOOSE(ArtifactsInput!$N$27+1,20,24,28,32,36,40),0)/100)),0)</f>
        <v/>
      </c>
      <c r="R2578">
        <f>IF(AND(Inputs!$B$38&lt;&gt;"pvp",Inputs!$B$43&gt;0),IF(MAX(0,Inputs!$B$43-B2609)&lt;=0,0,(INT(MAX(0,Inputs!$B$43-B2609)/(IF(Inputs!$B$38="pvp",15,MAX(0.1,Skills!D11-IF(TRUE=TRUE,Inputs!$B$32,0)))*(1-IF(AND(ArtifactsInput!$M$27,Inputs!$B$4="Chapter Hunt"),CHOOSE(ArtifactsInput!$N$27+1,20,24,28,32,36,40),0)/100)))+1)),0)</f>
        <v/>
      </c>
      <c r="S2578">
        <f>IFERROR(O2578/N2578,0)</f>
        <v/>
      </c>
      <c r="T2578">
        <f>IF(C2578,(H2578*N2578*IF(AND(Inputs!$B$38&lt;&gt;"pvp",Inputs!$B$43&gt;0),((Skills!G11*((R2578-1)*IF(Skills!H11&gt;0,INT(Skills!I11/Skills!H11+0.000000001),1)+IF(Skills!H11&gt;0,INT(MIN(Skills!I11,MAX(0,MAX(0,Inputs!$B$43-B2609)-((R2578-1)*(IF(Inputs!$B$38="pvp",15,MAX(0.1,Skills!D11-IF(TRUE=TRUE,Inputs!$B$32,0)))*(1-IF(AND(ArtifactsInput!$M$27,Inputs!$B$4="Chapter Hunt"),CHOOSE(ArtifactsInput!$N$27+1,20,24,28,32,36,40),0)/100)))))/Skills!H11+0.000000001),1)))/Inputs!$B$43),G2578*Q2578)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11*((R2578-1)*IF(Skills!H11&gt;0,INT(Skills!I11/Skills!H11+0.000000001),1)+IF(Skills!H11&gt;0,INT(MIN(Skills!I11,MAX(0,MAX(0,Inputs!$B$43-B2609)-((R2578-1)*(IF(Inputs!$B$38="pvp",15,MAX(0.1,Skills!D11-IF(TRUE=TRUE,Inputs!$B$32,0)))*(1-IF(AND(ArtifactsInput!$M$27,Inputs!$B$4="Chapter Hunt"),CHOOSE(ArtifactsInput!$N$27+1,20,24,28,32,36,40),0)/100)))))/Skills!H11+0.000000001),1)))/Inputs!$B$43),G2578*Q2578))*IF(Inputs!$B$38="pvp",1,(1+(Inputs!$B$21+Skills!Q11+(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Skills!A12</f>
        <v/>
      </c>
      <c r="B2579">
        <f>Skills!B12</f>
        <v/>
      </c>
      <c r="C2579">
        <f>Inputs!$B$3&gt;=100</f>
        <v/>
      </c>
      <c r="D2579">
        <f>IF(Skills!C12=1,60+Inputs!$B$25+Inputs!$B$29,IF(Skills!C12=2,90+Inputs!$B$26+Inputs!$B$29,IF(Skills!C12=3,120+Inputs!$B$27+Inputs!$B$29,MAX(0,(Inputs!$B$3-100)*3)+Inputs!$B$28+Inputs!$B$29)))</f>
        <v/>
      </c>
      <c r="E2579">
        <f>INDEX(FactorTable!$B$2:$Y$301, MATCH(ROUND(MIN(300,MAX(1,D2579)),0), FactorTable!$A$2:$A$301,0), Skills!M12+1)</f>
        <v/>
      </c>
      <c r="F2579">
        <f>IF(Skills!N12=TRUE,(Skills!L12/10)*(E2579/1000),Skills!L12/10)+Skills!O12</f>
        <v/>
      </c>
      <c r="G2579" t="inlineStr"/>
      <c r="H2579" t="inlineStr"/>
      <c r="I2579" t="inlineStr">
        <is>
          <t>1</t>
        </is>
      </c>
      <c r="J2579" t="inlineStr"/>
      <c r="K2579" t="inlineStr"/>
      <c r="L2579" t="inlineStr"/>
      <c r="M2579" t="inlineStr"/>
      <c r="N2579" t="inlineStr"/>
      <c r="O2579" t="inlineStr"/>
      <c r="P2579" t="inlineStr"/>
      <c r="Q2579" t="inlineStr"/>
      <c r="R2579" t="inlineStr"/>
      <c r="S2579" t="inlineStr"/>
      <c r="T2579" t="inlineStr"/>
      <c r="V2579" t="inlineStr"/>
    </row>
    <row r="2580">
      <c r="A2580">
        <f>Skills!A13</f>
        <v/>
      </c>
      <c r="B2580">
        <f>Skills!B13</f>
        <v/>
      </c>
      <c r="C2580">
        <f>Inputs!$B$3&gt;=60</f>
        <v/>
      </c>
      <c r="D2580">
        <f>IF(Skills!C13=1,60+Inputs!$B$25+Inputs!$B$29,IF(Skills!C13=2,90+Inputs!$B$26+Inputs!$B$29,IF(Skills!C13=3,120+Inputs!$B$27+Inputs!$B$29,MAX(0,(Inputs!$B$3-100)*3)+Inputs!$B$28+Inputs!$B$29)))</f>
        <v/>
      </c>
      <c r="E2580">
        <f>INDEX(FactorTable!$B$2:$Y$301, MATCH(ROUND(MIN(300,MAX(1,D2580)),0), FactorTable!$A$2:$A$301,0), Skills!M13+1)</f>
        <v/>
      </c>
      <c r="F2580">
        <f>IF(Skills!N13=TRUE,(Skills!L13/10)*(E2580/1000),Skills!L13/10)+Skills!O13</f>
        <v/>
      </c>
      <c r="G2580">
        <f>Skills!G13*IF(Skills!H13&gt;0,INT(IF(Inputs!$B$38="pvp",MIN(Skills!I13,15),Skills!I13)/Skills!H13+0.000000001),1)</f>
        <v/>
      </c>
      <c r="H2580">
        <f>1-(1-Skills!J13/100)^Skills!K13</f>
        <v/>
      </c>
      <c r="I2580" t="inlineStr">
        <is>
          <t>1</t>
        </is>
      </c>
      <c r="J2580">
        <f>((Inputs!$B$6*(1+Inputs!$B$7/100))+(((Inputs!$B$12*(1+Inputs!$B$13/100))-(Inputs!$B$12*(1+Inputs!$B$13/100)))+0.25*(Inputs!$B$14-Inputs!$B$14))*(1+Inputs!$B$7/100))*(F2580/100)</f>
        <v/>
      </c>
      <c r="K2580">
        <f>J2580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2581=TRUE,F2581,0)/100)*(1+(IF(Skills!A13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C2593=TRUE)*(F2593-Calc!F26)),(Inputs!$B$23+((C2598=TRUE)*(F2598-Calc!F31))+(IF(ArtifactsInput!$M$15,CHOOSE(ArtifactsInput!$N$15+1,25,30,35,40,45,50)/100*(Inputs!$B$11-Inputs!$B$11),0))))/100+(Inputs!$B$23+((C2598=TRUE)*(F2598-Calc!F31))+(IF(ArtifactsInput!$M$15,CHOOSE(ArtifactsInput!$N$15+1,25,30,35,40,45,50)/100*(Inputs!$B$11-Inputs!$B$11),0)))/100)/2</f>
        <v/>
      </c>
      <c r="M2580">
        <f>L2580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(1-Summary!$B$11)*T2580+Summary!$B$11*V2580</f>
        <v/>
      </c>
      <c r="P2580">
        <f>IF(B2612=0,0,O2580/B2612)</f>
        <v/>
      </c>
      <c r="Q2580">
        <f>IFERROR(1/(IF(Inputs!$B$38="pvp",15,MAX(0.1,IF(Inputs!$B$3&gt;=122,3,5)+1/(((20+30*(B2604-1)*100/150)/100)*B2604)-IF(FALSE=TRUE,Inputs!$B$32,0)))*(1-IF(AND(ArtifactsInput!$M$27,Inputs!$B$4="Chapter Hunt"),CHOOSE(ArtifactsInput!$N$27+1,20,24,28,32,36,40),0)/100)),0)</f>
        <v/>
      </c>
      <c r="R2580">
        <f>IF(AND(Inputs!$B$38&lt;&gt;"pvp",Inputs!$B$43&gt;0),IF(MAX(0,Inputs!$B$43-B2609)&lt;=0,0,(INT(MAX(0,Inputs!$B$43-B2609)/(IF(Inputs!$B$38="pvp",15,MAX(0.1,IF(Inputs!$B$3&gt;=122,3,5)+1/(((20+30*(B2604-1)*100/150)/100)*B2604)-IF(FALSE=TRUE,Inputs!$B$32,0)))*(1-IF(AND(ArtifactsInput!$M$27,Inputs!$B$4="Chapter Hunt"),CHOOSE(ArtifactsInput!$N$27+1,20,24,28,32,36,40),0)/100)))+1)),0)</f>
        <v/>
      </c>
      <c r="S2580">
        <f>IFERROR(O2580/N2580,0)</f>
        <v/>
      </c>
      <c r="T2580">
        <f>IF(C2580,(H2580*N2580*IF(AND(Inputs!$B$38&lt;&gt;"pvp",Inputs!$B$43&gt;0),((Skills!G13*((R2580-1)*IF(Skills!H13&gt;0,INT(Skills!I13/Skills!H13+0.000000001),1)+IF(Skills!H13&gt;0,INT(MIN(Skills!I13,MAX(0,MAX(0,Inputs!$B$43-B2609)-((R2580-1)*(IF(Inputs!$B$38="pvp",15,MAX(0.1,IF(Inputs!$B$3&gt;=122,3,5)+1/(((20+30*(B2604-1)*100/150)/100)*B2604)-IF(FALSE=TRUE,Inputs!$B$32,0)))*(1-IF(AND(ArtifactsInput!$M$27,Inputs!$B$4="Chapter Hunt"),CHOOSE(ArtifactsInput!$N$27+1,20,24,28,32,36,40),0)/100)))))/Skills!H13+0.000000001),1)))/Inputs!$B$43),G2580*Q2580)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0">
        <f>IF(C2580,(H2580*N2580*IF(AND(Inputs!$B$38&lt;&gt;"pvp",Inputs!$B$43&gt;0),((Skills!G13*((R2580-1)*IF(Skills!H13&gt;0,INT(Skills!I13/Skills!H13+0.000000001),1)+IF(Skills!H13&gt;0,INT(MIN(Skills!I13,MAX(0,MAX(0,Inputs!$B$43-B2609)-((R2580-1)*(IF(Inputs!$B$38="pvp",15,MAX(0.1,IF(Inputs!$B$3&gt;=122,3,5)+1/(((20+30*(B2604-1)*100/150)/100)*B2604)-IF(FALSE=TRUE,Inputs!$B$32,0)))*(1-IF(AND(ArtifactsInput!$M$27,Inputs!$B$4="Chapter Hunt"),CHOOSE(ArtifactsInput!$N$27+1,20,24,28,32,36,40),0)/100)))))/Skills!H13+0.000000001),1)))/Inputs!$B$43),G2580*Q2580))*IF(Inputs!$B$38="pvp",1,(1+(Inputs!$B$21+Skills!Q13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1">
      <c r="A2581">
        <f>Skills!A14</f>
        <v/>
      </c>
      <c r="B2581">
        <f>Skills!B14</f>
        <v/>
      </c>
      <c r="C2581">
        <f>Inputs!$B$3&gt;=110</f>
        <v/>
      </c>
      <c r="D2581">
        <f>IF(Skills!C14=1,60+Inputs!$B$25+Inputs!$B$29,IF(Skills!C14=2,90+Inputs!$B$26+Inputs!$B$29,IF(Skills!C14=3,120+Inputs!$B$27+Inputs!$B$29,MAX(0,(Inputs!$B$3-100)*3)+Inputs!$B$28+Inputs!$B$29)))</f>
        <v/>
      </c>
      <c r="E2581">
        <f>INDEX(FactorTable!$B$2:$Y$301, MATCH(ROUND(MIN(300,MAX(1,D2581)),0), FactorTable!$A$2:$A$301,0), Skills!M14+1)</f>
        <v/>
      </c>
      <c r="F2581">
        <f>IF(Skills!N14=TRUE,(Skills!L14/10)*(E2581/1000),Skills!L14/10)+Skills!O14</f>
        <v/>
      </c>
      <c r="G2581" t="inlineStr"/>
      <c r="H2581" t="inlineStr"/>
      <c r="I2581" t="inlineStr">
        <is>
          <t>1</t>
        </is>
      </c>
      <c r="J2581" t="inlineStr"/>
      <c r="K2581" t="inlineStr"/>
      <c r="L2581" t="inlineStr"/>
      <c r="M2581" t="inlineStr"/>
      <c r="N2581" t="inlineStr"/>
      <c r="O2581" t="inlineStr"/>
      <c r="P2581" t="inlineStr"/>
      <c r="Q2581" t="inlineStr"/>
      <c r="R2581" t="inlineStr"/>
      <c r="S2581" t="inlineStr"/>
      <c r="T2581" t="inlineStr"/>
      <c r="V2581" t="inlineStr"/>
    </row>
    <row r="2582">
      <c r="A2582">
        <f>Skills!A15</f>
        <v/>
      </c>
      <c r="B2582">
        <f>Skills!B15</f>
        <v/>
      </c>
      <c r="C2582">
        <f>Inputs!$B$3&gt;=74</f>
        <v/>
      </c>
      <c r="D2582">
        <f>IF(Skills!C15=1,60+Inputs!$B$25+Inputs!$B$29,IF(Skills!C15=2,90+Inputs!$B$26+Inputs!$B$29,IF(Skills!C15=3,120+Inputs!$B$27+Inputs!$B$29,MAX(0,(Inputs!$B$3-100)*3)+Inputs!$B$28+Inputs!$B$29)))</f>
        <v/>
      </c>
      <c r="E2582">
        <f>INDEX(FactorTable!$B$2:$Y$301, MATCH(ROUND(MIN(300,MAX(1,D2582)),0), FactorTable!$A$2:$A$301,0), Skills!M15+1)</f>
        <v/>
      </c>
      <c r="F2582">
        <f>IF(Skills!N15=TRUE,(Skills!L15/10)*(E2582/1000),Skills!L15/10)+Skills!O15</f>
        <v/>
      </c>
      <c r="G2582">
        <f>Skills!G15*IF(Skills!H15&gt;0,INT(IF(Inputs!$B$38="pvp",MIN(Skills!I15,15),Skills!I15)/Skills!H15+0.000000001),1)</f>
        <v/>
      </c>
      <c r="H2582">
        <f>1-(1-Skills!J15/100)^Skills!K15</f>
        <v/>
      </c>
      <c r="I2582" t="inlineStr">
        <is>
          <t>1</t>
        </is>
      </c>
      <c r="J2582" t="inlineStr"/>
      <c r="K2582" t="inlineStr"/>
      <c r="L2582" t="inlineStr"/>
      <c r="M2582" t="inlineStr"/>
      <c r="N2582" t="inlineStr"/>
      <c r="O2582">
        <f>(1-Summary!$B$11)*T2582+Summary!$B$11*V2582</f>
        <v/>
      </c>
      <c r="P2582">
        <f>IF(B2612=0,0,O2582/B2612)</f>
        <v/>
      </c>
      <c r="Q2582" t="n">
        <v>0</v>
      </c>
      <c r="R2582" t="n">
        <v>0</v>
      </c>
      <c r="S2582">
        <f>IFERROR(O2582/N2582,0)</f>
        <v/>
      </c>
      <c r="T2582" t="n">
        <v>0</v>
      </c>
      <c r="V2582" t="n">
        <v>0</v>
      </c>
    </row>
    <row r="2583">
      <c r="A2583">
        <f>Skills!A16</f>
        <v/>
      </c>
      <c r="B2583">
        <f>Skills!B16</f>
        <v/>
      </c>
      <c r="C2583">
        <f>Inputs!$B$3&gt;=74</f>
        <v/>
      </c>
      <c r="D2583">
        <f>IF(Skills!C16=1,60+Inputs!$B$25+Inputs!$B$29,IF(Skills!C16=2,90+Inputs!$B$26+Inputs!$B$29,IF(Skills!C16=3,120+Inputs!$B$27+Inputs!$B$29,MAX(0,(Inputs!$B$3-100)*3)+Inputs!$B$28+Inputs!$B$29)))</f>
        <v/>
      </c>
      <c r="E2583">
        <f>INDEX(FactorTable!$B$2:$Y$301, MATCH(ROUND(MIN(300,MAX(1,D2583)),0), FactorTable!$A$2:$A$301,0), Skills!M16+1)</f>
        <v/>
      </c>
      <c r="F2583">
        <f>IF(Skills!N16=TRUE,(Skills!L16/10)*(E2583/1000),Skills!L16/10)+Skills!O16</f>
        <v/>
      </c>
      <c r="G2583">
        <f>Skills!G16*IF(Skills!H16&gt;0,INT(IF(Inputs!$B$38="pvp",MIN(Skills!I16,15),Skills!I16)/Skills!H16+0.000000001),1)</f>
        <v/>
      </c>
      <c r="H2583">
        <f>1-(1-Skills!J16/100)^Skills!K16</f>
        <v/>
      </c>
      <c r="I2583" t="inlineStr">
        <is>
          <t>1</t>
        </is>
      </c>
      <c r="J2583" t="inlineStr"/>
      <c r="K2583" t="inlineStr"/>
      <c r="L2583" t="inlineStr"/>
      <c r="M2583" t="inlineStr"/>
      <c r="N2583" t="inlineStr"/>
      <c r="O2583">
        <f>(1-Summary!$B$11)*T2583+Summary!$B$11*V2583</f>
        <v/>
      </c>
      <c r="P2583">
        <f>IF(B2612=0,0,O2583/B2612)</f>
        <v/>
      </c>
      <c r="Q2583" t="n">
        <v>0</v>
      </c>
      <c r="R2583" t="n">
        <v>0</v>
      </c>
      <c r="S2583">
        <f>IFERROR(O2583/N2583,0)</f>
        <v/>
      </c>
      <c r="T2583" t="n">
        <v>0</v>
      </c>
      <c r="V2583" t="n">
        <v>0</v>
      </c>
    </row>
    <row r="2584">
      <c r="A2584">
        <f>Skills!A17</f>
        <v/>
      </c>
      <c r="B2584">
        <f>Skills!B17</f>
        <v/>
      </c>
      <c r="C2584">
        <f>Inputs!$B$3&gt;=117</f>
        <v/>
      </c>
      <c r="D2584">
        <f>IF(Skills!C17=1,60+Inputs!$B$25+Inputs!$B$29,IF(Skills!C17=2,90+Inputs!$B$26+Inputs!$B$29,IF(Skills!C17=3,120+Inputs!$B$27+Inputs!$B$29,MAX(0,(Inputs!$B$3-100)*3)+Inputs!$B$28+Inputs!$B$29)))</f>
        <v/>
      </c>
      <c r="E2584">
        <f>INDEX(FactorTable!$B$2:$Y$301, MATCH(ROUND(MIN(300,MAX(1,D2584)),0), FactorTable!$A$2:$A$301,0), Skills!M17+1)</f>
        <v/>
      </c>
      <c r="F2584">
        <f>IF(Skills!N17=TRUE,(Skills!L17/10)*(E2584/1000),Skills!L17/10)+Skills!O17</f>
        <v/>
      </c>
      <c r="G2584">
        <f>Skills!G17*IF(Skills!H17&gt;0,INT(IF(Inputs!$B$38="pvp",MIN(Skills!I17,15),Skills!I17)/Skills!H17+0.000000001),1)</f>
        <v/>
      </c>
      <c r="H2584">
        <f>1-(1-Skills!J17/100)^Skills!K17</f>
        <v/>
      </c>
      <c r="I2584" t="inlineStr">
        <is>
          <t>1</t>
        </is>
      </c>
      <c r="J2584" t="inlineStr"/>
      <c r="K2584" t="inlineStr"/>
      <c r="L2584" t="inlineStr"/>
      <c r="M2584" t="inlineStr"/>
      <c r="N2584" t="inlineStr"/>
      <c r="O2584">
        <f>(1-Summary!$B$11)*T2584+Summary!$B$11*V2584</f>
        <v/>
      </c>
      <c r="P2584">
        <f>IF(B2612=0,0,O2584/B2612)</f>
        <v/>
      </c>
      <c r="Q2584">
        <f>IFERROR(1/(IF(Inputs!$B$38="pvp",15,MAX(0.1,Skills!D17-IF(TRUE=TRUE,Inputs!$B$32,0)))*(1-IF(AND(ArtifactsInput!$M$27,Inputs!$B$4="Chapter Hunt"),CHOOSE(ArtifactsInput!$N$27+1,20,24,28,32,36,40),0)/100)),0)</f>
        <v/>
      </c>
      <c r="R2584">
        <f>IF(AND(Inputs!$B$38&lt;&gt;"pvp",Inputs!$B$43&gt;0),IF(Inputs!$B$43&lt;=0,0,(INT(Inputs!$B$43/(IF(Inputs!$B$38="pvp",15,MAX(0.1,Skills!D17-IF(TRUE=TRUE,Inputs!$B$32,0)))*(1-IF(AND(ArtifactsInput!$M$27,Inputs!$B$4="Chapter Hunt"),CHOOSE(ArtifactsInput!$N$27+1,20,24,28,32,36,40),0)/100)))+1)),0)</f>
        <v/>
      </c>
      <c r="S2584">
        <f>IFERROR(O2584/N2584,0)</f>
        <v/>
      </c>
      <c r="T2584" t="n">
        <v>0</v>
      </c>
      <c r="V2584" t="n">
        <v>0</v>
      </c>
    </row>
    <row r="2585">
      <c r="A2585">
        <f>Skills!A18</f>
        <v/>
      </c>
      <c r="B2585">
        <f>Skills!B18</f>
        <v/>
      </c>
      <c r="C2585">
        <f>Inputs!$B$3&gt;=115</f>
        <v/>
      </c>
      <c r="D2585">
        <f>IF(Skills!C18=1,60+Inputs!$B$25+Inputs!$B$29,IF(Skills!C18=2,90+Inputs!$B$26+Inputs!$B$29,IF(Skills!C18=3,120+Inputs!$B$27+Inputs!$B$29,MAX(0,(Inputs!$B$3-100)*3)+Inputs!$B$28+Inputs!$B$29)))</f>
        <v/>
      </c>
      <c r="E2585">
        <f>INDEX(FactorTable!$B$2:$Y$301, MATCH(ROUND(MIN(300,MAX(1,D2585)),0), FactorTable!$A$2:$A$301,0), Skills!M18+1)</f>
        <v/>
      </c>
      <c r="F2585">
        <f>IF(Skills!N18=TRUE,(Skills!L18/10)*(E2585/1000),Skills!L18/10)+Skills!O18</f>
        <v/>
      </c>
      <c r="G2585">
        <f>Skills!G18*IF(Skills!H18&gt;0,INT(IF(Inputs!$B$38="pvp",MIN(Skills!I18,15),Skills!I18)/Skills!H18+0.000000001),1)</f>
        <v/>
      </c>
      <c r="H2585">
        <f>1-(1-Skills!J18/100)^Skills!K18</f>
        <v/>
      </c>
      <c r="I2585" t="inlineStr">
        <is>
          <t>1</t>
        </is>
      </c>
      <c r="J2585" t="inlineStr"/>
      <c r="K2585" t="inlineStr"/>
      <c r="L2585" t="inlineStr"/>
      <c r="M2585" t="inlineStr"/>
      <c r="N2585" t="inlineStr"/>
      <c r="O2585">
        <f>(1-Summary!$B$11)*T2585+Summary!$B$11*V2585</f>
        <v/>
      </c>
      <c r="P2585">
        <f>IF(B2612=0,0,O2585/B2612)</f>
        <v/>
      </c>
      <c r="Q2585">
        <f>IFERROR(1/(IF(Inputs!$B$38="pvp",15,MAX(0.1,Skills!D18-IF(TRUE=TRUE,Inputs!$B$32,0)))*(1-IF(AND(ArtifactsInput!$M$27,Inputs!$B$4="Chapter Hunt"),CHOOSE(ArtifactsInput!$N$27+1,20,24,28,32,36,40),0)/100)),0)</f>
        <v/>
      </c>
      <c r="R2585">
        <f>IF(AND(Inputs!$B$38&lt;&gt;"pvp",Inputs!$B$43&gt;0),IF(Inputs!$B$43&lt;=0,0,(INT(Inputs!$B$43/(IF(Inputs!$B$38="pvp",15,MAX(0.1,Skills!D18-IF(TRUE=TRUE,Inputs!$B$32,0)))*(1-IF(AND(ArtifactsInput!$M$27,Inputs!$B$4="Chapter Hunt"),CHOOSE(ArtifactsInput!$N$27+1,20,24,28,32,36,40),0)/100)))+1)),0)</f>
        <v/>
      </c>
      <c r="S2585">
        <f>IFERROR(O2585/N2585,0)</f>
        <v/>
      </c>
      <c r="T2585" t="n">
        <v>0</v>
      </c>
      <c r="V2585" t="n">
        <v>0</v>
      </c>
    </row>
    <row r="2586">
      <c r="A2586">
        <f>Skills!A19</f>
        <v/>
      </c>
      <c r="B2586">
        <f>Skills!B19</f>
        <v/>
      </c>
      <c r="C2586">
        <f>Inputs!$B$3&gt;=66</f>
        <v/>
      </c>
      <c r="D2586">
        <f>IF(Skills!C19=1,60+Inputs!$B$25+Inputs!$B$29,IF(Skills!C19=2,90+Inputs!$B$26+Inputs!$B$29,IF(Skills!C19=3,120+Inputs!$B$27+Inputs!$B$29,MAX(0,(Inputs!$B$3-100)*3)+Inputs!$B$28+Inputs!$B$29)))</f>
        <v/>
      </c>
      <c r="E2586">
        <f>INDEX(FactorTable!$B$2:$Y$301, MATCH(ROUND(MIN(300,MAX(1,D2586)),0), FactorTable!$A$2:$A$301,0), Skills!M19+1)</f>
        <v/>
      </c>
      <c r="F2586">
        <f>IF(Skills!N19=TRUE,(Skills!L19/10)*(E2586/1000),Skills!L19/10)+Skills!O19</f>
        <v/>
      </c>
      <c r="G2586">
        <f>Skills!G19*IF(Skills!H19&gt;0,INT(IF(Inputs!$B$38="pvp",MIN(Skills!I19,15),Skills!I19)/Skills!H19+0.000000001),1)</f>
        <v/>
      </c>
      <c r="H2586">
        <f>1-(1-Skills!J19/100)^Skills!K19</f>
        <v/>
      </c>
      <c r="I2586" t="inlineStr">
        <is>
          <t>1</t>
        </is>
      </c>
      <c r="J2586" t="inlineStr"/>
      <c r="K2586" t="inlineStr"/>
      <c r="L2586" t="inlineStr"/>
      <c r="M2586" t="inlineStr"/>
      <c r="N2586" t="inlineStr"/>
      <c r="O2586">
        <f>(1-Summary!$B$11)*T2586+Summary!$B$11*V2586</f>
        <v/>
      </c>
      <c r="P2586">
        <f>IF(B2612=0,0,O2586/B2612)</f>
        <v/>
      </c>
      <c r="Q2586" t="n">
        <v>0</v>
      </c>
      <c r="R2586" t="n">
        <v>0</v>
      </c>
      <c r="S2586">
        <f>IFERROR(O2586/N2586,0)</f>
        <v/>
      </c>
      <c r="T2586" t="n">
        <v>0</v>
      </c>
      <c r="V2586" t="n">
        <v>0</v>
      </c>
    </row>
    <row r="2587">
      <c r="A2587">
        <f>Skills!A20</f>
        <v/>
      </c>
      <c r="B2587">
        <f>Skills!B20</f>
        <v/>
      </c>
      <c r="C2587">
        <f>Inputs!$B$3&gt;=72</f>
        <v/>
      </c>
      <c r="D2587">
        <f>IF(Skills!C20=1,60+Inputs!$B$25+Inputs!$B$29,IF(Skills!C20=2,90+Inputs!$B$26+Inputs!$B$29,IF(Skills!C20=3,120+Inputs!$B$27+Inputs!$B$29,MAX(0,(Inputs!$B$3-100)*3)+Inputs!$B$28+Inputs!$B$29)))</f>
        <v/>
      </c>
      <c r="E2587">
        <f>INDEX(FactorTable!$B$2:$Y$301, MATCH(ROUND(MIN(300,MAX(1,D2587)),0), FactorTable!$A$2:$A$301,0), Skills!M20+1)</f>
        <v/>
      </c>
      <c r="F2587">
        <f>IF(Skills!N20=TRUE,(Skills!L20/10)*(E2587/1000),Skills!L20/10)+Skills!O20</f>
        <v/>
      </c>
      <c r="G2587">
        <f>Skills!G20*IF(Skills!H20&gt;0,INT(IF(Inputs!$B$38="pvp",MIN(Skills!I20,15),Skills!I20)/Skills!H20+0.000000001),1)</f>
        <v/>
      </c>
      <c r="H2587">
        <f>1-(1-Skills!J20/100)^Skills!K20</f>
        <v/>
      </c>
      <c r="I2587" t="inlineStr">
        <is>
          <t>1</t>
        </is>
      </c>
      <c r="J2587" t="inlineStr"/>
      <c r="K2587" t="inlineStr"/>
      <c r="L2587" t="inlineStr"/>
      <c r="M2587" t="inlineStr"/>
      <c r="N2587" t="inlineStr"/>
      <c r="O2587">
        <f>(1-Summary!$B$11)*T2587+Summary!$B$11*V2587</f>
        <v/>
      </c>
      <c r="P2587">
        <f>IF(B2612=0,0,O2587/B2612)</f>
        <v/>
      </c>
      <c r="Q2587" t="n">
        <v>0</v>
      </c>
      <c r="R2587" t="n">
        <v>0</v>
      </c>
      <c r="S2587">
        <f>IFERROR(O2587/N2587,0)</f>
        <v/>
      </c>
      <c r="T2587" t="n">
        <v>0</v>
      </c>
      <c r="V2587" t="n">
        <v>0</v>
      </c>
    </row>
    <row r="2588">
      <c r="A2588">
        <f>Skills!A21</f>
        <v/>
      </c>
      <c r="B2588">
        <f>Skills!B21</f>
        <v/>
      </c>
      <c r="C2588">
        <f>TRUE</f>
        <v/>
      </c>
      <c r="D2588">
        <f>IF(Skills!C21=1,60+Inputs!$B$25+Inputs!$B$29,IF(Skills!C21=2,90+Inputs!$B$26+Inputs!$B$29,IF(Skills!C21=3,120+Inputs!$B$27+Inputs!$B$29,MAX(0,(Inputs!$B$3-100)*3)+Inputs!$B$28+Inputs!$B$29)))</f>
        <v/>
      </c>
      <c r="E2588">
        <f>INDEX(FactorTable!$B$2:$Y$301, MATCH(ROUND(MIN(300,MAX(1,D2588)),0), FactorTable!$A$2:$A$301,0), Skills!M21+1)</f>
        <v/>
      </c>
      <c r="F2588">
        <f>IF(Skills!N21=TRUE,(Skills!L21/10)*(E2588/1000),Skills!L21/10)+Skills!O21</f>
        <v/>
      </c>
      <c r="G2588">
        <f>Skills!G21*IF(Skills!H21&gt;0,INT(IF(Inputs!$B$38="pvp",MIN(Skills!I21,15),Skills!I21)/Skills!H21+0.000000001),1)</f>
        <v/>
      </c>
      <c r="H2588">
        <f>1-(1-Skills!J21/100)^Skills!K21</f>
        <v/>
      </c>
      <c r="I2588" t="inlineStr">
        <is>
          <t>1</t>
        </is>
      </c>
      <c r="J2588" t="inlineStr"/>
      <c r="K2588" t="inlineStr"/>
      <c r="L2588" t="inlineStr"/>
      <c r="M2588" t="inlineStr"/>
      <c r="N2588" t="inlineStr"/>
      <c r="O2588">
        <f>(1-Summary!$B$11)*T2588+Summary!$B$11*V2588</f>
        <v/>
      </c>
      <c r="P2588">
        <f>IF(B2612=0,0,O2588/B2612)</f>
        <v/>
      </c>
      <c r="Q2588">
        <f>IFERROR(1/(IF(Inputs!$B$38="pvp",15,MAX(0.1,Skills!D21-IF(TRUE=TRUE,Inputs!$B$32,0)))*(1-IF(AND(ArtifactsInput!$M$27,Inputs!$B$4="Chapter Hunt"),CHOOSE(ArtifactsInput!$N$27+1,20,24,28,32,36,40),0)/100)),0)</f>
        <v/>
      </c>
      <c r="R2588">
        <f>IF(AND(Inputs!$B$38&lt;&gt;"pvp",Inputs!$B$43&gt;0),IF(Inputs!$B$43&lt;=0,0,(INT(Inputs!$B$43/(IF(Inputs!$B$38="pvp",15,MAX(0.1,Skills!D21-IF(TRUE=TRUE,Inputs!$B$32,0)))*(1-IF(AND(ArtifactsInput!$M$27,Inputs!$B$4="Chapter Hunt"),CHOOSE(ArtifactsInput!$N$27+1,20,24,28,32,36,40),0)/100)))+1)),0)</f>
        <v/>
      </c>
      <c r="S2588">
        <f>IFERROR(O2588/N2588,0)</f>
        <v/>
      </c>
      <c r="T2588" t="n">
        <v>0</v>
      </c>
      <c r="V2588" t="n">
        <v>0</v>
      </c>
    </row>
    <row r="2589">
      <c r="A2589">
        <f>Skills!A22</f>
        <v/>
      </c>
      <c r="B2589">
        <f>Skills!B22</f>
        <v/>
      </c>
      <c r="C2589">
        <f>Inputs!$B$3&gt;=15</f>
        <v/>
      </c>
      <c r="D2589">
        <f>IF(Skills!C22=1,60+Inputs!$B$25+Inputs!$B$29,IF(Skills!C22=2,90+Inputs!$B$26+Inputs!$B$29,IF(Skills!C22=3,120+Inputs!$B$27+Inputs!$B$29,MAX(0,(Inputs!$B$3-100)*3)+Inputs!$B$28+Inputs!$B$29)))</f>
        <v/>
      </c>
      <c r="E2589">
        <f>INDEX(FactorTable!$B$2:$Y$301, MATCH(ROUND(MIN(300,MAX(1,D2589)),0), FactorTable!$A$2:$A$301,0), Skills!M22+1)</f>
        <v/>
      </c>
      <c r="F2589">
        <f>IF(Skills!N22=TRUE,(Skills!L22/10)*(E2589/1000),Skills!L22/10)+Skills!O22</f>
        <v/>
      </c>
      <c r="G2589">
        <f>Skills!G22*IF(Skills!H22&gt;0,INT(IF(Inputs!$B$38="pvp",MIN(Skills!I22,15),Skills!I22)/Skills!H22+0.000000001),1)</f>
        <v/>
      </c>
      <c r="H2589">
        <f>1-(1-Skills!J22/100)^Skills!K22</f>
        <v/>
      </c>
      <c r="I2589" t="inlineStr">
        <is>
          <t>1</t>
        </is>
      </c>
      <c r="J2589" t="inlineStr"/>
      <c r="K2589" t="inlineStr"/>
      <c r="L2589" t="inlineStr"/>
      <c r="M2589" t="inlineStr"/>
      <c r="N2589" t="inlineStr"/>
      <c r="O2589">
        <f>(1-Summary!$B$11)*T2589+Summary!$B$11*V2589</f>
        <v/>
      </c>
      <c r="P2589">
        <f>IF(B2612=0,0,O2589/B2612)</f>
        <v/>
      </c>
      <c r="Q2589" t="n">
        <v>0</v>
      </c>
      <c r="R2589" t="n">
        <v>0</v>
      </c>
      <c r="S2589">
        <f>IFERROR(O2589/N2589,0)</f>
        <v/>
      </c>
      <c r="T2589" t="n">
        <v>0</v>
      </c>
      <c r="V2589" t="n">
        <v>0</v>
      </c>
    </row>
    <row r="2590">
      <c r="A2590">
        <f>Skills!A23</f>
        <v/>
      </c>
      <c r="B2590">
        <f>Skills!B23</f>
        <v/>
      </c>
      <c r="C2590">
        <f>Inputs!$B$3&gt;=10</f>
        <v/>
      </c>
      <c r="D2590">
        <f>IF(Skills!C23=1,60+Inputs!$B$25+Inputs!$B$29,IF(Skills!C23=2,90+Inputs!$B$26+Inputs!$B$29,IF(Skills!C23=3,120+Inputs!$B$27+Inputs!$B$29,MAX(0,(Inputs!$B$3-100)*3)+Inputs!$B$28+Inputs!$B$29)))</f>
        <v/>
      </c>
      <c r="E2590">
        <f>INDEX(FactorTable!$B$2:$Y$301, MATCH(ROUND(MIN(300,MAX(1,D2590)),0), FactorTable!$A$2:$A$301,0), Skills!M23+1)</f>
        <v/>
      </c>
      <c r="F2590">
        <f>IF(Skills!N23=TRUE,(Skills!L23/10)*(E2590/1000),Skills!L23/10)+Skills!O23</f>
        <v/>
      </c>
      <c r="G2590">
        <f>Skills!G23*IF(Skills!H23&gt;0,INT(IF(Inputs!$B$38="pvp",MIN(Skills!I23,15),Skills!I23)/Skills!H23+0.000000001),1)</f>
        <v/>
      </c>
      <c r="H2590">
        <f>1-(1-Skills!J23/100)^Skills!K23</f>
        <v/>
      </c>
      <c r="I2590" t="inlineStr">
        <is>
          <t>1</t>
        </is>
      </c>
      <c r="J2590" t="inlineStr"/>
      <c r="K2590" t="inlineStr"/>
      <c r="L2590" t="inlineStr"/>
      <c r="M2590" t="inlineStr"/>
      <c r="N2590" t="inlineStr"/>
      <c r="O2590">
        <f>(1-Summary!$B$11)*T2590+Summary!$B$11*V2590</f>
        <v/>
      </c>
      <c r="P2590">
        <f>IF(B2612=0,0,O2590/B2612)</f>
        <v/>
      </c>
      <c r="Q2590" t="n">
        <v>0</v>
      </c>
      <c r="R2590" t="n">
        <v>0</v>
      </c>
      <c r="S2590">
        <f>IFERROR(O2590/N2590,0)</f>
        <v/>
      </c>
      <c r="T2590" t="n">
        <v>0</v>
      </c>
      <c r="V2590" t="n">
        <v>0</v>
      </c>
    </row>
    <row r="2591">
      <c r="A2591">
        <f>Skills!A24</f>
        <v/>
      </c>
      <c r="B2591">
        <f>Skills!B24</f>
        <v/>
      </c>
      <c r="C2591">
        <f>Inputs!$B$3&gt;=33</f>
        <v/>
      </c>
      <c r="D2591">
        <f>IF(Skills!C24=1,60+Inputs!$B$25+Inputs!$B$29,IF(Skills!C24=2,90+Inputs!$B$26+Inputs!$B$29,IF(Skills!C24=3,120+Inputs!$B$27+Inputs!$B$29,MAX(0,(Inputs!$B$3-100)*3)+Inputs!$B$28+Inputs!$B$29)))</f>
        <v/>
      </c>
      <c r="E2591">
        <f>INDEX(FactorTable!$B$2:$Y$301, MATCH(ROUND(MIN(300,MAX(1,D2591)),0), FactorTable!$A$2:$A$301,0), Skills!M24+1)</f>
        <v/>
      </c>
      <c r="F2591">
        <f>IF(Skills!N24=TRUE,(Skills!L24/10)*(E2591/1000),Skills!L24/10)+Skills!O24</f>
        <v/>
      </c>
      <c r="G2591">
        <f>Skills!G24*IF(Skills!H24&gt;0,INT(IF(Inputs!$B$38="pvp",MIN(Skills!I24,15),Skills!I24)/Skills!H24+0.000000001),1)</f>
        <v/>
      </c>
      <c r="H2591">
        <f>1-(1-Skills!J24/100)^Skills!K24</f>
        <v/>
      </c>
      <c r="I2591" t="inlineStr">
        <is>
          <t>1</t>
        </is>
      </c>
      <c r="J2591" t="inlineStr"/>
      <c r="K2591" t="inlineStr"/>
      <c r="L2591" t="inlineStr"/>
      <c r="M2591" t="inlineStr"/>
      <c r="N2591" t="inlineStr"/>
      <c r="O2591">
        <f>(1-Summary!$B$11)*T2591+Summary!$B$11*V2591</f>
        <v/>
      </c>
      <c r="P2591">
        <f>IF(B2612=0,0,O2591/B2612)</f>
        <v/>
      </c>
      <c r="Q2591" t="n">
        <v>0</v>
      </c>
      <c r="R2591" t="n">
        <v>0</v>
      </c>
      <c r="S2591">
        <f>IFERROR(O2591/N2591,0)</f>
        <v/>
      </c>
      <c r="T2591" t="n">
        <v>0</v>
      </c>
      <c r="V2591" t="n">
        <v>0</v>
      </c>
    </row>
    <row r="2592">
      <c r="A2592">
        <f>Skills!A25</f>
        <v/>
      </c>
      <c r="B2592">
        <f>Skills!B25</f>
        <v/>
      </c>
      <c r="C2592">
        <f>Inputs!$B$3&gt;=38</f>
        <v/>
      </c>
      <c r="D2592">
        <f>IF(Skills!C25=1,60+Inputs!$B$25+Inputs!$B$29,IF(Skills!C25=2,90+Inputs!$B$26+Inputs!$B$29,IF(Skills!C25=3,120+Inputs!$B$27+Inputs!$B$29,MAX(0,(Inputs!$B$3-100)*3)+Inputs!$B$28+Inputs!$B$29)))</f>
        <v/>
      </c>
      <c r="E2592">
        <f>INDEX(FactorTable!$B$2:$Y$301, MATCH(ROUND(MIN(300,MAX(1,D2592)),0), FactorTable!$A$2:$A$301,0), Skills!M25+1)</f>
        <v/>
      </c>
      <c r="F2592">
        <f>IF(Skills!N25=TRUE,(Skills!L25/10)*(E2592/1000),Skills!L25/10)+Skills!O25</f>
        <v/>
      </c>
      <c r="G2592">
        <f>Skills!G25*IF(Skills!H25&gt;0,INT(IF(Inputs!$B$38="pvp",MIN(Skills!I25,15),Skills!I25)/Skills!H25+0.000000001),1)</f>
        <v/>
      </c>
      <c r="H2592">
        <f>1-(1-Skills!J25/100)^Skills!K25</f>
        <v/>
      </c>
      <c r="I2592" t="inlineStr">
        <is>
          <t>1</t>
        </is>
      </c>
      <c r="J2592" t="inlineStr"/>
      <c r="K2592" t="inlineStr"/>
      <c r="L2592" t="inlineStr"/>
      <c r="M2592" t="inlineStr"/>
      <c r="N2592" t="inlineStr"/>
      <c r="O2592">
        <f>(1-Summary!$B$11)*T2592+Summary!$B$11*V2592</f>
        <v/>
      </c>
      <c r="P2592">
        <f>IF(B2612=0,0,O2592/B2612)</f>
        <v/>
      </c>
      <c r="Q2592" t="n">
        <v>0</v>
      </c>
      <c r="R2592" t="n">
        <v>0</v>
      </c>
      <c r="S2592">
        <f>IFERROR(O2592/N2592,0)</f>
        <v/>
      </c>
      <c r="T2592" t="n">
        <v>0</v>
      </c>
      <c r="V2592" t="n">
        <v>0</v>
      </c>
    </row>
    <row r="2593">
      <c r="A2593">
        <f>Skills!A26</f>
        <v/>
      </c>
      <c r="B2593">
        <f>Skills!B26</f>
        <v/>
      </c>
      <c r="C2593">
        <f>Inputs!$B$3&gt;=43</f>
        <v/>
      </c>
      <c r="D2593">
        <f>IF(Skills!C26=1,60+Inputs!$B$25+Inputs!$B$29,IF(Skills!C26=2,90+Inputs!$B$26+Inputs!$B$29,IF(Skills!C26=3,120+Inputs!$B$27+Inputs!$B$29,MAX(0,(Inputs!$B$3-100)*3)+Inputs!$B$28+Inputs!$B$29)))</f>
        <v/>
      </c>
      <c r="E2593">
        <f>INDEX(FactorTable!$B$2:$Y$301, MATCH(ROUND(MIN(300,MAX(1,D2593)),0), FactorTable!$A$2:$A$301,0), Skills!M26+1)</f>
        <v/>
      </c>
      <c r="F2593">
        <f>IF(Skills!N26=TRUE,(Skills!L26/10)*(E2593/1000),Skills!L26/10)+Skills!O26</f>
        <v/>
      </c>
      <c r="G2593">
        <f>Skills!G26*IF(Skills!H26&gt;0,INT(IF(Inputs!$B$38="pvp",MIN(Skills!I26,15),Skills!I26)/Skills!H26+0.000000001),1)</f>
        <v/>
      </c>
      <c r="H2593">
        <f>1-(1-Skills!J26/100)^Skills!K26</f>
        <v/>
      </c>
      <c r="I2593" t="inlineStr">
        <is>
          <t>1</t>
        </is>
      </c>
      <c r="J2593" t="inlineStr"/>
      <c r="K2593" t="inlineStr"/>
      <c r="L2593" t="inlineStr"/>
      <c r="M2593" t="inlineStr"/>
      <c r="N2593" t="inlineStr"/>
      <c r="O2593">
        <f>(1-Summary!$B$11)*T2593+Summary!$B$11*V2593</f>
        <v/>
      </c>
      <c r="P2593">
        <f>IF(B2612=0,0,O2593/B2612)</f>
        <v/>
      </c>
      <c r="Q2593" t="n">
        <v>0</v>
      </c>
      <c r="R2593" t="n">
        <v>0</v>
      </c>
      <c r="S2593">
        <f>IFERROR(O2593/N2593,0)</f>
        <v/>
      </c>
      <c r="T2593" t="n">
        <v>0</v>
      </c>
      <c r="V2593" t="n">
        <v>0</v>
      </c>
    </row>
    <row r="2594">
      <c r="A2594">
        <f>Skills!A27</f>
        <v/>
      </c>
      <c r="B2594">
        <f>Skills!B27</f>
        <v/>
      </c>
      <c r="C2594">
        <f>Inputs!$B$3&gt;=75</f>
        <v/>
      </c>
      <c r="D2594">
        <f>IF(Skills!C27=1,60+Inputs!$B$25+Inputs!$B$29,IF(Skills!C27=2,90+Inputs!$B$26+Inputs!$B$29,IF(Skills!C27=3,120+Inputs!$B$27+Inputs!$B$29,MAX(0,(Inputs!$B$3-100)*3)+Inputs!$B$28+Inputs!$B$29)))</f>
        <v/>
      </c>
      <c r="E2594">
        <f>INDEX(FactorTable!$B$2:$Y$301, MATCH(ROUND(MIN(300,MAX(1,D2594)),0), FactorTable!$A$2:$A$301,0), Skills!M27+1)</f>
        <v/>
      </c>
      <c r="F2594">
        <f>IF(Skills!N27=TRUE,(Skills!L27/10)*(E2594/1000),Skills!L27/10)+Skills!O27</f>
        <v/>
      </c>
      <c r="G2594">
        <f>Skills!G27*IF(Skills!H27&gt;0,INT(IF(Inputs!$B$38="pvp",MIN(Skills!I27,15),Skills!I27)/Skills!H27+0.000000001),1)</f>
        <v/>
      </c>
      <c r="H2594">
        <f>1-(1-Skills!J27/100)^Skills!K27</f>
        <v/>
      </c>
      <c r="I2594" t="inlineStr">
        <is>
          <t>1</t>
        </is>
      </c>
      <c r="J2594" t="inlineStr"/>
      <c r="K2594" t="inlineStr"/>
      <c r="L2594" t="inlineStr"/>
      <c r="M2594" t="inlineStr"/>
      <c r="N2594" t="inlineStr"/>
      <c r="O2594">
        <f>(1-Summary!$B$11)*T2594+Summary!$B$11*V2594</f>
        <v/>
      </c>
      <c r="P2594">
        <f>IF(B2612=0,0,O2594/B2612)</f>
        <v/>
      </c>
      <c r="Q2594" t="n">
        <v>0</v>
      </c>
      <c r="R2594" t="n">
        <v>0</v>
      </c>
      <c r="S2594">
        <f>IFERROR(O2594/N2594,0)</f>
        <v/>
      </c>
      <c r="T2594" t="n">
        <v>0</v>
      </c>
      <c r="V2594" t="n">
        <v>0</v>
      </c>
    </row>
    <row r="2595">
      <c r="A2595">
        <f>Skills!A28</f>
        <v/>
      </c>
      <c r="B2595">
        <f>Skills!B28</f>
        <v/>
      </c>
      <c r="C2595">
        <f>Inputs!$B$3&gt;=125</f>
        <v/>
      </c>
      <c r="D2595">
        <f>IF(Skills!C28=1,60+Inputs!$B$25+Inputs!$B$29,IF(Skills!C28=2,90+Inputs!$B$26+Inputs!$B$29,IF(Skills!C28=3,120+Inputs!$B$27+Inputs!$B$29,MAX(0,(Inputs!$B$3-100)*3)+Inputs!$B$28+Inputs!$B$29)))</f>
        <v/>
      </c>
      <c r="E2595">
        <f>INDEX(FactorTable!$B$2:$Y$301, MATCH(ROUND(MIN(300,MAX(1,D2595)),0), FactorTable!$A$2:$A$301,0), Skills!M28+1)</f>
        <v/>
      </c>
      <c r="F2595">
        <f>IF(Skills!N28=TRUE,(Skills!L28/10)*(E2595/1000),Skills!L28/10)+Skills!O28</f>
        <v/>
      </c>
      <c r="G2595">
        <f>Skills!G28*IF(Skills!H28&gt;0,INT(IF(Inputs!$B$38="pvp",MIN(Skills!I28,15),Skills!I28)/Skills!H28+0.000000001),1)</f>
        <v/>
      </c>
      <c r="H2595">
        <f>1-(1-Skills!J28/100)^Skills!K28</f>
        <v/>
      </c>
      <c r="I2595" t="inlineStr">
        <is>
          <t>1</t>
        </is>
      </c>
      <c r="J2595" t="inlineStr"/>
      <c r="K2595" t="inlineStr"/>
      <c r="L2595" t="inlineStr"/>
      <c r="M2595" t="inlineStr"/>
      <c r="N2595" t="inlineStr"/>
      <c r="O2595">
        <f>(1-Summary!$B$11)*T2595+Summary!$B$11*V2595</f>
        <v/>
      </c>
      <c r="P2595">
        <f>IF(B2612=0,0,O2595/B2612)</f>
        <v/>
      </c>
      <c r="Q2595" t="n">
        <v>0</v>
      </c>
      <c r="R2595" t="n">
        <v>0</v>
      </c>
      <c r="S2595">
        <f>IFERROR(O2595/N2595,0)</f>
        <v/>
      </c>
      <c r="T2595" t="n">
        <v>0</v>
      </c>
      <c r="V2595" t="n">
        <v>0</v>
      </c>
    </row>
    <row r="2596">
      <c r="A2596">
        <f>Skills!A29</f>
        <v/>
      </c>
      <c r="B2596">
        <f>Skills!B29</f>
        <v/>
      </c>
      <c r="C2596">
        <f>Inputs!$B$3&gt;=125</f>
        <v/>
      </c>
      <c r="D2596">
        <f>IF(Skills!C29=1,60+Inputs!$B$25+Inputs!$B$29,IF(Skills!C29=2,90+Inputs!$B$26+Inputs!$B$29,IF(Skills!C29=3,120+Inputs!$B$27+Inputs!$B$29,MAX(0,(Inputs!$B$3-100)*3)+Inputs!$B$28+Inputs!$B$29)))</f>
        <v/>
      </c>
      <c r="E2596">
        <f>INDEX(FactorTable!$B$2:$Y$301, MATCH(ROUND(MIN(300,MAX(1,D2596)),0), FactorTable!$A$2:$A$301,0), Skills!M29+1)</f>
        <v/>
      </c>
      <c r="F2596">
        <f>IF(Skills!N29=TRUE,(Skills!L29/10)*(E2596/1000),Skills!L29/10)+Skills!O29</f>
        <v/>
      </c>
      <c r="G2596">
        <f>Skills!G29*IF(Skills!H29&gt;0,INT(IF(Inputs!$B$38="pvp",MIN(Skills!I29,15),Skills!I29)/Skills!H29+0.000000001),1)</f>
        <v/>
      </c>
      <c r="H2596">
        <f>1-(1-Skills!J29/100)^Skills!K29</f>
        <v/>
      </c>
      <c r="I2596" t="inlineStr">
        <is>
          <t>1</t>
        </is>
      </c>
      <c r="J2596" t="inlineStr"/>
      <c r="K2596" t="inlineStr"/>
      <c r="L2596" t="inlineStr"/>
      <c r="M2596" t="inlineStr"/>
      <c r="N2596" t="inlineStr"/>
      <c r="O2596">
        <f>(1-Summary!$B$11)*T2596+Summary!$B$11*V2596</f>
        <v/>
      </c>
      <c r="P2596">
        <f>IF(B2612=0,0,O2596/B2612)</f>
        <v/>
      </c>
      <c r="Q2596" t="n">
        <v>0</v>
      </c>
      <c r="R2596" t="n">
        <v>0</v>
      </c>
      <c r="S2596">
        <f>IFERROR(O2596/N2596,0)</f>
        <v/>
      </c>
      <c r="T2596" t="n">
        <v>0</v>
      </c>
      <c r="V2596" t="n">
        <v>0</v>
      </c>
    </row>
    <row r="2597">
      <c r="A2597">
        <f>Skills!A30</f>
        <v/>
      </c>
      <c r="B2597">
        <f>Skills!B30</f>
        <v/>
      </c>
      <c r="C2597">
        <f>Inputs!$B$3&gt;=120</f>
        <v/>
      </c>
      <c r="D2597">
        <f>IF(Skills!C30=1,60+Inputs!$B$25+Inputs!$B$29,IF(Skills!C30=2,90+Inputs!$B$26+Inputs!$B$29,IF(Skills!C30=3,120+Inputs!$B$27+Inputs!$B$29,MAX(0,(Inputs!$B$3-100)*3)+Inputs!$B$28+Inputs!$B$29)))</f>
        <v/>
      </c>
      <c r="E2597">
        <f>INDEX(FactorTable!$B$2:$Y$301, MATCH(ROUND(MIN(300,MAX(1,D2597)),0), FactorTable!$A$2:$A$301,0), Skills!M30+1)</f>
        <v/>
      </c>
      <c r="F2597">
        <f>IF(Skills!N30=TRUE,(Skills!L30/10)*(E2597/1000),Skills!L30/10)+Skills!O30</f>
        <v/>
      </c>
      <c r="G2597">
        <f>Skills!G30*IF(Skills!H30&gt;0,INT(IF(Inputs!$B$38="pvp",MIN(Skills!I30,15),Skills!I30)/Skills!H30+0.000000001),1)</f>
        <v/>
      </c>
      <c r="H2597">
        <f>1-(1-Skills!J30/100)^Skills!K30</f>
        <v/>
      </c>
      <c r="I2597" t="inlineStr">
        <is>
          <t>1</t>
        </is>
      </c>
      <c r="J2597" t="inlineStr"/>
      <c r="K2597" t="inlineStr"/>
      <c r="L2597" t="inlineStr"/>
      <c r="M2597" t="inlineStr"/>
      <c r="N2597" t="inlineStr"/>
      <c r="O2597">
        <f>(1-Summary!$B$11)*T2597+Summary!$B$11*V2597</f>
        <v/>
      </c>
      <c r="P2597">
        <f>IF(B2612=0,0,O2597/B2612)</f>
        <v/>
      </c>
      <c r="Q2597" t="n">
        <v>0</v>
      </c>
      <c r="R2597" t="n">
        <v>0</v>
      </c>
      <c r="S2597">
        <f>IFERROR(O2597/N2597,0)</f>
        <v/>
      </c>
      <c r="T2597" t="n">
        <v>0</v>
      </c>
      <c r="V2597" t="n">
        <v>0</v>
      </c>
    </row>
    <row r="2598">
      <c r="A2598">
        <f>Skills!A31</f>
        <v/>
      </c>
      <c r="B2598">
        <f>Skills!B31</f>
        <v/>
      </c>
      <c r="C2598">
        <f>Inputs!$B$3&gt;=120</f>
        <v/>
      </c>
      <c r="D2598">
        <f>IF(Skills!C31=1,60+Inputs!$B$25+Inputs!$B$29,IF(Skills!C31=2,90+Inputs!$B$26+Inputs!$B$29,IF(Skills!C31=3,120+Inputs!$B$27+Inputs!$B$29,MAX(0,(Inputs!$B$3-100)*3)+Inputs!$B$28+Inputs!$B$29)))</f>
        <v/>
      </c>
      <c r="E2598">
        <f>INDEX(FactorTable!$B$2:$Y$301, MATCH(ROUND(MIN(300,MAX(1,D2598)),0), FactorTable!$A$2:$A$301,0), Skills!M31+1)</f>
        <v/>
      </c>
      <c r="F2598">
        <f>IF(Skills!N31=TRUE,(Skills!L31/10)*(E2598/1000),Skills!L31/10)+Skills!O31</f>
        <v/>
      </c>
      <c r="G2598">
        <f>Skills!G31*IF(Skills!H31&gt;0,INT(IF(Inputs!$B$38="pvp",MIN(Skills!I31,15),Skills!I31)/Skills!H31+0.000000001),1)</f>
        <v/>
      </c>
      <c r="H2598">
        <f>1-(1-Skills!J31/100)^Skills!K31</f>
        <v/>
      </c>
      <c r="I2598" t="inlineStr">
        <is>
          <t>1</t>
        </is>
      </c>
      <c r="J2598" t="inlineStr"/>
      <c r="K2598" t="inlineStr"/>
      <c r="L2598" t="inlineStr"/>
      <c r="M2598" t="inlineStr"/>
      <c r="N2598" t="inlineStr"/>
      <c r="O2598">
        <f>(1-Summary!$B$11)*T2598+Summary!$B$11*V2598</f>
        <v/>
      </c>
      <c r="P2598">
        <f>IF(B2612=0,0,O2598/B2612)</f>
        <v/>
      </c>
      <c r="Q2598" t="n">
        <v>0</v>
      </c>
      <c r="R2598" t="n">
        <v>0</v>
      </c>
      <c r="S2598">
        <f>IFERROR(O2598/N2598,0)</f>
        <v/>
      </c>
      <c r="T2598" t="n">
        <v>0</v>
      </c>
      <c r="V2598" t="n">
        <v>0</v>
      </c>
    </row>
    <row r="2599">
      <c r="A2599">
        <f>Skills!A32</f>
        <v/>
      </c>
      <c r="B2599">
        <f>Skills!B32</f>
        <v/>
      </c>
      <c r="C2599">
        <f>Inputs!$B$3&gt;=45</f>
        <v/>
      </c>
      <c r="D2599">
        <f>IF(Skills!C32=1,60+Inputs!$B$25+Inputs!$B$29,IF(Skills!C32=2,90+Inputs!$B$26+Inputs!$B$29,IF(Skills!C32=3,120+Inputs!$B$27+Inputs!$B$29,MAX(0,(Inputs!$B$3-100)*3)+Inputs!$B$28+Inputs!$B$29)))</f>
        <v/>
      </c>
      <c r="E2599">
        <f>INDEX(FactorTable!$B$2:$Y$301, MATCH(ROUND(MIN(300,MAX(1,D2599)),0), FactorTable!$A$2:$A$301,0), Skills!M32+1)</f>
        <v/>
      </c>
      <c r="F2599">
        <f>IF(Skills!N32=TRUE,(Skills!L32/10)*(E2599/1000),Skills!L32/10)+Skills!O32</f>
        <v/>
      </c>
      <c r="G2599">
        <f>Skills!G32*IF(Skills!H32&gt;0,INT(IF(Inputs!$B$38="pvp",MIN(Skills!I32,15),Skills!I32)/Skills!H32+0.000000001),1)</f>
        <v/>
      </c>
      <c r="H2599">
        <f>1-(1-Skills!J32/100)^Skills!K32</f>
        <v/>
      </c>
      <c r="I2599" t="inlineStr">
        <is>
          <t>1</t>
        </is>
      </c>
      <c r="J2599" t="inlineStr"/>
      <c r="K2599" t="inlineStr"/>
      <c r="L2599" t="inlineStr"/>
      <c r="M2599" t="inlineStr"/>
      <c r="N2599" t="inlineStr"/>
      <c r="O2599">
        <f>(1-Summary!$B$11)*T2599+Summary!$B$11*V2599</f>
        <v/>
      </c>
      <c r="P2599">
        <f>IF(B2612=0,0,O2599/B2612)</f>
        <v/>
      </c>
      <c r="Q2599" t="n">
        <v>0</v>
      </c>
      <c r="R2599" t="n">
        <v>0</v>
      </c>
      <c r="S2599">
        <f>IFERROR(O2599/N2599,0)</f>
        <v/>
      </c>
      <c r="T2599" t="n">
        <v>0</v>
      </c>
      <c r="V2599" t="n">
        <v>0</v>
      </c>
    </row>
    <row r="2601">
      <c r="A2601" t="inlineStr">
        <is>
          <t>Attack% Bucket Multiplier</t>
        </is>
      </c>
      <c r="B2601">
        <f>(1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2">
      <c r="A2602" t="inlineStr">
        <is>
          <t>Global Crit Rate Bonus %</t>
        </is>
      </c>
      <c r="B2602" t="n">
        <v>0</v>
      </c>
    </row>
    <row r="2603">
      <c r="A2603" t="inlineStr">
        <is>
          <t>Attack Speed Buff Bonus %</t>
        </is>
      </c>
      <c r="B2603">
        <f>((C2588=TRUE)*F2588*IF(AND(Inputs!$B$38&lt;&gt;"pvp",Inputs!$B$43&gt;0),(((R2588-1)*MIN((Skills!T21*(1+Inputs!$B$34/100)),(1/Q2588))+MIN((Skills!T21*(1+Inputs!$B$34/100)),MAX(0,Inputs!$B$43-((R2588-1)*(1/Q2588)))))/Inputs!$B$43),IF(Inputs!$B$38="pvp",MIN((Skills!T21*(1+Inputs!$B$34/100)),15)/15,MIN(1,(Skills!T21*(1+Inputs!$B$34/100))/(1/Q2588)))))</f>
        <v/>
      </c>
    </row>
    <row r="2604">
      <c r="A2604" t="inlineStr">
        <is>
          <t>Actions Per Second</t>
        </is>
      </c>
      <c r="B2604">
        <f>1+MIN(150,150*(1-(1-(Inputs!$B$11+((C2590=TRUE)*(F2590-Calc!F23))+((C2591=TRUE)*(F2591-Calc!F24)))/150)*(1-B2603/150)))/100</f>
        <v/>
      </c>
    </row>
    <row r="2605">
      <c r="A2605" t="inlineStr">
        <is>
          <t>Skill + Buff Cast Rate</t>
        </is>
      </c>
      <c r="B2605">
        <f>IF(AND(Inputs!$B$38&lt;&gt;"pvp",Inputs!$B$43&gt;0),SUMPRODUCT((Skills!E2:E32=TRUE)*(C2569:C2599=TRUE)*R2569:R2599*Skills!F2:F32)/Inputs!$B$43,SUMPRODUCT((Skills!E2:E32=TRUE)*(C2569:C2599=TRUE)*Q2569:Q2599*Skills!F2:F32))</f>
        <v/>
      </c>
    </row>
    <row r="2606">
      <c r="A2606" t="inlineStr">
        <is>
          <t>Arrow Stream Casts Per Second</t>
        </is>
      </c>
      <c r="B2606">
        <f>MAX(0,B2604-B2605)</f>
        <v/>
      </c>
    </row>
    <row r="2607">
      <c r="A2607" t="inlineStr">
        <is>
          <t>Global Critical Damage Bonus % (Sharp Eyes + Concentration)</t>
        </is>
      </c>
      <c r="B2607">
        <f>(C2585=TRUE)*F2585*IF(AND(Inputs!$B$38&lt;&gt;"pvp",Inputs!$B$43&gt;0),(((R2585-1)*MIN((Skills!T18*(1+Inputs!$B$34/100)),(1/Q2585))+MIN((Skills!T18*(1+Inputs!$B$34/100)),MAX(0,Inputs!$B$43-((R2585-1)*(1/Q2585)))))/Inputs!$B$43),IF(Inputs!$B$38="pvp",MIN((Skills!T18*(1+Inputs!$B$34/100)),15)/15,MIN(1,(Skills!T18*(1+Inputs!$B$34/100))/(1/Q2585))))+(C2586=TRUE)*7*F2586</f>
        <v/>
      </c>
    </row>
    <row r="2608">
      <c r="A2608" t="inlineStr">
        <is>
          <t>Global Final Damage Bonus % (Mortal Blow)</t>
        </is>
      </c>
      <c r="B2608">
        <f>(C2587=TRUE)*F2587</f>
        <v/>
      </c>
    </row>
    <row r="2609">
      <c r="A2609" t="inlineStr">
        <is>
          <t>Buff-Casting Startup Delay (s, fixed-duration only)</t>
        </is>
      </c>
      <c r="B2609">
        <f>IF(AND(Inputs!$B$38&lt;&gt;"pvp",Inputs!$B$43&gt;0),SUMPRODUCT((Skills!T2:T32&gt;0)*(Skills!E2:E32=TRUE)*(C2569:C2599=TRUE))/B2604,0)</f>
        <v/>
      </c>
    </row>
    <row r="2610">
      <c r="A2610" t="inlineStr">
        <is>
          <t>Boss-Only Total DPS (this block's swept value)</t>
        </is>
      </c>
      <c r="B2610">
        <f>SUM(T2569:T2599)</f>
        <v/>
      </c>
    </row>
    <row r="2611">
      <c r="A2611" t="inlineStr">
        <is>
          <t>Normal-Only Total DPS (this block's swept value)</t>
        </is>
      </c>
      <c r="B2611">
        <f>SUM(V2569:V2599)</f>
        <v/>
      </c>
    </row>
    <row r="2612">
      <c r="A2612" s="6" t="inlineStr">
        <is>
          <t>TOTAL DPS</t>
        </is>
      </c>
      <c r="B2612" s="6">
        <f>SUM(O2569:O2599)</f>
        <v/>
      </c>
    </row>
    <row r="2615">
      <c r="A2615" s="6" t="inlineStr">
        <is>
          <t>Stat: Bottle of Emotion (Equip)</t>
        </is>
      </c>
    </row>
    <row r="2616">
      <c r="A2616" s="5" t="inlineStr">
        <is>
          <t>Key</t>
        </is>
      </c>
      <c r="B2616" s="5" t="inlineStr">
        <is>
          <t>Name</t>
        </is>
      </c>
      <c r="C2616" s="5" t="inlineStr">
        <is>
          <t>Unlocked</t>
        </is>
      </c>
      <c r="D2616" s="5" t="inlineStr">
        <is>
          <t>InputLevel</t>
        </is>
      </c>
      <c r="E2616" s="5" t="inlineStr">
        <is>
          <t>Factor</t>
        </is>
      </c>
      <c r="F2616" s="5" t="inlineStr">
        <is>
          <t>CoefficientPercent</t>
        </is>
      </c>
      <c r="G2616" s="5" t="inlineStr">
        <is>
          <t>EffectiveHits</t>
        </is>
      </c>
      <c r="H2616" s="5" t="inlineStr">
        <is>
          <t>ProcProbability</t>
        </is>
      </c>
      <c r="I2616" s="5" t="inlineStr">
        <is>
          <t>MapleHeroMultiplier</t>
        </is>
      </c>
      <c r="J2616" s="5" t="inlineStr">
        <is>
          <t>BaseDamage</t>
        </is>
      </c>
      <c r="K2616" s="5" t="inlineStr">
        <is>
          <t>BaseHitDamage</t>
        </is>
      </c>
      <c r="L2616" s="5" t="inlineStr">
        <is>
          <t>NonCritAvg</t>
        </is>
      </c>
      <c r="M2616" s="5" t="inlineStr">
        <is>
          <t>CritAvg</t>
        </is>
      </c>
      <c r="N2616" s="5" t="inlineStr">
        <is>
          <t>ExpectedDamage(perHit)</t>
        </is>
      </c>
      <c r="O2616" s="5" t="inlineStr">
        <is>
          <t>DPS</t>
        </is>
      </c>
      <c r="P2616" s="5" t="inlineStr">
        <is>
          <t>% of Total</t>
        </is>
      </c>
      <c r="Q2616" s="5" t="inlineStr">
        <is>
          <t>InvCooldown</t>
        </is>
      </c>
      <c r="R2616" s="5" t="inlineStr">
        <is>
          <t>CastsInFight</t>
        </is>
      </c>
      <c r="S2616" s="5" t="inlineStr">
        <is>
          <t>HitRate(perSec)</t>
        </is>
      </c>
      <c r="U2616" t="inlineStr">
        <is>
          <t>helpers</t>
        </is>
      </c>
    </row>
    <row r="2617">
      <c r="A2617">
        <f>Skills!A2</f>
        <v/>
      </c>
      <c r="B2617">
        <f>Skills!B2</f>
        <v/>
      </c>
      <c r="C2617">
        <f>Inputs!$B$3&gt;=100</f>
        <v/>
      </c>
      <c r="D2617" t="inlineStr"/>
      <c r="E2617" t="inlineStr"/>
      <c r="F2617">
        <f>U2619+Skills!O2</f>
        <v/>
      </c>
      <c r="G2617">
        <f>Skills!G2*IF(Skills!H2&gt;0,INT(IF(Inputs!$B$38="pvp",MIN(Skills!I2,15),Skills!I2)/Skills!H2+0.000000001),1)</f>
        <v/>
      </c>
      <c r="H2617">
        <f>1-(1-Skills!J2/100)^Skills!K2</f>
        <v/>
      </c>
      <c r="I2617" t="inlineStr">
        <is>
          <t>1</t>
        </is>
      </c>
      <c r="J2617">
        <f>((Inputs!$B$6*(1+Inputs!$B$7/100))+(((Inputs!$B$12*(1+Inputs!$B$13/100))-(Inputs!$B$12*(1+Inputs!$B$13/100)))+0.25*(Inputs!$B$14-Inputs!$B$14))*(1+Inputs!$B$7/100))*(F2617/100)</f>
        <v/>
      </c>
      <c r="K2617">
        <f>J2617*(1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2641=TRUE)*(F2641-Calc!F26)),(Inputs!$B$23+((C2646=TRUE)*(F2646-Calc!F31))+(IF(ArtifactsInput!$M$15,CHOOSE(ArtifactsInput!$N$15+1,25,30,35,40,45,50)/100*(Inputs!$B$11-Inputs!$B$11),0))))/100+(Inputs!$B$23+((C2646=TRUE)*(F2646-Calc!F31))+(IF(ArtifactsInput!$M$15,CHOOSE(ArtifactsInput!$N$15+1,25,30,35,40,45,50)/100*(Inputs!$B$11-Inputs!$B$11),0)))/100)/2</f>
        <v/>
      </c>
      <c r="M2617">
        <f>L2617*(1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IF(B2660=0,0,O2617/B2660)</f>
        <v/>
      </c>
      <c r="Q2617" t="n">
        <v>0</v>
      </c>
      <c r="R2617" t="n">
        <v>0</v>
      </c>
      <c r="S2617">
        <f>IFERROR(O2617/N2617,0)</f>
        <v/>
      </c>
      <c r="T2617">
        <f>IF(C2617,(Skills!G2*N2617*B2654)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7">
        <f>MAX(0,(Inputs!$B$3-100)*3)+Inputs!$B$28+Inputs!$B$29</f>
        <v/>
      </c>
      <c r="V2617">
        <f>IF(C2617,(Skills!G2*N2617*B2654)*IF(Inputs!$B$38="pvp",1,(1+(Inputs!$B$21+Skills!Q2+(IF(ArtifactsInput!$M$33,CHOOSE(ArtifactsInput!$N$33+1,30,36,42,48,54,60),0))+(IF(AND(ArtifactsInput!$M$35,Inputs!$B$4&lt;&gt;"Chapter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Skills!A3</f>
        <v/>
      </c>
      <c r="B2618">
        <f>Skills!B3</f>
        <v/>
      </c>
      <c r="C2618">
        <f>Inputs!$B$3&gt;=50</f>
        <v/>
      </c>
      <c r="D2618">
        <f>IF(Skills!C3=1,60+Inputs!$B$25+Inputs!$B$29,IF(Skills!C3=2,90+Inputs!$B$26+Inputs!$B$29,IF(Skills!C3=3,120+Inputs!$B$27+Inputs!$B$29,MAX(0,(Inputs!$B$3-100)*3)+Inputs!$B$28+Inputs!$B$29)))</f>
        <v/>
      </c>
      <c r="E2618">
        <f>INDEX(FactorTable!$B$2:$Y$301, MATCH(ROUND(MIN(300,MAX(1,D2618)),0), FactorTable!$A$2:$A$301,0), Skills!M3+1)</f>
        <v/>
      </c>
      <c r="F2618">
        <f>IF(Skills!N3=TRUE,(Skills!L3/10)*(E2618/1000),Skills!L3/10)+Skills!O3</f>
        <v/>
      </c>
      <c r="G2618">
        <f>Skills!G3*IF(Skills!H3&gt;0,INT(IF(Inputs!$B$38="pvp",MIN(Skills!I3,15),Skills!I3)/Skills!H3+0.000000001),1)</f>
        <v/>
      </c>
      <c r="H2618">
        <f>1-(1-Skills!J3/100)^Skills!K3</f>
        <v/>
      </c>
      <c r="I2618" t="inlineStr">
        <is>
          <t>1</t>
        </is>
      </c>
      <c r="J2618">
        <f>((Inputs!$B$6*(1+Inputs!$B$7/100))+(((Inputs!$B$12*(1+Inputs!$B$13/100))-(Inputs!$B$12*(1+Inputs!$B$13/100)))+0.25*(Inputs!$B$14-Inputs!$B$14))*(1+Inputs!$B$7/100))*(F2618/100)</f>
        <v/>
      </c>
      <c r="K2618">
        <f>J2618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2619=TRUE,F2619,0)/100)*(1+(IF(Skills!A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2641=TRUE)*(F2641-Calc!F26)),(Inputs!$B$23+((C2646=TRUE)*(F2646-Calc!F31))+(IF(ArtifactsInput!$M$15,CHOOSE(ArtifactsInput!$N$15+1,25,30,35,40,45,50)/100*(Inputs!$B$11-Inputs!$B$11),0))))/100+(Inputs!$B$23+((C2646=TRUE)*(F2646-Calc!F31))+(IF(ArtifactsInput!$M$15,CHOOSE(ArtifactsInput!$N$15+1,25,30,35,40,45,50)/100*(Inputs!$B$11-Inputs!$B$11),0)))/100)/2</f>
        <v/>
      </c>
      <c r="M2618">
        <f>L2618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IF(B2660=0,0,O2618/B2660)</f>
        <v/>
      </c>
      <c r="Q2618">
        <f>IFERROR(1/(IF(Inputs!$B$38="pvp",15,MAX(0.1,1/B2652-IF(FALSE=TRUE,Inputs!$B$32,0)))*(1-IF(AND(ArtifactsInput!$M$27,Inputs!$B$4="Chapter Hunt"),CHOOSE(ArtifactsInput!$N$27+1,20,24,28,32,36,40),0)/100)),0)</f>
        <v/>
      </c>
      <c r="R2618">
        <f>IF(AND(Inputs!$B$38&lt;&gt;"pvp",Inputs!$B$43&gt;0),IF(MAX(0,Inputs!$B$43-B2657)&lt;=0,0,(INT(MAX(0,Inputs!$B$43-B2657)/(IF(Inputs!$B$38="pvp",15,MAX(0.1,1/B2652-IF(FALSE=TRUE,Inputs!$B$32,0)))*(1-IF(AND(ArtifactsInput!$M$27,Inputs!$B$4="Chapter Hunt"),CHOOSE(ArtifactsInput!$N$27+1,20,24,28,32,36,40),0)/100)))+1)),0)</f>
        <v/>
      </c>
      <c r="S2618">
        <f>IFERROR(O2618/N2618,0)</f>
        <v/>
      </c>
      <c r="T2618">
        <f>IF(C2618,(H2618*N2618*IF(AND(Inputs!$B$38&lt;&gt;"pvp",Inputs!$B$43&gt;0),((Skills!G3*((R2618-1)*IF(Skills!H3&gt;0,INT(Skills!I3/Skills!H3+0.000000001),1)+IF(Skills!H3&gt;0,INT(MIN(Skills!I3,MAX(0,MAX(0,Inputs!$B$43-B2657)-((R2618-1)*(IF(Inputs!$B$38="pvp",15,MAX(0.1,1/B2652-IF(FALSE=TRUE,Inputs!$B$32,0)))*(1-IF(AND(ArtifactsInput!$M$27,Inputs!$B$4="Chapter Hunt"),CHOOSE(ArtifactsInput!$N$27+1,20,24,28,32,36,40),0)/100)))))/Skills!H3+0.000000001),1)))/Inputs!$B$43),G2618*Q2618)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8">
        <f>INDEX(FactorTable!$B$2:$Y$301, MATCH(ROUND(MIN(300,MAX(1,U2617)),0), FactorTable!$A$2:$A$301,0), 22)</f>
        <v/>
      </c>
      <c r="V2618">
        <f>IF(C2618,(H2618*N2618*IF(AND(Inputs!$B$38&lt;&gt;"pvp",Inputs!$B$43&gt;0),((Skills!G3*((R2618-1)*IF(Skills!H3&gt;0,INT(Skills!I3/Skills!H3+0.000000001),1)+IF(Skills!H3&gt;0,INT(MIN(Skills!I3,MAX(0,MAX(0,Inputs!$B$43-B2657)-((R2618-1)*(IF(Inputs!$B$38="pvp",15,MAX(0.1,1/B2652-IF(FALSE=TRUE,Inputs!$B$32,0)))*(1-IF(AND(ArtifactsInput!$M$27,Inputs!$B$4="Chapter Hunt"),CHOOSE(ArtifactsInput!$N$27+1,20,24,28,32,36,40),0)/100)))))/Skills!H3+0.000000001),1)))/Inputs!$B$43),G2618*Q2618))*IF(Inputs!$B$38="pvp",1,(1+(Inputs!$B$21+Skills!Q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Skills!A4</f>
        <v/>
      </c>
      <c r="B2619">
        <f>Skills!B4</f>
        <v/>
      </c>
      <c r="C2619">
        <f>Inputs!$B$3&gt;=105</f>
        <v/>
      </c>
      <c r="D2619">
        <f>IF(Skills!C4=1,60+Inputs!$B$25+Inputs!$B$29,IF(Skills!C4=2,90+Inputs!$B$26+Inputs!$B$29,IF(Skills!C4=3,120+Inputs!$B$27+Inputs!$B$29,MAX(0,(Inputs!$B$3-100)*3)+Inputs!$B$28+Inputs!$B$29)))</f>
        <v/>
      </c>
      <c r="E2619">
        <f>INDEX(FactorTable!$B$2:$Y$301, MATCH(ROUND(MIN(300,MAX(1,D2619)),0), FactorTable!$A$2:$A$301,0), Skills!M4+1)</f>
        <v/>
      </c>
      <c r="F2619">
        <f>IF(Skills!N4=TRUE,(Skills!L4/10)*(E2619/1000),Skills!L4/10)+Skills!O4</f>
        <v/>
      </c>
      <c r="G2619" t="inlineStr"/>
      <c r="H2619" t="inlineStr"/>
      <c r="I2619" t="inlineStr">
        <is>
          <t>1</t>
        </is>
      </c>
      <c r="J2619" t="inlineStr"/>
      <c r="K2619" t="inlineStr"/>
      <c r="L2619" t="inlineStr"/>
      <c r="M2619" t="inlineStr"/>
      <c r="N2619" t="inlineStr"/>
      <c r="O2619" t="inlineStr"/>
      <c r="P2619" t="inlineStr"/>
      <c r="Q2619" t="inlineStr"/>
      <c r="R2619" t="inlineStr"/>
      <c r="S2619" t="inlineStr"/>
      <c r="T2619" t="inlineStr"/>
      <c r="U2619">
        <f>290*U2618/1000</f>
        <v/>
      </c>
      <c r="V2619" t="inlineStr"/>
    </row>
    <row r="2620">
      <c r="A2620">
        <f>Skills!A5</f>
        <v/>
      </c>
      <c r="B2620">
        <f>Skills!B5</f>
        <v/>
      </c>
      <c r="C2620">
        <f>Inputs!$B$3&gt;=35</f>
        <v/>
      </c>
      <c r="D2620">
        <f>IF(Skills!C5=1,60+Inputs!$B$25+Inputs!$B$29,IF(Skills!C5=2,90+Inputs!$B$26+Inputs!$B$29,IF(Skills!C5=3,120+Inputs!$B$27+Inputs!$B$29,MAX(0,(Inputs!$B$3-100)*3)+Inputs!$B$28+Inputs!$B$29)))</f>
        <v/>
      </c>
      <c r="E2620">
        <f>INDEX(FactorTable!$B$2:$Y$301, MATCH(ROUND(MIN(300,MAX(1,D2620)),0), FactorTable!$A$2:$A$301,0), Skills!M5+1)</f>
        <v/>
      </c>
      <c r="F2620">
        <f>IF(Skills!N5=TRUE,(Skills!L5/10)*(E2620/1000),Skills!L5/10)+Skills!O5</f>
        <v/>
      </c>
      <c r="G2620">
        <f>Skills!G5*IF(Skills!H5&gt;0,INT(IF(Inputs!$B$38="pvp",MIN(Skills!I5,15),Skills!I5)/Skills!H5+0.000000001),1)</f>
        <v/>
      </c>
      <c r="H2620">
        <f>1-(1-Skills!J5/100)^Skills!K5</f>
        <v/>
      </c>
      <c r="I2620" t="inlineStr">
        <is>
          <t>1</t>
        </is>
      </c>
      <c r="J2620">
        <f>((Inputs!$B$6*(1+Inputs!$B$7/100))+(((Inputs!$B$12*(1+Inputs!$B$13/100))-(Inputs!$B$12*(1+Inputs!$B$13/100)))+0.25*(Inputs!$B$14-Inputs!$B$14))*(1+Inputs!$B$7/100))*(F2620/100)</f>
        <v/>
      </c>
      <c r="K2620">
        <f>J2620*(1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2627=TRUE,F2627,0)/100)*(1+(IF(Skills!A5="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2641=TRUE)*(F2641-Calc!F26)),(Inputs!$B$23+((C2646=TRUE)*(F2646-Calc!F31))+(IF(ArtifactsInput!$M$15,CHOOSE(ArtifactsInput!$N$15+1,25,30,35,40,45,50)/100*(Inputs!$B$11-Inputs!$B$11),0))))/100+(Inputs!$B$23+((C2646=TRUE)*(F2646-Calc!F31))+(IF(ArtifactsInput!$M$15,CHOOSE(ArtifactsInput!$N$15+1,25,30,35,40,45,50)/100*(Inputs!$B$11-Inputs!$B$11),0)))/100)/2</f>
        <v/>
      </c>
      <c r="M2620">
        <f>L2620*(1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IF(B2660=0,0,O2620/B2660)</f>
        <v/>
      </c>
      <c r="Q2620">
        <f>IFERROR(1/(IF(Inputs!$B$38="pvp",15,MAX(0.1,Skills!D5-IF(TRUE=TRUE,Inputs!$B$32,0)))*(1-IF(AND(ArtifactsInput!$M$27,Inputs!$B$4="Chapter Hunt"),CHOOSE(ArtifactsInput!$N$27+1,20,24,28,32,36,40),0)/100)),0)</f>
        <v/>
      </c>
      <c r="R2620">
        <f>IF(AND(Inputs!$B$38&lt;&gt;"pvp",Inputs!$B$43&gt;0),IF(MAX(0,Inputs!$B$43-B2657)&lt;=0,0,(INT(MAX(0,Inputs!$B$43-B2657)/(IF(Inputs!$B$38="pvp",15,MAX(0.1,Skills!D5-IF(TRUE=TRUE,Inputs!$B$32,0)))*(1-IF(AND(ArtifactsInput!$M$27,Inputs!$B$4="Chapter Hunt"),CHOOSE(ArtifactsInput!$N$27+1,20,24,28,32,36,40),0)/100)))+1)),0)</f>
        <v/>
      </c>
      <c r="S2620">
        <f>IFERROR(O2620/N2620,0)</f>
        <v/>
      </c>
      <c r="T2620">
        <f>IF(C2620,(H2620*N2620*IF(AND(Inputs!$B$38&lt;&gt;"pvp",Inputs!$B$43&gt;0),((Skills!G5*((R2620-1)*IF(Skills!H5&gt;0,INT(Skills!I5/Skills!H5+0.000000001),1)+IF(Skills!H5&gt;0,INT(MIN(Skills!I5,MAX(0,MAX(0,Inputs!$B$43-B2657)-((R2620-1)*(IF(Inputs!$B$38="pvp",15,MAX(0.1,Skills!D5-IF(TRUE=TRUE,Inputs!$B$32,0)))*(1-IF(AND(ArtifactsInput!$M$27,Inputs!$B$4="Chapter Hunt"),CHOOSE(ArtifactsInput!$N$27+1,20,24,28,32,36,40),0)/100)))))/Skills!H5+0.000000001),1)))/Inputs!$B$43),G2620*Q2620)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5*((R2620-1)*IF(Skills!H5&gt;0,INT(Skills!I5/Skills!H5+0.000000001),1)+IF(Skills!H5&gt;0,INT(MIN(Skills!I5,MAX(0,MAX(0,Inputs!$B$43-B2657)-((R2620-1)*(IF(Inputs!$B$38="pvp",15,MAX(0.1,Skills!D5-IF(TRUE=TRUE,Inputs!$B$32,0)))*(1-IF(AND(ArtifactsInput!$M$27,Inputs!$B$4="Chapter Hunt"),CHOOSE(ArtifactsInput!$N$27+1,20,24,28,32,36,40),0)/100)))))/Skills!H5+0.000000001),1)))/Inputs!$B$43),G2620*Q2620))*IF(Inputs!$B$38="pvp",1,(1+(Inputs!$B$21+Skills!Q5+(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Skills!A6</f>
        <v/>
      </c>
      <c r="B2621">
        <f>Skills!B6</f>
        <v/>
      </c>
      <c r="C2621">
        <f>Inputs!$B$3&gt;=40</f>
        <v/>
      </c>
      <c r="D2621">
        <f>IF(Skills!C6=1,60+Inputs!$B$25+Inputs!$B$29,IF(Skills!C6=2,90+Inputs!$B$26+Inputs!$B$29,IF(Skills!C6=3,120+Inputs!$B$27+Inputs!$B$29,MAX(0,(Inputs!$B$3-100)*3)+Inputs!$B$28+Inputs!$B$29)))</f>
        <v/>
      </c>
      <c r="E2621">
        <f>INDEX(FactorTable!$B$2:$Y$301, MATCH(ROUND(MIN(300,MAX(1,D2621)),0), FactorTable!$A$2:$A$301,0), Skills!M6+1)</f>
        <v/>
      </c>
      <c r="F2621">
        <f>IF(Skills!N6=TRUE,(Skills!L6/10)*(E2621/1000),Skills!L6/10)+Skills!O6</f>
        <v/>
      </c>
      <c r="G2621">
        <f>Skills!G6*IF(Skills!H6&gt;0,INT(IF(Inputs!$B$38="pvp",MIN(Skills!I6,15),Skills!I6)/Skills!H6+0.000000001),1)</f>
        <v/>
      </c>
      <c r="H2621">
        <f>1-(1-Skills!J6/100)^Skills!K6</f>
        <v/>
      </c>
      <c r="I2621" t="inlineStr">
        <is>
          <t>1</t>
        </is>
      </c>
      <c r="J2621">
        <f>((Inputs!$B$6*(1+Inputs!$B$7/100))+(((Inputs!$B$12*(1+Inputs!$B$13/100))-(Inputs!$B$12*(1+Inputs!$B$13/100)))+0.25*(Inputs!$B$14-Inputs!$B$14))*(1+Inputs!$B$7/100))*(F2621/100)</f>
        <v/>
      </c>
      <c r="K2621">
        <f>J2621*(1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2622=TRUE,F2622,0)/100)*(1+(IF(Skills!A6="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2641=TRUE)*(F2641-Calc!F26)),(Inputs!$B$23+((C2646=TRUE)*(F2646-Calc!F31))+(IF(ArtifactsInput!$M$15,CHOOSE(ArtifactsInput!$N$15+1,25,30,35,40,45,50)/100*(Inputs!$B$11-Inputs!$B$11),0))))/100+(Inputs!$B$23+((C2646=TRUE)*(F2646-Calc!F31))+(IF(ArtifactsInput!$M$15,CHOOSE(ArtifactsInput!$N$15+1,25,30,35,40,45,50)/100*(Inputs!$B$11-Inputs!$B$11),0)))/100)/2</f>
        <v/>
      </c>
      <c r="M2621">
        <f>L2621*(1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IF(B2660=0,0,O2621/B2660)</f>
        <v/>
      </c>
      <c r="Q2621">
        <f>IFERROR(1/(IF(Inputs!$B$38="pvp",15,MAX(0.1,1-0.4*MIN(1,(B2652-1)/1.5)-IF(FALSE=TRUE,Inputs!$B$32,0)))*(1-IF(AND(ArtifactsInput!$M$27,Inputs!$B$4="Chapter Hunt"),CHOOSE(ArtifactsInput!$N$27+1,20,24,28,32,36,40),0)/100)),0)</f>
        <v/>
      </c>
      <c r="R2621">
        <f>IF(AND(Inputs!$B$38&lt;&gt;"pvp",Inputs!$B$43&gt;0),IF(MAX(0,Inputs!$B$43-B2657)&lt;=0,0,(INT(MAX(0,Inputs!$B$43-B2657)/(IF(Inputs!$B$38="pvp",15,MAX(0.1,1-0.4*MIN(1,(B2652-1)/1.5)-IF(FALSE=TRUE,Inputs!$B$32,0)))*(1-IF(AND(ArtifactsInput!$M$27,Inputs!$B$4="Chapter Hunt"),CHOOSE(ArtifactsInput!$N$27+1,20,24,28,32,36,40),0)/100)))+1)),0)</f>
        <v/>
      </c>
      <c r="S2621">
        <f>IFERROR(O2621/N2621,0)</f>
        <v/>
      </c>
      <c r="T2621">
        <f>IF(C2621,(H2621*N2621*IF(AND(Inputs!$B$38&lt;&gt;"pvp",Inputs!$B$43&gt;0),((Skills!G6*((R2621-1)*IF(Skills!H6&gt;0,INT(Skills!I6/Skills!H6+0.000000001),1)+IF(Skills!H6&gt;0,INT(MIN(Skills!I6,MAX(0,MAX(0,Inputs!$B$43-B2657)-((R2621-1)*(IF(Inputs!$B$38="pvp",15,MAX(0.1,1-0.4*MIN(1,(B2652-1)/1.5)-IF(FALSE=TRUE,Inputs!$B$32,0)))*(1-IF(AND(ArtifactsInput!$M$27,Inputs!$B$4="Chapter Hunt"),CHOOSE(ArtifactsInput!$N$27+1,20,24,28,32,36,40),0)/100)))))/Skills!H6+0.000000001),1)))/Inputs!$B$43),G2621*Q2621)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6*((R2621-1)*IF(Skills!H6&gt;0,INT(Skills!I6/Skills!H6+0.000000001),1)+IF(Skills!H6&gt;0,INT(MIN(Skills!I6,MAX(0,MAX(0,Inputs!$B$43-B2657)-((R2621-1)*(IF(Inputs!$B$38="pvp",15,MAX(0.1,1-0.4*MIN(1,(B2652-1)/1.5)-IF(FALSE=TRUE,Inputs!$B$32,0)))*(1-IF(AND(ArtifactsInput!$M$27,Inputs!$B$4="Chapter Hunt"),CHOOSE(ArtifactsInput!$N$27+1,20,24,28,32,36,40),0)/100)))))/Skills!H6+0.000000001),1)))/Inputs!$B$43),G2621*Q2621))*IF(Inputs!$B$38="pvp",1,(1+(Inputs!$B$21+Skills!Q6+(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Skills!A7</f>
        <v/>
      </c>
      <c r="B2622">
        <f>Skills!B7</f>
        <v/>
      </c>
      <c r="C2622">
        <f>Inputs!$B$3&gt;=107</f>
        <v/>
      </c>
      <c r="D2622">
        <f>IF(Skills!C7=1,60+Inputs!$B$25+Inputs!$B$29,IF(Skills!C7=2,90+Inputs!$B$26+Inputs!$B$29,IF(Skills!C7=3,120+Inputs!$B$27+Inputs!$B$29,MAX(0,(Inputs!$B$3-100)*3)+Inputs!$B$28+Inputs!$B$29)))</f>
        <v/>
      </c>
      <c r="E2622">
        <f>INDEX(FactorTable!$B$2:$Y$301, MATCH(ROUND(MIN(300,MAX(1,D2622)),0), FactorTable!$A$2:$A$301,0), Skills!M7+1)</f>
        <v/>
      </c>
      <c r="F2622">
        <f>IF(Skills!N7=TRUE,(Skills!L7/10)*(E2622/1000),Skills!L7/10)+Skills!O7</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Skills!A8</f>
        <v/>
      </c>
      <c r="B2623">
        <f>Skills!B8</f>
        <v/>
      </c>
      <c r="C2623">
        <f>Inputs!$B$3&gt;=130</f>
        <v/>
      </c>
      <c r="D2623">
        <f>IF(Skills!C8=1,60+Inputs!$B$25+Inputs!$B$29,IF(Skills!C8=2,90+Inputs!$B$26+Inputs!$B$29,IF(Skills!C8=3,120+Inputs!$B$27+Inputs!$B$29,MAX(0,(Inputs!$B$3-100)*3)+Inputs!$B$28+Inputs!$B$29)))</f>
        <v/>
      </c>
      <c r="E2623">
        <f>INDEX(FactorTable!$B$2:$Y$301, MATCH(ROUND(MIN(300,MAX(1,D2623)),0), FactorTable!$A$2:$A$301,0), Skills!M8+1)</f>
        <v/>
      </c>
      <c r="F2623">
        <f>IF(Skills!N8=TRUE,(Skills!L8/10)*(E2623/1000),Skills!L8/10)+Skills!O8</f>
        <v/>
      </c>
      <c r="G2623">
        <f>Skills!G8*IF(Skills!H8&gt;0,INT(IF(Inputs!$B$38="pvp",MIN(Skills!I8,15),Skills!I8)/Skills!H8+0.000000001),1)</f>
        <v/>
      </c>
      <c r="H2623">
        <f>1-(1-Skills!J8/100)^Skills!K8</f>
        <v/>
      </c>
      <c r="I2623" t="inlineStr">
        <is>
          <t>1</t>
        </is>
      </c>
      <c r="J2623">
        <f>((Inputs!$B$6*(1+Inputs!$B$7/100))+(((Inputs!$B$12*(1+Inputs!$B$13/100))-(Inputs!$B$12*(1+Inputs!$B$13/100)))+0.25*(Inputs!$B$14-Inputs!$B$14))*(1+Inputs!$B$7/100))*(F2623/100)</f>
        <v/>
      </c>
      <c r="K2623">
        <f>J2623*(1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2641=TRUE)*(F2641-Calc!F26)),(Inputs!$B$23+((C2646=TRUE)*(F2646-Calc!F31))+(IF(ArtifactsInput!$M$15,CHOOSE(ArtifactsInput!$N$15+1,25,30,35,40,45,50)/100*(Inputs!$B$11-Inputs!$B$11),0))))/100+(Inputs!$B$23+((C2646=TRUE)*(F2646-Calc!F31))+(IF(ArtifactsInput!$M$15,CHOOSE(ArtifactsInput!$N$15+1,25,30,35,40,45,50)/100*(Inputs!$B$11-Inputs!$B$11),0)))/100)/2</f>
        <v/>
      </c>
      <c r="M2623">
        <f>L2623*(1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IF(B2660=0,0,O2623/B2660)</f>
        <v/>
      </c>
      <c r="Q2623">
        <f>IFERROR(1/(IF(Inputs!$B$38="pvp",15,MAX(0.1,1-0.4*MIN(1,(B2652-1)/1.5)-IF(FALSE=TRUE,Inputs!$B$32,0)))*(1-IF(AND(ArtifactsInput!$M$27,Inputs!$B$4="Chapter Hunt"),CHOOSE(ArtifactsInput!$N$27+1,20,24,28,32,36,40),0)/100)),0)</f>
        <v/>
      </c>
      <c r="R2623">
        <f>IF(AND(Inputs!$B$38&lt;&gt;"pvp",Inputs!$B$43&gt;0),IF(MAX(0,Inputs!$B$43-B2657)&lt;=0,0,(INT(MAX(0,Inputs!$B$43-B2657)/(IF(Inputs!$B$38="pvp",15,MAX(0.1,1-0.4*MIN(1,(B2652-1)/1.5)-IF(FALSE=TRUE,Inputs!$B$32,0)))*(1-IF(AND(ArtifactsInput!$M$27,Inputs!$B$4="Chapter Hunt"),CHOOSE(ArtifactsInput!$N$27+1,20,24,28,32,36,40),0)/100)))+1)),0)</f>
        <v/>
      </c>
      <c r="S2623">
        <f>IFERROR(O2623/N2623,0)</f>
        <v/>
      </c>
      <c r="T2623">
        <f>IF(C2623,(H2623*N2623*IF(AND(Inputs!$B$38&lt;&gt;"pvp",Inputs!$B$43&gt;0),((Skills!G8*((R2623-1)*IF(Skills!H8&gt;0,INT(Skills!I8/Skills!H8+0.000000001),1)+IF(Skills!H8&gt;0,INT(MIN(Skills!I8,MAX(0,MAX(0,Inputs!$B$43-B2657)-((R2623-1)*(IF(Inputs!$B$38="pvp",15,MAX(0.1,1-0.4*MIN(1,(B2652-1)/1.5)-IF(FALSE=TRUE,Inputs!$B$32,0)))*(1-IF(AND(ArtifactsInput!$M$27,Inputs!$B$4="Chapter Hunt"),CHOOSE(ArtifactsInput!$N$27+1,20,24,28,32,36,40),0)/100)))))/Skills!H8+0.000000001),1)))/Inputs!$B$43),G2623*Q2623)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3">
        <f>IF(C2623,(H2623*N2623*IF(AND(Inputs!$B$38&lt;&gt;"pvp",Inputs!$B$43&gt;0),((Skills!G8*((R2623-1)*IF(Skills!H8&gt;0,INT(Skills!I8/Skills!H8+0.000000001),1)+IF(Skills!H8&gt;0,INT(MIN(Skills!I8,MAX(0,MAX(0,Inputs!$B$43-B2657)-((R2623-1)*(IF(Inputs!$B$38="pvp",15,MAX(0.1,1-0.4*MIN(1,(B2652-1)/1.5)-IF(FALSE=TRUE,Inputs!$B$32,0)))*(1-IF(AND(ArtifactsInput!$M$27,Inputs!$B$4="Chapter Hunt"),CHOOSE(ArtifactsInput!$N$27+1,20,24,28,32,36,40),0)/100)))))/Skills!H8+0.000000001),1)))/Inputs!$B$43),G2623*Q2623))*IF(Inputs!$B$38="pvp",1,(1+(Inputs!$B$21+Skills!Q8+(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Skills!A9</f>
        <v/>
      </c>
      <c r="B2624">
        <f>Skills!B9</f>
        <v/>
      </c>
      <c r="C2624">
        <f>Inputs!$B$3&gt;=69</f>
        <v/>
      </c>
      <c r="D2624">
        <f>IF(Skills!C9=1,60+Inputs!$B$25+Inputs!$B$29,IF(Skills!C9=2,90+Inputs!$B$26+Inputs!$B$29,IF(Skills!C9=3,120+Inputs!$B$27+Inputs!$B$29,MAX(0,(Inputs!$B$3-100)*3)+Inputs!$B$28+Inputs!$B$29)))</f>
        <v/>
      </c>
      <c r="E2624">
        <f>INDEX(FactorTable!$B$2:$Y$301, MATCH(ROUND(MIN(300,MAX(1,D2624)),0), FactorTable!$A$2:$A$301,0), Skills!M9+1)</f>
        <v/>
      </c>
      <c r="F2624">
        <f>IF(Skills!N9=TRUE,(Skills!L9/10)*(E2624/1000),Skills!L9/10)+Skills!O9</f>
        <v/>
      </c>
      <c r="G2624">
        <f>Skills!G9*IF(Skills!H9&gt;0,INT(IF(Inputs!$B$38="pvp",MIN(Skills!I9,15),Skills!I9)/Skills!H9+0.000000001),1)</f>
        <v/>
      </c>
      <c r="H2624">
        <f>1-(1-Skills!J9/100)^Skills!K9</f>
        <v/>
      </c>
      <c r="I2624" t="inlineStr">
        <is>
          <t>1</t>
        </is>
      </c>
      <c r="J2624">
        <f>((Inputs!$B$6*(1+Inputs!$B$7/100))+(((Inputs!$B$12*(1+Inputs!$B$13/100))-(Inputs!$B$12*(1+Inputs!$B$13/100)))+0.25*(Inputs!$B$14-Inputs!$B$14))*(1+Inputs!$B$7/100))*(F2624/100)</f>
        <v/>
      </c>
      <c r="K2624">
        <f>J2624*(1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2627=TRUE,F2627,0)/100)*(1+(IF(Skills!A9="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2641=TRUE)*(F2641-Calc!F26)),(Inputs!$B$23+((C2646=TRUE)*(F2646-Calc!F31))+(IF(ArtifactsInput!$M$15,CHOOSE(ArtifactsInput!$N$15+1,25,30,35,40,45,50)/100*(Inputs!$B$11-Inputs!$B$11),0))))/100+(Inputs!$B$23+((C2646=TRUE)*(F2646-Calc!F31))+(IF(ArtifactsInput!$M$15,CHOOSE(ArtifactsInput!$N$15+1,25,30,35,40,45,50)/100*(Inputs!$B$11-Inputs!$B$11),0)))/100)/2</f>
        <v/>
      </c>
      <c r="M2624">
        <f>L2624*(1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IF(B2660=0,0,O2624/B2660)</f>
        <v/>
      </c>
      <c r="Q2624">
        <f>IFERROR(1/(IF(Inputs!$B$38="pvp",15,MAX(0.1,Skills!D9-IF(TRUE=TRUE,Inputs!$B$32,0)))*(1-IF(AND(ArtifactsInput!$M$27,Inputs!$B$4="Chapter Hunt"),CHOOSE(ArtifactsInput!$N$27+1,20,24,28,32,36,40),0)/100)),0)</f>
        <v/>
      </c>
      <c r="R2624">
        <f>IF(AND(Inputs!$B$38&lt;&gt;"pvp",Inputs!$B$43&gt;0),IF(MAX(0,Inputs!$B$43-B2657)&lt;=0,0,(INT(MAX(0,Inputs!$B$43-B2657)/(IF(Inputs!$B$38="pvp",15,MAX(0.1,Skills!D9-IF(TRUE=TRUE,Inputs!$B$32,0)))*(1-IF(AND(ArtifactsInput!$M$27,Inputs!$B$4="Chapter Hunt"),CHOOSE(ArtifactsInput!$N$27+1,20,24,28,32,36,40),0)/100)))+1)),0)</f>
        <v/>
      </c>
      <c r="S2624">
        <f>IFERROR(O2624/N2624,0)</f>
        <v/>
      </c>
      <c r="T2624">
        <f>IF(C2624,(H2624*N2624*IF(AND(Inputs!$B$38&lt;&gt;"pvp",Inputs!$B$43&gt;0),((Skills!G9*((R2624-1)*IF(Skills!H9&gt;0,INT(Skills!I9/Skills!H9+0.000000001),1)+IF(Skills!H9&gt;0,INT(MIN(Skills!I9,MAX(0,MAX(0,Inputs!$B$43-B2657)-((R2624-1)*(IF(Inputs!$B$38="pvp",15,MAX(0.1,Skills!D9-IF(TRUE=TRUE,Inputs!$B$32,0)))*(1-IF(AND(ArtifactsInput!$M$27,Inputs!$B$4="Chapter Hunt"),CHOOSE(ArtifactsInput!$N$27+1,20,24,28,32,36,40),0)/100)))))/Skills!H9+0.000000001),1)))/Inputs!$B$43),G2624*Q2624)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4">
        <f>IF(C2624,(H2624*N2624*IF(AND(Inputs!$B$38&lt;&gt;"pvp",Inputs!$B$43&gt;0),((Skills!G9*((R2624-1)*IF(Skills!H9&gt;0,INT(Skills!I9/Skills!H9+0.000000001),1)+IF(Skills!H9&gt;0,INT(MIN(Skills!I9,MAX(0,MAX(0,Inputs!$B$43-B2657)-((R2624-1)*(IF(Inputs!$B$38="pvp",15,MAX(0.1,Skills!D9-IF(TRUE=TRUE,Inputs!$B$32,0)))*(1-IF(AND(ArtifactsInput!$M$27,Inputs!$B$4="Chapter Hunt"),CHOOSE(ArtifactsInput!$N$27+1,20,24,28,32,36,40),0)/100)))))/Skills!H9+0.000000001),1)))/Inputs!$B$43),G2624*Q2624))*IF(Inputs!$B$38="pvp",1,(1+(Inputs!$B$21+Skills!Q9+(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Skills!A10</f>
        <v/>
      </c>
      <c r="B2625">
        <f>Skills!B10</f>
        <v/>
      </c>
      <c r="C2625">
        <f>Inputs!$B$3&gt;=63</f>
        <v/>
      </c>
      <c r="D2625">
        <f>IF(Skills!C10=1,60+Inputs!$B$25+Inputs!$B$29,IF(Skills!C10=2,90+Inputs!$B$26+Inputs!$B$29,IF(Skills!C10=3,120+Inputs!$B$27+Inputs!$B$29,MAX(0,(Inputs!$B$3-100)*3)+Inputs!$B$28+Inputs!$B$29)))</f>
        <v/>
      </c>
      <c r="E2625">
        <f>INDEX(FactorTable!$B$2:$Y$301, MATCH(ROUND(MIN(300,MAX(1,D2625)),0), FactorTable!$A$2:$A$301,0), Skills!M10+1)</f>
        <v/>
      </c>
      <c r="F2625">
        <f>IF(Skills!N10=TRUE,(Skills!L10/10)*(E2625/1000),Skills!L10/10)+Skills!O10</f>
        <v/>
      </c>
      <c r="G2625">
        <f>Skills!G10*IF(Skills!H10&gt;0,INT(IF(Inputs!$B$38="pvp",MIN(Skills!I10,15),Skills!I10)/Skills!H10+0.000000001),1)</f>
        <v/>
      </c>
      <c r="H2625">
        <f>1-(1-Skills!J10/100)^Skills!K10</f>
        <v/>
      </c>
      <c r="I2625" t="inlineStr">
        <is>
          <t>1</t>
        </is>
      </c>
      <c r="J2625">
        <f>((Inputs!$B$6*(1+Inputs!$B$7/100))+(((Inputs!$B$12*(1+Inputs!$B$13/100))-(Inputs!$B$12*(1+Inputs!$B$13/100)))+0.25*(Inputs!$B$14-Inputs!$B$14))*(1+Inputs!$B$7/100))*(F2625/100)</f>
        <v/>
      </c>
      <c r="K2625">
        <f>J2625*(1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2627=TRUE,F2627,0)/100)*(1+(IF(Skills!A10="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2641=TRUE)*(F2641-Calc!F26)),(Inputs!$B$23+((C2646=TRUE)*(F2646-Calc!F31))+(IF(ArtifactsInput!$M$15,CHOOSE(ArtifactsInput!$N$15+1,25,30,35,40,45,50)/100*(Inputs!$B$11-Inputs!$B$11),0))))/100+(Inputs!$B$23+((C2646=TRUE)*(F2646-Calc!F31))+(IF(ArtifactsInput!$M$15,CHOOSE(ArtifactsInput!$N$15+1,25,30,35,40,45,50)/100*(Inputs!$B$11-Inputs!$B$11),0)))/100)/2</f>
        <v/>
      </c>
      <c r="M2625">
        <f>L2625*(1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IF(B2660=0,0,O2625/B2660)</f>
        <v/>
      </c>
      <c r="Q2625">
        <f>IFERROR(1/(IF(Inputs!$B$38="pvp",15,MAX(0.1,Skills!D10-IF(TRUE=TRUE,Inputs!$B$32,0)))*(1-IF(AND(ArtifactsInput!$M$27,Inputs!$B$4="Chapter Hunt"),CHOOSE(ArtifactsInput!$N$27+1,20,24,28,32,36,40),0)/100)),0)</f>
        <v/>
      </c>
      <c r="R2625">
        <f>IF(AND(Inputs!$B$38&lt;&gt;"pvp",Inputs!$B$43&gt;0),IF(MAX(0,Inputs!$B$43-B2657)&lt;=0,0,(INT(MAX(0,Inputs!$B$43-B2657)/(IF(Inputs!$B$38="pvp",15,MAX(0.1,Skills!D10-IF(TRUE=TRUE,Inputs!$B$32,0)))*(1-IF(AND(ArtifactsInput!$M$27,Inputs!$B$4="Chapter Hunt"),CHOOSE(ArtifactsInput!$N$27+1,20,24,28,32,36,40),0)/100)))+1)),0)</f>
        <v/>
      </c>
      <c r="S2625">
        <f>IFERROR(O2625/N2625,0)</f>
        <v/>
      </c>
      <c r="T2625">
        <f>IF(C2625,(H2625*N2625*IF(AND(Inputs!$B$38&lt;&gt;"pvp",Inputs!$B$43&gt;0),((Skills!G10*((R2625-1)*IF(Skills!H10&gt;0,INT(Skills!I10/Skills!H10+0.000000001),1)+IF(Skills!H10&gt;0,INT(MIN(Skills!I10,MAX(0,MAX(0,Inputs!$B$43-B2657)-((R2625-1)*(IF(Inputs!$B$38="pvp",15,MAX(0.1,Skills!D10-IF(TRUE=TRUE,Inputs!$B$32,0)))*(1-IF(AND(ArtifactsInput!$M$27,Inputs!$B$4="Chapter Hunt"),CHOOSE(ArtifactsInput!$N$27+1,20,24,28,32,36,40),0)/100)))))/Skills!H10+0.000000001),1)))/Inputs!$B$43),G2625*Q2625)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5">
        <f>IF(C2625,(H2625*N2625*IF(AND(Inputs!$B$38&lt;&gt;"pvp",Inputs!$B$43&gt;0),((Skills!G10*((R2625-1)*IF(Skills!H10&gt;0,INT(Skills!I10/Skills!H10+0.000000001),1)+IF(Skills!H10&gt;0,INT(MIN(Skills!I10,MAX(0,MAX(0,Inputs!$B$43-B2657)-((R2625-1)*(IF(Inputs!$B$38="pvp",15,MAX(0.1,Skills!D10-IF(TRUE=TRUE,Inputs!$B$32,0)))*(1-IF(AND(ArtifactsInput!$M$27,Inputs!$B$4="Chapter Hunt"),CHOOSE(ArtifactsInput!$N$27+1,20,24,28,32,36,40),0)/100)))))/Skills!H10+0.000000001),1)))/Inputs!$B$43),G2625*Q2625))*IF(Inputs!$B$38="pvp",1,(1+(Inputs!$B$21+Skills!Q10+(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Skills!A11</f>
        <v/>
      </c>
      <c r="B2626">
        <f>Skills!B11</f>
        <v/>
      </c>
      <c r="C2626">
        <f>Inputs!$B$3&gt;=103</f>
        <v/>
      </c>
      <c r="D2626">
        <f>IF(Skills!C11=1,60+Inputs!$B$25+Inputs!$B$29,IF(Skills!C11=2,90+Inputs!$B$26+Inputs!$B$29,IF(Skills!C11=3,120+Inputs!$B$27+Inputs!$B$29,MAX(0,(Inputs!$B$3-100)*3)+Inputs!$B$28+Inputs!$B$29)))</f>
        <v/>
      </c>
      <c r="E2626">
        <f>INDEX(FactorTable!$B$2:$Y$301, MATCH(ROUND(MIN(300,MAX(1,D2626)),0), FactorTable!$A$2:$A$301,0), Skills!M11+1)</f>
        <v/>
      </c>
      <c r="F2626">
        <f>IF(Skills!N11=TRUE,(Skills!L11/10)*(E2626/1000),Skills!L11/10)+Skills!O11</f>
        <v/>
      </c>
      <c r="G2626">
        <f>Skills!G11*IF(Skills!H11&gt;0,INT(IF(Inputs!$B$38="pvp",MIN(Skills!I11,15),Skills!I11)/Skills!H11+0.000000001),1)</f>
        <v/>
      </c>
      <c r="H2626">
        <f>1-(1-Skills!J11/100)^Skills!K11</f>
        <v/>
      </c>
      <c r="I2626" t="inlineStr">
        <is>
          <t>1</t>
        </is>
      </c>
      <c r="J2626">
        <f>((Inputs!$B$6*(1+Inputs!$B$7/100))+(((Inputs!$B$12*(1+Inputs!$B$13/100))-(Inputs!$B$12*(1+Inputs!$B$13/100)))+0.25*(Inputs!$B$14-Inputs!$B$14))*(1+Inputs!$B$7/100))*(F2626/100)</f>
        <v/>
      </c>
      <c r="K2626">
        <f>J2626*(1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2641=TRUE)*(F2641-Calc!F26)),(Inputs!$B$23+((C2646=TRUE)*(F2646-Calc!F31))+(IF(ArtifactsInput!$M$15,CHOOSE(ArtifactsInput!$N$15+1,25,30,35,40,45,50)/100*(Inputs!$B$11-Inputs!$B$11),0))))/100+(Inputs!$B$23+((C2646=TRUE)*(F2646-Calc!F31))+(IF(ArtifactsInput!$M$15,CHOOSE(ArtifactsInput!$N$15+1,25,30,35,40,45,50)/100*(Inputs!$B$11-Inputs!$B$11),0)))/100)/2</f>
        <v/>
      </c>
      <c r="M2626">
        <f>L2626*(1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IF(B2660=0,0,O2626/B2660)</f>
        <v/>
      </c>
      <c r="Q2626">
        <f>IFERROR(1/(IF(Inputs!$B$38="pvp",15,MAX(0.1,Skills!D11-IF(TRUE=TRUE,Inputs!$B$32,0)))*(1-IF(AND(ArtifactsInput!$M$27,Inputs!$B$4="Chapter Hunt"),CHOOSE(ArtifactsInput!$N$27+1,20,24,28,32,36,40),0)/100)),0)</f>
        <v/>
      </c>
      <c r="R2626">
        <f>IF(AND(Inputs!$B$38&lt;&gt;"pvp",Inputs!$B$43&gt;0),IF(MAX(0,Inputs!$B$43-B2657)&lt;=0,0,(INT(MAX(0,Inputs!$B$43-B2657)/(IF(Inputs!$B$38="pvp",15,MAX(0.1,Skills!D11-IF(TRUE=TRUE,Inputs!$B$32,0)))*(1-IF(AND(ArtifactsInput!$M$27,Inputs!$B$4="Chapter Hunt"),CHOOSE(ArtifactsInput!$N$27+1,20,24,28,32,36,40),0)/100)))+1)),0)</f>
        <v/>
      </c>
      <c r="S2626">
        <f>IFERROR(O2626/N2626,0)</f>
        <v/>
      </c>
      <c r="T2626">
        <f>IF(C2626,(H2626*N2626*IF(AND(Inputs!$B$38&lt;&gt;"pvp",Inputs!$B$43&gt;0),((Skills!G11*((R2626-1)*IF(Skills!H11&gt;0,INT(Skills!I11/Skills!H11+0.000000001),1)+IF(Skills!H11&gt;0,INT(MIN(Skills!I11,MAX(0,MAX(0,Inputs!$B$43-B2657)-((R2626-1)*(IF(Inputs!$B$38="pvp",15,MAX(0.1,Skills!D11-IF(TRUE=TRUE,Inputs!$B$32,0)))*(1-IF(AND(ArtifactsInput!$M$27,Inputs!$B$4="Chapter Hunt"),CHOOSE(ArtifactsInput!$N$27+1,20,24,28,32,36,40),0)/100)))))/Skills!H11+0.000000001),1)))/Inputs!$B$43),G2626*Q2626)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11*((R2626-1)*IF(Skills!H11&gt;0,INT(Skills!I11/Skills!H11+0.000000001),1)+IF(Skills!H11&gt;0,INT(MIN(Skills!I11,MAX(0,MAX(0,Inputs!$B$43-B2657)-((R2626-1)*(IF(Inputs!$B$38="pvp",15,MAX(0.1,Skills!D11-IF(TRUE=TRUE,Inputs!$B$32,0)))*(1-IF(AND(ArtifactsInput!$M$27,Inputs!$B$4="Chapter Hunt"),CHOOSE(ArtifactsInput!$N$27+1,20,24,28,32,36,40),0)/100)))))/Skills!H11+0.000000001),1)))/Inputs!$B$43),G2626*Q2626))*IF(Inputs!$B$38="pvp",1,(1+(Inputs!$B$21+Skills!Q11+(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Skills!A12</f>
        <v/>
      </c>
      <c r="B2627">
        <f>Skills!B12</f>
        <v/>
      </c>
      <c r="C2627">
        <f>Inputs!$B$3&gt;=100</f>
        <v/>
      </c>
      <c r="D2627">
        <f>IF(Skills!C12=1,60+Inputs!$B$25+Inputs!$B$29,IF(Skills!C12=2,90+Inputs!$B$26+Inputs!$B$29,IF(Skills!C12=3,120+Inputs!$B$27+Inputs!$B$29,MAX(0,(Inputs!$B$3-100)*3)+Inputs!$B$28+Inputs!$B$29)))</f>
        <v/>
      </c>
      <c r="E2627">
        <f>INDEX(FactorTable!$B$2:$Y$301, MATCH(ROUND(MIN(300,MAX(1,D2627)),0), FactorTable!$A$2:$A$301,0), Skills!M12+1)</f>
        <v/>
      </c>
      <c r="F2627">
        <f>IF(Skills!N12=TRUE,(Skills!L12/10)*(E2627/1000),Skills!L12/10)+Skills!O12</f>
        <v/>
      </c>
      <c r="G2627" t="inlineStr"/>
      <c r="H2627" t="inlineStr"/>
      <c r="I2627" t="inlineStr">
        <is>
          <t>1</t>
        </is>
      </c>
      <c r="J2627" t="inlineStr"/>
      <c r="K2627" t="inlineStr"/>
      <c r="L2627" t="inlineStr"/>
      <c r="M2627" t="inlineStr"/>
      <c r="N2627" t="inlineStr"/>
      <c r="O2627" t="inlineStr"/>
      <c r="P2627" t="inlineStr"/>
      <c r="Q2627" t="inlineStr"/>
      <c r="R2627" t="inlineStr"/>
      <c r="S2627" t="inlineStr"/>
      <c r="T2627" t="inlineStr"/>
      <c r="V2627" t="inlineStr"/>
    </row>
    <row r="2628">
      <c r="A2628">
        <f>Skills!A13</f>
        <v/>
      </c>
      <c r="B2628">
        <f>Skills!B13</f>
        <v/>
      </c>
      <c r="C2628">
        <f>Inputs!$B$3&gt;=60</f>
        <v/>
      </c>
      <c r="D2628">
        <f>IF(Skills!C13=1,60+Inputs!$B$25+Inputs!$B$29,IF(Skills!C13=2,90+Inputs!$B$26+Inputs!$B$29,IF(Skills!C13=3,120+Inputs!$B$27+Inputs!$B$29,MAX(0,(Inputs!$B$3-100)*3)+Inputs!$B$28+Inputs!$B$29)))</f>
        <v/>
      </c>
      <c r="E2628">
        <f>INDEX(FactorTable!$B$2:$Y$301, MATCH(ROUND(MIN(300,MAX(1,D2628)),0), FactorTable!$A$2:$A$301,0), Skills!M13+1)</f>
        <v/>
      </c>
      <c r="F2628">
        <f>IF(Skills!N13=TRUE,(Skills!L13/10)*(E2628/1000),Skills!L13/10)+Skills!O13</f>
        <v/>
      </c>
      <c r="G2628">
        <f>Skills!G13*IF(Skills!H13&gt;0,INT(IF(Inputs!$B$38="pvp",MIN(Skills!I13,15),Skills!I13)/Skills!H13+0.000000001),1)</f>
        <v/>
      </c>
      <c r="H2628">
        <f>1-(1-Skills!J13/100)^Skills!K13</f>
        <v/>
      </c>
      <c r="I2628" t="inlineStr">
        <is>
          <t>1</t>
        </is>
      </c>
      <c r="J2628">
        <f>((Inputs!$B$6*(1+Inputs!$B$7/100))+(((Inputs!$B$12*(1+Inputs!$B$13/100))-(Inputs!$B$12*(1+Inputs!$B$13/100)))+0.25*(Inputs!$B$14-Inputs!$B$14))*(1+Inputs!$B$7/100))*(F2628/100)</f>
        <v/>
      </c>
      <c r="K2628">
        <f>J2628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2629=TRUE,F2629,0)/100)*(1+(IF(Skills!A13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2641=TRUE)*(F2641-Calc!F26)),(Inputs!$B$23+((C2646=TRUE)*(F2646-Calc!F31))+(IF(ArtifactsInput!$M$15,CHOOSE(ArtifactsInput!$N$15+1,25,30,35,40,45,50)/100*(Inputs!$B$11-Inputs!$B$11),0))))/100+(Inputs!$B$23+((C2646=TRUE)*(F2646-Calc!F31))+(IF(ArtifactsInput!$M$15,CHOOSE(ArtifactsInput!$N$15+1,25,30,35,40,45,50)/100*(Inputs!$B$11-Inputs!$B$11),0)))/100)/2</f>
        <v/>
      </c>
      <c r="M2628">
        <f>L2628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IF(B2660=0,0,O2628/B2660)</f>
        <v/>
      </c>
      <c r="Q2628">
        <f>IFERROR(1/(IF(Inputs!$B$38="pvp",15,MAX(0.1,IF(Inputs!$B$3&gt;=122,3,5)+1/(((20+30*(B2652-1)*100/150)/100)*B2652)-IF(FALSE=TRUE,Inputs!$B$32,0)))*(1-IF(AND(ArtifactsInput!$M$27,Inputs!$B$4="Chapter Hunt"),CHOOSE(ArtifactsInput!$N$27+1,20,24,28,32,36,40),0)/100)),0)</f>
        <v/>
      </c>
      <c r="R2628">
        <f>IF(AND(Inputs!$B$38&lt;&gt;"pvp",Inputs!$B$43&gt;0),IF(MAX(0,Inputs!$B$43-B2657)&lt;=0,0,(INT(MAX(0,Inputs!$B$43-B2657)/(IF(Inputs!$B$38="pvp",15,MAX(0.1,IF(Inputs!$B$3&gt;=122,3,5)+1/(((20+30*(B2652-1)*100/150)/100)*B2652)-IF(FALSE=TRUE,Inputs!$B$32,0)))*(1-IF(AND(ArtifactsInput!$M$27,Inputs!$B$4="Chapter Hunt"),CHOOSE(ArtifactsInput!$N$27+1,20,24,28,32,36,40),0)/100)))+1)),0)</f>
        <v/>
      </c>
      <c r="S2628">
        <f>IFERROR(O2628/N2628,0)</f>
        <v/>
      </c>
      <c r="T2628">
        <f>IF(C2628,(H2628*N2628*IF(AND(Inputs!$B$38&lt;&gt;"pvp",Inputs!$B$43&gt;0),((Skills!G13*((R2628-1)*IF(Skills!H13&gt;0,INT(Skills!I13/Skills!H13+0.000000001),1)+IF(Skills!H13&gt;0,INT(MIN(Skills!I13,MAX(0,MAX(0,Inputs!$B$43-B2657)-((R2628-1)*(IF(Inputs!$B$38="pvp",15,MAX(0.1,IF(Inputs!$B$3&gt;=122,3,5)+1/(((20+30*(B2652-1)*100/150)/100)*B2652)-IF(FALSE=TRUE,Inputs!$B$32,0)))*(1-IF(AND(ArtifactsInput!$M$27,Inputs!$B$4="Chapter Hunt"),CHOOSE(ArtifactsInput!$N$27+1,20,24,28,32,36,40),0)/100)))))/Skills!H13+0.000000001),1)))/Inputs!$B$43),G2628*Q2628)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13*((R2628-1)*IF(Skills!H13&gt;0,INT(Skills!I13/Skills!H13+0.000000001),1)+IF(Skills!H13&gt;0,INT(MIN(Skills!I13,MAX(0,MAX(0,Inputs!$B$43-B2657)-((R2628-1)*(IF(Inputs!$B$38="pvp",15,MAX(0.1,IF(Inputs!$B$3&gt;=122,3,5)+1/(((20+30*(B2652-1)*100/150)/100)*B2652)-IF(FALSE=TRUE,Inputs!$B$32,0)))*(1-IF(AND(ArtifactsInput!$M$27,Inputs!$B$4="Chapter Hunt"),CHOOSE(ArtifactsInput!$N$27+1,20,24,28,32,36,40),0)/100)))))/Skills!H13+0.000000001),1)))/Inputs!$B$43),G2628*Q2628))*IF(Inputs!$B$38="pvp",1,(1+(Inputs!$B$21+Skills!Q13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Skills!A14</f>
        <v/>
      </c>
      <c r="B2629">
        <f>Skills!B14</f>
        <v/>
      </c>
      <c r="C2629">
        <f>Inputs!$B$3&gt;=110</f>
        <v/>
      </c>
      <c r="D2629">
        <f>IF(Skills!C14=1,60+Inputs!$B$25+Inputs!$B$29,IF(Skills!C14=2,90+Inputs!$B$26+Inputs!$B$29,IF(Skills!C14=3,120+Inputs!$B$27+Inputs!$B$29,MAX(0,(Inputs!$B$3-100)*3)+Inputs!$B$28+Inputs!$B$29)))</f>
        <v/>
      </c>
      <c r="E2629">
        <f>INDEX(FactorTable!$B$2:$Y$301, MATCH(ROUND(MIN(300,MAX(1,D2629)),0), FactorTable!$A$2:$A$301,0), Skills!M14+1)</f>
        <v/>
      </c>
      <c r="F2629">
        <f>IF(Skills!N14=TRUE,(Skills!L14/10)*(E2629/1000),Skills!L14/10)+Skills!O14</f>
        <v/>
      </c>
      <c r="G2629" t="inlineStr"/>
      <c r="H2629" t="inlineStr"/>
      <c r="I2629" t="inlineStr">
        <is>
          <t>1</t>
        </is>
      </c>
      <c r="J2629" t="inlineStr"/>
      <c r="K2629" t="inlineStr"/>
      <c r="L2629" t="inlineStr"/>
      <c r="M2629" t="inlineStr"/>
      <c r="N2629" t="inlineStr"/>
      <c r="O2629" t="inlineStr"/>
      <c r="P2629" t="inlineStr"/>
      <c r="Q2629" t="inlineStr"/>
      <c r="R2629" t="inlineStr"/>
      <c r="S2629" t="inlineStr"/>
      <c r="T2629" t="inlineStr"/>
      <c r="V2629" t="inlineStr"/>
    </row>
    <row r="2630">
      <c r="A2630">
        <f>Skills!A15</f>
        <v/>
      </c>
      <c r="B2630">
        <f>Skills!B15</f>
        <v/>
      </c>
      <c r="C2630">
        <f>Inputs!$B$3&gt;=74</f>
        <v/>
      </c>
      <c r="D2630">
        <f>IF(Skills!C15=1,60+Inputs!$B$25+Inputs!$B$29,IF(Skills!C15=2,90+Inputs!$B$26+Inputs!$B$29,IF(Skills!C15=3,120+Inputs!$B$27+Inputs!$B$29,MAX(0,(Inputs!$B$3-100)*3)+Inputs!$B$28+Inputs!$B$29)))</f>
        <v/>
      </c>
      <c r="E2630">
        <f>INDEX(FactorTable!$B$2:$Y$301, MATCH(ROUND(MIN(300,MAX(1,D2630)),0), FactorTable!$A$2:$A$301,0), Skills!M15+1)</f>
        <v/>
      </c>
      <c r="F2630">
        <f>IF(Skills!N15=TRUE,(Skills!L15/10)*(E2630/1000),Skills!L15/10)+Skills!O15</f>
        <v/>
      </c>
      <c r="G2630">
        <f>Skills!G15*IF(Skills!H15&gt;0,INT(IF(Inputs!$B$38="pvp",MIN(Skills!I15,15),Skills!I15)/Skills!H15+0.000000001),1)</f>
        <v/>
      </c>
      <c r="H2630">
        <f>1-(1-Skills!J15/100)^Skills!K15</f>
        <v/>
      </c>
      <c r="I2630" t="inlineStr">
        <is>
          <t>1</t>
        </is>
      </c>
      <c r="J2630" t="inlineStr"/>
      <c r="K2630" t="inlineStr"/>
      <c r="L2630" t="inlineStr"/>
      <c r="M2630" t="inlineStr"/>
      <c r="N2630" t="inlineStr"/>
      <c r="O2630">
        <f>(1-Summary!$B$11)*T2630+Summary!$B$11*V2630</f>
        <v/>
      </c>
      <c r="P2630">
        <f>IF(B2660=0,0,O2630/B2660)</f>
        <v/>
      </c>
      <c r="Q2630" t="n">
        <v>0</v>
      </c>
      <c r="R2630" t="n">
        <v>0</v>
      </c>
      <c r="S2630">
        <f>IFERROR(O2630/N2630,0)</f>
        <v/>
      </c>
      <c r="T2630" t="n">
        <v>0</v>
      </c>
      <c r="V2630" t="n">
        <v>0</v>
      </c>
    </row>
    <row r="2631">
      <c r="A2631">
        <f>Skills!A16</f>
        <v/>
      </c>
      <c r="B2631">
        <f>Skills!B16</f>
        <v/>
      </c>
      <c r="C2631">
        <f>Inputs!$B$3&gt;=74</f>
        <v/>
      </c>
      <c r="D2631">
        <f>IF(Skills!C16=1,60+Inputs!$B$25+Inputs!$B$29,IF(Skills!C16=2,90+Inputs!$B$26+Inputs!$B$29,IF(Skills!C16=3,120+Inputs!$B$27+Inputs!$B$29,MAX(0,(Inputs!$B$3-100)*3)+Inputs!$B$28+Inputs!$B$29)))</f>
        <v/>
      </c>
      <c r="E2631">
        <f>INDEX(FactorTable!$B$2:$Y$301, MATCH(ROUND(MIN(300,MAX(1,D2631)),0), FactorTable!$A$2:$A$301,0), Skills!M16+1)</f>
        <v/>
      </c>
      <c r="F2631">
        <f>IF(Skills!N16=TRUE,(Skills!L16/10)*(E2631/1000),Skills!L16/10)+Skills!O16</f>
        <v/>
      </c>
      <c r="G2631">
        <f>Skills!G16*IF(Skills!H16&gt;0,INT(IF(Inputs!$B$38="pvp",MIN(Skills!I16,15),Skills!I16)/Skills!H16+0.000000001),1)</f>
        <v/>
      </c>
      <c r="H2631">
        <f>1-(1-Skills!J16/100)^Skills!K16</f>
        <v/>
      </c>
      <c r="I2631" t="inlineStr">
        <is>
          <t>1</t>
        </is>
      </c>
      <c r="J2631" t="inlineStr"/>
      <c r="K2631" t="inlineStr"/>
      <c r="L2631" t="inlineStr"/>
      <c r="M2631" t="inlineStr"/>
      <c r="N2631" t="inlineStr"/>
      <c r="O2631">
        <f>(1-Summary!$B$11)*T2631+Summary!$B$11*V2631</f>
        <v/>
      </c>
      <c r="P2631">
        <f>IF(B2660=0,0,O2631/B2660)</f>
        <v/>
      </c>
      <c r="Q2631" t="n">
        <v>0</v>
      </c>
      <c r="R2631" t="n">
        <v>0</v>
      </c>
      <c r="S2631">
        <f>IFERROR(O2631/N2631,0)</f>
        <v/>
      </c>
      <c r="T2631" t="n">
        <v>0</v>
      </c>
      <c r="V2631" t="n">
        <v>0</v>
      </c>
    </row>
    <row r="2632">
      <c r="A2632">
        <f>Skills!A17</f>
        <v/>
      </c>
      <c r="B2632">
        <f>Skills!B17</f>
        <v/>
      </c>
      <c r="C2632">
        <f>Inputs!$B$3&gt;=117</f>
        <v/>
      </c>
      <c r="D2632">
        <f>IF(Skills!C17=1,60+Inputs!$B$25+Inputs!$B$29,IF(Skills!C17=2,90+Inputs!$B$26+Inputs!$B$29,IF(Skills!C17=3,120+Inputs!$B$27+Inputs!$B$29,MAX(0,(Inputs!$B$3-100)*3)+Inputs!$B$28+Inputs!$B$29)))</f>
        <v/>
      </c>
      <c r="E2632">
        <f>INDEX(FactorTable!$B$2:$Y$301, MATCH(ROUND(MIN(300,MAX(1,D2632)),0), FactorTable!$A$2:$A$301,0), Skills!M17+1)</f>
        <v/>
      </c>
      <c r="F2632">
        <f>IF(Skills!N17=TRUE,(Skills!L17/10)*(E2632/1000),Skills!L17/10)+Skills!O17</f>
        <v/>
      </c>
      <c r="G2632">
        <f>Skills!G17*IF(Skills!H17&gt;0,INT(IF(Inputs!$B$38="pvp",MIN(Skills!I17,15),Skills!I17)/Skills!H17+0.000000001),1)</f>
        <v/>
      </c>
      <c r="H2632">
        <f>1-(1-Skills!J17/100)^Skills!K17</f>
        <v/>
      </c>
      <c r="I2632" t="inlineStr">
        <is>
          <t>1</t>
        </is>
      </c>
      <c r="J2632" t="inlineStr"/>
      <c r="K2632" t="inlineStr"/>
      <c r="L2632" t="inlineStr"/>
      <c r="M2632" t="inlineStr"/>
      <c r="N2632" t="inlineStr"/>
      <c r="O2632">
        <f>(1-Summary!$B$11)*T2632+Summary!$B$11*V2632</f>
        <v/>
      </c>
      <c r="P2632">
        <f>IF(B2660=0,0,O2632/B2660)</f>
        <v/>
      </c>
      <c r="Q2632">
        <f>IFERROR(1/(IF(Inputs!$B$38="pvp",15,MAX(0.1,Skills!D17-IF(TRUE=TRUE,Inputs!$B$32,0)))*(1-IF(AND(ArtifactsInput!$M$27,Inputs!$B$4="Chapter Hunt"),CHOOSE(ArtifactsInput!$N$27+1,20,24,28,32,36,40),0)/100)),0)</f>
        <v/>
      </c>
      <c r="R2632">
        <f>IF(AND(Inputs!$B$38&lt;&gt;"pvp",Inputs!$B$43&gt;0),IF(Inputs!$B$43&lt;=0,0,(INT(Inputs!$B$43/(IF(Inputs!$B$38="pvp",15,MAX(0.1,Skills!D17-IF(TRUE=TRUE,Inputs!$B$32,0)))*(1-IF(AND(ArtifactsInput!$M$27,Inputs!$B$4="Chapter Hunt"),CHOOSE(ArtifactsInput!$N$27+1,20,24,28,32,36,40),0)/100)))+1)),0)</f>
        <v/>
      </c>
      <c r="S2632">
        <f>IFERROR(O2632/N2632,0)</f>
        <v/>
      </c>
      <c r="T2632" t="n">
        <v>0</v>
      </c>
      <c r="V2632" t="n">
        <v>0</v>
      </c>
    </row>
    <row r="2633">
      <c r="A2633">
        <f>Skills!A18</f>
        <v/>
      </c>
      <c r="B2633">
        <f>Skills!B18</f>
        <v/>
      </c>
      <c r="C2633">
        <f>Inputs!$B$3&gt;=115</f>
        <v/>
      </c>
      <c r="D2633">
        <f>IF(Skills!C18=1,60+Inputs!$B$25+Inputs!$B$29,IF(Skills!C18=2,90+Inputs!$B$26+Inputs!$B$29,IF(Skills!C18=3,120+Inputs!$B$27+Inputs!$B$29,MAX(0,(Inputs!$B$3-100)*3)+Inputs!$B$28+Inputs!$B$29)))</f>
        <v/>
      </c>
      <c r="E2633">
        <f>INDEX(FactorTable!$B$2:$Y$301, MATCH(ROUND(MIN(300,MAX(1,D2633)),0), FactorTable!$A$2:$A$301,0), Skills!M18+1)</f>
        <v/>
      </c>
      <c r="F2633">
        <f>IF(Skills!N18=TRUE,(Skills!L18/10)*(E2633/1000),Skills!L18/10)+Skills!O18</f>
        <v/>
      </c>
      <c r="G2633">
        <f>Skills!G18*IF(Skills!H18&gt;0,INT(IF(Inputs!$B$38="pvp",MIN(Skills!I18,15),Skills!I18)/Skills!H18+0.000000001),1)</f>
        <v/>
      </c>
      <c r="H2633">
        <f>1-(1-Skills!J18/100)^Skills!K18</f>
        <v/>
      </c>
      <c r="I2633" t="inlineStr">
        <is>
          <t>1</t>
        </is>
      </c>
      <c r="J2633" t="inlineStr"/>
      <c r="K2633" t="inlineStr"/>
      <c r="L2633" t="inlineStr"/>
      <c r="M2633" t="inlineStr"/>
      <c r="N2633" t="inlineStr"/>
      <c r="O2633">
        <f>(1-Summary!$B$11)*T2633+Summary!$B$11*V2633</f>
        <v/>
      </c>
      <c r="P2633">
        <f>IF(B2660=0,0,O2633/B2660)</f>
        <v/>
      </c>
      <c r="Q2633">
        <f>IFERROR(1/(IF(Inputs!$B$38="pvp",15,MAX(0.1,Skills!D18-IF(TRUE=TRUE,Inputs!$B$32,0)))*(1-IF(AND(ArtifactsInput!$M$27,Inputs!$B$4="Chapter Hunt"),CHOOSE(ArtifactsInput!$N$27+1,20,24,28,32,36,40),0)/100)),0)</f>
        <v/>
      </c>
      <c r="R2633">
        <f>IF(AND(Inputs!$B$38&lt;&gt;"pvp",Inputs!$B$43&gt;0),IF(Inputs!$B$43&lt;=0,0,(INT(Inputs!$B$43/(IF(Inputs!$B$38="pvp",15,MAX(0.1,Skills!D18-IF(TRUE=TRUE,Inputs!$B$32,0)))*(1-IF(AND(ArtifactsInput!$M$27,Inputs!$B$4="Chapter Hunt"),CHOOSE(ArtifactsInput!$N$27+1,20,24,28,32,36,40),0)/100)))+1)),0)</f>
        <v/>
      </c>
      <c r="S2633">
        <f>IFERROR(O2633/N2633,0)</f>
        <v/>
      </c>
      <c r="T2633" t="n">
        <v>0</v>
      </c>
      <c r="V2633" t="n">
        <v>0</v>
      </c>
    </row>
    <row r="2634">
      <c r="A2634">
        <f>Skills!A19</f>
        <v/>
      </c>
      <c r="B2634">
        <f>Skills!B19</f>
        <v/>
      </c>
      <c r="C2634">
        <f>Inputs!$B$3&gt;=66</f>
        <v/>
      </c>
      <c r="D2634">
        <f>IF(Skills!C19=1,60+Inputs!$B$25+Inputs!$B$29,IF(Skills!C19=2,90+Inputs!$B$26+Inputs!$B$29,IF(Skills!C19=3,120+Inputs!$B$27+Inputs!$B$29,MAX(0,(Inputs!$B$3-100)*3)+Inputs!$B$28+Inputs!$B$29)))</f>
        <v/>
      </c>
      <c r="E2634">
        <f>INDEX(FactorTable!$B$2:$Y$301, MATCH(ROUND(MIN(300,MAX(1,D2634)),0), FactorTable!$A$2:$A$301,0), Skills!M19+1)</f>
        <v/>
      </c>
      <c r="F2634">
        <f>IF(Skills!N19=TRUE,(Skills!L19/10)*(E2634/1000),Skills!L19/10)+Skills!O19</f>
        <v/>
      </c>
      <c r="G2634">
        <f>Skills!G19*IF(Skills!H19&gt;0,INT(IF(Inputs!$B$38="pvp",MIN(Skills!I19,15),Skills!I19)/Skills!H19+0.000000001),1)</f>
        <v/>
      </c>
      <c r="H2634">
        <f>1-(1-Skills!J19/100)^Skills!K19</f>
        <v/>
      </c>
      <c r="I2634" t="inlineStr">
        <is>
          <t>1</t>
        </is>
      </c>
      <c r="J2634" t="inlineStr"/>
      <c r="K2634" t="inlineStr"/>
      <c r="L2634" t="inlineStr"/>
      <c r="M2634" t="inlineStr"/>
      <c r="N2634" t="inlineStr"/>
      <c r="O2634">
        <f>(1-Summary!$B$11)*T2634+Summary!$B$11*V2634</f>
        <v/>
      </c>
      <c r="P2634">
        <f>IF(B2660=0,0,O2634/B2660)</f>
        <v/>
      </c>
      <c r="Q2634" t="n">
        <v>0</v>
      </c>
      <c r="R2634" t="n">
        <v>0</v>
      </c>
      <c r="S2634">
        <f>IFERROR(O2634/N2634,0)</f>
        <v/>
      </c>
      <c r="T2634" t="n">
        <v>0</v>
      </c>
      <c r="V2634" t="n">
        <v>0</v>
      </c>
    </row>
    <row r="2635">
      <c r="A2635">
        <f>Skills!A20</f>
        <v/>
      </c>
      <c r="B2635">
        <f>Skills!B20</f>
        <v/>
      </c>
      <c r="C2635">
        <f>Inputs!$B$3&gt;=72</f>
        <v/>
      </c>
      <c r="D2635">
        <f>IF(Skills!C20=1,60+Inputs!$B$25+Inputs!$B$29,IF(Skills!C20=2,90+Inputs!$B$26+Inputs!$B$29,IF(Skills!C20=3,120+Inputs!$B$27+Inputs!$B$29,MAX(0,(Inputs!$B$3-100)*3)+Inputs!$B$28+Inputs!$B$29)))</f>
        <v/>
      </c>
      <c r="E2635">
        <f>INDEX(FactorTable!$B$2:$Y$301, MATCH(ROUND(MIN(300,MAX(1,D2635)),0), FactorTable!$A$2:$A$301,0), Skills!M20+1)</f>
        <v/>
      </c>
      <c r="F2635">
        <f>IF(Skills!N20=TRUE,(Skills!L20/10)*(E2635/1000),Skills!L20/10)+Skills!O20</f>
        <v/>
      </c>
      <c r="G2635">
        <f>Skills!G20*IF(Skills!H20&gt;0,INT(IF(Inputs!$B$38="pvp",MIN(Skills!I20,15),Skills!I20)/Skills!H20+0.000000001),1)</f>
        <v/>
      </c>
      <c r="H2635">
        <f>1-(1-Skills!J20/100)^Skills!K20</f>
        <v/>
      </c>
      <c r="I2635" t="inlineStr">
        <is>
          <t>1</t>
        </is>
      </c>
      <c r="J2635" t="inlineStr"/>
      <c r="K2635" t="inlineStr"/>
      <c r="L2635" t="inlineStr"/>
      <c r="M2635" t="inlineStr"/>
      <c r="N2635" t="inlineStr"/>
      <c r="O2635">
        <f>(1-Summary!$B$11)*T2635+Summary!$B$11*V2635</f>
        <v/>
      </c>
      <c r="P2635">
        <f>IF(B2660=0,0,O2635/B2660)</f>
        <v/>
      </c>
      <c r="Q2635" t="n">
        <v>0</v>
      </c>
      <c r="R2635" t="n">
        <v>0</v>
      </c>
      <c r="S2635">
        <f>IFERROR(O2635/N2635,0)</f>
        <v/>
      </c>
      <c r="T2635" t="n">
        <v>0</v>
      </c>
      <c r="V2635" t="n">
        <v>0</v>
      </c>
    </row>
    <row r="2636">
      <c r="A2636">
        <f>Skills!A21</f>
        <v/>
      </c>
      <c r="B2636">
        <f>Skills!B21</f>
        <v/>
      </c>
      <c r="C2636">
        <f>TRUE</f>
        <v/>
      </c>
      <c r="D2636">
        <f>IF(Skills!C21=1,60+Inputs!$B$25+Inputs!$B$29,IF(Skills!C21=2,90+Inputs!$B$26+Inputs!$B$29,IF(Skills!C21=3,120+Inputs!$B$27+Inputs!$B$29,MAX(0,(Inputs!$B$3-100)*3)+Inputs!$B$28+Inputs!$B$29)))</f>
        <v/>
      </c>
      <c r="E2636">
        <f>INDEX(FactorTable!$B$2:$Y$301, MATCH(ROUND(MIN(300,MAX(1,D2636)),0), FactorTable!$A$2:$A$301,0), Skills!M21+1)</f>
        <v/>
      </c>
      <c r="F2636">
        <f>IF(Skills!N21=TRUE,(Skills!L21/10)*(E2636/1000),Skills!L21/10)+Skills!O21</f>
        <v/>
      </c>
      <c r="G2636">
        <f>Skills!G21*IF(Skills!H21&gt;0,INT(IF(Inputs!$B$38="pvp",MIN(Skills!I21,15),Skills!I21)/Skills!H21+0.000000001),1)</f>
        <v/>
      </c>
      <c r="H2636">
        <f>1-(1-Skills!J21/100)^Skills!K21</f>
        <v/>
      </c>
      <c r="I2636" t="inlineStr">
        <is>
          <t>1</t>
        </is>
      </c>
      <c r="J2636" t="inlineStr"/>
      <c r="K2636" t="inlineStr"/>
      <c r="L2636" t="inlineStr"/>
      <c r="M2636" t="inlineStr"/>
      <c r="N2636" t="inlineStr"/>
      <c r="O2636">
        <f>(1-Summary!$B$11)*T2636+Summary!$B$11*V2636</f>
        <v/>
      </c>
      <c r="P2636">
        <f>IF(B2660=0,0,O2636/B2660)</f>
        <v/>
      </c>
      <c r="Q2636">
        <f>IFERROR(1/(IF(Inputs!$B$38="pvp",15,MAX(0.1,Skills!D21-IF(TRUE=TRUE,Inputs!$B$32,0)))*(1-IF(AND(ArtifactsInput!$M$27,Inputs!$B$4="Chapter Hunt"),CHOOSE(ArtifactsInput!$N$27+1,20,24,28,32,36,40),0)/100)),0)</f>
        <v/>
      </c>
      <c r="R2636">
        <f>IF(AND(Inputs!$B$38&lt;&gt;"pvp",Inputs!$B$43&gt;0),IF(Inputs!$B$43&lt;=0,0,(INT(Inputs!$B$43/(IF(Inputs!$B$38="pvp",15,MAX(0.1,Skills!D21-IF(TRUE=TRUE,Inputs!$B$32,0)))*(1-IF(AND(ArtifactsInput!$M$27,Inputs!$B$4="Chapter Hunt"),CHOOSE(ArtifactsInput!$N$27+1,20,24,28,32,36,40),0)/100)))+1)),0)</f>
        <v/>
      </c>
      <c r="S2636">
        <f>IFERROR(O2636/N2636,0)</f>
        <v/>
      </c>
      <c r="T2636" t="n">
        <v>0</v>
      </c>
      <c r="V2636" t="n">
        <v>0</v>
      </c>
    </row>
    <row r="2637">
      <c r="A2637">
        <f>Skills!A22</f>
        <v/>
      </c>
      <c r="B2637">
        <f>Skills!B22</f>
        <v/>
      </c>
      <c r="C2637">
        <f>Inputs!$B$3&gt;=15</f>
        <v/>
      </c>
      <c r="D2637">
        <f>IF(Skills!C22=1,60+Inputs!$B$25+Inputs!$B$29,IF(Skills!C22=2,90+Inputs!$B$26+Inputs!$B$29,IF(Skills!C22=3,120+Inputs!$B$27+Inputs!$B$29,MAX(0,(Inputs!$B$3-100)*3)+Inputs!$B$28+Inputs!$B$29)))</f>
        <v/>
      </c>
      <c r="E2637">
        <f>INDEX(FactorTable!$B$2:$Y$301, MATCH(ROUND(MIN(300,MAX(1,D2637)),0), FactorTable!$A$2:$A$301,0), Skills!M22+1)</f>
        <v/>
      </c>
      <c r="F2637">
        <f>IF(Skills!N22=TRUE,(Skills!L22/10)*(E2637/1000),Skills!L22/10)+Skills!O22</f>
        <v/>
      </c>
      <c r="G2637">
        <f>Skills!G22*IF(Skills!H22&gt;0,INT(IF(Inputs!$B$38="pvp",MIN(Skills!I22,15),Skills!I22)/Skills!H22+0.000000001),1)</f>
        <v/>
      </c>
      <c r="H2637">
        <f>1-(1-Skills!J22/100)^Skills!K22</f>
        <v/>
      </c>
      <c r="I2637" t="inlineStr">
        <is>
          <t>1</t>
        </is>
      </c>
      <c r="J2637" t="inlineStr"/>
      <c r="K2637" t="inlineStr"/>
      <c r="L2637" t="inlineStr"/>
      <c r="M2637" t="inlineStr"/>
      <c r="N2637" t="inlineStr"/>
      <c r="O2637">
        <f>(1-Summary!$B$11)*T2637+Summary!$B$11*V2637</f>
        <v/>
      </c>
      <c r="P2637">
        <f>IF(B2660=0,0,O2637/B2660)</f>
        <v/>
      </c>
      <c r="Q2637" t="n">
        <v>0</v>
      </c>
      <c r="R2637" t="n">
        <v>0</v>
      </c>
      <c r="S2637">
        <f>IFERROR(O2637/N2637,0)</f>
        <v/>
      </c>
      <c r="T2637" t="n">
        <v>0</v>
      </c>
      <c r="V2637" t="n">
        <v>0</v>
      </c>
    </row>
    <row r="2638">
      <c r="A2638">
        <f>Skills!A23</f>
        <v/>
      </c>
      <c r="B2638">
        <f>Skills!B23</f>
        <v/>
      </c>
      <c r="C2638">
        <f>Inputs!$B$3&gt;=10</f>
        <v/>
      </c>
      <c r="D2638">
        <f>IF(Skills!C23=1,60+Inputs!$B$25+Inputs!$B$29,IF(Skills!C23=2,90+Inputs!$B$26+Inputs!$B$29,IF(Skills!C23=3,120+Inputs!$B$27+Inputs!$B$29,MAX(0,(Inputs!$B$3-100)*3)+Inputs!$B$28+Inputs!$B$29)))</f>
        <v/>
      </c>
      <c r="E2638">
        <f>INDEX(FactorTable!$B$2:$Y$301, MATCH(ROUND(MIN(300,MAX(1,D2638)),0), FactorTable!$A$2:$A$301,0), Skills!M23+1)</f>
        <v/>
      </c>
      <c r="F2638">
        <f>IF(Skills!N23=TRUE,(Skills!L23/10)*(E2638/1000),Skills!L23/10)+Skills!O23</f>
        <v/>
      </c>
      <c r="G2638">
        <f>Skills!G23*IF(Skills!H23&gt;0,INT(IF(Inputs!$B$38="pvp",MIN(Skills!I23,15),Skills!I23)/Skills!H23+0.000000001),1)</f>
        <v/>
      </c>
      <c r="H2638">
        <f>1-(1-Skills!J23/100)^Skills!K23</f>
        <v/>
      </c>
      <c r="I2638" t="inlineStr">
        <is>
          <t>1</t>
        </is>
      </c>
      <c r="J2638" t="inlineStr"/>
      <c r="K2638" t="inlineStr"/>
      <c r="L2638" t="inlineStr"/>
      <c r="M2638" t="inlineStr"/>
      <c r="N2638" t="inlineStr"/>
      <c r="O2638">
        <f>(1-Summary!$B$11)*T2638+Summary!$B$11*V2638</f>
        <v/>
      </c>
      <c r="P2638">
        <f>IF(B2660=0,0,O2638/B2660)</f>
        <v/>
      </c>
      <c r="Q2638" t="n">
        <v>0</v>
      </c>
      <c r="R2638" t="n">
        <v>0</v>
      </c>
      <c r="S2638">
        <f>IFERROR(O2638/N2638,0)</f>
        <v/>
      </c>
      <c r="T2638" t="n">
        <v>0</v>
      </c>
      <c r="V2638" t="n">
        <v>0</v>
      </c>
    </row>
    <row r="2639">
      <c r="A2639">
        <f>Skills!A24</f>
        <v/>
      </c>
      <c r="B2639">
        <f>Skills!B24</f>
        <v/>
      </c>
      <c r="C2639">
        <f>Inputs!$B$3&gt;=33</f>
        <v/>
      </c>
      <c r="D2639">
        <f>IF(Skills!C24=1,60+Inputs!$B$25+Inputs!$B$29,IF(Skills!C24=2,90+Inputs!$B$26+Inputs!$B$29,IF(Skills!C24=3,120+Inputs!$B$27+Inputs!$B$29,MAX(0,(Inputs!$B$3-100)*3)+Inputs!$B$28+Inputs!$B$29)))</f>
        <v/>
      </c>
      <c r="E2639">
        <f>INDEX(FactorTable!$B$2:$Y$301, MATCH(ROUND(MIN(300,MAX(1,D2639)),0), FactorTable!$A$2:$A$301,0), Skills!M24+1)</f>
        <v/>
      </c>
      <c r="F2639">
        <f>IF(Skills!N24=TRUE,(Skills!L24/10)*(E2639/1000),Skills!L24/10)+Skills!O24</f>
        <v/>
      </c>
      <c r="G2639">
        <f>Skills!G24*IF(Skills!H24&gt;0,INT(IF(Inputs!$B$38="pvp",MIN(Skills!I24,15),Skills!I24)/Skills!H24+0.000000001),1)</f>
        <v/>
      </c>
      <c r="H2639">
        <f>1-(1-Skills!J24/100)^Skills!K24</f>
        <v/>
      </c>
      <c r="I2639" t="inlineStr">
        <is>
          <t>1</t>
        </is>
      </c>
      <c r="J2639" t="inlineStr"/>
      <c r="K2639" t="inlineStr"/>
      <c r="L2639" t="inlineStr"/>
      <c r="M2639" t="inlineStr"/>
      <c r="N2639" t="inlineStr"/>
      <c r="O2639">
        <f>(1-Summary!$B$11)*T2639+Summary!$B$11*V2639</f>
        <v/>
      </c>
      <c r="P2639">
        <f>IF(B2660=0,0,O2639/B2660)</f>
        <v/>
      </c>
      <c r="Q2639" t="n">
        <v>0</v>
      </c>
      <c r="R2639" t="n">
        <v>0</v>
      </c>
      <c r="S2639">
        <f>IFERROR(O2639/N2639,0)</f>
        <v/>
      </c>
      <c r="T2639" t="n">
        <v>0</v>
      </c>
      <c r="V2639" t="n">
        <v>0</v>
      </c>
    </row>
    <row r="2640">
      <c r="A2640">
        <f>Skills!A25</f>
        <v/>
      </c>
      <c r="B2640">
        <f>Skills!B25</f>
        <v/>
      </c>
      <c r="C2640">
        <f>Inputs!$B$3&gt;=38</f>
        <v/>
      </c>
      <c r="D2640">
        <f>IF(Skills!C25=1,60+Inputs!$B$25+Inputs!$B$29,IF(Skills!C25=2,90+Inputs!$B$26+Inputs!$B$29,IF(Skills!C25=3,120+Inputs!$B$27+Inputs!$B$29,MAX(0,(Inputs!$B$3-100)*3)+Inputs!$B$28+Inputs!$B$29)))</f>
        <v/>
      </c>
      <c r="E2640">
        <f>INDEX(FactorTable!$B$2:$Y$301, MATCH(ROUND(MIN(300,MAX(1,D2640)),0), FactorTable!$A$2:$A$301,0), Skills!M25+1)</f>
        <v/>
      </c>
      <c r="F2640">
        <f>IF(Skills!N25=TRUE,(Skills!L25/10)*(E2640/1000),Skills!L25/10)+Skills!O25</f>
        <v/>
      </c>
      <c r="G2640">
        <f>Skills!G25*IF(Skills!H25&gt;0,INT(IF(Inputs!$B$38="pvp",MIN(Skills!I25,15),Skills!I25)/Skills!H25+0.000000001),1)</f>
        <v/>
      </c>
      <c r="H2640">
        <f>1-(1-Skills!J25/100)^Skills!K25</f>
        <v/>
      </c>
      <c r="I2640" t="inlineStr">
        <is>
          <t>1</t>
        </is>
      </c>
      <c r="J2640" t="inlineStr"/>
      <c r="K2640" t="inlineStr"/>
      <c r="L2640" t="inlineStr"/>
      <c r="M2640" t="inlineStr"/>
      <c r="N2640" t="inlineStr"/>
      <c r="O2640">
        <f>(1-Summary!$B$11)*T2640+Summary!$B$11*V2640</f>
        <v/>
      </c>
      <c r="P2640">
        <f>IF(B2660=0,0,O2640/B2660)</f>
        <v/>
      </c>
      <c r="Q2640" t="n">
        <v>0</v>
      </c>
      <c r="R2640" t="n">
        <v>0</v>
      </c>
      <c r="S2640">
        <f>IFERROR(O2640/N2640,0)</f>
        <v/>
      </c>
      <c r="T2640" t="n">
        <v>0</v>
      </c>
      <c r="V2640" t="n">
        <v>0</v>
      </c>
    </row>
    <row r="2641">
      <c r="A2641">
        <f>Skills!A26</f>
        <v/>
      </c>
      <c r="B2641">
        <f>Skills!B26</f>
        <v/>
      </c>
      <c r="C2641">
        <f>Inputs!$B$3&gt;=43</f>
        <v/>
      </c>
      <c r="D2641">
        <f>IF(Skills!C26=1,60+Inputs!$B$25+Inputs!$B$29,IF(Skills!C26=2,90+Inputs!$B$26+Inputs!$B$29,IF(Skills!C26=3,120+Inputs!$B$27+Inputs!$B$29,MAX(0,(Inputs!$B$3-100)*3)+Inputs!$B$28+Inputs!$B$29)))</f>
        <v/>
      </c>
      <c r="E2641">
        <f>INDEX(FactorTable!$B$2:$Y$301, MATCH(ROUND(MIN(300,MAX(1,D2641)),0), FactorTable!$A$2:$A$301,0), Skills!M26+1)</f>
        <v/>
      </c>
      <c r="F2641">
        <f>IF(Skills!N26=TRUE,(Skills!L26/10)*(E2641/1000),Skills!L26/10)+Skills!O26</f>
        <v/>
      </c>
      <c r="G2641">
        <f>Skills!G26*IF(Skills!H26&gt;0,INT(IF(Inputs!$B$38="pvp",MIN(Skills!I26,15),Skills!I26)/Skills!H26+0.000000001),1)</f>
        <v/>
      </c>
      <c r="H2641">
        <f>1-(1-Skills!J26/100)^Skills!K26</f>
        <v/>
      </c>
      <c r="I2641" t="inlineStr">
        <is>
          <t>1</t>
        </is>
      </c>
      <c r="J2641" t="inlineStr"/>
      <c r="K2641" t="inlineStr"/>
      <c r="L2641" t="inlineStr"/>
      <c r="M2641" t="inlineStr"/>
      <c r="N2641" t="inlineStr"/>
      <c r="O2641">
        <f>(1-Summary!$B$11)*T2641+Summary!$B$11*V2641</f>
        <v/>
      </c>
      <c r="P2641">
        <f>IF(B2660=0,0,O2641/B2660)</f>
        <v/>
      </c>
      <c r="Q2641" t="n">
        <v>0</v>
      </c>
      <c r="R2641" t="n">
        <v>0</v>
      </c>
      <c r="S2641">
        <f>IFERROR(O2641/N2641,0)</f>
        <v/>
      </c>
      <c r="T2641" t="n">
        <v>0</v>
      </c>
      <c r="V2641" t="n">
        <v>0</v>
      </c>
    </row>
    <row r="2642">
      <c r="A2642">
        <f>Skills!A27</f>
        <v/>
      </c>
      <c r="B2642">
        <f>Skills!B27</f>
        <v/>
      </c>
      <c r="C2642">
        <f>Inputs!$B$3&gt;=75</f>
        <v/>
      </c>
      <c r="D2642">
        <f>IF(Skills!C27=1,60+Inputs!$B$25+Inputs!$B$29,IF(Skills!C27=2,90+Inputs!$B$26+Inputs!$B$29,IF(Skills!C27=3,120+Inputs!$B$27+Inputs!$B$29,MAX(0,(Inputs!$B$3-100)*3)+Inputs!$B$28+Inputs!$B$29)))</f>
        <v/>
      </c>
      <c r="E2642">
        <f>INDEX(FactorTable!$B$2:$Y$301, MATCH(ROUND(MIN(300,MAX(1,D2642)),0), FactorTable!$A$2:$A$301,0), Skills!M27+1)</f>
        <v/>
      </c>
      <c r="F2642">
        <f>IF(Skills!N27=TRUE,(Skills!L27/10)*(E2642/1000),Skills!L27/10)+Skills!O27</f>
        <v/>
      </c>
      <c r="G2642">
        <f>Skills!G27*IF(Skills!H27&gt;0,INT(IF(Inputs!$B$38="pvp",MIN(Skills!I27,15),Skills!I27)/Skills!H27+0.000000001),1)</f>
        <v/>
      </c>
      <c r="H2642">
        <f>1-(1-Skills!J27/100)^Skills!K27</f>
        <v/>
      </c>
      <c r="I2642" t="inlineStr">
        <is>
          <t>1</t>
        </is>
      </c>
      <c r="J2642" t="inlineStr"/>
      <c r="K2642" t="inlineStr"/>
      <c r="L2642" t="inlineStr"/>
      <c r="M2642" t="inlineStr"/>
      <c r="N2642" t="inlineStr"/>
      <c r="O2642">
        <f>(1-Summary!$B$11)*T2642+Summary!$B$11*V2642</f>
        <v/>
      </c>
      <c r="P2642">
        <f>IF(B2660=0,0,O2642/B2660)</f>
        <v/>
      </c>
      <c r="Q2642" t="n">
        <v>0</v>
      </c>
      <c r="R2642" t="n">
        <v>0</v>
      </c>
      <c r="S2642">
        <f>IFERROR(O2642/N2642,0)</f>
        <v/>
      </c>
      <c r="T2642" t="n">
        <v>0</v>
      </c>
      <c r="V2642" t="n">
        <v>0</v>
      </c>
    </row>
    <row r="2643">
      <c r="A2643">
        <f>Skills!A28</f>
        <v/>
      </c>
      <c r="B2643">
        <f>Skills!B28</f>
        <v/>
      </c>
      <c r="C2643">
        <f>Inputs!$B$3&gt;=125</f>
        <v/>
      </c>
      <c r="D2643">
        <f>IF(Skills!C28=1,60+Inputs!$B$25+Inputs!$B$29,IF(Skills!C28=2,90+Inputs!$B$26+Inputs!$B$29,IF(Skills!C28=3,120+Inputs!$B$27+Inputs!$B$29,MAX(0,(Inputs!$B$3-100)*3)+Inputs!$B$28+Inputs!$B$29)))</f>
        <v/>
      </c>
      <c r="E2643">
        <f>INDEX(FactorTable!$B$2:$Y$301, MATCH(ROUND(MIN(300,MAX(1,D2643)),0), FactorTable!$A$2:$A$301,0), Skills!M28+1)</f>
        <v/>
      </c>
      <c r="F2643">
        <f>IF(Skills!N28=TRUE,(Skills!L28/10)*(E2643/1000),Skills!L28/10)+Skills!O28</f>
        <v/>
      </c>
      <c r="G2643">
        <f>Skills!G28*IF(Skills!H28&gt;0,INT(IF(Inputs!$B$38="pvp",MIN(Skills!I28,15),Skills!I28)/Skills!H28+0.000000001),1)</f>
        <v/>
      </c>
      <c r="H2643">
        <f>1-(1-Skills!J28/100)^Skills!K28</f>
        <v/>
      </c>
      <c r="I2643" t="inlineStr">
        <is>
          <t>1</t>
        </is>
      </c>
      <c r="J2643" t="inlineStr"/>
      <c r="K2643" t="inlineStr"/>
      <c r="L2643" t="inlineStr"/>
      <c r="M2643" t="inlineStr"/>
      <c r="N2643" t="inlineStr"/>
      <c r="O2643">
        <f>(1-Summary!$B$11)*T2643+Summary!$B$11*V2643</f>
        <v/>
      </c>
      <c r="P2643">
        <f>IF(B2660=0,0,O2643/B2660)</f>
        <v/>
      </c>
      <c r="Q2643" t="n">
        <v>0</v>
      </c>
      <c r="R2643" t="n">
        <v>0</v>
      </c>
      <c r="S2643">
        <f>IFERROR(O2643/N2643,0)</f>
        <v/>
      </c>
      <c r="T2643" t="n">
        <v>0</v>
      </c>
      <c r="V2643" t="n">
        <v>0</v>
      </c>
    </row>
    <row r="2644">
      <c r="A2644">
        <f>Skills!A29</f>
        <v/>
      </c>
      <c r="B2644">
        <f>Skills!B29</f>
        <v/>
      </c>
      <c r="C2644">
        <f>Inputs!$B$3&gt;=125</f>
        <v/>
      </c>
      <c r="D2644">
        <f>IF(Skills!C29=1,60+Inputs!$B$25+Inputs!$B$29,IF(Skills!C29=2,90+Inputs!$B$26+Inputs!$B$29,IF(Skills!C29=3,120+Inputs!$B$27+Inputs!$B$29,MAX(0,(Inputs!$B$3-100)*3)+Inputs!$B$28+Inputs!$B$29)))</f>
        <v/>
      </c>
      <c r="E2644">
        <f>INDEX(FactorTable!$B$2:$Y$301, MATCH(ROUND(MIN(300,MAX(1,D2644)),0), FactorTable!$A$2:$A$301,0), Skills!M29+1)</f>
        <v/>
      </c>
      <c r="F2644">
        <f>IF(Skills!N29=TRUE,(Skills!L29/10)*(E2644/1000),Skills!L29/10)+Skills!O29</f>
        <v/>
      </c>
      <c r="G2644">
        <f>Skills!G29*IF(Skills!H29&gt;0,INT(IF(Inputs!$B$38="pvp",MIN(Skills!I29,15),Skills!I29)/Skills!H29+0.000000001),1)</f>
        <v/>
      </c>
      <c r="H2644">
        <f>1-(1-Skills!J29/100)^Skills!K29</f>
        <v/>
      </c>
      <c r="I2644" t="inlineStr">
        <is>
          <t>1</t>
        </is>
      </c>
      <c r="J2644" t="inlineStr"/>
      <c r="K2644" t="inlineStr"/>
      <c r="L2644" t="inlineStr"/>
      <c r="M2644" t="inlineStr"/>
      <c r="N2644" t="inlineStr"/>
      <c r="O2644">
        <f>(1-Summary!$B$11)*T2644+Summary!$B$11*V2644</f>
        <v/>
      </c>
      <c r="P2644">
        <f>IF(B2660=0,0,O2644/B2660)</f>
        <v/>
      </c>
      <c r="Q2644" t="n">
        <v>0</v>
      </c>
      <c r="R2644" t="n">
        <v>0</v>
      </c>
      <c r="S2644">
        <f>IFERROR(O2644/N2644,0)</f>
        <v/>
      </c>
      <c r="T2644" t="n">
        <v>0</v>
      </c>
      <c r="V2644" t="n">
        <v>0</v>
      </c>
    </row>
    <row r="2645">
      <c r="A2645">
        <f>Skills!A30</f>
        <v/>
      </c>
      <c r="B2645">
        <f>Skills!B30</f>
        <v/>
      </c>
      <c r="C2645">
        <f>Inputs!$B$3&gt;=120</f>
        <v/>
      </c>
      <c r="D2645">
        <f>IF(Skills!C30=1,60+Inputs!$B$25+Inputs!$B$29,IF(Skills!C30=2,90+Inputs!$B$26+Inputs!$B$29,IF(Skills!C30=3,120+Inputs!$B$27+Inputs!$B$29,MAX(0,(Inputs!$B$3-100)*3)+Inputs!$B$28+Inputs!$B$29)))</f>
        <v/>
      </c>
      <c r="E2645">
        <f>INDEX(FactorTable!$B$2:$Y$301, MATCH(ROUND(MIN(300,MAX(1,D2645)),0), FactorTable!$A$2:$A$301,0), Skills!M30+1)</f>
        <v/>
      </c>
      <c r="F2645">
        <f>IF(Skills!N30=TRUE,(Skills!L30/10)*(E2645/1000),Skills!L30/10)+Skills!O30</f>
        <v/>
      </c>
      <c r="G2645">
        <f>Skills!G30*IF(Skills!H30&gt;0,INT(IF(Inputs!$B$38="pvp",MIN(Skills!I30,15),Skills!I30)/Skills!H30+0.000000001),1)</f>
        <v/>
      </c>
      <c r="H2645">
        <f>1-(1-Skills!J30/100)^Skills!K30</f>
        <v/>
      </c>
      <c r="I2645" t="inlineStr">
        <is>
          <t>1</t>
        </is>
      </c>
      <c r="J2645" t="inlineStr"/>
      <c r="K2645" t="inlineStr"/>
      <c r="L2645" t="inlineStr"/>
      <c r="M2645" t="inlineStr"/>
      <c r="N2645" t="inlineStr"/>
      <c r="O2645">
        <f>(1-Summary!$B$11)*T2645+Summary!$B$11*V2645</f>
        <v/>
      </c>
      <c r="P2645">
        <f>IF(B2660=0,0,O2645/B2660)</f>
        <v/>
      </c>
      <c r="Q2645" t="n">
        <v>0</v>
      </c>
      <c r="R2645" t="n">
        <v>0</v>
      </c>
      <c r="S2645">
        <f>IFERROR(O2645/N2645,0)</f>
        <v/>
      </c>
      <c r="T2645" t="n">
        <v>0</v>
      </c>
      <c r="V2645" t="n">
        <v>0</v>
      </c>
    </row>
    <row r="2646">
      <c r="A2646">
        <f>Skills!A31</f>
        <v/>
      </c>
      <c r="B2646">
        <f>Skills!B31</f>
        <v/>
      </c>
      <c r="C2646">
        <f>Inputs!$B$3&gt;=120</f>
        <v/>
      </c>
      <c r="D2646">
        <f>IF(Skills!C31=1,60+Inputs!$B$25+Inputs!$B$29,IF(Skills!C31=2,90+Inputs!$B$26+Inputs!$B$29,IF(Skills!C31=3,120+Inputs!$B$27+Inputs!$B$29,MAX(0,(Inputs!$B$3-100)*3)+Inputs!$B$28+Inputs!$B$29)))</f>
        <v/>
      </c>
      <c r="E2646">
        <f>INDEX(FactorTable!$B$2:$Y$301, MATCH(ROUND(MIN(300,MAX(1,D2646)),0), FactorTable!$A$2:$A$301,0), Skills!M31+1)</f>
        <v/>
      </c>
      <c r="F2646">
        <f>IF(Skills!N31=TRUE,(Skills!L31/10)*(E2646/1000),Skills!L31/10)+Skills!O31</f>
        <v/>
      </c>
      <c r="G2646">
        <f>Skills!G31*IF(Skills!H31&gt;0,INT(IF(Inputs!$B$38="pvp",MIN(Skills!I31,15),Skills!I31)/Skills!H31+0.000000001),1)</f>
        <v/>
      </c>
      <c r="H2646">
        <f>1-(1-Skills!J31/100)^Skills!K31</f>
        <v/>
      </c>
      <c r="I2646" t="inlineStr">
        <is>
          <t>1</t>
        </is>
      </c>
      <c r="J2646" t="inlineStr"/>
      <c r="K2646" t="inlineStr"/>
      <c r="L2646" t="inlineStr"/>
      <c r="M2646" t="inlineStr"/>
      <c r="N2646" t="inlineStr"/>
      <c r="O2646">
        <f>(1-Summary!$B$11)*T2646+Summary!$B$11*V2646</f>
        <v/>
      </c>
      <c r="P2646">
        <f>IF(B2660=0,0,O2646/B2660)</f>
        <v/>
      </c>
      <c r="Q2646" t="n">
        <v>0</v>
      </c>
      <c r="R2646" t="n">
        <v>0</v>
      </c>
      <c r="S2646">
        <f>IFERROR(O2646/N2646,0)</f>
        <v/>
      </c>
      <c r="T2646" t="n">
        <v>0</v>
      </c>
      <c r="V2646" t="n">
        <v>0</v>
      </c>
    </row>
    <row r="2647">
      <c r="A2647">
        <f>Skills!A32</f>
        <v/>
      </c>
      <c r="B2647">
        <f>Skills!B32</f>
        <v/>
      </c>
      <c r="C2647">
        <f>Inputs!$B$3&gt;=45</f>
        <v/>
      </c>
      <c r="D2647">
        <f>IF(Skills!C32=1,60+Inputs!$B$25+Inputs!$B$29,IF(Skills!C32=2,90+Inputs!$B$26+Inputs!$B$29,IF(Skills!C32=3,120+Inputs!$B$27+Inputs!$B$29,MAX(0,(Inputs!$B$3-100)*3)+Inputs!$B$28+Inputs!$B$29)))</f>
        <v/>
      </c>
      <c r="E2647">
        <f>INDEX(FactorTable!$B$2:$Y$301, MATCH(ROUND(MIN(300,MAX(1,D2647)),0), FactorTable!$A$2:$A$301,0), Skills!M32+1)</f>
        <v/>
      </c>
      <c r="F2647">
        <f>IF(Skills!N32=TRUE,(Skills!L32/10)*(E2647/1000),Skills!L32/10)+Skills!O32</f>
        <v/>
      </c>
      <c r="G2647">
        <f>Skills!G32*IF(Skills!H32&gt;0,INT(IF(Inputs!$B$38="pvp",MIN(Skills!I32,15),Skills!I32)/Skills!H32+0.000000001),1)</f>
        <v/>
      </c>
      <c r="H2647">
        <f>1-(1-Skills!J32/100)^Skills!K32</f>
        <v/>
      </c>
      <c r="I2647" t="inlineStr">
        <is>
          <t>1</t>
        </is>
      </c>
      <c r="J2647" t="inlineStr"/>
      <c r="K2647" t="inlineStr"/>
      <c r="L2647" t="inlineStr"/>
      <c r="M2647" t="inlineStr"/>
      <c r="N2647" t="inlineStr"/>
      <c r="O2647">
        <f>(1-Summary!$B$11)*T2647+Summary!$B$11*V2647</f>
        <v/>
      </c>
      <c r="P2647">
        <f>IF(B2660=0,0,O2647/B2660)</f>
        <v/>
      </c>
      <c r="Q2647" t="n">
        <v>0</v>
      </c>
      <c r="R2647" t="n">
        <v>0</v>
      </c>
      <c r="S2647">
        <f>IFERROR(O2647/N2647,0)</f>
        <v/>
      </c>
      <c r="T2647" t="n">
        <v>0</v>
      </c>
      <c r="V2647" t="n">
        <v>0</v>
      </c>
    </row>
    <row r="2649">
      <c r="A2649" t="inlineStr">
        <is>
          <t>Attack% Bucket Multiplier</t>
        </is>
      </c>
      <c r="B2649">
        <f>(1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0">
      <c r="A2650" t="inlineStr">
        <is>
          <t>Global Crit Rate Bonus %</t>
        </is>
      </c>
      <c r="B2650" t="n">
        <v>0</v>
      </c>
    </row>
    <row r="2651">
      <c r="A2651" t="inlineStr">
        <is>
          <t>Attack Speed Buff Bonus %</t>
        </is>
      </c>
      <c r="B2651">
        <f>((C2636=TRUE)*F2636*IF(AND(Inputs!$B$38&lt;&gt;"pvp",Inputs!$B$43&gt;0),(((R2636-1)*MIN((Skills!T21*(1+Inputs!$B$34/100)),(1/Q2636))+MIN((Skills!T21*(1+Inputs!$B$34/100)),MAX(0,Inputs!$B$43-((R2636-1)*(1/Q2636)))))/Inputs!$B$43),IF(Inputs!$B$38="pvp",MIN((Skills!T21*(1+Inputs!$B$34/100)),15)/15,MIN(1,(Skills!T21*(1+Inputs!$B$34/100))/(1/Q2636)))))</f>
        <v/>
      </c>
    </row>
    <row r="2652">
      <c r="A2652" t="inlineStr">
        <is>
          <t>Actions Per Second</t>
        </is>
      </c>
      <c r="B2652">
        <f>1+MIN(150,150*(1-(1-(Inputs!$B$11+((C2638=TRUE)*(F2638-Calc!F23))+((C2639=TRUE)*(F2639-Calc!F24)))/150)*(1-B2651/150)))/100</f>
        <v/>
      </c>
    </row>
    <row r="2653">
      <c r="A2653" t="inlineStr">
        <is>
          <t>Skill + Buff Cast Rate</t>
        </is>
      </c>
      <c r="B2653">
        <f>IF(AND(Inputs!$B$38&lt;&gt;"pvp",Inputs!$B$43&gt;0),SUMPRODUCT((Skills!E2:E32=TRUE)*(C2617:C2647=TRUE)*R2617:R2647*Skills!F2:F32)/Inputs!$B$43,SUMPRODUCT((Skills!E2:E32=TRUE)*(C2617:C2647=TRUE)*Q2617:Q2647*Skills!F2:F32))</f>
        <v/>
      </c>
    </row>
    <row r="2654">
      <c r="A2654" t="inlineStr">
        <is>
          <t>Arrow Stream Casts Per Second</t>
        </is>
      </c>
      <c r="B2654">
        <f>MAX(0,B2652-B2653)</f>
        <v/>
      </c>
    </row>
    <row r="2655">
      <c r="A2655" t="inlineStr">
        <is>
          <t>Global Critical Damage Bonus % (Sharp Eyes + Concentration)</t>
        </is>
      </c>
      <c r="B2655">
        <f>(C2633=TRUE)*F2633*IF(AND(Inputs!$B$38&lt;&gt;"pvp",Inputs!$B$43&gt;0),(((R2633-1)*MIN((Skills!T18*(1+Inputs!$B$34/100)),(1/Q2633))+MIN((Skills!T18*(1+Inputs!$B$34/100)),MAX(0,Inputs!$B$43-((R2633-1)*(1/Q2633)))))/Inputs!$B$43),IF(Inputs!$B$38="pvp",MIN((Skills!T18*(1+Inputs!$B$34/100)),15)/15,MIN(1,(Skills!T18*(1+Inputs!$B$34/100))/(1/Q2633))))+(C2634=TRUE)*7*F2634</f>
        <v/>
      </c>
    </row>
    <row r="2656">
      <c r="A2656" t="inlineStr">
        <is>
          <t>Global Final Damage Bonus % (Mortal Blow)</t>
        </is>
      </c>
      <c r="B2656">
        <f>(C2635=TRUE)*F2635</f>
        <v/>
      </c>
    </row>
    <row r="2657">
      <c r="A2657" t="inlineStr">
        <is>
          <t>Buff-Casting Startup Delay (s, fixed-duration only)</t>
        </is>
      </c>
      <c r="B2657">
        <f>IF(AND(Inputs!$B$38&lt;&gt;"pvp",Inputs!$B$43&gt;0),SUMPRODUCT((Skills!T2:T32&gt;0)*(Skills!E2:E32=TRUE)*(C2617:C2647=TRUE))/B2652,0)</f>
        <v/>
      </c>
    </row>
    <row r="2658">
      <c r="A2658" t="inlineStr">
        <is>
          <t>Boss-Only Total DPS (this block's swept value)</t>
        </is>
      </c>
      <c r="B2658">
        <f>SUM(T2617:T2647)</f>
        <v/>
      </c>
    </row>
    <row r="2659">
      <c r="A2659" t="inlineStr">
        <is>
          <t>Normal-Only Total DPS (this block's swept value)</t>
        </is>
      </c>
      <c r="B2659">
        <f>SUM(V2617:V2647)</f>
        <v/>
      </c>
    </row>
    <row r="2660">
      <c r="A2660" s="6" t="inlineStr">
        <is>
          <t>TOTAL DPS</t>
        </is>
      </c>
      <c r="B2660" s="6">
        <f>SUM(O2617:O2647)</f>
        <v/>
      </c>
    </row>
    <row r="2663">
      <c r="A2663" s="6" t="inlineStr">
        <is>
          <t>Stat: Peach Tree Herb Pouch (Equip)</t>
        </is>
      </c>
    </row>
    <row r="2664">
      <c r="A2664" s="5" t="inlineStr">
        <is>
          <t>Key</t>
        </is>
      </c>
      <c r="B2664" s="5" t="inlineStr">
        <is>
          <t>Name</t>
        </is>
      </c>
      <c r="C2664" s="5" t="inlineStr">
        <is>
          <t>Unlocked</t>
        </is>
      </c>
      <c r="D2664" s="5" t="inlineStr">
        <is>
          <t>InputLevel</t>
        </is>
      </c>
      <c r="E2664" s="5" t="inlineStr">
        <is>
          <t>Factor</t>
        </is>
      </c>
      <c r="F2664" s="5" t="inlineStr">
        <is>
          <t>CoefficientPercent</t>
        </is>
      </c>
      <c r="G2664" s="5" t="inlineStr">
        <is>
          <t>EffectiveHits</t>
        </is>
      </c>
      <c r="H2664" s="5" t="inlineStr">
        <is>
          <t>ProcProbability</t>
        </is>
      </c>
      <c r="I2664" s="5" t="inlineStr">
        <is>
          <t>MapleHeroMultiplier</t>
        </is>
      </c>
      <c r="J2664" s="5" t="inlineStr">
        <is>
          <t>BaseDamage</t>
        </is>
      </c>
      <c r="K2664" s="5" t="inlineStr">
        <is>
          <t>BaseHitDamage</t>
        </is>
      </c>
      <c r="L2664" s="5" t="inlineStr">
        <is>
          <t>NonCritAvg</t>
        </is>
      </c>
      <c r="M2664" s="5" t="inlineStr">
        <is>
          <t>CritAvg</t>
        </is>
      </c>
      <c r="N2664" s="5" t="inlineStr">
        <is>
          <t>ExpectedDamage(perHit)</t>
        </is>
      </c>
      <c r="O2664" s="5" t="inlineStr">
        <is>
          <t>DPS</t>
        </is>
      </c>
      <c r="P2664" s="5" t="inlineStr">
        <is>
          <t>% of Total</t>
        </is>
      </c>
      <c r="Q2664" s="5" t="inlineStr">
        <is>
          <t>InvCooldown</t>
        </is>
      </c>
      <c r="R2664" s="5" t="inlineStr">
        <is>
          <t>CastsInFight</t>
        </is>
      </c>
      <c r="S2664" s="5" t="inlineStr">
        <is>
          <t>HitRate(perSec)</t>
        </is>
      </c>
      <c r="U2664" t="inlineStr">
        <is>
          <t>helpers</t>
        </is>
      </c>
    </row>
    <row r="2665">
      <c r="A2665">
        <f>Skills!A2</f>
        <v/>
      </c>
      <c r="B2665">
        <f>Skills!B2</f>
        <v/>
      </c>
      <c r="C2665">
        <f>Inputs!$B$3&gt;=100</f>
        <v/>
      </c>
      <c r="D2665" t="inlineStr"/>
      <c r="E2665" t="inlineStr"/>
      <c r="F2665">
        <f>U2667+Skills!O2</f>
        <v/>
      </c>
      <c r="G2665">
        <f>Skills!G2*IF(Skills!H2&gt;0,INT(IF(Inputs!$B$38="pvp",MIN(Skills!I2,15),Skills!I2)/Skills!H2+0.000000001),1)</f>
        <v/>
      </c>
      <c r="H2665">
        <f>1-(1-Skills!J2/100)^Skills!K2</f>
        <v/>
      </c>
      <c r="I2665" t="inlineStr">
        <is>
          <t>1</t>
        </is>
      </c>
      <c r="J2665">
        <f>((Inputs!$B$6*(1+Inputs!$B$7/100))+(((Inputs!$B$12*(1+Inputs!$B$13/100))-(Inputs!$B$12*(1+Inputs!$B$13/100)))+0.25*(Inputs!$B$14-Inputs!$B$14))*(1+Inputs!$B$7/100))*(F2665/100)</f>
        <v/>
      </c>
      <c r="K2665">
        <f>J2665*(1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2689=TRUE)*(F2689-Calc!F26)),(Inputs!$B$23+((C2694=TRUE)*(F2694-Calc!F31))+(IF(ArtifactsInput!$M$15,CHOOSE(ArtifactsInput!$N$15+1,25,30,35,40,45,50)/100*(Inputs!$B$11-Inputs!$B$11),0))))/100+(Inputs!$B$23+((C2694=TRUE)*(F2694-Calc!F31))+(IF(ArtifactsInput!$M$15,CHOOSE(ArtifactsInput!$N$15+1,25,30,35,40,45,50)/100*(Inputs!$B$11-Inputs!$B$11),0)))/100)/2</f>
        <v/>
      </c>
      <c r="M2665">
        <f>L2665*(1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IF(B2708=0,0,O2665/B2708)</f>
        <v/>
      </c>
      <c r="Q2665" t="n">
        <v>0</v>
      </c>
      <c r="R2665" t="n">
        <v>0</v>
      </c>
      <c r="S2665">
        <f>IFERROR(O2665/N2665,0)</f>
        <v/>
      </c>
      <c r="T2665">
        <f>IF(C2665,(Skills!G2*N2665*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5">
        <f>MAX(0,(Inputs!$B$3-100)*3)+Inputs!$B$28+Inputs!$B$29</f>
        <v/>
      </c>
      <c r="V2665">
        <f>IF(C2665,(Skills!G2*N2665*B2702)*IF(Inputs!$B$38="pvp",1,(1+(Inputs!$B$21+Skills!Q2+(IF(ArtifactsInput!$M$33,CHOOSE(ArtifactsInput!$N$33+1,30,36,42,48,54,60),0))+(IF(AND(IF(ArtifactsInput!$M$35,FALSE,TRUE),Inputs!$B$4&lt;&gt;"Chapter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Skills!A3</f>
        <v/>
      </c>
      <c r="B2666">
        <f>Skills!B3</f>
        <v/>
      </c>
      <c r="C2666">
        <f>Inputs!$B$3&gt;=50</f>
        <v/>
      </c>
      <c r="D2666">
        <f>IF(Skills!C3=1,60+Inputs!$B$25+Inputs!$B$29,IF(Skills!C3=2,90+Inputs!$B$26+Inputs!$B$29,IF(Skills!C3=3,120+Inputs!$B$27+Inputs!$B$29,MAX(0,(Inputs!$B$3-100)*3)+Inputs!$B$28+Inputs!$B$29)))</f>
        <v/>
      </c>
      <c r="E2666">
        <f>INDEX(FactorTable!$B$2:$Y$301, MATCH(ROUND(MIN(300,MAX(1,D2666)),0), FactorTable!$A$2:$A$301,0), Skills!M3+1)</f>
        <v/>
      </c>
      <c r="F2666">
        <f>IF(Skills!N3=TRUE,(Skills!L3/10)*(E2666/1000),Skills!L3/10)+Skills!O3</f>
        <v/>
      </c>
      <c r="G2666">
        <f>Skills!G3*IF(Skills!H3&gt;0,INT(IF(Inputs!$B$38="pvp",MIN(Skills!I3,15),Skills!I3)/Skills!H3+0.000000001),1)</f>
        <v/>
      </c>
      <c r="H2666">
        <f>1-(1-Skills!J3/100)^Skills!K3</f>
        <v/>
      </c>
      <c r="I2666" t="inlineStr">
        <is>
          <t>1</t>
        </is>
      </c>
      <c r="J2666">
        <f>((Inputs!$B$6*(1+Inputs!$B$7/100))+(((Inputs!$B$12*(1+Inputs!$B$13/100))-(Inputs!$B$12*(1+Inputs!$B$13/100)))+0.25*(Inputs!$B$14-Inputs!$B$14))*(1+Inputs!$B$7/100))*(F2666/100)</f>
        <v/>
      </c>
      <c r="K2666">
        <f>J2666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2667=TRUE,F2667,0)/100)*(1+(IF(Skills!A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2689=TRUE)*(F2689-Calc!F26)),(Inputs!$B$23+((C2694=TRUE)*(F2694-Calc!F31))+(IF(ArtifactsInput!$M$15,CHOOSE(ArtifactsInput!$N$15+1,25,30,35,40,45,50)/100*(Inputs!$B$11-Inputs!$B$11),0))))/100+(Inputs!$B$23+((C2694=TRUE)*(F2694-Calc!F31))+(IF(ArtifactsInput!$M$15,CHOOSE(ArtifactsInput!$N$15+1,25,30,35,40,45,50)/100*(Inputs!$B$11-Inputs!$B$11),0)))/100)/2</f>
        <v/>
      </c>
      <c r="M2666">
        <f>L2666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IF(B2708=0,0,O2666/B2708)</f>
        <v/>
      </c>
      <c r="Q2666">
        <f>IFERROR(1/(IF(Inputs!$B$38="pvp",15,MAX(0.1,1/B2700-IF(FALSE=TRUE,Inputs!$B$32,0)))*(1-IF(AND(ArtifactsInput!$M$27,Inputs!$B$4="Chapter Hunt"),CHOOSE(ArtifactsInput!$N$27+1,20,24,28,32,36,40),0)/100)),0)</f>
        <v/>
      </c>
      <c r="R2666">
        <f>IF(AND(Inputs!$B$38&lt;&gt;"pvp",Inputs!$B$43&gt;0),IF(MAX(0,Inputs!$B$43-B2705)&lt;=0,0,(INT(MAX(0,Inputs!$B$43-B2705)/(IF(Inputs!$B$38="pvp",15,MAX(0.1,1/B2700-IF(FALSE=TRUE,Inputs!$B$32,0)))*(1-IF(AND(ArtifactsInput!$M$27,Inputs!$B$4="Chapter Hunt"),CHOOSE(ArtifactsInput!$N$27+1,20,24,28,32,36,40),0)/100)))+1)),0)</f>
        <v/>
      </c>
      <c r="S2666">
        <f>IFERROR(O2666/N2666,0)</f>
        <v/>
      </c>
      <c r="T2666">
        <f>IF(C2666,(H2666*N2666*IF(AND(Inputs!$B$38&lt;&gt;"pvp",Inputs!$B$43&gt;0),((Skills!G3*((R2666-1)*IF(Skills!H3&gt;0,INT(Skills!I3/Skills!H3+0.000000001),1)+IF(Skills!H3&gt;0,INT(MIN(Skills!I3,MAX(0,MAX(0,Inputs!$B$43-B2705)-((R2666-1)*(IF(Inputs!$B$38="pvp",15,MAX(0.1,1/B2700-IF(FALSE=TRUE,Inputs!$B$32,0)))*(1-IF(AND(ArtifactsInput!$M$27,Inputs!$B$4="Chapter Hunt"),CHOOSE(ArtifactsInput!$N$27+1,20,24,28,32,36,40),0)/100)))))/Skills!H3+0.000000001),1)))/Inputs!$B$43),G2666*Q2666)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6">
        <f>INDEX(FactorTable!$B$2:$Y$301, MATCH(ROUND(MIN(300,MAX(1,U2665)),0), FactorTable!$A$2:$A$301,0), 22)</f>
        <v/>
      </c>
      <c r="V2666">
        <f>IF(C2666,(H2666*N2666*IF(AND(Inputs!$B$38&lt;&gt;"pvp",Inputs!$B$43&gt;0),((Skills!G3*((R2666-1)*IF(Skills!H3&gt;0,INT(Skills!I3/Skills!H3+0.000000001),1)+IF(Skills!H3&gt;0,INT(MIN(Skills!I3,MAX(0,MAX(0,Inputs!$B$43-B2705)-((R2666-1)*(IF(Inputs!$B$38="pvp",15,MAX(0.1,1/B2700-IF(FALSE=TRUE,Inputs!$B$32,0)))*(1-IF(AND(ArtifactsInput!$M$27,Inputs!$B$4="Chapter Hunt"),CHOOSE(ArtifactsInput!$N$27+1,20,24,28,32,36,40),0)/100)))))/Skills!H3+0.000000001),1)))/Inputs!$B$43),G2666*Q2666))*IF(Inputs!$B$38="pvp",1,(1+(Inputs!$B$21+Skills!Q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Skills!A4</f>
        <v/>
      </c>
      <c r="B2667">
        <f>Skills!B4</f>
        <v/>
      </c>
      <c r="C2667">
        <f>Inputs!$B$3&gt;=105</f>
        <v/>
      </c>
      <c r="D2667">
        <f>IF(Skills!C4=1,60+Inputs!$B$25+Inputs!$B$29,IF(Skills!C4=2,90+Inputs!$B$26+Inputs!$B$29,IF(Skills!C4=3,120+Inputs!$B$27+Inputs!$B$29,MAX(0,(Inputs!$B$3-100)*3)+Inputs!$B$28+Inputs!$B$29)))</f>
        <v/>
      </c>
      <c r="E2667">
        <f>INDEX(FactorTable!$B$2:$Y$301, MATCH(ROUND(MIN(300,MAX(1,D2667)),0), FactorTable!$A$2:$A$301,0), Skills!M4+1)</f>
        <v/>
      </c>
      <c r="F2667">
        <f>IF(Skills!N4=TRUE,(Skills!L4/10)*(E2667/1000),Skills!L4/10)+Skills!O4</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U2667">
        <f>290*U2666/1000</f>
        <v/>
      </c>
      <c r="V2667" t="inlineStr"/>
    </row>
    <row r="2668">
      <c r="A2668">
        <f>Skills!A5</f>
        <v/>
      </c>
      <c r="B2668">
        <f>Skills!B5</f>
        <v/>
      </c>
      <c r="C2668">
        <f>Inputs!$B$3&gt;=35</f>
        <v/>
      </c>
      <c r="D2668">
        <f>IF(Skills!C5=1,60+Inputs!$B$25+Inputs!$B$29,IF(Skills!C5=2,90+Inputs!$B$26+Inputs!$B$29,IF(Skills!C5=3,120+Inputs!$B$27+Inputs!$B$29,MAX(0,(Inputs!$B$3-100)*3)+Inputs!$B$28+Inputs!$B$29)))</f>
        <v/>
      </c>
      <c r="E2668">
        <f>INDEX(FactorTable!$B$2:$Y$301, MATCH(ROUND(MIN(300,MAX(1,D2668)),0), FactorTable!$A$2:$A$301,0), Skills!M5+1)</f>
        <v/>
      </c>
      <c r="F2668">
        <f>IF(Skills!N5=TRUE,(Skills!L5/10)*(E2668/1000),Skills!L5/10)+Skills!O5</f>
        <v/>
      </c>
      <c r="G2668">
        <f>Skills!G5*IF(Skills!H5&gt;0,INT(IF(Inputs!$B$38="pvp",MIN(Skills!I5,15),Skills!I5)/Skills!H5+0.000000001),1)</f>
        <v/>
      </c>
      <c r="H2668">
        <f>1-(1-Skills!J5/100)^Skills!K5</f>
        <v/>
      </c>
      <c r="I2668" t="inlineStr">
        <is>
          <t>1</t>
        </is>
      </c>
      <c r="J2668">
        <f>((Inputs!$B$6*(1+Inputs!$B$7/100))+(((Inputs!$B$12*(1+Inputs!$B$13/100))-(Inputs!$B$12*(1+Inputs!$B$13/100)))+0.25*(Inputs!$B$14-Inputs!$B$14))*(1+Inputs!$B$7/100))*(F2668/100)</f>
        <v/>
      </c>
      <c r="K2668">
        <f>J2668*(1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2675=TRUE,F2675,0)/100)*(1+(IF(Skills!A5="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2689=TRUE)*(F2689-Calc!F26)),(Inputs!$B$23+((C2694=TRUE)*(F2694-Calc!F31))+(IF(ArtifactsInput!$M$15,CHOOSE(ArtifactsInput!$N$15+1,25,30,35,40,45,50)/100*(Inputs!$B$11-Inputs!$B$11),0))))/100+(Inputs!$B$23+((C2694=TRUE)*(F2694-Calc!F31))+(IF(ArtifactsInput!$M$15,CHOOSE(ArtifactsInput!$N$15+1,25,30,35,40,45,50)/100*(Inputs!$B$11-Inputs!$B$11),0)))/100)/2</f>
        <v/>
      </c>
      <c r="M2668">
        <f>L2668*(1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IF(B2708=0,0,O2668/B2708)</f>
        <v/>
      </c>
      <c r="Q2668">
        <f>IFERROR(1/(IF(Inputs!$B$38="pvp",15,MAX(0.1,Skills!D5-IF(TRUE=TRUE,Inputs!$B$32,0)))*(1-IF(AND(ArtifactsInput!$M$27,Inputs!$B$4="Chapter Hunt"),CHOOSE(ArtifactsInput!$N$27+1,20,24,28,32,36,40),0)/100)),0)</f>
        <v/>
      </c>
      <c r="R2668">
        <f>IF(AND(Inputs!$B$38&lt;&gt;"pvp",Inputs!$B$43&gt;0),IF(MAX(0,Inputs!$B$43-B2705)&lt;=0,0,(INT(MAX(0,Inputs!$B$43-B2705)/(IF(Inputs!$B$38="pvp",15,MAX(0.1,Skills!D5-IF(TRUE=TRUE,Inputs!$B$32,0)))*(1-IF(AND(ArtifactsInput!$M$27,Inputs!$B$4="Chapter Hunt"),CHOOSE(ArtifactsInput!$N$27+1,20,24,28,32,36,40),0)/100)))+1)),0)</f>
        <v/>
      </c>
      <c r="S2668">
        <f>IFERROR(O2668/N2668,0)</f>
        <v/>
      </c>
      <c r="T2668">
        <f>IF(C2668,(H2668*N2668*IF(AND(Inputs!$B$38&lt;&gt;"pvp",Inputs!$B$43&gt;0),((Skills!G5*((R2668-1)*IF(Skills!H5&gt;0,INT(Skills!I5/Skills!H5+0.000000001),1)+IF(Skills!H5&gt;0,INT(MIN(Skills!I5,MAX(0,MAX(0,Inputs!$B$43-B2705)-((R2668-1)*(IF(Inputs!$B$38="pvp",15,MAX(0.1,Skills!D5-IF(TRUE=TRUE,Inputs!$B$32,0)))*(1-IF(AND(ArtifactsInput!$M$27,Inputs!$B$4="Chapter Hunt"),CHOOSE(ArtifactsInput!$N$27+1,20,24,28,32,36,40),0)/100)))))/Skills!H5+0.000000001),1)))/Inputs!$B$43),G2668*Q2668)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5*((R2668-1)*IF(Skills!H5&gt;0,INT(Skills!I5/Skills!H5+0.000000001),1)+IF(Skills!H5&gt;0,INT(MIN(Skills!I5,MAX(0,MAX(0,Inputs!$B$43-B2705)-((R2668-1)*(IF(Inputs!$B$38="pvp",15,MAX(0.1,Skills!D5-IF(TRUE=TRUE,Inputs!$B$32,0)))*(1-IF(AND(ArtifactsInput!$M$27,Inputs!$B$4="Chapter Hunt"),CHOOSE(ArtifactsInput!$N$27+1,20,24,28,32,36,40),0)/100)))))/Skills!H5+0.000000001),1)))/Inputs!$B$43),G2668*Q2668))*IF(Inputs!$B$38="pvp",1,(1+(Inputs!$B$21+Skills!Q5+(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Skills!A6</f>
        <v/>
      </c>
      <c r="B2669">
        <f>Skills!B6</f>
        <v/>
      </c>
      <c r="C2669">
        <f>Inputs!$B$3&gt;=40</f>
        <v/>
      </c>
      <c r="D2669">
        <f>IF(Skills!C6=1,60+Inputs!$B$25+Inputs!$B$29,IF(Skills!C6=2,90+Inputs!$B$26+Inputs!$B$29,IF(Skills!C6=3,120+Inputs!$B$27+Inputs!$B$29,MAX(0,(Inputs!$B$3-100)*3)+Inputs!$B$28+Inputs!$B$29)))</f>
        <v/>
      </c>
      <c r="E2669">
        <f>INDEX(FactorTable!$B$2:$Y$301, MATCH(ROUND(MIN(300,MAX(1,D2669)),0), FactorTable!$A$2:$A$301,0), Skills!M6+1)</f>
        <v/>
      </c>
      <c r="F2669">
        <f>IF(Skills!N6=TRUE,(Skills!L6/10)*(E2669/1000),Skills!L6/10)+Skills!O6</f>
        <v/>
      </c>
      <c r="G2669">
        <f>Skills!G6*IF(Skills!H6&gt;0,INT(IF(Inputs!$B$38="pvp",MIN(Skills!I6,15),Skills!I6)/Skills!H6+0.000000001),1)</f>
        <v/>
      </c>
      <c r="H2669">
        <f>1-(1-Skills!J6/100)^Skills!K6</f>
        <v/>
      </c>
      <c r="I2669" t="inlineStr">
        <is>
          <t>1</t>
        </is>
      </c>
      <c r="J2669">
        <f>((Inputs!$B$6*(1+Inputs!$B$7/100))+(((Inputs!$B$12*(1+Inputs!$B$13/100))-(Inputs!$B$12*(1+Inputs!$B$13/100)))+0.25*(Inputs!$B$14-Inputs!$B$14))*(1+Inputs!$B$7/100))*(F2669/100)</f>
        <v/>
      </c>
      <c r="K2669">
        <f>J2669*(1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2670=TRUE,F2670,0)/100)*(1+(IF(Skills!A6="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26)),(Inputs!$B$23+((C2694=TRUE)*(F2694-Calc!F31))+(IF(ArtifactsInput!$M$15,CHOOSE(ArtifactsInput!$N$15+1,25,30,35,40,45,50)/100*(Inputs!$B$11-Inputs!$B$11),0))))/100+(Inputs!$B$23+((C2694=TRUE)*(F2694-Calc!F31))+(IF(ArtifactsInput!$M$15,CHOOSE(ArtifactsInput!$N$15+1,25,30,35,40,45,50)/100*(Inputs!$B$11-Inputs!$B$11),0)))/100)/2</f>
        <v/>
      </c>
      <c r="M2669">
        <f>L2669*(1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f>IFERROR(1/(IF(Inputs!$B$38="pvp",15,MAX(0.1,1-0.4*MIN(1,(B2700-1)/1.5)-IF(FALSE=TRUE,Inputs!$B$32,0)))*(1-IF(AND(ArtifactsInput!$M$27,Inputs!$B$4="Chapter Hunt"),CHOOSE(ArtifactsInput!$N$27+1,20,24,28,32,36,40),0)/100)),0)</f>
        <v/>
      </c>
      <c r="R2669">
        <f>IF(AND(Inputs!$B$38&lt;&gt;"pvp",Inputs!$B$43&gt;0),IF(MAX(0,Inputs!$B$43-B2705)&lt;=0,0,(INT(MAX(0,Inputs!$B$43-B2705)/(IF(Inputs!$B$38="pvp",15,MAX(0.1,1-0.4*MIN(1,(B2700-1)/1.5)-IF(FALSE=TRUE,Inputs!$B$32,0)))*(1-IF(AND(ArtifactsInput!$M$27,Inputs!$B$4="Chapter Hunt"),CHOOSE(ArtifactsInput!$N$27+1,20,24,28,32,36,40),0)/100)))+1)),0)</f>
        <v/>
      </c>
      <c r="S2669">
        <f>IFERROR(O2669/N2669,0)</f>
        <v/>
      </c>
      <c r="T2669">
        <f>IF(C2669,(H2669*N2669*IF(AND(Inputs!$B$38&lt;&gt;"pvp",Inputs!$B$43&gt;0),((Skills!G6*((R2669-1)*IF(Skills!H6&gt;0,INT(Skills!I6/Skills!H6+0.000000001),1)+IF(Skills!H6&gt;0,INT(MIN(Skills!I6,MAX(0,MAX(0,Inputs!$B$43-B2705)-((R2669-1)*(IF(Inputs!$B$38="pvp",15,MAX(0.1,1-0.4*MIN(1,(B2700-1)/1.5)-IF(FALSE=TRUE,Inputs!$B$32,0)))*(1-IF(AND(ArtifactsInput!$M$27,Inputs!$B$4="Chapter Hunt"),CHOOSE(ArtifactsInput!$N$27+1,20,24,28,32,36,40),0)/100)))))/Skills!H6+0.000000001),1)))/Inputs!$B$43),G2669*Q2669)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6*((R2669-1)*IF(Skills!H6&gt;0,INT(Skills!I6/Skills!H6+0.000000001),1)+IF(Skills!H6&gt;0,INT(MIN(Skills!I6,MAX(0,MAX(0,Inputs!$B$43-B2705)-((R2669-1)*(IF(Inputs!$B$38="pvp",15,MAX(0.1,1-0.4*MIN(1,(B2700-1)/1.5)-IF(FALSE=TRUE,Inputs!$B$32,0)))*(1-IF(AND(ArtifactsInput!$M$27,Inputs!$B$4="Chapter Hunt"),CHOOSE(ArtifactsInput!$N$27+1,20,24,28,32,36,40),0)/100)))))/Skills!H6+0.000000001),1)))/Inputs!$B$43),G2669*Q2669))*IF(Inputs!$B$38="pvp",1,(1+(Inputs!$B$21+Skills!Q6+(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Skills!A7</f>
        <v/>
      </c>
      <c r="B2670">
        <f>Skills!B7</f>
        <v/>
      </c>
      <c r="C2670">
        <f>Inputs!$B$3&gt;=107</f>
        <v/>
      </c>
      <c r="D2670">
        <f>IF(Skills!C7=1,60+Inputs!$B$25+Inputs!$B$29,IF(Skills!C7=2,90+Inputs!$B$26+Inputs!$B$29,IF(Skills!C7=3,120+Inputs!$B$27+Inputs!$B$29,MAX(0,(Inputs!$B$3-100)*3)+Inputs!$B$28+Inputs!$B$29)))</f>
        <v/>
      </c>
      <c r="E2670">
        <f>INDEX(FactorTable!$B$2:$Y$301, MATCH(ROUND(MIN(300,MAX(1,D2670)),0), FactorTable!$A$2:$A$301,0), Skills!M7+1)</f>
        <v/>
      </c>
      <c r="F2670">
        <f>IF(Skills!N7=TRUE,(Skills!L7/10)*(E2670/1000),Skills!L7/10)+Skills!O7</f>
        <v/>
      </c>
      <c r="G2670" t="inlineStr"/>
      <c r="H2670" t="inlineStr"/>
      <c r="I2670" t="inlineStr">
        <is>
          <t>1</t>
        </is>
      </c>
      <c r="J2670" t="inlineStr"/>
      <c r="K2670" t="inlineStr"/>
      <c r="L2670" t="inlineStr"/>
      <c r="M2670" t="inlineStr"/>
      <c r="N2670" t="inlineStr"/>
      <c r="O2670" t="inlineStr"/>
      <c r="P2670" t="inlineStr"/>
      <c r="Q2670" t="inlineStr"/>
      <c r="R2670" t="inlineStr"/>
      <c r="S2670" t="inlineStr"/>
      <c r="T2670" t="inlineStr"/>
      <c r="V2670" t="inlineStr"/>
    </row>
    <row r="2671">
      <c r="A2671">
        <f>Skills!A8</f>
        <v/>
      </c>
      <c r="B2671">
        <f>Skills!B8</f>
        <v/>
      </c>
      <c r="C2671">
        <f>Inputs!$B$3&gt;=130</f>
        <v/>
      </c>
      <c r="D2671">
        <f>IF(Skills!C8=1,60+Inputs!$B$25+Inputs!$B$29,IF(Skills!C8=2,90+Inputs!$B$26+Inputs!$B$29,IF(Skills!C8=3,120+Inputs!$B$27+Inputs!$B$29,MAX(0,(Inputs!$B$3-100)*3)+Inputs!$B$28+Inputs!$B$29)))</f>
        <v/>
      </c>
      <c r="E2671">
        <f>INDEX(FactorTable!$B$2:$Y$301, MATCH(ROUND(MIN(300,MAX(1,D2671)),0), FactorTable!$A$2:$A$301,0), Skills!M8+1)</f>
        <v/>
      </c>
      <c r="F2671">
        <f>IF(Skills!N8=TRUE,(Skills!L8/10)*(E2671/1000),Skills!L8/10)+Skills!O8</f>
        <v/>
      </c>
      <c r="G2671">
        <f>Skills!G8*IF(Skills!H8&gt;0,INT(IF(Inputs!$B$38="pvp",MIN(Skills!I8,15),Skills!I8)/Skills!H8+0.000000001),1)</f>
        <v/>
      </c>
      <c r="H2671">
        <f>1-(1-Skills!J8/100)^Skills!K8</f>
        <v/>
      </c>
      <c r="I2671" t="inlineStr">
        <is>
          <t>1</t>
        </is>
      </c>
      <c r="J2671">
        <f>((Inputs!$B$6*(1+Inputs!$B$7/100))+(((Inputs!$B$12*(1+Inputs!$B$13/100))-(Inputs!$B$12*(1+Inputs!$B$13/100)))+0.25*(Inputs!$B$14-Inputs!$B$14))*(1+Inputs!$B$7/100))*(F2671/100)</f>
        <v/>
      </c>
      <c r="K2671">
        <f>J2671*(1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26)),(Inputs!$B$23+((C2694=TRUE)*(F2694-Calc!F31))+(IF(ArtifactsInput!$M$15,CHOOSE(ArtifactsInput!$N$15+1,25,30,35,40,45,50)/100*(Inputs!$B$11-Inputs!$B$11),0))))/100+(Inputs!$B$23+((C2694=TRUE)*(F2694-Calc!F31))+(IF(ArtifactsInput!$M$15,CHOOSE(ArtifactsInput!$N$15+1,25,30,35,40,45,50)/100*(Inputs!$B$11-Inputs!$B$11),0)))/100)/2</f>
        <v/>
      </c>
      <c r="M2671">
        <f>L2671*(1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IFERROR(1/(IF(Inputs!$B$38="pvp",15,MAX(0.1,1-0.4*MIN(1,(B2700-1)/1.5)-IF(FALSE=TRUE,Inputs!$B$32,0)))*(1-IF(AND(ArtifactsInput!$M$27,Inputs!$B$4="Chapter Hunt"),CHOOSE(ArtifactsInput!$N$27+1,20,24,28,32,36,40),0)/100)),0)</f>
        <v/>
      </c>
      <c r="R2671">
        <f>IF(AND(Inputs!$B$38&lt;&gt;"pvp",Inputs!$B$43&gt;0),IF(MAX(0,Inputs!$B$43-B2705)&lt;=0,0,(INT(MAX(0,Inputs!$B$43-B2705)/(IF(Inputs!$B$38="pvp",15,MAX(0.1,1-0.4*MIN(1,(B2700-1)/1.5)-IF(FALSE=TRUE,Inputs!$B$32,0)))*(1-IF(AND(ArtifactsInput!$M$27,Inputs!$B$4="Chapter Hunt"),CHOOSE(ArtifactsInput!$N$27+1,20,24,28,32,36,40),0)/100)))+1)),0)</f>
        <v/>
      </c>
      <c r="S2671">
        <f>IFERROR(O2671/N2671,0)</f>
        <v/>
      </c>
      <c r="T2671">
        <f>IF(C2671,(H2671*N2671*IF(AND(Inputs!$B$38&lt;&gt;"pvp",Inputs!$B$43&gt;0),((Skills!G8*((R2671-1)*IF(Skills!H8&gt;0,INT(Skills!I8/Skills!H8+0.000000001),1)+IF(Skills!H8&gt;0,INT(MIN(Skills!I8,MAX(0,MAX(0,Inputs!$B$43-B2705)-((R2671-1)*(IF(Inputs!$B$38="pvp",15,MAX(0.1,1-0.4*MIN(1,(B2700-1)/1.5)-IF(FALSE=TRUE,Inputs!$B$32,0)))*(1-IF(AND(ArtifactsInput!$M$27,Inputs!$B$4="Chapter Hunt"),CHOOSE(ArtifactsInput!$N$27+1,20,24,28,32,36,40),0)/100)))))/Skills!H8+0.000000001),1)))/Inputs!$B$43),G2671*Q2671)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1">
        <f>IF(C2671,(H2671*N2671*IF(AND(Inputs!$B$38&lt;&gt;"pvp",Inputs!$B$43&gt;0),((Skills!G8*((R2671-1)*IF(Skills!H8&gt;0,INT(Skills!I8/Skills!H8+0.000000001),1)+IF(Skills!H8&gt;0,INT(MIN(Skills!I8,MAX(0,MAX(0,Inputs!$B$43-B2705)-((R2671-1)*(IF(Inputs!$B$38="pvp",15,MAX(0.1,1-0.4*MIN(1,(B2700-1)/1.5)-IF(FALSE=TRUE,Inputs!$B$32,0)))*(1-IF(AND(ArtifactsInput!$M$27,Inputs!$B$4="Chapter Hunt"),CHOOSE(ArtifactsInput!$N$27+1,20,24,28,32,36,40),0)/100)))))/Skills!H8+0.000000001),1)))/Inputs!$B$43),G2671*Q2671))*IF(Inputs!$B$38="pvp",1,(1+(Inputs!$B$21+Skills!Q8+(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Skills!A9</f>
        <v/>
      </c>
      <c r="B2672">
        <f>Skills!B9</f>
        <v/>
      </c>
      <c r="C2672">
        <f>Inputs!$B$3&gt;=69</f>
        <v/>
      </c>
      <c r="D2672">
        <f>IF(Skills!C9=1,60+Inputs!$B$25+Inputs!$B$29,IF(Skills!C9=2,90+Inputs!$B$26+Inputs!$B$29,IF(Skills!C9=3,120+Inputs!$B$27+Inputs!$B$29,MAX(0,(Inputs!$B$3-100)*3)+Inputs!$B$28+Inputs!$B$29)))</f>
        <v/>
      </c>
      <c r="E2672">
        <f>INDEX(FactorTable!$B$2:$Y$301, MATCH(ROUND(MIN(300,MAX(1,D2672)),0), FactorTable!$A$2:$A$301,0), Skills!M9+1)</f>
        <v/>
      </c>
      <c r="F2672">
        <f>IF(Skills!N9=TRUE,(Skills!L9/10)*(E2672/1000),Skills!L9/10)+Skills!O9</f>
        <v/>
      </c>
      <c r="G2672">
        <f>Skills!G9*IF(Skills!H9&gt;0,INT(IF(Inputs!$B$38="pvp",MIN(Skills!I9,15),Skills!I9)/Skills!H9+0.000000001),1)</f>
        <v/>
      </c>
      <c r="H2672">
        <f>1-(1-Skills!J9/100)^Skills!K9</f>
        <v/>
      </c>
      <c r="I2672" t="inlineStr">
        <is>
          <t>1</t>
        </is>
      </c>
      <c r="J2672">
        <f>((Inputs!$B$6*(1+Inputs!$B$7/100))+(((Inputs!$B$12*(1+Inputs!$B$13/100))-(Inputs!$B$12*(1+Inputs!$B$13/100)))+0.25*(Inputs!$B$14-Inputs!$B$14))*(1+Inputs!$B$7/100))*(F2672/100)</f>
        <v/>
      </c>
      <c r="K2672">
        <f>J2672*(1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2675=TRUE,F2675,0)/100)*(1+(IF(Skills!A9="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26)),(Inputs!$B$23+((C2694=TRUE)*(F2694-Calc!F31))+(IF(ArtifactsInput!$M$15,CHOOSE(ArtifactsInput!$N$15+1,25,30,35,40,45,50)/100*(Inputs!$B$11-Inputs!$B$11),0))))/100+(Inputs!$B$23+((C2694=TRUE)*(F2694-Calc!F31))+(IF(ArtifactsInput!$M$15,CHOOSE(ArtifactsInput!$N$15+1,25,30,35,40,45,50)/100*(Inputs!$B$11-Inputs!$B$11),0)))/100)/2</f>
        <v/>
      </c>
      <c r="M2672">
        <f>L2672*(1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IFERROR(1/(IF(Inputs!$B$38="pvp",15,MAX(0.1,Skills!D9-IF(TRUE=TRUE,Inputs!$B$32,0)))*(1-IF(AND(ArtifactsInput!$M$27,Inputs!$B$4="Chapter Hunt"),CHOOSE(ArtifactsInput!$N$27+1,20,24,28,32,36,40),0)/100)),0)</f>
        <v/>
      </c>
      <c r="R2672">
        <f>IF(AND(Inputs!$B$38&lt;&gt;"pvp",Inputs!$B$43&gt;0),IF(MAX(0,Inputs!$B$43-B2705)&lt;=0,0,(INT(MAX(0,Inputs!$B$43-B2705)/(IF(Inputs!$B$38="pvp",15,MAX(0.1,Skills!D9-IF(TRUE=TRUE,Inputs!$B$32,0)))*(1-IF(AND(ArtifactsInput!$M$27,Inputs!$B$4="Chapter Hunt"),CHOOSE(ArtifactsInput!$N$27+1,20,24,28,32,36,40),0)/100)))+1)),0)</f>
        <v/>
      </c>
      <c r="S2672">
        <f>IFERROR(O2672/N2672,0)</f>
        <v/>
      </c>
      <c r="T2672">
        <f>IF(C2672,(H2672*N2672*IF(AND(Inputs!$B$38&lt;&gt;"pvp",Inputs!$B$43&gt;0),((Skills!G9*((R2672-1)*IF(Skills!H9&gt;0,INT(Skills!I9/Skills!H9+0.000000001),1)+IF(Skills!H9&gt;0,INT(MIN(Skills!I9,MAX(0,MAX(0,Inputs!$B$43-B2705)-((R2672-1)*(IF(Inputs!$B$38="pvp",15,MAX(0.1,Skills!D9-IF(TRUE=TRUE,Inputs!$B$32,0)))*(1-IF(AND(ArtifactsInput!$M$27,Inputs!$B$4="Chapter Hunt"),CHOOSE(ArtifactsInput!$N$27+1,20,24,28,32,36,40),0)/100)))))/Skills!H9+0.000000001),1)))/Inputs!$B$43),G2672*Q2672)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9*((R2672-1)*IF(Skills!H9&gt;0,INT(Skills!I9/Skills!H9+0.000000001),1)+IF(Skills!H9&gt;0,INT(MIN(Skills!I9,MAX(0,MAX(0,Inputs!$B$43-B2705)-((R2672-1)*(IF(Inputs!$B$38="pvp",15,MAX(0.1,Skills!D9-IF(TRUE=TRUE,Inputs!$B$32,0)))*(1-IF(AND(ArtifactsInput!$M$27,Inputs!$B$4="Chapter Hunt"),CHOOSE(ArtifactsInput!$N$27+1,20,24,28,32,36,40),0)/100)))))/Skills!H9+0.000000001),1)))/Inputs!$B$43),G2672*Q2672))*IF(Inputs!$B$38="pvp",1,(1+(Inputs!$B$21+Skills!Q9+(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Skills!A10</f>
        <v/>
      </c>
      <c r="B2673">
        <f>Skills!B10</f>
        <v/>
      </c>
      <c r="C2673">
        <f>Inputs!$B$3&gt;=63</f>
        <v/>
      </c>
      <c r="D2673">
        <f>IF(Skills!C10=1,60+Inputs!$B$25+Inputs!$B$29,IF(Skills!C10=2,90+Inputs!$B$26+Inputs!$B$29,IF(Skills!C10=3,120+Inputs!$B$27+Inputs!$B$29,MAX(0,(Inputs!$B$3-100)*3)+Inputs!$B$28+Inputs!$B$29)))</f>
        <v/>
      </c>
      <c r="E2673">
        <f>INDEX(FactorTable!$B$2:$Y$301, MATCH(ROUND(MIN(300,MAX(1,D2673)),0), FactorTable!$A$2:$A$301,0), Skills!M10+1)</f>
        <v/>
      </c>
      <c r="F2673">
        <f>IF(Skills!N10=TRUE,(Skills!L10/10)*(E2673/1000),Skills!L10/10)+Skills!O10</f>
        <v/>
      </c>
      <c r="G2673">
        <f>Skills!G10*IF(Skills!H10&gt;0,INT(IF(Inputs!$B$38="pvp",MIN(Skills!I10,15),Skills!I10)/Skills!H10+0.000000001),1)</f>
        <v/>
      </c>
      <c r="H2673">
        <f>1-(1-Skills!J10/100)^Skills!K10</f>
        <v/>
      </c>
      <c r="I2673" t="inlineStr">
        <is>
          <t>1</t>
        </is>
      </c>
      <c r="J2673">
        <f>((Inputs!$B$6*(1+Inputs!$B$7/100))+(((Inputs!$B$12*(1+Inputs!$B$13/100))-(Inputs!$B$12*(1+Inputs!$B$13/100)))+0.25*(Inputs!$B$14-Inputs!$B$14))*(1+Inputs!$B$7/100))*(F2673/100)</f>
        <v/>
      </c>
      <c r="K2673">
        <f>J2673*(1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2675=TRUE,F2675,0)/100)*(1+(IF(Skills!A10="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26)),(Inputs!$B$23+((C2694=TRUE)*(F2694-Calc!F31))+(IF(ArtifactsInput!$M$15,CHOOSE(ArtifactsInput!$N$15+1,25,30,35,40,45,50)/100*(Inputs!$B$11-Inputs!$B$11),0))))/100+(Inputs!$B$23+((C2694=TRUE)*(F2694-Calc!F31))+(IF(ArtifactsInput!$M$15,CHOOSE(ArtifactsInput!$N$15+1,25,30,35,40,45,50)/100*(Inputs!$B$11-Inputs!$B$11),0)))/100)/2</f>
        <v/>
      </c>
      <c r="M2673">
        <f>L2673*(1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IFERROR(1/(IF(Inputs!$B$38="pvp",15,MAX(0.1,Skills!D10-IF(TRUE=TRUE,Inputs!$B$32,0)))*(1-IF(AND(ArtifactsInput!$M$27,Inputs!$B$4="Chapter Hunt"),CHOOSE(ArtifactsInput!$N$27+1,20,24,28,32,36,40),0)/100)),0)</f>
        <v/>
      </c>
      <c r="R2673">
        <f>IF(AND(Inputs!$B$38&lt;&gt;"pvp",Inputs!$B$43&gt;0),IF(MAX(0,Inputs!$B$43-B2705)&lt;=0,0,(INT(MAX(0,Inputs!$B$43-B2705)/(IF(Inputs!$B$38="pvp",15,MAX(0.1,Skills!D10-IF(TRUE=TRUE,Inputs!$B$32,0)))*(1-IF(AND(ArtifactsInput!$M$27,Inputs!$B$4="Chapter Hunt"),CHOOSE(ArtifactsInput!$N$27+1,20,24,28,32,36,40),0)/100)))+1)),0)</f>
        <v/>
      </c>
      <c r="S2673">
        <f>IFERROR(O2673/N2673,0)</f>
        <v/>
      </c>
      <c r="T2673">
        <f>IF(C2673,(H2673*N2673*IF(AND(Inputs!$B$38&lt;&gt;"pvp",Inputs!$B$43&gt;0),((Skills!G10*((R2673-1)*IF(Skills!H10&gt;0,INT(Skills!I10/Skills!H10+0.000000001),1)+IF(Skills!H10&gt;0,INT(MIN(Skills!I10,MAX(0,MAX(0,Inputs!$B$43-B2705)-((R2673-1)*(IF(Inputs!$B$38="pvp",15,MAX(0.1,Skills!D10-IF(TRUE=TRUE,Inputs!$B$32,0)))*(1-IF(AND(ArtifactsInput!$M$27,Inputs!$B$4="Chapter Hunt"),CHOOSE(ArtifactsInput!$N$27+1,20,24,28,32,36,40),0)/100)))))/Skills!H10+0.000000001),1)))/Inputs!$B$43),G2673*Q2673)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10*((R2673-1)*IF(Skills!H10&gt;0,INT(Skills!I10/Skills!H10+0.000000001),1)+IF(Skills!H10&gt;0,INT(MIN(Skills!I10,MAX(0,MAX(0,Inputs!$B$43-B2705)-((R2673-1)*(IF(Inputs!$B$38="pvp",15,MAX(0.1,Skills!D10-IF(TRUE=TRUE,Inputs!$B$32,0)))*(1-IF(AND(ArtifactsInput!$M$27,Inputs!$B$4="Chapter Hunt"),CHOOSE(ArtifactsInput!$N$27+1,20,24,28,32,36,40),0)/100)))))/Skills!H10+0.000000001),1)))/Inputs!$B$43),G2673*Q2673))*IF(Inputs!$B$38="pvp",1,(1+(Inputs!$B$21+Skills!Q10+(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Skills!A11</f>
        <v/>
      </c>
      <c r="B2674">
        <f>Skills!B11</f>
        <v/>
      </c>
      <c r="C2674">
        <f>Inputs!$B$3&gt;=103</f>
        <v/>
      </c>
      <c r="D2674">
        <f>IF(Skills!C11=1,60+Inputs!$B$25+Inputs!$B$29,IF(Skills!C11=2,90+Inputs!$B$26+Inputs!$B$29,IF(Skills!C11=3,120+Inputs!$B$27+Inputs!$B$29,MAX(0,(Inputs!$B$3-100)*3)+Inputs!$B$28+Inputs!$B$29)))</f>
        <v/>
      </c>
      <c r="E2674">
        <f>INDEX(FactorTable!$B$2:$Y$301, MATCH(ROUND(MIN(300,MAX(1,D2674)),0), FactorTable!$A$2:$A$301,0), Skills!M11+1)</f>
        <v/>
      </c>
      <c r="F2674">
        <f>IF(Skills!N11=TRUE,(Skills!L11/10)*(E2674/1000),Skills!L11/10)+Skills!O11</f>
        <v/>
      </c>
      <c r="G2674">
        <f>Skills!G11*IF(Skills!H11&gt;0,INT(IF(Inputs!$B$38="pvp",MIN(Skills!I11,15),Skills!I11)/Skills!H11+0.000000001),1)</f>
        <v/>
      </c>
      <c r="H2674">
        <f>1-(1-Skills!J11/100)^Skills!K11</f>
        <v/>
      </c>
      <c r="I2674" t="inlineStr">
        <is>
          <t>1</t>
        </is>
      </c>
      <c r="J2674">
        <f>((Inputs!$B$6*(1+Inputs!$B$7/100))+(((Inputs!$B$12*(1+Inputs!$B$13/100))-(Inputs!$B$12*(1+Inputs!$B$13/100)))+0.25*(Inputs!$B$14-Inputs!$B$14))*(1+Inputs!$B$7/100))*(F2674/100)</f>
        <v/>
      </c>
      <c r="K2674">
        <f>J2674*(1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26)),(Inputs!$B$23+((C2694=TRUE)*(F2694-Calc!F31))+(IF(ArtifactsInput!$M$15,CHOOSE(ArtifactsInput!$N$15+1,25,30,35,40,45,50)/100*(Inputs!$B$11-Inputs!$B$11),0))))/100+(Inputs!$B$23+((C2694=TRUE)*(F2694-Calc!F31))+(IF(ArtifactsInput!$M$15,CHOOSE(ArtifactsInput!$N$15+1,25,30,35,40,45,50)/100*(Inputs!$B$11-Inputs!$B$11),0)))/100)/2</f>
        <v/>
      </c>
      <c r="M2674">
        <f>L2674*(1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IFERROR(1/(IF(Inputs!$B$38="pvp",15,MAX(0.1,Skills!D11-IF(TRUE=TRUE,Inputs!$B$32,0)))*(1-IF(AND(ArtifactsInput!$M$27,Inputs!$B$4="Chapter Hunt"),CHOOSE(ArtifactsInput!$N$27+1,20,24,28,32,36,40),0)/100)),0)</f>
        <v/>
      </c>
      <c r="R2674">
        <f>IF(AND(Inputs!$B$38&lt;&gt;"pvp",Inputs!$B$43&gt;0),IF(MAX(0,Inputs!$B$43-B2705)&lt;=0,0,(INT(MAX(0,Inputs!$B$43-B2705)/(IF(Inputs!$B$38="pvp",15,MAX(0.1,Skills!D11-IF(TRUE=TRUE,Inputs!$B$32,0)))*(1-IF(AND(ArtifactsInput!$M$27,Inputs!$B$4="Chapter Hunt"),CHOOSE(ArtifactsInput!$N$27+1,20,24,28,32,36,40),0)/100)))+1)),0)</f>
        <v/>
      </c>
      <c r="S2674">
        <f>IFERROR(O2674/N2674,0)</f>
        <v/>
      </c>
      <c r="T2674">
        <f>IF(C2674,(H2674*N2674*IF(AND(Inputs!$B$38&lt;&gt;"pvp",Inputs!$B$43&gt;0),((Skills!G11*((R2674-1)*IF(Skills!H11&gt;0,INT(Skills!I11/Skills!H11+0.000000001),1)+IF(Skills!H11&gt;0,INT(MIN(Skills!I11,MAX(0,MAX(0,Inputs!$B$43-B2705)-((R2674-1)*(IF(Inputs!$B$38="pvp",15,MAX(0.1,Skills!D11-IF(TRUE=TRUE,Inputs!$B$32,0)))*(1-IF(AND(ArtifactsInput!$M$27,Inputs!$B$4="Chapter Hunt"),CHOOSE(ArtifactsInput!$N$27+1,20,24,28,32,36,40),0)/100)))))/Skills!H11+0.000000001),1)))/Inputs!$B$43),G2674*Q2674)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11*((R2674-1)*IF(Skills!H11&gt;0,INT(Skills!I11/Skills!H11+0.000000001),1)+IF(Skills!H11&gt;0,INT(MIN(Skills!I11,MAX(0,MAX(0,Inputs!$B$43-B2705)-((R2674-1)*(IF(Inputs!$B$38="pvp",15,MAX(0.1,Skills!D11-IF(TRUE=TRUE,Inputs!$B$32,0)))*(1-IF(AND(ArtifactsInput!$M$27,Inputs!$B$4="Chapter Hunt"),CHOOSE(ArtifactsInput!$N$27+1,20,24,28,32,36,40),0)/100)))))/Skills!H11+0.000000001),1)))/Inputs!$B$43),G2674*Q2674))*IF(Inputs!$B$38="pvp",1,(1+(Inputs!$B$21+Skills!Q11+(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Skills!A12</f>
        <v/>
      </c>
      <c r="B2675">
        <f>Skills!B12</f>
        <v/>
      </c>
      <c r="C2675">
        <f>Inputs!$B$3&gt;=100</f>
        <v/>
      </c>
      <c r="D2675">
        <f>IF(Skills!C12=1,60+Inputs!$B$25+Inputs!$B$29,IF(Skills!C12=2,90+Inputs!$B$26+Inputs!$B$29,IF(Skills!C12=3,120+Inputs!$B$27+Inputs!$B$29,MAX(0,(Inputs!$B$3-100)*3)+Inputs!$B$28+Inputs!$B$29)))</f>
        <v/>
      </c>
      <c r="E2675">
        <f>INDEX(FactorTable!$B$2:$Y$301, MATCH(ROUND(MIN(300,MAX(1,D2675)),0), FactorTable!$A$2:$A$301,0), Skills!M12+1)</f>
        <v/>
      </c>
      <c r="F2675">
        <f>IF(Skills!N12=TRUE,(Skills!L12/10)*(E2675/1000),Skills!L12/10)+Skills!O12</f>
        <v/>
      </c>
      <c r="G2675" t="inlineStr"/>
      <c r="H2675" t="inlineStr"/>
      <c r="I2675" t="inlineStr">
        <is>
          <t>1</t>
        </is>
      </c>
      <c r="J2675" t="inlineStr"/>
      <c r="K2675" t="inlineStr"/>
      <c r="L2675" t="inlineStr"/>
      <c r="M2675" t="inlineStr"/>
      <c r="N2675" t="inlineStr"/>
      <c r="O2675" t="inlineStr"/>
      <c r="P2675" t="inlineStr"/>
      <c r="Q2675" t="inlineStr"/>
      <c r="R2675" t="inlineStr"/>
      <c r="S2675" t="inlineStr"/>
      <c r="T2675" t="inlineStr"/>
      <c r="V2675" t="inlineStr"/>
    </row>
    <row r="2676">
      <c r="A2676">
        <f>Skills!A13</f>
        <v/>
      </c>
      <c r="B2676">
        <f>Skills!B13</f>
        <v/>
      </c>
      <c r="C2676">
        <f>Inputs!$B$3&gt;=60</f>
        <v/>
      </c>
      <c r="D2676">
        <f>IF(Skills!C13=1,60+Inputs!$B$25+Inputs!$B$29,IF(Skills!C13=2,90+Inputs!$B$26+Inputs!$B$29,IF(Skills!C13=3,120+Inputs!$B$27+Inputs!$B$29,MAX(0,(Inputs!$B$3-100)*3)+Inputs!$B$28+Inputs!$B$29)))</f>
        <v/>
      </c>
      <c r="E2676">
        <f>INDEX(FactorTable!$B$2:$Y$301, MATCH(ROUND(MIN(300,MAX(1,D2676)),0), FactorTable!$A$2:$A$301,0), Skills!M13+1)</f>
        <v/>
      </c>
      <c r="F2676">
        <f>IF(Skills!N13=TRUE,(Skills!L13/10)*(E2676/1000),Skills!L13/10)+Skills!O13</f>
        <v/>
      </c>
      <c r="G2676">
        <f>Skills!G13*IF(Skills!H13&gt;0,INT(IF(Inputs!$B$38="pvp",MIN(Skills!I13,15),Skills!I13)/Skills!H13+0.000000001),1)</f>
        <v/>
      </c>
      <c r="H2676">
        <f>1-(1-Skills!J13/100)^Skills!K13</f>
        <v/>
      </c>
      <c r="I2676" t="inlineStr">
        <is>
          <t>1</t>
        </is>
      </c>
      <c r="J2676">
        <f>((Inputs!$B$6*(1+Inputs!$B$7/100))+(((Inputs!$B$12*(1+Inputs!$B$13/100))-(Inputs!$B$12*(1+Inputs!$B$13/100)))+0.25*(Inputs!$B$14-Inputs!$B$14))*(1+Inputs!$B$7/100))*(F2676/100)</f>
        <v/>
      </c>
      <c r="K2676">
        <f>J2676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2677=TRUE,F2677,0)/100)*(1+(IF(Skills!A13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26)),(Inputs!$B$23+((C2694=TRUE)*(F2694-Calc!F31))+(IF(ArtifactsInput!$M$15,CHOOSE(ArtifactsInput!$N$15+1,25,30,35,40,45,50)/100*(Inputs!$B$11-Inputs!$B$11),0))))/100+(Inputs!$B$23+((C2694=TRUE)*(F2694-Calc!F31))+(IF(ArtifactsInput!$M$15,CHOOSE(ArtifactsInput!$N$15+1,25,30,35,40,45,50)/100*(Inputs!$B$11-Inputs!$B$11),0)))/100)/2</f>
        <v/>
      </c>
      <c r="M2676">
        <f>L2676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IFERROR(1/(IF(Inputs!$B$38="pvp",15,MAX(0.1,IF(Inputs!$B$3&gt;=122,3,5)+1/(((20+30*(B2700-1)*100/150)/100)*B2700)-IF(FALSE=TRUE,Inputs!$B$32,0)))*(1-IF(AND(ArtifactsInput!$M$27,Inputs!$B$4="Chapter Hunt"),CHOOSE(ArtifactsInput!$N$27+1,20,24,28,32,36,40),0)/100)),0)</f>
        <v/>
      </c>
      <c r="R2676">
        <f>IF(AND(Inputs!$B$38&lt;&gt;"pvp",Inputs!$B$43&gt;0),IF(MAX(0,Inputs!$B$43-B2705)&lt;=0,0,(INT(MAX(0,Inputs!$B$43-B2705)/(IF(Inputs!$B$38="pvp",15,MAX(0.1,IF(Inputs!$B$3&gt;=122,3,5)+1/(((20+30*(B2700-1)*100/150)/100)*B2700)-IF(FALSE=TRUE,Inputs!$B$32,0)))*(1-IF(AND(ArtifactsInput!$M$27,Inputs!$B$4="Chapter Hunt"),CHOOSE(ArtifactsInput!$N$27+1,20,24,28,32,36,40),0)/100)))+1)),0)</f>
        <v/>
      </c>
      <c r="S2676">
        <f>IFERROR(O2676/N2676,0)</f>
        <v/>
      </c>
      <c r="T2676">
        <f>IF(C2676,(H2676*N2676*IF(AND(Inputs!$B$38&lt;&gt;"pvp",Inputs!$B$43&gt;0),((Skills!G13*((R2676-1)*IF(Skills!H13&gt;0,INT(Skills!I13/Skills!H13+0.000000001),1)+IF(Skills!H13&gt;0,INT(MIN(Skills!I13,MAX(0,MAX(0,Inputs!$B$43-B2705)-((R2676-1)*(IF(Inputs!$B$38="pvp",15,MAX(0.1,IF(Inputs!$B$3&gt;=122,3,5)+1/(((20+30*(B2700-1)*100/150)/100)*B2700)-IF(FALSE=TRUE,Inputs!$B$32,0)))*(1-IF(AND(ArtifactsInput!$M$27,Inputs!$B$4="Chapter Hunt"),CHOOSE(ArtifactsInput!$N$27+1,20,24,28,32,36,40),0)/100)))))/Skills!H13+0.000000001),1)))/Inputs!$B$43),G2676*Q2676)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13*((R2676-1)*IF(Skills!H13&gt;0,INT(Skills!I13/Skills!H13+0.000000001),1)+IF(Skills!H13&gt;0,INT(MIN(Skills!I13,MAX(0,MAX(0,Inputs!$B$43-B2705)-((R2676-1)*(IF(Inputs!$B$38="pvp",15,MAX(0.1,IF(Inputs!$B$3&gt;=122,3,5)+1/(((20+30*(B2700-1)*100/150)/100)*B2700)-IF(FALSE=TRUE,Inputs!$B$32,0)))*(1-IF(AND(ArtifactsInput!$M$27,Inputs!$B$4="Chapter Hunt"),CHOOSE(ArtifactsInput!$N$27+1,20,24,28,32,36,40),0)/100)))))/Skills!H13+0.000000001),1)))/Inputs!$B$43),G2676*Q2676))*IF(Inputs!$B$38="pvp",1,(1+(Inputs!$B$21+Skills!Q13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Skills!A14</f>
        <v/>
      </c>
      <c r="B2677">
        <f>Skills!B14</f>
        <v/>
      </c>
      <c r="C2677">
        <f>Inputs!$B$3&gt;=110</f>
        <v/>
      </c>
      <c r="D2677">
        <f>IF(Skills!C14=1,60+Inputs!$B$25+Inputs!$B$29,IF(Skills!C14=2,90+Inputs!$B$26+Inputs!$B$29,IF(Skills!C14=3,120+Inputs!$B$27+Inputs!$B$29,MAX(0,(Inputs!$B$3-100)*3)+Inputs!$B$28+Inputs!$B$29)))</f>
        <v/>
      </c>
      <c r="E2677">
        <f>INDEX(FactorTable!$B$2:$Y$301, MATCH(ROUND(MIN(300,MAX(1,D2677)),0), FactorTable!$A$2:$A$301,0), Skills!M14+1)</f>
        <v/>
      </c>
      <c r="F2677">
        <f>IF(Skills!N14=TRUE,(Skills!L14/10)*(E2677/1000),Skills!L14/10)+Skills!O14</f>
        <v/>
      </c>
      <c r="G2677" t="inlineStr"/>
      <c r="H2677" t="inlineStr"/>
      <c r="I2677" t="inlineStr">
        <is>
          <t>1</t>
        </is>
      </c>
      <c r="J2677" t="inlineStr"/>
      <c r="K2677" t="inlineStr"/>
      <c r="L2677" t="inlineStr"/>
      <c r="M2677" t="inlineStr"/>
      <c r="N2677" t="inlineStr"/>
      <c r="O2677" t="inlineStr"/>
      <c r="P2677" t="inlineStr"/>
      <c r="Q2677" t="inlineStr"/>
      <c r="R2677" t="inlineStr"/>
      <c r="S2677" t="inlineStr"/>
      <c r="T2677" t="inlineStr"/>
      <c r="V2677" t="inlineStr"/>
    </row>
    <row r="2678">
      <c r="A2678">
        <f>Skills!A15</f>
        <v/>
      </c>
      <c r="B2678">
        <f>Skills!B15</f>
        <v/>
      </c>
      <c r="C2678">
        <f>Inputs!$B$3&gt;=74</f>
        <v/>
      </c>
      <c r="D2678">
        <f>IF(Skills!C15=1,60+Inputs!$B$25+Inputs!$B$29,IF(Skills!C15=2,90+Inputs!$B$26+Inputs!$B$29,IF(Skills!C15=3,120+Inputs!$B$27+Inputs!$B$29,MAX(0,(Inputs!$B$3-100)*3)+Inputs!$B$28+Inputs!$B$29)))</f>
        <v/>
      </c>
      <c r="E2678">
        <f>INDEX(FactorTable!$B$2:$Y$301, MATCH(ROUND(MIN(300,MAX(1,D2678)),0), FactorTable!$A$2:$A$301,0), Skills!M15+1)</f>
        <v/>
      </c>
      <c r="F2678">
        <f>IF(Skills!N15=TRUE,(Skills!L15/10)*(E2678/1000),Skills!L15/10)+Skills!O15</f>
        <v/>
      </c>
      <c r="G2678">
        <f>Skills!G15*IF(Skills!H15&gt;0,INT(IF(Inputs!$B$38="pvp",MIN(Skills!I15,15),Skills!I15)/Skills!H15+0.000000001),1)</f>
        <v/>
      </c>
      <c r="H2678">
        <f>1-(1-Skills!J15/100)^Skills!K15</f>
        <v/>
      </c>
      <c r="I2678" t="inlineStr">
        <is>
          <t>1</t>
        </is>
      </c>
      <c r="J2678" t="inlineStr"/>
      <c r="K2678" t="inlineStr"/>
      <c r="L2678" t="inlineStr"/>
      <c r="M2678" t="inlineStr"/>
      <c r="N2678" t="inlineStr"/>
      <c r="O2678">
        <f>(1-Summary!$B$11)*T2678+Summary!$B$11*V2678</f>
        <v/>
      </c>
      <c r="P2678">
        <f>IF(B2708=0,0,O2678/B2708)</f>
        <v/>
      </c>
      <c r="Q2678" t="n">
        <v>0</v>
      </c>
      <c r="R2678" t="n">
        <v>0</v>
      </c>
      <c r="S2678">
        <f>IFERROR(O2678/N2678,0)</f>
        <v/>
      </c>
      <c r="T2678" t="n">
        <v>0</v>
      </c>
      <c r="V2678" t="n">
        <v>0</v>
      </c>
    </row>
    <row r="2679">
      <c r="A2679">
        <f>Skills!A16</f>
        <v/>
      </c>
      <c r="B2679">
        <f>Skills!B16</f>
        <v/>
      </c>
      <c r="C2679">
        <f>Inputs!$B$3&gt;=74</f>
        <v/>
      </c>
      <c r="D2679">
        <f>IF(Skills!C16=1,60+Inputs!$B$25+Inputs!$B$29,IF(Skills!C16=2,90+Inputs!$B$26+Inputs!$B$29,IF(Skills!C16=3,120+Inputs!$B$27+Inputs!$B$29,MAX(0,(Inputs!$B$3-100)*3)+Inputs!$B$28+Inputs!$B$29)))</f>
        <v/>
      </c>
      <c r="E2679">
        <f>INDEX(FactorTable!$B$2:$Y$301, MATCH(ROUND(MIN(300,MAX(1,D2679)),0), FactorTable!$A$2:$A$301,0), Skills!M16+1)</f>
        <v/>
      </c>
      <c r="F2679">
        <f>IF(Skills!N16=TRUE,(Skills!L16/10)*(E2679/1000),Skills!L16/10)+Skills!O16</f>
        <v/>
      </c>
      <c r="G2679">
        <f>Skills!G16*IF(Skills!H16&gt;0,INT(IF(Inputs!$B$38="pvp",MIN(Skills!I16,15),Skills!I16)/Skills!H16+0.000000001),1)</f>
        <v/>
      </c>
      <c r="H2679">
        <f>1-(1-Skills!J16/100)^Skills!K16</f>
        <v/>
      </c>
      <c r="I2679" t="inlineStr">
        <is>
          <t>1</t>
        </is>
      </c>
      <c r="J2679" t="inlineStr"/>
      <c r="K2679" t="inlineStr"/>
      <c r="L2679" t="inlineStr"/>
      <c r="M2679" t="inlineStr"/>
      <c r="N2679" t="inlineStr"/>
      <c r="O2679">
        <f>(1-Summary!$B$11)*T2679+Summary!$B$11*V2679</f>
        <v/>
      </c>
      <c r="P2679">
        <f>IF(B2708=0,0,O2679/B2708)</f>
        <v/>
      </c>
      <c r="Q2679" t="n">
        <v>0</v>
      </c>
      <c r="R2679" t="n">
        <v>0</v>
      </c>
      <c r="S2679">
        <f>IFERROR(O2679/N2679,0)</f>
        <v/>
      </c>
      <c r="T2679" t="n">
        <v>0</v>
      </c>
      <c r="V2679" t="n">
        <v>0</v>
      </c>
    </row>
    <row r="2680">
      <c r="A2680">
        <f>Skills!A17</f>
        <v/>
      </c>
      <c r="B2680">
        <f>Skills!B17</f>
        <v/>
      </c>
      <c r="C2680">
        <f>Inputs!$B$3&gt;=117</f>
        <v/>
      </c>
      <c r="D2680">
        <f>IF(Skills!C17=1,60+Inputs!$B$25+Inputs!$B$29,IF(Skills!C17=2,90+Inputs!$B$26+Inputs!$B$29,IF(Skills!C17=3,120+Inputs!$B$27+Inputs!$B$29,MAX(0,(Inputs!$B$3-100)*3)+Inputs!$B$28+Inputs!$B$29)))</f>
        <v/>
      </c>
      <c r="E2680">
        <f>INDEX(FactorTable!$B$2:$Y$301, MATCH(ROUND(MIN(300,MAX(1,D2680)),0), FactorTable!$A$2:$A$301,0), Skills!M17+1)</f>
        <v/>
      </c>
      <c r="F2680">
        <f>IF(Skills!N17=TRUE,(Skills!L17/10)*(E2680/1000),Skills!L17/10)+Skills!O17</f>
        <v/>
      </c>
      <c r="G2680">
        <f>Skills!G17*IF(Skills!H17&gt;0,INT(IF(Inputs!$B$38="pvp",MIN(Skills!I17,15),Skills!I17)/Skills!H17+0.000000001),1)</f>
        <v/>
      </c>
      <c r="H2680">
        <f>1-(1-Skills!J17/100)^Skills!K17</f>
        <v/>
      </c>
      <c r="I2680" t="inlineStr">
        <is>
          <t>1</t>
        </is>
      </c>
      <c r="J2680" t="inlineStr"/>
      <c r="K2680" t="inlineStr"/>
      <c r="L2680" t="inlineStr"/>
      <c r="M2680" t="inlineStr"/>
      <c r="N2680" t="inlineStr"/>
      <c r="O2680">
        <f>(1-Summary!$B$11)*T2680+Summary!$B$11*V2680</f>
        <v/>
      </c>
      <c r="P2680">
        <f>IF(B2708=0,0,O2680/B2708)</f>
        <v/>
      </c>
      <c r="Q2680">
        <f>IFERROR(1/(IF(Inputs!$B$38="pvp",15,MAX(0.1,Skills!D17-IF(TRUE=TRUE,Inputs!$B$32,0)))*(1-IF(AND(ArtifactsInput!$M$27,Inputs!$B$4="Chapter Hunt"),CHOOSE(ArtifactsInput!$N$27+1,20,24,28,32,36,40),0)/100)),0)</f>
        <v/>
      </c>
      <c r="R2680">
        <f>IF(AND(Inputs!$B$38&lt;&gt;"pvp",Inputs!$B$43&gt;0),IF(Inputs!$B$43&lt;=0,0,(INT(Inputs!$B$43/(IF(Inputs!$B$38="pvp",15,MAX(0.1,Skills!D17-IF(TRUE=TRUE,Inputs!$B$32,0)))*(1-IF(AND(ArtifactsInput!$M$27,Inputs!$B$4="Chapter Hunt"),CHOOSE(ArtifactsInput!$N$27+1,20,24,28,32,36,40),0)/100)))+1)),0)</f>
        <v/>
      </c>
      <c r="S2680">
        <f>IFERROR(O2680/N2680,0)</f>
        <v/>
      </c>
      <c r="T2680" t="n">
        <v>0</v>
      </c>
      <c r="V2680" t="n">
        <v>0</v>
      </c>
    </row>
    <row r="2681">
      <c r="A2681">
        <f>Skills!A18</f>
        <v/>
      </c>
      <c r="B2681">
        <f>Skills!B18</f>
        <v/>
      </c>
      <c r="C2681">
        <f>Inputs!$B$3&gt;=115</f>
        <v/>
      </c>
      <c r="D2681">
        <f>IF(Skills!C18=1,60+Inputs!$B$25+Inputs!$B$29,IF(Skills!C18=2,90+Inputs!$B$26+Inputs!$B$29,IF(Skills!C18=3,120+Inputs!$B$27+Inputs!$B$29,MAX(0,(Inputs!$B$3-100)*3)+Inputs!$B$28+Inputs!$B$29)))</f>
        <v/>
      </c>
      <c r="E2681">
        <f>INDEX(FactorTable!$B$2:$Y$301, MATCH(ROUND(MIN(300,MAX(1,D2681)),0), FactorTable!$A$2:$A$301,0), Skills!M18+1)</f>
        <v/>
      </c>
      <c r="F2681">
        <f>IF(Skills!N18=TRUE,(Skills!L18/10)*(E2681/1000),Skills!L18/10)+Skills!O18</f>
        <v/>
      </c>
      <c r="G2681">
        <f>Skills!G18*IF(Skills!H18&gt;0,INT(IF(Inputs!$B$38="pvp",MIN(Skills!I18,15),Skills!I18)/Skills!H18+0.000000001),1)</f>
        <v/>
      </c>
      <c r="H2681">
        <f>1-(1-Skills!J18/100)^Skills!K18</f>
        <v/>
      </c>
      <c r="I2681" t="inlineStr">
        <is>
          <t>1</t>
        </is>
      </c>
      <c r="J2681" t="inlineStr"/>
      <c r="K2681" t="inlineStr"/>
      <c r="L2681" t="inlineStr"/>
      <c r="M2681" t="inlineStr"/>
      <c r="N2681" t="inlineStr"/>
      <c r="O2681">
        <f>(1-Summary!$B$11)*T2681+Summary!$B$11*V2681</f>
        <v/>
      </c>
      <c r="P2681">
        <f>IF(B2708=0,0,O2681/B2708)</f>
        <v/>
      </c>
      <c r="Q2681">
        <f>IFERROR(1/(IF(Inputs!$B$38="pvp",15,MAX(0.1,Skills!D18-IF(TRUE=TRUE,Inputs!$B$32,0)))*(1-IF(AND(ArtifactsInput!$M$27,Inputs!$B$4="Chapter Hunt"),CHOOSE(ArtifactsInput!$N$27+1,20,24,28,32,36,40),0)/100)),0)</f>
        <v/>
      </c>
      <c r="R2681">
        <f>IF(AND(Inputs!$B$38&lt;&gt;"pvp",Inputs!$B$43&gt;0),IF(Inputs!$B$43&lt;=0,0,(INT(Inputs!$B$43/(IF(Inputs!$B$38="pvp",15,MAX(0.1,Skills!D18-IF(TRUE=TRUE,Inputs!$B$32,0)))*(1-IF(AND(ArtifactsInput!$M$27,Inputs!$B$4="Chapter Hunt"),CHOOSE(ArtifactsInput!$N$27+1,20,24,28,32,36,40),0)/100)))+1)),0)</f>
        <v/>
      </c>
      <c r="S2681">
        <f>IFERROR(O2681/N2681,0)</f>
        <v/>
      </c>
      <c r="T2681" t="n">
        <v>0</v>
      </c>
      <c r="V2681" t="n">
        <v>0</v>
      </c>
    </row>
    <row r="2682">
      <c r="A2682">
        <f>Skills!A19</f>
        <v/>
      </c>
      <c r="B2682">
        <f>Skills!B19</f>
        <v/>
      </c>
      <c r="C2682">
        <f>Inputs!$B$3&gt;=66</f>
        <v/>
      </c>
      <c r="D2682">
        <f>IF(Skills!C19=1,60+Inputs!$B$25+Inputs!$B$29,IF(Skills!C19=2,90+Inputs!$B$26+Inputs!$B$29,IF(Skills!C19=3,120+Inputs!$B$27+Inputs!$B$29,MAX(0,(Inputs!$B$3-100)*3)+Inputs!$B$28+Inputs!$B$29)))</f>
        <v/>
      </c>
      <c r="E2682">
        <f>INDEX(FactorTable!$B$2:$Y$301, MATCH(ROUND(MIN(300,MAX(1,D2682)),0), FactorTable!$A$2:$A$301,0), Skills!M19+1)</f>
        <v/>
      </c>
      <c r="F2682">
        <f>IF(Skills!N19=TRUE,(Skills!L19/10)*(E2682/1000),Skills!L19/10)+Skills!O19</f>
        <v/>
      </c>
      <c r="G2682">
        <f>Skills!G19*IF(Skills!H19&gt;0,INT(IF(Inputs!$B$38="pvp",MIN(Skills!I19,15),Skills!I19)/Skills!H19+0.000000001),1)</f>
        <v/>
      </c>
      <c r="H2682">
        <f>1-(1-Skills!J19/100)^Skills!K19</f>
        <v/>
      </c>
      <c r="I2682" t="inlineStr">
        <is>
          <t>1</t>
        </is>
      </c>
      <c r="J2682" t="inlineStr"/>
      <c r="K2682" t="inlineStr"/>
      <c r="L2682" t="inlineStr"/>
      <c r="M2682" t="inlineStr"/>
      <c r="N2682" t="inlineStr"/>
      <c r="O2682">
        <f>(1-Summary!$B$11)*T2682+Summary!$B$11*V2682</f>
        <v/>
      </c>
      <c r="P2682">
        <f>IF(B2708=0,0,O2682/B2708)</f>
        <v/>
      </c>
      <c r="Q2682" t="n">
        <v>0</v>
      </c>
      <c r="R2682" t="n">
        <v>0</v>
      </c>
      <c r="S2682">
        <f>IFERROR(O2682/N2682,0)</f>
        <v/>
      </c>
      <c r="T2682" t="n">
        <v>0</v>
      </c>
      <c r="V2682" t="n">
        <v>0</v>
      </c>
    </row>
    <row r="2683">
      <c r="A2683">
        <f>Skills!A20</f>
        <v/>
      </c>
      <c r="B2683">
        <f>Skills!B20</f>
        <v/>
      </c>
      <c r="C2683">
        <f>Inputs!$B$3&gt;=72</f>
        <v/>
      </c>
      <c r="D2683">
        <f>IF(Skills!C20=1,60+Inputs!$B$25+Inputs!$B$29,IF(Skills!C20=2,90+Inputs!$B$26+Inputs!$B$29,IF(Skills!C20=3,120+Inputs!$B$27+Inputs!$B$29,MAX(0,(Inputs!$B$3-100)*3)+Inputs!$B$28+Inputs!$B$29)))</f>
        <v/>
      </c>
      <c r="E2683">
        <f>INDEX(FactorTable!$B$2:$Y$301, MATCH(ROUND(MIN(300,MAX(1,D2683)),0), FactorTable!$A$2:$A$301,0), Skills!M20+1)</f>
        <v/>
      </c>
      <c r="F2683">
        <f>IF(Skills!N20=TRUE,(Skills!L20/10)*(E2683/1000),Skills!L20/10)+Skills!O20</f>
        <v/>
      </c>
      <c r="G2683">
        <f>Skills!G20*IF(Skills!H20&gt;0,INT(IF(Inputs!$B$38="pvp",MIN(Skills!I20,15),Skills!I20)/Skills!H20+0.000000001),1)</f>
        <v/>
      </c>
      <c r="H2683">
        <f>1-(1-Skills!J20/100)^Skills!K20</f>
        <v/>
      </c>
      <c r="I2683" t="inlineStr">
        <is>
          <t>1</t>
        </is>
      </c>
      <c r="J2683" t="inlineStr"/>
      <c r="K2683" t="inlineStr"/>
      <c r="L2683" t="inlineStr"/>
      <c r="M2683" t="inlineStr"/>
      <c r="N2683" t="inlineStr"/>
      <c r="O2683">
        <f>(1-Summary!$B$11)*T2683+Summary!$B$11*V2683</f>
        <v/>
      </c>
      <c r="P2683">
        <f>IF(B2708=0,0,O2683/B2708)</f>
        <v/>
      </c>
      <c r="Q2683" t="n">
        <v>0</v>
      </c>
      <c r="R2683" t="n">
        <v>0</v>
      </c>
      <c r="S2683">
        <f>IFERROR(O2683/N2683,0)</f>
        <v/>
      </c>
      <c r="T2683" t="n">
        <v>0</v>
      </c>
      <c r="V2683" t="n">
        <v>0</v>
      </c>
    </row>
    <row r="2684">
      <c r="A2684">
        <f>Skills!A21</f>
        <v/>
      </c>
      <c r="B2684">
        <f>Skills!B21</f>
        <v/>
      </c>
      <c r="C2684">
        <f>TRUE</f>
        <v/>
      </c>
      <c r="D2684">
        <f>IF(Skills!C21=1,60+Inputs!$B$25+Inputs!$B$29,IF(Skills!C21=2,90+Inputs!$B$26+Inputs!$B$29,IF(Skills!C21=3,120+Inputs!$B$27+Inputs!$B$29,MAX(0,(Inputs!$B$3-100)*3)+Inputs!$B$28+Inputs!$B$29)))</f>
        <v/>
      </c>
      <c r="E2684">
        <f>INDEX(FactorTable!$B$2:$Y$301, MATCH(ROUND(MIN(300,MAX(1,D2684)),0), FactorTable!$A$2:$A$301,0), Skills!M21+1)</f>
        <v/>
      </c>
      <c r="F2684">
        <f>IF(Skills!N21=TRUE,(Skills!L21/10)*(E2684/1000),Skills!L21/10)+Skills!O21</f>
        <v/>
      </c>
      <c r="G2684">
        <f>Skills!G21*IF(Skills!H21&gt;0,INT(IF(Inputs!$B$38="pvp",MIN(Skills!I21,15),Skills!I21)/Skills!H21+0.000000001),1)</f>
        <v/>
      </c>
      <c r="H2684">
        <f>1-(1-Skills!J21/100)^Skills!K21</f>
        <v/>
      </c>
      <c r="I2684" t="inlineStr">
        <is>
          <t>1</t>
        </is>
      </c>
      <c r="J2684" t="inlineStr"/>
      <c r="K2684" t="inlineStr"/>
      <c r="L2684" t="inlineStr"/>
      <c r="M2684" t="inlineStr"/>
      <c r="N2684" t="inlineStr"/>
      <c r="O2684">
        <f>(1-Summary!$B$11)*T2684+Summary!$B$11*V2684</f>
        <v/>
      </c>
      <c r="P2684">
        <f>IF(B2708=0,0,O2684/B2708)</f>
        <v/>
      </c>
      <c r="Q2684">
        <f>IFERROR(1/(IF(Inputs!$B$38="pvp",15,MAX(0.1,Skills!D21-IF(TRUE=TRUE,Inputs!$B$32,0)))*(1-IF(AND(ArtifactsInput!$M$27,Inputs!$B$4="Chapter Hunt"),CHOOSE(ArtifactsInput!$N$27+1,20,24,28,32,36,40),0)/100)),0)</f>
        <v/>
      </c>
      <c r="R2684">
        <f>IF(AND(Inputs!$B$38&lt;&gt;"pvp",Inputs!$B$43&gt;0),IF(Inputs!$B$43&lt;=0,0,(INT(Inputs!$B$43/(IF(Inputs!$B$38="pvp",15,MAX(0.1,Skills!D21-IF(TRUE=TRUE,Inputs!$B$32,0)))*(1-IF(AND(ArtifactsInput!$M$27,Inputs!$B$4="Chapter Hunt"),CHOOSE(ArtifactsInput!$N$27+1,20,24,28,32,36,40),0)/100)))+1)),0)</f>
        <v/>
      </c>
      <c r="S2684">
        <f>IFERROR(O2684/N2684,0)</f>
        <v/>
      </c>
      <c r="T2684" t="n">
        <v>0</v>
      </c>
      <c r="V2684" t="n">
        <v>0</v>
      </c>
    </row>
    <row r="2685">
      <c r="A2685">
        <f>Skills!A22</f>
        <v/>
      </c>
      <c r="B2685">
        <f>Skills!B22</f>
        <v/>
      </c>
      <c r="C2685">
        <f>Inputs!$B$3&gt;=15</f>
        <v/>
      </c>
      <c r="D2685">
        <f>IF(Skills!C22=1,60+Inputs!$B$25+Inputs!$B$29,IF(Skills!C22=2,90+Inputs!$B$26+Inputs!$B$29,IF(Skills!C22=3,120+Inputs!$B$27+Inputs!$B$29,MAX(0,(Inputs!$B$3-100)*3)+Inputs!$B$28+Inputs!$B$29)))</f>
        <v/>
      </c>
      <c r="E2685">
        <f>INDEX(FactorTable!$B$2:$Y$301, MATCH(ROUND(MIN(300,MAX(1,D2685)),0), FactorTable!$A$2:$A$301,0), Skills!M22+1)</f>
        <v/>
      </c>
      <c r="F2685">
        <f>IF(Skills!N22=TRUE,(Skills!L22/10)*(E2685/1000),Skills!L22/10)+Skills!O22</f>
        <v/>
      </c>
      <c r="G2685">
        <f>Skills!G22*IF(Skills!H22&gt;0,INT(IF(Inputs!$B$38="pvp",MIN(Skills!I22,15),Skills!I22)/Skills!H22+0.000000001),1)</f>
        <v/>
      </c>
      <c r="H2685">
        <f>1-(1-Skills!J22/100)^Skills!K22</f>
        <v/>
      </c>
      <c r="I2685" t="inlineStr">
        <is>
          <t>1</t>
        </is>
      </c>
      <c r="J2685" t="inlineStr"/>
      <c r="K2685" t="inlineStr"/>
      <c r="L2685" t="inlineStr"/>
      <c r="M2685" t="inlineStr"/>
      <c r="N2685" t="inlineStr"/>
      <c r="O2685">
        <f>(1-Summary!$B$11)*T2685+Summary!$B$11*V2685</f>
        <v/>
      </c>
      <c r="P2685">
        <f>IF(B2708=0,0,O2685/B2708)</f>
        <v/>
      </c>
      <c r="Q2685" t="n">
        <v>0</v>
      </c>
      <c r="R2685" t="n">
        <v>0</v>
      </c>
      <c r="S2685">
        <f>IFERROR(O2685/N2685,0)</f>
        <v/>
      </c>
      <c r="T2685" t="n">
        <v>0</v>
      </c>
      <c r="V2685" t="n">
        <v>0</v>
      </c>
    </row>
    <row r="2686">
      <c r="A2686">
        <f>Skills!A23</f>
        <v/>
      </c>
      <c r="B2686">
        <f>Skills!B23</f>
        <v/>
      </c>
      <c r="C2686">
        <f>Inputs!$B$3&gt;=10</f>
        <v/>
      </c>
      <c r="D2686">
        <f>IF(Skills!C23=1,60+Inputs!$B$25+Inputs!$B$29,IF(Skills!C23=2,90+Inputs!$B$26+Inputs!$B$29,IF(Skills!C23=3,120+Inputs!$B$27+Inputs!$B$29,MAX(0,(Inputs!$B$3-100)*3)+Inputs!$B$28+Inputs!$B$29)))</f>
        <v/>
      </c>
      <c r="E2686">
        <f>INDEX(FactorTable!$B$2:$Y$301, MATCH(ROUND(MIN(300,MAX(1,D2686)),0), FactorTable!$A$2:$A$301,0), Skills!M23+1)</f>
        <v/>
      </c>
      <c r="F2686">
        <f>IF(Skills!N23=TRUE,(Skills!L23/10)*(E2686/1000),Skills!L23/10)+Skills!O23</f>
        <v/>
      </c>
      <c r="G2686">
        <f>Skills!G23*IF(Skills!H23&gt;0,INT(IF(Inputs!$B$38="pvp",MIN(Skills!I23,15),Skills!I23)/Skills!H23+0.000000001),1)</f>
        <v/>
      </c>
      <c r="H2686">
        <f>1-(1-Skills!J23/100)^Skills!K23</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Skills!A24</f>
        <v/>
      </c>
      <c r="B2687">
        <f>Skills!B24</f>
        <v/>
      </c>
      <c r="C2687">
        <f>Inputs!$B$3&gt;=33</f>
        <v/>
      </c>
      <c r="D2687">
        <f>IF(Skills!C24=1,60+Inputs!$B$25+Inputs!$B$29,IF(Skills!C24=2,90+Inputs!$B$26+Inputs!$B$29,IF(Skills!C24=3,120+Inputs!$B$27+Inputs!$B$29,MAX(0,(Inputs!$B$3-100)*3)+Inputs!$B$28+Inputs!$B$29)))</f>
        <v/>
      </c>
      <c r="E2687">
        <f>INDEX(FactorTable!$B$2:$Y$301, MATCH(ROUND(MIN(300,MAX(1,D2687)),0), FactorTable!$A$2:$A$301,0), Skills!M24+1)</f>
        <v/>
      </c>
      <c r="F2687">
        <f>IF(Skills!N24=TRUE,(Skills!L24/10)*(E2687/1000),Skills!L24/10)+Skills!O24</f>
        <v/>
      </c>
      <c r="G2687">
        <f>Skills!G24*IF(Skills!H24&gt;0,INT(IF(Inputs!$B$38="pvp",MIN(Skills!I24,15),Skills!I24)/Skills!H24+0.000000001),1)</f>
        <v/>
      </c>
      <c r="H2687">
        <f>1-(1-Skills!J24/100)^Skills!K24</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Skills!A25</f>
        <v/>
      </c>
      <c r="B2688">
        <f>Skills!B25</f>
        <v/>
      </c>
      <c r="C2688">
        <f>Inputs!$B$3&gt;=38</f>
        <v/>
      </c>
      <c r="D2688">
        <f>IF(Skills!C25=1,60+Inputs!$B$25+Inputs!$B$29,IF(Skills!C25=2,90+Inputs!$B$26+Inputs!$B$29,IF(Skills!C25=3,120+Inputs!$B$27+Inputs!$B$29,MAX(0,(Inputs!$B$3-100)*3)+Inputs!$B$28+Inputs!$B$29)))</f>
        <v/>
      </c>
      <c r="E2688">
        <f>INDEX(FactorTable!$B$2:$Y$301, MATCH(ROUND(MIN(300,MAX(1,D2688)),0), FactorTable!$A$2:$A$301,0), Skills!M25+1)</f>
        <v/>
      </c>
      <c r="F2688">
        <f>IF(Skills!N25=TRUE,(Skills!L25/10)*(E2688/1000),Skills!L25/10)+Skills!O25</f>
        <v/>
      </c>
      <c r="G2688">
        <f>Skills!G25*IF(Skills!H25&gt;0,INT(IF(Inputs!$B$38="pvp",MIN(Skills!I25,15),Skills!I25)/Skills!H25+0.000000001),1)</f>
        <v/>
      </c>
      <c r="H2688">
        <f>1-(1-Skills!J25/100)^Skills!K25</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Skills!A26</f>
        <v/>
      </c>
      <c r="B2689">
        <f>Skills!B26</f>
        <v/>
      </c>
      <c r="C2689">
        <f>Inputs!$B$3&gt;=43</f>
        <v/>
      </c>
      <c r="D2689">
        <f>IF(Skills!C26=1,60+Inputs!$B$25+Inputs!$B$29,IF(Skills!C26=2,90+Inputs!$B$26+Inputs!$B$29,IF(Skills!C26=3,120+Inputs!$B$27+Inputs!$B$29,MAX(0,(Inputs!$B$3-100)*3)+Inputs!$B$28+Inputs!$B$29)))</f>
        <v/>
      </c>
      <c r="E2689">
        <f>INDEX(FactorTable!$B$2:$Y$301, MATCH(ROUND(MIN(300,MAX(1,D2689)),0), FactorTable!$A$2:$A$301,0), Skills!M26+1)</f>
        <v/>
      </c>
      <c r="F2689">
        <f>IF(Skills!N26=TRUE,(Skills!L26/10)*(E2689/1000),Skills!L26/10)+Skills!O26</f>
        <v/>
      </c>
      <c r="G2689">
        <f>Skills!G26*IF(Skills!H26&gt;0,INT(IF(Inputs!$B$38="pvp",MIN(Skills!I26,15),Skills!I26)/Skills!H26+0.000000001),1)</f>
        <v/>
      </c>
      <c r="H2689">
        <f>1-(1-Skills!J26/100)^Skills!K26</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Skills!A27</f>
        <v/>
      </c>
      <c r="B2690">
        <f>Skills!B27</f>
        <v/>
      </c>
      <c r="C2690">
        <f>Inputs!$B$3&gt;=75</f>
        <v/>
      </c>
      <c r="D2690">
        <f>IF(Skills!C27=1,60+Inputs!$B$25+Inputs!$B$29,IF(Skills!C27=2,90+Inputs!$B$26+Inputs!$B$29,IF(Skills!C27=3,120+Inputs!$B$27+Inputs!$B$29,MAX(0,(Inputs!$B$3-100)*3)+Inputs!$B$28+Inputs!$B$29)))</f>
        <v/>
      </c>
      <c r="E2690">
        <f>INDEX(FactorTable!$B$2:$Y$301, MATCH(ROUND(MIN(300,MAX(1,D2690)),0), FactorTable!$A$2:$A$301,0), Skills!M27+1)</f>
        <v/>
      </c>
      <c r="F2690">
        <f>IF(Skills!N27=TRUE,(Skills!L27/10)*(E2690/1000),Skills!L27/10)+Skills!O27</f>
        <v/>
      </c>
      <c r="G2690">
        <f>Skills!G27*IF(Skills!H27&gt;0,INT(IF(Inputs!$B$38="pvp",MIN(Skills!I27,15),Skills!I27)/Skills!H27+0.000000001),1)</f>
        <v/>
      </c>
      <c r="H2690">
        <f>1-(1-Skills!J27/100)^Skills!K27</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Skills!A28</f>
        <v/>
      </c>
      <c r="B2691">
        <f>Skills!B28</f>
        <v/>
      </c>
      <c r="C2691">
        <f>Inputs!$B$3&gt;=125</f>
        <v/>
      </c>
      <c r="D2691">
        <f>IF(Skills!C28=1,60+Inputs!$B$25+Inputs!$B$29,IF(Skills!C28=2,90+Inputs!$B$26+Inputs!$B$29,IF(Skills!C28=3,120+Inputs!$B$27+Inputs!$B$29,MAX(0,(Inputs!$B$3-100)*3)+Inputs!$B$28+Inputs!$B$29)))</f>
        <v/>
      </c>
      <c r="E2691">
        <f>INDEX(FactorTable!$B$2:$Y$301, MATCH(ROUND(MIN(300,MAX(1,D2691)),0), FactorTable!$A$2:$A$301,0), Skills!M28+1)</f>
        <v/>
      </c>
      <c r="F2691">
        <f>IF(Skills!N28=TRUE,(Skills!L28/10)*(E2691/1000),Skills!L28/10)+Skills!O28</f>
        <v/>
      </c>
      <c r="G2691">
        <f>Skills!G28*IF(Skills!H28&gt;0,INT(IF(Inputs!$B$38="pvp",MIN(Skills!I28,15),Skills!I28)/Skills!H28+0.000000001),1)</f>
        <v/>
      </c>
      <c r="H2691">
        <f>1-(1-Skills!J28/100)^Skills!K28</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Skills!A29</f>
        <v/>
      </c>
      <c r="B2692">
        <f>Skills!B29</f>
        <v/>
      </c>
      <c r="C2692">
        <f>Inputs!$B$3&gt;=125</f>
        <v/>
      </c>
      <c r="D2692">
        <f>IF(Skills!C29=1,60+Inputs!$B$25+Inputs!$B$29,IF(Skills!C29=2,90+Inputs!$B$26+Inputs!$B$29,IF(Skills!C29=3,120+Inputs!$B$27+Inputs!$B$29,MAX(0,(Inputs!$B$3-100)*3)+Inputs!$B$28+Inputs!$B$29)))</f>
        <v/>
      </c>
      <c r="E2692">
        <f>INDEX(FactorTable!$B$2:$Y$301, MATCH(ROUND(MIN(300,MAX(1,D2692)),0), FactorTable!$A$2:$A$301,0), Skills!M29+1)</f>
        <v/>
      </c>
      <c r="F2692">
        <f>IF(Skills!N29=TRUE,(Skills!L29/10)*(E2692/1000),Skills!L29/10)+Skills!O29</f>
        <v/>
      </c>
      <c r="G2692">
        <f>Skills!G29*IF(Skills!H29&gt;0,INT(IF(Inputs!$B$38="pvp",MIN(Skills!I29,15),Skills!I29)/Skills!H29+0.000000001),1)</f>
        <v/>
      </c>
      <c r="H2692">
        <f>1-(1-Skills!J29/100)^Skills!K29</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Skills!A30</f>
        <v/>
      </c>
      <c r="B2693">
        <f>Skills!B30</f>
        <v/>
      </c>
      <c r="C2693">
        <f>Inputs!$B$3&gt;=120</f>
        <v/>
      </c>
      <c r="D2693">
        <f>IF(Skills!C30=1,60+Inputs!$B$25+Inputs!$B$29,IF(Skills!C30=2,90+Inputs!$B$26+Inputs!$B$29,IF(Skills!C30=3,120+Inputs!$B$27+Inputs!$B$29,MAX(0,(Inputs!$B$3-100)*3)+Inputs!$B$28+Inputs!$B$29)))</f>
        <v/>
      </c>
      <c r="E2693">
        <f>INDEX(FactorTable!$B$2:$Y$301, MATCH(ROUND(MIN(300,MAX(1,D2693)),0), FactorTable!$A$2:$A$301,0), Skills!M30+1)</f>
        <v/>
      </c>
      <c r="F2693">
        <f>IF(Skills!N30=TRUE,(Skills!L30/10)*(E2693/1000),Skills!L30/10)+Skills!O30</f>
        <v/>
      </c>
      <c r="G2693">
        <f>Skills!G30*IF(Skills!H30&gt;0,INT(IF(Inputs!$B$38="pvp",MIN(Skills!I30,15),Skills!I30)/Skills!H30+0.000000001),1)</f>
        <v/>
      </c>
      <c r="H2693">
        <f>1-(1-Skills!J30/100)^Skills!K30</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Skills!A31</f>
        <v/>
      </c>
      <c r="B2694">
        <f>Skills!B31</f>
        <v/>
      </c>
      <c r="C2694">
        <f>Inputs!$B$3&gt;=120</f>
        <v/>
      </c>
      <c r="D2694">
        <f>IF(Skills!C31=1,60+Inputs!$B$25+Inputs!$B$29,IF(Skills!C31=2,90+Inputs!$B$26+Inputs!$B$29,IF(Skills!C31=3,120+Inputs!$B$27+Inputs!$B$29,MAX(0,(Inputs!$B$3-100)*3)+Inputs!$B$28+Inputs!$B$29)))</f>
        <v/>
      </c>
      <c r="E2694">
        <f>INDEX(FactorTable!$B$2:$Y$301, MATCH(ROUND(MIN(300,MAX(1,D2694)),0), FactorTable!$A$2:$A$301,0), Skills!M31+1)</f>
        <v/>
      </c>
      <c r="F2694">
        <f>IF(Skills!N31=TRUE,(Skills!L31/10)*(E2694/1000),Skills!L31/10)+Skills!O31</f>
        <v/>
      </c>
      <c r="G2694">
        <f>Skills!G31*IF(Skills!H31&gt;0,INT(IF(Inputs!$B$38="pvp",MIN(Skills!I31,15),Skills!I31)/Skills!H31+0.000000001),1)</f>
        <v/>
      </c>
      <c r="H2694">
        <f>1-(1-Skills!J31/100)^Skills!K31</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Skills!A32</f>
        <v/>
      </c>
      <c r="B2695">
        <f>Skills!B32</f>
        <v/>
      </c>
      <c r="C2695">
        <f>Inputs!$B$3&gt;=45</f>
        <v/>
      </c>
      <c r="D2695">
        <f>IF(Skills!C32=1,60+Inputs!$B$25+Inputs!$B$29,IF(Skills!C32=2,90+Inputs!$B$26+Inputs!$B$29,IF(Skills!C32=3,120+Inputs!$B$27+Inputs!$B$29,MAX(0,(Inputs!$B$3-100)*3)+Inputs!$B$28+Inputs!$B$29)))</f>
        <v/>
      </c>
      <c r="E2695">
        <f>INDEX(FactorTable!$B$2:$Y$301, MATCH(ROUND(MIN(300,MAX(1,D2695)),0), FactorTable!$A$2:$A$301,0), Skills!M32+1)</f>
        <v/>
      </c>
      <c r="F2695">
        <f>IF(Skills!N32=TRUE,(Skills!L32/10)*(E2695/1000),Skills!L32/10)+Skills!O32</f>
        <v/>
      </c>
      <c r="G2695">
        <f>Skills!G32*IF(Skills!H32&gt;0,INT(IF(Inputs!$B$38="pvp",MIN(Skills!I32,15),Skills!I32)/Skills!H32+0.000000001),1)</f>
        <v/>
      </c>
      <c r="H2695">
        <f>1-(1-Skills!J32/100)^Skills!K32</f>
        <v/>
      </c>
      <c r="I2695" t="inlineStr">
        <is>
          <t>1</t>
        </is>
      </c>
      <c r="J2695" t="inlineStr"/>
      <c r="K2695" t="inlineStr"/>
      <c r="L2695" t="inlineStr"/>
      <c r="M2695" t="inlineStr"/>
      <c r="N2695" t="inlineStr"/>
      <c r="O2695">
        <f>(1-Summary!$B$11)*T2695+Summary!$B$11*V2695</f>
        <v/>
      </c>
      <c r="P2695">
        <f>IF(B2708=0,0,O2695/B2708)</f>
        <v/>
      </c>
      <c r="Q2695" t="n">
        <v>0</v>
      </c>
      <c r="R2695" t="n">
        <v>0</v>
      </c>
      <c r="S2695">
        <f>IFERROR(O2695/N2695,0)</f>
        <v/>
      </c>
      <c r="T2695" t="n">
        <v>0</v>
      </c>
      <c r="V2695" t="n">
        <v>0</v>
      </c>
    </row>
    <row r="2697">
      <c r="A2697" t="inlineStr">
        <is>
          <t>Attack% Bucket Multiplier</t>
        </is>
      </c>
      <c r="B2697">
        <f>(1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t>
        </is>
      </c>
      <c r="B2699">
        <f>((C2684=TRUE)*F2684*IF(AND(Inputs!$B$38&lt;&gt;"pvp",Inputs!$B$43&gt;0),(((R2684-1)*MIN((Skills!T21*(1+Inputs!$B$34/100)),(1/Q2684))+MIN((Skills!T21*(1+Inputs!$B$34/100)),MAX(0,Inputs!$B$43-((R2684-1)*(1/Q2684)))))/Inputs!$B$43),IF(Inputs!$B$38="pvp",MIN((Skills!T21*(1+Inputs!$B$34/100)),15)/15,MIN(1,(Skills!T21*(1+Inputs!$B$34/100))/(1/Q2684)))))</f>
        <v/>
      </c>
    </row>
    <row r="2700">
      <c r="A2700" t="inlineStr">
        <is>
          <t>Actions Per Second</t>
        </is>
      </c>
      <c r="B2700">
        <f>1+MIN(150,150*(1-(1-(Inputs!$B$11+((C2686=TRUE)*(F2686-Calc!F23))+((C2687=TRUE)*(F2687-Calc!F24)))/150)*(1-B2699/150)))/100</f>
        <v/>
      </c>
    </row>
    <row r="2701">
      <c r="A2701" t="inlineStr">
        <is>
          <t>Skill + Buff Cast Rate</t>
        </is>
      </c>
      <c r="B2701">
        <f>IF(AND(Inputs!$B$38&lt;&gt;"pvp",Inputs!$B$43&gt;0),SUMPRODUCT((Skills!E2:E32=TRUE)*(C2665:C2695=TRUE)*R2665:R2695*Skills!F2:F32)/Inputs!$B$43,SUMPRODUCT((Skills!E2:E32=TRUE)*(C2665:C2695=TRUE)*Q2665:Q2695*Skills!F2:F32))</f>
        <v/>
      </c>
    </row>
    <row r="2702">
      <c r="A2702" t="inlineStr">
        <is>
          <t>Arrow Stream Casts Per Second</t>
        </is>
      </c>
      <c r="B2702">
        <f>MAX(0,B2700-B2701)</f>
        <v/>
      </c>
    </row>
    <row r="2703">
      <c r="A2703" t="inlineStr">
        <is>
          <t>Global Critical Damage Bonus % (Sharp Eyes + Concentration)</t>
        </is>
      </c>
      <c r="B2703">
        <f>(C2681=TRUE)*F2681*IF(AND(Inputs!$B$38&lt;&gt;"pvp",Inputs!$B$43&gt;0),(((R2681-1)*MIN((Skills!T18*(1+Inputs!$B$34/100)),(1/Q2681))+MIN((Skills!T18*(1+Inputs!$B$34/100)),MAX(0,Inputs!$B$43-((R2681-1)*(1/Q2681)))))/Inputs!$B$43),IF(Inputs!$B$38="pvp",MIN((Skills!T18*(1+Inputs!$B$34/100)),15)/15,MIN(1,(Skills!T18*(1+Inputs!$B$34/100))/(1/Q2681))))+(C2682=TRUE)*7*F2682</f>
        <v/>
      </c>
    </row>
    <row r="2704">
      <c r="A2704" t="inlineStr">
        <is>
          <t>Global Final Damage Bonus % (Mortal Blow)</t>
        </is>
      </c>
      <c r="B2704">
        <f>(C2683=TRUE)*F2683</f>
        <v/>
      </c>
    </row>
    <row r="2705">
      <c r="A2705" t="inlineStr">
        <is>
          <t>Buff-Casting Startup Delay (s, fixed-duration only)</t>
        </is>
      </c>
      <c r="B2705">
        <f>IF(AND(Inputs!$B$38&lt;&gt;"pvp",Inputs!$B$43&gt;0),SUMPRODUCT((Skills!T2:T32&gt;0)*(Skills!E2:E32=TRUE)*(C2665:C2695=TRUE))/B2700,0)</f>
        <v/>
      </c>
    </row>
    <row r="2706">
      <c r="A2706" t="inlineStr">
        <is>
          <t>Boss-Only Total DPS (this block's swept value)</t>
        </is>
      </c>
      <c r="B2706">
        <f>SUM(T2665:T2695)</f>
        <v/>
      </c>
    </row>
    <row r="2707">
      <c r="A2707" t="inlineStr">
        <is>
          <t>Normal-Only Total DPS (this block's swept value)</t>
        </is>
      </c>
      <c r="B2707">
        <f>SUM(V2665:V2695)</f>
        <v/>
      </c>
    </row>
    <row r="2708">
      <c r="A2708" s="6" t="inlineStr">
        <is>
          <t>TOTAL DPS</t>
        </is>
      </c>
      <c r="B2708" s="6">
        <f>SUM(O2665:O2695)</f>
        <v/>
      </c>
    </row>
    <row r="2711">
      <c r="A2711" s="6" t="inlineStr">
        <is>
          <t>Stat: Candle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Skills!G2*IF(Skills!H2&gt;0,INT(IF(Inputs!$B$38="pvp",MIN(Skills!I2,15),Skills!I2)/Skills!H2+0.000000001),1)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2737=TRUE)*(F2737-Calc!F26)),(Inputs!$B$23+((C2742=TRUE)*(F2742-Calc!F31))+(IF(ArtifactsInput!$M$15,CHOOSE(ArtifactsInput!$N$15+1,25,30,35,40,45,50)/100*(Inputs!$B$11-Inputs!$B$11),0))))/100+(Inputs!$B$23+((C2742=TRUE)*(F2742-Calc!F31))+(IF(ArtifactsInput!$M$15,CHOOSE(ArtifactsInput!$N$15+1,25,30,35,40,45,50)/100*(Inputs!$B$11-Inputs!$B$11),0)))/100)/2</f>
        <v/>
      </c>
      <c r="M2713">
        <f>L2713*(1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IF(B2756=0,0,O2713/B2756)</f>
        <v/>
      </c>
      <c r="Q2713" t="n">
        <v>0</v>
      </c>
      <c r="R2713" t="n">
        <v>0</v>
      </c>
      <c r="S2713">
        <f>IFERROR(O2713/N2713,0)</f>
        <v/>
      </c>
      <c r="T2713">
        <f>IF(C2713,(Skills!G2*N2713*B2750)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IF(C2713,(Skills!G2*N2713*B2750)*IF(Inputs!$B$38="pvp",1,(1+(Inputs!$B$21+Skills!Q2+(IF(ArtifactsInput!$M$33,CHOOSE(ArtifactsInput!$N$33+1,30,36,42,48,54,60),0))+(IF(AND(ArtifactsInput!$M$35,Inputs!$B$4&lt;&gt;"Chapter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Inputs!$B$3&gt;=50</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Skills!G3*IF(Skills!H3&gt;0,INT(IF(Inputs!$B$38="pvp",MIN(Skills!I3,15),Skills!I3)/Skills!H3+0.000000001),1)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2715=TRUE,F2715,0)/100)*(1+(IF(Skills!A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2737=TRUE)*(F2737-Calc!F26)),(Inputs!$B$23+((C2742=TRUE)*(F2742-Calc!F31))+(IF(ArtifactsInput!$M$15,CHOOSE(ArtifactsInput!$N$15+1,25,30,35,40,45,50)/100*(Inputs!$B$11-Inputs!$B$11),0))))/100+(Inputs!$B$23+((C2742=TRUE)*(F2742-Calc!F31))+(IF(ArtifactsInput!$M$15,CHOOSE(ArtifactsInput!$N$15+1,25,30,35,40,45,50)/100*(Inputs!$B$11-Inputs!$B$11),0)))/100)/2</f>
        <v/>
      </c>
      <c r="M2714">
        <f>L2714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IF(B2756=0,0,O2714/B2756)</f>
        <v/>
      </c>
      <c r="Q2714">
        <f>IFERROR(1/(IF(Inputs!$B$38="pvp",15,MAX(0.1,1/B2748-IF(FALSE=TRUE,Inputs!$B$32,0)))*(1-IF(AND(ArtifactsInput!$M$27,Inputs!$B$4="Chapter Hunt"),CHOOSE(ArtifactsInput!$N$27+1,20,24,28,32,36,40),0)/100)),0)</f>
        <v/>
      </c>
      <c r="R2714">
        <f>IF(AND(Inputs!$B$38&lt;&gt;"pvp",Inputs!$B$43&gt;0),IF(MAX(0,Inputs!$B$43-B2753)&lt;=0,0,(INT(MAX(0,Inputs!$B$43-B2753)/(IF(Inputs!$B$38="pvp",15,MAX(0.1,1/B2748-IF(FALSE=TRUE,Inputs!$B$32,0)))*(1-IF(AND(ArtifactsInput!$M$27,Inputs!$B$4="Chapter Hunt"),CHOOSE(ArtifactsInput!$N$27+1,20,24,28,32,36,40),0)/100)))+1)),0)</f>
        <v/>
      </c>
      <c r="S2714">
        <f>IFERROR(O2714/N2714,0)</f>
        <v/>
      </c>
      <c r="T2714">
        <f>IF(C2714,(H2714*N2714*IF(AND(Inputs!$B$38&lt;&gt;"pvp",Inputs!$B$43&gt;0),((Skills!G3*((R2714-1)*IF(Skills!H3&gt;0,INT(Skills!I3/Skills!H3+0.000000001),1)+IF(Skills!H3&gt;0,INT(MIN(Skills!I3,MAX(0,MAX(0,Inputs!$B$43-B2753)-((R2714-1)*(IF(Inputs!$B$38="pvp",15,MAX(0.1,1/B2748-IF(FALSE=TRUE,Inputs!$B$32,0)))*(1-IF(AND(ArtifactsInput!$M$27,Inputs!$B$4="Chapter Hunt"),CHOOSE(ArtifactsInput!$N$27+1,20,24,28,32,36,40),0)/100)))))/Skills!H3+0.000000001),1)))/Inputs!$B$43),G2714*Q2714)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INT(Skills!I3/Skills!H3+0.000000001),1)+IF(Skills!H3&gt;0,INT(MIN(Skills!I3,MAX(0,MAX(0,Inputs!$B$43-B2753)-((R2714-1)*(IF(Inputs!$B$38="pvp",15,MAX(0.1,1/B2748-IF(FALSE=TRUE,Inputs!$B$32,0)))*(1-IF(AND(ArtifactsInput!$M$27,Inputs!$B$4="Chapter Hunt"),CHOOSE(ArtifactsInput!$N$27+1,20,24,28,32,36,40),0)/100)))))/Skills!H3+0.000000001),1)))/Inputs!$B$43),G2714*Q2714))*IF(Inputs!$B$38="pvp",1,(1+(Inputs!$B$21+Skills!Q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Inputs!$B$3&gt;=105</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t="inlineStr"/>
      <c r="H2715" t="inlineStr"/>
      <c r="I2715" t="inlineStr">
        <is>
          <t>1</t>
        </is>
      </c>
      <c r="J2715" t="inlineStr"/>
      <c r="K2715" t="inlineStr"/>
      <c r="L2715" t="inlineStr"/>
      <c r="M2715" t="inlineStr"/>
      <c r="N2715" t="inlineStr"/>
      <c r="O2715" t="inlineStr"/>
      <c r="P2715" t="inlineStr"/>
      <c r="Q2715" t="inlineStr"/>
      <c r="R2715" t="inlineStr"/>
      <c r="S2715" t="inlineStr"/>
      <c r="T2715" t="inlineStr"/>
      <c r="U2715">
        <f>290*U2714/1000</f>
        <v/>
      </c>
      <c r="V2715" t="inlineStr"/>
    </row>
    <row r="2716">
      <c r="A2716">
        <f>Skills!A5</f>
        <v/>
      </c>
      <c r="B2716">
        <f>Skills!B5</f>
        <v/>
      </c>
      <c r="C2716">
        <f>Inputs!$B$3&gt;=35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Skills!G5*IF(Skills!H5&gt;0,INT(IF(Inputs!$B$38="pvp",MIN(Skills!I5,15),Skills!I5)/Skills!H5+0.000000001),1)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2723=TRUE,F2723,0)/100)*(1+(IF(Skills!A5="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2737=TRUE)*(F2737-Calc!F26)),(Inputs!$B$23+((C2742=TRUE)*(F2742-Calc!F31))+(IF(ArtifactsInput!$M$15,CHOOSE(ArtifactsInput!$N$15+1,25,30,35,40,45,50)/100*(Inputs!$B$11-Inputs!$B$11),0))))/100+(Inputs!$B$23+((C2742=TRUE)*(F2742-Calc!F31))+(IF(ArtifactsInput!$M$15,CHOOSE(ArtifactsInput!$N$15+1,25,30,35,40,45,50)/100*(Inputs!$B$11-Inputs!$B$11),0)))/100)/2</f>
        <v/>
      </c>
      <c r="M2716">
        <f>L2716*(1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IF(B2756=0,0,O2716/B2756)</f>
        <v/>
      </c>
      <c r="Q2716">
        <f>IFERROR(1/(IF(Inputs!$B$38="pvp",15,MAX(0.1,Skills!D5-IF(TRUE=TRUE,Inputs!$B$32,0)))*(1-IF(AND(ArtifactsInput!$M$27,Inputs!$B$4="Chapter Hunt"),CHOOSE(ArtifactsInput!$N$27+1,20,24,28,32,36,40),0)/100)),0)</f>
        <v/>
      </c>
      <c r="R2716">
        <f>IF(AND(Inputs!$B$38&lt;&gt;"pvp",Inputs!$B$43&gt;0),IF(MAX(0,Inputs!$B$43-B2753)&lt;=0,0,(INT(MAX(0,Inputs!$B$43-B2753)/(IF(Inputs!$B$38="pvp",15,MAX(0.1,Skills!D5-IF(TRUE=TRUE,Inputs!$B$32,0)))*(1-IF(AND(ArtifactsInput!$M$27,Inputs!$B$4="Chapter Hunt"),CHOOSE(ArtifactsInput!$N$27+1,20,24,28,32,36,40),0)/100)))+1)),0)</f>
        <v/>
      </c>
      <c r="S2716">
        <f>IFERROR(O2716/N2716,0)</f>
        <v/>
      </c>
      <c r="T2716">
        <f>IF(C2716,(H2716*N2716*IF(AND(Inputs!$B$38&lt;&gt;"pvp",Inputs!$B$43&gt;0),((Skills!G5*((R2716-1)*IF(Skills!H5&gt;0,INT(Skills!I5/Skills!H5+0.000000001),1)+IF(Skills!H5&gt;0,INT(MIN(Skills!I5,MAX(0,MAX(0,Inputs!$B$43-B2753)-((R2716-1)*(IF(Inputs!$B$38="pvp",15,MAX(0.1,Skills!D5-IF(TRUE=TRUE,Inputs!$B$32,0)))*(1-IF(AND(ArtifactsInput!$M$27,Inputs!$B$4="Chapter Hunt"),CHOOSE(ArtifactsInput!$N$27+1,20,24,28,32,36,40),0)/100)))))/Skills!H5+0.000000001),1)))/Inputs!$B$43),G2716*Q2716)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INT(Skills!I5/Skills!H5+0.000000001),1)+IF(Skills!H5&gt;0,INT(MIN(Skills!I5,MAX(0,MAX(0,Inputs!$B$43-B2753)-((R2716-1)*(IF(Inputs!$B$38="pvp",15,MAX(0.1,Skills!D5-IF(TRUE=TRUE,Inputs!$B$32,0)))*(1-IF(AND(ArtifactsInput!$M$27,Inputs!$B$4="Chapter Hunt"),CHOOSE(ArtifactsInput!$N$27+1,20,24,28,32,36,40),0)/100)))))/Skills!H5+0.000000001),1)))/Inputs!$B$43),G2716*Q2716))*IF(Inputs!$B$38="pvp",1,(1+(Inputs!$B$21+Skills!Q5+(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Inputs!$B$3&gt;=40</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Skills!G6*IF(Skills!H6&gt;0,INT(IF(Inputs!$B$38="pvp",MIN(Skills!I6,15),Skills!I6)/Skills!H6+0.000000001),1)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2718=TRUE,F2718,0)/100)*(1+(IF(Skills!A6="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2737=TRUE)*(F2737-Calc!F26)),(Inputs!$B$23+((C2742=TRUE)*(F2742-Calc!F31))+(IF(ArtifactsInput!$M$15,CHOOSE(ArtifactsInput!$N$15+1,25,30,35,40,45,50)/100*(Inputs!$B$11-Inputs!$B$11),0))))/100+(Inputs!$B$23+((C2742=TRUE)*(F2742-Calc!F31))+(IF(ArtifactsInput!$M$15,CHOOSE(ArtifactsInput!$N$15+1,25,30,35,40,45,50)/100*(Inputs!$B$11-Inputs!$B$11),0)))/100)/2</f>
        <v/>
      </c>
      <c r="M2717">
        <f>L2717*(1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IF(B2756=0,0,O2717/B2756)</f>
        <v/>
      </c>
      <c r="Q2717">
        <f>IFERROR(1/(IF(Inputs!$B$38="pvp",15,MAX(0.1,1-0.4*MIN(1,(B2748-1)/1.5)-IF(FALSE=TRUE,Inputs!$B$32,0)))*(1-IF(AND(ArtifactsInput!$M$27,Inputs!$B$4="Chapter Hunt"),CHOOSE(ArtifactsInput!$N$27+1,20,24,28,32,36,40),0)/100)),0)</f>
        <v/>
      </c>
      <c r="R2717">
        <f>IF(AND(Inputs!$B$38&lt;&gt;"pvp",Inputs!$B$43&gt;0),IF(MAX(0,Inputs!$B$43-B2753)&lt;=0,0,(INT(MAX(0,Inputs!$B$43-B2753)/(IF(Inputs!$B$38="pvp",15,MAX(0.1,1-0.4*MIN(1,(B2748-1)/1.5)-IF(FALSE=TRUE,Inputs!$B$32,0)))*(1-IF(AND(ArtifactsInput!$M$27,Inputs!$B$4="Chapter Hunt"),CHOOSE(ArtifactsInput!$N$27+1,20,24,28,32,36,40),0)/100)))+1)),0)</f>
        <v/>
      </c>
      <c r="S2717">
        <f>IFERROR(O2717/N2717,0)</f>
        <v/>
      </c>
      <c r="T2717">
        <f>IF(C2717,(H2717*N2717*IF(AND(Inputs!$B$38&lt;&gt;"pvp",Inputs!$B$43&gt;0),((Skills!G6*((R2717-1)*IF(Skills!H6&gt;0,INT(Skills!I6/Skills!H6+0.000000001),1)+IF(Skills!H6&gt;0,INT(MIN(Skills!I6,MAX(0,MAX(0,Inputs!$B$43-B2753)-((R2717-1)*(IF(Inputs!$B$38="pvp",15,MAX(0.1,1-0.4*MIN(1,(B2748-1)/1.5)-IF(FALSE=TRUE,Inputs!$B$32,0)))*(1-IF(AND(ArtifactsInput!$M$27,Inputs!$B$4="Chapter Hunt"),CHOOSE(ArtifactsInput!$N$27+1,20,24,28,32,36,40),0)/100)))))/Skills!H6+0.000000001),1)))/Inputs!$B$43),G2717*Q2717)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INT(Skills!I6/Skills!H6+0.000000001),1)+IF(Skills!H6&gt;0,INT(MIN(Skills!I6,MAX(0,MAX(0,Inputs!$B$43-B2753)-((R2717-1)*(IF(Inputs!$B$38="pvp",15,MAX(0.1,1-0.4*MIN(1,(B2748-1)/1.5)-IF(FALSE=TRUE,Inputs!$B$32,0)))*(1-IF(AND(ArtifactsInput!$M$27,Inputs!$B$4="Chapter Hunt"),CHOOSE(ArtifactsInput!$N$27+1,20,24,28,32,36,40),0)/100)))))/Skills!H6+0.000000001),1)))/Inputs!$B$43),G2717*Q2717))*IF(Inputs!$B$38="pvp",1,(1+(Inputs!$B$21+Skills!Q6+(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Inputs!$B$3&gt;=107</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t="inlineStr"/>
      <c r="H2718" t="inlineStr"/>
      <c r="I2718" t="inlineStr">
        <is>
          <t>1</t>
        </is>
      </c>
      <c r="J2718" t="inlineStr"/>
      <c r="K2718" t="inlineStr"/>
      <c r="L2718" t="inlineStr"/>
      <c r="M2718" t="inlineStr"/>
      <c r="N2718" t="inlineStr"/>
      <c r="O2718" t="inlineStr"/>
      <c r="P2718" t="inlineStr"/>
      <c r="Q2718" t="inlineStr"/>
      <c r="R2718" t="inlineStr"/>
      <c r="S2718" t="inlineStr"/>
      <c r="T2718" t="inlineStr"/>
      <c r="V2718" t="inlineStr"/>
    </row>
    <row r="2719">
      <c r="A2719">
        <f>Skills!A8</f>
        <v/>
      </c>
      <c r="B2719">
        <f>Skills!B8</f>
        <v/>
      </c>
      <c r="C2719">
        <f>Inputs!$B$3&gt;=130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Skills!G8*IF(Skills!H8&gt;0,INT(IF(Inputs!$B$38="pvp",MIN(Skills!I8,15),Skills!I8)/Skills!H8+0.000000001),1)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2737=TRUE)*(F2737-Calc!F26)),(Inputs!$B$23+((C2742=TRUE)*(F2742-Calc!F31))+(IF(ArtifactsInput!$M$15,CHOOSE(ArtifactsInput!$N$15+1,25,30,35,40,45,50)/100*(Inputs!$B$11-Inputs!$B$11),0))))/100+(Inputs!$B$23+((C2742=TRUE)*(F2742-Calc!F31))+(IF(ArtifactsInput!$M$15,CHOOSE(ArtifactsInput!$N$15+1,25,30,35,40,45,50)/100*(Inputs!$B$11-Inputs!$B$11),0)))/100)/2</f>
        <v/>
      </c>
      <c r="M2719">
        <f>L2719*(1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IF(B2756=0,0,O2719/B2756)</f>
        <v/>
      </c>
      <c r="Q2719">
        <f>IFERROR(1/(IF(Inputs!$B$38="pvp",15,MAX(0.1,1-0.4*MIN(1,(B2748-1)/1.5)-IF(FALSE=TRUE,Inputs!$B$32,0)))*(1-IF(AND(ArtifactsInput!$M$27,Inputs!$B$4="Chapter Hunt"),CHOOSE(ArtifactsInput!$N$27+1,20,24,28,32,36,40),0)/100)),0)</f>
        <v/>
      </c>
      <c r="R2719">
        <f>IF(AND(Inputs!$B$38&lt;&gt;"pvp",Inputs!$B$43&gt;0),IF(MAX(0,Inputs!$B$43-B2753)&lt;=0,0,(INT(MAX(0,Inputs!$B$43-B2753)/(IF(Inputs!$B$38="pvp",15,MAX(0.1,1-0.4*MIN(1,(B2748-1)/1.5)-IF(FALSE=TRUE,Inputs!$B$32,0)))*(1-IF(AND(ArtifactsInput!$M$27,Inputs!$B$4="Chapter Hunt"),CHOOSE(ArtifactsInput!$N$27+1,20,24,28,32,36,40),0)/100)))+1)),0)</f>
        <v/>
      </c>
      <c r="S2719">
        <f>IFERROR(O2719/N2719,0)</f>
        <v/>
      </c>
      <c r="T2719">
        <f>IF(C2719,(H2719*N2719*IF(AND(Inputs!$B$38&lt;&gt;"pvp",Inputs!$B$43&gt;0),((Skills!G8*((R2719-1)*IF(Skills!H8&gt;0,INT(Skills!I8/Skills!H8+0.000000001),1)+IF(Skills!H8&gt;0,INT(MIN(Skills!I8,MAX(0,MAX(0,Inputs!$B$43-B2753)-((R2719-1)*(IF(Inputs!$B$38="pvp",15,MAX(0.1,1-0.4*MIN(1,(B2748-1)/1.5)-IF(FALSE=TRUE,Inputs!$B$32,0)))*(1-IF(AND(ArtifactsInput!$M$27,Inputs!$B$4="Chapter Hunt"),CHOOSE(ArtifactsInput!$N$27+1,20,24,28,32,36,40),0)/100)))))/Skills!H8+0.000000001),1)))/Inputs!$B$43),G2719*Q2719)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INT(Skills!I8/Skills!H8+0.000000001),1)+IF(Skills!H8&gt;0,INT(MIN(Skills!I8,MAX(0,MAX(0,Inputs!$B$43-B2753)-((R2719-1)*(IF(Inputs!$B$38="pvp",15,MAX(0.1,1-0.4*MIN(1,(B2748-1)/1.5)-IF(FALSE=TRUE,Inputs!$B$32,0)))*(1-IF(AND(ArtifactsInput!$M$27,Inputs!$B$4="Chapter Hunt"),CHOOSE(ArtifactsInput!$N$27+1,20,24,28,32,36,40),0)/100)))))/Skills!H8+0.000000001),1)))/Inputs!$B$43),G2719*Q2719))*IF(Inputs!$B$38="pvp",1,(1+(Inputs!$B$21+Skills!Q8+(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Inputs!$B$3&gt;=69</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Skills!G9*IF(Skills!H9&gt;0,INT(IF(Inputs!$B$38="pvp",MIN(Skills!I9,15),Skills!I9)/Skills!H9+0.000000001),1)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2723=TRUE,F2723,0)/100)*(1+(IF(Skills!A9="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2737=TRUE)*(F2737-Calc!F26)),(Inputs!$B$23+((C2742=TRUE)*(F2742-Calc!F31))+(IF(ArtifactsInput!$M$15,CHOOSE(ArtifactsInput!$N$15+1,25,30,35,40,45,50)/100*(Inputs!$B$11-Inputs!$B$11),0))))/100+(Inputs!$B$23+((C2742=TRUE)*(F2742-Calc!F31))+(IF(ArtifactsInput!$M$15,CHOOSE(ArtifactsInput!$N$15+1,25,30,35,40,45,50)/100*(Inputs!$B$11-Inputs!$B$11),0)))/100)/2</f>
        <v/>
      </c>
      <c r="M2720">
        <f>L2720*(1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IF(B2756=0,0,O2720/B2756)</f>
        <v/>
      </c>
      <c r="Q2720">
        <f>IFERROR(1/(IF(Inputs!$B$38="pvp",15,MAX(0.1,Skills!D9-IF(TRUE=TRUE,Inputs!$B$32,0)))*(1-IF(AND(ArtifactsInput!$M$27,Inputs!$B$4="Chapter Hunt"),CHOOSE(ArtifactsInput!$N$27+1,20,24,28,32,36,40),0)/100)),0)</f>
        <v/>
      </c>
      <c r="R2720">
        <f>IF(AND(Inputs!$B$38&lt;&gt;"pvp",Inputs!$B$43&gt;0),IF(MAX(0,Inputs!$B$43-B2753)&lt;=0,0,(INT(MAX(0,Inputs!$B$43-B2753)/(IF(Inputs!$B$38="pvp",15,MAX(0.1,Skills!D9-IF(TRUE=TRUE,Inputs!$B$32,0)))*(1-IF(AND(ArtifactsInput!$M$27,Inputs!$B$4="Chapter Hunt"),CHOOSE(ArtifactsInput!$N$27+1,20,24,28,32,36,40),0)/100)))+1)),0)</f>
        <v/>
      </c>
      <c r="S2720">
        <f>IFERROR(O2720/N2720,0)</f>
        <v/>
      </c>
      <c r="T2720">
        <f>IF(C2720,(H2720*N2720*IF(AND(Inputs!$B$38&lt;&gt;"pvp",Inputs!$B$43&gt;0),((Skills!G9*((R2720-1)*IF(Skills!H9&gt;0,INT(Skills!I9/Skills!H9+0.000000001),1)+IF(Skills!H9&gt;0,INT(MIN(Skills!I9,MAX(0,MAX(0,Inputs!$B$43-B2753)-((R2720-1)*(IF(Inputs!$B$38="pvp",15,MAX(0.1,Skills!D9-IF(TRUE=TRUE,Inputs!$B$32,0)))*(1-IF(AND(ArtifactsInput!$M$27,Inputs!$B$4="Chapter Hunt"),CHOOSE(ArtifactsInput!$N$27+1,20,24,28,32,36,40),0)/100)))))/Skills!H9+0.000000001),1)))/Inputs!$B$43),G2720*Q2720)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INT(Skills!I9/Skills!H9+0.000000001),1)+IF(Skills!H9&gt;0,INT(MIN(Skills!I9,MAX(0,MAX(0,Inputs!$B$43-B2753)-((R2720-1)*(IF(Inputs!$B$38="pvp",15,MAX(0.1,Skills!D9-IF(TRUE=TRUE,Inputs!$B$32,0)))*(1-IF(AND(ArtifactsInput!$M$27,Inputs!$B$4="Chapter Hunt"),CHOOSE(ArtifactsInput!$N$27+1,20,24,28,32,36,40),0)/100)))))/Skills!H9+0.000000001),1)))/Inputs!$B$43),G2720*Q2720))*IF(Inputs!$B$38="pvp",1,(1+(Inputs!$B$21+Skills!Q9+(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Inputs!$B$3&gt;=63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Skills!G10*IF(Skills!H10&gt;0,INT(IF(Inputs!$B$38="pvp",MIN(Skills!I10,15),Skills!I10)/Skills!H10+0.000000001),1)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2723=TRUE,F2723,0)/100)*(1+(IF(Skills!A10="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2737=TRUE)*(F2737-Calc!F26)),(Inputs!$B$23+((C2742=TRUE)*(F2742-Calc!F31))+(IF(ArtifactsInput!$M$15,CHOOSE(ArtifactsInput!$N$15+1,25,30,35,40,45,50)/100*(Inputs!$B$11-Inputs!$B$11),0))))/100+(Inputs!$B$23+((C2742=TRUE)*(F2742-Calc!F31))+(IF(ArtifactsInput!$M$15,CHOOSE(ArtifactsInput!$N$15+1,25,30,35,40,45,50)/100*(Inputs!$B$11-Inputs!$B$11),0)))/100)/2</f>
        <v/>
      </c>
      <c r="M2721">
        <f>L2721*(1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IF(B2756=0,0,O2721/B2756)</f>
        <v/>
      </c>
      <c r="Q2721">
        <f>IFERROR(1/(IF(Inputs!$B$38="pvp",15,MAX(0.1,Skills!D10-IF(TRUE=TRUE,Inputs!$B$32,0)))*(1-IF(AND(ArtifactsInput!$M$27,Inputs!$B$4="Chapter Hunt"),CHOOSE(ArtifactsInput!$N$27+1,20,24,28,32,36,40),0)/100)),0)</f>
        <v/>
      </c>
      <c r="R2721">
        <f>IF(AND(Inputs!$B$38&lt;&gt;"pvp",Inputs!$B$43&gt;0),IF(MAX(0,Inputs!$B$43-B2753)&lt;=0,0,(INT(MAX(0,Inputs!$B$43-B2753)/(IF(Inputs!$B$38="pvp",15,MAX(0.1,Skills!D10-IF(TRUE=TRUE,Inputs!$B$32,0)))*(1-IF(AND(ArtifactsInput!$M$27,Inputs!$B$4="Chapter Hunt"),CHOOSE(ArtifactsInput!$N$27+1,20,24,28,32,36,40),0)/100)))+1)),0)</f>
        <v/>
      </c>
      <c r="S2721">
        <f>IFERROR(O2721/N2721,0)</f>
        <v/>
      </c>
      <c r="T2721">
        <f>IF(C2721,(H2721*N2721*IF(AND(Inputs!$B$38&lt;&gt;"pvp",Inputs!$B$43&gt;0),((Skills!G10*((R2721-1)*IF(Skills!H10&gt;0,INT(Skills!I10/Skills!H10+0.000000001),1)+IF(Skills!H10&gt;0,INT(MIN(Skills!I10,MAX(0,MAX(0,Inputs!$B$43-B2753)-((R2721-1)*(IF(Inputs!$B$38="pvp",15,MAX(0.1,Skills!D10-IF(TRUE=TRUE,Inputs!$B$32,0)))*(1-IF(AND(ArtifactsInput!$M$27,Inputs!$B$4="Chapter Hunt"),CHOOSE(ArtifactsInput!$N$27+1,20,24,28,32,36,40),0)/100)))))/Skills!H10+0.000000001),1)))/Inputs!$B$43),G2721*Q2721)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INT(Skills!I10/Skills!H10+0.000000001),1)+IF(Skills!H10&gt;0,INT(MIN(Skills!I10,MAX(0,MAX(0,Inputs!$B$43-B2753)-((R2721-1)*(IF(Inputs!$B$38="pvp",15,MAX(0.1,Skills!D10-IF(TRUE=TRUE,Inputs!$B$32,0)))*(1-IF(AND(ArtifactsInput!$M$27,Inputs!$B$4="Chapter Hunt"),CHOOSE(ArtifactsInput!$N$27+1,20,24,28,32,36,40),0)/100)))))/Skills!H10+0.000000001),1)))/Inputs!$B$43),G2721*Q2721))*IF(Inputs!$B$38="pvp",1,(1+(Inputs!$B$21+Skills!Q10+(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Inputs!$B$3&gt;=103</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Skills!G11*IF(Skills!H11&gt;0,INT(IF(Inputs!$B$38="pvp",MIN(Skills!I11,15),Skills!I11)/Skills!H11+0.000000001),1)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2737=TRUE)*(F2737-Calc!F26)),(Inputs!$B$23+((C2742=TRUE)*(F2742-Calc!F31))+(IF(ArtifactsInput!$M$15,CHOOSE(ArtifactsInput!$N$15+1,25,30,35,40,45,50)/100*(Inputs!$B$11-Inputs!$B$11),0))))/100+(Inputs!$B$23+((C2742=TRUE)*(F2742-Calc!F31))+(IF(ArtifactsInput!$M$15,CHOOSE(ArtifactsInput!$N$15+1,25,30,35,40,45,50)/100*(Inputs!$B$11-Inputs!$B$11),0)))/100)/2</f>
        <v/>
      </c>
      <c r="M2722">
        <f>L2722*(1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IF(B2756=0,0,O2722/B2756)</f>
        <v/>
      </c>
      <c r="Q2722">
        <f>IFERROR(1/(IF(Inputs!$B$38="pvp",15,MAX(0.1,Skills!D11-IF(TRUE=TRUE,Inputs!$B$32,0)))*(1-IF(AND(ArtifactsInput!$M$27,Inputs!$B$4="Chapter Hunt"),CHOOSE(ArtifactsInput!$N$27+1,20,24,28,32,36,40),0)/100)),0)</f>
        <v/>
      </c>
      <c r="R2722">
        <f>IF(AND(Inputs!$B$38&lt;&gt;"pvp",Inputs!$B$43&gt;0),IF(MAX(0,Inputs!$B$43-B2753)&lt;=0,0,(INT(MAX(0,Inputs!$B$43-B2753)/(IF(Inputs!$B$38="pvp",15,MAX(0.1,Skills!D11-IF(TRUE=TRUE,Inputs!$B$32,0)))*(1-IF(AND(ArtifactsInput!$M$27,Inputs!$B$4="Chapter Hunt"),CHOOSE(ArtifactsInput!$N$27+1,20,24,28,32,36,40),0)/100)))+1)),0)</f>
        <v/>
      </c>
      <c r="S2722">
        <f>IFERROR(O2722/N2722,0)</f>
        <v/>
      </c>
      <c r="T2722">
        <f>IF(C2722,(H2722*N2722*IF(AND(Inputs!$B$38&lt;&gt;"pvp",Inputs!$B$43&gt;0),((Skills!G11*((R2722-1)*IF(Skills!H11&gt;0,INT(Skills!I11/Skills!H11+0.000000001),1)+IF(Skills!H11&gt;0,INT(MIN(Skills!I11,MAX(0,MAX(0,Inputs!$B$43-B2753)-((R2722-1)*(IF(Inputs!$B$38="pvp",15,MAX(0.1,Skills!D11-IF(TRUE=TRUE,Inputs!$B$32,0)))*(1-IF(AND(ArtifactsInput!$M$27,Inputs!$B$4="Chapter Hunt"),CHOOSE(ArtifactsInput!$N$27+1,20,24,28,32,36,40),0)/100)))))/Skills!H11+0.000000001),1)))/Inputs!$B$43),G2722*Q2722)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INT(Skills!I11/Skills!H11+0.000000001),1)+IF(Skills!H11&gt;0,INT(MIN(Skills!I11,MAX(0,MAX(0,Inputs!$B$43-B2753)-((R2722-1)*(IF(Inputs!$B$38="pvp",15,MAX(0.1,Skills!D11-IF(TRUE=TRUE,Inputs!$B$32,0)))*(1-IF(AND(ArtifactsInput!$M$27,Inputs!$B$4="Chapter Hunt"),CHOOSE(ArtifactsInput!$N$27+1,20,24,28,32,36,40),0)/100)))))/Skills!H11+0.000000001),1)))/Inputs!$B$43),G2722*Q2722))*IF(Inputs!$B$38="pvp",1,(1+(Inputs!$B$21+Skills!Q11+(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Inputs!$B$3&gt;=100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T2723" t="inlineStr"/>
      <c r="V2723" t="inlineStr"/>
    </row>
    <row r="2724">
      <c r="A2724">
        <f>Skills!A13</f>
        <v/>
      </c>
      <c r="B2724">
        <f>Skills!B13</f>
        <v/>
      </c>
      <c r="C2724">
        <f>Inputs!$B$3&gt;=60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Skills!G13*IF(Skills!H13&gt;0,INT(IF(Inputs!$B$38="pvp",MIN(Skills!I13,15),Skills!I13)/Skills!H13+0.000000001),1)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2725=TRUE,F2725,0)/100)*(1+(IF(Skills!A13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2737=TRUE)*(F2737-Calc!F26)),(Inputs!$B$23+((C2742=TRUE)*(F2742-Calc!F31))+(IF(ArtifactsInput!$M$15,CHOOSE(ArtifactsInput!$N$15+1,25,30,35,40,45,50)/100*(Inputs!$B$11-Inputs!$B$11),0))))/100+(Inputs!$B$23+((C2742=TRUE)*(F2742-Calc!F31))+(IF(ArtifactsInput!$M$15,CHOOSE(ArtifactsInput!$N$15+1,25,30,35,40,45,50)/100*(Inputs!$B$11-Inputs!$B$11),0)))/100)/2</f>
        <v/>
      </c>
      <c r="M2724">
        <f>L2724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IF(B2756=0,0,O2724/B2756)</f>
        <v/>
      </c>
      <c r="Q2724">
        <f>IFERROR(1/(IF(Inputs!$B$38="pvp",15,MAX(0.1,IF(Inputs!$B$3&gt;=122,3,5)+1/(((20+30*(B2748-1)*100/150)/100)*B2748)-IF(FALSE=TRUE,Inputs!$B$32,0)))*(1-IF(AND(ArtifactsInput!$M$27,Inputs!$B$4="Chapter Hunt"),CHOOSE(ArtifactsInput!$N$27+1,20,24,28,32,36,40),0)/100)),0)</f>
        <v/>
      </c>
      <c r="R2724">
        <f>IF(AND(Inputs!$B$38&lt;&gt;"pvp",Inputs!$B$43&gt;0),IF(MAX(0,Inputs!$B$43-B2753)&lt;=0,0,(INT(MAX(0,Inputs!$B$43-B2753)/(IF(Inputs!$B$38="pvp",15,MAX(0.1,IF(Inputs!$B$3&gt;=122,3,5)+1/(((20+30*(B2748-1)*100/150)/100)*B2748)-IF(FALSE=TRUE,Inputs!$B$32,0)))*(1-IF(AND(ArtifactsInput!$M$27,Inputs!$B$4="Chapter Hunt"),CHOOSE(ArtifactsInput!$N$27+1,20,24,28,32,36,40),0)/100)))+1)),0)</f>
        <v/>
      </c>
      <c r="S2724">
        <f>IFERROR(O2724/N2724,0)</f>
        <v/>
      </c>
      <c r="T2724">
        <f>IF(C2724,(H2724*N2724*IF(AND(Inputs!$B$38&lt;&gt;"pvp",Inputs!$B$43&gt;0),((Skills!G13*((R2724-1)*IF(Skills!H13&gt;0,INT(Skills!I13/Skills!H13+0.000000001),1)+IF(Skills!H13&gt;0,INT(MIN(Skills!I13,MAX(0,MAX(0,Inputs!$B$43-B2753)-((R2724-1)*(IF(Inputs!$B$38="pvp",15,MAX(0.1,IF(Inputs!$B$3&gt;=122,3,5)+1/(((20+30*(B2748-1)*100/150)/100)*B2748)-IF(FALSE=TRUE,Inputs!$B$32,0)))*(1-IF(AND(ArtifactsInput!$M$27,Inputs!$B$4="Chapter Hunt"),CHOOSE(ArtifactsInput!$N$27+1,20,24,28,32,36,40),0)/100)))))/Skills!H13+0.000000001),1)))/Inputs!$B$43),G2724*Q2724)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INT(Skills!I13/Skills!H13+0.000000001),1)+IF(Skills!H13&gt;0,INT(MIN(Skills!I13,MAX(0,MAX(0,Inputs!$B$43-B2753)-((R2724-1)*(IF(Inputs!$B$38="pvp",15,MAX(0.1,IF(Inputs!$B$3&gt;=122,3,5)+1/(((20+30*(B2748-1)*100/150)/100)*B2748)-IF(FALSE=TRUE,Inputs!$B$32,0)))*(1-IF(AND(ArtifactsInput!$M$27,Inputs!$B$4="Chapter Hunt"),CHOOSE(ArtifactsInput!$N$27+1,20,24,28,32,36,40),0)/100)))))/Skills!H13+0.000000001),1)))/Inputs!$B$43),G2724*Q2724))*IF(Inputs!$B$38="pvp",1,(1+(Inputs!$B$21+Skills!Q13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Inputs!$B$3&gt;=110</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t="inlineStr"/>
      <c r="H2725" t="inlineStr"/>
      <c r="I2725" t="inlineStr">
        <is>
          <t>1</t>
        </is>
      </c>
      <c r="J2725" t="inlineStr"/>
      <c r="K2725" t="inlineStr"/>
      <c r="L2725" t="inlineStr"/>
      <c r="M2725" t="inlineStr"/>
      <c r="N2725" t="inlineStr"/>
      <c r="O2725" t="inlineStr"/>
      <c r="P2725" t="inlineStr"/>
      <c r="Q2725" t="inlineStr"/>
      <c r="R2725" t="inlineStr"/>
      <c r="S2725" t="inlineStr"/>
      <c r="T2725" t="inlineStr"/>
      <c r="V2725" t="inlineStr"/>
    </row>
    <row r="2726">
      <c r="A2726">
        <f>Skills!A15</f>
        <v/>
      </c>
      <c r="B2726">
        <f>Skills!B15</f>
        <v/>
      </c>
      <c r="C2726">
        <f>Inputs!$B$3&gt;=74</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f>Skills!G15*IF(Skills!H15&gt;0,INT(IF(Inputs!$B$38="pvp",MIN(Skills!I15,15),Skills!I15)/Skills!H15+0.000000001),1)</f>
        <v/>
      </c>
      <c r="H2726">
        <f>1-(1-Skills!J15/100)^Skills!K15</f>
        <v/>
      </c>
      <c r="I2726" t="inlineStr">
        <is>
          <t>1</t>
        </is>
      </c>
      <c r="J2726" t="inlineStr"/>
      <c r="K2726" t="inlineStr"/>
      <c r="L2726" t="inlineStr"/>
      <c r="M2726" t="inlineStr"/>
      <c r="N2726" t="inlineStr"/>
      <c r="O2726">
        <f>(1-Summary!$B$11)*T2726+Summary!$B$11*V2726</f>
        <v/>
      </c>
      <c r="P2726">
        <f>IF(B2756=0,0,O2726/B2756)</f>
        <v/>
      </c>
      <c r="Q2726" t="n">
        <v>0</v>
      </c>
      <c r="R2726" t="n">
        <v>0</v>
      </c>
      <c r="S2726">
        <f>IFERROR(O2726/N2726,0)</f>
        <v/>
      </c>
      <c r="T2726" t="n">
        <v>0</v>
      </c>
      <c r="V2726" t="n">
        <v>0</v>
      </c>
    </row>
    <row r="2727">
      <c r="A2727">
        <f>Skills!A16</f>
        <v/>
      </c>
      <c r="B2727">
        <f>Skills!B16</f>
        <v/>
      </c>
      <c r="C2727">
        <f>Inputs!$B$3&gt;=74</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f>Skills!G16*IF(Skills!H16&gt;0,INT(IF(Inputs!$B$38="pvp",MIN(Skills!I16,15),Skills!I16)/Skills!H16+0.000000001),1)</f>
        <v/>
      </c>
      <c r="H2727">
        <f>1-(1-Skills!J16/100)^Skills!K16</f>
        <v/>
      </c>
      <c r="I2727" t="inlineStr">
        <is>
          <t>1</t>
        </is>
      </c>
      <c r="J2727" t="inlineStr"/>
      <c r="K2727" t="inlineStr"/>
      <c r="L2727" t="inlineStr"/>
      <c r="M2727" t="inlineStr"/>
      <c r="N2727" t="inlineStr"/>
      <c r="O2727">
        <f>(1-Summary!$B$11)*T2727+Summary!$B$11*V2727</f>
        <v/>
      </c>
      <c r="P2727">
        <f>IF(B2756=0,0,O2727/B2756)</f>
        <v/>
      </c>
      <c r="Q2727" t="n">
        <v>0</v>
      </c>
      <c r="R2727" t="n">
        <v>0</v>
      </c>
      <c r="S2727">
        <f>IFERROR(O2727/N2727,0)</f>
        <v/>
      </c>
      <c r="T2727" t="n">
        <v>0</v>
      </c>
      <c r="V2727" t="n">
        <v>0</v>
      </c>
    </row>
    <row r="2728">
      <c r="A2728">
        <f>Skills!A17</f>
        <v/>
      </c>
      <c r="B2728">
        <f>Skills!B17</f>
        <v/>
      </c>
      <c r="C2728">
        <f>Inputs!$B$3&gt;=117</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Skills!G17*IF(Skills!H17&gt;0,INT(IF(Inputs!$B$38="pvp",MIN(Skills!I17,15),Skills!I17)/Skills!H17+0.000000001),1)</f>
        <v/>
      </c>
      <c r="H2728">
        <f>1-(1-Skills!J17/100)^Skills!K17</f>
        <v/>
      </c>
      <c r="I2728" t="inlineStr">
        <is>
          <t>1</t>
        </is>
      </c>
      <c r="J2728" t="inlineStr"/>
      <c r="K2728" t="inlineStr"/>
      <c r="L2728" t="inlineStr"/>
      <c r="M2728" t="inlineStr"/>
      <c r="N2728" t="inlineStr"/>
      <c r="O2728">
        <f>(1-Summary!$B$11)*T2728+Summary!$B$11*V2728</f>
        <v/>
      </c>
      <c r="P2728">
        <f>IF(B2756=0,0,O2728/B2756)</f>
        <v/>
      </c>
      <c r="Q2728">
        <f>IFERROR(1/(IF(Inputs!$B$38="pvp",15,MAX(0.1,Skills!D17-IF(TRUE=TRUE,Inputs!$B$32,0)))*(1-IF(AND(ArtifactsInput!$M$27,Inputs!$B$4="Chapter Hunt"),CHOOSE(ArtifactsInput!$N$27+1,20,24,28,32,36,40),0)/100)),0)</f>
        <v/>
      </c>
      <c r="R2728">
        <f>IF(AND(Inputs!$B$38&lt;&gt;"pvp",Inputs!$B$43&gt;0),IF(Inputs!$B$43&lt;=0,0,(INT(Inputs!$B$43/(IF(Inputs!$B$38="pvp",15,MAX(0.1,Skills!D17-IF(TRUE=TRUE,Inputs!$B$32,0)))*(1-IF(AND(ArtifactsInput!$M$27,Inputs!$B$4="Chapter Hunt"),CHOOSE(ArtifactsInput!$N$27+1,20,24,28,32,36,40),0)/100)))+1)),0)</f>
        <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Skills!G18*IF(Skills!H18&gt;0,INT(IF(Inputs!$B$38="pvp",MIN(Skills!I18,15),Skills!I18)/Skills!H18+0.000000001),1)</f>
        <v/>
      </c>
      <c r="H2729">
        <f>1-(1-Skills!J18/100)^Skills!K18</f>
        <v/>
      </c>
      <c r="I2729" t="inlineStr">
        <is>
          <t>1</t>
        </is>
      </c>
      <c r="J2729" t="inlineStr"/>
      <c r="K2729" t="inlineStr"/>
      <c r="L2729" t="inlineStr"/>
      <c r="M2729" t="inlineStr"/>
      <c r="N2729" t="inlineStr"/>
      <c r="O2729">
        <f>(1-Summary!$B$11)*T2729+Summary!$B$11*V2729</f>
        <v/>
      </c>
      <c r="P2729">
        <f>IF(B2756=0,0,O2729/B2756)</f>
        <v/>
      </c>
      <c r="Q2729">
        <f>IFERROR(1/(IF(Inputs!$B$38="pvp",15,MAX(0.1,Skills!D18-IF(TRUE=TRUE,Inputs!$B$32,0)))*(1-IF(AND(ArtifactsInput!$M$27,Inputs!$B$4="Chapter Hunt"),CHOOSE(ArtifactsInput!$N$27+1,20,24,28,32,36,40),0)/100)),0)</f>
        <v/>
      </c>
      <c r="R2729">
        <f>IF(AND(Inputs!$B$38&lt;&gt;"pvp",Inputs!$B$43&gt;0),IF(Inputs!$B$43&lt;=0,0,(INT(Inputs!$B$43/(IF(Inputs!$B$38="pvp",15,MAX(0.1,Skills!D18-IF(TRUE=TRUE,Inputs!$B$32,0)))*(1-IF(AND(ArtifactsInput!$M$27,Inputs!$B$4="Chapter Hunt"),CHOOSE(ArtifactsInput!$N$27+1,20,24,28,32,36,40),0)/100)))+1)),0)</f>
        <v/>
      </c>
      <c r="S2729">
        <f>IFERROR(O2729/N2729,0)</f>
        <v/>
      </c>
      <c r="T2729" t="n">
        <v>0</v>
      </c>
      <c r="V2729" t="n">
        <v>0</v>
      </c>
    </row>
    <row r="2730">
      <c r="A2730">
        <f>Skills!A19</f>
        <v/>
      </c>
      <c r="B2730">
        <f>Skills!B19</f>
        <v/>
      </c>
      <c r="C2730">
        <f>Inputs!$B$3&gt;=66</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Skills!G19*IF(Skills!H19&gt;0,INT(IF(Inputs!$B$38="pvp",MIN(Skills!I19,15),Skills!I19)/Skills!H19+0.000000001),1)</f>
        <v/>
      </c>
      <c r="H2730">
        <f>1-(1-Skills!J19/100)^Skills!K19</f>
        <v/>
      </c>
      <c r="I2730" t="inlineStr">
        <is>
          <t>1</t>
        </is>
      </c>
      <c r="J2730" t="inlineStr"/>
      <c r="K2730" t="inlineStr"/>
      <c r="L2730" t="inlineStr"/>
      <c r="M2730" t="inlineStr"/>
      <c r="N2730" t="inlineStr"/>
      <c r="O2730">
        <f>(1-Summary!$B$11)*T2730+Summary!$B$11*V2730</f>
        <v/>
      </c>
      <c r="P2730">
        <f>IF(B2756=0,0,O2730/B2756)</f>
        <v/>
      </c>
      <c r="Q2730" t="n">
        <v>0</v>
      </c>
      <c r="R2730" t="n">
        <v>0</v>
      </c>
      <c r="S2730">
        <f>IFERROR(O2730/N2730,0)</f>
        <v/>
      </c>
      <c r="T2730" t="n">
        <v>0</v>
      </c>
      <c r="V2730" t="n">
        <v>0</v>
      </c>
    </row>
    <row r="2731">
      <c r="A2731">
        <f>Skills!A20</f>
        <v/>
      </c>
      <c r="B2731">
        <f>Skills!B20</f>
        <v/>
      </c>
      <c r="C2731">
        <f>Inputs!$B$3&gt;=72</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Skills!G20*IF(Skills!H20&gt;0,INT(IF(Inputs!$B$38="pvp",MIN(Skills!I20,15),Skills!I20)/Skills!H20+0.000000001),1)</f>
        <v/>
      </c>
      <c r="H2731">
        <f>1-(1-Skills!J20/100)^Skills!K20</f>
        <v/>
      </c>
      <c r="I2731" t="inlineStr">
        <is>
          <t>1</t>
        </is>
      </c>
      <c r="J2731" t="inlineStr"/>
      <c r="K2731" t="inlineStr"/>
      <c r="L2731" t="inlineStr"/>
      <c r="M2731" t="inlineStr"/>
      <c r="N2731" t="inlineStr"/>
      <c r="O2731">
        <f>(1-Summary!$B$11)*T2731+Summary!$B$11*V2731</f>
        <v/>
      </c>
      <c r="P2731">
        <f>IF(B2756=0,0,O2731/B2756)</f>
        <v/>
      </c>
      <c r="Q2731" t="n">
        <v>0</v>
      </c>
      <c r="R2731" t="n">
        <v>0</v>
      </c>
      <c r="S2731">
        <f>IFERROR(O2731/N2731,0)</f>
        <v/>
      </c>
      <c r="T2731" t="n">
        <v>0</v>
      </c>
      <c r="V2731" t="n">
        <v>0</v>
      </c>
    </row>
    <row r="2732">
      <c r="A2732">
        <f>Skills!A21</f>
        <v/>
      </c>
      <c r="B2732">
        <f>Skills!B21</f>
        <v/>
      </c>
      <c r="C2732">
        <f>TRUE</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Skills!G21*IF(Skills!H21&gt;0,INT(IF(Inputs!$B$38="pvp",MIN(Skills!I21,15),Skills!I21)/Skills!H21+0.000000001),1)</f>
        <v/>
      </c>
      <c r="H2732">
        <f>1-(1-Skills!J21/100)^Skills!K21</f>
        <v/>
      </c>
      <c r="I2732" t="inlineStr">
        <is>
          <t>1</t>
        </is>
      </c>
      <c r="J2732" t="inlineStr"/>
      <c r="K2732" t="inlineStr"/>
      <c r="L2732" t="inlineStr"/>
      <c r="M2732" t="inlineStr"/>
      <c r="N2732" t="inlineStr"/>
      <c r="O2732">
        <f>(1-Summary!$B$11)*T2732+Summary!$B$11*V2732</f>
        <v/>
      </c>
      <c r="P2732">
        <f>IF(B2756=0,0,O2732/B2756)</f>
        <v/>
      </c>
      <c r="Q2732">
        <f>IFERROR(1/(IF(Inputs!$B$38="pvp",15,MAX(0.1,Skills!D21-IF(TRUE=TRUE,Inputs!$B$32,0)))*(1-IF(AND(ArtifactsInput!$M$27,Inputs!$B$4="Chapter Hunt"),CHOOSE(ArtifactsInput!$N$27+1,20,24,28,32,36,40),0)/100)),0)</f>
        <v/>
      </c>
      <c r="R2732">
        <f>IF(AND(Inputs!$B$38&lt;&gt;"pvp",Inputs!$B$43&gt;0),IF(Inputs!$B$43&lt;=0,0,(INT(Inputs!$B$43/(IF(Inputs!$B$38="pvp",15,MAX(0.1,Skills!D21-IF(TRUE=TRUE,Inputs!$B$32,0)))*(1-IF(AND(ArtifactsInput!$M$27,Inputs!$B$4="Chapter Hunt"),CHOOSE(ArtifactsInput!$N$27+1,20,24,28,32,36,40),0)/100)))+1)),0)</f>
        <v/>
      </c>
      <c r="S2732">
        <f>IFERROR(O2732/N2732,0)</f>
        <v/>
      </c>
      <c r="T2732" t="n">
        <v>0</v>
      </c>
      <c r="V2732" t="n">
        <v>0</v>
      </c>
    </row>
    <row r="2733">
      <c r="A2733">
        <f>Skills!A22</f>
        <v/>
      </c>
      <c r="B2733">
        <f>Skills!B22</f>
        <v/>
      </c>
      <c r="C2733">
        <f>Inputs!$B$3&gt;=15</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Skills!G22*IF(Skills!H22&gt;0,INT(IF(Inputs!$B$38="pvp",MIN(Skills!I22,15),Skills!I22)/Skills!H22+0.000000001),1)</f>
        <v/>
      </c>
      <c r="H2733">
        <f>1-(1-Skills!J22/100)^Skills!K22</f>
        <v/>
      </c>
      <c r="I2733" t="inlineStr">
        <is>
          <t>1</t>
        </is>
      </c>
      <c r="J2733" t="inlineStr"/>
      <c r="K2733" t="inlineStr"/>
      <c r="L2733" t="inlineStr"/>
      <c r="M2733" t="inlineStr"/>
      <c r="N2733" t="inlineStr"/>
      <c r="O2733">
        <f>(1-Summary!$B$11)*T2733+Summary!$B$11*V2733</f>
        <v/>
      </c>
      <c r="P2733">
        <f>IF(B2756=0,0,O2733/B2756)</f>
        <v/>
      </c>
      <c r="Q2733" t="n">
        <v>0</v>
      </c>
      <c r="R2733" t="n">
        <v>0</v>
      </c>
      <c r="S2733">
        <f>IFERROR(O2733/N2733,0)</f>
        <v/>
      </c>
      <c r="T2733" t="n">
        <v>0</v>
      </c>
      <c r="V2733" t="n">
        <v>0</v>
      </c>
    </row>
    <row r="2734">
      <c r="A2734">
        <f>Skills!A23</f>
        <v/>
      </c>
      <c r="B2734">
        <f>Skills!B23</f>
        <v/>
      </c>
      <c r="C2734">
        <f>Inputs!$B$3&gt;=10</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Skills!G23*IF(Skills!H23&gt;0,INT(IF(Inputs!$B$38="pvp",MIN(Skills!I23,15),Skills!I23)/Skills!H23+0.000000001),1)</f>
        <v/>
      </c>
      <c r="H2734">
        <f>1-(1-Skills!J23/100)^Skills!K23</f>
        <v/>
      </c>
      <c r="I2734" t="inlineStr">
        <is>
          <t>1</t>
        </is>
      </c>
      <c r="J2734" t="inlineStr"/>
      <c r="K2734" t="inlineStr"/>
      <c r="L2734" t="inlineStr"/>
      <c r="M2734" t="inlineStr"/>
      <c r="N2734" t="inlineStr"/>
      <c r="O2734">
        <f>(1-Summary!$B$11)*T2734+Summary!$B$11*V2734</f>
        <v/>
      </c>
      <c r="P2734">
        <f>IF(B2756=0,0,O2734/B2756)</f>
        <v/>
      </c>
      <c r="Q2734" t="n">
        <v>0</v>
      </c>
      <c r="R2734" t="n">
        <v>0</v>
      </c>
      <c r="S2734">
        <f>IFERROR(O2734/N2734,0)</f>
        <v/>
      </c>
      <c r="T2734" t="n">
        <v>0</v>
      </c>
      <c r="V2734" t="n">
        <v>0</v>
      </c>
    </row>
    <row r="2735">
      <c r="A2735">
        <f>Skills!A24</f>
        <v/>
      </c>
      <c r="B2735">
        <f>Skills!B24</f>
        <v/>
      </c>
      <c r="C2735">
        <f>Inputs!$B$3&gt;=33</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Skills!G24*IF(Skills!H24&gt;0,INT(IF(Inputs!$B$38="pvp",MIN(Skills!I24,15),Skills!I24)/Skills!H24+0.000000001),1)</f>
        <v/>
      </c>
      <c r="H2735">
        <f>1-(1-Skills!J24/100)^Skills!K24</f>
        <v/>
      </c>
      <c r="I2735" t="inlineStr">
        <is>
          <t>1</t>
        </is>
      </c>
      <c r="J2735" t="inlineStr"/>
      <c r="K2735" t="inlineStr"/>
      <c r="L2735" t="inlineStr"/>
      <c r="M2735" t="inlineStr"/>
      <c r="N2735" t="inlineStr"/>
      <c r="O2735">
        <f>(1-Summary!$B$11)*T2735+Summary!$B$11*V2735</f>
        <v/>
      </c>
      <c r="P2735">
        <f>IF(B2756=0,0,O2735/B2756)</f>
        <v/>
      </c>
      <c r="Q2735" t="n">
        <v>0</v>
      </c>
      <c r="R2735" t="n">
        <v>0</v>
      </c>
      <c r="S2735">
        <f>IFERROR(O2735/N2735,0)</f>
        <v/>
      </c>
      <c r="T2735" t="n">
        <v>0</v>
      </c>
      <c r="V2735" t="n">
        <v>0</v>
      </c>
    </row>
    <row r="2736">
      <c r="A2736">
        <f>Skills!A25</f>
        <v/>
      </c>
      <c r="B2736">
        <f>Skills!B25</f>
        <v/>
      </c>
      <c r="C2736">
        <f>Inputs!$B$3&gt;=38</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Skills!G25*IF(Skills!H25&gt;0,INT(IF(Inputs!$B$38="pvp",MIN(Skills!I25,15),Skills!I25)/Skills!H25+0.000000001),1)</f>
        <v/>
      </c>
      <c r="H2736">
        <f>1-(1-Skills!J25/100)^Skills!K25</f>
        <v/>
      </c>
      <c r="I2736" t="inlineStr">
        <is>
          <t>1</t>
        </is>
      </c>
      <c r="J2736" t="inlineStr"/>
      <c r="K2736" t="inlineStr"/>
      <c r="L2736" t="inlineStr"/>
      <c r="M2736" t="inlineStr"/>
      <c r="N2736" t="inlineStr"/>
      <c r="O2736">
        <f>(1-Summary!$B$11)*T2736+Summary!$B$11*V2736</f>
        <v/>
      </c>
      <c r="P2736">
        <f>IF(B2756=0,0,O2736/B2756)</f>
        <v/>
      </c>
      <c r="Q2736" t="n">
        <v>0</v>
      </c>
      <c r="R2736" t="n">
        <v>0</v>
      </c>
      <c r="S2736">
        <f>IFERROR(O2736/N2736,0)</f>
        <v/>
      </c>
      <c r="T2736" t="n">
        <v>0</v>
      </c>
      <c r="V2736" t="n">
        <v>0</v>
      </c>
    </row>
    <row r="2737">
      <c r="A2737">
        <f>Skills!A26</f>
        <v/>
      </c>
      <c r="B2737">
        <f>Skills!B26</f>
        <v/>
      </c>
      <c r="C2737">
        <f>Inputs!$B$3&gt;=43</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Skills!G26*IF(Skills!H26&gt;0,INT(IF(Inputs!$B$38="pvp",MIN(Skills!I26,15),Skills!I26)/Skills!H26+0.000000001),1)</f>
        <v/>
      </c>
      <c r="H2737">
        <f>1-(1-Skills!J26/100)^Skills!K26</f>
        <v/>
      </c>
      <c r="I2737" t="inlineStr">
        <is>
          <t>1</t>
        </is>
      </c>
      <c r="J2737" t="inlineStr"/>
      <c r="K2737" t="inlineStr"/>
      <c r="L2737" t="inlineStr"/>
      <c r="M2737" t="inlineStr"/>
      <c r="N2737" t="inlineStr"/>
      <c r="O2737">
        <f>(1-Summary!$B$11)*T2737+Summary!$B$11*V2737</f>
        <v/>
      </c>
      <c r="P2737">
        <f>IF(B2756=0,0,O2737/B2756)</f>
        <v/>
      </c>
      <c r="Q2737" t="n">
        <v>0</v>
      </c>
      <c r="R2737" t="n">
        <v>0</v>
      </c>
      <c r="S2737">
        <f>IFERROR(O2737/N2737,0)</f>
        <v/>
      </c>
      <c r="T2737" t="n">
        <v>0</v>
      </c>
      <c r="V2737" t="n">
        <v>0</v>
      </c>
    </row>
    <row r="2738">
      <c r="A2738">
        <f>Skills!A27</f>
        <v/>
      </c>
      <c r="B2738">
        <f>Skills!B27</f>
        <v/>
      </c>
      <c r="C2738">
        <f>Inputs!$B$3&gt;=75</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Skills!G27*IF(Skills!H27&gt;0,INT(IF(Inputs!$B$38="pvp",MIN(Skills!I27,15),Skills!I27)/Skills!H27+0.000000001),1)</f>
        <v/>
      </c>
      <c r="H2738">
        <f>1-(1-Skills!J27/100)^Skills!K27</f>
        <v/>
      </c>
      <c r="I2738" t="inlineStr">
        <is>
          <t>1</t>
        </is>
      </c>
      <c r="J2738" t="inlineStr"/>
      <c r="K2738" t="inlineStr"/>
      <c r="L2738" t="inlineStr"/>
      <c r="M2738" t="inlineStr"/>
      <c r="N2738" t="inlineStr"/>
      <c r="O2738">
        <f>(1-Summary!$B$11)*T2738+Summary!$B$11*V2738</f>
        <v/>
      </c>
      <c r="P2738">
        <f>IF(B2756=0,0,O2738/B2756)</f>
        <v/>
      </c>
      <c r="Q2738" t="n">
        <v>0</v>
      </c>
      <c r="R2738" t="n">
        <v>0</v>
      </c>
      <c r="S2738">
        <f>IFERROR(O2738/N2738,0)</f>
        <v/>
      </c>
      <c r="T2738" t="n">
        <v>0</v>
      </c>
      <c r="V2738" t="n">
        <v>0</v>
      </c>
    </row>
    <row r="2739">
      <c r="A2739">
        <f>Skills!A28</f>
        <v/>
      </c>
      <c r="B2739">
        <f>Skills!B28</f>
        <v/>
      </c>
      <c r="C2739">
        <f>Inputs!$B$3&gt;=125</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Skills!G28*IF(Skills!H28&gt;0,INT(IF(Inputs!$B$38="pvp",MIN(Skills!I28,15),Skills!I28)/Skills!H28+0.000000001),1)</f>
        <v/>
      </c>
      <c r="H2739">
        <f>1-(1-Skills!J28/100)^Skills!K28</f>
        <v/>
      </c>
      <c r="I2739" t="inlineStr">
        <is>
          <t>1</t>
        </is>
      </c>
      <c r="J2739" t="inlineStr"/>
      <c r="K2739" t="inlineStr"/>
      <c r="L2739" t="inlineStr"/>
      <c r="M2739" t="inlineStr"/>
      <c r="N2739" t="inlineStr"/>
      <c r="O2739">
        <f>(1-Summary!$B$11)*T2739+Summary!$B$11*V2739</f>
        <v/>
      </c>
      <c r="P2739">
        <f>IF(B2756=0,0,O2739/B2756)</f>
        <v/>
      </c>
      <c r="Q2739" t="n">
        <v>0</v>
      </c>
      <c r="R2739" t="n">
        <v>0</v>
      </c>
      <c r="S2739">
        <f>IFERROR(O2739/N2739,0)</f>
        <v/>
      </c>
      <c r="T2739" t="n">
        <v>0</v>
      </c>
      <c r="V2739" t="n">
        <v>0</v>
      </c>
    </row>
    <row r="2740">
      <c r="A2740">
        <f>Skills!A29</f>
        <v/>
      </c>
      <c r="B2740">
        <f>Skills!B29</f>
        <v/>
      </c>
      <c r="C2740">
        <f>Inputs!$B$3&gt;=125</f>
        <v/>
      </c>
      <c r="D2740">
        <f>IF(Skills!C29=1,60+Inputs!$B$25+Inputs!$B$29,IF(Skills!C29=2,90+Inputs!$B$26+Inputs!$B$29,IF(Skills!C29=3,120+Inputs!$B$27+Inputs!$B$29,MAX(0,(Inputs!$B$3-100)*3)+Inputs!$B$28+Inputs!$B$29)))</f>
        <v/>
      </c>
      <c r="E2740">
        <f>INDEX(FactorTable!$B$2:$Y$301, MATCH(ROUND(MIN(300,MAX(1,D2740)),0), FactorTable!$A$2:$A$301,0), Skills!M29+1)</f>
        <v/>
      </c>
      <c r="F2740">
        <f>IF(Skills!N29=TRUE,(Skills!L29/10)*(E2740/1000),Skills!L29/10)+Skills!O29</f>
        <v/>
      </c>
      <c r="G2740">
        <f>Skills!G29*IF(Skills!H29&gt;0,INT(IF(Inputs!$B$38="pvp",MIN(Skills!I29,15),Skills!I29)/Skills!H29+0.000000001),1)</f>
        <v/>
      </c>
      <c r="H2740">
        <f>1-(1-Skills!J29/100)^Skills!K29</f>
        <v/>
      </c>
      <c r="I2740" t="inlineStr">
        <is>
          <t>1</t>
        </is>
      </c>
      <c r="J2740" t="inlineStr"/>
      <c r="K2740" t="inlineStr"/>
      <c r="L2740" t="inlineStr"/>
      <c r="M2740" t="inlineStr"/>
      <c r="N2740" t="inlineStr"/>
      <c r="O2740">
        <f>(1-Summary!$B$11)*T2740+Summary!$B$11*V2740</f>
        <v/>
      </c>
      <c r="P2740">
        <f>IF(B2756=0,0,O2740/B2756)</f>
        <v/>
      </c>
      <c r="Q2740" t="n">
        <v>0</v>
      </c>
      <c r="R2740" t="n">
        <v>0</v>
      </c>
      <c r="S2740">
        <f>IFERROR(O2740/N2740,0)</f>
        <v/>
      </c>
      <c r="T2740" t="n">
        <v>0</v>
      </c>
      <c r="V2740" t="n">
        <v>0</v>
      </c>
    </row>
    <row r="2741">
      <c r="A2741">
        <f>Skills!A30</f>
        <v/>
      </c>
      <c r="B2741">
        <f>Skills!B30</f>
        <v/>
      </c>
      <c r="C2741">
        <f>Inputs!$B$3&gt;=120</f>
        <v/>
      </c>
      <c r="D2741">
        <f>IF(Skills!C30=1,60+Inputs!$B$25+Inputs!$B$29,IF(Skills!C30=2,90+Inputs!$B$26+Inputs!$B$29,IF(Skills!C30=3,120+Inputs!$B$27+Inputs!$B$29,MAX(0,(Inputs!$B$3-100)*3)+Inputs!$B$28+Inputs!$B$29)))</f>
        <v/>
      </c>
      <c r="E2741">
        <f>INDEX(FactorTable!$B$2:$Y$301, MATCH(ROUND(MIN(300,MAX(1,D2741)),0), FactorTable!$A$2:$A$301,0), Skills!M30+1)</f>
        <v/>
      </c>
      <c r="F2741">
        <f>IF(Skills!N30=TRUE,(Skills!L30/10)*(E2741/1000),Skills!L30/10)+Skills!O30</f>
        <v/>
      </c>
      <c r="G2741">
        <f>Skills!G30*IF(Skills!H30&gt;0,INT(IF(Inputs!$B$38="pvp",MIN(Skills!I30,15),Skills!I30)/Skills!H30+0.000000001),1)</f>
        <v/>
      </c>
      <c r="H2741">
        <f>1-(1-Skills!J30/100)^Skills!K30</f>
        <v/>
      </c>
      <c r="I2741" t="inlineStr">
        <is>
          <t>1</t>
        </is>
      </c>
      <c r="J2741" t="inlineStr"/>
      <c r="K2741" t="inlineStr"/>
      <c r="L2741" t="inlineStr"/>
      <c r="M2741" t="inlineStr"/>
      <c r="N2741" t="inlineStr"/>
      <c r="O2741">
        <f>(1-Summary!$B$11)*T2741+Summary!$B$11*V2741</f>
        <v/>
      </c>
      <c r="P2741">
        <f>IF(B2756=0,0,O2741/B2756)</f>
        <v/>
      </c>
      <c r="Q2741" t="n">
        <v>0</v>
      </c>
      <c r="R2741" t="n">
        <v>0</v>
      </c>
      <c r="S2741">
        <f>IFERROR(O2741/N2741,0)</f>
        <v/>
      </c>
      <c r="T2741" t="n">
        <v>0</v>
      </c>
      <c r="V2741" t="n">
        <v>0</v>
      </c>
    </row>
    <row r="2742">
      <c r="A2742">
        <f>Skills!A31</f>
        <v/>
      </c>
      <c r="B2742">
        <f>Skills!B31</f>
        <v/>
      </c>
      <c r="C2742">
        <f>Inputs!$B$3&gt;=120</f>
        <v/>
      </c>
      <c r="D2742">
        <f>IF(Skills!C31=1,60+Inputs!$B$25+Inputs!$B$29,IF(Skills!C31=2,90+Inputs!$B$26+Inputs!$B$29,IF(Skills!C31=3,120+Inputs!$B$27+Inputs!$B$29,MAX(0,(Inputs!$B$3-100)*3)+Inputs!$B$28+Inputs!$B$29)))</f>
        <v/>
      </c>
      <c r="E2742">
        <f>INDEX(FactorTable!$B$2:$Y$301, MATCH(ROUND(MIN(300,MAX(1,D2742)),0), FactorTable!$A$2:$A$301,0), Skills!M31+1)</f>
        <v/>
      </c>
      <c r="F2742">
        <f>IF(Skills!N31=TRUE,(Skills!L31/10)*(E2742/1000),Skills!L31/10)+Skills!O31</f>
        <v/>
      </c>
      <c r="G2742">
        <f>Skills!G31*IF(Skills!H31&gt;0,INT(IF(Inputs!$B$38="pvp",MIN(Skills!I31,15),Skills!I31)/Skills!H31+0.000000001),1)</f>
        <v/>
      </c>
      <c r="H2742">
        <f>1-(1-Skills!J31/100)^Skills!K31</f>
        <v/>
      </c>
      <c r="I2742" t="inlineStr">
        <is>
          <t>1</t>
        </is>
      </c>
      <c r="J2742" t="inlineStr"/>
      <c r="K2742" t="inlineStr"/>
      <c r="L2742" t="inlineStr"/>
      <c r="M2742" t="inlineStr"/>
      <c r="N2742" t="inlineStr"/>
      <c r="O2742">
        <f>(1-Summary!$B$11)*T2742+Summary!$B$11*V2742</f>
        <v/>
      </c>
      <c r="P2742">
        <f>IF(B2756=0,0,O2742/B2756)</f>
        <v/>
      </c>
      <c r="Q2742" t="n">
        <v>0</v>
      </c>
      <c r="R2742" t="n">
        <v>0</v>
      </c>
      <c r="S2742">
        <f>IFERROR(O2742/N2742,0)</f>
        <v/>
      </c>
      <c r="T2742" t="n">
        <v>0</v>
      </c>
      <c r="V2742" t="n">
        <v>0</v>
      </c>
    </row>
    <row r="2743">
      <c r="A2743">
        <f>Skills!A32</f>
        <v/>
      </c>
      <c r="B2743">
        <f>Skills!B32</f>
        <v/>
      </c>
      <c r="C2743">
        <f>Inputs!$B$3&gt;=45</f>
        <v/>
      </c>
      <c r="D2743">
        <f>IF(Skills!C32=1,60+Inputs!$B$25+Inputs!$B$29,IF(Skills!C32=2,90+Inputs!$B$26+Inputs!$B$29,IF(Skills!C32=3,120+Inputs!$B$27+Inputs!$B$29,MAX(0,(Inputs!$B$3-100)*3)+Inputs!$B$28+Inputs!$B$29)))</f>
        <v/>
      </c>
      <c r="E2743">
        <f>INDEX(FactorTable!$B$2:$Y$301, MATCH(ROUND(MIN(300,MAX(1,D2743)),0), FactorTable!$A$2:$A$301,0), Skills!M32+1)</f>
        <v/>
      </c>
      <c r="F2743">
        <f>IF(Skills!N32=TRUE,(Skills!L32/10)*(E2743/1000),Skills!L32/10)+Skills!O32</f>
        <v/>
      </c>
      <c r="G2743">
        <f>Skills!G32*IF(Skills!H32&gt;0,INT(IF(Inputs!$B$38="pvp",MIN(Skills!I32,15),Skills!I32)/Skills!H32+0.000000001),1)</f>
        <v/>
      </c>
      <c r="H2743">
        <f>1-(1-Skills!J32/100)^Skills!K32</f>
        <v/>
      </c>
      <c r="I2743" t="inlineStr">
        <is>
          <t>1</t>
        </is>
      </c>
      <c r="J2743" t="inlineStr"/>
      <c r="K2743" t="inlineStr"/>
      <c r="L2743" t="inlineStr"/>
      <c r="M2743" t="inlineStr"/>
      <c r="N2743" t="inlineStr"/>
      <c r="O2743">
        <f>(1-Summary!$B$11)*T2743+Summary!$B$11*V2743</f>
        <v/>
      </c>
      <c r="P2743">
        <f>IF(B2756=0,0,O2743/B2756)</f>
        <v/>
      </c>
      <c r="Q2743" t="n">
        <v>0</v>
      </c>
      <c r="R2743" t="n">
        <v>0</v>
      </c>
      <c r="S2743">
        <f>IFERROR(O2743/N2743,0)</f>
        <v/>
      </c>
      <c r="T2743" t="n">
        <v>0</v>
      </c>
      <c r="V2743" t="n">
        <v>0</v>
      </c>
    </row>
    <row r="2745">
      <c r="A2745" t="inlineStr">
        <is>
          <t>Attack% Bucket Multiplier</t>
        </is>
      </c>
      <c r="B2745">
        <f>(1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6">
      <c r="A2746" t="inlineStr">
        <is>
          <t>Global Crit Rate Bonus %</t>
        </is>
      </c>
      <c r="B2746" t="n">
        <v>0</v>
      </c>
    </row>
    <row r="2747">
      <c r="A2747" t="inlineStr">
        <is>
          <t>Attack Speed Buff Bonus %</t>
        </is>
      </c>
      <c r="B2747">
        <f>((C2732=TRUE)*F2732*IF(AND(Inputs!$B$38&lt;&gt;"pvp",Inputs!$B$43&gt;0),(((R2732-1)*MIN((Skills!T21*(1+Inputs!$B$34/100)),(1/Q2732))+MIN((Skills!T21*(1+Inputs!$B$34/100)),MAX(0,Inputs!$B$43-((R2732-1)*(1/Q2732)))))/Inputs!$B$43),IF(Inputs!$B$38="pvp",MIN((Skills!T21*(1+Inputs!$B$34/100)),15)/15,MIN(1,(Skills!T21*(1+Inputs!$B$34/100))/(1/Q2732)))))</f>
        <v/>
      </c>
    </row>
    <row r="2748">
      <c r="A2748" t="inlineStr">
        <is>
          <t>Actions Per Second</t>
        </is>
      </c>
      <c r="B2748">
        <f>1+MIN(150,150*(1-(1-(Inputs!$B$11+((C2734=TRUE)*(F2734-Calc!F23))+((C2735=TRUE)*(F2735-Calc!F24)))/150)*(1-B2747/150)))/100</f>
        <v/>
      </c>
    </row>
    <row r="2749">
      <c r="A2749" t="inlineStr">
        <is>
          <t>Skill + Buff Cast Rate</t>
        </is>
      </c>
      <c r="B2749">
        <f>IF(AND(Inputs!$B$38&lt;&gt;"pvp",Inputs!$B$43&gt;0),SUMPRODUCT((Skills!E2:E32=TRUE)*(C2713:C2743=TRUE)*R2713:R2743*Skills!F2:F32)/Inputs!$B$43,SUMPRODUCT((Skills!E2:E32=TRUE)*(C2713:C2743=TRUE)*Q2713:Q2743*Skills!F2:F32))</f>
        <v/>
      </c>
    </row>
    <row r="2750">
      <c r="A2750" t="inlineStr">
        <is>
          <t>Arrow Stream Casts Per Second</t>
        </is>
      </c>
      <c r="B2750">
        <f>MAX(0,B2748-B2749)</f>
        <v/>
      </c>
    </row>
    <row r="2751">
      <c r="A2751" t="inlineStr">
        <is>
          <t>Global Critical Damage Bonus % (Sharp Eyes + Concentration)</t>
        </is>
      </c>
      <c r="B2751">
        <f>(C2729=TRUE)*F2729*IF(AND(Inputs!$B$38&lt;&gt;"pvp",Inputs!$B$43&gt;0),(((R2729-1)*MIN((Skills!T18*(1+Inputs!$B$34/100)),(1/Q2729))+MIN((Skills!T18*(1+Inputs!$B$34/100)),MAX(0,Inputs!$B$43-((R2729-1)*(1/Q2729)))))/Inputs!$B$43),IF(Inputs!$B$38="pvp",MIN((Skills!T18*(1+Inputs!$B$34/100)),15)/15,MIN(1,(Skills!T18*(1+Inputs!$B$34/100))/(1/Q2729))))+(C2730=TRUE)*7*F2730</f>
        <v/>
      </c>
    </row>
    <row r="2752">
      <c r="A2752" t="inlineStr">
        <is>
          <t>Global Final Damage Bonus % (Mortal Blow)</t>
        </is>
      </c>
      <c r="B2752">
        <f>(C2731=TRUE)*F2731</f>
        <v/>
      </c>
    </row>
    <row r="2753">
      <c r="A2753" t="inlineStr">
        <is>
          <t>Buff-Casting Startup Delay (s, fixed-duration only)</t>
        </is>
      </c>
      <c r="B2753">
        <f>IF(AND(Inputs!$B$38&lt;&gt;"pvp",Inputs!$B$43&gt;0),SUMPRODUCT((Skills!T2:T32&gt;0)*(Skills!E2:E32=TRUE)*(C2713:C2743=TRUE))/B2748,0)</f>
        <v/>
      </c>
    </row>
    <row r="2754">
      <c r="A2754" t="inlineStr">
        <is>
          <t>Boss-Only Total DPS (this block's swept value)</t>
        </is>
      </c>
      <c r="B2754">
        <f>SUM(T2713:T2743)</f>
        <v/>
      </c>
    </row>
    <row r="2755">
      <c r="A2755" t="inlineStr">
        <is>
          <t>Normal-Only Total DPS (this block's swept value)</t>
        </is>
      </c>
      <c r="B2755">
        <f>SUM(V2713:V2743)</f>
        <v/>
      </c>
    </row>
    <row r="2756">
      <c r="A2756" s="6" t="inlineStr">
        <is>
          <t>TOTAL DPS</t>
        </is>
      </c>
      <c r="B2756" s="6">
        <f>SUM(O2713:O2743)</f>
        <v/>
      </c>
    </row>
    <row r="2759">
      <c r="A2759" s="6" t="inlineStr">
        <is>
          <t>Stat: Alliance Badge (Equip)</t>
        </is>
      </c>
    </row>
    <row r="2760">
      <c r="A2760" s="5" t="inlineStr">
        <is>
          <t>Key</t>
        </is>
      </c>
      <c r="B2760" s="5" t="inlineStr">
        <is>
          <t>Name</t>
        </is>
      </c>
      <c r="C2760" s="5" t="inlineStr">
        <is>
          <t>Unlocked</t>
        </is>
      </c>
      <c r="D2760" s="5" t="inlineStr">
        <is>
          <t>InputLevel</t>
        </is>
      </c>
      <c r="E2760" s="5" t="inlineStr">
        <is>
          <t>Factor</t>
        </is>
      </c>
      <c r="F2760" s="5" t="inlineStr">
        <is>
          <t>CoefficientPercent</t>
        </is>
      </c>
      <c r="G2760" s="5" t="inlineStr">
        <is>
          <t>EffectiveHits</t>
        </is>
      </c>
      <c r="H2760" s="5" t="inlineStr">
        <is>
          <t>ProcProbability</t>
        </is>
      </c>
      <c r="I2760" s="5" t="inlineStr">
        <is>
          <t>MapleHeroMultiplier</t>
        </is>
      </c>
      <c r="J2760" s="5" t="inlineStr">
        <is>
          <t>BaseDamage</t>
        </is>
      </c>
      <c r="K2760" s="5" t="inlineStr">
        <is>
          <t>BaseHitDamage</t>
        </is>
      </c>
      <c r="L2760" s="5" t="inlineStr">
        <is>
          <t>NonCritAvg</t>
        </is>
      </c>
      <c r="M2760" s="5" t="inlineStr">
        <is>
          <t>CritAvg</t>
        </is>
      </c>
      <c r="N2760" s="5" t="inlineStr">
        <is>
          <t>ExpectedDamage(perHit)</t>
        </is>
      </c>
      <c r="O2760" s="5" t="inlineStr">
        <is>
          <t>DPS</t>
        </is>
      </c>
      <c r="P2760" s="5" t="inlineStr">
        <is>
          <t>% of Total</t>
        </is>
      </c>
      <c r="Q2760" s="5" t="inlineStr">
        <is>
          <t>InvCooldown</t>
        </is>
      </c>
      <c r="R2760" s="5" t="inlineStr">
        <is>
          <t>CastsInFight</t>
        </is>
      </c>
      <c r="S2760" s="5" t="inlineStr">
        <is>
          <t>HitRate(perSec)</t>
        </is>
      </c>
      <c r="U2760" t="inlineStr">
        <is>
          <t>helpers</t>
        </is>
      </c>
    </row>
    <row r="2761">
      <c r="A2761">
        <f>Skills!A2</f>
        <v/>
      </c>
      <c r="B2761">
        <f>Skills!B2</f>
        <v/>
      </c>
      <c r="C2761">
        <f>Inputs!$B$3&gt;=100</f>
        <v/>
      </c>
      <c r="D2761" t="inlineStr"/>
      <c r="E2761" t="inlineStr"/>
      <c r="F2761">
        <f>U2763+Skills!O2</f>
        <v/>
      </c>
      <c r="G2761">
        <f>Skills!G2*IF(Skills!H2&gt;0,INT(IF(Inputs!$B$38="pvp",MIN(Skills!I2,15),Skills!I2)/Skills!H2+0.000000001),1)</f>
        <v/>
      </c>
      <c r="H2761">
        <f>1-(1-Skills!J2/100)^Skills!K2</f>
        <v/>
      </c>
      <c r="I2761" t="inlineStr">
        <is>
          <t>1</t>
        </is>
      </c>
      <c r="J2761">
        <f>((Inputs!$B$6*(1+Inputs!$B$7/100))+(((Inputs!$B$12*(1+Inputs!$B$13/100))-(Inputs!$B$12*(1+Inputs!$B$13/100)))+0.25*(Inputs!$B$14-Inputs!$B$14))*(1+Inputs!$B$7/100))*(F2761/100)</f>
        <v/>
      </c>
      <c r="K2761">
        <f>J2761*(1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2785=TRUE)*(F2785-Calc!F26)),(Inputs!$B$23+((C2790=TRUE)*(F2790-Calc!F31))+(IF(ArtifactsInput!$M$15,CHOOSE(ArtifactsInput!$N$15+1,25,30,35,40,45,50)/100*(Inputs!$B$11-Inputs!$B$11),0))))/100+(Inputs!$B$23+((C2790=TRUE)*(F2790-Calc!F31))+(IF(ArtifactsInput!$M$15,CHOOSE(ArtifactsInput!$N$15+1,25,30,35,40,45,50)/100*(Inputs!$B$11-Inputs!$B$11),0)))/100)/2</f>
        <v/>
      </c>
      <c r="M2761">
        <f>L2761*(1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IF(B2804=0,0,O2761/B2804)</f>
        <v/>
      </c>
      <c r="Q2761" t="n">
        <v>0</v>
      </c>
      <c r="R2761" t="n">
        <v>0</v>
      </c>
      <c r="S2761">
        <f>IFERROR(O2761/N2761,0)</f>
        <v/>
      </c>
      <c r="T2761">
        <f>IF(C2761,(Skills!G2*N2761*B2798)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1">
        <f>MAX(0,(Inputs!$B$3-100)*3)+Inputs!$B$28+Inputs!$B$29</f>
        <v/>
      </c>
      <c r="V2761">
        <f>IF(C2761,(Skills!G2*N2761*B2798)*IF(Inputs!$B$38="pvp",1,(1+(Inputs!$B$21+Skills!Q2+(IF(ArtifactsInput!$M$33,CHOOSE(ArtifactsInput!$N$33+1,30,36,42,48,54,60),0))+(IF(AND(ArtifactsInput!$M$35,Inputs!$B$4&lt;&gt;"Chapter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Skills!A3</f>
        <v/>
      </c>
      <c r="B2762">
        <f>Skills!B3</f>
        <v/>
      </c>
      <c r="C2762">
        <f>Inputs!$B$3&gt;=50</f>
        <v/>
      </c>
      <c r="D2762">
        <f>IF(Skills!C3=1,60+Inputs!$B$25+Inputs!$B$29,IF(Skills!C3=2,90+Inputs!$B$26+Inputs!$B$29,IF(Skills!C3=3,120+Inputs!$B$27+Inputs!$B$29,MAX(0,(Inputs!$B$3-100)*3)+Inputs!$B$28+Inputs!$B$29)))</f>
        <v/>
      </c>
      <c r="E2762">
        <f>INDEX(FactorTable!$B$2:$Y$301, MATCH(ROUND(MIN(300,MAX(1,D2762)),0), FactorTable!$A$2:$A$301,0), Skills!M3+1)</f>
        <v/>
      </c>
      <c r="F2762">
        <f>IF(Skills!N3=TRUE,(Skills!L3/10)*(E2762/1000),Skills!L3/10)+Skills!O3</f>
        <v/>
      </c>
      <c r="G2762">
        <f>Skills!G3*IF(Skills!H3&gt;0,INT(IF(Inputs!$B$38="pvp",MIN(Skills!I3,15),Skills!I3)/Skills!H3+0.000000001),1)</f>
        <v/>
      </c>
      <c r="H2762">
        <f>1-(1-Skills!J3/100)^Skills!K3</f>
        <v/>
      </c>
      <c r="I2762" t="inlineStr">
        <is>
          <t>1</t>
        </is>
      </c>
      <c r="J2762">
        <f>((Inputs!$B$6*(1+Inputs!$B$7/100))+(((Inputs!$B$12*(1+Inputs!$B$13/100))-(Inputs!$B$12*(1+Inputs!$B$13/100)))+0.25*(Inputs!$B$14-Inputs!$B$14))*(1+Inputs!$B$7/100))*(F2762/100)</f>
        <v/>
      </c>
      <c r="K2762">
        <f>J2762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2785=TRUE)*(F2785-Calc!F26)),(Inputs!$B$23+((C2790=TRUE)*(F2790-Calc!F31))+(IF(ArtifactsInput!$M$15,CHOOSE(ArtifactsInput!$N$15+1,25,30,35,40,45,50)/100*(Inputs!$B$11-Inputs!$B$11),0))))/100+(Inputs!$B$23+((C2790=TRUE)*(F2790-Calc!F31))+(IF(ArtifactsInput!$M$15,CHOOSE(ArtifactsInput!$N$15+1,25,30,35,40,45,50)/100*(Inputs!$B$11-Inputs!$B$11),0)))/100)/2</f>
        <v/>
      </c>
      <c r="M2762">
        <f>L2762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IF(B2804=0,0,O2762/B2804)</f>
        <v/>
      </c>
      <c r="Q2762">
        <f>IFERROR(1/(IF(Inputs!$B$38="pvp",15,MAX(0.1,1/B2796-IF(FALSE=TRUE,Inputs!$B$32,0)))*(1-IF(AND(ArtifactsInput!$M$27,Inputs!$B$4="Chapter Hunt"),CHOOSE(ArtifactsInput!$N$27+1,20,24,28,32,36,40),0)/100)),0)</f>
        <v/>
      </c>
      <c r="R2762">
        <f>IF(AND(Inputs!$B$38&lt;&gt;"pvp",Inputs!$B$43&gt;0),IF(MAX(0,Inputs!$B$43-B2801)&lt;=0,0,(INT(MAX(0,Inputs!$B$43-B2801)/(IF(Inputs!$B$38="pvp",15,MAX(0.1,1/B2796-IF(FALSE=TRUE,Inputs!$B$32,0)))*(1-IF(AND(ArtifactsInput!$M$27,Inputs!$B$4="Chapter Hunt"),CHOOSE(ArtifactsInput!$N$27+1,20,24,28,32,36,40),0)/100)))+1)),0)</f>
        <v/>
      </c>
      <c r="S2762">
        <f>IFERROR(O2762/N2762,0)</f>
        <v/>
      </c>
      <c r="T2762">
        <f>IF(C2762,(H2762*N2762*IF(AND(Inputs!$B$38&lt;&gt;"pvp",Inputs!$B$43&gt;0),((Skills!G3*((R2762-1)*IF(Skills!H3&gt;0,INT(Skills!I3/Skills!H3+0.000000001),1)+IF(Skills!H3&gt;0,INT(MIN(Skills!I3,MAX(0,MAX(0,Inputs!$B$43-B2801)-((R2762-1)*(IF(Inputs!$B$38="pvp",15,MAX(0.1,1/B2796-IF(FALSE=TRUE,Inputs!$B$32,0)))*(1-IF(AND(ArtifactsInput!$M$27,Inputs!$B$4="Chapter Hunt"),CHOOSE(ArtifactsInput!$N$27+1,20,24,28,32,36,40),0)/100)))))/Skills!H3+0.000000001),1)))/Inputs!$B$43),G2762*Q2762)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2">
        <f>INDEX(FactorTable!$B$2:$Y$301, MATCH(ROUND(MIN(300,MAX(1,U2761)),0), FactorTable!$A$2:$A$301,0), 22)</f>
        <v/>
      </c>
      <c r="V2762">
        <f>IF(C2762,(H2762*N2762*IF(AND(Inputs!$B$38&lt;&gt;"pvp",Inputs!$B$43&gt;0),((Skills!G3*((R2762-1)*IF(Skills!H3&gt;0,INT(Skills!I3/Skills!H3+0.000000001),1)+IF(Skills!H3&gt;0,INT(MIN(Skills!I3,MAX(0,MAX(0,Inputs!$B$43-B2801)-((R2762-1)*(IF(Inputs!$B$38="pvp",15,MAX(0.1,1/B2796-IF(FALSE=TRUE,Inputs!$B$32,0)))*(1-IF(AND(ArtifactsInput!$M$27,Inputs!$B$4="Chapter Hunt"),CHOOSE(ArtifactsInput!$N$27+1,20,24,28,32,36,40),0)/100)))))/Skills!H3+0.000000001),1)))/Inputs!$B$43),G2762*Q2762))*IF(Inputs!$B$38="pvp",1,(1+(Inputs!$B$21+Skills!Q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Skills!A4</f>
        <v/>
      </c>
      <c r="B2763">
        <f>Skills!B4</f>
        <v/>
      </c>
      <c r="C2763">
        <f>Inputs!$B$3&gt;=105</f>
        <v/>
      </c>
      <c r="D2763">
        <f>IF(Skills!C4=1,60+Inputs!$B$25+Inputs!$B$29,IF(Skills!C4=2,90+Inputs!$B$26+Inputs!$B$29,IF(Skills!C4=3,120+Inputs!$B$27+Inputs!$B$29,MAX(0,(Inputs!$B$3-100)*3)+Inputs!$B$28+Inputs!$B$29)))</f>
        <v/>
      </c>
      <c r="E2763">
        <f>INDEX(FactorTable!$B$2:$Y$301, MATCH(ROUND(MIN(300,MAX(1,D2763)),0), FactorTable!$A$2:$A$301,0), Skills!M4+1)</f>
        <v/>
      </c>
      <c r="F2763">
        <f>IF(Skills!N4=TRUE,(Skills!L4/10)*(E2763/1000),Skills!L4/10)+Skills!O4</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U2763">
        <f>290*U2762/1000</f>
        <v/>
      </c>
      <c r="V2763" t="inlineStr"/>
    </row>
    <row r="2764">
      <c r="A2764">
        <f>Skills!A5</f>
        <v/>
      </c>
      <c r="B2764">
        <f>Skills!B5</f>
        <v/>
      </c>
      <c r="C2764">
        <f>Inputs!$B$3&gt;=35</f>
        <v/>
      </c>
      <c r="D2764">
        <f>IF(Skills!C5=1,60+Inputs!$B$25+Inputs!$B$29,IF(Skills!C5=2,90+Inputs!$B$26+Inputs!$B$29,IF(Skills!C5=3,120+Inputs!$B$27+Inputs!$B$29,MAX(0,(Inputs!$B$3-100)*3)+Inputs!$B$28+Inputs!$B$29)))</f>
        <v/>
      </c>
      <c r="E2764">
        <f>INDEX(FactorTable!$B$2:$Y$301, MATCH(ROUND(MIN(300,MAX(1,D2764)),0), FactorTable!$A$2:$A$301,0), Skills!M5+1)</f>
        <v/>
      </c>
      <c r="F2764">
        <f>IF(Skills!N5=TRUE,(Skills!L5/10)*(E2764/1000),Skills!L5/10)+Skills!O5</f>
        <v/>
      </c>
      <c r="G2764">
        <f>Skills!G5*IF(Skills!H5&gt;0,INT(IF(Inputs!$B$38="pvp",MIN(Skills!I5,15),Skills!I5)/Skills!H5+0.000000001),1)</f>
        <v/>
      </c>
      <c r="H2764">
        <f>1-(1-Skills!J5/100)^Skills!K5</f>
        <v/>
      </c>
      <c r="I2764" t="inlineStr">
        <is>
          <t>1</t>
        </is>
      </c>
      <c r="J2764">
        <f>((Inputs!$B$6*(1+Inputs!$B$7/100))+(((Inputs!$B$12*(1+Inputs!$B$13/100))-(Inputs!$B$12*(1+Inputs!$B$13/100)))+0.25*(Inputs!$B$14-Inputs!$B$14))*(1+Inputs!$B$7/100))*(F2764/100)</f>
        <v/>
      </c>
      <c r="K2764">
        <f>J2764*(1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2771=TRUE,F2771,0)/100)*(1+(IF(Skills!A5="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2785=TRUE)*(F2785-Calc!F26)),(Inputs!$B$23+((C2790=TRUE)*(F2790-Calc!F31))+(IF(ArtifactsInput!$M$15,CHOOSE(ArtifactsInput!$N$15+1,25,30,35,40,45,50)/100*(Inputs!$B$11-Inputs!$B$11),0))))/100+(Inputs!$B$23+((C2790=TRUE)*(F2790-Calc!F31))+(IF(ArtifactsInput!$M$15,CHOOSE(ArtifactsInput!$N$15+1,25,30,35,40,45,50)/100*(Inputs!$B$11-Inputs!$B$11),0)))/100)/2</f>
        <v/>
      </c>
      <c r="M2764">
        <f>L2764*(1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IF(B2804=0,0,O2764/B2804)</f>
        <v/>
      </c>
      <c r="Q2764">
        <f>IFERROR(1/(IF(Inputs!$B$38="pvp",15,MAX(0.1,Skills!D5-IF(TRUE=TRUE,Inputs!$B$32,0)))*(1-IF(AND(ArtifactsInput!$M$27,Inputs!$B$4="Chapter Hunt"),CHOOSE(ArtifactsInput!$N$27+1,20,24,28,32,36,40),0)/100)),0)</f>
        <v/>
      </c>
      <c r="R2764">
        <f>IF(AND(Inputs!$B$38&lt;&gt;"pvp",Inputs!$B$43&gt;0),IF(MAX(0,Inputs!$B$43-B2801)&lt;=0,0,(INT(MAX(0,Inputs!$B$43-B2801)/(IF(Inputs!$B$38="pvp",15,MAX(0.1,Skills!D5-IF(TRUE=TRUE,Inputs!$B$32,0)))*(1-IF(AND(ArtifactsInput!$M$27,Inputs!$B$4="Chapter Hunt"),CHOOSE(ArtifactsInput!$N$27+1,20,24,28,32,36,40),0)/100)))+1)),0)</f>
        <v/>
      </c>
      <c r="S2764">
        <f>IFERROR(O2764/N2764,0)</f>
        <v/>
      </c>
      <c r="T2764">
        <f>IF(C2764,(H2764*N2764*IF(AND(Inputs!$B$38&lt;&gt;"pvp",Inputs!$B$43&gt;0),((Skills!G5*((R2764-1)*IF(Skills!H5&gt;0,INT(Skills!I5/Skills!H5+0.000000001),1)+IF(Skills!H5&gt;0,INT(MIN(Skills!I5,MAX(0,MAX(0,Inputs!$B$43-B2801)-((R2764-1)*(IF(Inputs!$B$38="pvp",15,MAX(0.1,Skills!D5-IF(TRUE=TRUE,Inputs!$B$32,0)))*(1-IF(AND(ArtifactsInput!$M$27,Inputs!$B$4="Chapter Hunt"),CHOOSE(ArtifactsInput!$N$27+1,20,24,28,32,36,40),0)/100)))))/Skills!H5+0.000000001),1)))/Inputs!$B$43),G2764*Q2764)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5*((R2764-1)*IF(Skills!H5&gt;0,INT(Skills!I5/Skills!H5+0.000000001),1)+IF(Skills!H5&gt;0,INT(MIN(Skills!I5,MAX(0,MAX(0,Inputs!$B$43-B2801)-((R2764-1)*(IF(Inputs!$B$38="pvp",15,MAX(0.1,Skills!D5-IF(TRUE=TRUE,Inputs!$B$32,0)))*(1-IF(AND(ArtifactsInput!$M$27,Inputs!$B$4="Chapter Hunt"),CHOOSE(ArtifactsInput!$N$27+1,20,24,28,32,36,40),0)/100)))))/Skills!H5+0.000000001),1)))/Inputs!$B$43),G2764*Q2764))*IF(Inputs!$B$38="pvp",1,(1+(Inputs!$B$21+Skills!Q5+(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Skills!A6</f>
        <v/>
      </c>
      <c r="B2765">
        <f>Skills!B6</f>
        <v/>
      </c>
      <c r="C2765">
        <f>Inputs!$B$3&gt;=40</f>
        <v/>
      </c>
      <c r="D2765">
        <f>IF(Skills!C6=1,60+Inputs!$B$25+Inputs!$B$29,IF(Skills!C6=2,90+Inputs!$B$26+Inputs!$B$29,IF(Skills!C6=3,120+Inputs!$B$27+Inputs!$B$29,MAX(0,(Inputs!$B$3-100)*3)+Inputs!$B$28+Inputs!$B$29)))</f>
        <v/>
      </c>
      <c r="E2765">
        <f>INDEX(FactorTable!$B$2:$Y$301, MATCH(ROUND(MIN(300,MAX(1,D2765)),0), FactorTable!$A$2:$A$301,0), Skills!M6+1)</f>
        <v/>
      </c>
      <c r="F2765">
        <f>IF(Skills!N6=TRUE,(Skills!L6/10)*(E2765/1000),Skills!L6/10)+Skills!O6</f>
        <v/>
      </c>
      <c r="G2765">
        <f>Skills!G6*IF(Skills!H6&gt;0,INT(IF(Inputs!$B$38="pvp",MIN(Skills!I6,15),Skills!I6)/Skills!H6+0.000000001),1)</f>
        <v/>
      </c>
      <c r="H2765">
        <f>1-(1-Skills!J6/100)^Skills!K6</f>
        <v/>
      </c>
      <c r="I2765" t="inlineStr">
        <is>
          <t>1</t>
        </is>
      </c>
      <c r="J2765">
        <f>((Inputs!$B$6*(1+Inputs!$B$7/100))+(((Inputs!$B$12*(1+Inputs!$B$13/100))-(Inputs!$B$12*(1+Inputs!$B$13/100)))+0.25*(Inputs!$B$14-Inputs!$B$14))*(1+Inputs!$B$7/100))*(F2765/100)</f>
        <v/>
      </c>
      <c r="K2765">
        <f>J2765*(1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2766=TRUE,F2766,0)/100)*(1+(IF(Skills!A6="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2785=TRUE)*(F2785-Calc!F26)),(Inputs!$B$23+((C2790=TRUE)*(F2790-Calc!F31))+(IF(ArtifactsInput!$M$15,CHOOSE(ArtifactsInput!$N$15+1,25,30,35,40,45,50)/100*(Inputs!$B$11-Inputs!$B$11),0))))/100+(Inputs!$B$23+((C2790=TRUE)*(F2790-Calc!F31))+(IF(ArtifactsInput!$M$15,CHOOSE(ArtifactsInput!$N$15+1,25,30,35,40,45,50)/100*(Inputs!$B$11-Inputs!$B$11),0)))/100)/2</f>
        <v/>
      </c>
      <c r="M2765">
        <f>L2765*(1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IF(B2804=0,0,O2765/B2804)</f>
        <v/>
      </c>
      <c r="Q2765">
        <f>IFERROR(1/(IF(Inputs!$B$38="pvp",15,MAX(0.1,1-0.4*MIN(1,(B2796-1)/1.5)-IF(FALSE=TRUE,Inputs!$B$32,0)))*(1-IF(AND(ArtifactsInput!$M$27,Inputs!$B$4="Chapter Hunt"),CHOOSE(ArtifactsInput!$N$27+1,20,24,28,32,36,40),0)/100)),0)</f>
        <v/>
      </c>
      <c r="R2765">
        <f>IF(AND(Inputs!$B$38&lt;&gt;"pvp",Inputs!$B$43&gt;0),IF(MAX(0,Inputs!$B$43-B2801)&lt;=0,0,(INT(MAX(0,Inputs!$B$43-B2801)/(IF(Inputs!$B$38="pvp",15,MAX(0.1,1-0.4*MIN(1,(B2796-1)/1.5)-IF(FALSE=TRUE,Inputs!$B$32,0)))*(1-IF(AND(ArtifactsInput!$M$27,Inputs!$B$4="Chapter Hunt"),CHOOSE(ArtifactsInput!$N$27+1,20,24,28,32,36,40),0)/100)))+1)),0)</f>
        <v/>
      </c>
      <c r="S2765">
        <f>IFERROR(O2765/N2765,0)</f>
        <v/>
      </c>
      <c r="T2765">
        <f>IF(C2765,(H2765*N2765*IF(AND(Inputs!$B$38&lt;&gt;"pvp",Inputs!$B$43&gt;0),((Skills!G6*((R2765-1)*IF(Skills!H6&gt;0,INT(Skills!I6/Skills!H6+0.000000001),1)+IF(Skills!H6&gt;0,INT(MIN(Skills!I6,MAX(0,MAX(0,Inputs!$B$43-B2801)-((R2765-1)*(IF(Inputs!$B$38="pvp",15,MAX(0.1,1-0.4*MIN(1,(B2796-1)/1.5)-IF(FALSE=TRUE,Inputs!$B$32,0)))*(1-IF(AND(ArtifactsInput!$M$27,Inputs!$B$4="Chapter Hunt"),CHOOSE(ArtifactsInput!$N$27+1,20,24,28,32,36,40),0)/100)))))/Skills!H6+0.000000001),1)))/Inputs!$B$43),G2765*Q2765)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6*((R2765-1)*IF(Skills!H6&gt;0,INT(Skills!I6/Skills!H6+0.000000001),1)+IF(Skills!H6&gt;0,INT(MIN(Skills!I6,MAX(0,MAX(0,Inputs!$B$43-B2801)-((R2765-1)*(IF(Inputs!$B$38="pvp",15,MAX(0.1,1-0.4*MIN(1,(B2796-1)/1.5)-IF(FALSE=TRUE,Inputs!$B$32,0)))*(1-IF(AND(ArtifactsInput!$M$27,Inputs!$B$4="Chapter Hunt"),CHOOSE(ArtifactsInput!$N$27+1,20,24,28,32,36,40),0)/100)))))/Skills!H6+0.000000001),1)))/Inputs!$B$43),G2765*Q2765))*IF(Inputs!$B$38="pvp",1,(1+(Inputs!$B$21+Skills!Q6+(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Skills!A7</f>
        <v/>
      </c>
      <c r="B2766">
        <f>Skills!B7</f>
        <v/>
      </c>
      <c r="C2766">
        <f>Inputs!$B$3&gt;=107</f>
        <v/>
      </c>
      <c r="D2766">
        <f>IF(Skills!C7=1,60+Inputs!$B$25+Inputs!$B$29,IF(Skills!C7=2,90+Inputs!$B$26+Inputs!$B$29,IF(Skills!C7=3,120+Inputs!$B$27+Inputs!$B$29,MAX(0,(Inputs!$B$3-100)*3)+Inputs!$B$28+Inputs!$B$29)))</f>
        <v/>
      </c>
      <c r="E2766">
        <f>INDEX(FactorTable!$B$2:$Y$301, MATCH(ROUND(MIN(300,MAX(1,D2766)),0), FactorTable!$A$2:$A$301,0), Skills!M7+1)</f>
        <v/>
      </c>
      <c r="F2766">
        <f>IF(Skills!N7=TRUE,(Skills!L7/10)*(E2766/1000),Skills!L7/10)+Skills!O7</f>
        <v/>
      </c>
      <c r="G2766" t="inlineStr"/>
      <c r="H2766" t="inlineStr"/>
      <c r="I2766" t="inlineStr">
        <is>
          <t>1</t>
        </is>
      </c>
      <c r="J2766" t="inlineStr"/>
      <c r="K2766" t="inlineStr"/>
      <c r="L2766" t="inlineStr"/>
      <c r="M2766" t="inlineStr"/>
      <c r="N2766" t="inlineStr"/>
      <c r="O2766" t="inlineStr"/>
      <c r="P2766" t="inlineStr"/>
      <c r="Q2766" t="inlineStr"/>
      <c r="R2766" t="inlineStr"/>
      <c r="S2766" t="inlineStr"/>
      <c r="T2766" t="inlineStr"/>
      <c r="V2766" t="inlineStr"/>
    </row>
    <row r="2767">
      <c r="A2767">
        <f>Skills!A8</f>
        <v/>
      </c>
      <c r="B2767">
        <f>Skills!B8</f>
        <v/>
      </c>
      <c r="C2767">
        <f>Inputs!$B$3&gt;=130</f>
        <v/>
      </c>
      <c r="D2767">
        <f>IF(Skills!C8=1,60+Inputs!$B$25+Inputs!$B$29,IF(Skills!C8=2,90+Inputs!$B$26+Inputs!$B$29,IF(Skills!C8=3,120+Inputs!$B$27+Inputs!$B$29,MAX(0,(Inputs!$B$3-100)*3)+Inputs!$B$28+Inputs!$B$29)))</f>
        <v/>
      </c>
      <c r="E2767">
        <f>INDEX(FactorTable!$B$2:$Y$301, MATCH(ROUND(MIN(300,MAX(1,D2767)),0), FactorTable!$A$2:$A$301,0), Skills!M8+1)</f>
        <v/>
      </c>
      <c r="F2767">
        <f>IF(Skills!N8=TRUE,(Skills!L8/10)*(E2767/1000),Skills!L8/10)+Skills!O8</f>
        <v/>
      </c>
      <c r="G2767">
        <f>Skills!G8*IF(Skills!H8&gt;0,INT(IF(Inputs!$B$38="pvp",MIN(Skills!I8,15),Skills!I8)/Skills!H8+0.000000001),1)</f>
        <v/>
      </c>
      <c r="H2767">
        <f>1-(1-Skills!J8/100)^Skills!K8</f>
        <v/>
      </c>
      <c r="I2767" t="inlineStr">
        <is>
          <t>1</t>
        </is>
      </c>
      <c r="J2767">
        <f>((Inputs!$B$6*(1+Inputs!$B$7/100))+(((Inputs!$B$12*(1+Inputs!$B$13/100))-(Inputs!$B$12*(1+Inputs!$B$13/100)))+0.25*(Inputs!$B$14-Inputs!$B$14))*(1+Inputs!$B$7/100))*(F2767/100)</f>
        <v/>
      </c>
      <c r="K2767">
        <f>J2767*(1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2785=TRUE)*(F2785-Calc!F26)),(Inputs!$B$23+((C2790=TRUE)*(F2790-Calc!F31))+(IF(ArtifactsInput!$M$15,CHOOSE(ArtifactsInput!$N$15+1,25,30,35,40,45,50)/100*(Inputs!$B$11-Inputs!$B$11),0))))/100+(Inputs!$B$23+((C2790=TRUE)*(F2790-Calc!F31))+(IF(ArtifactsInput!$M$15,CHOOSE(ArtifactsInput!$N$15+1,25,30,35,40,45,50)/100*(Inputs!$B$11-Inputs!$B$11),0)))/100)/2</f>
        <v/>
      </c>
      <c r="M2767">
        <f>L2767*(1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IF(B2804=0,0,O2767/B2804)</f>
        <v/>
      </c>
      <c r="Q2767">
        <f>IFERROR(1/(IF(Inputs!$B$38="pvp",15,MAX(0.1,1-0.4*MIN(1,(B2796-1)/1.5)-IF(FALSE=TRUE,Inputs!$B$32,0)))*(1-IF(AND(ArtifactsInput!$M$27,Inputs!$B$4="Chapter Hunt"),CHOOSE(ArtifactsInput!$N$27+1,20,24,28,32,36,40),0)/100)),0)</f>
        <v/>
      </c>
      <c r="R2767">
        <f>IF(AND(Inputs!$B$38&lt;&gt;"pvp",Inputs!$B$43&gt;0),IF(MAX(0,Inputs!$B$43-B2801)&lt;=0,0,(INT(MAX(0,Inputs!$B$43-B2801)/(IF(Inputs!$B$38="pvp",15,MAX(0.1,1-0.4*MIN(1,(B2796-1)/1.5)-IF(FALSE=TRUE,Inputs!$B$32,0)))*(1-IF(AND(ArtifactsInput!$M$27,Inputs!$B$4="Chapter Hunt"),CHOOSE(ArtifactsInput!$N$27+1,20,24,28,32,36,40),0)/100)))+1)),0)</f>
        <v/>
      </c>
      <c r="S2767">
        <f>IFERROR(O2767/N2767,0)</f>
        <v/>
      </c>
      <c r="T2767">
        <f>IF(C2767,(H2767*N2767*IF(AND(Inputs!$B$38&lt;&gt;"pvp",Inputs!$B$43&gt;0),((Skills!G8*((R2767-1)*IF(Skills!H8&gt;0,INT(Skills!I8/Skills!H8+0.000000001),1)+IF(Skills!H8&gt;0,INT(MIN(Skills!I8,MAX(0,MAX(0,Inputs!$B$43-B2801)-((R2767-1)*(IF(Inputs!$B$38="pvp",15,MAX(0.1,1-0.4*MIN(1,(B2796-1)/1.5)-IF(FALSE=TRUE,Inputs!$B$32,0)))*(1-IF(AND(ArtifactsInput!$M$27,Inputs!$B$4="Chapter Hunt"),CHOOSE(ArtifactsInput!$N$27+1,20,24,28,32,36,40),0)/100)))))/Skills!H8+0.000000001),1)))/Inputs!$B$43),G2767*Q2767)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8*((R2767-1)*IF(Skills!H8&gt;0,INT(Skills!I8/Skills!H8+0.000000001),1)+IF(Skills!H8&gt;0,INT(MIN(Skills!I8,MAX(0,MAX(0,Inputs!$B$43-B2801)-((R2767-1)*(IF(Inputs!$B$38="pvp",15,MAX(0.1,1-0.4*MIN(1,(B2796-1)/1.5)-IF(FALSE=TRUE,Inputs!$B$32,0)))*(1-IF(AND(ArtifactsInput!$M$27,Inputs!$B$4="Chapter Hunt"),CHOOSE(ArtifactsInput!$N$27+1,20,24,28,32,36,40),0)/100)))))/Skills!H8+0.000000001),1)))/Inputs!$B$43),G2767*Q2767))*IF(Inputs!$B$38="pvp",1,(1+(Inputs!$B$21+Skills!Q8+(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Skills!A9</f>
        <v/>
      </c>
      <c r="B2768">
        <f>Skills!B9</f>
        <v/>
      </c>
      <c r="C2768">
        <f>Inputs!$B$3&gt;=69</f>
        <v/>
      </c>
      <c r="D2768">
        <f>IF(Skills!C9=1,60+Inputs!$B$25+Inputs!$B$29,IF(Skills!C9=2,90+Inputs!$B$26+Inputs!$B$29,IF(Skills!C9=3,120+Inputs!$B$27+Inputs!$B$29,MAX(0,(Inputs!$B$3-100)*3)+Inputs!$B$28+Inputs!$B$29)))</f>
        <v/>
      </c>
      <c r="E2768">
        <f>INDEX(FactorTable!$B$2:$Y$301, MATCH(ROUND(MIN(300,MAX(1,D2768)),0), FactorTable!$A$2:$A$301,0), Skills!M9+1)</f>
        <v/>
      </c>
      <c r="F2768">
        <f>IF(Skills!N9=TRUE,(Skills!L9/10)*(E2768/1000),Skills!L9/10)+Skills!O9</f>
        <v/>
      </c>
      <c r="G2768">
        <f>Skills!G9*IF(Skills!H9&gt;0,INT(IF(Inputs!$B$38="pvp",MIN(Skills!I9,15),Skills!I9)/Skills!H9+0.000000001),1)</f>
        <v/>
      </c>
      <c r="H2768">
        <f>1-(1-Skills!J9/100)^Skills!K9</f>
        <v/>
      </c>
      <c r="I2768" t="inlineStr">
        <is>
          <t>1</t>
        </is>
      </c>
      <c r="J2768">
        <f>((Inputs!$B$6*(1+Inputs!$B$7/100))+(((Inputs!$B$12*(1+Inputs!$B$13/100))-(Inputs!$B$12*(1+Inputs!$B$13/100)))+0.25*(Inputs!$B$14-Inputs!$B$14))*(1+Inputs!$B$7/100))*(F2768/100)</f>
        <v/>
      </c>
      <c r="K2768">
        <f>J2768*(1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2771=TRUE,F2771,0)/100)*(1+(IF(Skills!A9="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2785=TRUE)*(F2785-Calc!F26)),(Inputs!$B$23+((C2790=TRUE)*(F2790-Calc!F31))+(IF(ArtifactsInput!$M$15,CHOOSE(ArtifactsInput!$N$15+1,25,30,35,40,45,50)/100*(Inputs!$B$11-Inputs!$B$11),0))))/100+(Inputs!$B$23+((C2790=TRUE)*(F2790-Calc!F31))+(IF(ArtifactsInput!$M$15,CHOOSE(ArtifactsInput!$N$15+1,25,30,35,40,45,50)/100*(Inputs!$B$11-Inputs!$B$11),0)))/100)/2</f>
        <v/>
      </c>
      <c r="M2768">
        <f>L2768*(1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IF(B2804=0,0,O2768/B2804)</f>
        <v/>
      </c>
      <c r="Q2768">
        <f>IFERROR(1/(IF(Inputs!$B$38="pvp",15,MAX(0.1,Skills!D9-IF(TRUE=TRUE,Inputs!$B$32,0)))*(1-IF(AND(ArtifactsInput!$M$27,Inputs!$B$4="Chapter Hunt"),CHOOSE(ArtifactsInput!$N$27+1,20,24,28,32,36,40),0)/100)),0)</f>
        <v/>
      </c>
      <c r="R2768">
        <f>IF(AND(Inputs!$B$38&lt;&gt;"pvp",Inputs!$B$43&gt;0),IF(MAX(0,Inputs!$B$43-B2801)&lt;=0,0,(INT(MAX(0,Inputs!$B$43-B2801)/(IF(Inputs!$B$38="pvp",15,MAX(0.1,Skills!D9-IF(TRUE=TRUE,Inputs!$B$32,0)))*(1-IF(AND(ArtifactsInput!$M$27,Inputs!$B$4="Chapter Hunt"),CHOOSE(ArtifactsInput!$N$27+1,20,24,28,32,36,40),0)/100)))+1)),0)</f>
        <v/>
      </c>
      <c r="S2768">
        <f>IFERROR(O2768/N2768,0)</f>
        <v/>
      </c>
      <c r="T2768">
        <f>IF(C2768,(H2768*N2768*IF(AND(Inputs!$B$38&lt;&gt;"pvp",Inputs!$B$43&gt;0),((Skills!G9*((R2768-1)*IF(Skills!H9&gt;0,INT(Skills!I9/Skills!H9+0.000000001),1)+IF(Skills!H9&gt;0,INT(MIN(Skills!I9,MAX(0,MAX(0,Inputs!$B$43-B2801)-((R2768-1)*(IF(Inputs!$B$38="pvp",15,MAX(0.1,Skills!D9-IF(TRUE=TRUE,Inputs!$B$32,0)))*(1-IF(AND(ArtifactsInput!$M$27,Inputs!$B$4="Chapter Hunt"),CHOOSE(ArtifactsInput!$N$27+1,20,24,28,32,36,40),0)/100)))))/Skills!H9+0.000000001),1)))/Inputs!$B$43),G2768*Q2768)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9*((R2768-1)*IF(Skills!H9&gt;0,INT(Skills!I9/Skills!H9+0.000000001),1)+IF(Skills!H9&gt;0,INT(MIN(Skills!I9,MAX(0,MAX(0,Inputs!$B$43-B2801)-((R2768-1)*(IF(Inputs!$B$38="pvp",15,MAX(0.1,Skills!D9-IF(TRUE=TRUE,Inputs!$B$32,0)))*(1-IF(AND(ArtifactsInput!$M$27,Inputs!$B$4="Chapter Hunt"),CHOOSE(ArtifactsInput!$N$27+1,20,24,28,32,36,40),0)/100)))))/Skills!H9+0.000000001),1)))/Inputs!$B$43),G2768*Q2768))*IF(Inputs!$B$38="pvp",1,(1+(Inputs!$B$21+Skills!Q9+(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Skills!A10</f>
        <v/>
      </c>
      <c r="B2769">
        <f>Skills!B10</f>
        <v/>
      </c>
      <c r="C2769">
        <f>Inputs!$B$3&gt;=63</f>
        <v/>
      </c>
      <c r="D2769">
        <f>IF(Skills!C10=1,60+Inputs!$B$25+Inputs!$B$29,IF(Skills!C10=2,90+Inputs!$B$26+Inputs!$B$29,IF(Skills!C10=3,120+Inputs!$B$27+Inputs!$B$29,MAX(0,(Inputs!$B$3-100)*3)+Inputs!$B$28+Inputs!$B$29)))</f>
        <v/>
      </c>
      <c r="E2769">
        <f>INDEX(FactorTable!$B$2:$Y$301, MATCH(ROUND(MIN(300,MAX(1,D2769)),0), FactorTable!$A$2:$A$301,0), Skills!M10+1)</f>
        <v/>
      </c>
      <c r="F2769">
        <f>IF(Skills!N10=TRUE,(Skills!L10/10)*(E2769/1000),Skills!L10/10)+Skills!O10</f>
        <v/>
      </c>
      <c r="G2769">
        <f>Skills!G10*IF(Skills!H10&gt;0,INT(IF(Inputs!$B$38="pvp",MIN(Skills!I10,15),Skills!I10)/Skills!H10+0.000000001),1)</f>
        <v/>
      </c>
      <c r="H2769">
        <f>1-(1-Skills!J10/100)^Skills!K10</f>
        <v/>
      </c>
      <c r="I2769" t="inlineStr">
        <is>
          <t>1</t>
        </is>
      </c>
      <c r="J2769">
        <f>((Inputs!$B$6*(1+Inputs!$B$7/100))+(((Inputs!$B$12*(1+Inputs!$B$13/100))-(Inputs!$B$12*(1+Inputs!$B$13/100)))+0.25*(Inputs!$B$14-Inputs!$B$14))*(1+Inputs!$B$7/100))*(F2769/100)</f>
        <v/>
      </c>
      <c r="K2769">
        <f>J2769*(1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10="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2785=TRUE)*(F2785-Calc!F26)),(Inputs!$B$23+((C2790=TRUE)*(F2790-Calc!F31))+(IF(ArtifactsInput!$M$15,CHOOSE(ArtifactsInput!$N$15+1,25,30,35,40,45,50)/100*(Inputs!$B$11-Inputs!$B$11),0))))/100+(Inputs!$B$23+((C2790=TRUE)*(F2790-Calc!F31))+(IF(ArtifactsInput!$M$15,CHOOSE(ArtifactsInput!$N$15+1,25,30,35,40,45,50)/100*(Inputs!$B$11-Inputs!$B$11),0)))/100)/2</f>
        <v/>
      </c>
      <c r="M2769">
        <f>L2769*(1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IF(B2804=0,0,O2769/B2804)</f>
        <v/>
      </c>
      <c r="Q2769">
        <f>IFERROR(1/(IF(Inputs!$B$38="pvp",15,MAX(0.1,Skills!D10-IF(TRUE=TRUE,Inputs!$B$32,0)))*(1-IF(AND(ArtifactsInput!$M$27,Inputs!$B$4="Chapter Hunt"),CHOOSE(ArtifactsInput!$N$27+1,20,24,28,32,36,40),0)/100)),0)</f>
        <v/>
      </c>
      <c r="R2769">
        <f>IF(AND(Inputs!$B$38&lt;&gt;"pvp",Inputs!$B$43&gt;0),IF(MAX(0,Inputs!$B$43-B2801)&lt;=0,0,(INT(MAX(0,Inputs!$B$43-B2801)/(IF(Inputs!$B$38="pvp",15,MAX(0.1,Skills!D10-IF(TRUE=TRUE,Inputs!$B$32,0)))*(1-IF(AND(ArtifactsInput!$M$27,Inputs!$B$4="Chapter Hunt"),CHOOSE(ArtifactsInput!$N$27+1,20,24,28,32,36,40),0)/100)))+1)),0)</f>
        <v/>
      </c>
      <c r="S2769">
        <f>IFERROR(O2769/N2769,0)</f>
        <v/>
      </c>
      <c r="T2769">
        <f>IF(C2769,(H2769*N2769*IF(AND(Inputs!$B$38&lt;&gt;"pvp",Inputs!$B$43&gt;0),((Skills!G10*((R2769-1)*IF(Skills!H10&gt;0,INT(Skills!I10/Skills!H10+0.000000001),1)+IF(Skills!H10&gt;0,INT(MIN(Skills!I10,MAX(0,MAX(0,Inputs!$B$43-B2801)-((R2769-1)*(IF(Inputs!$B$38="pvp",15,MAX(0.1,Skills!D10-IF(TRUE=TRUE,Inputs!$B$32,0)))*(1-IF(AND(ArtifactsInput!$M$27,Inputs!$B$4="Chapter Hunt"),CHOOSE(ArtifactsInput!$N$27+1,20,24,28,32,36,40),0)/100)))))/Skills!H10+0.000000001),1)))/Inputs!$B$43),G2769*Q2769)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IF(AND(Inputs!$B$38&lt;&gt;"pvp",Inputs!$B$43&gt;0),((Skills!G10*((R2769-1)*IF(Skills!H10&gt;0,INT(Skills!I10/Skills!H10+0.000000001),1)+IF(Skills!H10&gt;0,INT(MIN(Skills!I10,MAX(0,MAX(0,Inputs!$B$43-B2801)-((R2769-1)*(IF(Inputs!$B$38="pvp",15,MAX(0.1,Skills!D10-IF(TRUE=TRUE,Inputs!$B$32,0)))*(1-IF(AND(ArtifactsInput!$M$27,Inputs!$B$4="Chapter Hunt"),CHOOSE(ArtifactsInput!$N$27+1,20,24,28,32,36,40),0)/100)))))/Skills!H10+0.000000001),1)))/Inputs!$B$43),G2769*Q2769))*IF(Inputs!$B$38="pvp",1,(1+(Inputs!$B$21+Skills!Q10+(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Skills!A11</f>
        <v/>
      </c>
      <c r="B2770">
        <f>Skills!B11</f>
        <v/>
      </c>
      <c r="C2770">
        <f>Inputs!$B$3&gt;=103</f>
        <v/>
      </c>
      <c r="D2770">
        <f>IF(Skills!C11=1,60+Inputs!$B$25+Inputs!$B$29,IF(Skills!C11=2,90+Inputs!$B$26+Inputs!$B$29,IF(Skills!C11=3,120+Inputs!$B$27+Inputs!$B$29,MAX(0,(Inputs!$B$3-100)*3)+Inputs!$B$28+Inputs!$B$29)))</f>
        <v/>
      </c>
      <c r="E2770">
        <f>INDEX(FactorTable!$B$2:$Y$301, MATCH(ROUND(MIN(300,MAX(1,D2770)),0), FactorTable!$A$2:$A$301,0), Skills!M11+1)</f>
        <v/>
      </c>
      <c r="F2770">
        <f>IF(Skills!N11=TRUE,(Skills!L11/10)*(E2770/1000),Skills!L11/10)+Skills!O11</f>
        <v/>
      </c>
      <c r="G2770">
        <f>Skills!G11*IF(Skills!H11&gt;0,INT(IF(Inputs!$B$38="pvp",MIN(Skills!I11,15),Skills!I11)/Skills!H11+0.000000001),1)</f>
        <v/>
      </c>
      <c r="H2770">
        <f>1-(1-Skills!J11/100)^Skills!K11</f>
        <v/>
      </c>
      <c r="I2770" t="inlineStr">
        <is>
          <t>1</t>
        </is>
      </c>
      <c r="J2770">
        <f>((Inputs!$B$6*(1+Inputs!$B$7/100))+(((Inputs!$B$12*(1+Inputs!$B$13/100))-(Inputs!$B$12*(1+Inputs!$B$13/100)))+0.25*(Inputs!$B$14-Inputs!$B$14))*(1+Inputs!$B$7/100))*(F2770/100)</f>
        <v/>
      </c>
      <c r="K2770">
        <f>J2770*(1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2785=TRUE)*(F2785-Calc!F26)),(Inputs!$B$23+((C2790=TRUE)*(F2790-Calc!F31))+(IF(ArtifactsInput!$M$15,CHOOSE(ArtifactsInput!$N$15+1,25,30,35,40,45,50)/100*(Inputs!$B$11-Inputs!$B$11),0))))/100+(Inputs!$B$23+((C2790=TRUE)*(F2790-Calc!F31))+(IF(ArtifactsInput!$M$15,CHOOSE(ArtifactsInput!$N$15+1,25,30,35,40,45,50)/100*(Inputs!$B$11-Inputs!$B$11),0)))/100)/2</f>
        <v/>
      </c>
      <c r="M2770">
        <f>L2770*(1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IF(B2804=0,0,O2770/B2804)</f>
        <v/>
      </c>
      <c r="Q2770">
        <f>IFERROR(1/(IF(Inputs!$B$38="pvp",15,MAX(0.1,Skills!D11-IF(TRUE=TRUE,Inputs!$B$32,0)))*(1-IF(AND(ArtifactsInput!$M$27,Inputs!$B$4="Chapter Hunt"),CHOOSE(ArtifactsInput!$N$27+1,20,24,28,32,36,40),0)/100)),0)</f>
        <v/>
      </c>
      <c r="R2770">
        <f>IF(AND(Inputs!$B$38&lt;&gt;"pvp",Inputs!$B$43&gt;0),IF(MAX(0,Inputs!$B$43-B2801)&lt;=0,0,(INT(MAX(0,Inputs!$B$43-B2801)/(IF(Inputs!$B$38="pvp",15,MAX(0.1,Skills!D11-IF(TRUE=TRUE,Inputs!$B$32,0)))*(1-IF(AND(ArtifactsInput!$M$27,Inputs!$B$4="Chapter Hunt"),CHOOSE(ArtifactsInput!$N$27+1,20,24,28,32,36,40),0)/100)))+1)),0)</f>
        <v/>
      </c>
      <c r="S2770">
        <f>IFERROR(O2770/N2770,0)</f>
        <v/>
      </c>
      <c r="T2770">
        <f>IF(C2770,(H2770*N2770*IF(AND(Inputs!$B$38&lt;&gt;"pvp",Inputs!$B$43&gt;0),((Skills!G11*((R2770-1)*IF(Skills!H11&gt;0,INT(Skills!I11/Skills!H11+0.000000001),1)+IF(Skills!H11&gt;0,INT(MIN(Skills!I11,MAX(0,MAX(0,Inputs!$B$43-B2801)-((R2770-1)*(IF(Inputs!$B$38="pvp",15,MAX(0.1,Skills!D11-IF(TRUE=TRUE,Inputs!$B$32,0)))*(1-IF(AND(ArtifactsInput!$M$27,Inputs!$B$4="Chapter Hunt"),CHOOSE(ArtifactsInput!$N$27+1,20,24,28,32,36,40),0)/100)))))/Skills!H11+0.000000001),1)))/Inputs!$B$43),G2770*Q2770)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11*((R2770-1)*IF(Skills!H11&gt;0,INT(Skills!I11/Skills!H11+0.000000001),1)+IF(Skills!H11&gt;0,INT(MIN(Skills!I11,MAX(0,MAX(0,Inputs!$B$43-B2801)-((R2770-1)*(IF(Inputs!$B$38="pvp",15,MAX(0.1,Skills!D11-IF(TRUE=TRUE,Inputs!$B$32,0)))*(1-IF(AND(ArtifactsInput!$M$27,Inputs!$B$4="Chapter Hunt"),CHOOSE(ArtifactsInput!$N$27+1,20,24,28,32,36,40),0)/100)))))/Skills!H11+0.000000001),1)))/Inputs!$B$43),G2770*Q2770))*IF(Inputs!$B$38="pvp",1,(1+(Inputs!$B$21+Skills!Q11+(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Skills!A12</f>
        <v/>
      </c>
      <c r="B2771">
        <f>Skills!B12</f>
        <v/>
      </c>
      <c r="C2771">
        <f>Inputs!$B$3&gt;=100</f>
        <v/>
      </c>
      <c r="D2771">
        <f>IF(Skills!C12=1,60+Inputs!$B$25+Inputs!$B$29,IF(Skills!C12=2,90+Inputs!$B$26+Inputs!$B$29,IF(Skills!C12=3,120+Inputs!$B$27+Inputs!$B$29,MAX(0,(Inputs!$B$3-100)*3)+Inputs!$B$28+Inputs!$B$29)))</f>
        <v/>
      </c>
      <c r="E2771">
        <f>INDEX(FactorTable!$B$2:$Y$301, MATCH(ROUND(MIN(300,MAX(1,D2771)),0), FactorTable!$A$2:$A$301,0), Skills!M12+1)</f>
        <v/>
      </c>
      <c r="F2771">
        <f>IF(Skills!N12=TRUE,(Skills!L12/10)*(E2771/1000),Skills!L12/10)+Skills!O12</f>
        <v/>
      </c>
      <c r="G2771" t="inlineStr"/>
      <c r="H2771" t="inlineStr"/>
      <c r="I2771" t="inlineStr">
        <is>
          <t>1</t>
        </is>
      </c>
      <c r="J2771" t="inlineStr"/>
      <c r="K2771" t="inlineStr"/>
      <c r="L2771" t="inlineStr"/>
      <c r="M2771" t="inlineStr"/>
      <c r="N2771" t="inlineStr"/>
      <c r="O2771" t="inlineStr"/>
      <c r="P2771" t="inlineStr"/>
      <c r="Q2771" t="inlineStr"/>
      <c r="R2771" t="inlineStr"/>
      <c r="S2771" t="inlineStr"/>
      <c r="T2771" t="inlineStr"/>
      <c r="V2771" t="inlineStr"/>
    </row>
    <row r="2772">
      <c r="A2772">
        <f>Skills!A13</f>
        <v/>
      </c>
      <c r="B2772">
        <f>Skills!B13</f>
        <v/>
      </c>
      <c r="C2772">
        <f>Inputs!$B$3&gt;=60</f>
        <v/>
      </c>
      <c r="D2772">
        <f>IF(Skills!C13=1,60+Inputs!$B$25+Inputs!$B$29,IF(Skills!C13=2,90+Inputs!$B$26+Inputs!$B$29,IF(Skills!C13=3,120+Inputs!$B$27+Inputs!$B$29,MAX(0,(Inputs!$B$3-100)*3)+Inputs!$B$28+Inputs!$B$29)))</f>
        <v/>
      </c>
      <c r="E2772">
        <f>INDEX(FactorTable!$B$2:$Y$301, MATCH(ROUND(MIN(300,MAX(1,D2772)),0), FactorTable!$A$2:$A$301,0), Skills!M13+1)</f>
        <v/>
      </c>
      <c r="F2772">
        <f>IF(Skills!N13=TRUE,(Skills!L13/10)*(E2772/1000),Skills!L13/10)+Skills!O13</f>
        <v/>
      </c>
      <c r="G2772">
        <f>Skills!G13*IF(Skills!H13&gt;0,INT(IF(Inputs!$B$38="pvp",MIN(Skills!I13,15),Skills!I13)/Skills!H13+0.000000001),1)</f>
        <v/>
      </c>
      <c r="H2772">
        <f>1-(1-Skills!J13/100)^Skills!K13</f>
        <v/>
      </c>
      <c r="I2772" t="inlineStr">
        <is>
          <t>1</t>
        </is>
      </c>
      <c r="J2772">
        <f>((Inputs!$B$6*(1+Inputs!$B$7/100))+(((Inputs!$B$12*(1+Inputs!$B$13/100))-(Inputs!$B$12*(1+Inputs!$B$13/100)))+0.25*(Inputs!$B$14-Inputs!$B$14))*(1+Inputs!$B$7/100))*(F2772/100)</f>
        <v/>
      </c>
      <c r="K2772">
        <f>J2772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2773=TRUE,F2773,0)/100)*(1+(IF(Skills!A13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2785=TRUE)*(F2785-Calc!F26)),(Inputs!$B$23+((C2790=TRUE)*(F2790-Calc!F31))+(IF(ArtifactsInput!$M$15,CHOOSE(ArtifactsInput!$N$15+1,25,30,35,40,45,50)/100*(Inputs!$B$11-Inputs!$B$11),0))))/100+(Inputs!$B$23+((C2790=TRUE)*(F2790-Calc!F31))+(IF(ArtifactsInput!$M$15,CHOOSE(ArtifactsInput!$N$15+1,25,30,35,40,45,50)/100*(Inputs!$B$11-Inputs!$B$11),0)))/100)/2</f>
        <v/>
      </c>
      <c r="M2772">
        <f>L2772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IF(B2804=0,0,O2772/B2804)</f>
        <v/>
      </c>
      <c r="Q2772">
        <f>IFERROR(1/(IF(Inputs!$B$38="pvp",15,MAX(0.1,IF(Inputs!$B$3&gt;=122,3,5)+1/(((20+30*(B2796-1)*100/150)/100)*B2796)-IF(FALSE=TRUE,Inputs!$B$32,0)))*(1-IF(AND(ArtifactsInput!$M$27,Inputs!$B$4="Chapter Hunt"),CHOOSE(ArtifactsInput!$N$27+1,20,24,28,32,36,40),0)/100)),0)</f>
        <v/>
      </c>
      <c r="R2772">
        <f>IF(AND(Inputs!$B$38&lt;&gt;"pvp",Inputs!$B$43&gt;0),IF(MAX(0,Inputs!$B$43-B2801)&lt;=0,0,(INT(MAX(0,Inputs!$B$43-B2801)/(IF(Inputs!$B$38="pvp",15,MAX(0.1,IF(Inputs!$B$3&gt;=122,3,5)+1/(((20+30*(B2796-1)*100/150)/100)*B2796)-IF(FALSE=TRUE,Inputs!$B$32,0)))*(1-IF(AND(ArtifactsInput!$M$27,Inputs!$B$4="Chapter Hunt"),CHOOSE(ArtifactsInput!$N$27+1,20,24,28,32,36,40),0)/100)))+1)),0)</f>
        <v/>
      </c>
      <c r="S2772">
        <f>IFERROR(O2772/N2772,0)</f>
        <v/>
      </c>
      <c r="T2772">
        <f>IF(C2772,(H2772*N2772*IF(AND(Inputs!$B$38&lt;&gt;"pvp",Inputs!$B$43&gt;0),((Skills!G13*((R2772-1)*IF(Skills!H13&gt;0,INT(Skills!I13/Skills!H13+0.000000001),1)+IF(Skills!H13&gt;0,INT(MIN(Skills!I13,MAX(0,MAX(0,Inputs!$B$43-B2801)-((R2772-1)*(IF(Inputs!$B$38="pvp",15,MAX(0.1,IF(Inputs!$B$3&gt;=122,3,5)+1/(((20+30*(B2796-1)*100/150)/100)*B2796)-IF(FALSE=TRUE,Inputs!$B$32,0)))*(1-IF(AND(ArtifactsInput!$M$27,Inputs!$B$4="Chapter Hunt"),CHOOSE(ArtifactsInput!$N$27+1,20,24,28,32,36,40),0)/100)))))/Skills!H13+0.000000001),1)))/Inputs!$B$43),G2772*Q2772)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13*((R2772-1)*IF(Skills!H13&gt;0,INT(Skills!I13/Skills!H13+0.000000001),1)+IF(Skills!H13&gt;0,INT(MIN(Skills!I13,MAX(0,MAX(0,Inputs!$B$43-B2801)-((R2772-1)*(IF(Inputs!$B$38="pvp",15,MAX(0.1,IF(Inputs!$B$3&gt;=122,3,5)+1/(((20+30*(B2796-1)*100/150)/100)*B2796)-IF(FALSE=TRUE,Inputs!$B$32,0)))*(1-IF(AND(ArtifactsInput!$M$27,Inputs!$B$4="Chapter Hunt"),CHOOSE(ArtifactsInput!$N$27+1,20,24,28,32,36,40),0)/100)))))/Skills!H13+0.000000001),1)))/Inputs!$B$43),G2772*Q2772))*IF(Inputs!$B$38="pvp",1,(1+(Inputs!$B$21+Skills!Q13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Skills!A14</f>
        <v/>
      </c>
      <c r="B2773">
        <f>Skills!B14</f>
        <v/>
      </c>
      <c r="C2773">
        <f>Inputs!$B$3&gt;=110</f>
        <v/>
      </c>
      <c r="D2773">
        <f>IF(Skills!C14=1,60+Inputs!$B$25+Inputs!$B$29,IF(Skills!C14=2,90+Inputs!$B$26+Inputs!$B$29,IF(Skills!C14=3,120+Inputs!$B$27+Inputs!$B$29,MAX(0,(Inputs!$B$3-100)*3)+Inputs!$B$28+Inputs!$B$29)))</f>
        <v/>
      </c>
      <c r="E2773">
        <f>INDEX(FactorTable!$B$2:$Y$301, MATCH(ROUND(MIN(300,MAX(1,D2773)),0), FactorTable!$A$2:$A$301,0), Skills!M14+1)</f>
        <v/>
      </c>
      <c r="F2773">
        <f>IF(Skills!N14=TRUE,(Skills!L14/10)*(E2773/1000),Skills!L14/10)+Skills!O14</f>
        <v/>
      </c>
      <c r="G2773" t="inlineStr"/>
      <c r="H2773" t="inlineStr"/>
      <c r="I2773" t="inlineStr">
        <is>
          <t>1</t>
        </is>
      </c>
      <c r="J2773" t="inlineStr"/>
      <c r="K2773" t="inlineStr"/>
      <c r="L2773" t="inlineStr"/>
      <c r="M2773" t="inlineStr"/>
      <c r="N2773" t="inlineStr"/>
      <c r="O2773" t="inlineStr"/>
      <c r="P2773" t="inlineStr"/>
      <c r="Q2773" t="inlineStr"/>
      <c r="R2773" t="inlineStr"/>
      <c r="S2773" t="inlineStr"/>
      <c r="T2773" t="inlineStr"/>
      <c r="V2773" t="inlineStr"/>
    </row>
    <row r="2774">
      <c r="A2774">
        <f>Skills!A15</f>
        <v/>
      </c>
      <c r="B2774">
        <f>Skills!B15</f>
        <v/>
      </c>
      <c r="C2774">
        <f>Inputs!$B$3&gt;=74</f>
        <v/>
      </c>
      <c r="D2774">
        <f>IF(Skills!C15=1,60+Inputs!$B$25+Inputs!$B$29,IF(Skills!C15=2,90+Inputs!$B$26+Inputs!$B$29,IF(Skills!C15=3,120+Inputs!$B$27+Inputs!$B$29,MAX(0,(Inputs!$B$3-100)*3)+Inputs!$B$28+Inputs!$B$29)))</f>
        <v/>
      </c>
      <c r="E2774">
        <f>INDEX(FactorTable!$B$2:$Y$301, MATCH(ROUND(MIN(300,MAX(1,D2774)),0), FactorTable!$A$2:$A$301,0), Skills!M15+1)</f>
        <v/>
      </c>
      <c r="F2774">
        <f>IF(Skills!N15=TRUE,(Skills!L15/10)*(E2774/1000),Skills!L15/10)+Skills!O15</f>
        <v/>
      </c>
      <c r="G2774">
        <f>Skills!G15*IF(Skills!H15&gt;0,INT(IF(Inputs!$B$38="pvp",MIN(Skills!I15,15),Skills!I15)/Skills!H15+0.000000001),1)</f>
        <v/>
      </c>
      <c r="H2774">
        <f>1-(1-Skills!J15/100)^Skills!K15</f>
        <v/>
      </c>
      <c r="I2774" t="inlineStr">
        <is>
          <t>1</t>
        </is>
      </c>
      <c r="J2774" t="inlineStr"/>
      <c r="K2774" t="inlineStr"/>
      <c r="L2774" t="inlineStr"/>
      <c r="M2774" t="inlineStr"/>
      <c r="N2774" t="inlineStr"/>
      <c r="O2774">
        <f>(1-Summary!$B$11)*T2774+Summary!$B$11*V2774</f>
        <v/>
      </c>
      <c r="P2774">
        <f>IF(B2804=0,0,O2774/B2804)</f>
        <v/>
      </c>
      <c r="Q2774" t="n">
        <v>0</v>
      </c>
      <c r="R2774" t="n">
        <v>0</v>
      </c>
      <c r="S2774">
        <f>IFERROR(O2774/N2774,0)</f>
        <v/>
      </c>
      <c r="T2774" t="n">
        <v>0</v>
      </c>
      <c r="V2774" t="n">
        <v>0</v>
      </c>
    </row>
    <row r="2775">
      <c r="A2775">
        <f>Skills!A16</f>
        <v/>
      </c>
      <c r="B2775">
        <f>Skills!B16</f>
        <v/>
      </c>
      <c r="C2775">
        <f>Inputs!$B$3&gt;=74</f>
        <v/>
      </c>
      <c r="D2775">
        <f>IF(Skills!C16=1,60+Inputs!$B$25+Inputs!$B$29,IF(Skills!C16=2,90+Inputs!$B$26+Inputs!$B$29,IF(Skills!C16=3,120+Inputs!$B$27+Inputs!$B$29,MAX(0,(Inputs!$B$3-100)*3)+Inputs!$B$28+Inputs!$B$29)))</f>
        <v/>
      </c>
      <c r="E2775">
        <f>INDEX(FactorTable!$B$2:$Y$301, MATCH(ROUND(MIN(300,MAX(1,D2775)),0), FactorTable!$A$2:$A$301,0), Skills!M16+1)</f>
        <v/>
      </c>
      <c r="F2775">
        <f>IF(Skills!N16=TRUE,(Skills!L16/10)*(E2775/1000),Skills!L16/10)+Skills!O16</f>
        <v/>
      </c>
      <c r="G2775">
        <f>Skills!G16*IF(Skills!H16&gt;0,INT(IF(Inputs!$B$38="pvp",MIN(Skills!I16,15),Skills!I16)/Skills!H16+0.000000001),1)</f>
        <v/>
      </c>
      <c r="H2775">
        <f>1-(1-Skills!J16/100)^Skills!K16</f>
        <v/>
      </c>
      <c r="I2775" t="inlineStr">
        <is>
          <t>1</t>
        </is>
      </c>
      <c r="J2775" t="inlineStr"/>
      <c r="K2775" t="inlineStr"/>
      <c r="L2775" t="inlineStr"/>
      <c r="M2775" t="inlineStr"/>
      <c r="N2775" t="inlineStr"/>
      <c r="O2775">
        <f>(1-Summary!$B$11)*T2775+Summary!$B$11*V2775</f>
        <v/>
      </c>
      <c r="P2775">
        <f>IF(B2804=0,0,O2775/B2804)</f>
        <v/>
      </c>
      <c r="Q2775" t="n">
        <v>0</v>
      </c>
      <c r="R2775" t="n">
        <v>0</v>
      </c>
      <c r="S2775">
        <f>IFERROR(O2775/N2775,0)</f>
        <v/>
      </c>
      <c r="T2775" t="n">
        <v>0</v>
      </c>
      <c r="V2775" t="n">
        <v>0</v>
      </c>
    </row>
    <row r="2776">
      <c r="A2776">
        <f>Skills!A17</f>
        <v/>
      </c>
      <c r="B2776">
        <f>Skills!B17</f>
        <v/>
      </c>
      <c r="C2776">
        <f>Inputs!$B$3&gt;=117</f>
        <v/>
      </c>
      <c r="D2776">
        <f>IF(Skills!C17=1,60+Inputs!$B$25+Inputs!$B$29,IF(Skills!C17=2,90+Inputs!$B$26+Inputs!$B$29,IF(Skills!C17=3,120+Inputs!$B$27+Inputs!$B$29,MAX(0,(Inputs!$B$3-100)*3)+Inputs!$B$28+Inputs!$B$29)))</f>
        <v/>
      </c>
      <c r="E2776">
        <f>INDEX(FactorTable!$B$2:$Y$301, MATCH(ROUND(MIN(300,MAX(1,D2776)),0), FactorTable!$A$2:$A$301,0), Skills!M17+1)</f>
        <v/>
      </c>
      <c r="F2776">
        <f>IF(Skills!N17=TRUE,(Skills!L17/10)*(E2776/1000),Skills!L17/10)+Skills!O17</f>
        <v/>
      </c>
      <c r="G2776">
        <f>Skills!G17*IF(Skills!H17&gt;0,INT(IF(Inputs!$B$38="pvp",MIN(Skills!I17,15),Skills!I17)/Skills!H17+0.000000001),1)</f>
        <v/>
      </c>
      <c r="H2776">
        <f>1-(1-Skills!J17/100)^Skills!K17</f>
        <v/>
      </c>
      <c r="I2776" t="inlineStr">
        <is>
          <t>1</t>
        </is>
      </c>
      <c r="J2776" t="inlineStr"/>
      <c r="K2776" t="inlineStr"/>
      <c r="L2776" t="inlineStr"/>
      <c r="M2776" t="inlineStr"/>
      <c r="N2776" t="inlineStr"/>
      <c r="O2776">
        <f>(1-Summary!$B$11)*T2776+Summary!$B$11*V2776</f>
        <v/>
      </c>
      <c r="P2776">
        <f>IF(B2804=0,0,O2776/B2804)</f>
        <v/>
      </c>
      <c r="Q2776">
        <f>IFERROR(1/(IF(Inputs!$B$38="pvp",15,MAX(0.1,Skills!D17-IF(TRUE=TRUE,Inputs!$B$32,0)))*(1-IF(AND(ArtifactsInput!$M$27,Inputs!$B$4="Chapter Hunt"),CHOOSE(ArtifactsInput!$N$27+1,20,24,28,32,36,40),0)/100)),0)</f>
        <v/>
      </c>
      <c r="R2776">
        <f>IF(AND(Inputs!$B$38&lt;&gt;"pvp",Inputs!$B$43&gt;0),IF(Inputs!$B$43&lt;=0,0,(INT(Inputs!$B$43/(IF(Inputs!$B$38="pvp",15,MAX(0.1,Skills!D17-IF(TRUE=TRUE,Inputs!$B$32,0)))*(1-IF(AND(ArtifactsInput!$M$27,Inputs!$B$4="Chapter Hunt"),CHOOSE(ArtifactsInput!$N$27+1,20,24,28,32,36,40),0)/100)))+1)),0)</f>
        <v/>
      </c>
      <c r="S2776">
        <f>IFERROR(O2776/N2776,0)</f>
        <v/>
      </c>
      <c r="T2776" t="n">
        <v>0</v>
      </c>
      <c r="V2776" t="n">
        <v>0</v>
      </c>
    </row>
    <row r="2777">
      <c r="A2777">
        <f>Skills!A18</f>
        <v/>
      </c>
      <c r="B2777">
        <f>Skills!B18</f>
        <v/>
      </c>
      <c r="C2777">
        <f>Inputs!$B$3&gt;=115</f>
        <v/>
      </c>
      <c r="D2777">
        <f>IF(Skills!C18=1,60+Inputs!$B$25+Inputs!$B$29,IF(Skills!C18=2,90+Inputs!$B$26+Inputs!$B$29,IF(Skills!C18=3,120+Inputs!$B$27+Inputs!$B$29,MAX(0,(Inputs!$B$3-100)*3)+Inputs!$B$28+Inputs!$B$29)))</f>
        <v/>
      </c>
      <c r="E2777">
        <f>INDEX(FactorTable!$B$2:$Y$301, MATCH(ROUND(MIN(300,MAX(1,D2777)),0), FactorTable!$A$2:$A$301,0), Skills!M18+1)</f>
        <v/>
      </c>
      <c r="F2777">
        <f>IF(Skills!N18=TRUE,(Skills!L18/10)*(E2777/1000),Skills!L18/10)+Skills!O18</f>
        <v/>
      </c>
      <c r="G2777">
        <f>Skills!G18*IF(Skills!H18&gt;0,INT(IF(Inputs!$B$38="pvp",MIN(Skills!I18,15),Skills!I18)/Skills!H18+0.000000001),1)</f>
        <v/>
      </c>
      <c r="H2777">
        <f>1-(1-Skills!J18/100)^Skills!K18</f>
        <v/>
      </c>
      <c r="I2777" t="inlineStr">
        <is>
          <t>1</t>
        </is>
      </c>
      <c r="J2777" t="inlineStr"/>
      <c r="K2777" t="inlineStr"/>
      <c r="L2777" t="inlineStr"/>
      <c r="M2777" t="inlineStr"/>
      <c r="N2777" t="inlineStr"/>
      <c r="O2777">
        <f>(1-Summary!$B$11)*T2777+Summary!$B$11*V2777</f>
        <v/>
      </c>
      <c r="P2777">
        <f>IF(B2804=0,0,O2777/B2804)</f>
        <v/>
      </c>
      <c r="Q2777">
        <f>IFERROR(1/(IF(Inputs!$B$38="pvp",15,MAX(0.1,Skills!D18-IF(TRUE=TRUE,Inputs!$B$32,0)))*(1-IF(AND(ArtifactsInput!$M$27,Inputs!$B$4="Chapter Hunt"),CHOOSE(ArtifactsInput!$N$27+1,20,24,28,32,36,40),0)/100)),0)</f>
        <v/>
      </c>
      <c r="R2777">
        <f>IF(AND(Inputs!$B$38&lt;&gt;"pvp",Inputs!$B$43&gt;0),IF(Inputs!$B$43&lt;=0,0,(INT(Inputs!$B$43/(IF(Inputs!$B$38="pvp",15,MAX(0.1,Skills!D18-IF(TRUE=TRUE,Inputs!$B$32,0)))*(1-IF(AND(ArtifactsInput!$M$27,Inputs!$B$4="Chapter Hunt"),CHOOSE(ArtifactsInput!$N$27+1,20,24,28,32,36,40),0)/100)))+1)),0)</f>
        <v/>
      </c>
      <c r="S2777">
        <f>IFERROR(O2777/N2777,0)</f>
        <v/>
      </c>
      <c r="T2777" t="n">
        <v>0</v>
      </c>
      <c r="V2777" t="n">
        <v>0</v>
      </c>
    </row>
    <row r="2778">
      <c r="A2778">
        <f>Skills!A19</f>
        <v/>
      </c>
      <c r="B2778">
        <f>Skills!B19</f>
        <v/>
      </c>
      <c r="C2778">
        <f>Inputs!$B$3&gt;=66</f>
        <v/>
      </c>
      <c r="D2778">
        <f>IF(Skills!C19=1,60+Inputs!$B$25+Inputs!$B$29,IF(Skills!C19=2,90+Inputs!$B$26+Inputs!$B$29,IF(Skills!C19=3,120+Inputs!$B$27+Inputs!$B$29,MAX(0,(Inputs!$B$3-100)*3)+Inputs!$B$28+Inputs!$B$29)))</f>
        <v/>
      </c>
      <c r="E2778">
        <f>INDEX(FactorTable!$B$2:$Y$301, MATCH(ROUND(MIN(300,MAX(1,D2778)),0), FactorTable!$A$2:$A$301,0), Skills!M19+1)</f>
        <v/>
      </c>
      <c r="F2778">
        <f>IF(Skills!N19=TRUE,(Skills!L19/10)*(E2778/1000),Skills!L19/10)+Skills!O19</f>
        <v/>
      </c>
      <c r="G2778">
        <f>Skills!G19*IF(Skills!H19&gt;0,INT(IF(Inputs!$B$38="pvp",MIN(Skills!I19,15),Skills!I19)/Skills!H19+0.000000001),1)</f>
        <v/>
      </c>
      <c r="H2778">
        <f>1-(1-Skills!J19/100)^Skills!K19</f>
        <v/>
      </c>
      <c r="I2778" t="inlineStr">
        <is>
          <t>1</t>
        </is>
      </c>
      <c r="J2778" t="inlineStr"/>
      <c r="K2778" t="inlineStr"/>
      <c r="L2778" t="inlineStr"/>
      <c r="M2778" t="inlineStr"/>
      <c r="N2778" t="inlineStr"/>
      <c r="O2778">
        <f>(1-Summary!$B$11)*T2778+Summary!$B$11*V2778</f>
        <v/>
      </c>
      <c r="P2778">
        <f>IF(B2804=0,0,O2778/B2804)</f>
        <v/>
      </c>
      <c r="Q2778" t="n">
        <v>0</v>
      </c>
      <c r="R2778" t="n">
        <v>0</v>
      </c>
      <c r="S2778">
        <f>IFERROR(O2778/N2778,0)</f>
        <v/>
      </c>
      <c r="T2778" t="n">
        <v>0</v>
      </c>
      <c r="V2778" t="n">
        <v>0</v>
      </c>
    </row>
    <row r="2779">
      <c r="A2779">
        <f>Skills!A20</f>
        <v/>
      </c>
      <c r="B2779">
        <f>Skills!B20</f>
        <v/>
      </c>
      <c r="C2779">
        <f>Inputs!$B$3&gt;=72</f>
        <v/>
      </c>
      <c r="D2779">
        <f>IF(Skills!C20=1,60+Inputs!$B$25+Inputs!$B$29,IF(Skills!C20=2,90+Inputs!$B$26+Inputs!$B$29,IF(Skills!C20=3,120+Inputs!$B$27+Inputs!$B$29,MAX(0,(Inputs!$B$3-100)*3)+Inputs!$B$28+Inputs!$B$29)))</f>
        <v/>
      </c>
      <c r="E2779">
        <f>INDEX(FactorTable!$B$2:$Y$301, MATCH(ROUND(MIN(300,MAX(1,D2779)),0), FactorTable!$A$2:$A$301,0), Skills!M20+1)</f>
        <v/>
      </c>
      <c r="F2779">
        <f>IF(Skills!N20=TRUE,(Skills!L20/10)*(E2779/1000),Skills!L20/10)+Skills!O20</f>
        <v/>
      </c>
      <c r="G2779">
        <f>Skills!G20*IF(Skills!H20&gt;0,INT(IF(Inputs!$B$38="pvp",MIN(Skills!I20,15),Skills!I20)/Skills!H20+0.000000001),1)</f>
        <v/>
      </c>
      <c r="H2779">
        <f>1-(1-Skills!J20/100)^Skills!K20</f>
        <v/>
      </c>
      <c r="I2779" t="inlineStr">
        <is>
          <t>1</t>
        </is>
      </c>
      <c r="J2779" t="inlineStr"/>
      <c r="K2779" t="inlineStr"/>
      <c r="L2779" t="inlineStr"/>
      <c r="M2779" t="inlineStr"/>
      <c r="N2779" t="inlineStr"/>
      <c r="O2779">
        <f>(1-Summary!$B$11)*T2779+Summary!$B$11*V2779</f>
        <v/>
      </c>
      <c r="P2779">
        <f>IF(B2804=0,0,O2779/B2804)</f>
        <v/>
      </c>
      <c r="Q2779" t="n">
        <v>0</v>
      </c>
      <c r="R2779" t="n">
        <v>0</v>
      </c>
      <c r="S2779">
        <f>IFERROR(O2779/N2779,0)</f>
        <v/>
      </c>
      <c r="T2779" t="n">
        <v>0</v>
      </c>
      <c r="V2779" t="n">
        <v>0</v>
      </c>
    </row>
    <row r="2780">
      <c r="A2780">
        <f>Skills!A21</f>
        <v/>
      </c>
      <c r="B2780">
        <f>Skills!B21</f>
        <v/>
      </c>
      <c r="C2780">
        <f>TRUE</f>
        <v/>
      </c>
      <c r="D2780">
        <f>IF(Skills!C21=1,60+Inputs!$B$25+Inputs!$B$29,IF(Skills!C21=2,90+Inputs!$B$26+Inputs!$B$29,IF(Skills!C21=3,120+Inputs!$B$27+Inputs!$B$29,MAX(0,(Inputs!$B$3-100)*3)+Inputs!$B$28+Inputs!$B$29)))</f>
        <v/>
      </c>
      <c r="E2780">
        <f>INDEX(FactorTable!$B$2:$Y$301, MATCH(ROUND(MIN(300,MAX(1,D2780)),0), FactorTable!$A$2:$A$301,0), Skills!M21+1)</f>
        <v/>
      </c>
      <c r="F2780">
        <f>IF(Skills!N21=TRUE,(Skills!L21/10)*(E2780/1000),Skills!L21/10)+Skills!O21</f>
        <v/>
      </c>
      <c r="G2780">
        <f>Skills!G21*IF(Skills!H21&gt;0,INT(IF(Inputs!$B$38="pvp",MIN(Skills!I21,15),Skills!I21)/Skills!H21+0.000000001),1)</f>
        <v/>
      </c>
      <c r="H2780">
        <f>1-(1-Skills!J21/100)^Skills!K21</f>
        <v/>
      </c>
      <c r="I2780" t="inlineStr">
        <is>
          <t>1</t>
        </is>
      </c>
      <c r="J2780" t="inlineStr"/>
      <c r="K2780" t="inlineStr"/>
      <c r="L2780" t="inlineStr"/>
      <c r="M2780" t="inlineStr"/>
      <c r="N2780" t="inlineStr"/>
      <c r="O2780">
        <f>(1-Summary!$B$11)*T2780+Summary!$B$11*V2780</f>
        <v/>
      </c>
      <c r="P2780">
        <f>IF(B2804=0,0,O2780/B2804)</f>
        <v/>
      </c>
      <c r="Q2780">
        <f>IFERROR(1/(IF(Inputs!$B$38="pvp",15,MAX(0.1,Skills!D21-IF(TRUE=TRUE,Inputs!$B$32,0)))*(1-IF(AND(ArtifactsInput!$M$27,Inputs!$B$4="Chapter Hunt"),CHOOSE(ArtifactsInput!$N$27+1,20,24,28,32,36,40),0)/100)),0)</f>
        <v/>
      </c>
      <c r="R2780">
        <f>IF(AND(Inputs!$B$38&lt;&gt;"pvp",Inputs!$B$43&gt;0),IF(Inputs!$B$43&lt;=0,0,(INT(Inputs!$B$43/(IF(Inputs!$B$38="pvp",15,MAX(0.1,Skills!D21-IF(TRUE=TRUE,Inputs!$B$32,0)))*(1-IF(AND(ArtifactsInput!$M$27,Inputs!$B$4="Chapter Hunt"),CHOOSE(ArtifactsInput!$N$27+1,20,24,28,32,36,40),0)/100)))+1)),0)</f>
        <v/>
      </c>
      <c r="S2780">
        <f>IFERROR(O2780/N2780,0)</f>
        <v/>
      </c>
      <c r="T2780" t="n">
        <v>0</v>
      </c>
      <c r="V2780" t="n">
        <v>0</v>
      </c>
    </row>
    <row r="2781">
      <c r="A2781">
        <f>Skills!A22</f>
        <v/>
      </c>
      <c r="B2781">
        <f>Skills!B22</f>
        <v/>
      </c>
      <c r="C2781">
        <f>Inputs!$B$3&gt;=15</f>
        <v/>
      </c>
      <c r="D2781">
        <f>IF(Skills!C22=1,60+Inputs!$B$25+Inputs!$B$29,IF(Skills!C22=2,90+Inputs!$B$26+Inputs!$B$29,IF(Skills!C22=3,120+Inputs!$B$27+Inputs!$B$29,MAX(0,(Inputs!$B$3-100)*3)+Inputs!$B$28+Inputs!$B$29)))</f>
        <v/>
      </c>
      <c r="E2781">
        <f>INDEX(FactorTable!$B$2:$Y$301, MATCH(ROUND(MIN(300,MAX(1,D2781)),0), FactorTable!$A$2:$A$301,0), Skills!M22+1)</f>
        <v/>
      </c>
      <c r="F2781">
        <f>IF(Skills!N22=TRUE,(Skills!L22/10)*(E2781/1000),Skills!L22/10)+Skills!O22</f>
        <v/>
      </c>
      <c r="G2781">
        <f>Skills!G22*IF(Skills!H22&gt;0,INT(IF(Inputs!$B$38="pvp",MIN(Skills!I22,15),Skills!I22)/Skills!H22+0.000000001),1)</f>
        <v/>
      </c>
      <c r="H2781">
        <f>1-(1-Skills!J22/100)^Skills!K22</f>
        <v/>
      </c>
      <c r="I2781" t="inlineStr">
        <is>
          <t>1</t>
        </is>
      </c>
      <c r="J2781" t="inlineStr"/>
      <c r="K2781" t="inlineStr"/>
      <c r="L2781" t="inlineStr"/>
      <c r="M2781" t="inlineStr"/>
      <c r="N2781" t="inlineStr"/>
      <c r="O2781">
        <f>(1-Summary!$B$11)*T2781+Summary!$B$11*V2781</f>
        <v/>
      </c>
      <c r="P2781">
        <f>IF(B2804=0,0,O2781/B2804)</f>
        <v/>
      </c>
      <c r="Q2781" t="n">
        <v>0</v>
      </c>
      <c r="R2781" t="n">
        <v>0</v>
      </c>
      <c r="S2781">
        <f>IFERROR(O2781/N2781,0)</f>
        <v/>
      </c>
      <c r="T2781" t="n">
        <v>0</v>
      </c>
      <c r="V2781" t="n">
        <v>0</v>
      </c>
    </row>
    <row r="2782">
      <c r="A2782">
        <f>Skills!A23</f>
        <v/>
      </c>
      <c r="B2782">
        <f>Skills!B23</f>
        <v/>
      </c>
      <c r="C2782">
        <f>Inputs!$B$3&gt;=10</f>
        <v/>
      </c>
      <c r="D2782">
        <f>IF(Skills!C23=1,60+Inputs!$B$25+Inputs!$B$29,IF(Skills!C23=2,90+Inputs!$B$26+Inputs!$B$29,IF(Skills!C23=3,120+Inputs!$B$27+Inputs!$B$29,MAX(0,(Inputs!$B$3-100)*3)+Inputs!$B$28+Inputs!$B$29)))</f>
        <v/>
      </c>
      <c r="E2782">
        <f>INDEX(FactorTable!$B$2:$Y$301, MATCH(ROUND(MIN(300,MAX(1,D2782)),0), FactorTable!$A$2:$A$301,0), Skills!M23+1)</f>
        <v/>
      </c>
      <c r="F2782">
        <f>IF(Skills!N23=TRUE,(Skills!L23/10)*(E2782/1000),Skills!L23/10)+Skills!O23</f>
        <v/>
      </c>
      <c r="G2782">
        <f>Skills!G23*IF(Skills!H23&gt;0,INT(IF(Inputs!$B$38="pvp",MIN(Skills!I23,15),Skills!I23)/Skills!H23+0.000000001),1)</f>
        <v/>
      </c>
      <c r="H2782">
        <f>1-(1-Skills!J23/100)^Skills!K23</f>
        <v/>
      </c>
      <c r="I2782" t="inlineStr">
        <is>
          <t>1</t>
        </is>
      </c>
      <c r="J2782" t="inlineStr"/>
      <c r="K2782" t="inlineStr"/>
      <c r="L2782" t="inlineStr"/>
      <c r="M2782" t="inlineStr"/>
      <c r="N2782" t="inlineStr"/>
      <c r="O2782">
        <f>(1-Summary!$B$11)*T2782+Summary!$B$11*V2782</f>
        <v/>
      </c>
      <c r="P2782">
        <f>IF(B2804=0,0,O2782/B2804)</f>
        <v/>
      </c>
      <c r="Q2782" t="n">
        <v>0</v>
      </c>
      <c r="R2782" t="n">
        <v>0</v>
      </c>
      <c r="S2782">
        <f>IFERROR(O2782/N2782,0)</f>
        <v/>
      </c>
      <c r="T2782" t="n">
        <v>0</v>
      </c>
      <c r="V2782" t="n">
        <v>0</v>
      </c>
    </row>
    <row r="2783">
      <c r="A2783">
        <f>Skills!A24</f>
        <v/>
      </c>
      <c r="B2783">
        <f>Skills!B24</f>
        <v/>
      </c>
      <c r="C2783">
        <f>Inputs!$B$3&gt;=33</f>
        <v/>
      </c>
      <c r="D2783">
        <f>IF(Skills!C24=1,60+Inputs!$B$25+Inputs!$B$29,IF(Skills!C24=2,90+Inputs!$B$26+Inputs!$B$29,IF(Skills!C24=3,120+Inputs!$B$27+Inputs!$B$29,MAX(0,(Inputs!$B$3-100)*3)+Inputs!$B$28+Inputs!$B$29)))</f>
        <v/>
      </c>
      <c r="E2783">
        <f>INDEX(FactorTable!$B$2:$Y$301, MATCH(ROUND(MIN(300,MAX(1,D2783)),0), FactorTable!$A$2:$A$301,0), Skills!M24+1)</f>
        <v/>
      </c>
      <c r="F2783">
        <f>IF(Skills!N24=TRUE,(Skills!L24/10)*(E2783/1000),Skills!L24/10)+Skills!O24</f>
        <v/>
      </c>
      <c r="G2783">
        <f>Skills!G24*IF(Skills!H24&gt;0,INT(IF(Inputs!$B$38="pvp",MIN(Skills!I24,15),Skills!I24)/Skills!H24+0.000000001),1)</f>
        <v/>
      </c>
      <c r="H2783">
        <f>1-(1-Skills!J24/100)^Skills!K24</f>
        <v/>
      </c>
      <c r="I2783" t="inlineStr">
        <is>
          <t>1</t>
        </is>
      </c>
      <c r="J2783" t="inlineStr"/>
      <c r="K2783" t="inlineStr"/>
      <c r="L2783" t="inlineStr"/>
      <c r="M2783" t="inlineStr"/>
      <c r="N2783" t="inlineStr"/>
      <c r="O2783">
        <f>(1-Summary!$B$11)*T2783+Summary!$B$11*V2783</f>
        <v/>
      </c>
      <c r="P2783">
        <f>IF(B2804=0,0,O2783/B2804)</f>
        <v/>
      </c>
      <c r="Q2783" t="n">
        <v>0</v>
      </c>
      <c r="R2783" t="n">
        <v>0</v>
      </c>
      <c r="S2783">
        <f>IFERROR(O2783/N2783,0)</f>
        <v/>
      </c>
      <c r="T2783" t="n">
        <v>0</v>
      </c>
      <c r="V2783" t="n">
        <v>0</v>
      </c>
    </row>
    <row r="2784">
      <c r="A2784">
        <f>Skills!A25</f>
        <v/>
      </c>
      <c r="B2784">
        <f>Skills!B25</f>
        <v/>
      </c>
      <c r="C2784">
        <f>Inputs!$B$3&gt;=38</f>
        <v/>
      </c>
      <c r="D2784">
        <f>IF(Skills!C25=1,60+Inputs!$B$25+Inputs!$B$29,IF(Skills!C25=2,90+Inputs!$B$26+Inputs!$B$29,IF(Skills!C25=3,120+Inputs!$B$27+Inputs!$B$29,MAX(0,(Inputs!$B$3-100)*3)+Inputs!$B$28+Inputs!$B$29)))</f>
        <v/>
      </c>
      <c r="E2784">
        <f>INDEX(FactorTable!$B$2:$Y$301, MATCH(ROUND(MIN(300,MAX(1,D2784)),0), FactorTable!$A$2:$A$301,0), Skills!M25+1)</f>
        <v/>
      </c>
      <c r="F2784">
        <f>IF(Skills!N25=TRUE,(Skills!L25/10)*(E2784/1000),Skills!L25/10)+Skills!O25</f>
        <v/>
      </c>
      <c r="G2784">
        <f>Skills!G25*IF(Skills!H25&gt;0,INT(IF(Inputs!$B$38="pvp",MIN(Skills!I25,15),Skills!I25)/Skills!H25+0.000000001),1)</f>
        <v/>
      </c>
      <c r="H2784">
        <f>1-(1-Skills!J25/100)^Skills!K25</f>
        <v/>
      </c>
      <c r="I2784" t="inlineStr">
        <is>
          <t>1</t>
        </is>
      </c>
      <c r="J2784" t="inlineStr"/>
      <c r="K2784" t="inlineStr"/>
      <c r="L2784" t="inlineStr"/>
      <c r="M2784" t="inlineStr"/>
      <c r="N2784" t="inlineStr"/>
      <c r="O2784">
        <f>(1-Summary!$B$11)*T2784+Summary!$B$11*V2784</f>
        <v/>
      </c>
      <c r="P2784">
        <f>IF(B2804=0,0,O2784/B2804)</f>
        <v/>
      </c>
      <c r="Q2784" t="n">
        <v>0</v>
      </c>
      <c r="R2784" t="n">
        <v>0</v>
      </c>
      <c r="S2784">
        <f>IFERROR(O2784/N2784,0)</f>
        <v/>
      </c>
      <c r="T2784" t="n">
        <v>0</v>
      </c>
      <c r="V2784" t="n">
        <v>0</v>
      </c>
    </row>
    <row r="2785">
      <c r="A2785">
        <f>Skills!A26</f>
        <v/>
      </c>
      <c r="B2785">
        <f>Skills!B26</f>
        <v/>
      </c>
      <c r="C2785">
        <f>Inputs!$B$3&gt;=43</f>
        <v/>
      </c>
      <c r="D2785">
        <f>IF(Skills!C26=1,60+Inputs!$B$25+Inputs!$B$29,IF(Skills!C26=2,90+Inputs!$B$26+Inputs!$B$29,IF(Skills!C26=3,120+Inputs!$B$27+Inputs!$B$29,MAX(0,(Inputs!$B$3-100)*3)+Inputs!$B$28+Inputs!$B$29)))</f>
        <v/>
      </c>
      <c r="E2785">
        <f>INDEX(FactorTable!$B$2:$Y$301, MATCH(ROUND(MIN(300,MAX(1,D2785)),0), FactorTable!$A$2:$A$301,0), Skills!M26+1)</f>
        <v/>
      </c>
      <c r="F2785">
        <f>IF(Skills!N26=TRUE,(Skills!L26/10)*(E2785/1000),Skills!L26/10)+Skills!O26</f>
        <v/>
      </c>
      <c r="G2785">
        <f>Skills!G26*IF(Skills!H26&gt;0,INT(IF(Inputs!$B$38="pvp",MIN(Skills!I26,15),Skills!I26)/Skills!H26+0.000000001),1)</f>
        <v/>
      </c>
      <c r="H2785">
        <f>1-(1-Skills!J26/100)^Skills!K26</f>
        <v/>
      </c>
      <c r="I2785" t="inlineStr">
        <is>
          <t>1</t>
        </is>
      </c>
      <c r="J2785" t="inlineStr"/>
      <c r="K2785" t="inlineStr"/>
      <c r="L2785" t="inlineStr"/>
      <c r="M2785" t="inlineStr"/>
      <c r="N2785" t="inlineStr"/>
      <c r="O2785">
        <f>(1-Summary!$B$11)*T2785+Summary!$B$11*V2785</f>
        <v/>
      </c>
      <c r="P2785">
        <f>IF(B2804=0,0,O2785/B2804)</f>
        <v/>
      </c>
      <c r="Q2785" t="n">
        <v>0</v>
      </c>
      <c r="R2785" t="n">
        <v>0</v>
      </c>
      <c r="S2785">
        <f>IFERROR(O2785/N2785,0)</f>
        <v/>
      </c>
      <c r="T2785" t="n">
        <v>0</v>
      </c>
      <c r="V2785" t="n">
        <v>0</v>
      </c>
    </row>
    <row r="2786">
      <c r="A2786">
        <f>Skills!A27</f>
        <v/>
      </c>
      <c r="B2786">
        <f>Skills!B27</f>
        <v/>
      </c>
      <c r="C2786">
        <f>Inputs!$B$3&gt;=75</f>
        <v/>
      </c>
      <c r="D2786">
        <f>IF(Skills!C27=1,60+Inputs!$B$25+Inputs!$B$29,IF(Skills!C27=2,90+Inputs!$B$26+Inputs!$B$29,IF(Skills!C27=3,120+Inputs!$B$27+Inputs!$B$29,MAX(0,(Inputs!$B$3-100)*3)+Inputs!$B$28+Inputs!$B$29)))</f>
        <v/>
      </c>
      <c r="E2786">
        <f>INDEX(FactorTable!$B$2:$Y$301, MATCH(ROUND(MIN(300,MAX(1,D2786)),0), FactorTable!$A$2:$A$301,0), Skills!M27+1)</f>
        <v/>
      </c>
      <c r="F2786">
        <f>IF(Skills!N27=TRUE,(Skills!L27/10)*(E2786/1000),Skills!L27/10)+Skills!O27</f>
        <v/>
      </c>
      <c r="G2786">
        <f>Skills!G27*IF(Skills!H27&gt;0,INT(IF(Inputs!$B$38="pvp",MIN(Skills!I27,15),Skills!I27)/Skills!H27+0.000000001),1)</f>
        <v/>
      </c>
      <c r="H2786">
        <f>1-(1-Skills!J27/100)^Skills!K27</f>
        <v/>
      </c>
      <c r="I2786" t="inlineStr">
        <is>
          <t>1</t>
        </is>
      </c>
      <c r="J2786" t="inlineStr"/>
      <c r="K2786" t="inlineStr"/>
      <c r="L2786" t="inlineStr"/>
      <c r="M2786" t="inlineStr"/>
      <c r="N2786" t="inlineStr"/>
      <c r="O2786">
        <f>(1-Summary!$B$11)*T2786+Summary!$B$11*V2786</f>
        <v/>
      </c>
      <c r="P2786">
        <f>IF(B2804=0,0,O2786/B2804)</f>
        <v/>
      </c>
      <c r="Q2786" t="n">
        <v>0</v>
      </c>
      <c r="R2786" t="n">
        <v>0</v>
      </c>
      <c r="S2786">
        <f>IFERROR(O2786/N2786,0)</f>
        <v/>
      </c>
      <c r="T2786" t="n">
        <v>0</v>
      </c>
      <c r="V2786" t="n">
        <v>0</v>
      </c>
    </row>
    <row r="2787">
      <c r="A2787">
        <f>Skills!A28</f>
        <v/>
      </c>
      <c r="B2787">
        <f>Skills!B28</f>
        <v/>
      </c>
      <c r="C2787">
        <f>Inputs!$B$3&gt;=125</f>
        <v/>
      </c>
      <c r="D2787">
        <f>IF(Skills!C28=1,60+Inputs!$B$25+Inputs!$B$29,IF(Skills!C28=2,90+Inputs!$B$26+Inputs!$B$29,IF(Skills!C28=3,120+Inputs!$B$27+Inputs!$B$29,MAX(0,(Inputs!$B$3-100)*3)+Inputs!$B$28+Inputs!$B$29)))</f>
        <v/>
      </c>
      <c r="E2787">
        <f>INDEX(FactorTable!$B$2:$Y$301, MATCH(ROUND(MIN(300,MAX(1,D2787)),0), FactorTable!$A$2:$A$301,0), Skills!M28+1)</f>
        <v/>
      </c>
      <c r="F2787">
        <f>IF(Skills!N28=TRUE,(Skills!L28/10)*(E2787/1000),Skills!L28/10)+Skills!O28</f>
        <v/>
      </c>
      <c r="G2787">
        <f>Skills!G28*IF(Skills!H28&gt;0,INT(IF(Inputs!$B$38="pvp",MIN(Skills!I28,15),Skills!I28)/Skills!H28+0.000000001),1)</f>
        <v/>
      </c>
      <c r="H2787">
        <f>1-(1-Skills!J28/100)^Skills!K28</f>
        <v/>
      </c>
      <c r="I2787" t="inlineStr">
        <is>
          <t>1</t>
        </is>
      </c>
      <c r="J2787" t="inlineStr"/>
      <c r="K2787" t="inlineStr"/>
      <c r="L2787" t="inlineStr"/>
      <c r="M2787" t="inlineStr"/>
      <c r="N2787" t="inlineStr"/>
      <c r="O2787">
        <f>(1-Summary!$B$11)*T2787+Summary!$B$11*V2787</f>
        <v/>
      </c>
      <c r="P2787">
        <f>IF(B2804=0,0,O2787/B2804)</f>
        <v/>
      </c>
      <c r="Q2787" t="n">
        <v>0</v>
      </c>
      <c r="R2787" t="n">
        <v>0</v>
      </c>
      <c r="S2787">
        <f>IFERROR(O2787/N2787,0)</f>
        <v/>
      </c>
      <c r="T2787" t="n">
        <v>0</v>
      </c>
      <c r="V2787" t="n">
        <v>0</v>
      </c>
    </row>
    <row r="2788">
      <c r="A2788">
        <f>Skills!A29</f>
        <v/>
      </c>
      <c r="B2788">
        <f>Skills!B29</f>
        <v/>
      </c>
      <c r="C2788">
        <f>Inputs!$B$3&gt;=125</f>
        <v/>
      </c>
      <c r="D2788">
        <f>IF(Skills!C29=1,60+Inputs!$B$25+Inputs!$B$29,IF(Skills!C29=2,90+Inputs!$B$26+Inputs!$B$29,IF(Skills!C29=3,120+Inputs!$B$27+Inputs!$B$29,MAX(0,(Inputs!$B$3-100)*3)+Inputs!$B$28+Inputs!$B$29)))</f>
        <v/>
      </c>
      <c r="E2788">
        <f>INDEX(FactorTable!$B$2:$Y$301, MATCH(ROUND(MIN(300,MAX(1,D2788)),0), FactorTable!$A$2:$A$301,0), Skills!M29+1)</f>
        <v/>
      </c>
      <c r="F2788">
        <f>IF(Skills!N29=TRUE,(Skills!L29/10)*(E2788/1000),Skills!L29/10)+Skills!O29</f>
        <v/>
      </c>
      <c r="G2788">
        <f>Skills!G29*IF(Skills!H29&gt;0,INT(IF(Inputs!$B$38="pvp",MIN(Skills!I29,15),Skills!I29)/Skills!H29+0.000000001),1)</f>
        <v/>
      </c>
      <c r="H2788">
        <f>1-(1-Skills!J29/100)^Skills!K29</f>
        <v/>
      </c>
      <c r="I2788" t="inlineStr">
        <is>
          <t>1</t>
        </is>
      </c>
      <c r="J2788" t="inlineStr"/>
      <c r="K2788" t="inlineStr"/>
      <c r="L2788" t="inlineStr"/>
      <c r="M2788" t="inlineStr"/>
      <c r="N2788" t="inlineStr"/>
      <c r="O2788">
        <f>(1-Summary!$B$11)*T2788+Summary!$B$11*V2788</f>
        <v/>
      </c>
      <c r="P2788">
        <f>IF(B2804=0,0,O2788/B2804)</f>
        <v/>
      </c>
      <c r="Q2788" t="n">
        <v>0</v>
      </c>
      <c r="R2788" t="n">
        <v>0</v>
      </c>
      <c r="S2788">
        <f>IFERROR(O2788/N2788,0)</f>
        <v/>
      </c>
      <c r="T2788" t="n">
        <v>0</v>
      </c>
      <c r="V2788" t="n">
        <v>0</v>
      </c>
    </row>
    <row r="2789">
      <c r="A2789">
        <f>Skills!A30</f>
        <v/>
      </c>
      <c r="B2789">
        <f>Skills!B30</f>
        <v/>
      </c>
      <c r="C2789">
        <f>Inputs!$B$3&gt;=120</f>
        <v/>
      </c>
      <c r="D2789">
        <f>IF(Skills!C30=1,60+Inputs!$B$25+Inputs!$B$29,IF(Skills!C30=2,90+Inputs!$B$26+Inputs!$B$29,IF(Skills!C30=3,120+Inputs!$B$27+Inputs!$B$29,MAX(0,(Inputs!$B$3-100)*3)+Inputs!$B$28+Inputs!$B$29)))</f>
        <v/>
      </c>
      <c r="E2789">
        <f>INDEX(FactorTable!$B$2:$Y$301, MATCH(ROUND(MIN(300,MAX(1,D2789)),0), FactorTable!$A$2:$A$301,0), Skills!M30+1)</f>
        <v/>
      </c>
      <c r="F2789">
        <f>IF(Skills!N30=TRUE,(Skills!L30/10)*(E2789/1000),Skills!L30/10)+Skills!O30</f>
        <v/>
      </c>
      <c r="G2789">
        <f>Skills!G30*IF(Skills!H30&gt;0,INT(IF(Inputs!$B$38="pvp",MIN(Skills!I30,15),Skills!I30)/Skills!H30+0.000000001),1)</f>
        <v/>
      </c>
      <c r="H2789">
        <f>1-(1-Skills!J30/100)^Skills!K30</f>
        <v/>
      </c>
      <c r="I2789" t="inlineStr">
        <is>
          <t>1</t>
        </is>
      </c>
      <c r="J2789" t="inlineStr"/>
      <c r="K2789" t="inlineStr"/>
      <c r="L2789" t="inlineStr"/>
      <c r="M2789" t="inlineStr"/>
      <c r="N2789" t="inlineStr"/>
      <c r="O2789">
        <f>(1-Summary!$B$11)*T2789+Summary!$B$11*V2789</f>
        <v/>
      </c>
      <c r="P2789">
        <f>IF(B2804=0,0,O2789/B2804)</f>
        <v/>
      </c>
      <c r="Q2789" t="n">
        <v>0</v>
      </c>
      <c r="R2789" t="n">
        <v>0</v>
      </c>
      <c r="S2789">
        <f>IFERROR(O2789/N2789,0)</f>
        <v/>
      </c>
      <c r="T2789" t="n">
        <v>0</v>
      </c>
      <c r="V2789" t="n">
        <v>0</v>
      </c>
    </row>
    <row r="2790">
      <c r="A2790">
        <f>Skills!A31</f>
        <v/>
      </c>
      <c r="B2790">
        <f>Skills!B31</f>
        <v/>
      </c>
      <c r="C2790">
        <f>Inputs!$B$3&gt;=120</f>
        <v/>
      </c>
      <c r="D2790">
        <f>IF(Skills!C31=1,60+Inputs!$B$25+Inputs!$B$29,IF(Skills!C31=2,90+Inputs!$B$26+Inputs!$B$29,IF(Skills!C31=3,120+Inputs!$B$27+Inputs!$B$29,MAX(0,(Inputs!$B$3-100)*3)+Inputs!$B$28+Inputs!$B$29)))</f>
        <v/>
      </c>
      <c r="E2790">
        <f>INDEX(FactorTable!$B$2:$Y$301, MATCH(ROUND(MIN(300,MAX(1,D2790)),0), FactorTable!$A$2:$A$301,0), Skills!M31+1)</f>
        <v/>
      </c>
      <c r="F2790">
        <f>IF(Skills!N31=TRUE,(Skills!L31/10)*(E2790/1000),Skills!L31/10)+Skills!O31</f>
        <v/>
      </c>
      <c r="G2790">
        <f>Skills!G31*IF(Skills!H31&gt;0,INT(IF(Inputs!$B$38="pvp",MIN(Skills!I31,15),Skills!I31)/Skills!H31+0.000000001),1)</f>
        <v/>
      </c>
      <c r="H2790">
        <f>1-(1-Skills!J31/100)^Skills!K31</f>
        <v/>
      </c>
      <c r="I2790" t="inlineStr">
        <is>
          <t>1</t>
        </is>
      </c>
      <c r="J2790" t="inlineStr"/>
      <c r="K2790" t="inlineStr"/>
      <c r="L2790" t="inlineStr"/>
      <c r="M2790" t="inlineStr"/>
      <c r="N2790" t="inlineStr"/>
      <c r="O2790">
        <f>(1-Summary!$B$11)*T2790+Summary!$B$11*V2790</f>
        <v/>
      </c>
      <c r="P2790">
        <f>IF(B2804=0,0,O2790/B2804)</f>
        <v/>
      </c>
      <c r="Q2790" t="n">
        <v>0</v>
      </c>
      <c r="R2790" t="n">
        <v>0</v>
      </c>
      <c r="S2790">
        <f>IFERROR(O2790/N2790,0)</f>
        <v/>
      </c>
      <c r="T2790" t="n">
        <v>0</v>
      </c>
      <c r="V2790" t="n">
        <v>0</v>
      </c>
    </row>
    <row r="2791">
      <c r="A2791">
        <f>Skills!A32</f>
        <v/>
      </c>
      <c r="B2791">
        <f>Skills!B32</f>
        <v/>
      </c>
      <c r="C2791">
        <f>Inputs!$B$3&gt;=45</f>
        <v/>
      </c>
      <c r="D2791">
        <f>IF(Skills!C32=1,60+Inputs!$B$25+Inputs!$B$29,IF(Skills!C32=2,90+Inputs!$B$26+Inputs!$B$29,IF(Skills!C32=3,120+Inputs!$B$27+Inputs!$B$29,MAX(0,(Inputs!$B$3-100)*3)+Inputs!$B$28+Inputs!$B$29)))</f>
        <v/>
      </c>
      <c r="E2791">
        <f>INDEX(FactorTable!$B$2:$Y$301, MATCH(ROUND(MIN(300,MAX(1,D2791)),0), FactorTable!$A$2:$A$301,0), Skills!M32+1)</f>
        <v/>
      </c>
      <c r="F2791">
        <f>IF(Skills!N32=TRUE,(Skills!L32/10)*(E2791/1000),Skills!L32/10)+Skills!O32</f>
        <v/>
      </c>
      <c r="G2791">
        <f>Skills!G32*IF(Skills!H32&gt;0,INT(IF(Inputs!$B$38="pvp",MIN(Skills!I32,15),Skills!I32)/Skills!H32+0.000000001),1)</f>
        <v/>
      </c>
      <c r="H2791">
        <f>1-(1-Skills!J32/100)^Skills!K32</f>
        <v/>
      </c>
      <c r="I2791" t="inlineStr">
        <is>
          <t>1</t>
        </is>
      </c>
      <c r="J2791" t="inlineStr"/>
      <c r="K2791" t="inlineStr"/>
      <c r="L2791" t="inlineStr"/>
      <c r="M2791" t="inlineStr"/>
      <c r="N2791" t="inlineStr"/>
      <c r="O2791">
        <f>(1-Summary!$B$11)*T2791+Summary!$B$11*V2791</f>
        <v/>
      </c>
      <c r="P2791">
        <f>IF(B2804=0,0,O2791/B2804)</f>
        <v/>
      </c>
      <c r="Q2791" t="n">
        <v>0</v>
      </c>
      <c r="R2791" t="n">
        <v>0</v>
      </c>
      <c r="S2791">
        <f>IFERROR(O2791/N2791,0)</f>
        <v/>
      </c>
      <c r="T2791" t="n">
        <v>0</v>
      </c>
      <c r="V2791" t="n">
        <v>0</v>
      </c>
    </row>
    <row r="2793">
      <c r="A2793" t="inlineStr">
        <is>
          <t>Attack% Bucket Multiplier</t>
        </is>
      </c>
      <c r="B2793">
        <f>(1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4">
      <c r="A2794" t="inlineStr">
        <is>
          <t>Global Crit Rate Bonus %</t>
        </is>
      </c>
      <c r="B2794" t="n">
        <v>0</v>
      </c>
    </row>
    <row r="2795">
      <c r="A2795" t="inlineStr">
        <is>
          <t>Attack Speed Buff Bonus %</t>
        </is>
      </c>
      <c r="B2795">
        <f>((C2780=TRUE)*F2780*IF(AND(Inputs!$B$38&lt;&gt;"pvp",Inputs!$B$43&gt;0),(((R2780-1)*MIN((Skills!T21*(1+Inputs!$B$34/100)),(1/Q2780))+MIN((Skills!T21*(1+Inputs!$B$34/100)),MAX(0,Inputs!$B$43-((R2780-1)*(1/Q2780)))))/Inputs!$B$43),IF(Inputs!$B$38="pvp",MIN((Skills!T21*(1+Inputs!$B$34/100)),15)/15,MIN(1,(Skills!T21*(1+Inputs!$B$34/100))/(1/Q2780)))))</f>
        <v/>
      </c>
    </row>
    <row r="2796">
      <c r="A2796" t="inlineStr">
        <is>
          <t>Actions Per Second</t>
        </is>
      </c>
      <c r="B2796">
        <f>1+MIN(150,150*(1-(1-(Inputs!$B$11+((C2782=TRUE)*(F2782-Calc!F23))+((C2783=TRUE)*(F2783-Calc!F24)))/150)*(1-B2795/150)))/100</f>
        <v/>
      </c>
    </row>
    <row r="2797">
      <c r="A2797" t="inlineStr">
        <is>
          <t>Skill + Buff Cast Rate</t>
        </is>
      </c>
      <c r="B2797">
        <f>IF(AND(Inputs!$B$38&lt;&gt;"pvp",Inputs!$B$43&gt;0),SUMPRODUCT((Skills!E2:E32=TRUE)*(C2761:C2791=TRUE)*R2761:R2791*Skills!F2:F32)/Inputs!$B$43,SUMPRODUCT((Skills!E2:E32=TRUE)*(C2761:C2791=TRUE)*Q2761:Q2791*Skills!F2:F32))</f>
        <v/>
      </c>
    </row>
    <row r="2798">
      <c r="A2798" t="inlineStr">
        <is>
          <t>Arrow Stream Casts Per Second</t>
        </is>
      </c>
      <c r="B2798">
        <f>MAX(0,B2796-B2797)</f>
        <v/>
      </c>
    </row>
    <row r="2799">
      <c r="A2799" t="inlineStr">
        <is>
          <t>Global Critical Damage Bonus % (Sharp Eyes + Concentration)</t>
        </is>
      </c>
      <c r="B2799">
        <f>(C2777=TRUE)*F2777*IF(AND(Inputs!$B$38&lt;&gt;"pvp",Inputs!$B$43&gt;0),(((R2777-1)*MIN((Skills!T18*(1+Inputs!$B$34/100)),(1/Q2777))+MIN((Skills!T18*(1+Inputs!$B$34/100)),MAX(0,Inputs!$B$43-((R2777-1)*(1/Q2777)))))/Inputs!$B$43),IF(Inputs!$B$38="pvp",MIN((Skills!T18*(1+Inputs!$B$34/100)),15)/15,MIN(1,(Skills!T18*(1+Inputs!$B$34/100))/(1/Q2777))))+(C2778=TRUE)*7*F2778</f>
        <v/>
      </c>
    </row>
    <row r="2800">
      <c r="A2800" t="inlineStr">
        <is>
          <t>Global Final Damage Bonus % (Mortal Blow)</t>
        </is>
      </c>
      <c r="B2800">
        <f>(C2779=TRUE)*F2779</f>
        <v/>
      </c>
    </row>
    <row r="2801">
      <c r="A2801" t="inlineStr">
        <is>
          <t>Buff-Casting Startup Delay (s, fixed-duration only)</t>
        </is>
      </c>
      <c r="B2801">
        <f>IF(AND(Inputs!$B$38&lt;&gt;"pvp",Inputs!$B$43&gt;0),SUMPRODUCT((Skills!T2:T32&gt;0)*(Skills!E2:E32=TRUE)*(C2761:C2791=TRUE))/B2796,0)</f>
        <v/>
      </c>
    </row>
    <row r="2802">
      <c r="A2802" t="inlineStr">
        <is>
          <t>Boss-Only Total DPS (this block's swept value)</t>
        </is>
      </c>
      <c r="B2802">
        <f>SUM(T2761:T2791)</f>
        <v/>
      </c>
    </row>
    <row r="2803">
      <c r="A2803" t="inlineStr">
        <is>
          <t>Normal-Only Total DPS (this block's swept value)</t>
        </is>
      </c>
      <c r="B2803">
        <f>SUM(V2761:V2791)</f>
        <v/>
      </c>
    </row>
    <row r="2804">
      <c r="A2804" s="6" t="inlineStr">
        <is>
          <t>TOTAL DPS</t>
        </is>
      </c>
      <c r="B2804" s="6">
        <f>SUM(O2761:O2791)</f>
        <v/>
      </c>
    </row>
    <row r="2807">
      <c r="A2807" s="6" t="inlineStr">
        <is>
          <t>Stat: Horn Flute (Equip)</t>
        </is>
      </c>
    </row>
    <row r="2808">
      <c r="A2808" s="5" t="inlineStr">
        <is>
          <t>Key</t>
        </is>
      </c>
      <c r="B2808" s="5" t="inlineStr">
        <is>
          <t>Name</t>
        </is>
      </c>
      <c r="C2808" s="5" t="inlineStr">
        <is>
          <t>Unlocked</t>
        </is>
      </c>
      <c r="D2808" s="5" t="inlineStr">
        <is>
          <t>InputLevel</t>
        </is>
      </c>
      <c r="E2808" s="5" t="inlineStr">
        <is>
          <t>Factor</t>
        </is>
      </c>
      <c r="F2808" s="5" t="inlineStr">
        <is>
          <t>CoefficientPercent</t>
        </is>
      </c>
      <c r="G2808" s="5" t="inlineStr">
        <is>
          <t>EffectiveHits</t>
        </is>
      </c>
      <c r="H2808" s="5" t="inlineStr">
        <is>
          <t>ProcProbability</t>
        </is>
      </c>
      <c r="I2808" s="5" t="inlineStr">
        <is>
          <t>MapleHeroMultiplier</t>
        </is>
      </c>
      <c r="J2808" s="5" t="inlineStr">
        <is>
          <t>BaseDamage</t>
        </is>
      </c>
      <c r="K2808" s="5" t="inlineStr">
        <is>
          <t>BaseHitDamage</t>
        </is>
      </c>
      <c r="L2808" s="5" t="inlineStr">
        <is>
          <t>NonCritAvg</t>
        </is>
      </c>
      <c r="M2808" s="5" t="inlineStr">
        <is>
          <t>CritAvg</t>
        </is>
      </c>
      <c r="N2808" s="5" t="inlineStr">
        <is>
          <t>ExpectedDamage(perHit)</t>
        </is>
      </c>
      <c r="O2808" s="5" t="inlineStr">
        <is>
          <t>DPS</t>
        </is>
      </c>
      <c r="P2808" s="5" t="inlineStr">
        <is>
          <t>% of Total</t>
        </is>
      </c>
      <c r="Q2808" s="5" t="inlineStr">
        <is>
          <t>InvCooldown</t>
        </is>
      </c>
      <c r="R2808" s="5" t="inlineStr">
        <is>
          <t>CastsInFight</t>
        </is>
      </c>
      <c r="S2808" s="5" t="inlineStr">
        <is>
          <t>HitRate(perSec)</t>
        </is>
      </c>
      <c r="U2808" t="inlineStr">
        <is>
          <t>helpers</t>
        </is>
      </c>
    </row>
    <row r="2809">
      <c r="A2809">
        <f>Skills!A2</f>
        <v/>
      </c>
      <c r="B2809">
        <f>Skills!B2</f>
        <v/>
      </c>
      <c r="C2809">
        <f>Inputs!$B$3&gt;=100</f>
        <v/>
      </c>
      <c r="D2809" t="inlineStr"/>
      <c r="E2809" t="inlineStr"/>
      <c r="F2809">
        <f>U2811+Skills!O2</f>
        <v/>
      </c>
      <c r="G2809">
        <f>Skills!G2*IF(Skills!H2&gt;0,INT(IF(Inputs!$B$38="pvp",MIN(Skills!I2,15),Skills!I2)/Skills!H2+0.000000001),1)</f>
        <v/>
      </c>
      <c r="H2809">
        <f>1-(1-Skills!J2/100)^Skills!K2</f>
        <v/>
      </c>
      <c r="I2809" t="inlineStr">
        <is>
          <t>1</t>
        </is>
      </c>
      <c r="J2809">
        <f>((Inputs!$B$6*(1+Inputs!$B$7/100))+(((Inputs!$B$12*(1+Inputs!$B$13/100))-(Inputs!$B$12*(1+Inputs!$B$13/100)))+0.25*(Inputs!$B$14-Inputs!$B$14))*(1+Inputs!$B$7/100))*(F2809/100)</f>
        <v/>
      </c>
      <c r="K2809">
        <f>J2809*(1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2833=TRUE)*(F2833-Calc!F26)),(Inputs!$B$23+((C2838=TRUE)*(F2838-Calc!F31))+(IF(ArtifactsInput!$M$15,CHOOSE(ArtifactsInput!$N$15+1,25,30,35,40,45,50)/100*(Inputs!$B$11-Inputs!$B$11),0))))/100+(Inputs!$B$23+((C2838=TRUE)*(F2838-Calc!F31))+(IF(ArtifactsInput!$M$15,CHOOSE(ArtifactsInput!$N$15+1,25,30,35,40,45,50)/100*(Inputs!$B$11-Inputs!$B$11),0)))/100)/2</f>
        <v/>
      </c>
      <c r="M2809">
        <f>L2809*(1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IF(B2852=0,0,O2809/B2852)</f>
        <v/>
      </c>
      <c r="Q2809" t="n">
        <v>0</v>
      </c>
      <c r="R2809" t="n">
        <v>0</v>
      </c>
      <c r="S2809">
        <f>IFERROR(O2809/N2809,0)</f>
        <v/>
      </c>
      <c r="T2809">
        <f>IF(C2809,(Skills!G2*N2809*B2846)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MAX(0,(Inputs!$B$3-100)*3)+Inputs!$B$28+Inputs!$B$29</f>
        <v/>
      </c>
      <c r="V2809">
        <f>IF(C2809,(Skills!G2*N2809*B2846)*IF(Inputs!$B$38="pvp",1,(1+(Inputs!$B$21+Skills!Q2+(IF(ArtifactsInput!$M$33,CHOOSE(ArtifactsInput!$N$33+1,30,36,42,48,54,60),0))+(IF(AND(ArtifactsInput!$M$35,Inputs!$B$4&lt;&gt;"Chapter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Skills!A3</f>
        <v/>
      </c>
      <c r="B2810">
        <f>Skills!B3</f>
        <v/>
      </c>
      <c r="C2810">
        <f>Inputs!$B$3&gt;=50</f>
        <v/>
      </c>
      <c r="D2810">
        <f>IF(Skills!C3=1,60+Inputs!$B$25+Inputs!$B$29,IF(Skills!C3=2,90+Inputs!$B$26+Inputs!$B$29,IF(Skills!C3=3,120+Inputs!$B$27+Inputs!$B$29,MAX(0,(Inputs!$B$3-100)*3)+Inputs!$B$28+Inputs!$B$29)))</f>
        <v/>
      </c>
      <c r="E2810">
        <f>INDEX(FactorTable!$B$2:$Y$301, MATCH(ROUND(MIN(300,MAX(1,D2810)),0), FactorTable!$A$2:$A$301,0), Skills!M3+1)</f>
        <v/>
      </c>
      <c r="F2810">
        <f>IF(Skills!N3=TRUE,(Skills!L3/10)*(E2810/1000),Skills!L3/10)+Skills!O3</f>
        <v/>
      </c>
      <c r="G2810">
        <f>Skills!G3*IF(Skills!H3&gt;0,INT(IF(Inputs!$B$38="pvp",MIN(Skills!I3,15),Skills!I3)/Skills!H3+0.000000001),1)</f>
        <v/>
      </c>
      <c r="H2810">
        <f>1-(1-Skills!J3/100)^Skills!K3</f>
        <v/>
      </c>
      <c r="I2810" t="inlineStr">
        <is>
          <t>1</t>
        </is>
      </c>
      <c r="J2810">
        <f>((Inputs!$B$6*(1+Inputs!$B$7/100))+(((Inputs!$B$12*(1+Inputs!$B$13/100))-(Inputs!$B$12*(1+Inputs!$B$13/100)))+0.25*(Inputs!$B$14-Inputs!$B$14))*(1+Inputs!$B$7/100))*(F2810/100)</f>
        <v/>
      </c>
      <c r="K2810">
        <f>J2810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2811=TRUE,F2811,0)/100)*(1+(IF(Skills!A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2833=TRUE)*(F2833-Calc!F26)),(Inputs!$B$23+((C2838=TRUE)*(F2838-Calc!F31))+(IF(ArtifactsInput!$M$15,CHOOSE(ArtifactsInput!$N$15+1,25,30,35,40,45,50)/100*(Inputs!$B$11-Inputs!$B$11),0))))/100+(Inputs!$B$23+((C2838=TRUE)*(F2838-Calc!F31))+(IF(ArtifactsInput!$M$15,CHOOSE(ArtifactsInput!$N$15+1,25,30,35,40,45,50)/100*(Inputs!$B$11-Inputs!$B$11),0)))/100)/2</f>
        <v/>
      </c>
      <c r="M2810">
        <f>L2810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IF(B2852=0,0,O2810/B2852)</f>
        <v/>
      </c>
      <c r="Q2810">
        <f>IFERROR(1/(IF(Inputs!$B$38="pvp",15,MAX(0.1,1/B2844-IF(FALSE=TRUE,Inputs!$B$32,0)))*(1-IF(AND(ArtifactsInput!$M$27,Inputs!$B$4="Chapter Hunt"),CHOOSE(ArtifactsInput!$N$27+1,20,24,28,32,36,40),0)/100)),0)</f>
        <v/>
      </c>
      <c r="R2810">
        <f>IF(AND(Inputs!$B$38&lt;&gt;"pvp",Inputs!$B$43&gt;0),IF(MAX(0,Inputs!$B$43-B2849)&lt;=0,0,(INT(MAX(0,Inputs!$B$43-B2849)/(IF(Inputs!$B$38="pvp",15,MAX(0.1,1/B2844-IF(FALSE=TRUE,Inputs!$B$32,0)))*(1-IF(AND(ArtifactsInput!$M$27,Inputs!$B$4="Chapter Hunt"),CHOOSE(ArtifactsInput!$N$27+1,20,24,28,32,36,40),0)/100)))+1)),0)</f>
        <v/>
      </c>
      <c r="S2810">
        <f>IFERROR(O2810/N2810,0)</f>
        <v/>
      </c>
      <c r="T2810">
        <f>IF(C2810,(H2810*N2810*IF(AND(Inputs!$B$38&lt;&gt;"pvp",Inputs!$B$43&gt;0),((Skills!G3*((R2810-1)*IF(Skills!H3&gt;0,INT(Skills!I3/Skills!H3+0.000000001),1)+IF(Skills!H3&gt;0,INT(MIN(Skills!I3,MAX(0,MAX(0,Inputs!$B$43-B2849)-((R2810-1)*(IF(Inputs!$B$38="pvp",15,MAX(0.1,1/B2844-IF(FALSE=TRUE,Inputs!$B$32,0)))*(1-IF(AND(ArtifactsInput!$M$27,Inputs!$B$4="Chapter Hunt"),CHOOSE(ArtifactsInput!$N$27+1,20,24,28,32,36,40),0)/100)))))/Skills!H3+0.000000001),1)))/Inputs!$B$43),G2810*Q2810)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INDEX(FactorTable!$B$2:$Y$301, MATCH(ROUND(MIN(300,MAX(1,U2809)),0), FactorTable!$A$2:$A$301,0), 22)</f>
        <v/>
      </c>
      <c r="V2810">
        <f>IF(C2810,(H2810*N2810*IF(AND(Inputs!$B$38&lt;&gt;"pvp",Inputs!$B$43&gt;0),((Skills!G3*((R2810-1)*IF(Skills!H3&gt;0,INT(Skills!I3/Skills!H3+0.000000001),1)+IF(Skills!H3&gt;0,INT(MIN(Skills!I3,MAX(0,MAX(0,Inputs!$B$43-B2849)-((R2810-1)*(IF(Inputs!$B$38="pvp",15,MAX(0.1,1/B2844-IF(FALSE=TRUE,Inputs!$B$32,0)))*(1-IF(AND(ArtifactsInput!$M$27,Inputs!$B$4="Chapter Hunt"),CHOOSE(ArtifactsInput!$N$27+1,20,24,28,32,36,40),0)/100)))))/Skills!H3+0.000000001),1)))/Inputs!$B$43),G2810*Q2810))*IF(Inputs!$B$38="pvp",1,(1+(Inputs!$B$21+Skills!Q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Skills!A4</f>
        <v/>
      </c>
      <c r="B2811">
        <f>Skills!B4</f>
        <v/>
      </c>
      <c r="C2811">
        <f>Inputs!$B$3&gt;=105</f>
        <v/>
      </c>
      <c r="D2811">
        <f>IF(Skills!C4=1,60+Inputs!$B$25+Inputs!$B$29,IF(Skills!C4=2,90+Inputs!$B$26+Inputs!$B$29,IF(Skills!C4=3,120+Inputs!$B$27+Inputs!$B$29,MAX(0,(Inputs!$B$3-100)*3)+Inputs!$B$28+Inputs!$B$29)))</f>
        <v/>
      </c>
      <c r="E2811">
        <f>INDEX(FactorTable!$B$2:$Y$301, MATCH(ROUND(MIN(300,MAX(1,D2811)),0), FactorTable!$A$2:$A$301,0), Skills!M4+1)</f>
        <v/>
      </c>
      <c r="F2811">
        <f>IF(Skills!N4=TRUE,(Skills!L4/10)*(E2811/1000),Skills!L4/10)+Skills!O4</f>
        <v/>
      </c>
      <c r="G2811" t="inlineStr"/>
      <c r="H2811" t="inlineStr"/>
      <c r="I2811" t="inlineStr">
        <is>
          <t>1</t>
        </is>
      </c>
      <c r="J2811" t="inlineStr"/>
      <c r="K2811" t="inlineStr"/>
      <c r="L2811" t="inlineStr"/>
      <c r="M2811" t="inlineStr"/>
      <c r="N2811" t="inlineStr"/>
      <c r="O2811" t="inlineStr"/>
      <c r="P2811" t="inlineStr"/>
      <c r="Q2811" t="inlineStr"/>
      <c r="R2811" t="inlineStr"/>
      <c r="S2811" t="inlineStr"/>
      <c r="T2811" t="inlineStr"/>
      <c r="U2811">
        <f>290*U2810/1000</f>
        <v/>
      </c>
      <c r="V2811" t="inlineStr"/>
    </row>
    <row r="2812">
      <c r="A2812">
        <f>Skills!A5</f>
        <v/>
      </c>
      <c r="B2812">
        <f>Skills!B5</f>
        <v/>
      </c>
      <c r="C2812">
        <f>Inputs!$B$3&gt;=35</f>
        <v/>
      </c>
      <c r="D2812">
        <f>IF(Skills!C5=1,60+Inputs!$B$25+Inputs!$B$29,IF(Skills!C5=2,90+Inputs!$B$26+Inputs!$B$29,IF(Skills!C5=3,120+Inputs!$B$27+Inputs!$B$29,MAX(0,(Inputs!$B$3-100)*3)+Inputs!$B$28+Inputs!$B$29)))</f>
        <v/>
      </c>
      <c r="E2812">
        <f>INDEX(FactorTable!$B$2:$Y$301, MATCH(ROUND(MIN(300,MAX(1,D2812)),0), FactorTable!$A$2:$A$301,0), Skills!M5+1)</f>
        <v/>
      </c>
      <c r="F2812">
        <f>IF(Skills!N5=TRUE,(Skills!L5/10)*(E2812/1000),Skills!L5/10)+Skills!O5</f>
        <v/>
      </c>
      <c r="G2812">
        <f>Skills!G5*IF(Skills!H5&gt;0,INT(IF(Inputs!$B$38="pvp",MIN(Skills!I5,15),Skills!I5)/Skills!H5+0.000000001),1)</f>
        <v/>
      </c>
      <c r="H2812">
        <f>1-(1-Skills!J5/100)^Skills!K5</f>
        <v/>
      </c>
      <c r="I2812" t="inlineStr">
        <is>
          <t>1</t>
        </is>
      </c>
      <c r="J2812">
        <f>((Inputs!$B$6*(1+Inputs!$B$7/100))+(((Inputs!$B$12*(1+Inputs!$B$13/100))-(Inputs!$B$12*(1+Inputs!$B$13/100)))+0.25*(Inputs!$B$14-Inputs!$B$14))*(1+Inputs!$B$7/100))*(F2812/100)</f>
        <v/>
      </c>
      <c r="K2812">
        <f>J2812*(1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2819=TRUE,F2819,0)/100)*(1+(IF(Skills!A5="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2833=TRUE)*(F2833-Calc!F26)),(Inputs!$B$23+((C2838=TRUE)*(F2838-Calc!F31))+(IF(ArtifactsInput!$M$15,CHOOSE(ArtifactsInput!$N$15+1,25,30,35,40,45,50)/100*(Inputs!$B$11-Inputs!$B$11),0))))/100+(Inputs!$B$23+((C2838=TRUE)*(F2838-Calc!F31))+(IF(ArtifactsInput!$M$15,CHOOSE(ArtifactsInput!$N$15+1,25,30,35,40,45,50)/100*(Inputs!$B$11-Inputs!$B$11),0)))/100)/2</f>
        <v/>
      </c>
      <c r="M2812">
        <f>L2812*(1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IF(B2852=0,0,O2812/B2852)</f>
        <v/>
      </c>
      <c r="Q2812">
        <f>IFERROR(1/(IF(Inputs!$B$38="pvp",15,MAX(0.1,Skills!D5-IF(TRUE=TRUE,Inputs!$B$32,0)))*(1-IF(AND(ArtifactsInput!$M$27,Inputs!$B$4="Chapter Hunt"),CHOOSE(ArtifactsInput!$N$27+1,20,24,28,32,36,40),0)/100)),0)</f>
        <v/>
      </c>
      <c r="R2812">
        <f>IF(AND(Inputs!$B$38&lt;&gt;"pvp",Inputs!$B$43&gt;0),IF(MAX(0,Inputs!$B$43-B2849)&lt;=0,0,(INT(MAX(0,Inputs!$B$43-B2849)/(IF(Inputs!$B$38="pvp",15,MAX(0.1,Skills!D5-IF(TRUE=TRUE,Inputs!$B$32,0)))*(1-IF(AND(ArtifactsInput!$M$27,Inputs!$B$4="Chapter Hunt"),CHOOSE(ArtifactsInput!$N$27+1,20,24,28,32,36,40),0)/100)))+1)),0)</f>
        <v/>
      </c>
      <c r="S2812">
        <f>IFERROR(O2812/N2812,0)</f>
        <v/>
      </c>
      <c r="T2812">
        <f>IF(C2812,(H2812*N2812*IF(AND(Inputs!$B$38&lt;&gt;"pvp",Inputs!$B$43&gt;0),((Skills!G5*((R2812-1)*IF(Skills!H5&gt;0,INT(Skills!I5/Skills!H5+0.000000001),1)+IF(Skills!H5&gt;0,INT(MIN(Skills!I5,MAX(0,MAX(0,Inputs!$B$43-B2849)-((R2812-1)*(IF(Inputs!$B$38="pvp",15,MAX(0.1,Skills!D5-IF(TRUE=TRUE,Inputs!$B$32,0)))*(1-IF(AND(ArtifactsInput!$M$27,Inputs!$B$4="Chapter Hunt"),CHOOSE(ArtifactsInput!$N$27+1,20,24,28,32,36,40),0)/100)))))/Skills!H5+0.000000001),1)))/Inputs!$B$43),G2812*Q2812)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5*((R2812-1)*IF(Skills!H5&gt;0,INT(Skills!I5/Skills!H5+0.000000001),1)+IF(Skills!H5&gt;0,INT(MIN(Skills!I5,MAX(0,MAX(0,Inputs!$B$43-B2849)-((R2812-1)*(IF(Inputs!$B$38="pvp",15,MAX(0.1,Skills!D5-IF(TRUE=TRUE,Inputs!$B$32,0)))*(1-IF(AND(ArtifactsInput!$M$27,Inputs!$B$4="Chapter Hunt"),CHOOSE(ArtifactsInput!$N$27+1,20,24,28,32,36,40),0)/100)))))/Skills!H5+0.000000001),1)))/Inputs!$B$43),G2812*Q2812))*IF(Inputs!$B$38="pvp",1,(1+(Inputs!$B$21+Skills!Q5+(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Skills!A6</f>
        <v/>
      </c>
      <c r="B2813">
        <f>Skills!B6</f>
        <v/>
      </c>
      <c r="C2813">
        <f>Inputs!$B$3&gt;=40</f>
        <v/>
      </c>
      <c r="D2813">
        <f>IF(Skills!C6=1,60+Inputs!$B$25+Inputs!$B$29,IF(Skills!C6=2,90+Inputs!$B$26+Inputs!$B$29,IF(Skills!C6=3,120+Inputs!$B$27+Inputs!$B$29,MAX(0,(Inputs!$B$3-100)*3)+Inputs!$B$28+Inputs!$B$29)))</f>
        <v/>
      </c>
      <c r="E2813">
        <f>INDEX(FactorTable!$B$2:$Y$301, MATCH(ROUND(MIN(300,MAX(1,D2813)),0), FactorTable!$A$2:$A$301,0), Skills!M6+1)</f>
        <v/>
      </c>
      <c r="F2813">
        <f>IF(Skills!N6=TRUE,(Skills!L6/10)*(E2813/1000),Skills!L6/10)+Skills!O6</f>
        <v/>
      </c>
      <c r="G2813">
        <f>Skills!G6*IF(Skills!H6&gt;0,INT(IF(Inputs!$B$38="pvp",MIN(Skills!I6,15),Skills!I6)/Skills!H6+0.000000001),1)</f>
        <v/>
      </c>
      <c r="H2813">
        <f>1-(1-Skills!J6/100)^Skills!K6</f>
        <v/>
      </c>
      <c r="I2813" t="inlineStr">
        <is>
          <t>1</t>
        </is>
      </c>
      <c r="J2813">
        <f>((Inputs!$B$6*(1+Inputs!$B$7/100))+(((Inputs!$B$12*(1+Inputs!$B$13/100))-(Inputs!$B$12*(1+Inputs!$B$13/100)))+0.25*(Inputs!$B$14-Inputs!$B$14))*(1+Inputs!$B$7/100))*(F2813/100)</f>
        <v/>
      </c>
      <c r="K2813">
        <f>J2813*(1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2814=TRUE,F2814,0)/100)*(1+(IF(Skills!A6="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2833=TRUE)*(F2833-Calc!F26)),(Inputs!$B$23+((C2838=TRUE)*(F2838-Calc!F31))+(IF(ArtifactsInput!$M$15,CHOOSE(ArtifactsInput!$N$15+1,25,30,35,40,45,50)/100*(Inputs!$B$11-Inputs!$B$11),0))))/100+(Inputs!$B$23+((C2838=TRUE)*(F2838-Calc!F31))+(IF(ArtifactsInput!$M$15,CHOOSE(ArtifactsInput!$N$15+1,25,30,35,40,45,50)/100*(Inputs!$B$11-Inputs!$B$11),0)))/100)/2</f>
        <v/>
      </c>
      <c r="M2813">
        <f>L2813*(1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IF(B2852=0,0,O2813/B2852)</f>
        <v/>
      </c>
      <c r="Q2813">
        <f>IFERROR(1/(IF(Inputs!$B$38="pvp",15,MAX(0.1,1-0.4*MIN(1,(B2844-1)/1.5)-IF(FALSE=TRUE,Inputs!$B$32,0)))*(1-IF(AND(ArtifactsInput!$M$27,Inputs!$B$4="Chapter Hunt"),CHOOSE(ArtifactsInput!$N$27+1,20,24,28,32,36,40),0)/100)),0)</f>
        <v/>
      </c>
      <c r="R2813">
        <f>IF(AND(Inputs!$B$38&lt;&gt;"pvp",Inputs!$B$43&gt;0),IF(MAX(0,Inputs!$B$43-B2849)&lt;=0,0,(INT(MAX(0,Inputs!$B$43-B2849)/(IF(Inputs!$B$38="pvp",15,MAX(0.1,1-0.4*MIN(1,(B2844-1)/1.5)-IF(FALSE=TRUE,Inputs!$B$32,0)))*(1-IF(AND(ArtifactsInput!$M$27,Inputs!$B$4="Chapter Hunt"),CHOOSE(ArtifactsInput!$N$27+1,20,24,28,32,36,40),0)/100)))+1)),0)</f>
        <v/>
      </c>
      <c r="S2813">
        <f>IFERROR(O2813/N2813,0)</f>
        <v/>
      </c>
      <c r="T2813">
        <f>IF(C2813,(H2813*N2813*IF(AND(Inputs!$B$38&lt;&gt;"pvp",Inputs!$B$43&gt;0),((Skills!G6*((R2813-1)*IF(Skills!H6&gt;0,INT(Skills!I6/Skills!H6+0.000000001),1)+IF(Skills!H6&gt;0,INT(MIN(Skills!I6,MAX(0,MAX(0,Inputs!$B$43-B2849)-((R2813-1)*(IF(Inputs!$B$38="pvp",15,MAX(0.1,1-0.4*MIN(1,(B2844-1)/1.5)-IF(FALSE=TRUE,Inputs!$B$32,0)))*(1-IF(AND(ArtifactsInput!$M$27,Inputs!$B$4="Chapter Hunt"),CHOOSE(ArtifactsInput!$N$27+1,20,24,28,32,36,40),0)/100)))))/Skills!H6+0.000000001),1)))/Inputs!$B$43),G2813*Q2813)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6*((R2813-1)*IF(Skills!H6&gt;0,INT(Skills!I6/Skills!H6+0.000000001),1)+IF(Skills!H6&gt;0,INT(MIN(Skills!I6,MAX(0,MAX(0,Inputs!$B$43-B2849)-((R2813-1)*(IF(Inputs!$B$38="pvp",15,MAX(0.1,1-0.4*MIN(1,(B2844-1)/1.5)-IF(FALSE=TRUE,Inputs!$B$32,0)))*(1-IF(AND(ArtifactsInput!$M$27,Inputs!$B$4="Chapter Hunt"),CHOOSE(ArtifactsInput!$N$27+1,20,24,28,32,36,40),0)/100)))))/Skills!H6+0.000000001),1)))/Inputs!$B$43),G2813*Q2813))*IF(Inputs!$B$38="pvp",1,(1+(Inputs!$B$21+Skills!Q6+(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Skills!A7</f>
        <v/>
      </c>
      <c r="B2814">
        <f>Skills!B7</f>
        <v/>
      </c>
      <c r="C2814">
        <f>Inputs!$B$3&gt;=107</f>
        <v/>
      </c>
      <c r="D2814">
        <f>IF(Skills!C7=1,60+Inputs!$B$25+Inputs!$B$29,IF(Skills!C7=2,90+Inputs!$B$26+Inputs!$B$29,IF(Skills!C7=3,120+Inputs!$B$27+Inputs!$B$29,MAX(0,(Inputs!$B$3-100)*3)+Inputs!$B$28+Inputs!$B$29)))</f>
        <v/>
      </c>
      <c r="E2814">
        <f>INDEX(FactorTable!$B$2:$Y$301, MATCH(ROUND(MIN(300,MAX(1,D2814)),0), FactorTable!$A$2:$A$301,0), Skills!M7+1)</f>
        <v/>
      </c>
      <c r="F2814">
        <f>IF(Skills!N7=TRUE,(Skills!L7/10)*(E2814/1000),Skills!L7/10)+Skills!O7</f>
        <v/>
      </c>
      <c r="G2814" t="inlineStr"/>
      <c r="H2814" t="inlineStr"/>
      <c r="I2814" t="inlineStr">
        <is>
          <t>1</t>
        </is>
      </c>
      <c r="J2814" t="inlineStr"/>
      <c r="K2814" t="inlineStr"/>
      <c r="L2814" t="inlineStr"/>
      <c r="M2814" t="inlineStr"/>
      <c r="N2814" t="inlineStr"/>
      <c r="O2814" t="inlineStr"/>
      <c r="P2814" t="inlineStr"/>
      <c r="Q2814" t="inlineStr"/>
      <c r="R2814" t="inlineStr"/>
      <c r="S2814" t="inlineStr"/>
      <c r="T2814" t="inlineStr"/>
      <c r="V2814" t="inlineStr"/>
    </row>
    <row r="2815">
      <c r="A2815">
        <f>Skills!A8</f>
        <v/>
      </c>
      <c r="B2815">
        <f>Skills!B8</f>
        <v/>
      </c>
      <c r="C2815">
        <f>Inputs!$B$3&gt;=130</f>
        <v/>
      </c>
      <c r="D2815">
        <f>IF(Skills!C8=1,60+Inputs!$B$25+Inputs!$B$29,IF(Skills!C8=2,90+Inputs!$B$26+Inputs!$B$29,IF(Skills!C8=3,120+Inputs!$B$27+Inputs!$B$29,MAX(0,(Inputs!$B$3-100)*3)+Inputs!$B$28+Inputs!$B$29)))</f>
        <v/>
      </c>
      <c r="E2815">
        <f>INDEX(FactorTable!$B$2:$Y$301, MATCH(ROUND(MIN(300,MAX(1,D2815)),0), FactorTable!$A$2:$A$301,0), Skills!M8+1)</f>
        <v/>
      </c>
      <c r="F2815">
        <f>IF(Skills!N8=TRUE,(Skills!L8/10)*(E2815/1000),Skills!L8/10)+Skills!O8</f>
        <v/>
      </c>
      <c r="G2815">
        <f>Skills!G8*IF(Skills!H8&gt;0,INT(IF(Inputs!$B$38="pvp",MIN(Skills!I8,15),Skills!I8)/Skills!H8+0.000000001),1)</f>
        <v/>
      </c>
      <c r="H2815">
        <f>1-(1-Skills!J8/100)^Skills!K8</f>
        <v/>
      </c>
      <c r="I2815" t="inlineStr">
        <is>
          <t>1</t>
        </is>
      </c>
      <c r="J2815">
        <f>((Inputs!$B$6*(1+Inputs!$B$7/100))+(((Inputs!$B$12*(1+Inputs!$B$13/100))-(Inputs!$B$12*(1+Inputs!$B$13/100)))+0.25*(Inputs!$B$14-Inputs!$B$14))*(1+Inputs!$B$7/100))*(F2815/100)</f>
        <v/>
      </c>
      <c r="K2815">
        <f>J2815*(1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2833=TRUE)*(F2833-Calc!F26)),(Inputs!$B$23+((C2838=TRUE)*(F2838-Calc!F31))+(IF(ArtifactsInput!$M$15,CHOOSE(ArtifactsInput!$N$15+1,25,30,35,40,45,50)/100*(Inputs!$B$11-Inputs!$B$11),0))))/100+(Inputs!$B$23+((C2838=TRUE)*(F2838-Calc!F31))+(IF(ArtifactsInput!$M$15,CHOOSE(ArtifactsInput!$N$15+1,25,30,35,40,45,50)/100*(Inputs!$B$11-Inputs!$B$11),0)))/100)/2</f>
        <v/>
      </c>
      <c r="M2815">
        <f>L2815*(1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IF(B2852=0,0,O2815/B2852)</f>
        <v/>
      </c>
      <c r="Q2815">
        <f>IFERROR(1/(IF(Inputs!$B$38="pvp",15,MAX(0.1,1-0.4*MIN(1,(B2844-1)/1.5)-IF(FALSE=TRUE,Inputs!$B$32,0)))*(1-IF(AND(ArtifactsInput!$M$27,Inputs!$B$4="Chapter Hunt"),CHOOSE(ArtifactsInput!$N$27+1,20,24,28,32,36,40),0)/100)),0)</f>
        <v/>
      </c>
      <c r="R2815">
        <f>IF(AND(Inputs!$B$38&lt;&gt;"pvp",Inputs!$B$43&gt;0),IF(MAX(0,Inputs!$B$43-B2849)&lt;=0,0,(INT(MAX(0,Inputs!$B$43-B2849)/(IF(Inputs!$B$38="pvp",15,MAX(0.1,1-0.4*MIN(1,(B2844-1)/1.5)-IF(FALSE=TRUE,Inputs!$B$32,0)))*(1-IF(AND(ArtifactsInput!$M$27,Inputs!$B$4="Chapter Hunt"),CHOOSE(ArtifactsInput!$N$27+1,20,24,28,32,36,40),0)/100)))+1)),0)</f>
        <v/>
      </c>
      <c r="S2815">
        <f>IFERROR(O2815/N2815,0)</f>
        <v/>
      </c>
      <c r="T2815">
        <f>IF(C2815,(H2815*N2815*IF(AND(Inputs!$B$38&lt;&gt;"pvp",Inputs!$B$43&gt;0),((Skills!G8*((R2815-1)*IF(Skills!H8&gt;0,INT(Skills!I8/Skills!H8+0.000000001),1)+IF(Skills!H8&gt;0,INT(MIN(Skills!I8,MAX(0,MAX(0,Inputs!$B$43-B2849)-((R2815-1)*(IF(Inputs!$B$38="pvp",15,MAX(0.1,1-0.4*MIN(1,(B2844-1)/1.5)-IF(FALSE=TRUE,Inputs!$B$32,0)))*(1-IF(AND(ArtifactsInput!$M$27,Inputs!$B$4="Chapter Hunt"),CHOOSE(ArtifactsInput!$N$27+1,20,24,28,32,36,40),0)/100)))))/Skills!H8+0.000000001),1)))/Inputs!$B$43),G2815*Q2815)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8*((R2815-1)*IF(Skills!H8&gt;0,INT(Skills!I8/Skills!H8+0.000000001),1)+IF(Skills!H8&gt;0,INT(MIN(Skills!I8,MAX(0,MAX(0,Inputs!$B$43-B2849)-((R2815-1)*(IF(Inputs!$B$38="pvp",15,MAX(0.1,1-0.4*MIN(1,(B2844-1)/1.5)-IF(FALSE=TRUE,Inputs!$B$32,0)))*(1-IF(AND(ArtifactsInput!$M$27,Inputs!$B$4="Chapter Hunt"),CHOOSE(ArtifactsInput!$N$27+1,20,24,28,32,36,40),0)/100)))))/Skills!H8+0.000000001),1)))/Inputs!$B$43),G2815*Q2815))*IF(Inputs!$B$38="pvp",1,(1+(Inputs!$B$21+Skills!Q8+(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Skills!A9</f>
        <v/>
      </c>
      <c r="B2816">
        <f>Skills!B9</f>
        <v/>
      </c>
      <c r="C2816">
        <f>Inputs!$B$3&gt;=69</f>
        <v/>
      </c>
      <c r="D2816">
        <f>IF(Skills!C9=1,60+Inputs!$B$25+Inputs!$B$29,IF(Skills!C9=2,90+Inputs!$B$26+Inputs!$B$29,IF(Skills!C9=3,120+Inputs!$B$27+Inputs!$B$29,MAX(0,(Inputs!$B$3-100)*3)+Inputs!$B$28+Inputs!$B$29)))</f>
        <v/>
      </c>
      <c r="E2816">
        <f>INDEX(FactorTable!$B$2:$Y$301, MATCH(ROUND(MIN(300,MAX(1,D2816)),0), FactorTable!$A$2:$A$301,0), Skills!M9+1)</f>
        <v/>
      </c>
      <c r="F2816">
        <f>IF(Skills!N9=TRUE,(Skills!L9/10)*(E2816/1000),Skills!L9/10)+Skills!O9</f>
        <v/>
      </c>
      <c r="G2816">
        <f>Skills!G9*IF(Skills!H9&gt;0,INT(IF(Inputs!$B$38="pvp",MIN(Skills!I9,15),Skills!I9)/Skills!H9+0.000000001),1)</f>
        <v/>
      </c>
      <c r="H2816">
        <f>1-(1-Skills!J9/100)^Skills!K9</f>
        <v/>
      </c>
      <c r="I2816" t="inlineStr">
        <is>
          <t>1</t>
        </is>
      </c>
      <c r="J2816">
        <f>((Inputs!$B$6*(1+Inputs!$B$7/100))+(((Inputs!$B$12*(1+Inputs!$B$13/100))-(Inputs!$B$12*(1+Inputs!$B$13/100)))+0.25*(Inputs!$B$14-Inputs!$B$14))*(1+Inputs!$B$7/100))*(F2816/100)</f>
        <v/>
      </c>
      <c r="K2816">
        <f>J2816*(1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2819=TRUE,F2819,0)/100)*(1+(IF(Skills!A9="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2833=TRUE)*(F2833-Calc!F26)),(Inputs!$B$23+((C2838=TRUE)*(F2838-Calc!F31))+(IF(ArtifactsInput!$M$15,CHOOSE(ArtifactsInput!$N$15+1,25,30,35,40,45,50)/100*(Inputs!$B$11-Inputs!$B$11),0))))/100+(Inputs!$B$23+((C2838=TRUE)*(F2838-Calc!F31))+(IF(ArtifactsInput!$M$15,CHOOSE(ArtifactsInput!$N$15+1,25,30,35,40,45,50)/100*(Inputs!$B$11-Inputs!$B$11),0)))/100)/2</f>
        <v/>
      </c>
      <c r="M2816">
        <f>L2816*(1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IF(B2852=0,0,O2816/B2852)</f>
        <v/>
      </c>
      <c r="Q2816">
        <f>IFERROR(1/(IF(Inputs!$B$38="pvp",15,MAX(0.1,Skills!D9-IF(TRUE=TRUE,Inputs!$B$32,0)))*(1-IF(AND(ArtifactsInput!$M$27,Inputs!$B$4="Chapter Hunt"),CHOOSE(ArtifactsInput!$N$27+1,20,24,28,32,36,40),0)/100)),0)</f>
        <v/>
      </c>
      <c r="R2816">
        <f>IF(AND(Inputs!$B$38&lt;&gt;"pvp",Inputs!$B$43&gt;0),IF(MAX(0,Inputs!$B$43-B2849)&lt;=0,0,(INT(MAX(0,Inputs!$B$43-B2849)/(IF(Inputs!$B$38="pvp",15,MAX(0.1,Skills!D9-IF(TRUE=TRUE,Inputs!$B$32,0)))*(1-IF(AND(ArtifactsInput!$M$27,Inputs!$B$4="Chapter Hunt"),CHOOSE(ArtifactsInput!$N$27+1,20,24,28,32,36,40),0)/100)))+1)),0)</f>
        <v/>
      </c>
      <c r="S2816">
        <f>IFERROR(O2816/N2816,0)</f>
        <v/>
      </c>
      <c r="T2816">
        <f>IF(C2816,(H2816*N2816*IF(AND(Inputs!$B$38&lt;&gt;"pvp",Inputs!$B$43&gt;0),((Skills!G9*((R2816-1)*IF(Skills!H9&gt;0,INT(Skills!I9/Skills!H9+0.000000001),1)+IF(Skills!H9&gt;0,INT(MIN(Skills!I9,MAX(0,MAX(0,Inputs!$B$43-B2849)-((R2816-1)*(IF(Inputs!$B$38="pvp",15,MAX(0.1,Skills!D9-IF(TRUE=TRUE,Inputs!$B$32,0)))*(1-IF(AND(ArtifactsInput!$M$27,Inputs!$B$4="Chapter Hunt"),CHOOSE(ArtifactsInput!$N$27+1,20,24,28,32,36,40),0)/100)))))/Skills!H9+0.000000001),1)))/Inputs!$B$43),G2816*Q2816)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9*((R2816-1)*IF(Skills!H9&gt;0,INT(Skills!I9/Skills!H9+0.000000001),1)+IF(Skills!H9&gt;0,INT(MIN(Skills!I9,MAX(0,MAX(0,Inputs!$B$43-B2849)-((R2816-1)*(IF(Inputs!$B$38="pvp",15,MAX(0.1,Skills!D9-IF(TRUE=TRUE,Inputs!$B$32,0)))*(1-IF(AND(ArtifactsInput!$M$27,Inputs!$B$4="Chapter Hunt"),CHOOSE(ArtifactsInput!$N$27+1,20,24,28,32,36,40),0)/100)))))/Skills!H9+0.000000001),1)))/Inputs!$B$43),G2816*Q2816))*IF(Inputs!$B$38="pvp",1,(1+(Inputs!$B$21+Skills!Q9+(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Skills!A10</f>
        <v/>
      </c>
      <c r="B2817">
        <f>Skills!B10</f>
        <v/>
      </c>
      <c r="C2817">
        <f>Inputs!$B$3&gt;=63</f>
        <v/>
      </c>
      <c r="D2817">
        <f>IF(Skills!C10=1,60+Inputs!$B$25+Inputs!$B$29,IF(Skills!C10=2,90+Inputs!$B$26+Inputs!$B$29,IF(Skills!C10=3,120+Inputs!$B$27+Inputs!$B$29,MAX(0,(Inputs!$B$3-100)*3)+Inputs!$B$28+Inputs!$B$29)))</f>
        <v/>
      </c>
      <c r="E2817">
        <f>INDEX(FactorTable!$B$2:$Y$301, MATCH(ROUND(MIN(300,MAX(1,D2817)),0), FactorTable!$A$2:$A$301,0), Skills!M10+1)</f>
        <v/>
      </c>
      <c r="F2817">
        <f>IF(Skills!N10=TRUE,(Skills!L10/10)*(E2817/1000),Skills!L10/10)+Skills!O10</f>
        <v/>
      </c>
      <c r="G2817">
        <f>Skills!G10*IF(Skills!H10&gt;0,INT(IF(Inputs!$B$38="pvp",MIN(Skills!I10,15),Skills!I10)/Skills!H10+0.000000001),1)</f>
        <v/>
      </c>
      <c r="H2817">
        <f>1-(1-Skills!J10/100)^Skills!K10</f>
        <v/>
      </c>
      <c r="I2817" t="inlineStr">
        <is>
          <t>1</t>
        </is>
      </c>
      <c r="J2817">
        <f>((Inputs!$B$6*(1+Inputs!$B$7/100))+(((Inputs!$B$12*(1+Inputs!$B$13/100))-(Inputs!$B$12*(1+Inputs!$B$13/100)))+0.25*(Inputs!$B$14-Inputs!$B$14))*(1+Inputs!$B$7/100))*(F2817/100)</f>
        <v/>
      </c>
      <c r="K2817">
        <f>J2817*(1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2819=TRUE,F2819,0)/100)*(1+(IF(Skills!A10="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2833=TRUE)*(F2833-Calc!F26)),(Inputs!$B$23+((C2838=TRUE)*(F2838-Calc!F31))+(IF(ArtifactsInput!$M$15,CHOOSE(ArtifactsInput!$N$15+1,25,30,35,40,45,50)/100*(Inputs!$B$11-Inputs!$B$11),0))))/100+(Inputs!$B$23+((C2838=TRUE)*(F2838-Calc!F31))+(IF(ArtifactsInput!$M$15,CHOOSE(ArtifactsInput!$N$15+1,25,30,35,40,45,50)/100*(Inputs!$B$11-Inputs!$B$11),0)))/100)/2</f>
        <v/>
      </c>
      <c r="M2817">
        <f>L2817*(1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IF(B2852=0,0,O2817/B2852)</f>
        <v/>
      </c>
      <c r="Q2817">
        <f>IFERROR(1/(IF(Inputs!$B$38="pvp",15,MAX(0.1,Skills!D10-IF(TRUE=TRUE,Inputs!$B$32,0)))*(1-IF(AND(ArtifactsInput!$M$27,Inputs!$B$4="Chapter Hunt"),CHOOSE(ArtifactsInput!$N$27+1,20,24,28,32,36,40),0)/100)),0)</f>
        <v/>
      </c>
      <c r="R2817">
        <f>IF(AND(Inputs!$B$38&lt;&gt;"pvp",Inputs!$B$43&gt;0),IF(MAX(0,Inputs!$B$43-B2849)&lt;=0,0,(INT(MAX(0,Inputs!$B$43-B2849)/(IF(Inputs!$B$38="pvp",15,MAX(0.1,Skills!D10-IF(TRUE=TRUE,Inputs!$B$32,0)))*(1-IF(AND(ArtifactsInput!$M$27,Inputs!$B$4="Chapter Hunt"),CHOOSE(ArtifactsInput!$N$27+1,20,24,28,32,36,40),0)/100)))+1)),0)</f>
        <v/>
      </c>
      <c r="S2817">
        <f>IFERROR(O2817/N2817,0)</f>
        <v/>
      </c>
      <c r="T2817">
        <f>IF(C2817,(H2817*N2817*IF(AND(Inputs!$B$38&lt;&gt;"pvp",Inputs!$B$43&gt;0),((Skills!G10*((R2817-1)*IF(Skills!H10&gt;0,INT(Skills!I10/Skills!H10+0.000000001),1)+IF(Skills!H10&gt;0,INT(MIN(Skills!I10,MAX(0,MAX(0,Inputs!$B$43-B2849)-((R2817-1)*(IF(Inputs!$B$38="pvp",15,MAX(0.1,Skills!D10-IF(TRUE=TRUE,Inputs!$B$32,0)))*(1-IF(AND(ArtifactsInput!$M$27,Inputs!$B$4="Chapter Hunt"),CHOOSE(ArtifactsInput!$N$27+1,20,24,28,32,36,40),0)/100)))))/Skills!H10+0.000000001),1)))/Inputs!$B$43),G2817*Q2817)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7">
        <f>IF(C2817,(H2817*N2817*IF(AND(Inputs!$B$38&lt;&gt;"pvp",Inputs!$B$43&gt;0),((Skills!G10*((R2817-1)*IF(Skills!H10&gt;0,INT(Skills!I10/Skills!H10+0.000000001),1)+IF(Skills!H10&gt;0,INT(MIN(Skills!I10,MAX(0,MAX(0,Inputs!$B$43-B2849)-((R2817-1)*(IF(Inputs!$B$38="pvp",15,MAX(0.1,Skills!D10-IF(TRUE=TRUE,Inputs!$B$32,0)))*(1-IF(AND(ArtifactsInput!$M$27,Inputs!$B$4="Chapter Hunt"),CHOOSE(ArtifactsInput!$N$27+1,20,24,28,32,36,40),0)/100)))))/Skills!H10+0.000000001),1)))/Inputs!$B$43),G2817*Q2817))*IF(Inputs!$B$38="pvp",1,(1+(Inputs!$B$21+Skills!Q10+(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Skills!A11</f>
        <v/>
      </c>
      <c r="B2818">
        <f>Skills!B11</f>
        <v/>
      </c>
      <c r="C2818">
        <f>Inputs!$B$3&gt;=103</f>
        <v/>
      </c>
      <c r="D2818">
        <f>IF(Skills!C11=1,60+Inputs!$B$25+Inputs!$B$29,IF(Skills!C11=2,90+Inputs!$B$26+Inputs!$B$29,IF(Skills!C11=3,120+Inputs!$B$27+Inputs!$B$29,MAX(0,(Inputs!$B$3-100)*3)+Inputs!$B$28+Inputs!$B$29)))</f>
        <v/>
      </c>
      <c r="E2818">
        <f>INDEX(FactorTable!$B$2:$Y$301, MATCH(ROUND(MIN(300,MAX(1,D2818)),0), FactorTable!$A$2:$A$301,0), Skills!M11+1)</f>
        <v/>
      </c>
      <c r="F2818">
        <f>IF(Skills!N11=TRUE,(Skills!L11/10)*(E2818/1000),Skills!L11/10)+Skills!O11</f>
        <v/>
      </c>
      <c r="G2818">
        <f>Skills!G11*IF(Skills!H11&gt;0,INT(IF(Inputs!$B$38="pvp",MIN(Skills!I11,15),Skills!I11)/Skills!H11+0.000000001),1)</f>
        <v/>
      </c>
      <c r="H2818">
        <f>1-(1-Skills!J11/100)^Skills!K11</f>
        <v/>
      </c>
      <c r="I2818" t="inlineStr">
        <is>
          <t>1</t>
        </is>
      </c>
      <c r="J2818">
        <f>((Inputs!$B$6*(1+Inputs!$B$7/100))+(((Inputs!$B$12*(1+Inputs!$B$13/100))-(Inputs!$B$12*(1+Inputs!$B$13/100)))+0.25*(Inputs!$B$14-Inputs!$B$14))*(1+Inputs!$B$7/100))*(F2818/100)</f>
        <v/>
      </c>
      <c r="K2818">
        <f>J2818*(1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2833=TRUE)*(F2833-Calc!F26)),(Inputs!$B$23+((C2838=TRUE)*(F2838-Calc!F31))+(IF(ArtifactsInput!$M$15,CHOOSE(ArtifactsInput!$N$15+1,25,30,35,40,45,50)/100*(Inputs!$B$11-Inputs!$B$11),0))))/100+(Inputs!$B$23+((C2838=TRUE)*(F2838-Calc!F31))+(IF(ArtifactsInput!$M$15,CHOOSE(ArtifactsInput!$N$15+1,25,30,35,40,45,50)/100*(Inputs!$B$11-Inputs!$B$11),0)))/100)/2</f>
        <v/>
      </c>
      <c r="M2818">
        <f>L2818*(1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IF(B2852=0,0,O2818/B2852)</f>
        <v/>
      </c>
      <c r="Q2818">
        <f>IFERROR(1/(IF(Inputs!$B$38="pvp",15,MAX(0.1,Skills!D11-IF(TRUE=TRUE,Inputs!$B$32,0)))*(1-IF(AND(ArtifactsInput!$M$27,Inputs!$B$4="Chapter Hunt"),CHOOSE(ArtifactsInput!$N$27+1,20,24,28,32,36,40),0)/100)),0)</f>
        <v/>
      </c>
      <c r="R2818">
        <f>IF(AND(Inputs!$B$38&lt;&gt;"pvp",Inputs!$B$43&gt;0),IF(MAX(0,Inputs!$B$43-B2849)&lt;=0,0,(INT(MAX(0,Inputs!$B$43-B2849)/(IF(Inputs!$B$38="pvp",15,MAX(0.1,Skills!D11-IF(TRUE=TRUE,Inputs!$B$32,0)))*(1-IF(AND(ArtifactsInput!$M$27,Inputs!$B$4="Chapter Hunt"),CHOOSE(ArtifactsInput!$N$27+1,20,24,28,32,36,40),0)/100)))+1)),0)</f>
        <v/>
      </c>
      <c r="S2818">
        <f>IFERROR(O2818/N2818,0)</f>
        <v/>
      </c>
      <c r="T2818">
        <f>IF(C2818,(H2818*N2818*IF(AND(Inputs!$B$38&lt;&gt;"pvp",Inputs!$B$43&gt;0),((Skills!G11*((R2818-1)*IF(Skills!H11&gt;0,INT(Skills!I11/Skills!H11+0.000000001),1)+IF(Skills!H11&gt;0,INT(MIN(Skills!I11,MAX(0,MAX(0,Inputs!$B$43-B2849)-((R2818-1)*(IF(Inputs!$B$38="pvp",15,MAX(0.1,Skills!D11-IF(TRUE=TRUE,Inputs!$B$32,0)))*(1-IF(AND(ArtifactsInput!$M$27,Inputs!$B$4="Chapter Hunt"),CHOOSE(ArtifactsInput!$N$27+1,20,24,28,32,36,40),0)/100)))))/Skills!H11+0.000000001),1)))/Inputs!$B$43),G2818*Q2818)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11*((R2818-1)*IF(Skills!H11&gt;0,INT(Skills!I11/Skills!H11+0.000000001),1)+IF(Skills!H11&gt;0,INT(MIN(Skills!I11,MAX(0,MAX(0,Inputs!$B$43-B2849)-((R2818-1)*(IF(Inputs!$B$38="pvp",15,MAX(0.1,Skills!D11-IF(TRUE=TRUE,Inputs!$B$32,0)))*(1-IF(AND(ArtifactsInput!$M$27,Inputs!$B$4="Chapter Hunt"),CHOOSE(ArtifactsInput!$N$27+1,20,24,28,32,36,40),0)/100)))))/Skills!H11+0.000000001),1)))/Inputs!$B$43),G2818*Q2818))*IF(Inputs!$B$38="pvp",1,(1+(Inputs!$B$21+Skills!Q11+(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Skills!A12</f>
        <v/>
      </c>
      <c r="B2819">
        <f>Skills!B12</f>
        <v/>
      </c>
      <c r="C2819">
        <f>Inputs!$B$3&gt;=100</f>
        <v/>
      </c>
      <c r="D2819">
        <f>IF(Skills!C12=1,60+Inputs!$B$25+Inputs!$B$29,IF(Skills!C12=2,90+Inputs!$B$26+Inputs!$B$29,IF(Skills!C12=3,120+Inputs!$B$27+Inputs!$B$29,MAX(0,(Inputs!$B$3-100)*3)+Inputs!$B$28+Inputs!$B$29)))</f>
        <v/>
      </c>
      <c r="E2819">
        <f>INDEX(FactorTable!$B$2:$Y$301, MATCH(ROUND(MIN(300,MAX(1,D2819)),0), FactorTable!$A$2:$A$301,0), Skills!M12+1)</f>
        <v/>
      </c>
      <c r="F2819">
        <f>IF(Skills!N12=TRUE,(Skills!L12/10)*(E2819/1000),Skills!L12/10)+Skills!O12</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V2819" t="inlineStr"/>
    </row>
    <row r="2820">
      <c r="A2820">
        <f>Skills!A13</f>
        <v/>
      </c>
      <c r="B2820">
        <f>Skills!B13</f>
        <v/>
      </c>
      <c r="C2820">
        <f>Inputs!$B$3&gt;=60</f>
        <v/>
      </c>
      <c r="D2820">
        <f>IF(Skills!C13=1,60+Inputs!$B$25+Inputs!$B$29,IF(Skills!C13=2,90+Inputs!$B$26+Inputs!$B$29,IF(Skills!C13=3,120+Inputs!$B$27+Inputs!$B$29,MAX(0,(Inputs!$B$3-100)*3)+Inputs!$B$28+Inputs!$B$29)))</f>
        <v/>
      </c>
      <c r="E2820">
        <f>INDEX(FactorTable!$B$2:$Y$301, MATCH(ROUND(MIN(300,MAX(1,D2820)),0), FactorTable!$A$2:$A$301,0), Skills!M13+1)</f>
        <v/>
      </c>
      <c r="F2820">
        <f>IF(Skills!N13=TRUE,(Skills!L13/10)*(E2820/1000),Skills!L13/10)+Skills!O13</f>
        <v/>
      </c>
      <c r="G2820">
        <f>Skills!G13*IF(Skills!H13&gt;0,INT(IF(Inputs!$B$38="pvp",MIN(Skills!I13,15),Skills!I13)/Skills!H13+0.000000001),1)</f>
        <v/>
      </c>
      <c r="H2820">
        <f>1-(1-Skills!J13/100)^Skills!K13</f>
        <v/>
      </c>
      <c r="I2820" t="inlineStr">
        <is>
          <t>1</t>
        </is>
      </c>
      <c r="J2820">
        <f>((Inputs!$B$6*(1+Inputs!$B$7/100))+(((Inputs!$B$12*(1+Inputs!$B$13/100))-(Inputs!$B$12*(1+Inputs!$B$13/100)))+0.25*(Inputs!$B$14-Inputs!$B$14))*(1+Inputs!$B$7/100))*(F2820/100)</f>
        <v/>
      </c>
      <c r="K2820">
        <f>J2820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2821=TRUE,F2821,0)/100)*(1+(IF(Skills!A13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2833=TRUE)*(F2833-Calc!F26)),(Inputs!$B$23+((C2838=TRUE)*(F2838-Calc!F31))+(IF(ArtifactsInput!$M$15,CHOOSE(ArtifactsInput!$N$15+1,25,30,35,40,45,50)/100*(Inputs!$B$11-Inputs!$B$11),0))))/100+(Inputs!$B$23+((C2838=TRUE)*(F2838-Calc!F31))+(IF(ArtifactsInput!$M$15,CHOOSE(ArtifactsInput!$N$15+1,25,30,35,40,45,50)/100*(Inputs!$B$11-Inputs!$B$11),0)))/100)/2</f>
        <v/>
      </c>
      <c r="M2820">
        <f>L2820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IF(B2852=0,0,O2820/B2852)</f>
        <v/>
      </c>
      <c r="Q2820">
        <f>IFERROR(1/(IF(Inputs!$B$38="pvp",15,MAX(0.1,IF(Inputs!$B$3&gt;=122,3,5)+1/(((20+30*(B2844-1)*100/150)/100)*B2844)-IF(FALSE=TRUE,Inputs!$B$32,0)))*(1-IF(AND(ArtifactsInput!$M$27,Inputs!$B$4="Chapter Hunt"),CHOOSE(ArtifactsInput!$N$27+1,20,24,28,32,36,40),0)/100)),0)</f>
        <v/>
      </c>
      <c r="R2820">
        <f>IF(AND(Inputs!$B$38&lt;&gt;"pvp",Inputs!$B$43&gt;0),IF(MAX(0,Inputs!$B$43-B2849)&lt;=0,0,(INT(MAX(0,Inputs!$B$43-B2849)/(IF(Inputs!$B$38="pvp",15,MAX(0.1,IF(Inputs!$B$3&gt;=122,3,5)+1/(((20+30*(B2844-1)*100/150)/100)*B2844)-IF(FALSE=TRUE,Inputs!$B$32,0)))*(1-IF(AND(ArtifactsInput!$M$27,Inputs!$B$4="Chapter Hunt"),CHOOSE(ArtifactsInput!$N$27+1,20,24,28,32,36,40),0)/100)))+1)),0)</f>
        <v/>
      </c>
      <c r="S2820">
        <f>IFERROR(O2820/N2820,0)</f>
        <v/>
      </c>
      <c r="T2820">
        <f>IF(C2820,(H2820*N2820*IF(AND(Inputs!$B$38&lt;&gt;"pvp",Inputs!$B$43&gt;0),((Skills!G13*((R2820-1)*IF(Skills!H13&gt;0,INT(Skills!I13/Skills!H13+0.000000001),1)+IF(Skills!H13&gt;0,INT(MIN(Skills!I13,MAX(0,MAX(0,Inputs!$B$43-B2849)-((R2820-1)*(IF(Inputs!$B$38="pvp",15,MAX(0.1,IF(Inputs!$B$3&gt;=122,3,5)+1/(((20+30*(B2844-1)*100/150)/100)*B2844)-IF(FALSE=TRUE,Inputs!$B$32,0)))*(1-IF(AND(ArtifactsInput!$M$27,Inputs!$B$4="Chapter Hunt"),CHOOSE(ArtifactsInput!$N$27+1,20,24,28,32,36,40),0)/100)))))/Skills!H13+0.000000001),1)))/Inputs!$B$43),G2820*Q2820)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13*((R2820-1)*IF(Skills!H13&gt;0,INT(Skills!I13/Skills!H13+0.000000001),1)+IF(Skills!H13&gt;0,INT(MIN(Skills!I13,MAX(0,MAX(0,Inputs!$B$43-B2849)-((R2820-1)*(IF(Inputs!$B$38="pvp",15,MAX(0.1,IF(Inputs!$B$3&gt;=122,3,5)+1/(((20+30*(B2844-1)*100/150)/100)*B2844)-IF(FALSE=TRUE,Inputs!$B$32,0)))*(1-IF(AND(ArtifactsInput!$M$27,Inputs!$B$4="Chapter Hunt"),CHOOSE(ArtifactsInput!$N$27+1,20,24,28,32,36,40),0)/100)))))/Skills!H13+0.000000001),1)))/Inputs!$B$43),G2820*Q2820))*IF(Inputs!$B$38="pvp",1,(1+(Inputs!$B$21+Skills!Q13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Skills!A14</f>
        <v/>
      </c>
      <c r="B2821">
        <f>Skills!B14</f>
        <v/>
      </c>
      <c r="C2821">
        <f>Inputs!$B$3&gt;=110</f>
        <v/>
      </c>
      <c r="D2821">
        <f>IF(Skills!C14=1,60+Inputs!$B$25+Inputs!$B$29,IF(Skills!C14=2,90+Inputs!$B$26+Inputs!$B$29,IF(Skills!C14=3,120+Inputs!$B$27+Inputs!$B$29,MAX(0,(Inputs!$B$3-100)*3)+Inputs!$B$28+Inputs!$B$29)))</f>
        <v/>
      </c>
      <c r="E2821">
        <f>INDEX(FactorTable!$B$2:$Y$301, MATCH(ROUND(MIN(300,MAX(1,D2821)),0), FactorTable!$A$2:$A$301,0), Skills!M14+1)</f>
        <v/>
      </c>
      <c r="F2821">
        <f>IF(Skills!N14=TRUE,(Skills!L14/10)*(E2821/1000),Skills!L14/10)+Skills!O14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T2821" t="inlineStr"/>
      <c r="V2821" t="inlineStr"/>
    </row>
    <row r="2822">
      <c r="A2822">
        <f>Skills!A15</f>
        <v/>
      </c>
      <c r="B2822">
        <f>Skills!B15</f>
        <v/>
      </c>
      <c r="C2822">
        <f>Inputs!$B$3&gt;=74</f>
        <v/>
      </c>
      <c r="D2822">
        <f>IF(Skills!C15=1,60+Inputs!$B$25+Inputs!$B$29,IF(Skills!C15=2,90+Inputs!$B$26+Inputs!$B$29,IF(Skills!C15=3,120+Inputs!$B$27+Inputs!$B$29,MAX(0,(Inputs!$B$3-100)*3)+Inputs!$B$28+Inputs!$B$29)))</f>
        <v/>
      </c>
      <c r="E2822">
        <f>INDEX(FactorTable!$B$2:$Y$301, MATCH(ROUND(MIN(300,MAX(1,D2822)),0), FactorTable!$A$2:$A$301,0), Skills!M15+1)</f>
        <v/>
      </c>
      <c r="F2822">
        <f>IF(Skills!N15=TRUE,(Skills!L15/10)*(E2822/1000),Skills!L15/10)+Skills!O15</f>
        <v/>
      </c>
      <c r="G2822">
        <f>Skills!G15*IF(Skills!H15&gt;0,INT(IF(Inputs!$B$38="pvp",MIN(Skills!I15,15),Skills!I15)/Skills!H15+0.000000001),1)</f>
        <v/>
      </c>
      <c r="H2822">
        <f>1-(1-Skills!J15/100)^Skills!K15</f>
        <v/>
      </c>
      <c r="I2822" t="inlineStr">
        <is>
          <t>1</t>
        </is>
      </c>
      <c r="J2822" t="inlineStr"/>
      <c r="K2822" t="inlineStr"/>
      <c r="L2822" t="inlineStr"/>
      <c r="M2822" t="inlineStr"/>
      <c r="N2822" t="inlineStr"/>
      <c r="O2822">
        <f>(1-Summary!$B$11)*T2822+Summary!$B$11*V2822</f>
        <v/>
      </c>
      <c r="P2822">
        <f>IF(B2852=0,0,O2822/B2852)</f>
        <v/>
      </c>
      <c r="Q2822" t="n">
        <v>0</v>
      </c>
      <c r="R2822" t="n">
        <v>0</v>
      </c>
      <c r="S2822">
        <f>IFERROR(O2822/N2822,0)</f>
        <v/>
      </c>
      <c r="T2822" t="n">
        <v>0</v>
      </c>
      <c r="V2822" t="n">
        <v>0</v>
      </c>
    </row>
    <row r="2823">
      <c r="A2823">
        <f>Skills!A16</f>
        <v/>
      </c>
      <c r="B2823">
        <f>Skills!B16</f>
        <v/>
      </c>
      <c r="C2823">
        <f>Inputs!$B$3&gt;=74</f>
        <v/>
      </c>
      <c r="D2823">
        <f>IF(Skills!C16=1,60+Inputs!$B$25+Inputs!$B$29,IF(Skills!C16=2,90+Inputs!$B$26+Inputs!$B$29,IF(Skills!C16=3,120+Inputs!$B$27+Inputs!$B$29,MAX(0,(Inputs!$B$3-100)*3)+Inputs!$B$28+Inputs!$B$29)))</f>
        <v/>
      </c>
      <c r="E2823">
        <f>INDEX(FactorTable!$B$2:$Y$301, MATCH(ROUND(MIN(300,MAX(1,D2823)),0), FactorTable!$A$2:$A$301,0), Skills!M16+1)</f>
        <v/>
      </c>
      <c r="F2823">
        <f>IF(Skills!N16=TRUE,(Skills!L16/10)*(E2823/1000),Skills!L16/10)+Skills!O16</f>
        <v/>
      </c>
      <c r="G2823">
        <f>Skills!G16*IF(Skills!H16&gt;0,INT(IF(Inputs!$B$38="pvp",MIN(Skills!I16,15),Skills!I16)/Skills!H16+0.000000001),1)</f>
        <v/>
      </c>
      <c r="H2823">
        <f>1-(1-Skills!J16/100)^Skills!K16</f>
        <v/>
      </c>
      <c r="I2823" t="inlineStr">
        <is>
          <t>1</t>
        </is>
      </c>
      <c r="J2823" t="inlineStr"/>
      <c r="K2823" t="inlineStr"/>
      <c r="L2823" t="inlineStr"/>
      <c r="M2823" t="inlineStr"/>
      <c r="N2823" t="inlineStr"/>
      <c r="O2823">
        <f>(1-Summary!$B$11)*T2823+Summary!$B$11*V2823</f>
        <v/>
      </c>
      <c r="P2823">
        <f>IF(B2852=0,0,O2823/B2852)</f>
        <v/>
      </c>
      <c r="Q2823" t="n">
        <v>0</v>
      </c>
      <c r="R2823" t="n">
        <v>0</v>
      </c>
      <c r="S2823">
        <f>IFERROR(O2823/N2823,0)</f>
        <v/>
      </c>
      <c r="T2823" t="n">
        <v>0</v>
      </c>
      <c r="V2823" t="n">
        <v>0</v>
      </c>
    </row>
    <row r="2824">
      <c r="A2824">
        <f>Skills!A17</f>
        <v/>
      </c>
      <c r="B2824">
        <f>Skills!B17</f>
        <v/>
      </c>
      <c r="C2824">
        <f>Inputs!$B$3&gt;=117</f>
        <v/>
      </c>
      <c r="D2824">
        <f>IF(Skills!C17=1,60+Inputs!$B$25+Inputs!$B$29,IF(Skills!C17=2,90+Inputs!$B$26+Inputs!$B$29,IF(Skills!C17=3,120+Inputs!$B$27+Inputs!$B$29,MAX(0,(Inputs!$B$3-100)*3)+Inputs!$B$28+Inputs!$B$29)))</f>
        <v/>
      </c>
      <c r="E2824">
        <f>INDEX(FactorTable!$B$2:$Y$301, MATCH(ROUND(MIN(300,MAX(1,D2824)),0), FactorTable!$A$2:$A$301,0), Skills!M17+1)</f>
        <v/>
      </c>
      <c r="F2824">
        <f>IF(Skills!N17=TRUE,(Skills!L17/10)*(E2824/1000),Skills!L17/10)+Skills!O17</f>
        <v/>
      </c>
      <c r="G2824">
        <f>Skills!G17*IF(Skills!H17&gt;0,INT(IF(Inputs!$B$38="pvp",MIN(Skills!I17,15),Skills!I17)/Skills!H17+0.000000001),1)</f>
        <v/>
      </c>
      <c r="H2824">
        <f>1-(1-Skills!J17/100)^Skills!K17</f>
        <v/>
      </c>
      <c r="I2824" t="inlineStr">
        <is>
          <t>1</t>
        </is>
      </c>
      <c r="J2824" t="inlineStr"/>
      <c r="K2824" t="inlineStr"/>
      <c r="L2824" t="inlineStr"/>
      <c r="M2824" t="inlineStr"/>
      <c r="N2824" t="inlineStr"/>
      <c r="O2824">
        <f>(1-Summary!$B$11)*T2824+Summary!$B$11*V2824</f>
        <v/>
      </c>
      <c r="P2824">
        <f>IF(B2852=0,0,O2824/B2852)</f>
        <v/>
      </c>
      <c r="Q2824">
        <f>IFERROR(1/(IF(Inputs!$B$38="pvp",15,MAX(0.1,Skills!D17-IF(TRUE=TRUE,Inputs!$B$32,0)))*(1-IF(AND(ArtifactsInput!$M$27,Inputs!$B$4="Chapter Hunt"),CHOOSE(ArtifactsInput!$N$27+1,20,24,28,32,36,40),0)/100)),0)</f>
        <v/>
      </c>
      <c r="R2824">
        <f>IF(AND(Inputs!$B$38&lt;&gt;"pvp",Inputs!$B$43&gt;0),IF(Inputs!$B$43&lt;=0,0,(INT(Inputs!$B$43/(IF(Inputs!$B$38="pvp",15,MAX(0.1,Skills!D17-IF(TRUE=TRUE,Inputs!$B$32,0)))*(1-IF(AND(ArtifactsInput!$M$27,Inputs!$B$4="Chapter Hunt"),CHOOSE(ArtifactsInput!$N$27+1,20,24,28,32,36,40),0)/100)))+1)),0)</f>
        <v/>
      </c>
      <c r="S2824">
        <f>IFERROR(O2824/N2824,0)</f>
        <v/>
      </c>
      <c r="T2824" t="n">
        <v>0</v>
      </c>
      <c r="V2824" t="n">
        <v>0</v>
      </c>
    </row>
    <row r="2825">
      <c r="A2825">
        <f>Skills!A18</f>
        <v/>
      </c>
      <c r="B2825">
        <f>Skills!B18</f>
        <v/>
      </c>
      <c r="C2825">
        <f>Inputs!$B$3&gt;=115</f>
        <v/>
      </c>
      <c r="D2825">
        <f>IF(Skills!C18=1,60+Inputs!$B$25+Inputs!$B$29,IF(Skills!C18=2,90+Inputs!$B$26+Inputs!$B$29,IF(Skills!C18=3,120+Inputs!$B$27+Inputs!$B$29,MAX(0,(Inputs!$B$3-100)*3)+Inputs!$B$28+Inputs!$B$29)))</f>
        <v/>
      </c>
      <c r="E2825">
        <f>INDEX(FactorTable!$B$2:$Y$301, MATCH(ROUND(MIN(300,MAX(1,D2825)),0), FactorTable!$A$2:$A$301,0), Skills!M18+1)</f>
        <v/>
      </c>
      <c r="F2825">
        <f>IF(Skills!N18=TRUE,(Skills!L18/10)*(E2825/1000),Skills!L18/10)+Skills!O18</f>
        <v/>
      </c>
      <c r="G2825">
        <f>Skills!G18*IF(Skills!H18&gt;0,INT(IF(Inputs!$B$38="pvp",MIN(Skills!I18,15),Skills!I18)/Skills!H18+0.000000001),1)</f>
        <v/>
      </c>
      <c r="H2825">
        <f>1-(1-Skills!J18/100)^Skills!K18</f>
        <v/>
      </c>
      <c r="I2825" t="inlineStr">
        <is>
          <t>1</t>
        </is>
      </c>
      <c r="J2825" t="inlineStr"/>
      <c r="K2825" t="inlineStr"/>
      <c r="L2825" t="inlineStr"/>
      <c r="M2825" t="inlineStr"/>
      <c r="N2825" t="inlineStr"/>
      <c r="O2825">
        <f>(1-Summary!$B$11)*T2825+Summary!$B$11*V2825</f>
        <v/>
      </c>
      <c r="P2825">
        <f>IF(B2852=0,0,O2825/B2852)</f>
        <v/>
      </c>
      <c r="Q2825">
        <f>IFERROR(1/(IF(Inputs!$B$38="pvp",15,MAX(0.1,Skills!D18-IF(TRUE=TRUE,Inputs!$B$32,0)))*(1-IF(AND(ArtifactsInput!$M$27,Inputs!$B$4="Chapter Hunt"),CHOOSE(ArtifactsInput!$N$27+1,20,24,28,32,36,40),0)/100)),0)</f>
        <v/>
      </c>
      <c r="R2825">
        <f>IF(AND(Inputs!$B$38&lt;&gt;"pvp",Inputs!$B$43&gt;0),IF(Inputs!$B$43&lt;=0,0,(INT(Inputs!$B$43/(IF(Inputs!$B$38="pvp",15,MAX(0.1,Skills!D18-IF(TRUE=TRUE,Inputs!$B$32,0)))*(1-IF(AND(ArtifactsInput!$M$27,Inputs!$B$4="Chapter Hunt"),CHOOSE(ArtifactsInput!$N$27+1,20,24,28,32,36,40),0)/100)))+1)),0)</f>
        <v/>
      </c>
      <c r="S2825">
        <f>IFERROR(O2825/N2825,0)</f>
        <v/>
      </c>
      <c r="T2825" t="n">
        <v>0</v>
      </c>
      <c r="V2825" t="n">
        <v>0</v>
      </c>
    </row>
    <row r="2826">
      <c r="A2826">
        <f>Skills!A19</f>
        <v/>
      </c>
      <c r="B2826">
        <f>Skills!B19</f>
        <v/>
      </c>
      <c r="C2826">
        <f>Inputs!$B$3&gt;=66</f>
        <v/>
      </c>
      <c r="D2826">
        <f>IF(Skills!C19=1,60+Inputs!$B$25+Inputs!$B$29,IF(Skills!C19=2,90+Inputs!$B$26+Inputs!$B$29,IF(Skills!C19=3,120+Inputs!$B$27+Inputs!$B$29,MAX(0,(Inputs!$B$3-100)*3)+Inputs!$B$28+Inputs!$B$29)))</f>
        <v/>
      </c>
      <c r="E2826">
        <f>INDEX(FactorTable!$B$2:$Y$301, MATCH(ROUND(MIN(300,MAX(1,D2826)),0), FactorTable!$A$2:$A$301,0), Skills!M19+1)</f>
        <v/>
      </c>
      <c r="F2826">
        <f>IF(Skills!N19=TRUE,(Skills!L19/10)*(E2826/1000),Skills!L19/10)+Skills!O19</f>
        <v/>
      </c>
      <c r="G2826">
        <f>Skills!G19*IF(Skills!H19&gt;0,INT(IF(Inputs!$B$38="pvp",MIN(Skills!I19,15),Skills!I19)/Skills!H19+0.000000001),1)</f>
        <v/>
      </c>
      <c r="H2826">
        <f>1-(1-Skills!J19/100)^Skills!K19</f>
        <v/>
      </c>
      <c r="I2826" t="inlineStr">
        <is>
          <t>1</t>
        </is>
      </c>
      <c r="J2826" t="inlineStr"/>
      <c r="K2826" t="inlineStr"/>
      <c r="L2826" t="inlineStr"/>
      <c r="M2826" t="inlineStr"/>
      <c r="N2826" t="inlineStr"/>
      <c r="O2826">
        <f>(1-Summary!$B$11)*T2826+Summary!$B$11*V2826</f>
        <v/>
      </c>
      <c r="P2826">
        <f>IF(B2852=0,0,O2826/B2852)</f>
        <v/>
      </c>
      <c r="Q2826" t="n">
        <v>0</v>
      </c>
      <c r="R2826" t="n">
        <v>0</v>
      </c>
      <c r="S2826">
        <f>IFERROR(O2826/N2826,0)</f>
        <v/>
      </c>
      <c r="T2826" t="n">
        <v>0</v>
      </c>
      <c r="V2826" t="n">
        <v>0</v>
      </c>
    </row>
    <row r="2827">
      <c r="A2827">
        <f>Skills!A20</f>
        <v/>
      </c>
      <c r="B2827">
        <f>Skills!B20</f>
        <v/>
      </c>
      <c r="C2827">
        <f>Inputs!$B$3&gt;=72</f>
        <v/>
      </c>
      <c r="D2827">
        <f>IF(Skills!C20=1,60+Inputs!$B$25+Inputs!$B$29,IF(Skills!C20=2,90+Inputs!$B$26+Inputs!$B$29,IF(Skills!C20=3,120+Inputs!$B$27+Inputs!$B$29,MAX(0,(Inputs!$B$3-100)*3)+Inputs!$B$28+Inputs!$B$29)))</f>
        <v/>
      </c>
      <c r="E2827">
        <f>INDEX(FactorTable!$B$2:$Y$301, MATCH(ROUND(MIN(300,MAX(1,D2827)),0), FactorTable!$A$2:$A$301,0), Skills!M20+1)</f>
        <v/>
      </c>
      <c r="F2827">
        <f>IF(Skills!N20=TRUE,(Skills!L20/10)*(E2827/1000),Skills!L20/10)+Skills!O20</f>
        <v/>
      </c>
      <c r="G2827">
        <f>Skills!G20*IF(Skills!H20&gt;0,INT(IF(Inputs!$B$38="pvp",MIN(Skills!I20,15),Skills!I20)/Skills!H20+0.000000001),1)</f>
        <v/>
      </c>
      <c r="H2827">
        <f>1-(1-Skills!J20/100)^Skills!K20</f>
        <v/>
      </c>
      <c r="I2827" t="inlineStr">
        <is>
          <t>1</t>
        </is>
      </c>
      <c r="J2827" t="inlineStr"/>
      <c r="K2827" t="inlineStr"/>
      <c r="L2827" t="inlineStr"/>
      <c r="M2827" t="inlineStr"/>
      <c r="N2827" t="inlineStr"/>
      <c r="O2827">
        <f>(1-Summary!$B$11)*T2827+Summary!$B$11*V2827</f>
        <v/>
      </c>
      <c r="P2827">
        <f>IF(B2852=0,0,O2827/B2852)</f>
        <v/>
      </c>
      <c r="Q2827" t="n">
        <v>0</v>
      </c>
      <c r="R2827" t="n">
        <v>0</v>
      </c>
      <c r="S2827">
        <f>IFERROR(O2827/N2827,0)</f>
        <v/>
      </c>
      <c r="T2827" t="n">
        <v>0</v>
      </c>
      <c r="V2827" t="n">
        <v>0</v>
      </c>
    </row>
    <row r="2828">
      <c r="A2828">
        <f>Skills!A21</f>
        <v/>
      </c>
      <c r="B2828">
        <f>Skills!B21</f>
        <v/>
      </c>
      <c r="C2828">
        <f>TRUE</f>
        <v/>
      </c>
      <c r="D2828">
        <f>IF(Skills!C21=1,60+Inputs!$B$25+Inputs!$B$29,IF(Skills!C21=2,90+Inputs!$B$26+Inputs!$B$29,IF(Skills!C21=3,120+Inputs!$B$27+Inputs!$B$29,MAX(0,(Inputs!$B$3-100)*3)+Inputs!$B$28+Inputs!$B$29)))</f>
        <v/>
      </c>
      <c r="E2828">
        <f>INDEX(FactorTable!$B$2:$Y$301, MATCH(ROUND(MIN(300,MAX(1,D2828)),0), FactorTable!$A$2:$A$301,0), Skills!M21+1)</f>
        <v/>
      </c>
      <c r="F2828">
        <f>IF(Skills!N21=TRUE,(Skills!L21/10)*(E2828/1000),Skills!L21/10)+Skills!O21</f>
        <v/>
      </c>
      <c r="G2828">
        <f>Skills!G21*IF(Skills!H21&gt;0,INT(IF(Inputs!$B$38="pvp",MIN(Skills!I21,15),Skills!I21)/Skills!H21+0.000000001),1)</f>
        <v/>
      </c>
      <c r="H2828">
        <f>1-(1-Skills!J21/100)^Skills!K21</f>
        <v/>
      </c>
      <c r="I2828" t="inlineStr">
        <is>
          <t>1</t>
        </is>
      </c>
      <c r="J2828" t="inlineStr"/>
      <c r="K2828" t="inlineStr"/>
      <c r="L2828" t="inlineStr"/>
      <c r="M2828" t="inlineStr"/>
      <c r="N2828" t="inlineStr"/>
      <c r="O2828">
        <f>(1-Summary!$B$11)*T2828+Summary!$B$11*V2828</f>
        <v/>
      </c>
      <c r="P2828">
        <f>IF(B2852=0,0,O2828/B2852)</f>
        <v/>
      </c>
      <c r="Q2828">
        <f>IFERROR(1/(IF(Inputs!$B$38="pvp",15,MAX(0.1,Skills!D21-IF(TRUE=TRUE,Inputs!$B$32,0)))*(1-IF(AND(ArtifactsInput!$M$27,Inputs!$B$4="Chapter Hunt"),CHOOSE(ArtifactsInput!$N$27+1,20,24,28,32,36,40),0)/100)),0)</f>
        <v/>
      </c>
      <c r="R2828">
        <f>IF(AND(Inputs!$B$38&lt;&gt;"pvp",Inputs!$B$43&gt;0),IF(Inputs!$B$43&lt;=0,0,(INT(Inputs!$B$43/(IF(Inputs!$B$38="pvp",15,MAX(0.1,Skills!D21-IF(TRUE=TRUE,Inputs!$B$32,0)))*(1-IF(AND(ArtifactsInput!$M$27,Inputs!$B$4="Chapter Hunt"),CHOOSE(ArtifactsInput!$N$27+1,20,24,28,32,36,40),0)/100)))+1)),0)</f>
        <v/>
      </c>
      <c r="S2828">
        <f>IFERROR(O2828/N2828,0)</f>
        <v/>
      </c>
      <c r="T2828" t="n">
        <v>0</v>
      </c>
      <c r="V2828" t="n">
        <v>0</v>
      </c>
    </row>
    <row r="2829">
      <c r="A2829">
        <f>Skills!A22</f>
        <v/>
      </c>
      <c r="B2829">
        <f>Skills!B22</f>
        <v/>
      </c>
      <c r="C2829">
        <f>Inputs!$B$3&gt;=15</f>
        <v/>
      </c>
      <c r="D2829">
        <f>IF(Skills!C22=1,60+Inputs!$B$25+Inputs!$B$29,IF(Skills!C22=2,90+Inputs!$B$26+Inputs!$B$29,IF(Skills!C22=3,120+Inputs!$B$27+Inputs!$B$29,MAX(0,(Inputs!$B$3-100)*3)+Inputs!$B$28+Inputs!$B$29)))</f>
        <v/>
      </c>
      <c r="E2829">
        <f>INDEX(FactorTable!$B$2:$Y$301, MATCH(ROUND(MIN(300,MAX(1,D2829)),0), FactorTable!$A$2:$A$301,0), Skills!M22+1)</f>
        <v/>
      </c>
      <c r="F2829">
        <f>IF(Skills!N22=TRUE,(Skills!L22/10)*(E2829/1000),Skills!L22/10)+Skills!O22</f>
        <v/>
      </c>
      <c r="G2829">
        <f>Skills!G22*IF(Skills!H22&gt;0,INT(IF(Inputs!$B$38="pvp",MIN(Skills!I22,15),Skills!I22)/Skills!H22+0.000000001),1)</f>
        <v/>
      </c>
      <c r="H2829">
        <f>1-(1-Skills!J22/100)^Skills!K22</f>
        <v/>
      </c>
      <c r="I2829" t="inlineStr">
        <is>
          <t>1</t>
        </is>
      </c>
      <c r="J2829" t="inlineStr"/>
      <c r="K2829" t="inlineStr"/>
      <c r="L2829" t="inlineStr"/>
      <c r="M2829" t="inlineStr"/>
      <c r="N2829" t="inlineStr"/>
      <c r="O2829">
        <f>(1-Summary!$B$11)*T2829+Summary!$B$11*V2829</f>
        <v/>
      </c>
      <c r="P2829">
        <f>IF(B2852=0,0,O2829/B2852)</f>
        <v/>
      </c>
      <c r="Q2829" t="n">
        <v>0</v>
      </c>
      <c r="R2829" t="n">
        <v>0</v>
      </c>
      <c r="S2829">
        <f>IFERROR(O2829/N2829,0)</f>
        <v/>
      </c>
      <c r="T2829" t="n">
        <v>0</v>
      </c>
      <c r="V2829" t="n">
        <v>0</v>
      </c>
    </row>
    <row r="2830">
      <c r="A2830">
        <f>Skills!A23</f>
        <v/>
      </c>
      <c r="B2830">
        <f>Skills!B23</f>
        <v/>
      </c>
      <c r="C2830">
        <f>Inputs!$B$3&gt;=10</f>
        <v/>
      </c>
      <c r="D2830">
        <f>IF(Skills!C23=1,60+Inputs!$B$25+Inputs!$B$29,IF(Skills!C23=2,90+Inputs!$B$26+Inputs!$B$29,IF(Skills!C23=3,120+Inputs!$B$27+Inputs!$B$29,MAX(0,(Inputs!$B$3-100)*3)+Inputs!$B$28+Inputs!$B$29)))</f>
        <v/>
      </c>
      <c r="E2830">
        <f>INDEX(FactorTable!$B$2:$Y$301, MATCH(ROUND(MIN(300,MAX(1,D2830)),0), FactorTable!$A$2:$A$301,0), Skills!M23+1)</f>
        <v/>
      </c>
      <c r="F2830">
        <f>IF(Skills!N23=TRUE,(Skills!L23/10)*(E2830/1000),Skills!L23/10)+Skills!O23</f>
        <v/>
      </c>
      <c r="G2830">
        <f>Skills!G23*IF(Skills!H23&gt;0,INT(IF(Inputs!$B$38="pvp",MIN(Skills!I23,15),Skills!I23)/Skills!H23+0.000000001),1)</f>
        <v/>
      </c>
      <c r="H2830">
        <f>1-(1-Skills!J23/100)^Skills!K23</f>
        <v/>
      </c>
      <c r="I2830" t="inlineStr">
        <is>
          <t>1</t>
        </is>
      </c>
      <c r="J2830" t="inlineStr"/>
      <c r="K2830" t="inlineStr"/>
      <c r="L2830" t="inlineStr"/>
      <c r="M2830" t="inlineStr"/>
      <c r="N2830" t="inlineStr"/>
      <c r="O2830">
        <f>(1-Summary!$B$11)*T2830+Summary!$B$11*V2830</f>
        <v/>
      </c>
      <c r="P2830">
        <f>IF(B2852=0,0,O2830/B2852)</f>
        <v/>
      </c>
      <c r="Q2830" t="n">
        <v>0</v>
      </c>
      <c r="R2830" t="n">
        <v>0</v>
      </c>
      <c r="S2830">
        <f>IFERROR(O2830/N2830,0)</f>
        <v/>
      </c>
      <c r="T2830" t="n">
        <v>0</v>
      </c>
      <c r="V2830" t="n">
        <v>0</v>
      </c>
    </row>
    <row r="2831">
      <c r="A2831">
        <f>Skills!A24</f>
        <v/>
      </c>
      <c r="B2831">
        <f>Skills!B24</f>
        <v/>
      </c>
      <c r="C2831">
        <f>Inputs!$B$3&gt;=33</f>
        <v/>
      </c>
      <c r="D2831">
        <f>IF(Skills!C24=1,60+Inputs!$B$25+Inputs!$B$29,IF(Skills!C24=2,90+Inputs!$B$26+Inputs!$B$29,IF(Skills!C24=3,120+Inputs!$B$27+Inputs!$B$29,MAX(0,(Inputs!$B$3-100)*3)+Inputs!$B$28+Inputs!$B$29)))</f>
        <v/>
      </c>
      <c r="E2831">
        <f>INDEX(FactorTable!$B$2:$Y$301, MATCH(ROUND(MIN(300,MAX(1,D2831)),0), FactorTable!$A$2:$A$301,0), Skills!M24+1)</f>
        <v/>
      </c>
      <c r="F2831">
        <f>IF(Skills!N24=TRUE,(Skills!L24/10)*(E2831/1000),Skills!L24/10)+Skills!O24</f>
        <v/>
      </c>
      <c r="G2831">
        <f>Skills!G24*IF(Skills!H24&gt;0,INT(IF(Inputs!$B$38="pvp",MIN(Skills!I24,15),Skills!I24)/Skills!H24+0.000000001),1)</f>
        <v/>
      </c>
      <c r="H2831">
        <f>1-(1-Skills!J24/100)^Skills!K24</f>
        <v/>
      </c>
      <c r="I2831" t="inlineStr">
        <is>
          <t>1</t>
        </is>
      </c>
      <c r="J2831" t="inlineStr"/>
      <c r="K2831" t="inlineStr"/>
      <c r="L2831" t="inlineStr"/>
      <c r="M2831" t="inlineStr"/>
      <c r="N2831" t="inlineStr"/>
      <c r="O2831">
        <f>(1-Summary!$B$11)*T2831+Summary!$B$11*V2831</f>
        <v/>
      </c>
      <c r="P2831">
        <f>IF(B2852=0,0,O2831/B2852)</f>
        <v/>
      </c>
      <c r="Q2831" t="n">
        <v>0</v>
      </c>
      <c r="R2831" t="n">
        <v>0</v>
      </c>
      <c r="S2831">
        <f>IFERROR(O2831/N2831,0)</f>
        <v/>
      </c>
      <c r="T2831" t="n">
        <v>0</v>
      </c>
      <c r="V2831" t="n">
        <v>0</v>
      </c>
    </row>
    <row r="2832">
      <c r="A2832">
        <f>Skills!A25</f>
        <v/>
      </c>
      <c r="B2832">
        <f>Skills!B25</f>
        <v/>
      </c>
      <c r="C2832">
        <f>Inputs!$B$3&gt;=38</f>
        <v/>
      </c>
      <c r="D2832">
        <f>IF(Skills!C25=1,60+Inputs!$B$25+Inputs!$B$29,IF(Skills!C25=2,90+Inputs!$B$26+Inputs!$B$29,IF(Skills!C25=3,120+Inputs!$B$27+Inputs!$B$29,MAX(0,(Inputs!$B$3-100)*3)+Inputs!$B$28+Inputs!$B$29)))</f>
        <v/>
      </c>
      <c r="E2832">
        <f>INDEX(FactorTable!$B$2:$Y$301, MATCH(ROUND(MIN(300,MAX(1,D2832)),0), FactorTable!$A$2:$A$301,0), Skills!M25+1)</f>
        <v/>
      </c>
      <c r="F2832">
        <f>IF(Skills!N25=TRUE,(Skills!L25/10)*(E2832/1000),Skills!L25/10)+Skills!O25</f>
        <v/>
      </c>
      <c r="G2832">
        <f>Skills!G25*IF(Skills!H25&gt;0,INT(IF(Inputs!$B$38="pvp",MIN(Skills!I25,15),Skills!I25)/Skills!H25+0.000000001),1)</f>
        <v/>
      </c>
      <c r="H2832">
        <f>1-(1-Skills!J25/100)^Skills!K25</f>
        <v/>
      </c>
      <c r="I2832" t="inlineStr">
        <is>
          <t>1</t>
        </is>
      </c>
      <c r="J2832" t="inlineStr"/>
      <c r="K2832" t="inlineStr"/>
      <c r="L2832" t="inlineStr"/>
      <c r="M2832" t="inlineStr"/>
      <c r="N2832" t="inlineStr"/>
      <c r="O2832">
        <f>(1-Summary!$B$11)*T2832+Summary!$B$11*V2832</f>
        <v/>
      </c>
      <c r="P2832">
        <f>IF(B2852=0,0,O2832/B2852)</f>
        <v/>
      </c>
      <c r="Q2832" t="n">
        <v>0</v>
      </c>
      <c r="R2832" t="n">
        <v>0</v>
      </c>
      <c r="S2832">
        <f>IFERROR(O2832/N2832,0)</f>
        <v/>
      </c>
      <c r="T2832" t="n">
        <v>0</v>
      </c>
      <c r="V2832" t="n">
        <v>0</v>
      </c>
    </row>
    <row r="2833">
      <c r="A2833">
        <f>Skills!A26</f>
        <v/>
      </c>
      <c r="B2833">
        <f>Skills!B26</f>
        <v/>
      </c>
      <c r="C2833">
        <f>Inputs!$B$3&gt;=43</f>
        <v/>
      </c>
      <c r="D2833">
        <f>IF(Skills!C26=1,60+Inputs!$B$25+Inputs!$B$29,IF(Skills!C26=2,90+Inputs!$B$26+Inputs!$B$29,IF(Skills!C26=3,120+Inputs!$B$27+Inputs!$B$29,MAX(0,(Inputs!$B$3-100)*3)+Inputs!$B$28+Inputs!$B$29)))</f>
        <v/>
      </c>
      <c r="E2833">
        <f>INDEX(FactorTable!$B$2:$Y$301, MATCH(ROUND(MIN(300,MAX(1,D2833)),0), FactorTable!$A$2:$A$301,0), Skills!M26+1)</f>
        <v/>
      </c>
      <c r="F2833">
        <f>IF(Skills!N26=TRUE,(Skills!L26/10)*(E2833/1000),Skills!L26/10)+Skills!O26</f>
        <v/>
      </c>
      <c r="G2833">
        <f>Skills!G26*IF(Skills!H26&gt;0,INT(IF(Inputs!$B$38="pvp",MIN(Skills!I26,15),Skills!I26)/Skills!H26+0.000000001),1)</f>
        <v/>
      </c>
      <c r="H2833">
        <f>1-(1-Skills!J26/100)^Skills!K26</f>
        <v/>
      </c>
      <c r="I2833" t="inlineStr">
        <is>
          <t>1</t>
        </is>
      </c>
      <c r="J2833" t="inlineStr"/>
      <c r="K2833" t="inlineStr"/>
      <c r="L2833" t="inlineStr"/>
      <c r="M2833" t="inlineStr"/>
      <c r="N2833" t="inlineStr"/>
      <c r="O2833">
        <f>(1-Summary!$B$11)*T2833+Summary!$B$11*V2833</f>
        <v/>
      </c>
      <c r="P2833">
        <f>IF(B2852=0,0,O2833/B2852)</f>
        <v/>
      </c>
      <c r="Q2833" t="n">
        <v>0</v>
      </c>
      <c r="R2833" t="n">
        <v>0</v>
      </c>
      <c r="S2833">
        <f>IFERROR(O2833/N2833,0)</f>
        <v/>
      </c>
      <c r="T2833" t="n">
        <v>0</v>
      </c>
      <c r="V2833" t="n">
        <v>0</v>
      </c>
    </row>
    <row r="2834">
      <c r="A2834">
        <f>Skills!A27</f>
        <v/>
      </c>
      <c r="B2834">
        <f>Skills!B27</f>
        <v/>
      </c>
      <c r="C2834">
        <f>Inputs!$B$3&gt;=75</f>
        <v/>
      </c>
      <c r="D2834">
        <f>IF(Skills!C27=1,60+Inputs!$B$25+Inputs!$B$29,IF(Skills!C27=2,90+Inputs!$B$26+Inputs!$B$29,IF(Skills!C27=3,120+Inputs!$B$27+Inputs!$B$29,MAX(0,(Inputs!$B$3-100)*3)+Inputs!$B$28+Inputs!$B$29)))</f>
        <v/>
      </c>
      <c r="E2834">
        <f>INDEX(FactorTable!$B$2:$Y$301, MATCH(ROUND(MIN(300,MAX(1,D2834)),0), FactorTable!$A$2:$A$301,0), Skills!M27+1)</f>
        <v/>
      </c>
      <c r="F2834">
        <f>IF(Skills!N27=TRUE,(Skills!L27/10)*(E2834/1000),Skills!L27/10)+Skills!O27</f>
        <v/>
      </c>
      <c r="G2834">
        <f>Skills!G27*IF(Skills!H27&gt;0,INT(IF(Inputs!$B$38="pvp",MIN(Skills!I27,15),Skills!I27)/Skills!H27+0.000000001),1)</f>
        <v/>
      </c>
      <c r="H2834">
        <f>1-(1-Skills!J27/100)^Skills!K27</f>
        <v/>
      </c>
      <c r="I2834" t="inlineStr">
        <is>
          <t>1</t>
        </is>
      </c>
      <c r="J2834" t="inlineStr"/>
      <c r="K2834" t="inlineStr"/>
      <c r="L2834" t="inlineStr"/>
      <c r="M2834" t="inlineStr"/>
      <c r="N2834" t="inlineStr"/>
      <c r="O2834">
        <f>(1-Summary!$B$11)*T2834+Summary!$B$11*V2834</f>
        <v/>
      </c>
      <c r="P2834">
        <f>IF(B2852=0,0,O2834/B2852)</f>
        <v/>
      </c>
      <c r="Q2834" t="n">
        <v>0</v>
      </c>
      <c r="R2834" t="n">
        <v>0</v>
      </c>
      <c r="S2834">
        <f>IFERROR(O2834/N2834,0)</f>
        <v/>
      </c>
      <c r="T2834" t="n">
        <v>0</v>
      </c>
      <c r="V2834" t="n">
        <v>0</v>
      </c>
    </row>
    <row r="2835">
      <c r="A2835">
        <f>Skills!A28</f>
        <v/>
      </c>
      <c r="B2835">
        <f>Skills!B28</f>
        <v/>
      </c>
      <c r="C2835">
        <f>Inputs!$B$3&gt;=125</f>
        <v/>
      </c>
      <c r="D2835">
        <f>IF(Skills!C28=1,60+Inputs!$B$25+Inputs!$B$29,IF(Skills!C28=2,90+Inputs!$B$26+Inputs!$B$29,IF(Skills!C28=3,120+Inputs!$B$27+Inputs!$B$29,MAX(0,(Inputs!$B$3-100)*3)+Inputs!$B$28+Inputs!$B$29)))</f>
        <v/>
      </c>
      <c r="E2835">
        <f>INDEX(FactorTable!$B$2:$Y$301, MATCH(ROUND(MIN(300,MAX(1,D2835)),0), FactorTable!$A$2:$A$301,0), Skills!M28+1)</f>
        <v/>
      </c>
      <c r="F2835">
        <f>IF(Skills!N28=TRUE,(Skills!L28/10)*(E2835/1000),Skills!L28/10)+Skills!O28</f>
        <v/>
      </c>
      <c r="G2835">
        <f>Skills!G28*IF(Skills!H28&gt;0,INT(IF(Inputs!$B$38="pvp",MIN(Skills!I28,15),Skills!I28)/Skills!H28+0.000000001),1)</f>
        <v/>
      </c>
      <c r="H2835">
        <f>1-(1-Skills!J28/100)^Skills!K28</f>
        <v/>
      </c>
      <c r="I2835" t="inlineStr">
        <is>
          <t>1</t>
        </is>
      </c>
      <c r="J2835" t="inlineStr"/>
      <c r="K2835" t="inlineStr"/>
      <c r="L2835" t="inlineStr"/>
      <c r="M2835" t="inlineStr"/>
      <c r="N2835" t="inlineStr"/>
      <c r="O2835">
        <f>(1-Summary!$B$11)*T2835+Summary!$B$11*V2835</f>
        <v/>
      </c>
      <c r="P2835">
        <f>IF(B2852=0,0,O2835/B2852)</f>
        <v/>
      </c>
      <c r="Q2835" t="n">
        <v>0</v>
      </c>
      <c r="R2835" t="n">
        <v>0</v>
      </c>
      <c r="S2835">
        <f>IFERROR(O2835/N2835,0)</f>
        <v/>
      </c>
      <c r="T2835" t="n">
        <v>0</v>
      </c>
      <c r="V2835" t="n">
        <v>0</v>
      </c>
    </row>
    <row r="2836">
      <c r="A2836">
        <f>Skills!A29</f>
        <v/>
      </c>
      <c r="B2836">
        <f>Skills!B29</f>
        <v/>
      </c>
      <c r="C2836">
        <f>Inputs!$B$3&gt;=125</f>
        <v/>
      </c>
      <c r="D2836">
        <f>IF(Skills!C29=1,60+Inputs!$B$25+Inputs!$B$29,IF(Skills!C29=2,90+Inputs!$B$26+Inputs!$B$29,IF(Skills!C29=3,120+Inputs!$B$27+Inputs!$B$29,MAX(0,(Inputs!$B$3-100)*3)+Inputs!$B$28+Inputs!$B$29)))</f>
        <v/>
      </c>
      <c r="E2836">
        <f>INDEX(FactorTable!$B$2:$Y$301, MATCH(ROUND(MIN(300,MAX(1,D2836)),0), FactorTable!$A$2:$A$301,0), Skills!M29+1)</f>
        <v/>
      </c>
      <c r="F2836">
        <f>IF(Skills!N29=TRUE,(Skills!L29/10)*(E2836/1000),Skills!L29/10)+Skills!O29</f>
        <v/>
      </c>
      <c r="G2836">
        <f>Skills!G29*IF(Skills!H29&gt;0,INT(IF(Inputs!$B$38="pvp",MIN(Skills!I29,15),Skills!I29)/Skills!H29+0.000000001),1)</f>
        <v/>
      </c>
      <c r="H2836">
        <f>1-(1-Skills!J29/100)^Skills!K29</f>
        <v/>
      </c>
      <c r="I2836" t="inlineStr">
        <is>
          <t>1</t>
        </is>
      </c>
      <c r="J2836" t="inlineStr"/>
      <c r="K2836" t="inlineStr"/>
      <c r="L2836" t="inlineStr"/>
      <c r="M2836" t="inlineStr"/>
      <c r="N2836" t="inlineStr"/>
      <c r="O2836">
        <f>(1-Summary!$B$11)*T2836+Summary!$B$11*V2836</f>
        <v/>
      </c>
      <c r="P2836">
        <f>IF(B2852=0,0,O2836/B2852)</f>
        <v/>
      </c>
      <c r="Q2836" t="n">
        <v>0</v>
      </c>
      <c r="R2836" t="n">
        <v>0</v>
      </c>
      <c r="S2836">
        <f>IFERROR(O2836/N2836,0)</f>
        <v/>
      </c>
      <c r="T2836" t="n">
        <v>0</v>
      </c>
      <c r="V2836" t="n">
        <v>0</v>
      </c>
    </row>
    <row r="2837">
      <c r="A2837">
        <f>Skills!A30</f>
        <v/>
      </c>
      <c r="B2837">
        <f>Skills!B30</f>
        <v/>
      </c>
      <c r="C2837">
        <f>Inputs!$B$3&gt;=120</f>
        <v/>
      </c>
      <c r="D2837">
        <f>IF(Skills!C30=1,60+Inputs!$B$25+Inputs!$B$29,IF(Skills!C30=2,90+Inputs!$B$26+Inputs!$B$29,IF(Skills!C30=3,120+Inputs!$B$27+Inputs!$B$29,MAX(0,(Inputs!$B$3-100)*3)+Inputs!$B$28+Inputs!$B$29)))</f>
        <v/>
      </c>
      <c r="E2837">
        <f>INDEX(FactorTable!$B$2:$Y$301, MATCH(ROUND(MIN(300,MAX(1,D2837)),0), FactorTable!$A$2:$A$301,0), Skills!M30+1)</f>
        <v/>
      </c>
      <c r="F2837">
        <f>IF(Skills!N30=TRUE,(Skills!L30/10)*(E2837/1000),Skills!L30/10)+Skills!O30</f>
        <v/>
      </c>
      <c r="G2837">
        <f>Skills!G30*IF(Skills!H30&gt;0,INT(IF(Inputs!$B$38="pvp",MIN(Skills!I30,15),Skills!I30)/Skills!H30+0.000000001),1)</f>
        <v/>
      </c>
      <c r="H2837">
        <f>1-(1-Skills!J30/100)^Skills!K30</f>
        <v/>
      </c>
      <c r="I2837" t="inlineStr">
        <is>
          <t>1</t>
        </is>
      </c>
      <c r="J2837" t="inlineStr"/>
      <c r="K2837" t="inlineStr"/>
      <c r="L2837" t="inlineStr"/>
      <c r="M2837" t="inlineStr"/>
      <c r="N2837" t="inlineStr"/>
      <c r="O2837">
        <f>(1-Summary!$B$11)*T2837+Summary!$B$11*V2837</f>
        <v/>
      </c>
      <c r="P2837">
        <f>IF(B2852=0,0,O2837/B2852)</f>
        <v/>
      </c>
      <c r="Q2837" t="n">
        <v>0</v>
      </c>
      <c r="R2837" t="n">
        <v>0</v>
      </c>
      <c r="S2837">
        <f>IFERROR(O2837/N2837,0)</f>
        <v/>
      </c>
      <c r="T2837" t="n">
        <v>0</v>
      </c>
      <c r="V2837" t="n">
        <v>0</v>
      </c>
    </row>
    <row r="2838">
      <c r="A2838">
        <f>Skills!A31</f>
        <v/>
      </c>
      <c r="B2838">
        <f>Skills!B31</f>
        <v/>
      </c>
      <c r="C2838">
        <f>Inputs!$B$3&gt;=120</f>
        <v/>
      </c>
      <c r="D2838">
        <f>IF(Skills!C31=1,60+Inputs!$B$25+Inputs!$B$29,IF(Skills!C31=2,90+Inputs!$B$26+Inputs!$B$29,IF(Skills!C31=3,120+Inputs!$B$27+Inputs!$B$29,MAX(0,(Inputs!$B$3-100)*3)+Inputs!$B$28+Inputs!$B$29)))</f>
        <v/>
      </c>
      <c r="E2838">
        <f>INDEX(FactorTable!$B$2:$Y$301, MATCH(ROUND(MIN(300,MAX(1,D2838)),0), FactorTable!$A$2:$A$301,0), Skills!M31+1)</f>
        <v/>
      </c>
      <c r="F2838">
        <f>IF(Skills!N31=TRUE,(Skills!L31/10)*(E2838/1000),Skills!L31/10)+Skills!O31</f>
        <v/>
      </c>
      <c r="G2838">
        <f>Skills!G31*IF(Skills!H31&gt;0,INT(IF(Inputs!$B$38="pvp",MIN(Skills!I31,15),Skills!I31)/Skills!H31+0.000000001),1)</f>
        <v/>
      </c>
      <c r="H2838">
        <f>1-(1-Skills!J31/100)^Skills!K31</f>
        <v/>
      </c>
      <c r="I2838" t="inlineStr">
        <is>
          <t>1</t>
        </is>
      </c>
      <c r="J2838" t="inlineStr"/>
      <c r="K2838" t="inlineStr"/>
      <c r="L2838" t="inlineStr"/>
      <c r="M2838" t="inlineStr"/>
      <c r="N2838" t="inlineStr"/>
      <c r="O2838">
        <f>(1-Summary!$B$11)*T2838+Summary!$B$11*V2838</f>
        <v/>
      </c>
      <c r="P2838">
        <f>IF(B2852=0,0,O2838/B2852)</f>
        <v/>
      </c>
      <c r="Q2838" t="n">
        <v>0</v>
      </c>
      <c r="R2838" t="n">
        <v>0</v>
      </c>
      <c r="S2838">
        <f>IFERROR(O2838/N2838,0)</f>
        <v/>
      </c>
      <c r="T2838" t="n">
        <v>0</v>
      </c>
      <c r="V2838" t="n">
        <v>0</v>
      </c>
    </row>
    <row r="2839">
      <c r="A2839">
        <f>Skills!A32</f>
        <v/>
      </c>
      <c r="B2839">
        <f>Skills!B32</f>
        <v/>
      </c>
      <c r="C2839">
        <f>Inputs!$B$3&gt;=45</f>
        <v/>
      </c>
      <c r="D2839">
        <f>IF(Skills!C32=1,60+Inputs!$B$25+Inputs!$B$29,IF(Skills!C32=2,90+Inputs!$B$26+Inputs!$B$29,IF(Skills!C32=3,120+Inputs!$B$27+Inputs!$B$29,MAX(0,(Inputs!$B$3-100)*3)+Inputs!$B$28+Inputs!$B$29)))</f>
        <v/>
      </c>
      <c r="E2839">
        <f>INDEX(FactorTable!$B$2:$Y$301, MATCH(ROUND(MIN(300,MAX(1,D2839)),0), FactorTable!$A$2:$A$301,0), Skills!M32+1)</f>
        <v/>
      </c>
      <c r="F2839">
        <f>IF(Skills!N32=TRUE,(Skills!L32/10)*(E2839/1000),Skills!L32/10)+Skills!O32</f>
        <v/>
      </c>
      <c r="G2839">
        <f>Skills!G32*IF(Skills!H32&gt;0,INT(IF(Inputs!$B$38="pvp",MIN(Skills!I32,15),Skills!I32)/Skills!H32+0.000000001),1)</f>
        <v/>
      </c>
      <c r="H2839">
        <f>1-(1-Skills!J32/100)^Skills!K32</f>
        <v/>
      </c>
      <c r="I2839" t="inlineStr">
        <is>
          <t>1</t>
        </is>
      </c>
      <c r="J2839" t="inlineStr"/>
      <c r="K2839" t="inlineStr"/>
      <c r="L2839" t="inlineStr"/>
      <c r="M2839" t="inlineStr"/>
      <c r="N2839" t="inlineStr"/>
      <c r="O2839">
        <f>(1-Summary!$B$11)*T2839+Summary!$B$11*V2839</f>
        <v/>
      </c>
      <c r="P2839">
        <f>IF(B2852=0,0,O2839/B2852)</f>
        <v/>
      </c>
      <c r="Q2839" t="n">
        <v>0</v>
      </c>
      <c r="R2839" t="n">
        <v>0</v>
      </c>
      <c r="S2839">
        <f>IFERROR(O2839/N2839,0)</f>
        <v/>
      </c>
      <c r="T2839" t="n">
        <v>0</v>
      </c>
      <c r="V2839" t="n">
        <v>0</v>
      </c>
    </row>
    <row r="2841">
      <c r="A2841" t="inlineStr">
        <is>
          <t>Attack% Bucket Multiplier</t>
        </is>
      </c>
      <c r="B2841">
        <f>(1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2">
      <c r="A2842" t="inlineStr">
        <is>
          <t>Global Crit Rate Bonus %</t>
        </is>
      </c>
      <c r="B2842" t="n">
        <v>0</v>
      </c>
    </row>
    <row r="2843">
      <c r="A2843" t="inlineStr">
        <is>
          <t>Attack Speed Buff Bonus %</t>
        </is>
      </c>
      <c r="B2843">
        <f>((C2828=TRUE)*F2828*IF(AND(Inputs!$B$38&lt;&gt;"pvp",Inputs!$B$43&gt;0),(((R2828-1)*MIN((Skills!T21*(1+Inputs!$B$34/100)),(1/Q2828))+MIN((Skills!T21*(1+Inputs!$B$34/100)),MAX(0,Inputs!$B$43-((R2828-1)*(1/Q2828)))))/Inputs!$B$43),IF(Inputs!$B$38="pvp",MIN((Skills!T21*(1+Inputs!$B$34/100)),15)/15,MIN(1,(Skills!T21*(1+Inputs!$B$34/100))/(1/Q2828)))))</f>
        <v/>
      </c>
    </row>
    <row r="2844">
      <c r="A2844" t="inlineStr">
        <is>
          <t>Actions Per Second</t>
        </is>
      </c>
      <c r="B2844">
        <f>1+MIN(150,150*(1-(1-(Inputs!$B$11+((C2830=TRUE)*(F2830-Calc!F23))+((C2831=TRUE)*(F2831-Calc!F24)))/150)*(1-B2843/150)))/100</f>
        <v/>
      </c>
    </row>
    <row r="2845">
      <c r="A2845" t="inlineStr">
        <is>
          <t>Skill + Buff Cast Rate</t>
        </is>
      </c>
      <c r="B2845">
        <f>IF(AND(Inputs!$B$38&lt;&gt;"pvp",Inputs!$B$43&gt;0),SUMPRODUCT((Skills!E2:E32=TRUE)*(C2809:C2839=TRUE)*R2809:R2839*Skills!F2:F32)/Inputs!$B$43,SUMPRODUCT((Skills!E2:E32=TRUE)*(C2809:C2839=TRUE)*Q2809:Q2839*Skills!F2:F32))</f>
        <v/>
      </c>
    </row>
    <row r="2846">
      <c r="A2846" t="inlineStr">
        <is>
          <t>Arrow Stream Casts Per Second</t>
        </is>
      </c>
      <c r="B2846">
        <f>MAX(0,B2844-B2845)</f>
        <v/>
      </c>
    </row>
    <row r="2847">
      <c r="A2847" t="inlineStr">
        <is>
          <t>Global Critical Damage Bonus % (Sharp Eyes + Concentration)</t>
        </is>
      </c>
      <c r="B2847">
        <f>(C2825=TRUE)*F2825*IF(AND(Inputs!$B$38&lt;&gt;"pvp",Inputs!$B$43&gt;0),(((R2825-1)*MIN((Skills!T18*(1+Inputs!$B$34/100)),(1/Q2825))+MIN((Skills!T18*(1+Inputs!$B$34/100)),MAX(0,Inputs!$B$43-((R2825-1)*(1/Q2825)))))/Inputs!$B$43),IF(Inputs!$B$38="pvp",MIN((Skills!T18*(1+Inputs!$B$34/100)),15)/15,MIN(1,(Skills!T18*(1+Inputs!$B$34/100))/(1/Q2825))))+(C2826=TRUE)*7*F2826</f>
        <v/>
      </c>
    </row>
    <row r="2848">
      <c r="A2848" t="inlineStr">
        <is>
          <t>Global Final Damage Bonus % (Mortal Blow)</t>
        </is>
      </c>
      <c r="B2848">
        <f>(C2827=TRUE)*F2827</f>
        <v/>
      </c>
    </row>
    <row r="2849">
      <c r="A2849" t="inlineStr">
        <is>
          <t>Buff-Casting Startup Delay (s, fixed-duration only)</t>
        </is>
      </c>
      <c r="B2849">
        <f>IF(AND(Inputs!$B$38&lt;&gt;"pvp",Inputs!$B$43&gt;0),SUMPRODUCT((Skills!T2:T32&gt;0)*(Skills!E2:E32=TRUE)*(C2809:C2839=TRUE))/B2844,0)</f>
        <v/>
      </c>
    </row>
    <row r="2850">
      <c r="A2850" t="inlineStr">
        <is>
          <t>Boss-Only Total DPS (this block's swept value)</t>
        </is>
      </c>
      <c r="B2850">
        <f>SUM(T2809:T2839)</f>
        <v/>
      </c>
    </row>
    <row r="2851">
      <c r="A2851" t="inlineStr">
        <is>
          <t>Normal-Only Total DPS (this block's swept value)</t>
        </is>
      </c>
      <c r="B2851">
        <f>SUM(V2809:V2839)</f>
        <v/>
      </c>
    </row>
    <row r="2852">
      <c r="A2852" s="6" t="inlineStr">
        <is>
          <t>TOTAL DPS</t>
        </is>
      </c>
      <c r="B2852" s="6">
        <f>SUM(O2809:O2839)</f>
        <v/>
      </c>
    </row>
    <row r="2855">
      <c r="A2855" s="6" t="inlineStr">
        <is>
          <t>Stat: Cursed Doll (Equip)</t>
        </is>
      </c>
    </row>
    <row r="2856">
      <c r="A2856" s="5" t="inlineStr">
        <is>
          <t>Key</t>
        </is>
      </c>
      <c r="B2856" s="5" t="inlineStr">
        <is>
          <t>Name</t>
        </is>
      </c>
      <c r="C2856" s="5" t="inlineStr">
        <is>
          <t>Unlocked</t>
        </is>
      </c>
      <c r="D2856" s="5" t="inlineStr">
        <is>
          <t>InputLevel</t>
        </is>
      </c>
      <c r="E2856" s="5" t="inlineStr">
        <is>
          <t>Factor</t>
        </is>
      </c>
      <c r="F2856" s="5" t="inlineStr">
        <is>
          <t>CoefficientPercent</t>
        </is>
      </c>
      <c r="G2856" s="5" t="inlineStr">
        <is>
          <t>EffectiveHits</t>
        </is>
      </c>
      <c r="H2856" s="5" t="inlineStr">
        <is>
          <t>ProcProbability</t>
        </is>
      </c>
      <c r="I2856" s="5" t="inlineStr">
        <is>
          <t>MapleHeroMultiplier</t>
        </is>
      </c>
      <c r="J2856" s="5" t="inlineStr">
        <is>
          <t>BaseDamage</t>
        </is>
      </c>
      <c r="K2856" s="5" t="inlineStr">
        <is>
          <t>BaseHitDamage</t>
        </is>
      </c>
      <c r="L2856" s="5" t="inlineStr">
        <is>
          <t>NonCritAvg</t>
        </is>
      </c>
      <c r="M2856" s="5" t="inlineStr">
        <is>
          <t>CritAvg</t>
        </is>
      </c>
      <c r="N2856" s="5" t="inlineStr">
        <is>
          <t>ExpectedDamage(perHit)</t>
        </is>
      </c>
      <c r="O2856" s="5" t="inlineStr">
        <is>
          <t>DPS</t>
        </is>
      </c>
      <c r="P2856" s="5" t="inlineStr">
        <is>
          <t>% of Total</t>
        </is>
      </c>
      <c r="Q2856" s="5" t="inlineStr">
        <is>
          <t>InvCooldown</t>
        </is>
      </c>
      <c r="R2856" s="5" t="inlineStr">
        <is>
          <t>CastsInFight</t>
        </is>
      </c>
      <c r="S2856" s="5" t="inlineStr">
        <is>
          <t>HitRate(perSec)</t>
        </is>
      </c>
      <c r="U2856" t="inlineStr">
        <is>
          <t>helpers</t>
        </is>
      </c>
    </row>
    <row r="2857">
      <c r="A2857">
        <f>Skills!A2</f>
        <v/>
      </c>
      <c r="B2857">
        <f>Skills!B2</f>
        <v/>
      </c>
      <c r="C2857">
        <f>Inputs!$B$3&gt;=100</f>
        <v/>
      </c>
      <c r="D2857" t="inlineStr"/>
      <c r="E2857" t="inlineStr"/>
      <c r="F2857">
        <f>U2859+Skills!O2</f>
        <v/>
      </c>
      <c r="G2857">
        <f>Skills!G2*IF(Skills!H2&gt;0,INT(IF(Inputs!$B$38="pvp",MIN(Skills!I2,15),Skills!I2)/Skills!H2+0.000000001),1)</f>
        <v/>
      </c>
      <c r="H2857">
        <f>1-(1-Skills!J2/100)^Skills!K2</f>
        <v/>
      </c>
      <c r="I2857" t="inlineStr">
        <is>
          <t>1</t>
        </is>
      </c>
      <c r="J2857">
        <f>((Inputs!$B$6*(1+Inputs!$B$7/100))+(((Inputs!$B$12*(1+Inputs!$B$13/100))-(Inputs!$B$12*(1+Inputs!$B$13/100)))+0.25*(Inputs!$B$14-Inputs!$B$14))*(1+Inputs!$B$7/100))*(F2857/100)</f>
        <v/>
      </c>
      <c r="K2857">
        <f>J2857*(1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2881=TRUE)*(F2881-Calc!F26)),(Inputs!$B$23+((C2886=TRUE)*(F2886-Calc!F31))+(IF(ArtifactsInput!$M$15,CHOOSE(ArtifactsInput!$N$15+1,25,30,35,40,45,50)/100*(Inputs!$B$11-Inputs!$B$11),0))))/100+(Inputs!$B$23+((C2886=TRUE)*(F2886-Calc!F31))+(IF(ArtifactsInput!$M$15,CHOOSE(ArtifactsInput!$N$15+1,25,30,35,40,45,50)/100*(Inputs!$B$11-Inputs!$B$11),0)))/100)/2</f>
        <v/>
      </c>
      <c r="M2857">
        <f>L2857*(1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IF(B2900=0,0,O2857/B2900)</f>
        <v/>
      </c>
      <c r="Q2857" t="n">
        <v>0</v>
      </c>
      <c r="R2857" t="n">
        <v>0</v>
      </c>
      <c r="S2857">
        <f>IFERROR(O2857/N2857,0)</f>
        <v/>
      </c>
      <c r="T2857">
        <f>IF(C2857,(Skills!G2*N2857*B2894)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MAX(0,(Inputs!$B$3-100)*3)+Inputs!$B$28+Inputs!$B$29</f>
        <v/>
      </c>
      <c r="V2857">
        <f>IF(C2857,(Skills!G2*N2857*B2894)*IF(Inputs!$B$38="pvp",1,(1+(Inputs!$B$21+Skills!Q2+(IF(ArtifactsInput!$M$33,CHOOSE(ArtifactsInput!$N$33+1,30,36,42,48,54,60),0))+(IF(AND(ArtifactsInput!$M$35,Inputs!$B$4&lt;&gt;"Chapter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Skills!A3</f>
        <v/>
      </c>
      <c r="B2858">
        <f>Skills!B3</f>
        <v/>
      </c>
      <c r="C2858">
        <f>Inputs!$B$3&gt;=50</f>
        <v/>
      </c>
      <c r="D2858">
        <f>IF(Skills!C3=1,60+Inputs!$B$25+Inputs!$B$29,IF(Skills!C3=2,90+Inputs!$B$26+Inputs!$B$29,IF(Skills!C3=3,120+Inputs!$B$27+Inputs!$B$29,MAX(0,(Inputs!$B$3-100)*3)+Inputs!$B$28+Inputs!$B$29)))</f>
        <v/>
      </c>
      <c r="E2858">
        <f>INDEX(FactorTable!$B$2:$Y$301, MATCH(ROUND(MIN(300,MAX(1,D2858)),0), FactorTable!$A$2:$A$301,0), Skills!M3+1)</f>
        <v/>
      </c>
      <c r="F2858">
        <f>IF(Skills!N3=TRUE,(Skills!L3/10)*(E2858/1000),Skills!L3/10)+Skills!O3</f>
        <v/>
      </c>
      <c r="G2858">
        <f>Skills!G3*IF(Skills!H3&gt;0,INT(IF(Inputs!$B$38="pvp",MIN(Skills!I3,15),Skills!I3)/Skills!H3+0.000000001),1)</f>
        <v/>
      </c>
      <c r="H2858">
        <f>1-(1-Skills!J3/100)^Skills!K3</f>
        <v/>
      </c>
      <c r="I2858" t="inlineStr">
        <is>
          <t>1</t>
        </is>
      </c>
      <c r="J2858">
        <f>((Inputs!$B$6*(1+Inputs!$B$7/100))+(((Inputs!$B$12*(1+Inputs!$B$13/100))-(Inputs!$B$12*(1+Inputs!$B$13/100)))+0.25*(Inputs!$B$14-Inputs!$B$14))*(1+Inputs!$B$7/100))*(F2858/100)</f>
        <v/>
      </c>
      <c r="K2858">
        <f>J2858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Skills!A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2881=TRUE)*(F2881-Calc!F26)),(Inputs!$B$23+((C2886=TRUE)*(F2886-Calc!F31))+(IF(ArtifactsInput!$M$15,CHOOSE(ArtifactsInput!$N$15+1,25,30,35,40,45,50)/100*(Inputs!$B$11-Inputs!$B$11),0))))/100+(Inputs!$B$23+((C2886=TRUE)*(F2886-Calc!F31))+(IF(ArtifactsInput!$M$15,CHOOSE(ArtifactsInput!$N$15+1,25,30,35,40,45,50)/100*(Inputs!$B$11-Inputs!$B$11),0)))/100)/2</f>
        <v/>
      </c>
      <c r="M2858">
        <f>L2858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IF(B2900=0,0,O2858/B2900)</f>
        <v/>
      </c>
      <c r="Q2858">
        <f>IFERROR(1/(IF(Inputs!$B$38="pvp",15,MAX(0.1,1/B2892-IF(FALSE=TRUE,Inputs!$B$32,0)))*(1-IF(AND(ArtifactsInput!$M$27,Inputs!$B$4="Chapter Hunt"),CHOOSE(ArtifactsInput!$N$27+1,20,24,28,32,36,40),0)/100)),0)</f>
        <v/>
      </c>
      <c r="R2858">
        <f>IF(AND(Inputs!$B$38&lt;&gt;"pvp",Inputs!$B$43&gt;0),IF(MAX(0,Inputs!$B$43-B2897)&lt;=0,0,(INT(MAX(0,Inputs!$B$43-B2897)/(IF(Inputs!$B$38="pvp",15,MAX(0.1,1/B2892-IF(FALSE=TRUE,Inputs!$B$32,0)))*(1-IF(AND(ArtifactsInput!$M$27,Inputs!$B$4="Chapter Hunt"),CHOOSE(ArtifactsInput!$N$27+1,20,24,28,32,36,40),0)/100)))+1)),0)</f>
        <v/>
      </c>
      <c r="S2858">
        <f>IFERROR(O2858/N2858,0)</f>
        <v/>
      </c>
      <c r="T2858">
        <f>IF(C2858,(H2858*N2858*IF(AND(Inputs!$B$38&lt;&gt;"pvp",Inputs!$B$43&gt;0),((Skills!G3*((R2858-1)*IF(Skills!H3&gt;0,INT(Skills!I3/Skills!H3+0.000000001),1)+IF(Skills!H3&gt;0,INT(MIN(Skills!I3,MAX(0,MAX(0,Inputs!$B$43-B2897)-((R2858-1)*(IF(Inputs!$B$38="pvp",15,MAX(0.1,1/B2892-IF(FALSE=TRUE,Inputs!$B$32,0)))*(1-IF(AND(ArtifactsInput!$M$27,Inputs!$B$4="Chapter Hunt"),CHOOSE(ArtifactsInput!$N$27+1,20,24,28,32,36,40),0)/100)))))/Skills!H3+0.000000001),1)))/Inputs!$B$43),G2858*Q2858)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INDEX(FactorTable!$B$2:$Y$301, MATCH(ROUND(MIN(300,MAX(1,U2857)),0), FactorTable!$A$2:$A$301,0), 22)</f>
        <v/>
      </c>
      <c r="V2858">
        <f>IF(C2858,(H2858*N2858*IF(AND(Inputs!$B$38&lt;&gt;"pvp",Inputs!$B$43&gt;0),((Skills!G3*((R2858-1)*IF(Skills!H3&gt;0,INT(Skills!I3/Skills!H3+0.000000001),1)+IF(Skills!H3&gt;0,INT(MIN(Skills!I3,MAX(0,MAX(0,Inputs!$B$43-B2897)-((R2858-1)*(IF(Inputs!$B$38="pvp",15,MAX(0.1,1/B2892-IF(FALSE=TRUE,Inputs!$B$32,0)))*(1-IF(AND(ArtifactsInput!$M$27,Inputs!$B$4="Chapter Hunt"),CHOOSE(ArtifactsInput!$N$27+1,20,24,28,32,36,40),0)/100)))))/Skills!H3+0.000000001),1)))/Inputs!$B$43),G2858*Q2858))*IF(Inputs!$B$38="pvp",1,(1+(Inputs!$B$21+Skills!Q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Skills!A4</f>
        <v/>
      </c>
      <c r="B2859">
        <f>Skills!B4</f>
        <v/>
      </c>
      <c r="C2859">
        <f>Inputs!$B$3&gt;=105</f>
        <v/>
      </c>
      <c r="D2859">
        <f>IF(Skills!C4=1,60+Inputs!$B$25+Inputs!$B$29,IF(Skills!C4=2,90+Inputs!$B$26+Inputs!$B$29,IF(Skills!C4=3,120+Inputs!$B$27+Inputs!$B$29,MAX(0,(Inputs!$B$3-100)*3)+Inputs!$B$28+Inputs!$B$29)))</f>
        <v/>
      </c>
      <c r="E2859">
        <f>INDEX(FactorTable!$B$2:$Y$301, MATCH(ROUND(MIN(300,MAX(1,D2859)),0), FactorTable!$A$2:$A$301,0), Skills!M4+1)</f>
        <v/>
      </c>
      <c r="F2859">
        <f>IF(Skills!N4=TRUE,(Skills!L4/10)*(E2859/1000),Skills!L4/10)+Skills!O4</f>
        <v/>
      </c>
      <c r="G2859" t="inlineStr"/>
      <c r="H2859" t="inlineStr"/>
      <c r="I2859" t="inlineStr">
        <is>
          <t>1</t>
        </is>
      </c>
      <c r="J2859" t="inlineStr"/>
      <c r="K2859" t="inlineStr"/>
      <c r="L2859" t="inlineStr"/>
      <c r="M2859" t="inlineStr"/>
      <c r="N2859" t="inlineStr"/>
      <c r="O2859" t="inlineStr"/>
      <c r="P2859" t="inlineStr"/>
      <c r="Q2859" t="inlineStr"/>
      <c r="R2859" t="inlineStr"/>
      <c r="S2859" t="inlineStr"/>
      <c r="T2859" t="inlineStr"/>
      <c r="U2859">
        <f>290*U2858/1000</f>
        <v/>
      </c>
      <c r="V2859" t="inlineStr"/>
    </row>
    <row r="2860">
      <c r="A2860">
        <f>Skills!A5</f>
        <v/>
      </c>
      <c r="B2860">
        <f>Skills!B5</f>
        <v/>
      </c>
      <c r="C2860">
        <f>Inputs!$B$3&gt;=35</f>
        <v/>
      </c>
      <c r="D2860">
        <f>IF(Skills!C5=1,60+Inputs!$B$25+Inputs!$B$29,IF(Skills!C5=2,90+Inputs!$B$26+Inputs!$B$29,IF(Skills!C5=3,120+Inputs!$B$27+Inputs!$B$29,MAX(0,(Inputs!$B$3-100)*3)+Inputs!$B$28+Inputs!$B$29)))</f>
        <v/>
      </c>
      <c r="E2860">
        <f>INDEX(FactorTable!$B$2:$Y$301, MATCH(ROUND(MIN(300,MAX(1,D2860)),0), FactorTable!$A$2:$A$301,0), Skills!M5+1)</f>
        <v/>
      </c>
      <c r="F2860">
        <f>IF(Skills!N5=TRUE,(Skills!L5/10)*(E2860/1000),Skills!L5/10)+Skills!O5</f>
        <v/>
      </c>
      <c r="G2860">
        <f>Skills!G5*IF(Skills!H5&gt;0,INT(IF(Inputs!$B$38="pvp",MIN(Skills!I5,15),Skills!I5)/Skills!H5+0.000000001),1)</f>
        <v/>
      </c>
      <c r="H2860">
        <f>1-(1-Skills!J5/100)^Skills!K5</f>
        <v/>
      </c>
      <c r="I2860" t="inlineStr">
        <is>
          <t>1</t>
        </is>
      </c>
      <c r="J2860">
        <f>((Inputs!$B$6*(1+Inputs!$B$7/100))+(((Inputs!$B$12*(1+Inputs!$B$13/100))-(Inputs!$B$12*(1+Inputs!$B$13/100)))+0.25*(Inputs!$B$14-Inputs!$B$14))*(1+Inputs!$B$7/100))*(F2860/100)</f>
        <v/>
      </c>
      <c r="K2860">
        <f>J2860*(1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2867=TRUE,F2867,0)/100)*(1+(IF(Skills!A5="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2881=TRUE)*(F2881-Calc!F26)),(Inputs!$B$23+((C2886=TRUE)*(F2886-Calc!F31))+(IF(ArtifactsInput!$M$15,CHOOSE(ArtifactsInput!$N$15+1,25,30,35,40,45,50)/100*(Inputs!$B$11-Inputs!$B$11),0))))/100+(Inputs!$B$23+((C2886=TRUE)*(F2886-Calc!F31))+(IF(ArtifactsInput!$M$15,CHOOSE(ArtifactsInput!$N$15+1,25,30,35,40,45,50)/100*(Inputs!$B$11-Inputs!$B$11),0)))/100)/2</f>
        <v/>
      </c>
      <c r="M2860">
        <f>L2860*(1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IF(B2900=0,0,O2860/B2900)</f>
        <v/>
      </c>
      <c r="Q2860">
        <f>IFERROR(1/(IF(Inputs!$B$38="pvp",15,MAX(0.1,Skills!D5-IF(TRUE=TRUE,Inputs!$B$32,0)))*(1-IF(AND(ArtifactsInput!$M$27,Inputs!$B$4="Chapter Hunt"),CHOOSE(ArtifactsInput!$N$27+1,20,24,28,32,36,40),0)/100)),0)</f>
        <v/>
      </c>
      <c r="R2860">
        <f>IF(AND(Inputs!$B$38&lt;&gt;"pvp",Inputs!$B$43&gt;0),IF(MAX(0,Inputs!$B$43-B2897)&lt;=0,0,(INT(MAX(0,Inputs!$B$43-B2897)/(IF(Inputs!$B$38="pvp",15,MAX(0.1,Skills!D5-IF(TRUE=TRUE,Inputs!$B$32,0)))*(1-IF(AND(ArtifactsInput!$M$27,Inputs!$B$4="Chapter Hunt"),CHOOSE(ArtifactsInput!$N$27+1,20,24,28,32,36,40),0)/100)))+1)),0)</f>
        <v/>
      </c>
      <c r="S2860">
        <f>IFERROR(O2860/N2860,0)</f>
        <v/>
      </c>
      <c r="T2860">
        <f>IF(C2860,(H2860*N2860*IF(AND(Inputs!$B$38&lt;&gt;"pvp",Inputs!$B$43&gt;0),((Skills!G5*((R2860-1)*IF(Skills!H5&gt;0,INT(Skills!I5/Skills!H5+0.000000001),1)+IF(Skills!H5&gt;0,INT(MIN(Skills!I5,MAX(0,MAX(0,Inputs!$B$43-B2897)-((R2860-1)*(IF(Inputs!$B$38="pvp",15,MAX(0.1,Skills!D5-IF(TRUE=TRUE,Inputs!$B$32,0)))*(1-IF(AND(ArtifactsInput!$M$27,Inputs!$B$4="Chapter Hunt"),CHOOSE(ArtifactsInput!$N$27+1,20,24,28,32,36,40),0)/100)))))/Skills!H5+0.000000001),1)))/Inputs!$B$43),G2860*Q2860)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5*((R2860-1)*IF(Skills!H5&gt;0,INT(Skills!I5/Skills!H5+0.000000001),1)+IF(Skills!H5&gt;0,INT(MIN(Skills!I5,MAX(0,MAX(0,Inputs!$B$43-B2897)-((R2860-1)*(IF(Inputs!$B$38="pvp",15,MAX(0.1,Skills!D5-IF(TRUE=TRUE,Inputs!$B$32,0)))*(1-IF(AND(ArtifactsInput!$M$27,Inputs!$B$4="Chapter Hunt"),CHOOSE(ArtifactsInput!$N$27+1,20,24,28,32,36,40),0)/100)))))/Skills!H5+0.000000001),1)))/Inputs!$B$43),G2860*Q2860))*IF(Inputs!$B$38="pvp",1,(1+(Inputs!$B$21+Skills!Q5+(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Skills!A6</f>
        <v/>
      </c>
      <c r="B2861">
        <f>Skills!B6</f>
        <v/>
      </c>
      <c r="C2861">
        <f>Inputs!$B$3&gt;=40</f>
        <v/>
      </c>
      <c r="D2861">
        <f>IF(Skills!C6=1,60+Inputs!$B$25+Inputs!$B$29,IF(Skills!C6=2,90+Inputs!$B$26+Inputs!$B$29,IF(Skills!C6=3,120+Inputs!$B$27+Inputs!$B$29,MAX(0,(Inputs!$B$3-100)*3)+Inputs!$B$28+Inputs!$B$29)))</f>
        <v/>
      </c>
      <c r="E2861">
        <f>INDEX(FactorTable!$B$2:$Y$301, MATCH(ROUND(MIN(300,MAX(1,D2861)),0), FactorTable!$A$2:$A$301,0), Skills!M6+1)</f>
        <v/>
      </c>
      <c r="F2861">
        <f>IF(Skills!N6=TRUE,(Skills!L6/10)*(E2861/1000),Skills!L6/10)+Skills!O6</f>
        <v/>
      </c>
      <c r="G2861">
        <f>Skills!G6*IF(Skills!H6&gt;0,INT(IF(Inputs!$B$38="pvp",MIN(Skills!I6,15),Skills!I6)/Skills!H6+0.000000001),1)</f>
        <v/>
      </c>
      <c r="H2861">
        <f>1-(1-Skills!J6/100)^Skills!K6</f>
        <v/>
      </c>
      <c r="I2861" t="inlineStr">
        <is>
          <t>1</t>
        </is>
      </c>
      <c r="J2861">
        <f>((Inputs!$B$6*(1+Inputs!$B$7/100))+(((Inputs!$B$12*(1+Inputs!$B$13/100))-(Inputs!$B$12*(1+Inputs!$B$13/100)))+0.25*(Inputs!$B$14-Inputs!$B$14))*(1+Inputs!$B$7/100))*(F2861/100)</f>
        <v/>
      </c>
      <c r="K2861">
        <f>J2861*(1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2862=TRUE,F2862,0)/100)*(1+(IF(Skills!A6="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26)),(Inputs!$B$23+((C2886=TRUE)*(F2886-Calc!F31))+(IF(ArtifactsInput!$M$15,CHOOSE(ArtifactsInput!$N$15+1,25,30,35,40,45,50)/100*(Inputs!$B$11-Inputs!$B$11),0))))/100+(Inputs!$B$23+((C2886=TRUE)*(F2886-Calc!F31))+(IF(ArtifactsInput!$M$15,CHOOSE(ArtifactsInput!$N$15+1,25,30,35,40,45,50)/100*(Inputs!$B$11-Inputs!$B$11),0)))/100)/2</f>
        <v/>
      </c>
      <c r="M2861">
        <f>L2861*(1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IF(B2900=0,0,O2861/B2900)</f>
        <v/>
      </c>
      <c r="Q2861">
        <f>IFERROR(1/(IF(Inputs!$B$38="pvp",15,MAX(0.1,1-0.4*MIN(1,(B2892-1)/1.5)-IF(FALSE=TRUE,Inputs!$B$32,0)))*(1-IF(AND(ArtifactsInput!$M$27,Inputs!$B$4="Chapter Hunt"),CHOOSE(ArtifactsInput!$N$27+1,20,24,28,32,36,40),0)/100)),0)</f>
        <v/>
      </c>
      <c r="R2861">
        <f>IF(AND(Inputs!$B$38&lt;&gt;"pvp",Inputs!$B$43&gt;0),IF(MAX(0,Inputs!$B$43-B2897)&lt;=0,0,(INT(MAX(0,Inputs!$B$43-B2897)/(IF(Inputs!$B$38="pvp",15,MAX(0.1,1-0.4*MIN(1,(B2892-1)/1.5)-IF(FALSE=TRUE,Inputs!$B$32,0)))*(1-IF(AND(ArtifactsInput!$M$27,Inputs!$B$4="Chapter Hunt"),CHOOSE(ArtifactsInput!$N$27+1,20,24,28,32,36,40),0)/100)))+1)),0)</f>
        <v/>
      </c>
      <c r="S2861">
        <f>IFERROR(O2861/N2861,0)</f>
        <v/>
      </c>
      <c r="T2861">
        <f>IF(C2861,(H2861*N2861*IF(AND(Inputs!$B$38&lt;&gt;"pvp",Inputs!$B$43&gt;0),((Skills!G6*((R2861-1)*IF(Skills!H6&gt;0,INT(Skills!I6/Skills!H6+0.000000001),1)+IF(Skills!H6&gt;0,INT(MIN(Skills!I6,MAX(0,MAX(0,Inputs!$B$43-B2897)-((R2861-1)*(IF(Inputs!$B$38="pvp",15,MAX(0.1,1-0.4*MIN(1,(B2892-1)/1.5)-IF(FALSE=TRUE,Inputs!$B$32,0)))*(1-IF(AND(ArtifactsInput!$M$27,Inputs!$B$4="Chapter Hunt"),CHOOSE(ArtifactsInput!$N$27+1,20,24,28,32,36,40),0)/100)))))/Skills!H6+0.000000001),1)))/Inputs!$B$43),G2861*Q2861)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6*((R2861-1)*IF(Skills!H6&gt;0,INT(Skills!I6/Skills!H6+0.000000001),1)+IF(Skills!H6&gt;0,INT(MIN(Skills!I6,MAX(0,MAX(0,Inputs!$B$43-B2897)-((R2861-1)*(IF(Inputs!$B$38="pvp",15,MAX(0.1,1-0.4*MIN(1,(B2892-1)/1.5)-IF(FALSE=TRUE,Inputs!$B$32,0)))*(1-IF(AND(ArtifactsInput!$M$27,Inputs!$B$4="Chapter Hunt"),CHOOSE(ArtifactsInput!$N$27+1,20,24,28,32,36,40),0)/100)))))/Skills!H6+0.000000001),1)))/Inputs!$B$43),G2861*Q2861))*IF(Inputs!$B$38="pvp",1,(1+(Inputs!$B$21+Skills!Q6+(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Skills!A7</f>
        <v/>
      </c>
      <c r="B2862">
        <f>Skills!B7</f>
        <v/>
      </c>
      <c r="C2862">
        <f>Inputs!$B$3&gt;=107</f>
        <v/>
      </c>
      <c r="D2862">
        <f>IF(Skills!C7=1,60+Inputs!$B$25+Inputs!$B$29,IF(Skills!C7=2,90+Inputs!$B$26+Inputs!$B$29,IF(Skills!C7=3,120+Inputs!$B$27+Inputs!$B$29,MAX(0,(Inputs!$B$3-100)*3)+Inputs!$B$28+Inputs!$B$29)))</f>
        <v/>
      </c>
      <c r="E2862">
        <f>INDEX(FactorTable!$B$2:$Y$301, MATCH(ROUND(MIN(300,MAX(1,D2862)),0), FactorTable!$A$2:$A$301,0), Skills!M7+1)</f>
        <v/>
      </c>
      <c r="F2862">
        <f>IF(Skills!N7=TRUE,(Skills!L7/10)*(E2862/1000),Skills!L7/10)+Skills!O7</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T2862" t="inlineStr"/>
      <c r="V2862" t="inlineStr"/>
    </row>
    <row r="2863">
      <c r="A2863">
        <f>Skills!A8</f>
        <v/>
      </c>
      <c r="B2863">
        <f>Skills!B8</f>
        <v/>
      </c>
      <c r="C2863">
        <f>Inputs!$B$3&gt;=130</f>
        <v/>
      </c>
      <c r="D2863">
        <f>IF(Skills!C8=1,60+Inputs!$B$25+Inputs!$B$29,IF(Skills!C8=2,90+Inputs!$B$26+Inputs!$B$29,IF(Skills!C8=3,120+Inputs!$B$27+Inputs!$B$29,MAX(0,(Inputs!$B$3-100)*3)+Inputs!$B$28+Inputs!$B$29)))</f>
        <v/>
      </c>
      <c r="E2863">
        <f>INDEX(FactorTable!$B$2:$Y$301, MATCH(ROUND(MIN(300,MAX(1,D2863)),0), FactorTable!$A$2:$A$301,0), Skills!M8+1)</f>
        <v/>
      </c>
      <c r="F2863">
        <f>IF(Skills!N8=TRUE,(Skills!L8/10)*(E2863/1000),Skills!L8/10)+Skills!O8</f>
        <v/>
      </c>
      <c r="G2863">
        <f>Skills!G8*IF(Skills!H8&gt;0,INT(IF(Inputs!$B$38="pvp",MIN(Skills!I8,15),Skills!I8)/Skills!H8+0.000000001),1)</f>
        <v/>
      </c>
      <c r="H2863">
        <f>1-(1-Skills!J8/100)^Skills!K8</f>
        <v/>
      </c>
      <c r="I2863" t="inlineStr">
        <is>
          <t>1</t>
        </is>
      </c>
      <c r="J2863">
        <f>((Inputs!$B$6*(1+Inputs!$B$7/100))+(((Inputs!$B$12*(1+Inputs!$B$13/100))-(Inputs!$B$12*(1+Inputs!$B$13/100)))+0.25*(Inputs!$B$14-Inputs!$B$14))*(1+Inputs!$B$7/100))*(F2863/100)</f>
        <v/>
      </c>
      <c r="K2863">
        <f>J2863*(1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26)),(Inputs!$B$23+((C2886=TRUE)*(F2886-Calc!F31))+(IF(ArtifactsInput!$M$15,CHOOSE(ArtifactsInput!$N$15+1,25,30,35,40,45,50)/100*(Inputs!$B$11-Inputs!$B$11),0))))/100+(Inputs!$B$23+((C2886=TRUE)*(F2886-Calc!F31))+(IF(ArtifactsInput!$M$15,CHOOSE(ArtifactsInput!$N$15+1,25,30,35,40,45,50)/100*(Inputs!$B$11-Inputs!$B$11),0)))/100)/2</f>
        <v/>
      </c>
      <c r="M2863">
        <f>L2863*(1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IF(B2900=0,0,O2863/B2900)</f>
        <v/>
      </c>
      <c r="Q2863">
        <f>IFERROR(1/(IF(Inputs!$B$38="pvp",15,MAX(0.1,1-0.4*MIN(1,(B2892-1)/1.5)-IF(FALSE=TRUE,Inputs!$B$32,0)))*(1-IF(AND(ArtifactsInput!$M$27,Inputs!$B$4="Chapter Hunt"),CHOOSE(ArtifactsInput!$N$27+1,20,24,28,32,36,40),0)/100)),0)</f>
        <v/>
      </c>
      <c r="R2863">
        <f>IF(AND(Inputs!$B$38&lt;&gt;"pvp",Inputs!$B$43&gt;0),IF(MAX(0,Inputs!$B$43-B2897)&lt;=0,0,(INT(MAX(0,Inputs!$B$43-B2897)/(IF(Inputs!$B$38="pvp",15,MAX(0.1,1-0.4*MIN(1,(B2892-1)/1.5)-IF(FALSE=TRUE,Inputs!$B$32,0)))*(1-IF(AND(ArtifactsInput!$M$27,Inputs!$B$4="Chapter Hunt"),CHOOSE(ArtifactsInput!$N$27+1,20,24,28,32,36,40),0)/100)))+1)),0)</f>
        <v/>
      </c>
      <c r="S2863">
        <f>IFERROR(O2863/N2863,0)</f>
        <v/>
      </c>
      <c r="T2863">
        <f>IF(C2863,(H2863*N2863*IF(AND(Inputs!$B$38&lt;&gt;"pvp",Inputs!$B$43&gt;0),((Skills!G8*((R2863-1)*IF(Skills!H8&gt;0,INT(Skills!I8/Skills!H8+0.000000001),1)+IF(Skills!H8&gt;0,INT(MIN(Skills!I8,MAX(0,MAX(0,Inputs!$B$43-B2897)-((R2863-1)*(IF(Inputs!$B$38="pvp",15,MAX(0.1,1-0.4*MIN(1,(B2892-1)/1.5)-IF(FALSE=TRUE,Inputs!$B$32,0)))*(1-IF(AND(ArtifactsInput!$M$27,Inputs!$B$4="Chapter Hunt"),CHOOSE(ArtifactsInput!$N$27+1,20,24,28,32,36,40),0)/100)))))/Skills!H8+0.000000001),1)))/Inputs!$B$43),G2863*Q2863)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8*((R2863-1)*IF(Skills!H8&gt;0,INT(Skills!I8/Skills!H8+0.000000001),1)+IF(Skills!H8&gt;0,INT(MIN(Skills!I8,MAX(0,MAX(0,Inputs!$B$43-B2897)-((R2863-1)*(IF(Inputs!$B$38="pvp",15,MAX(0.1,1-0.4*MIN(1,(B2892-1)/1.5)-IF(FALSE=TRUE,Inputs!$B$32,0)))*(1-IF(AND(ArtifactsInput!$M$27,Inputs!$B$4="Chapter Hunt"),CHOOSE(ArtifactsInput!$N$27+1,20,24,28,32,36,40),0)/100)))))/Skills!H8+0.000000001),1)))/Inputs!$B$43),G2863*Q2863))*IF(Inputs!$B$38="pvp",1,(1+(Inputs!$B$21+Skills!Q8+(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Skills!A9</f>
        <v/>
      </c>
      <c r="B2864">
        <f>Skills!B9</f>
        <v/>
      </c>
      <c r="C2864">
        <f>Inputs!$B$3&gt;=69</f>
        <v/>
      </c>
      <c r="D2864">
        <f>IF(Skills!C9=1,60+Inputs!$B$25+Inputs!$B$29,IF(Skills!C9=2,90+Inputs!$B$26+Inputs!$B$29,IF(Skills!C9=3,120+Inputs!$B$27+Inputs!$B$29,MAX(0,(Inputs!$B$3-100)*3)+Inputs!$B$28+Inputs!$B$29)))</f>
        <v/>
      </c>
      <c r="E2864">
        <f>INDEX(FactorTable!$B$2:$Y$301, MATCH(ROUND(MIN(300,MAX(1,D2864)),0), FactorTable!$A$2:$A$301,0), Skills!M9+1)</f>
        <v/>
      </c>
      <c r="F2864">
        <f>IF(Skills!N9=TRUE,(Skills!L9/10)*(E2864/1000),Skills!L9/10)+Skills!O9</f>
        <v/>
      </c>
      <c r="G2864">
        <f>Skills!G9*IF(Skills!H9&gt;0,INT(IF(Inputs!$B$38="pvp",MIN(Skills!I9,15),Skills!I9)/Skills!H9+0.000000001),1)</f>
        <v/>
      </c>
      <c r="H2864">
        <f>1-(1-Skills!J9/100)^Skills!K9</f>
        <v/>
      </c>
      <c r="I2864" t="inlineStr">
        <is>
          <t>1</t>
        </is>
      </c>
      <c r="J2864">
        <f>((Inputs!$B$6*(1+Inputs!$B$7/100))+(((Inputs!$B$12*(1+Inputs!$B$13/100))-(Inputs!$B$12*(1+Inputs!$B$13/100)))+0.25*(Inputs!$B$14-Inputs!$B$14))*(1+Inputs!$B$7/100))*(F2864/100)</f>
        <v/>
      </c>
      <c r="K2864">
        <f>J2864*(1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2867=TRUE,F2867,0)/100)*(1+(IF(Skills!A9="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26)),(Inputs!$B$23+((C2886=TRUE)*(F2886-Calc!F31))+(IF(ArtifactsInput!$M$15,CHOOSE(ArtifactsInput!$N$15+1,25,30,35,40,45,50)/100*(Inputs!$B$11-Inputs!$B$11),0))))/100+(Inputs!$B$23+((C2886=TRUE)*(F2886-Calc!F31))+(IF(ArtifactsInput!$M$15,CHOOSE(ArtifactsInput!$N$15+1,25,30,35,40,45,50)/100*(Inputs!$B$11-Inputs!$B$11),0)))/100)/2</f>
        <v/>
      </c>
      <c r="M2864">
        <f>L2864*(1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IF(B2900=0,0,O2864/B2900)</f>
        <v/>
      </c>
      <c r="Q2864">
        <f>IFERROR(1/(IF(Inputs!$B$38="pvp",15,MAX(0.1,Skills!D9-IF(TRUE=TRUE,Inputs!$B$32,0)))*(1-IF(AND(ArtifactsInput!$M$27,Inputs!$B$4="Chapter Hunt"),CHOOSE(ArtifactsInput!$N$27+1,20,24,28,32,36,40),0)/100)),0)</f>
        <v/>
      </c>
      <c r="R2864">
        <f>IF(AND(Inputs!$B$38&lt;&gt;"pvp",Inputs!$B$43&gt;0),IF(MAX(0,Inputs!$B$43-B2897)&lt;=0,0,(INT(MAX(0,Inputs!$B$43-B2897)/(IF(Inputs!$B$38="pvp",15,MAX(0.1,Skills!D9-IF(TRUE=TRUE,Inputs!$B$32,0)))*(1-IF(AND(ArtifactsInput!$M$27,Inputs!$B$4="Chapter Hunt"),CHOOSE(ArtifactsInput!$N$27+1,20,24,28,32,36,40),0)/100)))+1)),0)</f>
        <v/>
      </c>
      <c r="S2864">
        <f>IFERROR(O2864/N2864,0)</f>
        <v/>
      </c>
      <c r="T2864">
        <f>IF(C2864,(H2864*N2864*IF(AND(Inputs!$B$38&lt;&gt;"pvp",Inputs!$B$43&gt;0),((Skills!G9*((R2864-1)*IF(Skills!H9&gt;0,INT(Skills!I9/Skills!H9+0.000000001),1)+IF(Skills!H9&gt;0,INT(MIN(Skills!I9,MAX(0,MAX(0,Inputs!$B$43-B2897)-((R2864-1)*(IF(Inputs!$B$38="pvp",15,MAX(0.1,Skills!D9-IF(TRUE=TRUE,Inputs!$B$32,0)))*(1-IF(AND(ArtifactsInput!$M$27,Inputs!$B$4="Chapter Hunt"),CHOOSE(ArtifactsInput!$N$27+1,20,24,28,32,36,40),0)/100)))))/Skills!H9+0.000000001),1)))/Inputs!$B$43),G2864*Q2864)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9*((R2864-1)*IF(Skills!H9&gt;0,INT(Skills!I9/Skills!H9+0.000000001),1)+IF(Skills!H9&gt;0,INT(MIN(Skills!I9,MAX(0,MAX(0,Inputs!$B$43-B2897)-((R2864-1)*(IF(Inputs!$B$38="pvp",15,MAX(0.1,Skills!D9-IF(TRUE=TRUE,Inputs!$B$32,0)))*(1-IF(AND(ArtifactsInput!$M$27,Inputs!$B$4="Chapter Hunt"),CHOOSE(ArtifactsInput!$N$27+1,20,24,28,32,36,40),0)/100)))))/Skills!H9+0.000000001),1)))/Inputs!$B$43),G2864*Q2864))*IF(Inputs!$B$38="pvp",1,(1+(Inputs!$B$21+Skills!Q9+(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Skills!A10</f>
        <v/>
      </c>
      <c r="B2865">
        <f>Skills!B10</f>
        <v/>
      </c>
      <c r="C2865">
        <f>Inputs!$B$3&gt;=63</f>
        <v/>
      </c>
      <c r="D2865">
        <f>IF(Skills!C10=1,60+Inputs!$B$25+Inputs!$B$29,IF(Skills!C10=2,90+Inputs!$B$26+Inputs!$B$29,IF(Skills!C10=3,120+Inputs!$B$27+Inputs!$B$29,MAX(0,(Inputs!$B$3-100)*3)+Inputs!$B$28+Inputs!$B$29)))</f>
        <v/>
      </c>
      <c r="E2865">
        <f>INDEX(FactorTable!$B$2:$Y$301, MATCH(ROUND(MIN(300,MAX(1,D2865)),0), FactorTable!$A$2:$A$301,0), Skills!M10+1)</f>
        <v/>
      </c>
      <c r="F2865">
        <f>IF(Skills!N10=TRUE,(Skills!L10/10)*(E2865/1000),Skills!L10/10)+Skills!O10</f>
        <v/>
      </c>
      <c r="G2865">
        <f>Skills!G10*IF(Skills!H10&gt;0,INT(IF(Inputs!$B$38="pvp",MIN(Skills!I10,15),Skills!I10)/Skills!H10+0.000000001),1)</f>
        <v/>
      </c>
      <c r="H2865">
        <f>1-(1-Skills!J10/100)^Skills!K10</f>
        <v/>
      </c>
      <c r="I2865" t="inlineStr">
        <is>
          <t>1</t>
        </is>
      </c>
      <c r="J2865">
        <f>((Inputs!$B$6*(1+Inputs!$B$7/100))+(((Inputs!$B$12*(1+Inputs!$B$13/100))-(Inputs!$B$12*(1+Inputs!$B$13/100)))+0.25*(Inputs!$B$14-Inputs!$B$14))*(1+Inputs!$B$7/100))*(F2865/100)</f>
        <v/>
      </c>
      <c r="K2865">
        <f>J2865*(1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2867=TRUE,F2867,0)/100)*(1+(IF(Skills!A10="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26)),(Inputs!$B$23+((C2886=TRUE)*(F2886-Calc!F31))+(IF(ArtifactsInput!$M$15,CHOOSE(ArtifactsInput!$N$15+1,25,30,35,40,45,50)/100*(Inputs!$B$11-Inputs!$B$11),0))))/100+(Inputs!$B$23+((C2886=TRUE)*(F2886-Calc!F31))+(IF(ArtifactsInput!$M$15,CHOOSE(ArtifactsInput!$N$15+1,25,30,35,40,45,50)/100*(Inputs!$B$11-Inputs!$B$11),0)))/100)/2</f>
        <v/>
      </c>
      <c r="M2865">
        <f>L2865*(1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IF(B2900=0,0,O2865/B2900)</f>
        <v/>
      </c>
      <c r="Q2865">
        <f>IFERROR(1/(IF(Inputs!$B$38="pvp",15,MAX(0.1,Skills!D10-IF(TRUE=TRUE,Inputs!$B$32,0)))*(1-IF(AND(ArtifactsInput!$M$27,Inputs!$B$4="Chapter Hunt"),CHOOSE(ArtifactsInput!$N$27+1,20,24,28,32,36,40),0)/100)),0)</f>
        <v/>
      </c>
      <c r="R2865">
        <f>IF(AND(Inputs!$B$38&lt;&gt;"pvp",Inputs!$B$43&gt;0),IF(MAX(0,Inputs!$B$43-B2897)&lt;=0,0,(INT(MAX(0,Inputs!$B$43-B2897)/(IF(Inputs!$B$38="pvp",15,MAX(0.1,Skills!D10-IF(TRUE=TRUE,Inputs!$B$32,0)))*(1-IF(AND(ArtifactsInput!$M$27,Inputs!$B$4="Chapter Hunt"),CHOOSE(ArtifactsInput!$N$27+1,20,24,28,32,36,40),0)/100)))+1)),0)</f>
        <v/>
      </c>
      <c r="S2865">
        <f>IFERROR(O2865/N2865,0)</f>
        <v/>
      </c>
      <c r="T2865">
        <f>IF(C2865,(H2865*N2865*IF(AND(Inputs!$B$38&lt;&gt;"pvp",Inputs!$B$43&gt;0),((Skills!G10*((R2865-1)*IF(Skills!H10&gt;0,INT(Skills!I10/Skills!H10+0.000000001),1)+IF(Skills!H10&gt;0,INT(MIN(Skills!I10,MAX(0,MAX(0,Inputs!$B$43-B2897)-((R2865-1)*(IF(Inputs!$B$38="pvp",15,MAX(0.1,Skills!D10-IF(TRUE=TRUE,Inputs!$B$32,0)))*(1-IF(AND(ArtifactsInput!$M$27,Inputs!$B$4="Chapter Hunt"),CHOOSE(ArtifactsInput!$N$27+1,20,24,28,32,36,40),0)/100)))))/Skills!H10+0.000000001),1)))/Inputs!$B$43),G2865*Q2865)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10*((R2865-1)*IF(Skills!H10&gt;0,INT(Skills!I10/Skills!H10+0.000000001),1)+IF(Skills!H10&gt;0,INT(MIN(Skills!I10,MAX(0,MAX(0,Inputs!$B$43-B2897)-((R2865-1)*(IF(Inputs!$B$38="pvp",15,MAX(0.1,Skills!D10-IF(TRUE=TRUE,Inputs!$B$32,0)))*(1-IF(AND(ArtifactsInput!$M$27,Inputs!$B$4="Chapter Hunt"),CHOOSE(ArtifactsInput!$N$27+1,20,24,28,32,36,40),0)/100)))))/Skills!H10+0.000000001),1)))/Inputs!$B$43),G2865*Q2865))*IF(Inputs!$B$38="pvp",1,(1+(Inputs!$B$21+Skills!Q10+(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Skills!A11</f>
        <v/>
      </c>
      <c r="B2866">
        <f>Skills!B11</f>
        <v/>
      </c>
      <c r="C2866">
        <f>Inputs!$B$3&gt;=103</f>
        <v/>
      </c>
      <c r="D2866">
        <f>IF(Skills!C11=1,60+Inputs!$B$25+Inputs!$B$29,IF(Skills!C11=2,90+Inputs!$B$26+Inputs!$B$29,IF(Skills!C11=3,120+Inputs!$B$27+Inputs!$B$29,MAX(0,(Inputs!$B$3-100)*3)+Inputs!$B$28+Inputs!$B$29)))</f>
        <v/>
      </c>
      <c r="E2866">
        <f>INDEX(FactorTable!$B$2:$Y$301, MATCH(ROUND(MIN(300,MAX(1,D2866)),0), FactorTable!$A$2:$A$301,0), Skills!M11+1)</f>
        <v/>
      </c>
      <c r="F2866">
        <f>IF(Skills!N11=TRUE,(Skills!L11/10)*(E2866/1000),Skills!L11/10)+Skills!O11</f>
        <v/>
      </c>
      <c r="G2866">
        <f>Skills!G11*IF(Skills!H11&gt;0,INT(IF(Inputs!$B$38="pvp",MIN(Skills!I11,15),Skills!I11)/Skills!H11+0.000000001),1)</f>
        <v/>
      </c>
      <c r="H2866">
        <f>1-(1-Skills!J11/100)^Skills!K11</f>
        <v/>
      </c>
      <c r="I2866" t="inlineStr">
        <is>
          <t>1</t>
        </is>
      </c>
      <c r="J2866">
        <f>((Inputs!$B$6*(1+Inputs!$B$7/100))+(((Inputs!$B$12*(1+Inputs!$B$13/100))-(Inputs!$B$12*(1+Inputs!$B$13/100)))+0.25*(Inputs!$B$14-Inputs!$B$14))*(1+Inputs!$B$7/100))*(F2866/100)</f>
        <v/>
      </c>
      <c r="K2866">
        <f>J2866*(1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26)),(Inputs!$B$23+((C2886=TRUE)*(F2886-Calc!F31))+(IF(ArtifactsInput!$M$15,CHOOSE(ArtifactsInput!$N$15+1,25,30,35,40,45,50)/100*(Inputs!$B$11-Inputs!$B$11),0))))/100+(Inputs!$B$23+((C2886=TRUE)*(F2886-Calc!F31))+(IF(ArtifactsInput!$M$15,CHOOSE(ArtifactsInput!$N$15+1,25,30,35,40,45,50)/100*(Inputs!$B$11-Inputs!$B$11),0)))/100)/2</f>
        <v/>
      </c>
      <c r="M2866">
        <f>L2866*(1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IF(B2900=0,0,O2866/B2900)</f>
        <v/>
      </c>
      <c r="Q2866">
        <f>IFERROR(1/(IF(Inputs!$B$38="pvp",15,MAX(0.1,Skills!D11-IF(TRUE=TRUE,Inputs!$B$32,0)))*(1-IF(AND(ArtifactsInput!$M$27,Inputs!$B$4="Chapter Hunt"),CHOOSE(ArtifactsInput!$N$27+1,20,24,28,32,36,40),0)/100)),0)</f>
        <v/>
      </c>
      <c r="R2866">
        <f>IF(AND(Inputs!$B$38&lt;&gt;"pvp",Inputs!$B$43&gt;0),IF(MAX(0,Inputs!$B$43-B2897)&lt;=0,0,(INT(MAX(0,Inputs!$B$43-B2897)/(IF(Inputs!$B$38="pvp",15,MAX(0.1,Skills!D11-IF(TRUE=TRUE,Inputs!$B$32,0)))*(1-IF(AND(ArtifactsInput!$M$27,Inputs!$B$4="Chapter Hunt"),CHOOSE(ArtifactsInput!$N$27+1,20,24,28,32,36,40),0)/100)))+1)),0)</f>
        <v/>
      </c>
      <c r="S2866">
        <f>IFERROR(O2866/N2866,0)</f>
        <v/>
      </c>
      <c r="T2866">
        <f>IF(C2866,(H2866*N2866*IF(AND(Inputs!$B$38&lt;&gt;"pvp",Inputs!$B$43&gt;0),((Skills!G11*((R2866-1)*IF(Skills!H11&gt;0,INT(Skills!I11/Skills!H11+0.000000001),1)+IF(Skills!H11&gt;0,INT(MIN(Skills!I11,MAX(0,MAX(0,Inputs!$B$43-B2897)-((R2866-1)*(IF(Inputs!$B$38="pvp",15,MAX(0.1,Skills!D11-IF(TRUE=TRUE,Inputs!$B$32,0)))*(1-IF(AND(ArtifactsInput!$M$27,Inputs!$B$4="Chapter Hunt"),CHOOSE(ArtifactsInput!$N$27+1,20,24,28,32,36,40),0)/100)))))/Skills!H11+0.000000001),1)))/Inputs!$B$43),G2866*Q2866)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11*((R2866-1)*IF(Skills!H11&gt;0,INT(Skills!I11/Skills!H11+0.000000001),1)+IF(Skills!H11&gt;0,INT(MIN(Skills!I11,MAX(0,MAX(0,Inputs!$B$43-B2897)-((R2866-1)*(IF(Inputs!$B$38="pvp",15,MAX(0.1,Skills!D11-IF(TRUE=TRUE,Inputs!$B$32,0)))*(1-IF(AND(ArtifactsInput!$M$27,Inputs!$B$4="Chapter Hunt"),CHOOSE(ArtifactsInput!$N$27+1,20,24,28,32,36,40),0)/100)))))/Skills!H11+0.000000001),1)))/Inputs!$B$43),G2866*Q2866))*IF(Inputs!$B$38="pvp",1,(1+(Inputs!$B$21+Skills!Q11+(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Skills!A12</f>
        <v/>
      </c>
      <c r="B2867">
        <f>Skills!B12</f>
        <v/>
      </c>
      <c r="C2867">
        <f>Inputs!$B$3&gt;=100</f>
        <v/>
      </c>
      <c r="D2867">
        <f>IF(Skills!C12=1,60+Inputs!$B$25+Inputs!$B$29,IF(Skills!C12=2,90+Inputs!$B$26+Inputs!$B$29,IF(Skills!C12=3,120+Inputs!$B$27+Inputs!$B$29,MAX(0,(Inputs!$B$3-100)*3)+Inputs!$B$28+Inputs!$B$29)))</f>
        <v/>
      </c>
      <c r="E2867">
        <f>INDEX(FactorTable!$B$2:$Y$301, MATCH(ROUND(MIN(300,MAX(1,D2867)),0), FactorTable!$A$2:$A$301,0), Skills!M12+1)</f>
        <v/>
      </c>
      <c r="F2867">
        <f>IF(Skills!N12=TRUE,(Skills!L12/10)*(E2867/1000),Skills!L12/10)+Skills!O12</f>
        <v/>
      </c>
      <c r="G2867" t="inlineStr"/>
      <c r="H2867" t="inlineStr"/>
      <c r="I2867" t="inlineStr">
        <is>
          <t>1</t>
        </is>
      </c>
      <c r="J2867" t="inlineStr"/>
      <c r="K2867" t="inlineStr"/>
      <c r="L2867" t="inlineStr"/>
      <c r="M2867" t="inlineStr"/>
      <c r="N2867" t="inlineStr"/>
      <c r="O2867" t="inlineStr"/>
      <c r="P2867" t="inlineStr"/>
      <c r="Q2867" t="inlineStr"/>
      <c r="R2867" t="inlineStr"/>
      <c r="S2867" t="inlineStr"/>
      <c r="T2867" t="inlineStr"/>
      <c r="V2867" t="inlineStr"/>
    </row>
    <row r="2868">
      <c r="A2868">
        <f>Skills!A13</f>
        <v/>
      </c>
      <c r="B2868">
        <f>Skills!B13</f>
        <v/>
      </c>
      <c r="C2868">
        <f>Inputs!$B$3&gt;=60</f>
        <v/>
      </c>
      <c r="D2868">
        <f>IF(Skills!C13=1,60+Inputs!$B$25+Inputs!$B$29,IF(Skills!C13=2,90+Inputs!$B$26+Inputs!$B$29,IF(Skills!C13=3,120+Inputs!$B$27+Inputs!$B$29,MAX(0,(Inputs!$B$3-100)*3)+Inputs!$B$28+Inputs!$B$29)))</f>
        <v/>
      </c>
      <c r="E2868">
        <f>INDEX(FactorTable!$B$2:$Y$301, MATCH(ROUND(MIN(300,MAX(1,D2868)),0), FactorTable!$A$2:$A$301,0), Skills!M13+1)</f>
        <v/>
      </c>
      <c r="F2868">
        <f>IF(Skills!N13=TRUE,(Skills!L13/10)*(E2868/1000),Skills!L13/10)+Skills!O13</f>
        <v/>
      </c>
      <c r="G2868">
        <f>Skills!G13*IF(Skills!H13&gt;0,INT(IF(Inputs!$B$38="pvp",MIN(Skills!I13,15),Skills!I13)/Skills!H13+0.000000001),1)</f>
        <v/>
      </c>
      <c r="H2868">
        <f>1-(1-Skills!J13/100)^Skills!K13</f>
        <v/>
      </c>
      <c r="I2868" t="inlineStr">
        <is>
          <t>1</t>
        </is>
      </c>
      <c r="J2868">
        <f>((Inputs!$B$6*(1+Inputs!$B$7/100))+(((Inputs!$B$12*(1+Inputs!$B$13/100))-(Inputs!$B$12*(1+Inputs!$B$13/100)))+0.25*(Inputs!$B$14-Inputs!$B$14))*(1+Inputs!$B$7/100))*(F2868/100)</f>
        <v/>
      </c>
      <c r="K2868">
        <f>J2868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2869=TRUE,F2869,0)/100)*(1+(IF(Skills!A13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26)),(Inputs!$B$23+((C2886=TRUE)*(F2886-Calc!F31))+(IF(ArtifactsInput!$M$15,CHOOSE(ArtifactsInput!$N$15+1,25,30,35,40,45,50)/100*(Inputs!$B$11-Inputs!$B$11),0))))/100+(Inputs!$B$23+((C2886=TRUE)*(F2886-Calc!F31))+(IF(ArtifactsInput!$M$15,CHOOSE(ArtifactsInput!$N$15+1,25,30,35,40,45,50)/100*(Inputs!$B$11-Inputs!$B$11),0)))/100)/2</f>
        <v/>
      </c>
      <c r="M2868">
        <f>L2868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IF(B2900=0,0,O2868/B2900)</f>
        <v/>
      </c>
      <c r="Q2868">
        <f>IFERROR(1/(IF(Inputs!$B$38="pvp",15,MAX(0.1,IF(Inputs!$B$3&gt;=122,3,5)+1/(((20+30*(B2892-1)*100/150)/100)*B2892)-IF(FALSE=TRUE,Inputs!$B$32,0)))*(1-IF(AND(ArtifactsInput!$M$27,Inputs!$B$4="Chapter Hunt"),CHOOSE(ArtifactsInput!$N$27+1,20,24,28,32,36,40),0)/100)),0)</f>
        <v/>
      </c>
      <c r="R2868">
        <f>IF(AND(Inputs!$B$38&lt;&gt;"pvp",Inputs!$B$43&gt;0),IF(MAX(0,Inputs!$B$43-B2897)&lt;=0,0,(INT(MAX(0,Inputs!$B$43-B2897)/(IF(Inputs!$B$38="pvp",15,MAX(0.1,IF(Inputs!$B$3&gt;=122,3,5)+1/(((20+30*(B2892-1)*100/150)/100)*B2892)-IF(FALSE=TRUE,Inputs!$B$32,0)))*(1-IF(AND(ArtifactsInput!$M$27,Inputs!$B$4="Chapter Hunt"),CHOOSE(ArtifactsInput!$N$27+1,20,24,28,32,36,40),0)/100)))+1)),0)</f>
        <v/>
      </c>
      <c r="S2868">
        <f>IFERROR(O2868/N2868,0)</f>
        <v/>
      </c>
      <c r="T2868">
        <f>IF(C2868,(H2868*N2868*IF(AND(Inputs!$B$38&lt;&gt;"pvp",Inputs!$B$43&gt;0),((Skills!G13*((R2868-1)*IF(Skills!H13&gt;0,INT(Skills!I13/Skills!H13+0.000000001),1)+IF(Skills!H13&gt;0,INT(MIN(Skills!I13,MAX(0,MAX(0,Inputs!$B$43-B2897)-((R2868-1)*(IF(Inputs!$B$38="pvp",15,MAX(0.1,IF(Inputs!$B$3&gt;=122,3,5)+1/(((20+30*(B2892-1)*100/150)/100)*B2892)-IF(FALSE=TRUE,Inputs!$B$32,0)))*(1-IF(AND(ArtifactsInput!$M$27,Inputs!$B$4="Chapter Hunt"),CHOOSE(ArtifactsInput!$N$27+1,20,24,28,32,36,40),0)/100)))))/Skills!H13+0.000000001),1)))/Inputs!$B$43),G2868*Q2868)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13*((R2868-1)*IF(Skills!H13&gt;0,INT(Skills!I13/Skills!H13+0.000000001),1)+IF(Skills!H13&gt;0,INT(MIN(Skills!I13,MAX(0,MAX(0,Inputs!$B$43-B2897)-((R2868-1)*(IF(Inputs!$B$38="pvp",15,MAX(0.1,IF(Inputs!$B$3&gt;=122,3,5)+1/(((20+30*(B2892-1)*100/150)/100)*B2892)-IF(FALSE=TRUE,Inputs!$B$32,0)))*(1-IF(AND(ArtifactsInput!$M$27,Inputs!$B$4="Chapter Hunt"),CHOOSE(ArtifactsInput!$N$27+1,20,24,28,32,36,40),0)/100)))))/Skills!H13+0.000000001),1)))/Inputs!$B$43),G2868*Q2868))*IF(Inputs!$B$38="pvp",1,(1+(Inputs!$B$21+Skills!Q13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Skills!A14</f>
        <v/>
      </c>
      <c r="B2869">
        <f>Skills!B14</f>
        <v/>
      </c>
      <c r="C2869">
        <f>Inputs!$B$3&gt;=110</f>
        <v/>
      </c>
      <c r="D2869">
        <f>IF(Skills!C14=1,60+Inputs!$B$25+Inputs!$B$29,IF(Skills!C14=2,90+Inputs!$B$26+Inputs!$B$29,IF(Skills!C14=3,120+Inputs!$B$27+Inputs!$B$29,MAX(0,(Inputs!$B$3-100)*3)+Inputs!$B$28+Inputs!$B$29)))</f>
        <v/>
      </c>
      <c r="E2869">
        <f>INDEX(FactorTable!$B$2:$Y$301, MATCH(ROUND(MIN(300,MAX(1,D2869)),0), FactorTable!$A$2:$A$301,0), Skills!M14+1)</f>
        <v/>
      </c>
      <c r="F2869">
        <f>IF(Skills!N14=TRUE,(Skills!L14/10)*(E2869/1000),Skills!L14/10)+Skills!O14</f>
        <v/>
      </c>
      <c r="G2869" t="inlineStr"/>
      <c r="H2869" t="inlineStr"/>
      <c r="I2869" t="inlineStr">
        <is>
          <t>1</t>
        </is>
      </c>
      <c r="J2869" t="inlineStr"/>
      <c r="K2869" t="inlineStr"/>
      <c r="L2869" t="inlineStr"/>
      <c r="M2869" t="inlineStr"/>
      <c r="N2869" t="inlineStr"/>
      <c r="O2869" t="inlineStr"/>
      <c r="P2869" t="inlineStr"/>
      <c r="Q2869" t="inlineStr"/>
      <c r="R2869" t="inlineStr"/>
      <c r="S2869" t="inlineStr"/>
      <c r="T2869" t="inlineStr"/>
      <c r="V2869" t="inlineStr"/>
    </row>
    <row r="2870">
      <c r="A2870">
        <f>Skills!A15</f>
        <v/>
      </c>
      <c r="B2870">
        <f>Skills!B15</f>
        <v/>
      </c>
      <c r="C2870">
        <f>Inputs!$B$3&gt;=74</f>
        <v/>
      </c>
      <c r="D2870">
        <f>IF(Skills!C15=1,60+Inputs!$B$25+Inputs!$B$29,IF(Skills!C15=2,90+Inputs!$B$26+Inputs!$B$29,IF(Skills!C15=3,120+Inputs!$B$27+Inputs!$B$29,MAX(0,(Inputs!$B$3-100)*3)+Inputs!$B$28+Inputs!$B$29)))</f>
        <v/>
      </c>
      <c r="E2870">
        <f>INDEX(FactorTable!$B$2:$Y$301, MATCH(ROUND(MIN(300,MAX(1,D2870)),0), FactorTable!$A$2:$A$301,0), Skills!M15+1)</f>
        <v/>
      </c>
      <c r="F2870">
        <f>IF(Skills!N15=TRUE,(Skills!L15/10)*(E2870/1000),Skills!L15/10)+Skills!O15</f>
        <v/>
      </c>
      <c r="G2870">
        <f>Skills!G15*IF(Skills!H15&gt;0,INT(IF(Inputs!$B$38="pvp",MIN(Skills!I15,15),Skills!I15)/Skills!H15+0.000000001),1)</f>
        <v/>
      </c>
      <c r="H2870">
        <f>1-(1-Skills!J15/100)^Skills!K15</f>
        <v/>
      </c>
      <c r="I2870" t="inlineStr">
        <is>
          <t>1</t>
        </is>
      </c>
      <c r="J2870" t="inlineStr"/>
      <c r="K2870" t="inlineStr"/>
      <c r="L2870" t="inlineStr"/>
      <c r="M2870" t="inlineStr"/>
      <c r="N2870" t="inlineStr"/>
      <c r="O2870">
        <f>(1-Summary!$B$11)*T2870+Summary!$B$11*V2870</f>
        <v/>
      </c>
      <c r="P2870">
        <f>IF(B2900=0,0,O2870/B2900)</f>
        <v/>
      </c>
      <c r="Q2870" t="n">
        <v>0</v>
      </c>
      <c r="R2870" t="n">
        <v>0</v>
      </c>
      <c r="S2870">
        <f>IFERROR(O2870/N2870,0)</f>
        <v/>
      </c>
      <c r="T2870" t="n">
        <v>0</v>
      </c>
      <c r="V2870" t="n">
        <v>0</v>
      </c>
    </row>
    <row r="2871">
      <c r="A2871">
        <f>Skills!A16</f>
        <v/>
      </c>
      <c r="B2871">
        <f>Skills!B16</f>
        <v/>
      </c>
      <c r="C2871">
        <f>Inputs!$B$3&gt;=74</f>
        <v/>
      </c>
      <c r="D2871">
        <f>IF(Skills!C16=1,60+Inputs!$B$25+Inputs!$B$29,IF(Skills!C16=2,90+Inputs!$B$26+Inputs!$B$29,IF(Skills!C16=3,120+Inputs!$B$27+Inputs!$B$29,MAX(0,(Inputs!$B$3-100)*3)+Inputs!$B$28+Inputs!$B$29)))</f>
        <v/>
      </c>
      <c r="E2871">
        <f>INDEX(FactorTable!$B$2:$Y$301, MATCH(ROUND(MIN(300,MAX(1,D2871)),0), FactorTable!$A$2:$A$301,0), Skills!M16+1)</f>
        <v/>
      </c>
      <c r="F2871">
        <f>IF(Skills!N16=TRUE,(Skills!L16/10)*(E2871/1000),Skills!L16/10)+Skills!O16</f>
        <v/>
      </c>
      <c r="G2871">
        <f>Skills!G16*IF(Skills!H16&gt;0,INT(IF(Inputs!$B$38="pvp",MIN(Skills!I16,15),Skills!I16)/Skills!H16+0.000000001),1)</f>
        <v/>
      </c>
      <c r="H2871">
        <f>1-(1-Skills!J16/100)^Skills!K16</f>
        <v/>
      </c>
      <c r="I2871" t="inlineStr">
        <is>
          <t>1</t>
        </is>
      </c>
      <c r="J2871" t="inlineStr"/>
      <c r="K2871" t="inlineStr"/>
      <c r="L2871" t="inlineStr"/>
      <c r="M2871" t="inlineStr"/>
      <c r="N2871" t="inlineStr"/>
      <c r="O2871">
        <f>(1-Summary!$B$11)*T2871+Summary!$B$11*V2871</f>
        <v/>
      </c>
      <c r="P2871">
        <f>IF(B2900=0,0,O2871/B2900)</f>
        <v/>
      </c>
      <c r="Q2871" t="n">
        <v>0</v>
      </c>
      <c r="R2871" t="n">
        <v>0</v>
      </c>
      <c r="S2871">
        <f>IFERROR(O2871/N2871,0)</f>
        <v/>
      </c>
      <c r="T2871" t="n">
        <v>0</v>
      </c>
      <c r="V2871" t="n">
        <v>0</v>
      </c>
    </row>
    <row r="2872">
      <c r="A2872">
        <f>Skills!A17</f>
        <v/>
      </c>
      <c r="B2872">
        <f>Skills!B17</f>
        <v/>
      </c>
      <c r="C2872">
        <f>Inputs!$B$3&gt;=117</f>
        <v/>
      </c>
      <c r="D2872">
        <f>IF(Skills!C17=1,60+Inputs!$B$25+Inputs!$B$29,IF(Skills!C17=2,90+Inputs!$B$26+Inputs!$B$29,IF(Skills!C17=3,120+Inputs!$B$27+Inputs!$B$29,MAX(0,(Inputs!$B$3-100)*3)+Inputs!$B$28+Inputs!$B$29)))</f>
        <v/>
      </c>
      <c r="E2872">
        <f>INDEX(FactorTable!$B$2:$Y$301, MATCH(ROUND(MIN(300,MAX(1,D2872)),0), FactorTable!$A$2:$A$301,0), Skills!M17+1)</f>
        <v/>
      </c>
      <c r="F2872">
        <f>IF(Skills!N17=TRUE,(Skills!L17/10)*(E2872/1000),Skills!L17/10)+Skills!O17</f>
        <v/>
      </c>
      <c r="G2872">
        <f>Skills!G17*IF(Skills!H17&gt;0,INT(IF(Inputs!$B$38="pvp",MIN(Skills!I17,15),Skills!I17)/Skills!H17+0.000000001),1)</f>
        <v/>
      </c>
      <c r="H2872">
        <f>1-(1-Skills!J17/100)^Skills!K17</f>
        <v/>
      </c>
      <c r="I2872" t="inlineStr">
        <is>
          <t>1</t>
        </is>
      </c>
      <c r="J2872" t="inlineStr"/>
      <c r="K2872" t="inlineStr"/>
      <c r="L2872" t="inlineStr"/>
      <c r="M2872" t="inlineStr"/>
      <c r="N2872" t="inlineStr"/>
      <c r="O2872">
        <f>(1-Summary!$B$11)*T2872+Summary!$B$11*V2872</f>
        <v/>
      </c>
      <c r="P2872">
        <f>IF(B2900=0,0,O2872/B2900)</f>
        <v/>
      </c>
      <c r="Q2872">
        <f>IFERROR(1/(IF(Inputs!$B$38="pvp",15,MAX(0.1,Skills!D17-IF(TRUE=TRUE,Inputs!$B$32,0)))*(1-IF(AND(ArtifactsInput!$M$27,Inputs!$B$4="Chapter Hunt"),CHOOSE(ArtifactsInput!$N$27+1,20,24,28,32,36,40),0)/100)),0)</f>
        <v/>
      </c>
      <c r="R2872">
        <f>IF(AND(Inputs!$B$38&lt;&gt;"pvp",Inputs!$B$43&gt;0),IF(Inputs!$B$43&lt;=0,0,(INT(Inputs!$B$43/(IF(Inputs!$B$38="pvp",15,MAX(0.1,Skills!D17-IF(TRUE=TRUE,Inputs!$B$32,0)))*(1-IF(AND(ArtifactsInput!$M$27,Inputs!$B$4="Chapter Hunt"),CHOOSE(ArtifactsInput!$N$27+1,20,24,28,32,36,40),0)/100)))+1)),0)</f>
        <v/>
      </c>
      <c r="S2872">
        <f>IFERROR(O2872/N2872,0)</f>
        <v/>
      </c>
      <c r="T2872" t="n">
        <v>0</v>
      </c>
      <c r="V2872" t="n">
        <v>0</v>
      </c>
    </row>
    <row r="2873">
      <c r="A2873">
        <f>Skills!A18</f>
        <v/>
      </c>
      <c r="B2873">
        <f>Skills!B18</f>
        <v/>
      </c>
      <c r="C2873">
        <f>Inputs!$B$3&gt;=115</f>
        <v/>
      </c>
      <c r="D2873">
        <f>IF(Skills!C18=1,60+Inputs!$B$25+Inputs!$B$29,IF(Skills!C18=2,90+Inputs!$B$26+Inputs!$B$29,IF(Skills!C18=3,120+Inputs!$B$27+Inputs!$B$29,MAX(0,(Inputs!$B$3-100)*3)+Inputs!$B$28+Inputs!$B$29)))</f>
        <v/>
      </c>
      <c r="E2873">
        <f>INDEX(FactorTable!$B$2:$Y$301, MATCH(ROUND(MIN(300,MAX(1,D2873)),0), FactorTable!$A$2:$A$301,0), Skills!M18+1)</f>
        <v/>
      </c>
      <c r="F2873">
        <f>IF(Skills!N18=TRUE,(Skills!L18/10)*(E2873/1000),Skills!L18/10)+Skills!O18</f>
        <v/>
      </c>
      <c r="G2873">
        <f>Skills!G18*IF(Skills!H18&gt;0,INT(IF(Inputs!$B$38="pvp",MIN(Skills!I18,15),Skills!I18)/Skills!H18+0.000000001),1)</f>
        <v/>
      </c>
      <c r="H2873">
        <f>1-(1-Skills!J18/100)^Skills!K18</f>
        <v/>
      </c>
      <c r="I2873" t="inlineStr">
        <is>
          <t>1</t>
        </is>
      </c>
      <c r="J2873" t="inlineStr"/>
      <c r="K2873" t="inlineStr"/>
      <c r="L2873" t="inlineStr"/>
      <c r="M2873" t="inlineStr"/>
      <c r="N2873" t="inlineStr"/>
      <c r="O2873">
        <f>(1-Summary!$B$11)*T2873+Summary!$B$11*V2873</f>
        <v/>
      </c>
      <c r="P2873">
        <f>IF(B2900=0,0,O2873/B2900)</f>
        <v/>
      </c>
      <c r="Q2873">
        <f>IFERROR(1/(IF(Inputs!$B$38="pvp",15,MAX(0.1,Skills!D18-IF(TRUE=TRUE,Inputs!$B$32,0)))*(1-IF(AND(ArtifactsInput!$M$27,Inputs!$B$4="Chapter Hunt"),CHOOSE(ArtifactsInput!$N$27+1,20,24,28,32,36,40),0)/100)),0)</f>
        <v/>
      </c>
      <c r="R2873">
        <f>IF(AND(Inputs!$B$38&lt;&gt;"pvp",Inputs!$B$43&gt;0),IF(Inputs!$B$43&lt;=0,0,(INT(Inputs!$B$43/(IF(Inputs!$B$38="pvp",15,MAX(0.1,Skills!D18-IF(TRUE=TRUE,Inputs!$B$32,0)))*(1-IF(AND(ArtifactsInput!$M$27,Inputs!$B$4="Chapter Hunt"),CHOOSE(ArtifactsInput!$N$27+1,20,24,28,32,36,40),0)/100)))+1)),0)</f>
        <v/>
      </c>
      <c r="S2873">
        <f>IFERROR(O2873/N2873,0)</f>
        <v/>
      </c>
      <c r="T2873" t="n">
        <v>0</v>
      </c>
      <c r="V2873" t="n">
        <v>0</v>
      </c>
    </row>
    <row r="2874">
      <c r="A2874">
        <f>Skills!A19</f>
        <v/>
      </c>
      <c r="B2874">
        <f>Skills!B19</f>
        <v/>
      </c>
      <c r="C2874">
        <f>Inputs!$B$3&gt;=66</f>
        <v/>
      </c>
      <c r="D2874">
        <f>IF(Skills!C19=1,60+Inputs!$B$25+Inputs!$B$29,IF(Skills!C19=2,90+Inputs!$B$26+Inputs!$B$29,IF(Skills!C19=3,120+Inputs!$B$27+Inputs!$B$29,MAX(0,(Inputs!$B$3-100)*3)+Inputs!$B$28+Inputs!$B$29)))</f>
        <v/>
      </c>
      <c r="E2874">
        <f>INDEX(FactorTable!$B$2:$Y$301, MATCH(ROUND(MIN(300,MAX(1,D2874)),0), FactorTable!$A$2:$A$301,0), Skills!M19+1)</f>
        <v/>
      </c>
      <c r="F2874">
        <f>IF(Skills!N19=TRUE,(Skills!L19/10)*(E2874/1000),Skills!L19/10)+Skills!O19</f>
        <v/>
      </c>
      <c r="G2874">
        <f>Skills!G19*IF(Skills!H19&gt;0,INT(IF(Inputs!$B$38="pvp",MIN(Skills!I19,15),Skills!I19)/Skills!H19+0.000000001),1)</f>
        <v/>
      </c>
      <c r="H2874">
        <f>1-(1-Skills!J19/100)^Skills!K19</f>
        <v/>
      </c>
      <c r="I2874" t="inlineStr">
        <is>
          <t>1</t>
        </is>
      </c>
      <c r="J2874" t="inlineStr"/>
      <c r="K2874" t="inlineStr"/>
      <c r="L2874" t="inlineStr"/>
      <c r="M2874" t="inlineStr"/>
      <c r="N2874" t="inlineStr"/>
      <c r="O2874">
        <f>(1-Summary!$B$11)*T2874+Summary!$B$11*V2874</f>
        <v/>
      </c>
      <c r="P2874">
        <f>IF(B2900=0,0,O2874/B2900)</f>
        <v/>
      </c>
      <c r="Q2874" t="n">
        <v>0</v>
      </c>
      <c r="R2874" t="n">
        <v>0</v>
      </c>
      <c r="S2874">
        <f>IFERROR(O2874/N2874,0)</f>
        <v/>
      </c>
      <c r="T2874" t="n">
        <v>0</v>
      </c>
      <c r="V2874" t="n">
        <v>0</v>
      </c>
    </row>
    <row r="2875">
      <c r="A2875">
        <f>Skills!A20</f>
        <v/>
      </c>
      <c r="B2875">
        <f>Skills!B20</f>
        <v/>
      </c>
      <c r="C2875">
        <f>Inputs!$B$3&gt;=72</f>
        <v/>
      </c>
      <c r="D2875">
        <f>IF(Skills!C20=1,60+Inputs!$B$25+Inputs!$B$29,IF(Skills!C20=2,90+Inputs!$B$26+Inputs!$B$29,IF(Skills!C20=3,120+Inputs!$B$27+Inputs!$B$29,MAX(0,(Inputs!$B$3-100)*3)+Inputs!$B$28+Inputs!$B$29)))</f>
        <v/>
      </c>
      <c r="E2875">
        <f>INDEX(FactorTable!$B$2:$Y$301, MATCH(ROUND(MIN(300,MAX(1,D2875)),0), FactorTable!$A$2:$A$301,0), Skills!M20+1)</f>
        <v/>
      </c>
      <c r="F2875">
        <f>IF(Skills!N20=TRUE,(Skills!L20/10)*(E2875/1000),Skills!L20/10)+Skills!O20</f>
        <v/>
      </c>
      <c r="G2875">
        <f>Skills!G20*IF(Skills!H20&gt;0,INT(IF(Inputs!$B$38="pvp",MIN(Skills!I20,15),Skills!I20)/Skills!H20+0.000000001),1)</f>
        <v/>
      </c>
      <c r="H2875">
        <f>1-(1-Skills!J20/100)^Skills!K20</f>
        <v/>
      </c>
      <c r="I2875" t="inlineStr">
        <is>
          <t>1</t>
        </is>
      </c>
      <c r="J2875" t="inlineStr"/>
      <c r="K2875" t="inlineStr"/>
      <c r="L2875" t="inlineStr"/>
      <c r="M2875" t="inlineStr"/>
      <c r="N2875" t="inlineStr"/>
      <c r="O2875">
        <f>(1-Summary!$B$11)*T2875+Summary!$B$11*V2875</f>
        <v/>
      </c>
      <c r="P2875">
        <f>IF(B2900=0,0,O2875/B2900)</f>
        <v/>
      </c>
      <c r="Q2875" t="n">
        <v>0</v>
      </c>
      <c r="R2875" t="n">
        <v>0</v>
      </c>
      <c r="S2875">
        <f>IFERROR(O2875/N2875,0)</f>
        <v/>
      </c>
      <c r="T2875" t="n">
        <v>0</v>
      </c>
      <c r="V2875" t="n">
        <v>0</v>
      </c>
    </row>
    <row r="2876">
      <c r="A2876">
        <f>Skills!A21</f>
        <v/>
      </c>
      <c r="B2876">
        <f>Skills!B21</f>
        <v/>
      </c>
      <c r="C2876">
        <f>TRUE</f>
        <v/>
      </c>
      <c r="D2876">
        <f>IF(Skills!C21=1,60+Inputs!$B$25+Inputs!$B$29,IF(Skills!C21=2,90+Inputs!$B$26+Inputs!$B$29,IF(Skills!C21=3,120+Inputs!$B$27+Inputs!$B$29,MAX(0,(Inputs!$B$3-100)*3)+Inputs!$B$28+Inputs!$B$29)))</f>
        <v/>
      </c>
      <c r="E2876">
        <f>INDEX(FactorTable!$B$2:$Y$301, MATCH(ROUND(MIN(300,MAX(1,D2876)),0), FactorTable!$A$2:$A$301,0), Skills!M21+1)</f>
        <v/>
      </c>
      <c r="F2876">
        <f>IF(Skills!N21=TRUE,(Skills!L21/10)*(E2876/1000),Skills!L21/10)+Skills!O21</f>
        <v/>
      </c>
      <c r="G2876">
        <f>Skills!G21*IF(Skills!H21&gt;0,INT(IF(Inputs!$B$38="pvp",MIN(Skills!I21,15),Skills!I21)/Skills!H21+0.000000001),1)</f>
        <v/>
      </c>
      <c r="H2876">
        <f>1-(1-Skills!J21/100)^Skills!K21</f>
        <v/>
      </c>
      <c r="I2876" t="inlineStr">
        <is>
          <t>1</t>
        </is>
      </c>
      <c r="J2876" t="inlineStr"/>
      <c r="K2876" t="inlineStr"/>
      <c r="L2876" t="inlineStr"/>
      <c r="M2876" t="inlineStr"/>
      <c r="N2876" t="inlineStr"/>
      <c r="O2876">
        <f>(1-Summary!$B$11)*T2876+Summary!$B$11*V2876</f>
        <v/>
      </c>
      <c r="P2876">
        <f>IF(B2900=0,0,O2876/B2900)</f>
        <v/>
      </c>
      <c r="Q2876">
        <f>IFERROR(1/(IF(Inputs!$B$38="pvp",15,MAX(0.1,Skills!D21-IF(TRUE=TRUE,Inputs!$B$32,0)))*(1-IF(AND(ArtifactsInput!$M$27,Inputs!$B$4="Chapter Hunt"),CHOOSE(ArtifactsInput!$N$27+1,20,24,28,32,36,40),0)/100)),0)</f>
        <v/>
      </c>
      <c r="R2876">
        <f>IF(AND(Inputs!$B$38&lt;&gt;"pvp",Inputs!$B$43&gt;0),IF(Inputs!$B$43&lt;=0,0,(INT(Inputs!$B$43/(IF(Inputs!$B$38="pvp",15,MAX(0.1,Skills!D21-IF(TRUE=TRUE,Inputs!$B$32,0)))*(1-IF(AND(ArtifactsInput!$M$27,Inputs!$B$4="Chapter Hunt"),CHOOSE(ArtifactsInput!$N$27+1,20,24,28,32,36,40),0)/100)))+1)),0)</f>
        <v/>
      </c>
      <c r="S2876">
        <f>IFERROR(O2876/N2876,0)</f>
        <v/>
      </c>
      <c r="T2876" t="n">
        <v>0</v>
      </c>
      <c r="V2876" t="n">
        <v>0</v>
      </c>
    </row>
    <row r="2877">
      <c r="A2877">
        <f>Skills!A22</f>
        <v/>
      </c>
      <c r="B2877">
        <f>Skills!B22</f>
        <v/>
      </c>
      <c r="C2877">
        <f>Inputs!$B$3&gt;=15</f>
        <v/>
      </c>
      <c r="D2877">
        <f>IF(Skills!C22=1,60+Inputs!$B$25+Inputs!$B$29,IF(Skills!C22=2,90+Inputs!$B$26+Inputs!$B$29,IF(Skills!C22=3,120+Inputs!$B$27+Inputs!$B$29,MAX(0,(Inputs!$B$3-100)*3)+Inputs!$B$28+Inputs!$B$29)))</f>
        <v/>
      </c>
      <c r="E2877">
        <f>INDEX(FactorTable!$B$2:$Y$301, MATCH(ROUND(MIN(300,MAX(1,D2877)),0), FactorTable!$A$2:$A$301,0), Skills!M22+1)</f>
        <v/>
      </c>
      <c r="F2877">
        <f>IF(Skills!N22=TRUE,(Skills!L22/10)*(E2877/1000),Skills!L22/10)+Skills!O22</f>
        <v/>
      </c>
      <c r="G2877">
        <f>Skills!G22*IF(Skills!H22&gt;0,INT(IF(Inputs!$B$38="pvp",MIN(Skills!I22,15),Skills!I22)/Skills!H22+0.000000001),1)</f>
        <v/>
      </c>
      <c r="H2877">
        <f>1-(1-Skills!J22/100)^Skills!K22</f>
        <v/>
      </c>
      <c r="I2877" t="inlineStr">
        <is>
          <t>1</t>
        </is>
      </c>
      <c r="J2877" t="inlineStr"/>
      <c r="K2877" t="inlineStr"/>
      <c r="L2877" t="inlineStr"/>
      <c r="M2877" t="inlineStr"/>
      <c r="N2877" t="inlineStr"/>
      <c r="O2877">
        <f>(1-Summary!$B$11)*T2877+Summary!$B$11*V2877</f>
        <v/>
      </c>
      <c r="P2877">
        <f>IF(B2900=0,0,O2877/B2900)</f>
        <v/>
      </c>
      <c r="Q2877" t="n">
        <v>0</v>
      </c>
      <c r="R2877" t="n">
        <v>0</v>
      </c>
      <c r="S2877">
        <f>IFERROR(O2877/N2877,0)</f>
        <v/>
      </c>
      <c r="T2877" t="n">
        <v>0</v>
      </c>
      <c r="V2877" t="n">
        <v>0</v>
      </c>
    </row>
    <row r="2878">
      <c r="A2878">
        <f>Skills!A23</f>
        <v/>
      </c>
      <c r="B2878">
        <f>Skills!B23</f>
        <v/>
      </c>
      <c r="C2878">
        <f>Inputs!$B$3&gt;=10</f>
        <v/>
      </c>
      <c r="D2878">
        <f>IF(Skills!C23=1,60+Inputs!$B$25+Inputs!$B$29,IF(Skills!C23=2,90+Inputs!$B$26+Inputs!$B$29,IF(Skills!C23=3,120+Inputs!$B$27+Inputs!$B$29,MAX(0,(Inputs!$B$3-100)*3)+Inputs!$B$28+Inputs!$B$29)))</f>
        <v/>
      </c>
      <c r="E2878">
        <f>INDEX(FactorTable!$B$2:$Y$301, MATCH(ROUND(MIN(300,MAX(1,D2878)),0), FactorTable!$A$2:$A$301,0), Skills!M23+1)</f>
        <v/>
      </c>
      <c r="F2878">
        <f>IF(Skills!N23=TRUE,(Skills!L23/10)*(E2878/1000),Skills!L23/10)+Skills!O23</f>
        <v/>
      </c>
      <c r="G2878">
        <f>Skills!G23*IF(Skills!H23&gt;0,INT(IF(Inputs!$B$38="pvp",MIN(Skills!I23,15),Skills!I23)/Skills!H23+0.000000001),1)</f>
        <v/>
      </c>
      <c r="H2878">
        <f>1-(1-Skills!J23/100)^Skills!K23</f>
        <v/>
      </c>
      <c r="I2878" t="inlineStr">
        <is>
          <t>1</t>
        </is>
      </c>
      <c r="J2878" t="inlineStr"/>
      <c r="K2878" t="inlineStr"/>
      <c r="L2878" t="inlineStr"/>
      <c r="M2878" t="inlineStr"/>
      <c r="N2878" t="inlineStr"/>
      <c r="O2878">
        <f>(1-Summary!$B$11)*T2878+Summary!$B$11*V2878</f>
        <v/>
      </c>
      <c r="P2878">
        <f>IF(B2900=0,0,O2878/B2900)</f>
        <v/>
      </c>
      <c r="Q2878" t="n">
        <v>0</v>
      </c>
      <c r="R2878" t="n">
        <v>0</v>
      </c>
      <c r="S2878">
        <f>IFERROR(O2878/N2878,0)</f>
        <v/>
      </c>
      <c r="T2878" t="n">
        <v>0</v>
      </c>
      <c r="V2878" t="n">
        <v>0</v>
      </c>
    </row>
    <row r="2879">
      <c r="A2879">
        <f>Skills!A24</f>
        <v/>
      </c>
      <c r="B2879">
        <f>Skills!B24</f>
        <v/>
      </c>
      <c r="C2879">
        <f>Inputs!$B$3&gt;=33</f>
        <v/>
      </c>
      <c r="D2879">
        <f>IF(Skills!C24=1,60+Inputs!$B$25+Inputs!$B$29,IF(Skills!C24=2,90+Inputs!$B$26+Inputs!$B$29,IF(Skills!C24=3,120+Inputs!$B$27+Inputs!$B$29,MAX(0,(Inputs!$B$3-100)*3)+Inputs!$B$28+Inputs!$B$29)))</f>
        <v/>
      </c>
      <c r="E2879">
        <f>INDEX(FactorTable!$B$2:$Y$301, MATCH(ROUND(MIN(300,MAX(1,D2879)),0), FactorTable!$A$2:$A$301,0), Skills!M24+1)</f>
        <v/>
      </c>
      <c r="F2879">
        <f>IF(Skills!N24=TRUE,(Skills!L24/10)*(E2879/1000),Skills!L24/10)+Skills!O24</f>
        <v/>
      </c>
      <c r="G2879">
        <f>Skills!G24*IF(Skills!H24&gt;0,INT(IF(Inputs!$B$38="pvp",MIN(Skills!I24,15),Skills!I24)/Skills!H24+0.000000001),1)</f>
        <v/>
      </c>
      <c r="H2879">
        <f>1-(1-Skills!J24/100)^Skills!K24</f>
        <v/>
      </c>
      <c r="I2879" t="inlineStr">
        <is>
          <t>1</t>
        </is>
      </c>
      <c r="J2879" t="inlineStr"/>
      <c r="K2879" t="inlineStr"/>
      <c r="L2879" t="inlineStr"/>
      <c r="M2879" t="inlineStr"/>
      <c r="N2879" t="inlineStr"/>
      <c r="O2879">
        <f>(1-Summary!$B$11)*T2879+Summary!$B$11*V2879</f>
        <v/>
      </c>
      <c r="P2879">
        <f>IF(B2900=0,0,O2879/B2900)</f>
        <v/>
      </c>
      <c r="Q2879" t="n">
        <v>0</v>
      </c>
      <c r="R2879" t="n">
        <v>0</v>
      </c>
      <c r="S2879">
        <f>IFERROR(O2879/N2879,0)</f>
        <v/>
      </c>
      <c r="T2879" t="n">
        <v>0</v>
      </c>
      <c r="V2879" t="n">
        <v>0</v>
      </c>
    </row>
    <row r="2880">
      <c r="A2880">
        <f>Skills!A25</f>
        <v/>
      </c>
      <c r="B2880">
        <f>Skills!B25</f>
        <v/>
      </c>
      <c r="C2880">
        <f>Inputs!$B$3&gt;=38</f>
        <v/>
      </c>
      <c r="D2880">
        <f>IF(Skills!C25=1,60+Inputs!$B$25+Inputs!$B$29,IF(Skills!C25=2,90+Inputs!$B$26+Inputs!$B$29,IF(Skills!C25=3,120+Inputs!$B$27+Inputs!$B$29,MAX(0,(Inputs!$B$3-100)*3)+Inputs!$B$28+Inputs!$B$29)))</f>
        <v/>
      </c>
      <c r="E2880">
        <f>INDEX(FactorTable!$B$2:$Y$301, MATCH(ROUND(MIN(300,MAX(1,D2880)),0), FactorTable!$A$2:$A$301,0), Skills!M25+1)</f>
        <v/>
      </c>
      <c r="F2880">
        <f>IF(Skills!N25=TRUE,(Skills!L25/10)*(E2880/1000),Skills!L25/10)+Skills!O25</f>
        <v/>
      </c>
      <c r="G2880">
        <f>Skills!G25*IF(Skills!H25&gt;0,INT(IF(Inputs!$B$38="pvp",MIN(Skills!I25,15),Skills!I25)/Skills!H25+0.000000001),1)</f>
        <v/>
      </c>
      <c r="H2880">
        <f>1-(1-Skills!J25/100)^Skills!K25</f>
        <v/>
      </c>
      <c r="I2880" t="inlineStr">
        <is>
          <t>1</t>
        </is>
      </c>
      <c r="J2880" t="inlineStr"/>
      <c r="K2880" t="inlineStr"/>
      <c r="L2880" t="inlineStr"/>
      <c r="M2880" t="inlineStr"/>
      <c r="N2880" t="inlineStr"/>
      <c r="O2880">
        <f>(1-Summary!$B$11)*T2880+Summary!$B$11*V2880</f>
        <v/>
      </c>
      <c r="P2880">
        <f>IF(B2900=0,0,O2880/B2900)</f>
        <v/>
      </c>
      <c r="Q2880" t="n">
        <v>0</v>
      </c>
      <c r="R2880" t="n">
        <v>0</v>
      </c>
      <c r="S2880">
        <f>IFERROR(O2880/N2880,0)</f>
        <v/>
      </c>
      <c r="T2880" t="n">
        <v>0</v>
      </c>
      <c r="V2880" t="n">
        <v>0</v>
      </c>
    </row>
    <row r="2881">
      <c r="A2881">
        <f>Skills!A26</f>
        <v/>
      </c>
      <c r="B2881">
        <f>Skills!B26</f>
        <v/>
      </c>
      <c r="C2881">
        <f>Inputs!$B$3&gt;=43</f>
        <v/>
      </c>
      <c r="D2881">
        <f>IF(Skills!C26=1,60+Inputs!$B$25+Inputs!$B$29,IF(Skills!C26=2,90+Inputs!$B$26+Inputs!$B$29,IF(Skills!C26=3,120+Inputs!$B$27+Inputs!$B$29,MAX(0,(Inputs!$B$3-100)*3)+Inputs!$B$28+Inputs!$B$29)))</f>
        <v/>
      </c>
      <c r="E2881">
        <f>INDEX(FactorTable!$B$2:$Y$301, MATCH(ROUND(MIN(300,MAX(1,D2881)),0), FactorTable!$A$2:$A$301,0), Skills!M26+1)</f>
        <v/>
      </c>
      <c r="F2881">
        <f>IF(Skills!N26=TRUE,(Skills!L26/10)*(E2881/1000),Skills!L26/10)+Skills!O26</f>
        <v/>
      </c>
      <c r="G2881">
        <f>Skills!G26*IF(Skills!H26&gt;0,INT(IF(Inputs!$B$38="pvp",MIN(Skills!I26,15),Skills!I26)/Skills!H26+0.000000001),1)</f>
        <v/>
      </c>
      <c r="H2881">
        <f>1-(1-Skills!J26/100)^Skills!K26</f>
        <v/>
      </c>
      <c r="I2881" t="inlineStr">
        <is>
          <t>1</t>
        </is>
      </c>
      <c r="J2881" t="inlineStr"/>
      <c r="K2881" t="inlineStr"/>
      <c r="L2881" t="inlineStr"/>
      <c r="M2881" t="inlineStr"/>
      <c r="N2881" t="inlineStr"/>
      <c r="O2881">
        <f>(1-Summary!$B$11)*T2881+Summary!$B$11*V2881</f>
        <v/>
      </c>
      <c r="P2881">
        <f>IF(B2900=0,0,O2881/B2900)</f>
        <v/>
      </c>
      <c r="Q2881" t="n">
        <v>0</v>
      </c>
      <c r="R2881" t="n">
        <v>0</v>
      </c>
      <c r="S2881">
        <f>IFERROR(O2881/N2881,0)</f>
        <v/>
      </c>
      <c r="T2881" t="n">
        <v>0</v>
      </c>
      <c r="V2881" t="n">
        <v>0</v>
      </c>
    </row>
    <row r="2882">
      <c r="A2882">
        <f>Skills!A27</f>
        <v/>
      </c>
      <c r="B2882">
        <f>Skills!B27</f>
        <v/>
      </c>
      <c r="C2882">
        <f>Inputs!$B$3&gt;=75</f>
        <v/>
      </c>
      <c r="D2882">
        <f>IF(Skills!C27=1,60+Inputs!$B$25+Inputs!$B$29,IF(Skills!C27=2,90+Inputs!$B$26+Inputs!$B$29,IF(Skills!C27=3,120+Inputs!$B$27+Inputs!$B$29,MAX(0,(Inputs!$B$3-100)*3)+Inputs!$B$28+Inputs!$B$29)))</f>
        <v/>
      </c>
      <c r="E2882">
        <f>INDEX(FactorTable!$B$2:$Y$301, MATCH(ROUND(MIN(300,MAX(1,D2882)),0), FactorTable!$A$2:$A$301,0), Skills!M27+1)</f>
        <v/>
      </c>
      <c r="F2882">
        <f>IF(Skills!N27=TRUE,(Skills!L27/10)*(E2882/1000),Skills!L27/10)+Skills!O27</f>
        <v/>
      </c>
      <c r="G2882">
        <f>Skills!G27*IF(Skills!H27&gt;0,INT(IF(Inputs!$B$38="pvp",MIN(Skills!I27,15),Skills!I27)/Skills!H27+0.000000001),1)</f>
        <v/>
      </c>
      <c r="H2882">
        <f>1-(1-Skills!J27/100)^Skills!K27</f>
        <v/>
      </c>
      <c r="I2882" t="inlineStr">
        <is>
          <t>1</t>
        </is>
      </c>
      <c r="J2882" t="inlineStr"/>
      <c r="K2882" t="inlineStr"/>
      <c r="L2882" t="inlineStr"/>
      <c r="M2882" t="inlineStr"/>
      <c r="N2882" t="inlineStr"/>
      <c r="O2882">
        <f>(1-Summary!$B$11)*T2882+Summary!$B$11*V2882</f>
        <v/>
      </c>
      <c r="P2882">
        <f>IF(B2900=0,0,O2882/B2900)</f>
        <v/>
      </c>
      <c r="Q2882" t="n">
        <v>0</v>
      </c>
      <c r="R2882" t="n">
        <v>0</v>
      </c>
      <c r="S2882">
        <f>IFERROR(O2882/N2882,0)</f>
        <v/>
      </c>
      <c r="T2882" t="n">
        <v>0</v>
      </c>
      <c r="V2882" t="n">
        <v>0</v>
      </c>
    </row>
    <row r="2883">
      <c r="A2883">
        <f>Skills!A28</f>
        <v/>
      </c>
      <c r="B2883">
        <f>Skills!B28</f>
        <v/>
      </c>
      <c r="C2883">
        <f>Inputs!$B$3&gt;=125</f>
        <v/>
      </c>
      <c r="D2883">
        <f>IF(Skills!C28=1,60+Inputs!$B$25+Inputs!$B$29,IF(Skills!C28=2,90+Inputs!$B$26+Inputs!$B$29,IF(Skills!C28=3,120+Inputs!$B$27+Inputs!$B$29,MAX(0,(Inputs!$B$3-100)*3)+Inputs!$B$28+Inputs!$B$29)))</f>
        <v/>
      </c>
      <c r="E2883">
        <f>INDEX(FactorTable!$B$2:$Y$301, MATCH(ROUND(MIN(300,MAX(1,D2883)),0), FactorTable!$A$2:$A$301,0), Skills!M28+1)</f>
        <v/>
      </c>
      <c r="F2883">
        <f>IF(Skills!N28=TRUE,(Skills!L28/10)*(E2883/1000),Skills!L28/10)+Skills!O28</f>
        <v/>
      </c>
      <c r="G2883">
        <f>Skills!G28*IF(Skills!H28&gt;0,INT(IF(Inputs!$B$38="pvp",MIN(Skills!I28,15),Skills!I28)/Skills!H28+0.000000001),1)</f>
        <v/>
      </c>
      <c r="H2883">
        <f>1-(1-Skills!J28/100)^Skills!K28</f>
        <v/>
      </c>
      <c r="I2883" t="inlineStr">
        <is>
          <t>1</t>
        </is>
      </c>
      <c r="J2883" t="inlineStr"/>
      <c r="K2883" t="inlineStr"/>
      <c r="L2883" t="inlineStr"/>
      <c r="M2883" t="inlineStr"/>
      <c r="N2883" t="inlineStr"/>
      <c r="O2883">
        <f>(1-Summary!$B$11)*T2883+Summary!$B$11*V2883</f>
        <v/>
      </c>
      <c r="P2883">
        <f>IF(B2900=0,0,O2883/B2900)</f>
        <v/>
      </c>
      <c r="Q2883" t="n">
        <v>0</v>
      </c>
      <c r="R2883" t="n">
        <v>0</v>
      </c>
      <c r="S2883">
        <f>IFERROR(O2883/N2883,0)</f>
        <v/>
      </c>
      <c r="T2883" t="n">
        <v>0</v>
      </c>
      <c r="V2883" t="n">
        <v>0</v>
      </c>
    </row>
    <row r="2884">
      <c r="A2884">
        <f>Skills!A29</f>
        <v/>
      </c>
      <c r="B2884">
        <f>Skills!B29</f>
        <v/>
      </c>
      <c r="C2884">
        <f>Inputs!$B$3&gt;=125</f>
        <v/>
      </c>
      <c r="D2884">
        <f>IF(Skills!C29=1,60+Inputs!$B$25+Inputs!$B$29,IF(Skills!C29=2,90+Inputs!$B$26+Inputs!$B$29,IF(Skills!C29=3,120+Inputs!$B$27+Inputs!$B$29,MAX(0,(Inputs!$B$3-100)*3)+Inputs!$B$28+Inputs!$B$29)))</f>
        <v/>
      </c>
      <c r="E2884">
        <f>INDEX(FactorTable!$B$2:$Y$301, MATCH(ROUND(MIN(300,MAX(1,D2884)),0), FactorTable!$A$2:$A$301,0), Skills!M29+1)</f>
        <v/>
      </c>
      <c r="F2884">
        <f>IF(Skills!N29=TRUE,(Skills!L29/10)*(E2884/1000),Skills!L29/10)+Skills!O29</f>
        <v/>
      </c>
      <c r="G2884">
        <f>Skills!G29*IF(Skills!H29&gt;0,INT(IF(Inputs!$B$38="pvp",MIN(Skills!I29,15),Skills!I29)/Skills!H29+0.000000001),1)</f>
        <v/>
      </c>
      <c r="H2884">
        <f>1-(1-Skills!J29/100)^Skills!K29</f>
        <v/>
      </c>
      <c r="I2884" t="inlineStr">
        <is>
          <t>1</t>
        </is>
      </c>
      <c r="J2884" t="inlineStr"/>
      <c r="K2884" t="inlineStr"/>
      <c r="L2884" t="inlineStr"/>
      <c r="M2884" t="inlineStr"/>
      <c r="N2884" t="inlineStr"/>
      <c r="O2884">
        <f>(1-Summary!$B$11)*T2884+Summary!$B$11*V2884</f>
        <v/>
      </c>
      <c r="P2884">
        <f>IF(B2900=0,0,O2884/B2900)</f>
        <v/>
      </c>
      <c r="Q2884" t="n">
        <v>0</v>
      </c>
      <c r="R2884" t="n">
        <v>0</v>
      </c>
      <c r="S2884">
        <f>IFERROR(O2884/N2884,0)</f>
        <v/>
      </c>
      <c r="T2884" t="n">
        <v>0</v>
      </c>
      <c r="V2884" t="n">
        <v>0</v>
      </c>
    </row>
    <row r="2885">
      <c r="A2885">
        <f>Skills!A30</f>
        <v/>
      </c>
      <c r="B2885">
        <f>Skills!B30</f>
        <v/>
      </c>
      <c r="C2885">
        <f>Inputs!$B$3&gt;=120</f>
        <v/>
      </c>
      <c r="D2885">
        <f>IF(Skills!C30=1,60+Inputs!$B$25+Inputs!$B$29,IF(Skills!C30=2,90+Inputs!$B$26+Inputs!$B$29,IF(Skills!C30=3,120+Inputs!$B$27+Inputs!$B$29,MAX(0,(Inputs!$B$3-100)*3)+Inputs!$B$28+Inputs!$B$29)))</f>
        <v/>
      </c>
      <c r="E2885">
        <f>INDEX(FactorTable!$B$2:$Y$301, MATCH(ROUND(MIN(300,MAX(1,D2885)),0), FactorTable!$A$2:$A$301,0), Skills!M30+1)</f>
        <v/>
      </c>
      <c r="F2885">
        <f>IF(Skills!N30=TRUE,(Skills!L30/10)*(E2885/1000),Skills!L30/10)+Skills!O30</f>
        <v/>
      </c>
      <c r="G2885">
        <f>Skills!G30*IF(Skills!H30&gt;0,INT(IF(Inputs!$B$38="pvp",MIN(Skills!I30,15),Skills!I30)/Skills!H30+0.000000001),1)</f>
        <v/>
      </c>
      <c r="H2885">
        <f>1-(1-Skills!J30/100)^Skills!K30</f>
        <v/>
      </c>
      <c r="I2885" t="inlineStr">
        <is>
          <t>1</t>
        </is>
      </c>
      <c r="J2885" t="inlineStr"/>
      <c r="K2885" t="inlineStr"/>
      <c r="L2885" t="inlineStr"/>
      <c r="M2885" t="inlineStr"/>
      <c r="N2885" t="inlineStr"/>
      <c r="O2885">
        <f>(1-Summary!$B$11)*T2885+Summary!$B$11*V2885</f>
        <v/>
      </c>
      <c r="P2885">
        <f>IF(B2900=0,0,O2885/B2900)</f>
        <v/>
      </c>
      <c r="Q2885" t="n">
        <v>0</v>
      </c>
      <c r="R2885" t="n">
        <v>0</v>
      </c>
      <c r="S2885">
        <f>IFERROR(O2885/N2885,0)</f>
        <v/>
      </c>
      <c r="T2885" t="n">
        <v>0</v>
      </c>
      <c r="V2885" t="n">
        <v>0</v>
      </c>
    </row>
    <row r="2886">
      <c r="A2886">
        <f>Skills!A31</f>
        <v/>
      </c>
      <c r="B2886">
        <f>Skills!B31</f>
        <v/>
      </c>
      <c r="C2886">
        <f>Inputs!$B$3&gt;=120</f>
        <v/>
      </c>
      <c r="D2886">
        <f>IF(Skills!C31=1,60+Inputs!$B$25+Inputs!$B$29,IF(Skills!C31=2,90+Inputs!$B$26+Inputs!$B$29,IF(Skills!C31=3,120+Inputs!$B$27+Inputs!$B$29,MAX(0,(Inputs!$B$3-100)*3)+Inputs!$B$28+Inputs!$B$29)))</f>
        <v/>
      </c>
      <c r="E2886">
        <f>INDEX(FactorTable!$B$2:$Y$301, MATCH(ROUND(MIN(300,MAX(1,D2886)),0), FactorTable!$A$2:$A$301,0), Skills!M31+1)</f>
        <v/>
      </c>
      <c r="F2886">
        <f>IF(Skills!N31=TRUE,(Skills!L31/10)*(E2886/1000),Skills!L31/10)+Skills!O31</f>
        <v/>
      </c>
      <c r="G2886">
        <f>Skills!G31*IF(Skills!H31&gt;0,INT(IF(Inputs!$B$38="pvp",MIN(Skills!I31,15),Skills!I31)/Skills!H31+0.000000001),1)</f>
        <v/>
      </c>
      <c r="H2886">
        <f>1-(1-Skills!J31/100)^Skills!K31</f>
        <v/>
      </c>
      <c r="I2886" t="inlineStr">
        <is>
          <t>1</t>
        </is>
      </c>
      <c r="J2886" t="inlineStr"/>
      <c r="K2886" t="inlineStr"/>
      <c r="L2886" t="inlineStr"/>
      <c r="M2886" t="inlineStr"/>
      <c r="N2886" t="inlineStr"/>
      <c r="O2886">
        <f>(1-Summary!$B$11)*T2886+Summary!$B$11*V2886</f>
        <v/>
      </c>
      <c r="P2886">
        <f>IF(B2900=0,0,O2886/B2900)</f>
        <v/>
      </c>
      <c r="Q2886" t="n">
        <v>0</v>
      </c>
      <c r="R2886" t="n">
        <v>0</v>
      </c>
      <c r="S2886">
        <f>IFERROR(O2886/N2886,0)</f>
        <v/>
      </c>
      <c r="T2886" t="n">
        <v>0</v>
      </c>
      <c r="V2886" t="n">
        <v>0</v>
      </c>
    </row>
    <row r="2887">
      <c r="A2887">
        <f>Skills!A32</f>
        <v/>
      </c>
      <c r="B2887">
        <f>Skills!B32</f>
        <v/>
      </c>
      <c r="C2887">
        <f>Inputs!$B$3&gt;=45</f>
        <v/>
      </c>
      <c r="D2887">
        <f>IF(Skills!C32=1,60+Inputs!$B$25+Inputs!$B$29,IF(Skills!C32=2,90+Inputs!$B$26+Inputs!$B$29,IF(Skills!C32=3,120+Inputs!$B$27+Inputs!$B$29,MAX(0,(Inputs!$B$3-100)*3)+Inputs!$B$28+Inputs!$B$29)))</f>
        <v/>
      </c>
      <c r="E2887">
        <f>INDEX(FactorTable!$B$2:$Y$301, MATCH(ROUND(MIN(300,MAX(1,D2887)),0), FactorTable!$A$2:$A$301,0), Skills!M32+1)</f>
        <v/>
      </c>
      <c r="F2887">
        <f>IF(Skills!N32=TRUE,(Skills!L32/10)*(E2887/1000),Skills!L32/10)+Skills!O32</f>
        <v/>
      </c>
      <c r="G2887">
        <f>Skills!G32*IF(Skills!H32&gt;0,INT(IF(Inputs!$B$38="pvp",MIN(Skills!I32,15),Skills!I32)/Skills!H32+0.000000001),1)</f>
        <v/>
      </c>
      <c r="H2887">
        <f>1-(1-Skills!J32/100)^Skills!K32</f>
        <v/>
      </c>
      <c r="I2887" t="inlineStr">
        <is>
          <t>1</t>
        </is>
      </c>
      <c r="J2887" t="inlineStr"/>
      <c r="K2887" t="inlineStr"/>
      <c r="L2887" t="inlineStr"/>
      <c r="M2887" t="inlineStr"/>
      <c r="N2887" t="inlineStr"/>
      <c r="O2887">
        <f>(1-Summary!$B$11)*T2887+Summary!$B$11*V2887</f>
        <v/>
      </c>
      <c r="P2887">
        <f>IF(B2900=0,0,O2887/B2900)</f>
        <v/>
      </c>
      <c r="Q2887" t="n">
        <v>0</v>
      </c>
      <c r="R2887" t="n">
        <v>0</v>
      </c>
      <c r="S2887">
        <f>IFERROR(O2887/N2887,0)</f>
        <v/>
      </c>
      <c r="T2887" t="n">
        <v>0</v>
      </c>
      <c r="V2887" t="n">
        <v>0</v>
      </c>
    </row>
    <row r="2889">
      <c r="A2889" t="inlineStr">
        <is>
          <t>Attack% Bucket Multiplier</t>
        </is>
      </c>
      <c r="B2889">
        <f>(1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90">
      <c r="A2890" t="inlineStr">
        <is>
          <t>Global Crit Rate Bonus %</t>
        </is>
      </c>
      <c r="B2890" t="n">
        <v>0</v>
      </c>
    </row>
    <row r="2891">
      <c r="A2891" t="inlineStr">
        <is>
          <t>Attack Speed Buff Bonus %</t>
        </is>
      </c>
      <c r="B2891">
        <f>((C2876=TRUE)*F2876*IF(AND(Inputs!$B$38&lt;&gt;"pvp",Inputs!$B$43&gt;0),(((R2876-1)*MIN((Skills!T21*(1+Inputs!$B$34/100)),(1/Q2876))+MIN((Skills!T21*(1+Inputs!$B$34/100)),MAX(0,Inputs!$B$43-((R2876-1)*(1/Q2876)))))/Inputs!$B$43),IF(Inputs!$B$38="pvp",MIN((Skills!T21*(1+Inputs!$B$34/100)),15)/15,MIN(1,(Skills!T21*(1+Inputs!$B$34/100))/(1/Q2876)))))</f>
        <v/>
      </c>
    </row>
    <row r="2892">
      <c r="A2892" t="inlineStr">
        <is>
          <t>Actions Per Second</t>
        </is>
      </c>
      <c r="B2892">
        <f>1+MIN(150,150*(1-(1-(Inputs!$B$11+((C2878=TRUE)*(F2878-Calc!F23))+((C2879=TRUE)*(F2879-Calc!F24)))/150)*(1-B2891/150)))/100</f>
        <v/>
      </c>
    </row>
    <row r="2893">
      <c r="A2893" t="inlineStr">
        <is>
          <t>Skill + Buff Cast Rate</t>
        </is>
      </c>
      <c r="B2893">
        <f>IF(AND(Inputs!$B$38&lt;&gt;"pvp",Inputs!$B$43&gt;0),SUMPRODUCT((Skills!E2:E32=TRUE)*(C2857:C2887=TRUE)*R2857:R2887*Skills!F2:F32)/Inputs!$B$43,SUMPRODUCT((Skills!E2:E32=TRUE)*(C2857:C2887=TRUE)*Q2857:Q2887*Skills!F2:F32))</f>
        <v/>
      </c>
    </row>
    <row r="2894">
      <c r="A2894" t="inlineStr">
        <is>
          <t>Arrow Stream Casts Per Second</t>
        </is>
      </c>
      <c r="B2894">
        <f>MAX(0,B2892-B2893)</f>
        <v/>
      </c>
    </row>
    <row r="2895">
      <c r="A2895" t="inlineStr">
        <is>
          <t>Global Critical Damage Bonus % (Sharp Eyes + Concentration)</t>
        </is>
      </c>
      <c r="B2895">
        <f>(C2873=TRUE)*F2873*IF(AND(Inputs!$B$38&lt;&gt;"pvp",Inputs!$B$43&gt;0),(((R2873-1)*MIN((Skills!T18*(1+Inputs!$B$34/100)),(1/Q2873))+MIN((Skills!T18*(1+Inputs!$B$34/100)),MAX(0,Inputs!$B$43-((R2873-1)*(1/Q2873)))))/Inputs!$B$43),IF(Inputs!$B$38="pvp",MIN((Skills!T18*(1+Inputs!$B$34/100)),15)/15,MIN(1,(Skills!T18*(1+Inputs!$B$34/100))/(1/Q2873))))+(C2874=TRUE)*7*F2874</f>
        <v/>
      </c>
    </row>
    <row r="2896">
      <c r="A2896" t="inlineStr">
        <is>
          <t>Global Final Damage Bonus % (Mortal Blow)</t>
        </is>
      </c>
      <c r="B2896">
        <f>(C2875=TRUE)*F2875</f>
        <v/>
      </c>
    </row>
    <row r="2897">
      <c r="A2897" t="inlineStr">
        <is>
          <t>Buff-Casting Startup Delay (s, fixed-duration only)</t>
        </is>
      </c>
      <c r="B2897">
        <f>IF(AND(Inputs!$B$38&lt;&gt;"pvp",Inputs!$B$43&gt;0),SUMPRODUCT((Skills!T2:T32&gt;0)*(Skills!E2:E32=TRUE)*(C2857:C2887=TRUE))/B2892,0)</f>
        <v/>
      </c>
    </row>
    <row r="2898">
      <c r="A2898" t="inlineStr">
        <is>
          <t>Boss-Only Total DPS (this block's swept value)</t>
        </is>
      </c>
      <c r="B2898">
        <f>SUM(T2857:T2887)</f>
        <v/>
      </c>
    </row>
    <row r="2899">
      <c r="A2899" t="inlineStr">
        <is>
          <t>Normal-Only Total DPS (this block's swept value)</t>
        </is>
      </c>
      <c r="B2899">
        <f>SUM(V2857:V2887)</f>
        <v/>
      </c>
    </row>
    <row r="2900">
      <c r="A2900" s="6" t="inlineStr">
        <is>
          <t>TOTAL DPS</t>
        </is>
      </c>
      <c r="B2900" s="6">
        <f>SUM(O2857:O2887)</f>
        <v/>
      </c>
    </row>
    <row r="2903">
      <c r="A2903" s="6" t="inlineStr">
        <is>
          <t>Stat: Reindeer's Spear (Equip)</t>
        </is>
      </c>
    </row>
    <row r="2904">
      <c r="A2904" s="5" t="inlineStr">
        <is>
          <t>Key</t>
        </is>
      </c>
      <c r="B2904" s="5" t="inlineStr">
        <is>
          <t>Name</t>
        </is>
      </c>
      <c r="C2904" s="5" t="inlineStr">
        <is>
          <t>Unlocked</t>
        </is>
      </c>
      <c r="D2904" s="5" t="inlineStr">
        <is>
          <t>InputLevel</t>
        </is>
      </c>
      <c r="E2904" s="5" t="inlineStr">
        <is>
          <t>Factor</t>
        </is>
      </c>
      <c r="F2904" s="5" t="inlineStr">
        <is>
          <t>CoefficientPercent</t>
        </is>
      </c>
      <c r="G2904" s="5" t="inlineStr">
        <is>
          <t>EffectiveHits</t>
        </is>
      </c>
      <c r="H2904" s="5" t="inlineStr">
        <is>
          <t>ProcProbability</t>
        </is>
      </c>
      <c r="I2904" s="5" t="inlineStr">
        <is>
          <t>MapleHeroMultiplier</t>
        </is>
      </c>
      <c r="J2904" s="5" t="inlineStr">
        <is>
          <t>BaseDamage</t>
        </is>
      </c>
      <c r="K2904" s="5" t="inlineStr">
        <is>
          <t>BaseHitDamage</t>
        </is>
      </c>
      <c r="L2904" s="5" t="inlineStr">
        <is>
          <t>NonCritAvg</t>
        </is>
      </c>
      <c r="M2904" s="5" t="inlineStr">
        <is>
          <t>CritAvg</t>
        </is>
      </c>
      <c r="N2904" s="5" t="inlineStr">
        <is>
          <t>ExpectedDamage(perHit)</t>
        </is>
      </c>
      <c r="O2904" s="5" t="inlineStr">
        <is>
          <t>DPS</t>
        </is>
      </c>
      <c r="P2904" s="5" t="inlineStr">
        <is>
          <t>% of Total</t>
        </is>
      </c>
      <c r="Q2904" s="5" t="inlineStr">
        <is>
          <t>InvCooldown</t>
        </is>
      </c>
      <c r="R2904" s="5" t="inlineStr">
        <is>
          <t>CastsInFight</t>
        </is>
      </c>
      <c r="S2904" s="5" t="inlineStr">
        <is>
          <t>HitRate(perSec)</t>
        </is>
      </c>
      <c r="U2904" t="inlineStr">
        <is>
          <t>helpers</t>
        </is>
      </c>
    </row>
    <row r="2905">
      <c r="A2905">
        <f>Skills!A2</f>
        <v/>
      </c>
      <c r="B2905">
        <f>Skills!B2</f>
        <v/>
      </c>
      <c r="C2905">
        <f>Inputs!$B$3&gt;=100</f>
        <v/>
      </c>
      <c r="D2905" t="inlineStr"/>
      <c r="E2905" t="inlineStr"/>
      <c r="F2905">
        <f>U2907+Skills!O2</f>
        <v/>
      </c>
      <c r="G2905">
        <f>Skills!G2*IF(Skills!H2&gt;0,INT(IF(Inputs!$B$38="pvp",MIN(Skills!I2,15),Skills!I2)/Skills!H2+0.000000001),1)</f>
        <v/>
      </c>
      <c r="H2905">
        <f>1-(1-Skills!J2/100)^Skills!K2</f>
        <v/>
      </c>
      <c r="I2905" t="inlineStr">
        <is>
          <t>1</t>
        </is>
      </c>
      <c r="J2905">
        <f>((Inputs!$B$6*(1+Inputs!$B$7/100))+(((Inputs!$B$12*(1+Inputs!$B$13/100))-(Inputs!$B$12*(1+Inputs!$B$13/100)))+0.25*(Inputs!$B$14-Inputs!$B$14))*(1+Inputs!$B$7/100))*(F2905/100)</f>
        <v/>
      </c>
      <c r="K2905">
        <f>J2905*(1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2929=TRUE)*(F2929-Calc!F26)),(Inputs!$B$23+((C2934=TRUE)*(F2934-Calc!F31))+(IF(ArtifactsInput!$M$15,CHOOSE(ArtifactsInput!$N$15+1,25,30,35,40,45,50)/100*(Inputs!$B$11-Inputs!$B$11),0))))/100+(Inputs!$B$23+((C2934=TRUE)*(F2934-Calc!F31))+(IF(ArtifactsInput!$M$15,CHOOSE(ArtifactsInput!$N$15+1,25,30,35,40,45,50)/100*(Inputs!$B$11-Inputs!$B$11),0)))/100)/2</f>
        <v/>
      </c>
      <c r="M2905">
        <f>L2905*(1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IF(B2948=0,0,O2905/B2948)</f>
        <v/>
      </c>
      <c r="Q2905" t="n">
        <v>0</v>
      </c>
      <c r="R2905" t="n">
        <v>0</v>
      </c>
      <c r="S2905">
        <f>IFERROR(O2905/N2905,0)</f>
        <v/>
      </c>
      <c r="T2905">
        <f>IF(C2905,(Skills!G2*N2905*B2942)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MAX(0,(Inputs!$B$3-100)*3)+Inputs!$B$28+Inputs!$B$29</f>
        <v/>
      </c>
      <c r="V2905">
        <f>IF(C2905,(Skills!G2*N2905*B2942)*IF(Inputs!$B$38="pvp",1,(1+(Inputs!$B$21+Skills!Q2+(IF(ArtifactsInput!$M$33,CHOOSE(ArtifactsInput!$N$33+1,30,36,42,48,54,60),0))+(IF(AND(ArtifactsInput!$M$35,Inputs!$B$4&lt;&gt;"Chapter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Skills!A3</f>
        <v/>
      </c>
      <c r="B2906">
        <f>Skills!B3</f>
        <v/>
      </c>
      <c r="C2906">
        <f>Inputs!$B$3&gt;=50</f>
        <v/>
      </c>
      <c r="D2906">
        <f>IF(Skills!C3=1,60+Inputs!$B$25+Inputs!$B$29,IF(Skills!C3=2,90+Inputs!$B$26+Inputs!$B$29,IF(Skills!C3=3,120+Inputs!$B$27+Inputs!$B$29,MAX(0,(Inputs!$B$3-100)*3)+Inputs!$B$28+Inputs!$B$29)))</f>
        <v/>
      </c>
      <c r="E2906">
        <f>INDEX(FactorTable!$B$2:$Y$301, MATCH(ROUND(MIN(300,MAX(1,D2906)),0), FactorTable!$A$2:$A$301,0), Skills!M3+1)</f>
        <v/>
      </c>
      <c r="F2906">
        <f>IF(Skills!N3=TRUE,(Skills!L3/10)*(E2906/1000),Skills!L3/10)+Skills!O3</f>
        <v/>
      </c>
      <c r="G2906">
        <f>Skills!G3*IF(Skills!H3&gt;0,INT(IF(Inputs!$B$38="pvp",MIN(Skills!I3,15),Skills!I3)/Skills!H3+0.000000001),1)</f>
        <v/>
      </c>
      <c r="H2906">
        <f>1-(1-Skills!J3/100)^Skills!K3</f>
        <v/>
      </c>
      <c r="I2906" t="inlineStr">
        <is>
          <t>1</t>
        </is>
      </c>
      <c r="J2906">
        <f>((Inputs!$B$6*(1+Inputs!$B$7/100))+(((Inputs!$B$12*(1+Inputs!$B$13/100))-(Inputs!$B$12*(1+Inputs!$B$13/100)))+0.25*(Inputs!$B$14-Inputs!$B$14))*(1+Inputs!$B$7/100))*(F2906/100)</f>
        <v/>
      </c>
      <c r="K2906">
        <f>J2906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2907=TRUE,F2907,0)/100)*(1+(IF(Skills!A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2929=TRUE)*(F2929-Calc!F26)),(Inputs!$B$23+((C2934=TRUE)*(F2934-Calc!F31))+(IF(ArtifactsInput!$M$15,CHOOSE(ArtifactsInput!$N$15+1,25,30,35,40,45,50)/100*(Inputs!$B$11-Inputs!$B$11),0))))/100+(Inputs!$B$23+((C2934=TRUE)*(F2934-Calc!F31))+(IF(ArtifactsInput!$M$15,CHOOSE(ArtifactsInput!$N$15+1,25,30,35,40,45,50)/100*(Inputs!$B$11-Inputs!$B$11),0)))/100)/2</f>
        <v/>
      </c>
      <c r="M2906">
        <f>L2906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IF(B2948=0,0,O2906/B2948)</f>
        <v/>
      </c>
      <c r="Q2906">
        <f>IFERROR(1/(IF(Inputs!$B$38="pvp",15,MAX(0.1,1/B2940-IF(FALSE=TRUE,Inputs!$B$32,0)))*(1-IF(AND(ArtifactsInput!$M$27,Inputs!$B$4="Chapter Hunt"),CHOOSE(ArtifactsInput!$N$27+1,20,24,28,32,36,40),0)/100)),0)</f>
        <v/>
      </c>
      <c r="R2906">
        <f>IF(AND(Inputs!$B$38&lt;&gt;"pvp",Inputs!$B$43&gt;0),IF(MAX(0,Inputs!$B$43-B2945)&lt;=0,0,(INT(MAX(0,Inputs!$B$43-B2945)/(IF(Inputs!$B$38="pvp",15,MAX(0.1,1/B2940-IF(FALSE=TRUE,Inputs!$B$32,0)))*(1-IF(AND(ArtifactsInput!$M$27,Inputs!$B$4="Chapter Hunt"),CHOOSE(ArtifactsInput!$N$27+1,20,24,28,32,36,40),0)/100)))+1)),0)</f>
        <v/>
      </c>
      <c r="S2906">
        <f>IFERROR(O2906/N2906,0)</f>
        <v/>
      </c>
      <c r="T2906">
        <f>IF(C2906,(H2906*N2906*IF(AND(Inputs!$B$38&lt;&gt;"pvp",Inputs!$B$43&gt;0),((Skills!G3*((R2906-1)*IF(Skills!H3&gt;0,INT(Skills!I3/Skills!H3+0.000000001),1)+IF(Skills!H3&gt;0,INT(MIN(Skills!I3,MAX(0,MAX(0,Inputs!$B$43-B2945)-((R2906-1)*(IF(Inputs!$B$38="pvp",15,MAX(0.1,1/B2940-IF(FALSE=TRUE,Inputs!$B$32,0)))*(1-IF(AND(ArtifactsInput!$M$27,Inputs!$B$4="Chapter Hunt"),CHOOSE(ArtifactsInput!$N$27+1,20,24,28,32,36,40),0)/100)))))/Skills!H3+0.000000001),1)))/Inputs!$B$43),G2906*Q2906)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6">
        <f>INDEX(FactorTable!$B$2:$Y$301, MATCH(ROUND(MIN(300,MAX(1,U2905)),0), FactorTable!$A$2:$A$301,0), 22)</f>
        <v/>
      </c>
      <c r="V2906">
        <f>IF(C2906,(H2906*N2906*IF(AND(Inputs!$B$38&lt;&gt;"pvp",Inputs!$B$43&gt;0),((Skills!G3*((R2906-1)*IF(Skills!H3&gt;0,INT(Skills!I3/Skills!H3+0.000000001),1)+IF(Skills!H3&gt;0,INT(MIN(Skills!I3,MAX(0,MAX(0,Inputs!$B$43-B2945)-((R2906-1)*(IF(Inputs!$B$38="pvp",15,MAX(0.1,1/B2940-IF(FALSE=TRUE,Inputs!$B$32,0)))*(1-IF(AND(ArtifactsInput!$M$27,Inputs!$B$4="Chapter Hunt"),CHOOSE(ArtifactsInput!$N$27+1,20,24,28,32,36,40),0)/100)))))/Skills!H3+0.000000001),1)))/Inputs!$B$43),G2906*Q2906))*IF(Inputs!$B$38="pvp",1,(1+(Inputs!$B$21+Skills!Q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Skills!A4</f>
        <v/>
      </c>
      <c r="B2907">
        <f>Skills!B4</f>
        <v/>
      </c>
      <c r="C2907">
        <f>Inputs!$B$3&gt;=105</f>
        <v/>
      </c>
      <c r="D2907">
        <f>IF(Skills!C4=1,60+Inputs!$B$25+Inputs!$B$29,IF(Skills!C4=2,90+Inputs!$B$26+Inputs!$B$29,IF(Skills!C4=3,120+Inputs!$B$27+Inputs!$B$29,MAX(0,(Inputs!$B$3-100)*3)+Inputs!$B$28+Inputs!$B$29)))</f>
        <v/>
      </c>
      <c r="E2907">
        <f>INDEX(FactorTable!$B$2:$Y$301, MATCH(ROUND(MIN(300,MAX(1,D2907)),0), FactorTable!$A$2:$A$301,0), Skills!M4+1)</f>
        <v/>
      </c>
      <c r="F2907">
        <f>IF(Skills!N4=TRUE,(Skills!L4/10)*(E2907/1000),Skills!L4/10)+Skills!O4</f>
        <v/>
      </c>
      <c r="G2907" t="inlineStr"/>
      <c r="H2907" t="inlineStr"/>
      <c r="I2907" t="inlineStr">
        <is>
          <t>1</t>
        </is>
      </c>
      <c r="J2907" t="inlineStr"/>
      <c r="K2907" t="inlineStr"/>
      <c r="L2907" t="inlineStr"/>
      <c r="M2907" t="inlineStr"/>
      <c r="N2907" t="inlineStr"/>
      <c r="O2907" t="inlineStr"/>
      <c r="P2907" t="inlineStr"/>
      <c r="Q2907" t="inlineStr"/>
      <c r="R2907" t="inlineStr"/>
      <c r="S2907" t="inlineStr"/>
      <c r="T2907" t="inlineStr"/>
      <c r="U2907">
        <f>290*U2906/1000</f>
        <v/>
      </c>
      <c r="V2907" t="inlineStr"/>
    </row>
    <row r="2908">
      <c r="A2908">
        <f>Skills!A5</f>
        <v/>
      </c>
      <c r="B2908">
        <f>Skills!B5</f>
        <v/>
      </c>
      <c r="C2908">
        <f>Inputs!$B$3&gt;=35</f>
        <v/>
      </c>
      <c r="D2908">
        <f>IF(Skills!C5=1,60+Inputs!$B$25+Inputs!$B$29,IF(Skills!C5=2,90+Inputs!$B$26+Inputs!$B$29,IF(Skills!C5=3,120+Inputs!$B$27+Inputs!$B$29,MAX(0,(Inputs!$B$3-100)*3)+Inputs!$B$28+Inputs!$B$29)))</f>
        <v/>
      </c>
      <c r="E2908">
        <f>INDEX(FactorTable!$B$2:$Y$301, MATCH(ROUND(MIN(300,MAX(1,D2908)),0), FactorTable!$A$2:$A$301,0), Skills!M5+1)</f>
        <v/>
      </c>
      <c r="F2908">
        <f>IF(Skills!N5=TRUE,(Skills!L5/10)*(E2908/1000),Skills!L5/10)+Skills!O5</f>
        <v/>
      </c>
      <c r="G2908">
        <f>Skills!G5*IF(Skills!H5&gt;0,INT(IF(Inputs!$B$38="pvp",MIN(Skills!I5,15),Skills!I5)/Skills!H5+0.000000001),1)</f>
        <v/>
      </c>
      <c r="H2908">
        <f>1-(1-Skills!J5/100)^Skills!K5</f>
        <v/>
      </c>
      <c r="I2908" t="inlineStr">
        <is>
          <t>1</t>
        </is>
      </c>
      <c r="J2908">
        <f>((Inputs!$B$6*(1+Inputs!$B$7/100))+(((Inputs!$B$12*(1+Inputs!$B$13/100))-(Inputs!$B$12*(1+Inputs!$B$13/100)))+0.25*(Inputs!$B$14-Inputs!$B$14))*(1+Inputs!$B$7/100))*(F2908/100)</f>
        <v/>
      </c>
      <c r="K2908">
        <f>J2908*(1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2915=TRUE,F2915,0)/100)*(1+(IF(Skills!A5="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2929=TRUE)*(F2929-Calc!F26)),(Inputs!$B$23+((C2934=TRUE)*(F2934-Calc!F31))+(IF(ArtifactsInput!$M$15,CHOOSE(ArtifactsInput!$N$15+1,25,30,35,40,45,50)/100*(Inputs!$B$11-Inputs!$B$11),0))))/100+(Inputs!$B$23+((C2934=TRUE)*(F2934-Calc!F31))+(IF(ArtifactsInput!$M$15,CHOOSE(ArtifactsInput!$N$15+1,25,30,35,40,45,50)/100*(Inputs!$B$11-Inputs!$B$11),0)))/100)/2</f>
        <v/>
      </c>
      <c r="M2908">
        <f>L2908*(1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IF(B2948=0,0,O2908/B2948)</f>
        <v/>
      </c>
      <c r="Q2908">
        <f>IFERROR(1/(IF(Inputs!$B$38="pvp",15,MAX(0.1,Skills!D5-IF(TRUE=TRUE,Inputs!$B$32,0)))*(1-IF(AND(ArtifactsInput!$M$27,Inputs!$B$4="Chapter Hunt"),CHOOSE(ArtifactsInput!$N$27+1,20,24,28,32,36,40),0)/100)),0)</f>
        <v/>
      </c>
      <c r="R2908">
        <f>IF(AND(Inputs!$B$38&lt;&gt;"pvp",Inputs!$B$43&gt;0),IF(MAX(0,Inputs!$B$43-B2945)&lt;=0,0,(INT(MAX(0,Inputs!$B$43-B2945)/(IF(Inputs!$B$38="pvp",15,MAX(0.1,Skills!D5-IF(TRUE=TRUE,Inputs!$B$32,0)))*(1-IF(AND(ArtifactsInput!$M$27,Inputs!$B$4="Chapter Hunt"),CHOOSE(ArtifactsInput!$N$27+1,20,24,28,32,36,40),0)/100)))+1)),0)</f>
        <v/>
      </c>
      <c r="S2908">
        <f>IFERROR(O2908/N2908,0)</f>
        <v/>
      </c>
      <c r="T2908">
        <f>IF(C2908,(H2908*N2908*IF(AND(Inputs!$B$38&lt;&gt;"pvp",Inputs!$B$43&gt;0),((Skills!G5*((R2908-1)*IF(Skills!H5&gt;0,INT(Skills!I5/Skills!H5+0.000000001),1)+IF(Skills!H5&gt;0,INT(MIN(Skills!I5,MAX(0,MAX(0,Inputs!$B$43-B2945)-((R2908-1)*(IF(Inputs!$B$38="pvp",15,MAX(0.1,Skills!D5-IF(TRUE=TRUE,Inputs!$B$32,0)))*(1-IF(AND(ArtifactsInput!$M$27,Inputs!$B$4="Chapter Hunt"),CHOOSE(ArtifactsInput!$N$27+1,20,24,28,32,36,40),0)/100)))))/Skills!H5+0.000000001),1)))/Inputs!$B$43),G2908*Q2908)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5*((R2908-1)*IF(Skills!H5&gt;0,INT(Skills!I5/Skills!H5+0.000000001),1)+IF(Skills!H5&gt;0,INT(MIN(Skills!I5,MAX(0,MAX(0,Inputs!$B$43-B2945)-((R2908-1)*(IF(Inputs!$B$38="pvp",15,MAX(0.1,Skills!D5-IF(TRUE=TRUE,Inputs!$B$32,0)))*(1-IF(AND(ArtifactsInput!$M$27,Inputs!$B$4="Chapter Hunt"),CHOOSE(ArtifactsInput!$N$27+1,20,24,28,32,36,40),0)/100)))))/Skills!H5+0.000000001),1)))/Inputs!$B$43),G2908*Q2908))*IF(Inputs!$B$38="pvp",1,(1+(Inputs!$B$21+Skills!Q5+(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Skills!A6</f>
        <v/>
      </c>
      <c r="B2909">
        <f>Skills!B6</f>
        <v/>
      </c>
      <c r="C2909">
        <f>Inputs!$B$3&gt;=40</f>
        <v/>
      </c>
      <c r="D2909">
        <f>IF(Skills!C6=1,60+Inputs!$B$25+Inputs!$B$29,IF(Skills!C6=2,90+Inputs!$B$26+Inputs!$B$29,IF(Skills!C6=3,120+Inputs!$B$27+Inputs!$B$29,MAX(0,(Inputs!$B$3-100)*3)+Inputs!$B$28+Inputs!$B$29)))</f>
        <v/>
      </c>
      <c r="E2909">
        <f>INDEX(FactorTable!$B$2:$Y$301, MATCH(ROUND(MIN(300,MAX(1,D2909)),0), FactorTable!$A$2:$A$301,0), Skills!M6+1)</f>
        <v/>
      </c>
      <c r="F2909">
        <f>IF(Skills!N6=TRUE,(Skills!L6/10)*(E2909/1000),Skills!L6/10)+Skills!O6</f>
        <v/>
      </c>
      <c r="G2909">
        <f>Skills!G6*IF(Skills!H6&gt;0,INT(IF(Inputs!$B$38="pvp",MIN(Skills!I6,15),Skills!I6)/Skills!H6+0.000000001),1)</f>
        <v/>
      </c>
      <c r="H2909">
        <f>1-(1-Skills!J6/100)^Skills!K6</f>
        <v/>
      </c>
      <c r="I2909" t="inlineStr">
        <is>
          <t>1</t>
        </is>
      </c>
      <c r="J2909">
        <f>((Inputs!$B$6*(1+Inputs!$B$7/100))+(((Inputs!$B$12*(1+Inputs!$B$13/100))-(Inputs!$B$12*(1+Inputs!$B$13/100)))+0.25*(Inputs!$B$14-Inputs!$B$14))*(1+Inputs!$B$7/100))*(F2909/100)</f>
        <v/>
      </c>
      <c r="K2909">
        <f>J2909*(1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2910=TRUE,F2910,0)/100)*(1+(IF(Skills!A6="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2929=TRUE)*(F2929-Calc!F26)),(Inputs!$B$23+((C2934=TRUE)*(F2934-Calc!F31))+(IF(ArtifactsInput!$M$15,CHOOSE(ArtifactsInput!$N$15+1,25,30,35,40,45,50)/100*(Inputs!$B$11-Inputs!$B$11),0))))/100+(Inputs!$B$23+((C2934=TRUE)*(F2934-Calc!F31))+(IF(ArtifactsInput!$M$15,CHOOSE(ArtifactsInput!$N$15+1,25,30,35,40,45,50)/100*(Inputs!$B$11-Inputs!$B$11),0)))/100)/2</f>
        <v/>
      </c>
      <c r="M2909">
        <f>L2909*(1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IF(B2948=0,0,O2909/B2948)</f>
        <v/>
      </c>
      <c r="Q2909">
        <f>IFERROR(1/(IF(Inputs!$B$38="pvp",15,MAX(0.1,1-0.4*MIN(1,(B2940-1)/1.5)-IF(FALSE=TRUE,Inputs!$B$32,0)))*(1-IF(AND(ArtifactsInput!$M$27,Inputs!$B$4="Chapter Hunt"),CHOOSE(ArtifactsInput!$N$27+1,20,24,28,32,36,40),0)/100)),0)</f>
        <v/>
      </c>
      <c r="R2909">
        <f>IF(AND(Inputs!$B$38&lt;&gt;"pvp",Inputs!$B$43&gt;0),IF(MAX(0,Inputs!$B$43-B2945)&lt;=0,0,(INT(MAX(0,Inputs!$B$43-B2945)/(IF(Inputs!$B$38="pvp",15,MAX(0.1,1-0.4*MIN(1,(B2940-1)/1.5)-IF(FALSE=TRUE,Inputs!$B$32,0)))*(1-IF(AND(ArtifactsInput!$M$27,Inputs!$B$4="Chapter Hunt"),CHOOSE(ArtifactsInput!$N$27+1,20,24,28,32,36,40),0)/100)))+1)),0)</f>
        <v/>
      </c>
      <c r="S2909">
        <f>IFERROR(O2909/N2909,0)</f>
        <v/>
      </c>
      <c r="T2909">
        <f>IF(C2909,(H2909*N2909*IF(AND(Inputs!$B$38&lt;&gt;"pvp",Inputs!$B$43&gt;0),((Skills!G6*((R2909-1)*IF(Skills!H6&gt;0,INT(Skills!I6/Skills!H6+0.000000001),1)+IF(Skills!H6&gt;0,INT(MIN(Skills!I6,MAX(0,MAX(0,Inputs!$B$43-B2945)-((R2909-1)*(IF(Inputs!$B$38="pvp",15,MAX(0.1,1-0.4*MIN(1,(B2940-1)/1.5)-IF(FALSE=TRUE,Inputs!$B$32,0)))*(1-IF(AND(ArtifactsInput!$M$27,Inputs!$B$4="Chapter Hunt"),CHOOSE(ArtifactsInput!$N$27+1,20,24,28,32,36,40),0)/100)))))/Skills!H6+0.000000001),1)))/Inputs!$B$43),G2909*Q2909)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6*((R2909-1)*IF(Skills!H6&gt;0,INT(Skills!I6/Skills!H6+0.000000001),1)+IF(Skills!H6&gt;0,INT(MIN(Skills!I6,MAX(0,MAX(0,Inputs!$B$43-B2945)-((R2909-1)*(IF(Inputs!$B$38="pvp",15,MAX(0.1,1-0.4*MIN(1,(B2940-1)/1.5)-IF(FALSE=TRUE,Inputs!$B$32,0)))*(1-IF(AND(ArtifactsInput!$M$27,Inputs!$B$4="Chapter Hunt"),CHOOSE(ArtifactsInput!$N$27+1,20,24,28,32,36,40),0)/100)))))/Skills!H6+0.000000001),1)))/Inputs!$B$43),G2909*Q2909))*IF(Inputs!$B$38="pvp",1,(1+(Inputs!$B$21+Skills!Q6+(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Skills!A7</f>
        <v/>
      </c>
      <c r="B2910">
        <f>Skills!B7</f>
        <v/>
      </c>
      <c r="C2910">
        <f>Inputs!$B$3&gt;=107</f>
        <v/>
      </c>
      <c r="D2910">
        <f>IF(Skills!C7=1,60+Inputs!$B$25+Inputs!$B$29,IF(Skills!C7=2,90+Inputs!$B$26+Inputs!$B$29,IF(Skills!C7=3,120+Inputs!$B$27+Inputs!$B$29,MAX(0,(Inputs!$B$3-100)*3)+Inputs!$B$28+Inputs!$B$29)))</f>
        <v/>
      </c>
      <c r="E2910">
        <f>INDEX(FactorTable!$B$2:$Y$301, MATCH(ROUND(MIN(300,MAX(1,D2910)),0), FactorTable!$A$2:$A$301,0), Skills!M7+1)</f>
        <v/>
      </c>
      <c r="F2910">
        <f>IF(Skills!N7=TRUE,(Skills!L7/10)*(E2910/1000),Skills!L7/10)+Skills!O7</f>
        <v/>
      </c>
      <c r="G2910" t="inlineStr"/>
      <c r="H2910" t="inlineStr"/>
      <c r="I2910" t="inlineStr">
        <is>
          <t>1</t>
        </is>
      </c>
      <c r="J2910" t="inlineStr"/>
      <c r="K2910" t="inlineStr"/>
      <c r="L2910" t="inlineStr"/>
      <c r="M2910" t="inlineStr"/>
      <c r="N2910" t="inlineStr"/>
      <c r="O2910" t="inlineStr"/>
      <c r="P2910" t="inlineStr"/>
      <c r="Q2910" t="inlineStr"/>
      <c r="R2910" t="inlineStr"/>
      <c r="S2910" t="inlineStr"/>
      <c r="T2910" t="inlineStr"/>
      <c r="V2910" t="inlineStr"/>
    </row>
    <row r="2911">
      <c r="A2911">
        <f>Skills!A8</f>
        <v/>
      </c>
      <c r="B2911">
        <f>Skills!B8</f>
        <v/>
      </c>
      <c r="C2911">
        <f>Inputs!$B$3&gt;=130</f>
        <v/>
      </c>
      <c r="D2911">
        <f>IF(Skills!C8=1,60+Inputs!$B$25+Inputs!$B$29,IF(Skills!C8=2,90+Inputs!$B$26+Inputs!$B$29,IF(Skills!C8=3,120+Inputs!$B$27+Inputs!$B$29,MAX(0,(Inputs!$B$3-100)*3)+Inputs!$B$28+Inputs!$B$29)))</f>
        <v/>
      </c>
      <c r="E2911">
        <f>INDEX(FactorTable!$B$2:$Y$301, MATCH(ROUND(MIN(300,MAX(1,D2911)),0), FactorTable!$A$2:$A$301,0), Skills!M8+1)</f>
        <v/>
      </c>
      <c r="F2911">
        <f>IF(Skills!N8=TRUE,(Skills!L8/10)*(E2911/1000),Skills!L8/10)+Skills!O8</f>
        <v/>
      </c>
      <c r="G2911">
        <f>Skills!G8*IF(Skills!H8&gt;0,INT(IF(Inputs!$B$38="pvp",MIN(Skills!I8,15),Skills!I8)/Skills!H8+0.000000001),1)</f>
        <v/>
      </c>
      <c r="H2911">
        <f>1-(1-Skills!J8/100)^Skills!K8</f>
        <v/>
      </c>
      <c r="I2911" t="inlineStr">
        <is>
          <t>1</t>
        </is>
      </c>
      <c r="J2911">
        <f>((Inputs!$B$6*(1+Inputs!$B$7/100))+(((Inputs!$B$12*(1+Inputs!$B$13/100))-(Inputs!$B$12*(1+Inputs!$B$13/100)))+0.25*(Inputs!$B$14-Inputs!$B$14))*(1+Inputs!$B$7/100))*(F2911/100)</f>
        <v/>
      </c>
      <c r="K2911">
        <f>J2911*(1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2929=TRUE)*(F2929-Calc!F26)),(Inputs!$B$23+((C2934=TRUE)*(F2934-Calc!F31))+(IF(ArtifactsInput!$M$15,CHOOSE(ArtifactsInput!$N$15+1,25,30,35,40,45,50)/100*(Inputs!$B$11-Inputs!$B$11),0))))/100+(Inputs!$B$23+((C2934=TRUE)*(F2934-Calc!F31))+(IF(ArtifactsInput!$M$15,CHOOSE(ArtifactsInput!$N$15+1,25,30,35,40,45,50)/100*(Inputs!$B$11-Inputs!$B$11),0)))/100)/2</f>
        <v/>
      </c>
      <c r="M2911">
        <f>L2911*(1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IF(B2948=0,0,O2911/B2948)</f>
        <v/>
      </c>
      <c r="Q2911">
        <f>IFERROR(1/(IF(Inputs!$B$38="pvp",15,MAX(0.1,1-0.4*MIN(1,(B2940-1)/1.5)-IF(FALSE=TRUE,Inputs!$B$32,0)))*(1-IF(AND(ArtifactsInput!$M$27,Inputs!$B$4="Chapter Hunt"),CHOOSE(ArtifactsInput!$N$27+1,20,24,28,32,36,40),0)/100)),0)</f>
        <v/>
      </c>
      <c r="R2911">
        <f>IF(AND(Inputs!$B$38&lt;&gt;"pvp",Inputs!$B$43&gt;0),IF(MAX(0,Inputs!$B$43-B2945)&lt;=0,0,(INT(MAX(0,Inputs!$B$43-B2945)/(IF(Inputs!$B$38="pvp",15,MAX(0.1,1-0.4*MIN(1,(B2940-1)/1.5)-IF(FALSE=TRUE,Inputs!$B$32,0)))*(1-IF(AND(ArtifactsInput!$M$27,Inputs!$B$4="Chapter Hunt"),CHOOSE(ArtifactsInput!$N$27+1,20,24,28,32,36,40),0)/100)))+1)),0)</f>
        <v/>
      </c>
      <c r="S2911">
        <f>IFERROR(O2911/N2911,0)</f>
        <v/>
      </c>
      <c r="T2911">
        <f>IF(C2911,(H2911*N2911*IF(AND(Inputs!$B$38&lt;&gt;"pvp",Inputs!$B$43&gt;0),((Skills!G8*((R2911-1)*IF(Skills!H8&gt;0,INT(Skills!I8/Skills!H8+0.000000001),1)+IF(Skills!H8&gt;0,INT(MIN(Skills!I8,MAX(0,MAX(0,Inputs!$B$43-B2945)-((R2911-1)*(IF(Inputs!$B$38="pvp",15,MAX(0.1,1-0.4*MIN(1,(B2940-1)/1.5)-IF(FALSE=TRUE,Inputs!$B$32,0)))*(1-IF(AND(ArtifactsInput!$M$27,Inputs!$B$4="Chapter Hunt"),CHOOSE(ArtifactsInput!$N$27+1,20,24,28,32,36,40),0)/100)))))/Skills!H8+0.000000001),1)))/Inputs!$B$43),G2911*Q2911)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8*((R2911-1)*IF(Skills!H8&gt;0,INT(Skills!I8/Skills!H8+0.000000001),1)+IF(Skills!H8&gt;0,INT(MIN(Skills!I8,MAX(0,MAX(0,Inputs!$B$43-B2945)-((R2911-1)*(IF(Inputs!$B$38="pvp",15,MAX(0.1,1-0.4*MIN(1,(B2940-1)/1.5)-IF(FALSE=TRUE,Inputs!$B$32,0)))*(1-IF(AND(ArtifactsInput!$M$27,Inputs!$B$4="Chapter Hunt"),CHOOSE(ArtifactsInput!$N$27+1,20,24,28,32,36,40),0)/100)))))/Skills!H8+0.000000001),1)))/Inputs!$B$43),G2911*Q2911))*IF(Inputs!$B$38="pvp",1,(1+(Inputs!$B$21+Skills!Q8+(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Skills!A9</f>
        <v/>
      </c>
      <c r="B2912">
        <f>Skills!B9</f>
        <v/>
      </c>
      <c r="C2912">
        <f>Inputs!$B$3&gt;=69</f>
        <v/>
      </c>
      <c r="D2912">
        <f>IF(Skills!C9=1,60+Inputs!$B$25+Inputs!$B$29,IF(Skills!C9=2,90+Inputs!$B$26+Inputs!$B$29,IF(Skills!C9=3,120+Inputs!$B$27+Inputs!$B$29,MAX(0,(Inputs!$B$3-100)*3)+Inputs!$B$28+Inputs!$B$29)))</f>
        <v/>
      </c>
      <c r="E2912">
        <f>INDEX(FactorTable!$B$2:$Y$301, MATCH(ROUND(MIN(300,MAX(1,D2912)),0), FactorTable!$A$2:$A$301,0), Skills!M9+1)</f>
        <v/>
      </c>
      <c r="F2912">
        <f>IF(Skills!N9=TRUE,(Skills!L9/10)*(E2912/1000),Skills!L9/10)+Skills!O9</f>
        <v/>
      </c>
      <c r="G2912">
        <f>Skills!G9*IF(Skills!H9&gt;0,INT(IF(Inputs!$B$38="pvp",MIN(Skills!I9,15),Skills!I9)/Skills!H9+0.000000001),1)</f>
        <v/>
      </c>
      <c r="H2912">
        <f>1-(1-Skills!J9/100)^Skills!K9</f>
        <v/>
      </c>
      <c r="I2912" t="inlineStr">
        <is>
          <t>1</t>
        </is>
      </c>
      <c r="J2912">
        <f>((Inputs!$B$6*(1+Inputs!$B$7/100))+(((Inputs!$B$12*(1+Inputs!$B$13/100))-(Inputs!$B$12*(1+Inputs!$B$13/100)))+0.25*(Inputs!$B$14-Inputs!$B$14))*(1+Inputs!$B$7/100))*(F2912/100)</f>
        <v/>
      </c>
      <c r="K2912">
        <f>J2912*(1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2915=TRUE,F2915,0)/100)*(1+(IF(Skills!A9="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2929=TRUE)*(F2929-Calc!F26)),(Inputs!$B$23+((C2934=TRUE)*(F2934-Calc!F31))+(IF(ArtifactsInput!$M$15,CHOOSE(ArtifactsInput!$N$15+1,25,30,35,40,45,50)/100*(Inputs!$B$11-Inputs!$B$11),0))))/100+(Inputs!$B$23+((C2934=TRUE)*(F2934-Calc!F31))+(IF(ArtifactsInput!$M$15,CHOOSE(ArtifactsInput!$N$15+1,25,30,35,40,45,50)/100*(Inputs!$B$11-Inputs!$B$11),0)))/100)/2</f>
        <v/>
      </c>
      <c r="M2912">
        <f>L2912*(1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IF(B2948=0,0,O2912/B2948)</f>
        <v/>
      </c>
      <c r="Q2912">
        <f>IFERROR(1/(IF(Inputs!$B$38="pvp",15,MAX(0.1,Skills!D9-IF(TRUE=TRUE,Inputs!$B$32,0)))*(1-IF(AND(ArtifactsInput!$M$27,Inputs!$B$4="Chapter Hunt"),CHOOSE(ArtifactsInput!$N$27+1,20,24,28,32,36,40),0)/100)),0)</f>
        <v/>
      </c>
      <c r="R2912">
        <f>IF(AND(Inputs!$B$38&lt;&gt;"pvp",Inputs!$B$43&gt;0),IF(MAX(0,Inputs!$B$43-B2945)&lt;=0,0,(INT(MAX(0,Inputs!$B$43-B2945)/(IF(Inputs!$B$38="pvp",15,MAX(0.1,Skills!D9-IF(TRUE=TRUE,Inputs!$B$32,0)))*(1-IF(AND(ArtifactsInput!$M$27,Inputs!$B$4="Chapter Hunt"),CHOOSE(ArtifactsInput!$N$27+1,20,24,28,32,36,40),0)/100)))+1)),0)</f>
        <v/>
      </c>
      <c r="S2912">
        <f>IFERROR(O2912/N2912,0)</f>
        <v/>
      </c>
      <c r="T2912">
        <f>IF(C2912,(H2912*N2912*IF(AND(Inputs!$B$38&lt;&gt;"pvp",Inputs!$B$43&gt;0),((Skills!G9*((R2912-1)*IF(Skills!H9&gt;0,INT(Skills!I9/Skills!H9+0.000000001),1)+IF(Skills!H9&gt;0,INT(MIN(Skills!I9,MAX(0,MAX(0,Inputs!$B$43-B2945)-((R2912-1)*(IF(Inputs!$B$38="pvp",15,MAX(0.1,Skills!D9-IF(TRUE=TRUE,Inputs!$B$32,0)))*(1-IF(AND(ArtifactsInput!$M$27,Inputs!$B$4="Chapter Hunt"),CHOOSE(ArtifactsInput!$N$27+1,20,24,28,32,36,40),0)/100)))))/Skills!H9+0.000000001),1)))/Inputs!$B$43),G2912*Q2912)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9*((R2912-1)*IF(Skills!H9&gt;0,INT(Skills!I9/Skills!H9+0.000000001),1)+IF(Skills!H9&gt;0,INT(MIN(Skills!I9,MAX(0,MAX(0,Inputs!$B$43-B2945)-((R2912-1)*(IF(Inputs!$B$38="pvp",15,MAX(0.1,Skills!D9-IF(TRUE=TRUE,Inputs!$B$32,0)))*(1-IF(AND(ArtifactsInput!$M$27,Inputs!$B$4="Chapter Hunt"),CHOOSE(ArtifactsInput!$N$27+1,20,24,28,32,36,40),0)/100)))))/Skills!H9+0.000000001),1)))/Inputs!$B$43),G2912*Q2912))*IF(Inputs!$B$38="pvp",1,(1+(Inputs!$B$21+Skills!Q9+(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Skills!A10</f>
        <v/>
      </c>
      <c r="B2913">
        <f>Skills!B10</f>
        <v/>
      </c>
      <c r="C2913">
        <f>Inputs!$B$3&gt;=63</f>
        <v/>
      </c>
      <c r="D2913">
        <f>IF(Skills!C10=1,60+Inputs!$B$25+Inputs!$B$29,IF(Skills!C10=2,90+Inputs!$B$26+Inputs!$B$29,IF(Skills!C10=3,120+Inputs!$B$27+Inputs!$B$29,MAX(0,(Inputs!$B$3-100)*3)+Inputs!$B$28+Inputs!$B$29)))</f>
        <v/>
      </c>
      <c r="E2913">
        <f>INDEX(FactorTable!$B$2:$Y$301, MATCH(ROUND(MIN(300,MAX(1,D2913)),0), FactorTable!$A$2:$A$301,0), Skills!M10+1)</f>
        <v/>
      </c>
      <c r="F2913">
        <f>IF(Skills!N10=TRUE,(Skills!L10/10)*(E2913/1000),Skills!L10/10)+Skills!O10</f>
        <v/>
      </c>
      <c r="G2913">
        <f>Skills!G10*IF(Skills!H10&gt;0,INT(IF(Inputs!$B$38="pvp",MIN(Skills!I10,15),Skills!I10)/Skills!H10+0.000000001),1)</f>
        <v/>
      </c>
      <c r="H2913">
        <f>1-(1-Skills!J10/100)^Skills!K10</f>
        <v/>
      </c>
      <c r="I2913" t="inlineStr">
        <is>
          <t>1</t>
        </is>
      </c>
      <c r="J2913">
        <f>((Inputs!$B$6*(1+Inputs!$B$7/100))+(((Inputs!$B$12*(1+Inputs!$B$13/100))-(Inputs!$B$12*(1+Inputs!$B$13/100)))+0.25*(Inputs!$B$14-Inputs!$B$14))*(1+Inputs!$B$7/100))*(F2913/100)</f>
        <v/>
      </c>
      <c r="K2913">
        <f>J2913*(1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2915=TRUE,F2915,0)/100)*(1+(IF(Skills!A10="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2929=TRUE)*(F2929-Calc!F26)),(Inputs!$B$23+((C2934=TRUE)*(F2934-Calc!F31))+(IF(ArtifactsInput!$M$15,CHOOSE(ArtifactsInput!$N$15+1,25,30,35,40,45,50)/100*(Inputs!$B$11-Inputs!$B$11),0))))/100+(Inputs!$B$23+((C2934=TRUE)*(F2934-Calc!F31))+(IF(ArtifactsInput!$M$15,CHOOSE(ArtifactsInput!$N$15+1,25,30,35,40,45,50)/100*(Inputs!$B$11-Inputs!$B$11),0)))/100)/2</f>
        <v/>
      </c>
      <c r="M2913">
        <f>L2913*(1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IF(B2948=0,0,O2913/B2948)</f>
        <v/>
      </c>
      <c r="Q2913">
        <f>IFERROR(1/(IF(Inputs!$B$38="pvp",15,MAX(0.1,Skills!D10-IF(TRUE=TRUE,Inputs!$B$32,0)))*(1-IF(AND(ArtifactsInput!$M$27,Inputs!$B$4="Chapter Hunt"),CHOOSE(ArtifactsInput!$N$27+1,20,24,28,32,36,40),0)/100)),0)</f>
        <v/>
      </c>
      <c r="R2913">
        <f>IF(AND(Inputs!$B$38&lt;&gt;"pvp",Inputs!$B$43&gt;0),IF(MAX(0,Inputs!$B$43-B2945)&lt;=0,0,(INT(MAX(0,Inputs!$B$43-B2945)/(IF(Inputs!$B$38="pvp",15,MAX(0.1,Skills!D10-IF(TRUE=TRUE,Inputs!$B$32,0)))*(1-IF(AND(ArtifactsInput!$M$27,Inputs!$B$4="Chapter Hunt"),CHOOSE(ArtifactsInput!$N$27+1,20,24,28,32,36,40),0)/100)))+1)),0)</f>
        <v/>
      </c>
      <c r="S2913">
        <f>IFERROR(O2913/N2913,0)</f>
        <v/>
      </c>
      <c r="T2913">
        <f>IF(C2913,(H2913*N2913*IF(AND(Inputs!$B$38&lt;&gt;"pvp",Inputs!$B$43&gt;0),((Skills!G10*((R2913-1)*IF(Skills!H10&gt;0,INT(Skills!I10/Skills!H10+0.000000001),1)+IF(Skills!H10&gt;0,INT(MIN(Skills!I10,MAX(0,MAX(0,Inputs!$B$43-B2945)-((R2913-1)*(IF(Inputs!$B$38="pvp",15,MAX(0.1,Skills!D10-IF(TRUE=TRUE,Inputs!$B$32,0)))*(1-IF(AND(ArtifactsInput!$M$27,Inputs!$B$4="Chapter Hunt"),CHOOSE(ArtifactsInput!$N$27+1,20,24,28,32,36,40),0)/100)))))/Skills!H10+0.000000001),1)))/Inputs!$B$43),G2913*Q2913)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10*((R2913-1)*IF(Skills!H10&gt;0,INT(Skills!I10/Skills!H10+0.000000001),1)+IF(Skills!H10&gt;0,INT(MIN(Skills!I10,MAX(0,MAX(0,Inputs!$B$43-B2945)-((R2913-1)*(IF(Inputs!$B$38="pvp",15,MAX(0.1,Skills!D10-IF(TRUE=TRUE,Inputs!$B$32,0)))*(1-IF(AND(ArtifactsInput!$M$27,Inputs!$B$4="Chapter Hunt"),CHOOSE(ArtifactsInput!$N$27+1,20,24,28,32,36,40),0)/100)))))/Skills!H10+0.000000001),1)))/Inputs!$B$43),G2913*Q2913))*IF(Inputs!$B$38="pvp",1,(1+(Inputs!$B$21+Skills!Q10+(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Skills!A11</f>
        <v/>
      </c>
      <c r="B2914">
        <f>Skills!B11</f>
        <v/>
      </c>
      <c r="C2914">
        <f>Inputs!$B$3&gt;=103</f>
        <v/>
      </c>
      <c r="D2914">
        <f>IF(Skills!C11=1,60+Inputs!$B$25+Inputs!$B$29,IF(Skills!C11=2,90+Inputs!$B$26+Inputs!$B$29,IF(Skills!C11=3,120+Inputs!$B$27+Inputs!$B$29,MAX(0,(Inputs!$B$3-100)*3)+Inputs!$B$28+Inputs!$B$29)))</f>
        <v/>
      </c>
      <c r="E2914">
        <f>INDEX(FactorTable!$B$2:$Y$301, MATCH(ROUND(MIN(300,MAX(1,D2914)),0), FactorTable!$A$2:$A$301,0), Skills!M11+1)</f>
        <v/>
      </c>
      <c r="F2914">
        <f>IF(Skills!N11=TRUE,(Skills!L11/10)*(E2914/1000),Skills!L11/10)+Skills!O11</f>
        <v/>
      </c>
      <c r="G2914">
        <f>Skills!G11*IF(Skills!H11&gt;0,INT(IF(Inputs!$B$38="pvp",MIN(Skills!I11,15),Skills!I11)/Skills!H11+0.000000001),1)</f>
        <v/>
      </c>
      <c r="H2914">
        <f>1-(1-Skills!J11/100)^Skills!K11</f>
        <v/>
      </c>
      <c r="I2914" t="inlineStr">
        <is>
          <t>1</t>
        </is>
      </c>
      <c r="J2914">
        <f>((Inputs!$B$6*(1+Inputs!$B$7/100))+(((Inputs!$B$12*(1+Inputs!$B$13/100))-(Inputs!$B$12*(1+Inputs!$B$13/100)))+0.25*(Inputs!$B$14-Inputs!$B$14))*(1+Inputs!$B$7/100))*(F2914/100)</f>
        <v/>
      </c>
      <c r="K2914">
        <f>J2914*(1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2929=TRUE)*(F2929-Calc!F26)),(Inputs!$B$23+((C2934=TRUE)*(F2934-Calc!F31))+(IF(ArtifactsInput!$M$15,CHOOSE(ArtifactsInput!$N$15+1,25,30,35,40,45,50)/100*(Inputs!$B$11-Inputs!$B$11),0))))/100+(Inputs!$B$23+((C2934=TRUE)*(F2934-Calc!F31))+(IF(ArtifactsInput!$M$15,CHOOSE(ArtifactsInput!$N$15+1,25,30,35,40,45,50)/100*(Inputs!$B$11-Inputs!$B$11),0)))/100)/2</f>
        <v/>
      </c>
      <c r="M2914">
        <f>L2914*(1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IF(B2948=0,0,O2914/B2948)</f>
        <v/>
      </c>
      <c r="Q2914">
        <f>IFERROR(1/(IF(Inputs!$B$38="pvp",15,MAX(0.1,Skills!D11-IF(TRUE=TRUE,Inputs!$B$32,0)))*(1-IF(AND(ArtifactsInput!$M$27,Inputs!$B$4="Chapter Hunt"),CHOOSE(ArtifactsInput!$N$27+1,20,24,28,32,36,40),0)/100)),0)</f>
        <v/>
      </c>
      <c r="R2914">
        <f>IF(AND(Inputs!$B$38&lt;&gt;"pvp",Inputs!$B$43&gt;0),IF(MAX(0,Inputs!$B$43-B2945)&lt;=0,0,(INT(MAX(0,Inputs!$B$43-B2945)/(IF(Inputs!$B$38="pvp",15,MAX(0.1,Skills!D11-IF(TRUE=TRUE,Inputs!$B$32,0)))*(1-IF(AND(ArtifactsInput!$M$27,Inputs!$B$4="Chapter Hunt"),CHOOSE(ArtifactsInput!$N$27+1,20,24,28,32,36,40),0)/100)))+1)),0)</f>
        <v/>
      </c>
      <c r="S2914">
        <f>IFERROR(O2914/N2914,0)</f>
        <v/>
      </c>
      <c r="T2914">
        <f>IF(C2914,(H2914*N2914*IF(AND(Inputs!$B$38&lt;&gt;"pvp",Inputs!$B$43&gt;0),((Skills!G11*((R2914-1)*IF(Skills!H11&gt;0,INT(Skills!I11/Skills!H11+0.000000001),1)+IF(Skills!H11&gt;0,INT(MIN(Skills!I11,MAX(0,MAX(0,Inputs!$B$43-B2945)-((R2914-1)*(IF(Inputs!$B$38="pvp",15,MAX(0.1,Skills!D11-IF(TRUE=TRUE,Inputs!$B$32,0)))*(1-IF(AND(ArtifactsInput!$M$27,Inputs!$B$4="Chapter Hunt"),CHOOSE(ArtifactsInput!$N$27+1,20,24,28,32,36,40),0)/100)))))/Skills!H11+0.000000001),1)))/Inputs!$B$43),G2914*Q2914)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11*((R2914-1)*IF(Skills!H11&gt;0,INT(Skills!I11/Skills!H11+0.000000001),1)+IF(Skills!H11&gt;0,INT(MIN(Skills!I11,MAX(0,MAX(0,Inputs!$B$43-B2945)-((R2914-1)*(IF(Inputs!$B$38="pvp",15,MAX(0.1,Skills!D11-IF(TRUE=TRUE,Inputs!$B$32,0)))*(1-IF(AND(ArtifactsInput!$M$27,Inputs!$B$4="Chapter Hunt"),CHOOSE(ArtifactsInput!$N$27+1,20,24,28,32,36,40),0)/100)))))/Skills!H11+0.000000001),1)))/Inputs!$B$43),G2914*Q2914))*IF(Inputs!$B$38="pvp",1,(1+(Inputs!$B$21+Skills!Q11+(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Skills!A12</f>
        <v/>
      </c>
      <c r="B2915">
        <f>Skills!B12</f>
        <v/>
      </c>
      <c r="C2915">
        <f>Inputs!$B$3&gt;=100</f>
        <v/>
      </c>
      <c r="D2915">
        <f>IF(Skills!C12=1,60+Inputs!$B$25+Inputs!$B$29,IF(Skills!C12=2,90+Inputs!$B$26+Inputs!$B$29,IF(Skills!C12=3,120+Inputs!$B$27+Inputs!$B$29,MAX(0,(Inputs!$B$3-100)*3)+Inputs!$B$28+Inputs!$B$29)))</f>
        <v/>
      </c>
      <c r="E2915">
        <f>INDEX(FactorTable!$B$2:$Y$301, MATCH(ROUND(MIN(300,MAX(1,D2915)),0), FactorTable!$A$2:$A$301,0), Skills!M12+1)</f>
        <v/>
      </c>
      <c r="F2915">
        <f>IF(Skills!N12=TRUE,(Skills!L12/10)*(E2915/1000),Skills!L12/10)+Skills!O12</f>
        <v/>
      </c>
      <c r="G2915" t="inlineStr"/>
      <c r="H2915" t="inlineStr"/>
      <c r="I2915" t="inlineStr">
        <is>
          <t>1</t>
        </is>
      </c>
      <c r="J2915" t="inlineStr"/>
      <c r="K2915" t="inlineStr"/>
      <c r="L2915" t="inlineStr"/>
      <c r="M2915" t="inlineStr"/>
      <c r="N2915" t="inlineStr"/>
      <c r="O2915" t="inlineStr"/>
      <c r="P2915" t="inlineStr"/>
      <c r="Q2915" t="inlineStr"/>
      <c r="R2915" t="inlineStr"/>
      <c r="S2915" t="inlineStr"/>
      <c r="T2915" t="inlineStr"/>
      <c r="V2915" t="inlineStr"/>
    </row>
    <row r="2916">
      <c r="A2916">
        <f>Skills!A13</f>
        <v/>
      </c>
      <c r="B2916">
        <f>Skills!B13</f>
        <v/>
      </c>
      <c r="C2916">
        <f>Inputs!$B$3&gt;=60</f>
        <v/>
      </c>
      <c r="D2916">
        <f>IF(Skills!C13=1,60+Inputs!$B$25+Inputs!$B$29,IF(Skills!C13=2,90+Inputs!$B$26+Inputs!$B$29,IF(Skills!C13=3,120+Inputs!$B$27+Inputs!$B$29,MAX(0,(Inputs!$B$3-100)*3)+Inputs!$B$28+Inputs!$B$29)))</f>
        <v/>
      </c>
      <c r="E2916">
        <f>INDEX(FactorTable!$B$2:$Y$301, MATCH(ROUND(MIN(300,MAX(1,D2916)),0), FactorTable!$A$2:$A$301,0), Skills!M13+1)</f>
        <v/>
      </c>
      <c r="F2916">
        <f>IF(Skills!N13=TRUE,(Skills!L13/10)*(E2916/1000),Skills!L13/10)+Skills!O13</f>
        <v/>
      </c>
      <c r="G2916">
        <f>Skills!G13*IF(Skills!H13&gt;0,INT(IF(Inputs!$B$38="pvp",MIN(Skills!I13,15),Skills!I13)/Skills!H13+0.000000001),1)</f>
        <v/>
      </c>
      <c r="H2916">
        <f>1-(1-Skills!J13/100)^Skills!K13</f>
        <v/>
      </c>
      <c r="I2916" t="inlineStr">
        <is>
          <t>1</t>
        </is>
      </c>
      <c r="J2916">
        <f>((Inputs!$B$6*(1+Inputs!$B$7/100))+(((Inputs!$B$12*(1+Inputs!$B$13/100))-(Inputs!$B$12*(1+Inputs!$B$13/100)))+0.25*(Inputs!$B$14-Inputs!$B$14))*(1+Inputs!$B$7/100))*(F2916/100)</f>
        <v/>
      </c>
      <c r="K2916">
        <f>J2916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2917=TRUE,F2917,0)/100)*(1+(IF(Skills!A13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C2929=TRUE)*(F2929-Calc!F26)),(Inputs!$B$23+((C2934=TRUE)*(F2934-Calc!F31))+(IF(ArtifactsInput!$M$15,CHOOSE(ArtifactsInput!$N$15+1,25,30,35,40,45,50)/100*(Inputs!$B$11-Inputs!$B$11),0))))/100+(Inputs!$B$23+((C2934=TRUE)*(F2934-Calc!F31))+(IF(ArtifactsInput!$M$15,CHOOSE(ArtifactsInput!$N$15+1,25,30,35,40,45,50)/100*(Inputs!$B$11-Inputs!$B$11),0)))/100)/2</f>
        <v/>
      </c>
      <c r="M2916">
        <f>L2916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(1-Summary!$B$11)*T2916+Summary!$B$11*V2916</f>
        <v/>
      </c>
      <c r="P2916">
        <f>IF(B2948=0,0,O2916/B2948)</f>
        <v/>
      </c>
      <c r="Q2916">
        <f>IFERROR(1/(IF(Inputs!$B$38="pvp",15,MAX(0.1,IF(Inputs!$B$3&gt;=122,3,5)+1/(((20+30*(B2940-1)*100/150)/100)*B2940)-IF(FALSE=TRUE,Inputs!$B$32,0)))*(1-IF(AND(ArtifactsInput!$M$27,Inputs!$B$4="Chapter Hunt"),CHOOSE(ArtifactsInput!$N$27+1,20,24,28,32,36,40),0)/100)),0)</f>
        <v/>
      </c>
      <c r="R2916">
        <f>IF(AND(Inputs!$B$38&lt;&gt;"pvp",Inputs!$B$43&gt;0),IF(MAX(0,Inputs!$B$43-B2945)&lt;=0,0,(INT(MAX(0,Inputs!$B$43-B2945)/(IF(Inputs!$B$38="pvp",15,MAX(0.1,IF(Inputs!$B$3&gt;=122,3,5)+1/(((20+30*(B2940-1)*100/150)/100)*B2940)-IF(FALSE=TRUE,Inputs!$B$32,0)))*(1-IF(AND(ArtifactsInput!$M$27,Inputs!$B$4="Chapter Hunt"),CHOOSE(ArtifactsInput!$N$27+1,20,24,28,32,36,40),0)/100)))+1)),0)</f>
        <v/>
      </c>
      <c r="S2916">
        <f>IFERROR(O2916/N2916,0)</f>
        <v/>
      </c>
      <c r="T2916">
        <f>IF(C2916,(H2916*N2916*IF(AND(Inputs!$B$38&lt;&gt;"pvp",Inputs!$B$43&gt;0),((Skills!G13*((R2916-1)*IF(Skills!H13&gt;0,INT(Skills!I13/Skills!H13+0.000000001),1)+IF(Skills!H13&gt;0,INT(MIN(Skills!I13,MAX(0,MAX(0,Inputs!$B$43-B2945)-((R2916-1)*(IF(Inputs!$B$38="pvp",15,MAX(0.1,IF(Inputs!$B$3&gt;=122,3,5)+1/(((20+30*(B2940-1)*100/150)/100)*B2940)-IF(FALSE=TRUE,Inputs!$B$32,0)))*(1-IF(AND(ArtifactsInput!$M$27,Inputs!$B$4="Chapter Hunt"),CHOOSE(ArtifactsInput!$N$27+1,20,24,28,32,36,40),0)/100)))))/Skills!H13+0.000000001),1)))/Inputs!$B$43),G2916*Q2916)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6">
        <f>IF(C2916,(H2916*N2916*IF(AND(Inputs!$B$38&lt;&gt;"pvp",Inputs!$B$43&gt;0),((Skills!G13*((R2916-1)*IF(Skills!H13&gt;0,INT(Skills!I13/Skills!H13+0.000000001),1)+IF(Skills!H13&gt;0,INT(MIN(Skills!I13,MAX(0,MAX(0,Inputs!$B$43-B2945)-((R2916-1)*(IF(Inputs!$B$38="pvp",15,MAX(0.1,IF(Inputs!$B$3&gt;=122,3,5)+1/(((20+30*(B2940-1)*100/150)/100)*B2940)-IF(FALSE=TRUE,Inputs!$B$32,0)))*(1-IF(AND(ArtifactsInput!$M$27,Inputs!$B$4="Chapter Hunt"),CHOOSE(ArtifactsInput!$N$27+1,20,24,28,32,36,40),0)/100)))))/Skills!H13+0.000000001),1)))/Inputs!$B$43),G2916*Q2916))*IF(Inputs!$B$38="pvp",1,(1+(Inputs!$B$21+Skills!Q13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Skills!A14</f>
        <v/>
      </c>
      <c r="B2917">
        <f>Skills!B14</f>
        <v/>
      </c>
      <c r="C2917">
        <f>Inputs!$B$3&gt;=110</f>
        <v/>
      </c>
      <c r="D2917">
        <f>IF(Skills!C14=1,60+Inputs!$B$25+Inputs!$B$29,IF(Skills!C14=2,90+Inputs!$B$26+Inputs!$B$29,IF(Skills!C14=3,120+Inputs!$B$27+Inputs!$B$29,MAX(0,(Inputs!$B$3-100)*3)+Inputs!$B$28+Inputs!$B$29)))</f>
        <v/>
      </c>
      <c r="E2917">
        <f>INDEX(FactorTable!$B$2:$Y$301, MATCH(ROUND(MIN(300,MAX(1,D2917)),0), FactorTable!$A$2:$A$301,0), Skills!M14+1)</f>
        <v/>
      </c>
      <c r="F2917">
        <f>IF(Skills!N14=TRUE,(Skills!L14/10)*(E2917/1000),Skills!L14/10)+Skills!O14</f>
        <v/>
      </c>
      <c r="G2917" t="inlineStr"/>
      <c r="H2917" t="inlineStr"/>
      <c r="I2917" t="inlineStr">
        <is>
          <t>1</t>
        </is>
      </c>
      <c r="J2917" t="inlineStr"/>
      <c r="K2917" t="inlineStr"/>
      <c r="L2917" t="inlineStr"/>
      <c r="M2917" t="inlineStr"/>
      <c r="N2917" t="inlineStr"/>
      <c r="O2917" t="inlineStr"/>
      <c r="P2917" t="inlineStr"/>
      <c r="Q2917" t="inlineStr"/>
      <c r="R2917" t="inlineStr"/>
      <c r="S2917" t="inlineStr"/>
      <c r="T2917" t="inlineStr"/>
      <c r="V2917" t="inlineStr"/>
    </row>
    <row r="2918">
      <c r="A2918">
        <f>Skills!A15</f>
        <v/>
      </c>
      <c r="B2918">
        <f>Skills!B15</f>
        <v/>
      </c>
      <c r="C2918">
        <f>Inputs!$B$3&gt;=74</f>
        <v/>
      </c>
      <c r="D2918">
        <f>IF(Skills!C15=1,60+Inputs!$B$25+Inputs!$B$29,IF(Skills!C15=2,90+Inputs!$B$26+Inputs!$B$29,IF(Skills!C15=3,120+Inputs!$B$27+Inputs!$B$29,MAX(0,(Inputs!$B$3-100)*3)+Inputs!$B$28+Inputs!$B$29)))</f>
        <v/>
      </c>
      <c r="E2918">
        <f>INDEX(FactorTable!$B$2:$Y$301, MATCH(ROUND(MIN(300,MAX(1,D2918)),0), FactorTable!$A$2:$A$301,0), Skills!M15+1)</f>
        <v/>
      </c>
      <c r="F2918">
        <f>IF(Skills!N15=TRUE,(Skills!L15/10)*(E2918/1000),Skills!L15/10)+Skills!O15</f>
        <v/>
      </c>
      <c r="G2918">
        <f>Skills!G15*IF(Skills!H15&gt;0,INT(IF(Inputs!$B$38="pvp",MIN(Skills!I15,15),Skills!I15)/Skills!H15+0.000000001),1)</f>
        <v/>
      </c>
      <c r="H2918">
        <f>1-(1-Skills!J15/100)^Skills!K15</f>
        <v/>
      </c>
      <c r="I2918" t="inlineStr">
        <is>
          <t>1</t>
        </is>
      </c>
      <c r="J2918" t="inlineStr"/>
      <c r="K2918" t="inlineStr"/>
      <c r="L2918" t="inlineStr"/>
      <c r="M2918" t="inlineStr"/>
      <c r="N2918" t="inlineStr"/>
      <c r="O2918">
        <f>(1-Summary!$B$11)*T2918+Summary!$B$11*V2918</f>
        <v/>
      </c>
      <c r="P2918">
        <f>IF(B2948=0,0,O2918/B2948)</f>
        <v/>
      </c>
      <c r="Q2918" t="n">
        <v>0</v>
      </c>
      <c r="R2918" t="n">
        <v>0</v>
      </c>
      <c r="S2918">
        <f>IFERROR(O2918/N2918,0)</f>
        <v/>
      </c>
      <c r="T2918" t="n">
        <v>0</v>
      </c>
      <c r="V2918" t="n">
        <v>0</v>
      </c>
    </row>
    <row r="2919">
      <c r="A2919">
        <f>Skills!A16</f>
        <v/>
      </c>
      <c r="B2919">
        <f>Skills!B16</f>
        <v/>
      </c>
      <c r="C2919">
        <f>Inputs!$B$3&gt;=74</f>
        <v/>
      </c>
      <c r="D2919">
        <f>IF(Skills!C16=1,60+Inputs!$B$25+Inputs!$B$29,IF(Skills!C16=2,90+Inputs!$B$26+Inputs!$B$29,IF(Skills!C16=3,120+Inputs!$B$27+Inputs!$B$29,MAX(0,(Inputs!$B$3-100)*3)+Inputs!$B$28+Inputs!$B$29)))</f>
        <v/>
      </c>
      <c r="E2919">
        <f>INDEX(FactorTable!$B$2:$Y$301, MATCH(ROUND(MIN(300,MAX(1,D2919)),0), FactorTable!$A$2:$A$301,0), Skills!M16+1)</f>
        <v/>
      </c>
      <c r="F2919">
        <f>IF(Skills!N16=TRUE,(Skills!L16/10)*(E2919/1000),Skills!L16/10)+Skills!O16</f>
        <v/>
      </c>
      <c r="G2919">
        <f>Skills!G16*IF(Skills!H16&gt;0,INT(IF(Inputs!$B$38="pvp",MIN(Skills!I16,15),Skills!I16)/Skills!H16+0.000000001),1)</f>
        <v/>
      </c>
      <c r="H2919">
        <f>1-(1-Skills!J16/100)^Skills!K16</f>
        <v/>
      </c>
      <c r="I2919" t="inlineStr">
        <is>
          <t>1</t>
        </is>
      </c>
      <c r="J2919" t="inlineStr"/>
      <c r="K2919" t="inlineStr"/>
      <c r="L2919" t="inlineStr"/>
      <c r="M2919" t="inlineStr"/>
      <c r="N2919" t="inlineStr"/>
      <c r="O2919">
        <f>(1-Summary!$B$11)*T2919+Summary!$B$11*V2919</f>
        <v/>
      </c>
      <c r="P2919">
        <f>IF(B2948=0,0,O2919/B2948)</f>
        <v/>
      </c>
      <c r="Q2919" t="n">
        <v>0</v>
      </c>
      <c r="R2919" t="n">
        <v>0</v>
      </c>
      <c r="S2919">
        <f>IFERROR(O2919/N2919,0)</f>
        <v/>
      </c>
      <c r="T2919" t="n">
        <v>0</v>
      </c>
      <c r="V2919" t="n">
        <v>0</v>
      </c>
    </row>
    <row r="2920">
      <c r="A2920">
        <f>Skills!A17</f>
        <v/>
      </c>
      <c r="B2920">
        <f>Skills!B17</f>
        <v/>
      </c>
      <c r="C2920">
        <f>Inputs!$B$3&gt;=117</f>
        <v/>
      </c>
      <c r="D2920">
        <f>IF(Skills!C17=1,60+Inputs!$B$25+Inputs!$B$29,IF(Skills!C17=2,90+Inputs!$B$26+Inputs!$B$29,IF(Skills!C17=3,120+Inputs!$B$27+Inputs!$B$29,MAX(0,(Inputs!$B$3-100)*3)+Inputs!$B$28+Inputs!$B$29)))</f>
        <v/>
      </c>
      <c r="E2920">
        <f>INDEX(FactorTable!$B$2:$Y$301, MATCH(ROUND(MIN(300,MAX(1,D2920)),0), FactorTable!$A$2:$A$301,0), Skills!M17+1)</f>
        <v/>
      </c>
      <c r="F2920">
        <f>IF(Skills!N17=TRUE,(Skills!L17/10)*(E2920/1000),Skills!L17/10)+Skills!O17</f>
        <v/>
      </c>
      <c r="G2920">
        <f>Skills!G17*IF(Skills!H17&gt;0,INT(IF(Inputs!$B$38="pvp",MIN(Skills!I17,15),Skills!I17)/Skills!H17+0.000000001),1)</f>
        <v/>
      </c>
      <c r="H2920">
        <f>1-(1-Skills!J17/100)^Skills!K17</f>
        <v/>
      </c>
      <c r="I2920" t="inlineStr">
        <is>
          <t>1</t>
        </is>
      </c>
      <c r="J2920" t="inlineStr"/>
      <c r="K2920" t="inlineStr"/>
      <c r="L2920" t="inlineStr"/>
      <c r="M2920" t="inlineStr"/>
      <c r="N2920" t="inlineStr"/>
      <c r="O2920">
        <f>(1-Summary!$B$11)*T2920+Summary!$B$11*V2920</f>
        <v/>
      </c>
      <c r="P2920">
        <f>IF(B2948=0,0,O2920/B2948)</f>
        <v/>
      </c>
      <c r="Q2920">
        <f>IFERROR(1/(IF(Inputs!$B$38="pvp",15,MAX(0.1,Skills!D17-IF(TRUE=TRUE,Inputs!$B$32,0)))*(1-IF(AND(ArtifactsInput!$M$27,Inputs!$B$4="Chapter Hunt"),CHOOSE(ArtifactsInput!$N$27+1,20,24,28,32,36,40),0)/100)),0)</f>
        <v/>
      </c>
      <c r="R2920">
        <f>IF(AND(Inputs!$B$38&lt;&gt;"pvp",Inputs!$B$43&gt;0),IF(Inputs!$B$43&lt;=0,0,(INT(Inputs!$B$43/(IF(Inputs!$B$38="pvp",15,MAX(0.1,Skills!D17-IF(TRUE=TRUE,Inputs!$B$32,0)))*(1-IF(AND(ArtifactsInput!$M$27,Inputs!$B$4="Chapter Hunt"),CHOOSE(ArtifactsInput!$N$27+1,20,24,28,32,36,40),0)/100)))+1)),0)</f>
        <v/>
      </c>
      <c r="S2920">
        <f>IFERROR(O2920/N2920,0)</f>
        <v/>
      </c>
      <c r="T2920" t="n">
        <v>0</v>
      </c>
      <c r="V2920" t="n">
        <v>0</v>
      </c>
    </row>
    <row r="2921">
      <c r="A2921">
        <f>Skills!A18</f>
        <v/>
      </c>
      <c r="B2921">
        <f>Skills!B18</f>
        <v/>
      </c>
      <c r="C2921">
        <f>Inputs!$B$3&gt;=115</f>
        <v/>
      </c>
      <c r="D2921">
        <f>IF(Skills!C18=1,60+Inputs!$B$25+Inputs!$B$29,IF(Skills!C18=2,90+Inputs!$B$26+Inputs!$B$29,IF(Skills!C18=3,120+Inputs!$B$27+Inputs!$B$29,MAX(0,(Inputs!$B$3-100)*3)+Inputs!$B$28+Inputs!$B$29)))</f>
        <v/>
      </c>
      <c r="E2921">
        <f>INDEX(FactorTable!$B$2:$Y$301, MATCH(ROUND(MIN(300,MAX(1,D2921)),0), FactorTable!$A$2:$A$301,0), Skills!M18+1)</f>
        <v/>
      </c>
      <c r="F2921">
        <f>IF(Skills!N18=TRUE,(Skills!L18/10)*(E2921/1000),Skills!L18/10)+Skills!O18</f>
        <v/>
      </c>
      <c r="G2921">
        <f>Skills!G18*IF(Skills!H18&gt;0,INT(IF(Inputs!$B$38="pvp",MIN(Skills!I18,15),Skills!I18)/Skills!H18+0.000000001),1)</f>
        <v/>
      </c>
      <c r="H2921">
        <f>1-(1-Skills!J18/100)^Skills!K18</f>
        <v/>
      </c>
      <c r="I2921" t="inlineStr">
        <is>
          <t>1</t>
        </is>
      </c>
      <c r="J2921" t="inlineStr"/>
      <c r="K2921" t="inlineStr"/>
      <c r="L2921" t="inlineStr"/>
      <c r="M2921" t="inlineStr"/>
      <c r="N2921" t="inlineStr"/>
      <c r="O2921">
        <f>(1-Summary!$B$11)*T2921+Summary!$B$11*V2921</f>
        <v/>
      </c>
      <c r="P2921">
        <f>IF(B2948=0,0,O2921/B2948)</f>
        <v/>
      </c>
      <c r="Q2921">
        <f>IFERROR(1/(IF(Inputs!$B$38="pvp",15,MAX(0.1,Skills!D18-IF(TRUE=TRUE,Inputs!$B$32,0)))*(1-IF(AND(ArtifactsInput!$M$27,Inputs!$B$4="Chapter Hunt"),CHOOSE(ArtifactsInput!$N$27+1,20,24,28,32,36,40),0)/100)),0)</f>
        <v/>
      </c>
      <c r="R2921">
        <f>IF(AND(Inputs!$B$38&lt;&gt;"pvp",Inputs!$B$43&gt;0),IF(Inputs!$B$43&lt;=0,0,(INT(Inputs!$B$43/(IF(Inputs!$B$38="pvp",15,MAX(0.1,Skills!D18-IF(TRUE=TRUE,Inputs!$B$32,0)))*(1-IF(AND(ArtifactsInput!$M$27,Inputs!$B$4="Chapter Hunt"),CHOOSE(ArtifactsInput!$N$27+1,20,24,28,32,36,40),0)/100)))+1)),0)</f>
        <v/>
      </c>
      <c r="S2921">
        <f>IFERROR(O2921/N2921,0)</f>
        <v/>
      </c>
      <c r="T2921" t="n">
        <v>0</v>
      </c>
      <c r="V2921" t="n">
        <v>0</v>
      </c>
    </row>
    <row r="2922">
      <c r="A2922">
        <f>Skills!A19</f>
        <v/>
      </c>
      <c r="B2922">
        <f>Skills!B19</f>
        <v/>
      </c>
      <c r="C2922">
        <f>Inputs!$B$3&gt;=66</f>
        <v/>
      </c>
      <c r="D2922">
        <f>IF(Skills!C19=1,60+Inputs!$B$25+Inputs!$B$29,IF(Skills!C19=2,90+Inputs!$B$26+Inputs!$B$29,IF(Skills!C19=3,120+Inputs!$B$27+Inputs!$B$29,MAX(0,(Inputs!$B$3-100)*3)+Inputs!$B$28+Inputs!$B$29)))</f>
        <v/>
      </c>
      <c r="E2922">
        <f>INDEX(FactorTable!$B$2:$Y$301, MATCH(ROUND(MIN(300,MAX(1,D2922)),0), FactorTable!$A$2:$A$301,0), Skills!M19+1)</f>
        <v/>
      </c>
      <c r="F2922">
        <f>IF(Skills!N19=TRUE,(Skills!L19/10)*(E2922/1000),Skills!L19/10)+Skills!O19</f>
        <v/>
      </c>
      <c r="G2922">
        <f>Skills!G19*IF(Skills!H19&gt;0,INT(IF(Inputs!$B$38="pvp",MIN(Skills!I19,15),Skills!I19)/Skills!H19+0.000000001),1)</f>
        <v/>
      </c>
      <c r="H2922">
        <f>1-(1-Skills!J19/100)^Skills!K19</f>
        <v/>
      </c>
      <c r="I2922" t="inlineStr">
        <is>
          <t>1</t>
        </is>
      </c>
      <c r="J2922" t="inlineStr"/>
      <c r="K2922" t="inlineStr"/>
      <c r="L2922" t="inlineStr"/>
      <c r="M2922" t="inlineStr"/>
      <c r="N2922" t="inlineStr"/>
      <c r="O2922">
        <f>(1-Summary!$B$11)*T2922+Summary!$B$11*V2922</f>
        <v/>
      </c>
      <c r="P2922">
        <f>IF(B2948=0,0,O2922/B2948)</f>
        <v/>
      </c>
      <c r="Q2922" t="n">
        <v>0</v>
      </c>
      <c r="R2922" t="n">
        <v>0</v>
      </c>
      <c r="S2922">
        <f>IFERROR(O2922/N2922,0)</f>
        <v/>
      </c>
      <c r="T2922" t="n">
        <v>0</v>
      </c>
      <c r="V2922" t="n">
        <v>0</v>
      </c>
    </row>
    <row r="2923">
      <c r="A2923">
        <f>Skills!A20</f>
        <v/>
      </c>
      <c r="B2923">
        <f>Skills!B20</f>
        <v/>
      </c>
      <c r="C2923">
        <f>Inputs!$B$3&gt;=72</f>
        <v/>
      </c>
      <c r="D2923">
        <f>IF(Skills!C20=1,60+Inputs!$B$25+Inputs!$B$29,IF(Skills!C20=2,90+Inputs!$B$26+Inputs!$B$29,IF(Skills!C20=3,120+Inputs!$B$27+Inputs!$B$29,MAX(0,(Inputs!$B$3-100)*3)+Inputs!$B$28+Inputs!$B$29)))</f>
        <v/>
      </c>
      <c r="E2923">
        <f>INDEX(FactorTable!$B$2:$Y$301, MATCH(ROUND(MIN(300,MAX(1,D2923)),0), FactorTable!$A$2:$A$301,0), Skills!M20+1)</f>
        <v/>
      </c>
      <c r="F2923">
        <f>IF(Skills!N20=TRUE,(Skills!L20/10)*(E2923/1000),Skills!L20/10)+Skills!O20</f>
        <v/>
      </c>
      <c r="G2923">
        <f>Skills!G20*IF(Skills!H20&gt;0,INT(IF(Inputs!$B$38="pvp",MIN(Skills!I20,15),Skills!I20)/Skills!H20+0.000000001),1)</f>
        <v/>
      </c>
      <c r="H2923">
        <f>1-(1-Skills!J20/100)^Skills!K20</f>
        <v/>
      </c>
      <c r="I2923" t="inlineStr">
        <is>
          <t>1</t>
        </is>
      </c>
      <c r="J2923" t="inlineStr"/>
      <c r="K2923" t="inlineStr"/>
      <c r="L2923" t="inlineStr"/>
      <c r="M2923" t="inlineStr"/>
      <c r="N2923" t="inlineStr"/>
      <c r="O2923">
        <f>(1-Summary!$B$11)*T2923+Summary!$B$11*V2923</f>
        <v/>
      </c>
      <c r="P2923">
        <f>IF(B2948=0,0,O2923/B2948)</f>
        <v/>
      </c>
      <c r="Q2923" t="n">
        <v>0</v>
      </c>
      <c r="R2923" t="n">
        <v>0</v>
      </c>
      <c r="S2923">
        <f>IFERROR(O2923/N2923,0)</f>
        <v/>
      </c>
      <c r="T2923" t="n">
        <v>0</v>
      </c>
      <c r="V2923" t="n">
        <v>0</v>
      </c>
    </row>
    <row r="2924">
      <c r="A2924">
        <f>Skills!A21</f>
        <v/>
      </c>
      <c r="B2924">
        <f>Skills!B21</f>
        <v/>
      </c>
      <c r="C2924">
        <f>TRUE</f>
        <v/>
      </c>
      <c r="D2924">
        <f>IF(Skills!C21=1,60+Inputs!$B$25+Inputs!$B$29,IF(Skills!C21=2,90+Inputs!$B$26+Inputs!$B$29,IF(Skills!C21=3,120+Inputs!$B$27+Inputs!$B$29,MAX(0,(Inputs!$B$3-100)*3)+Inputs!$B$28+Inputs!$B$29)))</f>
        <v/>
      </c>
      <c r="E2924">
        <f>INDEX(FactorTable!$B$2:$Y$301, MATCH(ROUND(MIN(300,MAX(1,D2924)),0), FactorTable!$A$2:$A$301,0), Skills!M21+1)</f>
        <v/>
      </c>
      <c r="F2924">
        <f>IF(Skills!N21=TRUE,(Skills!L21/10)*(E2924/1000),Skills!L21/10)+Skills!O21</f>
        <v/>
      </c>
      <c r="G2924">
        <f>Skills!G21*IF(Skills!H21&gt;0,INT(IF(Inputs!$B$38="pvp",MIN(Skills!I21,15),Skills!I21)/Skills!H21+0.000000001),1)</f>
        <v/>
      </c>
      <c r="H2924">
        <f>1-(1-Skills!J21/100)^Skills!K21</f>
        <v/>
      </c>
      <c r="I2924" t="inlineStr">
        <is>
          <t>1</t>
        </is>
      </c>
      <c r="J2924" t="inlineStr"/>
      <c r="K2924" t="inlineStr"/>
      <c r="L2924" t="inlineStr"/>
      <c r="M2924" t="inlineStr"/>
      <c r="N2924" t="inlineStr"/>
      <c r="O2924">
        <f>(1-Summary!$B$11)*T2924+Summary!$B$11*V2924</f>
        <v/>
      </c>
      <c r="P2924">
        <f>IF(B2948=0,0,O2924/B2948)</f>
        <v/>
      </c>
      <c r="Q2924">
        <f>IFERROR(1/(IF(Inputs!$B$38="pvp",15,MAX(0.1,Skills!D21-IF(TRUE=TRUE,Inputs!$B$32,0)))*(1-IF(AND(ArtifactsInput!$M$27,Inputs!$B$4="Chapter Hunt"),CHOOSE(ArtifactsInput!$N$27+1,20,24,28,32,36,40),0)/100)),0)</f>
        <v/>
      </c>
      <c r="R2924">
        <f>IF(AND(Inputs!$B$38&lt;&gt;"pvp",Inputs!$B$43&gt;0),IF(Inputs!$B$43&lt;=0,0,(INT(Inputs!$B$43/(IF(Inputs!$B$38="pvp",15,MAX(0.1,Skills!D21-IF(TRUE=TRUE,Inputs!$B$32,0)))*(1-IF(AND(ArtifactsInput!$M$27,Inputs!$B$4="Chapter Hunt"),CHOOSE(ArtifactsInput!$N$27+1,20,24,28,32,36,40),0)/100)))+1)),0)</f>
        <v/>
      </c>
      <c r="S2924">
        <f>IFERROR(O2924/N2924,0)</f>
        <v/>
      </c>
      <c r="T2924" t="n">
        <v>0</v>
      </c>
      <c r="V2924" t="n">
        <v>0</v>
      </c>
    </row>
    <row r="2925">
      <c r="A2925">
        <f>Skills!A22</f>
        <v/>
      </c>
      <c r="B2925">
        <f>Skills!B22</f>
        <v/>
      </c>
      <c r="C2925">
        <f>Inputs!$B$3&gt;=15</f>
        <v/>
      </c>
      <c r="D2925">
        <f>IF(Skills!C22=1,60+Inputs!$B$25+Inputs!$B$29,IF(Skills!C22=2,90+Inputs!$B$26+Inputs!$B$29,IF(Skills!C22=3,120+Inputs!$B$27+Inputs!$B$29,MAX(0,(Inputs!$B$3-100)*3)+Inputs!$B$28+Inputs!$B$29)))</f>
        <v/>
      </c>
      <c r="E2925">
        <f>INDEX(FactorTable!$B$2:$Y$301, MATCH(ROUND(MIN(300,MAX(1,D2925)),0), FactorTable!$A$2:$A$301,0), Skills!M22+1)</f>
        <v/>
      </c>
      <c r="F2925">
        <f>IF(Skills!N22=TRUE,(Skills!L22/10)*(E2925/1000),Skills!L22/10)+Skills!O22</f>
        <v/>
      </c>
      <c r="G2925">
        <f>Skills!G22*IF(Skills!H22&gt;0,INT(IF(Inputs!$B$38="pvp",MIN(Skills!I22,15),Skills!I22)/Skills!H22+0.000000001),1)</f>
        <v/>
      </c>
      <c r="H2925">
        <f>1-(1-Skills!J22/100)^Skills!K22</f>
        <v/>
      </c>
      <c r="I2925" t="inlineStr">
        <is>
          <t>1</t>
        </is>
      </c>
      <c r="J2925" t="inlineStr"/>
      <c r="K2925" t="inlineStr"/>
      <c r="L2925" t="inlineStr"/>
      <c r="M2925" t="inlineStr"/>
      <c r="N2925" t="inlineStr"/>
      <c r="O2925">
        <f>(1-Summary!$B$11)*T2925+Summary!$B$11*V2925</f>
        <v/>
      </c>
      <c r="P2925">
        <f>IF(B2948=0,0,O2925/B2948)</f>
        <v/>
      </c>
      <c r="Q2925" t="n">
        <v>0</v>
      </c>
      <c r="R2925" t="n">
        <v>0</v>
      </c>
      <c r="S2925">
        <f>IFERROR(O2925/N2925,0)</f>
        <v/>
      </c>
      <c r="T2925" t="n">
        <v>0</v>
      </c>
      <c r="V2925" t="n">
        <v>0</v>
      </c>
    </row>
    <row r="2926">
      <c r="A2926">
        <f>Skills!A23</f>
        <v/>
      </c>
      <c r="B2926">
        <f>Skills!B23</f>
        <v/>
      </c>
      <c r="C2926">
        <f>Inputs!$B$3&gt;=10</f>
        <v/>
      </c>
      <c r="D2926">
        <f>IF(Skills!C23=1,60+Inputs!$B$25+Inputs!$B$29,IF(Skills!C23=2,90+Inputs!$B$26+Inputs!$B$29,IF(Skills!C23=3,120+Inputs!$B$27+Inputs!$B$29,MAX(0,(Inputs!$B$3-100)*3)+Inputs!$B$28+Inputs!$B$29)))</f>
        <v/>
      </c>
      <c r="E2926">
        <f>INDEX(FactorTable!$B$2:$Y$301, MATCH(ROUND(MIN(300,MAX(1,D2926)),0), FactorTable!$A$2:$A$301,0), Skills!M23+1)</f>
        <v/>
      </c>
      <c r="F2926">
        <f>IF(Skills!N23=TRUE,(Skills!L23/10)*(E2926/1000),Skills!L23/10)+Skills!O23</f>
        <v/>
      </c>
      <c r="G2926">
        <f>Skills!G23*IF(Skills!H23&gt;0,INT(IF(Inputs!$B$38="pvp",MIN(Skills!I23,15),Skills!I23)/Skills!H23+0.000000001),1)</f>
        <v/>
      </c>
      <c r="H2926">
        <f>1-(1-Skills!J23/100)^Skills!K23</f>
        <v/>
      </c>
      <c r="I2926" t="inlineStr">
        <is>
          <t>1</t>
        </is>
      </c>
      <c r="J2926" t="inlineStr"/>
      <c r="K2926" t="inlineStr"/>
      <c r="L2926" t="inlineStr"/>
      <c r="M2926" t="inlineStr"/>
      <c r="N2926" t="inlineStr"/>
      <c r="O2926">
        <f>(1-Summary!$B$11)*T2926+Summary!$B$11*V2926</f>
        <v/>
      </c>
      <c r="P2926">
        <f>IF(B2948=0,0,O2926/B2948)</f>
        <v/>
      </c>
      <c r="Q2926" t="n">
        <v>0</v>
      </c>
      <c r="R2926" t="n">
        <v>0</v>
      </c>
      <c r="S2926">
        <f>IFERROR(O2926/N2926,0)</f>
        <v/>
      </c>
      <c r="T2926" t="n">
        <v>0</v>
      </c>
      <c r="V2926" t="n">
        <v>0</v>
      </c>
    </row>
    <row r="2927">
      <c r="A2927">
        <f>Skills!A24</f>
        <v/>
      </c>
      <c r="B2927">
        <f>Skills!B24</f>
        <v/>
      </c>
      <c r="C2927">
        <f>Inputs!$B$3&gt;=33</f>
        <v/>
      </c>
      <c r="D2927">
        <f>IF(Skills!C24=1,60+Inputs!$B$25+Inputs!$B$29,IF(Skills!C24=2,90+Inputs!$B$26+Inputs!$B$29,IF(Skills!C24=3,120+Inputs!$B$27+Inputs!$B$29,MAX(0,(Inputs!$B$3-100)*3)+Inputs!$B$28+Inputs!$B$29)))</f>
        <v/>
      </c>
      <c r="E2927">
        <f>INDEX(FactorTable!$B$2:$Y$301, MATCH(ROUND(MIN(300,MAX(1,D2927)),0), FactorTable!$A$2:$A$301,0), Skills!M24+1)</f>
        <v/>
      </c>
      <c r="F2927">
        <f>IF(Skills!N24=TRUE,(Skills!L24/10)*(E2927/1000),Skills!L24/10)+Skills!O24</f>
        <v/>
      </c>
      <c r="G2927">
        <f>Skills!G24*IF(Skills!H24&gt;0,INT(IF(Inputs!$B$38="pvp",MIN(Skills!I24,15),Skills!I24)/Skills!H24+0.000000001),1)</f>
        <v/>
      </c>
      <c r="H2927">
        <f>1-(1-Skills!J24/100)^Skills!K24</f>
        <v/>
      </c>
      <c r="I2927" t="inlineStr">
        <is>
          <t>1</t>
        </is>
      </c>
      <c r="J2927" t="inlineStr"/>
      <c r="K2927" t="inlineStr"/>
      <c r="L2927" t="inlineStr"/>
      <c r="M2927" t="inlineStr"/>
      <c r="N2927" t="inlineStr"/>
      <c r="O2927">
        <f>(1-Summary!$B$11)*T2927+Summary!$B$11*V2927</f>
        <v/>
      </c>
      <c r="P2927">
        <f>IF(B2948=0,0,O2927/B2948)</f>
        <v/>
      </c>
      <c r="Q2927" t="n">
        <v>0</v>
      </c>
      <c r="R2927" t="n">
        <v>0</v>
      </c>
      <c r="S2927">
        <f>IFERROR(O2927/N2927,0)</f>
        <v/>
      </c>
      <c r="T2927" t="n">
        <v>0</v>
      </c>
      <c r="V2927" t="n">
        <v>0</v>
      </c>
    </row>
    <row r="2928">
      <c r="A2928">
        <f>Skills!A25</f>
        <v/>
      </c>
      <c r="B2928">
        <f>Skills!B25</f>
        <v/>
      </c>
      <c r="C2928">
        <f>Inputs!$B$3&gt;=38</f>
        <v/>
      </c>
      <c r="D2928">
        <f>IF(Skills!C25=1,60+Inputs!$B$25+Inputs!$B$29,IF(Skills!C25=2,90+Inputs!$B$26+Inputs!$B$29,IF(Skills!C25=3,120+Inputs!$B$27+Inputs!$B$29,MAX(0,(Inputs!$B$3-100)*3)+Inputs!$B$28+Inputs!$B$29)))</f>
        <v/>
      </c>
      <c r="E2928">
        <f>INDEX(FactorTable!$B$2:$Y$301, MATCH(ROUND(MIN(300,MAX(1,D2928)),0), FactorTable!$A$2:$A$301,0), Skills!M25+1)</f>
        <v/>
      </c>
      <c r="F2928">
        <f>IF(Skills!N25=TRUE,(Skills!L25/10)*(E2928/1000),Skills!L25/10)+Skills!O25</f>
        <v/>
      </c>
      <c r="G2928">
        <f>Skills!G25*IF(Skills!H25&gt;0,INT(IF(Inputs!$B$38="pvp",MIN(Skills!I25,15),Skills!I25)/Skills!H25+0.000000001),1)</f>
        <v/>
      </c>
      <c r="H2928">
        <f>1-(1-Skills!J25/100)^Skills!K25</f>
        <v/>
      </c>
      <c r="I2928" t="inlineStr">
        <is>
          <t>1</t>
        </is>
      </c>
      <c r="J2928" t="inlineStr"/>
      <c r="K2928" t="inlineStr"/>
      <c r="L2928" t="inlineStr"/>
      <c r="M2928" t="inlineStr"/>
      <c r="N2928" t="inlineStr"/>
      <c r="O2928">
        <f>(1-Summary!$B$11)*T2928+Summary!$B$11*V2928</f>
        <v/>
      </c>
      <c r="P2928">
        <f>IF(B2948=0,0,O2928/B2948)</f>
        <v/>
      </c>
      <c r="Q2928" t="n">
        <v>0</v>
      </c>
      <c r="R2928" t="n">
        <v>0</v>
      </c>
      <c r="S2928">
        <f>IFERROR(O2928/N2928,0)</f>
        <v/>
      </c>
      <c r="T2928" t="n">
        <v>0</v>
      </c>
      <c r="V2928" t="n">
        <v>0</v>
      </c>
    </row>
    <row r="2929">
      <c r="A2929">
        <f>Skills!A26</f>
        <v/>
      </c>
      <c r="B2929">
        <f>Skills!B26</f>
        <v/>
      </c>
      <c r="C2929">
        <f>Inputs!$B$3&gt;=43</f>
        <v/>
      </c>
      <c r="D2929">
        <f>IF(Skills!C26=1,60+Inputs!$B$25+Inputs!$B$29,IF(Skills!C26=2,90+Inputs!$B$26+Inputs!$B$29,IF(Skills!C26=3,120+Inputs!$B$27+Inputs!$B$29,MAX(0,(Inputs!$B$3-100)*3)+Inputs!$B$28+Inputs!$B$29)))</f>
        <v/>
      </c>
      <c r="E2929">
        <f>INDEX(FactorTable!$B$2:$Y$301, MATCH(ROUND(MIN(300,MAX(1,D2929)),0), FactorTable!$A$2:$A$301,0), Skills!M26+1)</f>
        <v/>
      </c>
      <c r="F2929">
        <f>IF(Skills!N26=TRUE,(Skills!L26/10)*(E2929/1000),Skills!L26/10)+Skills!O26</f>
        <v/>
      </c>
      <c r="G2929">
        <f>Skills!G26*IF(Skills!H26&gt;0,INT(IF(Inputs!$B$38="pvp",MIN(Skills!I26,15),Skills!I26)/Skills!H26+0.000000001),1)</f>
        <v/>
      </c>
      <c r="H2929">
        <f>1-(1-Skills!J26/100)^Skills!K26</f>
        <v/>
      </c>
      <c r="I2929" t="inlineStr">
        <is>
          <t>1</t>
        </is>
      </c>
      <c r="J2929" t="inlineStr"/>
      <c r="K2929" t="inlineStr"/>
      <c r="L2929" t="inlineStr"/>
      <c r="M2929" t="inlineStr"/>
      <c r="N2929" t="inlineStr"/>
      <c r="O2929">
        <f>(1-Summary!$B$11)*T2929+Summary!$B$11*V2929</f>
        <v/>
      </c>
      <c r="P2929">
        <f>IF(B2948=0,0,O2929/B2948)</f>
        <v/>
      </c>
      <c r="Q2929" t="n">
        <v>0</v>
      </c>
      <c r="R2929" t="n">
        <v>0</v>
      </c>
      <c r="S2929">
        <f>IFERROR(O2929/N2929,0)</f>
        <v/>
      </c>
      <c r="T2929" t="n">
        <v>0</v>
      </c>
      <c r="V2929" t="n">
        <v>0</v>
      </c>
    </row>
    <row r="2930">
      <c r="A2930">
        <f>Skills!A27</f>
        <v/>
      </c>
      <c r="B2930">
        <f>Skills!B27</f>
        <v/>
      </c>
      <c r="C2930">
        <f>Inputs!$B$3&gt;=75</f>
        <v/>
      </c>
      <c r="D2930">
        <f>IF(Skills!C27=1,60+Inputs!$B$25+Inputs!$B$29,IF(Skills!C27=2,90+Inputs!$B$26+Inputs!$B$29,IF(Skills!C27=3,120+Inputs!$B$27+Inputs!$B$29,MAX(0,(Inputs!$B$3-100)*3)+Inputs!$B$28+Inputs!$B$29)))</f>
        <v/>
      </c>
      <c r="E2930">
        <f>INDEX(FactorTable!$B$2:$Y$301, MATCH(ROUND(MIN(300,MAX(1,D2930)),0), FactorTable!$A$2:$A$301,0), Skills!M27+1)</f>
        <v/>
      </c>
      <c r="F2930">
        <f>IF(Skills!N27=TRUE,(Skills!L27/10)*(E2930/1000),Skills!L27/10)+Skills!O27</f>
        <v/>
      </c>
      <c r="G2930">
        <f>Skills!G27*IF(Skills!H27&gt;0,INT(IF(Inputs!$B$38="pvp",MIN(Skills!I27,15),Skills!I27)/Skills!H27+0.000000001),1)</f>
        <v/>
      </c>
      <c r="H2930">
        <f>1-(1-Skills!J27/100)^Skills!K27</f>
        <v/>
      </c>
      <c r="I2930" t="inlineStr">
        <is>
          <t>1</t>
        </is>
      </c>
      <c r="J2930" t="inlineStr"/>
      <c r="K2930" t="inlineStr"/>
      <c r="L2930" t="inlineStr"/>
      <c r="M2930" t="inlineStr"/>
      <c r="N2930" t="inlineStr"/>
      <c r="O2930">
        <f>(1-Summary!$B$11)*T2930+Summary!$B$11*V2930</f>
        <v/>
      </c>
      <c r="P2930">
        <f>IF(B2948=0,0,O2930/B2948)</f>
        <v/>
      </c>
      <c r="Q2930" t="n">
        <v>0</v>
      </c>
      <c r="R2930" t="n">
        <v>0</v>
      </c>
      <c r="S2930">
        <f>IFERROR(O2930/N2930,0)</f>
        <v/>
      </c>
      <c r="T2930" t="n">
        <v>0</v>
      </c>
      <c r="V2930" t="n">
        <v>0</v>
      </c>
    </row>
    <row r="2931">
      <c r="A2931">
        <f>Skills!A28</f>
        <v/>
      </c>
      <c r="B2931">
        <f>Skills!B28</f>
        <v/>
      </c>
      <c r="C2931">
        <f>Inputs!$B$3&gt;=125</f>
        <v/>
      </c>
      <c r="D2931">
        <f>IF(Skills!C28=1,60+Inputs!$B$25+Inputs!$B$29,IF(Skills!C28=2,90+Inputs!$B$26+Inputs!$B$29,IF(Skills!C28=3,120+Inputs!$B$27+Inputs!$B$29,MAX(0,(Inputs!$B$3-100)*3)+Inputs!$B$28+Inputs!$B$29)))</f>
        <v/>
      </c>
      <c r="E2931">
        <f>INDEX(FactorTable!$B$2:$Y$301, MATCH(ROUND(MIN(300,MAX(1,D2931)),0), FactorTable!$A$2:$A$301,0), Skills!M28+1)</f>
        <v/>
      </c>
      <c r="F2931">
        <f>IF(Skills!N28=TRUE,(Skills!L28/10)*(E2931/1000),Skills!L28/10)+Skills!O28</f>
        <v/>
      </c>
      <c r="G2931">
        <f>Skills!G28*IF(Skills!H28&gt;0,INT(IF(Inputs!$B$38="pvp",MIN(Skills!I28,15),Skills!I28)/Skills!H28+0.000000001),1)</f>
        <v/>
      </c>
      <c r="H2931">
        <f>1-(1-Skills!J28/100)^Skills!K28</f>
        <v/>
      </c>
      <c r="I2931" t="inlineStr">
        <is>
          <t>1</t>
        </is>
      </c>
      <c r="J2931" t="inlineStr"/>
      <c r="K2931" t="inlineStr"/>
      <c r="L2931" t="inlineStr"/>
      <c r="M2931" t="inlineStr"/>
      <c r="N2931" t="inlineStr"/>
      <c r="O2931">
        <f>(1-Summary!$B$11)*T2931+Summary!$B$11*V2931</f>
        <v/>
      </c>
      <c r="P2931">
        <f>IF(B2948=0,0,O2931/B2948)</f>
        <v/>
      </c>
      <c r="Q2931" t="n">
        <v>0</v>
      </c>
      <c r="R2931" t="n">
        <v>0</v>
      </c>
      <c r="S2931">
        <f>IFERROR(O2931/N2931,0)</f>
        <v/>
      </c>
      <c r="T2931" t="n">
        <v>0</v>
      </c>
      <c r="V2931" t="n">
        <v>0</v>
      </c>
    </row>
    <row r="2932">
      <c r="A2932">
        <f>Skills!A29</f>
        <v/>
      </c>
      <c r="B2932">
        <f>Skills!B29</f>
        <v/>
      </c>
      <c r="C2932">
        <f>Inputs!$B$3&gt;=125</f>
        <v/>
      </c>
      <c r="D2932">
        <f>IF(Skills!C29=1,60+Inputs!$B$25+Inputs!$B$29,IF(Skills!C29=2,90+Inputs!$B$26+Inputs!$B$29,IF(Skills!C29=3,120+Inputs!$B$27+Inputs!$B$29,MAX(0,(Inputs!$B$3-100)*3)+Inputs!$B$28+Inputs!$B$29)))</f>
        <v/>
      </c>
      <c r="E2932">
        <f>INDEX(FactorTable!$B$2:$Y$301, MATCH(ROUND(MIN(300,MAX(1,D2932)),0), FactorTable!$A$2:$A$301,0), Skills!M29+1)</f>
        <v/>
      </c>
      <c r="F2932">
        <f>IF(Skills!N29=TRUE,(Skills!L29/10)*(E2932/1000),Skills!L29/10)+Skills!O29</f>
        <v/>
      </c>
      <c r="G2932">
        <f>Skills!G29*IF(Skills!H29&gt;0,INT(IF(Inputs!$B$38="pvp",MIN(Skills!I29,15),Skills!I29)/Skills!H29+0.000000001),1)</f>
        <v/>
      </c>
      <c r="H2932">
        <f>1-(1-Skills!J29/100)^Skills!K29</f>
        <v/>
      </c>
      <c r="I2932" t="inlineStr">
        <is>
          <t>1</t>
        </is>
      </c>
      <c r="J2932" t="inlineStr"/>
      <c r="K2932" t="inlineStr"/>
      <c r="L2932" t="inlineStr"/>
      <c r="M2932" t="inlineStr"/>
      <c r="N2932" t="inlineStr"/>
      <c r="O2932">
        <f>(1-Summary!$B$11)*T2932+Summary!$B$11*V2932</f>
        <v/>
      </c>
      <c r="P2932">
        <f>IF(B2948=0,0,O2932/B2948)</f>
        <v/>
      </c>
      <c r="Q2932" t="n">
        <v>0</v>
      </c>
      <c r="R2932" t="n">
        <v>0</v>
      </c>
      <c r="S2932">
        <f>IFERROR(O2932/N2932,0)</f>
        <v/>
      </c>
      <c r="T2932" t="n">
        <v>0</v>
      </c>
      <c r="V2932" t="n">
        <v>0</v>
      </c>
    </row>
    <row r="2933">
      <c r="A2933">
        <f>Skills!A30</f>
        <v/>
      </c>
      <c r="B2933">
        <f>Skills!B30</f>
        <v/>
      </c>
      <c r="C2933">
        <f>Inputs!$B$3&gt;=120</f>
        <v/>
      </c>
      <c r="D2933">
        <f>IF(Skills!C30=1,60+Inputs!$B$25+Inputs!$B$29,IF(Skills!C30=2,90+Inputs!$B$26+Inputs!$B$29,IF(Skills!C30=3,120+Inputs!$B$27+Inputs!$B$29,MAX(0,(Inputs!$B$3-100)*3)+Inputs!$B$28+Inputs!$B$29)))</f>
        <v/>
      </c>
      <c r="E2933">
        <f>INDEX(FactorTable!$B$2:$Y$301, MATCH(ROUND(MIN(300,MAX(1,D2933)),0), FactorTable!$A$2:$A$301,0), Skills!M30+1)</f>
        <v/>
      </c>
      <c r="F2933">
        <f>IF(Skills!N30=TRUE,(Skills!L30/10)*(E2933/1000),Skills!L30/10)+Skills!O30</f>
        <v/>
      </c>
      <c r="G2933">
        <f>Skills!G30*IF(Skills!H30&gt;0,INT(IF(Inputs!$B$38="pvp",MIN(Skills!I30,15),Skills!I30)/Skills!H30+0.000000001),1)</f>
        <v/>
      </c>
      <c r="H2933">
        <f>1-(1-Skills!J30/100)^Skills!K30</f>
        <v/>
      </c>
      <c r="I2933" t="inlineStr">
        <is>
          <t>1</t>
        </is>
      </c>
      <c r="J2933" t="inlineStr"/>
      <c r="K2933" t="inlineStr"/>
      <c r="L2933" t="inlineStr"/>
      <c r="M2933" t="inlineStr"/>
      <c r="N2933" t="inlineStr"/>
      <c r="O2933">
        <f>(1-Summary!$B$11)*T2933+Summary!$B$11*V2933</f>
        <v/>
      </c>
      <c r="P2933">
        <f>IF(B2948=0,0,O2933/B2948)</f>
        <v/>
      </c>
      <c r="Q2933" t="n">
        <v>0</v>
      </c>
      <c r="R2933" t="n">
        <v>0</v>
      </c>
      <c r="S2933">
        <f>IFERROR(O2933/N2933,0)</f>
        <v/>
      </c>
      <c r="T2933" t="n">
        <v>0</v>
      </c>
      <c r="V2933" t="n">
        <v>0</v>
      </c>
    </row>
    <row r="2934">
      <c r="A2934">
        <f>Skills!A31</f>
        <v/>
      </c>
      <c r="B2934">
        <f>Skills!B31</f>
        <v/>
      </c>
      <c r="C2934">
        <f>Inputs!$B$3&gt;=120</f>
        <v/>
      </c>
      <c r="D2934">
        <f>IF(Skills!C31=1,60+Inputs!$B$25+Inputs!$B$29,IF(Skills!C31=2,90+Inputs!$B$26+Inputs!$B$29,IF(Skills!C31=3,120+Inputs!$B$27+Inputs!$B$29,MAX(0,(Inputs!$B$3-100)*3)+Inputs!$B$28+Inputs!$B$29)))</f>
        <v/>
      </c>
      <c r="E2934">
        <f>INDEX(FactorTable!$B$2:$Y$301, MATCH(ROUND(MIN(300,MAX(1,D2934)),0), FactorTable!$A$2:$A$301,0), Skills!M31+1)</f>
        <v/>
      </c>
      <c r="F2934">
        <f>IF(Skills!N31=TRUE,(Skills!L31/10)*(E2934/1000),Skills!L31/10)+Skills!O31</f>
        <v/>
      </c>
      <c r="G2934">
        <f>Skills!G31*IF(Skills!H31&gt;0,INT(IF(Inputs!$B$38="pvp",MIN(Skills!I31,15),Skills!I31)/Skills!H31+0.000000001),1)</f>
        <v/>
      </c>
      <c r="H2934">
        <f>1-(1-Skills!J31/100)^Skills!K31</f>
        <v/>
      </c>
      <c r="I2934" t="inlineStr">
        <is>
          <t>1</t>
        </is>
      </c>
      <c r="J2934" t="inlineStr"/>
      <c r="K2934" t="inlineStr"/>
      <c r="L2934" t="inlineStr"/>
      <c r="M2934" t="inlineStr"/>
      <c r="N2934" t="inlineStr"/>
      <c r="O2934">
        <f>(1-Summary!$B$11)*T2934+Summary!$B$11*V2934</f>
        <v/>
      </c>
      <c r="P2934">
        <f>IF(B2948=0,0,O2934/B2948)</f>
        <v/>
      </c>
      <c r="Q2934" t="n">
        <v>0</v>
      </c>
      <c r="R2934" t="n">
        <v>0</v>
      </c>
      <c r="S2934">
        <f>IFERROR(O2934/N2934,0)</f>
        <v/>
      </c>
      <c r="T2934" t="n">
        <v>0</v>
      </c>
      <c r="V2934" t="n">
        <v>0</v>
      </c>
    </row>
    <row r="2935">
      <c r="A2935">
        <f>Skills!A32</f>
        <v/>
      </c>
      <c r="B2935">
        <f>Skills!B32</f>
        <v/>
      </c>
      <c r="C2935">
        <f>Inputs!$B$3&gt;=45</f>
        <v/>
      </c>
      <c r="D2935">
        <f>IF(Skills!C32=1,60+Inputs!$B$25+Inputs!$B$29,IF(Skills!C32=2,90+Inputs!$B$26+Inputs!$B$29,IF(Skills!C32=3,120+Inputs!$B$27+Inputs!$B$29,MAX(0,(Inputs!$B$3-100)*3)+Inputs!$B$28+Inputs!$B$29)))</f>
        <v/>
      </c>
      <c r="E2935">
        <f>INDEX(FactorTable!$B$2:$Y$301, MATCH(ROUND(MIN(300,MAX(1,D2935)),0), FactorTable!$A$2:$A$301,0), Skills!M32+1)</f>
        <v/>
      </c>
      <c r="F2935">
        <f>IF(Skills!N32=TRUE,(Skills!L32/10)*(E2935/1000),Skills!L32/10)+Skills!O32</f>
        <v/>
      </c>
      <c r="G2935">
        <f>Skills!G32*IF(Skills!H32&gt;0,INT(IF(Inputs!$B$38="pvp",MIN(Skills!I32,15),Skills!I32)/Skills!H32+0.000000001),1)</f>
        <v/>
      </c>
      <c r="H2935">
        <f>1-(1-Skills!J32/100)^Skills!K32</f>
        <v/>
      </c>
      <c r="I2935" t="inlineStr">
        <is>
          <t>1</t>
        </is>
      </c>
      <c r="J2935" t="inlineStr"/>
      <c r="K2935" t="inlineStr"/>
      <c r="L2935" t="inlineStr"/>
      <c r="M2935" t="inlineStr"/>
      <c r="N2935" t="inlineStr"/>
      <c r="O2935">
        <f>(1-Summary!$B$11)*T2935+Summary!$B$11*V2935</f>
        <v/>
      </c>
      <c r="P2935">
        <f>IF(B2948=0,0,O2935/B2948)</f>
        <v/>
      </c>
      <c r="Q2935" t="n">
        <v>0</v>
      </c>
      <c r="R2935" t="n">
        <v>0</v>
      </c>
      <c r="S2935">
        <f>IFERROR(O2935/N2935,0)</f>
        <v/>
      </c>
      <c r="T2935" t="n">
        <v>0</v>
      </c>
      <c r="V2935" t="n">
        <v>0</v>
      </c>
    </row>
    <row r="2937">
      <c r="A2937" t="inlineStr">
        <is>
          <t>Attack% Bucket Multiplier</t>
        </is>
      </c>
      <c r="B2937">
        <f>(1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8">
      <c r="A2938" t="inlineStr">
        <is>
          <t>Global Crit Rate Bonus %</t>
        </is>
      </c>
      <c r="B2938" t="n">
        <v>0</v>
      </c>
    </row>
    <row r="2939">
      <c r="A2939" t="inlineStr">
        <is>
          <t>Attack Speed Buff Bonus %</t>
        </is>
      </c>
      <c r="B2939">
        <f>((C2924=TRUE)*F2924*IF(AND(Inputs!$B$38&lt;&gt;"pvp",Inputs!$B$43&gt;0),(((R2924-1)*MIN((Skills!T21*(1+Inputs!$B$34/100)),(1/Q2924))+MIN((Skills!T21*(1+Inputs!$B$34/100)),MAX(0,Inputs!$B$43-((R2924-1)*(1/Q2924)))))/Inputs!$B$43),IF(Inputs!$B$38="pvp",MIN((Skills!T21*(1+Inputs!$B$34/100)),15)/15,MIN(1,(Skills!T21*(1+Inputs!$B$34/100))/(1/Q2924)))))</f>
        <v/>
      </c>
    </row>
    <row r="2940">
      <c r="A2940" t="inlineStr">
        <is>
          <t>Actions Per Second</t>
        </is>
      </c>
      <c r="B2940">
        <f>1+MIN(150,150*(1-(1-(Inputs!$B$11+((C2926=TRUE)*(F2926-Calc!F23))+((C2927=TRUE)*(F2927-Calc!F24)))/150)*(1-B2939/150)))/100</f>
        <v/>
      </c>
    </row>
    <row r="2941">
      <c r="A2941" t="inlineStr">
        <is>
          <t>Skill + Buff Cast Rate</t>
        </is>
      </c>
      <c r="B2941">
        <f>IF(AND(Inputs!$B$38&lt;&gt;"pvp",Inputs!$B$43&gt;0),SUMPRODUCT((Skills!E2:E32=TRUE)*(C2905:C2935=TRUE)*R2905:R2935*Skills!F2:F32)/Inputs!$B$43,SUMPRODUCT((Skills!E2:E32=TRUE)*(C2905:C2935=TRUE)*Q2905:Q2935*Skills!F2:F32))</f>
        <v/>
      </c>
    </row>
    <row r="2942">
      <c r="A2942" t="inlineStr">
        <is>
          <t>Arrow Stream Casts Per Second</t>
        </is>
      </c>
      <c r="B2942">
        <f>MAX(0,B2940-B2941)</f>
        <v/>
      </c>
    </row>
    <row r="2943">
      <c r="A2943" t="inlineStr">
        <is>
          <t>Global Critical Damage Bonus % (Sharp Eyes + Concentration)</t>
        </is>
      </c>
      <c r="B2943">
        <f>(C2921=TRUE)*F2921*IF(AND(Inputs!$B$38&lt;&gt;"pvp",Inputs!$B$43&gt;0),(((R2921-1)*MIN((Skills!T18*(1+Inputs!$B$34/100)),(1/Q2921))+MIN((Skills!T18*(1+Inputs!$B$34/100)),MAX(0,Inputs!$B$43-((R2921-1)*(1/Q2921)))))/Inputs!$B$43),IF(Inputs!$B$38="pvp",MIN((Skills!T18*(1+Inputs!$B$34/100)),15)/15,MIN(1,(Skills!T18*(1+Inputs!$B$34/100))/(1/Q2921))))+(C2922=TRUE)*7*F2922</f>
        <v/>
      </c>
    </row>
    <row r="2944">
      <c r="A2944" t="inlineStr">
        <is>
          <t>Global Final Damage Bonus % (Mortal Blow)</t>
        </is>
      </c>
      <c r="B2944">
        <f>(C2923=TRUE)*F2923</f>
        <v/>
      </c>
    </row>
    <row r="2945">
      <c r="A2945" t="inlineStr">
        <is>
          <t>Buff-Casting Startup Delay (s, fixed-duration only)</t>
        </is>
      </c>
      <c r="B2945">
        <f>IF(AND(Inputs!$B$38&lt;&gt;"pvp",Inputs!$B$43&gt;0),SUMPRODUCT((Skills!T2:T32&gt;0)*(Skills!E2:E32=TRUE)*(C2905:C2935=TRUE))/B2940,0)</f>
        <v/>
      </c>
    </row>
    <row r="2946">
      <c r="A2946" t="inlineStr">
        <is>
          <t>Boss-Only Total DPS (this block's swept value)</t>
        </is>
      </c>
      <c r="B2946">
        <f>SUM(T2905:T2935)</f>
        <v/>
      </c>
    </row>
    <row r="2947">
      <c r="A2947" t="inlineStr">
        <is>
          <t>Normal-Only Total DPS (this block's swept value)</t>
        </is>
      </c>
      <c r="B2947">
        <f>SUM(V2905:V2935)</f>
        <v/>
      </c>
    </row>
    <row r="2948">
      <c r="A2948" s="6" t="inlineStr">
        <is>
          <t>TOTAL DPS</t>
        </is>
      </c>
      <c r="B2948" s="6">
        <f>SUM(O2905:O2935)</f>
        <v/>
      </c>
    </row>
    <row r="2951">
      <c r="A2951" s="6" t="inlineStr">
        <is>
          <t>Stat: Secret Map (Equip)</t>
        </is>
      </c>
    </row>
    <row r="2952">
      <c r="A2952" s="5" t="inlineStr">
        <is>
          <t>Key</t>
        </is>
      </c>
      <c r="B2952" s="5" t="inlineStr">
        <is>
          <t>Name</t>
        </is>
      </c>
      <c r="C2952" s="5" t="inlineStr">
        <is>
          <t>Unlocked</t>
        </is>
      </c>
      <c r="D2952" s="5" t="inlineStr">
        <is>
          <t>InputLevel</t>
        </is>
      </c>
      <c r="E2952" s="5" t="inlineStr">
        <is>
          <t>Factor</t>
        </is>
      </c>
      <c r="F2952" s="5" t="inlineStr">
        <is>
          <t>CoefficientPercent</t>
        </is>
      </c>
      <c r="G2952" s="5" t="inlineStr">
        <is>
          <t>EffectiveHits</t>
        </is>
      </c>
      <c r="H2952" s="5" t="inlineStr">
        <is>
          <t>ProcProbability</t>
        </is>
      </c>
      <c r="I2952" s="5" t="inlineStr">
        <is>
          <t>MapleHeroMultiplier</t>
        </is>
      </c>
      <c r="J2952" s="5" t="inlineStr">
        <is>
          <t>BaseDamage</t>
        </is>
      </c>
      <c r="K2952" s="5" t="inlineStr">
        <is>
          <t>BaseHitDamage</t>
        </is>
      </c>
      <c r="L2952" s="5" t="inlineStr">
        <is>
          <t>NonCritAvg</t>
        </is>
      </c>
      <c r="M2952" s="5" t="inlineStr">
        <is>
          <t>CritAvg</t>
        </is>
      </c>
      <c r="N2952" s="5" t="inlineStr">
        <is>
          <t>ExpectedDamage(perHit)</t>
        </is>
      </c>
      <c r="O2952" s="5" t="inlineStr">
        <is>
          <t>DPS</t>
        </is>
      </c>
      <c r="P2952" s="5" t="inlineStr">
        <is>
          <t>% of Total</t>
        </is>
      </c>
      <c r="Q2952" s="5" t="inlineStr">
        <is>
          <t>InvCooldown</t>
        </is>
      </c>
      <c r="R2952" s="5" t="inlineStr">
        <is>
          <t>CastsInFight</t>
        </is>
      </c>
      <c r="S2952" s="5" t="inlineStr">
        <is>
          <t>HitRate(perSec)</t>
        </is>
      </c>
      <c r="U2952" t="inlineStr">
        <is>
          <t>helpers</t>
        </is>
      </c>
    </row>
    <row r="2953">
      <c r="A2953">
        <f>Skills!A2</f>
        <v/>
      </c>
      <c r="B2953">
        <f>Skills!B2</f>
        <v/>
      </c>
      <c r="C2953">
        <f>Inputs!$B$3&gt;=100</f>
        <v/>
      </c>
      <c r="D2953" t="inlineStr"/>
      <c r="E2953" t="inlineStr"/>
      <c r="F2953">
        <f>U2955+Skills!O2</f>
        <v/>
      </c>
      <c r="G2953">
        <f>Skills!G2*IF(Skills!H2&gt;0,INT(IF(Inputs!$B$38="pvp",MIN(Skills!I2,15),Skills!I2)/Skills!H2+0.000000001),1)</f>
        <v/>
      </c>
      <c r="H2953">
        <f>1-(1-Skills!J2/100)^Skills!K2</f>
        <v/>
      </c>
      <c r="I2953" t="inlineStr">
        <is>
          <t>1</t>
        </is>
      </c>
      <c r="J2953">
        <f>((Inputs!$B$6*(1+Inputs!$B$7/100))+(((Inputs!$B$12*(1+Inputs!$B$13/100))-(Inputs!$B$12*(1+Inputs!$B$13/100)))+0.25*(Inputs!$B$14-Inputs!$B$14))*(1+Inputs!$B$7/100))*(F2953/100)</f>
        <v/>
      </c>
      <c r="K2953">
        <f>J2953*(1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2977=TRUE)*(F2977-Calc!F26)),(Inputs!$B$23+((C2982=TRUE)*(F2982-Calc!F31))+(IF(ArtifactsInput!$M$15,CHOOSE(ArtifactsInput!$N$15+1,25,30,35,40,45,50)/100*(Inputs!$B$11-Inputs!$B$11),0))))/100+(Inputs!$B$23+((C2982=TRUE)*(F2982-Calc!F31))+(IF(ArtifactsInput!$M$15,CHOOSE(ArtifactsInput!$N$15+1,25,30,35,40,45,50)/100*(Inputs!$B$11-Inputs!$B$11),0)))/100)/2</f>
        <v/>
      </c>
      <c r="M2953">
        <f>L2953*(1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IF(B2996=0,0,O2953/B2996)</f>
        <v/>
      </c>
      <c r="Q2953" t="n">
        <v>0</v>
      </c>
      <c r="R2953" t="n">
        <v>0</v>
      </c>
      <c r="S2953">
        <f>IFERROR(O2953/N2953,0)</f>
        <v/>
      </c>
      <c r="T2953">
        <f>IF(C2953,(Skills!G2*N2953*B2990)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MAX(0,(Inputs!$B$3-100)*3)+Inputs!$B$28+Inputs!$B$29</f>
        <v/>
      </c>
      <c r="V2953">
        <f>IF(C2953,(Skills!G2*N2953*B2990)*IF(Inputs!$B$38="pvp",1,(1+(Inputs!$B$21+Skills!Q2+(IF(ArtifactsInput!$M$33,CHOOSE(ArtifactsInput!$N$33+1,30,36,42,48,54,60),0))+(IF(AND(ArtifactsInput!$M$35,Inputs!$B$4&lt;&gt;"Chapter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Skills!A3</f>
        <v/>
      </c>
      <c r="B2954">
        <f>Skills!B3</f>
        <v/>
      </c>
      <c r="C2954">
        <f>Inputs!$B$3&gt;=50</f>
        <v/>
      </c>
      <c r="D2954">
        <f>IF(Skills!C3=1,60+Inputs!$B$25+Inputs!$B$29,IF(Skills!C3=2,90+Inputs!$B$26+Inputs!$B$29,IF(Skills!C3=3,120+Inputs!$B$27+Inputs!$B$29,MAX(0,(Inputs!$B$3-100)*3)+Inputs!$B$28+Inputs!$B$29)))</f>
        <v/>
      </c>
      <c r="E2954">
        <f>INDEX(FactorTable!$B$2:$Y$301, MATCH(ROUND(MIN(300,MAX(1,D2954)),0), FactorTable!$A$2:$A$301,0), Skills!M3+1)</f>
        <v/>
      </c>
      <c r="F2954">
        <f>IF(Skills!N3=TRUE,(Skills!L3/10)*(E2954/1000),Skills!L3/10)+Skills!O3</f>
        <v/>
      </c>
      <c r="G2954">
        <f>Skills!G3*IF(Skills!H3&gt;0,INT(IF(Inputs!$B$38="pvp",MIN(Skills!I3,15),Skills!I3)/Skills!H3+0.000000001),1)</f>
        <v/>
      </c>
      <c r="H2954">
        <f>1-(1-Skills!J3/100)^Skills!K3</f>
        <v/>
      </c>
      <c r="I2954" t="inlineStr">
        <is>
          <t>1</t>
        </is>
      </c>
      <c r="J2954">
        <f>((Inputs!$B$6*(1+Inputs!$B$7/100))+(((Inputs!$B$12*(1+Inputs!$B$13/100))-(Inputs!$B$12*(1+Inputs!$B$13/100)))+0.25*(Inputs!$B$14-Inputs!$B$14))*(1+Inputs!$B$7/100))*(F2954/100)</f>
        <v/>
      </c>
      <c r="K2954">
        <f>J2954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2955=TRUE,F2955,0)/100)*(1+(IF(Skills!A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2977=TRUE)*(F2977-Calc!F26)),(Inputs!$B$23+((C2982=TRUE)*(F2982-Calc!F31))+(IF(ArtifactsInput!$M$15,CHOOSE(ArtifactsInput!$N$15+1,25,30,35,40,45,50)/100*(Inputs!$B$11-Inputs!$B$11),0))))/100+(Inputs!$B$23+((C2982=TRUE)*(F2982-Calc!F31))+(IF(ArtifactsInput!$M$15,CHOOSE(ArtifactsInput!$N$15+1,25,30,35,40,45,50)/100*(Inputs!$B$11-Inputs!$B$11),0)))/100)/2</f>
        <v/>
      </c>
      <c r="M2954">
        <f>L2954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IF(B2996=0,0,O2954/B2996)</f>
        <v/>
      </c>
      <c r="Q2954">
        <f>IFERROR(1/(IF(Inputs!$B$38="pvp",15,MAX(0.1,1/B2988-IF(FALSE=TRUE,Inputs!$B$32,0)))*(1-IF(AND(ArtifactsInput!$M$27,Inputs!$B$4="Chapter Hunt"),CHOOSE(ArtifactsInput!$N$27+1,20,24,28,32,36,40),0)/100)),0)</f>
        <v/>
      </c>
      <c r="R2954">
        <f>IF(AND(Inputs!$B$38&lt;&gt;"pvp",Inputs!$B$43&gt;0),IF(MAX(0,Inputs!$B$43-B2993)&lt;=0,0,(INT(MAX(0,Inputs!$B$43-B2993)/(IF(Inputs!$B$38="pvp",15,MAX(0.1,1/B2988-IF(FALSE=TRUE,Inputs!$B$32,0)))*(1-IF(AND(ArtifactsInput!$M$27,Inputs!$B$4="Chapter Hunt"),CHOOSE(ArtifactsInput!$N$27+1,20,24,28,32,36,40),0)/100)))+1)),0)</f>
        <v/>
      </c>
      <c r="S2954">
        <f>IFERROR(O2954/N2954,0)</f>
        <v/>
      </c>
      <c r="T2954">
        <f>IF(C2954,(H2954*N2954*IF(AND(Inputs!$B$38&lt;&gt;"pvp",Inputs!$B$43&gt;0),((Skills!G3*((R2954-1)*IF(Skills!H3&gt;0,INT(Skills!I3/Skills!H3+0.000000001),1)+IF(Skills!H3&gt;0,INT(MIN(Skills!I3,MAX(0,MAX(0,Inputs!$B$43-B2993)-((R2954-1)*(IF(Inputs!$B$38="pvp",15,MAX(0.1,1/B2988-IF(FALSE=TRUE,Inputs!$B$32,0)))*(1-IF(AND(ArtifactsInput!$M$27,Inputs!$B$4="Chapter Hunt"),CHOOSE(ArtifactsInput!$N$27+1,20,24,28,32,36,40),0)/100)))))/Skills!H3+0.000000001),1)))/Inputs!$B$43),G2954*Q2954)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INDEX(FactorTable!$B$2:$Y$301, MATCH(ROUND(MIN(300,MAX(1,U2953)),0), FactorTable!$A$2:$A$301,0), 22)</f>
        <v/>
      </c>
      <c r="V2954">
        <f>IF(C2954,(H2954*N2954*IF(AND(Inputs!$B$38&lt;&gt;"pvp",Inputs!$B$43&gt;0),((Skills!G3*((R2954-1)*IF(Skills!H3&gt;0,INT(Skills!I3/Skills!H3+0.000000001),1)+IF(Skills!H3&gt;0,INT(MIN(Skills!I3,MAX(0,MAX(0,Inputs!$B$43-B2993)-((R2954-1)*(IF(Inputs!$B$38="pvp",15,MAX(0.1,1/B2988-IF(FALSE=TRUE,Inputs!$B$32,0)))*(1-IF(AND(ArtifactsInput!$M$27,Inputs!$B$4="Chapter Hunt"),CHOOSE(ArtifactsInput!$N$27+1,20,24,28,32,36,40),0)/100)))))/Skills!H3+0.000000001),1)))/Inputs!$B$43),G2954*Q2954))*IF(Inputs!$B$38="pvp",1,(1+(Inputs!$B$21+Skills!Q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Skills!A4</f>
        <v/>
      </c>
      <c r="B2955">
        <f>Skills!B4</f>
        <v/>
      </c>
      <c r="C2955">
        <f>Inputs!$B$3&gt;=105</f>
        <v/>
      </c>
      <c r="D2955">
        <f>IF(Skills!C4=1,60+Inputs!$B$25+Inputs!$B$29,IF(Skills!C4=2,90+Inputs!$B$26+Inputs!$B$29,IF(Skills!C4=3,120+Inputs!$B$27+Inputs!$B$29,MAX(0,(Inputs!$B$3-100)*3)+Inputs!$B$28+Inputs!$B$29)))</f>
        <v/>
      </c>
      <c r="E2955">
        <f>INDEX(FactorTable!$B$2:$Y$301, MATCH(ROUND(MIN(300,MAX(1,D2955)),0), FactorTable!$A$2:$A$301,0), Skills!M4+1)</f>
        <v/>
      </c>
      <c r="F2955">
        <f>IF(Skills!N4=TRUE,(Skills!L4/10)*(E2955/1000),Skills!L4/10)+Skills!O4</f>
        <v/>
      </c>
      <c r="G2955" t="inlineStr"/>
      <c r="H2955" t="inlineStr"/>
      <c r="I2955" t="inlineStr">
        <is>
          <t>1</t>
        </is>
      </c>
      <c r="J2955" t="inlineStr"/>
      <c r="K2955" t="inlineStr"/>
      <c r="L2955" t="inlineStr"/>
      <c r="M2955" t="inlineStr"/>
      <c r="N2955" t="inlineStr"/>
      <c r="O2955" t="inlineStr"/>
      <c r="P2955" t="inlineStr"/>
      <c r="Q2955" t="inlineStr"/>
      <c r="R2955" t="inlineStr"/>
      <c r="S2955" t="inlineStr"/>
      <c r="T2955" t="inlineStr"/>
      <c r="U2955">
        <f>290*U2954/1000</f>
        <v/>
      </c>
      <c r="V2955" t="inlineStr"/>
    </row>
    <row r="2956">
      <c r="A2956">
        <f>Skills!A5</f>
        <v/>
      </c>
      <c r="B2956">
        <f>Skills!B5</f>
        <v/>
      </c>
      <c r="C2956">
        <f>Inputs!$B$3&gt;=35</f>
        <v/>
      </c>
      <c r="D2956">
        <f>IF(Skills!C5=1,60+Inputs!$B$25+Inputs!$B$29,IF(Skills!C5=2,90+Inputs!$B$26+Inputs!$B$29,IF(Skills!C5=3,120+Inputs!$B$27+Inputs!$B$29,MAX(0,(Inputs!$B$3-100)*3)+Inputs!$B$28+Inputs!$B$29)))</f>
        <v/>
      </c>
      <c r="E2956">
        <f>INDEX(FactorTable!$B$2:$Y$301, MATCH(ROUND(MIN(300,MAX(1,D2956)),0), FactorTable!$A$2:$A$301,0), Skills!M5+1)</f>
        <v/>
      </c>
      <c r="F2956">
        <f>IF(Skills!N5=TRUE,(Skills!L5/10)*(E2956/1000),Skills!L5/10)+Skills!O5</f>
        <v/>
      </c>
      <c r="G2956">
        <f>Skills!G5*IF(Skills!H5&gt;0,INT(IF(Inputs!$B$38="pvp",MIN(Skills!I5,15),Skills!I5)/Skills!H5+0.000000001),1)</f>
        <v/>
      </c>
      <c r="H2956">
        <f>1-(1-Skills!J5/100)^Skills!K5</f>
        <v/>
      </c>
      <c r="I2956" t="inlineStr">
        <is>
          <t>1</t>
        </is>
      </c>
      <c r="J2956">
        <f>((Inputs!$B$6*(1+Inputs!$B$7/100))+(((Inputs!$B$12*(1+Inputs!$B$13/100))-(Inputs!$B$12*(1+Inputs!$B$13/100)))+0.25*(Inputs!$B$14-Inputs!$B$14))*(1+Inputs!$B$7/100))*(F2956/100)</f>
        <v/>
      </c>
      <c r="K2956">
        <f>J2956*(1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2963=TRUE,F2963,0)/100)*(1+(IF(Skills!A5="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2977=TRUE)*(F2977-Calc!F26)),(Inputs!$B$23+((C2982=TRUE)*(F2982-Calc!F31))+(IF(ArtifactsInput!$M$15,CHOOSE(ArtifactsInput!$N$15+1,25,30,35,40,45,50)/100*(Inputs!$B$11-Inputs!$B$11),0))))/100+(Inputs!$B$23+((C2982=TRUE)*(F2982-Calc!F31))+(IF(ArtifactsInput!$M$15,CHOOSE(ArtifactsInput!$N$15+1,25,30,35,40,45,50)/100*(Inputs!$B$11-Inputs!$B$11),0)))/100)/2</f>
        <v/>
      </c>
      <c r="M2956">
        <f>L2956*(1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IF(B2996=0,0,O2956/B2996)</f>
        <v/>
      </c>
      <c r="Q2956">
        <f>IFERROR(1/(IF(Inputs!$B$38="pvp",15,MAX(0.1,Skills!D5-IF(TRUE=TRUE,Inputs!$B$32,0)))*(1-IF(AND(ArtifactsInput!$M$27,Inputs!$B$4="Chapter Hunt"),CHOOSE(ArtifactsInput!$N$27+1,20,24,28,32,36,40),0)/100)),0)</f>
        <v/>
      </c>
      <c r="R2956">
        <f>IF(AND(Inputs!$B$38&lt;&gt;"pvp",Inputs!$B$43&gt;0),IF(MAX(0,Inputs!$B$43-B2993)&lt;=0,0,(INT(MAX(0,Inputs!$B$43-B2993)/(IF(Inputs!$B$38="pvp",15,MAX(0.1,Skills!D5-IF(TRUE=TRUE,Inputs!$B$32,0)))*(1-IF(AND(ArtifactsInput!$M$27,Inputs!$B$4="Chapter Hunt"),CHOOSE(ArtifactsInput!$N$27+1,20,24,28,32,36,40),0)/100)))+1)),0)</f>
        <v/>
      </c>
      <c r="S2956">
        <f>IFERROR(O2956/N2956,0)</f>
        <v/>
      </c>
      <c r="T2956">
        <f>IF(C2956,(H2956*N2956*IF(AND(Inputs!$B$38&lt;&gt;"pvp",Inputs!$B$43&gt;0),((Skills!G5*((R2956-1)*IF(Skills!H5&gt;0,INT(Skills!I5/Skills!H5+0.000000001),1)+IF(Skills!H5&gt;0,INT(MIN(Skills!I5,MAX(0,MAX(0,Inputs!$B$43-B2993)-((R2956-1)*(IF(Inputs!$B$38="pvp",15,MAX(0.1,Skills!D5-IF(TRUE=TRUE,Inputs!$B$32,0)))*(1-IF(AND(ArtifactsInput!$M$27,Inputs!$B$4="Chapter Hunt"),CHOOSE(ArtifactsInput!$N$27+1,20,24,28,32,36,40),0)/100)))))/Skills!H5+0.000000001),1)))/Inputs!$B$43),G2956*Q2956)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5*((R2956-1)*IF(Skills!H5&gt;0,INT(Skills!I5/Skills!H5+0.000000001),1)+IF(Skills!H5&gt;0,INT(MIN(Skills!I5,MAX(0,MAX(0,Inputs!$B$43-B2993)-((R2956-1)*(IF(Inputs!$B$38="pvp",15,MAX(0.1,Skills!D5-IF(TRUE=TRUE,Inputs!$B$32,0)))*(1-IF(AND(ArtifactsInput!$M$27,Inputs!$B$4="Chapter Hunt"),CHOOSE(ArtifactsInput!$N$27+1,20,24,28,32,36,40),0)/100)))))/Skills!H5+0.000000001),1)))/Inputs!$B$43),G2956*Q2956))*IF(Inputs!$B$38="pvp",1,(1+(Inputs!$B$21+Skills!Q5+(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Skills!A6</f>
        <v/>
      </c>
      <c r="B2957">
        <f>Skills!B6</f>
        <v/>
      </c>
      <c r="C2957">
        <f>Inputs!$B$3&gt;=40</f>
        <v/>
      </c>
      <c r="D2957">
        <f>IF(Skills!C6=1,60+Inputs!$B$25+Inputs!$B$29,IF(Skills!C6=2,90+Inputs!$B$26+Inputs!$B$29,IF(Skills!C6=3,120+Inputs!$B$27+Inputs!$B$29,MAX(0,(Inputs!$B$3-100)*3)+Inputs!$B$28+Inputs!$B$29)))</f>
        <v/>
      </c>
      <c r="E2957">
        <f>INDEX(FactorTable!$B$2:$Y$301, MATCH(ROUND(MIN(300,MAX(1,D2957)),0), FactorTable!$A$2:$A$301,0), Skills!M6+1)</f>
        <v/>
      </c>
      <c r="F2957">
        <f>IF(Skills!N6=TRUE,(Skills!L6/10)*(E2957/1000),Skills!L6/10)+Skills!O6</f>
        <v/>
      </c>
      <c r="G2957">
        <f>Skills!G6*IF(Skills!H6&gt;0,INT(IF(Inputs!$B$38="pvp",MIN(Skills!I6,15),Skills!I6)/Skills!H6+0.000000001),1)</f>
        <v/>
      </c>
      <c r="H2957">
        <f>1-(1-Skills!J6/100)^Skills!K6</f>
        <v/>
      </c>
      <c r="I2957" t="inlineStr">
        <is>
          <t>1</t>
        </is>
      </c>
      <c r="J2957">
        <f>((Inputs!$B$6*(1+Inputs!$B$7/100))+(((Inputs!$B$12*(1+Inputs!$B$13/100))-(Inputs!$B$12*(1+Inputs!$B$13/100)))+0.25*(Inputs!$B$14-Inputs!$B$14))*(1+Inputs!$B$7/100))*(F2957/100)</f>
        <v/>
      </c>
      <c r="K2957">
        <f>J2957*(1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2958=TRUE,F2958,0)/100)*(1+(IF(Skills!A6="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2977=TRUE)*(F2977-Calc!F26)),(Inputs!$B$23+((C2982=TRUE)*(F2982-Calc!F31))+(IF(ArtifactsInput!$M$15,CHOOSE(ArtifactsInput!$N$15+1,25,30,35,40,45,50)/100*(Inputs!$B$11-Inputs!$B$11),0))))/100+(Inputs!$B$23+((C2982=TRUE)*(F2982-Calc!F31))+(IF(ArtifactsInput!$M$15,CHOOSE(ArtifactsInput!$N$15+1,25,30,35,40,45,50)/100*(Inputs!$B$11-Inputs!$B$11),0)))/100)/2</f>
        <v/>
      </c>
      <c r="M2957">
        <f>L2957*(1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IF(B2996=0,0,O2957/B2996)</f>
        <v/>
      </c>
      <c r="Q2957">
        <f>IFERROR(1/(IF(Inputs!$B$38="pvp",15,MAX(0.1,1-0.4*MIN(1,(B2988-1)/1.5)-IF(FALSE=TRUE,Inputs!$B$32,0)))*(1-IF(AND(ArtifactsInput!$M$27,Inputs!$B$4="Chapter Hunt"),CHOOSE(ArtifactsInput!$N$27+1,20,24,28,32,36,40),0)/100)),0)</f>
        <v/>
      </c>
      <c r="R2957">
        <f>IF(AND(Inputs!$B$38&lt;&gt;"pvp",Inputs!$B$43&gt;0),IF(MAX(0,Inputs!$B$43-B2993)&lt;=0,0,(INT(MAX(0,Inputs!$B$43-B2993)/(IF(Inputs!$B$38="pvp",15,MAX(0.1,1-0.4*MIN(1,(B2988-1)/1.5)-IF(FALSE=TRUE,Inputs!$B$32,0)))*(1-IF(AND(ArtifactsInput!$M$27,Inputs!$B$4="Chapter Hunt"),CHOOSE(ArtifactsInput!$N$27+1,20,24,28,32,36,40),0)/100)))+1)),0)</f>
        <v/>
      </c>
      <c r="S2957">
        <f>IFERROR(O2957/N2957,0)</f>
        <v/>
      </c>
      <c r="T2957">
        <f>IF(C2957,(H2957*N2957*IF(AND(Inputs!$B$38&lt;&gt;"pvp",Inputs!$B$43&gt;0),((Skills!G6*((R2957-1)*IF(Skills!H6&gt;0,INT(Skills!I6/Skills!H6+0.000000001),1)+IF(Skills!H6&gt;0,INT(MIN(Skills!I6,MAX(0,MAX(0,Inputs!$B$43-B2993)-((R2957-1)*(IF(Inputs!$B$38="pvp",15,MAX(0.1,1-0.4*MIN(1,(B2988-1)/1.5)-IF(FALSE=TRUE,Inputs!$B$32,0)))*(1-IF(AND(ArtifactsInput!$M$27,Inputs!$B$4="Chapter Hunt"),CHOOSE(ArtifactsInput!$N$27+1,20,24,28,32,36,40),0)/100)))))/Skills!H6+0.000000001),1)))/Inputs!$B$43),G2957*Q2957)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6*((R2957-1)*IF(Skills!H6&gt;0,INT(Skills!I6/Skills!H6+0.000000001),1)+IF(Skills!H6&gt;0,INT(MIN(Skills!I6,MAX(0,MAX(0,Inputs!$B$43-B2993)-((R2957-1)*(IF(Inputs!$B$38="pvp",15,MAX(0.1,1-0.4*MIN(1,(B2988-1)/1.5)-IF(FALSE=TRUE,Inputs!$B$32,0)))*(1-IF(AND(ArtifactsInput!$M$27,Inputs!$B$4="Chapter Hunt"),CHOOSE(ArtifactsInput!$N$27+1,20,24,28,32,36,40),0)/100)))))/Skills!H6+0.000000001),1)))/Inputs!$B$43),G2957*Q2957))*IF(Inputs!$B$38="pvp",1,(1+(Inputs!$B$21+Skills!Q6+(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Skills!A7</f>
        <v/>
      </c>
      <c r="B2958">
        <f>Skills!B7</f>
        <v/>
      </c>
      <c r="C2958">
        <f>Inputs!$B$3&gt;=107</f>
        <v/>
      </c>
      <c r="D2958">
        <f>IF(Skills!C7=1,60+Inputs!$B$25+Inputs!$B$29,IF(Skills!C7=2,90+Inputs!$B$26+Inputs!$B$29,IF(Skills!C7=3,120+Inputs!$B$27+Inputs!$B$29,MAX(0,(Inputs!$B$3-100)*3)+Inputs!$B$28+Inputs!$B$29)))</f>
        <v/>
      </c>
      <c r="E2958">
        <f>INDEX(FactorTable!$B$2:$Y$301, MATCH(ROUND(MIN(300,MAX(1,D2958)),0), FactorTable!$A$2:$A$301,0), Skills!M7+1)</f>
        <v/>
      </c>
      <c r="F2958">
        <f>IF(Skills!N7=TRUE,(Skills!L7/10)*(E2958/1000),Skills!L7/10)+Skills!O7</f>
        <v/>
      </c>
      <c r="G2958" t="inlineStr"/>
      <c r="H2958" t="inlineStr"/>
      <c r="I2958" t="inlineStr">
        <is>
          <t>1</t>
        </is>
      </c>
      <c r="J2958" t="inlineStr"/>
      <c r="K2958" t="inlineStr"/>
      <c r="L2958" t="inlineStr"/>
      <c r="M2958" t="inlineStr"/>
      <c r="N2958" t="inlineStr"/>
      <c r="O2958" t="inlineStr"/>
      <c r="P2958" t="inlineStr"/>
      <c r="Q2958" t="inlineStr"/>
      <c r="R2958" t="inlineStr"/>
      <c r="S2958" t="inlineStr"/>
      <c r="T2958" t="inlineStr"/>
      <c r="V2958" t="inlineStr"/>
    </row>
    <row r="2959">
      <c r="A2959">
        <f>Skills!A8</f>
        <v/>
      </c>
      <c r="B2959">
        <f>Skills!B8</f>
        <v/>
      </c>
      <c r="C2959">
        <f>Inputs!$B$3&gt;=130</f>
        <v/>
      </c>
      <c r="D2959">
        <f>IF(Skills!C8=1,60+Inputs!$B$25+Inputs!$B$29,IF(Skills!C8=2,90+Inputs!$B$26+Inputs!$B$29,IF(Skills!C8=3,120+Inputs!$B$27+Inputs!$B$29,MAX(0,(Inputs!$B$3-100)*3)+Inputs!$B$28+Inputs!$B$29)))</f>
        <v/>
      </c>
      <c r="E2959">
        <f>INDEX(FactorTable!$B$2:$Y$301, MATCH(ROUND(MIN(300,MAX(1,D2959)),0), FactorTable!$A$2:$A$301,0), Skills!M8+1)</f>
        <v/>
      </c>
      <c r="F2959">
        <f>IF(Skills!N8=TRUE,(Skills!L8/10)*(E2959/1000),Skills!L8/10)+Skills!O8</f>
        <v/>
      </c>
      <c r="G2959">
        <f>Skills!G8*IF(Skills!H8&gt;0,INT(IF(Inputs!$B$38="pvp",MIN(Skills!I8,15),Skills!I8)/Skills!H8+0.000000001),1)</f>
        <v/>
      </c>
      <c r="H2959">
        <f>1-(1-Skills!J8/100)^Skills!K8</f>
        <v/>
      </c>
      <c r="I2959" t="inlineStr">
        <is>
          <t>1</t>
        </is>
      </c>
      <c r="J2959">
        <f>((Inputs!$B$6*(1+Inputs!$B$7/100))+(((Inputs!$B$12*(1+Inputs!$B$13/100))-(Inputs!$B$12*(1+Inputs!$B$13/100)))+0.25*(Inputs!$B$14-Inputs!$B$14))*(1+Inputs!$B$7/100))*(F2959/100)</f>
        <v/>
      </c>
      <c r="K2959">
        <f>J2959*(1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2977=TRUE)*(F2977-Calc!F26)),(Inputs!$B$23+((C2982=TRUE)*(F2982-Calc!F31))+(IF(ArtifactsInput!$M$15,CHOOSE(ArtifactsInput!$N$15+1,25,30,35,40,45,50)/100*(Inputs!$B$11-Inputs!$B$11),0))))/100+(Inputs!$B$23+((C2982=TRUE)*(F2982-Calc!F31))+(IF(ArtifactsInput!$M$15,CHOOSE(ArtifactsInput!$N$15+1,25,30,35,40,45,50)/100*(Inputs!$B$11-Inputs!$B$11),0)))/100)/2</f>
        <v/>
      </c>
      <c r="M2959">
        <f>L2959*(1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IF(B2996=0,0,O2959/B2996)</f>
        <v/>
      </c>
      <c r="Q2959">
        <f>IFERROR(1/(IF(Inputs!$B$38="pvp",15,MAX(0.1,1-0.4*MIN(1,(B2988-1)/1.5)-IF(FALSE=TRUE,Inputs!$B$32,0)))*(1-IF(AND(ArtifactsInput!$M$27,Inputs!$B$4="Chapter Hunt"),CHOOSE(ArtifactsInput!$N$27+1,20,24,28,32,36,40),0)/100)),0)</f>
        <v/>
      </c>
      <c r="R2959">
        <f>IF(AND(Inputs!$B$38&lt;&gt;"pvp",Inputs!$B$43&gt;0),IF(MAX(0,Inputs!$B$43-B2993)&lt;=0,0,(INT(MAX(0,Inputs!$B$43-B2993)/(IF(Inputs!$B$38="pvp",15,MAX(0.1,1-0.4*MIN(1,(B2988-1)/1.5)-IF(FALSE=TRUE,Inputs!$B$32,0)))*(1-IF(AND(ArtifactsInput!$M$27,Inputs!$B$4="Chapter Hunt"),CHOOSE(ArtifactsInput!$N$27+1,20,24,28,32,36,40),0)/100)))+1)),0)</f>
        <v/>
      </c>
      <c r="S2959">
        <f>IFERROR(O2959/N2959,0)</f>
        <v/>
      </c>
      <c r="T2959">
        <f>IF(C2959,(H2959*N2959*IF(AND(Inputs!$B$38&lt;&gt;"pvp",Inputs!$B$43&gt;0),((Skills!G8*((R2959-1)*IF(Skills!H8&gt;0,INT(Skills!I8/Skills!H8+0.000000001),1)+IF(Skills!H8&gt;0,INT(MIN(Skills!I8,MAX(0,MAX(0,Inputs!$B$43-B2993)-((R2959-1)*(IF(Inputs!$B$38="pvp",15,MAX(0.1,1-0.4*MIN(1,(B2988-1)/1.5)-IF(FALSE=TRUE,Inputs!$B$32,0)))*(1-IF(AND(ArtifactsInput!$M$27,Inputs!$B$4="Chapter Hunt"),CHOOSE(ArtifactsInput!$N$27+1,20,24,28,32,36,40),0)/100)))))/Skills!H8+0.000000001),1)))/Inputs!$B$43),G2959*Q2959)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IF(AND(Inputs!$B$38&lt;&gt;"pvp",Inputs!$B$43&gt;0),((Skills!G8*((R2959-1)*IF(Skills!H8&gt;0,INT(Skills!I8/Skills!H8+0.000000001),1)+IF(Skills!H8&gt;0,INT(MIN(Skills!I8,MAX(0,MAX(0,Inputs!$B$43-B2993)-((R2959-1)*(IF(Inputs!$B$38="pvp",15,MAX(0.1,1-0.4*MIN(1,(B2988-1)/1.5)-IF(FALSE=TRUE,Inputs!$B$32,0)))*(1-IF(AND(ArtifactsInput!$M$27,Inputs!$B$4="Chapter Hunt"),CHOOSE(ArtifactsInput!$N$27+1,20,24,28,32,36,40),0)/100)))))/Skills!H8+0.000000001),1)))/Inputs!$B$43),G2959*Q2959))*IF(Inputs!$B$38="pvp",1,(1+(Inputs!$B$21+Skills!Q8+(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Skills!A9</f>
        <v/>
      </c>
      <c r="B2960">
        <f>Skills!B9</f>
        <v/>
      </c>
      <c r="C2960">
        <f>Inputs!$B$3&gt;=69</f>
        <v/>
      </c>
      <c r="D2960">
        <f>IF(Skills!C9=1,60+Inputs!$B$25+Inputs!$B$29,IF(Skills!C9=2,90+Inputs!$B$26+Inputs!$B$29,IF(Skills!C9=3,120+Inputs!$B$27+Inputs!$B$29,MAX(0,(Inputs!$B$3-100)*3)+Inputs!$B$28+Inputs!$B$29)))</f>
        <v/>
      </c>
      <c r="E2960">
        <f>INDEX(FactorTable!$B$2:$Y$301, MATCH(ROUND(MIN(300,MAX(1,D2960)),0), FactorTable!$A$2:$A$301,0), Skills!M9+1)</f>
        <v/>
      </c>
      <c r="F2960">
        <f>IF(Skills!N9=TRUE,(Skills!L9/10)*(E2960/1000),Skills!L9/10)+Skills!O9</f>
        <v/>
      </c>
      <c r="G2960">
        <f>Skills!G9*IF(Skills!H9&gt;0,INT(IF(Inputs!$B$38="pvp",MIN(Skills!I9,15),Skills!I9)/Skills!H9+0.000000001),1)</f>
        <v/>
      </c>
      <c r="H2960">
        <f>1-(1-Skills!J9/100)^Skills!K9</f>
        <v/>
      </c>
      <c r="I2960" t="inlineStr">
        <is>
          <t>1</t>
        </is>
      </c>
      <c r="J2960">
        <f>((Inputs!$B$6*(1+Inputs!$B$7/100))+(((Inputs!$B$12*(1+Inputs!$B$13/100))-(Inputs!$B$12*(1+Inputs!$B$13/100)))+0.25*(Inputs!$B$14-Inputs!$B$14))*(1+Inputs!$B$7/100))*(F2960/100)</f>
        <v/>
      </c>
      <c r="K2960">
        <f>J2960*(1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2963=TRUE,F2963,0)/100)*(1+(IF(Skills!A9="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C2977=TRUE)*(F2977-Calc!F26)),(Inputs!$B$23+((C2982=TRUE)*(F2982-Calc!F31))+(IF(ArtifactsInput!$M$15,CHOOSE(ArtifactsInput!$N$15+1,25,30,35,40,45,50)/100*(Inputs!$B$11-Inputs!$B$11),0))))/100+(Inputs!$B$23+((C2982=TRUE)*(F2982-Calc!F31))+(IF(ArtifactsInput!$M$15,CHOOSE(ArtifactsInput!$N$15+1,25,30,35,40,45,50)/100*(Inputs!$B$11-Inputs!$B$11),0)))/100)/2</f>
        <v/>
      </c>
      <c r="M2960">
        <f>L2960*(1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(1-Summary!$B$11)*T2960+Summary!$B$11*V2960</f>
        <v/>
      </c>
      <c r="P2960">
        <f>IF(B2996=0,0,O2960/B2996)</f>
        <v/>
      </c>
      <c r="Q2960">
        <f>IFERROR(1/(IF(Inputs!$B$38="pvp",15,MAX(0.1,Skills!D9-IF(TRUE=TRUE,Inputs!$B$32,0)))*(1-IF(AND(ArtifactsInput!$M$27,Inputs!$B$4="Chapter Hunt"),CHOOSE(ArtifactsInput!$N$27+1,20,24,28,32,36,40),0)/100)),0)</f>
        <v/>
      </c>
      <c r="R2960">
        <f>IF(AND(Inputs!$B$38&lt;&gt;"pvp",Inputs!$B$43&gt;0),IF(MAX(0,Inputs!$B$43-B2993)&lt;=0,0,(INT(MAX(0,Inputs!$B$43-B2993)/(IF(Inputs!$B$38="pvp",15,MAX(0.1,Skills!D9-IF(TRUE=TRUE,Inputs!$B$32,0)))*(1-IF(AND(ArtifactsInput!$M$27,Inputs!$B$4="Chapter Hunt"),CHOOSE(ArtifactsInput!$N$27+1,20,24,28,32,36,40),0)/100)))+1)),0)</f>
        <v/>
      </c>
      <c r="S2960">
        <f>IFERROR(O2960/N2960,0)</f>
        <v/>
      </c>
      <c r="T2960">
        <f>IF(C2960,(H2960*N2960*IF(AND(Inputs!$B$38&lt;&gt;"pvp",Inputs!$B$43&gt;0),((Skills!G9*((R2960-1)*IF(Skills!H9&gt;0,INT(Skills!I9/Skills!H9+0.000000001),1)+IF(Skills!H9&gt;0,INT(MIN(Skills!I9,MAX(0,MAX(0,Inputs!$B$43-B2993)-((R2960-1)*(IF(Inputs!$B$38="pvp",15,MAX(0.1,Skills!D9-IF(TRUE=TRUE,Inputs!$B$32,0)))*(1-IF(AND(ArtifactsInput!$M$27,Inputs!$B$4="Chapter Hunt"),CHOOSE(ArtifactsInput!$N$27+1,20,24,28,32,36,40),0)/100)))))/Skills!H9+0.000000001),1)))/Inputs!$B$43),G2960*Q2960)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0">
        <f>IF(C2960,(H2960*N2960*IF(AND(Inputs!$B$38&lt;&gt;"pvp",Inputs!$B$43&gt;0),((Skills!G9*((R2960-1)*IF(Skills!H9&gt;0,INT(Skills!I9/Skills!H9+0.000000001),1)+IF(Skills!H9&gt;0,INT(MIN(Skills!I9,MAX(0,MAX(0,Inputs!$B$43-B2993)-((R2960-1)*(IF(Inputs!$B$38="pvp",15,MAX(0.1,Skills!D9-IF(TRUE=TRUE,Inputs!$B$32,0)))*(1-IF(AND(ArtifactsInput!$M$27,Inputs!$B$4="Chapter Hunt"),CHOOSE(ArtifactsInput!$N$27+1,20,24,28,32,36,40),0)/100)))))/Skills!H9+0.000000001),1)))/Inputs!$B$43),G2960*Q2960))*IF(Inputs!$B$38="pvp",1,(1+(Inputs!$B$21+Skills!Q9+(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Skills!A10</f>
        <v/>
      </c>
      <c r="B2961">
        <f>Skills!B10</f>
        <v/>
      </c>
      <c r="C2961">
        <f>Inputs!$B$3&gt;=63</f>
        <v/>
      </c>
      <c r="D2961">
        <f>IF(Skills!C10=1,60+Inputs!$B$25+Inputs!$B$29,IF(Skills!C10=2,90+Inputs!$B$26+Inputs!$B$29,IF(Skills!C10=3,120+Inputs!$B$27+Inputs!$B$29,MAX(0,(Inputs!$B$3-100)*3)+Inputs!$B$28+Inputs!$B$29)))</f>
        <v/>
      </c>
      <c r="E2961">
        <f>INDEX(FactorTable!$B$2:$Y$301, MATCH(ROUND(MIN(300,MAX(1,D2961)),0), FactorTable!$A$2:$A$301,0), Skills!M10+1)</f>
        <v/>
      </c>
      <c r="F2961">
        <f>IF(Skills!N10=TRUE,(Skills!L10/10)*(E2961/1000),Skills!L10/10)+Skills!O10</f>
        <v/>
      </c>
      <c r="G2961">
        <f>Skills!G10*IF(Skills!H10&gt;0,INT(IF(Inputs!$B$38="pvp",MIN(Skills!I10,15),Skills!I10)/Skills!H10+0.000000001),1)</f>
        <v/>
      </c>
      <c r="H2961">
        <f>1-(1-Skills!J10/100)^Skills!K10</f>
        <v/>
      </c>
      <c r="I2961" t="inlineStr">
        <is>
          <t>1</t>
        </is>
      </c>
      <c r="J2961">
        <f>((Inputs!$B$6*(1+Inputs!$B$7/100))+(((Inputs!$B$12*(1+Inputs!$B$13/100))-(Inputs!$B$12*(1+Inputs!$B$13/100)))+0.25*(Inputs!$B$14-Inputs!$B$14))*(1+Inputs!$B$7/100))*(F2961/100)</f>
        <v/>
      </c>
      <c r="K2961">
        <f>J2961*(1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2963=TRUE,F2963,0)/100)*(1+(IF(Skills!A10="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2961)</f>
        <v/>
      </c>
      <c r="L2961">
        <f>K2961*(MIN(Inputs!$B$22+((C2977=TRUE)*(F2977-Calc!F26)),(Inputs!$B$23+((C2982=TRUE)*(F2982-Calc!F31))+(IF(ArtifactsInput!$M$15,CHOOSE(ArtifactsInput!$N$15+1,25,30,35,40,45,50)/100*(Inputs!$B$11-Inputs!$B$11),0))))/100+(Inputs!$B$23+((C2982=TRUE)*(F2982-Calc!F31))+(IF(ArtifactsInput!$M$15,CHOOSE(ArtifactsInput!$N$15+1,25,30,35,40,45,50)/100*(Inputs!$B$11-Inputs!$B$11),0)))/100)/2</f>
        <v/>
      </c>
      <c r="M2961">
        <f>L2961*(1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1">
        <f>L2961*(1-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1">
        <f>(1-Summary!$B$11)*T2961+Summary!$B$11*V2961</f>
        <v/>
      </c>
      <c r="P2961">
        <f>IF(B2996=0,0,O2961/B2996)</f>
        <v/>
      </c>
      <c r="Q2961">
        <f>IFERROR(1/(IF(Inputs!$B$38="pvp",15,MAX(0.1,Skills!D10-IF(TRUE=TRUE,Inputs!$B$32,0)))*(1-IF(AND(ArtifactsInput!$M$27,Inputs!$B$4="Chapter Hunt"),CHOOSE(ArtifactsInput!$N$27+1,20,24,28,32,36,40),0)/100)),0)</f>
        <v/>
      </c>
      <c r="R2961">
        <f>IF(AND(Inputs!$B$38&lt;&gt;"pvp",Inputs!$B$43&gt;0),IF(MAX(0,Inputs!$B$43-B2993)&lt;=0,0,(INT(MAX(0,Inputs!$B$43-B2993)/(IF(Inputs!$B$38="pvp",15,MAX(0.1,Skills!D10-IF(TRUE=TRUE,Inputs!$B$32,0)))*(1-IF(AND(ArtifactsInput!$M$27,Inputs!$B$4="Chapter Hunt"),CHOOSE(ArtifactsInput!$N$27+1,20,24,28,32,36,40),0)/100)))+1)),0)</f>
        <v/>
      </c>
      <c r="S2961">
        <f>IFERROR(O2961/N2961,0)</f>
        <v/>
      </c>
      <c r="T2961">
        <f>IF(C2961,(H2961*N2961*IF(AND(Inputs!$B$38&lt;&gt;"pvp",Inputs!$B$43&gt;0),((Skills!G10*((R2961-1)*IF(Skills!H10&gt;0,INT(Skills!I10/Skills!H10+0.000000001),1)+IF(Skills!H10&gt;0,INT(MIN(Skills!I10,MAX(0,MAX(0,Inputs!$B$43-B2993)-((R2961-1)*(IF(Inputs!$B$38="pvp",15,MAX(0.1,Skills!D10-IF(TRUE=TRUE,Inputs!$B$32,0)))*(1-IF(AND(ArtifactsInput!$M$27,Inputs!$B$4="Chapter Hunt"),CHOOSE(ArtifactsInput!$N$27+1,20,24,28,32,36,40),0)/100)))))/Skills!H10+0.000000001),1)))/Inputs!$B$43),G2961*Q2961)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1">
        <f>IF(C2961,(H2961*N2961*IF(AND(Inputs!$B$38&lt;&gt;"pvp",Inputs!$B$43&gt;0),((Skills!G10*((R2961-1)*IF(Skills!H10&gt;0,INT(Skills!I10/Skills!H10+0.000000001),1)+IF(Skills!H10&gt;0,INT(MIN(Skills!I10,MAX(0,MAX(0,Inputs!$B$43-B2993)-((R2961-1)*(IF(Inputs!$B$38="pvp",15,MAX(0.1,Skills!D10-IF(TRUE=TRUE,Inputs!$B$32,0)))*(1-IF(AND(ArtifactsInput!$M$27,Inputs!$B$4="Chapter Hunt"),CHOOSE(ArtifactsInput!$N$27+1,20,24,28,32,36,40),0)/100)))))/Skills!H10+0.000000001),1)))/Inputs!$B$43),G2961*Q2961))*IF(Inputs!$B$38="pvp",1,(1+(Inputs!$B$21+Skills!Q10+(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2">
      <c r="A2962">
        <f>Skills!A11</f>
        <v/>
      </c>
      <c r="B2962">
        <f>Skills!B11</f>
        <v/>
      </c>
      <c r="C2962">
        <f>Inputs!$B$3&gt;=103</f>
        <v/>
      </c>
      <c r="D2962">
        <f>IF(Skills!C11=1,60+Inputs!$B$25+Inputs!$B$29,IF(Skills!C11=2,90+Inputs!$B$26+Inputs!$B$29,IF(Skills!C11=3,120+Inputs!$B$27+Inputs!$B$29,MAX(0,(Inputs!$B$3-100)*3)+Inputs!$B$28+Inputs!$B$29)))</f>
        <v/>
      </c>
      <c r="E2962">
        <f>INDEX(FactorTable!$B$2:$Y$301, MATCH(ROUND(MIN(300,MAX(1,D2962)),0), FactorTable!$A$2:$A$301,0), Skills!M11+1)</f>
        <v/>
      </c>
      <c r="F2962">
        <f>IF(Skills!N11=TRUE,(Skills!L11/10)*(E2962/1000),Skills!L11/10)+Skills!O11</f>
        <v/>
      </c>
      <c r="G2962">
        <f>Skills!G11*IF(Skills!H11&gt;0,INT(IF(Inputs!$B$38="pvp",MIN(Skills!I11,15),Skills!I11)/Skills!H11+0.000000001),1)</f>
        <v/>
      </c>
      <c r="H2962">
        <f>1-(1-Skills!J11/100)^Skills!K11</f>
        <v/>
      </c>
      <c r="I2962" t="inlineStr">
        <is>
          <t>1</t>
        </is>
      </c>
      <c r="J2962">
        <f>((Inputs!$B$6*(1+Inputs!$B$7/100))+(((Inputs!$B$12*(1+Inputs!$B$13/100))-(Inputs!$B$12*(1+Inputs!$B$13/100)))+0.25*(Inputs!$B$14-Inputs!$B$14))*(1+Inputs!$B$7/100))*(F2962/100)</f>
        <v/>
      </c>
      <c r="K2962">
        <f>J2962*(1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2962)</f>
        <v/>
      </c>
      <c r="L2962">
        <f>K2962*(MIN(Inputs!$B$22+((C2977=TRUE)*(F2977-Calc!F26)),(Inputs!$B$23+((C2982=TRUE)*(F2982-Calc!F31))+(IF(ArtifactsInput!$M$15,CHOOSE(ArtifactsInput!$N$15+1,25,30,35,40,45,50)/100*(Inputs!$B$11-Inputs!$B$11),0))))/100+(Inputs!$B$23+((C2982=TRUE)*(F2982-Calc!F31))+(IF(ArtifactsInput!$M$15,CHOOSE(ArtifactsInput!$N$15+1,25,30,35,40,45,50)/100*(Inputs!$B$11-Inputs!$B$11),0)))/100)/2</f>
        <v/>
      </c>
      <c r="M2962">
        <f>L2962*(1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2">
        <f>L2962*(1-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2962*(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2">
        <f>(1-Summary!$B$11)*T2962+Summary!$B$11*V2962</f>
        <v/>
      </c>
      <c r="P2962">
        <f>IF(B2996=0,0,O2962/B2996)</f>
        <v/>
      </c>
      <c r="Q2962">
        <f>IFERROR(1/(IF(Inputs!$B$38="pvp",15,MAX(0.1,Skills!D11-IF(TRUE=TRUE,Inputs!$B$32,0)))*(1-IF(AND(ArtifactsInput!$M$27,Inputs!$B$4="Chapter Hunt"),CHOOSE(ArtifactsInput!$N$27+1,20,24,28,32,36,40),0)/100)),0)</f>
        <v/>
      </c>
      <c r="R2962">
        <f>IF(AND(Inputs!$B$38&lt;&gt;"pvp",Inputs!$B$43&gt;0),IF(MAX(0,Inputs!$B$43-B2993)&lt;=0,0,(INT(MAX(0,Inputs!$B$43-B2993)/(IF(Inputs!$B$38="pvp",15,MAX(0.1,Skills!D11-IF(TRUE=TRUE,Inputs!$B$32,0)))*(1-IF(AND(ArtifactsInput!$M$27,Inputs!$B$4="Chapter Hunt"),CHOOSE(ArtifactsInput!$N$27+1,20,24,28,32,36,40),0)/100)))+1)),0)</f>
        <v/>
      </c>
      <c r="S2962">
        <f>IFERROR(O2962/N2962,0)</f>
        <v/>
      </c>
      <c r="T2962">
        <f>IF(C2962,(H2962*N2962*IF(AND(Inputs!$B$38&lt;&gt;"pvp",Inputs!$B$43&gt;0),((Skills!G11*((R2962-1)*IF(Skills!H11&gt;0,INT(Skills!I11/Skills!H11+0.000000001),1)+IF(Skills!H11&gt;0,INT(MIN(Skills!I11,MAX(0,MAX(0,Inputs!$B$43-B2993)-((R2962-1)*(IF(Inputs!$B$38="pvp",15,MAX(0.1,Skills!D11-IF(TRUE=TRUE,Inputs!$B$32,0)))*(1-IF(AND(ArtifactsInput!$M$27,Inputs!$B$4="Chapter Hunt"),CHOOSE(ArtifactsInput!$N$27+1,20,24,28,32,36,40),0)/100)))))/Skills!H11+0.000000001),1)))/Inputs!$B$43),G2962*Q2962)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2">
        <f>IF(C2962,(H2962*N2962*IF(AND(Inputs!$B$38&lt;&gt;"pvp",Inputs!$B$43&gt;0),((Skills!G11*((R2962-1)*IF(Skills!H11&gt;0,INT(Skills!I11/Skills!H11+0.000000001),1)+IF(Skills!H11&gt;0,INT(MIN(Skills!I11,MAX(0,MAX(0,Inputs!$B$43-B2993)-((R2962-1)*(IF(Inputs!$B$38="pvp",15,MAX(0.1,Skills!D11-IF(TRUE=TRUE,Inputs!$B$32,0)))*(1-IF(AND(ArtifactsInput!$M$27,Inputs!$B$4="Chapter Hunt"),CHOOSE(ArtifactsInput!$N$27+1,20,24,28,32,36,40),0)/100)))))/Skills!H11+0.000000001),1)))/Inputs!$B$43),G2962*Q2962))*IF(Inputs!$B$38="pvp",1,(1+(Inputs!$B$21+Skills!Q11+(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3">
      <c r="A2963">
        <f>Skills!A12</f>
        <v/>
      </c>
      <c r="B2963">
        <f>Skills!B12</f>
        <v/>
      </c>
      <c r="C2963">
        <f>Inputs!$B$3&gt;=100</f>
        <v/>
      </c>
      <c r="D2963">
        <f>IF(Skills!C12=1,60+Inputs!$B$25+Inputs!$B$29,IF(Skills!C12=2,90+Inputs!$B$26+Inputs!$B$29,IF(Skills!C12=3,120+Inputs!$B$27+Inputs!$B$29,MAX(0,(Inputs!$B$3-100)*3)+Inputs!$B$28+Inputs!$B$29)))</f>
        <v/>
      </c>
      <c r="E2963">
        <f>INDEX(FactorTable!$B$2:$Y$301, MATCH(ROUND(MIN(300,MAX(1,D2963)),0), FactorTable!$A$2:$A$301,0), Skills!M12+1)</f>
        <v/>
      </c>
      <c r="F2963">
        <f>IF(Skills!N12=TRUE,(Skills!L12/10)*(E2963/1000),Skills!L12/10)+Skills!O12</f>
        <v/>
      </c>
      <c r="G2963" t="inlineStr"/>
      <c r="H2963" t="inlineStr"/>
      <c r="I2963" t="inlineStr">
        <is>
          <t>1</t>
        </is>
      </c>
      <c r="J2963" t="inlineStr"/>
      <c r="K2963" t="inlineStr"/>
      <c r="L2963" t="inlineStr"/>
      <c r="M2963" t="inlineStr"/>
      <c r="N2963" t="inlineStr"/>
      <c r="O2963" t="inlineStr"/>
      <c r="P2963" t="inlineStr"/>
      <c r="Q2963" t="inlineStr"/>
      <c r="R2963" t="inlineStr"/>
      <c r="S2963" t="inlineStr"/>
      <c r="T2963" t="inlineStr"/>
      <c r="V2963" t="inlineStr"/>
    </row>
    <row r="2964">
      <c r="A2964">
        <f>Skills!A13</f>
        <v/>
      </c>
      <c r="B2964">
        <f>Skills!B13</f>
        <v/>
      </c>
      <c r="C2964">
        <f>Inputs!$B$3&gt;=60</f>
        <v/>
      </c>
      <c r="D2964">
        <f>IF(Skills!C13=1,60+Inputs!$B$25+Inputs!$B$29,IF(Skills!C13=2,90+Inputs!$B$26+Inputs!$B$29,IF(Skills!C13=3,120+Inputs!$B$27+Inputs!$B$29,MAX(0,(Inputs!$B$3-100)*3)+Inputs!$B$28+Inputs!$B$29)))</f>
        <v/>
      </c>
      <c r="E2964">
        <f>INDEX(FactorTable!$B$2:$Y$301, MATCH(ROUND(MIN(300,MAX(1,D2964)),0), FactorTable!$A$2:$A$301,0), Skills!M13+1)</f>
        <v/>
      </c>
      <c r="F2964">
        <f>IF(Skills!N13=TRUE,(Skills!L13/10)*(E2964/1000),Skills!L13/10)+Skills!O13</f>
        <v/>
      </c>
      <c r="G2964">
        <f>Skills!G13*IF(Skills!H13&gt;0,INT(IF(Inputs!$B$38="pvp",MIN(Skills!I13,15),Skills!I13)/Skills!H13+0.000000001),1)</f>
        <v/>
      </c>
      <c r="H2964">
        <f>1-(1-Skills!J13/100)^Skills!K13</f>
        <v/>
      </c>
      <c r="I2964" t="inlineStr">
        <is>
          <t>1</t>
        </is>
      </c>
      <c r="J2964">
        <f>((Inputs!$B$6*(1+Inputs!$B$7/100))+(((Inputs!$B$12*(1+Inputs!$B$13/100))-(Inputs!$B$12*(1+Inputs!$B$13/100)))+0.25*(Inputs!$B$14-Inputs!$B$14))*(1+Inputs!$B$7/100))*(F2964/100)</f>
        <v/>
      </c>
      <c r="K2964">
        <f>J2964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2965=TRUE,F2965,0)/100)*(1+(IF(Skills!A13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2964)</f>
        <v/>
      </c>
      <c r="L2964">
        <f>K2964*(MIN(Inputs!$B$22+((C2977=TRUE)*(F2977-Calc!F26)),(Inputs!$B$23+((C2982=TRUE)*(F2982-Calc!F31))+(IF(ArtifactsInput!$M$15,CHOOSE(ArtifactsInput!$N$15+1,25,30,35,40,45,50)/100*(Inputs!$B$11-Inputs!$B$11),0))))/100+(Inputs!$B$23+((C2982=TRUE)*(F2982-Calc!F31))+(IF(ArtifactsInput!$M$15,CHOOSE(ArtifactsInput!$N$15+1,25,30,35,40,45,50)/100*(Inputs!$B$11-Inputs!$B$11),0)))/100)/2</f>
        <v/>
      </c>
      <c r="M2964">
        <f>L2964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4">
        <f>L2964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4">
        <f>(1-Summary!$B$11)*T2964+Summary!$B$11*V2964</f>
        <v/>
      </c>
      <c r="P2964">
        <f>IF(B2996=0,0,O2964/B2996)</f>
        <v/>
      </c>
      <c r="Q2964">
        <f>IFERROR(1/(IF(Inputs!$B$38="pvp",15,MAX(0.1,IF(Inputs!$B$3&gt;=122,3,5)+1/(((20+30*(B2988-1)*100/150)/100)*B2988)-IF(FALSE=TRUE,Inputs!$B$32,0)))*(1-IF(AND(ArtifactsInput!$M$27,Inputs!$B$4="Chapter Hunt"),CHOOSE(ArtifactsInput!$N$27+1,20,24,28,32,36,40),0)/100)),0)</f>
        <v/>
      </c>
      <c r="R2964">
        <f>IF(AND(Inputs!$B$38&lt;&gt;"pvp",Inputs!$B$43&gt;0),IF(MAX(0,Inputs!$B$43-B2993)&lt;=0,0,(INT(MAX(0,Inputs!$B$43-B2993)/(IF(Inputs!$B$38="pvp",15,MAX(0.1,IF(Inputs!$B$3&gt;=122,3,5)+1/(((20+30*(B2988-1)*100/150)/100)*B2988)-IF(FALSE=TRUE,Inputs!$B$32,0)))*(1-IF(AND(ArtifactsInput!$M$27,Inputs!$B$4="Chapter Hunt"),CHOOSE(ArtifactsInput!$N$27+1,20,24,28,32,36,40),0)/100)))+1)),0)</f>
        <v/>
      </c>
      <c r="S2964">
        <f>IFERROR(O2964/N2964,0)</f>
        <v/>
      </c>
      <c r="T2964">
        <f>IF(C2964,(H2964*N2964*IF(AND(Inputs!$B$38&lt;&gt;"pvp",Inputs!$B$43&gt;0),((Skills!G13*((R2964-1)*IF(Skills!H13&gt;0,INT(Skills!I13/Skills!H13+0.000000001),1)+IF(Skills!H13&gt;0,INT(MIN(Skills!I13,MAX(0,MAX(0,Inputs!$B$43-B2993)-((R2964-1)*(IF(Inputs!$B$38="pvp",15,MAX(0.1,IF(Inputs!$B$3&gt;=122,3,5)+1/(((20+30*(B2988-1)*100/150)/100)*B2988)-IF(FALSE=TRUE,Inputs!$B$32,0)))*(1-IF(AND(ArtifactsInput!$M$27,Inputs!$B$4="Chapter Hunt"),CHOOSE(ArtifactsInput!$N$27+1,20,24,28,32,36,40),0)/100)))))/Skills!H13+0.000000001),1)))/Inputs!$B$43),G2964*Q2964)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4">
        <f>IF(C2964,(H2964*N2964*IF(AND(Inputs!$B$38&lt;&gt;"pvp",Inputs!$B$43&gt;0),((Skills!G13*((R2964-1)*IF(Skills!H13&gt;0,INT(Skills!I13/Skills!H13+0.000000001),1)+IF(Skills!H13&gt;0,INT(MIN(Skills!I13,MAX(0,MAX(0,Inputs!$B$43-B2993)-((R2964-1)*(IF(Inputs!$B$38="pvp",15,MAX(0.1,IF(Inputs!$B$3&gt;=122,3,5)+1/(((20+30*(B2988-1)*100/150)/100)*B2988)-IF(FALSE=TRUE,Inputs!$B$32,0)))*(1-IF(AND(ArtifactsInput!$M$27,Inputs!$B$4="Chapter Hunt"),CHOOSE(ArtifactsInput!$N$27+1,20,24,28,32,36,40),0)/100)))))/Skills!H13+0.000000001),1)))/Inputs!$B$43),G2964*Q2964))*IF(Inputs!$B$38="pvp",1,(1+(Inputs!$B$21+Skills!Q13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5">
      <c r="A2965">
        <f>Skills!A14</f>
        <v/>
      </c>
      <c r="B2965">
        <f>Skills!B14</f>
        <v/>
      </c>
      <c r="C2965">
        <f>Inputs!$B$3&gt;=110</f>
        <v/>
      </c>
      <c r="D2965">
        <f>IF(Skills!C14=1,60+Inputs!$B$25+Inputs!$B$29,IF(Skills!C14=2,90+Inputs!$B$26+Inputs!$B$29,IF(Skills!C14=3,120+Inputs!$B$27+Inputs!$B$29,MAX(0,(Inputs!$B$3-100)*3)+Inputs!$B$28+Inputs!$B$29)))</f>
        <v/>
      </c>
      <c r="E2965">
        <f>INDEX(FactorTable!$B$2:$Y$301, MATCH(ROUND(MIN(300,MAX(1,D2965)),0), FactorTable!$A$2:$A$301,0), Skills!M14+1)</f>
        <v/>
      </c>
      <c r="F2965">
        <f>IF(Skills!N14=TRUE,(Skills!L14/10)*(E2965/1000),Skills!L14/10)+Skills!O14</f>
        <v/>
      </c>
      <c r="G2965" t="inlineStr"/>
      <c r="H2965" t="inlineStr"/>
      <c r="I2965" t="inlineStr">
        <is>
          <t>1</t>
        </is>
      </c>
      <c r="J2965" t="inlineStr"/>
      <c r="K2965" t="inlineStr"/>
      <c r="L2965" t="inlineStr"/>
      <c r="M2965" t="inlineStr"/>
      <c r="N2965" t="inlineStr"/>
      <c r="O2965" t="inlineStr"/>
      <c r="P2965" t="inlineStr"/>
      <c r="Q2965" t="inlineStr"/>
      <c r="R2965" t="inlineStr"/>
      <c r="S2965" t="inlineStr"/>
      <c r="T2965" t="inlineStr"/>
      <c r="V2965" t="inlineStr"/>
    </row>
    <row r="2966">
      <c r="A2966">
        <f>Skills!A15</f>
        <v/>
      </c>
      <c r="B2966">
        <f>Skills!B15</f>
        <v/>
      </c>
      <c r="C2966">
        <f>Inputs!$B$3&gt;=74</f>
        <v/>
      </c>
      <c r="D2966">
        <f>IF(Skills!C15=1,60+Inputs!$B$25+Inputs!$B$29,IF(Skills!C15=2,90+Inputs!$B$26+Inputs!$B$29,IF(Skills!C15=3,120+Inputs!$B$27+Inputs!$B$29,MAX(0,(Inputs!$B$3-100)*3)+Inputs!$B$28+Inputs!$B$29)))</f>
        <v/>
      </c>
      <c r="E2966">
        <f>INDEX(FactorTable!$B$2:$Y$301, MATCH(ROUND(MIN(300,MAX(1,D2966)),0), FactorTable!$A$2:$A$301,0), Skills!M15+1)</f>
        <v/>
      </c>
      <c r="F2966">
        <f>IF(Skills!N15=TRUE,(Skills!L15/10)*(E2966/1000),Skills!L15/10)+Skills!O15</f>
        <v/>
      </c>
      <c r="G2966">
        <f>Skills!G15*IF(Skills!H15&gt;0,INT(IF(Inputs!$B$38="pvp",MIN(Skills!I15,15),Skills!I15)/Skills!H15+0.000000001),1)</f>
        <v/>
      </c>
      <c r="H2966">
        <f>1-(1-Skills!J15/100)^Skills!K15</f>
        <v/>
      </c>
      <c r="I2966" t="inlineStr">
        <is>
          <t>1</t>
        </is>
      </c>
      <c r="J2966" t="inlineStr"/>
      <c r="K2966" t="inlineStr"/>
      <c r="L2966" t="inlineStr"/>
      <c r="M2966" t="inlineStr"/>
      <c r="N2966" t="inlineStr"/>
      <c r="O2966">
        <f>(1-Summary!$B$11)*T2966+Summary!$B$11*V2966</f>
        <v/>
      </c>
      <c r="P2966">
        <f>IF(B2996=0,0,O2966/B2996)</f>
        <v/>
      </c>
      <c r="Q2966" t="n">
        <v>0</v>
      </c>
      <c r="R2966" t="n">
        <v>0</v>
      </c>
      <c r="S2966">
        <f>IFERROR(O2966/N2966,0)</f>
        <v/>
      </c>
      <c r="T2966" t="n">
        <v>0</v>
      </c>
      <c r="V2966" t="n">
        <v>0</v>
      </c>
    </row>
    <row r="2967">
      <c r="A2967">
        <f>Skills!A16</f>
        <v/>
      </c>
      <c r="B2967">
        <f>Skills!B16</f>
        <v/>
      </c>
      <c r="C2967">
        <f>Inputs!$B$3&gt;=74</f>
        <v/>
      </c>
      <c r="D2967">
        <f>IF(Skills!C16=1,60+Inputs!$B$25+Inputs!$B$29,IF(Skills!C16=2,90+Inputs!$B$26+Inputs!$B$29,IF(Skills!C16=3,120+Inputs!$B$27+Inputs!$B$29,MAX(0,(Inputs!$B$3-100)*3)+Inputs!$B$28+Inputs!$B$29)))</f>
        <v/>
      </c>
      <c r="E2967">
        <f>INDEX(FactorTable!$B$2:$Y$301, MATCH(ROUND(MIN(300,MAX(1,D2967)),0), FactorTable!$A$2:$A$301,0), Skills!M16+1)</f>
        <v/>
      </c>
      <c r="F2967">
        <f>IF(Skills!N16=TRUE,(Skills!L16/10)*(E2967/1000),Skills!L16/10)+Skills!O16</f>
        <v/>
      </c>
      <c r="G2967">
        <f>Skills!G16*IF(Skills!H16&gt;0,INT(IF(Inputs!$B$38="pvp",MIN(Skills!I16,15),Skills!I16)/Skills!H16+0.000000001),1)</f>
        <v/>
      </c>
      <c r="H2967">
        <f>1-(1-Skills!J16/100)^Skills!K16</f>
        <v/>
      </c>
      <c r="I2967" t="inlineStr">
        <is>
          <t>1</t>
        </is>
      </c>
      <c r="J2967" t="inlineStr"/>
      <c r="K2967" t="inlineStr"/>
      <c r="L2967" t="inlineStr"/>
      <c r="M2967" t="inlineStr"/>
      <c r="N2967" t="inlineStr"/>
      <c r="O2967">
        <f>(1-Summary!$B$11)*T2967+Summary!$B$11*V2967</f>
        <v/>
      </c>
      <c r="P2967">
        <f>IF(B2996=0,0,O2967/B2996)</f>
        <v/>
      </c>
      <c r="Q2967" t="n">
        <v>0</v>
      </c>
      <c r="R2967" t="n">
        <v>0</v>
      </c>
      <c r="S2967">
        <f>IFERROR(O2967/N2967,0)</f>
        <v/>
      </c>
      <c r="T2967" t="n">
        <v>0</v>
      </c>
      <c r="V2967" t="n">
        <v>0</v>
      </c>
    </row>
    <row r="2968">
      <c r="A2968">
        <f>Skills!A17</f>
        <v/>
      </c>
      <c r="B2968">
        <f>Skills!B17</f>
        <v/>
      </c>
      <c r="C2968">
        <f>Inputs!$B$3&gt;=117</f>
        <v/>
      </c>
      <c r="D2968">
        <f>IF(Skills!C17=1,60+Inputs!$B$25+Inputs!$B$29,IF(Skills!C17=2,90+Inputs!$B$26+Inputs!$B$29,IF(Skills!C17=3,120+Inputs!$B$27+Inputs!$B$29,MAX(0,(Inputs!$B$3-100)*3)+Inputs!$B$28+Inputs!$B$29)))</f>
        <v/>
      </c>
      <c r="E2968">
        <f>INDEX(FactorTable!$B$2:$Y$301, MATCH(ROUND(MIN(300,MAX(1,D2968)),0), FactorTable!$A$2:$A$301,0), Skills!M17+1)</f>
        <v/>
      </c>
      <c r="F2968">
        <f>IF(Skills!N17=TRUE,(Skills!L17/10)*(E2968/1000),Skills!L17/10)+Skills!O17</f>
        <v/>
      </c>
      <c r="G2968">
        <f>Skills!G17*IF(Skills!H17&gt;0,INT(IF(Inputs!$B$38="pvp",MIN(Skills!I17,15),Skills!I17)/Skills!H17+0.000000001),1)</f>
        <v/>
      </c>
      <c r="H2968">
        <f>1-(1-Skills!J17/100)^Skills!K17</f>
        <v/>
      </c>
      <c r="I2968" t="inlineStr">
        <is>
          <t>1</t>
        </is>
      </c>
      <c r="J2968" t="inlineStr"/>
      <c r="K2968" t="inlineStr"/>
      <c r="L2968" t="inlineStr"/>
      <c r="M2968" t="inlineStr"/>
      <c r="N2968" t="inlineStr"/>
      <c r="O2968">
        <f>(1-Summary!$B$11)*T2968+Summary!$B$11*V2968</f>
        <v/>
      </c>
      <c r="P2968">
        <f>IF(B2996=0,0,O2968/B2996)</f>
        <v/>
      </c>
      <c r="Q2968">
        <f>IFERROR(1/(IF(Inputs!$B$38="pvp",15,MAX(0.1,Skills!D17-IF(TRUE=TRUE,Inputs!$B$32,0)))*(1-IF(AND(ArtifactsInput!$M$27,Inputs!$B$4="Chapter Hunt"),CHOOSE(ArtifactsInput!$N$27+1,20,24,28,32,36,40),0)/100)),0)</f>
        <v/>
      </c>
      <c r="R2968">
        <f>IF(AND(Inputs!$B$38&lt;&gt;"pvp",Inputs!$B$43&gt;0),IF(Inputs!$B$43&lt;=0,0,(INT(Inputs!$B$43/(IF(Inputs!$B$38="pvp",15,MAX(0.1,Skills!D17-IF(TRUE=TRUE,Inputs!$B$32,0)))*(1-IF(AND(ArtifactsInput!$M$27,Inputs!$B$4="Chapter Hunt"),CHOOSE(ArtifactsInput!$N$27+1,20,24,28,32,36,40),0)/100)))+1)),0)</f>
        <v/>
      </c>
      <c r="S2968">
        <f>IFERROR(O2968/N2968,0)</f>
        <v/>
      </c>
      <c r="T2968" t="n">
        <v>0</v>
      </c>
      <c r="V2968" t="n">
        <v>0</v>
      </c>
    </row>
    <row r="2969">
      <c r="A2969">
        <f>Skills!A18</f>
        <v/>
      </c>
      <c r="B2969">
        <f>Skills!B18</f>
        <v/>
      </c>
      <c r="C2969">
        <f>Inputs!$B$3&gt;=115</f>
        <v/>
      </c>
      <c r="D2969">
        <f>IF(Skills!C18=1,60+Inputs!$B$25+Inputs!$B$29,IF(Skills!C18=2,90+Inputs!$B$26+Inputs!$B$29,IF(Skills!C18=3,120+Inputs!$B$27+Inputs!$B$29,MAX(0,(Inputs!$B$3-100)*3)+Inputs!$B$28+Inputs!$B$29)))</f>
        <v/>
      </c>
      <c r="E2969">
        <f>INDEX(FactorTable!$B$2:$Y$301, MATCH(ROUND(MIN(300,MAX(1,D2969)),0), FactorTable!$A$2:$A$301,0), Skills!M18+1)</f>
        <v/>
      </c>
      <c r="F2969">
        <f>IF(Skills!N18=TRUE,(Skills!L18/10)*(E2969/1000),Skills!L18/10)+Skills!O18</f>
        <v/>
      </c>
      <c r="G2969">
        <f>Skills!G18*IF(Skills!H18&gt;0,INT(IF(Inputs!$B$38="pvp",MIN(Skills!I18,15),Skills!I18)/Skills!H18+0.000000001),1)</f>
        <v/>
      </c>
      <c r="H2969">
        <f>1-(1-Skills!J18/100)^Skills!K18</f>
        <v/>
      </c>
      <c r="I2969" t="inlineStr">
        <is>
          <t>1</t>
        </is>
      </c>
      <c r="J2969" t="inlineStr"/>
      <c r="K2969" t="inlineStr"/>
      <c r="L2969" t="inlineStr"/>
      <c r="M2969" t="inlineStr"/>
      <c r="N2969" t="inlineStr"/>
      <c r="O2969">
        <f>(1-Summary!$B$11)*T2969+Summary!$B$11*V2969</f>
        <v/>
      </c>
      <c r="P2969">
        <f>IF(B2996=0,0,O2969/B2996)</f>
        <v/>
      </c>
      <c r="Q2969">
        <f>IFERROR(1/(IF(Inputs!$B$38="pvp",15,MAX(0.1,Skills!D18-IF(TRUE=TRUE,Inputs!$B$32,0)))*(1-IF(AND(ArtifactsInput!$M$27,Inputs!$B$4="Chapter Hunt"),CHOOSE(ArtifactsInput!$N$27+1,20,24,28,32,36,40),0)/100)),0)</f>
        <v/>
      </c>
      <c r="R2969">
        <f>IF(AND(Inputs!$B$38&lt;&gt;"pvp",Inputs!$B$43&gt;0),IF(Inputs!$B$43&lt;=0,0,(INT(Inputs!$B$43/(IF(Inputs!$B$38="pvp",15,MAX(0.1,Skills!D18-IF(TRUE=TRUE,Inputs!$B$32,0)))*(1-IF(AND(ArtifactsInput!$M$27,Inputs!$B$4="Chapter Hunt"),CHOOSE(ArtifactsInput!$N$27+1,20,24,28,32,36,40),0)/100)))+1)),0)</f>
        <v/>
      </c>
      <c r="S2969">
        <f>IFERROR(O2969/N2969,0)</f>
        <v/>
      </c>
      <c r="T2969" t="n">
        <v>0</v>
      </c>
      <c r="V2969" t="n">
        <v>0</v>
      </c>
    </row>
    <row r="2970">
      <c r="A2970">
        <f>Skills!A19</f>
        <v/>
      </c>
      <c r="B2970">
        <f>Skills!B19</f>
        <v/>
      </c>
      <c r="C2970">
        <f>Inputs!$B$3&gt;=66</f>
        <v/>
      </c>
      <c r="D2970">
        <f>IF(Skills!C19=1,60+Inputs!$B$25+Inputs!$B$29,IF(Skills!C19=2,90+Inputs!$B$26+Inputs!$B$29,IF(Skills!C19=3,120+Inputs!$B$27+Inputs!$B$29,MAX(0,(Inputs!$B$3-100)*3)+Inputs!$B$28+Inputs!$B$29)))</f>
        <v/>
      </c>
      <c r="E2970">
        <f>INDEX(FactorTable!$B$2:$Y$301, MATCH(ROUND(MIN(300,MAX(1,D2970)),0), FactorTable!$A$2:$A$301,0), Skills!M19+1)</f>
        <v/>
      </c>
      <c r="F2970">
        <f>IF(Skills!N19=TRUE,(Skills!L19/10)*(E2970/1000),Skills!L19/10)+Skills!O19</f>
        <v/>
      </c>
      <c r="G2970">
        <f>Skills!G19*IF(Skills!H19&gt;0,INT(IF(Inputs!$B$38="pvp",MIN(Skills!I19,15),Skills!I19)/Skills!H19+0.000000001),1)</f>
        <v/>
      </c>
      <c r="H2970">
        <f>1-(1-Skills!J19/100)^Skills!K19</f>
        <v/>
      </c>
      <c r="I2970" t="inlineStr">
        <is>
          <t>1</t>
        </is>
      </c>
      <c r="J2970" t="inlineStr"/>
      <c r="K2970" t="inlineStr"/>
      <c r="L2970" t="inlineStr"/>
      <c r="M2970" t="inlineStr"/>
      <c r="N2970" t="inlineStr"/>
      <c r="O2970">
        <f>(1-Summary!$B$11)*T2970+Summary!$B$11*V2970</f>
        <v/>
      </c>
      <c r="P2970">
        <f>IF(B2996=0,0,O2970/B2996)</f>
        <v/>
      </c>
      <c r="Q2970" t="n">
        <v>0</v>
      </c>
      <c r="R2970" t="n">
        <v>0</v>
      </c>
      <c r="S2970">
        <f>IFERROR(O2970/N2970,0)</f>
        <v/>
      </c>
      <c r="T2970" t="n">
        <v>0</v>
      </c>
      <c r="V2970" t="n">
        <v>0</v>
      </c>
    </row>
    <row r="2971">
      <c r="A2971">
        <f>Skills!A20</f>
        <v/>
      </c>
      <c r="B2971">
        <f>Skills!B20</f>
        <v/>
      </c>
      <c r="C2971">
        <f>Inputs!$B$3&gt;=72</f>
        <v/>
      </c>
      <c r="D2971">
        <f>IF(Skills!C20=1,60+Inputs!$B$25+Inputs!$B$29,IF(Skills!C20=2,90+Inputs!$B$26+Inputs!$B$29,IF(Skills!C20=3,120+Inputs!$B$27+Inputs!$B$29,MAX(0,(Inputs!$B$3-100)*3)+Inputs!$B$28+Inputs!$B$29)))</f>
        <v/>
      </c>
      <c r="E2971">
        <f>INDEX(FactorTable!$B$2:$Y$301, MATCH(ROUND(MIN(300,MAX(1,D2971)),0), FactorTable!$A$2:$A$301,0), Skills!M20+1)</f>
        <v/>
      </c>
      <c r="F2971">
        <f>IF(Skills!N20=TRUE,(Skills!L20/10)*(E2971/1000),Skills!L20/10)+Skills!O20</f>
        <v/>
      </c>
      <c r="G2971">
        <f>Skills!G20*IF(Skills!H20&gt;0,INT(IF(Inputs!$B$38="pvp",MIN(Skills!I20,15),Skills!I20)/Skills!H20+0.000000001),1)</f>
        <v/>
      </c>
      <c r="H2971">
        <f>1-(1-Skills!J20/100)^Skills!K20</f>
        <v/>
      </c>
      <c r="I2971" t="inlineStr">
        <is>
          <t>1</t>
        </is>
      </c>
      <c r="J2971" t="inlineStr"/>
      <c r="K2971" t="inlineStr"/>
      <c r="L2971" t="inlineStr"/>
      <c r="M2971" t="inlineStr"/>
      <c r="N2971" t="inlineStr"/>
      <c r="O2971">
        <f>(1-Summary!$B$11)*T2971+Summary!$B$11*V2971</f>
        <v/>
      </c>
      <c r="P2971">
        <f>IF(B2996=0,0,O2971/B2996)</f>
        <v/>
      </c>
      <c r="Q2971" t="n">
        <v>0</v>
      </c>
      <c r="R2971" t="n">
        <v>0</v>
      </c>
      <c r="S2971">
        <f>IFERROR(O2971/N2971,0)</f>
        <v/>
      </c>
      <c r="T2971" t="n">
        <v>0</v>
      </c>
      <c r="V2971" t="n">
        <v>0</v>
      </c>
    </row>
    <row r="2972">
      <c r="A2972">
        <f>Skills!A21</f>
        <v/>
      </c>
      <c r="B2972">
        <f>Skills!B21</f>
        <v/>
      </c>
      <c r="C2972">
        <f>TRUE</f>
        <v/>
      </c>
      <c r="D2972">
        <f>IF(Skills!C21=1,60+Inputs!$B$25+Inputs!$B$29,IF(Skills!C21=2,90+Inputs!$B$26+Inputs!$B$29,IF(Skills!C21=3,120+Inputs!$B$27+Inputs!$B$29,MAX(0,(Inputs!$B$3-100)*3)+Inputs!$B$28+Inputs!$B$29)))</f>
        <v/>
      </c>
      <c r="E2972">
        <f>INDEX(FactorTable!$B$2:$Y$301, MATCH(ROUND(MIN(300,MAX(1,D2972)),0), FactorTable!$A$2:$A$301,0), Skills!M21+1)</f>
        <v/>
      </c>
      <c r="F2972">
        <f>IF(Skills!N21=TRUE,(Skills!L21/10)*(E2972/1000),Skills!L21/10)+Skills!O21</f>
        <v/>
      </c>
      <c r="G2972">
        <f>Skills!G21*IF(Skills!H21&gt;0,INT(IF(Inputs!$B$38="pvp",MIN(Skills!I21,15),Skills!I21)/Skills!H21+0.000000001),1)</f>
        <v/>
      </c>
      <c r="H2972">
        <f>1-(1-Skills!J21/100)^Skills!K21</f>
        <v/>
      </c>
      <c r="I2972" t="inlineStr">
        <is>
          <t>1</t>
        </is>
      </c>
      <c r="J2972" t="inlineStr"/>
      <c r="K2972" t="inlineStr"/>
      <c r="L2972" t="inlineStr"/>
      <c r="M2972" t="inlineStr"/>
      <c r="N2972" t="inlineStr"/>
      <c r="O2972">
        <f>(1-Summary!$B$11)*T2972+Summary!$B$11*V2972</f>
        <v/>
      </c>
      <c r="P2972">
        <f>IF(B2996=0,0,O2972/B2996)</f>
        <v/>
      </c>
      <c r="Q2972">
        <f>IFERROR(1/(IF(Inputs!$B$38="pvp",15,MAX(0.1,Skills!D21-IF(TRUE=TRUE,Inputs!$B$32,0)))*(1-IF(AND(ArtifactsInput!$M$27,Inputs!$B$4="Chapter Hunt"),CHOOSE(ArtifactsInput!$N$27+1,20,24,28,32,36,40),0)/100)),0)</f>
        <v/>
      </c>
      <c r="R2972">
        <f>IF(AND(Inputs!$B$38&lt;&gt;"pvp",Inputs!$B$43&gt;0),IF(Inputs!$B$43&lt;=0,0,(INT(Inputs!$B$43/(IF(Inputs!$B$38="pvp",15,MAX(0.1,Skills!D21-IF(TRUE=TRUE,Inputs!$B$32,0)))*(1-IF(AND(ArtifactsInput!$M$27,Inputs!$B$4="Chapter Hunt"),CHOOSE(ArtifactsInput!$N$27+1,20,24,28,32,36,40),0)/100)))+1)),0)</f>
        <v/>
      </c>
      <c r="S2972">
        <f>IFERROR(O2972/N2972,0)</f>
        <v/>
      </c>
      <c r="T2972" t="n">
        <v>0</v>
      </c>
      <c r="V2972" t="n">
        <v>0</v>
      </c>
    </row>
    <row r="2973">
      <c r="A2973">
        <f>Skills!A22</f>
        <v/>
      </c>
      <c r="B2973">
        <f>Skills!B22</f>
        <v/>
      </c>
      <c r="C2973">
        <f>Inputs!$B$3&gt;=15</f>
        <v/>
      </c>
      <c r="D2973">
        <f>IF(Skills!C22=1,60+Inputs!$B$25+Inputs!$B$29,IF(Skills!C22=2,90+Inputs!$B$26+Inputs!$B$29,IF(Skills!C22=3,120+Inputs!$B$27+Inputs!$B$29,MAX(0,(Inputs!$B$3-100)*3)+Inputs!$B$28+Inputs!$B$29)))</f>
        <v/>
      </c>
      <c r="E2973">
        <f>INDEX(FactorTable!$B$2:$Y$301, MATCH(ROUND(MIN(300,MAX(1,D2973)),0), FactorTable!$A$2:$A$301,0), Skills!M22+1)</f>
        <v/>
      </c>
      <c r="F2973">
        <f>IF(Skills!N22=TRUE,(Skills!L22/10)*(E2973/1000),Skills!L22/10)+Skills!O22</f>
        <v/>
      </c>
      <c r="G2973">
        <f>Skills!G22*IF(Skills!H22&gt;0,INT(IF(Inputs!$B$38="pvp",MIN(Skills!I22,15),Skills!I22)/Skills!H22+0.000000001),1)</f>
        <v/>
      </c>
      <c r="H2973">
        <f>1-(1-Skills!J22/100)^Skills!K22</f>
        <v/>
      </c>
      <c r="I2973" t="inlineStr">
        <is>
          <t>1</t>
        </is>
      </c>
      <c r="J2973" t="inlineStr"/>
      <c r="K2973" t="inlineStr"/>
      <c r="L2973" t="inlineStr"/>
      <c r="M2973" t="inlineStr"/>
      <c r="N2973" t="inlineStr"/>
      <c r="O2973">
        <f>(1-Summary!$B$11)*T2973+Summary!$B$11*V2973</f>
        <v/>
      </c>
      <c r="P2973">
        <f>IF(B2996=0,0,O2973/B2996)</f>
        <v/>
      </c>
      <c r="Q2973" t="n">
        <v>0</v>
      </c>
      <c r="R2973" t="n">
        <v>0</v>
      </c>
      <c r="S2973">
        <f>IFERROR(O2973/N2973,0)</f>
        <v/>
      </c>
      <c r="T2973" t="n">
        <v>0</v>
      </c>
      <c r="V2973" t="n">
        <v>0</v>
      </c>
    </row>
    <row r="2974">
      <c r="A2974">
        <f>Skills!A23</f>
        <v/>
      </c>
      <c r="B2974">
        <f>Skills!B23</f>
        <v/>
      </c>
      <c r="C2974">
        <f>Inputs!$B$3&gt;=10</f>
        <v/>
      </c>
      <c r="D2974">
        <f>IF(Skills!C23=1,60+Inputs!$B$25+Inputs!$B$29,IF(Skills!C23=2,90+Inputs!$B$26+Inputs!$B$29,IF(Skills!C23=3,120+Inputs!$B$27+Inputs!$B$29,MAX(0,(Inputs!$B$3-100)*3)+Inputs!$B$28+Inputs!$B$29)))</f>
        <v/>
      </c>
      <c r="E2974">
        <f>INDEX(FactorTable!$B$2:$Y$301, MATCH(ROUND(MIN(300,MAX(1,D2974)),0), FactorTable!$A$2:$A$301,0), Skills!M23+1)</f>
        <v/>
      </c>
      <c r="F2974">
        <f>IF(Skills!N23=TRUE,(Skills!L23/10)*(E2974/1000),Skills!L23/10)+Skills!O23</f>
        <v/>
      </c>
      <c r="G2974">
        <f>Skills!G23*IF(Skills!H23&gt;0,INT(IF(Inputs!$B$38="pvp",MIN(Skills!I23,15),Skills!I23)/Skills!H23+0.000000001),1)</f>
        <v/>
      </c>
      <c r="H2974">
        <f>1-(1-Skills!J23/100)^Skills!K23</f>
        <v/>
      </c>
      <c r="I2974" t="inlineStr">
        <is>
          <t>1</t>
        </is>
      </c>
      <c r="J2974" t="inlineStr"/>
      <c r="K2974" t="inlineStr"/>
      <c r="L2974" t="inlineStr"/>
      <c r="M2974" t="inlineStr"/>
      <c r="N2974" t="inlineStr"/>
      <c r="O2974">
        <f>(1-Summary!$B$11)*T2974+Summary!$B$11*V2974</f>
        <v/>
      </c>
      <c r="P2974">
        <f>IF(B2996=0,0,O2974/B2996)</f>
        <v/>
      </c>
      <c r="Q2974" t="n">
        <v>0</v>
      </c>
      <c r="R2974" t="n">
        <v>0</v>
      </c>
      <c r="S2974">
        <f>IFERROR(O2974/N2974,0)</f>
        <v/>
      </c>
      <c r="T2974" t="n">
        <v>0</v>
      </c>
      <c r="V2974" t="n">
        <v>0</v>
      </c>
    </row>
    <row r="2975">
      <c r="A2975">
        <f>Skills!A24</f>
        <v/>
      </c>
      <c r="B2975">
        <f>Skills!B24</f>
        <v/>
      </c>
      <c r="C2975">
        <f>Inputs!$B$3&gt;=33</f>
        <v/>
      </c>
      <c r="D2975">
        <f>IF(Skills!C24=1,60+Inputs!$B$25+Inputs!$B$29,IF(Skills!C24=2,90+Inputs!$B$26+Inputs!$B$29,IF(Skills!C24=3,120+Inputs!$B$27+Inputs!$B$29,MAX(0,(Inputs!$B$3-100)*3)+Inputs!$B$28+Inputs!$B$29)))</f>
        <v/>
      </c>
      <c r="E2975">
        <f>INDEX(FactorTable!$B$2:$Y$301, MATCH(ROUND(MIN(300,MAX(1,D2975)),0), FactorTable!$A$2:$A$301,0), Skills!M24+1)</f>
        <v/>
      </c>
      <c r="F2975">
        <f>IF(Skills!N24=TRUE,(Skills!L24/10)*(E2975/1000),Skills!L24/10)+Skills!O24</f>
        <v/>
      </c>
      <c r="G2975">
        <f>Skills!G24*IF(Skills!H24&gt;0,INT(IF(Inputs!$B$38="pvp",MIN(Skills!I24,15),Skills!I24)/Skills!H24+0.000000001),1)</f>
        <v/>
      </c>
      <c r="H2975">
        <f>1-(1-Skills!J24/100)^Skills!K24</f>
        <v/>
      </c>
      <c r="I2975" t="inlineStr">
        <is>
          <t>1</t>
        </is>
      </c>
      <c r="J2975" t="inlineStr"/>
      <c r="K2975" t="inlineStr"/>
      <c r="L2975" t="inlineStr"/>
      <c r="M2975" t="inlineStr"/>
      <c r="N2975" t="inlineStr"/>
      <c r="O2975">
        <f>(1-Summary!$B$11)*T2975+Summary!$B$11*V2975</f>
        <v/>
      </c>
      <c r="P2975">
        <f>IF(B2996=0,0,O2975/B2996)</f>
        <v/>
      </c>
      <c r="Q2975" t="n">
        <v>0</v>
      </c>
      <c r="R2975" t="n">
        <v>0</v>
      </c>
      <c r="S2975">
        <f>IFERROR(O2975/N2975,0)</f>
        <v/>
      </c>
      <c r="T2975" t="n">
        <v>0</v>
      </c>
      <c r="V2975" t="n">
        <v>0</v>
      </c>
    </row>
    <row r="2976">
      <c r="A2976">
        <f>Skills!A25</f>
        <v/>
      </c>
      <c r="B2976">
        <f>Skills!B25</f>
        <v/>
      </c>
      <c r="C2976">
        <f>Inputs!$B$3&gt;=38</f>
        <v/>
      </c>
      <c r="D2976">
        <f>IF(Skills!C25=1,60+Inputs!$B$25+Inputs!$B$29,IF(Skills!C25=2,90+Inputs!$B$26+Inputs!$B$29,IF(Skills!C25=3,120+Inputs!$B$27+Inputs!$B$29,MAX(0,(Inputs!$B$3-100)*3)+Inputs!$B$28+Inputs!$B$29)))</f>
        <v/>
      </c>
      <c r="E2976">
        <f>INDEX(FactorTable!$B$2:$Y$301, MATCH(ROUND(MIN(300,MAX(1,D2976)),0), FactorTable!$A$2:$A$301,0), Skills!M25+1)</f>
        <v/>
      </c>
      <c r="F2976">
        <f>IF(Skills!N25=TRUE,(Skills!L25/10)*(E2976/1000),Skills!L25/10)+Skills!O25</f>
        <v/>
      </c>
      <c r="G2976">
        <f>Skills!G25*IF(Skills!H25&gt;0,INT(IF(Inputs!$B$38="pvp",MIN(Skills!I25,15),Skills!I25)/Skills!H25+0.000000001),1)</f>
        <v/>
      </c>
      <c r="H2976">
        <f>1-(1-Skills!J25/100)^Skills!K25</f>
        <v/>
      </c>
      <c r="I2976" t="inlineStr">
        <is>
          <t>1</t>
        </is>
      </c>
      <c r="J2976" t="inlineStr"/>
      <c r="K2976" t="inlineStr"/>
      <c r="L2976" t="inlineStr"/>
      <c r="M2976" t="inlineStr"/>
      <c r="N2976" t="inlineStr"/>
      <c r="O2976">
        <f>(1-Summary!$B$11)*T2976+Summary!$B$11*V2976</f>
        <v/>
      </c>
      <c r="P2976">
        <f>IF(B2996=0,0,O2976/B2996)</f>
        <v/>
      </c>
      <c r="Q2976" t="n">
        <v>0</v>
      </c>
      <c r="R2976" t="n">
        <v>0</v>
      </c>
      <c r="S2976">
        <f>IFERROR(O2976/N2976,0)</f>
        <v/>
      </c>
      <c r="T2976" t="n">
        <v>0</v>
      </c>
      <c r="V2976" t="n">
        <v>0</v>
      </c>
    </row>
    <row r="2977">
      <c r="A2977">
        <f>Skills!A26</f>
        <v/>
      </c>
      <c r="B2977">
        <f>Skills!B26</f>
        <v/>
      </c>
      <c r="C2977">
        <f>Inputs!$B$3&gt;=43</f>
        <v/>
      </c>
      <c r="D2977">
        <f>IF(Skills!C26=1,60+Inputs!$B$25+Inputs!$B$29,IF(Skills!C26=2,90+Inputs!$B$26+Inputs!$B$29,IF(Skills!C26=3,120+Inputs!$B$27+Inputs!$B$29,MAX(0,(Inputs!$B$3-100)*3)+Inputs!$B$28+Inputs!$B$29)))</f>
        <v/>
      </c>
      <c r="E2977">
        <f>INDEX(FactorTable!$B$2:$Y$301, MATCH(ROUND(MIN(300,MAX(1,D2977)),0), FactorTable!$A$2:$A$301,0), Skills!M26+1)</f>
        <v/>
      </c>
      <c r="F2977">
        <f>IF(Skills!N26=TRUE,(Skills!L26/10)*(E2977/1000),Skills!L26/10)+Skills!O26</f>
        <v/>
      </c>
      <c r="G2977">
        <f>Skills!G26*IF(Skills!H26&gt;0,INT(IF(Inputs!$B$38="pvp",MIN(Skills!I26,15),Skills!I26)/Skills!H26+0.000000001),1)</f>
        <v/>
      </c>
      <c r="H2977">
        <f>1-(1-Skills!J26/100)^Skills!K26</f>
        <v/>
      </c>
      <c r="I2977" t="inlineStr">
        <is>
          <t>1</t>
        </is>
      </c>
      <c r="J2977" t="inlineStr"/>
      <c r="K2977" t="inlineStr"/>
      <c r="L2977" t="inlineStr"/>
      <c r="M2977" t="inlineStr"/>
      <c r="N2977" t="inlineStr"/>
      <c r="O2977">
        <f>(1-Summary!$B$11)*T2977+Summary!$B$11*V2977</f>
        <v/>
      </c>
      <c r="P2977">
        <f>IF(B2996=0,0,O2977/B2996)</f>
        <v/>
      </c>
      <c r="Q2977" t="n">
        <v>0</v>
      </c>
      <c r="R2977" t="n">
        <v>0</v>
      </c>
      <c r="S2977">
        <f>IFERROR(O2977/N2977,0)</f>
        <v/>
      </c>
      <c r="T2977" t="n">
        <v>0</v>
      </c>
      <c r="V2977" t="n">
        <v>0</v>
      </c>
    </row>
    <row r="2978">
      <c r="A2978">
        <f>Skills!A27</f>
        <v/>
      </c>
      <c r="B2978">
        <f>Skills!B27</f>
        <v/>
      </c>
      <c r="C2978">
        <f>Inputs!$B$3&gt;=75</f>
        <v/>
      </c>
      <c r="D2978">
        <f>IF(Skills!C27=1,60+Inputs!$B$25+Inputs!$B$29,IF(Skills!C27=2,90+Inputs!$B$26+Inputs!$B$29,IF(Skills!C27=3,120+Inputs!$B$27+Inputs!$B$29,MAX(0,(Inputs!$B$3-100)*3)+Inputs!$B$28+Inputs!$B$29)))</f>
        <v/>
      </c>
      <c r="E2978">
        <f>INDEX(FactorTable!$B$2:$Y$301, MATCH(ROUND(MIN(300,MAX(1,D2978)),0), FactorTable!$A$2:$A$301,0), Skills!M27+1)</f>
        <v/>
      </c>
      <c r="F2978">
        <f>IF(Skills!N27=TRUE,(Skills!L27/10)*(E2978/1000),Skills!L27/10)+Skills!O27</f>
        <v/>
      </c>
      <c r="G2978">
        <f>Skills!G27*IF(Skills!H27&gt;0,INT(IF(Inputs!$B$38="pvp",MIN(Skills!I27,15),Skills!I27)/Skills!H27+0.000000001),1)</f>
        <v/>
      </c>
      <c r="H2978">
        <f>1-(1-Skills!J27/100)^Skills!K27</f>
        <v/>
      </c>
      <c r="I2978" t="inlineStr">
        <is>
          <t>1</t>
        </is>
      </c>
      <c r="J2978" t="inlineStr"/>
      <c r="K2978" t="inlineStr"/>
      <c r="L2978" t="inlineStr"/>
      <c r="M2978" t="inlineStr"/>
      <c r="N2978" t="inlineStr"/>
      <c r="O2978">
        <f>(1-Summary!$B$11)*T2978+Summary!$B$11*V2978</f>
        <v/>
      </c>
      <c r="P2978">
        <f>IF(B2996=0,0,O2978/B2996)</f>
        <v/>
      </c>
      <c r="Q2978" t="n">
        <v>0</v>
      </c>
      <c r="R2978" t="n">
        <v>0</v>
      </c>
      <c r="S2978">
        <f>IFERROR(O2978/N2978,0)</f>
        <v/>
      </c>
      <c r="T2978" t="n">
        <v>0</v>
      </c>
      <c r="V2978" t="n">
        <v>0</v>
      </c>
    </row>
    <row r="2979">
      <c r="A2979">
        <f>Skills!A28</f>
        <v/>
      </c>
      <c r="B2979">
        <f>Skills!B28</f>
        <v/>
      </c>
      <c r="C2979">
        <f>Inputs!$B$3&gt;=125</f>
        <v/>
      </c>
      <c r="D2979">
        <f>IF(Skills!C28=1,60+Inputs!$B$25+Inputs!$B$29,IF(Skills!C28=2,90+Inputs!$B$26+Inputs!$B$29,IF(Skills!C28=3,120+Inputs!$B$27+Inputs!$B$29,MAX(0,(Inputs!$B$3-100)*3)+Inputs!$B$28+Inputs!$B$29)))</f>
        <v/>
      </c>
      <c r="E2979">
        <f>INDEX(FactorTable!$B$2:$Y$301, MATCH(ROUND(MIN(300,MAX(1,D2979)),0), FactorTable!$A$2:$A$301,0), Skills!M28+1)</f>
        <v/>
      </c>
      <c r="F2979">
        <f>IF(Skills!N28=TRUE,(Skills!L28/10)*(E2979/1000),Skills!L28/10)+Skills!O28</f>
        <v/>
      </c>
      <c r="G2979">
        <f>Skills!G28*IF(Skills!H28&gt;0,INT(IF(Inputs!$B$38="pvp",MIN(Skills!I28,15),Skills!I28)/Skills!H28+0.000000001),1)</f>
        <v/>
      </c>
      <c r="H2979">
        <f>1-(1-Skills!J28/100)^Skills!K28</f>
        <v/>
      </c>
      <c r="I2979" t="inlineStr">
        <is>
          <t>1</t>
        </is>
      </c>
      <c r="J2979" t="inlineStr"/>
      <c r="K2979" t="inlineStr"/>
      <c r="L2979" t="inlineStr"/>
      <c r="M2979" t="inlineStr"/>
      <c r="N2979" t="inlineStr"/>
      <c r="O2979">
        <f>(1-Summary!$B$11)*T2979+Summary!$B$11*V2979</f>
        <v/>
      </c>
      <c r="P2979">
        <f>IF(B2996=0,0,O2979/B2996)</f>
        <v/>
      </c>
      <c r="Q2979" t="n">
        <v>0</v>
      </c>
      <c r="R2979" t="n">
        <v>0</v>
      </c>
      <c r="S2979">
        <f>IFERROR(O2979/N2979,0)</f>
        <v/>
      </c>
      <c r="T2979" t="n">
        <v>0</v>
      </c>
      <c r="V2979" t="n">
        <v>0</v>
      </c>
    </row>
    <row r="2980">
      <c r="A2980">
        <f>Skills!A29</f>
        <v/>
      </c>
      <c r="B2980">
        <f>Skills!B29</f>
        <v/>
      </c>
      <c r="C2980">
        <f>Inputs!$B$3&gt;=125</f>
        <v/>
      </c>
      <c r="D2980">
        <f>IF(Skills!C29=1,60+Inputs!$B$25+Inputs!$B$29,IF(Skills!C29=2,90+Inputs!$B$26+Inputs!$B$29,IF(Skills!C29=3,120+Inputs!$B$27+Inputs!$B$29,MAX(0,(Inputs!$B$3-100)*3)+Inputs!$B$28+Inputs!$B$29)))</f>
        <v/>
      </c>
      <c r="E2980">
        <f>INDEX(FactorTable!$B$2:$Y$301, MATCH(ROUND(MIN(300,MAX(1,D2980)),0), FactorTable!$A$2:$A$301,0), Skills!M29+1)</f>
        <v/>
      </c>
      <c r="F2980">
        <f>IF(Skills!N29=TRUE,(Skills!L29/10)*(E2980/1000),Skills!L29/10)+Skills!O29</f>
        <v/>
      </c>
      <c r="G2980">
        <f>Skills!G29*IF(Skills!H29&gt;0,INT(IF(Inputs!$B$38="pvp",MIN(Skills!I29,15),Skills!I29)/Skills!H29+0.000000001),1)</f>
        <v/>
      </c>
      <c r="H2980">
        <f>1-(1-Skills!J29/100)^Skills!K29</f>
        <v/>
      </c>
      <c r="I2980" t="inlineStr">
        <is>
          <t>1</t>
        </is>
      </c>
      <c r="J2980" t="inlineStr"/>
      <c r="K2980" t="inlineStr"/>
      <c r="L2980" t="inlineStr"/>
      <c r="M2980" t="inlineStr"/>
      <c r="N2980" t="inlineStr"/>
      <c r="O2980">
        <f>(1-Summary!$B$11)*T2980+Summary!$B$11*V2980</f>
        <v/>
      </c>
      <c r="P2980">
        <f>IF(B2996=0,0,O2980/B2996)</f>
        <v/>
      </c>
      <c r="Q2980" t="n">
        <v>0</v>
      </c>
      <c r="R2980" t="n">
        <v>0</v>
      </c>
      <c r="S2980">
        <f>IFERROR(O2980/N2980,0)</f>
        <v/>
      </c>
      <c r="T2980" t="n">
        <v>0</v>
      </c>
      <c r="V2980" t="n">
        <v>0</v>
      </c>
    </row>
    <row r="2981">
      <c r="A2981">
        <f>Skills!A30</f>
        <v/>
      </c>
      <c r="B2981">
        <f>Skills!B30</f>
        <v/>
      </c>
      <c r="C2981">
        <f>Inputs!$B$3&gt;=120</f>
        <v/>
      </c>
      <c r="D2981">
        <f>IF(Skills!C30=1,60+Inputs!$B$25+Inputs!$B$29,IF(Skills!C30=2,90+Inputs!$B$26+Inputs!$B$29,IF(Skills!C30=3,120+Inputs!$B$27+Inputs!$B$29,MAX(0,(Inputs!$B$3-100)*3)+Inputs!$B$28+Inputs!$B$29)))</f>
        <v/>
      </c>
      <c r="E2981">
        <f>INDEX(FactorTable!$B$2:$Y$301, MATCH(ROUND(MIN(300,MAX(1,D2981)),0), FactorTable!$A$2:$A$301,0), Skills!M30+1)</f>
        <v/>
      </c>
      <c r="F2981">
        <f>IF(Skills!N30=TRUE,(Skills!L30/10)*(E2981/1000),Skills!L30/10)+Skills!O30</f>
        <v/>
      </c>
      <c r="G2981">
        <f>Skills!G30*IF(Skills!H30&gt;0,INT(IF(Inputs!$B$38="pvp",MIN(Skills!I30,15),Skills!I30)/Skills!H30+0.000000001),1)</f>
        <v/>
      </c>
      <c r="H2981">
        <f>1-(1-Skills!J30/100)^Skills!K30</f>
        <v/>
      </c>
      <c r="I2981" t="inlineStr">
        <is>
          <t>1</t>
        </is>
      </c>
      <c r="J2981" t="inlineStr"/>
      <c r="K2981" t="inlineStr"/>
      <c r="L2981" t="inlineStr"/>
      <c r="M2981" t="inlineStr"/>
      <c r="N2981" t="inlineStr"/>
      <c r="O2981">
        <f>(1-Summary!$B$11)*T2981+Summary!$B$11*V2981</f>
        <v/>
      </c>
      <c r="P2981">
        <f>IF(B2996=0,0,O2981/B2996)</f>
        <v/>
      </c>
      <c r="Q2981" t="n">
        <v>0</v>
      </c>
      <c r="R2981" t="n">
        <v>0</v>
      </c>
      <c r="S2981">
        <f>IFERROR(O2981/N2981,0)</f>
        <v/>
      </c>
      <c r="T2981" t="n">
        <v>0</v>
      </c>
      <c r="V2981" t="n">
        <v>0</v>
      </c>
    </row>
    <row r="2982">
      <c r="A2982">
        <f>Skills!A31</f>
        <v/>
      </c>
      <c r="B2982">
        <f>Skills!B31</f>
        <v/>
      </c>
      <c r="C2982">
        <f>Inputs!$B$3&gt;=120</f>
        <v/>
      </c>
      <c r="D2982">
        <f>IF(Skills!C31=1,60+Inputs!$B$25+Inputs!$B$29,IF(Skills!C31=2,90+Inputs!$B$26+Inputs!$B$29,IF(Skills!C31=3,120+Inputs!$B$27+Inputs!$B$29,MAX(0,(Inputs!$B$3-100)*3)+Inputs!$B$28+Inputs!$B$29)))</f>
        <v/>
      </c>
      <c r="E2982">
        <f>INDEX(FactorTable!$B$2:$Y$301, MATCH(ROUND(MIN(300,MAX(1,D2982)),0), FactorTable!$A$2:$A$301,0), Skills!M31+1)</f>
        <v/>
      </c>
      <c r="F2982">
        <f>IF(Skills!N31=TRUE,(Skills!L31/10)*(E2982/1000),Skills!L31/10)+Skills!O31</f>
        <v/>
      </c>
      <c r="G2982">
        <f>Skills!G31*IF(Skills!H31&gt;0,INT(IF(Inputs!$B$38="pvp",MIN(Skills!I31,15),Skills!I31)/Skills!H31+0.000000001),1)</f>
        <v/>
      </c>
      <c r="H2982">
        <f>1-(1-Skills!J31/100)^Skills!K31</f>
        <v/>
      </c>
      <c r="I2982" t="inlineStr">
        <is>
          <t>1</t>
        </is>
      </c>
      <c r="J2982" t="inlineStr"/>
      <c r="K2982" t="inlineStr"/>
      <c r="L2982" t="inlineStr"/>
      <c r="M2982" t="inlineStr"/>
      <c r="N2982" t="inlineStr"/>
      <c r="O2982">
        <f>(1-Summary!$B$11)*T2982+Summary!$B$11*V2982</f>
        <v/>
      </c>
      <c r="P2982">
        <f>IF(B2996=0,0,O2982/B2996)</f>
        <v/>
      </c>
      <c r="Q2982" t="n">
        <v>0</v>
      </c>
      <c r="R2982" t="n">
        <v>0</v>
      </c>
      <c r="S2982">
        <f>IFERROR(O2982/N2982,0)</f>
        <v/>
      </c>
      <c r="T2982" t="n">
        <v>0</v>
      </c>
      <c r="V2982" t="n">
        <v>0</v>
      </c>
    </row>
    <row r="2983">
      <c r="A2983">
        <f>Skills!A32</f>
        <v/>
      </c>
      <c r="B2983">
        <f>Skills!B32</f>
        <v/>
      </c>
      <c r="C2983">
        <f>Inputs!$B$3&gt;=45</f>
        <v/>
      </c>
      <c r="D2983">
        <f>IF(Skills!C32=1,60+Inputs!$B$25+Inputs!$B$29,IF(Skills!C32=2,90+Inputs!$B$26+Inputs!$B$29,IF(Skills!C32=3,120+Inputs!$B$27+Inputs!$B$29,MAX(0,(Inputs!$B$3-100)*3)+Inputs!$B$28+Inputs!$B$29)))</f>
        <v/>
      </c>
      <c r="E2983">
        <f>INDEX(FactorTable!$B$2:$Y$301, MATCH(ROUND(MIN(300,MAX(1,D2983)),0), FactorTable!$A$2:$A$301,0), Skills!M32+1)</f>
        <v/>
      </c>
      <c r="F2983">
        <f>IF(Skills!N32=TRUE,(Skills!L32/10)*(E2983/1000),Skills!L32/10)+Skills!O32</f>
        <v/>
      </c>
      <c r="G2983">
        <f>Skills!G32*IF(Skills!H32&gt;0,INT(IF(Inputs!$B$38="pvp",MIN(Skills!I32,15),Skills!I32)/Skills!H32+0.000000001),1)</f>
        <v/>
      </c>
      <c r="H2983">
        <f>1-(1-Skills!J32/100)^Skills!K32</f>
        <v/>
      </c>
      <c r="I2983" t="inlineStr">
        <is>
          <t>1</t>
        </is>
      </c>
      <c r="J2983" t="inlineStr"/>
      <c r="K2983" t="inlineStr"/>
      <c r="L2983" t="inlineStr"/>
      <c r="M2983" t="inlineStr"/>
      <c r="N2983" t="inlineStr"/>
      <c r="O2983">
        <f>(1-Summary!$B$11)*T2983+Summary!$B$11*V2983</f>
        <v/>
      </c>
      <c r="P2983">
        <f>IF(B2996=0,0,O2983/B2996)</f>
        <v/>
      </c>
      <c r="Q2983" t="n">
        <v>0</v>
      </c>
      <c r="R2983" t="n">
        <v>0</v>
      </c>
      <c r="S2983">
        <f>IFERROR(O2983/N2983,0)</f>
        <v/>
      </c>
      <c r="T2983" t="n">
        <v>0</v>
      </c>
      <c r="V2983" t="n">
        <v>0</v>
      </c>
    </row>
    <row r="2985">
      <c r="A2985" t="inlineStr">
        <is>
          <t>Attack% Bucket Multiplier</t>
        </is>
      </c>
      <c r="B2985">
        <f>(1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6">
      <c r="A2986" t="inlineStr">
        <is>
          <t>Global Crit Rate Bonus %</t>
        </is>
      </c>
      <c r="B2986" t="n">
        <v>0</v>
      </c>
    </row>
    <row r="2987">
      <c r="A2987" t="inlineStr">
        <is>
          <t>Attack Speed Buff Bonus %</t>
        </is>
      </c>
      <c r="B2987">
        <f>((C2972=TRUE)*F2972*IF(AND(Inputs!$B$38&lt;&gt;"pvp",Inputs!$B$43&gt;0),(((R2972-1)*MIN((Skills!T21*(1+Inputs!$B$34/100)),(1/Q2972))+MIN((Skills!T21*(1+Inputs!$B$34/100)),MAX(0,Inputs!$B$43-((R2972-1)*(1/Q2972)))))/Inputs!$B$43),IF(Inputs!$B$38="pvp",MIN((Skills!T21*(1+Inputs!$B$34/100)),15)/15,MIN(1,(Skills!T21*(1+Inputs!$B$34/100))/(1/Q2972)))))</f>
        <v/>
      </c>
    </row>
    <row r="2988">
      <c r="A2988" t="inlineStr">
        <is>
          <t>Actions Per Second</t>
        </is>
      </c>
      <c r="B2988">
        <f>1+MIN(150,150*(1-(1-(Inputs!$B$11+((C2974=TRUE)*(F2974-Calc!F23))+((C2975=TRUE)*(F2975-Calc!F24)))/150)*(1-B2987/150)))/100</f>
        <v/>
      </c>
    </row>
    <row r="2989">
      <c r="A2989" t="inlineStr">
        <is>
          <t>Skill + Buff Cast Rate</t>
        </is>
      </c>
      <c r="B2989">
        <f>IF(AND(Inputs!$B$38&lt;&gt;"pvp",Inputs!$B$43&gt;0),SUMPRODUCT((Skills!E2:E32=TRUE)*(C2953:C2983=TRUE)*R2953:R2983*Skills!F2:F32)/Inputs!$B$43,SUMPRODUCT((Skills!E2:E32=TRUE)*(C2953:C2983=TRUE)*Q2953:Q2983*Skills!F2:F32))</f>
        <v/>
      </c>
    </row>
    <row r="2990">
      <c r="A2990" t="inlineStr">
        <is>
          <t>Arrow Stream Casts Per Second</t>
        </is>
      </c>
      <c r="B2990">
        <f>MAX(0,B2988-B2989)</f>
        <v/>
      </c>
    </row>
    <row r="2991">
      <c r="A2991" t="inlineStr">
        <is>
          <t>Global Critical Damage Bonus % (Sharp Eyes + Concentration)</t>
        </is>
      </c>
      <c r="B2991">
        <f>(C2969=TRUE)*F2969*IF(AND(Inputs!$B$38&lt;&gt;"pvp",Inputs!$B$43&gt;0),(((R2969-1)*MIN((Skills!T18*(1+Inputs!$B$34/100)),(1/Q2969))+MIN((Skills!T18*(1+Inputs!$B$34/100)),MAX(0,Inputs!$B$43-((R2969-1)*(1/Q2969)))))/Inputs!$B$43),IF(Inputs!$B$38="pvp",MIN((Skills!T18*(1+Inputs!$B$34/100)),15)/15,MIN(1,(Skills!T18*(1+Inputs!$B$34/100))/(1/Q2969))))+(C2970=TRUE)*7*F2970</f>
        <v/>
      </c>
    </row>
    <row r="2992">
      <c r="A2992" t="inlineStr">
        <is>
          <t>Global Final Damage Bonus % (Mortal Blow)</t>
        </is>
      </c>
      <c r="B2992">
        <f>(C2971=TRUE)*F2971</f>
        <v/>
      </c>
    </row>
    <row r="2993">
      <c r="A2993" t="inlineStr">
        <is>
          <t>Buff-Casting Startup Delay (s, fixed-duration only)</t>
        </is>
      </c>
      <c r="B2993">
        <f>IF(AND(Inputs!$B$38&lt;&gt;"pvp",Inputs!$B$43&gt;0),SUMPRODUCT((Skills!T2:T32&gt;0)*(Skills!E2:E32=TRUE)*(C2953:C2983=TRUE))/B2988,0)</f>
        <v/>
      </c>
    </row>
    <row r="2994">
      <c r="A2994" t="inlineStr">
        <is>
          <t>Boss-Only Total DPS (this block's swept value)</t>
        </is>
      </c>
      <c r="B2994">
        <f>SUM(T2953:T2983)</f>
        <v/>
      </c>
    </row>
    <row r="2995">
      <c r="A2995" t="inlineStr">
        <is>
          <t>Normal-Only Total DPS (this block's swept value)</t>
        </is>
      </c>
      <c r="B2995">
        <f>SUM(V2953:V2983)</f>
        <v/>
      </c>
    </row>
    <row r="2996">
      <c r="A2996" s="6" t="inlineStr">
        <is>
          <t>TOTAL DPS</t>
        </is>
      </c>
      <c r="B2996" s="6">
        <f>SUM(O2953:O2983)</f>
        <v/>
      </c>
    </row>
    <row r="2999">
      <c r="A2999" s="6" t="inlineStr">
        <is>
          <t>Stat: Ring of Cycles (Equip)</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Skills!G2*IF(Skills!H2&gt;0,INT(IF(Inputs!$B$38="pvp",MIN(Skills!I2,15),Skills!I2)/Skills!H2+0.000000001),1)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3025=TRUE)*(F3025-Calc!F26)),(Inputs!$B$23+((C3030=TRUE)*(F3030-Calc!F31))+(IF(ArtifactsInput!$M$15,CHOOSE(ArtifactsInput!$N$15+1,25,30,35,40,45,50)/100*(Inputs!$B$11-Inputs!$B$11),0))))/100+(Inputs!$B$23+((C3030=TRUE)*(F3030-Calc!F31))+(IF(ArtifactsInput!$M$15,CHOOSE(ArtifactsInput!$N$15+1,25,30,35,40,45,50)/100*(Inputs!$B$11-Inputs!$B$11),0)))/100)/2</f>
        <v/>
      </c>
      <c r="M3001">
        <f>L3001*(1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IF(B3044=0,0,O3001/B3044)</f>
        <v/>
      </c>
      <c r="Q3001" t="n">
        <v>0</v>
      </c>
      <c r="R3001" t="n">
        <v>0</v>
      </c>
      <c r="S3001">
        <f>IFERROR(O3001/N3001,0)</f>
        <v/>
      </c>
      <c r="T3001">
        <f>IF(C3001,(Skills!G2*N3001*B3038)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IF(C3001,(Skills!G2*N3001*B3038)*IF(Inputs!$B$38="pvp",1,(1+(Inputs!$B$21+Skills!Q2+(IF(ArtifactsInput!$M$33,CHOOSE(ArtifactsInput!$N$33+1,30,36,42,48,54,60),0))+(IF(AND(ArtifactsInput!$M$35,Inputs!$B$4&lt;&gt;"Chapter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Skills!G3*IF(Skills!H3&gt;0,INT(IF(Inputs!$B$38="pvp",MIN(Skills!I3,15),Skills!I3)/Skills!H3+0.000000001),1)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3025=TRUE)*(F3025-Calc!F26)),(Inputs!$B$23+((C3030=TRUE)*(F3030-Calc!F31))+(IF(ArtifactsInput!$M$15,CHOOSE(ArtifactsInput!$N$15+1,25,30,35,40,45,50)/100*(Inputs!$B$11-Inputs!$B$11),0))))/100+(Inputs!$B$23+((C3030=TRUE)*(F3030-Calc!F31))+(IF(ArtifactsInput!$M$15,CHOOSE(ArtifactsInput!$N$15+1,25,30,35,40,45,50)/100*(Inputs!$B$11-Inputs!$B$11),0)))/100)/2</f>
        <v/>
      </c>
      <c r="M3002">
        <f>L3002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IF(B3044=0,0,O3002/B3044)</f>
        <v/>
      </c>
      <c r="Q3002">
        <f>IFERROR(1/(IF(Inputs!$B$38="pvp",15,MAX(0.1,1/B3036-IF(FALSE=TRUE,Inputs!$B$32,0)))*(1-IF(AND(ArtifactsInput!$M$27,Inputs!$B$4="Chapter Hunt"),CHOOSE(ArtifactsInput!$N$27+1,20,24,28,32,36,40),0)/100)),0)</f>
        <v/>
      </c>
      <c r="R3002">
        <f>IF(AND(Inputs!$B$38&lt;&gt;"pvp",Inputs!$B$43&gt;0),IF(MAX(0,Inputs!$B$43-B3041)&lt;=0,0,(INT(MAX(0,Inputs!$B$43-B3041)/(IF(Inputs!$B$38="pvp",15,MAX(0.1,1/B3036-IF(FALSE=TRUE,Inputs!$B$32,0)))*(1-IF(AND(ArtifactsInput!$M$27,Inputs!$B$4="Chapter Hunt"),CHOOSE(ArtifactsInput!$N$27+1,20,24,28,32,36,40),0)/100)))+1)),0)</f>
        <v/>
      </c>
      <c r="S3002">
        <f>IFERROR(O3002/N3002,0)</f>
        <v/>
      </c>
      <c r="T3002">
        <f>IF(C3002,(H3002*N3002*IF(AND(Inputs!$B$38&lt;&gt;"pvp",Inputs!$B$43&gt;0),((Skills!G3*((R3002-1)*IF(Skills!H3&gt;0,INT(Skills!I3/Skills!H3+0.000000001),1)+IF(Skills!H3&gt;0,INT(MIN(Skills!I3,MAX(0,MAX(0,Inputs!$B$43-B3041)-((R3002-1)*(IF(Inputs!$B$38="pvp",15,MAX(0.1,1/B3036-IF(FALSE=TRUE,Inputs!$B$32,0)))*(1-IF(AND(ArtifactsInput!$M$27,Inputs!$B$4="Chapter Hunt"),CHOOSE(ArtifactsInput!$N$27+1,20,24,28,32,36,40),0)/100)))))/Skills!H3+0.000000001),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INT(Skills!I3/Skills!H3+0.000000001),1)+IF(Skills!H3&gt;0,INT(MIN(Skills!I3,MAX(0,MAX(0,Inputs!$B$43-B3041)-((R3002-1)*(IF(Inputs!$B$38="pvp",15,MAX(0.1,1/B3036-IF(FALSE=TRUE,Inputs!$B$32,0)))*(1-IF(AND(ArtifactsInput!$M$27,Inputs!$B$4="Chapter Hunt"),CHOOSE(ArtifactsInput!$N$27+1,20,24,28,32,36,40),0)/100)))))/Skills!H3+0.000000001),1)))/Inputs!$B$43),G3002*Q3002))*IF(Inputs!$B$38="pvp",1,(1+(Inputs!$B$21+Skills!Q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Skills!G5*IF(Skills!H5&gt;0,INT(IF(Inputs!$B$38="pvp",MIN(Skills!I5,15),Skills!I5)/Skills!H5+0.000000001),1)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3011=TRUE,F3011,0)/100)*(1+(IF(Skills!A5="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3025=TRUE)*(F3025-Calc!F26)),(Inputs!$B$23+((C3030=TRUE)*(F3030-Calc!F31))+(IF(ArtifactsInput!$M$15,CHOOSE(ArtifactsInput!$N$15+1,25,30,35,40,45,50)/100*(Inputs!$B$11-Inputs!$B$11),0))))/100+(Inputs!$B$23+((C3030=TRUE)*(F3030-Calc!F31))+(IF(ArtifactsInput!$M$15,CHOOSE(ArtifactsInput!$N$15+1,25,30,35,40,45,50)/100*(Inputs!$B$11-Inputs!$B$11),0)))/100)/2</f>
        <v/>
      </c>
      <c r="M3004">
        <f>L3004*(1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IF(B3044=0,0,O3004/B3044)</f>
        <v/>
      </c>
      <c r="Q3004">
        <f>IFERROR(1/(IF(Inputs!$B$38="pvp",15,MAX(0.1,Skills!D5-IF(TRUE=TRUE,Inputs!$B$32,0)))*(1-IF(AND(ArtifactsInput!$M$27,Inputs!$B$4="Chapter Hunt"),CHOOSE(ArtifactsInput!$N$27+1,20,24,28,32,36,40),0)/100)),0)</f>
        <v/>
      </c>
      <c r="R3004">
        <f>IF(AND(Inputs!$B$38&lt;&gt;"pvp",Inputs!$B$43&gt;0),IF(MAX(0,Inputs!$B$43-B3041)&lt;=0,0,(INT(MAX(0,Inputs!$B$43-B3041)/(IF(Inputs!$B$38="pvp",15,MAX(0.1,Skills!D5-IF(TRUE=TRUE,Inputs!$B$32,0)))*(1-IF(AND(ArtifactsInput!$M$27,Inputs!$B$4="Chapter Hunt"),CHOOSE(ArtifactsInput!$N$27+1,20,24,28,32,36,40),0)/100)))+1)),0)</f>
        <v/>
      </c>
      <c r="S3004">
        <f>IFERROR(O3004/N3004,0)</f>
        <v/>
      </c>
      <c r="T3004">
        <f>IF(C3004,(H3004*N3004*IF(AND(Inputs!$B$38&lt;&gt;"pvp",Inputs!$B$43&gt;0),((Skills!G5*((R3004-1)*IF(Skills!H5&gt;0,INT(Skills!I5/Skills!H5+0.000000001),1)+IF(Skills!H5&gt;0,INT(MIN(Skills!I5,MAX(0,MAX(0,Inputs!$B$43-B3041)-((R3004-1)*(IF(Inputs!$B$38="pvp",15,MAX(0.1,Skills!D5-IF(TRUE=TRUE,Inputs!$B$32,0)))*(1-IF(AND(ArtifactsInput!$M$27,Inputs!$B$4="Chapter Hunt"),CHOOSE(ArtifactsInput!$N$27+1,20,24,28,32,36,40),0)/100)))))/Skills!H5+0.000000001),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INT(Skills!I5/Skills!H5+0.000000001),1)+IF(Skills!H5&gt;0,INT(MIN(Skills!I5,MAX(0,MAX(0,Inputs!$B$43-B3041)-((R3004-1)*(IF(Inputs!$B$38="pvp",15,MAX(0.1,Skills!D5-IF(TRUE=TRUE,Inputs!$B$32,0)))*(1-IF(AND(ArtifactsInput!$M$27,Inputs!$B$4="Chapter Hunt"),CHOOSE(ArtifactsInput!$N$27+1,20,24,28,32,36,40),0)/100)))))/Skills!H5+0.000000001),1)))/Inputs!$B$43),G3004*Q3004))*IF(Inputs!$B$38="pvp",1,(1+(Inputs!$B$21+Skills!Q5+(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Skills!G6*IF(Skills!H6&gt;0,INT(IF(Inputs!$B$38="pvp",MIN(Skills!I6,15),Skills!I6)/Skills!H6+0.000000001),1)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3025=TRUE)*(F3025-Calc!F26)),(Inputs!$B$23+((C3030=TRUE)*(F3030-Calc!F31))+(IF(ArtifactsInput!$M$15,CHOOSE(ArtifactsInput!$N$15+1,25,30,35,40,45,50)/100*(Inputs!$B$11-Inputs!$B$11),0))))/100+(Inputs!$B$23+((C3030=TRUE)*(F3030-Calc!F31))+(IF(ArtifactsInput!$M$15,CHOOSE(ArtifactsInput!$N$15+1,25,30,35,40,45,50)/100*(Inputs!$B$11-Inputs!$B$11),0)))/100)/2</f>
        <v/>
      </c>
      <c r="M3005">
        <f>L3005*(1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IF(B3044=0,0,O3005/B3044)</f>
        <v/>
      </c>
      <c r="Q3005">
        <f>IFERROR(1/(IF(Inputs!$B$38="pvp",15,MAX(0.1,1-0.4*MIN(1,(B3036-1)/1.5)-IF(FALSE=TRUE,Inputs!$B$32,0)))*(1-IF(AND(ArtifactsInput!$M$27,Inputs!$B$4="Chapter Hunt"),CHOOSE(ArtifactsInput!$N$27+1,20,24,28,32,36,40),0)/100)),0)</f>
        <v/>
      </c>
      <c r="R3005">
        <f>IF(AND(Inputs!$B$38&lt;&gt;"pvp",Inputs!$B$43&gt;0),IF(MAX(0,Inputs!$B$43-B3041)&lt;=0,0,(INT(MAX(0,Inputs!$B$43-B3041)/(IF(Inputs!$B$38="pvp",15,MAX(0.1,1-0.4*MIN(1,(B3036-1)/1.5)-IF(FALSE=TRUE,Inputs!$B$32,0)))*(1-IF(AND(ArtifactsInput!$M$27,Inputs!$B$4="Chapter Hunt"),CHOOSE(ArtifactsInput!$N$27+1,20,24,28,32,36,40),0)/100)))+1)),0)</f>
        <v/>
      </c>
      <c r="S3005">
        <f>IFERROR(O3005/N3005,0)</f>
        <v/>
      </c>
      <c r="T3005">
        <f>IF(C3005,(H3005*N3005*IF(AND(Inputs!$B$38&lt;&gt;"pvp",Inputs!$B$43&gt;0),((Skills!G6*((R3005-1)*IF(Skills!H6&gt;0,INT(Skills!I6/Skills!H6+0.000000001),1)+IF(Skills!H6&gt;0,INT(MIN(Skills!I6,MAX(0,MAX(0,Inputs!$B$43-B3041)-((R3005-1)*(IF(Inputs!$B$38="pvp",15,MAX(0.1,1-0.4*MIN(1,(B3036-1)/1.5)-IF(FALSE=TRUE,Inputs!$B$32,0)))*(1-IF(AND(ArtifactsInput!$M$27,Inputs!$B$4="Chapter Hunt"),CHOOSE(ArtifactsInput!$N$27+1,20,24,28,32,36,40),0)/100)))))/Skills!H6+0.000000001),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INT(Skills!I6/Skills!H6+0.000000001),1)+IF(Skills!H6&gt;0,INT(MIN(Skills!I6,MAX(0,MAX(0,Inputs!$B$43-B3041)-((R3005-1)*(IF(Inputs!$B$38="pvp",15,MAX(0.1,1-0.4*MIN(1,(B3036-1)/1.5)-IF(FALSE=TRUE,Inputs!$B$32,0)))*(1-IF(AND(ArtifactsInput!$M$27,Inputs!$B$4="Chapter Hunt"),CHOOSE(ArtifactsInput!$N$27+1,20,24,28,32,36,40),0)/100)))))/Skills!H6+0.000000001),1)))/Inputs!$B$43),G3005*Q3005))*IF(Inputs!$B$38="pvp",1,(1+(Inputs!$B$21+Skills!Q6+(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Inputs!$B$3&gt;=130</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Skills!G8*IF(Skills!H8&gt;0,INT(IF(Inputs!$B$38="pvp",MIN(Skills!I8,15),Skills!I8)/Skills!H8+0.000000001),1)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3025=TRUE)*(F3025-Calc!F26)),(Inputs!$B$23+((C3030=TRUE)*(F3030-Calc!F31))+(IF(ArtifactsInput!$M$15,CHOOSE(ArtifactsInput!$N$15+1,25,30,35,40,45,50)/100*(Inputs!$B$11-Inputs!$B$11),0))))/100+(Inputs!$B$23+((C3030=TRUE)*(F3030-Calc!F31))+(IF(ArtifactsInput!$M$15,CHOOSE(ArtifactsInput!$N$15+1,25,30,35,40,45,50)/100*(Inputs!$B$11-Inputs!$B$11),0)))/100)/2</f>
        <v/>
      </c>
      <c r="M3007">
        <f>L3007*(1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IF(B3044=0,0,O3007/B3044)</f>
        <v/>
      </c>
      <c r="Q3007">
        <f>IFERROR(1/(IF(Inputs!$B$38="pvp",15,MAX(0.1,1-0.4*MIN(1,(B3036-1)/1.5)-IF(FALSE=TRUE,Inputs!$B$32,0)))*(1-IF(AND(ArtifactsInput!$M$27,Inputs!$B$4="Chapter Hunt"),CHOOSE(ArtifactsInput!$N$27+1,20,24,28,32,36,40),0)/100)),0)</f>
        <v/>
      </c>
      <c r="R3007">
        <f>IF(AND(Inputs!$B$38&lt;&gt;"pvp",Inputs!$B$43&gt;0),IF(MAX(0,Inputs!$B$43-B3041)&lt;=0,0,(INT(MAX(0,Inputs!$B$43-B3041)/(IF(Inputs!$B$38="pvp",15,MAX(0.1,1-0.4*MIN(1,(B3036-1)/1.5)-IF(FALSE=TRUE,Inputs!$B$32,0)))*(1-IF(AND(ArtifactsInput!$M$27,Inputs!$B$4="Chapter Hunt"),CHOOSE(ArtifactsInput!$N$27+1,20,24,28,32,36,40),0)/100)))+1)),0)</f>
        <v/>
      </c>
      <c r="S3007">
        <f>IFERROR(O3007/N3007,0)</f>
        <v/>
      </c>
      <c r="T3007">
        <f>IF(C3007,(H3007*N3007*IF(AND(Inputs!$B$38&lt;&gt;"pvp",Inputs!$B$43&gt;0),((Skills!G8*((R3007-1)*IF(Skills!H8&gt;0,INT(Skills!I8/Skills!H8+0.000000001),1)+IF(Skills!H8&gt;0,INT(MIN(Skills!I8,MAX(0,MAX(0,Inputs!$B$43-B3041)-((R3007-1)*(IF(Inputs!$B$38="pvp",15,MAX(0.1,1-0.4*MIN(1,(B3036-1)/1.5)-IF(FALSE=TRUE,Inputs!$B$32,0)))*(1-IF(AND(ArtifactsInput!$M$27,Inputs!$B$4="Chapter Hunt"),CHOOSE(ArtifactsInput!$N$27+1,20,24,28,32,36,40),0)/100)))))/Skills!H8+0.000000001),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INT(Skills!I8/Skills!H8+0.000000001),1)+IF(Skills!H8&gt;0,INT(MIN(Skills!I8,MAX(0,MAX(0,Inputs!$B$43-B3041)-((R3007-1)*(IF(Inputs!$B$38="pvp",15,MAX(0.1,1-0.4*MIN(1,(B3036-1)/1.5)-IF(FALSE=TRUE,Inputs!$B$32,0)))*(1-IF(AND(ArtifactsInput!$M$27,Inputs!$B$4="Chapter Hunt"),CHOOSE(ArtifactsInput!$N$27+1,20,24,28,32,36,40),0)/100)))))/Skills!H8+0.000000001),1)))/Inputs!$B$43),G3007*Q3007))*IF(Inputs!$B$38="pvp",1,(1+(Inputs!$B$21+Skills!Q8+(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Inputs!$B$3&gt;=69</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Skills!G9*IF(Skills!H9&gt;0,INT(IF(Inputs!$B$38="pvp",MIN(Skills!I9,15),Skills!I9)/Skills!H9+0.000000001),1)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3011=TRUE,F3011,0)/100)*(1+(IF(Skills!A9="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3025=TRUE)*(F3025-Calc!F26)),(Inputs!$B$23+((C3030=TRUE)*(F3030-Calc!F31))+(IF(ArtifactsInput!$M$15,CHOOSE(ArtifactsInput!$N$15+1,25,30,35,40,45,50)/100*(Inputs!$B$11-Inputs!$B$11),0))))/100+(Inputs!$B$23+((C3030=TRUE)*(F3030-Calc!F31))+(IF(ArtifactsInput!$M$15,CHOOSE(ArtifactsInput!$N$15+1,25,30,35,40,45,50)/100*(Inputs!$B$11-Inputs!$B$11),0)))/100)/2</f>
        <v/>
      </c>
      <c r="M3008">
        <f>L3008*(1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IF(B3044=0,0,O3008/B3044)</f>
        <v/>
      </c>
      <c r="Q3008">
        <f>IFERROR(1/(IF(Inputs!$B$38="pvp",15,MAX(0.1,Skills!D9-IF(TRUE=TRUE,Inputs!$B$32,0)))*(1-IF(AND(ArtifactsInput!$M$27,Inputs!$B$4="Chapter Hunt"),CHOOSE(ArtifactsInput!$N$27+1,20,24,28,32,36,40),0)/100)),0)</f>
        <v/>
      </c>
      <c r="R3008">
        <f>IF(AND(Inputs!$B$38&lt;&gt;"pvp",Inputs!$B$43&gt;0),IF(MAX(0,Inputs!$B$43-B3041)&lt;=0,0,(INT(MAX(0,Inputs!$B$43-B3041)/(IF(Inputs!$B$38="pvp",15,MAX(0.1,Skills!D9-IF(TRUE=TRUE,Inputs!$B$32,0)))*(1-IF(AND(ArtifactsInput!$M$27,Inputs!$B$4="Chapter Hunt"),CHOOSE(ArtifactsInput!$N$27+1,20,24,28,32,36,40),0)/100)))+1)),0)</f>
        <v/>
      </c>
      <c r="S3008">
        <f>IFERROR(O3008/N3008,0)</f>
        <v/>
      </c>
      <c r="T3008">
        <f>IF(C3008,(H3008*N3008*IF(AND(Inputs!$B$38&lt;&gt;"pvp",Inputs!$B$43&gt;0),((Skills!G9*((R3008-1)*IF(Skills!H9&gt;0,INT(Skills!I9/Skills!H9+0.000000001),1)+IF(Skills!H9&gt;0,INT(MIN(Skills!I9,MAX(0,MAX(0,Inputs!$B$43-B3041)-((R3008-1)*(IF(Inputs!$B$38="pvp",15,MAX(0.1,Skills!D9-IF(TRUE=TRUE,Inputs!$B$32,0)))*(1-IF(AND(ArtifactsInput!$M$27,Inputs!$B$4="Chapter Hunt"),CHOOSE(ArtifactsInput!$N$27+1,20,24,28,32,36,40),0)/100)))))/Skills!H9+0.000000001),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INT(Skills!I9/Skills!H9+0.000000001),1)+IF(Skills!H9&gt;0,INT(MIN(Skills!I9,MAX(0,MAX(0,Inputs!$B$43-B3041)-((R3008-1)*(IF(Inputs!$B$38="pvp",15,MAX(0.1,Skills!D9-IF(TRUE=TRUE,Inputs!$B$32,0)))*(1-IF(AND(ArtifactsInput!$M$27,Inputs!$B$4="Chapter Hunt"),CHOOSE(ArtifactsInput!$N$27+1,20,24,28,32,36,40),0)/100)))))/Skills!H9+0.000000001),1)))/Inputs!$B$43),G3008*Q3008))*IF(Inputs!$B$38="pvp",1,(1+(Inputs!$B$21+Skills!Q9+(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Inputs!$B$3&gt;=63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Skills!G10*IF(Skills!H10&gt;0,INT(IF(Inputs!$B$38="pvp",MIN(Skills!I10,15),Skills!I10)/Skills!H10+0.000000001),1)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3011=TRUE,F3011,0)/100)*(1+(IF(Skills!A10="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3025=TRUE)*(F3025-Calc!F26)),(Inputs!$B$23+((C3030=TRUE)*(F3030-Calc!F31))+(IF(ArtifactsInput!$M$15,CHOOSE(ArtifactsInput!$N$15+1,25,30,35,40,45,50)/100*(Inputs!$B$11-Inputs!$B$11),0))))/100+(Inputs!$B$23+((C3030=TRUE)*(F3030-Calc!F31))+(IF(ArtifactsInput!$M$15,CHOOSE(ArtifactsInput!$N$15+1,25,30,35,40,45,50)/100*(Inputs!$B$11-Inputs!$B$11),0)))/100)/2</f>
        <v/>
      </c>
      <c r="M3009">
        <f>L3009*(1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IF(B3044=0,0,O3009/B3044)</f>
        <v/>
      </c>
      <c r="Q3009">
        <f>IFERROR(1/(IF(Inputs!$B$38="pvp",15,MAX(0.1,Skills!D10-IF(TRUE=TRUE,Inputs!$B$32,0)))*(1-IF(AND(ArtifactsInput!$M$27,Inputs!$B$4="Chapter Hunt"),CHOOSE(ArtifactsInput!$N$27+1,20,24,28,32,36,40),0)/100)),0)</f>
        <v/>
      </c>
      <c r="R3009">
        <f>IF(AND(Inputs!$B$38&lt;&gt;"pvp",Inputs!$B$43&gt;0),IF(MAX(0,Inputs!$B$43-B3041)&lt;=0,0,(INT(MAX(0,Inputs!$B$43-B3041)/(IF(Inputs!$B$38="pvp",15,MAX(0.1,Skills!D10-IF(TRUE=TRUE,Inputs!$B$32,0)))*(1-IF(AND(ArtifactsInput!$M$27,Inputs!$B$4="Chapter Hunt"),CHOOSE(ArtifactsInput!$N$27+1,20,24,28,32,36,40),0)/100)))+1)),0)</f>
        <v/>
      </c>
      <c r="S3009">
        <f>IFERROR(O3009/N3009,0)</f>
        <v/>
      </c>
      <c r="T3009">
        <f>IF(C3009,(H3009*N3009*IF(AND(Inputs!$B$38&lt;&gt;"pvp",Inputs!$B$43&gt;0),((Skills!G10*((R3009-1)*IF(Skills!H10&gt;0,INT(Skills!I10/Skills!H10+0.000000001),1)+IF(Skills!H10&gt;0,INT(MIN(Skills!I10,MAX(0,MAX(0,Inputs!$B$43-B3041)-((R3009-1)*(IF(Inputs!$B$38="pvp",15,MAX(0.1,Skills!D10-IF(TRUE=TRUE,Inputs!$B$32,0)))*(1-IF(AND(ArtifactsInput!$M$27,Inputs!$B$4="Chapter Hunt"),CHOOSE(ArtifactsInput!$N$27+1,20,24,28,32,36,40),0)/100)))))/Skills!H10+0.000000001),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INT(Skills!I10/Skills!H10+0.000000001),1)+IF(Skills!H10&gt;0,INT(MIN(Skills!I10,MAX(0,MAX(0,Inputs!$B$43-B3041)-((R3009-1)*(IF(Inputs!$B$38="pvp",15,MAX(0.1,Skills!D10-IF(TRUE=TRUE,Inputs!$B$32,0)))*(1-IF(AND(ArtifactsInput!$M$27,Inputs!$B$4="Chapter Hunt"),CHOOSE(ArtifactsInput!$N$27+1,20,24,28,32,36,40),0)/100)))))/Skills!H10+0.000000001),1)))/Inputs!$B$43),G3009*Q3009))*IF(Inputs!$B$38="pvp",1,(1+(Inputs!$B$21+Skills!Q10+(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Inputs!$B$3&gt;=103</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f>Skills!G11*IF(Skills!H11&gt;0,INT(IF(Inputs!$B$38="pvp",MIN(Skills!I11,15),Skills!I11)/Skills!H11+0.000000001),1)</f>
        <v/>
      </c>
      <c r="H3010">
        <f>1-(1-Skills!J11/100)^Skills!K11</f>
        <v/>
      </c>
      <c r="I3010" t="inlineStr">
        <is>
          <t>1</t>
        </is>
      </c>
      <c r="J3010">
        <f>((Inputs!$B$6*(1+Inputs!$B$7/100))+(((Inputs!$B$12*(1+Inputs!$B$13/100))-(Inputs!$B$12*(1+Inputs!$B$13/100)))+0.25*(Inputs!$B$14-Inputs!$B$14))*(1+Inputs!$B$7/100))*(F3010/100)</f>
        <v/>
      </c>
      <c r="K3010">
        <f>J3010*(1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3010)</f>
        <v/>
      </c>
      <c r="L3010">
        <f>K3010*(MIN(Inputs!$B$22+((C3025=TRUE)*(F3025-Calc!F26)),(Inputs!$B$23+((C3030=TRUE)*(F3030-Calc!F31))+(IF(ArtifactsInput!$M$15,CHOOSE(ArtifactsInput!$N$15+1,25,30,35,40,45,50)/100*(Inputs!$B$11-Inputs!$B$11),0))))/100+(Inputs!$B$23+((C3030=TRUE)*(F3030-Calc!F31))+(IF(ArtifactsInput!$M$15,CHOOSE(ArtifactsInput!$N$15+1,25,30,35,40,45,50)/100*(Inputs!$B$11-Inputs!$B$11),0)))/100)/2</f>
        <v/>
      </c>
      <c r="M3010">
        <f>L3010*(1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0">
        <f>L3010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3010*(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0">
        <f>(1-Summary!$B$11)*T3010+Summary!$B$11*V3010</f>
        <v/>
      </c>
      <c r="P3010">
        <f>IF(B3044=0,0,O3010/B3044)</f>
        <v/>
      </c>
      <c r="Q3010">
        <f>IFERROR(1/(IF(Inputs!$B$38="pvp",15,MAX(0.1,Skills!D11-IF(TRUE=TRUE,Inputs!$B$32,0)))*(1-IF(AND(ArtifactsInput!$M$27,Inputs!$B$4="Chapter Hunt"),CHOOSE(ArtifactsInput!$N$27+1,20,24,28,32,36,40),0)/100)),0)</f>
        <v/>
      </c>
      <c r="R3010">
        <f>IF(AND(Inputs!$B$38&lt;&gt;"pvp",Inputs!$B$43&gt;0),IF(MAX(0,Inputs!$B$43-B3041)&lt;=0,0,(INT(MAX(0,Inputs!$B$43-B3041)/(IF(Inputs!$B$38="pvp",15,MAX(0.1,Skills!D11-IF(TRUE=TRUE,Inputs!$B$32,0)))*(1-IF(AND(ArtifactsInput!$M$27,Inputs!$B$4="Chapter Hunt"),CHOOSE(ArtifactsInput!$N$27+1,20,24,28,32,36,40),0)/100)))+1)),0)</f>
        <v/>
      </c>
      <c r="S3010">
        <f>IFERROR(O3010/N3010,0)</f>
        <v/>
      </c>
      <c r="T3010">
        <f>IF(C3010,(H3010*N3010*IF(AND(Inputs!$B$38&lt;&gt;"pvp",Inputs!$B$43&gt;0),((Skills!G11*((R3010-1)*IF(Skills!H11&gt;0,INT(Skills!I11/Skills!H11+0.000000001),1)+IF(Skills!H11&gt;0,INT(MIN(Skills!I11,MAX(0,MAX(0,Inputs!$B$43-B3041)-((R3010-1)*(IF(Inputs!$B$38="pvp",15,MAX(0.1,Skills!D11-IF(TRUE=TRUE,Inputs!$B$32,0)))*(1-IF(AND(ArtifactsInput!$M$27,Inputs!$B$4="Chapter Hunt"),CHOOSE(ArtifactsInput!$N$27+1,20,24,28,32,36,40),0)/100)))))/Skills!H11+0.000000001),1)))/Inputs!$B$43),G3010*Q3010)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0">
        <f>IF(C3010,(H3010*N3010*IF(AND(Inputs!$B$38&lt;&gt;"pvp",Inputs!$B$43&gt;0),((Skills!G11*((R3010-1)*IF(Skills!H11&gt;0,INT(Skills!I11/Skills!H11+0.000000001),1)+IF(Skills!H11&gt;0,INT(MIN(Skills!I11,MAX(0,MAX(0,Inputs!$B$43-B3041)-((R3010-1)*(IF(Inputs!$B$38="pvp",15,MAX(0.1,Skills!D11-IF(TRUE=TRUE,Inputs!$B$32,0)))*(1-IF(AND(ArtifactsInput!$M$27,Inputs!$B$4="Chapter Hunt"),CHOOSE(ArtifactsInput!$N$27+1,20,24,28,32,36,40),0)/100)))))/Skills!H11+0.000000001),1)))/Inputs!$B$43),G3010*Q3010))*IF(Inputs!$B$38="pvp",1,(1+(Inputs!$B$21+Skills!Q11+(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1">
      <c r="A3011">
        <f>Skills!A12</f>
        <v/>
      </c>
      <c r="B3011">
        <f>Skills!B12</f>
        <v/>
      </c>
      <c r="C3011">
        <f>Inputs!$B$3&gt;=100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t="inlineStr"/>
      <c r="H3011" t="inlineStr"/>
      <c r="I3011" t="inlineStr">
        <is>
          <t>1</t>
        </is>
      </c>
      <c r="J3011" t="inlineStr"/>
      <c r="K3011" t="inlineStr"/>
      <c r="L3011" t="inlineStr"/>
      <c r="M3011" t="inlineStr"/>
      <c r="N3011" t="inlineStr"/>
      <c r="O3011" t="inlineStr"/>
      <c r="P3011" t="inlineStr"/>
      <c r="Q3011" t="inlineStr"/>
      <c r="R3011" t="inlineStr"/>
      <c r="S3011" t="inlineStr"/>
      <c r="T3011" t="inlineStr"/>
      <c r="V3011" t="inlineStr"/>
    </row>
    <row r="3012">
      <c r="A3012">
        <f>Skills!A13</f>
        <v/>
      </c>
      <c r="B3012">
        <f>Skills!B13</f>
        <v/>
      </c>
      <c r="C3012">
        <f>Inputs!$B$3&gt;=60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f>Skills!G13*IF(Skills!H13&gt;0,INT(IF(Inputs!$B$38="pvp",MIN(Skills!I13,15),Skills!I13)/Skills!H13+0.000000001),1)</f>
        <v/>
      </c>
      <c r="H3012">
        <f>1-(1-Skills!J13/100)^Skills!K13</f>
        <v/>
      </c>
      <c r="I3012" t="inlineStr">
        <is>
          <t>1</t>
        </is>
      </c>
      <c r="J3012">
        <f>((Inputs!$B$6*(1+Inputs!$B$7/100))+(((Inputs!$B$12*(1+Inputs!$B$13/100))-(Inputs!$B$12*(1+Inputs!$B$13/100)))+0.25*(Inputs!$B$14-Inputs!$B$14))*(1+Inputs!$B$7/100))*(F3012/100)</f>
        <v/>
      </c>
      <c r="K3012">
        <f>J3012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3013=TRUE,F3013,0)/100)*(1+(IF(Skills!A13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3025=TRUE)*(F3025-Calc!F26)),(Inputs!$B$23+((C3030=TRUE)*(F3030-Calc!F31))+(IF(ArtifactsInput!$M$15,CHOOSE(ArtifactsInput!$N$15+1,25,30,35,40,45,50)/100*(Inputs!$B$11-Inputs!$B$11),0))))/100+(Inputs!$B$23+((C3030=TRUE)*(F3030-Calc!F31))+(IF(ArtifactsInput!$M$15,CHOOSE(ArtifactsInput!$N$15+1,25,30,35,40,45,50)/100*(Inputs!$B$11-Inputs!$B$11),0)))/100)/2</f>
        <v/>
      </c>
      <c r="M3012">
        <f>L3012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IF(B3044=0,0,O3012/B3044)</f>
        <v/>
      </c>
      <c r="Q3012">
        <f>IFERROR(1/(IF(Inputs!$B$38="pvp",15,MAX(0.1,IF(Inputs!$B$3&gt;=122,3,5)+1/(((20+30*(B3036-1)*100/150)/100)*B3036)-IF(FALSE=TRUE,Inputs!$B$32,0)))*(1-IF(AND(ArtifactsInput!$M$27,Inputs!$B$4="Chapter Hunt"),CHOOSE(ArtifactsInput!$N$27+1,20,24,28,32,36,40),0)/100)),0)</f>
        <v/>
      </c>
      <c r="R3012">
        <f>IF(AND(Inputs!$B$38&lt;&gt;"pvp",Inputs!$B$43&gt;0),IF(MAX(0,Inputs!$B$43-B3041)&lt;=0,0,(INT(MAX(0,Inputs!$B$43-B3041)/(IF(Inputs!$B$38="pvp",15,MAX(0.1,IF(Inputs!$B$3&gt;=122,3,5)+1/(((20+30*(B3036-1)*100/150)/100)*B3036)-IF(FALSE=TRUE,Inputs!$B$32,0)))*(1-IF(AND(ArtifactsInput!$M$27,Inputs!$B$4="Chapter Hunt"),CHOOSE(ArtifactsInput!$N$27+1,20,24,28,32,36,40),0)/100)))+1)),0)</f>
        <v/>
      </c>
      <c r="S3012">
        <f>IFERROR(O3012/N3012,0)</f>
        <v/>
      </c>
      <c r="T3012">
        <f>IF(C3012,(H3012*N3012*IF(AND(Inputs!$B$38&lt;&gt;"pvp",Inputs!$B$43&gt;0),((Skills!G13*((R3012-1)*IF(Skills!H13&gt;0,INT(Skills!I13/Skills!H13+0.000000001),1)+IF(Skills!H13&gt;0,INT(MIN(Skills!I13,MAX(0,MAX(0,Inputs!$B$43-B3041)-((R3012-1)*(IF(Inputs!$B$38="pvp",15,MAX(0.1,IF(Inputs!$B$3&gt;=122,3,5)+1/(((20+30*(B3036-1)*100/150)/100)*B3036)-IF(FALSE=TRUE,Inputs!$B$32,0)))*(1-IF(AND(ArtifactsInput!$M$27,Inputs!$B$4="Chapter Hunt"),CHOOSE(ArtifactsInput!$N$27+1,20,24,28,32,36,40),0)/100)))))/Skills!H13+0.000000001),1)))/Inputs!$B$43),G3012*Q3012)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2">
        <f>IF(C3012,(H3012*N3012*IF(AND(Inputs!$B$38&lt;&gt;"pvp",Inputs!$B$43&gt;0),((Skills!G13*((R3012-1)*IF(Skills!H13&gt;0,INT(Skills!I13/Skills!H13+0.000000001),1)+IF(Skills!H13&gt;0,INT(MIN(Skills!I13,MAX(0,MAX(0,Inputs!$B$43-B3041)-((R3012-1)*(IF(Inputs!$B$38="pvp",15,MAX(0.1,IF(Inputs!$B$3&gt;=122,3,5)+1/(((20+30*(B3036-1)*100/150)/100)*B3036)-IF(FALSE=TRUE,Inputs!$B$32,0)))*(1-IF(AND(ArtifactsInput!$M$27,Inputs!$B$4="Chapter Hunt"),CHOOSE(ArtifactsInput!$N$27+1,20,24,28,32,36,40),0)/100)))))/Skills!H13+0.000000001),1)))/Inputs!$B$43),G3012*Q3012))*IF(Inputs!$B$38="pvp",1,(1+(Inputs!$B$21+Skills!Q13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Skills!A14</f>
        <v/>
      </c>
      <c r="B3013">
        <f>Skills!B14</f>
        <v/>
      </c>
      <c r="C3013">
        <f>Inputs!$B$3&gt;=110</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V3013" t="inlineStr"/>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Skills!G15*IF(Skills!H15&gt;0,INT(IF(Inputs!$B$38="pvp",MIN(Skills!I15,15),Skills!I15)/Skills!H15+0.000000001),1)</f>
        <v/>
      </c>
      <c r="H3014">
        <f>1-(1-Skills!J15/100)^Skills!K15</f>
        <v/>
      </c>
      <c r="I3014" t="inlineStr">
        <is>
          <t>1</t>
        </is>
      </c>
      <c r="J3014" t="inlineStr"/>
      <c r="K3014" t="inlineStr"/>
      <c r="L3014" t="inlineStr"/>
      <c r="M3014" t="inlineStr"/>
      <c r="N3014" t="inlineStr"/>
      <c r="O3014">
        <f>(1-Summary!$B$11)*T3014+Summary!$B$11*V3014</f>
        <v/>
      </c>
      <c r="P3014">
        <f>IF(B3044=0,0,O3014/B3044)</f>
        <v/>
      </c>
      <c r="Q3014" t="n">
        <v>0</v>
      </c>
      <c r="R3014" t="n">
        <v>0</v>
      </c>
      <c r="S3014">
        <f>IFERROR(O3014/N3014,0)</f>
        <v/>
      </c>
      <c r="T3014" t="n">
        <v>0</v>
      </c>
      <c r="V3014" t="n">
        <v>0</v>
      </c>
    </row>
    <row r="3015">
      <c r="A3015">
        <f>Skills!A16</f>
        <v/>
      </c>
      <c r="B3015">
        <f>Skills!B16</f>
        <v/>
      </c>
      <c r="C3015">
        <f>Inputs!$B$3&gt;=74</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Skills!G16*IF(Skills!H16&gt;0,INT(IF(Inputs!$B$38="pvp",MIN(Skills!I16,15),Skills!I16)/Skills!H16+0.000000001),1)</f>
        <v/>
      </c>
      <c r="H3015">
        <f>1-(1-Skills!J16/100)^Skills!K16</f>
        <v/>
      </c>
      <c r="I3015" t="inlineStr">
        <is>
          <t>1</t>
        </is>
      </c>
      <c r="J3015" t="inlineStr"/>
      <c r="K3015" t="inlineStr"/>
      <c r="L3015" t="inlineStr"/>
      <c r="M3015" t="inlineStr"/>
      <c r="N3015" t="inlineStr"/>
      <c r="O3015">
        <f>(1-Summary!$B$11)*T3015+Summary!$B$11*V3015</f>
        <v/>
      </c>
      <c r="P3015">
        <f>IF(B3044=0,0,O3015/B3044)</f>
        <v/>
      </c>
      <c r="Q3015" t="n">
        <v>0</v>
      </c>
      <c r="R3015" t="n">
        <v>0</v>
      </c>
      <c r="S3015">
        <f>IFERROR(O3015/N3015,0)</f>
        <v/>
      </c>
      <c r="T3015" t="n">
        <v>0</v>
      </c>
      <c r="V3015" t="n">
        <v>0</v>
      </c>
    </row>
    <row r="3016">
      <c r="A3016">
        <f>Skills!A17</f>
        <v/>
      </c>
      <c r="B3016">
        <f>Skills!B17</f>
        <v/>
      </c>
      <c r="C3016">
        <f>Inputs!$B$3&gt;=117</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Skills!G17*IF(Skills!H17&gt;0,INT(IF(Inputs!$B$38="pvp",MIN(Skills!I17,15),Skills!I17)/Skills!H17+0.000000001),1)</f>
        <v/>
      </c>
      <c r="H3016">
        <f>1-(1-Skills!J17/100)^Skills!K17</f>
        <v/>
      </c>
      <c r="I3016" t="inlineStr">
        <is>
          <t>1</t>
        </is>
      </c>
      <c r="J3016" t="inlineStr"/>
      <c r="K3016" t="inlineStr"/>
      <c r="L3016" t="inlineStr"/>
      <c r="M3016" t="inlineStr"/>
      <c r="N3016" t="inlineStr"/>
      <c r="O3016">
        <f>(1-Summary!$B$11)*T3016+Summary!$B$11*V3016</f>
        <v/>
      </c>
      <c r="P3016">
        <f>IF(B3044=0,0,O3016/B3044)</f>
        <v/>
      </c>
      <c r="Q3016">
        <f>IFERROR(1/(IF(Inputs!$B$38="pvp",15,MAX(0.1,Skills!D17-IF(TRUE=TRUE,Inputs!$B$32,0)))*(1-IF(AND(ArtifactsInput!$M$27,Inputs!$B$4="Chapter Hunt"),CHOOSE(ArtifactsInput!$N$27+1,20,24,28,32,36,40),0)/100)),0)</f>
        <v/>
      </c>
      <c r="R3016">
        <f>IF(AND(Inputs!$B$38&lt;&gt;"pvp",Inputs!$B$43&gt;0),IF(Inputs!$B$43&lt;=0,0,(INT(Inputs!$B$43/(IF(Inputs!$B$38="pvp",15,MAX(0.1,Skills!D17-IF(TRUE=TRUE,Inputs!$B$32,0)))*(1-IF(AND(ArtifactsInput!$M$27,Inputs!$B$4="Chapter Hunt"),CHOOSE(ArtifactsInput!$N$27+1,20,24,28,32,36,40),0)/100)))+1)),0)</f>
        <v/>
      </c>
      <c r="S3016">
        <f>IFERROR(O3016/N3016,0)</f>
        <v/>
      </c>
      <c r="T3016" t="n">
        <v>0</v>
      </c>
      <c r="V3016" t="n">
        <v>0</v>
      </c>
    </row>
    <row r="3017">
      <c r="A3017">
        <f>Skills!A18</f>
        <v/>
      </c>
      <c r="B3017">
        <f>Skills!B18</f>
        <v/>
      </c>
      <c r="C3017">
        <f>Inputs!$B$3&gt;=115</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Skills!G18*IF(Skills!H18&gt;0,INT(IF(Inputs!$B$38="pvp",MIN(Skills!I18,15),Skills!I18)/Skills!H18+0.000000001),1)</f>
        <v/>
      </c>
      <c r="H3017">
        <f>1-(1-Skills!J18/100)^Skills!K18</f>
        <v/>
      </c>
      <c r="I3017" t="inlineStr">
        <is>
          <t>1</t>
        </is>
      </c>
      <c r="J3017" t="inlineStr"/>
      <c r="K3017" t="inlineStr"/>
      <c r="L3017" t="inlineStr"/>
      <c r="M3017" t="inlineStr"/>
      <c r="N3017" t="inlineStr"/>
      <c r="O3017">
        <f>(1-Summary!$B$11)*T3017+Summary!$B$11*V3017</f>
        <v/>
      </c>
      <c r="P3017">
        <f>IF(B3044=0,0,O3017/B3044)</f>
        <v/>
      </c>
      <c r="Q3017">
        <f>IFERROR(1/(IF(Inputs!$B$38="pvp",15,MAX(0.1,Skills!D18-IF(TRUE=TRUE,Inputs!$B$32,0)))*(1-IF(AND(ArtifactsInput!$M$27,Inputs!$B$4="Chapter Hunt"),CHOOSE(ArtifactsInput!$N$27+1,20,24,28,32,36,40),0)/100)),0)</f>
        <v/>
      </c>
      <c r="R3017">
        <f>IF(AND(Inputs!$B$38&lt;&gt;"pvp",Inputs!$B$43&gt;0),IF(Inputs!$B$43&lt;=0,0,(INT(Inputs!$B$43/(IF(Inputs!$B$38="pvp",15,MAX(0.1,Skills!D18-IF(TRUE=TRUE,Inputs!$B$32,0)))*(1-IF(AND(ArtifactsInput!$M$27,Inputs!$B$4="Chapter Hunt"),CHOOSE(ArtifactsInput!$N$27+1,20,24,28,32,36,40),0)/100)))+1)),0)</f>
        <v/>
      </c>
      <c r="S3017">
        <f>IFERROR(O3017/N3017,0)</f>
        <v/>
      </c>
      <c r="T3017" t="n">
        <v>0</v>
      </c>
      <c r="V3017" t="n">
        <v>0</v>
      </c>
    </row>
    <row r="3018">
      <c r="A3018">
        <f>Skills!A19</f>
        <v/>
      </c>
      <c r="B3018">
        <f>Skills!B19</f>
        <v/>
      </c>
      <c r="C3018">
        <f>Inputs!$B$3&gt;=66</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Skills!G19*IF(Skills!H19&gt;0,INT(IF(Inputs!$B$38="pvp",MIN(Skills!I19,15),Skills!I19)/Skills!H19+0.000000001),1)</f>
        <v/>
      </c>
      <c r="H3018">
        <f>1-(1-Skills!J19/100)^Skills!K19</f>
        <v/>
      </c>
      <c r="I3018" t="inlineStr">
        <is>
          <t>1</t>
        </is>
      </c>
      <c r="J3018" t="inlineStr"/>
      <c r="K3018" t="inlineStr"/>
      <c r="L3018" t="inlineStr"/>
      <c r="M3018" t="inlineStr"/>
      <c r="N3018" t="inlineStr"/>
      <c r="O3018">
        <f>(1-Summary!$B$11)*T3018+Summary!$B$11*V3018</f>
        <v/>
      </c>
      <c r="P3018">
        <f>IF(B3044=0,0,O3018/B3044)</f>
        <v/>
      </c>
      <c r="Q3018" t="n">
        <v>0</v>
      </c>
      <c r="R3018" t="n">
        <v>0</v>
      </c>
      <c r="S3018">
        <f>IFERROR(O3018/N3018,0)</f>
        <v/>
      </c>
      <c r="T3018" t="n">
        <v>0</v>
      </c>
      <c r="V3018" t="n">
        <v>0</v>
      </c>
    </row>
    <row r="3019">
      <c r="A3019">
        <f>Skills!A20</f>
        <v/>
      </c>
      <c r="B3019">
        <f>Skills!B20</f>
        <v/>
      </c>
      <c r="C3019">
        <f>Inputs!$B$3&gt;=72</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Skills!G20*IF(Skills!H20&gt;0,INT(IF(Inputs!$B$38="pvp",MIN(Skills!I20,15),Skills!I20)/Skills!H20+0.000000001),1)</f>
        <v/>
      </c>
      <c r="H3019">
        <f>1-(1-Skills!J20/100)^Skills!K20</f>
        <v/>
      </c>
      <c r="I3019" t="inlineStr">
        <is>
          <t>1</t>
        </is>
      </c>
      <c r="J3019" t="inlineStr"/>
      <c r="K3019" t="inlineStr"/>
      <c r="L3019" t="inlineStr"/>
      <c r="M3019" t="inlineStr"/>
      <c r="N3019" t="inlineStr"/>
      <c r="O3019">
        <f>(1-Summary!$B$11)*T3019+Summary!$B$11*V3019</f>
        <v/>
      </c>
      <c r="P3019">
        <f>IF(B3044=0,0,O3019/B3044)</f>
        <v/>
      </c>
      <c r="Q3019" t="n">
        <v>0</v>
      </c>
      <c r="R3019" t="n">
        <v>0</v>
      </c>
      <c r="S3019">
        <f>IFERROR(O3019/N3019,0)</f>
        <v/>
      </c>
      <c r="T3019" t="n">
        <v>0</v>
      </c>
      <c r="V3019" t="n">
        <v>0</v>
      </c>
    </row>
    <row r="3020">
      <c r="A3020">
        <f>Skills!A21</f>
        <v/>
      </c>
      <c r="B3020">
        <f>Skills!B21</f>
        <v/>
      </c>
      <c r="C3020">
        <f>TRUE</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Skills!G21*IF(Skills!H21&gt;0,INT(IF(Inputs!$B$38="pvp",MIN(Skills!I21,15),Skills!I21)/Skills!H21+0.000000001),1)</f>
        <v/>
      </c>
      <c r="H3020">
        <f>1-(1-Skills!J21/100)^Skills!K21</f>
        <v/>
      </c>
      <c r="I3020" t="inlineStr">
        <is>
          <t>1</t>
        </is>
      </c>
      <c r="J3020" t="inlineStr"/>
      <c r="K3020" t="inlineStr"/>
      <c r="L3020" t="inlineStr"/>
      <c r="M3020" t="inlineStr"/>
      <c r="N3020" t="inlineStr"/>
      <c r="O3020">
        <f>(1-Summary!$B$11)*T3020+Summary!$B$11*V3020</f>
        <v/>
      </c>
      <c r="P3020">
        <f>IF(B3044=0,0,O3020/B3044)</f>
        <v/>
      </c>
      <c r="Q3020">
        <f>IFERROR(1/(IF(Inputs!$B$38="pvp",15,MAX(0.1,Skills!D21-IF(TRUE=TRUE,Inputs!$B$32,0)))*(1-IF(AND(ArtifactsInput!$M$27,Inputs!$B$4="Chapter Hunt"),CHOOSE(ArtifactsInput!$N$27+1,20,24,28,32,36,40),0)/100)),0)</f>
        <v/>
      </c>
      <c r="R3020">
        <f>IF(AND(Inputs!$B$38&lt;&gt;"pvp",Inputs!$B$43&gt;0),IF(Inputs!$B$43&lt;=0,0,(INT(Inputs!$B$43/(IF(Inputs!$B$38="pvp",15,MAX(0.1,Skills!D21-IF(TRUE=TRUE,Inputs!$B$32,0)))*(1-IF(AND(ArtifactsInput!$M$27,Inputs!$B$4="Chapter Hunt"),CHOOSE(ArtifactsInput!$N$27+1,20,24,28,32,36,40),0)/100)))+1)),0)</f>
        <v/>
      </c>
      <c r="S3020">
        <f>IFERROR(O3020/N3020,0)</f>
        <v/>
      </c>
      <c r="T3020" t="n">
        <v>0</v>
      </c>
      <c r="V3020" t="n">
        <v>0</v>
      </c>
    </row>
    <row r="3021">
      <c r="A3021">
        <f>Skills!A22</f>
        <v/>
      </c>
      <c r="B3021">
        <f>Skills!B22</f>
        <v/>
      </c>
      <c r="C3021">
        <f>Inputs!$B$3&gt;=15</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Skills!G22*IF(Skills!H22&gt;0,INT(IF(Inputs!$B$38="pvp",MIN(Skills!I22,15),Skills!I22)/Skills!H22+0.000000001),1)</f>
        <v/>
      </c>
      <c r="H3021">
        <f>1-(1-Skills!J22/100)^Skills!K22</f>
        <v/>
      </c>
      <c r="I3021" t="inlineStr">
        <is>
          <t>1</t>
        </is>
      </c>
      <c r="J3021" t="inlineStr"/>
      <c r="K3021" t="inlineStr"/>
      <c r="L3021" t="inlineStr"/>
      <c r="M3021" t="inlineStr"/>
      <c r="N3021" t="inlineStr"/>
      <c r="O3021">
        <f>(1-Summary!$B$11)*T3021+Summary!$B$11*V3021</f>
        <v/>
      </c>
      <c r="P3021">
        <f>IF(B3044=0,0,O3021/B3044)</f>
        <v/>
      </c>
      <c r="Q3021" t="n">
        <v>0</v>
      </c>
      <c r="R3021" t="n">
        <v>0</v>
      </c>
      <c r="S3021">
        <f>IFERROR(O3021/N3021,0)</f>
        <v/>
      </c>
      <c r="T3021" t="n">
        <v>0</v>
      </c>
      <c r="V3021" t="n">
        <v>0</v>
      </c>
    </row>
    <row r="3022">
      <c r="A3022">
        <f>Skills!A23</f>
        <v/>
      </c>
      <c r="B3022">
        <f>Skills!B23</f>
        <v/>
      </c>
      <c r="C3022">
        <f>Inputs!$B$3&gt;=10</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Skills!G23*IF(Skills!H23&gt;0,INT(IF(Inputs!$B$38="pvp",MIN(Skills!I23,15),Skills!I23)/Skills!H23+0.000000001),1)</f>
        <v/>
      </c>
      <c r="H3022">
        <f>1-(1-Skills!J23/100)^Skills!K23</f>
        <v/>
      </c>
      <c r="I3022" t="inlineStr">
        <is>
          <t>1</t>
        </is>
      </c>
      <c r="J3022" t="inlineStr"/>
      <c r="K3022" t="inlineStr"/>
      <c r="L3022" t="inlineStr"/>
      <c r="M3022" t="inlineStr"/>
      <c r="N3022" t="inlineStr"/>
      <c r="O3022">
        <f>(1-Summary!$B$11)*T3022+Summary!$B$11*V3022</f>
        <v/>
      </c>
      <c r="P3022">
        <f>IF(B3044=0,0,O3022/B3044)</f>
        <v/>
      </c>
      <c r="Q3022" t="n">
        <v>0</v>
      </c>
      <c r="R3022" t="n">
        <v>0</v>
      </c>
      <c r="S3022">
        <f>IFERROR(O3022/N3022,0)</f>
        <v/>
      </c>
      <c r="T3022" t="n">
        <v>0</v>
      </c>
      <c r="V3022" t="n">
        <v>0</v>
      </c>
    </row>
    <row r="3023">
      <c r="A3023">
        <f>Skills!A24</f>
        <v/>
      </c>
      <c r="B3023">
        <f>Skills!B24</f>
        <v/>
      </c>
      <c r="C3023">
        <f>Inputs!$B$3&gt;=33</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Skills!G24*IF(Skills!H24&gt;0,INT(IF(Inputs!$B$38="pvp",MIN(Skills!I24,15),Skills!I24)/Skills!H24+0.000000001),1)</f>
        <v/>
      </c>
      <c r="H3023">
        <f>1-(1-Skills!J24/100)^Skills!K24</f>
        <v/>
      </c>
      <c r="I3023" t="inlineStr">
        <is>
          <t>1</t>
        </is>
      </c>
      <c r="J3023" t="inlineStr"/>
      <c r="K3023" t="inlineStr"/>
      <c r="L3023" t="inlineStr"/>
      <c r="M3023" t="inlineStr"/>
      <c r="N3023" t="inlineStr"/>
      <c r="O3023">
        <f>(1-Summary!$B$11)*T3023+Summary!$B$11*V3023</f>
        <v/>
      </c>
      <c r="P3023">
        <f>IF(B3044=0,0,O3023/B3044)</f>
        <v/>
      </c>
      <c r="Q3023" t="n">
        <v>0</v>
      </c>
      <c r="R3023" t="n">
        <v>0</v>
      </c>
      <c r="S3023">
        <f>IFERROR(O3023/N3023,0)</f>
        <v/>
      </c>
      <c r="T3023" t="n">
        <v>0</v>
      </c>
      <c r="V3023" t="n">
        <v>0</v>
      </c>
    </row>
    <row r="3024">
      <c r="A3024">
        <f>Skills!A25</f>
        <v/>
      </c>
      <c r="B3024">
        <f>Skills!B25</f>
        <v/>
      </c>
      <c r="C3024">
        <f>Inputs!$B$3&gt;=38</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Skills!G25*IF(Skills!H25&gt;0,INT(IF(Inputs!$B$38="pvp",MIN(Skills!I25,15),Skills!I25)/Skills!H25+0.000000001),1)</f>
        <v/>
      </c>
      <c r="H3024">
        <f>1-(1-Skills!J25/100)^Skills!K25</f>
        <v/>
      </c>
      <c r="I3024" t="inlineStr">
        <is>
          <t>1</t>
        </is>
      </c>
      <c r="J3024" t="inlineStr"/>
      <c r="K3024" t="inlineStr"/>
      <c r="L3024" t="inlineStr"/>
      <c r="M3024" t="inlineStr"/>
      <c r="N3024" t="inlineStr"/>
      <c r="O3024">
        <f>(1-Summary!$B$11)*T3024+Summary!$B$11*V3024</f>
        <v/>
      </c>
      <c r="P3024">
        <f>IF(B3044=0,0,O3024/B3044)</f>
        <v/>
      </c>
      <c r="Q3024" t="n">
        <v>0</v>
      </c>
      <c r="R3024" t="n">
        <v>0</v>
      </c>
      <c r="S3024">
        <f>IFERROR(O3024/N3024,0)</f>
        <v/>
      </c>
      <c r="T3024" t="n">
        <v>0</v>
      </c>
      <c r="V3024" t="n">
        <v>0</v>
      </c>
    </row>
    <row r="3025">
      <c r="A3025">
        <f>Skills!A26</f>
        <v/>
      </c>
      <c r="B3025">
        <f>Skills!B26</f>
        <v/>
      </c>
      <c r="C3025">
        <f>Inputs!$B$3&gt;=43</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Skills!G26*IF(Skills!H26&gt;0,INT(IF(Inputs!$B$38="pvp",MIN(Skills!I26,15),Skills!I26)/Skills!H26+0.000000001),1)</f>
        <v/>
      </c>
      <c r="H3025">
        <f>1-(1-Skills!J26/100)^Skills!K26</f>
        <v/>
      </c>
      <c r="I3025" t="inlineStr">
        <is>
          <t>1</t>
        </is>
      </c>
      <c r="J3025" t="inlineStr"/>
      <c r="K3025" t="inlineStr"/>
      <c r="L3025" t="inlineStr"/>
      <c r="M3025" t="inlineStr"/>
      <c r="N3025" t="inlineStr"/>
      <c r="O3025">
        <f>(1-Summary!$B$11)*T3025+Summary!$B$11*V3025</f>
        <v/>
      </c>
      <c r="P3025">
        <f>IF(B3044=0,0,O3025/B3044)</f>
        <v/>
      </c>
      <c r="Q3025" t="n">
        <v>0</v>
      </c>
      <c r="R3025" t="n">
        <v>0</v>
      </c>
      <c r="S3025">
        <f>IFERROR(O3025/N3025,0)</f>
        <v/>
      </c>
      <c r="T3025" t="n">
        <v>0</v>
      </c>
      <c r="V3025" t="n">
        <v>0</v>
      </c>
    </row>
    <row r="3026">
      <c r="A3026">
        <f>Skills!A27</f>
        <v/>
      </c>
      <c r="B3026">
        <f>Skills!B27</f>
        <v/>
      </c>
      <c r="C3026">
        <f>Inputs!$B$3&gt;=75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Skills!G27*IF(Skills!H27&gt;0,INT(IF(Inputs!$B$38="pvp",MIN(Skills!I27,15),Skills!I27)/Skills!H27+0.000000001),1)</f>
        <v/>
      </c>
      <c r="H3026">
        <f>1-(1-Skills!J27/100)^Skills!K27</f>
        <v/>
      </c>
      <c r="I3026" t="inlineStr">
        <is>
          <t>1</t>
        </is>
      </c>
      <c r="J3026" t="inlineStr"/>
      <c r="K3026" t="inlineStr"/>
      <c r="L3026" t="inlineStr"/>
      <c r="M3026" t="inlineStr"/>
      <c r="N3026" t="inlineStr"/>
      <c r="O3026">
        <f>(1-Summary!$B$11)*T3026+Summary!$B$11*V3026</f>
        <v/>
      </c>
      <c r="P3026">
        <f>IF(B3044=0,0,O3026/B3044)</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Skills!G28*IF(Skills!H28&gt;0,INT(IF(Inputs!$B$38="pvp",MIN(Skills!I28,15),Skills!I28)/Skills!H28+0.000000001),1)</f>
        <v/>
      </c>
      <c r="H3027">
        <f>1-(1-Skills!J28/100)^Skills!K28</f>
        <v/>
      </c>
      <c r="I3027" t="inlineStr">
        <is>
          <t>1</t>
        </is>
      </c>
      <c r="J3027" t="inlineStr"/>
      <c r="K3027" t="inlineStr"/>
      <c r="L3027" t="inlineStr"/>
      <c r="M3027" t="inlineStr"/>
      <c r="N3027" t="inlineStr"/>
      <c r="O3027">
        <f>(1-Summary!$B$11)*T3027+Summary!$B$11*V3027</f>
        <v/>
      </c>
      <c r="P3027">
        <f>IF(B3044=0,0,O3027/B3044)</f>
        <v/>
      </c>
      <c r="Q3027" t="n">
        <v>0</v>
      </c>
      <c r="R3027" t="n">
        <v>0</v>
      </c>
      <c r="S3027">
        <f>IFERROR(O3027/N3027,0)</f>
        <v/>
      </c>
      <c r="T3027" t="n">
        <v>0</v>
      </c>
      <c r="V3027" t="n">
        <v>0</v>
      </c>
    </row>
    <row r="3028">
      <c r="A3028">
        <f>Skills!A29</f>
        <v/>
      </c>
      <c r="B3028">
        <f>Skills!B29</f>
        <v/>
      </c>
      <c r="C3028">
        <f>Inputs!$B$3&gt;=125</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Skills!G29*IF(Skills!H29&gt;0,INT(IF(Inputs!$B$38="pvp",MIN(Skills!I29,15),Skills!I29)/Skills!H29+0.000000001),1)</f>
        <v/>
      </c>
      <c r="H3028">
        <f>1-(1-Skills!J29/100)^Skills!K29</f>
        <v/>
      </c>
      <c r="I3028" t="inlineStr">
        <is>
          <t>1</t>
        </is>
      </c>
      <c r="J3028" t="inlineStr"/>
      <c r="K3028" t="inlineStr"/>
      <c r="L3028" t="inlineStr"/>
      <c r="M3028" t="inlineStr"/>
      <c r="N3028" t="inlineStr"/>
      <c r="O3028">
        <f>(1-Summary!$B$11)*T3028+Summary!$B$11*V3028</f>
        <v/>
      </c>
      <c r="P3028">
        <f>IF(B3044=0,0,O3028/B3044)</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Skills!G30*IF(Skills!H30&gt;0,INT(IF(Inputs!$B$38="pvp",MIN(Skills!I30,15),Skills!I30)/Skills!H30+0.000000001),1)</f>
        <v/>
      </c>
      <c r="H3029">
        <f>1-(1-Skills!J30/100)^Skills!K30</f>
        <v/>
      </c>
      <c r="I3029" t="inlineStr">
        <is>
          <t>1</t>
        </is>
      </c>
      <c r="J3029" t="inlineStr"/>
      <c r="K3029" t="inlineStr"/>
      <c r="L3029" t="inlineStr"/>
      <c r="M3029" t="inlineStr"/>
      <c r="N3029" t="inlineStr"/>
      <c r="O3029">
        <f>(1-Summary!$B$11)*T3029+Summary!$B$11*V3029</f>
        <v/>
      </c>
      <c r="P3029">
        <f>IF(B3044=0,0,O3029/B3044)</f>
        <v/>
      </c>
      <c r="Q3029" t="n">
        <v>0</v>
      </c>
      <c r="R3029" t="n">
        <v>0</v>
      </c>
      <c r="S3029">
        <f>IFERROR(O3029/N3029,0)</f>
        <v/>
      </c>
      <c r="T3029" t="n">
        <v>0</v>
      </c>
      <c r="V3029" t="n">
        <v>0</v>
      </c>
    </row>
    <row r="3030">
      <c r="A3030">
        <f>Skills!A31</f>
        <v/>
      </c>
      <c r="B3030">
        <f>Skills!B31</f>
        <v/>
      </c>
      <c r="C3030">
        <f>Inputs!$B$3&gt;=120</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Skills!G31*IF(Skills!H31&gt;0,INT(IF(Inputs!$B$38="pvp",MIN(Skills!I31,15),Skills!I31)/Skills!H31+0.000000001),1)</f>
        <v/>
      </c>
      <c r="H3030">
        <f>1-(1-Skills!J31/100)^Skills!K31</f>
        <v/>
      </c>
      <c r="I3030" t="inlineStr">
        <is>
          <t>1</t>
        </is>
      </c>
      <c r="J3030" t="inlineStr"/>
      <c r="K3030" t="inlineStr"/>
      <c r="L3030" t="inlineStr"/>
      <c r="M3030" t="inlineStr"/>
      <c r="N3030" t="inlineStr"/>
      <c r="O3030">
        <f>(1-Summary!$B$11)*T3030+Summary!$B$11*V3030</f>
        <v/>
      </c>
      <c r="P3030">
        <f>IF(B3044=0,0,O3030/B3044)</f>
        <v/>
      </c>
      <c r="Q3030" t="n">
        <v>0</v>
      </c>
      <c r="R3030" t="n">
        <v>0</v>
      </c>
      <c r="S3030">
        <f>IFERROR(O3030/N3030,0)</f>
        <v/>
      </c>
      <c r="T3030" t="n">
        <v>0</v>
      </c>
      <c r="V3030" t="n">
        <v>0</v>
      </c>
    </row>
    <row r="3031">
      <c r="A3031">
        <f>Skills!A32</f>
        <v/>
      </c>
      <c r="B3031">
        <f>Skills!B32</f>
        <v/>
      </c>
      <c r="C3031">
        <f>Inputs!$B$3&gt;=45</f>
        <v/>
      </c>
      <c r="D3031">
        <f>IF(Skills!C32=1,60+Inputs!$B$25+Inputs!$B$29,IF(Skills!C32=2,90+Inputs!$B$26+Inputs!$B$29,IF(Skills!C32=3,120+Inputs!$B$27+Inputs!$B$29,MAX(0,(Inputs!$B$3-100)*3)+Inputs!$B$28+Inputs!$B$29)))</f>
        <v/>
      </c>
      <c r="E3031">
        <f>INDEX(FactorTable!$B$2:$Y$301, MATCH(ROUND(MIN(300,MAX(1,D3031)),0), FactorTable!$A$2:$A$301,0), Skills!M32+1)</f>
        <v/>
      </c>
      <c r="F3031">
        <f>IF(Skills!N32=TRUE,(Skills!L32/10)*(E3031/1000),Skills!L32/10)+Skills!O32</f>
        <v/>
      </c>
      <c r="G3031">
        <f>Skills!G32*IF(Skills!H32&gt;0,INT(IF(Inputs!$B$38="pvp",MIN(Skills!I32,15),Skills!I32)/Skills!H32+0.000000001),1)</f>
        <v/>
      </c>
      <c r="H3031">
        <f>1-(1-Skills!J32/100)^Skills!K32</f>
        <v/>
      </c>
      <c r="I3031" t="inlineStr">
        <is>
          <t>1</t>
        </is>
      </c>
      <c r="J3031" t="inlineStr"/>
      <c r="K3031" t="inlineStr"/>
      <c r="L3031" t="inlineStr"/>
      <c r="M3031" t="inlineStr"/>
      <c r="N3031" t="inlineStr"/>
      <c r="O3031">
        <f>(1-Summary!$B$11)*T3031+Summary!$B$11*V3031</f>
        <v/>
      </c>
      <c r="P3031">
        <f>IF(B3044=0,0,O3031/B3044)</f>
        <v/>
      </c>
      <c r="Q3031" t="n">
        <v>0</v>
      </c>
      <c r="R3031" t="n">
        <v>0</v>
      </c>
      <c r="S3031">
        <f>IFERROR(O3031/N3031,0)</f>
        <v/>
      </c>
      <c r="T3031" t="n">
        <v>0</v>
      </c>
      <c r="V3031" t="n">
        <v>0</v>
      </c>
    </row>
    <row r="3033">
      <c r="A3033" t="inlineStr">
        <is>
          <t>Attack% Bucket Multiplier</t>
        </is>
      </c>
      <c r="B3033">
        <f>(1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4">
      <c r="A3034" t="inlineStr">
        <is>
          <t>Global Crit Rate Bonus %</t>
        </is>
      </c>
      <c r="B3034" t="n">
        <v>0</v>
      </c>
    </row>
    <row r="3035">
      <c r="A3035" t="inlineStr">
        <is>
          <t>Attack Speed Buff Bonus %</t>
        </is>
      </c>
      <c r="B3035">
        <f>((C3020=TRUE)*F3020*IF(AND(Inputs!$B$38&lt;&gt;"pvp",Inputs!$B$43&gt;0),(((R3020-1)*MIN((Skills!T21*(1+Inputs!$B$34/100)),(1/Q3020))+MIN((Skills!T21*(1+Inputs!$B$34/100)),MAX(0,Inputs!$B$43-((R3020-1)*(1/Q3020)))))/Inputs!$B$43),IF(Inputs!$B$38="pvp",MIN((Skills!T21*(1+Inputs!$B$34/100)),15)/15,MIN(1,(Skills!T21*(1+Inputs!$B$34/100))/(1/Q3020)))))</f>
        <v/>
      </c>
    </row>
    <row r="3036">
      <c r="A3036" t="inlineStr">
        <is>
          <t>Actions Per Second</t>
        </is>
      </c>
      <c r="B3036">
        <f>1+MIN(150,150*(1-(1-(Inputs!$B$11+((C3022=TRUE)*(F3022-Calc!F23))+((C3023=TRUE)*(F3023-Calc!F24)))/150)*(1-B3035/150)))/100</f>
        <v/>
      </c>
    </row>
    <row r="3037">
      <c r="A3037" t="inlineStr">
        <is>
          <t>Skill + Buff Cast Rate</t>
        </is>
      </c>
      <c r="B3037">
        <f>IF(AND(Inputs!$B$38&lt;&gt;"pvp",Inputs!$B$43&gt;0),SUMPRODUCT((Skills!E2:E32=TRUE)*(C3001:C3031=TRUE)*R3001:R3031*Skills!F2:F32)/Inputs!$B$43,SUMPRODUCT((Skills!E2:E32=TRUE)*(C3001:C3031=TRUE)*Q3001:Q3031*Skills!F2:F32))</f>
        <v/>
      </c>
    </row>
    <row r="3038">
      <c r="A3038" t="inlineStr">
        <is>
          <t>Arrow Stream Casts Per Second</t>
        </is>
      </c>
      <c r="B3038">
        <f>MAX(0,B3036-B3037)</f>
        <v/>
      </c>
    </row>
    <row r="3039">
      <c r="A3039" t="inlineStr">
        <is>
          <t>Global Critical Damage Bonus % (Sharp Eyes + Concentration)</t>
        </is>
      </c>
      <c r="B3039">
        <f>(C3017=TRUE)*F3017*IF(AND(Inputs!$B$38&lt;&gt;"pvp",Inputs!$B$43&gt;0),(((R3017-1)*MIN((Skills!T18*(1+Inputs!$B$34/100)),(1/Q3017))+MIN((Skills!T18*(1+Inputs!$B$34/100)),MAX(0,Inputs!$B$43-((R3017-1)*(1/Q3017)))))/Inputs!$B$43),IF(Inputs!$B$38="pvp",MIN((Skills!T18*(1+Inputs!$B$34/100)),15)/15,MIN(1,(Skills!T18*(1+Inputs!$B$34/100))/(1/Q3017))))+(C3018=TRUE)*7*F3018</f>
        <v/>
      </c>
    </row>
    <row r="3040">
      <c r="A3040" t="inlineStr">
        <is>
          <t>Global Final Damage Bonus % (Mortal Blow)</t>
        </is>
      </c>
      <c r="B3040">
        <f>(C3019=TRUE)*F3019</f>
        <v/>
      </c>
    </row>
    <row r="3041">
      <c r="A3041" t="inlineStr">
        <is>
          <t>Buff-Casting Startup Delay (s, fixed-duration only)</t>
        </is>
      </c>
      <c r="B3041">
        <f>IF(AND(Inputs!$B$38&lt;&gt;"pvp",Inputs!$B$43&gt;0),SUMPRODUCT((Skills!T2:T32&gt;0)*(Skills!E2:E32=TRUE)*(C3001:C3031=TRUE))/B3036,0)</f>
        <v/>
      </c>
    </row>
    <row r="3042">
      <c r="A3042" t="inlineStr">
        <is>
          <t>Boss-Only Total DPS (this block's swept value)</t>
        </is>
      </c>
      <c r="B3042">
        <f>SUM(T3001:T3031)</f>
        <v/>
      </c>
    </row>
    <row r="3043">
      <c r="A3043" t="inlineStr">
        <is>
          <t>Normal-Only Total DPS (this block's swept value)</t>
        </is>
      </c>
      <c r="B3043">
        <f>SUM(V3001:V3031)</f>
        <v/>
      </c>
    </row>
    <row r="3044">
      <c r="A3044" s="6" t="inlineStr">
        <is>
          <t>TOTAL DPS</t>
        </is>
      </c>
      <c r="B3044" s="6">
        <f>SUM(O3001:O3031)</f>
        <v/>
      </c>
    </row>
    <row r="3047">
      <c r="A3047" s="9" t="inlineStr">
        <is>
          <t>Cooldown Reduction Milestone Sweep (absolute CDR seconds, fixed-duration content only)</t>
        </is>
      </c>
    </row>
    <row r="3048">
      <c r="A3048" s="5" t="inlineStr">
        <is>
          <t>CDR (s)</t>
        </is>
      </c>
      <c r="B3048" s="5" t="inlineStr">
        <is>
          <t>Total DPS</t>
        </is>
      </c>
      <c r="C3048" s="5" t="inlineStr">
        <is>
          <t>DPS Gain (vs prior step)</t>
        </is>
      </c>
      <c r="D3048" s="5" t="inlineStr">
        <is>
          <t>% Gain (vs current CDR)</t>
        </is>
      </c>
    </row>
    <row r="3049">
      <c r="A3049" t="n">
        <v>0.5</v>
      </c>
      <c r="B3049">
        <f>B3106</f>
        <v/>
      </c>
      <c r="C3049" t="n">
        <v>0</v>
      </c>
      <c r="D3049">
        <f>IF(Summary!$B$3=0,0,(B3049-Summary!$B$3)/Summary!$B$3*100)</f>
        <v/>
      </c>
    </row>
    <row r="3050">
      <c r="A3050" t="n">
        <v>1</v>
      </c>
      <c r="B3050">
        <f>B3154</f>
        <v/>
      </c>
      <c r="C3050">
        <f>B3050-B3049</f>
        <v/>
      </c>
      <c r="D3050">
        <f>IF(Summary!$B$3=0,0,(B3050-Summary!$B$3)/Summary!$B$3*100)</f>
        <v/>
      </c>
    </row>
    <row r="3051">
      <c r="A3051" t="n">
        <v>1.5</v>
      </c>
      <c r="B3051">
        <f>B3202</f>
        <v/>
      </c>
      <c r="C3051">
        <f>B3051-B3050</f>
        <v/>
      </c>
      <c r="D3051">
        <f>IF(Summary!$B$3=0,0,(B3051-Summary!$B$3)/Summary!$B$3*100)</f>
        <v/>
      </c>
    </row>
    <row r="3052">
      <c r="A3052" t="n">
        <v>2</v>
      </c>
      <c r="B3052">
        <f>B3250</f>
        <v/>
      </c>
      <c r="C3052">
        <f>B3052-B3051</f>
        <v/>
      </c>
      <c r="D3052">
        <f>IF(Summary!$B$3=0,0,(B3052-Summary!$B$3)/Summary!$B$3*100)</f>
        <v/>
      </c>
    </row>
    <row r="3053">
      <c r="A3053" t="n">
        <v>2.5</v>
      </c>
      <c r="B3053">
        <f>B3298</f>
        <v/>
      </c>
      <c r="C3053">
        <f>B3053-B3052</f>
        <v/>
      </c>
      <c r="D3053">
        <f>IF(Summary!$B$3=0,0,(B3053-Summary!$B$3)/Summary!$B$3*100)</f>
        <v/>
      </c>
    </row>
    <row r="3054">
      <c r="A3054" t="n">
        <v>3</v>
      </c>
      <c r="B3054">
        <f>B3346</f>
        <v/>
      </c>
      <c r="C3054">
        <f>B3054-B3053</f>
        <v/>
      </c>
      <c r="D3054">
        <f>IF(Summary!$B$3=0,0,(B3054-Summary!$B$3)/Summary!$B$3*100)</f>
        <v/>
      </c>
    </row>
    <row r="3055">
      <c r="A3055" t="n">
        <v>3.5</v>
      </c>
      <c r="B3055">
        <f>B3394</f>
        <v/>
      </c>
      <c r="C3055">
        <f>B3055-B3054</f>
        <v/>
      </c>
      <c r="D3055">
        <f>IF(Summary!$B$3=0,0,(B3055-Summary!$B$3)/Summary!$B$3*100)</f>
        <v/>
      </c>
    </row>
    <row r="3056">
      <c r="A3056" t="n">
        <v>4</v>
      </c>
      <c r="B3056">
        <f>B3442</f>
        <v/>
      </c>
      <c r="C3056">
        <f>B3056-B3055</f>
        <v/>
      </c>
      <c r="D3056">
        <f>IF(Summary!$B$3=0,0,(B3056-Summary!$B$3)/Summary!$B$3*100)</f>
        <v/>
      </c>
    </row>
    <row r="3057">
      <c r="A3057" t="n">
        <v>4.5</v>
      </c>
      <c r="B3057">
        <f>B3490</f>
        <v/>
      </c>
      <c r="C3057">
        <f>B3057-B3056</f>
        <v/>
      </c>
      <c r="D3057">
        <f>IF(Summary!$B$3=0,0,(B3057-Summary!$B$3)/Summary!$B$3*100)</f>
        <v/>
      </c>
    </row>
    <row r="3058">
      <c r="A3058" t="n">
        <v>5</v>
      </c>
      <c r="B3058">
        <f>B3538</f>
        <v/>
      </c>
      <c r="C3058">
        <f>B3058-B3057</f>
        <v/>
      </c>
      <c r="D3058">
        <f>IF(Summary!$B$3=0,0,(B3058-Summary!$B$3)/Summary!$B$3*100)</f>
        <v/>
      </c>
    </row>
    <row r="3061">
      <c r="A3061" s="6" t="inlineStr">
        <is>
          <t>Stat: CDR = 0.5s</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U3065+Skills!O2</f>
        <v/>
      </c>
      <c r="G3063">
        <f>Skills!G2*IF(Skills!H2&gt;0,INT(IF(Inputs!$B$38="pvp",MIN(Skills!I2,15),Skills!I2)/Skills!H2+0.000000001),1)</f>
        <v/>
      </c>
      <c r="H3063">
        <f>1-(1-Skills!J2/100)^Skills!K2</f>
        <v/>
      </c>
      <c r="I3063" t="inlineStr">
        <is>
          <t>1</t>
        </is>
      </c>
      <c r="J3063">
        <f>((Inputs!$B$6*(1+Inputs!$B$7/100))+(((Inputs!$B$12*(1+Inputs!$B$13/100))-(Inputs!$B$12*(1+Inputs!$B$13/100)))+0.25*(Inputs!$B$14-Inputs!$B$14))*(1+Inputs!$B$7/100))*(F3063/100)</f>
        <v/>
      </c>
      <c r="K3063">
        <f>J3063*(1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3087=TRUE)*(F3087-Calc!F26)),(Inputs!$B$23+((C3092=TRUE)*(F3092-Calc!F31))+(IF(ArtifactsInput!$M$15,CHOOSE(ArtifactsInput!$N$15+1,25,30,35,40,45,50)/100*(Inputs!$B$11-Inputs!$B$11),0))))/100+(Inputs!$B$23+((C3092=TRUE)*(F3092-Calc!F31))+(IF(ArtifactsInput!$M$15,CHOOSE(ArtifactsInput!$N$15+1,25,30,35,40,45,50)/100*(Inputs!$B$11-Inputs!$B$11),0)))/100)/2</f>
        <v/>
      </c>
      <c r="M3063">
        <f>L3063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IF(B3106=0,0,O3063/B3106)</f>
        <v/>
      </c>
      <c r="Q3063" t="n">
        <v>0</v>
      </c>
      <c r="R3063" t="n">
        <v>0</v>
      </c>
      <c r="S3063">
        <f>IFERROR(O3063/N3063,0)</f>
        <v/>
      </c>
      <c r="T3063">
        <f>IF(C3063,(Skills!G2*N3063*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3">
        <f>MAX(0,(Inputs!$B$3-100)*3)+Inputs!$B$28+Inputs!$B$29</f>
        <v/>
      </c>
      <c r="V3063">
        <f>IF(C3063,(Skills!G2*N3063*B3100)*IF(Inputs!$B$38="pvp",1,(1+(Inputs!$B$21+Skills!Q2+(IF(ArtifactsInput!$M$33,CHOOSE(ArtifactsInput!$N$33+1,30,36,42,48,54,60),0))+(IF(AND(ArtifactsInput!$M$35,Inputs!$B$4&lt;&gt;"Chapter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Skills!A3</f>
        <v/>
      </c>
      <c r="B3064">
        <f>Skills!B3</f>
        <v/>
      </c>
      <c r="C3064">
        <f>Inputs!$B$3&gt;=50</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Skills!G3*IF(Skills!H3&gt;0,INT(IF(Inputs!$B$38="pvp",MIN(Skills!I3,15),Skills!I3)/Skills!H3+0.000000001),1)</f>
        <v/>
      </c>
      <c r="H3064">
        <f>1-(1-Skills!J3/100)^Skills!K3</f>
        <v/>
      </c>
      <c r="I3064" t="inlineStr">
        <is>
          <t>1</t>
        </is>
      </c>
      <c r="J3064">
        <f>((Inputs!$B$6*(1+Inputs!$B$7/100))+(((Inputs!$B$12*(1+Inputs!$B$13/100))-(Inputs!$B$12*(1+Inputs!$B$13/100)))+0.25*(Inputs!$B$14-Inputs!$B$14))*(1+Inputs!$B$7/100))*(F3064/100)</f>
        <v/>
      </c>
      <c r="K3064">
        <f>J3064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3065=TRUE,F3065,0)/100)*(1+(IF(Skills!A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3087=TRUE)*(F3087-Calc!F26)),(Inputs!$B$23+((C3092=TRUE)*(F3092-Calc!F31))+(IF(ArtifactsInput!$M$15,CHOOSE(ArtifactsInput!$N$15+1,25,30,35,40,45,50)/100*(Inputs!$B$11-Inputs!$B$11),0))))/100+(Inputs!$B$23+((C3092=TRUE)*(F3092-Calc!F31))+(IF(ArtifactsInput!$M$15,CHOOSE(ArtifactsInput!$N$15+1,25,30,35,40,45,50)/100*(Inputs!$B$11-Inputs!$B$11),0)))/100)/2</f>
        <v/>
      </c>
      <c r="M3064">
        <f>L3064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IF(B3106=0,0,O3064/B3106)</f>
        <v/>
      </c>
      <c r="Q3064">
        <f>IFERROR(1/(IF(Inputs!$B$38="pvp",15,MAX(0.1,1/B3098-IF(FALSE=TRUE,0.5,0)))*(1-IF(AND(ArtifactsInput!$M$27,Inputs!$B$4="Chapter Hunt"),CHOOSE(ArtifactsInput!$N$27+1,20,24,28,32,36,40),0)/100)),0)</f>
        <v/>
      </c>
      <c r="R3064">
        <f>IF(AND(Inputs!$B$38&lt;&gt;"pvp",Inputs!$B$43&gt;0),IF(MAX(0,Inputs!$B$43-B3103)&lt;=0,0,(INT(MAX(0,Inputs!$B$43-B3103)/(IF(Inputs!$B$38="pvp",15,MAX(0.1,1/B3098-IF(FALSE=TRUE,0.5,0)))*(1-IF(AND(ArtifactsInput!$M$27,Inputs!$B$4="Chapter Hunt"),CHOOSE(ArtifactsInput!$N$27+1,20,24,28,32,36,40),0)/100)))+1)),0)</f>
        <v/>
      </c>
      <c r="S3064">
        <f>IFERROR(O3064/N3064,0)</f>
        <v/>
      </c>
      <c r="T3064">
        <f>IF(C3064,(H3064*N3064*IF(AND(Inputs!$B$38&lt;&gt;"pvp",Inputs!$B$43&gt;0),((Skills!G3*((R3064-1)*IF(Skills!H3&gt;0,INT(Skills!I3/Skills!H3+0.000000001),1)+IF(Skills!H3&gt;0,INT(MIN(Skills!I3,MAX(0,MAX(0,Inputs!$B$43-B3103)-((R3064-1)*(IF(Inputs!$B$38="pvp",15,MAX(0.1,1/B3098-IF(FALSE=TRUE,0.5,0)))*(1-IF(AND(ArtifactsInput!$M$27,Inputs!$B$4="Chapter Hunt"),CHOOSE(ArtifactsInput!$N$27+1,20,24,28,32,36,40),0)/100)))))/Skills!H3+0.000000001),1)))/Inputs!$B$43),G3064*Q3064)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4">
        <f>INDEX(FactorTable!$B$2:$Y$301, MATCH(ROUND(MIN(300,MAX(1,U3063)),0), FactorTable!$A$2:$A$301,0), 22)</f>
        <v/>
      </c>
      <c r="V3064">
        <f>IF(C3064,(H3064*N3064*IF(AND(Inputs!$B$38&lt;&gt;"pvp",Inputs!$B$43&gt;0),((Skills!G3*((R3064-1)*IF(Skills!H3&gt;0,INT(Skills!I3/Skills!H3+0.000000001),1)+IF(Skills!H3&gt;0,INT(MIN(Skills!I3,MAX(0,MAX(0,Inputs!$B$43-B3103)-((R3064-1)*(IF(Inputs!$B$38="pvp",15,MAX(0.1,1/B3098-IF(FALSE=TRUE,0.5,0)))*(1-IF(AND(ArtifactsInput!$M$27,Inputs!$B$4="Chapter Hunt"),CHOOSE(ArtifactsInput!$N$27+1,20,24,28,32,36,40),0)/100)))))/Skills!H3+0.000000001),1)))/Inputs!$B$43),G3064*Q3064))*IF(Inputs!$B$38="pvp",1,(1+(Inputs!$B$21+Skills!Q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Skills!A4</f>
        <v/>
      </c>
      <c r="B3065">
        <f>Skills!B4</f>
        <v/>
      </c>
      <c r="C3065">
        <f>Inputs!$B$3&gt;=105</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t="inlineStr"/>
      <c r="H3065" t="inlineStr"/>
      <c r="I3065" t="inlineStr">
        <is>
          <t>1</t>
        </is>
      </c>
      <c r="J3065" t="inlineStr"/>
      <c r="K3065" t="inlineStr"/>
      <c r="L3065" t="inlineStr"/>
      <c r="M3065" t="inlineStr"/>
      <c r="N3065" t="inlineStr"/>
      <c r="O3065" t="inlineStr"/>
      <c r="P3065" t="inlineStr"/>
      <c r="Q3065" t="inlineStr"/>
      <c r="R3065" t="inlineStr"/>
      <c r="S3065" t="inlineStr"/>
      <c r="T3065" t="inlineStr"/>
      <c r="U3065">
        <f>290*U3064/1000</f>
        <v/>
      </c>
      <c r="V3065" t="inlineStr"/>
    </row>
    <row r="3066">
      <c r="A3066">
        <f>Skills!A5</f>
        <v/>
      </c>
      <c r="B3066">
        <f>Skills!B5</f>
        <v/>
      </c>
      <c r="C3066">
        <f>Inputs!$B$3&gt;=35</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Skills!G5*IF(Skills!H5&gt;0,INT(IF(Inputs!$B$38="pvp",MIN(Skills!I5,15),Skills!I5)/Skills!H5+0.000000001),1)</f>
        <v/>
      </c>
      <c r="H3066">
        <f>1-(1-Skills!J5/100)^Skills!K5</f>
        <v/>
      </c>
      <c r="I3066" t="inlineStr">
        <is>
          <t>1</t>
        </is>
      </c>
      <c r="J3066">
        <f>((Inputs!$B$6*(1+Inputs!$B$7/100))+(((Inputs!$B$12*(1+Inputs!$B$13/100))-(Inputs!$B$12*(1+Inputs!$B$13/100)))+0.25*(Inputs!$B$14-Inputs!$B$14))*(1+Inputs!$B$7/100))*(F3066/100)</f>
        <v/>
      </c>
      <c r="K3066">
        <f>J3066*(1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3073=TRUE,F3073,0)/100)*(1+(IF(Skills!A5="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3087=TRUE)*(F3087-Calc!F26)),(Inputs!$B$23+((C3092=TRUE)*(F3092-Calc!F31))+(IF(ArtifactsInput!$M$15,CHOOSE(ArtifactsInput!$N$15+1,25,30,35,40,45,50)/100*(Inputs!$B$11-Inputs!$B$11),0))))/100+(Inputs!$B$23+((C3092=TRUE)*(F3092-Calc!F31))+(IF(ArtifactsInput!$M$15,CHOOSE(ArtifactsInput!$N$15+1,25,30,35,40,45,50)/100*(Inputs!$B$11-Inputs!$B$11),0)))/100)/2</f>
        <v/>
      </c>
      <c r="M3066">
        <f>L3066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IF(B3106=0,0,O3066/B3106)</f>
        <v/>
      </c>
      <c r="Q3066">
        <f>IFERROR(1/(IF(Inputs!$B$38="pvp",15,MAX(0.1,Skills!D5-IF(TRUE=TRUE,0.5,0)))*(1-IF(AND(ArtifactsInput!$M$27,Inputs!$B$4="Chapter Hunt"),CHOOSE(ArtifactsInput!$N$27+1,20,24,28,32,36,40),0)/100)),0)</f>
        <v/>
      </c>
      <c r="R3066">
        <f>IF(AND(Inputs!$B$38&lt;&gt;"pvp",Inputs!$B$43&gt;0),IF(MAX(0,Inputs!$B$43-B3103)&lt;=0,0,(INT(MAX(0,Inputs!$B$43-B3103)/(IF(Inputs!$B$38="pvp",15,MAX(0.1,Skills!D5-IF(TRUE=TRUE,0.5,0)))*(1-IF(AND(ArtifactsInput!$M$27,Inputs!$B$4="Chapter Hunt"),CHOOSE(ArtifactsInput!$N$27+1,20,24,28,32,36,40),0)/100)))+1)),0)</f>
        <v/>
      </c>
      <c r="S3066">
        <f>IFERROR(O3066/N3066,0)</f>
        <v/>
      </c>
      <c r="T3066">
        <f>IF(C3066,(H3066*N3066*IF(AND(Inputs!$B$38&lt;&gt;"pvp",Inputs!$B$43&gt;0),((Skills!G5*((R3066-1)*IF(Skills!H5&gt;0,INT(Skills!I5/Skills!H5+0.000000001),1)+IF(Skills!H5&gt;0,INT(MIN(Skills!I5,MAX(0,MAX(0,Inputs!$B$43-B3103)-((R3066-1)*(IF(Inputs!$B$38="pvp",15,MAX(0.1,Skills!D5-IF(TRUE=TRUE,0.5,0)))*(1-IF(AND(ArtifactsInput!$M$27,Inputs!$B$4="Chapter Hunt"),CHOOSE(ArtifactsInput!$N$27+1,20,24,28,32,36,40),0)/100)))))/Skills!H5+0.000000001),1)))/Inputs!$B$43),G3066*Q3066)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5*((R3066-1)*IF(Skills!H5&gt;0,INT(Skills!I5/Skills!H5+0.000000001),1)+IF(Skills!H5&gt;0,INT(MIN(Skills!I5,MAX(0,MAX(0,Inputs!$B$43-B3103)-((R3066-1)*(IF(Inputs!$B$38="pvp",15,MAX(0.1,Skills!D5-IF(TRUE=TRUE,0.5,0)))*(1-IF(AND(ArtifactsInput!$M$27,Inputs!$B$4="Chapter Hunt"),CHOOSE(ArtifactsInput!$N$27+1,20,24,28,32,36,40),0)/100)))))/Skills!H5+0.000000001),1)))/Inputs!$B$43),G3066*Q3066))*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Skills!A6</f>
        <v/>
      </c>
      <c r="B3067">
        <f>Skills!B6</f>
        <v/>
      </c>
      <c r="C3067">
        <f>Inputs!$B$3&gt;=40</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Skills!G6*IF(Skills!H6&gt;0,INT(IF(Inputs!$B$38="pvp",MIN(Skills!I6,15),Skills!I6)/Skills!H6+0.000000001),1)</f>
        <v/>
      </c>
      <c r="H3067">
        <f>1-(1-Skills!J6/100)^Skills!K6</f>
        <v/>
      </c>
      <c r="I3067" t="inlineStr">
        <is>
          <t>1</t>
        </is>
      </c>
      <c r="J3067">
        <f>((Inputs!$B$6*(1+Inputs!$B$7/100))+(((Inputs!$B$12*(1+Inputs!$B$13/100))-(Inputs!$B$12*(1+Inputs!$B$13/100)))+0.25*(Inputs!$B$14-Inputs!$B$14))*(1+Inputs!$B$7/100))*(F3067/100)</f>
        <v/>
      </c>
      <c r="K3067">
        <f>J3067*(1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3068=TRUE,F3068,0)/100)*(1+(IF(Skills!A6="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3067)</f>
        <v/>
      </c>
      <c r="L3067">
        <f>K3067*(MIN(Inputs!$B$22+((C3087=TRUE)*(F3087-Calc!F26)),(Inputs!$B$23+((C3092=TRUE)*(F3092-Calc!F31))+(IF(ArtifactsInput!$M$15,CHOOSE(ArtifactsInput!$N$15+1,25,30,35,40,45,50)/100*(Inputs!$B$11-Inputs!$B$11),0))))/100+(Inputs!$B$23+((C3092=TRUE)*(F3092-Calc!F31))+(IF(ArtifactsInput!$M$15,CHOOSE(ArtifactsInput!$N$15+1,25,30,35,40,45,50)/100*(Inputs!$B$11-Inputs!$B$11),0)))/100)/2</f>
        <v/>
      </c>
      <c r="M3067">
        <f>L3067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7">
        <f>L3067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3067*(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7">
        <f>(1-Summary!$B$11)*T3067+Summary!$B$11*V3067</f>
        <v/>
      </c>
      <c r="P3067">
        <f>IF(B3106=0,0,O3067/B3106)</f>
        <v/>
      </c>
      <c r="Q3067">
        <f>IFERROR(1/(IF(Inputs!$B$38="pvp",15,MAX(0.1,1-0.4*MIN(1,(B3098-1)/1.5)-IF(FALSE=TRUE,0.5,0)))*(1-IF(AND(ArtifactsInput!$M$27,Inputs!$B$4="Chapter Hunt"),CHOOSE(ArtifactsInput!$N$27+1,20,24,28,32,36,40),0)/100)),0)</f>
        <v/>
      </c>
      <c r="R3067">
        <f>IF(AND(Inputs!$B$38&lt;&gt;"pvp",Inputs!$B$43&gt;0),IF(MAX(0,Inputs!$B$43-B3103)&lt;=0,0,(INT(MAX(0,Inputs!$B$43-B3103)/(IF(Inputs!$B$38="pvp",15,MAX(0.1,1-0.4*MIN(1,(B3098-1)/1.5)-IF(FALSE=TRUE,0.5,0)))*(1-IF(AND(ArtifactsInput!$M$27,Inputs!$B$4="Chapter Hunt"),CHOOSE(ArtifactsInput!$N$27+1,20,24,28,32,36,40),0)/100)))+1)),0)</f>
        <v/>
      </c>
      <c r="S3067">
        <f>IFERROR(O3067/N3067,0)</f>
        <v/>
      </c>
      <c r="T3067">
        <f>IF(C3067,(H3067*N3067*IF(AND(Inputs!$B$38&lt;&gt;"pvp",Inputs!$B$43&gt;0),((Skills!G6*((R3067-1)*IF(Skills!H6&gt;0,INT(Skills!I6/Skills!H6+0.000000001),1)+IF(Skills!H6&gt;0,INT(MIN(Skills!I6,MAX(0,MAX(0,Inputs!$B$43-B3103)-((R3067-1)*(IF(Inputs!$B$38="pvp",15,MAX(0.1,1-0.4*MIN(1,(B3098-1)/1.5)-IF(FALSE=TRUE,0.5,0)))*(1-IF(AND(ArtifactsInput!$M$27,Inputs!$B$4="Chapter Hunt"),CHOOSE(ArtifactsInput!$N$27+1,20,24,28,32,36,40),0)/100)))))/Skills!H6+0.000000001),1)))/Inputs!$B$43),G3067*Q3067)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7">
        <f>IF(C3067,(H3067*N3067*IF(AND(Inputs!$B$38&lt;&gt;"pvp",Inputs!$B$43&gt;0),((Skills!G6*((R3067-1)*IF(Skills!H6&gt;0,INT(Skills!I6/Skills!H6+0.000000001),1)+IF(Skills!H6&gt;0,INT(MIN(Skills!I6,MAX(0,MAX(0,Inputs!$B$43-B3103)-((R3067-1)*(IF(Inputs!$B$38="pvp",15,MAX(0.1,1-0.4*MIN(1,(B3098-1)/1.5)-IF(FALSE=TRUE,0.5,0)))*(1-IF(AND(ArtifactsInput!$M$27,Inputs!$B$4="Chapter Hunt"),CHOOSE(ArtifactsInput!$N$27+1,20,24,28,32,36,40),0)/100)))))/Skills!H6+0.000000001),1)))/Inputs!$B$43),G3067*Q3067))*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8">
      <c r="A3068">
        <f>Skills!A7</f>
        <v/>
      </c>
      <c r="B3068">
        <f>Skills!B7</f>
        <v/>
      </c>
      <c r="C3068">
        <f>Inputs!$B$3&gt;=107</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t="inlineStr"/>
      <c r="H3068" t="inlineStr"/>
      <c r="I3068" t="inlineStr">
        <is>
          <t>1</t>
        </is>
      </c>
      <c r="J3068" t="inlineStr"/>
      <c r="K3068" t="inlineStr"/>
      <c r="L3068" t="inlineStr"/>
      <c r="M3068" t="inlineStr"/>
      <c r="N3068" t="inlineStr"/>
      <c r="O3068" t="inlineStr"/>
      <c r="P3068" t="inlineStr"/>
      <c r="Q3068" t="inlineStr"/>
      <c r="R3068" t="inlineStr"/>
      <c r="S3068" t="inlineStr"/>
      <c r="T3068" t="inlineStr"/>
      <c r="V3068" t="inlineStr"/>
    </row>
    <row r="3069">
      <c r="A3069">
        <f>Skills!A8</f>
        <v/>
      </c>
      <c r="B3069">
        <f>Skills!B8</f>
        <v/>
      </c>
      <c r="C3069">
        <f>Inputs!$B$3&gt;=130</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Skills!G8*IF(Skills!H8&gt;0,INT(IF(Inputs!$B$38="pvp",MIN(Skills!I8,15),Skills!I8)/Skills!H8+0.000000001),1)</f>
        <v/>
      </c>
      <c r="H3069">
        <f>1-(1-Skills!J8/100)^Skills!K8</f>
        <v/>
      </c>
      <c r="I3069" t="inlineStr">
        <is>
          <t>1</t>
        </is>
      </c>
      <c r="J3069">
        <f>((Inputs!$B$6*(1+Inputs!$B$7/100))+(((Inputs!$B$12*(1+Inputs!$B$13/100))-(Inputs!$B$12*(1+Inputs!$B$13/100)))+0.25*(Inputs!$B$14-Inputs!$B$14))*(1+Inputs!$B$7/100))*(F3069/100)</f>
        <v/>
      </c>
      <c r="K3069">
        <f>J3069*(1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3087=TRUE)*(F3087-Calc!F26)),(Inputs!$B$23+((C3092=TRUE)*(F3092-Calc!F31))+(IF(ArtifactsInput!$M$15,CHOOSE(ArtifactsInput!$N$15+1,25,30,35,40,45,50)/100*(Inputs!$B$11-Inputs!$B$11),0))))/100+(Inputs!$B$23+((C3092=TRUE)*(F3092-Calc!F31))+(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f>IFERROR(1/(IF(Inputs!$B$38="pvp",15,MAX(0.1,1-0.4*MIN(1,(B3098-1)/1.5)-IF(FALSE=TRUE,0.5,0)))*(1-IF(AND(ArtifactsInput!$M$27,Inputs!$B$4="Chapter Hunt"),CHOOSE(ArtifactsInput!$N$27+1,20,24,28,32,36,40),0)/100)),0)</f>
        <v/>
      </c>
      <c r="R3069">
        <f>IF(AND(Inputs!$B$38&lt;&gt;"pvp",Inputs!$B$43&gt;0),IF(MAX(0,Inputs!$B$43-B3103)&lt;=0,0,(INT(MAX(0,Inputs!$B$43-B3103)/(IF(Inputs!$B$38="pvp",15,MAX(0.1,1-0.4*MIN(1,(B3098-1)/1.5)-IF(FALSE=TRUE,0.5,0)))*(1-IF(AND(ArtifactsInput!$M$27,Inputs!$B$4="Chapter Hunt"),CHOOSE(ArtifactsInput!$N$27+1,20,24,28,32,36,40),0)/100)))+1)),0)</f>
        <v/>
      </c>
      <c r="S3069">
        <f>IFERROR(O3069/N3069,0)</f>
        <v/>
      </c>
      <c r="T3069">
        <f>IF(C3069,(H3069*N3069*IF(AND(Inputs!$B$38&lt;&gt;"pvp",Inputs!$B$43&gt;0),((Skills!G8*((R3069-1)*IF(Skills!H8&gt;0,INT(Skills!I8/Skills!H8+0.000000001),1)+IF(Skills!H8&gt;0,INT(MIN(Skills!I8,MAX(0,MAX(0,Inputs!$B$43-B3103)-((R3069-1)*(IF(Inputs!$B$38="pvp",15,MAX(0.1,1-0.4*MIN(1,(B3098-1)/1.5)-IF(FALSE=TRUE,0.5,0)))*(1-IF(AND(ArtifactsInput!$M$27,Inputs!$B$4="Chapter Hunt"),CHOOSE(ArtifactsInput!$N$27+1,20,24,28,32,36,40),0)/100)))))/Skills!H8+0.000000001),1)))/Inputs!$B$43),G3069*Q3069)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9">
        <f>IF(C3069,(H3069*N3069*IF(AND(Inputs!$B$38&lt;&gt;"pvp",Inputs!$B$43&gt;0),((Skills!G8*((R3069-1)*IF(Skills!H8&gt;0,INT(Skills!I8/Skills!H8+0.000000001),1)+IF(Skills!H8&gt;0,INT(MIN(Skills!I8,MAX(0,MAX(0,Inputs!$B$43-B3103)-((R3069-1)*(IF(Inputs!$B$38="pvp",15,MAX(0.1,1-0.4*MIN(1,(B3098-1)/1.5)-IF(FALSE=TRUE,0.5,0)))*(1-IF(AND(ArtifactsInput!$M$27,Inputs!$B$4="Chapter Hunt"),CHOOSE(ArtifactsInput!$N$27+1,20,24,28,32,36,40),0)/100)))))/Skills!H8+0.000000001),1)))/Inputs!$B$43),G3069*Q3069))*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Skills!A9</f>
        <v/>
      </c>
      <c r="B3070">
        <f>Skills!B9</f>
        <v/>
      </c>
      <c r="C3070">
        <f>Inputs!$B$3&gt;=69</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Skills!G9*IF(Skills!H9&gt;0,INT(IF(Inputs!$B$38="pvp",MIN(Skills!I9,15),Skills!I9)/Skills!H9+0.000000001),1)</f>
        <v/>
      </c>
      <c r="H3070">
        <f>1-(1-Skills!J9/100)^Skills!K9</f>
        <v/>
      </c>
      <c r="I3070" t="inlineStr">
        <is>
          <t>1</t>
        </is>
      </c>
      <c r="J3070">
        <f>((Inputs!$B$6*(1+Inputs!$B$7/100))+(((Inputs!$B$12*(1+Inputs!$B$13/100))-(Inputs!$B$12*(1+Inputs!$B$13/100)))+0.25*(Inputs!$B$14-Inputs!$B$14))*(1+Inputs!$B$7/100))*(F3070/100)</f>
        <v/>
      </c>
      <c r="K3070">
        <f>J3070*(1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3073=TRUE,F3073,0)/100)*(1+(IF(Skills!A9="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3070)</f>
        <v/>
      </c>
      <c r="L3070">
        <f>K3070*(MIN(Inputs!$B$22+((C3087=TRUE)*(F3087-Calc!F26)),(Inputs!$B$23+((C3092=TRUE)*(F3092-Calc!F31))+(IF(ArtifactsInput!$M$15,CHOOSE(ArtifactsInput!$N$15+1,25,30,35,40,45,50)/100*(Inputs!$B$11-Inputs!$B$11),0))))/100+(Inputs!$B$23+((C3092=TRUE)*(F3092-Calc!F31))+(IF(ArtifactsInput!$M$15,CHOOSE(ArtifactsInput!$N$15+1,25,30,35,40,45,50)/100*(Inputs!$B$11-Inputs!$B$11),0)))/100)/2</f>
        <v/>
      </c>
      <c r="M3070">
        <f>L3070*(1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0">
        <f>L3070*(1-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3070*(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0">
        <f>(1-Summary!$B$11)*T3070+Summary!$B$11*V3070</f>
        <v/>
      </c>
      <c r="P3070">
        <f>IF(B3106=0,0,O3070/B3106)</f>
        <v/>
      </c>
      <c r="Q3070">
        <f>IFERROR(1/(IF(Inputs!$B$38="pvp",15,MAX(0.1,Skills!D9-IF(TRUE=TRUE,0.5,0)))*(1-IF(AND(ArtifactsInput!$M$27,Inputs!$B$4="Chapter Hunt"),CHOOSE(ArtifactsInput!$N$27+1,20,24,28,32,36,40),0)/100)),0)</f>
        <v/>
      </c>
      <c r="R3070">
        <f>IF(AND(Inputs!$B$38&lt;&gt;"pvp",Inputs!$B$43&gt;0),IF(MAX(0,Inputs!$B$43-B3103)&lt;=0,0,(INT(MAX(0,Inputs!$B$43-B3103)/(IF(Inputs!$B$38="pvp",15,MAX(0.1,Skills!D9-IF(TRUE=TRUE,0.5,0)))*(1-IF(AND(ArtifactsInput!$M$27,Inputs!$B$4="Chapter Hunt"),CHOOSE(ArtifactsInput!$N$27+1,20,24,28,32,36,40),0)/100)))+1)),0)</f>
        <v/>
      </c>
      <c r="S3070">
        <f>IFERROR(O3070/N3070,0)</f>
        <v/>
      </c>
      <c r="T3070">
        <f>IF(C3070,(H3070*N3070*IF(AND(Inputs!$B$38&lt;&gt;"pvp",Inputs!$B$43&gt;0),((Skills!G9*((R3070-1)*IF(Skills!H9&gt;0,INT(Skills!I9/Skills!H9+0.000000001),1)+IF(Skills!H9&gt;0,INT(MIN(Skills!I9,MAX(0,MAX(0,Inputs!$B$43-B3103)-((R3070-1)*(IF(Inputs!$B$38="pvp",15,MAX(0.1,Skills!D9-IF(TRUE=TRUE,0.5,0)))*(1-IF(AND(ArtifactsInput!$M$27,Inputs!$B$4="Chapter Hunt"),CHOOSE(ArtifactsInput!$N$27+1,20,24,28,32,36,40),0)/100)))))/Skills!H9+0.000000001),1)))/Inputs!$B$43),G3070*Q3070)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0">
        <f>IF(C3070,(H3070*N3070*IF(AND(Inputs!$B$38&lt;&gt;"pvp",Inputs!$B$43&gt;0),((Skills!G9*((R3070-1)*IF(Skills!H9&gt;0,INT(Skills!I9/Skills!H9+0.000000001),1)+IF(Skills!H9&gt;0,INT(MIN(Skills!I9,MAX(0,MAX(0,Inputs!$B$43-B3103)-((R3070-1)*(IF(Inputs!$B$38="pvp",15,MAX(0.1,Skills!D9-IF(TRUE=TRUE,0.5,0)))*(1-IF(AND(ArtifactsInput!$M$27,Inputs!$B$4="Chapter Hunt"),CHOOSE(ArtifactsInput!$N$27+1,20,24,28,32,36,40),0)/100)))))/Skills!H9+0.000000001),1)))/Inputs!$B$43),G3070*Q3070))*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1">
      <c r="A3071">
        <f>Skills!A10</f>
        <v/>
      </c>
      <c r="B3071">
        <f>Skills!B10</f>
        <v/>
      </c>
      <c r="C3071">
        <f>Inputs!$B$3&gt;=63</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Skills!G10*IF(Skills!H10&gt;0,INT(IF(Inputs!$B$38="pvp",MIN(Skills!I10,15),Skills!I10)/Skills!H10+0.000000001),1)</f>
        <v/>
      </c>
      <c r="H3071">
        <f>1-(1-Skills!J10/100)^Skills!K10</f>
        <v/>
      </c>
      <c r="I3071" t="inlineStr">
        <is>
          <t>1</t>
        </is>
      </c>
      <c r="J3071">
        <f>((Inputs!$B$6*(1+Inputs!$B$7/100))+(((Inputs!$B$12*(1+Inputs!$B$13/100))-(Inputs!$B$12*(1+Inputs!$B$13/100)))+0.25*(Inputs!$B$14-Inputs!$B$14))*(1+Inputs!$B$7/100))*(F3071/100)</f>
        <v/>
      </c>
      <c r="K3071">
        <f>J3071*(1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3073=TRUE,F3073,0)/100)*(1+(IF(Skills!A10="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3087=TRUE)*(F3087-Calc!F26)),(Inputs!$B$23+((C3092=TRUE)*(F3092-Calc!F31))+(IF(ArtifactsInput!$M$15,CHOOSE(ArtifactsInput!$N$15+1,25,30,35,40,45,50)/100*(Inputs!$B$11-Inputs!$B$11),0))))/100+(Inputs!$B$23+((C3092=TRUE)*(F3092-Calc!F31))+(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IFERROR(1/(IF(Inputs!$B$38="pvp",15,MAX(0.1,Skills!D10-IF(TRUE=TRUE,0.5,0)))*(1-IF(AND(ArtifactsInput!$M$27,Inputs!$B$4="Chapter Hunt"),CHOOSE(ArtifactsInput!$N$27+1,20,24,28,32,36,40),0)/100)),0)</f>
        <v/>
      </c>
      <c r="R3071">
        <f>IF(AND(Inputs!$B$38&lt;&gt;"pvp",Inputs!$B$43&gt;0),IF(MAX(0,Inputs!$B$43-B3103)&lt;=0,0,(INT(MAX(0,Inputs!$B$43-B3103)/(IF(Inputs!$B$38="pvp",15,MAX(0.1,Skills!D10-IF(TRUE=TRUE,0.5,0)))*(1-IF(AND(ArtifactsInput!$M$27,Inputs!$B$4="Chapter Hunt"),CHOOSE(ArtifactsInput!$N$27+1,20,24,28,32,36,40),0)/100)))+1)),0)</f>
        <v/>
      </c>
      <c r="S3071">
        <f>IFERROR(O3071/N3071,0)</f>
        <v/>
      </c>
      <c r="T3071">
        <f>IF(C3071,(H3071*N3071*IF(AND(Inputs!$B$38&lt;&gt;"pvp",Inputs!$B$43&gt;0),((Skills!G10*((R3071-1)*IF(Skills!H10&gt;0,INT(Skills!I10/Skills!H10+0.000000001),1)+IF(Skills!H10&gt;0,INT(MIN(Skills!I10,MAX(0,MAX(0,Inputs!$B$43-B3103)-((R3071-1)*(IF(Inputs!$B$38="pvp",15,MAX(0.1,Skills!D10-IF(TRUE=TRUE,0.5,0)))*(1-IF(AND(ArtifactsInput!$M$27,Inputs!$B$4="Chapter Hunt"),CHOOSE(ArtifactsInput!$N$27+1,20,24,28,32,36,40),0)/100)))))/Skills!H10+0.000000001),1)))/Inputs!$B$43),G3071*Q3071)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1">
        <f>IF(C3071,(H3071*N3071*IF(AND(Inputs!$B$38&lt;&gt;"pvp",Inputs!$B$43&gt;0),((Skills!G10*((R3071-1)*IF(Skills!H10&gt;0,INT(Skills!I10/Skills!H10+0.000000001),1)+IF(Skills!H10&gt;0,INT(MIN(Skills!I10,MAX(0,MAX(0,Inputs!$B$43-B3103)-((R3071-1)*(IF(Inputs!$B$38="pvp",15,MAX(0.1,Skills!D10-IF(TRUE=TRUE,0.5,0)))*(1-IF(AND(ArtifactsInput!$M$27,Inputs!$B$4="Chapter Hunt"),CHOOSE(ArtifactsInput!$N$27+1,20,24,28,32,36,40),0)/100)))))/Skills!H10+0.000000001),1)))/Inputs!$B$43),G3071*Q3071))*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Skills!A11</f>
        <v/>
      </c>
      <c r="B3072">
        <f>Skills!B11</f>
        <v/>
      </c>
      <c r="C3072">
        <f>Inputs!$B$3&gt;=103</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Skills!G11*IF(Skills!H11&gt;0,INT(IF(Inputs!$B$38="pvp",MIN(Skills!I11,15),Skills!I11)/Skills!H11+0.000000001),1)</f>
        <v/>
      </c>
      <c r="H3072">
        <f>1-(1-Skills!J11/100)^Skills!K11</f>
        <v/>
      </c>
      <c r="I3072" t="inlineStr">
        <is>
          <t>1</t>
        </is>
      </c>
      <c r="J3072">
        <f>((Inputs!$B$6*(1+Inputs!$B$7/100))+(((Inputs!$B$12*(1+Inputs!$B$13/100))-(Inputs!$B$12*(1+Inputs!$B$13/100)))+0.25*(Inputs!$B$14-Inputs!$B$14))*(1+Inputs!$B$7/100))*(F3072/100)</f>
        <v/>
      </c>
      <c r="K3072">
        <f>J3072*(1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3087=TRUE)*(F3087-Calc!F26)),(Inputs!$B$23+((C3092=TRUE)*(F3092-Calc!F31))+(IF(ArtifactsInput!$M$15,CHOOSE(ArtifactsInput!$N$15+1,25,30,35,40,45,50)/100*(Inputs!$B$11-Inputs!$B$11),0))))/100+(Inputs!$B$23+((C3092=TRUE)*(F3092-Calc!F31))+(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IFERROR(1/(IF(Inputs!$B$38="pvp",15,MAX(0.1,Skills!D11-IF(TRUE=TRUE,0.5,0)))*(1-IF(AND(ArtifactsInput!$M$27,Inputs!$B$4="Chapter Hunt"),CHOOSE(ArtifactsInput!$N$27+1,20,24,28,32,36,40),0)/100)),0)</f>
        <v/>
      </c>
      <c r="R3072">
        <f>IF(AND(Inputs!$B$38&lt;&gt;"pvp",Inputs!$B$43&gt;0),IF(MAX(0,Inputs!$B$43-B3103)&lt;=0,0,(INT(MAX(0,Inputs!$B$43-B3103)/(IF(Inputs!$B$38="pvp",15,MAX(0.1,Skills!D11-IF(TRUE=TRUE,0.5,0)))*(1-IF(AND(ArtifactsInput!$M$27,Inputs!$B$4="Chapter Hunt"),CHOOSE(ArtifactsInput!$N$27+1,20,24,28,32,36,40),0)/100)))+1)),0)</f>
        <v/>
      </c>
      <c r="S3072">
        <f>IFERROR(O3072/N3072,0)</f>
        <v/>
      </c>
      <c r="T3072">
        <f>IF(C3072,(H3072*N3072*IF(AND(Inputs!$B$38&lt;&gt;"pvp",Inputs!$B$43&gt;0),((Skills!G11*((R3072-1)*IF(Skills!H11&gt;0,INT(Skills!I11/Skills!H11+0.000000001),1)+IF(Skills!H11&gt;0,INT(MIN(Skills!I11,MAX(0,MAX(0,Inputs!$B$43-B3103)-((R3072-1)*(IF(Inputs!$B$38="pvp",15,MAX(0.1,Skills!D11-IF(TRUE=TRUE,0.5,0)))*(1-IF(AND(ArtifactsInput!$M$27,Inputs!$B$4="Chapter Hunt"),CHOOSE(ArtifactsInput!$N$27+1,20,24,28,32,36,40),0)/100)))))/Skills!H11+0.000000001),1)))/Inputs!$B$43),G3072*Q3072)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11*((R3072-1)*IF(Skills!H11&gt;0,INT(Skills!I11/Skills!H11+0.000000001),1)+IF(Skills!H11&gt;0,INT(MIN(Skills!I11,MAX(0,MAX(0,Inputs!$B$43-B3103)-((R3072-1)*(IF(Inputs!$B$38="pvp",15,MAX(0.1,Skills!D11-IF(TRUE=TRUE,0.5,0)))*(1-IF(AND(ArtifactsInput!$M$27,Inputs!$B$4="Chapter Hunt"),CHOOSE(ArtifactsInput!$N$27+1,20,24,28,32,36,40),0)/100)))))/Skills!H11+0.000000001),1)))/Inputs!$B$43),G3072*Q3072))*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Skills!A12</f>
        <v/>
      </c>
      <c r="B3073">
        <f>Skills!B12</f>
        <v/>
      </c>
      <c r="C3073">
        <f>Inputs!$B$3&gt;=100</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T3073" t="inlineStr"/>
      <c r="V3073" t="inlineStr"/>
    </row>
    <row r="3074">
      <c r="A3074">
        <f>Skills!A13</f>
        <v/>
      </c>
      <c r="B3074">
        <f>Skills!B13</f>
        <v/>
      </c>
      <c r="C3074">
        <f>Inputs!$B$3&gt;=60</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Skills!G13*IF(Skills!H13&gt;0,INT(IF(Inputs!$B$38="pvp",MIN(Skills!I13,15),Skills!I13)/Skills!H13+0.000000001),1)</f>
        <v/>
      </c>
      <c r="H3074">
        <f>1-(1-Skills!J13/100)^Skills!K13</f>
        <v/>
      </c>
      <c r="I3074" t="inlineStr">
        <is>
          <t>1</t>
        </is>
      </c>
      <c r="J3074">
        <f>((Inputs!$B$6*(1+Inputs!$B$7/100))+(((Inputs!$B$12*(1+Inputs!$B$13/100))-(Inputs!$B$12*(1+Inputs!$B$13/100)))+0.25*(Inputs!$B$14-Inputs!$B$14))*(1+Inputs!$B$7/100))*(F3074/100)</f>
        <v/>
      </c>
      <c r="K3074">
        <f>J3074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3075=TRUE,F3075,0)/100)*(1+(IF(Skills!A13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3087=TRUE)*(F3087-Calc!F26)),(Inputs!$B$23+((C3092=TRUE)*(F3092-Calc!F31))+(IF(ArtifactsInput!$M$15,CHOOSE(ArtifactsInput!$N$15+1,25,30,35,40,45,50)/100*(Inputs!$B$11-Inputs!$B$11),0))))/100+(Inputs!$B$23+((C3092=TRUE)*(F3092-Calc!F31))+(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IFERROR(1/(IF(Inputs!$B$38="pvp",15,MAX(0.1,IF(Inputs!$B$3&gt;=122,3,5)+1/(((20+30*(B3098-1)*100/150)/100)*B3098)-IF(FALSE=TRUE,0.5,0)))*(1-IF(AND(ArtifactsInput!$M$27,Inputs!$B$4="Chapter Hunt"),CHOOSE(ArtifactsInput!$N$27+1,20,24,28,32,36,40),0)/100)),0)</f>
        <v/>
      </c>
      <c r="R3074">
        <f>IF(AND(Inputs!$B$38&lt;&gt;"pvp",Inputs!$B$43&gt;0),IF(MAX(0,Inputs!$B$43-B3103)&lt;=0,0,(INT(MAX(0,Inputs!$B$43-B3103)/(IF(Inputs!$B$38="pvp",15,MAX(0.1,IF(Inputs!$B$3&gt;=122,3,5)+1/(((20+30*(B3098-1)*100/150)/100)*B3098)-IF(FALSE=TRUE,0.5,0)))*(1-IF(AND(ArtifactsInput!$M$27,Inputs!$B$4="Chapter Hunt"),CHOOSE(ArtifactsInput!$N$27+1,20,24,28,32,36,40),0)/100)))+1)),0)</f>
        <v/>
      </c>
      <c r="S3074">
        <f>IFERROR(O3074/N3074,0)</f>
        <v/>
      </c>
      <c r="T3074">
        <f>IF(C3074,(H3074*N3074*IF(AND(Inputs!$B$38&lt;&gt;"pvp",Inputs!$B$43&gt;0),((Skills!G13*((R3074-1)*IF(Skills!H13&gt;0,INT(Skills!I13/Skills!H13+0.000000001),1)+IF(Skills!H13&gt;0,INT(MIN(Skills!I13,MAX(0,MAX(0,Inputs!$B$43-B3103)-((R3074-1)*(IF(Inputs!$B$38="pvp",15,MAX(0.1,IF(Inputs!$B$3&gt;=122,3,5)+1/(((20+30*(B3098-1)*100/150)/100)*B3098)-IF(FALSE=TRUE,0.5,0)))*(1-IF(AND(ArtifactsInput!$M$27,Inputs!$B$4="Chapter Hunt"),CHOOSE(ArtifactsInput!$N$27+1,20,24,28,32,36,40),0)/100)))))/Skills!H13+0.000000001),1)))/Inputs!$B$43),G3074*Q3074)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13*((R3074-1)*IF(Skills!H13&gt;0,INT(Skills!I13/Skills!H13+0.000000001),1)+IF(Skills!H13&gt;0,INT(MIN(Skills!I13,MAX(0,MAX(0,Inputs!$B$43-B3103)-((R3074-1)*(IF(Inputs!$B$38="pvp",15,MAX(0.1,IF(Inputs!$B$3&gt;=122,3,5)+1/(((20+30*(B3098-1)*100/150)/100)*B3098)-IF(FALSE=TRUE,0.5,0)))*(1-IF(AND(ArtifactsInput!$M$27,Inputs!$B$4="Chapter Hunt"),CHOOSE(ArtifactsInput!$N$27+1,20,24,28,32,36,40),0)/100)))))/Skills!H13+0.000000001),1)))/Inputs!$B$43),G3074*Q3074))*IF(Inputs!$B$38="pvp",1,(1+(Inputs!$B$21+Skills!Q13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Skills!A14</f>
        <v/>
      </c>
      <c r="B3075">
        <f>Skills!B14</f>
        <v/>
      </c>
      <c r="C3075">
        <f>Inputs!$B$3&gt;=110</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t="inlineStr"/>
      <c r="H3075" t="inlineStr"/>
      <c r="I3075" t="inlineStr">
        <is>
          <t>1</t>
        </is>
      </c>
      <c r="J3075" t="inlineStr"/>
      <c r="K3075" t="inlineStr"/>
      <c r="L3075" t="inlineStr"/>
      <c r="M3075" t="inlineStr"/>
      <c r="N3075" t="inlineStr"/>
      <c r="O3075" t="inlineStr"/>
      <c r="P3075" t="inlineStr"/>
      <c r="Q3075" t="inlineStr"/>
      <c r="R3075" t="inlineStr"/>
      <c r="S3075" t="inlineStr"/>
      <c r="T3075" t="inlineStr"/>
      <c r="V3075" t="inlineStr"/>
    </row>
    <row r="3076">
      <c r="A3076">
        <f>Skills!A15</f>
        <v/>
      </c>
      <c r="B3076">
        <f>Skills!B15</f>
        <v/>
      </c>
      <c r="C3076">
        <f>Inputs!$B$3&gt;=74</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Skills!G15*IF(Skills!H15&gt;0,INT(IF(Inputs!$B$38="pvp",MIN(Skills!I15,15),Skills!I15)/Skills!H15+0.000000001),1)</f>
        <v/>
      </c>
      <c r="H3076">
        <f>1-(1-Skills!J15/100)^Skills!K15</f>
        <v/>
      </c>
      <c r="I3076" t="inlineStr">
        <is>
          <t>1</t>
        </is>
      </c>
      <c r="J3076" t="inlineStr"/>
      <c r="K3076" t="inlineStr"/>
      <c r="L3076" t="inlineStr"/>
      <c r="M3076" t="inlineStr"/>
      <c r="N3076" t="inlineStr"/>
      <c r="O3076">
        <f>(1-Summary!$B$11)*T3076+Summary!$B$11*V3076</f>
        <v/>
      </c>
      <c r="P3076">
        <f>IF(B3106=0,0,O3076/B3106)</f>
        <v/>
      </c>
      <c r="Q3076" t="n">
        <v>0</v>
      </c>
      <c r="R3076" t="n">
        <v>0</v>
      </c>
      <c r="S3076">
        <f>IFERROR(O3076/N3076,0)</f>
        <v/>
      </c>
      <c r="T3076" t="n">
        <v>0</v>
      </c>
      <c r="V3076" t="n">
        <v>0</v>
      </c>
    </row>
    <row r="3077">
      <c r="A3077">
        <f>Skills!A16</f>
        <v/>
      </c>
      <c r="B3077">
        <f>Skills!B16</f>
        <v/>
      </c>
      <c r="C3077">
        <f>Inputs!$B$3&gt;=74</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Skills!G16*IF(Skills!H16&gt;0,INT(IF(Inputs!$B$38="pvp",MIN(Skills!I16,15),Skills!I16)/Skills!H16+0.000000001),1)</f>
        <v/>
      </c>
      <c r="H3077">
        <f>1-(1-Skills!J16/100)^Skills!K16</f>
        <v/>
      </c>
      <c r="I3077" t="inlineStr">
        <is>
          <t>1</t>
        </is>
      </c>
      <c r="J3077" t="inlineStr"/>
      <c r="K3077" t="inlineStr"/>
      <c r="L3077" t="inlineStr"/>
      <c r="M3077" t="inlineStr"/>
      <c r="N3077" t="inlineStr"/>
      <c r="O3077">
        <f>(1-Summary!$B$11)*T3077+Summary!$B$11*V3077</f>
        <v/>
      </c>
      <c r="P3077">
        <f>IF(B3106=0,0,O3077/B3106)</f>
        <v/>
      </c>
      <c r="Q3077" t="n">
        <v>0</v>
      </c>
      <c r="R3077" t="n">
        <v>0</v>
      </c>
      <c r="S3077">
        <f>IFERROR(O3077/N3077,0)</f>
        <v/>
      </c>
      <c r="T3077" t="n">
        <v>0</v>
      </c>
      <c r="V3077" t="n">
        <v>0</v>
      </c>
    </row>
    <row r="3078">
      <c r="A3078">
        <f>Skills!A17</f>
        <v/>
      </c>
      <c r="B3078">
        <f>Skills!B17</f>
        <v/>
      </c>
      <c r="C3078">
        <f>Inputs!$B$3&gt;=117</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Skills!G17*IF(Skills!H17&gt;0,INT(IF(Inputs!$B$38="pvp",MIN(Skills!I17,15),Skills!I17)/Skills!H17+0.000000001),1)</f>
        <v/>
      </c>
      <c r="H3078">
        <f>1-(1-Skills!J17/100)^Skills!K17</f>
        <v/>
      </c>
      <c r="I3078" t="inlineStr">
        <is>
          <t>1</t>
        </is>
      </c>
      <c r="J3078" t="inlineStr"/>
      <c r="K3078" t="inlineStr"/>
      <c r="L3078" t="inlineStr"/>
      <c r="M3078" t="inlineStr"/>
      <c r="N3078" t="inlineStr"/>
      <c r="O3078">
        <f>(1-Summary!$B$11)*T3078+Summary!$B$11*V3078</f>
        <v/>
      </c>
      <c r="P3078">
        <f>IF(B3106=0,0,O3078/B3106)</f>
        <v/>
      </c>
      <c r="Q3078">
        <f>IFERROR(1/(IF(Inputs!$B$38="pvp",15,MAX(0.1,Skills!D17-IF(TRUE=TRUE,0.5,0)))*(1-IF(AND(ArtifactsInput!$M$27,Inputs!$B$4="Chapter Hunt"),CHOOSE(ArtifactsInput!$N$27+1,20,24,28,32,36,40),0)/100)),0)</f>
        <v/>
      </c>
      <c r="R3078">
        <f>IF(AND(Inputs!$B$38&lt;&gt;"pvp",Inputs!$B$43&gt;0),IF(Inputs!$B$43&lt;=0,0,(INT(Inputs!$B$43/(IF(Inputs!$B$38="pvp",15,MAX(0.1,Skills!D17-IF(TRUE=TRUE,0.5,0)))*(1-IF(AND(ArtifactsInput!$M$27,Inputs!$B$4="Chapter Hunt"),CHOOSE(ArtifactsInput!$N$27+1,20,24,28,32,36,40),0)/100)))+1)),0)</f>
        <v/>
      </c>
      <c r="S3078">
        <f>IFERROR(O3078/N3078,0)</f>
        <v/>
      </c>
      <c r="T3078" t="n">
        <v>0</v>
      </c>
      <c r="V3078" t="n">
        <v>0</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Skills!G18*IF(Skills!H18&gt;0,INT(IF(Inputs!$B$38="pvp",MIN(Skills!I18,15),Skills!I18)/Skills!H18+0.000000001),1)</f>
        <v/>
      </c>
      <c r="H3079">
        <f>1-(1-Skills!J18/100)^Skills!K18</f>
        <v/>
      </c>
      <c r="I3079" t="inlineStr">
        <is>
          <t>1</t>
        </is>
      </c>
      <c r="J3079" t="inlineStr"/>
      <c r="K3079" t="inlineStr"/>
      <c r="L3079" t="inlineStr"/>
      <c r="M3079" t="inlineStr"/>
      <c r="N3079" t="inlineStr"/>
      <c r="O3079">
        <f>(1-Summary!$B$11)*T3079+Summary!$B$11*V3079</f>
        <v/>
      </c>
      <c r="P3079">
        <f>IF(B3106=0,0,O3079/B3106)</f>
        <v/>
      </c>
      <c r="Q3079">
        <f>IFERROR(1/(IF(Inputs!$B$38="pvp",15,MAX(0.1,Skills!D18-IF(TRUE=TRUE,0.5,0)))*(1-IF(AND(ArtifactsInput!$M$27,Inputs!$B$4="Chapter Hunt"),CHOOSE(ArtifactsInput!$N$27+1,20,24,28,32,36,40),0)/100)),0)</f>
        <v/>
      </c>
      <c r="R3079">
        <f>IF(AND(Inputs!$B$38&lt;&gt;"pvp",Inputs!$B$43&gt;0),IF(Inputs!$B$43&lt;=0,0,(INT(Inputs!$B$43/(IF(Inputs!$B$38="pvp",15,MAX(0.1,Skills!D18-IF(TRUE=TRUE,0.5,0)))*(1-IF(AND(ArtifactsInput!$M$27,Inputs!$B$4="Chapter Hunt"),CHOOSE(ArtifactsInput!$N$27+1,20,24,28,32,36,40),0)/100)))+1)),0)</f>
        <v/>
      </c>
      <c r="S3079">
        <f>IFERROR(O3079/N3079,0)</f>
        <v/>
      </c>
      <c r="T3079" t="n">
        <v>0</v>
      </c>
      <c r="V3079" t="n">
        <v>0</v>
      </c>
    </row>
    <row r="3080">
      <c r="A3080">
        <f>Skills!A19</f>
        <v/>
      </c>
      <c r="B3080">
        <f>Skills!B19</f>
        <v/>
      </c>
      <c r="C3080">
        <f>Inputs!$B$3&gt;=66</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Skills!G19*IF(Skills!H19&gt;0,INT(IF(Inputs!$B$38="pvp",MIN(Skills!I19,15),Skills!I19)/Skills!H19+0.000000001),1)</f>
        <v/>
      </c>
      <c r="H3080">
        <f>1-(1-Skills!J19/100)^Skills!K19</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Skills!A20</f>
        <v/>
      </c>
      <c r="B3081">
        <f>Skills!B20</f>
        <v/>
      </c>
      <c r="C3081">
        <f>Inputs!$B$3&gt;=72</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Skills!G20*IF(Skills!H20&gt;0,INT(IF(Inputs!$B$38="pvp",MIN(Skills!I20,15),Skills!I20)/Skills!H20+0.000000001),1)</f>
        <v/>
      </c>
      <c r="H3081">
        <f>1-(1-Skills!J20/100)^Skills!K20</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Skills!A21</f>
        <v/>
      </c>
      <c r="B3082">
        <f>Skills!B21</f>
        <v/>
      </c>
      <c r="C3082">
        <f>TRUE</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Skills!G21*IF(Skills!H21&gt;0,INT(IF(Inputs!$B$38="pvp",MIN(Skills!I21,15),Skills!I21)/Skills!H21+0.000000001),1)</f>
        <v/>
      </c>
      <c r="H3082">
        <f>1-(1-Skills!J21/100)^Skills!K21</f>
        <v/>
      </c>
      <c r="I3082" t="inlineStr">
        <is>
          <t>1</t>
        </is>
      </c>
      <c r="J3082" t="inlineStr"/>
      <c r="K3082" t="inlineStr"/>
      <c r="L3082" t="inlineStr"/>
      <c r="M3082" t="inlineStr"/>
      <c r="N3082" t="inlineStr"/>
      <c r="O3082">
        <f>(1-Summary!$B$11)*T3082+Summary!$B$11*V3082</f>
        <v/>
      </c>
      <c r="P3082">
        <f>IF(B3106=0,0,O3082/B3106)</f>
        <v/>
      </c>
      <c r="Q3082">
        <f>IFERROR(1/(IF(Inputs!$B$38="pvp",15,MAX(0.1,Skills!D21-IF(TRUE=TRUE,0.5,0)))*(1-IF(AND(ArtifactsInput!$M$27,Inputs!$B$4="Chapter Hunt"),CHOOSE(ArtifactsInput!$N$27+1,20,24,28,32,36,40),0)/100)),0)</f>
        <v/>
      </c>
      <c r="R3082">
        <f>IF(AND(Inputs!$B$38&lt;&gt;"pvp",Inputs!$B$43&gt;0),IF(Inputs!$B$43&lt;=0,0,(INT(Inputs!$B$43/(IF(Inputs!$B$38="pvp",15,MAX(0.1,Skills!D21-IF(TRUE=TRUE,0.5,0)))*(1-IF(AND(ArtifactsInput!$M$27,Inputs!$B$4="Chapter Hunt"),CHOOSE(ArtifactsInput!$N$27+1,20,24,28,32,36,40),0)/100)))+1)),0)</f>
        <v/>
      </c>
      <c r="S3082">
        <f>IFERROR(O3082/N3082,0)</f>
        <v/>
      </c>
      <c r="T3082" t="n">
        <v>0</v>
      </c>
      <c r="V3082" t="n">
        <v>0</v>
      </c>
    </row>
    <row r="3083">
      <c r="A3083">
        <f>Skills!A22</f>
        <v/>
      </c>
      <c r="B3083">
        <f>Skills!B22</f>
        <v/>
      </c>
      <c r="C3083">
        <f>Inputs!$B$3&gt;=15</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Skills!G22*IF(Skills!H22&gt;0,INT(IF(Inputs!$B$38="pvp",MIN(Skills!I22,15),Skills!I22)/Skills!H22+0.000000001),1)</f>
        <v/>
      </c>
      <c r="H3083">
        <f>1-(1-Skills!J22/100)^Skills!K22</f>
        <v/>
      </c>
      <c r="I3083" t="inlineStr">
        <is>
          <t>1</t>
        </is>
      </c>
      <c r="J3083" t="inlineStr"/>
      <c r="K3083" t="inlineStr"/>
      <c r="L3083" t="inlineStr"/>
      <c r="M3083" t="inlineStr"/>
      <c r="N3083" t="inlineStr"/>
      <c r="O3083">
        <f>(1-Summary!$B$11)*T3083+Summary!$B$11*V3083</f>
        <v/>
      </c>
      <c r="P3083">
        <f>IF(B3106=0,0,O3083/B3106)</f>
        <v/>
      </c>
      <c r="Q3083" t="n">
        <v>0</v>
      </c>
      <c r="R3083" t="n">
        <v>0</v>
      </c>
      <c r="S3083">
        <f>IFERROR(O3083/N3083,0)</f>
        <v/>
      </c>
      <c r="T3083" t="n">
        <v>0</v>
      </c>
      <c r="V3083" t="n">
        <v>0</v>
      </c>
    </row>
    <row r="3084">
      <c r="A3084">
        <f>Skills!A23</f>
        <v/>
      </c>
      <c r="B3084">
        <f>Skills!B23</f>
        <v/>
      </c>
      <c r="C3084">
        <f>Inputs!$B$3&gt;=10</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Skills!G23*IF(Skills!H23&gt;0,INT(IF(Inputs!$B$38="pvp",MIN(Skills!I23,15),Skills!I23)/Skills!H23+0.000000001),1)</f>
        <v/>
      </c>
      <c r="H3084">
        <f>1-(1-Skills!J23/100)^Skills!K23</f>
        <v/>
      </c>
      <c r="I3084" t="inlineStr">
        <is>
          <t>1</t>
        </is>
      </c>
      <c r="J3084" t="inlineStr"/>
      <c r="K3084" t="inlineStr"/>
      <c r="L3084" t="inlineStr"/>
      <c r="M3084" t="inlineStr"/>
      <c r="N3084" t="inlineStr"/>
      <c r="O3084">
        <f>(1-Summary!$B$11)*T3084+Summary!$B$11*V3084</f>
        <v/>
      </c>
      <c r="P3084">
        <f>IF(B3106=0,0,O3084/B3106)</f>
        <v/>
      </c>
      <c r="Q3084" t="n">
        <v>0</v>
      </c>
      <c r="R3084" t="n">
        <v>0</v>
      </c>
      <c r="S3084">
        <f>IFERROR(O3084/N3084,0)</f>
        <v/>
      </c>
      <c r="T3084" t="n">
        <v>0</v>
      </c>
      <c r="V3084" t="n">
        <v>0</v>
      </c>
    </row>
    <row r="3085">
      <c r="A3085">
        <f>Skills!A24</f>
        <v/>
      </c>
      <c r="B3085">
        <f>Skills!B24</f>
        <v/>
      </c>
      <c r="C3085">
        <f>Inputs!$B$3&gt;=33</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Skills!G24*IF(Skills!H24&gt;0,INT(IF(Inputs!$B$38="pvp",MIN(Skills!I24,15),Skills!I24)/Skills!H24+0.000000001),1)</f>
        <v/>
      </c>
      <c r="H3085">
        <f>1-(1-Skills!J24/100)^Skills!K24</f>
        <v/>
      </c>
      <c r="I3085" t="inlineStr">
        <is>
          <t>1</t>
        </is>
      </c>
      <c r="J3085" t="inlineStr"/>
      <c r="K3085" t="inlineStr"/>
      <c r="L3085" t="inlineStr"/>
      <c r="M3085" t="inlineStr"/>
      <c r="N3085" t="inlineStr"/>
      <c r="O3085">
        <f>(1-Summary!$B$11)*T3085+Summary!$B$11*V3085</f>
        <v/>
      </c>
      <c r="P3085">
        <f>IF(B3106=0,0,O3085/B3106)</f>
        <v/>
      </c>
      <c r="Q3085" t="n">
        <v>0</v>
      </c>
      <c r="R3085" t="n">
        <v>0</v>
      </c>
      <c r="S3085">
        <f>IFERROR(O3085/N3085,0)</f>
        <v/>
      </c>
      <c r="T3085" t="n">
        <v>0</v>
      </c>
      <c r="V3085" t="n">
        <v>0</v>
      </c>
    </row>
    <row r="3086">
      <c r="A3086">
        <f>Skills!A25</f>
        <v/>
      </c>
      <c r="B3086">
        <f>Skills!B25</f>
        <v/>
      </c>
      <c r="C3086">
        <f>Inputs!$B$3&gt;=38</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Skills!G25*IF(Skills!H25&gt;0,INT(IF(Inputs!$B$38="pvp",MIN(Skills!I25,15),Skills!I25)/Skills!H25+0.000000001),1)</f>
        <v/>
      </c>
      <c r="H3086">
        <f>1-(1-Skills!J25/100)^Skills!K25</f>
        <v/>
      </c>
      <c r="I3086" t="inlineStr">
        <is>
          <t>1</t>
        </is>
      </c>
      <c r="J3086" t="inlineStr"/>
      <c r="K3086" t="inlineStr"/>
      <c r="L3086" t="inlineStr"/>
      <c r="M3086" t="inlineStr"/>
      <c r="N3086" t="inlineStr"/>
      <c r="O3086">
        <f>(1-Summary!$B$11)*T3086+Summary!$B$11*V3086</f>
        <v/>
      </c>
      <c r="P3086">
        <f>IF(B3106=0,0,O3086/B3106)</f>
        <v/>
      </c>
      <c r="Q3086" t="n">
        <v>0</v>
      </c>
      <c r="R3086" t="n">
        <v>0</v>
      </c>
      <c r="S3086">
        <f>IFERROR(O3086/N3086,0)</f>
        <v/>
      </c>
      <c r="T3086" t="n">
        <v>0</v>
      </c>
      <c r="V3086" t="n">
        <v>0</v>
      </c>
    </row>
    <row r="3087">
      <c r="A3087">
        <f>Skills!A26</f>
        <v/>
      </c>
      <c r="B3087">
        <f>Skills!B26</f>
        <v/>
      </c>
      <c r="C3087">
        <f>Inputs!$B$3&gt;=43</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Skills!G26*IF(Skills!H26&gt;0,INT(IF(Inputs!$B$38="pvp",MIN(Skills!I26,15),Skills!I26)/Skills!H26+0.000000001),1)</f>
        <v/>
      </c>
      <c r="H3087">
        <f>1-(1-Skills!J26/100)^Skills!K26</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Skills!A27</f>
        <v/>
      </c>
      <c r="B3088">
        <f>Skills!B27</f>
        <v/>
      </c>
      <c r="C3088">
        <f>Inputs!$B$3&gt;=75</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Skills!G27*IF(Skills!H27&gt;0,INT(IF(Inputs!$B$38="pvp",MIN(Skills!I27,15),Skills!I27)/Skills!H27+0.000000001),1)</f>
        <v/>
      </c>
      <c r="H3088">
        <f>1-(1-Skills!J27/100)^Skills!K27</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Skills!A28</f>
        <v/>
      </c>
      <c r="B3089">
        <f>Skills!B28</f>
        <v/>
      </c>
      <c r="C3089">
        <f>Inputs!$B$3&gt;=125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Skills!G28*IF(Skills!H28&gt;0,INT(IF(Inputs!$B$38="pvp",MIN(Skills!I28,15),Skills!I28)/Skills!H28+0.000000001),1)</f>
        <v/>
      </c>
      <c r="H3089">
        <f>1-(1-Skills!J28/100)^Skills!K28</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Skills!A29</f>
        <v/>
      </c>
      <c r="B3090">
        <f>Skills!B29</f>
        <v/>
      </c>
      <c r="C3090">
        <f>Inputs!$B$3&gt;=125</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Skills!G29*IF(Skills!H29&gt;0,INT(IF(Inputs!$B$38="pvp",MIN(Skills!I29,15),Skills!I29)/Skills!H29+0.000000001),1)</f>
        <v/>
      </c>
      <c r="H3090">
        <f>1-(1-Skills!J29/100)^Skills!K29</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Skills!A30</f>
        <v/>
      </c>
      <c r="B3091">
        <f>Skills!B30</f>
        <v/>
      </c>
      <c r="C3091">
        <f>Inputs!$B$3&gt;=120</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Skills!G30*IF(Skills!H30&gt;0,INT(IF(Inputs!$B$38="pvp",MIN(Skills!I30,15),Skills!I30)/Skills!H30+0.000000001),1)</f>
        <v/>
      </c>
      <c r="H3091">
        <f>1-(1-Skills!J30/100)^Skills!K30</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Skills!A31</f>
        <v/>
      </c>
      <c r="B3092">
        <f>Skills!B31</f>
        <v/>
      </c>
      <c r="C3092">
        <f>Inputs!$B$3&gt;=120</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Skills!G31*IF(Skills!H31&gt;0,INT(IF(Inputs!$B$38="pvp",MIN(Skills!I31,15),Skills!I31)/Skills!H31+0.000000001),1)</f>
        <v/>
      </c>
      <c r="H3092">
        <f>1-(1-Skills!J31/100)^Skills!K31</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Skills!A32</f>
        <v/>
      </c>
      <c r="B3093">
        <f>Skills!B32</f>
        <v/>
      </c>
      <c r="C3093">
        <f>Inputs!$B$3&gt;=45</f>
        <v/>
      </c>
      <c r="D3093">
        <f>IF(Skills!C32=1,60+Inputs!$B$25+Inputs!$B$29,IF(Skills!C32=2,90+Inputs!$B$26+Inputs!$B$29,IF(Skills!C32=3,120+Inputs!$B$27+Inputs!$B$29,MAX(0,(Inputs!$B$3-100)*3)+Inputs!$B$28+Inputs!$B$29)))</f>
        <v/>
      </c>
      <c r="E3093">
        <f>INDEX(FactorTable!$B$2:$Y$301, MATCH(ROUND(MIN(300,MAX(1,D3093)),0), FactorTable!$A$2:$A$301,0), Skills!M32+1)</f>
        <v/>
      </c>
      <c r="F3093">
        <f>IF(Skills!N32=TRUE,(Skills!L32/10)*(E3093/1000),Skills!L32/10)+Skills!O32</f>
        <v/>
      </c>
      <c r="G3093">
        <f>Skills!G32*IF(Skills!H32&gt;0,INT(IF(Inputs!$B$38="pvp",MIN(Skills!I32,15),Skills!I32)/Skills!H32+0.000000001),1)</f>
        <v/>
      </c>
      <c r="H3093">
        <f>1-(1-Skills!J32/100)^Skills!K32</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3082=TRUE)*F3082*IF(AND(Inputs!$B$38&lt;&gt;"pvp",Inputs!$B$43&gt;0),(((R3082-1)*MIN((Skills!T21*(1+Inputs!$B$34/100)),(1/Q3082))+MIN((Skills!T21*(1+Inputs!$B$34/100)),MAX(0,Inputs!$B$43-((R3082-1)*(1/Q3082)))))/Inputs!$B$43),IF(Inputs!$B$38="pvp",MIN((Skills!T21*(1+Inputs!$B$34/100)),15)/15,MIN(1,(Skills!T21*(1+Inputs!$B$34/100))/(1/Q3082)))))</f>
        <v/>
      </c>
    </row>
    <row r="3098">
      <c r="A3098" t="inlineStr">
        <is>
          <t>Actions Per Second</t>
        </is>
      </c>
      <c r="B3098">
        <f>1+MIN(150,150*(1-(1-(Inputs!$B$11+((C3084=TRUE)*(F3084-Calc!F23))+((C3085=TRUE)*(F3085-Calc!F24)))/150)*(1-B3097/150)))/100</f>
        <v/>
      </c>
    </row>
    <row r="3099">
      <c r="A3099" t="inlineStr">
        <is>
          <t>Skill + Buff Cast Rate</t>
        </is>
      </c>
      <c r="B3099">
        <f>IF(AND(Inputs!$B$38&lt;&gt;"pvp",Inputs!$B$43&gt;0),SUMPRODUCT((Skills!E2:E32=TRUE)*(C3063:C3093=TRUE)*R3063:R3093*Skills!F2:F32)/Inputs!$B$43,SUMPRODUCT((Skills!E2:E32=TRUE)*(C3063:C3093=TRUE)*Q3063:Q3093*Skills!F2:F32))</f>
        <v/>
      </c>
    </row>
    <row r="3100">
      <c r="A3100" t="inlineStr">
        <is>
          <t>Arrow Stream Casts Per Second</t>
        </is>
      </c>
      <c r="B3100">
        <f>MAX(0,B3098-B3099)</f>
        <v/>
      </c>
    </row>
    <row r="3101">
      <c r="A3101" t="inlineStr">
        <is>
          <t>Global Critical Damage Bonus % (Sharp Eyes + Concentration)</t>
        </is>
      </c>
      <c r="B3101">
        <f>(C3079=TRUE)*F3079*IF(AND(Inputs!$B$38&lt;&gt;"pvp",Inputs!$B$43&gt;0),(((R3079-1)*MIN((Skills!T18*(1+Inputs!$B$34/100)),(1/Q3079))+MIN((Skills!T18*(1+Inputs!$B$34/100)),MAX(0,Inputs!$B$43-((R3079-1)*(1/Q3079)))))/Inputs!$B$43),IF(Inputs!$B$38="pvp",MIN((Skills!T18*(1+Inputs!$B$34/100)),15)/15,MIN(1,(Skills!T18*(1+Inputs!$B$34/100))/(1/Q3079))))+(C3080=TRUE)*7*F3080</f>
        <v/>
      </c>
    </row>
    <row r="3102">
      <c r="A3102" t="inlineStr">
        <is>
          <t>Global Final Damage Bonus % (Mortal Blow)</t>
        </is>
      </c>
      <c r="B3102">
        <f>(C3081=TRUE)*F3081</f>
        <v/>
      </c>
    </row>
    <row r="3103">
      <c r="A3103" t="inlineStr">
        <is>
          <t>Buff-Casting Startup Delay (s, fixed-duration only)</t>
        </is>
      </c>
      <c r="B3103">
        <f>IF(AND(Inputs!$B$38&lt;&gt;"pvp",Inputs!$B$43&gt;0),SUMPRODUCT((Skills!T2:T32&gt;0)*(Skills!E2:E32=TRUE)*(C3063:C3093=TRUE))/B3098,0)</f>
        <v/>
      </c>
    </row>
    <row r="3104">
      <c r="A3104" t="inlineStr">
        <is>
          <t>Boss-Only Total DPS (this block's swept value)</t>
        </is>
      </c>
      <c r="B3104">
        <f>SUM(T3063:T3093)</f>
        <v/>
      </c>
    </row>
    <row r="3105">
      <c r="A3105" t="inlineStr">
        <is>
          <t>Normal-Only Total DPS (this block's swept value)</t>
        </is>
      </c>
      <c r="B3105">
        <f>SUM(V3063:V3093)</f>
        <v/>
      </c>
    </row>
    <row r="3106">
      <c r="A3106" s="6" t="inlineStr">
        <is>
          <t>TOTAL DPS</t>
        </is>
      </c>
      <c r="B3106" s="6">
        <f>SUM(O3063:O3093)</f>
        <v/>
      </c>
    </row>
    <row r="3109">
      <c r="A3109" s="6" t="inlineStr">
        <is>
          <t>Stat: CDR = 1.0s</t>
        </is>
      </c>
    </row>
    <row r="3110">
      <c r="A3110" s="5" t="inlineStr">
        <is>
          <t>Key</t>
        </is>
      </c>
      <c r="B3110" s="5" t="inlineStr">
        <is>
          <t>Name</t>
        </is>
      </c>
      <c r="C3110" s="5" t="inlineStr">
        <is>
          <t>Unlocked</t>
        </is>
      </c>
      <c r="D3110" s="5" t="inlineStr">
        <is>
          <t>InputLevel</t>
        </is>
      </c>
      <c r="E3110" s="5" t="inlineStr">
        <is>
          <t>Factor</t>
        </is>
      </c>
      <c r="F3110" s="5" t="inlineStr">
        <is>
          <t>CoefficientPercent</t>
        </is>
      </c>
      <c r="G3110" s="5" t="inlineStr">
        <is>
          <t>EffectiveHits</t>
        </is>
      </c>
      <c r="H3110" s="5" t="inlineStr">
        <is>
          <t>ProcProbability</t>
        </is>
      </c>
      <c r="I3110" s="5" t="inlineStr">
        <is>
          <t>MapleHeroMultiplier</t>
        </is>
      </c>
      <c r="J3110" s="5" t="inlineStr">
        <is>
          <t>BaseDamage</t>
        </is>
      </c>
      <c r="K3110" s="5" t="inlineStr">
        <is>
          <t>BaseHitDamage</t>
        </is>
      </c>
      <c r="L3110" s="5" t="inlineStr">
        <is>
          <t>NonCritAvg</t>
        </is>
      </c>
      <c r="M3110" s="5" t="inlineStr">
        <is>
          <t>CritAvg</t>
        </is>
      </c>
      <c r="N3110" s="5" t="inlineStr">
        <is>
          <t>ExpectedDamage(perHit)</t>
        </is>
      </c>
      <c r="O3110" s="5" t="inlineStr">
        <is>
          <t>DPS</t>
        </is>
      </c>
      <c r="P3110" s="5" t="inlineStr">
        <is>
          <t>% of Total</t>
        </is>
      </c>
      <c r="Q3110" s="5" t="inlineStr">
        <is>
          <t>InvCooldown</t>
        </is>
      </c>
      <c r="R3110" s="5" t="inlineStr">
        <is>
          <t>CastsInFight</t>
        </is>
      </c>
      <c r="S3110" s="5" t="inlineStr">
        <is>
          <t>HitRate(perSec)</t>
        </is>
      </c>
      <c r="U3110" t="inlineStr">
        <is>
          <t>helpers</t>
        </is>
      </c>
    </row>
    <row r="3111">
      <c r="A3111">
        <f>Skills!A2</f>
        <v/>
      </c>
      <c r="B3111">
        <f>Skills!B2</f>
        <v/>
      </c>
      <c r="C3111">
        <f>Inputs!$B$3&gt;=100</f>
        <v/>
      </c>
      <c r="D3111" t="inlineStr"/>
      <c r="E3111" t="inlineStr"/>
      <c r="F3111">
        <f>U3113+Skills!O2</f>
        <v/>
      </c>
      <c r="G3111">
        <f>Skills!G2*IF(Skills!H2&gt;0,INT(IF(Inputs!$B$38="pvp",MIN(Skills!I2,15),Skills!I2)/Skills!H2+0.000000001),1)</f>
        <v/>
      </c>
      <c r="H3111">
        <f>1-(1-Skills!J2/100)^Skills!K2</f>
        <v/>
      </c>
      <c r="I3111" t="inlineStr">
        <is>
          <t>1</t>
        </is>
      </c>
      <c r="J3111">
        <f>((Inputs!$B$6*(1+Inputs!$B$7/100))+(((Inputs!$B$12*(1+Inputs!$B$13/100))-(Inputs!$B$12*(1+Inputs!$B$13/100)))+0.25*(Inputs!$B$14-Inputs!$B$14))*(1+Inputs!$B$7/100))*(F3111/100)</f>
        <v/>
      </c>
      <c r="K3111">
        <f>J3111*(1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3135=TRUE)*(F3135-Calc!F26)),(Inputs!$B$23+((C3140=TRUE)*(F3140-Calc!F31))+(IF(ArtifactsInput!$M$15,CHOOSE(ArtifactsInput!$N$15+1,25,30,35,40,45,50)/100*(Inputs!$B$11-Inputs!$B$11),0))))/100+(Inputs!$B$23+((C3140=TRUE)*(F3140-Calc!F31))+(IF(ArtifactsInput!$M$15,CHOOSE(ArtifactsInput!$N$15+1,25,30,35,40,45,50)/100*(Inputs!$B$11-Inputs!$B$11),0)))/100)/2</f>
        <v/>
      </c>
      <c r="M3111">
        <f>L3111*(1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IF(B3154=0,0,O3111/B3154)</f>
        <v/>
      </c>
      <c r="Q3111" t="n">
        <v>0</v>
      </c>
      <c r="R3111" t="n">
        <v>0</v>
      </c>
      <c r="S3111">
        <f>IFERROR(O3111/N3111,0)</f>
        <v/>
      </c>
      <c r="T3111">
        <f>IF(C3111,(Skills!G2*N3111*B3148)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1">
        <f>MAX(0,(Inputs!$B$3-100)*3)+Inputs!$B$28+Inputs!$B$29</f>
        <v/>
      </c>
      <c r="V3111">
        <f>IF(C3111,(Skills!G2*N3111*B3148)*IF(Inputs!$B$38="pvp",1,(1+(Inputs!$B$21+Skills!Q2+(IF(ArtifactsInput!$M$33,CHOOSE(ArtifactsInput!$N$33+1,30,36,42,48,54,60),0))+(IF(AND(ArtifactsInput!$M$35,Inputs!$B$4&lt;&gt;"Chapter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Skills!A3</f>
        <v/>
      </c>
      <c r="B3112">
        <f>Skills!B3</f>
        <v/>
      </c>
      <c r="C3112">
        <f>Inputs!$B$3&gt;=50</f>
        <v/>
      </c>
      <c r="D3112">
        <f>IF(Skills!C3=1,60+Inputs!$B$25+Inputs!$B$29,IF(Skills!C3=2,90+Inputs!$B$26+Inputs!$B$29,IF(Skills!C3=3,120+Inputs!$B$27+Inputs!$B$29,MAX(0,(Inputs!$B$3-100)*3)+Inputs!$B$28+Inputs!$B$29)))</f>
        <v/>
      </c>
      <c r="E3112">
        <f>INDEX(FactorTable!$B$2:$Y$301, MATCH(ROUND(MIN(300,MAX(1,D3112)),0), FactorTable!$A$2:$A$301,0), Skills!M3+1)</f>
        <v/>
      </c>
      <c r="F3112">
        <f>IF(Skills!N3=TRUE,(Skills!L3/10)*(E3112/1000),Skills!L3/10)+Skills!O3</f>
        <v/>
      </c>
      <c r="G3112">
        <f>Skills!G3*IF(Skills!H3&gt;0,INT(IF(Inputs!$B$38="pvp",MIN(Skills!I3,15),Skills!I3)/Skills!H3+0.000000001),1)</f>
        <v/>
      </c>
      <c r="H3112">
        <f>1-(1-Skills!J3/100)^Skills!K3</f>
        <v/>
      </c>
      <c r="I3112" t="inlineStr">
        <is>
          <t>1</t>
        </is>
      </c>
      <c r="J3112">
        <f>((Inputs!$B$6*(1+Inputs!$B$7/100))+(((Inputs!$B$12*(1+Inputs!$B$13/100))-(Inputs!$B$12*(1+Inputs!$B$13/100)))+0.25*(Inputs!$B$14-Inputs!$B$14))*(1+Inputs!$B$7/100))*(F3112/100)</f>
        <v/>
      </c>
      <c r="K3112">
        <f>J3112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3113=TRUE,F3113,0)/100)*(1+(IF(Skills!A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3112)</f>
        <v/>
      </c>
      <c r="L3112">
        <f>K3112*(MIN(Inputs!$B$22+((C3135=TRUE)*(F3135-Calc!F26)),(Inputs!$B$23+((C3140=TRUE)*(F3140-Calc!F31))+(IF(ArtifactsInput!$M$15,CHOOSE(ArtifactsInput!$N$15+1,25,30,35,40,45,50)/100*(Inputs!$B$11-Inputs!$B$11),0))))/100+(Inputs!$B$23+((C3140=TRUE)*(F3140-Calc!F31))+(IF(ArtifactsInput!$M$15,CHOOSE(ArtifactsInput!$N$15+1,25,30,35,40,45,50)/100*(Inputs!$B$11-Inputs!$B$11),0)))/100)/2</f>
        <v/>
      </c>
      <c r="M3112">
        <f>L3112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2">
        <f>L3112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2">
        <f>(1-Summary!$B$11)*T3112+Summary!$B$11*V3112</f>
        <v/>
      </c>
      <c r="P3112">
        <f>IF(B3154=0,0,O3112/B3154)</f>
        <v/>
      </c>
      <c r="Q3112">
        <f>IFERROR(1/(IF(Inputs!$B$38="pvp",15,MAX(0.1,1/B3146-IF(FALSE=TRUE,1.0,0)))*(1-IF(AND(ArtifactsInput!$M$27,Inputs!$B$4="Chapter Hunt"),CHOOSE(ArtifactsInput!$N$27+1,20,24,28,32,36,40),0)/100)),0)</f>
        <v/>
      </c>
      <c r="R3112">
        <f>IF(AND(Inputs!$B$38&lt;&gt;"pvp",Inputs!$B$43&gt;0),IF(MAX(0,Inputs!$B$43-B3151)&lt;=0,0,(INT(MAX(0,Inputs!$B$43-B3151)/(IF(Inputs!$B$38="pvp",15,MAX(0.1,1/B3146-IF(FALSE=TRUE,1.0,0)))*(1-IF(AND(ArtifactsInput!$M$27,Inputs!$B$4="Chapter Hunt"),CHOOSE(ArtifactsInput!$N$27+1,20,24,28,32,36,40),0)/100)))+1)),0)</f>
        <v/>
      </c>
      <c r="S3112">
        <f>IFERROR(O3112/N3112,0)</f>
        <v/>
      </c>
      <c r="T3112">
        <f>IF(C3112,(H3112*N3112*IF(AND(Inputs!$B$38&lt;&gt;"pvp",Inputs!$B$43&gt;0),((Skills!G3*((R3112-1)*IF(Skills!H3&gt;0,INT(Skills!I3/Skills!H3+0.000000001),1)+IF(Skills!H3&gt;0,INT(MIN(Skills!I3,MAX(0,MAX(0,Inputs!$B$43-B3151)-((R3112-1)*(IF(Inputs!$B$38="pvp",15,MAX(0.1,1/B3146-IF(FALSE=TRUE,1.0,0)))*(1-IF(AND(ArtifactsInput!$M$27,Inputs!$B$4="Chapter Hunt"),CHOOSE(ArtifactsInput!$N$27+1,20,24,28,32,36,40),0)/100)))))/Skills!H3+0.000000001),1)))/Inputs!$B$43),G3112*Q3112)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2">
        <f>INDEX(FactorTable!$B$2:$Y$301, MATCH(ROUND(MIN(300,MAX(1,U3111)),0), FactorTable!$A$2:$A$301,0), 22)</f>
        <v/>
      </c>
      <c r="V3112">
        <f>IF(C3112,(H3112*N3112*IF(AND(Inputs!$B$38&lt;&gt;"pvp",Inputs!$B$43&gt;0),((Skills!G3*((R3112-1)*IF(Skills!H3&gt;0,INT(Skills!I3/Skills!H3+0.000000001),1)+IF(Skills!H3&gt;0,INT(MIN(Skills!I3,MAX(0,MAX(0,Inputs!$B$43-B3151)-((R3112-1)*(IF(Inputs!$B$38="pvp",15,MAX(0.1,1/B3146-IF(FALSE=TRUE,1.0,0)))*(1-IF(AND(ArtifactsInput!$M$27,Inputs!$B$4="Chapter Hunt"),CHOOSE(ArtifactsInput!$N$27+1,20,24,28,32,36,40),0)/100)))))/Skills!H3+0.000000001),1)))/Inputs!$B$43),G3112*Q3112))*IF(Inputs!$B$38="pvp",1,(1+(Inputs!$B$21+Skills!Q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3">
      <c r="A3113">
        <f>Skills!A4</f>
        <v/>
      </c>
      <c r="B3113">
        <f>Skills!B4</f>
        <v/>
      </c>
      <c r="C3113">
        <f>Inputs!$B$3&gt;=105</f>
        <v/>
      </c>
      <c r="D3113">
        <f>IF(Skills!C4=1,60+Inputs!$B$25+Inputs!$B$29,IF(Skills!C4=2,90+Inputs!$B$26+Inputs!$B$29,IF(Skills!C4=3,120+Inputs!$B$27+Inputs!$B$29,MAX(0,(Inputs!$B$3-100)*3)+Inputs!$B$28+Inputs!$B$29)))</f>
        <v/>
      </c>
      <c r="E3113">
        <f>INDEX(FactorTable!$B$2:$Y$301, MATCH(ROUND(MIN(300,MAX(1,D3113)),0), FactorTable!$A$2:$A$301,0), Skills!M4+1)</f>
        <v/>
      </c>
      <c r="F3113">
        <f>IF(Skills!N4=TRUE,(Skills!L4/10)*(E3113/1000),Skills!L4/10)+Skills!O4</f>
        <v/>
      </c>
      <c r="G3113" t="inlineStr"/>
      <c r="H3113" t="inlineStr"/>
      <c r="I3113" t="inlineStr">
        <is>
          <t>1</t>
        </is>
      </c>
      <c r="J3113" t="inlineStr"/>
      <c r="K3113" t="inlineStr"/>
      <c r="L3113" t="inlineStr"/>
      <c r="M3113" t="inlineStr"/>
      <c r="N3113" t="inlineStr"/>
      <c r="O3113" t="inlineStr"/>
      <c r="P3113" t="inlineStr"/>
      <c r="Q3113" t="inlineStr"/>
      <c r="R3113" t="inlineStr"/>
      <c r="S3113" t="inlineStr"/>
      <c r="T3113" t="inlineStr"/>
      <c r="U3113">
        <f>290*U3112/1000</f>
        <v/>
      </c>
      <c r="V3113" t="inlineStr"/>
    </row>
    <row r="3114">
      <c r="A3114">
        <f>Skills!A5</f>
        <v/>
      </c>
      <c r="B3114">
        <f>Skills!B5</f>
        <v/>
      </c>
      <c r="C3114">
        <f>Inputs!$B$3&gt;=35</f>
        <v/>
      </c>
      <c r="D3114">
        <f>IF(Skills!C5=1,60+Inputs!$B$25+Inputs!$B$29,IF(Skills!C5=2,90+Inputs!$B$26+Inputs!$B$29,IF(Skills!C5=3,120+Inputs!$B$27+Inputs!$B$29,MAX(0,(Inputs!$B$3-100)*3)+Inputs!$B$28+Inputs!$B$29)))</f>
        <v/>
      </c>
      <c r="E3114">
        <f>INDEX(FactorTable!$B$2:$Y$301, MATCH(ROUND(MIN(300,MAX(1,D3114)),0), FactorTable!$A$2:$A$301,0), Skills!M5+1)</f>
        <v/>
      </c>
      <c r="F3114">
        <f>IF(Skills!N5=TRUE,(Skills!L5/10)*(E3114/1000),Skills!L5/10)+Skills!O5</f>
        <v/>
      </c>
      <c r="G3114">
        <f>Skills!G5*IF(Skills!H5&gt;0,INT(IF(Inputs!$B$38="pvp",MIN(Skills!I5,15),Skills!I5)/Skills!H5+0.000000001),1)</f>
        <v/>
      </c>
      <c r="H3114">
        <f>1-(1-Skills!J5/100)^Skills!K5</f>
        <v/>
      </c>
      <c r="I3114" t="inlineStr">
        <is>
          <t>1</t>
        </is>
      </c>
      <c r="J3114">
        <f>((Inputs!$B$6*(1+Inputs!$B$7/100))+(((Inputs!$B$12*(1+Inputs!$B$13/100))-(Inputs!$B$12*(1+Inputs!$B$13/100)))+0.25*(Inputs!$B$14-Inputs!$B$14))*(1+Inputs!$B$7/100))*(F3114/100)</f>
        <v/>
      </c>
      <c r="K3114">
        <f>J3114*(1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3121=TRUE,F3121,0)/100)*(1+(IF(Skills!A5="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3114)</f>
        <v/>
      </c>
      <c r="L3114">
        <f>K3114*(MIN(Inputs!$B$22+((C3135=TRUE)*(F3135-Calc!F26)),(Inputs!$B$23+((C3140=TRUE)*(F3140-Calc!F31))+(IF(ArtifactsInput!$M$15,CHOOSE(ArtifactsInput!$N$15+1,25,30,35,40,45,50)/100*(Inputs!$B$11-Inputs!$B$11),0))))/100+(Inputs!$B$23+((C3140=TRUE)*(F3140-Calc!F31))+(IF(ArtifactsInput!$M$15,CHOOSE(ArtifactsInput!$N$15+1,25,30,35,40,45,50)/100*(Inputs!$B$11-Inputs!$B$11),0)))/100)/2</f>
        <v/>
      </c>
      <c r="M3114">
        <f>L3114*(1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4">
        <f>L3114*(1-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3114*(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4">
        <f>(1-Summary!$B$11)*T3114+Summary!$B$11*V3114</f>
        <v/>
      </c>
      <c r="P3114">
        <f>IF(B3154=0,0,O3114/B3154)</f>
        <v/>
      </c>
      <c r="Q3114">
        <f>IFERROR(1/(IF(Inputs!$B$38="pvp",15,MAX(0.1,Skills!D5-IF(TRUE=TRUE,1.0,0)))*(1-IF(AND(ArtifactsInput!$M$27,Inputs!$B$4="Chapter Hunt"),CHOOSE(ArtifactsInput!$N$27+1,20,24,28,32,36,40),0)/100)),0)</f>
        <v/>
      </c>
      <c r="R3114">
        <f>IF(AND(Inputs!$B$38&lt;&gt;"pvp",Inputs!$B$43&gt;0),IF(MAX(0,Inputs!$B$43-B3151)&lt;=0,0,(INT(MAX(0,Inputs!$B$43-B3151)/(IF(Inputs!$B$38="pvp",15,MAX(0.1,Skills!D5-IF(TRUE=TRUE,1.0,0)))*(1-IF(AND(ArtifactsInput!$M$27,Inputs!$B$4="Chapter Hunt"),CHOOSE(ArtifactsInput!$N$27+1,20,24,28,32,36,40),0)/100)))+1)),0)</f>
        <v/>
      </c>
      <c r="S3114">
        <f>IFERROR(O3114/N3114,0)</f>
        <v/>
      </c>
      <c r="T3114">
        <f>IF(C3114,(H3114*N3114*IF(AND(Inputs!$B$38&lt;&gt;"pvp",Inputs!$B$43&gt;0),((Skills!G5*((R3114-1)*IF(Skills!H5&gt;0,INT(Skills!I5/Skills!H5+0.000000001),1)+IF(Skills!H5&gt;0,INT(MIN(Skills!I5,MAX(0,MAX(0,Inputs!$B$43-B3151)-((R3114-1)*(IF(Inputs!$B$38="pvp",15,MAX(0.1,Skills!D5-IF(TRUE=TRUE,1.0,0)))*(1-IF(AND(ArtifactsInput!$M$27,Inputs!$B$4="Chapter Hunt"),CHOOSE(ArtifactsInput!$N$27+1,20,24,28,32,36,40),0)/100)))))/Skills!H5+0.000000001),1)))/Inputs!$B$43),G3114*Q3114)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4">
        <f>IF(C3114,(H3114*N3114*IF(AND(Inputs!$B$38&lt;&gt;"pvp",Inputs!$B$43&gt;0),((Skills!G5*((R3114-1)*IF(Skills!H5&gt;0,INT(Skills!I5/Skills!H5+0.000000001),1)+IF(Skills!H5&gt;0,INT(MIN(Skills!I5,MAX(0,MAX(0,Inputs!$B$43-B3151)-((R3114-1)*(IF(Inputs!$B$38="pvp",15,MAX(0.1,Skills!D5-IF(TRUE=TRUE,1.0,0)))*(1-IF(AND(ArtifactsInput!$M$27,Inputs!$B$4="Chapter Hunt"),CHOOSE(ArtifactsInput!$N$27+1,20,24,28,32,36,40),0)/100)))))/Skills!H5+0.000000001),1)))/Inputs!$B$43),G3114*Q3114))*IF(Inputs!$B$38="pvp",1,(1+(Inputs!$B$21+Skills!Q5+(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5">
      <c r="A3115">
        <f>Skills!A6</f>
        <v/>
      </c>
      <c r="B3115">
        <f>Skills!B6</f>
        <v/>
      </c>
      <c r="C3115">
        <f>Inputs!$B$3&gt;=40</f>
        <v/>
      </c>
      <c r="D3115">
        <f>IF(Skills!C6=1,60+Inputs!$B$25+Inputs!$B$29,IF(Skills!C6=2,90+Inputs!$B$26+Inputs!$B$29,IF(Skills!C6=3,120+Inputs!$B$27+Inputs!$B$29,MAX(0,(Inputs!$B$3-100)*3)+Inputs!$B$28+Inputs!$B$29)))</f>
        <v/>
      </c>
      <c r="E3115">
        <f>INDEX(FactorTable!$B$2:$Y$301, MATCH(ROUND(MIN(300,MAX(1,D3115)),0), FactorTable!$A$2:$A$301,0), Skills!M6+1)</f>
        <v/>
      </c>
      <c r="F3115">
        <f>IF(Skills!N6=TRUE,(Skills!L6/10)*(E3115/1000),Skills!L6/10)+Skills!O6</f>
        <v/>
      </c>
      <c r="G3115">
        <f>Skills!G6*IF(Skills!H6&gt;0,INT(IF(Inputs!$B$38="pvp",MIN(Skills!I6,15),Skills!I6)/Skills!H6+0.000000001),1)</f>
        <v/>
      </c>
      <c r="H3115">
        <f>1-(1-Skills!J6/100)^Skills!K6</f>
        <v/>
      </c>
      <c r="I3115" t="inlineStr">
        <is>
          <t>1</t>
        </is>
      </c>
      <c r="J3115">
        <f>((Inputs!$B$6*(1+Inputs!$B$7/100))+(((Inputs!$B$12*(1+Inputs!$B$13/100))-(Inputs!$B$12*(1+Inputs!$B$13/100)))+0.25*(Inputs!$B$14-Inputs!$B$14))*(1+Inputs!$B$7/100))*(F3115/100)</f>
        <v/>
      </c>
      <c r="K3115">
        <f>J3115*(1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3116=TRUE,F3116,0)/100)*(1+(IF(Skills!A6="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3115)</f>
        <v/>
      </c>
      <c r="L3115">
        <f>K3115*(MIN(Inputs!$B$22+((C3135=TRUE)*(F3135-Calc!F26)),(Inputs!$B$23+((C3140=TRUE)*(F3140-Calc!F31))+(IF(ArtifactsInput!$M$15,CHOOSE(ArtifactsInput!$N$15+1,25,30,35,40,45,50)/100*(Inputs!$B$11-Inputs!$B$11),0))))/100+(Inputs!$B$23+((C3140=TRUE)*(F3140-Calc!F31))+(IF(ArtifactsInput!$M$15,CHOOSE(ArtifactsInput!$N$15+1,25,30,35,40,45,50)/100*(Inputs!$B$11-Inputs!$B$11),0)))/100)/2</f>
        <v/>
      </c>
      <c r="M3115">
        <f>L3115*(1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5">
        <f>L3115*(1-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3115*(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5">
        <f>(1-Summary!$B$11)*T3115+Summary!$B$11*V3115</f>
        <v/>
      </c>
      <c r="P3115">
        <f>IF(B3154=0,0,O3115/B3154)</f>
        <v/>
      </c>
      <c r="Q3115">
        <f>IFERROR(1/(IF(Inputs!$B$38="pvp",15,MAX(0.1,1-0.4*MIN(1,(B3146-1)/1.5)-IF(FALSE=TRUE,1.0,0)))*(1-IF(AND(ArtifactsInput!$M$27,Inputs!$B$4="Chapter Hunt"),CHOOSE(ArtifactsInput!$N$27+1,20,24,28,32,36,40),0)/100)),0)</f>
        <v/>
      </c>
      <c r="R3115">
        <f>IF(AND(Inputs!$B$38&lt;&gt;"pvp",Inputs!$B$43&gt;0),IF(MAX(0,Inputs!$B$43-B3151)&lt;=0,0,(INT(MAX(0,Inputs!$B$43-B3151)/(IF(Inputs!$B$38="pvp",15,MAX(0.1,1-0.4*MIN(1,(B3146-1)/1.5)-IF(FALSE=TRUE,1.0,0)))*(1-IF(AND(ArtifactsInput!$M$27,Inputs!$B$4="Chapter Hunt"),CHOOSE(ArtifactsInput!$N$27+1,20,24,28,32,36,40),0)/100)))+1)),0)</f>
        <v/>
      </c>
      <c r="S3115">
        <f>IFERROR(O3115/N3115,0)</f>
        <v/>
      </c>
      <c r="T3115">
        <f>IF(C3115,(H3115*N3115*IF(AND(Inputs!$B$38&lt;&gt;"pvp",Inputs!$B$43&gt;0),((Skills!G6*((R3115-1)*IF(Skills!H6&gt;0,INT(Skills!I6/Skills!H6+0.000000001),1)+IF(Skills!H6&gt;0,INT(MIN(Skills!I6,MAX(0,MAX(0,Inputs!$B$43-B3151)-((R3115-1)*(IF(Inputs!$B$38="pvp",15,MAX(0.1,1-0.4*MIN(1,(B3146-1)/1.5)-IF(FALSE=TRUE,1.0,0)))*(1-IF(AND(ArtifactsInput!$M$27,Inputs!$B$4="Chapter Hunt"),CHOOSE(ArtifactsInput!$N$27+1,20,24,28,32,36,40),0)/100)))))/Skills!H6+0.000000001),1)))/Inputs!$B$43),G3115*Q3115)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5">
        <f>IF(C3115,(H3115*N3115*IF(AND(Inputs!$B$38&lt;&gt;"pvp",Inputs!$B$43&gt;0),((Skills!G6*((R3115-1)*IF(Skills!H6&gt;0,INT(Skills!I6/Skills!H6+0.000000001),1)+IF(Skills!H6&gt;0,INT(MIN(Skills!I6,MAX(0,MAX(0,Inputs!$B$43-B3151)-((R3115-1)*(IF(Inputs!$B$38="pvp",15,MAX(0.1,1-0.4*MIN(1,(B3146-1)/1.5)-IF(FALSE=TRUE,1.0,0)))*(1-IF(AND(ArtifactsInput!$M$27,Inputs!$B$4="Chapter Hunt"),CHOOSE(ArtifactsInput!$N$27+1,20,24,28,32,36,40),0)/100)))))/Skills!H6+0.000000001),1)))/Inputs!$B$43),G3115*Q3115))*IF(Inputs!$B$38="pvp",1,(1+(Inputs!$B$21+Skills!Q6+(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6">
      <c r="A3116">
        <f>Skills!A7</f>
        <v/>
      </c>
      <c r="B3116">
        <f>Skills!B7</f>
        <v/>
      </c>
      <c r="C3116">
        <f>Inputs!$B$3&gt;=107</f>
        <v/>
      </c>
      <c r="D3116">
        <f>IF(Skills!C7=1,60+Inputs!$B$25+Inputs!$B$29,IF(Skills!C7=2,90+Inputs!$B$26+Inputs!$B$29,IF(Skills!C7=3,120+Inputs!$B$27+Inputs!$B$29,MAX(0,(Inputs!$B$3-100)*3)+Inputs!$B$28+Inputs!$B$29)))</f>
        <v/>
      </c>
      <c r="E3116">
        <f>INDEX(FactorTable!$B$2:$Y$301, MATCH(ROUND(MIN(300,MAX(1,D3116)),0), FactorTable!$A$2:$A$301,0), Skills!M7+1)</f>
        <v/>
      </c>
      <c r="F3116">
        <f>IF(Skills!N7=TRUE,(Skills!L7/10)*(E3116/1000),Skills!L7/10)+Skills!O7</f>
        <v/>
      </c>
      <c r="G3116" t="inlineStr"/>
      <c r="H3116" t="inlineStr"/>
      <c r="I3116" t="inlineStr">
        <is>
          <t>1</t>
        </is>
      </c>
      <c r="J3116" t="inlineStr"/>
      <c r="K3116" t="inlineStr"/>
      <c r="L3116" t="inlineStr"/>
      <c r="M3116" t="inlineStr"/>
      <c r="N3116" t="inlineStr"/>
      <c r="O3116" t="inlineStr"/>
      <c r="P3116" t="inlineStr"/>
      <c r="Q3116" t="inlineStr"/>
      <c r="R3116" t="inlineStr"/>
      <c r="S3116" t="inlineStr"/>
      <c r="T3116" t="inlineStr"/>
      <c r="V3116" t="inlineStr"/>
    </row>
    <row r="3117">
      <c r="A3117">
        <f>Skills!A8</f>
        <v/>
      </c>
      <c r="B3117">
        <f>Skills!B8</f>
        <v/>
      </c>
      <c r="C3117">
        <f>Inputs!$B$3&gt;=130</f>
        <v/>
      </c>
      <c r="D3117">
        <f>IF(Skills!C8=1,60+Inputs!$B$25+Inputs!$B$29,IF(Skills!C8=2,90+Inputs!$B$26+Inputs!$B$29,IF(Skills!C8=3,120+Inputs!$B$27+Inputs!$B$29,MAX(0,(Inputs!$B$3-100)*3)+Inputs!$B$28+Inputs!$B$29)))</f>
        <v/>
      </c>
      <c r="E3117">
        <f>INDEX(FactorTable!$B$2:$Y$301, MATCH(ROUND(MIN(300,MAX(1,D3117)),0), FactorTable!$A$2:$A$301,0), Skills!M8+1)</f>
        <v/>
      </c>
      <c r="F3117">
        <f>IF(Skills!N8=TRUE,(Skills!L8/10)*(E3117/1000),Skills!L8/10)+Skills!O8</f>
        <v/>
      </c>
      <c r="G3117">
        <f>Skills!G8*IF(Skills!H8&gt;0,INT(IF(Inputs!$B$38="pvp",MIN(Skills!I8,15),Skills!I8)/Skills!H8+0.000000001),1)</f>
        <v/>
      </c>
      <c r="H3117">
        <f>1-(1-Skills!J8/100)^Skills!K8</f>
        <v/>
      </c>
      <c r="I3117" t="inlineStr">
        <is>
          <t>1</t>
        </is>
      </c>
      <c r="J3117">
        <f>((Inputs!$B$6*(1+Inputs!$B$7/100))+(((Inputs!$B$12*(1+Inputs!$B$13/100))-(Inputs!$B$12*(1+Inputs!$B$13/100)))+0.25*(Inputs!$B$14-Inputs!$B$14))*(1+Inputs!$B$7/100))*(F3117/100)</f>
        <v/>
      </c>
      <c r="K3117">
        <f>J3117*(1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3117)</f>
        <v/>
      </c>
      <c r="L3117">
        <f>K3117*(MIN(Inputs!$B$22+((C3135=TRUE)*(F3135-Calc!F26)),(Inputs!$B$23+((C3140=TRUE)*(F3140-Calc!F31))+(IF(ArtifactsInput!$M$15,CHOOSE(ArtifactsInput!$N$15+1,25,30,35,40,45,50)/100*(Inputs!$B$11-Inputs!$B$11),0))))/100+(Inputs!$B$23+((C3140=TRUE)*(F3140-Calc!F31))+(IF(ArtifactsInput!$M$15,CHOOSE(ArtifactsInput!$N$15+1,25,30,35,40,45,50)/100*(Inputs!$B$11-Inputs!$B$11),0)))/100)/2</f>
        <v/>
      </c>
      <c r="M3117">
        <f>L3117*(1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7">
        <f>L3117*(1-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3117*(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7">
        <f>(1-Summary!$B$11)*T3117+Summary!$B$11*V3117</f>
        <v/>
      </c>
      <c r="P3117">
        <f>IF(B3154=0,0,O3117/B3154)</f>
        <v/>
      </c>
      <c r="Q3117">
        <f>IFERROR(1/(IF(Inputs!$B$38="pvp",15,MAX(0.1,1-0.4*MIN(1,(B3146-1)/1.5)-IF(FALSE=TRUE,1.0,0)))*(1-IF(AND(ArtifactsInput!$M$27,Inputs!$B$4="Chapter Hunt"),CHOOSE(ArtifactsInput!$N$27+1,20,24,28,32,36,40),0)/100)),0)</f>
        <v/>
      </c>
      <c r="R3117">
        <f>IF(AND(Inputs!$B$38&lt;&gt;"pvp",Inputs!$B$43&gt;0),IF(MAX(0,Inputs!$B$43-B3151)&lt;=0,0,(INT(MAX(0,Inputs!$B$43-B3151)/(IF(Inputs!$B$38="pvp",15,MAX(0.1,1-0.4*MIN(1,(B3146-1)/1.5)-IF(FALSE=TRUE,1.0,0)))*(1-IF(AND(ArtifactsInput!$M$27,Inputs!$B$4="Chapter Hunt"),CHOOSE(ArtifactsInput!$N$27+1,20,24,28,32,36,40),0)/100)))+1)),0)</f>
        <v/>
      </c>
      <c r="S3117">
        <f>IFERROR(O3117/N3117,0)</f>
        <v/>
      </c>
      <c r="T3117">
        <f>IF(C3117,(H3117*N3117*IF(AND(Inputs!$B$38&lt;&gt;"pvp",Inputs!$B$43&gt;0),((Skills!G8*((R3117-1)*IF(Skills!H8&gt;0,INT(Skills!I8/Skills!H8+0.000000001),1)+IF(Skills!H8&gt;0,INT(MIN(Skills!I8,MAX(0,MAX(0,Inputs!$B$43-B3151)-((R3117-1)*(IF(Inputs!$B$38="pvp",15,MAX(0.1,1-0.4*MIN(1,(B3146-1)/1.5)-IF(FALSE=TRUE,1.0,0)))*(1-IF(AND(ArtifactsInput!$M$27,Inputs!$B$4="Chapter Hunt"),CHOOSE(ArtifactsInput!$N$27+1,20,24,28,32,36,40),0)/100)))))/Skills!H8+0.000000001),1)))/Inputs!$B$43),G3117*Q3117)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7">
        <f>IF(C3117,(H3117*N3117*IF(AND(Inputs!$B$38&lt;&gt;"pvp",Inputs!$B$43&gt;0),((Skills!G8*((R3117-1)*IF(Skills!H8&gt;0,INT(Skills!I8/Skills!H8+0.000000001),1)+IF(Skills!H8&gt;0,INT(MIN(Skills!I8,MAX(0,MAX(0,Inputs!$B$43-B3151)-((R3117-1)*(IF(Inputs!$B$38="pvp",15,MAX(0.1,1-0.4*MIN(1,(B3146-1)/1.5)-IF(FALSE=TRUE,1.0,0)))*(1-IF(AND(ArtifactsInput!$M$27,Inputs!$B$4="Chapter Hunt"),CHOOSE(ArtifactsInput!$N$27+1,20,24,28,32,36,40),0)/100)))))/Skills!H8+0.000000001),1)))/Inputs!$B$43),G3117*Q3117))*IF(Inputs!$B$38="pvp",1,(1+(Inputs!$B$21+Skills!Q8+(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8">
      <c r="A3118">
        <f>Skills!A9</f>
        <v/>
      </c>
      <c r="B3118">
        <f>Skills!B9</f>
        <v/>
      </c>
      <c r="C3118">
        <f>Inputs!$B$3&gt;=69</f>
        <v/>
      </c>
      <c r="D3118">
        <f>IF(Skills!C9=1,60+Inputs!$B$25+Inputs!$B$29,IF(Skills!C9=2,90+Inputs!$B$26+Inputs!$B$29,IF(Skills!C9=3,120+Inputs!$B$27+Inputs!$B$29,MAX(0,(Inputs!$B$3-100)*3)+Inputs!$B$28+Inputs!$B$29)))</f>
        <v/>
      </c>
      <c r="E3118">
        <f>INDEX(FactorTable!$B$2:$Y$301, MATCH(ROUND(MIN(300,MAX(1,D3118)),0), FactorTable!$A$2:$A$301,0), Skills!M9+1)</f>
        <v/>
      </c>
      <c r="F3118">
        <f>IF(Skills!N9=TRUE,(Skills!L9/10)*(E3118/1000),Skills!L9/10)+Skills!O9</f>
        <v/>
      </c>
      <c r="G3118">
        <f>Skills!G9*IF(Skills!H9&gt;0,INT(IF(Inputs!$B$38="pvp",MIN(Skills!I9,15),Skills!I9)/Skills!H9+0.000000001),1)</f>
        <v/>
      </c>
      <c r="H3118">
        <f>1-(1-Skills!J9/100)^Skills!K9</f>
        <v/>
      </c>
      <c r="I3118" t="inlineStr">
        <is>
          <t>1</t>
        </is>
      </c>
      <c r="J3118">
        <f>((Inputs!$B$6*(1+Inputs!$B$7/100))+(((Inputs!$B$12*(1+Inputs!$B$13/100))-(Inputs!$B$12*(1+Inputs!$B$13/100)))+0.25*(Inputs!$B$14-Inputs!$B$14))*(1+Inputs!$B$7/100))*(F3118/100)</f>
        <v/>
      </c>
      <c r="K3118">
        <f>J3118*(1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3121=TRUE,F3121,0)/100)*(1+(IF(Skills!A9="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3118)</f>
        <v/>
      </c>
      <c r="L3118">
        <f>K3118*(MIN(Inputs!$B$22+((C3135=TRUE)*(F3135-Calc!F26)),(Inputs!$B$23+((C3140=TRUE)*(F3140-Calc!F31))+(IF(ArtifactsInput!$M$15,CHOOSE(ArtifactsInput!$N$15+1,25,30,35,40,45,50)/100*(Inputs!$B$11-Inputs!$B$11),0))))/100+(Inputs!$B$23+((C3140=TRUE)*(F3140-Calc!F31))+(IF(ArtifactsInput!$M$15,CHOOSE(ArtifactsInput!$N$15+1,25,30,35,40,45,50)/100*(Inputs!$B$11-Inputs!$B$11),0)))/100)/2</f>
        <v/>
      </c>
      <c r="M3118">
        <f>L3118*(1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8">
        <f>L3118*(1-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3118*(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8">
        <f>(1-Summary!$B$11)*T3118+Summary!$B$11*V3118</f>
        <v/>
      </c>
      <c r="P3118">
        <f>IF(B3154=0,0,O3118/B3154)</f>
        <v/>
      </c>
      <c r="Q3118">
        <f>IFERROR(1/(IF(Inputs!$B$38="pvp",15,MAX(0.1,Skills!D9-IF(TRUE=TRUE,1.0,0)))*(1-IF(AND(ArtifactsInput!$M$27,Inputs!$B$4="Chapter Hunt"),CHOOSE(ArtifactsInput!$N$27+1,20,24,28,32,36,40),0)/100)),0)</f>
        <v/>
      </c>
      <c r="R3118">
        <f>IF(AND(Inputs!$B$38&lt;&gt;"pvp",Inputs!$B$43&gt;0),IF(MAX(0,Inputs!$B$43-B3151)&lt;=0,0,(INT(MAX(0,Inputs!$B$43-B3151)/(IF(Inputs!$B$38="pvp",15,MAX(0.1,Skills!D9-IF(TRUE=TRUE,1.0,0)))*(1-IF(AND(ArtifactsInput!$M$27,Inputs!$B$4="Chapter Hunt"),CHOOSE(ArtifactsInput!$N$27+1,20,24,28,32,36,40),0)/100)))+1)),0)</f>
        <v/>
      </c>
      <c r="S3118">
        <f>IFERROR(O3118/N3118,0)</f>
        <v/>
      </c>
      <c r="T3118">
        <f>IF(C3118,(H3118*N3118*IF(AND(Inputs!$B$38&lt;&gt;"pvp",Inputs!$B$43&gt;0),((Skills!G9*((R3118-1)*IF(Skills!H9&gt;0,INT(Skills!I9/Skills!H9+0.000000001),1)+IF(Skills!H9&gt;0,INT(MIN(Skills!I9,MAX(0,MAX(0,Inputs!$B$43-B3151)-((R3118-1)*(IF(Inputs!$B$38="pvp",15,MAX(0.1,Skills!D9-IF(TRUE=TRUE,1.0,0)))*(1-IF(AND(ArtifactsInput!$M$27,Inputs!$B$4="Chapter Hunt"),CHOOSE(ArtifactsInput!$N$27+1,20,24,28,32,36,40),0)/100)))))/Skills!H9+0.000000001),1)))/Inputs!$B$43),G3118*Q3118)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8">
        <f>IF(C3118,(H3118*N3118*IF(AND(Inputs!$B$38&lt;&gt;"pvp",Inputs!$B$43&gt;0),((Skills!G9*((R3118-1)*IF(Skills!H9&gt;0,INT(Skills!I9/Skills!H9+0.000000001),1)+IF(Skills!H9&gt;0,INT(MIN(Skills!I9,MAX(0,MAX(0,Inputs!$B$43-B3151)-((R3118-1)*(IF(Inputs!$B$38="pvp",15,MAX(0.1,Skills!D9-IF(TRUE=TRUE,1.0,0)))*(1-IF(AND(ArtifactsInput!$M$27,Inputs!$B$4="Chapter Hunt"),CHOOSE(ArtifactsInput!$N$27+1,20,24,28,32,36,40),0)/100)))))/Skills!H9+0.000000001),1)))/Inputs!$B$43),G3118*Q3118))*IF(Inputs!$B$38="pvp",1,(1+(Inputs!$B$21+Skills!Q9+(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9">
      <c r="A3119">
        <f>Skills!A10</f>
        <v/>
      </c>
      <c r="B3119">
        <f>Skills!B10</f>
        <v/>
      </c>
      <c r="C3119">
        <f>Inputs!$B$3&gt;=63</f>
        <v/>
      </c>
      <c r="D3119">
        <f>IF(Skills!C10=1,60+Inputs!$B$25+Inputs!$B$29,IF(Skills!C10=2,90+Inputs!$B$26+Inputs!$B$29,IF(Skills!C10=3,120+Inputs!$B$27+Inputs!$B$29,MAX(0,(Inputs!$B$3-100)*3)+Inputs!$B$28+Inputs!$B$29)))</f>
        <v/>
      </c>
      <c r="E3119">
        <f>INDEX(FactorTable!$B$2:$Y$301, MATCH(ROUND(MIN(300,MAX(1,D3119)),0), FactorTable!$A$2:$A$301,0), Skills!M10+1)</f>
        <v/>
      </c>
      <c r="F3119">
        <f>IF(Skills!N10=TRUE,(Skills!L10/10)*(E3119/1000),Skills!L10/10)+Skills!O10</f>
        <v/>
      </c>
      <c r="G3119">
        <f>Skills!G10*IF(Skills!H10&gt;0,INT(IF(Inputs!$B$38="pvp",MIN(Skills!I10,15),Skills!I10)/Skills!H10+0.000000001),1)</f>
        <v/>
      </c>
      <c r="H3119">
        <f>1-(1-Skills!J10/100)^Skills!K10</f>
        <v/>
      </c>
      <c r="I3119" t="inlineStr">
        <is>
          <t>1</t>
        </is>
      </c>
      <c r="J3119">
        <f>((Inputs!$B$6*(1+Inputs!$B$7/100))+(((Inputs!$B$12*(1+Inputs!$B$13/100))-(Inputs!$B$12*(1+Inputs!$B$13/100)))+0.25*(Inputs!$B$14-Inputs!$B$14))*(1+Inputs!$B$7/100))*(F3119/100)</f>
        <v/>
      </c>
      <c r="K3119">
        <f>J3119*(1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3121=TRUE,F3121,0)/100)*(1+(IF(Skills!A10="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3119)</f>
        <v/>
      </c>
      <c r="L3119">
        <f>K3119*(MIN(Inputs!$B$22+((C3135=TRUE)*(F3135-Calc!F26)),(Inputs!$B$23+((C3140=TRUE)*(F3140-Calc!F31))+(IF(ArtifactsInput!$M$15,CHOOSE(ArtifactsInput!$N$15+1,25,30,35,40,45,50)/100*(Inputs!$B$11-Inputs!$B$11),0))))/100+(Inputs!$B$23+((C3140=TRUE)*(F3140-Calc!F31))+(IF(ArtifactsInput!$M$15,CHOOSE(ArtifactsInput!$N$15+1,25,30,35,40,45,50)/100*(Inputs!$B$11-Inputs!$B$11),0)))/100)/2</f>
        <v/>
      </c>
      <c r="M3119">
        <f>L3119*(1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9">
        <f>L3119*(1-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3119*(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9">
        <f>(1-Summary!$B$11)*T3119+Summary!$B$11*V3119</f>
        <v/>
      </c>
      <c r="P3119">
        <f>IF(B3154=0,0,O3119/B3154)</f>
        <v/>
      </c>
      <c r="Q3119">
        <f>IFERROR(1/(IF(Inputs!$B$38="pvp",15,MAX(0.1,Skills!D10-IF(TRUE=TRUE,1.0,0)))*(1-IF(AND(ArtifactsInput!$M$27,Inputs!$B$4="Chapter Hunt"),CHOOSE(ArtifactsInput!$N$27+1,20,24,28,32,36,40),0)/100)),0)</f>
        <v/>
      </c>
      <c r="R3119">
        <f>IF(AND(Inputs!$B$38&lt;&gt;"pvp",Inputs!$B$43&gt;0),IF(MAX(0,Inputs!$B$43-B3151)&lt;=0,0,(INT(MAX(0,Inputs!$B$43-B3151)/(IF(Inputs!$B$38="pvp",15,MAX(0.1,Skills!D10-IF(TRUE=TRUE,1.0,0)))*(1-IF(AND(ArtifactsInput!$M$27,Inputs!$B$4="Chapter Hunt"),CHOOSE(ArtifactsInput!$N$27+1,20,24,28,32,36,40),0)/100)))+1)),0)</f>
        <v/>
      </c>
      <c r="S3119">
        <f>IFERROR(O3119/N3119,0)</f>
        <v/>
      </c>
      <c r="T3119">
        <f>IF(C3119,(H3119*N3119*IF(AND(Inputs!$B$38&lt;&gt;"pvp",Inputs!$B$43&gt;0),((Skills!G10*((R3119-1)*IF(Skills!H10&gt;0,INT(Skills!I10/Skills!H10+0.000000001),1)+IF(Skills!H10&gt;0,INT(MIN(Skills!I10,MAX(0,MAX(0,Inputs!$B$43-B3151)-((R3119-1)*(IF(Inputs!$B$38="pvp",15,MAX(0.1,Skills!D10-IF(TRUE=TRUE,1.0,0)))*(1-IF(AND(ArtifactsInput!$M$27,Inputs!$B$4="Chapter Hunt"),CHOOSE(ArtifactsInput!$N$27+1,20,24,28,32,36,40),0)/100)))))/Skills!H10+0.000000001),1)))/Inputs!$B$43),G3119*Q3119)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9">
        <f>IF(C3119,(H3119*N3119*IF(AND(Inputs!$B$38&lt;&gt;"pvp",Inputs!$B$43&gt;0),((Skills!G10*((R3119-1)*IF(Skills!H10&gt;0,INT(Skills!I10/Skills!H10+0.000000001),1)+IF(Skills!H10&gt;0,INT(MIN(Skills!I10,MAX(0,MAX(0,Inputs!$B$43-B3151)-((R3119-1)*(IF(Inputs!$B$38="pvp",15,MAX(0.1,Skills!D10-IF(TRUE=TRUE,1.0,0)))*(1-IF(AND(ArtifactsInput!$M$27,Inputs!$B$4="Chapter Hunt"),CHOOSE(ArtifactsInput!$N$27+1,20,24,28,32,36,40),0)/100)))))/Skills!H10+0.000000001),1)))/Inputs!$B$43),G3119*Q3119))*IF(Inputs!$B$38="pvp",1,(1+(Inputs!$B$21+Skills!Q10+(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0">
      <c r="A3120">
        <f>Skills!A11</f>
        <v/>
      </c>
      <c r="B3120">
        <f>Skills!B11</f>
        <v/>
      </c>
      <c r="C3120">
        <f>Inputs!$B$3&gt;=103</f>
        <v/>
      </c>
      <c r="D3120">
        <f>IF(Skills!C11=1,60+Inputs!$B$25+Inputs!$B$29,IF(Skills!C11=2,90+Inputs!$B$26+Inputs!$B$29,IF(Skills!C11=3,120+Inputs!$B$27+Inputs!$B$29,MAX(0,(Inputs!$B$3-100)*3)+Inputs!$B$28+Inputs!$B$29)))</f>
        <v/>
      </c>
      <c r="E3120">
        <f>INDEX(FactorTable!$B$2:$Y$301, MATCH(ROUND(MIN(300,MAX(1,D3120)),0), FactorTable!$A$2:$A$301,0), Skills!M11+1)</f>
        <v/>
      </c>
      <c r="F3120">
        <f>IF(Skills!N11=TRUE,(Skills!L11/10)*(E3120/1000),Skills!L11/10)+Skills!O11</f>
        <v/>
      </c>
      <c r="G3120">
        <f>Skills!G11*IF(Skills!H11&gt;0,INT(IF(Inputs!$B$38="pvp",MIN(Skills!I11,15),Skills!I11)/Skills!H11+0.000000001),1)</f>
        <v/>
      </c>
      <c r="H3120">
        <f>1-(1-Skills!J11/100)^Skills!K11</f>
        <v/>
      </c>
      <c r="I3120" t="inlineStr">
        <is>
          <t>1</t>
        </is>
      </c>
      <c r="J3120">
        <f>((Inputs!$B$6*(1+Inputs!$B$7/100))+(((Inputs!$B$12*(1+Inputs!$B$13/100))-(Inputs!$B$12*(1+Inputs!$B$13/100)))+0.25*(Inputs!$B$14-Inputs!$B$14))*(1+Inputs!$B$7/100))*(F3120/100)</f>
        <v/>
      </c>
      <c r="K3120">
        <f>J3120*(1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3120)</f>
        <v/>
      </c>
      <c r="L3120">
        <f>K3120*(MIN(Inputs!$B$22+((C3135=TRUE)*(F3135-Calc!F26)),(Inputs!$B$23+((C3140=TRUE)*(F3140-Calc!F31))+(IF(ArtifactsInput!$M$15,CHOOSE(ArtifactsInput!$N$15+1,25,30,35,40,45,50)/100*(Inputs!$B$11-Inputs!$B$11),0))))/100+(Inputs!$B$23+((C3140=TRUE)*(F3140-Calc!F31))+(IF(ArtifactsInput!$M$15,CHOOSE(ArtifactsInput!$N$15+1,25,30,35,40,45,50)/100*(Inputs!$B$11-Inputs!$B$11),0)))/100)/2</f>
        <v/>
      </c>
      <c r="M3120">
        <f>L3120*(1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0">
        <f>L3120*(1-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3120*(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0">
        <f>(1-Summary!$B$11)*T3120+Summary!$B$11*V3120</f>
        <v/>
      </c>
      <c r="P3120">
        <f>IF(B3154=0,0,O3120/B3154)</f>
        <v/>
      </c>
      <c r="Q3120">
        <f>IFERROR(1/(IF(Inputs!$B$38="pvp",15,MAX(0.1,Skills!D11-IF(TRUE=TRUE,1.0,0)))*(1-IF(AND(ArtifactsInput!$M$27,Inputs!$B$4="Chapter Hunt"),CHOOSE(ArtifactsInput!$N$27+1,20,24,28,32,36,40),0)/100)),0)</f>
        <v/>
      </c>
      <c r="R3120">
        <f>IF(AND(Inputs!$B$38&lt;&gt;"pvp",Inputs!$B$43&gt;0),IF(MAX(0,Inputs!$B$43-B3151)&lt;=0,0,(INT(MAX(0,Inputs!$B$43-B3151)/(IF(Inputs!$B$38="pvp",15,MAX(0.1,Skills!D11-IF(TRUE=TRUE,1.0,0)))*(1-IF(AND(ArtifactsInput!$M$27,Inputs!$B$4="Chapter Hunt"),CHOOSE(ArtifactsInput!$N$27+1,20,24,28,32,36,40),0)/100)))+1)),0)</f>
        <v/>
      </c>
      <c r="S3120">
        <f>IFERROR(O3120/N3120,0)</f>
        <v/>
      </c>
      <c r="T3120">
        <f>IF(C3120,(H3120*N3120*IF(AND(Inputs!$B$38&lt;&gt;"pvp",Inputs!$B$43&gt;0),((Skills!G11*((R3120-1)*IF(Skills!H11&gt;0,INT(Skills!I11/Skills!H11+0.000000001),1)+IF(Skills!H11&gt;0,INT(MIN(Skills!I11,MAX(0,MAX(0,Inputs!$B$43-B3151)-((R3120-1)*(IF(Inputs!$B$38="pvp",15,MAX(0.1,Skills!D11-IF(TRUE=TRUE,1.0,0)))*(1-IF(AND(ArtifactsInput!$M$27,Inputs!$B$4="Chapter Hunt"),CHOOSE(ArtifactsInput!$N$27+1,20,24,28,32,36,40),0)/100)))))/Skills!H11+0.000000001),1)))/Inputs!$B$43),G3120*Q3120)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0">
        <f>IF(C3120,(H3120*N3120*IF(AND(Inputs!$B$38&lt;&gt;"pvp",Inputs!$B$43&gt;0),((Skills!G11*((R3120-1)*IF(Skills!H11&gt;0,INT(Skills!I11/Skills!H11+0.000000001),1)+IF(Skills!H11&gt;0,INT(MIN(Skills!I11,MAX(0,MAX(0,Inputs!$B$43-B3151)-((R3120-1)*(IF(Inputs!$B$38="pvp",15,MAX(0.1,Skills!D11-IF(TRUE=TRUE,1.0,0)))*(1-IF(AND(ArtifactsInput!$M$27,Inputs!$B$4="Chapter Hunt"),CHOOSE(ArtifactsInput!$N$27+1,20,24,28,32,36,40),0)/100)))))/Skills!H11+0.000000001),1)))/Inputs!$B$43),G3120*Q3120))*IF(Inputs!$B$38="pvp",1,(1+(Inputs!$B$21+Skills!Q11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1">
      <c r="A3121">
        <f>Skills!A12</f>
        <v/>
      </c>
      <c r="B3121">
        <f>Skills!B12</f>
        <v/>
      </c>
      <c r="C3121">
        <f>Inputs!$B$3&gt;=100</f>
        <v/>
      </c>
      <c r="D3121">
        <f>IF(Skills!C12=1,60+Inputs!$B$25+Inputs!$B$29,IF(Skills!C12=2,90+Inputs!$B$26+Inputs!$B$29,IF(Skills!C12=3,120+Inputs!$B$27+Inputs!$B$29,MAX(0,(Inputs!$B$3-100)*3)+Inputs!$B$28+Inputs!$B$29)))</f>
        <v/>
      </c>
      <c r="E3121">
        <f>INDEX(FactorTable!$B$2:$Y$301, MATCH(ROUND(MIN(300,MAX(1,D3121)),0), FactorTable!$A$2:$A$301,0), Skills!M12+1)</f>
        <v/>
      </c>
      <c r="F3121">
        <f>IF(Skills!N12=TRUE,(Skills!L12/10)*(E3121/1000),Skills!L12/10)+Skills!O12</f>
        <v/>
      </c>
      <c r="G3121" t="inlineStr"/>
      <c r="H3121" t="inlineStr"/>
      <c r="I3121" t="inlineStr">
        <is>
          <t>1</t>
        </is>
      </c>
      <c r="J3121" t="inlineStr"/>
      <c r="K3121" t="inlineStr"/>
      <c r="L3121" t="inlineStr"/>
      <c r="M3121" t="inlineStr"/>
      <c r="N3121" t="inlineStr"/>
      <c r="O3121" t="inlineStr"/>
      <c r="P3121" t="inlineStr"/>
      <c r="Q3121" t="inlineStr"/>
      <c r="R3121" t="inlineStr"/>
      <c r="S3121" t="inlineStr"/>
      <c r="T3121" t="inlineStr"/>
      <c r="V3121" t="inlineStr"/>
    </row>
    <row r="3122">
      <c r="A3122">
        <f>Skills!A13</f>
        <v/>
      </c>
      <c r="B3122">
        <f>Skills!B13</f>
        <v/>
      </c>
      <c r="C3122">
        <f>Inputs!$B$3&gt;=60</f>
        <v/>
      </c>
      <c r="D3122">
        <f>IF(Skills!C13=1,60+Inputs!$B$25+Inputs!$B$29,IF(Skills!C13=2,90+Inputs!$B$26+Inputs!$B$29,IF(Skills!C13=3,120+Inputs!$B$27+Inputs!$B$29,MAX(0,(Inputs!$B$3-100)*3)+Inputs!$B$28+Inputs!$B$29)))</f>
        <v/>
      </c>
      <c r="E3122">
        <f>INDEX(FactorTable!$B$2:$Y$301, MATCH(ROUND(MIN(300,MAX(1,D3122)),0), FactorTable!$A$2:$A$301,0), Skills!M13+1)</f>
        <v/>
      </c>
      <c r="F3122">
        <f>IF(Skills!N13=TRUE,(Skills!L13/10)*(E3122/1000),Skills!L13/10)+Skills!O13</f>
        <v/>
      </c>
      <c r="G3122">
        <f>Skills!G13*IF(Skills!H13&gt;0,INT(IF(Inputs!$B$38="pvp",MIN(Skills!I13,15),Skills!I13)/Skills!H13+0.000000001),1)</f>
        <v/>
      </c>
      <c r="H3122">
        <f>1-(1-Skills!J13/100)^Skills!K13</f>
        <v/>
      </c>
      <c r="I3122" t="inlineStr">
        <is>
          <t>1</t>
        </is>
      </c>
      <c r="J3122">
        <f>((Inputs!$B$6*(1+Inputs!$B$7/100))+(((Inputs!$B$12*(1+Inputs!$B$13/100))-(Inputs!$B$12*(1+Inputs!$B$13/100)))+0.25*(Inputs!$B$14-Inputs!$B$14))*(1+Inputs!$B$7/100))*(F3122/100)</f>
        <v/>
      </c>
      <c r="K3122">
        <f>J3122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3123=TRUE,F3123,0)/100)*(1+(IF(Skills!A13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C3135=TRUE)*(F3135-Calc!F26)),(Inputs!$B$23+((C3140=TRUE)*(F3140-Calc!F31))+(IF(ArtifactsInput!$M$15,CHOOSE(ArtifactsInput!$N$15+1,25,30,35,40,45,50)/100*(Inputs!$B$11-Inputs!$B$11),0))))/100+(Inputs!$B$23+((C3140=TRUE)*(F3140-Calc!F31))+(IF(ArtifactsInput!$M$15,CHOOSE(ArtifactsInput!$N$15+1,25,30,35,40,45,50)/100*(Inputs!$B$11-Inputs!$B$11),0)))/100)/2</f>
        <v/>
      </c>
      <c r="M3122">
        <f>L3122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(1-Summary!$B$11)*T3122+Summary!$B$11*V3122</f>
        <v/>
      </c>
      <c r="P3122">
        <f>IF(B3154=0,0,O3122/B3154)</f>
        <v/>
      </c>
      <c r="Q3122">
        <f>IFERROR(1/(IF(Inputs!$B$38="pvp",15,MAX(0.1,IF(Inputs!$B$3&gt;=122,3,5)+1/(((20+30*(B3146-1)*100/150)/100)*B3146)-IF(FALSE=TRUE,1.0,0)))*(1-IF(AND(ArtifactsInput!$M$27,Inputs!$B$4="Chapter Hunt"),CHOOSE(ArtifactsInput!$N$27+1,20,24,28,32,36,40),0)/100)),0)</f>
        <v/>
      </c>
      <c r="R3122">
        <f>IF(AND(Inputs!$B$38&lt;&gt;"pvp",Inputs!$B$43&gt;0),IF(MAX(0,Inputs!$B$43-B3151)&lt;=0,0,(INT(MAX(0,Inputs!$B$43-B3151)/(IF(Inputs!$B$38="pvp",15,MAX(0.1,IF(Inputs!$B$3&gt;=122,3,5)+1/(((20+30*(B3146-1)*100/150)/100)*B3146)-IF(FALSE=TRUE,1.0,0)))*(1-IF(AND(ArtifactsInput!$M$27,Inputs!$B$4="Chapter Hunt"),CHOOSE(ArtifactsInput!$N$27+1,20,24,28,32,36,40),0)/100)))+1)),0)</f>
        <v/>
      </c>
      <c r="S3122">
        <f>IFERROR(O3122/N3122,0)</f>
        <v/>
      </c>
      <c r="T3122">
        <f>IF(C3122,(H3122*N3122*IF(AND(Inputs!$B$38&lt;&gt;"pvp",Inputs!$B$43&gt;0),((Skills!G13*((R3122-1)*IF(Skills!H13&gt;0,INT(Skills!I13/Skills!H13+0.000000001),1)+IF(Skills!H13&gt;0,INT(MIN(Skills!I13,MAX(0,MAX(0,Inputs!$B$43-B3151)-((R3122-1)*(IF(Inputs!$B$38="pvp",15,MAX(0.1,IF(Inputs!$B$3&gt;=122,3,5)+1/(((20+30*(B3146-1)*100/150)/100)*B3146)-IF(FALSE=TRUE,1.0,0)))*(1-IF(AND(ArtifactsInput!$M$27,Inputs!$B$4="Chapter Hunt"),CHOOSE(ArtifactsInput!$N$27+1,20,24,28,32,36,40),0)/100)))))/Skills!H13+0.000000001),1)))/Inputs!$B$43),G3122*Q3122)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2">
        <f>IF(C3122,(H3122*N3122*IF(AND(Inputs!$B$38&lt;&gt;"pvp",Inputs!$B$43&gt;0),((Skills!G13*((R3122-1)*IF(Skills!H13&gt;0,INT(Skills!I13/Skills!H13+0.000000001),1)+IF(Skills!H13&gt;0,INT(MIN(Skills!I13,MAX(0,MAX(0,Inputs!$B$43-B3151)-((R3122-1)*(IF(Inputs!$B$38="pvp",15,MAX(0.1,IF(Inputs!$B$3&gt;=122,3,5)+1/(((20+30*(B3146-1)*100/150)/100)*B3146)-IF(FALSE=TRUE,1.0,0)))*(1-IF(AND(ArtifactsInput!$M$27,Inputs!$B$4="Chapter Hunt"),CHOOSE(ArtifactsInput!$N$27+1,20,24,28,32,36,40),0)/100)))))/Skills!H13+0.000000001),1)))/Inputs!$B$43),G3122*Q3122))*IF(Inputs!$B$38="pvp",1,(1+(Inputs!$B$21+Skills!Q13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3">
      <c r="A3123">
        <f>Skills!A14</f>
        <v/>
      </c>
      <c r="B3123">
        <f>Skills!B14</f>
        <v/>
      </c>
      <c r="C3123">
        <f>Inputs!$B$3&gt;=110</f>
        <v/>
      </c>
      <c r="D3123">
        <f>IF(Skills!C14=1,60+Inputs!$B$25+Inputs!$B$29,IF(Skills!C14=2,90+Inputs!$B$26+Inputs!$B$29,IF(Skills!C14=3,120+Inputs!$B$27+Inputs!$B$29,MAX(0,(Inputs!$B$3-100)*3)+Inputs!$B$28+Inputs!$B$29)))</f>
        <v/>
      </c>
      <c r="E3123">
        <f>INDEX(FactorTable!$B$2:$Y$301, MATCH(ROUND(MIN(300,MAX(1,D3123)),0), FactorTable!$A$2:$A$301,0), Skills!M14+1)</f>
        <v/>
      </c>
      <c r="F3123">
        <f>IF(Skills!N14=TRUE,(Skills!L14/10)*(E3123/1000),Skills!L14/10)+Skills!O14</f>
        <v/>
      </c>
      <c r="G3123" t="inlineStr"/>
      <c r="H3123" t="inlineStr"/>
      <c r="I3123" t="inlineStr">
        <is>
          <t>1</t>
        </is>
      </c>
      <c r="J3123" t="inlineStr"/>
      <c r="K3123" t="inlineStr"/>
      <c r="L3123" t="inlineStr"/>
      <c r="M3123" t="inlineStr"/>
      <c r="N3123" t="inlineStr"/>
      <c r="O3123" t="inlineStr"/>
      <c r="P3123" t="inlineStr"/>
      <c r="Q3123" t="inlineStr"/>
      <c r="R3123" t="inlineStr"/>
      <c r="S3123" t="inlineStr"/>
      <c r="T3123" t="inlineStr"/>
      <c r="V3123" t="inlineStr"/>
    </row>
    <row r="3124">
      <c r="A3124">
        <f>Skills!A15</f>
        <v/>
      </c>
      <c r="B3124">
        <f>Skills!B15</f>
        <v/>
      </c>
      <c r="C3124">
        <f>Inputs!$B$3&gt;=74</f>
        <v/>
      </c>
      <c r="D3124">
        <f>IF(Skills!C15=1,60+Inputs!$B$25+Inputs!$B$29,IF(Skills!C15=2,90+Inputs!$B$26+Inputs!$B$29,IF(Skills!C15=3,120+Inputs!$B$27+Inputs!$B$29,MAX(0,(Inputs!$B$3-100)*3)+Inputs!$B$28+Inputs!$B$29)))</f>
        <v/>
      </c>
      <c r="E3124">
        <f>INDEX(FactorTable!$B$2:$Y$301, MATCH(ROUND(MIN(300,MAX(1,D3124)),0), FactorTable!$A$2:$A$301,0), Skills!M15+1)</f>
        <v/>
      </c>
      <c r="F3124">
        <f>IF(Skills!N15=TRUE,(Skills!L15/10)*(E3124/1000),Skills!L15/10)+Skills!O15</f>
        <v/>
      </c>
      <c r="G3124">
        <f>Skills!G15*IF(Skills!H15&gt;0,INT(IF(Inputs!$B$38="pvp",MIN(Skills!I15,15),Skills!I15)/Skills!H15+0.000000001),1)</f>
        <v/>
      </c>
      <c r="H3124">
        <f>1-(1-Skills!J15/100)^Skills!K15</f>
        <v/>
      </c>
      <c r="I3124" t="inlineStr">
        <is>
          <t>1</t>
        </is>
      </c>
      <c r="J3124" t="inlineStr"/>
      <c r="K3124" t="inlineStr"/>
      <c r="L3124" t="inlineStr"/>
      <c r="M3124" t="inlineStr"/>
      <c r="N3124" t="inlineStr"/>
      <c r="O3124">
        <f>(1-Summary!$B$11)*T3124+Summary!$B$11*V3124</f>
        <v/>
      </c>
      <c r="P3124">
        <f>IF(B3154=0,0,O3124/B3154)</f>
        <v/>
      </c>
      <c r="Q3124" t="n">
        <v>0</v>
      </c>
      <c r="R3124" t="n">
        <v>0</v>
      </c>
      <c r="S3124">
        <f>IFERROR(O3124/N3124,0)</f>
        <v/>
      </c>
      <c r="T3124" t="n">
        <v>0</v>
      </c>
      <c r="V3124" t="n">
        <v>0</v>
      </c>
    </row>
    <row r="3125">
      <c r="A3125">
        <f>Skills!A16</f>
        <v/>
      </c>
      <c r="B3125">
        <f>Skills!B16</f>
        <v/>
      </c>
      <c r="C3125">
        <f>Inputs!$B$3&gt;=74</f>
        <v/>
      </c>
      <c r="D3125">
        <f>IF(Skills!C16=1,60+Inputs!$B$25+Inputs!$B$29,IF(Skills!C16=2,90+Inputs!$B$26+Inputs!$B$29,IF(Skills!C16=3,120+Inputs!$B$27+Inputs!$B$29,MAX(0,(Inputs!$B$3-100)*3)+Inputs!$B$28+Inputs!$B$29)))</f>
        <v/>
      </c>
      <c r="E3125">
        <f>INDEX(FactorTable!$B$2:$Y$301, MATCH(ROUND(MIN(300,MAX(1,D3125)),0), FactorTable!$A$2:$A$301,0), Skills!M16+1)</f>
        <v/>
      </c>
      <c r="F3125">
        <f>IF(Skills!N16=TRUE,(Skills!L16/10)*(E3125/1000),Skills!L16/10)+Skills!O16</f>
        <v/>
      </c>
      <c r="G3125">
        <f>Skills!G16*IF(Skills!H16&gt;0,INT(IF(Inputs!$B$38="pvp",MIN(Skills!I16,15),Skills!I16)/Skills!H16+0.000000001),1)</f>
        <v/>
      </c>
      <c r="H3125">
        <f>1-(1-Skills!J16/100)^Skills!K16</f>
        <v/>
      </c>
      <c r="I3125" t="inlineStr">
        <is>
          <t>1</t>
        </is>
      </c>
      <c r="J3125" t="inlineStr"/>
      <c r="K3125" t="inlineStr"/>
      <c r="L3125" t="inlineStr"/>
      <c r="M3125" t="inlineStr"/>
      <c r="N3125" t="inlineStr"/>
      <c r="O3125">
        <f>(1-Summary!$B$11)*T3125+Summary!$B$11*V3125</f>
        <v/>
      </c>
      <c r="P3125">
        <f>IF(B3154=0,0,O3125/B3154)</f>
        <v/>
      </c>
      <c r="Q3125" t="n">
        <v>0</v>
      </c>
      <c r="R3125" t="n">
        <v>0</v>
      </c>
      <c r="S3125">
        <f>IFERROR(O3125/N3125,0)</f>
        <v/>
      </c>
      <c r="T3125" t="n">
        <v>0</v>
      </c>
      <c r="V3125" t="n">
        <v>0</v>
      </c>
    </row>
    <row r="3126">
      <c r="A3126">
        <f>Skills!A17</f>
        <v/>
      </c>
      <c r="B3126">
        <f>Skills!B17</f>
        <v/>
      </c>
      <c r="C3126">
        <f>Inputs!$B$3&gt;=117</f>
        <v/>
      </c>
      <c r="D3126">
        <f>IF(Skills!C17=1,60+Inputs!$B$25+Inputs!$B$29,IF(Skills!C17=2,90+Inputs!$B$26+Inputs!$B$29,IF(Skills!C17=3,120+Inputs!$B$27+Inputs!$B$29,MAX(0,(Inputs!$B$3-100)*3)+Inputs!$B$28+Inputs!$B$29)))</f>
        <v/>
      </c>
      <c r="E3126">
        <f>INDEX(FactorTable!$B$2:$Y$301, MATCH(ROUND(MIN(300,MAX(1,D3126)),0), FactorTable!$A$2:$A$301,0), Skills!M17+1)</f>
        <v/>
      </c>
      <c r="F3126">
        <f>IF(Skills!N17=TRUE,(Skills!L17/10)*(E3126/1000),Skills!L17/10)+Skills!O17</f>
        <v/>
      </c>
      <c r="G3126">
        <f>Skills!G17*IF(Skills!H17&gt;0,INT(IF(Inputs!$B$38="pvp",MIN(Skills!I17,15),Skills!I17)/Skills!H17+0.000000001),1)</f>
        <v/>
      </c>
      <c r="H3126">
        <f>1-(1-Skills!J17/100)^Skills!K17</f>
        <v/>
      </c>
      <c r="I3126" t="inlineStr">
        <is>
          <t>1</t>
        </is>
      </c>
      <c r="J3126" t="inlineStr"/>
      <c r="K3126" t="inlineStr"/>
      <c r="L3126" t="inlineStr"/>
      <c r="M3126" t="inlineStr"/>
      <c r="N3126" t="inlineStr"/>
      <c r="O3126">
        <f>(1-Summary!$B$11)*T3126+Summary!$B$11*V3126</f>
        <v/>
      </c>
      <c r="P3126">
        <f>IF(B3154=0,0,O3126/B3154)</f>
        <v/>
      </c>
      <c r="Q3126">
        <f>IFERROR(1/(IF(Inputs!$B$38="pvp",15,MAX(0.1,Skills!D17-IF(TRUE=TRUE,1.0,0)))*(1-IF(AND(ArtifactsInput!$M$27,Inputs!$B$4="Chapter Hunt"),CHOOSE(ArtifactsInput!$N$27+1,20,24,28,32,36,40),0)/100)),0)</f>
        <v/>
      </c>
      <c r="R3126">
        <f>IF(AND(Inputs!$B$38&lt;&gt;"pvp",Inputs!$B$43&gt;0),IF(Inputs!$B$43&lt;=0,0,(INT(Inputs!$B$43/(IF(Inputs!$B$38="pvp",15,MAX(0.1,Skills!D17-IF(TRUE=TRUE,1.0,0)))*(1-IF(AND(ArtifactsInput!$M$27,Inputs!$B$4="Chapter Hunt"),CHOOSE(ArtifactsInput!$N$27+1,20,24,28,32,36,40),0)/100)))+1)),0)</f>
        <v/>
      </c>
      <c r="S3126">
        <f>IFERROR(O3126/N3126,0)</f>
        <v/>
      </c>
      <c r="T3126" t="n">
        <v>0</v>
      </c>
      <c r="V3126" t="n">
        <v>0</v>
      </c>
    </row>
    <row r="3127">
      <c r="A3127">
        <f>Skills!A18</f>
        <v/>
      </c>
      <c r="B3127">
        <f>Skills!B18</f>
        <v/>
      </c>
      <c r="C3127">
        <f>Inputs!$B$3&gt;=115</f>
        <v/>
      </c>
      <c r="D3127">
        <f>IF(Skills!C18=1,60+Inputs!$B$25+Inputs!$B$29,IF(Skills!C18=2,90+Inputs!$B$26+Inputs!$B$29,IF(Skills!C18=3,120+Inputs!$B$27+Inputs!$B$29,MAX(0,(Inputs!$B$3-100)*3)+Inputs!$B$28+Inputs!$B$29)))</f>
        <v/>
      </c>
      <c r="E3127">
        <f>INDEX(FactorTable!$B$2:$Y$301, MATCH(ROUND(MIN(300,MAX(1,D3127)),0), FactorTable!$A$2:$A$301,0), Skills!M18+1)</f>
        <v/>
      </c>
      <c r="F3127">
        <f>IF(Skills!N18=TRUE,(Skills!L18/10)*(E3127/1000),Skills!L18/10)+Skills!O18</f>
        <v/>
      </c>
      <c r="G3127">
        <f>Skills!G18*IF(Skills!H18&gt;0,INT(IF(Inputs!$B$38="pvp",MIN(Skills!I18,15),Skills!I18)/Skills!H18+0.000000001),1)</f>
        <v/>
      </c>
      <c r="H3127">
        <f>1-(1-Skills!J18/100)^Skills!K18</f>
        <v/>
      </c>
      <c r="I3127" t="inlineStr">
        <is>
          <t>1</t>
        </is>
      </c>
      <c r="J3127" t="inlineStr"/>
      <c r="K3127" t="inlineStr"/>
      <c r="L3127" t="inlineStr"/>
      <c r="M3127" t="inlineStr"/>
      <c r="N3127" t="inlineStr"/>
      <c r="O3127">
        <f>(1-Summary!$B$11)*T3127+Summary!$B$11*V3127</f>
        <v/>
      </c>
      <c r="P3127">
        <f>IF(B3154=0,0,O3127/B3154)</f>
        <v/>
      </c>
      <c r="Q3127">
        <f>IFERROR(1/(IF(Inputs!$B$38="pvp",15,MAX(0.1,Skills!D18-IF(TRUE=TRUE,1.0,0)))*(1-IF(AND(ArtifactsInput!$M$27,Inputs!$B$4="Chapter Hunt"),CHOOSE(ArtifactsInput!$N$27+1,20,24,28,32,36,40),0)/100)),0)</f>
        <v/>
      </c>
      <c r="R3127">
        <f>IF(AND(Inputs!$B$38&lt;&gt;"pvp",Inputs!$B$43&gt;0),IF(Inputs!$B$43&lt;=0,0,(INT(Inputs!$B$43/(IF(Inputs!$B$38="pvp",15,MAX(0.1,Skills!D18-IF(TRUE=TRUE,1.0,0)))*(1-IF(AND(ArtifactsInput!$M$27,Inputs!$B$4="Chapter Hunt"),CHOOSE(ArtifactsInput!$N$27+1,20,24,28,32,36,40),0)/100)))+1)),0)</f>
        <v/>
      </c>
      <c r="S3127">
        <f>IFERROR(O3127/N3127,0)</f>
        <v/>
      </c>
      <c r="T3127" t="n">
        <v>0</v>
      </c>
      <c r="V3127" t="n">
        <v>0</v>
      </c>
    </row>
    <row r="3128">
      <c r="A3128">
        <f>Skills!A19</f>
        <v/>
      </c>
      <c r="B3128">
        <f>Skills!B19</f>
        <v/>
      </c>
      <c r="C3128">
        <f>Inputs!$B$3&gt;=66</f>
        <v/>
      </c>
      <c r="D3128">
        <f>IF(Skills!C19=1,60+Inputs!$B$25+Inputs!$B$29,IF(Skills!C19=2,90+Inputs!$B$26+Inputs!$B$29,IF(Skills!C19=3,120+Inputs!$B$27+Inputs!$B$29,MAX(0,(Inputs!$B$3-100)*3)+Inputs!$B$28+Inputs!$B$29)))</f>
        <v/>
      </c>
      <c r="E3128">
        <f>INDEX(FactorTable!$B$2:$Y$301, MATCH(ROUND(MIN(300,MAX(1,D3128)),0), FactorTable!$A$2:$A$301,0), Skills!M19+1)</f>
        <v/>
      </c>
      <c r="F3128">
        <f>IF(Skills!N19=TRUE,(Skills!L19/10)*(E3128/1000),Skills!L19/10)+Skills!O19</f>
        <v/>
      </c>
      <c r="G3128">
        <f>Skills!G19*IF(Skills!H19&gt;0,INT(IF(Inputs!$B$38="pvp",MIN(Skills!I19,15),Skills!I19)/Skills!H19+0.000000001),1)</f>
        <v/>
      </c>
      <c r="H3128">
        <f>1-(1-Skills!J19/100)^Skills!K19</f>
        <v/>
      </c>
      <c r="I3128" t="inlineStr">
        <is>
          <t>1</t>
        </is>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Skills!A20</f>
        <v/>
      </c>
      <c r="B3129">
        <f>Skills!B20</f>
        <v/>
      </c>
      <c r="C3129">
        <f>Inputs!$B$3&gt;=72</f>
        <v/>
      </c>
      <c r="D3129">
        <f>IF(Skills!C20=1,60+Inputs!$B$25+Inputs!$B$29,IF(Skills!C20=2,90+Inputs!$B$26+Inputs!$B$29,IF(Skills!C20=3,120+Inputs!$B$27+Inputs!$B$29,MAX(0,(Inputs!$B$3-100)*3)+Inputs!$B$28+Inputs!$B$29)))</f>
        <v/>
      </c>
      <c r="E3129">
        <f>INDEX(FactorTable!$B$2:$Y$301, MATCH(ROUND(MIN(300,MAX(1,D3129)),0), FactorTable!$A$2:$A$301,0), Skills!M20+1)</f>
        <v/>
      </c>
      <c r="F3129">
        <f>IF(Skills!N20=TRUE,(Skills!L20/10)*(E3129/1000),Skills!L20/10)+Skills!O20</f>
        <v/>
      </c>
      <c r="G3129">
        <f>Skills!G20*IF(Skills!H20&gt;0,INT(IF(Inputs!$B$38="pvp",MIN(Skills!I20,15),Skills!I20)/Skills!H20+0.000000001),1)</f>
        <v/>
      </c>
      <c r="H3129">
        <f>1-(1-Skills!J20/100)^Skills!K20</f>
        <v/>
      </c>
      <c r="I3129" t="inlineStr">
        <is>
          <t>1</t>
        </is>
      </c>
      <c r="J3129" t="inlineStr"/>
      <c r="K3129" t="inlineStr"/>
      <c r="L3129" t="inlineStr"/>
      <c r="M3129" t="inlineStr"/>
      <c r="N3129" t="inlineStr"/>
      <c r="O3129">
        <f>(1-Summary!$B$11)*T3129+Summary!$B$11*V3129</f>
        <v/>
      </c>
      <c r="P3129">
        <f>IF(B3154=0,0,O3129/B3154)</f>
        <v/>
      </c>
      <c r="Q3129" t="n">
        <v>0</v>
      </c>
      <c r="R3129" t="n">
        <v>0</v>
      </c>
      <c r="S3129">
        <f>IFERROR(O3129/N3129,0)</f>
        <v/>
      </c>
      <c r="T3129" t="n">
        <v>0</v>
      </c>
      <c r="V3129" t="n">
        <v>0</v>
      </c>
    </row>
    <row r="3130">
      <c r="A3130">
        <f>Skills!A21</f>
        <v/>
      </c>
      <c r="B3130">
        <f>Skills!B21</f>
        <v/>
      </c>
      <c r="C3130">
        <f>TRUE</f>
        <v/>
      </c>
      <c r="D3130">
        <f>IF(Skills!C21=1,60+Inputs!$B$25+Inputs!$B$29,IF(Skills!C21=2,90+Inputs!$B$26+Inputs!$B$29,IF(Skills!C21=3,120+Inputs!$B$27+Inputs!$B$29,MAX(0,(Inputs!$B$3-100)*3)+Inputs!$B$28+Inputs!$B$29)))</f>
        <v/>
      </c>
      <c r="E3130">
        <f>INDEX(FactorTable!$B$2:$Y$301, MATCH(ROUND(MIN(300,MAX(1,D3130)),0), FactorTable!$A$2:$A$301,0), Skills!M21+1)</f>
        <v/>
      </c>
      <c r="F3130">
        <f>IF(Skills!N21=TRUE,(Skills!L21/10)*(E3130/1000),Skills!L21/10)+Skills!O21</f>
        <v/>
      </c>
      <c r="G3130">
        <f>Skills!G21*IF(Skills!H21&gt;0,INT(IF(Inputs!$B$38="pvp",MIN(Skills!I21,15),Skills!I21)/Skills!H21+0.000000001),1)</f>
        <v/>
      </c>
      <c r="H3130">
        <f>1-(1-Skills!J21/100)^Skills!K21</f>
        <v/>
      </c>
      <c r="I3130" t="inlineStr">
        <is>
          <t>1</t>
        </is>
      </c>
      <c r="J3130" t="inlineStr"/>
      <c r="K3130" t="inlineStr"/>
      <c r="L3130" t="inlineStr"/>
      <c r="M3130" t="inlineStr"/>
      <c r="N3130" t="inlineStr"/>
      <c r="O3130">
        <f>(1-Summary!$B$11)*T3130+Summary!$B$11*V3130</f>
        <v/>
      </c>
      <c r="P3130">
        <f>IF(B3154=0,0,O3130/B3154)</f>
        <v/>
      </c>
      <c r="Q3130">
        <f>IFERROR(1/(IF(Inputs!$B$38="pvp",15,MAX(0.1,Skills!D21-IF(TRUE=TRUE,1.0,0)))*(1-IF(AND(ArtifactsInput!$M$27,Inputs!$B$4="Chapter Hunt"),CHOOSE(ArtifactsInput!$N$27+1,20,24,28,32,36,40),0)/100)),0)</f>
        <v/>
      </c>
      <c r="R3130">
        <f>IF(AND(Inputs!$B$38&lt;&gt;"pvp",Inputs!$B$43&gt;0),IF(Inputs!$B$43&lt;=0,0,(INT(Inputs!$B$43/(IF(Inputs!$B$38="pvp",15,MAX(0.1,Skills!D21-IF(TRUE=TRUE,1.0,0)))*(1-IF(AND(ArtifactsInput!$M$27,Inputs!$B$4="Chapter Hunt"),CHOOSE(ArtifactsInput!$N$27+1,20,24,28,32,36,40),0)/100)))+1)),0)</f>
        <v/>
      </c>
      <c r="S3130">
        <f>IFERROR(O3130/N3130,0)</f>
        <v/>
      </c>
      <c r="T3130" t="n">
        <v>0</v>
      </c>
      <c r="V3130" t="n">
        <v>0</v>
      </c>
    </row>
    <row r="3131">
      <c r="A3131">
        <f>Skills!A22</f>
        <v/>
      </c>
      <c r="B3131">
        <f>Skills!B22</f>
        <v/>
      </c>
      <c r="C3131">
        <f>Inputs!$B$3&gt;=15</f>
        <v/>
      </c>
      <c r="D3131">
        <f>IF(Skills!C22=1,60+Inputs!$B$25+Inputs!$B$29,IF(Skills!C22=2,90+Inputs!$B$26+Inputs!$B$29,IF(Skills!C22=3,120+Inputs!$B$27+Inputs!$B$29,MAX(0,(Inputs!$B$3-100)*3)+Inputs!$B$28+Inputs!$B$29)))</f>
        <v/>
      </c>
      <c r="E3131">
        <f>INDEX(FactorTable!$B$2:$Y$301, MATCH(ROUND(MIN(300,MAX(1,D3131)),0), FactorTable!$A$2:$A$301,0), Skills!M22+1)</f>
        <v/>
      </c>
      <c r="F3131">
        <f>IF(Skills!N22=TRUE,(Skills!L22/10)*(E3131/1000),Skills!L22/10)+Skills!O22</f>
        <v/>
      </c>
      <c r="G3131">
        <f>Skills!G22*IF(Skills!H22&gt;0,INT(IF(Inputs!$B$38="pvp",MIN(Skills!I22,15),Skills!I22)/Skills!H22+0.000000001),1)</f>
        <v/>
      </c>
      <c r="H3131">
        <f>1-(1-Skills!J22/100)^Skills!K22</f>
        <v/>
      </c>
      <c r="I3131" t="inlineStr">
        <is>
          <t>1</t>
        </is>
      </c>
      <c r="J3131" t="inlineStr"/>
      <c r="K3131" t="inlineStr"/>
      <c r="L3131" t="inlineStr"/>
      <c r="M3131" t="inlineStr"/>
      <c r="N3131" t="inlineStr"/>
      <c r="O3131">
        <f>(1-Summary!$B$11)*T3131+Summary!$B$11*V3131</f>
        <v/>
      </c>
      <c r="P3131">
        <f>IF(B3154=0,0,O3131/B3154)</f>
        <v/>
      </c>
      <c r="Q3131" t="n">
        <v>0</v>
      </c>
      <c r="R3131" t="n">
        <v>0</v>
      </c>
      <c r="S3131">
        <f>IFERROR(O3131/N3131,0)</f>
        <v/>
      </c>
      <c r="T3131" t="n">
        <v>0</v>
      </c>
      <c r="V3131" t="n">
        <v>0</v>
      </c>
    </row>
    <row r="3132">
      <c r="A3132">
        <f>Skills!A23</f>
        <v/>
      </c>
      <c r="B3132">
        <f>Skills!B23</f>
        <v/>
      </c>
      <c r="C3132">
        <f>Inputs!$B$3&gt;=10</f>
        <v/>
      </c>
      <c r="D3132">
        <f>IF(Skills!C23=1,60+Inputs!$B$25+Inputs!$B$29,IF(Skills!C23=2,90+Inputs!$B$26+Inputs!$B$29,IF(Skills!C23=3,120+Inputs!$B$27+Inputs!$B$29,MAX(0,(Inputs!$B$3-100)*3)+Inputs!$B$28+Inputs!$B$29)))</f>
        <v/>
      </c>
      <c r="E3132">
        <f>INDEX(FactorTable!$B$2:$Y$301, MATCH(ROUND(MIN(300,MAX(1,D3132)),0), FactorTable!$A$2:$A$301,0), Skills!M23+1)</f>
        <v/>
      </c>
      <c r="F3132">
        <f>IF(Skills!N23=TRUE,(Skills!L23/10)*(E3132/1000),Skills!L23/10)+Skills!O23</f>
        <v/>
      </c>
      <c r="G3132">
        <f>Skills!G23*IF(Skills!H23&gt;0,INT(IF(Inputs!$B$38="pvp",MIN(Skills!I23,15),Skills!I23)/Skills!H23+0.000000001),1)</f>
        <v/>
      </c>
      <c r="H3132">
        <f>1-(1-Skills!J23/100)^Skills!K23</f>
        <v/>
      </c>
      <c r="I3132" t="inlineStr">
        <is>
          <t>1</t>
        </is>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Skills!A24</f>
        <v/>
      </c>
      <c r="B3133">
        <f>Skills!B24</f>
        <v/>
      </c>
      <c r="C3133">
        <f>Inputs!$B$3&gt;=33</f>
        <v/>
      </c>
      <c r="D3133">
        <f>IF(Skills!C24=1,60+Inputs!$B$25+Inputs!$B$29,IF(Skills!C24=2,90+Inputs!$B$26+Inputs!$B$29,IF(Skills!C24=3,120+Inputs!$B$27+Inputs!$B$29,MAX(0,(Inputs!$B$3-100)*3)+Inputs!$B$28+Inputs!$B$29)))</f>
        <v/>
      </c>
      <c r="E3133">
        <f>INDEX(FactorTable!$B$2:$Y$301, MATCH(ROUND(MIN(300,MAX(1,D3133)),0), FactorTable!$A$2:$A$301,0), Skills!M24+1)</f>
        <v/>
      </c>
      <c r="F3133">
        <f>IF(Skills!N24=TRUE,(Skills!L24/10)*(E3133/1000),Skills!L24/10)+Skills!O24</f>
        <v/>
      </c>
      <c r="G3133">
        <f>Skills!G24*IF(Skills!H24&gt;0,INT(IF(Inputs!$B$38="pvp",MIN(Skills!I24,15),Skills!I24)/Skills!H24+0.000000001),1)</f>
        <v/>
      </c>
      <c r="H3133">
        <f>1-(1-Skills!J24/100)^Skills!K24</f>
        <v/>
      </c>
      <c r="I3133" t="inlineStr">
        <is>
          <t>1</t>
        </is>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Skills!A25</f>
        <v/>
      </c>
      <c r="B3134">
        <f>Skills!B25</f>
        <v/>
      </c>
      <c r="C3134">
        <f>Inputs!$B$3&gt;=38</f>
        <v/>
      </c>
      <c r="D3134">
        <f>IF(Skills!C25=1,60+Inputs!$B$25+Inputs!$B$29,IF(Skills!C25=2,90+Inputs!$B$26+Inputs!$B$29,IF(Skills!C25=3,120+Inputs!$B$27+Inputs!$B$29,MAX(0,(Inputs!$B$3-100)*3)+Inputs!$B$28+Inputs!$B$29)))</f>
        <v/>
      </c>
      <c r="E3134">
        <f>INDEX(FactorTable!$B$2:$Y$301, MATCH(ROUND(MIN(300,MAX(1,D3134)),0), FactorTable!$A$2:$A$301,0), Skills!M25+1)</f>
        <v/>
      </c>
      <c r="F3134">
        <f>IF(Skills!N25=TRUE,(Skills!L25/10)*(E3134/1000),Skills!L25/10)+Skills!O25</f>
        <v/>
      </c>
      <c r="G3134">
        <f>Skills!G25*IF(Skills!H25&gt;0,INT(IF(Inputs!$B$38="pvp",MIN(Skills!I25,15),Skills!I25)/Skills!H25+0.000000001),1)</f>
        <v/>
      </c>
      <c r="H3134">
        <f>1-(1-Skills!J25/100)^Skills!K25</f>
        <v/>
      </c>
      <c r="I3134" t="inlineStr">
        <is>
          <t>1</t>
        </is>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Skills!A26</f>
        <v/>
      </c>
      <c r="B3135">
        <f>Skills!B26</f>
        <v/>
      </c>
      <c r="C3135">
        <f>Inputs!$B$3&gt;=43</f>
        <v/>
      </c>
      <c r="D3135">
        <f>IF(Skills!C26=1,60+Inputs!$B$25+Inputs!$B$29,IF(Skills!C26=2,90+Inputs!$B$26+Inputs!$B$29,IF(Skills!C26=3,120+Inputs!$B$27+Inputs!$B$29,MAX(0,(Inputs!$B$3-100)*3)+Inputs!$B$28+Inputs!$B$29)))</f>
        <v/>
      </c>
      <c r="E3135">
        <f>INDEX(FactorTable!$B$2:$Y$301, MATCH(ROUND(MIN(300,MAX(1,D3135)),0), FactorTable!$A$2:$A$301,0), Skills!M26+1)</f>
        <v/>
      </c>
      <c r="F3135">
        <f>IF(Skills!N26=TRUE,(Skills!L26/10)*(E3135/1000),Skills!L26/10)+Skills!O26</f>
        <v/>
      </c>
      <c r="G3135">
        <f>Skills!G26*IF(Skills!H26&gt;0,INT(IF(Inputs!$B$38="pvp",MIN(Skills!I26,15),Skills!I26)/Skills!H26+0.000000001),1)</f>
        <v/>
      </c>
      <c r="H3135">
        <f>1-(1-Skills!J26/100)^Skills!K26</f>
        <v/>
      </c>
      <c r="I3135" t="inlineStr">
        <is>
          <t>1</t>
        </is>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Skills!A27</f>
        <v/>
      </c>
      <c r="B3136">
        <f>Skills!B27</f>
        <v/>
      </c>
      <c r="C3136">
        <f>Inputs!$B$3&gt;=75</f>
        <v/>
      </c>
      <c r="D3136">
        <f>IF(Skills!C27=1,60+Inputs!$B$25+Inputs!$B$29,IF(Skills!C27=2,90+Inputs!$B$26+Inputs!$B$29,IF(Skills!C27=3,120+Inputs!$B$27+Inputs!$B$29,MAX(0,(Inputs!$B$3-100)*3)+Inputs!$B$28+Inputs!$B$29)))</f>
        <v/>
      </c>
      <c r="E3136">
        <f>INDEX(FactorTable!$B$2:$Y$301, MATCH(ROUND(MIN(300,MAX(1,D3136)),0), FactorTable!$A$2:$A$301,0), Skills!M27+1)</f>
        <v/>
      </c>
      <c r="F3136">
        <f>IF(Skills!N27=TRUE,(Skills!L27/10)*(E3136/1000),Skills!L27/10)+Skills!O27</f>
        <v/>
      </c>
      <c r="G3136">
        <f>Skills!G27*IF(Skills!H27&gt;0,INT(IF(Inputs!$B$38="pvp",MIN(Skills!I27,15),Skills!I27)/Skills!H27+0.000000001),1)</f>
        <v/>
      </c>
      <c r="H3136">
        <f>1-(1-Skills!J27/100)^Skills!K27</f>
        <v/>
      </c>
      <c r="I3136" t="inlineStr">
        <is>
          <t>1</t>
        </is>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Skills!A28</f>
        <v/>
      </c>
      <c r="B3137">
        <f>Skills!B28</f>
        <v/>
      </c>
      <c r="C3137">
        <f>Inputs!$B$3&gt;=125</f>
        <v/>
      </c>
      <c r="D3137">
        <f>IF(Skills!C28=1,60+Inputs!$B$25+Inputs!$B$29,IF(Skills!C28=2,90+Inputs!$B$26+Inputs!$B$29,IF(Skills!C28=3,120+Inputs!$B$27+Inputs!$B$29,MAX(0,(Inputs!$B$3-100)*3)+Inputs!$B$28+Inputs!$B$29)))</f>
        <v/>
      </c>
      <c r="E3137">
        <f>INDEX(FactorTable!$B$2:$Y$301, MATCH(ROUND(MIN(300,MAX(1,D3137)),0), FactorTable!$A$2:$A$301,0), Skills!M28+1)</f>
        <v/>
      </c>
      <c r="F3137">
        <f>IF(Skills!N28=TRUE,(Skills!L28/10)*(E3137/1000),Skills!L28/10)+Skills!O28</f>
        <v/>
      </c>
      <c r="G3137">
        <f>Skills!G28*IF(Skills!H28&gt;0,INT(IF(Inputs!$B$38="pvp",MIN(Skills!I28,15),Skills!I28)/Skills!H28+0.000000001),1)</f>
        <v/>
      </c>
      <c r="H3137">
        <f>1-(1-Skills!J28/100)^Skills!K28</f>
        <v/>
      </c>
      <c r="I3137" t="inlineStr">
        <is>
          <t>1</t>
        </is>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Skills!A29</f>
        <v/>
      </c>
      <c r="B3138">
        <f>Skills!B29</f>
        <v/>
      </c>
      <c r="C3138">
        <f>Inputs!$B$3&gt;=125</f>
        <v/>
      </c>
      <c r="D3138">
        <f>IF(Skills!C29=1,60+Inputs!$B$25+Inputs!$B$29,IF(Skills!C29=2,90+Inputs!$B$26+Inputs!$B$29,IF(Skills!C29=3,120+Inputs!$B$27+Inputs!$B$29,MAX(0,(Inputs!$B$3-100)*3)+Inputs!$B$28+Inputs!$B$29)))</f>
        <v/>
      </c>
      <c r="E3138">
        <f>INDEX(FactorTable!$B$2:$Y$301, MATCH(ROUND(MIN(300,MAX(1,D3138)),0), FactorTable!$A$2:$A$301,0), Skills!M29+1)</f>
        <v/>
      </c>
      <c r="F3138">
        <f>IF(Skills!N29=TRUE,(Skills!L29/10)*(E3138/1000),Skills!L29/10)+Skills!O29</f>
        <v/>
      </c>
      <c r="G3138">
        <f>Skills!G29*IF(Skills!H29&gt;0,INT(IF(Inputs!$B$38="pvp",MIN(Skills!I29,15),Skills!I29)/Skills!H29+0.000000001),1)</f>
        <v/>
      </c>
      <c r="H3138">
        <f>1-(1-Skills!J29/100)^Skills!K29</f>
        <v/>
      </c>
      <c r="I3138" t="inlineStr">
        <is>
          <t>1</t>
        </is>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Skills!A30</f>
        <v/>
      </c>
      <c r="B3139">
        <f>Skills!B30</f>
        <v/>
      </c>
      <c r="C3139">
        <f>Inputs!$B$3&gt;=120</f>
        <v/>
      </c>
      <c r="D3139">
        <f>IF(Skills!C30=1,60+Inputs!$B$25+Inputs!$B$29,IF(Skills!C30=2,90+Inputs!$B$26+Inputs!$B$29,IF(Skills!C30=3,120+Inputs!$B$27+Inputs!$B$29,MAX(0,(Inputs!$B$3-100)*3)+Inputs!$B$28+Inputs!$B$29)))</f>
        <v/>
      </c>
      <c r="E3139">
        <f>INDEX(FactorTable!$B$2:$Y$301, MATCH(ROUND(MIN(300,MAX(1,D3139)),0), FactorTable!$A$2:$A$301,0), Skills!M30+1)</f>
        <v/>
      </c>
      <c r="F3139">
        <f>IF(Skills!N30=TRUE,(Skills!L30/10)*(E3139/1000),Skills!L30/10)+Skills!O30</f>
        <v/>
      </c>
      <c r="G3139">
        <f>Skills!G30*IF(Skills!H30&gt;0,INT(IF(Inputs!$B$38="pvp",MIN(Skills!I30,15),Skills!I30)/Skills!H30+0.000000001),1)</f>
        <v/>
      </c>
      <c r="H3139">
        <f>1-(1-Skills!J30/100)^Skills!K30</f>
        <v/>
      </c>
      <c r="I3139" t="inlineStr">
        <is>
          <t>1</t>
        </is>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Skills!A31</f>
        <v/>
      </c>
      <c r="B3140">
        <f>Skills!B31</f>
        <v/>
      </c>
      <c r="C3140">
        <f>Inputs!$B$3&gt;=120</f>
        <v/>
      </c>
      <c r="D3140">
        <f>IF(Skills!C31=1,60+Inputs!$B$25+Inputs!$B$29,IF(Skills!C31=2,90+Inputs!$B$26+Inputs!$B$29,IF(Skills!C31=3,120+Inputs!$B$27+Inputs!$B$29,MAX(0,(Inputs!$B$3-100)*3)+Inputs!$B$28+Inputs!$B$29)))</f>
        <v/>
      </c>
      <c r="E3140">
        <f>INDEX(FactorTable!$B$2:$Y$301, MATCH(ROUND(MIN(300,MAX(1,D3140)),0), FactorTable!$A$2:$A$301,0), Skills!M31+1)</f>
        <v/>
      </c>
      <c r="F3140">
        <f>IF(Skills!N31=TRUE,(Skills!L31/10)*(E3140/1000),Skills!L31/10)+Skills!O31</f>
        <v/>
      </c>
      <c r="G3140">
        <f>Skills!G31*IF(Skills!H31&gt;0,INT(IF(Inputs!$B$38="pvp",MIN(Skills!I31,15),Skills!I31)/Skills!H31+0.000000001),1)</f>
        <v/>
      </c>
      <c r="H3140">
        <f>1-(1-Skills!J31/100)^Skills!K31</f>
        <v/>
      </c>
      <c r="I3140" t="inlineStr">
        <is>
          <t>1</t>
        </is>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Skills!A32</f>
        <v/>
      </c>
      <c r="B3141">
        <f>Skills!B32</f>
        <v/>
      </c>
      <c r="C3141">
        <f>Inputs!$B$3&gt;=45</f>
        <v/>
      </c>
      <c r="D3141">
        <f>IF(Skills!C32=1,60+Inputs!$B$25+Inputs!$B$29,IF(Skills!C32=2,90+Inputs!$B$26+Inputs!$B$29,IF(Skills!C32=3,120+Inputs!$B$27+Inputs!$B$29,MAX(0,(Inputs!$B$3-100)*3)+Inputs!$B$28+Inputs!$B$29)))</f>
        <v/>
      </c>
      <c r="E3141">
        <f>INDEX(FactorTable!$B$2:$Y$301, MATCH(ROUND(MIN(300,MAX(1,D3141)),0), FactorTable!$A$2:$A$301,0), Skills!M32+1)</f>
        <v/>
      </c>
      <c r="F3141">
        <f>IF(Skills!N32=TRUE,(Skills!L32/10)*(E3141/1000),Skills!L32/10)+Skills!O32</f>
        <v/>
      </c>
      <c r="G3141">
        <f>Skills!G32*IF(Skills!H32&gt;0,INT(IF(Inputs!$B$38="pvp",MIN(Skills!I32,15),Skills!I32)/Skills!H32+0.000000001),1)</f>
        <v/>
      </c>
      <c r="H3141">
        <f>1-(1-Skills!J32/100)^Skills!K32</f>
        <v/>
      </c>
      <c r="I3141" t="inlineStr">
        <is>
          <t>1</t>
        </is>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Attack% Bucket Multiplier</t>
        </is>
      </c>
      <c r="B3143">
        <f>(1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44">
      <c r="A3144" t="inlineStr">
        <is>
          <t>Global Crit Rate Bonus %</t>
        </is>
      </c>
      <c r="B3144" t="n">
        <v>0</v>
      </c>
    </row>
    <row r="3145">
      <c r="A3145" t="inlineStr">
        <is>
          <t>Attack Speed Buff Bonus %</t>
        </is>
      </c>
      <c r="B3145">
        <f>((C3130=TRUE)*F3130*IF(AND(Inputs!$B$38&lt;&gt;"pvp",Inputs!$B$43&gt;0),(((R3130-1)*MIN((Skills!T21*(1+Inputs!$B$34/100)),(1/Q3130))+MIN((Skills!T21*(1+Inputs!$B$34/100)),MAX(0,Inputs!$B$43-((R3130-1)*(1/Q3130)))))/Inputs!$B$43),IF(Inputs!$B$38="pvp",MIN((Skills!T21*(1+Inputs!$B$34/100)),15)/15,MIN(1,(Skills!T21*(1+Inputs!$B$34/100))/(1/Q3130)))))</f>
        <v/>
      </c>
    </row>
    <row r="3146">
      <c r="A3146" t="inlineStr">
        <is>
          <t>Actions Per Second</t>
        </is>
      </c>
      <c r="B3146">
        <f>1+MIN(150,150*(1-(1-(Inputs!$B$11+((C3132=TRUE)*(F3132-Calc!F23))+((C3133=TRUE)*(F3133-Calc!F24)))/150)*(1-B3145/150)))/100</f>
        <v/>
      </c>
    </row>
    <row r="3147">
      <c r="A3147" t="inlineStr">
        <is>
          <t>Skill + Buff Cast Rate</t>
        </is>
      </c>
      <c r="B3147">
        <f>IF(AND(Inputs!$B$38&lt;&gt;"pvp",Inputs!$B$43&gt;0),SUMPRODUCT((Skills!E2:E32=TRUE)*(C3111:C3141=TRUE)*R3111:R3141*Skills!F2:F32)/Inputs!$B$43,SUMPRODUCT((Skills!E2:E32=TRUE)*(C3111:C3141=TRUE)*Q3111:Q3141*Skills!F2:F32))</f>
        <v/>
      </c>
    </row>
    <row r="3148">
      <c r="A3148" t="inlineStr">
        <is>
          <t>Arrow Stream Casts Per Second</t>
        </is>
      </c>
      <c r="B3148">
        <f>MAX(0,B3146-B3147)</f>
        <v/>
      </c>
    </row>
    <row r="3149">
      <c r="A3149" t="inlineStr">
        <is>
          <t>Global Critical Damage Bonus % (Sharp Eyes + Concentration)</t>
        </is>
      </c>
      <c r="B3149">
        <f>(C3127=TRUE)*F3127*IF(AND(Inputs!$B$38&lt;&gt;"pvp",Inputs!$B$43&gt;0),(((R3127-1)*MIN((Skills!T18*(1+Inputs!$B$34/100)),(1/Q3127))+MIN((Skills!T18*(1+Inputs!$B$34/100)),MAX(0,Inputs!$B$43-((R3127-1)*(1/Q3127)))))/Inputs!$B$43),IF(Inputs!$B$38="pvp",MIN((Skills!T18*(1+Inputs!$B$34/100)),15)/15,MIN(1,(Skills!T18*(1+Inputs!$B$34/100))/(1/Q3127))))+(C3128=TRUE)*7*F3128</f>
        <v/>
      </c>
    </row>
    <row r="3150">
      <c r="A3150" t="inlineStr">
        <is>
          <t>Global Final Damage Bonus % (Mortal Blow)</t>
        </is>
      </c>
      <c r="B3150">
        <f>(C3129=TRUE)*F3129</f>
        <v/>
      </c>
    </row>
    <row r="3151">
      <c r="A3151" t="inlineStr">
        <is>
          <t>Buff-Casting Startup Delay (s, fixed-duration only)</t>
        </is>
      </c>
      <c r="B3151">
        <f>IF(AND(Inputs!$B$38&lt;&gt;"pvp",Inputs!$B$43&gt;0),SUMPRODUCT((Skills!T2:T32&gt;0)*(Skills!E2:E32=TRUE)*(C3111:C3141=TRUE))/B3146,0)</f>
        <v/>
      </c>
    </row>
    <row r="3152">
      <c r="A3152" t="inlineStr">
        <is>
          <t>Boss-Only Total DPS (this block's swept value)</t>
        </is>
      </c>
      <c r="B3152">
        <f>SUM(T3111:T3141)</f>
        <v/>
      </c>
    </row>
    <row r="3153">
      <c r="A3153" t="inlineStr">
        <is>
          <t>Normal-Only Total DPS (this block's swept value)</t>
        </is>
      </c>
      <c r="B3153">
        <f>SUM(V3111:V3141)</f>
        <v/>
      </c>
    </row>
    <row r="3154">
      <c r="A3154" s="6" t="inlineStr">
        <is>
          <t>TOTAL DPS</t>
        </is>
      </c>
      <c r="B3154" s="6">
        <f>SUM(O3111:O3141)</f>
        <v/>
      </c>
    </row>
    <row r="3157">
      <c r="A3157" s="6" t="inlineStr">
        <is>
          <t>Stat: CDR = 1.5s</t>
        </is>
      </c>
    </row>
    <row r="3158">
      <c r="A3158" s="5" t="inlineStr">
        <is>
          <t>Key</t>
        </is>
      </c>
      <c r="B3158" s="5" t="inlineStr">
        <is>
          <t>Name</t>
        </is>
      </c>
      <c r="C3158" s="5" t="inlineStr">
        <is>
          <t>Unlocked</t>
        </is>
      </c>
      <c r="D3158" s="5" t="inlineStr">
        <is>
          <t>InputLevel</t>
        </is>
      </c>
      <c r="E3158" s="5" t="inlineStr">
        <is>
          <t>Factor</t>
        </is>
      </c>
      <c r="F3158" s="5" t="inlineStr">
        <is>
          <t>CoefficientPercent</t>
        </is>
      </c>
      <c r="G3158" s="5" t="inlineStr">
        <is>
          <t>EffectiveHits</t>
        </is>
      </c>
      <c r="H3158" s="5" t="inlineStr">
        <is>
          <t>ProcProbability</t>
        </is>
      </c>
      <c r="I3158" s="5" t="inlineStr">
        <is>
          <t>MapleHeroMultiplier</t>
        </is>
      </c>
      <c r="J3158" s="5" t="inlineStr">
        <is>
          <t>BaseDamage</t>
        </is>
      </c>
      <c r="K3158" s="5" t="inlineStr">
        <is>
          <t>BaseHitDamage</t>
        </is>
      </c>
      <c r="L3158" s="5" t="inlineStr">
        <is>
          <t>NonCritAvg</t>
        </is>
      </c>
      <c r="M3158" s="5" t="inlineStr">
        <is>
          <t>CritAvg</t>
        </is>
      </c>
      <c r="N3158" s="5" t="inlineStr">
        <is>
          <t>ExpectedDamage(perHit)</t>
        </is>
      </c>
      <c r="O3158" s="5" t="inlineStr">
        <is>
          <t>DPS</t>
        </is>
      </c>
      <c r="P3158" s="5" t="inlineStr">
        <is>
          <t>% of Total</t>
        </is>
      </c>
      <c r="Q3158" s="5" t="inlineStr">
        <is>
          <t>InvCooldown</t>
        </is>
      </c>
      <c r="R3158" s="5" t="inlineStr">
        <is>
          <t>CastsInFight</t>
        </is>
      </c>
      <c r="S3158" s="5" t="inlineStr">
        <is>
          <t>HitRate(perSec)</t>
        </is>
      </c>
      <c r="U3158" t="inlineStr">
        <is>
          <t>helpers</t>
        </is>
      </c>
    </row>
    <row r="3159">
      <c r="A3159">
        <f>Skills!A2</f>
        <v/>
      </c>
      <c r="B3159">
        <f>Skills!B2</f>
        <v/>
      </c>
      <c r="C3159">
        <f>Inputs!$B$3&gt;=100</f>
        <v/>
      </c>
      <c r="D3159" t="inlineStr"/>
      <c r="E3159" t="inlineStr"/>
      <c r="F3159">
        <f>U3161+Skills!O2</f>
        <v/>
      </c>
      <c r="G3159">
        <f>Skills!G2*IF(Skills!H2&gt;0,INT(IF(Inputs!$B$38="pvp",MIN(Skills!I2,15),Skills!I2)/Skills!H2+0.000000001),1)</f>
        <v/>
      </c>
      <c r="H3159">
        <f>1-(1-Skills!J2/100)^Skills!K2</f>
        <v/>
      </c>
      <c r="I3159" t="inlineStr">
        <is>
          <t>1</t>
        </is>
      </c>
      <c r="J3159">
        <f>((Inputs!$B$6*(1+Inputs!$B$7/100))+(((Inputs!$B$12*(1+Inputs!$B$13/100))-(Inputs!$B$12*(1+Inputs!$B$13/100)))+0.25*(Inputs!$B$14-Inputs!$B$14))*(1+Inputs!$B$7/100))*(F3159/100)</f>
        <v/>
      </c>
      <c r="K3159">
        <f>J3159*(1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3159)</f>
        <v/>
      </c>
      <c r="L3159">
        <f>K3159*(MIN(Inputs!$B$22+((C3183=TRUE)*(F3183-Calc!F26)),(Inputs!$B$23+((C3188=TRUE)*(F3188-Calc!F31))+(IF(ArtifactsInput!$M$15,CHOOSE(ArtifactsInput!$N$15+1,25,30,35,40,45,50)/100*(Inputs!$B$11-Inputs!$B$11),0))))/100+(Inputs!$B$23+((C3188=TRUE)*(F3188-Calc!F31))+(IF(ArtifactsInput!$M$15,CHOOSE(ArtifactsInput!$N$15+1,25,30,35,40,45,50)/100*(Inputs!$B$11-Inputs!$B$11),0)))/100)/2</f>
        <v/>
      </c>
      <c r="M3159">
        <f>L3159*(1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9">
        <f>L3159*(1-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3159*(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9">
        <f>(1-Summary!$B$11)*T3159+Summary!$B$11*V3159</f>
        <v/>
      </c>
      <c r="P3159">
        <f>IF(B3202=0,0,O3159/B3202)</f>
        <v/>
      </c>
      <c r="Q3159" t="n">
        <v>0</v>
      </c>
      <c r="R3159" t="n">
        <v>0</v>
      </c>
      <c r="S3159">
        <f>IFERROR(O3159/N3159,0)</f>
        <v/>
      </c>
      <c r="T3159">
        <f>IF(C3159,(Skills!G2*N3159*B3196)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9">
        <f>MAX(0,(Inputs!$B$3-100)*3)+Inputs!$B$28+Inputs!$B$29</f>
        <v/>
      </c>
      <c r="V3159">
        <f>IF(C3159,(Skills!G2*N3159*B3196)*IF(Inputs!$B$38="pvp",1,(1+(Inputs!$B$21+Skills!Q2+(IF(ArtifactsInput!$M$33,CHOOSE(ArtifactsInput!$N$33+1,30,36,42,48,54,60),0))+(IF(AND(ArtifactsInput!$M$35,Inputs!$B$4&lt;&gt;"Chapter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0">
      <c r="A3160">
        <f>Skills!A3</f>
        <v/>
      </c>
      <c r="B3160">
        <f>Skills!B3</f>
        <v/>
      </c>
      <c r="C3160">
        <f>Inputs!$B$3&gt;=50</f>
        <v/>
      </c>
      <c r="D3160">
        <f>IF(Skills!C3=1,60+Inputs!$B$25+Inputs!$B$29,IF(Skills!C3=2,90+Inputs!$B$26+Inputs!$B$29,IF(Skills!C3=3,120+Inputs!$B$27+Inputs!$B$29,MAX(0,(Inputs!$B$3-100)*3)+Inputs!$B$28+Inputs!$B$29)))</f>
        <v/>
      </c>
      <c r="E3160">
        <f>INDEX(FactorTable!$B$2:$Y$301, MATCH(ROUND(MIN(300,MAX(1,D3160)),0), FactorTable!$A$2:$A$301,0), Skills!M3+1)</f>
        <v/>
      </c>
      <c r="F3160">
        <f>IF(Skills!N3=TRUE,(Skills!L3/10)*(E3160/1000),Skills!L3/10)+Skills!O3</f>
        <v/>
      </c>
      <c r="G3160">
        <f>Skills!G3*IF(Skills!H3&gt;0,INT(IF(Inputs!$B$38="pvp",MIN(Skills!I3,15),Skills!I3)/Skills!H3+0.000000001),1)</f>
        <v/>
      </c>
      <c r="H3160">
        <f>1-(1-Skills!J3/100)^Skills!K3</f>
        <v/>
      </c>
      <c r="I3160" t="inlineStr">
        <is>
          <t>1</t>
        </is>
      </c>
      <c r="J3160">
        <f>((Inputs!$B$6*(1+Inputs!$B$7/100))+(((Inputs!$B$12*(1+Inputs!$B$13/100))-(Inputs!$B$12*(1+Inputs!$B$13/100)))+0.25*(Inputs!$B$14-Inputs!$B$14))*(1+Inputs!$B$7/100))*(F3160/100)</f>
        <v/>
      </c>
      <c r="K3160">
        <f>J3160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3161=TRUE,F3161,0)/100)*(1+(IF(Skills!A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3160)</f>
        <v/>
      </c>
      <c r="L3160">
        <f>K3160*(MIN(Inputs!$B$22+((C3183=TRUE)*(F3183-Calc!F26)),(Inputs!$B$23+((C3188=TRUE)*(F3188-Calc!F31))+(IF(ArtifactsInput!$M$15,CHOOSE(ArtifactsInput!$N$15+1,25,30,35,40,45,50)/100*(Inputs!$B$11-Inputs!$B$11),0))))/100+(Inputs!$B$23+((C3188=TRUE)*(F3188-Calc!F31))+(IF(ArtifactsInput!$M$15,CHOOSE(ArtifactsInput!$N$15+1,25,30,35,40,45,50)/100*(Inputs!$B$11-Inputs!$B$11),0)))/100)/2</f>
        <v/>
      </c>
      <c r="M3160">
        <f>L3160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0">
        <f>L3160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0">
        <f>(1-Summary!$B$11)*T3160+Summary!$B$11*V3160</f>
        <v/>
      </c>
      <c r="P3160">
        <f>IF(B3202=0,0,O3160/B3202)</f>
        <v/>
      </c>
      <c r="Q3160">
        <f>IFERROR(1/(IF(Inputs!$B$38="pvp",15,MAX(0.1,1/B3194-IF(FALSE=TRUE,1.5,0)))*(1-IF(AND(ArtifactsInput!$M$27,Inputs!$B$4="Chapter Hunt"),CHOOSE(ArtifactsInput!$N$27+1,20,24,28,32,36,40),0)/100)),0)</f>
        <v/>
      </c>
      <c r="R3160">
        <f>IF(AND(Inputs!$B$38&lt;&gt;"pvp",Inputs!$B$43&gt;0),IF(MAX(0,Inputs!$B$43-B3199)&lt;=0,0,(INT(MAX(0,Inputs!$B$43-B3199)/(IF(Inputs!$B$38="pvp",15,MAX(0.1,1/B3194-IF(FALSE=TRUE,1.5,0)))*(1-IF(AND(ArtifactsInput!$M$27,Inputs!$B$4="Chapter Hunt"),CHOOSE(ArtifactsInput!$N$27+1,20,24,28,32,36,40),0)/100)))+1)),0)</f>
        <v/>
      </c>
      <c r="S3160">
        <f>IFERROR(O3160/N3160,0)</f>
        <v/>
      </c>
      <c r="T3160">
        <f>IF(C3160,(H3160*N3160*IF(AND(Inputs!$B$38&lt;&gt;"pvp",Inputs!$B$43&gt;0),((Skills!G3*((R3160-1)*IF(Skills!H3&gt;0,INT(Skills!I3/Skills!H3+0.000000001),1)+IF(Skills!H3&gt;0,INT(MIN(Skills!I3,MAX(0,MAX(0,Inputs!$B$43-B3199)-((R3160-1)*(IF(Inputs!$B$38="pvp",15,MAX(0.1,1/B3194-IF(FALSE=TRUE,1.5,0)))*(1-IF(AND(ArtifactsInput!$M$27,Inputs!$B$4="Chapter Hunt"),CHOOSE(ArtifactsInput!$N$27+1,20,24,28,32,36,40),0)/100)))))/Skills!H3+0.000000001),1)))/Inputs!$B$43),G3160*Q3160)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0">
        <f>INDEX(FactorTable!$B$2:$Y$301, MATCH(ROUND(MIN(300,MAX(1,U3159)),0), FactorTable!$A$2:$A$301,0), 22)</f>
        <v/>
      </c>
      <c r="V3160">
        <f>IF(C3160,(H3160*N3160*IF(AND(Inputs!$B$38&lt;&gt;"pvp",Inputs!$B$43&gt;0),((Skills!G3*((R3160-1)*IF(Skills!H3&gt;0,INT(Skills!I3/Skills!H3+0.000000001),1)+IF(Skills!H3&gt;0,INT(MIN(Skills!I3,MAX(0,MAX(0,Inputs!$B$43-B3199)-((R3160-1)*(IF(Inputs!$B$38="pvp",15,MAX(0.1,1/B3194-IF(FALSE=TRUE,1.5,0)))*(1-IF(AND(ArtifactsInput!$M$27,Inputs!$B$4="Chapter Hunt"),CHOOSE(ArtifactsInput!$N$27+1,20,24,28,32,36,40),0)/100)))))/Skills!H3+0.000000001),1)))/Inputs!$B$43),G3160*Q3160))*IF(Inputs!$B$38="pvp",1,(1+(Inputs!$B$21+Skills!Q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1">
      <c r="A3161">
        <f>Skills!A4</f>
        <v/>
      </c>
      <c r="B3161">
        <f>Skills!B4</f>
        <v/>
      </c>
      <c r="C3161">
        <f>Inputs!$B$3&gt;=105</f>
        <v/>
      </c>
      <c r="D3161">
        <f>IF(Skills!C4=1,60+Inputs!$B$25+Inputs!$B$29,IF(Skills!C4=2,90+Inputs!$B$26+Inputs!$B$29,IF(Skills!C4=3,120+Inputs!$B$27+Inputs!$B$29,MAX(0,(Inputs!$B$3-100)*3)+Inputs!$B$28+Inputs!$B$29)))</f>
        <v/>
      </c>
      <c r="E3161">
        <f>INDEX(FactorTable!$B$2:$Y$301, MATCH(ROUND(MIN(300,MAX(1,D3161)),0), FactorTable!$A$2:$A$301,0), Skills!M4+1)</f>
        <v/>
      </c>
      <c r="F3161">
        <f>IF(Skills!N4=TRUE,(Skills!L4/10)*(E3161/1000),Skills!L4/10)+Skills!O4</f>
        <v/>
      </c>
      <c r="G3161" t="inlineStr"/>
      <c r="H3161" t="inlineStr"/>
      <c r="I3161" t="inlineStr">
        <is>
          <t>1</t>
        </is>
      </c>
      <c r="J3161" t="inlineStr"/>
      <c r="K3161" t="inlineStr"/>
      <c r="L3161" t="inlineStr"/>
      <c r="M3161" t="inlineStr"/>
      <c r="N3161" t="inlineStr"/>
      <c r="O3161" t="inlineStr"/>
      <c r="P3161" t="inlineStr"/>
      <c r="Q3161" t="inlineStr"/>
      <c r="R3161" t="inlineStr"/>
      <c r="S3161" t="inlineStr"/>
      <c r="T3161" t="inlineStr"/>
      <c r="U3161">
        <f>290*U3160/1000</f>
        <v/>
      </c>
      <c r="V3161" t="inlineStr"/>
    </row>
    <row r="3162">
      <c r="A3162">
        <f>Skills!A5</f>
        <v/>
      </c>
      <c r="B3162">
        <f>Skills!B5</f>
        <v/>
      </c>
      <c r="C3162">
        <f>Inputs!$B$3&gt;=35</f>
        <v/>
      </c>
      <c r="D3162">
        <f>IF(Skills!C5=1,60+Inputs!$B$25+Inputs!$B$29,IF(Skills!C5=2,90+Inputs!$B$26+Inputs!$B$29,IF(Skills!C5=3,120+Inputs!$B$27+Inputs!$B$29,MAX(0,(Inputs!$B$3-100)*3)+Inputs!$B$28+Inputs!$B$29)))</f>
        <v/>
      </c>
      <c r="E3162">
        <f>INDEX(FactorTable!$B$2:$Y$301, MATCH(ROUND(MIN(300,MAX(1,D3162)),0), FactorTable!$A$2:$A$301,0), Skills!M5+1)</f>
        <v/>
      </c>
      <c r="F3162">
        <f>IF(Skills!N5=TRUE,(Skills!L5/10)*(E3162/1000),Skills!L5/10)+Skills!O5</f>
        <v/>
      </c>
      <c r="G3162">
        <f>Skills!G5*IF(Skills!H5&gt;0,INT(IF(Inputs!$B$38="pvp",MIN(Skills!I5,15),Skills!I5)/Skills!H5+0.000000001),1)</f>
        <v/>
      </c>
      <c r="H3162">
        <f>1-(1-Skills!J5/100)^Skills!K5</f>
        <v/>
      </c>
      <c r="I3162" t="inlineStr">
        <is>
          <t>1</t>
        </is>
      </c>
      <c r="J3162">
        <f>((Inputs!$B$6*(1+Inputs!$B$7/100))+(((Inputs!$B$12*(1+Inputs!$B$13/100))-(Inputs!$B$12*(1+Inputs!$B$13/100)))+0.25*(Inputs!$B$14-Inputs!$B$14))*(1+Inputs!$B$7/100))*(F3162/100)</f>
        <v/>
      </c>
      <c r="K3162">
        <f>J3162*(1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3169=TRUE,F3169,0)/100)*(1+(IF(Skills!A5="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3162)</f>
        <v/>
      </c>
      <c r="L3162">
        <f>K3162*(MIN(Inputs!$B$22+((C3183=TRUE)*(F3183-Calc!F26)),(Inputs!$B$23+((C3188=TRUE)*(F3188-Calc!F31))+(IF(ArtifactsInput!$M$15,CHOOSE(ArtifactsInput!$N$15+1,25,30,35,40,45,50)/100*(Inputs!$B$11-Inputs!$B$11),0))))/100+(Inputs!$B$23+((C3188=TRUE)*(F3188-Calc!F31))+(IF(ArtifactsInput!$M$15,CHOOSE(ArtifactsInput!$N$15+1,25,30,35,40,45,50)/100*(Inputs!$B$11-Inputs!$B$11),0)))/100)/2</f>
        <v/>
      </c>
      <c r="M3162">
        <f>L3162*(1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2">
        <f>L3162*(1-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3162*(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2">
        <f>(1-Summary!$B$11)*T3162+Summary!$B$11*V3162</f>
        <v/>
      </c>
      <c r="P3162">
        <f>IF(B3202=0,0,O3162/B3202)</f>
        <v/>
      </c>
      <c r="Q3162">
        <f>IFERROR(1/(IF(Inputs!$B$38="pvp",15,MAX(0.1,Skills!D5-IF(TRUE=TRUE,1.5,0)))*(1-IF(AND(ArtifactsInput!$M$27,Inputs!$B$4="Chapter Hunt"),CHOOSE(ArtifactsInput!$N$27+1,20,24,28,32,36,40),0)/100)),0)</f>
        <v/>
      </c>
      <c r="R3162">
        <f>IF(AND(Inputs!$B$38&lt;&gt;"pvp",Inputs!$B$43&gt;0),IF(MAX(0,Inputs!$B$43-B3199)&lt;=0,0,(INT(MAX(0,Inputs!$B$43-B3199)/(IF(Inputs!$B$38="pvp",15,MAX(0.1,Skills!D5-IF(TRUE=TRUE,1.5,0)))*(1-IF(AND(ArtifactsInput!$M$27,Inputs!$B$4="Chapter Hunt"),CHOOSE(ArtifactsInput!$N$27+1,20,24,28,32,36,40),0)/100)))+1)),0)</f>
        <v/>
      </c>
      <c r="S3162">
        <f>IFERROR(O3162/N3162,0)</f>
        <v/>
      </c>
      <c r="T3162">
        <f>IF(C3162,(H3162*N3162*IF(AND(Inputs!$B$38&lt;&gt;"pvp",Inputs!$B$43&gt;0),((Skills!G5*((R3162-1)*IF(Skills!H5&gt;0,INT(Skills!I5/Skills!H5+0.000000001),1)+IF(Skills!H5&gt;0,INT(MIN(Skills!I5,MAX(0,MAX(0,Inputs!$B$43-B3199)-((R3162-1)*(IF(Inputs!$B$38="pvp",15,MAX(0.1,Skills!D5-IF(TRUE=TRUE,1.5,0)))*(1-IF(AND(ArtifactsInput!$M$27,Inputs!$B$4="Chapter Hunt"),CHOOSE(ArtifactsInput!$N$27+1,20,24,28,32,36,40),0)/100)))))/Skills!H5+0.000000001),1)))/Inputs!$B$43),G3162*Q3162)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2">
        <f>IF(C3162,(H3162*N3162*IF(AND(Inputs!$B$38&lt;&gt;"pvp",Inputs!$B$43&gt;0),((Skills!G5*((R3162-1)*IF(Skills!H5&gt;0,INT(Skills!I5/Skills!H5+0.000000001),1)+IF(Skills!H5&gt;0,INT(MIN(Skills!I5,MAX(0,MAX(0,Inputs!$B$43-B3199)-((R3162-1)*(IF(Inputs!$B$38="pvp",15,MAX(0.1,Skills!D5-IF(TRUE=TRUE,1.5,0)))*(1-IF(AND(ArtifactsInput!$M$27,Inputs!$B$4="Chapter Hunt"),CHOOSE(ArtifactsInput!$N$27+1,20,24,28,32,36,40),0)/100)))))/Skills!H5+0.000000001),1)))/Inputs!$B$43),G3162*Q3162))*IF(Inputs!$B$38="pvp",1,(1+(Inputs!$B$21+Skills!Q5+(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3">
      <c r="A3163">
        <f>Skills!A6</f>
        <v/>
      </c>
      <c r="B3163">
        <f>Skills!B6</f>
        <v/>
      </c>
      <c r="C3163">
        <f>Inputs!$B$3&gt;=40</f>
        <v/>
      </c>
      <c r="D3163">
        <f>IF(Skills!C6=1,60+Inputs!$B$25+Inputs!$B$29,IF(Skills!C6=2,90+Inputs!$B$26+Inputs!$B$29,IF(Skills!C6=3,120+Inputs!$B$27+Inputs!$B$29,MAX(0,(Inputs!$B$3-100)*3)+Inputs!$B$28+Inputs!$B$29)))</f>
        <v/>
      </c>
      <c r="E3163">
        <f>INDEX(FactorTable!$B$2:$Y$301, MATCH(ROUND(MIN(300,MAX(1,D3163)),0), FactorTable!$A$2:$A$301,0), Skills!M6+1)</f>
        <v/>
      </c>
      <c r="F3163">
        <f>IF(Skills!N6=TRUE,(Skills!L6/10)*(E3163/1000),Skills!L6/10)+Skills!O6</f>
        <v/>
      </c>
      <c r="G3163">
        <f>Skills!G6*IF(Skills!H6&gt;0,INT(IF(Inputs!$B$38="pvp",MIN(Skills!I6,15),Skills!I6)/Skills!H6+0.000000001),1)</f>
        <v/>
      </c>
      <c r="H3163">
        <f>1-(1-Skills!J6/100)^Skills!K6</f>
        <v/>
      </c>
      <c r="I3163" t="inlineStr">
        <is>
          <t>1</t>
        </is>
      </c>
      <c r="J3163">
        <f>((Inputs!$B$6*(1+Inputs!$B$7/100))+(((Inputs!$B$12*(1+Inputs!$B$13/100))-(Inputs!$B$12*(1+Inputs!$B$13/100)))+0.25*(Inputs!$B$14-Inputs!$B$14))*(1+Inputs!$B$7/100))*(F3163/100)</f>
        <v/>
      </c>
      <c r="K3163">
        <f>J3163*(1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3164=TRUE,F3164,0)/100)*(1+(IF(Skills!A6="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3163)</f>
        <v/>
      </c>
      <c r="L3163">
        <f>K3163*(MIN(Inputs!$B$22+((C3183=TRUE)*(F3183-Calc!F26)),(Inputs!$B$23+((C3188=TRUE)*(F3188-Calc!F31))+(IF(ArtifactsInput!$M$15,CHOOSE(ArtifactsInput!$N$15+1,25,30,35,40,45,50)/100*(Inputs!$B$11-Inputs!$B$11),0))))/100+(Inputs!$B$23+((C3188=TRUE)*(F3188-Calc!F31))+(IF(ArtifactsInput!$M$15,CHOOSE(ArtifactsInput!$N$15+1,25,30,35,40,45,50)/100*(Inputs!$B$11-Inputs!$B$11),0)))/100)/2</f>
        <v/>
      </c>
      <c r="M3163">
        <f>L3163*(1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3">
        <f>L3163*(1-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3163*(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3">
        <f>(1-Summary!$B$11)*T3163+Summary!$B$11*V3163</f>
        <v/>
      </c>
      <c r="P3163">
        <f>IF(B3202=0,0,O3163/B3202)</f>
        <v/>
      </c>
      <c r="Q3163">
        <f>IFERROR(1/(IF(Inputs!$B$38="pvp",15,MAX(0.1,1-0.4*MIN(1,(B3194-1)/1.5)-IF(FALSE=TRUE,1.5,0)))*(1-IF(AND(ArtifactsInput!$M$27,Inputs!$B$4="Chapter Hunt"),CHOOSE(ArtifactsInput!$N$27+1,20,24,28,32,36,40),0)/100)),0)</f>
        <v/>
      </c>
      <c r="R3163">
        <f>IF(AND(Inputs!$B$38&lt;&gt;"pvp",Inputs!$B$43&gt;0),IF(MAX(0,Inputs!$B$43-B3199)&lt;=0,0,(INT(MAX(0,Inputs!$B$43-B3199)/(IF(Inputs!$B$38="pvp",15,MAX(0.1,1-0.4*MIN(1,(B3194-1)/1.5)-IF(FALSE=TRUE,1.5,0)))*(1-IF(AND(ArtifactsInput!$M$27,Inputs!$B$4="Chapter Hunt"),CHOOSE(ArtifactsInput!$N$27+1,20,24,28,32,36,40),0)/100)))+1)),0)</f>
        <v/>
      </c>
      <c r="S3163">
        <f>IFERROR(O3163/N3163,0)</f>
        <v/>
      </c>
      <c r="T3163">
        <f>IF(C3163,(H3163*N3163*IF(AND(Inputs!$B$38&lt;&gt;"pvp",Inputs!$B$43&gt;0),((Skills!G6*((R3163-1)*IF(Skills!H6&gt;0,INT(Skills!I6/Skills!H6+0.000000001),1)+IF(Skills!H6&gt;0,INT(MIN(Skills!I6,MAX(0,MAX(0,Inputs!$B$43-B3199)-((R3163-1)*(IF(Inputs!$B$38="pvp",15,MAX(0.1,1-0.4*MIN(1,(B3194-1)/1.5)-IF(FALSE=TRUE,1.5,0)))*(1-IF(AND(ArtifactsInput!$M$27,Inputs!$B$4="Chapter Hunt"),CHOOSE(ArtifactsInput!$N$27+1,20,24,28,32,36,40),0)/100)))))/Skills!H6+0.000000001),1)))/Inputs!$B$43),G3163*Q3163)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3">
        <f>IF(C3163,(H3163*N3163*IF(AND(Inputs!$B$38&lt;&gt;"pvp",Inputs!$B$43&gt;0),((Skills!G6*((R3163-1)*IF(Skills!H6&gt;0,INT(Skills!I6/Skills!H6+0.000000001),1)+IF(Skills!H6&gt;0,INT(MIN(Skills!I6,MAX(0,MAX(0,Inputs!$B$43-B3199)-((R3163-1)*(IF(Inputs!$B$38="pvp",15,MAX(0.1,1-0.4*MIN(1,(B3194-1)/1.5)-IF(FALSE=TRUE,1.5,0)))*(1-IF(AND(ArtifactsInput!$M$27,Inputs!$B$4="Chapter Hunt"),CHOOSE(ArtifactsInput!$N$27+1,20,24,28,32,36,40),0)/100)))))/Skills!H6+0.000000001),1)))/Inputs!$B$43),G3163*Q3163))*IF(Inputs!$B$38="pvp",1,(1+(Inputs!$B$21+Skills!Q6+(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4">
      <c r="A3164">
        <f>Skills!A7</f>
        <v/>
      </c>
      <c r="B3164">
        <f>Skills!B7</f>
        <v/>
      </c>
      <c r="C3164">
        <f>Inputs!$B$3&gt;=107</f>
        <v/>
      </c>
      <c r="D3164">
        <f>IF(Skills!C7=1,60+Inputs!$B$25+Inputs!$B$29,IF(Skills!C7=2,90+Inputs!$B$26+Inputs!$B$29,IF(Skills!C7=3,120+Inputs!$B$27+Inputs!$B$29,MAX(0,(Inputs!$B$3-100)*3)+Inputs!$B$28+Inputs!$B$29)))</f>
        <v/>
      </c>
      <c r="E3164">
        <f>INDEX(FactorTable!$B$2:$Y$301, MATCH(ROUND(MIN(300,MAX(1,D3164)),0), FactorTable!$A$2:$A$301,0), Skills!M7+1)</f>
        <v/>
      </c>
      <c r="F3164">
        <f>IF(Skills!N7=TRUE,(Skills!L7/10)*(E3164/1000),Skills!L7/10)+Skills!O7</f>
        <v/>
      </c>
      <c r="G3164" t="inlineStr"/>
      <c r="H3164" t="inlineStr"/>
      <c r="I3164" t="inlineStr">
        <is>
          <t>1</t>
        </is>
      </c>
      <c r="J3164" t="inlineStr"/>
      <c r="K3164" t="inlineStr"/>
      <c r="L3164" t="inlineStr"/>
      <c r="M3164" t="inlineStr"/>
      <c r="N3164" t="inlineStr"/>
      <c r="O3164" t="inlineStr"/>
      <c r="P3164" t="inlineStr"/>
      <c r="Q3164" t="inlineStr"/>
      <c r="R3164" t="inlineStr"/>
      <c r="S3164" t="inlineStr"/>
      <c r="T3164" t="inlineStr"/>
      <c r="V3164" t="inlineStr"/>
    </row>
    <row r="3165">
      <c r="A3165">
        <f>Skills!A8</f>
        <v/>
      </c>
      <c r="B3165">
        <f>Skills!B8</f>
        <v/>
      </c>
      <c r="C3165">
        <f>Inputs!$B$3&gt;=130</f>
        <v/>
      </c>
      <c r="D3165">
        <f>IF(Skills!C8=1,60+Inputs!$B$25+Inputs!$B$29,IF(Skills!C8=2,90+Inputs!$B$26+Inputs!$B$29,IF(Skills!C8=3,120+Inputs!$B$27+Inputs!$B$29,MAX(0,(Inputs!$B$3-100)*3)+Inputs!$B$28+Inputs!$B$29)))</f>
        <v/>
      </c>
      <c r="E3165">
        <f>INDEX(FactorTable!$B$2:$Y$301, MATCH(ROUND(MIN(300,MAX(1,D3165)),0), FactorTable!$A$2:$A$301,0), Skills!M8+1)</f>
        <v/>
      </c>
      <c r="F3165">
        <f>IF(Skills!N8=TRUE,(Skills!L8/10)*(E3165/1000),Skills!L8/10)+Skills!O8</f>
        <v/>
      </c>
      <c r="G3165">
        <f>Skills!G8*IF(Skills!H8&gt;0,INT(IF(Inputs!$B$38="pvp",MIN(Skills!I8,15),Skills!I8)/Skills!H8+0.000000001),1)</f>
        <v/>
      </c>
      <c r="H3165">
        <f>1-(1-Skills!J8/100)^Skills!K8</f>
        <v/>
      </c>
      <c r="I3165" t="inlineStr">
        <is>
          <t>1</t>
        </is>
      </c>
      <c r="J3165">
        <f>((Inputs!$B$6*(1+Inputs!$B$7/100))+(((Inputs!$B$12*(1+Inputs!$B$13/100))-(Inputs!$B$12*(1+Inputs!$B$13/100)))+0.25*(Inputs!$B$14-Inputs!$B$14))*(1+Inputs!$B$7/100))*(F3165/100)</f>
        <v/>
      </c>
      <c r="K3165">
        <f>J3165*(1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3165)</f>
        <v/>
      </c>
      <c r="L3165">
        <f>K3165*(MIN(Inputs!$B$22+((C3183=TRUE)*(F3183-Calc!F26)),(Inputs!$B$23+((C3188=TRUE)*(F3188-Calc!F31))+(IF(ArtifactsInput!$M$15,CHOOSE(ArtifactsInput!$N$15+1,25,30,35,40,45,50)/100*(Inputs!$B$11-Inputs!$B$11),0))))/100+(Inputs!$B$23+((C3188=TRUE)*(F3188-Calc!F31))+(IF(ArtifactsInput!$M$15,CHOOSE(ArtifactsInput!$N$15+1,25,30,35,40,45,50)/100*(Inputs!$B$11-Inputs!$B$11),0)))/100)/2</f>
        <v/>
      </c>
      <c r="M3165">
        <f>L3165*(1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5">
        <f>L3165*(1-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3165*(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5">
        <f>(1-Summary!$B$11)*T3165+Summary!$B$11*V3165</f>
        <v/>
      </c>
      <c r="P3165">
        <f>IF(B3202=0,0,O3165/B3202)</f>
        <v/>
      </c>
      <c r="Q3165">
        <f>IFERROR(1/(IF(Inputs!$B$38="pvp",15,MAX(0.1,1-0.4*MIN(1,(B3194-1)/1.5)-IF(FALSE=TRUE,1.5,0)))*(1-IF(AND(ArtifactsInput!$M$27,Inputs!$B$4="Chapter Hunt"),CHOOSE(ArtifactsInput!$N$27+1,20,24,28,32,36,40),0)/100)),0)</f>
        <v/>
      </c>
      <c r="R3165">
        <f>IF(AND(Inputs!$B$38&lt;&gt;"pvp",Inputs!$B$43&gt;0),IF(MAX(0,Inputs!$B$43-B3199)&lt;=0,0,(INT(MAX(0,Inputs!$B$43-B3199)/(IF(Inputs!$B$38="pvp",15,MAX(0.1,1-0.4*MIN(1,(B3194-1)/1.5)-IF(FALSE=TRUE,1.5,0)))*(1-IF(AND(ArtifactsInput!$M$27,Inputs!$B$4="Chapter Hunt"),CHOOSE(ArtifactsInput!$N$27+1,20,24,28,32,36,40),0)/100)))+1)),0)</f>
        <v/>
      </c>
      <c r="S3165">
        <f>IFERROR(O3165/N3165,0)</f>
        <v/>
      </c>
      <c r="T3165">
        <f>IF(C3165,(H3165*N3165*IF(AND(Inputs!$B$38&lt;&gt;"pvp",Inputs!$B$43&gt;0),((Skills!G8*((R3165-1)*IF(Skills!H8&gt;0,INT(Skills!I8/Skills!H8+0.000000001),1)+IF(Skills!H8&gt;0,INT(MIN(Skills!I8,MAX(0,MAX(0,Inputs!$B$43-B3199)-((R3165-1)*(IF(Inputs!$B$38="pvp",15,MAX(0.1,1-0.4*MIN(1,(B3194-1)/1.5)-IF(FALSE=TRUE,1.5,0)))*(1-IF(AND(ArtifactsInput!$M$27,Inputs!$B$4="Chapter Hunt"),CHOOSE(ArtifactsInput!$N$27+1,20,24,28,32,36,40),0)/100)))))/Skills!H8+0.000000001),1)))/Inputs!$B$43),G3165*Q3165)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5">
        <f>IF(C3165,(H3165*N3165*IF(AND(Inputs!$B$38&lt;&gt;"pvp",Inputs!$B$43&gt;0),((Skills!G8*((R3165-1)*IF(Skills!H8&gt;0,INT(Skills!I8/Skills!H8+0.000000001),1)+IF(Skills!H8&gt;0,INT(MIN(Skills!I8,MAX(0,MAX(0,Inputs!$B$43-B3199)-((R3165-1)*(IF(Inputs!$B$38="pvp",15,MAX(0.1,1-0.4*MIN(1,(B3194-1)/1.5)-IF(FALSE=TRUE,1.5,0)))*(1-IF(AND(ArtifactsInput!$M$27,Inputs!$B$4="Chapter Hunt"),CHOOSE(ArtifactsInput!$N$27+1,20,24,28,32,36,40),0)/100)))))/Skills!H8+0.000000001),1)))/Inputs!$B$43),G3165*Q3165))*IF(Inputs!$B$38="pvp",1,(1+(Inputs!$B$21+Skills!Q8+(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6">
      <c r="A3166">
        <f>Skills!A9</f>
        <v/>
      </c>
      <c r="B3166">
        <f>Skills!B9</f>
        <v/>
      </c>
      <c r="C3166">
        <f>Inputs!$B$3&gt;=69</f>
        <v/>
      </c>
      <c r="D3166">
        <f>IF(Skills!C9=1,60+Inputs!$B$25+Inputs!$B$29,IF(Skills!C9=2,90+Inputs!$B$26+Inputs!$B$29,IF(Skills!C9=3,120+Inputs!$B$27+Inputs!$B$29,MAX(0,(Inputs!$B$3-100)*3)+Inputs!$B$28+Inputs!$B$29)))</f>
        <v/>
      </c>
      <c r="E3166">
        <f>INDEX(FactorTable!$B$2:$Y$301, MATCH(ROUND(MIN(300,MAX(1,D3166)),0), FactorTable!$A$2:$A$301,0), Skills!M9+1)</f>
        <v/>
      </c>
      <c r="F3166">
        <f>IF(Skills!N9=TRUE,(Skills!L9/10)*(E3166/1000),Skills!L9/10)+Skills!O9</f>
        <v/>
      </c>
      <c r="G3166">
        <f>Skills!G9*IF(Skills!H9&gt;0,INT(IF(Inputs!$B$38="pvp",MIN(Skills!I9,15),Skills!I9)/Skills!H9+0.000000001),1)</f>
        <v/>
      </c>
      <c r="H3166">
        <f>1-(1-Skills!J9/100)^Skills!K9</f>
        <v/>
      </c>
      <c r="I3166" t="inlineStr">
        <is>
          <t>1</t>
        </is>
      </c>
      <c r="J3166">
        <f>((Inputs!$B$6*(1+Inputs!$B$7/100))+(((Inputs!$B$12*(1+Inputs!$B$13/100))-(Inputs!$B$12*(1+Inputs!$B$13/100)))+0.25*(Inputs!$B$14-Inputs!$B$14))*(1+Inputs!$B$7/100))*(F3166/100)</f>
        <v/>
      </c>
      <c r="K3166">
        <f>J3166*(1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3169=TRUE,F3169,0)/100)*(1+(IF(Skills!A9="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C3183=TRUE)*(F3183-Calc!F26)),(Inputs!$B$23+((C3188=TRUE)*(F3188-Calc!F31))+(IF(ArtifactsInput!$M$15,CHOOSE(ArtifactsInput!$N$15+1,25,30,35,40,45,50)/100*(Inputs!$B$11-Inputs!$B$11),0))))/100+(Inputs!$B$23+((C3188=TRUE)*(F3188-Calc!F31))+(IF(ArtifactsInput!$M$15,CHOOSE(ArtifactsInput!$N$15+1,25,30,35,40,45,50)/100*(Inputs!$B$11-Inputs!$B$11),0)))/100)/2</f>
        <v/>
      </c>
      <c r="M3166">
        <f>L3166*(1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(1-Summary!$B$11)*T3166+Summary!$B$11*V3166</f>
        <v/>
      </c>
      <c r="P3166">
        <f>IF(B3202=0,0,O3166/B3202)</f>
        <v/>
      </c>
      <c r="Q3166">
        <f>IFERROR(1/(IF(Inputs!$B$38="pvp",15,MAX(0.1,Skills!D9-IF(TRUE=TRUE,1.5,0)))*(1-IF(AND(ArtifactsInput!$M$27,Inputs!$B$4="Chapter Hunt"),CHOOSE(ArtifactsInput!$N$27+1,20,24,28,32,36,40),0)/100)),0)</f>
        <v/>
      </c>
      <c r="R3166">
        <f>IF(AND(Inputs!$B$38&lt;&gt;"pvp",Inputs!$B$43&gt;0),IF(MAX(0,Inputs!$B$43-B3199)&lt;=0,0,(INT(MAX(0,Inputs!$B$43-B3199)/(IF(Inputs!$B$38="pvp",15,MAX(0.1,Skills!D9-IF(TRUE=TRUE,1.5,0)))*(1-IF(AND(ArtifactsInput!$M$27,Inputs!$B$4="Chapter Hunt"),CHOOSE(ArtifactsInput!$N$27+1,20,24,28,32,36,40),0)/100)))+1)),0)</f>
        <v/>
      </c>
      <c r="S3166">
        <f>IFERROR(O3166/N3166,0)</f>
        <v/>
      </c>
      <c r="T3166">
        <f>IF(C3166,(H3166*N3166*IF(AND(Inputs!$B$38&lt;&gt;"pvp",Inputs!$B$43&gt;0),((Skills!G9*((R3166-1)*IF(Skills!H9&gt;0,INT(Skills!I9/Skills!H9+0.000000001),1)+IF(Skills!H9&gt;0,INT(MIN(Skills!I9,MAX(0,MAX(0,Inputs!$B$43-B3199)-((R3166-1)*(IF(Inputs!$B$38="pvp",15,MAX(0.1,Skills!D9-IF(TRUE=TRUE,1.5,0)))*(1-IF(AND(ArtifactsInput!$M$27,Inputs!$B$4="Chapter Hunt"),CHOOSE(ArtifactsInput!$N$27+1,20,24,28,32,36,40),0)/100)))))/Skills!H9+0.000000001),1)))/Inputs!$B$43),G3166*Q3166)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6">
        <f>IF(C3166,(H3166*N3166*IF(AND(Inputs!$B$38&lt;&gt;"pvp",Inputs!$B$43&gt;0),((Skills!G9*((R3166-1)*IF(Skills!H9&gt;0,INT(Skills!I9/Skills!H9+0.000000001),1)+IF(Skills!H9&gt;0,INT(MIN(Skills!I9,MAX(0,MAX(0,Inputs!$B$43-B3199)-((R3166-1)*(IF(Inputs!$B$38="pvp",15,MAX(0.1,Skills!D9-IF(TRUE=TRUE,1.5,0)))*(1-IF(AND(ArtifactsInput!$M$27,Inputs!$B$4="Chapter Hunt"),CHOOSE(ArtifactsInput!$N$27+1,20,24,28,32,36,40),0)/100)))))/Skills!H9+0.000000001),1)))/Inputs!$B$43),G3166*Q3166))*IF(Inputs!$B$38="pvp",1,(1+(Inputs!$B$21+Skills!Q9+(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7">
      <c r="A3167">
        <f>Skills!A10</f>
        <v/>
      </c>
      <c r="B3167">
        <f>Skills!B10</f>
        <v/>
      </c>
      <c r="C3167">
        <f>Inputs!$B$3&gt;=63</f>
        <v/>
      </c>
      <c r="D3167">
        <f>IF(Skills!C10=1,60+Inputs!$B$25+Inputs!$B$29,IF(Skills!C10=2,90+Inputs!$B$26+Inputs!$B$29,IF(Skills!C10=3,120+Inputs!$B$27+Inputs!$B$29,MAX(0,(Inputs!$B$3-100)*3)+Inputs!$B$28+Inputs!$B$29)))</f>
        <v/>
      </c>
      <c r="E3167">
        <f>INDEX(FactorTable!$B$2:$Y$301, MATCH(ROUND(MIN(300,MAX(1,D3167)),0), FactorTable!$A$2:$A$301,0), Skills!M10+1)</f>
        <v/>
      </c>
      <c r="F3167">
        <f>IF(Skills!N10=TRUE,(Skills!L10/10)*(E3167/1000),Skills!L10/10)+Skills!O10</f>
        <v/>
      </c>
      <c r="G3167">
        <f>Skills!G10*IF(Skills!H10&gt;0,INT(IF(Inputs!$B$38="pvp",MIN(Skills!I10,15),Skills!I10)/Skills!H10+0.000000001),1)</f>
        <v/>
      </c>
      <c r="H3167">
        <f>1-(1-Skills!J10/100)^Skills!K10</f>
        <v/>
      </c>
      <c r="I3167" t="inlineStr">
        <is>
          <t>1</t>
        </is>
      </c>
      <c r="J3167">
        <f>((Inputs!$B$6*(1+Inputs!$B$7/100))+(((Inputs!$B$12*(1+Inputs!$B$13/100))-(Inputs!$B$12*(1+Inputs!$B$13/100)))+0.25*(Inputs!$B$14-Inputs!$B$14))*(1+Inputs!$B$7/100))*(F3167/100)</f>
        <v/>
      </c>
      <c r="K3167">
        <f>J3167*(1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3169=TRUE,F3169,0)/100)*(1+(IF(Skills!A10="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3183=TRUE)*(F3183-Calc!F26)),(Inputs!$B$23+((C3188=TRUE)*(F3188-Calc!F31))+(IF(ArtifactsInput!$M$15,CHOOSE(ArtifactsInput!$N$15+1,25,30,35,40,45,50)/100*(Inputs!$B$11-Inputs!$B$11),0))))/100+(Inputs!$B$23+((C3188=TRUE)*(F3188-Calc!F31))+(IF(ArtifactsInput!$M$15,CHOOSE(ArtifactsInput!$N$15+1,25,30,35,40,45,50)/100*(Inputs!$B$11-Inputs!$B$11),0)))/100)/2</f>
        <v/>
      </c>
      <c r="M3167">
        <f>L3167*(1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IF(B3202=0,0,O3167/B3202)</f>
        <v/>
      </c>
      <c r="Q3167">
        <f>IFERROR(1/(IF(Inputs!$B$38="pvp",15,MAX(0.1,Skills!D10-IF(TRUE=TRUE,1.5,0)))*(1-IF(AND(ArtifactsInput!$M$27,Inputs!$B$4="Chapter Hunt"),CHOOSE(ArtifactsInput!$N$27+1,20,24,28,32,36,40),0)/100)),0)</f>
        <v/>
      </c>
      <c r="R3167">
        <f>IF(AND(Inputs!$B$38&lt;&gt;"pvp",Inputs!$B$43&gt;0),IF(MAX(0,Inputs!$B$43-B3199)&lt;=0,0,(INT(MAX(0,Inputs!$B$43-B3199)/(IF(Inputs!$B$38="pvp",15,MAX(0.1,Skills!D10-IF(TRUE=TRUE,1.5,0)))*(1-IF(AND(ArtifactsInput!$M$27,Inputs!$B$4="Chapter Hunt"),CHOOSE(ArtifactsInput!$N$27+1,20,24,28,32,36,40),0)/100)))+1)),0)</f>
        <v/>
      </c>
      <c r="S3167">
        <f>IFERROR(O3167/N3167,0)</f>
        <v/>
      </c>
      <c r="T3167">
        <f>IF(C3167,(H3167*N3167*IF(AND(Inputs!$B$38&lt;&gt;"pvp",Inputs!$B$43&gt;0),((Skills!G10*((R3167-1)*IF(Skills!H10&gt;0,INT(Skills!I10/Skills!H10+0.000000001),1)+IF(Skills!H10&gt;0,INT(MIN(Skills!I10,MAX(0,MAX(0,Inputs!$B$43-B3199)-((R3167-1)*(IF(Inputs!$B$38="pvp",15,MAX(0.1,Skills!D10-IF(TRUE=TRUE,1.5,0)))*(1-IF(AND(ArtifactsInput!$M$27,Inputs!$B$4="Chapter Hunt"),CHOOSE(ArtifactsInput!$N$27+1,20,24,28,32,36,40),0)/100)))))/Skills!H10+0.000000001),1)))/Inputs!$B$43),G3167*Q3167)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7">
        <f>IF(C3167,(H3167*N3167*IF(AND(Inputs!$B$38&lt;&gt;"pvp",Inputs!$B$43&gt;0),((Skills!G10*((R3167-1)*IF(Skills!H10&gt;0,INT(Skills!I10/Skills!H10+0.000000001),1)+IF(Skills!H10&gt;0,INT(MIN(Skills!I10,MAX(0,MAX(0,Inputs!$B$43-B3199)-((R3167-1)*(IF(Inputs!$B$38="pvp",15,MAX(0.1,Skills!D10-IF(TRUE=TRUE,1.5,0)))*(1-IF(AND(ArtifactsInput!$M$27,Inputs!$B$4="Chapter Hunt"),CHOOSE(ArtifactsInput!$N$27+1,20,24,28,32,36,40),0)/100)))))/Skills!H10+0.000000001),1)))/Inputs!$B$43),G3167*Q3167))*IF(Inputs!$B$38="pvp",1,(1+(Inputs!$B$21+Skills!Q10+(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Skills!A11</f>
        <v/>
      </c>
      <c r="B3168">
        <f>Skills!B11</f>
        <v/>
      </c>
      <c r="C3168">
        <f>Inputs!$B$3&gt;=103</f>
        <v/>
      </c>
      <c r="D3168">
        <f>IF(Skills!C11=1,60+Inputs!$B$25+Inputs!$B$29,IF(Skills!C11=2,90+Inputs!$B$26+Inputs!$B$29,IF(Skills!C11=3,120+Inputs!$B$27+Inputs!$B$29,MAX(0,(Inputs!$B$3-100)*3)+Inputs!$B$28+Inputs!$B$29)))</f>
        <v/>
      </c>
      <c r="E3168">
        <f>INDEX(FactorTable!$B$2:$Y$301, MATCH(ROUND(MIN(300,MAX(1,D3168)),0), FactorTable!$A$2:$A$301,0), Skills!M11+1)</f>
        <v/>
      </c>
      <c r="F3168">
        <f>IF(Skills!N11=TRUE,(Skills!L11/10)*(E3168/1000),Skills!L11/10)+Skills!O11</f>
        <v/>
      </c>
      <c r="G3168">
        <f>Skills!G11*IF(Skills!H11&gt;0,INT(IF(Inputs!$B$38="pvp",MIN(Skills!I11,15),Skills!I11)/Skills!H11+0.000000001),1)</f>
        <v/>
      </c>
      <c r="H3168">
        <f>1-(1-Skills!J11/100)^Skills!K11</f>
        <v/>
      </c>
      <c r="I3168" t="inlineStr">
        <is>
          <t>1</t>
        </is>
      </c>
      <c r="J3168">
        <f>((Inputs!$B$6*(1+Inputs!$B$7/100))+(((Inputs!$B$12*(1+Inputs!$B$13/100))-(Inputs!$B$12*(1+Inputs!$B$13/100)))+0.25*(Inputs!$B$14-Inputs!$B$14))*(1+Inputs!$B$7/100))*(F3168/100)</f>
        <v/>
      </c>
      <c r="K3168">
        <f>J3168*(1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3183=TRUE)*(F3183-Calc!F26)),(Inputs!$B$23+((C3188=TRUE)*(F3188-Calc!F31))+(IF(ArtifactsInput!$M$15,CHOOSE(ArtifactsInput!$N$15+1,25,30,35,40,45,50)/100*(Inputs!$B$11-Inputs!$B$11),0))))/100+(Inputs!$B$23+((C3188=TRUE)*(F3188-Calc!F31))+(IF(ArtifactsInput!$M$15,CHOOSE(ArtifactsInput!$N$15+1,25,30,35,40,45,50)/100*(Inputs!$B$11-Inputs!$B$11),0)))/100)/2</f>
        <v/>
      </c>
      <c r="M3168">
        <f>L3168*(1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IF(B3202=0,0,O3168/B3202)</f>
        <v/>
      </c>
      <c r="Q3168">
        <f>IFERROR(1/(IF(Inputs!$B$38="pvp",15,MAX(0.1,Skills!D11-IF(TRUE=TRUE,1.5,0)))*(1-IF(AND(ArtifactsInput!$M$27,Inputs!$B$4="Chapter Hunt"),CHOOSE(ArtifactsInput!$N$27+1,20,24,28,32,36,40),0)/100)),0)</f>
        <v/>
      </c>
      <c r="R3168">
        <f>IF(AND(Inputs!$B$38&lt;&gt;"pvp",Inputs!$B$43&gt;0),IF(MAX(0,Inputs!$B$43-B3199)&lt;=0,0,(INT(MAX(0,Inputs!$B$43-B3199)/(IF(Inputs!$B$38="pvp",15,MAX(0.1,Skills!D11-IF(TRUE=TRUE,1.5,0)))*(1-IF(AND(ArtifactsInput!$M$27,Inputs!$B$4="Chapter Hunt"),CHOOSE(ArtifactsInput!$N$27+1,20,24,28,32,36,40),0)/100)))+1)),0)</f>
        <v/>
      </c>
      <c r="S3168">
        <f>IFERROR(O3168/N3168,0)</f>
        <v/>
      </c>
      <c r="T3168">
        <f>IF(C3168,(H3168*N3168*IF(AND(Inputs!$B$38&lt;&gt;"pvp",Inputs!$B$43&gt;0),((Skills!G11*((R3168-1)*IF(Skills!H11&gt;0,INT(Skills!I11/Skills!H11+0.000000001),1)+IF(Skills!H11&gt;0,INT(MIN(Skills!I11,MAX(0,MAX(0,Inputs!$B$43-B3199)-((R3168-1)*(IF(Inputs!$B$38="pvp",15,MAX(0.1,Skills!D11-IF(TRUE=TRUE,1.5,0)))*(1-IF(AND(ArtifactsInput!$M$27,Inputs!$B$4="Chapter Hunt"),CHOOSE(ArtifactsInput!$N$27+1,20,24,28,32,36,40),0)/100)))))/Skills!H11+0.000000001),1)))/Inputs!$B$43),G3168*Q3168)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8">
        <f>IF(C3168,(H3168*N3168*IF(AND(Inputs!$B$38&lt;&gt;"pvp",Inputs!$B$43&gt;0),((Skills!G11*((R3168-1)*IF(Skills!H11&gt;0,INT(Skills!I11/Skills!H11+0.000000001),1)+IF(Skills!H11&gt;0,INT(MIN(Skills!I11,MAX(0,MAX(0,Inputs!$B$43-B3199)-((R3168-1)*(IF(Inputs!$B$38="pvp",15,MAX(0.1,Skills!D11-IF(TRUE=TRUE,1.5,0)))*(1-IF(AND(ArtifactsInput!$M$27,Inputs!$B$4="Chapter Hunt"),CHOOSE(ArtifactsInput!$N$27+1,20,24,28,32,36,40),0)/100)))))/Skills!H11+0.000000001),1)))/Inputs!$B$43),G3168*Q3168))*IF(Inputs!$B$38="pvp",1,(1+(Inputs!$B$21+Skills!Q11+(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Skills!A12</f>
        <v/>
      </c>
      <c r="B3169">
        <f>Skills!B12</f>
        <v/>
      </c>
      <c r="C3169">
        <f>Inputs!$B$3&gt;=100</f>
        <v/>
      </c>
      <c r="D3169">
        <f>IF(Skills!C12=1,60+Inputs!$B$25+Inputs!$B$29,IF(Skills!C12=2,90+Inputs!$B$26+Inputs!$B$29,IF(Skills!C12=3,120+Inputs!$B$27+Inputs!$B$29,MAX(0,(Inputs!$B$3-100)*3)+Inputs!$B$28+Inputs!$B$29)))</f>
        <v/>
      </c>
      <c r="E3169">
        <f>INDEX(FactorTable!$B$2:$Y$301, MATCH(ROUND(MIN(300,MAX(1,D3169)),0), FactorTable!$A$2:$A$301,0), Skills!M12+1)</f>
        <v/>
      </c>
      <c r="F3169">
        <f>IF(Skills!N12=TRUE,(Skills!L12/10)*(E3169/1000),Skills!L12/10)+Skills!O12</f>
        <v/>
      </c>
      <c r="G3169" t="inlineStr"/>
      <c r="H3169" t="inlineStr"/>
      <c r="I3169" t="inlineStr">
        <is>
          <t>1</t>
        </is>
      </c>
      <c r="J3169" t="inlineStr"/>
      <c r="K3169" t="inlineStr"/>
      <c r="L3169" t="inlineStr"/>
      <c r="M3169" t="inlineStr"/>
      <c r="N3169" t="inlineStr"/>
      <c r="O3169" t="inlineStr"/>
      <c r="P3169" t="inlineStr"/>
      <c r="Q3169" t="inlineStr"/>
      <c r="R3169" t="inlineStr"/>
      <c r="S3169" t="inlineStr"/>
      <c r="T3169" t="inlineStr"/>
      <c r="V3169" t="inlineStr"/>
    </row>
    <row r="3170">
      <c r="A3170">
        <f>Skills!A13</f>
        <v/>
      </c>
      <c r="B3170">
        <f>Skills!B13</f>
        <v/>
      </c>
      <c r="C3170">
        <f>Inputs!$B$3&gt;=60</f>
        <v/>
      </c>
      <c r="D3170">
        <f>IF(Skills!C13=1,60+Inputs!$B$25+Inputs!$B$29,IF(Skills!C13=2,90+Inputs!$B$26+Inputs!$B$29,IF(Skills!C13=3,120+Inputs!$B$27+Inputs!$B$29,MAX(0,(Inputs!$B$3-100)*3)+Inputs!$B$28+Inputs!$B$29)))</f>
        <v/>
      </c>
      <c r="E3170">
        <f>INDEX(FactorTable!$B$2:$Y$301, MATCH(ROUND(MIN(300,MAX(1,D3170)),0), FactorTable!$A$2:$A$301,0), Skills!M13+1)</f>
        <v/>
      </c>
      <c r="F3170">
        <f>IF(Skills!N13=TRUE,(Skills!L13/10)*(E3170/1000),Skills!L13/10)+Skills!O13</f>
        <v/>
      </c>
      <c r="G3170">
        <f>Skills!G13*IF(Skills!H13&gt;0,INT(IF(Inputs!$B$38="pvp",MIN(Skills!I13,15),Skills!I13)/Skills!H13+0.000000001),1)</f>
        <v/>
      </c>
      <c r="H3170">
        <f>1-(1-Skills!J13/100)^Skills!K13</f>
        <v/>
      </c>
      <c r="I3170" t="inlineStr">
        <is>
          <t>1</t>
        </is>
      </c>
      <c r="J3170">
        <f>((Inputs!$B$6*(1+Inputs!$B$7/100))+(((Inputs!$B$12*(1+Inputs!$B$13/100))-(Inputs!$B$12*(1+Inputs!$B$13/100)))+0.25*(Inputs!$B$14-Inputs!$B$14))*(1+Inputs!$B$7/100))*(F3170/100)</f>
        <v/>
      </c>
      <c r="K3170">
        <f>J3170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3171=TRUE,F3171,0)/100)*(1+(IF(Skills!A13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3183=TRUE)*(F3183-Calc!F26)),(Inputs!$B$23+((C3188=TRUE)*(F3188-Calc!F31))+(IF(ArtifactsInput!$M$15,CHOOSE(ArtifactsInput!$N$15+1,25,30,35,40,45,50)/100*(Inputs!$B$11-Inputs!$B$11),0))))/100+(Inputs!$B$23+((C3188=TRUE)*(F3188-Calc!F31))+(IF(ArtifactsInput!$M$15,CHOOSE(ArtifactsInput!$N$15+1,25,30,35,40,45,50)/100*(Inputs!$B$11-Inputs!$B$11),0)))/100)/2</f>
        <v/>
      </c>
      <c r="M3170">
        <f>L3170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IF(B3202=0,0,O3170/B3202)</f>
        <v/>
      </c>
      <c r="Q3170">
        <f>IFERROR(1/(IF(Inputs!$B$38="pvp",15,MAX(0.1,IF(Inputs!$B$3&gt;=122,3,5)+1/(((20+30*(B3194-1)*100/150)/100)*B3194)-IF(FALSE=TRUE,1.5,0)))*(1-IF(AND(ArtifactsInput!$M$27,Inputs!$B$4="Chapter Hunt"),CHOOSE(ArtifactsInput!$N$27+1,20,24,28,32,36,40),0)/100)),0)</f>
        <v/>
      </c>
      <c r="R3170">
        <f>IF(AND(Inputs!$B$38&lt;&gt;"pvp",Inputs!$B$43&gt;0),IF(MAX(0,Inputs!$B$43-B3199)&lt;=0,0,(INT(MAX(0,Inputs!$B$43-B3199)/(IF(Inputs!$B$38="pvp",15,MAX(0.1,IF(Inputs!$B$3&gt;=122,3,5)+1/(((20+30*(B3194-1)*100/150)/100)*B3194)-IF(FALSE=TRUE,1.5,0)))*(1-IF(AND(ArtifactsInput!$M$27,Inputs!$B$4="Chapter Hunt"),CHOOSE(ArtifactsInput!$N$27+1,20,24,28,32,36,40),0)/100)))+1)),0)</f>
        <v/>
      </c>
      <c r="S3170">
        <f>IFERROR(O3170/N3170,0)</f>
        <v/>
      </c>
      <c r="T3170">
        <f>IF(C3170,(H3170*N3170*IF(AND(Inputs!$B$38&lt;&gt;"pvp",Inputs!$B$43&gt;0),((Skills!G13*((R3170-1)*IF(Skills!H13&gt;0,INT(Skills!I13/Skills!H13+0.000000001),1)+IF(Skills!H13&gt;0,INT(MIN(Skills!I13,MAX(0,MAX(0,Inputs!$B$43-B3199)-((R3170-1)*(IF(Inputs!$B$38="pvp",15,MAX(0.1,IF(Inputs!$B$3&gt;=122,3,5)+1/(((20+30*(B3194-1)*100/150)/100)*B3194)-IF(FALSE=TRUE,1.5,0)))*(1-IF(AND(ArtifactsInput!$M$27,Inputs!$B$4="Chapter Hunt"),CHOOSE(ArtifactsInput!$N$27+1,20,24,28,32,36,40),0)/100)))))/Skills!H13+0.000000001),1)))/Inputs!$B$43),G3170*Q3170)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13*((R3170-1)*IF(Skills!H13&gt;0,INT(Skills!I13/Skills!H13+0.000000001),1)+IF(Skills!H13&gt;0,INT(MIN(Skills!I13,MAX(0,MAX(0,Inputs!$B$43-B3199)-((R3170-1)*(IF(Inputs!$B$38="pvp",15,MAX(0.1,IF(Inputs!$B$3&gt;=122,3,5)+1/(((20+30*(B3194-1)*100/150)/100)*B3194)-IF(FALSE=TRUE,1.5,0)))*(1-IF(AND(ArtifactsInput!$M$27,Inputs!$B$4="Chapter Hunt"),CHOOSE(ArtifactsInput!$N$27+1,20,24,28,32,36,40),0)/100)))))/Skills!H13+0.000000001),1)))/Inputs!$B$43),G3170*Q3170))*IF(Inputs!$B$38="pvp",1,(1+(Inputs!$B$21+Skills!Q13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Skills!A14</f>
        <v/>
      </c>
      <c r="B3171">
        <f>Skills!B14</f>
        <v/>
      </c>
      <c r="C3171">
        <f>Inputs!$B$3&gt;=110</f>
        <v/>
      </c>
      <c r="D3171">
        <f>IF(Skills!C14=1,60+Inputs!$B$25+Inputs!$B$29,IF(Skills!C14=2,90+Inputs!$B$26+Inputs!$B$29,IF(Skills!C14=3,120+Inputs!$B$27+Inputs!$B$29,MAX(0,(Inputs!$B$3-100)*3)+Inputs!$B$28+Inputs!$B$29)))</f>
        <v/>
      </c>
      <c r="E3171">
        <f>INDEX(FactorTable!$B$2:$Y$301, MATCH(ROUND(MIN(300,MAX(1,D3171)),0), FactorTable!$A$2:$A$301,0), Skills!M14+1)</f>
        <v/>
      </c>
      <c r="F3171">
        <f>IF(Skills!N14=TRUE,(Skills!L14/10)*(E3171/1000),Skills!L14/10)+Skills!O14</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V3171" t="inlineStr"/>
    </row>
    <row r="3172">
      <c r="A3172">
        <f>Skills!A15</f>
        <v/>
      </c>
      <c r="B3172">
        <f>Skills!B15</f>
        <v/>
      </c>
      <c r="C3172">
        <f>Inputs!$B$3&gt;=74</f>
        <v/>
      </c>
      <c r="D3172">
        <f>IF(Skills!C15=1,60+Inputs!$B$25+Inputs!$B$29,IF(Skills!C15=2,90+Inputs!$B$26+Inputs!$B$29,IF(Skills!C15=3,120+Inputs!$B$27+Inputs!$B$29,MAX(0,(Inputs!$B$3-100)*3)+Inputs!$B$28+Inputs!$B$29)))</f>
        <v/>
      </c>
      <c r="E3172">
        <f>INDEX(FactorTable!$B$2:$Y$301, MATCH(ROUND(MIN(300,MAX(1,D3172)),0), FactorTable!$A$2:$A$301,0), Skills!M15+1)</f>
        <v/>
      </c>
      <c r="F3172">
        <f>IF(Skills!N15=TRUE,(Skills!L15/10)*(E3172/1000),Skills!L15/10)+Skills!O15</f>
        <v/>
      </c>
      <c r="G3172">
        <f>Skills!G15*IF(Skills!H15&gt;0,INT(IF(Inputs!$B$38="pvp",MIN(Skills!I15,15),Skills!I15)/Skills!H15+0.000000001),1)</f>
        <v/>
      </c>
      <c r="H3172">
        <f>1-(1-Skills!J15/100)^Skills!K15</f>
        <v/>
      </c>
      <c r="I3172" t="inlineStr">
        <is>
          <t>1</t>
        </is>
      </c>
      <c r="J3172" t="inlineStr"/>
      <c r="K3172" t="inlineStr"/>
      <c r="L3172" t="inlineStr"/>
      <c r="M3172" t="inlineStr"/>
      <c r="N3172" t="inlineStr"/>
      <c r="O3172">
        <f>(1-Summary!$B$11)*T3172+Summary!$B$11*V3172</f>
        <v/>
      </c>
      <c r="P3172">
        <f>IF(B3202=0,0,O3172/B3202)</f>
        <v/>
      </c>
      <c r="Q3172" t="n">
        <v>0</v>
      </c>
      <c r="R3172" t="n">
        <v>0</v>
      </c>
      <c r="S3172">
        <f>IFERROR(O3172/N3172,0)</f>
        <v/>
      </c>
      <c r="T3172" t="n">
        <v>0</v>
      </c>
      <c r="V3172" t="n">
        <v>0</v>
      </c>
    </row>
    <row r="3173">
      <c r="A3173">
        <f>Skills!A16</f>
        <v/>
      </c>
      <c r="B3173">
        <f>Skills!B16</f>
        <v/>
      </c>
      <c r="C3173">
        <f>Inputs!$B$3&gt;=74</f>
        <v/>
      </c>
      <c r="D3173">
        <f>IF(Skills!C16=1,60+Inputs!$B$25+Inputs!$B$29,IF(Skills!C16=2,90+Inputs!$B$26+Inputs!$B$29,IF(Skills!C16=3,120+Inputs!$B$27+Inputs!$B$29,MAX(0,(Inputs!$B$3-100)*3)+Inputs!$B$28+Inputs!$B$29)))</f>
        <v/>
      </c>
      <c r="E3173">
        <f>INDEX(FactorTable!$B$2:$Y$301, MATCH(ROUND(MIN(300,MAX(1,D3173)),0), FactorTable!$A$2:$A$301,0), Skills!M16+1)</f>
        <v/>
      </c>
      <c r="F3173">
        <f>IF(Skills!N16=TRUE,(Skills!L16/10)*(E3173/1000),Skills!L16/10)+Skills!O16</f>
        <v/>
      </c>
      <c r="G3173">
        <f>Skills!G16*IF(Skills!H16&gt;0,INT(IF(Inputs!$B$38="pvp",MIN(Skills!I16,15),Skills!I16)/Skills!H16+0.000000001),1)</f>
        <v/>
      </c>
      <c r="H3173">
        <f>1-(1-Skills!J16/100)^Skills!K16</f>
        <v/>
      </c>
      <c r="I3173" t="inlineStr">
        <is>
          <t>1</t>
        </is>
      </c>
      <c r="J3173" t="inlineStr"/>
      <c r="K3173" t="inlineStr"/>
      <c r="L3173" t="inlineStr"/>
      <c r="M3173" t="inlineStr"/>
      <c r="N3173" t="inlineStr"/>
      <c r="O3173">
        <f>(1-Summary!$B$11)*T3173+Summary!$B$11*V3173</f>
        <v/>
      </c>
      <c r="P3173">
        <f>IF(B3202=0,0,O3173/B3202)</f>
        <v/>
      </c>
      <c r="Q3173" t="n">
        <v>0</v>
      </c>
      <c r="R3173" t="n">
        <v>0</v>
      </c>
      <c r="S3173">
        <f>IFERROR(O3173/N3173,0)</f>
        <v/>
      </c>
      <c r="T3173" t="n">
        <v>0</v>
      </c>
      <c r="V3173" t="n">
        <v>0</v>
      </c>
    </row>
    <row r="3174">
      <c r="A3174">
        <f>Skills!A17</f>
        <v/>
      </c>
      <c r="B3174">
        <f>Skills!B17</f>
        <v/>
      </c>
      <c r="C3174">
        <f>Inputs!$B$3&gt;=117</f>
        <v/>
      </c>
      <c r="D3174">
        <f>IF(Skills!C17=1,60+Inputs!$B$25+Inputs!$B$29,IF(Skills!C17=2,90+Inputs!$B$26+Inputs!$B$29,IF(Skills!C17=3,120+Inputs!$B$27+Inputs!$B$29,MAX(0,(Inputs!$B$3-100)*3)+Inputs!$B$28+Inputs!$B$29)))</f>
        <v/>
      </c>
      <c r="E3174">
        <f>INDEX(FactorTable!$B$2:$Y$301, MATCH(ROUND(MIN(300,MAX(1,D3174)),0), FactorTable!$A$2:$A$301,0), Skills!M17+1)</f>
        <v/>
      </c>
      <c r="F3174">
        <f>IF(Skills!N17=TRUE,(Skills!L17/10)*(E3174/1000),Skills!L17/10)+Skills!O17</f>
        <v/>
      </c>
      <c r="G3174">
        <f>Skills!G17*IF(Skills!H17&gt;0,INT(IF(Inputs!$B$38="pvp",MIN(Skills!I17,15),Skills!I17)/Skills!H17+0.000000001),1)</f>
        <v/>
      </c>
      <c r="H3174">
        <f>1-(1-Skills!J17/100)^Skills!K17</f>
        <v/>
      </c>
      <c r="I3174" t="inlineStr">
        <is>
          <t>1</t>
        </is>
      </c>
      <c r="J3174" t="inlineStr"/>
      <c r="K3174" t="inlineStr"/>
      <c r="L3174" t="inlineStr"/>
      <c r="M3174" t="inlineStr"/>
      <c r="N3174" t="inlineStr"/>
      <c r="O3174">
        <f>(1-Summary!$B$11)*T3174+Summary!$B$11*V3174</f>
        <v/>
      </c>
      <c r="P3174">
        <f>IF(B3202=0,0,O3174/B3202)</f>
        <v/>
      </c>
      <c r="Q3174">
        <f>IFERROR(1/(IF(Inputs!$B$38="pvp",15,MAX(0.1,Skills!D17-IF(TRUE=TRUE,1.5,0)))*(1-IF(AND(ArtifactsInput!$M$27,Inputs!$B$4="Chapter Hunt"),CHOOSE(ArtifactsInput!$N$27+1,20,24,28,32,36,40),0)/100)),0)</f>
        <v/>
      </c>
      <c r="R3174">
        <f>IF(AND(Inputs!$B$38&lt;&gt;"pvp",Inputs!$B$43&gt;0),IF(Inputs!$B$43&lt;=0,0,(INT(Inputs!$B$43/(IF(Inputs!$B$38="pvp",15,MAX(0.1,Skills!D17-IF(TRUE=TRUE,1.5,0)))*(1-IF(AND(ArtifactsInput!$M$27,Inputs!$B$4="Chapter Hunt"),CHOOSE(ArtifactsInput!$N$27+1,20,24,28,32,36,40),0)/100)))+1)),0)</f>
        <v/>
      </c>
      <c r="S3174">
        <f>IFERROR(O3174/N3174,0)</f>
        <v/>
      </c>
      <c r="T3174" t="n">
        <v>0</v>
      </c>
      <c r="V3174" t="n">
        <v>0</v>
      </c>
    </row>
    <row r="3175">
      <c r="A3175">
        <f>Skills!A18</f>
        <v/>
      </c>
      <c r="B3175">
        <f>Skills!B18</f>
        <v/>
      </c>
      <c r="C3175">
        <f>Inputs!$B$3&gt;=115</f>
        <v/>
      </c>
      <c r="D3175">
        <f>IF(Skills!C18=1,60+Inputs!$B$25+Inputs!$B$29,IF(Skills!C18=2,90+Inputs!$B$26+Inputs!$B$29,IF(Skills!C18=3,120+Inputs!$B$27+Inputs!$B$29,MAX(0,(Inputs!$B$3-100)*3)+Inputs!$B$28+Inputs!$B$29)))</f>
        <v/>
      </c>
      <c r="E3175">
        <f>INDEX(FactorTable!$B$2:$Y$301, MATCH(ROUND(MIN(300,MAX(1,D3175)),0), FactorTable!$A$2:$A$301,0), Skills!M18+1)</f>
        <v/>
      </c>
      <c r="F3175">
        <f>IF(Skills!N18=TRUE,(Skills!L18/10)*(E3175/1000),Skills!L18/10)+Skills!O18</f>
        <v/>
      </c>
      <c r="G3175">
        <f>Skills!G18*IF(Skills!H18&gt;0,INT(IF(Inputs!$B$38="pvp",MIN(Skills!I18,15),Skills!I18)/Skills!H18+0.000000001),1)</f>
        <v/>
      </c>
      <c r="H3175">
        <f>1-(1-Skills!J18/100)^Skills!K18</f>
        <v/>
      </c>
      <c r="I3175" t="inlineStr">
        <is>
          <t>1</t>
        </is>
      </c>
      <c r="J3175" t="inlineStr"/>
      <c r="K3175" t="inlineStr"/>
      <c r="L3175" t="inlineStr"/>
      <c r="M3175" t="inlineStr"/>
      <c r="N3175" t="inlineStr"/>
      <c r="O3175">
        <f>(1-Summary!$B$11)*T3175+Summary!$B$11*V3175</f>
        <v/>
      </c>
      <c r="P3175">
        <f>IF(B3202=0,0,O3175/B3202)</f>
        <v/>
      </c>
      <c r="Q3175">
        <f>IFERROR(1/(IF(Inputs!$B$38="pvp",15,MAX(0.1,Skills!D18-IF(TRUE=TRUE,1.5,0)))*(1-IF(AND(ArtifactsInput!$M$27,Inputs!$B$4="Chapter Hunt"),CHOOSE(ArtifactsInput!$N$27+1,20,24,28,32,36,40),0)/100)),0)</f>
        <v/>
      </c>
      <c r="R3175">
        <f>IF(AND(Inputs!$B$38&lt;&gt;"pvp",Inputs!$B$43&gt;0),IF(Inputs!$B$43&lt;=0,0,(INT(Inputs!$B$43/(IF(Inputs!$B$38="pvp",15,MAX(0.1,Skills!D18-IF(TRUE=TRUE,1.5,0)))*(1-IF(AND(ArtifactsInput!$M$27,Inputs!$B$4="Chapter Hunt"),CHOOSE(ArtifactsInput!$N$27+1,20,24,28,32,36,40),0)/100)))+1)),0)</f>
        <v/>
      </c>
      <c r="S3175">
        <f>IFERROR(O3175/N3175,0)</f>
        <v/>
      </c>
      <c r="T3175" t="n">
        <v>0</v>
      </c>
      <c r="V3175" t="n">
        <v>0</v>
      </c>
    </row>
    <row r="3176">
      <c r="A3176">
        <f>Skills!A19</f>
        <v/>
      </c>
      <c r="B3176">
        <f>Skills!B19</f>
        <v/>
      </c>
      <c r="C3176">
        <f>Inputs!$B$3&gt;=66</f>
        <v/>
      </c>
      <c r="D3176">
        <f>IF(Skills!C19=1,60+Inputs!$B$25+Inputs!$B$29,IF(Skills!C19=2,90+Inputs!$B$26+Inputs!$B$29,IF(Skills!C19=3,120+Inputs!$B$27+Inputs!$B$29,MAX(0,(Inputs!$B$3-100)*3)+Inputs!$B$28+Inputs!$B$29)))</f>
        <v/>
      </c>
      <c r="E3176">
        <f>INDEX(FactorTable!$B$2:$Y$301, MATCH(ROUND(MIN(300,MAX(1,D3176)),0), FactorTable!$A$2:$A$301,0), Skills!M19+1)</f>
        <v/>
      </c>
      <c r="F3176">
        <f>IF(Skills!N19=TRUE,(Skills!L19/10)*(E3176/1000),Skills!L19/10)+Skills!O19</f>
        <v/>
      </c>
      <c r="G3176">
        <f>Skills!G19*IF(Skills!H19&gt;0,INT(IF(Inputs!$B$38="pvp",MIN(Skills!I19,15),Skills!I19)/Skills!H19+0.000000001),1)</f>
        <v/>
      </c>
      <c r="H3176">
        <f>1-(1-Skills!J19/100)^Skills!K19</f>
        <v/>
      </c>
      <c r="I3176" t="inlineStr">
        <is>
          <t>1</t>
        </is>
      </c>
      <c r="J3176" t="inlineStr"/>
      <c r="K3176" t="inlineStr"/>
      <c r="L3176" t="inlineStr"/>
      <c r="M3176" t="inlineStr"/>
      <c r="N3176" t="inlineStr"/>
      <c r="O3176">
        <f>(1-Summary!$B$11)*T3176+Summary!$B$11*V3176</f>
        <v/>
      </c>
      <c r="P3176">
        <f>IF(B3202=0,0,O3176/B3202)</f>
        <v/>
      </c>
      <c r="Q3176" t="n">
        <v>0</v>
      </c>
      <c r="R3176" t="n">
        <v>0</v>
      </c>
      <c r="S3176">
        <f>IFERROR(O3176/N3176,0)</f>
        <v/>
      </c>
      <c r="T3176" t="n">
        <v>0</v>
      </c>
      <c r="V3176" t="n">
        <v>0</v>
      </c>
    </row>
    <row r="3177">
      <c r="A3177">
        <f>Skills!A20</f>
        <v/>
      </c>
      <c r="B3177">
        <f>Skills!B20</f>
        <v/>
      </c>
      <c r="C3177">
        <f>Inputs!$B$3&gt;=72</f>
        <v/>
      </c>
      <c r="D3177">
        <f>IF(Skills!C20=1,60+Inputs!$B$25+Inputs!$B$29,IF(Skills!C20=2,90+Inputs!$B$26+Inputs!$B$29,IF(Skills!C20=3,120+Inputs!$B$27+Inputs!$B$29,MAX(0,(Inputs!$B$3-100)*3)+Inputs!$B$28+Inputs!$B$29)))</f>
        <v/>
      </c>
      <c r="E3177">
        <f>INDEX(FactorTable!$B$2:$Y$301, MATCH(ROUND(MIN(300,MAX(1,D3177)),0), FactorTable!$A$2:$A$301,0), Skills!M20+1)</f>
        <v/>
      </c>
      <c r="F3177">
        <f>IF(Skills!N20=TRUE,(Skills!L20/10)*(E3177/1000),Skills!L20/10)+Skills!O20</f>
        <v/>
      </c>
      <c r="G3177">
        <f>Skills!G20*IF(Skills!H20&gt;0,INT(IF(Inputs!$B$38="pvp",MIN(Skills!I20,15),Skills!I20)/Skills!H20+0.000000001),1)</f>
        <v/>
      </c>
      <c r="H3177">
        <f>1-(1-Skills!J20/100)^Skills!K20</f>
        <v/>
      </c>
      <c r="I3177" t="inlineStr">
        <is>
          <t>1</t>
        </is>
      </c>
      <c r="J3177" t="inlineStr"/>
      <c r="K3177" t="inlineStr"/>
      <c r="L3177" t="inlineStr"/>
      <c r="M3177" t="inlineStr"/>
      <c r="N3177" t="inlineStr"/>
      <c r="O3177">
        <f>(1-Summary!$B$11)*T3177+Summary!$B$11*V3177</f>
        <v/>
      </c>
      <c r="P3177">
        <f>IF(B3202=0,0,O3177/B3202)</f>
        <v/>
      </c>
      <c r="Q3177" t="n">
        <v>0</v>
      </c>
      <c r="R3177" t="n">
        <v>0</v>
      </c>
      <c r="S3177">
        <f>IFERROR(O3177/N3177,0)</f>
        <v/>
      </c>
      <c r="T3177" t="n">
        <v>0</v>
      </c>
      <c r="V3177" t="n">
        <v>0</v>
      </c>
    </row>
    <row r="3178">
      <c r="A3178">
        <f>Skills!A21</f>
        <v/>
      </c>
      <c r="B3178">
        <f>Skills!B21</f>
        <v/>
      </c>
      <c r="C3178">
        <f>TRUE</f>
        <v/>
      </c>
      <c r="D3178">
        <f>IF(Skills!C21=1,60+Inputs!$B$25+Inputs!$B$29,IF(Skills!C21=2,90+Inputs!$B$26+Inputs!$B$29,IF(Skills!C21=3,120+Inputs!$B$27+Inputs!$B$29,MAX(0,(Inputs!$B$3-100)*3)+Inputs!$B$28+Inputs!$B$29)))</f>
        <v/>
      </c>
      <c r="E3178">
        <f>INDEX(FactorTable!$B$2:$Y$301, MATCH(ROUND(MIN(300,MAX(1,D3178)),0), FactorTable!$A$2:$A$301,0), Skills!M21+1)</f>
        <v/>
      </c>
      <c r="F3178">
        <f>IF(Skills!N21=TRUE,(Skills!L21/10)*(E3178/1000),Skills!L21/10)+Skills!O21</f>
        <v/>
      </c>
      <c r="G3178">
        <f>Skills!G21*IF(Skills!H21&gt;0,INT(IF(Inputs!$B$38="pvp",MIN(Skills!I21,15),Skills!I21)/Skills!H21+0.000000001),1)</f>
        <v/>
      </c>
      <c r="H3178">
        <f>1-(1-Skills!J21/100)^Skills!K21</f>
        <v/>
      </c>
      <c r="I3178" t="inlineStr">
        <is>
          <t>1</t>
        </is>
      </c>
      <c r="J3178" t="inlineStr"/>
      <c r="K3178" t="inlineStr"/>
      <c r="L3178" t="inlineStr"/>
      <c r="M3178" t="inlineStr"/>
      <c r="N3178" t="inlineStr"/>
      <c r="O3178">
        <f>(1-Summary!$B$11)*T3178+Summary!$B$11*V3178</f>
        <v/>
      </c>
      <c r="P3178">
        <f>IF(B3202=0,0,O3178/B3202)</f>
        <v/>
      </c>
      <c r="Q3178">
        <f>IFERROR(1/(IF(Inputs!$B$38="pvp",15,MAX(0.1,Skills!D21-IF(TRUE=TRUE,1.5,0)))*(1-IF(AND(ArtifactsInput!$M$27,Inputs!$B$4="Chapter Hunt"),CHOOSE(ArtifactsInput!$N$27+1,20,24,28,32,36,40),0)/100)),0)</f>
        <v/>
      </c>
      <c r="R3178">
        <f>IF(AND(Inputs!$B$38&lt;&gt;"pvp",Inputs!$B$43&gt;0),IF(Inputs!$B$43&lt;=0,0,(INT(Inputs!$B$43/(IF(Inputs!$B$38="pvp",15,MAX(0.1,Skills!D21-IF(TRUE=TRUE,1.5,0)))*(1-IF(AND(ArtifactsInput!$M$27,Inputs!$B$4="Chapter Hunt"),CHOOSE(ArtifactsInput!$N$27+1,20,24,28,32,36,40),0)/100)))+1)),0)</f>
        <v/>
      </c>
      <c r="S3178">
        <f>IFERROR(O3178/N3178,0)</f>
        <v/>
      </c>
      <c r="T3178" t="n">
        <v>0</v>
      </c>
      <c r="V3178" t="n">
        <v>0</v>
      </c>
    </row>
    <row r="3179">
      <c r="A3179">
        <f>Skills!A22</f>
        <v/>
      </c>
      <c r="B3179">
        <f>Skills!B22</f>
        <v/>
      </c>
      <c r="C3179">
        <f>Inputs!$B$3&gt;=15</f>
        <v/>
      </c>
      <c r="D3179">
        <f>IF(Skills!C22=1,60+Inputs!$B$25+Inputs!$B$29,IF(Skills!C22=2,90+Inputs!$B$26+Inputs!$B$29,IF(Skills!C22=3,120+Inputs!$B$27+Inputs!$B$29,MAX(0,(Inputs!$B$3-100)*3)+Inputs!$B$28+Inputs!$B$29)))</f>
        <v/>
      </c>
      <c r="E3179">
        <f>INDEX(FactorTable!$B$2:$Y$301, MATCH(ROUND(MIN(300,MAX(1,D3179)),0), FactorTable!$A$2:$A$301,0), Skills!M22+1)</f>
        <v/>
      </c>
      <c r="F3179">
        <f>IF(Skills!N22=TRUE,(Skills!L22/10)*(E3179/1000),Skills!L22/10)+Skills!O22</f>
        <v/>
      </c>
      <c r="G3179">
        <f>Skills!G22*IF(Skills!H22&gt;0,INT(IF(Inputs!$B$38="pvp",MIN(Skills!I22,15),Skills!I22)/Skills!H22+0.000000001),1)</f>
        <v/>
      </c>
      <c r="H3179">
        <f>1-(1-Skills!J22/100)^Skills!K22</f>
        <v/>
      </c>
      <c r="I3179" t="inlineStr">
        <is>
          <t>1</t>
        </is>
      </c>
      <c r="J3179" t="inlineStr"/>
      <c r="K3179" t="inlineStr"/>
      <c r="L3179" t="inlineStr"/>
      <c r="M3179" t="inlineStr"/>
      <c r="N3179" t="inlineStr"/>
      <c r="O3179">
        <f>(1-Summary!$B$11)*T3179+Summary!$B$11*V3179</f>
        <v/>
      </c>
      <c r="P3179">
        <f>IF(B3202=0,0,O3179/B3202)</f>
        <v/>
      </c>
      <c r="Q3179" t="n">
        <v>0</v>
      </c>
      <c r="R3179" t="n">
        <v>0</v>
      </c>
      <c r="S3179">
        <f>IFERROR(O3179/N3179,0)</f>
        <v/>
      </c>
      <c r="T3179" t="n">
        <v>0</v>
      </c>
      <c r="V3179" t="n">
        <v>0</v>
      </c>
    </row>
    <row r="3180">
      <c r="A3180">
        <f>Skills!A23</f>
        <v/>
      </c>
      <c r="B3180">
        <f>Skills!B23</f>
        <v/>
      </c>
      <c r="C3180">
        <f>Inputs!$B$3&gt;=10</f>
        <v/>
      </c>
      <c r="D3180">
        <f>IF(Skills!C23=1,60+Inputs!$B$25+Inputs!$B$29,IF(Skills!C23=2,90+Inputs!$B$26+Inputs!$B$29,IF(Skills!C23=3,120+Inputs!$B$27+Inputs!$B$29,MAX(0,(Inputs!$B$3-100)*3)+Inputs!$B$28+Inputs!$B$29)))</f>
        <v/>
      </c>
      <c r="E3180">
        <f>INDEX(FactorTable!$B$2:$Y$301, MATCH(ROUND(MIN(300,MAX(1,D3180)),0), FactorTable!$A$2:$A$301,0), Skills!M23+1)</f>
        <v/>
      </c>
      <c r="F3180">
        <f>IF(Skills!N23=TRUE,(Skills!L23/10)*(E3180/1000),Skills!L23/10)+Skills!O23</f>
        <v/>
      </c>
      <c r="G3180">
        <f>Skills!G23*IF(Skills!H23&gt;0,INT(IF(Inputs!$B$38="pvp",MIN(Skills!I23,15),Skills!I23)/Skills!H23+0.000000001),1)</f>
        <v/>
      </c>
      <c r="H3180">
        <f>1-(1-Skills!J23/100)^Skills!K23</f>
        <v/>
      </c>
      <c r="I3180" t="inlineStr">
        <is>
          <t>1</t>
        </is>
      </c>
      <c r="J3180" t="inlineStr"/>
      <c r="K3180" t="inlineStr"/>
      <c r="L3180" t="inlineStr"/>
      <c r="M3180" t="inlineStr"/>
      <c r="N3180" t="inlineStr"/>
      <c r="O3180">
        <f>(1-Summary!$B$11)*T3180+Summary!$B$11*V3180</f>
        <v/>
      </c>
      <c r="P3180">
        <f>IF(B3202=0,0,O3180/B3202)</f>
        <v/>
      </c>
      <c r="Q3180" t="n">
        <v>0</v>
      </c>
      <c r="R3180" t="n">
        <v>0</v>
      </c>
      <c r="S3180">
        <f>IFERROR(O3180/N3180,0)</f>
        <v/>
      </c>
      <c r="T3180" t="n">
        <v>0</v>
      </c>
      <c r="V3180" t="n">
        <v>0</v>
      </c>
    </row>
    <row r="3181">
      <c r="A3181">
        <f>Skills!A24</f>
        <v/>
      </c>
      <c r="B3181">
        <f>Skills!B24</f>
        <v/>
      </c>
      <c r="C3181">
        <f>Inputs!$B$3&gt;=33</f>
        <v/>
      </c>
      <c r="D3181">
        <f>IF(Skills!C24=1,60+Inputs!$B$25+Inputs!$B$29,IF(Skills!C24=2,90+Inputs!$B$26+Inputs!$B$29,IF(Skills!C24=3,120+Inputs!$B$27+Inputs!$B$29,MAX(0,(Inputs!$B$3-100)*3)+Inputs!$B$28+Inputs!$B$29)))</f>
        <v/>
      </c>
      <c r="E3181">
        <f>INDEX(FactorTable!$B$2:$Y$301, MATCH(ROUND(MIN(300,MAX(1,D3181)),0), FactorTable!$A$2:$A$301,0), Skills!M24+1)</f>
        <v/>
      </c>
      <c r="F3181">
        <f>IF(Skills!N24=TRUE,(Skills!L24/10)*(E3181/1000),Skills!L24/10)+Skills!O24</f>
        <v/>
      </c>
      <c r="G3181">
        <f>Skills!G24*IF(Skills!H24&gt;0,INT(IF(Inputs!$B$38="pvp",MIN(Skills!I24,15),Skills!I24)/Skills!H24+0.000000001),1)</f>
        <v/>
      </c>
      <c r="H3181">
        <f>1-(1-Skills!J24/100)^Skills!K24</f>
        <v/>
      </c>
      <c r="I3181" t="inlineStr">
        <is>
          <t>1</t>
        </is>
      </c>
      <c r="J3181" t="inlineStr"/>
      <c r="K3181" t="inlineStr"/>
      <c r="L3181" t="inlineStr"/>
      <c r="M3181" t="inlineStr"/>
      <c r="N3181" t="inlineStr"/>
      <c r="O3181">
        <f>(1-Summary!$B$11)*T3181+Summary!$B$11*V3181</f>
        <v/>
      </c>
      <c r="P3181">
        <f>IF(B3202=0,0,O3181/B3202)</f>
        <v/>
      </c>
      <c r="Q3181" t="n">
        <v>0</v>
      </c>
      <c r="R3181" t="n">
        <v>0</v>
      </c>
      <c r="S3181">
        <f>IFERROR(O3181/N3181,0)</f>
        <v/>
      </c>
      <c r="T3181" t="n">
        <v>0</v>
      </c>
      <c r="V3181" t="n">
        <v>0</v>
      </c>
    </row>
    <row r="3182">
      <c r="A3182">
        <f>Skills!A25</f>
        <v/>
      </c>
      <c r="B3182">
        <f>Skills!B25</f>
        <v/>
      </c>
      <c r="C3182">
        <f>Inputs!$B$3&gt;=38</f>
        <v/>
      </c>
      <c r="D3182">
        <f>IF(Skills!C25=1,60+Inputs!$B$25+Inputs!$B$29,IF(Skills!C25=2,90+Inputs!$B$26+Inputs!$B$29,IF(Skills!C25=3,120+Inputs!$B$27+Inputs!$B$29,MAX(0,(Inputs!$B$3-100)*3)+Inputs!$B$28+Inputs!$B$29)))</f>
        <v/>
      </c>
      <c r="E3182">
        <f>INDEX(FactorTable!$B$2:$Y$301, MATCH(ROUND(MIN(300,MAX(1,D3182)),0), FactorTable!$A$2:$A$301,0), Skills!M25+1)</f>
        <v/>
      </c>
      <c r="F3182">
        <f>IF(Skills!N25=TRUE,(Skills!L25/10)*(E3182/1000),Skills!L25/10)+Skills!O25</f>
        <v/>
      </c>
      <c r="G3182">
        <f>Skills!G25*IF(Skills!H25&gt;0,INT(IF(Inputs!$B$38="pvp",MIN(Skills!I25,15),Skills!I25)/Skills!H25+0.000000001),1)</f>
        <v/>
      </c>
      <c r="H3182">
        <f>1-(1-Skills!J25/100)^Skills!K25</f>
        <v/>
      </c>
      <c r="I3182" t="inlineStr">
        <is>
          <t>1</t>
        </is>
      </c>
      <c r="J3182" t="inlineStr"/>
      <c r="K3182" t="inlineStr"/>
      <c r="L3182" t="inlineStr"/>
      <c r="M3182" t="inlineStr"/>
      <c r="N3182" t="inlineStr"/>
      <c r="O3182">
        <f>(1-Summary!$B$11)*T3182+Summary!$B$11*V3182</f>
        <v/>
      </c>
      <c r="P3182">
        <f>IF(B3202=0,0,O3182/B3202)</f>
        <v/>
      </c>
      <c r="Q3182" t="n">
        <v>0</v>
      </c>
      <c r="R3182" t="n">
        <v>0</v>
      </c>
      <c r="S3182">
        <f>IFERROR(O3182/N3182,0)</f>
        <v/>
      </c>
      <c r="T3182" t="n">
        <v>0</v>
      </c>
      <c r="V3182" t="n">
        <v>0</v>
      </c>
    </row>
    <row r="3183">
      <c r="A3183">
        <f>Skills!A26</f>
        <v/>
      </c>
      <c r="B3183">
        <f>Skills!B26</f>
        <v/>
      </c>
      <c r="C3183">
        <f>Inputs!$B$3&gt;=43</f>
        <v/>
      </c>
      <c r="D3183">
        <f>IF(Skills!C26=1,60+Inputs!$B$25+Inputs!$B$29,IF(Skills!C26=2,90+Inputs!$B$26+Inputs!$B$29,IF(Skills!C26=3,120+Inputs!$B$27+Inputs!$B$29,MAX(0,(Inputs!$B$3-100)*3)+Inputs!$B$28+Inputs!$B$29)))</f>
        <v/>
      </c>
      <c r="E3183">
        <f>INDEX(FactorTable!$B$2:$Y$301, MATCH(ROUND(MIN(300,MAX(1,D3183)),0), FactorTable!$A$2:$A$301,0), Skills!M26+1)</f>
        <v/>
      </c>
      <c r="F3183">
        <f>IF(Skills!N26=TRUE,(Skills!L26/10)*(E3183/1000),Skills!L26/10)+Skills!O26</f>
        <v/>
      </c>
      <c r="G3183">
        <f>Skills!G26*IF(Skills!H26&gt;0,INT(IF(Inputs!$B$38="pvp",MIN(Skills!I26,15),Skills!I26)/Skills!H26+0.000000001),1)</f>
        <v/>
      </c>
      <c r="H3183">
        <f>1-(1-Skills!J26/100)^Skills!K26</f>
        <v/>
      </c>
      <c r="I3183" t="inlineStr">
        <is>
          <t>1</t>
        </is>
      </c>
      <c r="J3183" t="inlineStr"/>
      <c r="K3183" t="inlineStr"/>
      <c r="L3183" t="inlineStr"/>
      <c r="M3183" t="inlineStr"/>
      <c r="N3183" t="inlineStr"/>
      <c r="O3183">
        <f>(1-Summary!$B$11)*T3183+Summary!$B$11*V3183</f>
        <v/>
      </c>
      <c r="P3183">
        <f>IF(B3202=0,0,O3183/B3202)</f>
        <v/>
      </c>
      <c r="Q3183" t="n">
        <v>0</v>
      </c>
      <c r="R3183" t="n">
        <v>0</v>
      </c>
      <c r="S3183">
        <f>IFERROR(O3183/N3183,0)</f>
        <v/>
      </c>
      <c r="T3183" t="n">
        <v>0</v>
      </c>
      <c r="V3183" t="n">
        <v>0</v>
      </c>
    </row>
    <row r="3184">
      <c r="A3184">
        <f>Skills!A27</f>
        <v/>
      </c>
      <c r="B3184">
        <f>Skills!B27</f>
        <v/>
      </c>
      <c r="C3184">
        <f>Inputs!$B$3&gt;=75</f>
        <v/>
      </c>
      <c r="D3184">
        <f>IF(Skills!C27=1,60+Inputs!$B$25+Inputs!$B$29,IF(Skills!C27=2,90+Inputs!$B$26+Inputs!$B$29,IF(Skills!C27=3,120+Inputs!$B$27+Inputs!$B$29,MAX(0,(Inputs!$B$3-100)*3)+Inputs!$B$28+Inputs!$B$29)))</f>
        <v/>
      </c>
      <c r="E3184">
        <f>INDEX(FactorTable!$B$2:$Y$301, MATCH(ROUND(MIN(300,MAX(1,D3184)),0), FactorTable!$A$2:$A$301,0), Skills!M27+1)</f>
        <v/>
      </c>
      <c r="F3184">
        <f>IF(Skills!N27=TRUE,(Skills!L27/10)*(E3184/1000),Skills!L27/10)+Skills!O27</f>
        <v/>
      </c>
      <c r="G3184">
        <f>Skills!G27*IF(Skills!H27&gt;0,INT(IF(Inputs!$B$38="pvp",MIN(Skills!I27,15),Skills!I27)/Skills!H27+0.000000001),1)</f>
        <v/>
      </c>
      <c r="H3184">
        <f>1-(1-Skills!J27/100)^Skills!K27</f>
        <v/>
      </c>
      <c r="I3184" t="inlineStr">
        <is>
          <t>1</t>
        </is>
      </c>
      <c r="J3184" t="inlineStr"/>
      <c r="K3184" t="inlineStr"/>
      <c r="L3184" t="inlineStr"/>
      <c r="M3184" t="inlineStr"/>
      <c r="N3184" t="inlineStr"/>
      <c r="O3184">
        <f>(1-Summary!$B$11)*T3184+Summary!$B$11*V3184</f>
        <v/>
      </c>
      <c r="P3184">
        <f>IF(B3202=0,0,O3184/B3202)</f>
        <v/>
      </c>
      <c r="Q3184" t="n">
        <v>0</v>
      </c>
      <c r="R3184" t="n">
        <v>0</v>
      </c>
      <c r="S3184">
        <f>IFERROR(O3184/N3184,0)</f>
        <v/>
      </c>
      <c r="T3184" t="n">
        <v>0</v>
      </c>
      <c r="V3184" t="n">
        <v>0</v>
      </c>
    </row>
    <row r="3185">
      <c r="A3185">
        <f>Skills!A28</f>
        <v/>
      </c>
      <c r="B3185">
        <f>Skills!B28</f>
        <v/>
      </c>
      <c r="C3185">
        <f>Inputs!$B$3&gt;=125</f>
        <v/>
      </c>
      <c r="D3185">
        <f>IF(Skills!C28=1,60+Inputs!$B$25+Inputs!$B$29,IF(Skills!C28=2,90+Inputs!$B$26+Inputs!$B$29,IF(Skills!C28=3,120+Inputs!$B$27+Inputs!$B$29,MAX(0,(Inputs!$B$3-100)*3)+Inputs!$B$28+Inputs!$B$29)))</f>
        <v/>
      </c>
      <c r="E3185">
        <f>INDEX(FactorTable!$B$2:$Y$301, MATCH(ROUND(MIN(300,MAX(1,D3185)),0), FactorTable!$A$2:$A$301,0), Skills!M28+1)</f>
        <v/>
      </c>
      <c r="F3185">
        <f>IF(Skills!N28=TRUE,(Skills!L28/10)*(E3185/1000),Skills!L28/10)+Skills!O28</f>
        <v/>
      </c>
      <c r="G3185">
        <f>Skills!G28*IF(Skills!H28&gt;0,INT(IF(Inputs!$B$38="pvp",MIN(Skills!I28,15),Skills!I28)/Skills!H28+0.000000001),1)</f>
        <v/>
      </c>
      <c r="H3185">
        <f>1-(1-Skills!J28/100)^Skills!K28</f>
        <v/>
      </c>
      <c r="I3185" t="inlineStr">
        <is>
          <t>1</t>
        </is>
      </c>
      <c r="J3185" t="inlineStr"/>
      <c r="K3185" t="inlineStr"/>
      <c r="L3185" t="inlineStr"/>
      <c r="M3185" t="inlineStr"/>
      <c r="N3185" t="inlineStr"/>
      <c r="O3185">
        <f>(1-Summary!$B$11)*T3185+Summary!$B$11*V3185</f>
        <v/>
      </c>
      <c r="P3185">
        <f>IF(B3202=0,0,O3185/B3202)</f>
        <v/>
      </c>
      <c r="Q3185" t="n">
        <v>0</v>
      </c>
      <c r="R3185" t="n">
        <v>0</v>
      </c>
      <c r="S3185">
        <f>IFERROR(O3185/N3185,0)</f>
        <v/>
      </c>
      <c r="T3185" t="n">
        <v>0</v>
      </c>
      <c r="V3185" t="n">
        <v>0</v>
      </c>
    </row>
    <row r="3186">
      <c r="A3186">
        <f>Skills!A29</f>
        <v/>
      </c>
      <c r="B3186">
        <f>Skills!B29</f>
        <v/>
      </c>
      <c r="C3186">
        <f>Inputs!$B$3&gt;=125</f>
        <v/>
      </c>
      <c r="D3186">
        <f>IF(Skills!C29=1,60+Inputs!$B$25+Inputs!$B$29,IF(Skills!C29=2,90+Inputs!$B$26+Inputs!$B$29,IF(Skills!C29=3,120+Inputs!$B$27+Inputs!$B$29,MAX(0,(Inputs!$B$3-100)*3)+Inputs!$B$28+Inputs!$B$29)))</f>
        <v/>
      </c>
      <c r="E3186">
        <f>INDEX(FactorTable!$B$2:$Y$301, MATCH(ROUND(MIN(300,MAX(1,D3186)),0), FactorTable!$A$2:$A$301,0), Skills!M29+1)</f>
        <v/>
      </c>
      <c r="F3186">
        <f>IF(Skills!N29=TRUE,(Skills!L29/10)*(E3186/1000),Skills!L29/10)+Skills!O29</f>
        <v/>
      </c>
      <c r="G3186">
        <f>Skills!G29*IF(Skills!H29&gt;0,INT(IF(Inputs!$B$38="pvp",MIN(Skills!I29,15),Skills!I29)/Skills!H29+0.000000001),1)</f>
        <v/>
      </c>
      <c r="H3186">
        <f>1-(1-Skills!J29/100)^Skills!K29</f>
        <v/>
      </c>
      <c r="I3186" t="inlineStr">
        <is>
          <t>1</t>
        </is>
      </c>
      <c r="J3186" t="inlineStr"/>
      <c r="K3186" t="inlineStr"/>
      <c r="L3186" t="inlineStr"/>
      <c r="M3186" t="inlineStr"/>
      <c r="N3186" t="inlineStr"/>
      <c r="O3186">
        <f>(1-Summary!$B$11)*T3186+Summary!$B$11*V3186</f>
        <v/>
      </c>
      <c r="P3186">
        <f>IF(B3202=0,0,O3186/B3202)</f>
        <v/>
      </c>
      <c r="Q3186" t="n">
        <v>0</v>
      </c>
      <c r="R3186" t="n">
        <v>0</v>
      </c>
      <c r="S3186">
        <f>IFERROR(O3186/N3186,0)</f>
        <v/>
      </c>
      <c r="T3186" t="n">
        <v>0</v>
      </c>
      <c r="V3186" t="n">
        <v>0</v>
      </c>
    </row>
    <row r="3187">
      <c r="A3187">
        <f>Skills!A30</f>
        <v/>
      </c>
      <c r="B3187">
        <f>Skills!B30</f>
        <v/>
      </c>
      <c r="C3187">
        <f>Inputs!$B$3&gt;=120</f>
        <v/>
      </c>
      <c r="D3187">
        <f>IF(Skills!C30=1,60+Inputs!$B$25+Inputs!$B$29,IF(Skills!C30=2,90+Inputs!$B$26+Inputs!$B$29,IF(Skills!C30=3,120+Inputs!$B$27+Inputs!$B$29,MAX(0,(Inputs!$B$3-100)*3)+Inputs!$B$28+Inputs!$B$29)))</f>
        <v/>
      </c>
      <c r="E3187">
        <f>INDEX(FactorTable!$B$2:$Y$301, MATCH(ROUND(MIN(300,MAX(1,D3187)),0), FactorTable!$A$2:$A$301,0), Skills!M30+1)</f>
        <v/>
      </c>
      <c r="F3187">
        <f>IF(Skills!N30=TRUE,(Skills!L30/10)*(E3187/1000),Skills!L30/10)+Skills!O30</f>
        <v/>
      </c>
      <c r="G3187">
        <f>Skills!G30*IF(Skills!H30&gt;0,INT(IF(Inputs!$B$38="pvp",MIN(Skills!I30,15),Skills!I30)/Skills!H30+0.000000001),1)</f>
        <v/>
      </c>
      <c r="H3187">
        <f>1-(1-Skills!J30/100)^Skills!K30</f>
        <v/>
      </c>
      <c r="I3187" t="inlineStr">
        <is>
          <t>1</t>
        </is>
      </c>
      <c r="J3187" t="inlineStr"/>
      <c r="K3187" t="inlineStr"/>
      <c r="L3187" t="inlineStr"/>
      <c r="M3187" t="inlineStr"/>
      <c r="N3187" t="inlineStr"/>
      <c r="O3187">
        <f>(1-Summary!$B$11)*T3187+Summary!$B$11*V3187</f>
        <v/>
      </c>
      <c r="P3187">
        <f>IF(B3202=0,0,O3187/B3202)</f>
        <v/>
      </c>
      <c r="Q3187" t="n">
        <v>0</v>
      </c>
      <c r="R3187" t="n">
        <v>0</v>
      </c>
      <c r="S3187">
        <f>IFERROR(O3187/N3187,0)</f>
        <v/>
      </c>
      <c r="T3187" t="n">
        <v>0</v>
      </c>
      <c r="V3187" t="n">
        <v>0</v>
      </c>
    </row>
    <row r="3188">
      <c r="A3188">
        <f>Skills!A31</f>
        <v/>
      </c>
      <c r="B3188">
        <f>Skills!B31</f>
        <v/>
      </c>
      <c r="C3188">
        <f>Inputs!$B$3&gt;=120</f>
        <v/>
      </c>
      <c r="D3188">
        <f>IF(Skills!C31=1,60+Inputs!$B$25+Inputs!$B$29,IF(Skills!C31=2,90+Inputs!$B$26+Inputs!$B$29,IF(Skills!C31=3,120+Inputs!$B$27+Inputs!$B$29,MAX(0,(Inputs!$B$3-100)*3)+Inputs!$B$28+Inputs!$B$29)))</f>
        <v/>
      </c>
      <c r="E3188">
        <f>INDEX(FactorTable!$B$2:$Y$301, MATCH(ROUND(MIN(300,MAX(1,D3188)),0), FactorTable!$A$2:$A$301,0), Skills!M31+1)</f>
        <v/>
      </c>
      <c r="F3188">
        <f>IF(Skills!N31=TRUE,(Skills!L31/10)*(E3188/1000),Skills!L31/10)+Skills!O31</f>
        <v/>
      </c>
      <c r="G3188">
        <f>Skills!G31*IF(Skills!H31&gt;0,INT(IF(Inputs!$B$38="pvp",MIN(Skills!I31,15),Skills!I31)/Skills!H31+0.000000001),1)</f>
        <v/>
      </c>
      <c r="H3188">
        <f>1-(1-Skills!J31/100)^Skills!K31</f>
        <v/>
      </c>
      <c r="I3188" t="inlineStr">
        <is>
          <t>1</t>
        </is>
      </c>
      <c r="J3188" t="inlineStr"/>
      <c r="K3188" t="inlineStr"/>
      <c r="L3188" t="inlineStr"/>
      <c r="M3188" t="inlineStr"/>
      <c r="N3188" t="inlineStr"/>
      <c r="O3188">
        <f>(1-Summary!$B$11)*T3188+Summary!$B$11*V3188</f>
        <v/>
      </c>
      <c r="P3188">
        <f>IF(B3202=0,0,O3188/B3202)</f>
        <v/>
      </c>
      <c r="Q3188" t="n">
        <v>0</v>
      </c>
      <c r="R3188" t="n">
        <v>0</v>
      </c>
      <c r="S3188">
        <f>IFERROR(O3188/N3188,0)</f>
        <v/>
      </c>
      <c r="T3188" t="n">
        <v>0</v>
      </c>
      <c r="V3188" t="n">
        <v>0</v>
      </c>
    </row>
    <row r="3189">
      <c r="A3189">
        <f>Skills!A32</f>
        <v/>
      </c>
      <c r="B3189">
        <f>Skills!B32</f>
        <v/>
      </c>
      <c r="C3189">
        <f>Inputs!$B$3&gt;=45</f>
        <v/>
      </c>
      <c r="D3189">
        <f>IF(Skills!C32=1,60+Inputs!$B$25+Inputs!$B$29,IF(Skills!C32=2,90+Inputs!$B$26+Inputs!$B$29,IF(Skills!C32=3,120+Inputs!$B$27+Inputs!$B$29,MAX(0,(Inputs!$B$3-100)*3)+Inputs!$B$28+Inputs!$B$29)))</f>
        <v/>
      </c>
      <c r="E3189">
        <f>INDEX(FactorTable!$B$2:$Y$301, MATCH(ROUND(MIN(300,MAX(1,D3189)),0), FactorTable!$A$2:$A$301,0), Skills!M32+1)</f>
        <v/>
      </c>
      <c r="F3189">
        <f>IF(Skills!N32=TRUE,(Skills!L32/10)*(E3189/1000),Skills!L32/10)+Skills!O32</f>
        <v/>
      </c>
      <c r="G3189">
        <f>Skills!G32*IF(Skills!H32&gt;0,INT(IF(Inputs!$B$38="pvp",MIN(Skills!I32,15),Skills!I32)/Skills!H32+0.000000001),1)</f>
        <v/>
      </c>
      <c r="H3189">
        <f>1-(1-Skills!J32/100)^Skills!K32</f>
        <v/>
      </c>
      <c r="I3189" t="inlineStr">
        <is>
          <t>1</t>
        </is>
      </c>
      <c r="J3189" t="inlineStr"/>
      <c r="K3189" t="inlineStr"/>
      <c r="L3189" t="inlineStr"/>
      <c r="M3189" t="inlineStr"/>
      <c r="N3189" t="inlineStr"/>
      <c r="O3189">
        <f>(1-Summary!$B$11)*T3189+Summary!$B$11*V3189</f>
        <v/>
      </c>
      <c r="P3189">
        <f>IF(B3202=0,0,O3189/B3202)</f>
        <v/>
      </c>
      <c r="Q3189" t="n">
        <v>0</v>
      </c>
      <c r="R3189" t="n">
        <v>0</v>
      </c>
      <c r="S3189">
        <f>IFERROR(O3189/N3189,0)</f>
        <v/>
      </c>
      <c r="T3189" t="n">
        <v>0</v>
      </c>
      <c r="V3189" t="n">
        <v>0</v>
      </c>
    </row>
    <row r="3191">
      <c r="A3191" t="inlineStr">
        <is>
          <t>Attack% Bucket Multiplier</t>
        </is>
      </c>
      <c r="B3191">
        <f>(1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2">
      <c r="A3192" t="inlineStr">
        <is>
          <t>Global Crit Rate Bonus %</t>
        </is>
      </c>
      <c r="B3192" t="n">
        <v>0</v>
      </c>
    </row>
    <row r="3193">
      <c r="A3193" t="inlineStr">
        <is>
          <t>Attack Speed Buff Bonus %</t>
        </is>
      </c>
      <c r="B3193">
        <f>((C3178=TRUE)*F3178*IF(AND(Inputs!$B$38&lt;&gt;"pvp",Inputs!$B$43&gt;0),(((R3178-1)*MIN((Skills!T21*(1+Inputs!$B$34/100)),(1/Q3178))+MIN((Skills!T21*(1+Inputs!$B$34/100)),MAX(0,Inputs!$B$43-((R3178-1)*(1/Q3178)))))/Inputs!$B$43),IF(Inputs!$B$38="pvp",MIN((Skills!T21*(1+Inputs!$B$34/100)),15)/15,MIN(1,(Skills!T21*(1+Inputs!$B$34/100))/(1/Q3178)))))</f>
        <v/>
      </c>
    </row>
    <row r="3194">
      <c r="A3194" t="inlineStr">
        <is>
          <t>Actions Per Second</t>
        </is>
      </c>
      <c r="B3194">
        <f>1+MIN(150,150*(1-(1-(Inputs!$B$11+((C3180=TRUE)*(F3180-Calc!F23))+((C3181=TRUE)*(F3181-Calc!F24)))/150)*(1-B3193/150)))/100</f>
        <v/>
      </c>
    </row>
    <row r="3195">
      <c r="A3195" t="inlineStr">
        <is>
          <t>Skill + Buff Cast Rate</t>
        </is>
      </c>
      <c r="B3195">
        <f>IF(AND(Inputs!$B$38&lt;&gt;"pvp",Inputs!$B$43&gt;0),SUMPRODUCT((Skills!E2:E32=TRUE)*(C3159:C3189=TRUE)*R3159:R3189*Skills!F2:F32)/Inputs!$B$43,SUMPRODUCT((Skills!E2:E32=TRUE)*(C3159:C3189=TRUE)*Q3159:Q3189*Skills!F2:F32))</f>
        <v/>
      </c>
    </row>
    <row r="3196">
      <c r="A3196" t="inlineStr">
        <is>
          <t>Arrow Stream Casts Per Second</t>
        </is>
      </c>
      <c r="B3196">
        <f>MAX(0,B3194-B3195)</f>
        <v/>
      </c>
    </row>
    <row r="3197">
      <c r="A3197" t="inlineStr">
        <is>
          <t>Global Critical Damage Bonus % (Sharp Eyes + Concentration)</t>
        </is>
      </c>
      <c r="B3197">
        <f>(C3175=TRUE)*F3175*IF(AND(Inputs!$B$38&lt;&gt;"pvp",Inputs!$B$43&gt;0),(((R3175-1)*MIN((Skills!T18*(1+Inputs!$B$34/100)),(1/Q3175))+MIN((Skills!T18*(1+Inputs!$B$34/100)),MAX(0,Inputs!$B$43-((R3175-1)*(1/Q3175)))))/Inputs!$B$43),IF(Inputs!$B$38="pvp",MIN((Skills!T18*(1+Inputs!$B$34/100)),15)/15,MIN(1,(Skills!T18*(1+Inputs!$B$34/100))/(1/Q3175))))+(C3176=TRUE)*7*F3176</f>
        <v/>
      </c>
    </row>
    <row r="3198">
      <c r="A3198" t="inlineStr">
        <is>
          <t>Global Final Damage Bonus % (Mortal Blow)</t>
        </is>
      </c>
      <c r="B3198">
        <f>(C3177=TRUE)*F3177</f>
        <v/>
      </c>
    </row>
    <row r="3199">
      <c r="A3199" t="inlineStr">
        <is>
          <t>Buff-Casting Startup Delay (s, fixed-duration only)</t>
        </is>
      </c>
      <c r="B3199">
        <f>IF(AND(Inputs!$B$38&lt;&gt;"pvp",Inputs!$B$43&gt;0),SUMPRODUCT((Skills!T2:T32&gt;0)*(Skills!E2:E32=TRUE)*(C3159:C3189=TRUE))/B3194,0)</f>
        <v/>
      </c>
    </row>
    <row r="3200">
      <c r="A3200" t="inlineStr">
        <is>
          <t>Boss-Only Total DPS (this block's swept value)</t>
        </is>
      </c>
      <c r="B3200">
        <f>SUM(T3159:T3189)</f>
        <v/>
      </c>
    </row>
    <row r="3201">
      <c r="A3201" t="inlineStr">
        <is>
          <t>Normal-Only Total DPS (this block's swept value)</t>
        </is>
      </c>
      <c r="B3201">
        <f>SUM(V3159:V3189)</f>
        <v/>
      </c>
    </row>
    <row r="3202">
      <c r="A3202" s="6" t="inlineStr">
        <is>
          <t>TOTAL DPS</t>
        </is>
      </c>
      <c r="B3202" s="6">
        <f>SUM(O3159:O3189)</f>
        <v/>
      </c>
    </row>
    <row r="3205">
      <c r="A3205" s="6" t="inlineStr">
        <is>
          <t>Stat: CDR = 2.0s</t>
        </is>
      </c>
    </row>
    <row r="3206">
      <c r="A3206" s="5" t="inlineStr">
        <is>
          <t>Key</t>
        </is>
      </c>
      <c r="B3206" s="5" t="inlineStr">
        <is>
          <t>Name</t>
        </is>
      </c>
      <c r="C3206" s="5" t="inlineStr">
        <is>
          <t>Unlocked</t>
        </is>
      </c>
      <c r="D3206" s="5" t="inlineStr">
        <is>
          <t>InputLevel</t>
        </is>
      </c>
      <c r="E3206" s="5" t="inlineStr">
        <is>
          <t>Factor</t>
        </is>
      </c>
      <c r="F3206" s="5" t="inlineStr">
        <is>
          <t>CoefficientPercent</t>
        </is>
      </c>
      <c r="G3206" s="5" t="inlineStr">
        <is>
          <t>EffectiveHits</t>
        </is>
      </c>
      <c r="H3206" s="5" t="inlineStr">
        <is>
          <t>ProcProbability</t>
        </is>
      </c>
      <c r="I3206" s="5" t="inlineStr">
        <is>
          <t>MapleHeroMultiplier</t>
        </is>
      </c>
      <c r="J3206" s="5" t="inlineStr">
        <is>
          <t>BaseDamage</t>
        </is>
      </c>
      <c r="K3206" s="5" t="inlineStr">
        <is>
          <t>BaseHitDamage</t>
        </is>
      </c>
      <c r="L3206" s="5" t="inlineStr">
        <is>
          <t>NonCritAvg</t>
        </is>
      </c>
      <c r="M3206" s="5" t="inlineStr">
        <is>
          <t>CritAvg</t>
        </is>
      </c>
      <c r="N3206" s="5" t="inlineStr">
        <is>
          <t>ExpectedDamage(perHit)</t>
        </is>
      </c>
      <c r="O3206" s="5" t="inlineStr">
        <is>
          <t>DPS</t>
        </is>
      </c>
      <c r="P3206" s="5" t="inlineStr">
        <is>
          <t>% of Total</t>
        </is>
      </c>
      <c r="Q3206" s="5" t="inlineStr">
        <is>
          <t>InvCooldown</t>
        </is>
      </c>
      <c r="R3206" s="5" t="inlineStr">
        <is>
          <t>CastsInFight</t>
        </is>
      </c>
      <c r="S3206" s="5" t="inlineStr">
        <is>
          <t>HitRate(perSec)</t>
        </is>
      </c>
      <c r="U3206" t="inlineStr">
        <is>
          <t>helpers</t>
        </is>
      </c>
    </row>
    <row r="3207">
      <c r="A3207">
        <f>Skills!A2</f>
        <v/>
      </c>
      <c r="B3207">
        <f>Skills!B2</f>
        <v/>
      </c>
      <c r="C3207">
        <f>Inputs!$B$3&gt;=100</f>
        <v/>
      </c>
      <c r="D3207" t="inlineStr"/>
      <c r="E3207" t="inlineStr"/>
      <c r="F3207">
        <f>U3209+Skills!O2</f>
        <v/>
      </c>
      <c r="G3207">
        <f>Skills!G2*IF(Skills!H2&gt;0,INT(IF(Inputs!$B$38="pvp",MIN(Skills!I2,15),Skills!I2)/Skills!H2+0.000000001),1)</f>
        <v/>
      </c>
      <c r="H3207">
        <f>1-(1-Skills!J2/100)^Skills!K2</f>
        <v/>
      </c>
      <c r="I3207" t="inlineStr">
        <is>
          <t>1</t>
        </is>
      </c>
      <c r="J3207">
        <f>((Inputs!$B$6*(1+Inputs!$B$7/100))+(((Inputs!$B$12*(1+Inputs!$B$13/100))-(Inputs!$B$12*(1+Inputs!$B$13/100)))+0.25*(Inputs!$B$14-Inputs!$B$14))*(1+Inputs!$B$7/100))*(F3207/100)</f>
        <v/>
      </c>
      <c r="K3207">
        <f>J3207*(1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3207)</f>
        <v/>
      </c>
      <c r="L3207">
        <f>K3207*(MIN(Inputs!$B$22+((C3231=TRUE)*(F3231-Calc!F26)),(Inputs!$B$23+((C3236=TRUE)*(F3236-Calc!F31))+(IF(ArtifactsInput!$M$15,CHOOSE(ArtifactsInput!$N$15+1,25,30,35,40,45,50)/100*(Inputs!$B$11-Inputs!$B$11),0))))/100+(Inputs!$B$23+((C3236=TRUE)*(F3236-Calc!F31))+(IF(ArtifactsInput!$M$15,CHOOSE(ArtifactsInput!$N$15+1,25,30,35,40,45,50)/100*(Inputs!$B$11-Inputs!$B$11),0)))/100)/2</f>
        <v/>
      </c>
      <c r="M3207">
        <f>L3207*(1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7">
        <f>L3207*(1-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3207*(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7">
        <f>(1-Summary!$B$11)*T3207+Summary!$B$11*V3207</f>
        <v/>
      </c>
      <c r="P3207">
        <f>IF(B3250=0,0,O3207/B3250)</f>
        <v/>
      </c>
      <c r="Q3207" t="n">
        <v>0</v>
      </c>
      <c r="R3207" t="n">
        <v>0</v>
      </c>
      <c r="S3207">
        <f>IFERROR(O3207/N3207,0)</f>
        <v/>
      </c>
      <c r="T3207">
        <f>IF(C3207,(Skills!G2*N3207*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7">
        <f>MAX(0,(Inputs!$B$3-100)*3)+Inputs!$B$28+Inputs!$B$29</f>
        <v/>
      </c>
      <c r="V3207">
        <f>IF(C3207,(Skills!G2*N3207*B3244)*IF(Inputs!$B$38="pvp",1,(1+(Inputs!$B$21+Skills!Q2+(IF(ArtifactsInput!$M$33,CHOOSE(ArtifactsInput!$N$33+1,30,36,42,48,54,60),0))+(IF(AND(ArtifactsInput!$M$35,Inputs!$B$4&lt;&gt;"Chapter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8">
      <c r="A3208">
        <f>Skills!A3</f>
        <v/>
      </c>
      <c r="B3208">
        <f>Skills!B3</f>
        <v/>
      </c>
      <c r="C3208">
        <f>Inputs!$B$3&gt;=50</f>
        <v/>
      </c>
      <c r="D3208">
        <f>IF(Skills!C3=1,60+Inputs!$B$25+Inputs!$B$29,IF(Skills!C3=2,90+Inputs!$B$26+Inputs!$B$29,IF(Skills!C3=3,120+Inputs!$B$27+Inputs!$B$29,MAX(0,(Inputs!$B$3-100)*3)+Inputs!$B$28+Inputs!$B$29)))</f>
        <v/>
      </c>
      <c r="E3208">
        <f>INDEX(FactorTable!$B$2:$Y$301, MATCH(ROUND(MIN(300,MAX(1,D3208)),0), FactorTable!$A$2:$A$301,0), Skills!M3+1)</f>
        <v/>
      </c>
      <c r="F3208">
        <f>IF(Skills!N3=TRUE,(Skills!L3/10)*(E3208/1000),Skills!L3/10)+Skills!O3</f>
        <v/>
      </c>
      <c r="G3208">
        <f>Skills!G3*IF(Skills!H3&gt;0,INT(IF(Inputs!$B$38="pvp",MIN(Skills!I3,15),Skills!I3)/Skills!H3+0.000000001),1)</f>
        <v/>
      </c>
      <c r="H3208">
        <f>1-(1-Skills!J3/100)^Skills!K3</f>
        <v/>
      </c>
      <c r="I3208" t="inlineStr">
        <is>
          <t>1</t>
        </is>
      </c>
      <c r="J3208">
        <f>((Inputs!$B$6*(1+Inputs!$B$7/100))+(((Inputs!$B$12*(1+Inputs!$B$13/100))-(Inputs!$B$12*(1+Inputs!$B$13/100)))+0.25*(Inputs!$B$14-Inputs!$B$14))*(1+Inputs!$B$7/100))*(F3208/100)</f>
        <v/>
      </c>
      <c r="K3208">
        <f>J3208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3209=TRUE,F3209,0)/100)*(1+(IF(Skills!A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3208)</f>
        <v/>
      </c>
      <c r="L3208">
        <f>K3208*(MIN(Inputs!$B$22+((C3231=TRUE)*(F3231-Calc!F26)),(Inputs!$B$23+((C3236=TRUE)*(F3236-Calc!F31))+(IF(ArtifactsInput!$M$15,CHOOSE(ArtifactsInput!$N$15+1,25,30,35,40,45,50)/100*(Inputs!$B$11-Inputs!$B$11),0))))/100+(Inputs!$B$23+((C3236=TRUE)*(F3236-Calc!F31))+(IF(ArtifactsInput!$M$15,CHOOSE(ArtifactsInput!$N$15+1,25,30,35,40,45,50)/100*(Inputs!$B$11-Inputs!$B$11),0)))/100)/2</f>
        <v/>
      </c>
      <c r="M3208">
        <f>L3208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8">
        <f>L3208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8">
        <f>(1-Summary!$B$11)*T3208+Summary!$B$11*V3208</f>
        <v/>
      </c>
      <c r="P3208">
        <f>IF(B3250=0,0,O3208/B3250)</f>
        <v/>
      </c>
      <c r="Q3208">
        <f>IFERROR(1/(IF(Inputs!$B$38="pvp",15,MAX(0.1,1/B3242-IF(FALSE=TRUE,2.0,0)))*(1-IF(AND(ArtifactsInput!$M$27,Inputs!$B$4="Chapter Hunt"),CHOOSE(ArtifactsInput!$N$27+1,20,24,28,32,36,40),0)/100)),0)</f>
        <v/>
      </c>
      <c r="R3208">
        <f>IF(AND(Inputs!$B$38&lt;&gt;"pvp",Inputs!$B$43&gt;0),IF(MAX(0,Inputs!$B$43-B3247)&lt;=0,0,(INT(MAX(0,Inputs!$B$43-B3247)/(IF(Inputs!$B$38="pvp",15,MAX(0.1,1/B3242-IF(FALSE=TRUE,2.0,0)))*(1-IF(AND(ArtifactsInput!$M$27,Inputs!$B$4="Chapter Hunt"),CHOOSE(ArtifactsInput!$N$27+1,20,24,28,32,36,40),0)/100)))+1)),0)</f>
        <v/>
      </c>
      <c r="S3208">
        <f>IFERROR(O3208/N3208,0)</f>
        <v/>
      </c>
      <c r="T3208">
        <f>IF(C3208,(H3208*N3208*IF(AND(Inputs!$B$38&lt;&gt;"pvp",Inputs!$B$43&gt;0),((Skills!G3*((R3208-1)*IF(Skills!H3&gt;0,INT(Skills!I3/Skills!H3+0.000000001),1)+IF(Skills!H3&gt;0,INT(MIN(Skills!I3,MAX(0,MAX(0,Inputs!$B$43-B3247)-((R3208-1)*(IF(Inputs!$B$38="pvp",15,MAX(0.1,1/B3242-IF(FALSE=TRUE,2.0,0)))*(1-IF(AND(ArtifactsInput!$M$27,Inputs!$B$4="Chapter Hunt"),CHOOSE(ArtifactsInput!$N$27+1,20,24,28,32,36,40),0)/100)))))/Skills!H3+0.000000001),1)))/Inputs!$B$43),G3208*Q3208)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8">
        <f>INDEX(FactorTable!$B$2:$Y$301, MATCH(ROUND(MIN(300,MAX(1,U3207)),0), FactorTable!$A$2:$A$301,0), 22)</f>
        <v/>
      </c>
      <c r="V3208">
        <f>IF(C3208,(H3208*N3208*IF(AND(Inputs!$B$38&lt;&gt;"pvp",Inputs!$B$43&gt;0),((Skills!G3*((R3208-1)*IF(Skills!H3&gt;0,INT(Skills!I3/Skills!H3+0.000000001),1)+IF(Skills!H3&gt;0,INT(MIN(Skills!I3,MAX(0,MAX(0,Inputs!$B$43-B3247)-((R3208-1)*(IF(Inputs!$B$38="pvp",15,MAX(0.1,1/B3242-IF(FALSE=TRUE,2.0,0)))*(1-IF(AND(ArtifactsInput!$M$27,Inputs!$B$4="Chapter Hunt"),CHOOSE(ArtifactsInput!$N$27+1,20,24,28,32,36,40),0)/100)))))/Skills!H3+0.000000001),1)))/Inputs!$B$43),G3208*Q3208))*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9">
      <c r="A3209">
        <f>Skills!A4</f>
        <v/>
      </c>
      <c r="B3209">
        <f>Skills!B4</f>
        <v/>
      </c>
      <c r="C3209">
        <f>Inputs!$B$3&gt;=105</f>
        <v/>
      </c>
      <c r="D3209">
        <f>IF(Skills!C4=1,60+Inputs!$B$25+Inputs!$B$29,IF(Skills!C4=2,90+Inputs!$B$26+Inputs!$B$29,IF(Skills!C4=3,120+Inputs!$B$27+Inputs!$B$29,MAX(0,(Inputs!$B$3-100)*3)+Inputs!$B$28+Inputs!$B$29)))</f>
        <v/>
      </c>
      <c r="E3209">
        <f>INDEX(FactorTable!$B$2:$Y$301, MATCH(ROUND(MIN(300,MAX(1,D3209)),0), FactorTable!$A$2:$A$301,0), Skills!M4+1)</f>
        <v/>
      </c>
      <c r="F3209">
        <f>IF(Skills!N4=TRUE,(Skills!L4/10)*(E3209/1000),Skills!L4/10)+Skills!O4</f>
        <v/>
      </c>
      <c r="G3209" t="inlineStr"/>
      <c r="H3209" t="inlineStr"/>
      <c r="I3209" t="inlineStr">
        <is>
          <t>1</t>
        </is>
      </c>
      <c r="J3209" t="inlineStr"/>
      <c r="K3209" t="inlineStr"/>
      <c r="L3209" t="inlineStr"/>
      <c r="M3209" t="inlineStr"/>
      <c r="N3209" t="inlineStr"/>
      <c r="O3209" t="inlineStr"/>
      <c r="P3209" t="inlineStr"/>
      <c r="Q3209" t="inlineStr"/>
      <c r="R3209" t="inlineStr"/>
      <c r="S3209" t="inlineStr"/>
      <c r="T3209" t="inlineStr"/>
      <c r="U3209">
        <f>290*U3208/1000</f>
        <v/>
      </c>
      <c r="V3209" t="inlineStr"/>
    </row>
    <row r="3210">
      <c r="A3210">
        <f>Skills!A5</f>
        <v/>
      </c>
      <c r="B3210">
        <f>Skills!B5</f>
        <v/>
      </c>
      <c r="C3210">
        <f>Inputs!$B$3&gt;=35</f>
        <v/>
      </c>
      <c r="D3210">
        <f>IF(Skills!C5=1,60+Inputs!$B$25+Inputs!$B$29,IF(Skills!C5=2,90+Inputs!$B$26+Inputs!$B$29,IF(Skills!C5=3,120+Inputs!$B$27+Inputs!$B$29,MAX(0,(Inputs!$B$3-100)*3)+Inputs!$B$28+Inputs!$B$29)))</f>
        <v/>
      </c>
      <c r="E3210">
        <f>INDEX(FactorTable!$B$2:$Y$301, MATCH(ROUND(MIN(300,MAX(1,D3210)),0), FactorTable!$A$2:$A$301,0), Skills!M5+1)</f>
        <v/>
      </c>
      <c r="F3210">
        <f>IF(Skills!N5=TRUE,(Skills!L5/10)*(E3210/1000),Skills!L5/10)+Skills!O5</f>
        <v/>
      </c>
      <c r="G3210">
        <f>Skills!G5*IF(Skills!H5&gt;0,INT(IF(Inputs!$B$38="pvp",MIN(Skills!I5,15),Skills!I5)/Skills!H5+0.000000001),1)</f>
        <v/>
      </c>
      <c r="H3210">
        <f>1-(1-Skills!J5/100)^Skills!K5</f>
        <v/>
      </c>
      <c r="I3210" t="inlineStr">
        <is>
          <t>1</t>
        </is>
      </c>
      <c r="J3210">
        <f>((Inputs!$B$6*(1+Inputs!$B$7/100))+(((Inputs!$B$12*(1+Inputs!$B$13/100))-(Inputs!$B$12*(1+Inputs!$B$13/100)))+0.25*(Inputs!$B$14-Inputs!$B$14))*(1+Inputs!$B$7/100))*(F3210/100)</f>
        <v/>
      </c>
      <c r="K3210">
        <f>J3210*(1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3217=TRUE,F3217,0)/100)*(1+(IF(Skills!A5="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3210)</f>
        <v/>
      </c>
      <c r="L3210">
        <f>K3210*(MIN(Inputs!$B$22+((C3231=TRUE)*(F3231-Calc!F26)),(Inputs!$B$23+((C3236=TRUE)*(F3236-Calc!F31))+(IF(ArtifactsInput!$M$15,CHOOSE(ArtifactsInput!$N$15+1,25,30,35,40,45,50)/100*(Inputs!$B$11-Inputs!$B$11),0))))/100+(Inputs!$B$23+((C3236=TRUE)*(F3236-Calc!F31))+(IF(ArtifactsInput!$M$15,CHOOSE(ArtifactsInput!$N$15+1,25,30,35,40,45,50)/100*(Inputs!$B$11-Inputs!$B$11),0)))/100)/2</f>
        <v/>
      </c>
      <c r="M3210">
        <f>L3210*(1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0">
        <f>L3210*(1-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3210*(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0">
        <f>(1-Summary!$B$11)*T3210+Summary!$B$11*V3210</f>
        <v/>
      </c>
      <c r="P3210">
        <f>IF(B3250=0,0,O3210/B3250)</f>
        <v/>
      </c>
      <c r="Q3210">
        <f>IFERROR(1/(IF(Inputs!$B$38="pvp",15,MAX(0.1,Skills!D5-IF(TRUE=TRUE,2.0,0)))*(1-IF(AND(ArtifactsInput!$M$27,Inputs!$B$4="Chapter Hunt"),CHOOSE(ArtifactsInput!$N$27+1,20,24,28,32,36,40),0)/100)),0)</f>
        <v/>
      </c>
      <c r="R3210">
        <f>IF(AND(Inputs!$B$38&lt;&gt;"pvp",Inputs!$B$43&gt;0),IF(MAX(0,Inputs!$B$43-B3247)&lt;=0,0,(INT(MAX(0,Inputs!$B$43-B3247)/(IF(Inputs!$B$38="pvp",15,MAX(0.1,Skills!D5-IF(TRUE=TRUE,2.0,0)))*(1-IF(AND(ArtifactsInput!$M$27,Inputs!$B$4="Chapter Hunt"),CHOOSE(ArtifactsInput!$N$27+1,20,24,28,32,36,40),0)/100)))+1)),0)</f>
        <v/>
      </c>
      <c r="S3210">
        <f>IFERROR(O3210/N3210,0)</f>
        <v/>
      </c>
      <c r="T3210">
        <f>IF(C3210,(H3210*N3210*IF(AND(Inputs!$B$38&lt;&gt;"pvp",Inputs!$B$43&gt;0),((Skills!G5*((R3210-1)*IF(Skills!H5&gt;0,INT(Skills!I5/Skills!H5+0.000000001),1)+IF(Skills!H5&gt;0,INT(MIN(Skills!I5,MAX(0,MAX(0,Inputs!$B$43-B3247)-((R3210-1)*(IF(Inputs!$B$38="pvp",15,MAX(0.1,Skills!D5-IF(TRUE=TRUE,2.0,0)))*(1-IF(AND(ArtifactsInput!$M$27,Inputs!$B$4="Chapter Hunt"),CHOOSE(ArtifactsInput!$N$27+1,20,24,28,32,36,40),0)/100)))))/Skills!H5+0.000000001),1)))/Inputs!$B$43),G3210*Q3210)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0">
        <f>IF(C3210,(H3210*N3210*IF(AND(Inputs!$B$38&lt;&gt;"pvp",Inputs!$B$43&gt;0),((Skills!G5*((R3210-1)*IF(Skills!H5&gt;0,INT(Skills!I5/Skills!H5+0.000000001),1)+IF(Skills!H5&gt;0,INT(MIN(Skills!I5,MAX(0,MAX(0,Inputs!$B$43-B3247)-((R3210-1)*(IF(Inputs!$B$38="pvp",15,MAX(0.1,Skills!D5-IF(TRUE=TRUE,2.0,0)))*(1-IF(AND(ArtifactsInput!$M$27,Inputs!$B$4="Chapter Hunt"),CHOOSE(ArtifactsInput!$N$27+1,20,24,28,32,36,40),0)/100)))))/Skills!H5+0.000000001),1)))/Inputs!$B$43),G3210*Q3210))*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1">
      <c r="A3211">
        <f>Skills!A6</f>
        <v/>
      </c>
      <c r="B3211">
        <f>Skills!B6</f>
        <v/>
      </c>
      <c r="C3211">
        <f>Inputs!$B$3&gt;=40</f>
        <v/>
      </c>
      <c r="D3211">
        <f>IF(Skills!C6=1,60+Inputs!$B$25+Inputs!$B$29,IF(Skills!C6=2,90+Inputs!$B$26+Inputs!$B$29,IF(Skills!C6=3,120+Inputs!$B$27+Inputs!$B$29,MAX(0,(Inputs!$B$3-100)*3)+Inputs!$B$28+Inputs!$B$29)))</f>
        <v/>
      </c>
      <c r="E3211">
        <f>INDEX(FactorTable!$B$2:$Y$301, MATCH(ROUND(MIN(300,MAX(1,D3211)),0), FactorTable!$A$2:$A$301,0), Skills!M6+1)</f>
        <v/>
      </c>
      <c r="F3211">
        <f>IF(Skills!N6=TRUE,(Skills!L6/10)*(E3211/1000),Skills!L6/10)+Skills!O6</f>
        <v/>
      </c>
      <c r="G3211">
        <f>Skills!G6*IF(Skills!H6&gt;0,INT(IF(Inputs!$B$38="pvp",MIN(Skills!I6,15),Skills!I6)/Skills!H6+0.000000001),1)</f>
        <v/>
      </c>
      <c r="H3211">
        <f>1-(1-Skills!J6/100)^Skills!K6</f>
        <v/>
      </c>
      <c r="I3211" t="inlineStr">
        <is>
          <t>1</t>
        </is>
      </c>
      <c r="J3211">
        <f>((Inputs!$B$6*(1+Inputs!$B$7/100))+(((Inputs!$B$12*(1+Inputs!$B$13/100))-(Inputs!$B$12*(1+Inputs!$B$13/100)))+0.25*(Inputs!$B$14-Inputs!$B$14))*(1+Inputs!$B$7/100))*(F3211/100)</f>
        <v/>
      </c>
      <c r="K3211">
        <f>J3211*(1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3212=TRUE,F3212,0)/100)*(1+(IF(Skills!A6="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26)),(Inputs!$B$23+((C3236=TRUE)*(F3236-Calc!F31))+(IF(ArtifactsInput!$M$15,CHOOSE(ArtifactsInput!$N$15+1,25,30,35,40,45,50)/100*(Inputs!$B$11-Inputs!$B$11),0))))/100+(Inputs!$B$23+((C3236=TRUE)*(F3236-Calc!F31))+(IF(ArtifactsInput!$M$15,CHOOSE(ArtifactsInput!$N$15+1,25,30,35,40,45,50)/100*(Inputs!$B$11-Inputs!$B$11),0)))/100)/2</f>
        <v/>
      </c>
      <c r="M3211">
        <f>L3211*(1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f>IFERROR(1/(IF(Inputs!$B$38="pvp",15,MAX(0.1,1-0.4*MIN(1,(B3242-1)/1.5)-IF(FALSE=TRUE,2.0,0)))*(1-IF(AND(ArtifactsInput!$M$27,Inputs!$B$4="Chapter Hunt"),CHOOSE(ArtifactsInput!$N$27+1,20,24,28,32,36,40),0)/100)),0)</f>
        <v/>
      </c>
      <c r="R3211">
        <f>IF(AND(Inputs!$B$38&lt;&gt;"pvp",Inputs!$B$43&gt;0),IF(MAX(0,Inputs!$B$43-B3247)&lt;=0,0,(INT(MAX(0,Inputs!$B$43-B3247)/(IF(Inputs!$B$38="pvp",15,MAX(0.1,1-0.4*MIN(1,(B3242-1)/1.5)-IF(FALSE=TRUE,2.0,0)))*(1-IF(AND(ArtifactsInput!$M$27,Inputs!$B$4="Chapter Hunt"),CHOOSE(ArtifactsInput!$N$27+1,20,24,28,32,36,40),0)/100)))+1)),0)</f>
        <v/>
      </c>
      <c r="S3211">
        <f>IFERROR(O3211/N3211,0)</f>
        <v/>
      </c>
      <c r="T3211">
        <f>IF(C3211,(H3211*N3211*IF(AND(Inputs!$B$38&lt;&gt;"pvp",Inputs!$B$43&gt;0),((Skills!G6*((R3211-1)*IF(Skills!H6&gt;0,INT(Skills!I6/Skills!H6+0.000000001),1)+IF(Skills!H6&gt;0,INT(MIN(Skills!I6,MAX(0,MAX(0,Inputs!$B$43-B3247)-((R3211-1)*(IF(Inputs!$B$38="pvp",15,MAX(0.1,1-0.4*MIN(1,(B3242-1)/1.5)-IF(FALSE=TRUE,2.0,0)))*(1-IF(AND(ArtifactsInput!$M$27,Inputs!$B$4="Chapter Hunt"),CHOOSE(ArtifactsInput!$N$27+1,20,24,28,32,36,40),0)/100)))))/Skills!H6+0.000000001),1)))/Inputs!$B$43),G3211*Q3211)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1">
        <f>IF(C3211,(H3211*N3211*IF(AND(Inputs!$B$38&lt;&gt;"pvp",Inputs!$B$43&gt;0),((Skills!G6*((R3211-1)*IF(Skills!H6&gt;0,INT(Skills!I6/Skills!H6+0.000000001),1)+IF(Skills!H6&gt;0,INT(MIN(Skills!I6,MAX(0,MAX(0,Inputs!$B$43-B3247)-((R3211-1)*(IF(Inputs!$B$38="pvp",15,MAX(0.1,1-0.4*MIN(1,(B3242-1)/1.5)-IF(FALSE=TRUE,2.0,0)))*(1-IF(AND(ArtifactsInput!$M$27,Inputs!$B$4="Chapter Hunt"),CHOOSE(ArtifactsInput!$N$27+1,20,24,28,32,36,40),0)/100)))))/Skills!H6+0.000000001),1)))/Inputs!$B$43),G3211*Q3211))*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Skills!A7</f>
        <v/>
      </c>
      <c r="B3212">
        <f>Skills!B7</f>
        <v/>
      </c>
      <c r="C3212">
        <f>Inputs!$B$3&gt;=107</f>
        <v/>
      </c>
      <c r="D3212">
        <f>IF(Skills!C7=1,60+Inputs!$B$25+Inputs!$B$29,IF(Skills!C7=2,90+Inputs!$B$26+Inputs!$B$29,IF(Skills!C7=3,120+Inputs!$B$27+Inputs!$B$29,MAX(0,(Inputs!$B$3-100)*3)+Inputs!$B$28+Inputs!$B$29)))</f>
        <v/>
      </c>
      <c r="E3212">
        <f>INDEX(FactorTable!$B$2:$Y$301, MATCH(ROUND(MIN(300,MAX(1,D3212)),0), FactorTable!$A$2:$A$301,0), Skills!M7+1)</f>
        <v/>
      </c>
      <c r="F3212">
        <f>IF(Skills!N7=TRUE,(Skills!L7/10)*(E3212/1000),Skills!L7/10)+Skills!O7</f>
        <v/>
      </c>
      <c r="G3212" t="inlineStr"/>
      <c r="H3212" t="inlineStr"/>
      <c r="I3212" t="inlineStr">
        <is>
          <t>1</t>
        </is>
      </c>
      <c r="J3212" t="inlineStr"/>
      <c r="K3212" t="inlineStr"/>
      <c r="L3212" t="inlineStr"/>
      <c r="M3212" t="inlineStr"/>
      <c r="N3212" t="inlineStr"/>
      <c r="O3212" t="inlineStr"/>
      <c r="P3212" t="inlineStr"/>
      <c r="Q3212" t="inlineStr"/>
      <c r="R3212" t="inlineStr"/>
      <c r="S3212" t="inlineStr"/>
      <c r="T3212" t="inlineStr"/>
      <c r="V3212" t="inlineStr"/>
    </row>
    <row r="3213">
      <c r="A3213">
        <f>Skills!A8</f>
        <v/>
      </c>
      <c r="B3213">
        <f>Skills!B8</f>
        <v/>
      </c>
      <c r="C3213">
        <f>Inputs!$B$3&gt;=130</f>
        <v/>
      </c>
      <c r="D3213">
        <f>IF(Skills!C8=1,60+Inputs!$B$25+Inputs!$B$29,IF(Skills!C8=2,90+Inputs!$B$26+Inputs!$B$29,IF(Skills!C8=3,120+Inputs!$B$27+Inputs!$B$29,MAX(0,(Inputs!$B$3-100)*3)+Inputs!$B$28+Inputs!$B$29)))</f>
        <v/>
      </c>
      <c r="E3213">
        <f>INDEX(FactorTable!$B$2:$Y$301, MATCH(ROUND(MIN(300,MAX(1,D3213)),0), FactorTable!$A$2:$A$301,0), Skills!M8+1)</f>
        <v/>
      </c>
      <c r="F3213">
        <f>IF(Skills!N8=TRUE,(Skills!L8/10)*(E3213/1000),Skills!L8/10)+Skills!O8</f>
        <v/>
      </c>
      <c r="G3213">
        <f>Skills!G8*IF(Skills!H8&gt;0,INT(IF(Inputs!$B$38="pvp",MIN(Skills!I8,15),Skills!I8)/Skills!H8+0.000000001),1)</f>
        <v/>
      </c>
      <c r="H3213">
        <f>1-(1-Skills!J8/100)^Skills!K8</f>
        <v/>
      </c>
      <c r="I3213" t="inlineStr">
        <is>
          <t>1</t>
        </is>
      </c>
      <c r="J3213">
        <f>((Inputs!$B$6*(1+Inputs!$B$7/100))+(((Inputs!$B$12*(1+Inputs!$B$13/100))-(Inputs!$B$12*(1+Inputs!$B$13/100)))+0.25*(Inputs!$B$14-Inputs!$B$14))*(1+Inputs!$B$7/100))*(F3213/100)</f>
        <v/>
      </c>
      <c r="K3213">
        <f>J3213*(1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26)),(Inputs!$B$23+((C3236=TRUE)*(F3236-Calc!F31))+(IF(ArtifactsInput!$M$15,CHOOSE(ArtifactsInput!$N$15+1,25,30,35,40,45,50)/100*(Inputs!$B$11-Inputs!$B$11),0))))/100+(Inputs!$B$23+((C3236=TRUE)*(F3236-Calc!F31))+(IF(ArtifactsInput!$M$15,CHOOSE(ArtifactsInput!$N$15+1,25,30,35,40,45,50)/100*(Inputs!$B$11-Inputs!$B$11),0)))/100)/2</f>
        <v/>
      </c>
      <c r="M3213">
        <f>L3213*(1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IFERROR(1/(IF(Inputs!$B$38="pvp",15,MAX(0.1,1-0.4*MIN(1,(B3242-1)/1.5)-IF(FALSE=TRUE,2.0,0)))*(1-IF(AND(ArtifactsInput!$M$27,Inputs!$B$4="Chapter Hunt"),CHOOSE(ArtifactsInput!$N$27+1,20,24,28,32,36,40),0)/100)),0)</f>
        <v/>
      </c>
      <c r="R3213">
        <f>IF(AND(Inputs!$B$38&lt;&gt;"pvp",Inputs!$B$43&gt;0),IF(MAX(0,Inputs!$B$43-B3247)&lt;=0,0,(INT(MAX(0,Inputs!$B$43-B3247)/(IF(Inputs!$B$38="pvp",15,MAX(0.1,1-0.4*MIN(1,(B3242-1)/1.5)-IF(FALSE=TRUE,2.0,0)))*(1-IF(AND(ArtifactsInput!$M$27,Inputs!$B$4="Chapter Hunt"),CHOOSE(ArtifactsInput!$N$27+1,20,24,28,32,36,40),0)/100)))+1)),0)</f>
        <v/>
      </c>
      <c r="S3213">
        <f>IFERROR(O3213/N3213,0)</f>
        <v/>
      </c>
      <c r="T3213">
        <f>IF(C3213,(H3213*N3213*IF(AND(Inputs!$B$38&lt;&gt;"pvp",Inputs!$B$43&gt;0),((Skills!G8*((R3213-1)*IF(Skills!H8&gt;0,INT(Skills!I8/Skills!H8+0.000000001),1)+IF(Skills!H8&gt;0,INT(MIN(Skills!I8,MAX(0,MAX(0,Inputs!$B$43-B3247)-((R3213-1)*(IF(Inputs!$B$38="pvp",15,MAX(0.1,1-0.4*MIN(1,(B3242-1)/1.5)-IF(FALSE=TRUE,2.0,0)))*(1-IF(AND(ArtifactsInput!$M$27,Inputs!$B$4="Chapter Hunt"),CHOOSE(ArtifactsInput!$N$27+1,20,24,28,32,36,40),0)/100)))))/Skills!H8+0.000000001),1)))/Inputs!$B$43),G3213*Q3213)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3">
        <f>IF(C3213,(H3213*N3213*IF(AND(Inputs!$B$38&lt;&gt;"pvp",Inputs!$B$43&gt;0),((Skills!G8*((R3213-1)*IF(Skills!H8&gt;0,INT(Skills!I8/Skills!H8+0.000000001),1)+IF(Skills!H8&gt;0,INT(MIN(Skills!I8,MAX(0,MAX(0,Inputs!$B$43-B3247)-((R3213-1)*(IF(Inputs!$B$38="pvp",15,MAX(0.1,1-0.4*MIN(1,(B3242-1)/1.5)-IF(FALSE=TRUE,2.0,0)))*(1-IF(AND(ArtifactsInput!$M$27,Inputs!$B$4="Chapter Hunt"),CHOOSE(ArtifactsInput!$N$27+1,20,24,28,32,36,40),0)/100)))))/Skills!H8+0.000000001),1)))/Inputs!$B$43),G3213*Q3213))*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Skills!A9</f>
        <v/>
      </c>
      <c r="B3214">
        <f>Skills!B9</f>
        <v/>
      </c>
      <c r="C3214">
        <f>Inputs!$B$3&gt;=69</f>
        <v/>
      </c>
      <c r="D3214">
        <f>IF(Skills!C9=1,60+Inputs!$B$25+Inputs!$B$29,IF(Skills!C9=2,90+Inputs!$B$26+Inputs!$B$29,IF(Skills!C9=3,120+Inputs!$B$27+Inputs!$B$29,MAX(0,(Inputs!$B$3-100)*3)+Inputs!$B$28+Inputs!$B$29)))</f>
        <v/>
      </c>
      <c r="E3214">
        <f>INDEX(FactorTable!$B$2:$Y$301, MATCH(ROUND(MIN(300,MAX(1,D3214)),0), FactorTable!$A$2:$A$301,0), Skills!M9+1)</f>
        <v/>
      </c>
      <c r="F3214">
        <f>IF(Skills!N9=TRUE,(Skills!L9/10)*(E3214/1000),Skills!L9/10)+Skills!O9</f>
        <v/>
      </c>
      <c r="G3214">
        <f>Skills!G9*IF(Skills!H9&gt;0,INT(IF(Inputs!$B$38="pvp",MIN(Skills!I9,15),Skills!I9)/Skills!H9+0.000000001),1)</f>
        <v/>
      </c>
      <c r="H3214">
        <f>1-(1-Skills!J9/100)^Skills!K9</f>
        <v/>
      </c>
      <c r="I3214" t="inlineStr">
        <is>
          <t>1</t>
        </is>
      </c>
      <c r="J3214">
        <f>((Inputs!$B$6*(1+Inputs!$B$7/100))+(((Inputs!$B$12*(1+Inputs!$B$13/100))-(Inputs!$B$12*(1+Inputs!$B$13/100)))+0.25*(Inputs!$B$14-Inputs!$B$14))*(1+Inputs!$B$7/100))*(F3214/100)</f>
        <v/>
      </c>
      <c r="K3214">
        <f>J3214*(1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3217=TRUE,F3217,0)/100)*(1+(IF(Skills!A9="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26)),(Inputs!$B$23+((C3236=TRUE)*(F3236-Calc!F31))+(IF(ArtifactsInput!$M$15,CHOOSE(ArtifactsInput!$N$15+1,25,30,35,40,45,50)/100*(Inputs!$B$11-Inputs!$B$11),0))))/100+(Inputs!$B$23+((C3236=TRUE)*(F3236-Calc!F31))+(IF(ArtifactsInput!$M$15,CHOOSE(ArtifactsInput!$N$15+1,25,30,35,40,45,50)/100*(Inputs!$B$11-Inputs!$B$11),0)))/100)/2</f>
        <v/>
      </c>
      <c r="M3214">
        <f>L3214*(1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IFERROR(1/(IF(Inputs!$B$38="pvp",15,MAX(0.1,Skills!D9-IF(TRUE=TRUE,2.0,0)))*(1-IF(AND(ArtifactsInput!$M$27,Inputs!$B$4="Chapter Hunt"),CHOOSE(ArtifactsInput!$N$27+1,20,24,28,32,36,40),0)/100)),0)</f>
        <v/>
      </c>
      <c r="R3214">
        <f>IF(AND(Inputs!$B$38&lt;&gt;"pvp",Inputs!$B$43&gt;0),IF(MAX(0,Inputs!$B$43-B3247)&lt;=0,0,(INT(MAX(0,Inputs!$B$43-B3247)/(IF(Inputs!$B$38="pvp",15,MAX(0.1,Skills!D9-IF(TRUE=TRUE,2.0,0)))*(1-IF(AND(ArtifactsInput!$M$27,Inputs!$B$4="Chapter Hunt"),CHOOSE(ArtifactsInput!$N$27+1,20,24,28,32,36,40),0)/100)))+1)),0)</f>
        <v/>
      </c>
      <c r="S3214">
        <f>IFERROR(O3214/N3214,0)</f>
        <v/>
      </c>
      <c r="T3214">
        <f>IF(C3214,(H3214*N3214*IF(AND(Inputs!$B$38&lt;&gt;"pvp",Inputs!$B$43&gt;0),((Skills!G9*((R3214-1)*IF(Skills!H9&gt;0,INT(Skills!I9/Skills!H9+0.000000001),1)+IF(Skills!H9&gt;0,INT(MIN(Skills!I9,MAX(0,MAX(0,Inputs!$B$43-B3247)-((R3214-1)*(IF(Inputs!$B$38="pvp",15,MAX(0.1,Skills!D9-IF(TRUE=TRUE,2.0,0)))*(1-IF(AND(ArtifactsInput!$M$27,Inputs!$B$4="Chapter Hunt"),CHOOSE(ArtifactsInput!$N$27+1,20,24,28,32,36,40),0)/100)))))/Skills!H9+0.000000001),1)))/Inputs!$B$43),G3214*Q3214)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9*((R3214-1)*IF(Skills!H9&gt;0,INT(Skills!I9/Skills!H9+0.000000001),1)+IF(Skills!H9&gt;0,INT(MIN(Skills!I9,MAX(0,MAX(0,Inputs!$B$43-B3247)-((R3214-1)*(IF(Inputs!$B$38="pvp",15,MAX(0.1,Skills!D9-IF(TRUE=TRUE,2.0,0)))*(1-IF(AND(ArtifactsInput!$M$27,Inputs!$B$4="Chapter Hunt"),CHOOSE(ArtifactsInput!$N$27+1,20,24,28,32,36,40),0)/100)))))/Skills!H9+0.000000001),1)))/Inputs!$B$43),G3214*Q3214))*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Skills!A10</f>
        <v/>
      </c>
      <c r="B3215">
        <f>Skills!B10</f>
        <v/>
      </c>
      <c r="C3215">
        <f>Inputs!$B$3&gt;=63</f>
        <v/>
      </c>
      <c r="D3215">
        <f>IF(Skills!C10=1,60+Inputs!$B$25+Inputs!$B$29,IF(Skills!C10=2,90+Inputs!$B$26+Inputs!$B$29,IF(Skills!C10=3,120+Inputs!$B$27+Inputs!$B$29,MAX(0,(Inputs!$B$3-100)*3)+Inputs!$B$28+Inputs!$B$29)))</f>
        <v/>
      </c>
      <c r="E3215">
        <f>INDEX(FactorTable!$B$2:$Y$301, MATCH(ROUND(MIN(300,MAX(1,D3215)),0), FactorTable!$A$2:$A$301,0), Skills!M10+1)</f>
        <v/>
      </c>
      <c r="F3215">
        <f>IF(Skills!N10=TRUE,(Skills!L10/10)*(E3215/1000),Skills!L10/10)+Skills!O10</f>
        <v/>
      </c>
      <c r="G3215">
        <f>Skills!G10*IF(Skills!H10&gt;0,INT(IF(Inputs!$B$38="pvp",MIN(Skills!I10,15),Skills!I10)/Skills!H10+0.000000001),1)</f>
        <v/>
      </c>
      <c r="H3215">
        <f>1-(1-Skills!J10/100)^Skills!K10</f>
        <v/>
      </c>
      <c r="I3215" t="inlineStr">
        <is>
          <t>1</t>
        </is>
      </c>
      <c r="J3215">
        <f>((Inputs!$B$6*(1+Inputs!$B$7/100))+(((Inputs!$B$12*(1+Inputs!$B$13/100))-(Inputs!$B$12*(1+Inputs!$B$13/100)))+0.25*(Inputs!$B$14-Inputs!$B$14))*(1+Inputs!$B$7/100))*(F3215/100)</f>
        <v/>
      </c>
      <c r="K3215">
        <f>J3215*(1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3217=TRUE,F3217,0)/100)*(1+(IF(Skills!A10="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26)),(Inputs!$B$23+((C3236=TRUE)*(F3236-Calc!F31))+(IF(ArtifactsInput!$M$15,CHOOSE(ArtifactsInput!$N$15+1,25,30,35,40,45,50)/100*(Inputs!$B$11-Inputs!$B$11),0))))/100+(Inputs!$B$23+((C3236=TRUE)*(F3236-Calc!F31))+(IF(ArtifactsInput!$M$15,CHOOSE(ArtifactsInput!$N$15+1,25,30,35,40,45,50)/100*(Inputs!$B$11-Inputs!$B$11),0)))/100)/2</f>
        <v/>
      </c>
      <c r="M3215">
        <f>L3215*(1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IFERROR(1/(IF(Inputs!$B$38="pvp",15,MAX(0.1,Skills!D10-IF(TRUE=TRUE,2.0,0)))*(1-IF(AND(ArtifactsInput!$M$27,Inputs!$B$4="Chapter Hunt"),CHOOSE(ArtifactsInput!$N$27+1,20,24,28,32,36,40),0)/100)),0)</f>
        <v/>
      </c>
      <c r="R3215">
        <f>IF(AND(Inputs!$B$38&lt;&gt;"pvp",Inputs!$B$43&gt;0),IF(MAX(0,Inputs!$B$43-B3247)&lt;=0,0,(INT(MAX(0,Inputs!$B$43-B3247)/(IF(Inputs!$B$38="pvp",15,MAX(0.1,Skills!D10-IF(TRUE=TRUE,2.0,0)))*(1-IF(AND(ArtifactsInput!$M$27,Inputs!$B$4="Chapter Hunt"),CHOOSE(ArtifactsInput!$N$27+1,20,24,28,32,36,40),0)/100)))+1)),0)</f>
        <v/>
      </c>
      <c r="S3215">
        <f>IFERROR(O3215/N3215,0)</f>
        <v/>
      </c>
      <c r="T3215">
        <f>IF(C3215,(H3215*N3215*IF(AND(Inputs!$B$38&lt;&gt;"pvp",Inputs!$B$43&gt;0),((Skills!G10*((R3215-1)*IF(Skills!H10&gt;0,INT(Skills!I10/Skills!H10+0.000000001),1)+IF(Skills!H10&gt;0,INT(MIN(Skills!I10,MAX(0,MAX(0,Inputs!$B$43-B3247)-((R3215-1)*(IF(Inputs!$B$38="pvp",15,MAX(0.1,Skills!D10-IF(TRUE=TRUE,2.0,0)))*(1-IF(AND(ArtifactsInput!$M$27,Inputs!$B$4="Chapter Hunt"),CHOOSE(ArtifactsInput!$N$27+1,20,24,28,32,36,40),0)/100)))))/Skills!H10+0.000000001),1)))/Inputs!$B$43),G3215*Q3215)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10*((R3215-1)*IF(Skills!H10&gt;0,INT(Skills!I10/Skills!H10+0.000000001),1)+IF(Skills!H10&gt;0,INT(MIN(Skills!I10,MAX(0,MAX(0,Inputs!$B$43-B3247)-((R3215-1)*(IF(Inputs!$B$38="pvp",15,MAX(0.1,Skills!D10-IF(TRUE=TRUE,2.0,0)))*(1-IF(AND(ArtifactsInput!$M$27,Inputs!$B$4="Chapter Hunt"),CHOOSE(ArtifactsInput!$N$27+1,20,24,28,32,36,40),0)/100)))))/Skills!H10+0.000000001),1)))/Inputs!$B$43),G3215*Q3215))*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Skills!A11</f>
        <v/>
      </c>
      <c r="B3216">
        <f>Skills!B11</f>
        <v/>
      </c>
      <c r="C3216">
        <f>Inputs!$B$3&gt;=103</f>
        <v/>
      </c>
      <c r="D3216">
        <f>IF(Skills!C11=1,60+Inputs!$B$25+Inputs!$B$29,IF(Skills!C11=2,90+Inputs!$B$26+Inputs!$B$29,IF(Skills!C11=3,120+Inputs!$B$27+Inputs!$B$29,MAX(0,(Inputs!$B$3-100)*3)+Inputs!$B$28+Inputs!$B$29)))</f>
        <v/>
      </c>
      <c r="E3216">
        <f>INDEX(FactorTable!$B$2:$Y$301, MATCH(ROUND(MIN(300,MAX(1,D3216)),0), FactorTable!$A$2:$A$301,0), Skills!M11+1)</f>
        <v/>
      </c>
      <c r="F3216">
        <f>IF(Skills!N11=TRUE,(Skills!L11/10)*(E3216/1000),Skills!L11/10)+Skills!O11</f>
        <v/>
      </c>
      <c r="G3216">
        <f>Skills!G11*IF(Skills!H11&gt;0,INT(IF(Inputs!$B$38="pvp",MIN(Skills!I11,15),Skills!I11)/Skills!H11+0.000000001),1)</f>
        <v/>
      </c>
      <c r="H3216">
        <f>1-(1-Skills!J11/100)^Skills!K11</f>
        <v/>
      </c>
      <c r="I3216" t="inlineStr">
        <is>
          <t>1</t>
        </is>
      </c>
      <c r="J3216">
        <f>((Inputs!$B$6*(1+Inputs!$B$7/100))+(((Inputs!$B$12*(1+Inputs!$B$13/100))-(Inputs!$B$12*(1+Inputs!$B$13/100)))+0.25*(Inputs!$B$14-Inputs!$B$14))*(1+Inputs!$B$7/100))*(F3216/100)</f>
        <v/>
      </c>
      <c r="K3216">
        <f>J3216*(1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26)),(Inputs!$B$23+((C3236=TRUE)*(F3236-Calc!F31))+(IF(ArtifactsInput!$M$15,CHOOSE(ArtifactsInput!$N$15+1,25,30,35,40,45,50)/100*(Inputs!$B$11-Inputs!$B$11),0))))/100+(Inputs!$B$23+((C3236=TRUE)*(F3236-Calc!F31))+(IF(ArtifactsInput!$M$15,CHOOSE(ArtifactsInput!$N$15+1,25,30,35,40,45,50)/100*(Inputs!$B$11-Inputs!$B$11),0)))/100)/2</f>
        <v/>
      </c>
      <c r="M3216">
        <f>L3216*(1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IFERROR(1/(IF(Inputs!$B$38="pvp",15,MAX(0.1,Skills!D11-IF(TRUE=TRUE,2.0,0)))*(1-IF(AND(ArtifactsInput!$M$27,Inputs!$B$4="Chapter Hunt"),CHOOSE(ArtifactsInput!$N$27+1,20,24,28,32,36,40),0)/100)),0)</f>
        <v/>
      </c>
      <c r="R3216">
        <f>IF(AND(Inputs!$B$38&lt;&gt;"pvp",Inputs!$B$43&gt;0),IF(MAX(0,Inputs!$B$43-B3247)&lt;=0,0,(INT(MAX(0,Inputs!$B$43-B3247)/(IF(Inputs!$B$38="pvp",15,MAX(0.1,Skills!D11-IF(TRUE=TRUE,2.0,0)))*(1-IF(AND(ArtifactsInput!$M$27,Inputs!$B$4="Chapter Hunt"),CHOOSE(ArtifactsInput!$N$27+1,20,24,28,32,36,40),0)/100)))+1)),0)</f>
        <v/>
      </c>
      <c r="S3216">
        <f>IFERROR(O3216/N3216,0)</f>
        <v/>
      </c>
      <c r="T3216">
        <f>IF(C3216,(H3216*N3216*IF(AND(Inputs!$B$38&lt;&gt;"pvp",Inputs!$B$43&gt;0),((Skills!G11*((R3216-1)*IF(Skills!H11&gt;0,INT(Skills!I11/Skills!H11+0.000000001),1)+IF(Skills!H11&gt;0,INT(MIN(Skills!I11,MAX(0,MAX(0,Inputs!$B$43-B3247)-((R3216-1)*(IF(Inputs!$B$38="pvp",15,MAX(0.1,Skills!D11-IF(TRUE=TRUE,2.0,0)))*(1-IF(AND(ArtifactsInput!$M$27,Inputs!$B$4="Chapter Hunt"),CHOOSE(ArtifactsInput!$N$27+1,20,24,28,32,36,40),0)/100)))))/Skills!H11+0.000000001),1)))/Inputs!$B$43),G3216*Q3216)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11*((R3216-1)*IF(Skills!H11&gt;0,INT(Skills!I11/Skills!H11+0.000000001),1)+IF(Skills!H11&gt;0,INT(MIN(Skills!I11,MAX(0,MAX(0,Inputs!$B$43-B3247)-((R3216-1)*(IF(Inputs!$B$38="pvp",15,MAX(0.1,Skills!D11-IF(TRUE=TRUE,2.0,0)))*(1-IF(AND(ArtifactsInput!$M$27,Inputs!$B$4="Chapter Hunt"),CHOOSE(ArtifactsInput!$N$27+1,20,24,28,32,36,40),0)/100)))))/Skills!H11+0.000000001),1)))/Inputs!$B$43),G3216*Q3216))*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Skills!A12</f>
        <v/>
      </c>
      <c r="B3217">
        <f>Skills!B12</f>
        <v/>
      </c>
      <c r="C3217">
        <f>Inputs!$B$3&gt;=100</f>
        <v/>
      </c>
      <c r="D3217">
        <f>IF(Skills!C12=1,60+Inputs!$B$25+Inputs!$B$29,IF(Skills!C12=2,90+Inputs!$B$26+Inputs!$B$29,IF(Skills!C12=3,120+Inputs!$B$27+Inputs!$B$29,MAX(0,(Inputs!$B$3-100)*3)+Inputs!$B$28+Inputs!$B$29)))</f>
        <v/>
      </c>
      <c r="E3217">
        <f>INDEX(FactorTable!$B$2:$Y$301, MATCH(ROUND(MIN(300,MAX(1,D3217)),0), FactorTable!$A$2:$A$301,0), Skills!M12+1)</f>
        <v/>
      </c>
      <c r="F3217">
        <f>IF(Skills!N12=TRUE,(Skills!L12/10)*(E3217/1000),Skills!L12/10)+Skills!O12</f>
        <v/>
      </c>
      <c r="G3217" t="inlineStr"/>
      <c r="H3217" t="inlineStr"/>
      <c r="I3217" t="inlineStr">
        <is>
          <t>1</t>
        </is>
      </c>
      <c r="J3217" t="inlineStr"/>
      <c r="K3217" t="inlineStr"/>
      <c r="L3217" t="inlineStr"/>
      <c r="M3217" t="inlineStr"/>
      <c r="N3217" t="inlineStr"/>
      <c r="O3217" t="inlineStr"/>
      <c r="P3217" t="inlineStr"/>
      <c r="Q3217" t="inlineStr"/>
      <c r="R3217" t="inlineStr"/>
      <c r="S3217" t="inlineStr"/>
      <c r="T3217" t="inlineStr"/>
      <c r="V3217" t="inlineStr"/>
    </row>
    <row r="3218">
      <c r="A3218">
        <f>Skills!A13</f>
        <v/>
      </c>
      <c r="B3218">
        <f>Skills!B13</f>
        <v/>
      </c>
      <c r="C3218">
        <f>Inputs!$B$3&gt;=60</f>
        <v/>
      </c>
      <c r="D3218">
        <f>IF(Skills!C13=1,60+Inputs!$B$25+Inputs!$B$29,IF(Skills!C13=2,90+Inputs!$B$26+Inputs!$B$29,IF(Skills!C13=3,120+Inputs!$B$27+Inputs!$B$29,MAX(0,(Inputs!$B$3-100)*3)+Inputs!$B$28+Inputs!$B$29)))</f>
        <v/>
      </c>
      <c r="E3218">
        <f>INDEX(FactorTable!$B$2:$Y$301, MATCH(ROUND(MIN(300,MAX(1,D3218)),0), FactorTable!$A$2:$A$301,0), Skills!M13+1)</f>
        <v/>
      </c>
      <c r="F3218">
        <f>IF(Skills!N13=TRUE,(Skills!L13/10)*(E3218/1000),Skills!L13/10)+Skills!O13</f>
        <v/>
      </c>
      <c r="G3218">
        <f>Skills!G13*IF(Skills!H13&gt;0,INT(IF(Inputs!$B$38="pvp",MIN(Skills!I13,15),Skills!I13)/Skills!H13+0.000000001),1)</f>
        <v/>
      </c>
      <c r="H3218">
        <f>1-(1-Skills!J13/100)^Skills!K13</f>
        <v/>
      </c>
      <c r="I3218" t="inlineStr">
        <is>
          <t>1</t>
        </is>
      </c>
      <c r="J3218">
        <f>((Inputs!$B$6*(1+Inputs!$B$7/100))+(((Inputs!$B$12*(1+Inputs!$B$13/100))-(Inputs!$B$12*(1+Inputs!$B$13/100)))+0.25*(Inputs!$B$14-Inputs!$B$14))*(1+Inputs!$B$7/100))*(F3218/100)</f>
        <v/>
      </c>
      <c r="K3218">
        <f>J3218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3219=TRUE,F3219,0)/100)*(1+(IF(Skills!A13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26)),(Inputs!$B$23+((C3236=TRUE)*(F3236-Calc!F31))+(IF(ArtifactsInput!$M$15,CHOOSE(ArtifactsInput!$N$15+1,25,30,35,40,45,50)/100*(Inputs!$B$11-Inputs!$B$11),0))))/100+(Inputs!$B$23+((C3236=TRUE)*(F3236-Calc!F31))+(IF(ArtifactsInput!$M$15,CHOOSE(ArtifactsInput!$N$15+1,25,30,35,40,45,50)/100*(Inputs!$B$11-Inputs!$B$11),0)))/100)/2</f>
        <v/>
      </c>
      <c r="M3218">
        <f>L3218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IFERROR(1/(IF(Inputs!$B$38="pvp",15,MAX(0.1,IF(Inputs!$B$3&gt;=122,3,5)+1/(((20+30*(B3242-1)*100/150)/100)*B3242)-IF(FALSE=TRUE,2.0,0)))*(1-IF(AND(ArtifactsInput!$M$27,Inputs!$B$4="Chapter Hunt"),CHOOSE(ArtifactsInput!$N$27+1,20,24,28,32,36,40),0)/100)),0)</f>
        <v/>
      </c>
      <c r="R3218">
        <f>IF(AND(Inputs!$B$38&lt;&gt;"pvp",Inputs!$B$43&gt;0),IF(MAX(0,Inputs!$B$43-B3247)&lt;=0,0,(INT(MAX(0,Inputs!$B$43-B3247)/(IF(Inputs!$B$38="pvp",15,MAX(0.1,IF(Inputs!$B$3&gt;=122,3,5)+1/(((20+30*(B3242-1)*100/150)/100)*B3242)-IF(FALSE=TRUE,2.0,0)))*(1-IF(AND(ArtifactsInput!$M$27,Inputs!$B$4="Chapter Hunt"),CHOOSE(ArtifactsInput!$N$27+1,20,24,28,32,36,40),0)/100)))+1)),0)</f>
        <v/>
      </c>
      <c r="S3218">
        <f>IFERROR(O3218/N3218,0)</f>
        <v/>
      </c>
      <c r="T3218">
        <f>IF(C3218,(H3218*N3218*IF(AND(Inputs!$B$38&lt;&gt;"pvp",Inputs!$B$43&gt;0),((Skills!G13*((R3218-1)*IF(Skills!H13&gt;0,INT(Skills!I13/Skills!H13+0.000000001),1)+IF(Skills!H13&gt;0,INT(MIN(Skills!I13,MAX(0,MAX(0,Inputs!$B$43-B3247)-((R3218-1)*(IF(Inputs!$B$38="pvp",15,MAX(0.1,IF(Inputs!$B$3&gt;=122,3,5)+1/(((20+30*(B3242-1)*100/150)/100)*B3242)-IF(FALSE=TRUE,2.0,0)))*(1-IF(AND(ArtifactsInput!$M$27,Inputs!$B$4="Chapter Hunt"),CHOOSE(ArtifactsInput!$N$27+1,20,24,28,32,36,40),0)/100)))))/Skills!H13+0.000000001),1)))/Inputs!$B$43),G3218*Q3218)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13*((R3218-1)*IF(Skills!H13&gt;0,INT(Skills!I13/Skills!H13+0.000000001),1)+IF(Skills!H13&gt;0,INT(MIN(Skills!I13,MAX(0,MAX(0,Inputs!$B$43-B3247)-((R3218-1)*(IF(Inputs!$B$38="pvp",15,MAX(0.1,IF(Inputs!$B$3&gt;=122,3,5)+1/(((20+30*(B3242-1)*100/150)/100)*B3242)-IF(FALSE=TRUE,2.0,0)))*(1-IF(AND(ArtifactsInput!$M$27,Inputs!$B$4="Chapter Hunt"),CHOOSE(ArtifactsInput!$N$27+1,20,24,28,32,36,40),0)/100)))))/Skills!H13+0.000000001),1)))/Inputs!$B$43),G3218*Q3218))*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Skills!A14</f>
        <v/>
      </c>
      <c r="B3219">
        <f>Skills!B14</f>
        <v/>
      </c>
      <c r="C3219">
        <f>Inputs!$B$3&gt;=110</f>
        <v/>
      </c>
      <c r="D3219">
        <f>IF(Skills!C14=1,60+Inputs!$B$25+Inputs!$B$29,IF(Skills!C14=2,90+Inputs!$B$26+Inputs!$B$29,IF(Skills!C14=3,120+Inputs!$B$27+Inputs!$B$29,MAX(0,(Inputs!$B$3-100)*3)+Inputs!$B$28+Inputs!$B$29)))</f>
        <v/>
      </c>
      <c r="E3219">
        <f>INDEX(FactorTable!$B$2:$Y$301, MATCH(ROUND(MIN(300,MAX(1,D3219)),0), FactorTable!$A$2:$A$301,0), Skills!M14+1)</f>
        <v/>
      </c>
      <c r="F3219">
        <f>IF(Skills!N14=TRUE,(Skills!L14/10)*(E3219/1000),Skills!L14/10)+Skills!O14</f>
        <v/>
      </c>
      <c r="G3219" t="inlineStr"/>
      <c r="H3219" t="inlineStr"/>
      <c r="I3219" t="inlineStr">
        <is>
          <t>1</t>
        </is>
      </c>
      <c r="J3219" t="inlineStr"/>
      <c r="K3219" t="inlineStr"/>
      <c r="L3219" t="inlineStr"/>
      <c r="M3219" t="inlineStr"/>
      <c r="N3219" t="inlineStr"/>
      <c r="O3219" t="inlineStr"/>
      <c r="P3219" t="inlineStr"/>
      <c r="Q3219" t="inlineStr"/>
      <c r="R3219" t="inlineStr"/>
      <c r="S3219" t="inlineStr"/>
      <c r="T3219" t="inlineStr"/>
      <c r="V3219" t="inlineStr"/>
    </row>
    <row r="3220">
      <c r="A3220">
        <f>Skills!A15</f>
        <v/>
      </c>
      <c r="B3220">
        <f>Skills!B15</f>
        <v/>
      </c>
      <c r="C3220">
        <f>Inputs!$B$3&gt;=74</f>
        <v/>
      </c>
      <c r="D3220">
        <f>IF(Skills!C15=1,60+Inputs!$B$25+Inputs!$B$29,IF(Skills!C15=2,90+Inputs!$B$26+Inputs!$B$29,IF(Skills!C15=3,120+Inputs!$B$27+Inputs!$B$29,MAX(0,(Inputs!$B$3-100)*3)+Inputs!$B$28+Inputs!$B$29)))</f>
        <v/>
      </c>
      <c r="E3220">
        <f>INDEX(FactorTable!$B$2:$Y$301, MATCH(ROUND(MIN(300,MAX(1,D3220)),0), FactorTable!$A$2:$A$301,0), Skills!M15+1)</f>
        <v/>
      </c>
      <c r="F3220">
        <f>IF(Skills!N15=TRUE,(Skills!L15/10)*(E3220/1000),Skills!L15/10)+Skills!O15</f>
        <v/>
      </c>
      <c r="G3220">
        <f>Skills!G15*IF(Skills!H15&gt;0,INT(IF(Inputs!$B$38="pvp",MIN(Skills!I15,15),Skills!I15)/Skills!H15+0.000000001),1)</f>
        <v/>
      </c>
      <c r="H3220">
        <f>1-(1-Skills!J15/100)^Skills!K15</f>
        <v/>
      </c>
      <c r="I3220" t="inlineStr">
        <is>
          <t>1</t>
        </is>
      </c>
      <c r="J3220" t="inlineStr"/>
      <c r="K3220" t="inlineStr"/>
      <c r="L3220" t="inlineStr"/>
      <c r="M3220" t="inlineStr"/>
      <c r="N3220" t="inlineStr"/>
      <c r="O3220">
        <f>(1-Summary!$B$11)*T3220+Summary!$B$11*V3220</f>
        <v/>
      </c>
      <c r="P3220">
        <f>IF(B3250=0,0,O3220/B3250)</f>
        <v/>
      </c>
      <c r="Q3220" t="n">
        <v>0</v>
      </c>
      <c r="R3220" t="n">
        <v>0</v>
      </c>
      <c r="S3220">
        <f>IFERROR(O3220/N3220,0)</f>
        <v/>
      </c>
      <c r="T3220" t="n">
        <v>0</v>
      </c>
      <c r="V3220" t="n">
        <v>0</v>
      </c>
    </row>
    <row r="3221">
      <c r="A3221">
        <f>Skills!A16</f>
        <v/>
      </c>
      <c r="B3221">
        <f>Skills!B16</f>
        <v/>
      </c>
      <c r="C3221">
        <f>Inputs!$B$3&gt;=74</f>
        <v/>
      </c>
      <c r="D3221">
        <f>IF(Skills!C16=1,60+Inputs!$B$25+Inputs!$B$29,IF(Skills!C16=2,90+Inputs!$B$26+Inputs!$B$29,IF(Skills!C16=3,120+Inputs!$B$27+Inputs!$B$29,MAX(0,(Inputs!$B$3-100)*3)+Inputs!$B$28+Inputs!$B$29)))</f>
        <v/>
      </c>
      <c r="E3221">
        <f>INDEX(FactorTable!$B$2:$Y$301, MATCH(ROUND(MIN(300,MAX(1,D3221)),0), FactorTable!$A$2:$A$301,0), Skills!M16+1)</f>
        <v/>
      </c>
      <c r="F3221">
        <f>IF(Skills!N16=TRUE,(Skills!L16/10)*(E3221/1000),Skills!L16/10)+Skills!O16</f>
        <v/>
      </c>
      <c r="G3221">
        <f>Skills!G16*IF(Skills!H16&gt;0,INT(IF(Inputs!$B$38="pvp",MIN(Skills!I16,15),Skills!I16)/Skills!H16+0.000000001),1)</f>
        <v/>
      </c>
      <c r="H3221">
        <f>1-(1-Skills!J16/100)^Skills!K16</f>
        <v/>
      </c>
      <c r="I3221" t="inlineStr">
        <is>
          <t>1</t>
        </is>
      </c>
      <c r="J3221" t="inlineStr"/>
      <c r="K3221" t="inlineStr"/>
      <c r="L3221" t="inlineStr"/>
      <c r="M3221" t="inlineStr"/>
      <c r="N3221" t="inlineStr"/>
      <c r="O3221">
        <f>(1-Summary!$B$11)*T3221+Summary!$B$11*V3221</f>
        <v/>
      </c>
      <c r="P3221">
        <f>IF(B3250=0,0,O3221/B3250)</f>
        <v/>
      </c>
      <c r="Q3221" t="n">
        <v>0</v>
      </c>
      <c r="R3221" t="n">
        <v>0</v>
      </c>
      <c r="S3221">
        <f>IFERROR(O3221/N3221,0)</f>
        <v/>
      </c>
      <c r="T3221" t="n">
        <v>0</v>
      </c>
      <c r="V3221" t="n">
        <v>0</v>
      </c>
    </row>
    <row r="3222">
      <c r="A3222">
        <f>Skills!A17</f>
        <v/>
      </c>
      <c r="B3222">
        <f>Skills!B17</f>
        <v/>
      </c>
      <c r="C3222">
        <f>Inputs!$B$3&gt;=117</f>
        <v/>
      </c>
      <c r="D3222">
        <f>IF(Skills!C17=1,60+Inputs!$B$25+Inputs!$B$29,IF(Skills!C17=2,90+Inputs!$B$26+Inputs!$B$29,IF(Skills!C17=3,120+Inputs!$B$27+Inputs!$B$29,MAX(0,(Inputs!$B$3-100)*3)+Inputs!$B$28+Inputs!$B$29)))</f>
        <v/>
      </c>
      <c r="E3222">
        <f>INDEX(FactorTable!$B$2:$Y$301, MATCH(ROUND(MIN(300,MAX(1,D3222)),0), FactorTable!$A$2:$A$301,0), Skills!M17+1)</f>
        <v/>
      </c>
      <c r="F3222">
        <f>IF(Skills!N17=TRUE,(Skills!L17/10)*(E3222/1000),Skills!L17/10)+Skills!O17</f>
        <v/>
      </c>
      <c r="G3222">
        <f>Skills!G17*IF(Skills!H17&gt;0,INT(IF(Inputs!$B$38="pvp",MIN(Skills!I17,15),Skills!I17)/Skills!H17+0.000000001),1)</f>
        <v/>
      </c>
      <c r="H3222">
        <f>1-(1-Skills!J17/100)^Skills!K17</f>
        <v/>
      </c>
      <c r="I3222" t="inlineStr">
        <is>
          <t>1</t>
        </is>
      </c>
      <c r="J3222" t="inlineStr"/>
      <c r="K3222" t="inlineStr"/>
      <c r="L3222" t="inlineStr"/>
      <c r="M3222" t="inlineStr"/>
      <c r="N3222" t="inlineStr"/>
      <c r="O3222">
        <f>(1-Summary!$B$11)*T3222+Summary!$B$11*V3222</f>
        <v/>
      </c>
      <c r="P3222">
        <f>IF(B3250=0,0,O3222/B3250)</f>
        <v/>
      </c>
      <c r="Q3222">
        <f>IFERROR(1/(IF(Inputs!$B$38="pvp",15,MAX(0.1,Skills!D17-IF(TRUE=TRUE,2.0,0)))*(1-IF(AND(ArtifactsInput!$M$27,Inputs!$B$4="Chapter Hunt"),CHOOSE(ArtifactsInput!$N$27+1,20,24,28,32,36,40),0)/100)),0)</f>
        <v/>
      </c>
      <c r="R3222">
        <f>IF(AND(Inputs!$B$38&lt;&gt;"pvp",Inputs!$B$43&gt;0),IF(Inputs!$B$43&lt;=0,0,(INT(Inputs!$B$43/(IF(Inputs!$B$38="pvp",15,MAX(0.1,Skills!D17-IF(TRUE=TRUE,2.0,0)))*(1-IF(AND(ArtifactsInput!$M$27,Inputs!$B$4="Chapter Hunt"),CHOOSE(ArtifactsInput!$N$27+1,20,24,28,32,36,40),0)/100)))+1)),0)</f>
        <v/>
      </c>
      <c r="S3222">
        <f>IFERROR(O3222/N3222,0)</f>
        <v/>
      </c>
      <c r="T3222" t="n">
        <v>0</v>
      </c>
      <c r="V3222" t="n">
        <v>0</v>
      </c>
    </row>
    <row r="3223">
      <c r="A3223">
        <f>Skills!A18</f>
        <v/>
      </c>
      <c r="B3223">
        <f>Skills!B18</f>
        <v/>
      </c>
      <c r="C3223">
        <f>Inputs!$B$3&gt;=115</f>
        <v/>
      </c>
      <c r="D3223">
        <f>IF(Skills!C18=1,60+Inputs!$B$25+Inputs!$B$29,IF(Skills!C18=2,90+Inputs!$B$26+Inputs!$B$29,IF(Skills!C18=3,120+Inputs!$B$27+Inputs!$B$29,MAX(0,(Inputs!$B$3-100)*3)+Inputs!$B$28+Inputs!$B$29)))</f>
        <v/>
      </c>
      <c r="E3223">
        <f>INDEX(FactorTable!$B$2:$Y$301, MATCH(ROUND(MIN(300,MAX(1,D3223)),0), FactorTable!$A$2:$A$301,0), Skills!M18+1)</f>
        <v/>
      </c>
      <c r="F3223">
        <f>IF(Skills!N18=TRUE,(Skills!L18/10)*(E3223/1000),Skills!L18/10)+Skills!O18</f>
        <v/>
      </c>
      <c r="G3223">
        <f>Skills!G18*IF(Skills!H18&gt;0,INT(IF(Inputs!$B$38="pvp",MIN(Skills!I18,15),Skills!I18)/Skills!H18+0.000000001),1)</f>
        <v/>
      </c>
      <c r="H3223">
        <f>1-(1-Skills!J18/100)^Skills!K18</f>
        <v/>
      </c>
      <c r="I3223" t="inlineStr">
        <is>
          <t>1</t>
        </is>
      </c>
      <c r="J3223" t="inlineStr"/>
      <c r="K3223" t="inlineStr"/>
      <c r="L3223" t="inlineStr"/>
      <c r="M3223" t="inlineStr"/>
      <c r="N3223" t="inlineStr"/>
      <c r="O3223">
        <f>(1-Summary!$B$11)*T3223+Summary!$B$11*V3223</f>
        <v/>
      </c>
      <c r="P3223">
        <f>IF(B3250=0,0,O3223/B3250)</f>
        <v/>
      </c>
      <c r="Q3223">
        <f>IFERROR(1/(IF(Inputs!$B$38="pvp",15,MAX(0.1,Skills!D18-IF(TRUE=TRUE,2.0,0)))*(1-IF(AND(ArtifactsInput!$M$27,Inputs!$B$4="Chapter Hunt"),CHOOSE(ArtifactsInput!$N$27+1,20,24,28,32,36,40),0)/100)),0)</f>
        <v/>
      </c>
      <c r="R3223">
        <f>IF(AND(Inputs!$B$38&lt;&gt;"pvp",Inputs!$B$43&gt;0),IF(Inputs!$B$43&lt;=0,0,(INT(Inputs!$B$43/(IF(Inputs!$B$38="pvp",15,MAX(0.1,Skills!D18-IF(TRUE=TRUE,2.0,0)))*(1-IF(AND(ArtifactsInput!$M$27,Inputs!$B$4="Chapter Hunt"),CHOOSE(ArtifactsInput!$N$27+1,20,24,28,32,36,40),0)/100)))+1)),0)</f>
        <v/>
      </c>
      <c r="S3223">
        <f>IFERROR(O3223/N3223,0)</f>
        <v/>
      </c>
      <c r="T3223" t="n">
        <v>0</v>
      </c>
      <c r="V3223" t="n">
        <v>0</v>
      </c>
    </row>
    <row r="3224">
      <c r="A3224">
        <f>Skills!A19</f>
        <v/>
      </c>
      <c r="B3224">
        <f>Skills!B19</f>
        <v/>
      </c>
      <c r="C3224">
        <f>Inputs!$B$3&gt;=66</f>
        <v/>
      </c>
      <c r="D3224">
        <f>IF(Skills!C19=1,60+Inputs!$B$25+Inputs!$B$29,IF(Skills!C19=2,90+Inputs!$B$26+Inputs!$B$29,IF(Skills!C19=3,120+Inputs!$B$27+Inputs!$B$29,MAX(0,(Inputs!$B$3-100)*3)+Inputs!$B$28+Inputs!$B$29)))</f>
        <v/>
      </c>
      <c r="E3224">
        <f>INDEX(FactorTable!$B$2:$Y$301, MATCH(ROUND(MIN(300,MAX(1,D3224)),0), FactorTable!$A$2:$A$301,0), Skills!M19+1)</f>
        <v/>
      </c>
      <c r="F3224">
        <f>IF(Skills!N19=TRUE,(Skills!L19/10)*(E3224/1000),Skills!L19/10)+Skills!O19</f>
        <v/>
      </c>
      <c r="G3224">
        <f>Skills!G19*IF(Skills!H19&gt;0,INT(IF(Inputs!$B$38="pvp",MIN(Skills!I19,15),Skills!I19)/Skills!H19+0.000000001),1)</f>
        <v/>
      </c>
      <c r="H3224">
        <f>1-(1-Skills!J19/100)^Skills!K19</f>
        <v/>
      </c>
      <c r="I3224" t="inlineStr">
        <is>
          <t>1</t>
        </is>
      </c>
      <c r="J3224" t="inlineStr"/>
      <c r="K3224" t="inlineStr"/>
      <c r="L3224" t="inlineStr"/>
      <c r="M3224" t="inlineStr"/>
      <c r="N3224" t="inlineStr"/>
      <c r="O3224">
        <f>(1-Summary!$B$11)*T3224+Summary!$B$11*V3224</f>
        <v/>
      </c>
      <c r="P3224">
        <f>IF(B3250=0,0,O3224/B3250)</f>
        <v/>
      </c>
      <c r="Q3224" t="n">
        <v>0</v>
      </c>
      <c r="R3224" t="n">
        <v>0</v>
      </c>
      <c r="S3224">
        <f>IFERROR(O3224/N3224,0)</f>
        <v/>
      </c>
      <c r="T3224" t="n">
        <v>0</v>
      </c>
      <c r="V3224" t="n">
        <v>0</v>
      </c>
    </row>
    <row r="3225">
      <c r="A3225">
        <f>Skills!A20</f>
        <v/>
      </c>
      <c r="B3225">
        <f>Skills!B20</f>
        <v/>
      </c>
      <c r="C3225">
        <f>Inputs!$B$3&gt;=72</f>
        <v/>
      </c>
      <c r="D3225">
        <f>IF(Skills!C20=1,60+Inputs!$B$25+Inputs!$B$29,IF(Skills!C20=2,90+Inputs!$B$26+Inputs!$B$29,IF(Skills!C20=3,120+Inputs!$B$27+Inputs!$B$29,MAX(0,(Inputs!$B$3-100)*3)+Inputs!$B$28+Inputs!$B$29)))</f>
        <v/>
      </c>
      <c r="E3225">
        <f>INDEX(FactorTable!$B$2:$Y$301, MATCH(ROUND(MIN(300,MAX(1,D3225)),0), FactorTable!$A$2:$A$301,0), Skills!M20+1)</f>
        <v/>
      </c>
      <c r="F3225">
        <f>IF(Skills!N20=TRUE,(Skills!L20/10)*(E3225/1000),Skills!L20/10)+Skills!O20</f>
        <v/>
      </c>
      <c r="G3225">
        <f>Skills!G20*IF(Skills!H20&gt;0,INT(IF(Inputs!$B$38="pvp",MIN(Skills!I20,15),Skills!I20)/Skills!H20+0.000000001),1)</f>
        <v/>
      </c>
      <c r="H3225">
        <f>1-(1-Skills!J20/100)^Skills!K20</f>
        <v/>
      </c>
      <c r="I3225" t="inlineStr">
        <is>
          <t>1</t>
        </is>
      </c>
      <c r="J3225" t="inlineStr"/>
      <c r="K3225" t="inlineStr"/>
      <c r="L3225" t="inlineStr"/>
      <c r="M3225" t="inlineStr"/>
      <c r="N3225" t="inlineStr"/>
      <c r="O3225">
        <f>(1-Summary!$B$11)*T3225+Summary!$B$11*V3225</f>
        <v/>
      </c>
      <c r="P3225">
        <f>IF(B3250=0,0,O3225/B3250)</f>
        <v/>
      </c>
      <c r="Q3225" t="n">
        <v>0</v>
      </c>
      <c r="R3225" t="n">
        <v>0</v>
      </c>
      <c r="S3225">
        <f>IFERROR(O3225/N3225,0)</f>
        <v/>
      </c>
      <c r="T3225" t="n">
        <v>0</v>
      </c>
      <c r="V3225" t="n">
        <v>0</v>
      </c>
    </row>
    <row r="3226">
      <c r="A3226">
        <f>Skills!A21</f>
        <v/>
      </c>
      <c r="B3226">
        <f>Skills!B21</f>
        <v/>
      </c>
      <c r="C3226">
        <f>TRUE</f>
        <v/>
      </c>
      <c r="D3226">
        <f>IF(Skills!C21=1,60+Inputs!$B$25+Inputs!$B$29,IF(Skills!C21=2,90+Inputs!$B$26+Inputs!$B$29,IF(Skills!C21=3,120+Inputs!$B$27+Inputs!$B$29,MAX(0,(Inputs!$B$3-100)*3)+Inputs!$B$28+Inputs!$B$29)))</f>
        <v/>
      </c>
      <c r="E3226">
        <f>INDEX(FactorTable!$B$2:$Y$301, MATCH(ROUND(MIN(300,MAX(1,D3226)),0), FactorTable!$A$2:$A$301,0), Skills!M21+1)</f>
        <v/>
      </c>
      <c r="F3226">
        <f>IF(Skills!N21=TRUE,(Skills!L21/10)*(E3226/1000),Skills!L21/10)+Skills!O21</f>
        <v/>
      </c>
      <c r="G3226">
        <f>Skills!G21*IF(Skills!H21&gt;0,INT(IF(Inputs!$B$38="pvp",MIN(Skills!I21,15),Skills!I21)/Skills!H21+0.000000001),1)</f>
        <v/>
      </c>
      <c r="H3226">
        <f>1-(1-Skills!J21/100)^Skills!K21</f>
        <v/>
      </c>
      <c r="I3226" t="inlineStr">
        <is>
          <t>1</t>
        </is>
      </c>
      <c r="J3226" t="inlineStr"/>
      <c r="K3226" t="inlineStr"/>
      <c r="L3226" t="inlineStr"/>
      <c r="M3226" t="inlineStr"/>
      <c r="N3226" t="inlineStr"/>
      <c r="O3226">
        <f>(1-Summary!$B$11)*T3226+Summary!$B$11*V3226</f>
        <v/>
      </c>
      <c r="P3226">
        <f>IF(B3250=0,0,O3226/B3250)</f>
        <v/>
      </c>
      <c r="Q3226">
        <f>IFERROR(1/(IF(Inputs!$B$38="pvp",15,MAX(0.1,Skills!D21-IF(TRUE=TRUE,2.0,0)))*(1-IF(AND(ArtifactsInput!$M$27,Inputs!$B$4="Chapter Hunt"),CHOOSE(ArtifactsInput!$N$27+1,20,24,28,32,36,40),0)/100)),0)</f>
        <v/>
      </c>
      <c r="R3226">
        <f>IF(AND(Inputs!$B$38&lt;&gt;"pvp",Inputs!$B$43&gt;0),IF(Inputs!$B$43&lt;=0,0,(INT(Inputs!$B$43/(IF(Inputs!$B$38="pvp",15,MAX(0.1,Skills!D21-IF(TRUE=TRUE,2.0,0)))*(1-IF(AND(ArtifactsInput!$M$27,Inputs!$B$4="Chapter Hunt"),CHOOSE(ArtifactsInput!$N$27+1,20,24,28,32,36,40),0)/100)))+1)),0)</f>
        <v/>
      </c>
      <c r="S3226">
        <f>IFERROR(O3226/N3226,0)</f>
        <v/>
      </c>
      <c r="T3226" t="n">
        <v>0</v>
      </c>
      <c r="V3226" t="n">
        <v>0</v>
      </c>
    </row>
    <row r="3227">
      <c r="A3227">
        <f>Skills!A22</f>
        <v/>
      </c>
      <c r="B3227">
        <f>Skills!B22</f>
        <v/>
      </c>
      <c r="C3227">
        <f>Inputs!$B$3&gt;=15</f>
        <v/>
      </c>
      <c r="D3227">
        <f>IF(Skills!C22=1,60+Inputs!$B$25+Inputs!$B$29,IF(Skills!C22=2,90+Inputs!$B$26+Inputs!$B$29,IF(Skills!C22=3,120+Inputs!$B$27+Inputs!$B$29,MAX(0,(Inputs!$B$3-100)*3)+Inputs!$B$28+Inputs!$B$29)))</f>
        <v/>
      </c>
      <c r="E3227">
        <f>INDEX(FactorTable!$B$2:$Y$301, MATCH(ROUND(MIN(300,MAX(1,D3227)),0), FactorTable!$A$2:$A$301,0), Skills!M22+1)</f>
        <v/>
      </c>
      <c r="F3227">
        <f>IF(Skills!N22=TRUE,(Skills!L22/10)*(E3227/1000),Skills!L22/10)+Skills!O22</f>
        <v/>
      </c>
      <c r="G3227">
        <f>Skills!G22*IF(Skills!H22&gt;0,INT(IF(Inputs!$B$38="pvp",MIN(Skills!I22,15),Skills!I22)/Skills!H22+0.000000001),1)</f>
        <v/>
      </c>
      <c r="H3227">
        <f>1-(1-Skills!J22/100)^Skills!K22</f>
        <v/>
      </c>
      <c r="I3227" t="inlineStr">
        <is>
          <t>1</t>
        </is>
      </c>
      <c r="J3227" t="inlineStr"/>
      <c r="K3227" t="inlineStr"/>
      <c r="L3227" t="inlineStr"/>
      <c r="M3227" t="inlineStr"/>
      <c r="N3227" t="inlineStr"/>
      <c r="O3227">
        <f>(1-Summary!$B$11)*T3227+Summary!$B$11*V3227</f>
        <v/>
      </c>
      <c r="P3227">
        <f>IF(B3250=0,0,O3227/B3250)</f>
        <v/>
      </c>
      <c r="Q3227" t="n">
        <v>0</v>
      </c>
      <c r="R3227" t="n">
        <v>0</v>
      </c>
      <c r="S3227">
        <f>IFERROR(O3227/N3227,0)</f>
        <v/>
      </c>
      <c r="T3227" t="n">
        <v>0</v>
      </c>
      <c r="V3227" t="n">
        <v>0</v>
      </c>
    </row>
    <row r="3228">
      <c r="A3228">
        <f>Skills!A23</f>
        <v/>
      </c>
      <c r="B3228">
        <f>Skills!B23</f>
        <v/>
      </c>
      <c r="C3228">
        <f>Inputs!$B$3&gt;=10</f>
        <v/>
      </c>
      <c r="D3228">
        <f>IF(Skills!C23=1,60+Inputs!$B$25+Inputs!$B$29,IF(Skills!C23=2,90+Inputs!$B$26+Inputs!$B$29,IF(Skills!C23=3,120+Inputs!$B$27+Inputs!$B$29,MAX(0,(Inputs!$B$3-100)*3)+Inputs!$B$28+Inputs!$B$29)))</f>
        <v/>
      </c>
      <c r="E3228">
        <f>INDEX(FactorTable!$B$2:$Y$301, MATCH(ROUND(MIN(300,MAX(1,D3228)),0), FactorTable!$A$2:$A$301,0), Skills!M23+1)</f>
        <v/>
      </c>
      <c r="F3228">
        <f>IF(Skills!N23=TRUE,(Skills!L23/10)*(E3228/1000),Skills!L23/10)+Skills!O23</f>
        <v/>
      </c>
      <c r="G3228">
        <f>Skills!G23*IF(Skills!H23&gt;0,INT(IF(Inputs!$B$38="pvp",MIN(Skills!I23,15),Skills!I23)/Skills!H23+0.000000001),1)</f>
        <v/>
      </c>
      <c r="H3228">
        <f>1-(1-Skills!J23/100)^Skills!K23</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Skills!A24</f>
        <v/>
      </c>
      <c r="B3229">
        <f>Skills!B24</f>
        <v/>
      </c>
      <c r="C3229">
        <f>Inputs!$B$3&gt;=33</f>
        <v/>
      </c>
      <c r="D3229">
        <f>IF(Skills!C24=1,60+Inputs!$B$25+Inputs!$B$29,IF(Skills!C24=2,90+Inputs!$B$26+Inputs!$B$29,IF(Skills!C24=3,120+Inputs!$B$27+Inputs!$B$29,MAX(0,(Inputs!$B$3-100)*3)+Inputs!$B$28+Inputs!$B$29)))</f>
        <v/>
      </c>
      <c r="E3229">
        <f>INDEX(FactorTable!$B$2:$Y$301, MATCH(ROUND(MIN(300,MAX(1,D3229)),0), FactorTable!$A$2:$A$301,0), Skills!M24+1)</f>
        <v/>
      </c>
      <c r="F3229">
        <f>IF(Skills!N24=TRUE,(Skills!L24/10)*(E3229/1000),Skills!L24/10)+Skills!O24</f>
        <v/>
      </c>
      <c r="G3229">
        <f>Skills!G24*IF(Skills!H24&gt;0,INT(IF(Inputs!$B$38="pvp",MIN(Skills!I24,15),Skills!I24)/Skills!H24+0.000000001),1)</f>
        <v/>
      </c>
      <c r="H3229">
        <f>1-(1-Skills!J24/100)^Skills!K24</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Skills!A25</f>
        <v/>
      </c>
      <c r="B3230">
        <f>Skills!B25</f>
        <v/>
      </c>
      <c r="C3230">
        <f>Inputs!$B$3&gt;=38</f>
        <v/>
      </c>
      <c r="D3230">
        <f>IF(Skills!C25=1,60+Inputs!$B$25+Inputs!$B$29,IF(Skills!C25=2,90+Inputs!$B$26+Inputs!$B$29,IF(Skills!C25=3,120+Inputs!$B$27+Inputs!$B$29,MAX(0,(Inputs!$B$3-100)*3)+Inputs!$B$28+Inputs!$B$29)))</f>
        <v/>
      </c>
      <c r="E3230">
        <f>INDEX(FactorTable!$B$2:$Y$301, MATCH(ROUND(MIN(300,MAX(1,D3230)),0), FactorTable!$A$2:$A$301,0), Skills!M25+1)</f>
        <v/>
      </c>
      <c r="F3230">
        <f>IF(Skills!N25=TRUE,(Skills!L25/10)*(E3230/1000),Skills!L25/10)+Skills!O25</f>
        <v/>
      </c>
      <c r="G3230">
        <f>Skills!G25*IF(Skills!H25&gt;0,INT(IF(Inputs!$B$38="pvp",MIN(Skills!I25,15),Skills!I25)/Skills!H25+0.000000001),1)</f>
        <v/>
      </c>
      <c r="H3230">
        <f>1-(1-Skills!J25/100)^Skills!K25</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Skills!A26</f>
        <v/>
      </c>
      <c r="B3231">
        <f>Skills!B26</f>
        <v/>
      </c>
      <c r="C3231">
        <f>Inputs!$B$3&gt;=43</f>
        <v/>
      </c>
      <c r="D3231">
        <f>IF(Skills!C26=1,60+Inputs!$B$25+Inputs!$B$29,IF(Skills!C26=2,90+Inputs!$B$26+Inputs!$B$29,IF(Skills!C26=3,120+Inputs!$B$27+Inputs!$B$29,MAX(0,(Inputs!$B$3-100)*3)+Inputs!$B$28+Inputs!$B$29)))</f>
        <v/>
      </c>
      <c r="E3231">
        <f>INDEX(FactorTable!$B$2:$Y$301, MATCH(ROUND(MIN(300,MAX(1,D3231)),0), FactorTable!$A$2:$A$301,0), Skills!M26+1)</f>
        <v/>
      </c>
      <c r="F3231">
        <f>IF(Skills!N26=TRUE,(Skills!L26/10)*(E3231/1000),Skills!L26/10)+Skills!O26</f>
        <v/>
      </c>
      <c r="G3231">
        <f>Skills!G26*IF(Skills!H26&gt;0,INT(IF(Inputs!$B$38="pvp",MIN(Skills!I26,15),Skills!I26)/Skills!H26+0.000000001),1)</f>
        <v/>
      </c>
      <c r="H3231">
        <f>1-(1-Skills!J26/100)^Skills!K26</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Skills!A27</f>
        <v/>
      </c>
      <c r="B3232">
        <f>Skills!B27</f>
        <v/>
      </c>
      <c r="C3232">
        <f>Inputs!$B$3&gt;=75</f>
        <v/>
      </c>
      <c r="D3232">
        <f>IF(Skills!C27=1,60+Inputs!$B$25+Inputs!$B$29,IF(Skills!C27=2,90+Inputs!$B$26+Inputs!$B$29,IF(Skills!C27=3,120+Inputs!$B$27+Inputs!$B$29,MAX(0,(Inputs!$B$3-100)*3)+Inputs!$B$28+Inputs!$B$29)))</f>
        <v/>
      </c>
      <c r="E3232">
        <f>INDEX(FactorTable!$B$2:$Y$301, MATCH(ROUND(MIN(300,MAX(1,D3232)),0), FactorTable!$A$2:$A$301,0), Skills!M27+1)</f>
        <v/>
      </c>
      <c r="F3232">
        <f>IF(Skills!N27=TRUE,(Skills!L27/10)*(E3232/1000),Skills!L27/10)+Skills!O27</f>
        <v/>
      </c>
      <c r="G3232">
        <f>Skills!G27*IF(Skills!H27&gt;0,INT(IF(Inputs!$B$38="pvp",MIN(Skills!I27,15),Skills!I27)/Skills!H27+0.000000001),1)</f>
        <v/>
      </c>
      <c r="H3232">
        <f>1-(1-Skills!J27/100)^Skills!K27</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Skills!A28</f>
        <v/>
      </c>
      <c r="B3233">
        <f>Skills!B28</f>
        <v/>
      </c>
      <c r="C3233">
        <f>Inputs!$B$3&gt;=125</f>
        <v/>
      </c>
      <c r="D3233">
        <f>IF(Skills!C28=1,60+Inputs!$B$25+Inputs!$B$29,IF(Skills!C28=2,90+Inputs!$B$26+Inputs!$B$29,IF(Skills!C28=3,120+Inputs!$B$27+Inputs!$B$29,MAX(0,(Inputs!$B$3-100)*3)+Inputs!$B$28+Inputs!$B$29)))</f>
        <v/>
      </c>
      <c r="E3233">
        <f>INDEX(FactorTable!$B$2:$Y$301, MATCH(ROUND(MIN(300,MAX(1,D3233)),0), FactorTable!$A$2:$A$301,0), Skills!M28+1)</f>
        <v/>
      </c>
      <c r="F3233">
        <f>IF(Skills!N28=TRUE,(Skills!L28/10)*(E3233/1000),Skills!L28/10)+Skills!O28</f>
        <v/>
      </c>
      <c r="G3233">
        <f>Skills!G28*IF(Skills!H28&gt;0,INT(IF(Inputs!$B$38="pvp",MIN(Skills!I28,15),Skills!I28)/Skills!H28+0.000000001),1)</f>
        <v/>
      </c>
      <c r="H3233">
        <f>1-(1-Skills!J28/100)^Skills!K28</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Skills!A29</f>
        <v/>
      </c>
      <c r="B3234">
        <f>Skills!B29</f>
        <v/>
      </c>
      <c r="C3234">
        <f>Inputs!$B$3&gt;=125</f>
        <v/>
      </c>
      <c r="D3234">
        <f>IF(Skills!C29=1,60+Inputs!$B$25+Inputs!$B$29,IF(Skills!C29=2,90+Inputs!$B$26+Inputs!$B$29,IF(Skills!C29=3,120+Inputs!$B$27+Inputs!$B$29,MAX(0,(Inputs!$B$3-100)*3)+Inputs!$B$28+Inputs!$B$29)))</f>
        <v/>
      </c>
      <c r="E3234">
        <f>INDEX(FactorTable!$B$2:$Y$301, MATCH(ROUND(MIN(300,MAX(1,D3234)),0), FactorTable!$A$2:$A$301,0), Skills!M29+1)</f>
        <v/>
      </c>
      <c r="F3234">
        <f>IF(Skills!N29=TRUE,(Skills!L29/10)*(E3234/1000),Skills!L29/10)+Skills!O29</f>
        <v/>
      </c>
      <c r="G3234">
        <f>Skills!G29*IF(Skills!H29&gt;0,INT(IF(Inputs!$B$38="pvp",MIN(Skills!I29,15),Skills!I29)/Skills!H29+0.000000001),1)</f>
        <v/>
      </c>
      <c r="H3234">
        <f>1-(1-Skills!J29/100)^Skills!K29</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Skills!A30</f>
        <v/>
      </c>
      <c r="B3235">
        <f>Skills!B30</f>
        <v/>
      </c>
      <c r="C3235">
        <f>Inputs!$B$3&gt;=120</f>
        <v/>
      </c>
      <c r="D3235">
        <f>IF(Skills!C30=1,60+Inputs!$B$25+Inputs!$B$29,IF(Skills!C30=2,90+Inputs!$B$26+Inputs!$B$29,IF(Skills!C30=3,120+Inputs!$B$27+Inputs!$B$29,MAX(0,(Inputs!$B$3-100)*3)+Inputs!$B$28+Inputs!$B$29)))</f>
        <v/>
      </c>
      <c r="E3235">
        <f>INDEX(FactorTable!$B$2:$Y$301, MATCH(ROUND(MIN(300,MAX(1,D3235)),0), FactorTable!$A$2:$A$301,0), Skills!M30+1)</f>
        <v/>
      </c>
      <c r="F3235">
        <f>IF(Skills!N30=TRUE,(Skills!L30/10)*(E3235/1000),Skills!L30/10)+Skills!O30</f>
        <v/>
      </c>
      <c r="G3235">
        <f>Skills!G30*IF(Skills!H30&gt;0,INT(IF(Inputs!$B$38="pvp",MIN(Skills!I30,15),Skills!I30)/Skills!H30+0.000000001),1)</f>
        <v/>
      </c>
      <c r="H3235">
        <f>1-(1-Skills!J30/100)^Skills!K30</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Skills!A31</f>
        <v/>
      </c>
      <c r="B3236">
        <f>Skills!B31</f>
        <v/>
      </c>
      <c r="C3236">
        <f>Inputs!$B$3&gt;=120</f>
        <v/>
      </c>
      <c r="D3236">
        <f>IF(Skills!C31=1,60+Inputs!$B$25+Inputs!$B$29,IF(Skills!C31=2,90+Inputs!$B$26+Inputs!$B$29,IF(Skills!C31=3,120+Inputs!$B$27+Inputs!$B$29,MAX(0,(Inputs!$B$3-100)*3)+Inputs!$B$28+Inputs!$B$29)))</f>
        <v/>
      </c>
      <c r="E3236">
        <f>INDEX(FactorTable!$B$2:$Y$301, MATCH(ROUND(MIN(300,MAX(1,D3236)),0), FactorTable!$A$2:$A$301,0), Skills!M31+1)</f>
        <v/>
      </c>
      <c r="F3236">
        <f>IF(Skills!N31=TRUE,(Skills!L31/10)*(E3236/1000),Skills!L31/10)+Skills!O31</f>
        <v/>
      </c>
      <c r="G3236">
        <f>Skills!G31*IF(Skills!H31&gt;0,INT(IF(Inputs!$B$38="pvp",MIN(Skills!I31,15),Skills!I31)/Skills!H31+0.000000001),1)</f>
        <v/>
      </c>
      <c r="H3236">
        <f>1-(1-Skills!J31/100)^Skills!K31</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Skills!A32</f>
        <v/>
      </c>
      <c r="B3237">
        <f>Skills!B32</f>
        <v/>
      </c>
      <c r="C3237">
        <f>Inputs!$B$3&gt;=45</f>
        <v/>
      </c>
      <c r="D3237">
        <f>IF(Skills!C32=1,60+Inputs!$B$25+Inputs!$B$29,IF(Skills!C32=2,90+Inputs!$B$26+Inputs!$B$29,IF(Skills!C32=3,120+Inputs!$B$27+Inputs!$B$29,MAX(0,(Inputs!$B$3-100)*3)+Inputs!$B$28+Inputs!$B$29)))</f>
        <v/>
      </c>
      <c r="E3237">
        <f>INDEX(FactorTable!$B$2:$Y$301, MATCH(ROUND(MIN(300,MAX(1,D3237)),0), FactorTable!$A$2:$A$301,0), Skills!M32+1)</f>
        <v/>
      </c>
      <c r="F3237">
        <f>IF(Skills!N32=TRUE,(Skills!L32/10)*(E3237/1000),Skills!L32/10)+Skills!O32</f>
        <v/>
      </c>
      <c r="G3237">
        <f>Skills!G32*IF(Skills!H32&gt;0,INT(IF(Inputs!$B$38="pvp",MIN(Skills!I32,15),Skills!I32)/Skills!H32+0.000000001),1)</f>
        <v/>
      </c>
      <c r="H3237">
        <f>1-(1-Skills!J32/100)^Skills!K32</f>
        <v/>
      </c>
      <c r="I3237" t="inlineStr">
        <is>
          <t>1</t>
        </is>
      </c>
      <c r="J3237" t="inlineStr"/>
      <c r="K3237" t="inlineStr"/>
      <c r="L3237" t="inlineStr"/>
      <c r="M3237" t="inlineStr"/>
      <c r="N3237" t="inlineStr"/>
      <c r="O3237">
        <f>(1-Summary!$B$11)*T3237+Summary!$B$11*V3237</f>
        <v/>
      </c>
      <c r="P3237">
        <f>IF(B3250=0,0,O3237/B3250)</f>
        <v/>
      </c>
      <c r="Q3237" t="n">
        <v>0</v>
      </c>
      <c r="R3237" t="n">
        <v>0</v>
      </c>
      <c r="S3237">
        <f>IFERROR(O3237/N3237,0)</f>
        <v/>
      </c>
      <c r="T3237" t="n">
        <v>0</v>
      </c>
      <c r="V3237" t="n">
        <v>0</v>
      </c>
    </row>
    <row r="3239">
      <c r="A3239" t="inlineStr">
        <is>
          <t>Attack% Bucket Multiplier</t>
        </is>
      </c>
      <c r="B3239">
        <f>(1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t>
        </is>
      </c>
      <c r="B3241">
        <f>((C3226=TRUE)*F3226*IF(AND(Inputs!$B$38&lt;&gt;"pvp",Inputs!$B$43&gt;0),(((R3226-1)*MIN((Skills!T21*(1+Inputs!$B$34/100)),(1/Q3226))+MIN((Skills!T21*(1+Inputs!$B$34/100)),MAX(0,Inputs!$B$43-((R3226-1)*(1/Q3226)))))/Inputs!$B$43),IF(Inputs!$B$38="pvp",MIN((Skills!T21*(1+Inputs!$B$34/100)),15)/15,MIN(1,(Skills!T21*(1+Inputs!$B$34/100))/(1/Q3226)))))</f>
        <v/>
      </c>
    </row>
    <row r="3242">
      <c r="A3242" t="inlineStr">
        <is>
          <t>Actions Per Second</t>
        </is>
      </c>
      <c r="B3242">
        <f>1+MIN(150,150*(1-(1-(Inputs!$B$11+((C3228=TRUE)*(F3228-Calc!F23))+((C3229=TRUE)*(F3229-Calc!F24)))/150)*(1-B3241/150)))/100</f>
        <v/>
      </c>
    </row>
    <row r="3243">
      <c r="A3243" t="inlineStr">
        <is>
          <t>Skill + Buff Cast Rate</t>
        </is>
      </c>
      <c r="B3243">
        <f>IF(AND(Inputs!$B$38&lt;&gt;"pvp",Inputs!$B$43&gt;0),SUMPRODUCT((Skills!E2:E32=TRUE)*(C3207:C3237=TRUE)*R3207:R3237*Skills!F2:F32)/Inputs!$B$43,SUMPRODUCT((Skills!E2:E32=TRUE)*(C3207:C3237=TRUE)*Q3207:Q3237*Skills!F2:F32))</f>
        <v/>
      </c>
    </row>
    <row r="3244">
      <c r="A3244" t="inlineStr">
        <is>
          <t>Arrow Stream Casts Per Second</t>
        </is>
      </c>
      <c r="B3244">
        <f>MAX(0,B3242-B3243)</f>
        <v/>
      </c>
    </row>
    <row r="3245">
      <c r="A3245" t="inlineStr">
        <is>
          <t>Global Critical Damage Bonus % (Sharp Eyes + Concentration)</t>
        </is>
      </c>
      <c r="B3245">
        <f>(C3223=TRUE)*F3223*IF(AND(Inputs!$B$38&lt;&gt;"pvp",Inputs!$B$43&gt;0),(((R3223-1)*MIN((Skills!T18*(1+Inputs!$B$34/100)),(1/Q3223))+MIN((Skills!T18*(1+Inputs!$B$34/100)),MAX(0,Inputs!$B$43-((R3223-1)*(1/Q3223)))))/Inputs!$B$43),IF(Inputs!$B$38="pvp",MIN((Skills!T18*(1+Inputs!$B$34/100)),15)/15,MIN(1,(Skills!T18*(1+Inputs!$B$34/100))/(1/Q3223))))+(C3224=TRUE)*7*F3224</f>
        <v/>
      </c>
    </row>
    <row r="3246">
      <c r="A3246" t="inlineStr">
        <is>
          <t>Global Final Damage Bonus % (Mortal Blow)</t>
        </is>
      </c>
      <c r="B3246">
        <f>(C3225=TRUE)*F3225</f>
        <v/>
      </c>
    </row>
    <row r="3247">
      <c r="A3247" t="inlineStr">
        <is>
          <t>Buff-Casting Startup Delay (s, fixed-duration only)</t>
        </is>
      </c>
      <c r="B3247">
        <f>IF(AND(Inputs!$B$38&lt;&gt;"pvp",Inputs!$B$43&gt;0),SUMPRODUCT((Skills!T2:T32&gt;0)*(Skills!E2:E32=TRUE)*(C3207:C3237=TRUE))/B3242,0)</f>
        <v/>
      </c>
    </row>
    <row r="3248">
      <c r="A3248" t="inlineStr">
        <is>
          <t>Boss-Only Total DPS (this block's swept value)</t>
        </is>
      </c>
      <c r="B3248">
        <f>SUM(T3207:T3237)</f>
        <v/>
      </c>
    </row>
    <row r="3249">
      <c r="A3249" t="inlineStr">
        <is>
          <t>Normal-Only Total DPS (this block's swept value)</t>
        </is>
      </c>
      <c r="B3249">
        <f>SUM(V3207:V3237)</f>
        <v/>
      </c>
    </row>
    <row r="3250">
      <c r="A3250" s="6" t="inlineStr">
        <is>
          <t>TOTAL DPS</t>
        </is>
      </c>
      <c r="B3250" s="6">
        <f>SUM(O3207:O3237)</f>
        <v/>
      </c>
    </row>
    <row r="3253">
      <c r="A3253" s="6" t="inlineStr">
        <is>
          <t>Stat: CDR = 2.5s</t>
        </is>
      </c>
    </row>
    <row r="3254">
      <c r="A3254" s="5" t="inlineStr">
        <is>
          <t>Key</t>
        </is>
      </c>
      <c r="B3254" s="5" t="inlineStr">
        <is>
          <t>Name</t>
        </is>
      </c>
      <c r="C3254" s="5" t="inlineStr">
        <is>
          <t>Unlocked</t>
        </is>
      </c>
      <c r="D3254" s="5" t="inlineStr">
        <is>
          <t>InputLevel</t>
        </is>
      </c>
      <c r="E3254" s="5" t="inlineStr">
        <is>
          <t>Factor</t>
        </is>
      </c>
      <c r="F3254" s="5" t="inlineStr">
        <is>
          <t>CoefficientPercent</t>
        </is>
      </c>
      <c r="G3254" s="5" t="inlineStr">
        <is>
          <t>EffectiveHits</t>
        </is>
      </c>
      <c r="H3254" s="5" t="inlineStr">
        <is>
          <t>ProcProbability</t>
        </is>
      </c>
      <c r="I3254" s="5" t="inlineStr">
        <is>
          <t>MapleHeroMultiplier</t>
        </is>
      </c>
      <c r="J3254" s="5" t="inlineStr">
        <is>
          <t>BaseDamage</t>
        </is>
      </c>
      <c r="K3254" s="5" t="inlineStr">
        <is>
          <t>BaseHitDamage</t>
        </is>
      </c>
      <c r="L3254" s="5" t="inlineStr">
        <is>
          <t>NonCritAvg</t>
        </is>
      </c>
      <c r="M3254" s="5" t="inlineStr">
        <is>
          <t>CritAvg</t>
        </is>
      </c>
      <c r="N3254" s="5" t="inlineStr">
        <is>
          <t>ExpectedDamage(perHit)</t>
        </is>
      </c>
      <c r="O3254" s="5" t="inlineStr">
        <is>
          <t>DPS</t>
        </is>
      </c>
      <c r="P3254" s="5" t="inlineStr">
        <is>
          <t>% of Total</t>
        </is>
      </c>
      <c r="Q3254" s="5" t="inlineStr">
        <is>
          <t>InvCooldown</t>
        </is>
      </c>
      <c r="R3254" s="5" t="inlineStr">
        <is>
          <t>CastsInFight</t>
        </is>
      </c>
      <c r="S3254" s="5" t="inlineStr">
        <is>
          <t>HitRate(perSec)</t>
        </is>
      </c>
      <c r="U3254" t="inlineStr">
        <is>
          <t>helpers</t>
        </is>
      </c>
    </row>
    <row r="3255">
      <c r="A3255">
        <f>Skills!A2</f>
        <v/>
      </c>
      <c r="B3255">
        <f>Skills!B2</f>
        <v/>
      </c>
      <c r="C3255">
        <f>Inputs!$B$3&gt;=100</f>
        <v/>
      </c>
      <c r="D3255" t="inlineStr"/>
      <c r="E3255" t="inlineStr"/>
      <c r="F3255">
        <f>U3257+Skills!O2</f>
        <v/>
      </c>
      <c r="G3255">
        <f>Skills!G2*IF(Skills!H2&gt;0,INT(IF(Inputs!$B$38="pvp",MIN(Skills!I2,15),Skills!I2)/Skills!H2+0.000000001),1)</f>
        <v/>
      </c>
      <c r="H3255">
        <f>1-(1-Skills!J2/100)^Skills!K2</f>
        <v/>
      </c>
      <c r="I3255" t="inlineStr">
        <is>
          <t>1</t>
        </is>
      </c>
      <c r="J3255">
        <f>((Inputs!$B$6*(1+Inputs!$B$7/100))+(((Inputs!$B$12*(1+Inputs!$B$13/100))-(Inputs!$B$12*(1+Inputs!$B$13/100)))+0.25*(Inputs!$B$14-Inputs!$B$14))*(1+Inputs!$B$7/100))*(F3255/100)</f>
        <v/>
      </c>
      <c r="K3255">
        <f>J3255*(1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3255)</f>
        <v/>
      </c>
      <c r="L3255">
        <f>K3255*(MIN(Inputs!$B$22+((C3279=TRUE)*(F3279-Calc!F26)),(Inputs!$B$23+((C3284=TRUE)*(F3284-Calc!F31))+(IF(ArtifactsInput!$M$15,CHOOSE(ArtifactsInput!$N$15+1,25,30,35,40,45,50)/100*(Inputs!$B$11-Inputs!$B$11),0))))/100+(Inputs!$B$23+((C3284=TRUE)*(F3284-Calc!F31))+(IF(ArtifactsInput!$M$15,CHOOSE(ArtifactsInput!$N$15+1,25,30,35,40,45,50)/100*(Inputs!$B$11-Inputs!$B$11),0)))/100)/2</f>
        <v/>
      </c>
      <c r="M3255">
        <f>L3255*(1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5">
        <f>L3255*(1-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3255*(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5">
        <f>(1-Summary!$B$11)*T3255+Summary!$B$11*V3255</f>
        <v/>
      </c>
      <c r="P3255">
        <f>IF(B3298=0,0,O3255/B3298)</f>
        <v/>
      </c>
      <c r="Q3255" t="n">
        <v>0</v>
      </c>
      <c r="R3255" t="n">
        <v>0</v>
      </c>
      <c r="S3255">
        <f>IFERROR(O3255/N3255,0)</f>
        <v/>
      </c>
      <c r="T3255">
        <f>IF(C3255,(Skills!G2*N3255*B3292)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5">
        <f>MAX(0,(Inputs!$B$3-100)*3)+Inputs!$B$28+Inputs!$B$29</f>
        <v/>
      </c>
      <c r="V3255">
        <f>IF(C3255,(Skills!G2*N3255*B3292)*IF(Inputs!$B$38="pvp",1,(1+(Inputs!$B$21+Skills!Q2+(IF(ArtifactsInput!$M$33,CHOOSE(ArtifactsInput!$N$33+1,30,36,42,48,54,60),0))+(IF(AND(ArtifactsInput!$M$35,Inputs!$B$4&lt;&gt;"Chapter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6">
      <c r="A3256">
        <f>Skills!A3</f>
        <v/>
      </c>
      <c r="B3256">
        <f>Skills!B3</f>
        <v/>
      </c>
      <c r="C3256">
        <f>Inputs!$B$3&gt;=50</f>
        <v/>
      </c>
      <c r="D3256">
        <f>IF(Skills!C3=1,60+Inputs!$B$25+Inputs!$B$29,IF(Skills!C3=2,90+Inputs!$B$26+Inputs!$B$29,IF(Skills!C3=3,120+Inputs!$B$27+Inputs!$B$29,MAX(0,(Inputs!$B$3-100)*3)+Inputs!$B$28+Inputs!$B$29)))</f>
        <v/>
      </c>
      <c r="E3256">
        <f>INDEX(FactorTable!$B$2:$Y$301, MATCH(ROUND(MIN(300,MAX(1,D3256)),0), FactorTable!$A$2:$A$301,0), Skills!M3+1)</f>
        <v/>
      </c>
      <c r="F3256">
        <f>IF(Skills!N3=TRUE,(Skills!L3/10)*(E3256/1000),Skills!L3/10)+Skills!O3</f>
        <v/>
      </c>
      <c r="G3256">
        <f>Skills!G3*IF(Skills!H3&gt;0,INT(IF(Inputs!$B$38="pvp",MIN(Skills!I3,15),Skills!I3)/Skills!H3+0.000000001),1)</f>
        <v/>
      </c>
      <c r="H3256">
        <f>1-(1-Skills!J3/100)^Skills!K3</f>
        <v/>
      </c>
      <c r="I3256" t="inlineStr">
        <is>
          <t>1</t>
        </is>
      </c>
      <c r="J3256">
        <f>((Inputs!$B$6*(1+Inputs!$B$7/100))+(((Inputs!$B$12*(1+Inputs!$B$13/100))-(Inputs!$B$12*(1+Inputs!$B$13/100)))+0.25*(Inputs!$B$14-Inputs!$B$14))*(1+Inputs!$B$7/100))*(F3256/100)</f>
        <v/>
      </c>
      <c r="K3256">
        <f>J3256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3257=TRUE,F3257,0)/100)*(1+(IF(Skills!A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3256)</f>
        <v/>
      </c>
      <c r="L3256">
        <f>K3256*(MIN(Inputs!$B$22+((C3279=TRUE)*(F3279-Calc!F26)),(Inputs!$B$23+((C3284=TRUE)*(F3284-Calc!F31))+(IF(ArtifactsInput!$M$15,CHOOSE(ArtifactsInput!$N$15+1,25,30,35,40,45,50)/100*(Inputs!$B$11-Inputs!$B$11),0))))/100+(Inputs!$B$23+((C3284=TRUE)*(F3284-Calc!F31))+(IF(ArtifactsInput!$M$15,CHOOSE(ArtifactsInput!$N$15+1,25,30,35,40,45,50)/100*(Inputs!$B$11-Inputs!$B$11),0)))/100)/2</f>
        <v/>
      </c>
      <c r="M3256">
        <f>L3256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6">
        <f>L3256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6">
        <f>(1-Summary!$B$11)*T3256+Summary!$B$11*V3256</f>
        <v/>
      </c>
      <c r="P3256">
        <f>IF(B3298=0,0,O3256/B3298)</f>
        <v/>
      </c>
      <c r="Q3256">
        <f>IFERROR(1/(IF(Inputs!$B$38="pvp",15,MAX(0.1,1/B3290-IF(FALSE=TRUE,2.5,0)))*(1-IF(AND(ArtifactsInput!$M$27,Inputs!$B$4="Chapter Hunt"),CHOOSE(ArtifactsInput!$N$27+1,20,24,28,32,36,40),0)/100)),0)</f>
        <v/>
      </c>
      <c r="R3256">
        <f>IF(AND(Inputs!$B$38&lt;&gt;"pvp",Inputs!$B$43&gt;0),IF(MAX(0,Inputs!$B$43-B3295)&lt;=0,0,(INT(MAX(0,Inputs!$B$43-B3295)/(IF(Inputs!$B$38="pvp",15,MAX(0.1,1/B3290-IF(FALSE=TRUE,2.5,0)))*(1-IF(AND(ArtifactsInput!$M$27,Inputs!$B$4="Chapter Hunt"),CHOOSE(ArtifactsInput!$N$27+1,20,24,28,32,36,40),0)/100)))+1)),0)</f>
        <v/>
      </c>
      <c r="S3256">
        <f>IFERROR(O3256/N3256,0)</f>
        <v/>
      </c>
      <c r="T3256">
        <f>IF(C3256,(H3256*N3256*IF(AND(Inputs!$B$38&lt;&gt;"pvp",Inputs!$B$43&gt;0),((Skills!G3*((R3256-1)*IF(Skills!H3&gt;0,INT(Skills!I3/Skills!H3+0.000000001),1)+IF(Skills!H3&gt;0,INT(MIN(Skills!I3,MAX(0,MAX(0,Inputs!$B$43-B3295)-((R3256-1)*(IF(Inputs!$B$38="pvp",15,MAX(0.1,1/B3290-IF(FALSE=TRUE,2.5,0)))*(1-IF(AND(ArtifactsInput!$M$27,Inputs!$B$4="Chapter Hunt"),CHOOSE(ArtifactsInput!$N$27+1,20,24,28,32,36,40),0)/100)))))/Skills!H3+0.000000001),1)))/Inputs!$B$43),G3256*Q3256)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6">
        <f>INDEX(FactorTable!$B$2:$Y$301, MATCH(ROUND(MIN(300,MAX(1,U3255)),0), FactorTable!$A$2:$A$301,0), 22)</f>
        <v/>
      </c>
      <c r="V3256">
        <f>IF(C3256,(H3256*N3256*IF(AND(Inputs!$B$38&lt;&gt;"pvp",Inputs!$B$43&gt;0),((Skills!G3*((R3256-1)*IF(Skills!H3&gt;0,INT(Skills!I3/Skills!H3+0.000000001),1)+IF(Skills!H3&gt;0,INT(MIN(Skills!I3,MAX(0,MAX(0,Inputs!$B$43-B3295)-((R3256-1)*(IF(Inputs!$B$38="pvp",15,MAX(0.1,1/B3290-IF(FALSE=TRUE,2.5,0)))*(1-IF(AND(ArtifactsInput!$M$27,Inputs!$B$4="Chapter Hunt"),CHOOSE(ArtifactsInput!$N$27+1,20,24,28,32,36,40),0)/100)))))/Skills!H3+0.000000001),1)))/Inputs!$B$43),G3256*Q3256))*IF(Inputs!$B$38="pvp",1,(1+(Inputs!$B$21+Skills!Q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7">
      <c r="A3257">
        <f>Skills!A4</f>
        <v/>
      </c>
      <c r="B3257">
        <f>Skills!B4</f>
        <v/>
      </c>
      <c r="C3257">
        <f>Inputs!$B$3&gt;=105</f>
        <v/>
      </c>
      <c r="D3257">
        <f>IF(Skills!C4=1,60+Inputs!$B$25+Inputs!$B$29,IF(Skills!C4=2,90+Inputs!$B$26+Inputs!$B$29,IF(Skills!C4=3,120+Inputs!$B$27+Inputs!$B$29,MAX(0,(Inputs!$B$3-100)*3)+Inputs!$B$28+Inputs!$B$29)))</f>
        <v/>
      </c>
      <c r="E3257">
        <f>INDEX(FactorTable!$B$2:$Y$301, MATCH(ROUND(MIN(300,MAX(1,D3257)),0), FactorTable!$A$2:$A$301,0), Skills!M4+1)</f>
        <v/>
      </c>
      <c r="F3257">
        <f>IF(Skills!N4=TRUE,(Skills!L4/10)*(E3257/1000),Skills!L4/10)+Skills!O4</f>
        <v/>
      </c>
      <c r="G3257" t="inlineStr"/>
      <c r="H3257" t="inlineStr"/>
      <c r="I3257" t="inlineStr">
        <is>
          <t>1</t>
        </is>
      </c>
      <c r="J3257" t="inlineStr"/>
      <c r="K3257" t="inlineStr"/>
      <c r="L3257" t="inlineStr"/>
      <c r="M3257" t="inlineStr"/>
      <c r="N3257" t="inlineStr"/>
      <c r="O3257" t="inlineStr"/>
      <c r="P3257" t="inlineStr"/>
      <c r="Q3257" t="inlineStr"/>
      <c r="R3257" t="inlineStr"/>
      <c r="S3257" t="inlineStr"/>
      <c r="T3257" t="inlineStr"/>
      <c r="U3257">
        <f>290*U3256/1000</f>
        <v/>
      </c>
      <c r="V3257" t="inlineStr"/>
    </row>
    <row r="3258">
      <c r="A3258">
        <f>Skills!A5</f>
        <v/>
      </c>
      <c r="B3258">
        <f>Skills!B5</f>
        <v/>
      </c>
      <c r="C3258">
        <f>Inputs!$B$3&gt;=35</f>
        <v/>
      </c>
      <c r="D3258">
        <f>IF(Skills!C5=1,60+Inputs!$B$25+Inputs!$B$29,IF(Skills!C5=2,90+Inputs!$B$26+Inputs!$B$29,IF(Skills!C5=3,120+Inputs!$B$27+Inputs!$B$29,MAX(0,(Inputs!$B$3-100)*3)+Inputs!$B$28+Inputs!$B$29)))</f>
        <v/>
      </c>
      <c r="E3258">
        <f>INDEX(FactorTable!$B$2:$Y$301, MATCH(ROUND(MIN(300,MAX(1,D3258)),0), FactorTable!$A$2:$A$301,0), Skills!M5+1)</f>
        <v/>
      </c>
      <c r="F3258">
        <f>IF(Skills!N5=TRUE,(Skills!L5/10)*(E3258/1000),Skills!L5/10)+Skills!O5</f>
        <v/>
      </c>
      <c r="G3258">
        <f>Skills!G5*IF(Skills!H5&gt;0,INT(IF(Inputs!$B$38="pvp",MIN(Skills!I5,15),Skills!I5)/Skills!H5+0.000000001),1)</f>
        <v/>
      </c>
      <c r="H3258">
        <f>1-(1-Skills!J5/100)^Skills!K5</f>
        <v/>
      </c>
      <c r="I3258" t="inlineStr">
        <is>
          <t>1</t>
        </is>
      </c>
      <c r="J3258">
        <f>((Inputs!$B$6*(1+Inputs!$B$7/100))+(((Inputs!$B$12*(1+Inputs!$B$13/100))-(Inputs!$B$12*(1+Inputs!$B$13/100)))+0.25*(Inputs!$B$14-Inputs!$B$14))*(1+Inputs!$B$7/100))*(F3258/100)</f>
        <v/>
      </c>
      <c r="K3258">
        <f>J3258*(1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3265=TRUE,F3265,0)/100)*(1+(IF(Skills!A5="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3258)</f>
        <v/>
      </c>
      <c r="L3258">
        <f>K3258*(MIN(Inputs!$B$22+((C3279=TRUE)*(F3279-Calc!F26)),(Inputs!$B$23+((C3284=TRUE)*(F3284-Calc!F31))+(IF(ArtifactsInput!$M$15,CHOOSE(ArtifactsInput!$N$15+1,25,30,35,40,45,50)/100*(Inputs!$B$11-Inputs!$B$11),0))))/100+(Inputs!$B$23+((C3284=TRUE)*(F3284-Calc!F31))+(IF(ArtifactsInput!$M$15,CHOOSE(ArtifactsInput!$N$15+1,25,30,35,40,45,50)/100*(Inputs!$B$11-Inputs!$B$11),0)))/100)/2</f>
        <v/>
      </c>
      <c r="M3258">
        <f>L3258*(1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8">
        <f>L3258*(1-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3258*(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8">
        <f>(1-Summary!$B$11)*T3258+Summary!$B$11*V3258</f>
        <v/>
      </c>
      <c r="P3258">
        <f>IF(B3298=0,0,O3258/B3298)</f>
        <v/>
      </c>
      <c r="Q3258">
        <f>IFERROR(1/(IF(Inputs!$B$38="pvp",15,MAX(0.1,Skills!D5-IF(TRUE=TRUE,2.5,0)))*(1-IF(AND(ArtifactsInput!$M$27,Inputs!$B$4="Chapter Hunt"),CHOOSE(ArtifactsInput!$N$27+1,20,24,28,32,36,40),0)/100)),0)</f>
        <v/>
      </c>
      <c r="R3258">
        <f>IF(AND(Inputs!$B$38&lt;&gt;"pvp",Inputs!$B$43&gt;0),IF(MAX(0,Inputs!$B$43-B3295)&lt;=0,0,(INT(MAX(0,Inputs!$B$43-B3295)/(IF(Inputs!$B$38="pvp",15,MAX(0.1,Skills!D5-IF(TRUE=TRUE,2.5,0)))*(1-IF(AND(ArtifactsInput!$M$27,Inputs!$B$4="Chapter Hunt"),CHOOSE(ArtifactsInput!$N$27+1,20,24,28,32,36,40),0)/100)))+1)),0)</f>
        <v/>
      </c>
      <c r="S3258">
        <f>IFERROR(O3258/N3258,0)</f>
        <v/>
      </c>
      <c r="T3258">
        <f>IF(C3258,(H3258*N3258*IF(AND(Inputs!$B$38&lt;&gt;"pvp",Inputs!$B$43&gt;0),((Skills!G5*((R3258-1)*IF(Skills!H5&gt;0,INT(Skills!I5/Skills!H5+0.000000001),1)+IF(Skills!H5&gt;0,INT(MIN(Skills!I5,MAX(0,MAX(0,Inputs!$B$43-B3295)-((R3258-1)*(IF(Inputs!$B$38="pvp",15,MAX(0.1,Skills!D5-IF(TRUE=TRUE,2.5,0)))*(1-IF(AND(ArtifactsInput!$M$27,Inputs!$B$4="Chapter Hunt"),CHOOSE(ArtifactsInput!$N$27+1,20,24,28,32,36,40),0)/100)))))/Skills!H5+0.000000001),1)))/Inputs!$B$43),G3258*Q3258)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8">
        <f>IF(C3258,(H3258*N3258*IF(AND(Inputs!$B$38&lt;&gt;"pvp",Inputs!$B$43&gt;0),((Skills!G5*((R3258-1)*IF(Skills!H5&gt;0,INT(Skills!I5/Skills!H5+0.000000001),1)+IF(Skills!H5&gt;0,INT(MIN(Skills!I5,MAX(0,MAX(0,Inputs!$B$43-B3295)-((R3258-1)*(IF(Inputs!$B$38="pvp",15,MAX(0.1,Skills!D5-IF(TRUE=TRUE,2.5,0)))*(1-IF(AND(ArtifactsInput!$M$27,Inputs!$B$4="Chapter Hunt"),CHOOSE(ArtifactsInput!$N$27+1,20,24,28,32,36,40),0)/100)))))/Skills!H5+0.000000001),1)))/Inputs!$B$43),G3258*Q3258))*IF(Inputs!$B$38="pvp",1,(1+(Inputs!$B$21+Skills!Q5+(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9">
      <c r="A3259">
        <f>Skills!A6</f>
        <v/>
      </c>
      <c r="B3259">
        <f>Skills!B6</f>
        <v/>
      </c>
      <c r="C3259">
        <f>Inputs!$B$3&gt;=40</f>
        <v/>
      </c>
      <c r="D3259">
        <f>IF(Skills!C6=1,60+Inputs!$B$25+Inputs!$B$29,IF(Skills!C6=2,90+Inputs!$B$26+Inputs!$B$29,IF(Skills!C6=3,120+Inputs!$B$27+Inputs!$B$29,MAX(0,(Inputs!$B$3-100)*3)+Inputs!$B$28+Inputs!$B$29)))</f>
        <v/>
      </c>
      <c r="E3259">
        <f>INDEX(FactorTable!$B$2:$Y$301, MATCH(ROUND(MIN(300,MAX(1,D3259)),0), FactorTable!$A$2:$A$301,0), Skills!M6+1)</f>
        <v/>
      </c>
      <c r="F3259">
        <f>IF(Skills!N6=TRUE,(Skills!L6/10)*(E3259/1000),Skills!L6/10)+Skills!O6</f>
        <v/>
      </c>
      <c r="G3259">
        <f>Skills!G6*IF(Skills!H6&gt;0,INT(IF(Inputs!$B$38="pvp",MIN(Skills!I6,15),Skills!I6)/Skills!H6+0.000000001),1)</f>
        <v/>
      </c>
      <c r="H3259">
        <f>1-(1-Skills!J6/100)^Skills!K6</f>
        <v/>
      </c>
      <c r="I3259" t="inlineStr">
        <is>
          <t>1</t>
        </is>
      </c>
      <c r="J3259">
        <f>((Inputs!$B$6*(1+Inputs!$B$7/100))+(((Inputs!$B$12*(1+Inputs!$B$13/100))-(Inputs!$B$12*(1+Inputs!$B$13/100)))+0.25*(Inputs!$B$14-Inputs!$B$14))*(1+Inputs!$B$7/100))*(F3259/100)</f>
        <v/>
      </c>
      <c r="K3259">
        <f>J3259*(1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3260=TRUE,F3260,0)/100)*(1+(IF(Skills!A6="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3259)</f>
        <v/>
      </c>
      <c r="L3259">
        <f>K3259*(MIN(Inputs!$B$22+((C3279=TRUE)*(F3279-Calc!F26)),(Inputs!$B$23+((C3284=TRUE)*(F3284-Calc!F31))+(IF(ArtifactsInput!$M$15,CHOOSE(ArtifactsInput!$N$15+1,25,30,35,40,45,50)/100*(Inputs!$B$11-Inputs!$B$11),0))))/100+(Inputs!$B$23+((C3284=TRUE)*(F3284-Calc!F31))+(IF(ArtifactsInput!$M$15,CHOOSE(ArtifactsInput!$N$15+1,25,30,35,40,45,50)/100*(Inputs!$B$11-Inputs!$B$11),0)))/100)/2</f>
        <v/>
      </c>
      <c r="M3259">
        <f>L3259*(1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9">
        <f>L3259*(1-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3259*(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9">
        <f>(1-Summary!$B$11)*T3259+Summary!$B$11*V3259</f>
        <v/>
      </c>
      <c r="P3259">
        <f>IF(B3298=0,0,O3259/B3298)</f>
        <v/>
      </c>
      <c r="Q3259">
        <f>IFERROR(1/(IF(Inputs!$B$38="pvp",15,MAX(0.1,1-0.4*MIN(1,(B3290-1)/1.5)-IF(FALSE=TRUE,2.5,0)))*(1-IF(AND(ArtifactsInput!$M$27,Inputs!$B$4="Chapter Hunt"),CHOOSE(ArtifactsInput!$N$27+1,20,24,28,32,36,40),0)/100)),0)</f>
        <v/>
      </c>
      <c r="R3259">
        <f>IF(AND(Inputs!$B$38&lt;&gt;"pvp",Inputs!$B$43&gt;0),IF(MAX(0,Inputs!$B$43-B3295)&lt;=0,0,(INT(MAX(0,Inputs!$B$43-B3295)/(IF(Inputs!$B$38="pvp",15,MAX(0.1,1-0.4*MIN(1,(B3290-1)/1.5)-IF(FALSE=TRUE,2.5,0)))*(1-IF(AND(ArtifactsInput!$M$27,Inputs!$B$4="Chapter Hunt"),CHOOSE(ArtifactsInput!$N$27+1,20,24,28,32,36,40),0)/100)))+1)),0)</f>
        <v/>
      </c>
      <c r="S3259">
        <f>IFERROR(O3259/N3259,0)</f>
        <v/>
      </c>
      <c r="T3259">
        <f>IF(C3259,(H3259*N3259*IF(AND(Inputs!$B$38&lt;&gt;"pvp",Inputs!$B$43&gt;0),((Skills!G6*((R3259-1)*IF(Skills!H6&gt;0,INT(Skills!I6/Skills!H6+0.000000001),1)+IF(Skills!H6&gt;0,INT(MIN(Skills!I6,MAX(0,MAX(0,Inputs!$B$43-B3295)-((R3259-1)*(IF(Inputs!$B$38="pvp",15,MAX(0.1,1-0.4*MIN(1,(B3290-1)/1.5)-IF(FALSE=TRUE,2.5,0)))*(1-IF(AND(ArtifactsInput!$M$27,Inputs!$B$4="Chapter Hunt"),CHOOSE(ArtifactsInput!$N$27+1,20,24,28,32,36,40),0)/100)))))/Skills!H6+0.000000001),1)))/Inputs!$B$43),G3259*Q3259)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9">
        <f>IF(C3259,(H3259*N3259*IF(AND(Inputs!$B$38&lt;&gt;"pvp",Inputs!$B$43&gt;0),((Skills!G6*((R3259-1)*IF(Skills!H6&gt;0,INT(Skills!I6/Skills!H6+0.000000001),1)+IF(Skills!H6&gt;0,INT(MIN(Skills!I6,MAX(0,MAX(0,Inputs!$B$43-B3295)-((R3259-1)*(IF(Inputs!$B$38="pvp",15,MAX(0.1,1-0.4*MIN(1,(B3290-1)/1.5)-IF(FALSE=TRUE,2.5,0)))*(1-IF(AND(ArtifactsInput!$M$27,Inputs!$B$4="Chapter Hunt"),CHOOSE(ArtifactsInput!$N$27+1,20,24,28,32,36,40),0)/100)))))/Skills!H6+0.000000001),1)))/Inputs!$B$43),G3259*Q3259))*IF(Inputs!$B$38="pvp",1,(1+(Inputs!$B$21+Skills!Q6+(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0">
      <c r="A3260">
        <f>Skills!A7</f>
        <v/>
      </c>
      <c r="B3260">
        <f>Skills!B7</f>
        <v/>
      </c>
      <c r="C3260">
        <f>Inputs!$B$3&gt;=107</f>
        <v/>
      </c>
      <c r="D3260">
        <f>IF(Skills!C7=1,60+Inputs!$B$25+Inputs!$B$29,IF(Skills!C7=2,90+Inputs!$B$26+Inputs!$B$29,IF(Skills!C7=3,120+Inputs!$B$27+Inputs!$B$29,MAX(0,(Inputs!$B$3-100)*3)+Inputs!$B$28+Inputs!$B$29)))</f>
        <v/>
      </c>
      <c r="E3260">
        <f>INDEX(FactorTable!$B$2:$Y$301, MATCH(ROUND(MIN(300,MAX(1,D3260)),0), FactorTable!$A$2:$A$301,0), Skills!M7+1)</f>
        <v/>
      </c>
      <c r="F3260">
        <f>IF(Skills!N7=TRUE,(Skills!L7/10)*(E3260/1000),Skills!L7/10)+Skills!O7</f>
        <v/>
      </c>
      <c r="G3260" t="inlineStr"/>
      <c r="H3260" t="inlineStr"/>
      <c r="I3260" t="inlineStr">
        <is>
          <t>1</t>
        </is>
      </c>
      <c r="J3260" t="inlineStr"/>
      <c r="K3260" t="inlineStr"/>
      <c r="L3260" t="inlineStr"/>
      <c r="M3260" t="inlineStr"/>
      <c r="N3260" t="inlineStr"/>
      <c r="O3260" t="inlineStr"/>
      <c r="P3260" t="inlineStr"/>
      <c r="Q3260" t="inlineStr"/>
      <c r="R3260" t="inlineStr"/>
      <c r="S3260" t="inlineStr"/>
      <c r="T3260" t="inlineStr"/>
      <c r="V3260" t="inlineStr"/>
    </row>
    <row r="3261">
      <c r="A3261">
        <f>Skills!A8</f>
        <v/>
      </c>
      <c r="B3261">
        <f>Skills!B8</f>
        <v/>
      </c>
      <c r="C3261">
        <f>Inputs!$B$3&gt;=130</f>
        <v/>
      </c>
      <c r="D3261">
        <f>IF(Skills!C8=1,60+Inputs!$B$25+Inputs!$B$29,IF(Skills!C8=2,90+Inputs!$B$26+Inputs!$B$29,IF(Skills!C8=3,120+Inputs!$B$27+Inputs!$B$29,MAX(0,(Inputs!$B$3-100)*3)+Inputs!$B$28+Inputs!$B$29)))</f>
        <v/>
      </c>
      <c r="E3261">
        <f>INDEX(FactorTable!$B$2:$Y$301, MATCH(ROUND(MIN(300,MAX(1,D3261)),0), FactorTable!$A$2:$A$301,0), Skills!M8+1)</f>
        <v/>
      </c>
      <c r="F3261">
        <f>IF(Skills!N8=TRUE,(Skills!L8/10)*(E3261/1000),Skills!L8/10)+Skills!O8</f>
        <v/>
      </c>
      <c r="G3261">
        <f>Skills!G8*IF(Skills!H8&gt;0,INT(IF(Inputs!$B$38="pvp",MIN(Skills!I8,15),Skills!I8)/Skills!H8+0.000000001),1)</f>
        <v/>
      </c>
      <c r="H3261">
        <f>1-(1-Skills!J8/100)^Skills!K8</f>
        <v/>
      </c>
      <c r="I3261" t="inlineStr">
        <is>
          <t>1</t>
        </is>
      </c>
      <c r="J3261">
        <f>((Inputs!$B$6*(1+Inputs!$B$7/100))+(((Inputs!$B$12*(1+Inputs!$B$13/100))-(Inputs!$B$12*(1+Inputs!$B$13/100)))+0.25*(Inputs!$B$14-Inputs!$B$14))*(1+Inputs!$B$7/100))*(F3261/100)</f>
        <v/>
      </c>
      <c r="K3261">
        <f>J3261*(1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3279=TRUE)*(F3279-Calc!F26)),(Inputs!$B$23+((C3284=TRUE)*(F3284-Calc!F31))+(IF(ArtifactsInput!$M$15,CHOOSE(ArtifactsInput!$N$15+1,25,30,35,40,45,50)/100*(Inputs!$B$11-Inputs!$B$11),0))))/100+(Inputs!$B$23+((C3284=TRUE)*(F3284-Calc!F31))+(IF(ArtifactsInput!$M$15,CHOOSE(ArtifactsInput!$N$15+1,25,30,35,40,45,50)/100*(Inputs!$B$11-Inputs!$B$11),0)))/100)/2</f>
        <v/>
      </c>
      <c r="M3261">
        <f>L3261*(1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IF(B3298=0,0,O3261/B3298)</f>
        <v/>
      </c>
      <c r="Q3261">
        <f>IFERROR(1/(IF(Inputs!$B$38="pvp",15,MAX(0.1,1-0.4*MIN(1,(B3290-1)/1.5)-IF(FALSE=TRUE,2.5,0)))*(1-IF(AND(ArtifactsInput!$M$27,Inputs!$B$4="Chapter Hunt"),CHOOSE(ArtifactsInput!$N$27+1,20,24,28,32,36,40),0)/100)),0)</f>
        <v/>
      </c>
      <c r="R3261">
        <f>IF(AND(Inputs!$B$38&lt;&gt;"pvp",Inputs!$B$43&gt;0),IF(MAX(0,Inputs!$B$43-B3295)&lt;=0,0,(INT(MAX(0,Inputs!$B$43-B3295)/(IF(Inputs!$B$38="pvp",15,MAX(0.1,1-0.4*MIN(1,(B3290-1)/1.5)-IF(FALSE=TRUE,2.5,0)))*(1-IF(AND(ArtifactsInput!$M$27,Inputs!$B$4="Chapter Hunt"),CHOOSE(ArtifactsInput!$N$27+1,20,24,28,32,36,40),0)/100)))+1)),0)</f>
        <v/>
      </c>
      <c r="S3261">
        <f>IFERROR(O3261/N3261,0)</f>
        <v/>
      </c>
      <c r="T3261">
        <f>IF(C3261,(H3261*N3261*IF(AND(Inputs!$B$38&lt;&gt;"pvp",Inputs!$B$43&gt;0),((Skills!G8*((R3261-1)*IF(Skills!H8&gt;0,INT(Skills!I8/Skills!H8+0.000000001),1)+IF(Skills!H8&gt;0,INT(MIN(Skills!I8,MAX(0,MAX(0,Inputs!$B$43-B3295)-((R3261-1)*(IF(Inputs!$B$38="pvp",15,MAX(0.1,1-0.4*MIN(1,(B3290-1)/1.5)-IF(FALSE=TRUE,2.5,0)))*(1-IF(AND(ArtifactsInput!$M$27,Inputs!$B$4="Chapter Hunt"),CHOOSE(ArtifactsInput!$N$27+1,20,24,28,32,36,40),0)/100)))))/Skills!H8+0.000000001),1)))/Inputs!$B$43),G3261*Q3261)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1">
        <f>IF(C3261,(H3261*N3261*IF(AND(Inputs!$B$38&lt;&gt;"pvp",Inputs!$B$43&gt;0),((Skills!G8*((R3261-1)*IF(Skills!H8&gt;0,INT(Skills!I8/Skills!H8+0.000000001),1)+IF(Skills!H8&gt;0,INT(MIN(Skills!I8,MAX(0,MAX(0,Inputs!$B$43-B3295)-((R3261-1)*(IF(Inputs!$B$38="pvp",15,MAX(0.1,1-0.4*MIN(1,(B3290-1)/1.5)-IF(FALSE=TRUE,2.5,0)))*(1-IF(AND(ArtifactsInput!$M$27,Inputs!$B$4="Chapter Hunt"),CHOOSE(ArtifactsInput!$N$27+1,20,24,28,32,36,40),0)/100)))))/Skills!H8+0.000000001),1)))/Inputs!$B$43),G3261*Q3261))*IF(Inputs!$B$38="pvp",1,(1+(Inputs!$B$21+Skills!Q8+(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Skills!A9</f>
        <v/>
      </c>
      <c r="B3262">
        <f>Skills!B9</f>
        <v/>
      </c>
      <c r="C3262">
        <f>Inputs!$B$3&gt;=69</f>
        <v/>
      </c>
      <c r="D3262">
        <f>IF(Skills!C9=1,60+Inputs!$B$25+Inputs!$B$29,IF(Skills!C9=2,90+Inputs!$B$26+Inputs!$B$29,IF(Skills!C9=3,120+Inputs!$B$27+Inputs!$B$29,MAX(0,(Inputs!$B$3-100)*3)+Inputs!$B$28+Inputs!$B$29)))</f>
        <v/>
      </c>
      <c r="E3262">
        <f>INDEX(FactorTable!$B$2:$Y$301, MATCH(ROUND(MIN(300,MAX(1,D3262)),0), FactorTable!$A$2:$A$301,0), Skills!M9+1)</f>
        <v/>
      </c>
      <c r="F3262">
        <f>IF(Skills!N9=TRUE,(Skills!L9/10)*(E3262/1000),Skills!L9/10)+Skills!O9</f>
        <v/>
      </c>
      <c r="G3262">
        <f>Skills!G9*IF(Skills!H9&gt;0,INT(IF(Inputs!$B$38="pvp",MIN(Skills!I9,15),Skills!I9)/Skills!H9+0.000000001),1)</f>
        <v/>
      </c>
      <c r="H3262">
        <f>1-(1-Skills!J9/100)^Skills!K9</f>
        <v/>
      </c>
      <c r="I3262" t="inlineStr">
        <is>
          <t>1</t>
        </is>
      </c>
      <c r="J3262">
        <f>((Inputs!$B$6*(1+Inputs!$B$7/100))+(((Inputs!$B$12*(1+Inputs!$B$13/100))-(Inputs!$B$12*(1+Inputs!$B$13/100)))+0.25*(Inputs!$B$14-Inputs!$B$14))*(1+Inputs!$B$7/100))*(F3262/100)</f>
        <v/>
      </c>
      <c r="K3262">
        <f>J3262*(1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3265=TRUE,F3265,0)/100)*(1+(IF(Skills!A9="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3262)</f>
        <v/>
      </c>
      <c r="L3262">
        <f>K3262*(MIN(Inputs!$B$22+((C3279=TRUE)*(F3279-Calc!F26)),(Inputs!$B$23+((C3284=TRUE)*(F3284-Calc!F31))+(IF(ArtifactsInput!$M$15,CHOOSE(ArtifactsInput!$N$15+1,25,30,35,40,45,50)/100*(Inputs!$B$11-Inputs!$B$11),0))))/100+(Inputs!$B$23+((C3284=TRUE)*(F3284-Calc!F31))+(IF(ArtifactsInput!$M$15,CHOOSE(ArtifactsInput!$N$15+1,25,30,35,40,45,50)/100*(Inputs!$B$11-Inputs!$B$11),0)))/100)/2</f>
        <v/>
      </c>
      <c r="M3262">
        <f>L3262*(1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2">
        <f>L3262*(1-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3262*(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2">
        <f>(1-Summary!$B$11)*T3262+Summary!$B$11*V3262</f>
        <v/>
      </c>
      <c r="P3262">
        <f>IF(B3298=0,0,O3262/B3298)</f>
        <v/>
      </c>
      <c r="Q3262">
        <f>IFERROR(1/(IF(Inputs!$B$38="pvp",15,MAX(0.1,Skills!D9-IF(TRUE=TRUE,2.5,0)))*(1-IF(AND(ArtifactsInput!$M$27,Inputs!$B$4="Chapter Hunt"),CHOOSE(ArtifactsInput!$N$27+1,20,24,28,32,36,40),0)/100)),0)</f>
        <v/>
      </c>
      <c r="R3262">
        <f>IF(AND(Inputs!$B$38&lt;&gt;"pvp",Inputs!$B$43&gt;0),IF(MAX(0,Inputs!$B$43-B3295)&lt;=0,0,(INT(MAX(0,Inputs!$B$43-B3295)/(IF(Inputs!$B$38="pvp",15,MAX(0.1,Skills!D9-IF(TRUE=TRUE,2.5,0)))*(1-IF(AND(ArtifactsInput!$M$27,Inputs!$B$4="Chapter Hunt"),CHOOSE(ArtifactsInput!$N$27+1,20,24,28,32,36,40),0)/100)))+1)),0)</f>
        <v/>
      </c>
      <c r="S3262">
        <f>IFERROR(O3262/N3262,0)</f>
        <v/>
      </c>
      <c r="T3262">
        <f>IF(C3262,(H3262*N3262*IF(AND(Inputs!$B$38&lt;&gt;"pvp",Inputs!$B$43&gt;0),((Skills!G9*((R3262-1)*IF(Skills!H9&gt;0,INT(Skills!I9/Skills!H9+0.000000001),1)+IF(Skills!H9&gt;0,INT(MIN(Skills!I9,MAX(0,MAX(0,Inputs!$B$43-B3295)-((R3262-1)*(IF(Inputs!$B$38="pvp",15,MAX(0.1,Skills!D9-IF(TRUE=TRUE,2.5,0)))*(1-IF(AND(ArtifactsInput!$M$27,Inputs!$B$4="Chapter Hunt"),CHOOSE(ArtifactsInput!$N$27+1,20,24,28,32,36,40),0)/100)))))/Skills!H9+0.000000001),1)))/Inputs!$B$43),G3262*Q3262)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2">
        <f>IF(C3262,(H3262*N3262*IF(AND(Inputs!$B$38&lt;&gt;"pvp",Inputs!$B$43&gt;0),((Skills!G9*((R3262-1)*IF(Skills!H9&gt;0,INT(Skills!I9/Skills!H9+0.000000001),1)+IF(Skills!H9&gt;0,INT(MIN(Skills!I9,MAX(0,MAX(0,Inputs!$B$43-B3295)-((R3262-1)*(IF(Inputs!$B$38="pvp",15,MAX(0.1,Skills!D9-IF(TRUE=TRUE,2.5,0)))*(1-IF(AND(ArtifactsInput!$M$27,Inputs!$B$4="Chapter Hunt"),CHOOSE(ArtifactsInput!$N$27+1,20,24,28,32,36,40),0)/100)))))/Skills!H9+0.000000001),1)))/Inputs!$B$43),G3262*Q3262))*IF(Inputs!$B$38="pvp",1,(1+(Inputs!$B$21+Skills!Q9+(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3">
      <c r="A3263">
        <f>Skills!A10</f>
        <v/>
      </c>
      <c r="B3263">
        <f>Skills!B10</f>
        <v/>
      </c>
      <c r="C3263">
        <f>Inputs!$B$3&gt;=63</f>
        <v/>
      </c>
      <c r="D3263">
        <f>IF(Skills!C10=1,60+Inputs!$B$25+Inputs!$B$29,IF(Skills!C10=2,90+Inputs!$B$26+Inputs!$B$29,IF(Skills!C10=3,120+Inputs!$B$27+Inputs!$B$29,MAX(0,(Inputs!$B$3-100)*3)+Inputs!$B$28+Inputs!$B$29)))</f>
        <v/>
      </c>
      <c r="E3263">
        <f>INDEX(FactorTable!$B$2:$Y$301, MATCH(ROUND(MIN(300,MAX(1,D3263)),0), FactorTable!$A$2:$A$301,0), Skills!M10+1)</f>
        <v/>
      </c>
      <c r="F3263">
        <f>IF(Skills!N10=TRUE,(Skills!L10/10)*(E3263/1000),Skills!L10/10)+Skills!O10</f>
        <v/>
      </c>
      <c r="G3263">
        <f>Skills!G10*IF(Skills!H10&gt;0,INT(IF(Inputs!$B$38="pvp",MIN(Skills!I10,15),Skills!I10)/Skills!H10+0.000000001),1)</f>
        <v/>
      </c>
      <c r="H3263">
        <f>1-(1-Skills!J10/100)^Skills!K10</f>
        <v/>
      </c>
      <c r="I3263" t="inlineStr">
        <is>
          <t>1</t>
        </is>
      </c>
      <c r="J3263">
        <f>((Inputs!$B$6*(1+Inputs!$B$7/100))+(((Inputs!$B$12*(1+Inputs!$B$13/100))-(Inputs!$B$12*(1+Inputs!$B$13/100)))+0.25*(Inputs!$B$14-Inputs!$B$14))*(1+Inputs!$B$7/100))*(F3263/100)</f>
        <v/>
      </c>
      <c r="K3263">
        <f>J3263*(1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3265=TRUE,F3265,0)/100)*(1+(IF(Skills!A10="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3263)</f>
        <v/>
      </c>
      <c r="L3263">
        <f>K3263*(MIN(Inputs!$B$22+((C3279=TRUE)*(F3279-Calc!F26)),(Inputs!$B$23+((C3284=TRUE)*(F3284-Calc!F31))+(IF(ArtifactsInput!$M$15,CHOOSE(ArtifactsInput!$N$15+1,25,30,35,40,45,50)/100*(Inputs!$B$11-Inputs!$B$11),0))))/100+(Inputs!$B$23+((C3284=TRUE)*(F3284-Calc!F31))+(IF(ArtifactsInput!$M$15,CHOOSE(ArtifactsInput!$N$15+1,25,30,35,40,45,50)/100*(Inputs!$B$11-Inputs!$B$11),0)))/100)/2</f>
        <v/>
      </c>
      <c r="M3263">
        <f>L3263*(1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3">
        <f>L3263*(1-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3263*(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3">
        <f>(1-Summary!$B$11)*T3263+Summary!$B$11*V3263</f>
        <v/>
      </c>
      <c r="P3263">
        <f>IF(B3298=0,0,O3263/B3298)</f>
        <v/>
      </c>
      <c r="Q3263">
        <f>IFERROR(1/(IF(Inputs!$B$38="pvp",15,MAX(0.1,Skills!D10-IF(TRUE=TRUE,2.5,0)))*(1-IF(AND(ArtifactsInput!$M$27,Inputs!$B$4="Chapter Hunt"),CHOOSE(ArtifactsInput!$N$27+1,20,24,28,32,36,40),0)/100)),0)</f>
        <v/>
      </c>
      <c r="R3263">
        <f>IF(AND(Inputs!$B$38&lt;&gt;"pvp",Inputs!$B$43&gt;0),IF(MAX(0,Inputs!$B$43-B3295)&lt;=0,0,(INT(MAX(0,Inputs!$B$43-B3295)/(IF(Inputs!$B$38="pvp",15,MAX(0.1,Skills!D10-IF(TRUE=TRUE,2.5,0)))*(1-IF(AND(ArtifactsInput!$M$27,Inputs!$B$4="Chapter Hunt"),CHOOSE(ArtifactsInput!$N$27+1,20,24,28,32,36,40),0)/100)))+1)),0)</f>
        <v/>
      </c>
      <c r="S3263">
        <f>IFERROR(O3263/N3263,0)</f>
        <v/>
      </c>
      <c r="T3263">
        <f>IF(C3263,(H3263*N3263*IF(AND(Inputs!$B$38&lt;&gt;"pvp",Inputs!$B$43&gt;0),((Skills!G10*((R3263-1)*IF(Skills!H10&gt;0,INT(Skills!I10/Skills!H10+0.000000001),1)+IF(Skills!H10&gt;0,INT(MIN(Skills!I10,MAX(0,MAX(0,Inputs!$B$43-B3295)-((R3263-1)*(IF(Inputs!$B$38="pvp",15,MAX(0.1,Skills!D10-IF(TRUE=TRUE,2.5,0)))*(1-IF(AND(ArtifactsInput!$M$27,Inputs!$B$4="Chapter Hunt"),CHOOSE(ArtifactsInput!$N$27+1,20,24,28,32,36,40),0)/100)))))/Skills!H10+0.000000001),1)))/Inputs!$B$43),G3263*Q3263)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3">
        <f>IF(C3263,(H3263*N3263*IF(AND(Inputs!$B$38&lt;&gt;"pvp",Inputs!$B$43&gt;0),((Skills!G10*((R3263-1)*IF(Skills!H10&gt;0,INT(Skills!I10/Skills!H10+0.000000001),1)+IF(Skills!H10&gt;0,INT(MIN(Skills!I10,MAX(0,MAX(0,Inputs!$B$43-B3295)-((R3263-1)*(IF(Inputs!$B$38="pvp",15,MAX(0.1,Skills!D10-IF(TRUE=TRUE,2.5,0)))*(1-IF(AND(ArtifactsInput!$M$27,Inputs!$B$4="Chapter Hunt"),CHOOSE(ArtifactsInput!$N$27+1,20,24,28,32,36,40),0)/100)))))/Skills!H10+0.000000001),1)))/Inputs!$B$43),G3263*Q3263))*IF(Inputs!$B$38="pvp",1,(1+(Inputs!$B$21+Skills!Q10+(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4">
      <c r="A3264">
        <f>Skills!A11</f>
        <v/>
      </c>
      <c r="B3264">
        <f>Skills!B11</f>
        <v/>
      </c>
      <c r="C3264">
        <f>Inputs!$B$3&gt;=103</f>
        <v/>
      </c>
      <c r="D3264">
        <f>IF(Skills!C11=1,60+Inputs!$B$25+Inputs!$B$29,IF(Skills!C11=2,90+Inputs!$B$26+Inputs!$B$29,IF(Skills!C11=3,120+Inputs!$B$27+Inputs!$B$29,MAX(0,(Inputs!$B$3-100)*3)+Inputs!$B$28+Inputs!$B$29)))</f>
        <v/>
      </c>
      <c r="E3264">
        <f>INDEX(FactorTable!$B$2:$Y$301, MATCH(ROUND(MIN(300,MAX(1,D3264)),0), FactorTable!$A$2:$A$301,0), Skills!M11+1)</f>
        <v/>
      </c>
      <c r="F3264">
        <f>IF(Skills!N11=TRUE,(Skills!L11/10)*(E3264/1000),Skills!L11/10)+Skills!O11</f>
        <v/>
      </c>
      <c r="G3264">
        <f>Skills!G11*IF(Skills!H11&gt;0,INT(IF(Inputs!$B$38="pvp",MIN(Skills!I11,15),Skills!I11)/Skills!H11+0.000000001),1)</f>
        <v/>
      </c>
      <c r="H3264">
        <f>1-(1-Skills!J11/100)^Skills!K11</f>
        <v/>
      </c>
      <c r="I3264" t="inlineStr">
        <is>
          <t>1</t>
        </is>
      </c>
      <c r="J3264">
        <f>((Inputs!$B$6*(1+Inputs!$B$7/100))+(((Inputs!$B$12*(1+Inputs!$B$13/100))-(Inputs!$B$12*(1+Inputs!$B$13/100)))+0.25*(Inputs!$B$14-Inputs!$B$14))*(1+Inputs!$B$7/100))*(F3264/100)</f>
        <v/>
      </c>
      <c r="K3264">
        <f>J3264*(1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3279=TRUE)*(F3279-Calc!F26)),(Inputs!$B$23+((C3284=TRUE)*(F3284-Calc!F31))+(IF(ArtifactsInput!$M$15,CHOOSE(ArtifactsInput!$N$15+1,25,30,35,40,45,50)/100*(Inputs!$B$11-Inputs!$B$11),0))))/100+(Inputs!$B$23+((C3284=TRUE)*(F3284-Calc!F31))+(IF(ArtifactsInput!$M$15,CHOOSE(ArtifactsInput!$N$15+1,25,30,35,40,45,50)/100*(Inputs!$B$11-Inputs!$B$11),0)))/100)/2</f>
        <v/>
      </c>
      <c r="M3264">
        <f>L3264*(1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IF(B3298=0,0,O3264/B3298)</f>
        <v/>
      </c>
      <c r="Q3264">
        <f>IFERROR(1/(IF(Inputs!$B$38="pvp",15,MAX(0.1,Skills!D11-IF(TRUE=TRUE,2.5,0)))*(1-IF(AND(ArtifactsInput!$M$27,Inputs!$B$4="Chapter Hunt"),CHOOSE(ArtifactsInput!$N$27+1,20,24,28,32,36,40),0)/100)),0)</f>
        <v/>
      </c>
      <c r="R3264">
        <f>IF(AND(Inputs!$B$38&lt;&gt;"pvp",Inputs!$B$43&gt;0),IF(MAX(0,Inputs!$B$43-B3295)&lt;=0,0,(INT(MAX(0,Inputs!$B$43-B3295)/(IF(Inputs!$B$38="pvp",15,MAX(0.1,Skills!D11-IF(TRUE=TRUE,2.5,0)))*(1-IF(AND(ArtifactsInput!$M$27,Inputs!$B$4="Chapter Hunt"),CHOOSE(ArtifactsInput!$N$27+1,20,24,28,32,36,40),0)/100)))+1)),0)</f>
        <v/>
      </c>
      <c r="S3264">
        <f>IFERROR(O3264/N3264,0)</f>
        <v/>
      </c>
      <c r="T3264">
        <f>IF(C3264,(H3264*N3264*IF(AND(Inputs!$B$38&lt;&gt;"pvp",Inputs!$B$43&gt;0),((Skills!G11*((R3264-1)*IF(Skills!H11&gt;0,INT(Skills!I11/Skills!H11+0.000000001),1)+IF(Skills!H11&gt;0,INT(MIN(Skills!I11,MAX(0,MAX(0,Inputs!$B$43-B3295)-((R3264-1)*(IF(Inputs!$B$38="pvp",15,MAX(0.1,Skills!D11-IF(TRUE=TRUE,2.5,0)))*(1-IF(AND(ArtifactsInput!$M$27,Inputs!$B$4="Chapter Hunt"),CHOOSE(ArtifactsInput!$N$27+1,20,24,28,32,36,40),0)/100)))))/Skills!H11+0.000000001),1)))/Inputs!$B$43),G3264*Q3264)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11*((R3264-1)*IF(Skills!H11&gt;0,INT(Skills!I11/Skills!H11+0.000000001),1)+IF(Skills!H11&gt;0,INT(MIN(Skills!I11,MAX(0,MAX(0,Inputs!$B$43-B3295)-((R3264-1)*(IF(Inputs!$B$38="pvp",15,MAX(0.1,Skills!D11-IF(TRUE=TRUE,2.5,0)))*(1-IF(AND(ArtifactsInput!$M$27,Inputs!$B$4="Chapter Hunt"),CHOOSE(ArtifactsInput!$N$27+1,20,24,28,32,36,40),0)/100)))))/Skills!H11+0.000000001),1)))/Inputs!$B$43),G3264*Q3264))*IF(Inputs!$B$38="pvp",1,(1+(Inputs!$B$21+Skills!Q11+(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Skills!A12</f>
        <v/>
      </c>
      <c r="B3265">
        <f>Skills!B12</f>
        <v/>
      </c>
      <c r="C3265">
        <f>Inputs!$B$3&gt;=100</f>
        <v/>
      </c>
      <c r="D3265">
        <f>IF(Skills!C12=1,60+Inputs!$B$25+Inputs!$B$29,IF(Skills!C12=2,90+Inputs!$B$26+Inputs!$B$29,IF(Skills!C12=3,120+Inputs!$B$27+Inputs!$B$29,MAX(0,(Inputs!$B$3-100)*3)+Inputs!$B$28+Inputs!$B$29)))</f>
        <v/>
      </c>
      <c r="E3265">
        <f>INDEX(FactorTable!$B$2:$Y$301, MATCH(ROUND(MIN(300,MAX(1,D3265)),0), FactorTable!$A$2:$A$301,0), Skills!M12+1)</f>
        <v/>
      </c>
      <c r="F3265">
        <f>IF(Skills!N12=TRUE,(Skills!L12/10)*(E3265/1000),Skills!L12/10)+Skills!O12</f>
        <v/>
      </c>
      <c r="G3265" t="inlineStr"/>
      <c r="H3265" t="inlineStr"/>
      <c r="I3265" t="inlineStr">
        <is>
          <t>1</t>
        </is>
      </c>
      <c r="J3265" t="inlineStr"/>
      <c r="K3265" t="inlineStr"/>
      <c r="L3265" t="inlineStr"/>
      <c r="M3265" t="inlineStr"/>
      <c r="N3265" t="inlineStr"/>
      <c r="O3265" t="inlineStr"/>
      <c r="P3265" t="inlineStr"/>
      <c r="Q3265" t="inlineStr"/>
      <c r="R3265" t="inlineStr"/>
      <c r="S3265" t="inlineStr"/>
      <c r="T3265" t="inlineStr"/>
      <c r="V3265" t="inlineStr"/>
    </row>
    <row r="3266">
      <c r="A3266">
        <f>Skills!A13</f>
        <v/>
      </c>
      <c r="B3266">
        <f>Skills!B13</f>
        <v/>
      </c>
      <c r="C3266">
        <f>Inputs!$B$3&gt;=60</f>
        <v/>
      </c>
      <c r="D3266">
        <f>IF(Skills!C13=1,60+Inputs!$B$25+Inputs!$B$29,IF(Skills!C13=2,90+Inputs!$B$26+Inputs!$B$29,IF(Skills!C13=3,120+Inputs!$B$27+Inputs!$B$29,MAX(0,(Inputs!$B$3-100)*3)+Inputs!$B$28+Inputs!$B$29)))</f>
        <v/>
      </c>
      <c r="E3266">
        <f>INDEX(FactorTable!$B$2:$Y$301, MATCH(ROUND(MIN(300,MAX(1,D3266)),0), FactorTable!$A$2:$A$301,0), Skills!M13+1)</f>
        <v/>
      </c>
      <c r="F3266">
        <f>IF(Skills!N13=TRUE,(Skills!L13/10)*(E3266/1000),Skills!L13/10)+Skills!O13</f>
        <v/>
      </c>
      <c r="G3266">
        <f>Skills!G13*IF(Skills!H13&gt;0,INT(IF(Inputs!$B$38="pvp",MIN(Skills!I13,15),Skills!I13)/Skills!H13+0.000000001),1)</f>
        <v/>
      </c>
      <c r="H3266">
        <f>1-(1-Skills!J13/100)^Skills!K13</f>
        <v/>
      </c>
      <c r="I3266" t="inlineStr">
        <is>
          <t>1</t>
        </is>
      </c>
      <c r="J3266">
        <f>((Inputs!$B$6*(1+Inputs!$B$7/100))+(((Inputs!$B$12*(1+Inputs!$B$13/100))-(Inputs!$B$12*(1+Inputs!$B$13/100)))+0.25*(Inputs!$B$14-Inputs!$B$14))*(1+Inputs!$B$7/100))*(F3266/100)</f>
        <v/>
      </c>
      <c r="K3266">
        <f>J3266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3267=TRUE,F3267,0)/100)*(1+(IF(Skills!A13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3266)</f>
        <v/>
      </c>
      <c r="L3266">
        <f>K3266*(MIN(Inputs!$B$22+((C3279=TRUE)*(F3279-Calc!F26)),(Inputs!$B$23+((C3284=TRUE)*(F3284-Calc!F31))+(IF(ArtifactsInput!$M$15,CHOOSE(ArtifactsInput!$N$15+1,25,30,35,40,45,50)/100*(Inputs!$B$11-Inputs!$B$11),0))))/100+(Inputs!$B$23+((C3284=TRUE)*(F3284-Calc!F31))+(IF(ArtifactsInput!$M$15,CHOOSE(ArtifactsInput!$N$15+1,25,30,35,40,45,50)/100*(Inputs!$B$11-Inputs!$B$11),0)))/100)/2</f>
        <v/>
      </c>
      <c r="M3266">
        <f>L3266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6">
        <f>L3266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6">
        <f>(1-Summary!$B$11)*T3266+Summary!$B$11*V3266</f>
        <v/>
      </c>
      <c r="P3266">
        <f>IF(B3298=0,0,O3266/B3298)</f>
        <v/>
      </c>
      <c r="Q3266">
        <f>IFERROR(1/(IF(Inputs!$B$38="pvp",15,MAX(0.1,IF(Inputs!$B$3&gt;=122,3,5)+1/(((20+30*(B3290-1)*100/150)/100)*B3290)-IF(FALSE=TRUE,2.5,0)))*(1-IF(AND(ArtifactsInput!$M$27,Inputs!$B$4="Chapter Hunt"),CHOOSE(ArtifactsInput!$N$27+1,20,24,28,32,36,40),0)/100)),0)</f>
        <v/>
      </c>
      <c r="R3266">
        <f>IF(AND(Inputs!$B$38&lt;&gt;"pvp",Inputs!$B$43&gt;0),IF(MAX(0,Inputs!$B$43-B3295)&lt;=0,0,(INT(MAX(0,Inputs!$B$43-B3295)/(IF(Inputs!$B$38="pvp",15,MAX(0.1,IF(Inputs!$B$3&gt;=122,3,5)+1/(((20+30*(B3290-1)*100/150)/100)*B3290)-IF(FALSE=TRUE,2.5,0)))*(1-IF(AND(ArtifactsInput!$M$27,Inputs!$B$4="Chapter Hunt"),CHOOSE(ArtifactsInput!$N$27+1,20,24,28,32,36,40),0)/100)))+1)),0)</f>
        <v/>
      </c>
      <c r="S3266">
        <f>IFERROR(O3266/N3266,0)</f>
        <v/>
      </c>
      <c r="T3266">
        <f>IF(C3266,(H3266*N3266*IF(AND(Inputs!$B$38&lt;&gt;"pvp",Inputs!$B$43&gt;0),((Skills!G13*((R3266-1)*IF(Skills!H13&gt;0,INT(Skills!I13/Skills!H13+0.000000001),1)+IF(Skills!H13&gt;0,INT(MIN(Skills!I13,MAX(0,MAX(0,Inputs!$B$43-B3295)-((R3266-1)*(IF(Inputs!$B$38="pvp",15,MAX(0.1,IF(Inputs!$B$3&gt;=122,3,5)+1/(((20+30*(B3290-1)*100/150)/100)*B3290)-IF(FALSE=TRUE,2.5,0)))*(1-IF(AND(ArtifactsInput!$M$27,Inputs!$B$4="Chapter Hunt"),CHOOSE(ArtifactsInput!$N$27+1,20,24,28,32,36,40),0)/100)))))/Skills!H13+0.000000001),1)))/Inputs!$B$43),G3266*Q3266)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6">
        <f>IF(C3266,(H3266*N3266*IF(AND(Inputs!$B$38&lt;&gt;"pvp",Inputs!$B$43&gt;0),((Skills!G13*((R3266-1)*IF(Skills!H13&gt;0,INT(Skills!I13/Skills!H13+0.000000001),1)+IF(Skills!H13&gt;0,INT(MIN(Skills!I13,MAX(0,MAX(0,Inputs!$B$43-B3295)-((R3266-1)*(IF(Inputs!$B$38="pvp",15,MAX(0.1,IF(Inputs!$B$3&gt;=122,3,5)+1/(((20+30*(B3290-1)*100/150)/100)*B3290)-IF(FALSE=TRUE,2.5,0)))*(1-IF(AND(ArtifactsInput!$M$27,Inputs!$B$4="Chapter Hunt"),CHOOSE(ArtifactsInput!$N$27+1,20,24,28,32,36,40),0)/100)))))/Skills!H13+0.000000001),1)))/Inputs!$B$43),G3266*Q3266))*IF(Inputs!$B$38="pvp",1,(1+(Inputs!$B$21+Skills!Q13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7">
      <c r="A3267">
        <f>Skills!A14</f>
        <v/>
      </c>
      <c r="B3267">
        <f>Skills!B14</f>
        <v/>
      </c>
      <c r="C3267">
        <f>Inputs!$B$3&gt;=110</f>
        <v/>
      </c>
      <c r="D3267">
        <f>IF(Skills!C14=1,60+Inputs!$B$25+Inputs!$B$29,IF(Skills!C14=2,90+Inputs!$B$26+Inputs!$B$29,IF(Skills!C14=3,120+Inputs!$B$27+Inputs!$B$29,MAX(0,(Inputs!$B$3-100)*3)+Inputs!$B$28+Inputs!$B$29)))</f>
        <v/>
      </c>
      <c r="E3267">
        <f>INDEX(FactorTable!$B$2:$Y$301, MATCH(ROUND(MIN(300,MAX(1,D3267)),0), FactorTable!$A$2:$A$301,0), Skills!M14+1)</f>
        <v/>
      </c>
      <c r="F3267">
        <f>IF(Skills!N14=TRUE,(Skills!L14/10)*(E3267/1000),Skills!L14/10)+Skills!O14</f>
        <v/>
      </c>
      <c r="G3267" t="inlineStr"/>
      <c r="H3267" t="inlineStr"/>
      <c r="I3267" t="inlineStr">
        <is>
          <t>1</t>
        </is>
      </c>
      <c r="J3267" t="inlineStr"/>
      <c r="K3267" t="inlineStr"/>
      <c r="L3267" t="inlineStr"/>
      <c r="M3267" t="inlineStr"/>
      <c r="N3267" t="inlineStr"/>
      <c r="O3267" t="inlineStr"/>
      <c r="P3267" t="inlineStr"/>
      <c r="Q3267" t="inlineStr"/>
      <c r="R3267" t="inlineStr"/>
      <c r="S3267" t="inlineStr"/>
      <c r="T3267" t="inlineStr"/>
      <c r="V3267" t="inlineStr"/>
    </row>
    <row r="3268">
      <c r="A3268">
        <f>Skills!A15</f>
        <v/>
      </c>
      <c r="B3268">
        <f>Skills!B15</f>
        <v/>
      </c>
      <c r="C3268">
        <f>Inputs!$B$3&gt;=74</f>
        <v/>
      </c>
      <c r="D3268">
        <f>IF(Skills!C15=1,60+Inputs!$B$25+Inputs!$B$29,IF(Skills!C15=2,90+Inputs!$B$26+Inputs!$B$29,IF(Skills!C15=3,120+Inputs!$B$27+Inputs!$B$29,MAX(0,(Inputs!$B$3-100)*3)+Inputs!$B$28+Inputs!$B$29)))</f>
        <v/>
      </c>
      <c r="E3268">
        <f>INDEX(FactorTable!$B$2:$Y$301, MATCH(ROUND(MIN(300,MAX(1,D3268)),0), FactorTable!$A$2:$A$301,0), Skills!M15+1)</f>
        <v/>
      </c>
      <c r="F3268">
        <f>IF(Skills!N15=TRUE,(Skills!L15/10)*(E3268/1000),Skills!L15/10)+Skills!O15</f>
        <v/>
      </c>
      <c r="G3268">
        <f>Skills!G15*IF(Skills!H15&gt;0,INT(IF(Inputs!$B$38="pvp",MIN(Skills!I15,15),Skills!I15)/Skills!H15+0.000000001),1)</f>
        <v/>
      </c>
      <c r="H3268">
        <f>1-(1-Skills!J15/100)^Skills!K15</f>
        <v/>
      </c>
      <c r="I3268" t="inlineStr">
        <is>
          <t>1</t>
        </is>
      </c>
      <c r="J3268" t="inlineStr"/>
      <c r="K3268" t="inlineStr"/>
      <c r="L3268" t="inlineStr"/>
      <c r="M3268" t="inlineStr"/>
      <c r="N3268" t="inlineStr"/>
      <c r="O3268">
        <f>(1-Summary!$B$11)*T3268+Summary!$B$11*V3268</f>
        <v/>
      </c>
      <c r="P3268">
        <f>IF(B3298=0,0,O3268/B3298)</f>
        <v/>
      </c>
      <c r="Q3268" t="n">
        <v>0</v>
      </c>
      <c r="R3268" t="n">
        <v>0</v>
      </c>
      <c r="S3268">
        <f>IFERROR(O3268/N3268,0)</f>
        <v/>
      </c>
      <c r="T3268" t="n">
        <v>0</v>
      </c>
      <c r="V3268" t="n">
        <v>0</v>
      </c>
    </row>
    <row r="3269">
      <c r="A3269">
        <f>Skills!A16</f>
        <v/>
      </c>
      <c r="B3269">
        <f>Skills!B16</f>
        <v/>
      </c>
      <c r="C3269">
        <f>Inputs!$B$3&gt;=74</f>
        <v/>
      </c>
      <c r="D3269">
        <f>IF(Skills!C16=1,60+Inputs!$B$25+Inputs!$B$29,IF(Skills!C16=2,90+Inputs!$B$26+Inputs!$B$29,IF(Skills!C16=3,120+Inputs!$B$27+Inputs!$B$29,MAX(0,(Inputs!$B$3-100)*3)+Inputs!$B$28+Inputs!$B$29)))</f>
        <v/>
      </c>
      <c r="E3269">
        <f>INDEX(FactorTable!$B$2:$Y$301, MATCH(ROUND(MIN(300,MAX(1,D3269)),0), FactorTable!$A$2:$A$301,0), Skills!M16+1)</f>
        <v/>
      </c>
      <c r="F3269">
        <f>IF(Skills!N16=TRUE,(Skills!L16/10)*(E3269/1000),Skills!L16/10)+Skills!O16</f>
        <v/>
      </c>
      <c r="G3269">
        <f>Skills!G16*IF(Skills!H16&gt;0,INT(IF(Inputs!$B$38="pvp",MIN(Skills!I16,15),Skills!I16)/Skills!H16+0.000000001),1)</f>
        <v/>
      </c>
      <c r="H3269">
        <f>1-(1-Skills!J16/100)^Skills!K16</f>
        <v/>
      </c>
      <c r="I3269" t="inlineStr">
        <is>
          <t>1</t>
        </is>
      </c>
      <c r="J3269" t="inlineStr"/>
      <c r="K3269" t="inlineStr"/>
      <c r="L3269" t="inlineStr"/>
      <c r="M3269" t="inlineStr"/>
      <c r="N3269" t="inlineStr"/>
      <c r="O3269">
        <f>(1-Summary!$B$11)*T3269+Summary!$B$11*V3269</f>
        <v/>
      </c>
      <c r="P3269">
        <f>IF(B3298=0,0,O3269/B3298)</f>
        <v/>
      </c>
      <c r="Q3269" t="n">
        <v>0</v>
      </c>
      <c r="R3269" t="n">
        <v>0</v>
      </c>
      <c r="S3269">
        <f>IFERROR(O3269/N3269,0)</f>
        <v/>
      </c>
      <c r="T3269" t="n">
        <v>0</v>
      </c>
      <c r="V3269" t="n">
        <v>0</v>
      </c>
    </row>
    <row r="3270">
      <c r="A3270">
        <f>Skills!A17</f>
        <v/>
      </c>
      <c r="B3270">
        <f>Skills!B17</f>
        <v/>
      </c>
      <c r="C3270">
        <f>Inputs!$B$3&gt;=117</f>
        <v/>
      </c>
      <c r="D3270">
        <f>IF(Skills!C17=1,60+Inputs!$B$25+Inputs!$B$29,IF(Skills!C17=2,90+Inputs!$B$26+Inputs!$B$29,IF(Skills!C17=3,120+Inputs!$B$27+Inputs!$B$29,MAX(0,(Inputs!$B$3-100)*3)+Inputs!$B$28+Inputs!$B$29)))</f>
        <v/>
      </c>
      <c r="E3270">
        <f>INDEX(FactorTable!$B$2:$Y$301, MATCH(ROUND(MIN(300,MAX(1,D3270)),0), FactorTable!$A$2:$A$301,0), Skills!M17+1)</f>
        <v/>
      </c>
      <c r="F3270">
        <f>IF(Skills!N17=TRUE,(Skills!L17/10)*(E3270/1000),Skills!L17/10)+Skills!O17</f>
        <v/>
      </c>
      <c r="G3270">
        <f>Skills!G17*IF(Skills!H17&gt;0,INT(IF(Inputs!$B$38="pvp",MIN(Skills!I17,15),Skills!I17)/Skills!H17+0.000000001),1)</f>
        <v/>
      </c>
      <c r="H3270">
        <f>1-(1-Skills!J17/100)^Skills!K17</f>
        <v/>
      </c>
      <c r="I3270" t="inlineStr">
        <is>
          <t>1</t>
        </is>
      </c>
      <c r="J3270" t="inlineStr"/>
      <c r="K3270" t="inlineStr"/>
      <c r="L3270" t="inlineStr"/>
      <c r="M3270" t="inlineStr"/>
      <c r="N3270" t="inlineStr"/>
      <c r="O3270">
        <f>(1-Summary!$B$11)*T3270+Summary!$B$11*V3270</f>
        <v/>
      </c>
      <c r="P3270">
        <f>IF(B3298=0,0,O3270/B3298)</f>
        <v/>
      </c>
      <c r="Q3270">
        <f>IFERROR(1/(IF(Inputs!$B$38="pvp",15,MAX(0.1,Skills!D17-IF(TRUE=TRUE,2.5,0)))*(1-IF(AND(ArtifactsInput!$M$27,Inputs!$B$4="Chapter Hunt"),CHOOSE(ArtifactsInput!$N$27+1,20,24,28,32,36,40),0)/100)),0)</f>
        <v/>
      </c>
      <c r="R3270">
        <f>IF(AND(Inputs!$B$38&lt;&gt;"pvp",Inputs!$B$43&gt;0),IF(Inputs!$B$43&lt;=0,0,(INT(Inputs!$B$43/(IF(Inputs!$B$38="pvp",15,MAX(0.1,Skills!D17-IF(TRUE=TRUE,2.5,0)))*(1-IF(AND(ArtifactsInput!$M$27,Inputs!$B$4="Chapter Hunt"),CHOOSE(ArtifactsInput!$N$27+1,20,24,28,32,36,40),0)/100)))+1)),0)</f>
        <v/>
      </c>
      <c r="S3270">
        <f>IFERROR(O3270/N3270,0)</f>
        <v/>
      </c>
      <c r="T3270" t="n">
        <v>0</v>
      </c>
      <c r="V3270" t="n">
        <v>0</v>
      </c>
    </row>
    <row r="3271">
      <c r="A3271">
        <f>Skills!A18</f>
        <v/>
      </c>
      <c r="B3271">
        <f>Skills!B18</f>
        <v/>
      </c>
      <c r="C3271">
        <f>Inputs!$B$3&gt;=115</f>
        <v/>
      </c>
      <c r="D3271">
        <f>IF(Skills!C18=1,60+Inputs!$B$25+Inputs!$B$29,IF(Skills!C18=2,90+Inputs!$B$26+Inputs!$B$29,IF(Skills!C18=3,120+Inputs!$B$27+Inputs!$B$29,MAX(0,(Inputs!$B$3-100)*3)+Inputs!$B$28+Inputs!$B$29)))</f>
        <v/>
      </c>
      <c r="E3271">
        <f>INDEX(FactorTable!$B$2:$Y$301, MATCH(ROUND(MIN(300,MAX(1,D3271)),0), FactorTable!$A$2:$A$301,0), Skills!M18+1)</f>
        <v/>
      </c>
      <c r="F3271">
        <f>IF(Skills!N18=TRUE,(Skills!L18/10)*(E3271/1000),Skills!L18/10)+Skills!O18</f>
        <v/>
      </c>
      <c r="G3271">
        <f>Skills!G18*IF(Skills!H18&gt;0,INT(IF(Inputs!$B$38="pvp",MIN(Skills!I18,15),Skills!I18)/Skills!H18+0.000000001),1)</f>
        <v/>
      </c>
      <c r="H3271">
        <f>1-(1-Skills!J18/100)^Skills!K18</f>
        <v/>
      </c>
      <c r="I3271" t="inlineStr">
        <is>
          <t>1</t>
        </is>
      </c>
      <c r="J3271" t="inlineStr"/>
      <c r="K3271" t="inlineStr"/>
      <c r="L3271" t="inlineStr"/>
      <c r="M3271" t="inlineStr"/>
      <c r="N3271" t="inlineStr"/>
      <c r="O3271">
        <f>(1-Summary!$B$11)*T3271+Summary!$B$11*V3271</f>
        <v/>
      </c>
      <c r="P3271">
        <f>IF(B3298=0,0,O3271/B3298)</f>
        <v/>
      </c>
      <c r="Q3271">
        <f>IFERROR(1/(IF(Inputs!$B$38="pvp",15,MAX(0.1,Skills!D18-IF(TRUE=TRUE,2.5,0)))*(1-IF(AND(ArtifactsInput!$M$27,Inputs!$B$4="Chapter Hunt"),CHOOSE(ArtifactsInput!$N$27+1,20,24,28,32,36,40),0)/100)),0)</f>
        <v/>
      </c>
      <c r="R3271">
        <f>IF(AND(Inputs!$B$38&lt;&gt;"pvp",Inputs!$B$43&gt;0),IF(Inputs!$B$43&lt;=0,0,(INT(Inputs!$B$43/(IF(Inputs!$B$38="pvp",15,MAX(0.1,Skills!D18-IF(TRUE=TRUE,2.5,0)))*(1-IF(AND(ArtifactsInput!$M$27,Inputs!$B$4="Chapter Hunt"),CHOOSE(ArtifactsInput!$N$27+1,20,24,28,32,36,40),0)/100)))+1)),0)</f>
        <v/>
      </c>
      <c r="S3271">
        <f>IFERROR(O3271/N3271,0)</f>
        <v/>
      </c>
      <c r="T3271" t="n">
        <v>0</v>
      </c>
      <c r="V3271" t="n">
        <v>0</v>
      </c>
    </row>
    <row r="3272">
      <c r="A3272">
        <f>Skills!A19</f>
        <v/>
      </c>
      <c r="B3272">
        <f>Skills!B19</f>
        <v/>
      </c>
      <c r="C3272">
        <f>Inputs!$B$3&gt;=66</f>
        <v/>
      </c>
      <c r="D3272">
        <f>IF(Skills!C19=1,60+Inputs!$B$25+Inputs!$B$29,IF(Skills!C19=2,90+Inputs!$B$26+Inputs!$B$29,IF(Skills!C19=3,120+Inputs!$B$27+Inputs!$B$29,MAX(0,(Inputs!$B$3-100)*3)+Inputs!$B$28+Inputs!$B$29)))</f>
        <v/>
      </c>
      <c r="E3272">
        <f>INDEX(FactorTable!$B$2:$Y$301, MATCH(ROUND(MIN(300,MAX(1,D3272)),0), FactorTable!$A$2:$A$301,0), Skills!M19+1)</f>
        <v/>
      </c>
      <c r="F3272">
        <f>IF(Skills!N19=TRUE,(Skills!L19/10)*(E3272/1000),Skills!L19/10)+Skills!O19</f>
        <v/>
      </c>
      <c r="G3272">
        <f>Skills!G19*IF(Skills!H19&gt;0,INT(IF(Inputs!$B$38="pvp",MIN(Skills!I19,15),Skills!I19)/Skills!H19+0.000000001),1)</f>
        <v/>
      </c>
      <c r="H3272">
        <f>1-(1-Skills!J19/100)^Skills!K19</f>
        <v/>
      </c>
      <c r="I3272" t="inlineStr">
        <is>
          <t>1</t>
        </is>
      </c>
      <c r="J3272" t="inlineStr"/>
      <c r="K3272" t="inlineStr"/>
      <c r="L3272" t="inlineStr"/>
      <c r="M3272" t="inlineStr"/>
      <c r="N3272" t="inlineStr"/>
      <c r="O3272">
        <f>(1-Summary!$B$11)*T3272+Summary!$B$11*V3272</f>
        <v/>
      </c>
      <c r="P3272">
        <f>IF(B3298=0,0,O3272/B3298)</f>
        <v/>
      </c>
      <c r="Q3272" t="n">
        <v>0</v>
      </c>
      <c r="R3272" t="n">
        <v>0</v>
      </c>
      <c r="S3272">
        <f>IFERROR(O3272/N3272,0)</f>
        <v/>
      </c>
      <c r="T3272" t="n">
        <v>0</v>
      </c>
      <c r="V3272" t="n">
        <v>0</v>
      </c>
    </row>
    <row r="3273">
      <c r="A3273">
        <f>Skills!A20</f>
        <v/>
      </c>
      <c r="B3273">
        <f>Skills!B20</f>
        <v/>
      </c>
      <c r="C3273">
        <f>Inputs!$B$3&gt;=72</f>
        <v/>
      </c>
      <c r="D3273">
        <f>IF(Skills!C20=1,60+Inputs!$B$25+Inputs!$B$29,IF(Skills!C20=2,90+Inputs!$B$26+Inputs!$B$29,IF(Skills!C20=3,120+Inputs!$B$27+Inputs!$B$29,MAX(0,(Inputs!$B$3-100)*3)+Inputs!$B$28+Inputs!$B$29)))</f>
        <v/>
      </c>
      <c r="E3273">
        <f>INDEX(FactorTable!$B$2:$Y$301, MATCH(ROUND(MIN(300,MAX(1,D3273)),0), FactorTable!$A$2:$A$301,0), Skills!M20+1)</f>
        <v/>
      </c>
      <c r="F3273">
        <f>IF(Skills!N20=TRUE,(Skills!L20/10)*(E3273/1000),Skills!L20/10)+Skills!O20</f>
        <v/>
      </c>
      <c r="G3273">
        <f>Skills!G20*IF(Skills!H20&gt;0,INT(IF(Inputs!$B$38="pvp",MIN(Skills!I20,15),Skills!I20)/Skills!H20+0.000000001),1)</f>
        <v/>
      </c>
      <c r="H3273">
        <f>1-(1-Skills!J20/100)^Skills!K20</f>
        <v/>
      </c>
      <c r="I3273" t="inlineStr">
        <is>
          <t>1</t>
        </is>
      </c>
      <c r="J3273" t="inlineStr"/>
      <c r="K3273" t="inlineStr"/>
      <c r="L3273" t="inlineStr"/>
      <c r="M3273" t="inlineStr"/>
      <c r="N3273" t="inlineStr"/>
      <c r="O3273">
        <f>(1-Summary!$B$11)*T3273+Summary!$B$11*V3273</f>
        <v/>
      </c>
      <c r="P3273">
        <f>IF(B3298=0,0,O3273/B3298)</f>
        <v/>
      </c>
      <c r="Q3273" t="n">
        <v>0</v>
      </c>
      <c r="R3273" t="n">
        <v>0</v>
      </c>
      <c r="S3273">
        <f>IFERROR(O3273/N3273,0)</f>
        <v/>
      </c>
      <c r="T3273" t="n">
        <v>0</v>
      </c>
      <c r="V3273" t="n">
        <v>0</v>
      </c>
    </row>
    <row r="3274">
      <c r="A3274">
        <f>Skills!A21</f>
        <v/>
      </c>
      <c r="B3274">
        <f>Skills!B21</f>
        <v/>
      </c>
      <c r="C3274">
        <f>TRUE</f>
        <v/>
      </c>
      <c r="D3274">
        <f>IF(Skills!C21=1,60+Inputs!$B$25+Inputs!$B$29,IF(Skills!C21=2,90+Inputs!$B$26+Inputs!$B$29,IF(Skills!C21=3,120+Inputs!$B$27+Inputs!$B$29,MAX(0,(Inputs!$B$3-100)*3)+Inputs!$B$28+Inputs!$B$29)))</f>
        <v/>
      </c>
      <c r="E3274">
        <f>INDEX(FactorTable!$B$2:$Y$301, MATCH(ROUND(MIN(300,MAX(1,D3274)),0), FactorTable!$A$2:$A$301,0), Skills!M21+1)</f>
        <v/>
      </c>
      <c r="F3274">
        <f>IF(Skills!N21=TRUE,(Skills!L21/10)*(E3274/1000),Skills!L21/10)+Skills!O21</f>
        <v/>
      </c>
      <c r="G3274">
        <f>Skills!G21*IF(Skills!H21&gt;0,INT(IF(Inputs!$B$38="pvp",MIN(Skills!I21,15),Skills!I21)/Skills!H21+0.000000001),1)</f>
        <v/>
      </c>
      <c r="H3274">
        <f>1-(1-Skills!J21/100)^Skills!K21</f>
        <v/>
      </c>
      <c r="I3274" t="inlineStr">
        <is>
          <t>1</t>
        </is>
      </c>
      <c r="J3274" t="inlineStr"/>
      <c r="K3274" t="inlineStr"/>
      <c r="L3274" t="inlineStr"/>
      <c r="M3274" t="inlineStr"/>
      <c r="N3274" t="inlineStr"/>
      <c r="O3274">
        <f>(1-Summary!$B$11)*T3274+Summary!$B$11*V3274</f>
        <v/>
      </c>
      <c r="P3274">
        <f>IF(B3298=0,0,O3274/B3298)</f>
        <v/>
      </c>
      <c r="Q3274">
        <f>IFERROR(1/(IF(Inputs!$B$38="pvp",15,MAX(0.1,Skills!D21-IF(TRUE=TRUE,2.5,0)))*(1-IF(AND(ArtifactsInput!$M$27,Inputs!$B$4="Chapter Hunt"),CHOOSE(ArtifactsInput!$N$27+1,20,24,28,32,36,40),0)/100)),0)</f>
        <v/>
      </c>
      <c r="R3274">
        <f>IF(AND(Inputs!$B$38&lt;&gt;"pvp",Inputs!$B$43&gt;0),IF(Inputs!$B$43&lt;=0,0,(INT(Inputs!$B$43/(IF(Inputs!$B$38="pvp",15,MAX(0.1,Skills!D21-IF(TRUE=TRUE,2.5,0)))*(1-IF(AND(ArtifactsInput!$M$27,Inputs!$B$4="Chapter Hunt"),CHOOSE(ArtifactsInput!$N$27+1,20,24,28,32,36,40),0)/100)))+1)),0)</f>
        <v/>
      </c>
      <c r="S3274">
        <f>IFERROR(O3274/N3274,0)</f>
        <v/>
      </c>
      <c r="T3274" t="n">
        <v>0</v>
      </c>
      <c r="V3274" t="n">
        <v>0</v>
      </c>
    </row>
    <row r="3275">
      <c r="A3275">
        <f>Skills!A22</f>
        <v/>
      </c>
      <c r="B3275">
        <f>Skills!B22</f>
        <v/>
      </c>
      <c r="C3275">
        <f>Inputs!$B$3&gt;=15</f>
        <v/>
      </c>
      <c r="D3275">
        <f>IF(Skills!C22=1,60+Inputs!$B$25+Inputs!$B$29,IF(Skills!C22=2,90+Inputs!$B$26+Inputs!$B$29,IF(Skills!C22=3,120+Inputs!$B$27+Inputs!$B$29,MAX(0,(Inputs!$B$3-100)*3)+Inputs!$B$28+Inputs!$B$29)))</f>
        <v/>
      </c>
      <c r="E3275">
        <f>INDEX(FactorTable!$B$2:$Y$301, MATCH(ROUND(MIN(300,MAX(1,D3275)),0), FactorTable!$A$2:$A$301,0), Skills!M22+1)</f>
        <v/>
      </c>
      <c r="F3275">
        <f>IF(Skills!N22=TRUE,(Skills!L22/10)*(E3275/1000),Skills!L22/10)+Skills!O22</f>
        <v/>
      </c>
      <c r="G3275">
        <f>Skills!G22*IF(Skills!H22&gt;0,INT(IF(Inputs!$B$38="pvp",MIN(Skills!I22,15),Skills!I22)/Skills!H22+0.000000001),1)</f>
        <v/>
      </c>
      <c r="H3275">
        <f>1-(1-Skills!J22/100)^Skills!K22</f>
        <v/>
      </c>
      <c r="I3275" t="inlineStr">
        <is>
          <t>1</t>
        </is>
      </c>
      <c r="J3275" t="inlineStr"/>
      <c r="K3275" t="inlineStr"/>
      <c r="L3275" t="inlineStr"/>
      <c r="M3275" t="inlineStr"/>
      <c r="N3275" t="inlineStr"/>
      <c r="O3275">
        <f>(1-Summary!$B$11)*T3275+Summary!$B$11*V3275</f>
        <v/>
      </c>
      <c r="P3275">
        <f>IF(B3298=0,0,O3275/B3298)</f>
        <v/>
      </c>
      <c r="Q3275" t="n">
        <v>0</v>
      </c>
      <c r="R3275" t="n">
        <v>0</v>
      </c>
      <c r="S3275">
        <f>IFERROR(O3275/N3275,0)</f>
        <v/>
      </c>
      <c r="T3275" t="n">
        <v>0</v>
      </c>
      <c r="V3275" t="n">
        <v>0</v>
      </c>
    </row>
    <row r="3276">
      <c r="A3276">
        <f>Skills!A23</f>
        <v/>
      </c>
      <c r="B3276">
        <f>Skills!B23</f>
        <v/>
      </c>
      <c r="C3276">
        <f>Inputs!$B$3&gt;=10</f>
        <v/>
      </c>
      <c r="D3276">
        <f>IF(Skills!C23=1,60+Inputs!$B$25+Inputs!$B$29,IF(Skills!C23=2,90+Inputs!$B$26+Inputs!$B$29,IF(Skills!C23=3,120+Inputs!$B$27+Inputs!$B$29,MAX(0,(Inputs!$B$3-100)*3)+Inputs!$B$28+Inputs!$B$29)))</f>
        <v/>
      </c>
      <c r="E3276">
        <f>INDEX(FactorTable!$B$2:$Y$301, MATCH(ROUND(MIN(300,MAX(1,D3276)),0), FactorTable!$A$2:$A$301,0), Skills!M23+1)</f>
        <v/>
      </c>
      <c r="F3276">
        <f>IF(Skills!N23=TRUE,(Skills!L23/10)*(E3276/1000),Skills!L23/10)+Skills!O23</f>
        <v/>
      </c>
      <c r="G3276">
        <f>Skills!G23*IF(Skills!H23&gt;0,INT(IF(Inputs!$B$38="pvp",MIN(Skills!I23,15),Skills!I23)/Skills!H23+0.000000001),1)</f>
        <v/>
      </c>
      <c r="H3276">
        <f>1-(1-Skills!J23/100)^Skills!K23</f>
        <v/>
      </c>
      <c r="I3276" t="inlineStr">
        <is>
          <t>1</t>
        </is>
      </c>
      <c r="J3276" t="inlineStr"/>
      <c r="K3276" t="inlineStr"/>
      <c r="L3276" t="inlineStr"/>
      <c r="M3276" t="inlineStr"/>
      <c r="N3276" t="inlineStr"/>
      <c r="O3276">
        <f>(1-Summary!$B$11)*T3276+Summary!$B$11*V3276</f>
        <v/>
      </c>
      <c r="P3276">
        <f>IF(B3298=0,0,O3276/B3298)</f>
        <v/>
      </c>
      <c r="Q3276" t="n">
        <v>0</v>
      </c>
      <c r="R3276" t="n">
        <v>0</v>
      </c>
      <c r="S3276">
        <f>IFERROR(O3276/N3276,0)</f>
        <v/>
      </c>
      <c r="T3276" t="n">
        <v>0</v>
      </c>
      <c r="V3276" t="n">
        <v>0</v>
      </c>
    </row>
    <row r="3277">
      <c r="A3277">
        <f>Skills!A24</f>
        <v/>
      </c>
      <c r="B3277">
        <f>Skills!B24</f>
        <v/>
      </c>
      <c r="C3277">
        <f>Inputs!$B$3&gt;=33</f>
        <v/>
      </c>
      <c r="D3277">
        <f>IF(Skills!C24=1,60+Inputs!$B$25+Inputs!$B$29,IF(Skills!C24=2,90+Inputs!$B$26+Inputs!$B$29,IF(Skills!C24=3,120+Inputs!$B$27+Inputs!$B$29,MAX(0,(Inputs!$B$3-100)*3)+Inputs!$B$28+Inputs!$B$29)))</f>
        <v/>
      </c>
      <c r="E3277">
        <f>INDEX(FactorTable!$B$2:$Y$301, MATCH(ROUND(MIN(300,MAX(1,D3277)),0), FactorTable!$A$2:$A$301,0), Skills!M24+1)</f>
        <v/>
      </c>
      <c r="F3277">
        <f>IF(Skills!N24=TRUE,(Skills!L24/10)*(E3277/1000),Skills!L24/10)+Skills!O24</f>
        <v/>
      </c>
      <c r="G3277">
        <f>Skills!G24*IF(Skills!H24&gt;0,INT(IF(Inputs!$B$38="pvp",MIN(Skills!I24,15),Skills!I24)/Skills!H24+0.000000001),1)</f>
        <v/>
      </c>
      <c r="H3277">
        <f>1-(1-Skills!J24/100)^Skills!K24</f>
        <v/>
      </c>
      <c r="I3277" t="inlineStr">
        <is>
          <t>1</t>
        </is>
      </c>
      <c r="J3277" t="inlineStr"/>
      <c r="K3277" t="inlineStr"/>
      <c r="L3277" t="inlineStr"/>
      <c r="M3277" t="inlineStr"/>
      <c r="N3277" t="inlineStr"/>
      <c r="O3277">
        <f>(1-Summary!$B$11)*T3277+Summary!$B$11*V3277</f>
        <v/>
      </c>
      <c r="P3277">
        <f>IF(B3298=0,0,O3277/B3298)</f>
        <v/>
      </c>
      <c r="Q3277" t="n">
        <v>0</v>
      </c>
      <c r="R3277" t="n">
        <v>0</v>
      </c>
      <c r="S3277">
        <f>IFERROR(O3277/N3277,0)</f>
        <v/>
      </c>
      <c r="T3277" t="n">
        <v>0</v>
      </c>
      <c r="V3277" t="n">
        <v>0</v>
      </c>
    </row>
    <row r="3278">
      <c r="A3278">
        <f>Skills!A25</f>
        <v/>
      </c>
      <c r="B3278">
        <f>Skills!B25</f>
        <v/>
      </c>
      <c r="C3278">
        <f>Inputs!$B$3&gt;=38</f>
        <v/>
      </c>
      <c r="D3278">
        <f>IF(Skills!C25=1,60+Inputs!$B$25+Inputs!$B$29,IF(Skills!C25=2,90+Inputs!$B$26+Inputs!$B$29,IF(Skills!C25=3,120+Inputs!$B$27+Inputs!$B$29,MAX(0,(Inputs!$B$3-100)*3)+Inputs!$B$28+Inputs!$B$29)))</f>
        <v/>
      </c>
      <c r="E3278">
        <f>INDEX(FactorTable!$B$2:$Y$301, MATCH(ROUND(MIN(300,MAX(1,D3278)),0), FactorTable!$A$2:$A$301,0), Skills!M25+1)</f>
        <v/>
      </c>
      <c r="F3278">
        <f>IF(Skills!N25=TRUE,(Skills!L25/10)*(E3278/1000),Skills!L25/10)+Skills!O25</f>
        <v/>
      </c>
      <c r="G3278">
        <f>Skills!G25*IF(Skills!H25&gt;0,INT(IF(Inputs!$B$38="pvp",MIN(Skills!I25,15),Skills!I25)/Skills!H25+0.000000001),1)</f>
        <v/>
      </c>
      <c r="H3278">
        <f>1-(1-Skills!J25/100)^Skills!K25</f>
        <v/>
      </c>
      <c r="I3278" t="inlineStr">
        <is>
          <t>1</t>
        </is>
      </c>
      <c r="J3278" t="inlineStr"/>
      <c r="K3278" t="inlineStr"/>
      <c r="L3278" t="inlineStr"/>
      <c r="M3278" t="inlineStr"/>
      <c r="N3278" t="inlineStr"/>
      <c r="O3278">
        <f>(1-Summary!$B$11)*T3278+Summary!$B$11*V3278</f>
        <v/>
      </c>
      <c r="P3278">
        <f>IF(B3298=0,0,O3278/B3298)</f>
        <v/>
      </c>
      <c r="Q3278" t="n">
        <v>0</v>
      </c>
      <c r="R3278" t="n">
        <v>0</v>
      </c>
      <c r="S3278">
        <f>IFERROR(O3278/N3278,0)</f>
        <v/>
      </c>
      <c r="T3278" t="n">
        <v>0</v>
      </c>
      <c r="V3278" t="n">
        <v>0</v>
      </c>
    </row>
    <row r="3279">
      <c r="A3279">
        <f>Skills!A26</f>
        <v/>
      </c>
      <c r="B3279">
        <f>Skills!B26</f>
        <v/>
      </c>
      <c r="C3279">
        <f>Inputs!$B$3&gt;=43</f>
        <v/>
      </c>
      <c r="D3279">
        <f>IF(Skills!C26=1,60+Inputs!$B$25+Inputs!$B$29,IF(Skills!C26=2,90+Inputs!$B$26+Inputs!$B$29,IF(Skills!C26=3,120+Inputs!$B$27+Inputs!$B$29,MAX(0,(Inputs!$B$3-100)*3)+Inputs!$B$28+Inputs!$B$29)))</f>
        <v/>
      </c>
      <c r="E3279">
        <f>INDEX(FactorTable!$B$2:$Y$301, MATCH(ROUND(MIN(300,MAX(1,D3279)),0), FactorTable!$A$2:$A$301,0), Skills!M26+1)</f>
        <v/>
      </c>
      <c r="F3279">
        <f>IF(Skills!N26=TRUE,(Skills!L26/10)*(E3279/1000),Skills!L26/10)+Skills!O26</f>
        <v/>
      </c>
      <c r="G3279">
        <f>Skills!G26*IF(Skills!H26&gt;0,INT(IF(Inputs!$B$38="pvp",MIN(Skills!I26,15),Skills!I26)/Skills!H26+0.000000001),1)</f>
        <v/>
      </c>
      <c r="H3279">
        <f>1-(1-Skills!J26/100)^Skills!K26</f>
        <v/>
      </c>
      <c r="I3279" t="inlineStr">
        <is>
          <t>1</t>
        </is>
      </c>
      <c r="J3279" t="inlineStr"/>
      <c r="K3279" t="inlineStr"/>
      <c r="L3279" t="inlineStr"/>
      <c r="M3279" t="inlineStr"/>
      <c r="N3279" t="inlineStr"/>
      <c r="O3279">
        <f>(1-Summary!$B$11)*T3279+Summary!$B$11*V3279</f>
        <v/>
      </c>
      <c r="P3279">
        <f>IF(B3298=0,0,O3279/B3298)</f>
        <v/>
      </c>
      <c r="Q3279" t="n">
        <v>0</v>
      </c>
      <c r="R3279" t="n">
        <v>0</v>
      </c>
      <c r="S3279">
        <f>IFERROR(O3279/N3279,0)</f>
        <v/>
      </c>
      <c r="T3279" t="n">
        <v>0</v>
      </c>
      <c r="V3279" t="n">
        <v>0</v>
      </c>
    </row>
    <row r="3280">
      <c r="A3280">
        <f>Skills!A27</f>
        <v/>
      </c>
      <c r="B3280">
        <f>Skills!B27</f>
        <v/>
      </c>
      <c r="C3280">
        <f>Inputs!$B$3&gt;=75</f>
        <v/>
      </c>
      <c r="D3280">
        <f>IF(Skills!C27=1,60+Inputs!$B$25+Inputs!$B$29,IF(Skills!C27=2,90+Inputs!$B$26+Inputs!$B$29,IF(Skills!C27=3,120+Inputs!$B$27+Inputs!$B$29,MAX(0,(Inputs!$B$3-100)*3)+Inputs!$B$28+Inputs!$B$29)))</f>
        <v/>
      </c>
      <c r="E3280">
        <f>INDEX(FactorTable!$B$2:$Y$301, MATCH(ROUND(MIN(300,MAX(1,D3280)),0), FactorTable!$A$2:$A$301,0), Skills!M27+1)</f>
        <v/>
      </c>
      <c r="F3280">
        <f>IF(Skills!N27=TRUE,(Skills!L27/10)*(E3280/1000),Skills!L27/10)+Skills!O27</f>
        <v/>
      </c>
      <c r="G3280">
        <f>Skills!G27*IF(Skills!H27&gt;0,INT(IF(Inputs!$B$38="pvp",MIN(Skills!I27,15),Skills!I27)/Skills!H27+0.000000001),1)</f>
        <v/>
      </c>
      <c r="H3280">
        <f>1-(1-Skills!J27/100)^Skills!K27</f>
        <v/>
      </c>
      <c r="I3280" t="inlineStr">
        <is>
          <t>1</t>
        </is>
      </c>
      <c r="J3280" t="inlineStr"/>
      <c r="K3280" t="inlineStr"/>
      <c r="L3280" t="inlineStr"/>
      <c r="M3280" t="inlineStr"/>
      <c r="N3280" t="inlineStr"/>
      <c r="O3280">
        <f>(1-Summary!$B$11)*T3280+Summary!$B$11*V3280</f>
        <v/>
      </c>
      <c r="P3280">
        <f>IF(B3298=0,0,O3280/B3298)</f>
        <v/>
      </c>
      <c r="Q3280" t="n">
        <v>0</v>
      </c>
      <c r="R3280" t="n">
        <v>0</v>
      </c>
      <c r="S3280">
        <f>IFERROR(O3280/N3280,0)</f>
        <v/>
      </c>
      <c r="T3280" t="n">
        <v>0</v>
      </c>
      <c r="V3280" t="n">
        <v>0</v>
      </c>
    </row>
    <row r="3281">
      <c r="A3281">
        <f>Skills!A28</f>
        <v/>
      </c>
      <c r="B3281">
        <f>Skills!B28</f>
        <v/>
      </c>
      <c r="C3281">
        <f>Inputs!$B$3&gt;=125</f>
        <v/>
      </c>
      <c r="D3281">
        <f>IF(Skills!C28=1,60+Inputs!$B$25+Inputs!$B$29,IF(Skills!C28=2,90+Inputs!$B$26+Inputs!$B$29,IF(Skills!C28=3,120+Inputs!$B$27+Inputs!$B$29,MAX(0,(Inputs!$B$3-100)*3)+Inputs!$B$28+Inputs!$B$29)))</f>
        <v/>
      </c>
      <c r="E3281">
        <f>INDEX(FactorTable!$B$2:$Y$301, MATCH(ROUND(MIN(300,MAX(1,D3281)),0), FactorTable!$A$2:$A$301,0), Skills!M28+1)</f>
        <v/>
      </c>
      <c r="F3281">
        <f>IF(Skills!N28=TRUE,(Skills!L28/10)*(E3281/1000),Skills!L28/10)+Skills!O28</f>
        <v/>
      </c>
      <c r="G3281">
        <f>Skills!G28*IF(Skills!H28&gt;0,INT(IF(Inputs!$B$38="pvp",MIN(Skills!I28,15),Skills!I28)/Skills!H28+0.000000001),1)</f>
        <v/>
      </c>
      <c r="H3281">
        <f>1-(1-Skills!J28/100)^Skills!K28</f>
        <v/>
      </c>
      <c r="I3281" t="inlineStr">
        <is>
          <t>1</t>
        </is>
      </c>
      <c r="J3281" t="inlineStr"/>
      <c r="K3281" t="inlineStr"/>
      <c r="L3281" t="inlineStr"/>
      <c r="M3281" t="inlineStr"/>
      <c r="N3281" t="inlineStr"/>
      <c r="O3281">
        <f>(1-Summary!$B$11)*T3281+Summary!$B$11*V3281</f>
        <v/>
      </c>
      <c r="P3281">
        <f>IF(B3298=0,0,O3281/B3298)</f>
        <v/>
      </c>
      <c r="Q3281" t="n">
        <v>0</v>
      </c>
      <c r="R3281" t="n">
        <v>0</v>
      </c>
      <c r="S3281">
        <f>IFERROR(O3281/N3281,0)</f>
        <v/>
      </c>
      <c r="T3281" t="n">
        <v>0</v>
      </c>
      <c r="V3281" t="n">
        <v>0</v>
      </c>
    </row>
    <row r="3282">
      <c r="A3282">
        <f>Skills!A29</f>
        <v/>
      </c>
      <c r="B3282">
        <f>Skills!B29</f>
        <v/>
      </c>
      <c r="C3282">
        <f>Inputs!$B$3&gt;=125</f>
        <v/>
      </c>
      <c r="D3282">
        <f>IF(Skills!C29=1,60+Inputs!$B$25+Inputs!$B$29,IF(Skills!C29=2,90+Inputs!$B$26+Inputs!$B$29,IF(Skills!C29=3,120+Inputs!$B$27+Inputs!$B$29,MAX(0,(Inputs!$B$3-100)*3)+Inputs!$B$28+Inputs!$B$29)))</f>
        <v/>
      </c>
      <c r="E3282">
        <f>INDEX(FactorTable!$B$2:$Y$301, MATCH(ROUND(MIN(300,MAX(1,D3282)),0), FactorTable!$A$2:$A$301,0), Skills!M29+1)</f>
        <v/>
      </c>
      <c r="F3282">
        <f>IF(Skills!N29=TRUE,(Skills!L29/10)*(E3282/1000),Skills!L29/10)+Skills!O29</f>
        <v/>
      </c>
      <c r="G3282">
        <f>Skills!G29*IF(Skills!H29&gt;0,INT(IF(Inputs!$B$38="pvp",MIN(Skills!I29,15),Skills!I29)/Skills!H29+0.000000001),1)</f>
        <v/>
      </c>
      <c r="H3282">
        <f>1-(1-Skills!J29/100)^Skills!K29</f>
        <v/>
      </c>
      <c r="I3282" t="inlineStr">
        <is>
          <t>1</t>
        </is>
      </c>
      <c r="J3282" t="inlineStr"/>
      <c r="K3282" t="inlineStr"/>
      <c r="L3282" t="inlineStr"/>
      <c r="M3282" t="inlineStr"/>
      <c r="N3282" t="inlineStr"/>
      <c r="O3282">
        <f>(1-Summary!$B$11)*T3282+Summary!$B$11*V3282</f>
        <v/>
      </c>
      <c r="P3282">
        <f>IF(B3298=0,0,O3282/B3298)</f>
        <v/>
      </c>
      <c r="Q3282" t="n">
        <v>0</v>
      </c>
      <c r="R3282" t="n">
        <v>0</v>
      </c>
      <c r="S3282">
        <f>IFERROR(O3282/N3282,0)</f>
        <v/>
      </c>
      <c r="T3282" t="n">
        <v>0</v>
      </c>
      <c r="V3282" t="n">
        <v>0</v>
      </c>
    </row>
    <row r="3283">
      <c r="A3283">
        <f>Skills!A30</f>
        <v/>
      </c>
      <c r="B3283">
        <f>Skills!B30</f>
        <v/>
      </c>
      <c r="C3283">
        <f>Inputs!$B$3&gt;=120</f>
        <v/>
      </c>
      <c r="D3283">
        <f>IF(Skills!C30=1,60+Inputs!$B$25+Inputs!$B$29,IF(Skills!C30=2,90+Inputs!$B$26+Inputs!$B$29,IF(Skills!C30=3,120+Inputs!$B$27+Inputs!$B$29,MAX(0,(Inputs!$B$3-100)*3)+Inputs!$B$28+Inputs!$B$29)))</f>
        <v/>
      </c>
      <c r="E3283">
        <f>INDEX(FactorTable!$B$2:$Y$301, MATCH(ROUND(MIN(300,MAX(1,D3283)),0), FactorTable!$A$2:$A$301,0), Skills!M30+1)</f>
        <v/>
      </c>
      <c r="F3283">
        <f>IF(Skills!N30=TRUE,(Skills!L30/10)*(E3283/1000),Skills!L30/10)+Skills!O30</f>
        <v/>
      </c>
      <c r="G3283">
        <f>Skills!G30*IF(Skills!H30&gt;0,INT(IF(Inputs!$B$38="pvp",MIN(Skills!I30,15),Skills!I30)/Skills!H30+0.000000001),1)</f>
        <v/>
      </c>
      <c r="H3283">
        <f>1-(1-Skills!J30/100)^Skills!K30</f>
        <v/>
      </c>
      <c r="I3283" t="inlineStr">
        <is>
          <t>1</t>
        </is>
      </c>
      <c r="J3283" t="inlineStr"/>
      <c r="K3283" t="inlineStr"/>
      <c r="L3283" t="inlineStr"/>
      <c r="M3283" t="inlineStr"/>
      <c r="N3283" t="inlineStr"/>
      <c r="O3283">
        <f>(1-Summary!$B$11)*T3283+Summary!$B$11*V3283</f>
        <v/>
      </c>
      <c r="P3283">
        <f>IF(B3298=0,0,O3283/B3298)</f>
        <v/>
      </c>
      <c r="Q3283" t="n">
        <v>0</v>
      </c>
      <c r="R3283" t="n">
        <v>0</v>
      </c>
      <c r="S3283">
        <f>IFERROR(O3283/N3283,0)</f>
        <v/>
      </c>
      <c r="T3283" t="n">
        <v>0</v>
      </c>
      <c r="V3283" t="n">
        <v>0</v>
      </c>
    </row>
    <row r="3284">
      <c r="A3284">
        <f>Skills!A31</f>
        <v/>
      </c>
      <c r="B3284">
        <f>Skills!B31</f>
        <v/>
      </c>
      <c r="C3284">
        <f>Inputs!$B$3&gt;=120</f>
        <v/>
      </c>
      <c r="D3284">
        <f>IF(Skills!C31=1,60+Inputs!$B$25+Inputs!$B$29,IF(Skills!C31=2,90+Inputs!$B$26+Inputs!$B$29,IF(Skills!C31=3,120+Inputs!$B$27+Inputs!$B$29,MAX(0,(Inputs!$B$3-100)*3)+Inputs!$B$28+Inputs!$B$29)))</f>
        <v/>
      </c>
      <c r="E3284">
        <f>INDEX(FactorTable!$B$2:$Y$301, MATCH(ROUND(MIN(300,MAX(1,D3284)),0), FactorTable!$A$2:$A$301,0), Skills!M31+1)</f>
        <v/>
      </c>
      <c r="F3284">
        <f>IF(Skills!N31=TRUE,(Skills!L31/10)*(E3284/1000),Skills!L31/10)+Skills!O31</f>
        <v/>
      </c>
      <c r="G3284">
        <f>Skills!G31*IF(Skills!H31&gt;0,INT(IF(Inputs!$B$38="pvp",MIN(Skills!I31,15),Skills!I31)/Skills!H31+0.000000001),1)</f>
        <v/>
      </c>
      <c r="H3284">
        <f>1-(1-Skills!J31/100)^Skills!K31</f>
        <v/>
      </c>
      <c r="I3284" t="inlineStr">
        <is>
          <t>1</t>
        </is>
      </c>
      <c r="J3284" t="inlineStr"/>
      <c r="K3284" t="inlineStr"/>
      <c r="L3284" t="inlineStr"/>
      <c r="M3284" t="inlineStr"/>
      <c r="N3284" t="inlineStr"/>
      <c r="O3284">
        <f>(1-Summary!$B$11)*T3284+Summary!$B$11*V3284</f>
        <v/>
      </c>
      <c r="P3284">
        <f>IF(B3298=0,0,O3284/B3298)</f>
        <v/>
      </c>
      <c r="Q3284" t="n">
        <v>0</v>
      </c>
      <c r="R3284" t="n">
        <v>0</v>
      </c>
      <c r="S3284">
        <f>IFERROR(O3284/N3284,0)</f>
        <v/>
      </c>
      <c r="T3284" t="n">
        <v>0</v>
      </c>
      <c r="V3284" t="n">
        <v>0</v>
      </c>
    </row>
    <row r="3285">
      <c r="A3285">
        <f>Skills!A32</f>
        <v/>
      </c>
      <c r="B3285">
        <f>Skills!B32</f>
        <v/>
      </c>
      <c r="C3285">
        <f>Inputs!$B$3&gt;=45</f>
        <v/>
      </c>
      <c r="D3285">
        <f>IF(Skills!C32=1,60+Inputs!$B$25+Inputs!$B$29,IF(Skills!C32=2,90+Inputs!$B$26+Inputs!$B$29,IF(Skills!C32=3,120+Inputs!$B$27+Inputs!$B$29,MAX(0,(Inputs!$B$3-100)*3)+Inputs!$B$28+Inputs!$B$29)))</f>
        <v/>
      </c>
      <c r="E3285">
        <f>INDEX(FactorTable!$B$2:$Y$301, MATCH(ROUND(MIN(300,MAX(1,D3285)),0), FactorTable!$A$2:$A$301,0), Skills!M32+1)</f>
        <v/>
      </c>
      <c r="F3285">
        <f>IF(Skills!N32=TRUE,(Skills!L32/10)*(E3285/1000),Skills!L32/10)+Skills!O32</f>
        <v/>
      </c>
      <c r="G3285">
        <f>Skills!G32*IF(Skills!H32&gt;0,INT(IF(Inputs!$B$38="pvp",MIN(Skills!I32,15),Skills!I32)/Skills!H32+0.000000001),1)</f>
        <v/>
      </c>
      <c r="H3285">
        <f>1-(1-Skills!J32/100)^Skills!K32</f>
        <v/>
      </c>
      <c r="I3285" t="inlineStr">
        <is>
          <t>1</t>
        </is>
      </c>
      <c r="J3285" t="inlineStr"/>
      <c r="K3285" t="inlineStr"/>
      <c r="L3285" t="inlineStr"/>
      <c r="M3285" t="inlineStr"/>
      <c r="N3285" t="inlineStr"/>
      <c r="O3285">
        <f>(1-Summary!$B$11)*T3285+Summary!$B$11*V3285</f>
        <v/>
      </c>
      <c r="P3285">
        <f>IF(B3298=0,0,O3285/B3298)</f>
        <v/>
      </c>
      <c r="Q3285" t="n">
        <v>0</v>
      </c>
      <c r="R3285" t="n">
        <v>0</v>
      </c>
      <c r="S3285">
        <f>IFERROR(O3285/N3285,0)</f>
        <v/>
      </c>
      <c r="T3285" t="n">
        <v>0</v>
      </c>
      <c r="V3285" t="n">
        <v>0</v>
      </c>
    </row>
    <row r="3287">
      <c r="A3287" t="inlineStr">
        <is>
          <t>Attack% Bucket Multiplier</t>
        </is>
      </c>
      <c r="B3287">
        <f>(1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8">
      <c r="A3288" t="inlineStr">
        <is>
          <t>Global Crit Rate Bonus %</t>
        </is>
      </c>
      <c r="B3288" t="n">
        <v>0</v>
      </c>
    </row>
    <row r="3289">
      <c r="A3289" t="inlineStr">
        <is>
          <t>Attack Speed Buff Bonus %</t>
        </is>
      </c>
      <c r="B3289">
        <f>((C3274=TRUE)*F3274*IF(AND(Inputs!$B$38&lt;&gt;"pvp",Inputs!$B$43&gt;0),(((R3274-1)*MIN((Skills!T21*(1+Inputs!$B$34/100)),(1/Q3274))+MIN((Skills!T21*(1+Inputs!$B$34/100)),MAX(0,Inputs!$B$43-((R3274-1)*(1/Q3274)))))/Inputs!$B$43),IF(Inputs!$B$38="pvp",MIN((Skills!T21*(1+Inputs!$B$34/100)),15)/15,MIN(1,(Skills!T21*(1+Inputs!$B$34/100))/(1/Q3274)))))</f>
        <v/>
      </c>
    </row>
    <row r="3290">
      <c r="A3290" t="inlineStr">
        <is>
          <t>Actions Per Second</t>
        </is>
      </c>
      <c r="B3290">
        <f>1+MIN(150,150*(1-(1-(Inputs!$B$11+((C3276=TRUE)*(F3276-Calc!F23))+((C3277=TRUE)*(F3277-Calc!F24)))/150)*(1-B3289/150)))/100</f>
        <v/>
      </c>
    </row>
    <row r="3291">
      <c r="A3291" t="inlineStr">
        <is>
          <t>Skill + Buff Cast Rate</t>
        </is>
      </c>
      <c r="B3291">
        <f>IF(AND(Inputs!$B$38&lt;&gt;"pvp",Inputs!$B$43&gt;0),SUMPRODUCT((Skills!E2:E32=TRUE)*(C3255:C3285=TRUE)*R3255:R3285*Skills!F2:F32)/Inputs!$B$43,SUMPRODUCT((Skills!E2:E32=TRUE)*(C3255:C3285=TRUE)*Q3255:Q3285*Skills!F2:F32))</f>
        <v/>
      </c>
    </row>
    <row r="3292">
      <c r="A3292" t="inlineStr">
        <is>
          <t>Arrow Stream Casts Per Second</t>
        </is>
      </c>
      <c r="B3292">
        <f>MAX(0,B3290-B3291)</f>
        <v/>
      </c>
    </row>
    <row r="3293">
      <c r="A3293" t="inlineStr">
        <is>
          <t>Global Critical Damage Bonus % (Sharp Eyes + Concentration)</t>
        </is>
      </c>
      <c r="B3293">
        <f>(C3271=TRUE)*F3271*IF(AND(Inputs!$B$38&lt;&gt;"pvp",Inputs!$B$43&gt;0),(((R3271-1)*MIN((Skills!T18*(1+Inputs!$B$34/100)),(1/Q3271))+MIN((Skills!T18*(1+Inputs!$B$34/100)),MAX(0,Inputs!$B$43-((R3271-1)*(1/Q3271)))))/Inputs!$B$43),IF(Inputs!$B$38="pvp",MIN((Skills!T18*(1+Inputs!$B$34/100)),15)/15,MIN(1,(Skills!T18*(1+Inputs!$B$34/100))/(1/Q3271))))+(C3272=TRUE)*7*F3272</f>
        <v/>
      </c>
    </row>
    <row r="3294">
      <c r="A3294" t="inlineStr">
        <is>
          <t>Global Final Damage Bonus % (Mortal Blow)</t>
        </is>
      </c>
      <c r="B3294">
        <f>(C3273=TRUE)*F3273</f>
        <v/>
      </c>
    </row>
    <row r="3295">
      <c r="A3295" t="inlineStr">
        <is>
          <t>Buff-Casting Startup Delay (s, fixed-duration only)</t>
        </is>
      </c>
      <c r="B3295">
        <f>IF(AND(Inputs!$B$38&lt;&gt;"pvp",Inputs!$B$43&gt;0),SUMPRODUCT((Skills!T2:T32&gt;0)*(Skills!E2:E32=TRUE)*(C3255:C3285=TRUE))/B3290,0)</f>
        <v/>
      </c>
    </row>
    <row r="3296">
      <c r="A3296" t="inlineStr">
        <is>
          <t>Boss-Only Total DPS (this block's swept value)</t>
        </is>
      </c>
      <c r="B3296">
        <f>SUM(T3255:T3285)</f>
        <v/>
      </c>
    </row>
    <row r="3297">
      <c r="A3297" t="inlineStr">
        <is>
          <t>Normal-Only Total DPS (this block's swept value)</t>
        </is>
      </c>
      <c r="B3297">
        <f>SUM(V3255:V3285)</f>
        <v/>
      </c>
    </row>
    <row r="3298">
      <c r="A3298" s="6" t="inlineStr">
        <is>
          <t>TOTAL DPS</t>
        </is>
      </c>
      <c r="B3298" s="6">
        <f>SUM(O3255:O3285)</f>
        <v/>
      </c>
    </row>
    <row r="3301">
      <c r="A3301" s="6" t="inlineStr">
        <is>
          <t>Stat: CDR = 3.0s</t>
        </is>
      </c>
    </row>
    <row r="3302">
      <c r="A3302" s="5" t="inlineStr">
        <is>
          <t>Key</t>
        </is>
      </c>
      <c r="B3302" s="5" t="inlineStr">
        <is>
          <t>Name</t>
        </is>
      </c>
      <c r="C3302" s="5" t="inlineStr">
        <is>
          <t>Unlocked</t>
        </is>
      </c>
      <c r="D3302" s="5" t="inlineStr">
        <is>
          <t>InputLevel</t>
        </is>
      </c>
      <c r="E3302" s="5" t="inlineStr">
        <is>
          <t>Factor</t>
        </is>
      </c>
      <c r="F3302" s="5" t="inlineStr">
        <is>
          <t>CoefficientPercent</t>
        </is>
      </c>
      <c r="G3302" s="5" t="inlineStr">
        <is>
          <t>EffectiveHits</t>
        </is>
      </c>
      <c r="H3302" s="5" t="inlineStr">
        <is>
          <t>ProcProbability</t>
        </is>
      </c>
      <c r="I3302" s="5" t="inlineStr">
        <is>
          <t>MapleHeroMultiplier</t>
        </is>
      </c>
      <c r="J3302" s="5" t="inlineStr">
        <is>
          <t>BaseDamage</t>
        </is>
      </c>
      <c r="K3302" s="5" t="inlineStr">
        <is>
          <t>BaseHitDamage</t>
        </is>
      </c>
      <c r="L3302" s="5" t="inlineStr">
        <is>
          <t>NonCritAvg</t>
        </is>
      </c>
      <c r="M3302" s="5" t="inlineStr">
        <is>
          <t>CritAvg</t>
        </is>
      </c>
      <c r="N3302" s="5" t="inlineStr">
        <is>
          <t>ExpectedDamage(perHit)</t>
        </is>
      </c>
      <c r="O3302" s="5" t="inlineStr">
        <is>
          <t>DPS</t>
        </is>
      </c>
      <c r="P3302" s="5" t="inlineStr">
        <is>
          <t>% of Total</t>
        </is>
      </c>
      <c r="Q3302" s="5" t="inlineStr">
        <is>
          <t>InvCooldown</t>
        </is>
      </c>
      <c r="R3302" s="5" t="inlineStr">
        <is>
          <t>CastsInFight</t>
        </is>
      </c>
      <c r="S3302" s="5" t="inlineStr">
        <is>
          <t>HitRate(perSec)</t>
        </is>
      </c>
      <c r="U3302" t="inlineStr">
        <is>
          <t>helpers</t>
        </is>
      </c>
    </row>
    <row r="3303">
      <c r="A3303">
        <f>Skills!A2</f>
        <v/>
      </c>
      <c r="B3303">
        <f>Skills!B2</f>
        <v/>
      </c>
      <c r="C3303">
        <f>Inputs!$B$3&gt;=100</f>
        <v/>
      </c>
      <c r="D3303" t="inlineStr"/>
      <c r="E3303" t="inlineStr"/>
      <c r="F3303">
        <f>U3305+Skills!O2</f>
        <v/>
      </c>
      <c r="G3303">
        <f>Skills!G2*IF(Skills!H2&gt;0,INT(IF(Inputs!$B$38="pvp",MIN(Skills!I2,15),Skills!I2)/Skills!H2+0.000000001),1)</f>
        <v/>
      </c>
      <c r="H3303">
        <f>1-(1-Skills!J2/100)^Skills!K2</f>
        <v/>
      </c>
      <c r="I3303" t="inlineStr">
        <is>
          <t>1</t>
        </is>
      </c>
      <c r="J3303">
        <f>((Inputs!$B$6*(1+Inputs!$B$7/100))+(((Inputs!$B$12*(1+Inputs!$B$13/100))-(Inputs!$B$12*(1+Inputs!$B$13/100)))+0.25*(Inputs!$B$14-Inputs!$B$14))*(1+Inputs!$B$7/100))*(F3303/100)</f>
        <v/>
      </c>
      <c r="K3303">
        <f>J3303*(1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3303)</f>
        <v/>
      </c>
      <c r="L3303">
        <f>K3303*(MIN(Inputs!$B$22+((C3327=TRUE)*(F3327-Calc!F26)),(Inputs!$B$23+((C3332=TRUE)*(F3332-Calc!F31))+(IF(ArtifactsInput!$M$15,CHOOSE(ArtifactsInput!$N$15+1,25,30,35,40,45,50)/100*(Inputs!$B$11-Inputs!$B$11),0))))/100+(Inputs!$B$23+((C3332=TRUE)*(F3332-Calc!F31))+(IF(ArtifactsInput!$M$15,CHOOSE(ArtifactsInput!$N$15+1,25,30,35,40,45,50)/100*(Inputs!$B$11-Inputs!$B$11),0)))/100)/2</f>
        <v/>
      </c>
      <c r="M3303">
        <f>L3303*(1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3">
        <f>L3303*(1-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3303*(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3">
        <f>(1-Summary!$B$11)*T3303+Summary!$B$11*V3303</f>
        <v/>
      </c>
      <c r="P3303">
        <f>IF(B3346=0,0,O3303/B3346)</f>
        <v/>
      </c>
      <c r="Q3303" t="n">
        <v>0</v>
      </c>
      <c r="R3303" t="n">
        <v>0</v>
      </c>
      <c r="S3303">
        <f>IFERROR(O3303/N3303,0)</f>
        <v/>
      </c>
      <c r="T3303">
        <f>IF(C3303,(Skills!G2*N3303*B3340)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3">
        <f>MAX(0,(Inputs!$B$3-100)*3)+Inputs!$B$28+Inputs!$B$29</f>
        <v/>
      </c>
      <c r="V3303">
        <f>IF(C3303,(Skills!G2*N3303*B3340)*IF(Inputs!$B$38="pvp",1,(1+(Inputs!$B$21+Skills!Q2+(IF(ArtifactsInput!$M$33,CHOOSE(ArtifactsInput!$N$33+1,30,36,42,48,54,60),0))+(IF(AND(ArtifactsInput!$M$35,Inputs!$B$4&lt;&gt;"Chapter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4">
      <c r="A3304">
        <f>Skills!A3</f>
        <v/>
      </c>
      <c r="B3304">
        <f>Skills!B3</f>
        <v/>
      </c>
      <c r="C3304">
        <f>Inputs!$B$3&gt;=50</f>
        <v/>
      </c>
      <c r="D3304">
        <f>IF(Skills!C3=1,60+Inputs!$B$25+Inputs!$B$29,IF(Skills!C3=2,90+Inputs!$B$26+Inputs!$B$29,IF(Skills!C3=3,120+Inputs!$B$27+Inputs!$B$29,MAX(0,(Inputs!$B$3-100)*3)+Inputs!$B$28+Inputs!$B$29)))</f>
        <v/>
      </c>
      <c r="E3304">
        <f>INDEX(FactorTable!$B$2:$Y$301, MATCH(ROUND(MIN(300,MAX(1,D3304)),0), FactorTable!$A$2:$A$301,0), Skills!M3+1)</f>
        <v/>
      </c>
      <c r="F3304">
        <f>IF(Skills!N3=TRUE,(Skills!L3/10)*(E3304/1000),Skills!L3/10)+Skills!O3</f>
        <v/>
      </c>
      <c r="G3304">
        <f>Skills!G3*IF(Skills!H3&gt;0,INT(IF(Inputs!$B$38="pvp",MIN(Skills!I3,15),Skills!I3)/Skills!H3+0.000000001),1)</f>
        <v/>
      </c>
      <c r="H3304">
        <f>1-(1-Skills!J3/100)^Skills!K3</f>
        <v/>
      </c>
      <c r="I3304" t="inlineStr">
        <is>
          <t>1</t>
        </is>
      </c>
      <c r="J3304">
        <f>((Inputs!$B$6*(1+Inputs!$B$7/100))+(((Inputs!$B$12*(1+Inputs!$B$13/100))-(Inputs!$B$12*(1+Inputs!$B$13/100)))+0.25*(Inputs!$B$14-Inputs!$B$14))*(1+Inputs!$B$7/100))*(F3304/100)</f>
        <v/>
      </c>
      <c r="K3304">
        <f>J3304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3305=TRUE,F3305,0)/100)*(1+(IF(Skills!A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3304)</f>
        <v/>
      </c>
      <c r="L3304">
        <f>K3304*(MIN(Inputs!$B$22+((C3327=TRUE)*(F3327-Calc!F26)),(Inputs!$B$23+((C3332=TRUE)*(F3332-Calc!F31))+(IF(ArtifactsInput!$M$15,CHOOSE(ArtifactsInput!$N$15+1,25,30,35,40,45,50)/100*(Inputs!$B$11-Inputs!$B$11),0))))/100+(Inputs!$B$23+((C3332=TRUE)*(F3332-Calc!F31))+(IF(ArtifactsInput!$M$15,CHOOSE(ArtifactsInput!$N$15+1,25,30,35,40,45,50)/100*(Inputs!$B$11-Inputs!$B$11),0)))/100)/2</f>
        <v/>
      </c>
      <c r="M3304">
        <f>L3304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4">
        <f>L3304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4">
        <f>(1-Summary!$B$11)*T3304+Summary!$B$11*V3304</f>
        <v/>
      </c>
      <c r="P3304">
        <f>IF(B3346=0,0,O3304/B3346)</f>
        <v/>
      </c>
      <c r="Q3304">
        <f>IFERROR(1/(IF(Inputs!$B$38="pvp",15,MAX(0.1,1/B3338-IF(FALSE=TRUE,3.0,0)))*(1-IF(AND(ArtifactsInput!$M$27,Inputs!$B$4="Chapter Hunt"),CHOOSE(ArtifactsInput!$N$27+1,20,24,28,32,36,40),0)/100)),0)</f>
        <v/>
      </c>
      <c r="R3304">
        <f>IF(AND(Inputs!$B$38&lt;&gt;"pvp",Inputs!$B$43&gt;0),IF(MAX(0,Inputs!$B$43-B3343)&lt;=0,0,(INT(MAX(0,Inputs!$B$43-B3343)/(IF(Inputs!$B$38="pvp",15,MAX(0.1,1/B3338-IF(FALSE=TRUE,3.0,0)))*(1-IF(AND(ArtifactsInput!$M$27,Inputs!$B$4="Chapter Hunt"),CHOOSE(ArtifactsInput!$N$27+1,20,24,28,32,36,40),0)/100)))+1)),0)</f>
        <v/>
      </c>
      <c r="S3304">
        <f>IFERROR(O3304/N3304,0)</f>
        <v/>
      </c>
      <c r="T3304">
        <f>IF(C3304,(H3304*N3304*IF(AND(Inputs!$B$38&lt;&gt;"pvp",Inputs!$B$43&gt;0),((Skills!G3*((R3304-1)*IF(Skills!H3&gt;0,INT(Skills!I3/Skills!H3+0.000000001),1)+IF(Skills!H3&gt;0,INT(MIN(Skills!I3,MAX(0,MAX(0,Inputs!$B$43-B3343)-((R3304-1)*(IF(Inputs!$B$38="pvp",15,MAX(0.1,1/B3338-IF(FALSE=TRUE,3.0,0)))*(1-IF(AND(ArtifactsInput!$M$27,Inputs!$B$4="Chapter Hunt"),CHOOSE(ArtifactsInput!$N$27+1,20,24,28,32,36,40),0)/100)))))/Skills!H3+0.000000001),1)))/Inputs!$B$43),G3304*Q3304)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4">
        <f>INDEX(FactorTable!$B$2:$Y$301, MATCH(ROUND(MIN(300,MAX(1,U3303)),0), FactorTable!$A$2:$A$301,0), 22)</f>
        <v/>
      </c>
      <c r="V3304">
        <f>IF(C3304,(H3304*N3304*IF(AND(Inputs!$B$38&lt;&gt;"pvp",Inputs!$B$43&gt;0),((Skills!G3*((R3304-1)*IF(Skills!H3&gt;0,INT(Skills!I3/Skills!H3+0.000000001),1)+IF(Skills!H3&gt;0,INT(MIN(Skills!I3,MAX(0,MAX(0,Inputs!$B$43-B3343)-((R3304-1)*(IF(Inputs!$B$38="pvp",15,MAX(0.1,1/B3338-IF(FALSE=TRUE,3.0,0)))*(1-IF(AND(ArtifactsInput!$M$27,Inputs!$B$4="Chapter Hunt"),CHOOSE(ArtifactsInput!$N$27+1,20,24,28,32,36,40),0)/100)))))/Skills!H3+0.000000001),1)))/Inputs!$B$43),G3304*Q3304))*IF(Inputs!$B$38="pvp",1,(1+(Inputs!$B$21+Skills!Q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5">
      <c r="A3305">
        <f>Skills!A4</f>
        <v/>
      </c>
      <c r="B3305">
        <f>Skills!B4</f>
        <v/>
      </c>
      <c r="C3305">
        <f>Inputs!$B$3&gt;=105</f>
        <v/>
      </c>
      <c r="D3305">
        <f>IF(Skills!C4=1,60+Inputs!$B$25+Inputs!$B$29,IF(Skills!C4=2,90+Inputs!$B$26+Inputs!$B$29,IF(Skills!C4=3,120+Inputs!$B$27+Inputs!$B$29,MAX(0,(Inputs!$B$3-100)*3)+Inputs!$B$28+Inputs!$B$29)))</f>
        <v/>
      </c>
      <c r="E3305">
        <f>INDEX(FactorTable!$B$2:$Y$301, MATCH(ROUND(MIN(300,MAX(1,D3305)),0), FactorTable!$A$2:$A$301,0), Skills!M4+1)</f>
        <v/>
      </c>
      <c r="F3305">
        <f>IF(Skills!N4=TRUE,(Skills!L4/10)*(E3305/1000),Skills!L4/10)+Skills!O4</f>
        <v/>
      </c>
      <c r="G3305" t="inlineStr"/>
      <c r="H3305" t="inlineStr"/>
      <c r="I3305" t="inlineStr">
        <is>
          <t>1</t>
        </is>
      </c>
      <c r="J3305" t="inlineStr"/>
      <c r="K3305" t="inlineStr"/>
      <c r="L3305" t="inlineStr"/>
      <c r="M3305" t="inlineStr"/>
      <c r="N3305" t="inlineStr"/>
      <c r="O3305" t="inlineStr"/>
      <c r="P3305" t="inlineStr"/>
      <c r="Q3305" t="inlineStr"/>
      <c r="R3305" t="inlineStr"/>
      <c r="S3305" t="inlineStr"/>
      <c r="T3305" t="inlineStr"/>
      <c r="U3305">
        <f>290*U3304/1000</f>
        <v/>
      </c>
      <c r="V3305" t="inlineStr"/>
    </row>
    <row r="3306">
      <c r="A3306">
        <f>Skills!A5</f>
        <v/>
      </c>
      <c r="B3306">
        <f>Skills!B5</f>
        <v/>
      </c>
      <c r="C3306">
        <f>Inputs!$B$3&gt;=35</f>
        <v/>
      </c>
      <c r="D3306">
        <f>IF(Skills!C5=1,60+Inputs!$B$25+Inputs!$B$29,IF(Skills!C5=2,90+Inputs!$B$26+Inputs!$B$29,IF(Skills!C5=3,120+Inputs!$B$27+Inputs!$B$29,MAX(0,(Inputs!$B$3-100)*3)+Inputs!$B$28+Inputs!$B$29)))</f>
        <v/>
      </c>
      <c r="E3306">
        <f>INDEX(FactorTable!$B$2:$Y$301, MATCH(ROUND(MIN(300,MAX(1,D3306)),0), FactorTable!$A$2:$A$301,0), Skills!M5+1)</f>
        <v/>
      </c>
      <c r="F3306">
        <f>IF(Skills!N5=TRUE,(Skills!L5/10)*(E3306/1000),Skills!L5/10)+Skills!O5</f>
        <v/>
      </c>
      <c r="G3306">
        <f>Skills!G5*IF(Skills!H5&gt;0,INT(IF(Inputs!$B$38="pvp",MIN(Skills!I5,15),Skills!I5)/Skills!H5+0.000000001),1)</f>
        <v/>
      </c>
      <c r="H3306">
        <f>1-(1-Skills!J5/100)^Skills!K5</f>
        <v/>
      </c>
      <c r="I3306" t="inlineStr">
        <is>
          <t>1</t>
        </is>
      </c>
      <c r="J3306">
        <f>((Inputs!$B$6*(1+Inputs!$B$7/100))+(((Inputs!$B$12*(1+Inputs!$B$13/100))-(Inputs!$B$12*(1+Inputs!$B$13/100)))+0.25*(Inputs!$B$14-Inputs!$B$14))*(1+Inputs!$B$7/100))*(F3306/100)</f>
        <v/>
      </c>
      <c r="K3306">
        <f>J3306*(1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3313=TRUE,F3313,0)/100)*(1+(IF(Skills!A5="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3306)</f>
        <v/>
      </c>
      <c r="L3306">
        <f>K3306*(MIN(Inputs!$B$22+((C3327=TRUE)*(F3327-Calc!F26)),(Inputs!$B$23+((C3332=TRUE)*(F3332-Calc!F31))+(IF(ArtifactsInput!$M$15,CHOOSE(ArtifactsInput!$N$15+1,25,30,35,40,45,50)/100*(Inputs!$B$11-Inputs!$B$11),0))))/100+(Inputs!$B$23+((C3332=TRUE)*(F3332-Calc!F31))+(IF(ArtifactsInput!$M$15,CHOOSE(ArtifactsInput!$N$15+1,25,30,35,40,45,50)/100*(Inputs!$B$11-Inputs!$B$11),0)))/100)/2</f>
        <v/>
      </c>
      <c r="M3306">
        <f>L3306*(1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6">
        <f>L3306*(1-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3306*(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6">
        <f>(1-Summary!$B$11)*T3306+Summary!$B$11*V3306</f>
        <v/>
      </c>
      <c r="P3306">
        <f>IF(B3346=0,0,O3306/B3346)</f>
        <v/>
      </c>
      <c r="Q3306">
        <f>IFERROR(1/(IF(Inputs!$B$38="pvp",15,MAX(0.1,Skills!D5-IF(TRUE=TRUE,3.0,0)))*(1-IF(AND(ArtifactsInput!$M$27,Inputs!$B$4="Chapter Hunt"),CHOOSE(ArtifactsInput!$N$27+1,20,24,28,32,36,40),0)/100)),0)</f>
        <v/>
      </c>
      <c r="R3306">
        <f>IF(AND(Inputs!$B$38&lt;&gt;"pvp",Inputs!$B$43&gt;0),IF(MAX(0,Inputs!$B$43-B3343)&lt;=0,0,(INT(MAX(0,Inputs!$B$43-B3343)/(IF(Inputs!$B$38="pvp",15,MAX(0.1,Skills!D5-IF(TRUE=TRUE,3.0,0)))*(1-IF(AND(ArtifactsInput!$M$27,Inputs!$B$4="Chapter Hunt"),CHOOSE(ArtifactsInput!$N$27+1,20,24,28,32,36,40),0)/100)))+1)),0)</f>
        <v/>
      </c>
      <c r="S3306">
        <f>IFERROR(O3306/N3306,0)</f>
        <v/>
      </c>
      <c r="T3306">
        <f>IF(C3306,(H3306*N3306*IF(AND(Inputs!$B$38&lt;&gt;"pvp",Inputs!$B$43&gt;0),((Skills!G5*((R3306-1)*IF(Skills!H5&gt;0,INT(Skills!I5/Skills!H5+0.000000001),1)+IF(Skills!H5&gt;0,INT(MIN(Skills!I5,MAX(0,MAX(0,Inputs!$B$43-B3343)-((R3306-1)*(IF(Inputs!$B$38="pvp",15,MAX(0.1,Skills!D5-IF(TRUE=TRUE,3.0,0)))*(1-IF(AND(ArtifactsInput!$M$27,Inputs!$B$4="Chapter Hunt"),CHOOSE(ArtifactsInput!$N$27+1,20,24,28,32,36,40),0)/100)))))/Skills!H5+0.000000001),1)))/Inputs!$B$43),G3306*Q3306)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6">
        <f>IF(C3306,(H3306*N3306*IF(AND(Inputs!$B$38&lt;&gt;"pvp",Inputs!$B$43&gt;0),((Skills!G5*((R3306-1)*IF(Skills!H5&gt;0,INT(Skills!I5/Skills!H5+0.000000001),1)+IF(Skills!H5&gt;0,INT(MIN(Skills!I5,MAX(0,MAX(0,Inputs!$B$43-B3343)-((R3306-1)*(IF(Inputs!$B$38="pvp",15,MAX(0.1,Skills!D5-IF(TRUE=TRUE,3.0,0)))*(1-IF(AND(ArtifactsInput!$M$27,Inputs!$B$4="Chapter Hunt"),CHOOSE(ArtifactsInput!$N$27+1,20,24,28,32,36,40),0)/100)))))/Skills!H5+0.000000001),1)))/Inputs!$B$43),G3306*Q3306))*IF(Inputs!$B$38="pvp",1,(1+(Inputs!$B$21+Skills!Q5+(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7">
      <c r="A3307">
        <f>Skills!A6</f>
        <v/>
      </c>
      <c r="B3307">
        <f>Skills!B6</f>
        <v/>
      </c>
      <c r="C3307">
        <f>Inputs!$B$3&gt;=40</f>
        <v/>
      </c>
      <c r="D3307">
        <f>IF(Skills!C6=1,60+Inputs!$B$25+Inputs!$B$29,IF(Skills!C6=2,90+Inputs!$B$26+Inputs!$B$29,IF(Skills!C6=3,120+Inputs!$B$27+Inputs!$B$29,MAX(0,(Inputs!$B$3-100)*3)+Inputs!$B$28+Inputs!$B$29)))</f>
        <v/>
      </c>
      <c r="E3307">
        <f>INDEX(FactorTable!$B$2:$Y$301, MATCH(ROUND(MIN(300,MAX(1,D3307)),0), FactorTable!$A$2:$A$301,0), Skills!M6+1)</f>
        <v/>
      </c>
      <c r="F3307">
        <f>IF(Skills!N6=TRUE,(Skills!L6/10)*(E3307/1000),Skills!L6/10)+Skills!O6</f>
        <v/>
      </c>
      <c r="G3307">
        <f>Skills!G6*IF(Skills!H6&gt;0,INT(IF(Inputs!$B$38="pvp",MIN(Skills!I6,15),Skills!I6)/Skills!H6+0.000000001),1)</f>
        <v/>
      </c>
      <c r="H3307">
        <f>1-(1-Skills!J6/100)^Skills!K6</f>
        <v/>
      </c>
      <c r="I3307" t="inlineStr">
        <is>
          <t>1</t>
        </is>
      </c>
      <c r="J3307">
        <f>((Inputs!$B$6*(1+Inputs!$B$7/100))+(((Inputs!$B$12*(1+Inputs!$B$13/100))-(Inputs!$B$12*(1+Inputs!$B$13/100)))+0.25*(Inputs!$B$14-Inputs!$B$14))*(1+Inputs!$B$7/100))*(F3307/100)</f>
        <v/>
      </c>
      <c r="K3307">
        <f>J3307*(1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3308=TRUE,F3308,0)/100)*(1+(IF(Skills!A6="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3327=TRUE)*(F3327-Calc!F26)),(Inputs!$B$23+((C3332=TRUE)*(F3332-Calc!F31))+(IF(ArtifactsInput!$M$15,CHOOSE(ArtifactsInput!$N$15+1,25,30,35,40,45,50)/100*(Inputs!$B$11-Inputs!$B$11),0))))/100+(Inputs!$B$23+((C3332=TRUE)*(F3332-Calc!F31))+(IF(ArtifactsInput!$M$15,CHOOSE(ArtifactsInput!$N$15+1,25,30,35,40,45,50)/100*(Inputs!$B$11-Inputs!$B$11),0)))/100)/2</f>
        <v/>
      </c>
      <c r="M3307">
        <f>L3307*(1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IF(B3346=0,0,O3307/B3346)</f>
        <v/>
      </c>
      <c r="Q3307">
        <f>IFERROR(1/(IF(Inputs!$B$38="pvp",15,MAX(0.1,1-0.4*MIN(1,(B3338-1)/1.5)-IF(FALSE=TRUE,3.0,0)))*(1-IF(AND(ArtifactsInput!$M$27,Inputs!$B$4="Chapter Hunt"),CHOOSE(ArtifactsInput!$N$27+1,20,24,28,32,36,40),0)/100)),0)</f>
        <v/>
      </c>
      <c r="R3307">
        <f>IF(AND(Inputs!$B$38&lt;&gt;"pvp",Inputs!$B$43&gt;0),IF(MAX(0,Inputs!$B$43-B3343)&lt;=0,0,(INT(MAX(0,Inputs!$B$43-B3343)/(IF(Inputs!$B$38="pvp",15,MAX(0.1,1-0.4*MIN(1,(B3338-1)/1.5)-IF(FALSE=TRUE,3.0,0)))*(1-IF(AND(ArtifactsInput!$M$27,Inputs!$B$4="Chapter Hunt"),CHOOSE(ArtifactsInput!$N$27+1,20,24,28,32,36,40),0)/100)))+1)),0)</f>
        <v/>
      </c>
      <c r="S3307">
        <f>IFERROR(O3307/N3307,0)</f>
        <v/>
      </c>
      <c r="T3307">
        <f>IF(C3307,(H3307*N3307*IF(AND(Inputs!$B$38&lt;&gt;"pvp",Inputs!$B$43&gt;0),((Skills!G6*((R3307-1)*IF(Skills!H6&gt;0,INT(Skills!I6/Skills!H6+0.000000001),1)+IF(Skills!H6&gt;0,INT(MIN(Skills!I6,MAX(0,MAX(0,Inputs!$B$43-B3343)-((R3307-1)*(IF(Inputs!$B$38="pvp",15,MAX(0.1,1-0.4*MIN(1,(B3338-1)/1.5)-IF(FALSE=TRUE,3.0,0)))*(1-IF(AND(ArtifactsInput!$M$27,Inputs!$B$4="Chapter Hunt"),CHOOSE(ArtifactsInput!$N$27+1,20,24,28,32,36,40),0)/100)))))/Skills!H6+0.000000001),1)))/Inputs!$B$43),G3307*Q3307)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7">
        <f>IF(C3307,(H3307*N3307*IF(AND(Inputs!$B$38&lt;&gt;"pvp",Inputs!$B$43&gt;0),((Skills!G6*((R3307-1)*IF(Skills!H6&gt;0,INT(Skills!I6/Skills!H6+0.000000001),1)+IF(Skills!H6&gt;0,INT(MIN(Skills!I6,MAX(0,MAX(0,Inputs!$B$43-B3343)-((R3307-1)*(IF(Inputs!$B$38="pvp",15,MAX(0.1,1-0.4*MIN(1,(B3338-1)/1.5)-IF(FALSE=TRUE,3.0,0)))*(1-IF(AND(ArtifactsInput!$M$27,Inputs!$B$4="Chapter Hunt"),CHOOSE(ArtifactsInput!$N$27+1,20,24,28,32,36,40),0)/100)))))/Skills!H6+0.000000001),1)))/Inputs!$B$43),G3307*Q3307))*IF(Inputs!$B$38="pvp",1,(1+(Inputs!$B$21+Skills!Q6+(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Skills!A7</f>
        <v/>
      </c>
      <c r="B3308">
        <f>Skills!B7</f>
        <v/>
      </c>
      <c r="C3308">
        <f>Inputs!$B$3&gt;=107</f>
        <v/>
      </c>
      <c r="D3308">
        <f>IF(Skills!C7=1,60+Inputs!$B$25+Inputs!$B$29,IF(Skills!C7=2,90+Inputs!$B$26+Inputs!$B$29,IF(Skills!C7=3,120+Inputs!$B$27+Inputs!$B$29,MAX(0,(Inputs!$B$3-100)*3)+Inputs!$B$28+Inputs!$B$29)))</f>
        <v/>
      </c>
      <c r="E3308">
        <f>INDEX(FactorTable!$B$2:$Y$301, MATCH(ROUND(MIN(300,MAX(1,D3308)),0), FactorTable!$A$2:$A$301,0), Skills!M7+1)</f>
        <v/>
      </c>
      <c r="F3308">
        <f>IF(Skills!N7=TRUE,(Skills!L7/10)*(E3308/1000),Skills!L7/10)+Skills!O7</f>
        <v/>
      </c>
      <c r="G3308" t="inlineStr"/>
      <c r="H3308" t="inlineStr"/>
      <c r="I3308" t="inlineStr">
        <is>
          <t>1</t>
        </is>
      </c>
      <c r="J3308" t="inlineStr"/>
      <c r="K3308" t="inlineStr"/>
      <c r="L3308" t="inlineStr"/>
      <c r="M3308" t="inlineStr"/>
      <c r="N3308" t="inlineStr"/>
      <c r="O3308" t="inlineStr"/>
      <c r="P3308" t="inlineStr"/>
      <c r="Q3308" t="inlineStr"/>
      <c r="R3308" t="inlineStr"/>
      <c r="S3308" t="inlineStr"/>
      <c r="T3308" t="inlineStr"/>
      <c r="V3308" t="inlineStr"/>
    </row>
    <row r="3309">
      <c r="A3309">
        <f>Skills!A8</f>
        <v/>
      </c>
      <c r="B3309">
        <f>Skills!B8</f>
        <v/>
      </c>
      <c r="C3309">
        <f>Inputs!$B$3&gt;=130</f>
        <v/>
      </c>
      <c r="D3309">
        <f>IF(Skills!C8=1,60+Inputs!$B$25+Inputs!$B$29,IF(Skills!C8=2,90+Inputs!$B$26+Inputs!$B$29,IF(Skills!C8=3,120+Inputs!$B$27+Inputs!$B$29,MAX(0,(Inputs!$B$3-100)*3)+Inputs!$B$28+Inputs!$B$29)))</f>
        <v/>
      </c>
      <c r="E3309">
        <f>INDEX(FactorTable!$B$2:$Y$301, MATCH(ROUND(MIN(300,MAX(1,D3309)),0), FactorTable!$A$2:$A$301,0), Skills!M8+1)</f>
        <v/>
      </c>
      <c r="F3309">
        <f>IF(Skills!N8=TRUE,(Skills!L8/10)*(E3309/1000),Skills!L8/10)+Skills!O8</f>
        <v/>
      </c>
      <c r="G3309">
        <f>Skills!G8*IF(Skills!H8&gt;0,INT(IF(Inputs!$B$38="pvp",MIN(Skills!I8,15),Skills!I8)/Skills!H8+0.000000001),1)</f>
        <v/>
      </c>
      <c r="H3309">
        <f>1-(1-Skills!J8/100)^Skills!K8</f>
        <v/>
      </c>
      <c r="I3309" t="inlineStr">
        <is>
          <t>1</t>
        </is>
      </c>
      <c r="J3309">
        <f>((Inputs!$B$6*(1+Inputs!$B$7/100))+(((Inputs!$B$12*(1+Inputs!$B$13/100))-(Inputs!$B$12*(1+Inputs!$B$13/100)))+0.25*(Inputs!$B$14-Inputs!$B$14))*(1+Inputs!$B$7/100))*(F3309/100)</f>
        <v/>
      </c>
      <c r="K3309">
        <f>J3309*(1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3309)</f>
        <v/>
      </c>
      <c r="L3309">
        <f>K3309*(MIN(Inputs!$B$22+((C3327=TRUE)*(F3327-Calc!F26)),(Inputs!$B$23+((C3332=TRUE)*(F3332-Calc!F31))+(IF(ArtifactsInput!$M$15,CHOOSE(ArtifactsInput!$N$15+1,25,30,35,40,45,50)/100*(Inputs!$B$11-Inputs!$B$11),0))))/100+(Inputs!$B$23+((C3332=TRUE)*(F3332-Calc!F31))+(IF(ArtifactsInput!$M$15,CHOOSE(ArtifactsInput!$N$15+1,25,30,35,40,45,50)/100*(Inputs!$B$11-Inputs!$B$11),0)))/100)/2</f>
        <v/>
      </c>
      <c r="M3309">
        <f>L3309*(1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9">
        <f>L3309*(1-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3309*(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9">
        <f>(1-Summary!$B$11)*T3309+Summary!$B$11*V3309</f>
        <v/>
      </c>
      <c r="P3309">
        <f>IF(B3346=0,0,O3309/B3346)</f>
        <v/>
      </c>
      <c r="Q3309">
        <f>IFERROR(1/(IF(Inputs!$B$38="pvp",15,MAX(0.1,1-0.4*MIN(1,(B3338-1)/1.5)-IF(FALSE=TRUE,3.0,0)))*(1-IF(AND(ArtifactsInput!$M$27,Inputs!$B$4="Chapter Hunt"),CHOOSE(ArtifactsInput!$N$27+1,20,24,28,32,36,40),0)/100)),0)</f>
        <v/>
      </c>
      <c r="R3309">
        <f>IF(AND(Inputs!$B$38&lt;&gt;"pvp",Inputs!$B$43&gt;0),IF(MAX(0,Inputs!$B$43-B3343)&lt;=0,0,(INT(MAX(0,Inputs!$B$43-B3343)/(IF(Inputs!$B$38="pvp",15,MAX(0.1,1-0.4*MIN(1,(B3338-1)/1.5)-IF(FALSE=TRUE,3.0,0)))*(1-IF(AND(ArtifactsInput!$M$27,Inputs!$B$4="Chapter Hunt"),CHOOSE(ArtifactsInput!$N$27+1,20,24,28,32,36,40),0)/100)))+1)),0)</f>
        <v/>
      </c>
      <c r="S3309">
        <f>IFERROR(O3309/N3309,0)</f>
        <v/>
      </c>
      <c r="T3309">
        <f>IF(C3309,(H3309*N3309*IF(AND(Inputs!$B$38&lt;&gt;"pvp",Inputs!$B$43&gt;0),((Skills!G8*((R3309-1)*IF(Skills!H8&gt;0,INT(Skills!I8/Skills!H8+0.000000001),1)+IF(Skills!H8&gt;0,INT(MIN(Skills!I8,MAX(0,MAX(0,Inputs!$B$43-B3343)-((R3309-1)*(IF(Inputs!$B$38="pvp",15,MAX(0.1,1-0.4*MIN(1,(B3338-1)/1.5)-IF(FALSE=TRUE,3.0,0)))*(1-IF(AND(ArtifactsInput!$M$27,Inputs!$B$4="Chapter Hunt"),CHOOSE(ArtifactsInput!$N$27+1,20,24,28,32,36,40),0)/100)))))/Skills!H8+0.000000001),1)))/Inputs!$B$43),G3309*Q3309)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9">
        <f>IF(C3309,(H3309*N3309*IF(AND(Inputs!$B$38&lt;&gt;"pvp",Inputs!$B$43&gt;0),((Skills!G8*((R3309-1)*IF(Skills!H8&gt;0,INT(Skills!I8/Skills!H8+0.000000001),1)+IF(Skills!H8&gt;0,INT(MIN(Skills!I8,MAX(0,MAX(0,Inputs!$B$43-B3343)-((R3309-1)*(IF(Inputs!$B$38="pvp",15,MAX(0.1,1-0.4*MIN(1,(B3338-1)/1.5)-IF(FALSE=TRUE,3.0,0)))*(1-IF(AND(ArtifactsInput!$M$27,Inputs!$B$4="Chapter Hunt"),CHOOSE(ArtifactsInput!$N$27+1,20,24,28,32,36,40),0)/100)))))/Skills!H8+0.000000001),1)))/Inputs!$B$43),G3309*Q3309))*IF(Inputs!$B$38="pvp",1,(1+(Inputs!$B$21+Skills!Q8+(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0">
      <c r="A3310">
        <f>Skills!A9</f>
        <v/>
      </c>
      <c r="B3310">
        <f>Skills!B9</f>
        <v/>
      </c>
      <c r="C3310">
        <f>Inputs!$B$3&gt;=69</f>
        <v/>
      </c>
      <c r="D3310">
        <f>IF(Skills!C9=1,60+Inputs!$B$25+Inputs!$B$29,IF(Skills!C9=2,90+Inputs!$B$26+Inputs!$B$29,IF(Skills!C9=3,120+Inputs!$B$27+Inputs!$B$29,MAX(0,(Inputs!$B$3-100)*3)+Inputs!$B$28+Inputs!$B$29)))</f>
        <v/>
      </c>
      <c r="E3310">
        <f>INDEX(FactorTable!$B$2:$Y$301, MATCH(ROUND(MIN(300,MAX(1,D3310)),0), FactorTable!$A$2:$A$301,0), Skills!M9+1)</f>
        <v/>
      </c>
      <c r="F3310">
        <f>IF(Skills!N9=TRUE,(Skills!L9/10)*(E3310/1000),Skills!L9/10)+Skills!O9</f>
        <v/>
      </c>
      <c r="G3310">
        <f>Skills!G9*IF(Skills!H9&gt;0,INT(IF(Inputs!$B$38="pvp",MIN(Skills!I9,15),Skills!I9)/Skills!H9+0.000000001),1)</f>
        <v/>
      </c>
      <c r="H3310">
        <f>1-(1-Skills!J9/100)^Skills!K9</f>
        <v/>
      </c>
      <c r="I3310" t="inlineStr">
        <is>
          <t>1</t>
        </is>
      </c>
      <c r="J3310">
        <f>((Inputs!$B$6*(1+Inputs!$B$7/100))+(((Inputs!$B$12*(1+Inputs!$B$13/100))-(Inputs!$B$12*(1+Inputs!$B$13/100)))+0.25*(Inputs!$B$14-Inputs!$B$14))*(1+Inputs!$B$7/100))*(F3310/100)</f>
        <v/>
      </c>
      <c r="K3310">
        <f>J3310*(1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3313=TRUE,F3313,0)/100)*(1+(IF(Skills!A9="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3327=TRUE)*(F3327-Calc!F26)),(Inputs!$B$23+((C3332=TRUE)*(F3332-Calc!F31))+(IF(ArtifactsInput!$M$15,CHOOSE(ArtifactsInput!$N$15+1,25,30,35,40,45,50)/100*(Inputs!$B$11-Inputs!$B$11),0))))/100+(Inputs!$B$23+((C3332=TRUE)*(F3332-Calc!F31))+(IF(ArtifactsInput!$M$15,CHOOSE(ArtifactsInput!$N$15+1,25,30,35,40,45,50)/100*(Inputs!$B$11-Inputs!$B$11),0)))/100)/2</f>
        <v/>
      </c>
      <c r="M3310">
        <f>L3310*(1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IF(B3346=0,0,O3310/B3346)</f>
        <v/>
      </c>
      <c r="Q3310">
        <f>IFERROR(1/(IF(Inputs!$B$38="pvp",15,MAX(0.1,Skills!D9-IF(TRUE=TRUE,3.0,0)))*(1-IF(AND(ArtifactsInput!$M$27,Inputs!$B$4="Chapter Hunt"),CHOOSE(ArtifactsInput!$N$27+1,20,24,28,32,36,40),0)/100)),0)</f>
        <v/>
      </c>
      <c r="R3310">
        <f>IF(AND(Inputs!$B$38&lt;&gt;"pvp",Inputs!$B$43&gt;0),IF(MAX(0,Inputs!$B$43-B3343)&lt;=0,0,(INT(MAX(0,Inputs!$B$43-B3343)/(IF(Inputs!$B$38="pvp",15,MAX(0.1,Skills!D9-IF(TRUE=TRUE,3.0,0)))*(1-IF(AND(ArtifactsInput!$M$27,Inputs!$B$4="Chapter Hunt"),CHOOSE(ArtifactsInput!$N$27+1,20,24,28,32,36,40),0)/100)))+1)),0)</f>
        <v/>
      </c>
      <c r="S3310">
        <f>IFERROR(O3310/N3310,0)</f>
        <v/>
      </c>
      <c r="T3310">
        <f>IF(C3310,(H3310*N3310*IF(AND(Inputs!$B$38&lt;&gt;"pvp",Inputs!$B$43&gt;0),((Skills!G9*((R3310-1)*IF(Skills!H9&gt;0,INT(Skills!I9/Skills!H9+0.000000001),1)+IF(Skills!H9&gt;0,INT(MIN(Skills!I9,MAX(0,MAX(0,Inputs!$B$43-B3343)-((R3310-1)*(IF(Inputs!$B$38="pvp",15,MAX(0.1,Skills!D9-IF(TRUE=TRUE,3.0,0)))*(1-IF(AND(ArtifactsInput!$M$27,Inputs!$B$4="Chapter Hunt"),CHOOSE(ArtifactsInput!$N$27+1,20,24,28,32,36,40),0)/100)))))/Skills!H9+0.000000001),1)))/Inputs!$B$43),G3310*Q3310)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9*((R3310-1)*IF(Skills!H9&gt;0,INT(Skills!I9/Skills!H9+0.000000001),1)+IF(Skills!H9&gt;0,INT(MIN(Skills!I9,MAX(0,MAX(0,Inputs!$B$43-B3343)-((R3310-1)*(IF(Inputs!$B$38="pvp",15,MAX(0.1,Skills!D9-IF(TRUE=TRUE,3.0,0)))*(1-IF(AND(ArtifactsInput!$M$27,Inputs!$B$4="Chapter Hunt"),CHOOSE(ArtifactsInput!$N$27+1,20,24,28,32,36,40),0)/100)))))/Skills!H9+0.000000001),1)))/Inputs!$B$43),G3310*Q3310))*IF(Inputs!$B$38="pvp",1,(1+(Inputs!$B$21+Skills!Q9+(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Skills!A10</f>
        <v/>
      </c>
      <c r="B3311">
        <f>Skills!B10</f>
        <v/>
      </c>
      <c r="C3311">
        <f>Inputs!$B$3&gt;=63</f>
        <v/>
      </c>
      <c r="D3311">
        <f>IF(Skills!C10=1,60+Inputs!$B$25+Inputs!$B$29,IF(Skills!C10=2,90+Inputs!$B$26+Inputs!$B$29,IF(Skills!C10=3,120+Inputs!$B$27+Inputs!$B$29,MAX(0,(Inputs!$B$3-100)*3)+Inputs!$B$28+Inputs!$B$29)))</f>
        <v/>
      </c>
      <c r="E3311">
        <f>INDEX(FactorTable!$B$2:$Y$301, MATCH(ROUND(MIN(300,MAX(1,D3311)),0), FactorTable!$A$2:$A$301,0), Skills!M10+1)</f>
        <v/>
      </c>
      <c r="F3311">
        <f>IF(Skills!N10=TRUE,(Skills!L10/10)*(E3311/1000),Skills!L10/10)+Skills!O10</f>
        <v/>
      </c>
      <c r="G3311">
        <f>Skills!G10*IF(Skills!H10&gt;0,INT(IF(Inputs!$B$38="pvp",MIN(Skills!I10,15),Skills!I10)/Skills!H10+0.000000001),1)</f>
        <v/>
      </c>
      <c r="H3311">
        <f>1-(1-Skills!J10/100)^Skills!K10</f>
        <v/>
      </c>
      <c r="I3311" t="inlineStr">
        <is>
          <t>1</t>
        </is>
      </c>
      <c r="J3311">
        <f>((Inputs!$B$6*(1+Inputs!$B$7/100))+(((Inputs!$B$12*(1+Inputs!$B$13/100))-(Inputs!$B$12*(1+Inputs!$B$13/100)))+0.25*(Inputs!$B$14-Inputs!$B$14))*(1+Inputs!$B$7/100))*(F3311/100)</f>
        <v/>
      </c>
      <c r="K3311">
        <f>J3311*(1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3313=TRUE,F3313,0)/100)*(1+(IF(Skills!A10="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3327=TRUE)*(F3327-Calc!F26)),(Inputs!$B$23+((C3332=TRUE)*(F3332-Calc!F31))+(IF(ArtifactsInput!$M$15,CHOOSE(ArtifactsInput!$N$15+1,25,30,35,40,45,50)/100*(Inputs!$B$11-Inputs!$B$11),0))))/100+(Inputs!$B$23+((C3332=TRUE)*(F3332-Calc!F31))+(IF(ArtifactsInput!$M$15,CHOOSE(ArtifactsInput!$N$15+1,25,30,35,40,45,50)/100*(Inputs!$B$11-Inputs!$B$11),0)))/100)/2</f>
        <v/>
      </c>
      <c r="M3311">
        <f>L3311*(1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IF(B3346=0,0,O3311/B3346)</f>
        <v/>
      </c>
      <c r="Q3311">
        <f>IFERROR(1/(IF(Inputs!$B$38="pvp",15,MAX(0.1,Skills!D10-IF(TRUE=TRUE,3.0,0)))*(1-IF(AND(ArtifactsInput!$M$27,Inputs!$B$4="Chapter Hunt"),CHOOSE(ArtifactsInput!$N$27+1,20,24,28,32,36,40),0)/100)),0)</f>
        <v/>
      </c>
      <c r="R3311">
        <f>IF(AND(Inputs!$B$38&lt;&gt;"pvp",Inputs!$B$43&gt;0),IF(MAX(0,Inputs!$B$43-B3343)&lt;=0,0,(INT(MAX(0,Inputs!$B$43-B3343)/(IF(Inputs!$B$38="pvp",15,MAX(0.1,Skills!D10-IF(TRUE=TRUE,3.0,0)))*(1-IF(AND(ArtifactsInput!$M$27,Inputs!$B$4="Chapter Hunt"),CHOOSE(ArtifactsInput!$N$27+1,20,24,28,32,36,40),0)/100)))+1)),0)</f>
        <v/>
      </c>
      <c r="S3311">
        <f>IFERROR(O3311/N3311,0)</f>
        <v/>
      </c>
      <c r="T3311">
        <f>IF(C3311,(H3311*N3311*IF(AND(Inputs!$B$38&lt;&gt;"pvp",Inputs!$B$43&gt;0),((Skills!G10*((R3311-1)*IF(Skills!H10&gt;0,INT(Skills!I10/Skills!H10+0.000000001),1)+IF(Skills!H10&gt;0,INT(MIN(Skills!I10,MAX(0,MAX(0,Inputs!$B$43-B3343)-((R3311-1)*(IF(Inputs!$B$38="pvp",15,MAX(0.1,Skills!D10-IF(TRUE=TRUE,3.0,0)))*(1-IF(AND(ArtifactsInput!$M$27,Inputs!$B$4="Chapter Hunt"),CHOOSE(ArtifactsInput!$N$27+1,20,24,28,32,36,40),0)/100)))))/Skills!H10+0.000000001),1)))/Inputs!$B$43),G3311*Q3311)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10*((R3311-1)*IF(Skills!H10&gt;0,INT(Skills!I10/Skills!H10+0.000000001),1)+IF(Skills!H10&gt;0,INT(MIN(Skills!I10,MAX(0,MAX(0,Inputs!$B$43-B3343)-((R3311-1)*(IF(Inputs!$B$38="pvp",15,MAX(0.1,Skills!D10-IF(TRUE=TRUE,3.0,0)))*(1-IF(AND(ArtifactsInput!$M$27,Inputs!$B$4="Chapter Hunt"),CHOOSE(ArtifactsInput!$N$27+1,20,24,28,32,36,40),0)/100)))))/Skills!H10+0.000000001),1)))/Inputs!$B$43),G3311*Q3311))*IF(Inputs!$B$38="pvp",1,(1+(Inputs!$B$21+Skills!Q10+(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Skills!A11</f>
        <v/>
      </c>
      <c r="B3312">
        <f>Skills!B11</f>
        <v/>
      </c>
      <c r="C3312">
        <f>Inputs!$B$3&gt;=103</f>
        <v/>
      </c>
      <c r="D3312">
        <f>IF(Skills!C11=1,60+Inputs!$B$25+Inputs!$B$29,IF(Skills!C11=2,90+Inputs!$B$26+Inputs!$B$29,IF(Skills!C11=3,120+Inputs!$B$27+Inputs!$B$29,MAX(0,(Inputs!$B$3-100)*3)+Inputs!$B$28+Inputs!$B$29)))</f>
        <v/>
      </c>
      <c r="E3312">
        <f>INDEX(FactorTable!$B$2:$Y$301, MATCH(ROUND(MIN(300,MAX(1,D3312)),0), FactorTable!$A$2:$A$301,0), Skills!M11+1)</f>
        <v/>
      </c>
      <c r="F3312">
        <f>IF(Skills!N11=TRUE,(Skills!L11/10)*(E3312/1000),Skills!L11/10)+Skills!O11</f>
        <v/>
      </c>
      <c r="G3312">
        <f>Skills!G11*IF(Skills!H11&gt;0,INT(IF(Inputs!$B$38="pvp",MIN(Skills!I11,15),Skills!I11)/Skills!H11+0.000000001),1)</f>
        <v/>
      </c>
      <c r="H3312">
        <f>1-(1-Skills!J11/100)^Skills!K11</f>
        <v/>
      </c>
      <c r="I3312" t="inlineStr">
        <is>
          <t>1</t>
        </is>
      </c>
      <c r="J3312">
        <f>((Inputs!$B$6*(1+Inputs!$B$7/100))+(((Inputs!$B$12*(1+Inputs!$B$13/100))-(Inputs!$B$12*(1+Inputs!$B$13/100)))+0.25*(Inputs!$B$14-Inputs!$B$14))*(1+Inputs!$B$7/100))*(F3312/100)</f>
        <v/>
      </c>
      <c r="K3312">
        <f>J3312*(1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3312)</f>
        <v/>
      </c>
      <c r="L3312">
        <f>K3312*(MIN(Inputs!$B$22+((C3327=TRUE)*(F3327-Calc!F26)),(Inputs!$B$23+((C3332=TRUE)*(F3332-Calc!F31))+(IF(ArtifactsInput!$M$15,CHOOSE(ArtifactsInput!$N$15+1,25,30,35,40,45,50)/100*(Inputs!$B$11-Inputs!$B$11),0))))/100+(Inputs!$B$23+((C3332=TRUE)*(F3332-Calc!F31))+(IF(ArtifactsInput!$M$15,CHOOSE(ArtifactsInput!$N$15+1,25,30,35,40,45,50)/100*(Inputs!$B$11-Inputs!$B$11),0)))/100)/2</f>
        <v/>
      </c>
      <c r="M3312">
        <f>L3312*(1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2">
        <f>L3312*(1-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3312*(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2">
        <f>(1-Summary!$B$11)*T3312+Summary!$B$11*V3312</f>
        <v/>
      </c>
      <c r="P3312">
        <f>IF(B3346=0,0,O3312/B3346)</f>
        <v/>
      </c>
      <c r="Q3312">
        <f>IFERROR(1/(IF(Inputs!$B$38="pvp",15,MAX(0.1,Skills!D11-IF(TRUE=TRUE,3.0,0)))*(1-IF(AND(ArtifactsInput!$M$27,Inputs!$B$4="Chapter Hunt"),CHOOSE(ArtifactsInput!$N$27+1,20,24,28,32,36,40),0)/100)),0)</f>
        <v/>
      </c>
      <c r="R3312">
        <f>IF(AND(Inputs!$B$38&lt;&gt;"pvp",Inputs!$B$43&gt;0),IF(MAX(0,Inputs!$B$43-B3343)&lt;=0,0,(INT(MAX(0,Inputs!$B$43-B3343)/(IF(Inputs!$B$38="pvp",15,MAX(0.1,Skills!D11-IF(TRUE=TRUE,3.0,0)))*(1-IF(AND(ArtifactsInput!$M$27,Inputs!$B$4="Chapter Hunt"),CHOOSE(ArtifactsInput!$N$27+1,20,24,28,32,36,40),0)/100)))+1)),0)</f>
        <v/>
      </c>
      <c r="S3312">
        <f>IFERROR(O3312/N3312,0)</f>
        <v/>
      </c>
      <c r="T3312">
        <f>IF(C3312,(H3312*N3312*IF(AND(Inputs!$B$38&lt;&gt;"pvp",Inputs!$B$43&gt;0),((Skills!G11*((R3312-1)*IF(Skills!H11&gt;0,INT(Skills!I11/Skills!H11+0.000000001),1)+IF(Skills!H11&gt;0,INT(MIN(Skills!I11,MAX(0,MAX(0,Inputs!$B$43-B3343)-((R3312-1)*(IF(Inputs!$B$38="pvp",15,MAX(0.1,Skills!D11-IF(TRUE=TRUE,3.0,0)))*(1-IF(AND(ArtifactsInput!$M$27,Inputs!$B$4="Chapter Hunt"),CHOOSE(ArtifactsInput!$N$27+1,20,24,28,32,36,40),0)/100)))))/Skills!H11+0.000000001),1)))/Inputs!$B$43),G3312*Q3312)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2">
        <f>IF(C3312,(H3312*N3312*IF(AND(Inputs!$B$38&lt;&gt;"pvp",Inputs!$B$43&gt;0),((Skills!G11*((R3312-1)*IF(Skills!H11&gt;0,INT(Skills!I11/Skills!H11+0.000000001),1)+IF(Skills!H11&gt;0,INT(MIN(Skills!I11,MAX(0,MAX(0,Inputs!$B$43-B3343)-((R3312-1)*(IF(Inputs!$B$38="pvp",15,MAX(0.1,Skills!D11-IF(TRUE=TRUE,3.0,0)))*(1-IF(AND(ArtifactsInput!$M$27,Inputs!$B$4="Chapter Hunt"),CHOOSE(ArtifactsInput!$N$27+1,20,24,28,32,36,40),0)/100)))))/Skills!H11+0.000000001),1)))/Inputs!$B$43),G3312*Q3312))*IF(Inputs!$B$38="pvp",1,(1+(Inputs!$B$21+Skills!Q11+(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3">
      <c r="A3313">
        <f>Skills!A12</f>
        <v/>
      </c>
      <c r="B3313">
        <f>Skills!B12</f>
        <v/>
      </c>
      <c r="C3313">
        <f>Inputs!$B$3&gt;=100</f>
        <v/>
      </c>
      <c r="D3313">
        <f>IF(Skills!C12=1,60+Inputs!$B$25+Inputs!$B$29,IF(Skills!C12=2,90+Inputs!$B$26+Inputs!$B$29,IF(Skills!C12=3,120+Inputs!$B$27+Inputs!$B$29,MAX(0,(Inputs!$B$3-100)*3)+Inputs!$B$28+Inputs!$B$29)))</f>
        <v/>
      </c>
      <c r="E3313">
        <f>INDEX(FactorTable!$B$2:$Y$301, MATCH(ROUND(MIN(300,MAX(1,D3313)),0), FactorTable!$A$2:$A$301,0), Skills!M12+1)</f>
        <v/>
      </c>
      <c r="F3313">
        <f>IF(Skills!N12=TRUE,(Skills!L12/10)*(E3313/1000),Skills!L12/10)+Skills!O12</f>
        <v/>
      </c>
      <c r="G3313" t="inlineStr"/>
      <c r="H3313" t="inlineStr"/>
      <c r="I3313" t="inlineStr">
        <is>
          <t>1</t>
        </is>
      </c>
      <c r="J3313" t="inlineStr"/>
      <c r="K3313" t="inlineStr"/>
      <c r="L3313" t="inlineStr"/>
      <c r="M3313" t="inlineStr"/>
      <c r="N3313" t="inlineStr"/>
      <c r="O3313" t="inlineStr"/>
      <c r="P3313" t="inlineStr"/>
      <c r="Q3313" t="inlineStr"/>
      <c r="R3313" t="inlineStr"/>
      <c r="S3313" t="inlineStr"/>
      <c r="T3313" t="inlineStr"/>
      <c r="V3313" t="inlineStr"/>
    </row>
    <row r="3314">
      <c r="A3314">
        <f>Skills!A13</f>
        <v/>
      </c>
      <c r="B3314">
        <f>Skills!B13</f>
        <v/>
      </c>
      <c r="C3314">
        <f>Inputs!$B$3&gt;=60</f>
        <v/>
      </c>
      <c r="D3314">
        <f>IF(Skills!C13=1,60+Inputs!$B$25+Inputs!$B$29,IF(Skills!C13=2,90+Inputs!$B$26+Inputs!$B$29,IF(Skills!C13=3,120+Inputs!$B$27+Inputs!$B$29,MAX(0,(Inputs!$B$3-100)*3)+Inputs!$B$28+Inputs!$B$29)))</f>
        <v/>
      </c>
      <c r="E3314">
        <f>INDEX(FactorTable!$B$2:$Y$301, MATCH(ROUND(MIN(300,MAX(1,D3314)),0), FactorTable!$A$2:$A$301,0), Skills!M13+1)</f>
        <v/>
      </c>
      <c r="F3314">
        <f>IF(Skills!N13=TRUE,(Skills!L13/10)*(E3314/1000),Skills!L13/10)+Skills!O13</f>
        <v/>
      </c>
      <c r="G3314">
        <f>Skills!G13*IF(Skills!H13&gt;0,INT(IF(Inputs!$B$38="pvp",MIN(Skills!I13,15),Skills!I13)/Skills!H13+0.000000001),1)</f>
        <v/>
      </c>
      <c r="H3314">
        <f>1-(1-Skills!J13/100)^Skills!K13</f>
        <v/>
      </c>
      <c r="I3314" t="inlineStr">
        <is>
          <t>1</t>
        </is>
      </c>
      <c r="J3314">
        <f>((Inputs!$B$6*(1+Inputs!$B$7/100))+(((Inputs!$B$12*(1+Inputs!$B$13/100))-(Inputs!$B$12*(1+Inputs!$B$13/100)))+0.25*(Inputs!$B$14-Inputs!$B$14))*(1+Inputs!$B$7/100))*(F3314/100)</f>
        <v/>
      </c>
      <c r="K3314">
        <f>J3314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3315=TRUE,F3315,0)/100)*(1+(IF(Skills!A13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3327=TRUE)*(F3327-Calc!F26)),(Inputs!$B$23+((C3332=TRUE)*(F3332-Calc!F31))+(IF(ArtifactsInput!$M$15,CHOOSE(ArtifactsInput!$N$15+1,25,30,35,40,45,50)/100*(Inputs!$B$11-Inputs!$B$11),0))))/100+(Inputs!$B$23+((C3332=TRUE)*(F3332-Calc!F31))+(IF(ArtifactsInput!$M$15,CHOOSE(ArtifactsInput!$N$15+1,25,30,35,40,45,50)/100*(Inputs!$B$11-Inputs!$B$11),0)))/100)/2</f>
        <v/>
      </c>
      <c r="M3314">
        <f>L3314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IF(B3346=0,0,O3314/B3346)</f>
        <v/>
      </c>
      <c r="Q3314">
        <f>IFERROR(1/(IF(Inputs!$B$38="pvp",15,MAX(0.1,IF(Inputs!$B$3&gt;=122,3,5)+1/(((20+30*(B3338-1)*100/150)/100)*B3338)-IF(FALSE=TRUE,3.0,0)))*(1-IF(AND(ArtifactsInput!$M$27,Inputs!$B$4="Chapter Hunt"),CHOOSE(ArtifactsInput!$N$27+1,20,24,28,32,36,40),0)/100)),0)</f>
        <v/>
      </c>
      <c r="R3314">
        <f>IF(AND(Inputs!$B$38&lt;&gt;"pvp",Inputs!$B$43&gt;0),IF(MAX(0,Inputs!$B$43-B3343)&lt;=0,0,(INT(MAX(0,Inputs!$B$43-B3343)/(IF(Inputs!$B$38="pvp",15,MAX(0.1,IF(Inputs!$B$3&gt;=122,3,5)+1/(((20+30*(B3338-1)*100/150)/100)*B3338)-IF(FALSE=TRUE,3.0,0)))*(1-IF(AND(ArtifactsInput!$M$27,Inputs!$B$4="Chapter Hunt"),CHOOSE(ArtifactsInput!$N$27+1,20,24,28,32,36,40),0)/100)))+1)),0)</f>
        <v/>
      </c>
      <c r="S3314">
        <f>IFERROR(O3314/N3314,0)</f>
        <v/>
      </c>
      <c r="T3314">
        <f>IF(C3314,(H3314*N3314*IF(AND(Inputs!$B$38&lt;&gt;"pvp",Inputs!$B$43&gt;0),((Skills!G13*((R3314-1)*IF(Skills!H13&gt;0,INT(Skills!I13/Skills!H13+0.000000001),1)+IF(Skills!H13&gt;0,INT(MIN(Skills!I13,MAX(0,MAX(0,Inputs!$B$43-B3343)-((R3314-1)*(IF(Inputs!$B$38="pvp",15,MAX(0.1,IF(Inputs!$B$3&gt;=122,3,5)+1/(((20+30*(B3338-1)*100/150)/100)*B3338)-IF(FALSE=TRUE,3.0,0)))*(1-IF(AND(ArtifactsInput!$M$27,Inputs!$B$4="Chapter Hunt"),CHOOSE(ArtifactsInput!$N$27+1,20,24,28,32,36,40),0)/100)))))/Skills!H13+0.000000001),1)))/Inputs!$B$43),G3314*Q3314)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13*((R3314-1)*IF(Skills!H13&gt;0,INT(Skills!I13/Skills!H13+0.000000001),1)+IF(Skills!H13&gt;0,INT(MIN(Skills!I13,MAX(0,MAX(0,Inputs!$B$43-B3343)-((R3314-1)*(IF(Inputs!$B$38="pvp",15,MAX(0.1,IF(Inputs!$B$3&gt;=122,3,5)+1/(((20+30*(B3338-1)*100/150)/100)*B3338)-IF(FALSE=TRUE,3.0,0)))*(1-IF(AND(ArtifactsInput!$M$27,Inputs!$B$4="Chapter Hunt"),CHOOSE(ArtifactsInput!$N$27+1,20,24,28,32,36,40),0)/100)))))/Skills!H13+0.000000001),1)))/Inputs!$B$43),G3314*Q3314))*IF(Inputs!$B$38="pvp",1,(1+(Inputs!$B$21+Skills!Q13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Skills!A14</f>
        <v/>
      </c>
      <c r="B3315">
        <f>Skills!B14</f>
        <v/>
      </c>
      <c r="C3315">
        <f>Inputs!$B$3&gt;=110</f>
        <v/>
      </c>
      <c r="D3315">
        <f>IF(Skills!C14=1,60+Inputs!$B$25+Inputs!$B$29,IF(Skills!C14=2,90+Inputs!$B$26+Inputs!$B$29,IF(Skills!C14=3,120+Inputs!$B$27+Inputs!$B$29,MAX(0,(Inputs!$B$3-100)*3)+Inputs!$B$28+Inputs!$B$29)))</f>
        <v/>
      </c>
      <c r="E3315">
        <f>INDEX(FactorTable!$B$2:$Y$301, MATCH(ROUND(MIN(300,MAX(1,D3315)),0), FactorTable!$A$2:$A$301,0), Skills!M14+1)</f>
        <v/>
      </c>
      <c r="F3315">
        <f>IF(Skills!N14=TRUE,(Skills!L14/10)*(E3315/1000),Skills!L14/10)+Skills!O14</f>
        <v/>
      </c>
      <c r="G3315" t="inlineStr"/>
      <c r="H3315" t="inlineStr"/>
      <c r="I3315" t="inlineStr">
        <is>
          <t>1</t>
        </is>
      </c>
      <c r="J3315" t="inlineStr"/>
      <c r="K3315" t="inlineStr"/>
      <c r="L3315" t="inlineStr"/>
      <c r="M3315" t="inlineStr"/>
      <c r="N3315" t="inlineStr"/>
      <c r="O3315" t="inlineStr"/>
      <c r="P3315" t="inlineStr"/>
      <c r="Q3315" t="inlineStr"/>
      <c r="R3315" t="inlineStr"/>
      <c r="S3315" t="inlineStr"/>
      <c r="T3315" t="inlineStr"/>
      <c r="V3315" t="inlineStr"/>
    </row>
    <row r="3316">
      <c r="A3316">
        <f>Skills!A15</f>
        <v/>
      </c>
      <c r="B3316">
        <f>Skills!B15</f>
        <v/>
      </c>
      <c r="C3316">
        <f>Inputs!$B$3&gt;=74</f>
        <v/>
      </c>
      <c r="D3316">
        <f>IF(Skills!C15=1,60+Inputs!$B$25+Inputs!$B$29,IF(Skills!C15=2,90+Inputs!$B$26+Inputs!$B$29,IF(Skills!C15=3,120+Inputs!$B$27+Inputs!$B$29,MAX(0,(Inputs!$B$3-100)*3)+Inputs!$B$28+Inputs!$B$29)))</f>
        <v/>
      </c>
      <c r="E3316">
        <f>INDEX(FactorTable!$B$2:$Y$301, MATCH(ROUND(MIN(300,MAX(1,D3316)),0), FactorTable!$A$2:$A$301,0), Skills!M15+1)</f>
        <v/>
      </c>
      <c r="F3316">
        <f>IF(Skills!N15=TRUE,(Skills!L15/10)*(E3316/1000),Skills!L15/10)+Skills!O15</f>
        <v/>
      </c>
      <c r="G3316">
        <f>Skills!G15*IF(Skills!H15&gt;0,INT(IF(Inputs!$B$38="pvp",MIN(Skills!I15,15),Skills!I15)/Skills!H15+0.000000001),1)</f>
        <v/>
      </c>
      <c r="H3316">
        <f>1-(1-Skills!J15/100)^Skills!K15</f>
        <v/>
      </c>
      <c r="I3316" t="inlineStr">
        <is>
          <t>1</t>
        </is>
      </c>
      <c r="J3316" t="inlineStr"/>
      <c r="K3316" t="inlineStr"/>
      <c r="L3316" t="inlineStr"/>
      <c r="M3316" t="inlineStr"/>
      <c r="N3316" t="inlineStr"/>
      <c r="O3316">
        <f>(1-Summary!$B$11)*T3316+Summary!$B$11*V3316</f>
        <v/>
      </c>
      <c r="P3316">
        <f>IF(B3346=0,0,O3316/B3346)</f>
        <v/>
      </c>
      <c r="Q3316" t="n">
        <v>0</v>
      </c>
      <c r="R3316" t="n">
        <v>0</v>
      </c>
      <c r="S3316">
        <f>IFERROR(O3316/N3316,0)</f>
        <v/>
      </c>
      <c r="T3316" t="n">
        <v>0</v>
      </c>
      <c r="V3316" t="n">
        <v>0</v>
      </c>
    </row>
    <row r="3317">
      <c r="A3317">
        <f>Skills!A16</f>
        <v/>
      </c>
      <c r="B3317">
        <f>Skills!B16</f>
        <v/>
      </c>
      <c r="C3317">
        <f>Inputs!$B$3&gt;=74</f>
        <v/>
      </c>
      <c r="D3317">
        <f>IF(Skills!C16=1,60+Inputs!$B$25+Inputs!$B$29,IF(Skills!C16=2,90+Inputs!$B$26+Inputs!$B$29,IF(Skills!C16=3,120+Inputs!$B$27+Inputs!$B$29,MAX(0,(Inputs!$B$3-100)*3)+Inputs!$B$28+Inputs!$B$29)))</f>
        <v/>
      </c>
      <c r="E3317">
        <f>INDEX(FactorTable!$B$2:$Y$301, MATCH(ROUND(MIN(300,MAX(1,D3317)),0), FactorTable!$A$2:$A$301,0), Skills!M16+1)</f>
        <v/>
      </c>
      <c r="F3317">
        <f>IF(Skills!N16=TRUE,(Skills!L16/10)*(E3317/1000),Skills!L16/10)+Skills!O16</f>
        <v/>
      </c>
      <c r="G3317">
        <f>Skills!G16*IF(Skills!H16&gt;0,INT(IF(Inputs!$B$38="pvp",MIN(Skills!I16,15),Skills!I16)/Skills!H16+0.000000001),1)</f>
        <v/>
      </c>
      <c r="H3317">
        <f>1-(1-Skills!J16/100)^Skills!K16</f>
        <v/>
      </c>
      <c r="I3317" t="inlineStr">
        <is>
          <t>1</t>
        </is>
      </c>
      <c r="J3317" t="inlineStr"/>
      <c r="K3317" t="inlineStr"/>
      <c r="L3317" t="inlineStr"/>
      <c r="M3317" t="inlineStr"/>
      <c r="N3317" t="inlineStr"/>
      <c r="O3317">
        <f>(1-Summary!$B$11)*T3317+Summary!$B$11*V3317</f>
        <v/>
      </c>
      <c r="P3317">
        <f>IF(B3346=0,0,O3317/B3346)</f>
        <v/>
      </c>
      <c r="Q3317" t="n">
        <v>0</v>
      </c>
      <c r="R3317" t="n">
        <v>0</v>
      </c>
      <c r="S3317">
        <f>IFERROR(O3317/N3317,0)</f>
        <v/>
      </c>
      <c r="T3317" t="n">
        <v>0</v>
      </c>
      <c r="V3317" t="n">
        <v>0</v>
      </c>
    </row>
    <row r="3318">
      <c r="A3318">
        <f>Skills!A17</f>
        <v/>
      </c>
      <c r="B3318">
        <f>Skills!B17</f>
        <v/>
      </c>
      <c r="C3318">
        <f>Inputs!$B$3&gt;=117</f>
        <v/>
      </c>
      <c r="D3318">
        <f>IF(Skills!C17=1,60+Inputs!$B$25+Inputs!$B$29,IF(Skills!C17=2,90+Inputs!$B$26+Inputs!$B$29,IF(Skills!C17=3,120+Inputs!$B$27+Inputs!$B$29,MAX(0,(Inputs!$B$3-100)*3)+Inputs!$B$28+Inputs!$B$29)))</f>
        <v/>
      </c>
      <c r="E3318">
        <f>INDEX(FactorTable!$B$2:$Y$301, MATCH(ROUND(MIN(300,MAX(1,D3318)),0), FactorTable!$A$2:$A$301,0), Skills!M17+1)</f>
        <v/>
      </c>
      <c r="F3318">
        <f>IF(Skills!N17=TRUE,(Skills!L17/10)*(E3318/1000),Skills!L17/10)+Skills!O17</f>
        <v/>
      </c>
      <c r="G3318">
        <f>Skills!G17*IF(Skills!H17&gt;0,INT(IF(Inputs!$B$38="pvp",MIN(Skills!I17,15),Skills!I17)/Skills!H17+0.000000001),1)</f>
        <v/>
      </c>
      <c r="H3318">
        <f>1-(1-Skills!J17/100)^Skills!K17</f>
        <v/>
      </c>
      <c r="I3318" t="inlineStr">
        <is>
          <t>1</t>
        </is>
      </c>
      <c r="J3318" t="inlineStr"/>
      <c r="K3318" t="inlineStr"/>
      <c r="L3318" t="inlineStr"/>
      <c r="M3318" t="inlineStr"/>
      <c r="N3318" t="inlineStr"/>
      <c r="O3318">
        <f>(1-Summary!$B$11)*T3318+Summary!$B$11*V3318</f>
        <v/>
      </c>
      <c r="P3318">
        <f>IF(B3346=0,0,O3318/B3346)</f>
        <v/>
      </c>
      <c r="Q3318">
        <f>IFERROR(1/(IF(Inputs!$B$38="pvp",15,MAX(0.1,Skills!D17-IF(TRUE=TRUE,3.0,0)))*(1-IF(AND(ArtifactsInput!$M$27,Inputs!$B$4="Chapter Hunt"),CHOOSE(ArtifactsInput!$N$27+1,20,24,28,32,36,40),0)/100)),0)</f>
        <v/>
      </c>
      <c r="R3318">
        <f>IF(AND(Inputs!$B$38&lt;&gt;"pvp",Inputs!$B$43&gt;0),IF(Inputs!$B$43&lt;=0,0,(INT(Inputs!$B$43/(IF(Inputs!$B$38="pvp",15,MAX(0.1,Skills!D17-IF(TRUE=TRUE,3.0,0)))*(1-IF(AND(ArtifactsInput!$M$27,Inputs!$B$4="Chapter Hunt"),CHOOSE(ArtifactsInput!$N$27+1,20,24,28,32,36,40),0)/100)))+1)),0)</f>
        <v/>
      </c>
      <c r="S3318">
        <f>IFERROR(O3318/N3318,0)</f>
        <v/>
      </c>
      <c r="T3318" t="n">
        <v>0</v>
      </c>
      <c r="V3318" t="n">
        <v>0</v>
      </c>
    </row>
    <row r="3319">
      <c r="A3319">
        <f>Skills!A18</f>
        <v/>
      </c>
      <c r="B3319">
        <f>Skills!B18</f>
        <v/>
      </c>
      <c r="C3319">
        <f>Inputs!$B$3&gt;=115</f>
        <v/>
      </c>
      <c r="D3319">
        <f>IF(Skills!C18=1,60+Inputs!$B$25+Inputs!$B$29,IF(Skills!C18=2,90+Inputs!$B$26+Inputs!$B$29,IF(Skills!C18=3,120+Inputs!$B$27+Inputs!$B$29,MAX(0,(Inputs!$B$3-100)*3)+Inputs!$B$28+Inputs!$B$29)))</f>
        <v/>
      </c>
      <c r="E3319">
        <f>INDEX(FactorTable!$B$2:$Y$301, MATCH(ROUND(MIN(300,MAX(1,D3319)),0), FactorTable!$A$2:$A$301,0), Skills!M18+1)</f>
        <v/>
      </c>
      <c r="F3319">
        <f>IF(Skills!N18=TRUE,(Skills!L18/10)*(E3319/1000),Skills!L18/10)+Skills!O18</f>
        <v/>
      </c>
      <c r="G3319">
        <f>Skills!G18*IF(Skills!H18&gt;0,INT(IF(Inputs!$B$38="pvp",MIN(Skills!I18,15),Skills!I18)/Skills!H18+0.000000001),1)</f>
        <v/>
      </c>
      <c r="H3319">
        <f>1-(1-Skills!J18/100)^Skills!K18</f>
        <v/>
      </c>
      <c r="I3319" t="inlineStr">
        <is>
          <t>1</t>
        </is>
      </c>
      <c r="J3319" t="inlineStr"/>
      <c r="K3319" t="inlineStr"/>
      <c r="L3319" t="inlineStr"/>
      <c r="M3319" t="inlineStr"/>
      <c r="N3319" t="inlineStr"/>
      <c r="O3319">
        <f>(1-Summary!$B$11)*T3319+Summary!$B$11*V3319</f>
        <v/>
      </c>
      <c r="P3319">
        <f>IF(B3346=0,0,O3319/B3346)</f>
        <v/>
      </c>
      <c r="Q3319">
        <f>IFERROR(1/(IF(Inputs!$B$38="pvp",15,MAX(0.1,Skills!D18-IF(TRUE=TRUE,3.0,0)))*(1-IF(AND(ArtifactsInput!$M$27,Inputs!$B$4="Chapter Hunt"),CHOOSE(ArtifactsInput!$N$27+1,20,24,28,32,36,40),0)/100)),0)</f>
        <v/>
      </c>
      <c r="R3319">
        <f>IF(AND(Inputs!$B$38&lt;&gt;"pvp",Inputs!$B$43&gt;0),IF(Inputs!$B$43&lt;=0,0,(INT(Inputs!$B$43/(IF(Inputs!$B$38="pvp",15,MAX(0.1,Skills!D18-IF(TRUE=TRUE,3.0,0)))*(1-IF(AND(ArtifactsInput!$M$27,Inputs!$B$4="Chapter Hunt"),CHOOSE(ArtifactsInput!$N$27+1,20,24,28,32,36,40),0)/100)))+1)),0)</f>
        <v/>
      </c>
      <c r="S3319">
        <f>IFERROR(O3319/N3319,0)</f>
        <v/>
      </c>
      <c r="T3319" t="n">
        <v>0</v>
      </c>
      <c r="V3319" t="n">
        <v>0</v>
      </c>
    </row>
    <row r="3320">
      <c r="A3320">
        <f>Skills!A19</f>
        <v/>
      </c>
      <c r="B3320">
        <f>Skills!B19</f>
        <v/>
      </c>
      <c r="C3320">
        <f>Inputs!$B$3&gt;=66</f>
        <v/>
      </c>
      <c r="D3320">
        <f>IF(Skills!C19=1,60+Inputs!$B$25+Inputs!$B$29,IF(Skills!C19=2,90+Inputs!$B$26+Inputs!$B$29,IF(Skills!C19=3,120+Inputs!$B$27+Inputs!$B$29,MAX(0,(Inputs!$B$3-100)*3)+Inputs!$B$28+Inputs!$B$29)))</f>
        <v/>
      </c>
      <c r="E3320">
        <f>INDEX(FactorTable!$B$2:$Y$301, MATCH(ROUND(MIN(300,MAX(1,D3320)),0), FactorTable!$A$2:$A$301,0), Skills!M19+1)</f>
        <v/>
      </c>
      <c r="F3320">
        <f>IF(Skills!N19=TRUE,(Skills!L19/10)*(E3320/1000),Skills!L19/10)+Skills!O19</f>
        <v/>
      </c>
      <c r="G3320">
        <f>Skills!G19*IF(Skills!H19&gt;0,INT(IF(Inputs!$B$38="pvp",MIN(Skills!I19,15),Skills!I19)/Skills!H19+0.000000001),1)</f>
        <v/>
      </c>
      <c r="H3320">
        <f>1-(1-Skills!J19/100)^Skills!K19</f>
        <v/>
      </c>
      <c r="I3320" t="inlineStr">
        <is>
          <t>1</t>
        </is>
      </c>
      <c r="J3320" t="inlineStr"/>
      <c r="K3320" t="inlineStr"/>
      <c r="L3320" t="inlineStr"/>
      <c r="M3320" t="inlineStr"/>
      <c r="N3320" t="inlineStr"/>
      <c r="O3320">
        <f>(1-Summary!$B$11)*T3320+Summary!$B$11*V3320</f>
        <v/>
      </c>
      <c r="P3320">
        <f>IF(B3346=0,0,O3320/B3346)</f>
        <v/>
      </c>
      <c r="Q3320" t="n">
        <v>0</v>
      </c>
      <c r="R3320" t="n">
        <v>0</v>
      </c>
      <c r="S3320">
        <f>IFERROR(O3320/N3320,0)</f>
        <v/>
      </c>
      <c r="T3320" t="n">
        <v>0</v>
      </c>
      <c r="V3320" t="n">
        <v>0</v>
      </c>
    </row>
    <row r="3321">
      <c r="A3321">
        <f>Skills!A20</f>
        <v/>
      </c>
      <c r="B3321">
        <f>Skills!B20</f>
        <v/>
      </c>
      <c r="C3321">
        <f>Inputs!$B$3&gt;=72</f>
        <v/>
      </c>
      <c r="D3321">
        <f>IF(Skills!C20=1,60+Inputs!$B$25+Inputs!$B$29,IF(Skills!C20=2,90+Inputs!$B$26+Inputs!$B$29,IF(Skills!C20=3,120+Inputs!$B$27+Inputs!$B$29,MAX(0,(Inputs!$B$3-100)*3)+Inputs!$B$28+Inputs!$B$29)))</f>
        <v/>
      </c>
      <c r="E3321">
        <f>INDEX(FactorTable!$B$2:$Y$301, MATCH(ROUND(MIN(300,MAX(1,D3321)),0), FactorTable!$A$2:$A$301,0), Skills!M20+1)</f>
        <v/>
      </c>
      <c r="F3321">
        <f>IF(Skills!N20=TRUE,(Skills!L20/10)*(E3321/1000),Skills!L20/10)+Skills!O20</f>
        <v/>
      </c>
      <c r="G3321">
        <f>Skills!G20*IF(Skills!H20&gt;0,INT(IF(Inputs!$B$38="pvp",MIN(Skills!I20,15),Skills!I20)/Skills!H20+0.000000001),1)</f>
        <v/>
      </c>
      <c r="H3321">
        <f>1-(1-Skills!J20/100)^Skills!K20</f>
        <v/>
      </c>
      <c r="I3321" t="inlineStr">
        <is>
          <t>1</t>
        </is>
      </c>
      <c r="J3321" t="inlineStr"/>
      <c r="K3321" t="inlineStr"/>
      <c r="L3321" t="inlineStr"/>
      <c r="M3321" t="inlineStr"/>
      <c r="N3321" t="inlineStr"/>
      <c r="O3321">
        <f>(1-Summary!$B$11)*T3321+Summary!$B$11*V3321</f>
        <v/>
      </c>
      <c r="P3321">
        <f>IF(B3346=0,0,O3321/B3346)</f>
        <v/>
      </c>
      <c r="Q3321" t="n">
        <v>0</v>
      </c>
      <c r="R3321" t="n">
        <v>0</v>
      </c>
      <c r="S3321">
        <f>IFERROR(O3321/N3321,0)</f>
        <v/>
      </c>
      <c r="T3321" t="n">
        <v>0</v>
      </c>
      <c r="V3321" t="n">
        <v>0</v>
      </c>
    </row>
    <row r="3322">
      <c r="A3322">
        <f>Skills!A21</f>
        <v/>
      </c>
      <c r="B3322">
        <f>Skills!B21</f>
        <v/>
      </c>
      <c r="C3322">
        <f>TRUE</f>
        <v/>
      </c>
      <c r="D3322">
        <f>IF(Skills!C21=1,60+Inputs!$B$25+Inputs!$B$29,IF(Skills!C21=2,90+Inputs!$B$26+Inputs!$B$29,IF(Skills!C21=3,120+Inputs!$B$27+Inputs!$B$29,MAX(0,(Inputs!$B$3-100)*3)+Inputs!$B$28+Inputs!$B$29)))</f>
        <v/>
      </c>
      <c r="E3322">
        <f>INDEX(FactorTable!$B$2:$Y$301, MATCH(ROUND(MIN(300,MAX(1,D3322)),0), FactorTable!$A$2:$A$301,0), Skills!M21+1)</f>
        <v/>
      </c>
      <c r="F3322">
        <f>IF(Skills!N21=TRUE,(Skills!L21/10)*(E3322/1000),Skills!L21/10)+Skills!O21</f>
        <v/>
      </c>
      <c r="G3322">
        <f>Skills!G21*IF(Skills!H21&gt;0,INT(IF(Inputs!$B$38="pvp",MIN(Skills!I21,15),Skills!I21)/Skills!H21+0.000000001),1)</f>
        <v/>
      </c>
      <c r="H3322">
        <f>1-(1-Skills!J21/100)^Skills!K21</f>
        <v/>
      </c>
      <c r="I3322" t="inlineStr">
        <is>
          <t>1</t>
        </is>
      </c>
      <c r="J3322" t="inlineStr"/>
      <c r="K3322" t="inlineStr"/>
      <c r="L3322" t="inlineStr"/>
      <c r="M3322" t="inlineStr"/>
      <c r="N3322" t="inlineStr"/>
      <c r="O3322">
        <f>(1-Summary!$B$11)*T3322+Summary!$B$11*V3322</f>
        <v/>
      </c>
      <c r="P3322">
        <f>IF(B3346=0,0,O3322/B3346)</f>
        <v/>
      </c>
      <c r="Q3322">
        <f>IFERROR(1/(IF(Inputs!$B$38="pvp",15,MAX(0.1,Skills!D21-IF(TRUE=TRUE,3.0,0)))*(1-IF(AND(ArtifactsInput!$M$27,Inputs!$B$4="Chapter Hunt"),CHOOSE(ArtifactsInput!$N$27+1,20,24,28,32,36,40),0)/100)),0)</f>
        <v/>
      </c>
      <c r="R3322">
        <f>IF(AND(Inputs!$B$38&lt;&gt;"pvp",Inputs!$B$43&gt;0),IF(Inputs!$B$43&lt;=0,0,(INT(Inputs!$B$43/(IF(Inputs!$B$38="pvp",15,MAX(0.1,Skills!D21-IF(TRUE=TRUE,3.0,0)))*(1-IF(AND(ArtifactsInput!$M$27,Inputs!$B$4="Chapter Hunt"),CHOOSE(ArtifactsInput!$N$27+1,20,24,28,32,36,40),0)/100)))+1)),0)</f>
        <v/>
      </c>
      <c r="S3322">
        <f>IFERROR(O3322/N3322,0)</f>
        <v/>
      </c>
      <c r="T3322" t="n">
        <v>0</v>
      </c>
      <c r="V3322" t="n">
        <v>0</v>
      </c>
    </row>
    <row r="3323">
      <c r="A3323">
        <f>Skills!A22</f>
        <v/>
      </c>
      <c r="B3323">
        <f>Skills!B22</f>
        <v/>
      </c>
      <c r="C3323">
        <f>Inputs!$B$3&gt;=15</f>
        <v/>
      </c>
      <c r="D3323">
        <f>IF(Skills!C22=1,60+Inputs!$B$25+Inputs!$B$29,IF(Skills!C22=2,90+Inputs!$B$26+Inputs!$B$29,IF(Skills!C22=3,120+Inputs!$B$27+Inputs!$B$29,MAX(0,(Inputs!$B$3-100)*3)+Inputs!$B$28+Inputs!$B$29)))</f>
        <v/>
      </c>
      <c r="E3323">
        <f>INDEX(FactorTable!$B$2:$Y$301, MATCH(ROUND(MIN(300,MAX(1,D3323)),0), FactorTable!$A$2:$A$301,0), Skills!M22+1)</f>
        <v/>
      </c>
      <c r="F3323">
        <f>IF(Skills!N22=TRUE,(Skills!L22/10)*(E3323/1000),Skills!L22/10)+Skills!O22</f>
        <v/>
      </c>
      <c r="G3323">
        <f>Skills!G22*IF(Skills!H22&gt;0,INT(IF(Inputs!$B$38="pvp",MIN(Skills!I22,15),Skills!I22)/Skills!H22+0.000000001),1)</f>
        <v/>
      </c>
      <c r="H3323">
        <f>1-(1-Skills!J22/100)^Skills!K22</f>
        <v/>
      </c>
      <c r="I3323" t="inlineStr">
        <is>
          <t>1</t>
        </is>
      </c>
      <c r="J3323" t="inlineStr"/>
      <c r="K3323" t="inlineStr"/>
      <c r="L3323" t="inlineStr"/>
      <c r="M3323" t="inlineStr"/>
      <c r="N3323" t="inlineStr"/>
      <c r="O3323">
        <f>(1-Summary!$B$11)*T3323+Summary!$B$11*V3323</f>
        <v/>
      </c>
      <c r="P3323">
        <f>IF(B3346=0,0,O3323/B3346)</f>
        <v/>
      </c>
      <c r="Q3323" t="n">
        <v>0</v>
      </c>
      <c r="R3323" t="n">
        <v>0</v>
      </c>
      <c r="S3323">
        <f>IFERROR(O3323/N3323,0)</f>
        <v/>
      </c>
      <c r="T3323" t="n">
        <v>0</v>
      </c>
      <c r="V3323" t="n">
        <v>0</v>
      </c>
    </row>
    <row r="3324">
      <c r="A3324">
        <f>Skills!A23</f>
        <v/>
      </c>
      <c r="B3324">
        <f>Skills!B23</f>
        <v/>
      </c>
      <c r="C3324">
        <f>Inputs!$B$3&gt;=10</f>
        <v/>
      </c>
      <c r="D3324">
        <f>IF(Skills!C23=1,60+Inputs!$B$25+Inputs!$B$29,IF(Skills!C23=2,90+Inputs!$B$26+Inputs!$B$29,IF(Skills!C23=3,120+Inputs!$B$27+Inputs!$B$29,MAX(0,(Inputs!$B$3-100)*3)+Inputs!$B$28+Inputs!$B$29)))</f>
        <v/>
      </c>
      <c r="E3324">
        <f>INDEX(FactorTable!$B$2:$Y$301, MATCH(ROUND(MIN(300,MAX(1,D3324)),0), FactorTable!$A$2:$A$301,0), Skills!M23+1)</f>
        <v/>
      </c>
      <c r="F3324">
        <f>IF(Skills!N23=TRUE,(Skills!L23/10)*(E3324/1000),Skills!L23/10)+Skills!O23</f>
        <v/>
      </c>
      <c r="G3324">
        <f>Skills!G23*IF(Skills!H23&gt;0,INT(IF(Inputs!$B$38="pvp",MIN(Skills!I23,15),Skills!I23)/Skills!H23+0.000000001),1)</f>
        <v/>
      </c>
      <c r="H3324">
        <f>1-(1-Skills!J23/100)^Skills!K23</f>
        <v/>
      </c>
      <c r="I3324" t="inlineStr">
        <is>
          <t>1</t>
        </is>
      </c>
      <c r="J3324" t="inlineStr"/>
      <c r="K3324" t="inlineStr"/>
      <c r="L3324" t="inlineStr"/>
      <c r="M3324" t="inlineStr"/>
      <c r="N3324" t="inlineStr"/>
      <c r="O3324">
        <f>(1-Summary!$B$11)*T3324+Summary!$B$11*V3324</f>
        <v/>
      </c>
      <c r="P3324">
        <f>IF(B3346=0,0,O3324/B3346)</f>
        <v/>
      </c>
      <c r="Q3324" t="n">
        <v>0</v>
      </c>
      <c r="R3324" t="n">
        <v>0</v>
      </c>
      <c r="S3324">
        <f>IFERROR(O3324/N3324,0)</f>
        <v/>
      </c>
      <c r="T3324" t="n">
        <v>0</v>
      </c>
      <c r="V3324" t="n">
        <v>0</v>
      </c>
    </row>
    <row r="3325">
      <c r="A3325">
        <f>Skills!A24</f>
        <v/>
      </c>
      <c r="B3325">
        <f>Skills!B24</f>
        <v/>
      </c>
      <c r="C3325">
        <f>Inputs!$B$3&gt;=33</f>
        <v/>
      </c>
      <c r="D3325">
        <f>IF(Skills!C24=1,60+Inputs!$B$25+Inputs!$B$29,IF(Skills!C24=2,90+Inputs!$B$26+Inputs!$B$29,IF(Skills!C24=3,120+Inputs!$B$27+Inputs!$B$29,MAX(0,(Inputs!$B$3-100)*3)+Inputs!$B$28+Inputs!$B$29)))</f>
        <v/>
      </c>
      <c r="E3325">
        <f>INDEX(FactorTable!$B$2:$Y$301, MATCH(ROUND(MIN(300,MAX(1,D3325)),0), FactorTable!$A$2:$A$301,0), Skills!M24+1)</f>
        <v/>
      </c>
      <c r="F3325">
        <f>IF(Skills!N24=TRUE,(Skills!L24/10)*(E3325/1000),Skills!L24/10)+Skills!O24</f>
        <v/>
      </c>
      <c r="G3325">
        <f>Skills!G24*IF(Skills!H24&gt;0,INT(IF(Inputs!$B$38="pvp",MIN(Skills!I24,15),Skills!I24)/Skills!H24+0.000000001),1)</f>
        <v/>
      </c>
      <c r="H3325">
        <f>1-(1-Skills!J24/100)^Skills!K24</f>
        <v/>
      </c>
      <c r="I3325" t="inlineStr">
        <is>
          <t>1</t>
        </is>
      </c>
      <c r="J3325" t="inlineStr"/>
      <c r="K3325" t="inlineStr"/>
      <c r="L3325" t="inlineStr"/>
      <c r="M3325" t="inlineStr"/>
      <c r="N3325" t="inlineStr"/>
      <c r="O3325">
        <f>(1-Summary!$B$11)*T3325+Summary!$B$11*V3325</f>
        <v/>
      </c>
      <c r="P3325">
        <f>IF(B3346=0,0,O3325/B3346)</f>
        <v/>
      </c>
      <c r="Q3325" t="n">
        <v>0</v>
      </c>
      <c r="R3325" t="n">
        <v>0</v>
      </c>
      <c r="S3325">
        <f>IFERROR(O3325/N3325,0)</f>
        <v/>
      </c>
      <c r="T3325" t="n">
        <v>0</v>
      </c>
      <c r="V3325" t="n">
        <v>0</v>
      </c>
    </row>
    <row r="3326">
      <c r="A3326">
        <f>Skills!A25</f>
        <v/>
      </c>
      <c r="B3326">
        <f>Skills!B25</f>
        <v/>
      </c>
      <c r="C3326">
        <f>Inputs!$B$3&gt;=38</f>
        <v/>
      </c>
      <c r="D3326">
        <f>IF(Skills!C25=1,60+Inputs!$B$25+Inputs!$B$29,IF(Skills!C25=2,90+Inputs!$B$26+Inputs!$B$29,IF(Skills!C25=3,120+Inputs!$B$27+Inputs!$B$29,MAX(0,(Inputs!$B$3-100)*3)+Inputs!$B$28+Inputs!$B$29)))</f>
        <v/>
      </c>
      <c r="E3326">
        <f>INDEX(FactorTable!$B$2:$Y$301, MATCH(ROUND(MIN(300,MAX(1,D3326)),0), FactorTable!$A$2:$A$301,0), Skills!M25+1)</f>
        <v/>
      </c>
      <c r="F3326">
        <f>IF(Skills!N25=TRUE,(Skills!L25/10)*(E3326/1000),Skills!L25/10)+Skills!O25</f>
        <v/>
      </c>
      <c r="G3326">
        <f>Skills!G25*IF(Skills!H25&gt;0,INT(IF(Inputs!$B$38="pvp",MIN(Skills!I25,15),Skills!I25)/Skills!H25+0.000000001),1)</f>
        <v/>
      </c>
      <c r="H3326">
        <f>1-(1-Skills!J25/100)^Skills!K25</f>
        <v/>
      </c>
      <c r="I3326" t="inlineStr">
        <is>
          <t>1</t>
        </is>
      </c>
      <c r="J3326" t="inlineStr"/>
      <c r="K3326" t="inlineStr"/>
      <c r="L3326" t="inlineStr"/>
      <c r="M3326" t="inlineStr"/>
      <c r="N3326" t="inlineStr"/>
      <c r="O3326">
        <f>(1-Summary!$B$11)*T3326+Summary!$B$11*V3326</f>
        <v/>
      </c>
      <c r="P3326">
        <f>IF(B3346=0,0,O3326/B3346)</f>
        <v/>
      </c>
      <c r="Q3326" t="n">
        <v>0</v>
      </c>
      <c r="R3326" t="n">
        <v>0</v>
      </c>
      <c r="S3326">
        <f>IFERROR(O3326/N3326,0)</f>
        <v/>
      </c>
      <c r="T3326" t="n">
        <v>0</v>
      </c>
      <c r="V3326" t="n">
        <v>0</v>
      </c>
    </row>
    <row r="3327">
      <c r="A3327">
        <f>Skills!A26</f>
        <v/>
      </c>
      <c r="B3327">
        <f>Skills!B26</f>
        <v/>
      </c>
      <c r="C3327">
        <f>Inputs!$B$3&gt;=43</f>
        <v/>
      </c>
      <c r="D3327">
        <f>IF(Skills!C26=1,60+Inputs!$B$25+Inputs!$B$29,IF(Skills!C26=2,90+Inputs!$B$26+Inputs!$B$29,IF(Skills!C26=3,120+Inputs!$B$27+Inputs!$B$29,MAX(0,(Inputs!$B$3-100)*3)+Inputs!$B$28+Inputs!$B$29)))</f>
        <v/>
      </c>
      <c r="E3327">
        <f>INDEX(FactorTable!$B$2:$Y$301, MATCH(ROUND(MIN(300,MAX(1,D3327)),0), FactorTable!$A$2:$A$301,0), Skills!M26+1)</f>
        <v/>
      </c>
      <c r="F3327">
        <f>IF(Skills!N26=TRUE,(Skills!L26/10)*(E3327/1000),Skills!L26/10)+Skills!O26</f>
        <v/>
      </c>
      <c r="G3327">
        <f>Skills!G26*IF(Skills!H26&gt;0,INT(IF(Inputs!$B$38="pvp",MIN(Skills!I26,15),Skills!I26)/Skills!H26+0.000000001),1)</f>
        <v/>
      </c>
      <c r="H3327">
        <f>1-(1-Skills!J26/100)^Skills!K26</f>
        <v/>
      </c>
      <c r="I3327" t="inlineStr">
        <is>
          <t>1</t>
        </is>
      </c>
      <c r="J3327" t="inlineStr"/>
      <c r="K3327" t="inlineStr"/>
      <c r="L3327" t="inlineStr"/>
      <c r="M3327" t="inlineStr"/>
      <c r="N3327" t="inlineStr"/>
      <c r="O3327">
        <f>(1-Summary!$B$11)*T3327+Summary!$B$11*V3327</f>
        <v/>
      </c>
      <c r="P3327">
        <f>IF(B3346=0,0,O3327/B3346)</f>
        <v/>
      </c>
      <c r="Q3327" t="n">
        <v>0</v>
      </c>
      <c r="R3327" t="n">
        <v>0</v>
      </c>
      <c r="S3327">
        <f>IFERROR(O3327/N3327,0)</f>
        <v/>
      </c>
      <c r="T3327" t="n">
        <v>0</v>
      </c>
      <c r="V3327" t="n">
        <v>0</v>
      </c>
    </row>
    <row r="3328">
      <c r="A3328">
        <f>Skills!A27</f>
        <v/>
      </c>
      <c r="B3328">
        <f>Skills!B27</f>
        <v/>
      </c>
      <c r="C3328">
        <f>Inputs!$B$3&gt;=75</f>
        <v/>
      </c>
      <c r="D3328">
        <f>IF(Skills!C27=1,60+Inputs!$B$25+Inputs!$B$29,IF(Skills!C27=2,90+Inputs!$B$26+Inputs!$B$29,IF(Skills!C27=3,120+Inputs!$B$27+Inputs!$B$29,MAX(0,(Inputs!$B$3-100)*3)+Inputs!$B$28+Inputs!$B$29)))</f>
        <v/>
      </c>
      <c r="E3328">
        <f>INDEX(FactorTable!$B$2:$Y$301, MATCH(ROUND(MIN(300,MAX(1,D3328)),0), FactorTable!$A$2:$A$301,0), Skills!M27+1)</f>
        <v/>
      </c>
      <c r="F3328">
        <f>IF(Skills!N27=TRUE,(Skills!L27/10)*(E3328/1000),Skills!L27/10)+Skills!O27</f>
        <v/>
      </c>
      <c r="G3328">
        <f>Skills!G27*IF(Skills!H27&gt;0,INT(IF(Inputs!$B$38="pvp",MIN(Skills!I27,15),Skills!I27)/Skills!H27+0.000000001),1)</f>
        <v/>
      </c>
      <c r="H3328">
        <f>1-(1-Skills!J27/100)^Skills!K27</f>
        <v/>
      </c>
      <c r="I3328" t="inlineStr">
        <is>
          <t>1</t>
        </is>
      </c>
      <c r="J3328" t="inlineStr"/>
      <c r="K3328" t="inlineStr"/>
      <c r="L3328" t="inlineStr"/>
      <c r="M3328" t="inlineStr"/>
      <c r="N3328" t="inlineStr"/>
      <c r="O3328">
        <f>(1-Summary!$B$11)*T3328+Summary!$B$11*V3328</f>
        <v/>
      </c>
      <c r="P3328">
        <f>IF(B3346=0,0,O3328/B3346)</f>
        <v/>
      </c>
      <c r="Q3328" t="n">
        <v>0</v>
      </c>
      <c r="R3328" t="n">
        <v>0</v>
      </c>
      <c r="S3328">
        <f>IFERROR(O3328/N3328,0)</f>
        <v/>
      </c>
      <c r="T3328" t="n">
        <v>0</v>
      </c>
      <c r="V3328" t="n">
        <v>0</v>
      </c>
    </row>
    <row r="3329">
      <c r="A3329">
        <f>Skills!A28</f>
        <v/>
      </c>
      <c r="B3329">
        <f>Skills!B28</f>
        <v/>
      </c>
      <c r="C3329">
        <f>Inputs!$B$3&gt;=125</f>
        <v/>
      </c>
      <c r="D3329">
        <f>IF(Skills!C28=1,60+Inputs!$B$25+Inputs!$B$29,IF(Skills!C28=2,90+Inputs!$B$26+Inputs!$B$29,IF(Skills!C28=3,120+Inputs!$B$27+Inputs!$B$29,MAX(0,(Inputs!$B$3-100)*3)+Inputs!$B$28+Inputs!$B$29)))</f>
        <v/>
      </c>
      <c r="E3329">
        <f>INDEX(FactorTable!$B$2:$Y$301, MATCH(ROUND(MIN(300,MAX(1,D3329)),0), FactorTable!$A$2:$A$301,0), Skills!M28+1)</f>
        <v/>
      </c>
      <c r="F3329">
        <f>IF(Skills!N28=TRUE,(Skills!L28/10)*(E3329/1000),Skills!L28/10)+Skills!O28</f>
        <v/>
      </c>
      <c r="G3329">
        <f>Skills!G28*IF(Skills!H28&gt;0,INT(IF(Inputs!$B$38="pvp",MIN(Skills!I28,15),Skills!I28)/Skills!H28+0.000000001),1)</f>
        <v/>
      </c>
      <c r="H3329">
        <f>1-(1-Skills!J28/100)^Skills!K28</f>
        <v/>
      </c>
      <c r="I3329" t="inlineStr">
        <is>
          <t>1</t>
        </is>
      </c>
      <c r="J3329" t="inlineStr"/>
      <c r="K3329" t="inlineStr"/>
      <c r="L3329" t="inlineStr"/>
      <c r="M3329" t="inlineStr"/>
      <c r="N3329" t="inlineStr"/>
      <c r="O3329">
        <f>(1-Summary!$B$11)*T3329+Summary!$B$11*V3329</f>
        <v/>
      </c>
      <c r="P3329">
        <f>IF(B3346=0,0,O3329/B3346)</f>
        <v/>
      </c>
      <c r="Q3329" t="n">
        <v>0</v>
      </c>
      <c r="R3329" t="n">
        <v>0</v>
      </c>
      <c r="S3329">
        <f>IFERROR(O3329/N3329,0)</f>
        <v/>
      </c>
      <c r="T3329" t="n">
        <v>0</v>
      </c>
      <c r="V3329" t="n">
        <v>0</v>
      </c>
    </row>
    <row r="3330">
      <c r="A3330">
        <f>Skills!A29</f>
        <v/>
      </c>
      <c r="B3330">
        <f>Skills!B29</f>
        <v/>
      </c>
      <c r="C3330">
        <f>Inputs!$B$3&gt;=125</f>
        <v/>
      </c>
      <c r="D3330">
        <f>IF(Skills!C29=1,60+Inputs!$B$25+Inputs!$B$29,IF(Skills!C29=2,90+Inputs!$B$26+Inputs!$B$29,IF(Skills!C29=3,120+Inputs!$B$27+Inputs!$B$29,MAX(0,(Inputs!$B$3-100)*3)+Inputs!$B$28+Inputs!$B$29)))</f>
        <v/>
      </c>
      <c r="E3330">
        <f>INDEX(FactorTable!$B$2:$Y$301, MATCH(ROUND(MIN(300,MAX(1,D3330)),0), FactorTable!$A$2:$A$301,0), Skills!M29+1)</f>
        <v/>
      </c>
      <c r="F3330">
        <f>IF(Skills!N29=TRUE,(Skills!L29/10)*(E3330/1000),Skills!L29/10)+Skills!O29</f>
        <v/>
      </c>
      <c r="G3330">
        <f>Skills!G29*IF(Skills!H29&gt;0,INT(IF(Inputs!$B$38="pvp",MIN(Skills!I29,15),Skills!I29)/Skills!H29+0.000000001),1)</f>
        <v/>
      </c>
      <c r="H3330">
        <f>1-(1-Skills!J29/100)^Skills!K29</f>
        <v/>
      </c>
      <c r="I3330" t="inlineStr">
        <is>
          <t>1</t>
        </is>
      </c>
      <c r="J3330" t="inlineStr"/>
      <c r="K3330" t="inlineStr"/>
      <c r="L3330" t="inlineStr"/>
      <c r="M3330" t="inlineStr"/>
      <c r="N3330" t="inlineStr"/>
      <c r="O3330">
        <f>(1-Summary!$B$11)*T3330+Summary!$B$11*V3330</f>
        <v/>
      </c>
      <c r="P3330">
        <f>IF(B3346=0,0,O3330/B3346)</f>
        <v/>
      </c>
      <c r="Q3330" t="n">
        <v>0</v>
      </c>
      <c r="R3330" t="n">
        <v>0</v>
      </c>
      <c r="S3330">
        <f>IFERROR(O3330/N3330,0)</f>
        <v/>
      </c>
      <c r="T3330" t="n">
        <v>0</v>
      </c>
      <c r="V3330" t="n">
        <v>0</v>
      </c>
    </row>
    <row r="3331">
      <c r="A3331">
        <f>Skills!A30</f>
        <v/>
      </c>
      <c r="B3331">
        <f>Skills!B30</f>
        <v/>
      </c>
      <c r="C3331">
        <f>Inputs!$B$3&gt;=120</f>
        <v/>
      </c>
      <c r="D3331">
        <f>IF(Skills!C30=1,60+Inputs!$B$25+Inputs!$B$29,IF(Skills!C30=2,90+Inputs!$B$26+Inputs!$B$29,IF(Skills!C30=3,120+Inputs!$B$27+Inputs!$B$29,MAX(0,(Inputs!$B$3-100)*3)+Inputs!$B$28+Inputs!$B$29)))</f>
        <v/>
      </c>
      <c r="E3331">
        <f>INDEX(FactorTable!$B$2:$Y$301, MATCH(ROUND(MIN(300,MAX(1,D3331)),0), FactorTable!$A$2:$A$301,0), Skills!M30+1)</f>
        <v/>
      </c>
      <c r="F3331">
        <f>IF(Skills!N30=TRUE,(Skills!L30/10)*(E3331/1000),Skills!L30/10)+Skills!O30</f>
        <v/>
      </c>
      <c r="G3331">
        <f>Skills!G30*IF(Skills!H30&gt;0,INT(IF(Inputs!$B$38="pvp",MIN(Skills!I30,15),Skills!I30)/Skills!H30+0.000000001),1)</f>
        <v/>
      </c>
      <c r="H3331">
        <f>1-(1-Skills!J30/100)^Skills!K30</f>
        <v/>
      </c>
      <c r="I3331" t="inlineStr">
        <is>
          <t>1</t>
        </is>
      </c>
      <c r="J3331" t="inlineStr"/>
      <c r="K3331" t="inlineStr"/>
      <c r="L3331" t="inlineStr"/>
      <c r="M3331" t="inlineStr"/>
      <c r="N3331" t="inlineStr"/>
      <c r="O3331">
        <f>(1-Summary!$B$11)*T3331+Summary!$B$11*V3331</f>
        <v/>
      </c>
      <c r="P3331">
        <f>IF(B3346=0,0,O3331/B3346)</f>
        <v/>
      </c>
      <c r="Q3331" t="n">
        <v>0</v>
      </c>
      <c r="R3331" t="n">
        <v>0</v>
      </c>
      <c r="S3331">
        <f>IFERROR(O3331/N3331,0)</f>
        <v/>
      </c>
      <c r="T3331" t="n">
        <v>0</v>
      </c>
      <c r="V3331" t="n">
        <v>0</v>
      </c>
    </row>
    <row r="3332">
      <c r="A3332">
        <f>Skills!A31</f>
        <v/>
      </c>
      <c r="B3332">
        <f>Skills!B31</f>
        <v/>
      </c>
      <c r="C3332">
        <f>Inputs!$B$3&gt;=120</f>
        <v/>
      </c>
      <c r="D3332">
        <f>IF(Skills!C31=1,60+Inputs!$B$25+Inputs!$B$29,IF(Skills!C31=2,90+Inputs!$B$26+Inputs!$B$29,IF(Skills!C31=3,120+Inputs!$B$27+Inputs!$B$29,MAX(0,(Inputs!$B$3-100)*3)+Inputs!$B$28+Inputs!$B$29)))</f>
        <v/>
      </c>
      <c r="E3332">
        <f>INDEX(FactorTable!$B$2:$Y$301, MATCH(ROUND(MIN(300,MAX(1,D3332)),0), FactorTable!$A$2:$A$301,0), Skills!M31+1)</f>
        <v/>
      </c>
      <c r="F3332">
        <f>IF(Skills!N31=TRUE,(Skills!L31/10)*(E3332/1000),Skills!L31/10)+Skills!O31</f>
        <v/>
      </c>
      <c r="G3332">
        <f>Skills!G31*IF(Skills!H31&gt;0,INT(IF(Inputs!$B$38="pvp",MIN(Skills!I31,15),Skills!I31)/Skills!H31+0.000000001),1)</f>
        <v/>
      </c>
      <c r="H3332">
        <f>1-(1-Skills!J31/100)^Skills!K31</f>
        <v/>
      </c>
      <c r="I3332" t="inlineStr">
        <is>
          <t>1</t>
        </is>
      </c>
      <c r="J3332" t="inlineStr"/>
      <c r="K3332" t="inlineStr"/>
      <c r="L3332" t="inlineStr"/>
      <c r="M3332" t="inlineStr"/>
      <c r="N3332" t="inlineStr"/>
      <c r="O3332">
        <f>(1-Summary!$B$11)*T3332+Summary!$B$11*V3332</f>
        <v/>
      </c>
      <c r="P3332">
        <f>IF(B3346=0,0,O3332/B3346)</f>
        <v/>
      </c>
      <c r="Q3332" t="n">
        <v>0</v>
      </c>
      <c r="R3332" t="n">
        <v>0</v>
      </c>
      <c r="S3332">
        <f>IFERROR(O3332/N3332,0)</f>
        <v/>
      </c>
      <c r="T3332" t="n">
        <v>0</v>
      </c>
      <c r="V3332" t="n">
        <v>0</v>
      </c>
    </row>
    <row r="3333">
      <c r="A3333">
        <f>Skills!A32</f>
        <v/>
      </c>
      <c r="B3333">
        <f>Skills!B32</f>
        <v/>
      </c>
      <c r="C3333">
        <f>Inputs!$B$3&gt;=45</f>
        <v/>
      </c>
      <c r="D3333">
        <f>IF(Skills!C32=1,60+Inputs!$B$25+Inputs!$B$29,IF(Skills!C32=2,90+Inputs!$B$26+Inputs!$B$29,IF(Skills!C32=3,120+Inputs!$B$27+Inputs!$B$29,MAX(0,(Inputs!$B$3-100)*3)+Inputs!$B$28+Inputs!$B$29)))</f>
        <v/>
      </c>
      <c r="E3333">
        <f>INDEX(FactorTable!$B$2:$Y$301, MATCH(ROUND(MIN(300,MAX(1,D3333)),0), FactorTable!$A$2:$A$301,0), Skills!M32+1)</f>
        <v/>
      </c>
      <c r="F3333">
        <f>IF(Skills!N32=TRUE,(Skills!L32/10)*(E3333/1000),Skills!L32/10)+Skills!O32</f>
        <v/>
      </c>
      <c r="G3333">
        <f>Skills!G32*IF(Skills!H32&gt;0,INT(IF(Inputs!$B$38="pvp",MIN(Skills!I32,15),Skills!I32)/Skills!H32+0.000000001),1)</f>
        <v/>
      </c>
      <c r="H3333">
        <f>1-(1-Skills!J32/100)^Skills!K32</f>
        <v/>
      </c>
      <c r="I3333" t="inlineStr">
        <is>
          <t>1</t>
        </is>
      </c>
      <c r="J3333" t="inlineStr"/>
      <c r="K3333" t="inlineStr"/>
      <c r="L3333" t="inlineStr"/>
      <c r="M3333" t="inlineStr"/>
      <c r="N3333" t="inlineStr"/>
      <c r="O3333">
        <f>(1-Summary!$B$11)*T3333+Summary!$B$11*V3333</f>
        <v/>
      </c>
      <c r="P3333">
        <f>IF(B3346=0,0,O3333/B3346)</f>
        <v/>
      </c>
      <c r="Q3333" t="n">
        <v>0</v>
      </c>
      <c r="R3333" t="n">
        <v>0</v>
      </c>
      <c r="S3333">
        <f>IFERROR(O3333/N3333,0)</f>
        <v/>
      </c>
      <c r="T3333" t="n">
        <v>0</v>
      </c>
      <c r="V3333" t="n">
        <v>0</v>
      </c>
    </row>
    <row r="3335">
      <c r="A3335" t="inlineStr">
        <is>
          <t>Attack% Bucket Multiplier</t>
        </is>
      </c>
      <c r="B3335">
        <f>(1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6">
      <c r="A3336" t="inlineStr">
        <is>
          <t>Global Crit Rate Bonus %</t>
        </is>
      </c>
      <c r="B3336" t="n">
        <v>0</v>
      </c>
    </row>
    <row r="3337">
      <c r="A3337" t="inlineStr">
        <is>
          <t>Attack Speed Buff Bonus %</t>
        </is>
      </c>
      <c r="B3337">
        <f>((C3322=TRUE)*F3322*IF(AND(Inputs!$B$38&lt;&gt;"pvp",Inputs!$B$43&gt;0),(((R3322-1)*MIN((Skills!T21*(1+Inputs!$B$34/100)),(1/Q3322))+MIN((Skills!T21*(1+Inputs!$B$34/100)),MAX(0,Inputs!$B$43-((R3322-1)*(1/Q3322)))))/Inputs!$B$43),IF(Inputs!$B$38="pvp",MIN((Skills!T21*(1+Inputs!$B$34/100)),15)/15,MIN(1,(Skills!T21*(1+Inputs!$B$34/100))/(1/Q3322)))))</f>
        <v/>
      </c>
    </row>
    <row r="3338">
      <c r="A3338" t="inlineStr">
        <is>
          <t>Actions Per Second</t>
        </is>
      </c>
      <c r="B3338">
        <f>1+MIN(150,150*(1-(1-(Inputs!$B$11+((C3324=TRUE)*(F3324-Calc!F23))+((C3325=TRUE)*(F3325-Calc!F24)))/150)*(1-B3337/150)))/100</f>
        <v/>
      </c>
    </row>
    <row r="3339">
      <c r="A3339" t="inlineStr">
        <is>
          <t>Skill + Buff Cast Rate</t>
        </is>
      </c>
      <c r="B3339">
        <f>IF(AND(Inputs!$B$38&lt;&gt;"pvp",Inputs!$B$43&gt;0),SUMPRODUCT((Skills!E2:E32=TRUE)*(C3303:C3333=TRUE)*R3303:R3333*Skills!F2:F32)/Inputs!$B$43,SUMPRODUCT((Skills!E2:E32=TRUE)*(C3303:C3333=TRUE)*Q3303:Q3333*Skills!F2:F32))</f>
        <v/>
      </c>
    </row>
    <row r="3340">
      <c r="A3340" t="inlineStr">
        <is>
          <t>Arrow Stream Casts Per Second</t>
        </is>
      </c>
      <c r="B3340">
        <f>MAX(0,B3338-B3339)</f>
        <v/>
      </c>
    </row>
    <row r="3341">
      <c r="A3341" t="inlineStr">
        <is>
          <t>Global Critical Damage Bonus % (Sharp Eyes + Concentration)</t>
        </is>
      </c>
      <c r="B3341">
        <f>(C3319=TRUE)*F3319*IF(AND(Inputs!$B$38&lt;&gt;"pvp",Inputs!$B$43&gt;0),(((R3319-1)*MIN((Skills!T18*(1+Inputs!$B$34/100)),(1/Q3319))+MIN((Skills!T18*(1+Inputs!$B$34/100)),MAX(0,Inputs!$B$43-((R3319-1)*(1/Q3319)))))/Inputs!$B$43),IF(Inputs!$B$38="pvp",MIN((Skills!T18*(1+Inputs!$B$34/100)),15)/15,MIN(1,(Skills!T18*(1+Inputs!$B$34/100))/(1/Q3319))))+(C3320=TRUE)*7*F3320</f>
        <v/>
      </c>
    </row>
    <row r="3342">
      <c r="A3342" t="inlineStr">
        <is>
          <t>Global Final Damage Bonus % (Mortal Blow)</t>
        </is>
      </c>
      <c r="B3342">
        <f>(C3321=TRUE)*F3321</f>
        <v/>
      </c>
    </row>
    <row r="3343">
      <c r="A3343" t="inlineStr">
        <is>
          <t>Buff-Casting Startup Delay (s, fixed-duration only)</t>
        </is>
      </c>
      <c r="B3343">
        <f>IF(AND(Inputs!$B$38&lt;&gt;"pvp",Inputs!$B$43&gt;0),SUMPRODUCT((Skills!T2:T32&gt;0)*(Skills!E2:E32=TRUE)*(C3303:C3333=TRUE))/B3338,0)</f>
        <v/>
      </c>
    </row>
    <row r="3344">
      <c r="A3344" t="inlineStr">
        <is>
          <t>Boss-Only Total DPS (this block's swept value)</t>
        </is>
      </c>
      <c r="B3344">
        <f>SUM(T3303:T3333)</f>
        <v/>
      </c>
    </row>
    <row r="3345">
      <c r="A3345" t="inlineStr">
        <is>
          <t>Normal-Only Total DPS (this block's swept value)</t>
        </is>
      </c>
      <c r="B3345">
        <f>SUM(V3303:V3333)</f>
        <v/>
      </c>
    </row>
    <row r="3346">
      <c r="A3346" s="6" t="inlineStr">
        <is>
          <t>TOTAL DPS</t>
        </is>
      </c>
      <c r="B3346" s="6">
        <f>SUM(O3303:O3333)</f>
        <v/>
      </c>
    </row>
    <row r="3349">
      <c r="A3349" s="6" t="inlineStr">
        <is>
          <t>Stat: CDR = 3.5s</t>
        </is>
      </c>
    </row>
    <row r="3350">
      <c r="A3350" s="5" t="inlineStr">
        <is>
          <t>Key</t>
        </is>
      </c>
      <c r="B3350" s="5" t="inlineStr">
        <is>
          <t>Name</t>
        </is>
      </c>
      <c r="C3350" s="5" t="inlineStr">
        <is>
          <t>Unlocked</t>
        </is>
      </c>
      <c r="D3350" s="5" t="inlineStr">
        <is>
          <t>InputLevel</t>
        </is>
      </c>
      <c r="E3350" s="5" t="inlineStr">
        <is>
          <t>Factor</t>
        </is>
      </c>
      <c r="F3350" s="5" t="inlineStr">
        <is>
          <t>CoefficientPercent</t>
        </is>
      </c>
      <c r="G3350" s="5" t="inlineStr">
        <is>
          <t>EffectiveHits</t>
        </is>
      </c>
      <c r="H3350" s="5" t="inlineStr">
        <is>
          <t>ProcProbability</t>
        </is>
      </c>
      <c r="I3350" s="5" t="inlineStr">
        <is>
          <t>MapleHeroMultiplier</t>
        </is>
      </c>
      <c r="J3350" s="5" t="inlineStr">
        <is>
          <t>BaseDamage</t>
        </is>
      </c>
      <c r="K3350" s="5" t="inlineStr">
        <is>
          <t>BaseHitDamage</t>
        </is>
      </c>
      <c r="L3350" s="5" t="inlineStr">
        <is>
          <t>NonCritAvg</t>
        </is>
      </c>
      <c r="M3350" s="5" t="inlineStr">
        <is>
          <t>CritAvg</t>
        </is>
      </c>
      <c r="N3350" s="5" t="inlineStr">
        <is>
          <t>ExpectedDamage(perHit)</t>
        </is>
      </c>
      <c r="O3350" s="5" t="inlineStr">
        <is>
          <t>DPS</t>
        </is>
      </c>
      <c r="P3350" s="5" t="inlineStr">
        <is>
          <t>% of Total</t>
        </is>
      </c>
      <c r="Q3350" s="5" t="inlineStr">
        <is>
          <t>InvCooldown</t>
        </is>
      </c>
      <c r="R3350" s="5" t="inlineStr">
        <is>
          <t>CastsInFight</t>
        </is>
      </c>
      <c r="S3350" s="5" t="inlineStr">
        <is>
          <t>HitRate(perSec)</t>
        </is>
      </c>
      <c r="U3350" t="inlineStr">
        <is>
          <t>helpers</t>
        </is>
      </c>
    </row>
    <row r="3351">
      <c r="A3351">
        <f>Skills!A2</f>
        <v/>
      </c>
      <c r="B3351">
        <f>Skills!B2</f>
        <v/>
      </c>
      <c r="C3351">
        <f>Inputs!$B$3&gt;=100</f>
        <v/>
      </c>
      <c r="D3351" t="inlineStr"/>
      <c r="E3351" t="inlineStr"/>
      <c r="F3351">
        <f>U3353+Skills!O2</f>
        <v/>
      </c>
      <c r="G3351">
        <f>Skills!G2*IF(Skills!H2&gt;0,INT(IF(Inputs!$B$38="pvp",MIN(Skills!I2,15),Skills!I2)/Skills!H2+0.000000001),1)</f>
        <v/>
      </c>
      <c r="H3351">
        <f>1-(1-Skills!J2/100)^Skills!K2</f>
        <v/>
      </c>
      <c r="I3351" t="inlineStr">
        <is>
          <t>1</t>
        </is>
      </c>
      <c r="J3351">
        <f>((Inputs!$B$6*(1+Inputs!$B$7/100))+(((Inputs!$B$12*(1+Inputs!$B$13/100))-(Inputs!$B$12*(1+Inputs!$B$13/100)))+0.25*(Inputs!$B$14-Inputs!$B$14))*(1+Inputs!$B$7/100))*(F3351/100)</f>
        <v/>
      </c>
      <c r="K3351">
        <f>J3351*(1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3351)</f>
        <v/>
      </c>
      <c r="L3351">
        <f>K3351*(MIN(Inputs!$B$22+((C3375=TRUE)*(F3375-Calc!F26)),(Inputs!$B$23+((C3380=TRUE)*(F3380-Calc!F31))+(IF(ArtifactsInput!$M$15,CHOOSE(ArtifactsInput!$N$15+1,25,30,35,40,45,50)/100*(Inputs!$B$11-Inputs!$B$11),0))))/100+(Inputs!$B$23+((C3380=TRUE)*(F3380-Calc!F31))+(IF(ArtifactsInput!$M$15,CHOOSE(ArtifactsInput!$N$15+1,25,30,35,40,45,50)/100*(Inputs!$B$11-Inputs!$B$11),0)))/100)/2</f>
        <v/>
      </c>
      <c r="M3351">
        <f>L3351*(1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1">
        <f>L3351*(1-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1">
        <f>(1-Summary!$B$11)*T3351+Summary!$B$11*V3351</f>
        <v/>
      </c>
      <c r="P3351">
        <f>IF(B3394=0,0,O3351/B3394)</f>
        <v/>
      </c>
      <c r="Q3351" t="n">
        <v>0</v>
      </c>
      <c r="R3351" t="n">
        <v>0</v>
      </c>
      <c r="S3351">
        <f>IFERROR(O3351/N3351,0)</f>
        <v/>
      </c>
      <c r="T3351">
        <f>IF(C3351,(Skills!G2*N3351*B3388)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1">
        <f>MAX(0,(Inputs!$B$3-100)*3)+Inputs!$B$28+Inputs!$B$29</f>
        <v/>
      </c>
      <c r="V3351">
        <f>IF(C3351,(Skills!G2*N3351*B3388)*IF(Inputs!$B$38="pvp",1,(1+(Inputs!$B$21+Skills!Q2+(IF(ArtifactsInput!$M$33,CHOOSE(ArtifactsInput!$N$33+1,30,36,42,48,54,60),0))+(IF(AND(ArtifactsInput!$M$35,Inputs!$B$4&lt;&gt;"Chapter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2">
      <c r="A3352">
        <f>Skills!A3</f>
        <v/>
      </c>
      <c r="B3352">
        <f>Skills!B3</f>
        <v/>
      </c>
      <c r="C3352">
        <f>Inputs!$B$3&gt;=50</f>
        <v/>
      </c>
      <c r="D3352">
        <f>IF(Skills!C3=1,60+Inputs!$B$25+Inputs!$B$29,IF(Skills!C3=2,90+Inputs!$B$26+Inputs!$B$29,IF(Skills!C3=3,120+Inputs!$B$27+Inputs!$B$29,MAX(0,(Inputs!$B$3-100)*3)+Inputs!$B$28+Inputs!$B$29)))</f>
        <v/>
      </c>
      <c r="E3352">
        <f>INDEX(FactorTable!$B$2:$Y$301, MATCH(ROUND(MIN(300,MAX(1,D3352)),0), FactorTable!$A$2:$A$301,0), Skills!M3+1)</f>
        <v/>
      </c>
      <c r="F3352">
        <f>IF(Skills!N3=TRUE,(Skills!L3/10)*(E3352/1000),Skills!L3/10)+Skills!O3</f>
        <v/>
      </c>
      <c r="G3352">
        <f>Skills!G3*IF(Skills!H3&gt;0,INT(IF(Inputs!$B$38="pvp",MIN(Skills!I3,15),Skills!I3)/Skills!H3+0.000000001),1)</f>
        <v/>
      </c>
      <c r="H3352">
        <f>1-(1-Skills!J3/100)^Skills!K3</f>
        <v/>
      </c>
      <c r="I3352" t="inlineStr">
        <is>
          <t>1</t>
        </is>
      </c>
      <c r="J3352">
        <f>((Inputs!$B$6*(1+Inputs!$B$7/100))+(((Inputs!$B$12*(1+Inputs!$B$13/100))-(Inputs!$B$12*(1+Inputs!$B$13/100)))+0.25*(Inputs!$B$14-Inputs!$B$14))*(1+Inputs!$B$7/100))*(F3352/100)</f>
        <v/>
      </c>
      <c r="K3352">
        <f>J3352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3353=TRUE,F3353,0)/100)*(1+(IF(Skills!A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3352)</f>
        <v/>
      </c>
      <c r="L3352">
        <f>K3352*(MIN(Inputs!$B$22+((C3375=TRUE)*(F3375-Calc!F26)),(Inputs!$B$23+((C3380=TRUE)*(F3380-Calc!F31))+(IF(ArtifactsInput!$M$15,CHOOSE(ArtifactsInput!$N$15+1,25,30,35,40,45,50)/100*(Inputs!$B$11-Inputs!$B$11),0))))/100+(Inputs!$B$23+((C3380=TRUE)*(F3380-Calc!F31))+(IF(ArtifactsInput!$M$15,CHOOSE(ArtifactsInput!$N$15+1,25,30,35,40,45,50)/100*(Inputs!$B$11-Inputs!$B$11),0)))/100)/2</f>
        <v/>
      </c>
      <c r="M3352">
        <f>L3352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2">
        <f>L3352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2">
        <f>(1-Summary!$B$11)*T3352+Summary!$B$11*V3352</f>
        <v/>
      </c>
      <c r="P3352">
        <f>IF(B3394=0,0,O3352/B3394)</f>
        <v/>
      </c>
      <c r="Q3352">
        <f>IFERROR(1/(IF(Inputs!$B$38="pvp",15,MAX(0.1,1/B3386-IF(FALSE=TRUE,3.5,0)))*(1-IF(AND(ArtifactsInput!$M$27,Inputs!$B$4="Chapter Hunt"),CHOOSE(ArtifactsInput!$N$27+1,20,24,28,32,36,40),0)/100)),0)</f>
        <v/>
      </c>
      <c r="R3352">
        <f>IF(AND(Inputs!$B$38&lt;&gt;"pvp",Inputs!$B$43&gt;0),IF(MAX(0,Inputs!$B$43-B3391)&lt;=0,0,(INT(MAX(0,Inputs!$B$43-B3391)/(IF(Inputs!$B$38="pvp",15,MAX(0.1,1/B3386-IF(FALSE=TRUE,3.5,0)))*(1-IF(AND(ArtifactsInput!$M$27,Inputs!$B$4="Chapter Hunt"),CHOOSE(ArtifactsInput!$N$27+1,20,24,28,32,36,40),0)/100)))+1)),0)</f>
        <v/>
      </c>
      <c r="S3352">
        <f>IFERROR(O3352/N3352,0)</f>
        <v/>
      </c>
      <c r="T3352">
        <f>IF(C3352,(H3352*N3352*IF(AND(Inputs!$B$38&lt;&gt;"pvp",Inputs!$B$43&gt;0),((Skills!G3*((R3352-1)*IF(Skills!H3&gt;0,INT(Skills!I3/Skills!H3+0.000000001),1)+IF(Skills!H3&gt;0,INT(MIN(Skills!I3,MAX(0,MAX(0,Inputs!$B$43-B3391)-((R3352-1)*(IF(Inputs!$B$38="pvp",15,MAX(0.1,1/B3386-IF(FALSE=TRUE,3.5,0)))*(1-IF(AND(ArtifactsInput!$M$27,Inputs!$B$4="Chapter Hunt"),CHOOSE(ArtifactsInput!$N$27+1,20,24,28,32,36,40),0)/100)))))/Skills!H3+0.000000001),1)))/Inputs!$B$43),G3352*Q3352)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2">
        <f>INDEX(FactorTable!$B$2:$Y$301, MATCH(ROUND(MIN(300,MAX(1,U3351)),0), FactorTable!$A$2:$A$301,0), 22)</f>
        <v/>
      </c>
      <c r="V3352">
        <f>IF(C3352,(H3352*N3352*IF(AND(Inputs!$B$38&lt;&gt;"pvp",Inputs!$B$43&gt;0),((Skills!G3*((R3352-1)*IF(Skills!H3&gt;0,INT(Skills!I3/Skills!H3+0.000000001),1)+IF(Skills!H3&gt;0,INT(MIN(Skills!I3,MAX(0,MAX(0,Inputs!$B$43-B3391)-((R3352-1)*(IF(Inputs!$B$38="pvp",15,MAX(0.1,1/B3386-IF(FALSE=TRUE,3.5,0)))*(1-IF(AND(ArtifactsInput!$M$27,Inputs!$B$4="Chapter Hunt"),CHOOSE(ArtifactsInput!$N$27+1,20,24,28,32,36,40),0)/100)))))/Skills!H3+0.000000001),1)))/Inputs!$B$43),G3352*Q3352))*IF(Inputs!$B$38="pvp",1,(1+(Inputs!$B$21+Skills!Q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3">
      <c r="A3353">
        <f>Skills!A4</f>
        <v/>
      </c>
      <c r="B3353">
        <f>Skills!B4</f>
        <v/>
      </c>
      <c r="C3353">
        <f>Inputs!$B$3&gt;=105</f>
        <v/>
      </c>
      <c r="D3353">
        <f>IF(Skills!C4=1,60+Inputs!$B$25+Inputs!$B$29,IF(Skills!C4=2,90+Inputs!$B$26+Inputs!$B$29,IF(Skills!C4=3,120+Inputs!$B$27+Inputs!$B$29,MAX(0,(Inputs!$B$3-100)*3)+Inputs!$B$28+Inputs!$B$29)))</f>
        <v/>
      </c>
      <c r="E3353">
        <f>INDEX(FactorTable!$B$2:$Y$301, MATCH(ROUND(MIN(300,MAX(1,D3353)),0), FactorTable!$A$2:$A$301,0), Skills!M4+1)</f>
        <v/>
      </c>
      <c r="F3353">
        <f>IF(Skills!N4=TRUE,(Skills!L4/10)*(E3353/1000),Skills!L4/10)+Skills!O4</f>
        <v/>
      </c>
      <c r="G3353" t="inlineStr"/>
      <c r="H3353" t="inlineStr"/>
      <c r="I3353" t="inlineStr">
        <is>
          <t>1</t>
        </is>
      </c>
      <c r="J3353" t="inlineStr"/>
      <c r="K3353" t="inlineStr"/>
      <c r="L3353" t="inlineStr"/>
      <c r="M3353" t="inlineStr"/>
      <c r="N3353" t="inlineStr"/>
      <c r="O3353" t="inlineStr"/>
      <c r="P3353" t="inlineStr"/>
      <c r="Q3353" t="inlineStr"/>
      <c r="R3353" t="inlineStr"/>
      <c r="S3353" t="inlineStr"/>
      <c r="T3353" t="inlineStr"/>
      <c r="U3353">
        <f>290*U3352/1000</f>
        <v/>
      </c>
      <c r="V3353" t="inlineStr"/>
    </row>
    <row r="3354">
      <c r="A3354">
        <f>Skills!A5</f>
        <v/>
      </c>
      <c r="B3354">
        <f>Skills!B5</f>
        <v/>
      </c>
      <c r="C3354">
        <f>Inputs!$B$3&gt;=35</f>
        <v/>
      </c>
      <c r="D3354">
        <f>IF(Skills!C5=1,60+Inputs!$B$25+Inputs!$B$29,IF(Skills!C5=2,90+Inputs!$B$26+Inputs!$B$29,IF(Skills!C5=3,120+Inputs!$B$27+Inputs!$B$29,MAX(0,(Inputs!$B$3-100)*3)+Inputs!$B$28+Inputs!$B$29)))</f>
        <v/>
      </c>
      <c r="E3354">
        <f>INDEX(FactorTable!$B$2:$Y$301, MATCH(ROUND(MIN(300,MAX(1,D3354)),0), FactorTable!$A$2:$A$301,0), Skills!M5+1)</f>
        <v/>
      </c>
      <c r="F3354">
        <f>IF(Skills!N5=TRUE,(Skills!L5/10)*(E3354/1000),Skills!L5/10)+Skills!O5</f>
        <v/>
      </c>
      <c r="G3354">
        <f>Skills!G5*IF(Skills!H5&gt;0,INT(IF(Inputs!$B$38="pvp",MIN(Skills!I5,15),Skills!I5)/Skills!H5+0.000000001),1)</f>
        <v/>
      </c>
      <c r="H3354">
        <f>1-(1-Skills!J5/100)^Skills!K5</f>
        <v/>
      </c>
      <c r="I3354" t="inlineStr">
        <is>
          <t>1</t>
        </is>
      </c>
      <c r="J3354">
        <f>((Inputs!$B$6*(1+Inputs!$B$7/100))+(((Inputs!$B$12*(1+Inputs!$B$13/100))-(Inputs!$B$12*(1+Inputs!$B$13/100)))+0.25*(Inputs!$B$14-Inputs!$B$14))*(1+Inputs!$B$7/100))*(F3354/100)</f>
        <v/>
      </c>
      <c r="K3354">
        <f>J3354*(1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3361=TRUE,F3361,0)/100)*(1+(IF(Skills!A5="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3354)</f>
        <v/>
      </c>
      <c r="L3354">
        <f>K3354*(MIN(Inputs!$B$22+((C3375=TRUE)*(F3375-Calc!F26)),(Inputs!$B$23+((C3380=TRUE)*(F3380-Calc!F31))+(IF(ArtifactsInput!$M$15,CHOOSE(ArtifactsInput!$N$15+1,25,30,35,40,45,50)/100*(Inputs!$B$11-Inputs!$B$11),0))))/100+(Inputs!$B$23+((C3380=TRUE)*(F3380-Calc!F31))+(IF(ArtifactsInput!$M$15,CHOOSE(ArtifactsInput!$N$15+1,25,30,35,40,45,50)/100*(Inputs!$B$11-Inputs!$B$11),0)))/100)/2</f>
        <v/>
      </c>
      <c r="M3354">
        <f>L3354*(1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4">
        <f>L3354*(1-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3354*(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4">
        <f>(1-Summary!$B$11)*T3354+Summary!$B$11*V3354</f>
        <v/>
      </c>
      <c r="P3354">
        <f>IF(B3394=0,0,O3354/B3394)</f>
        <v/>
      </c>
      <c r="Q3354">
        <f>IFERROR(1/(IF(Inputs!$B$38="pvp",15,MAX(0.1,Skills!D5-IF(TRUE=TRUE,3.5,0)))*(1-IF(AND(ArtifactsInput!$M$27,Inputs!$B$4="Chapter Hunt"),CHOOSE(ArtifactsInput!$N$27+1,20,24,28,32,36,40),0)/100)),0)</f>
        <v/>
      </c>
      <c r="R3354">
        <f>IF(AND(Inputs!$B$38&lt;&gt;"pvp",Inputs!$B$43&gt;0),IF(MAX(0,Inputs!$B$43-B3391)&lt;=0,0,(INT(MAX(0,Inputs!$B$43-B3391)/(IF(Inputs!$B$38="pvp",15,MAX(0.1,Skills!D5-IF(TRUE=TRUE,3.5,0)))*(1-IF(AND(ArtifactsInput!$M$27,Inputs!$B$4="Chapter Hunt"),CHOOSE(ArtifactsInput!$N$27+1,20,24,28,32,36,40),0)/100)))+1)),0)</f>
        <v/>
      </c>
      <c r="S3354">
        <f>IFERROR(O3354/N3354,0)</f>
        <v/>
      </c>
      <c r="T3354">
        <f>IF(C3354,(H3354*N3354*IF(AND(Inputs!$B$38&lt;&gt;"pvp",Inputs!$B$43&gt;0),((Skills!G5*((R3354-1)*IF(Skills!H5&gt;0,INT(Skills!I5/Skills!H5+0.000000001),1)+IF(Skills!H5&gt;0,INT(MIN(Skills!I5,MAX(0,MAX(0,Inputs!$B$43-B3391)-((R3354-1)*(IF(Inputs!$B$38="pvp",15,MAX(0.1,Skills!D5-IF(TRUE=TRUE,3.5,0)))*(1-IF(AND(ArtifactsInput!$M$27,Inputs!$B$4="Chapter Hunt"),CHOOSE(ArtifactsInput!$N$27+1,20,24,28,32,36,40),0)/100)))))/Skills!H5+0.000000001),1)))/Inputs!$B$43),G3354*Q3354)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4">
        <f>IF(C3354,(H3354*N3354*IF(AND(Inputs!$B$38&lt;&gt;"pvp",Inputs!$B$43&gt;0),((Skills!G5*((R3354-1)*IF(Skills!H5&gt;0,INT(Skills!I5/Skills!H5+0.000000001),1)+IF(Skills!H5&gt;0,INT(MIN(Skills!I5,MAX(0,MAX(0,Inputs!$B$43-B3391)-((R3354-1)*(IF(Inputs!$B$38="pvp",15,MAX(0.1,Skills!D5-IF(TRUE=TRUE,3.5,0)))*(1-IF(AND(ArtifactsInput!$M$27,Inputs!$B$4="Chapter Hunt"),CHOOSE(ArtifactsInput!$N$27+1,20,24,28,32,36,40),0)/100)))))/Skills!H5+0.000000001),1)))/Inputs!$B$43),G3354*Q3354))*IF(Inputs!$B$38="pvp",1,(1+(Inputs!$B$21+Skills!Q5+(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5">
      <c r="A3355">
        <f>Skills!A6</f>
        <v/>
      </c>
      <c r="B3355">
        <f>Skills!B6</f>
        <v/>
      </c>
      <c r="C3355">
        <f>Inputs!$B$3&gt;=40</f>
        <v/>
      </c>
      <c r="D3355">
        <f>IF(Skills!C6=1,60+Inputs!$B$25+Inputs!$B$29,IF(Skills!C6=2,90+Inputs!$B$26+Inputs!$B$29,IF(Skills!C6=3,120+Inputs!$B$27+Inputs!$B$29,MAX(0,(Inputs!$B$3-100)*3)+Inputs!$B$28+Inputs!$B$29)))</f>
        <v/>
      </c>
      <c r="E3355">
        <f>INDEX(FactorTable!$B$2:$Y$301, MATCH(ROUND(MIN(300,MAX(1,D3355)),0), FactorTable!$A$2:$A$301,0), Skills!M6+1)</f>
        <v/>
      </c>
      <c r="F3355">
        <f>IF(Skills!N6=TRUE,(Skills!L6/10)*(E3355/1000),Skills!L6/10)+Skills!O6</f>
        <v/>
      </c>
      <c r="G3355">
        <f>Skills!G6*IF(Skills!H6&gt;0,INT(IF(Inputs!$B$38="pvp",MIN(Skills!I6,15),Skills!I6)/Skills!H6+0.000000001),1)</f>
        <v/>
      </c>
      <c r="H3355">
        <f>1-(1-Skills!J6/100)^Skills!K6</f>
        <v/>
      </c>
      <c r="I3355" t="inlineStr">
        <is>
          <t>1</t>
        </is>
      </c>
      <c r="J3355">
        <f>((Inputs!$B$6*(1+Inputs!$B$7/100))+(((Inputs!$B$12*(1+Inputs!$B$13/100))-(Inputs!$B$12*(1+Inputs!$B$13/100)))+0.25*(Inputs!$B$14-Inputs!$B$14))*(1+Inputs!$B$7/100))*(F3355/100)</f>
        <v/>
      </c>
      <c r="K3355">
        <f>J3355*(1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3356=TRUE,F3356,0)/100)*(1+(IF(Skills!A6="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3355)</f>
        <v/>
      </c>
      <c r="L3355">
        <f>K3355*(MIN(Inputs!$B$22+((C3375=TRUE)*(F3375-Calc!F26)),(Inputs!$B$23+((C3380=TRUE)*(F3380-Calc!F31))+(IF(ArtifactsInput!$M$15,CHOOSE(ArtifactsInput!$N$15+1,25,30,35,40,45,50)/100*(Inputs!$B$11-Inputs!$B$11),0))))/100+(Inputs!$B$23+((C3380=TRUE)*(F3380-Calc!F31))+(IF(ArtifactsInput!$M$15,CHOOSE(ArtifactsInput!$N$15+1,25,30,35,40,45,50)/100*(Inputs!$B$11-Inputs!$B$11),0)))/100)/2</f>
        <v/>
      </c>
      <c r="M3355">
        <f>L3355*(1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5">
        <f>L3355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3355*(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5">
        <f>(1-Summary!$B$11)*T3355+Summary!$B$11*V3355</f>
        <v/>
      </c>
      <c r="P3355">
        <f>IF(B3394=0,0,O3355/B3394)</f>
        <v/>
      </c>
      <c r="Q3355">
        <f>IFERROR(1/(IF(Inputs!$B$38="pvp",15,MAX(0.1,1-0.4*MIN(1,(B3386-1)/1.5)-IF(FALSE=TRUE,3.5,0)))*(1-IF(AND(ArtifactsInput!$M$27,Inputs!$B$4="Chapter Hunt"),CHOOSE(ArtifactsInput!$N$27+1,20,24,28,32,36,40),0)/100)),0)</f>
        <v/>
      </c>
      <c r="R3355">
        <f>IF(AND(Inputs!$B$38&lt;&gt;"pvp",Inputs!$B$43&gt;0),IF(MAX(0,Inputs!$B$43-B3391)&lt;=0,0,(INT(MAX(0,Inputs!$B$43-B3391)/(IF(Inputs!$B$38="pvp",15,MAX(0.1,1-0.4*MIN(1,(B3386-1)/1.5)-IF(FALSE=TRUE,3.5,0)))*(1-IF(AND(ArtifactsInput!$M$27,Inputs!$B$4="Chapter Hunt"),CHOOSE(ArtifactsInput!$N$27+1,20,24,28,32,36,40),0)/100)))+1)),0)</f>
        <v/>
      </c>
      <c r="S3355">
        <f>IFERROR(O3355/N3355,0)</f>
        <v/>
      </c>
      <c r="T3355">
        <f>IF(C3355,(H3355*N3355*IF(AND(Inputs!$B$38&lt;&gt;"pvp",Inputs!$B$43&gt;0),((Skills!G6*((R3355-1)*IF(Skills!H6&gt;0,INT(Skills!I6/Skills!H6+0.000000001),1)+IF(Skills!H6&gt;0,INT(MIN(Skills!I6,MAX(0,MAX(0,Inputs!$B$43-B3391)-((R3355-1)*(IF(Inputs!$B$38="pvp",15,MAX(0.1,1-0.4*MIN(1,(B3386-1)/1.5)-IF(FALSE=TRUE,3.5,0)))*(1-IF(AND(ArtifactsInput!$M$27,Inputs!$B$4="Chapter Hunt"),CHOOSE(ArtifactsInput!$N$27+1,20,24,28,32,36,40),0)/100)))))/Skills!H6+0.000000001),1)))/Inputs!$B$43),G3355*Q3355)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5">
        <f>IF(C3355,(H3355*N3355*IF(AND(Inputs!$B$38&lt;&gt;"pvp",Inputs!$B$43&gt;0),((Skills!G6*((R3355-1)*IF(Skills!H6&gt;0,INT(Skills!I6/Skills!H6+0.000000001),1)+IF(Skills!H6&gt;0,INT(MIN(Skills!I6,MAX(0,MAX(0,Inputs!$B$43-B3391)-((R3355-1)*(IF(Inputs!$B$38="pvp",15,MAX(0.1,1-0.4*MIN(1,(B3386-1)/1.5)-IF(FALSE=TRUE,3.5,0)))*(1-IF(AND(ArtifactsInput!$M$27,Inputs!$B$4="Chapter Hunt"),CHOOSE(ArtifactsInput!$N$27+1,20,24,28,32,36,40),0)/100)))))/Skills!H6+0.000000001),1)))/Inputs!$B$43),G3355*Q3355))*IF(Inputs!$B$38="pvp",1,(1+(Inputs!$B$21+Skills!Q6+(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6">
      <c r="A3356">
        <f>Skills!A7</f>
        <v/>
      </c>
      <c r="B3356">
        <f>Skills!B7</f>
        <v/>
      </c>
      <c r="C3356">
        <f>Inputs!$B$3&gt;=107</f>
        <v/>
      </c>
      <c r="D3356">
        <f>IF(Skills!C7=1,60+Inputs!$B$25+Inputs!$B$29,IF(Skills!C7=2,90+Inputs!$B$26+Inputs!$B$29,IF(Skills!C7=3,120+Inputs!$B$27+Inputs!$B$29,MAX(0,(Inputs!$B$3-100)*3)+Inputs!$B$28+Inputs!$B$29)))</f>
        <v/>
      </c>
      <c r="E3356">
        <f>INDEX(FactorTable!$B$2:$Y$301, MATCH(ROUND(MIN(300,MAX(1,D3356)),0), FactorTable!$A$2:$A$301,0), Skills!M7+1)</f>
        <v/>
      </c>
      <c r="F3356">
        <f>IF(Skills!N7=TRUE,(Skills!L7/10)*(E3356/1000),Skills!L7/10)+Skills!O7</f>
        <v/>
      </c>
      <c r="G3356" t="inlineStr"/>
      <c r="H3356" t="inlineStr"/>
      <c r="I3356" t="inlineStr">
        <is>
          <t>1</t>
        </is>
      </c>
      <c r="J3356" t="inlineStr"/>
      <c r="K3356" t="inlineStr"/>
      <c r="L3356" t="inlineStr"/>
      <c r="M3356" t="inlineStr"/>
      <c r="N3356" t="inlineStr"/>
      <c r="O3356" t="inlineStr"/>
      <c r="P3356" t="inlineStr"/>
      <c r="Q3356" t="inlineStr"/>
      <c r="R3356" t="inlineStr"/>
      <c r="S3356" t="inlineStr"/>
      <c r="T3356" t="inlineStr"/>
      <c r="V3356" t="inlineStr"/>
    </row>
    <row r="3357">
      <c r="A3357">
        <f>Skills!A8</f>
        <v/>
      </c>
      <c r="B3357">
        <f>Skills!B8</f>
        <v/>
      </c>
      <c r="C3357">
        <f>Inputs!$B$3&gt;=130</f>
        <v/>
      </c>
      <c r="D3357">
        <f>IF(Skills!C8=1,60+Inputs!$B$25+Inputs!$B$29,IF(Skills!C8=2,90+Inputs!$B$26+Inputs!$B$29,IF(Skills!C8=3,120+Inputs!$B$27+Inputs!$B$29,MAX(0,(Inputs!$B$3-100)*3)+Inputs!$B$28+Inputs!$B$29)))</f>
        <v/>
      </c>
      <c r="E3357">
        <f>INDEX(FactorTable!$B$2:$Y$301, MATCH(ROUND(MIN(300,MAX(1,D3357)),0), FactorTable!$A$2:$A$301,0), Skills!M8+1)</f>
        <v/>
      </c>
      <c r="F3357">
        <f>IF(Skills!N8=TRUE,(Skills!L8/10)*(E3357/1000),Skills!L8/10)+Skills!O8</f>
        <v/>
      </c>
      <c r="G3357">
        <f>Skills!G8*IF(Skills!H8&gt;0,INT(IF(Inputs!$B$38="pvp",MIN(Skills!I8,15),Skills!I8)/Skills!H8+0.000000001),1)</f>
        <v/>
      </c>
      <c r="H3357">
        <f>1-(1-Skills!J8/100)^Skills!K8</f>
        <v/>
      </c>
      <c r="I3357" t="inlineStr">
        <is>
          <t>1</t>
        </is>
      </c>
      <c r="J3357">
        <f>((Inputs!$B$6*(1+Inputs!$B$7/100))+(((Inputs!$B$12*(1+Inputs!$B$13/100))-(Inputs!$B$12*(1+Inputs!$B$13/100)))+0.25*(Inputs!$B$14-Inputs!$B$14))*(1+Inputs!$B$7/100))*(F3357/100)</f>
        <v/>
      </c>
      <c r="K3357">
        <f>J3357*(1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3375=TRUE)*(F3375-Calc!F26)),(Inputs!$B$23+((C3380=TRUE)*(F3380-Calc!F31))+(IF(ArtifactsInput!$M$15,CHOOSE(ArtifactsInput!$N$15+1,25,30,35,40,45,50)/100*(Inputs!$B$11-Inputs!$B$11),0))))/100+(Inputs!$B$23+((C3380=TRUE)*(F3380-Calc!F31))+(IF(ArtifactsInput!$M$15,CHOOSE(ArtifactsInput!$N$15+1,25,30,35,40,45,50)/100*(Inputs!$B$11-Inputs!$B$11),0)))/100)/2</f>
        <v/>
      </c>
      <c r="M3357">
        <f>L3357*(1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IF(B3394=0,0,O3357/B3394)</f>
        <v/>
      </c>
      <c r="Q3357">
        <f>IFERROR(1/(IF(Inputs!$B$38="pvp",15,MAX(0.1,1-0.4*MIN(1,(B3386-1)/1.5)-IF(FALSE=TRUE,3.5,0)))*(1-IF(AND(ArtifactsInput!$M$27,Inputs!$B$4="Chapter Hunt"),CHOOSE(ArtifactsInput!$N$27+1,20,24,28,32,36,40),0)/100)),0)</f>
        <v/>
      </c>
      <c r="R3357">
        <f>IF(AND(Inputs!$B$38&lt;&gt;"pvp",Inputs!$B$43&gt;0),IF(MAX(0,Inputs!$B$43-B3391)&lt;=0,0,(INT(MAX(0,Inputs!$B$43-B3391)/(IF(Inputs!$B$38="pvp",15,MAX(0.1,1-0.4*MIN(1,(B3386-1)/1.5)-IF(FALSE=TRUE,3.5,0)))*(1-IF(AND(ArtifactsInput!$M$27,Inputs!$B$4="Chapter Hunt"),CHOOSE(ArtifactsInput!$N$27+1,20,24,28,32,36,40),0)/100)))+1)),0)</f>
        <v/>
      </c>
      <c r="S3357">
        <f>IFERROR(O3357/N3357,0)</f>
        <v/>
      </c>
      <c r="T3357">
        <f>IF(C3357,(H3357*N3357*IF(AND(Inputs!$B$38&lt;&gt;"pvp",Inputs!$B$43&gt;0),((Skills!G8*((R3357-1)*IF(Skills!H8&gt;0,INT(Skills!I8/Skills!H8+0.000000001),1)+IF(Skills!H8&gt;0,INT(MIN(Skills!I8,MAX(0,MAX(0,Inputs!$B$43-B3391)-((R3357-1)*(IF(Inputs!$B$38="pvp",15,MAX(0.1,1-0.4*MIN(1,(B3386-1)/1.5)-IF(FALSE=TRUE,3.5,0)))*(1-IF(AND(ArtifactsInput!$M$27,Inputs!$B$4="Chapter Hunt"),CHOOSE(ArtifactsInput!$N$27+1,20,24,28,32,36,40),0)/100)))))/Skills!H8+0.000000001),1)))/Inputs!$B$43),G3357*Q3357)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8*((R3357-1)*IF(Skills!H8&gt;0,INT(Skills!I8/Skills!H8+0.000000001),1)+IF(Skills!H8&gt;0,INT(MIN(Skills!I8,MAX(0,MAX(0,Inputs!$B$43-B3391)-((R3357-1)*(IF(Inputs!$B$38="pvp",15,MAX(0.1,1-0.4*MIN(1,(B3386-1)/1.5)-IF(FALSE=TRUE,3.5,0)))*(1-IF(AND(ArtifactsInput!$M$27,Inputs!$B$4="Chapter Hunt"),CHOOSE(ArtifactsInput!$N$27+1,20,24,28,32,36,40),0)/100)))))/Skills!H8+0.000000001),1)))/Inputs!$B$43),G3357*Q3357))*IF(Inputs!$B$38="pvp",1,(1+(Inputs!$B$21+Skills!Q8+(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Skills!A9</f>
        <v/>
      </c>
      <c r="B3358">
        <f>Skills!B9</f>
        <v/>
      </c>
      <c r="C3358">
        <f>Inputs!$B$3&gt;=69</f>
        <v/>
      </c>
      <c r="D3358">
        <f>IF(Skills!C9=1,60+Inputs!$B$25+Inputs!$B$29,IF(Skills!C9=2,90+Inputs!$B$26+Inputs!$B$29,IF(Skills!C9=3,120+Inputs!$B$27+Inputs!$B$29,MAX(0,(Inputs!$B$3-100)*3)+Inputs!$B$28+Inputs!$B$29)))</f>
        <v/>
      </c>
      <c r="E3358">
        <f>INDEX(FactorTable!$B$2:$Y$301, MATCH(ROUND(MIN(300,MAX(1,D3358)),0), FactorTable!$A$2:$A$301,0), Skills!M9+1)</f>
        <v/>
      </c>
      <c r="F3358">
        <f>IF(Skills!N9=TRUE,(Skills!L9/10)*(E3358/1000),Skills!L9/10)+Skills!O9</f>
        <v/>
      </c>
      <c r="G3358">
        <f>Skills!G9*IF(Skills!H9&gt;0,INT(IF(Inputs!$B$38="pvp",MIN(Skills!I9,15),Skills!I9)/Skills!H9+0.000000001),1)</f>
        <v/>
      </c>
      <c r="H3358">
        <f>1-(1-Skills!J9/100)^Skills!K9</f>
        <v/>
      </c>
      <c r="I3358" t="inlineStr">
        <is>
          <t>1</t>
        </is>
      </c>
      <c r="J3358">
        <f>((Inputs!$B$6*(1+Inputs!$B$7/100))+(((Inputs!$B$12*(1+Inputs!$B$13/100))-(Inputs!$B$12*(1+Inputs!$B$13/100)))+0.25*(Inputs!$B$14-Inputs!$B$14))*(1+Inputs!$B$7/100))*(F3358/100)</f>
        <v/>
      </c>
      <c r="K3358">
        <f>J3358*(1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3361=TRUE,F3361,0)/100)*(1+(IF(Skills!A9="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3358)</f>
        <v/>
      </c>
      <c r="L3358">
        <f>K3358*(MIN(Inputs!$B$22+((C3375=TRUE)*(F3375-Calc!F26)),(Inputs!$B$23+((C3380=TRUE)*(F3380-Calc!F31))+(IF(ArtifactsInput!$M$15,CHOOSE(ArtifactsInput!$N$15+1,25,30,35,40,45,50)/100*(Inputs!$B$11-Inputs!$B$11),0))))/100+(Inputs!$B$23+((C3380=TRUE)*(F3380-Calc!F31))+(IF(ArtifactsInput!$M$15,CHOOSE(ArtifactsInput!$N$15+1,25,30,35,40,45,50)/100*(Inputs!$B$11-Inputs!$B$11),0)))/100)/2</f>
        <v/>
      </c>
      <c r="M3358">
        <f>L3358*(1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8">
        <f>L3358*(1-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3358*(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8">
        <f>(1-Summary!$B$11)*T3358+Summary!$B$11*V3358</f>
        <v/>
      </c>
      <c r="P3358">
        <f>IF(B3394=0,0,O3358/B3394)</f>
        <v/>
      </c>
      <c r="Q3358">
        <f>IFERROR(1/(IF(Inputs!$B$38="pvp",15,MAX(0.1,Skills!D9-IF(TRUE=TRUE,3.5,0)))*(1-IF(AND(ArtifactsInput!$M$27,Inputs!$B$4="Chapter Hunt"),CHOOSE(ArtifactsInput!$N$27+1,20,24,28,32,36,40),0)/100)),0)</f>
        <v/>
      </c>
      <c r="R3358">
        <f>IF(AND(Inputs!$B$38&lt;&gt;"pvp",Inputs!$B$43&gt;0),IF(MAX(0,Inputs!$B$43-B3391)&lt;=0,0,(INT(MAX(0,Inputs!$B$43-B3391)/(IF(Inputs!$B$38="pvp",15,MAX(0.1,Skills!D9-IF(TRUE=TRUE,3.5,0)))*(1-IF(AND(ArtifactsInput!$M$27,Inputs!$B$4="Chapter Hunt"),CHOOSE(ArtifactsInput!$N$27+1,20,24,28,32,36,40),0)/100)))+1)),0)</f>
        <v/>
      </c>
      <c r="S3358">
        <f>IFERROR(O3358/N3358,0)</f>
        <v/>
      </c>
      <c r="T3358">
        <f>IF(C3358,(H3358*N3358*IF(AND(Inputs!$B$38&lt;&gt;"pvp",Inputs!$B$43&gt;0),((Skills!G9*((R3358-1)*IF(Skills!H9&gt;0,INT(Skills!I9/Skills!H9+0.000000001),1)+IF(Skills!H9&gt;0,INT(MIN(Skills!I9,MAX(0,MAX(0,Inputs!$B$43-B3391)-((R3358-1)*(IF(Inputs!$B$38="pvp",15,MAX(0.1,Skills!D9-IF(TRUE=TRUE,3.5,0)))*(1-IF(AND(ArtifactsInput!$M$27,Inputs!$B$4="Chapter Hunt"),CHOOSE(ArtifactsInput!$N$27+1,20,24,28,32,36,40),0)/100)))))/Skills!H9+0.000000001),1)))/Inputs!$B$43),G3358*Q3358)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8">
        <f>IF(C3358,(H3358*N3358*IF(AND(Inputs!$B$38&lt;&gt;"pvp",Inputs!$B$43&gt;0),((Skills!G9*((R3358-1)*IF(Skills!H9&gt;0,INT(Skills!I9/Skills!H9+0.000000001),1)+IF(Skills!H9&gt;0,INT(MIN(Skills!I9,MAX(0,MAX(0,Inputs!$B$43-B3391)-((R3358-1)*(IF(Inputs!$B$38="pvp",15,MAX(0.1,Skills!D9-IF(TRUE=TRUE,3.5,0)))*(1-IF(AND(ArtifactsInput!$M$27,Inputs!$B$4="Chapter Hunt"),CHOOSE(ArtifactsInput!$N$27+1,20,24,28,32,36,40),0)/100)))))/Skills!H9+0.000000001),1)))/Inputs!$B$43),G3358*Q3358))*IF(Inputs!$B$38="pvp",1,(1+(Inputs!$B$21+Skills!Q9+(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9">
      <c r="A3359">
        <f>Skills!A10</f>
        <v/>
      </c>
      <c r="B3359">
        <f>Skills!B10</f>
        <v/>
      </c>
      <c r="C3359">
        <f>Inputs!$B$3&gt;=63</f>
        <v/>
      </c>
      <c r="D3359">
        <f>IF(Skills!C10=1,60+Inputs!$B$25+Inputs!$B$29,IF(Skills!C10=2,90+Inputs!$B$26+Inputs!$B$29,IF(Skills!C10=3,120+Inputs!$B$27+Inputs!$B$29,MAX(0,(Inputs!$B$3-100)*3)+Inputs!$B$28+Inputs!$B$29)))</f>
        <v/>
      </c>
      <c r="E3359">
        <f>INDEX(FactorTable!$B$2:$Y$301, MATCH(ROUND(MIN(300,MAX(1,D3359)),0), FactorTable!$A$2:$A$301,0), Skills!M10+1)</f>
        <v/>
      </c>
      <c r="F3359">
        <f>IF(Skills!N10=TRUE,(Skills!L10/10)*(E3359/1000),Skills!L10/10)+Skills!O10</f>
        <v/>
      </c>
      <c r="G3359">
        <f>Skills!G10*IF(Skills!H10&gt;0,INT(IF(Inputs!$B$38="pvp",MIN(Skills!I10,15),Skills!I10)/Skills!H10+0.000000001),1)</f>
        <v/>
      </c>
      <c r="H3359">
        <f>1-(1-Skills!J10/100)^Skills!K10</f>
        <v/>
      </c>
      <c r="I3359" t="inlineStr">
        <is>
          <t>1</t>
        </is>
      </c>
      <c r="J3359">
        <f>((Inputs!$B$6*(1+Inputs!$B$7/100))+(((Inputs!$B$12*(1+Inputs!$B$13/100))-(Inputs!$B$12*(1+Inputs!$B$13/100)))+0.25*(Inputs!$B$14-Inputs!$B$14))*(1+Inputs!$B$7/100))*(F3359/100)</f>
        <v/>
      </c>
      <c r="K3359">
        <f>J3359*(1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3361=TRUE,F3361,0)/100)*(1+(IF(Skills!A10="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3375=TRUE)*(F3375-Calc!F26)),(Inputs!$B$23+((C3380=TRUE)*(F3380-Calc!F31))+(IF(ArtifactsInput!$M$15,CHOOSE(ArtifactsInput!$N$15+1,25,30,35,40,45,50)/100*(Inputs!$B$11-Inputs!$B$11),0))))/100+(Inputs!$B$23+((C3380=TRUE)*(F3380-Calc!F31))+(IF(ArtifactsInput!$M$15,CHOOSE(ArtifactsInput!$N$15+1,25,30,35,40,45,50)/100*(Inputs!$B$11-Inputs!$B$11),0)))/100)/2</f>
        <v/>
      </c>
      <c r="M3359">
        <f>L3359*(1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IF(B3394=0,0,O3359/B3394)</f>
        <v/>
      </c>
      <c r="Q3359">
        <f>IFERROR(1/(IF(Inputs!$B$38="pvp",15,MAX(0.1,Skills!D10-IF(TRUE=TRUE,3.5,0)))*(1-IF(AND(ArtifactsInput!$M$27,Inputs!$B$4="Chapter Hunt"),CHOOSE(ArtifactsInput!$N$27+1,20,24,28,32,36,40),0)/100)),0)</f>
        <v/>
      </c>
      <c r="R3359">
        <f>IF(AND(Inputs!$B$38&lt;&gt;"pvp",Inputs!$B$43&gt;0),IF(MAX(0,Inputs!$B$43-B3391)&lt;=0,0,(INT(MAX(0,Inputs!$B$43-B3391)/(IF(Inputs!$B$38="pvp",15,MAX(0.1,Skills!D10-IF(TRUE=TRUE,3.5,0)))*(1-IF(AND(ArtifactsInput!$M$27,Inputs!$B$4="Chapter Hunt"),CHOOSE(ArtifactsInput!$N$27+1,20,24,28,32,36,40),0)/100)))+1)),0)</f>
        <v/>
      </c>
      <c r="S3359">
        <f>IFERROR(O3359/N3359,0)</f>
        <v/>
      </c>
      <c r="T3359">
        <f>IF(C3359,(H3359*N3359*IF(AND(Inputs!$B$38&lt;&gt;"pvp",Inputs!$B$43&gt;0),((Skills!G10*((R3359-1)*IF(Skills!H10&gt;0,INT(Skills!I10/Skills!H10+0.000000001),1)+IF(Skills!H10&gt;0,INT(MIN(Skills!I10,MAX(0,MAX(0,Inputs!$B$43-B3391)-((R3359-1)*(IF(Inputs!$B$38="pvp",15,MAX(0.1,Skills!D10-IF(TRUE=TRUE,3.5,0)))*(1-IF(AND(ArtifactsInput!$M$27,Inputs!$B$4="Chapter Hunt"),CHOOSE(ArtifactsInput!$N$27+1,20,24,28,32,36,40),0)/100)))))/Skills!H10+0.000000001),1)))/Inputs!$B$43),G3359*Q3359)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10*((R3359-1)*IF(Skills!H10&gt;0,INT(Skills!I10/Skills!H10+0.000000001),1)+IF(Skills!H10&gt;0,INT(MIN(Skills!I10,MAX(0,MAX(0,Inputs!$B$43-B3391)-((R3359-1)*(IF(Inputs!$B$38="pvp",15,MAX(0.1,Skills!D10-IF(TRUE=TRUE,3.5,0)))*(1-IF(AND(ArtifactsInput!$M$27,Inputs!$B$4="Chapter Hunt"),CHOOSE(ArtifactsInput!$N$27+1,20,24,28,32,36,40),0)/100)))))/Skills!H10+0.000000001),1)))/Inputs!$B$43),G3359*Q3359))*IF(Inputs!$B$38="pvp",1,(1+(Inputs!$B$21+Skills!Q10+(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Skills!A11</f>
        <v/>
      </c>
      <c r="B3360">
        <f>Skills!B11</f>
        <v/>
      </c>
      <c r="C3360">
        <f>Inputs!$B$3&gt;=103</f>
        <v/>
      </c>
      <c r="D3360">
        <f>IF(Skills!C11=1,60+Inputs!$B$25+Inputs!$B$29,IF(Skills!C11=2,90+Inputs!$B$26+Inputs!$B$29,IF(Skills!C11=3,120+Inputs!$B$27+Inputs!$B$29,MAX(0,(Inputs!$B$3-100)*3)+Inputs!$B$28+Inputs!$B$29)))</f>
        <v/>
      </c>
      <c r="E3360">
        <f>INDEX(FactorTable!$B$2:$Y$301, MATCH(ROUND(MIN(300,MAX(1,D3360)),0), FactorTable!$A$2:$A$301,0), Skills!M11+1)</f>
        <v/>
      </c>
      <c r="F3360">
        <f>IF(Skills!N11=TRUE,(Skills!L11/10)*(E3360/1000),Skills!L11/10)+Skills!O11</f>
        <v/>
      </c>
      <c r="G3360">
        <f>Skills!G11*IF(Skills!H11&gt;0,INT(IF(Inputs!$B$38="pvp",MIN(Skills!I11,15),Skills!I11)/Skills!H11+0.000000001),1)</f>
        <v/>
      </c>
      <c r="H3360">
        <f>1-(1-Skills!J11/100)^Skills!K11</f>
        <v/>
      </c>
      <c r="I3360" t="inlineStr">
        <is>
          <t>1</t>
        </is>
      </c>
      <c r="J3360">
        <f>((Inputs!$B$6*(1+Inputs!$B$7/100))+(((Inputs!$B$12*(1+Inputs!$B$13/100))-(Inputs!$B$12*(1+Inputs!$B$13/100)))+0.25*(Inputs!$B$14-Inputs!$B$14))*(1+Inputs!$B$7/100))*(F3360/100)</f>
        <v/>
      </c>
      <c r="K3360">
        <f>J3360*(1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3375=TRUE)*(F3375-Calc!F26)),(Inputs!$B$23+((C3380=TRUE)*(F3380-Calc!F31))+(IF(ArtifactsInput!$M$15,CHOOSE(ArtifactsInput!$N$15+1,25,30,35,40,45,50)/100*(Inputs!$B$11-Inputs!$B$11),0))))/100+(Inputs!$B$23+((C3380=TRUE)*(F3380-Calc!F31))+(IF(ArtifactsInput!$M$15,CHOOSE(ArtifactsInput!$N$15+1,25,30,35,40,45,50)/100*(Inputs!$B$11-Inputs!$B$11),0)))/100)/2</f>
        <v/>
      </c>
      <c r="M3360">
        <f>L3360*(1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IF(B3394=0,0,O3360/B3394)</f>
        <v/>
      </c>
      <c r="Q3360">
        <f>IFERROR(1/(IF(Inputs!$B$38="pvp",15,MAX(0.1,Skills!D11-IF(TRUE=TRUE,3.5,0)))*(1-IF(AND(ArtifactsInput!$M$27,Inputs!$B$4="Chapter Hunt"),CHOOSE(ArtifactsInput!$N$27+1,20,24,28,32,36,40),0)/100)),0)</f>
        <v/>
      </c>
      <c r="R3360">
        <f>IF(AND(Inputs!$B$38&lt;&gt;"pvp",Inputs!$B$43&gt;0),IF(MAX(0,Inputs!$B$43-B3391)&lt;=0,0,(INT(MAX(0,Inputs!$B$43-B3391)/(IF(Inputs!$B$38="pvp",15,MAX(0.1,Skills!D11-IF(TRUE=TRUE,3.5,0)))*(1-IF(AND(ArtifactsInput!$M$27,Inputs!$B$4="Chapter Hunt"),CHOOSE(ArtifactsInput!$N$27+1,20,24,28,32,36,40),0)/100)))+1)),0)</f>
        <v/>
      </c>
      <c r="S3360">
        <f>IFERROR(O3360/N3360,0)</f>
        <v/>
      </c>
      <c r="T3360">
        <f>IF(C3360,(H3360*N3360*IF(AND(Inputs!$B$38&lt;&gt;"pvp",Inputs!$B$43&gt;0),((Skills!G11*((R3360-1)*IF(Skills!H11&gt;0,INT(Skills!I11/Skills!H11+0.000000001),1)+IF(Skills!H11&gt;0,INT(MIN(Skills!I11,MAX(0,MAX(0,Inputs!$B$43-B3391)-((R3360-1)*(IF(Inputs!$B$38="pvp",15,MAX(0.1,Skills!D11-IF(TRUE=TRUE,3.5,0)))*(1-IF(AND(ArtifactsInput!$M$27,Inputs!$B$4="Chapter Hunt"),CHOOSE(ArtifactsInput!$N$27+1,20,24,28,32,36,40),0)/100)))))/Skills!H11+0.000000001),1)))/Inputs!$B$43),G3360*Q3360)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11*((R3360-1)*IF(Skills!H11&gt;0,INT(Skills!I11/Skills!H11+0.000000001),1)+IF(Skills!H11&gt;0,INT(MIN(Skills!I11,MAX(0,MAX(0,Inputs!$B$43-B3391)-((R3360-1)*(IF(Inputs!$B$38="pvp",15,MAX(0.1,Skills!D11-IF(TRUE=TRUE,3.5,0)))*(1-IF(AND(ArtifactsInput!$M$27,Inputs!$B$4="Chapter Hunt"),CHOOSE(ArtifactsInput!$N$27+1,20,24,28,32,36,40),0)/100)))))/Skills!H11+0.000000001),1)))/Inputs!$B$43),G3360*Q3360))*IF(Inputs!$B$38="pvp",1,(1+(Inputs!$B$21+Skills!Q11+(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Skills!A12</f>
        <v/>
      </c>
      <c r="B3361">
        <f>Skills!B12</f>
        <v/>
      </c>
      <c r="C3361">
        <f>Inputs!$B$3&gt;=100</f>
        <v/>
      </c>
      <c r="D3361">
        <f>IF(Skills!C12=1,60+Inputs!$B$25+Inputs!$B$29,IF(Skills!C12=2,90+Inputs!$B$26+Inputs!$B$29,IF(Skills!C12=3,120+Inputs!$B$27+Inputs!$B$29,MAX(0,(Inputs!$B$3-100)*3)+Inputs!$B$28+Inputs!$B$29)))</f>
        <v/>
      </c>
      <c r="E3361">
        <f>INDEX(FactorTable!$B$2:$Y$301, MATCH(ROUND(MIN(300,MAX(1,D3361)),0), FactorTable!$A$2:$A$301,0), Skills!M12+1)</f>
        <v/>
      </c>
      <c r="F3361">
        <f>IF(Skills!N12=TRUE,(Skills!L12/10)*(E3361/1000),Skills!L12/10)+Skills!O12</f>
        <v/>
      </c>
      <c r="G3361" t="inlineStr"/>
      <c r="H3361" t="inlineStr"/>
      <c r="I3361" t="inlineStr">
        <is>
          <t>1</t>
        </is>
      </c>
      <c r="J3361" t="inlineStr"/>
      <c r="K3361" t="inlineStr"/>
      <c r="L3361" t="inlineStr"/>
      <c r="M3361" t="inlineStr"/>
      <c r="N3361" t="inlineStr"/>
      <c r="O3361" t="inlineStr"/>
      <c r="P3361" t="inlineStr"/>
      <c r="Q3361" t="inlineStr"/>
      <c r="R3361" t="inlineStr"/>
      <c r="S3361" t="inlineStr"/>
      <c r="T3361" t="inlineStr"/>
      <c r="V3361" t="inlineStr"/>
    </row>
    <row r="3362">
      <c r="A3362">
        <f>Skills!A13</f>
        <v/>
      </c>
      <c r="B3362">
        <f>Skills!B13</f>
        <v/>
      </c>
      <c r="C3362">
        <f>Inputs!$B$3&gt;=60</f>
        <v/>
      </c>
      <c r="D3362">
        <f>IF(Skills!C13=1,60+Inputs!$B$25+Inputs!$B$29,IF(Skills!C13=2,90+Inputs!$B$26+Inputs!$B$29,IF(Skills!C13=3,120+Inputs!$B$27+Inputs!$B$29,MAX(0,(Inputs!$B$3-100)*3)+Inputs!$B$28+Inputs!$B$29)))</f>
        <v/>
      </c>
      <c r="E3362">
        <f>INDEX(FactorTable!$B$2:$Y$301, MATCH(ROUND(MIN(300,MAX(1,D3362)),0), FactorTable!$A$2:$A$301,0), Skills!M13+1)</f>
        <v/>
      </c>
      <c r="F3362">
        <f>IF(Skills!N13=TRUE,(Skills!L13/10)*(E3362/1000),Skills!L13/10)+Skills!O13</f>
        <v/>
      </c>
      <c r="G3362">
        <f>Skills!G13*IF(Skills!H13&gt;0,INT(IF(Inputs!$B$38="pvp",MIN(Skills!I13,15),Skills!I13)/Skills!H13+0.000000001),1)</f>
        <v/>
      </c>
      <c r="H3362">
        <f>1-(1-Skills!J13/100)^Skills!K13</f>
        <v/>
      </c>
      <c r="I3362" t="inlineStr">
        <is>
          <t>1</t>
        </is>
      </c>
      <c r="J3362">
        <f>((Inputs!$B$6*(1+Inputs!$B$7/100))+(((Inputs!$B$12*(1+Inputs!$B$13/100))-(Inputs!$B$12*(1+Inputs!$B$13/100)))+0.25*(Inputs!$B$14-Inputs!$B$14))*(1+Inputs!$B$7/100))*(F3362/100)</f>
        <v/>
      </c>
      <c r="K3362">
        <f>J3362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3363=TRUE,F3363,0)/100)*(1+(IF(Skills!A13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3375=TRUE)*(F3375-Calc!F26)),(Inputs!$B$23+((C3380=TRUE)*(F3380-Calc!F31))+(IF(ArtifactsInput!$M$15,CHOOSE(ArtifactsInput!$N$15+1,25,30,35,40,45,50)/100*(Inputs!$B$11-Inputs!$B$11),0))))/100+(Inputs!$B$23+((C3380=TRUE)*(F3380-Calc!F31))+(IF(ArtifactsInput!$M$15,CHOOSE(ArtifactsInput!$N$15+1,25,30,35,40,45,50)/100*(Inputs!$B$11-Inputs!$B$11),0)))/100)/2</f>
        <v/>
      </c>
      <c r="M3362">
        <f>L3362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IF(B3394=0,0,O3362/B3394)</f>
        <v/>
      </c>
      <c r="Q3362">
        <f>IFERROR(1/(IF(Inputs!$B$38="pvp",15,MAX(0.1,IF(Inputs!$B$3&gt;=122,3,5)+1/(((20+30*(B3386-1)*100/150)/100)*B3386)-IF(FALSE=TRUE,3.5,0)))*(1-IF(AND(ArtifactsInput!$M$27,Inputs!$B$4="Chapter Hunt"),CHOOSE(ArtifactsInput!$N$27+1,20,24,28,32,36,40),0)/100)),0)</f>
        <v/>
      </c>
      <c r="R3362">
        <f>IF(AND(Inputs!$B$38&lt;&gt;"pvp",Inputs!$B$43&gt;0),IF(MAX(0,Inputs!$B$43-B3391)&lt;=0,0,(INT(MAX(0,Inputs!$B$43-B3391)/(IF(Inputs!$B$38="pvp",15,MAX(0.1,IF(Inputs!$B$3&gt;=122,3,5)+1/(((20+30*(B3386-1)*100/150)/100)*B3386)-IF(FALSE=TRUE,3.5,0)))*(1-IF(AND(ArtifactsInput!$M$27,Inputs!$B$4="Chapter Hunt"),CHOOSE(ArtifactsInput!$N$27+1,20,24,28,32,36,40),0)/100)))+1)),0)</f>
        <v/>
      </c>
      <c r="S3362">
        <f>IFERROR(O3362/N3362,0)</f>
        <v/>
      </c>
      <c r="T3362">
        <f>IF(C3362,(H3362*N3362*IF(AND(Inputs!$B$38&lt;&gt;"pvp",Inputs!$B$43&gt;0),((Skills!G13*((R3362-1)*IF(Skills!H13&gt;0,INT(Skills!I13/Skills!H13+0.000000001),1)+IF(Skills!H13&gt;0,INT(MIN(Skills!I13,MAX(0,MAX(0,Inputs!$B$43-B3391)-((R3362-1)*(IF(Inputs!$B$38="pvp",15,MAX(0.1,IF(Inputs!$B$3&gt;=122,3,5)+1/(((20+30*(B3386-1)*100/150)/100)*B3386)-IF(FALSE=TRUE,3.5,0)))*(1-IF(AND(ArtifactsInput!$M$27,Inputs!$B$4="Chapter Hunt"),CHOOSE(ArtifactsInput!$N$27+1,20,24,28,32,36,40),0)/100)))))/Skills!H13+0.000000001),1)))/Inputs!$B$43),G3362*Q3362)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13*((R3362-1)*IF(Skills!H13&gt;0,INT(Skills!I13/Skills!H13+0.000000001),1)+IF(Skills!H13&gt;0,INT(MIN(Skills!I13,MAX(0,MAX(0,Inputs!$B$43-B3391)-((R3362-1)*(IF(Inputs!$B$38="pvp",15,MAX(0.1,IF(Inputs!$B$3&gt;=122,3,5)+1/(((20+30*(B3386-1)*100/150)/100)*B3386)-IF(FALSE=TRUE,3.5,0)))*(1-IF(AND(ArtifactsInput!$M$27,Inputs!$B$4="Chapter Hunt"),CHOOSE(ArtifactsInput!$N$27+1,20,24,28,32,36,40),0)/100)))))/Skills!H13+0.000000001),1)))/Inputs!$B$43),G3362*Q3362))*IF(Inputs!$B$38="pvp",1,(1+(Inputs!$B$21+Skills!Q13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Skills!A14</f>
        <v/>
      </c>
      <c r="B3363">
        <f>Skills!B14</f>
        <v/>
      </c>
      <c r="C3363">
        <f>Inputs!$B$3&gt;=110</f>
        <v/>
      </c>
      <c r="D3363">
        <f>IF(Skills!C14=1,60+Inputs!$B$25+Inputs!$B$29,IF(Skills!C14=2,90+Inputs!$B$26+Inputs!$B$29,IF(Skills!C14=3,120+Inputs!$B$27+Inputs!$B$29,MAX(0,(Inputs!$B$3-100)*3)+Inputs!$B$28+Inputs!$B$29)))</f>
        <v/>
      </c>
      <c r="E3363">
        <f>INDEX(FactorTable!$B$2:$Y$301, MATCH(ROUND(MIN(300,MAX(1,D3363)),0), FactorTable!$A$2:$A$301,0), Skills!M14+1)</f>
        <v/>
      </c>
      <c r="F3363">
        <f>IF(Skills!N14=TRUE,(Skills!L14/10)*(E3363/1000),Skills!L14/10)+Skills!O14</f>
        <v/>
      </c>
      <c r="G3363" t="inlineStr"/>
      <c r="H3363" t="inlineStr"/>
      <c r="I3363" t="inlineStr">
        <is>
          <t>1</t>
        </is>
      </c>
      <c r="J3363" t="inlineStr"/>
      <c r="K3363" t="inlineStr"/>
      <c r="L3363" t="inlineStr"/>
      <c r="M3363" t="inlineStr"/>
      <c r="N3363" t="inlineStr"/>
      <c r="O3363" t="inlineStr"/>
      <c r="P3363" t="inlineStr"/>
      <c r="Q3363" t="inlineStr"/>
      <c r="R3363" t="inlineStr"/>
      <c r="S3363" t="inlineStr"/>
      <c r="T3363" t="inlineStr"/>
      <c r="V3363" t="inlineStr"/>
    </row>
    <row r="3364">
      <c r="A3364">
        <f>Skills!A15</f>
        <v/>
      </c>
      <c r="B3364">
        <f>Skills!B15</f>
        <v/>
      </c>
      <c r="C3364">
        <f>Inputs!$B$3&gt;=74</f>
        <v/>
      </c>
      <c r="D3364">
        <f>IF(Skills!C15=1,60+Inputs!$B$25+Inputs!$B$29,IF(Skills!C15=2,90+Inputs!$B$26+Inputs!$B$29,IF(Skills!C15=3,120+Inputs!$B$27+Inputs!$B$29,MAX(0,(Inputs!$B$3-100)*3)+Inputs!$B$28+Inputs!$B$29)))</f>
        <v/>
      </c>
      <c r="E3364">
        <f>INDEX(FactorTable!$B$2:$Y$301, MATCH(ROUND(MIN(300,MAX(1,D3364)),0), FactorTable!$A$2:$A$301,0), Skills!M15+1)</f>
        <v/>
      </c>
      <c r="F3364">
        <f>IF(Skills!N15=TRUE,(Skills!L15/10)*(E3364/1000),Skills!L15/10)+Skills!O15</f>
        <v/>
      </c>
      <c r="G3364">
        <f>Skills!G15*IF(Skills!H15&gt;0,INT(IF(Inputs!$B$38="pvp",MIN(Skills!I15,15),Skills!I15)/Skills!H15+0.000000001),1)</f>
        <v/>
      </c>
      <c r="H3364">
        <f>1-(1-Skills!J15/100)^Skills!K15</f>
        <v/>
      </c>
      <c r="I3364" t="inlineStr">
        <is>
          <t>1</t>
        </is>
      </c>
      <c r="J3364" t="inlineStr"/>
      <c r="K3364" t="inlineStr"/>
      <c r="L3364" t="inlineStr"/>
      <c r="M3364" t="inlineStr"/>
      <c r="N3364" t="inlineStr"/>
      <c r="O3364">
        <f>(1-Summary!$B$11)*T3364+Summary!$B$11*V3364</f>
        <v/>
      </c>
      <c r="P3364">
        <f>IF(B3394=0,0,O3364/B3394)</f>
        <v/>
      </c>
      <c r="Q3364" t="n">
        <v>0</v>
      </c>
      <c r="R3364" t="n">
        <v>0</v>
      </c>
      <c r="S3364">
        <f>IFERROR(O3364/N3364,0)</f>
        <v/>
      </c>
      <c r="T3364" t="n">
        <v>0</v>
      </c>
      <c r="V3364" t="n">
        <v>0</v>
      </c>
    </row>
    <row r="3365">
      <c r="A3365">
        <f>Skills!A16</f>
        <v/>
      </c>
      <c r="B3365">
        <f>Skills!B16</f>
        <v/>
      </c>
      <c r="C3365">
        <f>Inputs!$B$3&gt;=74</f>
        <v/>
      </c>
      <c r="D3365">
        <f>IF(Skills!C16=1,60+Inputs!$B$25+Inputs!$B$29,IF(Skills!C16=2,90+Inputs!$B$26+Inputs!$B$29,IF(Skills!C16=3,120+Inputs!$B$27+Inputs!$B$29,MAX(0,(Inputs!$B$3-100)*3)+Inputs!$B$28+Inputs!$B$29)))</f>
        <v/>
      </c>
      <c r="E3365">
        <f>INDEX(FactorTable!$B$2:$Y$301, MATCH(ROUND(MIN(300,MAX(1,D3365)),0), FactorTable!$A$2:$A$301,0), Skills!M16+1)</f>
        <v/>
      </c>
      <c r="F3365">
        <f>IF(Skills!N16=TRUE,(Skills!L16/10)*(E3365/1000),Skills!L16/10)+Skills!O16</f>
        <v/>
      </c>
      <c r="G3365">
        <f>Skills!G16*IF(Skills!H16&gt;0,INT(IF(Inputs!$B$38="pvp",MIN(Skills!I16,15),Skills!I16)/Skills!H16+0.000000001),1)</f>
        <v/>
      </c>
      <c r="H3365">
        <f>1-(1-Skills!J16/100)^Skills!K16</f>
        <v/>
      </c>
      <c r="I3365" t="inlineStr">
        <is>
          <t>1</t>
        </is>
      </c>
      <c r="J3365" t="inlineStr"/>
      <c r="K3365" t="inlineStr"/>
      <c r="L3365" t="inlineStr"/>
      <c r="M3365" t="inlineStr"/>
      <c r="N3365" t="inlineStr"/>
      <c r="O3365">
        <f>(1-Summary!$B$11)*T3365+Summary!$B$11*V3365</f>
        <v/>
      </c>
      <c r="P3365">
        <f>IF(B3394=0,0,O3365/B3394)</f>
        <v/>
      </c>
      <c r="Q3365" t="n">
        <v>0</v>
      </c>
      <c r="R3365" t="n">
        <v>0</v>
      </c>
      <c r="S3365">
        <f>IFERROR(O3365/N3365,0)</f>
        <v/>
      </c>
      <c r="T3365" t="n">
        <v>0</v>
      </c>
      <c r="V3365" t="n">
        <v>0</v>
      </c>
    </row>
    <row r="3366">
      <c r="A3366">
        <f>Skills!A17</f>
        <v/>
      </c>
      <c r="B3366">
        <f>Skills!B17</f>
        <v/>
      </c>
      <c r="C3366">
        <f>Inputs!$B$3&gt;=117</f>
        <v/>
      </c>
      <c r="D3366">
        <f>IF(Skills!C17=1,60+Inputs!$B$25+Inputs!$B$29,IF(Skills!C17=2,90+Inputs!$B$26+Inputs!$B$29,IF(Skills!C17=3,120+Inputs!$B$27+Inputs!$B$29,MAX(0,(Inputs!$B$3-100)*3)+Inputs!$B$28+Inputs!$B$29)))</f>
        <v/>
      </c>
      <c r="E3366">
        <f>INDEX(FactorTable!$B$2:$Y$301, MATCH(ROUND(MIN(300,MAX(1,D3366)),0), FactorTable!$A$2:$A$301,0), Skills!M17+1)</f>
        <v/>
      </c>
      <c r="F3366">
        <f>IF(Skills!N17=TRUE,(Skills!L17/10)*(E3366/1000),Skills!L17/10)+Skills!O17</f>
        <v/>
      </c>
      <c r="G3366">
        <f>Skills!G17*IF(Skills!H17&gt;0,INT(IF(Inputs!$B$38="pvp",MIN(Skills!I17,15),Skills!I17)/Skills!H17+0.000000001),1)</f>
        <v/>
      </c>
      <c r="H3366">
        <f>1-(1-Skills!J17/100)^Skills!K17</f>
        <v/>
      </c>
      <c r="I3366" t="inlineStr">
        <is>
          <t>1</t>
        </is>
      </c>
      <c r="J3366" t="inlineStr"/>
      <c r="K3366" t="inlineStr"/>
      <c r="L3366" t="inlineStr"/>
      <c r="M3366" t="inlineStr"/>
      <c r="N3366" t="inlineStr"/>
      <c r="O3366">
        <f>(1-Summary!$B$11)*T3366+Summary!$B$11*V3366</f>
        <v/>
      </c>
      <c r="P3366">
        <f>IF(B3394=0,0,O3366/B3394)</f>
        <v/>
      </c>
      <c r="Q3366">
        <f>IFERROR(1/(IF(Inputs!$B$38="pvp",15,MAX(0.1,Skills!D17-IF(TRUE=TRUE,3.5,0)))*(1-IF(AND(ArtifactsInput!$M$27,Inputs!$B$4="Chapter Hunt"),CHOOSE(ArtifactsInput!$N$27+1,20,24,28,32,36,40),0)/100)),0)</f>
        <v/>
      </c>
      <c r="R3366">
        <f>IF(AND(Inputs!$B$38&lt;&gt;"pvp",Inputs!$B$43&gt;0),IF(Inputs!$B$43&lt;=0,0,(INT(Inputs!$B$43/(IF(Inputs!$B$38="pvp",15,MAX(0.1,Skills!D17-IF(TRUE=TRUE,3.5,0)))*(1-IF(AND(ArtifactsInput!$M$27,Inputs!$B$4="Chapter Hunt"),CHOOSE(ArtifactsInput!$N$27+1,20,24,28,32,36,40),0)/100)))+1)),0)</f>
        <v/>
      </c>
      <c r="S3366">
        <f>IFERROR(O3366/N3366,0)</f>
        <v/>
      </c>
      <c r="T3366" t="n">
        <v>0</v>
      </c>
      <c r="V3366" t="n">
        <v>0</v>
      </c>
    </row>
    <row r="3367">
      <c r="A3367">
        <f>Skills!A18</f>
        <v/>
      </c>
      <c r="B3367">
        <f>Skills!B18</f>
        <v/>
      </c>
      <c r="C3367">
        <f>Inputs!$B$3&gt;=115</f>
        <v/>
      </c>
      <c r="D3367">
        <f>IF(Skills!C18=1,60+Inputs!$B$25+Inputs!$B$29,IF(Skills!C18=2,90+Inputs!$B$26+Inputs!$B$29,IF(Skills!C18=3,120+Inputs!$B$27+Inputs!$B$29,MAX(0,(Inputs!$B$3-100)*3)+Inputs!$B$28+Inputs!$B$29)))</f>
        <v/>
      </c>
      <c r="E3367">
        <f>INDEX(FactorTable!$B$2:$Y$301, MATCH(ROUND(MIN(300,MAX(1,D3367)),0), FactorTable!$A$2:$A$301,0), Skills!M18+1)</f>
        <v/>
      </c>
      <c r="F3367">
        <f>IF(Skills!N18=TRUE,(Skills!L18/10)*(E3367/1000),Skills!L18/10)+Skills!O18</f>
        <v/>
      </c>
      <c r="G3367">
        <f>Skills!G18*IF(Skills!H18&gt;0,INT(IF(Inputs!$B$38="pvp",MIN(Skills!I18,15),Skills!I18)/Skills!H18+0.000000001),1)</f>
        <v/>
      </c>
      <c r="H3367">
        <f>1-(1-Skills!J18/100)^Skills!K18</f>
        <v/>
      </c>
      <c r="I3367" t="inlineStr">
        <is>
          <t>1</t>
        </is>
      </c>
      <c r="J3367" t="inlineStr"/>
      <c r="K3367" t="inlineStr"/>
      <c r="L3367" t="inlineStr"/>
      <c r="M3367" t="inlineStr"/>
      <c r="N3367" t="inlineStr"/>
      <c r="O3367">
        <f>(1-Summary!$B$11)*T3367+Summary!$B$11*V3367</f>
        <v/>
      </c>
      <c r="P3367">
        <f>IF(B3394=0,0,O3367/B3394)</f>
        <v/>
      </c>
      <c r="Q3367">
        <f>IFERROR(1/(IF(Inputs!$B$38="pvp",15,MAX(0.1,Skills!D18-IF(TRUE=TRUE,3.5,0)))*(1-IF(AND(ArtifactsInput!$M$27,Inputs!$B$4="Chapter Hunt"),CHOOSE(ArtifactsInput!$N$27+1,20,24,28,32,36,40),0)/100)),0)</f>
        <v/>
      </c>
      <c r="R3367">
        <f>IF(AND(Inputs!$B$38&lt;&gt;"pvp",Inputs!$B$43&gt;0),IF(Inputs!$B$43&lt;=0,0,(INT(Inputs!$B$43/(IF(Inputs!$B$38="pvp",15,MAX(0.1,Skills!D18-IF(TRUE=TRUE,3.5,0)))*(1-IF(AND(ArtifactsInput!$M$27,Inputs!$B$4="Chapter Hunt"),CHOOSE(ArtifactsInput!$N$27+1,20,24,28,32,36,40),0)/100)))+1)),0)</f>
        <v/>
      </c>
      <c r="S3367">
        <f>IFERROR(O3367/N3367,0)</f>
        <v/>
      </c>
      <c r="T3367" t="n">
        <v>0</v>
      </c>
      <c r="V3367" t="n">
        <v>0</v>
      </c>
    </row>
    <row r="3368">
      <c r="A3368">
        <f>Skills!A19</f>
        <v/>
      </c>
      <c r="B3368">
        <f>Skills!B19</f>
        <v/>
      </c>
      <c r="C3368">
        <f>Inputs!$B$3&gt;=66</f>
        <v/>
      </c>
      <c r="D3368">
        <f>IF(Skills!C19=1,60+Inputs!$B$25+Inputs!$B$29,IF(Skills!C19=2,90+Inputs!$B$26+Inputs!$B$29,IF(Skills!C19=3,120+Inputs!$B$27+Inputs!$B$29,MAX(0,(Inputs!$B$3-100)*3)+Inputs!$B$28+Inputs!$B$29)))</f>
        <v/>
      </c>
      <c r="E3368">
        <f>INDEX(FactorTable!$B$2:$Y$301, MATCH(ROUND(MIN(300,MAX(1,D3368)),0), FactorTable!$A$2:$A$301,0), Skills!M19+1)</f>
        <v/>
      </c>
      <c r="F3368">
        <f>IF(Skills!N19=TRUE,(Skills!L19/10)*(E3368/1000),Skills!L19/10)+Skills!O19</f>
        <v/>
      </c>
      <c r="G3368">
        <f>Skills!G19*IF(Skills!H19&gt;0,INT(IF(Inputs!$B$38="pvp",MIN(Skills!I19,15),Skills!I19)/Skills!H19+0.000000001),1)</f>
        <v/>
      </c>
      <c r="H3368">
        <f>1-(1-Skills!J19/100)^Skills!K19</f>
        <v/>
      </c>
      <c r="I3368" t="inlineStr">
        <is>
          <t>1</t>
        </is>
      </c>
      <c r="J3368" t="inlineStr"/>
      <c r="K3368" t="inlineStr"/>
      <c r="L3368" t="inlineStr"/>
      <c r="M3368" t="inlineStr"/>
      <c r="N3368" t="inlineStr"/>
      <c r="O3368">
        <f>(1-Summary!$B$11)*T3368+Summary!$B$11*V3368</f>
        <v/>
      </c>
      <c r="P3368">
        <f>IF(B3394=0,0,O3368/B3394)</f>
        <v/>
      </c>
      <c r="Q3368" t="n">
        <v>0</v>
      </c>
      <c r="R3368" t="n">
        <v>0</v>
      </c>
      <c r="S3368">
        <f>IFERROR(O3368/N3368,0)</f>
        <v/>
      </c>
      <c r="T3368" t="n">
        <v>0</v>
      </c>
      <c r="V3368" t="n">
        <v>0</v>
      </c>
    </row>
    <row r="3369">
      <c r="A3369">
        <f>Skills!A20</f>
        <v/>
      </c>
      <c r="B3369">
        <f>Skills!B20</f>
        <v/>
      </c>
      <c r="C3369">
        <f>Inputs!$B$3&gt;=72</f>
        <v/>
      </c>
      <c r="D3369">
        <f>IF(Skills!C20=1,60+Inputs!$B$25+Inputs!$B$29,IF(Skills!C20=2,90+Inputs!$B$26+Inputs!$B$29,IF(Skills!C20=3,120+Inputs!$B$27+Inputs!$B$29,MAX(0,(Inputs!$B$3-100)*3)+Inputs!$B$28+Inputs!$B$29)))</f>
        <v/>
      </c>
      <c r="E3369">
        <f>INDEX(FactorTable!$B$2:$Y$301, MATCH(ROUND(MIN(300,MAX(1,D3369)),0), FactorTable!$A$2:$A$301,0), Skills!M20+1)</f>
        <v/>
      </c>
      <c r="F3369">
        <f>IF(Skills!N20=TRUE,(Skills!L20/10)*(E3369/1000),Skills!L20/10)+Skills!O20</f>
        <v/>
      </c>
      <c r="G3369">
        <f>Skills!G20*IF(Skills!H20&gt;0,INT(IF(Inputs!$B$38="pvp",MIN(Skills!I20,15),Skills!I20)/Skills!H20+0.000000001),1)</f>
        <v/>
      </c>
      <c r="H3369">
        <f>1-(1-Skills!J20/100)^Skills!K20</f>
        <v/>
      </c>
      <c r="I3369" t="inlineStr">
        <is>
          <t>1</t>
        </is>
      </c>
      <c r="J3369" t="inlineStr"/>
      <c r="K3369" t="inlineStr"/>
      <c r="L3369" t="inlineStr"/>
      <c r="M3369" t="inlineStr"/>
      <c r="N3369" t="inlineStr"/>
      <c r="O3369">
        <f>(1-Summary!$B$11)*T3369+Summary!$B$11*V3369</f>
        <v/>
      </c>
      <c r="P3369">
        <f>IF(B3394=0,0,O3369/B3394)</f>
        <v/>
      </c>
      <c r="Q3369" t="n">
        <v>0</v>
      </c>
      <c r="R3369" t="n">
        <v>0</v>
      </c>
      <c r="S3369">
        <f>IFERROR(O3369/N3369,0)</f>
        <v/>
      </c>
      <c r="T3369" t="n">
        <v>0</v>
      </c>
      <c r="V3369" t="n">
        <v>0</v>
      </c>
    </row>
    <row r="3370">
      <c r="A3370">
        <f>Skills!A21</f>
        <v/>
      </c>
      <c r="B3370">
        <f>Skills!B21</f>
        <v/>
      </c>
      <c r="C3370">
        <f>TRUE</f>
        <v/>
      </c>
      <c r="D3370">
        <f>IF(Skills!C21=1,60+Inputs!$B$25+Inputs!$B$29,IF(Skills!C21=2,90+Inputs!$B$26+Inputs!$B$29,IF(Skills!C21=3,120+Inputs!$B$27+Inputs!$B$29,MAX(0,(Inputs!$B$3-100)*3)+Inputs!$B$28+Inputs!$B$29)))</f>
        <v/>
      </c>
      <c r="E3370">
        <f>INDEX(FactorTable!$B$2:$Y$301, MATCH(ROUND(MIN(300,MAX(1,D3370)),0), FactorTable!$A$2:$A$301,0), Skills!M21+1)</f>
        <v/>
      </c>
      <c r="F3370">
        <f>IF(Skills!N21=TRUE,(Skills!L21/10)*(E3370/1000),Skills!L21/10)+Skills!O21</f>
        <v/>
      </c>
      <c r="G3370">
        <f>Skills!G21*IF(Skills!H21&gt;0,INT(IF(Inputs!$B$38="pvp",MIN(Skills!I21,15),Skills!I21)/Skills!H21+0.000000001),1)</f>
        <v/>
      </c>
      <c r="H3370">
        <f>1-(1-Skills!J21/100)^Skills!K21</f>
        <v/>
      </c>
      <c r="I3370" t="inlineStr">
        <is>
          <t>1</t>
        </is>
      </c>
      <c r="J3370" t="inlineStr"/>
      <c r="K3370" t="inlineStr"/>
      <c r="L3370" t="inlineStr"/>
      <c r="M3370" t="inlineStr"/>
      <c r="N3370" t="inlineStr"/>
      <c r="O3370">
        <f>(1-Summary!$B$11)*T3370+Summary!$B$11*V3370</f>
        <v/>
      </c>
      <c r="P3370">
        <f>IF(B3394=0,0,O3370/B3394)</f>
        <v/>
      </c>
      <c r="Q3370">
        <f>IFERROR(1/(IF(Inputs!$B$38="pvp",15,MAX(0.1,Skills!D21-IF(TRUE=TRUE,3.5,0)))*(1-IF(AND(ArtifactsInput!$M$27,Inputs!$B$4="Chapter Hunt"),CHOOSE(ArtifactsInput!$N$27+1,20,24,28,32,36,40),0)/100)),0)</f>
        <v/>
      </c>
      <c r="R3370">
        <f>IF(AND(Inputs!$B$38&lt;&gt;"pvp",Inputs!$B$43&gt;0),IF(Inputs!$B$43&lt;=0,0,(INT(Inputs!$B$43/(IF(Inputs!$B$38="pvp",15,MAX(0.1,Skills!D21-IF(TRUE=TRUE,3.5,0)))*(1-IF(AND(ArtifactsInput!$M$27,Inputs!$B$4="Chapter Hunt"),CHOOSE(ArtifactsInput!$N$27+1,20,24,28,32,36,40),0)/100)))+1)),0)</f>
        <v/>
      </c>
      <c r="S3370">
        <f>IFERROR(O3370/N3370,0)</f>
        <v/>
      </c>
      <c r="T3370" t="n">
        <v>0</v>
      </c>
      <c r="V3370" t="n">
        <v>0</v>
      </c>
    </row>
    <row r="3371">
      <c r="A3371">
        <f>Skills!A22</f>
        <v/>
      </c>
      <c r="B3371">
        <f>Skills!B22</f>
        <v/>
      </c>
      <c r="C3371">
        <f>Inputs!$B$3&gt;=15</f>
        <v/>
      </c>
      <c r="D3371">
        <f>IF(Skills!C22=1,60+Inputs!$B$25+Inputs!$B$29,IF(Skills!C22=2,90+Inputs!$B$26+Inputs!$B$29,IF(Skills!C22=3,120+Inputs!$B$27+Inputs!$B$29,MAX(0,(Inputs!$B$3-100)*3)+Inputs!$B$28+Inputs!$B$29)))</f>
        <v/>
      </c>
      <c r="E3371">
        <f>INDEX(FactorTable!$B$2:$Y$301, MATCH(ROUND(MIN(300,MAX(1,D3371)),0), FactorTable!$A$2:$A$301,0), Skills!M22+1)</f>
        <v/>
      </c>
      <c r="F3371">
        <f>IF(Skills!N22=TRUE,(Skills!L22/10)*(E3371/1000),Skills!L22/10)+Skills!O22</f>
        <v/>
      </c>
      <c r="G3371">
        <f>Skills!G22*IF(Skills!H22&gt;0,INT(IF(Inputs!$B$38="pvp",MIN(Skills!I22,15),Skills!I22)/Skills!H22+0.000000001),1)</f>
        <v/>
      </c>
      <c r="H3371">
        <f>1-(1-Skills!J22/100)^Skills!K22</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Skills!A23</f>
        <v/>
      </c>
      <c r="B3372">
        <f>Skills!B23</f>
        <v/>
      </c>
      <c r="C3372">
        <f>Inputs!$B$3&gt;=10</f>
        <v/>
      </c>
      <c r="D3372">
        <f>IF(Skills!C23=1,60+Inputs!$B$25+Inputs!$B$29,IF(Skills!C23=2,90+Inputs!$B$26+Inputs!$B$29,IF(Skills!C23=3,120+Inputs!$B$27+Inputs!$B$29,MAX(0,(Inputs!$B$3-100)*3)+Inputs!$B$28+Inputs!$B$29)))</f>
        <v/>
      </c>
      <c r="E3372">
        <f>INDEX(FactorTable!$B$2:$Y$301, MATCH(ROUND(MIN(300,MAX(1,D3372)),0), FactorTable!$A$2:$A$301,0), Skills!M23+1)</f>
        <v/>
      </c>
      <c r="F3372">
        <f>IF(Skills!N23=TRUE,(Skills!L23/10)*(E3372/1000),Skills!L23/10)+Skills!O23</f>
        <v/>
      </c>
      <c r="G3372">
        <f>Skills!G23*IF(Skills!H23&gt;0,INT(IF(Inputs!$B$38="pvp",MIN(Skills!I23,15),Skills!I23)/Skills!H23+0.000000001),1)</f>
        <v/>
      </c>
      <c r="H3372">
        <f>1-(1-Skills!J23/100)^Skills!K23</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Skills!A24</f>
        <v/>
      </c>
      <c r="B3373">
        <f>Skills!B24</f>
        <v/>
      </c>
      <c r="C3373">
        <f>Inputs!$B$3&gt;=33</f>
        <v/>
      </c>
      <c r="D3373">
        <f>IF(Skills!C24=1,60+Inputs!$B$25+Inputs!$B$29,IF(Skills!C24=2,90+Inputs!$B$26+Inputs!$B$29,IF(Skills!C24=3,120+Inputs!$B$27+Inputs!$B$29,MAX(0,(Inputs!$B$3-100)*3)+Inputs!$B$28+Inputs!$B$29)))</f>
        <v/>
      </c>
      <c r="E3373">
        <f>INDEX(FactorTable!$B$2:$Y$301, MATCH(ROUND(MIN(300,MAX(1,D3373)),0), FactorTable!$A$2:$A$301,0), Skills!M24+1)</f>
        <v/>
      </c>
      <c r="F3373">
        <f>IF(Skills!N24=TRUE,(Skills!L24/10)*(E3373/1000),Skills!L24/10)+Skills!O24</f>
        <v/>
      </c>
      <c r="G3373">
        <f>Skills!G24*IF(Skills!H24&gt;0,INT(IF(Inputs!$B$38="pvp",MIN(Skills!I24,15),Skills!I24)/Skills!H24+0.000000001),1)</f>
        <v/>
      </c>
      <c r="H3373">
        <f>1-(1-Skills!J24/100)^Skills!K24</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Skills!A25</f>
        <v/>
      </c>
      <c r="B3374">
        <f>Skills!B25</f>
        <v/>
      </c>
      <c r="C3374">
        <f>Inputs!$B$3&gt;=38</f>
        <v/>
      </c>
      <c r="D3374">
        <f>IF(Skills!C25=1,60+Inputs!$B$25+Inputs!$B$29,IF(Skills!C25=2,90+Inputs!$B$26+Inputs!$B$29,IF(Skills!C25=3,120+Inputs!$B$27+Inputs!$B$29,MAX(0,(Inputs!$B$3-100)*3)+Inputs!$B$28+Inputs!$B$29)))</f>
        <v/>
      </c>
      <c r="E3374">
        <f>INDEX(FactorTable!$B$2:$Y$301, MATCH(ROUND(MIN(300,MAX(1,D3374)),0), FactorTable!$A$2:$A$301,0), Skills!M25+1)</f>
        <v/>
      </c>
      <c r="F3374">
        <f>IF(Skills!N25=TRUE,(Skills!L25/10)*(E3374/1000),Skills!L25/10)+Skills!O25</f>
        <v/>
      </c>
      <c r="G3374">
        <f>Skills!G25*IF(Skills!H25&gt;0,INT(IF(Inputs!$B$38="pvp",MIN(Skills!I25,15),Skills!I25)/Skills!H25+0.000000001),1)</f>
        <v/>
      </c>
      <c r="H3374">
        <f>1-(1-Skills!J25/100)^Skills!K25</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Skills!A26</f>
        <v/>
      </c>
      <c r="B3375">
        <f>Skills!B26</f>
        <v/>
      </c>
      <c r="C3375">
        <f>Inputs!$B$3&gt;=43</f>
        <v/>
      </c>
      <c r="D3375">
        <f>IF(Skills!C26=1,60+Inputs!$B$25+Inputs!$B$29,IF(Skills!C26=2,90+Inputs!$B$26+Inputs!$B$29,IF(Skills!C26=3,120+Inputs!$B$27+Inputs!$B$29,MAX(0,(Inputs!$B$3-100)*3)+Inputs!$B$28+Inputs!$B$29)))</f>
        <v/>
      </c>
      <c r="E3375">
        <f>INDEX(FactorTable!$B$2:$Y$301, MATCH(ROUND(MIN(300,MAX(1,D3375)),0), FactorTable!$A$2:$A$301,0), Skills!M26+1)</f>
        <v/>
      </c>
      <c r="F3375">
        <f>IF(Skills!N26=TRUE,(Skills!L26/10)*(E3375/1000),Skills!L26/10)+Skills!O26</f>
        <v/>
      </c>
      <c r="G3375">
        <f>Skills!G26*IF(Skills!H26&gt;0,INT(IF(Inputs!$B$38="pvp",MIN(Skills!I26,15),Skills!I26)/Skills!H26+0.000000001),1)</f>
        <v/>
      </c>
      <c r="H3375">
        <f>1-(1-Skills!J26/100)^Skills!K26</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Skills!A27</f>
        <v/>
      </c>
      <c r="B3376">
        <f>Skills!B27</f>
        <v/>
      </c>
      <c r="C3376">
        <f>Inputs!$B$3&gt;=75</f>
        <v/>
      </c>
      <c r="D3376">
        <f>IF(Skills!C27=1,60+Inputs!$B$25+Inputs!$B$29,IF(Skills!C27=2,90+Inputs!$B$26+Inputs!$B$29,IF(Skills!C27=3,120+Inputs!$B$27+Inputs!$B$29,MAX(0,(Inputs!$B$3-100)*3)+Inputs!$B$28+Inputs!$B$29)))</f>
        <v/>
      </c>
      <c r="E3376">
        <f>INDEX(FactorTable!$B$2:$Y$301, MATCH(ROUND(MIN(300,MAX(1,D3376)),0), FactorTable!$A$2:$A$301,0), Skills!M27+1)</f>
        <v/>
      </c>
      <c r="F3376">
        <f>IF(Skills!N27=TRUE,(Skills!L27/10)*(E3376/1000),Skills!L27/10)+Skills!O27</f>
        <v/>
      </c>
      <c r="G3376">
        <f>Skills!G27*IF(Skills!H27&gt;0,INT(IF(Inputs!$B$38="pvp",MIN(Skills!I27,15),Skills!I27)/Skills!H27+0.000000001),1)</f>
        <v/>
      </c>
      <c r="H3376">
        <f>1-(1-Skills!J27/100)^Skills!K27</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Skills!A28</f>
        <v/>
      </c>
      <c r="B3377">
        <f>Skills!B28</f>
        <v/>
      </c>
      <c r="C3377">
        <f>Inputs!$B$3&gt;=125</f>
        <v/>
      </c>
      <c r="D3377">
        <f>IF(Skills!C28=1,60+Inputs!$B$25+Inputs!$B$29,IF(Skills!C28=2,90+Inputs!$B$26+Inputs!$B$29,IF(Skills!C28=3,120+Inputs!$B$27+Inputs!$B$29,MAX(0,(Inputs!$B$3-100)*3)+Inputs!$B$28+Inputs!$B$29)))</f>
        <v/>
      </c>
      <c r="E3377">
        <f>INDEX(FactorTable!$B$2:$Y$301, MATCH(ROUND(MIN(300,MAX(1,D3377)),0), FactorTable!$A$2:$A$301,0), Skills!M28+1)</f>
        <v/>
      </c>
      <c r="F3377">
        <f>IF(Skills!N28=TRUE,(Skills!L28/10)*(E3377/1000),Skills!L28/10)+Skills!O28</f>
        <v/>
      </c>
      <c r="G3377">
        <f>Skills!G28*IF(Skills!H28&gt;0,INT(IF(Inputs!$B$38="pvp",MIN(Skills!I28,15),Skills!I28)/Skills!H28+0.000000001),1)</f>
        <v/>
      </c>
      <c r="H3377">
        <f>1-(1-Skills!J28/100)^Skills!K28</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Skills!A29</f>
        <v/>
      </c>
      <c r="B3378">
        <f>Skills!B29</f>
        <v/>
      </c>
      <c r="C3378">
        <f>Inputs!$B$3&gt;=125</f>
        <v/>
      </c>
      <c r="D3378">
        <f>IF(Skills!C29=1,60+Inputs!$B$25+Inputs!$B$29,IF(Skills!C29=2,90+Inputs!$B$26+Inputs!$B$29,IF(Skills!C29=3,120+Inputs!$B$27+Inputs!$B$29,MAX(0,(Inputs!$B$3-100)*3)+Inputs!$B$28+Inputs!$B$29)))</f>
        <v/>
      </c>
      <c r="E3378">
        <f>INDEX(FactorTable!$B$2:$Y$301, MATCH(ROUND(MIN(300,MAX(1,D3378)),0), FactorTable!$A$2:$A$301,0), Skills!M29+1)</f>
        <v/>
      </c>
      <c r="F3378">
        <f>IF(Skills!N29=TRUE,(Skills!L29/10)*(E3378/1000),Skills!L29/10)+Skills!O29</f>
        <v/>
      </c>
      <c r="G3378">
        <f>Skills!G29*IF(Skills!H29&gt;0,INT(IF(Inputs!$B$38="pvp",MIN(Skills!I29,15),Skills!I29)/Skills!H29+0.000000001),1)</f>
        <v/>
      </c>
      <c r="H3378">
        <f>1-(1-Skills!J29/100)^Skills!K29</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Skills!A30</f>
        <v/>
      </c>
      <c r="B3379">
        <f>Skills!B30</f>
        <v/>
      </c>
      <c r="C3379">
        <f>Inputs!$B$3&gt;=120</f>
        <v/>
      </c>
      <c r="D3379">
        <f>IF(Skills!C30=1,60+Inputs!$B$25+Inputs!$B$29,IF(Skills!C30=2,90+Inputs!$B$26+Inputs!$B$29,IF(Skills!C30=3,120+Inputs!$B$27+Inputs!$B$29,MAX(0,(Inputs!$B$3-100)*3)+Inputs!$B$28+Inputs!$B$29)))</f>
        <v/>
      </c>
      <c r="E3379">
        <f>INDEX(FactorTable!$B$2:$Y$301, MATCH(ROUND(MIN(300,MAX(1,D3379)),0), FactorTable!$A$2:$A$301,0), Skills!M30+1)</f>
        <v/>
      </c>
      <c r="F3379">
        <f>IF(Skills!N30=TRUE,(Skills!L30/10)*(E3379/1000),Skills!L30/10)+Skills!O30</f>
        <v/>
      </c>
      <c r="G3379">
        <f>Skills!G30*IF(Skills!H30&gt;0,INT(IF(Inputs!$B$38="pvp",MIN(Skills!I30,15),Skills!I30)/Skills!H30+0.000000001),1)</f>
        <v/>
      </c>
      <c r="H3379">
        <f>1-(1-Skills!J30/100)^Skills!K30</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0">
      <c r="A3380">
        <f>Skills!A31</f>
        <v/>
      </c>
      <c r="B3380">
        <f>Skills!B31</f>
        <v/>
      </c>
      <c r="C3380">
        <f>Inputs!$B$3&gt;=120</f>
        <v/>
      </c>
      <c r="D3380">
        <f>IF(Skills!C31=1,60+Inputs!$B$25+Inputs!$B$29,IF(Skills!C31=2,90+Inputs!$B$26+Inputs!$B$29,IF(Skills!C31=3,120+Inputs!$B$27+Inputs!$B$29,MAX(0,(Inputs!$B$3-100)*3)+Inputs!$B$28+Inputs!$B$29)))</f>
        <v/>
      </c>
      <c r="E3380">
        <f>INDEX(FactorTable!$B$2:$Y$301, MATCH(ROUND(MIN(300,MAX(1,D3380)),0), FactorTable!$A$2:$A$301,0), Skills!M31+1)</f>
        <v/>
      </c>
      <c r="F3380">
        <f>IF(Skills!N31=TRUE,(Skills!L31/10)*(E3380/1000),Skills!L31/10)+Skills!O31</f>
        <v/>
      </c>
      <c r="G3380">
        <f>Skills!G31*IF(Skills!H31&gt;0,INT(IF(Inputs!$B$38="pvp",MIN(Skills!I31,15),Skills!I31)/Skills!H31+0.000000001),1)</f>
        <v/>
      </c>
      <c r="H3380">
        <f>1-(1-Skills!J31/100)^Skills!K31</f>
        <v/>
      </c>
      <c r="I3380" t="inlineStr">
        <is>
          <t>1</t>
        </is>
      </c>
      <c r="J3380" t="inlineStr"/>
      <c r="K3380" t="inlineStr"/>
      <c r="L3380" t="inlineStr"/>
      <c r="M3380" t="inlineStr"/>
      <c r="N3380" t="inlineStr"/>
      <c r="O3380">
        <f>(1-Summary!$B$11)*T3380+Summary!$B$11*V3380</f>
        <v/>
      </c>
      <c r="P3380">
        <f>IF(B3394=0,0,O3380/B3394)</f>
        <v/>
      </c>
      <c r="Q3380" t="n">
        <v>0</v>
      </c>
      <c r="R3380" t="n">
        <v>0</v>
      </c>
      <c r="S3380">
        <f>IFERROR(O3380/N3380,0)</f>
        <v/>
      </c>
      <c r="T3380" t="n">
        <v>0</v>
      </c>
      <c r="V3380" t="n">
        <v>0</v>
      </c>
    </row>
    <row r="3381">
      <c r="A3381">
        <f>Skills!A32</f>
        <v/>
      </c>
      <c r="B3381">
        <f>Skills!B32</f>
        <v/>
      </c>
      <c r="C3381">
        <f>Inputs!$B$3&gt;=45</f>
        <v/>
      </c>
      <c r="D3381">
        <f>IF(Skills!C32=1,60+Inputs!$B$25+Inputs!$B$29,IF(Skills!C32=2,90+Inputs!$B$26+Inputs!$B$29,IF(Skills!C32=3,120+Inputs!$B$27+Inputs!$B$29,MAX(0,(Inputs!$B$3-100)*3)+Inputs!$B$28+Inputs!$B$29)))</f>
        <v/>
      </c>
      <c r="E3381">
        <f>INDEX(FactorTable!$B$2:$Y$301, MATCH(ROUND(MIN(300,MAX(1,D3381)),0), FactorTable!$A$2:$A$301,0), Skills!M32+1)</f>
        <v/>
      </c>
      <c r="F3381">
        <f>IF(Skills!N32=TRUE,(Skills!L32/10)*(E3381/1000),Skills!L32/10)+Skills!O32</f>
        <v/>
      </c>
      <c r="G3381">
        <f>Skills!G32*IF(Skills!H32&gt;0,INT(IF(Inputs!$B$38="pvp",MIN(Skills!I32,15),Skills!I32)/Skills!H32+0.000000001),1)</f>
        <v/>
      </c>
      <c r="H3381">
        <f>1-(1-Skills!J32/100)^Skills!K32</f>
        <v/>
      </c>
      <c r="I3381" t="inlineStr">
        <is>
          <t>1</t>
        </is>
      </c>
      <c r="J3381" t="inlineStr"/>
      <c r="K3381" t="inlineStr"/>
      <c r="L3381" t="inlineStr"/>
      <c r="M3381" t="inlineStr"/>
      <c r="N3381" t="inlineStr"/>
      <c r="O3381">
        <f>(1-Summary!$B$11)*T3381+Summary!$B$11*V3381</f>
        <v/>
      </c>
      <c r="P3381">
        <f>IF(B3394=0,0,O3381/B3394)</f>
        <v/>
      </c>
      <c r="Q3381" t="n">
        <v>0</v>
      </c>
      <c r="R3381" t="n">
        <v>0</v>
      </c>
      <c r="S3381">
        <f>IFERROR(O3381/N3381,0)</f>
        <v/>
      </c>
      <c r="T3381" t="n">
        <v>0</v>
      </c>
      <c r="V3381" t="n">
        <v>0</v>
      </c>
    </row>
    <row r="3383">
      <c r="A3383" t="inlineStr">
        <is>
          <t>Attack% Bucket Multiplier</t>
        </is>
      </c>
      <c r="B3383">
        <f>(1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4">
      <c r="A3384" t="inlineStr">
        <is>
          <t>Global Crit Rate Bonus %</t>
        </is>
      </c>
      <c r="B3384" t="n">
        <v>0</v>
      </c>
    </row>
    <row r="3385">
      <c r="A3385" t="inlineStr">
        <is>
          <t>Attack Speed Buff Bonus %</t>
        </is>
      </c>
      <c r="B3385">
        <f>((C3370=TRUE)*F3370*IF(AND(Inputs!$B$38&lt;&gt;"pvp",Inputs!$B$43&gt;0),(((R3370-1)*MIN((Skills!T21*(1+Inputs!$B$34/100)),(1/Q3370))+MIN((Skills!T21*(1+Inputs!$B$34/100)),MAX(0,Inputs!$B$43-((R3370-1)*(1/Q3370)))))/Inputs!$B$43),IF(Inputs!$B$38="pvp",MIN((Skills!T21*(1+Inputs!$B$34/100)),15)/15,MIN(1,(Skills!T21*(1+Inputs!$B$34/100))/(1/Q3370)))))</f>
        <v/>
      </c>
    </row>
    <row r="3386">
      <c r="A3386" t="inlineStr">
        <is>
          <t>Actions Per Second</t>
        </is>
      </c>
      <c r="B3386">
        <f>1+MIN(150,150*(1-(1-(Inputs!$B$11+((C3372=TRUE)*(F3372-Calc!F23))+((C3373=TRUE)*(F3373-Calc!F24)))/150)*(1-B3385/150)))/100</f>
        <v/>
      </c>
    </row>
    <row r="3387">
      <c r="A3387" t="inlineStr">
        <is>
          <t>Skill + Buff Cast Rate</t>
        </is>
      </c>
      <c r="B3387">
        <f>IF(AND(Inputs!$B$38&lt;&gt;"pvp",Inputs!$B$43&gt;0),SUMPRODUCT((Skills!E2:E32=TRUE)*(C3351:C3381=TRUE)*R3351:R3381*Skills!F2:F32)/Inputs!$B$43,SUMPRODUCT((Skills!E2:E32=TRUE)*(C3351:C3381=TRUE)*Q3351:Q3381*Skills!F2:F32))</f>
        <v/>
      </c>
    </row>
    <row r="3388">
      <c r="A3388" t="inlineStr">
        <is>
          <t>Arrow Stream Casts Per Second</t>
        </is>
      </c>
      <c r="B3388">
        <f>MAX(0,B3386-B3387)</f>
        <v/>
      </c>
    </row>
    <row r="3389">
      <c r="A3389" t="inlineStr">
        <is>
          <t>Global Critical Damage Bonus % (Sharp Eyes + Concentration)</t>
        </is>
      </c>
      <c r="B3389">
        <f>(C3367=TRUE)*F3367*IF(AND(Inputs!$B$38&lt;&gt;"pvp",Inputs!$B$43&gt;0),(((R3367-1)*MIN((Skills!T18*(1+Inputs!$B$34/100)),(1/Q3367))+MIN((Skills!T18*(1+Inputs!$B$34/100)),MAX(0,Inputs!$B$43-((R3367-1)*(1/Q3367)))))/Inputs!$B$43),IF(Inputs!$B$38="pvp",MIN((Skills!T18*(1+Inputs!$B$34/100)),15)/15,MIN(1,(Skills!T18*(1+Inputs!$B$34/100))/(1/Q3367))))+(C3368=TRUE)*7*F3368</f>
        <v/>
      </c>
    </row>
    <row r="3390">
      <c r="A3390" t="inlineStr">
        <is>
          <t>Global Final Damage Bonus % (Mortal Blow)</t>
        </is>
      </c>
      <c r="B3390">
        <f>(C3369=TRUE)*F3369</f>
        <v/>
      </c>
    </row>
    <row r="3391">
      <c r="A3391" t="inlineStr">
        <is>
          <t>Buff-Casting Startup Delay (s, fixed-duration only)</t>
        </is>
      </c>
      <c r="B3391">
        <f>IF(AND(Inputs!$B$38&lt;&gt;"pvp",Inputs!$B$43&gt;0),SUMPRODUCT((Skills!T2:T32&gt;0)*(Skills!E2:E32=TRUE)*(C3351:C3381=TRUE))/B3386,0)</f>
        <v/>
      </c>
    </row>
    <row r="3392">
      <c r="A3392" t="inlineStr">
        <is>
          <t>Boss-Only Total DPS (this block's swept value)</t>
        </is>
      </c>
      <c r="B3392">
        <f>SUM(T3351:T3381)</f>
        <v/>
      </c>
    </row>
    <row r="3393">
      <c r="A3393" t="inlineStr">
        <is>
          <t>Normal-Only Total DPS (this block's swept value)</t>
        </is>
      </c>
      <c r="B3393">
        <f>SUM(V3351:V3381)</f>
        <v/>
      </c>
    </row>
    <row r="3394">
      <c r="A3394" s="6" t="inlineStr">
        <is>
          <t>TOTAL DPS</t>
        </is>
      </c>
      <c r="B3394" s="6">
        <f>SUM(O3351:O3381)</f>
        <v/>
      </c>
    </row>
    <row r="3397">
      <c r="A3397" s="6" t="inlineStr">
        <is>
          <t>Stat: CDR = 4.0s</t>
        </is>
      </c>
    </row>
    <row r="3398">
      <c r="A3398" s="5" t="inlineStr">
        <is>
          <t>Key</t>
        </is>
      </c>
      <c r="B3398" s="5" t="inlineStr">
        <is>
          <t>Name</t>
        </is>
      </c>
      <c r="C3398" s="5" t="inlineStr">
        <is>
          <t>Unlocked</t>
        </is>
      </c>
      <c r="D3398" s="5" t="inlineStr">
        <is>
          <t>InputLevel</t>
        </is>
      </c>
      <c r="E3398" s="5" t="inlineStr">
        <is>
          <t>Factor</t>
        </is>
      </c>
      <c r="F3398" s="5" t="inlineStr">
        <is>
          <t>CoefficientPercent</t>
        </is>
      </c>
      <c r="G3398" s="5" t="inlineStr">
        <is>
          <t>EffectiveHits</t>
        </is>
      </c>
      <c r="H3398" s="5" t="inlineStr">
        <is>
          <t>ProcProbability</t>
        </is>
      </c>
      <c r="I3398" s="5" t="inlineStr">
        <is>
          <t>MapleHeroMultiplier</t>
        </is>
      </c>
      <c r="J3398" s="5" t="inlineStr">
        <is>
          <t>BaseDamage</t>
        </is>
      </c>
      <c r="K3398" s="5" t="inlineStr">
        <is>
          <t>BaseHitDamage</t>
        </is>
      </c>
      <c r="L3398" s="5" t="inlineStr">
        <is>
          <t>NonCritAvg</t>
        </is>
      </c>
      <c r="M3398" s="5" t="inlineStr">
        <is>
          <t>CritAvg</t>
        </is>
      </c>
      <c r="N3398" s="5" t="inlineStr">
        <is>
          <t>ExpectedDamage(perHit)</t>
        </is>
      </c>
      <c r="O3398" s="5" t="inlineStr">
        <is>
          <t>DPS</t>
        </is>
      </c>
      <c r="P3398" s="5" t="inlineStr">
        <is>
          <t>% of Total</t>
        </is>
      </c>
      <c r="Q3398" s="5" t="inlineStr">
        <is>
          <t>InvCooldown</t>
        </is>
      </c>
      <c r="R3398" s="5" t="inlineStr">
        <is>
          <t>CastsInFight</t>
        </is>
      </c>
      <c r="S3398" s="5" t="inlineStr">
        <is>
          <t>HitRate(perSec)</t>
        </is>
      </c>
      <c r="U3398" t="inlineStr">
        <is>
          <t>helpers</t>
        </is>
      </c>
    </row>
    <row r="3399">
      <c r="A3399">
        <f>Skills!A2</f>
        <v/>
      </c>
      <c r="B3399">
        <f>Skills!B2</f>
        <v/>
      </c>
      <c r="C3399">
        <f>Inputs!$B$3&gt;=100</f>
        <v/>
      </c>
      <c r="D3399" t="inlineStr"/>
      <c r="E3399" t="inlineStr"/>
      <c r="F3399">
        <f>U3401+Skills!O2</f>
        <v/>
      </c>
      <c r="G3399">
        <f>Skills!G2*IF(Skills!H2&gt;0,INT(IF(Inputs!$B$38="pvp",MIN(Skills!I2,15),Skills!I2)/Skills!H2+0.000000001),1)</f>
        <v/>
      </c>
      <c r="H3399">
        <f>1-(1-Skills!J2/100)^Skills!K2</f>
        <v/>
      </c>
      <c r="I3399" t="inlineStr">
        <is>
          <t>1</t>
        </is>
      </c>
      <c r="J3399">
        <f>((Inputs!$B$6*(1+Inputs!$B$7/100))+(((Inputs!$B$12*(1+Inputs!$B$13/100))-(Inputs!$B$12*(1+Inputs!$B$13/100)))+0.25*(Inputs!$B$14-Inputs!$B$14))*(1+Inputs!$B$7/100))*(F3399/100)</f>
        <v/>
      </c>
      <c r="K3399">
        <f>J3399*(1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3399)</f>
        <v/>
      </c>
      <c r="L3399">
        <f>K3399*(MIN(Inputs!$B$22+((C3423=TRUE)*(F3423-Calc!F26)),(Inputs!$B$23+((C3428=TRUE)*(F3428-Calc!F31))+(IF(ArtifactsInput!$M$15,CHOOSE(ArtifactsInput!$N$15+1,25,30,35,40,45,50)/100*(Inputs!$B$11-Inputs!$B$11),0))))/100+(Inputs!$B$23+((C3428=TRUE)*(F3428-Calc!F31))+(IF(ArtifactsInput!$M$15,CHOOSE(ArtifactsInput!$N$15+1,25,30,35,40,45,50)/100*(Inputs!$B$11-Inputs!$B$11),0)))/100)/2</f>
        <v/>
      </c>
      <c r="M3399">
        <f>L3399*(1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9">
        <f>L3399*(1-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3399*(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9">
        <f>(1-Summary!$B$11)*T3399+Summary!$B$11*V3399</f>
        <v/>
      </c>
      <c r="P3399">
        <f>IF(B3442=0,0,O3399/B3442)</f>
        <v/>
      </c>
      <c r="Q3399" t="n">
        <v>0</v>
      </c>
      <c r="R3399" t="n">
        <v>0</v>
      </c>
      <c r="S3399">
        <f>IFERROR(O3399/N3399,0)</f>
        <v/>
      </c>
      <c r="T3399">
        <f>IF(C3399,(Skills!G2*N3399*B3436)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9">
        <f>MAX(0,(Inputs!$B$3-100)*3)+Inputs!$B$28+Inputs!$B$29</f>
        <v/>
      </c>
      <c r="V3399">
        <f>IF(C3399,(Skills!G2*N3399*B3436)*IF(Inputs!$B$38="pvp",1,(1+(Inputs!$B$21+Skills!Q2+(IF(ArtifactsInput!$M$33,CHOOSE(ArtifactsInput!$N$33+1,30,36,42,48,54,60),0))+(IF(AND(ArtifactsInput!$M$35,Inputs!$B$4&lt;&gt;"Chapter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0">
      <c r="A3400">
        <f>Skills!A3</f>
        <v/>
      </c>
      <c r="B3400">
        <f>Skills!B3</f>
        <v/>
      </c>
      <c r="C3400">
        <f>Inputs!$B$3&gt;=50</f>
        <v/>
      </c>
      <c r="D3400">
        <f>IF(Skills!C3=1,60+Inputs!$B$25+Inputs!$B$29,IF(Skills!C3=2,90+Inputs!$B$26+Inputs!$B$29,IF(Skills!C3=3,120+Inputs!$B$27+Inputs!$B$29,MAX(0,(Inputs!$B$3-100)*3)+Inputs!$B$28+Inputs!$B$29)))</f>
        <v/>
      </c>
      <c r="E3400">
        <f>INDEX(FactorTable!$B$2:$Y$301, MATCH(ROUND(MIN(300,MAX(1,D3400)),0), FactorTable!$A$2:$A$301,0), Skills!M3+1)</f>
        <v/>
      </c>
      <c r="F3400">
        <f>IF(Skills!N3=TRUE,(Skills!L3/10)*(E3400/1000),Skills!L3/10)+Skills!O3</f>
        <v/>
      </c>
      <c r="G3400">
        <f>Skills!G3*IF(Skills!H3&gt;0,INT(IF(Inputs!$B$38="pvp",MIN(Skills!I3,15),Skills!I3)/Skills!H3+0.000000001),1)</f>
        <v/>
      </c>
      <c r="H3400">
        <f>1-(1-Skills!J3/100)^Skills!K3</f>
        <v/>
      </c>
      <c r="I3400" t="inlineStr">
        <is>
          <t>1</t>
        </is>
      </c>
      <c r="J3400">
        <f>((Inputs!$B$6*(1+Inputs!$B$7/100))+(((Inputs!$B$12*(1+Inputs!$B$13/100))-(Inputs!$B$12*(1+Inputs!$B$13/100)))+0.25*(Inputs!$B$14-Inputs!$B$14))*(1+Inputs!$B$7/100))*(F3400/100)</f>
        <v/>
      </c>
      <c r="K3400">
        <f>J3400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3401=TRUE,F3401,0)/100)*(1+(IF(Skills!A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3400)</f>
        <v/>
      </c>
      <c r="L3400">
        <f>K3400*(MIN(Inputs!$B$22+((C3423=TRUE)*(F3423-Calc!F26)),(Inputs!$B$23+((C3428=TRUE)*(F3428-Calc!F31))+(IF(ArtifactsInput!$M$15,CHOOSE(ArtifactsInput!$N$15+1,25,30,35,40,45,50)/100*(Inputs!$B$11-Inputs!$B$11),0))))/100+(Inputs!$B$23+((C3428=TRUE)*(F3428-Calc!F31))+(IF(ArtifactsInput!$M$15,CHOOSE(ArtifactsInput!$N$15+1,25,30,35,40,45,50)/100*(Inputs!$B$11-Inputs!$B$11),0)))/100)/2</f>
        <v/>
      </c>
      <c r="M3400">
        <f>L3400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0">
        <f>L3400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0">
        <f>(1-Summary!$B$11)*T3400+Summary!$B$11*V3400</f>
        <v/>
      </c>
      <c r="P3400">
        <f>IF(B3442=0,0,O3400/B3442)</f>
        <v/>
      </c>
      <c r="Q3400">
        <f>IFERROR(1/(IF(Inputs!$B$38="pvp",15,MAX(0.1,1/B3434-IF(FALSE=TRUE,4.0,0)))*(1-IF(AND(ArtifactsInput!$M$27,Inputs!$B$4="Chapter Hunt"),CHOOSE(ArtifactsInput!$N$27+1,20,24,28,32,36,40),0)/100)),0)</f>
        <v/>
      </c>
      <c r="R3400">
        <f>IF(AND(Inputs!$B$38&lt;&gt;"pvp",Inputs!$B$43&gt;0),IF(MAX(0,Inputs!$B$43-B3439)&lt;=0,0,(INT(MAX(0,Inputs!$B$43-B3439)/(IF(Inputs!$B$38="pvp",15,MAX(0.1,1/B3434-IF(FALSE=TRUE,4.0,0)))*(1-IF(AND(ArtifactsInput!$M$27,Inputs!$B$4="Chapter Hunt"),CHOOSE(ArtifactsInput!$N$27+1,20,24,28,32,36,40),0)/100)))+1)),0)</f>
        <v/>
      </c>
      <c r="S3400">
        <f>IFERROR(O3400/N3400,0)</f>
        <v/>
      </c>
      <c r="T3400">
        <f>IF(C3400,(H3400*N3400*IF(AND(Inputs!$B$38&lt;&gt;"pvp",Inputs!$B$43&gt;0),((Skills!G3*((R3400-1)*IF(Skills!H3&gt;0,INT(Skills!I3/Skills!H3+0.000000001),1)+IF(Skills!H3&gt;0,INT(MIN(Skills!I3,MAX(0,MAX(0,Inputs!$B$43-B3439)-((R3400-1)*(IF(Inputs!$B$38="pvp",15,MAX(0.1,1/B3434-IF(FALSE=TRUE,4.0,0)))*(1-IF(AND(ArtifactsInput!$M$27,Inputs!$B$4="Chapter Hunt"),CHOOSE(ArtifactsInput!$N$27+1,20,24,28,32,36,40),0)/100)))))/Skills!H3+0.000000001),1)))/Inputs!$B$43),G3400*Q3400)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0">
        <f>INDEX(FactorTable!$B$2:$Y$301, MATCH(ROUND(MIN(300,MAX(1,U3399)),0), FactorTable!$A$2:$A$301,0), 22)</f>
        <v/>
      </c>
      <c r="V3400">
        <f>IF(C3400,(H3400*N3400*IF(AND(Inputs!$B$38&lt;&gt;"pvp",Inputs!$B$43&gt;0),((Skills!G3*((R3400-1)*IF(Skills!H3&gt;0,INT(Skills!I3/Skills!H3+0.000000001),1)+IF(Skills!H3&gt;0,INT(MIN(Skills!I3,MAX(0,MAX(0,Inputs!$B$43-B3439)-((R3400-1)*(IF(Inputs!$B$38="pvp",15,MAX(0.1,1/B3434-IF(FALSE=TRUE,4.0,0)))*(1-IF(AND(ArtifactsInput!$M$27,Inputs!$B$4="Chapter Hunt"),CHOOSE(ArtifactsInput!$N$27+1,20,24,28,32,36,40),0)/100)))))/Skills!H3+0.000000001),1)))/Inputs!$B$43),G3400*Q3400))*IF(Inputs!$B$38="pvp",1,(1+(Inputs!$B$21+Skills!Q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1">
      <c r="A3401">
        <f>Skills!A4</f>
        <v/>
      </c>
      <c r="B3401">
        <f>Skills!B4</f>
        <v/>
      </c>
      <c r="C3401">
        <f>Inputs!$B$3&gt;=105</f>
        <v/>
      </c>
      <c r="D3401">
        <f>IF(Skills!C4=1,60+Inputs!$B$25+Inputs!$B$29,IF(Skills!C4=2,90+Inputs!$B$26+Inputs!$B$29,IF(Skills!C4=3,120+Inputs!$B$27+Inputs!$B$29,MAX(0,(Inputs!$B$3-100)*3)+Inputs!$B$28+Inputs!$B$29)))</f>
        <v/>
      </c>
      <c r="E3401">
        <f>INDEX(FactorTable!$B$2:$Y$301, MATCH(ROUND(MIN(300,MAX(1,D3401)),0), FactorTable!$A$2:$A$301,0), Skills!M4+1)</f>
        <v/>
      </c>
      <c r="F3401">
        <f>IF(Skills!N4=TRUE,(Skills!L4/10)*(E3401/1000),Skills!L4/10)+Skills!O4</f>
        <v/>
      </c>
      <c r="G3401" t="inlineStr"/>
      <c r="H3401" t="inlineStr"/>
      <c r="I3401" t="inlineStr">
        <is>
          <t>1</t>
        </is>
      </c>
      <c r="J3401" t="inlineStr"/>
      <c r="K3401" t="inlineStr"/>
      <c r="L3401" t="inlineStr"/>
      <c r="M3401" t="inlineStr"/>
      <c r="N3401" t="inlineStr"/>
      <c r="O3401" t="inlineStr"/>
      <c r="P3401" t="inlineStr"/>
      <c r="Q3401" t="inlineStr"/>
      <c r="R3401" t="inlineStr"/>
      <c r="S3401" t="inlineStr"/>
      <c r="T3401" t="inlineStr"/>
      <c r="U3401">
        <f>290*U3400/1000</f>
        <v/>
      </c>
      <c r="V3401" t="inlineStr"/>
    </row>
    <row r="3402">
      <c r="A3402">
        <f>Skills!A5</f>
        <v/>
      </c>
      <c r="B3402">
        <f>Skills!B5</f>
        <v/>
      </c>
      <c r="C3402">
        <f>Inputs!$B$3&gt;=35</f>
        <v/>
      </c>
      <c r="D3402">
        <f>IF(Skills!C5=1,60+Inputs!$B$25+Inputs!$B$29,IF(Skills!C5=2,90+Inputs!$B$26+Inputs!$B$29,IF(Skills!C5=3,120+Inputs!$B$27+Inputs!$B$29,MAX(0,(Inputs!$B$3-100)*3)+Inputs!$B$28+Inputs!$B$29)))</f>
        <v/>
      </c>
      <c r="E3402">
        <f>INDEX(FactorTable!$B$2:$Y$301, MATCH(ROUND(MIN(300,MAX(1,D3402)),0), FactorTable!$A$2:$A$301,0), Skills!M5+1)</f>
        <v/>
      </c>
      <c r="F3402">
        <f>IF(Skills!N5=TRUE,(Skills!L5/10)*(E3402/1000),Skills!L5/10)+Skills!O5</f>
        <v/>
      </c>
      <c r="G3402">
        <f>Skills!G5*IF(Skills!H5&gt;0,INT(IF(Inputs!$B$38="pvp",MIN(Skills!I5,15),Skills!I5)/Skills!H5+0.000000001),1)</f>
        <v/>
      </c>
      <c r="H3402">
        <f>1-(1-Skills!J5/100)^Skills!K5</f>
        <v/>
      </c>
      <c r="I3402" t="inlineStr">
        <is>
          <t>1</t>
        </is>
      </c>
      <c r="J3402">
        <f>((Inputs!$B$6*(1+Inputs!$B$7/100))+(((Inputs!$B$12*(1+Inputs!$B$13/100))-(Inputs!$B$12*(1+Inputs!$B$13/100)))+0.25*(Inputs!$B$14-Inputs!$B$14))*(1+Inputs!$B$7/100))*(F3402/100)</f>
        <v/>
      </c>
      <c r="K3402">
        <f>J3402*(1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3409=TRUE,F3409,0)/100)*(1+(IF(Skills!A5="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3402)</f>
        <v/>
      </c>
      <c r="L3402">
        <f>K3402*(MIN(Inputs!$B$22+((C3423=TRUE)*(F3423-Calc!F26)),(Inputs!$B$23+((C3428=TRUE)*(F3428-Calc!F31))+(IF(ArtifactsInput!$M$15,CHOOSE(ArtifactsInput!$N$15+1,25,30,35,40,45,50)/100*(Inputs!$B$11-Inputs!$B$11),0))))/100+(Inputs!$B$23+((C3428=TRUE)*(F3428-Calc!F31))+(IF(ArtifactsInput!$M$15,CHOOSE(ArtifactsInput!$N$15+1,25,30,35,40,45,50)/100*(Inputs!$B$11-Inputs!$B$11),0)))/100)/2</f>
        <v/>
      </c>
      <c r="M3402">
        <f>L3402*(1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2">
        <f>L3402*(1-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3402*(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2">
        <f>(1-Summary!$B$11)*T3402+Summary!$B$11*V3402</f>
        <v/>
      </c>
      <c r="P3402">
        <f>IF(B3442=0,0,O3402/B3442)</f>
        <v/>
      </c>
      <c r="Q3402">
        <f>IFERROR(1/(IF(Inputs!$B$38="pvp",15,MAX(0.1,Skills!D5-IF(TRUE=TRUE,4.0,0)))*(1-IF(AND(ArtifactsInput!$M$27,Inputs!$B$4="Chapter Hunt"),CHOOSE(ArtifactsInput!$N$27+1,20,24,28,32,36,40),0)/100)),0)</f>
        <v/>
      </c>
      <c r="R3402">
        <f>IF(AND(Inputs!$B$38&lt;&gt;"pvp",Inputs!$B$43&gt;0),IF(MAX(0,Inputs!$B$43-B3439)&lt;=0,0,(INT(MAX(0,Inputs!$B$43-B3439)/(IF(Inputs!$B$38="pvp",15,MAX(0.1,Skills!D5-IF(TRUE=TRUE,4.0,0)))*(1-IF(AND(ArtifactsInput!$M$27,Inputs!$B$4="Chapter Hunt"),CHOOSE(ArtifactsInput!$N$27+1,20,24,28,32,36,40),0)/100)))+1)),0)</f>
        <v/>
      </c>
      <c r="S3402">
        <f>IFERROR(O3402/N3402,0)</f>
        <v/>
      </c>
      <c r="T3402">
        <f>IF(C3402,(H3402*N3402*IF(AND(Inputs!$B$38&lt;&gt;"pvp",Inputs!$B$43&gt;0),((Skills!G5*((R3402-1)*IF(Skills!H5&gt;0,INT(Skills!I5/Skills!H5+0.000000001),1)+IF(Skills!H5&gt;0,INT(MIN(Skills!I5,MAX(0,MAX(0,Inputs!$B$43-B3439)-((R3402-1)*(IF(Inputs!$B$38="pvp",15,MAX(0.1,Skills!D5-IF(TRUE=TRUE,4.0,0)))*(1-IF(AND(ArtifactsInput!$M$27,Inputs!$B$4="Chapter Hunt"),CHOOSE(ArtifactsInput!$N$27+1,20,24,28,32,36,40),0)/100)))))/Skills!H5+0.000000001),1)))/Inputs!$B$43),G3402*Q3402)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2">
        <f>IF(C3402,(H3402*N3402*IF(AND(Inputs!$B$38&lt;&gt;"pvp",Inputs!$B$43&gt;0),((Skills!G5*((R3402-1)*IF(Skills!H5&gt;0,INT(Skills!I5/Skills!H5+0.000000001),1)+IF(Skills!H5&gt;0,INT(MIN(Skills!I5,MAX(0,MAX(0,Inputs!$B$43-B3439)-((R3402-1)*(IF(Inputs!$B$38="pvp",15,MAX(0.1,Skills!D5-IF(TRUE=TRUE,4.0,0)))*(1-IF(AND(ArtifactsInput!$M$27,Inputs!$B$4="Chapter Hunt"),CHOOSE(ArtifactsInput!$N$27+1,20,24,28,32,36,40),0)/100)))))/Skills!H5+0.000000001),1)))/Inputs!$B$43),G3402*Q3402))*IF(Inputs!$B$38="pvp",1,(1+(Inputs!$B$21+Skills!Q5+(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3">
      <c r="A3403">
        <f>Skills!A6</f>
        <v/>
      </c>
      <c r="B3403">
        <f>Skills!B6</f>
        <v/>
      </c>
      <c r="C3403">
        <f>Inputs!$B$3&gt;=40</f>
        <v/>
      </c>
      <c r="D3403">
        <f>IF(Skills!C6=1,60+Inputs!$B$25+Inputs!$B$29,IF(Skills!C6=2,90+Inputs!$B$26+Inputs!$B$29,IF(Skills!C6=3,120+Inputs!$B$27+Inputs!$B$29,MAX(0,(Inputs!$B$3-100)*3)+Inputs!$B$28+Inputs!$B$29)))</f>
        <v/>
      </c>
      <c r="E3403">
        <f>INDEX(FactorTable!$B$2:$Y$301, MATCH(ROUND(MIN(300,MAX(1,D3403)),0), FactorTable!$A$2:$A$301,0), Skills!M6+1)</f>
        <v/>
      </c>
      <c r="F3403">
        <f>IF(Skills!N6=TRUE,(Skills!L6/10)*(E3403/1000),Skills!L6/10)+Skills!O6</f>
        <v/>
      </c>
      <c r="G3403">
        <f>Skills!G6*IF(Skills!H6&gt;0,INT(IF(Inputs!$B$38="pvp",MIN(Skills!I6,15),Skills!I6)/Skills!H6+0.000000001),1)</f>
        <v/>
      </c>
      <c r="H3403">
        <f>1-(1-Skills!J6/100)^Skills!K6</f>
        <v/>
      </c>
      <c r="I3403" t="inlineStr">
        <is>
          <t>1</t>
        </is>
      </c>
      <c r="J3403">
        <f>((Inputs!$B$6*(1+Inputs!$B$7/100))+(((Inputs!$B$12*(1+Inputs!$B$13/100))-(Inputs!$B$12*(1+Inputs!$B$13/100)))+0.25*(Inputs!$B$14-Inputs!$B$14))*(1+Inputs!$B$7/100))*(F3403/100)</f>
        <v/>
      </c>
      <c r="K3403">
        <f>J3403*(1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3404=TRUE,F3404,0)/100)*(1+(IF(Skills!A6="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3403)</f>
        <v/>
      </c>
      <c r="L3403">
        <f>K3403*(MIN(Inputs!$B$22+((C3423=TRUE)*(F3423-Calc!F26)),(Inputs!$B$23+((C3428=TRUE)*(F3428-Calc!F31))+(IF(ArtifactsInput!$M$15,CHOOSE(ArtifactsInput!$N$15+1,25,30,35,40,45,50)/100*(Inputs!$B$11-Inputs!$B$11),0))))/100+(Inputs!$B$23+((C3428=TRUE)*(F3428-Calc!F31))+(IF(ArtifactsInput!$M$15,CHOOSE(ArtifactsInput!$N$15+1,25,30,35,40,45,50)/100*(Inputs!$B$11-Inputs!$B$11),0)))/100)/2</f>
        <v/>
      </c>
      <c r="M3403">
        <f>L3403*(1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3">
        <f>L3403*(1-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3403*(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3">
        <f>(1-Summary!$B$11)*T3403+Summary!$B$11*V3403</f>
        <v/>
      </c>
      <c r="P3403">
        <f>IF(B3442=0,0,O3403/B3442)</f>
        <v/>
      </c>
      <c r="Q3403">
        <f>IFERROR(1/(IF(Inputs!$B$38="pvp",15,MAX(0.1,1-0.4*MIN(1,(B3434-1)/1.5)-IF(FALSE=TRUE,4.0,0)))*(1-IF(AND(ArtifactsInput!$M$27,Inputs!$B$4="Chapter Hunt"),CHOOSE(ArtifactsInput!$N$27+1,20,24,28,32,36,40),0)/100)),0)</f>
        <v/>
      </c>
      <c r="R3403">
        <f>IF(AND(Inputs!$B$38&lt;&gt;"pvp",Inputs!$B$43&gt;0),IF(MAX(0,Inputs!$B$43-B3439)&lt;=0,0,(INT(MAX(0,Inputs!$B$43-B3439)/(IF(Inputs!$B$38="pvp",15,MAX(0.1,1-0.4*MIN(1,(B3434-1)/1.5)-IF(FALSE=TRUE,4.0,0)))*(1-IF(AND(ArtifactsInput!$M$27,Inputs!$B$4="Chapter Hunt"),CHOOSE(ArtifactsInput!$N$27+1,20,24,28,32,36,40),0)/100)))+1)),0)</f>
        <v/>
      </c>
      <c r="S3403">
        <f>IFERROR(O3403/N3403,0)</f>
        <v/>
      </c>
      <c r="T3403">
        <f>IF(C3403,(H3403*N3403*IF(AND(Inputs!$B$38&lt;&gt;"pvp",Inputs!$B$43&gt;0),((Skills!G6*((R3403-1)*IF(Skills!H6&gt;0,INT(Skills!I6/Skills!H6+0.000000001),1)+IF(Skills!H6&gt;0,INT(MIN(Skills!I6,MAX(0,MAX(0,Inputs!$B$43-B3439)-((R3403-1)*(IF(Inputs!$B$38="pvp",15,MAX(0.1,1-0.4*MIN(1,(B3434-1)/1.5)-IF(FALSE=TRUE,4.0,0)))*(1-IF(AND(ArtifactsInput!$M$27,Inputs!$B$4="Chapter Hunt"),CHOOSE(ArtifactsInput!$N$27+1,20,24,28,32,36,40),0)/100)))))/Skills!H6+0.000000001),1)))/Inputs!$B$43),G3403*Q3403)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3">
        <f>IF(C3403,(H3403*N3403*IF(AND(Inputs!$B$38&lt;&gt;"pvp",Inputs!$B$43&gt;0),((Skills!G6*((R3403-1)*IF(Skills!H6&gt;0,INT(Skills!I6/Skills!H6+0.000000001),1)+IF(Skills!H6&gt;0,INT(MIN(Skills!I6,MAX(0,MAX(0,Inputs!$B$43-B3439)-((R3403-1)*(IF(Inputs!$B$38="pvp",15,MAX(0.1,1-0.4*MIN(1,(B3434-1)/1.5)-IF(FALSE=TRUE,4.0,0)))*(1-IF(AND(ArtifactsInput!$M$27,Inputs!$B$4="Chapter Hunt"),CHOOSE(ArtifactsInput!$N$27+1,20,24,28,32,36,40),0)/100)))))/Skills!H6+0.000000001),1)))/Inputs!$B$43),G3403*Q3403))*IF(Inputs!$B$38="pvp",1,(1+(Inputs!$B$21+Skills!Q6+(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4">
      <c r="A3404">
        <f>Skills!A7</f>
        <v/>
      </c>
      <c r="B3404">
        <f>Skills!B7</f>
        <v/>
      </c>
      <c r="C3404">
        <f>Inputs!$B$3&gt;=107</f>
        <v/>
      </c>
      <c r="D3404">
        <f>IF(Skills!C7=1,60+Inputs!$B$25+Inputs!$B$29,IF(Skills!C7=2,90+Inputs!$B$26+Inputs!$B$29,IF(Skills!C7=3,120+Inputs!$B$27+Inputs!$B$29,MAX(0,(Inputs!$B$3-100)*3)+Inputs!$B$28+Inputs!$B$29)))</f>
        <v/>
      </c>
      <c r="E3404">
        <f>INDEX(FactorTable!$B$2:$Y$301, MATCH(ROUND(MIN(300,MAX(1,D3404)),0), FactorTable!$A$2:$A$301,0), Skills!M7+1)</f>
        <v/>
      </c>
      <c r="F3404">
        <f>IF(Skills!N7=TRUE,(Skills!L7/10)*(E3404/1000),Skills!L7/10)+Skills!O7</f>
        <v/>
      </c>
      <c r="G3404" t="inlineStr"/>
      <c r="H3404" t="inlineStr"/>
      <c r="I3404" t="inlineStr">
        <is>
          <t>1</t>
        </is>
      </c>
      <c r="J3404" t="inlineStr"/>
      <c r="K3404" t="inlineStr"/>
      <c r="L3404" t="inlineStr"/>
      <c r="M3404" t="inlineStr"/>
      <c r="N3404" t="inlineStr"/>
      <c r="O3404" t="inlineStr"/>
      <c r="P3404" t="inlineStr"/>
      <c r="Q3404" t="inlineStr"/>
      <c r="R3404" t="inlineStr"/>
      <c r="S3404" t="inlineStr"/>
      <c r="T3404" t="inlineStr"/>
      <c r="V3404" t="inlineStr"/>
    </row>
    <row r="3405">
      <c r="A3405">
        <f>Skills!A8</f>
        <v/>
      </c>
      <c r="B3405">
        <f>Skills!B8</f>
        <v/>
      </c>
      <c r="C3405">
        <f>Inputs!$B$3&gt;=130</f>
        <v/>
      </c>
      <c r="D3405">
        <f>IF(Skills!C8=1,60+Inputs!$B$25+Inputs!$B$29,IF(Skills!C8=2,90+Inputs!$B$26+Inputs!$B$29,IF(Skills!C8=3,120+Inputs!$B$27+Inputs!$B$29,MAX(0,(Inputs!$B$3-100)*3)+Inputs!$B$28+Inputs!$B$29)))</f>
        <v/>
      </c>
      <c r="E3405">
        <f>INDEX(FactorTable!$B$2:$Y$301, MATCH(ROUND(MIN(300,MAX(1,D3405)),0), FactorTable!$A$2:$A$301,0), Skills!M8+1)</f>
        <v/>
      </c>
      <c r="F3405">
        <f>IF(Skills!N8=TRUE,(Skills!L8/10)*(E3405/1000),Skills!L8/10)+Skills!O8</f>
        <v/>
      </c>
      <c r="G3405">
        <f>Skills!G8*IF(Skills!H8&gt;0,INT(IF(Inputs!$B$38="pvp",MIN(Skills!I8,15),Skills!I8)/Skills!H8+0.000000001),1)</f>
        <v/>
      </c>
      <c r="H3405">
        <f>1-(1-Skills!J8/100)^Skills!K8</f>
        <v/>
      </c>
      <c r="I3405" t="inlineStr">
        <is>
          <t>1</t>
        </is>
      </c>
      <c r="J3405">
        <f>((Inputs!$B$6*(1+Inputs!$B$7/100))+(((Inputs!$B$12*(1+Inputs!$B$13/100))-(Inputs!$B$12*(1+Inputs!$B$13/100)))+0.25*(Inputs!$B$14-Inputs!$B$14))*(1+Inputs!$B$7/100))*(F3405/100)</f>
        <v/>
      </c>
      <c r="K3405">
        <f>J3405*(1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3405)</f>
        <v/>
      </c>
      <c r="L3405">
        <f>K3405*(MIN(Inputs!$B$22+((C3423=TRUE)*(F3423-Calc!F26)),(Inputs!$B$23+((C3428=TRUE)*(F3428-Calc!F31))+(IF(ArtifactsInput!$M$15,CHOOSE(ArtifactsInput!$N$15+1,25,30,35,40,45,50)/100*(Inputs!$B$11-Inputs!$B$11),0))))/100+(Inputs!$B$23+((C3428=TRUE)*(F3428-Calc!F31))+(IF(ArtifactsInput!$M$15,CHOOSE(ArtifactsInput!$N$15+1,25,30,35,40,45,50)/100*(Inputs!$B$11-Inputs!$B$11),0)))/100)/2</f>
        <v/>
      </c>
      <c r="M3405">
        <f>L3405*(1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5">
        <f>L3405*(1-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3405*(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5">
        <f>(1-Summary!$B$11)*T3405+Summary!$B$11*V3405</f>
        <v/>
      </c>
      <c r="P3405">
        <f>IF(B3442=0,0,O3405/B3442)</f>
        <v/>
      </c>
      <c r="Q3405">
        <f>IFERROR(1/(IF(Inputs!$B$38="pvp",15,MAX(0.1,1-0.4*MIN(1,(B3434-1)/1.5)-IF(FALSE=TRUE,4.0,0)))*(1-IF(AND(ArtifactsInput!$M$27,Inputs!$B$4="Chapter Hunt"),CHOOSE(ArtifactsInput!$N$27+1,20,24,28,32,36,40),0)/100)),0)</f>
        <v/>
      </c>
      <c r="R3405">
        <f>IF(AND(Inputs!$B$38&lt;&gt;"pvp",Inputs!$B$43&gt;0),IF(MAX(0,Inputs!$B$43-B3439)&lt;=0,0,(INT(MAX(0,Inputs!$B$43-B3439)/(IF(Inputs!$B$38="pvp",15,MAX(0.1,1-0.4*MIN(1,(B3434-1)/1.5)-IF(FALSE=TRUE,4.0,0)))*(1-IF(AND(ArtifactsInput!$M$27,Inputs!$B$4="Chapter Hunt"),CHOOSE(ArtifactsInput!$N$27+1,20,24,28,32,36,40),0)/100)))+1)),0)</f>
        <v/>
      </c>
      <c r="S3405">
        <f>IFERROR(O3405/N3405,0)</f>
        <v/>
      </c>
      <c r="T3405">
        <f>IF(C3405,(H3405*N3405*IF(AND(Inputs!$B$38&lt;&gt;"pvp",Inputs!$B$43&gt;0),((Skills!G8*((R3405-1)*IF(Skills!H8&gt;0,INT(Skills!I8/Skills!H8+0.000000001),1)+IF(Skills!H8&gt;0,INT(MIN(Skills!I8,MAX(0,MAX(0,Inputs!$B$43-B3439)-((R3405-1)*(IF(Inputs!$B$38="pvp",15,MAX(0.1,1-0.4*MIN(1,(B3434-1)/1.5)-IF(FALSE=TRUE,4.0,0)))*(1-IF(AND(ArtifactsInput!$M$27,Inputs!$B$4="Chapter Hunt"),CHOOSE(ArtifactsInput!$N$27+1,20,24,28,32,36,40),0)/100)))))/Skills!H8+0.000000001),1)))/Inputs!$B$43),G3405*Q3405)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5">
        <f>IF(C3405,(H3405*N3405*IF(AND(Inputs!$B$38&lt;&gt;"pvp",Inputs!$B$43&gt;0),((Skills!G8*((R3405-1)*IF(Skills!H8&gt;0,INT(Skills!I8/Skills!H8+0.000000001),1)+IF(Skills!H8&gt;0,INT(MIN(Skills!I8,MAX(0,MAX(0,Inputs!$B$43-B3439)-((R3405-1)*(IF(Inputs!$B$38="pvp",15,MAX(0.1,1-0.4*MIN(1,(B3434-1)/1.5)-IF(FALSE=TRUE,4.0,0)))*(1-IF(AND(ArtifactsInput!$M$27,Inputs!$B$4="Chapter Hunt"),CHOOSE(ArtifactsInput!$N$27+1,20,24,28,32,36,40),0)/100)))))/Skills!H8+0.000000001),1)))/Inputs!$B$43),G3405*Q3405))*IF(Inputs!$B$38="pvp",1,(1+(Inputs!$B$21+Skills!Q8+(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6">
      <c r="A3406">
        <f>Skills!A9</f>
        <v/>
      </c>
      <c r="B3406">
        <f>Skills!B9</f>
        <v/>
      </c>
      <c r="C3406">
        <f>Inputs!$B$3&gt;=69</f>
        <v/>
      </c>
      <c r="D3406">
        <f>IF(Skills!C9=1,60+Inputs!$B$25+Inputs!$B$29,IF(Skills!C9=2,90+Inputs!$B$26+Inputs!$B$29,IF(Skills!C9=3,120+Inputs!$B$27+Inputs!$B$29,MAX(0,(Inputs!$B$3-100)*3)+Inputs!$B$28+Inputs!$B$29)))</f>
        <v/>
      </c>
      <c r="E3406">
        <f>INDEX(FactorTable!$B$2:$Y$301, MATCH(ROUND(MIN(300,MAX(1,D3406)),0), FactorTable!$A$2:$A$301,0), Skills!M9+1)</f>
        <v/>
      </c>
      <c r="F3406">
        <f>IF(Skills!N9=TRUE,(Skills!L9/10)*(E3406/1000),Skills!L9/10)+Skills!O9</f>
        <v/>
      </c>
      <c r="G3406">
        <f>Skills!G9*IF(Skills!H9&gt;0,INT(IF(Inputs!$B$38="pvp",MIN(Skills!I9,15),Skills!I9)/Skills!H9+0.000000001),1)</f>
        <v/>
      </c>
      <c r="H3406">
        <f>1-(1-Skills!J9/100)^Skills!K9</f>
        <v/>
      </c>
      <c r="I3406" t="inlineStr">
        <is>
          <t>1</t>
        </is>
      </c>
      <c r="J3406">
        <f>((Inputs!$B$6*(1+Inputs!$B$7/100))+(((Inputs!$B$12*(1+Inputs!$B$13/100))-(Inputs!$B$12*(1+Inputs!$B$13/100)))+0.25*(Inputs!$B$14-Inputs!$B$14))*(1+Inputs!$B$7/100))*(F3406/100)</f>
        <v/>
      </c>
      <c r="K3406">
        <f>J3406*(1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3409=TRUE,F3409,0)/100)*(1+(IF(Skills!A9="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3406)</f>
        <v/>
      </c>
      <c r="L3406">
        <f>K3406*(MIN(Inputs!$B$22+((C3423=TRUE)*(F3423-Calc!F26)),(Inputs!$B$23+((C3428=TRUE)*(F3428-Calc!F31))+(IF(ArtifactsInput!$M$15,CHOOSE(ArtifactsInput!$N$15+1,25,30,35,40,45,50)/100*(Inputs!$B$11-Inputs!$B$11),0))))/100+(Inputs!$B$23+((C3428=TRUE)*(F3428-Calc!F31))+(IF(ArtifactsInput!$M$15,CHOOSE(ArtifactsInput!$N$15+1,25,30,35,40,45,50)/100*(Inputs!$B$11-Inputs!$B$11),0)))/100)/2</f>
        <v/>
      </c>
      <c r="M3406">
        <f>L3406*(1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6">
        <f>L3406*(1-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3406*(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6">
        <f>(1-Summary!$B$11)*T3406+Summary!$B$11*V3406</f>
        <v/>
      </c>
      <c r="P3406">
        <f>IF(B3442=0,0,O3406/B3442)</f>
        <v/>
      </c>
      <c r="Q3406">
        <f>IFERROR(1/(IF(Inputs!$B$38="pvp",15,MAX(0.1,Skills!D9-IF(TRUE=TRUE,4.0,0)))*(1-IF(AND(ArtifactsInput!$M$27,Inputs!$B$4="Chapter Hunt"),CHOOSE(ArtifactsInput!$N$27+1,20,24,28,32,36,40),0)/100)),0)</f>
        <v/>
      </c>
      <c r="R3406">
        <f>IF(AND(Inputs!$B$38&lt;&gt;"pvp",Inputs!$B$43&gt;0),IF(MAX(0,Inputs!$B$43-B3439)&lt;=0,0,(INT(MAX(0,Inputs!$B$43-B3439)/(IF(Inputs!$B$38="pvp",15,MAX(0.1,Skills!D9-IF(TRUE=TRUE,4.0,0)))*(1-IF(AND(ArtifactsInput!$M$27,Inputs!$B$4="Chapter Hunt"),CHOOSE(ArtifactsInput!$N$27+1,20,24,28,32,36,40),0)/100)))+1)),0)</f>
        <v/>
      </c>
      <c r="S3406">
        <f>IFERROR(O3406/N3406,0)</f>
        <v/>
      </c>
      <c r="T3406">
        <f>IF(C3406,(H3406*N3406*IF(AND(Inputs!$B$38&lt;&gt;"pvp",Inputs!$B$43&gt;0),((Skills!G9*((R3406-1)*IF(Skills!H9&gt;0,INT(Skills!I9/Skills!H9+0.000000001),1)+IF(Skills!H9&gt;0,INT(MIN(Skills!I9,MAX(0,MAX(0,Inputs!$B$43-B3439)-((R3406-1)*(IF(Inputs!$B$38="pvp",15,MAX(0.1,Skills!D9-IF(TRUE=TRUE,4.0,0)))*(1-IF(AND(ArtifactsInput!$M$27,Inputs!$B$4="Chapter Hunt"),CHOOSE(ArtifactsInput!$N$27+1,20,24,28,32,36,40),0)/100)))))/Skills!H9+0.000000001),1)))/Inputs!$B$43),G3406*Q3406)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6">
        <f>IF(C3406,(H3406*N3406*IF(AND(Inputs!$B$38&lt;&gt;"pvp",Inputs!$B$43&gt;0),((Skills!G9*((R3406-1)*IF(Skills!H9&gt;0,INT(Skills!I9/Skills!H9+0.000000001),1)+IF(Skills!H9&gt;0,INT(MIN(Skills!I9,MAX(0,MAX(0,Inputs!$B$43-B3439)-((R3406-1)*(IF(Inputs!$B$38="pvp",15,MAX(0.1,Skills!D9-IF(TRUE=TRUE,4.0,0)))*(1-IF(AND(ArtifactsInput!$M$27,Inputs!$B$4="Chapter Hunt"),CHOOSE(ArtifactsInput!$N$27+1,20,24,28,32,36,40),0)/100)))))/Skills!H9+0.000000001),1)))/Inputs!$B$43),G3406*Q3406))*IF(Inputs!$B$38="pvp",1,(1+(Inputs!$B$21+Skills!Q9+(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7">
      <c r="A3407">
        <f>Skills!A10</f>
        <v/>
      </c>
      <c r="B3407">
        <f>Skills!B10</f>
        <v/>
      </c>
      <c r="C3407">
        <f>Inputs!$B$3&gt;=63</f>
        <v/>
      </c>
      <c r="D3407">
        <f>IF(Skills!C10=1,60+Inputs!$B$25+Inputs!$B$29,IF(Skills!C10=2,90+Inputs!$B$26+Inputs!$B$29,IF(Skills!C10=3,120+Inputs!$B$27+Inputs!$B$29,MAX(0,(Inputs!$B$3-100)*3)+Inputs!$B$28+Inputs!$B$29)))</f>
        <v/>
      </c>
      <c r="E3407">
        <f>INDEX(FactorTable!$B$2:$Y$301, MATCH(ROUND(MIN(300,MAX(1,D3407)),0), FactorTable!$A$2:$A$301,0), Skills!M10+1)</f>
        <v/>
      </c>
      <c r="F3407">
        <f>IF(Skills!N10=TRUE,(Skills!L10/10)*(E3407/1000),Skills!L10/10)+Skills!O10</f>
        <v/>
      </c>
      <c r="G3407">
        <f>Skills!G10*IF(Skills!H10&gt;0,INT(IF(Inputs!$B$38="pvp",MIN(Skills!I10,15),Skills!I10)/Skills!H10+0.000000001),1)</f>
        <v/>
      </c>
      <c r="H3407">
        <f>1-(1-Skills!J10/100)^Skills!K10</f>
        <v/>
      </c>
      <c r="I3407" t="inlineStr">
        <is>
          <t>1</t>
        </is>
      </c>
      <c r="J3407">
        <f>((Inputs!$B$6*(1+Inputs!$B$7/100))+(((Inputs!$B$12*(1+Inputs!$B$13/100))-(Inputs!$B$12*(1+Inputs!$B$13/100)))+0.25*(Inputs!$B$14-Inputs!$B$14))*(1+Inputs!$B$7/100))*(F3407/100)</f>
        <v/>
      </c>
      <c r="K3407">
        <f>J3407*(1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3409=TRUE,F3409,0)/100)*(1+(IF(Skills!A10="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3407)</f>
        <v/>
      </c>
      <c r="L3407">
        <f>K3407*(MIN(Inputs!$B$22+((C3423=TRUE)*(F3423-Calc!F26)),(Inputs!$B$23+((C3428=TRUE)*(F3428-Calc!F31))+(IF(ArtifactsInput!$M$15,CHOOSE(ArtifactsInput!$N$15+1,25,30,35,40,45,50)/100*(Inputs!$B$11-Inputs!$B$11),0))))/100+(Inputs!$B$23+((C3428=TRUE)*(F3428-Calc!F31))+(IF(ArtifactsInput!$M$15,CHOOSE(ArtifactsInput!$N$15+1,25,30,35,40,45,50)/100*(Inputs!$B$11-Inputs!$B$11),0)))/100)/2</f>
        <v/>
      </c>
      <c r="M3407">
        <f>L3407*(1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7">
        <f>L3407*(1-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3407*(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7">
        <f>(1-Summary!$B$11)*T3407+Summary!$B$11*V3407</f>
        <v/>
      </c>
      <c r="P3407">
        <f>IF(B3442=0,0,O3407/B3442)</f>
        <v/>
      </c>
      <c r="Q3407">
        <f>IFERROR(1/(IF(Inputs!$B$38="pvp",15,MAX(0.1,Skills!D10-IF(TRUE=TRUE,4.0,0)))*(1-IF(AND(ArtifactsInput!$M$27,Inputs!$B$4="Chapter Hunt"),CHOOSE(ArtifactsInput!$N$27+1,20,24,28,32,36,40),0)/100)),0)</f>
        <v/>
      </c>
      <c r="R3407">
        <f>IF(AND(Inputs!$B$38&lt;&gt;"pvp",Inputs!$B$43&gt;0),IF(MAX(0,Inputs!$B$43-B3439)&lt;=0,0,(INT(MAX(0,Inputs!$B$43-B3439)/(IF(Inputs!$B$38="pvp",15,MAX(0.1,Skills!D10-IF(TRUE=TRUE,4.0,0)))*(1-IF(AND(ArtifactsInput!$M$27,Inputs!$B$4="Chapter Hunt"),CHOOSE(ArtifactsInput!$N$27+1,20,24,28,32,36,40),0)/100)))+1)),0)</f>
        <v/>
      </c>
      <c r="S3407">
        <f>IFERROR(O3407/N3407,0)</f>
        <v/>
      </c>
      <c r="T3407">
        <f>IF(C3407,(H3407*N3407*IF(AND(Inputs!$B$38&lt;&gt;"pvp",Inputs!$B$43&gt;0),((Skills!G10*((R3407-1)*IF(Skills!H10&gt;0,INT(Skills!I10/Skills!H10+0.000000001),1)+IF(Skills!H10&gt;0,INT(MIN(Skills!I10,MAX(0,MAX(0,Inputs!$B$43-B3439)-((R3407-1)*(IF(Inputs!$B$38="pvp",15,MAX(0.1,Skills!D10-IF(TRUE=TRUE,4.0,0)))*(1-IF(AND(ArtifactsInput!$M$27,Inputs!$B$4="Chapter Hunt"),CHOOSE(ArtifactsInput!$N$27+1,20,24,28,32,36,40),0)/100)))))/Skills!H10+0.000000001),1)))/Inputs!$B$43),G3407*Q3407)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7">
        <f>IF(C3407,(H3407*N3407*IF(AND(Inputs!$B$38&lt;&gt;"pvp",Inputs!$B$43&gt;0),((Skills!G10*((R3407-1)*IF(Skills!H10&gt;0,INT(Skills!I10/Skills!H10+0.000000001),1)+IF(Skills!H10&gt;0,INT(MIN(Skills!I10,MAX(0,MAX(0,Inputs!$B$43-B3439)-((R3407-1)*(IF(Inputs!$B$38="pvp",15,MAX(0.1,Skills!D10-IF(TRUE=TRUE,4.0,0)))*(1-IF(AND(ArtifactsInput!$M$27,Inputs!$B$4="Chapter Hunt"),CHOOSE(ArtifactsInput!$N$27+1,20,24,28,32,36,40),0)/100)))))/Skills!H10+0.000000001),1)))/Inputs!$B$43),G3407*Q3407))*IF(Inputs!$B$38="pvp",1,(1+(Inputs!$B$21+Skills!Q10+(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8">
      <c r="A3408">
        <f>Skills!A11</f>
        <v/>
      </c>
      <c r="B3408">
        <f>Skills!B11</f>
        <v/>
      </c>
      <c r="C3408">
        <f>Inputs!$B$3&gt;=103</f>
        <v/>
      </c>
      <c r="D3408">
        <f>IF(Skills!C11=1,60+Inputs!$B$25+Inputs!$B$29,IF(Skills!C11=2,90+Inputs!$B$26+Inputs!$B$29,IF(Skills!C11=3,120+Inputs!$B$27+Inputs!$B$29,MAX(0,(Inputs!$B$3-100)*3)+Inputs!$B$28+Inputs!$B$29)))</f>
        <v/>
      </c>
      <c r="E3408">
        <f>INDEX(FactorTable!$B$2:$Y$301, MATCH(ROUND(MIN(300,MAX(1,D3408)),0), FactorTable!$A$2:$A$301,0), Skills!M11+1)</f>
        <v/>
      </c>
      <c r="F3408">
        <f>IF(Skills!N11=TRUE,(Skills!L11/10)*(E3408/1000),Skills!L11/10)+Skills!O11</f>
        <v/>
      </c>
      <c r="G3408">
        <f>Skills!G11*IF(Skills!H11&gt;0,INT(IF(Inputs!$B$38="pvp",MIN(Skills!I11,15),Skills!I11)/Skills!H11+0.000000001),1)</f>
        <v/>
      </c>
      <c r="H3408">
        <f>1-(1-Skills!J11/100)^Skills!K11</f>
        <v/>
      </c>
      <c r="I3408" t="inlineStr">
        <is>
          <t>1</t>
        </is>
      </c>
      <c r="J3408">
        <f>((Inputs!$B$6*(1+Inputs!$B$7/100))+(((Inputs!$B$12*(1+Inputs!$B$13/100))-(Inputs!$B$12*(1+Inputs!$B$13/100)))+0.25*(Inputs!$B$14-Inputs!$B$14))*(1+Inputs!$B$7/100))*(F3408/100)</f>
        <v/>
      </c>
      <c r="K3408">
        <f>J3408*(1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3408)</f>
        <v/>
      </c>
      <c r="L3408">
        <f>K3408*(MIN(Inputs!$B$22+((C3423=TRUE)*(F3423-Calc!F26)),(Inputs!$B$23+((C3428=TRUE)*(F3428-Calc!F31))+(IF(ArtifactsInput!$M$15,CHOOSE(ArtifactsInput!$N$15+1,25,30,35,40,45,50)/100*(Inputs!$B$11-Inputs!$B$11),0))))/100+(Inputs!$B$23+((C3428=TRUE)*(F3428-Calc!F31))+(IF(ArtifactsInput!$M$15,CHOOSE(ArtifactsInput!$N$15+1,25,30,35,40,45,50)/100*(Inputs!$B$11-Inputs!$B$11),0)))/100)/2</f>
        <v/>
      </c>
      <c r="M3408">
        <f>L3408*(1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8">
        <f>L3408*(1-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3408*(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8">
        <f>(1-Summary!$B$11)*T3408+Summary!$B$11*V3408</f>
        <v/>
      </c>
      <c r="P3408">
        <f>IF(B3442=0,0,O3408/B3442)</f>
        <v/>
      </c>
      <c r="Q3408">
        <f>IFERROR(1/(IF(Inputs!$B$38="pvp",15,MAX(0.1,Skills!D11-IF(TRUE=TRUE,4.0,0)))*(1-IF(AND(ArtifactsInput!$M$27,Inputs!$B$4="Chapter Hunt"),CHOOSE(ArtifactsInput!$N$27+1,20,24,28,32,36,40),0)/100)),0)</f>
        <v/>
      </c>
      <c r="R3408">
        <f>IF(AND(Inputs!$B$38&lt;&gt;"pvp",Inputs!$B$43&gt;0),IF(MAX(0,Inputs!$B$43-B3439)&lt;=0,0,(INT(MAX(0,Inputs!$B$43-B3439)/(IF(Inputs!$B$38="pvp",15,MAX(0.1,Skills!D11-IF(TRUE=TRUE,4.0,0)))*(1-IF(AND(ArtifactsInput!$M$27,Inputs!$B$4="Chapter Hunt"),CHOOSE(ArtifactsInput!$N$27+1,20,24,28,32,36,40),0)/100)))+1)),0)</f>
        <v/>
      </c>
      <c r="S3408">
        <f>IFERROR(O3408/N3408,0)</f>
        <v/>
      </c>
      <c r="T3408">
        <f>IF(C3408,(H3408*N3408*IF(AND(Inputs!$B$38&lt;&gt;"pvp",Inputs!$B$43&gt;0),((Skills!G11*((R3408-1)*IF(Skills!H11&gt;0,INT(Skills!I11/Skills!H11+0.000000001),1)+IF(Skills!H11&gt;0,INT(MIN(Skills!I11,MAX(0,MAX(0,Inputs!$B$43-B3439)-((R3408-1)*(IF(Inputs!$B$38="pvp",15,MAX(0.1,Skills!D11-IF(TRUE=TRUE,4.0,0)))*(1-IF(AND(ArtifactsInput!$M$27,Inputs!$B$4="Chapter Hunt"),CHOOSE(ArtifactsInput!$N$27+1,20,24,28,32,36,40),0)/100)))))/Skills!H11+0.000000001),1)))/Inputs!$B$43),G3408*Q3408)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8">
        <f>IF(C3408,(H3408*N3408*IF(AND(Inputs!$B$38&lt;&gt;"pvp",Inputs!$B$43&gt;0),((Skills!G11*((R3408-1)*IF(Skills!H11&gt;0,INT(Skills!I11/Skills!H11+0.000000001),1)+IF(Skills!H11&gt;0,INT(MIN(Skills!I11,MAX(0,MAX(0,Inputs!$B$43-B3439)-((R3408-1)*(IF(Inputs!$B$38="pvp",15,MAX(0.1,Skills!D11-IF(TRUE=TRUE,4.0,0)))*(1-IF(AND(ArtifactsInput!$M$27,Inputs!$B$4="Chapter Hunt"),CHOOSE(ArtifactsInput!$N$27+1,20,24,28,32,36,40),0)/100)))))/Skills!H11+0.000000001),1)))/Inputs!$B$43),G3408*Q3408))*IF(Inputs!$B$38="pvp",1,(1+(Inputs!$B$21+Skills!Q11+(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9">
      <c r="A3409">
        <f>Skills!A12</f>
        <v/>
      </c>
      <c r="B3409">
        <f>Skills!B12</f>
        <v/>
      </c>
      <c r="C3409">
        <f>Inputs!$B$3&gt;=100</f>
        <v/>
      </c>
      <c r="D3409">
        <f>IF(Skills!C12=1,60+Inputs!$B$25+Inputs!$B$29,IF(Skills!C12=2,90+Inputs!$B$26+Inputs!$B$29,IF(Skills!C12=3,120+Inputs!$B$27+Inputs!$B$29,MAX(0,(Inputs!$B$3-100)*3)+Inputs!$B$28+Inputs!$B$29)))</f>
        <v/>
      </c>
      <c r="E3409">
        <f>INDEX(FactorTable!$B$2:$Y$301, MATCH(ROUND(MIN(300,MAX(1,D3409)),0), FactorTable!$A$2:$A$301,0), Skills!M12+1)</f>
        <v/>
      </c>
      <c r="F3409">
        <f>IF(Skills!N12=TRUE,(Skills!L12/10)*(E3409/1000),Skills!L12/10)+Skills!O12</f>
        <v/>
      </c>
      <c r="G3409" t="inlineStr"/>
      <c r="H3409" t="inlineStr"/>
      <c r="I3409" t="inlineStr">
        <is>
          <t>1</t>
        </is>
      </c>
      <c r="J3409" t="inlineStr"/>
      <c r="K3409" t="inlineStr"/>
      <c r="L3409" t="inlineStr"/>
      <c r="M3409" t="inlineStr"/>
      <c r="N3409" t="inlineStr"/>
      <c r="O3409" t="inlineStr"/>
      <c r="P3409" t="inlineStr"/>
      <c r="Q3409" t="inlineStr"/>
      <c r="R3409" t="inlineStr"/>
      <c r="S3409" t="inlineStr"/>
      <c r="T3409" t="inlineStr"/>
      <c r="V3409" t="inlineStr"/>
    </row>
    <row r="3410">
      <c r="A3410">
        <f>Skills!A13</f>
        <v/>
      </c>
      <c r="B3410">
        <f>Skills!B13</f>
        <v/>
      </c>
      <c r="C3410">
        <f>Inputs!$B$3&gt;=60</f>
        <v/>
      </c>
      <c r="D3410">
        <f>IF(Skills!C13=1,60+Inputs!$B$25+Inputs!$B$29,IF(Skills!C13=2,90+Inputs!$B$26+Inputs!$B$29,IF(Skills!C13=3,120+Inputs!$B$27+Inputs!$B$29,MAX(0,(Inputs!$B$3-100)*3)+Inputs!$B$28+Inputs!$B$29)))</f>
        <v/>
      </c>
      <c r="E3410">
        <f>INDEX(FactorTable!$B$2:$Y$301, MATCH(ROUND(MIN(300,MAX(1,D3410)),0), FactorTable!$A$2:$A$301,0), Skills!M13+1)</f>
        <v/>
      </c>
      <c r="F3410">
        <f>IF(Skills!N13=TRUE,(Skills!L13/10)*(E3410/1000),Skills!L13/10)+Skills!O13</f>
        <v/>
      </c>
      <c r="G3410">
        <f>Skills!G13*IF(Skills!H13&gt;0,INT(IF(Inputs!$B$38="pvp",MIN(Skills!I13,15),Skills!I13)/Skills!H13+0.000000001),1)</f>
        <v/>
      </c>
      <c r="H3410">
        <f>1-(1-Skills!J13/100)^Skills!K13</f>
        <v/>
      </c>
      <c r="I3410" t="inlineStr">
        <is>
          <t>1</t>
        </is>
      </c>
      <c r="J3410">
        <f>((Inputs!$B$6*(1+Inputs!$B$7/100))+(((Inputs!$B$12*(1+Inputs!$B$13/100))-(Inputs!$B$12*(1+Inputs!$B$13/100)))+0.25*(Inputs!$B$14-Inputs!$B$14))*(1+Inputs!$B$7/100))*(F3410/100)</f>
        <v/>
      </c>
      <c r="K3410">
        <f>J3410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3411=TRUE,F3411,0)/100)*(1+(IF(Skills!A13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3410)</f>
        <v/>
      </c>
      <c r="L3410">
        <f>K3410*(MIN(Inputs!$B$22+((C3423=TRUE)*(F3423-Calc!F26)),(Inputs!$B$23+((C3428=TRUE)*(F3428-Calc!F31))+(IF(ArtifactsInput!$M$15,CHOOSE(ArtifactsInput!$N$15+1,25,30,35,40,45,50)/100*(Inputs!$B$11-Inputs!$B$11),0))))/100+(Inputs!$B$23+((C3428=TRUE)*(F3428-Calc!F31))+(IF(ArtifactsInput!$M$15,CHOOSE(ArtifactsInput!$N$15+1,25,30,35,40,45,50)/100*(Inputs!$B$11-Inputs!$B$11),0)))/100)/2</f>
        <v/>
      </c>
      <c r="M3410">
        <f>L3410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0">
        <f>L3410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0">
        <f>(1-Summary!$B$11)*T3410+Summary!$B$11*V3410</f>
        <v/>
      </c>
      <c r="P3410">
        <f>IF(B3442=0,0,O3410/B3442)</f>
        <v/>
      </c>
      <c r="Q3410">
        <f>IFERROR(1/(IF(Inputs!$B$38="pvp",15,MAX(0.1,IF(Inputs!$B$3&gt;=122,3,5)+1/(((20+30*(B3434-1)*100/150)/100)*B3434)-IF(FALSE=TRUE,4.0,0)))*(1-IF(AND(ArtifactsInput!$M$27,Inputs!$B$4="Chapter Hunt"),CHOOSE(ArtifactsInput!$N$27+1,20,24,28,32,36,40),0)/100)),0)</f>
        <v/>
      </c>
      <c r="R3410">
        <f>IF(AND(Inputs!$B$38&lt;&gt;"pvp",Inputs!$B$43&gt;0),IF(MAX(0,Inputs!$B$43-B3439)&lt;=0,0,(INT(MAX(0,Inputs!$B$43-B3439)/(IF(Inputs!$B$38="pvp",15,MAX(0.1,IF(Inputs!$B$3&gt;=122,3,5)+1/(((20+30*(B3434-1)*100/150)/100)*B3434)-IF(FALSE=TRUE,4.0,0)))*(1-IF(AND(ArtifactsInput!$M$27,Inputs!$B$4="Chapter Hunt"),CHOOSE(ArtifactsInput!$N$27+1,20,24,28,32,36,40),0)/100)))+1)),0)</f>
        <v/>
      </c>
      <c r="S3410">
        <f>IFERROR(O3410/N3410,0)</f>
        <v/>
      </c>
      <c r="T3410">
        <f>IF(C3410,(H3410*N3410*IF(AND(Inputs!$B$38&lt;&gt;"pvp",Inputs!$B$43&gt;0),((Skills!G13*((R3410-1)*IF(Skills!H13&gt;0,INT(Skills!I13/Skills!H13+0.000000001),1)+IF(Skills!H13&gt;0,INT(MIN(Skills!I13,MAX(0,MAX(0,Inputs!$B$43-B3439)-((R3410-1)*(IF(Inputs!$B$38="pvp",15,MAX(0.1,IF(Inputs!$B$3&gt;=122,3,5)+1/(((20+30*(B3434-1)*100/150)/100)*B3434)-IF(FALSE=TRUE,4.0,0)))*(1-IF(AND(ArtifactsInput!$M$27,Inputs!$B$4="Chapter Hunt"),CHOOSE(ArtifactsInput!$N$27+1,20,24,28,32,36,40),0)/100)))))/Skills!H13+0.000000001),1)))/Inputs!$B$43),G3410*Q3410)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0">
        <f>IF(C3410,(H3410*N3410*IF(AND(Inputs!$B$38&lt;&gt;"pvp",Inputs!$B$43&gt;0),((Skills!G13*((R3410-1)*IF(Skills!H13&gt;0,INT(Skills!I13/Skills!H13+0.000000001),1)+IF(Skills!H13&gt;0,INT(MIN(Skills!I13,MAX(0,MAX(0,Inputs!$B$43-B3439)-((R3410-1)*(IF(Inputs!$B$38="pvp",15,MAX(0.1,IF(Inputs!$B$3&gt;=122,3,5)+1/(((20+30*(B3434-1)*100/150)/100)*B3434)-IF(FALSE=TRUE,4.0,0)))*(1-IF(AND(ArtifactsInput!$M$27,Inputs!$B$4="Chapter Hunt"),CHOOSE(ArtifactsInput!$N$27+1,20,24,28,32,36,40),0)/100)))))/Skills!H13+0.000000001),1)))/Inputs!$B$43),G3410*Q3410))*IF(Inputs!$B$38="pvp",1,(1+(Inputs!$B$21+Skills!Q13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1">
      <c r="A3411">
        <f>Skills!A14</f>
        <v/>
      </c>
      <c r="B3411">
        <f>Skills!B14</f>
        <v/>
      </c>
      <c r="C3411">
        <f>Inputs!$B$3&gt;=110</f>
        <v/>
      </c>
      <c r="D3411">
        <f>IF(Skills!C14=1,60+Inputs!$B$25+Inputs!$B$29,IF(Skills!C14=2,90+Inputs!$B$26+Inputs!$B$29,IF(Skills!C14=3,120+Inputs!$B$27+Inputs!$B$29,MAX(0,(Inputs!$B$3-100)*3)+Inputs!$B$28+Inputs!$B$29)))</f>
        <v/>
      </c>
      <c r="E3411">
        <f>INDEX(FactorTable!$B$2:$Y$301, MATCH(ROUND(MIN(300,MAX(1,D3411)),0), FactorTable!$A$2:$A$301,0), Skills!M14+1)</f>
        <v/>
      </c>
      <c r="F3411">
        <f>IF(Skills!N14=TRUE,(Skills!L14/10)*(E3411/1000),Skills!L14/10)+Skills!O14</f>
        <v/>
      </c>
      <c r="G3411" t="inlineStr"/>
      <c r="H3411" t="inlineStr"/>
      <c r="I3411" t="inlineStr">
        <is>
          <t>1</t>
        </is>
      </c>
      <c r="J3411" t="inlineStr"/>
      <c r="K3411" t="inlineStr"/>
      <c r="L3411" t="inlineStr"/>
      <c r="M3411" t="inlineStr"/>
      <c r="N3411" t="inlineStr"/>
      <c r="O3411" t="inlineStr"/>
      <c r="P3411" t="inlineStr"/>
      <c r="Q3411" t="inlineStr"/>
      <c r="R3411" t="inlineStr"/>
      <c r="S3411" t="inlineStr"/>
      <c r="T3411" t="inlineStr"/>
      <c r="V3411" t="inlineStr"/>
    </row>
    <row r="3412">
      <c r="A3412">
        <f>Skills!A15</f>
        <v/>
      </c>
      <c r="B3412">
        <f>Skills!B15</f>
        <v/>
      </c>
      <c r="C3412">
        <f>Inputs!$B$3&gt;=74</f>
        <v/>
      </c>
      <c r="D3412">
        <f>IF(Skills!C15=1,60+Inputs!$B$25+Inputs!$B$29,IF(Skills!C15=2,90+Inputs!$B$26+Inputs!$B$29,IF(Skills!C15=3,120+Inputs!$B$27+Inputs!$B$29,MAX(0,(Inputs!$B$3-100)*3)+Inputs!$B$28+Inputs!$B$29)))</f>
        <v/>
      </c>
      <c r="E3412">
        <f>INDEX(FactorTable!$B$2:$Y$301, MATCH(ROUND(MIN(300,MAX(1,D3412)),0), FactorTable!$A$2:$A$301,0), Skills!M15+1)</f>
        <v/>
      </c>
      <c r="F3412">
        <f>IF(Skills!N15=TRUE,(Skills!L15/10)*(E3412/1000),Skills!L15/10)+Skills!O15</f>
        <v/>
      </c>
      <c r="G3412">
        <f>Skills!G15*IF(Skills!H15&gt;0,INT(IF(Inputs!$B$38="pvp",MIN(Skills!I15,15),Skills!I15)/Skills!H15+0.000000001),1)</f>
        <v/>
      </c>
      <c r="H3412">
        <f>1-(1-Skills!J15/100)^Skills!K15</f>
        <v/>
      </c>
      <c r="I3412" t="inlineStr">
        <is>
          <t>1</t>
        </is>
      </c>
      <c r="J3412" t="inlineStr"/>
      <c r="K3412" t="inlineStr"/>
      <c r="L3412" t="inlineStr"/>
      <c r="M3412" t="inlineStr"/>
      <c r="N3412" t="inlineStr"/>
      <c r="O3412">
        <f>(1-Summary!$B$11)*T3412+Summary!$B$11*V3412</f>
        <v/>
      </c>
      <c r="P3412">
        <f>IF(B3442=0,0,O3412/B3442)</f>
        <v/>
      </c>
      <c r="Q3412" t="n">
        <v>0</v>
      </c>
      <c r="R3412" t="n">
        <v>0</v>
      </c>
      <c r="S3412">
        <f>IFERROR(O3412/N3412,0)</f>
        <v/>
      </c>
      <c r="T3412" t="n">
        <v>0</v>
      </c>
      <c r="V3412" t="n">
        <v>0</v>
      </c>
    </row>
    <row r="3413">
      <c r="A3413">
        <f>Skills!A16</f>
        <v/>
      </c>
      <c r="B3413">
        <f>Skills!B16</f>
        <v/>
      </c>
      <c r="C3413">
        <f>Inputs!$B$3&gt;=74</f>
        <v/>
      </c>
      <c r="D3413">
        <f>IF(Skills!C16=1,60+Inputs!$B$25+Inputs!$B$29,IF(Skills!C16=2,90+Inputs!$B$26+Inputs!$B$29,IF(Skills!C16=3,120+Inputs!$B$27+Inputs!$B$29,MAX(0,(Inputs!$B$3-100)*3)+Inputs!$B$28+Inputs!$B$29)))</f>
        <v/>
      </c>
      <c r="E3413">
        <f>INDEX(FactorTable!$B$2:$Y$301, MATCH(ROUND(MIN(300,MAX(1,D3413)),0), FactorTable!$A$2:$A$301,0), Skills!M16+1)</f>
        <v/>
      </c>
      <c r="F3413">
        <f>IF(Skills!N16=TRUE,(Skills!L16/10)*(E3413/1000),Skills!L16/10)+Skills!O16</f>
        <v/>
      </c>
      <c r="G3413">
        <f>Skills!G16*IF(Skills!H16&gt;0,INT(IF(Inputs!$B$38="pvp",MIN(Skills!I16,15),Skills!I16)/Skills!H16+0.000000001),1)</f>
        <v/>
      </c>
      <c r="H3413">
        <f>1-(1-Skills!J16/100)^Skills!K16</f>
        <v/>
      </c>
      <c r="I3413" t="inlineStr">
        <is>
          <t>1</t>
        </is>
      </c>
      <c r="J3413" t="inlineStr"/>
      <c r="K3413" t="inlineStr"/>
      <c r="L3413" t="inlineStr"/>
      <c r="M3413" t="inlineStr"/>
      <c r="N3413" t="inlineStr"/>
      <c r="O3413">
        <f>(1-Summary!$B$11)*T3413+Summary!$B$11*V3413</f>
        <v/>
      </c>
      <c r="P3413">
        <f>IF(B3442=0,0,O3413/B3442)</f>
        <v/>
      </c>
      <c r="Q3413" t="n">
        <v>0</v>
      </c>
      <c r="R3413" t="n">
        <v>0</v>
      </c>
      <c r="S3413">
        <f>IFERROR(O3413/N3413,0)</f>
        <v/>
      </c>
      <c r="T3413" t="n">
        <v>0</v>
      </c>
      <c r="V3413" t="n">
        <v>0</v>
      </c>
    </row>
    <row r="3414">
      <c r="A3414">
        <f>Skills!A17</f>
        <v/>
      </c>
      <c r="B3414">
        <f>Skills!B17</f>
        <v/>
      </c>
      <c r="C3414">
        <f>Inputs!$B$3&gt;=117</f>
        <v/>
      </c>
      <c r="D3414">
        <f>IF(Skills!C17=1,60+Inputs!$B$25+Inputs!$B$29,IF(Skills!C17=2,90+Inputs!$B$26+Inputs!$B$29,IF(Skills!C17=3,120+Inputs!$B$27+Inputs!$B$29,MAX(0,(Inputs!$B$3-100)*3)+Inputs!$B$28+Inputs!$B$29)))</f>
        <v/>
      </c>
      <c r="E3414">
        <f>INDEX(FactorTable!$B$2:$Y$301, MATCH(ROUND(MIN(300,MAX(1,D3414)),0), FactorTable!$A$2:$A$301,0), Skills!M17+1)</f>
        <v/>
      </c>
      <c r="F3414">
        <f>IF(Skills!N17=TRUE,(Skills!L17/10)*(E3414/1000),Skills!L17/10)+Skills!O17</f>
        <v/>
      </c>
      <c r="G3414">
        <f>Skills!G17*IF(Skills!H17&gt;0,INT(IF(Inputs!$B$38="pvp",MIN(Skills!I17,15),Skills!I17)/Skills!H17+0.000000001),1)</f>
        <v/>
      </c>
      <c r="H3414">
        <f>1-(1-Skills!J17/100)^Skills!K17</f>
        <v/>
      </c>
      <c r="I3414" t="inlineStr">
        <is>
          <t>1</t>
        </is>
      </c>
      <c r="J3414" t="inlineStr"/>
      <c r="K3414" t="inlineStr"/>
      <c r="L3414" t="inlineStr"/>
      <c r="M3414" t="inlineStr"/>
      <c r="N3414" t="inlineStr"/>
      <c r="O3414">
        <f>(1-Summary!$B$11)*T3414+Summary!$B$11*V3414</f>
        <v/>
      </c>
      <c r="P3414">
        <f>IF(B3442=0,0,O3414/B3442)</f>
        <v/>
      </c>
      <c r="Q3414">
        <f>IFERROR(1/(IF(Inputs!$B$38="pvp",15,MAX(0.1,Skills!D17-IF(TRUE=TRUE,4.0,0)))*(1-IF(AND(ArtifactsInput!$M$27,Inputs!$B$4="Chapter Hunt"),CHOOSE(ArtifactsInput!$N$27+1,20,24,28,32,36,40),0)/100)),0)</f>
        <v/>
      </c>
      <c r="R3414">
        <f>IF(AND(Inputs!$B$38&lt;&gt;"pvp",Inputs!$B$43&gt;0),IF(Inputs!$B$43&lt;=0,0,(INT(Inputs!$B$43/(IF(Inputs!$B$38="pvp",15,MAX(0.1,Skills!D17-IF(TRUE=TRUE,4.0,0)))*(1-IF(AND(ArtifactsInput!$M$27,Inputs!$B$4="Chapter Hunt"),CHOOSE(ArtifactsInput!$N$27+1,20,24,28,32,36,40),0)/100)))+1)),0)</f>
        <v/>
      </c>
      <c r="S3414">
        <f>IFERROR(O3414/N3414,0)</f>
        <v/>
      </c>
      <c r="T3414" t="n">
        <v>0</v>
      </c>
      <c r="V3414" t="n">
        <v>0</v>
      </c>
    </row>
    <row r="3415">
      <c r="A3415">
        <f>Skills!A18</f>
        <v/>
      </c>
      <c r="B3415">
        <f>Skills!B18</f>
        <v/>
      </c>
      <c r="C3415">
        <f>Inputs!$B$3&gt;=115</f>
        <v/>
      </c>
      <c r="D3415">
        <f>IF(Skills!C18=1,60+Inputs!$B$25+Inputs!$B$29,IF(Skills!C18=2,90+Inputs!$B$26+Inputs!$B$29,IF(Skills!C18=3,120+Inputs!$B$27+Inputs!$B$29,MAX(0,(Inputs!$B$3-100)*3)+Inputs!$B$28+Inputs!$B$29)))</f>
        <v/>
      </c>
      <c r="E3415">
        <f>INDEX(FactorTable!$B$2:$Y$301, MATCH(ROUND(MIN(300,MAX(1,D3415)),0), FactorTable!$A$2:$A$301,0), Skills!M18+1)</f>
        <v/>
      </c>
      <c r="F3415">
        <f>IF(Skills!N18=TRUE,(Skills!L18/10)*(E3415/1000),Skills!L18/10)+Skills!O18</f>
        <v/>
      </c>
      <c r="G3415">
        <f>Skills!G18*IF(Skills!H18&gt;0,INT(IF(Inputs!$B$38="pvp",MIN(Skills!I18,15),Skills!I18)/Skills!H18+0.000000001),1)</f>
        <v/>
      </c>
      <c r="H3415">
        <f>1-(1-Skills!J18/100)^Skills!K18</f>
        <v/>
      </c>
      <c r="I3415" t="inlineStr">
        <is>
          <t>1</t>
        </is>
      </c>
      <c r="J3415" t="inlineStr"/>
      <c r="K3415" t="inlineStr"/>
      <c r="L3415" t="inlineStr"/>
      <c r="M3415" t="inlineStr"/>
      <c r="N3415" t="inlineStr"/>
      <c r="O3415">
        <f>(1-Summary!$B$11)*T3415+Summary!$B$11*V3415</f>
        <v/>
      </c>
      <c r="P3415">
        <f>IF(B3442=0,0,O3415/B3442)</f>
        <v/>
      </c>
      <c r="Q3415">
        <f>IFERROR(1/(IF(Inputs!$B$38="pvp",15,MAX(0.1,Skills!D18-IF(TRUE=TRUE,4.0,0)))*(1-IF(AND(ArtifactsInput!$M$27,Inputs!$B$4="Chapter Hunt"),CHOOSE(ArtifactsInput!$N$27+1,20,24,28,32,36,40),0)/100)),0)</f>
        <v/>
      </c>
      <c r="R3415">
        <f>IF(AND(Inputs!$B$38&lt;&gt;"pvp",Inputs!$B$43&gt;0),IF(Inputs!$B$43&lt;=0,0,(INT(Inputs!$B$43/(IF(Inputs!$B$38="pvp",15,MAX(0.1,Skills!D18-IF(TRUE=TRUE,4.0,0)))*(1-IF(AND(ArtifactsInput!$M$27,Inputs!$B$4="Chapter Hunt"),CHOOSE(ArtifactsInput!$N$27+1,20,24,28,32,36,40),0)/100)))+1)),0)</f>
        <v/>
      </c>
      <c r="S3415">
        <f>IFERROR(O3415/N3415,0)</f>
        <v/>
      </c>
      <c r="T3415" t="n">
        <v>0</v>
      </c>
      <c r="V3415" t="n">
        <v>0</v>
      </c>
    </row>
    <row r="3416">
      <c r="A3416">
        <f>Skills!A19</f>
        <v/>
      </c>
      <c r="B3416">
        <f>Skills!B19</f>
        <v/>
      </c>
      <c r="C3416">
        <f>Inputs!$B$3&gt;=66</f>
        <v/>
      </c>
      <c r="D3416">
        <f>IF(Skills!C19=1,60+Inputs!$B$25+Inputs!$B$29,IF(Skills!C19=2,90+Inputs!$B$26+Inputs!$B$29,IF(Skills!C19=3,120+Inputs!$B$27+Inputs!$B$29,MAX(0,(Inputs!$B$3-100)*3)+Inputs!$B$28+Inputs!$B$29)))</f>
        <v/>
      </c>
      <c r="E3416">
        <f>INDEX(FactorTable!$B$2:$Y$301, MATCH(ROUND(MIN(300,MAX(1,D3416)),0), FactorTable!$A$2:$A$301,0), Skills!M19+1)</f>
        <v/>
      </c>
      <c r="F3416">
        <f>IF(Skills!N19=TRUE,(Skills!L19/10)*(E3416/1000),Skills!L19/10)+Skills!O19</f>
        <v/>
      </c>
      <c r="G3416">
        <f>Skills!G19*IF(Skills!H19&gt;0,INT(IF(Inputs!$B$38="pvp",MIN(Skills!I19,15),Skills!I19)/Skills!H19+0.000000001),1)</f>
        <v/>
      </c>
      <c r="H3416">
        <f>1-(1-Skills!J19/100)^Skills!K19</f>
        <v/>
      </c>
      <c r="I3416" t="inlineStr">
        <is>
          <t>1</t>
        </is>
      </c>
      <c r="J3416" t="inlineStr"/>
      <c r="K3416" t="inlineStr"/>
      <c r="L3416" t="inlineStr"/>
      <c r="M3416" t="inlineStr"/>
      <c r="N3416" t="inlineStr"/>
      <c r="O3416">
        <f>(1-Summary!$B$11)*T3416+Summary!$B$11*V3416</f>
        <v/>
      </c>
      <c r="P3416">
        <f>IF(B3442=0,0,O3416/B3442)</f>
        <v/>
      </c>
      <c r="Q3416" t="n">
        <v>0</v>
      </c>
      <c r="R3416" t="n">
        <v>0</v>
      </c>
      <c r="S3416">
        <f>IFERROR(O3416/N3416,0)</f>
        <v/>
      </c>
      <c r="T3416" t="n">
        <v>0</v>
      </c>
      <c r="V3416" t="n">
        <v>0</v>
      </c>
    </row>
    <row r="3417">
      <c r="A3417">
        <f>Skills!A20</f>
        <v/>
      </c>
      <c r="B3417">
        <f>Skills!B20</f>
        <v/>
      </c>
      <c r="C3417">
        <f>Inputs!$B$3&gt;=72</f>
        <v/>
      </c>
      <c r="D3417">
        <f>IF(Skills!C20=1,60+Inputs!$B$25+Inputs!$B$29,IF(Skills!C20=2,90+Inputs!$B$26+Inputs!$B$29,IF(Skills!C20=3,120+Inputs!$B$27+Inputs!$B$29,MAX(0,(Inputs!$B$3-100)*3)+Inputs!$B$28+Inputs!$B$29)))</f>
        <v/>
      </c>
      <c r="E3417">
        <f>INDEX(FactorTable!$B$2:$Y$301, MATCH(ROUND(MIN(300,MAX(1,D3417)),0), FactorTable!$A$2:$A$301,0), Skills!M20+1)</f>
        <v/>
      </c>
      <c r="F3417">
        <f>IF(Skills!N20=TRUE,(Skills!L20/10)*(E3417/1000),Skills!L20/10)+Skills!O20</f>
        <v/>
      </c>
      <c r="G3417">
        <f>Skills!G20*IF(Skills!H20&gt;0,INT(IF(Inputs!$B$38="pvp",MIN(Skills!I20,15),Skills!I20)/Skills!H20+0.000000001),1)</f>
        <v/>
      </c>
      <c r="H3417">
        <f>1-(1-Skills!J20/100)^Skills!K20</f>
        <v/>
      </c>
      <c r="I3417" t="inlineStr">
        <is>
          <t>1</t>
        </is>
      </c>
      <c r="J3417" t="inlineStr"/>
      <c r="K3417" t="inlineStr"/>
      <c r="L3417" t="inlineStr"/>
      <c r="M3417" t="inlineStr"/>
      <c r="N3417" t="inlineStr"/>
      <c r="O3417">
        <f>(1-Summary!$B$11)*T3417+Summary!$B$11*V3417</f>
        <v/>
      </c>
      <c r="P3417">
        <f>IF(B3442=0,0,O3417/B3442)</f>
        <v/>
      </c>
      <c r="Q3417" t="n">
        <v>0</v>
      </c>
      <c r="R3417" t="n">
        <v>0</v>
      </c>
      <c r="S3417">
        <f>IFERROR(O3417/N3417,0)</f>
        <v/>
      </c>
      <c r="T3417" t="n">
        <v>0</v>
      </c>
      <c r="V3417" t="n">
        <v>0</v>
      </c>
    </row>
    <row r="3418">
      <c r="A3418">
        <f>Skills!A21</f>
        <v/>
      </c>
      <c r="B3418">
        <f>Skills!B21</f>
        <v/>
      </c>
      <c r="C3418">
        <f>TRUE</f>
        <v/>
      </c>
      <c r="D3418">
        <f>IF(Skills!C21=1,60+Inputs!$B$25+Inputs!$B$29,IF(Skills!C21=2,90+Inputs!$B$26+Inputs!$B$29,IF(Skills!C21=3,120+Inputs!$B$27+Inputs!$B$29,MAX(0,(Inputs!$B$3-100)*3)+Inputs!$B$28+Inputs!$B$29)))</f>
        <v/>
      </c>
      <c r="E3418">
        <f>INDEX(FactorTable!$B$2:$Y$301, MATCH(ROUND(MIN(300,MAX(1,D3418)),0), FactorTable!$A$2:$A$301,0), Skills!M21+1)</f>
        <v/>
      </c>
      <c r="F3418">
        <f>IF(Skills!N21=TRUE,(Skills!L21/10)*(E3418/1000),Skills!L21/10)+Skills!O21</f>
        <v/>
      </c>
      <c r="G3418">
        <f>Skills!G21*IF(Skills!H21&gt;0,INT(IF(Inputs!$B$38="pvp",MIN(Skills!I21,15),Skills!I21)/Skills!H21+0.000000001),1)</f>
        <v/>
      </c>
      <c r="H3418">
        <f>1-(1-Skills!J21/100)^Skills!K21</f>
        <v/>
      </c>
      <c r="I3418" t="inlineStr">
        <is>
          <t>1</t>
        </is>
      </c>
      <c r="J3418" t="inlineStr"/>
      <c r="K3418" t="inlineStr"/>
      <c r="L3418" t="inlineStr"/>
      <c r="M3418" t="inlineStr"/>
      <c r="N3418" t="inlineStr"/>
      <c r="O3418">
        <f>(1-Summary!$B$11)*T3418+Summary!$B$11*V3418</f>
        <v/>
      </c>
      <c r="P3418">
        <f>IF(B3442=0,0,O3418/B3442)</f>
        <v/>
      </c>
      <c r="Q3418">
        <f>IFERROR(1/(IF(Inputs!$B$38="pvp",15,MAX(0.1,Skills!D21-IF(TRUE=TRUE,4.0,0)))*(1-IF(AND(ArtifactsInput!$M$27,Inputs!$B$4="Chapter Hunt"),CHOOSE(ArtifactsInput!$N$27+1,20,24,28,32,36,40),0)/100)),0)</f>
        <v/>
      </c>
      <c r="R3418">
        <f>IF(AND(Inputs!$B$38&lt;&gt;"pvp",Inputs!$B$43&gt;0),IF(Inputs!$B$43&lt;=0,0,(INT(Inputs!$B$43/(IF(Inputs!$B$38="pvp",15,MAX(0.1,Skills!D21-IF(TRUE=TRUE,4.0,0)))*(1-IF(AND(ArtifactsInput!$M$27,Inputs!$B$4="Chapter Hunt"),CHOOSE(ArtifactsInput!$N$27+1,20,24,28,32,36,40),0)/100)))+1)),0)</f>
        <v/>
      </c>
      <c r="S3418">
        <f>IFERROR(O3418/N3418,0)</f>
        <v/>
      </c>
      <c r="T3418" t="n">
        <v>0</v>
      </c>
      <c r="V3418" t="n">
        <v>0</v>
      </c>
    </row>
    <row r="3419">
      <c r="A3419">
        <f>Skills!A22</f>
        <v/>
      </c>
      <c r="B3419">
        <f>Skills!B22</f>
        <v/>
      </c>
      <c r="C3419">
        <f>Inputs!$B$3&gt;=15</f>
        <v/>
      </c>
      <c r="D3419">
        <f>IF(Skills!C22=1,60+Inputs!$B$25+Inputs!$B$29,IF(Skills!C22=2,90+Inputs!$B$26+Inputs!$B$29,IF(Skills!C22=3,120+Inputs!$B$27+Inputs!$B$29,MAX(0,(Inputs!$B$3-100)*3)+Inputs!$B$28+Inputs!$B$29)))</f>
        <v/>
      </c>
      <c r="E3419">
        <f>INDEX(FactorTable!$B$2:$Y$301, MATCH(ROUND(MIN(300,MAX(1,D3419)),0), FactorTable!$A$2:$A$301,0), Skills!M22+1)</f>
        <v/>
      </c>
      <c r="F3419">
        <f>IF(Skills!N22=TRUE,(Skills!L22/10)*(E3419/1000),Skills!L22/10)+Skills!O22</f>
        <v/>
      </c>
      <c r="G3419">
        <f>Skills!G22*IF(Skills!H22&gt;0,INT(IF(Inputs!$B$38="pvp",MIN(Skills!I22,15),Skills!I22)/Skills!H22+0.000000001),1)</f>
        <v/>
      </c>
      <c r="H3419">
        <f>1-(1-Skills!J22/100)^Skills!K22</f>
        <v/>
      </c>
      <c r="I3419" t="inlineStr">
        <is>
          <t>1</t>
        </is>
      </c>
      <c r="J3419" t="inlineStr"/>
      <c r="K3419" t="inlineStr"/>
      <c r="L3419" t="inlineStr"/>
      <c r="M3419" t="inlineStr"/>
      <c r="N3419" t="inlineStr"/>
      <c r="O3419">
        <f>(1-Summary!$B$11)*T3419+Summary!$B$11*V3419</f>
        <v/>
      </c>
      <c r="P3419">
        <f>IF(B3442=0,0,O3419/B3442)</f>
        <v/>
      </c>
      <c r="Q3419" t="n">
        <v>0</v>
      </c>
      <c r="R3419" t="n">
        <v>0</v>
      </c>
      <c r="S3419">
        <f>IFERROR(O3419/N3419,0)</f>
        <v/>
      </c>
      <c r="T3419" t="n">
        <v>0</v>
      </c>
      <c r="V3419" t="n">
        <v>0</v>
      </c>
    </row>
    <row r="3420">
      <c r="A3420">
        <f>Skills!A23</f>
        <v/>
      </c>
      <c r="B3420">
        <f>Skills!B23</f>
        <v/>
      </c>
      <c r="C3420">
        <f>Inputs!$B$3&gt;=10</f>
        <v/>
      </c>
      <c r="D3420">
        <f>IF(Skills!C23=1,60+Inputs!$B$25+Inputs!$B$29,IF(Skills!C23=2,90+Inputs!$B$26+Inputs!$B$29,IF(Skills!C23=3,120+Inputs!$B$27+Inputs!$B$29,MAX(0,(Inputs!$B$3-100)*3)+Inputs!$B$28+Inputs!$B$29)))</f>
        <v/>
      </c>
      <c r="E3420">
        <f>INDEX(FactorTable!$B$2:$Y$301, MATCH(ROUND(MIN(300,MAX(1,D3420)),0), FactorTable!$A$2:$A$301,0), Skills!M23+1)</f>
        <v/>
      </c>
      <c r="F3420">
        <f>IF(Skills!N23=TRUE,(Skills!L23/10)*(E3420/1000),Skills!L23/10)+Skills!O23</f>
        <v/>
      </c>
      <c r="G3420">
        <f>Skills!G23*IF(Skills!H23&gt;0,INT(IF(Inputs!$B$38="pvp",MIN(Skills!I23,15),Skills!I23)/Skills!H23+0.000000001),1)</f>
        <v/>
      </c>
      <c r="H3420">
        <f>1-(1-Skills!J23/100)^Skills!K23</f>
        <v/>
      </c>
      <c r="I3420" t="inlineStr">
        <is>
          <t>1</t>
        </is>
      </c>
      <c r="J3420" t="inlineStr"/>
      <c r="K3420" t="inlineStr"/>
      <c r="L3420" t="inlineStr"/>
      <c r="M3420" t="inlineStr"/>
      <c r="N3420" t="inlineStr"/>
      <c r="O3420">
        <f>(1-Summary!$B$11)*T3420+Summary!$B$11*V3420</f>
        <v/>
      </c>
      <c r="P3420">
        <f>IF(B3442=0,0,O3420/B3442)</f>
        <v/>
      </c>
      <c r="Q3420" t="n">
        <v>0</v>
      </c>
      <c r="R3420" t="n">
        <v>0</v>
      </c>
      <c r="S3420">
        <f>IFERROR(O3420/N3420,0)</f>
        <v/>
      </c>
      <c r="T3420" t="n">
        <v>0</v>
      </c>
      <c r="V3420" t="n">
        <v>0</v>
      </c>
    </row>
    <row r="3421">
      <c r="A3421">
        <f>Skills!A24</f>
        <v/>
      </c>
      <c r="B3421">
        <f>Skills!B24</f>
        <v/>
      </c>
      <c r="C3421">
        <f>Inputs!$B$3&gt;=33</f>
        <v/>
      </c>
      <c r="D3421">
        <f>IF(Skills!C24=1,60+Inputs!$B$25+Inputs!$B$29,IF(Skills!C24=2,90+Inputs!$B$26+Inputs!$B$29,IF(Skills!C24=3,120+Inputs!$B$27+Inputs!$B$29,MAX(0,(Inputs!$B$3-100)*3)+Inputs!$B$28+Inputs!$B$29)))</f>
        <v/>
      </c>
      <c r="E3421">
        <f>INDEX(FactorTable!$B$2:$Y$301, MATCH(ROUND(MIN(300,MAX(1,D3421)),0), FactorTable!$A$2:$A$301,0), Skills!M24+1)</f>
        <v/>
      </c>
      <c r="F3421">
        <f>IF(Skills!N24=TRUE,(Skills!L24/10)*(E3421/1000),Skills!L24/10)+Skills!O24</f>
        <v/>
      </c>
      <c r="G3421">
        <f>Skills!G24*IF(Skills!H24&gt;0,INT(IF(Inputs!$B$38="pvp",MIN(Skills!I24,15),Skills!I24)/Skills!H24+0.000000001),1)</f>
        <v/>
      </c>
      <c r="H3421">
        <f>1-(1-Skills!J24/100)^Skills!K24</f>
        <v/>
      </c>
      <c r="I3421" t="inlineStr">
        <is>
          <t>1</t>
        </is>
      </c>
      <c r="J3421" t="inlineStr"/>
      <c r="K3421" t="inlineStr"/>
      <c r="L3421" t="inlineStr"/>
      <c r="M3421" t="inlineStr"/>
      <c r="N3421" t="inlineStr"/>
      <c r="O3421">
        <f>(1-Summary!$B$11)*T3421+Summary!$B$11*V3421</f>
        <v/>
      </c>
      <c r="P3421">
        <f>IF(B3442=0,0,O3421/B3442)</f>
        <v/>
      </c>
      <c r="Q3421" t="n">
        <v>0</v>
      </c>
      <c r="R3421" t="n">
        <v>0</v>
      </c>
      <c r="S3421">
        <f>IFERROR(O3421/N3421,0)</f>
        <v/>
      </c>
      <c r="T3421" t="n">
        <v>0</v>
      </c>
      <c r="V3421" t="n">
        <v>0</v>
      </c>
    </row>
    <row r="3422">
      <c r="A3422">
        <f>Skills!A25</f>
        <v/>
      </c>
      <c r="B3422">
        <f>Skills!B25</f>
        <v/>
      </c>
      <c r="C3422">
        <f>Inputs!$B$3&gt;=38</f>
        <v/>
      </c>
      <c r="D3422">
        <f>IF(Skills!C25=1,60+Inputs!$B$25+Inputs!$B$29,IF(Skills!C25=2,90+Inputs!$B$26+Inputs!$B$29,IF(Skills!C25=3,120+Inputs!$B$27+Inputs!$B$29,MAX(0,(Inputs!$B$3-100)*3)+Inputs!$B$28+Inputs!$B$29)))</f>
        <v/>
      </c>
      <c r="E3422">
        <f>INDEX(FactorTable!$B$2:$Y$301, MATCH(ROUND(MIN(300,MAX(1,D3422)),0), FactorTable!$A$2:$A$301,0), Skills!M25+1)</f>
        <v/>
      </c>
      <c r="F3422">
        <f>IF(Skills!N25=TRUE,(Skills!L25/10)*(E3422/1000),Skills!L25/10)+Skills!O25</f>
        <v/>
      </c>
      <c r="G3422">
        <f>Skills!G25*IF(Skills!H25&gt;0,INT(IF(Inputs!$B$38="pvp",MIN(Skills!I25,15),Skills!I25)/Skills!H25+0.000000001),1)</f>
        <v/>
      </c>
      <c r="H3422">
        <f>1-(1-Skills!J25/100)^Skills!K25</f>
        <v/>
      </c>
      <c r="I3422" t="inlineStr">
        <is>
          <t>1</t>
        </is>
      </c>
      <c r="J3422" t="inlineStr"/>
      <c r="K3422" t="inlineStr"/>
      <c r="L3422" t="inlineStr"/>
      <c r="M3422" t="inlineStr"/>
      <c r="N3422" t="inlineStr"/>
      <c r="O3422">
        <f>(1-Summary!$B$11)*T3422+Summary!$B$11*V3422</f>
        <v/>
      </c>
      <c r="P3422">
        <f>IF(B3442=0,0,O3422/B3442)</f>
        <v/>
      </c>
      <c r="Q3422" t="n">
        <v>0</v>
      </c>
      <c r="R3422" t="n">
        <v>0</v>
      </c>
      <c r="S3422">
        <f>IFERROR(O3422/N3422,0)</f>
        <v/>
      </c>
      <c r="T3422" t="n">
        <v>0</v>
      </c>
      <c r="V3422" t="n">
        <v>0</v>
      </c>
    </row>
    <row r="3423">
      <c r="A3423">
        <f>Skills!A26</f>
        <v/>
      </c>
      <c r="B3423">
        <f>Skills!B26</f>
        <v/>
      </c>
      <c r="C3423">
        <f>Inputs!$B$3&gt;=43</f>
        <v/>
      </c>
      <c r="D3423">
        <f>IF(Skills!C26=1,60+Inputs!$B$25+Inputs!$B$29,IF(Skills!C26=2,90+Inputs!$B$26+Inputs!$B$29,IF(Skills!C26=3,120+Inputs!$B$27+Inputs!$B$29,MAX(0,(Inputs!$B$3-100)*3)+Inputs!$B$28+Inputs!$B$29)))</f>
        <v/>
      </c>
      <c r="E3423">
        <f>INDEX(FactorTable!$B$2:$Y$301, MATCH(ROUND(MIN(300,MAX(1,D3423)),0), FactorTable!$A$2:$A$301,0), Skills!M26+1)</f>
        <v/>
      </c>
      <c r="F3423">
        <f>IF(Skills!N26=TRUE,(Skills!L26/10)*(E3423/1000),Skills!L26/10)+Skills!O26</f>
        <v/>
      </c>
      <c r="G3423">
        <f>Skills!G26*IF(Skills!H26&gt;0,INT(IF(Inputs!$B$38="pvp",MIN(Skills!I26,15),Skills!I26)/Skills!H26+0.000000001),1)</f>
        <v/>
      </c>
      <c r="H3423">
        <f>1-(1-Skills!J26/100)^Skills!K26</f>
        <v/>
      </c>
      <c r="I3423" t="inlineStr">
        <is>
          <t>1</t>
        </is>
      </c>
      <c r="J3423" t="inlineStr"/>
      <c r="K3423" t="inlineStr"/>
      <c r="L3423" t="inlineStr"/>
      <c r="M3423" t="inlineStr"/>
      <c r="N3423" t="inlineStr"/>
      <c r="O3423">
        <f>(1-Summary!$B$11)*T3423+Summary!$B$11*V3423</f>
        <v/>
      </c>
      <c r="P3423">
        <f>IF(B3442=0,0,O3423/B3442)</f>
        <v/>
      </c>
      <c r="Q3423" t="n">
        <v>0</v>
      </c>
      <c r="R3423" t="n">
        <v>0</v>
      </c>
      <c r="S3423">
        <f>IFERROR(O3423/N3423,0)</f>
        <v/>
      </c>
      <c r="T3423" t="n">
        <v>0</v>
      </c>
      <c r="V3423" t="n">
        <v>0</v>
      </c>
    </row>
    <row r="3424">
      <c r="A3424">
        <f>Skills!A27</f>
        <v/>
      </c>
      <c r="B3424">
        <f>Skills!B27</f>
        <v/>
      </c>
      <c r="C3424">
        <f>Inputs!$B$3&gt;=75</f>
        <v/>
      </c>
      <c r="D3424">
        <f>IF(Skills!C27=1,60+Inputs!$B$25+Inputs!$B$29,IF(Skills!C27=2,90+Inputs!$B$26+Inputs!$B$29,IF(Skills!C27=3,120+Inputs!$B$27+Inputs!$B$29,MAX(0,(Inputs!$B$3-100)*3)+Inputs!$B$28+Inputs!$B$29)))</f>
        <v/>
      </c>
      <c r="E3424">
        <f>INDEX(FactorTable!$B$2:$Y$301, MATCH(ROUND(MIN(300,MAX(1,D3424)),0), FactorTable!$A$2:$A$301,0), Skills!M27+1)</f>
        <v/>
      </c>
      <c r="F3424">
        <f>IF(Skills!N27=TRUE,(Skills!L27/10)*(E3424/1000),Skills!L27/10)+Skills!O27</f>
        <v/>
      </c>
      <c r="G3424">
        <f>Skills!G27*IF(Skills!H27&gt;0,INT(IF(Inputs!$B$38="pvp",MIN(Skills!I27,15),Skills!I27)/Skills!H27+0.000000001),1)</f>
        <v/>
      </c>
      <c r="H3424">
        <f>1-(1-Skills!J27/100)^Skills!K27</f>
        <v/>
      </c>
      <c r="I3424" t="inlineStr">
        <is>
          <t>1</t>
        </is>
      </c>
      <c r="J3424" t="inlineStr"/>
      <c r="K3424" t="inlineStr"/>
      <c r="L3424" t="inlineStr"/>
      <c r="M3424" t="inlineStr"/>
      <c r="N3424" t="inlineStr"/>
      <c r="O3424">
        <f>(1-Summary!$B$11)*T3424+Summary!$B$11*V3424</f>
        <v/>
      </c>
      <c r="P3424">
        <f>IF(B3442=0,0,O3424/B3442)</f>
        <v/>
      </c>
      <c r="Q3424" t="n">
        <v>0</v>
      </c>
      <c r="R3424" t="n">
        <v>0</v>
      </c>
      <c r="S3424">
        <f>IFERROR(O3424/N3424,0)</f>
        <v/>
      </c>
      <c r="T3424" t="n">
        <v>0</v>
      </c>
      <c r="V3424" t="n">
        <v>0</v>
      </c>
    </row>
    <row r="3425">
      <c r="A3425">
        <f>Skills!A28</f>
        <v/>
      </c>
      <c r="B3425">
        <f>Skills!B28</f>
        <v/>
      </c>
      <c r="C3425">
        <f>Inputs!$B$3&gt;=125</f>
        <v/>
      </c>
      <c r="D3425">
        <f>IF(Skills!C28=1,60+Inputs!$B$25+Inputs!$B$29,IF(Skills!C28=2,90+Inputs!$B$26+Inputs!$B$29,IF(Skills!C28=3,120+Inputs!$B$27+Inputs!$B$29,MAX(0,(Inputs!$B$3-100)*3)+Inputs!$B$28+Inputs!$B$29)))</f>
        <v/>
      </c>
      <c r="E3425">
        <f>INDEX(FactorTable!$B$2:$Y$301, MATCH(ROUND(MIN(300,MAX(1,D3425)),0), FactorTable!$A$2:$A$301,0), Skills!M28+1)</f>
        <v/>
      </c>
      <c r="F3425">
        <f>IF(Skills!N28=TRUE,(Skills!L28/10)*(E3425/1000),Skills!L28/10)+Skills!O28</f>
        <v/>
      </c>
      <c r="G3425">
        <f>Skills!G28*IF(Skills!H28&gt;0,INT(IF(Inputs!$B$38="pvp",MIN(Skills!I28,15),Skills!I28)/Skills!H28+0.000000001),1)</f>
        <v/>
      </c>
      <c r="H3425">
        <f>1-(1-Skills!J28/100)^Skills!K28</f>
        <v/>
      </c>
      <c r="I3425" t="inlineStr">
        <is>
          <t>1</t>
        </is>
      </c>
      <c r="J3425" t="inlineStr"/>
      <c r="K3425" t="inlineStr"/>
      <c r="L3425" t="inlineStr"/>
      <c r="M3425" t="inlineStr"/>
      <c r="N3425" t="inlineStr"/>
      <c r="O3425">
        <f>(1-Summary!$B$11)*T3425+Summary!$B$11*V3425</f>
        <v/>
      </c>
      <c r="P3425">
        <f>IF(B3442=0,0,O3425/B3442)</f>
        <v/>
      </c>
      <c r="Q3425" t="n">
        <v>0</v>
      </c>
      <c r="R3425" t="n">
        <v>0</v>
      </c>
      <c r="S3425">
        <f>IFERROR(O3425/N3425,0)</f>
        <v/>
      </c>
      <c r="T3425" t="n">
        <v>0</v>
      </c>
      <c r="V3425" t="n">
        <v>0</v>
      </c>
    </row>
    <row r="3426">
      <c r="A3426">
        <f>Skills!A29</f>
        <v/>
      </c>
      <c r="B3426">
        <f>Skills!B29</f>
        <v/>
      </c>
      <c r="C3426">
        <f>Inputs!$B$3&gt;=125</f>
        <v/>
      </c>
      <c r="D3426">
        <f>IF(Skills!C29=1,60+Inputs!$B$25+Inputs!$B$29,IF(Skills!C29=2,90+Inputs!$B$26+Inputs!$B$29,IF(Skills!C29=3,120+Inputs!$B$27+Inputs!$B$29,MAX(0,(Inputs!$B$3-100)*3)+Inputs!$B$28+Inputs!$B$29)))</f>
        <v/>
      </c>
      <c r="E3426">
        <f>INDEX(FactorTable!$B$2:$Y$301, MATCH(ROUND(MIN(300,MAX(1,D3426)),0), FactorTable!$A$2:$A$301,0), Skills!M29+1)</f>
        <v/>
      </c>
      <c r="F3426">
        <f>IF(Skills!N29=TRUE,(Skills!L29/10)*(E3426/1000),Skills!L29/10)+Skills!O29</f>
        <v/>
      </c>
      <c r="G3426">
        <f>Skills!G29*IF(Skills!H29&gt;0,INT(IF(Inputs!$B$38="pvp",MIN(Skills!I29,15),Skills!I29)/Skills!H29+0.000000001),1)</f>
        <v/>
      </c>
      <c r="H3426">
        <f>1-(1-Skills!J29/100)^Skills!K29</f>
        <v/>
      </c>
      <c r="I3426" t="inlineStr">
        <is>
          <t>1</t>
        </is>
      </c>
      <c r="J3426" t="inlineStr"/>
      <c r="K3426" t="inlineStr"/>
      <c r="L3426" t="inlineStr"/>
      <c r="M3426" t="inlineStr"/>
      <c r="N3426" t="inlineStr"/>
      <c r="O3426">
        <f>(1-Summary!$B$11)*T3426+Summary!$B$11*V3426</f>
        <v/>
      </c>
      <c r="P3426">
        <f>IF(B3442=0,0,O3426/B3442)</f>
        <v/>
      </c>
      <c r="Q3426" t="n">
        <v>0</v>
      </c>
      <c r="R3426" t="n">
        <v>0</v>
      </c>
      <c r="S3426">
        <f>IFERROR(O3426/N3426,0)</f>
        <v/>
      </c>
      <c r="T3426" t="n">
        <v>0</v>
      </c>
      <c r="V3426" t="n">
        <v>0</v>
      </c>
    </row>
    <row r="3427">
      <c r="A3427">
        <f>Skills!A30</f>
        <v/>
      </c>
      <c r="B3427">
        <f>Skills!B30</f>
        <v/>
      </c>
      <c r="C3427">
        <f>Inputs!$B$3&gt;=120</f>
        <v/>
      </c>
      <c r="D3427">
        <f>IF(Skills!C30=1,60+Inputs!$B$25+Inputs!$B$29,IF(Skills!C30=2,90+Inputs!$B$26+Inputs!$B$29,IF(Skills!C30=3,120+Inputs!$B$27+Inputs!$B$29,MAX(0,(Inputs!$B$3-100)*3)+Inputs!$B$28+Inputs!$B$29)))</f>
        <v/>
      </c>
      <c r="E3427">
        <f>INDEX(FactorTable!$B$2:$Y$301, MATCH(ROUND(MIN(300,MAX(1,D3427)),0), FactorTable!$A$2:$A$301,0), Skills!M30+1)</f>
        <v/>
      </c>
      <c r="F3427">
        <f>IF(Skills!N30=TRUE,(Skills!L30/10)*(E3427/1000),Skills!L30/10)+Skills!O30</f>
        <v/>
      </c>
      <c r="G3427">
        <f>Skills!G30*IF(Skills!H30&gt;0,INT(IF(Inputs!$B$38="pvp",MIN(Skills!I30,15),Skills!I30)/Skills!H30+0.000000001),1)</f>
        <v/>
      </c>
      <c r="H3427">
        <f>1-(1-Skills!J30/100)^Skills!K30</f>
        <v/>
      </c>
      <c r="I3427" t="inlineStr">
        <is>
          <t>1</t>
        </is>
      </c>
      <c r="J3427" t="inlineStr"/>
      <c r="K3427" t="inlineStr"/>
      <c r="L3427" t="inlineStr"/>
      <c r="M3427" t="inlineStr"/>
      <c r="N3427" t="inlineStr"/>
      <c r="O3427">
        <f>(1-Summary!$B$11)*T3427+Summary!$B$11*V3427</f>
        <v/>
      </c>
      <c r="P3427">
        <f>IF(B3442=0,0,O3427/B3442)</f>
        <v/>
      </c>
      <c r="Q3427" t="n">
        <v>0</v>
      </c>
      <c r="R3427" t="n">
        <v>0</v>
      </c>
      <c r="S3427">
        <f>IFERROR(O3427/N3427,0)</f>
        <v/>
      </c>
      <c r="T3427" t="n">
        <v>0</v>
      </c>
      <c r="V3427" t="n">
        <v>0</v>
      </c>
    </row>
    <row r="3428">
      <c r="A3428">
        <f>Skills!A31</f>
        <v/>
      </c>
      <c r="B3428">
        <f>Skills!B31</f>
        <v/>
      </c>
      <c r="C3428">
        <f>Inputs!$B$3&gt;=120</f>
        <v/>
      </c>
      <c r="D3428">
        <f>IF(Skills!C31=1,60+Inputs!$B$25+Inputs!$B$29,IF(Skills!C31=2,90+Inputs!$B$26+Inputs!$B$29,IF(Skills!C31=3,120+Inputs!$B$27+Inputs!$B$29,MAX(0,(Inputs!$B$3-100)*3)+Inputs!$B$28+Inputs!$B$29)))</f>
        <v/>
      </c>
      <c r="E3428">
        <f>INDEX(FactorTable!$B$2:$Y$301, MATCH(ROUND(MIN(300,MAX(1,D3428)),0), FactorTable!$A$2:$A$301,0), Skills!M31+1)</f>
        <v/>
      </c>
      <c r="F3428">
        <f>IF(Skills!N31=TRUE,(Skills!L31/10)*(E3428/1000),Skills!L31/10)+Skills!O31</f>
        <v/>
      </c>
      <c r="G3428">
        <f>Skills!G31*IF(Skills!H31&gt;0,INT(IF(Inputs!$B$38="pvp",MIN(Skills!I31,15),Skills!I31)/Skills!H31+0.000000001),1)</f>
        <v/>
      </c>
      <c r="H3428">
        <f>1-(1-Skills!J31/100)^Skills!K31</f>
        <v/>
      </c>
      <c r="I3428" t="inlineStr">
        <is>
          <t>1</t>
        </is>
      </c>
      <c r="J3428" t="inlineStr"/>
      <c r="K3428" t="inlineStr"/>
      <c r="L3428" t="inlineStr"/>
      <c r="M3428" t="inlineStr"/>
      <c r="N3428" t="inlineStr"/>
      <c r="O3428">
        <f>(1-Summary!$B$11)*T3428+Summary!$B$11*V3428</f>
        <v/>
      </c>
      <c r="P3428">
        <f>IF(B3442=0,0,O3428/B3442)</f>
        <v/>
      </c>
      <c r="Q3428" t="n">
        <v>0</v>
      </c>
      <c r="R3428" t="n">
        <v>0</v>
      </c>
      <c r="S3428">
        <f>IFERROR(O3428/N3428,0)</f>
        <v/>
      </c>
      <c r="T3428" t="n">
        <v>0</v>
      </c>
      <c r="V3428" t="n">
        <v>0</v>
      </c>
    </row>
    <row r="3429">
      <c r="A3429">
        <f>Skills!A32</f>
        <v/>
      </c>
      <c r="B3429">
        <f>Skills!B32</f>
        <v/>
      </c>
      <c r="C3429">
        <f>Inputs!$B$3&gt;=45</f>
        <v/>
      </c>
      <c r="D3429">
        <f>IF(Skills!C32=1,60+Inputs!$B$25+Inputs!$B$29,IF(Skills!C32=2,90+Inputs!$B$26+Inputs!$B$29,IF(Skills!C32=3,120+Inputs!$B$27+Inputs!$B$29,MAX(0,(Inputs!$B$3-100)*3)+Inputs!$B$28+Inputs!$B$29)))</f>
        <v/>
      </c>
      <c r="E3429">
        <f>INDEX(FactorTable!$B$2:$Y$301, MATCH(ROUND(MIN(300,MAX(1,D3429)),0), FactorTable!$A$2:$A$301,0), Skills!M32+1)</f>
        <v/>
      </c>
      <c r="F3429">
        <f>IF(Skills!N32=TRUE,(Skills!L32/10)*(E3429/1000),Skills!L32/10)+Skills!O32</f>
        <v/>
      </c>
      <c r="G3429">
        <f>Skills!G32*IF(Skills!H32&gt;0,INT(IF(Inputs!$B$38="pvp",MIN(Skills!I32,15),Skills!I32)/Skills!H32+0.000000001),1)</f>
        <v/>
      </c>
      <c r="H3429">
        <f>1-(1-Skills!J32/100)^Skills!K32</f>
        <v/>
      </c>
      <c r="I3429" t="inlineStr">
        <is>
          <t>1</t>
        </is>
      </c>
      <c r="J3429" t="inlineStr"/>
      <c r="K3429" t="inlineStr"/>
      <c r="L3429" t="inlineStr"/>
      <c r="M3429" t="inlineStr"/>
      <c r="N3429" t="inlineStr"/>
      <c r="O3429">
        <f>(1-Summary!$B$11)*T3429+Summary!$B$11*V3429</f>
        <v/>
      </c>
      <c r="P3429">
        <f>IF(B3442=0,0,O3429/B3442)</f>
        <v/>
      </c>
      <c r="Q3429" t="n">
        <v>0</v>
      </c>
      <c r="R3429" t="n">
        <v>0</v>
      </c>
      <c r="S3429">
        <f>IFERROR(O3429/N3429,0)</f>
        <v/>
      </c>
      <c r="T3429" t="n">
        <v>0</v>
      </c>
      <c r="V3429" t="n">
        <v>0</v>
      </c>
    </row>
    <row r="3431">
      <c r="A3431" t="inlineStr">
        <is>
          <t>Attack% Bucket Multiplier</t>
        </is>
      </c>
      <c r="B3431">
        <f>(1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32">
      <c r="A3432" t="inlineStr">
        <is>
          <t>Global Crit Rate Bonus %</t>
        </is>
      </c>
      <c r="B3432" t="n">
        <v>0</v>
      </c>
    </row>
    <row r="3433">
      <c r="A3433" t="inlineStr">
        <is>
          <t>Attack Speed Buff Bonus %</t>
        </is>
      </c>
      <c r="B3433">
        <f>((C3418=TRUE)*F3418*IF(AND(Inputs!$B$38&lt;&gt;"pvp",Inputs!$B$43&gt;0),(((R3418-1)*MIN((Skills!T21*(1+Inputs!$B$34/100)),(1/Q3418))+MIN((Skills!T21*(1+Inputs!$B$34/100)),MAX(0,Inputs!$B$43-((R3418-1)*(1/Q3418)))))/Inputs!$B$43),IF(Inputs!$B$38="pvp",MIN((Skills!T21*(1+Inputs!$B$34/100)),15)/15,MIN(1,(Skills!T21*(1+Inputs!$B$34/100))/(1/Q3418)))))</f>
        <v/>
      </c>
    </row>
    <row r="3434">
      <c r="A3434" t="inlineStr">
        <is>
          <t>Actions Per Second</t>
        </is>
      </c>
      <c r="B3434">
        <f>1+MIN(150,150*(1-(1-(Inputs!$B$11+((C3420=TRUE)*(F3420-Calc!F23))+((C3421=TRUE)*(F3421-Calc!F24)))/150)*(1-B3433/150)))/100</f>
        <v/>
      </c>
    </row>
    <row r="3435">
      <c r="A3435" t="inlineStr">
        <is>
          <t>Skill + Buff Cast Rate</t>
        </is>
      </c>
      <c r="B3435">
        <f>IF(AND(Inputs!$B$38&lt;&gt;"pvp",Inputs!$B$43&gt;0),SUMPRODUCT((Skills!E2:E32=TRUE)*(C3399:C3429=TRUE)*R3399:R3429*Skills!F2:F32)/Inputs!$B$43,SUMPRODUCT((Skills!E2:E32=TRUE)*(C3399:C3429=TRUE)*Q3399:Q3429*Skills!F2:F32))</f>
        <v/>
      </c>
    </row>
    <row r="3436">
      <c r="A3436" t="inlineStr">
        <is>
          <t>Arrow Stream Casts Per Second</t>
        </is>
      </c>
      <c r="B3436">
        <f>MAX(0,B3434-B3435)</f>
        <v/>
      </c>
    </row>
    <row r="3437">
      <c r="A3437" t="inlineStr">
        <is>
          <t>Global Critical Damage Bonus % (Sharp Eyes + Concentration)</t>
        </is>
      </c>
      <c r="B3437">
        <f>(C3415=TRUE)*F3415*IF(AND(Inputs!$B$38&lt;&gt;"pvp",Inputs!$B$43&gt;0),(((R3415-1)*MIN((Skills!T18*(1+Inputs!$B$34/100)),(1/Q3415))+MIN((Skills!T18*(1+Inputs!$B$34/100)),MAX(0,Inputs!$B$43-((R3415-1)*(1/Q3415)))))/Inputs!$B$43),IF(Inputs!$B$38="pvp",MIN((Skills!T18*(1+Inputs!$B$34/100)),15)/15,MIN(1,(Skills!T18*(1+Inputs!$B$34/100))/(1/Q3415))))+(C3416=TRUE)*7*F3416</f>
        <v/>
      </c>
    </row>
    <row r="3438">
      <c r="A3438" t="inlineStr">
        <is>
          <t>Global Final Damage Bonus % (Mortal Blow)</t>
        </is>
      </c>
      <c r="B3438">
        <f>(C3417=TRUE)*F3417</f>
        <v/>
      </c>
    </row>
    <row r="3439">
      <c r="A3439" t="inlineStr">
        <is>
          <t>Buff-Casting Startup Delay (s, fixed-duration only)</t>
        </is>
      </c>
      <c r="B3439">
        <f>IF(AND(Inputs!$B$38&lt;&gt;"pvp",Inputs!$B$43&gt;0),SUMPRODUCT((Skills!T2:T32&gt;0)*(Skills!E2:E32=TRUE)*(C3399:C3429=TRUE))/B3434,0)</f>
        <v/>
      </c>
    </row>
    <row r="3440">
      <c r="A3440" t="inlineStr">
        <is>
          <t>Boss-Only Total DPS (this block's swept value)</t>
        </is>
      </c>
      <c r="B3440">
        <f>SUM(T3399:T3429)</f>
        <v/>
      </c>
    </row>
    <row r="3441">
      <c r="A3441" t="inlineStr">
        <is>
          <t>Normal-Only Total DPS (this block's swept value)</t>
        </is>
      </c>
      <c r="B3441">
        <f>SUM(V3399:V3429)</f>
        <v/>
      </c>
    </row>
    <row r="3442">
      <c r="A3442" s="6" t="inlineStr">
        <is>
          <t>TOTAL DPS</t>
        </is>
      </c>
      <c r="B3442" s="6">
        <f>SUM(O3399:O3429)</f>
        <v/>
      </c>
    </row>
    <row r="3445">
      <c r="A3445" s="6" t="inlineStr">
        <is>
          <t>Stat: CDR = 4.5s</t>
        </is>
      </c>
    </row>
    <row r="3446">
      <c r="A3446" s="5" t="inlineStr">
        <is>
          <t>Key</t>
        </is>
      </c>
      <c r="B3446" s="5" t="inlineStr">
        <is>
          <t>Name</t>
        </is>
      </c>
      <c r="C3446" s="5" t="inlineStr">
        <is>
          <t>Unlocked</t>
        </is>
      </c>
      <c r="D3446" s="5" t="inlineStr">
        <is>
          <t>InputLevel</t>
        </is>
      </c>
      <c r="E3446" s="5" t="inlineStr">
        <is>
          <t>Factor</t>
        </is>
      </c>
      <c r="F3446" s="5" t="inlineStr">
        <is>
          <t>CoefficientPercent</t>
        </is>
      </c>
      <c r="G3446" s="5" t="inlineStr">
        <is>
          <t>EffectiveHits</t>
        </is>
      </c>
      <c r="H3446" s="5" t="inlineStr">
        <is>
          <t>ProcProbability</t>
        </is>
      </c>
      <c r="I3446" s="5" t="inlineStr">
        <is>
          <t>MapleHeroMultiplier</t>
        </is>
      </c>
      <c r="J3446" s="5" t="inlineStr">
        <is>
          <t>BaseDamage</t>
        </is>
      </c>
      <c r="K3446" s="5" t="inlineStr">
        <is>
          <t>BaseHitDamage</t>
        </is>
      </c>
      <c r="L3446" s="5" t="inlineStr">
        <is>
          <t>NonCritAvg</t>
        </is>
      </c>
      <c r="M3446" s="5" t="inlineStr">
        <is>
          <t>CritAvg</t>
        </is>
      </c>
      <c r="N3446" s="5" t="inlineStr">
        <is>
          <t>ExpectedDamage(perHit)</t>
        </is>
      </c>
      <c r="O3446" s="5" t="inlineStr">
        <is>
          <t>DPS</t>
        </is>
      </c>
      <c r="P3446" s="5" t="inlineStr">
        <is>
          <t>% of Total</t>
        </is>
      </c>
      <c r="Q3446" s="5" t="inlineStr">
        <is>
          <t>InvCooldown</t>
        </is>
      </c>
      <c r="R3446" s="5" t="inlineStr">
        <is>
          <t>CastsInFight</t>
        </is>
      </c>
      <c r="S3446" s="5" t="inlineStr">
        <is>
          <t>HitRate(perSec)</t>
        </is>
      </c>
      <c r="U3446" t="inlineStr">
        <is>
          <t>helpers</t>
        </is>
      </c>
    </row>
    <row r="3447">
      <c r="A3447">
        <f>Skills!A2</f>
        <v/>
      </c>
      <c r="B3447">
        <f>Skills!B2</f>
        <v/>
      </c>
      <c r="C3447">
        <f>Inputs!$B$3&gt;=100</f>
        <v/>
      </c>
      <c r="D3447" t="inlineStr"/>
      <c r="E3447" t="inlineStr"/>
      <c r="F3447">
        <f>U3449+Skills!O2</f>
        <v/>
      </c>
      <c r="G3447">
        <f>Skills!G2*IF(Skills!H2&gt;0,INT(IF(Inputs!$B$38="pvp",MIN(Skills!I2,15),Skills!I2)/Skills!H2+0.000000001),1)</f>
        <v/>
      </c>
      <c r="H3447">
        <f>1-(1-Skills!J2/100)^Skills!K2</f>
        <v/>
      </c>
      <c r="I3447" t="inlineStr">
        <is>
          <t>1</t>
        </is>
      </c>
      <c r="J3447">
        <f>((Inputs!$B$6*(1+Inputs!$B$7/100))+(((Inputs!$B$12*(1+Inputs!$B$13/100))-(Inputs!$B$12*(1+Inputs!$B$13/100)))+0.25*(Inputs!$B$14-Inputs!$B$14))*(1+Inputs!$B$7/100))*(F3447/100)</f>
        <v/>
      </c>
      <c r="K3447">
        <f>J3447*(1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3447)</f>
        <v/>
      </c>
      <c r="L3447">
        <f>K3447*(MIN(Inputs!$B$22+((C3471=TRUE)*(F3471-Calc!F26)),(Inputs!$B$23+((C3476=TRUE)*(F3476-Calc!F31))+(IF(ArtifactsInput!$M$15,CHOOSE(ArtifactsInput!$N$15+1,25,30,35,40,45,50)/100*(Inputs!$B$11-Inputs!$B$11),0))))/100+(Inputs!$B$23+((C3476=TRUE)*(F3476-Calc!F31))+(IF(ArtifactsInput!$M$15,CHOOSE(ArtifactsInput!$N$15+1,25,30,35,40,45,50)/100*(Inputs!$B$11-Inputs!$B$11),0)))/100)/2</f>
        <v/>
      </c>
      <c r="M3447">
        <f>L3447*(1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7">
        <f>L3447*(1-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3447*(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7">
        <f>(1-Summary!$B$11)*T3447+Summary!$B$11*V3447</f>
        <v/>
      </c>
      <c r="P3447">
        <f>IF(B3490=0,0,O3447/B3490)</f>
        <v/>
      </c>
      <c r="Q3447" t="n">
        <v>0</v>
      </c>
      <c r="R3447" t="n">
        <v>0</v>
      </c>
      <c r="S3447">
        <f>IFERROR(O3447/N3447,0)</f>
        <v/>
      </c>
      <c r="T3447">
        <f>IF(C3447,(Skills!G2*N3447*B3484)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7">
        <f>MAX(0,(Inputs!$B$3-100)*3)+Inputs!$B$28+Inputs!$B$29</f>
        <v/>
      </c>
      <c r="V3447">
        <f>IF(C3447,(Skills!G2*N3447*B3484)*IF(Inputs!$B$38="pvp",1,(1+(Inputs!$B$21+Skills!Q2+(IF(ArtifactsInput!$M$33,CHOOSE(ArtifactsInput!$N$33+1,30,36,42,48,54,60),0))+(IF(AND(ArtifactsInput!$M$35,Inputs!$B$4&lt;&gt;"Chapter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8">
      <c r="A3448">
        <f>Skills!A3</f>
        <v/>
      </c>
      <c r="B3448">
        <f>Skills!B3</f>
        <v/>
      </c>
      <c r="C3448">
        <f>Inputs!$B$3&gt;=50</f>
        <v/>
      </c>
      <c r="D3448">
        <f>IF(Skills!C3=1,60+Inputs!$B$25+Inputs!$B$29,IF(Skills!C3=2,90+Inputs!$B$26+Inputs!$B$29,IF(Skills!C3=3,120+Inputs!$B$27+Inputs!$B$29,MAX(0,(Inputs!$B$3-100)*3)+Inputs!$B$28+Inputs!$B$29)))</f>
        <v/>
      </c>
      <c r="E3448">
        <f>INDEX(FactorTable!$B$2:$Y$301, MATCH(ROUND(MIN(300,MAX(1,D3448)),0), FactorTable!$A$2:$A$301,0), Skills!M3+1)</f>
        <v/>
      </c>
      <c r="F3448">
        <f>IF(Skills!N3=TRUE,(Skills!L3/10)*(E3448/1000),Skills!L3/10)+Skills!O3</f>
        <v/>
      </c>
      <c r="G3448">
        <f>Skills!G3*IF(Skills!H3&gt;0,INT(IF(Inputs!$B$38="pvp",MIN(Skills!I3,15),Skills!I3)/Skills!H3+0.000000001),1)</f>
        <v/>
      </c>
      <c r="H3448">
        <f>1-(1-Skills!J3/100)^Skills!K3</f>
        <v/>
      </c>
      <c r="I3448" t="inlineStr">
        <is>
          <t>1</t>
        </is>
      </c>
      <c r="J3448">
        <f>((Inputs!$B$6*(1+Inputs!$B$7/100))+(((Inputs!$B$12*(1+Inputs!$B$13/100))-(Inputs!$B$12*(1+Inputs!$B$13/100)))+0.25*(Inputs!$B$14-Inputs!$B$14))*(1+Inputs!$B$7/100))*(F3448/100)</f>
        <v/>
      </c>
      <c r="K3448">
        <f>J3448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3449=TRUE,F3449,0)/100)*(1+(IF(Skills!A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3448)</f>
        <v/>
      </c>
      <c r="L3448">
        <f>K3448*(MIN(Inputs!$B$22+((C3471=TRUE)*(F3471-Calc!F26)),(Inputs!$B$23+((C3476=TRUE)*(F3476-Calc!F31))+(IF(ArtifactsInput!$M$15,CHOOSE(ArtifactsInput!$N$15+1,25,30,35,40,45,50)/100*(Inputs!$B$11-Inputs!$B$11),0))))/100+(Inputs!$B$23+((C3476=TRUE)*(F3476-Calc!F31))+(IF(ArtifactsInput!$M$15,CHOOSE(ArtifactsInput!$N$15+1,25,30,35,40,45,50)/100*(Inputs!$B$11-Inputs!$B$11),0)))/100)/2</f>
        <v/>
      </c>
      <c r="M3448">
        <f>L3448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8">
        <f>L3448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8">
        <f>(1-Summary!$B$11)*T3448+Summary!$B$11*V3448</f>
        <v/>
      </c>
      <c r="P3448">
        <f>IF(B3490=0,0,O3448/B3490)</f>
        <v/>
      </c>
      <c r="Q3448">
        <f>IFERROR(1/(IF(Inputs!$B$38="pvp",15,MAX(0.1,1/B3482-IF(FALSE=TRUE,4.5,0)))*(1-IF(AND(ArtifactsInput!$M$27,Inputs!$B$4="Chapter Hunt"),CHOOSE(ArtifactsInput!$N$27+1,20,24,28,32,36,40),0)/100)),0)</f>
        <v/>
      </c>
      <c r="R3448">
        <f>IF(AND(Inputs!$B$38&lt;&gt;"pvp",Inputs!$B$43&gt;0),IF(MAX(0,Inputs!$B$43-B3487)&lt;=0,0,(INT(MAX(0,Inputs!$B$43-B3487)/(IF(Inputs!$B$38="pvp",15,MAX(0.1,1/B3482-IF(FALSE=TRUE,4.5,0)))*(1-IF(AND(ArtifactsInput!$M$27,Inputs!$B$4="Chapter Hunt"),CHOOSE(ArtifactsInput!$N$27+1,20,24,28,32,36,40),0)/100)))+1)),0)</f>
        <v/>
      </c>
      <c r="S3448">
        <f>IFERROR(O3448/N3448,0)</f>
        <v/>
      </c>
      <c r="T3448">
        <f>IF(C3448,(H3448*N3448*IF(AND(Inputs!$B$38&lt;&gt;"pvp",Inputs!$B$43&gt;0),((Skills!G3*((R3448-1)*IF(Skills!H3&gt;0,INT(Skills!I3/Skills!H3+0.000000001),1)+IF(Skills!H3&gt;0,INT(MIN(Skills!I3,MAX(0,MAX(0,Inputs!$B$43-B3487)-((R3448-1)*(IF(Inputs!$B$38="pvp",15,MAX(0.1,1/B3482-IF(FALSE=TRUE,4.5,0)))*(1-IF(AND(ArtifactsInput!$M$27,Inputs!$B$4="Chapter Hunt"),CHOOSE(ArtifactsInput!$N$27+1,20,24,28,32,36,40),0)/100)))))/Skills!H3+0.000000001),1)))/Inputs!$B$43),G3448*Q3448)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8">
        <f>INDEX(FactorTable!$B$2:$Y$301, MATCH(ROUND(MIN(300,MAX(1,U3447)),0), FactorTable!$A$2:$A$301,0), 22)</f>
        <v/>
      </c>
      <c r="V3448">
        <f>IF(C3448,(H3448*N3448*IF(AND(Inputs!$B$38&lt;&gt;"pvp",Inputs!$B$43&gt;0),((Skills!G3*((R3448-1)*IF(Skills!H3&gt;0,INT(Skills!I3/Skills!H3+0.000000001),1)+IF(Skills!H3&gt;0,INT(MIN(Skills!I3,MAX(0,MAX(0,Inputs!$B$43-B3487)-((R3448-1)*(IF(Inputs!$B$38="pvp",15,MAX(0.1,1/B3482-IF(FALSE=TRUE,4.5,0)))*(1-IF(AND(ArtifactsInput!$M$27,Inputs!$B$4="Chapter Hunt"),CHOOSE(ArtifactsInput!$N$27+1,20,24,28,32,36,40),0)/100)))))/Skills!H3+0.000000001),1)))/Inputs!$B$43),G3448*Q3448))*IF(Inputs!$B$38="pvp",1,(1+(Inputs!$B$21+Skills!Q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9">
      <c r="A3449">
        <f>Skills!A4</f>
        <v/>
      </c>
      <c r="B3449">
        <f>Skills!B4</f>
        <v/>
      </c>
      <c r="C3449">
        <f>Inputs!$B$3&gt;=105</f>
        <v/>
      </c>
      <c r="D3449">
        <f>IF(Skills!C4=1,60+Inputs!$B$25+Inputs!$B$29,IF(Skills!C4=2,90+Inputs!$B$26+Inputs!$B$29,IF(Skills!C4=3,120+Inputs!$B$27+Inputs!$B$29,MAX(0,(Inputs!$B$3-100)*3)+Inputs!$B$28+Inputs!$B$29)))</f>
        <v/>
      </c>
      <c r="E3449">
        <f>INDEX(FactorTable!$B$2:$Y$301, MATCH(ROUND(MIN(300,MAX(1,D3449)),0), FactorTable!$A$2:$A$301,0), Skills!M4+1)</f>
        <v/>
      </c>
      <c r="F3449">
        <f>IF(Skills!N4=TRUE,(Skills!L4/10)*(E3449/1000),Skills!L4/10)+Skills!O4</f>
        <v/>
      </c>
      <c r="G3449" t="inlineStr"/>
      <c r="H3449" t="inlineStr"/>
      <c r="I3449" t="inlineStr">
        <is>
          <t>1</t>
        </is>
      </c>
      <c r="J3449" t="inlineStr"/>
      <c r="K3449" t="inlineStr"/>
      <c r="L3449" t="inlineStr"/>
      <c r="M3449" t="inlineStr"/>
      <c r="N3449" t="inlineStr"/>
      <c r="O3449" t="inlineStr"/>
      <c r="P3449" t="inlineStr"/>
      <c r="Q3449" t="inlineStr"/>
      <c r="R3449" t="inlineStr"/>
      <c r="S3449" t="inlineStr"/>
      <c r="T3449" t="inlineStr"/>
      <c r="U3449">
        <f>290*U3448/1000</f>
        <v/>
      </c>
      <c r="V3449" t="inlineStr"/>
    </row>
    <row r="3450">
      <c r="A3450">
        <f>Skills!A5</f>
        <v/>
      </c>
      <c r="B3450">
        <f>Skills!B5</f>
        <v/>
      </c>
      <c r="C3450">
        <f>Inputs!$B$3&gt;=35</f>
        <v/>
      </c>
      <c r="D3450">
        <f>IF(Skills!C5=1,60+Inputs!$B$25+Inputs!$B$29,IF(Skills!C5=2,90+Inputs!$B$26+Inputs!$B$29,IF(Skills!C5=3,120+Inputs!$B$27+Inputs!$B$29,MAX(0,(Inputs!$B$3-100)*3)+Inputs!$B$28+Inputs!$B$29)))</f>
        <v/>
      </c>
      <c r="E3450">
        <f>INDEX(FactorTable!$B$2:$Y$301, MATCH(ROUND(MIN(300,MAX(1,D3450)),0), FactorTable!$A$2:$A$301,0), Skills!M5+1)</f>
        <v/>
      </c>
      <c r="F3450">
        <f>IF(Skills!N5=TRUE,(Skills!L5/10)*(E3450/1000),Skills!L5/10)+Skills!O5</f>
        <v/>
      </c>
      <c r="G3450">
        <f>Skills!G5*IF(Skills!H5&gt;0,INT(IF(Inputs!$B$38="pvp",MIN(Skills!I5,15),Skills!I5)/Skills!H5+0.000000001),1)</f>
        <v/>
      </c>
      <c r="H3450">
        <f>1-(1-Skills!J5/100)^Skills!K5</f>
        <v/>
      </c>
      <c r="I3450" t="inlineStr">
        <is>
          <t>1</t>
        </is>
      </c>
      <c r="J3450">
        <f>((Inputs!$B$6*(1+Inputs!$B$7/100))+(((Inputs!$B$12*(1+Inputs!$B$13/100))-(Inputs!$B$12*(1+Inputs!$B$13/100)))+0.25*(Inputs!$B$14-Inputs!$B$14))*(1+Inputs!$B$7/100))*(F3450/100)</f>
        <v/>
      </c>
      <c r="K3450">
        <f>J3450*(1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3457=TRUE,F3457,0)/100)*(1+(IF(Skills!A5="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3450)</f>
        <v/>
      </c>
      <c r="L3450">
        <f>K3450*(MIN(Inputs!$B$22+((C3471=TRUE)*(F3471-Calc!F26)),(Inputs!$B$23+((C3476=TRUE)*(F3476-Calc!F31))+(IF(ArtifactsInput!$M$15,CHOOSE(ArtifactsInput!$N$15+1,25,30,35,40,45,50)/100*(Inputs!$B$11-Inputs!$B$11),0))))/100+(Inputs!$B$23+((C3476=TRUE)*(F3476-Calc!F31))+(IF(ArtifactsInput!$M$15,CHOOSE(ArtifactsInput!$N$15+1,25,30,35,40,45,50)/100*(Inputs!$B$11-Inputs!$B$11),0)))/100)/2</f>
        <v/>
      </c>
      <c r="M3450">
        <f>L3450*(1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0">
        <f>L3450*(1-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3450*(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0">
        <f>(1-Summary!$B$11)*T3450+Summary!$B$11*V3450</f>
        <v/>
      </c>
      <c r="P3450">
        <f>IF(B3490=0,0,O3450/B3490)</f>
        <v/>
      </c>
      <c r="Q3450">
        <f>IFERROR(1/(IF(Inputs!$B$38="pvp",15,MAX(0.1,Skills!D5-IF(TRUE=TRUE,4.5,0)))*(1-IF(AND(ArtifactsInput!$M$27,Inputs!$B$4="Chapter Hunt"),CHOOSE(ArtifactsInput!$N$27+1,20,24,28,32,36,40),0)/100)),0)</f>
        <v/>
      </c>
      <c r="R3450">
        <f>IF(AND(Inputs!$B$38&lt;&gt;"pvp",Inputs!$B$43&gt;0),IF(MAX(0,Inputs!$B$43-B3487)&lt;=0,0,(INT(MAX(0,Inputs!$B$43-B3487)/(IF(Inputs!$B$38="pvp",15,MAX(0.1,Skills!D5-IF(TRUE=TRUE,4.5,0)))*(1-IF(AND(ArtifactsInput!$M$27,Inputs!$B$4="Chapter Hunt"),CHOOSE(ArtifactsInput!$N$27+1,20,24,28,32,36,40),0)/100)))+1)),0)</f>
        <v/>
      </c>
      <c r="S3450">
        <f>IFERROR(O3450/N3450,0)</f>
        <v/>
      </c>
      <c r="T3450">
        <f>IF(C3450,(H3450*N3450*IF(AND(Inputs!$B$38&lt;&gt;"pvp",Inputs!$B$43&gt;0),((Skills!G5*((R3450-1)*IF(Skills!H5&gt;0,INT(Skills!I5/Skills!H5+0.000000001),1)+IF(Skills!H5&gt;0,INT(MIN(Skills!I5,MAX(0,MAX(0,Inputs!$B$43-B3487)-((R3450-1)*(IF(Inputs!$B$38="pvp",15,MAX(0.1,Skills!D5-IF(TRUE=TRUE,4.5,0)))*(1-IF(AND(ArtifactsInput!$M$27,Inputs!$B$4="Chapter Hunt"),CHOOSE(ArtifactsInput!$N$27+1,20,24,28,32,36,40),0)/100)))))/Skills!H5+0.000000001),1)))/Inputs!$B$43),G3450*Q3450)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0">
        <f>IF(C3450,(H3450*N3450*IF(AND(Inputs!$B$38&lt;&gt;"pvp",Inputs!$B$43&gt;0),((Skills!G5*((R3450-1)*IF(Skills!H5&gt;0,INT(Skills!I5/Skills!H5+0.000000001),1)+IF(Skills!H5&gt;0,INT(MIN(Skills!I5,MAX(0,MAX(0,Inputs!$B$43-B3487)-((R3450-1)*(IF(Inputs!$B$38="pvp",15,MAX(0.1,Skills!D5-IF(TRUE=TRUE,4.5,0)))*(1-IF(AND(ArtifactsInput!$M$27,Inputs!$B$4="Chapter Hunt"),CHOOSE(ArtifactsInput!$N$27+1,20,24,28,32,36,40),0)/100)))))/Skills!H5+0.000000001),1)))/Inputs!$B$43),G3450*Q3450))*IF(Inputs!$B$38="pvp",1,(1+(Inputs!$B$21+Skills!Q5+(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1">
      <c r="A3451">
        <f>Skills!A6</f>
        <v/>
      </c>
      <c r="B3451">
        <f>Skills!B6</f>
        <v/>
      </c>
      <c r="C3451">
        <f>Inputs!$B$3&gt;=40</f>
        <v/>
      </c>
      <c r="D3451">
        <f>IF(Skills!C6=1,60+Inputs!$B$25+Inputs!$B$29,IF(Skills!C6=2,90+Inputs!$B$26+Inputs!$B$29,IF(Skills!C6=3,120+Inputs!$B$27+Inputs!$B$29,MAX(0,(Inputs!$B$3-100)*3)+Inputs!$B$28+Inputs!$B$29)))</f>
        <v/>
      </c>
      <c r="E3451">
        <f>INDEX(FactorTable!$B$2:$Y$301, MATCH(ROUND(MIN(300,MAX(1,D3451)),0), FactorTable!$A$2:$A$301,0), Skills!M6+1)</f>
        <v/>
      </c>
      <c r="F3451">
        <f>IF(Skills!N6=TRUE,(Skills!L6/10)*(E3451/1000),Skills!L6/10)+Skills!O6</f>
        <v/>
      </c>
      <c r="G3451">
        <f>Skills!G6*IF(Skills!H6&gt;0,INT(IF(Inputs!$B$38="pvp",MIN(Skills!I6,15),Skills!I6)/Skills!H6+0.000000001),1)</f>
        <v/>
      </c>
      <c r="H3451">
        <f>1-(1-Skills!J6/100)^Skills!K6</f>
        <v/>
      </c>
      <c r="I3451" t="inlineStr">
        <is>
          <t>1</t>
        </is>
      </c>
      <c r="J3451">
        <f>((Inputs!$B$6*(1+Inputs!$B$7/100))+(((Inputs!$B$12*(1+Inputs!$B$13/100))-(Inputs!$B$12*(1+Inputs!$B$13/100)))+0.25*(Inputs!$B$14-Inputs!$B$14))*(1+Inputs!$B$7/100))*(F3451/100)</f>
        <v/>
      </c>
      <c r="K3451">
        <f>J3451*(1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3452=TRUE,F3452,0)/100)*(1+(IF(Skills!A6="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3451)</f>
        <v/>
      </c>
      <c r="L3451">
        <f>K3451*(MIN(Inputs!$B$22+((C3471=TRUE)*(F3471-Calc!F26)),(Inputs!$B$23+((C3476=TRUE)*(F3476-Calc!F31))+(IF(ArtifactsInput!$M$15,CHOOSE(ArtifactsInput!$N$15+1,25,30,35,40,45,50)/100*(Inputs!$B$11-Inputs!$B$11),0))))/100+(Inputs!$B$23+((C3476=TRUE)*(F3476-Calc!F31))+(IF(ArtifactsInput!$M$15,CHOOSE(ArtifactsInput!$N$15+1,25,30,35,40,45,50)/100*(Inputs!$B$11-Inputs!$B$11),0)))/100)/2</f>
        <v/>
      </c>
      <c r="M3451">
        <f>L3451*(1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1">
        <f>L3451*(1-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1">
        <f>(1-Summary!$B$11)*T3451+Summary!$B$11*V3451</f>
        <v/>
      </c>
      <c r="P3451">
        <f>IF(B3490=0,0,O3451/B3490)</f>
        <v/>
      </c>
      <c r="Q3451">
        <f>IFERROR(1/(IF(Inputs!$B$38="pvp",15,MAX(0.1,1-0.4*MIN(1,(B3482-1)/1.5)-IF(FALSE=TRUE,4.5,0)))*(1-IF(AND(ArtifactsInput!$M$27,Inputs!$B$4="Chapter Hunt"),CHOOSE(ArtifactsInput!$N$27+1,20,24,28,32,36,40),0)/100)),0)</f>
        <v/>
      </c>
      <c r="R3451">
        <f>IF(AND(Inputs!$B$38&lt;&gt;"pvp",Inputs!$B$43&gt;0),IF(MAX(0,Inputs!$B$43-B3487)&lt;=0,0,(INT(MAX(0,Inputs!$B$43-B3487)/(IF(Inputs!$B$38="pvp",15,MAX(0.1,1-0.4*MIN(1,(B3482-1)/1.5)-IF(FALSE=TRUE,4.5,0)))*(1-IF(AND(ArtifactsInput!$M$27,Inputs!$B$4="Chapter Hunt"),CHOOSE(ArtifactsInput!$N$27+1,20,24,28,32,36,40),0)/100)))+1)),0)</f>
        <v/>
      </c>
      <c r="S3451">
        <f>IFERROR(O3451/N3451,0)</f>
        <v/>
      </c>
      <c r="T3451">
        <f>IF(C3451,(H3451*N3451*IF(AND(Inputs!$B$38&lt;&gt;"pvp",Inputs!$B$43&gt;0),((Skills!G6*((R3451-1)*IF(Skills!H6&gt;0,INT(Skills!I6/Skills!H6+0.000000001),1)+IF(Skills!H6&gt;0,INT(MIN(Skills!I6,MAX(0,MAX(0,Inputs!$B$43-B3487)-((R3451-1)*(IF(Inputs!$B$38="pvp",15,MAX(0.1,1-0.4*MIN(1,(B3482-1)/1.5)-IF(FALSE=TRUE,4.5,0)))*(1-IF(AND(ArtifactsInput!$M$27,Inputs!$B$4="Chapter Hunt"),CHOOSE(ArtifactsInput!$N$27+1,20,24,28,32,36,40),0)/100)))))/Skills!H6+0.000000001),1)))/Inputs!$B$43),G3451*Q3451)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1">
        <f>IF(C3451,(H3451*N3451*IF(AND(Inputs!$B$38&lt;&gt;"pvp",Inputs!$B$43&gt;0),((Skills!G6*((R3451-1)*IF(Skills!H6&gt;0,INT(Skills!I6/Skills!H6+0.000000001),1)+IF(Skills!H6&gt;0,INT(MIN(Skills!I6,MAX(0,MAX(0,Inputs!$B$43-B3487)-((R3451-1)*(IF(Inputs!$B$38="pvp",15,MAX(0.1,1-0.4*MIN(1,(B3482-1)/1.5)-IF(FALSE=TRUE,4.5,0)))*(1-IF(AND(ArtifactsInput!$M$27,Inputs!$B$4="Chapter Hunt"),CHOOSE(ArtifactsInput!$N$27+1,20,24,28,32,36,40),0)/100)))))/Skills!H6+0.000000001),1)))/Inputs!$B$43),G3451*Q3451))*IF(Inputs!$B$38="pvp",1,(1+(Inputs!$B$21+Skills!Q6+(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2">
      <c r="A3452">
        <f>Skills!A7</f>
        <v/>
      </c>
      <c r="B3452">
        <f>Skills!B7</f>
        <v/>
      </c>
      <c r="C3452">
        <f>Inputs!$B$3&gt;=107</f>
        <v/>
      </c>
      <c r="D3452">
        <f>IF(Skills!C7=1,60+Inputs!$B$25+Inputs!$B$29,IF(Skills!C7=2,90+Inputs!$B$26+Inputs!$B$29,IF(Skills!C7=3,120+Inputs!$B$27+Inputs!$B$29,MAX(0,(Inputs!$B$3-100)*3)+Inputs!$B$28+Inputs!$B$29)))</f>
        <v/>
      </c>
      <c r="E3452">
        <f>INDEX(FactorTable!$B$2:$Y$301, MATCH(ROUND(MIN(300,MAX(1,D3452)),0), FactorTable!$A$2:$A$301,0), Skills!M7+1)</f>
        <v/>
      </c>
      <c r="F3452">
        <f>IF(Skills!N7=TRUE,(Skills!L7/10)*(E3452/1000),Skills!L7/10)+Skills!O7</f>
        <v/>
      </c>
      <c r="G3452" t="inlineStr"/>
      <c r="H3452" t="inlineStr"/>
      <c r="I3452" t="inlineStr">
        <is>
          <t>1</t>
        </is>
      </c>
      <c r="J3452" t="inlineStr"/>
      <c r="K3452" t="inlineStr"/>
      <c r="L3452" t="inlineStr"/>
      <c r="M3452" t="inlineStr"/>
      <c r="N3452" t="inlineStr"/>
      <c r="O3452" t="inlineStr"/>
      <c r="P3452" t="inlineStr"/>
      <c r="Q3452" t="inlineStr"/>
      <c r="R3452" t="inlineStr"/>
      <c r="S3452" t="inlineStr"/>
      <c r="T3452" t="inlineStr"/>
      <c r="V3452" t="inlineStr"/>
    </row>
    <row r="3453">
      <c r="A3453">
        <f>Skills!A8</f>
        <v/>
      </c>
      <c r="B3453">
        <f>Skills!B8</f>
        <v/>
      </c>
      <c r="C3453">
        <f>Inputs!$B$3&gt;=130</f>
        <v/>
      </c>
      <c r="D3453">
        <f>IF(Skills!C8=1,60+Inputs!$B$25+Inputs!$B$29,IF(Skills!C8=2,90+Inputs!$B$26+Inputs!$B$29,IF(Skills!C8=3,120+Inputs!$B$27+Inputs!$B$29,MAX(0,(Inputs!$B$3-100)*3)+Inputs!$B$28+Inputs!$B$29)))</f>
        <v/>
      </c>
      <c r="E3453">
        <f>INDEX(FactorTable!$B$2:$Y$301, MATCH(ROUND(MIN(300,MAX(1,D3453)),0), FactorTable!$A$2:$A$301,0), Skills!M8+1)</f>
        <v/>
      </c>
      <c r="F3453">
        <f>IF(Skills!N8=TRUE,(Skills!L8/10)*(E3453/1000),Skills!L8/10)+Skills!O8</f>
        <v/>
      </c>
      <c r="G3453">
        <f>Skills!G8*IF(Skills!H8&gt;0,INT(IF(Inputs!$B$38="pvp",MIN(Skills!I8,15),Skills!I8)/Skills!H8+0.000000001),1)</f>
        <v/>
      </c>
      <c r="H3453">
        <f>1-(1-Skills!J8/100)^Skills!K8</f>
        <v/>
      </c>
      <c r="I3453" t="inlineStr">
        <is>
          <t>1</t>
        </is>
      </c>
      <c r="J3453">
        <f>((Inputs!$B$6*(1+Inputs!$B$7/100))+(((Inputs!$B$12*(1+Inputs!$B$13/100))-(Inputs!$B$12*(1+Inputs!$B$13/100)))+0.25*(Inputs!$B$14-Inputs!$B$14))*(1+Inputs!$B$7/100))*(F3453/100)</f>
        <v/>
      </c>
      <c r="K3453">
        <f>J3453*(1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3453)</f>
        <v/>
      </c>
      <c r="L3453">
        <f>K3453*(MIN(Inputs!$B$22+((C3471=TRUE)*(F3471-Calc!F26)),(Inputs!$B$23+((C3476=TRUE)*(F3476-Calc!F31))+(IF(ArtifactsInput!$M$15,CHOOSE(ArtifactsInput!$N$15+1,25,30,35,40,45,50)/100*(Inputs!$B$11-Inputs!$B$11),0))))/100+(Inputs!$B$23+((C3476=TRUE)*(F3476-Calc!F31))+(IF(ArtifactsInput!$M$15,CHOOSE(ArtifactsInput!$N$15+1,25,30,35,40,45,50)/100*(Inputs!$B$11-Inputs!$B$11),0)))/100)/2</f>
        <v/>
      </c>
      <c r="M3453">
        <f>L3453*(1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3">
        <f>L3453*(1-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3453*(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3">
        <f>(1-Summary!$B$11)*T3453+Summary!$B$11*V3453</f>
        <v/>
      </c>
      <c r="P3453">
        <f>IF(B3490=0,0,O3453/B3490)</f>
        <v/>
      </c>
      <c r="Q3453">
        <f>IFERROR(1/(IF(Inputs!$B$38="pvp",15,MAX(0.1,1-0.4*MIN(1,(B3482-1)/1.5)-IF(FALSE=TRUE,4.5,0)))*(1-IF(AND(ArtifactsInput!$M$27,Inputs!$B$4="Chapter Hunt"),CHOOSE(ArtifactsInput!$N$27+1,20,24,28,32,36,40),0)/100)),0)</f>
        <v/>
      </c>
      <c r="R3453">
        <f>IF(AND(Inputs!$B$38&lt;&gt;"pvp",Inputs!$B$43&gt;0),IF(MAX(0,Inputs!$B$43-B3487)&lt;=0,0,(INT(MAX(0,Inputs!$B$43-B3487)/(IF(Inputs!$B$38="pvp",15,MAX(0.1,1-0.4*MIN(1,(B3482-1)/1.5)-IF(FALSE=TRUE,4.5,0)))*(1-IF(AND(ArtifactsInput!$M$27,Inputs!$B$4="Chapter Hunt"),CHOOSE(ArtifactsInput!$N$27+1,20,24,28,32,36,40),0)/100)))+1)),0)</f>
        <v/>
      </c>
      <c r="S3453">
        <f>IFERROR(O3453/N3453,0)</f>
        <v/>
      </c>
      <c r="T3453">
        <f>IF(C3453,(H3453*N3453*IF(AND(Inputs!$B$38&lt;&gt;"pvp",Inputs!$B$43&gt;0),((Skills!G8*((R3453-1)*IF(Skills!H8&gt;0,INT(Skills!I8/Skills!H8+0.000000001),1)+IF(Skills!H8&gt;0,INT(MIN(Skills!I8,MAX(0,MAX(0,Inputs!$B$43-B3487)-((R3453-1)*(IF(Inputs!$B$38="pvp",15,MAX(0.1,1-0.4*MIN(1,(B3482-1)/1.5)-IF(FALSE=TRUE,4.5,0)))*(1-IF(AND(ArtifactsInput!$M$27,Inputs!$B$4="Chapter Hunt"),CHOOSE(ArtifactsInput!$N$27+1,20,24,28,32,36,40),0)/100)))))/Skills!H8+0.000000001),1)))/Inputs!$B$43),G3453*Q3453)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3">
        <f>IF(C3453,(H3453*N3453*IF(AND(Inputs!$B$38&lt;&gt;"pvp",Inputs!$B$43&gt;0),((Skills!G8*((R3453-1)*IF(Skills!H8&gt;0,INT(Skills!I8/Skills!H8+0.000000001),1)+IF(Skills!H8&gt;0,INT(MIN(Skills!I8,MAX(0,MAX(0,Inputs!$B$43-B3487)-((R3453-1)*(IF(Inputs!$B$38="pvp",15,MAX(0.1,1-0.4*MIN(1,(B3482-1)/1.5)-IF(FALSE=TRUE,4.5,0)))*(1-IF(AND(ArtifactsInput!$M$27,Inputs!$B$4="Chapter Hunt"),CHOOSE(ArtifactsInput!$N$27+1,20,24,28,32,36,40),0)/100)))))/Skills!H8+0.000000001),1)))/Inputs!$B$43),G3453*Q3453))*IF(Inputs!$B$38="pvp",1,(1+(Inputs!$B$21+Skills!Q8+(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4">
      <c r="A3454">
        <f>Skills!A9</f>
        <v/>
      </c>
      <c r="B3454">
        <f>Skills!B9</f>
        <v/>
      </c>
      <c r="C3454">
        <f>Inputs!$B$3&gt;=69</f>
        <v/>
      </c>
      <c r="D3454">
        <f>IF(Skills!C9=1,60+Inputs!$B$25+Inputs!$B$29,IF(Skills!C9=2,90+Inputs!$B$26+Inputs!$B$29,IF(Skills!C9=3,120+Inputs!$B$27+Inputs!$B$29,MAX(0,(Inputs!$B$3-100)*3)+Inputs!$B$28+Inputs!$B$29)))</f>
        <v/>
      </c>
      <c r="E3454">
        <f>INDEX(FactorTable!$B$2:$Y$301, MATCH(ROUND(MIN(300,MAX(1,D3454)),0), FactorTable!$A$2:$A$301,0), Skills!M9+1)</f>
        <v/>
      </c>
      <c r="F3454">
        <f>IF(Skills!N9=TRUE,(Skills!L9/10)*(E3454/1000),Skills!L9/10)+Skills!O9</f>
        <v/>
      </c>
      <c r="G3454">
        <f>Skills!G9*IF(Skills!H9&gt;0,INT(IF(Inputs!$B$38="pvp",MIN(Skills!I9,15),Skills!I9)/Skills!H9+0.000000001),1)</f>
        <v/>
      </c>
      <c r="H3454">
        <f>1-(1-Skills!J9/100)^Skills!K9</f>
        <v/>
      </c>
      <c r="I3454" t="inlineStr">
        <is>
          <t>1</t>
        </is>
      </c>
      <c r="J3454">
        <f>((Inputs!$B$6*(1+Inputs!$B$7/100))+(((Inputs!$B$12*(1+Inputs!$B$13/100))-(Inputs!$B$12*(1+Inputs!$B$13/100)))+0.25*(Inputs!$B$14-Inputs!$B$14))*(1+Inputs!$B$7/100))*(F3454/100)</f>
        <v/>
      </c>
      <c r="K3454">
        <f>J3454*(1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3457=TRUE,F3457,0)/100)*(1+(IF(Skills!A9="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3454)</f>
        <v/>
      </c>
      <c r="L3454">
        <f>K3454*(MIN(Inputs!$B$22+((C3471=TRUE)*(F3471-Calc!F26)),(Inputs!$B$23+((C3476=TRUE)*(F3476-Calc!F31))+(IF(ArtifactsInput!$M$15,CHOOSE(ArtifactsInput!$N$15+1,25,30,35,40,45,50)/100*(Inputs!$B$11-Inputs!$B$11),0))))/100+(Inputs!$B$23+((C3476=TRUE)*(F3476-Calc!F31))+(IF(ArtifactsInput!$M$15,CHOOSE(ArtifactsInput!$N$15+1,25,30,35,40,45,50)/100*(Inputs!$B$11-Inputs!$B$11),0)))/100)/2</f>
        <v/>
      </c>
      <c r="M3454">
        <f>L3454*(1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4">
        <f>L3454*(1-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3454*(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4">
        <f>(1-Summary!$B$11)*T3454+Summary!$B$11*V3454</f>
        <v/>
      </c>
      <c r="P3454">
        <f>IF(B3490=0,0,O3454/B3490)</f>
        <v/>
      </c>
      <c r="Q3454">
        <f>IFERROR(1/(IF(Inputs!$B$38="pvp",15,MAX(0.1,Skills!D9-IF(TRUE=TRUE,4.5,0)))*(1-IF(AND(ArtifactsInput!$M$27,Inputs!$B$4="Chapter Hunt"),CHOOSE(ArtifactsInput!$N$27+1,20,24,28,32,36,40),0)/100)),0)</f>
        <v/>
      </c>
      <c r="R3454">
        <f>IF(AND(Inputs!$B$38&lt;&gt;"pvp",Inputs!$B$43&gt;0),IF(MAX(0,Inputs!$B$43-B3487)&lt;=0,0,(INT(MAX(0,Inputs!$B$43-B3487)/(IF(Inputs!$B$38="pvp",15,MAX(0.1,Skills!D9-IF(TRUE=TRUE,4.5,0)))*(1-IF(AND(ArtifactsInput!$M$27,Inputs!$B$4="Chapter Hunt"),CHOOSE(ArtifactsInput!$N$27+1,20,24,28,32,36,40),0)/100)))+1)),0)</f>
        <v/>
      </c>
      <c r="S3454">
        <f>IFERROR(O3454/N3454,0)</f>
        <v/>
      </c>
      <c r="T3454">
        <f>IF(C3454,(H3454*N3454*IF(AND(Inputs!$B$38&lt;&gt;"pvp",Inputs!$B$43&gt;0),((Skills!G9*((R3454-1)*IF(Skills!H9&gt;0,INT(Skills!I9/Skills!H9+0.000000001),1)+IF(Skills!H9&gt;0,INT(MIN(Skills!I9,MAX(0,MAX(0,Inputs!$B$43-B3487)-((R3454-1)*(IF(Inputs!$B$38="pvp",15,MAX(0.1,Skills!D9-IF(TRUE=TRUE,4.5,0)))*(1-IF(AND(ArtifactsInput!$M$27,Inputs!$B$4="Chapter Hunt"),CHOOSE(ArtifactsInput!$N$27+1,20,24,28,32,36,40),0)/100)))))/Skills!H9+0.000000001),1)))/Inputs!$B$43),G3454*Q3454)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4">
        <f>IF(C3454,(H3454*N3454*IF(AND(Inputs!$B$38&lt;&gt;"pvp",Inputs!$B$43&gt;0),((Skills!G9*((R3454-1)*IF(Skills!H9&gt;0,INT(Skills!I9/Skills!H9+0.000000001),1)+IF(Skills!H9&gt;0,INT(MIN(Skills!I9,MAX(0,MAX(0,Inputs!$B$43-B3487)-((R3454-1)*(IF(Inputs!$B$38="pvp",15,MAX(0.1,Skills!D9-IF(TRUE=TRUE,4.5,0)))*(1-IF(AND(ArtifactsInput!$M$27,Inputs!$B$4="Chapter Hunt"),CHOOSE(ArtifactsInput!$N$27+1,20,24,28,32,36,40),0)/100)))))/Skills!H9+0.000000001),1)))/Inputs!$B$43),G3454*Q3454))*IF(Inputs!$B$38="pvp",1,(1+(Inputs!$B$21+Skills!Q9+(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5">
      <c r="A3455">
        <f>Skills!A10</f>
        <v/>
      </c>
      <c r="B3455">
        <f>Skills!B10</f>
        <v/>
      </c>
      <c r="C3455">
        <f>Inputs!$B$3&gt;=63</f>
        <v/>
      </c>
      <c r="D3455">
        <f>IF(Skills!C10=1,60+Inputs!$B$25+Inputs!$B$29,IF(Skills!C10=2,90+Inputs!$B$26+Inputs!$B$29,IF(Skills!C10=3,120+Inputs!$B$27+Inputs!$B$29,MAX(0,(Inputs!$B$3-100)*3)+Inputs!$B$28+Inputs!$B$29)))</f>
        <v/>
      </c>
      <c r="E3455">
        <f>INDEX(FactorTable!$B$2:$Y$301, MATCH(ROUND(MIN(300,MAX(1,D3455)),0), FactorTable!$A$2:$A$301,0), Skills!M10+1)</f>
        <v/>
      </c>
      <c r="F3455">
        <f>IF(Skills!N10=TRUE,(Skills!L10/10)*(E3455/1000),Skills!L10/10)+Skills!O10</f>
        <v/>
      </c>
      <c r="G3455">
        <f>Skills!G10*IF(Skills!H10&gt;0,INT(IF(Inputs!$B$38="pvp",MIN(Skills!I10,15),Skills!I10)/Skills!H10+0.000000001),1)</f>
        <v/>
      </c>
      <c r="H3455">
        <f>1-(1-Skills!J10/100)^Skills!K10</f>
        <v/>
      </c>
      <c r="I3455" t="inlineStr">
        <is>
          <t>1</t>
        </is>
      </c>
      <c r="J3455">
        <f>((Inputs!$B$6*(1+Inputs!$B$7/100))+(((Inputs!$B$12*(1+Inputs!$B$13/100))-(Inputs!$B$12*(1+Inputs!$B$13/100)))+0.25*(Inputs!$B$14-Inputs!$B$14))*(1+Inputs!$B$7/100))*(F3455/100)</f>
        <v/>
      </c>
      <c r="K3455">
        <f>J3455*(1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3457=TRUE,F3457,0)/100)*(1+(IF(Skills!A10="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3455)</f>
        <v/>
      </c>
      <c r="L3455">
        <f>K3455*(MIN(Inputs!$B$22+((C3471=TRUE)*(F3471-Calc!F26)),(Inputs!$B$23+((C3476=TRUE)*(F3476-Calc!F31))+(IF(ArtifactsInput!$M$15,CHOOSE(ArtifactsInput!$N$15+1,25,30,35,40,45,50)/100*(Inputs!$B$11-Inputs!$B$11),0))))/100+(Inputs!$B$23+((C3476=TRUE)*(F3476-Calc!F31))+(IF(ArtifactsInput!$M$15,CHOOSE(ArtifactsInput!$N$15+1,25,30,35,40,45,50)/100*(Inputs!$B$11-Inputs!$B$11),0)))/100)/2</f>
        <v/>
      </c>
      <c r="M3455">
        <f>L3455*(1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5">
        <f>L3455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3455*(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5">
        <f>(1-Summary!$B$11)*T3455+Summary!$B$11*V3455</f>
        <v/>
      </c>
      <c r="P3455">
        <f>IF(B3490=0,0,O3455/B3490)</f>
        <v/>
      </c>
      <c r="Q3455">
        <f>IFERROR(1/(IF(Inputs!$B$38="pvp",15,MAX(0.1,Skills!D10-IF(TRUE=TRUE,4.5,0)))*(1-IF(AND(ArtifactsInput!$M$27,Inputs!$B$4="Chapter Hunt"),CHOOSE(ArtifactsInput!$N$27+1,20,24,28,32,36,40),0)/100)),0)</f>
        <v/>
      </c>
      <c r="R3455">
        <f>IF(AND(Inputs!$B$38&lt;&gt;"pvp",Inputs!$B$43&gt;0),IF(MAX(0,Inputs!$B$43-B3487)&lt;=0,0,(INT(MAX(0,Inputs!$B$43-B3487)/(IF(Inputs!$B$38="pvp",15,MAX(0.1,Skills!D10-IF(TRUE=TRUE,4.5,0)))*(1-IF(AND(ArtifactsInput!$M$27,Inputs!$B$4="Chapter Hunt"),CHOOSE(ArtifactsInput!$N$27+1,20,24,28,32,36,40),0)/100)))+1)),0)</f>
        <v/>
      </c>
      <c r="S3455">
        <f>IFERROR(O3455/N3455,0)</f>
        <v/>
      </c>
      <c r="T3455">
        <f>IF(C3455,(H3455*N3455*IF(AND(Inputs!$B$38&lt;&gt;"pvp",Inputs!$B$43&gt;0),((Skills!G10*((R3455-1)*IF(Skills!H10&gt;0,INT(Skills!I10/Skills!H10+0.000000001),1)+IF(Skills!H10&gt;0,INT(MIN(Skills!I10,MAX(0,MAX(0,Inputs!$B$43-B3487)-((R3455-1)*(IF(Inputs!$B$38="pvp",15,MAX(0.1,Skills!D10-IF(TRUE=TRUE,4.5,0)))*(1-IF(AND(ArtifactsInput!$M$27,Inputs!$B$4="Chapter Hunt"),CHOOSE(ArtifactsInput!$N$27+1,20,24,28,32,36,40),0)/100)))))/Skills!H10+0.000000001),1)))/Inputs!$B$43),G3455*Q3455)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5">
        <f>IF(C3455,(H3455*N3455*IF(AND(Inputs!$B$38&lt;&gt;"pvp",Inputs!$B$43&gt;0),((Skills!G10*((R3455-1)*IF(Skills!H10&gt;0,INT(Skills!I10/Skills!H10+0.000000001),1)+IF(Skills!H10&gt;0,INT(MIN(Skills!I10,MAX(0,MAX(0,Inputs!$B$43-B3487)-((R3455-1)*(IF(Inputs!$B$38="pvp",15,MAX(0.1,Skills!D10-IF(TRUE=TRUE,4.5,0)))*(1-IF(AND(ArtifactsInput!$M$27,Inputs!$B$4="Chapter Hunt"),CHOOSE(ArtifactsInput!$N$27+1,20,24,28,32,36,40),0)/100)))))/Skills!H10+0.000000001),1)))/Inputs!$B$43),G3455*Q3455))*IF(Inputs!$B$38="pvp",1,(1+(Inputs!$B$21+Skills!Q10+(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6">
      <c r="A3456">
        <f>Skills!A11</f>
        <v/>
      </c>
      <c r="B3456">
        <f>Skills!B11</f>
        <v/>
      </c>
      <c r="C3456">
        <f>Inputs!$B$3&gt;=103</f>
        <v/>
      </c>
      <c r="D3456">
        <f>IF(Skills!C11=1,60+Inputs!$B$25+Inputs!$B$29,IF(Skills!C11=2,90+Inputs!$B$26+Inputs!$B$29,IF(Skills!C11=3,120+Inputs!$B$27+Inputs!$B$29,MAX(0,(Inputs!$B$3-100)*3)+Inputs!$B$28+Inputs!$B$29)))</f>
        <v/>
      </c>
      <c r="E3456">
        <f>INDEX(FactorTable!$B$2:$Y$301, MATCH(ROUND(MIN(300,MAX(1,D3456)),0), FactorTable!$A$2:$A$301,0), Skills!M11+1)</f>
        <v/>
      </c>
      <c r="F3456">
        <f>IF(Skills!N11=TRUE,(Skills!L11/10)*(E3456/1000),Skills!L11/10)+Skills!O11</f>
        <v/>
      </c>
      <c r="G3456">
        <f>Skills!G11*IF(Skills!H11&gt;0,INT(IF(Inputs!$B$38="pvp",MIN(Skills!I11,15),Skills!I11)/Skills!H11+0.000000001),1)</f>
        <v/>
      </c>
      <c r="H3456">
        <f>1-(1-Skills!J11/100)^Skills!K11</f>
        <v/>
      </c>
      <c r="I3456" t="inlineStr">
        <is>
          <t>1</t>
        </is>
      </c>
      <c r="J3456">
        <f>((Inputs!$B$6*(1+Inputs!$B$7/100))+(((Inputs!$B$12*(1+Inputs!$B$13/100))-(Inputs!$B$12*(1+Inputs!$B$13/100)))+0.25*(Inputs!$B$14-Inputs!$B$14))*(1+Inputs!$B$7/100))*(F3456/100)</f>
        <v/>
      </c>
      <c r="K3456">
        <f>J3456*(1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3456)</f>
        <v/>
      </c>
      <c r="L3456">
        <f>K3456*(MIN(Inputs!$B$22+((C3471=TRUE)*(F3471-Calc!F26)),(Inputs!$B$23+((C3476=TRUE)*(F3476-Calc!F31))+(IF(ArtifactsInput!$M$15,CHOOSE(ArtifactsInput!$N$15+1,25,30,35,40,45,50)/100*(Inputs!$B$11-Inputs!$B$11),0))))/100+(Inputs!$B$23+((C3476=TRUE)*(F3476-Calc!F31))+(IF(ArtifactsInput!$M$15,CHOOSE(ArtifactsInput!$N$15+1,25,30,35,40,45,50)/100*(Inputs!$B$11-Inputs!$B$11),0)))/100)/2</f>
        <v/>
      </c>
      <c r="M3456">
        <f>L3456*(1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6">
        <f>L3456*(1-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3456*(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6">
        <f>(1-Summary!$B$11)*T3456+Summary!$B$11*V3456</f>
        <v/>
      </c>
      <c r="P3456">
        <f>IF(B3490=0,0,O3456/B3490)</f>
        <v/>
      </c>
      <c r="Q3456">
        <f>IFERROR(1/(IF(Inputs!$B$38="pvp",15,MAX(0.1,Skills!D11-IF(TRUE=TRUE,4.5,0)))*(1-IF(AND(ArtifactsInput!$M$27,Inputs!$B$4="Chapter Hunt"),CHOOSE(ArtifactsInput!$N$27+1,20,24,28,32,36,40),0)/100)),0)</f>
        <v/>
      </c>
      <c r="R3456">
        <f>IF(AND(Inputs!$B$38&lt;&gt;"pvp",Inputs!$B$43&gt;0),IF(MAX(0,Inputs!$B$43-B3487)&lt;=0,0,(INT(MAX(0,Inputs!$B$43-B3487)/(IF(Inputs!$B$38="pvp",15,MAX(0.1,Skills!D11-IF(TRUE=TRUE,4.5,0)))*(1-IF(AND(ArtifactsInput!$M$27,Inputs!$B$4="Chapter Hunt"),CHOOSE(ArtifactsInput!$N$27+1,20,24,28,32,36,40),0)/100)))+1)),0)</f>
        <v/>
      </c>
      <c r="S3456">
        <f>IFERROR(O3456/N3456,0)</f>
        <v/>
      </c>
      <c r="T3456">
        <f>IF(C3456,(H3456*N3456*IF(AND(Inputs!$B$38&lt;&gt;"pvp",Inputs!$B$43&gt;0),((Skills!G11*((R3456-1)*IF(Skills!H11&gt;0,INT(Skills!I11/Skills!H11+0.000000001),1)+IF(Skills!H11&gt;0,INT(MIN(Skills!I11,MAX(0,MAX(0,Inputs!$B$43-B3487)-((R3456-1)*(IF(Inputs!$B$38="pvp",15,MAX(0.1,Skills!D11-IF(TRUE=TRUE,4.5,0)))*(1-IF(AND(ArtifactsInput!$M$27,Inputs!$B$4="Chapter Hunt"),CHOOSE(ArtifactsInput!$N$27+1,20,24,28,32,36,40),0)/100)))))/Skills!H11+0.000000001),1)))/Inputs!$B$43),G3456*Q3456)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6">
        <f>IF(C3456,(H3456*N3456*IF(AND(Inputs!$B$38&lt;&gt;"pvp",Inputs!$B$43&gt;0),((Skills!G11*((R3456-1)*IF(Skills!H11&gt;0,INT(Skills!I11/Skills!H11+0.000000001),1)+IF(Skills!H11&gt;0,INT(MIN(Skills!I11,MAX(0,MAX(0,Inputs!$B$43-B3487)-((R3456-1)*(IF(Inputs!$B$38="pvp",15,MAX(0.1,Skills!D11-IF(TRUE=TRUE,4.5,0)))*(1-IF(AND(ArtifactsInput!$M$27,Inputs!$B$4="Chapter Hunt"),CHOOSE(ArtifactsInput!$N$27+1,20,24,28,32,36,40),0)/100)))))/Skills!H11+0.000000001),1)))/Inputs!$B$43),G3456*Q3456))*IF(Inputs!$B$38="pvp",1,(1+(Inputs!$B$21+Skills!Q11+(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7">
      <c r="A3457">
        <f>Skills!A12</f>
        <v/>
      </c>
      <c r="B3457">
        <f>Skills!B12</f>
        <v/>
      </c>
      <c r="C3457">
        <f>Inputs!$B$3&gt;=100</f>
        <v/>
      </c>
      <c r="D3457">
        <f>IF(Skills!C12=1,60+Inputs!$B$25+Inputs!$B$29,IF(Skills!C12=2,90+Inputs!$B$26+Inputs!$B$29,IF(Skills!C12=3,120+Inputs!$B$27+Inputs!$B$29,MAX(0,(Inputs!$B$3-100)*3)+Inputs!$B$28+Inputs!$B$29)))</f>
        <v/>
      </c>
      <c r="E3457">
        <f>INDEX(FactorTable!$B$2:$Y$301, MATCH(ROUND(MIN(300,MAX(1,D3457)),0), FactorTable!$A$2:$A$301,0), Skills!M12+1)</f>
        <v/>
      </c>
      <c r="F3457">
        <f>IF(Skills!N12=TRUE,(Skills!L12/10)*(E3457/1000),Skills!L12/10)+Skills!O12</f>
        <v/>
      </c>
      <c r="G3457" t="inlineStr"/>
      <c r="H3457" t="inlineStr"/>
      <c r="I3457" t="inlineStr">
        <is>
          <t>1</t>
        </is>
      </c>
      <c r="J3457" t="inlineStr"/>
      <c r="K3457" t="inlineStr"/>
      <c r="L3457" t="inlineStr"/>
      <c r="M3457" t="inlineStr"/>
      <c r="N3457" t="inlineStr"/>
      <c r="O3457" t="inlineStr"/>
      <c r="P3457" t="inlineStr"/>
      <c r="Q3457" t="inlineStr"/>
      <c r="R3457" t="inlineStr"/>
      <c r="S3457" t="inlineStr"/>
      <c r="T3457" t="inlineStr"/>
      <c r="V3457" t="inlineStr"/>
    </row>
    <row r="3458">
      <c r="A3458">
        <f>Skills!A13</f>
        <v/>
      </c>
      <c r="B3458">
        <f>Skills!B13</f>
        <v/>
      </c>
      <c r="C3458">
        <f>Inputs!$B$3&gt;=60</f>
        <v/>
      </c>
      <c r="D3458">
        <f>IF(Skills!C13=1,60+Inputs!$B$25+Inputs!$B$29,IF(Skills!C13=2,90+Inputs!$B$26+Inputs!$B$29,IF(Skills!C13=3,120+Inputs!$B$27+Inputs!$B$29,MAX(0,(Inputs!$B$3-100)*3)+Inputs!$B$28+Inputs!$B$29)))</f>
        <v/>
      </c>
      <c r="E3458">
        <f>INDEX(FactorTable!$B$2:$Y$301, MATCH(ROUND(MIN(300,MAX(1,D3458)),0), FactorTable!$A$2:$A$301,0), Skills!M13+1)</f>
        <v/>
      </c>
      <c r="F3458">
        <f>IF(Skills!N13=TRUE,(Skills!L13/10)*(E3458/1000),Skills!L13/10)+Skills!O13</f>
        <v/>
      </c>
      <c r="G3458">
        <f>Skills!G13*IF(Skills!H13&gt;0,INT(IF(Inputs!$B$38="pvp",MIN(Skills!I13,15),Skills!I13)/Skills!H13+0.000000001),1)</f>
        <v/>
      </c>
      <c r="H3458">
        <f>1-(1-Skills!J13/100)^Skills!K13</f>
        <v/>
      </c>
      <c r="I3458" t="inlineStr">
        <is>
          <t>1</t>
        </is>
      </c>
      <c r="J3458">
        <f>((Inputs!$B$6*(1+Inputs!$B$7/100))+(((Inputs!$B$12*(1+Inputs!$B$13/100))-(Inputs!$B$12*(1+Inputs!$B$13/100)))+0.25*(Inputs!$B$14-Inputs!$B$14))*(1+Inputs!$B$7/100))*(F3458/100)</f>
        <v/>
      </c>
      <c r="K3458">
        <f>J3458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3459=TRUE,F3459,0)/100)*(1+(IF(Skills!A13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3458)</f>
        <v/>
      </c>
      <c r="L3458">
        <f>K3458*(MIN(Inputs!$B$22+((C3471=TRUE)*(F3471-Calc!F26)),(Inputs!$B$23+((C3476=TRUE)*(F3476-Calc!F31))+(IF(ArtifactsInput!$M$15,CHOOSE(ArtifactsInput!$N$15+1,25,30,35,40,45,50)/100*(Inputs!$B$11-Inputs!$B$11),0))))/100+(Inputs!$B$23+((C3476=TRUE)*(F3476-Calc!F31))+(IF(ArtifactsInput!$M$15,CHOOSE(ArtifactsInput!$N$15+1,25,30,35,40,45,50)/100*(Inputs!$B$11-Inputs!$B$11),0)))/100)/2</f>
        <v/>
      </c>
      <c r="M3458">
        <f>L3458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8">
        <f>L3458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8">
        <f>(1-Summary!$B$11)*T3458+Summary!$B$11*V3458</f>
        <v/>
      </c>
      <c r="P3458">
        <f>IF(B3490=0,0,O3458/B3490)</f>
        <v/>
      </c>
      <c r="Q3458">
        <f>IFERROR(1/(IF(Inputs!$B$38="pvp",15,MAX(0.1,IF(Inputs!$B$3&gt;=122,3,5)+1/(((20+30*(B3482-1)*100/150)/100)*B3482)-IF(FALSE=TRUE,4.5,0)))*(1-IF(AND(ArtifactsInput!$M$27,Inputs!$B$4="Chapter Hunt"),CHOOSE(ArtifactsInput!$N$27+1,20,24,28,32,36,40),0)/100)),0)</f>
        <v/>
      </c>
      <c r="R3458">
        <f>IF(AND(Inputs!$B$38&lt;&gt;"pvp",Inputs!$B$43&gt;0),IF(MAX(0,Inputs!$B$43-B3487)&lt;=0,0,(INT(MAX(0,Inputs!$B$43-B3487)/(IF(Inputs!$B$38="pvp",15,MAX(0.1,IF(Inputs!$B$3&gt;=122,3,5)+1/(((20+30*(B3482-1)*100/150)/100)*B3482)-IF(FALSE=TRUE,4.5,0)))*(1-IF(AND(ArtifactsInput!$M$27,Inputs!$B$4="Chapter Hunt"),CHOOSE(ArtifactsInput!$N$27+1,20,24,28,32,36,40),0)/100)))+1)),0)</f>
        <v/>
      </c>
      <c r="S3458">
        <f>IFERROR(O3458/N3458,0)</f>
        <v/>
      </c>
      <c r="T3458">
        <f>IF(C3458,(H3458*N3458*IF(AND(Inputs!$B$38&lt;&gt;"pvp",Inputs!$B$43&gt;0),((Skills!G13*((R3458-1)*IF(Skills!H13&gt;0,INT(Skills!I13/Skills!H13+0.000000001),1)+IF(Skills!H13&gt;0,INT(MIN(Skills!I13,MAX(0,MAX(0,Inputs!$B$43-B3487)-((R3458-1)*(IF(Inputs!$B$38="pvp",15,MAX(0.1,IF(Inputs!$B$3&gt;=122,3,5)+1/(((20+30*(B3482-1)*100/150)/100)*B3482)-IF(FALSE=TRUE,4.5,0)))*(1-IF(AND(ArtifactsInput!$M$27,Inputs!$B$4="Chapter Hunt"),CHOOSE(ArtifactsInput!$N$27+1,20,24,28,32,36,40),0)/100)))))/Skills!H13+0.000000001),1)))/Inputs!$B$43),G3458*Q3458)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8">
        <f>IF(C3458,(H3458*N3458*IF(AND(Inputs!$B$38&lt;&gt;"pvp",Inputs!$B$43&gt;0),((Skills!G13*((R3458-1)*IF(Skills!H13&gt;0,INT(Skills!I13/Skills!H13+0.000000001),1)+IF(Skills!H13&gt;0,INT(MIN(Skills!I13,MAX(0,MAX(0,Inputs!$B$43-B3487)-((R3458-1)*(IF(Inputs!$B$38="pvp",15,MAX(0.1,IF(Inputs!$B$3&gt;=122,3,5)+1/(((20+30*(B3482-1)*100/150)/100)*B3482)-IF(FALSE=TRUE,4.5,0)))*(1-IF(AND(ArtifactsInput!$M$27,Inputs!$B$4="Chapter Hunt"),CHOOSE(ArtifactsInput!$N$27+1,20,24,28,32,36,40),0)/100)))))/Skills!H13+0.000000001),1)))/Inputs!$B$43),G3458*Q3458))*IF(Inputs!$B$38="pvp",1,(1+(Inputs!$B$21+Skills!Q13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9">
      <c r="A3459">
        <f>Skills!A14</f>
        <v/>
      </c>
      <c r="B3459">
        <f>Skills!B14</f>
        <v/>
      </c>
      <c r="C3459">
        <f>Inputs!$B$3&gt;=110</f>
        <v/>
      </c>
      <c r="D3459">
        <f>IF(Skills!C14=1,60+Inputs!$B$25+Inputs!$B$29,IF(Skills!C14=2,90+Inputs!$B$26+Inputs!$B$29,IF(Skills!C14=3,120+Inputs!$B$27+Inputs!$B$29,MAX(0,(Inputs!$B$3-100)*3)+Inputs!$B$28+Inputs!$B$29)))</f>
        <v/>
      </c>
      <c r="E3459">
        <f>INDEX(FactorTable!$B$2:$Y$301, MATCH(ROUND(MIN(300,MAX(1,D3459)),0), FactorTable!$A$2:$A$301,0), Skills!M14+1)</f>
        <v/>
      </c>
      <c r="F3459">
        <f>IF(Skills!N14=TRUE,(Skills!L14/10)*(E3459/1000),Skills!L14/10)+Skills!O14</f>
        <v/>
      </c>
      <c r="G3459" t="inlineStr"/>
      <c r="H3459" t="inlineStr"/>
      <c r="I3459" t="inlineStr">
        <is>
          <t>1</t>
        </is>
      </c>
      <c r="J3459" t="inlineStr"/>
      <c r="K3459" t="inlineStr"/>
      <c r="L3459" t="inlineStr"/>
      <c r="M3459" t="inlineStr"/>
      <c r="N3459" t="inlineStr"/>
      <c r="O3459" t="inlineStr"/>
      <c r="P3459" t="inlineStr"/>
      <c r="Q3459" t="inlineStr"/>
      <c r="R3459" t="inlineStr"/>
      <c r="S3459" t="inlineStr"/>
      <c r="T3459" t="inlineStr"/>
      <c r="V3459" t="inlineStr"/>
    </row>
    <row r="3460">
      <c r="A3460">
        <f>Skills!A15</f>
        <v/>
      </c>
      <c r="B3460">
        <f>Skills!B15</f>
        <v/>
      </c>
      <c r="C3460">
        <f>Inputs!$B$3&gt;=74</f>
        <v/>
      </c>
      <c r="D3460">
        <f>IF(Skills!C15=1,60+Inputs!$B$25+Inputs!$B$29,IF(Skills!C15=2,90+Inputs!$B$26+Inputs!$B$29,IF(Skills!C15=3,120+Inputs!$B$27+Inputs!$B$29,MAX(0,(Inputs!$B$3-100)*3)+Inputs!$B$28+Inputs!$B$29)))</f>
        <v/>
      </c>
      <c r="E3460">
        <f>INDEX(FactorTable!$B$2:$Y$301, MATCH(ROUND(MIN(300,MAX(1,D3460)),0), FactorTable!$A$2:$A$301,0), Skills!M15+1)</f>
        <v/>
      </c>
      <c r="F3460">
        <f>IF(Skills!N15=TRUE,(Skills!L15/10)*(E3460/1000),Skills!L15/10)+Skills!O15</f>
        <v/>
      </c>
      <c r="G3460">
        <f>Skills!G15*IF(Skills!H15&gt;0,INT(IF(Inputs!$B$38="pvp",MIN(Skills!I15,15),Skills!I15)/Skills!H15+0.000000001),1)</f>
        <v/>
      </c>
      <c r="H3460">
        <f>1-(1-Skills!J15/100)^Skills!K15</f>
        <v/>
      </c>
      <c r="I3460" t="inlineStr">
        <is>
          <t>1</t>
        </is>
      </c>
      <c r="J3460" t="inlineStr"/>
      <c r="K3460" t="inlineStr"/>
      <c r="L3460" t="inlineStr"/>
      <c r="M3460" t="inlineStr"/>
      <c r="N3460" t="inlineStr"/>
      <c r="O3460">
        <f>(1-Summary!$B$11)*T3460+Summary!$B$11*V3460</f>
        <v/>
      </c>
      <c r="P3460">
        <f>IF(B3490=0,0,O3460/B3490)</f>
        <v/>
      </c>
      <c r="Q3460" t="n">
        <v>0</v>
      </c>
      <c r="R3460" t="n">
        <v>0</v>
      </c>
      <c r="S3460">
        <f>IFERROR(O3460/N3460,0)</f>
        <v/>
      </c>
      <c r="T3460" t="n">
        <v>0</v>
      </c>
      <c r="V3460" t="n">
        <v>0</v>
      </c>
    </row>
    <row r="3461">
      <c r="A3461">
        <f>Skills!A16</f>
        <v/>
      </c>
      <c r="B3461">
        <f>Skills!B16</f>
        <v/>
      </c>
      <c r="C3461">
        <f>Inputs!$B$3&gt;=74</f>
        <v/>
      </c>
      <c r="D3461">
        <f>IF(Skills!C16=1,60+Inputs!$B$25+Inputs!$B$29,IF(Skills!C16=2,90+Inputs!$B$26+Inputs!$B$29,IF(Skills!C16=3,120+Inputs!$B$27+Inputs!$B$29,MAX(0,(Inputs!$B$3-100)*3)+Inputs!$B$28+Inputs!$B$29)))</f>
        <v/>
      </c>
      <c r="E3461">
        <f>INDEX(FactorTable!$B$2:$Y$301, MATCH(ROUND(MIN(300,MAX(1,D3461)),0), FactorTable!$A$2:$A$301,0), Skills!M16+1)</f>
        <v/>
      </c>
      <c r="F3461">
        <f>IF(Skills!N16=TRUE,(Skills!L16/10)*(E3461/1000),Skills!L16/10)+Skills!O16</f>
        <v/>
      </c>
      <c r="G3461">
        <f>Skills!G16*IF(Skills!H16&gt;0,INT(IF(Inputs!$B$38="pvp",MIN(Skills!I16,15),Skills!I16)/Skills!H16+0.000000001),1)</f>
        <v/>
      </c>
      <c r="H3461">
        <f>1-(1-Skills!J16/100)^Skills!K16</f>
        <v/>
      </c>
      <c r="I3461" t="inlineStr">
        <is>
          <t>1</t>
        </is>
      </c>
      <c r="J3461" t="inlineStr"/>
      <c r="K3461" t="inlineStr"/>
      <c r="L3461" t="inlineStr"/>
      <c r="M3461" t="inlineStr"/>
      <c r="N3461" t="inlineStr"/>
      <c r="O3461">
        <f>(1-Summary!$B$11)*T3461+Summary!$B$11*V3461</f>
        <v/>
      </c>
      <c r="P3461">
        <f>IF(B3490=0,0,O3461/B3490)</f>
        <v/>
      </c>
      <c r="Q3461" t="n">
        <v>0</v>
      </c>
      <c r="R3461" t="n">
        <v>0</v>
      </c>
      <c r="S3461">
        <f>IFERROR(O3461/N3461,0)</f>
        <v/>
      </c>
      <c r="T3461" t="n">
        <v>0</v>
      </c>
      <c r="V3461" t="n">
        <v>0</v>
      </c>
    </row>
    <row r="3462">
      <c r="A3462">
        <f>Skills!A17</f>
        <v/>
      </c>
      <c r="B3462">
        <f>Skills!B17</f>
        <v/>
      </c>
      <c r="C3462">
        <f>Inputs!$B$3&gt;=117</f>
        <v/>
      </c>
      <c r="D3462">
        <f>IF(Skills!C17=1,60+Inputs!$B$25+Inputs!$B$29,IF(Skills!C17=2,90+Inputs!$B$26+Inputs!$B$29,IF(Skills!C17=3,120+Inputs!$B$27+Inputs!$B$29,MAX(0,(Inputs!$B$3-100)*3)+Inputs!$B$28+Inputs!$B$29)))</f>
        <v/>
      </c>
      <c r="E3462">
        <f>INDEX(FactorTable!$B$2:$Y$301, MATCH(ROUND(MIN(300,MAX(1,D3462)),0), FactorTable!$A$2:$A$301,0), Skills!M17+1)</f>
        <v/>
      </c>
      <c r="F3462">
        <f>IF(Skills!N17=TRUE,(Skills!L17/10)*(E3462/1000),Skills!L17/10)+Skills!O17</f>
        <v/>
      </c>
      <c r="G3462">
        <f>Skills!G17*IF(Skills!H17&gt;0,INT(IF(Inputs!$B$38="pvp",MIN(Skills!I17,15),Skills!I17)/Skills!H17+0.000000001),1)</f>
        <v/>
      </c>
      <c r="H3462">
        <f>1-(1-Skills!J17/100)^Skills!K17</f>
        <v/>
      </c>
      <c r="I3462" t="inlineStr">
        <is>
          <t>1</t>
        </is>
      </c>
      <c r="J3462" t="inlineStr"/>
      <c r="K3462" t="inlineStr"/>
      <c r="L3462" t="inlineStr"/>
      <c r="M3462" t="inlineStr"/>
      <c r="N3462" t="inlineStr"/>
      <c r="O3462">
        <f>(1-Summary!$B$11)*T3462+Summary!$B$11*V3462</f>
        <v/>
      </c>
      <c r="P3462">
        <f>IF(B3490=0,0,O3462/B3490)</f>
        <v/>
      </c>
      <c r="Q3462">
        <f>IFERROR(1/(IF(Inputs!$B$38="pvp",15,MAX(0.1,Skills!D17-IF(TRUE=TRUE,4.5,0)))*(1-IF(AND(ArtifactsInput!$M$27,Inputs!$B$4="Chapter Hunt"),CHOOSE(ArtifactsInput!$N$27+1,20,24,28,32,36,40),0)/100)),0)</f>
        <v/>
      </c>
      <c r="R3462">
        <f>IF(AND(Inputs!$B$38&lt;&gt;"pvp",Inputs!$B$43&gt;0),IF(Inputs!$B$43&lt;=0,0,(INT(Inputs!$B$43/(IF(Inputs!$B$38="pvp",15,MAX(0.1,Skills!D17-IF(TRUE=TRUE,4.5,0)))*(1-IF(AND(ArtifactsInput!$M$27,Inputs!$B$4="Chapter Hunt"),CHOOSE(ArtifactsInput!$N$27+1,20,24,28,32,36,40),0)/100)))+1)),0)</f>
        <v/>
      </c>
      <c r="S3462">
        <f>IFERROR(O3462/N3462,0)</f>
        <v/>
      </c>
      <c r="T3462" t="n">
        <v>0</v>
      </c>
      <c r="V3462" t="n">
        <v>0</v>
      </c>
    </row>
    <row r="3463">
      <c r="A3463">
        <f>Skills!A18</f>
        <v/>
      </c>
      <c r="B3463">
        <f>Skills!B18</f>
        <v/>
      </c>
      <c r="C3463">
        <f>Inputs!$B$3&gt;=115</f>
        <v/>
      </c>
      <c r="D3463">
        <f>IF(Skills!C18=1,60+Inputs!$B$25+Inputs!$B$29,IF(Skills!C18=2,90+Inputs!$B$26+Inputs!$B$29,IF(Skills!C18=3,120+Inputs!$B$27+Inputs!$B$29,MAX(0,(Inputs!$B$3-100)*3)+Inputs!$B$28+Inputs!$B$29)))</f>
        <v/>
      </c>
      <c r="E3463">
        <f>INDEX(FactorTable!$B$2:$Y$301, MATCH(ROUND(MIN(300,MAX(1,D3463)),0), FactorTable!$A$2:$A$301,0), Skills!M18+1)</f>
        <v/>
      </c>
      <c r="F3463">
        <f>IF(Skills!N18=TRUE,(Skills!L18/10)*(E3463/1000),Skills!L18/10)+Skills!O18</f>
        <v/>
      </c>
      <c r="G3463">
        <f>Skills!G18*IF(Skills!H18&gt;0,INT(IF(Inputs!$B$38="pvp",MIN(Skills!I18,15),Skills!I18)/Skills!H18+0.000000001),1)</f>
        <v/>
      </c>
      <c r="H3463">
        <f>1-(1-Skills!J18/100)^Skills!K18</f>
        <v/>
      </c>
      <c r="I3463" t="inlineStr">
        <is>
          <t>1</t>
        </is>
      </c>
      <c r="J3463" t="inlineStr"/>
      <c r="K3463" t="inlineStr"/>
      <c r="L3463" t="inlineStr"/>
      <c r="M3463" t="inlineStr"/>
      <c r="N3463" t="inlineStr"/>
      <c r="O3463">
        <f>(1-Summary!$B$11)*T3463+Summary!$B$11*V3463</f>
        <v/>
      </c>
      <c r="P3463">
        <f>IF(B3490=0,0,O3463/B3490)</f>
        <v/>
      </c>
      <c r="Q3463">
        <f>IFERROR(1/(IF(Inputs!$B$38="pvp",15,MAX(0.1,Skills!D18-IF(TRUE=TRUE,4.5,0)))*(1-IF(AND(ArtifactsInput!$M$27,Inputs!$B$4="Chapter Hunt"),CHOOSE(ArtifactsInput!$N$27+1,20,24,28,32,36,40),0)/100)),0)</f>
        <v/>
      </c>
      <c r="R3463">
        <f>IF(AND(Inputs!$B$38&lt;&gt;"pvp",Inputs!$B$43&gt;0),IF(Inputs!$B$43&lt;=0,0,(INT(Inputs!$B$43/(IF(Inputs!$B$38="pvp",15,MAX(0.1,Skills!D18-IF(TRUE=TRUE,4.5,0)))*(1-IF(AND(ArtifactsInput!$M$27,Inputs!$B$4="Chapter Hunt"),CHOOSE(ArtifactsInput!$N$27+1,20,24,28,32,36,40),0)/100)))+1)),0)</f>
        <v/>
      </c>
      <c r="S3463">
        <f>IFERROR(O3463/N3463,0)</f>
        <v/>
      </c>
      <c r="T3463" t="n">
        <v>0</v>
      </c>
      <c r="V3463" t="n">
        <v>0</v>
      </c>
    </row>
    <row r="3464">
      <c r="A3464">
        <f>Skills!A19</f>
        <v/>
      </c>
      <c r="B3464">
        <f>Skills!B19</f>
        <v/>
      </c>
      <c r="C3464">
        <f>Inputs!$B$3&gt;=66</f>
        <v/>
      </c>
      <c r="D3464">
        <f>IF(Skills!C19=1,60+Inputs!$B$25+Inputs!$B$29,IF(Skills!C19=2,90+Inputs!$B$26+Inputs!$B$29,IF(Skills!C19=3,120+Inputs!$B$27+Inputs!$B$29,MAX(0,(Inputs!$B$3-100)*3)+Inputs!$B$28+Inputs!$B$29)))</f>
        <v/>
      </c>
      <c r="E3464">
        <f>INDEX(FactorTable!$B$2:$Y$301, MATCH(ROUND(MIN(300,MAX(1,D3464)),0), FactorTable!$A$2:$A$301,0), Skills!M19+1)</f>
        <v/>
      </c>
      <c r="F3464">
        <f>IF(Skills!N19=TRUE,(Skills!L19/10)*(E3464/1000),Skills!L19/10)+Skills!O19</f>
        <v/>
      </c>
      <c r="G3464">
        <f>Skills!G19*IF(Skills!H19&gt;0,INT(IF(Inputs!$B$38="pvp",MIN(Skills!I19,15),Skills!I19)/Skills!H19+0.000000001),1)</f>
        <v/>
      </c>
      <c r="H3464">
        <f>1-(1-Skills!J19/100)^Skills!K19</f>
        <v/>
      </c>
      <c r="I3464" t="inlineStr">
        <is>
          <t>1</t>
        </is>
      </c>
      <c r="J3464" t="inlineStr"/>
      <c r="K3464" t="inlineStr"/>
      <c r="L3464" t="inlineStr"/>
      <c r="M3464" t="inlineStr"/>
      <c r="N3464" t="inlineStr"/>
      <c r="O3464">
        <f>(1-Summary!$B$11)*T3464+Summary!$B$11*V3464</f>
        <v/>
      </c>
      <c r="P3464">
        <f>IF(B3490=0,0,O3464/B3490)</f>
        <v/>
      </c>
      <c r="Q3464" t="n">
        <v>0</v>
      </c>
      <c r="R3464" t="n">
        <v>0</v>
      </c>
      <c r="S3464">
        <f>IFERROR(O3464/N3464,0)</f>
        <v/>
      </c>
      <c r="T3464" t="n">
        <v>0</v>
      </c>
      <c r="V3464" t="n">
        <v>0</v>
      </c>
    </row>
    <row r="3465">
      <c r="A3465">
        <f>Skills!A20</f>
        <v/>
      </c>
      <c r="B3465">
        <f>Skills!B20</f>
        <v/>
      </c>
      <c r="C3465">
        <f>Inputs!$B$3&gt;=72</f>
        <v/>
      </c>
      <c r="D3465">
        <f>IF(Skills!C20=1,60+Inputs!$B$25+Inputs!$B$29,IF(Skills!C20=2,90+Inputs!$B$26+Inputs!$B$29,IF(Skills!C20=3,120+Inputs!$B$27+Inputs!$B$29,MAX(0,(Inputs!$B$3-100)*3)+Inputs!$B$28+Inputs!$B$29)))</f>
        <v/>
      </c>
      <c r="E3465">
        <f>INDEX(FactorTable!$B$2:$Y$301, MATCH(ROUND(MIN(300,MAX(1,D3465)),0), FactorTable!$A$2:$A$301,0), Skills!M20+1)</f>
        <v/>
      </c>
      <c r="F3465">
        <f>IF(Skills!N20=TRUE,(Skills!L20/10)*(E3465/1000),Skills!L20/10)+Skills!O20</f>
        <v/>
      </c>
      <c r="G3465">
        <f>Skills!G20*IF(Skills!H20&gt;0,INT(IF(Inputs!$B$38="pvp",MIN(Skills!I20,15),Skills!I20)/Skills!H20+0.000000001),1)</f>
        <v/>
      </c>
      <c r="H3465">
        <f>1-(1-Skills!J20/100)^Skills!K20</f>
        <v/>
      </c>
      <c r="I3465" t="inlineStr">
        <is>
          <t>1</t>
        </is>
      </c>
      <c r="J3465" t="inlineStr"/>
      <c r="K3465" t="inlineStr"/>
      <c r="L3465" t="inlineStr"/>
      <c r="M3465" t="inlineStr"/>
      <c r="N3465" t="inlineStr"/>
      <c r="O3465">
        <f>(1-Summary!$B$11)*T3465+Summary!$B$11*V3465</f>
        <v/>
      </c>
      <c r="P3465">
        <f>IF(B3490=0,0,O3465/B3490)</f>
        <v/>
      </c>
      <c r="Q3465" t="n">
        <v>0</v>
      </c>
      <c r="R3465" t="n">
        <v>0</v>
      </c>
      <c r="S3465">
        <f>IFERROR(O3465/N3465,0)</f>
        <v/>
      </c>
      <c r="T3465" t="n">
        <v>0</v>
      </c>
      <c r="V3465" t="n">
        <v>0</v>
      </c>
    </row>
    <row r="3466">
      <c r="A3466">
        <f>Skills!A21</f>
        <v/>
      </c>
      <c r="B3466">
        <f>Skills!B21</f>
        <v/>
      </c>
      <c r="C3466">
        <f>TRUE</f>
        <v/>
      </c>
      <c r="D3466">
        <f>IF(Skills!C21=1,60+Inputs!$B$25+Inputs!$B$29,IF(Skills!C21=2,90+Inputs!$B$26+Inputs!$B$29,IF(Skills!C21=3,120+Inputs!$B$27+Inputs!$B$29,MAX(0,(Inputs!$B$3-100)*3)+Inputs!$B$28+Inputs!$B$29)))</f>
        <v/>
      </c>
      <c r="E3466">
        <f>INDEX(FactorTable!$B$2:$Y$301, MATCH(ROUND(MIN(300,MAX(1,D3466)),0), FactorTable!$A$2:$A$301,0), Skills!M21+1)</f>
        <v/>
      </c>
      <c r="F3466">
        <f>IF(Skills!N21=TRUE,(Skills!L21/10)*(E3466/1000),Skills!L21/10)+Skills!O21</f>
        <v/>
      </c>
      <c r="G3466">
        <f>Skills!G21*IF(Skills!H21&gt;0,INT(IF(Inputs!$B$38="pvp",MIN(Skills!I21,15),Skills!I21)/Skills!H21+0.000000001),1)</f>
        <v/>
      </c>
      <c r="H3466">
        <f>1-(1-Skills!J21/100)^Skills!K21</f>
        <v/>
      </c>
      <c r="I3466" t="inlineStr">
        <is>
          <t>1</t>
        </is>
      </c>
      <c r="J3466" t="inlineStr"/>
      <c r="K3466" t="inlineStr"/>
      <c r="L3466" t="inlineStr"/>
      <c r="M3466" t="inlineStr"/>
      <c r="N3466" t="inlineStr"/>
      <c r="O3466">
        <f>(1-Summary!$B$11)*T3466+Summary!$B$11*V3466</f>
        <v/>
      </c>
      <c r="P3466">
        <f>IF(B3490=0,0,O3466/B3490)</f>
        <v/>
      </c>
      <c r="Q3466">
        <f>IFERROR(1/(IF(Inputs!$B$38="pvp",15,MAX(0.1,Skills!D21-IF(TRUE=TRUE,4.5,0)))*(1-IF(AND(ArtifactsInput!$M$27,Inputs!$B$4="Chapter Hunt"),CHOOSE(ArtifactsInput!$N$27+1,20,24,28,32,36,40),0)/100)),0)</f>
        <v/>
      </c>
      <c r="R3466">
        <f>IF(AND(Inputs!$B$38&lt;&gt;"pvp",Inputs!$B$43&gt;0),IF(Inputs!$B$43&lt;=0,0,(INT(Inputs!$B$43/(IF(Inputs!$B$38="pvp",15,MAX(0.1,Skills!D21-IF(TRUE=TRUE,4.5,0)))*(1-IF(AND(ArtifactsInput!$M$27,Inputs!$B$4="Chapter Hunt"),CHOOSE(ArtifactsInput!$N$27+1,20,24,28,32,36,40),0)/100)))+1)),0)</f>
        <v/>
      </c>
      <c r="S3466">
        <f>IFERROR(O3466/N3466,0)</f>
        <v/>
      </c>
      <c r="T3466" t="n">
        <v>0</v>
      </c>
      <c r="V3466" t="n">
        <v>0</v>
      </c>
    </row>
    <row r="3467">
      <c r="A3467">
        <f>Skills!A22</f>
        <v/>
      </c>
      <c r="B3467">
        <f>Skills!B22</f>
        <v/>
      </c>
      <c r="C3467">
        <f>Inputs!$B$3&gt;=15</f>
        <v/>
      </c>
      <c r="D3467">
        <f>IF(Skills!C22=1,60+Inputs!$B$25+Inputs!$B$29,IF(Skills!C22=2,90+Inputs!$B$26+Inputs!$B$29,IF(Skills!C22=3,120+Inputs!$B$27+Inputs!$B$29,MAX(0,(Inputs!$B$3-100)*3)+Inputs!$B$28+Inputs!$B$29)))</f>
        <v/>
      </c>
      <c r="E3467">
        <f>INDEX(FactorTable!$B$2:$Y$301, MATCH(ROUND(MIN(300,MAX(1,D3467)),0), FactorTable!$A$2:$A$301,0), Skills!M22+1)</f>
        <v/>
      </c>
      <c r="F3467">
        <f>IF(Skills!N22=TRUE,(Skills!L22/10)*(E3467/1000),Skills!L22/10)+Skills!O22</f>
        <v/>
      </c>
      <c r="G3467">
        <f>Skills!G22*IF(Skills!H22&gt;0,INT(IF(Inputs!$B$38="pvp",MIN(Skills!I22,15),Skills!I22)/Skills!H22+0.000000001),1)</f>
        <v/>
      </c>
      <c r="H3467">
        <f>1-(1-Skills!J22/100)^Skills!K22</f>
        <v/>
      </c>
      <c r="I3467" t="inlineStr">
        <is>
          <t>1</t>
        </is>
      </c>
      <c r="J3467" t="inlineStr"/>
      <c r="K3467" t="inlineStr"/>
      <c r="L3467" t="inlineStr"/>
      <c r="M3467" t="inlineStr"/>
      <c r="N3467" t="inlineStr"/>
      <c r="O3467">
        <f>(1-Summary!$B$11)*T3467+Summary!$B$11*V3467</f>
        <v/>
      </c>
      <c r="P3467">
        <f>IF(B3490=0,0,O3467/B3490)</f>
        <v/>
      </c>
      <c r="Q3467" t="n">
        <v>0</v>
      </c>
      <c r="R3467" t="n">
        <v>0</v>
      </c>
      <c r="S3467">
        <f>IFERROR(O3467/N3467,0)</f>
        <v/>
      </c>
      <c r="T3467" t="n">
        <v>0</v>
      </c>
      <c r="V3467" t="n">
        <v>0</v>
      </c>
    </row>
    <row r="3468">
      <c r="A3468">
        <f>Skills!A23</f>
        <v/>
      </c>
      <c r="B3468">
        <f>Skills!B23</f>
        <v/>
      </c>
      <c r="C3468">
        <f>Inputs!$B$3&gt;=10</f>
        <v/>
      </c>
      <c r="D3468">
        <f>IF(Skills!C23=1,60+Inputs!$B$25+Inputs!$B$29,IF(Skills!C23=2,90+Inputs!$B$26+Inputs!$B$29,IF(Skills!C23=3,120+Inputs!$B$27+Inputs!$B$29,MAX(0,(Inputs!$B$3-100)*3)+Inputs!$B$28+Inputs!$B$29)))</f>
        <v/>
      </c>
      <c r="E3468">
        <f>INDEX(FactorTable!$B$2:$Y$301, MATCH(ROUND(MIN(300,MAX(1,D3468)),0), FactorTable!$A$2:$A$301,0), Skills!M23+1)</f>
        <v/>
      </c>
      <c r="F3468">
        <f>IF(Skills!N23=TRUE,(Skills!L23/10)*(E3468/1000),Skills!L23/10)+Skills!O23</f>
        <v/>
      </c>
      <c r="G3468">
        <f>Skills!G23*IF(Skills!H23&gt;0,INT(IF(Inputs!$B$38="pvp",MIN(Skills!I23,15),Skills!I23)/Skills!H23+0.000000001),1)</f>
        <v/>
      </c>
      <c r="H3468">
        <f>1-(1-Skills!J23/100)^Skills!K23</f>
        <v/>
      </c>
      <c r="I3468" t="inlineStr">
        <is>
          <t>1</t>
        </is>
      </c>
      <c r="J3468" t="inlineStr"/>
      <c r="K3468" t="inlineStr"/>
      <c r="L3468" t="inlineStr"/>
      <c r="M3468" t="inlineStr"/>
      <c r="N3468" t="inlineStr"/>
      <c r="O3468">
        <f>(1-Summary!$B$11)*T3468+Summary!$B$11*V3468</f>
        <v/>
      </c>
      <c r="P3468">
        <f>IF(B3490=0,0,O3468/B3490)</f>
        <v/>
      </c>
      <c r="Q3468" t="n">
        <v>0</v>
      </c>
      <c r="R3468" t="n">
        <v>0</v>
      </c>
      <c r="S3468">
        <f>IFERROR(O3468/N3468,0)</f>
        <v/>
      </c>
      <c r="T3468" t="n">
        <v>0</v>
      </c>
      <c r="V3468" t="n">
        <v>0</v>
      </c>
    </row>
    <row r="3469">
      <c r="A3469">
        <f>Skills!A24</f>
        <v/>
      </c>
      <c r="B3469">
        <f>Skills!B24</f>
        <v/>
      </c>
      <c r="C3469">
        <f>Inputs!$B$3&gt;=33</f>
        <v/>
      </c>
      <c r="D3469">
        <f>IF(Skills!C24=1,60+Inputs!$B$25+Inputs!$B$29,IF(Skills!C24=2,90+Inputs!$B$26+Inputs!$B$29,IF(Skills!C24=3,120+Inputs!$B$27+Inputs!$B$29,MAX(0,(Inputs!$B$3-100)*3)+Inputs!$B$28+Inputs!$B$29)))</f>
        <v/>
      </c>
      <c r="E3469">
        <f>INDEX(FactorTable!$B$2:$Y$301, MATCH(ROUND(MIN(300,MAX(1,D3469)),0), FactorTable!$A$2:$A$301,0), Skills!M24+1)</f>
        <v/>
      </c>
      <c r="F3469">
        <f>IF(Skills!N24=TRUE,(Skills!L24/10)*(E3469/1000),Skills!L24/10)+Skills!O24</f>
        <v/>
      </c>
      <c r="G3469">
        <f>Skills!G24*IF(Skills!H24&gt;0,INT(IF(Inputs!$B$38="pvp",MIN(Skills!I24,15),Skills!I24)/Skills!H24+0.000000001),1)</f>
        <v/>
      </c>
      <c r="H3469">
        <f>1-(1-Skills!J24/100)^Skills!K24</f>
        <v/>
      </c>
      <c r="I3469" t="inlineStr">
        <is>
          <t>1</t>
        </is>
      </c>
      <c r="J3469" t="inlineStr"/>
      <c r="K3469" t="inlineStr"/>
      <c r="L3469" t="inlineStr"/>
      <c r="M3469" t="inlineStr"/>
      <c r="N3469" t="inlineStr"/>
      <c r="O3469">
        <f>(1-Summary!$B$11)*T3469+Summary!$B$11*V3469</f>
        <v/>
      </c>
      <c r="P3469">
        <f>IF(B3490=0,0,O3469/B3490)</f>
        <v/>
      </c>
      <c r="Q3469" t="n">
        <v>0</v>
      </c>
      <c r="R3469" t="n">
        <v>0</v>
      </c>
      <c r="S3469">
        <f>IFERROR(O3469/N3469,0)</f>
        <v/>
      </c>
      <c r="T3469" t="n">
        <v>0</v>
      </c>
      <c r="V3469" t="n">
        <v>0</v>
      </c>
    </row>
    <row r="3470">
      <c r="A3470">
        <f>Skills!A25</f>
        <v/>
      </c>
      <c r="B3470">
        <f>Skills!B25</f>
        <v/>
      </c>
      <c r="C3470">
        <f>Inputs!$B$3&gt;=38</f>
        <v/>
      </c>
      <c r="D3470">
        <f>IF(Skills!C25=1,60+Inputs!$B$25+Inputs!$B$29,IF(Skills!C25=2,90+Inputs!$B$26+Inputs!$B$29,IF(Skills!C25=3,120+Inputs!$B$27+Inputs!$B$29,MAX(0,(Inputs!$B$3-100)*3)+Inputs!$B$28+Inputs!$B$29)))</f>
        <v/>
      </c>
      <c r="E3470">
        <f>INDEX(FactorTable!$B$2:$Y$301, MATCH(ROUND(MIN(300,MAX(1,D3470)),0), FactorTable!$A$2:$A$301,0), Skills!M25+1)</f>
        <v/>
      </c>
      <c r="F3470">
        <f>IF(Skills!N25=TRUE,(Skills!L25/10)*(E3470/1000),Skills!L25/10)+Skills!O25</f>
        <v/>
      </c>
      <c r="G3470">
        <f>Skills!G25*IF(Skills!H25&gt;0,INT(IF(Inputs!$B$38="pvp",MIN(Skills!I25,15),Skills!I25)/Skills!H25+0.000000001),1)</f>
        <v/>
      </c>
      <c r="H3470">
        <f>1-(1-Skills!J25/100)^Skills!K25</f>
        <v/>
      </c>
      <c r="I3470" t="inlineStr">
        <is>
          <t>1</t>
        </is>
      </c>
      <c r="J3470" t="inlineStr"/>
      <c r="K3470" t="inlineStr"/>
      <c r="L3470" t="inlineStr"/>
      <c r="M3470" t="inlineStr"/>
      <c r="N3470" t="inlineStr"/>
      <c r="O3470">
        <f>(1-Summary!$B$11)*T3470+Summary!$B$11*V3470</f>
        <v/>
      </c>
      <c r="P3470">
        <f>IF(B3490=0,0,O3470/B3490)</f>
        <v/>
      </c>
      <c r="Q3470" t="n">
        <v>0</v>
      </c>
      <c r="R3470" t="n">
        <v>0</v>
      </c>
      <c r="S3470">
        <f>IFERROR(O3470/N3470,0)</f>
        <v/>
      </c>
      <c r="T3470" t="n">
        <v>0</v>
      </c>
      <c r="V3470" t="n">
        <v>0</v>
      </c>
    </row>
    <row r="3471">
      <c r="A3471">
        <f>Skills!A26</f>
        <v/>
      </c>
      <c r="B3471">
        <f>Skills!B26</f>
        <v/>
      </c>
      <c r="C3471">
        <f>Inputs!$B$3&gt;=43</f>
        <v/>
      </c>
      <c r="D3471">
        <f>IF(Skills!C26=1,60+Inputs!$B$25+Inputs!$B$29,IF(Skills!C26=2,90+Inputs!$B$26+Inputs!$B$29,IF(Skills!C26=3,120+Inputs!$B$27+Inputs!$B$29,MAX(0,(Inputs!$B$3-100)*3)+Inputs!$B$28+Inputs!$B$29)))</f>
        <v/>
      </c>
      <c r="E3471">
        <f>INDEX(FactorTable!$B$2:$Y$301, MATCH(ROUND(MIN(300,MAX(1,D3471)),0), FactorTable!$A$2:$A$301,0), Skills!M26+1)</f>
        <v/>
      </c>
      <c r="F3471">
        <f>IF(Skills!N26=TRUE,(Skills!L26/10)*(E3471/1000),Skills!L26/10)+Skills!O26</f>
        <v/>
      </c>
      <c r="G3471">
        <f>Skills!G26*IF(Skills!H26&gt;0,INT(IF(Inputs!$B$38="pvp",MIN(Skills!I26,15),Skills!I26)/Skills!H26+0.000000001),1)</f>
        <v/>
      </c>
      <c r="H3471">
        <f>1-(1-Skills!J26/100)^Skills!K26</f>
        <v/>
      </c>
      <c r="I3471" t="inlineStr">
        <is>
          <t>1</t>
        </is>
      </c>
      <c r="J3471" t="inlineStr"/>
      <c r="K3471" t="inlineStr"/>
      <c r="L3471" t="inlineStr"/>
      <c r="M3471" t="inlineStr"/>
      <c r="N3471" t="inlineStr"/>
      <c r="O3471">
        <f>(1-Summary!$B$11)*T3471+Summary!$B$11*V3471</f>
        <v/>
      </c>
      <c r="P3471">
        <f>IF(B3490=0,0,O3471/B3490)</f>
        <v/>
      </c>
      <c r="Q3471" t="n">
        <v>0</v>
      </c>
      <c r="R3471" t="n">
        <v>0</v>
      </c>
      <c r="S3471">
        <f>IFERROR(O3471/N3471,0)</f>
        <v/>
      </c>
      <c r="T3471" t="n">
        <v>0</v>
      </c>
      <c r="V3471" t="n">
        <v>0</v>
      </c>
    </row>
    <row r="3472">
      <c r="A3472">
        <f>Skills!A27</f>
        <v/>
      </c>
      <c r="B3472">
        <f>Skills!B27</f>
        <v/>
      </c>
      <c r="C3472">
        <f>Inputs!$B$3&gt;=75</f>
        <v/>
      </c>
      <c r="D3472">
        <f>IF(Skills!C27=1,60+Inputs!$B$25+Inputs!$B$29,IF(Skills!C27=2,90+Inputs!$B$26+Inputs!$B$29,IF(Skills!C27=3,120+Inputs!$B$27+Inputs!$B$29,MAX(0,(Inputs!$B$3-100)*3)+Inputs!$B$28+Inputs!$B$29)))</f>
        <v/>
      </c>
      <c r="E3472">
        <f>INDEX(FactorTable!$B$2:$Y$301, MATCH(ROUND(MIN(300,MAX(1,D3472)),0), FactorTable!$A$2:$A$301,0), Skills!M27+1)</f>
        <v/>
      </c>
      <c r="F3472">
        <f>IF(Skills!N27=TRUE,(Skills!L27/10)*(E3472/1000),Skills!L27/10)+Skills!O27</f>
        <v/>
      </c>
      <c r="G3472">
        <f>Skills!G27*IF(Skills!H27&gt;0,INT(IF(Inputs!$B$38="pvp",MIN(Skills!I27,15),Skills!I27)/Skills!H27+0.000000001),1)</f>
        <v/>
      </c>
      <c r="H3472">
        <f>1-(1-Skills!J27/100)^Skills!K27</f>
        <v/>
      </c>
      <c r="I3472" t="inlineStr">
        <is>
          <t>1</t>
        </is>
      </c>
      <c r="J3472" t="inlineStr"/>
      <c r="K3472" t="inlineStr"/>
      <c r="L3472" t="inlineStr"/>
      <c r="M3472" t="inlineStr"/>
      <c r="N3472" t="inlineStr"/>
      <c r="O3472">
        <f>(1-Summary!$B$11)*T3472+Summary!$B$11*V3472</f>
        <v/>
      </c>
      <c r="P3472">
        <f>IF(B3490=0,0,O3472/B3490)</f>
        <v/>
      </c>
      <c r="Q3472" t="n">
        <v>0</v>
      </c>
      <c r="R3472" t="n">
        <v>0</v>
      </c>
      <c r="S3472">
        <f>IFERROR(O3472/N3472,0)</f>
        <v/>
      </c>
      <c r="T3472" t="n">
        <v>0</v>
      </c>
      <c r="V3472" t="n">
        <v>0</v>
      </c>
    </row>
    <row r="3473">
      <c r="A3473">
        <f>Skills!A28</f>
        <v/>
      </c>
      <c r="B3473">
        <f>Skills!B28</f>
        <v/>
      </c>
      <c r="C3473">
        <f>Inputs!$B$3&gt;=125</f>
        <v/>
      </c>
      <c r="D3473">
        <f>IF(Skills!C28=1,60+Inputs!$B$25+Inputs!$B$29,IF(Skills!C28=2,90+Inputs!$B$26+Inputs!$B$29,IF(Skills!C28=3,120+Inputs!$B$27+Inputs!$B$29,MAX(0,(Inputs!$B$3-100)*3)+Inputs!$B$28+Inputs!$B$29)))</f>
        <v/>
      </c>
      <c r="E3473">
        <f>INDEX(FactorTable!$B$2:$Y$301, MATCH(ROUND(MIN(300,MAX(1,D3473)),0), FactorTable!$A$2:$A$301,0), Skills!M28+1)</f>
        <v/>
      </c>
      <c r="F3473">
        <f>IF(Skills!N28=TRUE,(Skills!L28/10)*(E3473/1000),Skills!L28/10)+Skills!O28</f>
        <v/>
      </c>
      <c r="G3473">
        <f>Skills!G28*IF(Skills!H28&gt;0,INT(IF(Inputs!$B$38="pvp",MIN(Skills!I28,15),Skills!I28)/Skills!H28+0.000000001),1)</f>
        <v/>
      </c>
      <c r="H3473">
        <f>1-(1-Skills!J28/100)^Skills!K28</f>
        <v/>
      </c>
      <c r="I3473" t="inlineStr">
        <is>
          <t>1</t>
        </is>
      </c>
      <c r="J3473" t="inlineStr"/>
      <c r="K3473" t="inlineStr"/>
      <c r="L3473" t="inlineStr"/>
      <c r="M3473" t="inlineStr"/>
      <c r="N3473" t="inlineStr"/>
      <c r="O3473">
        <f>(1-Summary!$B$11)*T3473+Summary!$B$11*V3473</f>
        <v/>
      </c>
      <c r="P3473">
        <f>IF(B3490=0,0,O3473/B3490)</f>
        <v/>
      </c>
      <c r="Q3473" t="n">
        <v>0</v>
      </c>
      <c r="R3473" t="n">
        <v>0</v>
      </c>
      <c r="S3473">
        <f>IFERROR(O3473/N3473,0)</f>
        <v/>
      </c>
      <c r="T3473" t="n">
        <v>0</v>
      </c>
      <c r="V3473" t="n">
        <v>0</v>
      </c>
    </row>
    <row r="3474">
      <c r="A3474">
        <f>Skills!A29</f>
        <v/>
      </c>
      <c r="B3474">
        <f>Skills!B29</f>
        <v/>
      </c>
      <c r="C3474">
        <f>Inputs!$B$3&gt;=125</f>
        <v/>
      </c>
      <c r="D3474">
        <f>IF(Skills!C29=1,60+Inputs!$B$25+Inputs!$B$29,IF(Skills!C29=2,90+Inputs!$B$26+Inputs!$B$29,IF(Skills!C29=3,120+Inputs!$B$27+Inputs!$B$29,MAX(0,(Inputs!$B$3-100)*3)+Inputs!$B$28+Inputs!$B$29)))</f>
        <v/>
      </c>
      <c r="E3474">
        <f>INDEX(FactorTable!$B$2:$Y$301, MATCH(ROUND(MIN(300,MAX(1,D3474)),0), FactorTable!$A$2:$A$301,0), Skills!M29+1)</f>
        <v/>
      </c>
      <c r="F3474">
        <f>IF(Skills!N29=TRUE,(Skills!L29/10)*(E3474/1000),Skills!L29/10)+Skills!O29</f>
        <v/>
      </c>
      <c r="G3474">
        <f>Skills!G29*IF(Skills!H29&gt;0,INT(IF(Inputs!$B$38="pvp",MIN(Skills!I29,15),Skills!I29)/Skills!H29+0.000000001),1)</f>
        <v/>
      </c>
      <c r="H3474">
        <f>1-(1-Skills!J29/100)^Skills!K29</f>
        <v/>
      </c>
      <c r="I3474" t="inlineStr">
        <is>
          <t>1</t>
        </is>
      </c>
      <c r="J3474" t="inlineStr"/>
      <c r="K3474" t="inlineStr"/>
      <c r="L3474" t="inlineStr"/>
      <c r="M3474" t="inlineStr"/>
      <c r="N3474" t="inlineStr"/>
      <c r="O3474">
        <f>(1-Summary!$B$11)*T3474+Summary!$B$11*V3474</f>
        <v/>
      </c>
      <c r="P3474">
        <f>IF(B3490=0,0,O3474/B3490)</f>
        <v/>
      </c>
      <c r="Q3474" t="n">
        <v>0</v>
      </c>
      <c r="R3474" t="n">
        <v>0</v>
      </c>
      <c r="S3474">
        <f>IFERROR(O3474/N3474,0)</f>
        <v/>
      </c>
      <c r="T3474" t="n">
        <v>0</v>
      </c>
      <c r="V3474" t="n">
        <v>0</v>
      </c>
    </row>
    <row r="3475">
      <c r="A3475">
        <f>Skills!A30</f>
        <v/>
      </c>
      <c r="B3475">
        <f>Skills!B30</f>
        <v/>
      </c>
      <c r="C3475">
        <f>Inputs!$B$3&gt;=120</f>
        <v/>
      </c>
      <c r="D3475">
        <f>IF(Skills!C30=1,60+Inputs!$B$25+Inputs!$B$29,IF(Skills!C30=2,90+Inputs!$B$26+Inputs!$B$29,IF(Skills!C30=3,120+Inputs!$B$27+Inputs!$B$29,MAX(0,(Inputs!$B$3-100)*3)+Inputs!$B$28+Inputs!$B$29)))</f>
        <v/>
      </c>
      <c r="E3475">
        <f>INDEX(FactorTable!$B$2:$Y$301, MATCH(ROUND(MIN(300,MAX(1,D3475)),0), FactorTable!$A$2:$A$301,0), Skills!M30+1)</f>
        <v/>
      </c>
      <c r="F3475">
        <f>IF(Skills!N30=TRUE,(Skills!L30/10)*(E3475/1000),Skills!L30/10)+Skills!O30</f>
        <v/>
      </c>
      <c r="G3475">
        <f>Skills!G30*IF(Skills!H30&gt;0,INT(IF(Inputs!$B$38="pvp",MIN(Skills!I30,15),Skills!I30)/Skills!H30+0.000000001),1)</f>
        <v/>
      </c>
      <c r="H3475">
        <f>1-(1-Skills!J30/100)^Skills!K30</f>
        <v/>
      </c>
      <c r="I3475" t="inlineStr">
        <is>
          <t>1</t>
        </is>
      </c>
      <c r="J3475" t="inlineStr"/>
      <c r="K3475" t="inlineStr"/>
      <c r="L3475" t="inlineStr"/>
      <c r="M3475" t="inlineStr"/>
      <c r="N3475" t="inlineStr"/>
      <c r="O3475">
        <f>(1-Summary!$B$11)*T3475+Summary!$B$11*V3475</f>
        <v/>
      </c>
      <c r="P3475">
        <f>IF(B3490=0,0,O3475/B3490)</f>
        <v/>
      </c>
      <c r="Q3475" t="n">
        <v>0</v>
      </c>
      <c r="R3475" t="n">
        <v>0</v>
      </c>
      <c r="S3475">
        <f>IFERROR(O3475/N3475,0)</f>
        <v/>
      </c>
      <c r="T3475" t="n">
        <v>0</v>
      </c>
      <c r="V3475" t="n">
        <v>0</v>
      </c>
    </row>
    <row r="3476">
      <c r="A3476">
        <f>Skills!A31</f>
        <v/>
      </c>
      <c r="B3476">
        <f>Skills!B31</f>
        <v/>
      </c>
      <c r="C3476">
        <f>Inputs!$B$3&gt;=120</f>
        <v/>
      </c>
      <c r="D3476">
        <f>IF(Skills!C31=1,60+Inputs!$B$25+Inputs!$B$29,IF(Skills!C31=2,90+Inputs!$B$26+Inputs!$B$29,IF(Skills!C31=3,120+Inputs!$B$27+Inputs!$B$29,MAX(0,(Inputs!$B$3-100)*3)+Inputs!$B$28+Inputs!$B$29)))</f>
        <v/>
      </c>
      <c r="E3476">
        <f>INDEX(FactorTable!$B$2:$Y$301, MATCH(ROUND(MIN(300,MAX(1,D3476)),0), FactorTable!$A$2:$A$301,0), Skills!M31+1)</f>
        <v/>
      </c>
      <c r="F3476">
        <f>IF(Skills!N31=TRUE,(Skills!L31/10)*(E3476/1000),Skills!L31/10)+Skills!O31</f>
        <v/>
      </c>
      <c r="G3476">
        <f>Skills!G31*IF(Skills!H31&gt;0,INT(IF(Inputs!$B$38="pvp",MIN(Skills!I31,15),Skills!I31)/Skills!H31+0.000000001),1)</f>
        <v/>
      </c>
      <c r="H3476">
        <f>1-(1-Skills!J31/100)^Skills!K31</f>
        <v/>
      </c>
      <c r="I3476" t="inlineStr">
        <is>
          <t>1</t>
        </is>
      </c>
      <c r="J3476" t="inlineStr"/>
      <c r="K3476" t="inlineStr"/>
      <c r="L3476" t="inlineStr"/>
      <c r="M3476" t="inlineStr"/>
      <c r="N3476" t="inlineStr"/>
      <c r="O3476">
        <f>(1-Summary!$B$11)*T3476+Summary!$B$11*V3476</f>
        <v/>
      </c>
      <c r="P3476">
        <f>IF(B3490=0,0,O3476/B3490)</f>
        <v/>
      </c>
      <c r="Q3476" t="n">
        <v>0</v>
      </c>
      <c r="R3476" t="n">
        <v>0</v>
      </c>
      <c r="S3476">
        <f>IFERROR(O3476/N3476,0)</f>
        <v/>
      </c>
      <c r="T3476" t="n">
        <v>0</v>
      </c>
      <c r="V3476" t="n">
        <v>0</v>
      </c>
    </row>
    <row r="3477">
      <c r="A3477">
        <f>Skills!A32</f>
        <v/>
      </c>
      <c r="B3477">
        <f>Skills!B32</f>
        <v/>
      </c>
      <c r="C3477">
        <f>Inputs!$B$3&gt;=45</f>
        <v/>
      </c>
      <c r="D3477">
        <f>IF(Skills!C32=1,60+Inputs!$B$25+Inputs!$B$29,IF(Skills!C32=2,90+Inputs!$B$26+Inputs!$B$29,IF(Skills!C32=3,120+Inputs!$B$27+Inputs!$B$29,MAX(0,(Inputs!$B$3-100)*3)+Inputs!$B$28+Inputs!$B$29)))</f>
        <v/>
      </c>
      <c r="E3477">
        <f>INDEX(FactorTable!$B$2:$Y$301, MATCH(ROUND(MIN(300,MAX(1,D3477)),0), FactorTable!$A$2:$A$301,0), Skills!M32+1)</f>
        <v/>
      </c>
      <c r="F3477">
        <f>IF(Skills!N32=TRUE,(Skills!L32/10)*(E3477/1000),Skills!L32/10)+Skills!O32</f>
        <v/>
      </c>
      <c r="G3477">
        <f>Skills!G32*IF(Skills!H32&gt;0,INT(IF(Inputs!$B$38="pvp",MIN(Skills!I32,15),Skills!I32)/Skills!H32+0.000000001),1)</f>
        <v/>
      </c>
      <c r="H3477">
        <f>1-(1-Skills!J32/100)^Skills!K32</f>
        <v/>
      </c>
      <c r="I3477" t="inlineStr">
        <is>
          <t>1</t>
        </is>
      </c>
      <c r="J3477" t="inlineStr"/>
      <c r="K3477" t="inlineStr"/>
      <c r="L3477" t="inlineStr"/>
      <c r="M3477" t="inlineStr"/>
      <c r="N3477" t="inlineStr"/>
      <c r="O3477">
        <f>(1-Summary!$B$11)*T3477+Summary!$B$11*V3477</f>
        <v/>
      </c>
      <c r="P3477">
        <f>IF(B3490=0,0,O3477/B3490)</f>
        <v/>
      </c>
      <c r="Q3477" t="n">
        <v>0</v>
      </c>
      <c r="R3477" t="n">
        <v>0</v>
      </c>
      <c r="S3477">
        <f>IFERROR(O3477/N3477,0)</f>
        <v/>
      </c>
      <c r="T3477" t="n">
        <v>0</v>
      </c>
      <c r="V3477" t="n">
        <v>0</v>
      </c>
    </row>
    <row r="3479">
      <c r="A3479" t="inlineStr">
        <is>
          <t>Attack% Bucket Multiplier</t>
        </is>
      </c>
      <c r="B3479">
        <f>(1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80">
      <c r="A3480" t="inlineStr">
        <is>
          <t>Global Crit Rate Bonus %</t>
        </is>
      </c>
      <c r="B3480" t="n">
        <v>0</v>
      </c>
    </row>
    <row r="3481">
      <c r="A3481" t="inlineStr">
        <is>
          <t>Attack Speed Buff Bonus %</t>
        </is>
      </c>
      <c r="B3481">
        <f>((C3466=TRUE)*F3466*IF(AND(Inputs!$B$38&lt;&gt;"pvp",Inputs!$B$43&gt;0),(((R3466-1)*MIN((Skills!T21*(1+Inputs!$B$34/100)),(1/Q3466))+MIN((Skills!T21*(1+Inputs!$B$34/100)),MAX(0,Inputs!$B$43-((R3466-1)*(1/Q3466)))))/Inputs!$B$43),IF(Inputs!$B$38="pvp",MIN((Skills!T21*(1+Inputs!$B$34/100)),15)/15,MIN(1,(Skills!T21*(1+Inputs!$B$34/100))/(1/Q3466)))))</f>
        <v/>
      </c>
    </row>
    <row r="3482">
      <c r="A3482" t="inlineStr">
        <is>
          <t>Actions Per Second</t>
        </is>
      </c>
      <c r="B3482">
        <f>1+MIN(150,150*(1-(1-(Inputs!$B$11+((C3468=TRUE)*(F3468-Calc!F23))+((C3469=TRUE)*(F3469-Calc!F24)))/150)*(1-B3481/150)))/100</f>
        <v/>
      </c>
    </row>
    <row r="3483">
      <c r="A3483" t="inlineStr">
        <is>
          <t>Skill + Buff Cast Rate</t>
        </is>
      </c>
      <c r="B3483">
        <f>IF(AND(Inputs!$B$38&lt;&gt;"pvp",Inputs!$B$43&gt;0),SUMPRODUCT((Skills!E2:E32=TRUE)*(C3447:C3477=TRUE)*R3447:R3477*Skills!F2:F32)/Inputs!$B$43,SUMPRODUCT((Skills!E2:E32=TRUE)*(C3447:C3477=TRUE)*Q3447:Q3477*Skills!F2:F32))</f>
        <v/>
      </c>
    </row>
    <row r="3484">
      <c r="A3484" t="inlineStr">
        <is>
          <t>Arrow Stream Casts Per Second</t>
        </is>
      </c>
      <c r="B3484">
        <f>MAX(0,B3482-B3483)</f>
        <v/>
      </c>
    </row>
    <row r="3485">
      <c r="A3485" t="inlineStr">
        <is>
          <t>Global Critical Damage Bonus % (Sharp Eyes + Concentration)</t>
        </is>
      </c>
      <c r="B3485">
        <f>(C3463=TRUE)*F3463*IF(AND(Inputs!$B$38&lt;&gt;"pvp",Inputs!$B$43&gt;0),(((R3463-1)*MIN((Skills!T18*(1+Inputs!$B$34/100)),(1/Q3463))+MIN((Skills!T18*(1+Inputs!$B$34/100)),MAX(0,Inputs!$B$43-((R3463-1)*(1/Q3463)))))/Inputs!$B$43),IF(Inputs!$B$38="pvp",MIN((Skills!T18*(1+Inputs!$B$34/100)),15)/15,MIN(1,(Skills!T18*(1+Inputs!$B$34/100))/(1/Q3463))))+(C3464=TRUE)*7*F3464</f>
        <v/>
      </c>
    </row>
    <row r="3486">
      <c r="A3486" t="inlineStr">
        <is>
          <t>Global Final Damage Bonus % (Mortal Blow)</t>
        </is>
      </c>
      <c r="B3486">
        <f>(C3465=TRUE)*F3465</f>
        <v/>
      </c>
    </row>
    <row r="3487">
      <c r="A3487" t="inlineStr">
        <is>
          <t>Buff-Casting Startup Delay (s, fixed-duration only)</t>
        </is>
      </c>
      <c r="B3487">
        <f>IF(AND(Inputs!$B$38&lt;&gt;"pvp",Inputs!$B$43&gt;0),SUMPRODUCT((Skills!T2:T32&gt;0)*(Skills!E2:E32=TRUE)*(C3447:C3477=TRUE))/B3482,0)</f>
        <v/>
      </c>
    </row>
    <row r="3488">
      <c r="A3488" t="inlineStr">
        <is>
          <t>Boss-Only Total DPS (this block's swept value)</t>
        </is>
      </c>
      <c r="B3488">
        <f>SUM(T3447:T3477)</f>
        <v/>
      </c>
    </row>
    <row r="3489">
      <c r="A3489" t="inlineStr">
        <is>
          <t>Normal-Only Total DPS (this block's swept value)</t>
        </is>
      </c>
      <c r="B3489">
        <f>SUM(V3447:V3477)</f>
        <v/>
      </c>
    </row>
    <row r="3490">
      <c r="A3490" s="6" t="inlineStr">
        <is>
          <t>TOTAL DPS</t>
        </is>
      </c>
      <c r="B3490" s="6">
        <f>SUM(O3447:O3477)</f>
        <v/>
      </c>
    </row>
    <row r="3493">
      <c r="A3493" s="6" t="inlineStr">
        <is>
          <t>Stat: CDR = 5.0s</t>
        </is>
      </c>
    </row>
    <row r="3494">
      <c r="A3494" s="5" t="inlineStr">
        <is>
          <t>Key</t>
        </is>
      </c>
      <c r="B3494" s="5" t="inlineStr">
        <is>
          <t>Name</t>
        </is>
      </c>
      <c r="C3494" s="5" t="inlineStr">
        <is>
          <t>Unlocked</t>
        </is>
      </c>
      <c r="D3494" s="5" t="inlineStr">
        <is>
          <t>InputLevel</t>
        </is>
      </c>
      <c r="E3494" s="5" t="inlineStr">
        <is>
          <t>Factor</t>
        </is>
      </c>
      <c r="F3494" s="5" t="inlineStr">
        <is>
          <t>CoefficientPercent</t>
        </is>
      </c>
      <c r="G3494" s="5" t="inlineStr">
        <is>
          <t>EffectiveHits</t>
        </is>
      </c>
      <c r="H3494" s="5" t="inlineStr">
        <is>
          <t>ProcProbability</t>
        </is>
      </c>
      <c r="I3494" s="5" t="inlineStr">
        <is>
          <t>MapleHeroMultiplier</t>
        </is>
      </c>
      <c r="J3494" s="5" t="inlineStr">
        <is>
          <t>BaseDamage</t>
        </is>
      </c>
      <c r="K3494" s="5" t="inlineStr">
        <is>
          <t>BaseHitDamage</t>
        </is>
      </c>
      <c r="L3494" s="5" t="inlineStr">
        <is>
          <t>NonCritAvg</t>
        </is>
      </c>
      <c r="M3494" s="5" t="inlineStr">
        <is>
          <t>CritAvg</t>
        </is>
      </c>
      <c r="N3494" s="5" t="inlineStr">
        <is>
          <t>ExpectedDamage(perHit)</t>
        </is>
      </c>
      <c r="O3494" s="5" t="inlineStr">
        <is>
          <t>DPS</t>
        </is>
      </c>
      <c r="P3494" s="5" t="inlineStr">
        <is>
          <t>% of Total</t>
        </is>
      </c>
      <c r="Q3494" s="5" t="inlineStr">
        <is>
          <t>InvCooldown</t>
        </is>
      </c>
      <c r="R3494" s="5" t="inlineStr">
        <is>
          <t>CastsInFight</t>
        </is>
      </c>
      <c r="S3494" s="5" t="inlineStr">
        <is>
          <t>HitRate(perSec)</t>
        </is>
      </c>
      <c r="U3494" t="inlineStr">
        <is>
          <t>helpers</t>
        </is>
      </c>
    </row>
    <row r="3495">
      <c r="A3495">
        <f>Skills!A2</f>
        <v/>
      </c>
      <c r="B3495">
        <f>Skills!B2</f>
        <v/>
      </c>
      <c r="C3495">
        <f>Inputs!$B$3&gt;=100</f>
        <v/>
      </c>
      <c r="D3495" t="inlineStr"/>
      <c r="E3495" t="inlineStr"/>
      <c r="F3495">
        <f>U3497+Skills!O2</f>
        <v/>
      </c>
      <c r="G3495">
        <f>Skills!G2*IF(Skills!H2&gt;0,INT(IF(Inputs!$B$38="pvp",MIN(Skills!I2,15),Skills!I2)/Skills!H2+0.000000001),1)</f>
        <v/>
      </c>
      <c r="H3495">
        <f>1-(1-Skills!J2/100)^Skills!K2</f>
        <v/>
      </c>
      <c r="I3495" t="inlineStr">
        <is>
          <t>1</t>
        </is>
      </c>
      <c r="J3495">
        <f>((Inputs!$B$6*(1+Inputs!$B$7/100))+(((Inputs!$B$12*(1+Inputs!$B$13/100))-(Inputs!$B$12*(1+Inputs!$B$13/100)))+0.25*(Inputs!$B$14-Inputs!$B$14))*(1+Inputs!$B$7/100))*(F3495/100)</f>
        <v/>
      </c>
      <c r="K3495">
        <f>J3495*(1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3495)</f>
        <v/>
      </c>
      <c r="L3495">
        <f>K3495*(MIN(Inputs!$B$22+((C3519=TRUE)*(F3519-Calc!F26)),(Inputs!$B$23+((C3524=TRUE)*(F3524-Calc!F31))+(IF(ArtifactsInput!$M$15,CHOOSE(ArtifactsInput!$N$15+1,25,30,35,40,45,50)/100*(Inputs!$B$11-Inputs!$B$11),0))))/100+(Inputs!$B$23+((C3524=TRUE)*(F3524-Calc!F31))+(IF(ArtifactsInput!$M$15,CHOOSE(ArtifactsInput!$N$15+1,25,30,35,40,45,50)/100*(Inputs!$B$11-Inputs!$B$11),0)))/100)/2</f>
        <v/>
      </c>
      <c r="M3495">
        <f>L3495*(1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5">
        <f>L3495*(1-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3495*(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5">
        <f>(1-Summary!$B$11)*T3495+Summary!$B$11*V3495</f>
        <v/>
      </c>
      <c r="P3495">
        <f>IF(B3538=0,0,O3495/B3538)</f>
        <v/>
      </c>
      <c r="Q3495" t="n">
        <v>0</v>
      </c>
      <c r="R3495" t="n">
        <v>0</v>
      </c>
      <c r="S3495">
        <f>IFERROR(O3495/N3495,0)</f>
        <v/>
      </c>
      <c r="T3495">
        <f>IF(C3495,(Skills!G2*N3495*B3532)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5">
        <f>MAX(0,(Inputs!$B$3-100)*3)+Inputs!$B$28+Inputs!$B$29</f>
        <v/>
      </c>
      <c r="V3495">
        <f>IF(C3495,(Skills!G2*N3495*B3532)*IF(Inputs!$B$38="pvp",1,(1+(Inputs!$B$21+Skills!Q2+(IF(ArtifactsInput!$M$33,CHOOSE(ArtifactsInput!$N$33+1,30,36,42,48,54,60),0))+(IF(AND(ArtifactsInput!$M$35,Inputs!$B$4&lt;&gt;"Chapter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6">
      <c r="A3496">
        <f>Skills!A3</f>
        <v/>
      </c>
      <c r="B3496">
        <f>Skills!B3</f>
        <v/>
      </c>
      <c r="C3496">
        <f>Inputs!$B$3&gt;=50</f>
        <v/>
      </c>
      <c r="D3496">
        <f>IF(Skills!C3=1,60+Inputs!$B$25+Inputs!$B$29,IF(Skills!C3=2,90+Inputs!$B$26+Inputs!$B$29,IF(Skills!C3=3,120+Inputs!$B$27+Inputs!$B$29,MAX(0,(Inputs!$B$3-100)*3)+Inputs!$B$28+Inputs!$B$29)))</f>
        <v/>
      </c>
      <c r="E3496">
        <f>INDEX(FactorTable!$B$2:$Y$301, MATCH(ROUND(MIN(300,MAX(1,D3496)),0), FactorTable!$A$2:$A$301,0), Skills!M3+1)</f>
        <v/>
      </c>
      <c r="F3496">
        <f>IF(Skills!N3=TRUE,(Skills!L3/10)*(E3496/1000),Skills!L3/10)+Skills!O3</f>
        <v/>
      </c>
      <c r="G3496">
        <f>Skills!G3*IF(Skills!H3&gt;0,INT(IF(Inputs!$B$38="pvp",MIN(Skills!I3,15),Skills!I3)/Skills!H3+0.000000001),1)</f>
        <v/>
      </c>
      <c r="H3496">
        <f>1-(1-Skills!J3/100)^Skills!K3</f>
        <v/>
      </c>
      <c r="I3496" t="inlineStr">
        <is>
          <t>1</t>
        </is>
      </c>
      <c r="J3496">
        <f>((Inputs!$B$6*(1+Inputs!$B$7/100))+(((Inputs!$B$12*(1+Inputs!$B$13/100))-(Inputs!$B$12*(1+Inputs!$B$13/100)))+0.25*(Inputs!$B$14-Inputs!$B$14))*(1+Inputs!$B$7/100))*(F3496/100)</f>
        <v/>
      </c>
      <c r="K3496">
        <f>J3496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3497=TRUE,F3497,0)/100)*(1+(IF(Skills!A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3496)</f>
        <v/>
      </c>
      <c r="L3496">
        <f>K3496*(MIN(Inputs!$B$22+((C3519=TRUE)*(F3519-Calc!F26)),(Inputs!$B$23+((C3524=TRUE)*(F3524-Calc!F31))+(IF(ArtifactsInput!$M$15,CHOOSE(ArtifactsInput!$N$15+1,25,30,35,40,45,50)/100*(Inputs!$B$11-Inputs!$B$11),0))))/100+(Inputs!$B$23+((C3524=TRUE)*(F3524-Calc!F31))+(IF(ArtifactsInput!$M$15,CHOOSE(ArtifactsInput!$N$15+1,25,30,35,40,45,50)/100*(Inputs!$B$11-Inputs!$B$11),0)))/100)/2</f>
        <v/>
      </c>
      <c r="M3496">
        <f>L3496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6">
        <f>L3496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6">
        <f>(1-Summary!$B$11)*T3496+Summary!$B$11*V3496</f>
        <v/>
      </c>
      <c r="P3496">
        <f>IF(B3538=0,0,O3496/B3538)</f>
        <v/>
      </c>
      <c r="Q3496">
        <f>IFERROR(1/(IF(Inputs!$B$38="pvp",15,MAX(0.1,1/B3530-IF(FALSE=TRUE,5.0,0)))*(1-IF(AND(ArtifactsInput!$M$27,Inputs!$B$4="Chapter Hunt"),CHOOSE(ArtifactsInput!$N$27+1,20,24,28,32,36,40),0)/100)),0)</f>
        <v/>
      </c>
      <c r="R3496">
        <f>IF(AND(Inputs!$B$38&lt;&gt;"pvp",Inputs!$B$43&gt;0),IF(MAX(0,Inputs!$B$43-B3535)&lt;=0,0,(INT(MAX(0,Inputs!$B$43-B3535)/(IF(Inputs!$B$38="pvp",15,MAX(0.1,1/B3530-IF(FALSE=TRUE,5.0,0)))*(1-IF(AND(ArtifactsInput!$M$27,Inputs!$B$4="Chapter Hunt"),CHOOSE(ArtifactsInput!$N$27+1,20,24,28,32,36,40),0)/100)))+1)),0)</f>
        <v/>
      </c>
      <c r="S3496">
        <f>IFERROR(O3496/N3496,0)</f>
        <v/>
      </c>
      <c r="T3496">
        <f>IF(C3496,(H3496*N3496*IF(AND(Inputs!$B$38&lt;&gt;"pvp",Inputs!$B$43&gt;0),((Skills!G3*((R3496-1)*IF(Skills!H3&gt;0,INT(Skills!I3/Skills!H3+0.000000001),1)+IF(Skills!H3&gt;0,INT(MIN(Skills!I3,MAX(0,MAX(0,Inputs!$B$43-B3535)-((R3496-1)*(IF(Inputs!$B$38="pvp",15,MAX(0.1,1/B3530-IF(FALSE=TRUE,5.0,0)))*(1-IF(AND(ArtifactsInput!$M$27,Inputs!$B$4="Chapter Hunt"),CHOOSE(ArtifactsInput!$N$27+1,20,24,28,32,36,40),0)/100)))))/Skills!H3+0.000000001),1)))/Inputs!$B$43),G3496*Q3496)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6">
        <f>INDEX(FactorTable!$B$2:$Y$301, MATCH(ROUND(MIN(300,MAX(1,U3495)),0), FactorTable!$A$2:$A$301,0), 22)</f>
        <v/>
      </c>
      <c r="V3496">
        <f>IF(C3496,(H3496*N3496*IF(AND(Inputs!$B$38&lt;&gt;"pvp",Inputs!$B$43&gt;0),((Skills!G3*((R3496-1)*IF(Skills!H3&gt;0,INT(Skills!I3/Skills!H3+0.000000001),1)+IF(Skills!H3&gt;0,INT(MIN(Skills!I3,MAX(0,MAX(0,Inputs!$B$43-B3535)-((R3496-1)*(IF(Inputs!$B$38="pvp",15,MAX(0.1,1/B3530-IF(FALSE=TRUE,5.0,0)))*(1-IF(AND(ArtifactsInput!$M$27,Inputs!$B$4="Chapter Hunt"),CHOOSE(ArtifactsInput!$N$27+1,20,24,28,32,36,40),0)/100)))))/Skills!H3+0.000000001),1)))/Inputs!$B$43),G3496*Q3496))*IF(Inputs!$B$38="pvp",1,(1+(Inputs!$B$21+Skills!Q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7">
      <c r="A3497">
        <f>Skills!A4</f>
        <v/>
      </c>
      <c r="B3497">
        <f>Skills!B4</f>
        <v/>
      </c>
      <c r="C3497">
        <f>Inputs!$B$3&gt;=105</f>
        <v/>
      </c>
      <c r="D3497">
        <f>IF(Skills!C4=1,60+Inputs!$B$25+Inputs!$B$29,IF(Skills!C4=2,90+Inputs!$B$26+Inputs!$B$29,IF(Skills!C4=3,120+Inputs!$B$27+Inputs!$B$29,MAX(0,(Inputs!$B$3-100)*3)+Inputs!$B$28+Inputs!$B$29)))</f>
        <v/>
      </c>
      <c r="E3497">
        <f>INDEX(FactorTable!$B$2:$Y$301, MATCH(ROUND(MIN(300,MAX(1,D3497)),0), FactorTable!$A$2:$A$301,0), Skills!M4+1)</f>
        <v/>
      </c>
      <c r="F3497">
        <f>IF(Skills!N4=TRUE,(Skills!L4/10)*(E3497/1000),Skills!L4/10)+Skills!O4</f>
        <v/>
      </c>
      <c r="G3497" t="inlineStr"/>
      <c r="H3497" t="inlineStr"/>
      <c r="I3497" t="inlineStr">
        <is>
          <t>1</t>
        </is>
      </c>
      <c r="J3497" t="inlineStr"/>
      <c r="K3497" t="inlineStr"/>
      <c r="L3497" t="inlineStr"/>
      <c r="M3497" t="inlineStr"/>
      <c r="N3497" t="inlineStr"/>
      <c r="O3497" t="inlineStr"/>
      <c r="P3497" t="inlineStr"/>
      <c r="Q3497" t="inlineStr"/>
      <c r="R3497" t="inlineStr"/>
      <c r="S3497" t="inlineStr"/>
      <c r="T3497" t="inlineStr"/>
      <c r="U3497">
        <f>290*U3496/1000</f>
        <v/>
      </c>
      <c r="V3497" t="inlineStr"/>
    </row>
    <row r="3498">
      <c r="A3498">
        <f>Skills!A5</f>
        <v/>
      </c>
      <c r="B3498">
        <f>Skills!B5</f>
        <v/>
      </c>
      <c r="C3498">
        <f>Inputs!$B$3&gt;=35</f>
        <v/>
      </c>
      <c r="D3498">
        <f>IF(Skills!C5=1,60+Inputs!$B$25+Inputs!$B$29,IF(Skills!C5=2,90+Inputs!$B$26+Inputs!$B$29,IF(Skills!C5=3,120+Inputs!$B$27+Inputs!$B$29,MAX(0,(Inputs!$B$3-100)*3)+Inputs!$B$28+Inputs!$B$29)))</f>
        <v/>
      </c>
      <c r="E3498">
        <f>INDEX(FactorTable!$B$2:$Y$301, MATCH(ROUND(MIN(300,MAX(1,D3498)),0), FactorTable!$A$2:$A$301,0), Skills!M5+1)</f>
        <v/>
      </c>
      <c r="F3498">
        <f>IF(Skills!N5=TRUE,(Skills!L5/10)*(E3498/1000),Skills!L5/10)+Skills!O5</f>
        <v/>
      </c>
      <c r="G3498">
        <f>Skills!G5*IF(Skills!H5&gt;0,INT(IF(Inputs!$B$38="pvp",MIN(Skills!I5,15),Skills!I5)/Skills!H5+0.000000001),1)</f>
        <v/>
      </c>
      <c r="H3498">
        <f>1-(1-Skills!J5/100)^Skills!K5</f>
        <v/>
      </c>
      <c r="I3498" t="inlineStr">
        <is>
          <t>1</t>
        </is>
      </c>
      <c r="J3498">
        <f>((Inputs!$B$6*(1+Inputs!$B$7/100))+(((Inputs!$B$12*(1+Inputs!$B$13/100))-(Inputs!$B$12*(1+Inputs!$B$13/100)))+0.25*(Inputs!$B$14-Inputs!$B$14))*(1+Inputs!$B$7/100))*(F3498/100)</f>
        <v/>
      </c>
      <c r="K3498">
        <f>J3498*(1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3505=TRUE,F3505,0)/100)*(1+(IF(Skills!A5="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3498)</f>
        <v/>
      </c>
      <c r="L3498">
        <f>K3498*(MIN(Inputs!$B$22+((C3519=TRUE)*(F3519-Calc!F26)),(Inputs!$B$23+((C3524=TRUE)*(F3524-Calc!F31))+(IF(ArtifactsInput!$M$15,CHOOSE(ArtifactsInput!$N$15+1,25,30,35,40,45,50)/100*(Inputs!$B$11-Inputs!$B$11),0))))/100+(Inputs!$B$23+((C3524=TRUE)*(F3524-Calc!F31))+(IF(ArtifactsInput!$M$15,CHOOSE(ArtifactsInput!$N$15+1,25,30,35,40,45,50)/100*(Inputs!$B$11-Inputs!$B$11),0)))/100)/2</f>
        <v/>
      </c>
      <c r="M3498">
        <f>L3498*(1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8">
        <f>L3498*(1-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3498*(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8">
        <f>(1-Summary!$B$11)*T3498+Summary!$B$11*V3498</f>
        <v/>
      </c>
      <c r="P3498">
        <f>IF(B3538=0,0,O3498/B3538)</f>
        <v/>
      </c>
      <c r="Q3498">
        <f>IFERROR(1/(IF(Inputs!$B$38="pvp",15,MAX(0.1,Skills!D5-IF(TRUE=TRUE,5.0,0)))*(1-IF(AND(ArtifactsInput!$M$27,Inputs!$B$4="Chapter Hunt"),CHOOSE(ArtifactsInput!$N$27+1,20,24,28,32,36,40),0)/100)),0)</f>
        <v/>
      </c>
      <c r="R3498">
        <f>IF(AND(Inputs!$B$38&lt;&gt;"pvp",Inputs!$B$43&gt;0),IF(MAX(0,Inputs!$B$43-B3535)&lt;=0,0,(INT(MAX(0,Inputs!$B$43-B3535)/(IF(Inputs!$B$38="pvp",15,MAX(0.1,Skills!D5-IF(TRUE=TRUE,5.0,0)))*(1-IF(AND(ArtifactsInput!$M$27,Inputs!$B$4="Chapter Hunt"),CHOOSE(ArtifactsInput!$N$27+1,20,24,28,32,36,40),0)/100)))+1)),0)</f>
        <v/>
      </c>
      <c r="S3498">
        <f>IFERROR(O3498/N3498,0)</f>
        <v/>
      </c>
      <c r="T3498">
        <f>IF(C3498,(H3498*N3498*IF(AND(Inputs!$B$38&lt;&gt;"pvp",Inputs!$B$43&gt;0),((Skills!G5*((R3498-1)*IF(Skills!H5&gt;0,INT(Skills!I5/Skills!H5+0.000000001),1)+IF(Skills!H5&gt;0,INT(MIN(Skills!I5,MAX(0,MAX(0,Inputs!$B$43-B3535)-((R3498-1)*(IF(Inputs!$B$38="pvp",15,MAX(0.1,Skills!D5-IF(TRUE=TRUE,5.0,0)))*(1-IF(AND(ArtifactsInput!$M$27,Inputs!$B$4="Chapter Hunt"),CHOOSE(ArtifactsInput!$N$27+1,20,24,28,32,36,40),0)/100)))))/Skills!H5+0.000000001),1)))/Inputs!$B$43),G3498*Q3498)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8">
        <f>IF(C3498,(H3498*N3498*IF(AND(Inputs!$B$38&lt;&gt;"pvp",Inputs!$B$43&gt;0),((Skills!G5*((R3498-1)*IF(Skills!H5&gt;0,INT(Skills!I5/Skills!H5+0.000000001),1)+IF(Skills!H5&gt;0,INT(MIN(Skills!I5,MAX(0,MAX(0,Inputs!$B$43-B3535)-((R3498-1)*(IF(Inputs!$B$38="pvp",15,MAX(0.1,Skills!D5-IF(TRUE=TRUE,5.0,0)))*(1-IF(AND(ArtifactsInput!$M$27,Inputs!$B$4="Chapter Hunt"),CHOOSE(ArtifactsInput!$N$27+1,20,24,28,32,36,40),0)/100)))))/Skills!H5+0.000000001),1)))/Inputs!$B$43),G3498*Q3498))*IF(Inputs!$B$38="pvp",1,(1+(Inputs!$B$21+Skills!Q5+(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9">
      <c r="A3499">
        <f>Skills!A6</f>
        <v/>
      </c>
      <c r="B3499">
        <f>Skills!B6</f>
        <v/>
      </c>
      <c r="C3499">
        <f>Inputs!$B$3&gt;=40</f>
        <v/>
      </c>
      <c r="D3499">
        <f>IF(Skills!C6=1,60+Inputs!$B$25+Inputs!$B$29,IF(Skills!C6=2,90+Inputs!$B$26+Inputs!$B$29,IF(Skills!C6=3,120+Inputs!$B$27+Inputs!$B$29,MAX(0,(Inputs!$B$3-100)*3)+Inputs!$B$28+Inputs!$B$29)))</f>
        <v/>
      </c>
      <c r="E3499">
        <f>INDEX(FactorTable!$B$2:$Y$301, MATCH(ROUND(MIN(300,MAX(1,D3499)),0), FactorTable!$A$2:$A$301,0), Skills!M6+1)</f>
        <v/>
      </c>
      <c r="F3499">
        <f>IF(Skills!N6=TRUE,(Skills!L6/10)*(E3499/1000),Skills!L6/10)+Skills!O6</f>
        <v/>
      </c>
      <c r="G3499">
        <f>Skills!G6*IF(Skills!H6&gt;0,INT(IF(Inputs!$B$38="pvp",MIN(Skills!I6,15),Skills!I6)/Skills!H6+0.000000001),1)</f>
        <v/>
      </c>
      <c r="H3499">
        <f>1-(1-Skills!J6/100)^Skills!K6</f>
        <v/>
      </c>
      <c r="I3499" t="inlineStr">
        <is>
          <t>1</t>
        </is>
      </c>
      <c r="J3499">
        <f>((Inputs!$B$6*(1+Inputs!$B$7/100))+(((Inputs!$B$12*(1+Inputs!$B$13/100))-(Inputs!$B$12*(1+Inputs!$B$13/100)))+0.25*(Inputs!$B$14-Inputs!$B$14))*(1+Inputs!$B$7/100))*(F3499/100)</f>
        <v/>
      </c>
      <c r="K3499">
        <f>J3499*(1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3500=TRUE,F3500,0)/100)*(1+(IF(Skills!A6="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3499)</f>
        <v/>
      </c>
      <c r="L3499">
        <f>K3499*(MIN(Inputs!$B$22+((C3519=TRUE)*(F3519-Calc!F26)),(Inputs!$B$23+((C3524=TRUE)*(F3524-Calc!F31))+(IF(ArtifactsInput!$M$15,CHOOSE(ArtifactsInput!$N$15+1,25,30,35,40,45,50)/100*(Inputs!$B$11-Inputs!$B$11),0))))/100+(Inputs!$B$23+((C3524=TRUE)*(F3524-Calc!F31))+(IF(ArtifactsInput!$M$15,CHOOSE(ArtifactsInput!$N$15+1,25,30,35,40,45,50)/100*(Inputs!$B$11-Inputs!$B$11),0)))/100)/2</f>
        <v/>
      </c>
      <c r="M3499">
        <f>L3499*(1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9">
        <f>L3499*(1-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3499*(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9">
        <f>(1-Summary!$B$11)*T3499+Summary!$B$11*V3499</f>
        <v/>
      </c>
      <c r="P3499">
        <f>IF(B3538=0,0,O3499/B3538)</f>
        <v/>
      </c>
      <c r="Q3499">
        <f>IFERROR(1/(IF(Inputs!$B$38="pvp",15,MAX(0.1,1-0.4*MIN(1,(B3530-1)/1.5)-IF(FALSE=TRUE,5.0,0)))*(1-IF(AND(ArtifactsInput!$M$27,Inputs!$B$4="Chapter Hunt"),CHOOSE(ArtifactsInput!$N$27+1,20,24,28,32,36,40),0)/100)),0)</f>
        <v/>
      </c>
      <c r="R3499">
        <f>IF(AND(Inputs!$B$38&lt;&gt;"pvp",Inputs!$B$43&gt;0),IF(MAX(0,Inputs!$B$43-B3535)&lt;=0,0,(INT(MAX(0,Inputs!$B$43-B3535)/(IF(Inputs!$B$38="pvp",15,MAX(0.1,1-0.4*MIN(1,(B3530-1)/1.5)-IF(FALSE=TRUE,5.0,0)))*(1-IF(AND(ArtifactsInput!$M$27,Inputs!$B$4="Chapter Hunt"),CHOOSE(ArtifactsInput!$N$27+1,20,24,28,32,36,40),0)/100)))+1)),0)</f>
        <v/>
      </c>
      <c r="S3499">
        <f>IFERROR(O3499/N3499,0)</f>
        <v/>
      </c>
      <c r="T3499">
        <f>IF(C3499,(H3499*N3499*IF(AND(Inputs!$B$38&lt;&gt;"pvp",Inputs!$B$43&gt;0),((Skills!G6*((R3499-1)*IF(Skills!H6&gt;0,INT(Skills!I6/Skills!H6+0.000000001),1)+IF(Skills!H6&gt;0,INT(MIN(Skills!I6,MAX(0,MAX(0,Inputs!$B$43-B3535)-((R3499-1)*(IF(Inputs!$B$38="pvp",15,MAX(0.1,1-0.4*MIN(1,(B3530-1)/1.5)-IF(FALSE=TRUE,5.0,0)))*(1-IF(AND(ArtifactsInput!$M$27,Inputs!$B$4="Chapter Hunt"),CHOOSE(ArtifactsInput!$N$27+1,20,24,28,32,36,40),0)/100)))))/Skills!H6+0.000000001),1)))/Inputs!$B$43),G3499*Q3499)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9">
        <f>IF(C3499,(H3499*N3499*IF(AND(Inputs!$B$38&lt;&gt;"pvp",Inputs!$B$43&gt;0),((Skills!G6*((R3499-1)*IF(Skills!H6&gt;0,INT(Skills!I6/Skills!H6+0.000000001),1)+IF(Skills!H6&gt;0,INT(MIN(Skills!I6,MAX(0,MAX(0,Inputs!$B$43-B3535)-((R3499-1)*(IF(Inputs!$B$38="pvp",15,MAX(0.1,1-0.4*MIN(1,(B3530-1)/1.5)-IF(FALSE=TRUE,5.0,0)))*(1-IF(AND(ArtifactsInput!$M$27,Inputs!$B$4="Chapter Hunt"),CHOOSE(ArtifactsInput!$N$27+1,20,24,28,32,36,40),0)/100)))))/Skills!H6+0.000000001),1)))/Inputs!$B$43),G3499*Q3499))*IF(Inputs!$B$38="pvp",1,(1+(Inputs!$B$21+Skills!Q6+(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0">
      <c r="A3500">
        <f>Skills!A7</f>
        <v/>
      </c>
      <c r="B3500">
        <f>Skills!B7</f>
        <v/>
      </c>
      <c r="C3500">
        <f>Inputs!$B$3&gt;=107</f>
        <v/>
      </c>
      <c r="D3500">
        <f>IF(Skills!C7=1,60+Inputs!$B$25+Inputs!$B$29,IF(Skills!C7=2,90+Inputs!$B$26+Inputs!$B$29,IF(Skills!C7=3,120+Inputs!$B$27+Inputs!$B$29,MAX(0,(Inputs!$B$3-100)*3)+Inputs!$B$28+Inputs!$B$29)))</f>
        <v/>
      </c>
      <c r="E3500">
        <f>INDEX(FactorTable!$B$2:$Y$301, MATCH(ROUND(MIN(300,MAX(1,D3500)),0), FactorTable!$A$2:$A$301,0), Skills!M7+1)</f>
        <v/>
      </c>
      <c r="F3500">
        <f>IF(Skills!N7=TRUE,(Skills!L7/10)*(E3500/1000),Skills!L7/10)+Skills!O7</f>
        <v/>
      </c>
      <c r="G3500" t="inlineStr"/>
      <c r="H3500" t="inlineStr"/>
      <c r="I3500" t="inlineStr">
        <is>
          <t>1</t>
        </is>
      </c>
      <c r="J3500" t="inlineStr"/>
      <c r="K3500" t="inlineStr"/>
      <c r="L3500" t="inlineStr"/>
      <c r="M3500" t="inlineStr"/>
      <c r="N3500" t="inlineStr"/>
      <c r="O3500" t="inlineStr"/>
      <c r="P3500" t="inlineStr"/>
      <c r="Q3500" t="inlineStr"/>
      <c r="R3500" t="inlineStr"/>
      <c r="S3500" t="inlineStr"/>
      <c r="T3500" t="inlineStr"/>
      <c r="V3500" t="inlineStr"/>
    </row>
    <row r="3501">
      <c r="A3501">
        <f>Skills!A8</f>
        <v/>
      </c>
      <c r="B3501">
        <f>Skills!B8</f>
        <v/>
      </c>
      <c r="C3501">
        <f>Inputs!$B$3&gt;=130</f>
        <v/>
      </c>
      <c r="D3501">
        <f>IF(Skills!C8=1,60+Inputs!$B$25+Inputs!$B$29,IF(Skills!C8=2,90+Inputs!$B$26+Inputs!$B$29,IF(Skills!C8=3,120+Inputs!$B$27+Inputs!$B$29,MAX(0,(Inputs!$B$3-100)*3)+Inputs!$B$28+Inputs!$B$29)))</f>
        <v/>
      </c>
      <c r="E3501">
        <f>INDEX(FactorTable!$B$2:$Y$301, MATCH(ROUND(MIN(300,MAX(1,D3501)),0), FactorTable!$A$2:$A$301,0), Skills!M8+1)</f>
        <v/>
      </c>
      <c r="F3501">
        <f>IF(Skills!N8=TRUE,(Skills!L8/10)*(E3501/1000),Skills!L8/10)+Skills!O8</f>
        <v/>
      </c>
      <c r="G3501">
        <f>Skills!G8*IF(Skills!H8&gt;0,INT(IF(Inputs!$B$38="pvp",MIN(Skills!I8,15),Skills!I8)/Skills!H8+0.000000001),1)</f>
        <v/>
      </c>
      <c r="H3501">
        <f>1-(1-Skills!J8/100)^Skills!K8</f>
        <v/>
      </c>
      <c r="I3501" t="inlineStr">
        <is>
          <t>1</t>
        </is>
      </c>
      <c r="J3501">
        <f>((Inputs!$B$6*(1+Inputs!$B$7/100))+(((Inputs!$B$12*(1+Inputs!$B$13/100))-(Inputs!$B$12*(1+Inputs!$B$13/100)))+0.25*(Inputs!$B$14-Inputs!$B$14))*(1+Inputs!$B$7/100))*(F3501/100)</f>
        <v/>
      </c>
      <c r="K3501">
        <f>J3501*(1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3501)</f>
        <v/>
      </c>
      <c r="L3501">
        <f>K3501*(MIN(Inputs!$B$22+((C3519=TRUE)*(F3519-Calc!F26)),(Inputs!$B$23+((C3524=TRUE)*(F3524-Calc!F31))+(IF(ArtifactsInput!$M$15,CHOOSE(ArtifactsInput!$N$15+1,25,30,35,40,45,50)/100*(Inputs!$B$11-Inputs!$B$11),0))))/100+(Inputs!$B$23+((C3524=TRUE)*(F3524-Calc!F31))+(IF(ArtifactsInput!$M$15,CHOOSE(ArtifactsInput!$N$15+1,25,30,35,40,45,50)/100*(Inputs!$B$11-Inputs!$B$11),0)))/100)/2</f>
        <v/>
      </c>
      <c r="M3501">
        <f>L3501*(1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1">
        <f>L3501*(1-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1">
        <f>(1-Summary!$B$11)*T3501+Summary!$B$11*V3501</f>
        <v/>
      </c>
      <c r="P3501">
        <f>IF(B3538=0,0,O3501/B3538)</f>
        <v/>
      </c>
      <c r="Q3501">
        <f>IFERROR(1/(IF(Inputs!$B$38="pvp",15,MAX(0.1,1-0.4*MIN(1,(B3530-1)/1.5)-IF(FALSE=TRUE,5.0,0)))*(1-IF(AND(ArtifactsInput!$M$27,Inputs!$B$4="Chapter Hunt"),CHOOSE(ArtifactsInput!$N$27+1,20,24,28,32,36,40),0)/100)),0)</f>
        <v/>
      </c>
      <c r="R3501">
        <f>IF(AND(Inputs!$B$38&lt;&gt;"pvp",Inputs!$B$43&gt;0),IF(MAX(0,Inputs!$B$43-B3535)&lt;=0,0,(INT(MAX(0,Inputs!$B$43-B3535)/(IF(Inputs!$B$38="pvp",15,MAX(0.1,1-0.4*MIN(1,(B3530-1)/1.5)-IF(FALSE=TRUE,5.0,0)))*(1-IF(AND(ArtifactsInput!$M$27,Inputs!$B$4="Chapter Hunt"),CHOOSE(ArtifactsInput!$N$27+1,20,24,28,32,36,40),0)/100)))+1)),0)</f>
        <v/>
      </c>
      <c r="S3501">
        <f>IFERROR(O3501/N3501,0)</f>
        <v/>
      </c>
      <c r="T3501">
        <f>IF(C3501,(H3501*N3501*IF(AND(Inputs!$B$38&lt;&gt;"pvp",Inputs!$B$43&gt;0),((Skills!G8*((R3501-1)*IF(Skills!H8&gt;0,INT(Skills!I8/Skills!H8+0.000000001),1)+IF(Skills!H8&gt;0,INT(MIN(Skills!I8,MAX(0,MAX(0,Inputs!$B$43-B3535)-((R3501-1)*(IF(Inputs!$B$38="pvp",15,MAX(0.1,1-0.4*MIN(1,(B3530-1)/1.5)-IF(FALSE=TRUE,5.0,0)))*(1-IF(AND(ArtifactsInput!$M$27,Inputs!$B$4="Chapter Hunt"),CHOOSE(ArtifactsInput!$N$27+1,20,24,28,32,36,40),0)/100)))))/Skills!H8+0.000000001),1)))/Inputs!$B$43),G3501*Q3501)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1">
        <f>IF(C3501,(H3501*N3501*IF(AND(Inputs!$B$38&lt;&gt;"pvp",Inputs!$B$43&gt;0),((Skills!G8*((R3501-1)*IF(Skills!H8&gt;0,INT(Skills!I8/Skills!H8+0.000000001),1)+IF(Skills!H8&gt;0,INT(MIN(Skills!I8,MAX(0,MAX(0,Inputs!$B$43-B3535)-((R3501-1)*(IF(Inputs!$B$38="pvp",15,MAX(0.1,1-0.4*MIN(1,(B3530-1)/1.5)-IF(FALSE=TRUE,5.0,0)))*(1-IF(AND(ArtifactsInput!$M$27,Inputs!$B$4="Chapter Hunt"),CHOOSE(ArtifactsInput!$N$27+1,20,24,28,32,36,40),0)/100)))))/Skills!H8+0.000000001),1)))/Inputs!$B$43),G3501*Q3501))*IF(Inputs!$B$38="pvp",1,(1+(Inputs!$B$21+Skills!Q8+(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2">
      <c r="A3502">
        <f>Skills!A9</f>
        <v/>
      </c>
      <c r="B3502">
        <f>Skills!B9</f>
        <v/>
      </c>
      <c r="C3502">
        <f>Inputs!$B$3&gt;=69</f>
        <v/>
      </c>
      <c r="D3502">
        <f>IF(Skills!C9=1,60+Inputs!$B$25+Inputs!$B$29,IF(Skills!C9=2,90+Inputs!$B$26+Inputs!$B$29,IF(Skills!C9=3,120+Inputs!$B$27+Inputs!$B$29,MAX(0,(Inputs!$B$3-100)*3)+Inputs!$B$28+Inputs!$B$29)))</f>
        <v/>
      </c>
      <c r="E3502">
        <f>INDEX(FactorTable!$B$2:$Y$301, MATCH(ROUND(MIN(300,MAX(1,D3502)),0), FactorTable!$A$2:$A$301,0), Skills!M9+1)</f>
        <v/>
      </c>
      <c r="F3502">
        <f>IF(Skills!N9=TRUE,(Skills!L9/10)*(E3502/1000),Skills!L9/10)+Skills!O9</f>
        <v/>
      </c>
      <c r="G3502">
        <f>Skills!G9*IF(Skills!H9&gt;0,INT(IF(Inputs!$B$38="pvp",MIN(Skills!I9,15),Skills!I9)/Skills!H9+0.000000001),1)</f>
        <v/>
      </c>
      <c r="H3502">
        <f>1-(1-Skills!J9/100)^Skills!K9</f>
        <v/>
      </c>
      <c r="I3502" t="inlineStr">
        <is>
          <t>1</t>
        </is>
      </c>
      <c r="J3502">
        <f>((Inputs!$B$6*(1+Inputs!$B$7/100))+(((Inputs!$B$12*(1+Inputs!$B$13/100))-(Inputs!$B$12*(1+Inputs!$B$13/100)))+0.25*(Inputs!$B$14-Inputs!$B$14))*(1+Inputs!$B$7/100))*(F3502/100)</f>
        <v/>
      </c>
      <c r="K3502">
        <f>J3502*(1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3505=TRUE,F3505,0)/100)*(1+(IF(Skills!A9="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3502)</f>
        <v/>
      </c>
      <c r="L3502">
        <f>K3502*(MIN(Inputs!$B$22+((C3519=TRUE)*(F3519-Calc!F26)),(Inputs!$B$23+((C3524=TRUE)*(F3524-Calc!F31))+(IF(ArtifactsInput!$M$15,CHOOSE(ArtifactsInput!$N$15+1,25,30,35,40,45,50)/100*(Inputs!$B$11-Inputs!$B$11),0))))/100+(Inputs!$B$23+((C3524=TRUE)*(F3524-Calc!F31))+(IF(ArtifactsInput!$M$15,CHOOSE(ArtifactsInput!$N$15+1,25,30,35,40,45,50)/100*(Inputs!$B$11-Inputs!$B$11),0)))/100)/2</f>
        <v/>
      </c>
      <c r="M3502">
        <f>L3502*(1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2">
        <f>L3502*(1-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3502*(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2">
        <f>(1-Summary!$B$11)*T3502+Summary!$B$11*V3502</f>
        <v/>
      </c>
      <c r="P3502">
        <f>IF(B3538=0,0,O3502/B3538)</f>
        <v/>
      </c>
      <c r="Q3502">
        <f>IFERROR(1/(IF(Inputs!$B$38="pvp",15,MAX(0.1,Skills!D9-IF(TRUE=TRUE,5.0,0)))*(1-IF(AND(ArtifactsInput!$M$27,Inputs!$B$4="Chapter Hunt"),CHOOSE(ArtifactsInput!$N$27+1,20,24,28,32,36,40),0)/100)),0)</f>
        <v/>
      </c>
      <c r="R3502">
        <f>IF(AND(Inputs!$B$38&lt;&gt;"pvp",Inputs!$B$43&gt;0),IF(MAX(0,Inputs!$B$43-B3535)&lt;=0,0,(INT(MAX(0,Inputs!$B$43-B3535)/(IF(Inputs!$B$38="pvp",15,MAX(0.1,Skills!D9-IF(TRUE=TRUE,5.0,0)))*(1-IF(AND(ArtifactsInput!$M$27,Inputs!$B$4="Chapter Hunt"),CHOOSE(ArtifactsInput!$N$27+1,20,24,28,32,36,40),0)/100)))+1)),0)</f>
        <v/>
      </c>
      <c r="S3502">
        <f>IFERROR(O3502/N3502,0)</f>
        <v/>
      </c>
      <c r="T3502">
        <f>IF(C3502,(H3502*N3502*IF(AND(Inputs!$B$38&lt;&gt;"pvp",Inputs!$B$43&gt;0),((Skills!G9*((R3502-1)*IF(Skills!H9&gt;0,INT(Skills!I9/Skills!H9+0.000000001),1)+IF(Skills!H9&gt;0,INT(MIN(Skills!I9,MAX(0,MAX(0,Inputs!$B$43-B3535)-((R3502-1)*(IF(Inputs!$B$38="pvp",15,MAX(0.1,Skills!D9-IF(TRUE=TRUE,5.0,0)))*(1-IF(AND(ArtifactsInput!$M$27,Inputs!$B$4="Chapter Hunt"),CHOOSE(ArtifactsInput!$N$27+1,20,24,28,32,36,40),0)/100)))))/Skills!H9+0.000000001),1)))/Inputs!$B$43),G3502*Q3502)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2">
        <f>IF(C3502,(H3502*N3502*IF(AND(Inputs!$B$38&lt;&gt;"pvp",Inputs!$B$43&gt;0),((Skills!G9*((R3502-1)*IF(Skills!H9&gt;0,INT(Skills!I9/Skills!H9+0.000000001),1)+IF(Skills!H9&gt;0,INT(MIN(Skills!I9,MAX(0,MAX(0,Inputs!$B$43-B3535)-((R3502-1)*(IF(Inputs!$B$38="pvp",15,MAX(0.1,Skills!D9-IF(TRUE=TRUE,5.0,0)))*(1-IF(AND(ArtifactsInput!$M$27,Inputs!$B$4="Chapter Hunt"),CHOOSE(ArtifactsInput!$N$27+1,20,24,28,32,36,40),0)/100)))))/Skills!H9+0.000000001),1)))/Inputs!$B$43),G3502*Q3502))*IF(Inputs!$B$38="pvp",1,(1+(Inputs!$B$21+Skills!Q9+(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3">
      <c r="A3503">
        <f>Skills!A10</f>
        <v/>
      </c>
      <c r="B3503">
        <f>Skills!B10</f>
        <v/>
      </c>
      <c r="C3503">
        <f>Inputs!$B$3&gt;=63</f>
        <v/>
      </c>
      <c r="D3503">
        <f>IF(Skills!C10=1,60+Inputs!$B$25+Inputs!$B$29,IF(Skills!C10=2,90+Inputs!$B$26+Inputs!$B$29,IF(Skills!C10=3,120+Inputs!$B$27+Inputs!$B$29,MAX(0,(Inputs!$B$3-100)*3)+Inputs!$B$28+Inputs!$B$29)))</f>
        <v/>
      </c>
      <c r="E3503">
        <f>INDEX(FactorTable!$B$2:$Y$301, MATCH(ROUND(MIN(300,MAX(1,D3503)),0), FactorTable!$A$2:$A$301,0), Skills!M10+1)</f>
        <v/>
      </c>
      <c r="F3503">
        <f>IF(Skills!N10=TRUE,(Skills!L10/10)*(E3503/1000),Skills!L10/10)+Skills!O10</f>
        <v/>
      </c>
      <c r="G3503">
        <f>Skills!G10*IF(Skills!H10&gt;0,INT(IF(Inputs!$B$38="pvp",MIN(Skills!I10,15),Skills!I10)/Skills!H10+0.000000001),1)</f>
        <v/>
      </c>
      <c r="H3503">
        <f>1-(1-Skills!J10/100)^Skills!K10</f>
        <v/>
      </c>
      <c r="I3503" t="inlineStr">
        <is>
          <t>1</t>
        </is>
      </c>
      <c r="J3503">
        <f>((Inputs!$B$6*(1+Inputs!$B$7/100))+(((Inputs!$B$12*(1+Inputs!$B$13/100))-(Inputs!$B$12*(1+Inputs!$B$13/100)))+0.25*(Inputs!$B$14-Inputs!$B$14))*(1+Inputs!$B$7/100))*(F3503/100)</f>
        <v/>
      </c>
      <c r="K3503">
        <f>J3503*(1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3505=TRUE,F3505,0)/100)*(1+(IF(Skills!A10="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3503)</f>
        <v/>
      </c>
      <c r="L3503">
        <f>K3503*(MIN(Inputs!$B$22+((C3519=TRUE)*(F3519-Calc!F26)),(Inputs!$B$23+((C3524=TRUE)*(F3524-Calc!F31))+(IF(ArtifactsInput!$M$15,CHOOSE(ArtifactsInput!$N$15+1,25,30,35,40,45,50)/100*(Inputs!$B$11-Inputs!$B$11),0))))/100+(Inputs!$B$23+((C3524=TRUE)*(F3524-Calc!F31))+(IF(ArtifactsInput!$M$15,CHOOSE(ArtifactsInput!$N$15+1,25,30,35,40,45,50)/100*(Inputs!$B$11-Inputs!$B$11),0)))/100)/2</f>
        <v/>
      </c>
      <c r="M3503">
        <f>L3503*(1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3">
        <f>L3503*(1-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3503*(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3">
        <f>(1-Summary!$B$11)*T3503+Summary!$B$11*V3503</f>
        <v/>
      </c>
      <c r="P3503">
        <f>IF(B3538=0,0,O3503/B3538)</f>
        <v/>
      </c>
      <c r="Q3503">
        <f>IFERROR(1/(IF(Inputs!$B$38="pvp",15,MAX(0.1,Skills!D10-IF(TRUE=TRUE,5.0,0)))*(1-IF(AND(ArtifactsInput!$M$27,Inputs!$B$4="Chapter Hunt"),CHOOSE(ArtifactsInput!$N$27+1,20,24,28,32,36,40),0)/100)),0)</f>
        <v/>
      </c>
      <c r="R3503">
        <f>IF(AND(Inputs!$B$38&lt;&gt;"pvp",Inputs!$B$43&gt;0),IF(MAX(0,Inputs!$B$43-B3535)&lt;=0,0,(INT(MAX(0,Inputs!$B$43-B3535)/(IF(Inputs!$B$38="pvp",15,MAX(0.1,Skills!D10-IF(TRUE=TRUE,5.0,0)))*(1-IF(AND(ArtifactsInput!$M$27,Inputs!$B$4="Chapter Hunt"),CHOOSE(ArtifactsInput!$N$27+1,20,24,28,32,36,40),0)/100)))+1)),0)</f>
        <v/>
      </c>
      <c r="S3503">
        <f>IFERROR(O3503/N3503,0)</f>
        <v/>
      </c>
      <c r="T3503">
        <f>IF(C3503,(H3503*N3503*IF(AND(Inputs!$B$38&lt;&gt;"pvp",Inputs!$B$43&gt;0),((Skills!G10*((R3503-1)*IF(Skills!H10&gt;0,INT(Skills!I10/Skills!H10+0.000000001),1)+IF(Skills!H10&gt;0,INT(MIN(Skills!I10,MAX(0,MAX(0,Inputs!$B$43-B3535)-((R3503-1)*(IF(Inputs!$B$38="pvp",15,MAX(0.1,Skills!D10-IF(TRUE=TRUE,5.0,0)))*(1-IF(AND(ArtifactsInput!$M$27,Inputs!$B$4="Chapter Hunt"),CHOOSE(ArtifactsInput!$N$27+1,20,24,28,32,36,40),0)/100)))))/Skills!H10+0.000000001),1)))/Inputs!$B$43),G3503*Q3503)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3">
        <f>IF(C3503,(H3503*N3503*IF(AND(Inputs!$B$38&lt;&gt;"pvp",Inputs!$B$43&gt;0),((Skills!G10*((R3503-1)*IF(Skills!H10&gt;0,INT(Skills!I10/Skills!H10+0.000000001),1)+IF(Skills!H10&gt;0,INT(MIN(Skills!I10,MAX(0,MAX(0,Inputs!$B$43-B3535)-((R3503-1)*(IF(Inputs!$B$38="pvp",15,MAX(0.1,Skills!D10-IF(TRUE=TRUE,5.0,0)))*(1-IF(AND(ArtifactsInput!$M$27,Inputs!$B$4="Chapter Hunt"),CHOOSE(ArtifactsInput!$N$27+1,20,24,28,32,36,40),0)/100)))))/Skills!H10+0.000000001),1)))/Inputs!$B$43),G3503*Q3503))*IF(Inputs!$B$38="pvp",1,(1+(Inputs!$B$21+Skills!Q10+(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4">
      <c r="A3504">
        <f>Skills!A11</f>
        <v/>
      </c>
      <c r="B3504">
        <f>Skills!B11</f>
        <v/>
      </c>
      <c r="C3504">
        <f>Inputs!$B$3&gt;=103</f>
        <v/>
      </c>
      <c r="D3504">
        <f>IF(Skills!C11=1,60+Inputs!$B$25+Inputs!$B$29,IF(Skills!C11=2,90+Inputs!$B$26+Inputs!$B$29,IF(Skills!C11=3,120+Inputs!$B$27+Inputs!$B$29,MAX(0,(Inputs!$B$3-100)*3)+Inputs!$B$28+Inputs!$B$29)))</f>
        <v/>
      </c>
      <c r="E3504">
        <f>INDEX(FactorTable!$B$2:$Y$301, MATCH(ROUND(MIN(300,MAX(1,D3504)),0), FactorTable!$A$2:$A$301,0), Skills!M11+1)</f>
        <v/>
      </c>
      <c r="F3504">
        <f>IF(Skills!N11=TRUE,(Skills!L11/10)*(E3504/1000),Skills!L11/10)+Skills!O11</f>
        <v/>
      </c>
      <c r="G3504">
        <f>Skills!G11*IF(Skills!H11&gt;0,INT(IF(Inputs!$B$38="pvp",MIN(Skills!I11,15),Skills!I11)/Skills!H11+0.000000001),1)</f>
        <v/>
      </c>
      <c r="H3504">
        <f>1-(1-Skills!J11/100)^Skills!K11</f>
        <v/>
      </c>
      <c r="I3504" t="inlineStr">
        <is>
          <t>1</t>
        </is>
      </c>
      <c r="J3504">
        <f>((Inputs!$B$6*(1+Inputs!$B$7/100))+(((Inputs!$B$12*(1+Inputs!$B$13/100))-(Inputs!$B$12*(1+Inputs!$B$13/100)))+0.25*(Inputs!$B$14-Inputs!$B$14))*(1+Inputs!$B$7/100))*(F3504/100)</f>
        <v/>
      </c>
      <c r="K3504">
        <f>J3504*(1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3504)</f>
        <v/>
      </c>
      <c r="L3504">
        <f>K3504*(MIN(Inputs!$B$22+((C3519=TRUE)*(F3519-Calc!F26)),(Inputs!$B$23+((C3524=TRUE)*(F3524-Calc!F31))+(IF(ArtifactsInput!$M$15,CHOOSE(ArtifactsInput!$N$15+1,25,30,35,40,45,50)/100*(Inputs!$B$11-Inputs!$B$11),0))))/100+(Inputs!$B$23+((C3524=TRUE)*(F3524-Calc!F31))+(IF(ArtifactsInput!$M$15,CHOOSE(ArtifactsInput!$N$15+1,25,30,35,40,45,50)/100*(Inputs!$B$11-Inputs!$B$11),0)))/100)/2</f>
        <v/>
      </c>
      <c r="M3504">
        <f>L3504*(1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4">
        <f>L3504*(1-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3504*(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4">
        <f>(1-Summary!$B$11)*T3504+Summary!$B$11*V3504</f>
        <v/>
      </c>
      <c r="P3504">
        <f>IF(B3538=0,0,O3504/B3538)</f>
        <v/>
      </c>
      <c r="Q3504">
        <f>IFERROR(1/(IF(Inputs!$B$38="pvp",15,MAX(0.1,Skills!D11-IF(TRUE=TRUE,5.0,0)))*(1-IF(AND(ArtifactsInput!$M$27,Inputs!$B$4="Chapter Hunt"),CHOOSE(ArtifactsInput!$N$27+1,20,24,28,32,36,40),0)/100)),0)</f>
        <v/>
      </c>
      <c r="R3504">
        <f>IF(AND(Inputs!$B$38&lt;&gt;"pvp",Inputs!$B$43&gt;0),IF(MAX(0,Inputs!$B$43-B3535)&lt;=0,0,(INT(MAX(0,Inputs!$B$43-B3535)/(IF(Inputs!$B$38="pvp",15,MAX(0.1,Skills!D11-IF(TRUE=TRUE,5.0,0)))*(1-IF(AND(ArtifactsInput!$M$27,Inputs!$B$4="Chapter Hunt"),CHOOSE(ArtifactsInput!$N$27+1,20,24,28,32,36,40),0)/100)))+1)),0)</f>
        <v/>
      </c>
      <c r="S3504">
        <f>IFERROR(O3504/N3504,0)</f>
        <v/>
      </c>
      <c r="T3504">
        <f>IF(C3504,(H3504*N3504*IF(AND(Inputs!$B$38&lt;&gt;"pvp",Inputs!$B$43&gt;0),((Skills!G11*((R3504-1)*IF(Skills!H11&gt;0,INT(Skills!I11/Skills!H11+0.000000001),1)+IF(Skills!H11&gt;0,INT(MIN(Skills!I11,MAX(0,MAX(0,Inputs!$B$43-B3535)-((R3504-1)*(IF(Inputs!$B$38="pvp",15,MAX(0.1,Skills!D11-IF(TRUE=TRUE,5.0,0)))*(1-IF(AND(ArtifactsInput!$M$27,Inputs!$B$4="Chapter Hunt"),CHOOSE(ArtifactsInput!$N$27+1,20,24,28,32,36,40),0)/100)))))/Skills!H11+0.000000001),1)))/Inputs!$B$43),G3504*Q3504)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4">
        <f>IF(C3504,(H3504*N3504*IF(AND(Inputs!$B$38&lt;&gt;"pvp",Inputs!$B$43&gt;0),((Skills!G11*((R3504-1)*IF(Skills!H11&gt;0,INT(Skills!I11/Skills!H11+0.000000001),1)+IF(Skills!H11&gt;0,INT(MIN(Skills!I11,MAX(0,MAX(0,Inputs!$B$43-B3535)-((R3504-1)*(IF(Inputs!$B$38="pvp",15,MAX(0.1,Skills!D11-IF(TRUE=TRUE,5.0,0)))*(1-IF(AND(ArtifactsInput!$M$27,Inputs!$B$4="Chapter Hunt"),CHOOSE(ArtifactsInput!$N$27+1,20,24,28,32,36,40),0)/100)))))/Skills!H11+0.000000001),1)))/Inputs!$B$43),G3504*Q3504))*IF(Inputs!$B$38="pvp",1,(1+(Inputs!$B$21+Skills!Q11+(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5">
      <c r="A3505">
        <f>Skills!A12</f>
        <v/>
      </c>
      <c r="B3505">
        <f>Skills!B12</f>
        <v/>
      </c>
      <c r="C3505">
        <f>Inputs!$B$3&gt;=100</f>
        <v/>
      </c>
      <c r="D3505">
        <f>IF(Skills!C12=1,60+Inputs!$B$25+Inputs!$B$29,IF(Skills!C12=2,90+Inputs!$B$26+Inputs!$B$29,IF(Skills!C12=3,120+Inputs!$B$27+Inputs!$B$29,MAX(0,(Inputs!$B$3-100)*3)+Inputs!$B$28+Inputs!$B$29)))</f>
        <v/>
      </c>
      <c r="E3505">
        <f>INDEX(FactorTable!$B$2:$Y$301, MATCH(ROUND(MIN(300,MAX(1,D3505)),0), FactorTable!$A$2:$A$301,0), Skills!M12+1)</f>
        <v/>
      </c>
      <c r="F3505">
        <f>IF(Skills!N12=TRUE,(Skills!L12/10)*(E3505/1000),Skills!L12/10)+Skills!O12</f>
        <v/>
      </c>
      <c r="G3505" t="inlineStr"/>
      <c r="H3505" t="inlineStr"/>
      <c r="I3505" t="inlineStr">
        <is>
          <t>1</t>
        </is>
      </c>
      <c r="J3505" t="inlineStr"/>
      <c r="K3505" t="inlineStr"/>
      <c r="L3505" t="inlineStr"/>
      <c r="M3505" t="inlineStr"/>
      <c r="N3505" t="inlineStr"/>
      <c r="O3505" t="inlineStr"/>
      <c r="P3505" t="inlineStr"/>
      <c r="Q3505" t="inlineStr"/>
      <c r="R3505" t="inlineStr"/>
      <c r="S3505" t="inlineStr"/>
      <c r="T3505" t="inlineStr"/>
      <c r="V3505" t="inlineStr"/>
    </row>
    <row r="3506">
      <c r="A3506">
        <f>Skills!A13</f>
        <v/>
      </c>
      <c r="B3506">
        <f>Skills!B13</f>
        <v/>
      </c>
      <c r="C3506">
        <f>Inputs!$B$3&gt;=60</f>
        <v/>
      </c>
      <c r="D3506">
        <f>IF(Skills!C13=1,60+Inputs!$B$25+Inputs!$B$29,IF(Skills!C13=2,90+Inputs!$B$26+Inputs!$B$29,IF(Skills!C13=3,120+Inputs!$B$27+Inputs!$B$29,MAX(0,(Inputs!$B$3-100)*3)+Inputs!$B$28+Inputs!$B$29)))</f>
        <v/>
      </c>
      <c r="E3506">
        <f>INDEX(FactorTable!$B$2:$Y$301, MATCH(ROUND(MIN(300,MAX(1,D3506)),0), FactorTable!$A$2:$A$301,0), Skills!M13+1)</f>
        <v/>
      </c>
      <c r="F3506">
        <f>IF(Skills!N13=TRUE,(Skills!L13/10)*(E3506/1000),Skills!L13/10)+Skills!O13</f>
        <v/>
      </c>
      <c r="G3506">
        <f>Skills!G13*IF(Skills!H13&gt;0,INT(IF(Inputs!$B$38="pvp",MIN(Skills!I13,15),Skills!I13)/Skills!H13+0.000000001),1)</f>
        <v/>
      </c>
      <c r="H3506">
        <f>1-(1-Skills!J13/100)^Skills!K13</f>
        <v/>
      </c>
      <c r="I3506" t="inlineStr">
        <is>
          <t>1</t>
        </is>
      </c>
      <c r="J3506">
        <f>((Inputs!$B$6*(1+Inputs!$B$7/100))+(((Inputs!$B$12*(1+Inputs!$B$13/100))-(Inputs!$B$12*(1+Inputs!$B$13/100)))+0.25*(Inputs!$B$14-Inputs!$B$14))*(1+Inputs!$B$7/100))*(F3506/100)</f>
        <v/>
      </c>
      <c r="K3506">
        <f>J3506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3507=TRUE,F3507,0)/100)*(1+(IF(Skills!A13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3506)</f>
        <v/>
      </c>
      <c r="L3506">
        <f>K3506*(MIN(Inputs!$B$22+((C3519=TRUE)*(F3519-Calc!F26)),(Inputs!$B$23+((C3524=TRUE)*(F3524-Calc!F31))+(IF(ArtifactsInput!$M$15,CHOOSE(ArtifactsInput!$N$15+1,25,30,35,40,45,50)/100*(Inputs!$B$11-Inputs!$B$11),0))))/100+(Inputs!$B$23+((C3524=TRUE)*(F3524-Calc!F31))+(IF(ArtifactsInput!$M$15,CHOOSE(ArtifactsInput!$N$15+1,25,30,35,40,45,50)/100*(Inputs!$B$11-Inputs!$B$11),0)))/100)/2</f>
        <v/>
      </c>
      <c r="M3506">
        <f>L3506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6">
        <f>L3506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6">
        <f>(1-Summary!$B$11)*T3506+Summary!$B$11*V3506</f>
        <v/>
      </c>
      <c r="P3506">
        <f>IF(B3538=0,0,O3506/B3538)</f>
        <v/>
      </c>
      <c r="Q3506">
        <f>IFERROR(1/(IF(Inputs!$B$38="pvp",15,MAX(0.1,IF(Inputs!$B$3&gt;=122,3,5)+1/(((20+30*(B3530-1)*100/150)/100)*B3530)-IF(FALSE=TRUE,5.0,0)))*(1-IF(AND(ArtifactsInput!$M$27,Inputs!$B$4="Chapter Hunt"),CHOOSE(ArtifactsInput!$N$27+1,20,24,28,32,36,40),0)/100)),0)</f>
        <v/>
      </c>
      <c r="R3506">
        <f>IF(AND(Inputs!$B$38&lt;&gt;"pvp",Inputs!$B$43&gt;0),IF(MAX(0,Inputs!$B$43-B3535)&lt;=0,0,(INT(MAX(0,Inputs!$B$43-B3535)/(IF(Inputs!$B$38="pvp",15,MAX(0.1,IF(Inputs!$B$3&gt;=122,3,5)+1/(((20+30*(B3530-1)*100/150)/100)*B3530)-IF(FALSE=TRUE,5.0,0)))*(1-IF(AND(ArtifactsInput!$M$27,Inputs!$B$4="Chapter Hunt"),CHOOSE(ArtifactsInput!$N$27+1,20,24,28,32,36,40),0)/100)))+1)),0)</f>
        <v/>
      </c>
      <c r="S3506">
        <f>IFERROR(O3506/N3506,0)</f>
        <v/>
      </c>
      <c r="T3506">
        <f>IF(C3506,(H3506*N3506*IF(AND(Inputs!$B$38&lt;&gt;"pvp",Inputs!$B$43&gt;0),((Skills!G13*((R3506-1)*IF(Skills!H13&gt;0,INT(Skills!I13/Skills!H13+0.000000001),1)+IF(Skills!H13&gt;0,INT(MIN(Skills!I13,MAX(0,MAX(0,Inputs!$B$43-B3535)-((R3506-1)*(IF(Inputs!$B$38="pvp",15,MAX(0.1,IF(Inputs!$B$3&gt;=122,3,5)+1/(((20+30*(B3530-1)*100/150)/100)*B3530)-IF(FALSE=TRUE,5.0,0)))*(1-IF(AND(ArtifactsInput!$M$27,Inputs!$B$4="Chapter Hunt"),CHOOSE(ArtifactsInput!$N$27+1,20,24,28,32,36,40),0)/100)))))/Skills!H13+0.000000001),1)))/Inputs!$B$43),G3506*Q3506)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6">
        <f>IF(C3506,(H3506*N3506*IF(AND(Inputs!$B$38&lt;&gt;"pvp",Inputs!$B$43&gt;0),((Skills!G13*((R3506-1)*IF(Skills!H13&gt;0,INT(Skills!I13/Skills!H13+0.000000001),1)+IF(Skills!H13&gt;0,INT(MIN(Skills!I13,MAX(0,MAX(0,Inputs!$B$43-B3535)-((R3506-1)*(IF(Inputs!$B$38="pvp",15,MAX(0.1,IF(Inputs!$B$3&gt;=122,3,5)+1/(((20+30*(B3530-1)*100/150)/100)*B3530)-IF(FALSE=TRUE,5.0,0)))*(1-IF(AND(ArtifactsInput!$M$27,Inputs!$B$4="Chapter Hunt"),CHOOSE(ArtifactsInput!$N$27+1,20,24,28,32,36,40),0)/100)))))/Skills!H13+0.000000001),1)))/Inputs!$B$43),G3506*Q3506))*IF(Inputs!$B$38="pvp",1,(1+(Inputs!$B$21+Skills!Q13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7">
      <c r="A3507">
        <f>Skills!A14</f>
        <v/>
      </c>
      <c r="B3507">
        <f>Skills!B14</f>
        <v/>
      </c>
      <c r="C3507">
        <f>Inputs!$B$3&gt;=110</f>
        <v/>
      </c>
      <c r="D3507">
        <f>IF(Skills!C14=1,60+Inputs!$B$25+Inputs!$B$29,IF(Skills!C14=2,90+Inputs!$B$26+Inputs!$B$29,IF(Skills!C14=3,120+Inputs!$B$27+Inputs!$B$29,MAX(0,(Inputs!$B$3-100)*3)+Inputs!$B$28+Inputs!$B$29)))</f>
        <v/>
      </c>
      <c r="E3507">
        <f>INDEX(FactorTable!$B$2:$Y$301, MATCH(ROUND(MIN(300,MAX(1,D3507)),0), FactorTable!$A$2:$A$301,0), Skills!M14+1)</f>
        <v/>
      </c>
      <c r="F3507">
        <f>IF(Skills!N14=TRUE,(Skills!L14/10)*(E3507/1000),Skills!L14/10)+Skills!O14</f>
        <v/>
      </c>
      <c r="G3507" t="inlineStr"/>
      <c r="H3507" t="inlineStr"/>
      <c r="I3507" t="inlineStr">
        <is>
          <t>1</t>
        </is>
      </c>
      <c r="J3507" t="inlineStr"/>
      <c r="K3507" t="inlineStr"/>
      <c r="L3507" t="inlineStr"/>
      <c r="M3507" t="inlineStr"/>
      <c r="N3507" t="inlineStr"/>
      <c r="O3507" t="inlineStr"/>
      <c r="P3507" t="inlineStr"/>
      <c r="Q3507" t="inlineStr"/>
      <c r="R3507" t="inlineStr"/>
      <c r="S3507" t="inlineStr"/>
      <c r="T3507" t="inlineStr"/>
      <c r="V3507" t="inlineStr"/>
    </row>
    <row r="3508">
      <c r="A3508">
        <f>Skills!A15</f>
        <v/>
      </c>
      <c r="B3508">
        <f>Skills!B15</f>
        <v/>
      </c>
      <c r="C3508">
        <f>Inputs!$B$3&gt;=74</f>
        <v/>
      </c>
      <c r="D3508">
        <f>IF(Skills!C15=1,60+Inputs!$B$25+Inputs!$B$29,IF(Skills!C15=2,90+Inputs!$B$26+Inputs!$B$29,IF(Skills!C15=3,120+Inputs!$B$27+Inputs!$B$29,MAX(0,(Inputs!$B$3-100)*3)+Inputs!$B$28+Inputs!$B$29)))</f>
        <v/>
      </c>
      <c r="E3508">
        <f>INDEX(FactorTable!$B$2:$Y$301, MATCH(ROUND(MIN(300,MAX(1,D3508)),0), FactorTable!$A$2:$A$301,0), Skills!M15+1)</f>
        <v/>
      </c>
      <c r="F3508">
        <f>IF(Skills!N15=TRUE,(Skills!L15/10)*(E3508/1000),Skills!L15/10)+Skills!O15</f>
        <v/>
      </c>
      <c r="G3508">
        <f>Skills!G15*IF(Skills!H15&gt;0,INT(IF(Inputs!$B$38="pvp",MIN(Skills!I15,15),Skills!I15)/Skills!H15+0.000000001),1)</f>
        <v/>
      </c>
      <c r="H3508">
        <f>1-(1-Skills!J15/100)^Skills!K15</f>
        <v/>
      </c>
      <c r="I3508" t="inlineStr">
        <is>
          <t>1</t>
        </is>
      </c>
      <c r="J3508" t="inlineStr"/>
      <c r="K3508" t="inlineStr"/>
      <c r="L3508" t="inlineStr"/>
      <c r="M3508" t="inlineStr"/>
      <c r="N3508" t="inlineStr"/>
      <c r="O3508">
        <f>(1-Summary!$B$11)*T3508+Summary!$B$11*V3508</f>
        <v/>
      </c>
      <c r="P3508">
        <f>IF(B3538=0,0,O3508/B3538)</f>
        <v/>
      </c>
      <c r="Q3508" t="n">
        <v>0</v>
      </c>
      <c r="R3508" t="n">
        <v>0</v>
      </c>
      <c r="S3508">
        <f>IFERROR(O3508/N3508,0)</f>
        <v/>
      </c>
      <c r="T3508" t="n">
        <v>0</v>
      </c>
      <c r="V3508" t="n">
        <v>0</v>
      </c>
    </row>
    <row r="3509">
      <c r="A3509">
        <f>Skills!A16</f>
        <v/>
      </c>
      <c r="B3509">
        <f>Skills!B16</f>
        <v/>
      </c>
      <c r="C3509">
        <f>Inputs!$B$3&gt;=74</f>
        <v/>
      </c>
      <c r="D3509">
        <f>IF(Skills!C16=1,60+Inputs!$B$25+Inputs!$B$29,IF(Skills!C16=2,90+Inputs!$B$26+Inputs!$B$29,IF(Skills!C16=3,120+Inputs!$B$27+Inputs!$B$29,MAX(0,(Inputs!$B$3-100)*3)+Inputs!$B$28+Inputs!$B$29)))</f>
        <v/>
      </c>
      <c r="E3509">
        <f>INDEX(FactorTable!$B$2:$Y$301, MATCH(ROUND(MIN(300,MAX(1,D3509)),0), FactorTable!$A$2:$A$301,0), Skills!M16+1)</f>
        <v/>
      </c>
      <c r="F3509">
        <f>IF(Skills!N16=TRUE,(Skills!L16/10)*(E3509/1000),Skills!L16/10)+Skills!O16</f>
        <v/>
      </c>
      <c r="G3509">
        <f>Skills!G16*IF(Skills!H16&gt;0,INT(IF(Inputs!$B$38="pvp",MIN(Skills!I16,15),Skills!I16)/Skills!H16+0.000000001),1)</f>
        <v/>
      </c>
      <c r="H3509">
        <f>1-(1-Skills!J16/100)^Skills!K16</f>
        <v/>
      </c>
      <c r="I3509" t="inlineStr">
        <is>
          <t>1</t>
        </is>
      </c>
      <c r="J3509" t="inlineStr"/>
      <c r="K3509" t="inlineStr"/>
      <c r="L3509" t="inlineStr"/>
      <c r="M3509" t="inlineStr"/>
      <c r="N3509" t="inlineStr"/>
      <c r="O3509">
        <f>(1-Summary!$B$11)*T3509+Summary!$B$11*V3509</f>
        <v/>
      </c>
      <c r="P3509">
        <f>IF(B3538=0,0,O3509/B3538)</f>
        <v/>
      </c>
      <c r="Q3509" t="n">
        <v>0</v>
      </c>
      <c r="R3509" t="n">
        <v>0</v>
      </c>
      <c r="S3509">
        <f>IFERROR(O3509/N3509,0)</f>
        <v/>
      </c>
      <c r="T3509" t="n">
        <v>0</v>
      </c>
      <c r="V3509" t="n">
        <v>0</v>
      </c>
    </row>
    <row r="3510">
      <c r="A3510">
        <f>Skills!A17</f>
        <v/>
      </c>
      <c r="B3510">
        <f>Skills!B17</f>
        <v/>
      </c>
      <c r="C3510">
        <f>Inputs!$B$3&gt;=117</f>
        <v/>
      </c>
      <c r="D3510">
        <f>IF(Skills!C17=1,60+Inputs!$B$25+Inputs!$B$29,IF(Skills!C17=2,90+Inputs!$B$26+Inputs!$B$29,IF(Skills!C17=3,120+Inputs!$B$27+Inputs!$B$29,MAX(0,(Inputs!$B$3-100)*3)+Inputs!$B$28+Inputs!$B$29)))</f>
        <v/>
      </c>
      <c r="E3510">
        <f>INDEX(FactorTable!$B$2:$Y$301, MATCH(ROUND(MIN(300,MAX(1,D3510)),0), FactorTable!$A$2:$A$301,0), Skills!M17+1)</f>
        <v/>
      </c>
      <c r="F3510">
        <f>IF(Skills!N17=TRUE,(Skills!L17/10)*(E3510/1000),Skills!L17/10)+Skills!O17</f>
        <v/>
      </c>
      <c r="G3510">
        <f>Skills!G17*IF(Skills!H17&gt;0,INT(IF(Inputs!$B$38="pvp",MIN(Skills!I17,15),Skills!I17)/Skills!H17+0.000000001),1)</f>
        <v/>
      </c>
      <c r="H3510">
        <f>1-(1-Skills!J17/100)^Skills!K17</f>
        <v/>
      </c>
      <c r="I3510" t="inlineStr">
        <is>
          <t>1</t>
        </is>
      </c>
      <c r="J3510" t="inlineStr"/>
      <c r="K3510" t="inlineStr"/>
      <c r="L3510" t="inlineStr"/>
      <c r="M3510" t="inlineStr"/>
      <c r="N3510" t="inlineStr"/>
      <c r="O3510">
        <f>(1-Summary!$B$11)*T3510+Summary!$B$11*V3510</f>
        <v/>
      </c>
      <c r="P3510">
        <f>IF(B3538=0,0,O3510/B3538)</f>
        <v/>
      </c>
      <c r="Q3510">
        <f>IFERROR(1/(IF(Inputs!$B$38="pvp",15,MAX(0.1,Skills!D17-IF(TRUE=TRUE,5.0,0)))*(1-IF(AND(ArtifactsInput!$M$27,Inputs!$B$4="Chapter Hunt"),CHOOSE(ArtifactsInput!$N$27+1,20,24,28,32,36,40),0)/100)),0)</f>
        <v/>
      </c>
      <c r="R3510">
        <f>IF(AND(Inputs!$B$38&lt;&gt;"pvp",Inputs!$B$43&gt;0),IF(Inputs!$B$43&lt;=0,0,(INT(Inputs!$B$43/(IF(Inputs!$B$38="pvp",15,MAX(0.1,Skills!D17-IF(TRUE=TRUE,5.0,0)))*(1-IF(AND(ArtifactsInput!$M$27,Inputs!$B$4="Chapter Hunt"),CHOOSE(ArtifactsInput!$N$27+1,20,24,28,32,36,40),0)/100)))+1)),0)</f>
        <v/>
      </c>
      <c r="S3510">
        <f>IFERROR(O3510/N3510,0)</f>
        <v/>
      </c>
      <c r="T3510" t="n">
        <v>0</v>
      </c>
      <c r="V3510" t="n">
        <v>0</v>
      </c>
    </row>
    <row r="3511">
      <c r="A3511">
        <f>Skills!A18</f>
        <v/>
      </c>
      <c r="B3511">
        <f>Skills!B18</f>
        <v/>
      </c>
      <c r="C3511">
        <f>Inputs!$B$3&gt;=115</f>
        <v/>
      </c>
      <c r="D3511">
        <f>IF(Skills!C18=1,60+Inputs!$B$25+Inputs!$B$29,IF(Skills!C18=2,90+Inputs!$B$26+Inputs!$B$29,IF(Skills!C18=3,120+Inputs!$B$27+Inputs!$B$29,MAX(0,(Inputs!$B$3-100)*3)+Inputs!$B$28+Inputs!$B$29)))</f>
        <v/>
      </c>
      <c r="E3511">
        <f>INDEX(FactorTable!$B$2:$Y$301, MATCH(ROUND(MIN(300,MAX(1,D3511)),0), FactorTable!$A$2:$A$301,0), Skills!M18+1)</f>
        <v/>
      </c>
      <c r="F3511">
        <f>IF(Skills!N18=TRUE,(Skills!L18/10)*(E3511/1000),Skills!L18/10)+Skills!O18</f>
        <v/>
      </c>
      <c r="G3511">
        <f>Skills!G18*IF(Skills!H18&gt;0,INT(IF(Inputs!$B$38="pvp",MIN(Skills!I18,15),Skills!I18)/Skills!H18+0.000000001),1)</f>
        <v/>
      </c>
      <c r="H3511">
        <f>1-(1-Skills!J18/100)^Skills!K18</f>
        <v/>
      </c>
      <c r="I3511" t="inlineStr">
        <is>
          <t>1</t>
        </is>
      </c>
      <c r="J3511" t="inlineStr"/>
      <c r="K3511" t="inlineStr"/>
      <c r="L3511" t="inlineStr"/>
      <c r="M3511" t="inlineStr"/>
      <c r="N3511" t="inlineStr"/>
      <c r="O3511">
        <f>(1-Summary!$B$11)*T3511+Summary!$B$11*V3511</f>
        <v/>
      </c>
      <c r="P3511">
        <f>IF(B3538=0,0,O3511/B3538)</f>
        <v/>
      </c>
      <c r="Q3511">
        <f>IFERROR(1/(IF(Inputs!$B$38="pvp",15,MAX(0.1,Skills!D18-IF(TRUE=TRUE,5.0,0)))*(1-IF(AND(ArtifactsInput!$M$27,Inputs!$B$4="Chapter Hunt"),CHOOSE(ArtifactsInput!$N$27+1,20,24,28,32,36,40),0)/100)),0)</f>
        <v/>
      </c>
      <c r="R3511">
        <f>IF(AND(Inputs!$B$38&lt;&gt;"pvp",Inputs!$B$43&gt;0),IF(Inputs!$B$43&lt;=0,0,(INT(Inputs!$B$43/(IF(Inputs!$B$38="pvp",15,MAX(0.1,Skills!D18-IF(TRUE=TRUE,5.0,0)))*(1-IF(AND(ArtifactsInput!$M$27,Inputs!$B$4="Chapter Hunt"),CHOOSE(ArtifactsInput!$N$27+1,20,24,28,32,36,40),0)/100)))+1)),0)</f>
        <v/>
      </c>
      <c r="S3511">
        <f>IFERROR(O3511/N3511,0)</f>
        <v/>
      </c>
      <c r="T3511" t="n">
        <v>0</v>
      </c>
      <c r="V3511" t="n">
        <v>0</v>
      </c>
    </row>
    <row r="3512">
      <c r="A3512">
        <f>Skills!A19</f>
        <v/>
      </c>
      <c r="B3512">
        <f>Skills!B19</f>
        <v/>
      </c>
      <c r="C3512">
        <f>Inputs!$B$3&gt;=66</f>
        <v/>
      </c>
      <c r="D3512">
        <f>IF(Skills!C19=1,60+Inputs!$B$25+Inputs!$B$29,IF(Skills!C19=2,90+Inputs!$B$26+Inputs!$B$29,IF(Skills!C19=3,120+Inputs!$B$27+Inputs!$B$29,MAX(0,(Inputs!$B$3-100)*3)+Inputs!$B$28+Inputs!$B$29)))</f>
        <v/>
      </c>
      <c r="E3512">
        <f>INDEX(FactorTable!$B$2:$Y$301, MATCH(ROUND(MIN(300,MAX(1,D3512)),0), FactorTable!$A$2:$A$301,0), Skills!M19+1)</f>
        <v/>
      </c>
      <c r="F3512">
        <f>IF(Skills!N19=TRUE,(Skills!L19/10)*(E3512/1000),Skills!L19/10)+Skills!O19</f>
        <v/>
      </c>
      <c r="G3512">
        <f>Skills!G19*IF(Skills!H19&gt;0,INT(IF(Inputs!$B$38="pvp",MIN(Skills!I19,15),Skills!I19)/Skills!H19+0.000000001),1)</f>
        <v/>
      </c>
      <c r="H3512">
        <f>1-(1-Skills!J19/100)^Skills!K19</f>
        <v/>
      </c>
      <c r="I3512" t="inlineStr">
        <is>
          <t>1</t>
        </is>
      </c>
      <c r="J3512" t="inlineStr"/>
      <c r="K3512" t="inlineStr"/>
      <c r="L3512" t="inlineStr"/>
      <c r="M3512" t="inlineStr"/>
      <c r="N3512" t="inlineStr"/>
      <c r="O3512">
        <f>(1-Summary!$B$11)*T3512+Summary!$B$11*V3512</f>
        <v/>
      </c>
      <c r="P3512">
        <f>IF(B3538=0,0,O3512/B3538)</f>
        <v/>
      </c>
      <c r="Q3512" t="n">
        <v>0</v>
      </c>
      <c r="R3512" t="n">
        <v>0</v>
      </c>
      <c r="S3512">
        <f>IFERROR(O3512/N3512,0)</f>
        <v/>
      </c>
      <c r="T3512" t="n">
        <v>0</v>
      </c>
      <c r="V3512" t="n">
        <v>0</v>
      </c>
    </row>
    <row r="3513">
      <c r="A3513">
        <f>Skills!A20</f>
        <v/>
      </c>
      <c r="B3513">
        <f>Skills!B20</f>
        <v/>
      </c>
      <c r="C3513">
        <f>Inputs!$B$3&gt;=72</f>
        <v/>
      </c>
      <c r="D3513">
        <f>IF(Skills!C20=1,60+Inputs!$B$25+Inputs!$B$29,IF(Skills!C20=2,90+Inputs!$B$26+Inputs!$B$29,IF(Skills!C20=3,120+Inputs!$B$27+Inputs!$B$29,MAX(0,(Inputs!$B$3-100)*3)+Inputs!$B$28+Inputs!$B$29)))</f>
        <v/>
      </c>
      <c r="E3513">
        <f>INDEX(FactorTable!$B$2:$Y$301, MATCH(ROUND(MIN(300,MAX(1,D3513)),0), FactorTable!$A$2:$A$301,0), Skills!M20+1)</f>
        <v/>
      </c>
      <c r="F3513">
        <f>IF(Skills!N20=TRUE,(Skills!L20/10)*(E3513/1000),Skills!L20/10)+Skills!O20</f>
        <v/>
      </c>
      <c r="G3513">
        <f>Skills!G20*IF(Skills!H20&gt;0,INT(IF(Inputs!$B$38="pvp",MIN(Skills!I20,15),Skills!I20)/Skills!H20+0.000000001),1)</f>
        <v/>
      </c>
      <c r="H3513">
        <f>1-(1-Skills!J20/100)^Skills!K20</f>
        <v/>
      </c>
      <c r="I3513" t="inlineStr">
        <is>
          <t>1</t>
        </is>
      </c>
      <c r="J3513" t="inlineStr"/>
      <c r="K3513" t="inlineStr"/>
      <c r="L3513" t="inlineStr"/>
      <c r="M3513" t="inlineStr"/>
      <c r="N3513" t="inlineStr"/>
      <c r="O3513">
        <f>(1-Summary!$B$11)*T3513+Summary!$B$11*V3513</f>
        <v/>
      </c>
      <c r="P3513">
        <f>IF(B3538=0,0,O3513/B3538)</f>
        <v/>
      </c>
      <c r="Q3513" t="n">
        <v>0</v>
      </c>
      <c r="R3513" t="n">
        <v>0</v>
      </c>
      <c r="S3513">
        <f>IFERROR(O3513/N3513,0)</f>
        <v/>
      </c>
      <c r="T3513" t="n">
        <v>0</v>
      </c>
      <c r="V3513" t="n">
        <v>0</v>
      </c>
    </row>
    <row r="3514">
      <c r="A3514">
        <f>Skills!A21</f>
        <v/>
      </c>
      <c r="B3514">
        <f>Skills!B21</f>
        <v/>
      </c>
      <c r="C3514">
        <f>TRUE</f>
        <v/>
      </c>
      <c r="D3514">
        <f>IF(Skills!C21=1,60+Inputs!$B$25+Inputs!$B$29,IF(Skills!C21=2,90+Inputs!$B$26+Inputs!$B$29,IF(Skills!C21=3,120+Inputs!$B$27+Inputs!$B$29,MAX(0,(Inputs!$B$3-100)*3)+Inputs!$B$28+Inputs!$B$29)))</f>
        <v/>
      </c>
      <c r="E3514">
        <f>INDEX(FactorTable!$B$2:$Y$301, MATCH(ROUND(MIN(300,MAX(1,D3514)),0), FactorTable!$A$2:$A$301,0), Skills!M21+1)</f>
        <v/>
      </c>
      <c r="F3514">
        <f>IF(Skills!N21=TRUE,(Skills!L21/10)*(E3514/1000),Skills!L21/10)+Skills!O21</f>
        <v/>
      </c>
      <c r="G3514">
        <f>Skills!G21*IF(Skills!H21&gt;0,INT(IF(Inputs!$B$38="pvp",MIN(Skills!I21,15),Skills!I21)/Skills!H21+0.000000001),1)</f>
        <v/>
      </c>
      <c r="H3514">
        <f>1-(1-Skills!J21/100)^Skills!K21</f>
        <v/>
      </c>
      <c r="I3514" t="inlineStr">
        <is>
          <t>1</t>
        </is>
      </c>
      <c r="J3514" t="inlineStr"/>
      <c r="K3514" t="inlineStr"/>
      <c r="L3514" t="inlineStr"/>
      <c r="M3514" t="inlineStr"/>
      <c r="N3514" t="inlineStr"/>
      <c r="O3514">
        <f>(1-Summary!$B$11)*T3514+Summary!$B$11*V3514</f>
        <v/>
      </c>
      <c r="P3514">
        <f>IF(B3538=0,0,O3514/B3538)</f>
        <v/>
      </c>
      <c r="Q3514">
        <f>IFERROR(1/(IF(Inputs!$B$38="pvp",15,MAX(0.1,Skills!D21-IF(TRUE=TRUE,5.0,0)))*(1-IF(AND(ArtifactsInput!$M$27,Inputs!$B$4="Chapter Hunt"),CHOOSE(ArtifactsInput!$N$27+1,20,24,28,32,36,40),0)/100)),0)</f>
        <v/>
      </c>
      <c r="R3514">
        <f>IF(AND(Inputs!$B$38&lt;&gt;"pvp",Inputs!$B$43&gt;0),IF(Inputs!$B$43&lt;=0,0,(INT(Inputs!$B$43/(IF(Inputs!$B$38="pvp",15,MAX(0.1,Skills!D21-IF(TRUE=TRUE,5.0,0)))*(1-IF(AND(ArtifactsInput!$M$27,Inputs!$B$4="Chapter Hunt"),CHOOSE(ArtifactsInput!$N$27+1,20,24,28,32,36,40),0)/100)))+1)),0)</f>
        <v/>
      </c>
      <c r="S3514">
        <f>IFERROR(O3514/N3514,0)</f>
        <v/>
      </c>
      <c r="T3514" t="n">
        <v>0</v>
      </c>
      <c r="V3514" t="n">
        <v>0</v>
      </c>
    </row>
    <row r="3515">
      <c r="A3515">
        <f>Skills!A22</f>
        <v/>
      </c>
      <c r="B3515">
        <f>Skills!B22</f>
        <v/>
      </c>
      <c r="C3515">
        <f>Inputs!$B$3&gt;=15</f>
        <v/>
      </c>
      <c r="D3515">
        <f>IF(Skills!C22=1,60+Inputs!$B$25+Inputs!$B$29,IF(Skills!C22=2,90+Inputs!$B$26+Inputs!$B$29,IF(Skills!C22=3,120+Inputs!$B$27+Inputs!$B$29,MAX(0,(Inputs!$B$3-100)*3)+Inputs!$B$28+Inputs!$B$29)))</f>
        <v/>
      </c>
      <c r="E3515">
        <f>INDEX(FactorTable!$B$2:$Y$301, MATCH(ROUND(MIN(300,MAX(1,D3515)),0), FactorTable!$A$2:$A$301,0), Skills!M22+1)</f>
        <v/>
      </c>
      <c r="F3515">
        <f>IF(Skills!N22=TRUE,(Skills!L22/10)*(E3515/1000),Skills!L22/10)+Skills!O22</f>
        <v/>
      </c>
      <c r="G3515">
        <f>Skills!G22*IF(Skills!H22&gt;0,INT(IF(Inputs!$B$38="pvp",MIN(Skills!I22,15),Skills!I22)/Skills!H22+0.000000001),1)</f>
        <v/>
      </c>
      <c r="H3515">
        <f>1-(1-Skills!J22/100)^Skills!K22</f>
        <v/>
      </c>
      <c r="I3515" t="inlineStr">
        <is>
          <t>1</t>
        </is>
      </c>
      <c r="J3515" t="inlineStr"/>
      <c r="K3515" t="inlineStr"/>
      <c r="L3515" t="inlineStr"/>
      <c r="M3515" t="inlineStr"/>
      <c r="N3515" t="inlineStr"/>
      <c r="O3515">
        <f>(1-Summary!$B$11)*T3515+Summary!$B$11*V3515</f>
        <v/>
      </c>
      <c r="P3515">
        <f>IF(B3538=0,0,O3515/B3538)</f>
        <v/>
      </c>
      <c r="Q3515" t="n">
        <v>0</v>
      </c>
      <c r="R3515" t="n">
        <v>0</v>
      </c>
      <c r="S3515">
        <f>IFERROR(O3515/N3515,0)</f>
        <v/>
      </c>
      <c r="T3515" t="n">
        <v>0</v>
      </c>
      <c r="V3515" t="n">
        <v>0</v>
      </c>
    </row>
    <row r="3516">
      <c r="A3516">
        <f>Skills!A23</f>
        <v/>
      </c>
      <c r="B3516">
        <f>Skills!B23</f>
        <v/>
      </c>
      <c r="C3516">
        <f>Inputs!$B$3&gt;=10</f>
        <v/>
      </c>
      <c r="D3516">
        <f>IF(Skills!C23=1,60+Inputs!$B$25+Inputs!$B$29,IF(Skills!C23=2,90+Inputs!$B$26+Inputs!$B$29,IF(Skills!C23=3,120+Inputs!$B$27+Inputs!$B$29,MAX(0,(Inputs!$B$3-100)*3)+Inputs!$B$28+Inputs!$B$29)))</f>
        <v/>
      </c>
      <c r="E3516">
        <f>INDEX(FactorTable!$B$2:$Y$301, MATCH(ROUND(MIN(300,MAX(1,D3516)),0), FactorTable!$A$2:$A$301,0), Skills!M23+1)</f>
        <v/>
      </c>
      <c r="F3516">
        <f>IF(Skills!N23=TRUE,(Skills!L23/10)*(E3516/1000),Skills!L23/10)+Skills!O23</f>
        <v/>
      </c>
      <c r="G3516">
        <f>Skills!G23*IF(Skills!H23&gt;0,INT(IF(Inputs!$B$38="pvp",MIN(Skills!I23,15),Skills!I23)/Skills!H23+0.000000001),1)</f>
        <v/>
      </c>
      <c r="H3516">
        <f>1-(1-Skills!J23/100)^Skills!K23</f>
        <v/>
      </c>
      <c r="I3516" t="inlineStr">
        <is>
          <t>1</t>
        </is>
      </c>
      <c r="J3516" t="inlineStr"/>
      <c r="K3516" t="inlineStr"/>
      <c r="L3516" t="inlineStr"/>
      <c r="M3516" t="inlineStr"/>
      <c r="N3516" t="inlineStr"/>
      <c r="O3516">
        <f>(1-Summary!$B$11)*T3516+Summary!$B$11*V3516</f>
        <v/>
      </c>
      <c r="P3516">
        <f>IF(B3538=0,0,O3516/B3538)</f>
        <v/>
      </c>
      <c r="Q3516" t="n">
        <v>0</v>
      </c>
      <c r="R3516" t="n">
        <v>0</v>
      </c>
      <c r="S3516">
        <f>IFERROR(O3516/N3516,0)</f>
        <v/>
      </c>
      <c r="T3516" t="n">
        <v>0</v>
      </c>
      <c r="V3516" t="n">
        <v>0</v>
      </c>
    </row>
    <row r="3517">
      <c r="A3517">
        <f>Skills!A24</f>
        <v/>
      </c>
      <c r="B3517">
        <f>Skills!B24</f>
        <v/>
      </c>
      <c r="C3517">
        <f>Inputs!$B$3&gt;=33</f>
        <v/>
      </c>
      <c r="D3517">
        <f>IF(Skills!C24=1,60+Inputs!$B$25+Inputs!$B$29,IF(Skills!C24=2,90+Inputs!$B$26+Inputs!$B$29,IF(Skills!C24=3,120+Inputs!$B$27+Inputs!$B$29,MAX(0,(Inputs!$B$3-100)*3)+Inputs!$B$28+Inputs!$B$29)))</f>
        <v/>
      </c>
      <c r="E3517">
        <f>INDEX(FactorTable!$B$2:$Y$301, MATCH(ROUND(MIN(300,MAX(1,D3517)),0), FactorTable!$A$2:$A$301,0), Skills!M24+1)</f>
        <v/>
      </c>
      <c r="F3517">
        <f>IF(Skills!N24=TRUE,(Skills!L24/10)*(E3517/1000),Skills!L24/10)+Skills!O24</f>
        <v/>
      </c>
      <c r="G3517">
        <f>Skills!G24*IF(Skills!H24&gt;0,INT(IF(Inputs!$B$38="pvp",MIN(Skills!I24,15),Skills!I24)/Skills!H24+0.000000001),1)</f>
        <v/>
      </c>
      <c r="H3517">
        <f>1-(1-Skills!J24/100)^Skills!K24</f>
        <v/>
      </c>
      <c r="I3517" t="inlineStr">
        <is>
          <t>1</t>
        </is>
      </c>
      <c r="J3517" t="inlineStr"/>
      <c r="K3517" t="inlineStr"/>
      <c r="L3517" t="inlineStr"/>
      <c r="M3517" t="inlineStr"/>
      <c r="N3517" t="inlineStr"/>
      <c r="O3517">
        <f>(1-Summary!$B$11)*T3517+Summary!$B$11*V3517</f>
        <v/>
      </c>
      <c r="P3517">
        <f>IF(B3538=0,0,O3517/B3538)</f>
        <v/>
      </c>
      <c r="Q3517" t="n">
        <v>0</v>
      </c>
      <c r="R3517" t="n">
        <v>0</v>
      </c>
      <c r="S3517">
        <f>IFERROR(O3517/N3517,0)</f>
        <v/>
      </c>
      <c r="T3517" t="n">
        <v>0</v>
      </c>
      <c r="V3517" t="n">
        <v>0</v>
      </c>
    </row>
    <row r="3518">
      <c r="A3518">
        <f>Skills!A25</f>
        <v/>
      </c>
      <c r="B3518">
        <f>Skills!B25</f>
        <v/>
      </c>
      <c r="C3518">
        <f>Inputs!$B$3&gt;=38</f>
        <v/>
      </c>
      <c r="D3518">
        <f>IF(Skills!C25=1,60+Inputs!$B$25+Inputs!$B$29,IF(Skills!C25=2,90+Inputs!$B$26+Inputs!$B$29,IF(Skills!C25=3,120+Inputs!$B$27+Inputs!$B$29,MAX(0,(Inputs!$B$3-100)*3)+Inputs!$B$28+Inputs!$B$29)))</f>
        <v/>
      </c>
      <c r="E3518">
        <f>INDEX(FactorTable!$B$2:$Y$301, MATCH(ROUND(MIN(300,MAX(1,D3518)),0), FactorTable!$A$2:$A$301,0), Skills!M25+1)</f>
        <v/>
      </c>
      <c r="F3518">
        <f>IF(Skills!N25=TRUE,(Skills!L25/10)*(E3518/1000),Skills!L25/10)+Skills!O25</f>
        <v/>
      </c>
      <c r="G3518">
        <f>Skills!G25*IF(Skills!H25&gt;0,INT(IF(Inputs!$B$38="pvp",MIN(Skills!I25,15),Skills!I25)/Skills!H25+0.000000001),1)</f>
        <v/>
      </c>
      <c r="H3518">
        <f>1-(1-Skills!J25/100)^Skills!K25</f>
        <v/>
      </c>
      <c r="I3518" t="inlineStr">
        <is>
          <t>1</t>
        </is>
      </c>
      <c r="J3518" t="inlineStr"/>
      <c r="K3518" t="inlineStr"/>
      <c r="L3518" t="inlineStr"/>
      <c r="M3518" t="inlineStr"/>
      <c r="N3518" t="inlineStr"/>
      <c r="O3518">
        <f>(1-Summary!$B$11)*T3518+Summary!$B$11*V3518</f>
        <v/>
      </c>
      <c r="P3518">
        <f>IF(B3538=0,0,O3518/B3538)</f>
        <v/>
      </c>
      <c r="Q3518" t="n">
        <v>0</v>
      </c>
      <c r="R3518" t="n">
        <v>0</v>
      </c>
      <c r="S3518">
        <f>IFERROR(O3518/N3518,0)</f>
        <v/>
      </c>
      <c r="T3518" t="n">
        <v>0</v>
      </c>
      <c r="V3518" t="n">
        <v>0</v>
      </c>
    </row>
    <row r="3519">
      <c r="A3519">
        <f>Skills!A26</f>
        <v/>
      </c>
      <c r="B3519">
        <f>Skills!B26</f>
        <v/>
      </c>
      <c r="C3519">
        <f>Inputs!$B$3&gt;=43</f>
        <v/>
      </c>
      <c r="D3519">
        <f>IF(Skills!C26=1,60+Inputs!$B$25+Inputs!$B$29,IF(Skills!C26=2,90+Inputs!$B$26+Inputs!$B$29,IF(Skills!C26=3,120+Inputs!$B$27+Inputs!$B$29,MAX(0,(Inputs!$B$3-100)*3)+Inputs!$B$28+Inputs!$B$29)))</f>
        <v/>
      </c>
      <c r="E3519">
        <f>INDEX(FactorTable!$B$2:$Y$301, MATCH(ROUND(MIN(300,MAX(1,D3519)),0), FactorTable!$A$2:$A$301,0), Skills!M26+1)</f>
        <v/>
      </c>
      <c r="F3519">
        <f>IF(Skills!N26=TRUE,(Skills!L26/10)*(E3519/1000),Skills!L26/10)+Skills!O26</f>
        <v/>
      </c>
      <c r="G3519">
        <f>Skills!G26*IF(Skills!H26&gt;0,INT(IF(Inputs!$B$38="pvp",MIN(Skills!I26,15),Skills!I26)/Skills!H26+0.000000001),1)</f>
        <v/>
      </c>
      <c r="H3519">
        <f>1-(1-Skills!J26/100)^Skills!K26</f>
        <v/>
      </c>
      <c r="I3519" t="inlineStr">
        <is>
          <t>1</t>
        </is>
      </c>
      <c r="J3519" t="inlineStr"/>
      <c r="K3519" t="inlineStr"/>
      <c r="L3519" t="inlineStr"/>
      <c r="M3519" t="inlineStr"/>
      <c r="N3519" t="inlineStr"/>
      <c r="O3519">
        <f>(1-Summary!$B$11)*T3519+Summary!$B$11*V3519</f>
        <v/>
      </c>
      <c r="P3519">
        <f>IF(B3538=0,0,O3519/B3538)</f>
        <v/>
      </c>
      <c r="Q3519" t="n">
        <v>0</v>
      </c>
      <c r="R3519" t="n">
        <v>0</v>
      </c>
      <c r="S3519">
        <f>IFERROR(O3519/N3519,0)</f>
        <v/>
      </c>
      <c r="T3519" t="n">
        <v>0</v>
      </c>
      <c r="V3519" t="n">
        <v>0</v>
      </c>
    </row>
    <row r="3520">
      <c r="A3520">
        <f>Skills!A27</f>
        <v/>
      </c>
      <c r="B3520">
        <f>Skills!B27</f>
        <v/>
      </c>
      <c r="C3520">
        <f>Inputs!$B$3&gt;=75</f>
        <v/>
      </c>
      <c r="D3520">
        <f>IF(Skills!C27=1,60+Inputs!$B$25+Inputs!$B$29,IF(Skills!C27=2,90+Inputs!$B$26+Inputs!$B$29,IF(Skills!C27=3,120+Inputs!$B$27+Inputs!$B$29,MAX(0,(Inputs!$B$3-100)*3)+Inputs!$B$28+Inputs!$B$29)))</f>
        <v/>
      </c>
      <c r="E3520">
        <f>INDEX(FactorTable!$B$2:$Y$301, MATCH(ROUND(MIN(300,MAX(1,D3520)),0), FactorTable!$A$2:$A$301,0), Skills!M27+1)</f>
        <v/>
      </c>
      <c r="F3520">
        <f>IF(Skills!N27=TRUE,(Skills!L27/10)*(E3520/1000),Skills!L27/10)+Skills!O27</f>
        <v/>
      </c>
      <c r="G3520">
        <f>Skills!G27*IF(Skills!H27&gt;0,INT(IF(Inputs!$B$38="pvp",MIN(Skills!I27,15),Skills!I27)/Skills!H27+0.000000001),1)</f>
        <v/>
      </c>
      <c r="H3520">
        <f>1-(1-Skills!J27/100)^Skills!K27</f>
        <v/>
      </c>
      <c r="I3520" t="inlineStr">
        <is>
          <t>1</t>
        </is>
      </c>
      <c r="J3520" t="inlineStr"/>
      <c r="K3520" t="inlineStr"/>
      <c r="L3520" t="inlineStr"/>
      <c r="M3520" t="inlineStr"/>
      <c r="N3520" t="inlineStr"/>
      <c r="O3520">
        <f>(1-Summary!$B$11)*T3520+Summary!$B$11*V3520</f>
        <v/>
      </c>
      <c r="P3520">
        <f>IF(B3538=0,0,O3520/B3538)</f>
        <v/>
      </c>
      <c r="Q3520" t="n">
        <v>0</v>
      </c>
      <c r="R3520" t="n">
        <v>0</v>
      </c>
      <c r="S3520">
        <f>IFERROR(O3520/N3520,0)</f>
        <v/>
      </c>
      <c r="T3520" t="n">
        <v>0</v>
      </c>
      <c r="V3520" t="n">
        <v>0</v>
      </c>
    </row>
    <row r="3521">
      <c r="A3521">
        <f>Skills!A28</f>
        <v/>
      </c>
      <c r="B3521">
        <f>Skills!B28</f>
        <v/>
      </c>
      <c r="C3521">
        <f>Inputs!$B$3&gt;=125</f>
        <v/>
      </c>
      <c r="D3521">
        <f>IF(Skills!C28=1,60+Inputs!$B$25+Inputs!$B$29,IF(Skills!C28=2,90+Inputs!$B$26+Inputs!$B$29,IF(Skills!C28=3,120+Inputs!$B$27+Inputs!$B$29,MAX(0,(Inputs!$B$3-100)*3)+Inputs!$B$28+Inputs!$B$29)))</f>
        <v/>
      </c>
      <c r="E3521">
        <f>INDEX(FactorTable!$B$2:$Y$301, MATCH(ROUND(MIN(300,MAX(1,D3521)),0), FactorTable!$A$2:$A$301,0), Skills!M28+1)</f>
        <v/>
      </c>
      <c r="F3521">
        <f>IF(Skills!N28=TRUE,(Skills!L28/10)*(E3521/1000),Skills!L28/10)+Skills!O28</f>
        <v/>
      </c>
      <c r="G3521">
        <f>Skills!G28*IF(Skills!H28&gt;0,INT(IF(Inputs!$B$38="pvp",MIN(Skills!I28,15),Skills!I28)/Skills!H28+0.000000001),1)</f>
        <v/>
      </c>
      <c r="H3521">
        <f>1-(1-Skills!J28/100)^Skills!K28</f>
        <v/>
      </c>
      <c r="I3521" t="inlineStr">
        <is>
          <t>1</t>
        </is>
      </c>
      <c r="J3521" t="inlineStr"/>
      <c r="K3521" t="inlineStr"/>
      <c r="L3521" t="inlineStr"/>
      <c r="M3521" t="inlineStr"/>
      <c r="N3521" t="inlineStr"/>
      <c r="O3521">
        <f>(1-Summary!$B$11)*T3521+Summary!$B$11*V3521</f>
        <v/>
      </c>
      <c r="P3521">
        <f>IF(B3538=0,0,O3521/B3538)</f>
        <v/>
      </c>
      <c r="Q3521" t="n">
        <v>0</v>
      </c>
      <c r="R3521" t="n">
        <v>0</v>
      </c>
      <c r="S3521">
        <f>IFERROR(O3521/N3521,0)</f>
        <v/>
      </c>
      <c r="T3521" t="n">
        <v>0</v>
      </c>
      <c r="V3521" t="n">
        <v>0</v>
      </c>
    </row>
    <row r="3522">
      <c r="A3522">
        <f>Skills!A29</f>
        <v/>
      </c>
      <c r="B3522">
        <f>Skills!B29</f>
        <v/>
      </c>
      <c r="C3522">
        <f>Inputs!$B$3&gt;=125</f>
        <v/>
      </c>
      <c r="D3522">
        <f>IF(Skills!C29=1,60+Inputs!$B$25+Inputs!$B$29,IF(Skills!C29=2,90+Inputs!$B$26+Inputs!$B$29,IF(Skills!C29=3,120+Inputs!$B$27+Inputs!$B$29,MAX(0,(Inputs!$B$3-100)*3)+Inputs!$B$28+Inputs!$B$29)))</f>
        <v/>
      </c>
      <c r="E3522">
        <f>INDEX(FactorTable!$B$2:$Y$301, MATCH(ROUND(MIN(300,MAX(1,D3522)),0), FactorTable!$A$2:$A$301,0), Skills!M29+1)</f>
        <v/>
      </c>
      <c r="F3522">
        <f>IF(Skills!N29=TRUE,(Skills!L29/10)*(E3522/1000),Skills!L29/10)+Skills!O29</f>
        <v/>
      </c>
      <c r="G3522">
        <f>Skills!G29*IF(Skills!H29&gt;0,INT(IF(Inputs!$B$38="pvp",MIN(Skills!I29,15),Skills!I29)/Skills!H29+0.000000001),1)</f>
        <v/>
      </c>
      <c r="H3522">
        <f>1-(1-Skills!J29/100)^Skills!K29</f>
        <v/>
      </c>
      <c r="I3522" t="inlineStr">
        <is>
          <t>1</t>
        </is>
      </c>
      <c r="J3522" t="inlineStr"/>
      <c r="K3522" t="inlineStr"/>
      <c r="L3522" t="inlineStr"/>
      <c r="M3522" t="inlineStr"/>
      <c r="N3522" t="inlineStr"/>
      <c r="O3522">
        <f>(1-Summary!$B$11)*T3522+Summary!$B$11*V3522</f>
        <v/>
      </c>
      <c r="P3522">
        <f>IF(B3538=0,0,O3522/B3538)</f>
        <v/>
      </c>
      <c r="Q3522" t="n">
        <v>0</v>
      </c>
      <c r="R3522" t="n">
        <v>0</v>
      </c>
      <c r="S3522">
        <f>IFERROR(O3522/N3522,0)</f>
        <v/>
      </c>
      <c r="T3522" t="n">
        <v>0</v>
      </c>
      <c r="V3522" t="n">
        <v>0</v>
      </c>
    </row>
    <row r="3523">
      <c r="A3523">
        <f>Skills!A30</f>
        <v/>
      </c>
      <c r="B3523">
        <f>Skills!B30</f>
        <v/>
      </c>
      <c r="C3523">
        <f>Inputs!$B$3&gt;=120</f>
        <v/>
      </c>
      <c r="D3523">
        <f>IF(Skills!C30=1,60+Inputs!$B$25+Inputs!$B$29,IF(Skills!C30=2,90+Inputs!$B$26+Inputs!$B$29,IF(Skills!C30=3,120+Inputs!$B$27+Inputs!$B$29,MAX(0,(Inputs!$B$3-100)*3)+Inputs!$B$28+Inputs!$B$29)))</f>
        <v/>
      </c>
      <c r="E3523">
        <f>INDEX(FactorTable!$B$2:$Y$301, MATCH(ROUND(MIN(300,MAX(1,D3523)),0), FactorTable!$A$2:$A$301,0), Skills!M30+1)</f>
        <v/>
      </c>
      <c r="F3523">
        <f>IF(Skills!N30=TRUE,(Skills!L30/10)*(E3523/1000),Skills!L30/10)+Skills!O30</f>
        <v/>
      </c>
      <c r="G3523">
        <f>Skills!G30*IF(Skills!H30&gt;0,INT(IF(Inputs!$B$38="pvp",MIN(Skills!I30,15),Skills!I30)/Skills!H30+0.000000001),1)</f>
        <v/>
      </c>
      <c r="H3523">
        <f>1-(1-Skills!J30/100)^Skills!K30</f>
        <v/>
      </c>
      <c r="I3523" t="inlineStr">
        <is>
          <t>1</t>
        </is>
      </c>
      <c r="J3523" t="inlineStr"/>
      <c r="K3523" t="inlineStr"/>
      <c r="L3523" t="inlineStr"/>
      <c r="M3523" t="inlineStr"/>
      <c r="N3523" t="inlineStr"/>
      <c r="O3523">
        <f>(1-Summary!$B$11)*T3523+Summary!$B$11*V3523</f>
        <v/>
      </c>
      <c r="P3523">
        <f>IF(B3538=0,0,O3523/B3538)</f>
        <v/>
      </c>
      <c r="Q3523" t="n">
        <v>0</v>
      </c>
      <c r="R3523" t="n">
        <v>0</v>
      </c>
      <c r="S3523">
        <f>IFERROR(O3523/N3523,0)</f>
        <v/>
      </c>
      <c r="T3523" t="n">
        <v>0</v>
      </c>
      <c r="V3523" t="n">
        <v>0</v>
      </c>
    </row>
    <row r="3524">
      <c r="A3524">
        <f>Skills!A31</f>
        <v/>
      </c>
      <c r="B3524">
        <f>Skills!B31</f>
        <v/>
      </c>
      <c r="C3524">
        <f>Inputs!$B$3&gt;=120</f>
        <v/>
      </c>
      <c r="D3524">
        <f>IF(Skills!C31=1,60+Inputs!$B$25+Inputs!$B$29,IF(Skills!C31=2,90+Inputs!$B$26+Inputs!$B$29,IF(Skills!C31=3,120+Inputs!$B$27+Inputs!$B$29,MAX(0,(Inputs!$B$3-100)*3)+Inputs!$B$28+Inputs!$B$29)))</f>
        <v/>
      </c>
      <c r="E3524">
        <f>INDEX(FactorTable!$B$2:$Y$301, MATCH(ROUND(MIN(300,MAX(1,D3524)),0), FactorTable!$A$2:$A$301,0), Skills!M31+1)</f>
        <v/>
      </c>
      <c r="F3524">
        <f>IF(Skills!N31=TRUE,(Skills!L31/10)*(E3524/1000),Skills!L31/10)+Skills!O31</f>
        <v/>
      </c>
      <c r="G3524">
        <f>Skills!G31*IF(Skills!H31&gt;0,INT(IF(Inputs!$B$38="pvp",MIN(Skills!I31,15),Skills!I31)/Skills!H31+0.000000001),1)</f>
        <v/>
      </c>
      <c r="H3524">
        <f>1-(1-Skills!J31/100)^Skills!K31</f>
        <v/>
      </c>
      <c r="I3524" t="inlineStr">
        <is>
          <t>1</t>
        </is>
      </c>
      <c r="J3524" t="inlineStr"/>
      <c r="K3524" t="inlineStr"/>
      <c r="L3524" t="inlineStr"/>
      <c r="M3524" t="inlineStr"/>
      <c r="N3524" t="inlineStr"/>
      <c r="O3524">
        <f>(1-Summary!$B$11)*T3524+Summary!$B$11*V3524</f>
        <v/>
      </c>
      <c r="P3524">
        <f>IF(B3538=0,0,O3524/B3538)</f>
        <v/>
      </c>
      <c r="Q3524" t="n">
        <v>0</v>
      </c>
      <c r="R3524" t="n">
        <v>0</v>
      </c>
      <c r="S3524">
        <f>IFERROR(O3524/N3524,0)</f>
        <v/>
      </c>
      <c r="T3524" t="n">
        <v>0</v>
      </c>
      <c r="V3524" t="n">
        <v>0</v>
      </c>
    </row>
    <row r="3525">
      <c r="A3525">
        <f>Skills!A32</f>
        <v/>
      </c>
      <c r="B3525">
        <f>Skills!B32</f>
        <v/>
      </c>
      <c r="C3525">
        <f>Inputs!$B$3&gt;=45</f>
        <v/>
      </c>
      <c r="D3525">
        <f>IF(Skills!C32=1,60+Inputs!$B$25+Inputs!$B$29,IF(Skills!C32=2,90+Inputs!$B$26+Inputs!$B$29,IF(Skills!C32=3,120+Inputs!$B$27+Inputs!$B$29,MAX(0,(Inputs!$B$3-100)*3)+Inputs!$B$28+Inputs!$B$29)))</f>
        <v/>
      </c>
      <c r="E3525">
        <f>INDEX(FactorTable!$B$2:$Y$301, MATCH(ROUND(MIN(300,MAX(1,D3525)),0), FactorTable!$A$2:$A$301,0), Skills!M32+1)</f>
        <v/>
      </c>
      <c r="F3525">
        <f>IF(Skills!N32=TRUE,(Skills!L32/10)*(E3525/1000),Skills!L32/10)+Skills!O32</f>
        <v/>
      </c>
      <c r="G3525">
        <f>Skills!G32*IF(Skills!H32&gt;0,INT(IF(Inputs!$B$38="pvp",MIN(Skills!I32,15),Skills!I32)/Skills!H32+0.000000001),1)</f>
        <v/>
      </c>
      <c r="H3525">
        <f>1-(1-Skills!J32/100)^Skills!K32</f>
        <v/>
      </c>
      <c r="I3525" t="inlineStr">
        <is>
          <t>1</t>
        </is>
      </c>
      <c r="J3525" t="inlineStr"/>
      <c r="K3525" t="inlineStr"/>
      <c r="L3525" t="inlineStr"/>
      <c r="M3525" t="inlineStr"/>
      <c r="N3525" t="inlineStr"/>
      <c r="O3525">
        <f>(1-Summary!$B$11)*T3525+Summary!$B$11*V3525</f>
        <v/>
      </c>
      <c r="P3525">
        <f>IF(B3538=0,0,O3525/B3538)</f>
        <v/>
      </c>
      <c r="Q3525" t="n">
        <v>0</v>
      </c>
      <c r="R3525" t="n">
        <v>0</v>
      </c>
      <c r="S3525">
        <f>IFERROR(O3525/N3525,0)</f>
        <v/>
      </c>
      <c r="T3525" t="n">
        <v>0</v>
      </c>
      <c r="V3525" t="n">
        <v>0</v>
      </c>
    </row>
    <row r="3527">
      <c r="A3527" t="inlineStr">
        <is>
          <t>Attack% Bucket Multiplier</t>
        </is>
      </c>
      <c r="B3527">
        <f>(1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8">
      <c r="A3528" t="inlineStr">
        <is>
          <t>Global Crit Rate Bonus %</t>
        </is>
      </c>
      <c r="B3528" t="n">
        <v>0</v>
      </c>
    </row>
    <row r="3529">
      <c r="A3529" t="inlineStr">
        <is>
          <t>Attack Speed Buff Bonus %</t>
        </is>
      </c>
      <c r="B3529">
        <f>((C3514=TRUE)*F3514*IF(AND(Inputs!$B$38&lt;&gt;"pvp",Inputs!$B$43&gt;0),(((R3514-1)*MIN((Skills!T21*(1+Inputs!$B$34/100)),(1/Q3514))+MIN((Skills!T21*(1+Inputs!$B$34/100)),MAX(0,Inputs!$B$43-((R3514-1)*(1/Q3514)))))/Inputs!$B$43),IF(Inputs!$B$38="pvp",MIN((Skills!T21*(1+Inputs!$B$34/100)),15)/15,MIN(1,(Skills!T21*(1+Inputs!$B$34/100))/(1/Q3514)))))</f>
        <v/>
      </c>
    </row>
    <row r="3530">
      <c r="A3530" t="inlineStr">
        <is>
          <t>Actions Per Second</t>
        </is>
      </c>
      <c r="B3530">
        <f>1+MIN(150,150*(1-(1-(Inputs!$B$11+((C3516=TRUE)*(F3516-Calc!F23))+((C3517=TRUE)*(F3517-Calc!F24)))/150)*(1-B3529/150)))/100</f>
        <v/>
      </c>
    </row>
    <row r="3531">
      <c r="A3531" t="inlineStr">
        <is>
          <t>Skill + Buff Cast Rate</t>
        </is>
      </c>
      <c r="B3531">
        <f>IF(AND(Inputs!$B$38&lt;&gt;"pvp",Inputs!$B$43&gt;0),SUMPRODUCT((Skills!E2:E32=TRUE)*(C3495:C3525=TRUE)*R3495:R3525*Skills!F2:F32)/Inputs!$B$43,SUMPRODUCT((Skills!E2:E32=TRUE)*(C3495:C3525=TRUE)*Q3495:Q3525*Skills!F2:F32))</f>
        <v/>
      </c>
    </row>
    <row r="3532">
      <c r="A3532" t="inlineStr">
        <is>
          <t>Arrow Stream Casts Per Second</t>
        </is>
      </c>
      <c r="B3532">
        <f>MAX(0,B3530-B3531)</f>
        <v/>
      </c>
    </row>
    <row r="3533">
      <c r="A3533" t="inlineStr">
        <is>
          <t>Global Critical Damage Bonus % (Sharp Eyes + Concentration)</t>
        </is>
      </c>
      <c r="B3533">
        <f>(C3511=TRUE)*F3511*IF(AND(Inputs!$B$38&lt;&gt;"pvp",Inputs!$B$43&gt;0),(((R3511-1)*MIN((Skills!T18*(1+Inputs!$B$34/100)),(1/Q3511))+MIN((Skills!T18*(1+Inputs!$B$34/100)),MAX(0,Inputs!$B$43-((R3511-1)*(1/Q3511)))))/Inputs!$B$43),IF(Inputs!$B$38="pvp",MIN((Skills!T18*(1+Inputs!$B$34/100)),15)/15,MIN(1,(Skills!T18*(1+Inputs!$B$34/100))/(1/Q3511))))+(C3512=TRUE)*7*F3512</f>
        <v/>
      </c>
    </row>
    <row r="3534">
      <c r="A3534" t="inlineStr">
        <is>
          <t>Global Final Damage Bonus % (Mortal Blow)</t>
        </is>
      </c>
      <c r="B3534">
        <f>(C3513=TRUE)*F3513</f>
        <v/>
      </c>
    </row>
    <row r="3535">
      <c r="A3535" t="inlineStr">
        <is>
          <t>Buff-Casting Startup Delay (s, fixed-duration only)</t>
        </is>
      </c>
      <c r="B3535">
        <f>IF(AND(Inputs!$B$38&lt;&gt;"pvp",Inputs!$B$43&gt;0),SUMPRODUCT((Skills!T2:T32&gt;0)*(Skills!E2:E32=TRUE)*(C3495:C3525=TRUE))/B3530,0)</f>
        <v/>
      </c>
    </row>
    <row r="3536">
      <c r="A3536" t="inlineStr">
        <is>
          <t>Boss-Only Total DPS (this block's swept value)</t>
        </is>
      </c>
      <c r="B3536">
        <f>SUM(T3495:T3525)</f>
        <v/>
      </c>
    </row>
    <row r="3537">
      <c r="A3537" t="inlineStr">
        <is>
          <t>Normal-Only Total DPS (this block's swept value)</t>
        </is>
      </c>
      <c r="B3537">
        <f>SUM(V3495:V3525)</f>
        <v/>
      </c>
    </row>
    <row r="3538">
      <c r="A3538" s="6" t="inlineStr">
        <is>
          <t>TOTAL DPS</t>
        </is>
      </c>
      <c r="B3538" s="6">
        <f>SUM(O3495:O3525)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2026-10-22T16:26:41Z</dcterms:created>
  <dcterms:modified xsi:type="dcterms:W3CDTF">2026-10-22T16:26:41Z</dcterms:modified>
</cp:coreProperties>
</file>