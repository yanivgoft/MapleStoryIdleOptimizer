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Bowmaster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Archer Mastery/Bow Acceleration)</t>
        </is>
      </c>
      <c r="B11" s="6" t="n">
        <v>0</v>
      </c>
    </row>
    <row r="12">
      <c r="A12" s="5" t="inlineStr">
        <is>
          <t>Flat DEX (include Soul Arrow: Bow's own bonus if unlocked)</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0"/>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Final Attack: Bow + Advanced Final Attack's own combined steady-state contribution (ProcChance x AdditionalDamage% x (1+AdvancedFD%/100) x 25, the x25 converting Final Attack's own attack-triggered percentage into an equivalent addition to Arrow Stream's per-hit coefficient at Arrow Stream's own 5-hit-per-cast rate — see the module docstring for why this is folded in rather than an independent pipeline) PLUS the real Arrow Stream - Damage mastery chain (98/104/113/118/126/130, cumulative +10/11/12/13/14/15%).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FINAL_ATTACK_BOW_HELPER</t>
        </is>
      </c>
      <c r="B3" t="inlineStr">
        <is>
          <t>Final Attack: 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inlineStr"/>
      <c r="V3" t="inlineStr"/>
      <c r="W3" t="inlineStr">
        <is>
          <t>Helper row only (no independent O-column DPS) — feeds Arrow Stream's own coefficient. 25% chance, 35%-&gt;49% additional damage (levels 1-100). factorIndex 21, baseDamage 350 tenths%. Mastery Lv.52 'Final Attack - Damage' +50% (real SkillMasteryBonus%, confirmed via Bowmaster/Mastery — same pattern/level as Marksman's own Final Attack: Crossbow helper, missing from this row until caught during the Marksman build's own cross-check).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inlineStr"/>
      <c r="V4" t="inlineStr"/>
      <c r="W4" t="inlineStr">
        <is>
          <t>Helper row only — feeds Arrow Stream's own coefficient (Final Attack's own Final Damage bonus). +500%-&gt;900% FD (levels 1-200). factorIndex 21, baseDamage 5000 tenths%. Mastery Lv.111 'Advanced Final Attack - Enhance' +50% (real SkillMasteryBonus%, confirmed via Bowmaster/Mastery — same treatment as FINAL_ATTACK_BOW_HELPER above). Not otherwise patched.</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1/(1+(Summary!$B$61-1)*4/15)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MAPLE_HERO_HELPER</t>
        </is>
      </c>
      <c r="B10" t="inlineStr">
        <is>
          <t>Maple Hero (helper)</t>
        </is>
      </c>
      <c r="C10" t="n">
        <v>4</v>
      </c>
      <c r="D10" t="inlineStr"/>
      <c r="E10" t="b">
        <v>0</v>
      </c>
      <c r="F10" t="n">
        <v>1</v>
      </c>
      <c r="G10" t="n">
        <v>1</v>
      </c>
      <c r="H10" t="n">
        <v>0</v>
      </c>
      <c r="I10" t="n">
        <v>0</v>
      </c>
      <c r="J10" t="n">
        <v>100</v>
      </c>
      <c r="K10" t="n">
        <v>1</v>
      </c>
      <c r="L10" t="n">
        <v>250</v>
      </c>
      <c r="M10" t="n">
        <v>23</v>
      </c>
      <c r="N10" t="b">
        <v>1</v>
      </c>
      <c r="O10" t="n">
        <v>0</v>
      </c>
      <c r="P10" t="n">
        <v>0</v>
      </c>
      <c r="Q10" t="n">
        <v>0</v>
      </c>
      <c r="R10" t="n">
        <v>0</v>
      </c>
      <c r="S10" t="inlineStr"/>
      <c r="T10" t="n">
        <v>0</v>
      </c>
      <c r="U10" t="inlineStr"/>
      <c r="V10" t="inlineStr"/>
      <c r="W10"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1">
      <c r="A11" t="inlineStr">
        <is>
          <t>FLASH_MIRAGE</t>
        </is>
      </c>
      <c r="B11" t="inlineStr">
        <is>
          <t>Flash Mirage</t>
        </is>
      </c>
      <c r="C11" t="n">
        <v>3</v>
      </c>
      <c r="D11" t="n">
        <v>5</v>
      </c>
      <c r="E11" t="b">
        <v>0</v>
      </c>
      <c r="F11" t="n">
        <v>1</v>
      </c>
      <c r="G11" t="n">
        <v>1</v>
      </c>
      <c r="H11" t="n">
        <v>0</v>
      </c>
      <c r="I11" t="n">
        <v>0</v>
      </c>
      <c r="J11" t="n">
        <v>20</v>
      </c>
      <c r="K11" t="n">
        <v>1</v>
      </c>
      <c r="L11" t="n">
        <v>50</v>
      </c>
      <c r="M11" t="n">
        <v>0</v>
      </c>
      <c r="N11" t="b">
        <v>0</v>
      </c>
      <c r="O11" t="n">
        <v>0</v>
      </c>
      <c r="P11" t="n">
        <v>0</v>
      </c>
      <c r="Q11" t="n">
        <v>0</v>
      </c>
      <c r="R11">
        <f>5+IF(Inputs!$B$3&gt;=136,1,0)</f>
        <v/>
      </c>
      <c r="S11" t="inlineStr"/>
      <c r="T11" t="n">
        <v>0</v>
      </c>
      <c r="U11" t="inlineStr"/>
      <c r="V11" t="inlineStr"/>
      <c r="W11" t="inlineStr">
        <is>
          <t>Passive proc with a real 5s internal cooldown (own wiki infobox lists 'Cooldown: 5 sec' despite Type=Passive) — modeled as a normal Cooldown(s)-gated row (CostsActionSlot=False) so effective proc rate is capped at once per 5s x 20% chance. Own damage% (5%) confirmed non-scaling across all sampled levels 1-200 — factorIndex 0, baseDamage 50 tenths%. Its own 'activation chance/damage increases based on Attack Speed' text (550-&gt;990 across levels) is too vague to model precisely (unclear whether it means chance, damage, or a hard cap) — FLAGGED, not modeled, flat 20%/5% used throughout. Wiki calls this skill 'Flash Mirage'; the Aug 13 patch notes call the SAME skill 'Speed Mirage' (confirmed via mechanic match — targets 5-&gt;7, detection range +~14%, target count not modeled here since this row is single-target-proc shaped). Flash Mirage II (Lv.110, see FLASH_MIRAGE_II_HELPER) adds +targets/+FD once unlocked, baked into NormalMonsterTargets/K-column.</t>
        </is>
      </c>
    </row>
    <row r="12">
      <c r="A12" t="inlineStr">
        <is>
          <t>FLASH_MIRAGE_II_HELPER</t>
        </is>
      </c>
      <c r="B12" t="inlineStr">
        <is>
          <t>Flash Mirage II (helper)</t>
        </is>
      </c>
      <c r="C12" t="n">
        <v>4</v>
      </c>
      <c r="D12" t="inlineStr"/>
      <c r="E12" t="b">
        <v>0</v>
      </c>
      <c r="F12" t="n">
        <v>1</v>
      </c>
      <c r="G12" t="n">
        <v>1</v>
      </c>
      <c r="H12" t="n">
        <v>0</v>
      </c>
      <c r="I12" t="n">
        <v>0</v>
      </c>
      <c r="J12" t="n">
        <v>100</v>
      </c>
      <c r="K12" t="n">
        <v>1</v>
      </c>
      <c r="L12" t="n">
        <v>4000</v>
      </c>
      <c r="M12" t="n">
        <v>21</v>
      </c>
      <c r="N12" t="b">
        <v>1</v>
      </c>
      <c r="O12" t="n">
        <v>0</v>
      </c>
      <c r="P12" t="n">
        <v>0</v>
      </c>
      <c r="Q12" t="n">
        <v>0</v>
      </c>
      <c r="R12" t="n">
        <v>0</v>
      </c>
      <c r="S12" t="inlineStr"/>
      <c r="T12" t="n">
        <v>0</v>
      </c>
      <c r="U12" t="inlineStr"/>
      <c r="V12" t="inlineStr"/>
      <c r="W12"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inlineStr"/>
      <c r="V13" t="inlineStr"/>
      <c r="W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inlineStr"/>
      <c r="V14" t="inlineStr"/>
      <c r="W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inlineStr"/>
      <c r="V15" t="inlineStr"/>
      <c r="W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inlineStr"/>
      <c r="V16" t="inlineStr"/>
      <c r="W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7">
      <c r="A17" t="inlineStr">
        <is>
          <t>CONCENTRATION</t>
        </is>
      </c>
      <c r="B17" t="inlineStr">
        <is>
          <t>Concentration</t>
        </is>
      </c>
      <c r="C17" t="n">
        <v>3</v>
      </c>
      <c r="D17" t="inlineStr"/>
      <c r="E17" t="b">
        <v>0</v>
      </c>
      <c r="F17" t="n">
        <v>1</v>
      </c>
      <c r="G17" t="n">
        <v>1</v>
      </c>
      <c r="H17" t="n">
        <v>0</v>
      </c>
      <c r="I17" t="n">
        <v>0</v>
      </c>
      <c r="J17" t="n">
        <v>100</v>
      </c>
      <c r="K17" t="n">
        <v>1</v>
      </c>
      <c r="L17" t="n">
        <v>0</v>
      </c>
      <c r="M17" t="n">
        <v>0</v>
      </c>
      <c r="N17" t="b">
        <v>0</v>
      </c>
      <c r="O17" t="n">
        <v>0</v>
      </c>
      <c r="P17" t="n">
        <v>0</v>
      </c>
      <c r="Q17" t="n">
        <v>0</v>
      </c>
      <c r="R17" t="n">
        <v>0</v>
      </c>
      <c r="S17" t="inlineStr">
        <is>
          <t>CRIT_DAMAGE</t>
        </is>
      </c>
      <c r="T17" t="n">
        <v>0</v>
      </c>
      <c r="U17" t="inlineStr"/>
      <c r="V17" t="inlineStr"/>
      <c r="W17"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8">
      <c r="A18" t="inlineStr">
        <is>
          <t>MORTAL_BLOW</t>
        </is>
      </c>
      <c r="B18" t="inlineStr">
        <is>
          <t>Mortal Blow</t>
        </is>
      </c>
      <c r="C18" t="n">
        <v>3</v>
      </c>
      <c r="D18" t="inlineStr"/>
      <c r="E18" t="b">
        <v>0</v>
      </c>
      <c r="F18" t="n">
        <v>1</v>
      </c>
      <c r="G18" t="n">
        <v>1</v>
      </c>
      <c r="H18" t="n">
        <v>0</v>
      </c>
      <c r="I18" t="n">
        <v>0</v>
      </c>
      <c r="J18" t="n">
        <v>100</v>
      </c>
      <c r="K18" t="n">
        <v>1</v>
      </c>
      <c r="L18" t="n">
        <v>120</v>
      </c>
      <c r="M18" t="n">
        <v>22</v>
      </c>
      <c r="N18" t="b">
        <v>1</v>
      </c>
      <c r="O18" t="n">
        <v>0</v>
      </c>
      <c r="P18" t="n">
        <v>0</v>
      </c>
      <c r="Q18" t="n">
        <v>0</v>
      </c>
      <c r="R18" t="n">
        <v>0</v>
      </c>
      <c r="S18" t="inlineStr">
        <is>
          <t>FINAL_DAMAGE</t>
        </is>
      </c>
      <c r="T18" t="n">
        <v>0</v>
      </c>
      <c r="U18" t="inlineStr"/>
      <c r="V18" t="inlineStr"/>
      <c r="W18"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Night Lord/Shadower/FP-Mage (byte-identical wiki wording — '+15% Attack Speed, +10% Speed for 15 sec'). Flat +15% Attack Speed / +10% Speed for 15s, 60s cooldown, non-scaling. FactorIndex unused placeholder.</t>
        </is>
      </c>
    </row>
    <row r="20">
      <c r="A20" t="inlineStr">
        <is>
          <t>CRITICAL_SHOT</t>
        </is>
      </c>
      <c r="B20" t="inlineStr">
        <is>
          <t>Critical Shot</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CRIT_RATE</t>
        </is>
      </c>
      <c r="T20" t="n">
        <v>0</v>
      </c>
      <c r="U20" t="inlineStr"/>
      <c r="V20" t="inlineStr"/>
      <c r="W20" t="inlineStr">
        <is>
          <t>Magic Critical pattern — already baked into Inputs!CRIT_RATE%; feeds the 1st-Job Skill Level Bonus delta. factorIndex 22, baseDamage 50 tenths% (5%-&gt;6.5%, levels 1-100).</t>
        </is>
      </c>
    </row>
    <row r="21">
      <c r="A21" t="inlineStr">
        <is>
          <t>ARCHER_MASTERY</t>
        </is>
      </c>
      <c r="B21" t="inlineStr">
        <is>
          <t>Archer Mastery (Attack Speed)</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1st-Job Skill Level Bonus delta. factorIndex 22, baseDamage 50 tenths% (5%-&gt;6.5%, levels 1-100). Own Speed component not modeled.</t>
        </is>
      </c>
    </row>
    <row r="22">
      <c r="A22" t="inlineStr">
        <is>
          <t>BOW_ACCELERATION</t>
        </is>
      </c>
      <c r="B22" t="inlineStr">
        <is>
          <t>Bow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factorIndex 22, baseDamage 100 tenths% (10%-&gt;13%, levels 1-100).</t>
        </is>
      </c>
    </row>
    <row r="24">
      <c r="A24" t="inlineStr">
        <is>
          <t>BOW_MASTERY</t>
        </is>
      </c>
      <c r="B24" t="inlineStr">
        <is>
          <t>Bow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factorIndex 22, baseDamage 150 tenths% (15%-&gt;19.5%, levels 1-100).</t>
        </is>
      </c>
    </row>
    <row r="25">
      <c r="A25" t="inlineStr">
        <is>
          <t>EXTREME_ARCHERY_BOW</t>
        </is>
      </c>
      <c r="B25" t="inlineStr">
        <is>
          <t>Extreme Archery / Reckless Hunt: Bow</t>
        </is>
      </c>
      <c r="C25" t="n">
        <v>3</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6">
      <c r="A26" t="inlineStr">
        <is>
          <t>ARMOR_BREAK_FD</t>
        </is>
      </c>
      <c r="B26" t="inlineStr">
        <is>
          <t>Armor Break (Final Damage)</t>
        </is>
      </c>
      <c r="C26" t="n">
        <v>4</v>
      </c>
      <c r="D26" t="inlineStr"/>
      <c r="E26" t="b">
        <v>0</v>
      </c>
      <c r="F26" t="n">
        <v>1</v>
      </c>
      <c r="G26" t="n">
        <v>1</v>
      </c>
      <c r="H26" t="n">
        <v>0</v>
      </c>
      <c r="I26" t="n">
        <v>0</v>
      </c>
      <c r="J26" t="n">
        <v>100</v>
      </c>
      <c r="K26" t="n">
        <v>1</v>
      </c>
      <c r="L26" t="n">
        <v>100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7">
      <c r="A27" t="inlineStr">
        <is>
          <t>ARMOR_BREAK_DEFPEN</t>
        </is>
      </c>
      <c r="B27" t="inlineStr">
        <is>
          <t>Armor Break (Defense Penetration)</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DEF_PEN</t>
        </is>
      </c>
      <c r="T27" t="n">
        <v>0</v>
      </c>
      <c r="U27" t="inlineStr"/>
      <c r="V27" t="inlineStr"/>
      <c r="W27" t="inlineStr">
        <is>
          <t>Same skill as Armor Break (Final Damage) above, +10%-&gt;16% Defense Penetration. Magic Critical pattern — already baked into Inputs!DEF_PEN%; feeds the 4th-Job Skill Level Bonus delta (Defense Penetration side). factorIndex 22, baseDamage 100 tenths%.</t>
        </is>
      </c>
    </row>
    <row r="28">
      <c r="A28" t="inlineStr">
        <is>
          <t>BOW_EXPERT_SKILL</t>
        </is>
      </c>
      <c r="B28" t="inlineStr">
        <is>
          <t>Bow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inlineStr">
        <is>
          <t>SKILL_DAMAGE</t>
        </is>
      </c>
      <c r="T28" t="n">
        <v>0</v>
      </c>
      <c r="U28" t="inlineStr"/>
      <c r="V28" t="inlineStr"/>
      <c r="W28" t="inlineStr">
        <is>
          <t>Magic Critical pattern — already baked into Inputs!SKILL_DAMAGE%; feeds the 4th-Job Skill Level Bonus delta (Skill Damage side). factorIndex 22, baseDamage 150 tenths% (15%-&gt;24%, levels 1-200). Not patched.</t>
        </is>
      </c>
    </row>
    <row r="29">
      <c r="A29" t="inlineStr">
        <is>
          <t>BOW_EXPERT_MAXDMG</t>
        </is>
      </c>
      <c r="B29" t="inlineStr">
        <is>
          <t>Bow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inlineStr">
        <is>
          <t>MAX_DAMAGE</t>
        </is>
      </c>
      <c r="T29" t="n">
        <v>0</v>
      </c>
      <c r="U29" t="inlineStr"/>
      <c r="V29" t="inlineStr"/>
      <c r="W29" t="inlineStr">
        <is>
          <t>Same skill as Bow Expert (Skill Damage) above, +20%-&gt;32% Max Damage Multiplier. Magic Critical pattern — already baked into Inputs!MAX_DAMAGE%; feeds the 4th-Job Skill Level Bonus delta (Max Damage Multiplier side). factorIndex 22, baseDamage 200 tenths%.</t>
        </is>
      </c>
    </row>
    <row r="30">
      <c r="A30" t="inlineStr">
        <is>
          <t>SOUL_ARROW_BOW_ATK</t>
        </is>
      </c>
      <c r="B30" t="inlineStr">
        <is>
          <t>Soul Arrow: Bow (Attack%)</t>
        </is>
      </c>
      <c r="C30" t="n">
        <v>2</v>
      </c>
      <c r="D30" t="inlineStr"/>
      <c r="E30" t="b">
        <v>0</v>
      </c>
      <c r="F30" t="n">
        <v>1</v>
      </c>
      <c r="G30" t="n">
        <v>1</v>
      </c>
      <c r="H30" t="n">
        <v>0</v>
      </c>
      <c r="I30" t="n">
        <v>0</v>
      </c>
      <c r="J30" t="n">
        <v>100</v>
      </c>
      <c r="K30" t="n">
        <v>1</v>
      </c>
      <c r="L30" t="n">
        <v>80</v>
      </c>
      <c r="M30" t="n">
        <v>0</v>
      </c>
      <c r="N30" t="b">
        <v>0</v>
      </c>
      <c r="O30" t="n">
        <v>0</v>
      </c>
      <c r="P30" t="n">
        <v>0</v>
      </c>
      <c r="Q30" t="n">
        <v>0</v>
      </c>
      <c r="R30" t="n">
        <v>0</v>
      </c>
      <c r="S30" t="inlineStr">
        <is>
          <t>ATTACK</t>
        </is>
      </c>
      <c r="T30" t="n">
        <v>0</v>
      </c>
      <c r="U30" t="inlineStr"/>
      <c r="V30" t="inlineStr"/>
      <c r="W30"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0 (non-scaling, flat 8%), baseDamage 80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ARROW_STREAM",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+4.0*IF(C10=TRUE,F10,0)/100)*(1+(IF(Skills!A5="ARROW_STREAM",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MAX(0,Inputs!$B$43-Summary!$B$67)-((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IF(AND(Inputs!$B$38&lt;&gt;"pvp",Inputs!$B$43&gt;0),IF(MAX(0,Inputs!$B$43-Summary!$B$67)&lt;=0,0,(INT(MAX(0,Inputs!$B$43-Summary!$B$67)/IF(Inputs!$B$38="pvp",15,MAX(0.1,Skills!D5-IF(Skills!E5=TRUE,Inputs!$B$32,0))))+1)),0)</f>
        <v/>
      </c>
      <c r="S5">
        <f>IFERROR(O5/N5,0)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C7=TRUE,F7,0)/100)*(1+(IF(Skills!A6="ARROW_STREAM",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MAX(0,Inputs!$B$43-Summary!$B$67)-((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+1.2*IF(C10=TRUE,F10,0)/100)*(1+(IF(Skills!A8="ARROW_STREAM",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MAX(0,Inputs!$B$43-Summary!$B$67)-((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IF(AND(Inputs!$B$38&lt;&gt;"pvp",Inputs!$B$43&gt;0),IF(MAX(0,Inputs!$B$43-Summary!$B$67)&lt;=0,0,(INT(MAX(0,Inputs!$B$43-Summary!$B$67)/IF(Inputs!$B$38="pvp",15,MAX(0.1,Skills!D8-IF(Skills!E8=TRUE,Inputs!$B$32,0))))+1)),0)</f>
        <v/>
      </c>
      <c r="S8">
        <f>IFERROR(O8/N8,0)</f>
        <v/>
      </c>
    </row>
    <row r="9">
      <c r="A9">
        <f>Skills!A9</f>
        <v/>
      </c>
      <c r="B9">
        <f>Skills!B9</f>
        <v/>
      </c>
      <c r="C9">
        <f>Inputs!$B$3&gt;=63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+1.0*IF(C10=TRUE,F10,0)/100)*(1+(IF(Skills!A9="ARROW_STREAM",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MAX(0,Inputs!$B$43-Summary!$B$67)-((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row>
    <row r="10">
      <c r="A10">
        <f>Skills!A10</f>
        <v/>
      </c>
      <c r="B10">
        <f>Skills!B10</f>
        <v/>
      </c>
      <c r="C10">
        <f>Inputs!$B$3&gt;=100</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t="inlineStr"/>
      <c r="H10" t="inlineStr"/>
      <c r="I10" t="inlineStr">
        <is>
          <t>1</t>
        </is>
      </c>
      <c r="J10" t="inlineStr"/>
      <c r="K10" t="inlineStr"/>
      <c r="L10" t="inlineStr"/>
      <c r="M10" t="inlineStr"/>
      <c r="N10" t="inlineStr"/>
      <c r="O10" t="inlineStr"/>
      <c r="P10" t="inlineStr"/>
      <c r="Q10" t="inlineStr"/>
      <c r="R10" t="inlineStr"/>
      <c r="S10" t="inlineStr"/>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C12=TRUE,F12,0)/100)*(1+(IF(Skills!A11="ARROW_STREAM",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MAX(0,Inputs!$B$43-Summary!$B$67)-((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IF(AND(Inputs!$B$38&lt;&gt;"pvp",Inputs!$B$43&gt;0),IF(Inputs!$B$43&lt;=0,0,(INT(Inputs!$B$43/IF(Inputs!$B$38="pvp",15,MAX(0.1,Skills!D15-IF(Skills!E15=TRUE,Inputs!$B$32,0))))+1)),0)</f>
        <v/>
      </c>
      <c r="S15">
        <f>IFERROR(O15/N15,0)</f>
        <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IF(AND(Inputs!$B$38&lt;&gt;"pvp",Inputs!$B$43&gt;0),IF(Inputs!$B$43&lt;=0,0,(INT(Inputs!$B$43/IF(Inputs!$B$38="pvp",15,MAX(0.1,Skills!D16-IF(Skills!E16=TRUE,Inputs!$B$32,0))))+1)),0)</f>
        <v/>
      </c>
      <c r="S16">
        <f>IFERROR(O16/N16,0)</f>
        <v/>
      </c>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Inputs!$B$3&gt;=72</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IFERROR(1/IF(Inputs!$B$38="pvp",15,MAX(0.1,Skills!D19-IF(Skills!E19=TRUE,Inputs!$B$32,0))),0)</f>
        <v/>
      </c>
      <c r="R19">
        <f>IF(AND(Inputs!$B$38&lt;&gt;"pvp",Inputs!$B$43&gt;0),IF(Inputs!$B$43&lt;=0,0,(INT(Inputs!$B$43/IF(Inputs!$B$38="pvp",15,MAX(0.1,Skills!D19-IF(Skills!E19=TRUE,Inputs!$B$32,0))))+1)),0)</f>
        <v/>
      </c>
      <c r="S19">
        <f>IFERROR(O19/N19,0)</f>
        <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Inputs!$B$3&gt;=10</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Inputs!$B$3&gt;=75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Inputs!$B$3&gt;=45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t="n">
        <v>0</v>
      </c>
      <c r="P30">
        <f>IF(Summary!$B$3=0,0,O30/Summary!$B$3)</f>
        <v/>
      </c>
      <c r="Q30" t="n">
        <v>0</v>
      </c>
      <c r="R30" t="n">
        <v>0</v>
      </c>
      <c r="S30">
        <f>IFERROR(O30/N30,0)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7"/>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SUM(Calc!O2:O30)</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Calc!B8</f>
        <v/>
      </c>
      <c r="B10">
        <f>Calc!O8</f>
        <v/>
      </c>
      <c r="C10">
        <f>Calc!P8*100</f>
        <v/>
      </c>
    </row>
    <row r="11">
      <c r="A11">
        <f>Calc!B9</f>
        <v/>
      </c>
      <c r="B11">
        <f>Calc!O9</f>
        <v/>
      </c>
      <c r="C11">
        <f>Calc!P9*100</f>
        <v/>
      </c>
    </row>
    <row r="12">
      <c r="A12">
        <f>Calc!B11</f>
        <v/>
      </c>
      <c r="B12">
        <f>Calc!O11</f>
        <v/>
      </c>
      <c r="C12">
        <f>Calc!P11*100</f>
        <v/>
      </c>
    </row>
    <row r="13">
      <c r="A13" s="7" t="inlineStr">
        <is>
          <t>Marginal DPS &amp; Stat Value (see Sensitivity for full detail)</t>
        </is>
      </c>
    </row>
    <row r="15">
      <c r="A15" s="9" t="inlineStr">
        <is>
          <t>Stat</t>
        </is>
      </c>
      <c r="B15" s="9" t="inlineStr">
        <is>
          <t>DPS per +1</t>
        </is>
      </c>
      <c r="C15" s="9"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9">
      <c r="A49" s="7" t="inlineStr">
        <is>
          <t>Derived Values (read-only, computed from Inputs)</t>
        </is>
      </c>
    </row>
    <row r="50">
      <c r="A50" t="inlineStr">
        <is>
          <t>ATTACK (= Flat ATTACK x (1+ATTACK%/100))</t>
        </is>
      </c>
      <c r="B50">
        <f>Inputs!$B$6*(1+Inputs!$B$7/100)</f>
        <v/>
      </c>
    </row>
    <row r="51">
      <c r="A51" t="inlineStr">
        <is>
          <t>STAT_DAMAGE % (= 1% of total DEX + 0.25% of STR)</t>
        </is>
      </c>
      <c r="B51">
        <f>(Inputs!$B$12*(1+Inputs!$B$13/100))*0.01+Inputs!$B$14*0.0025</f>
        <v/>
      </c>
    </row>
    <row r="52">
      <c r="A52" t="inlineStr">
        <is>
          <t>Basic Attack (Arrow Stream)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Arrow Stream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(Marksmanship base+conditional + Illusion Step, summed additively)</t>
        </is>
      </c>
      <c r="B57">
        <f>1+(((Calc!C13=TRUE)*Calc!F13)+((Calc!C14=TRUE)*IF(Inputs!$B$38="pvp",Calc!F14,(1-Summary!$B$55)*(Calc!F14)+Summary!$B$55*(0)))+((Calc!C15=TRUE)*Calc!F15*IF(AND(Inputs!$B$38&lt;&gt;"pvp",Inputs!$B$43&gt;0),(((Calc!R15-1)*(Skills!T15*(1+Inputs!$B$34/100))+MIN((Skills!T15*(1+Inputs!$B$34/100)),MAX(0,Inputs!$B$43-((Calc!R15-1)*Skills!D15))))/Inputs!$B$43),IF(Inputs!$B$38="pvp",MIN((Skills!T15*(1+Inputs!$B$34/100)),15)/15,(Skills!T15*(1+Inputs!$B$34/100))/Skills!D15))))/100</f>
        <v/>
      </c>
    </row>
    <row r="58">
      <c r="A58" t="inlineStr">
        <is>
          <t>Global Crit Rate Bonus % (Sharp Eyes, flat 20, duty-cycle averaged)</t>
        </is>
      </c>
      <c r="B58">
        <f>(Calc!C16=TRUE)*20*IF(AND(Inputs!$B$38&lt;&gt;"pvp",Inputs!$B$43&gt;0),(((Calc!R16-1)*(Skills!T16*(1+Inputs!$B$34/100))+MIN((Skills!T16*(1+Inputs!$B$34/100)),MAX(0,Inputs!$B$43-((Calc!R16-1)*Skills!D16))))/Inputs!$B$43),IF(Inputs!$B$38="pvp",MIN((Skills!T16*(1+Inputs!$B$34/100)),15)/15,(Skills!T16*(1+Inputs!$B$34/100))/Skills!D16))</f>
        <v/>
      </c>
    </row>
    <row r="59">
      <c r="A59" t="inlineStr">
        <is>
          <t>Global Monster Damage-Taken Bonus % (unused — no such source exists in this kit)</t>
        </is>
      </c>
      <c r="B59" t="n">
        <v>0</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Arrow Stream, 1/s)</t>
        </is>
      </c>
      <c r="B62">
        <f>IF(AND(Inputs!$B$38&lt;&gt;"pvp",Inputs!$B$43&gt;0),SUMPRODUCT((Skills!E2:E30=TRUE)*(Calc!C2:C30=TRUE)*Calc!R2:R30*Skills!F2:F30)/Inputs!$B$43,SUMPRODUCT((Skills!E2:E30=TRUE)*(Calc!C2:C30=TRUE)*Calc!Q2:Q30*Skills!F2:F30))</f>
        <v/>
      </c>
    </row>
    <row r="63">
      <c r="A63" t="inlineStr">
        <is>
          <t>Arrow Stream (Basic Attack) Casts Per Second</t>
        </is>
      </c>
      <c r="B63">
        <f>MAX(0,B61-B62)</f>
        <v/>
      </c>
    </row>
    <row r="64">
      <c r="A64" t="inlineStr">
        <is>
          <t>Global Critical Damage Bonus % (Sharp Eyes scaling + Concentration steady-state max stacks)</t>
        </is>
      </c>
      <c r="B64">
        <f>(Calc!C16=TRUE)*Calc!F16*IF(AND(Inputs!$B$38&lt;&gt;"pvp",Inputs!$B$43&gt;0),(((Calc!R16-1)*(Skills!T16*(1+Inputs!$B$34/100))+MIN((Skills!T16*(1+Inputs!$B$34/100)),MAX(0,Inputs!$B$43-((Calc!R16-1)*Skills!D16))))/Inputs!$B$43),IF(Inputs!$B$38="pvp",MIN((Skills!T16*(1+Inputs!$B$34/100)),15)/15,(Skills!T16*(1+Inputs!$B$34/100))/Skills!D16))+(Calc!C17=TRUE)*30</f>
        <v/>
      </c>
    </row>
    <row r="65">
      <c r="A65" t="inlineStr">
        <is>
          <t>Global Final Damage Bonus % (Mortal Blow, steady-state always-active)</t>
        </is>
      </c>
      <c r="B65">
        <f>(Calc!C18=TRUE)*Calc!F18</f>
        <v/>
      </c>
    </row>
    <row r="66">
      <c r="A66" t="inlineStr">
        <is>
          <t>Arrow Stream (Basic Attack) DPS</t>
        </is>
      </c>
      <c r="B66">
        <f>Calc!O2</f>
        <v/>
      </c>
    </row>
    <row r="67">
      <c r="A67" t="inlineStr">
        <is>
          <t>Buff-Casting Startup Delay (s, before first damage-skill cast; fixed-duration only)</t>
        </is>
      </c>
      <c r="B67">
        <f>IF(AND(Inputs!$B$38&lt;&gt;"pvp",Inputs!$B$43&gt;0),SUMPRODUCT((Skills!T2:T30&gt;0)*(Skills!E2:E30=TRUE)*(Calc!C2:C30=TRUE))/B61,0)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62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B74</f>
        <v/>
      </c>
      <c r="H5">
        <f>G5-F5</f>
        <v/>
      </c>
      <c r="I5">
        <f>IF(F5=0,0,G5/F5*100)</f>
        <v/>
      </c>
    </row>
    <row r="6">
      <c r="A6" t="inlineStr">
        <is>
          <t>DEX %</t>
        </is>
      </c>
      <c r="B6">
        <f>IFERROR(1/(I6-100),"n/a")</f>
        <v/>
      </c>
      <c r="C6" t="inlineStr">
        <is>
          <t>pct</t>
        </is>
      </c>
      <c r="D6">
        <f>Inputs!$B$13</f>
        <v/>
      </c>
      <c r="E6">
        <f>(Inputs!$B$13+1)</f>
        <v/>
      </c>
      <c r="F6">
        <f>Summary!$B$3</f>
        <v/>
      </c>
      <c r="G6">
        <f>B118</f>
        <v/>
      </c>
      <c r="H6">
        <f>G6-F6</f>
        <v/>
      </c>
      <c r="I6">
        <f>IF(F6=0,0,G6/F6*100)</f>
        <v/>
      </c>
    </row>
    <row r="7">
      <c r="A7" t="inlineStr">
        <is>
          <t>STR</t>
        </is>
      </c>
      <c r="B7">
        <f>IFERROR(1/(I7-100),"n/a")</f>
        <v/>
      </c>
      <c r="C7" t="inlineStr">
        <is>
          <t>flat</t>
        </is>
      </c>
      <c r="D7">
        <f>Inputs!$B$14</f>
        <v/>
      </c>
      <c r="E7">
        <f>(Inputs!$B$14+1)</f>
        <v/>
      </c>
      <c r="F7">
        <f>Summary!$B$3</f>
        <v/>
      </c>
      <c r="G7">
        <f>B162</f>
        <v/>
      </c>
      <c r="H7">
        <f>G7-F7</f>
        <v/>
      </c>
      <c r="I7">
        <f>IF(F7=0,0,G7/F7*100)</f>
        <v/>
      </c>
    </row>
    <row r="8">
      <c r="A8" t="inlineStr">
        <is>
          <t>DAMAGE %</t>
        </is>
      </c>
      <c r="B8">
        <f>IFERROR(1/(I8-100),"n/a")</f>
        <v/>
      </c>
      <c r="C8" t="inlineStr">
        <is>
          <t>pct</t>
        </is>
      </c>
      <c r="D8">
        <f>Inputs!$B$15</f>
        <v/>
      </c>
      <c r="E8">
        <f>(Inputs!$B$15+1)</f>
        <v/>
      </c>
      <c r="F8">
        <f>Summary!$B$3</f>
        <v/>
      </c>
      <c r="G8">
        <f>B206</f>
        <v/>
      </c>
      <c r="H8">
        <f>G8-F8</f>
        <v/>
      </c>
      <c r="I8">
        <f>IF(F8=0,0,G8/F8*100)</f>
        <v/>
      </c>
    </row>
    <row r="9">
      <c r="A9" t="inlineStr">
        <is>
          <t>DAMAGE_AMP %</t>
        </is>
      </c>
      <c r="B9">
        <f>IFERROR(1/(I9-100),"n/a")</f>
        <v/>
      </c>
      <c r="C9" t="inlineStr">
        <is>
          <t>pct</t>
        </is>
      </c>
      <c r="D9">
        <f>Inputs!$B$16</f>
        <v/>
      </c>
      <c r="E9">
        <f>(Inputs!$B$16+1)</f>
        <v/>
      </c>
      <c r="F9">
        <f>Summary!$B$3</f>
        <v/>
      </c>
      <c r="G9">
        <f>B250</f>
        <v/>
      </c>
      <c r="H9">
        <f>G9-F9</f>
        <v/>
      </c>
      <c r="I9">
        <f>IF(F9=0,0,G9/F9*100)</f>
        <v/>
      </c>
    </row>
    <row r="10">
      <c r="A10" t="inlineStr">
        <is>
          <t>BOSS_DAMAGE %</t>
        </is>
      </c>
      <c r="B10">
        <f>IFERROR(1/(I10-100),"n/a")</f>
        <v/>
      </c>
      <c r="C10" t="inlineStr">
        <is>
          <t>pct</t>
        </is>
      </c>
      <c r="D10">
        <f>Inputs!$B$20</f>
        <v/>
      </c>
      <c r="E10">
        <f>(Inputs!$B$20+1)</f>
        <v/>
      </c>
      <c r="F10">
        <f>Summary!$B$3</f>
        <v/>
      </c>
      <c r="G10">
        <f>B294</f>
        <v/>
      </c>
      <c r="H10">
        <f>G10-F10</f>
        <v/>
      </c>
      <c r="I10">
        <f>IF(F10=0,0,G10/F10*100)</f>
        <v/>
      </c>
    </row>
    <row r="11">
      <c r="A11" t="inlineStr">
        <is>
          <t>NORMAL_DAMAGE %</t>
        </is>
      </c>
      <c r="B11">
        <f>IFERROR(1/(I11-100),"n/a")</f>
        <v/>
      </c>
      <c r="C11" t="inlineStr">
        <is>
          <t>pct</t>
        </is>
      </c>
      <c r="D11">
        <f>Inputs!$B$21</f>
        <v/>
      </c>
      <c r="E11">
        <f>(Inputs!$B$21+1)</f>
        <v/>
      </c>
      <c r="F11">
        <f>Summary!$B$3</f>
        <v/>
      </c>
      <c r="G11">
        <f>B338</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B382</f>
        <v/>
      </c>
      <c r="H12">
        <f>G12-F12</f>
        <v/>
      </c>
      <c r="I12">
        <f>IF(F12=0,0,G12/F12*100)</f>
        <v/>
      </c>
    </row>
    <row r="13">
      <c r="A13" t="inlineStr">
        <is>
          <t>MIN_DAMAGE %</t>
        </is>
      </c>
      <c r="B13">
        <f>IFERROR(1/(I13-100),"n/a")</f>
        <v/>
      </c>
      <c r="C13" t="inlineStr">
        <is>
          <t>pct</t>
        </is>
      </c>
      <c r="D13">
        <f>Inputs!$B$22</f>
        <v/>
      </c>
      <c r="E13">
        <f>(Inputs!$B$22+1)</f>
        <v/>
      </c>
      <c r="F13">
        <f>Summary!$B$3</f>
        <v/>
      </c>
      <c r="G13">
        <f>B426</f>
        <v/>
      </c>
      <c r="H13">
        <f>G13-F13</f>
        <v/>
      </c>
      <c r="I13">
        <f>IF(F13=0,0,G13/F13*100)</f>
        <v/>
      </c>
    </row>
    <row r="14">
      <c r="A14" t="inlineStr">
        <is>
          <t>MAX_DAMAGE %</t>
        </is>
      </c>
      <c r="B14">
        <f>IFERROR(1/(I14-100),"n/a")</f>
        <v/>
      </c>
      <c r="C14" t="inlineStr">
        <is>
          <t>pct</t>
        </is>
      </c>
      <c r="D14">
        <f>Inputs!$B$23</f>
        <v/>
      </c>
      <c r="E14">
        <f>(Inputs!$B$23+1)</f>
        <v/>
      </c>
      <c r="F14">
        <f>Summary!$B$3</f>
        <v/>
      </c>
      <c r="G14">
        <f>B470</f>
        <v/>
      </c>
      <c r="H14">
        <f>G14-F14</f>
        <v/>
      </c>
      <c r="I14">
        <f>IF(F14=0,0,G14/F14*100)</f>
        <v/>
      </c>
    </row>
    <row r="15">
      <c r="A15" t="inlineStr">
        <is>
          <t>CRIT_RATE %</t>
        </is>
      </c>
      <c r="B15">
        <f>IFERROR(1/(I15-100),"n/a")</f>
        <v/>
      </c>
      <c r="C15" t="inlineStr">
        <is>
          <t>pct</t>
        </is>
      </c>
      <c r="D15">
        <f>Inputs!$B$9</f>
        <v/>
      </c>
      <c r="E15">
        <f>(Inputs!$B$9+1)</f>
        <v/>
      </c>
      <c r="F15">
        <f>Summary!$B$3</f>
        <v/>
      </c>
      <c r="G15">
        <f>B514</f>
        <v/>
      </c>
      <c r="H15">
        <f>G15-F15</f>
        <v/>
      </c>
      <c r="I15">
        <f>IF(F15=0,0,G15/F15*100)</f>
        <v/>
      </c>
    </row>
    <row r="16">
      <c r="A16" t="inlineStr">
        <is>
          <t>CRIT_DAMAGE %</t>
        </is>
      </c>
      <c r="B16">
        <f>IFERROR(1/(I16-100),"n/a")</f>
        <v/>
      </c>
      <c r="C16" t="inlineStr">
        <is>
          <t>pct</t>
        </is>
      </c>
      <c r="D16">
        <f>Inputs!$B$10</f>
        <v/>
      </c>
      <c r="E16">
        <f>(Inputs!$B$10+1)</f>
        <v/>
      </c>
      <c r="F16">
        <f>Summary!$B$3</f>
        <v/>
      </c>
      <c r="G16">
        <f>B558</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B602</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B646</f>
        <v/>
      </c>
      <c r="H18">
        <f>G18-F18</f>
        <v/>
      </c>
      <c r="I18">
        <f>IF(F18=0,0,G18/F18*100)</f>
        <v/>
      </c>
    </row>
    <row r="19">
      <c r="A19" t="inlineStr">
        <is>
          <t>BASIC_ATTACK_DAMAGE %</t>
        </is>
      </c>
      <c r="B19">
        <f>IFERROR(1/(I19-100),"n/a")</f>
        <v/>
      </c>
      <c r="C19" t="inlineStr">
        <is>
          <t>pct</t>
        </is>
      </c>
      <c r="D19">
        <f>Inputs!$B$17</f>
        <v/>
      </c>
      <c r="E19">
        <f>(Inputs!$B$17+1)</f>
        <v/>
      </c>
      <c r="F19">
        <f>Summary!$B$3</f>
        <v/>
      </c>
      <c r="G19">
        <f>B690</f>
        <v/>
      </c>
      <c r="H19">
        <f>G19-F19</f>
        <v/>
      </c>
      <c r="I19">
        <f>IF(F19=0,0,G19/F19*100)</f>
        <v/>
      </c>
    </row>
    <row r="20">
      <c r="A20" t="inlineStr">
        <is>
          <t>SKILL_DAMAGE %</t>
        </is>
      </c>
      <c r="B20">
        <f>IFERROR(1/(I20-100),"n/a")</f>
        <v/>
      </c>
      <c r="C20" t="inlineStr">
        <is>
          <t>pct</t>
        </is>
      </c>
      <c r="D20">
        <f>Inputs!$B$18</f>
        <v/>
      </c>
      <c r="E20">
        <f>(Inputs!$B$18+1)</f>
        <v/>
      </c>
      <c r="F20">
        <f>Summary!$B$3</f>
        <v/>
      </c>
      <c r="G20">
        <f>B734</f>
        <v/>
      </c>
      <c r="H20">
        <f>G20-F20</f>
        <v/>
      </c>
      <c r="I20">
        <f>IF(F20=0,0,G20/F20*100)</f>
        <v/>
      </c>
    </row>
    <row r="21">
      <c r="A21" t="inlineStr">
        <is>
          <t>Skill Level Bonus — 1st Job</t>
        </is>
      </c>
      <c r="B21">
        <f>IFERROR(1/(I21-100),"n/a")</f>
        <v/>
      </c>
      <c r="C21" t="inlineStr">
        <is>
          <t>level</t>
        </is>
      </c>
      <c r="D21">
        <f>Inputs!$B$25</f>
        <v/>
      </c>
      <c r="E21">
        <f>(Inputs!$B$25+1)</f>
        <v/>
      </c>
      <c r="F21">
        <f>Summary!$B$3</f>
        <v/>
      </c>
      <c r="G21">
        <f>B778</f>
        <v/>
      </c>
      <c r="H21">
        <f>G21-F21</f>
        <v/>
      </c>
      <c r="I21">
        <f>IF(F21=0,0,G21/F21*100)</f>
        <v/>
      </c>
    </row>
    <row r="22">
      <c r="A22" t="inlineStr">
        <is>
          <t>Skill Level Bonus — 2nd Job</t>
        </is>
      </c>
      <c r="B22">
        <f>IFERROR(1/(I22-100),"n/a")</f>
        <v/>
      </c>
      <c r="C22" t="inlineStr">
        <is>
          <t>level</t>
        </is>
      </c>
      <c r="D22">
        <f>Inputs!$B$26</f>
        <v/>
      </c>
      <c r="E22">
        <f>(Inputs!$B$26+1)</f>
        <v/>
      </c>
      <c r="F22">
        <f>Summary!$B$3</f>
        <v/>
      </c>
      <c r="G22">
        <f>B822</f>
        <v/>
      </c>
      <c r="H22">
        <f>G22-F22</f>
        <v/>
      </c>
      <c r="I22">
        <f>IF(F22=0,0,G22/F22*100)</f>
        <v/>
      </c>
    </row>
    <row r="23">
      <c r="A23" t="inlineStr">
        <is>
          <t>Skill Level Bonus — 3rd Job</t>
        </is>
      </c>
      <c r="B23">
        <f>IFERROR(1/(I23-100),"n/a")</f>
        <v/>
      </c>
      <c r="C23" t="inlineStr">
        <is>
          <t>level</t>
        </is>
      </c>
      <c r="D23">
        <f>Inputs!$B$27</f>
        <v/>
      </c>
      <c r="E23">
        <f>(Inputs!$B$27+1)</f>
        <v/>
      </c>
      <c r="F23">
        <f>Summary!$B$3</f>
        <v/>
      </c>
      <c r="G23">
        <f>B866</f>
        <v/>
      </c>
      <c r="H23">
        <f>G23-F23</f>
        <v/>
      </c>
      <c r="I23">
        <f>IF(F23=0,0,G23/F23*100)</f>
        <v/>
      </c>
    </row>
    <row r="24">
      <c r="A24" t="inlineStr">
        <is>
          <t>Skill Level Bonus — 4th Job</t>
        </is>
      </c>
      <c r="B24">
        <f>IFERROR(1/(I24-100),"n/a")</f>
        <v/>
      </c>
      <c r="C24" t="inlineStr">
        <is>
          <t>level</t>
        </is>
      </c>
      <c r="D24">
        <f>Inputs!$B$28</f>
        <v/>
      </c>
      <c r="E24">
        <f>(Inputs!$B$28+1)</f>
        <v/>
      </c>
      <c r="F24">
        <f>Summary!$B$3</f>
        <v/>
      </c>
      <c r="G24">
        <f>B910</f>
        <v/>
      </c>
      <c r="H24">
        <f>G24-F24</f>
        <v/>
      </c>
      <c r="I24">
        <f>IF(F24=0,0,G24/F24*100)</f>
        <v/>
      </c>
    </row>
    <row r="25">
      <c r="A25" t="inlineStr">
        <is>
          <t>Skill Level Bonus — All Skills</t>
        </is>
      </c>
      <c r="B25">
        <f>IFERROR(1/(I25-100),"n/a")</f>
        <v/>
      </c>
      <c r="C25" t="inlineStr">
        <is>
          <t>level</t>
        </is>
      </c>
      <c r="D25">
        <f>Inputs!$B$29</f>
        <v/>
      </c>
      <c r="E25">
        <f>(Inputs!$B$29+1)</f>
        <v/>
      </c>
      <c r="F25">
        <f>Summary!$B$3</f>
        <v/>
      </c>
      <c r="G25">
        <f>B954</f>
        <v/>
      </c>
      <c r="H25">
        <f>G25-F25</f>
        <v/>
      </c>
      <c r="I25">
        <f>IF(F25=0,0,G25/F25*100)</f>
        <v/>
      </c>
    </row>
    <row r="26">
      <c r="A26" t="inlineStr">
        <is>
          <t>Flat ATTACK</t>
        </is>
      </c>
      <c r="B26">
        <f>IFERROR(1/(I26-100),"n/a")</f>
        <v/>
      </c>
      <c r="C26" t="inlineStr">
        <is>
          <t>flat</t>
        </is>
      </c>
      <c r="D26">
        <f>Inputs!$B$6</f>
        <v/>
      </c>
      <c r="E26">
        <f>(Inputs!$B$6+1)</f>
        <v/>
      </c>
      <c r="F26">
        <f>Summary!$B$3</f>
        <v/>
      </c>
      <c r="G26">
        <f>B998</f>
        <v/>
      </c>
      <c r="H26">
        <f>G26-F26</f>
        <v/>
      </c>
      <c r="I26">
        <f>IF(F26=0,0,G26/F26*100)</f>
        <v/>
      </c>
    </row>
    <row r="27">
      <c r="A27" t="inlineStr">
        <is>
          <t>ATTACK %</t>
        </is>
      </c>
      <c r="B27">
        <f>IFERROR(1/(I27-100),"n/a")</f>
        <v/>
      </c>
      <c r="C27" t="inlineStr">
        <is>
          <t>pct</t>
        </is>
      </c>
      <c r="D27">
        <f>Inputs!$B$7</f>
        <v/>
      </c>
      <c r="E27">
        <f>(Inputs!$B$7+1)</f>
        <v/>
      </c>
      <c r="F27">
        <f>Summary!$B$3</f>
        <v/>
      </c>
      <c r="G27">
        <f>B1042</f>
        <v/>
      </c>
      <c r="H27">
        <f>G27-F27</f>
        <v/>
      </c>
      <c r="I27">
        <f>IF(F27=0,0,G27/F27*100)</f>
        <v/>
      </c>
    </row>
    <row r="28">
      <c r="A28" t="inlineStr">
        <is>
          <t>Skill Cooldown Decrease (seconds)</t>
        </is>
      </c>
      <c r="B28">
        <f>IFERROR(1/(I28-100),"n/a")</f>
        <v/>
      </c>
      <c r="C28" t="inlineStr">
        <is>
          <t>flat</t>
        </is>
      </c>
      <c r="D28">
        <f>Inputs!$B$32</f>
        <v/>
      </c>
      <c r="E28">
        <f>(Inputs!$B$32+1)</f>
        <v/>
      </c>
      <c r="F28">
        <f>Summary!$B$3</f>
        <v/>
      </c>
      <c r="G28">
        <f>B1086</f>
        <v/>
      </c>
      <c r="H28">
        <f>G28-F28</f>
        <v/>
      </c>
      <c r="I28">
        <f>IF(F28=0,0,G28/F28*100)</f>
        <v/>
      </c>
    </row>
    <row r="29">
      <c r="A29" t="inlineStr">
        <is>
          <t>Basic Attack Target Increase (flat)</t>
        </is>
      </c>
      <c r="B29">
        <f>IFERROR(1/(I29-100),"n/a")</f>
        <v/>
      </c>
      <c r="C29" t="inlineStr">
        <is>
          <t>flat</t>
        </is>
      </c>
      <c r="D29">
        <f>Inputs!$B$33</f>
        <v/>
      </c>
      <c r="E29">
        <f>(Inputs!$B$33+1)</f>
        <v/>
      </c>
      <c r="F29">
        <f>Summary!$B$3</f>
        <v/>
      </c>
      <c r="G29">
        <f>B1130</f>
        <v/>
      </c>
      <c r="H29">
        <f>G29-F29</f>
        <v/>
      </c>
      <c r="I29">
        <f>IF(F29=0,0,G29/F29*100)</f>
        <v/>
      </c>
    </row>
    <row r="30">
      <c r="A30" t="inlineStr">
        <is>
          <t>Buff Duration Increase %</t>
        </is>
      </c>
      <c r="B30">
        <f>IFERROR(1/(I30-100),"n/a")</f>
        <v/>
      </c>
      <c r="C30" t="inlineStr">
        <is>
          <t>pct</t>
        </is>
      </c>
      <c r="D30">
        <f>Inputs!$B$34</f>
        <v/>
      </c>
      <c r="E30">
        <f>(Inputs!$B$34+1)</f>
        <v/>
      </c>
      <c r="F30">
        <f>Summary!$B$3</f>
        <v/>
      </c>
      <c r="G30">
        <f>B1174</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$55*(Inputs!$B$21+Skills!Q2))/100)*(1+Inputs!$B$16/100)*(5000/(6000+Inputs!$B$42*(1-(Inputs!$B$19+((C60=TRUE)*(F60-Calc!F27)))/100)))*(1+(Inputs!$B$24+((C58=TRUE)*(F58-Calc!F25))+((C59=TRUE)*(F59-Calc!F26))+B72)/100)*(1+(IF(Skills!A2="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35)</f>
        <v/>
      </c>
      <c r="L35">
        <f>K35*(MIN(Inputs!$B$22+((C57=TRUE)*(F57-Calc!F24)),Inputs!$B$23+((C62=TRUE)*(F62-Calc!F29)))/100+(Inputs!$B$23+((C62=TRUE)*(F62-Calc!F29)))/100)/2</f>
        <v/>
      </c>
      <c r="M35">
        <f>L35*(1+(Inputs!$B$10+0+B71)/100)</f>
        <v/>
      </c>
      <c r="N35">
        <f>L35*(1-MIN((Inputs!$B$9+((C53=TRUE)*(F53-Calc!F20))+B66),100)/100)+M35*(MIN((Inputs!$B$9+((C53=TRUE)*(F53-Calc!F20))+B66),100)/100)</f>
        <v/>
      </c>
      <c r="O35">
        <f>IF(C35,Skills!G2*N35*B70*IF(Inputs!$B$38="pvp",1,(1-Summary!$B$55)*(1)+Summary!$B$55*(MIN((6+Inputs!$B$33),Inputs!$B$37))),0)</f>
        <v/>
      </c>
      <c r="P35">
        <f>IF(B74=0,0,O35/B74)</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Inputs!$B$3&gt;=35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F(Inputs!$B$38="pvp",0,(1-Summary!$B$55)*(Inputs!$B$20+0+Skills!P5)+Summary!$B$55*(Inputs!$B$21+Skills!Q5))/100)*(1+Inputs!$B$16/100)*(5000/(6000+Inputs!$B$42*(1-(Inputs!$B$19+((C60=TRUE)*(F60-Calc!F27)))/100)))*(1+(Inputs!$B$24+((C58=TRUE)*(F58-Calc!F25))+((C59=TRUE)*(F59-Calc!F26))+B72)/100)*(1+4.0*IF(C43=TRUE,F43,0)/100)*(1+(IF(Skills!A5="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38)</f>
        <v/>
      </c>
      <c r="L38">
        <f>K38*(MIN(Inputs!$B$22+((C57=TRUE)*(F57-Calc!F24)),Inputs!$B$23+((C62=TRUE)*(F62-Calc!F29)))/100+(Inputs!$B$23+((C62=TRUE)*(F62-Calc!F29)))/100)/2</f>
        <v/>
      </c>
      <c r="M38">
        <f>L38*(1+(Inputs!$B$10+0+B71)/100)</f>
        <v/>
      </c>
      <c r="N38">
        <f>L38*(1-MIN((Inputs!$B$9+((C53=TRUE)*(F53-Calc!F20))+B66),100)/100)+M38*(MIN((Inputs!$B$9+((C53=TRUE)*(F53-Calc!F20))+B66),100)/100)</f>
        <v/>
      </c>
      <c r="O38">
        <f>IF(C38,H38*N38*IF(AND(Inputs!$B$38&lt;&gt;"pvp",Inputs!$B$43&gt;0),((Skills!G5*((R38-1)*IF(Skills!H5&gt;0,Skills!I5/Skills!H5,1)+IF(Skills!H5&gt;0,MIN(Skills!I5,MAX(0,MAX(0,Inputs!$B$43-B73)-((R38-1)*IF(Inputs!$B$38="pvp",15,MAX(0.1,Skills!D5-IF(Skills!E5=TRUE,Inputs!$B$32,0))))))/Skills!H5,1)))/Inputs!$B$43),G38*Q38)*IF(Inputs!$B$38="pvp",1,(1-Summary!$B$55)*(1)+Summary!$B$55*(MIN(Skills!R5,Inputs!$B$37))),0)</f>
        <v/>
      </c>
      <c r="P38">
        <f>IF(B74=0,0,O38/B74)</f>
        <v/>
      </c>
      <c r="Q38">
        <f>IFERROR(1/IF(Inputs!$B$38="pvp",15,MAX(0.1,Skills!D5-IF(Skills!E5=TRUE,Inputs!$B$32,0))),0)</f>
        <v/>
      </c>
      <c r="R38">
        <f>IF(AND(Inputs!$B$38&lt;&gt;"pvp",Inputs!$B$43&gt;0),IF(MAX(0,Inputs!$B$43-B73)&lt;=0,0,(INT(MAX(0,Inputs!$B$43-B73)/IF(Inputs!$B$38="pvp",15,MAX(0.1,Skills!D5-IF(Skills!E5=TRUE,Inputs!$B$32,0))))+1)),0)</f>
        <v/>
      </c>
      <c r="S38">
        <f>IFERROR(O38/N38,0)</f>
        <v/>
      </c>
    </row>
    <row r="39">
      <c r="A39">
        <f>Skills!A6</f>
        <v/>
      </c>
      <c r="B39">
        <f>Skills!B6</f>
        <v/>
      </c>
      <c r="C39">
        <f>Inputs!$B$3&gt;=40</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$55*(Inputs!$B$21+Skills!Q6))/100)*(1+Inputs!$B$16/100)*(5000/(6000+Inputs!$B$42*(1-(Inputs!$B$19+((C60=TRUE)*(F60-Calc!F27)))/100)))*(1+(Inputs!$B$24+((C58=TRUE)*(F58-Calc!F25))+((C59=TRUE)*(F59-Calc!F26))+B72)/100)*(1+IF(C40=TRUE,F40,0)/100)*(1+(IF(Skills!A6="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39)</f>
        <v/>
      </c>
      <c r="L39">
        <f>K39*(MIN(Inputs!$B$22+((C57=TRUE)*(F57-Calc!F24)),Inputs!$B$23+((C62=TRUE)*(F62-Calc!F29)))/100+(Inputs!$B$23+((C62=TRUE)*(F62-Calc!F29)))/100)/2</f>
        <v/>
      </c>
      <c r="M39">
        <f>L39*(1+(Inputs!$B$10+0+B71)/100)</f>
        <v/>
      </c>
      <c r="N39">
        <f>L39*(1-MIN((Inputs!$B$9+((C53=TRUE)*(F53-Calc!F20))+B66),100)/100)+M39*(MIN((Inputs!$B$9+((C53=TRUE)*(F53-Calc!F20))+B66),100)/100)</f>
        <v/>
      </c>
      <c r="O39">
        <f>IF(C39,H39*N39*IF(AND(Inputs!$B$38&lt;&gt;"pvp",Inputs!$B$43&gt;0),((Skills!G6*((R39-1)*IF(Skills!H6&gt;0,Skills!I6/Skills!H6,1)+IF(Skills!H6&gt;0,MIN(Skills!I6,MAX(0,MAX(0,Inputs!$B$43-B73)-((R39-1)*IF(Inputs!$B$38="pvp",15,MAX(0.1,Skills!D6-IF(Skills!E6=TRUE,Inputs!$B$32,0))))))/Skills!H6,1)))/Inputs!$B$43),G39*Q39)*IF(Inputs!$B$38="pvp",1,(1-Summary!$B$55)*(1)+Summary!$B$55*(MIN(Skills!R6,Inputs!$B$37))),0)</f>
        <v/>
      </c>
      <c r="P39">
        <f>IF(B74=0,0,O39/B74)</f>
        <v/>
      </c>
      <c r="Q39">
        <f>IFERROR(1/IF(Inputs!$B$38="pvp",15,MAX(0.1,Skills!D6-IF(Skills!E6=TRUE,Inputs!$B$32,0))),0)</f>
        <v/>
      </c>
      <c r="R39">
        <f>IF(AND(Inputs!$B$38&lt;&gt;"pvp",Inputs!$B$43&gt;0),IF(MAX(0,Inputs!$B$43-B73)&lt;=0,0,(INT(MAX(0,Inputs!$B$43-B73)/IF(Inputs!$B$38="pvp",15,MAX(0.1,Skills!D6-IF(Skills!E6=TRUE,Inputs!$B$32,0))))+1)),0)</f>
        <v/>
      </c>
      <c r="S39">
        <f>IFERROR(O39/N39,0)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t="inlineStr"/>
      <c r="H40" t="inlineStr"/>
      <c r="I40" t="inlineStr">
        <is>
          <t>1</t>
        </is>
      </c>
      <c r="J40" t="inlineStr"/>
      <c r="K40" t="inlineStr"/>
      <c r="L40" t="inlineStr"/>
      <c r="M40" t="inlineStr"/>
      <c r="N40" t="inlineStr"/>
      <c r="O40" t="inlineStr"/>
      <c r="P40" t="inlineStr"/>
      <c r="Q40" t="inlineStr"/>
      <c r="R40" t="inlineStr"/>
      <c r="S40" t="inlineStr"/>
    </row>
    <row r="41">
      <c r="A41">
        <f>Skills!A8</f>
        <v/>
      </c>
      <c r="B41">
        <f>Skills!B8</f>
        <v/>
      </c>
      <c r="C41">
        <f>Inputs!$B$3&gt;=69</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F(Inputs!$B$38="pvp",0,(1-Summary!$B$55)*(Inputs!$B$20+0+Skills!P8)+Summary!$B$55*(Inputs!$B$21+Skills!Q8))/100)*(1+Inputs!$B$16/100)*(5000/(6000+Inputs!$B$42*(1-(Inputs!$B$19+((C60=TRUE)*(F60-Calc!F27)))/100)))*(1+(Inputs!$B$24+((C58=TRUE)*(F58-Calc!F25))+((C59=TRUE)*(F59-Calc!F26))+B72)/100)*(1+1.2*IF(C43=TRUE,F43,0)/100)*(1+(IF(Skills!A8="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41)</f>
        <v/>
      </c>
      <c r="L41">
        <f>K41*(MIN(Inputs!$B$22+((C57=TRUE)*(F57-Calc!F24)),Inputs!$B$23+((C62=TRUE)*(F62-Calc!F29)))/100+(Inputs!$B$23+((C62=TRUE)*(F62-Calc!F29)))/100)/2</f>
        <v/>
      </c>
      <c r="M41">
        <f>L41*(1+(Inputs!$B$10+0+B71)/100)</f>
        <v/>
      </c>
      <c r="N41">
        <f>L41*(1-MIN((Inputs!$B$9+((C53=TRUE)*(F53-Calc!F20))+B66),100)/100)+M41*(MIN((Inputs!$B$9+((C53=TRUE)*(F53-Calc!F20))+B66),100)/100)</f>
        <v/>
      </c>
      <c r="O41">
        <f>IF(C41,H41*N41*IF(AND(Inputs!$B$38&lt;&gt;"pvp",Inputs!$B$43&gt;0),((Skills!G8*((R41-1)*IF(Skills!H8&gt;0,Skills!I8/Skills!H8,1)+IF(Skills!H8&gt;0,MIN(Skills!I8,MAX(0,MAX(0,Inputs!$B$43-B73)-((R41-1)*IF(Inputs!$B$38="pvp",15,MAX(0.1,Skills!D8-IF(Skills!E8=TRUE,Inputs!$B$32,0))))))/Skills!H8,1)))/Inputs!$B$43),G41*Q41)*IF(Inputs!$B$38="pvp",1,(1-Summary!$B$55)*(1)+Summary!$B$55*(MIN(Skills!R8,Inputs!$B$37))),0)</f>
        <v/>
      </c>
      <c r="P41">
        <f>IF(B74=0,0,O41/B74)</f>
        <v/>
      </c>
      <c r="Q41">
        <f>IFERROR(1/IF(Inputs!$B$38="pvp",15,MAX(0.1,Skills!D8-IF(Skills!E8=TRUE,Inputs!$B$32,0))),0)</f>
        <v/>
      </c>
      <c r="R41">
        <f>IF(AND(Inputs!$B$38&lt;&gt;"pvp",Inputs!$B$43&gt;0),IF(MAX(0,Inputs!$B$43-B73)&lt;=0,0,(INT(MAX(0,Inputs!$B$43-B73)/IF(Inputs!$B$38="pvp",15,MAX(0.1,Skills!D8-IF(Skills!E8=TRUE,Inputs!$B$32,0))))+1)),0)</f>
        <v/>
      </c>
      <c r="S41">
        <f>IFERROR(O41/N41,0)</f>
        <v/>
      </c>
    </row>
    <row r="42">
      <c r="A42">
        <f>Skills!A9</f>
        <v/>
      </c>
      <c r="B42">
        <f>Skills!B9</f>
        <v/>
      </c>
      <c r="C42">
        <f>Inputs!$B$3&gt;=63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$55*(Inputs!$B$21+Skills!Q9))/100)*(1+Inputs!$B$16/100)*(5000/(6000+Inputs!$B$42*(1-(Inputs!$B$19+((C60=TRUE)*(F60-Calc!F27)))/100)))*(1+(Inputs!$B$24+((C58=TRUE)*(F58-Calc!F25))+((C59=TRUE)*(F59-Calc!F26))+B72)/100)*(1+1.0*IF(C43=TRUE,F43,0)/100)*(1+(IF(Skills!A9="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42)</f>
        <v/>
      </c>
      <c r="L42">
        <f>K42*(MIN(Inputs!$B$22+((C57=TRUE)*(F57-Calc!F24)),Inputs!$B$23+((C62=TRUE)*(F62-Calc!F29)))/100+(Inputs!$B$23+((C62=TRUE)*(F62-Calc!F29)))/100)/2</f>
        <v/>
      </c>
      <c r="M42">
        <f>L42*(1+(Inputs!$B$10+0+B71)/100)</f>
        <v/>
      </c>
      <c r="N42">
        <f>L42*(1-MIN((Inputs!$B$9+((C53=TRUE)*(F53-Calc!F20))+B66),100)/100)+M42*(MIN((Inputs!$B$9+((C53=TRUE)*(F53-Calc!F20))+B66),100)/100)</f>
        <v/>
      </c>
      <c r="O42">
        <f>IF(C42,H42*N42*IF(AND(Inputs!$B$38&lt;&gt;"pvp",Inputs!$B$43&gt;0),((Skills!G9*((R42-1)*IF(Skills!H9&gt;0,Skills!I9/Skills!H9,1)+IF(Skills!H9&gt;0,MIN(Skills!I9,MAX(0,MAX(0,Inputs!$B$43-B73)-((R42-1)*IF(Inputs!$B$38="pvp",15,MAX(0.1,Skills!D9-IF(Skills!E9=TRUE,Inputs!$B$32,0))))))/Skills!H9,1)))/Inputs!$B$43),G42*Q42)*IF(Inputs!$B$38="pvp",1,(1-Summary!$B$55)*(1)+Summary!$B$55*(MIN(Skills!R9,Inputs!$B$37))),0)</f>
        <v/>
      </c>
      <c r="P42">
        <f>IF(B74=0,0,O42/B74)</f>
        <v/>
      </c>
      <c r="Q42">
        <f>IFERROR(1/IF(Inputs!$B$38="pvp",15,MAX(0.1,Skills!D9-IF(Skills!E9=TRUE,Inputs!$B$32,0))),0)</f>
        <v/>
      </c>
      <c r="R42">
        <f>IF(AND(Inputs!$B$38&lt;&gt;"pvp",Inputs!$B$43&gt;0),IF(MAX(0,Inputs!$B$43-B73)&lt;=0,0,(INT(MAX(0,Inputs!$B$43-B73)/IF(Inputs!$B$38="pvp",15,MAX(0.1,Skills!D9-IF(Skills!E9=TRUE,Inputs!$B$32,0))))+1)),0)</f>
        <v/>
      </c>
      <c r="S42">
        <f>IFERROR(O42/N42,0)</f>
        <v/>
      </c>
    </row>
    <row r="43">
      <c r="A43">
        <f>Skills!A10</f>
        <v/>
      </c>
      <c r="B43">
        <f>Skills!B10</f>
        <v/>
      </c>
      <c r="C43">
        <f>Inputs!$B$3&gt;=100</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t="inlineStr"/>
      <c r="H43" t="inlineStr"/>
      <c r="I43" t="inlineStr">
        <is>
          <t>1</t>
        </is>
      </c>
      <c r="J43" t="inlineStr"/>
      <c r="K43" t="inlineStr"/>
      <c r="L43" t="inlineStr"/>
      <c r="M43" t="inlineStr"/>
      <c r="N43" t="inlineStr"/>
      <c r="O43" t="inlineStr"/>
      <c r="P43" t="inlineStr"/>
      <c r="Q43" t="inlineStr"/>
      <c r="R43" t="inlineStr"/>
      <c r="S43" t="inlineStr"/>
    </row>
    <row r="44">
      <c r="A44">
        <f>Skills!A11</f>
        <v/>
      </c>
      <c r="B44">
        <f>Skills!B11</f>
        <v/>
      </c>
      <c r="C44">
        <f>Inputs!$B$3&gt;=60</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$55*(Inputs!$B$21+Skills!Q11))/100)*(1+Inputs!$B$16/100)*(5000/(6000+Inputs!$B$42*(1-(Inputs!$B$19+((C60=TRUE)*(F60-Calc!F27)))/100)))*(1+(Inputs!$B$24+((C58=TRUE)*(F58-Calc!F25))+((C59=TRUE)*(F59-Calc!F26))+B72)/100)*(1+IF(C45=TRUE,F45,0)/100)*(1+(IF(Skills!A11="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44)</f>
        <v/>
      </c>
      <c r="L44">
        <f>K44*(MIN(Inputs!$B$22+((C57=TRUE)*(F57-Calc!F24)),Inputs!$B$23+((C62=TRUE)*(F62-Calc!F29)))/100+(Inputs!$B$23+((C62=TRUE)*(F62-Calc!F29)))/100)/2</f>
        <v/>
      </c>
      <c r="M44">
        <f>L44*(1+(Inputs!$B$10+0+B71)/100)</f>
        <v/>
      </c>
      <c r="N44">
        <f>L44*(1-MIN((Inputs!$B$9+((C53=TRUE)*(F53-Calc!F20))+B66),100)/100)+M44*(MIN((Inputs!$B$9+((C53=TRUE)*(F53-Calc!F20))+B66),100)/100)</f>
        <v/>
      </c>
      <c r="O44">
        <f>IF(C44,H44*N44*IF(AND(Inputs!$B$38&lt;&gt;"pvp",Inputs!$B$43&gt;0),((Skills!G11*((R44-1)*IF(Skills!H11&gt;0,Skills!I11/Skills!H11,1)+IF(Skills!H11&gt;0,MIN(Skills!I11,MAX(0,MAX(0,Inputs!$B$43-B73)-((R44-1)*IF(Inputs!$B$38="pvp",15,MAX(0.1,Skills!D11-IF(Skills!E11=TRUE,Inputs!$B$32,0))))))/Skills!H11,1)))/Inputs!$B$43),G44*Q44)*IF(Inputs!$B$38="pvp",1,(1-Summary!$B$55)*(1)+Summary!$B$55*(MIN(Skills!R11,Inputs!$B$37))),0)</f>
        <v/>
      </c>
      <c r="P44">
        <f>IF(B74=0,0,O44/B74)</f>
        <v/>
      </c>
      <c r="Q44">
        <f>IFERROR(1/IF(Inputs!$B$38="pvp",15,MAX(0.1,Skills!D11-IF(Skills!E11=TRUE,Inputs!$B$32,0))),0)</f>
        <v/>
      </c>
      <c r="R44">
        <f>IF(AND(Inputs!$B$38&lt;&gt;"pvp",Inputs!$B$43&gt;0),IF(MAX(0,Inputs!$B$43-B73)&lt;=0,0,(INT(MAX(0,Inputs!$B$43-B73)/IF(Inputs!$B$38="pvp",15,MAX(0.1,Skills!D11-IF(Skills!E11=TRUE,Inputs!$B$32,0))))+1)),0)</f>
        <v/>
      </c>
      <c r="S44">
        <f>IFERROR(O44/N44,0)</f>
        <v/>
      </c>
    </row>
    <row r="45">
      <c r="A45">
        <f>Skills!A12</f>
        <v/>
      </c>
      <c r="B45">
        <f>Skills!B12</f>
        <v/>
      </c>
      <c r="C45">
        <f>Inputs!$B$3&gt;=110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Inputs!$B$3&gt;=74</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IF(B74=0,0,O46/B74)</f>
        <v/>
      </c>
      <c r="Q46" t="n">
        <v>0</v>
      </c>
      <c r="R46" t="n">
        <v>0</v>
      </c>
      <c r="S46">
        <f>IFERROR(O46/N46,0)</f>
        <v/>
      </c>
    </row>
    <row r="47">
      <c r="A47">
        <f>Skills!A14</f>
        <v/>
      </c>
      <c r="B47">
        <f>Skills!B14</f>
        <v/>
      </c>
      <c r="C47">
        <f>Inputs!$B$3&gt;=74</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IF(B74=0,0,O47/B74)</f>
        <v/>
      </c>
      <c r="Q47" t="n">
        <v>0</v>
      </c>
      <c r="R47" t="n">
        <v>0</v>
      </c>
      <c r="S47">
        <f>IFERROR(O47/N47,0)</f>
        <v/>
      </c>
    </row>
    <row r="48">
      <c r="A48">
        <f>Skills!A15</f>
        <v/>
      </c>
      <c r="B48">
        <f>Skills!B15</f>
        <v/>
      </c>
      <c r="C48">
        <f>Inputs!$B$3&gt;=117</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IF(B74=0,0,O48/B74)</f>
        <v/>
      </c>
      <c r="Q48">
        <f>IFERROR(1/IF(Inputs!$B$38="pvp",15,MAX(0.1,Skills!D15-IF(Skills!E15=TRUE,Inputs!$B$32,0))),0)</f>
        <v/>
      </c>
      <c r="R48">
        <f>IF(AND(Inputs!$B$38&lt;&gt;"pvp",Inputs!$B$43&gt;0),IF(Inputs!$B$43&lt;=0,0,(INT(Inputs!$B$43/IF(Inputs!$B$38="pvp",15,MAX(0.1,Skills!D15-IF(Skills!E15=TRUE,Inputs!$B$32,0))))+1)),0)</f>
        <v/>
      </c>
      <c r="S48">
        <f>IFERROR(O48/N48,0)</f>
        <v/>
      </c>
    </row>
    <row r="49">
      <c r="A49">
        <f>Skills!A16</f>
        <v/>
      </c>
      <c r="B49">
        <f>Skills!B16</f>
        <v/>
      </c>
      <c r="C49">
        <f>Inputs!$B$3&gt;=115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IF(B74=0,0,O49/B74)</f>
        <v/>
      </c>
      <c r="Q49">
        <f>IFERROR(1/IF(Inputs!$B$38="pvp",15,MAX(0.1,Skills!D16-IF(Skills!E16=TRUE,Inputs!$B$32,0))),0)</f>
        <v/>
      </c>
      <c r="R49">
        <f>IF(AND(Inputs!$B$38&lt;&gt;"pvp",Inputs!$B$43&gt;0),IF(Inputs!$B$43&lt;=0,0,(INT(Inputs!$B$43/IF(Inputs!$B$38="pvp",15,MAX(0.1,Skills!D16-IF(Skills!E16=TRUE,Inputs!$B$32,0))))+1)),0)</f>
        <v/>
      </c>
      <c r="S49">
        <f>IFERROR(O49/N49,0)</f>
        <v/>
      </c>
    </row>
    <row r="50">
      <c r="A50">
        <f>Skills!A17</f>
        <v/>
      </c>
      <c r="B50">
        <f>Skills!B17</f>
        <v/>
      </c>
      <c r="C50">
        <f>Inputs!$B$3&gt;=66</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IF(B74=0,0,O50/B74)</f>
        <v/>
      </c>
      <c r="Q50" t="n">
        <v>0</v>
      </c>
      <c r="R50" t="n">
        <v>0</v>
      </c>
      <c r="S50">
        <f>IFERROR(O50/N50,0)</f>
        <v/>
      </c>
    </row>
    <row r="51">
      <c r="A51">
        <f>Skills!A18</f>
        <v/>
      </c>
      <c r="B51">
        <f>Skills!B18</f>
        <v/>
      </c>
      <c r="C51">
        <f>Inputs!$B$3&gt;=72</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IF(B74=0,0,O51/B74)</f>
        <v/>
      </c>
      <c r="Q51" t="n">
        <v>0</v>
      </c>
      <c r="R51" t="n">
        <v>0</v>
      </c>
      <c r="S51">
        <f>IFERROR(O51/N51,0)</f>
        <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IF(B74=0,0,O52/B74)</f>
        <v/>
      </c>
      <c r="Q52">
        <f>IFERROR(1/IF(Inputs!$B$38="pvp",15,MAX(0.1,Skills!D19-IF(Skills!E19=TRUE,Inputs!$B$32,0))),0)</f>
        <v/>
      </c>
      <c r="R52">
        <f>IF(AND(Inputs!$B$38&lt;&gt;"pvp",Inputs!$B$43&gt;0),IF(Inputs!$B$43&lt;=0,0,(INT(Inputs!$B$43/IF(Inputs!$B$38="pvp",15,MAX(0.1,Skills!D19-IF(Skills!E19=TRUE,Inputs!$B$32,0))))+1)),0)</f>
        <v/>
      </c>
      <c r="S52">
        <f>IFERROR(O52/N52,0)</f>
        <v/>
      </c>
    </row>
    <row r="53">
      <c r="A53">
        <f>Skills!A20</f>
        <v/>
      </c>
      <c r="B53">
        <f>Skills!B20</f>
        <v/>
      </c>
      <c r="C53">
        <f>Inputs!$B$3&gt;=15</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IF(B74=0,0,O53/B74)</f>
        <v/>
      </c>
      <c r="Q53" t="n">
        <v>0</v>
      </c>
      <c r="R53" t="n">
        <v>0</v>
      </c>
      <c r="S53">
        <f>IFERROR(O53/N53,0)</f>
        <v/>
      </c>
    </row>
    <row r="54">
      <c r="A54">
        <f>Skills!A21</f>
        <v/>
      </c>
      <c r="B54">
        <f>Skills!B21</f>
        <v/>
      </c>
      <c r="C54">
        <f>Inputs!$B$3&gt;=10</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IF(B74=0,0,O54/B74)</f>
        <v/>
      </c>
      <c r="Q54" t="n">
        <v>0</v>
      </c>
      <c r="R54" t="n">
        <v>0</v>
      </c>
      <c r="S54">
        <f>IFERROR(O54/N54,0)</f>
        <v/>
      </c>
    </row>
    <row r="55">
      <c r="A55">
        <f>Skills!A22</f>
        <v/>
      </c>
      <c r="B55">
        <f>Skills!B22</f>
        <v/>
      </c>
      <c r="C55">
        <f>Inputs!$B$3&gt;=33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IF(B74=0,0,O55/B74)</f>
        <v/>
      </c>
      <c r="Q55" t="n">
        <v>0</v>
      </c>
      <c r="R55" t="n">
        <v>0</v>
      </c>
      <c r="S55">
        <f>IFERROR(O55/N55,0)</f>
        <v/>
      </c>
    </row>
    <row r="56">
      <c r="A56">
        <f>Skills!A23</f>
        <v/>
      </c>
      <c r="B56">
        <f>Skills!B23</f>
        <v/>
      </c>
      <c r="C56">
        <f>Inputs!$B$3&gt;=38</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IF(B74=0,0,O56/B74)</f>
        <v/>
      </c>
      <c r="Q56" t="n">
        <v>0</v>
      </c>
      <c r="R56" t="n">
        <v>0</v>
      </c>
      <c r="S56">
        <f>IFERROR(O56/N56,0)</f>
        <v/>
      </c>
    </row>
    <row r="57">
      <c r="A57">
        <f>Skills!A24</f>
        <v/>
      </c>
      <c r="B57">
        <f>Skills!B24</f>
        <v/>
      </c>
      <c r="C57">
        <f>Inputs!$B$3&gt;=43</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IF(B74=0,0,O57/B74)</f>
        <v/>
      </c>
      <c r="Q57" t="n">
        <v>0</v>
      </c>
      <c r="R57" t="n">
        <v>0</v>
      </c>
      <c r="S57">
        <f>IFERROR(O57/N57,0)</f>
        <v/>
      </c>
    </row>
    <row r="58">
      <c r="A58">
        <f>Skills!A25</f>
        <v/>
      </c>
      <c r="B58">
        <f>Skills!B25</f>
        <v/>
      </c>
      <c r="C58">
        <f>Inputs!$B$3&gt;=75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IF(B74=0,0,O58/B74)</f>
        <v/>
      </c>
      <c r="Q58" t="n">
        <v>0</v>
      </c>
      <c r="R58" t="n">
        <v>0</v>
      </c>
      <c r="S58">
        <f>IFERROR(O58/N58,0)</f>
        <v/>
      </c>
    </row>
    <row r="59">
      <c r="A59">
        <f>Skills!A26</f>
        <v/>
      </c>
      <c r="B59">
        <f>Skills!B26</f>
        <v/>
      </c>
      <c r="C59">
        <f>Inputs!$B$3&gt;=125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IF(B74=0,0,O59/B74)</f>
        <v/>
      </c>
      <c r="Q59" t="n">
        <v>0</v>
      </c>
      <c r="R59" t="n">
        <v>0</v>
      </c>
      <c r="S59">
        <f>IFERROR(O59/N59,0)</f>
        <v/>
      </c>
    </row>
    <row r="60">
      <c r="A60">
        <f>Skills!A27</f>
        <v/>
      </c>
      <c r="B60">
        <f>Skills!B27</f>
        <v/>
      </c>
      <c r="C60">
        <f>Inputs!$B$3&gt;=125</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IF(B74=0,0,O60/B74)</f>
        <v/>
      </c>
      <c r="Q60" t="n">
        <v>0</v>
      </c>
      <c r="R60" t="n">
        <v>0</v>
      </c>
      <c r="S60">
        <f>IFERROR(O60/N60,0)</f>
        <v/>
      </c>
    </row>
    <row r="61">
      <c r="A61">
        <f>Skills!A28</f>
        <v/>
      </c>
      <c r="B61">
        <f>Skills!B28</f>
        <v/>
      </c>
      <c r="C61">
        <f>Inputs!$B$3&gt;=120</f>
        <v/>
      </c>
      <c r="D61">
        <f>IF(Skills!C28=1,60+Inputs!$B$25+Inputs!$B$29,IF(Skills!C28=2,90+Inputs!$B$26+Inputs!$B$29,IF(Skills!C28=3,120+Inputs!$B$27+Inputs!$B$29,MAX(0,(Inputs!$B$3-100)*3)+Inputs!$B$28+Inputs!$B$29)))</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t="n">
        <v>0</v>
      </c>
      <c r="P61">
        <f>IF(B74=0,0,O61/B74)</f>
        <v/>
      </c>
      <c r="Q61" t="n">
        <v>0</v>
      </c>
      <c r="R61" t="n">
        <v>0</v>
      </c>
      <c r="S61">
        <f>IFERROR(O61/N61,0)</f>
        <v/>
      </c>
    </row>
    <row r="62">
      <c r="A62">
        <f>Skills!A29</f>
        <v/>
      </c>
      <c r="B62">
        <f>Skills!B29</f>
        <v/>
      </c>
      <c r="C62">
        <f>Inputs!$B$3&gt;=120</f>
        <v/>
      </c>
      <c r="D62">
        <f>IF(Skills!C29=1,60+Inputs!$B$25+Inputs!$B$29,IF(Skills!C29=2,90+Inputs!$B$26+Inputs!$B$29,IF(Skills!C29=3,120+Inputs!$B$27+Inputs!$B$29,MAX(0,(Inputs!$B$3-100)*3)+Inputs!$B$28+Inputs!$B$29)))</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t="n">
        <v>0</v>
      </c>
      <c r="P62">
        <f>IF(B74=0,0,O62/B74)</f>
        <v/>
      </c>
      <c r="Q62" t="n">
        <v>0</v>
      </c>
      <c r="R62" t="n">
        <v>0</v>
      </c>
      <c r="S62">
        <f>IFERROR(O62/N62,0)</f>
        <v/>
      </c>
    </row>
    <row r="63">
      <c r="A63">
        <f>Skills!A30</f>
        <v/>
      </c>
      <c r="B63">
        <f>Skills!B30</f>
        <v/>
      </c>
      <c r="C63">
        <f>Inputs!$B$3&gt;=45</f>
        <v/>
      </c>
      <c r="D63">
        <f>IF(Skills!C30=1,60+Inputs!$B$25+Inputs!$B$29,IF(Skills!C30=2,90+Inputs!$B$26+Inputs!$B$29,IF(Skills!C30=3,120+Inputs!$B$27+Inputs!$B$29,MAX(0,(Inputs!$B$3-100)*3)+Inputs!$B$28+Inputs!$B$29)))</f>
        <v/>
      </c>
      <c r="E63">
        <f>INDEX(FactorTable!$B$2:$Y$301, MATCH(ROUND(MIN(300,MAX(1,D63)),0), FactorTable!$A$2:$A$301,0), Skills!M30+1)</f>
        <v/>
      </c>
      <c r="F63">
        <f>IF(Skills!N30=TRUE,(Skills!L30/10)*(E63/1000),Skills!L30/10)+Skills!O30</f>
        <v/>
      </c>
      <c r="G63">
        <f>Skills!G30*IF(Skills!H30&gt;0,Skills!I30/Skills!H30,1)</f>
        <v/>
      </c>
      <c r="H63">
        <f>1-(1-Skills!J30/100)^Skills!K30</f>
        <v/>
      </c>
      <c r="I63" t="inlineStr">
        <is>
          <t>1</t>
        </is>
      </c>
      <c r="J63" t="inlineStr"/>
      <c r="K63" t="inlineStr"/>
      <c r="L63" t="inlineStr"/>
      <c r="M63" t="inlineStr"/>
      <c r="N63" t="inlineStr"/>
      <c r="O63" t="n">
        <v>0</v>
      </c>
      <c r="P63">
        <f>IF(B74=0,0,O63/B74)</f>
        <v/>
      </c>
      <c r="Q63" t="n">
        <v>0</v>
      </c>
      <c r="R63" t="n">
        <v>0</v>
      </c>
      <c r="S63">
        <f>IFERROR(O63/N63,0)</f>
        <v/>
      </c>
    </row>
    <row r="65">
      <c r="A65" t="inlineStr">
        <is>
          <t>Attack% Bucket Multiplier</t>
        </is>
      </c>
      <c r="B65">
        <f>(1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f>
        <v/>
      </c>
    </row>
    <row r="66">
      <c r="A66" t="inlineStr">
        <is>
          <t>Global Crit Rate Bonus %</t>
        </is>
      </c>
      <c r="B66">
        <f>(C49=TRUE)*20*IF(AND(Inputs!$B$38&lt;&gt;"pvp",Inputs!$B$43&gt;0),(((R49-1)*(Skills!T16*(1+Inputs!$B$34/100))+MIN((Skills!T16*(1+Inputs!$B$34/100)),MAX(0,Inputs!$B$43-((R49-1)*Skills!D16))))/Inputs!$B$43),IF(Inputs!$B$38="pvp",MIN((Skills!T16*(1+Inputs!$B$34/100)),15)/15,(Skills!T16*(1+Inputs!$B$34/100))/Skills!D16))</f>
        <v/>
      </c>
    </row>
    <row r="67">
      <c r="A67" t="inlineStr">
        <is>
          <t>Attack Speed Buff Bonus %</t>
        </is>
      </c>
      <c r="B67">
        <f>((C52=TRUE)*F52*IF(AND(Inputs!$B$38&lt;&gt;"pvp",Inputs!$B$43&gt;0),(((R52-1)*(Skills!T19*(1+Inputs!$B$34/100))+MIN((Skills!T19*(1+Inputs!$B$34/100)),MAX(0,Inputs!$B$43-((R52-1)*Skills!D19))))/Inputs!$B$43),IF(Inputs!$B$38="pvp",MIN((Skills!T19*(1+Inputs!$B$34/100)),15)/15,(Skills!T19*(1+Inputs!$B$34/100))/Skills!D19)))</f>
        <v/>
      </c>
    </row>
    <row r="68">
      <c r="A68" t="inlineStr">
        <is>
          <t>Actions Per Second</t>
        </is>
      </c>
      <c r="B68">
        <f>1+MIN(150,150*(1-(1-(Inputs!$B$11+((C54=TRUE)*(F54-Calc!F21))+((C55=TRUE)*(F55-Calc!F22)))/150)*(1-B67/150)))/100</f>
        <v/>
      </c>
    </row>
    <row r="69">
      <c r="A69" t="inlineStr">
        <is>
          <t>Skill + Buff Cast Rate</t>
        </is>
      </c>
      <c r="B69">
        <f>IF(AND(Inputs!$B$38&lt;&gt;"pvp",Inputs!$B$43&gt;0),SUMPRODUCT((Skills!E2:E30=TRUE)*(C35:C63=TRUE)*R35:R63*Skills!F2:F30)/Inputs!$B$43,SUMPRODUCT((Skills!E2:E30=TRUE)*(C35:C63=TRUE)*Q35:Q63*Skills!F2:F30))</f>
        <v/>
      </c>
    </row>
    <row r="70">
      <c r="A70" t="inlineStr">
        <is>
          <t>Arrow Stream Casts Per Second</t>
        </is>
      </c>
      <c r="B70">
        <f>MAX(0,B68-B69)</f>
        <v/>
      </c>
    </row>
    <row r="71">
      <c r="A71" t="inlineStr">
        <is>
          <t>Global Critical Damage Bonus % (Sharp Eyes + Concentration)</t>
        </is>
      </c>
      <c r="B71">
        <f>(C49=TRUE)*F49*IF(AND(Inputs!$B$38&lt;&gt;"pvp",Inputs!$B$43&gt;0),(((R49-1)*(Skills!T16*(1+Inputs!$B$34/100))+MIN((Skills!T16*(1+Inputs!$B$34/100)),MAX(0,Inputs!$B$43-((R49-1)*Skills!D16))))/Inputs!$B$43),IF(Inputs!$B$38="pvp",MIN((Skills!T16*(1+Inputs!$B$34/100)),15)/15,(Skills!T16*(1+Inputs!$B$34/100))/Skills!D16))+(C50=TRUE)*30</f>
        <v/>
      </c>
    </row>
    <row r="72">
      <c r="A72" t="inlineStr">
        <is>
          <t>Global Final Damage Bonus % (Mortal Blow)</t>
        </is>
      </c>
      <c r="B72">
        <f>(C51=TRUE)*F51</f>
        <v/>
      </c>
    </row>
    <row r="73">
      <c r="A73" t="inlineStr">
        <is>
          <t>Buff-Casting Startup Delay (s, fixed-duration only)</t>
        </is>
      </c>
      <c r="B73">
        <f>IF(AND(Inputs!$B$38&lt;&gt;"pvp",Inputs!$B$43&gt;0),SUMPRODUCT((Skills!T2:T30&gt;0)*(Skills!E2:E30=TRUE)*(C35:C63=TRUE))/B68,0)</f>
        <v/>
      </c>
    </row>
    <row r="74">
      <c r="A74" s="5" t="inlineStr">
        <is>
          <t>TOTAL DPS</t>
        </is>
      </c>
      <c r="B74" s="5">
        <f>SUM(O35:O63)</f>
        <v/>
      </c>
    </row>
    <row r="77">
      <c r="A77" s="5" t="inlineStr">
        <is>
          <t>Stat: DEX %</t>
        </is>
      </c>
    </row>
    <row r="78">
      <c r="A78" s="9" t="inlineStr">
        <is>
          <t>Key</t>
        </is>
      </c>
      <c r="B78" s="9" t="inlineStr">
        <is>
          <t>Name</t>
        </is>
      </c>
      <c r="C78" s="9" t="inlineStr">
        <is>
          <t>Unlocked</t>
        </is>
      </c>
      <c r="D78" s="9" t="inlineStr">
        <is>
          <t>InputLevel</t>
        </is>
      </c>
      <c r="E78" s="9" t="inlineStr">
        <is>
          <t>Factor</t>
        </is>
      </c>
      <c r="F78" s="9" t="inlineStr">
        <is>
          <t>CoefficientPercent</t>
        </is>
      </c>
      <c r="G78" s="9" t="inlineStr">
        <is>
          <t>EffectiveHits</t>
        </is>
      </c>
      <c r="H78" s="9" t="inlineStr">
        <is>
          <t>ProcProbability</t>
        </is>
      </c>
      <c r="I78" s="9" t="inlineStr">
        <is>
          <t>MapleHeroMultiplier</t>
        </is>
      </c>
      <c r="J78" s="9" t="inlineStr">
        <is>
          <t>BaseDamage</t>
        </is>
      </c>
      <c r="K78" s="9" t="inlineStr">
        <is>
          <t>BaseHitDamage</t>
        </is>
      </c>
      <c r="L78" s="9" t="inlineStr">
        <is>
          <t>NonCritAvg</t>
        </is>
      </c>
      <c r="M78" s="9" t="inlineStr">
        <is>
          <t>CritAvg</t>
        </is>
      </c>
      <c r="N78" s="9" t="inlineStr">
        <is>
          <t>ExpectedDamage(perHit)</t>
        </is>
      </c>
      <c r="O78" s="9" t="inlineStr">
        <is>
          <t>DPS</t>
        </is>
      </c>
      <c r="P78" s="9" t="inlineStr">
        <is>
          <t>% of Total</t>
        </is>
      </c>
      <c r="Q78" s="9" t="inlineStr">
        <is>
          <t>InvCooldown</t>
        </is>
      </c>
      <c r="R78" s="9" t="inlineStr">
        <is>
          <t>CastsInFight</t>
        </is>
      </c>
      <c r="S78" s="9" t="inlineStr">
        <is>
          <t>HitRate(perSec)</t>
        </is>
      </c>
      <c r="U78" t="inlineStr">
        <is>
          <t>helpers</t>
        </is>
      </c>
    </row>
    <row r="79">
      <c r="A79">
        <f>Skills!A2</f>
        <v/>
      </c>
      <c r="B79">
        <f>Skills!B2</f>
        <v/>
      </c>
      <c r="C79">
        <f>Inputs!$B$3&gt;=100</f>
        <v/>
      </c>
      <c r="D79" t="inlineStr"/>
      <c r="E79" t="inlineStr"/>
      <c r="F79">
        <f>U81+Skills!O2</f>
        <v/>
      </c>
      <c r="G79">
        <f>Skills!G2*IF(Skills!H2&gt;0,Skills!I2/Skills!H2,1)</f>
        <v/>
      </c>
      <c r="H79">
        <f>1-(1-Skills!J2/100)^Skills!K2</f>
        <v/>
      </c>
      <c r="I79" t="inlineStr">
        <is>
          <t>1</t>
        </is>
      </c>
      <c r="J79">
        <f>((Inputs!$B$6*(1+Inputs!$B$7/100))+(((Inputs!$B$12*(1+(Inputs!$B$13+1)/100))-(Inputs!$B$12*(1+Inputs!$B$13/100)))+0.25*(Inputs!$B$14-Inputs!$B$14))*(1+Inputs!$B$7/100))*(F79/100)</f>
        <v/>
      </c>
      <c r="K79">
        <f>J79*(1+((Inputs!$B$12*(1+(Inputs!$B$13+1)/100))*0.01+Inputs!$B$14*0.0025)/100)*(1+Inputs!$B$15/100)*(1+IF(Inputs!$B$38="pvp",0,(1-Summary!$B$55)*(Inputs!$B$20+0+Skills!P2)+Summary!$B$55*(Inputs!$B$21+Skills!Q2))/100)*(1+Inputs!$B$16/100)*(5000/(6000+Inputs!$B$42*(1-(Inputs!$B$19+((C104=TRUE)*(F104-Calc!F27)))/100)))*(1+(Inputs!$B$24+((C102=TRUE)*(F102-Calc!F25))+((C103=TRUE)*(F103-Calc!F26))+B116)/100)*(1+(IF(Skills!A2="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79)</f>
        <v/>
      </c>
      <c r="L79">
        <f>K79*(MIN(Inputs!$B$22+((C101=TRUE)*(F101-Calc!F24)),Inputs!$B$23+((C106=TRUE)*(F106-Calc!F29)))/100+(Inputs!$B$23+((C106=TRUE)*(F106-Calc!F29)))/100)/2</f>
        <v/>
      </c>
      <c r="M79">
        <f>L79*(1+(Inputs!$B$10+0+B115)/100)</f>
        <v/>
      </c>
      <c r="N79">
        <f>L79*(1-MIN((Inputs!$B$9+((C97=TRUE)*(F97-Calc!F20))+B110),100)/100)+M79*(MIN((Inputs!$B$9+((C97=TRUE)*(F97-Calc!F20))+B110),100)/100)</f>
        <v/>
      </c>
      <c r="O79">
        <f>IF(C79,Skills!G2*N79*B114*IF(Inputs!$B$38="pvp",1,(1-Summary!$B$55)*(1)+Summary!$B$55*(MIN((6+Inputs!$B$33),Inputs!$B$37))),0)</f>
        <v/>
      </c>
      <c r="P79">
        <f>IF(B118=0,0,O79/B118)</f>
        <v/>
      </c>
      <c r="Q79" t="n">
        <v>0</v>
      </c>
      <c r="R79" t="n">
        <v>0</v>
      </c>
      <c r="S79">
        <f>IFERROR(O79/N79,0)</f>
        <v/>
      </c>
      <c r="U79">
        <f>MAX(0,(Inputs!$B$3-100)*3)+Inputs!$B$28+Inputs!$B$29</f>
        <v/>
      </c>
    </row>
    <row r="80">
      <c r="A80">
        <f>Skills!A3</f>
        <v/>
      </c>
      <c r="B80">
        <f>Skills!B3</f>
        <v/>
      </c>
      <c r="C80">
        <f>Inputs!$B$3&gt;=50</f>
        <v/>
      </c>
      <c r="D80">
        <f>IF(Skills!C3=1,60+Inputs!$B$25+Inputs!$B$29,IF(Skills!C3=2,90+Inputs!$B$26+Inputs!$B$29,IF(Skills!C3=3,120+Inputs!$B$27+Inputs!$B$29,MAX(0,(Inputs!$B$3-100)*3)+Inputs!$B$28+Inputs!$B$29)))</f>
        <v/>
      </c>
      <c r="E80">
        <f>INDEX(FactorTable!$B$2:$Y$301, MATCH(ROUND(MIN(300,MAX(1,D80)),0), FactorTable!$A$2:$A$301,0), Skills!M3+1)</f>
        <v/>
      </c>
      <c r="F80">
        <f>IF(Skills!N3=TRUE,(Skills!L3/10)*(E80/1000),Skills!L3/10)+Skills!O3</f>
        <v/>
      </c>
      <c r="G80" t="inlineStr"/>
      <c r="H80" t="inlineStr"/>
      <c r="I80" t="inlineStr">
        <is>
          <t>1</t>
        </is>
      </c>
      <c r="J80" t="inlineStr"/>
      <c r="K80" t="inlineStr"/>
      <c r="L80" t="inlineStr"/>
      <c r="M80" t="inlineStr"/>
      <c r="N80" t="inlineStr"/>
      <c r="O80" t="inlineStr"/>
      <c r="P80" t="inlineStr"/>
      <c r="Q80" t="inlineStr"/>
      <c r="R80" t="inlineStr"/>
      <c r="S80" t="inlineStr"/>
      <c r="U80">
        <f>INDEX(FactorTable!$B$2:$Y$301, MATCH(ROUND(MIN(300,MAX(1,U79)),0), FactorTable!$A$2:$A$301,0), 22)</f>
        <v/>
      </c>
    </row>
    <row r="81">
      <c r="A81">
        <f>Skills!A4</f>
        <v/>
      </c>
      <c r="B81">
        <f>Skills!B4</f>
        <v/>
      </c>
      <c r="C81">
        <f>Inputs!$B$3&gt;=105</f>
        <v/>
      </c>
      <c r="D81">
        <f>IF(Skills!C4=1,60+Inputs!$B$25+Inputs!$B$29,IF(Skills!C4=2,90+Inputs!$B$26+Inputs!$B$29,IF(Skills!C4=3,120+Inputs!$B$27+Inputs!$B$29,MAX(0,(Inputs!$B$3-100)*3)+Inputs!$B$28+Inputs!$B$29)))</f>
        <v/>
      </c>
      <c r="E81">
        <f>INDEX(FactorTable!$B$2:$Y$301, MATCH(ROUND(MIN(300,MAX(1,D81)),0), FactorTable!$A$2:$A$301,0), Skills!M4+1)</f>
        <v/>
      </c>
      <c r="F81">
        <f>IF(Skills!N4=TRUE,(Skills!L4/10)*(E81/1000),Skills!L4/10)+Skills!O4</f>
        <v/>
      </c>
      <c r="G81" t="inlineStr"/>
      <c r="H81" t="inlineStr"/>
      <c r="I81" t="inlineStr">
        <is>
          <t>1</t>
        </is>
      </c>
      <c r="J81" t="inlineStr"/>
      <c r="K81" t="inlineStr"/>
      <c r="L81" t="inlineStr"/>
      <c r="M81" t="inlineStr"/>
      <c r="N81" t="inlineStr"/>
      <c r="O81" t="inlineStr"/>
      <c r="P81" t="inlineStr"/>
      <c r="Q81" t="inlineStr"/>
      <c r="R81" t="inlineStr"/>
      <c r="S81" t="inlineStr"/>
      <c r="U81">
        <f>290*U80/1000</f>
        <v/>
      </c>
    </row>
    <row r="82">
      <c r="A82">
        <f>Skills!A5</f>
        <v/>
      </c>
      <c r="B82">
        <f>Skills!B5</f>
        <v/>
      </c>
      <c r="C82">
        <f>Inputs!$B$3&gt;=35</f>
        <v/>
      </c>
      <c r="D82">
        <f>IF(Skills!C5=1,60+Inputs!$B$25+Inputs!$B$29,IF(Skills!C5=2,90+Inputs!$B$26+Inputs!$B$29,IF(Skills!C5=3,120+Inputs!$B$27+Inputs!$B$29,MAX(0,(Inputs!$B$3-100)*3)+Inputs!$B$28+Inputs!$B$29)))</f>
        <v/>
      </c>
      <c r="E82">
        <f>INDEX(FactorTable!$B$2:$Y$301, MATCH(ROUND(MIN(300,MAX(1,D82)),0), FactorTable!$A$2:$A$301,0), Skills!M5+1)</f>
        <v/>
      </c>
      <c r="F82">
        <f>IF(Skills!N5=TRUE,(Skills!L5/10)*(E82/1000),Skills!L5/10)+Skills!O5</f>
        <v/>
      </c>
      <c r="G82">
        <f>Skills!G5*IF(Skills!H5&gt;0,Skills!I5/Skills!H5,1)</f>
        <v/>
      </c>
      <c r="H82">
        <f>1-(1-Skills!J5/100)^Skills!K5</f>
        <v/>
      </c>
      <c r="I82" t="inlineStr">
        <is>
          <t>1</t>
        </is>
      </c>
      <c r="J82">
        <f>((Inputs!$B$6*(1+Inputs!$B$7/100))+(((Inputs!$B$12*(1+(Inputs!$B$13+1)/100))-(Inputs!$B$12*(1+Inputs!$B$13/100)))+0.25*(Inputs!$B$14-Inputs!$B$14))*(1+Inputs!$B$7/100))*(F82/100)</f>
        <v/>
      </c>
      <c r="K82">
        <f>J82*(1+((Inputs!$B$12*(1+(Inputs!$B$13+1)/100))*0.01+Inputs!$B$14*0.0025)/100)*(1+Inputs!$B$15/100)*(1+IF(Inputs!$B$38="pvp",0,(1-Summary!$B$55)*(Inputs!$B$20+0+Skills!P5)+Summary!$B$55*(Inputs!$B$21+Skills!Q5))/100)*(1+Inputs!$B$16/100)*(5000/(6000+Inputs!$B$42*(1-(Inputs!$B$19+((C104=TRUE)*(F104-Calc!F27)))/100)))*(1+(Inputs!$B$24+((C102=TRUE)*(F102-Calc!F25))+((C103=TRUE)*(F103-Calc!F26))+B116)/100)*(1+4.0*IF(C87=TRUE,F87,0)/100)*(1+(IF(Skills!A5="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82)</f>
        <v/>
      </c>
      <c r="L82">
        <f>K82*(MIN(Inputs!$B$22+((C101=TRUE)*(F101-Calc!F24)),Inputs!$B$23+((C106=TRUE)*(F106-Calc!F29)))/100+(Inputs!$B$23+((C106=TRUE)*(F106-Calc!F29)))/100)/2</f>
        <v/>
      </c>
      <c r="M82">
        <f>L82*(1+(Inputs!$B$10+0+B115)/100)</f>
        <v/>
      </c>
      <c r="N82">
        <f>L82*(1-MIN((Inputs!$B$9+((C97=TRUE)*(F97-Calc!F20))+B110),100)/100)+M82*(MIN((Inputs!$B$9+((C97=TRUE)*(F97-Calc!F20))+B110),100)/100)</f>
        <v/>
      </c>
      <c r="O82">
        <f>IF(C82,H82*N82*IF(AND(Inputs!$B$38&lt;&gt;"pvp",Inputs!$B$43&gt;0),((Skills!G5*((R82-1)*IF(Skills!H5&gt;0,Skills!I5/Skills!H5,1)+IF(Skills!H5&gt;0,MIN(Skills!I5,MAX(0,MAX(0,Inputs!$B$43-B117)-((R82-1)*IF(Inputs!$B$38="pvp",15,MAX(0.1,Skills!D5-IF(Skills!E5=TRUE,Inputs!$B$32,0))))))/Skills!H5,1)))/Inputs!$B$43),G82*Q82)*IF(Inputs!$B$38="pvp",1,(1-Summary!$B$55)*(1)+Summary!$B$55*(MIN(Skills!R5,Inputs!$B$37))),0)</f>
        <v/>
      </c>
      <c r="P82">
        <f>IF(B118=0,0,O82/B118)</f>
        <v/>
      </c>
      <c r="Q82">
        <f>IFERROR(1/IF(Inputs!$B$38="pvp",15,MAX(0.1,Skills!D5-IF(Skills!E5=TRUE,Inputs!$B$32,0))),0)</f>
        <v/>
      </c>
      <c r="R82">
        <f>IF(AND(Inputs!$B$38&lt;&gt;"pvp",Inputs!$B$43&gt;0),IF(MAX(0,Inputs!$B$43-B117)&lt;=0,0,(INT(MAX(0,Inputs!$B$43-B117)/IF(Inputs!$B$38="pvp",15,MAX(0.1,Skills!D5-IF(Skills!E5=TRUE,Inputs!$B$32,0))))+1)),0)</f>
        <v/>
      </c>
      <c r="S82">
        <f>IFERROR(O82/N82,0)</f>
        <v/>
      </c>
    </row>
    <row r="83">
      <c r="A83">
        <f>Skills!A6</f>
        <v/>
      </c>
      <c r="B83">
        <f>Skills!B6</f>
        <v/>
      </c>
      <c r="C83">
        <f>Inputs!$B$3&gt;=40</f>
        <v/>
      </c>
      <c r="D83">
        <f>IF(Skills!C6=1,60+Inputs!$B$25+Inputs!$B$29,IF(Skills!C6=2,90+Inputs!$B$26+Inputs!$B$29,IF(Skills!C6=3,120+Inputs!$B$27+Inputs!$B$29,MAX(0,(Inputs!$B$3-100)*3)+Inputs!$B$28+Inputs!$B$29)))</f>
        <v/>
      </c>
      <c r="E83">
        <f>INDEX(FactorTable!$B$2:$Y$301, MATCH(ROUND(MIN(300,MAX(1,D83)),0), FactorTable!$A$2:$A$301,0), Skills!M6+1)</f>
        <v/>
      </c>
      <c r="F83">
        <f>IF(Skills!N6=TRUE,(Skills!L6/10)*(E83/1000),Skills!L6/10)+Skills!O6</f>
        <v/>
      </c>
      <c r="G83">
        <f>Skills!G6*IF(Skills!H6&gt;0,Skills!I6/Skills!H6,1)</f>
        <v/>
      </c>
      <c r="H83">
        <f>1-(1-Skills!J6/100)^Skills!K6</f>
        <v/>
      </c>
      <c r="I83" t="inlineStr">
        <is>
          <t>1</t>
        </is>
      </c>
      <c r="J83">
        <f>((Inputs!$B$6*(1+Inputs!$B$7/100))+(((Inputs!$B$12*(1+(Inputs!$B$13+1)/100))-(Inputs!$B$12*(1+Inputs!$B$13/100)))+0.25*(Inputs!$B$14-Inputs!$B$14))*(1+Inputs!$B$7/100))*(F83/100)</f>
        <v/>
      </c>
      <c r="K83">
        <f>J83*(1+((Inputs!$B$12*(1+(Inputs!$B$13+1)/100))*0.01+Inputs!$B$14*0.0025)/100)*(1+Inputs!$B$15/100)*(1+IF(Inputs!$B$38="pvp",0,(1-Summary!$B$55)*(Inputs!$B$20+0+Skills!P6)+Summary!$B$55*(Inputs!$B$21+Skills!Q6))/100)*(1+Inputs!$B$16/100)*(5000/(6000+Inputs!$B$42*(1-(Inputs!$B$19+((C104=TRUE)*(F104-Calc!F27)))/100)))*(1+(Inputs!$B$24+((C102=TRUE)*(F102-Calc!F25))+((C103=TRUE)*(F103-Calc!F26))+B116)/100)*(1+IF(C84=TRUE,F84,0)/100)*(1+(IF(Skills!A6="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83)</f>
        <v/>
      </c>
      <c r="L83">
        <f>K83*(MIN(Inputs!$B$22+((C101=TRUE)*(F101-Calc!F24)),Inputs!$B$23+((C106=TRUE)*(F106-Calc!F29)))/100+(Inputs!$B$23+((C106=TRUE)*(F106-Calc!F29)))/100)/2</f>
        <v/>
      </c>
      <c r="M83">
        <f>L83*(1+(Inputs!$B$10+0+B115)/100)</f>
        <v/>
      </c>
      <c r="N83">
        <f>L83*(1-MIN((Inputs!$B$9+((C97=TRUE)*(F97-Calc!F20))+B110),100)/100)+M83*(MIN((Inputs!$B$9+((C97=TRUE)*(F97-Calc!F20))+B110),100)/100)</f>
        <v/>
      </c>
      <c r="O83">
        <f>IF(C83,H83*N83*IF(AND(Inputs!$B$38&lt;&gt;"pvp",Inputs!$B$43&gt;0),((Skills!G6*((R83-1)*IF(Skills!H6&gt;0,Skills!I6/Skills!H6,1)+IF(Skills!H6&gt;0,MIN(Skills!I6,MAX(0,MAX(0,Inputs!$B$43-B117)-((R83-1)*IF(Inputs!$B$38="pvp",15,MAX(0.1,Skills!D6-IF(Skills!E6=TRUE,Inputs!$B$32,0))))))/Skills!H6,1)))/Inputs!$B$43),G83*Q83)*IF(Inputs!$B$38="pvp",1,(1-Summary!$B$55)*(1)+Summary!$B$55*(MIN(Skills!R6,Inputs!$B$37))),0)</f>
        <v/>
      </c>
      <c r="P83">
        <f>IF(B118=0,0,O83/B118)</f>
        <v/>
      </c>
      <c r="Q83">
        <f>IFERROR(1/IF(Inputs!$B$38="pvp",15,MAX(0.1,Skills!D6-IF(Skills!E6=TRUE,Inputs!$B$32,0))),0)</f>
        <v/>
      </c>
      <c r="R83">
        <f>IF(AND(Inputs!$B$38&lt;&gt;"pvp",Inputs!$B$43&gt;0),IF(MAX(0,Inputs!$B$43-B117)&lt;=0,0,(INT(MAX(0,Inputs!$B$43-B117)/IF(Inputs!$B$38="pvp",15,MAX(0.1,Skills!D6-IF(Skills!E6=TRUE,Inputs!$B$32,0))))+1)),0)</f>
        <v/>
      </c>
      <c r="S83">
        <f>IFERROR(O83/N83,0)</f>
        <v/>
      </c>
    </row>
    <row r="84">
      <c r="A84">
        <f>Skills!A7</f>
        <v/>
      </c>
      <c r="B84">
        <f>Skills!B7</f>
        <v/>
      </c>
      <c r="C84">
        <f>Inputs!$B$3&gt;=107</f>
        <v/>
      </c>
      <c r="D84">
        <f>IF(Skills!C7=1,60+Inputs!$B$25+Inputs!$B$29,IF(Skills!C7=2,90+Inputs!$B$26+Inputs!$B$29,IF(Skills!C7=3,120+Inputs!$B$27+Inputs!$B$29,MAX(0,(Inputs!$B$3-100)*3)+Inputs!$B$28+Inputs!$B$29)))</f>
        <v/>
      </c>
      <c r="E84">
        <f>INDEX(FactorTable!$B$2:$Y$301, MATCH(ROUND(MIN(300,MAX(1,D84)),0), FactorTable!$A$2:$A$301,0), Skills!M7+1)</f>
        <v/>
      </c>
      <c r="F84">
        <f>IF(Skills!N7=TRUE,(Skills!L7/10)*(E84/1000),Skills!L7/10)+Skills!O7</f>
        <v/>
      </c>
      <c r="G84" t="inlineStr"/>
      <c r="H84" t="inlineStr"/>
      <c r="I84" t="inlineStr">
        <is>
          <t>1</t>
        </is>
      </c>
      <c r="J84" t="inlineStr"/>
      <c r="K84" t="inlineStr"/>
      <c r="L84" t="inlineStr"/>
      <c r="M84" t="inlineStr"/>
      <c r="N84" t="inlineStr"/>
      <c r="O84" t="inlineStr"/>
      <c r="P84" t="inlineStr"/>
      <c r="Q84" t="inlineStr"/>
      <c r="R84" t="inlineStr"/>
      <c r="S84" t="inlineStr"/>
    </row>
    <row r="85">
      <c r="A85">
        <f>Skills!A8</f>
        <v/>
      </c>
      <c r="B85">
        <f>Skills!B8</f>
        <v/>
      </c>
      <c r="C85">
        <f>Inputs!$B$3&gt;=69</f>
        <v/>
      </c>
      <c r="D85">
        <f>IF(Skills!C8=1,60+Inputs!$B$25+Inputs!$B$29,IF(Skills!C8=2,90+Inputs!$B$26+Inputs!$B$29,IF(Skills!C8=3,120+Inputs!$B$27+Inputs!$B$29,MAX(0,(Inputs!$B$3-100)*3)+Inputs!$B$28+Inputs!$B$29)))</f>
        <v/>
      </c>
      <c r="E85">
        <f>INDEX(FactorTable!$B$2:$Y$301, MATCH(ROUND(MIN(300,MAX(1,D85)),0), FactorTable!$A$2:$A$301,0), Skills!M8+1)</f>
        <v/>
      </c>
      <c r="F85">
        <f>IF(Skills!N8=TRUE,(Skills!L8/10)*(E85/1000),Skills!L8/10)+Skills!O8</f>
        <v/>
      </c>
      <c r="G85">
        <f>Skills!G8*IF(Skills!H8&gt;0,Skills!I8/Skills!H8,1)</f>
        <v/>
      </c>
      <c r="H85">
        <f>1-(1-Skills!J8/100)^Skills!K8</f>
        <v/>
      </c>
      <c r="I85" t="inlineStr">
        <is>
          <t>1</t>
        </is>
      </c>
      <c r="J85">
        <f>((Inputs!$B$6*(1+Inputs!$B$7/100))+(((Inputs!$B$12*(1+(Inputs!$B$13+1)/100))-(Inputs!$B$12*(1+Inputs!$B$13/100)))+0.25*(Inputs!$B$14-Inputs!$B$14))*(1+Inputs!$B$7/100))*(F85/100)</f>
        <v/>
      </c>
      <c r="K85">
        <f>J85*(1+((Inputs!$B$12*(1+(Inputs!$B$13+1)/100))*0.01+Inputs!$B$14*0.0025)/100)*(1+Inputs!$B$15/100)*(1+IF(Inputs!$B$38="pvp",0,(1-Summary!$B$55)*(Inputs!$B$20+0+Skills!P8)+Summary!$B$55*(Inputs!$B$21+Skills!Q8))/100)*(1+Inputs!$B$16/100)*(5000/(6000+Inputs!$B$42*(1-(Inputs!$B$19+((C104=TRUE)*(F104-Calc!F27)))/100)))*(1+(Inputs!$B$24+((C102=TRUE)*(F102-Calc!F25))+((C103=TRUE)*(F103-Calc!F26))+B116)/100)*(1+1.2*IF(C87=TRUE,F87,0)/100)*(1+(IF(Skills!A8="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85)</f>
        <v/>
      </c>
      <c r="L85">
        <f>K85*(MIN(Inputs!$B$22+((C101=TRUE)*(F101-Calc!F24)),Inputs!$B$23+((C106=TRUE)*(F106-Calc!F29)))/100+(Inputs!$B$23+((C106=TRUE)*(F106-Calc!F29)))/100)/2</f>
        <v/>
      </c>
      <c r="M85">
        <f>L85*(1+(Inputs!$B$10+0+B115)/100)</f>
        <v/>
      </c>
      <c r="N85">
        <f>L85*(1-MIN((Inputs!$B$9+((C97=TRUE)*(F97-Calc!F20))+B110),100)/100)+M85*(MIN((Inputs!$B$9+((C97=TRUE)*(F97-Calc!F20))+B110),100)/100)</f>
        <v/>
      </c>
      <c r="O85">
        <f>IF(C85,H85*N85*IF(AND(Inputs!$B$38&lt;&gt;"pvp",Inputs!$B$43&gt;0),((Skills!G8*((R85-1)*IF(Skills!H8&gt;0,Skills!I8/Skills!H8,1)+IF(Skills!H8&gt;0,MIN(Skills!I8,MAX(0,MAX(0,Inputs!$B$43-B117)-((R85-1)*IF(Inputs!$B$38="pvp",15,MAX(0.1,Skills!D8-IF(Skills!E8=TRUE,Inputs!$B$32,0))))))/Skills!H8,1)))/Inputs!$B$43),G85*Q85)*IF(Inputs!$B$38="pvp",1,(1-Summary!$B$55)*(1)+Summary!$B$55*(MIN(Skills!R8,Inputs!$B$37))),0)</f>
        <v/>
      </c>
      <c r="P85">
        <f>IF(B118=0,0,O85/B118)</f>
        <v/>
      </c>
      <c r="Q85">
        <f>IFERROR(1/IF(Inputs!$B$38="pvp",15,MAX(0.1,Skills!D8-IF(Skills!E8=TRUE,Inputs!$B$32,0))),0)</f>
        <v/>
      </c>
      <c r="R85">
        <f>IF(AND(Inputs!$B$38&lt;&gt;"pvp",Inputs!$B$43&gt;0),IF(MAX(0,Inputs!$B$43-B117)&lt;=0,0,(INT(MAX(0,Inputs!$B$43-B117)/IF(Inputs!$B$38="pvp",15,MAX(0.1,Skills!D8-IF(Skills!E8=TRUE,Inputs!$B$32,0))))+1)),0)</f>
        <v/>
      </c>
      <c r="S85">
        <f>IFERROR(O85/N85,0)</f>
        <v/>
      </c>
    </row>
    <row r="86">
      <c r="A86">
        <f>Skills!A9</f>
        <v/>
      </c>
      <c r="B86">
        <f>Skills!B9</f>
        <v/>
      </c>
      <c r="C86">
        <f>Inputs!$B$3&gt;=63</f>
        <v/>
      </c>
      <c r="D86">
        <f>IF(Skills!C9=1,60+Inputs!$B$25+Inputs!$B$29,IF(Skills!C9=2,90+Inputs!$B$26+Inputs!$B$29,IF(Skills!C9=3,120+Inputs!$B$27+Inputs!$B$29,MAX(0,(Inputs!$B$3-100)*3)+Inputs!$B$28+Inputs!$B$29)))</f>
        <v/>
      </c>
      <c r="E86">
        <f>INDEX(FactorTable!$B$2:$Y$301, MATCH(ROUND(MIN(300,MAX(1,D86)),0), FactorTable!$A$2:$A$301,0), Skills!M9+1)</f>
        <v/>
      </c>
      <c r="F86">
        <f>IF(Skills!N9=TRUE,(Skills!L9/10)*(E86/1000),Skills!L9/10)+Skills!O9</f>
        <v/>
      </c>
      <c r="G86">
        <f>Skills!G9*IF(Skills!H9&gt;0,Skills!I9/Skills!H9,1)</f>
        <v/>
      </c>
      <c r="H86">
        <f>1-(1-Skills!J9/100)^Skills!K9</f>
        <v/>
      </c>
      <c r="I86" t="inlineStr">
        <is>
          <t>1</t>
        </is>
      </c>
      <c r="J86">
        <f>((Inputs!$B$6*(1+Inputs!$B$7/100))+(((Inputs!$B$12*(1+(Inputs!$B$13+1)/100))-(Inputs!$B$12*(1+Inputs!$B$13/100)))+0.25*(Inputs!$B$14-Inputs!$B$14))*(1+Inputs!$B$7/100))*(F86/100)</f>
        <v/>
      </c>
      <c r="K86">
        <f>J86*(1+((Inputs!$B$12*(1+(Inputs!$B$13+1)/100))*0.01+Inputs!$B$14*0.0025)/100)*(1+Inputs!$B$15/100)*(1+IF(Inputs!$B$38="pvp",0,(1-Summary!$B$55)*(Inputs!$B$20+0+Skills!P9)+Summary!$B$55*(Inputs!$B$21+Skills!Q9))/100)*(1+Inputs!$B$16/100)*(5000/(6000+Inputs!$B$42*(1-(Inputs!$B$19+((C104=TRUE)*(F104-Calc!F27)))/100)))*(1+(Inputs!$B$24+((C102=TRUE)*(F102-Calc!F25))+((C103=TRUE)*(F103-Calc!F26))+B116)/100)*(1+1.0*IF(C87=TRUE,F87,0)/100)*(1+(IF(Skills!A9="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86)</f>
        <v/>
      </c>
      <c r="L86">
        <f>K86*(MIN(Inputs!$B$22+((C101=TRUE)*(F101-Calc!F24)),Inputs!$B$23+((C106=TRUE)*(F106-Calc!F29)))/100+(Inputs!$B$23+((C106=TRUE)*(F106-Calc!F29)))/100)/2</f>
        <v/>
      </c>
      <c r="M86">
        <f>L86*(1+(Inputs!$B$10+0+B115)/100)</f>
        <v/>
      </c>
      <c r="N86">
        <f>L86*(1-MIN((Inputs!$B$9+((C97=TRUE)*(F97-Calc!F20))+B110),100)/100)+M86*(MIN((Inputs!$B$9+((C97=TRUE)*(F97-Calc!F20))+B110),100)/100)</f>
        <v/>
      </c>
      <c r="O86">
        <f>IF(C86,H86*N86*IF(AND(Inputs!$B$38&lt;&gt;"pvp",Inputs!$B$43&gt;0),((Skills!G9*((R86-1)*IF(Skills!H9&gt;0,Skills!I9/Skills!H9,1)+IF(Skills!H9&gt;0,MIN(Skills!I9,MAX(0,MAX(0,Inputs!$B$43-B117)-((R86-1)*IF(Inputs!$B$38="pvp",15,MAX(0.1,Skills!D9-IF(Skills!E9=TRUE,Inputs!$B$32,0))))))/Skills!H9,1)))/Inputs!$B$43),G86*Q86)*IF(Inputs!$B$38="pvp",1,(1-Summary!$B$55)*(1)+Summary!$B$55*(MIN(Skills!R9,Inputs!$B$37))),0)</f>
        <v/>
      </c>
      <c r="P86">
        <f>IF(B118=0,0,O86/B118)</f>
        <v/>
      </c>
      <c r="Q86">
        <f>IFERROR(1/IF(Inputs!$B$38="pvp",15,MAX(0.1,Skills!D9-IF(Skills!E9=TRUE,Inputs!$B$32,0))),0)</f>
        <v/>
      </c>
      <c r="R86">
        <f>IF(AND(Inputs!$B$38&lt;&gt;"pvp",Inputs!$B$43&gt;0),IF(MAX(0,Inputs!$B$43-B117)&lt;=0,0,(INT(MAX(0,Inputs!$B$43-B117)/IF(Inputs!$B$38="pvp",15,MAX(0.1,Skills!D9-IF(Skills!E9=TRUE,Inputs!$B$32,0))))+1)),0)</f>
        <v/>
      </c>
      <c r="S86">
        <f>IFERROR(O86/N86,0)</f>
        <v/>
      </c>
    </row>
    <row r="87">
      <c r="A87">
        <f>Skills!A10</f>
        <v/>
      </c>
      <c r="B87">
        <f>Skills!B10</f>
        <v/>
      </c>
      <c r="C87">
        <f>Inputs!$B$3&gt;=100</f>
        <v/>
      </c>
      <c r="D87">
        <f>IF(Skills!C10=1,60+Inputs!$B$25+Inputs!$B$29,IF(Skills!C10=2,90+Inputs!$B$26+Inputs!$B$29,IF(Skills!C10=3,120+Inputs!$B$27+Inputs!$B$29,MAX(0,(Inputs!$B$3-100)*3)+Inputs!$B$28+Inputs!$B$29)))</f>
        <v/>
      </c>
      <c r="E87">
        <f>INDEX(FactorTable!$B$2:$Y$301, MATCH(ROUND(MIN(300,MAX(1,D87)),0), FactorTable!$A$2:$A$301,0), Skills!M10+1)</f>
        <v/>
      </c>
      <c r="F87">
        <f>IF(Skills!N10=TRUE,(Skills!L10/10)*(E87/1000),Skills!L10/10)+Skills!O10</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Skills!A11</f>
        <v/>
      </c>
      <c r="B88">
        <f>Skills!B11</f>
        <v/>
      </c>
      <c r="C88">
        <f>Inputs!$B$3&gt;=60</f>
        <v/>
      </c>
      <c r="D88">
        <f>IF(Skills!C11=1,60+Inputs!$B$25+Inputs!$B$29,IF(Skills!C11=2,90+Inputs!$B$26+Inputs!$B$29,IF(Skills!C11=3,120+Inputs!$B$27+Inputs!$B$29,MAX(0,(Inputs!$B$3-100)*3)+Inputs!$B$28+Inputs!$B$29)))</f>
        <v/>
      </c>
      <c r="E88">
        <f>INDEX(FactorTable!$B$2:$Y$301, MATCH(ROUND(MIN(300,MAX(1,D88)),0), FactorTable!$A$2:$A$301,0), Skills!M11+1)</f>
        <v/>
      </c>
      <c r="F88">
        <f>IF(Skills!N11=TRUE,(Skills!L11/10)*(E88/1000),Skills!L11/10)+Skills!O11</f>
        <v/>
      </c>
      <c r="G88">
        <f>Skills!G11*IF(Skills!H11&gt;0,Skills!I11/Skills!H11,1)</f>
        <v/>
      </c>
      <c r="H88">
        <f>1-(1-Skills!J11/100)^Skills!K11</f>
        <v/>
      </c>
      <c r="I88" t="inlineStr">
        <is>
          <t>1</t>
        </is>
      </c>
      <c r="J88">
        <f>((Inputs!$B$6*(1+Inputs!$B$7/100))+(((Inputs!$B$12*(1+(Inputs!$B$13+1)/100))-(Inputs!$B$12*(1+Inputs!$B$13/100)))+0.25*(Inputs!$B$14-Inputs!$B$14))*(1+Inputs!$B$7/100))*(F88/100)</f>
        <v/>
      </c>
      <c r="K88">
        <f>J88*(1+((Inputs!$B$12*(1+(Inputs!$B$13+1)/100))*0.01+Inputs!$B$14*0.0025)/100)*(1+Inputs!$B$15/100)*(1+IF(Inputs!$B$38="pvp",0,(1-Summary!$B$55)*(Inputs!$B$20+0+Skills!P11)+Summary!$B$55*(Inputs!$B$21+Skills!Q11))/100)*(1+Inputs!$B$16/100)*(5000/(6000+Inputs!$B$42*(1-(Inputs!$B$19+((C104=TRUE)*(F104-Calc!F27)))/100)))*(1+(Inputs!$B$24+((C102=TRUE)*(F102-Calc!F25))+((C103=TRUE)*(F103-Calc!F26))+B116)/100)*(1+IF(C89=TRUE,F89,0)/100)*(1+(IF(Skills!A11="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88)</f>
        <v/>
      </c>
      <c r="L88">
        <f>K88*(MIN(Inputs!$B$22+((C101=TRUE)*(F101-Calc!F24)),Inputs!$B$23+((C106=TRUE)*(F106-Calc!F29)))/100+(Inputs!$B$23+((C106=TRUE)*(F106-Calc!F29)))/100)/2</f>
        <v/>
      </c>
      <c r="M88">
        <f>L88*(1+(Inputs!$B$10+0+B115)/100)</f>
        <v/>
      </c>
      <c r="N88">
        <f>L88*(1-MIN((Inputs!$B$9+((C97=TRUE)*(F97-Calc!F20))+B110),100)/100)+M88*(MIN((Inputs!$B$9+((C97=TRUE)*(F97-Calc!F20))+B110),100)/100)</f>
        <v/>
      </c>
      <c r="O88">
        <f>IF(C88,H88*N88*IF(AND(Inputs!$B$38&lt;&gt;"pvp",Inputs!$B$43&gt;0),((Skills!G11*((R88-1)*IF(Skills!H11&gt;0,Skills!I11/Skills!H11,1)+IF(Skills!H11&gt;0,MIN(Skills!I11,MAX(0,MAX(0,Inputs!$B$43-B117)-((R88-1)*IF(Inputs!$B$38="pvp",15,MAX(0.1,Skills!D11-IF(Skills!E11=TRUE,Inputs!$B$32,0))))))/Skills!H11,1)))/Inputs!$B$43),G88*Q88)*IF(Inputs!$B$38="pvp",1,(1-Summary!$B$55)*(1)+Summary!$B$55*(MIN(Skills!R11,Inputs!$B$37))),0)</f>
        <v/>
      </c>
      <c r="P88">
        <f>IF(B118=0,0,O88/B118)</f>
        <v/>
      </c>
      <c r="Q88">
        <f>IFERROR(1/IF(Inputs!$B$38="pvp",15,MAX(0.1,Skills!D11-IF(Skills!E11=TRUE,Inputs!$B$32,0))),0)</f>
        <v/>
      </c>
      <c r="R88">
        <f>IF(AND(Inputs!$B$38&lt;&gt;"pvp",Inputs!$B$43&gt;0),IF(MAX(0,Inputs!$B$43-B117)&lt;=0,0,(INT(MAX(0,Inputs!$B$43-B117)/IF(Inputs!$B$38="pvp",15,MAX(0.1,Skills!D11-IF(Skills!E11=TRUE,Inputs!$B$32,0))))+1)),0)</f>
        <v/>
      </c>
      <c r="S88">
        <f>IFERROR(O88/N88,0)</f>
        <v/>
      </c>
    </row>
    <row r="89">
      <c r="A89">
        <f>Skills!A12</f>
        <v/>
      </c>
      <c r="B89">
        <f>Skills!B12</f>
        <v/>
      </c>
      <c r="C89">
        <f>Inputs!$B$3&gt;=110</f>
        <v/>
      </c>
      <c r="D89">
        <f>IF(Skills!C12=1,60+Inputs!$B$25+Inputs!$B$29,IF(Skills!C12=2,90+Inputs!$B$26+Inputs!$B$29,IF(Skills!C12=3,120+Inputs!$B$27+Inputs!$B$29,MAX(0,(Inputs!$B$3-100)*3)+Inputs!$B$28+Inputs!$B$29)))</f>
        <v/>
      </c>
      <c r="E89">
        <f>INDEX(FactorTable!$B$2:$Y$301, MATCH(ROUND(MIN(300,MAX(1,D89)),0), FactorTable!$A$2:$A$301,0), Skills!M12+1)</f>
        <v/>
      </c>
      <c r="F89">
        <f>IF(Skills!N12=TRUE,(Skills!L12/10)*(E89/1000),Skills!L12/10)+Skills!O12</f>
        <v/>
      </c>
      <c r="G89" t="inlineStr"/>
      <c r="H89" t="inlineStr"/>
      <c r="I89" t="inlineStr">
        <is>
          <t>1</t>
        </is>
      </c>
      <c r="J89" t="inlineStr"/>
      <c r="K89" t="inlineStr"/>
      <c r="L89" t="inlineStr"/>
      <c r="M89" t="inlineStr"/>
      <c r="N89" t="inlineStr"/>
      <c r="O89" t="inlineStr"/>
      <c r="P89" t="inlineStr"/>
      <c r="Q89" t="inlineStr"/>
      <c r="R89" t="inlineStr"/>
      <c r="S89" t="inlineStr"/>
    </row>
    <row r="90">
      <c r="A90">
        <f>Skills!A13</f>
        <v/>
      </c>
      <c r="B90">
        <f>Skills!B13</f>
        <v/>
      </c>
      <c r="C90">
        <f>Inputs!$B$3&gt;=74</f>
        <v/>
      </c>
      <c r="D90">
        <f>IF(Skills!C13=1,60+Inputs!$B$25+Inputs!$B$29,IF(Skills!C13=2,90+Inputs!$B$26+Inputs!$B$29,IF(Skills!C13=3,120+Inputs!$B$27+Inputs!$B$29,MAX(0,(Inputs!$B$3-100)*3)+Inputs!$B$28+Inputs!$B$29)))</f>
        <v/>
      </c>
      <c r="E90">
        <f>INDEX(FactorTable!$B$2:$Y$301, MATCH(ROUND(MIN(300,MAX(1,D90)),0), FactorTable!$A$2:$A$301,0), Skills!M13+1)</f>
        <v/>
      </c>
      <c r="F90">
        <f>IF(Skills!N13=TRUE,(Skills!L13/10)*(E90/1000),Skills!L13/10)+Skills!O13</f>
        <v/>
      </c>
      <c r="G90">
        <f>Skills!G13*IF(Skills!H13&gt;0,Skills!I13/Skills!H13,1)</f>
        <v/>
      </c>
      <c r="H90">
        <f>1-(1-Skills!J13/100)^Skills!K13</f>
        <v/>
      </c>
      <c r="I90" t="inlineStr">
        <is>
          <t>1</t>
        </is>
      </c>
      <c r="J90" t="inlineStr"/>
      <c r="K90" t="inlineStr"/>
      <c r="L90" t="inlineStr"/>
      <c r="M90" t="inlineStr"/>
      <c r="N90" t="inlineStr"/>
      <c r="O90" t="n">
        <v>0</v>
      </c>
      <c r="P90">
        <f>IF(B118=0,0,O90/B118)</f>
        <v/>
      </c>
      <c r="Q90" t="n">
        <v>0</v>
      </c>
      <c r="R90" t="n">
        <v>0</v>
      </c>
      <c r="S90">
        <f>IFERROR(O90/N90,0)</f>
        <v/>
      </c>
    </row>
    <row r="91">
      <c r="A91">
        <f>Skills!A14</f>
        <v/>
      </c>
      <c r="B91">
        <f>Skills!B14</f>
        <v/>
      </c>
      <c r="C91">
        <f>Inputs!$B$3&gt;=74</f>
        <v/>
      </c>
      <c r="D91">
        <f>IF(Skills!C14=1,60+Inputs!$B$25+Inputs!$B$29,IF(Skills!C14=2,90+Inputs!$B$26+Inputs!$B$29,IF(Skills!C14=3,120+Inputs!$B$27+Inputs!$B$29,MAX(0,(Inputs!$B$3-100)*3)+Inputs!$B$28+Inputs!$B$29)))</f>
        <v/>
      </c>
      <c r="E91">
        <f>INDEX(FactorTable!$B$2:$Y$301, MATCH(ROUND(MIN(300,MAX(1,D91)),0), FactorTable!$A$2:$A$301,0), Skills!M14+1)</f>
        <v/>
      </c>
      <c r="F91">
        <f>IF(Skills!N14=TRUE,(Skills!L14/10)*(E91/1000),Skills!L14/10)+Skills!O14</f>
        <v/>
      </c>
      <c r="G91">
        <f>Skills!G14*IF(Skills!H14&gt;0,Skills!I14/Skills!H14,1)</f>
        <v/>
      </c>
      <c r="H91">
        <f>1-(1-Skills!J14/100)^Skills!K14</f>
        <v/>
      </c>
      <c r="I91" t="inlineStr">
        <is>
          <t>1</t>
        </is>
      </c>
      <c r="J91" t="inlineStr"/>
      <c r="K91" t="inlineStr"/>
      <c r="L91" t="inlineStr"/>
      <c r="M91" t="inlineStr"/>
      <c r="N91" t="inlineStr"/>
      <c r="O91" t="n">
        <v>0</v>
      </c>
      <c r="P91">
        <f>IF(B118=0,0,O91/B118)</f>
        <v/>
      </c>
      <c r="Q91" t="n">
        <v>0</v>
      </c>
      <c r="R91" t="n">
        <v>0</v>
      </c>
      <c r="S91">
        <f>IFERROR(O91/N91,0)</f>
        <v/>
      </c>
    </row>
    <row r="92">
      <c r="A92">
        <f>Skills!A15</f>
        <v/>
      </c>
      <c r="B92">
        <f>Skills!B15</f>
        <v/>
      </c>
      <c r="C92">
        <f>Inputs!$B$3&gt;=117</f>
        <v/>
      </c>
      <c r="D92">
        <f>IF(Skills!C15=1,60+Inputs!$B$25+Inputs!$B$29,IF(Skills!C15=2,90+Inputs!$B$26+Inputs!$B$29,IF(Skills!C15=3,120+Inputs!$B$27+Inputs!$B$29,MAX(0,(Inputs!$B$3-100)*3)+Inputs!$B$28+Inputs!$B$29)))</f>
        <v/>
      </c>
      <c r="E92">
        <f>INDEX(FactorTable!$B$2:$Y$301, MATCH(ROUND(MIN(300,MAX(1,D92)),0), FactorTable!$A$2:$A$301,0), Skills!M15+1)</f>
        <v/>
      </c>
      <c r="F92">
        <f>IF(Skills!N15=TRUE,(Skills!L15/10)*(E92/1000),Skills!L15/10)+Skills!O15</f>
        <v/>
      </c>
      <c r="G92">
        <f>Skills!G15*IF(Skills!H15&gt;0,Skills!I15/Skills!H15,1)</f>
        <v/>
      </c>
      <c r="H92">
        <f>1-(1-Skills!J15/100)^Skills!K15</f>
        <v/>
      </c>
      <c r="I92" t="inlineStr">
        <is>
          <t>1</t>
        </is>
      </c>
      <c r="J92" t="inlineStr"/>
      <c r="K92" t="inlineStr"/>
      <c r="L92" t="inlineStr"/>
      <c r="M92" t="inlineStr"/>
      <c r="N92" t="inlineStr"/>
      <c r="O92" t="n">
        <v>0</v>
      </c>
      <c r="P92">
        <f>IF(B118=0,0,O92/B118)</f>
        <v/>
      </c>
      <c r="Q92">
        <f>IFERROR(1/IF(Inputs!$B$38="pvp",15,MAX(0.1,Skills!D15-IF(Skills!E15=TRUE,Inputs!$B$32,0))),0)</f>
        <v/>
      </c>
      <c r="R92">
        <f>IF(AND(Inputs!$B$38&lt;&gt;"pvp",Inputs!$B$43&gt;0),IF(Inputs!$B$43&lt;=0,0,(INT(Inputs!$B$43/IF(Inputs!$B$38="pvp",15,MAX(0.1,Skills!D15-IF(Skills!E15=TRUE,Inputs!$B$32,0))))+1)),0)</f>
        <v/>
      </c>
      <c r="S92">
        <f>IFERROR(O92/N92,0)</f>
        <v/>
      </c>
    </row>
    <row r="93">
      <c r="A93">
        <f>Skills!A16</f>
        <v/>
      </c>
      <c r="B93">
        <f>Skills!B16</f>
        <v/>
      </c>
      <c r="C93">
        <f>Inputs!$B$3&gt;=115</f>
        <v/>
      </c>
      <c r="D93">
        <f>IF(Skills!C16=1,60+Inputs!$B$25+Inputs!$B$29,IF(Skills!C16=2,90+Inputs!$B$26+Inputs!$B$29,IF(Skills!C16=3,120+Inputs!$B$27+Inputs!$B$29,MAX(0,(Inputs!$B$3-100)*3)+Inputs!$B$28+Inputs!$B$29)))</f>
        <v/>
      </c>
      <c r="E93">
        <f>INDEX(FactorTable!$B$2:$Y$301, MATCH(ROUND(MIN(300,MAX(1,D93)),0), FactorTable!$A$2:$A$301,0), Skills!M16+1)</f>
        <v/>
      </c>
      <c r="F93">
        <f>IF(Skills!N16=TRUE,(Skills!L16/10)*(E93/1000),Skills!L16/10)+Skills!O16</f>
        <v/>
      </c>
      <c r="G93">
        <f>Skills!G16*IF(Skills!H16&gt;0,Skills!I16/Skills!H16,1)</f>
        <v/>
      </c>
      <c r="H93">
        <f>1-(1-Skills!J16/100)^Skills!K16</f>
        <v/>
      </c>
      <c r="I93" t="inlineStr">
        <is>
          <t>1</t>
        </is>
      </c>
      <c r="J93" t="inlineStr"/>
      <c r="K93" t="inlineStr"/>
      <c r="L93" t="inlineStr"/>
      <c r="M93" t="inlineStr"/>
      <c r="N93" t="inlineStr"/>
      <c r="O93" t="n">
        <v>0</v>
      </c>
      <c r="P93">
        <f>IF(B118=0,0,O93/B118)</f>
        <v/>
      </c>
      <c r="Q93">
        <f>IFERROR(1/IF(Inputs!$B$38="pvp",15,MAX(0.1,Skills!D16-IF(Skills!E16=TRUE,Inputs!$B$32,0))),0)</f>
        <v/>
      </c>
      <c r="R93">
        <f>IF(AND(Inputs!$B$38&lt;&gt;"pvp",Inputs!$B$43&gt;0),IF(Inputs!$B$43&lt;=0,0,(INT(Inputs!$B$43/IF(Inputs!$B$38="pvp",15,MAX(0.1,Skills!D16-IF(Skills!E16=TRUE,Inputs!$B$32,0))))+1)),0)</f>
        <v/>
      </c>
      <c r="S93">
        <f>IFERROR(O93/N93,0)</f>
        <v/>
      </c>
    </row>
    <row r="94">
      <c r="A94">
        <f>Skills!A17</f>
        <v/>
      </c>
      <c r="B94">
        <f>Skills!B17</f>
        <v/>
      </c>
      <c r="C94">
        <f>Inputs!$B$3&gt;=66</f>
        <v/>
      </c>
      <c r="D94">
        <f>IF(Skills!C17=1,60+Inputs!$B$25+Inputs!$B$29,IF(Skills!C17=2,90+Inputs!$B$26+Inputs!$B$29,IF(Skills!C17=3,120+Inputs!$B$27+Inputs!$B$29,MAX(0,(Inputs!$B$3-100)*3)+Inputs!$B$28+Inputs!$B$29)))</f>
        <v/>
      </c>
      <c r="E94">
        <f>INDEX(FactorTable!$B$2:$Y$301, MATCH(ROUND(MIN(300,MAX(1,D94)),0), FactorTable!$A$2:$A$301,0), Skills!M17+1)</f>
        <v/>
      </c>
      <c r="F94">
        <f>IF(Skills!N17=TRUE,(Skills!L17/10)*(E94/1000),Skills!L17/10)+Skills!O17</f>
        <v/>
      </c>
      <c r="G94">
        <f>Skills!G17*IF(Skills!H17&gt;0,Skills!I17/Skills!H17,1)</f>
        <v/>
      </c>
      <c r="H94">
        <f>1-(1-Skills!J17/100)^Skills!K17</f>
        <v/>
      </c>
      <c r="I94" t="inlineStr">
        <is>
          <t>1</t>
        </is>
      </c>
      <c r="J94" t="inlineStr"/>
      <c r="K94" t="inlineStr"/>
      <c r="L94" t="inlineStr"/>
      <c r="M94" t="inlineStr"/>
      <c r="N94" t="inlineStr"/>
      <c r="O94" t="n">
        <v>0</v>
      </c>
      <c r="P94">
        <f>IF(B118=0,0,O94/B118)</f>
        <v/>
      </c>
      <c r="Q94" t="n">
        <v>0</v>
      </c>
      <c r="R94" t="n">
        <v>0</v>
      </c>
      <c r="S94">
        <f>IFERROR(O94/N94,0)</f>
        <v/>
      </c>
    </row>
    <row r="95">
      <c r="A95">
        <f>Skills!A18</f>
        <v/>
      </c>
      <c r="B95">
        <f>Skills!B18</f>
        <v/>
      </c>
      <c r="C95">
        <f>Inputs!$B$3&gt;=72</f>
        <v/>
      </c>
      <c r="D95">
        <f>IF(Skills!C18=1,60+Inputs!$B$25+Inputs!$B$29,IF(Skills!C18=2,90+Inputs!$B$26+Inputs!$B$29,IF(Skills!C18=3,120+Inputs!$B$27+Inputs!$B$29,MAX(0,(Inputs!$B$3-100)*3)+Inputs!$B$28+Inputs!$B$29)))</f>
        <v/>
      </c>
      <c r="E95">
        <f>INDEX(FactorTable!$B$2:$Y$301, MATCH(ROUND(MIN(300,MAX(1,D95)),0), FactorTable!$A$2:$A$301,0), Skills!M18+1)</f>
        <v/>
      </c>
      <c r="F95">
        <f>IF(Skills!N18=TRUE,(Skills!L18/10)*(E95/1000),Skills!L18/10)+Skills!O18</f>
        <v/>
      </c>
      <c r="G95">
        <f>Skills!G18*IF(Skills!H18&gt;0,Skills!I18/Skills!H18,1)</f>
        <v/>
      </c>
      <c r="H95">
        <f>1-(1-Skills!J18/100)^Skills!K18</f>
        <v/>
      </c>
      <c r="I95" t="inlineStr">
        <is>
          <t>1</t>
        </is>
      </c>
      <c r="J95" t="inlineStr"/>
      <c r="K95" t="inlineStr"/>
      <c r="L95" t="inlineStr"/>
      <c r="M95" t="inlineStr"/>
      <c r="N95" t="inlineStr"/>
      <c r="O95" t="n">
        <v>0</v>
      </c>
      <c r="P95">
        <f>IF(B118=0,0,O95/B118)</f>
        <v/>
      </c>
      <c r="Q95" t="n">
        <v>0</v>
      </c>
      <c r="R95" t="n">
        <v>0</v>
      </c>
      <c r="S95">
        <f>IFERROR(O95/N95,0)</f>
        <v/>
      </c>
    </row>
    <row r="96">
      <c r="A96">
        <f>Skills!A19</f>
        <v/>
      </c>
      <c r="B96">
        <f>Skills!B19</f>
        <v/>
      </c>
      <c r="C96">
        <f>TRUE</f>
        <v/>
      </c>
      <c r="D96">
        <f>IF(Skills!C19=1,60+Inputs!$B$25+Inputs!$B$29,IF(Skills!C19=2,90+Inputs!$B$26+Inputs!$B$29,IF(Skills!C19=3,120+Inputs!$B$27+Inputs!$B$29,MAX(0,(Inputs!$B$3-100)*3)+Inputs!$B$28+Inputs!$B$29)))</f>
        <v/>
      </c>
      <c r="E96">
        <f>INDEX(FactorTable!$B$2:$Y$301, MATCH(ROUND(MIN(300,MAX(1,D96)),0), FactorTable!$A$2:$A$301,0), Skills!M19+1)</f>
        <v/>
      </c>
      <c r="F96">
        <f>IF(Skills!N19=TRUE,(Skills!L19/10)*(E96/1000),Skills!L19/10)+Skills!O19</f>
        <v/>
      </c>
      <c r="G96">
        <f>Skills!G19*IF(Skills!H19&gt;0,Skills!I19/Skills!H19,1)</f>
        <v/>
      </c>
      <c r="H96">
        <f>1-(1-Skills!J19/100)^Skills!K19</f>
        <v/>
      </c>
      <c r="I96" t="inlineStr">
        <is>
          <t>1</t>
        </is>
      </c>
      <c r="J96" t="inlineStr"/>
      <c r="K96" t="inlineStr"/>
      <c r="L96" t="inlineStr"/>
      <c r="M96" t="inlineStr"/>
      <c r="N96" t="inlineStr"/>
      <c r="O96" t="n">
        <v>0</v>
      </c>
      <c r="P96">
        <f>IF(B118=0,0,O96/B118)</f>
        <v/>
      </c>
      <c r="Q96">
        <f>IFERROR(1/IF(Inputs!$B$38="pvp",15,MAX(0.1,Skills!D19-IF(Skills!E19=TRUE,Inputs!$B$32,0))),0)</f>
        <v/>
      </c>
      <c r="R96">
        <f>IF(AND(Inputs!$B$38&lt;&gt;"pvp",Inputs!$B$43&gt;0),IF(Inputs!$B$43&lt;=0,0,(INT(Inputs!$B$43/IF(Inputs!$B$38="pvp",15,MAX(0.1,Skills!D19-IF(Skills!E19=TRUE,Inputs!$B$32,0))))+1)),0)</f>
        <v/>
      </c>
      <c r="S96">
        <f>IFERROR(O96/N96,0)</f>
        <v/>
      </c>
    </row>
    <row r="97">
      <c r="A97">
        <f>Skills!A20</f>
        <v/>
      </c>
      <c r="B97">
        <f>Skills!B20</f>
        <v/>
      </c>
      <c r="C97">
        <f>Inputs!$B$3&gt;=15</f>
        <v/>
      </c>
      <c r="D97">
        <f>IF(Skills!C20=1,60+Inputs!$B$25+Inputs!$B$29,IF(Skills!C20=2,90+Inputs!$B$26+Inputs!$B$29,IF(Skills!C20=3,120+Inputs!$B$27+Inputs!$B$29,MAX(0,(Inputs!$B$3-100)*3)+Inputs!$B$28+Inputs!$B$29)))</f>
        <v/>
      </c>
      <c r="E97">
        <f>INDEX(FactorTable!$B$2:$Y$301, MATCH(ROUND(MIN(300,MAX(1,D97)),0), FactorTable!$A$2:$A$301,0), Skills!M20+1)</f>
        <v/>
      </c>
      <c r="F97">
        <f>IF(Skills!N20=TRUE,(Skills!L20/10)*(E97/1000),Skills!L20/10)+Skills!O20</f>
        <v/>
      </c>
      <c r="G97">
        <f>Skills!G20*IF(Skills!H20&gt;0,Skills!I20/Skills!H20,1)</f>
        <v/>
      </c>
      <c r="H97">
        <f>1-(1-Skills!J20/100)^Skills!K20</f>
        <v/>
      </c>
      <c r="I97" t="inlineStr">
        <is>
          <t>1</t>
        </is>
      </c>
      <c r="J97" t="inlineStr"/>
      <c r="K97" t="inlineStr"/>
      <c r="L97" t="inlineStr"/>
      <c r="M97" t="inlineStr"/>
      <c r="N97" t="inlineStr"/>
      <c r="O97" t="n">
        <v>0</v>
      </c>
      <c r="P97">
        <f>IF(B118=0,0,O97/B118)</f>
        <v/>
      </c>
      <c r="Q97" t="n">
        <v>0</v>
      </c>
      <c r="R97" t="n">
        <v>0</v>
      </c>
      <c r="S97">
        <f>IFERROR(O97/N97,0)</f>
        <v/>
      </c>
    </row>
    <row r="98">
      <c r="A98">
        <f>Skills!A21</f>
        <v/>
      </c>
      <c r="B98">
        <f>Skills!B21</f>
        <v/>
      </c>
      <c r="C98">
        <f>Inputs!$B$3&gt;=10</f>
        <v/>
      </c>
      <c r="D98">
        <f>IF(Skills!C21=1,60+Inputs!$B$25+Inputs!$B$29,IF(Skills!C21=2,90+Inputs!$B$26+Inputs!$B$29,IF(Skills!C21=3,120+Inputs!$B$27+Inputs!$B$29,MAX(0,(Inputs!$B$3-100)*3)+Inputs!$B$28+Inputs!$B$29)))</f>
        <v/>
      </c>
      <c r="E98">
        <f>INDEX(FactorTable!$B$2:$Y$301, MATCH(ROUND(MIN(300,MAX(1,D98)),0), FactorTable!$A$2:$A$301,0), Skills!M21+1)</f>
        <v/>
      </c>
      <c r="F98">
        <f>IF(Skills!N21=TRUE,(Skills!L21/10)*(E98/1000),Skills!L21/10)+Skills!O21</f>
        <v/>
      </c>
      <c r="G98">
        <f>Skills!G21*IF(Skills!H21&gt;0,Skills!I21/Skills!H21,1)</f>
        <v/>
      </c>
      <c r="H98">
        <f>1-(1-Skills!J21/100)^Skills!K21</f>
        <v/>
      </c>
      <c r="I98" t="inlineStr">
        <is>
          <t>1</t>
        </is>
      </c>
      <c r="J98" t="inlineStr"/>
      <c r="K98" t="inlineStr"/>
      <c r="L98" t="inlineStr"/>
      <c r="M98" t="inlineStr"/>
      <c r="N98" t="inlineStr"/>
      <c r="O98" t="n">
        <v>0</v>
      </c>
      <c r="P98">
        <f>IF(B118=0,0,O98/B118)</f>
        <v/>
      </c>
      <c r="Q98" t="n">
        <v>0</v>
      </c>
      <c r="R98" t="n">
        <v>0</v>
      </c>
      <c r="S98">
        <f>IFERROR(O98/N98,0)</f>
        <v/>
      </c>
    </row>
    <row r="99">
      <c r="A99">
        <f>Skills!A22</f>
        <v/>
      </c>
      <c r="B99">
        <f>Skills!B22</f>
        <v/>
      </c>
      <c r="C99">
        <f>Inputs!$B$3&gt;=33</f>
        <v/>
      </c>
      <c r="D99">
        <f>IF(Skills!C22=1,60+Inputs!$B$25+Inputs!$B$29,IF(Skills!C22=2,90+Inputs!$B$26+Inputs!$B$29,IF(Skills!C22=3,120+Inputs!$B$27+Inputs!$B$29,MAX(0,(Inputs!$B$3-100)*3)+Inputs!$B$28+Inputs!$B$29)))</f>
        <v/>
      </c>
      <c r="E99">
        <f>INDEX(FactorTable!$B$2:$Y$301, MATCH(ROUND(MIN(300,MAX(1,D99)),0), FactorTable!$A$2:$A$301,0), Skills!M22+1)</f>
        <v/>
      </c>
      <c r="F99">
        <f>IF(Skills!N22=TRUE,(Skills!L22/10)*(E99/1000),Skills!L22/10)+Skills!O22</f>
        <v/>
      </c>
      <c r="G99">
        <f>Skills!G22*IF(Skills!H22&gt;0,Skills!I22/Skills!H22,1)</f>
        <v/>
      </c>
      <c r="H99">
        <f>1-(1-Skills!J22/100)^Skills!K22</f>
        <v/>
      </c>
      <c r="I99" t="inlineStr">
        <is>
          <t>1</t>
        </is>
      </c>
      <c r="J99" t="inlineStr"/>
      <c r="K99" t="inlineStr"/>
      <c r="L99" t="inlineStr"/>
      <c r="M99" t="inlineStr"/>
      <c r="N99" t="inlineStr"/>
      <c r="O99" t="n">
        <v>0</v>
      </c>
      <c r="P99">
        <f>IF(B118=0,0,O99/B118)</f>
        <v/>
      </c>
      <c r="Q99" t="n">
        <v>0</v>
      </c>
      <c r="R99" t="n">
        <v>0</v>
      </c>
      <c r="S99">
        <f>IFERROR(O99/N99,0)</f>
        <v/>
      </c>
    </row>
    <row r="100">
      <c r="A100">
        <f>Skills!A23</f>
        <v/>
      </c>
      <c r="B100">
        <f>Skills!B23</f>
        <v/>
      </c>
      <c r="C100">
        <f>Inputs!$B$3&gt;=38</f>
        <v/>
      </c>
      <c r="D100">
        <f>IF(Skills!C23=1,60+Inputs!$B$25+Inputs!$B$29,IF(Skills!C23=2,90+Inputs!$B$26+Inputs!$B$29,IF(Skills!C23=3,120+Inputs!$B$27+Inputs!$B$29,MAX(0,(Inputs!$B$3-100)*3)+Inputs!$B$28+Inputs!$B$29)))</f>
        <v/>
      </c>
      <c r="E100">
        <f>INDEX(FactorTable!$B$2:$Y$301, MATCH(ROUND(MIN(300,MAX(1,D100)),0), FactorTable!$A$2:$A$301,0), Skills!M23+1)</f>
        <v/>
      </c>
      <c r="F100">
        <f>IF(Skills!N23=TRUE,(Skills!L23/10)*(E100/1000),Skills!L23/10)+Skills!O23</f>
        <v/>
      </c>
      <c r="G100">
        <f>Skills!G23*IF(Skills!H23&gt;0,Skills!I23/Skills!H23,1)</f>
        <v/>
      </c>
      <c r="H100">
        <f>1-(1-Skills!J23/100)^Skills!K23</f>
        <v/>
      </c>
      <c r="I100" t="inlineStr">
        <is>
          <t>1</t>
        </is>
      </c>
      <c r="J100" t="inlineStr"/>
      <c r="K100" t="inlineStr"/>
      <c r="L100" t="inlineStr"/>
      <c r="M100" t="inlineStr"/>
      <c r="N100" t="inlineStr"/>
      <c r="O100" t="n">
        <v>0</v>
      </c>
      <c r="P100">
        <f>IF(B118=0,0,O100/B118)</f>
        <v/>
      </c>
      <c r="Q100" t="n">
        <v>0</v>
      </c>
      <c r="R100" t="n">
        <v>0</v>
      </c>
      <c r="S100">
        <f>IFERROR(O100/N100,0)</f>
        <v/>
      </c>
    </row>
    <row r="101">
      <c r="A101">
        <f>Skills!A24</f>
        <v/>
      </c>
      <c r="B101">
        <f>Skills!B24</f>
        <v/>
      </c>
      <c r="C101">
        <f>Inputs!$B$3&gt;=43</f>
        <v/>
      </c>
      <c r="D101">
        <f>IF(Skills!C24=1,60+Inputs!$B$25+Inputs!$B$29,IF(Skills!C24=2,90+Inputs!$B$26+Inputs!$B$29,IF(Skills!C24=3,120+Inputs!$B$27+Inputs!$B$29,MAX(0,(Inputs!$B$3-100)*3)+Inputs!$B$28+Inputs!$B$29)))</f>
        <v/>
      </c>
      <c r="E101">
        <f>INDEX(FactorTable!$B$2:$Y$301, MATCH(ROUND(MIN(300,MAX(1,D101)),0), FactorTable!$A$2:$A$301,0), Skills!M24+1)</f>
        <v/>
      </c>
      <c r="F101">
        <f>IF(Skills!N24=TRUE,(Skills!L24/10)*(E101/1000),Skills!L24/10)+Skills!O24</f>
        <v/>
      </c>
      <c r="G101">
        <f>Skills!G24*IF(Skills!H24&gt;0,Skills!I24/Skills!H24,1)</f>
        <v/>
      </c>
      <c r="H101">
        <f>1-(1-Skills!J24/100)^Skills!K24</f>
        <v/>
      </c>
      <c r="I101" t="inlineStr">
        <is>
          <t>1</t>
        </is>
      </c>
      <c r="J101" t="inlineStr"/>
      <c r="K101" t="inlineStr"/>
      <c r="L101" t="inlineStr"/>
      <c r="M101" t="inlineStr"/>
      <c r="N101" t="inlineStr"/>
      <c r="O101" t="n">
        <v>0</v>
      </c>
      <c r="P101">
        <f>IF(B118=0,0,O101/B118)</f>
        <v/>
      </c>
      <c r="Q101" t="n">
        <v>0</v>
      </c>
      <c r="R101" t="n">
        <v>0</v>
      </c>
      <c r="S101">
        <f>IFERROR(O101/N101,0)</f>
        <v/>
      </c>
    </row>
    <row r="102">
      <c r="A102">
        <f>Skills!A25</f>
        <v/>
      </c>
      <c r="B102">
        <f>Skills!B25</f>
        <v/>
      </c>
      <c r="C102">
        <f>Inputs!$B$3&gt;=75</f>
        <v/>
      </c>
      <c r="D102">
        <f>IF(Skills!C25=1,60+Inputs!$B$25+Inputs!$B$29,IF(Skills!C25=2,90+Inputs!$B$26+Inputs!$B$29,IF(Skills!C25=3,120+Inputs!$B$27+Inputs!$B$29,MAX(0,(Inputs!$B$3-100)*3)+Inputs!$B$28+Inputs!$B$29)))</f>
        <v/>
      </c>
      <c r="E102">
        <f>INDEX(FactorTable!$B$2:$Y$301, MATCH(ROUND(MIN(300,MAX(1,D102)),0), FactorTable!$A$2:$A$301,0), Skills!M25+1)</f>
        <v/>
      </c>
      <c r="F102">
        <f>IF(Skills!N25=TRUE,(Skills!L25/10)*(E102/1000),Skills!L25/10)+Skills!O25</f>
        <v/>
      </c>
      <c r="G102">
        <f>Skills!G25*IF(Skills!H25&gt;0,Skills!I25/Skills!H25,1)</f>
        <v/>
      </c>
      <c r="H102">
        <f>1-(1-Skills!J25/100)^Skills!K25</f>
        <v/>
      </c>
      <c r="I102" t="inlineStr">
        <is>
          <t>1</t>
        </is>
      </c>
      <c r="J102" t="inlineStr"/>
      <c r="K102" t="inlineStr"/>
      <c r="L102" t="inlineStr"/>
      <c r="M102" t="inlineStr"/>
      <c r="N102" t="inlineStr"/>
      <c r="O102" t="n">
        <v>0</v>
      </c>
      <c r="P102">
        <f>IF(B118=0,0,O102/B118)</f>
        <v/>
      </c>
      <c r="Q102" t="n">
        <v>0</v>
      </c>
      <c r="R102" t="n">
        <v>0</v>
      </c>
      <c r="S102">
        <f>IFERROR(O102/N102,0)</f>
        <v/>
      </c>
    </row>
    <row r="103">
      <c r="A103">
        <f>Skills!A26</f>
        <v/>
      </c>
      <c r="B103">
        <f>Skills!B26</f>
        <v/>
      </c>
      <c r="C103">
        <f>Inputs!$B$3&gt;=125</f>
        <v/>
      </c>
      <c r="D103">
        <f>IF(Skills!C26=1,60+Inputs!$B$25+Inputs!$B$29,IF(Skills!C26=2,90+Inputs!$B$26+Inputs!$B$29,IF(Skills!C26=3,120+Inputs!$B$27+Inputs!$B$29,MAX(0,(Inputs!$B$3-100)*3)+Inputs!$B$28+Inputs!$B$29)))</f>
        <v/>
      </c>
      <c r="E103">
        <f>INDEX(FactorTable!$B$2:$Y$301, MATCH(ROUND(MIN(300,MAX(1,D103)),0), FactorTable!$A$2:$A$301,0), Skills!M26+1)</f>
        <v/>
      </c>
      <c r="F103">
        <f>IF(Skills!N26=TRUE,(Skills!L26/10)*(E103/1000),Skills!L26/10)+Skills!O26</f>
        <v/>
      </c>
      <c r="G103">
        <f>Skills!G26*IF(Skills!H26&gt;0,Skills!I26/Skills!H26,1)</f>
        <v/>
      </c>
      <c r="H103">
        <f>1-(1-Skills!J26/100)^Skills!K26</f>
        <v/>
      </c>
      <c r="I103" t="inlineStr">
        <is>
          <t>1</t>
        </is>
      </c>
      <c r="J103" t="inlineStr"/>
      <c r="K103" t="inlineStr"/>
      <c r="L103" t="inlineStr"/>
      <c r="M103" t="inlineStr"/>
      <c r="N103" t="inlineStr"/>
      <c r="O103" t="n">
        <v>0</v>
      </c>
      <c r="P103">
        <f>IF(B118=0,0,O103/B118)</f>
        <v/>
      </c>
      <c r="Q103" t="n">
        <v>0</v>
      </c>
      <c r="R103" t="n">
        <v>0</v>
      </c>
      <c r="S103">
        <f>IFERROR(O103/N103,0)</f>
        <v/>
      </c>
    </row>
    <row r="104">
      <c r="A104">
        <f>Skills!A27</f>
        <v/>
      </c>
      <c r="B104">
        <f>Skills!B27</f>
        <v/>
      </c>
      <c r="C104">
        <f>Inputs!$B$3&gt;=125</f>
        <v/>
      </c>
      <c r="D104">
        <f>IF(Skills!C27=1,60+Inputs!$B$25+Inputs!$B$29,IF(Skills!C27=2,90+Inputs!$B$26+Inputs!$B$29,IF(Skills!C27=3,120+Inputs!$B$27+Inputs!$B$29,MAX(0,(Inputs!$B$3-100)*3)+Inputs!$B$28+Inputs!$B$29)))</f>
        <v/>
      </c>
      <c r="E104">
        <f>INDEX(FactorTable!$B$2:$Y$301, MATCH(ROUND(MIN(300,MAX(1,D104)),0), FactorTable!$A$2:$A$301,0), Skills!M27+1)</f>
        <v/>
      </c>
      <c r="F104">
        <f>IF(Skills!N27=TRUE,(Skills!L27/10)*(E104/1000),Skills!L27/10)+Skills!O27</f>
        <v/>
      </c>
      <c r="G104">
        <f>Skills!G27*IF(Skills!H27&gt;0,Skills!I27/Skills!H27,1)</f>
        <v/>
      </c>
      <c r="H104">
        <f>1-(1-Skills!J27/100)^Skills!K27</f>
        <v/>
      </c>
      <c r="I104" t="inlineStr">
        <is>
          <t>1</t>
        </is>
      </c>
      <c r="J104" t="inlineStr"/>
      <c r="K104" t="inlineStr"/>
      <c r="L104" t="inlineStr"/>
      <c r="M104" t="inlineStr"/>
      <c r="N104" t="inlineStr"/>
      <c r="O104" t="n">
        <v>0</v>
      </c>
      <c r="P104">
        <f>IF(B118=0,0,O104/B118)</f>
        <v/>
      </c>
      <c r="Q104" t="n">
        <v>0</v>
      </c>
      <c r="R104" t="n">
        <v>0</v>
      </c>
      <c r="S104">
        <f>IFERROR(O104/N104,0)</f>
        <v/>
      </c>
    </row>
    <row r="105">
      <c r="A105">
        <f>Skills!A28</f>
        <v/>
      </c>
      <c r="B105">
        <f>Skills!B28</f>
        <v/>
      </c>
      <c r="C105">
        <f>Inputs!$B$3&gt;=120</f>
        <v/>
      </c>
      <c r="D105">
        <f>IF(Skills!C28=1,60+Inputs!$B$25+Inputs!$B$29,IF(Skills!C28=2,90+Inputs!$B$26+Inputs!$B$29,IF(Skills!C28=3,120+Inputs!$B$27+Inputs!$B$29,MAX(0,(Inputs!$B$3-100)*3)+Inputs!$B$28+Inputs!$B$29)))</f>
        <v/>
      </c>
      <c r="E105">
        <f>INDEX(FactorTable!$B$2:$Y$301, MATCH(ROUND(MIN(300,MAX(1,D105)),0), FactorTable!$A$2:$A$301,0), Skills!M28+1)</f>
        <v/>
      </c>
      <c r="F105">
        <f>IF(Skills!N28=TRUE,(Skills!L28/10)*(E105/1000),Skills!L28/10)+Skills!O28</f>
        <v/>
      </c>
      <c r="G105">
        <f>Skills!G28*IF(Skills!H28&gt;0,Skills!I28/Skills!H28,1)</f>
        <v/>
      </c>
      <c r="H105">
        <f>1-(1-Skills!J28/100)^Skills!K28</f>
        <v/>
      </c>
      <c r="I105" t="inlineStr">
        <is>
          <t>1</t>
        </is>
      </c>
      <c r="J105" t="inlineStr"/>
      <c r="K105" t="inlineStr"/>
      <c r="L105" t="inlineStr"/>
      <c r="M105" t="inlineStr"/>
      <c r="N105" t="inlineStr"/>
      <c r="O105" t="n">
        <v>0</v>
      </c>
      <c r="P105">
        <f>IF(B118=0,0,O105/B118)</f>
        <v/>
      </c>
      <c r="Q105" t="n">
        <v>0</v>
      </c>
      <c r="R105" t="n">
        <v>0</v>
      </c>
      <c r="S105">
        <f>IFERROR(O105/N105,0)</f>
        <v/>
      </c>
    </row>
    <row r="106">
      <c r="A106">
        <f>Skills!A29</f>
        <v/>
      </c>
      <c r="B106">
        <f>Skills!B29</f>
        <v/>
      </c>
      <c r="C106">
        <f>Inputs!$B$3&gt;=120</f>
        <v/>
      </c>
      <c r="D106">
        <f>IF(Skills!C29=1,60+Inputs!$B$25+Inputs!$B$29,IF(Skills!C29=2,90+Inputs!$B$26+Inputs!$B$29,IF(Skills!C29=3,120+Inputs!$B$27+Inputs!$B$29,MAX(0,(Inputs!$B$3-100)*3)+Inputs!$B$28+Inputs!$B$29)))</f>
        <v/>
      </c>
      <c r="E106">
        <f>INDEX(FactorTable!$B$2:$Y$301, MATCH(ROUND(MIN(300,MAX(1,D106)),0), FactorTable!$A$2:$A$301,0), Skills!M29+1)</f>
        <v/>
      </c>
      <c r="F106">
        <f>IF(Skills!N29=TRUE,(Skills!L29/10)*(E106/1000),Skills!L29/10)+Skills!O29</f>
        <v/>
      </c>
      <c r="G106">
        <f>Skills!G29*IF(Skills!H29&gt;0,Skills!I29/Skills!H29,1)</f>
        <v/>
      </c>
      <c r="H106">
        <f>1-(1-Skills!J29/100)^Skills!K29</f>
        <v/>
      </c>
      <c r="I106" t="inlineStr">
        <is>
          <t>1</t>
        </is>
      </c>
      <c r="J106" t="inlineStr"/>
      <c r="K106" t="inlineStr"/>
      <c r="L106" t="inlineStr"/>
      <c r="M106" t="inlineStr"/>
      <c r="N106" t="inlineStr"/>
      <c r="O106" t="n">
        <v>0</v>
      </c>
      <c r="P106">
        <f>IF(B118=0,0,O106/B118)</f>
        <v/>
      </c>
      <c r="Q106" t="n">
        <v>0</v>
      </c>
      <c r="R106" t="n">
        <v>0</v>
      </c>
      <c r="S106">
        <f>IFERROR(O106/N106,0)</f>
        <v/>
      </c>
    </row>
    <row r="107">
      <c r="A107">
        <f>Skills!A30</f>
        <v/>
      </c>
      <c r="B107">
        <f>Skills!B30</f>
        <v/>
      </c>
      <c r="C107">
        <f>Inputs!$B$3&gt;=45</f>
        <v/>
      </c>
      <c r="D107">
        <f>IF(Skills!C30=1,60+Inputs!$B$25+Inputs!$B$29,IF(Skills!C30=2,90+Inputs!$B$26+Inputs!$B$29,IF(Skills!C30=3,120+Inputs!$B$27+Inputs!$B$29,MAX(0,(Inputs!$B$3-100)*3)+Inputs!$B$28+Inputs!$B$29)))</f>
        <v/>
      </c>
      <c r="E107">
        <f>INDEX(FactorTable!$B$2:$Y$301, MATCH(ROUND(MIN(300,MAX(1,D107)),0), FactorTable!$A$2:$A$301,0), Skills!M30+1)</f>
        <v/>
      </c>
      <c r="F107">
        <f>IF(Skills!N30=TRUE,(Skills!L30/10)*(E107/1000),Skills!L30/10)+Skills!O30</f>
        <v/>
      </c>
      <c r="G107">
        <f>Skills!G30*IF(Skills!H30&gt;0,Skills!I30/Skills!H30,1)</f>
        <v/>
      </c>
      <c r="H107">
        <f>1-(1-Skills!J30/100)^Skills!K30</f>
        <v/>
      </c>
      <c r="I107" t="inlineStr">
        <is>
          <t>1</t>
        </is>
      </c>
      <c r="J107" t="inlineStr"/>
      <c r="K107" t="inlineStr"/>
      <c r="L107" t="inlineStr"/>
      <c r="M107" t="inlineStr"/>
      <c r="N107" t="inlineStr"/>
      <c r="O107" t="n">
        <v>0</v>
      </c>
      <c r="P107">
        <f>IF(B118=0,0,O107/B118)</f>
        <v/>
      </c>
      <c r="Q107" t="n">
        <v>0</v>
      </c>
      <c r="R107" t="n">
        <v>0</v>
      </c>
      <c r="S107">
        <f>IFERROR(O107/N107,0)</f>
        <v/>
      </c>
    </row>
    <row r="109">
      <c r="A109" t="inlineStr">
        <is>
          <t>Attack% Bucket Multiplier</t>
        </is>
      </c>
      <c r="B109">
        <f>(1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f>
        <v/>
      </c>
    </row>
    <row r="110">
      <c r="A110" t="inlineStr">
        <is>
          <t>Global Crit Rate Bonus %</t>
        </is>
      </c>
      <c r="B110">
        <f>(C93=TRUE)*20*IF(AND(Inputs!$B$38&lt;&gt;"pvp",Inputs!$B$43&gt;0),(((R93-1)*(Skills!T16*(1+Inputs!$B$34/100))+MIN((Skills!T16*(1+Inputs!$B$34/100)),MAX(0,Inputs!$B$43-((R93-1)*Skills!D16))))/Inputs!$B$43),IF(Inputs!$B$38="pvp",MIN((Skills!T16*(1+Inputs!$B$34/100)),15)/15,(Skills!T16*(1+Inputs!$B$34/100))/Skills!D16))</f>
        <v/>
      </c>
    </row>
    <row r="111">
      <c r="A111" t="inlineStr">
        <is>
          <t>Attack Speed Buff Bonus %</t>
        </is>
      </c>
      <c r="B111">
        <f>((C96=TRUE)*F96*IF(AND(Inputs!$B$38&lt;&gt;"pvp",Inputs!$B$43&gt;0),(((R96-1)*(Skills!T19*(1+Inputs!$B$34/100))+MIN((Skills!T19*(1+Inputs!$B$34/100)),MAX(0,Inputs!$B$43-((R96-1)*Skills!D19))))/Inputs!$B$43),IF(Inputs!$B$38="pvp",MIN((Skills!T19*(1+Inputs!$B$34/100)),15)/15,(Skills!T19*(1+Inputs!$B$34/100))/Skills!D19)))</f>
        <v/>
      </c>
    </row>
    <row r="112">
      <c r="A112" t="inlineStr">
        <is>
          <t>Actions Per Second</t>
        </is>
      </c>
      <c r="B112">
        <f>1+MIN(150,150*(1-(1-(Inputs!$B$11+((C98=TRUE)*(F98-Calc!F21))+((C99=TRUE)*(F99-Calc!F22)))/150)*(1-B111/150)))/100</f>
        <v/>
      </c>
    </row>
    <row r="113">
      <c r="A113" t="inlineStr">
        <is>
          <t>Skill + Buff Cast Rate</t>
        </is>
      </c>
      <c r="B113">
        <f>IF(AND(Inputs!$B$38&lt;&gt;"pvp",Inputs!$B$43&gt;0),SUMPRODUCT((Skills!E2:E30=TRUE)*(C79:C107=TRUE)*R79:R107*Skills!F2:F30)/Inputs!$B$43,SUMPRODUCT((Skills!E2:E30=TRUE)*(C79:C107=TRUE)*Q79:Q107*Skills!F2:F30))</f>
        <v/>
      </c>
    </row>
    <row r="114">
      <c r="A114" t="inlineStr">
        <is>
          <t>Arrow Stream Casts Per Second</t>
        </is>
      </c>
      <c r="B114">
        <f>MAX(0,B112-B113)</f>
        <v/>
      </c>
    </row>
    <row r="115">
      <c r="A115" t="inlineStr">
        <is>
          <t>Global Critical Damage Bonus % (Sharp Eyes + Concentration)</t>
        </is>
      </c>
      <c r="B115">
        <f>(C93=TRUE)*F93*IF(AND(Inputs!$B$38&lt;&gt;"pvp",Inputs!$B$43&gt;0),(((R93-1)*(Skills!T16*(1+Inputs!$B$34/100))+MIN((Skills!T16*(1+Inputs!$B$34/100)),MAX(0,Inputs!$B$43-((R93-1)*Skills!D16))))/Inputs!$B$43),IF(Inputs!$B$38="pvp",MIN((Skills!T16*(1+Inputs!$B$34/100)),15)/15,(Skills!T16*(1+Inputs!$B$34/100))/Skills!D16))+(C94=TRUE)*30</f>
        <v/>
      </c>
    </row>
    <row r="116">
      <c r="A116" t="inlineStr">
        <is>
          <t>Global Final Damage Bonus % (Mortal Blow)</t>
        </is>
      </c>
      <c r="B116">
        <f>(C95=TRUE)*F95</f>
        <v/>
      </c>
    </row>
    <row r="117">
      <c r="A117" t="inlineStr">
        <is>
          <t>Buff-Casting Startup Delay (s, fixed-duration only)</t>
        </is>
      </c>
      <c r="B117">
        <f>IF(AND(Inputs!$B$38&lt;&gt;"pvp",Inputs!$B$43&gt;0),SUMPRODUCT((Skills!T2:T30&gt;0)*(Skills!E2:E30=TRUE)*(C79:C107=TRUE))/B112,0)</f>
        <v/>
      </c>
    </row>
    <row r="118">
      <c r="A118" s="5" t="inlineStr">
        <is>
          <t>TOTAL DPS</t>
        </is>
      </c>
      <c r="B118" s="5">
        <f>SUM(O79:O107)</f>
        <v/>
      </c>
    </row>
    <row r="121">
      <c r="A121" s="5" t="inlineStr">
        <is>
          <t>Stat: STR</t>
        </is>
      </c>
    </row>
    <row r="122">
      <c r="A122" s="9" t="inlineStr">
        <is>
          <t>Key</t>
        </is>
      </c>
      <c r="B122" s="9" t="inlineStr">
        <is>
          <t>Name</t>
        </is>
      </c>
      <c r="C122" s="9" t="inlineStr">
        <is>
          <t>Unlocked</t>
        </is>
      </c>
      <c r="D122" s="9" t="inlineStr">
        <is>
          <t>InputLevel</t>
        </is>
      </c>
      <c r="E122" s="9" t="inlineStr">
        <is>
          <t>Factor</t>
        </is>
      </c>
      <c r="F122" s="9" t="inlineStr">
        <is>
          <t>CoefficientPercent</t>
        </is>
      </c>
      <c r="G122" s="9" t="inlineStr">
        <is>
          <t>EffectiveHits</t>
        </is>
      </c>
      <c r="H122" s="9" t="inlineStr">
        <is>
          <t>ProcProbability</t>
        </is>
      </c>
      <c r="I122" s="9" t="inlineStr">
        <is>
          <t>MapleHeroMultiplier</t>
        </is>
      </c>
      <c r="J122" s="9" t="inlineStr">
        <is>
          <t>BaseDamage</t>
        </is>
      </c>
      <c r="K122" s="9" t="inlineStr">
        <is>
          <t>BaseHitDamage</t>
        </is>
      </c>
      <c r="L122" s="9" t="inlineStr">
        <is>
          <t>NonCritAvg</t>
        </is>
      </c>
      <c r="M122" s="9" t="inlineStr">
        <is>
          <t>CritAvg</t>
        </is>
      </c>
      <c r="N122" s="9" t="inlineStr">
        <is>
          <t>ExpectedDamage(perHit)</t>
        </is>
      </c>
      <c r="O122" s="9" t="inlineStr">
        <is>
          <t>DPS</t>
        </is>
      </c>
      <c r="P122" s="9" t="inlineStr">
        <is>
          <t>% of Total</t>
        </is>
      </c>
      <c r="Q122" s="9" t="inlineStr">
        <is>
          <t>InvCooldown</t>
        </is>
      </c>
      <c r="R122" s="9" t="inlineStr">
        <is>
          <t>CastsInFight</t>
        </is>
      </c>
      <c r="S122" s="9" t="inlineStr">
        <is>
          <t>HitRate(perSec)</t>
        </is>
      </c>
      <c r="U122" t="inlineStr">
        <is>
          <t>helpers</t>
        </is>
      </c>
    </row>
    <row r="123">
      <c r="A123">
        <f>Skills!A2</f>
        <v/>
      </c>
      <c r="B123">
        <f>Skills!B2</f>
        <v/>
      </c>
      <c r="C123">
        <f>Inputs!$B$3&gt;=100</f>
        <v/>
      </c>
      <c r="D123" t="inlineStr"/>
      <c r="E123" t="inlineStr"/>
      <c r="F123">
        <f>U125+Skills!O2</f>
        <v/>
      </c>
      <c r="G123">
        <f>Skills!G2*IF(Skills!H2&gt;0,Skills!I2/Skills!H2,1)</f>
        <v/>
      </c>
      <c r="H123">
        <f>1-(1-Skills!J2/100)^Skills!K2</f>
        <v/>
      </c>
      <c r="I123" t="inlineStr">
        <is>
          <t>1</t>
        </is>
      </c>
      <c r="J123">
        <f>((Inputs!$B$6*(1+Inputs!$B$7/100))+(((Inputs!$B$12*(1+Inputs!$B$13/100))-(Inputs!$B$12*(1+Inputs!$B$13/100)))+0.25*((Inputs!$B$14+1)-Inputs!$B$14))*(1+Inputs!$B$7/100))*(F123/100)</f>
        <v/>
      </c>
      <c r="K123">
        <f>J123*(1+((Inputs!$B$12*(1+Inputs!$B$13/100))*0.01+(Inputs!$B$14+1)*0.0025)/100)*(1+Inputs!$B$15/100)*(1+IF(Inputs!$B$38="pvp",0,(1-Summary!$B$55)*(Inputs!$B$20+0+Skills!P2)+Summary!$B$55*(Inputs!$B$21+Skills!Q2))/100)*(1+Inputs!$B$16/100)*(5000/(6000+Inputs!$B$42*(1-(Inputs!$B$19+((C148=TRUE)*(F148-Calc!F27)))/100)))*(1+(Inputs!$B$24+((C146=TRUE)*(F146-Calc!F25))+((C147=TRUE)*(F147-Calc!F26))+B160)/100)*(1+(IF(Skills!A2="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123)</f>
        <v/>
      </c>
      <c r="L123">
        <f>K123*(MIN(Inputs!$B$22+((C145=TRUE)*(F145-Calc!F24)),Inputs!$B$23+((C150=TRUE)*(F150-Calc!F29)))/100+(Inputs!$B$23+((C150=TRUE)*(F150-Calc!F29)))/100)/2</f>
        <v/>
      </c>
      <c r="M123">
        <f>L123*(1+(Inputs!$B$10+0+B159)/100)</f>
        <v/>
      </c>
      <c r="N123">
        <f>L123*(1-MIN((Inputs!$B$9+((C141=TRUE)*(F141-Calc!F20))+B154),100)/100)+M123*(MIN((Inputs!$B$9+((C141=TRUE)*(F141-Calc!F20))+B154),100)/100)</f>
        <v/>
      </c>
      <c r="O123">
        <f>IF(C123,Skills!G2*N123*B158*IF(Inputs!$B$38="pvp",1,(1-Summary!$B$55)*(1)+Summary!$B$55*(MIN((6+Inputs!$B$33),Inputs!$B$37))),0)</f>
        <v/>
      </c>
      <c r="P123">
        <f>IF(B162=0,0,O123/B162)</f>
        <v/>
      </c>
      <c r="Q123" t="n">
        <v>0</v>
      </c>
      <c r="R123" t="n">
        <v>0</v>
      </c>
      <c r="S123">
        <f>IFERROR(O123/N123,0)</f>
        <v/>
      </c>
      <c r="U123">
        <f>MAX(0,(Inputs!$B$3-100)*3)+Inputs!$B$28+Inputs!$B$29</f>
        <v/>
      </c>
    </row>
    <row r="124">
      <c r="A124">
        <f>Skills!A3</f>
        <v/>
      </c>
      <c r="B124">
        <f>Skills!B3</f>
        <v/>
      </c>
      <c r="C124">
        <f>Inputs!$B$3&gt;=50</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t="inlineStr"/>
      <c r="H124" t="inlineStr"/>
      <c r="I124" t="inlineStr">
        <is>
          <t>1</t>
        </is>
      </c>
      <c r="J124" t="inlineStr"/>
      <c r="K124" t="inlineStr"/>
      <c r="L124" t="inlineStr"/>
      <c r="M124" t="inlineStr"/>
      <c r="N124" t="inlineStr"/>
      <c r="O124" t="inlineStr"/>
      <c r="P124" t="inlineStr"/>
      <c r="Q124" t="inlineStr"/>
      <c r="R124" t="inlineStr"/>
      <c r="S124" t="inlineStr"/>
      <c r="U124">
        <f>INDEX(FactorTable!$B$2:$Y$301, MATCH(ROUND(MIN(300,MAX(1,U123)),0), FactorTable!$A$2:$A$301,0), 22)</f>
        <v/>
      </c>
    </row>
    <row r="125">
      <c r="A125">
        <f>Skills!A4</f>
        <v/>
      </c>
      <c r="B125">
        <f>Skills!B4</f>
        <v/>
      </c>
      <c r="C125">
        <f>Inputs!$B$3&gt;=105</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t="inlineStr"/>
      <c r="H125" t="inlineStr"/>
      <c r="I125" t="inlineStr">
        <is>
          <t>1</t>
        </is>
      </c>
      <c r="J125" t="inlineStr"/>
      <c r="K125" t="inlineStr"/>
      <c r="L125" t="inlineStr"/>
      <c r="M125" t="inlineStr"/>
      <c r="N125" t="inlineStr"/>
      <c r="O125" t="inlineStr"/>
      <c r="P125" t="inlineStr"/>
      <c r="Q125" t="inlineStr"/>
      <c r="R125" t="inlineStr"/>
      <c r="S125" t="inlineStr"/>
      <c r="U125">
        <f>290*U124/1000</f>
        <v/>
      </c>
    </row>
    <row r="126">
      <c r="A126">
        <f>Skills!A5</f>
        <v/>
      </c>
      <c r="B126">
        <f>Skills!B5</f>
        <v/>
      </c>
      <c r="C126">
        <f>Inputs!$B$3&gt;=35</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Skills!G5*IF(Skills!H5&gt;0,Skills!I5/Skills!H5,1)</f>
        <v/>
      </c>
      <c r="H126">
        <f>1-(1-Skills!J5/100)^Skills!K5</f>
        <v/>
      </c>
      <c r="I126" t="inlineStr">
        <is>
          <t>1</t>
        </is>
      </c>
      <c r="J126">
        <f>((Inputs!$B$6*(1+Inputs!$B$7/100))+(((Inputs!$B$12*(1+Inputs!$B$13/100))-(Inputs!$B$12*(1+Inputs!$B$13/100)))+0.25*((Inputs!$B$14+1)-Inputs!$B$14))*(1+Inputs!$B$7/100))*(F126/100)</f>
        <v/>
      </c>
      <c r="K126">
        <f>J126*(1+((Inputs!$B$12*(1+Inputs!$B$13/100))*0.01+(Inputs!$B$14+1)*0.0025)/100)*(1+Inputs!$B$15/100)*(1+IF(Inputs!$B$38="pvp",0,(1-Summary!$B$55)*(Inputs!$B$20+0+Skills!P5)+Summary!$B$55*(Inputs!$B$21+Skills!Q5))/100)*(1+Inputs!$B$16/100)*(5000/(6000+Inputs!$B$42*(1-(Inputs!$B$19+((C148=TRUE)*(F148-Calc!F27)))/100)))*(1+(Inputs!$B$24+((C146=TRUE)*(F146-Calc!F25))+((C147=TRUE)*(F147-Calc!F26))+B160)/100)*(1+4.0*IF(C131=TRUE,F131,0)/100)*(1+(IF(Skills!A5="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126)</f>
        <v/>
      </c>
      <c r="L126">
        <f>K126*(MIN(Inputs!$B$22+((C145=TRUE)*(F145-Calc!F24)),Inputs!$B$23+((C150=TRUE)*(F150-Calc!F29)))/100+(Inputs!$B$23+((C150=TRUE)*(F150-Calc!F29)))/100)/2</f>
        <v/>
      </c>
      <c r="M126">
        <f>L126*(1+(Inputs!$B$10+0+B159)/100)</f>
        <v/>
      </c>
      <c r="N126">
        <f>L126*(1-MIN((Inputs!$B$9+((C141=TRUE)*(F141-Calc!F20))+B154),100)/100)+M126*(MIN((Inputs!$B$9+((C141=TRUE)*(F141-Calc!F20))+B154),100)/100)</f>
        <v/>
      </c>
      <c r="O126">
        <f>IF(C126,H126*N126*IF(AND(Inputs!$B$38&lt;&gt;"pvp",Inputs!$B$43&gt;0),((Skills!G5*((R126-1)*IF(Skills!H5&gt;0,Skills!I5/Skills!H5,1)+IF(Skills!H5&gt;0,MIN(Skills!I5,MAX(0,MAX(0,Inputs!$B$43-B161)-((R126-1)*IF(Inputs!$B$38="pvp",15,MAX(0.1,Skills!D5-IF(Skills!E5=TRUE,Inputs!$B$32,0))))))/Skills!H5,1)))/Inputs!$B$43),G126*Q126)*IF(Inputs!$B$38="pvp",1,(1-Summary!$B$55)*(1)+Summary!$B$55*(MIN(Skills!R5,Inputs!$B$37))),0)</f>
        <v/>
      </c>
      <c r="P126">
        <f>IF(B162=0,0,O126/B162)</f>
        <v/>
      </c>
      <c r="Q126">
        <f>IFERROR(1/IF(Inputs!$B$38="pvp",15,MAX(0.1,Skills!D5-IF(Skills!E5=TRUE,Inputs!$B$32,0))),0)</f>
        <v/>
      </c>
      <c r="R126">
        <f>IF(AND(Inputs!$B$38&lt;&gt;"pvp",Inputs!$B$43&gt;0),IF(MAX(0,Inputs!$B$43-B161)&lt;=0,0,(INT(MAX(0,Inputs!$B$43-B161)/IF(Inputs!$B$38="pvp",15,MAX(0.1,Skills!D5-IF(Skills!E5=TRUE,Inputs!$B$32,0))))+1)),0)</f>
        <v/>
      </c>
      <c r="S126">
        <f>IFERROR(O126/N126,0)</f>
        <v/>
      </c>
    </row>
    <row r="127">
      <c r="A127">
        <f>Skills!A6</f>
        <v/>
      </c>
      <c r="B127">
        <f>Skills!B6</f>
        <v/>
      </c>
      <c r="C127">
        <f>Inputs!$B$3&gt;=40</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Skills!G6*IF(Skills!H6&gt;0,Skills!I6/Skills!H6,1)</f>
        <v/>
      </c>
      <c r="H127">
        <f>1-(1-Skills!J6/100)^Skills!K6</f>
        <v/>
      </c>
      <c r="I127" t="inlineStr">
        <is>
          <t>1</t>
        </is>
      </c>
      <c r="J127">
        <f>((Inputs!$B$6*(1+Inputs!$B$7/100))+(((Inputs!$B$12*(1+Inputs!$B$13/100))-(Inputs!$B$12*(1+Inputs!$B$13/100)))+0.25*((Inputs!$B$14+1)-Inputs!$B$14))*(1+Inputs!$B$7/100))*(F127/100)</f>
        <v/>
      </c>
      <c r="K127">
        <f>J127*(1+((Inputs!$B$12*(1+Inputs!$B$13/100))*0.01+(Inputs!$B$14+1)*0.0025)/100)*(1+Inputs!$B$15/100)*(1+IF(Inputs!$B$38="pvp",0,(1-Summary!$B$55)*(Inputs!$B$20+0+Skills!P6)+Summary!$B$55*(Inputs!$B$21+Skills!Q6))/100)*(1+Inputs!$B$16/100)*(5000/(6000+Inputs!$B$42*(1-(Inputs!$B$19+((C148=TRUE)*(F148-Calc!F27)))/100)))*(1+(Inputs!$B$24+((C146=TRUE)*(F146-Calc!F25))+((C147=TRUE)*(F147-Calc!F26))+B160)/100)*(1+IF(C128=TRUE,F128,0)/100)*(1+(IF(Skills!A6="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127)</f>
        <v/>
      </c>
      <c r="L127">
        <f>K127*(MIN(Inputs!$B$22+((C145=TRUE)*(F145-Calc!F24)),Inputs!$B$23+((C150=TRUE)*(F150-Calc!F29)))/100+(Inputs!$B$23+((C150=TRUE)*(F150-Calc!F29)))/100)/2</f>
        <v/>
      </c>
      <c r="M127">
        <f>L127*(1+(Inputs!$B$10+0+B159)/100)</f>
        <v/>
      </c>
      <c r="N127">
        <f>L127*(1-MIN((Inputs!$B$9+((C141=TRUE)*(F141-Calc!F20))+B154),100)/100)+M127*(MIN((Inputs!$B$9+((C141=TRUE)*(F141-Calc!F20))+B154),100)/100)</f>
        <v/>
      </c>
      <c r="O127">
        <f>IF(C127,H127*N127*IF(AND(Inputs!$B$38&lt;&gt;"pvp",Inputs!$B$43&gt;0),((Skills!G6*((R127-1)*IF(Skills!H6&gt;0,Skills!I6/Skills!H6,1)+IF(Skills!H6&gt;0,MIN(Skills!I6,MAX(0,MAX(0,Inputs!$B$43-B161)-((R127-1)*IF(Inputs!$B$38="pvp",15,MAX(0.1,Skills!D6-IF(Skills!E6=TRUE,Inputs!$B$32,0))))))/Skills!H6,1)))/Inputs!$B$43),G127*Q127)*IF(Inputs!$B$38="pvp",1,(1-Summary!$B$55)*(1)+Summary!$B$55*(MIN(Skills!R6,Inputs!$B$37))),0)</f>
        <v/>
      </c>
      <c r="P127">
        <f>IF(B162=0,0,O127/B162)</f>
        <v/>
      </c>
      <c r="Q127">
        <f>IFERROR(1/IF(Inputs!$B$38="pvp",15,MAX(0.1,Skills!D6-IF(Skills!E6=TRUE,Inputs!$B$32,0))),0)</f>
        <v/>
      </c>
      <c r="R127">
        <f>IF(AND(Inputs!$B$38&lt;&gt;"pvp",Inputs!$B$43&gt;0),IF(MAX(0,Inputs!$B$43-B161)&lt;=0,0,(INT(MAX(0,Inputs!$B$43-B161)/IF(Inputs!$B$38="pvp",15,MAX(0.1,Skills!D6-IF(Skills!E6=TRUE,Inputs!$B$32,0))))+1)),0)</f>
        <v/>
      </c>
      <c r="S127">
        <f>IFERROR(O127/N127,0)</f>
        <v/>
      </c>
    </row>
    <row r="128">
      <c r="A128">
        <f>Skills!A7</f>
        <v/>
      </c>
      <c r="B128">
        <f>Skills!B7</f>
        <v/>
      </c>
      <c r="C128">
        <f>Inputs!$B$3&gt;=107</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t="inlineStr"/>
      <c r="H128" t="inlineStr"/>
      <c r="I128" t="inlineStr">
        <is>
          <t>1</t>
        </is>
      </c>
      <c r="J128" t="inlineStr"/>
      <c r="K128" t="inlineStr"/>
      <c r="L128" t="inlineStr"/>
      <c r="M128" t="inlineStr"/>
      <c r="N128" t="inlineStr"/>
      <c r="O128" t="inlineStr"/>
      <c r="P128" t="inlineStr"/>
      <c r="Q128" t="inlineStr"/>
      <c r="R128" t="inlineStr"/>
      <c r="S128" t="inlineStr"/>
    </row>
    <row r="129">
      <c r="A129">
        <f>Skills!A8</f>
        <v/>
      </c>
      <c r="B129">
        <f>Skills!B8</f>
        <v/>
      </c>
      <c r="C129">
        <f>Inputs!$B$3&gt;=69</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Skills!G8*IF(Skills!H8&gt;0,Skills!I8/Skills!H8,1)</f>
        <v/>
      </c>
      <c r="H129">
        <f>1-(1-Skills!J8/100)^Skills!K8</f>
        <v/>
      </c>
      <c r="I129" t="inlineStr">
        <is>
          <t>1</t>
        </is>
      </c>
      <c r="J129">
        <f>((Inputs!$B$6*(1+Inputs!$B$7/100))+(((Inputs!$B$12*(1+Inputs!$B$13/100))-(Inputs!$B$12*(1+Inputs!$B$13/100)))+0.25*((Inputs!$B$14+1)-Inputs!$B$14))*(1+Inputs!$B$7/100))*(F129/100)</f>
        <v/>
      </c>
      <c r="K129">
        <f>J129*(1+((Inputs!$B$12*(1+Inputs!$B$13/100))*0.01+(Inputs!$B$14+1)*0.0025)/100)*(1+Inputs!$B$15/100)*(1+IF(Inputs!$B$38="pvp",0,(1-Summary!$B$55)*(Inputs!$B$20+0+Skills!P8)+Summary!$B$55*(Inputs!$B$21+Skills!Q8))/100)*(1+Inputs!$B$16/100)*(5000/(6000+Inputs!$B$42*(1-(Inputs!$B$19+((C148=TRUE)*(F148-Calc!F27)))/100)))*(1+(Inputs!$B$24+((C146=TRUE)*(F146-Calc!F25))+((C147=TRUE)*(F147-Calc!F26))+B160)/100)*(1+1.2*IF(C131=TRUE,F131,0)/100)*(1+(IF(Skills!A8="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129)</f>
        <v/>
      </c>
      <c r="L129">
        <f>K129*(MIN(Inputs!$B$22+((C145=TRUE)*(F145-Calc!F24)),Inputs!$B$23+((C150=TRUE)*(F150-Calc!F29)))/100+(Inputs!$B$23+((C150=TRUE)*(F150-Calc!F29)))/100)/2</f>
        <v/>
      </c>
      <c r="M129">
        <f>L129*(1+(Inputs!$B$10+0+B159)/100)</f>
        <v/>
      </c>
      <c r="N129">
        <f>L129*(1-MIN((Inputs!$B$9+((C141=TRUE)*(F141-Calc!F20))+B154),100)/100)+M129*(MIN((Inputs!$B$9+((C141=TRUE)*(F141-Calc!F20))+B154),100)/100)</f>
        <v/>
      </c>
      <c r="O129">
        <f>IF(C129,H129*N129*IF(AND(Inputs!$B$38&lt;&gt;"pvp",Inputs!$B$43&gt;0),((Skills!G8*((R129-1)*IF(Skills!H8&gt;0,Skills!I8/Skills!H8,1)+IF(Skills!H8&gt;0,MIN(Skills!I8,MAX(0,MAX(0,Inputs!$B$43-B161)-((R129-1)*IF(Inputs!$B$38="pvp",15,MAX(0.1,Skills!D8-IF(Skills!E8=TRUE,Inputs!$B$32,0))))))/Skills!H8,1)))/Inputs!$B$43),G129*Q129)*IF(Inputs!$B$38="pvp",1,(1-Summary!$B$55)*(1)+Summary!$B$55*(MIN(Skills!R8,Inputs!$B$37))),0)</f>
        <v/>
      </c>
      <c r="P129">
        <f>IF(B162=0,0,O129/B162)</f>
        <v/>
      </c>
      <c r="Q129">
        <f>IFERROR(1/IF(Inputs!$B$38="pvp",15,MAX(0.1,Skills!D8-IF(Skills!E8=TRUE,Inputs!$B$32,0))),0)</f>
        <v/>
      </c>
      <c r="R129">
        <f>IF(AND(Inputs!$B$38&lt;&gt;"pvp",Inputs!$B$43&gt;0),IF(MAX(0,Inputs!$B$43-B161)&lt;=0,0,(INT(MAX(0,Inputs!$B$43-B161)/IF(Inputs!$B$38="pvp",15,MAX(0.1,Skills!D8-IF(Skills!E8=TRUE,Inputs!$B$32,0))))+1)),0)</f>
        <v/>
      </c>
      <c r="S129">
        <f>IFERROR(O129/N129,0)</f>
        <v/>
      </c>
    </row>
    <row r="130">
      <c r="A130">
        <f>Skills!A9</f>
        <v/>
      </c>
      <c r="B130">
        <f>Skills!B9</f>
        <v/>
      </c>
      <c r="C130">
        <f>Inputs!$B$3&gt;=63</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Skills!G9*IF(Skills!H9&gt;0,Skills!I9/Skills!H9,1)</f>
        <v/>
      </c>
      <c r="H130">
        <f>1-(1-Skills!J9/100)^Skills!K9</f>
        <v/>
      </c>
      <c r="I130" t="inlineStr">
        <is>
          <t>1</t>
        </is>
      </c>
      <c r="J130">
        <f>((Inputs!$B$6*(1+Inputs!$B$7/100))+(((Inputs!$B$12*(1+Inputs!$B$13/100))-(Inputs!$B$12*(1+Inputs!$B$13/100)))+0.25*((Inputs!$B$14+1)-Inputs!$B$14))*(1+Inputs!$B$7/100))*(F130/100)</f>
        <v/>
      </c>
      <c r="K130">
        <f>J130*(1+((Inputs!$B$12*(1+Inputs!$B$13/100))*0.01+(Inputs!$B$14+1)*0.0025)/100)*(1+Inputs!$B$15/100)*(1+IF(Inputs!$B$38="pvp",0,(1-Summary!$B$55)*(Inputs!$B$20+0+Skills!P9)+Summary!$B$55*(Inputs!$B$21+Skills!Q9))/100)*(1+Inputs!$B$16/100)*(5000/(6000+Inputs!$B$42*(1-(Inputs!$B$19+((C148=TRUE)*(F148-Calc!F27)))/100)))*(1+(Inputs!$B$24+((C146=TRUE)*(F146-Calc!F25))+((C147=TRUE)*(F147-Calc!F26))+B160)/100)*(1+1.0*IF(C131=TRUE,F131,0)/100)*(1+(IF(Skills!A9="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130)</f>
        <v/>
      </c>
      <c r="L130">
        <f>K130*(MIN(Inputs!$B$22+((C145=TRUE)*(F145-Calc!F24)),Inputs!$B$23+((C150=TRUE)*(F150-Calc!F29)))/100+(Inputs!$B$23+((C150=TRUE)*(F150-Calc!F29)))/100)/2</f>
        <v/>
      </c>
      <c r="M130">
        <f>L130*(1+(Inputs!$B$10+0+B159)/100)</f>
        <v/>
      </c>
      <c r="N130">
        <f>L130*(1-MIN((Inputs!$B$9+((C141=TRUE)*(F141-Calc!F20))+B154),100)/100)+M130*(MIN((Inputs!$B$9+((C141=TRUE)*(F141-Calc!F20))+B154),100)/100)</f>
        <v/>
      </c>
      <c r="O130">
        <f>IF(C130,H130*N130*IF(AND(Inputs!$B$38&lt;&gt;"pvp",Inputs!$B$43&gt;0),((Skills!G9*((R130-1)*IF(Skills!H9&gt;0,Skills!I9/Skills!H9,1)+IF(Skills!H9&gt;0,MIN(Skills!I9,MAX(0,MAX(0,Inputs!$B$43-B161)-((R130-1)*IF(Inputs!$B$38="pvp",15,MAX(0.1,Skills!D9-IF(Skills!E9=TRUE,Inputs!$B$32,0))))))/Skills!H9,1)))/Inputs!$B$43),G130*Q130)*IF(Inputs!$B$38="pvp",1,(1-Summary!$B$55)*(1)+Summary!$B$55*(MIN(Skills!R9,Inputs!$B$37))),0)</f>
        <v/>
      </c>
      <c r="P130">
        <f>IF(B162=0,0,O130/B162)</f>
        <v/>
      </c>
      <c r="Q130">
        <f>IFERROR(1/IF(Inputs!$B$38="pvp",15,MAX(0.1,Skills!D9-IF(Skills!E9=TRUE,Inputs!$B$32,0))),0)</f>
        <v/>
      </c>
      <c r="R130">
        <f>IF(AND(Inputs!$B$38&lt;&gt;"pvp",Inputs!$B$43&gt;0),IF(MAX(0,Inputs!$B$43-B161)&lt;=0,0,(INT(MAX(0,Inputs!$B$43-B161)/IF(Inputs!$B$38="pvp",15,MAX(0.1,Skills!D9-IF(Skills!E9=TRUE,Inputs!$B$32,0))))+1)),0)</f>
        <v/>
      </c>
      <c r="S130">
        <f>IFERROR(O130/N130,0)</f>
        <v/>
      </c>
    </row>
    <row r="131">
      <c r="A131">
        <f>Skills!A10</f>
        <v/>
      </c>
      <c r="B131">
        <f>Skills!B10</f>
        <v/>
      </c>
      <c r="C131">
        <f>Inputs!$B$3&gt;=100</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Skills!A11</f>
        <v/>
      </c>
      <c r="B132">
        <f>Skills!B11</f>
        <v/>
      </c>
      <c r="C132">
        <f>Inputs!$B$3&gt;=60</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Skills!G11*IF(Skills!H11&gt;0,Skills!I11/Skills!H11,1)</f>
        <v/>
      </c>
      <c r="H132">
        <f>1-(1-Skills!J11/100)^Skills!K11</f>
        <v/>
      </c>
      <c r="I132" t="inlineStr">
        <is>
          <t>1</t>
        </is>
      </c>
      <c r="J132">
        <f>((Inputs!$B$6*(1+Inputs!$B$7/100))+(((Inputs!$B$12*(1+Inputs!$B$13/100))-(Inputs!$B$12*(1+Inputs!$B$13/100)))+0.25*((Inputs!$B$14+1)-Inputs!$B$14))*(1+Inputs!$B$7/100))*(F132/100)</f>
        <v/>
      </c>
      <c r="K132">
        <f>J132*(1+((Inputs!$B$12*(1+Inputs!$B$13/100))*0.01+(Inputs!$B$14+1)*0.0025)/100)*(1+Inputs!$B$15/100)*(1+IF(Inputs!$B$38="pvp",0,(1-Summary!$B$55)*(Inputs!$B$20+0+Skills!P11)+Summary!$B$55*(Inputs!$B$21+Skills!Q11))/100)*(1+Inputs!$B$16/100)*(5000/(6000+Inputs!$B$42*(1-(Inputs!$B$19+((C148=TRUE)*(F148-Calc!F27)))/100)))*(1+(Inputs!$B$24+((C146=TRUE)*(F146-Calc!F25))+((C147=TRUE)*(F147-Calc!F26))+B160)/100)*(1+IF(C133=TRUE,F133,0)/100)*(1+(IF(Skills!A11="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132)</f>
        <v/>
      </c>
      <c r="L132">
        <f>K132*(MIN(Inputs!$B$22+((C145=TRUE)*(F145-Calc!F24)),Inputs!$B$23+((C150=TRUE)*(F150-Calc!F29)))/100+(Inputs!$B$23+((C150=TRUE)*(F150-Calc!F29)))/100)/2</f>
        <v/>
      </c>
      <c r="M132">
        <f>L132*(1+(Inputs!$B$10+0+B159)/100)</f>
        <v/>
      </c>
      <c r="N132">
        <f>L132*(1-MIN((Inputs!$B$9+((C141=TRUE)*(F141-Calc!F20))+B154),100)/100)+M132*(MIN((Inputs!$B$9+((C141=TRUE)*(F141-Calc!F20))+B154),100)/100)</f>
        <v/>
      </c>
      <c r="O132">
        <f>IF(C132,H132*N132*IF(AND(Inputs!$B$38&lt;&gt;"pvp",Inputs!$B$43&gt;0),((Skills!G11*((R132-1)*IF(Skills!H11&gt;0,Skills!I11/Skills!H11,1)+IF(Skills!H11&gt;0,MIN(Skills!I11,MAX(0,MAX(0,Inputs!$B$43-B161)-((R132-1)*IF(Inputs!$B$38="pvp",15,MAX(0.1,Skills!D11-IF(Skills!E11=TRUE,Inputs!$B$32,0))))))/Skills!H11,1)))/Inputs!$B$43),G132*Q132)*IF(Inputs!$B$38="pvp",1,(1-Summary!$B$55)*(1)+Summary!$B$55*(MIN(Skills!R11,Inputs!$B$37))),0)</f>
        <v/>
      </c>
      <c r="P132">
        <f>IF(B162=0,0,O132/B162)</f>
        <v/>
      </c>
      <c r="Q132">
        <f>IFERROR(1/IF(Inputs!$B$38="pvp",15,MAX(0.1,Skills!D11-IF(Skills!E11=TRUE,Inputs!$B$32,0))),0)</f>
        <v/>
      </c>
      <c r="R132">
        <f>IF(AND(Inputs!$B$38&lt;&gt;"pvp",Inputs!$B$43&gt;0),IF(MAX(0,Inputs!$B$43-B161)&lt;=0,0,(INT(MAX(0,Inputs!$B$43-B161)/IF(Inputs!$B$38="pvp",15,MAX(0.1,Skills!D11-IF(Skills!E11=TRUE,Inputs!$B$32,0))))+1)),0)</f>
        <v/>
      </c>
      <c r="S132">
        <f>IFERROR(O132/N132,0)</f>
        <v/>
      </c>
    </row>
    <row r="133">
      <c r="A133">
        <f>Skills!A12</f>
        <v/>
      </c>
      <c r="B133">
        <f>Skills!B12</f>
        <v/>
      </c>
      <c r="C133">
        <f>Inputs!$B$3&gt;=110</f>
        <v/>
      </c>
      <c r="D133">
        <f>IF(Skills!C12=1,60+Inputs!$B$25+Inputs!$B$29,IF(Skills!C12=2,90+Inputs!$B$26+Inputs!$B$29,IF(Skills!C12=3,120+Inputs!$B$27+Inputs!$B$29,MAX(0,(Inputs!$B$3-100)*3)+Inputs!$B$28+Inputs!$B$29)))</f>
        <v/>
      </c>
      <c r="E133">
        <f>INDEX(FactorTable!$B$2:$Y$301, MATCH(ROUND(MIN(300,MAX(1,D133)),0), FactorTable!$A$2:$A$301,0), Skills!M12+1)</f>
        <v/>
      </c>
      <c r="F133">
        <f>IF(Skills!N12=TRUE,(Skills!L12/10)*(E133/1000),Skills!L12/10)+Skills!O12</f>
        <v/>
      </c>
      <c r="G133" t="inlineStr"/>
      <c r="H133" t="inlineStr"/>
      <c r="I133" t="inlineStr">
        <is>
          <t>1</t>
        </is>
      </c>
      <c r="J133" t="inlineStr"/>
      <c r="K133" t="inlineStr"/>
      <c r="L133" t="inlineStr"/>
      <c r="M133" t="inlineStr"/>
      <c r="N133" t="inlineStr"/>
      <c r="O133" t="inlineStr"/>
      <c r="P133" t="inlineStr"/>
      <c r="Q133" t="inlineStr"/>
      <c r="R133" t="inlineStr"/>
      <c r="S133" t="inlineStr"/>
    </row>
    <row r="134">
      <c r="A134">
        <f>Skills!A13</f>
        <v/>
      </c>
      <c r="B134">
        <f>Skills!B13</f>
        <v/>
      </c>
      <c r="C134">
        <f>Inputs!$B$3&gt;=74</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Skills!G13*IF(Skills!H13&gt;0,Skills!I13/Skills!H13,1)</f>
        <v/>
      </c>
      <c r="H134">
        <f>1-(1-Skills!J13/100)^Skills!K13</f>
        <v/>
      </c>
      <c r="I134" t="inlineStr">
        <is>
          <t>1</t>
        </is>
      </c>
      <c r="J134" t="inlineStr"/>
      <c r="K134" t="inlineStr"/>
      <c r="L134" t="inlineStr"/>
      <c r="M134" t="inlineStr"/>
      <c r="N134" t="inlineStr"/>
      <c r="O134" t="n">
        <v>0</v>
      </c>
      <c r="P134">
        <f>IF(B162=0,0,O134/B162)</f>
        <v/>
      </c>
      <c r="Q134" t="n">
        <v>0</v>
      </c>
      <c r="R134" t="n">
        <v>0</v>
      </c>
      <c r="S134">
        <f>IFERROR(O134/N134,0)</f>
        <v/>
      </c>
    </row>
    <row r="135">
      <c r="A135">
        <f>Skills!A14</f>
        <v/>
      </c>
      <c r="B135">
        <f>Skills!B14</f>
        <v/>
      </c>
      <c r="C135">
        <f>Inputs!$B$3&gt;=74</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Skills!G14*IF(Skills!H14&gt;0,Skills!I14/Skills!H14,1)</f>
        <v/>
      </c>
      <c r="H135">
        <f>1-(1-Skills!J14/100)^Skills!K14</f>
        <v/>
      </c>
      <c r="I135" t="inlineStr">
        <is>
          <t>1</t>
        </is>
      </c>
      <c r="J135" t="inlineStr"/>
      <c r="K135" t="inlineStr"/>
      <c r="L135" t="inlineStr"/>
      <c r="M135" t="inlineStr"/>
      <c r="N135" t="inlineStr"/>
      <c r="O135" t="n">
        <v>0</v>
      </c>
      <c r="P135">
        <f>IF(B162=0,0,O135/B162)</f>
        <v/>
      </c>
      <c r="Q135" t="n">
        <v>0</v>
      </c>
      <c r="R135" t="n">
        <v>0</v>
      </c>
      <c r="S135">
        <f>IFERROR(O135/N135,0)</f>
        <v/>
      </c>
    </row>
    <row r="136">
      <c r="A136">
        <f>Skills!A15</f>
        <v/>
      </c>
      <c r="B136">
        <f>Skills!B15</f>
        <v/>
      </c>
      <c r="C136">
        <f>Inputs!$B$3&gt;=117</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Skills!G15*IF(Skills!H15&gt;0,Skills!I15/Skills!H15,1)</f>
        <v/>
      </c>
      <c r="H136">
        <f>1-(1-Skills!J15/100)^Skills!K15</f>
        <v/>
      </c>
      <c r="I136" t="inlineStr">
        <is>
          <t>1</t>
        </is>
      </c>
      <c r="J136" t="inlineStr"/>
      <c r="K136" t="inlineStr"/>
      <c r="L136" t="inlineStr"/>
      <c r="M136" t="inlineStr"/>
      <c r="N136" t="inlineStr"/>
      <c r="O136" t="n">
        <v>0</v>
      </c>
      <c r="P136">
        <f>IF(B162=0,0,O136/B162)</f>
        <v/>
      </c>
      <c r="Q136">
        <f>IFERROR(1/IF(Inputs!$B$38="pvp",15,MAX(0.1,Skills!D15-IF(Skills!E15=TRUE,Inputs!$B$32,0))),0)</f>
        <v/>
      </c>
      <c r="R136">
        <f>IF(AND(Inputs!$B$38&lt;&gt;"pvp",Inputs!$B$43&gt;0),IF(Inputs!$B$43&lt;=0,0,(INT(Inputs!$B$43/IF(Inputs!$B$38="pvp",15,MAX(0.1,Skills!D15-IF(Skills!E15=TRUE,Inputs!$B$32,0))))+1)),0)</f>
        <v/>
      </c>
      <c r="S136">
        <f>IFERROR(O136/N136,0)</f>
        <v/>
      </c>
    </row>
    <row r="137">
      <c r="A137">
        <f>Skills!A16</f>
        <v/>
      </c>
      <c r="B137">
        <f>Skills!B16</f>
        <v/>
      </c>
      <c r="C137">
        <f>Inputs!$B$3&gt;=115</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Skills!G16*IF(Skills!H16&gt;0,Skills!I16/Skills!H16,1)</f>
        <v/>
      </c>
      <c r="H137">
        <f>1-(1-Skills!J16/100)^Skills!K16</f>
        <v/>
      </c>
      <c r="I137" t="inlineStr">
        <is>
          <t>1</t>
        </is>
      </c>
      <c r="J137" t="inlineStr"/>
      <c r="K137" t="inlineStr"/>
      <c r="L137" t="inlineStr"/>
      <c r="M137" t="inlineStr"/>
      <c r="N137" t="inlineStr"/>
      <c r="O137" t="n">
        <v>0</v>
      </c>
      <c r="P137">
        <f>IF(B162=0,0,O137/B162)</f>
        <v/>
      </c>
      <c r="Q137">
        <f>IFERROR(1/IF(Inputs!$B$38="pvp",15,MAX(0.1,Skills!D16-IF(Skills!E16=TRUE,Inputs!$B$32,0))),0)</f>
        <v/>
      </c>
      <c r="R137">
        <f>IF(AND(Inputs!$B$38&lt;&gt;"pvp",Inputs!$B$43&gt;0),IF(Inputs!$B$43&lt;=0,0,(INT(Inputs!$B$43/IF(Inputs!$B$38="pvp",15,MAX(0.1,Skills!D16-IF(Skills!E16=TRUE,Inputs!$B$32,0))))+1)),0)</f>
        <v/>
      </c>
      <c r="S137">
        <f>IFERROR(O137/N137,0)</f>
        <v/>
      </c>
    </row>
    <row r="138">
      <c r="A138">
        <f>Skills!A17</f>
        <v/>
      </c>
      <c r="B138">
        <f>Skills!B17</f>
        <v/>
      </c>
      <c r="C138">
        <f>Inputs!$B$3&gt;=66</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Skills!G17*IF(Skills!H17&gt;0,Skills!I17/Skills!H17,1)</f>
        <v/>
      </c>
      <c r="H138">
        <f>1-(1-Skills!J17/100)^Skills!K17</f>
        <v/>
      </c>
      <c r="I138" t="inlineStr">
        <is>
          <t>1</t>
        </is>
      </c>
      <c r="J138" t="inlineStr"/>
      <c r="K138" t="inlineStr"/>
      <c r="L138" t="inlineStr"/>
      <c r="M138" t="inlineStr"/>
      <c r="N138" t="inlineStr"/>
      <c r="O138" t="n">
        <v>0</v>
      </c>
      <c r="P138">
        <f>IF(B162=0,0,O138/B162)</f>
        <v/>
      </c>
      <c r="Q138" t="n">
        <v>0</v>
      </c>
      <c r="R138" t="n">
        <v>0</v>
      </c>
      <c r="S138">
        <f>IFERROR(O138/N138,0)</f>
        <v/>
      </c>
    </row>
    <row r="139">
      <c r="A139">
        <f>Skills!A18</f>
        <v/>
      </c>
      <c r="B139">
        <f>Skills!B18</f>
        <v/>
      </c>
      <c r="C139">
        <f>Inputs!$B$3&gt;=72</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Skills!G18*IF(Skills!H18&gt;0,Skills!I18/Skills!H18,1)</f>
        <v/>
      </c>
      <c r="H139">
        <f>1-(1-Skills!J18/100)^Skills!K18</f>
        <v/>
      </c>
      <c r="I139" t="inlineStr">
        <is>
          <t>1</t>
        </is>
      </c>
      <c r="J139" t="inlineStr"/>
      <c r="K139" t="inlineStr"/>
      <c r="L139" t="inlineStr"/>
      <c r="M139" t="inlineStr"/>
      <c r="N139" t="inlineStr"/>
      <c r="O139" t="n">
        <v>0</v>
      </c>
      <c r="P139">
        <f>IF(B162=0,0,O139/B162)</f>
        <v/>
      </c>
      <c r="Q139" t="n">
        <v>0</v>
      </c>
      <c r="R139" t="n">
        <v>0</v>
      </c>
      <c r="S139">
        <f>IFERROR(O139/N139,0)</f>
        <v/>
      </c>
    </row>
    <row r="140">
      <c r="A140">
        <f>Skills!A19</f>
        <v/>
      </c>
      <c r="B140">
        <f>Skills!B19</f>
        <v/>
      </c>
      <c r="C140">
        <f>TRUE</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Skills!G19*IF(Skills!H19&gt;0,Skills!I19/Skills!H19,1)</f>
        <v/>
      </c>
      <c r="H140">
        <f>1-(1-Skills!J19/100)^Skills!K19</f>
        <v/>
      </c>
      <c r="I140" t="inlineStr">
        <is>
          <t>1</t>
        </is>
      </c>
      <c r="J140" t="inlineStr"/>
      <c r="K140" t="inlineStr"/>
      <c r="L140" t="inlineStr"/>
      <c r="M140" t="inlineStr"/>
      <c r="N140" t="inlineStr"/>
      <c r="O140" t="n">
        <v>0</v>
      </c>
      <c r="P140">
        <f>IF(B162=0,0,O140/B162)</f>
        <v/>
      </c>
      <c r="Q140">
        <f>IFERROR(1/IF(Inputs!$B$38="pvp",15,MAX(0.1,Skills!D19-IF(Skills!E19=TRUE,Inputs!$B$32,0))),0)</f>
        <v/>
      </c>
      <c r="R140">
        <f>IF(AND(Inputs!$B$38&lt;&gt;"pvp",Inputs!$B$43&gt;0),IF(Inputs!$B$43&lt;=0,0,(INT(Inputs!$B$43/IF(Inputs!$B$38="pvp",15,MAX(0.1,Skills!D19-IF(Skills!E19=TRUE,Inputs!$B$32,0))))+1)),0)</f>
        <v/>
      </c>
      <c r="S140">
        <f>IFERROR(O140/N140,0)</f>
        <v/>
      </c>
    </row>
    <row r="141">
      <c r="A141">
        <f>Skills!A20</f>
        <v/>
      </c>
      <c r="B141">
        <f>Skills!B20</f>
        <v/>
      </c>
      <c r="C141">
        <f>Inputs!$B$3&gt;=15</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Skills!G20*IF(Skills!H20&gt;0,Skills!I20/Skills!H20,1)</f>
        <v/>
      </c>
      <c r="H141">
        <f>1-(1-Skills!J20/100)^Skills!K20</f>
        <v/>
      </c>
      <c r="I141" t="inlineStr">
        <is>
          <t>1</t>
        </is>
      </c>
      <c r="J141" t="inlineStr"/>
      <c r="K141" t="inlineStr"/>
      <c r="L141" t="inlineStr"/>
      <c r="M141" t="inlineStr"/>
      <c r="N141" t="inlineStr"/>
      <c r="O141" t="n">
        <v>0</v>
      </c>
      <c r="P141">
        <f>IF(B162=0,0,O141/B162)</f>
        <v/>
      </c>
      <c r="Q141" t="n">
        <v>0</v>
      </c>
      <c r="R141" t="n">
        <v>0</v>
      </c>
      <c r="S141">
        <f>IFERROR(O141/N141,0)</f>
        <v/>
      </c>
    </row>
    <row r="142">
      <c r="A142">
        <f>Skills!A21</f>
        <v/>
      </c>
      <c r="B142">
        <f>Skills!B21</f>
        <v/>
      </c>
      <c r="C142">
        <f>Inputs!$B$3&gt;=10</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Skills!G21*IF(Skills!H21&gt;0,Skills!I21/Skills!H21,1)</f>
        <v/>
      </c>
      <c r="H142">
        <f>1-(1-Skills!J21/100)^Skills!K21</f>
        <v/>
      </c>
      <c r="I142" t="inlineStr">
        <is>
          <t>1</t>
        </is>
      </c>
      <c r="J142" t="inlineStr"/>
      <c r="K142" t="inlineStr"/>
      <c r="L142" t="inlineStr"/>
      <c r="M142" t="inlineStr"/>
      <c r="N142" t="inlineStr"/>
      <c r="O142" t="n">
        <v>0</v>
      </c>
      <c r="P142">
        <f>IF(B162=0,0,O142/B162)</f>
        <v/>
      </c>
      <c r="Q142" t="n">
        <v>0</v>
      </c>
      <c r="R142" t="n">
        <v>0</v>
      </c>
      <c r="S142">
        <f>IFERROR(O142/N142,0)</f>
        <v/>
      </c>
    </row>
    <row r="143">
      <c r="A143">
        <f>Skills!A22</f>
        <v/>
      </c>
      <c r="B143">
        <f>Skills!B22</f>
        <v/>
      </c>
      <c r="C143">
        <f>Inputs!$B$3&gt;=33</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Skills!G22*IF(Skills!H22&gt;0,Skills!I22/Skills!H22,1)</f>
        <v/>
      </c>
      <c r="H143">
        <f>1-(1-Skills!J22/100)^Skills!K22</f>
        <v/>
      </c>
      <c r="I143" t="inlineStr">
        <is>
          <t>1</t>
        </is>
      </c>
      <c r="J143" t="inlineStr"/>
      <c r="K143" t="inlineStr"/>
      <c r="L143" t="inlineStr"/>
      <c r="M143" t="inlineStr"/>
      <c r="N143" t="inlineStr"/>
      <c r="O143" t="n">
        <v>0</v>
      </c>
      <c r="P143">
        <f>IF(B162=0,0,O143/B162)</f>
        <v/>
      </c>
      <c r="Q143" t="n">
        <v>0</v>
      </c>
      <c r="R143" t="n">
        <v>0</v>
      </c>
      <c r="S143">
        <f>IFERROR(O143/N143,0)</f>
        <v/>
      </c>
    </row>
    <row r="144">
      <c r="A144">
        <f>Skills!A23</f>
        <v/>
      </c>
      <c r="B144">
        <f>Skills!B23</f>
        <v/>
      </c>
      <c r="C144">
        <f>Inputs!$B$3&gt;=38</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Skills!G23*IF(Skills!H23&gt;0,Skills!I23/Skills!H23,1)</f>
        <v/>
      </c>
      <c r="H144">
        <f>1-(1-Skills!J23/100)^Skills!K23</f>
        <v/>
      </c>
      <c r="I144" t="inlineStr">
        <is>
          <t>1</t>
        </is>
      </c>
      <c r="J144" t="inlineStr"/>
      <c r="K144" t="inlineStr"/>
      <c r="L144" t="inlineStr"/>
      <c r="M144" t="inlineStr"/>
      <c r="N144" t="inlineStr"/>
      <c r="O144" t="n">
        <v>0</v>
      </c>
      <c r="P144">
        <f>IF(B162=0,0,O144/B162)</f>
        <v/>
      </c>
      <c r="Q144" t="n">
        <v>0</v>
      </c>
      <c r="R144" t="n">
        <v>0</v>
      </c>
      <c r="S144">
        <f>IFERROR(O144/N144,0)</f>
        <v/>
      </c>
    </row>
    <row r="145">
      <c r="A145">
        <f>Skills!A24</f>
        <v/>
      </c>
      <c r="B145">
        <f>Skills!B24</f>
        <v/>
      </c>
      <c r="C145">
        <f>Inputs!$B$3&gt;=43</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Skills!G24*IF(Skills!H24&gt;0,Skills!I24/Skills!H24,1)</f>
        <v/>
      </c>
      <c r="H145">
        <f>1-(1-Skills!J24/100)^Skills!K24</f>
        <v/>
      </c>
      <c r="I145" t="inlineStr">
        <is>
          <t>1</t>
        </is>
      </c>
      <c r="J145" t="inlineStr"/>
      <c r="K145" t="inlineStr"/>
      <c r="L145" t="inlineStr"/>
      <c r="M145" t="inlineStr"/>
      <c r="N145" t="inlineStr"/>
      <c r="O145" t="n">
        <v>0</v>
      </c>
      <c r="P145">
        <f>IF(B162=0,0,O145/B162)</f>
        <v/>
      </c>
      <c r="Q145" t="n">
        <v>0</v>
      </c>
      <c r="R145" t="n">
        <v>0</v>
      </c>
      <c r="S145">
        <f>IFERROR(O145/N145,0)</f>
        <v/>
      </c>
    </row>
    <row r="146">
      <c r="A146">
        <f>Skills!A25</f>
        <v/>
      </c>
      <c r="B146">
        <f>Skills!B25</f>
        <v/>
      </c>
      <c r="C146">
        <f>Inputs!$B$3&gt;=75</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Skills!G25*IF(Skills!H25&gt;0,Skills!I25/Skills!H25,1)</f>
        <v/>
      </c>
      <c r="H146">
        <f>1-(1-Skills!J25/100)^Skills!K25</f>
        <v/>
      </c>
      <c r="I146" t="inlineStr">
        <is>
          <t>1</t>
        </is>
      </c>
      <c r="J146" t="inlineStr"/>
      <c r="K146" t="inlineStr"/>
      <c r="L146" t="inlineStr"/>
      <c r="M146" t="inlineStr"/>
      <c r="N146" t="inlineStr"/>
      <c r="O146" t="n">
        <v>0</v>
      </c>
      <c r="P146">
        <f>IF(B162=0,0,O146/B162)</f>
        <v/>
      </c>
      <c r="Q146" t="n">
        <v>0</v>
      </c>
      <c r="R146" t="n">
        <v>0</v>
      </c>
      <c r="S146">
        <f>IFERROR(O146/N146,0)</f>
        <v/>
      </c>
    </row>
    <row r="147">
      <c r="A147">
        <f>Skills!A26</f>
        <v/>
      </c>
      <c r="B147">
        <f>Skills!B26</f>
        <v/>
      </c>
      <c r="C147">
        <f>Inputs!$B$3&gt;=125</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Skills!G26*IF(Skills!H26&gt;0,Skills!I26/Skills!H26,1)</f>
        <v/>
      </c>
      <c r="H147">
        <f>1-(1-Skills!J26/100)^Skills!K26</f>
        <v/>
      </c>
      <c r="I147" t="inlineStr">
        <is>
          <t>1</t>
        </is>
      </c>
      <c r="J147" t="inlineStr"/>
      <c r="K147" t="inlineStr"/>
      <c r="L147" t="inlineStr"/>
      <c r="M147" t="inlineStr"/>
      <c r="N147" t="inlineStr"/>
      <c r="O147" t="n">
        <v>0</v>
      </c>
      <c r="P147">
        <f>IF(B162=0,0,O147/B162)</f>
        <v/>
      </c>
      <c r="Q147" t="n">
        <v>0</v>
      </c>
      <c r="R147" t="n">
        <v>0</v>
      </c>
      <c r="S147">
        <f>IFERROR(O147/N147,0)</f>
        <v/>
      </c>
    </row>
    <row r="148">
      <c r="A148">
        <f>Skills!A27</f>
        <v/>
      </c>
      <c r="B148">
        <f>Skills!B27</f>
        <v/>
      </c>
      <c r="C148">
        <f>Inputs!$B$3&gt;=125</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Skills!G27*IF(Skills!H27&gt;0,Skills!I27/Skills!H27,1)</f>
        <v/>
      </c>
      <c r="H148">
        <f>1-(1-Skills!J27/100)^Skills!K27</f>
        <v/>
      </c>
      <c r="I148" t="inlineStr">
        <is>
          <t>1</t>
        </is>
      </c>
      <c r="J148" t="inlineStr"/>
      <c r="K148" t="inlineStr"/>
      <c r="L148" t="inlineStr"/>
      <c r="M148" t="inlineStr"/>
      <c r="N148" t="inlineStr"/>
      <c r="O148" t="n">
        <v>0</v>
      </c>
      <c r="P148">
        <f>IF(B162=0,0,O148/B162)</f>
        <v/>
      </c>
      <c r="Q148" t="n">
        <v>0</v>
      </c>
      <c r="R148" t="n">
        <v>0</v>
      </c>
      <c r="S148">
        <f>IFERROR(O148/N148,0)</f>
        <v/>
      </c>
    </row>
    <row r="149">
      <c r="A149">
        <f>Skills!A28</f>
        <v/>
      </c>
      <c r="B149">
        <f>Skills!B28</f>
        <v/>
      </c>
      <c r="C149">
        <f>Inputs!$B$3&gt;=120</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Skills!G28*IF(Skills!H28&gt;0,Skills!I28/Skills!H28,1)</f>
        <v/>
      </c>
      <c r="H149">
        <f>1-(1-Skills!J28/100)^Skills!K28</f>
        <v/>
      </c>
      <c r="I149" t="inlineStr">
        <is>
          <t>1</t>
        </is>
      </c>
      <c r="J149" t="inlineStr"/>
      <c r="K149" t="inlineStr"/>
      <c r="L149" t="inlineStr"/>
      <c r="M149" t="inlineStr"/>
      <c r="N149" t="inlineStr"/>
      <c r="O149" t="n">
        <v>0</v>
      </c>
      <c r="P149">
        <f>IF(B162=0,0,O149/B162)</f>
        <v/>
      </c>
      <c r="Q149" t="n">
        <v>0</v>
      </c>
      <c r="R149" t="n">
        <v>0</v>
      </c>
      <c r="S149">
        <f>IFERROR(O149/N149,0)</f>
        <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Skills!G29*IF(Skills!H29&gt;0,Skills!I29/Skills!H29,1)</f>
        <v/>
      </c>
      <c r="H150">
        <f>1-(1-Skills!J29/100)^Skills!K29</f>
        <v/>
      </c>
      <c r="I150" t="inlineStr">
        <is>
          <t>1</t>
        </is>
      </c>
      <c r="J150" t="inlineStr"/>
      <c r="K150" t="inlineStr"/>
      <c r="L150" t="inlineStr"/>
      <c r="M150" t="inlineStr"/>
      <c r="N150" t="inlineStr"/>
      <c r="O150" t="n">
        <v>0</v>
      </c>
      <c r="P150">
        <f>IF(B162=0,0,O150/B162)</f>
        <v/>
      </c>
      <c r="Q150" t="n">
        <v>0</v>
      </c>
      <c r="R150" t="n">
        <v>0</v>
      </c>
      <c r="S150">
        <f>IFERROR(O150/N150,0)</f>
        <v/>
      </c>
    </row>
    <row r="151">
      <c r="A151">
        <f>Skills!A30</f>
        <v/>
      </c>
      <c r="B151">
        <f>Skills!B30</f>
        <v/>
      </c>
      <c r="C151">
        <f>Inputs!$B$3&gt;=45</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Skills!G30*IF(Skills!H30&gt;0,Skills!I30/Skills!H30,1)</f>
        <v/>
      </c>
      <c r="H151">
        <f>1-(1-Skills!J30/100)^Skills!K30</f>
        <v/>
      </c>
      <c r="I151" t="inlineStr">
        <is>
          <t>1</t>
        </is>
      </c>
      <c r="J151" t="inlineStr"/>
      <c r="K151" t="inlineStr"/>
      <c r="L151" t="inlineStr"/>
      <c r="M151" t="inlineStr"/>
      <c r="N151" t="inlineStr"/>
      <c r="O151" t="n">
        <v>0</v>
      </c>
      <c r="P151">
        <f>IF(B162=0,0,O151/B162)</f>
        <v/>
      </c>
      <c r="Q151" t="n">
        <v>0</v>
      </c>
      <c r="R151" t="n">
        <v>0</v>
      </c>
      <c r="S151">
        <f>IFERROR(O151/N151,0)</f>
        <v/>
      </c>
    </row>
    <row r="153">
      <c r="A153" t="inlineStr">
        <is>
          <t>Attack% Bucket Multiplier</t>
        </is>
      </c>
      <c r="B153">
        <f>(1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f>
        <v/>
      </c>
    </row>
    <row r="154">
      <c r="A154" t="inlineStr">
        <is>
          <t>Global Crit Rate Bonus %</t>
        </is>
      </c>
      <c r="B154">
        <f>(C137=TRUE)*20*IF(AND(Inputs!$B$38&lt;&gt;"pvp",Inputs!$B$43&gt;0),(((R137-1)*(Skills!T16*(1+Inputs!$B$34/100))+MIN((Skills!T16*(1+Inputs!$B$34/100)),MAX(0,Inputs!$B$43-((R137-1)*Skills!D16))))/Inputs!$B$43),IF(Inputs!$B$38="pvp",MIN((Skills!T16*(1+Inputs!$B$34/100)),15)/15,(Skills!T16*(1+Inputs!$B$34/100))/Skills!D16))</f>
        <v/>
      </c>
    </row>
    <row r="155">
      <c r="A155" t="inlineStr">
        <is>
          <t>Attack Speed Buff Bonus %</t>
        </is>
      </c>
      <c r="B155">
        <f>((C140=TRUE)*F140*IF(AND(Inputs!$B$38&lt;&gt;"pvp",Inputs!$B$43&gt;0),(((R140-1)*(Skills!T19*(1+Inputs!$B$34/100))+MIN((Skills!T19*(1+Inputs!$B$34/100)),MAX(0,Inputs!$B$43-((R140-1)*Skills!D19))))/Inputs!$B$43),IF(Inputs!$B$38="pvp",MIN((Skills!T19*(1+Inputs!$B$34/100)),15)/15,(Skills!T19*(1+Inputs!$B$34/100))/Skills!D19)))</f>
        <v/>
      </c>
    </row>
    <row r="156">
      <c r="A156" t="inlineStr">
        <is>
          <t>Actions Per Second</t>
        </is>
      </c>
      <c r="B156">
        <f>1+MIN(150,150*(1-(1-(Inputs!$B$11+((C142=TRUE)*(F142-Calc!F21))+((C143=TRUE)*(F143-Calc!F22)))/150)*(1-B155/150)))/100</f>
        <v/>
      </c>
    </row>
    <row r="157">
      <c r="A157" t="inlineStr">
        <is>
          <t>Skill + Buff Cast Rate</t>
        </is>
      </c>
      <c r="B157">
        <f>IF(AND(Inputs!$B$38&lt;&gt;"pvp",Inputs!$B$43&gt;0),SUMPRODUCT((Skills!E2:E30=TRUE)*(C123:C151=TRUE)*R123:R151*Skills!F2:F30)/Inputs!$B$43,SUMPRODUCT((Skills!E2:E30=TRUE)*(C123:C151=TRUE)*Q123:Q151*Skills!F2:F30))</f>
        <v/>
      </c>
    </row>
    <row r="158">
      <c r="A158" t="inlineStr">
        <is>
          <t>Arrow Stream Casts Per Second</t>
        </is>
      </c>
      <c r="B158">
        <f>MAX(0,B156-B157)</f>
        <v/>
      </c>
    </row>
    <row r="159">
      <c r="A159" t="inlineStr">
        <is>
          <t>Global Critical Damage Bonus % (Sharp Eyes + Concentration)</t>
        </is>
      </c>
      <c r="B159">
        <f>(C137=TRUE)*F137*IF(AND(Inputs!$B$38&lt;&gt;"pvp",Inputs!$B$43&gt;0),(((R137-1)*(Skills!T16*(1+Inputs!$B$34/100))+MIN((Skills!T16*(1+Inputs!$B$34/100)),MAX(0,Inputs!$B$43-((R137-1)*Skills!D16))))/Inputs!$B$43),IF(Inputs!$B$38="pvp",MIN((Skills!T16*(1+Inputs!$B$34/100)),15)/15,(Skills!T16*(1+Inputs!$B$34/100))/Skills!D16))+(C138=TRUE)*30</f>
        <v/>
      </c>
    </row>
    <row r="160">
      <c r="A160" t="inlineStr">
        <is>
          <t>Global Final Damage Bonus % (Mortal Blow)</t>
        </is>
      </c>
      <c r="B160">
        <f>(C139=TRUE)*F139</f>
        <v/>
      </c>
    </row>
    <row r="161">
      <c r="A161" t="inlineStr">
        <is>
          <t>Buff-Casting Startup Delay (s, fixed-duration only)</t>
        </is>
      </c>
      <c r="B161">
        <f>IF(AND(Inputs!$B$38&lt;&gt;"pvp",Inputs!$B$43&gt;0),SUMPRODUCT((Skills!T2:T30&gt;0)*(Skills!E2:E30=TRUE)*(C123:C151=TRUE))/B156,0)</f>
        <v/>
      </c>
    </row>
    <row r="162">
      <c r="A162" s="5" t="inlineStr">
        <is>
          <t>TOTAL DPS</t>
        </is>
      </c>
      <c r="B162" s="5">
        <f>SUM(O123:O151)</f>
        <v/>
      </c>
    </row>
    <row r="165">
      <c r="A165" s="5" t="inlineStr">
        <is>
          <t>Stat: DAMAGE %</t>
        </is>
      </c>
    </row>
    <row r="166">
      <c r="A166" s="9" t="inlineStr">
        <is>
          <t>Key</t>
        </is>
      </c>
      <c r="B166" s="9" t="inlineStr">
        <is>
          <t>Name</t>
        </is>
      </c>
      <c r="C166" s="9" t="inlineStr">
        <is>
          <t>Unlocked</t>
        </is>
      </c>
      <c r="D166" s="9" t="inlineStr">
        <is>
          <t>InputLevel</t>
        </is>
      </c>
      <c r="E166" s="9" t="inlineStr">
        <is>
          <t>Factor</t>
        </is>
      </c>
      <c r="F166" s="9" t="inlineStr">
        <is>
          <t>CoefficientPercent</t>
        </is>
      </c>
      <c r="G166" s="9" t="inlineStr">
        <is>
          <t>EffectiveHits</t>
        </is>
      </c>
      <c r="H166" s="9" t="inlineStr">
        <is>
          <t>ProcProbability</t>
        </is>
      </c>
      <c r="I166" s="9" t="inlineStr">
        <is>
          <t>MapleHeroMultiplier</t>
        </is>
      </c>
      <c r="J166" s="9" t="inlineStr">
        <is>
          <t>BaseDamage</t>
        </is>
      </c>
      <c r="K166" s="9" t="inlineStr">
        <is>
          <t>BaseHitDamage</t>
        </is>
      </c>
      <c r="L166" s="9" t="inlineStr">
        <is>
          <t>NonCritAvg</t>
        </is>
      </c>
      <c r="M166" s="9" t="inlineStr">
        <is>
          <t>CritAvg</t>
        </is>
      </c>
      <c r="N166" s="9" t="inlineStr">
        <is>
          <t>ExpectedDamage(perHit)</t>
        </is>
      </c>
      <c r="O166" s="9" t="inlineStr">
        <is>
          <t>DPS</t>
        </is>
      </c>
      <c r="P166" s="9" t="inlineStr">
        <is>
          <t>% of Total</t>
        </is>
      </c>
      <c r="Q166" s="9" t="inlineStr">
        <is>
          <t>InvCooldown</t>
        </is>
      </c>
      <c r="R166" s="9" t="inlineStr">
        <is>
          <t>CastsInFight</t>
        </is>
      </c>
      <c r="S166" s="9" t="inlineStr">
        <is>
          <t>HitRate(perSec)</t>
        </is>
      </c>
      <c r="U166" t="inlineStr">
        <is>
          <t>helpers</t>
        </is>
      </c>
    </row>
    <row r="167">
      <c r="A167">
        <f>Skills!A2</f>
        <v/>
      </c>
      <c r="B167">
        <f>Skills!B2</f>
        <v/>
      </c>
      <c r="C167">
        <f>Inputs!$B$3&gt;=100</f>
        <v/>
      </c>
      <c r="D167" t="inlineStr"/>
      <c r="E167" t="inlineStr"/>
      <c r="F167">
        <f>U169+Skills!O2</f>
        <v/>
      </c>
      <c r="G167">
        <f>Skills!G2*IF(Skills!H2&gt;0,Skills!I2/Skills!H2,1)</f>
        <v/>
      </c>
      <c r="H167">
        <f>1-(1-Skills!J2/100)^Skills!K2</f>
        <v/>
      </c>
      <c r="I167" t="inlineStr">
        <is>
          <t>1</t>
        </is>
      </c>
      <c r="J167">
        <f>((Inputs!$B$6*(1+Inputs!$B$7/100))+(((Inputs!$B$12*(1+Inputs!$B$13/100))-(Inputs!$B$12*(1+Inputs!$B$13/100)))+0.25*(Inputs!$B$14-Inputs!$B$14))*(1+Inputs!$B$7/100))*(F167/100)</f>
        <v/>
      </c>
      <c r="K167">
        <f>J167*(1+((Inputs!$B$12*(1+Inputs!$B$13/100))*0.01+Inputs!$B$14*0.0025)/100)*(1+(Inputs!$B$15+1)/100)*(1+IF(Inputs!$B$38="pvp",0,(1-Summary!$B$55)*(Inputs!$B$20+0+Skills!P2)+Summary!$B$55*(Inputs!$B$21+Skills!Q2))/100)*(1+Inputs!$B$16/100)*(5000/(6000+Inputs!$B$42*(1-(Inputs!$B$19+((C192=TRUE)*(F192-Calc!F27)))/100)))*(1+(Inputs!$B$24+((C190=TRUE)*(F190-Calc!F25))+((C191=TRUE)*(F191-Calc!F26))+B204)/100)*(1+(IF(Skills!A2="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167)</f>
        <v/>
      </c>
      <c r="L167">
        <f>K167*(MIN(Inputs!$B$22+((C189=TRUE)*(F189-Calc!F24)),Inputs!$B$23+((C194=TRUE)*(F194-Calc!F29)))/100+(Inputs!$B$23+((C194=TRUE)*(F194-Calc!F29)))/100)/2</f>
        <v/>
      </c>
      <c r="M167">
        <f>L167*(1+(Inputs!$B$10+0+B203)/100)</f>
        <v/>
      </c>
      <c r="N167">
        <f>L167*(1-MIN((Inputs!$B$9+((C185=TRUE)*(F185-Calc!F20))+B198),100)/100)+M167*(MIN((Inputs!$B$9+((C185=TRUE)*(F185-Calc!F20))+B198),100)/100)</f>
        <v/>
      </c>
      <c r="O167">
        <f>IF(C167,Skills!G2*N167*B202*IF(Inputs!$B$38="pvp",1,(1-Summary!$B$55)*(1)+Summary!$B$55*(MIN((6+Inputs!$B$33),Inputs!$B$37))),0)</f>
        <v/>
      </c>
      <c r="P167">
        <f>IF(B206=0,0,O167/B206)</f>
        <v/>
      </c>
      <c r="Q167" t="n">
        <v>0</v>
      </c>
      <c r="R167" t="n">
        <v>0</v>
      </c>
      <c r="S167">
        <f>IFERROR(O167/N167,0)</f>
        <v/>
      </c>
      <c r="U167">
        <f>MAX(0,(Inputs!$B$3-100)*3)+Inputs!$B$28+Inputs!$B$29</f>
        <v/>
      </c>
    </row>
    <row r="168">
      <c r="A168">
        <f>Skills!A3</f>
        <v/>
      </c>
      <c r="B168">
        <f>Skills!B3</f>
        <v/>
      </c>
      <c r="C168">
        <f>Inputs!$B$3&gt;=50</f>
        <v/>
      </c>
      <c r="D168">
        <f>IF(Skills!C3=1,60+Inputs!$B$25+Inputs!$B$29,IF(Skills!C3=2,90+Inputs!$B$26+Inputs!$B$29,IF(Skills!C3=3,120+Inputs!$B$27+Inputs!$B$29,MAX(0,(Inputs!$B$3-100)*3)+Inputs!$B$28+Inputs!$B$29)))</f>
        <v/>
      </c>
      <c r="E168">
        <f>INDEX(FactorTable!$B$2:$Y$301, MATCH(ROUND(MIN(300,MAX(1,D168)),0), FactorTable!$A$2:$A$301,0), Skills!M3+1)</f>
        <v/>
      </c>
      <c r="F168">
        <f>IF(Skills!N3=TRUE,(Skills!L3/10)*(E168/1000),Skills!L3/10)+Skills!O3</f>
        <v/>
      </c>
      <c r="G168" t="inlineStr"/>
      <c r="H168" t="inlineStr"/>
      <c r="I168" t="inlineStr">
        <is>
          <t>1</t>
        </is>
      </c>
      <c r="J168" t="inlineStr"/>
      <c r="K168" t="inlineStr"/>
      <c r="L168" t="inlineStr"/>
      <c r="M168" t="inlineStr"/>
      <c r="N168" t="inlineStr"/>
      <c r="O168" t="inlineStr"/>
      <c r="P168" t="inlineStr"/>
      <c r="Q168" t="inlineStr"/>
      <c r="R168" t="inlineStr"/>
      <c r="S168" t="inlineStr"/>
      <c r="U168">
        <f>INDEX(FactorTable!$B$2:$Y$301, MATCH(ROUND(MIN(300,MAX(1,U167)),0), FactorTable!$A$2:$A$301,0), 22)</f>
        <v/>
      </c>
    </row>
    <row r="169">
      <c r="A169">
        <f>Skills!A4</f>
        <v/>
      </c>
      <c r="B169">
        <f>Skills!B4</f>
        <v/>
      </c>
      <c r="C169">
        <f>Inputs!$B$3&gt;=105</f>
        <v/>
      </c>
      <c r="D169">
        <f>IF(Skills!C4=1,60+Inputs!$B$25+Inputs!$B$29,IF(Skills!C4=2,90+Inputs!$B$26+Inputs!$B$29,IF(Skills!C4=3,120+Inputs!$B$27+Inputs!$B$29,MAX(0,(Inputs!$B$3-100)*3)+Inputs!$B$28+Inputs!$B$29)))</f>
        <v/>
      </c>
      <c r="E169">
        <f>INDEX(FactorTable!$B$2:$Y$301, MATCH(ROUND(MIN(300,MAX(1,D169)),0), FactorTable!$A$2:$A$301,0), Skills!M4+1)</f>
        <v/>
      </c>
      <c r="F169">
        <f>IF(Skills!N4=TRUE,(Skills!L4/10)*(E169/1000),Skills!L4/10)+Skills!O4</f>
        <v/>
      </c>
      <c r="G169" t="inlineStr"/>
      <c r="H169" t="inlineStr"/>
      <c r="I169" t="inlineStr">
        <is>
          <t>1</t>
        </is>
      </c>
      <c r="J169" t="inlineStr"/>
      <c r="K169" t="inlineStr"/>
      <c r="L169" t="inlineStr"/>
      <c r="M169" t="inlineStr"/>
      <c r="N169" t="inlineStr"/>
      <c r="O169" t="inlineStr"/>
      <c r="P169" t="inlineStr"/>
      <c r="Q169" t="inlineStr"/>
      <c r="R169" t="inlineStr"/>
      <c r="S169" t="inlineStr"/>
      <c r="U169">
        <f>290*U168/1000</f>
        <v/>
      </c>
    </row>
    <row r="170">
      <c r="A170">
        <f>Skills!A5</f>
        <v/>
      </c>
      <c r="B170">
        <f>Skills!B5</f>
        <v/>
      </c>
      <c r="C170">
        <f>Inputs!$B$3&gt;=35</f>
        <v/>
      </c>
      <c r="D170">
        <f>IF(Skills!C5=1,60+Inputs!$B$25+Inputs!$B$29,IF(Skills!C5=2,90+Inputs!$B$26+Inputs!$B$29,IF(Skills!C5=3,120+Inputs!$B$27+Inputs!$B$29,MAX(0,(Inputs!$B$3-100)*3)+Inputs!$B$28+Inputs!$B$29)))</f>
        <v/>
      </c>
      <c r="E170">
        <f>INDEX(FactorTable!$B$2:$Y$301, MATCH(ROUND(MIN(300,MAX(1,D170)),0), FactorTable!$A$2:$A$301,0), Skills!M5+1)</f>
        <v/>
      </c>
      <c r="F170">
        <f>IF(Skills!N5=TRUE,(Skills!L5/10)*(E170/1000),Skills!L5/10)+Skills!O5</f>
        <v/>
      </c>
      <c r="G170">
        <f>Skills!G5*IF(Skills!H5&gt;0,Skills!I5/Skills!H5,1)</f>
        <v/>
      </c>
      <c r="H170">
        <f>1-(1-Skills!J5/100)^Skills!K5</f>
        <v/>
      </c>
      <c r="I170" t="inlineStr">
        <is>
          <t>1</t>
        </is>
      </c>
      <c r="J170">
        <f>((Inputs!$B$6*(1+Inputs!$B$7/100))+(((Inputs!$B$12*(1+Inputs!$B$13/100))-(Inputs!$B$12*(1+Inputs!$B$13/100)))+0.25*(Inputs!$B$14-Inputs!$B$14))*(1+Inputs!$B$7/100))*(F170/100)</f>
        <v/>
      </c>
      <c r="K170">
        <f>J170*(1+((Inputs!$B$12*(1+Inputs!$B$13/100))*0.01+Inputs!$B$14*0.0025)/100)*(1+(Inputs!$B$15+1)/100)*(1+IF(Inputs!$B$38="pvp",0,(1-Summary!$B$55)*(Inputs!$B$20+0+Skills!P5)+Summary!$B$55*(Inputs!$B$21+Skills!Q5))/100)*(1+Inputs!$B$16/100)*(5000/(6000+Inputs!$B$42*(1-(Inputs!$B$19+((C192=TRUE)*(F192-Calc!F27)))/100)))*(1+(Inputs!$B$24+((C190=TRUE)*(F190-Calc!F25))+((C191=TRUE)*(F191-Calc!F26))+B204)/100)*(1+4.0*IF(C175=TRUE,F175,0)/100)*(1+(IF(Skills!A5="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170)</f>
        <v/>
      </c>
      <c r="L170">
        <f>K170*(MIN(Inputs!$B$22+((C189=TRUE)*(F189-Calc!F24)),Inputs!$B$23+((C194=TRUE)*(F194-Calc!F29)))/100+(Inputs!$B$23+((C194=TRUE)*(F194-Calc!F29)))/100)/2</f>
        <v/>
      </c>
      <c r="M170">
        <f>L170*(1+(Inputs!$B$10+0+B203)/100)</f>
        <v/>
      </c>
      <c r="N170">
        <f>L170*(1-MIN((Inputs!$B$9+((C185=TRUE)*(F185-Calc!F20))+B198),100)/100)+M170*(MIN((Inputs!$B$9+((C185=TRUE)*(F185-Calc!F20))+B198),100)/100)</f>
        <v/>
      </c>
      <c r="O170">
        <f>IF(C170,H170*N170*IF(AND(Inputs!$B$38&lt;&gt;"pvp",Inputs!$B$43&gt;0),((Skills!G5*((R170-1)*IF(Skills!H5&gt;0,Skills!I5/Skills!H5,1)+IF(Skills!H5&gt;0,MIN(Skills!I5,MAX(0,MAX(0,Inputs!$B$43-B205)-((R170-1)*IF(Inputs!$B$38="pvp",15,MAX(0.1,Skills!D5-IF(Skills!E5=TRUE,Inputs!$B$32,0))))))/Skills!H5,1)))/Inputs!$B$43),G170*Q170)*IF(Inputs!$B$38="pvp",1,(1-Summary!$B$55)*(1)+Summary!$B$55*(MIN(Skills!R5,Inputs!$B$37))),0)</f>
        <v/>
      </c>
      <c r="P170">
        <f>IF(B206=0,0,O170/B206)</f>
        <v/>
      </c>
      <c r="Q170">
        <f>IFERROR(1/IF(Inputs!$B$38="pvp",15,MAX(0.1,Skills!D5-IF(Skills!E5=TRUE,Inputs!$B$32,0))),0)</f>
        <v/>
      </c>
      <c r="R170">
        <f>IF(AND(Inputs!$B$38&lt;&gt;"pvp",Inputs!$B$43&gt;0),IF(MAX(0,Inputs!$B$43-B205)&lt;=0,0,(INT(MAX(0,Inputs!$B$43-B205)/IF(Inputs!$B$38="pvp",15,MAX(0.1,Skills!D5-IF(Skills!E5=TRUE,Inputs!$B$32,0))))+1)),0)</f>
        <v/>
      </c>
      <c r="S170">
        <f>IFERROR(O170/N170,0)</f>
        <v/>
      </c>
    </row>
    <row r="171">
      <c r="A171">
        <f>Skills!A6</f>
        <v/>
      </c>
      <c r="B171">
        <f>Skills!B6</f>
        <v/>
      </c>
      <c r="C171">
        <f>Inputs!$B$3&gt;=40</f>
        <v/>
      </c>
      <c r="D171">
        <f>IF(Skills!C6=1,60+Inputs!$B$25+Inputs!$B$29,IF(Skills!C6=2,90+Inputs!$B$26+Inputs!$B$29,IF(Skills!C6=3,120+Inputs!$B$27+Inputs!$B$29,MAX(0,(Inputs!$B$3-100)*3)+Inputs!$B$28+Inputs!$B$29)))</f>
        <v/>
      </c>
      <c r="E171">
        <f>INDEX(FactorTable!$B$2:$Y$301, MATCH(ROUND(MIN(300,MAX(1,D171)),0), FactorTable!$A$2:$A$301,0), Skills!M6+1)</f>
        <v/>
      </c>
      <c r="F171">
        <f>IF(Skills!N6=TRUE,(Skills!L6/10)*(E171/1000),Skills!L6/10)+Skills!O6</f>
        <v/>
      </c>
      <c r="G171">
        <f>Skills!G6*IF(Skills!H6&gt;0,Skills!I6/Skills!H6,1)</f>
        <v/>
      </c>
      <c r="H171">
        <f>1-(1-Skills!J6/100)^Skills!K6</f>
        <v/>
      </c>
      <c r="I171" t="inlineStr">
        <is>
          <t>1</t>
        </is>
      </c>
      <c r="J171">
        <f>((Inputs!$B$6*(1+Inputs!$B$7/100))+(((Inputs!$B$12*(1+Inputs!$B$13/100))-(Inputs!$B$12*(1+Inputs!$B$13/100)))+0.25*(Inputs!$B$14-Inputs!$B$14))*(1+Inputs!$B$7/100))*(F171/100)</f>
        <v/>
      </c>
      <c r="K171">
        <f>J171*(1+((Inputs!$B$12*(1+Inputs!$B$13/100))*0.01+Inputs!$B$14*0.0025)/100)*(1+(Inputs!$B$15+1)/100)*(1+IF(Inputs!$B$38="pvp",0,(1-Summary!$B$55)*(Inputs!$B$20+0+Skills!P6)+Summary!$B$55*(Inputs!$B$21+Skills!Q6))/100)*(1+Inputs!$B$16/100)*(5000/(6000+Inputs!$B$42*(1-(Inputs!$B$19+((C192=TRUE)*(F192-Calc!F27)))/100)))*(1+(Inputs!$B$24+((C190=TRUE)*(F190-Calc!F25))+((C191=TRUE)*(F191-Calc!F26))+B204)/100)*(1+IF(C172=TRUE,F172,0)/100)*(1+(IF(Skills!A6="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171)</f>
        <v/>
      </c>
      <c r="L171">
        <f>K171*(MIN(Inputs!$B$22+((C189=TRUE)*(F189-Calc!F24)),Inputs!$B$23+((C194=TRUE)*(F194-Calc!F29)))/100+(Inputs!$B$23+((C194=TRUE)*(F194-Calc!F29)))/100)/2</f>
        <v/>
      </c>
      <c r="M171">
        <f>L171*(1+(Inputs!$B$10+0+B203)/100)</f>
        <v/>
      </c>
      <c r="N171">
        <f>L171*(1-MIN((Inputs!$B$9+((C185=TRUE)*(F185-Calc!F20))+B198),100)/100)+M171*(MIN((Inputs!$B$9+((C185=TRUE)*(F185-Calc!F20))+B198),100)/100)</f>
        <v/>
      </c>
      <c r="O171">
        <f>IF(C171,H171*N171*IF(AND(Inputs!$B$38&lt;&gt;"pvp",Inputs!$B$43&gt;0),((Skills!G6*((R171-1)*IF(Skills!H6&gt;0,Skills!I6/Skills!H6,1)+IF(Skills!H6&gt;0,MIN(Skills!I6,MAX(0,MAX(0,Inputs!$B$43-B205)-((R171-1)*IF(Inputs!$B$38="pvp",15,MAX(0.1,Skills!D6-IF(Skills!E6=TRUE,Inputs!$B$32,0))))))/Skills!H6,1)))/Inputs!$B$43),G171*Q171)*IF(Inputs!$B$38="pvp",1,(1-Summary!$B$55)*(1)+Summary!$B$55*(MIN(Skills!R6,Inputs!$B$37))),0)</f>
        <v/>
      </c>
      <c r="P171">
        <f>IF(B206=0,0,O171/B206)</f>
        <v/>
      </c>
      <c r="Q171">
        <f>IFERROR(1/IF(Inputs!$B$38="pvp",15,MAX(0.1,Skills!D6-IF(Skills!E6=TRUE,Inputs!$B$32,0))),0)</f>
        <v/>
      </c>
      <c r="R171">
        <f>IF(AND(Inputs!$B$38&lt;&gt;"pvp",Inputs!$B$43&gt;0),IF(MAX(0,Inputs!$B$43-B205)&lt;=0,0,(INT(MAX(0,Inputs!$B$43-B205)/IF(Inputs!$B$38="pvp",15,MAX(0.1,Skills!D6-IF(Skills!E6=TRUE,Inputs!$B$32,0))))+1)),0)</f>
        <v/>
      </c>
      <c r="S171">
        <f>IFERROR(O171/N171,0)</f>
        <v/>
      </c>
    </row>
    <row r="172">
      <c r="A172">
        <f>Skills!A7</f>
        <v/>
      </c>
      <c r="B172">
        <f>Skills!B7</f>
        <v/>
      </c>
      <c r="C172">
        <f>Inputs!$B$3&gt;=107</f>
        <v/>
      </c>
      <c r="D172">
        <f>IF(Skills!C7=1,60+Inputs!$B$25+Inputs!$B$29,IF(Skills!C7=2,90+Inputs!$B$26+Inputs!$B$29,IF(Skills!C7=3,120+Inputs!$B$27+Inputs!$B$29,MAX(0,(Inputs!$B$3-100)*3)+Inputs!$B$28+Inputs!$B$29)))</f>
        <v/>
      </c>
      <c r="E172">
        <f>INDEX(FactorTable!$B$2:$Y$301, MATCH(ROUND(MIN(300,MAX(1,D172)),0), FactorTable!$A$2:$A$301,0), Skills!M7+1)</f>
        <v/>
      </c>
      <c r="F172">
        <f>IF(Skills!N7=TRUE,(Skills!L7/10)*(E172/1000),Skills!L7/10)+Skills!O7</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Skills!A8</f>
        <v/>
      </c>
      <c r="B173">
        <f>Skills!B8</f>
        <v/>
      </c>
      <c r="C173">
        <f>Inputs!$B$3&gt;=69</f>
        <v/>
      </c>
      <c r="D173">
        <f>IF(Skills!C8=1,60+Inputs!$B$25+Inputs!$B$29,IF(Skills!C8=2,90+Inputs!$B$26+Inputs!$B$29,IF(Skills!C8=3,120+Inputs!$B$27+Inputs!$B$29,MAX(0,(Inputs!$B$3-100)*3)+Inputs!$B$28+Inputs!$B$29)))</f>
        <v/>
      </c>
      <c r="E173">
        <f>INDEX(FactorTable!$B$2:$Y$301, MATCH(ROUND(MIN(300,MAX(1,D173)),0), FactorTable!$A$2:$A$301,0), Skills!M8+1)</f>
        <v/>
      </c>
      <c r="F173">
        <f>IF(Skills!N8=TRUE,(Skills!L8/10)*(E173/1000),Skills!L8/10)+Skills!O8</f>
        <v/>
      </c>
      <c r="G173">
        <f>Skills!G8*IF(Skills!H8&gt;0,Skills!I8/Skills!H8,1)</f>
        <v/>
      </c>
      <c r="H173">
        <f>1-(1-Skills!J8/100)^Skills!K8</f>
        <v/>
      </c>
      <c r="I173" t="inlineStr">
        <is>
          <t>1</t>
        </is>
      </c>
      <c r="J173">
        <f>((Inputs!$B$6*(1+Inputs!$B$7/100))+(((Inputs!$B$12*(1+Inputs!$B$13/100))-(Inputs!$B$12*(1+Inputs!$B$13/100)))+0.25*(Inputs!$B$14-Inputs!$B$14))*(1+Inputs!$B$7/100))*(F173/100)</f>
        <v/>
      </c>
      <c r="K173">
        <f>J173*(1+((Inputs!$B$12*(1+Inputs!$B$13/100))*0.01+Inputs!$B$14*0.0025)/100)*(1+(Inputs!$B$15+1)/100)*(1+IF(Inputs!$B$38="pvp",0,(1-Summary!$B$55)*(Inputs!$B$20+0+Skills!P8)+Summary!$B$55*(Inputs!$B$21+Skills!Q8))/100)*(1+Inputs!$B$16/100)*(5000/(6000+Inputs!$B$42*(1-(Inputs!$B$19+((C192=TRUE)*(F192-Calc!F27)))/100)))*(1+(Inputs!$B$24+((C190=TRUE)*(F190-Calc!F25))+((C191=TRUE)*(F191-Calc!F26))+B204)/100)*(1+1.2*IF(C175=TRUE,F175,0)/100)*(1+(IF(Skills!A8="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173)</f>
        <v/>
      </c>
      <c r="L173">
        <f>K173*(MIN(Inputs!$B$22+((C189=TRUE)*(F189-Calc!F24)),Inputs!$B$23+((C194=TRUE)*(F194-Calc!F29)))/100+(Inputs!$B$23+((C194=TRUE)*(F194-Calc!F29)))/100)/2</f>
        <v/>
      </c>
      <c r="M173">
        <f>L173*(1+(Inputs!$B$10+0+B203)/100)</f>
        <v/>
      </c>
      <c r="N173">
        <f>L173*(1-MIN((Inputs!$B$9+((C185=TRUE)*(F185-Calc!F20))+B198),100)/100)+M173*(MIN((Inputs!$B$9+((C185=TRUE)*(F185-Calc!F20))+B198),100)/100)</f>
        <v/>
      </c>
      <c r="O173">
        <f>IF(C173,H173*N173*IF(AND(Inputs!$B$38&lt;&gt;"pvp",Inputs!$B$43&gt;0),((Skills!G8*((R173-1)*IF(Skills!H8&gt;0,Skills!I8/Skills!H8,1)+IF(Skills!H8&gt;0,MIN(Skills!I8,MAX(0,MAX(0,Inputs!$B$43-B205)-((R173-1)*IF(Inputs!$B$38="pvp",15,MAX(0.1,Skills!D8-IF(Skills!E8=TRUE,Inputs!$B$32,0))))))/Skills!H8,1)))/Inputs!$B$43),G173*Q173)*IF(Inputs!$B$38="pvp",1,(1-Summary!$B$55)*(1)+Summary!$B$55*(MIN(Skills!R8,Inputs!$B$37))),0)</f>
        <v/>
      </c>
      <c r="P173">
        <f>IF(B206=0,0,O173/B206)</f>
        <v/>
      </c>
      <c r="Q173">
        <f>IFERROR(1/IF(Inputs!$B$38="pvp",15,MAX(0.1,Skills!D8-IF(Skills!E8=TRUE,Inputs!$B$32,0))),0)</f>
        <v/>
      </c>
      <c r="R173">
        <f>IF(AND(Inputs!$B$38&lt;&gt;"pvp",Inputs!$B$43&gt;0),IF(MAX(0,Inputs!$B$43-B205)&lt;=0,0,(INT(MAX(0,Inputs!$B$43-B205)/IF(Inputs!$B$38="pvp",15,MAX(0.1,Skills!D8-IF(Skills!E8=TRUE,Inputs!$B$32,0))))+1)),0)</f>
        <v/>
      </c>
      <c r="S173">
        <f>IFERROR(O173/N173,0)</f>
        <v/>
      </c>
    </row>
    <row r="174">
      <c r="A174">
        <f>Skills!A9</f>
        <v/>
      </c>
      <c r="B174">
        <f>Skills!B9</f>
        <v/>
      </c>
      <c r="C174">
        <f>Inputs!$B$3&gt;=63</f>
        <v/>
      </c>
      <c r="D174">
        <f>IF(Skills!C9=1,60+Inputs!$B$25+Inputs!$B$29,IF(Skills!C9=2,90+Inputs!$B$26+Inputs!$B$29,IF(Skills!C9=3,120+Inputs!$B$27+Inputs!$B$29,MAX(0,(Inputs!$B$3-100)*3)+Inputs!$B$28+Inputs!$B$29)))</f>
        <v/>
      </c>
      <c r="E174">
        <f>INDEX(FactorTable!$B$2:$Y$301, MATCH(ROUND(MIN(300,MAX(1,D174)),0), FactorTable!$A$2:$A$301,0), Skills!M9+1)</f>
        <v/>
      </c>
      <c r="F174">
        <f>IF(Skills!N9=TRUE,(Skills!L9/10)*(E174/1000),Skills!L9/10)+Skills!O9</f>
        <v/>
      </c>
      <c r="G174">
        <f>Skills!G9*IF(Skills!H9&gt;0,Skills!I9/Skills!H9,1)</f>
        <v/>
      </c>
      <c r="H174">
        <f>1-(1-Skills!J9/100)^Skills!K9</f>
        <v/>
      </c>
      <c r="I174" t="inlineStr">
        <is>
          <t>1</t>
        </is>
      </c>
      <c r="J174">
        <f>((Inputs!$B$6*(1+Inputs!$B$7/100))+(((Inputs!$B$12*(1+Inputs!$B$13/100))-(Inputs!$B$12*(1+Inputs!$B$13/100)))+0.25*(Inputs!$B$14-Inputs!$B$14))*(1+Inputs!$B$7/100))*(F174/100)</f>
        <v/>
      </c>
      <c r="K174">
        <f>J174*(1+((Inputs!$B$12*(1+Inputs!$B$13/100))*0.01+Inputs!$B$14*0.0025)/100)*(1+(Inputs!$B$15+1)/100)*(1+IF(Inputs!$B$38="pvp",0,(1-Summary!$B$55)*(Inputs!$B$20+0+Skills!P9)+Summary!$B$55*(Inputs!$B$21+Skills!Q9))/100)*(1+Inputs!$B$16/100)*(5000/(6000+Inputs!$B$42*(1-(Inputs!$B$19+((C192=TRUE)*(F192-Calc!F27)))/100)))*(1+(Inputs!$B$24+((C190=TRUE)*(F190-Calc!F25))+((C191=TRUE)*(F191-Calc!F26))+B204)/100)*(1+1.0*IF(C175=TRUE,F175,0)/100)*(1+(IF(Skills!A9="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174)</f>
        <v/>
      </c>
      <c r="L174">
        <f>K174*(MIN(Inputs!$B$22+((C189=TRUE)*(F189-Calc!F24)),Inputs!$B$23+((C194=TRUE)*(F194-Calc!F29)))/100+(Inputs!$B$23+((C194=TRUE)*(F194-Calc!F29)))/100)/2</f>
        <v/>
      </c>
      <c r="M174">
        <f>L174*(1+(Inputs!$B$10+0+B203)/100)</f>
        <v/>
      </c>
      <c r="N174">
        <f>L174*(1-MIN((Inputs!$B$9+((C185=TRUE)*(F185-Calc!F20))+B198),100)/100)+M174*(MIN((Inputs!$B$9+((C185=TRUE)*(F185-Calc!F20))+B198),100)/100)</f>
        <v/>
      </c>
      <c r="O174">
        <f>IF(C174,H174*N174*IF(AND(Inputs!$B$38&lt;&gt;"pvp",Inputs!$B$43&gt;0),((Skills!G9*((R174-1)*IF(Skills!H9&gt;0,Skills!I9/Skills!H9,1)+IF(Skills!H9&gt;0,MIN(Skills!I9,MAX(0,MAX(0,Inputs!$B$43-B205)-((R174-1)*IF(Inputs!$B$38="pvp",15,MAX(0.1,Skills!D9-IF(Skills!E9=TRUE,Inputs!$B$32,0))))))/Skills!H9,1)))/Inputs!$B$43),G174*Q174)*IF(Inputs!$B$38="pvp",1,(1-Summary!$B$55)*(1)+Summary!$B$55*(MIN(Skills!R9,Inputs!$B$37))),0)</f>
        <v/>
      </c>
      <c r="P174">
        <f>IF(B206=0,0,O174/B206)</f>
        <v/>
      </c>
      <c r="Q174">
        <f>IFERROR(1/IF(Inputs!$B$38="pvp",15,MAX(0.1,Skills!D9-IF(Skills!E9=TRUE,Inputs!$B$32,0))),0)</f>
        <v/>
      </c>
      <c r="R174">
        <f>IF(AND(Inputs!$B$38&lt;&gt;"pvp",Inputs!$B$43&gt;0),IF(MAX(0,Inputs!$B$43-B205)&lt;=0,0,(INT(MAX(0,Inputs!$B$43-B205)/IF(Inputs!$B$38="pvp",15,MAX(0.1,Skills!D9-IF(Skills!E9=TRUE,Inputs!$B$32,0))))+1)),0)</f>
        <v/>
      </c>
      <c r="S174">
        <f>IFERROR(O174/N174,0)</f>
        <v/>
      </c>
    </row>
    <row r="175">
      <c r="A175">
        <f>Skills!A10</f>
        <v/>
      </c>
      <c r="B175">
        <f>Skills!B10</f>
        <v/>
      </c>
      <c r="C175">
        <f>Inputs!$B$3&gt;=100</f>
        <v/>
      </c>
      <c r="D175">
        <f>IF(Skills!C10=1,60+Inputs!$B$25+Inputs!$B$29,IF(Skills!C10=2,90+Inputs!$B$26+Inputs!$B$29,IF(Skills!C10=3,120+Inputs!$B$27+Inputs!$B$29,MAX(0,(Inputs!$B$3-100)*3)+Inputs!$B$28+Inputs!$B$29)))</f>
        <v/>
      </c>
      <c r="E175">
        <f>INDEX(FactorTable!$B$2:$Y$301, MATCH(ROUND(MIN(300,MAX(1,D175)),0), FactorTable!$A$2:$A$301,0), Skills!M10+1)</f>
        <v/>
      </c>
      <c r="F175">
        <f>IF(Skills!N10=TRUE,(Skills!L10/10)*(E175/1000),Skills!L10/10)+Skills!O10</f>
        <v/>
      </c>
      <c r="G175" t="inlineStr"/>
      <c r="H175" t="inlineStr"/>
      <c r="I175" t="inlineStr">
        <is>
          <t>1</t>
        </is>
      </c>
      <c r="J175" t="inlineStr"/>
      <c r="K175" t="inlineStr"/>
      <c r="L175" t="inlineStr"/>
      <c r="M175" t="inlineStr"/>
      <c r="N175" t="inlineStr"/>
      <c r="O175" t="inlineStr"/>
      <c r="P175" t="inlineStr"/>
      <c r="Q175" t="inlineStr"/>
      <c r="R175" t="inlineStr"/>
      <c r="S175" t="inlineStr"/>
    </row>
    <row r="176">
      <c r="A176">
        <f>Skills!A11</f>
        <v/>
      </c>
      <c r="B176">
        <f>Skills!B11</f>
        <v/>
      </c>
      <c r="C176">
        <f>Inputs!$B$3&gt;=60</f>
        <v/>
      </c>
      <c r="D176">
        <f>IF(Skills!C11=1,60+Inputs!$B$25+Inputs!$B$29,IF(Skills!C11=2,90+Inputs!$B$26+Inputs!$B$29,IF(Skills!C11=3,120+Inputs!$B$27+Inputs!$B$29,MAX(0,(Inputs!$B$3-100)*3)+Inputs!$B$28+Inputs!$B$29)))</f>
        <v/>
      </c>
      <c r="E176">
        <f>INDEX(FactorTable!$B$2:$Y$301, MATCH(ROUND(MIN(300,MAX(1,D176)),0), FactorTable!$A$2:$A$301,0), Skills!M11+1)</f>
        <v/>
      </c>
      <c r="F176">
        <f>IF(Skills!N11=TRUE,(Skills!L11/10)*(E176/1000),Skills!L11/10)+Skills!O11</f>
        <v/>
      </c>
      <c r="G176">
        <f>Skills!G11*IF(Skills!H11&gt;0,Skills!I11/Skills!H11,1)</f>
        <v/>
      </c>
      <c r="H176">
        <f>1-(1-Skills!J11/100)^Skills!K11</f>
        <v/>
      </c>
      <c r="I176" t="inlineStr">
        <is>
          <t>1</t>
        </is>
      </c>
      <c r="J176">
        <f>((Inputs!$B$6*(1+Inputs!$B$7/100))+(((Inputs!$B$12*(1+Inputs!$B$13/100))-(Inputs!$B$12*(1+Inputs!$B$13/100)))+0.25*(Inputs!$B$14-Inputs!$B$14))*(1+Inputs!$B$7/100))*(F176/100)</f>
        <v/>
      </c>
      <c r="K176">
        <f>J176*(1+((Inputs!$B$12*(1+Inputs!$B$13/100))*0.01+Inputs!$B$14*0.0025)/100)*(1+(Inputs!$B$15+1)/100)*(1+IF(Inputs!$B$38="pvp",0,(1-Summary!$B$55)*(Inputs!$B$20+0+Skills!P11)+Summary!$B$55*(Inputs!$B$21+Skills!Q11))/100)*(1+Inputs!$B$16/100)*(5000/(6000+Inputs!$B$42*(1-(Inputs!$B$19+((C192=TRUE)*(F192-Calc!F27)))/100)))*(1+(Inputs!$B$24+((C190=TRUE)*(F190-Calc!F25))+((C191=TRUE)*(F191-Calc!F26))+B204)/100)*(1+IF(C177=TRUE,F177,0)/100)*(1+(IF(Skills!A11="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176)</f>
        <v/>
      </c>
      <c r="L176">
        <f>K176*(MIN(Inputs!$B$22+((C189=TRUE)*(F189-Calc!F24)),Inputs!$B$23+((C194=TRUE)*(F194-Calc!F29)))/100+(Inputs!$B$23+((C194=TRUE)*(F194-Calc!F29)))/100)/2</f>
        <v/>
      </c>
      <c r="M176">
        <f>L176*(1+(Inputs!$B$10+0+B203)/100)</f>
        <v/>
      </c>
      <c r="N176">
        <f>L176*(1-MIN((Inputs!$B$9+((C185=TRUE)*(F185-Calc!F20))+B198),100)/100)+M176*(MIN((Inputs!$B$9+((C185=TRUE)*(F185-Calc!F20))+B198),100)/100)</f>
        <v/>
      </c>
      <c r="O176">
        <f>IF(C176,H176*N176*IF(AND(Inputs!$B$38&lt;&gt;"pvp",Inputs!$B$43&gt;0),((Skills!G11*((R176-1)*IF(Skills!H11&gt;0,Skills!I11/Skills!H11,1)+IF(Skills!H11&gt;0,MIN(Skills!I11,MAX(0,MAX(0,Inputs!$B$43-B205)-((R176-1)*IF(Inputs!$B$38="pvp",15,MAX(0.1,Skills!D11-IF(Skills!E11=TRUE,Inputs!$B$32,0))))))/Skills!H11,1)))/Inputs!$B$43),G176*Q176)*IF(Inputs!$B$38="pvp",1,(1-Summary!$B$55)*(1)+Summary!$B$55*(MIN(Skills!R11,Inputs!$B$37))),0)</f>
        <v/>
      </c>
      <c r="P176">
        <f>IF(B206=0,0,O176/B206)</f>
        <v/>
      </c>
      <c r="Q176">
        <f>IFERROR(1/IF(Inputs!$B$38="pvp",15,MAX(0.1,Skills!D11-IF(Skills!E11=TRUE,Inputs!$B$32,0))),0)</f>
        <v/>
      </c>
      <c r="R176">
        <f>IF(AND(Inputs!$B$38&lt;&gt;"pvp",Inputs!$B$43&gt;0),IF(MAX(0,Inputs!$B$43-B205)&lt;=0,0,(INT(MAX(0,Inputs!$B$43-B205)/IF(Inputs!$B$38="pvp",15,MAX(0.1,Skills!D11-IF(Skills!E11=TRUE,Inputs!$B$32,0))))+1)),0)</f>
        <v/>
      </c>
      <c r="S176">
        <f>IFERROR(O176/N176,0)</f>
        <v/>
      </c>
    </row>
    <row r="177">
      <c r="A177">
        <f>Skills!A12</f>
        <v/>
      </c>
      <c r="B177">
        <f>Skills!B12</f>
        <v/>
      </c>
      <c r="C177">
        <f>Inputs!$B$3&gt;=110</f>
        <v/>
      </c>
      <c r="D177">
        <f>IF(Skills!C12=1,60+Inputs!$B$25+Inputs!$B$29,IF(Skills!C12=2,90+Inputs!$B$26+Inputs!$B$29,IF(Skills!C12=3,120+Inputs!$B$27+Inputs!$B$29,MAX(0,(Inputs!$B$3-100)*3)+Inputs!$B$28+Inputs!$B$29)))</f>
        <v/>
      </c>
      <c r="E177">
        <f>INDEX(FactorTable!$B$2:$Y$301, MATCH(ROUND(MIN(300,MAX(1,D177)),0), FactorTable!$A$2:$A$301,0), Skills!M12+1)</f>
        <v/>
      </c>
      <c r="F177">
        <f>IF(Skills!N12=TRUE,(Skills!L12/10)*(E177/1000),Skills!L12/10)+Skills!O12</f>
        <v/>
      </c>
      <c r="G177" t="inlineStr"/>
      <c r="H177" t="inlineStr"/>
      <c r="I177" t="inlineStr">
        <is>
          <t>1</t>
        </is>
      </c>
      <c r="J177" t="inlineStr"/>
      <c r="K177" t="inlineStr"/>
      <c r="L177" t="inlineStr"/>
      <c r="M177" t="inlineStr"/>
      <c r="N177" t="inlineStr"/>
      <c r="O177" t="inlineStr"/>
      <c r="P177" t="inlineStr"/>
      <c r="Q177" t="inlineStr"/>
      <c r="R177" t="inlineStr"/>
      <c r="S177" t="inlineStr"/>
    </row>
    <row r="178">
      <c r="A178">
        <f>Skills!A13</f>
        <v/>
      </c>
      <c r="B178">
        <f>Skills!B13</f>
        <v/>
      </c>
      <c r="C178">
        <f>Inputs!$B$3&gt;=74</f>
        <v/>
      </c>
      <c r="D178">
        <f>IF(Skills!C13=1,60+Inputs!$B$25+Inputs!$B$29,IF(Skills!C13=2,90+Inputs!$B$26+Inputs!$B$29,IF(Skills!C13=3,120+Inputs!$B$27+Inputs!$B$29,MAX(0,(Inputs!$B$3-100)*3)+Inputs!$B$28+Inputs!$B$29)))</f>
        <v/>
      </c>
      <c r="E178">
        <f>INDEX(FactorTable!$B$2:$Y$301, MATCH(ROUND(MIN(300,MAX(1,D178)),0), FactorTable!$A$2:$A$301,0), Skills!M13+1)</f>
        <v/>
      </c>
      <c r="F178">
        <f>IF(Skills!N13=TRUE,(Skills!L13/10)*(E178/1000),Skills!L13/10)+Skills!O13</f>
        <v/>
      </c>
      <c r="G178">
        <f>Skills!G13*IF(Skills!H13&gt;0,Skills!I13/Skills!H13,1)</f>
        <v/>
      </c>
      <c r="H178">
        <f>1-(1-Skills!J13/100)^Skills!K13</f>
        <v/>
      </c>
      <c r="I178" t="inlineStr">
        <is>
          <t>1</t>
        </is>
      </c>
      <c r="J178" t="inlineStr"/>
      <c r="K178" t="inlineStr"/>
      <c r="L178" t="inlineStr"/>
      <c r="M178" t="inlineStr"/>
      <c r="N178" t="inlineStr"/>
      <c r="O178" t="n">
        <v>0</v>
      </c>
      <c r="P178">
        <f>IF(B206=0,0,O178/B206)</f>
        <v/>
      </c>
      <c r="Q178" t="n">
        <v>0</v>
      </c>
      <c r="R178" t="n">
        <v>0</v>
      </c>
      <c r="S178">
        <f>IFERROR(O178/N178,0)</f>
        <v/>
      </c>
    </row>
    <row r="179">
      <c r="A179">
        <f>Skills!A14</f>
        <v/>
      </c>
      <c r="B179">
        <f>Skills!B14</f>
        <v/>
      </c>
      <c r="C179">
        <f>Inputs!$B$3&gt;=74</f>
        <v/>
      </c>
      <c r="D179">
        <f>IF(Skills!C14=1,60+Inputs!$B$25+Inputs!$B$29,IF(Skills!C14=2,90+Inputs!$B$26+Inputs!$B$29,IF(Skills!C14=3,120+Inputs!$B$27+Inputs!$B$29,MAX(0,(Inputs!$B$3-100)*3)+Inputs!$B$28+Inputs!$B$29)))</f>
        <v/>
      </c>
      <c r="E179">
        <f>INDEX(FactorTable!$B$2:$Y$301, MATCH(ROUND(MIN(300,MAX(1,D179)),0), FactorTable!$A$2:$A$301,0), Skills!M14+1)</f>
        <v/>
      </c>
      <c r="F179">
        <f>IF(Skills!N14=TRUE,(Skills!L14/10)*(E179/1000),Skills!L14/10)+Skills!O14</f>
        <v/>
      </c>
      <c r="G179">
        <f>Skills!G14*IF(Skills!H14&gt;0,Skills!I14/Skills!H14,1)</f>
        <v/>
      </c>
      <c r="H179">
        <f>1-(1-Skills!J14/100)^Skills!K14</f>
        <v/>
      </c>
      <c r="I179" t="inlineStr">
        <is>
          <t>1</t>
        </is>
      </c>
      <c r="J179" t="inlineStr"/>
      <c r="K179" t="inlineStr"/>
      <c r="L179" t="inlineStr"/>
      <c r="M179" t="inlineStr"/>
      <c r="N179" t="inlineStr"/>
      <c r="O179" t="n">
        <v>0</v>
      </c>
      <c r="P179">
        <f>IF(B206=0,0,O179/B206)</f>
        <v/>
      </c>
      <c r="Q179" t="n">
        <v>0</v>
      </c>
      <c r="R179" t="n">
        <v>0</v>
      </c>
      <c r="S179">
        <f>IFERROR(O179/N179,0)</f>
        <v/>
      </c>
    </row>
    <row r="180">
      <c r="A180">
        <f>Skills!A15</f>
        <v/>
      </c>
      <c r="B180">
        <f>Skills!B15</f>
        <v/>
      </c>
      <c r="C180">
        <f>Inputs!$B$3&gt;=117</f>
        <v/>
      </c>
      <c r="D180">
        <f>IF(Skills!C15=1,60+Inputs!$B$25+Inputs!$B$29,IF(Skills!C15=2,90+Inputs!$B$26+Inputs!$B$29,IF(Skills!C15=3,120+Inputs!$B$27+Inputs!$B$29,MAX(0,(Inputs!$B$3-100)*3)+Inputs!$B$28+Inputs!$B$29)))</f>
        <v/>
      </c>
      <c r="E180">
        <f>INDEX(FactorTable!$B$2:$Y$301, MATCH(ROUND(MIN(300,MAX(1,D180)),0), FactorTable!$A$2:$A$301,0), Skills!M15+1)</f>
        <v/>
      </c>
      <c r="F180">
        <f>IF(Skills!N15=TRUE,(Skills!L15/10)*(E180/1000),Skills!L15/10)+Skills!O15</f>
        <v/>
      </c>
      <c r="G180">
        <f>Skills!G15*IF(Skills!H15&gt;0,Skills!I15/Skills!H15,1)</f>
        <v/>
      </c>
      <c r="H180">
        <f>1-(1-Skills!J15/100)^Skills!K15</f>
        <v/>
      </c>
      <c r="I180" t="inlineStr">
        <is>
          <t>1</t>
        </is>
      </c>
      <c r="J180" t="inlineStr"/>
      <c r="K180" t="inlineStr"/>
      <c r="L180" t="inlineStr"/>
      <c r="M180" t="inlineStr"/>
      <c r="N180" t="inlineStr"/>
      <c r="O180" t="n">
        <v>0</v>
      </c>
      <c r="P180">
        <f>IF(B206=0,0,O180/B206)</f>
        <v/>
      </c>
      <c r="Q180">
        <f>IFERROR(1/IF(Inputs!$B$38="pvp",15,MAX(0.1,Skills!D15-IF(Skills!E15=TRUE,Inputs!$B$32,0))),0)</f>
        <v/>
      </c>
      <c r="R180">
        <f>IF(AND(Inputs!$B$38&lt;&gt;"pvp",Inputs!$B$43&gt;0),IF(Inputs!$B$43&lt;=0,0,(INT(Inputs!$B$43/IF(Inputs!$B$38="pvp",15,MAX(0.1,Skills!D15-IF(Skills!E15=TRUE,Inputs!$B$32,0))))+1)),0)</f>
        <v/>
      </c>
      <c r="S180">
        <f>IFERROR(O180/N180,0)</f>
        <v/>
      </c>
    </row>
    <row r="181">
      <c r="A181">
        <f>Skills!A16</f>
        <v/>
      </c>
      <c r="B181">
        <f>Skills!B16</f>
        <v/>
      </c>
      <c r="C181">
        <f>Inputs!$B$3&gt;=115</f>
        <v/>
      </c>
      <c r="D181">
        <f>IF(Skills!C16=1,60+Inputs!$B$25+Inputs!$B$29,IF(Skills!C16=2,90+Inputs!$B$26+Inputs!$B$29,IF(Skills!C16=3,120+Inputs!$B$27+Inputs!$B$29,MAX(0,(Inputs!$B$3-100)*3)+Inputs!$B$28+Inputs!$B$29)))</f>
        <v/>
      </c>
      <c r="E181">
        <f>INDEX(FactorTable!$B$2:$Y$301, MATCH(ROUND(MIN(300,MAX(1,D181)),0), FactorTable!$A$2:$A$301,0), Skills!M16+1)</f>
        <v/>
      </c>
      <c r="F181">
        <f>IF(Skills!N16=TRUE,(Skills!L16/10)*(E181/1000),Skills!L16/10)+Skills!O16</f>
        <v/>
      </c>
      <c r="G181">
        <f>Skills!G16*IF(Skills!H16&gt;0,Skills!I16/Skills!H16,1)</f>
        <v/>
      </c>
      <c r="H181">
        <f>1-(1-Skills!J16/100)^Skills!K16</f>
        <v/>
      </c>
      <c r="I181" t="inlineStr">
        <is>
          <t>1</t>
        </is>
      </c>
      <c r="J181" t="inlineStr"/>
      <c r="K181" t="inlineStr"/>
      <c r="L181" t="inlineStr"/>
      <c r="M181" t="inlineStr"/>
      <c r="N181" t="inlineStr"/>
      <c r="O181" t="n">
        <v>0</v>
      </c>
      <c r="P181">
        <f>IF(B206=0,0,O181/B206)</f>
        <v/>
      </c>
      <c r="Q181">
        <f>IFERROR(1/IF(Inputs!$B$38="pvp",15,MAX(0.1,Skills!D16-IF(Skills!E16=TRUE,Inputs!$B$32,0))),0)</f>
        <v/>
      </c>
      <c r="R181">
        <f>IF(AND(Inputs!$B$38&lt;&gt;"pvp",Inputs!$B$43&gt;0),IF(Inputs!$B$43&lt;=0,0,(INT(Inputs!$B$43/IF(Inputs!$B$38="pvp",15,MAX(0.1,Skills!D16-IF(Skills!E16=TRUE,Inputs!$B$32,0))))+1)),0)</f>
        <v/>
      </c>
      <c r="S181">
        <f>IFERROR(O181/N181,0)</f>
        <v/>
      </c>
    </row>
    <row r="182">
      <c r="A182">
        <f>Skills!A17</f>
        <v/>
      </c>
      <c r="B182">
        <f>Skills!B17</f>
        <v/>
      </c>
      <c r="C182">
        <f>Inputs!$B$3&gt;=66</f>
        <v/>
      </c>
      <c r="D182">
        <f>IF(Skills!C17=1,60+Inputs!$B$25+Inputs!$B$29,IF(Skills!C17=2,90+Inputs!$B$26+Inputs!$B$29,IF(Skills!C17=3,120+Inputs!$B$27+Inputs!$B$29,MAX(0,(Inputs!$B$3-100)*3)+Inputs!$B$28+Inputs!$B$29)))</f>
        <v/>
      </c>
      <c r="E182">
        <f>INDEX(FactorTable!$B$2:$Y$301, MATCH(ROUND(MIN(300,MAX(1,D182)),0), FactorTable!$A$2:$A$301,0), Skills!M17+1)</f>
        <v/>
      </c>
      <c r="F182">
        <f>IF(Skills!N17=TRUE,(Skills!L17/10)*(E182/1000),Skills!L17/10)+Skills!O17</f>
        <v/>
      </c>
      <c r="G182">
        <f>Skills!G17*IF(Skills!H17&gt;0,Skills!I17/Skills!H17,1)</f>
        <v/>
      </c>
      <c r="H182">
        <f>1-(1-Skills!J17/100)^Skills!K17</f>
        <v/>
      </c>
      <c r="I182" t="inlineStr">
        <is>
          <t>1</t>
        </is>
      </c>
      <c r="J182" t="inlineStr"/>
      <c r="K182" t="inlineStr"/>
      <c r="L182" t="inlineStr"/>
      <c r="M182" t="inlineStr"/>
      <c r="N182" t="inlineStr"/>
      <c r="O182" t="n">
        <v>0</v>
      </c>
      <c r="P182">
        <f>IF(B206=0,0,O182/B206)</f>
        <v/>
      </c>
      <c r="Q182" t="n">
        <v>0</v>
      </c>
      <c r="R182" t="n">
        <v>0</v>
      </c>
      <c r="S182">
        <f>IFERROR(O182/N182,0)</f>
        <v/>
      </c>
    </row>
    <row r="183">
      <c r="A183">
        <f>Skills!A18</f>
        <v/>
      </c>
      <c r="B183">
        <f>Skills!B18</f>
        <v/>
      </c>
      <c r="C183">
        <f>Inputs!$B$3&gt;=72</f>
        <v/>
      </c>
      <c r="D183">
        <f>IF(Skills!C18=1,60+Inputs!$B$25+Inputs!$B$29,IF(Skills!C18=2,90+Inputs!$B$26+Inputs!$B$29,IF(Skills!C18=3,120+Inputs!$B$27+Inputs!$B$29,MAX(0,(Inputs!$B$3-100)*3)+Inputs!$B$28+Inputs!$B$29)))</f>
        <v/>
      </c>
      <c r="E183">
        <f>INDEX(FactorTable!$B$2:$Y$301, MATCH(ROUND(MIN(300,MAX(1,D183)),0), FactorTable!$A$2:$A$301,0), Skills!M18+1)</f>
        <v/>
      </c>
      <c r="F183">
        <f>IF(Skills!N18=TRUE,(Skills!L18/10)*(E183/1000),Skills!L18/10)+Skills!O18</f>
        <v/>
      </c>
      <c r="G183">
        <f>Skills!G18*IF(Skills!H18&gt;0,Skills!I18/Skills!H18,1)</f>
        <v/>
      </c>
      <c r="H183">
        <f>1-(1-Skills!J18/100)^Skills!K18</f>
        <v/>
      </c>
      <c r="I183" t="inlineStr">
        <is>
          <t>1</t>
        </is>
      </c>
      <c r="J183" t="inlineStr"/>
      <c r="K183" t="inlineStr"/>
      <c r="L183" t="inlineStr"/>
      <c r="M183" t="inlineStr"/>
      <c r="N183" t="inlineStr"/>
      <c r="O183" t="n">
        <v>0</v>
      </c>
      <c r="P183">
        <f>IF(B206=0,0,O183/B206)</f>
        <v/>
      </c>
      <c r="Q183" t="n">
        <v>0</v>
      </c>
      <c r="R183" t="n">
        <v>0</v>
      </c>
      <c r="S183">
        <f>IFERROR(O183/N183,0)</f>
        <v/>
      </c>
    </row>
    <row r="184">
      <c r="A184">
        <f>Skills!A19</f>
        <v/>
      </c>
      <c r="B184">
        <f>Skills!B19</f>
        <v/>
      </c>
      <c r="C184">
        <f>TRUE</f>
        <v/>
      </c>
      <c r="D184">
        <f>IF(Skills!C19=1,60+Inputs!$B$25+Inputs!$B$29,IF(Skills!C19=2,90+Inputs!$B$26+Inputs!$B$29,IF(Skills!C19=3,120+Inputs!$B$27+Inputs!$B$29,MAX(0,(Inputs!$B$3-100)*3)+Inputs!$B$28+Inputs!$B$29)))</f>
        <v/>
      </c>
      <c r="E184">
        <f>INDEX(FactorTable!$B$2:$Y$301, MATCH(ROUND(MIN(300,MAX(1,D184)),0), FactorTable!$A$2:$A$301,0), Skills!M19+1)</f>
        <v/>
      </c>
      <c r="F184">
        <f>IF(Skills!N19=TRUE,(Skills!L19/10)*(E184/1000),Skills!L19/10)+Skills!O19</f>
        <v/>
      </c>
      <c r="G184">
        <f>Skills!G19*IF(Skills!H19&gt;0,Skills!I19/Skills!H19,1)</f>
        <v/>
      </c>
      <c r="H184">
        <f>1-(1-Skills!J19/100)^Skills!K19</f>
        <v/>
      </c>
      <c r="I184" t="inlineStr">
        <is>
          <t>1</t>
        </is>
      </c>
      <c r="J184" t="inlineStr"/>
      <c r="K184" t="inlineStr"/>
      <c r="L184" t="inlineStr"/>
      <c r="M184" t="inlineStr"/>
      <c r="N184" t="inlineStr"/>
      <c r="O184" t="n">
        <v>0</v>
      </c>
      <c r="P184">
        <f>IF(B206=0,0,O184/B206)</f>
        <v/>
      </c>
      <c r="Q184">
        <f>IFERROR(1/IF(Inputs!$B$38="pvp",15,MAX(0.1,Skills!D19-IF(Skills!E19=TRUE,Inputs!$B$32,0))),0)</f>
        <v/>
      </c>
      <c r="R184">
        <f>IF(AND(Inputs!$B$38&lt;&gt;"pvp",Inputs!$B$43&gt;0),IF(Inputs!$B$43&lt;=0,0,(INT(Inputs!$B$43/IF(Inputs!$B$38="pvp",15,MAX(0.1,Skills!D19-IF(Skills!E19=TRUE,Inputs!$B$32,0))))+1)),0)</f>
        <v/>
      </c>
      <c r="S184">
        <f>IFERROR(O184/N184,0)</f>
        <v/>
      </c>
    </row>
    <row r="185">
      <c r="A185">
        <f>Skills!A20</f>
        <v/>
      </c>
      <c r="B185">
        <f>Skills!B20</f>
        <v/>
      </c>
      <c r="C185">
        <f>Inputs!$B$3&gt;=15</f>
        <v/>
      </c>
      <c r="D185">
        <f>IF(Skills!C20=1,60+Inputs!$B$25+Inputs!$B$29,IF(Skills!C20=2,90+Inputs!$B$26+Inputs!$B$29,IF(Skills!C20=3,120+Inputs!$B$27+Inputs!$B$29,MAX(0,(Inputs!$B$3-100)*3)+Inputs!$B$28+Inputs!$B$29)))</f>
        <v/>
      </c>
      <c r="E185">
        <f>INDEX(FactorTable!$B$2:$Y$301, MATCH(ROUND(MIN(300,MAX(1,D185)),0), FactorTable!$A$2:$A$301,0), Skills!M20+1)</f>
        <v/>
      </c>
      <c r="F185">
        <f>IF(Skills!N20=TRUE,(Skills!L20/10)*(E185/1000),Skills!L20/10)+Skills!O20</f>
        <v/>
      </c>
      <c r="G185">
        <f>Skills!G20*IF(Skills!H20&gt;0,Skills!I20/Skills!H20,1)</f>
        <v/>
      </c>
      <c r="H185">
        <f>1-(1-Skills!J20/100)^Skills!K20</f>
        <v/>
      </c>
      <c r="I185" t="inlineStr">
        <is>
          <t>1</t>
        </is>
      </c>
      <c r="J185" t="inlineStr"/>
      <c r="K185" t="inlineStr"/>
      <c r="L185" t="inlineStr"/>
      <c r="M185" t="inlineStr"/>
      <c r="N185" t="inlineStr"/>
      <c r="O185" t="n">
        <v>0</v>
      </c>
      <c r="P185">
        <f>IF(B206=0,0,O185/B206)</f>
        <v/>
      </c>
      <c r="Q185" t="n">
        <v>0</v>
      </c>
      <c r="R185" t="n">
        <v>0</v>
      </c>
      <c r="S185">
        <f>IFERROR(O185/N185,0)</f>
        <v/>
      </c>
    </row>
    <row r="186">
      <c r="A186">
        <f>Skills!A21</f>
        <v/>
      </c>
      <c r="B186">
        <f>Skills!B21</f>
        <v/>
      </c>
      <c r="C186">
        <f>Inputs!$B$3&gt;=10</f>
        <v/>
      </c>
      <c r="D186">
        <f>IF(Skills!C21=1,60+Inputs!$B$25+Inputs!$B$29,IF(Skills!C21=2,90+Inputs!$B$26+Inputs!$B$29,IF(Skills!C21=3,120+Inputs!$B$27+Inputs!$B$29,MAX(0,(Inputs!$B$3-100)*3)+Inputs!$B$28+Inputs!$B$29)))</f>
        <v/>
      </c>
      <c r="E186">
        <f>INDEX(FactorTable!$B$2:$Y$301, MATCH(ROUND(MIN(300,MAX(1,D186)),0), FactorTable!$A$2:$A$301,0), Skills!M21+1)</f>
        <v/>
      </c>
      <c r="F186">
        <f>IF(Skills!N21=TRUE,(Skills!L21/10)*(E186/1000),Skills!L21/10)+Skills!O21</f>
        <v/>
      </c>
      <c r="G186">
        <f>Skills!G21*IF(Skills!H21&gt;0,Skills!I21/Skills!H21,1)</f>
        <v/>
      </c>
      <c r="H186">
        <f>1-(1-Skills!J21/100)^Skills!K21</f>
        <v/>
      </c>
      <c r="I186" t="inlineStr">
        <is>
          <t>1</t>
        </is>
      </c>
      <c r="J186" t="inlineStr"/>
      <c r="K186" t="inlineStr"/>
      <c r="L186" t="inlineStr"/>
      <c r="M186" t="inlineStr"/>
      <c r="N186" t="inlineStr"/>
      <c r="O186" t="n">
        <v>0</v>
      </c>
      <c r="P186">
        <f>IF(B206=0,0,O186/B206)</f>
        <v/>
      </c>
      <c r="Q186" t="n">
        <v>0</v>
      </c>
      <c r="R186" t="n">
        <v>0</v>
      </c>
      <c r="S186">
        <f>IFERROR(O186/N186,0)</f>
        <v/>
      </c>
    </row>
    <row r="187">
      <c r="A187">
        <f>Skills!A22</f>
        <v/>
      </c>
      <c r="B187">
        <f>Skills!B22</f>
        <v/>
      </c>
      <c r="C187">
        <f>Inputs!$B$3&gt;=33</f>
        <v/>
      </c>
      <c r="D187">
        <f>IF(Skills!C22=1,60+Inputs!$B$25+Inputs!$B$29,IF(Skills!C22=2,90+Inputs!$B$26+Inputs!$B$29,IF(Skills!C22=3,120+Inputs!$B$27+Inputs!$B$29,MAX(0,(Inputs!$B$3-100)*3)+Inputs!$B$28+Inputs!$B$29)))</f>
        <v/>
      </c>
      <c r="E187">
        <f>INDEX(FactorTable!$B$2:$Y$301, MATCH(ROUND(MIN(300,MAX(1,D187)),0), FactorTable!$A$2:$A$301,0), Skills!M22+1)</f>
        <v/>
      </c>
      <c r="F187">
        <f>IF(Skills!N22=TRUE,(Skills!L22/10)*(E187/1000),Skills!L22/10)+Skills!O22</f>
        <v/>
      </c>
      <c r="G187">
        <f>Skills!G22*IF(Skills!H22&gt;0,Skills!I22/Skills!H22,1)</f>
        <v/>
      </c>
      <c r="H187">
        <f>1-(1-Skills!J22/100)^Skills!K22</f>
        <v/>
      </c>
      <c r="I187" t="inlineStr">
        <is>
          <t>1</t>
        </is>
      </c>
      <c r="J187" t="inlineStr"/>
      <c r="K187" t="inlineStr"/>
      <c r="L187" t="inlineStr"/>
      <c r="M187" t="inlineStr"/>
      <c r="N187" t="inlineStr"/>
      <c r="O187" t="n">
        <v>0</v>
      </c>
      <c r="P187">
        <f>IF(B206=0,0,O187/B206)</f>
        <v/>
      </c>
      <c r="Q187" t="n">
        <v>0</v>
      </c>
      <c r="R187" t="n">
        <v>0</v>
      </c>
      <c r="S187">
        <f>IFERROR(O187/N187,0)</f>
        <v/>
      </c>
    </row>
    <row r="188">
      <c r="A188">
        <f>Skills!A23</f>
        <v/>
      </c>
      <c r="B188">
        <f>Skills!B23</f>
        <v/>
      </c>
      <c r="C188">
        <f>Inputs!$B$3&gt;=38</f>
        <v/>
      </c>
      <c r="D188">
        <f>IF(Skills!C23=1,60+Inputs!$B$25+Inputs!$B$29,IF(Skills!C23=2,90+Inputs!$B$26+Inputs!$B$29,IF(Skills!C23=3,120+Inputs!$B$27+Inputs!$B$29,MAX(0,(Inputs!$B$3-100)*3)+Inputs!$B$28+Inputs!$B$29)))</f>
        <v/>
      </c>
      <c r="E188">
        <f>INDEX(FactorTable!$B$2:$Y$301, MATCH(ROUND(MIN(300,MAX(1,D188)),0), FactorTable!$A$2:$A$301,0), Skills!M23+1)</f>
        <v/>
      </c>
      <c r="F188">
        <f>IF(Skills!N23=TRUE,(Skills!L23/10)*(E188/1000),Skills!L23/10)+Skills!O23</f>
        <v/>
      </c>
      <c r="G188">
        <f>Skills!G23*IF(Skills!H23&gt;0,Skills!I23/Skills!H23,1)</f>
        <v/>
      </c>
      <c r="H188">
        <f>1-(1-Skills!J23/100)^Skills!K23</f>
        <v/>
      </c>
      <c r="I188" t="inlineStr">
        <is>
          <t>1</t>
        </is>
      </c>
      <c r="J188" t="inlineStr"/>
      <c r="K188" t="inlineStr"/>
      <c r="L188" t="inlineStr"/>
      <c r="M188" t="inlineStr"/>
      <c r="N188" t="inlineStr"/>
      <c r="O188" t="n">
        <v>0</v>
      </c>
      <c r="P188">
        <f>IF(B206=0,0,O188/B206)</f>
        <v/>
      </c>
      <c r="Q188" t="n">
        <v>0</v>
      </c>
      <c r="R188" t="n">
        <v>0</v>
      </c>
      <c r="S188">
        <f>IFERROR(O188/N188,0)</f>
        <v/>
      </c>
    </row>
    <row r="189">
      <c r="A189">
        <f>Skills!A24</f>
        <v/>
      </c>
      <c r="B189">
        <f>Skills!B24</f>
        <v/>
      </c>
      <c r="C189">
        <f>Inputs!$B$3&gt;=43</f>
        <v/>
      </c>
      <c r="D189">
        <f>IF(Skills!C24=1,60+Inputs!$B$25+Inputs!$B$29,IF(Skills!C24=2,90+Inputs!$B$26+Inputs!$B$29,IF(Skills!C24=3,120+Inputs!$B$27+Inputs!$B$29,MAX(0,(Inputs!$B$3-100)*3)+Inputs!$B$28+Inputs!$B$29)))</f>
        <v/>
      </c>
      <c r="E189">
        <f>INDEX(FactorTable!$B$2:$Y$301, MATCH(ROUND(MIN(300,MAX(1,D189)),0), FactorTable!$A$2:$A$301,0), Skills!M24+1)</f>
        <v/>
      </c>
      <c r="F189">
        <f>IF(Skills!N24=TRUE,(Skills!L24/10)*(E189/1000),Skills!L24/10)+Skills!O24</f>
        <v/>
      </c>
      <c r="G189">
        <f>Skills!G24*IF(Skills!H24&gt;0,Skills!I24/Skills!H24,1)</f>
        <v/>
      </c>
      <c r="H189">
        <f>1-(1-Skills!J24/100)^Skills!K24</f>
        <v/>
      </c>
      <c r="I189" t="inlineStr">
        <is>
          <t>1</t>
        </is>
      </c>
      <c r="J189" t="inlineStr"/>
      <c r="K189" t="inlineStr"/>
      <c r="L189" t="inlineStr"/>
      <c r="M189" t="inlineStr"/>
      <c r="N189" t="inlineStr"/>
      <c r="O189" t="n">
        <v>0</v>
      </c>
      <c r="P189">
        <f>IF(B206=0,0,O189/B206)</f>
        <v/>
      </c>
      <c r="Q189" t="n">
        <v>0</v>
      </c>
      <c r="R189" t="n">
        <v>0</v>
      </c>
      <c r="S189">
        <f>IFERROR(O189/N189,0)</f>
        <v/>
      </c>
    </row>
    <row r="190">
      <c r="A190">
        <f>Skills!A25</f>
        <v/>
      </c>
      <c r="B190">
        <f>Skills!B25</f>
        <v/>
      </c>
      <c r="C190">
        <f>Inputs!$B$3&gt;=75</f>
        <v/>
      </c>
      <c r="D190">
        <f>IF(Skills!C25=1,60+Inputs!$B$25+Inputs!$B$29,IF(Skills!C25=2,90+Inputs!$B$26+Inputs!$B$29,IF(Skills!C25=3,120+Inputs!$B$27+Inputs!$B$29,MAX(0,(Inputs!$B$3-100)*3)+Inputs!$B$28+Inputs!$B$29)))</f>
        <v/>
      </c>
      <c r="E190">
        <f>INDEX(FactorTable!$B$2:$Y$301, MATCH(ROUND(MIN(300,MAX(1,D190)),0), FactorTable!$A$2:$A$301,0), Skills!M25+1)</f>
        <v/>
      </c>
      <c r="F190">
        <f>IF(Skills!N25=TRUE,(Skills!L25/10)*(E190/1000),Skills!L25/10)+Skills!O25</f>
        <v/>
      </c>
      <c r="G190">
        <f>Skills!G25*IF(Skills!H25&gt;0,Skills!I25/Skills!H25,1)</f>
        <v/>
      </c>
      <c r="H190">
        <f>1-(1-Skills!J25/100)^Skills!K25</f>
        <v/>
      </c>
      <c r="I190" t="inlineStr">
        <is>
          <t>1</t>
        </is>
      </c>
      <c r="J190" t="inlineStr"/>
      <c r="K190" t="inlineStr"/>
      <c r="L190" t="inlineStr"/>
      <c r="M190" t="inlineStr"/>
      <c r="N190" t="inlineStr"/>
      <c r="O190" t="n">
        <v>0</v>
      </c>
      <c r="P190">
        <f>IF(B206=0,0,O190/B206)</f>
        <v/>
      </c>
      <c r="Q190" t="n">
        <v>0</v>
      </c>
      <c r="R190" t="n">
        <v>0</v>
      </c>
      <c r="S190">
        <f>IFERROR(O190/N190,0)</f>
        <v/>
      </c>
    </row>
    <row r="191">
      <c r="A191">
        <f>Skills!A26</f>
        <v/>
      </c>
      <c r="B191">
        <f>Skills!B26</f>
        <v/>
      </c>
      <c r="C191">
        <f>Inputs!$B$3&gt;=125</f>
        <v/>
      </c>
      <c r="D191">
        <f>IF(Skills!C26=1,60+Inputs!$B$25+Inputs!$B$29,IF(Skills!C26=2,90+Inputs!$B$26+Inputs!$B$29,IF(Skills!C26=3,120+Inputs!$B$27+Inputs!$B$29,MAX(0,(Inputs!$B$3-100)*3)+Inputs!$B$28+Inputs!$B$29)))</f>
        <v/>
      </c>
      <c r="E191">
        <f>INDEX(FactorTable!$B$2:$Y$301, MATCH(ROUND(MIN(300,MAX(1,D191)),0), FactorTable!$A$2:$A$301,0), Skills!M26+1)</f>
        <v/>
      </c>
      <c r="F191">
        <f>IF(Skills!N26=TRUE,(Skills!L26/10)*(E191/1000),Skills!L26/10)+Skills!O26</f>
        <v/>
      </c>
      <c r="G191">
        <f>Skills!G26*IF(Skills!H26&gt;0,Skills!I26/Skills!H26,1)</f>
        <v/>
      </c>
      <c r="H191">
        <f>1-(1-Skills!J26/100)^Skills!K26</f>
        <v/>
      </c>
      <c r="I191" t="inlineStr">
        <is>
          <t>1</t>
        </is>
      </c>
      <c r="J191" t="inlineStr"/>
      <c r="K191" t="inlineStr"/>
      <c r="L191" t="inlineStr"/>
      <c r="M191" t="inlineStr"/>
      <c r="N191" t="inlineStr"/>
      <c r="O191" t="n">
        <v>0</v>
      </c>
      <c r="P191">
        <f>IF(B206=0,0,O191/B206)</f>
        <v/>
      </c>
      <c r="Q191" t="n">
        <v>0</v>
      </c>
      <c r="R191" t="n">
        <v>0</v>
      </c>
      <c r="S191">
        <f>IFERROR(O191/N191,0)</f>
        <v/>
      </c>
    </row>
    <row r="192">
      <c r="A192">
        <f>Skills!A27</f>
        <v/>
      </c>
      <c r="B192">
        <f>Skills!B27</f>
        <v/>
      </c>
      <c r="C192">
        <f>Inputs!$B$3&gt;=125</f>
        <v/>
      </c>
      <c r="D192">
        <f>IF(Skills!C27=1,60+Inputs!$B$25+Inputs!$B$29,IF(Skills!C27=2,90+Inputs!$B$26+Inputs!$B$29,IF(Skills!C27=3,120+Inputs!$B$27+Inputs!$B$29,MAX(0,(Inputs!$B$3-100)*3)+Inputs!$B$28+Inputs!$B$29)))</f>
        <v/>
      </c>
      <c r="E192">
        <f>INDEX(FactorTable!$B$2:$Y$301, MATCH(ROUND(MIN(300,MAX(1,D192)),0), FactorTable!$A$2:$A$301,0), Skills!M27+1)</f>
        <v/>
      </c>
      <c r="F192">
        <f>IF(Skills!N27=TRUE,(Skills!L27/10)*(E192/1000),Skills!L27/10)+Skills!O27</f>
        <v/>
      </c>
      <c r="G192">
        <f>Skills!G27*IF(Skills!H27&gt;0,Skills!I27/Skills!H27,1)</f>
        <v/>
      </c>
      <c r="H192">
        <f>1-(1-Skills!J27/100)^Skills!K27</f>
        <v/>
      </c>
      <c r="I192" t="inlineStr">
        <is>
          <t>1</t>
        </is>
      </c>
      <c r="J192" t="inlineStr"/>
      <c r="K192" t="inlineStr"/>
      <c r="L192" t="inlineStr"/>
      <c r="M192" t="inlineStr"/>
      <c r="N192" t="inlineStr"/>
      <c r="O192" t="n">
        <v>0</v>
      </c>
      <c r="P192">
        <f>IF(B206=0,0,O192/B206)</f>
        <v/>
      </c>
      <c r="Q192" t="n">
        <v>0</v>
      </c>
      <c r="R192" t="n">
        <v>0</v>
      </c>
      <c r="S192">
        <f>IFERROR(O192/N192,0)</f>
        <v/>
      </c>
    </row>
    <row r="193">
      <c r="A193">
        <f>Skills!A28</f>
        <v/>
      </c>
      <c r="B193">
        <f>Skills!B28</f>
        <v/>
      </c>
      <c r="C193">
        <f>Inputs!$B$3&gt;=120</f>
        <v/>
      </c>
      <c r="D193">
        <f>IF(Skills!C28=1,60+Inputs!$B$25+Inputs!$B$29,IF(Skills!C28=2,90+Inputs!$B$26+Inputs!$B$29,IF(Skills!C28=3,120+Inputs!$B$27+Inputs!$B$29,MAX(0,(Inputs!$B$3-100)*3)+Inputs!$B$28+Inputs!$B$29)))</f>
        <v/>
      </c>
      <c r="E193">
        <f>INDEX(FactorTable!$B$2:$Y$301, MATCH(ROUND(MIN(300,MAX(1,D193)),0), FactorTable!$A$2:$A$301,0), Skills!M28+1)</f>
        <v/>
      </c>
      <c r="F193">
        <f>IF(Skills!N28=TRUE,(Skills!L28/10)*(E193/1000),Skills!L28/10)+Skills!O28</f>
        <v/>
      </c>
      <c r="G193">
        <f>Skills!G28*IF(Skills!H28&gt;0,Skills!I28/Skills!H28,1)</f>
        <v/>
      </c>
      <c r="H193">
        <f>1-(1-Skills!J28/100)^Skills!K28</f>
        <v/>
      </c>
      <c r="I193" t="inlineStr">
        <is>
          <t>1</t>
        </is>
      </c>
      <c r="J193" t="inlineStr"/>
      <c r="K193" t="inlineStr"/>
      <c r="L193" t="inlineStr"/>
      <c r="M193" t="inlineStr"/>
      <c r="N193" t="inlineStr"/>
      <c r="O193" t="n">
        <v>0</v>
      </c>
      <c r="P193">
        <f>IF(B206=0,0,O193/B206)</f>
        <v/>
      </c>
      <c r="Q193" t="n">
        <v>0</v>
      </c>
      <c r="R193" t="n">
        <v>0</v>
      </c>
      <c r="S193">
        <f>IFERROR(O193/N193,0)</f>
        <v/>
      </c>
    </row>
    <row r="194">
      <c r="A194">
        <f>Skills!A29</f>
        <v/>
      </c>
      <c r="B194">
        <f>Skills!B29</f>
        <v/>
      </c>
      <c r="C194">
        <f>Inputs!$B$3&gt;=120</f>
        <v/>
      </c>
      <c r="D194">
        <f>IF(Skills!C29=1,60+Inputs!$B$25+Inputs!$B$29,IF(Skills!C29=2,90+Inputs!$B$26+Inputs!$B$29,IF(Skills!C29=3,120+Inputs!$B$27+Inputs!$B$29,MAX(0,(Inputs!$B$3-100)*3)+Inputs!$B$28+Inputs!$B$29)))</f>
        <v/>
      </c>
      <c r="E194">
        <f>INDEX(FactorTable!$B$2:$Y$301, MATCH(ROUND(MIN(300,MAX(1,D194)),0), FactorTable!$A$2:$A$301,0), Skills!M29+1)</f>
        <v/>
      </c>
      <c r="F194">
        <f>IF(Skills!N29=TRUE,(Skills!L29/10)*(E194/1000),Skills!L29/10)+Skills!O29</f>
        <v/>
      </c>
      <c r="G194">
        <f>Skills!G29*IF(Skills!H29&gt;0,Skills!I29/Skills!H29,1)</f>
        <v/>
      </c>
      <c r="H194">
        <f>1-(1-Skills!J29/100)^Skills!K29</f>
        <v/>
      </c>
      <c r="I194" t="inlineStr">
        <is>
          <t>1</t>
        </is>
      </c>
      <c r="J194" t="inlineStr"/>
      <c r="K194" t="inlineStr"/>
      <c r="L194" t="inlineStr"/>
      <c r="M194" t="inlineStr"/>
      <c r="N194" t="inlineStr"/>
      <c r="O194" t="n">
        <v>0</v>
      </c>
      <c r="P194">
        <f>IF(B206=0,0,O194/B206)</f>
        <v/>
      </c>
      <c r="Q194" t="n">
        <v>0</v>
      </c>
      <c r="R194" t="n">
        <v>0</v>
      </c>
      <c r="S194">
        <f>IFERROR(O194/N194,0)</f>
        <v/>
      </c>
    </row>
    <row r="195">
      <c r="A195">
        <f>Skills!A30</f>
        <v/>
      </c>
      <c r="B195">
        <f>Skills!B30</f>
        <v/>
      </c>
      <c r="C195">
        <f>Inputs!$B$3&gt;=45</f>
        <v/>
      </c>
      <c r="D195">
        <f>IF(Skills!C30=1,60+Inputs!$B$25+Inputs!$B$29,IF(Skills!C30=2,90+Inputs!$B$26+Inputs!$B$29,IF(Skills!C30=3,120+Inputs!$B$27+Inputs!$B$29,MAX(0,(Inputs!$B$3-100)*3)+Inputs!$B$28+Inputs!$B$29)))</f>
        <v/>
      </c>
      <c r="E195">
        <f>INDEX(FactorTable!$B$2:$Y$301, MATCH(ROUND(MIN(300,MAX(1,D195)),0), FactorTable!$A$2:$A$301,0), Skills!M30+1)</f>
        <v/>
      </c>
      <c r="F195">
        <f>IF(Skills!N30=TRUE,(Skills!L30/10)*(E195/1000),Skills!L30/10)+Skills!O30</f>
        <v/>
      </c>
      <c r="G195">
        <f>Skills!G30*IF(Skills!H30&gt;0,Skills!I30/Skills!H30,1)</f>
        <v/>
      </c>
      <c r="H195">
        <f>1-(1-Skills!J30/100)^Skills!K30</f>
        <v/>
      </c>
      <c r="I195" t="inlineStr">
        <is>
          <t>1</t>
        </is>
      </c>
      <c r="J195" t="inlineStr"/>
      <c r="K195" t="inlineStr"/>
      <c r="L195" t="inlineStr"/>
      <c r="M195" t="inlineStr"/>
      <c r="N195" t="inlineStr"/>
      <c r="O195" t="n">
        <v>0</v>
      </c>
      <c r="P195">
        <f>IF(B206=0,0,O195/B206)</f>
        <v/>
      </c>
      <c r="Q195" t="n">
        <v>0</v>
      </c>
      <c r="R195" t="n">
        <v>0</v>
      </c>
      <c r="S195">
        <f>IFERROR(O195/N195,0)</f>
        <v/>
      </c>
    </row>
    <row r="197">
      <c r="A197" t="inlineStr">
        <is>
          <t>Attack% Bucket Multiplier</t>
        </is>
      </c>
      <c r="B197">
        <f>(1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f>
        <v/>
      </c>
    </row>
    <row r="198">
      <c r="A198" t="inlineStr">
        <is>
          <t>Global Crit Rate Bonus %</t>
        </is>
      </c>
      <c r="B198">
        <f>(C181=TRUE)*20*IF(AND(Inputs!$B$38&lt;&gt;"pvp",Inputs!$B$43&gt;0),(((R181-1)*(Skills!T16*(1+Inputs!$B$34/100))+MIN((Skills!T16*(1+Inputs!$B$34/100)),MAX(0,Inputs!$B$43-((R181-1)*Skills!D16))))/Inputs!$B$43),IF(Inputs!$B$38="pvp",MIN((Skills!T16*(1+Inputs!$B$34/100)),15)/15,(Skills!T16*(1+Inputs!$B$34/100))/Skills!D16))</f>
        <v/>
      </c>
    </row>
    <row r="199">
      <c r="A199" t="inlineStr">
        <is>
          <t>Attack Speed Buff Bonus %</t>
        </is>
      </c>
      <c r="B199">
        <f>((C184=TRUE)*F184*IF(AND(Inputs!$B$38&lt;&gt;"pvp",Inputs!$B$43&gt;0),(((R184-1)*(Skills!T19*(1+Inputs!$B$34/100))+MIN((Skills!T19*(1+Inputs!$B$34/100)),MAX(0,Inputs!$B$43-((R184-1)*Skills!D19))))/Inputs!$B$43),IF(Inputs!$B$38="pvp",MIN((Skills!T19*(1+Inputs!$B$34/100)),15)/15,(Skills!T19*(1+Inputs!$B$34/100))/Skills!D19)))</f>
        <v/>
      </c>
    </row>
    <row r="200">
      <c r="A200" t="inlineStr">
        <is>
          <t>Actions Per Second</t>
        </is>
      </c>
      <c r="B200">
        <f>1+MIN(150,150*(1-(1-(Inputs!$B$11+((C186=TRUE)*(F186-Calc!F21))+((C187=TRUE)*(F187-Calc!F22)))/150)*(1-B199/150)))/100</f>
        <v/>
      </c>
    </row>
    <row r="201">
      <c r="A201" t="inlineStr">
        <is>
          <t>Skill + Buff Cast Rate</t>
        </is>
      </c>
      <c r="B201">
        <f>IF(AND(Inputs!$B$38&lt;&gt;"pvp",Inputs!$B$43&gt;0),SUMPRODUCT((Skills!E2:E30=TRUE)*(C167:C195=TRUE)*R167:R195*Skills!F2:F30)/Inputs!$B$43,SUMPRODUCT((Skills!E2:E30=TRUE)*(C167:C195=TRUE)*Q167:Q195*Skills!F2:F30))</f>
        <v/>
      </c>
    </row>
    <row r="202">
      <c r="A202" t="inlineStr">
        <is>
          <t>Arrow Stream Casts Per Second</t>
        </is>
      </c>
      <c r="B202">
        <f>MAX(0,B200-B201)</f>
        <v/>
      </c>
    </row>
    <row r="203">
      <c r="A203" t="inlineStr">
        <is>
          <t>Global Critical Damage Bonus % (Sharp Eyes + Concentration)</t>
        </is>
      </c>
      <c r="B203">
        <f>(C181=TRUE)*F181*IF(AND(Inputs!$B$38&lt;&gt;"pvp",Inputs!$B$43&gt;0),(((R181-1)*(Skills!T16*(1+Inputs!$B$34/100))+MIN((Skills!T16*(1+Inputs!$B$34/100)),MAX(0,Inputs!$B$43-((R181-1)*Skills!D16))))/Inputs!$B$43),IF(Inputs!$B$38="pvp",MIN((Skills!T16*(1+Inputs!$B$34/100)),15)/15,(Skills!T16*(1+Inputs!$B$34/100))/Skills!D16))+(C182=TRUE)*30</f>
        <v/>
      </c>
    </row>
    <row r="204">
      <c r="A204" t="inlineStr">
        <is>
          <t>Global Final Damage Bonus % (Mortal Blow)</t>
        </is>
      </c>
      <c r="B204">
        <f>(C183=TRUE)*F183</f>
        <v/>
      </c>
    </row>
    <row r="205">
      <c r="A205" t="inlineStr">
        <is>
          <t>Buff-Casting Startup Delay (s, fixed-duration only)</t>
        </is>
      </c>
      <c r="B205">
        <f>IF(AND(Inputs!$B$38&lt;&gt;"pvp",Inputs!$B$43&gt;0),SUMPRODUCT((Skills!T2:T30&gt;0)*(Skills!E2:E30=TRUE)*(C167:C195=TRUE))/B200,0)</f>
        <v/>
      </c>
    </row>
    <row r="206">
      <c r="A206" s="5" t="inlineStr">
        <is>
          <t>TOTAL DPS</t>
        </is>
      </c>
      <c r="B206" s="5">
        <f>SUM(O167:O195)</f>
        <v/>
      </c>
    </row>
    <row r="209">
      <c r="A209" s="5" t="inlineStr">
        <is>
          <t>Stat: DAMAGE_AMP %</t>
        </is>
      </c>
    </row>
    <row r="210">
      <c r="A210" s="9" t="inlineStr">
        <is>
          <t>Key</t>
        </is>
      </c>
      <c r="B210" s="9" t="inlineStr">
        <is>
          <t>Name</t>
        </is>
      </c>
      <c r="C210" s="9" t="inlineStr">
        <is>
          <t>Unlocked</t>
        </is>
      </c>
      <c r="D210" s="9" t="inlineStr">
        <is>
          <t>InputLevel</t>
        </is>
      </c>
      <c r="E210" s="9" t="inlineStr">
        <is>
          <t>Factor</t>
        </is>
      </c>
      <c r="F210" s="9" t="inlineStr">
        <is>
          <t>CoefficientPercent</t>
        </is>
      </c>
      <c r="G210" s="9" t="inlineStr">
        <is>
          <t>EffectiveHits</t>
        </is>
      </c>
      <c r="H210" s="9" t="inlineStr">
        <is>
          <t>ProcProbability</t>
        </is>
      </c>
      <c r="I210" s="9" t="inlineStr">
        <is>
          <t>MapleHeroMultiplier</t>
        </is>
      </c>
      <c r="J210" s="9" t="inlineStr">
        <is>
          <t>BaseDamage</t>
        </is>
      </c>
      <c r="K210" s="9" t="inlineStr">
        <is>
          <t>BaseHitDamage</t>
        </is>
      </c>
      <c r="L210" s="9" t="inlineStr">
        <is>
          <t>NonCritAvg</t>
        </is>
      </c>
      <c r="M210" s="9" t="inlineStr">
        <is>
          <t>CritAvg</t>
        </is>
      </c>
      <c r="N210" s="9" t="inlineStr">
        <is>
          <t>ExpectedDamage(perHit)</t>
        </is>
      </c>
      <c r="O210" s="9" t="inlineStr">
        <is>
          <t>DPS</t>
        </is>
      </c>
      <c r="P210" s="9" t="inlineStr">
        <is>
          <t>% of Total</t>
        </is>
      </c>
      <c r="Q210" s="9" t="inlineStr">
        <is>
          <t>InvCooldown</t>
        </is>
      </c>
      <c r="R210" s="9" t="inlineStr">
        <is>
          <t>CastsInFight</t>
        </is>
      </c>
      <c r="S210" s="9" t="inlineStr">
        <is>
          <t>HitRate(perSec)</t>
        </is>
      </c>
      <c r="U210" t="inlineStr">
        <is>
          <t>helpers</t>
        </is>
      </c>
    </row>
    <row r="211">
      <c r="A211">
        <f>Skills!A2</f>
        <v/>
      </c>
      <c r="B211">
        <f>Skills!B2</f>
        <v/>
      </c>
      <c r="C211">
        <f>Inputs!$B$3&gt;=100</f>
        <v/>
      </c>
      <c r="D211" t="inlineStr"/>
      <c r="E211" t="inlineStr"/>
      <c r="F211">
        <f>U213+Skills!O2</f>
        <v/>
      </c>
      <c r="G211">
        <f>Skills!G2*IF(Skills!H2&gt;0,Skills!I2/Skills!H2,1)</f>
        <v/>
      </c>
      <c r="H211">
        <f>1-(1-Skills!J2/100)^Skills!K2</f>
        <v/>
      </c>
      <c r="I211" t="inlineStr">
        <is>
          <t>1</t>
        </is>
      </c>
      <c r="J211">
        <f>((Inputs!$B$6*(1+Inputs!$B$7/100))+(((Inputs!$B$12*(1+Inputs!$B$13/100))-(Inputs!$B$12*(1+Inputs!$B$13/100)))+0.25*(Inputs!$B$14-Inputs!$B$14))*(1+Inputs!$B$7/100))*(F211/100)</f>
        <v/>
      </c>
      <c r="K211">
        <f>J211*(1+((Inputs!$B$12*(1+Inputs!$B$13/100))*0.01+Inputs!$B$14*0.0025)/100)*(1+Inputs!$B$15/100)*(1+IF(Inputs!$B$38="pvp",0,(1-Summary!$B$55)*(Inputs!$B$20+0+Skills!P2)+Summary!$B$55*(Inputs!$B$21+Skills!Q2))/100)*(1+(Inputs!$B$16+1)/100)*(5000/(6000+Inputs!$B$42*(1-(Inputs!$B$19+((C236=TRUE)*(F236-Calc!F27)))/100)))*(1+(Inputs!$B$24+((C234=TRUE)*(F234-Calc!F25))+((C235=TRUE)*(F235-Calc!F26))+B248)/100)*(1+(IF(Skills!A2="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211)</f>
        <v/>
      </c>
      <c r="L211">
        <f>K211*(MIN(Inputs!$B$22+((C233=TRUE)*(F233-Calc!F24)),Inputs!$B$23+((C238=TRUE)*(F238-Calc!F29)))/100+(Inputs!$B$23+((C238=TRUE)*(F238-Calc!F29)))/100)/2</f>
        <v/>
      </c>
      <c r="M211">
        <f>L211*(1+(Inputs!$B$10+0+B247)/100)</f>
        <v/>
      </c>
      <c r="N211">
        <f>L211*(1-MIN((Inputs!$B$9+((C229=TRUE)*(F229-Calc!F20))+B242),100)/100)+M211*(MIN((Inputs!$B$9+((C229=TRUE)*(F229-Calc!F20))+B242),100)/100)</f>
        <v/>
      </c>
      <c r="O211">
        <f>IF(C211,Skills!G2*N211*B246*IF(Inputs!$B$38="pvp",1,(1-Summary!$B$55)*(1)+Summary!$B$55*(MIN((6+Inputs!$B$33),Inputs!$B$37))),0)</f>
        <v/>
      </c>
      <c r="P211">
        <f>IF(B250=0,0,O211/B250)</f>
        <v/>
      </c>
      <c r="Q211" t="n">
        <v>0</v>
      </c>
      <c r="R211" t="n">
        <v>0</v>
      </c>
      <c r="S211">
        <f>IFERROR(O211/N211,0)</f>
        <v/>
      </c>
      <c r="U211">
        <f>MAX(0,(Inputs!$B$3-100)*3)+Inputs!$B$28+Inputs!$B$29</f>
        <v/>
      </c>
    </row>
    <row r="212">
      <c r="A212">
        <f>Skills!A3</f>
        <v/>
      </c>
      <c r="B212">
        <f>Skills!B3</f>
        <v/>
      </c>
      <c r="C212">
        <f>Inputs!$B$3&gt;=50</f>
        <v/>
      </c>
      <c r="D212">
        <f>IF(Skills!C3=1,60+Inputs!$B$25+Inputs!$B$29,IF(Skills!C3=2,90+Inputs!$B$26+Inputs!$B$29,IF(Skills!C3=3,120+Inputs!$B$27+Inputs!$B$29,MAX(0,(Inputs!$B$3-100)*3)+Inputs!$B$28+Inputs!$B$29)))</f>
        <v/>
      </c>
      <c r="E212">
        <f>INDEX(FactorTable!$B$2:$Y$301, MATCH(ROUND(MIN(300,MAX(1,D212)),0), FactorTable!$A$2:$A$301,0), Skills!M3+1)</f>
        <v/>
      </c>
      <c r="F212">
        <f>IF(Skills!N3=TRUE,(Skills!L3/10)*(E212/1000),Skills!L3/10)+Skills!O3</f>
        <v/>
      </c>
      <c r="G212" t="inlineStr"/>
      <c r="H212" t="inlineStr"/>
      <c r="I212" t="inlineStr">
        <is>
          <t>1</t>
        </is>
      </c>
      <c r="J212" t="inlineStr"/>
      <c r="K212" t="inlineStr"/>
      <c r="L212" t="inlineStr"/>
      <c r="M212" t="inlineStr"/>
      <c r="N212" t="inlineStr"/>
      <c r="O212" t="inlineStr"/>
      <c r="P212" t="inlineStr"/>
      <c r="Q212" t="inlineStr"/>
      <c r="R212" t="inlineStr"/>
      <c r="S212" t="inlineStr"/>
      <c r="U212">
        <f>INDEX(FactorTable!$B$2:$Y$301, MATCH(ROUND(MIN(300,MAX(1,U211)),0), FactorTable!$A$2:$A$301,0), 22)</f>
        <v/>
      </c>
    </row>
    <row r="213">
      <c r="A213">
        <f>Skills!A4</f>
        <v/>
      </c>
      <c r="B213">
        <f>Skills!B4</f>
        <v/>
      </c>
      <c r="C213">
        <f>Inputs!$B$3&gt;=105</f>
        <v/>
      </c>
      <c r="D213">
        <f>IF(Skills!C4=1,60+Inputs!$B$25+Inputs!$B$29,IF(Skills!C4=2,90+Inputs!$B$26+Inputs!$B$29,IF(Skills!C4=3,120+Inputs!$B$27+Inputs!$B$29,MAX(0,(Inputs!$B$3-100)*3)+Inputs!$B$28+Inputs!$B$29)))</f>
        <v/>
      </c>
      <c r="E213">
        <f>INDEX(FactorTable!$B$2:$Y$301, MATCH(ROUND(MIN(300,MAX(1,D213)),0), FactorTable!$A$2:$A$301,0), Skills!M4+1)</f>
        <v/>
      </c>
      <c r="F213">
        <f>IF(Skills!N4=TRUE,(Skills!L4/10)*(E213/1000),Skills!L4/10)+Skills!O4</f>
        <v/>
      </c>
      <c r="G213" t="inlineStr"/>
      <c r="H213" t="inlineStr"/>
      <c r="I213" t="inlineStr">
        <is>
          <t>1</t>
        </is>
      </c>
      <c r="J213" t="inlineStr"/>
      <c r="K213" t="inlineStr"/>
      <c r="L213" t="inlineStr"/>
      <c r="M213" t="inlineStr"/>
      <c r="N213" t="inlineStr"/>
      <c r="O213" t="inlineStr"/>
      <c r="P213" t="inlineStr"/>
      <c r="Q213" t="inlineStr"/>
      <c r="R213" t="inlineStr"/>
      <c r="S213" t="inlineStr"/>
      <c r="U213">
        <f>290*U212/1000</f>
        <v/>
      </c>
    </row>
    <row r="214">
      <c r="A214">
        <f>Skills!A5</f>
        <v/>
      </c>
      <c r="B214">
        <f>Skills!B5</f>
        <v/>
      </c>
      <c r="C214">
        <f>Inputs!$B$3&gt;=35</f>
        <v/>
      </c>
      <c r="D214">
        <f>IF(Skills!C5=1,60+Inputs!$B$25+Inputs!$B$29,IF(Skills!C5=2,90+Inputs!$B$26+Inputs!$B$29,IF(Skills!C5=3,120+Inputs!$B$27+Inputs!$B$29,MAX(0,(Inputs!$B$3-100)*3)+Inputs!$B$28+Inputs!$B$29)))</f>
        <v/>
      </c>
      <c r="E214">
        <f>INDEX(FactorTable!$B$2:$Y$301, MATCH(ROUND(MIN(300,MAX(1,D214)),0), FactorTable!$A$2:$A$301,0), Skills!M5+1)</f>
        <v/>
      </c>
      <c r="F214">
        <f>IF(Skills!N5=TRUE,(Skills!L5/10)*(E214/1000),Skills!L5/10)+Skills!O5</f>
        <v/>
      </c>
      <c r="G214">
        <f>Skills!G5*IF(Skills!H5&gt;0,Skills!I5/Skills!H5,1)</f>
        <v/>
      </c>
      <c r="H214">
        <f>1-(1-Skills!J5/100)^Skills!K5</f>
        <v/>
      </c>
      <c r="I214" t="inlineStr">
        <is>
          <t>1</t>
        </is>
      </c>
      <c r="J214">
        <f>((Inputs!$B$6*(1+Inputs!$B$7/100))+(((Inputs!$B$12*(1+Inputs!$B$13/100))-(Inputs!$B$12*(1+Inputs!$B$13/100)))+0.25*(Inputs!$B$14-Inputs!$B$14))*(1+Inputs!$B$7/100))*(F214/100)</f>
        <v/>
      </c>
      <c r="K214">
        <f>J214*(1+((Inputs!$B$12*(1+Inputs!$B$13/100))*0.01+Inputs!$B$14*0.0025)/100)*(1+Inputs!$B$15/100)*(1+IF(Inputs!$B$38="pvp",0,(1-Summary!$B$55)*(Inputs!$B$20+0+Skills!P5)+Summary!$B$55*(Inputs!$B$21+Skills!Q5))/100)*(1+(Inputs!$B$16+1)/100)*(5000/(6000+Inputs!$B$42*(1-(Inputs!$B$19+((C236=TRUE)*(F236-Calc!F27)))/100)))*(1+(Inputs!$B$24+((C234=TRUE)*(F234-Calc!F25))+((C235=TRUE)*(F235-Calc!F26))+B248)/100)*(1+4.0*IF(C219=TRUE,F219,0)/100)*(1+(IF(Skills!A5="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214)</f>
        <v/>
      </c>
      <c r="L214">
        <f>K214*(MIN(Inputs!$B$22+((C233=TRUE)*(F233-Calc!F24)),Inputs!$B$23+((C238=TRUE)*(F238-Calc!F29)))/100+(Inputs!$B$23+((C238=TRUE)*(F238-Calc!F29)))/100)/2</f>
        <v/>
      </c>
      <c r="M214">
        <f>L214*(1+(Inputs!$B$10+0+B247)/100)</f>
        <v/>
      </c>
      <c r="N214">
        <f>L214*(1-MIN((Inputs!$B$9+((C229=TRUE)*(F229-Calc!F20))+B242),100)/100)+M214*(MIN((Inputs!$B$9+((C229=TRUE)*(F229-Calc!F20))+B242),100)/100)</f>
        <v/>
      </c>
      <c r="O214">
        <f>IF(C214,H214*N214*IF(AND(Inputs!$B$38&lt;&gt;"pvp",Inputs!$B$43&gt;0),((Skills!G5*((R214-1)*IF(Skills!H5&gt;0,Skills!I5/Skills!H5,1)+IF(Skills!H5&gt;0,MIN(Skills!I5,MAX(0,MAX(0,Inputs!$B$43-B249)-((R214-1)*IF(Inputs!$B$38="pvp",15,MAX(0.1,Skills!D5-IF(Skills!E5=TRUE,Inputs!$B$32,0))))))/Skills!H5,1)))/Inputs!$B$43),G214*Q214)*IF(Inputs!$B$38="pvp",1,(1-Summary!$B$55)*(1)+Summary!$B$55*(MIN(Skills!R5,Inputs!$B$37))),0)</f>
        <v/>
      </c>
      <c r="P214">
        <f>IF(B250=0,0,O214/B250)</f>
        <v/>
      </c>
      <c r="Q214">
        <f>IFERROR(1/IF(Inputs!$B$38="pvp",15,MAX(0.1,Skills!D5-IF(Skills!E5=TRUE,Inputs!$B$32,0))),0)</f>
        <v/>
      </c>
      <c r="R214">
        <f>IF(AND(Inputs!$B$38&lt;&gt;"pvp",Inputs!$B$43&gt;0),IF(MAX(0,Inputs!$B$43-B249)&lt;=0,0,(INT(MAX(0,Inputs!$B$43-B249)/IF(Inputs!$B$38="pvp",15,MAX(0.1,Skills!D5-IF(Skills!E5=TRUE,Inputs!$B$32,0))))+1)),0)</f>
        <v/>
      </c>
      <c r="S214">
        <f>IFERROR(O214/N214,0)</f>
        <v/>
      </c>
    </row>
    <row r="215">
      <c r="A215">
        <f>Skills!A6</f>
        <v/>
      </c>
      <c r="B215">
        <f>Skills!B6</f>
        <v/>
      </c>
      <c r="C215">
        <f>Inputs!$B$3&gt;=40</f>
        <v/>
      </c>
      <c r="D215">
        <f>IF(Skills!C6=1,60+Inputs!$B$25+Inputs!$B$29,IF(Skills!C6=2,90+Inputs!$B$26+Inputs!$B$29,IF(Skills!C6=3,120+Inputs!$B$27+Inputs!$B$29,MAX(0,(Inputs!$B$3-100)*3)+Inputs!$B$28+Inputs!$B$29)))</f>
        <v/>
      </c>
      <c r="E215">
        <f>INDEX(FactorTable!$B$2:$Y$301, MATCH(ROUND(MIN(300,MAX(1,D215)),0), FactorTable!$A$2:$A$301,0), Skills!M6+1)</f>
        <v/>
      </c>
      <c r="F215">
        <f>IF(Skills!N6=TRUE,(Skills!L6/10)*(E215/1000),Skills!L6/10)+Skills!O6</f>
        <v/>
      </c>
      <c r="G215">
        <f>Skills!G6*IF(Skills!H6&gt;0,Skills!I6/Skills!H6,1)</f>
        <v/>
      </c>
      <c r="H215">
        <f>1-(1-Skills!J6/100)^Skills!K6</f>
        <v/>
      </c>
      <c r="I215" t="inlineStr">
        <is>
          <t>1</t>
        </is>
      </c>
      <c r="J215">
        <f>((Inputs!$B$6*(1+Inputs!$B$7/100))+(((Inputs!$B$12*(1+Inputs!$B$13/100))-(Inputs!$B$12*(1+Inputs!$B$13/100)))+0.25*(Inputs!$B$14-Inputs!$B$14))*(1+Inputs!$B$7/100))*(F215/100)</f>
        <v/>
      </c>
      <c r="K215">
        <f>J215*(1+((Inputs!$B$12*(1+Inputs!$B$13/100))*0.01+Inputs!$B$14*0.0025)/100)*(1+Inputs!$B$15/100)*(1+IF(Inputs!$B$38="pvp",0,(1-Summary!$B$55)*(Inputs!$B$20+0+Skills!P6)+Summary!$B$55*(Inputs!$B$21+Skills!Q6))/100)*(1+(Inputs!$B$16+1)/100)*(5000/(6000+Inputs!$B$42*(1-(Inputs!$B$19+((C236=TRUE)*(F236-Calc!F27)))/100)))*(1+(Inputs!$B$24+((C234=TRUE)*(F234-Calc!F25))+((C235=TRUE)*(F235-Calc!F26))+B248)/100)*(1+IF(C216=TRUE,F216,0)/100)*(1+(IF(Skills!A6="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215)</f>
        <v/>
      </c>
      <c r="L215">
        <f>K215*(MIN(Inputs!$B$22+((C233=TRUE)*(F233-Calc!F24)),Inputs!$B$23+((C238=TRUE)*(F238-Calc!F29)))/100+(Inputs!$B$23+((C238=TRUE)*(F238-Calc!F29)))/100)/2</f>
        <v/>
      </c>
      <c r="M215">
        <f>L215*(1+(Inputs!$B$10+0+B247)/100)</f>
        <v/>
      </c>
      <c r="N215">
        <f>L215*(1-MIN((Inputs!$B$9+((C229=TRUE)*(F229-Calc!F20))+B242),100)/100)+M215*(MIN((Inputs!$B$9+((C229=TRUE)*(F229-Calc!F20))+B242),100)/100)</f>
        <v/>
      </c>
      <c r="O215">
        <f>IF(C215,H215*N215*IF(AND(Inputs!$B$38&lt;&gt;"pvp",Inputs!$B$43&gt;0),((Skills!G6*((R215-1)*IF(Skills!H6&gt;0,Skills!I6/Skills!H6,1)+IF(Skills!H6&gt;0,MIN(Skills!I6,MAX(0,MAX(0,Inputs!$B$43-B249)-((R215-1)*IF(Inputs!$B$38="pvp",15,MAX(0.1,Skills!D6-IF(Skills!E6=TRUE,Inputs!$B$32,0))))))/Skills!H6,1)))/Inputs!$B$43),G215*Q215)*IF(Inputs!$B$38="pvp",1,(1-Summary!$B$55)*(1)+Summary!$B$55*(MIN(Skills!R6,Inputs!$B$37))),0)</f>
        <v/>
      </c>
      <c r="P215">
        <f>IF(B250=0,0,O215/B250)</f>
        <v/>
      </c>
      <c r="Q215">
        <f>IFERROR(1/IF(Inputs!$B$38="pvp",15,MAX(0.1,Skills!D6-IF(Skills!E6=TRUE,Inputs!$B$32,0))),0)</f>
        <v/>
      </c>
      <c r="R215">
        <f>IF(AND(Inputs!$B$38&lt;&gt;"pvp",Inputs!$B$43&gt;0),IF(MAX(0,Inputs!$B$43-B249)&lt;=0,0,(INT(MAX(0,Inputs!$B$43-B249)/IF(Inputs!$B$38="pvp",15,MAX(0.1,Skills!D6-IF(Skills!E6=TRUE,Inputs!$B$32,0))))+1)),0)</f>
        <v/>
      </c>
      <c r="S215">
        <f>IFERROR(O215/N215,0)</f>
        <v/>
      </c>
    </row>
    <row r="216">
      <c r="A216">
        <f>Skills!A7</f>
        <v/>
      </c>
      <c r="B216">
        <f>Skills!B7</f>
        <v/>
      </c>
      <c r="C216">
        <f>Inputs!$B$3&gt;=107</f>
        <v/>
      </c>
      <c r="D216">
        <f>IF(Skills!C7=1,60+Inputs!$B$25+Inputs!$B$29,IF(Skills!C7=2,90+Inputs!$B$26+Inputs!$B$29,IF(Skills!C7=3,120+Inputs!$B$27+Inputs!$B$29,MAX(0,(Inputs!$B$3-100)*3)+Inputs!$B$28+Inputs!$B$29)))</f>
        <v/>
      </c>
      <c r="E216">
        <f>INDEX(FactorTable!$B$2:$Y$301, MATCH(ROUND(MIN(300,MAX(1,D216)),0), FactorTable!$A$2:$A$301,0), Skills!M7+1)</f>
        <v/>
      </c>
      <c r="F216">
        <f>IF(Skills!N7=TRUE,(Skills!L7/10)*(E216/1000),Skills!L7/10)+Skills!O7</f>
        <v/>
      </c>
      <c r="G216" t="inlineStr"/>
      <c r="H216" t="inlineStr"/>
      <c r="I216" t="inlineStr">
        <is>
          <t>1</t>
        </is>
      </c>
      <c r="J216" t="inlineStr"/>
      <c r="K216" t="inlineStr"/>
      <c r="L216" t="inlineStr"/>
      <c r="M216" t="inlineStr"/>
      <c r="N216" t="inlineStr"/>
      <c r="O216" t="inlineStr"/>
      <c r="P216" t="inlineStr"/>
      <c r="Q216" t="inlineStr"/>
      <c r="R216" t="inlineStr"/>
      <c r="S216" t="inlineStr"/>
    </row>
    <row r="217">
      <c r="A217">
        <f>Skills!A8</f>
        <v/>
      </c>
      <c r="B217">
        <f>Skills!B8</f>
        <v/>
      </c>
      <c r="C217">
        <f>Inputs!$B$3&gt;=69</f>
        <v/>
      </c>
      <c r="D217">
        <f>IF(Skills!C8=1,60+Inputs!$B$25+Inputs!$B$29,IF(Skills!C8=2,90+Inputs!$B$26+Inputs!$B$29,IF(Skills!C8=3,120+Inputs!$B$27+Inputs!$B$29,MAX(0,(Inputs!$B$3-100)*3)+Inputs!$B$28+Inputs!$B$29)))</f>
        <v/>
      </c>
      <c r="E217">
        <f>INDEX(FactorTable!$B$2:$Y$301, MATCH(ROUND(MIN(300,MAX(1,D217)),0), FactorTable!$A$2:$A$301,0), Skills!M8+1)</f>
        <v/>
      </c>
      <c r="F217">
        <f>IF(Skills!N8=TRUE,(Skills!L8/10)*(E217/1000),Skills!L8/10)+Skills!O8</f>
        <v/>
      </c>
      <c r="G217">
        <f>Skills!G8*IF(Skills!H8&gt;0,Skills!I8/Skills!H8,1)</f>
        <v/>
      </c>
      <c r="H217">
        <f>1-(1-Skills!J8/100)^Skills!K8</f>
        <v/>
      </c>
      <c r="I217" t="inlineStr">
        <is>
          <t>1</t>
        </is>
      </c>
      <c r="J217">
        <f>((Inputs!$B$6*(1+Inputs!$B$7/100))+(((Inputs!$B$12*(1+Inputs!$B$13/100))-(Inputs!$B$12*(1+Inputs!$B$13/100)))+0.25*(Inputs!$B$14-Inputs!$B$14))*(1+Inputs!$B$7/100))*(F217/100)</f>
        <v/>
      </c>
      <c r="K217">
        <f>J217*(1+((Inputs!$B$12*(1+Inputs!$B$13/100))*0.01+Inputs!$B$14*0.0025)/100)*(1+Inputs!$B$15/100)*(1+IF(Inputs!$B$38="pvp",0,(1-Summary!$B$55)*(Inputs!$B$20+0+Skills!P8)+Summary!$B$55*(Inputs!$B$21+Skills!Q8))/100)*(1+(Inputs!$B$16+1)/100)*(5000/(6000+Inputs!$B$42*(1-(Inputs!$B$19+((C236=TRUE)*(F236-Calc!F27)))/100)))*(1+(Inputs!$B$24+((C234=TRUE)*(F234-Calc!F25))+((C235=TRUE)*(F235-Calc!F26))+B248)/100)*(1+1.2*IF(C219=TRUE,F219,0)/100)*(1+(IF(Skills!A8="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217)</f>
        <v/>
      </c>
      <c r="L217">
        <f>K217*(MIN(Inputs!$B$22+((C233=TRUE)*(F233-Calc!F24)),Inputs!$B$23+((C238=TRUE)*(F238-Calc!F29)))/100+(Inputs!$B$23+((C238=TRUE)*(F238-Calc!F29)))/100)/2</f>
        <v/>
      </c>
      <c r="M217">
        <f>L217*(1+(Inputs!$B$10+0+B247)/100)</f>
        <v/>
      </c>
      <c r="N217">
        <f>L217*(1-MIN((Inputs!$B$9+((C229=TRUE)*(F229-Calc!F20))+B242),100)/100)+M217*(MIN((Inputs!$B$9+((C229=TRUE)*(F229-Calc!F20))+B242),100)/100)</f>
        <v/>
      </c>
      <c r="O217">
        <f>IF(C217,H217*N217*IF(AND(Inputs!$B$38&lt;&gt;"pvp",Inputs!$B$43&gt;0),((Skills!G8*((R217-1)*IF(Skills!H8&gt;0,Skills!I8/Skills!H8,1)+IF(Skills!H8&gt;0,MIN(Skills!I8,MAX(0,MAX(0,Inputs!$B$43-B249)-((R217-1)*IF(Inputs!$B$38="pvp",15,MAX(0.1,Skills!D8-IF(Skills!E8=TRUE,Inputs!$B$32,0))))))/Skills!H8,1)))/Inputs!$B$43),G217*Q217)*IF(Inputs!$B$38="pvp",1,(1-Summary!$B$55)*(1)+Summary!$B$55*(MIN(Skills!R8,Inputs!$B$37))),0)</f>
        <v/>
      </c>
      <c r="P217">
        <f>IF(B250=0,0,O217/B250)</f>
        <v/>
      </c>
      <c r="Q217">
        <f>IFERROR(1/IF(Inputs!$B$38="pvp",15,MAX(0.1,Skills!D8-IF(Skills!E8=TRUE,Inputs!$B$32,0))),0)</f>
        <v/>
      </c>
      <c r="R217">
        <f>IF(AND(Inputs!$B$38&lt;&gt;"pvp",Inputs!$B$43&gt;0),IF(MAX(0,Inputs!$B$43-B249)&lt;=0,0,(INT(MAX(0,Inputs!$B$43-B249)/IF(Inputs!$B$38="pvp",15,MAX(0.1,Skills!D8-IF(Skills!E8=TRUE,Inputs!$B$32,0))))+1)),0)</f>
        <v/>
      </c>
      <c r="S217">
        <f>IFERROR(O217/N217,0)</f>
        <v/>
      </c>
    </row>
    <row r="218">
      <c r="A218">
        <f>Skills!A9</f>
        <v/>
      </c>
      <c r="B218">
        <f>Skills!B9</f>
        <v/>
      </c>
      <c r="C218">
        <f>Inputs!$B$3&gt;=63</f>
        <v/>
      </c>
      <c r="D218">
        <f>IF(Skills!C9=1,60+Inputs!$B$25+Inputs!$B$29,IF(Skills!C9=2,90+Inputs!$B$26+Inputs!$B$29,IF(Skills!C9=3,120+Inputs!$B$27+Inputs!$B$29,MAX(0,(Inputs!$B$3-100)*3)+Inputs!$B$28+Inputs!$B$29)))</f>
        <v/>
      </c>
      <c r="E218">
        <f>INDEX(FactorTable!$B$2:$Y$301, MATCH(ROUND(MIN(300,MAX(1,D218)),0), FactorTable!$A$2:$A$301,0), Skills!M9+1)</f>
        <v/>
      </c>
      <c r="F218">
        <f>IF(Skills!N9=TRUE,(Skills!L9/10)*(E218/1000),Skills!L9/10)+Skills!O9</f>
        <v/>
      </c>
      <c r="G218">
        <f>Skills!G9*IF(Skills!H9&gt;0,Skills!I9/Skills!H9,1)</f>
        <v/>
      </c>
      <c r="H218">
        <f>1-(1-Skills!J9/100)^Skills!K9</f>
        <v/>
      </c>
      <c r="I218" t="inlineStr">
        <is>
          <t>1</t>
        </is>
      </c>
      <c r="J218">
        <f>((Inputs!$B$6*(1+Inputs!$B$7/100))+(((Inputs!$B$12*(1+Inputs!$B$13/100))-(Inputs!$B$12*(1+Inputs!$B$13/100)))+0.25*(Inputs!$B$14-Inputs!$B$14))*(1+Inputs!$B$7/100))*(F218/100)</f>
        <v/>
      </c>
      <c r="K218">
        <f>J218*(1+((Inputs!$B$12*(1+Inputs!$B$13/100))*0.01+Inputs!$B$14*0.0025)/100)*(1+Inputs!$B$15/100)*(1+IF(Inputs!$B$38="pvp",0,(1-Summary!$B$55)*(Inputs!$B$20+0+Skills!P9)+Summary!$B$55*(Inputs!$B$21+Skills!Q9))/100)*(1+(Inputs!$B$16+1)/100)*(5000/(6000+Inputs!$B$42*(1-(Inputs!$B$19+((C236=TRUE)*(F236-Calc!F27)))/100)))*(1+(Inputs!$B$24+((C234=TRUE)*(F234-Calc!F25))+((C235=TRUE)*(F235-Calc!F26))+B248)/100)*(1+1.0*IF(C219=TRUE,F219,0)/100)*(1+(IF(Skills!A9="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218)</f>
        <v/>
      </c>
      <c r="L218">
        <f>K218*(MIN(Inputs!$B$22+((C233=TRUE)*(F233-Calc!F24)),Inputs!$B$23+((C238=TRUE)*(F238-Calc!F29)))/100+(Inputs!$B$23+((C238=TRUE)*(F238-Calc!F29)))/100)/2</f>
        <v/>
      </c>
      <c r="M218">
        <f>L218*(1+(Inputs!$B$10+0+B247)/100)</f>
        <v/>
      </c>
      <c r="N218">
        <f>L218*(1-MIN((Inputs!$B$9+((C229=TRUE)*(F229-Calc!F20))+B242),100)/100)+M218*(MIN((Inputs!$B$9+((C229=TRUE)*(F229-Calc!F20))+B242),100)/100)</f>
        <v/>
      </c>
      <c r="O218">
        <f>IF(C218,H218*N218*IF(AND(Inputs!$B$38&lt;&gt;"pvp",Inputs!$B$43&gt;0),((Skills!G9*((R218-1)*IF(Skills!H9&gt;0,Skills!I9/Skills!H9,1)+IF(Skills!H9&gt;0,MIN(Skills!I9,MAX(0,MAX(0,Inputs!$B$43-B249)-((R218-1)*IF(Inputs!$B$38="pvp",15,MAX(0.1,Skills!D9-IF(Skills!E9=TRUE,Inputs!$B$32,0))))))/Skills!H9,1)))/Inputs!$B$43),G218*Q218)*IF(Inputs!$B$38="pvp",1,(1-Summary!$B$55)*(1)+Summary!$B$55*(MIN(Skills!R9,Inputs!$B$37))),0)</f>
        <v/>
      </c>
      <c r="P218">
        <f>IF(B250=0,0,O218/B250)</f>
        <v/>
      </c>
      <c r="Q218">
        <f>IFERROR(1/IF(Inputs!$B$38="pvp",15,MAX(0.1,Skills!D9-IF(Skills!E9=TRUE,Inputs!$B$32,0))),0)</f>
        <v/>
      </c>
      <c r="R218">
        <f>IF(AND(Inputs!$B$38&lt;&gt;"pvp",Inputs!$B$43&gt;0),IF(MAX(0,Inputs!$B$43-B249)&lt;=0,0,(INT(MAX(0,Inputs!$B$43-B249)/IF(Inputs!$B$38="pvp",15,MAX(0.1,Skills!D9-IF(Skills!E9=TRUE,Inputs!$B$32,0))))+1)),0)</f>
        <v/>
      </c>
      <c r="S218">
        <f>IFERROR(O218/N218,0)</f>
        <v/>
      </c>
    </row>
    <row r="219">
      <c r="A219">
        <f>Skills!A10</f>
        <v/>
      </c>
      <c r="B219">
        <f>Skills!B10</f>
        <v/>
      </c>
      <c r="C219">
        <f>Inputs!$B$3&gt;=100</f>
        <v/>
      </c>
      <c r="D219">
        <f>IF(Skills!C10=1,60+Inputs!$B$25+Inputs!$B$29,IF(Skills!C10=2,90+Inputs!$B$26+Inputs!$B$29,IF(Skills!C10=3,120+Inputs!$B$27+Inputs!$B$29,MAX(0,(Inputs!$B$3-100)*3)+Inputs!$B$28+Inputs!$B$29)))</f>
        <v/>
      </c>
      <c r="E219">
        <f>INDEX(FactorTable!$B$2:$Y$301, MATCH(ROUND(MIN(300,MAX(1,D219)),0), FactorTable!$A$2:$A$301,0), Skills!M10+1)</f>
        <v/>
      </c>
      <c r="F219">
        <f>IF(Skills!N10=TRUE,(Skills!L10/10)*(E219/1000),Skills!L10/10)+Skills!O10</f>
        <v/>
      </c>
      <c r="G219" t="inlineStr"/>
      <c r="H219" t="inlineStr"/>
      <c r="I219" t="inlineStr">
        <is>
          <t>1</t>
        </is>
      </c>
      <c r="J219" t="inlineStr"/>
      <c r="K219" t="inlineStr"/>
      <c r="L219" t="inlineStr"/>
      <c r="M219" t="inlineStr"/>
      <c r="N219" t="inlineStr"/>
      <c r="O219" t="inlineStr"/>
      <c r="P219" t="inlineStr"/>
      <c r="Q219" t="inlineStr"/>
      <c r="R219" t="inlineStr"/>
      <c r="S219" t="inlineStr"/>
    </row>
    <row r="220">
      <c r="A220">
        <f>Skills!A11</f>
        <v/>
      </c>
      <c r="B220">
        <f>Skills!B11</f>
        <v/>
      </c>
      <c r="C220">
        <f>Inputs!$B$3&gt;=60</f>
        <v/>
      </c>
      <c r="D220">
        <f>IF(Skills!C11=1,60+Inputs!$B$25+Inputs!$B$29,IF(Skills!C11=2,90+Inputs!$B$26+Inputs!$B$29,IF(Skills!C11=3,120+Inputs!$B$27+Inputs!$B$29,MAX(0,(Inputs!$B$3-100)*3)+Inputs!$B$28+Inputs!$B$29)))</f>
        <v/>
      </c>
      <c r="E220">
        <f>INDEX(FactorTable!$B$2:$Y$301, MATCH(ROUND(MIN(300,MAX(1,D220)),0), FactorTable!$A$2:$A$301,0), Skills!M11+1)</f>
        <v/>
      </c>
      <c r="F220">
        <f>IF(Skills!N11=TRUE,(Skills!L11/10)*(E220/1000),Skills!L11/10)+Skills!O11</f>
        <v/>
      </c>
      <c r="G220">
        <f>Skills!G11*IF(Skills!H11&gt;0,Skills!I11/Skills!H11,1)</f>
        <v/>
      </c>
      <c r="H220">
        <f>1-(1-Skills!J11/100)^Skills!K11</f>
        <v/>
      </c>
      <c r="I220" t="inlineStr">
        <is>
          <t>1</t>
        </is>
      </c>
      <c r="J220">
        <f>((Inputs!$B$6*(1+Inputs!$B$7/100))+(((Inputs!$B$12*(1+Inputs!$B$13/100))-(Inputs!$B$12*(1+Inputs!$B$13/100)))+0.25*(Inputs!$B$14-Inputs!$B$14))*(1+Inputs!$B$7/100))*(F220/100)</f>
        <v/>
      </c>
      <c r="K220">
        <f>J220*(1+((Inputs!$B$12*(1+Inputs!$B$13/100))*0.01+Inputs!$B$14*0.0025)/100)*(1+Inputs!$B$15/100)*(1+IF(Inputs!$B$38="pvp",0,(1-Summary!$B$55)*(Inputs!$B$20+0+Skills!P11)+Summary!$B$55*(Inputs!$B$21+Skills!Q11))/100)*(1+(Inputs!$B$16+1)/100)*(5000/(6000+Inputs!$B$42*(1-(Inputs!$B$19+((C236=TRUE)*(F236-Calc!F27)))/100)))*(1+(Inputs!$B$24+((C234=TRUE)*(F234-Calc!F25))+((C235=TRUE)*(F235-Calc!F26))+B248)/100)*(1+IF(C221=TRUE,F221,0)/100)*(1+(IF(Skills!A11="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220)</f>
        <v/>
      </c>
      <c r="L220">
        <f>K220*(MIN(Inputs!$B$22+((C233=TRUE)*(F233-Calc!F24)),Inputs!$B$23+((C238=TRUE)*(F238-Calc!F29)))/100+(Inputs!$B$23+((C238=TRUE)*(F238-Calc!F29)))/100)/2</f>
        <v/>
      </c>
      <c r="M220">
        <f>L220*(1+(Inputs!$B$10+0+B247)/100)</f>
        <v/>
      </c>
      <c r="N220">
        <f>L220*(1-MIN((Inputs!$B$9+((C229=TRUE)*(F229-Calc!F20))+B242),100)/100)+M220*(MIN((Inputs!$B$9+((C229=TRUE)*(F229-Calc!F20))+B242),100)/100)</f>
        <v/>
      </c>
      <c r="O220">
        <f>IF(C220,H220*N220*IF(AND(Inputs!$B$38&lt;&gt;"pvp",Inputs!$B$43&gt;0),((Skills!G11*((R220-1)*IF(Skills!H11&gt;0,Skills!I11/Skills!H11,1)+IF(Skills!H11&gt;0,MIN(Skills!I11,MAX(0,MAX(0,Inputs!$B$43-B249)-((R220-1)*IF(Inputs!$B$38="pvp",15,MAX(0.1,Skills!D11-IF(Skills!E11=TRUE,Inputs!$B$32,0))))))/Skills!H11,1)))/Inputs!$B$43),G220*Q220)*IF(Inputs!$B$38="pvp",1,(1-Summary!$B$55)*(1)+Summary!$B$55*(MIN(Skills!R11,Inputs!$B$37))),0)</f>
        <v/>
      </c>
      <c r="P220">
        <f>IF(B250=0,0,O220/B250)</f>
        <v/>
      </c>
      <c r="Q220">
        <f>IFERROR(1/IF(Inputs!$B$38="pvp",15,MAX(0.1,Skills!D11-IF(Skills!E11=TRUE,Inputs!$B$32,0))),0)</f>
        <v/>
      </c>
      <c r="R220">
        <f>IF(AND(Inputs!$B$38&lt;&gt;"pvp",Inputs!$B$43&gt;0),IF(MAX(0,Inputs!$B$43-B249)&lt;=0,0,(INT(MAX(0,Inputs!$B$43-B249)/IF(Inputs!$B$38="pvp",15,MAX(0.1,Skills!D11-IF(Skills!E11=TRUE,Inputs!$B$32,0))))+1)),0)</f>
        <v/>
      </c>
      <c r="S220">
        <f>IFERROR(O220/N220,0)</f>
        <v/>
      </c>
    </row>
    <row r="221">
      <c r="A221">
        <f>Skills!A12</f>
        <v/>
      </c>
      <c r="B221">
        <f>Skills!B12</f>
        <v/>
      </c>
      <c r="C221">
        <f>Inputs!$B$3&gt;=110</f>
        <v/>
      </c>
      <c r="D221">
        <f>IF(Skills!C12=1,60+Inputs!$B$25+Inputs!$B$29,IF(Skills!C12=2,90+Inputs!$B$26+Inputs!$B$29,IF(Skills!C12=3,120+Inputs!$B$27+Inputs!$B$29,MAX(0,(Inputs!$B$3-100)*3)+Inputs!$B$28+Inputs!$B$29)))</f>
        <v/>
      </c>
      <c r="E221">
        <f>INDEX(FactorTable!$B$2:$Y$301, MATCH(ROUND(MIN(300,MAX(1,D221)),0), FactorTable!$A$2:$A$301,0), Skills!M12+1)</f>
        <v/>
      </c>
      <c r="F221">
        <f>IF(Skills!N12=TRUE,(Skills!L12/10)*(E221/1000),Skills!L12/10)+Skills!O12</f>
        <v/>
      </c>
      <c r="G221" t="inlineStr"/>
      <c r="H221" t="inlineStr"/>
      <c r="I221" t="inlineStr">
        <is>
          <t>1</t>
        </is>
      </c>
      <c r="J221" t="inlineStr"/>
      <c r="K221" t="inlineStr"/>
      <c r="L221" t="inlineStr"/>
      <c r="M221" t="inlineStr"/>
      <c r="N221" t="inlineStr"/>
      <c r="O221" t="inlineStr"/>
      <c r="P221" t="inlineStr"/>
      <c r="Q221" t="inlineStr"/>
      <c r="R221" t="inlineStr"/>
      <c r="S221" t="inlineStr"/>
    </row>
    <row r="222">
      <c r="A222">
        <f>Skills!A13</f>
        <v/>
      </c>
      <c r="B222">
        <f>Skills!B13</f>
        <v/>
      </c>
      <c r="C222">
        <f>Inputs!$B$3&gt;=74</f>
        <v/>
      </c>
      <c r="D222">
        <f>IF(Skills!C13=1,60+Inputs!$B$25+Inputs!$B$29,IF(Skills!C13=2,90+Inputs!$B$26+Inputs!$B$29,IF(Skills!C13=3,120+Inputs!$B$27+Inputs!$B$29,MAX(0,(Inputs!$B$3-100)*3)+Inputs!$B$28+Inputs!$B$29)))</f>
        <v/>
      </c>
      <c r="E222">
        <f>INDEX(FactorTable!$B$2:$Y$301, MATCH(ROUND(MIN(300,MAX(1,D222)),0), FactorTable!$A$2:$A$301,0), Skills!M13+1)</f>
        <v/>
      </c>
      <c r="F222">
        <f>IF(Skills!N13=TRUE,(Skills!L13/10)*(E222/1000),Skills!L13/10)+Skills!O13</f>
        <v/>
      </c>
      <c r="G222">
        <f>Skills!G13*IF(Skills!H13&gt;0,Skills!I13/Skills!H13,1)</f>
        <v/>
      </c>
      <c r="H222">
        <f>1-(1-Skills!J13/100)^Skills!K13</f>
        <v/>
      </c>
      <c r="I222" t="inlineStr">
        <is>
          <t>1</t>
        </is>
      </c>
      <c r="J222" t="inlineStr"/>
      <c r="K222" t="inlineStr"/>
      <c r="L222" t="inlineStr"/>
      <c r="M222" t="inlineStr"/>
      <c r="N222" t="inlineStr"/>
      <c r="O222" t="n">
        <v>0</v>
      </c>
      <c r="P222">
        <f>IF(B250=0,0,O222/B250)</f>
        <v/>
      </c>
      <c r="Q222" t="n">
        <v>0</v>
      </c>
      <c r="R222" t="n">
        <v>0</v>
      </c>
      <c r="S222">
        <f>IFERROR(O222/N222,0)</f>
        <v/>
      </c>
    </row>
    <row r="223">
      <c r="A223">
        <f>Skills!A14</f>
        <v/>
      </c>
      <c r="B223">
        <f>Skills!B14</f>
        <v/>
      </c>
      <c r="C223">
        <f>Inputs!$B$3&gt;=74</f>
        <v/>
      </c>
      <c r="D223">
        <f>IF(Skills!C14=1,60+Inputs!$B$25+Inputs!$B$29,IF(Skills!C14=2,90+Inputs!$B$26+Inputs!$B$29,IF(Skills!C14=3,120+Inputs!$B$27+Inputs!$B$29,MAX(0,(Inputs!$B$3-100)*3)+Inputs!$B$28+Inputs!$B$29)))</f>
        <v/>
      </c>
      <c r="E223">
        <f>INDEX(FactorTable!$B$2:$Y$301, MATCH(ROUND(MIN(300,MAX(1,D223)),0), FactorTable!$A$2:$A$301,0), Skills!M14+1)</f>
        <v/>
      </c>
      <c r="F223">
        <f>IF(Skills!N14=TRUE,(Skills!L14/10)*(E223/1000),Skills!L14/10)+Skills!O14</f>
        <v/>
      </c>
      <c r="G223">
        <f>Skills!G14*IF(Skills!H14&gt;0,Skills!I14/Skills!H14,1)</f>
        <v/>
      </c>
      <c r="H223">
        <f>1-(1-Skills!J14/100)^Skills!K14</f>
        <v/>
      </c>
      <c r="I223" t="inlineStr">
        <is>
          <t>1</t>
        </is>
      </c>
      <c r="J223" t="inlineStr"/>
      <c r="K223" t="inlineStr"/>
      <c r="L223" t="inlineStr"/>
      <c r="M223" t="inlineStr"/>
      <c r="N223" t="inlineStr"/>
      <c r="O223" t="n">
        <v>0</v>
      </c>
      <c r="P223">
        <f>IF(B250=0,0,O223/B250)</f>
        <v/>
      </c>
      <c r="Q223" t="n">
        <v>0</v>
      </c>
      <c r="R223" t="n">
        <v>0</v>
      </c>
      <c r="S223">
        <f>IFERROR(O223/N223,0)</f>
        <v/>
      </c>
    </row>
    <row r="224">
      <c r="A224">
        <f>Skills!A15</f>
        <v/>
      </c>
      <c r="B224">
        <f>Skills!B15</f>
        <v/>
      </c>
      <c r="C224">
        <f>Inputs!$B$3&gt;=117</f>
        <v/>
      </c>
      <c r="D224">
        <f>IF(Skills!C15=1,60+Inputs!$B$25+Inputs!$B$29,IF(Skills!C15=2,90+Inputs!$B$26+Inputs!$B$29,IF(Skills!C15=3,120+Inputs!$B$27+Inputs!$B$29,MAX(0,(Inputs!$B$3-100)*3)+Inputs!$B$28+Inputs!$B$29)))</f>
        <v/>
      </c>
      <c r="E224">
        <f>INDEX(FactorTable!$B$2:$Y$301, MATCH(ROUND(MIN(300,MAX(1,D224)),0), FactorTable!$A$2:$A$301,0), Skills!M15+1)</f>
        <v/>
      </c>
      <c r="F224">
        <f>IF(Skills!N15=TRUE,(Skills!L15/10)*(E224/1000),Skills!L15/10)+Skills!O15</f>
        <v/>
      </c>
      <c r="G224">
        <f>Skills!G15*IF(Skills!H15&gt;0,Skills!I15/Skills!H15,1)</f>
        <v/>
      </c>
      <c r="H224">
        <f>1-(1-Skills!J15/100)^Skills!K15</f>
        <v/>
      </c>
      <c r="I224" t="inlineStr">
        <is>
          <t>1</t>
        </is>
      </c>
      <c r="J224" t="inlineStr"/>
      <c r="K224" t="inlineStr"/>
      <c r="L224" t="inlineStr"/>
      <c r="M224" t="inlineStr"/>
      <c r="N224" t="inlineStr"/>
      <c r="O224" t="n">
        <v>0</v>
      </c>
      <c r="P224">
        <f>IF(B250=0,0,O224/B250)</f>
        <v/>
      </c>
      <c r="Q224">
        <f>IFERROR(1/IF(Inputs!$B$38="pvp",15,MAX(0.1,Skills!D15-IF(Skills!E15=TRUE,Inputs!$B$32,0))),0)</f>
        <v/>
      </c>
      <c r="R224">
        <f>IF(AND(Inputs!$B$38&lt;&gt;"pvp",Inputs!$B$43&gt;0),IF(Inputs!$B$43&lt;=0,0,(INT(Inputs!$B$43/IF(Inputs!$B$38="pvp",15,MAX(0.1,Skills!D15-IF(Skills!E15=TRUE,Inputs!$B$32,0))))+1)),0)</f>
        <v/>
      </c>
      <c r="S224">
        <f>IFERROR(O224/N224,0)</f>
        <v/>
      </c>
    </row>
    <row r="225">
      <c r="A225">
        <f>Skills!A16</f>
        <v/>
      </c>
      <c r="B225">
        <f>Skills!B16</f>
        <v/>
      </c>
      <c r="C225">
        <f>Inputs!$B$3&gt;=115</f>
        <v/>
      </c>
      <c r="D225">
        <f>IF(Skills!C16=1,60+Inputs!$B$25+Inputs!$B$29,IF(Skills!C16=2,90+Inputs!$B$26+Inputs!$B$29,IF(Skills!C16=3,120+Inputs!$B$27+Inputs!$B$29,MAX(0,(Inputs!$B$3-100)*3)+Inputs!$B$28+Inputs!$B$29)))</f>
        <v/>
      </c>
      <c r="E225">
        <f>INDEX(FactorTable!$B$2:$Y$301, MATCH(ROUND(MIN(300,MAX(1,D225)),0), FactorTable!$A$2:$A$301,0), Skills!M16+1)</f>
        <v/>
      </c>
      <c r="F225">
        <f>IF(Skills!N16=TRUE,(Skills!L16/10)*(E225/1000),Skills!L16/10)+Skills!O16</f>
        <v/>
      </c>
      <c r="G225">
        <f>Skills!G16*IF(Skills!H16&gt;0,Skills!I16/Skills!H16,1)</f>
        <v/>
      </c>
      <c r="H225">
        <f>1-(1-Skills!J16/100)^Skills!K16</f>
        <v/>
      </c>
      <c r="I225" t="inlineStr">
        <is>
          <t>1</t>
        </is>
      </c>
      <c r="J225" t="inlineStr"/>
      <c r="K225" t="inlineStr"/>
      <c r="L225" t="inlineStr"/>
      <c r="M225" t="inlineStr"/>
      <c r="N225" t="inlineStr"/>
      <c r="O225" t="n">
        <v>0</v>
      </c>
      <c r="P225">
        <f>IF(B250=0,0,O225/B250)</f>
        <v/>
      </c>
      <c r="Q225">
        <f>IFERROR(1/IF(Inputs!$B$38="pvp",15,MAX(0.1,Skills!D16-IF(Skills!E16=TRUE,Inputs!$B$32,0))),0)</f>
        <v/>
      </c>
      <c r="R225">
        <f>IF(AND(Inputs!$B$38&lt;&gt;"pvp",Inputs!$B$43&gt;0),IF(Inputs!$B$43&lt;=0,0,(INT(Inputs!$B$43/IF(Inputs!$B$38="pvp",15,MAX(0.1,Skills!D16-IF(Skills!E16=TRUE,Inputs!$B$32,0))))+1)),0)</f>
        <v/>
      </c>
      <c r="S225">
        <f>IFERROR(O225/N225,0)</f>
        <v/>
      </c>
    </row>
    <row r="226">
      <c r="A226">
        <f>Skills!A17</f>
        <v/>
      </c>
      <c r="B226">
        <f>Skills!B17</f>
        <v/>
      </c>
      <c r="C226">
        <f>Inputs!$B$3&gt;=66</f>
        <v/>
      </c>
      <c r="D226">
        <f>IF(Skills!C17=1,60+Inputs!$B$25+Inputs!$B$29,IF(Skills!C17=2,90+Inputs!$B$26+Inputs!$B$29,IF(Skills!C17=3,120+Inputs!$B$27+Inputs!$B$29,MAX(0,(Inputs!$B$3-100)*3)+Inputs!$B$28+Inputs!$B$29)))</f>
        <v/>
      </c>
      <c r="E226">
        <f>INDEX(FactorTable!$B$2:$Y$301, MATCH(ROUND(MIN(300,MAX(1,D226)),0), FactorTable!$A$2:$A$301,0), Skills!M17+1)</f>
        <v/>
      </c>
      <c r="F226">
        <f>IF(Skills!N17=TRUE,(Skills!L17/10)*(E226/1000),Skills!L17/10)+Skills!O17</f>
        <v/>
      </c>
      <c r="G226">
        <f>Skills!G17*IF(Skills!H17&gt;0,Skills!I17/Skills!H17,1)</f>
        <v/>
      </c>
      <c r="H226">
        <f>1-(1-Skills!J17/100)^Skills!K17</f>
        <v/>
      </c>
      <c r="I226" t="inlineStr">
        <is>
          <t>1</t>
        </is>
      </c>
      <c r="J226" t="inlineStr"/>
      <c r="K226" t="inlineStr"/>
      <c r="L226" t="inlineStr"/>
      <c r="M226" t="inlineStr"/>
      <c r="N226" t="inlineStr"/>
      <c r="O226" t="n">
        <v>0</v>
      </c>
      <c r="P226">
        <f>IF(B250=0,0,O226/B250)</f>
        <v/>
      </c>
      <c r="Q226" t="n">
        <v>0</v>
      </c>
      <c r="R226" t="n">
        <v>0</v>
      </c>
      <c r="S226">
        <f>IFERROR(O226/N226,0)</f>
        <v/>
      </c>
    </row>
    <row r="227">
      <c r="A227">
        <f>Skills!A18</f>
        <v/>
      </c>
      <c r="B227">
        <f>Skills!B18</f>
        <v/>
      </c>
      <c r="C227">
        <f>Inputs!$B$3&gt;=72</f>
        <v/>
      </c>
      <c r="D227">
        <f>IF(Skills!C18=1,60+Inputs!$B$25+Inputs!$B$29,IF(Skills!C18=2,90+Inputs!$B$26+Inputs!$B$29,IF(Skills!C18=3,120+Inputs!$B$27+Inputs!$B$29,MAX(0,(Inputs!$B$3-100)*3)+Inputs!$B$28+Inputs!$B$29)))</f>
        <v/>
      </c>
      <c r="E227">
        <f>INDEX(FactorTable!$B$2:$Y$301, MATCH(ROUND(MIN(300,MAX(1,D227)),0), FactorTable!$A$2:$A$301,0), Skills!M18+1)</f>
        <v/>
      </c>
      <c r="F227">
        <f>IF(Skills!N18=TRUE,(Skills!L18/10)*(E227/1000),Skills!L18/10)+Skills!O18</f>
        <v/>
      </c>
      <c r="G227">
        <f>Skills!G18*IF(Skills!H18&gt;0,Skills!I18/Skills!H18,1)</f>
        <v/>
      </c>
      <c r="H227">
        <f>1-(1-Skills!J18/100)^Skills!K18</f>
        <v/>
      </c>
      <c r="I227" t="inlineStr">
        <is>
          <t>1</t>
        </is>
      </c>
      <c r="J227" t="inlineStr"/>
      <c r="K227" t="inlineStr"/>
      <c r="L227" t="inlineStr"/>
      <c r="M227" t="inlineStr"/>
      <c r="N227" t="inlineStr"/>
      <c r="O227" t="n">
        <v>0</v>
      </c>
      <c r="P227">
        <f>IF(B250=0,0,O227/B250)</f>
        <v/>
      </c>
      <c r="Q227" t="n">
        <v>0</v>
      </c>
      <c r="R227" t="n">
        <v>0</v>
      </c>
      <c r="S227">
        <f>IFERROR(O227/N227,0)</f>
        <v/>
      </c>
    </row>
    <row r="228">
      <c r="A228">
        <f>Skills!A19</f>
        <v/>
      </c>
      <c r="B228">
        <f>Skills!B19</f>
        <v/>
      </c>
      <c r="C228">
        <f>TRUE</f>
        <v/>
      </c>
      <c r="D228">
        <f>IF(Skills!C19=1,60+Inputs!$B$25+Inputs!$B$29,IF(Skills!C19=2,90+Inputs!$B$26+Inputs!$B$29,IF(Skills!C19=3,120+Inputs!$B$27+Inputs!$B$29,MAX(0,(Inputs!$B$3-100)*3)+Inputs!$B$28+Inputs!$B$29)))</f>
        <v/>
      </c>
      <c r="E228">
        <f>INDEX(FactorTable!$B$2:$Y$301, MATCH(ROUND(MIN(300,MAX(1,D228)),0), FactorTable!$A$2:$A$301,0), Skills!M19+1)</f>
        <v/>
      </c>
      <c r="F228">
        <f>IF(Skills!N19=TRUE,(Skills!L19/10)*(E228/1000),Skills!L19/10)+Skills!O19</f>
        <v/>
      </c>
      <c r="G228">
        <f>Skills!G19*IF(Skills!H19&gt;0,Skills!I19/Skills!H19,1)</f>
        <v/>
      </c>
      <c r="H228">
        <f>1-(1-Skills!J19/100)^Skills!K19</f>
        <v/>
      </c>
      <c r="I228" t="inlineStr">
        <is>
          <t>1</t>
        </is>
      </c>
      <c r="J228" t="inlineStr"/>
      <c r="K228" t="inlineStr"/>
      <c r="L228" t="inlineStr"/>
      <c r="M228" t="inlineStr"/>
      <c r="N228" t="inlineStr"/>
      <c r="O228" t="n">
        <v>0</v>
      </c>
      <c r="P228">
        <f>IF(B250=0,0,O228/B250)</f>
        <v/>
      </c>
      <c r="Q228">
        <f>IFERROR(1/IF(Inputs!$B$38="pvp",15,MAX(0.1,Skills!D19-IF(Skills!E19=TRUE,Inputs!$B$32,0))),0)</f>
        <v/>
      </c>
      <c r="R228">
        <f>IF(AND(Inputs!$B$38&lt;&gt;"pvp",Inputs!$B$43&gt;0),IF(Inputs!$B$43&lt;=0,0,(INT(Inputs!$B$43/IF(Inputs!$B$38="pvp",15,MAX(0.1,Skills!D19-IF(Skills!E19=TRUE,Inputs!$B$32,0))))+1)),0)</f>
        <v/>
      </c>
      <c r="S228">
        <f>IFERROR(O228/N228,0)</f>
        <v/>
      </c>
    </row>
    <row r="229">
      <c r="A229">
        <f>Skills!A20</f>
        <v/>
      </c>
      <c r="B229">
        <f>Skills!B20</f>
        <v/>
      </c>
      <c r="C229">
        <f>Inputs!$B$3&gt;=15</f>
        <v/>
      </c>
      <c r="D229">
        <f>IF(Skills!C20=1,60+Inputs!$B$25+Inputs!$B$29,IF(Skills!C20=2,90+Inputs!$B$26+Inputs!$B$29,IF(Skills!C20=3,120+Inputs!$B$27+Inputs!$B$29,MAX(0,(Inputs!$B$3-100)*3)+Inputs!$B$28+Inputs!$B$29)))</f>
        <v/>
      </c>
      <c r="E229">
        <f>INDEX(FactorTable!$B$2:$Y$301, MATCH(ROUND(MIN(300,MAX(1,D229)),0), FactorTable!$A$2:$A$301,0), Skills!M20+1)</f>
        <v/>
      </c>
      <c r="F229">
        <f>IF(Skills!N20=TRUE,(Skills!L20/10)*(E229/1000),Skills!L20/10)+Skills!O20</f>
        <v/>
      </c>
      <c r="G229">
        <f>Skills!G20*IF(Skills!H20&gt;0,Skills!I20/Skills!H20,1)</f>
        <v/>
      </c>
      <c r="H229">
        <f>1-(1-Skills!J20/100)^Skills!K20</f>
        <v/>
      </c>
      <c r="I229" t="inlineStr">
        <is>
          <t>1</t>
        </is>
      </c>
      <c r="J229" t="inlineStr"/>
      <c r="K229" t="inlineStr"/>
      <c r="L229" t="inlineStr"/>
      <c r="M229" t="inlineStr"/>
      <c r="N229" t="inlineStr"/>
      <c r="O229" t="n">
        <v>0</v>
      </c>
      <c r="P229">
        <f>IF(B250=0,0,O229/B250)</f>
        <v/>
      </c>
      <c r="Q229" t="n">
        <v>0</v>
      </c>
      <c r="R229" t="n">
        <v>0</v>
      </c>
      <c r="S229">
        <f>IFERROR(O229/N229,0)</f>
        <v/>
      </c>
    </row>
    <row r="230">
      <c r="A230">
        <f>Skills!A21</f>
        <v/>
      </c>
      <c r="B230">
        <f>Skills!B21</f>
        <v/>
      </c>
      <c r="C230">
        <f>Inputs!$B$3&gt;=10</f>
        <v/>
      </c>
      <c r="D230">
        <f>IF(Skills!C21=1,60+Inputs!$B$25+Inputs!$B$29,IF(Skills!C21=2,90+Inputs!$B$26+Inputs!$B$29,IF(Skills!C21=3,120+Inputs!$B$27+Inputs!$B$29,MAX(0,(Inputs!$B$3-100)*3)+Inputs!$B$28+Inputs!$B$29)))</f>
        <v/>
      </c>
      <c r="E230">
        <f>INDEX(FactorTable!$B$2:$Y$301, MATCH(ROUND(MIN(300,MAX(1,D230)),0), FactorTable!$A$2:$A$301,0), Skills!M21+1)</f>
        <v/>
      </c>
      <c r="F230">
        <f>IF(Skills!N21=TRUE,(Skills!L21/10)*(E230/1000),Skills!L21/10)+Skills!O21</f>
        <v/>
      </c>
      <c r="G230">
        <f>Skills!G21*IF(Skills!H21&gt;0,Skills!I21/Skills!H21,1)</f>
        <v/>
      </c>
      <c r="H230">
        <f>1-(1-Skills!J21/100)^Skills!K21</f>
        <v/>
      </c>
      <c r="I230" t="inlineStr">
        <is>
          <t>1</t>
        </is>
      </c>
      <c r="J230" t="inlineStr"/>
      <c r="K230" t="inlineStr"/>
      <c r="L230" t="inlineStr"/>
      <c r="M230" t="inlineStr"/>
      <c r="N230" t="inlineStr"/>
      <c r="O230" t="n">
        <v>0</v>
      </c>
      <c r="P230">
        <f>IF(B250=0,0,O230/B250)</f>
        <v/>
      </c>
      <c r="Q230" t="n">
        <v>0</v>
      </c>
      <c r="R230" t="n">
        <v>0</v>
      </c>
      <c r="S230">
        <f>IFERROR(O230/N230,0)</f>
        <v/>
      </c>
    </row>
    <row r="231">
      <c r="A231">
        <f>Skills!A22</f>
        <v/>
      </c>
      <c r="B231">
        <f>Skills!B22</f>
        <v/>
      </c>
      <c r="C231">
        <f>Inputs!$B$3&gt;=33</f>
        <v/>
      </c>
      <c r="D231">
        <f>IF(Skills!C22=1,60+Inputs!$B$25+Inputs!$B$29,IF(Skills!C22=2,90+Inputs!$B$26+Inputs!$B$29,IF(Skills!C22=3,120+Inputs!$B$27+Inputs!$B$29,MAX(0,(Inputs!$B$3-100)*3)+Inputs!$B$28+Inputs!$B$29)))</f>
        <v/>
      </c>
      <c r="E231">
        <f>INDEX(FactorTable!$B$2:$Y$301, MATCH(ROUND(MIN(300,MAX(1,D231)),0), FactorTable!$A$2:$A$301,0), Skills!M22+1)</f>
        <v/>
      </c>
      <c r="F231">
        <f>IF(Skills!N22=TRUE,(Skills!L22/10)*(E231/1000),Skills!L22/10)+Skills!O22</f>
        <v/>
      </c>
      <c r="G231">
        <f>Skills!G22*IF(Skills!H22&gt;0,Skills!I22/Skills!H22,1)</f>
        <v/>
      </c>
      <c r="H231">
        <f>1-(1-Skills!J22/100)^Skills!K22</f>
        <v/>
      </c>
      <c r="I231" t="inlineStr">
        <is>
          <t>1</t>
        </is>
      </c>
      <c r="J231" t="inlineStr"/>
      <c r="K231" t="inlineStr"/>
      <c r="L231" t="inlineStr"/>
      <c r="M231" t="inlineStr"/>
      <c r="N231" t="inlineStr"/>
      <c r="O231" t="n">
        <v>0</v>
      </c>
      <c r="P231">
        <f>IF(B250=0,0,O231/B250)</f>
        <v/>
      </c>
      <c r="Q231" t="n">
        <v>0</v>
      </c>
      <c r="R231" t="n">
        <v>0</v>
      </c>
      <c r="S231">
        <f>IFERROR(O231/N231,0)</f>
        <v/>
      </c>
    </row>
    <row r="232">
      <c r="A232">
        <f>Skills!A23</f>
        <v/>
      </c>
      <c r="B232">
        <f>Skills!B23</f>
        <v/>
      </c>
      <c r="C232">
        <f>Inputs!$B$3&gt;=38</f>
        <v/>
      </c>
      <c r="D232">
        <f>IF(Skills!C23=1,60+Inputs!$B$25+Inputs!$B$29,IF(Skills!C23=2,90+Inputs!$B$26+Inputs!$B$29,IF(Skills!C23=3,120+Inputs!$B$27+Inputs!$B$29,MAX(0,(Inputs!$B$3-100)*3)+Inputs!$B$28+Inputs!$B$29)))</f>
        <v/>
      </c>
      <c r="E232">
        <f>INDEX(FactorTable!$B$2:$Y$301, MATCH(ROUND(MIN(300,MAX(1,D232)),0), FactorTable!$A$2:$A$301,0), Skills!M23+1)</f>
        <v/>
      </c>
      <c r="F232">
        <f>IF(Skills!N23=TRUE,(Skills!L23/10)*(E232/1000),Skills!L23/10)+Skills!O23</f>
        <v/>
      </c>
      <c r="G232">
        <f>Skills!G23*IF(Skills!H23&gt;0,Skills!I23/Skills!H23,1)</f>
        <v/>
      </c>
      <c r="H232">
        <f>1-(1-Skills!J23/100)^Skills!K23</f>
        <v/>
      </c>
      <c r="I232" t="inlineStr">
        <is>
          <t>1</t>
        </is>
      </c>
      <c r="J232" t="inlineStr"/>
      <c r="K232" t="inlineStr"/>
      <c r="L232" t="inlineStr"/>
      <c r="M232" t="inlineStr"/>
      <c r="N232" t="inlineStr"/>
      <c r="O232" t="n">
        <v>0</v>
      </c>
      <c r="P232">
        <f>IF(B250=0,0,O232/B250)</f>
        <v/>
      </c>
      <c r="Q232" t="n">
        <v>0</v>
      </c>
      <c r="R232" t="n">
        <v>0</v>
      </c>
      <c r="S232">
        <f>IFERROR(O232/N232,0)</f>
        <v/>
      </c>
    </row>
    <row r="233">
      <c r="A233">
        <f>Skills!A24</f>
        <v/>
      </c>
      <c r="B233">
        <f>Skills!B24</f>
        <v/>
      </c>
      <c r="C233">
        <f>Inputs!$B$3&gt;=43</f>
        <v/>
      </c>
      <c r="D233">
        <f>IF(Skills!C24=1,60+Inputs!$B$25+Inputs!$B$29,IF(Skills!C24=2,90+Inputs!$B$26+Inputs!$B$29,IF(Skills!C24=3,120+Inputs!$B$27+Inputs!$B$29,MAX(0,(Inputs!$B$3-100)*3)+Inputs!$B$28+Inputs!$B$29)))</f>
        <v/>
      </c>
      <c r="E233">
        <f>INDEX(FactorTable!$B$2:$Y$301, MATCH(ROUND(MIN(300,MAX(1,D233)),0), FactorTable!$A$2:$A$301,0), Skills!M24+1)</f>
        <v/>
      </c>
      <c r="F233">
        <f>IF(Skills!N24=TRUE,(Skills!L24/10)*(E233/1000),Skills!L24/10)+Skills!O24</f>
        <v/>
      </c>
      <c r="G233">
        <f>Skills!G24*IF(Skills!H24&gt;0,Skills!I24/Skills!H24,1)</f>
        <v/>
      </c>
      <c r="H233">
        <f>1-(1-Skills!J24/100)^Skills!K24</f>
        <v/>
      </c>
      <c r="I233" t="inlineStr">
        <is>
          <t>1</t>
        </is>
      </c>
      <c r="J233" t="inlineStr"/>
      <c r="K233" t="inlineStr"/>
      <c r="L233" t="inlineStr"/>
      <c r="M233" t="inlineStr"/>
      <c r="N233" t="inlineStr"/>
      <c r="O233" t="n">
        <v>0</v>
      </c>
      <c r="P233">
        <f>IF(B250=0,0,O233/B250)</f>
        <v/>
      </c>
      <c r="Q233" t="n">
        <v>0</v>
      </c>
      <c r="R233" t="n">
        <v>0</v>
      </c>
      <c r="S233">
        <f>IFERROR(O233/N233,0)</f>
        <v/>
      </c>
    </row>
    <row r="234">
      <c r="A234">
        <f>Skills!A25</f>
        <v/>
      </c>
      <c r="B234">
        <f>Skills!B25</f>
        <v/>
      </c>
      <c r="C234">
        <f>Inputs!$B$3&gt;=75</f>
        <v/>
      </c>
      <c r="D234">
        <f>IF(Skills!C25=1,60+Inputs!$B$25+Inputs!$B$29,IF(Skills!C25=2,90+Inputs!$B$26+Inputs!$B$29,IF(Skills!C25=3,120+Inputs!$B$27+Inputs!$B$29,MAX(0,(Inputs!$B$3-100)*3)+Inputs!$B$28+Inputs!$B$29)))</f>
        <v/>
      </c>
      <c r="E234">
        <f>INDEX(FactorTable!$B$2:$Y$301, MATCH(ROUND(MIN(300,MAX(1,D234)),0), FactorTable!$A$2:$A$301,0), Skills!M25+1)</f>
        <v/>
      </c>
      <c r="F234">
        <f>IF(Skills!N25=TRUE,(Skills!L25/10)*(E234/1000),Skills!L25/10)+Skills!O25</f>
        <v/>
      </c>
      <c r="G234">
        <f>Skills!G25*IF(Skills!H25&gt;0,Skills!I25/Skills!H25,1)</f>
        <v/>
      </c>
      <c r="H234">
        <f>1-(1-Skills!J25/100)^Skills!K25</f>
        <v/>
      </c>
      <c r="I234" t="inlineStr">
        <is>
          <t>1</t>
        </is>
      </c>
      <c r="J234" t="inlineStr"/>
      <c r="K234" t="inlineStr"/>
      <c r="L234" t="inlineStr"/>
      <c r="M234" t="inlineStr"/>
      <c r="N234" t="inlineStr"/>
      <c r="O234" t="n">
        <v>0</v>
      </c>
      <c r="P234">
        <f>IF(B250=0,0,O234/B250)</f>
        <v/>
      </c>
      <c r="Q234" t="n">
        <v>0</v>
      </c>
      <c r="R234" t="n">
        <v>0</v>
      </c>
      <c r="S234">
        <f>IFERROR(O234/N234,0)</f>
        <v/>
      </c>
    </row>
    <row r="235">
      <c r="A235">
        <f>Skills!A26</f>
        <v/>
      </c>
      <c r="B235">
        <f>Skills!B26</f>
        <v/>
      </c>
      <c r="C235">
        <f>Inputs!$B$3&gt;=125</f>
        <v/>
      </c>
      <c r="D235">
        <f>IF(Skills!C26=1,60+Inputs!$B$25+Inputs!$B$29,IF(Skills!C26=2,90+Inputs!$B$26+Inputs!$B$29,IF(Skills!C26=3,120+Inputs!$B$27+Inputs!$B$29,MAX(0,(Inputs!$B$3-100)*3)+Inputs!$B$28+Inputs!$B$29)))</f>
        <v/>
      </c>
      <c r="E235">
        <f>INDEX(FactorTable!$B$2:$Y$301, MATCH(ROUND(MIN(300,MAX(1,D235)),0), FactorTable!$A$2:$A$301,0), Skills!M26+1)</f>
        <v/>
      </c>
      <c r="F235">
        <f>IF(Skills!N26=TRUE,(Skills!L26/10)*(E235/1000),Skills!L26/10)+Skills!O26</f>
        <v/>
      </c>
      <c r="G235">
        <f>Skills!G26*IF(Skills!H26&gt;0,Skills!I26/Skills!H26,1)</f>
        <v/>
      </c>
      <c r="H235">
        <f>1-(1-Skills!J26/100)^Skills!K26</f>
        <v/>
      </c>
      <c r="I235" t="inlineStr">
        <is>
          <t>1</t>
        </is>
      </c>
      <c r="J235" t="inlineStr"/>
      <c r="K235" t="inlineStr"/>
      <c r="L235" t="inlineStr"/>
      <c r="M235" t="inlineStr"/>
      <c r="N235" t="inlineStr"/>
      <c r="O235" t="n">
        <v>0</v>
      </c>
      <c r="P235">
        <f>IF(B250=0,0,O235/B250)</f>
        <v/>
      </c>
      <c r="Q235" t="n">
        <v>0</v>
      </c>
      <c r="R235" t="n">
        <v>0</v>
      </c>
      <c r="S235">
        <f>IFERROR(O235/N235,0)</f>
        <v/>
      </c>
    </row>
    <row r="236">
      <c r="A236">
        <f>Skills!A27</f>
        <v/>
      </c>
      <c r="B236">
        <f>Skills!B27</f>
        <v/>
      </c>
      <c r="C236">
        <f>Inputs!$B$3&gt;=125</f>
        <v/>
      </c>
      <c r="D236">
        <f>IF(Skills!C27=1,60+Inputs!$B$25+Inputs!$B$29,IF(Skills!C27=2,90+Inputs!$B$26+Inputs!$B$29,IF(Skills!C27=3,120+Inputs!$B$27+Inputs!$B$29,MAX(0,(Inputs!$B$3-100)*3)+Inputs!$B$28+Inputs!$B$29)))</f>
        <v/>
      </c>
      <c r="E236">
        <f>INDEX(FactorTable!$B$2:$Y$301, MATCH(ROUND(MIN(300,MAX(1,D236)),0), FactorTable!$A$2:$A$301,0), Skills!M27+1)</f>
        <v/>
      </c>
      <c r="F236">
        <f>IF(Skills!N27=TRUE,(Skills!L27/10)*(E236/1000),Skills!L27/10)+Skills!O27</f>
        <v/>
      </c>
      <c r="G236">
        <f>Skills!G27*IF(Skills!H27&gt;0,Skills!I27/Skills!H27,1)</f>
        <v/>
      </c>
      <c r="H236">
        <f>1-(1-Skills!J27/100)^Skills!K27</f>
        <v/>
      </c>
      <c r="I236" t="inlineStr">
        <is>
          <t>1</t>
        </is>
      </c>
      <c r="J236" t="inlineStr"/>
      <c r="K236" t="inlineStr"/>
      <c r="L236" t="inlineStr"/>
      <c r="M236" t="inlineStr"/>
      <c r="N236" t="inlineStr"/>
      <c r="O236" t="n">
        <v>0</v>
      </c>
      <c r="P236">
        <f>IF(B250=0,0,O236/B250)</f>
        <v/>
      </c>
      <c r="Q236" t="n">
        <v>0</v>
      </c>
      <c r="R236" t="n">
        <v>0</v>
      </c>
      <c r="S236">
        <f>IFERROR(O236/N236,0)</f>
        <v/>
      </c>
    </row>
    <row r="237">
      <c r="A237">
        <f>Skills!A28</f>
        <v/>
      </c>
      <c r="B237">
        <f>Skills!B28</f>
        <v/>
      </c>
      <c r="C237">
        <f>Inputs!$B$3&gt;=120</f>
        <v/>
      </c>
      <c r="D237">
        <f>IF(Skills!C28=1,60+Inputs!$B$25+Inputs!$B$29,IF(Skills!C28=2,90+Inputs!$B$26+Inputs!$B$29,IF(Skills!C28=3,120+Inputs!$B$27+Inputs!$B$29,MAX(0,(Inputs!$B$3-100)*3)+Inputs!$B$28+Inputs!$B$29)))</f>
        <v/>
      </c>
      <c r="E237">
        <f>INDEX(FactorTable!$B$2:$Y$301, MATCH(ROUND(MIN(300,MAX(1,D237)),0), FactorTable!$A$2:$A$301,0), Skills!M28+1)</f>
        <v/>
      </c>
      <c r="F237">
        <f>IF(Skills!N28=TRUE,(Skills!L28/10)*(E237/1000),Skills!L28/10)+Skills!O28</f>
        <v/>
      </c>
      <c r="G237">
        <f>Skills!G28*IF(Skills!H28&gt;0,Skills!I28/Skills!H28,1)</f>
        <v/>
      </c>
      <c r="H237">
        <f>1-(1-Skills!J28/100)^Skills!K28</f>
        <v/>
      </c>
      <c r="I237" t="inlineStr">
        <is>
          <t>1</t>
        </is>
      </c>
      <c r="J237" t="inlineStr"/>
      <c r="K237" t="inlineStr"/>
      <c r="L237" t="inlineStr"/>
      <c r="M237" t="inlineStr"/>
      <c r="N237" t="inlineStr"/>
      <c r="O237" t="n">
        <v>0</v>
      </c>
      <c r="P237">
        <f>IF(B250=0,0,O237/B250)</f>
        <v/>
      </c>
      <c r="Q237" t="n">
        <v>0</v>
      </c>
      <c r="R237" t="n">
        <v>0</v>
      </c>
      <c r="S237">
        <f>IFERROR(O237/N237,0)</f>
        <v/>
      </c>
    </row>
    <row r="238">
      <c r="A238">
        <f>Skills!A29</f>
        <v/>
      </c>
      <c r="B238">
        <f>Skills!B29</f>
        <v/>
      </c>
      <c r="C238">
        <f>Inputs!$B$3&gt;=120</f>
        <v/>
      </c>
      <c r="D238">
        <f>IF(Skills!C29=1,60+Inputs!$B$25+Inputs!$B$29,IF(Skills!C29=2,90+Inputs!$B$26+Inputs!$B$29,IF(Skills!C29=3,120+Inputs!$B$27+Inputs!$B$29,MAX(0,(Inputs!$B$3-100)*3)+Inputs!$B$28+Inputs!$B$29)))</f>
        <v/>
      </c>
      <c r="E238">
        <f>INDEX(FactorTable!$B$2:$Y$301, MATCH(ROUND(MIN(300,MAX(1,D238)),0), FactorTable!$A$2:$A$301,0), Skills!M29+1)</f>
        <v/>
      </c>
      <c r="F238">
        <f>IF(Skills!N29=TRUE,(Skills!L29/10)*(E238/1000),Skills!L29/10)+Skills!O29</f>
        <v/>
      </c>
      <c r="G238">
        <f>Skills!G29*IF(Skills!H29&gt;0,Skills!I29/Skills!H29,1)</f>
        <v/>
      </c>
      <c r="H238">
        <f>1-(1-Skills!J29/100)^Skills!K29</f>
        <v/>
      </c>
      <c r="I238" t="inlineStr">
        <is>
          <t>1</t>
        </is>
      </c>
      <c r="J238" t="inlineStr"/>
      <c r="K238" t="inlineStr"/>
      <c r="L238" t="inlineStr"/>
      <c r="M238" t="inlineStr"/>
      <c r="N238" t="inlineStr"/>
      <c r="O238" t="n">
        <v>0</v>
      </c>
      <c r="P238">
        <f>IF(B250=0,0,O238/B250)</f>
        <v/>
      </c>
      <c r="Q238" t="n">
        <v>0</v>
      </c>
      <c r="R238" t="n">
        <v>0</v>
      </c>
      <c r="S238">
        <f>IFERROR(O238/N238,0)</f>
        <v/>
      </c>
    </row>
    <row r="239">
      <c r="A239">
        <f>Skills!A30</f>
        <v/>
      </c>
      <c r="B239">
        <f>Skills!B30</f>
        <v/>
      </c>
      <c r="C239">
        <f>Inputs!$B$3&gt;=45</f>
        <v/>
      </c>
      <c r="D239">
        <f>IF(Skills!C30=1,60+Inputs!$B$25+Inputs!$B$29,IF(Skills!C30=2,90+Inputs!$B$26+Inputs!$B$29,IF(Skills!C30=3,120+Inputs!$B$27+Inputs!$B$29,MAX(0,(Inputs!$B$3-100)*3)+Inputs!$B$28+Inputs!$B$29)))</f>
        <v/>
      </c>
      <c r="E239">
        <f>INDEX(FactorTable!$B$2:$Y$301, MATCH(ROUND(MIN(300,MAX(1,D239)),0), FactorTable!$A$2:$A$301,0), Skills!M30+1)</f>
        <v/>
      </c>
      <c r="F239">
        <f>IF(Skills!N30=TRUE,(Skills!L30/10)*(E239/1000),Skills!L30/10)+Skills!O30</f>
        <v/>
      </c>
      <c r="G239">
        <f>Skills!G30*IF(Skills!H30&gt;0,Skills!I30/Skills!H30,1)</f>
        <v/>
      </c>
      <c r="H239">
        <f>1-(1-Skills!J30/100)^Skills!K30</f>
        <v/>
      </c>
      <c r="I239" t="inlineStr">
        <is>
          <t>1</t>
        </is>
      </c>
      <c r="J239" t="inlineStr"/>
      <c r="K239" t="inlineStr"/>
      <c r="L239" t="inlineStr"/>
      <c r="M239" t="inlineStr"/>
      <c r="N239" t="inlineStr"/>
      <c r="O239" t="n">
        <v>0</v>
      </c>
      <c r="P239">
        <f>IF(B250=0,0,O239/B250)</f>
        <v/>
      </c>
      <c r="Q239" t="n">
        <v>0</v>
      </c>
      <c r="R239" t="n">
        <v>0</v>
      </c>
      <c r="S239">
        <f>IFERROR(O239/N239,0)</f>
        <v/>
      </c>
    </row>
    <row r="241">
      <c r="A241" t="inlineStr">
        <is>
          <t>Attack% Bucket Multiplier</t>
        </is>
      </c>
      <c r="B241">
        <f>(1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f>
        <v/>
      </c>
    </row>
    <row r="242">
      <c r="A242" t="inlineStr">
        <is>
          <t>Global Crit Rate Bonus %</t>
        </is>
      </c>
      <c r="B242">
        <f>(C225=TRUE)*20*IF(AND(Inputs!$B$38&lt;&gt;"pvp",Inputs!$B$43&gt;0),(((R225-1)*(Skills!T16*(1+Inputs!$B$34/100))+MIN((Skills!T16*(1+Inputs!$B$34/100)),MAX(0,Inputs!$B$43-((R225-1)*Skills!D16))))/Inputs!$B$43),IF(Inputs!$B$38="pvp",MIN((Skills!T16*(1+Inputs!$B$34/100)),15)/15,(Skills!T16*(1+Inputs!$B$34/100))/Skills!D16))</f>
        <v/>
      </c>
    </row>
    <row r="243">
      <c r="A243" t="inlineStr">
        <is>
          <t>Attack Speed Buff Bonus %</t>
        </is>
      </c>
      <c r="B243">
        <f>((C228=TRUE)*F228*IF(AND(Inputs!$B$38&lt;&gt;"pvp",Inputs!$B$43&gt;0),(((R228-1)*(Skills!T19*(1+Inputs!$B$34/100))+MIN((Skills!T19*(1+Inputs!$B$34/100)),MAX(0,Inputs!$B$43-((R228-1)*Skills!D19))))/Inputs!$B$43),IF(Inputs!$B$38="pvp",MIN((Skills!T19*(1+Inputs!$B$34/100)),15)/15,(Skills!T19*(1+Inputs!$B$34/100))/Skills!D19)))</f>
        <v/>
      </c>
    </row>
    <row r="244">
      <c r="A244" t="inlineStr">
        <is>
          <t>Actions Per Second</t>
        </is>
      </c>
      <c r="B244">
        <f>1+MIN(150,150*(1-(1-(Inputs!$B$11+((C230=TRUE)*(F230-Calc!F21))+((C231=TRUE)*(F231-Calc!F22)))/150)*(1-B243/150)))/100</f>
        <v/>
      </c>
    </row>
    <row r="245">
      <c r="A245" t="inlineStr">
        <is>
          <t>Skill + Buff Cast Rate</t>
        </is>
      </c>
      <c r="B245">
        <f>IF(AND(Inputs!$B$38&lt;&gt;"pvp",Inputs!$B$43&gt;0),SUMPRODUCT((Skills!E2:E30=TRUE)*(C211:C239=TRUE)*R211:R239*Skills!F2:F30)/Inputs!$B$43,SUMPRODUCT((Skills!E2:E30=TRUE)*(C211:C239=TRUE)*Q211:Q239*Skills!F2:F30))</f>
        <v/>
      </c>
    </row>
    <row r="246">
      <c r="A246" t="inlineStr">
        <is>
          <t>Arrow Stream Casts Per Second</t>
        </is>
      </c>
      <c r="B246">
        <f>MAX(0,B244-B245)</f>
        <v/>
      </c>
    </row>
    <row r="247">
      <c r="A247" t="inlineStr">
        <is>
          <t>Global Critical Damage Bonus % (Sharp Eyes + Concentration)</t>
        </is>
      </c>
      <c r="B247">
        <f>(C225=TRUE)*F225*IF(AND(Inputs!$B$38&lt;&gt;"pvp",Inputs!$B$43&gt;0),(((R225-1)*(Skills!T16*(1+Inputs!$B$34/100))+MIN((Skills!T16*(1+Inputs!$B$34/100)),MAX(0,Inputs!$B$43-((R225-1)*Skills!D16))))/Inputs!$B$43),IF(Inputs!$B$38="pvp",MIN((Skills!T16*(1+Inputs!$B$34/100)),15)/15,(Skills!T16*(1+Inputs!$B$34/100))/Skills!D16))+(C226=TRUE)*30</f>
        <v/>
      </c>
    </row>
    <row r="248">
      <c r="A248" t="inlineStr">
        <is>
          <t>Global Final Damage Bonus % (Mortal Blow)</t>
        </is>
      </c>
      <c r="B248">
        <f>(C227=TRUE)*F227</f>
        <v/>
      </c>
    </row>
    <row r="249">
      <c r="A249" t="inlineStr">
        <is>
          <t>Buff-Casting Startup Delay (s, fixed-duration only)</t>
        </is>
      </c>
      <c r="B249">
        <f>IF(AND(Inputs!$B$38&lt;&gt;"pvp",Inputs!$B$43&gt;0),SUMPRODUCT((Skills!T2:T30&gt;0)*(Skills!E2:E30=TRUE)*(C211:C239=TRUE))/B244,0)</f>
        <v/>
      </c>
    </row>
    <row r="250">
      <c r="A250" s="5" t="inlineStr">
        <is>
          <t>TOTAL DPS</t>
        </is>
      </c>
      <c r="B250" s="5">
        <f>SUM(O211:O239)</f>
        <v/>
      </c>
    </row>
    <row r="253">
      <c r="A253" s="5" t="inlineStr">
        <is>
          <t>Stat: BOSS_DAMAGE %</t>
        </is>
      </c>
    </row>
    <row r="254">
      <c r="A254" s="9" t="inlineStr">
        <is>
          <t>Key</t>
        </is>
      </c>
      <c r="B254" s="9" t="inlineStr">
        <is>
          <t>Name</t>
        </is>
      </c>
      <c r="C254" s="9" t="inlineStr">
        <is>
          <t>Unlocked</t>
        </is>
      </c>
      <c r="D254" s="9" t="inlineStr">
        <is>
          <t>InputLevel</t>
        </is>
      </c>
      <c r="E254" s="9" t="inlineStr">
        <is>
          <t>Factor</t>
        </is>
      </c>
      <c r="F254" s="9" t="inlineStr">
        <is>
          <t>CoefficientPercent</t>
        </is>
      </c>
      <c r="G254" s="9" t="inlineStr">
        <is>
          <t>EffectiveHits</t>
        </is>
      </c>
      <c r="H254" s="9" t="inlineStr">
        <is>
          <t>ProcProbability</t>
        </is>
      </c>
      <c r="I254" s="9" t="inlineStr">
        <is>
          <t>MapleHeroMultiplier</t>
        </is>
      </c>
      <c r="J254" s="9" t="inlineStr">
        <is>
          <t>BaseDamage</t>
        </is>
      </c>
      <c r="K254" s="9" t="inlineStr">
        <is>
          <t>BaseHitDamage</t>
        </is>
      </c>
      <c r="L254" s="9" t="inlineStr">
        <is>
          <t>NonCritAvg</t>
        </is>
      </c>
      <c r="M254" s="9" t="inlineStr">
        <is>
          <t>CritAvg</t>
        </is>
      </c>
      <c r="N254" s="9" t="inlineStr">
        <is>
          <t>ExpectedDamage(perHit)</t>
        </is>
      </c>
      <c r="O254" s="9" t="inlineStr">
        <is>
          <t>DPS</t>
        </is>
      </c>
      <c r="P254" s="9" t="inlineStr">
        <is>
          <t>% of Total</t>
        </is>
      </c>
      <c r="Q254" s="9" t="inlineStr">
        <is>
          <t>InvCooldown</t>
        </is>
      </c>
      <c r="R254" s="9" t="inlineStr">
        <is>
          <t>CastsInFight</t>
        </is>
      </c>
      <c r="S254" s="9" t="inlineStr">
        <is>
          <t>HitRate(perSec)</t>
        </is>
      </c>
      <c r="U254" t="inlineStr">
        <is>
          <t>helpers</t>
        </is>
      </c>
    </row>
    <row r="255">
      <c r="A255">
        <f>Skills!A2</f>
        <v/>
      </c>
      <c r="B255">
        <f>Skills!B2</f>
        <v/>
      </c>
      <c r="C255">
        <f>Inputs!$B$3&gt;=100</f>
        <v/>
      </c>
      <c r="D255" t="inlineStr"/>
      <c r="E255" t="inlineStr"/>
      <c r="F255">
        <f>U257+Skills!O2</f>
        <v/>
      </c>
      <c r="G255">
        <f>Skills!G2*IF(Skills!H2&gt;0,Skills!I2/Skills!H2,1)</f>
        <v/>
      </c>
      <c r="H255">
        <f>1-(1-Skills!J2/100)^Skills!K2</f>
        <v/>
      </c>
      <c r="I255" t="inlineStr">
        <is>
          <t>1</t>
        </is>
      </c>
      <c r="J255">
        <f>((Inputs!$B$6*(1+Inputs!$B$7/100))+(((Inputs!$B$12*(1+Inputs!$B$13/100))-(Inputs!$B$12*(1+Inputs!$B$13/100)))+0.25*(Inputs!$B$14-Inputs!$B$14))*(1+Inputs!$B$7/100))*(F255/100)</f>
        <v/>
      </c>
      <c r="K255">
        <f>J255*(1+((Inputs!$B$12*(1+Inputs!$B$13/100))*0.01+Inputs!$B$14*0.0025)/100)*(1+Inputs!$B$15/100)*(1+IF(Inputs!$B$38="pvp",0,(1-Summary!$B$55)*((Inputs!$B$20+1)+0+Skills!P2)+Summary!$B$55*(Inputs!$B$21+Skills!Q2))/100)*(1+Inputs!$B$16/100)*(5000/(6000+Inputs!$B$42*(1-(Inputs!$B$19+((C280=TRUE)*(F280-Calc!F27)))/100)))*(1+(Inputs!$B$24+((C278=TRUE)*(F278-Calc!F25))+((C279=TRUE)*(F279-Calc!F26))+B292)/100)*(1+(IF(Skills!A2="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255)</f>
        <v/>
      </c>
      <c r="L255">
        <f>K255*(MIN(Inputs!$B$22+((C277=TRUE)*(F277-Calc!F24)),Inputs!$B$23+((C282=TRUE)*(F282-Calc!F29)))/100+(Inputs!$B$23+((C282=TRUE)*(F282-Calc!F29)))/100)/2</f>
        <v/>
      </c>
      <c r="M255">
        <f>L255*(1+(Inputs!$B$10+0+B291)/100)</f>
        <v/>
      </c>
      <c r="N255">
        <f>L255*(1-MIN((Inputs!$B$9+((C273=TRUE)*(F273-Calc!F20))+B286),100)/100)+M255*(MIN((Inputs!$B$9+((C273=TRUE)*(F273-Calc!F20))+B286),100)/100)</f>
        <v/>
      </c>
      <c r="O255">
        <f>IF(C255,Skills!G2*N255*B290*IF(Inputs!$B$38="pvp",1,(1-Summary!$B$55)*(1)+Summary!$B$55*(MIN((6+Inputs!$B$33),Inputs!$B$37))),0)</f>
        <v/>
      </c>
      <c r="P255">
        <f>IF(B294=0,0,O255/B294)</f>
        <v/>
      </c>
      <c r="Q255" t="n">
        <v>0</v>
      </c>
      <c r="R255" t="n">
        <v>0</v>
      </c>
      <c r="S255">
        <f>IFERROR(O255/N255,0)</f>
        <v/>
      </c>
      <c r="U255">
        <f>MAX(0,(Inputs!$B$3-100)*3)+Inputs!$B$28+Inputs!$B$29</f>
        <v/>
      </c>
    </row>
    <row r="256">
      <c r="A256">
        <f>Skills!A3</f>
        <v/>
      </c>
      <c r="B256">
        <f>Skills!B3</f>
        <v/>
      </c>
      <c r="C256">
        <f>Inputs!$B$3&gt;=50</f>
        <v/>
      </c>
      <c r="D256">
        <f>IF(Skills!C3=1,60+Inputs!$B$25+Inputs!$B$29,IF(Skills!C3=2,90+Inputs!$B$26+Inputs!$B$29,IF(Skills!C3=3,120+Inputs!$B$27+Inputs!$B$29,MAX(0,(Inputs!$B$3-100)*3)+Inputs!$B$28+Inputs!$B$29)))</f>
        <v/>
      </c>
      <c r="E256">
        <f>INDEX(FactorTable!$B$2:$Y$301, MATCH(ROUND(MIN(300,MAX(1,D256)),0), FactorTable!$A$2:$A$301,0), Skills!M3+1)</f>
        <v/>
      </c>
      <c r="F256">
        <f>IF(Skills!N3=TRUE,(Skills!L3/10)*(E256/1000),Skills!L3/10)+Skills!O3</f>
        <v/>
      </c>
      <c r="G256" t="inlineStr"/>
      <c r="H256" t="inlineStr"/>
      <c r="I256" t="inlineStr">
        <is>
          <t>1</t>
        </is>
      </c>
      <c r="J256" t="inlineStr"/>
      <c r="K256" t="inlineStr"/>
      <c r="L256" t="inlineStr"/>
      <c r="M256" t="inlineStr"/>
      <c r="N256" t="inlineStr"/>
      <c r="O256" t="inlineStr"/>
      <c r="P256" t="inlineStr"/>
      <c r="Q256" t="inlineStr"/>
      <c r="R256" t="inlineStr"/>
      <c r="S256" t="inlineStr"/>
      <c r="U256">
        <f>INDEX(FactorTable!$B$2:$Y$301, MATCH(ROUND(MIN(300,MAX(1,U255)),0), FactorTable!$A$2:$A$301,0), 22)</f>
        <v/>
      </c>
    </row>
    <row r="257">
      <c r="A257">
        <f>Skills!A4</f>
        <v/>
      </c>
      <c r="B257">
        <f>Skills!B4</f>
        <v/>
      </c>
      <c r="C257">
        <f>Inputs!$B$3&gt;=105</f>
        <v/>
      </c>
      <c r="D257">
        <f>IF(Skills!C4=1,60+Inputs!$B$25+Inputs!$B$29,IF(Skills!C4=2,90+Inputs!$B$26+Inputs!$B$29,IF(Skills!C4=3,120+Inputs!$B$27+Inputs!$B$29,MAX(0,(Inputs!$B$3-100)*3)+Inputs!$B$28+Inputs!$B$29)))</f>
        <v/>
      </c>
      <c r="E257">
        <f>INDEX(FactorTable!$B$2:$Y$301, MATCH(ROUND(MIN(300,MAX(1,D257)),0), FactorTable!$A$2:$A$301,0), Skills!M4+1)</f>
        <v/>
      </c>
      <c r="F257">
        <f>IF(Skills!N4=TRUE,(Skills!L4/10)*(E257/1000),Skills!L4/10)+Skills!O4</f>
        <v/>
      </c>
      <c r="G257" t="inlineStr"/>
      <c r="H257" t="inlineStr"/>
      <c r="I257" t="inlineStr">
        <is>
          <t>1</t>
        </is>
      </c>
      <c r="J257" t="inlineStr"/>
      <c r="K257" t="inlineStr"/>
      <c r="L257" t="inlineStr"/>
      <c r="M257" t="inlineStr"/>
      <c r="N257" t="inlineStr"/>
      <c r="O257" t="inlineStr"/>
      <c r="P257" t="inlineStr"/>
      <c r="Q257" t="inlineStr"/>
      <c r="R257" t="inlineStr"/>
      <c r="S257" t="inlineStr"/>
      <c r="U257">
        <f>290*U256/1000</f>
        <v/>
      </c>
    </row>
    <row r="258">
      <c r="A258">
        <f>Skills!A5</f>
        <v/>
      </c>
      <c r="B258">
        <f>Skills!B5</f>
        <v/>
      </c>
      <c r="C258">
        <f>Inputs!$B$3&gt;=35</f>
        <v/>
      </c>
      <c r="D258">
        <f>IF(Skills!C5=1,60+Inputs!$B$25+Inputs!$B$29,IF(Skills!C5=2,90+Inputs!$B$26+Inputs!$B$29,IF(Skills!C5=3,120+Inputs!$B$27+Inputs!$B$29,MAX(0,(Inputs!$B$3-100)*3)+Inputs!$B$28+Inputs!$B$29)))</f>
        <v/>
      </c>
      <c r="E258">
        <f>INDEX(FactorTable!$B$2:$Y$301, MATCH(ROUND(MIN(300,MAX(1,D258)),0), FactorTable!$A$2:$A$301,0), Skills!M5+1)</f>
        <v/>
      </c>
      <c r="F258">
        <f>IF(Skills!N5=TRUE,(Skills!L5/10)*(E258/1000),Skills!L5/10)+Skills!O5</f>
        <v/>
      </c>
      <c r="G258">
        <f>Skills!G5*IF(Skills!H5&gt;0,Skills!I5/Skills!H5,1)</f>
        <v/>
      </c>
      <c r="H258">
        <f>1-(1-Skills!J5/100)^Skills!K5</f>
        <v/>
      </c>
      <c r="I258" t="inlineStr">
        <is>
          <t>1</t>
        </is>
      </c>
      <c r="J258">
        <f>((Inputs!$B$6*(1+Inputs!$B$7/100))+(((Inputs!$B$12*(1+Inputs!$B$13/100))-(Inputs!$B$12*(1+Inputs!$B$13/100)))+0.25*(Inputs!$B$14-Inputs!$B$14))*(1+Inputs!$B$7/100))*(F258/100)</f>
        <v/>
      </c>
      <c r="K258">
        <f>J258*(1+((Inputs!$B$12*(1+Inputs!$B$13/100))*0.01+Inputs!$B$14*0.0025)/100)*(1+Inputs!$B$15/100)*(1+IF(Inputs!$B$38="pvp",0,(1-Summary!$B$55)*((Inputs!$B$20+1)+0+Skills!P5)+Summary!$B$55*(Inputs!$B$21+Skills!Q5))/100)*(1+Inputs!$B$16/100)*(5000/(6000+Inputs!$B$42*(1-(Inputs!$B$19+((C280=TRUE)*(F280-Calc!F27)))/100)))*(1+(Inputs!$B$24+((C278=TRUE)*(F278-Calc!F25))+((C279=TRUE)*(F279-Calc!F26))+B292)/100)*(1+4.0*IF(C263=TRUE,F263,0)/100)*(1+(IF(Skills!A5="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258)</f>
        <v/>
      </c>
      <c r="L258">
        <f>K258*(MIN(Inputs!$B$22+((C277=TRUE)*(F277-Calc!F24)),Inputs!$B$23+((C282=TRUE)*(F282-Calc!F29)))/100+(Inputs!$B$23+((C282=TRUE)*(F282-Calc!F29)))/100)/2</f>
        <v/>
      </c>
      <c r="M258">
        <f>L258*(1+(Inputs!$B$10+0+B291)/100)</f>
        <v/>
      </c>
      <c r="N258">
        <f>L258*(1-MIN((Inputs!$B$9+((C273=TRUE)*(F273-Calc!F20))+B286),100)/100)+M258*(MIN((Inputs!$B$9+((C273=TRUE)*(F273-Calc!F20))+B286),100)/100)</f>
        <v/>
      </c>
      <c r="O258">
        <f>IF(C258,H258*N258*IF(AND(Inputs!$B$38&lt;&gt;"pvp",Inputs!$B$43&gt;0),((Skills!G5*((R258-1)*IF(Skills!H5&gt;0,Skills!I5/Skills!H5,1)+IF(Skills!H5&gt;0,MIN(Skills!I5,MAX(0,MAX(0,Inputs!$B$43-B293)-((R258-1)*IF(Inputs!$B$38="pvp",15,MAX(0.1,Skills!D5-IF(Skills!E5=TRUE,Inputs!$B$32,0))))))/Skills!H5,1)))/Inputs!$B$43),G258*Q258)*IF(Inputs!$B$38="pvp",1,(1-Summary!$B$55)*(1)+Summary!$B$55*(MIN(Skills!R5,Inputs!$B$37))),0)</f>
        <v/>
      </c>
      <c r="P258">
        <f>IF(B294=0,0,O258/B294)</f>
        <v/>
      </c>
      <c r="Q258">
        <f>IFERROR(1/IF(Inputs!$B$38="pvp",15,MAX(0.1,Skills!D5-IF(Skills!E5=TRUE,Inputs!$B$32,0))),0)</f>
        <v/>
      </c>
      <c r="R258">
        <f>IF(AND(Inputs!$B$38&lt;&gt;"pvp",Inputs!$B$43&gt;0),IF(MAX(0,Inputs!$B$43-B293)&lt;=0,0,(INT(MAX(0,Inputs!$B$43-B293)/IF(Inputs!$B$38="pvp",15,MAX(0.1,Skills!D5-IF(Skills!E5=TRUE,Inputs!$B$32,0))))+1)),0)</f>
        <v/>
      </c>
      <c r="S258">
        <f>IFERROR(O258/N258,0)</f>
        <v/>
      </c>
    </row>
    <row r="259">
      <c r="A259">
        <f>Skills!A6</f>
        <v/>
      </c>
      <c r="B259">
        <f>Skills!B6</f>
        <v/>
      </c>
      <c r="C259">
        <f>Inputs!$B$3&gt;=40</f>
        <v/>
      </c>
      <c r="D259">
        <f>IF(Skills!C6=1,60+Inputs!$B$25+Inputs!$B$29,IF(Skills!C6=2,90+Inputs!$B$26+Inputs!$B$29,IF(Skills!C6=3,120+Inputs!$B$27+Inputs!$B$29,MAX(0,(Inputs!$B$3-100)*3)+Inputs!$B$28+Inputs!$B$29)))</f>
        <v/>
      </c>
      <c r="E259">
        <f>INDEX(FactorTable!$B$2:$Y$301, MATCH(ROUND(MIN(300,MAX(1,D259)),0), FactorTable!$A$2:$A$301,0), Skills!M6+1)</f>
        <v/>
      </c>
      <c r="F259">
        <f>IF(Skills!N6=TRUE,(Skills!L6/10)*(E259/1000),Skills!L6/10)+Skills!O6</f>
        <v/>
      </c>
      <c r="G259">
        <f>Skills!G6*IF(Skills!H6&gt;0,Skills!I6/Skills!H6,1)</f>
        <v/>
      </c>
      <c r="H259">
        <f>1-(1-Skills!J6/100)^Skills!K6</f>
        <v/>
      </c>
      <c r="I259" t="inlineStr">
        <is>
          <t>1</t>
        </is>
      </c>
      <c r="J259">
        <f>((Inputs!$B$6*(1+Inputs!$B$7/100))+(((Inputs!$B$12*(1+Inputs!$B$13/100))-(Inputs!$B$12*(1+Inputs!$B$13/100)))+0.25*(Inputs!$B$14-Inputs!$B$14))*(1+Inputs!$B$7/100))*(F259/100)</f>
        <v/>
      </c>
      <c r="K259">
        <f>J259*(1+((Inputs!$B$12*(1+Inputs!$B$13/100))*0.01+Inputs!$B$14*0.0025)/100)*(1+Inputs!$B$15/100)*(1+IF(Inputs!$B$38="pvp",0,(1-Summary!$B$55)*((Inputs!$B$20+1)+0+Skills!P6)+Summary!$B$55*(Inputs!$B$21+Skills!Q6))/100)*(1+Inputs!$B$16/100)*(5000/(6000+Inputs!$B$42*(1-(Inputs!$B$19+((C280=TRUE)*(F280-Calc!F27)))/100)))*(1+(Inputs!$B$24+((C278=TRUE)*(F278-Calc!F25))+((C279=TRUE)*(F279-Calc!F26))+B292)/100)*(1+IF(C260=TRUE,F260,0)/100)*(1+(IF(Skills!A6="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259)</f>
        <v/>
      </c>
      <c r="L259">
        <f>K259*(MIN(Inputs!$B$22+((C277=TRUE)*(F277-Calc!F24)),Inputs!$B$23+((C282=TRUE)*(F282-Calc!F29)))/100+(Inputs!$B$23+((C282=TRUE)*(F282-Calc!F29)))/100)/2</f>
        <v/>
      </c>
      <c r="M259">
        <f>L259*(1+(Inputs!$B$10+0+B291)/100)</f>
        <v/>
      </c>
      <c r="N259">
        <f>L259*(1-MIN((Inputs!$B$9+((C273=TRUE)*(F273-Calc!F20))+B286),100)/100)+M259*(MIN((Inputs!$B$9+((C273=TRUE)*(F273-Calc!F20))+B286),100)/100)</f>
        <v/>
      </c>
      <c r="O259">
        <f>IF(C259,H259*N259*IF(AND(Inputs!$B$38&lt;&gt;"pvp",Inputs!$B$43&gt;0),((Skills!G6*((R259-1)*IF(Skills!H6&gt;0,Skills!I6/Skills!H6,1)+IF(Skills!H6&gt;0,MIN(Skills!I6,MAX(0,MAX(0,Inputs!$B$43-B293)-((R259-1)*IF(Inputs!$B$38="pvp",15,MAX(0.1,Skills!D6-IF(Skills!E6=TRUE,Inputs!$B$32,0))))))/Skills!H6,1)))/Inputs!$B$43),G259*Q259)*IF(Inputs!$B$38="pvp",1,(1-Summary!$B$55)*(1)+Summary!$B$55*(MIN(Skills!R6,Inputs!$B$37))),0)</f>
        <v/>
      </c>
      <c r="P259">
        <f>IF(B294=0,0,O259/B294)</f>
        <v/>
      </c>
      <c r="Q259">
        <f>IFERROR(1/IF(Inputs!$B$38="pvp",15,MAX(0.1,Skills!D6-IF(Skills!E6=TRUE,Inputs!$B$32,0))),0)</f>
        <v/>
      </c>
      <c r="R259">
        <f>IF(AND(Inputs!$B$38&lt;&gt;"pvp",Inputs!$B$43&gt;0),IF(MAX(0,Inputs!$B$43-B293)&lt;=0,0,(INT(MAX(0,Inputs!$B$43-B293)/IF(Inputs!$B$38="pvp",15,MAX(0.1,Skills!D6-IF(Skills!E6=TRUE,Inputs!$B$32,0))))+1)),0)</f>
        <v/>
      </c>
      <c r="S259">
        <f>IFERROR(O259/N259,0)</f>
        <v/>
      </c>
    </row>
    <row r="260">
      <c r="A260">
        <f>Skills!A7</f>
        <v/>
      </c>
      <c r="B260">
        <f>Skills!B7</f>
        <v/>
      </c>
      <c r="C260">
        <f>Inputs!$B$3&gt;=107</f>
        <v/>
      </c>
      <c r="D260">
        <f>IF(Skills!C7=1,60+Inputs!$B$25+Inputs!$B$29,IF(Skills!C7=2,90+Inputs!$B$26+Inputs!$B$29,IF(Skills!C7=3,120+Inputs!$B$27+Inputs!$B$29,MAX(0,(Inputs!$B$3-100)*3)+Inputs!$B$28+Inputs!$B$29)))</f>
        <v/>
      </c>
      <c r="E260">
        <f>INDEX(FactorTable!$B$2:$Y$301, MATCH(ROUND(MIN(300,MAX(1,D260)),0), FactorTable!$A$2:$A$301,0), Skills!M7+1)</f>
        <v/>
      </c>
      <c r="F260">
        <f>IF(Skills!N7=TRUE,(Skills!L7/10)*(E260/1000),Skills!L7/10)+Skills!O7</f>
        <v/>
      </c>
      <c r="G260" t="inlineStr"/>
      <c r="H260" t="inlineStr"/>
      <c r="I260" t="inlineStr">
        <is>
          <t>1</t>
        </is>
      </c>
      <c r="J260" t="inlineStr"/>
      <c r="K260" t="inlineStr"/>
      <c r="L260" t="inlineStr"/>
      <c r="M260" t="inlineStr"/>
      <c r="N260" t="inlineStr"/>
      <c r="O260" t="inlineStr"/>
      <c r="P260" t="inlineStr"/>
      <c r="Q260" t="inlineStr"/>
      <c r="R260" t="inlineStr"/>
      <c r="S260" t="inlineStr"/>
    </row>
    <row r="261">
      <c r="A261">
        <f>Skills!A8</f>
        <v/>
      </c>
      <c r="B261">
        <f>Skills!B8</f>
        <v/>
      </c>
      <c r="C261">
        <f>Inputs!$B$3&gt;=69</f>
        <v/>
      </c>
      <c r="D261">
        <f>IF(Skills!C8=1,60+Inputs!$B$25+Inputs!$B$29,IF(Skills!C8=2,90+Inputs!$B$26+Inputs!$B$29,IF(Skills!C8=3,120+Inputs!$B$27+Inputs!$B$29,MAX(0,(Inputs!$B$3-100)*3)+Inputs!$B$28+Inputs!$B$29)))</f>
        <v/>
      </c>
      <c r="E261">
        <f>INDEX(FactorTable!$B$2:$Y$301, MATCH(ROUND(MIN(300,MAX(1,D261)),0), FactorTable!$A$2:$A$301,0), Skills!M8+1)</f>
        <v/>
      </c>
      <c r="F261">
        <f>IF(Skills!N8=TRUE,(Skills!L8/10)*(E261/1000),Skills!L8/10)+Skills!O8</f>
        <v/>
      </c>
      <c r="G261">
        <f>Skills!G8*IF(Skills!H8&gt;0,Skills!I8/Skills!H8,1)</f>
        <v/>
      </c>
      <c r="H261">
        <f>1-(1-Skills!J8/100)^Skills!K8</f>
        <v/>
      </c>
      <c r="I261" t="inlineStr">
        <is>
          <t>1</t>
        </is>
      </c>
      <c r="J261">
        <f>((Inputs!$B$6*(1+Inputs!$B$7/100))+(((Inputs!$B$12*(1+Inputs!$B$13/100))-(Inputs!$B$12*(1+Inputs!$B$13/100)))+0.25*(Inputs!$B$14-Inputs!$B$14))*(1+Inputs!$B$7/100))*(F261/100)</f>
        <v/>
      </c>
      <c r="K261">
        <f>J261*(1+((Inputs!$B$12*(1+Inputs!$B$13/100))*0.01+Inputs!$B$14*0.0025)/100)*(1+Inputs!$B$15/100)*(1+IF(Inputs!$B$38="pvp",0,(1-Summary!$B$55)*((Inputs!$B$20+1)+0+Skills!P8)+Summary!$B$55*(Inputs!$B$21+Skills!Q8))/100)*(1+Inputs!$B$16/100)*(5000/(6000+Inputs!$B$42*(1-(Inputs!$B$19+((C280=TRUE)*(F280-Calc!F27)))/100)))*(1+(Inputs!$B$24+((C278=TRUE)*(F278-Calc!F25))+((C279=TRUE)*(F279-Calc!F26))+B292)/100)*(1+1.2*IF(C263=TRUE,F263,0)/100)*(1+(IF(Skills!A8="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261)</f>
        <v/>
      </c>
      <c r="L261">
        <f>K261*(MIN(Inputs!$B$22+((C277=TRUE)*(F277-Calc!F24)),Inputs!$B$23+((C282=TRUE)*(F282-Calc!F29)))/100+(Inputs!$B$23+((C282=TRUE)*(F282-Calc!F29)))/100)/2</f>
        <v/>
      </c>
      <c r="M261">
        <f>L261*(1+(Inputs!$B$10+0+B291)/100)</f>
        <v/>
      </c>
      <c r="N261">
        <f>L261*(1-MIN((Inputs!$B$9+((C273=TRUE)*(F273-Calc!F20))+B286),100)/100)+M261*(MIN((Inputs!$B$9+((C273=TRUE)*(F273-Calc!F20))+B286),100)/100)</f>
        <v/>
      </c>
      <c r="O261">
        <f>IF(C261,H261*N261*IF(AND(Inputs!$B$38&lt;&gt;"pvp",Inputs!$B$43&gt;0),((Skills!G8*((R261-1)*IF(Skills!H8&gt;0,Skills!I8/Skills!H8,1)+IF(Skills!H8&gt;0,MIN(Skills!I8,MAX(0,MAX(0,Inputs!$B$43-B293)-((R261-1)*IF(Inputs!$B$38="pvp",15,MAX(0.1,Skills!D8-IF(Skills!E8=TRUE,Inputs!$B$32,0))))))/Skills!H8,1)))/Inputs!$B$43),G261*Q261)*IF(Inputs!$B$38="pvp",1,(1-Summary!$B$55)*(1)+Summary!$B$55*(MIN(Skills!R8,Inputs!$B$37))),0)</f>
        <v/>
      </c>
      <c r="P261">
        <f>IF(B294=0,0,O261/B294)</f>
        <v/>
      </c>
      <c r="Q261">
        <f>IFERROR(1/IF(Inputs!$B$38="pvp",15,MAX(0.1,Skills!D8-IF(Skills!E8=TRUE,Inputs!$B$32,0))),0)</f>
        <v/>
      </c>
      <c r="R261">
        <f>IF(AND(Inputs!$B$38&lt;&gt;"pvp",Inputs!$B$43&gt;0),IF(MAX(0,Inputs!$B$43-B293)&lt;=0,0,(INT(MAX(0,Inputs!$B$43-B293)/IF(Inputs!$B$38="pvp",15,MAX(0.1,Skills!D8-IF(Skills!E8=TRUE,Inputs!$B$32,0))))+1)),0)</f>
        <v/>
      </c>
      <c r="S261">
        <f>IFERROR(O261/N261,0)</f>
        <v/>
      </c>
    </row>
    <row r="262">
      <c r="A262">
        <f>Skills!A9</f>
        <v/>
      </c>
      <c r="B262">
        <f>Skills!B9</f>
        <v/>
      </c>
      <c r="C262">
        <f>Inputs!$B$3&gt;=63</f>
        <v/>
      </c>
      <c r="D262">
        <f>IF(Skills!C9=1,60+Inputs!$B$25+Inputs!$B$29,IF(Skills!C9=2,90+Inputs!$B$26+Inputs!$B$29,IF(Skills!C9=3,120+Inputs!$B$27+Inputs!$B$29,MAX(0,(Inputs!$B$3-100)*3)+Inputs!$B$28+Inputs!$B$29)))</f>
        <v/>
      </c>
      <c r="E262">
        <f>INDEX(FactorTable!$B$2:$Y$301, MATCH(ROUND(MIN(300,MAX(1,D262)),0), FactorTable!$A$2:$A$301,0), Skills!M9+1)</f>
        <v/>
      </c>
      <c r="F262">
        <f>IF(Skills!N9=TRUE,(Skills!L9/10)*(E262/1000),Skills!L9/10)+Skills!O9</f>
        <v/>
      </c>
      <c r="G262">
        <f>Skills!G9*IF(Skills!H9&gt;0,Skills!I9/Skills!H9,1)</f>
        <v/>
      </c>
      <c r="H262">
        <f>1-(1-Skills!J9/100)^Skills!K9</f>
        <v/>
      </c>
      <c r="I262" t="inlineStr">
        <is>
          <t>1</t>
        </is>
      </c>
      <c r="J262">
        <f>((Inputs!$B$6*(1+Inputs!$B$7/100))+(((Inputs!$B$12*(1+Inputs!$B$13/100))-(Inputs!$B$12*(1+Inputs!$B$13/100)))+0.25*(Inputs!$B$14-Inputs!$B$14))*(1+Inputs!$B$7/100))*(F262/100)</f>
        <v/>
      </c>
      <c r="K262">
        <f>J262*(1+((Inputs!$B$12*(1+Inputs!$B$13/100))*0.01+Inputs!$B$14*0.0025)/100)*(1+Inputs!$B$15/100)*(1+IF(Inputs!$B$38="pvp",0,(1-Summary!$B$55)*((Inputs!$B$20+1)+0+Skills!P9)+Summary!$B$55*(Inputs!$B$21+Skills!Q9))/100)*(1+Inputs!$B$16/100)*(5000/(6000+Inputs!$B$42*(1-(Inputs!$B$19+((C280=TRUE)*(F280-Calc!F27)))/100)))*(1+(Inputs!$B$24+((C278=TRUE)*(F278-Calc!F25))+((C279=TRUE)*(F279-Calc!F26))+B292)/100)*(1+1.0*IF(C263=TRUE,F263,0)/100)*(1+(IF(Skills!A9="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262)</f>
        <v/>
      </c>
      <c r="L262">
        <f>K262*(MIN(Inputs!$B$22+((C277=TRUE)*(F277-Calc!F24)),Inputs!$B$23+((C282=TRUE)*(F282-Calc!F29)))/100+(Inputs!$B$23+((C282=TRUE)*(F282-Calc!F29)))/100)/2</f>
        <v/>
      </c>
      <c r="M262">
        <f>L262*(1+(Inputs!$B$10+0+B291)/100)</f>
        <v/>
      </c>
      <c r="N262">
        <f>L262*(1-MIN((Inputs!$B$9+((C273=TRUE)*(F273-Calc!F20))+B286),100)/100)+M262*(MIN((Inputs!$B$9+((C273=TRUE)*(F273-Calc!F20))+B286),100)/100)</f>
        <v/>
      </c>
      <c r="O262">
        <f>IF(C262,H262*N262*IF(AND(Inputs!$B$38&lt;&gt;"pvp",Inputs!$B$43&gt;0),((Skills!G9*((R262-1)*IF(Skills!H9&gt;0,Skills!I9/Skills!H9,1)+IF(Skills!H9&gt;0,MIN(Skills!I9,MAX(0,MAX(0,Inputs!$B$43-B293)-((R262-1)*IF(Inputs!$B$38="pvp",15,MAX(0.1,Skills!D9-IF(Skills!E9=TRUE,Inputs!$B$32,0))))))/Skills!H9,1)))/Inputs!$B$43),G262*Q262)*IF(Inputs!$B$38="pvp",1,(1-Summary!$B$55)*(1)+Summary!$B$55*(MIN(Skills!R9,Inputs!$B$37))),0)</f>
        <v/>
      </c>
      <c r="P262">
        <f>IF(B294=0,0,O262/B294)</f>
        <v/>
      </c>
      <c r="Q262">
        <f>IFERROR(1/IF(Inputs!$B$38="pvp",15,MAX(0.1,Skills!D9-IF(Skills!E9=TRUE,Inputs!$B$32,0))),0)</f>
        <v/>
      </c>
      <c r="R262">
        <f>IF(AND(Inputs!$B$38&lt;&gt;"pvp",Inputs!$B$43&gt;0),IF(MAX(0,Inputs!$B$43-B293)&lt;=0,0,(INT(MAX(0,Inputs!$B$43-B293)/IF(Inputs!$B$38="pvp",15,MAX(0.1,Skills!D9-IF(Skills!E9=TRUE,Inputs!$B$32,0))))+1)),0)</f>
        <v/>
      </c>
      <c r="S262">
        <f>IFERROR(O262/N262,0)</f>
        <v/>
      </c>
    </row>
    <row r="263">
      <c r="A263">
        <f>Skills!A10</f>
        <v/>
      </c>
      <c r="B263">
        <f>Skills!B10</f>
        <v/>
      </c>
      <c r="C263">
        <f>Inputs!$B$3&gt;=100</f>
        <v/>
      </c>
      <c r="D263">
        <f>IF(Skills!C10=1,60+Inputs!$B$25+Inputs!$B$29,IF(Skills!C10=2,90+Inputs!$B$26+Inputs!$B$29,IF(Skills!C10=3,120+Inputs!$B$27+Inputs!$B$29,MAX(0,(Inputs!$B$3-100)*3)+Inputs!$B$28+Inputs!$B$29)))</f>
        <v/>
      </c>
      <c r="E263">
        <f>INDEX(FactorTable!$B$2:$Y$301, MATCH(ROUND(MIN(300,MAX(1,D263)),0), FactorTable!$A$2:$A$301,0), Skills!M10+1)</f>
        <v/>
      </c>
      <c r="F263">
        <f>IF(Skills!N10=TRUE,(Skills!L10/10)*(E263/1000),Skills!L10/10)+Skills!O10</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Skills!A11</f>
        <v/>
      </c>
      <c r="B264">
        <f>Skills!B11</f>
        <v/>
      </c>
      <c r="C264">
        <f>Inputs!$B$3&gt;=60</f>
        <v/>
      </c>
      <c r="D264">
        <f>IF(Skills!C11=1,60+Inputs!$B$25+Inputs!$B$29,IF(Skills!C11=2,90+Inputs!$B$26+Inputs!$B$29,IF(Skills!C11=3,120+Inputs!$B$27+Inputs!$B$29,MAX(0,(Inputs!$B$3-100)*3)+Inputs!$B$28+Inputs!$B$29)))</f>
        <v/>
      </c>
      <c r="E264">
        <f>INDEX(FactorTable!$B$2:$Y$301, MATCH(ROUND(MIN(300,MAX(1,D264)),0), FactorTable!$A$2:$A$301,0), Skills!M11+1)</f>
        <v/>
      </c>
      <c r="F264">
        <f>IF(Skills!N11=TRUE,(Skills!L11/10)*(E264/1000),Skills!L11/10)+Skills!O11</f>
        <v/>
      </c>
      <c r="G264">
        <f>Skills!G11*IF(Skills!H11&gt;0,Skills!I11/Skills!H11,1)</f>
        <v/>
      </c>
      <c r="H264">
        <f>1-(1-Skills!J11/100)^Skills!K11</f>
        <v/>
      </c>
      <c r="I264" t="inlineStr">
        <is>
          <t>1</t>
        </is>
      </c>
      <c r="J264">
        <f>((Inputs!$B$6*(1+Inputs!$B$7/100))+(((Inputs!$B$12*(1+Inputs!$B$13/100))-(Inputs!$B$12*(1+Inputs!$B$13/100)))+0.25*(Inputs!$B$14-Inputs!$B$14))*(1+Inputs!$B$7/100))*(F264/100)</f>
        <v/>
      </c>
      <c r="K264">
        <f>J264*(1+((Inputs!$B$12*(1+Inputs!$B$13/100))*0.01+Inputs!$B$14*0.0025)/100)*(1+Inputs!$B$15/100)*(1+IF(Inputs!$B$38="pvp",0,(1-Summary!$B$55)*((Inputs!$B$20+1)+0+Skills!P11)+Summary!$B$55*(Inputs!$B$21+Skills!Q11))/100)*(1+Inputs!$B$16/100)*(5000/(6000+Inputs!$B$42*(1-(Inputs!$B$19+((C280=TRUE)*(F280-Calc!F27)))/100)))*(1+(Inputs!$B$24+((C278=TRUE)*(F278-Calc!F25))+((C279=TRUE)*(F279-Calc!F26))+B292)/100)*(1+IF(C265=TRUE,F265,0)/100)*(1+(IF(Skills!A11="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264)</f>
        <v/>
      </c>
      <c r="L264">
        <f>K264*(MIN(Inputs!$B$22+((C277=TRUE)*(F277-Calc!F24)),Inputs!$B$23+((C282=TRUE)*(F282-Calc!F29)))/100+(Inputs!$B$23+((C282=TRUE)*(F282-Calc!F29)))/100)/2</f>
        <v/>
      </c>
      <c r="M264">
        <f>L264*(1+(Inputs!$B$10+0+B291)/100)</f>
        <v/>
      </c>
      <c r="N264">
        <f>L264*(1-MIN((Inputs!$B$9+((C273=TRUE)*(F273-Calc!F20))+B286),100)/100)+M264*(MIN((Inputs!$B$9+((C273=TRUE)*(F273-Calc!F20))+B286),100)/100)</f>
        <v/>
      </c>
      <c r="O264">
        <f>IF(C264,H264*N264*IF(AND(Inputs!$B$38&lt;&gt;"pvp",Inputs!$B$43&gt;0),((Skills!G11*((R264-1)*IF(Skills!H11&gt;0,Skills!I11/Skills!H11,1)+IF(Skills!H11&gt;0,MIN(Skills!I11,MAX(0,MAX(0,Inputs!$B$43-B293)-((R264-1)*IF(Inputs!$B$38="pvp",15,MAX(0.1,Skills!D11-IF(Skills!E11=TRUE,Inputs!$B$32,0))))))/Skills!H11,1)))/Inputs!$B$43),G264*Q264)*IF(Inputs!$B$38="pvp",1,(1-Summary!$B$55)*(1)+Summary!$B$55*(MIN(Skills!R11,Inputs!$B$37))),0)</f>
        <v/>
      </c>
      <c r="P264">
        <f>IF(B294=0,0,O264/B294)</f>
        <v/>
      </c>
      <c r="Q264">
        <f>IFERROR(1/IF(Inputs!$B$38="pvp",15,MAX(0.1,Skills!D11-IF(Skills!E11=TRUE,Inputs!$B$32,0))),0)</f>
        <v/>
      </c>
      <c r="R264">
        <f>IF(AND(Inputs!$B$38&lt;&gt;"pvp",Inputs!$B$43&gt;0),IF(MAX(0,Inputs!$B$43-B293)&lt;=0,0,(INT(MAX(0,Inputs!$B$43-B293)/IF(Inputs!$B$38="pvp",15,MAX(0.1,Skills!D11-IF(Skills!E11=TRUE,Inputs!$B$32,0))))+1)),0)</f>
        <v/>
      </c>
      <c r="S264">
        <f>IFERROR(O264/N264,0)</f>
        <v/>
      </c>
    </row>
    <row r="265">
      <c r="A265">
        <f>Skills!A12</f>
        <v/>
      </c>
      <c r="B265">
        <f>Skills!B12</f>
        <v/>
      </c>
      <c r="C265">
        <f>Inputs!$B$3&gt;=110</f>
        <v/>
      </c>
      <c r="D265">
        <f>IF(Skills!C12=1,60+Inputs!$B$25+Inputs!$B$29,IF(Skills!C12=2,90+Inputs!$B$26+Inputs!$B$29,IF(Skills!C12=3,120+Inputs!$B$27+Inputs!$B$29,MAX(0,(Inputs!$B$3-100)*3)+Inputs!$B$28+Inputs!$B$29)))</f>
        <v/>
      </c>
      <c r="E265">
        <f>INDEX(FactorTable!$B$2:$Y$301, MATCH(ROUND(MIN(300,MAX(1,D265)),0), FactorTable!$A$2:$A$301,0), Skills!M12+1)</f>
        <v/>
      </c>
      <c r="F265">
        <f>IF(Skills!N12=TRUE,(Skills!L12/10)*(E265/1000),Skills!L12/10)+Skills!O12</f>
        <v/>
      </c>
      <c r="G265" t="inlineStr"/>
      <c r="H265" t="inlineStr"/>
      <c r="I265" t="inlineStr">
        <is>
          <t>1</t>
        </is>
      </c>
      <c r="J265" t="inlineStr"/>
      <c r="K265" t="inlineStr"/>
      <c r="L265" t="inlineStr"/>
      <c r="M265" t="inlineStr"/>
      <c r="N265" t="inlineStr"/>
      <c r="O265" t="inlineStr"/>
      <c r="P265" t="inlineStr"/>
      <c r="Q265" t="inlineStr"/>
      <c r="R265" t="inlineStr"/>
      <c r="S265" t="inlineStr"/>
    </row>
    <row r="266">
      <c r="A266">
        <f>Skills!A13</f>
        <v/>
      </c>
      <c r="B266">
        <f>Skills!B13</f>
        <v/>
      </c>
      <c r="C266">
        <f>Inputs!$B$3&gt;=74</f>
        <v/>
      </c>
      <c r="D266">
        <f>IF(Skills!C13=1,60+Inputs!$B$25+Inputs!$B$29,IF(Skills!C13=2,90+Inputs!$B$26+Inputs!$B$29,IF(Skills!C13=3,120+Inputs!$B$27+Inputs!$B$29,MAX(0,(Inputs!$B$3-100)*3)+Inputs!$B$28+Inputs!$B$29)))</f>
        <v/>
      </c>
      <c r="E266">
        <f>INDEX(FactorTable!$B$2:$Y$301, MATCH(ROUND(MIN(300,MAX(1,D266)),0), FactorTable!$A$2:$A$301,0), Skills!M13+1)</f>
        <v/>
      </c>
      <c r="F266">
        <f>IF(Skills!N13=TRUE,(Skills!L13/10)*(E266/1000),Skills!L13/10)+Skills!O13</f>
        <v/>
      </c>
      <c r="G266">
        <f>Skills!G13*IF(Skills!H13&gt;0,Skills!I13/Skills!H13,1)</f>
        <v/>
      </c>
      <c r="H266">
        <f>1-(1-Skills!J13/100)^Skills!K13</f>
        <v/>
      </c>
      <c r="I266" t="inlineStr">
        <is>
          <t>1</t>
        </is>
      </c>
      <c r="J266" t="inlineStr"/>
      <c r="K266" t="inlineStr"/>
      <c r="L266" t="inlineStr"/>
      <c r="M266" t="inlineStr"/>
      <c r="N266" t="inlineStr"/>
      <c r="O266" t="n">
        <v>0</v>
      </c>
      <c r="P266">
        <f>IF(B294=0,0,O266/B294)</f>
        <v/>
      </c>
      <c r="Q266" t="n">
        <v>0</v>
      </c>
      <c r="R266" t="n">
        <v>0</v>
      </c>
      <c r="S266">
        <f>IFERROR(O266/N266,0)</f>
        <v/>
      </c>
    </row>
    <row r="267">
      <c r="A267">
        <f>Skills!A14</f>
        <v/>
      </c>
      <c r="B267">
        <f>Skills!B14</f>
        <v/>
      </c>
      <c r="C267">
        <f>Inputs!$B$3&gt;=74</f>
        <v/>
      </c>
      <c r="D267">
        <f>IF(Skills!C14=1,60+Inputs!$B$25+Inputs!$B$29,IF(Skills!C14=2,90+Inputs!$B$26+Inputs!$B$29,IF(Skills!C14=3,120+Inputs!$B$27+Inputs!$B$29,MAX(0,(Inputs!$B$3-100)*3)+Inputs!$B$28+Inputs!$B$29)))</f>
        <v/>
      </c>
      <c r="E267">
        <f>INDEX(FactorTable!$B$2:$Y$301, MATCH(ROUND(MIN(300,MAX(1,D267)),0), FactorTable!$A$2:$A$301,0), Skills!M14+1)</f>
        <v/>
      </c>
      <c r="F267">
        <f>IF(Skills!N14=TRUE,(Skills!L14/10)*(E267/1000),Skills!L14/10)+Skills!O14</f>
        <v/>
      </c>
      <c r="G267">
        <f>Skills!G14*IF(Skills!H14&gt;0,Skills!I14/Skills!H14,1)</f>
        <v/>
      </c>
      <c r="H267">
        <f>1-(1-Skills!J14/100)^Skills!K14</f>
        <v/>
      </c>
      <c r="I267" t="inlineStr">
        <is>
          <t>1</t>
        </is>
      </c>
      <c r="J267" t="inlineStr"/>
      <c r="K267" t="inlineStr"/>
      <c r="L267" t="inlineStr"/>
      <c r="M267" t="inlineStr"/>
      <c r="N267" t="inlineStr"/>
      <c r="O267" t="n">
        <v>0</v>
      </c>
      <c r="P267">
        <f>IF(B294=0,0,O267/B294)</f>
        <v/>
      </c>
      <c r="Q267" t="n">
        <v>0</v>
      </c>
      <c r="R267" t="n">
        <v>0</v>
      </c>
      <c r="S267">
        <f>IFERROR(O267/N267,0)</f>
        <v/>
      </c>
    </row>
    <row r="268">
      <c r="A268">
        <f>Skills!A15</f>
        <v/>
      </c>
      <c r="B268">
        <f>Skills!B15</f>
        <v/>
      </c>
      <c r="C268">
        <f>Inputs!$B$3&gt;=117</f>
        <v/>
      </c>
      <c r="D268">
        <f>IF(Skills!C15=1,60+Inputs!$B$25+Inputs!$B$29,IF(Skills!C15=2,90+Inputs!$B$26+Inputs!$B$29,IF(Skills!C15=3,120+Inputs!$B$27+Inputs!$B$29,MAX(0,(Inputs!$B$3-100)*3)+Inputs!$B$28+Inputs!$B$29)))</f>
        <v/>
      </c>
      <c r="E268">
        <f>INDEX(FactorTable!$B$2:$Y$301, MATCH(ROUND(MIN(300,MAX(1,D268)),0), FactorTable!$A$2:$A$301,0), Skills!M15+1)</f>
        <v/>
      </c>
      <c r="F268">
        <f>IF(Skills!N15=TRUE,(Skills!L15/10)*(E268/1000),Skills!L15/10)+Skills!O15</f>
        <v/>
      </c>
      <c r="G268">
        <f>Skills!G15*IF(Skills!H15&gt;0,Skills!I15/Skills!H15,1)</f>
        <v/>
      </c>
      <c r="H268">
        <f>1-(1-Skills!J15/100)^Skills!K15</f>
        <v/>
      </c>
      <c r="I268" t="inlineStr">
        <is>
          <t>1</t>
        </is>
      </c>
      <c r="J268" t="inlineStr"/>
      <c r="K268" t="inlineStr"/>
      <c r="L268" t="inlineStr"/>
      <c r="M268" t="inlineStr"/>
      <c r="N268" t="inlineStr"/>
      <c r="O268" t="n">
        <v>0</v>
      </c>
      <c r="P268">
        <f>IF(B294=0,0,O268/B294)</f>
        <v/>
      </c>
      <c r="Q268">
        <f>IFERROR(1/IF(Inputs!$B$38="pvp",15,MAX(0.1,Skills!D15-IF(Skills!E15=TRUE,Inputs!$B$32,0))),0)</f>
        <v/>
      </c>
      <c r="R268">
        <f>IF(AND(Inputs!$B$38&lt;&gt;"pvp",Inputs!$B$43&gt;0),IF(Inputs!$B$43&lt;=0,0,(INT(Inputs!$B$43/IF(Inputs!$B$38="pvp",15,MAX(0.1,Skills!D15-IF(Skills!E15=TRUE,Inputs!$B$32,0))))+1)),0)</f>
        <v/>
      </c>
      <c r="S268">
        <f>IFERROR(O268/N268,0)</f>
        <v/>
      </c>
    </row>
    <row r="269">
      <c r="A269">
        <f>Skills!A16</f>
        <v/>
      </c>
      <c r="B269">
        <f>Skills!B16</f>
        <v/>
      </c>
      <c r="C269">
        <f>Inputs!$B$3&gt;=115</f>
        <v/>
      </c>
      <c r="D269">
        <f>IF(Skills!C16=1,60+Inputs!$B$25+Inputs!$B$29,IF(Skills!C16=2,90+Inputs!$B$26+Inputs!$B$29,IF(Skills!C16=3,120+Inputs!$B$27+Inputs!$B$29,MAX(0,(Inputs!$B$3-100)*3)+Inputs!$B$28+Inputs!$B$29)))</f>
        <v/>
      </c>
      <c r="E269">
        <f>INDEX(FactorTable!$B$2:$Y$301, MATCH(ROUND(MIN(300,MAX(1,D269)),0), FactorTable!$A$2:$A$301,0), Skills!M16+1)</f>
        <v/>
      </c>
      <c r="F269">
        <f>IF(Skills!N16=TRUE,(Skills!L16/10)*(E269/1000),Skills!L16/10)+Skills!O16</f>
        <v/>
      </c>
      <c r="G269">
        <f>Skills!G16*IF(Skills!H16&gt;0,Skills!I16/Skills!H16,1)</f>
        <v/>
      </c>
      <c r="H269">
        <f>1-(1-Skills!J16/100)^Skills!K16</f>
        <v/>
      </c>
      <c r="I269" t="inlineStr">
        <is>
          <t>1</t>
        </is>
      </c>
      <c r="J269" t="inlineStr"/>
      <c r="K269" t="inlineStr"/>
      <c r="L269" t="inlineStr"/>
      <c r="M269" t="inlineStr"/>
      <c r="N269" t="inlineStr"/>
      <c r="O269" t="n">
        <v>0</v>
      </c>
      <c r="P269">
        <f>IF(B294=0,0,O269/B294)</f>
        <v/>
      </c>
      <c r="Q269">
        <f>IFERROR(1/IF(Inputs!$B$38="pvp",15,MAX(0.1,Skills!D16-IF(Skills!E16=TRUE,Inputs!$B$32,0))),0)</f>
        <v/>
      </c>
      <c r="R269">
        <f>IF(AND(Inputs!$B$38&lt;&gt;"pvp",Inputs!$B$43&gt;0),IF(Inputs!$B$43&lt;=0,0,(INT(Inputs!$B$43/IF(Inputs!$B$38="pvp",15,MAX(0.1,Skills!D16-IF(Skills!E16=TRUE,Inputs!$B$32,0))))+1)),0)</f>
        <v/>
      </c>
      <c r="S269">
        <f>IFERROR(O269/N269,0)</f>
        <v/>
      </c>
    </row>
    <row r="270">
      <c r="A270">
        <f>Skills!A17</f>
        <v/>
      </c>
      <c r="B270">
        <f>Skills!B17</f>
        <v/>
      </c>
      <c r="C270">
        <f>Inputs!$B$3&gt;=66</f>
        <v/>
      </c>
      <c r="D270">
        <f>IF(Skills!C17=1,60+Inputs!$B$25+Inputs!$B$29,IF(Skills!C17=2,90+Inputs!$B$26+Inputs!$B$29,IF(Skills!C17=3,120+Inputs!$B$27+Inputs!$B$29,MAX(0,(Inputs!$B$3-100)*3)+Inputs!$B$28+Inputs!$B$29)))</f>
        <v/>
      </c>
      <c r="E270">
        <f>INDEX(FactorTable!$B$2:$Y$301, MATCH(ROUND(MIN(300,MAX(1,D270)),0), FactorTable!$A$2:$A$301,0), Skills!M17+1)</f>
        <v/>
      </c>
      <c r="F270">
        <f>IF(Skills!N17=TRUE,(Skills!L17/10)*(E270/1000),Skills!L17/10)+Skills!O17</f>
        <v/>
      </c>
      <c r="G270">
        <f>Skills!G17*IF(Skills!H17&gt;0,Skills!I17/Skills!H17,1)</f>
        <v/>
      </c>
      <c r="H270">
        <f>1-(1-Skills!J17/100)^Skills!K17</f>
        <v/>
      </c>
      <c r="I270" t="inlineStr">
        <is>
          <t>1</t>
        </is>
      </c>
      <c r="J270" t="inlineStr"/>
      <c r="K270" t="inlineStr"/>
      <c r="L270" t="inlineStr"/>
      <c r="M270" t="inlineStr"/>
      <c r="N270" t="inlineStr"/>
      <c r="O270" t="n">
        <v>0</v>
      </c>
      <c r="P270">
        <f>IF(B294=0,0,O270/B294)</f>
        <v/>
      </c>
      <c r="Q270" t="n">
        <v>0</v>
      </c>
      <c r="R270" t="n">
        <v>0</v>
      </c>
      <c r="S270">
        <f>IFERROR(O270/N270,0)</f>
        <v/>
      </c>
    </row>
    <row r="271">
      <c r="A271">
        <f>Skills!A18</f>
        <v/>
      </c>
      <c r="B271">
        <f>Skills!B18</f>
        <v/>
      </c>
      <c r="C271">
        <f>Inputs!$B$3&gt;=72</f>
        <v/>
      </c>
      <c r="D271">
        <f>IF(Skills!C18=1,60+Inputs!$B$25+Inputs!$B$29,IF(Skills!C18=2,90+Inputs!$B$26+Inputs!$B$29,IF(Skills!C18=3,120+Inputs!$B$27+Inputs!$B$29,MAX(0,(Inputs!$B$3-100)*3)+Inputs!$B$28+Inputs!$B$29)))</f>
        <v/>
      </c>
      <c r="E271">
        <f>INDEX(FactorTable!$B$2:$Y$301, MATCH(ROUND(MIN(300,MAX(1,D271)),0), FactorTable!$A$2:$A$301,0), Skills!M18+1)</f>
        <v/>
      </c>
      <c r="F271">
        <f>IF(Skills!N18=TRUE,(Skills!L18/10)*(E271/1000),Skills!L18/10)+Skills!O18</f>
        <v/>
      </c>
      <c r="G271">
        <f>Skills!G18*IF(Skills!H18&gt;0,Skills!I18/Skills!H18,1)</f>
        <v/>
      </c>
      <c r="H271">
        <f>1-(1-Skills!J18/100)^Skills!K18</f>
        <v/>
      </c>
      <c r="I271" t="inlineStr">
        <is>
          <t>1</t>
        </is>
      </c>
      <c r="J271" t="inlineStr"/>
      <c r="K271" t="inlineStr"/>
      <c r="L271" t="inlineStr"/>
      <c r="M271" t="inlineStr"/>
      <c r="N271" t="inlineStr"/>
      <c r="O271" t="n">
        <v>0</v>
      </c>
      <c r="P271">
        <f>IF(B294=0,0,O271/B294)</f>
        <v/>
      </c>
      <c r="Q271" t="n">
        <v>0</v>
      </c>
      <c r="R271" t="n">
        <v>0</v>
      </c>
      <c r="S271">
        <f>IFERROR(O271/N271,0)</f>
        <v/>
      </c>
    </row>
    <row r="272">
      <c r="A272">
        <f>Skills!A19</f>
        <v/>
      </c>
      <c r="B272">
        <f>Skills!B19</f>
        <v/>
      </c>
      <c r="C272">
        <f>TRUE</f>
        <v/>
      </c>
      <c r="D272">
        <f>IF(Skills!C19=1,60+Inputs!$B$25+Inputs!$B$29,IF(Skills!C19=2,90+Inputs!$B$26+Inputs!$B$29,IF(Skills!C19=3,120+Inputs!$B$27+Inputs!$B$29,MAX(0,(Inputs!$B$3-100)*3)+Inputs!$B$28+Inputs!$B$29)))</f>
        <v/>
      </c>
      <c r="E272">
        <f>INDEX(FactorTable!$B$2:$Y$301, MATCH(ROUND(MIN(300,MAX(1,D272)),0), FactorTable!$A$2:$A$301,0), Skills!M19+1)</f>
        <v/>
      </c>
      <c r="F272">
        <f>IF(Skills!N19=TRUE,(Skills!L19/10)*(E272/1000),Skills!L19/10)+Skills!O19</f>
        <v/>
      </c>
      <c r="G272">
        <f>Skills!G19*IF(Skills!H19&gt;0,Skills!I19/Skills!H19,1)</f>
        <v/>
      </c>
      <c r="H272">
        <f>1-(1-Skills!J19/100)^Skills!K19</f>
        <v/>
      </c>
      <c r="I272" t="inlineStr">
        <is>
          <t>1</t>
        </is>
      </c>
      <c r="J272" t="inlineStr"/>
      <c r="K272" t="inlineStr"/>
      <c r="L272" t="inlineStr"/>
      <c r="M272" t="inlineStr"/>
      <c r="N272" t="inlineStr"/>
      <c r="O272" t="n">
        <v>0</v>
      </c>
      <c r="P272">
        <f>IF(B294=0,0,O272/B294)</f>
        <v/>
      </c>
      <c r="Q272">
        <f>IFERROR(1/IF(Inputs!$B$38="pvp",15,MAX(0.1,Skills!D19-IF(Skills!E19=TRUE,Inputs!$B$32,0))),0)</f>
        <v/>
      </c>
      <c r="R272">
        <f>IF(AND(Inputs!$B$38&lt;&gt;"pvp",Inputs!$B$43&gt;0),IF(Inputs!$B$43&lt;=0,0,(INT(Inputs!$B$43/IF(Inputs!$B$38="pvp",15,MAX(0.1,Skills!D19-IF(Skills!E19=TRUE,Inputs!$B$32,0))))+1)),0)</f>
        <v/>
      </c>
      <c r="S272">
        <f>IFERROR(O272/N272,0)</f>
        <v/>
      </c>
    </row>
    <row r="273">
      <c r="A273">
        <f>Skills!A20</f>
        <v/>
      </c>
      <c r="B273">
        <f>Skills!B20</f>
        <v/>
      </c>
      <c r="C273">
        <f>Inputs!$B$3&gt;=15</f>
        <v/>
      </c>
      <c r="D273">
        <f>IF(Skills!C20=1,60+Inputs!$B$25+Inputs!$B$29,IF(Skills!C20=2,90+Inputs!$B$26+Inputs!$B$29,IF(Skills!C20=3,120+Inputs!$B$27+Inputs!$B$29,MAX(0,(Inputs!$B$3-100)*3)+Inputs!$B$28+Inputs!$B$29)))</f>
        <v/>
      </c>
      <c r="E273">
        <f>INDEX(FactorTable!$B$2:$Y$301, MATCH(ROUND(MIN(300,MAX(1,D273)),0), FactorTable!$A$2:$A$301,0), Skills!M20+1)</f>
        <v/>
      </c>
      <c r="F273">
        <f>IF(Skills!N20=TRUE,(Skills!L20/10)*(E273/1000),Skills!L20/10)+Skills!O20</f>
        <v/>
      </c>
      <c r="G273">
        <f>Skills!G20*IF(Skills!H20&gt;0,Skills!I20/Skills!H20,1)</f>
        <v/>
      </c>
      <c r="H273">
        <f>1-(1-Skills!J20/100)^Skills!K20</f>
        <v/>
      </c>
      <c r="I273" t="inlineStr">
        <is>
          <t>1</t>
        </is>
      </c>
      <c r="J273" t="inlineStr"/>
      <c r="K273" t="inlineStr"/>
      <c r="L273" t="inlineStr"/>
      <c r="M273" t="inlineStr"/>
      <c r="N273" t="inlineStr"/>
      <c r="O273" t="n">
        <v>0</v>
      </c>
      <c r="P273">
        <f>IF(B294=0,0,O273/B294)</f>
        <v/>
      </c>
      <c r="Q273" t="n">
        <v>0</v>
      </c>
      <c r="R273" t="n">
        <v>0</v>
      </c>
      <c r="S273">
        <f>IFERROR(O273/N273,0)</f>
        <v/>
      </c>
    </row>
    <row r="274">
      <c r="A274">
        <f>Skills!A21</f>
        <v/>
      </c>
      <c r="B274">
        <f>Skills!B21</f>
        <v/>
      </c>
      <c r="C274">
        <f>Inputs!$B$3&gt;=10</f>
        <v/>
      </c>
      <c r="D274">
        <f>IF(Skills!C21=1,60+Inputs!$B$25+Inputs!$B$29,IF(Skills!C21=2,90+Inputs!$B$26+Inputs!$B$29,IF(Skills!C21=3,120+Inputs!$B$27+Inputs!$B$29,MAX(0,(Inputs!$B$3-100)*3)+Inputs!$B$28+Inputs!$B$29)))</f>
        <v/>
      </c>
      <c r="E274">
        <f>INDEX(FactorTable!$B$2:$Y$301, MATCH(ROUND(MIN(300,MAX(1,D274)),0), FactorTable!$A$2:$A$301,0), Skills!M21+1)</f>
        <v/>
      </c>
      <c r="F274">
        <f>IF(Skills!N21=TRUE,(Skills!L21/10)*(E274/1000),Skills!L21/10)+Skills!O21</f>
        <v/>
      </c>
      <c r="G274">
        <f>Skills!G21*IF(Skills!H21&gt;0,Skills!I21/Skills!H21,1)</f>
        <v/>
      </c>
      <c r="H274">
        <f>1-(1-Skills!J21/100)^Skills!K21</f>
        <v/>
      </c>
      <c r="I274" t="inlineStr">
        <is>
          <t>1</t>
        </is>
      </c>
      <c r="J274" t="inlineStr"/>
      <c r="K274" t="inlineStr"/>
      <c r="L274" t="inlineStr"/>
      <c r="M274" t="inlineStr"/>
      <c r="N274" t="inlineStr"/>
      <c r="O274" t="n">
        <v>0</v>
      </c>
      <c r="P274">
        <f>IF(B294=0,0,O274/B294)</f>
        <v/>
      </c>
      <c r="Q274" t="n">
        <v>0</v>
      </c>
      <c r="R274" t="n">
        <v>0</v>
      </c>
      <c r="S274">
        <f>IFERROR(O274/N274,0)</f>
        <v/>
      </c>
    </row>
    <row r="275">
      <c r="A275">
        <f>Skills!A22</f>
        <v/>
      </c>
      <c r="B275">
        <f>Skills!B22</f>
        <v/>
      </c>
      <c r="C275">
        <f>Inputs!$B$3&gt;=33</f>
        <v/>
      </c>
      <c r="D275">
        <f>IF(Skills!C22=1,60+Inputs!$B$25+Inputs!$B$29,IF(Skills!C22=2,90+Inputs!$B$26+Inputs!$B$29,IF(Skills!C22=3,120+Inputs!$B$27+Inputs!$B$29,MAX(0,(Inputs!$B$3-100)*3)+Inputs!$B$28+Inputs!$B$29)))</f>
        <v/>
      </c>
      <c r="E275">
        <f>INDEX(FactorTable!$B$2:$Y$301, MATCH(ROUND(MIN(300,MAX(1,D275)),0), FactorTable!$A$2:$A$301,0), Skills!M22+1)</f>
        <v/>
      </c>
      <c r="F275">
        <f>IF(Skills!N22=TRUE,(Skills!L22/10)*(E275/1000),Skills!L22/10)+Skills!O22</f>
        <v/>
      </c>
      <c r="G275">
        <f>Skills!G22*IF(Skills!H22&gt;0,Skills!I22/Skills!H22,1)</f>
        <v/>
      </c>
      <c r="H275">
        <f>1-(1-Skills!J22/100)^Skills!K22</f>
        <v/>
      </c>
      <c r="I275" t="inlineStr">
        <is>
          <t>1</t>
        </is>
      </c>
      <c r="J275" t="inlineStr"/>
      <c r="K275" t="inlineStr"/>
      <c r="L275" t="inlineStr"/>
      <c r="M275" t="inlineStr"/>
      <c r="N275" t="inlineStr"/>
      <c r="O275" t="n">
        <v>0</v>
      </c>
      <c r="P275">
        <f>IF(B294=0,0,O275/B294)</f>
        <v/>
      </c>
      <c r="Q275" t="n">
        <v>0</v>
      </c>
      <c r="R275" t="n">
        <v>0</v>
      </c>
      <c r="S275">
        <f>IFERROR(O275/N275,0)</f>
        <v/>
      </c>
    </row>
    <row r="276">
      <c r="A276">
        <f>Skills!A23</f>
        <v/>
      </c>
      <c r="B276">
        <f>Skills!B23</f>
        <v/>
      </c>
      <c r="C276">
        <f>Inputs!$B$3&gt;=38</f>
        <v/>
      </c>
      <c r="D276">
        <f>IF(Skills!C23=1,60+Inputs!$B$25+Inputs!$B$29,IF(Skills!C23=2,90+Inputs!$B$26+Inputs!$B$29,IF(Skills!C23=3,120+Inputs!$B$27+Inputs!$B$29,MAX(0,(Inputs!$B$3-100)*3)+Inputs!$B$28+Inputs!$B$29)))</f>
        <v/>
      </c>
      <c r="E276">
        <f>INDEX(FactorTable!$B$2:$Y$301, MATCH(ROUND(MIN(300,MAX(1,D276)),0), FactorTable!$A$2:$A$301,0), Skills!M23+1)</f>
        <v/>
      </c>
      <c r="F276">
        <f>IF(Skills!N23=TRUE,(Skills!L23/10)*(E276/1000),Skills!L23/10)+Skills!O23</f>
        <v/>
      </c>
      <c r="G276">
        <f>Skills!G23*IF(Skills!H23&gt;0,Skills!I23/Skills!H23,1)</f>
        <v/>
      </c>
      <c r="H276">
        <f>1-(1-Skills!J23/100)^Skills!K23</f>
        <v/>
      </c>
      <c r="I276" t="inlineStr">
        <is>
          <t>1</t>
        </is>
      </c>
      <c r="J276" t="inlineStr"/>
      <c r="K276" t="inlineStr"/>
      <c r="L276" t="inlineStr"/>
      <c r="M276" t="inlineStr"/>
      <c r="N276" t="inlineStr"/>
      <c r="O276" t="n">
        <v>0</v>
      </c>
      <c r="P276">
        <f>IF(B294=0,0,O276/B294)</f>
        <v/>
      </c>
      <c r="Q276" t="n">
        <v>0</v>
      </c>
      <c r="R276" t="n">
        <v>0</v>
      </c>
      <c r="S276">
        <f>IFERROR(O276/N276,0)</f>
        <v/>
      </c>
    </row>
    <row r="277">
      <c r="A277">
        <f>Skills!A24</f>
        <v/>
      </c>
      <c r="B277">
        <f>Skills!B24</f>
        <v/>
      </c>
      <c r="C277">
        <f>Inputs!$B$3&gt;=43</f>
        <v/>
      </c>
      <c r="D277">
        <f>IF(Skills!C24=1,60+Inputs!$B$25+Inputs!$B$29,IF(Skills!C24=2,90+Inputs!$B$26+Inputs!$B$29,IF(Skills!C24=3,120+Inputs!$B$27+Inputs!$B$29,MAX(0,(Inputs!$B$3-100)*3)+Inputs!$B$28+Inputs!$B$29)))</f>
        <v/>
      </c>
      <c r="E277">
        <f>INDEX(FactorTable!$B$2:$Y$301, MATCH(ROUND(MIN(300,MAX(1,D277)),0), FactorTable!$A$2:$A$301,0), Skills!M24+1)</f>
        <v/>
      </c>
      <c r="F277">
        <f>IF(Skills!N24=TRUE,(Skills!L24/10)*(E277/1000),Skills!L24/10)+Skills!O24</f>
        <v/>
      </c>
      <c r="G277">
        <f>Skills!G24*IF(Skills!H24&gt;0,Skills!I24/Skills!H24,1)</f>
        <v/>
      </c>
      <c r="H277">
        <f>1-(1-Skills!J24/100)^Skills!K24</f>
        <v/>
      </c>
      <c r="I277" t="inlineStr">
        <is>
          <t>1</t>
        </is>
      </c>
      <c r="J277" t="inlineStr"/>
      <c r="K277" t="inlineStr"/>
      <c r="L277" t="inlineStr"/>
      <c r="M277" t="inlineStr"/>
      <c r="N277" t="inlineStr"/>
      <c r="O277" t="n">
        <v>0</v>
      </c>
      <c r="P277">
        <f>IF(B294=0,0,O277/B294)</f>
        <v/>
      </c>
      <c r="Q277" t="n">
        <v>0</v>
      </c>
      <c r="R277" t="n">
        <v>0</v>
      </c>
      <c r="S277">
        <f>IFERROR(O277/N277,0)</f>
        <v/>
      </c>
    </row>
    <row r="278">
      <c r="A278">
        <f>Skills!A25</f>
        <v/>
      </c>
      <c r="B278">
        <f>Skills!B25</f>
        <v/>
      </c>
      <c r="C278">
        <f>Inputs!$B$3&gt;=75</f>
        <v/>
      </c>
      <c r="D278">
        <f>IF(Skills!C25=1,60+Inputs!$B$25+Inputs!$B$29,IF(Skills!C25=2,90+Inputs!$B$26+Inputs!$B$29,IF(Skills!C25=3,120+Inputs!$B$27+Inputs!$B$29,MAX(0,(Inputs!$B$3-100)*3)+Inputs!$B$28+Inputs!$B$29)))</f>
        <v/>
      </c>
      <c r="E278">
        <f>INDEX(FactorTable!$B$2:$Y$301, MATCH(ROUND(MIN(300,MAX(1,D278)),0), FactorTable!$A$2:$A$301,0), Skills!M25+1)</f>
        <v/>
      </c>
      <c r="F278">
        <f>IF(Skills!N25=TRUE,(Skills!L25/10)*(E278/1000),Skills!L25/10)+Skills!O25</f>
        <v/>
      </c>
      <c r="G278">
        <f>Skills!G25*IF(Skills!H25&gt;0,Skills!I25/Skills!H25,1)</f>
        <v/>
      </c>
      <c r="H278">
        <f>1-(1-Skills!J25/100)^Skills!K25</f>
        <v/>
      </c>
      <c r="I278" t="inlineStr">
        <is>
          <t>1</t>
        </is>
      </c>
      <c r="J278" t="inlineStr"/>
      <c r="K278" t="inlineStr"/>
      <c r="L278" t="inlineStr"/>
      <c r="M278" t="inlineStr"/>
      <c r="N278" t="inlineStr"/>
      <c r="O278" t="n">
        <v>0</v>
      </c>
      <c r="P278">
        <f>IF(B294=0,0,O278/B294)</f>
        <v/>
      </c>
      <c r="Q278" t="n">
        <v>0</v>
      </c>
      <c r="R278" t="n">
        <v>0</v>
      </c>
      <c r="S278">
        <f>IFERROR(O278/N278,0)</f>
        <v/>
      </c>
    </row>
    <row r="279">
      <c r="A279">
        <f>Skills!A26</f>
        <v/>
      </c>
      <c r="B279">
        <f>Skills!B26</f>
        <v/>
      </c>
      <c r="C279">
        <f>Inputs!$B$3&gt;=125</f>
        <v/>
      </c>
      <c r="D279">
        <f>IF(Skills!C26=1,60+Inputs!$B$25+Inputs!$B$29,IF(Skills!C26=2,90+Inputs!$B$26+Inputs!$B$29,IF(Skills!C26=3,120+Inputs!$B$27+Inputs!$B$29,MAX(0,(Inputs!$B$3-100)*3)+Inputs!$B$28+Inputs!$B$29)))</f>
        <v/>
      </c>
      <c r="E279">
        <f>INDEX(FactorTable!$B$2:$Y$301, MATCH(ROUND(MIN(300,MAX(1,D279)),0), FactorTable!$A$2:$A$301,0), Skills!M26+1)</f>
        <v/>
      </c>
      <c r="F279">
        <f>IF(Skills!N26=TRUE,(Skills!L26/10)*(E279/1000),Skills!L26/10)+Skills!O26</f>
        <v/>
      </c>
      <c r="G279">
        <f>Skills!G26*IF(Skills!H26&gt;0,Skills!I26/Skills!H26,1)</f>
        <v/>
      </c>
      <c r="H279">
        <f>1-(1-Skills!J26/100)^Skills!K26</f>
        <v/>
      </c>
      <c r="I279" t="inlineStr">
        <is>
          <t>1</t>
        </is>
      </c>
      <c r="J279" t="inlineStr"/>
      <c r="K279" t="inlineStr"/>
      <c r="L279" t="inlineStr"/>
      <c r="M279" t="inlineStr"/>
      <c r="N279" t="inlineStr"/>
      <c r="O279" t="n">
        <v>0</v>
      </c>
      <c r="P279">
        <f>IF(B294=0,0,O279/B294)</f>
        <v/>
      </c>
      <c r="Q279" t="n">
        <v>0</v>
      </c>
      <c r="R279" t="n">
        <v>0</v>
      </c>
      <c r="S279">
        <f>IFERROR(O279/N279,0)</f>
        <v/>
      </c>
    </row>
    <row r="280">
      <c r="A280">
        <f>Skills!A27</f>
        <v/>
      </c>
      <c r="B280">
        <f>Skills!B27</f>
        <v/>
      </c>
      <c r="C280">
        <f>Inputs!$B$3&gt;=125</f>
        <v/>
      </c>
      <c r="D280">
        <f>IF(Skills!C27=1,60+Inputs!$B$25+Inputs!$B$29,IF(Skills!C27=2,90+Inputs!$B$26+Inputs!$B$29,IF(Skills!C27=3,120+Inputs!$B$27+Inputs!$B$29,MAX(0,(Inputs!$B$3-100)*3)+Inputs!$B$28+Inputs!$B$29)))</f>
        <v/>
      </c>
      <c r="E280">
        <f>INDEX(FactorTable!$B$2:$Y$301, MATCH(ROUND(MIN(300,MAX(1,D280)),0), FactorTable!$A$2:$A$301,0), Skills!M27+1)</f>
        <v/>
      </c>
      <c r="F280">
        <f>IF(Skills!N27=TRUE,(Skills!L27/10)*(E280/1000),Skills!L27/10)+Skills!O27</f>
        <v/>
      </c>
      <c r="G280">
        <f>Skills!G27*IF(Skills!H27&gt;0,Skills!I27/Skills!H27,1)</f>
        <v/>
      </c>
      <c r="H280">
        <f>1-(1-Skills!J27/100)^Skills!K27</f>
        <v/>
      </c>
      <c r="I280" t="inlineStr">
        <is>
          <t>1</t>
        </is>
      </c>
      <c r="J280" t="inlineStr"/>
      <c r="K280" t="inlineStr"/>
      <c r="L280" t="inlineStr"/>
      <c r="M280" t="inlineStr"/>
      <c r="N280" t="inlineStr"/>
      <c r="O280" t="n">
        <v>0</v>
      </c>
      <c r="P280">
        <f>IF(B294=0,0,O280/B294)</f>
        <v/>
      </c>
      <c r="Q280" t="n">
        <v>0</v>
      </c>
      <c r="R280" t="n">
        <v>0</v>
      </c>
      <c r="S280">
        <f>IFERROR(O280/N280,0)</f>
        <v/>
      </c>
    </row>
    <row r="281">
      <c r="A281">
        <f>Skills!A28</f>
        <v/>
      </c>
      <c r="B281">
        <f>Skills!B28</f>
        <v/>
      </c>
      <c r="C281">
        <f>Inputs!$B$3&gt;=120</f>
        <v/>
      </c>
      <c r="D281">
        <f>IF(Skills!C28=1,60+Inputs!$B$25+Inputs!$B$29,IF(Skills!C28=2,90+Inputs!$B$26+Inputs!$B$29,IF(Skills!C28=3,120+Inputs!$B$27+Inputs!$B$29,MAX(0,(Inputs!$B$3-100)*3)+Inputs!$B$28+Inputs!$B$29)))</f>
        <v/>
      </c>
      <c r="E281">
        <f>INDEX(FactorTable!$B$2:$Y$301, MATCH(ROUND(MIN(300,MAX(1,D281)),0), FactorTable!$A$2:$A$301,0), Skills!M28+1)</f>
        <v/>
      </c>
      <c r="F281">
        <f>IF(Skills!N28=TRUE,(Skills!L28/10)*(E281/1000),Skills!L28/10)+Skills!O28</f>
        <v/>
      </c>
      <c r="G281">
        <f>Skills!G28*IF(Skills!H28&gt;0,Skills!I28/Skills!H28,1)</f>
        <v/>
      </c>
      <c r="H281">
        <f>1-(1-Skills!J28/100)^Skills!K28</f>
        <v/>
      </c>
      <c r="I281" t="inlineStr">
        <is>
          <t>1</t>
        </is>
      </c>
      <c r="J281" t="inlineStr"/>
      <c r="K281" t="inlineStr"/>
      <c r="L281" t="inlineStr"/>
      <c r="M281" t="inlineStr"/>
      <c r="N281" t="inlineStr"/>
      <c r="O281" t="n">
        <v>0</v>
      </c>
      <c r="P281">
        <f>IF(B294=0,0,O281/B294)</f>
        <v/>
      </c>
      <c r="Q281" t="n">
        <v>0</v>
      </c>
      <c r="R281" t="n">
        <v>0</v>
      </c>
      <c r="S281">
        <f>IFERROR(O281/N281,0)</f>
        <v/>
      </c>
    </row>
    <row r="282">
      <c r="A282">
        <f>Skills!A29</f>
        <v/>
      </c>
      <c r="B282">
        <f>Skills!B29</f>
        <v/>
      </c>
      <c r="C282">
        <f>Inputs!$B$3&gt;=120</f>
        <v/>
      </c>
      <c r="D282">
        <f>IF(Skills!C29=1,60+Inputs!$B$25+Inputs!$B$29,IF(Skills!C29=2,90+Inputs!$B$26+Inputs!$B$29,IF(Skills!C29=3,120+Inputs!$B$27+Inputs!$B$29,MAX(0,(Inputs!$B$3-100)*3)+Inputs!$B$28+Inputs!$B$29)))</f>
        <v/>
      </c>
      <c r="E282">
        <f>INDEX(FactorTable!$B$2:$Y$301, MATCH(ROUND(MIN(300,MAX(1,D282)),0), FactorTable!$A$2:$A$301,0), Skills!M29+1)</f>
        <v/>
      </c>
      <c r="F282">
        <f>IF(Skills!N29=TRUE,(Skills!L29/10)*(E282/1000),Skills!L29/10)+Skills!O29</f>
        <v/>
      </c>
      <c r="G282">
        <f>Skills!G29*IF(Skills!H29&gt;0,Skills!I29/Skills!H29,1)</f>
        <v/>
      </c>
      <c r="H282">
        <f>1-(1-Skills!J29/100)^Skills!K29</f>
        <v/>
      </c>
      <c r="I282" t="inlineStr">
        <is>
          <t>1</t>
        </is>
      </c>
      <c r="J282" t="inlineStr"/>
      <c r="K282" t="inlineStr"/>
      <c r="L282" t="inlineStr"/>
      <c r="M282" t="inlineStr"/>
      <c r="N282" t="inlineStr"/>
      <c r="O282" t="n">
        <v>0</v>
      </c>
      <c r="P282">
        <f>IF(B294=0,0,O282/B294)</f>
        <v/>
      </c>
      <c r="Q282" t="n">
        <v>0</v>
      </c>
      <c r="R282" t="n">
        <v>0</v>
      </c>
      <c r="S282">
        <f>IFERROR(O282/N282,0)</f>
        <v/>
      </c>
    </row>
    <row r="283">
      <c r="A283">
        <f>Skills!A30</f>
        <v/>
      </c>
      <c r="B283">
        <f>Skills!B30</f>
        <v/>
      </c>
      <c r="C283">
        <f>Inputs!$B$3&gt;=45</f>
        <v/>
      </c>
      <c r="D283">
        <f>IF(Skills!C30=1,60+Inputs!$B$25+Inputs!$B$29,IF(Skills!C30=2,90+Inputs!$B$26+Inputs!$B$29,IF(Skills!C30=3,120+Inputs!$B$27+Inputs!$B$29,MAX(0,(Inputs!$B$3-100)*3)+Inputs!$B$28+Inputs!$B$29)))</f>
        <v/>
      </c>
      <c r="E283">
        <f>INDEX(FactorTable!$B$2:$Y$301, MATCH(ROUND(MIN(300,MAX(1,D283)),0), FactorTable!$A$2:$A$301,0), Skills!M30+1)</f>
        <v/>
      </c>
      <c r="F283">
        <f>IF(Skills!N30=TRUE,(Skills!L30/10)*(E283/1000),Skills!L30/10)+Skills!O30</f>
        <v/>
      </c>
      <c r="G283">
        <f>Skills!G30*IF(Skills!H30&gt;0,Skills!I30/Skills!H30,1)</f>
        <v/>
      </c>
      <c r="H283">
        <f>1-(1-Skills!J30/100)^Skills!K30</f>
        <v/>
      </c>
      <c r="I283" t="inlineStr">
        <is>
          <t>1</t>
        </is>
      </c>
      <c r="J283" t="inlineStr"/>
      <c r="K283" t="inlineStr"/>
      <c r="L283" t="inlineStr"/>
      <c r="M283" t="inlineStr"/>
      <c r="N283" t="inlineStr"/>
      <c r="O283" t="n">
        <v>0</v>
      </c>
      <c r="P283">
        <f>IF(B294=0,0,O283/B294)</f>
        <v/>
      </c>
      <c r="Q283" t="n">
        <v>0</v>
      </c>
      <c r="R283" t="n">
        <v>0</v>
      </c>
      <c r="S283">
        <f>IFERROR(O283/N283,0)</f>
        <v/>
      </c>
    </row>
    <row r="285">
      <c r="A285" t="inlineStr">
        <is>
          <t>Attack% Bucket Multiplier</t>
        </is>
      </c>
      <c r="B285">
        <f>(1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f>
        <v/>
      </c>
    </row>
    <row r="286">
      <c r="A286" t="inlineStr">
        <is>
          <t>Global Crit Rate Bonus %</t>
        </is>
      </c>
      <c r="B286">
        <f>(C269=TRUE)*20*IF(AND(Inputs!$B$38&lt;&gt;"pvp",Inputs!$B$43&gt;0),(((R269-1)*(Skills!T16*(1+Inputs!$B$34/100))+MIN((Skills!T16*(1+Inputs!$B$34/100)),MAX(0,Inputs!$B$43-((R269-1)*Skills!D16))))/Inputs!$B$43),IF(Inputs!$B$38="pvp",MIN((Skills!T16*(1+Inputs!$B$34/100)),15)/15,(Skills!T16*(1+Inputs!$B$34/100))/Skills!D16))</f>
        <v/>
      </c>
    </row>
    <row r="287">
      <c r="A287" t="inlineStr">
        <is>
          <t>Attack Speed Buff Bonus %</t>
        </is>
      </c>
      <c r="B287">
        <f>((C272=TRUE)*F272*IF(AND(Inputs!$B$38&lt;&gt;"pvp",Inputs!$B$43&gt;0),(((R272-1)*(Skills!T19*(1+Inputs!$B$34/100))+MIN((Skills!T19*(1+Inputs!$B$34/100)),MAX(0,Inputs!$B$43-((R272-1)*Skills!D19))))/Inputs!$B$43),IF(Inputs!$B$38="pvp",MIN((Skills!T19*(1+Inputs!$B$34/100)),15)/15,(Skills!T19*(1+Inputs!$B$34/100))/Skills!D19)))</f>
        <v/>
      </c>
    </row>
    <row r="288">
      <c r="A288" t="inlineStr">
        <is>
          <t>Actions Per Second</t>
        </is>
      </c>
      <c r="B288">
        <f>1+MIN(150,150*(1-(1-(Inputs!$B$11+((C274=TRUE)*(F274-Calc!F21))+((C275=TRUE)*(F275-Calc!F22)))/150)*(1-B287/150)))/100</f>
        <v/>
      </c>
    </row>
    <row r="289">
      <c r="A289" t="inlineStr">
        <is>
          <t>Skill + Buff Cast Rate</t>
        </is>
      </c>
      <c r="B289">
        <f>IF(AND(Inputs!$B$38&lt;&gt;"pvp",Inputs!$B$43&gt;0),SUMPRODUCT((Skills!E2:E30=TRUE)*(C255:C283=TRUE)*R255:R283*Skills!F2:F30)/Inputs!$B$43,SUMPRODUCT((Skills!E2:E30=TRUE)*(C255:C283=TRUE)*Q255:Q283*Skills!F2:F30))</f>
        <v/>
      </c>
    </row>
    <row r="290">
      <c r="A290" t="inlineStr">
        <is>
          <t>Arrow Stream Casts Per Second</t>
        </is>
      </c>
      <c r="B290">
        <f>MAX(0,B288-B289)</f>
        <v/>
      </c>
    </row>
    <row r="291">
      <c r="A291" t="inlineStr">
        <is>
          <t>Global Critical Damage Bonus % (Sharp Eyes + Concentration)</t>
        </is>
      </c>
      <c r="B291">
        <f>(C269=TRUE)*F269*IF(AND(Inputs!$B$38&lt;&gt;"pvp",Inputs!$B$43&gt;0),(((R269-1)*(Skills!T16*(1+Inputs!$B$34/100))+MIN((Skills!T16*(1+Inputs!$B$34/100)),MAX(0,Inputs!$B$43-((R269-1)*Skills!D16))))/Inputs!$B$43),IF(Inputs!$B$38="pvp",MIN((Skills!T16*(1+Inputs!$B$34/100)),15)/15,(Skills!T16*(1+Inputs!$B$34/100))/Skills!D16))+(C270=TRUE)*30</f>
        <v/>
      </c>
    </row>
    <row r="292">
      <c r="A292" t="inlineStr">
        <is>
          <t>Global Final Damage Bonus % (Mortal Blow)</t>
        </is>
      </c>
      <c r="B292">
        <f>(C271=TRUE)*F271</f>
        <v/>
      </c>
    </row>
    <row r="293">
      <c r="A293" t="inlineStr">
        <is>
          <t>Buff-Casting Startup Delay (s, fixed-duration only)</t>
        </is>
      </c>
      <c r="B293">
        <f>IF(AND(Inputs!$B$38&lt;&gt;"pvp",Inputs!$B$43&gt;0),SUMPRODUCT((Skills!T2:T30&gt;0)*(Skills!E2:E30=TRUE)*(C255:C283=TRUE))/B288,0)</f>
        <v/>
      </c>
    </row>
    <row r="294">
      <c r="A294" s="5" t="inlineStr">
        <is>
          <t>TOTAL DPS</t>
        </is>
      </c>
      <c r="B294" s="5">
        <f>SUM(O255:O283)</f>
        <v/>
      </c>
    </row>
    <row r="297">
      <c r="A297" s="5" t="inlineStr">
        <is>
          <t>Stat: NORMAL_DAMAGE %</t>
        </is>
      </c>
    </row>
    <row r="298">
      <c r="A298" s="9" t="inlineStr">
        <is>
          <t>Key</t>
        </is>
      </c>
      <c r="B298" s="9" t="inlineStr">
        <is>
          <t>Name</t>
        </is>
      </c>
      <c r="C298" s="9" t="inlineStr">
        <is>
          <t>Unlocked</t>
        </is>
      </c>
      <c r="D298" s="9" t="inlineStr">
        <is>
          <t>InputLevel</t>
        </is>
      </c>
      <c r="E298" s="9" t="inlineStr">
        <is>
          <t>Factor</t>
        </is>
      </c>
      <c r="F298" s="9" t="inlineStr">
        <is>
          <t>CoefficientPercent</t>
        </is>
      </c>
      <c r="G298" s="9" t="inlineStr">
        <is>
          <t>EffectiveHits</t>
        </is>
      </c>
      <c r="H298" s="9" t="inlineStr">
        <is>
          <t>ProcProbability</t>
        </is>
      </c>
      <c r="I298" s="9" t="inlineStr">
        <is>
          <t>MapleHeroMultiplier</t>
        </is>
      </c>
      <c r="J298" s="9" t="inlineStr">
        <is>
          <t>BaseDamage</t>
        </is>
      </c>
      <c r="K298" s="9" t="inlineStr">
        <is>
          <t>BaseHitDamage</t>
        </is>
      </c>
      <c r="L298" s="9" t="inlineStr">
        <is>
          <t>NonCritAvg</t>
        </is>
      </c>
      <c r="M298" s="9" t="inlineStr">
        <is>
          <t>CritAvg</t>
        </is>
      </c>
      <c r="N298" s="9" t="inlineStr">
        <is>
          <t>ExpectedDamage(perHit)</t>
        </is>
      </c>
      <c r="O298" s="9" t="inlineStr">
        <is>
          <t>DPS</t>
        </is>
      </c>
      <c r="P298" s="9" t="inlineStr">
        <is>
          <t>% of Total</t>
        </is>
      </c>
      <c r="Q298" s="9" t="inlineStr">
        <is>
          <t>InvCooldown</t>
        </is>
      </c>
      <c r="R298" s="9" t="inlineStr">
        <is>
          <t>CastsInFight</t>
        </is>
      </c>
      <c r="S298" s="9" t="inlineStr">
        <is>
          <t>HitRate(perSec)</t>
        </is>
      </c>
      <c r="U298" t="inlineStr">
        <is>
          <t>helpers</t>
        </is>
      </c>
    </row>
    <row r="299">
      <c r="A299">
        <f>Skills!A2</f>
        <v/>
      </c>
      <c r="B299">
        <f>Skills!B2</f>
        <v/>
      </c>
      <c r="C299">
        <f>Inputs!$B$3&gt;=100</f>
        <v/>
      </c>
      <c r="D299" t="inlineStr"/>
      <c r="E299" t="inlineStr"/>
      <c r="F299">
        <f>U301+Skills!O2</f>
        <v/>
      </c>
      <c r="G299">
        <f>Skills!G2*IF(Skills!H2&gt;0,Skills!I2/Skills!H2,1)</f>
        <v/>
      </c>
      <c r="H299">
        <f>1-(1-Skills!J2/100)^Skills!K2</f>
        <v/>
      </c>
      <c r="I299" t="inlineStr">
        <is>
          <t>1</t>
        </is>
      </c>
      <c r="J299">
        <f>((Inputs!$B$6*(1+Inputs!$B$7/100))+(((Inputs!$B$12*(1+Inputs!$B$13/100))-(Inputs!$B$12*(1+Inputs!$B$13/100)))+0.25*(Inputs!$B$14-Inputs!$B$14))*(1+Inputs!$B$7/100))*(F299/100)</f>
        <v/>
      </c>
      <c r="K299">
        <f>J299*(1+((Inputs!$B$12*(1+Inputs!$B$13/100))*0.01+Inputs!$B$14*0.0025)/100)*(1+Inputs!$B$15/100)*(1+IF(Inputs!$B$38="pvp",0,(1-Summary!$B$55)*(Inputs!$B$20+0+Skills!P2)+Summary!$B$55*((Inputs!$B$21+1)+Skills!Q2))/100)*(1+Inputs!$B$16/100)*(5000/(6000+Inputs!$B$42*(1-(Inputs!$B$19+((C324=TRUE)*(F324-Calc!F27)))/100)))*(1+(Inputs!$B$24+((C322=TRUE)*(F322-Calc!F25))+((C323=TRUE)*(F323-Calc!F26))+B336)/100)*(1+(IF(Skills!A2="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299)</f>
        <v/>
      </c>
      <c r="L299">
        <f>K299*(MIN(Inputs!$B$22+((C321=TRUE)*(F321-Calc!F24)),Inputs!$B$23+((C326=TRUE)*(F326-Calc!F29)))/100+(Inputs!$B$23+((C326=TRUE)*(F326-Calc!F29)))/100)/2</f>
        <v/>
      </c>
      <c r="M299">
        <f>L299*(1+(Inputs!$B$10+0+B335)/100)</f>
        <v/>
      </c>
      <c r="N299">
        <f>L299*(1-MIN((Inputs!$B$9+((C317=TRUE)*(F317-Calc!F20))+B330),100)/100)+M299*(MIN((Inputs!$B$9+((C317=TRUE)*(F317-Calc!F20))+B330),100)/100)</f>
        <v/>
      </c>
      <c r="O299">
        <f>IF(C299,Skills!G2*N299*B334*IF(Inputs!$B$38="pvp",1,(1-Summary!$B$55)*(1)+Summary!$B$55*(MIN((6+Inputs!$B$33),Inputs!$B$37))),0)</f>
        <v/>
      </c>
      <c r="P299">
        <f>IF(B338=0,0,O299/B338)</f>
        <v/>
      </c>
      <c r="Q299" t="n">
        <v>0</v>
      </c>
      <c r="R299" t="n">
        <v>0</v>
      </c>
      <c r="S299">
        <f>IFERROR(O299/N299,0)</f>
        <v/>
      </c>
      <c r="U299">
        <f>MAX(0,(Inputs!$B$3-100)*3)+Inputs!$B$28+Inputs!$B$29</f>
        <v/>
      </c>
    </row>
    <row r="300">
      <c r="A300">
        <f>Skills!A3</f>
        <v/>
      </c>
      <c r="B300">
        <f>Skills!B3</f>
        <v/>
      </c>
      <c r="C300">
        <f>Inputs!$B$3&gt;=50</f>
        <v/>
      </c>
      <c r="D300">
        <f>IF(Skills!C3=1,60+Inputs!$B$25+Inputs!$B$29,IF(Skills!C3=2,90+Inputs!$B$26+Inputs!$B$29,IF(Skills!C3=3,120+Inputs!$B$27+Inputs!$B$29,MAX(0,(Inputs!$B$3-100)*3)+Inputs!$B$28+Inputs!$B$29)))</f>
        <v/>
      </c>
      <c r="E300">
        <f>INDEX(FactorTable!$B$2:$Y$301, MATCH(ROUND(MIN(300,MAX(1,D300)),0), FactorTable!$A$2:$A$301,0), Skills!M3+1)</f>
        <v/>
      </c>
      <c r="F300">
        <f>IF(Skills!N3=TRUE,(Skills!L3/10)*(E300/1000),Skills!L3/10)+Skills!O3</f>
        <v/>
      </c>
      <c r="G300" t="inlineStr"/>
      <c r="H300" t="inlineStr"/>
      <c r="I300" t="inlineStr">
        <is>
          <t>1</t>
        </is>
      </c>
      <c r="J300" t="inlineStr"/>
      <c r="K300" t="inlineStr"/>
      <c r="L300" t="inlineStr"/>
      <c r="M300" t="inlineStr"/>
      <c r="N300" t="inlineStr"/>
      <c r="O300" t="inlineStr"/>
      <c r="P300" t="inlineStr"/>
      <c r="Q300" t="inlineStr"/>
      <c r="R300" t="inlineStr"/>
      <c r="S300" t="inlineStr"/>
      <c r="U300">
        <f>INDEX(FactorTable!$B$2:$Y$301, MATCH(ROUND(MIN(300,MAX(1,U299)),0), FactorTable!$A$2:$A$301,0), 22)</f>
        <v/>
      </c>
    </row>
    <row r="301">
      <c r="A301">
        <f>Skills!A4</f>
        <v/>
      </c>
      <c r="B301">
        <f>Skills!B4</f>
        <v/>
      </c>
      <c r="C301">
        <f>Inputs!$B$3&gt;=105</f>
        <v/>
      </c>
      <c r="D301">
        <f>IF(Skills!C4=1,60+Inputs!$B$25+Inputs!$B$29,IF(Skills!C4=2,90+Inputs!$B$26+Inputs!$B$29,IF(Skills!C4=3,120+Inputs!$B$27+Inputs!$B$29,MAX(0,(Inputs!$B$3-100)*3)+Inputs!$B$28+Inputs!$B$29)))</f>
        <v/>
      </c>
      <c r="E301">
        <f>INDEX(FactorTable!$B$2:$Y$301, MATCH(ROUND(MIN(300,MAX(1,D301)),0), FactorTable!$A$2:$A$301,0), Skills!M4+1)</f>
        <v/>
      </c>
      <c r="F301">
        <f>IF(Skills!N4=TRUE,(Skills!L4/10)*(E301/1000),Skills!L4/10)+Skills!O4</f>
        <v/>
      </c>
      <c r="G301" t="inlineStr"/>
      <c r="H301" t="inlineStr"/>
      <c r="I301" t="inlineStr">
        <is>
          <t>1</t>
        </is>
      </c>
      <c r="J301" t="inlineStr"/>
      <c r="K301" t="inlineStr"/>
      <c r="L301" t="inlineStr"/>
      <c r="M301" t="inlineStr"/>
      <c r="N301" t="inlineStr"/>
      <c r="O301" t="inlineStr"/>
      <c r="P301" t="inlineStr"/>
      <c r="Q301" t="inlineStr"/>
      <c r="R301" t="inlineStr"/>
      <c r="S301" t="inlineStr"/>
      <c r="U301">
        <f>290*U300/1000</f>
        <v/>
      </c>
    </row>
    <row r="302">
      <c r="A302">
        <f>Skills!A5</f>
        <v/>
      </c>
      <c r="B302">
        <f>Skills!B5</f>
        <v/>
      </c>
      <c r="C302">
        <f>Inputs!$B$3&gt;=35</f>
        <v/>
      </c>
      <c r="D302">
        <f>IF(Skills!C5=1,60+Inputs!$B$25+Inputs!$B$29,IF(Skills!C5=2,90+Inputs!$B$26+Inputs!$B$29,IF(Skills!C5=3,120+Inputs!$B$27+Inputs!$B$29,MAX(0,(Inputs!$B$3-100)*3)+Inputs!$B$28+Inputs!$B$29)))</f>
        <v/>
      </c>
      <c r="E302">
        <f>INDEX(FactorTable!$B$2:$Y$301, MATCH(ROUND(MIN(300,MAX(1,D302)),0), FactorTable!$A$2:$A$301,0), Skills!M5+1)</f>
        <v/>
      </c>
      <c r="F302">
        <f>IF(Skills!N5=TRUE,(Skills!L5/10)*(E302/1000),Skills!L5/10)+Skills!O5</f>
        <v/>
      </c>
      <c r="G302">
        <f>Skills!G5*IF(Skills!H5&gt;0,Skills!I5/Skills!H5,1)</f>
        <v/>
      </c>
      <c r="H302">
        <f>1-(1-Skills!J5/100)^Skills!K5</f>
        <v/>
      </c>
      <c r="I302" t="inlineStr">
        <is>
          <t>1</t>
        </is>
      </c>
      <c r="J302">
        <f>((Inputs!$B$6*(1+Inputs!$B$7/100))+(((Inputs!$B$12*(1+Inputs!$B$13/100))-(Inputs!$B$12*(1+Inputs!$B$13/100)))+0.25*(Inputs!$B$14-Inputs!$B$14))*(1+Inputs!$B$7/100))*(F302/100)</f>
        <v/>
      </c>
      <c r="K302">
        <f>J302*(1+((Inputs!$B$12*(1+Inputs!$B$13/100))*0.01+Inputs!$B$14*0.0025)/100)*(1+Inputs!$B$15/100)*(1+IF(Inputs!$B$38="pvp",0,(1-Summary!$B$55)*(Inputs!$B$20+0+Skills!P5)+Summary!$B$55*((Inputs!$B$21+1)+Skills!Q5))/100)*(1+Inputs!$B$16/100)*(5000/(6000+Inputs!$B$42*(1-(Inputs!$B$19+((C324=TRUE)*(F324-Calc!F27)))/100)))*(1+(Inputs!$B$24+((C322=TRUE)*(F322-Calc!F25))+((C323=TRUE)*(F323-Calc!F26))+B336)/100)*(1+4.0*IF(C307=TRUE,F307,0)/100)*(1+(IF(Skills!A5="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302)</f>
        <v/>
      </c>
      <c r="L302">
        <f>K302*(MIN(Inputs!$B$22+((C321=TRUE)*(F321-Calc!F24)),Inputs!$B$23+((C326=TRUE)*(F326-Calc!F29)))/100+(Inputs!$B$23+((C326=TRUE)*(F326-Calc!F29)))/100)/2</f>
        <v/>
      </c>
      <c r="M302">
        <f>L302*(1+(Inputs!$B$10+0+B335)/100)</f>
        <v/>
      </c>
      <c r="N302">
        <f>L302*(1-MIN((Inputs!$B$9+((C317=TRUE)*(F317-Calc!F20))+B330),100)/100)+M302*(MIN((Inputs!$B$9+((C317=TRUE)*(F317-Calc!F20))+B330),100)/100)</f>
        <v/>
      </c>
      <c r="O302">
        <f>IF(C302,H302*N302*IF(AND(Inputs!$B$38&lt;&gt;"pvp",Inputs!$B$43&gt;0),((Skills!G5*((R302-1)*IF(Skills!H5&gt;0,Skills!I5/Skills!H5,1)+IF(Skills!H5&gt;0,MIN(Skills!I5,MAX(0,MAX(0,Inputs!$B$43-B337)-((R302-1)*IF(Inputs!$B$38="pvp",15,MAX(0.1,Skills!D5-IF(Skills!E5=TRUE,Inputs!$B$32,0))))))/Skills!H5,1)))/Inputs!$B$43),G302*Q302)*IF(Inputs!$B$38="pvp",1,(1-Summary!$B$55)*(1)+Summary!$B$55*(MIN(Skills!R5,Inputs!$B$37))),0)</f>
        <v/>
      </c>
      <c r="P302">
        <f>IF(B338=0,0,O302/B338)</f>
        <v/>
      </c>
      <c r="Q302">
        <f>IFERROR(1/IF(Inputs!$B$38="pvp",15,MAX(0.1,Skills!D5-IF(Skills!E5=TRUE,Inputs!$B$32,0))),0)</f>
        <v/>
      </c>
      <c r="R302">
        <f>IF(AND(Inputs!$B$38&lt;&gt;"pvp",Inputs!$B$43&gt;0),IF(MAX(0,Inputs!$B$43-B337)&lt;=0,0,(INT(MAX(0,Inputs!$B$43-B337)/IF(Inputs!$B$38="pvp",15,MAX(0.1,Skills!D5-IF(Skills!E5=TRUE,Inputs!$B$32,0))))+1)),0)</f>
        <v/>
      </c>
      <c r="S302">
        <f>IFERROR(O302/N302,0)</f>
        <v/>
      </c>
    </row>
    <row r="303">
      <c r="A303">
        <f>Skills!A6</f>
        <v/>
      </c>
      <c r="B303">
        <f>Skills!B6</f>
        <v/>
      </c>
      <c r="C303">
        <f>Inputs!$B$3&gt;=40</f>
        <v/>
      </c>
      <c r="D303">
        <f>IF(Skills!C6=1,60+Inputs!$B$25+Inputs!$B$29,IF(Skills!C6=2,90+Inputs!$B$26+Inputs!$B$29,IF(Skills!C6=3,120+Inputs!$B$27+Inputs!$B$29,MAX(0,(Inputs!$B$3-100)*3)+Inputs!$B$28+Inputs!$B$29)))</f>
        <v/>
      </c>
      <c r="E303">
        <f>INDEX(FactorTable!$B$2:$Y$301, MATCH(ROUND(MIN(300,MAX(1,D303)),0), FactorTable!$A$2:$A$301,0), Skills!M6+1)</f>
        <v/>
      </c>
      <c r="F303">
        <f>IF(Skills!N6=TRUE,(Skills!L6/10)*(E303/1000),Skills!L6/10)+Skills!O6</f>
        <v/>
      </c>
      <c r="G303">
        <f>Skills!G6*IF(Skills!H6&gt;0,Skills!I6/Skills!H6,1)</f>
        <v/>
      </c>
      <c r="H303">
        <f>1-(1-Skills!J6/100)^Skills!K6</f>
        <v/>
      </c>
      <c r="I303" t="inlineStr">
        <is>
          <t>1</t>
        </is>
      </c>
      <c r="J303">
        <f>((Inputs!$B$6*(1+Inputs!$B$7/100))+(((Inputs!$B$12*(1+Inputs!$B$13/100))-(Inputs!$B$12*(1+Inputs!$B$13/100)))+0.25*(Inputs!$B$14-Inputs!$B$14))*(1+Inputs!$B$7/100))*(F303/100)</f>
        <v/>
      </c>
      <c r="K303">
        <f>J303*(1+((Inputs!$B$12*(1+Inputs!$B$13/100))*0.01+Inputs!$B$14*0.0025)/100)*(1+Inputs!$B$15/100)*(1+IF(Inputs!$B$38="pvp",0,(1-Summary!$B$55)*(Inputs!$B$20+0+Skills!P6)+Summary!$B$55*((Inputs!$B$21+1)+Skills!Q6))/100)*(1+Inputs!$B$16/100)*(5000/(6000+Inputs!$B$42*(1-(Inputs!$B$19+((C324=TRUE)*(F324-Calc!F27)))/100)))*(1+(Inputs!$B$24+((C322=TRUE)*(F322-Calc!F25))+((C323=TRUE)*(F323-Calc!F26))+B336)/100)*(1+IF(C304=TRUE,F304,0)/100)*(1+(IF(Skills!A6="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303)</f>
        <v/>
      </c>
      <c r="L303">
        <f>K303*(MIN(Inputs!$B$22+((C321=TRUE)*(F321-Calc!F24)),Inputs!$B$23+((C326=TRUE)*(F326-Calc!F29)))/100+(Inputs!$B$23+((C326=TRUE)*(F326-Calc!F29)))/100)/2</f>
        <v/>
      </c>
      <c r="M303">
        <f>L303*(1+(Inputs!$B$10+0+B335)/100)</f>
        <v/>
      </c>
      <c r="N303">
        <f>L303*(1-MIN((Inputs!$B$9+((C317=TRUE)*(F317-Calc!F20))+B330),100)/100)+M303*(MIN((Inputs!$B$9+((C317=TRUE)*(F317-Calc!F20))+B330),100)/100)</f>
        <v/>
      </c>
      <c r="O303">
        <f>IF(C303,H303*N303*IF(AND(Inputs!$B$38&lt;&gt;"pvp",Inputs!$B$43&gt;0),((Skills!G6*((R303-1)*IF(Skills!H6&gt;0,Skills!I6/Skills!H6,1)+IF(Skills!H6&gt;0,MIN(Skills!I6,MAX(0,MAX(0,Inputs!$B$43-B337)-((R303-1)*IF(Inputs!$B$38="pvp",15,MAX(0.1,Skills!D6-IF(Skills!E6=TRUE,Inputs!$B$32,0))))))/Skills!H6,1)))/Inputs!$B$43),G303*Q303)*IF(Inputs!$B$38="pvp",1,(1-Summary!$B$55)*(1)+Summary!$B$55*(MIN(Skills!R6,Inputs!$B$37))),0)</f>
        <v/>
      </c>
      <c r="P303">
        <f>IF(B338=0,0,O303/B338)</f>
        <v/>
      </c>
      <c r="Q303">
        <f>IFERROR(1/IF(Inputs!$B$38="pvp",15,MAX(0.1,Skills!D6-IF(Skills!E6=TRUE,Inputs!$B$32,0))),0)</f>
        <v/>
      </c>
      <c r="R303">
        <f>IF(AND(Inputs!$B$38&lt;&gt;"pvp",Inputs!$B$43&gt;0),IF(MAX(0,Inputs!$B$43-B337)&lt;=0,0,(INT(MAX(0,Inputs!$B$43-B337)/IF(Inputs!$B$38="pvp",15,MAX(0.1,Skills!D6-IF(Skills!E6=TRUE,Inputs!$B$32,0))))+1)),0)</f>
        <v/>
      </c>
      <c r="S303">
        <f>IFERROR(O303/N303,0)</f>
        <v/>
      </c>
    </row>
    <row r="304">
      <c r="A304">
        <f>Skills!A7</f>
        <v/>
      </c>
      <c r="B304">
        <f>Skills!B7</f>
        <v/>
      </c>
      <c r="C304">
        <f>Inputs!$B$3&gt;=107</f>
        <v/>
      </c>
      <c r="D304">
        <f>IF(Skills!C7=1,60+Inputs!$B$25+Inputs!$B$29,IF(Skills!C7=2,90+Inputs!$B$26+Inputs!$B$29,IF(Skills!C7=3,120+Inputs!$B$27+Inputs!$B$29,MAX(0,(Inputs!$B$3-100)*3)+Inputs!$B$28+Inputs!$B$29)))</f>
        <v/>
      </c>
      <c r="E304">
        <f>INDEX(FactorTable!$B$2:$Y$301, MATCH(ROUND(MIN(300,MAX(1,D304)),0), FactorTable!$A$2:$A$301,0), Skills!M7+1)</f>
        <v/>
      </c>
      <c r="F304">
        <f>IF(Skills!N7=TRUE,(Skills!L7/10)*(E304/1000),Skills!L7/10)+Skills!O7</f>
        <v/>
      </c>
      <c r="G304" t="inlineStr"/>
      <c r="H304" t="inlineStr"/>
      <c r="I304" t="inlineStr">
        <is>
          <t>1</t>
        </is>
      </c>
      <c r="J304" t="inlineStr"/>
      <c r="K304" t="inlineStr"/>
      <c r="L304" t="inlineStr"/>
      <c r="M304" t="inlineStr"/>
      <c r="N304" t="inlineStr"/>
      <c r="O304" t="inlineStr"/>
      <c r="P304" t="inlineStr"/>
      <c r="Q304" t="inlineStr"/>
      <c r="R304" t="inlineStr"/>
      <c r="S304" t="inlineStr"/>
    </row>
    <row r="305">
      <c r="A305">
        <f>Skills!A8</f>
        <v/>
      </c>
      <c r="B305">
        <f>Skills!B8</f>
        <v/>
      </c>
      <c r="C305">
        <f>Inputs!$B$3&gt;=69</f>
        <v/>
      </c>
      <c r="D305">
        <f>IF(Skills!C8=1,60+Inputs!$B$25+Inputs!$B$29,IF(Skills!C8=2,90+Inputs!$B$26+Inputs!$B$29,IF(Skills!C8=3,120+Inputs!$B$27+Inputs!$B$29,MAX(0,(Inputs!$B$3-100)*3)+Inputs!$B$28+Inputs!$B$29)))</f>
        <v/>
      </c>
      <c r="E305">
        <f>INDEX(FactorTable!$B$2:$Y$301, MATCH(ROUND(MIN(300,MAX(1,D305)),0), FactorTable!$A$2:$A$301,0), Skills!M8+1)</f>
        <v/>
      </c>
      <c r="F305">
        <f>IF(Skills!N8=TRUE,(Skills!L8/10)*(E305/1000),Skills!L8/10)+Skills!O8</f>
        <v/>
      </c>
      <c r="G305">
        <f>Skills!G8*IF(Skills!H8&gt;0,Skills!I8/Skills!H8,1)</f>
        <v/>
      </c>
      <c r="H305">
        <f>1-(1-Skills!J8/100)^Skills!K8</f>
        <v/>
      </c>
      <c r="I305" t="inlineStr">
        <is>
          <t>1</t>
        </is>
      </c>
      <c r="J305">
        <f>((Inputs!$B$6*(1+Inputs!$B$7/100))+(((Inputs!$B$12*(1+Inputs!$B$13/100))-(Inputs!$B$12*(1+Inputs!$B$13/100)))+0.25*(Inputs!$B$14-Inputs!$B$14))*(1+Inputs!$B$7/100))*(F305/100)</f>
        <v/>
      </c>
      <c r="K305">
        <f>J305*(1+((Inputs!$B$12*(1+Inputs!$B$13/100))*0.01+Inputs!$B$14*0.0025)/100)*(1+Inputs!$B$15/100)*(1+IF(Inputs!$B$38="pvp",0,(1-Summary!$B$55)*(Inputs!$B$20+0+Skills!P8)+Summary!$B$55*((Inputs!$B$21+1)+Skills!Q8))/100)*(1+Inputs!$B$16/100)*(5000/(6000+Inputs!$B$42*(1-(Inputs!$B$19+((C324=TRUE)*(F324-Calc!F27)))/100)))*(1+(Inputs!$B$24+((C322=TRUE)*(F322-Calc!F25))+((C323=TRUE)*(F323-Calc!F26))+B336)/100)*(1+1.2*IF(C307=TRUE,F307,0)/100)*(1+(IF(Skills!A8="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305)</f>
        <v/>
      </c>
      <c r="L305">
        <f>K305*(MIN(Inputs!$B$22+((C321=TRUE)*(F321-Calc!F24)),Inputs!$B$23+((C326=TRUE)*(F326-Calc!F29)))/100+(Inputs!$B$23+((C326=TRUE)*(F326-Calc!F29)))/100)/2</f>
        <v/>
      </c>
      <c r="M305">
        <f>L305*(1+(Inputs!$B$10+0+B335)/100)</f>
        <v/>
      </c>
      <c r="N305">
        <f>L305*(1-MIN((Inputs!$B$9+((C317=TRUE)*(F317-Calc!F20))+B330),100)/100)+M305*(MIN((Inputs!$B$9+((C317=TRUE)*(F317-Calc!F20))+B330),100)/100)</f>
        <v/>
      </c>
      <c r="O305">
        <f>IF(C305,H305*N305*IF(AND(Inputs!$B$38&lt;&gt;"pvp",Inputs!$B$43&gt;0),((Skills!G8*((R305-1)*IF(Skills!H8&gt;0,Skills!I8/Skills!H8,1)+IF(Skills!H8&gt;0,MIN(Skills!I8,MAX(0,MAX(0,Inputs!$B$43-B337)-((R305-1)*IF(Inputs!$B$38="pvp",15,MAX(0.1,Skills!D8-IF(Skills!E8=TRUE,Inputs!$B$32,0))))))/Skills!H8,1)))/Inputs!$B$43),G305*Q305)*IF(Inputs!$B$38="pvp",1,(1-Summary!$B$55)*(1)+Summary!$B$55*(MIN(Skills!R8,Inputs!$B$37))),0)</f>
        <v/>
      </c>
      <c r="P305">
        <f>IF(B338=0,0,O305/B338)</f>
        <v/>
      </c>
      <c r="Q305">
        <f>IFERROR(1/IF(Inputs!$B$38="pvp",15,MAX(0.1,Skills!D8-IF(Skills!E8=TRUE,Inputs!$B$32,0))),0)</f>
        <v/>
      </c>
      <c r="R305">
        <f>IF(AND(Inputs!$B$38&lt;&gt;"pvp",Inputs!$B$43&gt;0),IF(MAX(0,Inputs!$B$43-B337)&lt;=0,0,(INT(MAX(0,Inputs!$B$43-B337)/IF(Inputs!$B$38="pvp",15,MAX(0.1,Skills!D8-IF(Skills!E8=TRUE,Inputs!$B$32,0))))+1)),0)</f>
        <v/>
      </c>
      <c r="S305">
        <f>IFERROR(O305/N305,0)</f>
        <v/>
      </c>
    </row>
    <row r="306">
      <c r="A306">
        <f>Skills!A9</f>
        <v/>
      </c>
      <c r="B306">
        <f>Skills!B9</f>
        <v/>
      </c>
      <c r="C306">
        <f>Inputs!$B$3&gt;=63</f>
        <v/>
      </c>
      <c r="D306">
        <f>IF(Skills!C9=1,60+Inputs!$B$25+Inputs!$B$29,IF(Skills!C9=2,90+Inputs!$B$26+Inputs!$B$29,IF(Skills!C9=3,120+Inputs!$B$27+Inputs!$B$29,MAX(0,(Inputs!$B$3-100)*3)+Inputs!$B$28+Inputs!$B$29)))</f>
        <v/>
      </c>
      <c r="E306">
        <f>INDEX(FactorTable!$B$2:$Y$301, MATCH(ROUND(MIN(300,MAX(1,D306)),0), FactorTable!$A$2:$A$301,0), Skills!M9+1)</f>
        <v/>
      </c>
      <c r="F306">
        <f>IF(Skills!N9=TRUE,(Skills!L9/10)*(E306/1000),Skills!L9/10)+Skills!O9</f>
        <v/>
      </c>
      <c r="G306">
        <f>Skills!G9*IF(Skills!H9&gt;0,Skills!I9/Skills!H9,1)</f>
        <v/>
      </c>
      <c r="H306">
        <f>1-(1-Skills!J9/100)^Skills!K9</f>
        <v/>
      </c>
      <c r="I306" t="inlineStr">
        <is>
          <t>1</t>
        </is>
      </c>
      <c r="J306">
        <f>((Inputs!$B$6*(1+Inputs!$B$7/100))+(((Inputs!$B$12*(1+Inputs!$B$13/100))-(Inputs!$B$12*(1+Inputs!$B$13/100)))+0.25*(Inputs!$B$14-Inputs!$B$14))*(1+Inputs!$B$7/100))*(F306/100)</f>
        <v/>
      </c>
      <c r="K306">
        <f>J306*(1+((Inputs!$B$12*(1+Inputs!$B$13/100))*0.01+Inputs!$B$14*0.0025)/100)*(1+Inputs!$B$15/100)*(1+IF(Inputs!$B$38="pvp",0,(1-Summary!$B$55)*(Inputs!$B$20+0+Skills!P9)+Summary!$B$55*((Inputs!$B$21+1)+Skills!Q9))/100)*(1+Inputs!$B$16/100)*(5000/(6000+Inputs!$B$42*(1-(Inputs!$B$19+((C324=TRUE)*(F324-Calc!F27)))/100)))*(1+(Inputs!$B$24+((C322=TRUE)*(F322-Calc!F25))+((C323=TRUE)*(F323-Calc!F26))+B336)/100)*(1+1.0*IF(C307=TRUE,F307,0)/100)*(1+(IF(Skills!A9="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306)</f>
        <v/>
      </c>
      <c r="L306">
        <f>K306*(MIN(Inputs!$B$22+((C321=TRUE)*(F321-Calc!F24)),Inputs!$B$23+((C326=TRUE)*(F326-Calc!F29)))/100+(Inputs!$B$23+((C326=TRUE)*(F326-Calc!F29)))/100)/2</f>
        <v/>
      </c>
      <c r="M306">
        <f>L306*(1+(Inputs!$B$10+0+B335)/100)</f>
        <v/>
      </c>
      <c r="N306">
        <f>L306*(1-MIN((Inputs!$B$9+((C317=TRUE)*(F317-Calc!F20))+B330),100)/100)+M306*(MIN((Inputs!$B$9+((C317=TRUE)*(F317-Calc!F20))+B330),100)/100)</f>
        <v/>
      </c>
      <c r="O306">
        <f>IF(C306,H306*N306*IF(AND(Inputs!$B$38&lt;&gt;"pvp",Inputs!$B$43&gt;0),((Skills!G9*((R306-1)*IF(Skills!H9&gt;0,Skills!I9/Skills!H9,1)+IF(Skills!H9&gt;0,MIN(Skills!I9,MAX(0,MAX(0,Inputs!$B$43-B337)-((R306-1)*IF(Inputs!$B$38="pvp",15,MAX(0.1,Skills!D9-IF(Skills!E9=TRUE,Inputs!$B$32,0))))))/Skills!H9,1)))/Inputs!$B$43),G306*Q306)*IF(Inputs!$B$38="pvp",1,(1-Summary!$B$55)*(1)+Summary!$B$55*(MIN(Skills!R9,Inputs!$B$37))),0)</f>
        <v/>
      </c>
      <c r="P306">
        <f>IF(B338=0,0,O306/B338)</f>
        <v/>
      </c>
      <c r="Q306">
        <f>IFERROR(1/IF(Inputs!$B$38="pvp",15,MAX(0.1,Skills!D9-IF(Skills!E9=TRUE,Inputs!$B$32,0))),0)</f>
        <v/>
      </c>
      <c r="R306">
        <f>IF(AND(Inputs!$B$38&lt;&gt;"pvp",Inputs!$B$43&gt;0),IF(MAX(0,Inputs!$B$43-B337)&lt;=0,0,(INT(MAX(0,Inputs!$B$43-B337)/IF(Inputs!$B$38="pvp",15,MAX(0.1,Skills!D9-IF(Skills!E9=TRUE,Inputs!$B$32,0))))+1)),0)</f>
        <v/>
      </c>
      <c r="S306">
        <f>IFERROR(O306/N306,0)</f>
        <v/>
      </c>
    </row>
    <row r="307">
      <c r="A307">
        <f>Skills!A10</f>
        <v/>
      </c>
      <c r="B307">
        <f>Skills!B10</f>
        <v/>
      </c>
      <c r="C307">
        <f>Inputs!$B$3&gt;=100</f>
        <v/>
      </c>
      <c r="D307">
        <f>IF(Skills!C10=1,60+Inputs!$B$25+Inputs!$B$29,IF(Skills!C10=2,90+Inputs!$B$26+Inputs!$B$29,IF(Skills!C10=3,120+Inputs!$B$27+Inputs!$B$29,MAX(0,(Inputs!$B$3-100)*3)+Inputs!$B$28+Inputs!$B$29)))</f>
        <v/>
      </c>
      <c r="E307">
        <f>INDEX(FactorTable!$B$2:$Y$301, MATCH(ROUND(MIN(300,MAX(1,D307)),0), FactorTable!$A$2:$A$301,0), Skills!M10+1)</f>
        <v/>
      </c>
      <c r="F307">
        <f>IF(Skills!N10=TRUE,(Skills!L10/10)*(E307/1000),Skills!L10/10)+Skills!O10</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Skills!A11</f>
        <v/>
      </c>
      <c r="B308">
        <f>Skills!B11</f>
        <v/>
      </c>
      <c r="C308">
        <f>Inputs!$B$3&gt;=60</f>
        <v/>
      </c>
      <c r="D308">
        <f>IF(Skills!C11=1,60+Inputs!$B$25+Inputs!$B$29,IF(Skills!C11=2,90+Inputs!$B$26+Inputs!$B$29,IF(Skills!C11=3,120+Inputs!$B$27+Inputs!$B$29,MAX(0,(Inputs!$B$3-100)*3)+Inputs!$B$28+Inputs!$B$29)))</f>
        <v/>
      </c>
      <c r="E308">
        <f>INDEX(FactorTable!$B$2:$Y$301, MATCH(ROUND(MIN(300,MAX(1,D308)),0), FactorTable!$A$2:$A$301,0), Skills!M11+1)</f>
        <v/>
      </c>
      <c r="F308">
        <f>IF(Skills!N11=TRUE,(Skills!L11/10)*(E308/1000),Skills!L11/10)+Skills!O11</f>
        <v/>
      </c>
      <c r="G308">
        <f>Skills!G11*IF(Skills!H11&gt;0,Skills!I11/Skills!H11,1)</f>
        <v/>
      </c>
      <c r="H308">
        <f>1-(1-Skills!J11/100)^Skills!K11</f>
        <v/>
      </c>
      <c r="I308" t="inlineStr">
        <is>
          <t>1</t>
        </is>
      </c>
      <c r="J308">
        <f>((Inputs!$B$6*(1+Inputs!$B$7/100))+(((Inputs!$B$12*(1+Inputs!$B$13/100))-(Inputs!$B$12*(1+Inputs!$B$13/100)))+0.25*(Inputs!$B$14-Inputs!$B$14))*(1+Inputs!$B$7/100))*(F308/100)</f>
        <v/>
      </c>
      <c r="K308">
        <f>J308*(1+((Inputs!$B$12*(1+Inputs!$B$13/100))*0.01+Inputs!$B$14*0.0025)/100)*(1+Inputs!$B$15/100)*(1+IF(Inputs!$B$38="pvp",0,(1-Summary!$B$55)*(Inputs!$B$20+0+Skills!P11)+Summary!$B$55*((Inputs!$B$21+1)+Skills!Q11))/100)*(1+Inputs!$B$16/100)*(5000/(6000+Inputs!$B$42*(1-(Inputs!$B$19+((C324=TRUE)*(F324-Calc!F27)))/100)))*(1+(Inputs!$B$24+((C322=TRUE)*(F322-Calc!F25))+((C323=TRUE)*(F323-Calc!F26))+B336)/100)*(1+IF(C309=TRUE,F309,0)/100)*(1+(IF(Skills!A11="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308)</f>
        <v/>
      </c>
      <c r="L308">
        <f>K308*(MIN(Inputs!$B$22+((C321=TRUE)*(F321-Calc!F24)),Inputs!$B$23+((C326=TRUE)*(F326-Calc!F29)))/100+(Inputs!$B$23+((C326=TRUE)*(F326-Calc!F29)))/100)/2</f>
        <v/>
      </c>
      <c r="M308">
        <f>L308*(1+(Inputs!$B$10+0+B335)/100)</f>
        <v/>
      </c>
      <c r="N308">
        <f>L308*(1-MIN((Inputs!$B$9+((C317=TRUE)*(F317-Calc!F20))+B330),100)/100)+M308*(MIN((Inputs!$B$9+((C317=TRUE)*(F317-Calc!F20))+B330),100)/100)</f>
        <v/>
      </c>
      <c r="O308">
        <f>IF(C308,H308*N308*IF(AND(Inputs!$B$38&lt;&gt;"pvp",Inputs!$B$43&gt;0),((Skills!G11*((R308-1)*IF(Skills!H11&gt;0,Skills!I11/Skills!H11,1)+IF(Skills!H11&gt;0,MIN(Skills!I11,MAX(0,MAX(0,Inputs!$B$43-B337)-((R308-1)*IF(Inputs!$B$38="pvp",15,MAX(0.1,Skills!D11-IF(Skills!E11=TRUE,Inputs!$B$32,0))))))/Skills!H11,1)))/Inputs!$B$43),G308*Q308)*IF(Inputs!$B$38="pvp",1,(1-Summary!$B$55)*(1)+Summary!$B$55*(MIN(Skills!R11,Inputs!$B$37))),0)</f>
        <v/>
      </c>
      <c r="P308">
        <f>IF(B338=0,0,O308/B338)</f>
        <v/>
      </c>
      <c r="Q308">
        <f>IFERROR(1/IF(Inputs!$B$38="pvp",15,MAX(0.1,Skills!D11-IF(Skills!E11=TRUE,Inputs!$B$32,0))),0)</f>
        <v/>
      </c>
      <c r="R308">
        <f>IF(AND(Inputs!$B$38&lt;&gt;"pvp",Inputs!$B$43&gt;0),IF(MAX(0,Inputs!$B$43-B337)&lt;=0,0,(INT(MAX(0,Inputs!$B$43-B337)/IF(Inputs!$B$38="pvp",15,MAX(0.1,Skills!D11-IF(Skills!E11=TRUE,Inputs!$B$32,0))))+1)),0)</f>
        <v/>
      </c>
      <c r="S308">
        <f>IFERROR(O308/N308,0)</f>
        <v/>
      </c>
    </row>
    <row r="309">
      <c r="A309">
        <f>Skills!A12</f>
        <v/>
      </c>
      <c r="B309">
        <f>Skills!B12</f>
        <v/>
      </c>
      <c r="C309">
        <f>Inputs!$B$3&gt;=110</f>
        <v/>
      </c>
      <c r="D309">
        <f>IF(Skills!C12=1,60+Inputs!$B$25+Inputs!$B$29,IF(Skills!C12=2,90+Inputs!$B$26+Inputs!$B$29,IF(Skills!C12=3,120+Inputs!$B$27+Inputs!$B$29,MAX(0,(Inputs!$B$3-100)*3)+Inputs!$B$28+Inputs!$B$29)))</f>
        <v/>
      </c>
      <c r="E309">
        <f>INDEX(FactorTable!$B$2:$Y$301, MATCH(ROUND(MIN(300,MAX(1,D309)),0), FactorTable!$A$2:$A$301,0), Skills!M12+1)</f>
        <v/>
      </c>
      <c r="F309">
        <f>IF(Skills!N12=TRUE,(Skills!L12/10)*(E309/1000),Skills!L12/10)+Skills!O12</f>
        <v/>
      </c>
      <c r="G309" t="inlineStr"/>
      <c r="H309" t="inlineStr"/>
      <c r="I309" t="inlineStr">
        <is>
          <t>1</t>
        </is>
      </c>
      <c r="J309" t="inlineStr"/>
      <c r="K309" t="inlineStr"/>
      <c r="L309" t="inlineStr"/>
      <c r="M309" t="inlineStr"/>
      <c r="N309" t="inlineStr"/>
      <c r="O309" t="inlineStr"/>
      <c r="P309" t="inlineStr"/>
      <c r="Q309" t="inlineStr"/>
      <c r="R309" t="inlineStr"/>
      <c r="S309" t="inlineStr"/>
    </row>
    <row r="310">
      <c r="A310">
        <f>Skills!A13</f>
        <v/>
      </c>
      <c r="B310">
        <f>Skills!B13</f>
        <v/>
      </c>
      <c r="C310">
        <f>Inputs!$B$3&gt;=74</f>
        <v/>
      </c>
      <c r="D310">
        <f>IF(Skills!C13=1,60+Inputs!$B$25+Inputs!$B$29,IF(Skills!C13=2,90+Inputs!$B$26+Inputs!$B$29,IF(Skills!C13=3,120+Inputs!$B$27+Inputs!$B$29,MAX(0,(Inputs!$B$3-100)*3)+Inputs!$B$28+Inputs!$B$29)))</f>
        <v/>
      </c>
      <c r="E310">
        <f>INDEX(FactorTable!$B$2:$Y$301, MATCH(ROUND(MIN(300,MAX(1,D310)),0), FactorTable!$A$2:$A$301,0), Skills!M13+1)</f>
        <v/>
      </c>
      <c r="F310">
        <f>IF(Skills!N13=TRUE,(Skills!L13/10)*(E310/1000),Skills!L13/10)+Skills!O13</f>
        <v/>
      </c>
      <c r="G310">
        <f>Skills!G13*IF(Skills!H13&gt;0,Skills!I13/Skills!H13,1)</f>
        <v/>
      </c>
      <c r="H310">
        <f>1-(1-Skills!J13/100)^Skills!K13</f>
        <v/>
      </c>
      <c r="I310" t="inlineStr">
        <is>
          <t>1</t>
        </is>
      </c>
      <c r="J310" t="inlineStr"/>
      <c r="K310" t="inlineStr"/>
      <c r="L310" t="inlineStr"/>
      <c r="M310" t="inlineStr"/>
      <c r="N310" t="inlineStr"/>
      <c r="O310" t="n">
        <v>0</v>
      </c>
      <c r="P310">
        <f>IF(B338=0,0,O310/B338)</f>
        <v/>
      </c>
      <c r="Q310" t="n">
        <v>0</v>
      </c>
      <c r="R310" t="n">
        <v>0</v>
      </c>
      <c r="S310">
        <f>IFERROR(O310/N310,0)</f>
        <v/>
      </c>
    </row>
    <row r="311">
      <c r="A311">
        <f>Skills!A14</f>
        <v/>
      </c>
      <c r="B311">
        <f>Skills!B14</f>
        <v/>
      </c>
      <c r="C311">
        <f>Inputs!$B$3&gt;=74</f>
        <v/>
      </c>
      <c r="D311">
        <f>IF(Skills!C14=1,60+Inputs!$B$25+Inputs!$B$29,IF(Skills!C14=2,90+Inputs!$B$26+Inputs!$B$29,IF(Skills!C14=3,120+Inputs!$B$27+Inputs!$B$29,MAX(0,(Inputs!$B$3-100)*3)+Inputs!$B$28+Inputs!$B$29)))</f>
        <v/>
      </c>
      <c r="E311">
        <f>INDEX(FactorTable!$B$2:$Y$301, MATCH(ROUND(MIN(300,MAX(1,D311)),0), FactorTable!$A$2:$A$301,0), Skills!M14+1)</f>
        <v/>
      </c>
      <c r="F311">
        <f>IF(Skills!N14=TRUE,(Skills!L14/10)*(E311/1000),Skills!L14/10)+Skills!O14</f>
        <v/>
      </c>
      <c r="G311">
        <f>Skills!G14*IF(Skills!H14&gt;0,Skills!I14/Skills!H14,1)</f>
        <v/>
      </c>
      <c r="H311">
        <f>1-(1-Skills!J14/100)^Skills!K14</f>
        <v/>
      </c>
      <c r="I311" t="inlineStr">
        <is>
          <t>1</t>
        </is>
      </c>
      <c r="J311" t="inlineStr"/>
      <c r="K311" t="inlineStr"/>
      <c r="L311" t="inlineStr"/>
      <c r="M311" t="inlineStr"/>
      <c r="N311" t="inlineStr"/>
      <c r="O311" t="n">
        <v>0</v>
      </c>
      <c r="P311">
        <f>IF(B338=0,0,O311/B338)</f>
        <v/>
      </c>
      <c r="Q311" t="n">
        <v>0</v>
      </c>
      <c r="R311" t="n">
        <v>0</v>
      </c>
      <c r="S311">
        <f>IFERROR(O311/N311,0)</f>
        <v/>
      </c>
    </row>
    <row r="312">
      <c r="A312">
        <f>Skills!A15</f>
        <v/>
      </c>
      <c r="B312">
        <f>Skills!B15</f>
        <v/>
      </c>
      <c r="C312">
        <f>Inputs!$B$3&gt;=117</f>
        <v/>
      </c>
      <c r="D312">
        <f>IF(Skills!C15=1,60+Inputs!$B$25+Inputs!$B$29,IF(Skills!C15=2,90+Inputs!$B$26+Inputs!$B$29,IF(Skills!C15=3,120+Inputs!$B$27+Inputs!$B$29,MAX(0,(Inputs!$B$3-100)*3)+Inputs!$B$28+Inputs!$B$29)))</f>
        <v/>
      </c>
      <c r="E312">
        <f>INDEX(FactorTable!$B$2:$Y$301, MATCH(ROUND(MIN(300,MAX(1,D312)),0), FactorTable!$A$2:$A$301,0), Skills!M15+1)</f>
        <v/>
      </c>
      <c r="F312">
        <f>IF(Skills!N15=TRUE,(Skills!L15/10)*(E312/1000),Skills!L15/10)+Skills!O15</f>
        <v/>
      </c>
      <c r="G312">
        <f>Skills!G15*IF(Skills!H15&gt;0,Skills!I15/Skills!H15,1)</f>
        <v/>
      </c>
      <c r="H312">
        <f>1-(1-Skills!J15/100)^Skills!K15</f>
        <v/>
      </c>
      <c r="I312" t="inlineStr">
        <is>
          <t>1</t>
        </is>
      </c>
      <c r="J312" t="inlineStr"/>
      <c r="K312" t="inlineStr"/>
      <c r="L312" t="inlineStr"/>
      <c r="M312" t="inlineStr"/>
      <c r="N312" t="inlineStr"/>
      <c r="O312" t="n">
        <v>0</v>
      </c>
      <c r="P312">
        <f>IF(B338=0,0,O312/B338)</f>
        <v/>
      </c>
      <c r="Q312">
        <f>IFERROR(1/IF(Inputs!$B$38="pvp",15,MAX(0.1,Skills!D15-IF(Skills!E15=TRUE,Inputs!$B$32,0))),0)</f>
        <v/>
      </c>
      <c r="R312">
        <f>IF(AND(Inputs!$B$38&lt;&gt;"pvp",Inputs!$B$43&gt;0),IF(Inputs!$B$43&lt;=0,0,(INT(Inputs!$B$43/IF(Inputs!$B$38="pvp",15,MAX(0.1,Skills!D15-IF(Skills!E15=TRUE,Inputs!$B$32,0))))+1)),0)</f>
        <v/>
      </c>
      <c r="S312">
        <f>IFERROR(O312/N312,0)</f>
        <v/>
      </c>
    </row>
    <row r="313">
      <c r="A313">
        <f>Skills!A16</f>
        <v/>
      </c>
      <c r="B313">
        <f>Skills!B16</f>
        <v/>
      </c>
      <c r="C313">
        <f>Inputs!$B$3&gt;=115</f>
        <v/>
      </c>
      <c r="D313">
        <f>IF(Skills!C16=1,60+Inputs!$B$25+Inputs!$B$29,IF(Skills!C16=2,90+Inputs!$B$26+Inputs!$B$29,IF(Skills!C16=3,120+Inputs!$B$27+Inputs!$B$29,MAX(0,(Inputs!$B$3-100)*3)+Inputs!$B$28+Inputs!$B$29)))</f>
        <v/>
      </c>
      <c r="E313">
        <f>INDEX(FactorTable!$B$2:$Y$301, MATCH(ROUND(MIN(300,MAX(1,D313)),0), FactorTable!$A$2:$A$301,0), Skills!M16+1)</f>
        <v/>
      </c>
      <c r="F313">
        <f>IF(Skills!N16=TRUE,(Skills!L16/10)*(E313/1000),Skills!L16/10)+Skills!O16</f>
        <v/>
      </c>
      <c r="G313">
        <f>Skills!G16*IF(Skills!H16&gt;0,Skills!I16/Skills!H16,1)</f>
        <v/>
      </c>
      <c r="H313">
        <f>1-(1-Skills!J16/100)^Skills!K16</f>
        <v/>
      </c>
      <c r="I313" t="inlineStr">
        <is>
          <t>1</t>
        </is>
      </c>
      <c r="J313" t="inlineStr"/>
      <c r="K313" t="inlineStr"/>
      <c r="L313" t="inlineStr"/>
      <c r="M313" t="inlineStr"/>
      <c r="N313" t="inlineStr"/>
      <c r="O313" t="n">
        <v>0</v>
      </c>
      <c r="P313">
        <f>IF(B338=0,0,O313/B338)</f>
        <v/>
      </c>
      <c r="Q313">
        <f>IFERROR(1/IF(Inputs!$B$38="pvp",15,MAX(0.1,Skills!D16-IF(Skills!E16=TRUE,Inputs!$B$32,0))),0)</f>
        <v/>
      </c>
      <c r="R313">
        <f>IF(AND(Inputs!$B$38&lt;&gt;"pvp",Inputs!$B$43&gt;0),IF(Inputs!$B$43&lt;=0,0,(INT(Inputs!$B$43/IF(Inputs!$B$38="pvp",15,MAX(0.1,Skills!D16-IF(Skills!E16=TRUE,Inputs!$B$32,0))))+1)),0)</f>
        <v/>
      </c>
      <c r="S313">
        <f>IFERROR(O313/N313,0)</f>
        <v/>
      </c>
    </row>
    <row r="314">
      <c r="A314">
        <f>Skills!A17</f>
        <v/>
      </c>
      <c r="B314">
        <f>Skills!B17</f>
        <v/>
      </c>
      <c r="C314">
        <f>Inputs!$B$3&gt;=66</f>
        <v/>
      </c>
      <c r="D314">
        <f>IF(Skills!C17=1,60+Inputs!$B$25+Inputs!$B$29,IF(Skills!C17=2,90+Inputs!$B$26+Inputs!$B$29,IF(Skills!C17=3,120+Inputs!$B$27+Inputs!$B$29,MAX(0,(Inputs!$B$3-100)*3)+Inputs!$B$28+Inputs!$B$29)))</f>
        <v/>
      </c>
      <c r="E314">
        <f>INDEX(FactorTable!$B$2:$Y$301, MATCH(ROUND(MIN(300,MAX(1,D314)),0), FactorTable!$A$2:$A$301,0), Skills!M17+1)</f>
        <v/>
      </c>
      <c r="F314">
        <f>IF(Skills!N17=TRUE,(Skills!L17/10)*(E314/1000),Skills!L17/10)+Skills!O17</f>
        <v/>
      </c>
      <c r="G314">
        <f>Skills!G17*IF(Skills!H17&gt;0,Skills!I17/Skills!H17,1)</f>
        <v/>
      </c>
      <c r="H314">
        <f>1-(1-Skills!J17/100)^Skills!K17</f>
        <v/>
      </c>
      <c r="I314" t="inlineStr">
        <is>
          <t>1</t>
        </is>
      </c>
      <c r="J314" t="inlineStr"/>
      <c r="K314" t="inlineStr"/>
      <c r="L314" t="inlineStr"/>
      <c r="M314" t="inlineStr"/>
      <c r="N314" t="inlineStr"/>
      <c r="O314" t="n">
        <v>0</v>
      </c>
      <c r="P314">
        <f>IF(B338=0,0,O314/B338)</f>
        <v/>
      </c>
      <c r="Q314" t="n">
        <v>0</v>
      </c>
      <c r="R314" t="n">
        <v>0</v>
      </c>
      <c r="S314">
        <f>IFERROR(O314/N314,0)</f>
        <v/>
      </c>
    </row>
    <row r="315">
      <c r="A315">
        <f>Skills!A18</f>
        <v/>
      </c>
      <c r="B315">
        <f>Skills!B18</f>
        <v/>
      </c>
      <c r="C315">
        <f>Inputs!$B$3&gt;=72</f>
        <v/>
      </c>
      <c r="D315">
        <f>IF(Skills!C18=1,60+Inputs!$B$25+Inputs!$B$29,IF(Skills!C18=2,90+Inputs!$B$26+Inputs!$B$29,IF(Skills!C18=3,120+Inputs!$B$27+Inputs!$B$29,MAX(0,(Inputs!$B$3-100)*3)+Inputs!$B$28+Inputs!$B$29)))</f>
        <v/>
      </c>
      <c r="E315">
        <f>INDEX(FactorTable!$B$2:$Y$301, MATCH(ROUND(MIN(300,MAX(1,D315)),0), FactorTable!$A$2:$A$301,0), Skills!M18+1)</f>
        <v/>
      </c>
      <c r="F315">
        <f>IF(Skills!N18=TRUE,(Skills!L18/10)*(E315/1000),Skills!L18/10)+Skills!O18</f>
        <v/>
      </c>
      <c r="G315">
        <f>Skills!G18*IF(Skills!H18&gt;0,Skills!I18/Skills!H18,1)</f>
        <v/>
      </c>
      <c r="H315">
        <f>1-(1-Skills!J18/100)^Skills!K18</f>
        <v/>
      </c>
      <c r="I315" t="inlineStr">
        <is>
          <t>1</t>
        </is>
      </c>
      <c r="J315" t="inlineStr"/>
      <c r="K315" t="inlineStr"/>
      <c r="L315" t="inlineStr"/>
      <c r="M315" t="inlineStr"/>
      <c r="N315" t="inlineStr"/>
      <c r="O315" t="n">
        <v>0</v>
      </c>
      <c r="P315">
        <f>IF(B338=0,0,O315/B338)</f>
        <v/>
      </c>
      <c r="Q315" t="n">
        <v>0</v>
      </c>
      <c r="R315" t="n">
        <v>0</v>
      </c>
      <c r="S315">
        <f>IFERROR(O315/N315,0)</f>
        <v/>
      </c>
    </row>
    <row r="316">
      <c r="A316">
        <f>Skills!A19</f>
        <v/>
      </c>
      <c r="B316">
        <f>Skills!B19</f>
        <v/>
      </c>
      <c r="C316">
        <f>TRUE</f>
        <v/>
      </c>
      <c r="D316">
        <f>IF(Skills!C19=1,60+Inputs!$B$25+Inputs!$B$29,IF(Skills!C19=2,90+Inputs!$B$26+Inputs!$B$29,IF(Skills!C19=3,120+Inputs!$B$27+Inputs!$B$29,MAX(0,(Inputs!$B$3-100)*3)+Inputs!$B$28+Inputs!$B$29)))</f>
        <v/>
      </c>
      <c r="E316">
        <f>INDEX(FactorTable!$B$2:$Y$301, MATCH(ROUND(MIN(300,MAX(1,D316)),0), FactorTable!$A$2:$A$301,0), Skills!M19+1)</f>
        <v/>
      </c>
      <c r="F316">
        <f>IF(Skills!N19=TRUE,(Skills!L19/10)*(E316/1000),Skills!L19/10)+Skills!O19</f>
        <v/>
      </c>
      <c r="G316">
        <f>Skills!G19*IF(Skills!H19&gt;0,Skills!I19/Skills!H19,1)</f>
        <v/>
      </c>
      <c r="H316">
        <f>1-(1-Skills!J19/100)^Skills!K19</f>
        <v/>
      </c>
      <c r="I316" t="inlineStr">
        <is>
          <t>1</t>
        </is>
      </c>
      <c r="J316" t="inlineStr"/>
      <c r="K316" t="inlineStr"/>
      <c r="L316" t="inlineStr"/>
      <c r="M316" t="inlineStr"/>
      <c r="N316" t="inlineStr"/>
      <c r="O316" t="n">
        <v>0</v>
      </c>
      <c r="P316">
        <f>IF(B338=0,0,O316/B338)</f>
        <v/>
      </c>
      <c r="Q316">
        <f>IFERROR(1/IF(Inputs!$B$38="pvp",15,MAX(0.1,Skills!D19-IF(Skills!E19=TRUE,Inputs!$B$32,0))),0)</f>
        <v/>
      </c>
      <c r="R316">
        <f>IF(AND(Inputs!$B$38&lt;&gt;"pvp",Inputs!$B$43&gt;0),IF(Inputs!$B$43&lt;=0,0,(INT(Inputs!$B$43/IF(Inputs!$B$38="pvp",15,MAX(0.1,Skills!D19-IF(Skills!E19=TRUE,Inputs!$B$32,0))))+1)),0)</f>
        <v/>
      </c>
      <c r="S316">
        <f>IFERROR(O316/N316,0)</f>
        <v/>
      </c>
    </row>
    <row r="317">
      <c r="A317">
        <f>Skills!A20</f>
        <v/>
      </c>
      <c r="B317">
        <f>Skills!B20</f>
        <v/>
      </c>
      <c r="C317">
        <f>Inputs!$B$3&gt;=15</f>
        <v/>
      </c>
      <c r="D317">
        <f>IF(Skills!C20=1,60+Inputs!$B$25+Inputs!$B$29,IF(Skills!C20=2,90+Inputs!$B$26+Inputs!$B$29,IF(Skills!C20=3,120+Inputs!$B$27+Inputs!$B$29,MAX(0,(Inputs!$B$3-100)*3)+Inputs!$B$28+Inputs!$B$29)))</f>
        <v/>
      </c>
      <c r="E317">
        <f>INDEX(FactorTable!$B$2:$Y$301, MATCH(ROUND(MIN(300,MAX(1,D317)),0), FactorTable!$A$2:$A$301,0), Skills!M20+1)</f>
        <v/>
      </c>
      <c r="F317">
        <f>IF(Skills!N20=TRUE,(Skills!L20/10)*(E317/1000),Skills!L20/10)+Skills!O20</f>
        <v/>
      </c>
      <c r="G317">
        <f>Skills!G20*IF(Skills!H20&gt;0,Skills!I20/Skills!H20,1)</f>
        <v/>
      </c>
      <c r="H317">
        <f>1-(1-Skills!J20/100)^Skills!K20</f>
        <v/>
      </c>
      <c r="I317" t="inlineStr">
        <is>
          <t>1</t>
        </is>
      </c>
      <c r="J317" t="inlineStr"/>
      <c r="K317" t="inlineStr"/>
      <c r="L317" t="inlineStr"/>
      <c r="M317" t="inlineStr"/>
      <c r="N317" t="inlineStr"/>
      <c r="O317" t="n">
        <v>0</v>
      </c>
      <c r="P317">
        <f>IF(B338=0,0,O317/B338)</f>
        <v/>
      </c>
      <c r="Q317" t="n">
        <v>0</v>
      </c>
      <c r="R317" t="n">
        <v>0</v>
      </c>
      <c r="S317">
        <f>IFERROR(O317/N317,0)</f>
        <v/>
      </c>
    </row>
    <row r="318">
      <c r="A318">
        <f>Skills!A21</f>
        <v/>
      </c>
      <c r="B318">
        <f>Skills!B21</f>
        <v/>
      </c>
      <c r="C318">
        <f>Inputs!$B$3&gt;=10</f>
        <v/>
      </c>
      <c r="D318">
        <f>IF(Skills!C21=1,60+Inputs!$B$25+Inputs!$B$29,IF(Skills!C21=2,90+Inputs!$B$26+Inputs!$B$29,IF(Skills!C21=3,120+Inputs!$B$27+Inputs!$B$29,MAX(0,(Inputs!$B$3-100)*3)+Inputs!$B$28+Inputs!$B$29)))</f>
        <v/>
      </c>
      <c r="E318">
        <f>INDEX(FactorTable!$B$2:$Y$301, MATCH(ROUND(MIN(300,MAX(1,D318)),0), FactorTable!$A$2:$A$301,0), Skills!M21+1)</f>
        <v/>
      </c>
      <c r="F318">
        <f>IF(Skills!N21=TRUE,(Skills!L21/10)*(E318/1000),Skills!L21/10)+Skills!O21</f>
        <v/>
      </c>
      <c r="G318">
        <f>Skills!G21*IF(Skills!H21&gt;0,Skills!I21/Skills!H21,1)</f>
        <v/>
      </c>
      <c r="H318">
        <f>1-(1-Skills!J21/100)^Skills!K21</f>
        <v/>
      </c>
      <c r="I318" t="inlineStr">
        <is>
          <t>1</t>
        </is>
      </c>
      <c r="J318" t="inlineStr"/>
      <c r="K318" t="inlineStr"/>
      <c r="L318" t="inlineStr"/>
      <c r="M318" t="inlineStr"/>
      <c r="N318" t="inlineStr"/>
      <c r="O318" t="n">
        <v>0</v>
      </c>
      <c r="P318">
        <f>IF(B338=0,0,O318/B338)</f>
        <v/>
      </c>
      <c r="Q318" t="n">
        <v>0</v>
      </c>
      <c r="R318" t="n">
        <v>0</v>
      </c>
      <c r="S318">
        <f>IFERROR(O318/N318,0)</f>
        <v/>
      </c>
    </row>
    <row r="319">
      <c r="A319">
        <f>Skills!A22</f>
        <v/>
      </c>
      <c r="B319">
        <f>Skills!B22</f>
        <v/>
      </c>
      <c r="C319">
        <f>Inputs!$B$3&gt;=33</f>
        <v/>
      </c>
      <c r="D319">
        <f>IF(Skills!C22=1,60+Inputs!$B$25+Inputs!$B$29,IF(Skills!C22=2,90+Inputs!$B$26+Inputs!$B$29,IF(Skills!C22=3,120+Inputs!$B$27+Inputs!$B$29,MAX(0,(Inputs!$B$3-100)*3)+Inputs!$B$28+Inputs!$B$29)))</f>
        <v/>
      </c>
      <c r="E319">
        <f>INDEX(FactorTable!$B$2:$Y$301, MATCH(ROUND(MIN(300,MAX(1,D319)),0), FactorTable!$A$2:$A$301,0), Skills!M22+1)</f>
        <v/>
      </c>
      <c r="F319">
        <f>IF(Skills!N22=TRUE,(Skills!L22/10)*(E319/1000),Skills!L22/10)+Skills!O22</f>
        <v/>
      </c>
      <c r="G319">
        <f>Skills!G22*IF(Skills!H22&gt;0,Skills!I22/Skills!H22,1)</f>
        <v/>
      </c>
      <c r="H319">
        <f>1-(1-Skills!J22/100)^Skills!K22</f>
        <v/>
      </c>
      <c r="I319" t="inlineStr">
        <is>
          <t>1</t>
        </is>
      </c>
      <c r="J319" t="inlineStr"/>
      <c r="K319" t="inlineStr"/>
      <c r="L319" t="inlineStr"/>
      <c r="M319" t="inlineStr"/>
      <c r="N319" t="inlineStr"/>
      <c r="O319" t="n">
        <v>0</v>
      </c>
      <c r="P319">
        <f>IF(B338=0,0,O319/B338)</f>
        <v/>
      </c>
      <c r="Q319" t="n">
        <v>0</v>
      </c>
      <c r="R319" t="n">
        <v>0</v>
      </c>
      <c r="S319">
        <f>IFERROR(O319/N319,0)</f>
        <v/>
      </c>
    </row>
    <row r="320">
      <c r="A320">
        <f>Skills!A23</f>
        <v/>
      </c>
      <c r="B320">
        <f>Skills!B23</f>
        <v/>
      </c>
      <c r="C320">
        <f>Inputs!$B$3&gt;=38</f>
        <v/>
      </c>
      <c r="D320">
        <f>IF(Skills!C23=1,60+Inputs!$B$25+Inputs!$B$29,IF(Skills!C23=2,90+Inputs!$B$26+Inputs!$B$29,IF(Skills!C23=3,120+Inputs!$B$27+Inputs!$B$29,MAX(0,(Inputs!$B$3-100)*3)+Inputs!$B$28+Inputs!$B$29)))</f>
        <v/>
      </c>
      <c r="E320">
        <f>INDEX(FactorTable!$B$2:$Y$301, MATCH(ROUND(MIN(300,MAX(1,D320)),0), FactorTable!$A$2:$A$301,0), Skills!M23+1)</f>
        <v/>
      </c>
      <c r="F320">
        <f>IF(Skills!N23=TRUE,(Skills!L23/10)*(E320/1000),Skills!L23/10)+Skills!O23</f>
        <v/>
      </c>
      <c r="G320">
        <f>Skills!G23*IF(Skills!H23&gt;0,Skills!I23/Skills!H23,1)</f>
        <v/>
      </c>
      <c r="H320">
        <f>1-(1-Skills!J23/100)^Skills!K23</f>
        <v/>
      </c>
      <c r="I320" t="inlineStr">
        <is>
          <t>1</t>
        </is>
      </c>
      <c r="J320" t="inlineStr"/>
      <c r="K320" t="inlineStr"/>
      <c r="L320" t="inlineStr"/>
      <c r="M320" t="inlineStr"/>
      <c r="N320" t="inlineStr"/>
      <c r="O320" t="n">
        <v>0</v>
      </c>
      <c r="P320">
        <f>IF(B338=0,0,O320/B338)</f>
        <v/>
      </c>
      <c r="Q320" t="n">
        <v>0</v>
      </c>
      <c r="R320" t="n">
        <v>0</v>
      </c>
      <c r="S320">
        <f>IFERROR(O320/N320,0)</f>
        <v/>
      </c>
    </row>
    <row r="321">
      <c r="A321">
        <f>Skills!A24</f>
        <v/>
      </c>
      <c r="B321">
        <f>Skills!B24</f>
        <v/>
      </c>
      <c r="C321">
        <f>Inputs!$B$3&gt;=43</f>
        <v/>
      </c>
      <c r="D321">
        <f>IF(Skills!C24=1,60+Inputs!$B$25+Inputs!$B$29,IF(Skills!C24=2,90+Inputs!$B$26+Inputs!$B$29,IF(Skills!C24=3,120+Inputs!$B$27+Inputs!$B$29,MAX(0,(Inputs!$B$3-100)*3)+Inputs!$B$28+Inputs!$B$29)))</f>
        <v/>
      </c>
      <c r="E321">
        <f>INDEX(FactorTable!$B$2:$Y$301, MATCH(ROUND(MIN(300,MAX(1,D321)),0), FactorTable!$A$2:$A$301,0), Skills!M24+1)</f>
        <v/>
      </c>
      <c r="F321">
        <f>IF(Skills!N24=TRUE,(Skills!L24/10)*(E321/1000),Skills!L24/10)+Skills!O24</f>
        <v/>
      </c>
      <c r="G321">
        <f>Skills!G24*IF(Skills!H24&gt;0,Skills!I24/Skills!H24,1)</f>
        <v/>
      </c>
      <c r="H321">
        <f>1-(1-Skills!J24/100)^Skills!K24</f>
        <v/>
      </c>
      <c r="I321" t="inlineStr">
        <is>
          <t>1</t>
        </is>
      </c>
      <c r="J321" t="inlineStr"/>
      <c r="K321" t="inlineStr"/>
      <c r="L321" t="inlineStr"/>
      <c r="M321" t="inlineStr"/>
      <c r="N321" t="inlineStr"/>
      <c r="O321" t="n">
        <v>0</v>
      </c>
      <c r="P321">
        <f>IF(B338=0,0,O321/B338)</f>
        <v/>
      </c>
      <c r="Q321" t="n">
        <v>0</v>
      </c>
      <c r="R321" t="n">
        <v>0</v>
      </c>
      <c r="S321">
        <f>IFERROR(O321/N321,0)</f>
        <v/>
      </c>
    </row>
    <row r="322">
      <c r="A322">
        <f>Skills!A25</f>
        <v/>
      </c>
      <c r="B322">
        <f>Skills!B25</f>
        <v/>
      </c>
      <c r="C322">
        <f>Inputs!$B$3&gt;=75</f>
        <v/>
      </c>
      <c r="D322">
        <f>IF(Skills!C25=1,60+Inputs!$B$25+Inputs!$B$29,IF(Skills!C25=2,90+Inputs!$B$26+Inputs!$B$29,IF(Skills!C25=3,120+Inputs!$B$27+Inputs!$B$29,MAX(0,(Inputs!$B$3-100)*3)+Inputs!$B$28+Inputs!$B$29)))</f>
        <v/>
      </c>
      <c r="E322">
        <f>INDEX(FactorTable!$B$2:$Y$301, MATCH(ROUND(MIN(300,MAX(1,D322)),0), FactorTable!$A$2:$A$301,0), Skills!M25+1)</f>
        <v/>
      </c>
      <c r="F322">
        <f>IF(Skills!N25=TRUE,(Skills!L25/10)*(E322/1000),Skills!L25/10)+Skills!O25</f>
        <v/>
      </c>
      <c r="G322">
        <f>Skills!G25*IF(Skills!H25&gt;0,Skills!I25/Skills!H25,1)</f>
        <v/>
      </c>
      <c r="H322">
        <f>1-(1-Skills!J25/100)^Skills!K25</f>
        <v/>
      </c>
      <c r="I322" t="inlineStr">
        <is>
          <t>1</t>
        </is>
      </c>
      <c r="J322" t="inlineStr"/>
      <c r="K322" t="inlineStr"/>
      <c r="L322" t="inlineStr"/>
      <c r="M322" t="inlineStr"/>
      <c r="N322" t="inlineStr"/>
      <c r="O322" t="n">
        <v>0</v>
      </c>
      <c r="P322">
        <f>IF(B338=0,0,O322/B338)</f>
        <v/>
      </c>
      <c r="Q322" t="n">
        <v>0</v>
      </c>
      <c r="R322" t="n">
        <v>0</v>
      </c>
      <c r="S322">
        <f>IFERROR(O322/N322,0)</f>
        <v/>
      </c>
    </row>
    <row r="323">
      <c r="A323">
        <f>Skills!A26</f>
        <v/>
      </c>
      <c r="B323">
        <f>Skills!B26</f>
        <v/>
      </c>
      <c r="C323">
        <f>Inputs!$B$3&gt;=125</f>
        <v/>
      </c>
      <c r="D323">
        <f>IF(Skills!C26=1,60+Inputs!$B$25+Inputs!$B$29,IF(Skills!C26=2,90+Inputs!$B$26+Inputs!$B$29,IF(Skills!C26=3,120+Inputs!$B$27+Inputs!$B$29,MAX(0,(Inputs!$B$3-100)*3)+Inputs!$B$28+Inputs!$B$29)))</f>
        <v/>
      </c>
      <c r="E323">
        <f>INDEX(FactorTable!$B$2:$Y$301, MATCH(ROUND(MIN(300,MAX(1,D323)),0), FactorTable!$A$2:$A$301,0), Skills!M26+1)</f>
        <v/>
      </c>
      <c r="F323">
        <f>IF(Skills!N26=TRUE,(Skills!L26/10)*(E323/1000),Skills!L26/10)+Skills!O26</f>
        <v/>
      </c>
      <c r="G323">
        <f>Skills!G26*IF(Skills!H26&gt;0,Skills!I26/Skills!H26,1)</f>
        <v/>
      </c>
      <c r="H323">
        <f>1-(1-Skills!J26/100)^Skills!K26</f>
        <v/>
      </c>
      <c r="I323" t="inlineStr">
        <is>
          <t>1</t>
        </is>
      </c>
      <c r="J323" t="inlineStr"/>
      <c r="K323" t="inlineStr"/>
      <c r="L323" t="inlineStr"/>
      <c r="M323" t="inlineStr"/>
      <c r="N323" t="inlineStr"/>
      <c r="O323" t="n">
        <v>0</v>
      </c>
      <c r="P323">
        <f>IF(B338=0,0,O323/B338)</f>
        <v/>
      </c>
      <c r="Q323" t="n">
        <v>0</v>
      </c>
      <c r="R323" t="n">
        <v>0</v>
      </c>
      <c r="S323">
        <f>IFERROR(O323/N323,0)</f>
        <v/>
      </c>
    </row>
    <row r="324">
      <c r="A324">
        <f>Skills!A27</f>
        <v/>
      </c>
      <c r="B324">
        <f>Skills!B27</f>
        <v/>
      </c>
      <c r="C324">
        <f>Inputs!$B$3&gt;=125</f>
        <v/>
      </c>
      <c r="D324">
        <f>IF(Skills!C27=1,60+Inputs!$B$25+Inputs!$B$29,IF(Skills!C27=2,90+Inputs!$B$26+Inputs!$B$29,IF(Skills!C27=3,120+Inputs!$B$27+Inputs!$B$29,MAX(0,(Inputs!$B$3-100)*3)+Inputs!$B$28+Inputs!$B$29)))</f>
        <v/>
      </c>
      <c r="E324">
        <f>INDEX(FactorTable!$B$2:$Y$301, MATCH(ROUND(MIN(300,MAX(1,D324)),0), FactorTable!$A$2:$A$301,0), Skills!M27+1)</f>
        <v/>
      </c>
      <c r="F324">
        <f>IF(Skills!N27=TRUE,(Skills!L27/10)*(E324/1000),Skills!L27/10)+Skills!O27</f>
        <v/>
      </c>
      <c r="G324">
        <f>Skills!G27*IF(Skills!H27&gt;0,Skills!I27/Skills!H27,1)</f>
        <v/>
      </c>
      <c r="H324">
        <f>1-(1-Skills!J27/100)^Skills!K27</f>
        <v/>
      </c>
      <c r="I324" t="inlineStr">
        <is>
          <t>1</t>
        </is>
      </c>
      <c r="J324" t="inlineStr"/>
      <c r="K324" t="inlineStr"/>
      <c r="L324" t="inlineStr"/>
      <c r="M324" t="inlineStr"/>
      <c r="N324" t="inlineStr"/>
      <c r="O324" t="n">
        <v>0</v>
      </c>
      <c r="P324">
        <f>IF(B338=0,0,O324/B338)</f>
        <v/>
      </c>
      <c r="Q324" t="n">
        <v>0</v>
      </c>
      <c r="R324" t="n">
        <v>0</v>
      </c>
      <c r="S324">
        <f>IFERROR(O324/N324,0)</f>
        <v/>
      </c>
    </row>
    <row r="325">
      <c r="A325">
        <f>Skills!A28</f>
        <v/>
      </c>
      <c r="B325">
        <f>Skills!B28</f>
        <v/>
      </c>
      <c r="C325">
        <f>Inputs!$B$3&gt;=120</f>
        <v/>
      </c>
      <c r="D325">
        <f>IF(Skills!C28=1,60+Inputs!$B$25+Inputs!$B$29,IF(Skills!C28=2,90+Inputs!$B$26+Inputs!$B$29,IF(Skills!C28=3,120+Inputs!$B$27+Inputs!$B$29,MAX(0,(Inputs!$B$3-100)*3)+Inputs!$B$28+Inputs!$B$29)))</f>
        <v/>
      </c>
      <c r="E325">
        <f>INDEX(FactorTable!$B$2:$Y$301, MATCH(ROUND(MIN(300,MAX(1,D325)),0), FactorTable!$A$2:$A$301,0), Skills!M28+1)</f>
        <v/>
      </c>
      <c r="F325">
        <f>IF(Skills!N28=TRUE,(Skills!L28/10)*(E325/1000),Skills!L28/10)+Skills!O28</f>
        <v/>
      </c>
      <c r="G325">
        <f>Skills!G28*IF(Skills!H28&gt;0,Skills!I28/Skills!H28,1)</f>
        <v/>
      </c>
      <c r="H325">
        <f>1-(1-Skills!J28/100)^Skills!K28</f>
        <v/>
      </c>
      <c r="I325" t="inlineStr">
        <is>
          <t>1</t>
        </is>
      </c>
      <c r="J325" t="inlineStr"/>
      <c r="K325" t="inlineStr"/>
      <c r="L325" t="inlineStr"/>
      <c r="M325" t="inlineStr"/>
      <c r="N325" t="inlineStr"/>
      <c r="O325" t="n">
        <v>0</v>
      </c>
      <c r="P325">
        <f>IF(B338=0,0,O325/B338)</f>
        <v/>
      </c>
      <c r="Q325" t="n">
        <v>0</v>
      </c>
      <c r="R325" t="n">
        <v>0</v>
      </c>
      <c r="S325">
        <f>IFERROR(O325/N325,0)</f>
        <v/>
      </c>
    </row>
    <row r="326">
      <c r="A326">
        <f>Skills!A29</f>
        <v/>
      </c>
      <c r="B326">
        <f>Skills!B29</f>
        <v/>
      </c>
      <c r="C326">
        <f>Inputs!$B$3&gt;=120</f>
        <v/>
      </c>
      <c r="D326">
        <f>IF(Skills!C29=1,60+Inputs!$B$25+Inputs!$B$29,IF(Skills!C29=2,90+Inputs!$B$26+Inputs!$B$29,IF(Skills!C29=3,120+Inputs!$B$27+Inputs!$B$29,MAX(0,(Inputs!$B$3-100)*3)+Inputs!$B$28+Inputs!$B$29)))</f>
        <v/>
      </c>
      <c r="E326">
        <f>INDEX(FactorTable!$B$2:$Y$301, MATCH(ROUND(MIN(300,MAX(1,D326)),0), FactorTable!$A$2:$A$301,0), Skills!M29+1)</f>
        <v/>
      </c>
      <c r="F326">
        <f>IF(Skills!N29=TRUE,(Skills!L29/10)*(E326/1000),Skills!L29/10)+Skills!O29</f>
        <v/>
      </c>
      <c r="G326">
        <f>Skills!G29*IF(Skills!H29&gt;0,Skills!I29/Skills!H29,1)</f>
        <v/>
      </c>
      <c r="H326">
        <f>1-(1-Skills!J29/100)^Skills!K29</f>
        <v/>
      </c>
      <c r="I326" t="inlineStr">
        <is>
          <t>1</t>
        </is>
      </c>
      <c r="J326" t="inlineStr"/>
      <c r="K326" t="inlineStr"/>
      <c r="L326" t="inlineStr"/>
      <c r="M326" t="inlineStr"/>
      <c r="N326" t="inlineStr"/>
      <c r="O326" t="n">
        <v>0</v>
      </c>
      <c r="P326">
        <f>IF(B338=0,0,O326/B338)</f>
        <v/>
      </c>
      <c r="Q326" t="n">
        <v>0</v>
      </c>
      <c r="R326" t="n">
        <v>0</v>
      </c>
      <c r="S326">
        <f>IFERROR(O326/N326,0)</f>
        <v/>
      </c>
    </row>
    <row r="327">
      <c r="A327">
        <f>Skills!A30</f>
        <v/>
      </c>
      <c r="B327">
        <f>Skills!B30</f>
        <v/>
      </c>
      <c r="C327">
        <f>Inputs!$B$3&gt;=45</f>
        <v/>
      </c>
      <c r="D327">
        <f>IF(Skills!C30=1,60+Inputs!$B$25+Inputs!$B$29,IF(Skills!C30=2,90+Inputs!$B$26+Inputs!$B$29,IF(Skills!C30=3,120+Inputs!$B$27+Inputs!$B$29,MAX(0,(Inputs!$B$3-100)*3)+Inputs!$B$28+Inputs!$B$29)))</f>
        <v/>
      </c>
      <c r="E327">
        <f>INDEX(FactorTable!$B$2:$Y$301, MATCH(ROUND(MIN(300,MAX(1,D327)),0), FactorTable!$A$2:$A$301,0), Skills!M30+1)</f>
        <v/>
      </c>
      <c r="F327">
        <f>IF(Skills!N30=TRUE,(Skills!L30/10)*(E327/1000),Skills!L30/10)+Skills!O30</f>
        <v/>
      </c>
      <c r="G327">
        <f>Skills!G30*IF(Skills!H30&gt;0,Skills!I30/Skills!H30,1)</f>
        <v/>
      </c>
      <c r="H327">
        <f>1-(1-Skills!J30/100)^Skills!K30</f>
        <v/>
      </c>
      <c r="I327" t="inlineStr">
        <is>
          <t>1</t>
        </is>
      </c>
      <c r="J327" t="inlineStr"/>
      <c r="K327" t="inlineStr"/>
      <c r="L327" t="inlineStr"/>
      <c r="M327" t="inlineStr"/>
      <c r="N327" t="inlineStr"/>
      <c r="O327" t="n">
        <v>0</v>
      </c>
      <c r="P327">
        <f>IF(B338=0,0,O327/B338)</f>
        <v/>
      </c>
      <c r="Q327" t="n">
        <v>0</v>
      </c>
      <c r="R327" t="n">
        <v>0</v>
      </c>
      <c r="S327">
        <f>IFERROR(O327/N327,0)</f>
        <v/>
      </c>
    </row>
    <row r="329">
      <c r="A329" t="inlineStr">
        <is>
          <t>Attack% Bucket Multiplier</t>
        </is>
      </c>
      <c r="B329">
        <f>(1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f>
        <v/>
      </c>
    </row>
    <row r="330">
      <c r="A330" t="inlineStr">
        <is>
          <t>Global Crit Rate Bonus %</t>
        </is>
      </c>
      <c r="B330">
        <f>(C313=TRUE)*20*IF(AND(Inputs!$B$38&lt;&gt;"pvp",Inputs!$B$43&gt;0),(((R313-1)*(Skills!T16*(1+Inputs!$B$34/100))+MIN((Skills!T16*(1+Inputs!$B$34/100)),MAX(0,Inputs!$B$43-((R313-1)*Skills!D16))))/Inputs!$B$43),IF(Inputs!$B$38="pvp",MIN((Skills!T16*(1+Inputs!$B$34/100)),15)/15,(Skills!T16*(1+Inputs!$B$34/100))/Skills!D16))</f>
        <v/>
      </c>
    </row>
    <row r="331">
      <c r="A331" t="inlineStr">
        <is>
          <t>Attack Speed Buff Bonus %</t>
        </is>
      </c>
      <c r="B331">
        <f>((C316=TRUE)*F316*IF(AND(Inputs!$B$38&lt;&gt;"pvp",Inputs!$B$43&gt;0),(((R316-1)*(Skills!T19*(1+Inputs!$B$34/100))+MIN((Skills!T19*(1+Inputs!$B$34/100)),MAX(0,Inputs!$B$43-((R316-1)*Skills!D19))))/Inputs!$B$43),IF(Inputs!$B$38="pvp",MIN((Skills!T19*(1+Inputs!$B$34/100)),15)/15,(Skills!T19*(1+Inputs!$B$34/100))/Skills!D19)))</f>
        <v/>
      </c>
    </row>
    <row r="332">
      <c r="A332" t="inlineStr">
        <is>
          <t>Actions Per Second</t>
        </is>
      </c>
      <c r="B332">
        <f>1+MIN(150,150*(1-(1-(Inputs!$B$11+((C318=TRUE)*(F318-Calc!F21))+((C319=TRUE)*(F319-Calc!F22)))/150)*(1-B331/150)))/100</f>
        <v/>
      </c>
    </row>
    <row r="333">
      <c r="A333" t="inlineStr">
        <is>
          <t>Skill + Buff Cast Rate</t>
        </is>
      </c>
      <c r="B333">
        <f>IF(AND(Inputs!$B$38&lt;&gt;"pvp",Inputs!$B$43&gt;0),SUMPRODUCT((Skills!E2:E30=TRUE)*(C299:C327=TRUE)*R299:R327*Skills!F2:F30)/Inputs!$B$43,SUMPRODUCT((Skills!E2:E30=TRUE)*(C299:C327=TRUE)*Q299:Q327*Skills!F2:F30))</f>
        <v/>
      </c>
    </row>
    <row r="334">
      <c r="A334" t="inlineStr">
        <is>
          <t>Arrow Stream Casts Per Second</t>
        </is>
      </c>
      <c r="B334">
        <f>MAX(0,B332-B333)</f>
        <v/>
      </c>
    </row>
    <row r="335">
      <c r="A335" t="inlineStr">
        <is>
          <t>Global Critical Damage Bonus % (Sharp Eyes + Concentration)</t>
        </is>
      </c>
      <c r="B335">
        <f>(C313=TRUE)*F313*IF(AND(Inputs!$B$38&lt;&gt;"pvp",Inputs!$B$43&gt;0),(((R313-1)*(Skills!T16*(1+Inputs!$B$34/100))+MIN((Skills!T16*(1+Inputs!$B$34/100)),MAX(0,Inputs!$B$43-((R313-1)*Skills!D16))))/Inputs!$B$43),IF(Inputs!$B$38="pvp",MIN((Skills!T16*(1+Inputs!$B$34/100)),15)/15,(Skills!T16*(1+Inputs!$B$34/100))/Skills!D16))+(C314=TRUE)*30</f>
        <v/>
      </c>
    </row>
    <row r="336">
      <c r="A336" t="inlineStr">
        <is>
          <t>Global Final Damage Bonus % (Mortal Blow)</t>
        </is>
      </c>
      <c r="B336">
        <f>(C315=TRUE)*F315</f>
        <v/>
      </c>
    </row>
    <row r="337">
      <c r="A337" t="inlineStr">
        <is>
          <t>Buff-Casting Startup Delay (s, fixed-duration only)</t>
        </is>
      </c>
      <c r="B337">
        <f>IF(AND(Inputs!$B$38&lt;&gt;"pvp",Inputs!$B$43&gt;0),SUMPRODUCT((Skills!T2:T30&gt;0)*(Skills!E2:E30=TRUE)*(C299:C327=TRUE))/B332,0)</f>
        <v/>
      </c>
    </row>
    <row r="338">
      <c r="A338" s="5" t="inlineStr">
        <is>
          <t>TOTAL DPS</t>
        </is>
      </c>
      <c r="B338" s="5">
        <f>SUM(O299:O327)</f>
        <v/>
      </c>
    </row>
    <row r="341">
      <c r="A341" s="5" t="inlineStr">
        <is>
          <t>Stat: FINAL_DAMAGE % (multiplicative source)</t>
        </is>
      </c>
    </row>
    <row r="342">
      <c r="A342" s="9" t="inlineStr">
        <is>
          <t>Key</t>
        </is>
      </c>
      <c r="B342" s="9" t="inlineStr">
        <is>
          <t>Name</t>
        </is>
      </c>
      <c r="C342" s="9" t="inlineStr">
        <is>
          <t>Unlocked</t>
        </is>
      </c>
      <c r="D342" s="9" t="inlineStr">
        <is>
          <t>InputLevel</t>
        </is>
      </c>
      <c r="E342" s="9" t="inlineStr">
        <is>
          <t>Factor</t>
        </is>
      </c>
      <c r="F342" s="9" t="inlineStr">
        <is>
          <t>CoefficientPercent</t>
        </is>
      </c>
      <c r="G342" s="9" t="inlineStr">
        <is>
          <t>EffectiveHits</t>
        </is>
      </c>
      <c r="H342" s="9" t="inlineStr">
        <is>
          <t>ProcProbability</t>
        </is>
      </c>
      <c r="I342" s="9" t="inlineStr">
        <is>
          <t>MapleHeroMultiplier</t>
        </is>
      </c>
      <c r="J342" s="9" t="inlineStr">
        <is>
          <t>BaseDamage</t>
        </is>
      </c>
      <c r="K342" s="9" t="inlineStr">
        <is>
          <t>BaseHitDamage</t>
        </is>
      </c>
      <c r="L342" s="9" t="inlineStr">
        <is>
          <t>NonCritAvg</t>
        </is>
      </c>
      <c r="M342" s="9" t="inlineStr">
        <is>
          <t>CritAvg</t>
        </is>
      </c>
      <c r="N342" s="9" t="inlineStr">
        <is>
          <t>ExpectedDamage(perHit)</t>
        </is>
      </c>
      <c r="O342" s="9" t="inlineStr">
        <is>
          <t>DPS</t>
        </is>
      </c>
      <c r="P342" s="9" t="inlineStr">
        <is>
          <t>% of Total</t>
        </is>
      </c>
      <c r="Q342" s="9" t="inlineStr">
        <is>
          <t>InvCooldown</t>
        </is>
      </c>
      <c r="R342" s="9" t="inlineStr">
        <is>
          <t>CastsInFight</t>
        </is>
      </c>
      <c r="S342" s="9"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((Inputs!$B$6*(1+Inputs!$B$7/100))+(((Inputs!$B$12*(1+Inputs!$B$13/100))-(Inputs!$B$12*(1+Inputs!$B$13/100)))+0.25*(Inputs!$B$14-Inputs!$B$14))*(1+Inputs!$B$7/100))*(F343/100)</f>
        <v/>
      </c>
      <c r="K343">
        <f>J343*(1+((Inputs!$B$12*(1+Inputs!$B$13/100))*0.01+Inputs!$B$14*0.0025)/100)*(1+Inputs!$B$15/100)*(1+IF(Inputs!$B$38="pvp",0,(1-Summary!$B$55)*(Inputs!$B$20+0+Skills!P2)+Summary!$B$55*(Inputs!$B$21+Skills!Q2))/100)*(1+Inputs!$B$16/100)*(5000/(6000+Inputs!$B$42*(1-(Inputs!$B$19+((C368=TRUE)*(F368-Calc!F27)))/100)))*(1+(((((1+Inputs!$B$24/100)*(1.01))-1)*100)+((C366=TRUE)*(F366-Calc!F25))+((C367=TRUE)*(F367-Calc!F26))+B380)/100)*(1+(IF(Skills!A2="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343)</f>
        <v/>
      </c>
      <c r="L343">
        <f>K343*(MIN(Inputs!$B$22+((C365=TRUE)*(F365-Calc!F24)),Inputs!$B$23+((C370=TRUE)*(F370-Calc!F29)))/100+(Inputs!$B$23+((C370=TRUE)*(F370-Calc!F29)))/100)/2</f>
        <v/>
      </c>
      <c r="M343">
        <f>L343*(1+(Inputs!$B$10+0+B379)/100)</f>
        <v/>
      </c>
      <c r="N343">
        <f>L343*(1-MIN((Inputs!$B$9+((C361=TRUE)*(F361-Calc!F20))+B374),100)/100)+M343*(MIN((Inputs!$B$9+((C361=TRUE)*(F361-Calc!F20))+B374),100)/100)</f>
        <v/>
      </c>
      <c r="O343">
        <f>IF(C343,Skills!G2*N343*B378*IF(Inputs!$B$38="pvp",1,(1-Summary!$B$55)*(1)+Summary!$B$55*(MIN((6+Inputs!$B$33),Inputs!$B$37))),0)</f>
        <v/>
      </c>
      <c r="P343">
        <f>IF(B382=0,0,O343/B382)</f>
        <v/>
      </c>
      <c r="Q343" t="n">
        <v>0</v>
      </c>
      <c r="R343" t="n">
        <v>0</v>
      </c>
      <c r="S343">
        <f>IFERROR(O343/N343,0)</f>
        <v/>
      </c>
      <c r="U343">
        <f>MAX(0,(Inputs!$B$3-100)*3)+Inputs!$B$28+Inputs!$B$29</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U344">
        <f>INDEX(FactorTable!$B$2:$Y$301, MATCH(ROUND(MIN(300,MAX(1,U343)),0), FactorTable!$A$2:$A$301,0), 22)</f>
        <v/>
      </c>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U345">
        <f>290*U344/1000</f>
        <v/>
      </c>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((Inputs!$B$6*(1+Inputs!$B$7/100))+(((Inputs!$B$12*(1+Inputs!$B$13/100))-(Inputs!$B$12*(1+Inputs!$B$13/100)))+0.25*(Inputs!$B$14-Inputs!$B$14))*(1+Inputs!$B$7/100))*(F346/100)</f>
        <v/>
      </c>
      <c r="K346">
        <f>J346*(1+((Inputs!$B$12*(1+Inputs!$B$13/100))*0.01+Inputs!$B$14*0.0025)/100)*(1+Inputs!$B$15/100)*(1+IF(Inputs!$B$38="pvp",0,(1-Summary!$B$55)*(Inputs!$B$20+0+Skills!P5)+Summary!$B$55*(Inputs!$B$21+Skills!Q5))/100)*(1+Inputs!$B$16/100)*(5000/(6000+Inputs!$B$42*(1-(Inputs!$B$19+((C368=TRUE)*(F368-Calc!F27)))/100)))*(1+(((((1+Inputs!$B$24/100)*(1.01))-1)*100)+((C366=TRUE)*(F366-Calc!F25))+((C367=TRUE)*(F367-Calc!F26))+B380)/100)*(1+4.0*IF(C351=TRUE,F351,0)/100)*(1+(IF(Skills!A5="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346)</f>
        <v/>
      </c>
      <c r="L346">
        <f>K346*(MIN(Inputs!$B$22+((C365=TRUE)*(F365-Calc!F24)),Inputs!$B$23+((C370=TRUE)*(F370-Calc!F29)))/100+(Inputs!$B$23+((C370=TRUE)*(F370-Calc!F29)))/100)/2</f>
        <v/>
      </c>
      <c r="M346">
        <f>L346*(1+(Inputs!$B$10+0+B379)/100)</f>
        <v/>
      </c>
      <c r="N346">
        <f>L346*(1-MIN((Inputs!$B$9+((C361=TRUE)*(F361-Calc!F20))+B374),100)/100)+M346*(MIN((Inputs!$B$9+((C361=TRUE)*(F361-Calc!F20))+B374),100)/100)</f>
        <v/>
      </c>
      <c r="O346">
        <f>IF(C346,H346*N346*IF(AND(Inputs!$B$38&lt;&gt;"pvp",Inputs!$B$43&gt;0),((Skills!G5*((R346-1)*IF(Skills!H5&gt;0,Skills!I5/Skills!H5,1)+IF(Skills!H5&gt;0,MIN(Skills!I5,MAX(0,MAX(0,Inputs!$B$43-B381)-((R346-1)*IF(Inputs!$B$38="pvp",15,MAX(0.1,Skills!D5-IF(Skills!E5=TRUE,Inputs!$B$32,0))))))/Skills!H5,1)))/Inputs!$B$43),G346*Q346)*IF(Inputs!$B$38="pvp",1,(1-Summary!$B$55)*(1)+Summary!$B$55*(MIN(Skills!R5,Inputs!$B$37))),0)</f>
        <v/>
      </c>
      <c r="P346">
        <f>IF(B382=0,0,O346/B382)</f>
        <v/>
      </c>
      <c r="Q346">
        <f>IFERROR(1/IF(Inputs!$B$38="pvp",15,MAX(0.1,Skills!D5-IF(Skills!E5=TRUE,Inputs!$B$32,0))),0)</f>
        <v/>
      </c>
      <c r="R346">
        <f>IF(AND(Inputs!$B$38&lt;&gt;"pvp",Inputs!$B$43&gt;0),IF(MAX(0,Inputs!$B$43-B381)&lt;=0,0,(INT(MAX(0,Inputs!$B$43-B381)/IF(Inputs!$B$38="pvp",15,MAX(0.1,Skills!D5-IF(Skills!E5=TRUE,Inputs!$B$32,0))))+1)),0)</f>
        <v/>
      </c>
      <c r="S346">
        <f>IFERROR(O346/N346,0)</f>
        <v/>
      </c>
    </row>
    <row r="347">
      <c r="A347">
        <f>Skills!A6</f>
        <v/>
      </c>
      <c r="B347">
        <f>Skills!B6</f>
        <v/>
      </c>
      <c r="C347">
        <f>Inputs!$B$3&gt;=40</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((Inputs!$B$6*(1+Inputs!$B$7/100))+(((Inputs!$B$12*(1+Inputs!$B$13/100))-(Inputs!$B$12*(1+Inputs!$B$13/100)))+0.25*(Inputs!$B$14-Inputs!$B$14))*(1+Inputs!$B$7/100))*(F347/100)</f>
        <v/>
      </c>
      <c r="K347">
        <f>J347*(1+((Inputs!$B$12*(1+Inputs!$B$13/100))*0.01+Inputs!$B$14*0.0025)/100)*(1+Inputs!$B$15/100)*(1+IF(Inputs!$B$38="pvp",0,(1-Summary!$B$55)*(Inputs!$B$20+0+Skills!P6)+Summary!$B$55*(Inputs!$B$21+Skills!Q6))/100)*(1+Inputs!$B$16/100)*(5000/(6000+Inputs!$B$42*(1-(Inputs!$B$19+((C368=TRUE)*(F368-Calc!F27)))/100)))*(1+(((((1+Inputs!$B$24/100)*(1.01))-1)*100)+((C366=TRUE)*(F366-Calc!F25))+((C367=TRUE)*(F367-Calc!F26))+B380)/100)*(1+IF(C348=TRUE,F348,0)/100)*(1+(IF(Skills!A6="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347)</f>
        <v/>
      </c>
      <c r="L347">
        <f>K347*(MIN(Inputs!$B$22+((C365=TRUE)*(F365-Calc!F24)),Inputs!$B$23+((C370=TRUE)*(F370-Calc!F29)))/100+(Inputs!$B$23+((C370=TRUE)*(F370-Calc!F29)))/100)/2</f>
        <v/>
      </c>
      <c r="M347">
        <f>L347*(1+(Inputs!$B$10+0+B379)/100)</f>
        <v/>
      </c>
      <c r="N347">
        <f>L347*(1-MIN((Inputs!$B$9+((C361=TRUE)*(F361-Calc!F20))+B374),100)/100)+M347*(MIN((Inputs!$B$9+((C361=TRUE)*(F361-Calc!F20))+B374),100)/100)</f>
        <v/>
      </c>
      <c r="O347">
        <f>IF(C347,H347*N347*IF(AND(Inputs!$B$38&lt;&gt;"pvp",Inputs!$B$43&gt;0),((Skills!G6*((R347-1)*IF(Skills!H6&gt;0,Skills!I6/Skills!H6,1)+IF(Skills!H6&gt;0,MIN(Skills!I6,MAX(0,MAX(0,Inputs!$B$43-B381)-((R347-1)*IF(Inputs!$B$38="pvp",15,MAX(0.1,Skills!D6-IF(Skills!E6=TRUE,Inputs!$B$32,0))))))/Skills!H6,1)))/Inputs!$B$43),G347*Q347)*IF(Inputs!$B$38="pvp",1,(1-Summary!$B$55)*(1)+Summary!$B$55*(MIN(Skills!R6,Inputs!$B$37))),0)</f>
        <v/>
      </c>
      <c r="P347">
        <f>IF(B382=0,0,O347/B382)</f>
        <v/>
      </c>
      <c r="Q347">
        <f>IFERROR(1/IF(Inputs!$B$38="pvp",15,MAX(0.1,Skills!D6-IF(Skills!E6=TRUE,Inputs!$B$32,0))),0)</f>
        <v/>
      </c>
      <c r="R347">
        <f>IF(AND(Inputs!$B$38&lt;&gt;"pvp",Inputs!$B$43&gt;0),IF(MAX(0,Inputs!$B$43-B381)&lt;=0,0,(INT(MAX(0,Inputs!$B$43-B381)/IF(Inputs!$B$38="pvp",15,MAX(0.1,Skills!D6-IF(Skills!E6=TRUE,Inputs!$B$32,0))))+1)),0)</f>
        <v/>
      </c>
      <c r="S347">
        <f>IFERROR(O347/N347,0)</f>
        <v/>
      </c>
    </row>
    <row r="348">
      <c r="A348">
        <f>Skills!A7</f>
        <v/>
      </c>
      <c r="B348">
        <f>Skills!B7</f>
        <v/>
      </c>
      <c r="C348">
        <f>Inputs!$B$3&gt;=107</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t="inlineStr"/>
      <c r="H348" t="inlineStr"/>
      <c r="I348" t="inlineStr">
        <is>
          <t>1</t>
        </is>
      </c>
      <c r="J348" t="inlineStr"/>
      <c r="K348" t="inlineStr"/>
      <c r="L348" t="inlineStr"/>
      <c r="M348" t="inlineStr"/>
      <c r="N348" t="inlineStr"/>
      <c r="O348" t="inlineStr"/>
      <c r="P348" t="inlineStr"/>
      <c r="Q348" t="inlineStr"/>
      <c r="R348" t="inlineStr"/>
      <c r="S348" t="inlineStr"/>
    </row>
    <row r="349">
      <c r="A349">
        <f>Skills!A8</f>
        <v/>
      </c>
      <c r="B349">
        <f>Skills!B8</f>
        <v/>
      </c>
      <c r="C349">
        <f>Inputs!$B$3&gt;=69</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f>Skills!G8*IF(Skills!H8&gt;0,Skills!I8/Skills!H8,1)</f>
        <v/>
      </c>
      <c r="H349">
        <f>1-(1-Skills!J8/100)^Skills!K8</f>
        <v/>
      </c>
      <c r="I349" t="inlineStr">
        <is>
          <t>1</t>
        </is>
      </c>
      <c r="J349">
        <f>((Inputs!$B$6*(1+Inputs!$B$7/100))+(((Inputs!$B$12*(1+Inputs!$B$13/100))-(Inputs!$B$12*(1+Inputs!$B$13/100)))+0.25*(Inputs!$B$14-Inputs!$B$14))*(1+Inputs!$B$7/100))*(F349/100)</f>
        <v/>
      </c>
      <c r="K349">
        <f>J349*(1+((Inputs!$B$12*(1+Inputs!$B$13/100))*0.01+Inputs!$B$14*0.0025)/100)*(1+Inputs!$B$15/100)*(1+IF(Inputs!$B$38="pvp",0,(1-Summary!$B$55)*(Inputs!$B$20+0+Skills!P8)+Summary!$B$55*(Inputs!$B$21+Skills!Q8))/100)*(1+Inputs!$B$16/100)*(5000/(6000+Inputs!$B$42*(1-(Inputs!$B$19+((C368=TRUE)*(F368-Calc!F27)))/100)))*(1+(((((1+Inputs!$B$24/100)*(1.01))-1)*100)+((C366=TRUE)*(F366-Calc!F25))+((C367=TRUE)*(F367-Calc!F26))+B380)/100)*(1+1.2*IF(C351=TRUE,F351,0)/100)*(1+(IF(Skills!A8="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349)</f>
        <v/>
      </c>
      <c r="L349">
        <f>K349*(MIN(Inputs!$B$22+((C365=TRUE)*(F365-Calc!F24)),Inputs!$B$23+((C370=TRUE)*(F370-Calc!F29)))/100+(Inputs!$B$23+((C370=TRUE)*(F370-Calc!F29)))/100)/2</f>
        <v/>
      </c>
      <c r="M349">
        <f>L349*(1+(Inputs!$B$10+0+B379)/100)</f>
        <v/>
      </c>
      <c r="N349">
        <f>L349*(1-MIN((Inputs!$B$9+((C361=TRUE)*(F361-Calc!F20))+B374),100)/100)+M349*(MIN((Inputs!$B$9+((C361=TRUE)*(F361-Calc!F20))+B374),100)/100)</f>
        <v/>
      </c>
      <c r="O349">
        <f>IF(C349,H349*N349*IF(AND(Inputs!$B$38&lt;&gt;"pvp",Inputs!$B$43&gt;0),((Skills!G8*((R349-1)*IF(Skills!H8&gt;0,Skills!I8/Skills!H8,1)+IF(Skills!H8&gt;0,MIN(Skills!I8,MAX(0,MAX(0,Inputs!$B$43-B381)-((R349-1)*IF(Inputs!$B$38="pvp",15,MAX(0.1,Skills!D8-IF(Skills!E8=TRUE,Inputs!$B$32,0))))))/Skills!H8,1)))/Inputs!$B$43),G349*Q349)*IF(Inputs!$B$38="pvp",1,(1-Summary!$B$55)*(1)+Summary!$B$55*(MIN(Skills!R8,Inputs!$B$37))),0)</f>
        <v/>
      </c>
      <c r="P349">
        <f>IF(B382=0,0,O349/B382)</f>
        <v/>
      </c>
      <c r="Q349">
        <f>IFERROR(1/IF(Inputs!$B$38="pvp",15,MAX(0.1,Skills!D8-IF(Skills!E8=TRUE,Inputs!$B$32,0))),0)</f>
        <v/>
      </c>
      <c r="R349">
        <f>IF(AND(Inputs!$B$38&lt;&gt;"pvp",Inputs!$B$43&gt;0),IF(MAX(0,Inputs!$B$43-B381)&lt;=0,0,(INT(MAX(0,Inputs!$B$43-B381)/IF(Inputs!$B$38="pvp",15,MAX(0.1,Skills!D8-IF(Skills!E8=TRUE,Inputs!$B$32,0))))+1)),0)</f>
        <v/>
      </c>
      <c r="S349">
        <f>IFERROR(O349/N349,0)</f>
        <v/>
      </c>
    </row>
    <row r="350">
      <c r="A350">
        <f>Skills!A9</f>
        <v/>
      </c>
      <c r="B350">
        <f>Skills!B9</f>
        <v/>
      </c>
      <c r="C350">
        <f>Inputs!$B$3&gt;=63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((Inputs!$B$6*(1+Inputs!$B$7/100))+(((Inputs!$B$12*(1+Inputs!$B$13/100))-(Inputs!$B$12*(1+Inputs!$B$13/100)))+0.25*(Inputs!$B$14-Inputs!$B$14))*(1+Inputs!$B$7/100))*(F350/100)</f>
        <v/>
      </c>
      <c r="K350">
        <f>J350*(1+((Inputs!$B$12*(1+Inputs!$B$13/100))*0.01+Inputs!$B$14*0.0025)/100)*(1+Inputs!$B$15/100)*(1+IF(Inputs!$B$38="pvp",0,(1-Summary!$B$55)*(Inputs!$B$20+0+Skills!P9)+Summary!$B$55*(Inputs!$B$21+Skills!Q9))/100)*(1+Inputs!$B$16/100)*(5000/(6000+Inputs!$B$42*(1-(Inputs!$B$19+((C368=TRUE)*(F368-Calc!F27)))/100)))*(1+(((((1+Inputs!$B$24/100)*(1.01))-1)*100)+((C366=TRUE)*(F366-Calc!F25))+((C367=TRUE)*(F367-Calc!F26))+B380)/100)*(1+1.0*IF(C351=TRUE,F351,0)/100)*(1+(IF(Skills!A9="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350)</f>
        <v/>
      </c>
      <c r="L350">
        <f>K350*(MIN(Inputs!$B$22+((C365=TRUE)*(F365-Calc!F24)),Inputs!$B$23+((C370=TRUE)*(F370-Calc!F29)))/100+(Inputs!$B$23+((C370=TRUE)*(F370-Calc!F29)))/100)/2</f>
        <v/>
      </c>
      <c r="M350">
        <f>L350*(1+(Inputs!$B$10+0+B379)/100)</f>
        <v/>
      </c>
      <c r="N350">
        <f>L350*(1-MIN((Inputs!$B$9+((C361=TRUE)*(F361-Calc!F20))+B374),100)/100)+M350*(MIN((Inputs!$B$9+((C361=TRUE)*(F361-Calc!F20))+B374),100)/100)</f>
        <v/>
      </c>
      <c r="O350">
        <f>IF(C350,H350*N350*IF(AND(Inputs!$B$38&lt;&gt;"pvp",Inputs!$B$43&gt;0),((Skills!G9*((R350-1)*IF(Skills!H9&gt;0,Skills!I9/Skills!H9,1)+IF(Skills!H9&gt;0,MIN(Skills!I9,MAX(0,MAX(0,Inputs!$B$43-B381)-((R350-1)*IF(Inputs!$B$38="pvp",15,MAX(0.1,Skills!D9-IF(Skills!E9=TRUE,Inputs!$B$32,0))))))/Skills!H9,1)))/Inputs!$B$43),G350*Q350)*IF(Inputs!$B$38="pvp",1,(1-Summary!$B$55)*(1)+Summary!$B$55*(MIN(Skills!R9,Inputs!$B$37))),0)</f>
        <v/>
      </c>
      <c r="P350">
        <f>IF(B382=0,0,O350/B382)</f>
        <v/>
      </c>
      <c r="Q350">
        <f>IFERROR(1/IF(Inputs!$B$38="pvp",15,MAX(0.1,Skills!D9-IF(Skills!E9=TRUE,Inputs!$B$32,0))),0)</f>
        <v/>
      </c>
      <c r="R350">
        <f>IF(AND(Inputs!$B$38&lt;&gt;"pvp",Inputs!$B$43&gt;0),IF(MAX(0,Inputs!$B$43-B381)&lt;=0,0,(INT(MAX(0,Inputs!$B$43-B381)/IF(Inputs!$B$38="pvp",15,MAX(0.1,Skills!D9-IF(Skills!E9=TRUE,Inputs!$B$32,0))))+1)),0)</f>
        <v/>
      </c>
      <c r="S350">
        <f>IFERROR(O350/N350,0)</f>
        <v/>
      </c>
    </row>
    <row r="351">
      <c r="A351">
        <f>Skills!A10</f>
        <v/>
      </c>
      <c r="B351">
        <f>Skills!B10</f>
        <v/>
      </c>
      <c r="C351">
        <f>Inputs!$B$3&gt;=100</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t="inlineStr"/>
      <c r="H351" t="inlineStr"/>
      <c r="I351" t="inlineStr">
        <is>
          <t>1</t>
        </is>
      </c>
      <c r="J351" t="inlineStr"/>
      <c r="K351" t="inlineStr"/>
      <c r="L351" t="inlineStr"/>
      <c r="M351" t="inlineStr"/>
      <c r="N351" t="inlineStr"/>
      <c r="O351" t="inlineStr"/>
      <c r="P351" t="inlineStr"/>
      <c r="Q351" t="inlineStr"/>
      <c r="R351" t="inlineStr"/>
      <c r="S351" t="inlineStr"/>
    </row>
    <row r="352">
      <c r="A352">
        <f>Skills!A11</f>
        <v/>
      </c>
      <c r="B352">
        <f>Skills!B11</f>
        <v/>
      </c>
      <c r="C352">
        <f>Inputs!$B$3&gt;=60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((Inputs!$B$6*(1+Inputs!$B$7/100))+(((Inputs!$B$12*(1+Inputs!$B$13/100))-(Inputs!$B$12*(1+Inputs!$B$13/100)))+0.25*(Inputs!$B$14-Inputs!$B$14))*(1+Inputs!$B$7/100))*(F352/100)</f>
        <v/>
      </c>
      <c r="K352">
        <f>J352*(1+((Inputs!$B$12*(1+Inputs!$B$13/100))*0.01+Inputs!$B$14*0.0025)/100)*(1+Inputs!$B$15/100)*(1+IF(Inputs!$B$38="pvp",0,(1-Summary!$B$55)*(Inputs!$B$20+0+Skills!P11)+Summary!$B$55*(Inputs!$B$21+Skills!Q11))/100)*(1+Inputs!$B$16/100)*(5000/(6000+Inputs!$B$42*(1-(Inputs!$B$19+((C368=TRUE)*(F368-Calc!F27)))/100)))*(1+(((((1+Inputs!$B$24/100)*(1.01))-1)*100)+((C366=TRUE)*(F366-Calc!F25))+((C367=TRUE)*(F367-Calc!F26))+B380)/100)*(1+IF(C353=TRUE,F353,0)/100)*(1+(IF(Skills!A11="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352)</f>
        <v/>
      </c>
      <c r="L352">
        <f>K352*(MIN(Inputs!$B$22+((C365=TRUE)*(F365-Calc!F24)),Inputs!$B$23+((C370=TRUE)*(F370-Calc!F29)))/100+(Inputs!$B$23+((C370=TRUE)*(F370-Calc!F29)))/100)/2</f>
        <v/>
      </c>
      <c r="M352">
        <f>L352*(1+(Inputs!$B$10+0+B379)/100)</f>
        <v/>
      </c>
      <c r="N352">
        <f>L352*(1-MIN((Inputs!$B$9+((C361=TRUE)*(F361-Calc!F20))+B374),100)/100)+M352*(MIN((Inputs!$B$9+((C361=TRUE)*(F361-Calc!F20))+B374),100)/100)</f>
        <v/>
      </c>
      <c r="O352">
        <f>IF(C352,H352*N352*IF(AND(Inputs!$B$38&lt;&gt;"pvp",Inputs!$B$43&gt;0),((Skills!G11*((R352-1)*IF(Skills!H11&gt;0,Skills!I11/Skills!H11,1)+IF(Skills!H11&gt;0,MIN(Skills!I11,MAX(0,MAX(0,Inputs!$B$43-B381)-((R352-1)*IF(Inputs!$B$38="pvp",15,MAX(0.1,Skills!D11-IF(Skills!E11=TRUE,Inputs!$B$32,0))))))/Skills!H11,1)))/Inputs!$B$43),G352*Q352)*IF(Inputs!$B$38="pvp",1,(1-Summary!$B$55)*(1)+Summary!$B$55*(MIN(Skills!R11,Inputs!$B$37))),0)</f>
        <v/>
      </c>
      <c r="P352">
        <f>IF(B382=0,0,O352/B382)</f>
        <v/>
      </c>
      <c r="Q352">
        <f>IFERROR(1/IF(Inputs!$B$38="pvp",15,MAX(0.1,Skills!D11-IF(Skills!E11=TRUE,Inputs!$B$32,0))),0)</f>
        <v/>
      </c>
      <c r="R352">
        <f>IF(AND(Inputs!$B$38&lt;&gt;"pvp",Inputs!$B$43&gt;0),IF(MAX(0,Inputs!$B$43-B381)&lt;=0,0,(INT(MAX(0,Inputs!$B$43-B381)/IF(Inputs!$B$38="pvp",15,MAX(0.1,Skills!D11-IF(Skills!E11=TRUE,Inputs!$B$32,0))))+1)),0)</f>
        <v/>
      </c>
      <c r="S352">
        <f>IFERROR(O352/N352,0)</f>
        <v/>
      </c>
    </row>
    <row r="353">
      <c r="A353">
        <f>Skills!A12</f>
        <v/>
      </c>
      <c r="B353">
        <f>Skills!B12</f>
        <v/>
      </c>
      <c r="C353">
        <f>Inputs!$B$3&gt;=110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t="inlineStr"/>
      <c r="H353" t="inlineStr"/>
      <c r="I353" t="inlineStr">
        <is>
          <t>1</t>
        </is>
      </c>
      <c r="J353" t="inlineStr"/>
      <c r="K353" t="inlineStr"/>
      <c r="L353" t="inlineStr"/>
      <c r="M353" t="inlineStr"/>
      <c r="N353" t="inlineStr"/>
      <c r="O353" t="inlineStr"/>
      <c r="P353" t="inlineStr"/>
      <c r="Q353" t="inlineStr"/>
      <c r="R353" t="inlineStr"/>
      <c r="S353" t="inlineStr"/>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t="n">
        <v>0</v>
      </c>
      <c r="P354">
        <f>IF(B382=0,0,O354/B382)</f>
        <v/>
      </c>
      <c r="Q354" t="n">
        <v>0</v>
      </c>
      <c r="R354" t="n">
        <v>0</v>
      </c>
      <c r="S354">
        <f>IFERROR(O354/N354,0)</f>
        <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t="n">
        <v>0</v>
      </c>
      <c r="P355">
        <f>IF(B382=0,0,O355/B382)</f>
        <v/>
      </c>
      <c r="Q355" t="n">
        <v>0</v>
      </c>
      <c r="R355" t="n">
        <v>0</v>
      </c>
      <c r="S355">
        <f>IFERROR(O355/N355,0)</f>
        <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t="n">
        <v>0</v>
      </c>
      <c r="P356">
        <f>IF(B382=0,0,O356/B382)</f>
        <v/>
      </c>
      <c r="Q356">
        <f>IFERROR(1/IF(Inputs!$B$38="pvp",15,MAX(0.1,Skills!D15-IF(Skills!E15=TRUE,Inputs!$B$32,0))),0)</f>
        <v/>
      </c>
      <c r="R356">
        <f>IF(AND(Inputs!$B$38&lt;&gt;"pvp",Inputs!$B$43&gt;0),IF(Inputs!$B$43&lt;=0,0,(INT(Inputs!$B$43/IF(Inputs!$B$38="pvp",15,MAX(0.1,Skills!D15-IF(Skills!E15=TRUE,Inputs!$B$32,0))))+1)),0)</f>
        <v/>
      </c>
      <c r="S356">
        <f>IFERROR(O356/N356,0)</f>
        <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t="n">
        <v>0</v>
      </c>
      <c r="P357">
        <f>IF(B382=0,0,O357/B382)</f>
        <v/>
      </c>
      <c r="Q357">
        <f>IFERROR(1/IF(Inputs!$B$38="pvp",15,MAX(0.1,Skills!D16-IF(Skills!E16=TRUE,Inputs!$B$32,0))),0)</f>
        <v/>
      </c>
      <c r="R357">
        <f>IF(AND(Inputs!$B$38&lt;&gt;"pvp",Inputs!$B$43&gt;0),IF(Inputs!$B$43&lt;=0,0,(INT(Inputs!$B$43/IF(Inputs!$B$38="pvp",15,MAX(0.1,Skills!D16-IF(Skills!E16=TRUE,Inputs!$B$32,0))))+1)),0)</f>
        <v/>
      </c>
      <c r="S357">
        <f>IFERROR(O357/N357,0)</f>
        <v/>
      </c>
    </row>
    <row r="358">
      <c r="A358">
        <f>Skills!A17</f>
        <v/>
      </c>
      <c r="B358">
        <f>Skills!B17</f>
        <v/>
      </c>
      <c r="C358">
        <f>Inputs!$B$3&gt;=66</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t="n">
        <v>0</v>
      </c>
      <c r="P358">
        <f>IF(B382=0,0,O358/B382)</f>
        <v/>
      </c>
      <c r="Q358" t="n">
        <v>0</v>
      </c>
      <c r="R358" t="n">
        <v>0</v>
      </c>
      <c r="S358">
        <f>IFERROR(O358/N358,0)</f>
        <v/>
      </c>
    </row>
    <row r="359">
      <c r="A359">
        <f>Skills!A18</f>
        <v/>
      </c>
      <c r="B359">
        <f>Skills!B18</f>
        <v/>
      </c>
      <c r="C359">
        <f>Inputs!$B$3&gt;=72</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t="n">
        <v>0</v>
      </c>
      <c r="P359">
        <f>IF(B382=0,0,O359/B382)</f>
        <v/>
      </c>
      <c r="Q359" t="n">
        <v>0</v>
      </c>
      <c r="R359" t="n">
        <v>0</v>
      </c>
      <c r="S359">
        <f>IFERROR(O359/N359,0)</f>
        <v/>
      </c>
    </row>
    <row r="360">
      <c r="A360">
        <f>Skills!A19</f>
        <v/>
      </c>
      <c r="B360">
        <f>Skills!B19</f>
        <v/>
      </c>
      <c r="C360">
        <f>TRUE</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t="n">
        <v>0</v>
      </c>
      <c r="P360">
        <f>IF(B382=0,0,O360/B382)</f>
        <v/>
      </c>
      <c r="Q360">
        <f>IFERROR(1/IF(Inputs!$B$38="pvp",15,MAX(0.1,Skills!D19-IF(Skills!E19=TRUE,Inputs!$B$32,0))),0)</f>
        <v/>
      </c>
      <c r="R360">
        <f>IF(AND(Inputs!$B$38&lt;&gt;"pvp",Inputs!$B$43&gt;0),IF(Inputs!$B$43&lt;=0,0,(INT(Inputs!$B$43/IF(Inputs!$B$38="pvp",15,MAX(0.1,Skills!D19-IF(Skills!E19=TRUE,Inputs!$B$32,0))))+1)),0)</f>
        <v/>
      </c>
      <c r="S360">
        <f>IFERROR(O360/N360,0)</f>
        <v/>
      </c>
    </row>
    <row r="361">
      <c r="A361">
        <f>Skills!A20</f>
        <v/>
      </c>
      <c r="B361">
        <f>Skills!B20</f>
        <v/>
      </c>
      <c r="C361">
        <f>Inputs!$B$3&gt;=15</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t="n">
        <v>0</v>
      </c>
      <c r="P361">
        <f>IF(B382=0,0,O361/B382)</f>
        <v/>
      </c>
      <c r="Q361" t="n">
        <v>0</v>
      </c>
      <c r="R361" t="n">
        <v>0</v>
      </c>
      <c r="S361">
        <f>IFERROR(O361/N361,0)</f>
        <v/>
      </c>
    </row>
    <row r="362">
      <c r="A362">
        <f>Skills!A21</f>
        <v/>
      </c>
      <c r="B362">
        <f>Skills!B21</f>
        <v/>
      </c>
      <c r="C362">
        <f>Inputs!$B$3&gt;=10</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t="n">
        <v>0</v>
      </c>
      <c r="P362">
        <f>IF(B382=0,0,O362/B382)</f>
        <v/>
      </c>
      <c r="Q362" t="n">
        <v>0</v>
      </c>
      <c r="R362" t="n">
        <v>0</v>
      </c>
      <c r="S362">
        <f>IFERROR(O362/N362,0)</f>
        <v/>
      </c>
    </row>
    <row r="363">
      <c r="A363">
        <f>Skills!A22</f>
        <v/>
      </c>
      <c r="B363">
        <f>Skills!B22</f>
        <v/>
      </c>
      <c r="C363">
        <f>Inputs!$B$3&gt;=33</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t="n">
        <v>0</v>
      </c>
      <c r="P363">
        <f>IF(B382=0,0,O363/B382)</f>
        <v/>
      </c>
      <c r="Q363" t="n">
        <v>0</v>
      </c>
      <c r="R363" t="n">
        <v>0</v>
      </c>
      <c r="S363">
        <f>IFERROR(O363/N363,0)</f>
        <v/>
      </c>
    </row>
    <row r="364">
      <c r="A364">
        <f>Skills!A23</f>
        <v/>
      </c>
      <c r="B364">
        <f>Skills!B23</f>
        <v/>
      </c>
      <c r="C364">
        <f>Inputs!$B$3&gt;=38</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t="n">
        <v>0</v>
      </c>
      <c r="P364">
        <f>IF(B382=0,0,O364/B382)</f>
        <v/>
      </c>
      <c r="Q364" t="n">
        <v>0</v>
      </c>
      <c r="R364" t="n">
        <v>0</v>
      </c>
      <c r="S364">
        <f>IFERROR(O364/N364,0)</f>
        <v/>
      </c>
    </row>
    <row r="365">
      <c r="A365">
        <f>Skills!A24</f>
        <v/>
      </c>
      <c r="B365">
        <f>Skills!B24</f>
        <v/>
      </c>
      <c r="C365">
        <f>Inputs!$B$3&gt;=43</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t="n">
        <v>0</v>
      </c>
      <c r="P365">
        <f>IF(B382=0,0,O365/B382)</f>
        <v/>
      </c>
      <c r="Q365" t="n">
        <v>0</v>
      </c>
      <c r="R365" t="n">
        <v>0</v>
      </c>
      <c r="S365">
        <f>IFERROR(O365/N365,0)</f>
        <v/>
      </c>
    </row>
    <row r="366">
      <c r="A366">
        <f>Skills!A25</f>
        <v/>
      </c>
      <c r="B366">
        <f>Skills!B25</f>
        <v/>
      </c>
      <c r="C366">
        <f>Inputs!$B$3&gt;=75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t="n">
        <v>0</v>
      </c>
      <c r="P366">
        <f>IF(B382=0,0,O366/B382)</f>
        <v/>
      </c>
      <c r="Q366" t="n">
        <v>0</v>
      </c>
      <c r="R366" t="n">
        <v>0</v>
      </c>
      <c r="S366">
        <f>IFERROR(O366/N366,0)</f>
        <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t="n">
        <v>0</v>
      </c>
      <c r="P367">
        <f>IF(B382=0,0,O367/B382)</f>
        <v/>
      </c>
      <c r="Q367" t="n">
        <v>0</v>
      </c>
      <c r="R367" t="n">
        <v>0</v>
      </c>
      <c r="S367">
        <f>IFERROR(O367/N367,0)</f>
        <v/>
      </c>
    </row>
    <row r="368">
      <c r="A368">
        <f>Skills!A27</f>
        <v/>
      </c>
      <c r="B368">
        <f>Skills!B27</f>
        <v/>
      </c>
      <c r="C368">
        <f>Inputs!$B$3&gt;=125</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t="n">
        <v>0</v>
      </c>
      <c r="P368">
        <f>IF(B382=0,0,O368/B382)</f>
        <v/>
      </c>
      <c r="Q368" t="n">
        <v>0</v>
      </c>
      <c r="R368" t="n">
        <v>0</v>
      </c>
      <c r="S368">
        <f>IFERROR(O368/N368,0)</f>
        <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t="n">
        <v>0</v>
      </c>
      <c r="P369">
        <f>IF(B382=0,0,O369/B382)</f>
        <v/>
      </c>
      <c r="Q369" t="n">
        <v>0</v>
      </c>
      <c r="R369" t="n">
        <v>0</v>
      </c>
      <c r="S369">
        <f>IFERROR(O369/N369,0)</f>
        <v/>
      </c>
    </row>
    <row r="370">
      <c r="A370">
        <f>Skills!A29</f>
        <v/>
      </c>
      <c r="B370">
        <f>Skills!B29</f>
        <v/>
      </c>
      <c r="C370">
        <f>Inputs!$B$3&gt;=120</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t="n">
        <v>0</v>
      </c>
      <c r="P370">
        <f>IF(B382=0,0,O370/B382)</f>
        <v/>
      </c>
      <c r="Q370" t="n">
        <v>0</v>
      </c>
      <c r="R370" t="n">
        <v>0</v>
      </c>
      <c r="S370">
        <f>IFERROR(O370/N370,0)</f>
        <v/>
      </c>
    </row>
    <row r="371">
      <c r="A371">
        <f>Skills!A30</f>
        <v/>
      </c>
      <c r="B371">
        <f>Skills!B30</f>
        <v/>
      </c>
      <c r="C371">
        <f>Inputs!$B$3&gt;=45</f>
        <v/>
      </c>
      <c r="D371">
        <f>IF(Skills!C30=1,60+Inputs!$B$25+Inputs!$B$29,IF(Skills!C30=2,90+Inputs!$B$26+Inputs!$B$29,IF(Skills!C30=3,120+Inputs!$B$27+Inputs!$B$29,MAX(0,(Inputs!$B$3-100)*3)+Inputs!$B$28+Inputs!$B$29)))</f>
        <v/>
      </c>
      <c r="E371">
        <f>INDEX(FactorTable!$B$2:$Y$301, MATCH(ROUND(MIN(300,MAX(1,D371)),0), FactorTable!$A$2:$A$301,0), Skills!M30+1)</f>
        <v/>
      </c>
      <c r="F371">
        <f>IF(Skills!N30=TRUE,(Skills!L30/10)*(E371/1000),Skills!L30/10)+Skills!O30</f>
        <v/>
      </c>
      <c r="G371">
        <f>Skills!G30*IF(Skills!H30&gt;0,Skills!I30/Skills!H30,1)</f>
        <v/>
      </c>
      <c r="H371">
        <f>1-(1-Skills!J30/100)^Skills!K30</f>
        <v/>
      </c>
      <c r="I371" t="inlineStr">
        <is>
          <t>1</t>
        </is>
      </c>
      <c r="J371" t="inlineStr"/>
      <c r="K371" t="inlineStr"/>
      <c r="L371" t="inlineStr"/>
      <c r="M371" t="inlineStr"/>
      <c r="N371" t="inlineStr"/>
      <c r="O371" t="n">
        <v>0</v>
      </c>
      <c r="P371">
        <f>IF(B382=0,0,O371/B382)</f>
        <v/>
      </c>
      <c r="Q371" t="n">
        <v>0</v>
      </c>
      <c r="R371" t="n">
        <v>0</v>
      </c>
      <c r="S371">
        <f>IFERROR(O371/N371,0)</f>
        <v/>
      </c>
    </row>
    <row r="373">
      <c r="A373" t="inlineStr">
        <is>
          <t>Attack% Bucket Multiplier</t>
        </is>
      </c>
      <c r="B373">
        <f>(1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f>
        <v/>
      </c>
    </row>
    <row r="374">
      <c r="A374" t="inlineStr">
        <is>
          <t>Global Crit Rate Bonus %</t>
        </is>
      </c>
      <c r="B374">
        <f>(C357=TRUE)*20*IF(AND(Inputs!$B$38&lt;&gt;"pvp",Inputs!$B$43&gt;0),(((R357-1)*(Skills!T16*(1+Inputs!$B$34/100))+MIN((Skills!T16*(1+Inputs!$B$34/100)),MAX(0,Inputs!$B$43-((R357-1)*Skills!D16))))/Inputs!$B$43),IF(Inputs!$B$38="pvp",MIN((Skills!T16*(1+Inputs!$B$34/100)),15)/15,(Skills!T16*(1+Inputs!$B$34/100))/Skills!D16))</f>
        <v/>
      </c>
    </row>
    <row r="375">
      <c r="A375" t="inlineStr">
        <is>
          <t>Attack Speed Buff Bonus %</t>
        </is>
      </c>
      <c r="B375">
        <f>((C360=TRUE)*F360*IF(AND(Inputs!$B$38&lt;&gt;"pvp",Inputs!$B$43&gt;0),(((R360-1)*(Skills!T19*(1+Inputs!$B$34/100))+MIN((Skills!T19*(1+Inputs!$B$34/100)),MAX(0,Inputs!$B$43-((R360-1)*Skills!D19))))/Inputs!$B$43),IF(Inputs!$B$38="pvp",MIN((Skills!T19*(1+Inputs!$B$34/100)),15)/15,(Skills!T19*(1+Inputs!$B$34/100))/Skills!D19)))</f>
        <v/>
      </c>
    </row>
    <row r="376">
      <c r="A376" t="inlineStr">
        <is>
          <t>Actions Per Second</t>
        </is>
      </c>
      <c r="B376">
        <f>1+MIN(150,150*(1-(1-(Inputs!$B$11+((C362=TRUE)*(F362-Calc!F21))+((C363=TRUE)*(F363-Calc!F22)))/150)*(1-B375/150)))/100</f>
        <v/>
      </c>
    </row>
    <row r="377">
      <c r="A377" t="inlineStr">
        <is>
          <t>Skill + Buff Cast Rate</t>
        </is>
      </c>
      <c r="B377">
        <f>IF(AND(Inputs!$B$38&lt;&gt;"pvp",Inputs!$B$43&gt;0),SUMPRODUCT((Skills!E2:E30=TRUE)*(C343:C371=TRUE)*R343:R371*Skills!F2:F30)/Inputs!$B$43,SUMPRODUCT((Skills!E2:E30=TRUE)*(C343:C371=TRUE)*Q343:Q371*Skills!F2:F30))</f>
        <v/>
      </c>
    </row>
    <row r="378">
      <c r="A378" t="inlineStr">
        <is>
          <t>Arrow Stream Casts Per Second</t>
        </is>
      </c>
      <c r="B378">
        <f>MAX(0,B376-B377)</f>
        <v/>
      </c>
    </row>
    <row r="379">
      <c r="A379" t="inlineStr">
        <is>
          <t>Global Critical Damage Bonus % (Sharp Eyes + Concentration)</t>
        </is>
      </c>
      <c r="B379">
        <f>(C357=TRUE)*F357*IF(AND(Inputs!$B$38&lt;&gt;"pvp",Inputs!$B$43&gt;0),(((R357-1)*(Skills!T16*(1+Inputs!$B$34/100))+MIN((Skills!T16*(1+Inputs!$B$34/100)),MAX(0,Inputs!$B$43-((R357-1)*Skills!D16))))/Inputs!$B$43),IF(Inputs!$B$38="pvp",MIN((Skills!T16*(1+Inputs!$B$34/100)),15)/15,(Skills!T16*(1+Inputs!$B$34/100))/Skills!D16))+(C358=TRUE)*30</f>
        <v/>
      </c>
    </row>
    <row r="380">
      <c r="A380" t="inlineStr">
        <is>
          <t>Global Final Damage Bonus % (Mortal Blow)</t>
        </is>
      </c>
      <c r="B380">
        <f>(C359=TRUE)*F359</f>
        <v/>
      </c>
    </row>
    <row r="381">
      <c r="A381" t="inlineStr">
        <is>
          <t>Buff-Casting Startup Delay (s, fixed-duration only)</t>
        </is>
      </c>
      <c r="B381">
        <f>IF(AND(Inputs!$B$38&lt;&gt;"pvp",Inputs!$B$43&gt;0),SUMPRODUCT((Skills!T2:T30&gt;0)*(Skills!E2:E30=TRUE)*(C343:C371=TRUE))/B376,0)</f>
        <v/>
      </c>
    </row>
    <row r="382">
      <c r="A382" s="5" t="inlineStr">
        <is>
          <t>TOTAL DPS</t>
        </is>
      </c>
      <c r="B382" s="5">
        <f>SUM(O343:O371)</f>
        <v/>
      </c>
    </row>
    <row r="385">
      <c r="A385" s="5" t="inlineStr">
        <is>
          <t>Stat: MIN_DAMAGE %</t>
        </is>
      </c>
    </row>
    <row r="386">
      <c r="A386" s="9" t="inlineStr">
        <is>
          <t>Key</t>
        </is>
      </c>
      <c r="B386" s="9" t="inlineStr">
        <is>
          <t>Name</t>
        </is>
      </c>
      <c r="C386" s="9" t="inlineStr">
        <is>
          <t>Unlocked</t>
        </is>
      </c>
      <c r="D386" s="9" t="inlineStr">
        <is>
          <t>InputLevel</t>
        </is>
      </c>
      <c r="E386" s="9" t="inlineStr">
        <is>
          <t>Factor</t>
        </is>
      </c>
      <c r="F386" s="9" t="inlineStr">
        <is>
          <t>CoefficientPercent</t>
        </is>
      </c>
      <c r="G386" s="9" t="inlineStr">
        <is>
          <t>EffectiveHits</t>
        </is>
      </c>
      <c r="H386" s="9" t="inlineStr">
        <is>
          <t>ProcProbability</t>
        </is>
      </c>
      <c r="I386" s="9" t="inlineStr">
        <is>
          <t>MapleHeroMultiplier</t>
        </is>
      </c>
      <c r="J386" s="9" t="inlineStr">
        <is>
          <t>BaseDamage</t>
        </is>
      </c>
      <c r="K386" s="9" t="inlineStr">
        <is>
          <t>BaseHitDamage</t>
        </is>
      </c>
      <c r="L386" s="9" t="inlineStr">
        <is>
          <t>NonCritAvg</t>
        </is>
      </c>
      <c r="M386" s="9" t="inlineStr">
        <is>
          <t>CritAvg</t>
        </is>
      </c>
      <c r="N386" s="9" t="inlineStr">
        <is>
          <t>ExpectedDamage(perHit)</t>
        </is>
      </c>
      <c r="O386" s="9" t="inlineStr">
        <is>
          <t>DPS</t>
        </is>
      </c>
      <c r="P386" s="9" t="inlineStr">
        <is>
          <t>% of Total</t>
        </is>
      </c>
      <c r="Q386" s="9" t="inlineStr">
        <is>
          <t>InvCooldown</t>
        </is>
      </c>
      <c r="R386" s="9" t="inlineStr">
        <is>
          <t>CastsInFight</t>
        </is>
      </c>
      <c r="S386" s="9" t="inlineStr">
        <is>
          <t>HitRate(perSec)</t>
        </is>
      </c>
      <c r="U386" t="inlineStr">
        <is>
          <t>helpers</t>
        </is>
      </c>
    </row>
    <row r="387">
      <c r="A387">
        <f>Skills!A2</f>
        <v/>
      </c>
      <c r="B387">
        <f>Skills!B2</f>
        <v/>
      </c>
      <c r="C387">
        <f>Inputs!$B$3&gt;=100</f>
        <v/>
      </c>
      <c r="D387" t="inlineStr"/>
      <c r="E387" t="inlineStr"/>
      <c r="F387">
        <f>U389+Skills!O2</f>
        <v/>
      </c>
      <c r="G387">
        <f>Skills!G2*IF(Skills!H2&gt;0,Skills!I2/Skills!H2,1)</f>
        <v/>
      </c>
      <c r="H387">
        <f>1-(1-Skills!J2/100)^Skills!K2</f>
        <v/>
      </c>
      <c r="I387" t="inlineStr">
        <is>
          <t>1</t>
        </is>
      </c>
      <c r="J387">
        <f>((Inputs!$B$6*(1+Inputs!$B$7/100))+(((Inputs!$B$12*(1+Inputs!$B$13/100))-(Inputs!$B$12*(1+Inputs!$B$13/100)))+0.25*(Inputs!$B$14-Inputs!$B$14))*(1+Inputs!$B$7/100))*(F387/100)</f>
        <v/>
      </c>
      <c r="K387">
        <f>J387*(1+((Inputs!$B$12*(1+Inputs!$B$13/100))*0.01+Inputs!$B$14*0.0025)/100)*(1+Inputs!$B$15/100)*(1+IF(Inputs!$B$38="pvp",0,(1-Summary!$B$55)*(Inputs!$B$20+0+Skills!P2)+Summary!$B$55*(Inputs!$B$21+Skills!Q2))/100)*(1+Inputs!$B$16/100)*(5000/(6000+Inputs!$B$42*(1-(Inputs!$B$19+((C412=TRUE)*(F412-Calc!F27)))/100)))*(1+(Inputs!$B$24+((C410=TRUE)*(F410-Calc!F25))+((C411=TRUE)*(F411-Calc!F26))+B424)/100)*(1+(IF(Skills!A2="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387)</f>
        <v/>
      </c>
      <c r="L387">
        <f>K387*(MIN((Inputs!$B$22+1)+((C409=TRUE)*(F409-Calc!F24)),Inputs!$B$23+((C414=TRUE)*(F414-Calc!F29)))/100+(Inputs!$B$23+((C414=TRUE)*(F414-Calc!F29)))/100)/2</f>
        <v/>
      </c>
      <c r="M387">
        <f>L387*(1+(Inputs!$B$10+0+B423)/100)</f>
        <v/>
      </c>
      <c r="N387">
        <f>L387*(1-MIN((Inputs!$B$9+((C405=TRUE)*(F405-Calc!F20))+B418),100)/100)+M387*(MIN((Inputs!$B$9+((C405=TRUE)*(F405-Calc!F20))+B418),100)/100)</f>
        <v/>
      </c>
      <c r="O387">
        <f>IF(C387,Skills!G2*N387*B422*IF(Inputs!$B$38="pvp",1,(1-Summary!$B$55)*(1)+Summary!$B$55*(MIN((6+Inputs!$B$33),Inputs!$B$37))),0)</f>
        <v/>
      </c>
      <c r="P387">
        <f>IF(B426=0,0,O387/B426)</f>
        <v/>
      </c>
      <c r="Q387" t="n">
        <v>0</v>
      </c>
      <c r="R387" t="n">
        <v>0</v>
      </c>
      <c r="S387">
        <f>IFERROR(O387/N387,0)</f>
        <v/>
      </c>
      <c r="U387">
        <f>MAX(0,(Inputs!$B$3-100)*3)+Inputs!$B$28+Inputs!$B$29</f>
        <v/>
      </c>
    </row>
    <row r="388">
      <c r="A388">
        <f>Skills!A3</f>
        <v/>
      </c>
      <c r="B388">
        <f>Skills!B3</f>
        <v/>
      </c>
      <c r="C388">
        <f>Inputs!$B$3&gt;=50</f>
        <v/>
      </c>
      <c r="D388">
        <f>IF(Skills!C3=1,60+Inputs!$B$25+Inputs!$B$29,IF(Skills!C3=2,90+Inputs!$B$26+Inputs!$B$29,IF(Skills!C3=3,120+Inputs!$B$27+Inputs!$B$29,MAX(0,(Inputs!$B$3-100)*3)+Inputs!$B$28+Inputs!$B$29)))</f>
        <v/>
      </c>
      <c r="E388">
        <f>INDEX(FactorTable!$B$2:$Y$301, MATCH(ROUND(MIN(300,MAX(1,D388)),0), FactorTable!$A$2:$A$301,0), Skills!M3+1)</f>
        <v/>
      </c>
      <c r="F388">
        <f>IF(Skills!N3=TRUE,(Skills!L3/10)*(E388/1000),Skills!L3/10)+Skills!O3</f>
        <v/>
      </c>
      <c r="G388" t="inlineStr"/>
      <c r="H388" t="inlineStr"/>
      <c r="I388" t="inlineStr">
        <is>
          <t>1</t>
        </is>
      </c>
      <c r="J388" t="inlineStr"/>
      <c r="K388" t="inlineStr"/>
      <c r="L388" t="inlineStr"/>
      <c r="M388" t="inlineStr"/>
      <c r="N388" t="inlineStr"/>
      <c r="O388" t="inlineStr"/>
      <c r="P388" t="inlineStr"/>
      <c r="Q388" t="inlineStr"/>
      <c r="R388" t="inlineStr"/>
      <c r="S388" t="inlineStr"/>
      <c r="U388">
        <f>INDEX(FactorTable!$B$2:$Y$301, MATCH(ROUND(MIN(300,MAX(1,U387)),0), FactorTable!$A$2:$A$301,0), 22)</f>
        <v/>
      </c>
    </row>
    <row r="389">
      <c r="A389">
        <f>Skills!A4</f>
        <v/>
      </c>
      <c r="B389">
        <f>Skills!B4</f>
        <v/>
      </c>
      <c r="C389">
        <f>Inputs!$B$3&gt;=105</f>
        <v/>
      </c>
      <c r="D389">
        <f>IF(Skills!C4=1,60+Inputs!$B$25+Inputs!$B$29,IF(Skills!C4=2,90+Inputs!$B$26+Inputs!$B$29,IF(Skills!C4=3,120+Inputs!$B$27+Inputs!$B$29,MAX(0,(Inputs!$B$3-100)*3)+Inputs!$B$28+Inputs!$B$29)))</f>
        <v/>
      </c>
      <c r="E389">
        <f>INDEX(FactorTable!$B$2:$Y$301, MATCH(ROUND(MIN(300,MAX(1,D389)),0), FactorTable!$A$2:$A$301,0), Skills!M4+1)</f>
        <v/>
      </c>
      <c r="F389">
        <f>IF(Skills!N4=TRUE,(Skills!L4/10)*(E389/1000),Skills!L4/10)+Skills!O4</f>
        <v/>
      </c>
      <c r="G389" t="inlineStr"/>
      <c r="H389" t="inlineStr"/>
      <c r="I389" t="inlineStr">
        <is>
          <t>1</t>
        </is>
      </c>
      <c r="J389" t="inlineStr"/>
      <c r="K389" t="inlineStr"/>
      <c r="L389" t="inlineStr"/>
      <c r="M389" t="inlineStr"/>
      <c r="N389" t="inlineStr"/>
      <c r="O389" t="inlineStr"/>
      <c r="P389" t="inlineStr"/>
      <c r="Q389" t="inlineStr"/>
      <c r="R389" t="inlineStr"/>
      <c r="S389" t="inlineStr"/>
      <c r="U389">
        <f>290*U388/1000</f>
        <v/>
      </c>
    </row>
    <row r="390">
      <c r="A390">
        <f>Skills!A5</f>
        <v/>
      </c>
      <c r="B390">
        <f>Skills!B5</f>
        <v/>
      </c>
      <c r="C390">
        <f>Inputs!$B$3&gt;=35</f>
        <v/>
      </c>
      <c r="D390">
        <f>IF(Skills!C5=1,60+Inputs!$B$25+Inputs!$B$29,IF(Skills!C5=2,90+Inputs!$B$26+Inputs!$B$29,IF(Skills!C5=3,120+Inputs!$B$27+Inputs!$B$29,MAX(0,(Inputs!$B$3-100)*3)+Inputs!$B$28+Inputs!$B$29)))</f>
        <v/>
      </c>
      <c r="E390">
        <f>INDEX(FactorTable!$B$2:$Y$301, MATCH(ROUND(MIN(300,MAX(1,D390)),0), FactorTable!$A$2:$A$301,0), Skills!M5+1)</f>
        <v/>
      </c>
      <c r="F390">
        <f>IF(Skills!N5=TRUE,(Skills!L5/10)*(E390/1000),Skills!L5/10)+Skills!O5</f>
        <v/>
      </c>
      <c r="G390">
        <f>Skills!G5*IF(Skills!H5&gt;0,Skills!I5/Skills!H5,1)</f>
        <v/>
      </c>
      <c r="H390">
        <f>1-(1-Skills!J5/100)^Skills!K5</f>
        <v/>
      </c>
      <c r="I390" t="inlineStr">
        <is>
          <t>1</t>
        </is>
      </c>
      <c r="J390">
        <f>((Inputs!$B$6*(1+Inputs!$B$7/100))+(((Inputs!$B$12*(1+Inputs!$B$13/100))-(Inputs!$B$12*(1+Inputs!$B$13/100)))+0.25*(Inputs!$B$14-Inputs!$B$14))*(1+Inputs!$B$7/100))*(F390/100)</f>
        <v/>
      </c>
      <c r="K390">
        <f>J390*(1+((Inputs!$B$12*(1+Inputs!$B$13/100))*0.01+Inputs!$B$14*0.0025)/100)*(1+Inputs!$B$15/100)*(1+IF(Inputs!$B$38="pvp",0,(1-Summary!$B$55)*(Inputs!$B$20+0+Skills!P5)+Summary!$B$55*(Inputs!$B$21+Skills!Q5))/100)*(1+Inputs!$B$16/100)*(5000/(6000+Inputs!$B$42*(1-(Inputs!$B$19+((C412=TRUE)*(F412-Calc!F27)))/100)))*(1+(Inputs!$B$24+((C410=TRUE)*(F410-Calc!F25))+((C411=TRUE)*(F411-Calc!F26))+B424)/100)*(1+4.0*IF(C395=TRUE,F395,0)/100)*(1+(IF(Skills!A5="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390)</f>
        <v/>
      </c>
      <c r="L390">
        <f>K390*(MIN((Inputs!$B$22+1)+((C409=TRUE)*(F409-Calc!F24)),Inputs!$B$23+((C414=TRUE)*(F414-Calc!F29)))/100+(Inputs!$B$23+((C414=TRUE)*(F414-Calc!F29)))/100)/2</f>
        <v/>
      </c>
      <c r="M390">
        <f>L390*(1+(Inputs!$B$10+0+B423)/100)</f>
        <v/>
      </c>
      <c r="N390">
        <f>L390*(1-MIN((Inputs!$B$9+((C405=TRUE)*(F405-Calc!F20))+B418),100)/100)+M390*(MIN((Inputs!$B$9+((C405=TRUE)*(F405-Calc!F20))+B418),100)/100)</f>
        <v/>
      </c>
      <c r="O390">
        <f>IF(C390,H390*N390*IF(AND(Inputs!$B$38&lt;&gt;"pvp",Inputs!$B$43&gt;0),((Skills!G5*((R390-1)*IF(Skills!H5&gt;0,Skills!I5/Skills!H5,1)+IF(Skills!H5&gt;0,MIN(Skills!I5,MAX(0,MAX(0,Inputs!$B$43-B425)-((R390-1)*IF(Inputs!$B$38="pvp",15,MAX(0.1,Skills!D5-IF(Skills!E5=TRUE,Inputs!$B$32,0))))))/Skills!H5,1)))/Inputs!$B$43),G390*Q390)*IF(Inputs!$B$38="pvp",1,(1-Summary!$B$55)*(1)+Summary!$B$55*(MIN(Skills!R5,Inputs!$B$37))),0)</f>
        <v/>
      </c>
      <c r="P390">
        <f>IF(B426=0,0,O390/B426)</f>
        <v/>
      </c>
      <c r="Q390">
        <f>IFERROR(1/IF(Inputs!$B$38="pvp",15,MAX(0.1,Skills!D5-IF(Skills!E5=TRUE,Inputs!$B$32,0))),0)</f>
        <v/>
      </c>
      <c r="R390">
        <f>IF(AND(Inputs!$B$38&lt;&gt;"pvp",Inputs!$B$43&gt;0),IF(MAX(0,Inputs!$B$43-B425)&lt;=0,0,(INT(MAX(0,Inputs!$B$43-B425)/IF(Inputs!$B$38="pvp",15,MAX(0.1,Skills!D5-IF(Skills!E5=TRUE,Inputs!$B$32,0))))+1)),0)</f>
        <v/>
      </c>
      <c r="S390">
        <f>IFERROR(O390/N390,0)</f>
        <v/>
      </c>
    </row>
    <row r="391">
      <c r="A391">
        <f>Skills!A6</f>
        <v/>
      </c>
      <c r="B391">
        <f>Skills!B6</f>
        <v/>
      </c>
      <c r="C391">
        <f>Inputs!$B$3&gt;=40</f>
        <v/>
      </c>
      <c r="D391">
        <f>IF(Skills!C6=1,60+Inputs!$B$25+Inputs!$B$29,IF(Skills!C6=2,90+Inputs!$B$26+Inputs!$B$29,IF(Skills!C6=3,120+Inputs!$B$27+Inputs!$B$29,MAX(0,(Inputs!$B$3-100)*3)+Inputs!$B$28+Inputs!$B$29)))</f>
        <v/>
      </c>
      <c r="E391">
        <f>INDEX(FactorTable!$B$2:$Y$301, MATCH(ROUND(MIN(300,MAX(1,D391)),0), FactorTable!$A$2:$A$301,0), Skills!M6+1)</f>
        <v/>
      </c>
      <c r="F391">
        <f>IF(Skills!N6=TRUE,(Skills!L6/10)*(E391/1000),Skills!L6/10)+Skills!O6</f>
        <v/>
      </c>
      <c r="G391">
        <f>Skills!G6*IF(Skills!H6&gt;0,Skills!I6/Skills!H6,1)</f>
        <v/>
      </c>
      <c r="H391">
        <f>1-(1-Skills!J6/100)^Skills!K6</f>
        <v/>
      </c>
      <c r="I391" t="inlineStr">
        <is>
          <t>1</t>
        </is>
      </c>
      <c r="J391">
        <f>((Inputs!$B$6*(1+Inputs!$B$7/100))+(((Inputs!$B$12*(1+Inputs!$B$13/100))-(Inputs!$B$12*(1+Inputs!$B$13/100)))+0.25*(Inputs!$B$14-Inputs!$B$14))*(1+Inputs!$B$7/100))*(F391/100)</f>
        <v/>
      </c>
      <c r="K391">
        <f>J391*(1+((Inputs!$B$12*(1+Inputs!$B$13/100))*0.01+Inputs!$B$14*0.0025)/100)*(1+Inputs!$B$15/100)*(1+IF(Inputs!$B$38="pvp",0,(1-Summary!$B$55)*(Inputs!$B$20+0+Skills!P6)+Summary!$B$55*(Inputs!$B$21+Skills!Q6))/100)*(1+Inputs!$B$16/100)*(5000/(6000+Inputs!$B$42*(1-(Inputs!$B$19+((C412=TRUE)*(F412-Calc!F27)))/100)))*(1+(Inputs!$B$24+((C410=TRUE)*(F410-Calc!F25))+((C411=TRUE)*(F411-Calc!F26))+B424)/100)*(1+IF(C392=TRUE,F392,0)/100)*(1+(IF(Skills!A6="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391)</f>
        <v/>
      </c>
      <c r="L391">
        <f>K391*(MIN((Inputs!$B$22+1)+((C409=TRUE)*(F409-Calc!F24)),Inputs!$B$23+((C414=TRUE)*(F414-Calc!F29)))/100+(Inputs!$B$23+((C414=TRUE)*(F414-Calc!F29)))/100)/2</f>
        <v/>
      </c>
      <c r="M391">
        <f>L391*(1+(Inputs!$B$10+0+B423)/100)</f>
        <v/>
      </c>
      <c r="N391">
        <f>L391*(1-MIN((Inputs!$B$9+((C405=TRUE)*(F405-Calc!F20))+B418),100)/100)+M391*(MIN((Inputs!$B$9+((C405=TRUE)*(F405-Calc!F20))+B418),100)/100)</f>
        <v/>
      </c>
      <c r="O391">
        <f>IF(C391,H391*N391*IF(AND(Inputs!$B$38&lt;&gt;"pvp",Inputs!$B$43&gt;0),((Skills!G6*((R391-1)*IF(Skills!H6&gt;0,Skills!I6/Skills!H6,1)+IF(Skills!H6&gt;0,MIN(Skills!I6,MAX(0,MAX(0,Inputs!$B$43-B425)-((R391-1)*IF(Inputs!$B$38="pvp",15,MAX(0.1,Skills!D6-IF(Skills!E6=TRUE,Inputs!$B$32,0))))))/Skills!H6,1)))/Inputs!$B$43),G391*Q391)*IF(Inputs!$B$38="pvp",1,(1-Summary!$B$55)*(1)+Summary!$B$55*(MIN(Skills!R6,Inputs!$B$37))),0)</f>
        <v/>
      </c>
      <c r="P391">
        <f>IF(B426=0,0,O391/B426)</f>
        <v/>
      </c>
      <c r="Q391">
        <f>IFERROR(1/IF(Inputs!$B$38="pvp",15,MAX(0.1,Skills!D6-IF(Skills!E6=TRUE,Inputs!$B$32,0))),0)</f>
        <v/>
      </c>
      <c r="R391">
        <f>IF(AND(Inputs!$B$38&lt;&gt;"pvp",Inputs!$B$43&gt;0),IF(MAX(0,Inputs!$B$43-B425)&lt;=0,0,(INT(MAX(0,Inputs!$B$43-B425)/IF(Inputs!$B$38="pvp",15,MAX(0.1,Skills!D6-IF(Skills!E6=TRUE,Inputs!$B$32,0))))+1)),0)</f>
        <v/>
      </c>
      <c r="S391">
        <f>IFERROR(O391/N391,0)</f>
        <v/>
      </c>
    </row>
    <row r="392">
      <c r="A392">
        <f>Skills!A7</f>
        <v/>
      </c>
      <c r="B392">
        <f>Skills!B7</f>
        <v/>
      </c>
      <c r="C392">
        <f>Inputs!$B$3&gt;=107</f>
        <v/>
      </c>
      <c r="D392">
        <f>IF(Skills!C7=1,60+Inputs!$B$25+Inputs!$B$29,IF(Skills!C7=2,90+Inputs!$B$26+Inputs!$B$29,IF(Skills!C7=3,120+Inputs!$B$27+Inputs!$B$29,MAX(0,(Inputs!$B$3-100)*3)+Inputs!$B$28+Inputs!$B$29)))</f>
        <v/>
      </c>
      <c r="E392">
        <f>INDEX(FactorTable!$B$2:$Y$301, MATCH(ROUND(MIN(300,MAX(1,D392)),0), FactorTable!$A$2:$A$301,0), Skills!M7+1)</f>
        <v/>
      </c>
      <c r="F392">
        <f>IF(Skills!N7=TRUE,(Skills!L7/10)*(E392/1000),Skills!L7/10)+Skills!O7</f>
        <v/>
      </c>
      <c r="G392" t="inlineStr"/>
      <c r="H392" t="inlineStr"/>
      <c r="I392" t="inlineStr">
        <is>
          <t>1</t>
        </is>
      </c>
      <c r="J392" t="inlineStr"/>
      <c r="K392" t="inlineStr"/>
      <c r="L392" t="inlineStr"/>
      <c r="M392" t="inlineStr"/>
      <c r="N392" t="inlineStr"/>
      <c r="O392" t="inlineStr"/>
      <c r="P392" t="inlineStr"/>
      <c r="Q392" t="inlineStr"/>
      <c r="R392" t="inlineStr"/>
      <c r="S392" t="inlineStr"/>
    </row>
    <row r="393">
      <c r="A393">
        <f>Skills!A8</f>
        <v/>
      </c>
      <c r="B393">
        <f>Skills!B8</f>
        <v/>
      </c>
      <c r="C393">
        <f>Inputs!$B$3&gt;=69</f>
        <v/>
      </c>
      <c r="D393">
        <f>IF(Skills!C8=1,60+Inputs!$B$25+Inputs!$B$29,IF(Skills!C8=2,90+Inputs!$B$26+Inputs!$B$29,IF(Skills!C8=3,120+Inputs!$B$27+Inputs!$B$29,MAX(0,(Inputs!$B$3-100)*3)+Inputs!$B$28+Inputs!$B$29)))</f>
        <v/>
      </c>
      <c r="E393">
        <f>INDEX(FactorTable!$B$2:$Y$301, MATCH(ROUND(MIN(300,MAX(1,D393)),0), FactorTable!$A$2:$A$301,0), Skills!M8+1)</f>
        <v/>
      </c>
      <c r="F393">
        <f>IF(Skills!N8=TRUE,(Skills!L8/10)*(E393/1000),Skills!L8/10)+Skills!O8</f>
        <v/>
      </c>
      <c r="G393">
        <f>Skills!G8*IF(Skills!H8&gt;0,Skills!I8/Skills!H8,1)</f>
        <v/>
      </c>
      <c r="H393">
        <f>1-(1-Skills!J8/100)^Skills!K8</f>
        <v/>
      </c>
      <c r="I393" t="inlineStr">
        <is>
          <t>1</t>
        </is>
      </c>
      <c r="J393">
        <f>((Inputs!$B$6*(1+Inputs!$B$7/100))+(((Inputs!$B$12*(1+Inputs!$B$13/100))-(Inputs!$B$12*(1+Inputs!$B$13/100)))+0.25*(Inputs!$B$14-Inputs!$B$14))*(1+Inputs!$B$7/100))*(F393/100)</f>
        <v/>
      </c>
      <c r="K393">
        <f>J393*(1+((Inputs!$B$12*(1+Inputs!$B$13/100))*0.01+Inputs!$B$14*0.0025)/100)*(1+Inputs!$B$15/100)*(1+IF(Inputs!$B$38="pvp",0,(1-Summary!$B$55)*(Inputs!$B$20+0+Skills!P8)+Summary!$B$55*(Inputs!$B$21+Skills!Q8))/100)*(1+Inputs!$B$16/100)*(5000/(6000+Inputs!$B$42*(1-(Inputs!$B$19+((C412=TRUE)*(F412-Calc!F27)))/100)))*(1+(Inputs!$B$24+((C410=TRUE)*(F410-Calc!F25))+((C411=TRUE)*(F411-Calc!F26))+B424)/100)*(1+1.2*IF(C395=TRUE,F395,0)/100)*(1+(IF(Skills!A8="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393)</f>
        <v/>
      </c>
      <c r="L393">
        <f>K393*(MIN((Inputs!$B$22+1)+((C409=TRUE)*(F409-Calc!F24)),Inputs!$B$23+((C414=TRUE)*(F414-Calc!F29)))/100+(Inputs!$B$23+((C414=TRUE)*(F414-Calc!F29)))/100)/2</f>
        <v/>
      </c>
      <c r="M393">
        <f>L393*(1+(Inputs!$B$10+0+B423)/100)</f>
        <v/>
      </c>
      <c r="N393">
        <f>L393*(1-MIN((Inputs!$B$9+((C405=TRUE)*(F405-Calc!F20))+B418),100)/100)+M393*(MIN((Inputs!$B$9+((C405=TRUE)*(F405-Calc!F20))+B418),100)/100)</f>
        <v/>
      </c>
      <c r="O393">
        <f>IF(C393,H393*N393*IF(AND(Inputs!$B$38&lt;&gt;"pvp",Inputs!$B$43&gt;0),((Skills!G8*((R393-1)*IF(Skills!H8&gt;0,Skills!I8/Skills!H8,1)+IF(Skills!H8&gt;0,MIN(Skills!I8,MAX(0,MAX(0,Inputs!$B$43-B425)-((R393-1)*IF(Inputs!$B$38="pvp",15,MAX(0.1,Skills!D8-IF(Skills!E8=TRUE,Inputs!$B$32,0))))))/Skills!H8,1)))/Inputs!$B$43),G393*Q393)*IF(Inputs!$B$38="pvp",1,(1-Summary!$B$55)*(1)+Summary!$B$55*(MIN(Skills!R8,Inputs!$B$37))),0)</f>
        <v/>
      </c>
      <c r="P393">
        <f>IF(B426=0,0,O393/B426)</f>
        <v/>
      </c>
      <c r="Q393">
        <f>IFERROR(1/IF(Inputs!$B$38="pvp",15,MAX(0.1,Skills!D8-IF(Skills!E8=TRUE,Inputs!$B$32,0))),0)</f>
        <v/>
      </c>
      <c r="R393">
        <f>IF(AND(Inputs!$B$38&lt;&gt;"pvp",Inputs!$B$43&gt;0),IF(MAX(0,Inputs!$B$43-B425)&lt;=0,0,(INT(MAX(0,Inputs!$B$43-B425)/IF(Inputs!$B$38="pvp",15,MAX(0.1,Skills!D8-IF(Skills!E8=TRUE,Inputs!$B$32,0))))+1)),0)</f>
        <v/>
      </c>
      <c r="S393">
        <f>IFERROR(O393/N393,0)</f>
        <v/>
      </c>
    </row>
    <row r="394">
      <c r="A394">
        <f>Skills!A9</f>
        <v/>
      </c>
      <c r="B394">
        <f>Skills!B9</f>
        <v/>
      </c>
      <c r="C394">
        <f>Inputs!$B$3&gt;=63</f>
        <v/>
      </c>
      <c r="D394">
        <f>IF(Skills!C9=1,60+Inputs!$B$25+Inputs!$B$29,IF(Skills!C9=2,90+Inputs!$B$26+Inputs!$B$29,IF(Skills!C9=3,120+Inputs!$B$27+Inputs!$B$29,MAX(0,(Inputs!$B$3-100)*3)+Inputs!$B$28+Inputs!$B$29)))</f>
        <v/>
      </c>
      <c r="E394">
        <f>INDEX(FactorTable!$B$2:$Y$301, MATCH(ROUND(MIN(300,MAX(1,D394)),0), FactorTable!$A$2:$A$301,0), Skills!M9+1)</f>
        <v/>
      </c>
      <c r="F394">
        <f>IF(Skills!N9=TRUE,(Skills!L9/10)*(E394/1000),Skills!L9/10)+Skills!O9</f>
        <v/>
      </c>
      <c r="G394">
        <f>Skills!G9*IF(Skills!H9&gt;0,Skills!I9/Skills!H9,1)</f>
        <v/>
      </c>
      <c r="H394">
        <f>1-(1-Skills!J9/100)^Skills!K9</f>
        <v/>
      </c>
      <c r="I394" t="inlineStr">
        <is>
          <t>1</t>
        </is>
      </c>
      <c r="J394">
        <f>((Inputs!$B$6*(1+Inputs!$B$7/100))+(((Inputs!$B$12*(1+Inputs!$B$13/100))-(Inputs!$B$12*(1+Inputs!$B$13/100)))+0.25*(Inputs!$B$14-Inputs!$B$14))*(1+Inputs!$B$7/100))*(F394/100)</f>
        <v/>
      </c>
      <c r="K394">
        <f>J394*(1+((Inputs!$B$12*(1+Inputs!$B$13/100))*0.01+Inputs!$B$14*0.0025)/100)*(1+Inputs!$B$15/100)*(1+IF(Inputs!$B$38="pvp",0,(1-Summary!$B$55)*(Inputs!$B$20+0+Skills!P9)+Summary!$B$55*(Inputs!$B$21+Skills!Q9))/100)*(1+Inputs!$B$16/100)*(5000/(6000+Inputs!$B$42*(1-(Inputs!$B$19+((C412=TRUE)*(F412-Calc!F27)))/100)))*(1+(Inputs!$B$24+((C410=TRUE)*(F410-Calc!F25))+((C411=TRUE)*(F411-Calc!F26))+B424)/100)*(1+1.0*IF(C395=TRUE,F395,0)/100)*(1+(IF(Skills!A9="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394)</f>
        <v/>
      </c>
      <c r="L394">
        <f>K394*(MIN((Inputs!$B$22+1)+((C409=TRUE)*(F409-Calc!F24)),Inputs!$B$23+((C414=TRUE)*(F414-Calc!F29)))/100+(Inputs!$B$23+((C414=TRUE)*(F414-Calc!F29)))/100)/2</f>
        <v/>
      </c>
      <c r="M394">
        <f>L394*(1+(Inputs!$B$10+0+B423)/100)</f>
        <v/>
      </c>
      <c r="N394">
        <f>L394*(1-MIN((Inputs!$B$9+((C405=TRUE)*(F405-Calc!F20))+B418),100)/100)+M394*(MIN((Inputs!$B$9+((C405=TRUE)*(F405-Calc!F20))+B418),100)/100)</f>
        <v/>
      </c>
      <c r="O394">
        <f>IF(C394,H394*N394*IF(AND(Inputs!$B$38&lt;&gt;"pvp",Inputs!$B$43&gt;0),((Skills!G9*((R394-1)*IF(Skills!H9&gt;0,Skills!I9/Skills!H9,1)+IF(Skills!H9&gt;0,MIN(Skills!I9,MAX(0,MAX(0,Inputs!$B$43-B425)-((R394-1)*IF(Inputs!$B$38="pvp",15,MAX(0.1,Skills!D9-IF(Skills!E9=TRUE,Inputs!$B$32,0))))))/Skills!H9,1)))/Inputs!$B$43),G394*Q394)*IF(Inputs!$B$38="pvp",1,(1-Summary!$B$55)*(1)+Summary!$B$55*(MIN(Skills!R9,Inputs!$B$37))),0)</f>
        <v/>
      </c>
      <c r="P394">
        <f>IF(B426=0,0,O394/B426)</f>
        <v/>
      </c>
      <c r="Q394">
        <f>IFERROR(1/IF(Inputs!$B$38="pvp",15,MAX(0.1,Skills!D9-IF(Skills!E9=TRUE,Inputs!$B$32,0))),0)</f>
        <v/>
      </c>
      <c r="R394">
        <f>IF(AND(Inputs!$B$38&lt;&gt;"pvp",Inputs!$B$43&gt;0),IF(MAX(0,Inputs!$B$43-B425)&lt;=0,0,(INT(MAX(0,Inputs!$B$43-B425)/IF(Inputs!$B$38="pvp",15,MAX(0.1,Skills!D9-IF(Skills!E9=TRUE,Inputs!$B$32,0))))+1)),0)</f>
        <v/>
      </c>
      <c r="S394">
        <f>IFERROR(O394/N394,0)</f>
        <v/>
      </c>
    </row>
    <row r="395">
      <c r="A395">
        <f>Skills!A10</f>
        <v/>
      </c>
      <c r="B395">
        <f>Skills!B10</f>
        <v/>
      </c>
      <c r="C395">
        <f>Inputs!$B$3&gt;=100</f>
        <v/>
      </c>
      <c r="D395">
        <f>IF(Skills!C10=1,60+Inputs!$B$25+Inputs!$B$29,IF(Skills!C10=2,90+Inputs!$B$26+Inputs!$B$29,IF(Skills!C10=3,120+Inputs!$B$27+Inputs!$B$29,MAX(0,(Inputs!$B$3-100)*3)+Inputs!$B$28+Inputs!$B$29)))</f>
        <v/>
      </c>
      <c r="E395">
        <f>INDEX(FactorTable!$B$2:$Y$301, MATCH(ROUND(MIN(300,MAX(1,D395)),0), FactorTable!$A$2:$A$301,0), Skills!M10+1)</f>
        <v/>
      </c>
      <c r="F395">
        <f>IF(Skills!N10=TRUE,(Skills!L10/10)*(E395/1000),Skills!L10/10)+Skills!O10</f>
        <v/>
      </c>
      <c r="G395" t="inlineStr"/>
      <c r="H395" t="inlineStr"/>
      <c r="I395" t="inlineStr">
        <is>
          <t>1</t>
        </is>
      </c>
      <c r="J395" t="inlineStr"/>
      <c r="K395" t="inlineStr"/>
      <c r="L395" t="inlineStr"/>
      <c r="M395" t="inlineStr"/>
      <c r="N395" t="inlineStr"/>
      <c r="O395" t="inlineStr"/>
      <c r="P395" t="inlineStr"/>
      <c r="Q395" t="inlineStr"/>
      <c r="R395" t="inlineStr"/>
      <c r="S395" t="inlineStr"/>
    </row>
    <row r="396">
      <c r="A396">
        <f>Skills!A11</f>
        <v/>
      </c>
      <c r="B396">
        <f>Skills!B11</f>
        <v/>
      </c>
      <c r="C396">
        <f>Inputs!$B$3&gt;=60</f>
        <v/>
      </c>
      <c r="D396">
        <f>IF(Skills!C11=1,60+Inputs!$B$25+Inputs!$B$29,IF(Skills!C11=2,90+Inputs!$B$26+Inputs!$B$29,IF(Skills!C11=3,120+Inputs!$B$27+Inputs!$B$29,MAX(0,(Inputs!$B$3-100)*3)+Inputs!$B$28+Inputs!$B$29)))</f>
        <v/>
      </c>
      <c r="E396">
        <f>INDEX(FactorTable!$B$2:$Y$301, MATCH(ROUND(MIN(300,MAX(1,D396)),0), FactorTable!$A$2:$A$301,0), Skills!M11+1)</f>
        <v/>
      </c>
      <c r="F396">
        <f>IF(Skills!N11=TRUE,(Skills!L11/10)*(E396/1000),Skills!L11/10)+Skills!O11</f>
        <v/>
      </c>
      <c r="G396">
        <f>Skills!G11*IF(Skills!H11&gt;0,Skills!I11/Skills!H11,1)</f>
        <v/>
      </c>
      <c r="H396">
        <f>1-(1-Skills!J11/100)^Skills!K11</f>
        <v/>
      </c>
      <c r="I396" t="inlineStr">
        <is>
          <t>1</t>
        </is>
      </c>
      <c r="J396">
        <f>((Inputs!$B$6*(1+Inputs!$B$7/100))+(((Inputs!$B$12*(1+Inputs!$B$13/100))-(Inputs!$B$12*(1+Inputs!$B$13/100)))+0.25*(Inputs!$B$14-Inputs!$B$14))*(1+Inputs!$B$7/100))*(F396/100)</f>
        <v/>
      </c>
      <c r="K396">
        <f>J396*(1+((Inputs!$B$12*(1+Inputs!$B$13/100))*0.01+Inputs!$B$14*0.0025)/100)*(1+Inputs!$B$15/100)*(1+IF(Inputs!$B$38="pvp",0,(1-Summary!$B$55)*(Inputs!$B$20+0+Skills!P11)+Summary!$B$55*(Inputs!$B$21+Skills!Q11))/100)*(1+Inputs!$B$16/100)*(5000/(6000+Inputs!$B$42*(1-(Inputs!$B$19+((C412=TRUE)*(F412-Calc!F27)))/100)))*(1+(Inputs!$B$24+((C410=TRUE)*(F410-Calc!F25))+((C411=TRUE)*(F411-Calc!F26))+B424)/100)*(1+IF(C397=TRUE,F397,0)/100)*(1+(IF(Skills!A11="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396)</f>
        <v/>
      </c>
      <c r="L396">
        <f>K396*(MIN((Inputs!$B$22+1)+((C409=TRUE)*(F409-Calc!F24)),Inputs!$B$23+((C414=TRUE)*(F414-Calc!F29)))/100+(Inputs!$B$23+((C414=TRUE)*(F414-Calc!F29)))/100)/2</f>
        <v/>
      </c>
      <c r="M396">
        <f>L396*(1+(Inputs!$B$10+0+B423)/100)</f>
        <v/>
      </c>
      <c r="N396">
        <f>L396*(1-MIN((Inputs!$B$9+((C405=TRUE)*(F405-Calc!F20))+B418),100)/100)+M396*(MIN((Inputs!$B$9+((C405=TRUE)*(F405-Calc!F20))+B418),100)/100)</f>
        <v/>
      </c>
      <c r="O396">
        <f>IF(C396,H396*N396*IF(AND(Inputs!$B$38&lt;&gt;"pvp",Inputs!$B$43&gt;0),((Skills!G11*((R396-1)*IF(Skills!H11&gt;0,Skills!I11/Skills!H11,1)+IF(Skills!H11&gt;0,MIN(Skills!I11,MAX(0,MAX(0,Inputs!$B$43-B425)-((R396-1)*IF(Inputs!$B$38="pvp",15,MAX(0.1,Skills!D11-IF(Skills!E11=TRUE,Inputs!$B$32,0))))))/Skills!H11,1)))/Inputs!$B$43),G396*Q396)*IF(Inputs!$B$38="pvp",1,(1-Summary!$B$55)*(1)+Summary!$B$55*(MIN(Skills!R11,Inputs!$B$37))),0)</f>
        <v/>
      </c>
      <c r="P396">
        <f>IF(B426=0,0,O396/B426)</f>
        <v/>
      </c>
      <c r="Q396">
        <f>IFERROR(1/IF(Inputs!$B$38="pvp",15,MAX(0.1,Skills!D11-IF(Skills!E11=TRUE,Inputs!$B$32,0))),0)</f>
        <v/>
      </c>
      <c r="R396">
        <f>IF(AND(Inputs!$B$38&lt;&gt;"pvp",Inputs!$B$43&gt;0),IF(MAX(0,Inputs!$B$43-B425)&lt;=0,0,(INT(MAX(0,Inputs!$B$43-B425)/IF(Inputs!$B$38="pvp",15,MAX(0.1,Skills!D11-IF(Skills!E11=TRUE,Inputs!$B$32,0))))+1)),0)</f>
        <v/>
      </c>
      <c r="S396">
        <f>IFERROR(O396/N396,0)</f>
        <v/>
      </c>
    </row>
    <row r="397">
      <c r="A397">
        <f>Skills!A12</f>
        <v/>
      </c>
      <c r="B397">
        <f>Skills!B12</f>
        <v/>
      </c>
      <c r="C397">
        <f>Inputs!$B$3&gt;=110</f>
        <v/>
      </c>
      <c r="D397">
        <f>IF(Skills!C12=1,60+Inputs!$B$25+Inputs!$B$29,IF(Skills!C12=2,90+Inputs!$B$26+Inputs!$B$29,IF(Skills!C12=3,120+Inputs!$B$27+Inputs!$B$29,MAX(0,(Inputs!$B$3-100)*3)+Inputs!$B$28+Inputs!$B$29)))</f>
        <v/>
      </c>
      <c r="E397">
        <f>INDEX(FactorTable!$B$2:$Y$301, MATCH(ROUND(MIN(300,MAX(1,D397)),0), FactorTable!$A$2:$A$301,0), Skills!M12+1)</f>
        <v/>
      </c>
      <c r="F397">
        <f>IF(Skills!N12=TRUE,(Skills!L12/10)*(E397/1000),Skills!L12/10)+Skills!O12</f>
        <v/>
      </c>
      <c r="G397" t="inlineStr"/>
      <c r="H397" t="inlineStr"/>
      <c r="I397" t="inlineStr">
        <is>
          <t>1</t>
        </is>
      </c>
      <c r="J397" t="inlineStr"/>
      <c r="K397" t="inlineStr"/>
      <c r="L397" t="inlineStr"/>
      <c r="M397" t="inlineStr"/>
      <c r="N397" t="inlineStr"/>
      <c r="O397" t="inlineStr"/>
      <c r="P397" t="inlineStr"/>
      <c r="Q397" t="inlineStr"/>
      <c r="R397" t="inlineStr"/>
      <c r="S397" t="inlineStr"/>
    </row>
    <row r="398">
      <c r="A398">
        <f>Skills!A13</f>
        <v/>
      </c>
      <c r="B398">
        <f>Skills!B13</f>
        <v/>
      </c>
      <c r="C398">
        <f>Inputs!$B$3&gt;=74</f>
        <v/>
      </c>
      <c r="D398">
        <f>IF(Skills!C13=1,60+Inputs!$B$25+Inputs!$B$29,IF(Skills!C13=2,90+Inputs!$B$26+Inputs!$B$29,IF(Skills!C13=3,120+Inputs!$B$27+Inputs!$B$29,MAX(0,(Inputs!$B$3-100)*3)+Inputs!$B$28+Inputs!$B$29)))</f>
        <v/>
      </c>
      <c r="E398">
        <f>INDEX(FactorTable!$B$2:$Y$301, MATCH(ROUND(MIN(300,MAX(1,D398)),0), FactorTable!$A$2:$A$301,0), Skills!M13+1)</f>
        <v/>
      </c>
      <c r="F398">
        <f>IF(Skills!N13=TRUE,(Skills!L13/10)*(E398/1000),Skills!L13/10)+Skills!O13</f>
        <v/>
      </c>
      <c r="G398">
        <f>Skills!G13*IF(Skills!H13&gt;0,Skills!I13/Skills!H13,1)</f>
        <v/>
      </c>
      <c r="H398">
        <f>1-(1-Skills!J13/100)^Skills!K13</f>
        <v/>
      </c>
      <c r="I398" t="inlineStr">
        <is>
          <t>1</t>
        </is>
      </c>
      <c r="J398" t="inlineStr"/>
      <c r="K398" t="inlineStr"/>
      <c r="L398" t="inlineStr"/>
      <c r="M398" t="inlineStr"/>
      <c r="N398" t="inlineStr"/>
      <c r="O398" t="n">
        <v>0</v>
      </c>
      <c r="P398">
        <f>IF(B426=0,0,O398/B426)</f>
        <v/>
      </c>
      <c r="Q398" t="n">
        <v>0</v>
      </c>
      <c r="R398" t="n">
        <v>0</v>
      </c>
      <c r="S398">
        <f>IFERROR(O398/N398,0)</f>
        <v/>
      </c>
    </row>
    <row r="399">
      <c r="A399">
        <f>Skills!A14</f>
        <v/>
      </c>
      <c r="B399">
        <f>Skills!B14</f>
        <v/>
      </c>
      <c r="C399">
        <f>Inputs!$B$3&gt;=74</f>
        <v/>
      </c>
      <c r="D399">
        <f>IF(Skills!C14=1,60+Inputs!$B$25+Inputs!$B$29,IF(Skills!C14=2,90+Inputs!$B$26+Inputs!$B$29,IF(Skills!C14=3,120+Inputs!$B$27+Inputs!$B$29,MAX(0,(Inputs!$B$3-100)*3)+Inputs!$B$28+Inputs!$B$29)))</f>
        <v/>
      </c>
      <c r="E399">
        <f>INDEX(FactorTable!$B$2:$Y$301, MATCH(ROUND(MIN(300,MAX(1,D399)),0), FactorTable!$A$2:$A$301,0), Skills!M14+1)</f>
        <v/>
      </c>
      <c r="F399">
        <f>IF(Skills!N14=TRUE,(Skills!L14/10)*(E399/1000),Skills!L14/10)+Skills!O14</f>
        <v/>
      </c>
      <c r="G399">
        <f>Skills!G14*IF(Skills!H14&gt;0,Skills!I14/Skills!H14,1)</f>
        <v/>
      </c>
      <c r="H399">
        <f>1-(1-Skills!J14/100)^Skills!K14</f>
        <v/>
      </c>
      <c r="I399" t="inlineStr">
        <is>
          <t>1</t>
        </is>
      </c>
      <c r="J399" t="inlineStr"/>
      <c r="K399" t="inlineStr"/>
      <c r="L399" t="inlineStr"/>
      <c r="M399" t="inlineStr"/>
      <c r="N399" t="inlineStr"/>
      <c r="O399" t="n">
        <v>0</v>
      </c>
      <c r="P399">
        <f>IF(B426=0,0,O399/B426)</f>
        <v/>
      </c>
      <c r="Q399" t="n">
        <v>0</v>
      </c>
      <c r="R399" t="n">
        <v>0</v>
      </c>
      <c r="S399">
        <f>IFERROR(O399/N399,0)</f>
        <v/>
      </c>
    </row>
    <row r="400">
      <c r="A400">
        <f>Skills!A15</f>
        <v/>
      </c>
      <c r="B400">
        <f>Skills!B15</f>
        <v/>
      </c>
      <c r="C400">
        <f>Inputs!$B$3&gt;=117</f>
        <v/>
      </c>
      <c r="D400">
        <f>IF(Skills!C15=1,60+Inputs!$B$25+Inputs!$B$29,IF(Skills!C15=2,90+Inputs!$B$26+Inputs!$B$29,IF(Skills!C15=3,120+Inputs!$B$27+Inputs!$B$29,MAX(0,(Inputs!$B$3-100)*3)+Inputs!$B$28+Inputs!$B$29)))</f>
        <v/>
      </c>
      <c r="E400">
        <f>INDEX(FactorTable!$B$2:$Y$301, MATCH(ROUND(MIN(300,MAX(1,D400)),0), FactorTable!$A$2:$A$301,0), Skills!M15+1)</f>
        <v/>
      </c>
      <c r="F400">
        <f>IF(Skills!N15=TRUE,(Skills!L15/10)*(E400/1000),Skills!L15/10)+Skills!O15</f>
        <v/>
      </c>
      <c r="G400">
        <f>Skills!G15*IF(Skills!H15&gt;0,Skills!I15/Skills!H15,1)</f>
        <v/>
      </c>
      <c r="H400">
        <f>1-(1-Skills!J15/100)^Skills!K15</f>
        <v/>
      </c>
      <c r="I400" t="inlineStr">
        <is>
          <t>1</t>
        </is>
      </c>
      <c r="J400" t="inlineStr"/>
      <c r="K400" t="inlineStr"/>
      <c r="L400" t="inlineStr"/>
      <c r="M400" t="inlineStr"/>
      <c r="N400" t="inlineStr"/>
      <c r="O400" t="n">
        <v>0</v>
      </c>
      <c r="P400">
        <f>IF(B426=0,0,O400/B426)</f>
        <v/>
      </c>
      <c r="Q400">
        <f>IFERROR(1/IF(Inputs!$B$38="pvp",15,MAX(0.1,Skills!D15-IF(Skills!E15=TRUE,Inputs!$B$32,0))),0)</f>
        <v/>
      </c>
      <c r="R400">
        <f>IF(AND(Inputs!$B$38&lt;&gt;"pvp",Inputs!$B$43&gt;0),IF(Inputs!$B$43&lt;=0,0,(INT(Inputs!$B$43/IF(Inputs!$B$38="pvp",15,MAX(0.1,Skills!D15-IF(Skills!E15=TRUE,Inputs!$B$32,0))))+1)),0)</f>
        <v/>
      </c>
      <c r="S400">
        <f>IFERROR(O400/N400,0)</f>
        <v/>
      </c>
    </row>
    <row r="401">
      <c r="A401">
        <f>Skills!A16</f>
        <v/>
      </c>
      <c r="B401">
        <f>Skills!B16</f>
        <v/>
      </c>
      <c r="C401">
        <f>Inputs!$B$3&gt;=115</f>
        <v/>
      </c>
      <c r="D401">
        <f>IF(Skills!C16=1,60+Inputs!$B$25+Inputs!$B$29,IF(Skills!C16=2,90+Inputs!$B$26+Inputs!$B$29,IF(Skills!C16=3,120+Inputs!$B$27+Inputs!$B$29,MAX(0,(Inputs!$B$3-100)*3)+Inputs!$B$28+Inputs!$B$29)))</f>
        <v/>
      </c>
      <c r="E401">
        <f>INDEX(FactorTable!$B$2:$Y$301, MATCH(ROUND(MIN(300,MAX(1,D401)),0), FactorTable!$A$2:$A$301,0), Skills!M16+1)</f>
        <v/>
      </c>
      <c r="F401">
        <f>IF(Skills!N16=TRUE,(Skills!L16/10)*(E401/1000),Skills!L16/10)+Skills!O16</f>
        <v/>
      </c>
      <c r="G401">
        <f>Skills!G16*IF(Skills!H16&gt;0,Skills!I16/Skills!H16,1)</f>
        <v/>
      </c>
      <c r="H401">
        <f>1-(1-Skills!J16/100)^Skills!K16</f>
        <v/>
      </c>
      <c r="I401" t="inlineStr">
        <is>
          <t>1</t>
        </is>
      </c>
      <c r="J401" t="inlineStr"/>
      <c r="K401" t="inlineStr"/>
      <c r="L401" t="inlineStr"/>
      <c r="M401" t="inlineStr"/>
      <c r="N401" t="inlineStr"/>
      <c r="O401" t="n">
        <v>0</v>
      </c>
      <c r="P401">
        <f>IF(B426=0,0,O401/B426)</f>
        <v/>
      </c>
      <c r="Q401">
        <f>IFERROR(1/IF(Inputs!$B$38="pvp",15,MAX(0.1,Skills!D16-IF(Skills!E16=TRUE,Inputs!$B$32,0))),0)</f>
        <v/>
      </c>
      <c r="R401">
        <f>IF(AND(Inputs!$B$38&lt;&gt;"pvp",Inputs!$B$43&gt;0),IF(Inputs!$B$43&lt;=0,0,(INT(Inputs!$B$43/IF(Inputs!$B$38="pvp",15,MAX(0.1,Skills!D16-IF(Skills!E16=TRUE,Inputs!$B$32,0))))+1)),0)</f>
        <v/>
      </c>
      <c r="S401">
        <f>IFERROR(O401/N401,0)</f>
        <v/>
      </c>
    </row>
    <row r="402">
      <c r="A402">
        <f>Skills!A17</f>
        <v/>
      </c>
      <c r="B402">
        <f>Skills!B17</f>
        <v/>
      </c>
      <c r="C402">
        <f>Inputs!$B$3&gt;=66</f>
        <v/>
      </c>
      <c r="D402">
        <f>IF(Skills!C17=1,60+Inputs!$B$25+Inputs!$B$29,IF(Skills!C17=2,90+Inputs!$B$26+Inputs!$B$29,IF(Skills!C17=3,120+Inputs!$B$27+Inputs!$B$29,MAX(0,(Inputs!$B$3-100)*3)+Inputs!$B$28+Inputs!$B$29)))</f>
        <v/>
      </c>
      <c r="E402">
        <f>INDEX(FactorTable!$B$2:$Y$301, MATCH(ROUND(MIN(300,MAX(1,D402)),0), FactorTable!$A$2:$A$301,0), Skills!M17+1)</f>
        <v/>
      </c>
      <c r="F402">
        <f>IF(Skills!N17=TRUE,(Skills!L17/10)*(E402/1000),Skills!L17/10)+Skills!O17</f>
        <v/>
      </c>
      <c r="G402">
        <f>Skills!G17*IF(Skills!H17&gt;0,Skills!I17/Skills!H17,1)</f>
        <v/>
      </c>
      <c r="H402">
        <f>1-(1-Skills!J17/100)^Skills!K17</f>
        <v/>
      </c>
      <c r="I402" t="inlineStr">
        <is>
          <t>1</t>
        </is>
      </c>
      <c r="J402" t="inlineStr"/>
      <c r="K402" t="inlineStr"/>
      <c r="L402" t="inlineStr"/>
      <c r="M402" t="inlineStr"/>
      <c r="N402" t="inlineStr"/>
      <c r="O402" t="n">
        <v>0</v>
      </c>
      <c r="P402">
        <f>IF(B426=0,0,O402/B426)</f>
        <v/>
      </c>
      <c r="Q402" t="n">
        <v>0</v>
      </c>
      <c r="R402" t="n">
        <v>0</v>
      </c>
      <c r="S402">
        <f>IFERROR(O402/N402,0)</f>
        <v/>
      </c>
    </row>
    <row r="403">
      <c r="A403">
        <f>Skills!A18</f>
        <v/>
      </c>
      <c r="B403">
        <f>Skills!B18</f>
        <v/>
      </c>
      <c r="C403">
        <f>Inputs!$B$3&gt;=72</f>
        <v/>
      </c>
      <c r="D403">
        <f>IF(Skills!C18=1,60+Inputs!$B$25+Inputs!$B$29,IF(Skills!C18=2,90+Inputs!$B$26+Inputs!$B$29,IF(Skills!C18=3,120+Inputs!$B$27+Inputs!$B$29,MAX(0,(Inputs!$B$3-100)*3)+Inputs!$B$28+Inputs!$B$29)))</f>
        <v/>
      </c>
      <c r="E403">
        <f>INDEX(FactorTable!$B$2:$Y$301, MATCH(ROUND(MIN(300,MAX(1,D403)),0), FactorTable!$A$2:$A$301,0), Skills!M18+1)</f>
        <v/>
      </c>
      <c r="F403">
        <f>IF(Skills!N18=TRUE,(Skills!L18/10)*(E403/1000),Skills!L18/10)+Skills!O18</f>
        <v/>
      </c>
      <c r="G403">
        <f>Skills!G18*IF(Skills!H18&gt;0,Skills!I18/Skills!H18,1)</f>
        <v/>
      </c>
      <c r="H403">
        <f>1-(1-Skills!J18/100)^Skills!K18</f>
        <v/>
      </c>
      <c r="I403" t="inlineStr">
        <is>
          <t>1</t>
        </is>
      </c>
      <c r="J403" t="inlineStr"/>
      <c r="K403" t="inlineStr"/>
      <c r="L403" t="inlineStr"/>
      <c r="M403" t="inlineStr"/>
      <c r="N403" t="inlineStr"/>
      <c r="O403" t="n">
        <v>0</v>
      </c>
      <c r="P403">
        <f>IF(B426=0,0,O403/B426)</f>
        <v/>
      </c>
      <c r="Q403" t="n">
        <v>0</v>
      </c>
      <c r="R403" t="n">
        <v>0</v>
      </c>
      <c r="S403">
        <f>IFERROR(O403/N403,0)</f>
        <v/>
      </c>
    </row>
    <row r="404">
      <c r="A404">
        <f>Skills!A19</f>
        <v/>
      </c>
      <c r="B404">
        <f>Skills!B19</f>
        <v/>
      </c>
      <c r="C404">
        <f>TRUE</f>
        <v/>
      </c>
      <c r="D404">
        <f>IF(Skills!C19=1,60+Inputs!$B$25+Inputs!$B$29,IF(Skills!C19=2,90+Inputs!$B$26+Inputs!$B$29,IF(Skills!C19=3,120+Inputs!$B$27+Inputs!$B$29,MAX(0,(Inputs!$B$3-100)*3)+Inputs!$B$28+Inputs!$B$29)))</f>
        <v/>
      </c>
      <c r="E404">
        <f>INDEX(FactorTable!$B$2:$Y$301, MATCH(ROUND(MIN(300,MAX(1,D404)),0), FactorTable!$A$2:$A$301,0), Skills!M19+1)</f>
        <v/>
      </c>
      <c r="F404">
        <f>IF(Skills!N19=TRUE,(Skills!L19/10)*(E404/1000),Skills!L19/10)+Skills!O19</f>
        <v/>
      </c>
      <c r="G404">
        <f>Skills!G19*IF(Skills!H19&gt;0,Skills!I19/Skills!H19,1)</f>
        <v/>
      </c>
      <c r="H404">
        <f>1-(1-Skills!J19/100)^Skills!K19</f>
        <v/>
      </c>
      <c r="I404" t="inlineStr">
        <is>
          <t>1</t>
        </is>
      </c>
      <c r="J404" t="inlineStr"/>
      <c r="K404" t="inlineStr"/>
      <c r="L404" t="inlineStr"/>
      <c r="M404" t="inlineStr"/>
      <c r="N404" t="inlineStr"/>
      <c r="O404" t="n">
        <v>0</v>
      </c>
      <c r="P404">
        <f>IF(B426=0,0,O404/B426)</f>
        <v/>
      </c>
      <c r="Q404">
        <f>IFERROR(1/IF(Inputs!$B$38="pvp",15,MAX(0.1,Skills!D19-IF(Skills!E19=TRUE,Inputs!$B$32,0))),0)</f>
        <v/>
      </c>
      <c r="R404">
        <f>IF(AND(Inputs!$B$38&lt;&gt;"pvp",Inputs!$B$43&gt;0),IF(Inputs!$B$43&lt;=0,0,(INT(Inputs!$B$43/IF(Inputs!$B$38="pvp",15,MAX(0.1,Skills!D19-IF(Skills!E19=TRUE,Inputs!$B$32,0))))+1)),0)</f>
        <v/>
      </c>
      <c r="S404">
        <f>IFERROR(O404/N404,0)</f>
        <v/>
      </c>
    </row>
    <row r="405">
      <c r="A405">
        <f>Skills!A20</f>
        <v/>
      </c>
      <c r="B405">
        <f>Skills!B20</f>
        <v/>
      </c>
      <c r="C405">
        <f>Inputs!$B$3&gt;=15</f>
        <v/>
      </c>
      <c r="D405">
        <f>IF(Skills!C20=1,60+Inputs!$B$25+Inputs!$B$29,IF(Skills!C20=2,90+Inputs!$B$26+Inputs!$B$29,IF(Skills!C20=3,120+Inputs!$B$27+Inputs!$B$29,MAX(0,(Inputs!$B$3-100)*3)+Inputs!$B$28+Inputs!$B$29)))</f>
        <v/>
      </c>
      <c r="E405">
        <f>INDEX(FactorTable!$B$2:$Y$301, MATCH(ROUND(MIN(300,MAX(1,D405)),0), FactorTable!$A$2:$A$301,0), Skills!M20+1)</f>
        <v/>
      </c>
      <c r="F405">
        <f>IF(Skills!N20=TRUE,(Skills!L20/10)*(E405/1000),Skills!L20/10)+Skills!O20</f>
        <v/>
      </c>
      <c r="G405">
        <f>Skills!G20*IF(Skills!H20&gt;0,Skills!I20/Skills!H20,1)</f>
        <v/>
      </c>
      <c r="H405">
        <f>1-(1-Skills!J20/100)^Skills!K20</f>
        <v/>
      </c>
      <c r="I405" t="inlineStr">
        <is>
          <t>1</t>
        </is>
      </c>
      <c r="J405" t="inlineStr"/>
      <c r="K405" t="inlineStr"/>
      <c r="L405" t="inlineStr"/>
      <c r="M405" t="inlineStr"/>
      <c r="N405" t="inlineStr"/>
      <c r="O405" t="n">
        <v>0</v>
      </c>
      <c r="P405">
        <f>IF(B426=0,0,O405/B426)</f>
        <v/>
      </c>
      <c r="Q405" t="n">
        <v>0</v>
      </c>
      <c r="R405" t="n">
        <v>0</v>
      </c>
      <c r="S405">
        <f>IFERROR(O405/N405,0)</f>
        <v/>
      </c>
    </row>
    <row r="406">
      <c r="A406">
        <f>Skills!A21</f>
        <v/>
      </c>
      <c r="B406">
        <f>Skills!B21</f>
        <v/>
      </c>
      <c r="C406">
        <f>Inputs!$B$3&gt;=10</f>
        <v/>
      </c>
      <c r="D406">
        <f>IF(Skills!C21=1,60+Inputs!$B$25+Inputs!$B$29,IF(Skills!C21=2,90+Inputs!$B$26+Inputs!$B$29,IF(Skills!C21=3,120+Inputs!$B$27+Inputs!$B$29,MAX(0,(Inputs!$B$3-100)*3)+Inputs!$B$28+Inputs!$B$29)))</f>
        <v/>
      </c>
      <c r="E406">
        <f>INDEX(FactorTable!$B$2:$Y$301, MATCH(ROUND(MIN(300,MAX(1,D406)),0), FactorTable!$A$2:$A$301,0), Skills!M21+1)</f>
        <v/>
      </c>
      <c r="F406">
        <f>IF(Skills!N21=TRUE,(Skills!L21/10)*(E406/1000),Skills!L21/10)+Skills!O21</f>
        <v/>
      </c>
      <c r="G406">
        <f>Skills!G21*IF(Skills!H21&gt;0,Skills!I21/Skills!H21,1)</f>
        <v/>
      </c>
      <c r="H406">
        <f>1-(1-Skills!J21/100)^Skills!K21</f>
        <v/>
      </c>
      <c r="I406" t="inlineStr">
        <is>
          <t>1</t>
        </is>
      </c>
      <c r="J406" t="inlineStr"/>
      <c r="K406" t="inlineStr"/>
      <c r="L406" t="inlineStr"/>
      <c r="M406" t="inlineStr"/>
      <c r="N406" t="inlineStr"/>
      <c r="O406" t="n">
        <v>0</v>
      </c>
      <c r="P406">
        <f>IF(B426=0,0,O406/B426)</f>
        <v/>
      </c>
      <c r="Q406" t="n">
        <v>0</v>
      </c>
      <c r="R406" t="n">
        <v>0</v>
      </c>
      <c r="S406">
        <f>IFERROR(O406/N406,0)</f>
        <v/>
      </c>
    </row>
    <row r="407">
      <c r="A407">
        <f>Skills!A22</f>
        <v/>
      </c>
      <c r="B407">
        <f>Skills!B22</f>
        <v/>
      </c>
      <c r="C407">
        <f>Inputs!$B$3&gt;=33</f>
        <v/>
      </c>
      <c r="D407">
        <f>IF(Skills!C22=1,60+Inputs!$B$25+Inputs!$B$29,IF(Skills!C22=2,90+Inputs!$B$26+Inputs!$B$29,IF(Skills!C22=3,120+Inputs!$B$27+Inputs!$B$29,MAX(0,(Inputs!$B$3-100)*3)+Inputs!$B$28+Inputs!$B$29)))</f>
        <v/>
      </c>
      <c r="E407">
        <f>INDEX(FactorTable!$B$2:$Y$301, MATCH(ROUND(MIN(300,MAX(1,D407)),0), FactorTable!$A$2:$A$301,0), Skills!M22+1)</f>
        <v/>
      </c>
      <c r="F407">
        <f>IF(Skills!N22=TRUE,(Skills!L22/10)*(E407/1000),Skills!L22/10)+Skills!O22</f>
        <v/>
      </c>
      <c r="G407">
        <f>Skills!G22*IF(Skills!H22&gt;0,Skills!I22/Skills!H22,1)</f>
        <v/>
      </c>
      <c r="H407">
        <f>1-(1-Skills!J22/100)^Skills!K22</f>
        <v/>
      </c>
      <c r="I407" t="inlineStr">
        <is>
          <t>1</t>
        </is>
      </c>
      <c r="J407" t="inlineStr"/>
      <c r="K407" t="inlineStr"/>
      <c r="L407" t="inlineStr"/>
      <c r="M407" t="inlineStr"/>
      <c r="N407" t="inlineStr"/>
      <c r="O407" t="n">
        <v>0</v>
      </c>
      <c r="P407">
        <f>IF(B426=0,0,O407/B426)</f>
        <v/>
      </c>
      <c r="Q407" t="n">
        <v>0</v>
      </c>
      <c r="R407" t="n">
        <v>0</v>
      </c>
      <c r="S407">
        <f>IFERROR(O407/N407,0)</f>
        <v/>
      </c>
    </row>
    <row r="408">
      <c r="A408">
        <f>Skills!A23</f>
        <v/>
      </c>
      <c r="B408">
        <f>Skills!B23</f>
        <v/>
      </c>
      <c r="C408">
        <f>Inputs!$B$3&gt;=38</f>
        <v/>
      </c>
      <c r="D408">
        <f>IF(Skills!C23=1,60+Inputs!$B$25+Inputs!$B$29,IF(Skills!C23=2,90+Inputs!$B$26+Inputs!$B$29,IF(Skills!C23=3,120+Inputs!$B$27+Inputs!$B$29,MAX(0,(Inputs!$B$3-100)*3)+Inputs!$B$28+Inputs!$B$29)))</f>
        <v/>
      </c>
      <c r="E408">
        <f>INDEX(FactorTable!$B$2:$Y$301, MATCH(ROUND(MIN(300,MAX(1,D408)),0), FactorTable!$A$2:$A$301,0), Skills!M23+1)</f>
        <v/>
      </c>
      <c r="F408">
        <f>IF(Skills!N23=TRUE,(Skills!L23/10)*(E408/1000),Skills!L23/10)+Skills!O23</f>
        <v/>
      </c>
      <c r="G408">
        <f>Skills!G23*IF(Skills!H23&gt;0,Skills!I23/Skills!H23,1)</f>
        <v/>
      </c>
      <c r="H408">
        <f>1-(1-Skills!J23/100)^Skills!K23</f>
        <v/>
      </c>
      <c r="I408" t="inlineStr">
        <is>
          <t>1</t>
        </is>
      </c>
      <c r="J408" t="inlineStr"/>
      <c r="K408" t="inlineStr"/>
      <c r="L408" t="inlineStr"/>
      <c r="M408" t="inlineStr"/>
      <c r="N408" t="inlineStr"/>
      <c r="O408" t="n">
        <v>0</v>
      </c>
      <c r="P408">
        <f>IF(B426=0,0,O408/B426)</f>
        <v/>
      </c>
      <c r="Q408" t="n">
        <v>0</v>
      </c>
      <c r="R408" t="n">
        <v>0</v>
      </c>
      <c r="S408">
        <f>IFERROR(O408/N408,0)</f>
        <v/>
      </c>
    </row>
    <row r="409">
      <c r="A409">
        <f>Skills!A24</f>
        <v/>
      </c>
      <c r="B409">
        <f>Skills!B24</f>
        <v/>
      </c>
      <c r="C409">
        <f>Inputs!$B$3&gt;=43</f>
        <v/>
      </c>
      <c r="D409">
        <f>IF(Skills!C24=1,60+Inputs!$B$25+Inputs!$B$29,IF(Skills!C24=2,90+Inputs!$B$26+Inputs!$B$29,IF(Skills!C24=3,120+Inputs!$B$27+Inputs!$B$29,MAX(0,(Inputs!$B$3-100)*3)+Inputs!$B$28+Inputs!$B$29)))</f>
        <v/>
      </c>
      <c r="E409">
        <f>INDEX(FactorTable!$B$2:$Y$301, MATCH(ROUND(MIN(300,MAX(1,D409)),0), FactorTable!$A$2:$A$301,0), Skills!M24+1)</f>
        <v/>
      </c>
      <c r="F409">
        <f>IF(Skills!N24=TRUE,(Skills!L24/10)*(E409/1000),Skills!L24/10)+Skills!O24</f>
        <v/>
      </c>
      <c r="G409">
        <f>Skills!G24*IF(Skills!H24&gt;0,Skills!I24/Skills!H24,1)</f>
        <v/>
      </c>
      <c r="H409">
        <f>1-(1-Skills!J24/100)^Skills!K24</f>
        <v/>
      </c>
      <c r="I409" t="inlineStr">
        <is>
          <t>1</t>
        </is>
      </c>
      <c r="J409" t="inlineStr"/>
      <c r="K409" t="inlineStr"/>
      <c r="L409" t="inlineStr"/>
      <c r="M409" t="inlineStr"/>
      <c r="N409" t="inlineStr"/>
      <c r="O409" t="n">
        <v>0</v>
      </c>
      <c r="P409">
        <f>IF(B426=0,0,O409/B426)</f>
        <v/>
      </c>
      <c r="Q409" t="n">
        <v>0</v>
      </c>
      <c r="R409" t="n">
        <v>0</v>
      </c>
      <c r="S409">
        <f>IFERROR(O409/N409,0)</f>
        <v/>
      </c>
    </row>
    <row r="410">
      <c r="A410">
        <f>Skills!A25</f>
        <v/>
      </c>
      <c r="B410">
        <f>Skills!B25</f>
        <v/>
      </c>
      <c r="C410">
        <f>Inputs!$B$3&gt;=75</f>
        <v/>
      </c>
      <c r="D410">
        <f>IF(Skills!C25=1,60+Inputs!$B$25+Inputs!$B$29,IF(Skills!C25=2,90+Inputs!$B$26+Inputs!$B$29,IF(Skills!C25=3,120+Inputs!$B$27+Inputs!$B$29,MAX(0,(Inputs!$B$3-100)*3)+Inputs!$B$28+Inputs!$B$29)))</f>
        <v/>
      </c>
      <c r="E410">
        <f>INDEX(FactorTable!$B$2:$Y$301, MATCH(ROUND(MIN(300,MAX(1,D410)),0), FactorTable!$A$2:$A$301,0), Skills!M25+1)</f>
        <v/>
      </c>
      <c r="F410">
        <f>IF(Skills!N25=TRUE,(Skills!L25/10)*(E410/1000),Skills!L25/10)+Skills!O25</f>
        <v/>
      </c>
      <c r="G410">
        <f>Skills!G25*IF(Skills!H25&gt;0,Skills!I25/Skills!H25,1)</f>
        <v/>
      </c>
      <c r="H410">
        <f>1-(1-Skills!J25/100)^Skills!K25</f>
        <v/>
      </c>
      <c r="I410" t="inlineStr">
        <is>
          <t>1</t>
        </is>
      </c>
      <c r="J410" t="inlineStr"/>
      <c r="K410" t="inlineStr"/>
      <c r="L410" t="inlineStr"/>
      <c r="M410" t="inlineStr"/>
      <c r="N410" t="inlineStr"/>
      <c r="O410" t="n">
        <v>0</v>
      </c>
      <c r="P410">
        <f>IF(B426=0,0,O410/B426)</f>
        <v/>
      </c>
      <c r="Q410" t="n">
        <v>0</v>
      </c>
      <c r="R410" t="n">
        <v>0</v>
      </c>
      <c r="S410">
        <f>IFERROR(O410/N410,0)</f>
        <v/>
      </c>
    </row>
    <row r="411">
      <c r="A411">
        <f>Skills!A26</f>
        <v/>
      </c>
      <c r="B411">
        <f>Skills!B26</f>
        <v/>
      </c>
      <c r="C411">
        <f>Inputs!$B$3&gt;=125</f>
        <v/>
      </c>
      <c r="D411">
        <f>IF(Skills!C26=1,60+Inputs!$B$25+Inputs!$B$29,IF(Skills!C26=2,90+Inputs!$B$26+Inputs!$B$29,IF(Skills!C26=3,120+Inputs!$B$27+Inputs!$B$29,MAX(0,(Inputs!$B$3-100)*3)+Inputs!$B$28+Inputs!$B$29)))</f>
        <v/>
      </c>
      <c r="E411">
        <f>INDEX(FactorTable!$B$2:$Y$301, MATCH(ROUND(MIN(300,MAX(1,D411)),0), FactorTable!$A$2:$A$301,0), Skills!M26+1)</f>
        <v/>
      </c>
      <c r="F411">
        <f>IF(Skills!N26=TRUE,(Skills!L26/10)*(E411/1000),Skills!L26/10)+Skills!O26</f>
        <v/>
      </c>
      <c r="G411">
        <f>Skills!G26*IF(Skills!H26&gt;0,Skills!I26/Skills!H26,1)</f>
        <v/>
      </c>
      <c r="H411">
        <f>1-(1-Skills!J26/100)^Skills!K26</f>
        <v/>
      </c>
      <c r="I411" t="inlineStr">
        <is>
          <t>1</t>
        </is>
      </c>
      <c r="J411" t="inlineStr"/>
      <c r="K411" t="inlineStr"/>
      <c r="L411" t="inlineStr"/>
      <c r="M411" t="inlineStr"/>
      <c r="N411" t="inlineStr"/>
      <c r="O411" t="n">
        <v>0</v>
      </c>
      <c r="P411">
        <f>IF(B426=0,0,O411/B426)</f>
        <v/>
      </c>
      <c r="Q411" t="n">
        <v>0</v>
      </c>
      <c r="R411" t="n">
        <v>0</v>
      </c>
      <c r="S411">
        <f>IFERROR(O411/N411,0)</f>
        <v/>
      </c>
    </row>
    <row r="412">
      <c r="A412">
        <f>Skills!A27</f>
        <v/>
      </c>
      <c r="B412">
        <f>Skills!B27</f>
        <v/>
      </c>
      <c r="C412">
        <f>Inputs!$B$3&gt;=125</f>
        <v/>
      </c>
      <c r="D412">
        <f>IF(Skills!C27=1,60+Inputs!$B$25+Inputs!$B$29,IF(Skills!C27=2,90+Inputs!$B$26+Inputs!$B$29,IF(Skills!C27=3,120+Inputs!$B$27+Inputs!$B$29,MAX(0,(Inputs!$B$3-100)*3)+Inputs!$B$28+Inputs!$B$29)))</f>
        <v/>
      </c>
      <c r="E412">
        <f>INDEX(FactorTable!$B$2:$Y$301, MATCH(ROUND(MIN(300,MAX(1,D412)),0), FactorTable!$A$2:$A$301,0), Skills!M27+1)</f>
        <v/>
      </c>
      <c r="F412">
        <f>IF(Skills!N27=TRUE,(Skills!L27/10)*(E412/1000),Skills!L27/10)+Skills!O27</f>
        <v/>
      </c>
      <c r="G412">
        <f>Skills!G27*IF(Skills!H27&gt;0,Skills!I27/Skills!H27,1)</f>
        <v/>
      </c>
      <c r="H412">
        <f>1-(1-Skills!J27/100)^Skills!K27</f>
        <v/>
      </c>
      <c r="I412" t="inlineStr">
        <is>
          <t>1</t>
        </is>
      </c>
      <c r="J412" t="inlineStr"/>
      <c r="K412" t="inlineStr"/>
      <c r="L412" t="inlineStr"/>
      <c r="M412" t="inlineStr"/>
      <c r="N412" t="inlineStr"/>
      <c r="O412" t="n">
        <v>0</v>
      </c>
      <c r="P412">
        <f>IF(B426=0,0,O412/B426)</f>
        <v/>
      </c>
      <c r="Q412" t="n">
        <v>0</v>
      </c>
      <c r="R412" t="n">
        <v>0</v>
      </c>
      <c r="S412">
        <f>IFERROR(O412/N412,0)</f>
        <v/>
      </c>
    </row>
    <row r="413">
      <c r="A413">
        <f>Skills!A28</f>
        <v/>
      </c>
      <c r="B413">
        <f>Skills!B28</f>
        <v/>
      </c>
      <c r="C413">
        <f>Inputs!$B$3&gt;=120</f>
        <v/>
      </c>
      <c r="D413">
        <f>IF(Skills!C28=1,60+Inputs!$B$25+Inputs!$B$29,IF(Skills!C28=2,90+Inputs!$B$26+Inputs!$B$29,IF(Skills!C28=3,120+Inputs!$B$27+Inputs!$B$29,MAX(0,(Inputs!$B$3-100)*3)+Inputs!$B$28+Inputs!$B$29)))</f>
        <v/>
      </c>
      <c r="E413">
        <f>INDEX(FactorTable!$B$2:$Y$301, MATCH(ROUND(MIN(300,MAX(1,D413)),0), FactorTable!$A$2:$A$301,0), Skills!M28+1)</f>
        <v/>
      </c>
      <c r="F413">
        <f>IF(Skills!N28=TRUE,(Skills!L28/10)*(E413/1000),Skills!L28/10)+Skills!O28</f>
        <v/>
      </c>
      <c r="G413">
        <f>Skills!G28*IF(Skills!H28&gt;0,Skills!I28/Skills!H28,1)</f>
        <v/>
      </c>
      <c r="H413">
        <f>1-(1-Skills!J28/100)^Skills!K28</f>
        <v/>
      </c>
      <c r="I413" t="inlineStr">
        <is>
          <t>1</t>
        </is>
      </c>
      <c r="J413" t="inlineStr"/>
      <c r="K413" t="inlineStr"/>
      <c r="L413" t="inlineStr"/>
      <c r="M413" t="inlineStr"/>
      <c r="N413" t="inlineStr"/>
      <c r="O413" t="n">
        <v>0</v>
      </c>
      <c r="P413">
        <f>IF(B426=0,0,O413/B426)</f>
        <v/>
      </c>
      <c r="Q413" t="n">
        <v>0</v>
      </c>
      <c r="R413" t="n">
        <v>0</v>
      </c>
      <c r="S413">
        <f>IFERROR(O413/N413,0)</f>
        <v/>
      </c>
    </row>
    <row r="414">
      <c r="A414">
        <f>Skills!A29</f>
        <v/>
      </c>
      <c r="B414">
        <f>Skills!B29</f>
        <v/>
      </c>
      <c r="C414">
        <f>Inputs!$B$3&gt;=120</f>
        <v/>
      </c>
      <c r="D414">
        <f>IF(Skills!C29=1,60+Inputs!$B$25+Inputs!$B$29,IF(Skills!C29=2,90+Inputs!$B$26+Inputs!$B$29,IF(Skills!C29=3,120+Inputs!$B$27+Inputs!$B$29,MAX(0,(Inputs!$B$3-100)*3)+Inputs!$B$28+Inputs!$B$29)))</f>
        <v/>
      </c>
      <c r="E414">
        <f>INDEX(FactorTable!$B$2:$Y$301, MATCH(ROUND(MIN(300,MAX(1,D414)),0), FactorTable!$A$2:$A$301,0), Skills!M29+1)</f>
        <v/>
      </c>
      <c r="F414">
        <f>IF(Skills!N29=TRUE,(Skills!L29/10)*(E414/1000),Skills!L29/10)+Skills!O29</f>
        <v/>
      </c>
      <c r="G414">
        <f>Skills!G29*IF(Skills!H29&gt;0,Skills!I29/Skills!H29,1)</f>
        <v/>
      </c>
      <c r="H414">
        <f>1-(1-Skills!J29/100)^Skills!K29</f>
        <v/>
      </c>
      <c r="I414" t="inlineStr">
        <is>
          <t>1</t>
        </is>
      </c>
      <c r="J414" t="inlineStr"/>
      <c r="K414" t="inlineStr"/>
      <c r="L414" t="inlineStr"/>
      <c r="M414" t="inlineStr"/>
      <c r="N414" t="inlineStr"/>
      <c r="O414" t="n">
        <v>0</v>
      </c>
      <c r="P414">
        <f>IF(B426=0,0,O414/B426)</f>
        <v/>
      </c>
      <c r="Q414" t="n">
        <v>0</v>
      </c>
      <c r="R414" t="n">
        <v>0</v>
      </c>
      <c r="S414">
        <f>IFERROR(O414/N414,0)</f>
        <v/>
      </c>
    </row>
    <row r="415">
      <c r="A415">
        <f>Skills!A30</f>
        <v/>
      </c>
      <c r="B415">
        <f>Skills!B30</f>
        <v/>
      </c>
      <c r="C415">
        <f>Inputs!$B$3&gt;=45</f>
        <v/>
      </c>
      <c r="D415">
        <f>IF(Skills!C30=1,60+Inputs!$B$25+Inputs!$B$29,IF(Skills!C30=2,90+Inputs!$B$26+Inputs!$B$29,IF(Skills!C30=3,120+Inputs!$B$27+Inputs!$B$29,MAX(0,(Inputs!$B$3-100)*3)+Inputs!$B$28+Inputs!$B$29)))</f>
        <v/>
      </c>
      <c r="E415">
        <f>INDEX(FactorTable!$B$2:$Y$301, MATCH(ROUND(MIN(300,MAX(1,D415)),0), FactorTable!$A$2:$A$301,0), Skills!M30+1)</f>
        <v/>
      </c>
      <c r="F415">
        <f>IF(Skills!N30=TRUE,(Skills!L30/10)*(E415/1000),Skills!L30/10)+Skills!O30</f>
        <v/>
      </c>
      <c r="G415">
        <f>Skills!G30*IF(Skills!H30&gt;0,Skills!I30/Skills!H30,1)</f>
        <v/>
      </c>
      <c r="H415">
        <f>1-(1-Skills!J30/100)^Skills!K30</f>
        <v/>
      </c>
      <c r="I415" t="inlineStr">
        <is>
          <t>1</t>
        </is>
      </c>
      <c r="J415" t="inlineStr"/>
      <c r="K415" t="inlineStr"/>
      <c r="L415" t="inlineStr"/>
      <c r="M415" t="inlineStr"/>
      <c r="N415" t="inlineStr"/>
      <c r="O415" t="n">
        <v>0</v>
      </c>
      <c r="P415">
        <f>IF(B426=0,0,O415/B426)</f>
        <v/>
      </c>
      <c r="Q415" t="n">
        <v>0</v>
      </c>
      <c r="R415" t="n">
        <v>0</v>
      </c>
      <c r="S415">
        <f>IFERROR(O415/N415,0)</f>
        <v/>
      </c>
    </row>
    <row r="417">
      <c r="A417" t="inlineStr">
        <is>
          <t>Attack% Bucket Multiplier</t>
        </is>
      </c>
      <c r="B417">
        <f>(1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f>
        <v/>
      </c>
    </row>
    <row r="418">
      <c r="A418" t="inlineStr">
        <is>
          <t>Global Crit Rate Bonus %</t>
        </is>
      </c>
      <c r="B418">
        <f>(C401=TRUE)*20*IF(AND(Inputs!$B$38&lt;&gt;"pvp",Inputs!$B$43&gt;0),(((R401-1)*(Skills!T16*(1+Inputs!$B$34/100))+MIN((Skills!T16*(1+Inputs!$B$34/100)),MAX(0,Inputs!$B$43-((R401-1)*Skills!D16))))/Inputs!$B$43),IF(Inputs!$B$38="pvp",MIN((Skills!T16*(1+Inputs!$B$34/100)),15)/15,(Skills!T16*(1+Inputs!$B$34/100))/Skills!D16))</f>
        <v/>
      </c>
    </row>
    <row r="419">
      <c r="A419" t="inlineStr">
        <is>
          <t>Attack Speed Buff Bonus %</t>
        </is>
      </c>
      <c r="B419">
        <f>((C404=TRUE)*F404*IF(AND(Inputs!$B$38&lt;&gt;"pvp",Inputs!$B$43&gt;0),(((R404-1)*(Skills!T19*(1+Inputs!$B$34/100))+MIN((Skills!T19*(1+Inputs!$B$34/100)),MAX(0,Inputs!$B$43-((R404-1)*Skills!D19))))/Inputs!$B$43),IF(Inputs!$B$38="pvp",MIN((Skills!T19*(1+Inputs!$B$34/100)),15)/15,(Skills!T19*(1+Inputs!$B$34/100))/Skills!D19)))</f>
        <v/>
      </c>
    </row>
    <row r="420">
      <c r="A420" t="inlineStr">
        <is>
          <t>Actions Per Second</t>
        </is>
      </c>
      <c r="B420">
        <f>1+MIN(150,150*(1-(1-(Inputs!$B$11+((C406=TRUE)*(F406-Calc!F21))+((C407=TRUE)*(F407-Calc!F22)))/150)*(1-B419/150)))/100</f>
        <v/>
      </c>
    </row>
    <row r="421">
      <c r="A421" t="inlineStr">
        <is>
          <t>Skill + Buff Cast Rate</t>
        </is>
      </c>
      <c r="B421">
        <f>IF(AND(Inputs!$B$38&lt;&gt;"pvp",Inputs!$B$43&gt;0),SUMPRODUCT((Skills!E2:E30=TRUE)*(C387:C415=TRUE)*R387:R415*Skills!F2:F30)/Inputs!$B$43,SUMPRODUCT((Skills!E2:E30=TRUE)*(C387:C415=TRUE)*Q387:Q415*Skills!F2:F30))</f>
        <v/>
      </c>
    </row>
    <row r="422">
      <c r="A422" t="inlineStr">
        <is>
          <t>Arrow Stream Casts Per Second</t>
        </is>
      </c>
      <c r="B422">
        <f>MAX(0,B420-B421)</f>
        <v/>
      </c>
    </row>
    <row r="423">
      <c r="A423" t="inlineStr">
        <is>
          <t>Global Critical Damage Bonus % (Sharp Eyes + Concentration)</t>
        </is>
      </c>
      <c r="B423">
        <f>(C401=TRUE)*F401*IF(AND(Inputs!$B$38&lt;&gt;"pvp",Inputs!$B$43&gt;0),(((R401-1)*(Skills!T16*(1+Inputs!$B$34/100))+MIN((Skills!T16*(1+Inputs!$B$34/100)),MAX(0,Inputs!$B$43-((R401-1)*Skills!D16))))/Inputs!$B$43),IF(Inputs!$B$38="pvp",MIN((Skills!T16*(1+Inputs!$B$34/100)),15)/15,(Skills!T16*(1+Inputs!$B$34/100))/Skills!D16))+(C402=TRUE)*30</f>
        <v/>
      </c>
    </row>
    <row r="424">
      <c r="A424" t="inlineStr">
        <is>
          <t>Global Final Damage Bonus % (Mortal Blow)</t>
        </is>
      </c>
      <c r="B424">
        <f>(C403=TRUE)*F403</f>
        <v/>
      </c>
    </row>
    <row r="425">
      <c r="A425" t="inlineStr">
        <is>
          <t>Buff-Casting Startup Delay (s, fixed-duration only)</t>
        </is>
      </c>
      <c r="B425">
        <f>IF(AND(Inputs!$B$38&lt;&gt;"pvp",Inputs!$B$43&gt;0),SUMPRODUCT((Skills!T2:T30&gt;0)*(Skills!E2:E30=TRUE)*(C387:C415=TRUE))/B420,0)</f>
        <v/>
      </c>
    </row>
    <row r="426">
      <c r="A426" s="5" t="inlineStr">
        <is>
          <t>TOTAL DPS</t>
        </is>
      </c>
      <c r="B426" s="5">
        <f>SUM(O387:O415)</f>
        <v/>
      </c>
    </row>
    <row r="429">
      <c r="A429" s="5" t="inlineStr">
        <is>
          <t>Stat: MAX_DAMAGE %</t>
        </is>
      </c>
    </row>
    <row r="430">
      <c r="A430" s="9" t="inlineStr">
        <is>
          <t>Key</t>
        </is>
      </c>
      <c r="B430" s="9" t="inlineStr">
        <is>
          <t>Name</t>
        </is>
      </c>
      <c r="C430" s="9" t="inlineStr">
        <is>
          <t>Unlocked</t>
        </is>
      </c>
      <c r="D430" s="9" t="inlineStr">
        <is>
          <t>InputLevel</t>
        </is>
      </c>
      <c r="E430" s="9" t="inlineStr">
        <is>
          <t>Factor</t>
        </is>
      </c>
      <c r="F430" s="9" t="inlineStr">
        <is>
          <t>CoefficientPercent</t>
        </is>
      </c>
      <c r="G430" s="9" t="inlineStr">
        <is>
          <t>EffectiveHits</t>
        </is>
      </c>
      <c r="H430" s="9" t="inlineStr">
        <is>
          <t>ProcProbability</t>
        </is>
      </c>
      <c r="I430" s="9" t="inlineStr">
        <is>
          <t>MapleHeroMultiplier</t>
        </is>
      </c>
      <c r="J430" s="9" t="inlineStr">
        <is>
          <t>BaseDamage</t>
        </is>
      </c>
      <c r="K430" s="9" t="inlineStr">
        <is>
          <t>BaseHitDamage</t>
        </is>
      </c>
      <c r="L430" s="9" t="inlineStr">
        <is>
          <t>NonCritAvg</t>
        </is>
      </c>
      <c r="M430" s="9" t="inlineStr">
        <is>
          <t>CritAvg</t>
        </is>
      </c>
      <c r="N430" s="9" t="inlineStr">
        <is>
          <t>ExpectedDamage(perHit)</t>
        </is>
      </c>
      <c r="O430" s="9" t="inlineStr">
        <is>
          <t>DPS</t>
        </is>
      </c>
      <c r="P430" s="9" t="inlineStr">
        <is>
          <t>% of Total</t>
        </is>
      </c>
      <c r="Q430" s="9" t="inlineStr">
        <is>
          <t>InvCooldown</t>
        </is>
      </c>
      <c r="R430" s="9" t="inlineStr">
        <is>
          <t>CastsInFight</t>
        </is>
      </c>
      <c r="S430" s="9" t="inlineStr">
        <is>
          <t>HitRate(perSec)</t>
        </is>
      </c>
      <c r="U430" t="inlineStr">
        <is>
          <t>helpers</t>
        </is>
      </c>
    </row>
    <row r="431">
      <c r="A431">
        <f>Skills!A2</f>
        <v/>
      </c>
      <c r="B431">
        <f>Skills!B2</f>
        <v/>
      </c>
      <c r="C431">
        <f>Inputs!$B$3&gt;=100</f>
        <v/>
      </c>
      <c r="D431" t="inlineStr"/>
      <c r="E431" t="inlineStr"/>
      <c r="F431">
        <f>U433+Skills!O2</f>
        <v/>
      </c>
      <c r="G431">
        <f>Skills!G2*IF(Skills!H2&gt;0,Skills!I2/Skills!H2,1)</f>
        <v/>
      </c>
      <c r="H431">
        <f>1-(1-Skills!J2/100)^Skills!K2</f>
        <v/>
      </c>
      <c r="I431" t="inlineStr">
        <is>
          <t>1</t>
        </is>
      </c>
      <c r="J431">
        <f>((Inputs!$B$6*(1+Inputs!$B$7/100))+(((Inputs!$B$12*(1+Inputs!$B$13/100))-(Inputs!$B$12*(1+Inputs!$B$13/100)))+0.25*(Inputs!$B$14-Inputs!$B$14))*(1+Inputs!$B$7/100))*(F431/100)</f>
        <v/>
      </c>
      <c r="K431">
        <f>J431*(1+((Inputs!$B$12*(1+Inputs!$B$13/100))*0.01+Inputs!$B$14*0.0025)/100)*(1+Inputs!$B$15/100)*(1+IF(Inputs!$B$38="pvp",0,(1-Summary!$B$55)*(Inputs!$B$20+0+Skills!P2)+Summary!$B$55*(Inputs!$B$21+Skills!Q2))/100)*(1+Inputs!$B$16/100)*(5000/(6000+Inputs!$B$42*(1-(Inputs!$B$19+((C456=TRUE)*(F456-Calc!F27)))/100)))*(1+(Inputs!$B$24+((C454=TRUE)*(F454-Calc!F25))+((C455=TRUE)*(F455-Calc!F26))+B468)/100)*(1+(IF(Skills!A2="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431)</f>
        <v/>
      </c>
      <c r="L431">
        <f>K431*(MIN(Inputs!$B$22+((C453=TRUE)*(F453-Calc!F24)),(Inputs!$B$23+1)+((C458=TRUE)*(F458-Calc!F29)))/100+((Inputs!$B$23+1)+((C458=TRUE)*(F458-Calc!F29)))/100)/2</f>
        <v/>
      </c>
      <c r="M431">
        <f>L431*(1+(Inputs!$B$10+0+B467)/100)</f>
        <v/>
      </c>
      <c r="N431">
        <f>L431*(1-MIN((Inputs!$B$9+((C449=TRUE)*(F449-Calc!F20))+B462),100)/100)+M431*(MIN((Inputs!$B$9+((C449=TRUE)*(F449-Calc!F20))+B462),100)/100)</f>
        <v/>
      </c>
      <c r="O431">
        <f>IF(C431,Skills!G2*N431*B466*IF(Inputs!$B$38="pvp",1,(1-Summary!$B$55)*(1)+Summary!$B$55*(MIN((6+Inputs!$B$33),Inputs!$B$37))),0)</f>
        <v/>
      </c>
      <c r="P431">
        <f>IF(B470=0,0,O431/B470)</f>
        <v/>
      </c>
      <c r="Q431" t="n">
        <v>0</v>
      </c>
      <c r="R431" t="n">
        <v>0</v>
      </c>
      <c r="S431">
        <f>IFERROR(O431/N431,0)</f>
        <v/>
      </c>
      <c r="U431">
        <f>MAX(0,(Inputs!$B$3-100)*3)+Inputs!$B$28+Inputs!$B$29</f>
        <v/>
      </c>
    </row>
    <row r="432">
      <c r="A432">
        <f>Skills!A3</f>
        <v/>
      </c>
      <c r="B432">
        <f>Skills!B3</f>
        <v/>
      </c>
      <c r="C432">
        <f>Inputs!$B$3&gt;=50</f>
        <v/>
      </c>
      <c r="D432">
        <f>IF(Skills!C3=1,60+Inputs!$B$25+Inputs!$B$29,IF(Skills!C3=2,90+Inputs!$B$26+Inputs!$B$29,IF(Skills!C3=3,120+Inputs!$B$27+Inputs!$B$29,MAX(0,(Inputs!$B$3-100)*3)+Inputs!$B$28+Inputs!$B$29)))</f>
        <v/>
      </c>
      <c r="E432">
        <f>INDEX(FactorTable!$B$2:$Y$301, MATCH(ROUND(MIN(300,MAX(1,D432)),0), FactorTable!$A$2:$A$301,0), Skills!M3+1)</f>
        <v/>
      </c>
      <c r="F432">
        <f>IF(Skills!N3=TRUE,(Skills!L3/10)*(E432/1000),Skills!L3/10)+Skills!O3</f>
        <v/>
      </c>
      <c r="G432" t="inlineStr"/>
      <c r="H432" t="inlineStr"/>
      <c r="I432" t="inlineStr">
        <is>
          <t>1</t>
        </is>
      </c>
      <c r="J432" t="inlineStr"/>
      <c r="K432" t="inlineStr"/>
      <c r="L432" t="inlineStr"/>
      <c r="M432" t="inlineStr"/>
      <c r="N432" t="inlineStr"/>
      <c r="O432" t="inlineStr"/>
      <c r="P432" t="inlineStr"/>
      <c r="Q432" t="inlineStr"/>
      <c r="R432" t="inlineStr"/>
      <c r="S432" t="inlineStr"/>
      <c r="U432">
        <f>INDEX(FactorTable!$B$2:$Y$301, MATCH(ROUND(MIN(300,MAX(1,U431)),0), FactorTable!$A$2:$A$301,0), 22)</f>
        <v/>
      </c>
    </row>
    <row r="433">
      <c r="A433">
        <f>Skills!A4</f>
        <v/>
      </c>
      <c r="B433">
        <f>Skills!B4</f>
        <v/>
      </c>
      <c r="C433">
        <f>Inputs!$B$3&gt;=105</f>
        <v/>
      </c>
      <c r="D433">
        <f>IF(Skills!C4=1,60+Inputs!$B$25+Inputs!$B$29,IF(Skills!C4=2,90+Inputs!$B$26+Inputs!$B$29,IF(Skills!C4=3,120+Inputs!$B$27+Inputs!$B$29,MAX(0,(Inputs!$B$3-100)*3)+Inputs!$B$28+Inputs!$B$29)))</f>
        <v/>
      </c>
      <c r="E433">
        <f>INDEX(FactorTable!$B$2:$Y$301, MATCH(ROUND(MIN(300,MAX(1,D433)),0), FactorTable!$A$2:$A$301,0), Skills!M4+1)</f>
        <v/>
      </c>
      <c r="F433">
        <f>IF(Skills!N4=TRUE,(Skills!L4/10)*(E433/1000),Skills!L4/10)+Skills!O4</f>
        <v/>
      </c>
      <c r="G433" t="inlineStr"/>
      <c r="H433" t="inlineStr"/>
      <c r="I433" t="inlineStr">
        <is>
          <t>1</t>
        </is>
      </c>
      <c r="J433" t="inlineStr"/>
      <c r="K433" t="inlineStr"/>
      <c r="L433" t="inlineStr"/>
      <c r="M433" t="inlineStr"/>
      <c r="N433" t="inlineStr"/>
      <c r="O433" t="inlineStr"/>
      <c r="P433" t="inlineStr"/>
      <c r="Q433" t="inlineStr"/>
      <c r="R433" t="inlineStr"/>
      <c r="S433" t="inlineStr"/>
      <c r="U433">
        <f>290*U432/1000</f>
        <v/>
      </c>
    </row>
    <row r="434">
      <c r="A434">
        <f>Skills!A5</f>
        <v/>
      </c>
      <c r="B434">
        <f>Skills!B5</f>
        <v/>
      </c>
      <c r="C434">
        <f>Inputs!$B$3&gt;=35</f>
        <v/>
      </c>
      <c r="D434">
        <f>IF(Skills!C5=1,60+Inputs!$B$25+Inputs!$B$29,IF(Skills!C5=2,90+Inputs!$B$26+Inputs!$B$29,IF(Skills!C5=3,120+Inputs!$B$27+Inputs!$B$29,MAX(0,(Inputs!$B$3-100)*3)+Inputs!$B$28+Inputs!$B$29)))</f>
        <v/>
      </c>
      <c r="E434">
        <f>INDEX(FactorTable!$B$2:$Y$301, MATCH(ROUND(MIN(300,MAX(1,D434)),0), FactorTable!$A$2:$A$301,0), Skills!M5+1)</f>
        <v/>
      </c>
      <c r="F434">
        <f>IF(Skills!N5=TRUE,(Skills!L5/10)*(E434/1000),Skills!L5/10)+Skills!O5</f>
        <v/>
      </c>
      <c r="G434">
        <f>Skills!G5*IF(Skills!H5&gt;0,Skills!I5/Skills!H5,1)</f>
        <v/>
      </c>
      <c r="H434">
        <f>1-(1-Skills!J5/100)^Skills!K5</f>
        <v/>
      </c>
      <c r="I434" t="inlineStr">
        <is>
          <t>1</t>
        </is>
      </c>
      <c r="J434">
        <f>((Inputs!$B$6*(1+Inputs!$B$7/100))+(((Inputs!$B$12*(1+Inputs!$B$13/100))-(Inputs!$B$12*(1+Inputs!$B$13/100)))+0.25*(Inputs!$B$14-Inputs!$B$14))*(1+Inputs!$B$7/100))*(F434/100)</f>
        <v/>
      </c>
      <c r="K434">
        <f>J434*(1+((Inputs!$B$12*(1+Inputs!$B$13/100))*0.01+Inputs!$B$14*0.0025)/100)*(1+Inputs!$B$15/100)*(1+IF(Inputs!$B$38="pvp",0,(1-Summary!$B$55)*(Inputs!$B$20+0+Skills!P5)+Summary!$B$55*(Inputs!$B$21+Skills!Q5))/100)*(1+Inputs!$B$16/100)*(5000/(6000+Inputs!$B$42*(1-(Inputs!$B$19+((C456=TRUE)*(F456-Calc!F27)))/100)))*(1+(Inputs!$B$24+((C454=TRUE)*(F454-Calc!F25))+((C455=TRUE)*(F455-Calc!F26))+B468)/100)*(1+4.0*IF(C439=TRUE,F439,0)/100)*(1+(IF(Skills!A5="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434)</f>
        <v/>
      </c>
      <c r="L434">
        <f>K434*(MIN(Inputs!$B$22+((C453=TRUE)*(F453-Calc!F24)),(Inputs!$B$23+1)+((C458=TRUE)*(F458-Calc!F29)))/100+((Inputs!$B$23+1)+((C458=TRUE)*(F458-Calc!F29)))/100)/2</f>
        <v/>
      </c>
      <c r="M434">
        <f>L434*(1+(Inputs!$B$10+0+B467)/100)</f>
        <v/>
      </c>
      <c r="N434">
        <f>L434*(1-MIN((Inputs!$B$9+((C449=TRUE)*(F449-Calc!F20))+B462),100)/100)+M434*(MIN((Inputs!$B$9+((C449=TRUE)*(F449-Calc!F20))+B462),100)/100)</f>
        <v/>
      </c>
      <c r="O434">
        <f>IF(C434,H434*N434*IF(AND(Inputs!$B$38&lt;&gt;"pvp",Inputs!$B$43&gt;0),((Skills!G5*((R434-1)*IF(Skills!H5&gt;0,Skills!I5/Skills!H5,1)+IF(Skills!H5&gt;0,MIN(Skills!I5,MAX(0,MAX(0,Inputs!$B$43-B469)-((R434-1)*IF(Inputs!$B$38="pvp",15,MAX(0.1,Skills!D5-IF(Skills!E5=TRUE,Inputs!$B$32,0))))))/Skills!H5,1)))/Inputs!$B$43),G434*Q434)*IF(Inputs!$B$38="pvp",1,(1-Summary!$B$55)*(1)+Summary!$B$55*(MIN(Skills!R5,Inputs!$B$37))),0)</f>
        <v/>
      </c>
      <c r="P434">
        <f>IF(B470=0,0,O434/B470)</f>
        <v/>
      </c>
      <c r="Q434">
        <f>IFERROR(1/IF(Inputs!$B$38="pvp",15,MAX(0.1,Skills!D5-IF(Skills!E5=TRUE,Inputs!$B$32,0))),0)</f>
        <v/>
      </c>
      <c r="R434">
        <f>IF(AND(Inputs!$B$38&lt;&gt;"pvp",Inputs!$B$43&gt;0),IF(MAX(0,Inputs!$B$43-B469)&lt;=0,0,(INT(MAX(0,Inputs!$B$43-B469)/IF(Inputs!$B$38="pvp",15,MAX(0.1,Skills!D5-IF(Skills!E5=TRUE,Inputs!$B$32,0))))+1)),0)</f>
        <v/>
      </c>
      <c r="S434">
        <f>IFERROR(O434/N434,0)</f>
        <v/>
      </c>
    </row>
    <row r="435">
      <c r="A435">
        <f>Skills!A6</f>
        <v/>
      </c>
      <c r="B435">
        <f>Skills!B6</f>
        <v/>
      </c>
      <c r="C435">
        <f>Inputs!$B$3&gt;=40</f>
        <v/>
      </c>
      <c r="D435">
        <f>IF(Skills!C6=1,60+Inputs!$B$25+Inputs!$B$29,IF(Skills!C6=2,90+Inputs!$B$26+Inputs!$B$29,IF(Skills!C6=3,120+Inputs!$B$27+Inputs!$B$29,MAX(0,(Inputs!$B$3-100)*3)+Inputs!$B$28+Inputs!$B$29)))</f>
        <v/>
      </c>
      <c r="E435">
        <f>INDEX(FactorTable!$B$2:$Y$301, MATCH(ROUND(MIN(300,MAX(1,D435)),0), FactorTable!$A$2:$A$301,0), Skills!M6+1)</f>
        <v/>
      </c>
      <c r="F435">
        <f>IF(Skills!N6=TRUE,(Skills!L6/10)*(E435/1000),Skills!L6/10)+Skills!O6</f>
        <v/>
      </c>
      <c r="G435">
        <f>Skills!G6*IF(Skills!H6&gt;0,Skills!I6/Skills!H6,1)</f>
        <v/>
      </c>
      <c r="H435">
        <f>1-(1-Skills!J6/100)^Skills!K6</f>
        <v/>
      </c>
      <c r="I435" t="inlineStr">
        <is>
          <t>1</t>
        </is>
      </c>
      <c r="J435">
        <f>((Inputs!$B$6*(1+Inputs!$B$7/100))+(((Inputs!$B$12*(1+Inputs!$B$13/100))-(Inputs!$B$12*(1+Inputs!$B$13/100)))+0.25*(Inputs!$B$14-Inputs!$B$14))*(1+Inputs!$B$7/100))*(F435/100)</f>
        <v/>
      </c>
      <c r="K435">
        <f>J435*(1+((Inputs!$B$12*(1+Inputs!$B$13/100))*0.01+Inputs!$B$14*0.0025)/100)*(1+Inputs!$B$15/100)*(1+IF(Inputs!$B$38="pvp",0,(1-Summary!$B$55)*(Inputs!$B$20+0+Skills!P6)+Summary!$B$55*(Inputs!$B$21+Skills!Q6))/100)*(1+Inputs!$B$16/100)*(5000/(6000+Inputs!$B$42*(1-(Inputs!$B$19+((C456=TRUE)*(F456-Calc!F27)))/100)))*(1+(Inputs!$B$24+((C454=TRUE)*(F454-Calc!F25))+((C455=TRUE)*(F455-Calc!F26))+B468)/100)*(1+IF(C436=TRUE,F436,0)/100)*(1+(IF(Skills!A6="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435)</f>
        <v/>
      </c>
      <c r="L435">
        <f>K435*(MIN(Inputs!$B$22+((C453=TRUE)*(F453-Calc!F24)),(Inputs!$B$23+1)+((C458=TRUE)*(F458-Calc!F29)))/100+((Inputs!$B$23+1)+((C458=TRUE)*(F458-Calc!F29)))/100)/2</f>
        <v/>
      </c>
      <c r="M435">
        <f>L435*(1+(Inputs!$B$10+0+B467)/100)</f>
        <v/>
      </c>
      <c r="N435">
        <f>L435*(1-MIN((Inputs!$B$9+((C449=TRUE)*(F449-Calc!F20))+B462),100)/100)+M435*(MIN((Inputs!$B$9+((C449=TRUE)*(F449-Calc!F20))+B462),100)/100)</f>
        <v/>
      </c>
      <c r="O435">
        <f>IF(C435,H435*N435*IF(AND(Inputs!$B$38&lt;&gt;"pvp",Inputs!$B$43&gt;0),((Skills!G6*((R435-1)*IF(Skills!H6&gt;0,Skills!I6/Skills!H6,1)+IF(Skills!H6&gt;0,MIN(Skills!I6,MAX(0,MAX(0,Inputs!$B$43-B469)-((R435-1)*IF(Inputs!$B$38="pvp",15,MAX(0.1,Skills!D6-IF(Skills!E6=TRUE,Inputs!$B$32,0))))))/Skills!H6,1)))/Inputs!$B$43),G435*Q435)*IF(Inputs!$B$38="pvp",1,(1-Summary!$B$55)*(1)+Summary!$B$55*(MIN(Skills!R6,Inputs!$B$37))),0)</f>
        <v/>
      </c>
      <c r="P435">
        <f>IF(B470=0,0,O435/B470)</f>
        <v/>
      </c>
      <c r="Q435">
        <f>IFERROR(1/IF(Inputs!$B$38="pvp",15,MAX(0.1,Skills!D6-IF(Skills!E6=TRUE,Inputs!$B$32,0))),0)</f>
        <v/>
      </c>
      <c r="R435">
        <f>IF(AND(Inputs!$B$38&lt;&gt;"pvp",Inputs!$B$43&gt;0),IF(MAX(0,Inputs!$B$43-B469)&lt;=0,0,(INT(MAX(0,Inputs!$B$43-B469)/IF(Inputs!$B$38="pvp",15,MAX(0.1,Skills!D6-IF(Skills!E6=TRUE,Inputs!$B$32,0))))+1)),0)</f>
        <v/>
      </c>
      <c r="S435">
        <f>IFERROR(O435/N435,0)</f>
        <v/>
      </c>
    </row>
    <row r="436">
      <c r="A436">
        <f>Skills!A7</f>
        <v/>
      </c>
      <c r="B436">
        <f>Skills!B7</f>
        <v/>
      </c>
      <c r="C436">
        <f>Inputs!$B$3&gt;=107</f>
        <v/>
      </c>
      <c r="D436">
        <f>IF(Skills!C7=1,60+Inputs!$B$25+Inputs!$B$29,IF(Skills!C7=2,90+Inputs!$B$26+Inputs!$B$29,IF(Skills!C7=3,120+Inputs!$B$27+Inputs!$B$29,MAX(0,(Inputs!$B$3-100)*3)+Inputs!$B$28+Inputs!$B$29)))</f>
        <v/>
      </c>
      <c r="E436">
        <f>INDEX(FactorTable!$B$2:$Y$301, MATCH(ROUND(MIN(300,MAX(1,D436)),0), FactorTable!$A$2:$A$301,0), Skills!M7+1)</f>
        <v/>
      </c>
      <c r="F436">
        <f>IF(Skills!N7=TRUE,(Skills!L7/10)*(E436/1000),Skills!L7/10)+Skills!O7</f>
        <v/>
      </c>
      <c r="G436" t="inlineStr"/>
      <c r="H436" t="inlineStr"/>
      <c r="I436" t="inlineStr">
        <is>
          <t>1</t>
        </is>
      </c>
      <c r="J436" t="inlineStr"/>
      <c r="K436" t="inlineStr"/>
      <c r="L436" t="inlineStr"/>
      <c r="M436" t="inlineStr"/>
      <c r="N436" t="inlineStr"/>
      <c r="O436" t="inlineStr"/>
      <c r="P436" t="inlineStr"/>
      <c r="Q436" t="inlineStr"/>
      <c r="R436" t="inlineStr"/>
      <c r="S436" t="inlineStr"/>
    </row>
    <row r="437">
      <c r="A437">
        <f>Skills!A8</f>
        <v/>
      </c>
      <c r="B437">
        <f>Skills!B8</f>
        <v/>
      </c>
      <c r="C437">
        <f>Inputs!$B$3&gt;=69</f>
        <v/>
      </c>
      <c r="D437">
        <f>IF(Skills!C8=1,60+Inputs!$B$25+Inputs!$B$29,IF(Skills!C8=2,90+Inputs!$B$26+Inputs!$B$29,IF(Skills!C8=3,120+Inputs!$B$27+Inputs!$B$29,MAX(0,(Inputs!$B$3-100)*3)+Inputs!$B$28+Inputs!$B$29)))</f>
        <v/>
      </c>
      <c r="E437">
        <f>INDEX(FactorTable!$B$2:$Y$301, MATCH(ROUND(MIN(300,MAX(1,D437)),0), FactorTable!$A$2:$A$301,0), Skills!M8+1)</f>
        <v/>
      </c>
      <c r="F437">
        <f>IF(Skills!N8=TRUE,(Skills!L8/10)*(E437/1000),Skills!L8/10)+Skills!O8</f>
        <v/>
      </c>
      <c r="G437">
        <f>Skills!G8*IF(Skills!H8&gt;0,Skills!I8/Skills!H8,1)</f>
        <v/>
      </c>
      <c r="H437">
        <f>1-(1-Skills!J8/100)^Skills!K8</f>
        <v/>
      </c>
      <c r="I437" t="inlineStr">
        <is>
          <t>1</t>
        </is>
      </c>
      <c r="J437">
        <f>((Inputs!$B$6*(1+Inputs!$B$7/100))+(((Inputs!$B$12*(1+Inputs!$B$13/100))-(Inputs!$B$12*(1+Inputs!$B$13/100)))+0.25*(Inputs!$B$14-Inputs!$B$14))*(1+Inputs!$B$7/100))*(F437/100)</f>
        <v/>
      </c>
      <c r="K437">
        <f>J437*(1+((Inputs!$B$12*(1+Inputs!$B$13/100))*0.01+Inputs!$B$14*0.0025)/100)*(1+Inputs!$B$15/100)*(1+IF(Inputs!$B$38="pvp",0,(1-Summary!$B$55)*(Inputs!$B$20+0+Skills!P8)+Summary!$B$55*(Inputs!$B$21+Skills!Q8))/100)*(1+Inputs!$B$16/100)*(5000/(6000+Inputs!$B$42*(1-(Inputs!$B$19+((C456=TRUE)*(F456-Calc!F27)))/100)))*(1+(Inputs!$B$24+((C454=TRUE)*(F454-Calc!F25))+((C455=TRUE)*(F455-Calc!F26))+B468)/100)*(1+1.2*IF(C439=TRUE,F439,0)/100)*(1+(IF(Skills!A8="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437)</f>
        <v/>
      </c>
      <c r="L437">
        <f>K437*(MIN(Inputs!$B$22+((C453=TRUE)*(F453-Calc!F24)),(Inputs!$B$23+1)+((C458=TRUE)*(F458-Calc!F29)))/100+((Inputs!$B$23+1)+((C458=TRUE)*(F458-Calc!F29)))/100)/2</f>
        <v/>
      </c>
      <c r="M437">
        <f>L437*(1+(Inputs!$B$10+0+B467)/100)</f>
        <v/>
      </c>
      <c r="N437">
        <f>L437*(1-MIN((Inputs!$B$9+((C449=TRUE)*(F449-Calc!F20))+B462),100)/100)+M437*(MIN((Inputs!$B$9+((C449=TRUE)*(F449-Calc!F20))+B462),100)/100)</f>
        <v/>
      </c>
      <c r="O437">
        <f>IF(C437,H437*N437*IF(AND(Inputs!$B$38&lt;&gt;"pvp",Inputs!$B$43&gt;0),((Skills!G8*((R437-1)*IF(Skills!H8&gt;0,Skills!I8/Skills!H8,1)+IF(Skills!H8&gt;0,MIN(Skills!I8,MAX(0,MAX(0,Inputs!$B$43-B469)-((R437-1)*IF(Inputs!$B$38="pvp",15,MAX(0.1,Skills!D8-IF(Skills!E8=TRUE,Inputs!$B$32,0))))))/Skills!H8,1)))/Inputs!$B$43),G437*Q437)*IF(Inputs!$B$38="pvp",1,(1-Summary!$B$55)*(1)+Summary!$B$55*(MIN(Skills!R8,Inputs!$B$37))),0)</f>
        <v/>
      </c>
      <c r="P437">
        <f>IF(B470=0,0,O437/B470)</f>
        <v/>
      </c>
      <c r="Q437">
        <f>IFERROR(1/IF(Inputs!$B$38="pvp",15,MAX(0.1,Skills!D8-IF(Skills!E8=TRUE,Inputs!$B$32,0))),0)</f>
        <v/>
      </c>
      <c r="R437">
        <f>IF(AND(Inputs!$B$38&lt;&gt;"pvp",Inputs!$B$43&gt;0),IF(MAX(0,Inputs!$B$43-B469)&lt;=0,0,(INT(MAX(0,Inputs!$B$43-B469)/IF(Inputs!$B$38="pvp",15,MAX(0.1,Skills!D8-IF(Skills!E8=TRUE,Inputs!$B$32,0))))+1)),0)</f>
        <v/>
      </c>
      <c r="S437">
        <f>IFERROR(O437/N437,0)</f>
        <v/>
      </c>
    </row>
    <row r="438">
      <c r="A438">
        <f>Skills!A9</f>
        <v/>
      </c>
      <c r="B438">
        <f>Skills!B9</f>
        <v/>
      </c>
      <c r="C438">
        <f>Inputs!$B$3&gt;=63</f>
        <v/>
      </c>
      <c r="D438">
        <f>IF(Skills!C9=1,60+Inputs!$B$25+Inputs!$B$29,IF(Skills!C9=2,90+Inputs!$B$26+Inputs!$B$29,IF(Skills!C9=3,120+Inputs!$B$27+Inputs!$B$29,MAX(0,(Inputs!$B$3-100)*3)+Inputs!$B$28+Inputs!$B$29)))</f>
        <v/>
      </c>
      <c r="E438">
        <f>INDEX(FactorTable!$B$2:$Y$301, MATCH(ROUND(MIN(300,MAX(1,D438)),0), FactorTable!$A$2:$A$301,0), Skills!M9+1)</f>
        <v/>
      </c>
      <c r="F438">
        <f>IF(Skills!N9=TRUE,(Skills!L9/10)*(E438/1000),Skills!L9/10)+Skills!O9</f>
        <v/>
      </c>
      <c r="G438">
        <f>Skills!G9*IF(Skills!H9&gt;0,Skills!I9/Skills!H9,1)</f>
        <v/>
      </c>
      <c r="H438">
        <f>1-(1-Skills!J9/100)^Skills!K9</f>
        <v/>
      </c>
      <c r="I438" t="inlineStr">
        <is>
          <t>1</t>
        </is>
      </c>
      <c r="J438">
        <f>((Inputs!$B$6*(1+Inputs!$B$7/100))+(((Inputs!$B$12*(1+Inputs!$B$13/100))-(Inputs!$B$12*(1+Inputs!$B$13/100)))+0.25*(Inputs!$B$14-Inputs!$B$14))*(1+Inputs!$B$7/100))*(F438/100)</f>
        <v/>
      </c>
      <c r="K438">
        <f>J438*(1+((Inputs!$B$12*(1+Inputs!$B$13/100))*0.01+Inputs!$B$14*0.0025)/100)*(1+Inputs!$B$15/100)*(1+IF(Inputs!$B$38="pvp",0,(1-Summary!$B$55)*(Inputs!$B$20+0+Skills!P9)+Summary!$B$55*(Inputs!$B$21+Skills!Q9))/100)*(1+Inputs!$B$16/100)*(5000/(6000+Inputs!$B$42*(1-(Inputs!$B$19+((C456=TRUE)*(F456-Calc!F27)))/100)))*(1+(Inputs!$B$24+((C454=TRUE)*(F454-Calc!F25))+((C455=TRUE)*(F455-Calc!F26))+B468)/100)*(1+1.0*IF(C439=TRUE,F439,0)/100)*(1+(IF(Skills!A9="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438)</f>
        <v/>
      </c>
      <c r="L438">
        <f>K438*(MIN(Inputs!$B$22+((C453=TRUE)*(F453-Calc!F24)),(Inputs!$B$23+1)+((C458=TRUE)*(F458-Calc!F29)))/100+((Inputs!$B$23+1)+((C458=TRUE)*(F458-Calc!F29)))/100)/2</f>
        <v/>
      </c>
      <c r="M438">
        <f>L438*(1+(Inputs!$B$10+0+B467)/100)</f>
        <v/>
      </c>
      <c r="N438">
        <f>L438*(1-MIN((Inputs!$B$9+((C449=TRUE)*(F449-Calc!F20))+B462),100)/100)+M438*(MIN((Inputs!$B$9+((C449=TRUE)*(F449-Calc!F20))+B462),100)/100)</f>
        <v/>
      </c>
      <c r="O438">
        <f>IF(C438,H438*N438*IF(AND(Inputs!$B$38&lt;&gt;"pvp",Inputs!$B$43&gt;0),((Skills!G9*((R438-1)*IF(Skills!H9&gt;0,Skills!I9/Skills!H9,1)+IF(Skills!H9&gt;0,MIN(Skills!I9,MAX(0,MAX(0,Inputs!$B$43-B469)-((R438-1)*IF(Inputs!$B$38="pvp",15,MAX(0.1,Skills!D9-IF(Skills!E9=TRUE,Inputs!$B$32,0))))))/Skills!H9,1)))/Inputs!$B$43),G438*Q438)*IF(Inputs!$B$38="pvp",1,(1-Summary!$B$55)*(1)+Summary!$B$55*(MIN(Skills!R9,Inputs!$B$37))),0)</f>
        <v/>
      </c>
      <c r="P438">
        <f>IF(B470=0,0,O438/B470)</f>
        <v/>
      </c>
      <c r="Q438">
        <f>IFERROR(1/IF(Inputs!$B$38="pvp",15,MAX(0.1,Skills!D9-IF(Skills!E9=TRUE,Inputs!$B$32,0))),0)</f>
        <v/>
      </c>
      <c r="R438">
        <f>IF(AND(Inputs!$B$38&lt;&gt;"pvp",Inputs!$B$43&gt;0),IF(MAX(0,Inputs!$B$43-B469)&lt;=0,0,(INT(MAX(0,Inputs!$B$43-B469)/IF(Inputs!$B$38="pvp",15,MAX(0.1,Skills!D9-IF(Skills!E9=TRUE,Inputs!$B$32,0))))+1)),0)</f>
        <v/>
      </c>
      <c r="S438">
        <f>IFERROR(O438/N438,0)</f>
        <v/>
      </c>
    </row>
    <row r="439">
      <c r="A439">
        <f>Skills!A10</f>
        <v/>
      </c>
      <c r="B439">
        <f>Skills!B10</f>
        <v/>
      </c>
      <c r="C439">
        <f>Inputs!$B$3&gt;=100</f>
        <v/>
      </c>
      <c r="D439">
        <f>IF(Skills!C10=1,60+Inputs!$B$25+Inputs!$B$29,IF(Skills!C10=2,90+Inputs!$B$26+Inputs!$B$29,IF(Skills!C10=3,120+Inputs!$B$27+Inputs!$B$29,MAX(0,(Inputs!$B$3-100)*3)+Inputs!$B$28+Inputs!$B$29)))</f>
        <v/>
      </c>
      <c r="E439">
        <f>INDEX(FactorTable!$B$2:$Y$301, MATCH(ROUND(MIN(300,MAX(1,D439)),0), FactorTable!$A$2:$A$301,0), Skills!M10+1)</f>
        <v/>
      </c>
      <c r="F439">
        <f>IF(Skills!N10=TRUE,(Skills!L10/10)*(E439/1000),Skills!L10/10)+Skills!O10</f>
        <v/>
      </c>
      <c r="G439" t="inlineStr"/>
      <c r="H439" t="inlineStr"/>
      <c r="I439" t="inlineStr">
        <is>
          <t>1</t>
        </is>
      </c>
      <c r="J439" t="inlineStr"/>
      <c r="K439" t="inlineStr"/>
      <c r="L439" t="inlineStr"/>
      <c r="M439" t="inlineStr"/>
      <c r="N439" t="inlineStr"/>
      <c r="O439" t="inlineStr"/>
      <c r="P439" t="inlineStr"/>
      <c r="Q439" t="inlineStr"/>
      <c r="R439" t="inlineStr"/>
      <c r="S439" t="inlineStr"/>
    </row>
    <row r="440">
      <c r="A440">
        <f>Skills!A11</f>
        <v/>
      </c>
      <c r="B440">
        <f>Skills!B11</f>
        <v/>
      </c>
      <c r="C440">
        <f>Inputs!$B$3&gt;=60</f>
        <v/>
      </c>
      <c r="D440">
        <f>IF(Skills!C11=1,60+Inputs!$B$25+Inputs!$B$29,IF(Skills!C11=2,90+Inputs!$B$26+Inputs!$B$29,IF(Skills!C11=3,120+Inputs!$B$27+Inputs!$B$29,MAX(0,(Inputs!$B$3-100)*3)+Inputs!$B$28+Inputs!$B$29)))</f>
        <v/>
      </c>
      <c r="E440">
        <f>INDEX(FactorTable!$B$2:$Y$301, MATCH(ROUND(MIN(300,MAX(1,D440)),0), FactorTable!$A$2:$A$301,0), Skills!M11+1)</f>
        <v/>
      </c>
      <c r="F440">
        <f>IF(Skills!N11=TRUE,(Skills!L11/10)*(E440/1000),Skills!L11/10)+Skills!O11</f>
        <v/>
      </c>
      <c r="G440">
        <f>Skills!G11*IF(Skills!H11&gt;0,Skills!I11/Skills!H11,1)</f>
        <v/>
      </c>
      <c r="H440">
        <f>1-(1-Skills!J11/100)^Skills!K11</f>
        <v/>
      </c>
      <c r="I440" t="inlineStr">
        <is>
          <t>1</t>
        </is>
      </c>
      <c r="J440">
        <f>((Inputs!$B$6*(1+Inputs!$B$7/100))+(((Inputs!$B$12*(1+Inputs!$B$13/100))-(Inputs!$B$12*(1+Inputs!$B$13/100)))+0.25*(Inputs!$B$14-Inputs!$B$14))*(1+Inputs!$B$7/100))*(F440/100)</f>
        <v/>
      </c>
      <c r="K440">
        <f>J440*(1+((Inputs!$B$12*(1+Inputs!$B$13/100))*0.01+Inputs!$B$14*0.0025)/100)*(1+Inputs!$B$15/100)*(1+IF(Inputs!$B$38="pvp",0,(1-Summary!$B$55)*(Inputs!$B$20+0+Skills!P11)+Summary!$B$55*(Inputs!$B$21+Skills!Q11))/100)*(1+Inputs!$B$16/100)*(5000/(6000+Inputs!$B$42*(1-(Inputs!$B$19+((C456=TRUE)*(F456-Calc!F27)))/100)))*(1+(Inputs!$B$24+((C454=TRUE)*(F454-Calc!F25))+((C455=TRUE)*(F455-Calc!F26))+B468)/100)*(1+IF(C441=TRUE,F441,0)/100)*(1+(IF(Skills!A11="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440)</f>
        <v/>
      </c>
      <c r="L440">
        <f>K440*(MIN(Inputs!$B$22+((C453=TRUE)*(F453-Calc!F24)),(Inputs!$B$23+1)+((C458=TRUE)*(F458-Calc!F29)))/100+((Inputs!$B$23+1)+((C458=TRUE)*(F458-Calc!F29)))/100)/2</f>
        <v/>
      </c>
      <c r="M440">
        <f>L440*(1+(Inputs!$B$10+0+B467)/100)</f>
        <v/>
      </c>
      <c r="N440">
        <f>L440*(1-MIN((Inputs!$B$9+((C449=TRUE)*(F449-Calc!F20))+B462),100)/100)+M440*(MIN((Inputs!$B$9+((C449=TRUE)*(F449-Calc!F20))+B462),100)/100)</f>
        <v/>
      </c>
      <c r="O440">
        <f>IF(C440,H440*N440*IF(AND(Inputs!$B$38&lt;&gt;"pvp",Inputs!$B$43&gt;0),((Skills!G11*((R440-1)*IF(Skills!H11&gt;0,Skills!I11/Skills!H11,1)+IF(Skills!H11&gt;0,MIN(Skills!I11,MAX(0,MAX(0,Inputs!$B$43-B469)-((R440-1)*IF(Inputs!$B$38="pvp",15,MAX(0.1,Skills!D11-IF(Skills!E11=TRUE,Inputs!$B$32,0))))))/Skills!H11,1)))/Inputs!$B$43),G440*Q440)*IF(Inputs!$B$38="pvp",1,(1-Summary!$B$55)*(1)+Summary!$B$55*(MIN(Skills!R11,Inputs!$B$37))),0)</f>
        <v/>
      </c>
      <c r="P440">
        <f>IF(B470=0,0,O440/B470)</f>
        <v/>
      </c>
      <c r="Q440">
        <f>IFERROR(1/IF(Inputs!$B$38="pvp",15,MAX(0.1,Skills!D11-IF(Skills!E11=TRUE,Inputs!$B$32,0))),0)</f>
        <v/>
      </c>
      <c r="R440">
        <f>IF(AND(Inputs!$B$38&lt;&gt;"pvp",Inputs!$B$43&gt;0),IF(MAX(0,Inputs!$B$43-B469)&lt;=0,0,(INT(MAX(0,Inputs!$B$43-B469)/IF(Inputs!$B$38="pvp",15,MAX(0.1,Skills!D11-IF(Skills!E11=TRUE,Inputs!$B$32,0))))+1)),0)</f>
        <v/>
      </c>
      <c r="S440">
        <f>IFERROR(O440/N440,0)</f>
        <v/>
      </c>
    </row>
    <row r="441">
      <c r="A441">
        <f>Skills!A12</f>
        <v/>
      </c>
      <c r="B441">
        <f>Skills!B12</f>
        <v/>
      </c>
      <c r="C441">
        <f>Inputs!$B$3&gt;=110</f>
        <v/>
      </c>
      <c r="D441">
        <f>IF(Skills!C12=1,60+Inputs!$B$25+Inputs!$B$29,IF(Skills!C12=2,90+Inputs!$B$26+Inputs!$B$29,IF(Skills!C12=3,120+Inputs!$B$27+Inputs!$B$29,MAX(0,(Inputs!$B$3-100)*3)+Inputs!$B$28+Inputs!$B$29)))</f>
        <v/>
      </c>
      <c r="E441">
        <f>INDEX(FactorTable!$B$2:$Y$301, MATCH(ROUND(MIN(300,MAX(1,D441)),0), FactorTable!$A$2:$A$301,0), Skills!M12+1)</f>
        <v/>
      </c>
      <c r="F441">
        <f>IF(Skills!N12=TRUE,(Skills!L12/10)*(E441/1000),Skills!L12/10)+Skills!O12</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Skills!A13</f>
        <v/>
      </c>
      <c r="B442">
        <f>Skills!B13</f>
        <v/>
      </c>
      <c r="C442">
        <f>Inputs!$B$3&gt;=74</f>
        <v/>
      </c>
      <c r="D442">
        <f>IF(Skills!C13=1,60+Inputs!$B$25+Inputs!$B$29,IF(Skills!C13=2,90+Inputs!$B$26+Inputs!$B$29,IF(Skills!C13=3,120+Inputs!$B$27+Inputs!$B$29,MAX(0,(Inputs!$B$3-100)*3)+Inputs!$B$28+Inputs!$B$29)))</f>
        <v/>
      </c>
      <c r="E442">
        <f>INDEX(FactorTable!$B$2:$Y$301, MATCH(ROUND(MIN(300,MAX(1,D442)),0), FactorTable!$A$2:$A$301,0), Skills!M13+1)</f>
        <v/>
      </c>
      <c r="F442">
        <f>IF(Skills!N13=TRUE,(Skills!L13/10)*(E442/1000),Skills!L13/10)+Skills!O13</f>
        <v/>
      </c>
      <c r="G442">
        <f>Skills!G13*IF(Skills!H13&gt;0,Skills!I13/Skills!H13,1)</f>
        <v/>
      </c>
      <c r="H442">
        <f>1-(1-Skills!J13/100)^Skills!K13</f>
        <v/>
      </c>
      <c r="I442" t="inlineStr">
        <is>
          <t>1</t>
        </is>
      </c>
      <c r="J442" t="inlineStr"/>
      <c r="K442" t="inlineStr"/>
      <c r="L442" t="inlineStr"/>
      <c r="M442" t="inlineStr"/>
      <c r="N442" t="inlineStr"/>
      <c r="O442" t="n">
        <v>0</v>
      </c>
      <c r="P442">
        <f>IF(B470=0,0,O442/B470)</f>
        <v/>
      </c>
      <c r="Q442" t="n">
        <v>0</v>
      </c>
      <c r="R442" t="n">
        <v>0</v>
      </c>
      <c r="S442">
        <f>IFERROR(O442/N442,0)</f>
        <v/>
      </c>
    </row>
    <row r="443">
      <c r="A443">
        <f>Skills!A14</f>
        <v/>
      </c>
      <c r="B443">
        <f>Skills!B14</f>
        <v/>
      </c>
      <c r="C443">
        <f>Inputs!$B$3&gt;=74</f>
        <v/>
      </c>
      <c r="D443">
        <f>IF(Skills!C14=1,60+Inputs!$B$25+Inputs!$B$29,IF(Skills!C14=2,90+Inputs!$B$26+Inputs!$B$29,IF(Skills!C14=3,120+Inputs!$B$27+Inputs!$B$29,MAX(0,(Inputs!$B$3-100)*3)+Inputs!$B$28+Inputs!$B$29)))</f>
        <v/>
      </c>
      <c r="E443">
        <f>INDEX(FactorTable!$B$2:$Y$301, MATCH(ROUND(MIN(300,MAX(1,D443)),0), FactorTable!$A$2:$A$301,0), Skills!M14+1)</f>
        <v/>
      </c>
      <c r="F443">
        <f>IF(Skills!N14=TRUE,(Skills!L14/10)*(E443/1000),Skills!L14/10)+Skills!O14</f>
        <v/>
      </c>
      <c r="G443">
        <f>Skills!G14*IF(Skills!H14&gt;0,Skills!I14/Skills!H14,1)</f>
        <v/>
      </c>
      <c r="H443">
        <f>1-(1-Skills!J14/100)^Skills!K14</f>
        <v/>
      </c>
      <c r="I443" t="inlineStr">
        <is>
          <t>1</t>
        </is>
      </c>
      <c r="J443" t="inlineStr"/>
      <c r="K443" t="inlineStr"/>
      <c r="L443" t="inlineStr"/>
      <c r="M443" t="inlineStr"/>
      <c r="N443" t="inlineStr"/>
      <c r="O443" t="n">
        <v>0</v>
      </c>
      <c r="P443">
        <f>IF(B470=0,0,O443/B470)</f>
        <v/>
      </c>
      <c r="Q443" t="n">
        <v>0</v>
      </c>
      <c r="R443" t="n">
        <v>0</v>
      </c>
      <c r="S443">
        <f>IFERROR(O443/N443,0)</f>
        <v/>
      </c>
    </row>
    <row r="444">
      <c r="A444">
        <f>Skills!A15</f>
        <v/>
      </c>
      <c r="B444">
        <f>Skills!B15</f>
        <v/>
      </c>
      <c r="C444">
        <f>Inputs!$B$3&gt;=117</f>
        <v/>
      </c>
      <c r="D444">
        <f>IF(Skills!C15=1,60+Inputs!$B$25+Inputs!$B$29,IF(Skills!C15=2,90+Inputs!$B$26+Inputs!$B$29,IF(Skills!C15=3,120+Inputs!$B$27+Inputs!$B$29,MAX(0,(Inputs!$B$3-100)*3)+Inputs!$B$28+Inputs!$B$29)))</f>
        <v/>
      </c>
      <c r="E444">
        <f>INDEX(FactorTable!$B$2:$Y$301, MATCH(ROUND(MIN(300,MAX(1,D444)),0), FactorTable!$A$2:$A$301,0), Skills!M15+1)</f>
        <v/>
      </c>
      <c r="F444">
        <f>IF(Skills!N15=TRUE,(Skills!L15/10)*(E444/1000),Skills!L15/10)+Skills!O15</f>
        <v/>
      </c>
      <c r="G444">
        <f>Skills!G15*IF(Skills!H15&gt;0,Skills!I15/Skills!H15,1)</f>
        <v/>
      </c>
      <c r="H444">
        <f>1-(1-Skills!J15/100)^Skills!K15</f>
        <v/>
      </c>
      <c r="I444" t="inlineStr">
        <is>
          <t>1</t>
        </is>
      </c>
      <c r="J444" t="inlineStr"/>
      <c r="K444" t="inlineStr"/>
      <c r="L444" t="inlineStr"/>
      <c r="M444" t="inlineStr"/>
      <c r="N444" t="inlineStr"/>
      <c r="O444" t="n">
        <v>0</v>
      </c>
      <c r="P444">
        <f>IF(B470=0,0,O444/B470)</f>
        <v/>
      </c>
      <c r="Q444">
        <f>IFERROR(1/IF(Inputs!$B$38="pvp",15,MAX(0.1,Skills!D15-IF(Skills!E15=TRUE,Inputs!$B$32,0))),0)</f>
        <v/>
      </c>
      <c r="R444">
        <f>IF(AND(Inputs!$B$38&lt;&gt;"pvp",Inputs!$B$43&gt;0),IF(Inputs!$B$43&lt;=0,0,(INT(Inputs!$B$43/IF(Inputs!$B$38="pvp",15,MAX(0.1,Skills!D15-IF(Skills!E15=TRUE,Inputs!$B$32,0))))+1)),0)</f>
        <v/>
      </c>
      <c r="S444">
        <f>IFERROR(O444/N444,0)</f>
        <v/>
      </c>
    </row>
    <row r="445">
      <c r="A445">
        <f>Skills!A16</f>
        <v/>
      </c>
      <c r="B445">
        <f>Skills!B16</f>
        <v/>
      </c>
      <c r="C445">
        <f>Inputs!$B$3&gt;=115</f>
        <v/>
      </c>
      <c r="D445">
        <f>IF(Skills!C16=1,60+Inputs!$B$25+Inputs!$B$29,IF(Skills!C16=2,90+Inputs!$B$26+Inputs!$B$29,IF(Skills!C16=3,120+Inputs!$B$27+Inputs!$B$29,MAX(0,(Inputs!$B$3-100)*3)+Inputs!$B$28+Inputs!$B$29)))</f>
        <v/>
      </c>
      <c r="E445">
        <f>INDEX(FactorTable!$B$2:$Y$301, MATCH(ROUND(MIN(300,MAX(1,D445)),0), FactorTable!$A$2:$A$301,0), Skills!M16+1)</f>
        <v/>
      </c>
      <c r="F445">
        <f>IF(Skills!N16=TRUE,(Skills!L16/10)*(E445/1000),Skills!L16/10)+Skills!O16</f>
        <v/>
      </c>
      <c r="G445">
        <f>Skills!G16*IF(Skills!H16&gt;0,Skills!I16/Skills!H16,1)</f>
        <v/>
      </c>
      <c r="H445">
        <f>1-(1-Skills!J16/100)^Skills!K16</f>
        <v/>
      </c>
      <c r="I445" t="inlineStr">
        <is>
          <t>1</t>
        </is>
      </c>
      <c r="J445" t="inlineStr"/>
      <c r="K445" t="inlineStr"/>
      <c r="L445" t="inlineStr"/>
      <c r="M445" t="inlineStr"/>
      <c r="N445" t="inlineStr"/>
      <c r="O445" t="n">
        <v>0</v>
      </c>
      <c r="P445">
        <f>IF(B470=0,0,O445/B470)</f>
        <v/>
      </c>
      <c r="Q445">
        <f>IFERROR(1/IF(Inputs!$B$38="pvp",15,MAX(0.1,Skills!D16-IF(Skills!E16=TRUE,Inputs!$B$32,0))),0)</f>
        <v/>
      </c>
      <c r="R445">
        <f>IF(AND(Inputs!$B$38&lt;&gt;"pvp",Inputs!$B$43&gt;0),IF(Inputs!$B$43&lt;=0,0,(INT(Inputs!$B$43/IF(Inputs!$B$38="pvp",15,MAX(0.1,Skills!D16-IF(Skills!E16=TRUE,Inputs!$B$32,0))))+1)),0)</f>
        <v/>
      </c>
      <c r="S445">
        <f>IFERROR(O445/N445,0)</f>
        <v/>
      </c>
    </row>
    <row r="446">
      <c r="A446">
        <f>Skills!A17</f>
        <v/>
      </c>
      <c r="B446">
        <f>Skills!B17</f>
        <v/>
      </c>
      <c r="C446">
        <f>Inputs!$B$3&gt;=66</f>
        <v/>
      </c>
      <c r="D446">
        <f>IF(Skills!C17=1,60+Inputs!$B$25+Inputs!$B$29,IF(Skills!C17=2,90+Inputs!$B$26+Inputs!$B$29,IF(Skills!C17=3,120+Inputs!$B$27+Inputs!$B$29,MAX(0,(Inputs!$B$3-100)*3)+Inputs!$B$28+Inputs!$B$29)))</f>
        <v/>
      </c>
      <c r="E446">
        <f>INDEX(FactorTable!$B$2:$Y$301, MATCH(ROUND(MIN(300,MAX(1,D446)),0), FactorTable!$A$2:$A$301,0), Skills!M17+1)</f>
        <v/>
      </c>
      <c r="F446">
        <f>IF(Skills!N17=TRUE,(Skills!L17/10)*(E446/1000),Skills!L17/10)+Skills!O17</f>
        <v/>
      </c>
      <c r="G446">
        <f>Skills!G17*IF(Skills!H17&gt;0,Skills!I17/Skills!H17,1)</f>
        <v/>
      </c>
      <c r="H446">
        <f>1-(1-Skills!J17/100)^Skills!K17</f>
        <v/>
      </c>
      <c r="I446" t="inlineStr">
        <is>
          <t>1</t>
        </is>
      </c>
      <c r="J446" t="inlineStr"/>
      <c r="K446" t="inlineStr"/>
      <c r="L446" t="inlineStr"/>
      <c r="M446" t="inlineStr"/>
      <c r="N446" t="inlineStr"/>
      <c r="O446" t="n">
        <v>0</v>
      </c>
      <c r="P446">
        <f>IF(B470=0,0,O446/B470)</f>
        <v/>
      </c>
      <c r="Q446" t="n">
        <v>0</v>
      </c>
      <c r="R446" t="n">
        <v>0</v>
      </c>
      <c r="S446">
        <f>IFERROR(O446/N446,0)</f>
        <v/>
      </c>
    </row>
    <row r="447">
      <c r="A447">
        <f>Skills!A18</f>
        <v/>
      </c>
      <c r="B447">
        <f>Skills!B18</f>
        <v/>
      </c>
      <c r="C447">
        <f>Inputs!$B$3&gt;=72</f>
        <v/>
      </c>
      <c r="D447">
        <f>IF(Skills!C18=1,60+Inputs!$B$25+Inputs!$B$29,IF(Skills!C18=2,90+Inputs!$B$26+Inputs!$B$29,IF(Skills!C18=3,120+Inputs!$B$27+Inputs!$B$29,MAX(0,(Inputs!$B$3-100)*3)+Inputs!$B$28+Inputs!$B$29)))</f>
        <v/>
      </c>
      <c r="E447">
        <f>INDEX(FactorTable!$B$2:$Y$301, MATCH(ROUND(MIN(300,MAX(1,D447)),0), FactorTable!$A$2:$A$301,0), Skills!M18+1)</f>
        <v/>
      </c>
      <c r="F447">
        <f>IF(Skills!N18=TRUE,(Skills!L18/10)*(E447/1000),Skills!L18/10)+Skills!O18</f>
        <v/>
      </c>
      <c r="G447">
        <f>Skills!G18*IF(Skills!H18&gt;0,Skills!I18/Skills!H18,1)</f>
        <v/>
      </c>
      <c r="H447">
        <f>1-(1-Skills!J18/100)^Skills!K18</f>
        <v/>
      </c>
      <c r="I447" t="inlineStr">
        <is>
          <t>1</t>
        </is>
      </c>
      <c r="J447" t="inlineStr"/>
      <c r="K447" t="inlineStr"/>
      <c r="L447" t="inlineStr"/>
      <c r="M447" t="inlineStr"/>
      <c r="N447" t="inlineStr"/>
      <c r="O447" t="n">
        <v>0</v>
      </c>
      <c r="P447">
        <f>IF(B470=0,0,O447/B470)</f>
        <v/>
      </c>
      <c r="Q447" t="n">
        <v>0</v>
      </c>
      <c r="R447" t="n">
        <v>0</v>
      </c>
      <c r="S447">
        <f>IFERROR(O447/N447,0)</f>
        <v/>
      </c>
    </row>
    <row r="448">
      <c r="A448">
        <f>Skills!A19</f>
        <v/>
      </c>
      <c r="B448">
        <f>Skills!B19</f>
        <v/>
      </c>
      <c r="C448">
        <f>TRUE</f>
        <v/>
      </c>
      <c r="D448">
        <f>IF(Skills!C19=1,60+Inputs!$B$25+Inputs!$B$29,IF(Skills!C19=2,90+Inputs!$B$26+Inputs!$B$29,IF(Skills!C19=3,120+Inputs!$B$27+Inputs!$B$29,MAX(0,(Inputs!$B$3-100)*3)+Inputs!$B$28+Inputs!$B$29)))</f>
        <v/>
      </c>
      <c r="E448">
        <f>INDEX(FactorTable!$B$2:$Y$301, MATCH(ROUND(MIN(300,MAX(1,D448)),0), FactorTable!$A$2:$A$301,0), Skills!M19+1)</f>
        <v/>
      </c>
      <c r="F448">
        <f>IF(Skills!N19=TRUE,(Skills!L19/10)*(E448/1000),Skills!L19/10)+Skills!O19</f>
        <v/>
      </c>
      <c r="G448">
        <f>Skills!G19*IF(Skills!H19&gt;0,Skills!I19/Skills!H19,1)</f>
        <v/>
      </c>
      <c r="H448">
        <f>1-(1-Skills!J19/100)^Skills!K19</f>
        <v/>
      </c>
      <c r="I448" t="inlineStr">
        <is>
          <t>1</t>
        </is>
      </c>
      <c r="J448" t="inlineStr"/>
      <c r="K448" t="inlineStr"/>
      <c r="L448" t="inlineStr"/>
      <c r="M448" t="inlineStr"/>
      <c r="N448" t="inlineStr"/>
      <c r="O448" t="n">
        <v>0</v>
      </c>
      <c r="P448">
        <f>IF(B470=0,0,O448/B470)</f>
        <v/>
      </c>
      <c r="Q448">
        <f>IFERROR(1/IF(Inputs!$B$38="pvp",15,MAX(0.1,Skills!D19-IF(Skills!E19=TRUE,Inputs!$B$32,0))),0)</f>
        <v/>
      </c>
      <c r="R448">
        <f>IF(AND(Inputs!$B$38&lt;&gt;"pvp",Inputs!$B$43&gt;0),IF(Inputs!$B$43&lt;=0,0,(INT(Inputs!$B$43/IF(Inputs!$B$38="pvp",15,MAX(0.1,Skills!D19-IF(Skills!E19=TRUE,Inputs!$B$32,0))))+1)),0)</f>
        <v/>
      </c>
      <c r="S448">
        <f>IFERROR(O448/N448,0)</f>
        <v/>
      </c>
    </row>
    <row r="449">
      <c r="A449">
        <f>Skills!A20</f>
        <v/>
      </c>
      <c r="B449">
        <f>Skills!B20</f>
        <v/>
      </c>
      <c r="C449">
        <f>Inputs!$B$3&gt;=15</f>
        <v/>
      </c>
      <c r="D449">
        <f>IF(Skills!C20=1,60+Inputs!$B$25+Inputs!$B$29,IF(Skills!C20=2,90+Inputs!$B$26+Inputs!$B$29,IF(Skills!C20=3,120+Inputs!$B$27+Inputs!$B$29,MAX(0,(Inputs!$B$3-100)*3)+Inputs!$B$28+Inputs!$B$29)))</f>
        <v/>
      </c>
      <c r="E449">
        <f>INDEX(FactorTable!$B$2:$Y$301, MATCH(ROUND(MIN(300,MAX(1,D449)),0), FactorTable!$A$2:$A$301,0), Skills!M20+1)</f>
        <v/>
      </c>
      <c r="F449">
        <f>IF(Skills!N20=TRUE,(Skills!L20/10)*(E449/1000),Skills!L20/10)+Skills!O20</f>
        <v/>
      </c>
      <c r="G449">
        <f>Skills!G20*IF(Skills!H20&gt;0,Skills!I20/Skills!H20,1)</f>
        <v/>
      </c>
      <c r="H449">
        <f>1-(1-Skills!J20/100)^Skills!K20</f>
        <v/>
      </c>
      <c r="I449" t="inlineStr">
        <is>
          <t>1</t>
        </is>
      </c>
      <c r="J449" t="inlineStr"/>
      <c r="K449" t="inlineStr"/>
      <c r="L449" t="inlineStr"/>
      <c r="M449" t="inlineStr"/>
      <c r="N449" t="inlineStr"/>
      <c r="O449" t="n">
        <v>0</v>
      </c>
      <c r="P449">
        <f>IF(B470=0,0,O449/B470)</f>
        <v/>
      </c>
      <c r="Q449" t="n">
        <v>0</v>
      </c>
      <c r="R449" t="n">
        <v>0</v>
      </c>
      <c r="S449">
        <f>IFERROR(O449/N449,0)</f>
        <v/>
      </c>
    </row>
    <row r="450">
      <c r="A450">
        <f>Skills!A21</f>
        <v/>
      </c>
      <c r="B450">
        <f>Skills!B21</f>
        <v/>
      </c>
      <c r="C450">
        <f>Inputs!$B$3&gt;=10</f>
        <v/>
      </c>
      <c r="D450">
        <f>IF(Skills!C21=1,60+Inputs!$B$25+Inputs!$B$29,IF(Skills!C21=2,90+Inputs!$B$26+Inputs!$B$29,IF(Skills!C21=3,120+Inputs!$B$27+Inputs!$B$29,MAX(0,(Inputs!$B$3-100)*3)+Inputs!$B$28+Inputs!$B$29)))</f>
        <v/>
      </c>
      <c r="E450">
        <f>INDEX(FactorTable!$B$2:$Y$301, MATCH(ROUND(MIN(300,MAX(1,D450)),0), FactorTable!$A$2:$A$301,0), Skills!M21+1)</f>
        <v/>
      </c>
      <c r="F450">
        <f>IF(Skills!N21=TRUE,(Skills!L21/10)*(E450/1000),Skills!L21/10)+Skills!O21</f>
        <v/>
      </c>
      <c r="G450">
        <f>Skills!G21*IF(Skills!H21&gt;0,Skills!I21/Skills!H21,1)</f>
        <v/>
      </c>
      <c r="H450">
        <f>1-(1-Skills!J21/100)^Skills!K21</f>
        <v/>
      </c>
      <c r="I450" t="inlineStr">
        <is>
          <t>1</t>
        </is>
      </c>
      <c r="J450" t="inlineStr"/>
      <c r="K450" t="inlineStr"/>
      <c r="L450" t="inlineStr"/>
      <c r="M450" t="inlineStr"/>
      <c r="N450" t="inlineStr"/>
      <c r="O450" t="n">
        <v>0</v>
      </c>
      <c r="P450">
        <f>IF(B470=0,0,O450/B470)</f>
        <v/>
      </c>
      <c r="Q450" t="n">
        <v>0</v>
      </c>
      <c r="R450" t="n">
        <v>0</v>
      </c>
      <c r="S450">
        <f>IFERROR(O450/N450,0)</f>
        <v/>
      </c>
    </row>
    <row r="451">
      <c r="A451">
        <f>Skills!A22</f>
        <v/>
      </c>
      <c r="B451">
        <f>Skills!B22</f>
        <v/>
      </c>
      <c r="C451">
        <f>Inputs!$B$3&gt;=33</f>
        <v/>
      </c>
      <c r="D451">
        <f>IF(Skills!C22=1,60+Inputs!$B$25+Inputs!$B$29,IF(Skills!C22=2,90+Inputs!$B$26+Inputs!$B$29,IF(Skills!C22=3,120+Inputs!$B$27+Inputs!$B$29,MAX(0,(Inputs!$B$3-100)*3)+Inputs!$B$28+Inputs!$B$29)))</f>
        <v/>
      </c>
      <c r="E451">
        <f>INDEX(FactorTable!$B$2:$Y$301, MATCH(ROUND(MIN(300,MAX(1,D451)),0), FactorTable!$A$2:$A$301,0), Skills!M22+1)</f>
        <v/>
      </c>
      <c r="F451">
        <f>IF(Skills!N22=TRUE,(Skills!L22/10)*(E451/1000),Skills!L22/10)+Skills!O22</f>
        <v/>
      </c>
      <c r="G451">
        <f>Skills!G22*IF(Skills!H22&gt;0,Skills!I22/Skills!H22,1)</f>
        <v/>
      </c>
      <c r="H451">
        <f>1-(1-Skills!J22/100)^Skills!K22</f>
        <v/>
      </c>
      <c r="I451" t="inlineStr">
        <is>
          <t>1</t>
        </is>
      </c>
      <c r="J451" t="inlineStr"/>
      <c r="K451" t="inlineStr"/>
      <c r="L451" t="inlineStr"/>
      <c r="M451" t="inlineStr"/>
      <c r="N451" t="inlineStr"/>
      <c r="O451" t="n">
        <v>0</v>
      </c>
      <c r="P451">
        <f>IF(B470=0,0,O451/B470)</f>
        <v/>
      </c>
      <c r="Q451" t="n">
        <v>0</v>
      </c>
      <c r="R451" t="n">
        <v>0</v>
      </c>
      <c r="S451">
        <f>IFERROR(O451/N451,0)</f>
        <v/>
      </c>
    </row>
    <row r="452">
      <c r="A452">
        <f>Skills!A23</f>
        <v/>
      </c>
      <c r="B452">
        <f>Skills!B23</f>
        <v/>
      </c>
      <c r="C452">
        <f>Inputs!$B$3&gt;=38</f>
        <v/>
      </c>
      <c r="D452">
        <f>IF(Skills!C23=1,60+Inputs!$B$25+Inputs!$B$29,IF(Skills!C23=2,90+Inputs!$B$26+Inputs!$B$29,IF(Skills!C23=3,120+Inputs!$B$27+Inputs!$B$29,MAX(0,(Inputs!$B$3-100)*3)+Inputs!$B$28+Inputs!$B$29)))</f>
        <v/>
      </c>
      <c r="E452">
        <f>INDEX(FactorTable!$B$2:$Y$301, MATCH(ROUND(MIN(300,MAX(1,D452)),0), FactorTable!$A$2:$A$301,0), Skills!M23+1)</f>
        <v/>
      </c>
      <c r="F452">
        <f>IF(Skills!N23=TRUE,(Skills!L23/10)*(E452/1000),Skills!L23/10)+Skills!O23</f>
        <v/>
      </c>
      <c r="G452">
        <f>Skills!G23*IF(Skills!H23&gt;0,Skills!I23/Skills!H23,1)</f>
        <v/>
      </c>
      <c r="H452">
        <f>1-(1-Skills!J23/100)^Skills!K23</f>
        <v/>
      </c>
      <c r="I452" t="inlineStr">
        <is>
          <t>1</t>
        </is>
      </c>
      <c r="J452" t="inlineStr"/>
      <c r="K452" t="inlineStr"/>
      <c r="L452" t="inlineStr"/>
      <c r="M452" t="inlineStr"/>
      <c r="N452" t="inlineStr"/>
      <c r="O452" t="n">
        <v>0</v>
      </c>
      <c r="P452">
        <f>IF(B470=0,0,O452/B470)</f>
        <v/>
      </c>
      <c r="Q452" t="n">
        <v>0</v>
      </c>
      <c r="R452" t="n">
        <v>0</v>
      </c>
      <c r="S452">
        <f>IFERROR(O452/N452,0)</f>
        <v/>
      </c>
    </row>
    <row r="453">
      <c r="A453">
        <f>Skills!A24</f>
        <v/>
      </c>
      <c r="B453">
        <f>Skills!B24</f>
        <v/>
      </c>
      <c r="C453">
        <f>Inputs!$B$3&gt;=43</f>
        <v/>
      </c>
      <c r="D453">
        <f>IF(Skills!C24=1,60+Inputs!$B$25+Inputs!$B$29,IF(Skills!C24=2,90+Inputs!$B$26+Inputs!$B$29,IF(Skills!C24=3,120+Inputs!$B$27+Inputs!$B$29,MAX(0,(Inputs!$B$3-100)*3)+Inputs!$B$28+Inputs!$B$29)))</f>
        <v/>
      </c>
      <c r="E453">
        <f>INDEX(FactorTable!$B$2:$Y$301, MATCH(ROUND(MIN(300,MAX(1,D453)),0), FactorTable!$A$2:$A$301,0), Skills!M24+1)</f>
        <v/>
      </c>
      <c r="F453">
        <f>IF(Skills!N24=TRUE,(Skills!L24/10)*(E453/1000),Skills!L24/10)+Skills!O24</f>
        <v/>
      </c>
      <c r="G453">
        <f>Skills!G24*IF(Skills!H24&gt;0,Skills!I24/Skills!H24,1)</f>
        <v/>
      </c>
      <c r="H453">
        <f>1-(1-Skills!J24/100)^Skills!K24</f>
        <v/>
      </c>
      <c r="I453" t="inlineStr">
        <is>
          <t>1</t>
        </is>
      </c>
      <c r="J453" t="inlineStr"/>
      <c r="K453" t="inlineStr"/>
      <c r="L453" t="inlineStr"/>
      <c r="M453" t="inlineStr"/>
      <c r="N453" t="inlineStr"/>
      <c r="O453" t="n">
        <v>0</v>
      </c>
      <c r="P453">
        <f>IF(B470=0,0,O453/B470)</f>
        <v/>
      </c>
      <c r="Q453" t="n">
        <v>0</v>
      </c>
      <c r="R453" t="n">
        <v>0</v>
      </c>
      <c r="S453">
        <f>IFERROR(O453/N453,0)</f>
        <v/>
      </c>
    </row>
    <row r="454">
      <c r="A454">
        <f>Skills!A25</f>
        <v/>
      </c>
      <c r="B454">
        <f>Skills!B25</f>
        <v/>
      </c>
      <c r="C454">
        <f>Inputs!$B$3&gt;=75</f>
        <v/>
      </c>
      <c r="D454">
        <f>IF(Skills!C25=1,60+Inputs!$B$25+Inputs!$B$29,IF(Skills!C25=2,90+Inputs!$B$26+Inputs!$B$29,IF(Skills!C25=3,120+Inputs!$B$27+Inputs!$B$29,MAX(0,(Inputs!$B$3-100)*3)+Inputs!$B$28+Inputs!$B$29)))</f>
        <v/>
      </c>
      <c r="E454">
        <f>INDEX(FactorTable!$B$2:$Y$301, MATCH(ROUND(MIN(300,MAX(1,D454)),0), FactorTable!$A$2:$A$301,0), Skills!M25+1)</f>
        <v/>
      </c>
      <c r="F454">
        <f>IF(Skills!N25=TRUE,(Skills!L25/10)*(E454/1000),Skills!L25/10)+Skills!O25</f>
        <v/>
      </c>
      <c r="G454">
        <f>Skills!G25*IF(Skills!H25&gt;0,Skills!I25/Skills!H25,1)</f>
        <v/>
      </c>
      <c r="H454">
        <f>1-(1-Skills!J25/100)^Skills!K25</f>
        <v/>
      </c>
      <c r="I454" t="inlineStr">
        <is>
          <t>1</t>
        </is>
      </c>
      <c r="J454" t="inlineStr"/>
      <c r="K454" t="inlineStr"/>
      <c r="L454" t="inlineStr"/>
      <c r="M454" t="inlineStr"/>
      <c r="N454" t="inlineStr"/>
      <c r="O454" t="n">
        <v>0</v>
      </c>
      <c r="P454">
        <f>IF(B470=0,0,O454/B470)</f>
        <v/>
      </c>
      <c r="Q454" t="n">
        <v>0</v>
      </c>
      <c r="R454" t="n">
        <v>0</v>
      </c>
      <c r="S454">
        <f>IFERROR(O454/N454,0)</f>
        <v/>
      </c>
    </row>
    <row r="455">
      <c r="A455">
        <f>Skills!A26</f>
        <v/>
      </c>
      <c r="B455">
        <f>Skills!B26</f>
        <v/>
      </c>
      <c r="C455">
        <f>Inputs!$B$3&gt;=125</f>
        <v/>
      </c>
      <c r="D455">
        <f>IF(Skills!C26=1,60+Inputs!$B$25+Inputs!$B$29,IF(Skills!C26=2,90+Inputs!$B$26+Inputs!$B$29,IF(Skills!C26=3,120+Inputs!$B$27+Inputs!$B$29,MAX(0,(Inputs!$B$3-100)*3)+Inputs!$B$28+Inputs!$B$29)))</f>
        <v/>
      </c>
      <c r="E455">
        <f>INDEX(FactorTable!$B$2:$Y$301, MATCH(ROUND(MIN(300,MAX(1,D455)),0), FactorTable!$A$2:$A$301,0), Skills!M26+1)</f>
        <v/>
      </c>
      <c r="F455">
        <f>IF(Skills!N26=TRUE,(Skills!L26/10)*(E455/1000),Skills!L26/10)+Skills!O26</f>
        <v/>
      </c>
      <c r="G455">
        <f>Skills!G26*IF(Skills!H26&gt;0,Skills!I26/Skills!H26,1)</f>
        <v/>
      </c>
      <c r="H455">
        <f>1-(1-Skills!J26/100)^Skills!K26</f>
        <v/>
      </c>
      <c r="I455" t="inlineStr">
        <is>
          <t>1</t>
        </is>
      </c>
      <c r="J455" t="inlineStr"/>
      <c r="K455" t="inlineStr"/>
      <c r="L455" t="inlineStr"/>
      <c r="M455" t="inlineStr"/>
      <c r="N455" t="inlineStr"/>
      <c r="O455" t="n">
        <v>0</v>
      </c>
      <c r="P455">
        <f>IF(B470=0,0,O455/B470)</f>
        <v/>
      </c>
      <c r="Q455" t="n">
        <v>0</v>
      </c>
      <c r="R455" t="n">
        <v>0</v>
      </c>
      <c r="S455">
        <f>IFERROR(O455/N455,0)</f>
        <v/>
      </c>
    </row>
    <row r="456">
      <c r="A456">
        <f>Skills!A27</f>
        <v/>
      </c>
      <c r="B456">
        <f>Skills!B27</f>
        <v/>
      </c>
      <c r="C456">
        <f>Inputs!$B$3&gt;=125</f>
        <v/>
      </c>
      <c r="D456">
        <f>IF(Skills!C27=1,60+Inputs!$B$25+Inputs!$B$29,IF(Skills!C27=2,90+Inputs!$B$26+Inputs!$B$29,IF(Skills!C27=3,120+Inputs!$B$27+Inputs!$B$29,MAX(0,(Inputs!$B$3-100)*3)+Inputs!$B$28+Inputs!$B$29)))</f>
        <v/>
      </c>
      <c r="E456">
        <f>INDEX(FactorTable!$B$2:$Y$301, MATCH(ROUND(MIN(300,MAX(1,D456)),0), FactorTable!$A$2:$A$301,0), Skills!M27+1)</f>
        <v/>
      </c>
      <c r="F456">
        <f>IF(Skills!N27=TRUE,(Skills!L27/10)*(E456/1000),Skills!L27/10)+Skills!O27</f>
        <v/>
      </c>
      <c r="G456">
        <f>Skills!G27*IF(Skills!H27&gt;0,Skills!I27/Skills!H27,1)</f>
        <v/>
      </c>
      <c r="H456">
        <f>1-(1-Skills!J27/100)^Skills!K27</f>
        <v/>
      </c>
      <c r="I456" t="inlineStr">
        <is>
          <t>1</t>
        </is>
      </c>
      <c r="J456" t="inlineStr"/>
      <c r="K456" t="inlineStr"/>
      <c r="L456" t="inlineStr"/>
      <c r="M456" t="inlineStr"/>
      <c r="N456" t="inlineStr"/>
      <c r="O456" t="n">
        <v>0</v>
      </c>
      <c r="P456">
        <f>IF(B470=0,0,O456/B470)</f>
        <v/>
      </c>
      <c r="Q456" t="n">
        <v>0</v>
      </c>
      <c r="R456" t="n">
        <v>0</v>
      </c>
      <c r="S456">
        <f>IFERROR(O456/N456,0)</f>
        <v/>
      </c>
    </row>
    <row r="457">
      <c r="A457">
        <f>Skills!A28</f>
        <v/>
      </c>
      <c r="B457">
        <f>Skills!B28</f>
        <v/>
      </c>
      <c r="C457">
        <f>Inputs!$B$3&gt;=120</f>
        <v/>
      </c>
      <c r="D457">
        <f>IF(Skills!C28=1,60+Inputs!$B$25+Inputs!$B$29,IF(Skills!C28=2,90+Inputs!$B$26+Inputs!$B$29,IF(Skills!C28=3,120+Inputs!$B$27+Inputs!$B$29,MAX(0,(Inputs!$B$3-100)*3)+Inputs!$B$28+Inputs!$B$29)))</f>
        <v/>
      </c>
      <c r="E457">
        <f>INDEX(FactorTable!$B$2:$Y$301, MATCH(ROUND(MIN(300,MAX(1,D457)),0), FactorTable!$A$2:$A$301,0), Skills!M28+1)</f>
        <v/>
      </c>
      <c r="F457">
        <f>IF(Skills!N28=TRUE,(Skills!L28/10)*(E457/1000),Skills!L28/10)+Skills!O28</f>
        <v/>
      </c>
      <c r="G457">
        <f>Skills!G28*IF(Skills!H28&gt;0,Skills!I28/Skills!H28,1)</f>
        <v/>
      </c>
      <c r="H457">
        <f>1-(1-Skills!J28/100)^Skills!K28</f>
        <v/>
      </c>
      <c r="I457" t="inlineStr">
        <is>
          <t>1</t>
        </is>
      </c>
      <c r="J457" t="inlineStr"/>
      <c r="K457" t="inlineStr"/>
      <c r="L457" t="inlineStr"/>
      <c r="M457" t="inlineStr"/>
      <c r="N457" t="inlineStr"/>
      <c r="O457" t="n">
        <v>0</v>
      </c>
      <c r="P457">
        <f>IF(B470=0,0,O457/B470)</f>
        <v/>
      </c>
      <c r="Q457" t="n">
        <v>0</v>
      </c>
      <c r="R457" t="n">
        <v>0</v>
      </c>
      <c r="S457">
        <f>IFERROR(O457/N457,0)</f>
        <v/>
      </c>
    </row>
    <row r="458">
      <c r="A458">
        <f>Skills!A29</f>
        <v/>
      </c>
      <c r="B458">
        <f>Skills!B29</f>
        <v/>
      </c>
      <c r="C458">
        <f>Inputs!$B$3&gt;=120</f>
        <v/>
      </c>
      <c r="D458">
        <f>IF(Skills!C29=1,60+Inputs!$B$25+Inputs!$B$29,IF(Skills!C29=2,90+Inputs!$B$26+Inputs!$B$29,IF(Skills!C29=3,120+Inputs!$B$27+Inputs!$B$29,MAX(0,(Inputs!$B$3-100)*3)+Inputs!$B$28+Inputs!$B$29)))</f>
        <v/>
      </c>
      <c r="E458">
        <f>INDEX(FactorTable!$B$2:$Y$301, MATCH(ROUND(MIN(300,MAX(1,D458)),0), FactorTable!$A$2:$A$301,0), Skills!M29+1)</f>
        <v/>
      </c>
      <c r="F458">
        <f>IF(Skills!N29=TRUE,(Skills!L29/10)*(E458/1000),Skills!L29/10)+Skills!O29</f>
        <v/>
      </c>
      <c r="G458">
        <f>Skills!G29*IF(Skills!H29&gt;0,Skills!I29/Skills!H29,1)</f>
        <v/>
      </c>
      <c r="H458">
        <f>1-(1-Skills!J29/100)^Skills!K29</f>
        <v/>
      </c>
      <c r="I458" t="inlineStr">
        <is>
          <t>1</t>
        </is>
      </c>
      <c r="J458" t="inlineStr"/>
      <c r="K458" t="inlineStr"/>
      <c r="L458" t="inlineStr"/>
      <c r="M458" t="inlineStr"/>
      <c r="N458" t="inlineStr"/>
      <c r="O458" t="n">
        <v>0</v>
      </c>
      <c r="P458">
        <f>IF(B470=0,0,O458/B470)</f>
        <v/>
      </c>
      <c r="Q458" t="n">
        <v>0</v>
      </c>
      <c r="R458" t="n">
        <v>0</v>
      </c>
      <c r="S458">
        <f>IFERROR(O458/N458,0)</f>
        <v/>
      </c>
    </row>
    <row r="459">
      <c r="A459">
        <f>Skills!A30</f>
        <v/>
      </c>
      <c r="B459">
        <f>Skills!B30</f>
        <v/>
      </c>
      <c r="C459">
        <f>Inputs!$B$3&gt;=45</f>
        <v/>
      </c>
      <c r="D459">
        <f>IF(Skills!C30=1,60+Inputs!$B$25+Inputs!$B$29,IF(Skills!C30=2,90+Inputs!$B$26+Inputs!$B$29,IF(Skills!C30=3,120+Inputs!$B$27+Inputs!$B$29,MAX(0,(Inputs!$B$3-100)*3)+Inputs!$B$28+Inputs!$B$29)))</f>
        <v/>
      </c>
      <c r="E459">
        <f>INDEX(FactorTable!$B$2:$Y$301, MATCH(ROUND(MIN(300,MAX(1,D459)),0), FactorTable!$A$2:$A$301,0), Skills!M30+1)</f>
        <v/>
      </c>
      <c r="F459">
        <f>IF(Skills!N30=TRUE,(Skills!L30/10)*(E459/1000),Skills!L30/10)+Skills!O30</f>
        <v/>
      </c>
      <c r="G459">
        <f>Skills!G30*IF(Skills!H30&gt;0,Skills!I30/Skills!H30,1)</f>
        <v/>
      </c>
      <c r="H459">
        <f>1-(1-Skills!J30/100)^Skills!K30</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f>
        <v/>
      </c>
    </row>
    <row r="462">
      <c r="A462" t="inlineStr">
        <is>
          <t>Global Crit Rate Bonus %</t>
        </is>
      </c>
      <c r="B462">
        <f>(C445=TRUE)*20*IF(AND(Inputs!$B$38&lt;&gt;"pvp",Inputs!$B$43&gt;0),(((R445-1)*(Skills!T16*(1+Inputs!$B$34/100))+MIN((Skills!T16*(1+Inputs!$B$34/100)),MAX(0,Inputs!$B$43-((R445-1)*Skills!D16))))/Inputs!$B$43),IF(Inputs!$B$38="pvp",MIN((Skills!T16*(1+Inputs!$B$34/100)),15)/15,(Skills!T16*(1+Inputs!$B$34/100))/Skills!D16))</f>
        <v/>
      </c>
    </row>
    <row r="463">
      <c r="A463" t="inlineStr">
        <is>
          <t>Attack Speed Buff Bonus %</t>
        </is>
      </c>
      <c r="B463">
        <f>((C448=TRUE)*F448*IF(AND(Inputs!$B$38&lt;&gt;"pvp",Inputs!$B$43&gt;0),(((R448-1)*(Skills!T19*(1+Inputs!$B$34/100))+MIN((Skills!T19*(1+Inputs!$B$34/100)),MAX(0,Inputs!$B$43-((R448-1)*Skills!D19))))/Inputs!$B$43),IF(Inputs!$B$38="pvp",MIN((Skills!T19*(1+Inputs!$B$34/100)),15)/15,(Skills!T19*(1+Inputs!$B$34/100))/Skills!D19)))</f>
        <v/>
      </c>
    </row>
    <row r="464">
      <c r="A464" t="inlineStr">
        <is>
          <t>Actions Per Second</t>
        </is>
      </c>
      <c r="B464">
        <f>1+MIN(150,150*(1-(1-(Inputs!$B$11+((C450=TRUE)*(F450-Calc!F21))+((C451=TRUE)*(F451-Calc!F22)))/150)*(1-B463/150)))/100</f>
        <v/>
      </c>
    </row>
    <row r="465">
      <c r="A465" t="inlineStr">
        <is>
          <t>Skill + Buff Cast Rate</t>
        </is>
      </c>
      <c r="B465">
        <f>IF(AND(Inputs!$B$38&lt;&gt;"pvp",Inputs!$B$43&gt;0),SUMPRODUCT((Skills!E2:E30=TRUE)*(C431:C459=TRUE)*R431:R459*Skills!F2:F30)/Inputs!$B$43,SUMPRODUCT((Skills!E2:E30=TRUE)*(C431:C459=TRUE)*Q431:Q459*Skills!F2:F30))</f>
        <v/>
      </c>
    </row>
    <row r="466">
      <c r="A466" t="inlineStr">
        <is>
          <t>Arrow Stream Casts Per Second</t>
        </is>
      </c>
      <c r="B466">
        <f>MAX(0,B464-B465)</f>
        <v/>
      </c>
    </row>
    <row r="467">
      <c r="A467" t="inlineStr">
        <is>
          <t>Global Critical Damage Bonus % (Sharp Eyes + Concentration)</t>
        </is>
      </c>
      <c r="B467">
        <f>(C445=TRUE)*F445*IF(AND(Inputs!$B$38&lt;&gt;"pvp",Inputs!$B$43&gt;0),(((R445-1)*(Skills!T16*(1+Inputs!$B$34/100))+MIN((Skills!T16*(1+Inputs!$B$34/100)),MAX(0,Inputs!$B$43-((R445-1)*Skills!D16))))/Inputs!$B$43),IF(Inputs!$B$38="pvp",MIN((Skills!T16*(1+Inputs!$B$34/100)),15)/15,(Skills!T16*(1+Inputs!$B$34/100))/Skills!D16))+(C446=TRUE)*30</f>
        <v/>
      </c>
    </row>
    <row r="468">
      <c r="A468" t="inlineStr">
        <is>
          <t>Global Final Damage Bonus % (Mortal Blow)</t>
        </is>
      </c>
      <c r="B468">
        <f>(C447=TRUE)*F447</f>
        <v/>
      </c>
    </row>
    <row r="469">
      <c r="A469" t="inlineStr">
        <is>
          <t>Buff-Casting Startup Delay (s, fixed-duration only)</t>
        </is>
      </c>
      <c r="B469">
        <f>IF(AND(Inputs!$B$38&lt;&gt;"pvp",Inputs!$B$43&gt;0),SUMPRODUCT((Skills!T2:T30&gt;0)*(Skills!E2:E30=TRUE)*(C431:C459=TRUE))/B464,0)</f>
        <v/>
      </c>
    </row>
    <row r="470">
      <c r="A470" s="5" t="inlineStr">
        <is>
          <t>TOTAL DPS</t>
        </is>
      </c>
      <c r="B470" s="5">
        <f>SUM(O431:O459)</f>
        <v/>
      </c>
    </row>
    <row r="473">
      <c r="A473" s="5" t="inlineStr">
        <is>
          <t>Stat: CRIT_RATE %</t>
        </is>
      </c>
    </row>
    <row r="474">
      <c r="A474" s="9" t="inlineStr">
        <is>
          <t>Key</t>
        </is>
      </c>
      <c r="B474" s="9" t="inlineStr">
        <is>
          <t>Name</t>
        </is>
      </c>
      <c r="C474" s="9" t="inlineStr">
        <is>
          <t>Unlocked</t>
        </is>
      </c>
      <c r="D474" s="9" t="inlineStr">
        <is>
          <t>InputLevel</t>
        </is>
      </c>
      <c r="E474" s="9" t="inlineStr">
        <is>
          <t>Factor</t>
        </is>
      </c>
      <c r="F474" s="9" t="inlineStr">
        <is>
          <t>CoefficientPercent</t>
        </is>
      </c>
      <c r="G474" s="9" t="inlineStr">
        <is>
          <t>EffectiveHits</t>
        </is>
      </c>
      <c r="H474" s="9" t="inlineStr">
        <is>
          <t>ProcProbability</t>
        </is>
      </c>
      <c r="I474" s="9" t="inlineStr">
        <is>
          <t>MapleHeroMultiplier</t>
        </is>
      </c>
      <c r="J474" s="9" t="inlineStr">
        <is>
          <t>BaseDamage</t>
        </is>
      </c>
      <c r="K474" s="9" t="inlineStr">
        <is>
          <t>BaseHitDamage</t>
        </is>
      </c>
      <c r="L474" s="9" t="inlineStr">
        <is>
          <t>NonCritAvg</t>
        </is>
      </c>
      <c r="M474" s="9" t="inlineStr">
        <is>
          <t>CritAvg</t>
        </is>
      </c>
      <c r="N474" s="9" t="inlineStr">
        <is>
          <t>ExpectedDamage(perHit)</t>
        </is>
      </c>
      <c r="O474" s="9" t="inlineStr">
        <is>
          <t>DPS</t>
        </is>
      </c>
      <c r="P474" s="9" t="inlineStr">
        <is>
          <t>% of Total</t>
        </is>
      </c>
      <c r="Q474" s="9" t="inlineStr">
        <is>
          <t>InvCooldown</t>
        </is>
      </c>
      <c r="R474" s="9" t="inlineStr">
        <is>
          <t>CastsInFight</t>
        </is>
      </c>
      <c r="S474" s="9"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((Inputs!$B$6*(1+Inputs!$B$7/100))+(((Inputs!$B$12*(1+Inputs!$B$13/100))-(Inputs!$B$12*(1+Inputs!$B$13/100)))+0.25*(Inputs!$B$14-Inputs!$B$14))*(1+Inputs!$B$7/100))*(F475/100)</f>
        <v/>
      </c>
      <c r="K475">
        <f>J475*(1+((Inputs!$B$12*(1+Inputs!$B$13/100))*0.01+Inputs!$B$14*0.0025)/100)*(1+Inputs!$B$15/100)*(1+IF(Inputs!$B$38="pvp",0,(1-Summary!$B$55)*(Inputs!$B$20+0+Skills!P2)+Summary!$B$55*(Inputs!$B$21+Skills!Q2))/100)*(1+Inputs!$B$16/100)*(5000/(6000+Inputs!$B$42*(1-(Inputs!$B$19+((C500=TRUE)*(F500-Calc!F27)))/100)))*(1+(Inputs!$B$24+((C498=TRUE)*(F498-Calc!F25))+((C499=TRUE)*(F499-Calc!F26))+B512)/100)*(1+(IF(Skills!A2="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475)</f>
        <v/>
      </c>
      <c r="L475">
        <f>K475*(MIN(Inputs!$B$22+((C497=TRUE)*(F497-Calc!F24)),Inputs!$B$23+((C502=TRUE)*(F502-Calc!F29)))/100+(Inputs!$B$23+((C502=TRUE)*(F502-Calc!F29)))/100)/2</f>
        <v/>
      </c>
      <c r="M475">
        <f>L475*(1+(Inputs!$B$10+0+B511)/100)</f>
        <v/>
      </c>
      <c r="N475">
        <f>L475*(1-MIN(((Inputs!$B$9+1)+((C493=TRUE)*(F493-Calc!F20))+B506),100)/100)+M475*(MIN(((Inputs!$B$9+1)+((C493=TRUE)*(F493-Calc!F20))+B506),100)/100)</f>
        <v/>
      </c>
      <c r="O475">
        <f>IF(C475,Skills!G2*N475*B510*IF(Inputs!$B$38="pvp",1,(1-Summary!$B$55)*(1)+Summary!$B$55*(MIN((6+Inputs!$B$33),Inputs!$B$37))),0)</f>
        <v/>
      </c>
      <c r="P475">
        <f>IF(B514=0,0,O475/B514)</f>
        <v/>
      </c>
      <c r="Q475" t="n">
        <v>0</v>
      </c>
      <c r="R475" t="n">
        <v>0</v>
      </c>
      <c r="S475">
        <f>IFERROR(O475/N475,0)</f>
        <v/>
      </c>
      <c r="U475">
        <f>MAX(0,(Inputs!$B$3-100)*3)+Inputs!$B$28+Inputs!$B$29</f>
        <v/>
      </c>
    </row>
    <row r="476">
      <c r="A476">
        <f>Skills!A3</f>
        <v/>
      </c>
      <c r="B476">
        <f>Skills!B3</f>
        <v/>
      </c>
      <c r="C476">
        <f>Inputs!$B$3&gt;=50</f>
        <v/>
      </c>
      <c r="D476">
        <f>IF(Skills!C3=1,60+Inputs!$B$25+Inputs!$B$29,IF(Skills!C3=2,90+Inputs!$B$26+Inputs!$B$29,IF(Skills!C3=3,120+Inputs!$B$27+Inputs!$B$29,MAX(0,(Inputs!$B$3-100)*3)+Inputs!$B$28+Inputs!$B$29)))</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IF(Skills!C4=1,60+Inputs!$B$25+Inputs!$B$29,IF(Skills!C4=2,90+Inputs!$B$26+Inputs!$B$29,IF(Skills!C4=3,120+Inputs!$B$27+Inputs!$B$29,MAX(0,(Inputs!$B$3-100)*3)+Inputs!$B$28+Inputs!$B$29)))</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Inputs!$B$3&gt;=35</f>
        <v/>
      </c>
      <c r="D478">
        <f>IF(Skills!C5=1,60+Inputs!$B$25+Inputs!$B$29,IF(Skills!C5=2,90+Inputs!$B$26+Inputs!$B$29,IF(Skills!C5=3,120+Inputs!$B$27+Inputs!$B$29,MAX(0,(Inputs!$B$3-100)*3)+Inputs!$B$28+Inputs!$B$29)))</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((Inputs!$B$6*(1+Inputs!$B$7/100))+(((Inputs!$B$12*(1+Inputs!$B$13/100))-(Inputs!$B$12*(1+Inputs!$B$13/100)))+0.25*(Inputs!$B$14-Inputs!$B$14))*(1+Inputs!$B$7/100))*(F478/100)</f>
        <v/>
      </c>
      <c r="K478">
        <f>J478*(1+((Inputs!$B$12*(1+Inputs!$B$13/100))*0.01+Inputs!$B$14*0.0025)/100)*(1+Inputs!$B$15/100)*(1+IF(Inputs!$B$38="pvp",0,(1-Summary!$B$55)*(Inputs!$B$20+0+Skills!P5)+Summary!$B$55*(Inputs!$B$21+Skills!Q5))/100)*(1+Inputs!$B$16/100)*(5000/(6000+Inputs!$B$42*(1-(Inputs!$B$19+((C500=TRUE)*(F500-Calc!F27)))/100)))*(1+(Inputs!$B$24+((C498=TRUE)*(F498-Calc!F25))+((C499=TRUE)*(F499-Calc!F26))+B512)/100)*(1+4.0*IF(C483=TRUE,F483,0)/100)*(1+(IF(Skills!A5="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478)</f>
        <v/>
      </c>
      <c r="L478">
        <f>K478*(MIN(Inputs!$B$22+((C497=TRUE)*(F497-Calc!F24)),Inputs!$B$23+((C502=TRUE)*(F502-Calc!F29)))/100+(Inputs!$B$23+((C502=TRUE)*(F502-Calc!F29)))/100)/2</f>
        <v/>
      </c>
      <c r="M478">
        <f>L478*(1+(Inputs!$B$10+0+B511)/100)</f>
        <v/>
      </c>
      <c r="N478">
        <f>L478*(1-MIN(((Inputs!$B$9+1)+((C493=TRUE)*(F493-Calc!F20))+B506),100)/100)+M478*(MIN(((Inputs!$B$9+1)+((C493=TRUE)*(F493-Calc!F20))+B506),100)/100)</f>
        <v/>
      </c>
      <c r="O478">
        <f>IF(C478,H478*N478*IF(AND(Inputs!$B$38&lt;&gt;"pvp",Inputs!$B$43&gt;0),((Skills!G5*((R478-1)*IF(Skills!H5&gt;0,Skills!I5/Skills!H5,1)+IF(Skills!H5&gt;0,MIN(Skills!I5,MAX(0,MAX(0,Inputs!$B$43-B513)-((R478-1)*IF(Inputs!$B$38="pvp",15,MAX(0.1,Skills!D5-IF(Skills!E5=TRUE,Inputs!$B$32,0))))))/Skills!H5,1)))/Inputs!$B$43),G478*Q478)*IF(Inputs!$B$38="pvp",1,(1-Summary!$B$55)*(1)+Summary!$B$55*(MIN(Skills!R5,Inputs!$B$37))),0)</f>
        <v/>
      </c>
      <c r="P478">
        <f>IF(B514=0,0,O478/B514)</f>
        <v/>
      </c>
      <c r="Q478">
        <f>IFERROR(1/IF(Inputs!$B$38="pvp",15,MAX(0.1,Skills!D5-IF(Skills!E5=TRUE,Inputs!$B$32,0))),0)</f>
        <v/>
      </c>
      <c r="R478">
        <f>IF(AND(Inputs!$B$38&lt;&gt;"pvp",Inputs!$B$43&gt;0),IF(MAX(0,Inputs!$B$43-B513)&lt;=0,0,(INT(MAX(0,Inputs!$B$43-B513)/IF(Inputs!$B$38="pvp",15,MAX(0.1,Skills!D5-IF(Skills!E5=TRUE,Inputs!$B$32,0))))+1)),0)</f>
        <v/>
      </c>
      <c r="S478">
        <f>IFERROR(O478/N478,0)</f>
        <v/>
      </c>
    </row>
    <row r="479">
      <c r="A479">
        <f>Skills!A6</f>
        <v/>
      </c>
      <c r="B479">
        <f>Skills!B6</f>
        <v/>
      </c>
      <c r="C479">
        <f>Inputs!$B$3&gt;=40</f>
        <v/>
      </c>
      <c r="D479">
        <f>IF(Skills!C6=1,60+Inputs!$B$25+Inputs!$B$29,IF(Skills!C6=2,90+Inputs!$B$26+Inputs!$B$29,IF(Skills!C6=3,120+Inputs!$B$27+Inputs!$B$29,MAX(0,(Inputs!$B$3-100)*3)+Inputs!$B$28+Inputs!$B$29)))</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((Inputs!$B$6*(1+Inputs!$B$7/100))+(((Inputs!$B$12*(1+Inputs!$B$13/100))-(Inputs!$B$12*(1+Inputs!$B$13/100)))+0.25*(Inputs!$B$14-Inputs!$B$14))*(1+Inputs!$B$7/100))*(F479/100)</f>
        <v/>
      </c>
      <c r="K479">
        <f>J479*(1+((Inputs!$B$12*(1+Inputs!$B$13/100))*0.01+Inputs!$B$14*0.0025)/100)*(1+Inputs!$B$15/100)*(1+IF(Inputs!$B$38="pvp",0,(1-Summary!$B$55)*(Inputs!$B$20+0+Skills!P6)+Summary!$B$55*(Inputs!$B$21+Skills!Q6))/100)*(1+Inputs!$B$16/100)*(5000/(6000+Inputs!$B$42*(1-(Inputs!$B$19+((C500=TRUE)*(F500-Calc!F27)))/100)))*(1+(Inputs!$B$24+((C498=TRUE)*(F498-Calc!F25))+((C499=TRUE)*(F499-Calc!F26))+B512)/100)*(1+IF(C480=TRUE,F480,0)/100)*(1+(IF(Skills!A6="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479)</f>
        <v/>
      </c>
      <c r="L479">
        <f>K479*(MIN(Inputs!$B$22+((C497=TRUE)*(F497-Calc!F24)),Inputs!$B$23+((C502=TRUE)*(F502-Calc!F29)))/100+(Inputs!$B$23+((C502=TRUE)*(F502-Calc!F29)))/100)/2</f>
        <v/>
      </c>
      <c r="M479">
        <f>L479*(1+(Inputs!$B$10+0+B511)/100)</f>
        <v/>
      </c>
      <c r="N479">
        <f>L479*(1-MIN(((Inputs!$B$9+1)+((C493=TRUE)*(F493-Calc!F20))+B506),100)/100)+M479*(MIN(((Inputs!$B$9+1)+((C493=TRUE)*(F493-Calc!F20))+B506),100)/100)</f>
        <v/>
      </c>
      <c r="O479">
        <f>IF(C479,H479*N479*IF(AND(Inputs!$B$38&lt;&gt;"pvp",Inputs!$B$43&gt;0),((Skills!G6*((R479-1)*IF(Skills!H6&gt;0,Skills!I6/Skills!H6,1)+IF(Skills!H6&gt;0,MIN(Skills!I6,MAX(0,MAX(0,Inputs!$B$43-B513)-((R479-1)*IF(Inputs!$B$38="pvp",15,MAX(0.1,Skills!D6-IF(Skills!E6=TRUE,Inputs!$B$32,0))))))/Skills!H6,1)))/Inputs!$B$43),G479*Q479)*IF(Inputs!$B$38="pvp",1,(1-Summary!$B$55)*(1)+Summary!$B$55*(MIN(Skills!R6,Inputs!$B$37))),0)</f>
        <v/>
      </c>
      <c r="P479">
        <f>IF(B514=0,0,O479/B514)</f>
        <v/>
      </c>
      <c r="Q479">
        <f>IFERROR(1/IF(Inputs!$B$38="pvp",15,MAX(0.1,Skills!D6-IF(Skills!E6=TRUE,Inputs!$B$32,0))),0)</f>
        <v/>
      </c>
      <c r="R479">
        <f>IF(AND(Inputs!$B$38&lt;&gt;"pvp",Inputs!$B$43&gt;0),IF(MAX(0,Inputs!$B$43-B513)&lt;=0,0,(INT(MAX(0,Inputs!$B$43-B513)/IF(Inputs!$B$38="pvp",15,MAX(0.1,Skills!D6-IF(Skills!E6=TRUE,Inputs!$B$32,0))))+1)),0)</f>
        <v/>
      </c>
      <c r="S479">
        <f>IFERROR(O479/N479,0)</f>
        <v/>
      </c>
    </row>
    <row r="480">
      <c r="A480">
        <f>Skills!A7</f>
        <v/>
      </c>
      <c r="B480">
        <f>Skills!B7</f>
        <v/>
      </c>
      <c r="C480">
        <f>Inputs!$B$3&gt;=107</f>
        <v/>
      </c>
      <c r="D480">
        <f>IF(Skills!C7=1,60+Inputs!$B$25+Inputs!$B$29,IF(Skills!C7=2,90+Inputs!$B$26+Inputs!$B$29,IF(Skills!C7=3,120+Inputs!$B$27+Inputs!$B$29,MAX(0,(Inputs!$B$3-100)*3)+Inputs!$B$28+Inputs!$B$29)))</f>
        <v/>
      </c>
      <c r="E480">
        <f>INDEX(FactorTable!$B$2:$Y$301, MATCH(ROUND(MIN(300,MAX(1,D480)),0), FactorTable!$A$2:$A$301,0), Skills!M7+1)</f>
        <v/>
      </c>
      <c r="F480">
        <f>IF(Skills!N7=TRUE,(Skills!L7/10)*(E480/1000),Skills!L7/10)+Skills!O7</f>
        <v/>
      </c>
      <c r="G480" t="inlineStr"/>
      <c r="H480" t="inlineStr"/>
      <c r="I480" t="inlineStr">
        <is>
          <t>1</t>
        </is>
      </c>
      <c r="J480" t="inlineStr"/>
      <c r="K480" t="inlineStr"/>
      <c r="L480" t="inlineStr"/>
      <c r="M480" t="inlineStr"/>
      <c r="N480" t="inlineStr"/>
      <c r="O480" t="inlineStr"/>
      <c r="P480" t="inlineStr"/>
      <c r="Q480" t="inlineStr"/>
      <c r="R480" t="inlineStr"/>
      <c r="S480" t="inlineStr"/>
    </row>
    <row r="481">
      <c r="A481">
        <f>Skills!A8</f>
        <v/>
      </c>
      <c r="B481">
        <f>Skills!B8</f>
        <v/>
      </c>
      <c r="C481">
        <f>Inputs!$B$3&gt;=69</f>
        <v/>
      </c>
      <c r="D481">
        <f>IF(Skills!C8=1,60+Inputs!$B$25+Inputs!$B$29,IF(Skills!C8=2,90+Inputs!$B$26+Inputs!$B$29,IF(Skills!C8=3,120+Inputs!$B$27+Inputs!$B$29,MAX(0,(Inputs!$B$3-100)*3)+Inputs!$B$28+Inputs!$B$29)))</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((Inputs!$B$6*(1+Inputs!$B$7/100))+(((Inputs!$B$12*(1+Inputs!$B$13/100))-(Inputs!$B$12*(1+Inputs!$B$13/100)))+0.25*(Inputs!$B$14-Inputs!$B$14))*(1+Inputs!$B$7/100))*(F481/100)</f>
        <v/>
      </c>
      <c r="K481">
        <f>J481*(1+((Inputs!$B$12*(1+Inputs!$B$13/100))*0.01+Inputs!$B$14*0.0025)/100)*(1+Inputs!$B$15/100)*(1+IF(Inputs!$B$38="pvp",0,(1-Summary!$B$55)*(Inputs!$B$20+0+Skills!P8)+Summary!$B$55*(Inputs!$B$21+Skills!Q8))/100)*(1+Inputs!$B$16/100)*(5000/(6000+Inputs!$B$42*(1-(Inputs!$B$19+((C500=TRUE)*(F500-Calc!F27)))/100)))*(1+(Inputs!$B$24+((C498=TRUE)*(F498-Calc!F25))+((C499=TRUE)*(F499-Calc!F26))+B512)/100)*(1+1.2*IF(C483=TRUE,F483,0)/100)*(1+(IF(Skills!A8="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481)</f>
        <v/>
      </c>
      <c r="L481">
        <f>K481*(MIN(Inputs!$B$22+((C497=TRUE)*(F497-Calc!F24)),Inputs!$B$23+((C502=TRUE)*(F502-Calc!F29)))/100+(Inputs!$B$23+((C502=TRUE)*(F502-Calc!F29)))/100)/2</f>
        <v/>
      </c>
      <c r="M481">
        <f>L481*(1+(Inputs!$B$10+0+B511)/100)</f>
        <v/>
      </c>
      <c r="N481">
        <f>L481*(1-MIN(((Inputs!$B$9+1)+((C493=TRUE)*(F493-Calc!F20))+B506),100)/100)+M481*(MIN(((Inputs!$B$9+1)+((C493=TRUE)*(F493-Calc!F20))+B506),100)/100)</f>
        <v/>
      </c>
      <c r="O481">
        <f>IF(C481,H481*N481*IF(AND(Inputs!$B$38&lt;&gt;"pvp",Inputs!$B$43&gt;0),((Skills!G8*((R481-1)*IF(Skills!H8&gt;0,Skills!I8/Skills!H8,1)+IF(Skills!H8&gt;0,MIN(Skills!I8,MAX(0,MAX(0,Inputs!$B$43-B513)-((R481-1)*IF(Inputs!$B$38="pvp",15,MAX(0.1,Skills!D8-IF(Skills!E8=TRUE,Inputs!$B$32,0))))))/Skills!H8,1)))/Inputs!$B$43),G481*Q481)*IF(Inputs!$B$38="pvp",1,(1-Summary!$B$55)*(1)+Summary!$B$55*(MIN(Skills!R8,Inputs!$B$37))),0)</f>
        <v/>
      </c>
      <c r="P481">
        <f>IF(B514=0,0,O481/B514)</f>
        <v/>
      </c>
      <c r="Q481">
        <f>IFERROR(1/IF(Inputs!$B$38="pvp",15,MAX(0.1,Skills!D8-IF(Skills!E8=TRUE,Inputs!$B$32,0))),0)</f>
        <v/>
      </c>
      <c r="R481">
        <f>IF(AND(Inputs!$B$38&lt;&gt;"pvp",Inputs!$B$43&gt;0),IF(MAX(0,Inputs!$B$43-B513)&lt;=0,0,(INT(MAX(0,Inputs!$B$43-B513)/IF(Inputs!$B$38="pvp",15,MAX(0.1,Skills!D8-IF(Skills!E8=TRUE,Inputs!$B$32,0))))+1)),0)</f>
        <v/>
      </c>
      <c r="S481">
        <f>IFERROR(O481/N481,0)</f>
        <v/>
      </c>
    </row>
    <row r="482">
      <c r="A482">
        <f>Skills!A9</f>
        <v/>
      </c>
      <c r="B482">
        <f>Skills!B9</f>
        <v/>
      </c>
      <c r="C482">
        <f>Inputs!$B$3&gt;=63</f>
        <v/>
      </c>
      <c r="D482">
        <f>IF(Skills!C9=1,60+Inputs!$B$25+Inputs!$B$29,IF(Skills!C9=2,90+Inputs!$B$26+Inputs!$B$29,IF(Skills!C9=3,120+Inputs!$B$27+Inputs!$B$29,MAX(0,(Inputs!$B$3-100)*3)+Inputs!$B$28+Inputs!$B$29)))</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((Inputs!$B$6*(1+Inputs!$B$7/100))+(((Inputs!$B$12*(1+Inputs!$B$13/100))-(Inputs!$B$12*(1+Inputs!$B$13/100)))+0.25*(Inputs!$B$14-Inputs!$B$14))*(1+Inputs!$B$7/100))*(F482/100)</f>
        <v/>
      </c>
      <c r="K482">
        <f>J482*(1+((Inputs!$B$12*(1+Inputs!$B$13/100))*0.01+Inputs!$B$14*0.0025)/100)*(1+Inputs!$B$15/100)*(1+IF(Inputs!$B$38="pvp",0,(1-Summary!$B$55)*(Inputs!$B$20+0+Skills!P9)+Summary!$B$55*(Inputs!$B$21+Skills!Q9))/100)*(1+Inputs!$B$16/100)*(5000/(6000+Inputs!$B$42*(1-(Inputs!$B$19+((C500=TRUE)*(F500-Calc!F27)))/100)))*(1+(Inputs!$B$24+((C498=TRUE)*(F498-Calc!F25))+((C499=TRUE)*(F499-Calc!F26))+B512)/100)*(1+1.0*IF(C483=TRUE,F483,0)/100)*(1+(IF(Skills!A9="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482)</f>
        <v/>
      </c>
      <c r="L482">
        <f>K482*(MIN(Inputs!$B$22+((C497=TRUE)*(F497-Calc!F24)),Inputs!$B$23+((C502=TRUE)*(F502-Calc!F29)))/100+(Inputs!$B$23+((C502=TRUE)*(F502-Calc!F29)))/100)/2</f>
        <v/>
      </c>
      <c r="M482">
        <f>L482*(1+(Inputs!$B$10+0+B511)/100)</f>
        <v/>
      </c>
      <c r="N482">
        <f>L482*(1-MIN(((Inputs!$B$9+1)+((C493=TRUE)*(F493-Calc!F20))+B506),100)/100)+M482*(MIN(((Inputs!$B$9+1)+((C493=TRUE)*(F493-Calc!F20))+B506),100)/100)</f>
        <v/>
      </c>
      <c r="O482">
        <f>IF(C482,H482*N482*IF(AND(Inputs!$B$38&lt;&gt;"pvp",Inputs!$B$43&gt;0),((Skills!G9*((R482-1)*IF(Skills!H9&gt;0,Skills!I9/Skills!H9,1)+IF(Skills!H9&gt;0,MIN(Skills!I9,MAX(0,MAX(0,Inputs!$B$43-B513)-((R482-1)*IF(Inputs!$B$38="pvp",15,MAX(0.1,Skills!D9-IF(Skills!E9=TRUE,Inputs!$B$32,0))))))/Skills!H9,1)))/Inputs!$B$43),G482*Q482)*IF(Inputs!$B$38="pvp",1,(1-Summary!$B$55)*(1)+Summary!$B$55*(MIN(Skills!R9,Inputs!$B$37))),0)</f>
        <v/>
      </c>
      <c r="P482">
        <f>IF(B514=0,0,O482/B514)</f>
        <v/>
      </c>
      <c r="Q482">
        <f>IFERROR(1/IF(Inputs!$B$38="pvp",15,MAX(0.1,Skills!D9-IF(Skills!E9=TRUE,Inputs!$B$32,0))),0)</f>
        <v/>
      </c>
      <c r="R482">
        <f>IF(AND(Inputs!$B$38&lt;&gt;"pvp",Inputs!$B$43&gt;0),IF(MAX(0,Inputs!$B$43-B513)&lt;=0,0,(INT(MAX(0,Inputs!$B$43-B513)/IF(Inputs!$B$38="pvp",15,MAX(0.1,Skills!D9-IF(Skills!E9=TRUE,Inputs!$B$32,0))))+1)),0)</f>
        <v/>
      </c>
      <c r="S482">
        <f>IFERROR(O482/N482,0)</f>
        <v/>
      </c>
    </row>
    <row r="483">
      <c r="A483">
        <f>Skills!A10</f>
        <v/>
      </c>
      <c r="B483">
        <f>Skills!B10</f>
        <v/>
      </c>
      <c r="C483">
        <f>Inputs!$B$3&gt;=100</f>
        <v/>
      </c>
      <c r="D483">
        <f>IF(Skills!C10=1,60+Inputs!$B$25+Inputs!$B$29,IF(Skills!C10=2,90+Inputs!$B$26+Inputs!$B$29,IF(Skills!C10=3,120+Inputs!$B$27+Inputs!$B$29,MAX(0,(Inputs!$B$3-100)*3)+Inputs!$B$28+Inputs!$B$29)))</f>
        <v/>
      </c>
      <c r="E483">
        <f>INDEX(FactorTable!$B$2:$Y$301, MATCH(ROUND(MIN(300,MAX(1,D483)),0), FactorTable!$A$2:$A$301,0), Skills!M10+1)</f>
        <v/>
      </c>
      <c r="F483">
        <f>IF(Skills!N10=TRUE,(Skills!L10/10)*(E483/1000),Skills!L10/10)+Skills!O10</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Skills!A11</f>
        <v/>
      </c>
      <c r="B484">
        <f>Skills!B11</f>
        <v/>
      </c>
      <c r="C484">
        <f>Inputs!$B$3&gt;=60</f>
        <v/>
      </c>
      <c r="D484">
        <f>IF(Skills!C11=1,60+Inputs!$B$25+Inputs!$B$29,IF(Skills!C11=2,90+Inputs!$B$26+Inputs!$B$29,IF(Skills!C11=3,120+Inputs!$B$27+Inputs!$B$29,MAX(0,(Inputs!$B$3-100)*3)+Inputs!$B$28+Inputs!$B$29)))</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((Inputs!$B$6*(1+Inputs!$B$7/100))+(((Inputs!$B$12*(1+Inputs!$B$13/100))-(Inputs!$B$12*(1+Inputs!$B$13/100)))+0.25*(Inputs!$B$14-Inputs!$B$14))*(1+Inputs!$B$7/100))*(F484/100)</f>
        <v/>
      </c>
      <c r="K484">
        <f>J484*(1+((Inputs!$B$12*(1+Inputs!$B$13/100))*0.01+Inputs!$B$14*0.0025)/100)*(1+Inputs!$B$15/100)*(1+IF(Inputs!$B$38="pvp",0,(1-Summary!$B$55)*(Inputs!$B$20+0+Skills!P11)+Summary!$B$55*(Inputs!$B$21+Skills!Q11))/100)*(1+Inputs!$B$16/100)*(5000/(6000+Inputs!$B$42*(1-(Inputs!$B$19+((C500=TRUE)*(F500-Calc!F27)))/100)))*(1+(Inputs!$B$24+((C498=TRUE)*(F498-Calc!F25))+((C499=TRUE)*(F499-Calc!F26))+B512)/100)*(1+IF(C485=TRUE,F485,0)/100)*(1+(IF(Skills!A11="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484)</f>
        <v/>
      </c>
      <c r="L484">
        <f>K484*(MIN(Inputs!$B$22+((C497=TRUE)*(F497-Calc!F24)),Inputs!$B$23+((C502=TRUE)*(F502-Calc!F29)))/100+(Inputs!$B$23+((C502=TRUE)*(F502-Calc!F29)))/100)/2</f>
        <v/>
      </c>
      <c r="M484">
        <f>L484*(1+(Inputs!$B$10+0+B511)/100)</f>
        <v/>
      </c>
      <c r="N484">
        <f>L484*(1-MIN(((Inputs!$B$9+1)+((C493=TRUE)*(F493-Calc!F20))+B506),100)/100)+M484*(MIN(((Inputs!$B$9+1)+((C493=TRUE)*(F493-Calc!F20))+B506),100)/100)</f>
        <v/>
      </c>
      <c r="O484">
        <f>IF(C484,H484*N484*IF(AND(Inputs!$B$38&lt;&gt;"pvp",Inputs!$B$43&gt;0),((Skills!G11*((R484-1)*IF(Skills!H11&gt;0,Skills!I11/Skills!H11,1)+IF(Skills!H11&gt;0,MIN(Skills!I11,MAX(0,MAX(0,Inputs!$B$43-B513)-((R484-1)*IF(Inputs!$B$38="pvp",15,MAX(0.1,Skills!D11-IF(Skills!E11=TRUE,Inputs!$B$32,0))))))/Skills!H11,1)))/Inputs!$B$43),G484*Q484)*IF(Inputs!$B$38="pvp",1,(1-Summary!$B$55)*(1)+Summary!$B$55*(MIN(Skills!R11,Inputs!$B$37))),0)</f>
        <v/>
      </c>
      <c r="P484">
        <f>IF(B514=0,0,O484/B514)</f>
        <v/>
      </c>
      <c r="Q484">
        <f>IFERROR(1/IF(Inputs!$B$38="pvp",15,MAX(0.1,Skills!D11-IF(Skills!E11=TRUE,Inputs!$B$32,0))),0)</f>
        <v/>
      </c>
      <c r="R484">
        <f>IF(AND(Inputs!$B$38&lt;&gt;"pvp",Inputs!$B$43&gt;0),IF(MAX(0,Inputs!$B$43-B513)&lt;=0,0,(INT(MAX(0,Inputs!$B$43-B513)/IF(Inputs!$B$38="pvp",15,MAX(0.1,Skills!D11-IF(Skills!E11=TRUE,Inputs!$B$32,0))))+1)),0)</f>
        <v/>
      </c>
      <c r="S484">
        <f>IFERROR(O484/N484,0)</f>
        <v/>
      </c>
    </row>
    <row r="485">
      <c r="A485">
        <f>Skills!A12</f>
        <v/>
      </c>
      <c r="B485">
        <f>Skills!B12</f>
        <v/>
      </c>
      <c r="C485">
        <f>Inputs!$B$3&gt;=110</f>
        <v/>
      </c>
      <c r="D485">
        <f>IF(Skills!C12=1,60+Inputs!$B$25+Inputs!$B$29,IF(Skills!C12=2,90+Inputs!$B$26+Inputs!$B$29,IF(Skills!C12=3,120+Inputs!$B$27+Inputs!$B$29,MAX(0,(Inputs!$B$3-100)*3)+Inputs!$B$28+Inputs!$B$29)))</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Inputs!$B$3&gt;=74</f>
        <v/>
      </c>
      <c r="D486">
        <f>IF(Skills!C13=1,60+Inputs!$B$25+Inputs!$B$29,IF(Skills!C13=2,90+Inputs!$B$26+Inputs!$B$29,IF(Skills!C13=3,120+Inputs!$B$27+Inputs!$B$29,MAX(0,(Inputs!$B$3-100)*3)+Inputs!$B$28+Inputs!$B$29)))</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IF(B514=0,0,O486/B514)</f>
        <v/>
      </c>
      <c r="Q486" t="n">
        <v>0</v>
      </c>
      <c r="R486" t="n">
        <v>0</v>
      </c>
      <c r="S486">
        <f>IFERROR(O486/N486,0)</f>
        <v/>
      </c>
    </row>
    <row r="487">
      <c r="A487">
        <f>Skills!A14</f>
        <v/>
      </c>
      <c r="B487">
        <f>Skills!B14</f>
        <v/>
      </c>
      <c r="C487">
        <f>Inputs!$B$3&gt;=74</f>
        <v/>
      </c>
      <c r="D487">
        <f>IF(Skills!C14=1,60+Inputs!$B$25+Inputs!$B$29,IF(Skills!C14=2,90+Inputs!$B$26+Inputs!$B$29,IF(Skills!C14=3,120+Inputs!$B$27+Inputs!$B$29,MAX(0,(Inputs!$B$3-100)*3)+Inputs!$B$28+Inputs!$B$29)))</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IF(B514=0,0,O487/B514)</f>
        <v/>
      </c>
      <c r="Q487" t="n">
        <v>0</v>
      </c>
      <c r="R487" t="n">
        <v>0</v>
      </c>
      <c r="S487">
        <f>IFERROR(O487/N487,0)</f>
        <v/>
      </c>
    </row>
    <row r="488">
      <c r="A488">
        <f>Skills!A15</f>
        <v/>
      </c>
      <c r="B488">
        <f>Skills!B15</f>
        <v/>
      </c>
      <c r="C488">
        <f>Inputs!$B$3&gt;=117</f>
        <v/>
      </c>
      <c r="D488">
        <f>IF(Skills!C15=1,60+Inputs!$B$25+Inputs!$B$29,IF(Skills!C15=2,90+Inputs!$B$26+Inputs!$B$29,IF(Skills!C15=3,120+Inputs!$B$27+Inputs!$B$29,MAX(0,(Inputs!$B$3-100)*3)+Inputs!$B$28+Inputs!$B$29)))</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IF(B514=0,0,O488/B514)</f>
        <v/>
      </c>
      <c r="Q488">
        <f>IFERROR(1/IF(Inputs!$B$38="pvp",15,MAX(0.1,Skills!D15-IF(Skills!E15=TRUE,Inputs!$B$32,0))),0)</f>
        <v/>
      </c>
      <c r="R488">
        <f>IF(AND(Inputs!$B$38&lt;&gt;"pvp",Inputs!$B$43&gt;0),IF(Inputs!$B$43&lt;=0,0,(INT(Inputs!$B$43/IF(Inputs!$B$38="pvp",15,MAX(0.1,Skills!D15-IF(Skills!E15=TRUE,Inputs!$B$32,0))))+1)),0)</f>
        <v/>
      </c>
      <c r="S488">
        <f>IFERROR(O488/N488,0)</f>
        <v/>
      </c>
    </row>
    <row r="489">
      <c r="A489">
        <f>Skills!A16</f>
        <v/>
      </c>
      <c r="B489">
        <f>Skills!B16</f>
        <v/>
      </c>
      <c r="C489">
        <f>Inputs!$B$3&gt;=115</f>
        <v/>
      </c>
      <c r="D489">
        <f>IF(Skills!C16=1,60+Inputs!$B$25+Inputs!$B$29,IF(Skills!C16=2,90+Inputs!$B$26+Inputs!$B$29,IF(Skills!C16=3,120+Inputs!$B$27+Inputs!$B$29,MAX(0,(Inputs!$B$3-100)*3)+Inputs!$B$28+Inputs!$B$29)))</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IF(B514=0,0,O489/B514)</f>
        <v/>
      </c>
      <c r="Q489">
        <f>IFERROR(1/IF(Inputs!$B$38="pvp",15,MAX(0.1,Skills!D16-IF(Skills!E16=TRUE,Inputs!$B$32,0))),0)</f>
        <v/>
      </c>
      <c r="R489">
        <f>IF(AND(Inputs!$B$38&lt;&gt;"pvp",Inputs!$B$43&gt;0),IF(Inputs!$B$43&lt;=0,0,(INT(Inputs!$B$43/IF(Inputs!$B$38="pvp",15,MAX(0.1,Skills!D16-IF(Skills!E16=TRUE,Inputs!$B$32,0))))+1)),0)</f>
        <v/>
      </c>
      <c r="S489">
        <f>IFERROR(O489/N489,0)</f>
        <v/>
      </c>
    </row>
    <row r="490">
      <c r="A490">
        <f>Skills!A17</f>
        <v/>
      </c>
      <c r="B490">
        <f>Skills!B17</f>
        <v/>
      </c>
      <c r="C490">
        <f>Inputs!$B$3&gt;=66</f>
        <v/>
      </c>
      <c r="D490">
        <f>IF(Skills!C17=1,60+Inputs!$B$25+Inputs!$B$29,IF(Skills!C17=2,90+Inputs!$B$26+Inputs!$B$29,IF(Skills!C17=3,120+Inputs!$B$27+Inputs!$B$29,MAX(0,(Inputs!$B$3-100)*3)+Inputs!$B$28+Inputs!$B$29)))</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IF(B514=0,0,O490/B514)</f>
        <v/>
      </c>
      <c r="Q490" t="n">
        <v>0</v>
      </c>
      <c r="R490" t="n">
        <v>0</v>
      </c>
      <c r="S490">
        <f>IFERROR(O490/N490,0)</f>
        <v/>
      </c>
    </row>
    <row r="491">
      <c r="A491">
        <f>Skills!A18</f>
        <v/>
      </c>
      <c r="B491">
        <f>Skills!B18</f>
        <v/>
      </c>
      <c r="C491">
        <f>Inputs!$B$3&gt;=72</f>
        <v/>
      </c>
      <c r="D491">
        <f>IF(Skills!C18=1,60+Inputs!$B$25+Inputs!$B$29,IF(Skills!C18=2,90+Inputs!$B$26+Inputs!$B$29,IF(Skills!C18=3,120+Inputs!$B$27+Inputs!$B$29,MAX(0,(Inputs!$B$3-100)*3)+Inputs!$B$28+Inputs!$B$29)))</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IF(B514=0,0,O491/B514)</f>
        <v/>
      </c>
      <c r="Q491" t="n">
        <v>0</v>
      </c>
      <c r="R491" t="n">
        <v>0</v>
      </c>
      <c r="S491">
        <f>IFERROR(O491/N491,0)</f>
        <v/>
      </c>
    </row>
    <row r="492">
      <c r="A492">
        <f>Skills!A19</f>
        <v/>
      </c>
      <c r="B492">
        <f>Skills!B19</f>
        <v/>
      </c>
      <c r="C492">
        <f>TRUE</f>
        <v/>
      </c>
      <c r="D492">
        <f>IF(Skills!C19=1,60+Inputs!$B$25+Inputs!$B$29,IF(Skills!C19=2,90+Inputs!$B$26+Inputs!$B$29,IF(Skills!C19=3,120+Inputs!$B$27+Inputs!$B$29,MAX(0,(Inputs!$B$3-100)*3)+Inputs!$B$28+Inputs!$B$29)))</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IF(B514=0,0,O492/B514)</f>
        <v/>
      </c>
      <c r="Q492">
        <f>IFERROR(1/IF(Inputs!$B$38="pvp",15,MAX(0.1,Skills!D19-IF(Skills!E19=TRUE,Inputs!$B$32,0))),0)</f>
        <v/>
      </c>
      <c r="R492">
        <f>IF(AND(Inputs!$B$38&lt;&gt;"pvp",Inputs!$B$43&gt;0),IF(Inputs!$B$43&lt;=0,0,(INT(Inputs!$B$43/IF(Inputs!$B$38="pvp",15,MAX(0.1,Skills!D19-IF(Skills!E19=TRUE,Inputs!$B$32,0))))+1)),0)</f>
        <v/>
      </c>
      <c r="S492">
        <f>IFERROR(O492/N492,0)</f>
        <v/>
      </c>
    </row>
    <row r="493">
      <c r="A493">
        <f>Skills!A20</f>
        <v/>
      </c>
      <c r="B493">
        <f>Skills!B20</f>
        <v/>
      </c>
      <c r="C493">
        <f>Inputs!$B$3&gt;=15</f>
        <v/>
      </c>
      <c r="D493">
        <f>IF(Skills!C20=1,60+Inputs!$B$25+Inputs!$B$29,IF(Skills!C20=2,90+Inputs!$B$26+Inputs!$B$29,IF(Skills!C20=3,120+Inputs!$B$27+Inputs!$B$29,MAX(0,(Inputs!$B$3-100)*3)+Inputs!$B$28+Inputs!$B$29)))</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IF(B514=0,0,O493/B514)</f>
        <v/>
      </c>
      <c r="Q493" t="n">
        <v>0</v>
      </c>
      <c r="R493" t="n">
        <v>0</v>
      </c>
      <c r="S493">
        <f>IFERROR(O493/N493,0)</f>
        <v/>
      </c>
    </row>
    <row r="494">
      <c r="A494">
        <f>Skills!A21</f>
        <v/>
      </c>
      <c r="B494">
        <f>Skills!B21</f>
        <v/>
      </c>
      <c r="C494">
        <f>Inputs!$B$3&gt;=10</f>
        <v/>
      </c>
      <c r="D494">
        <f>IF(Skills!C21=1,60+Inputs!$B$25+Inputs!$B$29,IF(Skills!C21=2,90+Inputs!$B$26+Inputs!$B$29,IF(Skills!C21=3,120+Inputs!$B$27+Inputs!$B$29,MAX(0,(Inputs!$B$3-100)*3)+Inputs!$B$28+Inputs!$B$29)))</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IF(B514=0,0,O494/B514)</f>
        <v/>
      </c>
      <c r="Q494" t="n">
        <v>0</v>
      </c>
      <c r="R494" t="n">
        <v>0</v>
      </c>
      <c r="S494">
        <f>IFERROR(O494/N494,0)</f>
        <v/>
      </c>
    </row>
    <row r="495">
      <c r="A495">
        <f>Skills!A22</f>
        <v/>
      </c>
      <c r="B495">
        <f>Skills!B22</f>
        <v/>
      </c>
      <c r="C495">
        <f>Inputs!$B$3&gt;=33</f>
        <v/>
      </c>
      <c r="D495">
        <f>IF(Skills!C22=1,60+Inputs!$B$25+Inputs!$B$29,IF(Skills!C22=2,90+Inputs!$B$26+Inputs!$B$29,IF(Skills!C22=3,120+Inputs!$B$27+Inputs!$B$29,MAX(0,(Inputs!$B$3-100)*3)+Inputs!$B$28+Inputs!$B$29)))</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IF(B514=0,0,O495/B514)</f>
        <v/>
      </c>
      <c r="Q495" t="n">
        <v>0</v>
      </c>
      <c r="R495" t="n">
        <v>0</v>
      </c>
      <c r="S495">
        <f>IFERROR(O495/N495,0)</f>
        <v/>
      </c>
    </row>
    <row r="496">
      <c r="A496">
        <f>Skills!A23</f>
        <v/>
      </c>
      <c r="B496">
        <f>Skills!B23</f>
        <v/>
      </c>
      <c r="C496">
        <f>Inputs!$B$3&gt;=38</f>
        <v/>
      </c>
      <c r="D496">
        <f>IF(Skills!C23=1,60+Inputs!$B$25+Inputs!$B$29,IF(Skills!C23=2,90+Inputs!$B$26+Inputs!$B$29,IF(Skills!C23=3,120+Inputs!$B$27+Inputs!$B$29,MAX(0,(Inputs!$B$3-100)*3)+Inputs!$B$28+Inputs!$B$29)))</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IF(B514=0,0,O496/B514)</f>
        <v/>
      </c>
      <c r="Q496" t="n">
        <v>0</v>
      </c>
      <c r="R496" t="n">
        <v>0</v>
      </c>
      <c r="S496">
        <f>IFERROR(O496/N496,0)</f>
        <v/>
      </c>
    </row>
    <row r="497">
      <c r="A497">
        <f>Skills!A24</f>
        <v/>
      </c>
      <c r="B497">
        <f>Skills!B24</f>
        <v/>
      </c>
      <c r="C497">
        <f>Inputs!$B$3&gt;=43</f>
        <v/>
      </c>
      <c r="D497">
        <f>IF(Skills!C24=1,60+Inputs!$B$25+Inputs!$B$29,IF(Skills!C24=2,90+Inputs!$B$26+Inputs!$B$29,IF(Skills!C24=3,120+Inputs!$B$27+Inputs!$B$29,MAX(0,(Inputs!$B$3-100)*3)+Inputs!$B$28+Inputs!$B$29)))</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IF(B514=0,0,O497/B514)</f>
        <v/>
      </c>
      <c r="Q497" t="n">
        <v>0</v>
      </c>
      <c r="R497" t="n">
        <v>0</v>
      </c>
      <c r="S497">
        <f>IFERROR(O497/N497,0)</f>
        <v/>
      </c>
    </row>
    <row r="498">
      <c r="A498">
        <f>Skills!A25</f>
        <v/>
      </c>
      <c r="B498">
        <f>Skills!B25</f>
        <v/>
      </c>
      <c r="C498">
        <f>Inputs!$B$3&gt;=75</f>
        <v/>
      </c>
      <c r="D498">
        <f>IF(Skills!C25=1,60+Inputs!$B$25+Inputs!$B$29,IF(Skills!C25=2,90+Inputs!$B$26+Inputs!$B$29,IF(Skills!C25=3,120+Inputs!$B$27+Inputs!$B$29,MAX(0,(Inputs!$B$3-100)*3)+Inputs!$B$28+Inputs!$B$29)))</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IF(B514=0,0,O498/B514)</f>
        <v/>
      </c>
      <c r="Q498" t="n">
        <v>0</v>
      </c>
      <c r="R498" t="n">
        <v>0</v>
      </c>
      <c r="S498">
        <f>IFERROR(O498/N498,0)</f>
        <v/>
      </c>
    </row>
    <row r="499">
      <c r="A499">
        <f>Skills!A26</f>
        <v/>
      </c>
      <c r="B499">
        <f>Skills!B26</f>
        <v/>
      </c>
      <c r="C499">
        <f>Inputs!$B$3&gt;=125</f>
        <v/>
      </c>
      <c r="D499">
        <f>IF(Skills!C26=1,60+Inputs!$B$25+Inputs!$B$29,IF(Skills!C26=2,90+Inputs!$B$26+Inputs!$B$29,IF(Skills!C26=3,120+Inputs!$B$27+Inputs!$B$29,MAX(0,(Inputs!$B$3-100)*3)+Inputs!$B$28+Inputs!$B$29)))</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IF(B514=0,0,O499/B514)</f>
        <v/>
      </c>
      <c r="Q499" t="n">
        <v>0</v>
      </c>
      <c r="R499" t="n">
        <v>0</v>
      </c>
      <c r="S499">
        <f>IFERROR(O499/N499,0)</f>
        <v/>
      </c>
    </row>
    <row r="500">
      <c r="A500">
        <f>Skills!A27</f>
        <v/>
      </c>
      <c r="B500">
        <f>Skills!B27</f>
        <v/>
      </c>
      <c r="C500">
        <f>Inputs!$B$3&gt;=125</f>
        <v/>
      </c>
      <c r="D500">
        <f>IF(Skills!C27=1,60+Inputs!$B$25+Inputs!$B$29,IF(Skills!C27=2,90+Inputs!$B$26+Inputs!$B$29,IF(Skills!C27=3,120+Inputs!$B$27+Inputs!$B$29,MAX(0,(Inputs!$B$3-100)*3)+Inputs!$B$28+Inputs!$B$29)))</f>
        <v/>
      </c>
      <c r="E500">
        <f>INDEX(FactorTable!$B$2:$Y$301, MATCH(ROUND(MIN(300,MAX(1,D500)),0), FactorTable!$A$2:$A$301,0), Skills!M27+1)</f>
        <v/>
      </c>
      <c r="F500">
        <f>IF(Skills!N27=TRUE,(Skills!L27/10)*(E500/1000),Skills!L27/10)+Skills!O27</f>
        <v/>
      </c>
      <c r="G500">
        <f>Skills!G27*IF(Skills!H27&gt;0,Skills!I27/Skills!H27,1)</f>
        <v/>
      </c>
      <c r="H500">
        <f>1-(1-Skills!J27/100)^Skills!K27</f>
        <v/>
      </c>
      <c r="I500" t="inlineStr">
        <is>
          <t>1</t>
        </is>
      </c>
      <c r="J500" t="inlineStr"/>
      <c r="K500" t="inlineStr"/>
      <c r="L500" t="inlineStr"/>
      <c r="M500" t="inlineStr"/>
      <c r="N500" t="inlineStr"/>
      <c r="O500" t="n">
        <v>0</v>
      </c>
      <c r="P500">
        <f>IF(B514=0,0,O500/B514)</f>
        <v/>
      </c>
      <c r="Q500" t="n">
        <v>0</v>
      </c>
      <c r="R500" t="n">
        <v>0</v>
      </c>
      <c r="S500">
        <f>IFERROR(O500/N500,0)</f>
        <v/>
      </c>
    </row>
    <row r="501">
      <c r="A501">
        <f>Skills!A28</f>
        <v/>
      </c>
      <c r="B501">
        <f>Skills!B28</f>
        <v/>
      </c>
      <c r="C501">
        <f>Inputs!$B$3&gt;=120</f>
        <v/>
      </c>
      <c r="D501">
        <f>IF(Skills!C28=1,60+Inputs!$B$25+Inputs!$B$29,IF(Skills!C28=2,90+Inputs!$B$26+Inputs!$B$29,IF(Skills!C28=3,120+Inputs!$B$27+Inputs!$B$29,MAX(0,(Inputs!$B$3-100)*3)+Inputs!$B$28+Inputs!$B$29)))</f>
        <v/>
      </c>
      <c r="E501">
        <f>INDEX(FactorTable!$B$2:$Y$301, MATCH(ROUND(MIN(300,MAX(1,D501)),0), FactorTable!$A$2:$A$301,0), Skills!M28+1)</f>
        <v/>
      </c>
      <c r="F501">
        <f>IF(Skills!N28=TRUE,(Skills!L28/10)*(E501/1000),Skills!L28/10)+Skills!O28</f>
        <v/>
      </c>
      <c r="G501">
        <f>Skills!G28*IF(Skills!H28&gt;0,Skills!I28/Skills!H28,1)</f>
        <v/>
      </c>
      <c r="H501">
        <f>1-(1-Skills!J28/100)^Skills!K28</f>
        <v/>
      </c>
      <c r="I501" t="inlineStr">
        <is>
          <t>1</t>
        </is>
      </c>
      <c r="J501" t="inlineStr"/>
      <c r="K501" t="inlineStr"/>
      <c r="L501" t="inlineStr"/>
      <c r="M501" t="inlineStr"/>
      <c r="N501" t="inlineStr"/>
      <c r="O501" t="n">
        <v>0</v>
      </c>
      <c r="P501">
        <f>IF(B514=0,0,O501/B514)</f>
        <v/>
      </c>
      <c r="Q501" t="n">
        <v>0</v>
      </c>
      <c r="R501" t="n">
        <v>0</v>
      </c>
      <c r="S501">
        <f>IFERROR(O501/N501,0)</f>
        <v/>
      </c>
    </row>
    <row r="502">
      <c r="A502">
        <f>Skills!A29</f>
        <v/>
      </c>
      <c r="B502">
        <f>Skills!B29</f>
        <v/>
      </c>
      <c r="C502">
        <f>Inputs!$B$3&gt;=120</f>
        <v/>
      </c>
      <c r="D502">
        <f>IF(Skills!C29=1,60+Inputs!$B$25+Inputs!$B$29,IF(Skills!C29=2,90+Inputs!$B$26+Inputs!$B$29,IF(Skills!C29=3,120+Inputs!$B$27+Inputs!$B$29,MAX(0,(Inputs!$B$3-100)*3)+Inputs!$B$28+Inputs!$B$29)))</f>
        <v/>
      </c>
      <c r="E502">
        <f>INDEX(FactorTable!$B$2:$Y$301, MATCH(ROUND(MIN(300,MAX(1,D502)),0), FactorTable!$A$2:$A$301,0), Skills!M29+1)</f>
        <v/>
      </c>
      <c r="F502">
        <f>IF(Skills!N29=TRUE,(Skills!L29/10)*(E502/1000),Skills!L29/10)+Skills!O29</f>
        <v/>
      </c>
      <c r="G502">
        <f>Skills!G29*IF(Skills!H29&gt;0,Skills!I29/Skills!H29,1)</f>
        <v/>
      </c>
      <c r="H502">
        <f>1-(1-Skills!J29/100)^Skills!K29</f>
        <v/>
      </c>
      <c r="I502" t="inlineStr">
        <is>
          <t>1</t>
        </is>
      </c>
      <c r="J502" t="inlineStr"/>
      <c r="K502" t="inlineStr"/>
      <c r="L502" t="inlineStr"/>
      <c r="M502" t="inlineStr"/>
      <c r="N502" t="inlineStr"/>
      <c r="O502" t="n">
        <v>0</v>
      </c>
      <c r="P502">
        <f>IF(B514=0,0,O502/B514)</f>
        <v/>
      </c>
      <c r="Q502" t="n">
        <v>0</v>
      </c>
      <c r="R502" t="n">
        <v>0</v>
      </c>
      <c r="S502">
        <f>IFERROR(O502/N502,0)</f>
        <v/>
      </c>
    </row>
    <row r="503">
      <c r="A503">
        <f>Skills!A30</f>
        <v/>
      </c>
      <c r="B503">
        <f>Skills!B30</f>
        <v/>
      </c>
      <c r="C503">
        <f>Inputs!$B$3&gt;=45</f>
        <v/>
      </c>
      <c r="D503">
        <f>IF(Skills!C30=1,60+Inputs!$B$25+Inputs!$B$29,IF(Skills!C30=2,90+Inputs!$B$26+Inputs!$B$29,IF(Skills!C30=3,120+Inputs!$B$27+Inputs!$B$29,MAX(0,(Inputs!$B$3-100)*3)+Inputs!$B$28+Inputs!$B$29)))</f>
        <v/>
      </c>
      <c r="E503">
        <f>INDEX(FactorTable!$B$2:$Y$301, MATCH(ROUND(MIN(300,MAX(1,D503)),0), FactorTable!$A$2:$A$301,0), Skills!M30+1)</f>
        <v/>
      </c>
      <c r="F503">
        <f>IF(Skills!N30=TRUE,(Skills!L30/10)*(E503/1000),Skills!L30/10)+Skills!O30</f>
        <v/>
      </c>
      <c r="G503">
        <f>Skills!G30*IF(Skills!H30&gt;0,Skills!I30/Skills!H30,1)</f>
        <v/>
      </c>
      <c r="H503">
        <f>1-(1-Skills!J30/100)^Skills!K30</f>
        <v/>
      </c>
      <c r="I503" t="inlineStr">
        <is>
          <t>1</t>
        </is>
      </c>
      <c r="J503" t="inlineStr"/>
      <c r="K503" t="inlineStr"/>
      <c r="L503" t="inlineStr"/>
      <c r="M503" t="inlineStr"/>
      <c r="N503" t="inlineStr"/>
      <c r="O503" t="n">
        <v>0</v>
      </c>
      <c r="P503">
        <f>IF(B514=0,0,O503/B514)</f>
        <v/>
      </c>
      <c r="Q503" t="n">
        <v>0</v>
      </c>
      <c r="R503" t="n">
        <v>0</v>
      </c>
      <c r="S503">
        <f>IFERROR(O503/N503,0)</f>
        <v/>
      </c>
    </row>
    <row r="505">
      <c r="A505" t="inlineStr">
        <is>
          <t>Attack% Bucket Multiplier</t>
        </is>
      </c>
      <c r="B505">
        <f>(1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f>
        <v/>
      </c>
    </row>
    <row r="506">
      <c r="A506" t="inlineStr">
        <is>
          <t>Global Crit Rate Bonus %</t>
        </is>
      </c>
      <c r="B506">
        <f>(C489=TRUE)*20*IF(AND(Inputs!$B$38&lt;&gt;"pvp",Inputs!$B$43&gt;0),(((R489-1)*(Skills!T16*(1+Inputs!$B$34/100))+MIN((Skills!T16*(1+Inputs!$B$34/100)),MAX(0,Inputs!$B$43-((R489-1)*Skills!D16))))/Inputs!$B$43),IF(Inputs!$B$38="pvp",MIN((Skills!T16*(1+Inputs!$B$34/100)),15)/15,(Skills!T16*(1+Inputs!$B$34/100))/Skills!D16))</f>
        <v/>
      </c>
    </row>
    <row r="507">
      <c r="A507" t="inlineStr">
        <is>
          <t>Attack Speed Buff Bonus %</t>
        </is>
      </c>
      <c r="B507">
        <f>((C492=TRUE)*F492*IF(AND(Inputs!$B$38&lt;&gt;"pvp",Inputs!$B$43&gt;0),(((R492-1)*(Skills!T19*(1+Inputs!$B$34/100))+MIN((Skills!T19*(1+Inputs!$B$34/100)),MAX(0,Inputs!$B$43-((R492-1)*Skills!D19))))/Inputs!$B$43),IF(Inputs!$B$38="pvp",MIN((Skills!T19*(1+Inputs!$B$34/100)),15)/15,(Skills!T19*(1+Inputs!$B$34/100))/Skills!D19)))</f>
        <v/>
      </c>
    </row>
    <row r="508">
      <c r="A508" t="inlineStr">
        <is>
          <t>Actions Per Second</t>
        </is>
      </c>
      <c r="B508">
        <f>1+MIN(150,150*(1-(1-(Inputs!$B$11+((C494=TRUE)*(F494-Calc!F21))+((C495=TRUE)*(F495-Calc!F22)))/150)*(1-B507/150)))/100</f>
        <v/>
      </c>
    </row>
    <row r="509">
      <c r="A509" t="inlineStr">
        <is>
          <t>Skill + Buff Cast Rate</t>
        </is>
      </c>
      <c r="B509">
        <f>IF(AND(Inputs!$B$38&lt;&gt;"pvp",Inputs!$B$43&gt;0),SUMPRODUCT((Skills!E2:E30=TRUE)*(C475:C503=TRUE)*R475:R503*Skills!F2:F30)/Inputs!$B$43,SUMPRODUCT((Skills!E2:E30=TRUE)*(C475:C503=TRUE)*Q475:Q503*Skills!F2:F30))</f>
        <v/>
      </c>
    </row>
    <row r="510">
      <c r="A510" t="inlineStr">
        <is>
          <t>Arrow Stream Casts Per Second</t>
        </is>
      </c>
      <c r="B510">
        <f>MAX(0,B508-B509)</f>
        <v/>
      </c>
    </row>
    <row r="511">
      <c r="A511" t="inlineStr">
        <is>
          <t>Global Critical Damage Bonus % (Sharp Eyes + Concentration)</t>
        </is>
      </c>
      <c r="B511">
        <f>(C489=TRUE)*F489*IF(AND(Inputs!$B$38&lt;&gt;"pvp",Inputs!$B$43&gt;0),(((R489-1)*(Skills!T16*(1+Inputs!$B$34/100))+MIN((Skills!T16*(1+Inputs!$B$34/100)),MAX(0,Inputs!$B$43-((R489-1)*Skills!D16))))/Inputs!$B$43),IF(Inputs!$B$38="pvp",MIN((Skills!T16*(1+Inputs!$B$34/100)),15)/15,(Skills!T16*(1+Inputs!$B$34/100))/Skills!D16))+(C490=TRUE)*30</f>
        <v/>
      </c>
    </row>
    <row r="512">
      <c r="A512" t="inlineStr">
        <is>
          <t>Global Final Damage Bonus % (Mortal Blow)</t>
        </is>
      </c>
      <c r="B512">
        <f>(C491=TRUE)*F491</f>
        <v/>
      </c>
    </row>
    <row r="513">
      <c r="A513" t="inlineStr">
        <is>
          <t>Buff-Casting Startup Delay (s, fixed-duration only)</t>
        </is>
      </c>
      <c r="B513">
        <f>IF(AND(Inputs!$B$38&lt;&gt;"pvp",Inputs!$B$43&gt;0),SUMPRODUCT((Skills!T2:T30&gt;0)*(Skills!E2:E30=TRUE)*(C475:C503=TRUE))/B508,0)</f>
        <v/>
      </c>
    </row>
    <row r="514">
      <c r="A514" s="5" t="inlineStr">
        <is>
          <t>TOTAL DPS</t>
        </is>
      </c>
      <c r="B514" s="5">
        <f>SUM(O475:O503)</f>
        <v/>
      </c>
    </row>
    <row r="517">
      <c r="A517" s="5" t="inlineStr">
        <is>
          <t>Stat: CRIT_DAMAGE %</t>
        </is>
      </c>
    </row>
    <row r="518">
      <c r="A518" s="9" t="inlineStr">
        <is>
          <t>Key</t>
        </is>
      </c>
      <c r="B518" s="9" t="inlineStr">
        <is>
          <t>Name</t>
        </is>
      </c>
      <c r="C518" s="9" t="inlineStr">
        <is>
          <t>Unlocked</t>
        </is>
      </c>
      <c r="D518" s="9" t="inlineStr">
        <is>
          <t>InputLevel</t>
        </is>
      </c>
      <c r="E518" s="9" t="inlineStr">
        <is>
          <t>Factor</t>
        </is>
      </c>
      <c r="F518" s="9" t="inlineStr">
        <is>
          <t>CoefficientPercent</t>
        </is>
      </c>
      <c r="G518" s="9" t="inlineStr">
        <is>
          <t>EffectiveHits</t>
        </is>
      </c>
      <c r="H518" s="9" t="inlineStr">
        <is>
          <t>ProcProbability</t>
        </is>
      </c>
      <c r="I518" s="9" t="inlineStr">
        <is>
          <t>MapleHeroMultiplier</t>
        </is>
      </c>
      <c r="J518" s="9" t="inlineStr">
        <is>
          <t>BaseDamage</t>
        </is>
      </c>
      <c r="K518" s="9" t="inlineStr">
        <is>
          <t>BaseHitDamage</t>
        </is>
      </c>
      <c r="L518" s="9" t="inlineStr">
        <is>
          <t>NonCritAvg</t>
        </is>
      </c>
      <c r="M518" s="9" t="inlineStr">
        <is>
          <t>CritAvg</t>
        </is>
      </c>
      <c r="N518" s="9" t="inlineStr">
        <is>
          <t>ExpectedDamage(perHit)</t>
        </is>
      </c>
      <c r="O518" s="9" t="inlineStr">
        <is>
          <t>DPS</t>
        </is>
      </c>
      <c r="P518" s="9" t="inlineStr">
        <is>
          <t>% of Total</t>
        </is>
      </c>
      <c r="Q518" s="9" t="inlineStr">
        <is>
          <t>InvCooldown</t>
        </is>
      </c>
      <c r="R518" s="9" t="inlineStr">
        <is>
          <t>CastsInFight</t>
        </is>
      </c>
      <c r="S518" s="9" t="inlineStr">
        <is>
          <t>HitRate(perSec)</t>
        </is>
      </c>
      <c r="U518" t="inlineStr">
        <is>
          <t>helpers</t>
        </is>
      </c>
    </row>
    <row r="519">
      <c r="A519">
        <f>Skills!A2</f>
        <v/>
      </c>
      <c r="B519">
        <f>Skills!B2</f>
        <v/>
      </c>
      <c r="C519">
        <f>Inputs!$B$3&gt;=100</f>
        <v/>
      </c>
      <c r="D519" t="inlineStr"/>
      <c r="E519" t="inlineStr"/>
      <c r="F519">
        <f>U521+Skills!O2</f>
        <v/>
      </c>
      <c r="G519">
        <f>Skills!G2*IF(Skills!H2&gt;0,Skills!I2/Skills!H2,1)</f>
        <v/>
      </c>
      <c r="H519">
        <f>1-(1-Skills!J2/100)^Skills!K2</f>
        <v/>
      </c>
      <c r="I519" t="inlineStr">
        <is>
          <t>1</t>
        </is>
      </c>
      <c r="J519">
        <f>((Inputs!$B$6*(1+Inputs!$B$7/100))+(((Inputs!$B$12*(1+Inputs!$B$13/100))-(Inputs!$B$12*(1+Inputs!$B$13/100)))+0.25*(Inputs!$B$14-Inputs!$B$14))*(1+Inputs!$B$7/100))*(F519/100)</f>
        <v/>
      </c>
      <c r="K519">
        <f>J519*(1+((Inputs!$B$12*(1+Inputs!$B$13/100))*0.01+Inputs!$B$14*0.0025)/100)*(1+Inputs!$B$15/100)*(1+IF(Inputs!$B$38="pvp",0,(1-Summary!$B$55)*(Inputs!$B$20+0+Skills!P2)+Summary!$B$55*(Inputs!$B$21+Skills!Q2))/100)*(1+Inputs!$B$16/100)*(5000/(6000+Inputs!$B$42*(1-(Inputs!$B$19+((C544=TRUE)*(F544-Calc!F27)))/100)))*(1+(Inputs!$B$24+((C542=TRUE)*(F542-Calc!F25))+((C543=TRUE)*(F543-Calc!F26))+B556)/100)*(1+(IF(Skills!A2="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519)</f>
        <v/>
      </c>
      <c r="L519">
        <f>K519*(MIN(Inputs!$B$22+((C541=TRUE)*(F541-Calc!F24)),Inputs!$B$23+((C546=TRUE)*(F546-Calc!F29)))/100+(Inputs!$B$23+((C546=TRUE)*(F546-Calc!F29)))/100)/2</f>
        <v/>
      </c>
      <c r="M519">
        <f>L519*(1+((Inputs!$B$10+1)+0+B555)/100)</f>
        <v/>
      </c>
      <c r="N519">
        <f>L519*(1-MIN((Inputs!$B$9+((C537=TRUE)*(F537-Calc!F20))+B550),100)/100)+M519*(MIN((Inputs!$B$9+((C537=TRUE)*(F537-Calc!F20))+B550),100)/100)</f>
        <v/>
      </c>
      <c r="O519">
        <f>IF(C519,Skills!G2*N519*B554*IF(Inputs!$B$38="pvp",1,(1-Summary!$B$55)*(1)+Summary!$B$55*(MIN((6+Inputs!$B$33),Inputs!$B$37))),0)</f>
        <v/>
      </c>
      <c r="P519">
        <f>IF(B558=0,0,O519/B558)</f>
        <v/>
      </c>
      <c r="Q519" t="n">
        <v>0</v>
      </c>
      <c r="R519" t="n">
        <v>0</v>
      </c>
      <c r="S519">
        <f>IFERROR(O519/N519,0)</f>
        <v/>
      </c>
      <c r="U519">
        <f>MAX(0,(Inputs!$B$3-100)*3)+Inputs!$B$28+Inputs!$B$29</f>
        <v/>
      </c>
    </row>
    <row r="520">
      <c r="A520">
        <f>Skills!A3</f>
        <v/>
      </c>
      <c r="B520">
        <f>Skills!B3</f>
        <v/>
      </c>
      <c r="C520">
        <f>Inputs!$B$3&gt;=50</f>
        <v/>
      </c>
      <c r="D520">
        <f>IF(Skills!C3=1,60+Inputs!$B$25+Inputs!$B$29,IF(Skills!C3=2,90+Inputs!$B$26+Inputs!$B$29,IF(Skills!C3=3,120+Inputs!$B$27+Inputs!$B$29,MAX(0,(Inputs!$B$3-100)*3)+Inputs!$B$28+Inputs!$B$29)))</f>
        <v/>
      </c>
      <c r="E520">
        <f>INDEX(FactorTable!$B$2:$Y$301, MATCH(ROUND(MIN(300,MAX(1,D520)),0), FactorTable!$A$2:$A$301,0), Skills!M3+1)</f>
        <v/>
      </c>
      <c r="F520">
        <f>IF(Skills!N3=TRUE,(Skills!L3/10)*(E520/1000),Skills!L3/10)+Skills!O3</f>
        <v/>
      </c>
      <c r="G520" t="inlineStr"/>
      <c r="H520" t="inlineStr"/>
      <c r="I520" t="inlineStr">
        <is>
          <t>1</t>
        </is>
      </c>
      <c r="J520" t="inlineStr"/>
      <c r="K520" t="inlineStr"/>
      <c r="L520" t="inlineStr"/>
      <c r="M520" t="inlineStr"/>
      <c r="N520" t="inlineStr"/>
      <c r="O520" t="inlineStr"/>
      <c r="P520" t="inlineStr"/>
      <c r="Q520" t="inlineStr"/>
      <c r="R520" t="inlineStr"/>
      <c r="S520" t="inlineStr"/>
      <c r="U520">
        <f>INDEX(FactorTable!$B$2:$Y$301, MATCH(ROUND(MIN(300,MAX(1,U519)),0), FactorTable!$A$2:$A$301,0), 22)</f>
        <v/>
      </c>
    </row>
    <row r="521">
      <c r="A521">
        <f>Skills!A4</f>
        <v/>
      </c>
      <c r="B521">
        <f>Skills!B4</f>
        <v/>
      </c>
      <c r="C521">
        <f>Inputs!$B$3&gt;=105</f>
        <v/>
      </c>
      <c r="D521">
        <f>IF(Skills!C4=1,60+Inputs!$B$25+Inputs!$B$29,IF(Skills!C4=2,90+Inputs!$B$26+Inputs!$B$29,IF(Skills!C4=3,120+Inputs!$B$27+Inputs!$B$29,MAX(0,(Inputs!$B$3-100)*3)+Inputs!$B$28+Inputs!$B$29)))</f>
        <v/>
      </c>
      <c r="E521">
        <f>INDEX(FactorTable!$B$2:$Y$301, MATCH(ROUND(MIN(300,MAX(1,D521)),0), FactorTable!$A$2:$A$301,0), Skills!M4+1)</f>
        <v/>
      </c>
      <c r="F521">
        <f>IF(Skills!N4=TRUE,(Skills!L4/10)*(E521/1000),Skills!L4/10)+Skills!O4</f>
        <v/>
      </c>
      <c r="G521" t="inlineStr"/>
      <c r="H521" t="inlineStr"/>
      <c r="I521" t="inlineStr">
        <is>
          <t>1</t>
        </is>
      </c>
      <c r="J521" t="inlineStr"/>
      <c r="K521" t="inlineStr"/>
      <c r="L521" t="inlineStr"/>
      <c r="M521" t="inlineStr"/>
      <c r="N521" t="inlineStr"/>
      <c r="O521" t="inlineStr"/>
      <c r="P521" t="inlineStr"/>
      <c r="Q521" t="inlineStr"/>
      <c r="R521" t="inlineStr"/>
      <c r="S521" t="inlineStr"/>
      <c r="U521">
        <f>290*U520/1000</f>
        <v/>
      </c>
    </row>
    <row r="522">
      <c r="A522">
        <f>Skills!A5</f>
        <v/>
      </c>
      <c r="B522">
        <f>Skills!B5</f>
        <v/>
      </c>
      <c r="C522">
        <f>Inputs!$B$3&gt;=35</f>
        <v/>
      </c>
      <c r="D522">
        <f>IF(Skills!C5=1,60+Inputs!$B$25+Inputs!$B$29,IF(Skills!C5=2,90+Inputs!$B$26+Inputs!$B$29,IF(Skills!C5=3,120+Inputs!$B$27+Inputs!$B$29,MAX(0,(Inputs!$B$3-100)*3)+Inputs!$B$28+Inputs!$B$29)))</f>
        <v/>
      </c>
      <c r="E522">
        <f>INDEX(FactorTable!$B$2:$Y$301, MATCH(ROUND(MIN(300,MAX(1,D522)),0), FactorTable!$A$2:$A$301,0), Skills!M5+1)</f>
        <v/>
      </c>
      <c r="F522">
        <f>IF(Skills!N5=TRUE,(Skills!L5/10)*(E522/1000),Skills!L5/10)+Skills!O5</f>
        <v/>
      </c>
      <c r="G522">
        <f>Skills!G5*IF(Skills!H5&gt;0,Skills!I5/Skills!H5,1)</f>
        <v/>
      </c>
      <c r="H522">
        <f>1-(1-Skills!J5/100)^Skills!K5</f>
        <v/>
      </c>
      <c r="I522" t="inlineStr">
        <is>
          <t>1</t>
        </is>
      </c>
      <c r="J522">
        <f>((Inputs!$B$6*(1+Inputs!$B$7/100))+(((Inputs!$B$12*(1+Inputs!$B$13/100))-(Inputs!$B$12*(1+Inputs!$B$13/100)))+0.25*(Inputs!$B$14-Inputs!$B$14))*(1+Inputs!$B$7/100))*(F522/100)</f>
        <v/>
      </c>
      <c r="K522">
        <f>J522*(1+((Inputs!$B$12*(1+Inputs!$B$13/100))*0.01+Inputs!$B$14*0.0025)/100)*(1+Inputs!$B$15/100)*(1+IF(Inputs!$B$38="pvp",0,(1-Summary!$B$55)*(Inputs!$B$20+0+Skills!P5)+Summary!$B$55*(Inputs!$B$21+Skills!Q5))/100)*(1+Inputs!$B$16/100)*(5000/(6000+Inputs!$B$42*(1-(Inputs!$B$19+((C544=TRUE)*(F544-Calc!F27)))/100)))*(1+(Inputs!$B$24+((C542=TRUE)*(F542-Calc!F25))+((C543=TRUE)*(F543-Calc!F26))+B556)/100)*(1+4.0*IF(C527=TRUE,F527,0)/100)*(1+(IF(Skills!A5="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522)</f>
        <v/>
      </c>
      <c r="L522">
        <f>K522*(MIN(Inputs!$B$22+((C541=TRUE)*(F541-Calc!F24)),Inputs!$B$23+((C546=TRUE)*(F546-Calc!F29)))/100+(Inputs!$B$23+((C546=TRUE)*(F546-Calc!F29)))/100)/2</f>
        <v/>
      </c>
      <c r="M522">
        <f>L522*(1+((Inputs!$B$10+1)+0+B555)/100)</f>
        <v/>
      </c>
      <c r="N522">
        <f>L522*(1-MIN((Inputs!$B$9+((C537=TRUE)*(F537-Calc!F20))+B550),100)/100)+M522*(MIN((Inputs!$B$9+((C537=TRUE)*(F537-Calc!F20))+B550),100)/100)</f>
        <v/>
      </c>
      <c r="O522">
        <f>IF(C522,H522*N522*IF(AND(Inputs!$B$38&lt;&gt;"pvp",Inputs!$B$43&gt;0),((Skills!G5*((R522-1)*IF(Skills!H5&gt;0,Skills!I5/Skills!H5,1)+IF(Skills!H5&gt;0,MIN(Skills!I5,MAX(0,MAX(0,Inputs!$B$43-B557)-((R522-1)*IF(Inputs!$B$38="pvp",15,MAX(0.1,Skills!D5-IF(Skills!E5=TRUE,Inputs!$B$32,0))))))/Skills!H5,1)))/Inputs!$B$43),G522*Q522)*IF(Inputs!$B$38="pvp",1,(1-Summary!$B$55)*(1)+Summary!$B$55*(MIN(Skills!R5,Inputs!$B$37))),0)</f>
        <v/>
      </c>
      <c r="P522">
        <f>IF(B558=0,0,O522/B558)</f>
        <v/>
      </c>
      <c r="Q522">
        <f>IFERROR(1/IF(Inputs!$B$38="pvp",15,MAX(0.1,Skills!D5-IF(Skills!E5=TRUE,Inputs!$B$32,0))),0)</f>
        <v/>
      </c>
      <c r="R522">
        <f>IF(AND(Inputs!$B$38&lt;&gt;"pvp",Inputs!$B$43&gt;0),IF(MAX(0,Inputs!$B$43-B557)&lt;=0,0,(INT(MAX(0,Inputs!$B$43-B557)/IF(Inputs!$B$38="pvp",15,MAX(0.1,Skills!D5-IF(Skills!E5=TRUE,Inputs!$B$32,0))))+1)),0)</f>
        <v/>
      </c>
      <c r="S522">
        <f>IFERROR(O522/N522,0)</f>
        <v/>
      </c>
    </row>
    <row r="523">
      <c r="A523">
        <f>Skills!A6</f>
        <v/>
      </c>
      <c r="B523">
        <f>Skills!B6</f>
        <v/>
      </c>
      <c r="C523">
        <f>Inputs!$B$3&gt;=40</f>
        <v/>
      </c>
      <c r="D523">
        <f>IF(Skills!C6=1,60+Inputs!$B$25+Inputs!$B$29,IF(Skills!C6=2,90+Inputs!$B$26+Inputs!$B$29,IF(Skills!C6=3,120+Inputs!$B$27+Inputs!$B$29,MAX(0,(Inputs!$B$3-100)*3)+Inputs!$B$28+Inputs!$B$29)))</f>
        <v/>
      </c>
      <c r="E523">
        <f>INDEX(FactorTable!$B$2:$Y$301, MATCH(ROUND(MIN(300,MAX(1,D523)),0), FactorTable!$A$2:$A$301,0), Skills!M6+1)</f>
        <v/>
      </c>
      <c r="F523">
        <f>IF(Skills!N6=TRUE,(Skills!L6/10)*(E523/1000),Skills!L6/10)+Skills!O6</f>
        <v/>
      </c>
      <c r="G523">
        <f>Skills!G6*IF(Skills!H6&gt;0,Skills!I6/Skills!H6,1)</f>
        <v/>
      </c>
      <c r="H523">
        <f>1-(1-Skills!J6/100)^Skills!K6</f>
        <v/>
      </c>
      <c r="I523" t="inlineStr">
        <is>
          <t>1</t>
        </is>
      </c>
      <c r="J523">
        <f>((Inputs!$B$6*(1+Inputs!$B$7/100))+(((Inputs!$B$12*(1+Inputs!$B$13/100))-(Inputs!$B$12*(1+Inputs!$B$13/100)))+0.25*(Inputs!$B$14-Inputs!$B$14))*(1+Inputs!$B$7/100))*(F523/100)</f>
        <v/>
      </c>
      <c r="K523">
        <f>J523*(1+((Inputs!$B$12*(1+Inputs!$B$13/100))*0.01+Inputs!$B$14*0.0025)/100)*(1+Inputs!$B$15/100)*(1+IF(Inputs!$B$38="pvp",0,(1-Summary!$B$55)*(Inputs!$B$20+0+Skills!P6)+Summary!$B$55*(Inputs!$B$21+Skills!Q6))/100)*(1+Inputs!$B$16/100)*(5000/(6000+Inputs!$B$42*(1-(Inputs!$B$19+((C544=TRUE)*(F544-Calc!F27)))/100)))*(1+(Inputs!$B$24+((C542=TRUE)*(F542-Calc!F25))+((C543=TRUE)*(F543-Calc!F26))+B556)/100)*(1+IF(C524=TRUE,F524,0)/100)*(1+(IF(Skills!A6="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523)</f>
        <v/>
      </c>
      <c r="L523">
        <f>K523*(MIN(Inputs!$B$22+((C541=TRUE)*(F541-Calc!F24)),Inputs!$B$23+((C546=TRUE)*(F546-Calc!F29)))/100+(Inputs!$B$23+((C546=TRUE)*(F546-Calc!F29)))/100)/2</f>
        <v/>
      </c>
      <c r="M523">
        <f>L523*(1+((Inputs!$B$10+1)+0+B555)/100)</f>
        <v/>
      </c>
      <c r="N523">
        <f>L523*(1-MIN((Inputs!$B$9+((C537=TRUE)*(F537-Calc!F20))+B550),100)/100)+M523*(MIN((Inputs!$B$9+((C537=TRUE)*(F537-Calc!F20))+B550),100)/100)</f>
        <v/>
      </c>
      <c r="O523">
        <f>IF(C523,H523*N523*IF(AND(Inputs!$B$38&lt;&gt;"pvp",Inputs!$B$43&gt;0),((Skills!G6*((R523-1)*IF(Skills!H6&gt;0,Skills!I6/Skills!H6,1)+IF(Skills!H6&gt;0,MIN(Skills!I6,MAX(0,MAX(0,Inputs!$B$43-B557)-((R523-1)*IF(Inputs!$B$38="pvp",15,MAX(0.1,Skills!D6-IF(Skills!E6=TRUE,Inputs!$B$32,0))))))/Skills!H6,1)))/Inputs!$B$43),G523*Q523)*IF(Inputs!$B$38="pvp",1,(1-Summary!$B$55)*(1)+Summary!$B$55*(MIN(Skills!R6,Inputs!$B$37))),0)</f>
        <v/>
      </c>
      <c r="P523">
        <f>IF(B558=0,0,O523/B558)</f>
        <v/>
      </c>
      <c r="Q523">
        <f>IFERROR(1/IF(Inputs!$B$38="pvp",15,MAX(0.1,Skills!D6-IF(Skills!E6=TRUE,Inputs!$B$32,0))),0)</f>
        <v/>
      </c>
      <c r="R523">
        <f>IF(AND(Inputs!$B$38&lt;&gt;"pvp",Inputs!$B$43&gt;0),IF(MAX(0,Inputs!$B$43-B557)&lt;=0,0,(INT(MAX(0,Inputs!$B$43-B557)/IF(Inputs!$B$38="pvp",15,MAX(0.1,Skills!D6-IF(Skills!E6=TRUE,Inputs!$B$32,0))))+1)),0)</f>
        <v/>
      </c>
      <c r="S523">
        <f>IFERROR(O523/N523,0)</f>
        <v/>
      </c>
    </row>
    <row r="524">
      <c r="A524">
        <f>Skills!A7</f>
        <v/>
      </c>
      <c r="B524">
        <f>Skills!B7</f>
        <v/>
      </c>
      <c r="C524">
        <f>Inputs!$B$3&gt;=107</f>
        <v/>
      </c>
      <c r="D524">
        <f>IF(Skills!C7=1,60+Inputs!$B$25+Inputs!$B$29,IF(Skills!C7=2,90+Inputs!$B$26+Inputs!$B$29,IF(Skills!C7=3,120+Inputs!$B$27+Inputs!$B$29,MAX(0,(Inputs!$B$3-100)*3)+Inputs!$B$28+Inputs!$B$29)))</f>
        <v/>
      </c>
      <c r="E524">
        <f>INDEX(FactorTable!$B$2:$Y$301, MATCH(ROUND(MIN(300,MAX(1,D524)),0), FactorTable!$A$2:$A$301,0), Skills!M7+1)</f>
        <v/>
      </c>
      <c r="F524">
        <f>IF(Skills!N7=TRUE,(Skills!L7/10)*(E524/1000),Skills!L7/10)+Skills!O7</f>
        <v/>
      </c>
      <c r="G524" t="inlineStr"/>
      <c r="H524" t="inlineStr"/>
      <c r="I524" t="inlineStr">
        <is>
          <t>1</t>
        </is>
      </c>
      <c r="J524" t="inlineStr"/>
      <c r="K524" t="inlineStr"/>
      <c r="L524" t="inlineStr"/>
      <c r="M524" t="inlineStr"/>
      <c r="N524" t="inlineStr"/>
      <c r="O524" t="inlineStr"/>
      <c r="P524" t="inlineStr"/>
      <c r="Q524" t="inlineStr"/>
      <c r="R524" t="inlineStr"/>
      <c r="S524" t="inlineStr"/>
    </row>
    <row r="525">
      <c r="A525">
        <f>Skills!A8</f>
        <v/>
      </c>
      <c r="B525">
        <f>Skills!B8</f>
        <v/>
      </c>
      <c r="C525">
        <f>Inputs!$B$3&gt;=69</f>
        <v/>
      </c>
      <c r="D525">
        <f>IF(Skills!C8=1,60+Inputs!$B$25+Inputs!$B$29,IF(Skills!C8=2,90+Inputs!$B$26+Inputs!$B$29,IF(Skills!C8=3,120+Inputs!$B$27+Inputs!$B$29,MAX(0,(Inputs!$B$3-100)*3)+Inputs!$B$28+Inputs!$B$29)))</f>
        <v/>
      </c>
      <c r="E525">
        <f>INDEX(FactorTable!$B$2:$Y$301, MATCH(ROUND(MIN(300,MAX(1,D525)),0), FactorTable!$A$2:$A$301,0), Skills!M8+1)</f>
        <v/>
      </c>
      <c r="F525">
        <f>IF(Skills!N8=TRUE,(Skills!L8/10)*(E525/1000),Skills!L8/10)+Skills!O8</f>
        <v/>
      </c>
      <c r="G525">
        <f>Skills!G8*IF(Skills!H8&gt;0,Skills!I8/Skills!H8,1)</f>
        <v/>
      </c>
      <c r="H525">
        <f>1-(1-Skills!J8/100)^Skills!K8</f>
        <v/>
      </c>
      <c r="I525" t="inlineStr">
        <is>
          <t>1</t>
        </is>
      </c>
      <c r="J525">
        <f>((Inputs!$B$6*(1+Inputs!$B$7/100))+(((Inputs!$B$12*(1+Inputs!$B$13/100))-(Inputs!$B$12*(1+Inputs!$B$13/100)))+0.25*(Inputs!$B$14-Inputs!$B$14))*(1+Inputs!$B$7/100))*(F525/100)</f>
        <v/>
      </c>
      <c r="K525">
        <f>J525*(1+((Inputs!$B$12*(1+Inputs!$B$13/100))*0.01+Inputs!$B$14*0.0025)/100)*(1+Inputs!$B$15/100)*(1+IF(Inputs!$B$38="pvp",0,(1-Summary!$B$55)*(Inputs!$B$20+0+Skills!P8)+Summary!$B$55*(Inputs!$B$21+Skills!Q8))/100)*(1+Inputs!$B$16/100)*(5000/(6000+Inputs!$B$42*(1-(Inputs!$B$19+((C544=TRUE)*(F544-Calc!F27)))/100)))*(1+(Inputs!$B$24+((C542=TRUE)*(F542-Calc!F25))+((C543=TRUE)*(F543-Calc!F26))+B556)/100)*(1+1.2*IF(C527=TRUE,F527,0)/100)*(1+(IF(Skills!A8="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525)</f>
        <v/>
      </c>
      <c r="L525">
        <f>K525*(MIN(Inputs!$B$22+((C541=TRUE)*(F541-Calc!F24)),Inputs!$B$23+((C546=TRUE)*(F546-Calc!F29)))/100+(Inputs!$B$23+((C546=TRUE)*(F546-Calc!F29)))/100)/2</f>
        <v/>
      </c>
      <c r="M525">
        <f>L525*(1+((Inputs!$B$10+1)+0+B555)/100)</f>
        <v/>
      </c>
      <c r="N525">
        <f>L525*(1-MIN((Inputs!$B$9+((C537=TRUE)*(F537-Calc!F20))+B550),100)/100)+M525*(MIN((Inputs!$B$9+((C537=TRUE)*(F537-Calc!F20))+B550),100)/100)</f>
        <v/>
      </c>
      <c r="O525">
        <f>IF(C525,H525*N525*IF(AND(Inputs!$B$38&lt;&gt;"pvp",Inputs!$B$43&gt;0),((Skills!G8*((R525-1)*IF(Skills!H8&gt;0,Skills!I8/Skills!H8,1)+IF(Skills!H8&gt;0,MIN(Skills!I8,MAX(0,MAX(0,Inputs!$B$43-B557)-((R525-1)*IF(Inputs!$B$38="pvp",15,MAX(0.1,Skills!D8-IF(Skills!E8=TRUE,Inputs!$B$32,0))))))/Skills!H8,1)))/Inputs!$B$43),G525*Q525)*IF(Inputs!$B$38="pvp",1,(1-Summary!$B$55)*(1)+Summary!$B$55*(MIN(Skills!R8,Inputs!$B$37))),0)</f>
        <v/>
      </c>
      <c r="P525">
        <f>IF(B558=0,0,O525/B558)</f>
        <v/>
      </c>
      <c r="Q525">
        <f>IFERROR(1/IF(Inputs!$B$38="pvp",15,MAX(0.1,Skills!D8-IF(Skills!E8=TRUE,Inputs!$B$32,0))),0)</f>
        <v/>
      </c>
      <c r="R525">
        <f>IF(AND(Inputs!$B$38&lt;&gt;"pvp",Inputs!$B$43&gt;0),IF(MAX(0,Inputs!$B$43-B557)&lt;=0,0,(INT(MAX(0,Inputs!$B$43-B557)/IF(Inputs!$B$38="pvp",15,MAX(0.1,Skills!D8-IF(Skills!E8=TRUE,Inputs!$B$32,0))))+1)),0)</f>
        <v/>
      </c>
      <c r="S525">
        <f>IFERROR(O525/N525,0)</f>
        <v/>
      </c>
    </row>
    <row r="526">
      <c r="A526">
        <f>Skills!A9</f>
        <v/>
      </c>
      <c r="B526">
        <f>Skills!B9</f>
        <v/>
      </c>
      <c r="C526">
        <f>Inputs!$B$3&gt;=63</f>
        <v/>
      </c>
      <c r="D526">
        <f>IF(Skills!C9=1,60+Inputs!$B$25+Inputs!$B$29,IF(Skills!C9=2,90+Inputs!$B$26+Inputs!$B$29,IF(Skills!C9=3,120+Inputs!$B$27+Inputs!$B$29,MAX(0,(Inputs!$B$3-100)*3)+Inputs!$B$28+Inputs!$B$29)))</f>
        <v/>
      </c>
      <c r="E526">
        <f>INDEX(FactorTable!$B$2:$Y$301, MATCH(ROUND(MIN(300,MAX(1,D526)),0), FactorTable!$A$2:$A$301,0), Skills!M9+1)</f>
        <v/>
      </c>
      <c r="F526">
        <f>IF(Skills!N9=TRUE,(Skills!L9/10)*(E526/1000),Skills!L9/10)+Skills!O9</f>
        <v/>
      </c>
      <c r="G526">
        <f>Skills!G9*IF(Skills!H9&gt;0,Skills!I9/Skills!H9,1)</f>
        <v/>
      </c>
      <c r="H526">
        <f>1-(1-Skills!J9/100)^Skills!K9</f>
        <v/>
      </c>
      <c r="I526" t="inlineStr">
        <is>
          <t>1</t>
        </is>
      </c>
      <c r="J526">
        <f>((Inputs!$B$6*(1+Inputs!$B$7/100))+(((Inputs!$B$12*(1+Inputs!$B$13/100))-(Inputs!$B$12*(1+Inputs!$B$13/100)))+0.25*(Inputs!$B$14-Inputs!$B$14))*(1+Inputs!$B$7/100))*(F526/100)</f>
        <v/>
      </c>
      <c r="K526">
        <f>J526*(1+((Inputs!$B$12*(1+Inputs!$B$13/100))*0.01+Inputs!$B$14*0.0025)/100)*(1+Inputs!$B$15/100)*(1+IF(Inputs!$B$38="pvp",0,(1-Summary!$B$55)*(Inputs!$B$20+0+Skills!P9)+Summary!$B$55*(Inputs!$B$21+Skills!Q9))/100)*(1+Inputs!$B$16/100)*(5000/(6000+Inputs!$B$42*(1-(Inputs!$B$19+((C544=TRUE)*(F544-Calc!F27)))/100)))*(1+(Inputs!$B$24+((C542=TRUE)*(F542-Calc!F25))+((C543=TRUE)*(F543-Calc!F26))+B556)/100)*(1+1.0*IF(C527=TRUE,F527,0)/100)*(1+(IF(Skills!A9="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526)</f>
        <v/>
      </c>
      <c r="L526">
        <f>K526*(MIN(Inputs!$B$22+((C541=TRUE)*(F541-Calc!F24)),Inputs!$B$23+((C546=TRUE)*(F546-Calc!F29)))/100+(Inputs!$B$23+((C546=TRUE)*(F546-Calc!F29)))/100)/2</f>
        <v/>
      </c>
      <c r="M526">
        <f>L526*(1+((Inputs!$B$10+1)+0+B555)/100)</f>
        <v/>
      </c>
      <c r="N526">
        <f>L526*(1-MIN((Inputs!$B$9+((C537=TRUE)*(F537-Calc!F20))+B550),100)/100)+M526*(MIN((Inputs!$B$9+((C537=TRUE)*(F537-Calc!F20))+B550),100)/100)</f>
        <v/>
      </c>
      <c r="O526">
        <f>IF(C526,H526*N526*IF(AND(Inputs!$B$38&lt;&gt;"pvp",Inputs!$B$43&gt;0),((Skills!G9*((R526-1)*IF(Skills!H9&gt;0,Skills!I9/Skills!H9,1)+IF(Skills!H9&gt;0,MIN(Skills!I9,MAX(0,MAX(0,Inputs!$B$43-B557)-((R526-1)*IF(Inputs!$B$38="pvp",15,MAX(0.1,Skills!D9-IF(Skills!E9=TRUE,Inputs!$B$32,0))))))/Skills!H9,1)))/Inputs!$B$43),G526*Q526)*IF(Inputs!$B$38="pvp",1,(1-Summary!$B$55)*(1)+Summary!$B$55*(MIN(Skills!R9,Inputs!$B$37))),0)</f>
        <v/>
      </c>
      <c r="P526">
        <f>IF(B558=0,0,O526/B558)</f>
        <v/>
      </c>
      <c r="Q526">
        <f>IFERROR(1/IF(Inputs!$B$38="pvp",15,MAX(0.1,Skills!D9-IF(Skills!E9=TRUE,Inputs!$B$32,0))),0)</f>
        <v/>
      </c>
      <c r="R526">
        <f>IF(AND(Inputs!$B$38&lt;&gt;"pvp",Inputs!$B$43&gt;0),IF(MAX(0,Inputs!$B$43-B557)&lt;=0,0,(INT(MAX(0,Inputs!$B$43-B557)/IF(Inputs!$B$38="pvp",15,MAX(0.1,Skills!D9-IF(Skills!E9=TRUE,Inputs!$B$32,0))))+1)),0)</f>
        <v/>
      </c>
      <c r="S526">
        <f>IFERROR(O526/N526,0)</f>
        <v/>
      </c>
    </row>
    <row r="527">
      <c r="A527">
        <f>Skills!A10</f>
        <v/>
      </c>
      <c r="B527">
        <f>Skills!B10</f>
        <v/>
      </c>
      <c r="C527">
        <f>Inputs!$B$3&gt;=100</f>
        <v/>
      </c>
      <c r="D527">
        <f>IF(Skills!C10=1,60+Inputs!$B$25+Inputs!$B$29,IF(Skills!C10=2,90+Inputs!$B$26+Inputs!$B$29,IF(Skills!C10=3,120+Inputs!$B$27+Inputs!$B$29,MAX(0,(Inputs!$B$3-100)*3)+Inputs!$B$28+Inputs!$B$29)))</f>
        <v/>
      </c>
      <c r="E527">
        <f>INDEX(FactorTable!$B$2:$Y$301, MATCH(ROUND(MIN(300,MAX(1,D527)),0), FactorTable!$A$2:$A$301,0), Skills!M10+1)</f>
        <v/>
      </c>
      <c r="F527">
        <f>IF(Skills!N10=TRUE,(Skills!L10/10)*(E527/1000),Skills!L10/10)+Skills!O10</f>
        <v/>
      </c>
      <c r="G527" t="inlineStr"/>
      <c r="H527" t="inlineStr"/>
      <c r="I527" t="inlineStr">
        <is>
          <t>1</t>
        </is>
      </c>
      <c r="J527" t="inlineStr"/>
      <c r="K527" t="inlineStr"/>
      <c r="L527" t="inlineStr"/>
      <c r="M527" t="inlineStr"/>
      <c r="N527" t="inlineStr"/>
      <c r="O527" t="inlineStr"/>
      <c r="P527" t="inlineStr"/>
      <c r="Q527" t="inlineStr"/>
      <c r="R527" t="inlineStr"/>
      <c r="S527" t="inlineStr"/>
    </row>
    <row r="528">
      <c r="A528">
        <f>Skills!A11</f>
        <v/>
      </c>
      <c r="B528">
        <f>Skills!B11</f>
        <v/>
      </c>
      <c r="C528">
        <f>Inputs!$B$3&gt;=60</f>
        <v/>
      </c>
      <c r="D528">
        <f>IF(Skills!C11=1,60+Inputs!$B$25+Inputs!$B$29,IF(Skills!C11=2,90+Inputs!$B$26+Inputs!$B$29,IF(Skills!C11=3,120+Inputs!$B$27+Inputs!$B$29,MAX(0,(Inputs!$B$3-100)*3)+Inputs!$B$28+Inputs!$B$29)))</f>
        <v/>
      </c>
      <c r="E528">
        <f>INDEX(FactorTable!$B$2:$Y$301, MATCH(ROUND(MIN(300,MAX(1,D528)),0), FactorTable!$A$2:$A$301,0), Skills!M11+1)</f>
        <v/>
      </c>
      <c r="F528">
        <f>IF(Skills!N11=TRUE,(Skills!L11/10)*(E528/1000),Skills!L11/10)+Skills!O11</f>
        <v/>
      </c>
      <c r="G528">
        <f>Skills!G11*IF(Skills!H11&gt;0,Skills!I11/Skills!H11,1)</f>
        <v/>
      </c>
      <c r="H528">
        <f>1-(1-Skills!J11/100)^Skills!K11</f>
        <v/>
      </c>
      <c r="I528" t="inlineStr">
        <is>
          <t>1</t>
        </is>
      </c>
      <c r="J528">
        <f>((Inputs!$B$6*(1+Inputs!$B$7/100))+(((Inputs!$B$12*(1+Inputs!$B$13/100))-(Inputs!$B$12*(1+Inputs!$B$13/100)))+0.25*(Inputs!$B$14-Inputs!$B$14))*(1+Inputs!$B$7/100))*(F528/100)</f>
        <v/>
      </c>
      <c r="K528">
        <f>J528*(1+((Inputs!$B$12*(1+Inputs!$B$13/100))*0.01+Inputs!$B$14*0.0025)/100)*(1+Inputs!$B$15/100)*(1+IF(Inputs!$B$38="pvp",0,(1-Summary!$B$55)*(Inputs!$B$20+0+Skills!P11)+Summary!$B$55*(Inputs!$B$21+Skills!Q11))/100)*(1+Inputs!$B$16/100)*(5000/(6000+Inputs!$B$42*(1-(Inputs!$B$19+((C544=TRUE)*(F544-Calc!F27)))/100)))*(1+(Inputs!$B$24+((C542=TRUE)*(F542-Calc!F25))+((C543=TRUE)*(F543-Calc!F26))+B556)/100)*(1+IF(C529=TRUE,F529,0)/100)*(1+(IF(Skills!A11="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528)</f>
        <v/>
      </c>
      <c r="L528">
        <f>K528*(MIN(Inputs!$B$22+((C541=TRUE)*(F541-Calc!F24)),Inputs!$B$23+((C546=TRUE)*(F546-Calc!F29)))/100+(Inputs!$B$23+((C546=TRUE)*(F546-Calc!F29)))/100)/2</f>
        <v/>
      </c>
      <c r="M528">
        <f>L528*(1+((Inputs!$B$10+1)+0+B555)/100)</f>
        <v/>
      </c>
      <c r="N528">
        <f>L528*(1-MIN((Inputs!$B$9+((C537=TRUE)*(F537-Calc!F20))+B550),100)/100)+M528*(MIN((Inputs!$B$9+((C537=TRUE)*(F537-Calc!F20))+B550),100)/100)</f>
        <v/>
      </c>
      <c r="O528">
        <f>IF(C528,H528*N528*IF(AND(Inputs!$B$38&lt;&gt;"pvp",Inputs!$B$43&gt;0),((Skills!G11*((R528-1)*IF(Skills!H11&gt;0,Skills!I11/Skills!H11,1)+IF(Skills!H11&gt;0,MIN(Skills!I11,MAX(0,MAX(0,Inputs!$B$43-B557)-((R528-1)*IF(Inputs!$B$38="pvp",15,MAX(0.1,Skills!D11-IF(Skills!E11=TRUE,Inputs!$B$32,0))))))/Skills!H11,1)))/Inputs!$B$43),G528*Q528)*IF(Inputs!$B$38="pvp",1,(1-Summary!$B$55)*(1)+Summary!$B$55*(MIN(Skills!R11,Inputs!$B$37))),0)</f>
        <v/>
      </c>
      <c r="P528">
        <f>IF(B558=0,0,O528/B558)</f>
        <v/>
      </c>
      <c r="Q528">
        <f>IFERROR(1/IF(Inputs!$B$38="pvp",15,MAX(0.1,Skills!D11-IF(Skills!E11=TRUE,Inputs!$B$32,0))),0)</f>
        <v/>
      </c>
      <c r="R528">
        <f>IF(AND(Inputs!$B$38&lt;&gt;"pvp",Inputs!$B$43&gt;0),IF(MAX(0,Inputs!$B$43-B557)&lt;=0,0,(INT(MAX(0,Inputs!$B$43-B557)/IF(Inputs!$B$38="pvp",15,MAX(0.1,Skills!D11-IF(Skills!E11=TRUE,Inputs!$B$32,0))))+1)),0)</f>
        <v/>
      </c>
      <c r="S528">
        <f>IFERROR(O528/N528,0)</f>
        <v/>
      </c>
    </row>
    <row r="529">
      <c r="A529">
        <f>Skills!A12</f>
        <v/>
      </c>
      <c r="B529">
        <f>Skills!B12</f>
        <v/>
      </c>
      <c r="C529">
        <f>Inputs!$B$3&gt;=110</f>
        <v/>
      </c>
      <c r="D529">
        <f>IF(Skills!C12=1,60+Inputs!$B$25+Inputs!$B$29,IF(Skills!C12=2,90+Inputs!$B$26+Inputs!$B$29,IF(Skills!C12=3,120+Inputs!$B$27+Inputs!$B$29,MAX(0,(Inputs!$B$3-100)*3)+Inputs!$B$28+Inputs!$B$29)))</f>
        <v/>
      </c>
      <c r="E529">
        <f>INDEX(FactorTable!$B$2:$Y$301, MATCH(ROUND(MIN(300,MAX(1,D529)),0), FactorTable!$A$2:$A$301,0), Skills!M12+1)</f>
        <v/>
      </c>
      <c r="F529">
        <f>IF(Skills!N12=TRUE,(Skills!L12/10)*(E529/1000),Skills!L12/10)+Skills!O12</f>
        <v/>
      </c>
      <c r="G529" t="inlineStr"/>
      <c r="H529" t="inlineStr"/>
      <c r="I529" t="inlineStr">
        <is>
          <t>1</t>
        </is>
      </c>
      <c r="J529" t="inlineStr"/>
      <c r="K529" t="inlineStr"/>
      <c r="L529" t="inlineStr"/>
      <c r="M529" t="inlineStr"/>
      <c r="N529" t="inlineStr"/>
      <c r="O529" t="inlineStr"/>
      <c r="P529" t="inlineStr"/>
      <c r="Q529" t="inlineStr"/>
      <c r="R529" t="inlineStr"/>
      <c r="S529" t="inlineStr"/>
    </row>
    <row r="530">
      <c r="A530">
        <f>Skills!A13</f>
        <v/>
      </c>
      <c r="B530">
        <f>Skills!B13</f>
        <v/>
      </c>
      <c r="C530">
        <f>Inputs!$B$3&gt;=74</f>
        <v/>
      </c>
      <c r="D530">
        <f>IF(Skills!C13=1,60+Inputs!$B$25+Inputs!$B$29,IF(Skills!C13=2,90+Inputs!$B$26+Inputs!$B$29,IF(Skills!C13=3,120+Inputs!$B$27+Inputs!$B$29,MAX(0,(Inputs!$B$3-100)*3)+Inputs!$B$28+Inputs!$B$29)))</f>
        <v/>
      </c>
      <c r="E530">
        <f>INDEX(FactorTable!$B$2:$Y$301, MATCH(ROUND(MIN(300,MAX(1,D530)),0), FactorTable!$A$2:$A$301,0), Skills!M13+1)</f>
        <v/>
      </c>
      <c r="F530">
        <f>IF(Skills!N13=TRUE,(Skills!L13/10)*(E530/1000),Skills!L13/10)+Skills!O13</f>
        <v/>
      </c>
      <c r="G530">
        <f>Skills!G13*IF(Skills!H13&gt;0,Skills!I13/Skills!H13,1)</f>
        <v/>
      </c>
      <c r="H530">
        <f>1-(1-Skills!J13/100)^Skills!K13</f>
        <v/>
      </c>
      <c r="I530" t="inlineStr">
        <is>
          <t>1</t>
        </is>
      </c>
      <c r="J530" t="inlineStr"/>
      <c r="K530" t="inlineStr"/>
      <c r="L530" t="inlineStr"/>
      <c r="M530" t="inlineStr"/>
      <c r="N530" t="inlineStr"/>
      <c r="O530" t="n">
        <v>0</v>
      </c>
      <c r="P530">
        <f>IF(B558=0,0,O530/B558)</f>
        <v/>
      </c>
      <c r="Q530" t="n">
        <v>0</v>
      </c>
      <c r="R530" t="n">
        <v>0</v>
      </c>
      <c r="S530">
        <f>IFERROR(O530/N530,0)</f>
        <v/>
      </c>
    </row>
    <row r="531">
      <c r="A531">
        <f>Skills!A14</f>
        <v/>
      </c>
      <c r="B531">
        <f>Skills!B14</f>
        <v/>
      </c>
      <c r="C531">
        <f>Inputs!$B$3&gt;=74</f>
        <v/>
      </c>
      <c r="D531">
        <f>IF(Skills!C14=1,60+Inputs!$B$25+Inputs!$B$29,IF(Skills!C14=2,90+Inputs!$B$26+Inputs!$B$29,IF(Skills!C14=3,120+Inputs!$B$27+Inputs!$B$29,MAX(0,(Inputs!$B$3-100)*3)+Inputs!$B$28+Inputs!$B$29)))</f>
        <v/>
      </c>
      <c r="E531">
        <f>INDEX(FactorTable!$B$2:$Y$301, MATCH(ROUND(MIN(300,MAX(1,D531)),0), FactorTable!$A$2:$A$301,0), Skills!M14+1)</f>
        <v/>
      </c>
      <c r="F531">
        <f>IF(Skills!N14=TRUE,(Skills!L14/10)*(E531/1000),Skills!L14/10)+Skills!O14</f>
        <v/>
      </c>
      <c r="G531">
        <f>Skills!G14*IF(Skills!H14&gt;0,Skills!I14/Skills!H14,1)</f>
        <v/>
      </c>
      <c r="H531">
        <f>1-(1-Skills!J14/100)^Skills!K14</f>
        <v/>
      </c>
      <c r="I531" t="inlineStr">
        <is>
          <t>1</t>
        </is>
      </c>
      <c r="J531" t="inlineStr"/>
      <c r="K531" t="inlineStr"/>
      <c r="L531" t="inlineStr"/>
      <c r="M531" t="inlineStr"/>
      <c r="N531" t="inlineStr"/>
      <c r="O531" t="n">
        <v>0</v>
      </c>
      <c r="P531">
        <f>IF(B558=0,0,O531/B558)</f>
        <v/>
      </c>
      <c r="Q531" t="n">
        <v>0</v>
      </c>
      <c r="R531" t="n">
        <v>0</v>
      </c>
      <c r="S531">
        <f>IFERROR(O531/N531,0)</f>
        <v/>
      </c>
    </row>
    <row r="532">
      <c r="A532">
        <f>Skills!A15</f>
        <v/>
      </c>
      <c r="B532">
        <f>Skills!B15</f>
        <v/>
      </c>
      <c r="C532">
        <f>Inputs!$B$3&gt;=117</f>
        <v/>
      </c>
      <c r="D532">
        <f>IF(Skills!C15=1,60+Inputs!$B$25+Inputs!$B$29,IF(Skills!C15=2,90+Inputs!$B$26+Inputs!$B$29,IF(Skills!C15=3,120+Inputs!$B$27+Inputs!$B$29,MAX(0,(Inputs!$B$3-100)*3)+Inputs!$B$28+Inputs!$B$29)))</f>
        <v/>
      </c>
      <c r="E532">
        <f>INDEX(FactorTable!$B$2:$Y$301, MATCH(ROUND(MIN(300,MAX(1,D532)),0), FactorTable!$A$2:$A$301,0), Skills!M15+1)</f>
        <v/>
      </c>
      <c r="F532">
        <f>IF(Skills!N15=TRUE,(Skills!L15/10)*(E532/1000),Skills!L15/10)+Skills!O15</f>
        <v/>
      </c>
      <c r="G532">
        <f>Skills!G15*IF(Skills!H15&gt;0,Skills!I15/Skills!H15,1)</f>
        <v/>
      </c>
      <c r="H532">
        <f>1-(1-Skills!J15/100)^Skills!K15</f>
        <v/>
      </c>
      <c r="I532" t="inlineStr">
        <is>
          <t>1</t>
        </is>
      </c>
      <c r="J532" t="inlineStr"/>
      <c r="K532" t="inlineStr"/>
      <c r="L532" t="inlineStr"/>
      <c r="M532" t="inlineStr"/>
      <c r="N532" t="inlineStr"/>
      <c r="O532" t="n">
        <v>0</v>
      </c>
      <c r="P532">
        <f>IF(B558=0,0,O532/B558)</f>
        <v/>
      </c>
      <c r="Q532">
        <f>IFERROR(1/IF(Inputs!$B$38="pvp",15,MAX(0.1,Skills!D15-IF(Skills!E15=TRUE,Inputs!$B$32,0))),0)</f>
        <v/>
      </c>
      <c r="R532">
        <f>IF(AND(Inputs!$B$38&lt;&gt;"pvp",Inputs!$B$43&gt;0),IF(Inputs!$B$43&lt;=0,0,(INT(Inputs!$B$43/IF(Inputs!$B$38="pvp",15,MAX(0.1,Skills!D15-IF(Skills!E15=TRUE,Inputs!$B$32,0))))+1)),0)</f>
        <v/>
      </c>
      <c r="S532">
        <f>IFERROR(O532/N532,0)</f>
        <v/>
      </c>
    </row>
    <row r="533">
      <c r="A533">
        <f>Skills!A16</f>
        <v/>
      </c>
      <c r="B533">
        <f>Skills!B16</f>
        <v/>
      </c>
      <c r="C533">
        <f>Inputs!$B$3&gt;=115</f>
        <v/>
      </c>
      <c r="D533">
        <f>IF(Skills!C16=1,60+Inputs!$B$25+Inputs!$B$29,IF(Skills!C16=2,90+Inputs!$B$26+Inputs!$B$29,IF(Skills!C16=3,120+Inputs!$B$27+Inputs!$B$29,MAX(0,(Inputs!$B$3-100)*3)+Inputs!$B$28+Inputs!$B$29)))</f>
        <v/>
      </c>
      <c r="E533">
        <f>INDEX(FactorTable!$B$2:$Y$301, MATCH(ROUND(MIN(300,MAX(1,D533)),0), FactorTable!$A$2:$A$301,0), Skills!M16+1)</f>
        <v/>
      </c>
      <c r="F533">
        <f>IF(Skills!N16=TRUE,(Skills!L16/10)*(E533/1000),Skills!L16/10)+Skills!O16</f>
        <v/>
      </c>
      <c r="G533">
        <f>Skills!G16*IF(Skills!H16&gt;0,Skills!I16/Skills!H16,1)</f>
        <v/>
      </c>
      <c r="H533">
        <f>1-(1-Skills!J16/100)^Skills!K16</f>
        <v/>
      </c>
      <c r="I533" t="inlineStr">
        <is>
          <t>1</t>
        </is>
      </c>
      <c r="J533" t="inlineStr"/>
      <c r="K533" t="inlineStr"/>
      <c r="L533" t="inlineStr"/>
      <c r="M533" t="inlineStr"/>
      <c r="N533" t="inlineStr"/>
      <c r="O533" t="n">
        <v>0</v>
      </c>
      <c r="P533">
        <f>IF(B558=0,0,O533/B558)</f>
        <v/>
      </c>
      <c r="Q533">
        <f>IFERROR(1/IF(Inputs!$B$38="pvp",15,MAX(0.1,Skills!D16-IF(Skills!E16=TRUE,Inputs!$B$32,0))),0)</f>
        <v/>
      </c>
      <c r="R533">
        <f>IF(AND(Inputs!$B$38&lt;&gt;"pvp",Inputs!$B$43&gt;0),IF(Inputs!$B$43&lt;=0,0,(INT(Inputs!$B$43/IF(Inputs!$B$38="pvp",15,MAX(0.1,Skills!D16-IF(Skills!E16=TRUE,Inputs!$B$32,0))))+1)),0)</f>
        <v/>
      </c>
      <c r="S533">
        <f>IFERROR(O533/N533,0)</f>
        <v/>
      </c>
    </row>
    <row r="534">
      <c r="A534">
        <f>Skills!A17</f>
        <v/>
      </c>
      <c r="B534">
        <f>Skills!B17</f>
        <v/>
      </c>
      <c r="C534">
        <f>Inputs!$B$3&gt;=66</f>
        <v/>
      </c>
      <c r="D534">
        <f>IF(Skills!C17=1,60+Inputs!$B$25+Inputs!$B$29,IF(Skills!C17=2,90+Inputs!$B$26+Inputs!$B$29,IF(Skills!C17=3,120+Inputs!$B$27+Inputs!$B$29,MAX(0,(Inputs!$B$3-100)*3)+Inputs!$B$28+Inputs!$B$29)))</f>
        <v/>
      </c>
      <c r="E534">
        <f>INDEX(FactorTable!$B$2:$Y$301, MATCH(ROUND(MIN(300,MAX(1,D534)),0), FactorTable!$A$2:$A$301,0), Skills!M17+1)</f>
        <v/>
      </c>
      <c r="F534">
        <f>IF(Skills!N17=TRUE,(Skills!L17/10)*(E534/1000),Skills!L17/10)+Skills!O17</f>
        <v/>
      </c>
      <c r="G534">
        <f>Skills!G17*IF(Skills!H17&gt;0,Skills!I17/Skills!H17,1)</f>
        <v/>
      </c>
      <c r="H534">
        <f>1-(1-Skills!J17/100)^Skills!K17</f>
        <v/>
      </c>
      <c r="I534" t="inlineStr">
        <is>
          <t>1</t>
        </is>
      </c>
      <c r="J534" t="inlineStr"/>
      <c r="K534" t="inlineStr"/>
      <c r="L534" t="inlineStr"/>
      <c r="M534" t="inlineStr"/>
      <c r="N534" t="inlineStr"/>
      <c r="O534" t="n">
        <v>0</v>
      </c>
      <c r="P534">
        <f>IF(B558=0,0,O534/B558)</f>
        <v/>
      </c>
      <c r="Q534" t="n">
        <v>0</v>
      </c>
      <c r="R534" t="n">
        <v>0</v>
      </c>
      <c r="S534">
        <f>IFERROR(O534/N534,0)</f>
        <v/>
      </c>
    </row>
    <row r="535">
      <c r="A535">
        <f>Skills!A18</f>
        <v/>
      </c>
      <c r="B535">
        <f>Skills!B18</f>
        <v/>
      </c>
      <c r="C535">
        <f>Inputs!$B$3&gt;=72</f>
        <v/>
      </c>
      <c r="D535">
        <f>IF(Skills!C18=1,60+Inputs!$B$25+Inputs!$B$29,IF(Skills!C18=2,90+Inputs!$B$26+Inputs!$B$29,IF(Skills!C18=3,120+Inputs!$B$27+Inputs!$B$29,MAX(0,(Inputs!$B$3-100)*3)+Inputs!$B$28+Inputs!$B$29)))</f>
        <v/>
      </c>
      <c r="E535">
        <f>INDEX(FactorTable!$B$2:$Y$301, MATCH(ROUND(MIN(300,MAX(1,D535)),0), FactorTable!$A$2:$A$301,0), Skills!M18+1)</f>
        <v/>
      </c>
      <c r="F535">
        <f>IF(Skills!N18=TRUE,(Skills!L18/10)*(E535/1000),Skills!L18/10)+Skills!O18</f>
        <v/>
      </c>
      <c r="G535">
        <f>Skills!G18*IF(Skills!H18&gt;0,Skills!I18/Skills!H18,1)</f>
        <v/>
      </c>
      <c r="H535">
        <f>1-(1-Skills!J18/100)^Skills!K18</f>
        <v/>
      </c>
      <c r="I535" t="inlineStr">
        <is>
          <t>1</t>
        </is>
      </c>
      <c r="J535" t="inlineStr"/>
      <c r="K535" t="inlineStr"/>
      <c r="L535" t="inlineStr"/>
      <c r="M535" t="inlineStr"/>
      <c r="N535" t="inlineStr"/>
      <c r="O535" t="n">
        <v>0</v>
      </c>
      <c r="P535">
        <f>IF(B558=0,0,O535/B558)</f>
        <v/>
      </c>
      <c r="Q535" t="n">
        <v>0</v>
      </c>
      <c r="R535" t="n">
        <v>0</v>
      </c>
      <c r="S535">
        <f>IFERROR(O535/N535,0)</f>
        <v/>
      </c>
    </row>
    <row r="536">
      <c r="A536">
        <f>Skills!A19</f>
        <v/>
      </c>
      <c r="B536">
        <f>Skills!B19</f>
        <v/>
      </c>
      <c r="C536">
        <f>TRUE</f>
        <v/>
      </c>
      <c r="D536">
        <f>IF(Skills!C19=1,60+Inputs!$B$25+Inputs!$B$29,IF(Skills!C19=2,90+Inputs!$B$26+Inputs!$B$29,IF(Skills!C19=3,120+Inputs!$B$27+Inputs!$B$29,MAX(0,(Inputs!$B$3-100)*3)+Inputs!$B$28+Inputs!$B$29)))</f>
        <v/>
      </c>
      <c r="E536">
        <f>INDEX(FactorTable!$B$2:$Y$301, MATCH(ROUND(MIN(300,MAX(1,D536)),0), FactorTable!$A$2:$A$301,0), Skills!M19+1)</f>
        <v/>
      </c>
      <c r="F536">
        <f>IF(Skills!N19=TRUE,(Skills!L19/10)*(E536/1000),Skills!L19/10)+Skills!O19</f>
        <v/>
      </c>
      <c r="G536">
        <f>Skills!G19*IF(Skills!H19&gt;0,Skills!I19/Skills!H19,1)</f>
        <v/>
      </c>
      <c r="H536">
        <f>1-(1-Skills!J19/100)^Skills!K19</f>
        <v/>
      </c>
      <c r="I536" t="inlineStr">
        <is>
          <t>1</t>
        </is>
      </c>
      <c r="J536" t="inlineStr"/>
      <c r="K536" t="inlineStr"/>
      <c r="L536" t="inlineStr"/>
      <c r="M536" t="inlineStr"/>
      <c r="N536" t="inlineStr"/>
      <c r="O536" t="n">
        <v>0</v>
      </c>
      <c r="P536">
        <f>IF(B558=0,0,O536/B558)</f>
        <v/>
      </c>
      <c r="Q536">
        <f>IFERROR(1/IF(Inputs!$B$38="pvp",15,MAX(0.1,Skills!D19-IF(Skills!E19=TRUE,Inputs!$B$32,0))),0)</f>
        <v/>
      </c>
      <c r="R536">
        <f>IF(AND(Inputs!$B$38&lt;&gt;"pvp",Inputs!$B$43&gt;0),IF(Inputs!$B$43&lt;=0,0,(INT(Inputs!$B$43/IF(Inputs!$B$38="pvp",15,MAX(0.1,Skills!D19-IF(Skills!E19=TRUE,Inputs!$B$32,0))))+1)),0)</f>
        <v/>
      </c>
      <c r="S536">
        <f>IFERROR(O536/N536,0)</f>
        <v/>
      </c>
    </row>
    <row r="537">
      <c r="A537">
        <f>Skills!A20</f>
        <v/>
      </c>
      <c r="B537">
        <f>Skills!B20</f>
        <v/>
      </c>
      <c r="C537">
        <f>Inputs!$B$3&gt;=15</f>
        <v/>
      </c>
      <c r="D537">
        <f>IF(Skills!C20=1,60+Inputs!$B$25+Inputs!$B$29,IF(Skills!C20=2,90+Inputs!$B$26+Inputs!$B$29,IF(Skills!C20=3,120+Inputs!$B$27+Inputs!$B$29,MAX(0,(Inputs!$B$3-100)*3)+Inputs!$B$28+Inputs!$B$29)))</f>
        <v/>
      </c>
      <c r="E537">
        <f>INDEX(FactorTable!$B$2:$Y$301, MATCH(ROUND(MIN(300,MAX(1,D537)),0), FactorTable!$A$2:$A$301,0), Skills!M20+1)</f>
        <v/>
      </c>
      <c r="F537">
        <f>IF(Skills!N20=TRUE,(Skills!L20/10)*(E537/1000),Skills!L20/10)+Skills!O20</f>
        <v/>
      </c>
      <c r="G537">
        <f>Skills!G20*IF(Skills!H20&gt;0,Skills!I20/Skills!H20,1)</f>
        <v/>
      </c>
      <c r="H537">
        <f>1-(1-Skills!J20/100)^Skills!K20</f>
        <v/>
      </c>
      <c r="I537" t="inlineStr">
        <is>
          <t>1</t>
        </is>
      </c>
      <c r="J537" t="inlineStr"/>
      <c r="K537" t="inlineStr"/>
      <c r="L537" t="inlineStr"/>
      <c r="M537" t="inlineStr"/>
      <c r="N537" t="inlineStr"/>
      <c r="O537" t="n">
        <v>0</v>
      </c>
      <c r="P537">
        <f>IF(B558=0,0,O537/B558)</f>
        <v/>
      </c>
      <c r="Q537" t="n">
        <v>0</v>
      </c>
      <c r="R537" t="n">
        <v>0</v>
      </c>
      <c r="S537">
        <f>IFERROR(O537/N537,0)</f>
        <v/>
      </c>
    </row>
    <row r="538">
      <c r="A538">
        <f>Skills!A21</f>
        <v/>
      </c>
      <c r="B538">
        <f>Skills!B21</f>
        <v/>
      </c>
      <c r="C538">
        <f>Inputs!$B$3&gt;=10</f>
        <v/>
      </c>
      <c r="D538">
        <f>IF(Skills!C21=1,60+Inputs!$B$25+Inputs!$B$29,IF(Skills!C21=2,90+Inputs!$B$26+Inputs!$B$29,IF(Skills!C21=3,120+Inputs!$B$27+Inputs!$B$29,MAX(0,(Inputs!$B$3-100)*3)+Inputs!$B$28+Inputs!$B$29)))</f>
        <v/>
      </c>
      <c r="E538">
        <f>INDEX(FactorTable!$B$2:$Y$301, MATCH(ROUND(MIN(300,MAX(1,D538)),0), FactorTable!$A$2:$A$301,0), Skills!M21+1)</f>
        <v/>
      </c>
      <c r="F538">
        <f>IF(Skills!N21=TRUE,(Skills!L21/10)*(E538/1000),Skills!L21/10)+Skills!O21</f>
        <v/>
      </c>
      <c r="G538">
        <f>Skills!G21*IF(Skills!H21&gt;0,Skills!I21/Skills!H21,1)</f>
        <v/>
      </c>
      <c r="H538">
        <f>1-(1-Skills!J21/100)^Skills!K21</f>
        <v/>
      </c>
      <c r="I538" t="inlineStr">
        <is>
          <t>1</t>
        </is>
      </c>
      <c r="J538" t="inlineStr"/>
      <c r="K538" t="inlineStr"/>
      <c r="L538" t="inlineStr"/>
      <c r="M538" t="inlineStr"/>
      <c r="N538" t="inlineStr"/>
      <c r="O538" t="n">
        <v>0</v>
      </c>
      <c r="P538">
        <f>IF(B558=0,0,O538/B558)</f>
        <v/>
      </c>
      <c r="Q538" t="n">
        <v>0</v>
      </c>
      <c r="R538" t="n">
        <v>0</v>
      </c>
      <c r="S538">
        <f>IFERROR(O538/N538,0)</f>
        <v/>
      </c>
    </row>
    <row r="539">
      <c r="A539">
        <f>Skills!A22</f>
        <v/>
      </c>
      <c r="B539">
        <f>Skills!B22</f>
        <v/>
      </c>
      <c r="C539">
        <f>Inputs!$B$3&gt;=33</f>
        <v/>
      </c>
      <c r="D539">
        <f>IF(Skills!C22=1,60+Inputs!$B$25+Inputs!$B$29,IF(Skills!C22=2,90+Inputs!$B$26+Inputs!$B$29,IF(Skills!C22=3,120+Inputs!$B$27+Inputs!$B$29,MAX(0,(Inputs!$B$3-100)*3)+Inputs!$B$28+Inputs!$B$29)))</f>
        <v/>
      </c>
      <c r="E539">
        <f>INDEX(FactorTable!$B$2:$Y$301, MATCH(ROUND(MIN(300,MAX(1,D539)),0), FactorTable!$A$2:$A$301,0), Skills!M22+1)</f>
        <v/>
      </c>
      <c r="F539">
        <f>IF(Skills!N22=TRUE,(Skills!L22/10)*(E539/1000),Skills!L22/10)+Skills!O22</f>
        <v/>
      </c>
      <c r="G539">
        <f>Skills!G22*IF(Skills!H22&gt;0,Skills!I22/Skills!H22,1)</f>
        <v/>
      </c>
      <c r="H539">
        <f>1-(1-Skills!J22/100)^Skills!K22</f>
        <v/>
      </c>
      <c r="I539" t="inlineStr">
        <is>
          <t>1</t>
        </is>
      </c>
      <c r="J539" t="inlineStr"/>
      <c r="K539" t="inlineStr"/>
      <c r="L539" t="inlineStr"/>
      <c r="M539" t="inlineStr"/>
      <c r="N539" t="inlineStr"/>
      <c r="O539" t="n">
        <v>0</v>
      </c>
      <c r="P539">
        <f>IF(B558=0,0,O539/B558)</f>
        <v/>
      </c>
      <c r="Q539" t="n">
        <v>0</v>
      </c>
      <c r="R539" t="n">
        <v>0</v>
      </c>
      <c r="S539">
        <f>IFERROR(O539/N539,0)</f>
        <v/>
      </c>
    </row>
    <row r="540">
      <c r="A540">
        <f>Skills!A23</f>
        <v/>
      </c>
      <c r="B540">
        <f>Skills!B23</f>
        <v/>
      </c>
      <c r="C540">
        <f>Inputs!$B$3&gt;=38</f>
        <v/>
      </c>
      <c r="D540">
        <f>IF(Skills!C23=1,60+Inputs!$B$25+Inputs!$B$29,IF(Skills!C23=2,90+Inputs!$B$26+Inputs!$B$29,IF(Skills!C23=3,120+Inputs!$B$27+Inputs!$B$29,MAX(0,(Inputs!$B$3-100)*3)+Inputs!$B$28+Inputs!$B$29)))</f>
        <v/>
      </c>
      <c r="E540">
        <f>INDEX(FactorTable!$B$2:$Y$301, MATCH(ROUND(MIN(300,MAX(1,D540)),0), FactorTable!$A$2:$A$301,0), Skills!M23+1)</f>
        <v/>
      </c>
      <c r="F540">
        <f>IF(Skills!N23=TRUE,(Skills!L23/10)*(E540/1000),Skills!L23/10)+Skills!O23</f>
        <v/>
      </c>
      <c r="G540">
        <f>Skills!G23*IF(Skills!H23&gt;0,Skills!I23/Skills!H23,1)</f>
        <v/>
      </c>
      <c r="H540">
        <f>1-(1-Skills!J23/100)^Skills!K23</f>
        <v/>
      </c>
      <c r="I540" t="inlineStr">
        <is>
          <t>1</t>
        </is>
      </c>
      <c r="J540" t="inlineStr"/>
      <c r="K540" t="inlineStr"/>
      <c r="L540" t="inlineStr"/>
      <c r="M540" t="inlineStr"/>
      <c r="N540" t="inlineStr"/>
      <c r="O540" t="n">
        <v>0</v>
      </c>
      <c r="P540">
        <f>IF(B558=0,0,O540/B558)</f>
        <v/>
      </c>
      <c r="Q540" t="n">
        <v>0</v>
      </c>
      <c r="R540" t="n">
        <v>0</v>
      </c>
      <c r="S540">
        <f>IFERROR(O540/N540,0)</f>
        <v/>
      </c>
    </row>
    <row r="541">
      <c r="A541">
        <f>Skills!A24</f>
        <v/>
      </c>
      <c r="B541">
        <f>Skills!B24</f>
        <v/>
      </c>
      <c r="C541">
        <f>Inputs!$B$3&gt;=43</f>
        <v/>
      </c>
      <c r="D541">
        <f>IF(Skills!C24=1,60+Inputs!$B$25+Inputs!$B$29,IF(Skills!C24=2,90+Inputs!$B$26+Inputs!$B$29,IF(Skills!C24=3,120+Inputs!$B$27+Inputs!$B$29,MAX(0,(Inputs!$B$3-100)*3)+Inputs!$B$28+Inputs!$B$29)))</f>
        <v/>
      </c>
      <c r="E541">
        <f>INDEX(FactorTable!$B$2:$Y$301, MATCH(ROUND(MIN(300,MAX(1,D541)),0), FactorTable!$A$2:$A$301,0), Skills!M24+1)</f>
        <v/>
      </c>
      <c r="F541">
        <f>IF(Skills!N24=TRUE,(Skills!L24/10)*(E541/1000),Skills!L24/10)+Skills!O24</f>
        <v/>
      </c>
      <c r="G541">
        <f>Skills!G24*IF(Skills!H24&gt;0,Skills!I24/Skills!H24,1)</f>
        <v/>
      </c>
      <c r="H541">
        <f>1-(1-Skills!J24/100)^Skills!K24</f>
        <v/>
      </c>
      <c r="I541" t="inlineStr">
        <is>
          <t>1</t>
        </is>
      </c>
      <c r="J541" t="inlineStr"/>
      <c r="K541" t="inlineStr"/>
      <c r="L541" t="inlineStr"/>
      <c r="M541" t="inlineStr"/>
      <c r="N541" t="inlineStr"/>
      <c r="O541" t="n">
        <v>0</v>
      </c>
      <c r="P541">
        <f>IF(B558=0,0,O541/B558)</f>
        <v/>
      </c>
      <c r="Q541" t="n">
        <v>0</v>
      </c>
      <c r="R541" t="n">
        <v>0</v>
      </c>
      <c r="S541">
        <f>IFERROR(O541/N541,0)</f>
        <v/>
      </c>
    </row>
    <row r="542">
      <c r="A542">
        <f>Skills!A25</f>
        <v/>
      </c>
      <c r="B542">
        <f>Skills!B25</f>
        <v/>
      </c>
      <c r="C542">
        <f>Inputs!$B$3&gt;=75</f>
        <v/>
      </c>
      <c r="D542">
        <f>IF(Skills!C25=1,60+Inputs!$B$25+Inputs!$B$29,IF(Skills!C25=2,90+Inputs!$B$26+Inputs!$B$29,IF(Skills!C25=3,120+Inputs!$B$27+Inputs!$B$29,MAX(0,(Inputs!$B$3-100)*3)+Inputs!$B$28+Inputs!$B$29)))</f>
        <v/>
      </c>
      <c r="E542">
        <f>INDEX(FactorTable!$B$2:$Y$301, MATCH(ROUND(MIN(300,MAX(1,D542)),0), FactorTable!$A$2:$A$301,0), Skills!M25+1)</f>
        <v/>
      </c>
      <c r="F542">
        <f>IF(Skills!N25=TRUE,(Skills!L25/10)*(E542/1000),Skills!L25/10)+Skills!O25</f>
        <v/>
      </c>
      <c r="G542">
        <f>Skills!G25*IF(Skills!H25&gt;0,Skills!I25/Skills!H25,1)</f>
        <v/>
      </c>
      <c r="H542">
        <f>1-(1-Skills!J25/100)^Skills!K25</f>
        <v/>
      </c>
      <c r="I542" t="inlineStr">
        <is>
          <t>1</t>
        </is>
      </c>
      <c r="J542" t="inlineStr"/>
      <c r="K542" t="inlineStr"/>
      <c r="L542" t="inlineStr"/>
      <c r="M542" t="inlineStr"/>
      <c r="N542" t="inlineStr"/>
      <c r="O542" t="n">
        <v>0</v>
      </c>
      <c r="P542">
        <f>IF(B558=0,0,O542/B558)</f>
        <v/>
      </c>
      <c r="Q542" t="n">
        <v>0</v>
      </c>
      <c r="R542" t="n">
        <v>0</v>
      </c>
      <c r="S542">
        <f>IFERROR(O542/N542,0)</f>
        <v/>
      </c>
    </row>
    <row r="543">
      <c r="A543">
        <f>Skills!A26</f>
        <v/>
      </c>
      <c r="B543">
        <f>Skills!B26</f>
        <v/>
      </c>
      <c r="C543">
        <f>Inputs!$B$3&gt;=125</f>
        <v/>
      </c>
      <c r="D543">
        <f>IF(Skills!C26=1,60+Inputs!$B$25+Inputs!$B$29,IF(Skills!C26=2,90+Inputs!$B$26+Inputs!$B$29,IF(Skills!C26=3,120+Inputs!$B$27+Inputs!$B$29,MAX(0,(Inputs!$B$3-100)*3)+Inputs!$B$28+Inputs!$B$29)))</f>
        <v/>
      </c>
      <c r="E543">
        <f>INDEX(FactorTable!$B$2:$Y$301, MATCH(ROUND(MIN(300,MAX(1,D543)),0), FactorTable!$A$2:$A$301,0), Skills!M26+1)</f>
        <v/>
      </c>
      <c r="F543">
        <f>IF(Skills!N26=TRUE,(Skills!L26/10)*(E543/1000),Skills!L26/10)+Skills!O26</f>
        <v/>
      </c>
      <c r="G543">
        <f>Skills!G26*IF(Skills!H26&gt;0,Skills!I26/Skills!H26,1)</f>
        <v/>
      </c>
      <c r="H543">
        <f>1-(1-Skills!J26/100)^Skills!K26</f>
        <v/>
      </c>
      <c r="I543" t="inlineStr">
        <is>
          <t>1</t>
        </is>
      </c>
      <c r="J543" t="inlineStr"/>
      <c r="K543" t="inlineStr"/>
      <c r="L543" t="inlineStr"/>
      <c r="M543" t="inlineStr"/>
      <c r="N543" t="inlineStr"/>
      <c r="O543" t="n">
        <v>0</v>
      </c>
      <c r="P543">
        <f>IF(B558=0,0,O543/B558)</f>
        <v/>
      </c>
      <c r="Q543" t="n">
        <v>0</v>
      </c>
      <c r="R543" t="n">
        <v>0</v>
      </c>
      <c r="S543">
        <f>IFERROR(O543/N543,0)</f>
        <v/>
      </c>
    </row>
    <row r="544">
      <c r="A544">
        <f>Skills!A27</f>
        <v/>
      </c>
      <c r="B544">
        <f>Skills!B27</f>
        <v/>
      </c>
      <c r="C544">
        <f>Inputs!$B$3&gt;=125</f>
        <v/>
      </c>
      <c r="D544">
        <f>IF(Skills!C27=1,60+Inputs!$B$25+Inputs!$B$29,IF(Skills!C27=2,90+Inputs!$B$26+Inputs!$B$29,IF(Skills!C27=3,120+Inputs!$B$27+Inputs!$B$29,MAX(0,(Inputs!$B$3-100)*3)+Inputs!$B$28+Inputs!$B$29)))</f>
        <v/>
      </c>
      <c r="E544">
        <f>INDEX(FactorTable!$B$2:$Y$301, MATCH(ROUND(MIN(300,MAX(1,D544)),0), FactorTable!$A$2:$A$301,0), Skills!M27+1)</f>
        <v/>
      </c>
      <c r="F544">
        <f>IF(Skills!N27=TRUE,(Skills!L27/10)*(E544/1000),Skills!L27/10)+Skills!O27</f>
        <v/>
      </c>
      <c r="G544">
        <f>Skills!G27*IF(Skills!H27&gt;0,Skills!I27/Skills!H27,1)</f>
        <v/>
      </c>
      <c r="H544">
        <f>1-(1-Skills!J27/100)^Skills!K27</f>
        <v/>
      </c>
      <c r="I544" t="inlineStr">
        <is>
          <t>1</t>
        </is>
      </c>
      <c r="J544" t="inlineStr"/>
      <c r="K544" t="inlineStr"/>
      <c r="L544" t="inlineStr"/>
      <c r="M544" t="inlineStr"/>
      <c r="N544" t="inlineStr"/>
      <c r="O544" t="n">
        <v>0</v>
      </c>
      <c r="P544">
        <f>IF(B558=0,0,O544/B558)</f>
        <v/>
      </c>
      <c r="Q544" t="n">
        <v>0</v>
      </c>
      <c r="R544" t="n">
        <v>0</v>
      </c>
      <c r="S544">
        <f>IFERROR(O544/N544,0)</f>
        <v/>
      </c>
    </row>
    <row r="545">
      <c r="A545">
        <f>Skills!A28</f>
        <v/>
      </c>
      <c r="B545">
        <f>Skills!B28</f>
        <v/>
      </c>
      <c r="C545">
        <f>Inputs!$B$3&gt;=120</f>
        <v/>
      </c>
      <c r="D545">
        <f>IF(Skills!C28=1,60+Inputs!$B$25+Inputs!$B$29,IF(Skills!C28=2,90+Inputs!$B$26+Inputs!$B$29,IF(Skills!C28=3,120+Inputs!$B$27+Inputs!$B$29,MAX(0,(Inputs!$B$3-100)*3)+Inputs!$B$28+Inputs!$B$29)))</f>
        <v/>
      </c>
      <c r="E545">
        <f>INDEX(FactorTable!$B$2:$Y$301, MATCH(ROUND(MIN(300,MAX(1,D545)),0), FactorTable!$A$2:$A$301,0), Skills!M28+1)</f>
        <v/>
      </c>
      <c r="F545">
        <f>IF(Skills!N28=TRUE,(Skills!L28/10)*(E545/1000),Skills!L28/10)+Skills!O28</f>
        <v/>
      </c>
      <c r="G545">
        <f>Skills!G28*IF(Skills!H28&gt;0,Skills!I28/Skills!H28,1)</f>
        <v/>
      </c>
      <c r="H545">
        <f>1-(1-Skills!J28/100)^Skills!K28</f>
        <v/>
      </c>
      <c r="I545" t="inlineStr">
        <is>
          <t>1</t>
        </is>
      </c>
      <c r="J545" t="inlineStr"/>
      <c r="K545" t="inlineStr"/>
      <c r="L545" t="inlineStr"/>
      <c r="M545" t="inlineStr"/>
      <c r="N545" t="inlineStr"/>
      <c r="O545" t="n">
        <v>0</v>
      </c>
      <c r="P545">
        <f>IF(B558=0,0,O545/B558)</f>
        <v/>
      </c>
      <c r="Q545" t="n">
        <v>0</v>
      </c>
      <c r="R545" t="n">
        <v>0</v>
      </c>
      <c r="S545">
        <f>IFERROR(O545/N545,0)</f>
        <v/>
      </c>
    </row>
    <row r="546">
      <c r="A546">
        <f>Skills!A29</f>
        <v/>
      </c>
      <c r="B546">
        <f>Skills!B29</f>
        <v/>
      </c>
      <c r="C546">
        <f>Inputs!$B$3&gt;=120</f>
        <v/>
      </c>
      <c r="D546">
        <f>IF(Skills!C29=1,60+Inputs!$B$25+Inputs!$B$29,IF(Skills!C29=2,90+Inputs!$B$26+Inputs!$B$29,IF(Skills!C29=3,120+Inputs!$B$27+Inputs!$B$29,MAX(0,(Inputs!$B$3-100)*3)+Inputs!$B$28+Inputs!$B$29)))</f>
        <v/>
      </c>
      <c r="E546">
        <f>INDEX(FactorTable!$B$2:$Y$301, MATCH(ROUND(MIN(300,MAX(1,D546)),0), FactorTable!$A$2:$A$301,0), Skills!M29+1)</f>
        <v/>
      </c>
      <c r="F546">
        <f>IF(Skills!N29=TRUE,(Skills!L29/10)*(E546/1000),Skills!L29/10)+Skills!O29</f>
        <v/>
      </c>
      <c r="G546">
        <f>Skills!G29*IF(Skills!H29&gt;0,Skills!I29/Skills!H29,1)</f>
        <v/>
      </c>
      <c r="H546">
        <f>1-(1-Skills!J29/100)^Skills!K29</f>
        <v/>
      </c>
      <c r="I546" t="inlineStr">
        <is>
          <t>1</t>
        </is>
      </c>
      <c r="J546" t="inlineStr"/>
      <c r="K546" t="inlineStr"/>
      <c r="L546" t="inlineStr"/>
      <c r="M546" t="inlineStr"/>
      <c r="N546" t="inlineStr"/>
      <c r="O546" t="n">
        <v>0</v>
      </c>
      <c r="P546">
        <f>IF(B558=0,0,O546/B558)</f>
        <v/>
      </c>
      <c r="Q546" t="n">
        <v>0</v>
      </c>
      <c r="R546" t="n">
        <v>0</v>
      </c>
      <c r="S546">
        <f>IFERROR(O546/N546,0)</f>
        <v/>
      </c>
    </row>
    <row r="547">
      <c r="A547">
        <f>Skills!A30</f>
        <v/>
      </c>
      <c r="B547">
        <f>Skills!B30</f>
        <v/>
      </c>
      <c r="C547">
        <f>Inputs!$B$3&gt;=45</f>
        <v/>
      </c>
      <c r="D547">
        <f>IF(Skills!C30=1,60+Inputs!$B$25+Inputs!$B$29,IF(Skills!C30=2,90+Inputs!$B$26+Inputs!$B$29,IF(Skills!C30=3,120+Inputs!$B$27+Inputs!$B$29,MAX(0,(Inputs!$B$3-100)*3)+Inputs!$B$28+Inputs!$B$29)))</f>
        <v/>
      </c>
      <c r="E547">
        <f>INDEX(FactorTable!$B$2:$Y$301, MATCH(ROUND(MIN(300,MAX(1,D547)),0), FactorTable!$A$2:$A$301,0), Skills!M30+1)</f>
        <v/>
      </c>
      <c r="F547">
        <f>IF(Skills!N30=TRUE,(Skills!L30/10)*(E547/1000),Skills!L30/10)+Skills!O30</f>
        <v/>
      </c>
      <c r="G547">
        <f>Skills!G30*IF(Skills!H30&gt;0,Skills!I30/Skills!H30,1)</f>
        <v/>
      </c>
      <c r="H547">
        <f>1-(1-Skills!J30/100)^Skills!K30</f>
        <v/>
      </c>
      <c r="I547" t="inlineStr">
        <is>
          <t>1</t>
        </is>
      </c>
      <c r="J547" t="inlineStr"/>
      <c r="K547" t="inlineStr"/>
      <c r="L547" t="inlineStr"/>
      <c r="M547" t="inlineStr"/>
      <c r="N547" t="inlineStr"/>
      <c r="O547" t="n">
        <v>0</v>
      </c>
      <c r="P547">
        <f>IF(B558=0,0,O547/B558)</f>
        <v/>
      </c>
      <c r="Q547" t="n">
        <v>0</v>
      </c>
      <c r="R547" t="n">
        <v>0</v>
      </c>
      <c r="S547">
        <f>IFERROR(O547/N547,0)</f>
        <v/>
      </c>
    </row>
    <row r="549">
      <c r="A549" t="inlineStr">
        <is>
          <t>Attack% Bucket Multiplier</t>
        </is>
      </c>
      <c r="B549">
        <f>(1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f>
        <v/>
      </c>
    </row>
    <row r="550">
      <c r="A550" t="inlineStr">
        <is>
          <t>Global Crit Rate Bonus %</t>
        </is>
      </c>
      <c r="B550">
        <f>(C533=TRUE)*20*IF(AND(Inputs!$B$38&lt;&gt;"pvp",Inputs!$B$43&gt;0),(((R533-1)*(Skills!T16*(1+Inputs!$B$34/100))+MIN((Skills!T16*(1+Inputs!$B$34/100)),MAX(0,Inputs!$B$43-((R533-1)*Skills!D16))))/Inputs!$B$43),IF(Inputs!$B$38="pvp",MIN((Skills!T16*(1+Inputs!$B$34/100)),15)/15,(Skills!T16*(1+Inputs!$B$34/100))/Skills!D16))</f>
        <v/>
      </c>
    </row>
    <row r="551">
      <c r="A551" t="inlineStr">
        <is>
          <t>Attack Speed Buff Bonus %</t>
        </is>
      </c>
      <c r="B551">
        <f>((C536=TRUE)*F536*IF(AND(Inputs!$B$38&lt;&gt;"pvp",Inputs!$B$43&gt;0),(((R536-1)*(Skills!T19*(1+Inputs!$B$34/100))+MIN((Skills!T19*(1+Inputs!$B$34/100)),MAX(0,Inputs!$B$43-((R536-1)*Skills!D19))))/Inputs!$B$43),IF(Inputs!$B$38="pvp",MIN((Skills!T19*(1+Inputs!$B$34/100)),15)/15,(Skills!T19*(1+Inputs!$B$34/100))/Skills!D19)))</f>
        <v/>
      </c>
    </row>
    <row r="552">
      <c r="A552" t="inlineStr">
        <is>
          <t>Actions Per Second</t>
        </is>
      </c>
      <c r="B552">
        <f>1+MIN(150,150*(1-(1-(Inputs!$B$11+((C538=TRUE)*(F538-Calc!F21))+((C539=TRUE)*(F539-Calc!F22)))/150)*(1-B551/150)))/100</f>
        <v/>
      </c>
    </row>
    <row r="553">
      <c r="A553" t="inlineStr">
        <is>
          <t>Skill + Buff Cast Rate</t>
        </is>
      </c>
      <c r="B553">
        <f>IF(AND(Inputs!$B$38&lt;&gt;"pvp",Inputs!$B$43&gt;0),SUMPRODUCT((Skills!E2:E30=TRUE)*(C519:C547=TRUE)*R519:R547*Skills!F2:F30)/Inputs!$B$43,SUMPRODUCT((Skills!E2:E30=TRUE)*(C519:C547=TRUE)*Q519:Q547*Skills!F2:F30))</f>
        <v/>
      </c>
    </row>
    <row r="554">
      <c r="A554" t="inlineStr">
        <is>
          <t>Arrow Stream Casts Per Second</t>
        </is>
      </c>
      <c r="B554">
        <f>MAX(0,B552-B553)</f>
        <v/>
      </c>
    </row>
    <row r="555">
      <c r="A555" t="inlineStr">
        <is>
          <t>Global Critical Damage Bonus % (Sharp Eyes + Concentration)</t>
        </is>
      </c>
      <c r="B555">
        <f>(C533=TRUE)*F533*IF(AND(Inputs!$B$38&lt;&gt;"pvp",Inputs!$B$43&gt;0),(((R533-1)*(Skills!T16*(1+Inputs!$B$34/100))+MIN((Skills!T16*(1+Inputs!$B$34/100)),MAX(0,Inputs!$B$43-((R533-1)*Skills!D16))))/Inputs!$B$43),IF(Inputs!$B$38="pvp",MIN((Skills!T16*(1+Inputs!$B$34/100)),15)/15,(Skills!T16*(1+Inputs!$B$34/100))/Skills!D16))+(C534=TRUE)*30</f>
        <v/>
      </c>
    </row>
    <row r="556">
      <c r="A556" t="inlineStr">
        <is>
          <t>Global Final Damage Bonus % (Mortal Blow)</t>
        </is>
      </c>
      <c r="B556">
        <f>(C535=TRUE)*F535</f>
        <v/>
      </c>
    </row>
    <row r="557">
      <c r="A557" t="inlineStr">
        <is>
          <t>Buff-Casting Startup Delay (s, fixed-duration only)</t>
        </is>
      </c>
      <c r="B557">
        <f>IF(AND(Inputs!$B$38&lt;&gt;"pvp",Inputs!$B$43&gt;0),SUMPRODUCT((Skills!T2:T30&gt;0)*(Skills!E2:E30=TRUE)*(C519:C547=TRUE))/B552,0)</f>
        <v/>
      </c>
    </row>
    <row r="558">
      <c r="A558" s="5" t="inlineStr">
        <is>
          <t>TOTAL DPS</t>
        </is>
      </c>
      <c r="B558" s="5">
        <f>SUM(O519:O547)</f>
        <v/>
      </c>
    </row>
    <row r="561">
      <c r="A561" s="5" t="inlineStr">
        <is>
          <t>Stat: ATTACK_SPEED % (diminishing returns, factor 150)</t>
        </is>
      </c>
    </row>
    <row r="562">
      <c r="A562" s="9" t="inlineStr">
        <is>
          <t>Key</t>
        </is>
      </c>
      <c r="B562" s="9" t="inlineStr">
        <is>
          <t>Name</t>
        </is>
      </c>
      <c r="C562" s="9" t="inlineStr">
        <is>
          <t>Unlocked</t>
        </is>
      </c>
      <c r="D562" s="9" t="inlineStr">
        <is>
          <t>InputLevel</t>
        </is>
      </c>
      <c r="E562" s="9" t="inlineStr">
        <is>
          <t>Factor</t>
        </is>
      </c>
      <c r="F562" s="9" t="inlineStr">
        <is>
          <t>CoefficientPercent</t>
        </is>
      </c>
      <c r="G562" s="9" t="inlineStr">
        <is>
          <t>EffectiveHits</t>
        </is>
      </c>
      <c r="H562" s="9" t="inlineStr">
        <is>
          <t>ProcProbability</t>
        </is>
      </c>
      <c r="I562" s="9" t="inlineStr">
        <is>
          <t>MapleHeroMultiplier</t>
        </is>
      </c>
      <c r="J562" s="9" t="inlineStr">
        <is>
          <t>BaseDamage</t>
        </is>
      </c>
      <c r="K562" s="9" t="inlineStr">
        <is>
          <t>BaseHitDamage</t>
        </is>
      </c>
      <c r="L562" s="9" t="inlineStr">
        <is>
          <t>NonCritAvg</t>
        </is>
      </c>
      <c r="M562" s="9" t="inlineStr">
        <is>
          <t>CritAvg</t>
        </is>
      </c>
      <c r="N562" s="9" t="inlineStr">
        <is>
          <t>ExpectedDamage(perHit)</t>
        </is>
      </c>
      <c r="O562" s="9" t="inlineStr">
        <is>
          <t>DPS</t>
        </is>
      </c>
      <c r="P562" s="9" t="inlineStr">
        <is>
          <t>% of Total</t>
        </is>
      </c>
      <c r="Q562" s="9" t="inlineStr">
        <is>
          <t>InvCooldown</t>
        </is>
      </c>
      <c r="R562" s="9" t="inlineStr">
        <is>
          <t>CastsInFight</t>
        </is>
      </c>
      <c r="S562" s="9" t="inlineStr">
        <is>
          <t>HitRate(perSec)</t>
        </is>
      </c>
      <c r="U562" t="inlineStr">
        <is>
          <t>helpers</t>
        </is>
      </c>
    </row>
    <row r="563">
      <c r="A563">
        <f>Skills!A2</f>
        <v/>
      </c>
      <c r="B563">
        <f>Skills!B2</f>
        <v/>
      </c>
      <c r="C563">
        <f>Inputs!$B$3&gt;=100</f>
        <v/>
      </c>
      <c r="D563" t="inlineStr"/>
      <c r="E563" t="inlineStr"/>
      <c r="F563">
        <f>U565+Skills!O2</f>
        <v/>
      </c>
      <c r="G563">
        <f>Skills!G2*IF(Skills!H2&gt;0,Skills!I2/Skills!H2,1)</f>
        <v/>
      </c>
      <c r="H563">
        <f>1-(1-Skills!J2/100)^Skills!K2</f>
        <v/>
      </c>
      <c r="I563" t="inlineStr">
        <is>
          <t>1</t>
        </is>
      </c>
      <c r="J563">
        <f>((Inputs!$B$6*(1+Inputs!$B$7/100))+(((Inputs!$B$12*(1+Inputs!$B$13/100))-(Inputs!$B$12*(1+Inputs!$B$13/100)))+0.25*(Inputs!$B$14-Inputs!$B$14))*(1+Inputs!$B$7/100))*(F563/100)</f>
        <v/>
      </c>
      <c r="K563">
        <f>J563*(1+((Inputs!$B$12*(1+Inputs!$B$13/100))*0.01+Inputs!$B$14*0.0025)/100)*(1+Inputs!$B$15/100)*(1+IF(Inputs!$B$38="pvp",0,(1-Summary!$B$55)*(Inputs!$B$20+0+Skills!P2)+Summary!$B$55*(Inputs!$B$21+Skills!Q2))/100)*(1+Inputs!$B$16/100)*(5000/(6000+Inputs!$B$42*(1-(Inputs!$B$19+((C588=TRUE)*(F588-Calc!F27)))/100)))*(1+(Inputs!$B$24+((C586=TRUE)*(F586-Calc!F25))+((C587=TRUE)*(F587-Calc!F26))+B600)/100)*(1+(IF(Skills!A2="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563)</f>
        <v/>
      </c>
      <c r="L563">
        <f>K563*(MIN(Inputs!$B$22+((C585=TRUE)*(F585-Calc!F24)),Inputs!$B$23+((C590=TRUE)*(F590-Calc!F29)))/100+(Inputs!$B$23+((C590=TRUE)*(F590-Calc!F29)))/100)/2</f>
        <v/>
      </c>
      <c r="M563">
        <f>L563*(1+(Inputs!$B$10+0+B599)/100)</f>
        <v/>
      </c>
      <c r="N563">
        <f>L563*(1-MIN((Inputs!$B$9+((C581=TRUE)*(F581-Calc!F20))+B594),100)/100)+M563*(MIN((Inputs!$B$9+((C581=TRUE)*(F581-Calc!F20))+B594),100)/100)</f>
        <v/>
      </c>
      <c r="O563">
        <f>IF(C563,Skills!G2*N563*B598*IF(Inputs!$B$38="pvp",1,(1-Summary!$B$55)*(1)+Summary!$B$55*(MIN((6+Inputs!$B$33),Inputs!$B$37))),0)</f>
        <v/>
      </c>
      <c r="P563">
        <f>IF(B602=0,0,O563/B602)</f>
        <v/>
      </c>
      <c r="Q563" t="n">
        <v>0</v>
      </c>
      <c r="R563" t="n">
        <v>0</v>
      </c>
      <c r="S563">
        <f>IFERROR(O563/N563,0)</f>
        <v/>
      </c>
      <c r="U563">
        <f>MAX(0,(Inputs!$B$3-100)*3)+Inputs!$B$28+Inputs!$B$29</f>
        <v/>
      </c>
    </row>
    <row r="564">
      <c r="A564">
        <f>Skills!A3</f>
        <v/>
      </c>
      <c r="B564">
        <f>Skills!B3</f>
        <v/>
      </c>
      <c r="C564">
        <f>Inputs!$B$3&gt;=50</f>
        <v/>
      </c>
      <c r="D564">
        <f>IF(Skills!C3=1,60+Inputs!$B$25+Inputs!$B$29,IF(Skills!C3=2,90+Inputs!$B$26+Inputs!$B$29,IF(Skills!C3=3,120+Inputs!$B$27+Inputs!$B$29,MAX(0,(Inputs!$B$3-100)*3)+Inputs!$B$28+Inputs!$B$29)))</f>
        <v/>
      </c>
      <c r="E564">
        <f>INDEX(FactorTable!$B$2:$Y$301, MATCH(ROUND(MIN(300,MAX(1,D564)),0), FactorTable!$A$2:$A$301,0), Skills!M3+1)</f>
        <v/>
      </c>
      <c r="F564">
        <f>IF(Skills!N3=TRUE,(Skills!L3/10)*(E564/1000),Skills!L3/10)+Skills!O3</f>
        <v/>
      </c>
      <c r="G564" t="inlineStr"/>
      <c r="H564" t="inlineStr"/>
      <c r="I564" t="inlineStr">
        <is>
          <t>1</t>
        </is>
      </c>
      <c r="J564" t="inlineStr"/>
      <c r="K564" t="inlineStr"/>
      <c r="L564" t="inlineStr"/>
      <c r="M564" t="inlineStr"/>
      <c r="N564" t="inlineStr"/>
      <c r="O564" t="inlineStr"/>
      <c r="P564" t="inlineStr"/>
      <c r="Q564" t="inlineStr"/>
      <c r="R564" t="inlineStr"/>
      <c r="S564" t="inlineStr"/>
      <c r="U564">
        <f>INDEX(FactorTable!$B$2:$Y$301, MATCH(ROUND(MIN(300,MAX(1,U563)),0), FactorTable!$A$2:$A$301,0), 22)</f>
        <v/>
      </c>
    </row>
    <row r="565">
      <c r="A565">
        <f>Skills!A4</f>
        <v/>
      </c>
      <c r="B565">
        <f>Skills!B4</f>
        <v/>
      </c>
      <c r="C565">
        <f>Inputs!$B$3&gt;=105</f>
        <v/>
      </c>
      <c r="D565">
        <f>IF(Skills!C4=1,60+Inputs!$B$25+Inputs!$B$29,IF(Skills!C4=2,90+Inputs!$B$26+Inputs!$B$29,IF(Skills!C4=3,120+Inputs!$B$27+Inputs!$B$29,MAX(0,(Inputs!$B$3-100)*3)+Inputs!$B$28+Inputs!$B$29)))</f>
        <v/>
      </c>
      <c r="E565">
        <f>INDEX(FactorTable!$B$2:$Y$301, MATCH(ROUND(MIN(300,MAX(1,D565)),0), FactorTable!$A$2:$A$301,0), Skills!M4+1)</f>
        <v/>
      </c>
      <c r="F565">
        <f>IF(Skills!N4=TRUE,(Skills!L4/10)*(E565/1000),Skills!L4/10)+Skills!O4</f>
        <v/>
      </c>
      <c r="G565" t="inlineStr"/>
      <c r="H565" t="inlineStr"/>
      <c r="I565" t="inlineStr">
        <is>
          <t>1</t>
        </is>
      </c>
      <c r="J565" t="inlineStr"/>
      <c r="K565" t="inlineStr"/>
      <c r="L565" t="inlineStr"/>
      <c r="M565" t="inlineStr"/>
      <c r="N565" t="inlineStr"/>
      <c r="O565" t="inlineStr"/>
      <c r="P565" t="inlineStr"/>
      <c r="Q565" t="inlineStr"/>
      <c r="R565" t="inlineStr"/>
      <c r="S565" t="inlineStr"/>
      <c r="U565">
        <f>290*U564/1000</f>
        <v/>
      </c>
    </row>
    <row r="566">
      <c r="A566">
        <f>Skills!A5</f>
        <v/>
      </c>
      <c r="B566">
        <f>Skills!B5</f>
        <v/>
      </c>
      <c r="C566">
        <f>Inputs!$B$3&gt;=35</f>
        <v/>
      </c>
      <c r="D566">
        <f>IF(Skills!C5=1,60+Inputs!$B$25+Inputs!$B$29,IF(Skills!C5=2,90+Inputs!$B$26+Inputs!$B$29,IF(Skills!C5=3,120+Inputs!$B$27+Inputs!$B$29,MAX(0,(Inputs!$B$3-100)*3)+Inputs!$B$28+Inputs!$B$29)))</f>
        <v/>
      </c>
      <c r="E566">
        <f>INDEX(FactorTable!$B$2:$Y$301, MATCH(ROUND(MIN(300,MAX(1,D566)),0), FactorTable!$A$2:$A$301,0), Skills!M5+1)</f>
        <v/>
      </c>
      <c r="F566">
        <f>IF(Skills!N5=TRUE,(Skills!L5/10)*(E566/1000),Skills!L5/10)+Skills!O5</f>
        <v/>
      </c>
      <c r="G566">
        <f>Skills!G5*IF(Skills!H5&gt;0,Skills!I5/Skills!H5,1)</f>
        <v/>
      </c>
      <c r="H566">
        <f>1-(1-Skills!J5/100)^Skills!K5</f>
        <v/>
      </c>
      <c r="I566" t="inlineStr">
        <is>
          <t>1</t>
        </is>
      </c>
      <c r="J566">
        <f>((Inputs!$B$6*(1+Inputs!$B$7/100))+(((Inputs!$B$12*(1+Inputs!$B$13/100))-(Inputs!$B$12*(1+Inputs!$B$13/100)))+0.25*(Inputs!$B$14-Inputs!$B$14))*(1+Inputs!$B$7/100))*(F566/100)</f>
        <v/>
      </c>
      <c r="K566">
        <f>J566*(1+((Inputs!$B$12*(1+Inputs!$B$13/100))*0.01+Inputs!$B$14*0.0025)/100)*(1+Inputs!$B$15/100)*(1+IF(Inputs!$B$38="pvp",0,(1-Summary!$B$55)*(Inputs!$B$20+0+Skills!P5)+Summary!$B$55*(Inputs!$B$21+Skills!Q5))/100)*(1+Inputs!$B$16/100)*(5000/(6000+Inputs!$B$42*(1-(Inputs!$B$19+((C588=TRUE)*(F588-Calc!F27)))/100)))*(1+(Inputs!$B$24+((C586=TRUE)*(F586-Calc!F25))+((C587=TRUE)*(F587-Calc!F26))+B600)/100)*(1+4.0*IF(C571=TRUE,F571,0)/100)*(1+(IF(Skills!A5="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566)</f>
        <v/>
      </c>
      <c r="L566">
        <f>K566*(MIN(Inputs!$B$22+((C585=TRUE)*(F585-Calc!F24)),Inputs!$B$23+((C590=TRUE)*(F590-Calc!F29)))/100+(Inputs!$B$23+((C590=TRUE)*(F590-Calc!F29)))/100)/2</f>
        <v/>
      </c>
      <c r="M566">
        <f>L566*(1+(Inputs!$B$10+0+B599)/100)</f>
        <v/>
      </c>
      <c r="N566">
        <f>L566*(1-MIN((Inputs!$B$9+((C581=TRUE)*(F581-Calc!F20))+B594),100)/100)+M566*(MIN((Inputs!$B$9+((C581=TRUE)*(F581-Calc!F20))+B594),100)/100)</f>
        <v/>
      </c>
      <c r="O566">
        <f>IF(C566,H566*N566*IF(AND(Inputs!$B$38&lt;&gt;"pvp",Inputs!$B$43&gt;0),((Skills!G5*((R566-1)*IF(Skills!H5&gt;0,Skills!I5/Skills!H5,1)+IF(Skills!H5&gt;0,MIN(Skills!I5,MAX(0,MAX(0,Inputs!$B$43-B601)-((R566-1)*IF(Inputs!$B$38="pvp",15,MAX(0.1,Skills!D5-IF(Skills!E5=TRUE,Inputs!$B$32,0))))))/Skills!H5,1)))/Inputs!$B$43),G566*Q566)*IF(Inputs!$B$38="pvp",1,(1-Summary!$B$55)*(1)+Summary!$B$55*(MIN(Skills!R5,Inputs!$B$37))),0)</f>
        <v/>
      </c>
      <c r="P566">
        <f>IF(B602=0,0,O566/B602)</f>
        <v/>
      </c>
      <c r="Q566">
        <f>IFERROR(1/IF(Inputs!$B$38="pvp",15,MAX(0.1,Skills!D5-IF(Skills!E5=TRUE,Inputs!$B$32,0))),0)</f>
        <v/>
      </c>
      <c r="R566">
        <f>IF(AND(Inputs!$B$38&lt;&gt;"pvp",Inputs!$B$43&gt;0),IF(MAX(0,Inputs!$B$43-B601)&lt;=0,0,(INT(MAX(0,Inputs!$B$43-B601)/IF(Inputs!$B$38="pvp",15,MAX(0.1,Skills!D5-IF(Skills!E5=TRUE,Inputs!$B$32,0))))+1)),0)</f>
        <v/>
      </c>
      <c r="S566">
        <f>IFERROR(O566/N566,0)</f>
        <v/>
      </c>
    </row>
    <row r="567">
      <c r="A567">
        <f>Skills!A6</f>
        <v/>
      </c>
      <c r="B567">
        <f>Skills!B6</f>
        <v/>
      </c>
      <c r="C567">
        <f>Inputs!$B$3&gt;=40</f>
        <v/>
      </c>
      <c r="D567">
        <f>IF(Skills!C6=1,60+Inputs!$B$25+Inputs!$B$29,IF(Skills!C6=2,90+Inputs!$B$26+Inputs!$B$29,IF(Skills!C6=3,120+Inputs!$B$27+Inputs!$B$29,MAX(0,(Inputs!$B$3-100)*3)+Inputs!$B$28+Inputs!$B$29)))</f>
        <v/>
      </c>
      <c r="E567">
        <f>INDEX(FactorTable!$B$2:$Y$301, MATCH(ROUND(MIN(300,MAX(1,D567)),0), FactorTable!$A$2:$A$301,0), Skills!M6+1)</f>
        <v/>
      </c>
      <c r="F567">
        <f>IF(Skills!N6=TRUE,(Skills!L6/10)*(E567/1000),Skills!L6/10)+Skills!O6</f>
        <v/>
      </c>
      <c r="G567">
        <f>Skills!G6*IF(Skills!H6&gt;0,Skills!I6/Skills!H6,1)</f>
        <v/>
      </c>
      <c r="H567">
        <f>1-(1-Skills!J6/100)^Skills!K6</f>
        <v/>
      </c>
      <c r="I567" t="inlineStr">
        <is>
          <t>1</t>
        </is>
      </c>
      <c r="J567">
        <f>((Inputs!$B$6*(1+Inputs!$B$7/100))+(((Inputs!$B$12*(1+Inputs!$B$13/100))-(Inputs!$B$12*(1+Inputs!$B$13/100)))+0.25*(Inputs!$B$14-Inputs!$B$14))*(1+Inputs!$B$7/100))*(F567/100)</f>
        <v/>
      </c>
      <c r="K567">
        <f>J567*(1+((Inputs!$B$12*(1+Inputs!$B$13/100))*0.01+Inputs!$B$14*0.0025)/100)*(1+Inputs!$B$15/100)*(1+IF(Inputs!$B$38="pvp",0,(1-Summary!$B$55)*(Inputs!$B$20+0+Skills!P6)+Summary!$B$55*(Inputs!$B$21+Skills!Q6))/100)*(1+Inputs!$B$16/100)*(5000/(6000+Inputs!$B$42*(1-(Inputs!$B$19+((C588=TRUE)*(F588-Calc!F27)))/100)))*(1+(Inputs!$B$24+((C586=TRUE)*(F586-Calc!F25))+((C587=TRUE)*(F587-Calc!F26))+B600)/100)*(1+IF(C568=TRUE,F568,0)/100)*(1+(IF(Skills!A6="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567)</f>
        <v/>
      </c>
      <c r="L567">
        <f>K567*(MIN(Inputs!$B$22+((C585=TRUE)*(F585-Calc!F24)),Inputs!$B$23+((C590=TRUE)*(F590-Calc!F29)))/100+(Inputs!$B$23+((C590=TRUE)*(F590-Calc!F29)))/100)/2</f>
        <v/>
      </c>
      <c r="M567">
        <f>L567*(1+(Inputs!$B$10+0+B599)/100)</f>
        <v/>
      </c>
      <c r="N567">
        <f>L567*(1-MIN((Inputs!$B$9+((C581=TRUE)*(F581-Calc!F20))+B594),100)/100)+M567*(MIN((Inputs!$B$9+((C581=TRUE)*(F581-Calc!F20))+B594),100)/100)</f>
        <v/>
      </c>
      <c r="O567">
        <f>IF(C567,H567*N567*IF(AND(Inputs!$B$38&lt;&gt;"pvp",Inputs!$B$43&gt;0),((Skills!G6*((R567-1)*IF(Skills!H6&gt;0,Skills!I6/Skills!H6,1)+IF(Skills!H6&gt;0,MIN(Skills!I6,MAX(0,MAX(0,Inputs!$B$43-B601)-((R567-1)*IF(Inputs!$B$38="pvp",15,MAX(0.1,Skills!D6-IF(Skills!E6=TRUE,Inputs!$B$32,0))))))/Skills!H6,1)))/Inputs!$B$43),G567*Q567)*IF(Inputs!$B$38="pvp",1,(1-Summary!$B$55)*(1)+Summary!$B$55*(MIN(Skills!R6,Inputs!$B$37))),0)</f>
        <v/>
      </c>
      <c r="P567">
        <f>IF(B602=0,0,O567/B602)</f>
        <v/>
      </c>
      <c r="Q567">
        <f>IFERROR(1/IF(Inputs!$B$38="pvp",15,MAX(0.1,Skills!D6-IF(Skills!E6=TRUE,Inputs!$B$32,0))),0)</f>
        <v/>
      </c>
      <c r="R567">
        <f>IF(AND(Inputs!$B$38&lt;&gt;"pvp",Inputs!$B$43&gt;0),IF(MAX(0,Inputs!$B$43-B601)&lt;=0,0,(INT(MAX(0,Inputs!$B$43-B601)/IF(Inputs!$B$38="pvp",15,MAX(0.1,Skills!D6-IF(Skills!E6=TRUE,Inputs!$B$32,0))))+1)),0)</f>
        <v/>
      </c>
      <c r="S567">
        <f>IFERROR(O567/N567,0)</f>
        <v/>
      </c>
    </row>
    <row r="568">
      <c r="A568">
        <f>Skills!A7</f>
        <v/>
      </c>
      <c r="B568">
        <f>Skills!B7</f>
        <v/>
      </c>
      <c r="C568">
        <f>Inputs!$B$3&gt;=107</f>
        <v/>
      </c>
      <c r="D568">
        <f>IF(Skills!C7=1,60+Inputs!$B$25+Inputs!$B$29,IF(Skills!C7=2,90+Inputs!$B$26+Inputs!$B$29,IF(Skills!C7=3,120+Inputs!$B$27+Inputs!$B$29,MAX(0,(Inputs!$B$3-100)*3)+Inputs!$B$28+Inputs!$B$29)))</f>
        <v/>
      </c>
      <c r="E568">
        <f>INDEX(FactorTable!$B$2:$Y$301, MATCH(ROUND(MIN(300,MAX(1,D568)),0), FactorTable!$A$2:$A$301,0), Skills!M7+1)</f>
        <v/>
      </c>
      <c r="F568">
        <f>IF(Skills!N7=TRUE,(Skills!L7/10)*(E568/1000),Skills!L7/10)+Skills!O7</f>
        <v/>
      </c>
      <c r="G568" t="inlineStr"/>
      <c r="H568" t="inlineStr"/>
      <c r="I568" t="inlineStr">
        <is>
          <t>1</t>
        </is>
      </c>
      <c r="J568" t="inlineStr"/>
      <c r="K568" t="inlineStr"/>
      <c r="L568" t="inlineStr"/>
      <c r="M568" t="inlineStr"/>
      <c r="N568" t="inlineStr"/>
      <c r="O568" t="inlineStr"/>
      <c r="P568" t="inlineStr"/>
      <c r="Q568" t="inlineStr"/>
      <c r="R568" t="inlineStr"/>
      <c r="S568" t="inlineStr"/>
    </row>
    <row r="569">
      <c r="A569">
        <f>Skills!A8</f>
        <v/>
      </c>
      <c r="B569">
        <f>Skills!B8</f>
        <v/>
      </c>
      <c r="C569">
        <f>Inputs!$B$3&gt;=69</f>
        <v/>
      </c>
      <c r="D569">
        <f>IF(Skills!C8=1,60+Inputs!$B$25+Inputs!$B$29,IF(Skills!C8=2,90+Inputs!$B$26+Inputs!$B$29,IF(Skills!C8=3,120+Inputs!$B$27+Inputs!$B$29,MAX(0,(Inputs!$B$3-100)*3)+Inputs!$B$28+Inputs!$B$29)))</f>
        <v/>
      </c>
      <c r="E569">
        <f>INDEX(FactorTable!$B$2:$Y$301, MATCH(ROUND(MIN(300,MAX(1,D569)),0), FactorTable!$A$2:$A$301,0), Skills!M8+1)</f>
        <v/>
      </c>
      <c r="F569">
        <f>IF(Skills!N8=TRUE,(Skills!L8/10)*(E569/1000),Skills!L8/10)+Skills!O8</f>
        <v/>
      </c>
      <c r="G569">
        <f>Skills!G8*IF(Skills!H8&gt;0,Skills!I8/Skills!H8,1)</f>
        <v/>
      </c>
      <c r="H569">
        <f>1-(1-Skills!J8/100)^Skills!K8</f>
        <v/>
      </c>
      <c r="I569" t="inlineStr">
        <is>
          <t>1</t>
        </is>
      </c>
      <c r="J569">
        <f>((Inputs!$B$6*(1+Inputs!$B$7/100))+(((Inputs!$B$12*(1+Inputs!$B$13/100))-(Inputs!$B$12*(1+Inputs!$B$13/100)))+0.25*(Inputs!$B$14-Inputs!$B$14))*(1+Inputs!$B$7/100))*(F569/100)</f>
        <v/>
      </c>
      <c r="K569">
        <f>J569*(1+((Inputs!$B$12*(1+Inputs!$B$13/100))*0.01+Inputs!$B$14*0.0025)/100)*(1+Inputs!$B$15/100)*(1+IF(Inputs!$B$38="pvp",0,(1-Summary!$B$55)*(Inputs!$B$20+0+Skills!P8)+Summary!$B$55*(Inputs!$B$21+Skills!Q8))/100)*(1+Inputs!$B$16/100)*(5000/(6000+Inputs!$B$42*(1-(Inputs!$B$19+((C588=TRUE)*(F588-Calc!F27)))/100)))*(1+(Inputs!$B$24+((C586=TRUE)*(F586-Calc!F25))+((C587=TRUE)*(F587-Calc!F26))+B600)/100)*(1+1.2*IF(C571=TRUE,F571,0)/100)*(1+(IF(Skills!A8="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569)</f>
        <v/>
      </c>
      <c r="L569">
        <f>K569*(MIN(Inputs!$B$22+((C585=TRUE)*(F585-Calc!F24)),Inputs!$B$23+((C590=TRUE)*(F590-Calc!F29)))/100+(Inputs!$B$23+((C590=TRUE)*(F590-Calc!F29)))/100)/2</f>
        <v/>
      </c>
      <c r="M569">
        <f>L569*(1+(Inputs!$B$10+0+B599)/100)</f>
        <v/>
      </c>
      <c r="N569">
        <f>L569*(1-MIN((Inputs!$B$9+((C581=TRUE)*(F581-Calc!F20))+B594),100)/100)+M569*(MIN((Inputs!$B$9+((C581=TRUE)*(F581-Calc!F20))+B594),100)/100)</f>
        <v/>
      </c>
      <c r="O569">
        <f>IF(C569,H569*N569*IF(AND(Inputs!$B$38&lt;&gt;"pvp",Inputs!$B$43&gt;0),((Skills!G8*((R569-1)*IF(Skills!H8&gt;0,Skills!I8/Skills!H8,1)+IF(Skills!H8&gt;0,MIN(Skills!I8,MAX(0,MAX(0,Inputs!$B$43-B601)-((R569-1)*IF(Inputs!$B$38="pvp",15,MAX(0.1,Skills!D8-IF(Skills!E8=TRUE,Inputs!$B$32,0))))))/Skills!H8,1)))/Inputs!$B$43),G569*Q569)*IF(Inputs!$B$38="pvp",1,(1-Summary!$B$55)*(1)+Summary!$B$55*(MIN(Skills!R8,Inputs!$B$37))),0)</f>
        <v/>
      </c>
      <c r="P569">
        <f>IF(B602=0,0,O569/B602)</f>
        <v/>
      </c>
      <c r="Q569">
        <f>IFERROR(1/IF(Inputs!$B$38="pvp",15,MAX(0.1,Skills!D8-IF(Skills!E8=TRUE,Inputs!$B$32,0))),0)</f>
        <v/>
      </c>
      <c r="R569">
        <f>IF(AND(Inputs!$B$38&lt;&gt;"pvp",Inputs!$B$43&gt;0),IF(MAX(0,Inputs!$B$43-B601)&lt;=0,0,(INT(MAX(0,Inputs!$B$43-B601)/IF(Inputs!$B$38="pvp",15,MAX(0.1,Skills!D8-IF(Skills!E8=TRUE,Inputs!$B$32,0))))+1)),0)</f>
        <v/>
      </c>
      <c r="S569">
        <f>IFERROR(O569/N569,0)</f>
        <v/>
      </c>
    </row>
    <row r="570">
      <c r="A570">
        <f>Skills!A9</f>
        <v/>
      </c>
      <c r="B570">
        <f>Skills!B9</f>
        <v/>
      </c>
      <c r="C570">
        <f>Inputs!$B$3&gt;=63</f>
        <v/>
      </c>
      <c r="D570">
        <f>IF(Skills!C9=1,60+Inputs!$B$25+Inputs!$B$29,IF(Skills!C9=2,90+Inputs!$B$26+Inputs!$B$29,IF(Skills!C9=3,120+Inputs!$B$27+Inputs!$B$29,MAX(0,(Inputs!$B$3-100)*3)+Inputs!$B$28+Inputs!$B$29)))</f>
        <v/>
      </c>
      <c r="E570">
        <f>INDEX(FactorTable!$B$2:$Y$301, MATCH(ROUND(MIN(300,MAX(1,D570)),0), FactorTable!$A$2:$A$301,0), Skills!M9+1)</f>
        <v/>
      </c>
      <c r="F570">
        <f>IF(Skills!N9=TRUE,(Skills!L9/10)*(E570/1000),Skills!L9/10)+Skills!O9</f>
        <v/>
      </c>
      <c r="G570">
        <f>Skills!G9*IF(Skills!H9&gt;0,Skills!I9/Skills!H9,1)</f>
        <v/>
      </c>
      <c r="H570">
        <f>1-(1-Skills!J9/100)^Skills!K9</f>
        <v/>
      </c>
      <c r="I570" t="inlineStr">
        <is>
          <t>1</t>
        </is>
      </c>
      <c r="J570">
        <f>((Inputs!$B$6*(1+Inputs!$B$7/100))+(((Inputs!$B$12*(1+Inputs!$B$13/100))-(Inputs!$B$12*(1+Inputs!$B$13/100)))+0.25*(Inputs!$B$14-Inputs!$B$14))*(1+Inputs!$B$7/100))*(F570/100)</f>
        <v/>
      </c>
      <c r="K570">
        <f>J570*(1+((Inputs!$B$12*(1+Inputs!$B$13/100))*0.01+Inputs!$B$14*0.0025)/100)*(1+Inputs!$B$15/100)*(1+IF(Inputs!$B$38="pvp",0,(1-Summary!$B$55)*(Inputs!$B$20+0+Skills!P9)+Summary!$B$55*(Inputs!$B$21+Skills!Q9))/100)*(1+Inputs!$B$16/100)*(5000/(6000+Inputs!$B$42*(1-(Inputs!$B$19+((C588=TRUE)*(F588-Calc!F27)))/100)))*(1+(Inputs!$B$24+((C586=TRUE)*(F586-Calc!F25))+((C587=TRUE)*(F587-Calc!F26))+B600)/100)*(1+1.0*IF(C571=TRUE,F571,0)/100)*(1+(IF(Skills!A9="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570)</f>
        <v/>
      </c>
      <c r="L570">
        <f>K570*(MIN(Inputs!$B$22+((C585=TRUE)*(F585-Calc!F24)),Inputs!$B$23+((C590=TRUE)*(F590-Calc!F29)))/100+(Inputs!$B$23+((C590=TRUE)*(F590-Calc!F29)))/100)/2</f>
        <v/>
      </c>
      <c r="M570">
        <f>L570*(1+(Inputs!$B$10+0+B599)/100)</f>
        <v/>
      </c>
      <c r="N570">
        <f>L570*(1-MIN((Inputs!$B$9+((C581=TRUE)*(F581-Calc!F20))+B594),100)/100)+M570*(MIN((Inputs!$B$9+((C581=TRUE)*(F581-Calc!F20))+B594),100)/100)</f>
        <v/>
      </c>
      <c r="O570">
        <f>IF(C570,H570*N570*IF(AND(Inputs!$B$38&lt;&gt;"pvp",Inputs!$B$43&gt;0),((Skills!G9*((R570-1)*IF(Skills!H9&gt;0,Skills!I9/Skills!H9,1)+IF(Skills!H9&gt;0,MIN(Skills!I9,MAX(0,MAX(0,Inputs!$B$43-B601)-((R570-1)*IF(Inputs!$B$38="pvp",15,MAX(0.1,Skills!D9-IF(Skills!E9=TRUE,Inputs!$B$32,0))))))/Skills!H9,1)))/Inputs!$B$43),G570*Q570)*IF(Inputs!$B$38="pvp",1,(1-Summary!$B$55)*(1)+Summary!$B$55*(MIN(Skills!R9,Inputs!$B$37))),0)</f>
        <v/>
      </c>
      <c r="P570">
        <f>IF(B602=0,0,O570/B602)</f>
        <v/>
      </c>
      <c r="Q570">
        <f>IFERROR(1/IF(Inputs!$B$38="pvp",15,MAX(0.1,Skills!D9-IF(Skills!E9=TRUE,Inputs!$B$32,0))),0)</f>
        <v/>
      </c>
      <c r="R570">
        <f>IF(AND(Inputs!$B$38&lt;&gt;"pvp",Inputs!$B$43&gt;0),IF(MAX(0,Inputs!$B$43-B601)&lt;=0,0,(INT(MAX(0,Inputs!$B$43-B601)/IF(Inputs!$B$38="pvp",15,MAX(0.1,Skills!D9-IF(Skills!E9=TRUE,Inputs!$B$32,0))))+1)),0)</f>
        <v/>
      </c>
      <c r="S570">
        <f>IFERROR(O570/N570,0)</f>
        <v/>
      </c>
    </row>
    <row r="571">
      <c r="A571">
        <f>Skills!A10</f>
        <v/>
      </c>
      <c r="B571">
        <f>Skills!B10</f>
        <v/>
      </c>
      <c r="C571">
        <f>Inputs!$B$3&gt;=100</f>
        <v/>
      </c>
      <c r="D571">
        <f>IF(Skills!C10=1,60+Inputs!$B$25+Inputs!$B$29,IF(Skills!C10=2,90+Inputs!$B$26+Inputs!$B$29,IF(Skills!C10=3,120+Inputs!$B$27+Inputs!$B$29,MAX(0,(Inputs!$B$3-100)*3)+Inputs!$B$28+Inputs!$B$29)))</f>
        <v/>
      </c>
      <c r="E571">
        <f>INDEX(FactorTable!$B$2:$Y$301, MATCH(ROUND(MIN(300,MAX(1,D571)),0), FactorTable!$A$2:$A$301,0), Skills!M10+1)</f>
        <v/>
      </c>
      <c r="F571">
        <f>IF(Skills!N10=TRUE,(Skills!L10/10)*(E571/1000),Skills!L10/10)+Skills!O10</f>
        <v/>
      </c>
      <c r="G571" t="inlineStr"/>
      <c r="H571" t="inlineStr"/>
      <c r="I571" t="inlineStr">
        <is>
          <t>1</t>
        </is>
      </c>
      <c r="J571" t="inlineStr"/>
      <c r="K571" t="inlineStr"/>
      <c r="L571" t="inlineStr"/>
      <c r="M571" t="inlineStr"/>
      <c r="N571" t="inlineStr"/>
      <c r="O571" t="inlineStr"/>
      <c r="P571" t="inlineStr"/>
      <c r="Q571" t="inlineStr"/>
      <c r="R571" t="inlineStr"/>
      <c r="S571" t="inlineStr"/>
    </row>
    <row r="572">
      <c r="A572">
        <f>Skills!A11</f>
        <v/>
      </c>
      <c r="B572">
        <f>Skills!B11</f>
        <v/>
      </c>
      <c r="C572">
        <f>Inputs!$B$3&gt;=60</f>
        <v/>
      </c>
      <c r="D572">
        <f>IF(Skills!C11=1,60+Inputs!$B$25+Inputs!$B$29,IF(Skills!C11=2,90+Inputs!$B$26+Inputs!$B$29,IF(Skills!C11=3,120+Inputs!$B$27+Inputs!$B$29,MAX(0,(Inputs!$B$3-100)*3)+Inputs!$B$28+Inputs!$B$29)))</f>
        <v/>
      </c>
      <c r="E572">
        <f>INDEX(FactorTable!$B$2:$Y$301, MATCH(ROUND(MIN(300,MAX(1,D572)),0), FactorTable!$A$2:$A$301,0), Skills!M11+1)</f>
        <v/>
      </c>
      <c r="F572">
        <f>IF(Skills!N11=TRUE,(Skills!L11/10)*(E572/1000),Skills!L11/10)+Skills!O11</f>
        <v/>
      </c>
      <c r="G572">
        <f>Skills!G11*IF(Skills!H11&gt;0,Skills!I11/Skills!H11,1)</f>
        <v/>
      </c>
      <c r="H572">
        <f>1-(1-Skills!J11/100)^Skills!K11</f>
        <v/>
      </c>
      <c r="I572" t="inlineStr">
        <is>
          <t>1</t>
        </is>
      </c>
      <c r="J572">
        <f>((Inputs!$B$6*(1+Inputs!$B$7/100))+(((Inputs!$B$12*(1+Inputs!$B$13/100))-(Inputs!$B$12*(1+Inputs!$B$13/100)))+0.25*(Inputs!$B$14-Inputs!$B$14))*(1+Inputs!$B$7/100))*(F572/100)</f>
        <v/>
      </c>
      <c r="K572">
        <f>J572*(1+((Inputs!$B$12*(1+Inputs!$B$13/100))*0.01+Inputs!$B$14*0.0025)/100)*(1+Inputs!$B$15/100)*(1+IF(Inputs!$B$38="pvp",0,(1-Summary!$B$55)*(Inputs!$B$20+0+Skills!P11)+Summary!$B$55*(Inputs!$B$21+Skills!Q11))/100)*(1+Inputs!$B$16/100)*(5000/(6000+Inputs!$B$42*(1-(Inputs!$B$19+((C588=TRUE)*(F588-Calc!F27)))/100)))*(1+(Inputs!$B$24+((C586=TRUE)*(F586-Calc!F25))+((C587=TRUE)*(F587-Calc!F26))+B600)/100)*(1+IF(C573=TRUE,F573,0)/100)*(1+(IF(Skills!A11="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572)</f>
        <v/>
      </c>
      <c r="L572">
        <f>K572*(MIN(Inputs!$B$22+((C585=TRUE)*(F585-Calc!F24)),Inputs!$B$23+((C590=TRUE)*(F590-Calc!F29)))/100+(Inputs!$B$23+((C590=TRUE)*(F590-Calc!F29)))/100)/2</f>
        <v/>
      </c>
      <c r="M572">
        <f>L572*(1+(Inputs!$B$10+0+B599)/100)</f>
        <v/>
      </c>
      <c r="N572">
        <f>L572*(1-MIN((Inputs!$B$9+((C581=TRUE)*(F581-Calc!F20))+B594),100)/100)+M572*(MIN((Inputs!$B$9+((C581=TRUE)*(F581-Calc!F20))+B594),100)/100)</f>
        <v/>
      </c>
      <c r="O572">
        <f>IF(C572,H572*N572*IF(AND(Inputs!$B$38&lt;&gt;"pvp",Inputs!$B$43&gt;0),((Skills!G11*((R572-1)*IF(Skills!H11&gt;0,Skills!I11/Skills!H11,1)+IF(Skills!H11&gt;0,MIN(Skills!I11,MAX(0,MAX(0,Inputs!$B$43-B601)-((R572-1)*IF(Inputs!$B$38="pvp",15,MAX(0.1,Skills!D11-IF(Skills!E11=TRUE,Inputs!$B$32,0))))))/Skills!H11,1)))/Inputs!$B$43),G572*Q572)*IF(Inputs!$B$38="pvp",1,(1-Summary!$B$55)*(1)+Summary!$B$55*(MIN(Skills!R11,Inputs!$B$37))),0)</f>
        <v/>
      </c>
      <c r="P572">
        <f>IF(B602=0,0,O572/B602)</f>
        <v/>
      </c>
      <c r="Q572">
        <f>IFERROR(1/IF(Inputs!$B$38="pvp",15,MAX(0.1,Skills!D11-IF(Skills!E11=TRUE,Inputs!$B$32,0))),0)</f>
        <v/>
      </c>
      <c r="R572">
        <f>IF(AND(Inputs!$B$38&lt;&gt;"pvp",Inputs!$B$43&gt;0),IF(MAX(0,Inputs!$B$43-B601)&lt;=0,0,(INT(MAX(0,Inputs!$B$43-B601)/IF(Inputs!$B$38="pvp",15,MAX(0.1,Skills!D11-IF(Skills!E11=TRUE,Inputs!$B$32,0))))+1)),0)</f>
        <v/>
      </c>
      <c r="S572">
        <f>IFERROR(O572/N572,0)</f>
        <v/>
      </c>
    </row>
    <row r="573">
      <c r="A573">
        <f>Skills!A12</f>
        <v/>
      </c>
      <c r="B573">
        <f>Skills!B12</f>
        <v/>
      </c>
      <c r="C573">
        <f>Inputs!$B$3&gt;=110</f>
        <v/>
      </c>
      <c r="D573">
        <f>IF(Skills!C12=1,60+Inputs!$B$25+Inputs!$B$29,IF(Skills!C12=2,90+Inputs!$B$26+Inputs!$B$29,IF(Skills!C12=3,120+Inputs!$B$27+Inputs!$B$29,MAX(0,(Inputs!$B$3-100)*3)+Inputs!$B$28+Inputs!$B$29)))</f>
        <v/>
      </c>
      <c r="E573">
        <f>INDEX(FactorTable!$B$2:$Y$301, MATCH(ROUND(MIN(300,MAX(1,D573)),0), FactorTable!$A$2:$A$301,0), Skills!M12+1)</f>
        <v/>
      </c>
      <c r="F573">
        <f>IF(Skills!N12=TRUE,(Skills!L12/10)*(E573/1000),Skills!L12/10)+Skills!O12</f>
        <v/>
      </c>
      <c r="G573" t="inlineStr"/>
      <c r="H573" t="inlineStr"/>
      <c r="I573" t="inlineStr">
        <is>
          <t>1</t>
        </is>
      </c>
      <c r="J573" t="inlineStr"/>
      <c r="K573" t="inlineStr"/>
      <c r="L573" t="inlineStr"/>
      <c r="M573" t="inlineStr"/>
      <c r="N573" t="inlineStr"/>
      <c r="O573" t="inlineStr"/>
      <c r="P573" t="inlineStr"/>
      <c r="Q573" t="inlineStr"/>
      <c r="R573" t="inlineStr"/>
      <c r="S573" t="inlineStr"/>
    </row>
    <row r="574">
      <c r="A574">
        <f>Skills!A13</f>
        <v/>
      </c>
      <c r="B574">
        <f>Skills!B13</f>
        <v/>
      </c>
      <c r="C574">
        <f>Inputs!$B$3&gt;=74</f>
        <v/>
      </c>
      <c r="D574">
        <f>IF(Skills!C13=1,60+Inputs!$B$25+Inputs!$B$29,IF(Skills!C13=2,90+Inputs!$B$26+Inputs!$B$29,IF(Skills!C13=3,120+Inputs!$B$27+Inputs!$B$29,MAX(0,(Inputs!$B$3-100)*3)+Inputs!$B$28+Inputs!$B$29)))</f>
        <v/>
      </c>
      <c r="E574">
        <f>INDEX(FactorTable!$B$2:$Y$301, MATCH(ROUND(MIN(300,MAX(1,D574)),0), FactorTable!$A$2:$A$301,0), Skills!M13+1)</f>
        <v/>
      </c>
      <c r="F574">
        <f>IF(Skills!N13=TRUE,(Skills!L13/10)*(E574/1000),Skills!L13/10)+Skills!O13</f>
        <v/>
      </c>
      <c r="G574">
        <f>Skills!G13*IF(Skills!H13&gt;0,Skills!I13/Skills!H13,1)</f>
        <v/>
      </c>
      <c r="H574">
        <f>1-(1-Skills!J13/100)^Skills!K13</f>
        <v/>
      </c>
      <c r="I574" t="inlineStr">
        <is>
          <t>1</t>
        </is>
      </c>
      <c r="J574" t="inlineStr"/>
      <c r="K574" t="inlineStr"/>
      <c r="L574" t="inlineStr"/>
      <c r="M574" t="inlineStr"/>
      <c r="N574" t="inlineStr"/>
      <c r="O574" t="n">
        <v>0</v>
      </c>
      <c r="P574">
        <f>IF(B602=0,0,O574/B602)</f>
        <v/>
      </c>
      <c r="Q574" t="n">
        <v>0</v>
      </c>
      <c r="R574" t="n">
        <v>0</v>
      </c>
      <c r="S574">
        <f>IFERROR(O574/N574,0)</f>
        <v/>
      </c>
    </row>
    <row r="575">
      <c r="A575">
        <f>Skills!A14</f>
        <v/>
      </c>
      <c r="B575">
        <f>Skills!B14</f>
        <v/>
      </c>
      <c r="C575">
        <f>Inputs!$B$3&gt;=74</f>
        <v/>
      </c>
      <c r="D575">
        <f>IF(Skills!C14=1,60+Inputs!$B$25+Inputs!$B$29,IF(Skills!C14=2,90+Inputs!$B$26+Inputs!$B$29,IF(Skills!C14=3,120+Inputs!$B$27+Inputs!$B$29,MAX(0,(Inputs!$B$3-100)*3)+Inputs!$B$28+Inputs!$B$29)))</f>
        <v/>
      </c>
      <c r="E575">
        <f>INDEX(FactorTable!$B$2:$Y$301, MATCH(ROUND(MIN(300,MAX(1,D575)),0), FactorTable!$A$2:$A$301,0), Skills!M14+1)</f>
        <v/>
      </c>
      <c r="F575">
        <f>IF(Skills!N14=TRUE,(Skills!L14/10)*(E575/1000),Skills!L14/10)+Skills!O14</f>
        <v/>
      </c>
      <c r="G575">
        <f>Skills!G14*IF(Skills!H14&gt;0,Skills!I14/Skills!H14,1)</f>
        <v/>
      </c>
      <c r="H575">
        <f>1-(1-Skills!J14/100)^Skills!K14</f>
        <v/>
      </c>
      <c r="I575" t="inlineStr">
        <is>
          <t>1</t>
        </is>
      </c>
      <c r="J575" t="inlineStr"/>
      <c r="K575" t="inlineStr"/>
      <c r="L575" t="inlineStr"/>
      <c r="M575" t="inlineStr"/>
      <c r="N575" t="inlineStr"/>
      <c r="O575" t="n">
        <v>0</v>
      </c>
      <c r="P575">
        <f>IF(B602=0,0,O575/B602)</f>
        <v/>
      </c>
      <c r="Q575" t="n">
        <v>0</v>
      </c>
      <c r="R575" t="n">
        <v>0</v>
      </c>
      <c r="S575">
        <f>IFERROR(O575/N575,0)</f>
        <v/>
      </c>
    </row>
    <row r="576">
      <c r="A576">
        <f>Skills!A15</f>
        <v/>
      </c>
      <c r="B576">
        <f>Skills!B15</f>
        <v/>
      </c>
      <c r="C576">
        <f>Inputs!$B$3&gt;=117</f>
        <v/>
      </c>
      <c r="D576">
        <f>IF(Skills!C15=1,60+Inputs!$B$25+Inputs!$B$29,IF(Skills!C15=2,90+Inputs!$B$26+Inputs!$B$29,IF(Skills!C15=3,120+Inputs!$B$27+Inputs!$B$29,MAX(0,(Inputs!$B$3-100)*3)+Inputs!$B$28+Inputs!$B$29)))</f>
        <v/>
      </c>
      <c r="E576">
        <f>INDEX(FactorTable!$B$2:$Y$301, MATCH(ROUND(MIN(300,MAX(1,D576)),0), FactorTable!$A$2:$A$301,0), Skills!M15+1)</f>
        <v/>
      </c>
      <c r="F576">
        <f>IF(Skills!N15=TRUE,(Skills!L15/10)*(E576/1000),Skills!L15/10)+Skills!O15</f>
        <v/>
      </c>
      <c r="G576">
        <f>Skills!G15*IF(Skills!H15&gt;0,Skills!I15/Skills!H15,1)</f>
        <v/>
      </c>
      <c r="H576">
        <f>1-(1-Skills!J15/100)^Skills!K15</f>
        <v/>
      </c>
      <c r="I576" t="inlineStr">
        <is>
          <t>1</t>
        </is>
      </c>
      <c r="J576" t="inlineStr"/>
      <c r="K576" t="inlineStr"/>
      <c r="L576" t="inlineStr"/>
      <c r="M576" t="inlineStr"/>
      <c r="N576" t="inlineStr"/>
      <c r="O576" t="n">
        <v>0</v>
      </c>
      <c r="P576">
        <f>IF(B602=0,0,O576/B602)</f>
        <v/>
      </c>
      <c r="Q576">
        <f>IFERROR(1/IF(Inputs!$B$38="pvp",15,MAX(0.1,Skills!D15-IF(Skills!E15=TRUE,Inputs!$B$32,0))),0)</f>
        <v/>
      </c>
      <c r="R576">
        <f>IF(AND(Inputs!$B$38&lt;&gt;"pvp",Inputs!$B$43&gt;0),IF(Inputs!$B$43&lt;=0,0,(INT(Inputs!$B$43/IF(Inputs!$B$38="pvp",15,MAX(0.1,Skills!D15-IF(Skills!E15=TRUE,Inputs!$B$32,0))))+1)),0)</f>
        <v/>
      </c>
      <c r="S576">
        <f>IFERROR(O576/N576,0)</f>
        <v/>
      </c>
    </row>
    <row r="577">
      <c r="A577">
        <f>Skills!A16</f>
        <v/>
      </c>
      <c r="B577">
        <f>Skills!B16</f>
        <v/>
      </c>
      <c r="C577">
        <f>Inputs!$B$3&gt;=115</f>
        <v/>
      </c>
      <c r="D577">
        <f>IF(Skills!C16=1,60+Inputs!$B$25+Inputs!$B$29,IF(Skills!C16=2,90+Inputs!$B$26+Inputs!$B$29,IF(Skills!C16=3,120+Inputs!$B$27+Inputs!$B$29,MAX(0,(Inputs!$B$3-100)*3)+Inputs!$B$28+Inputs!$B$29)))</f>
        <v/>
      </c>
      <c r="E577">
        <f>INDEX(FactorTable!$B$2:$Y$301, MATCH(ROUND(MIN(300,MAX(1,D577)),0), FactorTable!$A$2:$A$301,0), Skills!M16+1)</f>
        <v/>
      </c>
      <c r="F577">
        <f>IF(Skills!N16=TRUE,(Skills!L16/10)*(E577/1000),Skills!L16/10)+Skills!O16</f>
        <v/>
      </c>
      <c r="G577">
        <f>Skills!G16*IF(Skills!H16&gt;0,Skills!I16/Skills!H16,1)</f>
        <v/>
      </c>
      <c r="H577">
        <f>1-(1-Skills!J16/100)^Skills!K16</f>
        <v/>
      </c>
      <c r="I577" t="inlineStr">
        <is>
          <t>1</t>
        </is>
      </c>
      <c r="J577" t="inlineStr"/>
      <c r="K577" t="inlineStr"/>
      <c r="L577" t="inlineStr"/>
      <c r="M577" t="inlineStr"/>
      <c r="N577" t="inlineStr"/>
      <c r="O577" t="n">
        <v>0</v>
      </c>
      <c r="P577">
        <f>IF(B602=0,0,O577/B602)</f>
        <v/>
      </c>
      <c r="Q577">
        <f>IFERROR(1/IF(Inputs!$B$38="pvp",15,MAX(0.1,Skills!D16-IF(Skills!E16=TRUE,Inputs!$B$32,0))),0)</f>
        <v/>
      </c>
      <c r="R577">
        <f>IF(AND(Inputs!$B$38&lt;&gt;"pvp",Inputs!$B$43&gt;0),IF(Inputs!$B$43&lt;=0,0,(INT(Inputs!$B$43/IF(Inputs!$B$38="pvp",15,MAX(0.1,Skills!D16-IF(Skills!E16=TRUE,Inputs!$B$32,0))))+1)),0)</f>
        <v/>
      </c>
      <c r="S577">
        <f>IFERROR(O577/N577,0)</f>
        <v/>
      </c>
    </row>
    <row r="578">
      <c r="A578">
        <f>Skills!A17</f>
        <v/>
      </c>
      <c r="B578">
        <f>Skills!B17</f>
        <v/>
      </c>
      <c r="C578">
        <f>Inputs!$B$3&gt;=66</f>
        <v/>
      </c>
      <c r="D578">
        <f>IF(Skills!C17=1,60+Inputs!$B$25+Inputs!$B$29,IF(Skills!C17=2,90+Inputs!$B$26+Inputs!$B$29,IF(Skills!C17=3,120+Inputs!$B$27+Inputs!$B$29,MAX(0,(Inputs!$B$3-100)*3)+Inputs!$B$28+Inputs!$B$29)))</f>
        <v/>
      </c>
      <c r="E578">
        <f>INDEX(FactorTable!$B$2:$Y$301, MATCH(ROUND(MIN(300,MAX(1,D578)),0), FactorTable!$A$2:$A$301,0), Skills!M17+1)</f>
        <v/>
      </c>
      <c r="F578">
        <f>IF(Skills!N17=TRUE,(Skills!L17/10)*(E578/1000),Skills!L17/10)+Skills!O17</f>
        <v/>
      </c>
      <c r="G578">
        <f>Skills!G17*IF(Skills!H17&gt;0,Skills!I17/Skills!H17,1)</f>
        <v/>
      </c>
      <c r="H578">
        <f>1-(1-Skills!J17/100)^Skills!K17</f>
        <v/>
      </c>
      <c r="I578" t="inlineStr">
        <is>
          <t>1</t>
        </is>
      </c>
      <c r="J578" t="inlineStr"/>
      <c r="K578" t="inlineStr"/>
      <c r="L578" t="inlineStr"/>
      <c r="M578" t="inlineStr"/>
      <c r="N578" t="inlineStr"/>
      <c r="O578" t="n">
        <v>0</v>
      </c>
      <c r="P578">
        <f>IF(B602=0,0,O578/B602)</f>
        <v/>
      </c>
      <c r="Q578" t="n">
        <v>0</v>
      </c>
      <c r="R578" t="n">
        <v>0</v>
      </c>
      <c r="S578">
        <f>IFERROR(O578/N578,0)</f>
        <v/>
      </c>
    </row>
    <row r="579">
      <c r="A579">
        <f>Skills!A18</f>
        <v/>
      </c>
      <c r="B579">
        <f>Skills!B18</f>
        <v/>
      </c>
      <c r="C579">
        <f>Inputs!$B$3&gt;=72</f>
        <v/>
      </c>
      <c r="D579">
        <f>IF(Skills!C18=1,60+Inputs!$B$25+Inputs!$B$29,IF(Skills!C18=2,90+Inputs!$B$26+Inputs!$B$29,IF(Skills!C18=3,120+Inputs!$B$27+Inputs!$B$29,MAX(0,(Inputs!$B$3-100)*3)+Inputs!$B$28+Inputs!$B$29)))</f>
        <v/>
      </c>
      <c r="E579">
        <f>INDEX(FactorTable!$B$2:$Y$301, MATCH(ROUND(MIN(300,MAX(1,D579)),0), FactorTable!$A$2:$A$301,0), Skills!M18+1)</f>
        <v/>
      </c>
      <c r="F579">
        <f>IF(Skills!N18=TRUE,(Skills!L18/10)*(E579/1000),Skills!L18/10)+Skills!O18</f>
        <v/>
      </c>
      <c r="G579">
        <f>Skills!G18*IF(Skills!H18&gt;0,Skills!I18/Skills!H18,1)</f>
        <v/>
      </c>
      <c r="H579">
        <f>1-(1-Skills!J18/100)^Skills!K18</f>
        <v/>
      </c>
      <c r="I579" t="inlineStr">
        <is>
          <t>1</t>
        </is>
      </c>
      <c r="J579" t="inlineStr"/>
      <c r="K579" t="inlineStr"/>
      <c r="L579" t="inlineStr"/>
      <c r="M579" t="inlineStr"/>
      <c r="N579" t="inlineStr"/>
      <c r="O579" t="n">
        <v>0</v>
      </c>
      <c r="P579">
        <f>IF(B602=0,0,O579/B602)</f>
        <v/>
      </c>
      <c r="Q579" t="n">
        <v>0</v>
      </c>
      <c r="R579" t="n">
        <v>0</v>
      </c>
      <c r="S579">
        <f>IFERROR(O579/N579,0)</f>
        <v/>
      </c>
    </row>
    <row r="580">
      <c r="A580">
        <f>Skills!A19</f>
        <v/>
      </c>
      <c r="B580">
        <f>Skills!B19</f>
        <v/>
      </c>
      <c r="C580">
        <f>TRUE</f>
        <v/>
      </c>
      <c r="D580">
        <f>IF(Skills!C19=1,60+Inputs!$B$25+Inputs!$B$29,IF(Skills!C19=2,90+Inputs!$B$26+Inputs!$B$29,IF(Skills!C19=3,120+Inputs!$B$27+Inputs!$B$29,MAX(0,(Inputs!$B$3-100)*3)+Inputs!$B$28+Inputs!$B$29)))</f>
        <v/>
      </c>
      <c r="E580">
        <f>INDEX(FactorTable!$B$2:$Y$301, MATCH(ROUND(MIN(300,MAX(1,D580)),0), FactorTable!$A$2:$A$301,0), Skills!M19+1)</f>
        <v/>
      </c>
      <c r="F580">
        <f>IF(Skills!N19=TRUE,(Skills!L19/10)*(E580/1000),Skills!L19/10)+Skills!O19</f>
        <v/>
      </c>
      <c r="G580">
        <f>Skills!G19*IF(Skills!H19&gt;0,Skills!I19/Skills!H19,1)</f>
        <v/>
      </c>
      <c r="H580">
        <f>1-(1-Skills!J19/100)^Skills!K19</f>
        <v/>
      </c>
      <c r="I580" t="inlineStr">
        <is>
          <t>1</t>
        </is>
      </c>
      <c r="J580" t="inlineStr"/>
      <c r="K580" t="inlineStr"/>
      <c r="L580" t="inlineStr"/>
      <c r="M580" t="inlineStr"/>
      <c r="N580" t="inlineStr"/>
      <c r="O580" t="n">
        <v>0</v>
      </c>
      <c r="P580">
        <f>IF(B602=0,0,O580/B602)</f>
        <v/>
      </c>
      <c r="Q580">
        <f>IFERROR(1/IF(Inputs!$B$38="pvp",15,MAX(0.1,Skills!D19-IF(Skills!E19=TRUE,Inputs!$B$32,0))),0)</f>
        <v/>
      </c>
      <c r="R580">
        <f>IF(AND(Inputs!$B$38&lt;&gt;"pvp",Inputs!$B$43&gt;0),IF(Inputs!$B$43&lt;=0,0,(INT(Inputs!$B$43/IF(Inputs!$B$38="pvp",15,MAX(0.1,Skills!D19-IF(Skills!E19=TRUE,Inputs!$B$32,0))))+1)),0)</f>
        <v/>
      </c>
      <c r="S580">
        <f>IFERROR(O580/N580,0)</f>
        <v/>
      </c>
    </row>
    <row r="581">
      <c r="A581">
        <f>Skills!A20</f>
        <v/>
      </c>
      <c r="B581">
        <f>Skills!B20</f>
        <v/>
      </c>
      <c r="C581">
        <f>Inputs!$B$3&gt;=15</f>
        <v/>
      </c>
      <c r="D581">
        <f>IF(Skills!C20=1,60+Inputs!$B$25+Inputs!$B$29,IF(Skills!C20=2,90+Inputs!$B$26+Inputs!$B$29,IF(Skills!C20=3,120+Inputs!$B$27+Inputs!$B$29,MAX(0,(Inputs!$B$3-100)*3)+Inputs!$B$28+Inputs!$B$29)))</f>
        <v/>
      </c>
      <c r="E581">
        <f>INDEX(FactorTable!$B$2:$Y$301, MATCH(ROUND(MIN(300,MAX(1,D581)),0), FactorTable!$A$2:$A$301,0), Skills!M20+1)</f>
        <v/>
      </c>
      <c r="F581">
        <f>IF(Skills!N20=TRUE,(Skills!L20/10)*(E581/1000),Skills!L20/10)+Skills!O20</f>
        <v/>
      </c>
      <c r="G581">
        <f>Skills!G20*IF(Skills!H20&gt;0,Skills!I20/Skills!H20,1)</f>
        <v/>
      </c>
      <c r="H581">
        <f>1-(1-Skills!J20/100)^Skills!K20</f>
        <v/>
      </c>
      <c r="I581" t="inlineStr">
        <is>
          <t>1</t>
        </is>
      </c>
      <c r="J581" t="inlineStr"/>
      <c r="K581" t="inlineStr"/>
      <c r="L581" t="inlineStr"/>
      <c r="M581" t="inlineStr"/>
      <c r="N581" t="inlineStr"/>
      <c r="O581" t="n">
        <v>0</v>
      </c>
      <c r="P581">
        <f>IF(B602=0,0,O581/B602)</f>
        <v/>
      </c>
      <c r="Q581" t="n">
        <v>0</v>
      </c>
      <c r="R581" t="n">
        <v>0</v>
      </c>
      <c r="S581">
        <f>IFERROR(O581/N581,0)</f>
        <v/>
      </c>
    </row>
    <row r="582">
      <c r="A582">
        <f>Skills!A21</f>
        <v/>
      </c>
      <c r="B582">
        <f>Skills!B21</f>
        <v/>
      </c>
      <c r="C582">
        <f>Inputs!$B$3&gt;=10</f>
        <v/>
      </c>
      <c r="D582">
        <f>IF(Skills!C21=1,60+Inputs!$B$25+Inputs!$B$29,IF(Skills!C21=2,90+Inputs!$B$26+Inputs!$B$29,IF(Skills!C21=3,120+Inputs!$B$27+Inputs!$B$29,MAX(0,(Inputs!$B$3-100)*3)+Inputs!$B$28+Inputs!$B$29)))</f>
        <v/>
      </c>
      <c r="E582">
        <f>INDEX(FactorTable!$B$2:$Y$301, MATCH(ROUND(MIN(300,MAX(1,D582)),0), FactorTable!$A$2:$A$301,0), Skills!M21+1)</f>
        <v/>
      </c>
      <c r="F582">
        <f>IF(Skills!N21=TRUE,(Skills!L21/10)*(E582/1000),Skills!L21/10)+Skills!O21</f>
        <v/>
      </c>
      <c r="G582">
        <f>Skills!G21*IF(Skills!H21&gt;0,Skills!I21/Skills!H21,1)</f>
        <v/>
      </c>
      <c r="H582">
        <f>1-(1-Skills!J21/100)^Skills!K21</f>
        <v/>
      </c>
      <c r="I582" t="inlineStr">
        <is>
          <t>1</t>
        </is>
      </c>
      <c r="J582" t="inlineStr"/>
      <c r="K582" t="inlineStr"/>
      <c r="L582" t="inlineStr"/>
      <c r="M582" t="inlineStr"/>
      <c r="N582" t="inlineStr"/>
      <c r="O582" t="n">
        <v>0</v>
      </c>
      <c r="P582">
        <f>IF(B602=0,0,O582/B602)</f>
        <v/>
      </c>
      <c r="Q582" t="n">
        <v>0</v>
      </c>
      <c r="R582" t="n">
        <v>0</v>
      </c>
      <c r="S582">
        <f>IFERROR(O582/N582,0)</f>
        <v/>
      </c>
    </row>
    <row r="583">
      <c r="A583">
        <f>Skills!A22</f>
        <v/>
      </c>
      <c r="B583">
        <f>Skills!B22</f>
        <v/>
      </c>
      <c r="C583">
        <f>Inputs!$B$3&gt;=33</f>
        <v/>
      </c>
      <c r="D583">
        <f>IF(Skills!C22=1,60+Inputs!$B$25+Inputs!$B$29,IF(Skills!C22=2,90+Inputs!$B$26+Inputs!$B$29,IF(Skills!C22=3,120+Inputs!$B$27+Inputs!$B$29,MAX(0,(Inputs!$B$3-100)*3)+Inputs!$B$28+Inputs!$B$29)))</f>
        <v/>
      </c>
      <c r="E583">
        <f>INDEX(FactorTable!$B$2:$Y$301, MATCH(ROUND(MIN(300,MAX(1,D583)),0), FactorTable!$A$2:$A$301,0), Skills!M22+1)</f>
        <v/>
      </c>
      <c r="F583">
        <f>IF(Skills!N22=TRUE,(Skills!L22/10)*(E583/1000),Skills!L22/10)+Skills!O22</f>
        <v/>
      </c>
      <c r="G583">
        <f>Skills!G22*IF(Skills!H22&gt;0,Skills!I22/Skills!H22,1)</f>
        <v/>
      </c>
      <c r="H583">
        <f>1-(1-Skills!J22/100)^Skills!K22</f>
        <v/>
      </c>
      <c r="I583" t="inlineStr">
        <is>
          <t>1</t>
        </is>
      </c>
      <c r="J583" t="inlineStr"/>
      <c r="K583" t="inlineStr"/>
      <c r="L583" t="inlineStr"/>
      <c r="M583" t="inlineStr"/>
      <c r="N583" t="inlineStr"/>
      <c r="O583" t="n">
        <v>0</v>
      </c>
      <c r="P583">
        <f>IF(B602=0,0,O583/B602)</f>
        <v/>
      </c>
      <c r="Q583" t="n">
        <v>0</v>
      </c>
      <c r="R583" t="n">
        <v>0</v>
      </c>
      <c r="S583">
        <f>IFERROR(O583/N583,0)</f>
        <v/>
      </c>
    </row>
    <row r="584">
      <c r="A584">
        <f>Skills!A23</f>
        <v/>
      </c>
      <c r="B584">
        <f>Skills!B23</f>
        <v/>
      </c>
      <c r="C584">
        <f>Inputs!$B$3&gt;=38</f>
        <v/>
      </c>
      <c r="D584">
        <f>IF(Skills!C23=1,60+Inputs!$B$25+Inputs!$B$29,IF(Skills!C23=2,90+Inputs!$B$26+Inputs!$B$29,IF(Skills!C23=3,120+Inputs!$B$27+Inputs!$B$29,MAX(0,(Inputs!$B$3-100)*3)+Inputs!$B$28+Inputs!$B$29)))</f>
        <v/>
      </c>
      <c r="E584">
        <f>INDEX(FactorTable!$B$2:$Y$301, MATCH(ROUND(MIN(300,MAX(1,D584)),0), FactorTable!$A$2:$A$301,0), Skills!M23+1)</f>
        <v/>
      </c>
      <c r="F584">
        <f>IF(Skills!N23=TRUE,(Skills!L23/10)*(E584/1000),Skills!L23/10)+Skills!O23</f>
        <v/>
      </c>
      <c r="G584">
        <f>Skills!G23*IF(Skills!H23&gt;0,Skills!I23/Skills!H23,1)</f>
        <v/>
      </c>
      <c r="H584">
        <f>1-(1-Skills!J23/100)^Skills!K23</f>
        <v/>
      </c>
      <c r="I584" t="inlineStr">
        <is>
          <t>1</t>
        </is>
      </c>
      <c r="J584" t="inlineStr"/>
      <c r="K584" t="inlineStr"/>
      <c r="L584" t="inlineStr"/>
      <c r="M584" t="inlineStr"/>
      <c r="N584" t="inlineStr"/>
      <c r="O584" t="n">
        <v>0</v>
      </c>
      <c r="P584">
        <f>IF(B602=0,0,O584/B602)</f>
        <v/>
      </c>
      <c r="Q584" t="n">
        <v>0</v>
      </c>
      <c r="R584" t="n">
        <v>0</v>
      </c>
      <c r="S584">
        <f>IFERROR(O584/N584,0)</f>
        <v/>
      </c>
    </row>
    <row r="585">
      <c r="A585">
        <f>Skills!A24</f>
        <v/>
      </c>
      <c r="B585">
        <f>Skills!B24</f>
        <v/>
      </c>
      <c r="C585">
        <f>Inputs!$B$3&gt;=43</f>
        <v/>
      </c>
      <c r="D585">
        <f>IF(Skills!C24=1,60+Inputs!$B$25+Inputs!$B$29,IF(Skills!C24=2,90+Inputs!$B$26+Inputs!$B$29,IF(Skills!C24=3,120+Inputs!$B$27+Inputs!$B$29,MAX(0,(Inputs!$B$3-100)*3)+Inputs!$B$28+Inputs!$B$29)))</f>
        <v/>
      </c>
      <c r="E585">
        <f>INDEX(FactorTable!$B$2:$Y$301, MATCH(ROUND(MIN(300,MAX(1,D585)),0), FactorTable!$A$2:$A$301,0), Skills!M24+1)</f>
        <v/>
      </c>
      <c r="F585">
        <f>IF(Skills!N24=TRUE,(Skills!L24/10)*(E585/1000),Skills!L24/10)+Skills!O24</f>
        <v/>
      </c>
      <c r="G585">
        <f>Skills!G24*IF(Skills!H24&gt;0,Skills!I24/Skills!H24,1)</f>
        <v/>
      </c>
      <c r="H585">
        <f>1-(1-Skills!J24/100)^Skills!K24</f>
        <v/>
      </c>
      <c r="I585" t="inlineStr">
        <is>
          <t>1</t>
        </is>
      </c>
      <c r="J585" t="inlineStr"/>
      <c r="K585" t="inlineStr"/>
      <c r="L585" t="inlineStr"/>
      <c r="M585" t="inlineStr"/>
      <c r="N585" t="inlineStr"/>
      <c r="O585" t="n">
        <v>0</v>
      </c>
      <c r="P585">
        <f>IF(B602=0,0,O585/B602)</f>
        <v/>
      </c>
      <c r="Q585" t="n">
        <v>0</v>
      </c>
      <c r="R585" t="n">
        <v>0</v>
      </c>
      <c r="S585">
        <f>IFERROR(O585/N585,0)</f>
        <v/>
      </c>
    </row>
    <row r="586">
      <c r="A586">
        <f>Skills!A25</f>
        <v/>
      </c>
      <c r="B586">
        <f>Skills!B25</f>
        <v/>
      </c>
      <c r="C586">
        <f>Inputs!$B$3&gt;=75</f>
        <v/>
      </c>
      <c r="D586">
        <f>IF(Skills!C25=1,60+Inputs!$B$25+Inputs!$B$29,IF(Skills!C25=2,90+Inputs!$B$26+Inputs!$B$29,IF(Skills!C25=3,120+Inputs!$B$27+Inputs!$B$29,MAX(0,(Inputs!$B$3-100)*3)+Inputs!$B$28+Inputs!$B$29)))</f>
        <v/>
      </c>
      <c r="E586">
        <f>INDEX(FactorTable!$B$2:$Y$301, MATCH(ROUND(MIN(300,MAX(1,D586)),0), FactorTable!$A$2:$A$301,0), Skills!M25+1)</f>
        <v/>
      </c>
      <c r="F586">
        <f>IF(Skills!N25=TRUE,(Skills!L25/10)*(E586/1000),Skills!L25/10)+Skills!O25</f>
        <v/>
      </c>
      <c r="G586">
        <f>Skills!G25*IF(Skills!H25&gt;0,Skills!I25/Skills!H25,1)</f>
        <v/>
      </c>
      <c r="H586">
        <f>1-(1-Skills!J25/100)^Skills!K25</f>
        <v/>
      </c>
      <c r="I586" t="inlineStr">
        <is>
          <t>1</t>
        </is>
      </c>
      <c r="J586" t="inlineStr"/>
      <c r="K586" t="inlineStr"/>
      <c r="L586" t="inlineStr"/>
      <c r="M586" t="inlineStr"/>
      <c r="N586" t="inlineStr"/>
      <c r="O586" t="n">
        <v>0</v>
      </c>
      <c r="P586">
        <f>IF(B602=0,0,O586/B602)</f>
        <v/>
      </c>
      <c r="Q586" t="n">
        <v>0</v>
      </c>
      <c r="R586" t="n">
        <v>0</v>
      </c>
      <c r="S586">
        <f>IFERROR(O586/N586,0)</f>
        <v/>
      </c>
    </row>
    <row r="587">
      <c r="A587">
        <f>Skills!A26</f>
        <v/>
      </c>
      <c r="B587">
        <f>Skills!B26</f>
        <v/>
      </c>
      <c r="C587">
        <f>Inputs!$B$3&gt;=125</f>
        <v/>
      </c>
      <c r="D587">
        <f>IF(Skills!C26=1,60+Inputs!$B$25+Inputs!$B$29,IF(Skills!C26=2,90+Inputs!$B$26+Inputs!$B$29,IF(Skills!C26=3,120+Inputs!$B$27+Inputs!$B$29,MAX(0,(Inputs!$B$3-100)*3)+Inputs!$B$28+Inputs!$B$29)))</f>
        <v/>
      </c>
      <c r="E587">
        <f>INDEX(FactorTable!$B$2:$Y$301, MATCH(ROUND(MIN(300,MAX(1,D587)),0), FactorTable!$A$2:$A$301,0), Skills!M26+1)</f>
        <v/>
      </c>
      <c r="F587">
        <f>IF(Skills!N26=TRUE,(Skills!L26/10)*(E587/1000),Skills!L26/10)+Skills!O26</f>
        <v/>
      </c>
      <c r="G587">
        <f>Skills!G26*IF(Skills!H26&gt;0,Skills!I26/Skills!H26,1)</f>
        <v/>
      </c>
      <c r="H587">
        <f>1-(1-Skills!J26/100)^Skills!K26</f>
        <v/>
      </c>
      <c r="I587" t="inlineStr">
        <is>
          <t>1</t>
        </is>
      </c>
      <c r="J587" t="inlineStr"/>
      <c r="K587" t="inlineStr"/>
      <c r="L587" t="inlineStr"/>
      <c r="M587" t="inlineStr"/>
      <c r="N587" t="inlineStr"/>
      <c r="O587" t="n">
        <v>0</v>
      </c>
      <c r="P587">
        <f>IF(B602=0,0,O587/B602)</f>
        <v/>
      </c>
      <c r="Q587" t="n">
        <v>0</v>
      </c>
      <c r="R587" t="n">
        <v>0</v>
      </c>
      <c r="S587">
        <f>IFERROR(O587/N587,0)</f>
        <v/>
      </c>
    </row>
    <row r="588">
      <c r="A588">
        <f>Skills!A27</f>
        <v/>
      </c>
      <c r="B588">
        <f>Skills!B27</f>
        <v/>
      </c>
      <c r="C588">
        <f>Inputs!$B$3&gt;=125</f>
        <v/>
      </c>
      <c r="D588">
        <f>IF(Skills!C27=1,60+Inputs!$B$25+Inputs!$B$29,IF(Skills!C27=2,90+Inputs!$B$26+Inputs!$B$29,IF(Skills!C27=3,120+Inputs!$B$27+Inputs!$B$29,MAX(0,(Inputs!$B$3-100)*3)+Inputs!$B$28+Inputs!$B$29)))</f>
        <v/>
      </c>
      <c r="E588">
        <f>INDEX(FactorTable!$B$2:$Y$301, MATCH(ROUND(MIN(300,MAX(1,D588)),0), FactorTable!$A$2:$A$301,0), Skills!M27+1)</f>
        <v/>
      </c>
      <c r="F588">
        <f>IF(Skills!N27=TRUE,(Skills!L27/10)*(E588/1000),Skills!L27/10)+Skills!O27</f>
        <v/>
      </c>
      <c r="G588">
        <f>Skills!G27*IF(Skills!H27&gt;0,Skills!I27/Skills!H27,1)</f>
        <v/>
      </c>
      <c r="H588">
        <f>1-(1-Skills!J27/100)^Skills!K27</f>
        <v/>
      </c>
      <c r="I588" t="inlineStr">
        <is>
          <t>1</t>
        </is>
      </c>
      <c r="J588" t="inlineStr"/>
      <c r="K588" t="inlineStr"/>
      <c r="L588" t="inlineStr"/>
      <c r="M588" t="inlineStr"/>
      <c r="N588" t="inlineStr"/>
      <c r="O588" t="n">
        <v>0</v>
      </c>
      <c r="P588">
        <f>IF(B602=0,0,O588/B602)</f>
        <v/>
      </c>
      <c r="Q588" t="n">
        <v>0</v>
      </c>
      <c r="R588" t="n">
        <v>0</v>
      </c>
      <c r="S588">
        <f>IFERROR(O588/N588,0)</f>
        <v/>
      </c>
    </row>
    <row r="589">
      <c r="A589">
        <f>Skills!A28</f>
        <v/>
      </c>
      <c r="B589">
        <f>Skills!B28</f>
        <v/>
      </c>
      <c r="C589">
        <f>Inputs!$B$3&gt;=120</f>
        <v/>
      </c>
      <c r="D589">
        <f>IF(Skills!C28=1,60+Inputs!$B$25+Inputs!$B$29,IF(Skills!C28=2,90+Inputs!$B$26+Inputs!$B$29,IF(Skills!C28=3,120+Inputs!$B$27+Inputs!$B$29,MAX(0,(Inputs!$B$3-100)*3)+Inputs!$B$28+Inputs!$B$29)))</f>
        <v/>
      </c>
      <c r="E589">
        <f>INDEX(FactorTable!$B$2:$Y$301, MATCH(ROUND(MIN(300,MAX(1,D589)),0), FactorTable!$A$2:$A$301,0), Skills!M28+1)</f>
        <v/>
      </c>
      <c r="F589">
        <f>IF(Skills!N28=TRUE,(Skills!L28/10)*(E589/1000),Skills!L28/10)+Skills!O28</f>
        <v/>
      </c>
      <c r="G589">
        <f>Skills!G28*IF(Skills!H28&gt;0,Skills!I28/Skills!H28,1)</f>
        <v/>
      </c>
      <c r="H589">
        <f>1-(1-Skills!J28/100)^Skills!K28</f>
        <v/>
      </c>
      <c r="I589" t="inlineStr">
        <is>
          <t>1</t>
        </is>
      </c>
      <c r="J589" t="inlineStr"/>
      <c r="K589" t="inlineStr"/>
      <c r="L589" t="inlineStr"/>
      <c r="M589" t="inlineStr"/>
      <c r="N589" t="inlineStr"/>
      <c r="O589" t="n">
        <v>0</v>
      </c>
      <c r="P589">
        <f>IF(B602=0,0,O589/B602)</f>
        <v/>
      </c>
      <c r="Q589" t="n">
        <v>0</v>
      </c>
      <c r="R589" t="n">
        <v>0</v>
      </c>
      <c r="S589">
        <f>IFERROR(O589/N589,0)</f>
        <v/>
      </c>
    </row>
    <row r="590">
      <c r="A590">
        <f>Skills!A29</f>
        <v/>
      </c>
      <c r="B590">
        <f>Skills!B29</f>
        <v/>
      </c>
      <c r="C590">
        <f>Inputs!$B$3&gt;=120</f>
        <v/>
      </c>
      <c r="D590">
        <f>IF(Skills!C29=1,60+Inputs!$B$25+Inputs!$B$29,IF(Skills!C29=2,90+Inputs!$B$26+Inputs!$B$29,IF(Skills!C29=3,120+Inputs!$B$27+Inputs!$B$29,MAX(0,(Inputs!$B$3-100)*3)+Inputs!$B$28+Inputs!$B$29)))</f>
        <v/>
      </c>
      <c r="E590">
        <f>INDEX(FactorTable!$B$2:$Y$301, MATCH(ROUND(MIN(300,MAX(1,D590)),0), FactorTable!$A$2:$A$301,0), Skills!M29+1)</f>
        <v/>
      </c>
      <c r="F590">
        <f>IF(Skills!N29=TRUE,(Skills!L29/10)*(E590/1000),Skills!L29/10)+Skills!O29</f>
        <v/>
      </c>
      <c r="G590">
        <f>Skills!G29*IF(Skills!H29&gt;0,Skills!I29/Skills!H29,1)</f>
        <v/>
      </c>
      <c r="H590">
        <f>1-(1-Skills!J29/100)^Skills!K29</f>
        <v/>
      </c>
      <c r="I590" t="inlineStr">
        <is>
          <t>1</t>
        </is>
      </c>
      <c r="J590" t="inlineStr"/>
      <c r="K590" t="inlineStr"/>
      <c r="L590" t="inlineStr"/>
      <c r="M590" t="inlineStr"/>
      <c r="N590" t="inlineStr"/>
      <c r="O590" t="n">
        <v>0</v>
      </c>
      <c r="P590">
        <f>IF(B602=0,0,O590/B602)</f>
        <v/>
      </c>
      <c r="Q590" t="n">
        <v>0</v>
      </c>
      <c r="R590" t="n">
        <v>0</v>
      </c>
      <c r="S590">
        <f>IFERROR(O590/N590,0)</f>
        <v/>
      </c>
    </row>
    <row r="591">
      <c r="A591">
        <f>Skills!A30</f>
        <v/>
      </c>
      <c r="B591">
        <f>Skills!B30</f>
        <v/>
      </c>
      <c r="C591">
        <f>Inputs!$B$3&gt;=45</f>
        <v/>
      </c>
      <c r="D591">
        <f>IF(Skills!C30=1,60+Inputs!$B$25+Inputs!$B$29,IF(Skills!C30=2,90+Inputs!$B$26+Inputs!$B$29,IF(Skills!C30=3,120+Inputs!$B$27+Inputs!$B$29,MAX(0,(Inputs!$B$3-100)*3)+Inputs!$B$28+Inputs!$B$29)))</f>
        <v/>
      </c>
      <c r="E591">
        <f>INDEX(FactorTable!$B$2:$Y$301, MATCH(ROUND(MIN(300,MAX(1,D591)),0), FactorTable!$A$2:$A$301,0), Skills!M30+1)</f>
        <v/>
      </c>
      <c r="F591">
        <f>IF(Skills!N30=TRUE,(Skills!L30/10)*(E591/1000),Skills!L30/10)+Skills!O30</f>
        <v/>
      </c>
      <c r="G591">
        <f>Skills!G30*IF(Skills!H30&gt;0,Skills!I30/Skills!H30,1)</f>
        <v/>
      </c>
      <c r="H591">
        <f>1-(1-Skills!J30/100)^Skills!K30</f>
        <v/>
      </c>
      <c r="I591" t="inlineStr">
        <is>
          <t>1</t>
        </is>
      </c>
      <c r="J591" t="inlineStr"/>
      <c r="K591" t="inlineStr"/>
      <c r="L591" t="inlineStr"/>
      <c r="M591" t="inlineStr"/>
      <c r="N591" t="inlineStr"/>
      <c r="O591" t="n">
        <v>0</v>
      </c>
      <c r="P591">
        <f>IF(B602=0,0,O591/B602)</f>
        <v/>
      </c>
      <c r="Q591" t="n">
        <v>0</v>
      </c>
      <c r="R591" t="n">
        <v>0</v>
      </c>
      <c r="S591">
        <f>IFERROR(O591/N591,0)</f>
        <v/>
      </c>
    </row>
    <row r="593">
      <c r="A593" t="inlineStr">
        <is>
          <t>Attack% Bucket Multiplier</t>
        </is>
      </c>
      <c r="B593">
        <f>(1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f>
        <v/>
      </c>
    </row>
    <row r="594">
      <c r="A594" t="inlineStr">
        <is>
          <t>Global Crit Rate Bonus %</t>
        </is>
      </c>
      <c r="B594">
        <f>(C577=TRUE)*20*IF(AND(Inputs!$B$38&lt;&gt;"pvp",Inputs!$B$43&gt;0),(((R577-1)*(Skills!T16*(1+Inputs!$B$34/100))+MIN((Skills!T16*(1+Inputs!$B$34/100)),MAX(0,Inputs!$B$43-((R577-1)*Skills!D16))))/Inputs!$B$43),IF(Inputs!$B$38="pvp",MIN((Skills!T16*(1+Inputs!$B$34/100)),15)/15,(Skills!T16*(1+Inputs!$B$34/100))/Skills!D16))</f>
        <v/>
      </c>
    </row>
    <row r="595">
      <c r="A595" t="inlineStr">
        <is>
          <t>Attack Speed Buff Bonus %</t>
        </is>
      </c>
      <c r="B595">
        <f>((C580=TRUE)*F580*IF(AND(Inputs!$B$38&lt;&gt;"pvp",Inputs!$B$43&gt;0),(((R580-1)*(Skills!T19*(1+Inputs!$B$34/100))+MIN((Skills!T19*(1+Inputs!$B$34/100)),MAX(0,Inputs!$B$43-((R580-1)*Skills!D19))))/Inputs!$B$43),IF(Inputs!$B$38="pvp",MIN((Skills!T19*(1+Inputs!$B$34/100)),15)/15,(Skills!T19*(1+Inputs!$B$34/100))/Skills!D19)))</f>
        <v/>
      </c>
    </row>
    <row r="596">
      <c r="A596" t="inlineStr">
        <is>
          <t>Actions Per Second</t>
        </is>
      </c>
      <c r="B596">
        <f>1+MIN(150,150*(1-(1-(((1-(1-Inputs!$B$11/150)*(1-1/150))*150)+((C582=TRUE)*(F582-Calc!F21))+((C583=TRUE)*(F583-Calc!F22)))/150)*(1-B595/150)))/100</f>
        <v/>
      </c>
    </row>
    <row r="597">
      <c r="A597" t="inlineStr">
        <is>
          <t>Skill + Buff Cast Rate</t>
        </is>
      </c>
      <c r="B597">
        <f>IF(AND(Inputs!$B$38&lt;&gt;"pvp",Inputs!$B$43&gt;0),SUMPRODUCT((Skills!E2:E30=TRUE)*(C563:C591=TRUE)*R563:R591*Skills!F2:F30)/Inputs!$B$43,SUMPRODUCT((Skills!E2:E30=TRUE)*(C563:C591=TRUE)*Q563:Q591*Skills!F2:F30))</f>
        <v/>
      </c>
    </row>
    <row r="598">
      <c r="A598" t="inlineStr">
        <is>
          <t>Arrow Stream Casts Per Second</t>
        </is>
      </c>
      <c r="B598">
        <f>MAX(0,B596-B597)</f>
        <v/>
      </c>
    </row>
    <row r="599">
      <c r="A599" t="inlineStr">
        <is>
          <t>Global Critical Damage Bonus % (Sharp Eyes + Concentration)</t>
        </is>
      </c>
      <c r="B599">
        <f>(C577=TRUE)*F577*IF(AND(Inputs!$B$38&lt;&gt;"pvp",Inputs!$B$43&gt;0),(((R577-1)*(Skills!T16*(1+Inputs!$B$34/100))+MIN((Skills!T16*(1+Inputs!$B$34/100)),MAX(0,Inputs!$B$43-((R577-1)*Skills!D16))))/Inputs!$B$43),IF(Inputs!$B$38="pvp",MIN((Skills!T16*(1+Inputs!$B$34/100)),15)/15,(Skills!T16*(1+Inputs!$B$34/100))/Skills!D16))+(C578=TRUE)*30</f>
        <v/>
      </c>
    </row>
    <row r="600">
      <c r="A600" t="inlineStr">
        <is>
          <t>Global Final Damage Bonus % (Mortal Blow)</t>
        </is>
      </c>
      <c r="B600">
        <f>(C579=TRUE)*F579</f>
        <v/>
      </c>
    </row>
    <row r="601">
      <c r="A601" t="inlineStr">
        <is>
          <t>Buff-Casting Startup Delay (s, fixed-duration only)</t>
        </is>
      </c>
      <c r="B601">
        <f>IF(AND(Inputs!$B$38&lt;&gt;"pvp",Inputs!$B$43&gt;0),SUMPRODUCT((Skills!T2:T30&gt;0)*(Skills!E2:E30=TRUE)*(C563:C591=TRUE))/B596,0)</f>
        <v/>
      </c>
    </row>
    <row r="602">
      <c r="A602" s="5" t="inlineStr">
        <is>
          <t>TOTAL DPS</t>
        </is>
      </c>
      <c r="B602" s="5">
        <f>SUM(O563:O591)</f>
        <v/>
      </c>
    </row>
    <row r="605">
      <c r="A605" s="5" t="inlineStr">
        <is>
          <t>Stat: DEF_PEN % (diminishing returns, factor 100)</t>
        </is>
      </c>
    </row>
    <row r="606">
      <c r="A606" s="9" t="inlineStr">
        <is>
          <t>Key</t>
        </is>
      </c>
      <c r="B606" s="9" t="inlineStr">
        <is>
          <t>Name</t>
        </is>
      </c>
      <c r="C606" s="9" t="inlineStr">
        <is>
          <t>Unlocked</t>
        </is>
      </c>
      <c r="D606" s="9" t="inlineStr">
        <is>
          <t>InputLevel</t>
        </is>
      </c>
      <c r="E606" s="9" t="inlineStr">
        <is>
          <t>Factor</t>
        </is>
      </c>
      <c r="F606" s="9" t="inlineStr">
        <is>
          <t>CoefficientPercent</t>
        </is>
      </c>
      <c r="G606" s="9" t="inlineStr">
        <is>
          <t>EffectiveHits</t>
        </is>
      </c>
      <c r="H606" s="9" t="inlineStr">
        <is>
          <t>ProcProbability</t>
        </is>
      </c>
      <c r="I606" s="9" t="inlineStr">
        <is>
          <t>MapleHeroMultiplier</t>
        </is>
      </c>
      <c r="J606" s="9" t="inlineStr">
        <is>
          <t>BaseDamage</t>
        </is>
      </c>
      <c r="K606" s="9" t="inlineStr">
        <is>
          <t>BaseHitDamage</t>
        </is>
      </c>
      <c r="L606" s="9" t="inlineStr">
        <is>
          <t>NonCritAvg</t>
        </is>
      </c>
      <c r="M606" s="9" t="inlineStr">
        <is>
          <t>CritAvg</t>
        </is>
      </c>
      <c r="N606" s="9" t="inlineStr">
        <is>
          <t>ExpectedDamage(perHit)</t>
        </is>
      </c>
      <c r="O606" s="9" t="inlineStr">
        <is>
          <t>DPS</t>
        </is>
      </c>
      <c r="P606" s="9" t="inlineStr">
        <is>
          <t>% of Total</t>
        </is>
      </c>
      <c r="Q606" s="9" t="inlineStr">
        <is>
          <t>InvCooldown</t>
        </is>
      </c>
      <c r="R606" s="9" t="inlineStr">
        <is>
          <t>CastsInFight</t>
        </is>
      </c>
      <c r="S606" s="9" t="inlineStr">
        <is>
          <t>HitRate(perSec)</t>
        </is>
      </c>
      <c r="U606" t="inlineStr">
        <is>
          <t>helpers</t>
        </is>
      </c>
    </row>
    <row r="607">
      <c r="A607">
        <f>Skills!A2</f>
        <v/>
      </c>
      <c r="B607">
        <f>Skills!B2</f>
        <v/>
      </c>
      <c r="C607">
        <f>Inputs!$B$3&gt;=100</f>
        <v/>
      </c>
      <c r="D607" t="inlineStr"/>
      <c r="E607" t="inlineStr"/>
      <c r="F607">
        <f>U609+Skills!O2</f>
        <v/>
      </c>
      <c r="G607">
        <f>Skills!G2*IF(Skills!H2&gt;0,Skills!I2/Skills!H2,1)</f>
        <v/>
      </c>
      <c r="H607">
        <f>1-(1-Skills!J2/100)^Skills!K2</f>
        <v/>
      </c>
      <c r="I607" t="inlineStr">
        <is>
          <t>1</t>
        </is>
      </c>
      <c r="J607">
        <f>((Inputs!$B$6*(1+Inputs!$B$7/100))+(((Inputs!$B$12*(1+Inputs!$B$13/100))-(Inputs!$B$12*(1+Inputs!$B$13/100)))+0.25*(Inputs!$B$14-Inputs!$B$14))*(1+Inputs!$B$7/100))*(F607/100)</f>
        <v/>
      </c>
      <c r="K607">
        <f>J607*(1+((Inputs!$B$12*(1+Inputs!$B$13/100))*0.01+Inputs!$B$14*0.0025)/100)*(1+Inputs!$B$15/100)*(1+IF(Inputs!$B$38="pvp",0,(1-Summary!$B$55)*(Inputs!$B$20+0+Skills!P2)+Summary!$B$55*(Inputs!$B$21+Skills!Q2))/100)*(1+Inputs!$B$16/100)*(5000/(6000+Inputs!$B$42*(1-(((1-(1-Inputs!$B$19/100)*(1-1/100))*100)+((C632=TRUE)*(F632-Calc!F27)))/100)))*(1+(Inputs!$B$24+((C630=TRUE)*(F630-Calc!F25))+((C631=TRUE)*(F631-Calc!F26))+B644)/100)*(1+(IF(Skills!A2="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607)</f>
        <v/>
      </c>
      <c r="L607">
        <f>K607*(MIN(Inputs!$B$22+((C629=TRUE)*(F629-Calc!F24)),Inputs!$B$23+((C634=TRUE)*(F634-Calc!F29)))/100+(Inputs!$B$23+((C634=TRUE)*(F634-Calc!F29)))/100)/2</f>
        <v/>
      </c>
      <c r="M607">
        <f>L607*(1+(Inputs!$B$10+0+B643)/100)</f>
        <v/>
      </c>
      <c r="N607">
        <f>L607*(1-MIN((Inputs!$B$9+((C625=TRUE)*(F625-Calc!F20))+B638),100)/100)+M607*(MIN((Inputs!$B$9+((C625=TRUE)*(F625-Calc!F20))+B638),100)/100)</f>
        <v/>
      </c>
      <c r="O607">
        <f>IF(C607,Skills!G2*N607*B642*IF(Inputs!$B$38="pvp",1,(1-Summary!$B$55)*(1)+Summary!$B$55*(MIN((6+Inputs!$B$33),Inputs!$B$37))),0)</f>
        <v/>
      </c>
      <c r="P607">
        <f>IF(B646=0,0,O607/B646)</f>
        <v/>
      </c>
      <c r="Q607" t="n">
        <v>0</v>
      </c>
      <c r="R607" t="n">
        <v>0</v>
      </c>
      <c r="S607">
        <f>IFERROR(O607/N607,0)</f>
        <v/>
      </c>
      <c r="U607">
        <f>MAX(0,(Inputs!$B$3-100)*3)+Inputs!$B$28+Inputs!$B$29</f>
        <v/>
      </c>
    </row>
    <row r="608">
      <c r="A608">
        <f>Skills!A3</f>
        <v/>
      </c>
      <c r="B608">
        <f>Skills!B3</f>
        <v/>
      </c>
      <c r="C608">
        <f>Inputs!$B$3&gt;=50</f>
        <v/>
      </c>
      <c r="D608">
        <f>IF(Skills!C3=1,60+Inputs!$B$25+Inputs!$B$29,IF(Skills!C3=2,90+Inputs!$B$26+Inputs!$B$29,IF(Skills!C3=3,120+Inputs!$B$27+Inputs!$B$29,MAX(0,(Inputs!$B$3-100)*3)+Inputs!$B$28+Inputs!$B$29)))</f>
        <v/>
      </c>
      <c r="E608">
        <f>INDEX(FactorTable!$B$2:$Y$301, MATCH(ROUND(MIN(300,MAX(1,D608)),0), FactorTable!$A$2:$A$301,0), Skills!M3+1)</f>
        <v/>
      </c>
      <c r="F608">
        <f>IF(Skills!N3=TRUE,(Skills!L3/10)*(E608/1000),Skills!L3/10)+Skills!O3</f>
        <v/>
      </c>
      <c r="G608" t="inlineStr"/>
      <c r="H608" t="inlineStr"/>
      <c r="I608" t="inlineStr">
        <is>
          <t>1</t>
        </is>
      </c>
      <c r="J608" t="inlineStr"/>
      <c r="K608" t="inlineStr"/>
      <c r="L608" t="inlineStr"/>
      <c r="M608" t="inlineStr"/>
      <c r="N608" t="inlineStr"/>
      <c r="O608" t="inlineStr"/>
      <c r="P608" t="inlineStr"/>
      <c r="Q608" t="inlineStr"/>
      <c r="R608" t="inlineStr"/>
      <c r="S608" t="inlineStr"/>
      <c r="U608">
        <f>INDEX(FactorTable!$B$2:$Y$301, MATCH(ROUND(MIN(300,MAX(1,U607)),0), FactorTable!$A$2:$A$301,0), 22)</f>
        <v/>
      </c>
    </row>
    <row r="609">
      <c r="A609">
        <f>Skills!A4</f>
        <v/>
      </c>
      <c r="B609">
        <f>Skills!B4</f>
        <v/>
      </c>
      <c r="C609">
        <f>Inputs!$B$3&gt;=105</f>
        <v/>
      </c>
      <c r="D609">
        <f>IF(Skills!C4=1,60+Inputs!$B$25+Inputs!$B$29,IF(Skills!C4=2,90+Inputs!$B$26+Inputs!$B$29,IF(Skills!C4=3,120+Inputs!$B$27+Inputs!$B$29,MAX(0,(Inputs!$B$3-100)*3)+Inputs!$B$28+Inputs!$B$29)))</f>
        <v/>
      </c>
      <c r="E609">
        <f>INDEX(FactorTable!$B$2:$Y$301, MATCH(ROUND(MIN(300,MAX(1,D609)),0), FactorTable!$A$2:$A$301,0), Skills!M4+1)</f>
        <v/>
      </c>
      <c r="F609">
        <f>IF(Skills!N4=TRUE,(Skills!L4/10)*(E609/1000),Skills!L4/10)+Skills!O4</f>
        <v/>
      </c>
      <c r="G609" t="inlineStr"/>
      <c r="H609" t="inlineStr"/>
      <c r="I609" t="inlineStr">
        <is>
          <t>1</t>
        </is>
      </c>
      <c r="J609" t="inlineStr"/>
      <c r="K609" t="inlineStr"/>
      <c r="L609" t="inlineStr"/>
      <c r="M609" t="inlineStr"/>
      <c r="N609" t="inlineStr"/>
      <c r="O609" t="inlineStr"/>
      <c r="P609" t="inlineStr"/>
      <c r="Q609" t="inlineStr"/>
      <c r="R609" t="inlineStr"/>
      <c r="S609" t="inlineStr"/>
      <c r="U609">
        <f>290*U608/1000</f>
        <v/>
      </c>
    </row>
    <row r="610">
      <c r="A610">
        <f>Skills!A5</f>
        <v/>
      </c>
      <c r="B610">
        <f>Skills!B5</f>
        <v/>
      </c>
      <c r="C610">
        <f>Inputs!$B$3&gt;=35</f>
        <v/>
      </c>
      <c r="D610">
        <f>IF(Skills!C5=1,60+Inputs!$B$25+Inputs!$B$29,IF(Skills!C5=2,90+Inputs!$B$26+Inputs!$B$29,IF(Skills!C5=3,120+Inputs!$B$27+Inputs!$B$29,MAX(0,(Inputs!$B$3-100)*3)+Inputs!$B$28+Inputs!$B$29)))</f>
        <v/>
      </c>
      <c r="E610">
        <f>INDEX(FactorTable!$B$2:$Y$301, MATCH(ROUND(MIN(300,MAX(1,D610)),0), FactorTable!$A$2:$A$301,0), Skills!M5+1)</f>
        <v/>
      </c>
      <c r="F610">
        <f>IF(Skills!N5=TRUE,(Skills!L5/10)*(E610/1000),Skills!L5/10)+Skills!O5</f>
        <v/>
      </c>
      <c r="G610">
        <f>Skills!G5*IF(Skills!H5&gt;0,Skills!I5/Skills!H5,1)</f>
        <v/>
      </c>
      <c r="H610">
        <f>1-(1-Skills!J5/100)^Skills!K5</f>
        <v/>
      </c>
      <c r="I610" t="inlineStr">
        <is>
          <t>1</t>
        </is>
      </c>
      <c r="J610">
        <f>((Inputs!$B$6*(1+Inputs!$B$7/100))+(((Inputs!$B$12*(1+Inputs!$B$13/100))-(Inputs!$B$12*(1+Inputs!$B$13/100)))+0.25*(Inputs!$B$14-Inputs!$B$14))*(1+Inputs!$B$7/100))*(F610/100)</f>
        <v/>
      </c>
      <c r="K610">
        <f>J610*(1+((Inputs!$B$12*(1+Inputs!$B$13/100))*0.01+Inputs!$B$14*0.0025)/100)*(1+Inputs!$B$15/100)*(1+IF(Inputs!$B$38="pvp",0,(1-Summary!$B$55)*(Inputs!$B$20+0+Skills!P5)+Summary!$B$55*(Inputs!$B$21+Skills!Q5))/100)*(1+Inputs!$B$16/100)*(5000/(6000+Inputs!$B$42*(1-(((1-(1-Inputs!$B$19/100)*(1-1/100))*100)+((C632=TRUE)*(F632-Calc!F27)))/100)))*(1+(Inputs!$B$24+((C630=TRUE)*(F630-Calc!F25))+((C631=TRUE)*(F631-Calc!F26))+B644)/100)*(1+4.0*IF(C615=TRUE,F615,0)/100)*(1+(IF(Skills!A5="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610)</f>
        <v/>
      </c>
      <c r="L610">
        <f>K610*(MIN(Inputs!$B$22+((C629=TRUE)*(F629-Calc!F24)),Inputs!$B$23+((C634=TRUE)*(F634-Calc!F29)))/100+(Inputs!$B$23+((C634=TRUE)*(F634-Calc!F29)))/100)/2</f>
        <v/>
      </c>
      <c r="M610">
        <f>L610*(1+(Inputs!$B$10+0+B643)/100)</f>
        <v/>
      </c>
      <c r="N610">
        <f>L610*(1-MIN((Inputs!$B$9+((C625=TRUE)*(F625-Calc!F20))+B638),100)/100)+M610*(MIN((Inputs!$B$9+((C625=TRUE)*(F625-Calc!F20))+B638),100)/100)</f>
        <v/>
      </c>
      <c r="O610">
        <f>IF(C610,H610*N610*IF(AND(Inputs!$B$38&lt;&gt;"pvp",Inputs!$B$43&gt;0),((Skills!G5*((R610-1)*IF(Skills!H5&gt;0,Skills!I5/Skills!H5,1)+IF(Skills!H5&gt;0,MIN(Skills!I5,MAX(0,MAX(0,Inputs!$B$43-B645)-((R610-1)*IF(Inputs!$B$38="pvp",15,MAX(0.1,Skills!D5-IF(Skills!E5=TRUE,Inputs!$B$32,0))))))/Skills!H5,1)))/Inputs!$B$43),G610*Q610)*IF(Inputs!$B$38="pvp",1,(1-Summary!$B$55)*(1)+Summary!$B$55*(MIN(Skills!R5,Inputs!$B$37))),0)</f>
        <v/>
      </c>
      <c r="P610">
        <f>IF(B646=0,0,O610/B646)</f>
        <v/>
      </c>
      <c r="Q610">
        <f>IFERROR(1/IF(Inputs!$B$38="pvp",15,MAX(0.1,Skills!D5-IF(Skills!E5=TRUE,Inputs!$B$32,0))),0)</f>
        <v/>
      </c>
      <c r="R610">
        <f>IF(AND(Inputs!$B$38&lt;&gt;"pvp",Inputs!$B$43&gt;0),IF(MAX(0,Inputs!$B$43-B645)&lt;=0,0,(INT(MAX(0,Inputs!$B$43-B645)/IF(Inputs!$B$38="pvp",15,MAX(0.1,Skills!D5-IF(Skills!E5=TRUE,Inputs!$B$32,0))))+1)),0)</f>
        <v/>
      </c>
      <c r="S610">
        <f>IFERROR(O610/N610,0)</f>
        <v/>
      </c>
    </row>
    <row r="611">
      <c r="A611">
        <f>Skills!A6</f>
        <v/>
      </c>
      <c r="B611">
        <f>Skills!B6</f>
        <v/>
      </c>
      <c r="C611">
        <f>Inputs!$B$3&gt;=40</f>
        <v/>
      </c>
      <c r="D611">
        <f>IF(Skills!C6=1,60+Inputs!$B$25+Inputs!$B$29,IF(Skills!C6=2,90+Inputs!$B$26+Inputs!$B$29,IF(Skills!C6=3,120+Inputs!$B$27+Inputs!$B$29,MAX(0,(Inputs!$B$3-100)*3)+Inputs!$B$28+Inputs!$B$29)))</f>
        <v/>
      </c>
      <c r="E611">
        <f>INDEX(FactorTable!$B$2:$Y$301, MATCH(ROUND(MIN(300,MAX(1,D611)),0), FactorTable!$A$2:$A$301,0), Skills!M6+1)</f>
        <v/>
      </c>
      <c r="F611">
        <f>IF(Skills!N6=TRUE,(Skills!L6/10)*(E611/1000),Skills!L6/10)+Skills!O6</f>
        <v/>
      </c>
      <c r="G611">
        <f>Skills!G6*IF(Skills!H6&gt;0,Skills!I6/Skills!H6,1)</f>
        <v/>
      </c>
      <c r="H611">
        <f>1-(1-Skills!J6/100)^Skills!K6</f>
        <v/>
      </c>
      <c r="I611" t="inlineStr">
        <is>
          <t>1</t>
        </is>
      </c>
      <c r="J611">
        <f>((Inputs!$B$6*(1+Inputs!$B$7/100))+(((Inputs!$B$12*(1+Inputs!$B$13/100))-(Inputs!$B$12*(1+Inputs!$B$13/100)))+0.25*(Inputs!$B$14-Inputs!$B$14))*(1+Inputs!$B$7/100))*(F611/100)</f>
        <v/>
      </c>
      <c r="K611">
        <f>J611*(1+((Inputs!$B$12*(1+Inputs!$B$13/100))*0.01+Inputs!$B$14*0.0025)/100)*(1+Inputs!$B$15/100)*(1+IF(Inputs!$B$38="pvp",0,(1-Summary!$B$55)*(Inputs!$B$20+0+Skills!P6)+Summary!$B$55*(Inputs!$B$21+Skills!Q6))/100)*(1+Inputs!$B$16/100)*(5000/(6000+Inputs!$B$42*(1-(((1-(1-Inputs!$B$19/100)*(1-1/100))*100)+((C632=TRUE)*(F632-Calc!F27)))/100)))*(1+(Inputs!$B$24+((C630=TRUE)*(F630-Calc!F25))+((C631=TRUE)*(F631-Calc!F26))+B644)/100)*(1+IF(C612=TRUE,F612,0)/100)*(1+(IF(Skills!A6="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611)</f>
        <v/>
      </c>
      <c r="L611">
        <f>K611*(MIN(Inputs!$B$22+((C629=TRUE)*(F629-Calc!F24)),Inputs!$B$23+((C634=TRUE)*(F634-Calc!F29)))/100+(Inputs!$B$23+((C634=TRUE)*(F634-Calc!F29)))/100)/2</f>
        <v/>
      </c>
      <c r="M611">
        <f>L611*(1+(Inputs!$B$10+0+B643)/100)</f>
        <v/>
      </c>
      <c r="N611">
        <f>L611*(1-MIN((Inputs!$B$9+((C625=TRUE)*(F625-Calc!F20))+B638),100)/100)+M611*(MIN((Inputs!$B$9+((C625=TRUE)*(F625-Calc!F20))+B638),100)/100)</f>
        <v/>
      </c>
      <c r="O611">
        <f>IF(C611,H611*N611*IF(AND(Inputs!$B$38&lt;&gt;"pvp",Inputs!$B$43&gt;0),((Skills!G6*((R611-1)*IF(Skills!H6&gt;0,Skills!I6/Skills!H6,1)+IF(Skills!H6&gt;0,MIN(Skills!I6,MAX(0,MAX(0,Inputs!$B$43-B645)-((R611-1)*IF(Inputs!$B$38="pvp",15,MAX(0.1,Skills!D6-IF(Skills!E6=TRUE,Inputs!$B$32,0))))))/Skills!H6,1)))/Inputs!$B$43),G611*Q611)*IF(Inputs!$B$38="pvp",1,(1-Summary!$B$55)*(1)+Summary!$B$55*(MIN(Skills!R6,Inputs!$B$37))),0)</f>
        <v/>
      </c>
      <c r="P611">
        <f>IF(B646=0,0,O611/B646)</f>
        <v/>
      </c>
      <c r="Q611">
        <f>IFERROR(1/IF(Inputs!$B$38="pvp",15,MAX(0.1,Skills!D6-IF(Skills!E6=TRUE,Inputs!$B$32,0))),0)</f>
        <v/>
      </c>
      <c r="R611">
        <f>IF(AND(Inputs!$B$38&lt;&gt;"pvp",Inputs!$B$43&gt;0),IF(MAX(0,Inputs!$B$43-B645)&lt;=0,0,(INT(MAX(0,Inputs!$B$43-B645)/IF(Inputs!$B$38="pvp",15,MAX(0.1,Skills!D6-IF(Skills!E6=TRUE,Inputs!$B$32,0))))+1)),0)</f>
        <v/>
      </c>
      <c r="S611">
        <f>IFERROR(O611/N611,0)</f>
        <v/>
      </c>
    </row>
    <row r="612">
      <c r="A612">
        <f>Skills!A7</f>
        <v/>
      </c>
      <c r="B612">
        <f>Skills!B7</f>
        <v/>
      </c>
      <c r="C612">
        <f>Inputs!$B$3&gt;=107</f>
        <v/>
      </c>
      <c r="D612">
        <f>IF(Skills!C7=1,60+Inputs!$B$25+Inputs!$B$29,IF(Skills!C7=2,90+Inputs!$B$26+Inputs!$B$29,IF(Skills!C7=3,120+Inputs!$B$27+Inputs!$B$29,MAX(0,(Inputs!$B$3-100)*3)+Inputs!$B$28+Inputs!$B$29)))</f>
        <v/>
      </c>
      <c r="E612">
        <f>INDEX(FactorTable!$B$2:$Y$301, MATCH(ROUND(MIN(300,MAX(1,D612)),0), FactorTable!$A$2:$A$301,0), Skills!M7+1)</f>
        <v/>
      </c>
      <c r="F612">
        <f>IF(Skills!N7=TRUE,(Skills!L7/10)*(E612/1000),Skills!L7/10)+Skills!O7</f>
        <v/>
      </c>
      <c r="G612" t="inlineStr"/>
      <c r="H612" t="inlineStr"/>
      <c r="I612" t="inlineStr">
        <is>
          <t>1</t>
        </is>
      </c>
      <c r="J612" t="inlineStr"/>
      <c r="K612" t="inlineStr"/>
      <c r="L612" t="inlineStr"/>
      <c r="M612" t="inlineStr"/>
      <c r="N612" t="inlineStr"/>
      <c r="O612" t="inlineStr"/>
      <c r="P612" t="inlineStr"/>
      <c r="Q612" t="inlineStr"/>
      <c r="R612" t="inlineStr"/>
      <c r="S612" t="inlineStr"/>
    </row>
    <row r="613">
      <c r="A613">
        <f>Skills!A8</f>
        <v/>
      </c>
      <c r="B613">
        <f>Skills!B8</f>
        <v/>
      </c>
      <c r="C613">
        <f>Inputs!$B$3&gt;=69</f>
        <v/>
      </c>
      <c r="D613">
        <f>IF(Skills!C8=1,60+Inputs!$B$25+Inputs!$B$29,IF(Skills!C8=2,90+Inputs!$B$26+Inputs!$B$29,IF(Skills!C8=3,120+Inputs!$B$27+Inputs!$B$29,MAX(0,(Inputs!$B$3-100)*3)+Inputs!$B$28+Inputs!$B$29)))</f>
        <v/>
      </c>
      <c r="E613">
        <f>INDEX(FactorTable!$B$2:$Y$301, MATCH(ROUND(MIN(300,MAX(1,D613)),0), FactorTable!$A$2:$A$301,0), Skills!M8+1)</f>
        <v/>
      </c>
      <c r="F613">
        <f>IF(Skills!N8=TRUE,(Skills!L8/10)*(E613/1000),Skills!L8/10)+Skills!O8</f>
        <v/>
      </c>
      <c r="G613">
        <f>Skills!G8*IF(Skills!H8&gt;0,Skills!I8/Skills!H8,1)</f>
        <v/>
      </c>
      <c r="H613">
        <f>1-(1-Skills!J8/100)^Skills!K8</f>
        <v/>
      </c>
      <c r="I613" t="inlineStr">
        <is>
          <t>1</t>
        </is>
      </c>
      <c r="J613">
        <f>((Inputs!$B$6*(1+Inputs!$B$7/100))+(((Inputs!$B$12*(1+Inputs!$B$13/100))-(Inputs!$B$12*(1+Inputs!$B$13/100)))+0.25*(Inputs!$B$14-Inputs!$B$14))*(1+Inputs!$B$7/100))*(F613/100)</f>
        <v/>
      </c>
      <c r="K613">
        <f>J613*(1+((Inputs!$B$12*(1+Inputs!$B$13/100))*0.01+Inputs!$B$14*0.0025)/100)*(1+Inputs!$B$15/100)*(1+IF(Inputs!$B$38="pvp",0,(1-Summary!$B$55)*(Inputs!$B$20+0+Skills!P8)+Summary!$B$55*(Inputs!$B$21+Skills!Q8))/100)*(1+Inputs!$B$16/100)*(5000/(6000+Inputs!$B$42*(1-(((1-(1-Inputs!$B$19/100)*(1-1/100))*100)+((C632=TRUE)*(F632-Calc!F27)))/100)))*(1+(Inputs!$B$24+((C630=TRUE)*(F630-Calc!F25))+((C631=TRUE)*(F631-Calc!F26))+B644)/100)*(1+1.2*IF(C615=TRUE,F615,0)/100)*(1+(IF(Skills!A8="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613)</f>
        <v/>
      </c>
      <c r="L613">
        <f>K613*(MIN(Inputs!$B$22+((C629=TRUE)*(F629-Calc!F24)),Inputs!$B$23+((C634=TRUE)*(F634-Calc!F29)))/100+(Inputs!$B$23+((C634=TRUE)*(F634-Calc!F29)))/100)/2</f>
        <v/>
      </c>
      <c r="M613">
        <f>L613*(1+(Inputs!$B$10+0+B643)/100)</f>
        <v/>
      </c>
      <c r="N613">
        <f>L613*(1-MIN((Inputs!$B$9+((C625=TRUE)*(F625-Calc!F20))+B638),100)/100)+M613*(MIN((Inputs!$B$9+((C625=TRUE)*(F625-Calc!F20))+B638),100)/100)</f>
        <v/>
      </c>
      <c r="O613">
        <f>IF(C613,H613*N613*IF(AND(Inputs!$B$38&lt;&gt;"pvp",Inputs!$B$43&gt;0),((Skills!G8*((R613-1)*IF(Skills!H8&gt;0,Skills!I8/Skills!H8,1)+IF(Skills!H8&gt;0,MIN(Skills!I8,MAX(0,MAX(0,Inputs!$B$43-B645)-((R613-1)*IF(Inputs!$B$38="pvp",15,MAX(0.1,Skills!D8-IF(Skills!E8=TRUE,Inputs!$B$32,0))))))/Skills!H8,1)))/Inputs!$B$43),G613*Q613)*IF(Inputs!$B$38="pvp",1,(1-Summary!$B$55)*(1)+Summary!$B$55*(MIN(Skills!R8,Inputs!$B$37))),0)</f>
        <v/>
      </c>
      <c r="P613">
        <f>IF(B646=0,0,O613/B646)</f>
        <v/>
      </c>
      <c r="Q613">
        <f>IFERROR(1/IF(Inputs!$B$38="pvp",15,MAX(0.1,Skills!D8-IF(Skills!E8=TRUE,Inputs!$B$32,0))),0)</f>
        <v/>
      </c>
      <c r="R613">
        <f>IF(AND(Inputs!$B$38&lt;&gt;"pvp",Inputs!$B$43&gt;0),IF(MAX(0,Inputs!$B$43-B645)&lt;=0,0,(INT(MAX(0,Inputs!$B$43-B645)/IF(Inputs!$B$38="pvp",15,MAX(0.1,Skills!D8-IF(Skills!E8=TRUE,Inputs!$B$32,0))))+1)),0)</f>
        <v/>
      </c>
      <c r="S613">
        <f>IFERROR(O613/N613,0)</f>
        <v/>
      </c>
    </row>
    <row r="614">
      <c r="A614">
        <f>Skills!A9</f>
        <v/>
      </c>
      <c r="B614">
        <f>Skills!B9</f>
        <v/>
      </c>
      <c r="C614">
        <f>Inputs!$B$3&gt;=63</f>
        <v/>
      </c>
      <c r="D614">
        <f>IF(Skills!C9=1,60+Inputs!$B$25+Inputs!$B$29,IF(Skills!C9=2,90+Inputs!$B$26+Inputs!$B$29,IF(Skills!C9=3,120+Inputs!$B$27+Inputs!$B$29,MAX(0,(Inputs!$B$3-100)*3)+Inputs!$B$28+Inputs!$B$29)))</f>
        <v/>
      </c>
      <c r="E614">
        <f>INDEX(FactorTable!$B$2:$Y$301, MATCH(ROUND(MIN(300,MAX(1,D614)),0), FactorTable!$A$2:$A$301,0), Skills!M9+1)</f>
        <v/>
      </c>
      <c r="F614">
        <f>IF(Skills!N9=TRUE,(Skills!L9/10)*(E614/1000),Skills!L9/10)+Skills!O9</f>
        <v/>
      </c>
      <c r="G614">
        <f>Skills!G9*IF(Skills!H9&gt;0,Skills!I9/Skills!H9,1)</f>
        <v/>
      </c>
      <c r="H614">
        <f>1-(1-Skills!J9/100)^Skills!K9</f>
        <v/>
      </c>
      <c r="I614" t="inlineStr">
        <is>
          <t>1</t>
        </is>
      </c>
      <c r="J614">
        <f>((Inputs!$B$6*(1+Inputs!$B$7/100))+(((Inputs!$B$12*(1+Inputs!$B$13/100))-(Inputs!$B$12*(1+Inputs!$B$13/100)))+0.25*(Inputs!$B$14-Inputs!$B$14))*(1+Inputs!$B$7/100))*(F614/100)</f>
        <v/>
      </c>
      <c r="K614">
        <f>J614*(1+((Inputs!$B$12*(1+Inputs!$B$13/100))*0.01+Inputs!$B$14*0.0025)/100)*(1+Inputs!$B$15/100)*(1+IF(Inputs!$B$38="pvp",0,(1-Summary!$B$55)*(Inputs!$B$20+0+Skills!P9)+Summary!$B$55*(Inputs!$B$21+Skills!Q9))/100)*(1+Inputs!$B$16/100)*(5000/(6000+Inputs!$B$42*(1-(((1-(1-Inputs!$B$19/100)*(1-1/100))*100)+((C632=TRUE)*(F632-Calc!F27)))/100)))*(1+(Inputs!$B$24+((C630=TRUE)*(F630-Calc!F25))+((C631=TRUE)*(F631-Calc!F26))+B644)/100)*(1+1.0*IF(C615=TRUE,F615,0)/100)*(1+(IF(Skills!A9="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614)</f>
        <v/>
      </c>
      <c r="L614">
        <f>K614*(MIN(Inputs!$B$22+((C629=TRUE)*(F629-Calc!F24)),Inputs!$B$23+((C634=TRUE)*(F634-Calc!F29)))/100+(Inputs!$B$23+((C634=TRUE)*(F634-Calc!F29)))/100)/2</f>
        <v/>
      </c>
      <c r="M614">
        <f>L614*(1+(Inputs!$B$10+0+B643)/100)</f>
        <v/>
      </c>
      <c r="N614">
        <f>L614*(1-MIN((Inputs!$B$9+((C625=TRUE)*(F625-Calc!F20))+B638),100)/100)+M614*(MIN((Inputs!$B$9+((C625=TRUE)*(F625-Calc!F20))+B638),100)/100)</f>
        <v/>
      </c>
      <c r="O614">
        <f>IF(C614,H614*N614*IF(AND(Inputs!$B$38&lt;&gt;"pvp",Inputs!$B$43&gt;0),((Skills!G9*((R614-1)*IF(Skills!H9&gt;0,Skills!I9/Skills!H9,1)+IF(Skills!H9&gt;0,MIN(Skills!I9,MAX(0,MAX(0,Inputs!$B$43-B645)-((R614-1)*IF(Inputs!$B$38="pvp",15,MAX(0.1,Skills!D9-IF(Skills!E9=TRUE,Inputs!$B$32,0))))))/Skills!H9,1)))/Inputs!$B$43),G614*Q614)*IF(Inputs!$B$38="pvp",1,(1-Summary!$B$55)*(1)+Summary!$B$55*(MIN(Skills!R9,Inputs!$B$37))),0)</f>
        <v/>
      </c>
      <c r="P614">
        <f>IF(B646=0,0,O614/B646)</f>
        <v/>
      </c>
      <c r="Q614">
        <f>IFERROR(1/IF(Inputs!$B$38="pvp",15,MAX(0.1,Skills!D9-IF(Skills!E9=TRUE,Inputs!$B$32,0))),0)</f>
        <v/>
      </c>
      <c r="R614">
        <f>IF(AND(Inputs!$B$38&lt;&gt;"pvp",Inputs!$B$43&gt;0),IF(MAX(0,Inputs!$B$43-B645)&lt;=0,0,(INT(MAX(0,Inputs!$B$43-B645)/IF(Inputs!$B$38="pvp",15,MAX(0.1,Skills!D9-IF(Skills!E9=TRUE,Inputs!$B$32,0))))+1)),0)</f>
        <v/>
      </c>
      <c r="S614">
        <f>IFERROR(O614/N614,0)</f>
        <v/>
      </c>
    </row>
    <row r="615">
      <c r="A615">
        <f>Skills!A10</f>
        <v/>
      </c>
      <c r="B615">
        <f>Skills!B10</f>
        <v/>
      </c>
      <c r="C615">
        <f>Inputs!$B$3&gt;=100</f>
        <v/>
      </c>
      <c r="D615">
        <f>IF(Skills!C10=1,60+Inputs!$B$25+Inputs!$B$29,IF(Skills!C10=2,90+Inputs!$B$26+Inputs!$B$29,IF(Skills!C10=3,120+Inputs!$B$27+Inputs!$B$29,MAX(0,(Inputs!$B$3-100)*3)+Inputs!$B$28+Inputs!$B$29)))</f>
        <v/>
      </c>
      <c r="E615">
        <f>INDEX(FactorTable!$B$2:$Y$301, MATCH(ROUND(MIN(300,MAX(1,D615)),0), FactorTable!$A$2:$A$301,0), Skills!M10+1)</f>
        <v/>
      </c>
      <c r="F615">
        <f>IF(Skills!N10=TRUE,(Skills!L10/10)*(E615/1000),Skills!L10/10)+Skills!O10</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Skills!A11</f>
        <v/>
      </c>
      <c r="B616">
        <f>Skills!B11</f>
        <v/>
      </c>
      <c r="C616">
        <f>Inputs!$B$3&gt;=60</f>
        <v/>
      </c>
      <c r="D616">
        <f>IF(Skills!C11=1,60+Inputs!$B$25+Inputs!$B$29,IF(Skills!C11=2,90+Inputs!$B$26+Inputs!$B$29,IF(Skills!C11=3,120+Inputs!$B$27+Inputs!$B$29,MAX(0,(Inputs!$B$3-100)*3)+Inputs!$B$28+Inputs!$B$29)))</f>
        <v/>
      </c>
      <c r="E616">
        <f>INDEX(FactorTable!$B$2:$Y$301, MATCH(ROUND(MIN(300,MAX(1,D616)),0), FactorTable!$A$2:$A$301,0), Skills!M11+1)</f>
        <v/>
      </c>
      <c r="F616">
        <f>IF(Skills!N11=TRUE,(Skills!L11/10)*(E616/1000),Skills!L11/10)+Skills!O11</f>
        <v/>
      </c>
      <c r="G616">
        <f>Skills!G11*IF(Skills!H11&gt;0,Skills!I11/Skills!H11,1)</f>
        <v/>
      </c>
      <c r="H616">
        <f>1-(1-Skills!J11/100)^Skills!K11</f>
        <v/>
      </c>
      <c r="I616" t="inlineStr">
        <is>
          <t>1</t>
        </is>
      </c>
      <c r="J616">
        <f>((Inputs!$B$6*(1+Inputs!$B$7/100))+(((Inputs!$B$12*(1+Inputs!$B$13/100))-(Inputs!$B$12*(1+Inputs!$B$13/100)))+0.25*(Inputs!$B$14-Inputs!$B$14))*(1+Inputs!$B$7/100))*(F616/100)</f>
        <v/>
      </c>
      <c r="K616">
        <f>J616*(1+((Inputs!$B$12*(1+Inputs!$B$13/100))*0.01+Inputs!$B$14*0.0025)/100)*(1+Inputs!$B$15/100)*(1+IF(Inputs!$B$38="pvp",0,(1-Summary!$B$55)*(Inputs!$B$20+0+Skills!P11)+Summary!$B$55*(Inputs!$B$21+Skills!Q11))/100)*(1+Inputs!$B$16/100)*(5000/(6000+Inputs!$B$42*(1-(((1-(1-Inputs!$B$19/100)*(1-1/100))*100)+((C632=TRUE)*(F632-Calc!F27)))/100)))*(1+(Inputs!$B$24+((C630=TRUE)*(F630-Calc!F25))+((C631=TRUE)*(F631-Calc!F26))+B644)/100)*(1+IF(C617=TRUE,F617,0)/100)*(1+(IF(Skills!A11="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616)</f>
        <v/>
      </c>
      <c r="L616">
        <f>K616*(MIN(Inputs!$B$22+((C629=TRUE)*(F629-Calc!F24)),Inputs!$B$23+((C634=TRUE)*(F634-Calc!F29)))/100+(Inputs!$B$23+((C634=TRUE)*(F634-Calc!F29)))/100)/2</f>
        <v/>
      </c>
      <c r="M616">
        <f>L616*(1+(Inputs!$B$10+0+B643)/100)</f>
        <v/>
      </c>
      <c r="N616">
        <f>L616*(1-MIN((Inputs!$B$9+((C625=TRUE)*(F625-Calc!F20))+B638),100)/100)+M616*(MIN((Inputs!$B$9+((C625=TRUE)*(F625-Calc!F20))+B638),100)/100)</f>
        <v/>
      </c>
      <c r="O616">
        <f>IF(C616,H616*N616*IF(AND(Inputs!$B$38&lt;&gt;"pvp",Inputs!$B$43&gt;0),((Skills!G11*((R616-1)*IF(Skills!H11&gt;0,Skills!I11/Skills!H11,1)+IF(Skills!H11&gt;0,MIN(Skills!I11,MAX(0,MAX(0,Inputs!$B$43-B645)-((R616-1)*IF(Inputs!$B$38="pvp",15,MAX(0.1,Skills!D11-IF(Skills!E11=TRUE,Inputs!$B$32,0))))))/Skills!H11,1)))/Inputs!$B$43),G616*Q616)*IF(Inputs!$B$38="pvp",1,(1-Summary!$B$55)*(1)+Summary!$B$55*(MIN(Skills!R11,Inputs!$B$37))),0)</f>
        <v/>
      </c>
      <c r="P616">
        <f>IF(B646=0,0,O616/B646)</f>
        <v/>
      </c>
      <c r="Q616">
        <f>IFERROR(1/IF(Inputs!$B$38="pvp",15,MAX(0.1,Skills!D11-IF(Skills!E11=TRUE,Inputs!$B$32,0))),0)</f>
        <v/>
      </c>
      <c r="R616">
        <f>IF(AND(Inputs!$B$38&lt;&gt;"pvp",Inputs!$B$43&gt;0),IF(MAX(0,Inputs!$B$43-B645)&lt;=0,0,(INT(MAX(0,Inputs!$B$43-B645)/IF(Inputs!$B$38="pvp",15,MAX(0.1,Skills!D11-IF(Skills!E11=TRUE,Inputs!$B$32,0))))+1)),0)</f>
        <v/>
      </c>
      <c r="S616">
        <f>IFERROR(O616/N616,0)</f>
        <v/>
      </c>
    </row>
    <row r="617">
      <c r="A617">
        <f>Skills!A12</f>
        <v/>
      </c>
      <c r="B617">
        <f>Skills!B12</f>
        <v/>
      </c>
      <c r="C617">
        <f>Inputs!$B$3&gt;=110</f>
        <v/>
      </c>
      <c r="D617">
        <f>IF(Skills!C12=1,60+Inputs!$B$25+Inputs!$B$29,IF(Skills!C12=2,90+Inputs!$B$26+Inputs!$B$29,IF(Skills!C12=3,120+Inputs!$B$27+Inputs!$B$29,MAX(0,(Inputs!$B$3-100)*3)+Inputs!$B$28+Inputs!$B$29)))</f>
        <v/>
      </c>
      <c r="E617">
        <f>INDEX(FactorTable!$B$2:$Y$301, MATCH(ROUND(MIN(300,MAX(1,D617)),0), FactorTable!$A$2:$A$301,0), Skills!M12+1)</f>
        <v/>
      </c>
      <c r="F617">
        <f>IF(Skills!N12=TRUE,(Skills!L12/10)*(E617/1000),Skills!L12/10)+Skills!O12</f>
        <v/>
      </c>
      <c r="G617" t="inlineStr"/>
      <c r="H617" t="inlineStr"/>
      <c r="I617" t="inlineStr">
        <is>
          <t>1</t>
        </is>
      </c>
      <c r="J617" t="inlineStr"/>
      <c r="K617" t="inlineStr"/>
      <c r="L617" t="inlineStr"/>
      <c r="M617" t="inlineStr"/>
      <c r="N617" t="inlineStr"/>
      <c r="O617" t="inlineStr"/>
      <c r="P617" t="inlineStr"/>
      <c r="Q617" t="inlineStr"/>
      <c r="R617" t="inlineStr"/>
      <c r="S617" t="inlineStr"/>
    </row>
    <row r="618">
      <c r="A618">
        <f>Skills!A13</f>
        <v/>
      </c>
      <c r="B618">
        <f>Skills!B13</f>
        <v/>
      </c>
      <c r="C618">
        <f>Inputs!$B$3&gt;=74</f>
        <v/>
      </c>
      <c r="D618">
        <f>IF(Skills!C13=1,60+Inputs!$B$25+Inputs!$B$29,IF(Skills!C13=2,90+Inputs!$B$26+Inputs!$B$29,IF(Skills!C13=3,120+Inputs!$B$27+Inputs!$B$29,MAX(0,(Inputs!$B$3-100)*3)+Inputs!$B$28+Inputs!$B$29)))</f>
        <v/>
      </c>
      <c r="E618">
        <f>INDEX(FactorTable!$B$2:$Y$301, MATCH(ROUND(MIN(300,MAX(1,D618)),0), FactorTable!$A$2:$A$301,0), Skills!M13+1)</f>
        <v/>
      </c>
      <c r="F618">
        <f>IF(Skills!N13=TRUE,(Skills!L13/10)*(E618/1000),Skills!L13/10)+Skills!O13</f>
        <v/>
      </c>
      <c r="G618">
        <f>Skills!G13*IF(Skills!H13&gt;0,Skills!I13/Skills!H13,1)</f>
        <v/>
      </c>
      <c r="H618">
        <f>1-(1-Skills!J13/100)^Skills!K13</f>
        <v/>
      </c>
      <c r="I618" t="inlineStr">
        <is>
          <t>1</t>
        </is>
      </c>
      <c r="J618" t="inlineStr"/>
      <c r="K618" t="inlineStr"/>
      <c r="L618" t="inlineStr"/>
      <c r="M618" t="inlineStr"/>
      <c r="N618" t="inlineStr"/>
      <c r="O618" t="n">
        <v>0</v>
      </c>
      <c r="P618">
        <f>IF(B646=0,0,O618/B646)</f>
        <v/>
      </c>
      <c r="Q618" t="n">
        <v>0</v>
      </c>
      <c r="R618" t="n">
        <v>0</v>
      </c>
      <c r="S618">
        <f>IFERROR(O618/N618,0)</f>
        <v/>
      </c>
    </row>
    <row r="619">
      <c r="A619">
        <f>Skills!A14</f>
        <v/>
      </c>
      <c r="B619">
        <f>Skills!B14</f>
        <v/>
      </c>
      <c r="C619">
        <f>Inputs!$B$3&gt;=74</f>
        <v/>
      </c>
      <c r="D619">
        <f>IF(Skills!C14=1,60+Inputs!$B$25+Inputs!$B$29,IF(Skills!C14=2,90+Inputs!$B$26+Inputs!$B$29,IF(Skills!C14=3,120+Inputs!$B$27+Inputs!$B$29,MAX(0,(Inputs!$B$3-100)*3)+Inputs!$B$28+Inputs!$B$29)))</f>
        <v/>
      </c>
      <c r="E619">
        <f>INDEX(FactorTable!$B$2:$Y$301, MATCH(ROUND(MIN(300,MAX(1,D619)),0), FactorTable!$A$2:$A$301,0), Skills!M14+1)</f>
        <v/>
      </c>
      <c r="F619">
        <f>IF(Skills!N14=TRUE,(Skills!L14/10)*(E619/1000),Skills!L14/10)+Skills!O14</f>
        <v/>
      </c>
      <c r="G619">
        <f>Skills!G14*IF(Skills!H14&gt;0,Skills!I14/Skills!H14,1)</f>
        <v/>
      </c>
      <c r="H619">
        <f>1-(1-Skills!J14/100)^Skills!K14</f>
        <v/>
      </c>
      <c r="I619" t="inlineStr">
        <is>
          <t>1</t>
        </is>
      </c>
      <c r="J619" t="inlineStr"/>
      <c r="K619" t="inlineStr"/>
      <c r="L619" t="inlineStr"/>
      <c r="M619" t="inlineStr"/>
      <c r="N619" t="inlineStr"/>
      <c r="O619" t="n">
        <v>0</v>
      </c>
      <c r="P619">
        <f>IF(B646=0,0,O619/B646)</f>
        <v/>
      </c>
      <c r="Q619" t="n">
        <v>0</v>
      </c>
      <c r="R619" t="n">
        <v>0</v>
      </c>
      <c r="S619">
        <f>IFERROR(O619/N619,0)</f>
        <v/>
      </c>
    </row>
    <row r="620">
      <c r="A620">
        <f>Skills!A15</f>
        <v/>
      </c>
      <c r="B620">
        <f>Skills!B15</f>
        <v/>
      </c>
      <c r="C620">
        <f>Inputs!$B$3&gt;=117</f>
        <v/>
      </c>
      <c r="D620">
        <f>IF(Skills!C15=1,60+Inputs!$B$25+Inputs!$B$29,IF(Skills!C15=2,90+Inputs!$B$26+Inputs!$B$29,IF(Skills!C15=3,120+Inputs!$B$27+Inputs!$B$29,MAX(0,(Inputs!$B$3-100)*3)+Inputs!$B$28+Inputs!$B$29)))</f>
        <v/>
      </c>
      <c r="E620">
        <f>INDEX(FactorTable!$B$2:$Y$301, MATCH(ROUND(MIN(300,MAX(1,D620)),0), FactorTable!$A$2:$A$301,0), Skills!M15+1)</f>
        <v/>
      </c>
      <c r="F620">
        <f>IF(Skills!N15=TRUE,(Skills!L15/10)*(E620/1000),Skills!L15/10)+Skills!O15</f>
        <v/>
      </c>
      <c r="G620">
        <f>Skills!G15*IF(Skills!H15&gt;0,Skills!I15/Skills!H15,1)</f>
        <v/>
      </c>
      <c r="H620">
        <f>1-(1-Skills!J15/100)^Skills!K15</f>
        <v/>
      </c>
      <c r="I620" t="inlineStr">
        <is>
          <t>1</t>
        </is>
      </c>
      <c r="J620" t="inlineStr"/>
      <c r="K620" t="inlineStr"/>
      <c r="L620" t="inlineStr"/>
      <c r="M620" t="inlineStr"/>
      <c r="N620" t="inlineStr"/>
      <c r="O620" t="n">
        <v>0</v>
      </c>
      <c r="P620">
        <f>IF(B646=0,0,O620/B646)</f>
        <v/>
      </c>
      <c r="Q620">
        <f>IFERROR(1/IF(Inputs!$B$38="pvp",15,MAX(0.1,Skills!D15-IF(Skills!E15=TRUE,Inputs!$B$32,0))),0)</f>
        <v/>
      </c>
      <c r="R620">
        <f>IF(AND(Inputs!$B$38&lt;&gt;"pvp",Inputs!$B$43&gt;0),IF(Inputs!$B$43&lt;=0,0,(INT(Inputs!$B$43/IF(Inputs!$B$38="pvp",15,MAX(0.1,Skills!D15-IF(Skills!E15=TRUE,Inputs!$B$32,0))))+1)),0)</f>
        <v/>
      </c>
      <c r="S620">
        <f>IFERROR(O620/N620,0)</f>
        <v/>
      </c>
    </row>
    <row r="621">
      <c r="A621">
        <f>Skills!A16</f>
        <v/>
      </c>
      <c r="B621">
        <f>Skills!B16</f>
        <v/>
      </c>
      <c r="C621">
        <f>Inputs!$B$3&gt;=115</f>
        <v/>
      </c>
      <c r="D621">
        <f>IF(Skills!C16=1,60+Inputs!$B$25+Inputs!$B$29,IF(Skills!C16=2,90+Inputs!$B$26+Inputs!$B$29,IF(Skills!C16=3,120+Inputs!$B$27+Inputs!$B$29,MAX(0,(Inputs!$B$3-100)*3)+Inputs!$B$28+Inputs!$B$29)))</f>
        <v/>
      </c>
      <c r="E621">
        <f>INDEX(FactorTable!$B$2:$Y$301, MATCH(ROUND(MIN(300,MAX(1,D621)),0), FactorTable!$A$2:$A$301,0), Skills!M16+1)</f>
        <v/>
      </c>
      <c r="F621">
        <f>IF(Skills!N16=TRUE,(Skills!L16/10)*(E621/1000),Skills!L16/10)+Skills!O16</f>
        <v/>
      </c>
      <c r="G621">
        <f>Skills!G16*IF(Skills!H16&gt;0,Skills!I16/Skills!H16,1)</f>
        <v/>
      </c>
      <c r="H621">
        <f>1-(1-Skills!J16/100)^Skills!K16</f>
        <v/>
      </c>
      <c r="I621" t="inlineStr">
        <is>
          <t>1</t>
        </is>
      </c>
      <c r="J621" t="inlineStr"/>
      <c r="K621" t="inlineStr"/>
      <c r="L621" t="inlineStr"/>
      <c r="M621" t="inlineStr"/>
      <c r="N621" t="inlineStr"/>
      <c r="O621" t="n">
        <v>0</v>
      </c>
      <c r="P621">
        <f>IF(B646=0,0,O621/B646)</f>
        <v/>
      </c>
      <c r="Q621">
        <f>IFERROR(1/IF(Inputs!$B$38="pvp",15,MAX(0.1,Skills!D16-IF(Skills!E16=TRUE,Inputs!$B$32,0))),0)</f>
        <v/>
      </c>
      <c r="R621">
        <f>IF(AND(Inputs!$B$38&lt;&gt;"pvp",Inputs!$B$43&gt;0),IF(Inputs!$B$43&lt;=0,0,(INT(Inputs!$B$43/IF(Inputs!$B$38="pvp",15,MAX(0.1,Skills!D16-IF(Skills!E16=TRUE,Inputs!$B$32,0))))+1)),0)</f>
        <v/>
      </c>
      <c r="S621">
        <f>IFERROR(O621/N621,0)</f>
        <v/>
      </c>
    </row>
    <row r="622">
      <c r="A622">
        <f>Skills!A17</f>
        <v/>
      </c>
      <c r="B622">
        <f>Skills!B17</f>
        <v/>
      </c>
      <c r="C622">
        <f>Inputs!$B$3&gt;=66</f>
        <v/>
      </c>
      <c r="D622">
        <f>IF(Skills!C17=1,60+Inputs!$B$25+Inputs!$B$29,IF(Skills!C17=2,90+Inputs!$B$26+Inputs!$B$29,IF(Skills!C17=3,120+Inputs!$B$27+Inputs!$B$29,MAX(0,(Inputs!$B$3-100)*3)+Inputs!$B$28+Inputs!$B$29)))</f>
        <v/>
      </c>
      <c r="E622">
        <f>INDEX(FactorTable!$B$2:$Y$301, MATCH(ROUND(MIN(300,MAX(1,D622)),0), FactorTable!$A$2:$A$301,0), Skills!M17+1)</f>
        <v/>
      </c>
      <c r="F622">
        <f>IF(Skills!N17=TRUE,(Skills!L17/10)*(E622/1000),Skills!L17/10)+Skills!O17</f>
        <v/>
      </c>
      <c r="G622">
        <f>Skills!G17*IF(Skills!H17&gt;0,Skills!I17/Skills!H17,1)</f>
        <v/>
      </c>
      <c r="H622">
        <f>1-(1-Skills!J17/100)^Skills!K17</f>
        <v/>
      </c>
      <c r="I622" t="inlineStr">
        <is>
          <t>1</t>
        </is>
      </c>
      <c r="J622" t="inlineStr"/>
      <c r="K622" t="inlineStr"/>
      <c r="L622" t="inlineStr"/>
      <c r="M622" t="inlineStr"/>
      <c r="N622" t="inlineStr"/>
      <c r="O622" t="n">
        <v>0</v>
      </c>
      <c r="P622">
        <f>IF(B646=0,0,O622/B646)</f>
        <v/>
      </c>
      <c r="Q622" t="n">
        <v>0</v>
      </c>
      <c r="R622" t="n">
        <v>0</v>
      </c>
      <c r="S622">
        <f>IFERROR(O622/N622,0)</f>
        <v/>
      </c>
    </row>
    <row r="623">
      <c r="A623">
        <f>Skills!A18</f>
        <v/>
      </c>
      <c r="B623">
        <f>Skills!B18</f>
        <v/>
      </c>
      <c r="C623">
        <f>Inputs!$B$3&gt;=72</f>
        <v/>
      </c>
      <c r="D623">
        <f>IF(Skills!C18=1,60+Inputs!$B$25+Inputs!$B$29,IF(Skills!C18=2,90+Inputs!$B$26+Inputs!$B$29,IF(Skills!C18=3,120+Inputs!$B$27+Inputs!$B$29,MAX(0,(Inputs!$B$3-100)*3)+Inputs!$B$28+Inputs!$B$29)))</f>
        <v/>
      </c>
      <c r="E623">
        <f>INDEX(FactorTable!$B$2:$Y$301, MATCH(ROUND(MIN(300,MAX(1,D623)),0), FactorTable!$A$2:$A$301,0), Skills!M18+1)</f>
        <v/>
      </c>
      <c r="F623">
        <f>IF(Skills!N18=TRUE,(Skills!L18/10)*(E623/1000),Skills!L18/10)+Skills!O18</f>
        <v/>
      </c>
      <c r="G623">
        <f>Skills!G18*IF(Skills!H18&gt;0,Skills!I18/Skills!H18,1)</f>
        <v/>
      </c>
      <c r="H623">
        <f>1-(1-Skills!J18/100)^Skills!K18</f>
        <v/>
      </c>
      <c r="I623" t="inlineStr">
        <is>
          <t>1</t>
        </is>
      </c>
      <c r="J623" t="inlineStr"/>
      <c r="K623" t="inlineStr"/>
      <c r="L623" t="inlineStr"/>
      <c r="M623" t="inlineStr"/>
      <c r="N623" t="inlineStr"/>
      <c r="O623" t="n">
        <v>0</v>
      </c>
      <c r="P623">
        <f>IF(B646=0,0,O623/B646)</f>
        <v/>
      </c>
      <c r="Q623" t="n">
        <v>0</v>
      </c>
      <c r="R623" t="n">
        <v>0</v>
      </c>
      <c r="S623">
        <f>IFERROR(O623/N623,0)</f>
        <v/>
      </c>
    </row>
    <row r="624">
      <c r="A624">
        <f>Skills!A19</f>
        <v/>
      </c>
      <c r="B624">
        <f>Skills!B19</f>
        <v/>
      </c>
      <c r="C624">
        <f>TRUE</f>
        <v/>
      </c>
      <c r="D624">
        <f>IF(Skills!C19=1,60+Inputs!$B$25+Inputs!$B$29,IF(Skills!C19=2,90+Inputs!$B$26+Inputs!$B$29,IF(Skills!C19=3,120+Inputs!$B$27+Inputs!$B$29,MAX(0,(Inputs!$B$3-100)*3)+Inputs!$B$28+Inputs!$B$29)))</f>
        <v/>
      </c>
      <c r="E624">
        <f>INDEX(FactorTable!$B$2:$Y$301, MATCH(ROUND(MIN(300,MAX(1,D624)),0), FactorTable!$A$2:$A$301,0), Skills!M19+1)</f>
        <v/>
      </c>
      <c r="F624">
        <f>IF(Skills!N19=TRUE,(Skills!L19/10)*(E624/1000),Skills!L19/10)+Skills!O19</f>
        <v/>
      </c>
      <c r="G624">
        <f>Skills!G19*IF(Skills!H19&gt;0,Skills!I19/Skills!H19,1)</f>
        <v/>
      </c>
      <c r="H624">
        <f>1-(1-Skills!J19/100)^Skills!K19</f>
        <v/>
      </c>
      <c r="I624" t="inlineStr">
        <is>
          <t>1</t>
        </is>
      </c>
      <c r="J624" t="inlineStr"/>
      <c r="K624" t="inlineStr"/>
      <c r="L624" t="inlineStr"/>
      <c r="M624" t="inlineStr"/>
      <c r="N624" t="inlineStr"/>
      <c r="O624" t="n">
        <v>0</v>
      </c>
      <c r="P624">
        <f>IF(B646=0,0,O624/B646)</f>
        <v/>
      </c>
      <c r="Q624">
        <f>IFERROR(1/IF(Inputs!$B$38="pvp",15,MAX(0.1,Skills!D19-IF(Skills!E19=TRUE,Inputs!$B$32,0))),0)</f>
        <v/>
      </c>
      <c r="R624">
        <f>IF(AND(Inputs!$B$38&lt;&gt;"pvp",Inputs!$B$43&gt;0),IF(Inputs!$B$43&lt;=0,0,(INT(Inputs!$B$43/IF(Inputs!$B$38="pvp",15,MAX(0.1,Skills!D19-IF(Skills!E19=TRUE,Inputs!$B$32,0))))+1)),0)</f>
        <v/>
      </c>
      <c r="S624">
        <f>IFERROR(O624/N624,0)</f>
        <v/>
      </c>
    </row>
    <row r="625">
      <c r="A625">
        <f>Skills!A20</f>
        <v/>
      </c>
      <c r="B625">
        <f>Skills!B20</f>
        <v/>
      </c>
      <c r="C625">
        <f>Inputs!$B$3&gt;=15</f>
        <v/>
      </c>
      <c r="D625">
        <f>IF(Skills!C20=1,60+Inputs!$B$25+Inputs!$B$29,IF(Skills!C20=2,90+Inputs!$B$26+Inputs!$B$29,IF(Skills!C20=3,120+Inputs!$B$27+Inputs!$B$29,MAX(0,(Inputs!$B$3-100)*3)+Inputs!$B$28+Inputs!$B$29)))</f>
        <v/>
      </c>
      <c r="E625">
        <f>INDEX(FactorTable!$B$2:$Y$301, MATCH(ROUND(MIN(300,MAX(1,D625)),0), FactorTable!$A$2:$A$301,0), Skills!M20+1)</f>
        <v/>
      </c>
      <c r="F625">
        <f>IF(Skills!N20=TRUE,(Skills!L20/10)*(E625/1000),Skills!L20/10)+Skills!O20</f>
        <v/>
      </c>
      <c r="G625">
        <f>Skills!G20*IF(Skills!H20&gt;0,Skills!I20/Skills!H20,1)</f>
        <v/>
      </c>
      <c r="H625">
        <f>1-(1-Skills!J20/100)^Skills!K20</f>
        <v/>
      </c>
      <c r="I625" t="inlineStr">
        <is>
          <t>1</t>
        </is>
      </c>
      <c r="J625" t="inlineStr"/>
      <c r="K625" t="inlineStr"/>
      <c r="L625" t="inlineStr"/>
      <c r="M625" t="inlineStr"/>
      <c r="N625" t="inlineStr"/>
      <c r="O625" t="n">
        <v>0</v>
      </c>
      <c r="P625">
        <f>IF(B646=0,0,O625/B646)</f>
        <v/>
      </c>
      <c r="Q625" t="n">
        <v>0</v>
      </c>
      <c r="R625" t="n">
        <v>0</v>
      </c>
      <c r="S625">
        <f>IFERROR(O625/N625,0)</f>
        <v/>
      </c>
    </row>
    <row r="626">
      <c r="A626">
        <f>Skills!A21</f>
        <v/>
      </c>
      <c r="B626">
        <f>Skills!B21</f>
        <v/>
      </c>
      <c r="C626">
        <f>Inputs!$B$3&gt;=10</f>
        <v/>
      </c>
      <c r="D626">
        <f>IF(Skills!C21=1,60+Inputs!$B$25+Inputs!$B$29,IF(Skills!C21=2,90+Inputs!$B$26+Inputs!$B$29,IF(Skills!C21=3,120+Inputs!$B$27+Inputs!$B$29,MAX(0,(Inputs!$B$3-100)*3)+Inputs!$B$28+Inputs!$B$29)))</f>
        <v/>
      </c>
      <c r="E626">
        <f>INDEX(FactorTable!$B$2:$Y$301, MATCH(ROUND(MIN(300,MAX(1,D626)),0), FactorTable!$A$2:$A$301,0), Skills!M21+1)</f>
        <v/>
      </c>
      <c r="F626">
        <f>IF(Skills!N21=TRUE,(Skills!L21/10)*(E626/1000),Skills!L21/10)+Skills!O21</f>
        <v/>
      </c>
      <c r="G626">
        <f>Skills!G21*IF(Skills!H21&gt;0,Skills!I21/Skills!H21,1)</f>
        <v/>
      </c>
      <c r="H626">
        <f>1-(1-Skills!J21/100)^Skills!K21</f>
        <v/>
      </c>
      <c r="I626" t="inlineStr">
        <is>
          <t>1</t>
        </is>
      </c>
      <c r="J626" t="inlineStr"/>
      <c r="K626" t="inlineStr"/>
      <c r="L626" t="inlineStr"/>
      <c r="M626" t="inlineStr"/>
      <c r="N626" t="inlineStr"/>
      <c r="O626" t="n">
        <v>0</v>
      </c>
      <c r="P626">
        <f>IF(B646=0,0,O626/B646)</f>
        <v/>
      </c>
      <c r="Q626" t="n">
        <v>0</v>
      </c>
      <c r="R626" t="n">
        <v>0</v>
      </c>
      <c r="S626">
        <f>IFERROR(O626/N626,0)</f>
        <v/>
      </c>
    </row>
    <row r="627">
      <c r="A627">
        <f>Skills!A22</f>
        <v/>
      </c>
      <c r="B627">
        <f>Skills!B22</f>
        <v/>
      </c>
      <c r="C627">
        <f>Inputs!$B$3&gt;=33</f>
        <v/>
      </c>
      <c r="D627">
        <f>IF(Skills!C22=1,60+Inputs!$B$25+Inputs!$B$29,IF(Skills!C22=2,90+Inputs!$B$26+Inputs!$B$29,IF(Skills!C22=3,120+Inputs!$B$27+Inputs!$B$29,MAX(0,(Inputs!$B$3-100)*3)+Inputs!$B$28+Inputs!$B$29)))</f>
        <v/>
      </c>
      <c r="E627">
        <f>INDEX(FactorTable!$B$2:$Y$301, MATCH(ROUND(MIN(300,MAX(1,D627)),0), FactorTable!$A$2:$A$301,0), Skills!M22+1)</f>
        <v/>
      </c>
      <c r="F627">
        <f>IF(Skills!N22=TRUE,(Skills!L22/10)*(E627/1000),Skills!L22/10)+Skills!O22</f>
        <v/>
      </c>
      <c r="G627">
        <f>Skills!G22*IF(Skills!H22&gt;0,Skills!I22/Skills!H22,1)</f>
        <v/>
      </c>
      <c r="H627">
        <f>1-(1-Skills!J22/100)^Skills!K22</f>
        <v/>
      </c>
      <c r="I627" t="inlineStr">
        <is>
          <t>1</t>
        </is>
      </c>
      <c r="J627" t="inlineStr"/>
      <c r="K627" t="inlineStr"/>
      <c r="L627" t="inlineStr"/>
      <c r="M627" t="inlineStr"/>
      <c r="N627" t="inlineStr"/>
      <c r="O627" t="n">
        <v>0</v>
      </c>
      <c r="P627">
        <f>IF(B646=0,0,O627/B646)</f>
        <v/>
      </c>
      <c r="Q627" t="n">
        <v>0</v>
      </c>
      <c r="R627" t="n">
        <v>0</v>
      </c>
      <c r="S627">
        <f>IFERROR(O627/N627,0)</f>
        <v/>
      </c>
    </row>
    <row r="628">
      <c r="A628">
        <f>Skills!A23</f>
        <v/>
      </c>
      <c r="B628">
        <f>Skills!B23</f>
        <v/>
      </c>
      <c r="C628">
        <f>Inputs!$B$3&gt;=38</f>
        <v/>
      </c>
      <c r="D628">
        <f>IF(Skills!C23=1,60+Inputs!$B$25+Inputs!$B$29,IF(Skills!C23=2,90+Inputs!$B$26+Inputs!$B$29,IF(Skills!C23=3,120+Inputs!$B$27+Inputs!$B$29,MAX(0,(Inputs!$B$3-100)*3)+Inputs!$B$28+Inputs!$B$29)))</f>
        <v/>
      </c>
      <c r="E628">
        <f>INDEX(FactorTable!$B$2:$Y$301, MATCH(ROUND(MIN(300,MAX(1,D628)),0), FactorTable!$A$2:$A$301,0), Skills!M23+1)</f>
        <v/>
      </c>
      <c r="F628">
        <f>IF(Skills!N23=TRUE,(Skills!L23/10)*(E628/1000),Skills!L23/10)+Skills!O23</f>
        <v/>
      </c>
      <c r="G628">
        <f>Skills!G23*IF(Skills!H23&gt;0,Skills!I23/Skills!H23,1)</f>
        <v/>
      </c>
      <c r="H628">
        <f>1-(1-Skills!J23/100)^Skills!K23</f>
        <v/>
      </c>
      <c r="I628" t="inlineStr">
        <is>
          <t>1</t>
        </is>
      </c>
      <c r="J628" t="inlineStr"/>
      <c r="K628" t="inlineStr"/>
      <c r="L628" t="inlineStr"/>
      <c r="M628" t="inlineStr"/>
      <c r="N628" t="inlineStr"/>
      <c r="O628" t="n">
        <v>0</v>
      </c>
      <c r="P628">
        <f>IF(B646=0,0,O628/B646)</f>
        <v/>
      </c>
      <c r="Q628" t="n">
        <v>0</v>
      </c>
      <c r="R628" t="n">
        <v>0</v>
      </c>
      <c r="S628">
        <f>IFERROR(O628/N628,0)</f>
        <v/>
      </c>
    </row>
    <row r="629">
      <c r="A629">
        <f>Skills!A24</f>
        <v/>
      </c>
      <c r="B629">
        <f>Skills!B24</f>
        <v/>
      </c>
      <c r="C629">
        <f>Inputs!$B$3&gt;=43</f>
        <v/>
      </c>
      <c r="D629">
        <f>IF(Skills!C24=1,60+Inputs!$B$25+Inputs!$B$29,IF(Skills!C24=2,90+Inputs!$B$26+Inputs!$B$29,IF(Skills!C24=3,120+Inputs!$B$27+Inputs!$B$29,MAX(0,(Inputs!$B$3-100)*3)+Inputs!$B$28+Inputs!$B$29)))</f>
        <v/>
      </c>
      <c r="E629">
        <f>INDEX(FactorTable!$B$2:$Y$301, MATCH(ROUND(MIN(300,MAX(1,D629)),0), FactorTable!$A$2:$A$301,0), Skills!M24+1)</f>
        <v/>
      </c>
      <c r="F629">
        <f>IF(Skills!N24=TRUE,(Skills!L24/10)*(E629/1000),Skills!L24/10)+Skills!O24</f>
        <v/>
      </c>
      <c r="G629">
        <f>Skills!G24*IF(Skills!H24&gt;0,Skills!I24/Skills!H24,1)</f>
        <v/>
      </c>
      <c r="H629">
        <f>1-(1-Skills!J24/100)^Skills!K24</f>
        <v/>
      </c>
      <c r="I629" t="inlineStr">
        <is>
          <t>1</t>
        </is>
      </c>
      <c r="J629" t="inlineStr"/>
      <c r="K629" t="inlineStr"/>
      <c r="L629" t="inlineStr"/>
      <c r="M629" t="inlineStr"/>
      <c r="N629" t="inlineStr"/>
      <c r="O629" t="n">
        <v>0</v>
      </c>
      <c r="P629">
        <f>IF(B646=0,0,O629/B646)</f>
        <v/>
      </c>
      <c r="Q629" t="n">
        <v>0</v>
      </c>
      <c r="R629" t="n">
        <v>0</v>
      </c>
      <c r="S629">
        <f>IFERROR(O629/N629,0)</f>
        <v/>
      </c>
    </row>
    <row r="630">
      <c r="A630">
        <f>Skills!A25</f>
        <v/>
      </c>
      <c r="B630">
        <f>Skills!B25</f>
        <v/>
      </c>
      <c r="C630">
        <f>Inputs!$B$3&gt;=75</f>
        <v/>
      </c>
      <c r="D630">
        <f>IF(Skills!C25=1,60+Inputs!$B$25+Inputs!$B$29,IF(Skills!C25=2,90+Inputs!$B$26+Inputs!$B$29,IF(Skills!C25=3,120+Inputs!$B$27+Inputs!$B$29,MAX(0,(Inputs!$B$3-100)*3)+Inputs!$B$28+Inputs!$B$29)))</f>
        <v/>
      </c>
      <c r="E630">
        <f>INDEX(FactorTable!$B$2:$Y$301, MATCH(ROUND(MIN(300,MAX(1,D630)),0), FactorTable!$A$2:$A$301,0), Skills!M25+1)</f>
        <v/>
      </c>
      <c r="F630">
        <f>IF(Skills!N25=TRUE,(Skills!L25/10)*(E630/1000),Skills!L25/10)+Skills!O25</f>
        <v/>
      </c>
      <c r="G630">
        <f>Skills!G25*IF(Skills!H25&gt;0,Skills!I25/Skills!H25,1)</f>
        <v/>
      </c>
      <c r="H630">
        <f>1-(1-Skills!J25/100)^Skills!K25</f>
        <v/>
      </c>
      <c r="I630" t="inlineStr">
        <is>
          <t>1</t>
        </is>
      </c>
      <c r="J630" t="inlineStr"/>
      <c r="K630" t="inlineStr"/>
      <c r="L630" t="inlineStr"/>
      <c r="M630" t="inlineStr"/>
      <c r="N630" t="inlineStr"/>
      <c r="O630" t="n">
        <v>0</v>
      </c>
      <c r="P630">
        <f>IF(B646=0,0,O630/B646)</f>
        <v/>
      </c>
      <c r="Q630" t="n">
        <v>0</v>
      </c>
      <c r="R630" t="n">
        <v>0</v>
      </c>
      <c r="S630">
        <f>IFERROR(O630/N630,0)</f>
        <v/>
      </c>
    </row>
    <row r="631">
      <c r="A631">
        <f>Skills!A26</f>
        <v/>
      </c>
      <c r="B631">
        <f>Skills!B26</f>
        <v/>
      </c>
      <c r="C631">
        <f>Inputs!$B$3&gt;=125</f>
        <v/>
      </c>
      <c r="D631">
        <f>IF(Skills!C26=1,60+Inputs!$B$25+Inputs!$B$29,IF(Skills!C26=2,90+Inputs!$B$26+Inputs!$B$29,IF(Skills!C26=3,120+Inputs!$B$27+Inputs!$B$29,MAX(0,(Inputs!$B$3-100)*3)+Inputs!$B$28+Inputs!$B$29)))</f>
        <v/>
      </c>
      <c r="E631">
        <f>INDEX(FactorTable!$B$2:$Y$301, MATCH(ROUND(MIN(300,MAX(1,D631)),0), FactorTable!$A$2:$A$301,0), Skills!M26+1)</f>
        <v/>
      </c>
      <c r="F631">
        <f>IF(Skills!N26=TRUE,(Skills!L26/10)*(E631/1000),Skills!L26/10)+Skills!O26</f>
        <v/>
      </c>
      <c r="G631">
        <f>Skills!G26*IF(Skills!H26&gt;0,Skills!I26/Skills!H26,1)</f>
        <v/>
      </c>
      <c r="H631">
        <f>1-(1-Skills!J26/100)^Skills!K26</f>
        <v/>
      </c>
      <c r="I631" t="inlineStr">
        <is>
          <t>1</t>
        </is>
      </c>
      <c r="J631" t="inlineStr"/>
      <c r="K631" t="inlineStr"/>
      <c r="L631" t="inlineStr"/>
      <c r="M631" t="inlineStr"/>
      <c r="N631" t="inlineStr"/>
      <c r="O631" t="n">
        <v>0</v>
      </c>
      <c r="P631">
        <f>IF(B646=0,0,O631/B646)</f>
        <v/>
      </c>
      <c r="Q631" t="n">
        <v>0</v>
      </c>
      <c r="R631" t="n">
        <v>0</v>
      </c>
      <c r="S631">
        <f>IFERROR(O631/N631,0)</f>
        <v/>
      </c>
    </row>
    <row r="632">
      <c r="A632">
        <f>Skills!A27</f>
        <v/>
      </c>
      <c r="B632">
        <f>Skills!B27</f>
        <v/>
      </c>
      <c r="C632">
        <f>Inputs!$B$3&gt;=125</f>
        <v/>
      </c>
      <c r="D632">
        <f>IF(Skills!C27=1,60+Inputs!$B$25+Inputs!$B$29,IF(Skills!C27=2,90+Inputs!$B$26+Inputs!$B$29,IF(Skills!C27=3,120+Inputs!$B$27+Inputs!$B$29,MAX(0,(Inputs!$B$3-100)*3)+Inputs!$B$28+Inputs!$B$29)))</f>
        <v/>
      </c>
      <c r="E632">
        <f>INDEX(FactorTable!$B$2:$Y$301, MATCH(ROUND(MIN(300,MAX(1,D632)),0), FactorTable!$A$2:$A$301,0), Skills!M27+1)</f>
        <v/>
      </c>
      <c r="F632">
        <f>IF(Skills!N27=TRUE,(Skills!L27/10)*(E632/1000),Skills!L27/10)+Skills!O27</f>
        <v/>
      </c>
      <c r="G632">
        <f>Skills!G27*IF(Skills!H27&gt;0,Skills!I27/Skills!H27,1)</f>
        <v/>
      </c>
      <c r="H632">
        <f>1-(1-Skills!J27/100)^Skills!K27</f>
        <v/>
      </c>
      <c r="I632" t="inlineStr">
        <is>
          <t>1</t>
        </is>
      </c>
      <c r="J632" t="inlineStr"/>
      <c r="K632" t="inlineStr"/>
      <c r="L632" t="inlineStr"/>
      <c r="M632" t="inlineStr"/>
      <c r="N632" t="inlineStr"/>
      <c r="O632" t="n">
        <v>0</v>
      </c>
      <c r="P632">
        <f>IF(B646=0,0,O632/B646)</f>
        <v/>
      </c>
      <c r="Q632" t="n">
        <v>0</v>
      </c>
      <c r="R632" t="n">
        <v>0</v>
      </c>
      <c r="S632">
        <f>IFERROR(O632/N632,0)</f>
        <v/>
      </c>
    </row>
    <row r="633">
      <c r="A633">
        <f>Skills!A28</f>
        <v/>
      </c>
      <c r="B633">
        <f>Skills!B28</f>
        <v/>
      </c>
      <c r="C633">
        <f>Inputs!$B$3&gt;=120</f>
        <v/>
      </c>
      <c r="D633">
        <f>IF(Skills!C28=1,60+Inputs!$B$25+Inputs!$B$29,IF(Skills!C28=2,90+Inputs!$B$26+Inputs!$B$29,IF(Skills!C28=3,120+Inputs!$B$27+Inputs!$B$29,MAX(0,(Inputs!$B$3-100)*3)+Inputs!$B$28+Inputs!$B$29)))</f>
        <v/>
      </c>
      <c r="E633">
        <f>INDEX(FactorTable!$B$2:$Y$301, MATCH(ROUND(MIN(300,MAX(1,D633)),0), FactorTable!$A$2:$A$301,0), Skills!M28+1)</f>
        <v/>
      </c>
      <c r="F633">
        <f>IF(Skills!N28=TRUE,(Skills!L28/10)*(E633/1000),Skills!L28/10)+Skills!O28</f>
        <v/>
      </c>
      <c r="G633">
        <f>Skills!G28*IF(Skills!H28&gt;0,Skills!I28/Skills!H28,1)</f>
        <v/>
      </c>
      <c r="H633">
        <f>1-(1-Skills!J28/100)^Skills!K28</f>
        <v/>
      </c>
      <c r="I633" t="inlineStr">
        <is>
          <t>1</t>
        </is>
      </c>
      <c r="J633" t="inlineStr"/>
      <c r="K633" t="inlineStr"/>
      <c r="L633" t="inlineStr"/>
      <c r="M633" t="inlineStr"/>
      <c r="N633" t="inlineStr"/>
      <c r="O633" t="n">
        <v>0</v>
      </c>
      <c r="P633">
        <f>IF(B646=0,0,O633/B646)</f>
        <v/>
      </c>
      <c r="Q633" t="n">
        <v>0</v>
      </c>
      <c r="R633" t="n">
        <v>0</v>
      </c>
      <c r="S633">
        <f>IFERROR(O633/N633,0)</f>
        <v/>
      </c>
    </row>
    <row r="634">
      <c r="A634">
        <f>Skills!A29</f>
        <v/>
      </c>
      <c r="B634">
        <f>Skills!B29</f>
        <v/>
      </c>
      <c r="C634">
        <f>Inputs!$B$3&gt;=120</f>
        <v/>
      </c>
      <c r="D634">
        <f>IF(Skills!C29=1,60+Inputs!$B$25+Inputs!$B$29,IF(Skills!C29=2,90+Inputs!$B$26+Inputs!$B$29,IF(Skills!C29=3,120+Inputs!$B$27+Inputs!$B$29,MAX(0,(Inputs!$B$3-100)*3)+Inputs!$B$28+Inputs!$B$29)))</f>
        <v/>
      </c>
      <c r="E634">
        <f>INDEX(FactorTable!$B$2:$Y$301, MATCH(ROUND(MIN(300,MAX(1,D634)),0), FactorTable!$A$2:$A$301,0), Skills!M29+1)</f>
        <v/>
      </c>
      <c r="F634">
        <f>IF(Skills!N29=TRUE,(Skills!L29/10)*(E634/1000),Skills!L29/10)+Skills!O29</f>
        <v/>
      </c>
      <c r="G634">
        <f>Skills!G29*IF(Skills!H29&gt;0,Skills!I29/Skills!H29,1)</f>
        <v/>
      </c>
      <c r="H634">
        <f>1-(1-Skills!J29/100)^Skills!K29</f>
        <v/>
      </c>
      <c r="I634" t="inlineStr">
        <is>
          <t>1</t>
        </is>
      </c>
      <c r="J634" t="inlineStr"/>
      <c r="K634" t="inlineStr"/>
      <c r="L634" t="inlineStr"/>
      <c r="M634" t="inlineStr"/>
      <c r="N634" t="inlineStr"/>
      <c r="O634" t="n">
        <v>0</v>
      </c>
      <c r="P634">
        <f>IF(B646=0,0,O634/B646)</f>
        <v/>
      </c>
      <c r="Q634" t="n">
        <v>0</v>
      </c>
      <c r="R634" t="n">
        <v>0</v>
      </c>
      <c r="S634">
        <f>IFERROR(O634/N634,0)</f>
        <v/>
      </c>
    </row>
    <row r="635">
      <c r="A635">
        <f>Skills!A30</f>
        <v/>
      </c>
      <c r="B635">
        <f>Skills!B30</f>
        <v/>
      </c>
      <c r="C635">
        <f>Inputs!$B$3&gt;=45</f>
        <v/>
      </c>
      <c r="D635">
        <f>IF(Skills!C30=1,60+Inputs!$B$25+Inputs!$B$29,IF(Skills!C30=2,90+Inputs!$B$26+Inputs!$B$29,IF(Skills!C30=3,120+Inputs!$B$27+Inputs!$B$29,MAX(0,(Inputs!$B$3-100)*3)+Inputs!$B$28+Inputs!$B$29)))</f>
        <v/>
      </c>
      <c r="E635">
        <f>INDEX(FactorTable!$B$2:$Y$301, MATCH(ROUND(MIN(300,MAX(1,D635)),0), FactorTable!$A$2:$A$301,0), Skills!M30+1)</f>
        <v/>
      </c>
      <c r="F635">
        <f>IF(Skills!N30=TRUE,(Skills!L30/10)*(E635/1000),Skills!L30/10)+Skills!O30</f>
        <v/>
      </c>
      <c r="G635">
        <f>Skills!G30*IF(Skills!H30&gt;0,Skills!I30/Skills!H30,1)</f>
        <v/>
      </c>
      <c r="H635">
        <f>1-(1-Skills!J30/100)^Skills!K30</f>
        <v/>
      </c>
      <c r="I635" t="inlineStr">
        <is>
          <t>1</t>
        </is>
      </c>
      <c r="J635" t="inlineStr"/>
      <c r="K635" t="inlineStr"/>
      <c r="L635" t="inlineStr"/>
      <c r="M635" t="inlineStr"/>
      <c r="N635" t="inlineStr"/>
      <c r="O635" t="n">
        <v>0</v>
      </c>
      <c r="P635">
        <f>IF(B646=0,0,O635/B646)</f>
        <v/>
      </c>
      <c r="Q635" t="n">
        <v>0</v>
      </c>
      <c r="R635" t="n">
        <v>0</v>
      </c>
      <c r="S635">
        <f>IFERROR(O635/N635,0)</f>
        <v/>
      </c>
    </row>
    <row r="637">
      <c r="A637" t="inlineStr">
        <is>
          <t>Attack% Bucket Multiplier</t>
        </is>
      </c>
      <c r="B637">
        <f>(1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f>
        <v/>
      </c>
    </row>
    <row r="638">
      <c r="A638" t="inlineStr">
        <is>
          <t>Global Crit Rate Bonus %</t>
        </is>
      </c>
      <c r="B638">
        <f>(C621=TRUE)*20*IF(AND(Inputs!$B$38&lt;&gt;"pvp",Inputs!$B$43&gt;0),(((R621-1)*(Skills!T16*(1+Inputs!$B$34/100))+MIN((Skills!T16*(1+Inputs!$B$34/100)),MAX(0,Inputs!$B$43-((R621-1)*Skills!D16))))/Inputs!$B$43),IF(Inputs!$B$38="pvp",MIN((Skills!T16*(1+Inputs!$B$34/100)),15)/15,(Skills!T16*(1+Inputs!$B$34/100))/Skills!D16))</f>
        <v/>
      </c>
    </row>
    <row r="639">
      <c r="A639" t="inlineStr">
        <is>
          <t>Attack Speed Buff Bonus %</t>
        </is>
      </c>
      <c r="B639">
        <f>((C624=TRUE)*F624*IF(AND(Inputs!$B$38&lt;&gt;"pvp",Inputs!$B$43&gt;0),(((R624-1)*(Skills!T19*(1+Inputs!$B$34/100))+MIN((Skills!T19*(1+Inputs!$B$34/100)),MAX(0,Inputs!$B$43-((R624-1)*Skills!D19))))/Inputs!$B$43),IF(Inputs!$B$38="pvp",MIN((Skills!T19*(1+Inputs!$B$34/100)),15)/15,(Skills!T19*(1+Inputs!$B$34/100))/Skills!D19)))</f>
        <v/>
      </c>
    </row>
    <row r="640">
      <c r="A640" t="inlineStr">
        <is>
          <t>Actions Per Second</t>
        </is>
      </c>
      <c r="B640">
        <f>1+MIN(150,150*(1-(1-(Inputs!$B$11+((C626=TRUE)*(F626-Calc!F21))+((C627=TRUE)*(F627-Calc!F22)))/150)*(1-B639/150)))/100</f>
        <v/>
      </c>
    </row>
    <row r="641">
      <c r="A641" t="inlineStr">
        <is>
          <t>Skill + Buff Cast Rate</t>
        </is>
      </c>
      <c r="B641">
        <f>IF(AND(Inputs!$B$38&lt;&gt;"pvp",Inputs!$B$43&gt;0),SUMPRODUCT((Skills!E2:E30=TRUE)*(C607:C635=TRUE)*R607:R635*Skills!F2:F30)/Inputs!$B$43,SUMPRODUCT((Skills!E2:E30=TRUE)*(C607:C635=TRUE)*Q607:Q635*Skills!F2:F30))</f>
        <v/>
      </c>
    </row>
    <row r="642">
      <c r="A642" t="inlineStr">
        <is>
          <t>Arrow Stream Casts Per Second</t>
        </is>
      </c>
      <c r="B642">
        <f>MAX(0,B640-B641)</f>
        <v/>
      </c>
    </row>
    <row r="643">
      <c r="A643" t="inlineStr">
        <is>
          <t>Global Critical Damage Bonus % (Sharp Eyes + Concentration)</t>
        </is>
      </c>
      <c r="B643">
        <f>(C621=TRUE)*F621*IF(AND(Inputs!$B$38&lt;&gt;"pvp",Inputs!$B$43&gt;0),(((R621-1)*(Skills!T16*(1+Inputs!$B$34/100))+MIN((Skills!T16*(1+Inputs!$B$34/100)),MAX(0,Inputs!$B$43-((R621-1)*Skills!D16))))/Inputs!$B$43),IF(Inputs!$B$38="pvp",MIN((Skills!T16*(1+Inputs!$B$34/100)),15)/15,(Skills!T16*(1+Inputs!$B$34/100))/Skills!D16))+(C622=TRUE)*30</f>
        <v/>
      </c>
    </row>
    <row r="644">
      <c r="A644" t="inlineStr">
        <is>
          <t>Global Final Damage Bonus % (Mortal Blow)</t>
        </is>
      </c>
      <c r="B644">
        <f>(C623=TRUE)*F623</f>
        <v/>
      </c>
    </row>
    <row r="645">
      <c r="A645" t="inlineStr">
        <is>
          <t>Buff-Casting Startup Delay (s, fixed-duration only)</t>
        </is>
      </c>
      <c r="B645">
        <f>IF(AND(Inputs!$B$38&lt;&gt;"pvp",Inputs!$B$43&gt;0),SUMPRODUCT((Skills!T2:T30&gt;0)*(Skills!E2:E30=TRUE)*(C607:C635=TRUE))/B640,0)</f>
        <v/>
      </c>
    </row>
    <row r="646">
      <c r="A646" s="5" t="inlineStr">
        <is>
          <t>TOTAL DPS</t>
        </is>
      </c>
      <c r="B646" s="5">
        <f>SUM(O607:O635)</f>
        <v/>
      </c>
    </row>
    <row r="649">
      <c r="A649" s="5" t="inlineStr">
        <is>
          <t>Stat: BASIC_ATTACK_DAMAGE %</t>
        </is>
      </c>
    </row>
    <row r="650">
      <c r="A650" s="9" t="inlineStr">
        <is>
          <t>Key</t>
        </is>
      </c>
      <c r="B650" s="9" t="inlineStr">
        <is>
          <t>Name</t>
        </is>
      </c>
      <c r="C650" s="9" t="inlineStr">
        <is>
          <t>Unlocked</t>
        </is>
      </c>
      <c r="D650" s="9" t="inlineStr">
        <is>
          <t>InputLevel</t>
        </is>
      </c>
      <c r="E650" s="9" t="inlineStr">
        <is>
          <t>Factor</t>
        </is>
      </c>
      <c r="F650" s="9" t="inlineStr">
        <is>
          <t>CoefficientPercent</t>
        </is>
      </c>
      <c r="G650" s="9" t="inlineStr">
        <is>
          <t>EffectiveHits</t>
        </is>
      </c>
      <c r="H650" s="9" t="inlineStr">
        <is>
          <t>ProcProbability</t>
        </is>
      </c>
      <c r="I650" s="9" t="inlineStr">
        <is>
          <t>MapleHeroMultiplier</t>
        </is>
      </c>
      <c r="J650" s="9" t="inlineStr">
        <is>
          <t>BaseDamage</t>
        </is>
      </c>
      <c r="K650" s="9" t="inlineStr">
        <is>
          <t>BaseHitDamage</t>
        </is>
      </c>
      <c r="L650" s="9" t="inlineStr">
        <is>
          <t>NonCritAvg</t>
        </is>
      </c>
      <c r="M650" s="9" t="inlineStr">
        <is>
          <t>CritAvg</t>
        </is>
      </c>
      <c r="N650" s="9" t="inlineStr">
        <is>
          <t>ExpectedDamage(perHit)</t>
        </is>
      </c>
      <c r="O650" s="9" t="inlineStr">
        <is>
          <t>DPS</t>
        </is>
      </c>
      <c r="P650" s="9" t="inlineStr">
        <is>
          <t>% of Total</t>
        </is>
      </c>
      <c r="Q650" s="9" t="inlineStr">
        <is>
          <t>InvCooldown</t>
        </is>
      </c>
      <c r="R650" s="9" t="inlineStr">
        <is>
          <t>CastsInFight</t>
        </is>
      </c>
      <c r="S650" s="9" t="inlineStr">
        <is>
          <t>HitRate(perSec)</t>
        </is>
      </c>
      <c r="U650" t="inlineStr">
        <is>
          <t>helpers</t>
        </is>
      </c>
    </row>
    <row r="651">
      <c r="A651">
        <f>Skills!A2</f>
        <v/>
      </c>
      <c r="B651">
        <f>Skills!B2</f>
        <v/>
      </c>
      <c r="C651">
        <f>Inputs!$B$3&gt;=100</f>
        <v/>
      </c>
      <c r="D651" t="inlineStr"/>
      <c r="E651" t="inlineStr"/>
      <c r="F651">
        <f>U653+Skills!O2</f>
        <v/>
      </c>
      <c r="G651">
        <f>Skills!G2*IF(Skills!H2&gt;0,Skills!I2/Skills!H2,1)</f>
        <v/>
      </c>
      <c r="H651">
        <f>1-(1-Skills!J2/100)^Skills!K2</f>
        <v/>
      </c>
      <c r="I651" t="inlineStr">
        <is>
          <t>1</t>
        </is>
      </c>
      <c r="J651">
        <f>((Inputs!$B$6*(1+Inputs!$B$7/100))+(((Inputs!$B$12*(1+Inputs!$B$13/100))-(Inputs!$B$12*(1+Inputs!$B$13/100)))+0.25*(Inputs!$B$14-Inputs!$B$14))*(1+Inputs!$B$7/100))*(F651/100)</f>
        <v/>
      </c>
      <c r="K651">
        <f>J651*(1+((Inputs!$B$12*(1+Inputs!$B$13/100))*0.01+Inputs!$B$14*0.0025)/100)*(1+Inputs!$B$15/100)*(1+IF(Inputs!$B$38="pvp",0,(1-Summary!$B$55)*(Inputs!$B$20+0+Skills!P2)+Summary!$B$55*(Inputs!$B$21+Skills!Q2))/100)*(1+Inputs!$B$16/100)*(5000/(6000+Inputs!$B$42*(1-(Inputs!$B$19+((C676=TRUE)*(F676-Calc!F27)))/100)))*(1+(Inputs!$B$24+((C674=TRUE)*(F674-Calc!F25))+((C675=TRUE)*(F675-Calc!F26))+B688)/100)*(1+(IF(Skills!A2="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651)</f>
        <v/>
      </c>
      <c r="L651">
        <f>K651*(MIN(Inputs!$B$22+((C673=TRUE)*(F673-Calc!F24)),Inputs!$B$23+((C678=TRUE)*(F678-Calc!F29)))/100+(Inputs!$B$23+((C678=TRUE)*(F678-Calc!F29)))/100)/2</f>
        <v/>
      </c>
      <c r="M651">
        <f>L651*(1+(Inputs!$B$10+0+B687)/100)</f>
        <v/>
      </c>
      <c r="N651">
        <f>L651*(1-MIN((Inputs!$B$9+((C669=TRUE)*(F669-Calc!F20))+B682),100)/100)+M651*(MIN((Inputs!$B$9+((C669=TRUE)*(F669-Calc!F20))+B682),100)/100)</f>
        <v/>
      </c>
      <c r="O651">
        <f>IF(C651,Skills!G2*N651*B686*IF(Inputs!$B$38="pvp",1,(1-Summary!$B$55)*(1)+Summary!$B$55*(MIN((6+Inputs!$B$33),Inputs!$B$37))),0)</f>
        <v/>
      </c>
      <c r="P651">
        <f>IF(B690=0,0,O651/B690)</f>
        <v/>
      </c>
      <c r="Q651" t="n">
        <v>0</v>
      </c>
      <c r="R651" t="n">
        <v>0</v>
      </c>
      <c r="S651">
        <f>IFERROR(O651/N651,0)</f>
        <v/>
      </c>
      <c r="U651">
        <f>MAX(0,(Inputs!$B$3-100)*3)+Inputs!$B$28+Inputs!$B$29</f>
        <v/>
      </c>
    </row>
    <row r="652">
      <c r="A652">
        <f>Skills!A3</f>
        <v/>
      </c>
      <c r="B652">
        <f>Skills!B3</f>
        <v/>
      </c>
      <c r="C652">
        <f>Inputs!$B$3&gt;=50</f>
        <v/>
      </c>
      <c r="D652">
        <f>IF(Skills!C3=1,60+Inputs!$B$25+Inputs!$B$29,IF(Skills!C3=2,90+Inputs!$B$26+Inputs!$B$29,IF(Skills!C3=3,120+Inputs!$B$27+Inputs!$B$29,MAX(0,(Inputs!$B$3-100)*3)+Inputs!$B$28+Inputs!$B$29)))</f>
        <v/>
      </c>
      <c r="E652">
        <f>INDEX(FactorTable!$B$2:$Y$301, MATCH(ROUND(MIN(300,MAX(1,D652)),0), FactorTable!$A$2:$A$301,0), Skills!M3+1)</f>
        <v/>
      </c>
      <c r="F652">
        <f>IF(Skills!N3=TRUE,(Skills!L3/10)*(E652/1000),Skills!L3/10)+Skills!O3</f>
        <v/>
      </c>
      <c r="G652" t="inlineStr"/>
      <c r="H652" t="inlineStr"/>
      <c r="I652" t="inlineStr">
        <is>
          <t>1</t>
        </is>
      </c>
      <c r="J652" t="inlineStr"/>
      <c r="K652" t="inlineStr"/>
      <c r="L652" t="inlineStr"/>
      <c r="M652" t="inlineStr"/>
      <c r="N652" t="inlineStr"/>
      <c r="O652" t="inlineStr"/>
      <c r="P652" t="inlineStr"/>
      <c r="Q652" t="inlineStr"/>
      <c r="R652" t="inlineStr"/>
      <c r="S652" t="inlineStr"/>
      <c r="U652">
        <f>INDEX(FactorTable!$B$2:$Y$301, MATCH(ROUND(MIN(300,MAX(1,U651)),0), FactorTable!$A$2:$A$301,0), 22)</f>
        <v/>
      </c>
    </row>
    <row r="653">
      <c r="A653">
        <f>Skills!A4</f>
        <v/>
      </c>
      <c r="B653">
        <f>Skills!B4</f>
        <v/>
      </c>
      <c r="C653">
        <f>Inputs!$B$3&gt;=105</f>
        <v/>
      </c>
      <c r="D653">
        <f>IF(Skills!C4=1,60+Inputs!$B$25+Inputs!$B$29,IF(Skills!C4=2,90+Inputs!$B$26+Inputs!$B$29,IF(Skills!C4=3,120+Inputs!$B$27+Inputs!$B$29,MAX(0,(Inputs!$B$3-100)*3)+Inputs!$B$28+Inputs!$B$29)))</f>
        <v/>
      </c>
      <c r="E653">
        <f>INDEX(FactorTable!$B$2:$Y$301, MATCH(ROUND(MIN(300,MAX(1,D653)),0), FactorTable!$A$2:$A$301,0), Skills!M4+1)</f>
        <v/>
      </c>
      <c r="F653">
        <f>IF(Skills!N4=TRUE,(Skills!L4/10)*(E653/1000),Skills!L4/10)+Skills!O4</f>
        <v/>
      </c>
      <c r="G653" t="inlineStr"/>
      <c r="H653" t="inlineStr"/>
      <c r="I653" t="inlineStr">
        <is>
          <t>1</t>
        </is>
      </c>
      <c r="J653" t="inlineStr"/>
      <c r="K653" t="inlineStr"/>
      <c r="L653" t="inlineStr"/>
      <c r="M653" t="inlineStr"/>
      <c r="N653" t="inlineStr"/>
      <c r="O653" t="inlineStr"/>
      <c r="P653" t="inlineStr"/>
      <c r="Q653" t="inlineStr"/>
      <c r="R653" t="inlineStr"/>
      <c r="S653" t="inlineStr"/>
      <c r="U653">
        <f>290*U652/1000</f>
        <v/>
      </c>
    </row>
    <row r="654">
      <c r="A654">
        <f>Skills!A5</f>
        <v/>
      </c>
      <c r="B654">
        <f>Skills!B5</f>
        <v/>
      </c>
      <c r="C654">
        <f>Inputs!$B$3&gt;=35</f>
        <v/>
      </c>
      <c r="D654">
        <f>IF(Skills!C5=1,60+Inputs!$B$25+Inputs!$B$29,IF(Skills!C5=2,90+Inputs!$B$26+Inputs!$B$29,IF(Skills!C5=3,120+Inputs!$B$27+Inputs!$B$29,MAX(0,(Inputs!$B$3-100)*3)+Inputs!$B$28+Inputs!$B$29)))</f>
        <v/>
      </c>
      <c r="E654">
        <f>INDEX(FactorTable!$B$2:$Y$301, MATCH(ROUND(MIN(300,MAX(1,D654)),0), FactorTable!$A$2:$A$301,0), Skills!M5+1)</f>
        <v/>
      </c>
      <c r="F654">
        <f>IF(Skills!N5=TRUE,(Skills!L5/10)*(E654/1000),Skills!L5/10)+Skills!O5</f>
        <v/>
      </c>
      <c r="G654">
        <f>Skills!G5*IF(Skills!H5&gt;0,Skills!I5/Skills!H5,1)</f>
        <v/>
      </c>
      <c r="H654">
        <f>1-(1-Skills!J5/100)^Skills!K5</f>
        <v/>
      </c>
      <c r="I654" t="inlineStr">
        <is>
          <t>1</t>
        </is>
      </c>
      <c r="J654">
        <f>((Inputs!$B$6*(1+Inputs!$B$7/100))+(((Inputs!$B$12*(1+Inputs!$B$13/100))-(Inputs!$B$12*(1+Inputs!$B$13/100)))+0.25*(Inputs!$B$14-Inputs!$B$14))*(1+Inputs!$B$7/100))*(F654/100)</f>
        <v/>
      </c>
      <c r="K654">
        <f>J654*(1+((Inputs!$B$12*(1+Inputs!$B$13/100))*0.01+Inputs!$B$14*0.0025)/100)*(1+Inputs!$B$15/100)*(1+IF(Inputs!$B$38="pvp",0,(1-Summary!$B$55)*(Inputs!$B$20+0+Skills!P5)+Summary!$B$55*(Inputs!$B$21+Skills!Q5))/100)*(1+Inputs!$B$16/100)*(5000/(6000+Inputs!$B$42*(1-(Inputs!$B$19+((C676=TRUE)*(F676-Calc!F27)))/100)))*(1+(Inputs!$B$24+((C674=TRUE)*(F674-Calc!F25))+((C675=TRUE)*(F675-Calc!F26))+B688)/100)*(1+4.0*IF(C659=TRUE,F659,0)/100)*(1+(IF(Skills!A5="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654)</f>
        <v/>
      </c>
      <c r="L654">
        <f>K654*(MIN(Inputs!$B$22+((C673=TRUE)*(F673-Calc!F24)),Inputs!$B$23+((C678=TRUE)*(F678-Calc!F29)))/100+(Inputs!$B$23+((C678=TRUE)*(F678-Calc!F29)))/100)/2</f>
        <v/>
      </c>
      <c r="M654">
        <f>L654*(1+(Inputs!$B$10+0+B687)/100)</f>
        <v/>
      </c>
      <c r="N654">
        <f>L654*(1-MIN((Inputs!$B$9+((C669=TRUE)*(F669-Calc!F20))+B682),100)/100)+M654*(MIN((Inputs!$B$9+((C669=TRUE)*(F669-Calc!F20))+B682),100)/100)</f>
        <v/>
      </c>
      <c r="O654">
        <f>IF(C654,H654*N654*IF(AND(Inputs!$B$38&lt;&gt;"pvp",Inputs!$B$43&gt;0),((Skills!G5*((R654-1)*IF(Skills!H5&gt;0,Skills!I5/Skills!H5,1)+IF(Skills!H5&gt;0,MIN(Skills!I5,MAX(0,MAX(0,Inputs!$B$43-B689)-((R654-1)*IF(Inputs!$B$38="pvp",15,MAX(0.1,Skills!D5-IF(Skills!E5=TRUE,Inputs!$B$32,0))))))/Skills!H5,1)))/Inputs!$B$43),G654*Q654)*IF(Inputs!$B$38="pvp",1,(1-Summary!$B$55)*(1)+Summary!$B$55*(MIN(Skills!R5,Inputs!$B$37))),0)</f>
        <v/>
      </c>
      <c r="P654">
        <f>IF(B690=0,0,O654/B690)</f>
        <v/>
      </c>
      <c r="Q654">
        <f>IFERROR(1/IF(Inputs!$B$38="pvp",15,MAX(0.1,Skills!D5-IF(Skills!E5=TRUE,Inputs!$B$32,0))),0)</f>
        <v/>
      </c>
      <c r="R654">
        <f>IF(AND(Inputs!$B$38&lt;&gt;"pvp",Inputs!$B$43&gt;0),IF(MAX(0,Inputs!$B$43-B689)&lt;=0,0,(INT(MAX(0,Inputs!$B$43-B689)/IF(Inputs!$B$38="pvp",15,MAX(0.1,Skills!D5-IF(Skills!E5=TRUE,Inputs!$B$32,0))))+1)),0)</f>
        <v/>
      </c>
      <c r="S654">
        <f>IFERROR(O654/N654,0)</f>
        <v/>
      </c>
    </row>
    <row r="655">
      <c r="A655">
        <f>Skills!A6</f>
        <v/>
      </c>
      <c r="B655">
        <f>Skills!B6</f>
        <v/>
      </c>
      <c r="C655">
        <f>Inputs!$B$3&gt;=40</f>
        <v/>
      </c>
      <c r="D655">
        <f>IF(Skills!C6=1,60+Inputs!$B$25+Inputs!$B$29,IF(Skills!C6=2,90+Inputs!$B$26+Inputs!$B$29,IF(Skills!C6=3,120+Inputs!$B$27+Inputs!$B$29,MAX(0,(Inputs!$B$3-100)*3)+Inputs!$B$28+Inputs!$B$29)))</f>
        <v/>
      </c>
      <c r="E655">
        <f>INDEX(FactorTable!$B$2:$Y$301, MATCH(ROUND(MIN(300,MAX(1,D655)),0), FactorTable!$A$2:$A$301,0), Skills!M6+1)</f>
        <v/>
      </c>
      <c r="F655">
        <f>IF(Skills!N6=TRUE,(Skills!L6/10)*(E655/1000),Skills!L6/10)+Skills!O6</f>
        <v/>
      </c>
      <c r="G655">
        <f>Skills!G6*IF(Skills!H6&gt;0,Skills!I6/Skills!H6,1)</f>
        <v/>
      </c>
      <c r="H655">
        <f>1-(1-Skills!J6/100)^Skills!K6</f>
        <v/>
      </c>
      <c r="I655" t="inlineStr">
        <is>
          <t>1</t>
        </is>
      </c>
      <c r="J655">
        <f>((Inputs!$B$6*(1+Inputs!$B$7/100))+(((Inputs!$B$12*(1+Inputs!$B$13/100))-(Inputs!$B$12*(1+Inputs!$B$13/100)))+0.25*(Inputs!$B$14-Inputs!$B$14))*(1+Inputs!$B$7/100))*(F655/100)</f>
        <v/>
      </c>
      <c r="K655">
        <f>J655*(1+((Inputs!$B$12*(1+Inputs!$B$13/100))*0.01+Inputs!$B$14*0.0025)/100)*(1+Inputs!$B$15/100)*(1+IF(Inputs!$B$38="pvp",0,(1-Summary!$B$55)*(Inputs!$B$20+0+Skills!P6)+Summary!$B$55*(Inputs!$B$21+Skills!Q6))/100)*(1+Inputs!$B$16/100)*(5000/(6000+Inputs!$B$42*(1-(Inputs!$B$19+((C676=TRUE)*(F676-Calc!F27)))/100)))*(1+(Inputs!$B$24+((C674=TRUE)*(F674-Calc!F25))+((C675=TRUE)*(F675-Calc!F26))+B688)/100)*(1+IF(C656=TRUE,F656,0)/100)*(1+(IF(Skills!A6="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655)</f>
        <v/>
      </c>
      <c r="L655">
        <f>K655*(MIN(Inputs!$B$22+((C673=TRUE)*(F673-Calc!F24)),Inputs!$B$23+((C678=TRUE)*(F678-Calc!F29)))/100+(Inputs!$B$23+((C678=TRUE)*(F678-Calc!F29)))/100)/2</f>
        <v/>
      </c>
      <c r="M655">
        <f>L655*(1+(Inputs!$B$10+0+B687)/100)</f>
        <v/>
      </c>
      <c r="N655">
        <f>L655*(1-MIN((Inputs!$B$9+((C669=TRUE)*(F669-Calc!F20))+B682),100)/100)+M655*(MIN((Inputs!$B$9+((C669=TRUE)*(F669-Calc!F20))+B682),100)/100)</f>
        <v/>
      </c>
      <c r="O655">
        <f>IF(C655,H655*N655*IF(AND(Inputs!$B$38&lt;&gt;"pvp",Inputs!$B$43&gt;0),((Skills!G6*((R655-1)*IF(Skills!H6&gt;0,Skills!I6/Skills!H6,1)+IF(Skills!H6&gt;0,MIN(Skills!I6,MAX(0,MAX(0,Inputs!$B$43-B689)-((R655-1)*IF(Inputs!$B$38="pvp",15,MAX(0.1,Skills!D6-IF(Skills!E6=TRUE,Inputs!$B$32,0))))))/Skills!H6,1)))/Inputs!$B$43),G655*Q655)*IF(Inputs!$B$38="pvp",1,(1-Summary!$B$55)*(1)+Summary!$B$55*(MIN(Skills!R6,Inputs!$B$37))),0)</f>
        <v/>
      </c>
      <c r="P655">
        <f>IF(B690=0,0,O655/B690)</f>
        <v/>
      </c>
      <c r="Q655">
        <f>IFERROR(1/IF(Inputs!$B$38="pvp",15,MAX(0.1,Skills!D6-IF(Skills!E6=TRUE,Inputs!$B$32,0))),0)</f>
        <v/>
      </c>
      <c r="R655">
        <f>IF(AND(Inputs!$B$38&lt;&gt;"pvp",Inputs!$B$43&gt;0),IF(MAX(0,Inputs!$B$43-B689)&lt;=0,0,(INT(MAX(0,Inputs!$B$43-B689)/IF(Inputs!$B$38="pvp",15,MAX(0.1,Skills!D6-IF(Skills!E6=TRUE,Inputs!$B$32,0))))+1)),0)</f>
        <v/>
      </c>
      <c r="S655">
        <f>IFERROR(O655/N655,0)</f>
        <v/>
      </c>
    </row>
    <row r="656">
      <c r="A656">
        <f>Skills!A7</f>
        <v/>
      </c>
      <c r="B656">
        <f>Skills!B7</f>
        <v/>
      </c>
      <c r="C656">
        <f>Inputs!$B$3&gt;=107</f>
        <v/>
      </c>
      <c r="D656">
        <f>IF(Skills!C7=1,60+Inputs!$B$25+Inputs!$B$29,IF(Skills!C7=2,90+Inputs!$B$26+Inputs!$B$29,IF(Skills!C7=3,120+Inputs!$B$27+Inputs!$B$29,MAX(0,(Inputs!$B$3-100)*3)+Inputs!$B$28+Inputs!$B$29)))</f>
        <v/>
      </c>
      <c r="E656">
        <f>INDEX(FactorTable!$B$2:$Y$301, MATCH(ROUND(MIN(300,MAX(1,D656)),0), FactorTable!$A$2:$A$301,0), Skills!M7+1)</f>
        <v/>
      </c>
      <c r="F656">
        <f>IF(Skills!N7=TRUE,(Skills!L7/10)*(E656/1000),Skills!L7/10)+Skills!O7</f>
        <v/>
      </c>
      <c r="G656" t="inlineStr"/>
      <c r="H656" t="inlineStr"/>
      <c r="I656" t="inlineStr">
        <is>
          <t>1</t>
        </is>
      </c>
      <c r="J656" t="inlineStr"/>
      <c r="K656" t="inlineStr"/>
      <c r="L656" t="inlineStr"/>
      <c r="M656" t="inlineStr"/>
      <c r="N656" t="inlineStr"/>
      <c r="O656" t="inlineStr"/>
      <c r="P656" t="inlineStr"/>
      <c r="Q656" t="inlineStr"/>
      <c r="R656" t="inlineStr"/>
      <c r="S656" t="inlineStr"/>
    </row>
    <row r="657">
      <c r="A657">
        <f>Skills!A8</f>
        <v/>
      </c>
      <c r="B657">
        <f>Skills!B8</f>
        <v/>
      </c>
      <c r="C657">
        <f>Inputs!$B$3&gt;=69</f>
        <v/>
      </c>
      <c r="D657">
        <f>IF(Skills!C8=1,60+Inputs!$B$25+Inputs!$B$29,IF(Skills!C8=2,90+Inputs!$B$26+Inputs!$B$29,IF(Skills!C8=3,120+Inputs!$B$27+Inputs!$B$29,MAX(0,(Inputs!$B$3-100)*3)+Inputs!$B$28+Inputs!$B$29)))</f>
        <v/>
      </c>
      <c r="E657">
        <f>INDEX(FactorTable!$B$2:$Y$301, MATCH(ROUND(MIN(300,MAX(1,D657)),0), FactorTable!$A$2:$A$301,0), Skills!M8+1)</f>
        <v/>
      </c>
      <c r="F657">
        <f>IF(Skills!N8=TRUE,(Skills!L8/10)*(E657/1000),Skills!L8/10)+Skills!O8</f>
        <v/>
      </c>
      <c r="G657">
        <f>Skills!G8*IF(Skills!H8&gt;0,Skills!I8/Skills!H8,1)</f>
        <v/>
      </c>
      <c r="H657">
        <f>1-(1-Skills!J8/100)^Skills!K8</f>
        <v/>
      </c>
      <c r="I657" t="inlineStr">
        <is>
          <t>1</t>
        </is>
      </c>
      <c r="J657">
        <f>((Inputs!$B$6*(1+Inputs!$B$7/100))+(((Inputs!$B$12*(1+Inputs!$B$13/100))-(Inputs!$B$12*(1+Inputs!$B$13/100)))+0.25*(Inputs!$B$14-Inputs!$B$14))*(1+Inputs!$B$7/100))*(F657/100)</f>
        <v/>
      </c>
      <c r="K657">
        <f>J657*(1+((Inputs!$B$12*(1+Inputs!$B$13/100))*0.01+Inputs!$B$14*0.0025)/100)*(1+Inputs!$B$15/100)*(1+IF(Inputs!$B$38="pvp",0,(1-Summary!$B$55)*(Inputs!$B$20+0+Skills!P8)+Summary!$B$55*(Inputs!$B$21+Skills!Q8))/100)*(1+Inputs!$B$16/100)*(5000/(6000+Inputs!$B$42*(1-(Inputs!$B$19+((C676=TRUE)*(F676-Calc!F27)))/100)))*(1+(Inputs!$B$24+((C674=TRUE)*(F674-Calc!F25))+((C675=TRUE)*(F675-Calc!F26))+B688)/100)*(1+1.2*IF(C659=TRUE,F659,0)/100)*(1+(IF(Skills!A8="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657)</f>
        <v/>
      </c>
      <c r="L657">
        <f>K657*(MIN(Inputs!$B$22+((C673=TRUE)*(F673-Calc!F24)),Inputs!$B$23+((C678=TRUE)*(F678-Calc!F29)))/100+(Inputs!$B$23+((C678=TRUE)*(F678-Calc!F29)))/100)/2</f>
        <v/>
      </c>
      <c r="M657">
        <f>L657*(1+(Inputs!$B$10+0+B687)/100)</f>
        <v/>
      </c>
      <c r="N657">
        <f>L657*(1-MIN((Inputs!$B$9+((C669=TRUE)*(F669-Calc!F20))+B682),100)/100)+M657*(MIN((Inputs!$B$9+((C669=TRUE)*(F669-Calc!F20))+B682),100)/100)</f>
        <v/>
      </c>
      <c r="O657">
        <f>IF(C657,H657*N657*IF(AND(Inputs!$B$38&lt;&gt;"pvp",Inputs!$B$43&gt;0),((Skills!G8*((R657-1)*IF(Skills!H8&gt;0,Skills!I8/Skills!H8,1)+IF(Skills!H8&gt;0,MIN(Skills!I8,MAX(0,MAX(0,Inputs!$B$43-B689)-((R657-1)*IF(Inputs!$B$38="pvp",15,MAX(0.1,Skills!D8-IF(Skills!E8=TRUE,Inputs!$B$32,0))))))/Skills!H8,1)))/Inputs!$B$43),G657*Q657)*IF(Inputs!$B$38="pvp",1,(1-Summary!$B$55)*(1)+Summary!$B$55*(MIN(Skills!R8,Inputs!$B$37))),0)</f>
        <v/>
      </c>
      <c r="P657">
        <f>IF(B690=0,0,O657/B690)</f>
        <v/>
      </c>
      <c r="Q657">
        <f>IFERROR(1/IF(Inputs!$B$38="pvp",15,MAX(0.1,Skills!D8-IF(Skills!E8=TRUE,Inputs!$B$32,0))),0)</f>
        <v/>
      </c>
      <c r="R657">
        <f>IF(AND(Inputs!$B$38&lt;&gt;"pvp",Inputs!$B$43&gt;0),IF(MAX(0,Inputs!$B$43-B689)&lt;=0,0,(INT(MAX(0,Inputs!$B$43-B689)/IF(Inputs!$B$38="pvp",15,MAX(0.1,Skills!D8-IF(Skills!E8=TRUE,Inputs!$B$32,0))))+1)),0)</f>
        <v/>
      </c>
      <c r="S657">
        <f>IFERROR(O657/N657,0)</f>
        <v/>
      </c>
    </row>
    <row r="658">
      <c r="A658">
        <f>Skills!A9</f>
        <v/>
      </c>
      <c r="B658">
        <f>Skills!B9</f>
        <v/>
      </c>
      <c r="C658">
        <f>Inputs!$B$3&gt;=63</f>
        <v/>
      </c>
      <c r="D658">
        <f>IF(Skills!C9=1,60+Inputs!$B$25+Inputs!$B$29,IF(Skills!C9=2,90+Inputs!$B$26+Inputs!$B$29,IF(Skills!C9=3,120+Inputs!$B$27+Inputs!$B$29,MAX(0,(Inputs!$B$3-100)*3)+Inputs!$B$28+Inputs!$B$29)))</f>
        <v/>
      </c>
      <c r="E658">
        <f>INDEX(FactorTable!$B$2:$Y$301, MATCH(ROUND(MIN(300,MAX(1,D658)),0), FactorTable!$A$2:$A$301,0), Skills!M9+1)</f>
        <v/>
      </c>
      <c r="F658">
        <f>IF(Skills!N9=TRUE,(Skills!L9/10)*(E658/1000),Skills!L9/10)+Skills!O9</f>
        <v/>
      </c>
      <c r="G658">
        <f>Skills!G9*IF(Skills!H9&gt;0,Skills!I9/Skills!H9,1)</f>
        <v/>
      </c>
      <c r="H658">
        <f>1-(1-Skills!J9/100)^Skills!K9</f>
        <v/>
      </c>
      <c r="I658" t="inlineStr">
        <is>
          <t>1</t>
        </is>
      </c>
      <c r="J658">
        <f>((Inputs!$B$6*(1+Inputs!$B$7/100))+(((Inputs!$B$12*(1+Inputs!$B$13/100))-(Inputs!$B$12*(1+Inputs!$B$13/100)))+0.25*(Inputs!$B$14-Inputs!$B$14))*(1+Inputs!$B$7/100))*(F658/100)</f>
        <v/>
      </c>
      <c r="K658">
        <f>J658*(1+((Inputs!$B$12*(1+Inputs!$B$13/100))*0.01+Inputs!$B$14*0.0025)/100)*(1+Inputs!$B$15/100)*(1+IF(Inputs!$B$38="pvp",0,(1-Summary!$B$55)*(Inputs!$B$20+0+Skills!P9)+Summary!$B$55*(Inputs!$B$21+Skills!Q9))/100)*(1+Inputs!$B$16/100)*(5000/(6000+Inputs!$B$42*(1-(Inputs!$B$19+((C676=TRUE)*(F676-Calc!F27)))/100)))*(1+(Inputs!$B$24+((C674=TRUE)*(F674-Calc!F25))+((C675=TRUE)*(F675-Calc!F26))+B688)/100)*(1+1.0*IF(C659=TRUE,F659,0)/100)*(1+(IF(Skills!A9="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658)</f>
        <v/>
      </c>
      <c r="L658">
        <f>K658*(MIN(Inputs!$B$22+((C673=TRUE)*(F673-Calc!F24)),Inputs!$B$23+((C678=TRUE)*(F678-Calc!F29)))/100+(Inputs!$B$23+((C678=TRUE)*(F678-Calc!F29)))/100)/2</f>
        <v/>
      </c>
      <c r="M658">
        <f>L658*(1+(Inputs!$B$10+0+B687)/100)</f>
        <v/>
      </c>
      <c r="N658">
        <f>L658*(1-MIN((Inputs!$B$9+((C669=TRUE)*(F669-Calc!F20))+B682),100)/100)+M658*(MIN((Inputs!$B$9+((C669=TRUE)*(F669-Calc!F20))+B682),100)/100)</f>
        <v/>
      </c>
      <c r="O658">
        <f>IF(C658,H658*N658*IF(AND(Inputs!$B$38&lt;&gt;"pvp",Inputs!$B$43&gt;0),((Skills!G9*((R658-1)*IF(Skills!H9&gt;0,Skills!I9/Skills!H9,1)+IF(Skills!H9&gt;0,MIN(Skills!I9,MAX(0,MAX(0,Inputs!$B$43-B689)-((R658-1)*IF(Inputs!$B$38="pvp",15,MAX(0.1,Skills!D9-IF(Skills!E9=TRUE,Inputs!$B$32,0))))))/Skills!H9,1)))/Inputs!$B$43),G658*Q658)*IF(Inputs!$B$38="pvp",1,(1-Summary!$B$55)*(1)+Summary!$B$55*(MIN(Skills!R9,Inputs!$B$37))),0)</f>
        <v/>
      </c>
      <c r="P658">
        <f>IF(B690=0,0,O658/B690)</f>
        <v/>
      </c>
      <c r="Q658">
        <f>IFERROR(1/IF(Inputs!$B$38="pvp",15,MAX(0.1,Skills!D9-IF(Skills!E9=TRUE,Inputs!$B$32,0))),0)</f>
        <v/>
      </c>
      <c r="R658">
        <f>IF(AND(Inputs!$B$38&lt;&gt;"pvp",Inputs!$B$43&gt;0),IF(MAX(0,Inputs!$B$43-B689)&lt;=0,0,(INT(MAX(0,Inputs!$B$43-B689)/IF(Inputs!$B$38="pvp",15,MAX(0.1,Skills!D9-IF(Skills!E9=TRUE,Inputs!$B$32,0))))+1)),0)</f>
        <v/>
      </c>
      <c r="S658">
        <f>IFERROR(O658/N658,0)</f>
        <v/>
      </c>
    </row>
    <row r="659">
      <c r="A659">
        <f>Skills!A10</f>
        <v/>
      </c>
      <c r="B659">
        <f>Skills!B10</f>
        <v/>
      </c>
      <c r="C659">
        <f>Inputs!$B$3&gt;=100</f>
        <v/>
      </c>
      <c r="D659">
        <f>IF(Skills!C10=1,60+Inputs!$B$25+Inputs!$B$29,IF(Skills!C10=2,90+Inputs!$B$26+Inputs!$B$29,IF(Skills!C10=3,120+Inputs!$B$27+Inputs!$B$29,MAX(0,(Inputs!$B$3-100)*3)+Inputs!$B$28+Inputs!$B$29)))</f>
        <v/>
      </c>
      <c r="E659">
        <f>INDEX(FactorTable!$B$2:$Y$301, MATCH(ROUND(MIN(300,MAX(1,D659)),0), FactorTable!$A$2:$A$301,0), Skills!M10+1)</f>
        <v/>
      </c>
      <c r="F659">
        <f>IF(Skills!N10=TRUE,(Skills!L10/10)*(E659/1000),Skills!L10/10)+Skills!O10</f>
        <v/>
      </c>
      <c r="G659" t="inlineStr"/>
      <c r="H659" t="inlineStr"/>
      <c r="I659" t="inlineStr">
        <is>
          <t>1</t>
        </is>
      </c>
      <c r="J659" t="inlineStr"/>
      <c r="K659" t="inlineStr"/>
      <c r="L659" t="inlineStr"/>
      <c r="M659" t="inlineStr"/>
      <c r="N659" t="inlineStr"/>
      <c r="O659" t="inlineStr"/>
      <c r="P659" t="inlineStr"/>
      <c r="Q659" t="inlineStr"/>
      <c r="R659" t="inlineStr"/>
      <c r="S659" t="inlineStr"/>
    </row>
    <row r="660">
      <c r="A660">
        <f>Skills!A11</f>
        <v/>
      </c>
      <c r="B660">
        <f>Skills!B11</f>
        <v/>
      </c>
      <c r="C660">
        <f>Inputs!$B$3&gt;=60</f>
        <v/>
      </c>
      <c r="D660">
        <f>IF(Skills!C11=1,60+Inputs!$B$25+Inputs!$B$29,IF(Skills!C11=2,90+Inputs!$B$26+Inputs!$B$29,IF(Skills!C11=3,120+Inputs!$B$27+Inputs!$B$29,MAX(0,(Inputs!$B$3-100)*3)+Inputs!$B$28+Inputs!$B$29)))</f>
        <v/>
      </c>
      <c r="E660">
        <f>INDEX(FactorTable!$B$2:$Y$301, MATCH(ROUND(MIN(300,MAX(1,D660)),0), FactorTable!$A$2:$A$301,0), Skills!M11+1)</f>
        <v/>
      </c>
      <c r="F660">
        <f>IF(Skills!N11=TRUE,(Skills!L11/10)*(E660/1000),Skills!L11/10)+Skills!O11</f>
        <v/>
      </c>
      <c r="G660">
        <f>Skills!G11*IF(Skills!H11&gt;0,Skills!I11/Skills!H11,1)</f>
        <v/>
      </c>
      <c r="H660">
        <f>1-(1-Skills!J11/100)^Skills!K11</f>
        <v/>
      </c>
      <c r="I660" t="inlineStr">
        <is>
          <t>1</t>
        </is>
      </c>
      <c r="J660">
        <f>((Inputs!$B$6*(1+Inputs!$B$7/100))+(((Inputs!$B$12*(1+Inputs!$B$13/100))-(Inputs!$B$12*(1+Inputs!$B$13/100)))+0.25*(Inputs!$B$14-Inputs!$B$14))*(1+Inputs!$B$7/100))*(F660/100)</f>
        <v/>
      </c>
      <c r="K660">
        <f>J660*(1+((Inputs!$B$12*(1+Inputs!$B$13/100))*0.01+Inputs!$B$14*0.0025)/100)*(1+Inputs!$B$15/100)*(1+IF(Inputs!$B$38="pvp",0,(1-Summary!$B$55)*(Inputs!$B$20+0+Skills!P11)+Summary!$B$55*(Inputs!$B$21+Skills!Q11))/100)*(1+Inputs!$B$16/100)*(5000/(6000+Inputs!$B$42*(1-(Inputs!$B$19+((C676=TRUE)*(F676-Calc!F27)))/100)))*(1+(Inputs!$B$24+((C674=TRUE)*(F674-Calc!F25))+((C675=TRUE)*(F675-Calc!F26))+B688)/100)*(1+IF(C661=TRUE,F661,0)/100)*(1+(IF(Skills!A11="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660)</f>
        <v/>
      </c>
      <c r="L660">
        <f>K660*(MIN(Inputs!$B$22+((C673=TRUE)*(F673-Calc!F24)),Inputs!$B$23+((C678=TRUE)*(F678-Calc!F29)))/100+(Inputs!$B$23+((C678=TRUE)*(F678-Calc!F29)))/100)/2</f>
        <v/>
      </c>
      <c r="M660">
        <f>L660*(1+(Inputs!$B$10+0+B687)/100)</f>
        <v/>
      </c>
      <c r="N660">
        <f>L660*(1-MIN((Inputs!$B$9+((C669=TRUE)*(F669-Calc!F20))+B682),100)/100)+M660*(MIN((Inputs!$B$9+((C669=TRUE)*(F669-Calc!F20))+B682),100)/100)</f>
        <v/>
      </c>
      <c r="O660">
        <f>IF(C660,H660*N660*IF(AND(Inputs!$B$38&lt;&gt;"pvp",Inputs!$B$43&gt;0),((Skills!G11*((R660-1)*IF(Skills!H11&gt;0,Skills!I11/Skills!H11,1)+IF(Skills!H11&gt;0,MIN(Skills!I11,MAX(0,MAX(0,Inputs!$B$43-B689)-((R660-1)*IF(Inputs!$B$38="pvp",15,MAX(0.1,Skills!D11-IF(Skills!E11=TRUE,Inputs!$B$32,0))))))/Skills!H11,1)))/Inputs!$B$43),G660*Q660)*IF(Inputs!$B$38="pvp",1,(1-Summary!$B$55)*(1)+Summary!$B$55*(MIN(Skills!R11,Inputs!$B$37))),0)</f>
        <v/>
      </c>
      <c r="P660">
        <f>IF(B690=0,0,O660/B690)</f>
        <v/>
      </c>
      <c r="Q660">
        <f>IFERROR(1/IF(Inputs!$B$38="pvp",15,MAX(0.1,Skills!D11-IF(Skills!E11=TRUE,Inputs!$B$32,0))),0)</f>
        <v/>
      </c>
      <c r="R660">
        <f>IF(AND(Inputs!$B$38&lt;&gt;"pvp",Inputs!$B$43&gt;0),IF(MAX(0,Inputs!$B$43-B689)&lt;=0,0,(INT(MAX(0,Inputs!$B$43-B689)/IF(Inputs!$B$38="pvp",15,MAX(0.1,Skills!D11-IF(Skills!E11=TRUE,Inputs!$B$32,0))))+1)),0)</f>
        <v/>
      </c>
      <c r="S660">
        <f>IFERROR(O660/N660,0)</f>
        <v/>
      </c>
    </row>
    <row r="661">
      <c r="A661">
        <f>Skills!A12</f>
        <v/>
      </c>
      <c r="B661">
        <f>Skills!B12</f>
        <v/>
      </c>
      <c r="C661">
        <f>Inputs!$B$3&gt;=110</f>
        <v/>
      </c>
      <c r="D661">
        <f>IF(Skills!C12=1,60+Inputs!$B$25+Inputs!$B$29,IF(Skills!C12=2,90+Inputs!$B$26+Inputs!$B$29,IF(Skills!C12=3,120+Inputs!$B$27+Inputs!$B$29,MAX(0,(Inputs!$B$3-100)*3)+Inputs!$B$28+Inputs!$B$29)))</f>
        <v/>
      </c>
      <c r="E661">
        <f>INDEX(FactorTable!$B$2:$Y$301, MATCH(ROUND(MIN(300,MAX(1,D661)),0), FactorTable!$A$2:$A$301,0), Skills!M12+1)</f>
        <v/>
      </c>
      <c r="F661">
        <f>IF(Skills!N12=TRUE,(Skills!L12/10)*(E661/1000),Skills!L12/10)+Skills!O12</f>
        <v/>
      </c>
      <c r="G661" t="inlineStr"/>
      <c r="H661" t="inlineStr"/>
      <c r="I661" t="inlineStr">
        <is>
          <t>1</t>
        </is>
      </c>
      <c r="J661" t="inlineStr"/>
      <c r="K661" t="inlineStr"/>
      <c r="L661" t="inlineStr"/>
      <c r="M661" t="inlineStr"/>
      <c r="N661" t="inlineStr"/>
      <c r="O661" t="inlineStr"/>
      <c r="P661" t="inlineStr"/>
      <c r="Q661" t="inlineStr"/>
      <c r="R661" t="inlineStr"/>
      <c r="S661" t="inlineStr"/>
    </row>
    <row r="662">
      <c r="A662">
        <f>Skills!A13</f>
        <v/>
      </c>
      <c r="B662">
        <f>Skills!B13</f>
        <v/>
      </c>
      <c r="C662">
        <f>Inputs!$B$3&gt;=74</f>
        <v/>
      </c>
      <c r="D662">
        <f>IF(Skills!C13=1,60+Inputs!$B$25+Inputs!$B$29,IF(Skills!C13=2,90+Inputs!$B$26+Inputs!$B$29,IF(Skills!C13=3,120+Inputs!$B$27+Inputs!$B$29,MAX(0,(Inputs!$B$3-100)*3)+Inputs!$B$28+Inputs!$B$29)))</f>
        <v/>
      </c>
      <c r="E662">
        <f>INDEX(FactorTable!$B$2:$Y$301, MATCH(ROUND(MIN(300,MAX(1,D662)),0), FactorTable!$A$2:$A$301,0), Skills!M13+1)</f>
        <v/>
      </c>
      <c r="F662">
        <f>IF(Skills!N13=TRUE,(Skills!L13/10)*(E662/1000),Skills!L13/10)+Skills!O13</f>
        <v/>
      </c>
      <c r="G662">
        <f>Skills!G13*IF(Skills!H13&gt;0,Skills!I13/Skills!H13,1)</f>
        <v/>
      </c>
      <c r="H662">
        <f>1-(1-Skills!J13/100)^Skills!K13</f>
        <v/>
      </c>
      <c r="I662" t="inlineStr">
        <is>
          <t>1</t>
        </is>
      </c>
      <c r="J662" t="inlineStr"/>
      <c r="K662" t="inlineStr"/>
      <c r="L662" t="inlineStr"/>
      <c r="M662" t="inlineStr"/>
      <c r="N662" t="inlineStr"/>
      <c r="O662" t="n">
        <v>0</v>
      </c>
      <c r="P662">
        <f>IF(B690=0,0,O662/B690)</f>
        <v/>
      </c>
      <c r="Q662" t="n">
        <v>0</v>
      </c>
      <c r="R662" t="n">
        <v>0</v>
      </c>
      <c r="S662">
        <f>IFERROR(O662/N662,0)</f>
        <v/>
      </c>
    </row>
    <row r="663">
      <c r="A663">
        <f>Skills!A14</f>
        <v/>
      </c>
      <c r="B663">
        <f>Skills!B14</f>
        <v/>
      </c>
      <c r="C663">
        <f>Inputs!$B$3&gt;=74</f>
        <v/>
      </c>
      <c r="D663">
        <f>IF(Skills!C14=1,60+Inputs!$B$25+Inputs!$B$29,IF(Skills!C14=2,90+Inputs!$B$26+Inputs!$B$29,IF(Skills!C14=3,120+Inputs!$B$27+Inputs!$B$29,MAX(0,(Inputs!$B$3-100)*3)+Inputs!$B$28+Inputs!$B$29)))</f>
        <v/>
      </c>
      <c r="E663">
        <f>INDEX(FactorTable!$B$2:$Y$301, MATCH(ROUND(MIN(300,MAX(1,D663)),0), FactorTable!$A$2:$A$301,0), Skills!M14+1)</f>
        <v/>
      </c>
      <c r="F663">
        <f>IF(Skills!N14=TRUE,(Skills!L14/10)*(E663/1000),Skills!L14/10)+Skills!O14</f>
        <v/>
      </c>
      <c r="G663">
        <f>Skills!G14*IF(Skills!H14&gt;0,Skills!I14/Skills!H14,1)</f>
        <v/>
      </c>
      <c r="H663">
        <f>1-(1-Skills!J14/100)^Skills!K14</f>
        <v/>
      </c>
      <c r="I663" t="inlineStr">
        <is>
          <t>1</t>
        </is>
      </c>
      <c r="J663" t="inlineStr"/>
      <c r="K663" t="inlineStr"/>
      <c r="L663" t="inlineStr"/>
      <c r="M663" t="inlineStr"/>
      <c r="N663" t="inlineStr"/>
      <c r="O663" t="n">
        <v>0</v>
      </c>
      <c r="P663">
        <f>IF(B690=0,0,O663/B690)</f>
        <v/>
      </c>
      <c r="Q663" t="n">
        <v>0</v>
      </c>
      <c r="R663" t="n">
        <v>0</v>
      </c>
      <c r="S663">
        <f>IFERROR(O663/N663,0)</f>
        <v/>
      </c>
    </row>
    <row r="664">
      <c r="A664">
        <f>Skills!A15</f>
        <v/>
      </c>
      <c r="B664">
        <f>Skills!B15</f>
        <v/>
      </c>
      <c r="C664">
        <f>Inputs!$B$3&gt;=117</f>
        <v/>
      </c>
      <c r="D664">
        <f>IF(Skills!C15=1,60+Inputs!$B$25+Inputs!$B$29,IF(Skills!C15=2,90+Inputs!$B$26+Inputs!$B$29,IF(Skills!C15=3,120+Inputs!$B$27+Inputs!$B$29,MAX(0,(Inputs!$B$3-100)*3)+Inputs!$B$28+Inputs!$B$29)))</f>
        <v/>
      </c>
      <c r="E664">
        <f>INDEX(FactorTable!$B$2:$Y$301, MATCH(ROUND(MIN(300,MAX(1,D664)),0), FactorTable!$A$2:$A$301,0), Skills!M15+1)</f>
        <v/>
      </c>
      <c r="F664">
        <f>IF(Skills!N15=TRUE,(Skills!L15/10)*(E664/1000),Skills!L15/10)+Skills!O15</f>
        <v/>
      </c>
      <c r="G664">
        <f>Skills!G15*IF(Skills!H15&gt;0,Skills!I15/Skills!H15,1)</f>
        <v/>
      </c>
      <c r="H664">
        <f>1-(1-Skills!J15/100)^Skills!K15</f>
        <v/>
      </c>
      <c r="I664" t="inlineStr">
        <is>
          <t>1</t>
        </is>
      </c>
      <c r="J664" t="inlineStr"/>
      <c r="K664" t="inlineStr"/>
      <c r="L664" t="inlineStr"/>
      <c r="M664" t="inlineStr"/>
      <c r="N664" t="inlineStr"/>
      <c r="O664" t="n">
        <v>0</v>
      </c>
      <c r="P664">
        <f>IF(B690=0,0,O664/B690)</f>
        <v/>
      </c>
      <c r="Q664">
        <f>IFERROR(1/IF(Inputs!$B$38="pvp",15,MAX(0.1,Skills!D15-IF(Skills!E15=TRUE,Inputs!$B$32,0))),0)</f>
        <v/>
      </c>
      <c r="R664">
        <f>IF(AND(Inputs!$B$38&lt;&gt;"pvp",Inputs!$B$43&gt;0),IF(Inputs!$B$43&lt;=0,0,(INT(Inputs!$B$43/IF(Inputs!$B$38="pvp",15,MAX(0.1,Skills!D15-IF(Skills!E15=TRUE,Inputs!$B$32,0))))+1)),0)</f>
        <v/>
      </c>
      <c r="S664">
        <f>IFERROR(O664/N664,0)</f>
        <v/>
      </c>
    </row>
    <row r="665">
      <c r="A665">
        <f>Skills!A16</f>
        <v/>
      </c>
      <c r="B665">
        <f>Skills!B16</f>
        <v/>
      </c>
      <c r="C665">
        <f>Inputs!$B$3&gt;=115</f>
        <v/>
      </c>
      <c r="D665">
        <f>IF(Skills!C16=1,60+Inputs!$B$25+Inputs!$B$29,IF(Skills!C16=2,90+Inputs!$B$26+Inputs!$B$29,IF(Skills!C16=3,120+Inputs!$B$27+Inputs!$B$29,MAX(0,(Inputs!$B$3-100)*3)+Inputs!$B$28+Inputs!$B$29)))</f>
        <v/>
      </c>
      <c r="E665">
        <f>INDEX(FactorTable!$B$2:$Y$301, MATCH(ROUND(MIN(300,MAX(1,D665)),0), FactorTable!$A$2:$A$301,0), Skills!M16+1)</f>
        <v/>
      </c>
      <c r="F665">
        <f>IF(Skills!N16=TRUE,(Skills!L16/10)*(E665/1000),Skills!L16/10)+Skills!O16</f>
        <v/>
      </c>
      <c r="G665">
        <f>Skills!G16*IF(Skills!H16&gt;0,Skills!I16/Skills!H16,1)</f>
        <v/>
      </c>
      <c r="H665">
        <f>1-(1-Skills!J16/100)^Skills!K16</f>
        <v/>
      </c>
      <c r="I665" t="inlineStr">
        <is>
          <t>1</t>
        </is>
      </c>
      <c r="J665" t="inlineStr"/>
      <c r="K665" t="inlineStr"/>
      <c r="L665" t="inlineStr"/>
      <c r="M665" t="inlineStr"/>
      <c r="N665" t="inlineStr"/>
      <c r="O665" t="n">
        <v>0</v>
      </c>
      <c r="P665">
        <f>IF(B690=0,0,O665/B690)</f>
        <v/>
      </c>
      <c r="Q665">
        <f>IFERROR(1/IF(Inputs!$B$38="pvp",15,MAX(0.1,Skills!D16-IF(Skills!E16=TRUE,Inputs!$B$32,0))),0)</f>
        <v/>
      </c>
      <c r="R665">
        <f>IF(AND(Inputs!$B$38&lt;&gt;"pvp",Inputs!$B$43&gt;0),IF(Inputs!$B$43&lt;=0,0,(INT(Inputs!$B$43/IF(Inputs!$B$38="pvp",15,MAX(0.1,Skills!D16-IF(Skills!E16=TRUE,Inputs!$B$32,0))))+1)),0)</f>
        <v/>
      </c>
      <c r="S665">
        <f>IFERROR(O665/N665,0)</f>
        <v/>
      </c>
    </row>
    <row r="666">
      <c r="A666">
        <f>Skills!A17</f>
        <v/>
      </c>
      <c r="B666">
        <f>Skills!B17</f>
        <v/>
      </c>
      <c r="C666">
        <f>Inputs!$B$3&gt;=66</f>
        <v/>
      </c>
      <c r="D666">
        <f>IF(Skills!C17=1,60+Inputs!$B$25+Inputs!$B$29,IF(Skills!C17=2,90+Inputs!$B$26+Inputs!$B$29,IF(Skills!C17=3,120+Inputs!$B$27+Inputs!$B$29,MAX(0,(Inputs!$B$3-100)*3)+Inputs!$B$28+Inputs!$B$29)))</f>
        <v/>
      </c>
      <c r="E666">
        <f>INDEX(FactorTable!$B$2:$Y$301, MATCH(ROUND(MIN(300,MAX(1,D666)),0), FactorTable!$A$2:$A$301,0), Skills!M17+1)</f>
        <v/>
      </c>
      <c r="F666">
        <f>IF(Skills!N17=TRUE,(Skills!L17/10)*(E666/1000),Skills!L17/10)+Skills!O17</f>
        <v/>
      </c>
      <c r="G666">
        <f>Skills!G17*IF(Skills!H17&gt;0,Skills!I17/Skills!H17,1)</f>
        <v/>
      </c>
      <c r="H666">
        <f>1-(1-Skills!J17/100)^Skills!K17</f>
        <v/>
      </c>
      <c r="I666" t="inlineStr">
        <is>
          <t>1</t>
        </is>
      </c>
      <c r="J666" t="inlineStr"/>
      <c r="K666" t="inlineStr"/>
      <c r="L666" t="inlineStr"/>
      <c r="M666" t="inlineStr"/>
      <c r="N666" t="inlineStr"/>
      <c r="O666" t="n">
        <v>0</v>
      </c>
      <c r="P666">
        <f>IF(B690=0,0,O666/B690)</f>
        <v/>
      </c>
      <c r="Q666" t="n">
        <v>0</v>
      </c>
      <c r="R666" t="n">
        <v>0</v>
      </c>
      <c r="S666">
        <f>IFERROR(O666/N666,0)</f>
        <v/>
      </c>
    </row>
    <row r="667">
      <c r="A667">
        <f>Skills!A18</f>
        <v/>
      </c>
      <c r="B667">
        <f>Skills!B18</f>
        <v/>
      </c>
      <c r="C667">
        <f>Inputs!$B$3&gt;=72</f>
        <v/>
      </c>
      <c r="D667">
        <f>IF(Skills!C18=1,60+Inputs!$B$25+Inputs!$B$29,IF(Skills!C18=2,90+Inputs!$B$26+Inputs!$B$29,IF(Skills!C18=3,120+Inputs!$B$27+Inputs!$B$29,MAX(0,(Inputs!$B$3-100)*3)+Inputs!$B$28+Inputs!$B$29)))</f>
        <v/>
      </c>
      <c r="E667">
        <f>INDEX(FactorTable!$B$2:$Y$301, MATCH(ROUND(MIN(300,MAX(1,D667)),0), FactorTable!$A$2:$A$301,0), Skills!M18+1)</f>
        <v/>
      </c>
      <c r="F667">
        <f>IF(Skills!N18=TRUE,(Skills!L18/10)*(E667/1000),Skills!L18/10)+Skills!O18</f>
        <v/>
      </c>
      <c r="G667">
        <f>Skills!G18*IF(Skills!H18&gt;0,Skills!I18/Skills!H18,1)</f>
        <v/>
      </c>
      <c r="H667">
        <f>1-(1-Skills!J18/100)^Skills!K18</f>
        <v/>
      </c>
      <c r="I667" t="inlineStr">
        <is>
          <t>1</t>
        </is>
      </c>
      <c r="J667" t="inlineStr"/>
      <c r="K667" t="inlineStr"/>
      <c r="L667" t="inlineStr"/>
      <c r="M667" t="inlineStr"/>
      <c r="N667" t="inlineStr"/>
      <c r="O667" t="n">
        <v>0</v>
      </c>
      <c r="P667">
        <f>IF(B690=0,0,O667/B690)</f>
        <v/>
      </c>
      <c r="Q667" t="n">
        <v>0</v>
      </c>
      <c r="R667" t="n">
        <v>0</v>
      </c>
      <c r="S667">
        <f>IFERROR(O667/N667,0)</f>
        <v/>
      </c>
    </row>
    <row r="668">
      <c r="A668">
        <f>Skills!A19</f>
        <v/>
      </c>
      <c r="B668">
        <f>Skills!B19</f>
        <v/>
      </c>
      <c r="C668">
        <f>TRUE</f>
        <v/>
      </c>
      <c r="D668">
        <f>IF(Skills!C19=1,60+Inputs!$B$25+Inputs!$B$29,IF(Skills!C19=2,90+Inputs!$B$26+Inputs!$B$29,IF(Skills!C19=3,120+Inputs!$B$27+Inputs!$B$29,MAX(0,(Inputs!$B$3-100)*3)+Inputs!$B$28+Inputs!$B$29)))</f>
        <v/>
      </c>
      <c r="E668">
        <f>INDEX(FactorTable!$B$2:$Y$301, MATCH(ROUND(MIN(300,MAX(1,D668)),0), FactorTable!$A$2:$A$301,0), Skills!M19+1)</f>
        <v/>
      </c>
      <c r="F668">
        <f>IF(Skills!N19=TRUE,(Skills!L19/10)*(E668/1000),Skills!L19/10)+Skills!O19</f>
        <v/>
      </c>
      <c r="G668">
        <f>Skills!G19*IF(Skills!H19&gt;0,Skills!I19/Skills!H19,1)</f>
        <v/>
      </c>
      <c r="H668">
        <f>1-(1-Skills!J19/100)^Skills!K19</f>
        <v/>
      </c>
      <c r="I668" t="inlineStr">
        <is>
          <t>1</t>
        </is>
      </c>
      <c r="J668" t="inlineStr"/>
      <c r="K668" t="inlineStr"/>
      <c r="L668" t="inlineStr"/>
      <c r="M668" t="inlineStr"/>
      <c r="N668" t="inlineStr"/>
      <c r="O668" t="n">
        <v>0</v>
      </c>
      <c r="P668">
        <f>IF(B690=0,0,O668/B690)</f>
        <v/>
      </c>
      <c r="Q668">
        <f>IFERROR(1/IF(Inputs!$B$38="pvp",15,MAX(0.1,Skills!D19-IF(Skills!E19=TRUE,Inputs!$B$32,0))),0)</f>
        <v/>
      </c>
      <c r="R668">
        <f>IF(AND(Inputs!$B$38&lt;&gt;"pvp",Inputs!$B$43&gt;0),IF(Inputs!$B$43&lt;=0,0,(INT(Inputs!$B$43/IF(Inputs!$B$38="pvp",15,MAX(0.1,Skills!D19-IF(Skills!E19=TRUE,Inputs!$B$32,0))))+1)),0)</f>
        <v/>
      </c>
      <c r="S668">
        <f>IFERROR(O668/N668,0)</f>
        <v/>
      </c>
    </row>
    <row r="669">
      <c r="A669">
        <f>Skills!A20</f>
        <v/>
      </c>
      <c r="B669">
        <f>Skills!B20</f>
        <v/>
      </c>
      <c r="C669">
        <f>Inputs!$B$3&gt;=15</f>
        <v/>
      </c>
      <c r="D669">
        <f>IF(Skills!C20=1,60+Inputs!$B$25+Inputs!$B$29,IF(Skills!C20=2,90+Inputs!$B$26+Inputs!$B$29,IF(Skills!C20=3,120+Inputs!$B$27+Inputs!$B$29,MAX(0,(Inputs!$B$3-100)*3)+Inputs!$B$28+Inputs!$B$29)))</f>
        <v/>
      </c>
      <c r="E669">
        <f>INDEX(FactorTable!$B$2:$Y$301, MATCH(ROUND(MIN(300,MAX(1,D669)),0), FactorTable!$A$2:$A$301,0), Skills!M20+1)</f>
        <v/>
      </c>
      <c r="F669">
        <f>IF(Skills!N20=TRUE,(Skills!L20/10)*(E669/1000),Skills!L20/10)+Skills!O20</f>
        <v/>
      </c>
      <c r="G669">
        <f>Skills!G20*IF(Skills!H20&gt;0,Skills!I20/Skills!H20,1)</f>
        <v/>
      </c>
      <c r="H669">
        <f>1-(1-Skills!J20/100)^Skills!K20</f>
        <v/>
      </c>
      <c r="I669" t="inlineStr">
        <is>
          <t>1</t>
        </is>
      </c>
      <c r="J669" t="inlineStr"/>
      <c r="K669" t="inlineStr"/>
      <c r="L669" t="inlineStr"/>
      <c r="M669" t="inlineStr"/>
      <c r="N669" t="inlineStr"/>
      <c r="O669" t="n">
        <v>0</v>
      </c>
      <c r="P669">
        <f>IF(B690=0,0,O669/B690)</f>
        <v/>
      </c>
      <c r="Q669" t="n">
        <v>0</v>
      </c>
      <c r="R669" t="n">
        <v>0</v>
      </c>
      <c r="S669">
        <f>IFERROR(O669/N669,0)</f>
        <v/>
      </c>
    </row>
    <row r="670">
      <c r="A670">
        <f>Skills!A21</f>
        <v/>
      </c>
      <c r="B670">
        <f>Skills!B21</f>
        <v/>
      </c>
      <c r="C670">
        <f>Inputs!$B$3&gt;=10</f>
        <v/>
      </c>
      <c r="D670">
        <f>IF(Skills!C21=1,60+Inputs!$B$25+Inputs!$B$29,IF(Skills!C21=2,90+Inputs!$B$26+Inputs!$B$29,IF(Skills!C21=3,120+Inputs!$B$27+Inputs!$B$29,MAX(0,(Inputs!$B$3-100)*3)+Inputs!$B$28+Inputs!$B$29)))</f>
        <v/>
      </c>
      <c r="E670">
        <f>INDEX(FactorTable!$B$2:$Y$301, MATCH(ROUND(MIN(300,MAX(1,D670)),0), FactorTable!$A$2:$A$301,0), Skills!M21+1)</f>
        <v/>
      </c>
      <c r="F670">
        <f>IF(Skills!N21=TRUE,(Skills!L21/10)*(E670/1000),Skills!L21/10)+Skills!O21</f>
        <v/>
      </c>
      <c r="G670">
        <f>Skills!G21*IF(Skills!H21&gt;0,Skills!I21/Skills!H21,1)</f>
        <v/>
      </c>
      <c r="H670">
        <f>1-(1-Skills!J21/100)^Skills!K21</f>
        <v/>
      </c>
      <c r="I670" t="inlineStr">
        <is>
          <t>1</t>
        </is>
      </c>
      <c r="J670" t="inlineStr"/>
      <c r="K670" t="inlineStr"/>
      <c r="L670" t="inlineStr"/>
      <c r="M670" t="inlineStr"/>
      <c r="N670" t="inlineStr"/>
      <c r="O670" t="n">
        <v>0</v>
      </c>
      <c r="P670">
        <f>IF(B690=0,0,O670/B690)</f>
        <v/>
      </c>
      <c r="Q670" t="n">
        <v>0</v>
      </c>
      <c r="R670" t="n">
        <v>0</v>
      </c>
      <c r="S670">
        <f>IFERROR(O670/N670,0)</f>
        <v/>
      </c>
    </row>
    <row r="671">
      <c r="A671">
        <f>Skills!A22</f>
        <v/>
      </c>
      <c r="B671">
        <f>Skills!B22</f>
        <v/>
      </c>
      <c r="C671">
        <f>Inputs!$B$3&gt;=33</f>
        <v/>
      </c>
      <c r="D671">
        <f>IF(Skills!C22=1,60+Inputs!$B$25+Inputs!$B$29,IF(Skills!C22=2,90+Inputs!$B$26+Inputs!$B$29,IF(Skills!C22=3,120+Inputs!$B$27+Inputs!$B$29,MAX(0,(Inputs!$B$3-100)*3)+Inputs!$B$28+Inputs!$B$29)))</f>
        <v/>
      </c>
      <c r="E671">
        <f>INDEX(FactorTable!$B$2:$Y$301, MATCH(ROUND(MIN(300,MAX(1,D671)),0), FactorTable!$A$2:$A$301,0), Skills!M22+1)</f>
        <v/>
      </c>
      <c r="F671">
        <f>IF(Skills!N22=TRUE,(Skills!L22/10)*(E671/1000),Skills!L22/10)+Skills!O22</f>
        <v/>
      </c>
      <c r="G671">
        <f>Skills!G22*IF(Skills!H22&gt;0,Skills!I22/Skills!H22,1)</f>
        <v/>
      </c>
      <c r="H671">
        <f>1-(1-Skills!J22/100)^Skills!K22</f>
        <v/>
      </c>
      <c r="I671" t="inlineStr">
        <is>
          <t>1</t>
        </is>
      </c>
      <c r="J671" t="inlineStr"/>
      <c r="K671" t="inlineStr"/>
      <c r="L671" t="inlineStr"/>
      <c r="M671" t="inlineStr"/>
      <c r="N671" t="inlineStr"/>
      <c r="O671" t="n">
        <v>0</v>
      </c>
      <c r="P671">
        <f>IF(B690=0,0,O671/B690)</f>
        <v/>
      </c>
      <c r="Q671" t="n">
        <v>0</v>
      </c>
      <c r="R671" t="n">
        <v>0</v>
      </c>
      <c r="S671">
        <f>IFERROR(O671/N671,0)</f>
        <v/>
      </c>
    </row>
    <row r="672">
      <c r="A672">
        <f>Skills!A23</f>
        <v/>
      </c>
      <c r="B672">
        <f>Skills!B23</f>
        <v/>
      </c>
      <c r="C672">
        <f>Inputs!$B$3&gt;=38</f>
        <v/>
      </c>
      <c r="D672">
        <f>IF(Skills!C23=1,60+Inputs!$B$25+Inputs!$B$29,IF(Skills!C23=2,90+Inputs!$B$26+Inputs!$B$29,IF(Skills!C23=3,120+Inputs!$B$27+Inputs!$B$29,MAX(0,(Inputs!$B$3-100)*3)+Inputs!$B$28+Inputs!$B$29)))</f>
        <v/>
      </c>
      <c r="E672">
        <f>INDEX(FactorTable!$B$2:$Y$301, MATCH(ROUND(MIN(300,MAX(1,D672)),0), FactorTable!$A$2:$A$301,0), Skills!M23+1)</f>
        <v/>
      </c>
      <c r="F672">
        <f>IF(Skills!N23=TRUE,(Skills!L23/10)*(E672/1000),Skills!L23/10)+Skills!O23</f>
        <v/>
      </c>
      <c r="G672">
        <f>Skills!G23*IF(Skills!H23&gt;0,Skills!I23/Skills!H23,1)</f>
        <v/>
      </c>
      <c r="H672">
        <f>1-(1-Skills!J23/100)^Skills!K23</f>
        <v/>
      </c>
      <c r="I672" t="inlineStr">
        <is>
          <t>1</t>
        </is>
      </c>
      <c r="J672" t="inlineStr"/>
      <c r="K672" t="inlineStr"/>
      <c r="L672" t="inlineStr"/>
      <c r="M672" t="inlineStr"/>
      <c r="N672" t="inlineStr"/>
      <c r="O672" t="n">
        <v>0</v>
      </c>
      <c r="P672">
        <f>IF(B690=0,0,O672/B690)</f>
        <v/>
      </c>
      <c r="Q672" t="n">
        <v>0</v>
      </c>
      <c r="R672" t="n">
        <v>0</v>
      </c>
      <c r="S672">
        <f>IFERROR(O672/N672,0)</f>
        <v/>
      </c>
    </row>
    <row r="673">
      <c r="A673">
        <f>Skills!A24</f>
        <v/>
      </c>
      <c r="B673">
        <f>Skills!B24</f>
        <v/>
      </c>
      <c r="C673">
        <f>Inputs!$B$3&gt;=43</f>
        <v/>
      </c>
      <c r="D673">
        <f>IF(Skills!C24=1,60+Inputs!$B$25+Inputs!$B$29,IF(Skills!C24=2,90+Inputs!$B$26+Inputs!$B$29,IF(Skills!C24=3,120+Inputs!$B$27+Inputs!$B$29,MAX(0,(Inputs!$B$3-100)*3)+Inputs!$B$28+Inputs!$B$29)))</f>
        <v/>
      </c>
      <c r="E673">
        <f>INDEX(FactorTable!$B$2:$Y$301, MATCH(ROUND(MIN(300,MAX(1,D673)),0), FactorTable!$A$2:$A$301,0), Skills!M24+1)</f>
        <v/>
      </c>
      <c r="F673">
        <f>IF(Skills!N24=TRUE,(Skills!L24/10)*(E673/1000),Skills!L24/10)+Skills!O24</f>
        <v/>
      </c>
      <c r="G673">
        <f>Skills!G24*IF(Skills!H24&gt;0,Skills!I24/Skills!H24,1)</f>
        <v/>
      </c>
      <c r="H673">
        <f>1-(1-Skills!J24/100)^Skills!K24</f>
        <v/>
      </c>
      <c r="I673" t="inlineStr">
        <is>
          <t>1</t>
        </is>
      </c>
      <c r="J673" t="inlineStr"/>
      <c r="K673" t="inlineStr"/>
      <c r="L673" t="inlineStr"/>
      <c r="M673" t="inlineStr"/>
      <c r="N673" t="inlineStr"/>
      <c r="O673" t="n">
        <v>0</v>
      </c>
      <c r="P673">
        <f>IF(B690=0,0,O673/B690)</f>
        <v/>
      </c>
      <c r="Q673" t="n">
        <v>0</v>
      </c>
      <c r="R673" t="n">
        <v>0</v>
      </c>
      <c r="S673">
        <f>IFERROR(O673/N673,0)</f>
        <v/>
      </c>
    </row>
    <row r="674">
      <c r="A674">
        <f>Skills!A25</f>
        <v/>
      </c>
      <c r="B674">
        <f>Skills!B25</f>
        <v/>
      </c>
      <c r="C674">
        <f>Inputs!$B$3&gt;=75</f>
        <v/>
      </c>
      <c r="D674">
        <f>IF(Skills!C25=1,60+Inputs!$B$25+Inputs!$B$29,IF(Skills!C25=2,90+Inputs!$B$26+Inputs!$B$29,IF(Skills!C25=3,120+Inputs!$B$27+Inputs!$B$29,MAX(0,(Inputs!$B$3-100)*3)+Inputs!$B$28+Inputs!$B$29)))</f>
        <v/>
      </c>
      <c r="E674">
        <f>INDEX(FactorTable!$B$2:$Y$301, MATCH(ROUND(MIN(300,MAX(1,D674)),0), FactorTable!$A$2:$A$301,0), Skills!M25+1)</f>
        <v/>
      </c>
      <c r="F674">
        <f>IF(Skills!N25=TRUE,(Skills!L25/10)*(E674/1000),Skills!L25/10)+Skills!O25</f>
        <v/>
      </c>
      <c r="G674">
        <f>Skills!G25*IF(Skills!H25&gt;0,Skills!I25/Skills!H25,1)</f>
        <v/>
      </c>
      <c r="H674">
        <f>1-(1-Skills!J25/100)^Skills!K25</f>
        <v/>
      </c>
      <c r="I674" t="inlineStr">
        <is>
          <t>1</t>
        </is>
      </c>
      <c r="J674" t="inlineStr"/>
      <c r="K674" t="inlineStr"/>
      <c r="L674" t="inlineStr"/>
      <c r="M674" t="inlineStr"/>
      <c r="N674" t="inlineStr"/>
      <c r="O674" t="n">
        <v>0</v>
      </c>
      <c r="P674">
        <f>IF(B690=0,0,O674/B690)</f>
        <v/>
      </c>
      <c r="Q674" t="n">
        <v>0</v>
      </c>
      <c r="R674" t="n">
        <v>0</v>
      </c>
      <c r="S674">
        <f>IFERROR(O674/N674,0)</f>
        <v/>
      </c>
    </row>
    <row r="675">
      <c r="A675">
        <f>Skills!A26</f>
        <v/>
      </c>
      <c r="B675">
        <f>Skills!B26</f>
        <v/>
      </c>
      <c r="C675">
        <f>Inputs!$B$3&gt;=125</f>
        <v/>
      </c>
      <c r="D675">
        <f>IF(Skills!C26=1,60+Inputs!$B$25+Inputs!$B$29,IF(Skills!C26=2,90+Inputs!$B$26+Inputs!$B$29,IF(Skills!C26=3,120+Inputs!$B$27+Inputs!$B$29,MAX(0,(Inputs!$B$3-100)*3)+Inputs!$B$28+Inputs!$B$29)))</f>
        <v/>
      </c>
      <c r="E675">
        <f>INDEX(FactorTable!$B$2:$Y$301, MATCH(ROUND(MIN(300,MAX(1,D675)),0), FactorTable!$A$2:$A$301,0), Skills!M26+1)</f>
        <v/>
      </c>
      <c r="F675">
        <f>IF(Skills!N26=TRUE,(Skills!L26/10)*(E675/1000),Skills!L26/10)+Skills!O26</f>
        <v/>
      </c>
      <c r="G675">
        <f>Skills!G26*IF(Skills!H26&gt;0,Skills!I26/Skills!H26,1)</f>
        <v/>
      </c>
      <c r="H675">
        <f>1-(1-Skills!J26/100)^Skills!K26</f>
        <v/>
      </c>
      <c r="I675" t="inlineStr">
        <is>
          <t>1</t>
        </is>
      </c>
      <c r="J675" t="inlineStr"/>
      <c r="K675" t="inlineStr"/>
      <c r="L675" t="inlineStr"/>
      <c r="M675" t="inlineStr"/>
      <c r="N675" t="inlineStr"/>
      <c r="O675" t="n">
        <v>0</v>
      </c>
      <c r="P675">
        <f>IF(B690=0,0,O675/B690)</f>
        <v/>
      </c>
      <c r="Q675" t="n">
        <v>0</v>
      </c>
      <c r="R675" t="n">
        <v>0</v>
      </c>
      <c r="S675">
        <f>IFERROR(O675/N675,0)</f>
        <v/>
      </c>
    </row>
    <row r="676">
      <c r="A676">
        <f>Skills!A27</f>
        <v/>
      </c>
      <c r="B676">
        <f>Skills!B27</f>
        <v/>
      </c>
      <c r="C676">
        <f>Inputs!$B$3&gt;=125</f>
        <v/>
      </c>
      <c r="D676">
        <f>IF(Skills!C27=1,60+Inputs!$B$25+Inputs!$B$29,IF(Skills!C27=2,90+Inputs!$B$26+Inputs!$B$29,IF(Skills!C27=3,120+Inputs!$B$27+Inputs!$B$29,MAX(0,(Inputs!$B$3-100)*3)+Inputs!$B$28+Inputs!$B$29)))</f>
        <v/>
      </c>
      <c r="E676">
        <f>INDEX(FactorTable!$B$2:$Y$301, MATCH(ROUND(MIN(300,MAX(1,D676)),0), FactorTable!$A$2:$A$301,0), Skills!M27+1)</f>
        <v/>
      </c>
      <c r="F676">
        <f>IF(Skills!N27=TRUE,(Skills!L27/10)*(E676/1000),Skills!L27/10)+Skills!O27</f>
        <v/>
      </c>
      <c r="G676">
        <f>Skills!G27*IF(Skills!H27&gt;0,Skills!I27/Skills!H27,1)</f>
        <v/>
      </c>
      <c r="H676">
        <f>1-(1-Skills!J27/100)^Skills!K27</f>
        <v/>
      </c>
      <c r="I676" t="inlineStr">
        <is>
          <t>1</t>
        </is>
      </c>
      <c r="J676" t="inlineStr"/>
      <c r="K676" t="inlineStr"/>
      <c r="L676" t="inlineStr"/>
      <c r="M676" t="inlineStr"/>
      <c r="N676" t="inlineStr"/>
      <c r="O676" t="n">
        <v>0</v>
      </c>
      <c r="P676">
        <f>IF(B690=0,0,O676/B690)</f>
        <v/>
      </c>
      <c r="Q676" t="n">
        <v>0</v>
      </c>
      <c r="R676" t="n">
        <v>0</v>
      </c>
      <c r="S676">
        <f>IFERROR(O676/N676,0)</f>
        <v/>
      </c>
    </row>
    <row r="677">
      <c r="A677">
        <f>Skills!A28</f>
        <v/>
      </c>
      <c r="B677">
        <f>Skills!B28</f>
        <v/>
      </c>
      <c r="C677">
        <f>Inputs!$B$3&gt;=120</f>
        <v/>
      </c>
      <c r="D677">
        <f>IF(Skills!C28=1,60+Inputs!$B$25+Inputs!$B$29,IF(Skills!C28=2,90+Inputs!$B$26+Inputs!$B$29,IF(Skills!C28=3,120+Inputs!$B$27+Inputs!$B$29,MAX(0,(Inputs!$B$3-100)*3)+Inputs!$B$28+Inputs!$B$29)))</f>
        <v/>
      </c>
      <c r="E677">
        <f>INDEX(FactorTable!$B$2:$Y$301, MATCH(ROUND(MIN(300,MAX(1,D677)),0), FactorTable!$A$2:$A$301,0), Skills!M28+1)</f>
        <v/>
      </c>
      <c r="F677">
        <f>IF(Skills!N28=TRUE,(Skills!L28/10)*(E677/1000),Skills!L28/10)+Skills!O28</f>
        <v/>
      </c>
      <c r="G677">
        <f>Skills!G28*IF(Skills!H28&gt;0,Skills!I28/Skills!H28,1)</f>
        <v/>
      </c>
      <c r="H677">
        <f>1-(1-Skills!J28/100)^Skills!K28</f>
        <v/>
      </c>
      <c r="I677" t="inlineStr">
        <is>
          <t>1</t>
        </is>
      </c>
      <c r="J677" t="inlineStr"/>
      <c r="K677" t="inlineStr"/>
      <c r="L677" t="inlineStr"/>
      <c r="M677" t="inlineStr"/>
      <c r="N677" t="inlineStr"/>
      <c r="O677" t="n">
        <v>0</v>
      </c>
      <c r="P677">
        <f>IF(B690=0,0,O677/B690)</f>
        <v/>
      </c>
      <c r="Q677" t="n">
        <v>0</v>
      </c>
      <c r="R677" t="n">
        <v>0</v>
      </c>
      <c r="S677">
        <f>IFERROR(O677/N677,0)</f>
        <v/>
      </c>
    </row>
    <row r="678">
      <c r="A678">
        <f>Skills!A29</f>
        <v/>
      </c>
      <c r="B678">
        <f>Skills!B29</f>
        <v/>
      </c>
      <c r="C678">
        <f>Inputs!$B$3&gt;=120</f>
        <v/>
      </c>
      <c r="D678">
        <f>IF(Skills!C29=1,60+Inputs!$B$25+Inputs!$B$29,IF(Skills!C29=2,90+Inputs!$B$26+Inputs!$B$29,IF(Skills!C29=3,120+Inputs!$B$27+Inputs!$B$29,MAX(0,(Inputs!$B$3-100)*3)+Inputs!$B$28+Inputs!$B$29)))</f>
        <v/>
      </c>
      <c r="E678">
        <f>INDEX(FactorTable!$B$2:$Y$301, MATCH(ROUND(MIN(300,MAX(1,D678)),0), FactorTable!$A$2:$A$301,0), Skills!M29+1)</f>
        <v/>
      </c>
      <c r="F678">
        <f>IF(Skills!N29=TRUE,(Skills!L29/10)*(E678/1000),Skills!L29/10)+Skills!O29</f>
        <v/>
      </c>
      <c r="G678">
        <f>Skills!G29*IF(Skills!H29&gt;0,Skills!I29/Skills!H29,1)</f>
        <v/>
      </c>
      <c r="H678">
        <f>1-(1-Skills!J29/100)^Skills!K29</f>
        <v/>
      </c>
      <c r="I678" t="inlineStr">
        <is>
          <t>1</t>
        </is>
      </c>
      <c r="J678" t="inlineStr"/>
      <c r="K678" t="inlineStr"/>
      <c r="L678" t="inlineStr"/>
      <c r="M678" t="inlineStr"/>
      <c r="N678" t="inlineStr"/>
      <c r="O678" t="n">
        <v>0</v>
      </c>
      <c r="P678">
        <f>IF(B690=0,0,O678/B690)</f>
        <v/>
      </c>
      <c r="Q678" t="n">
        <v>0</v>
      </c>
      <c r="R678" t="n">
        <v>0</v>
      </c>
      <c r="S678">
        <f>IFERROR(O678/N678,0)</f>
        <v/>
      </c>
    </row>
    <row r="679">
      <c r="A679">
        <f>Skills!A30</f>
        <v/>
      </c>
      <c r="B679">
        <f>Skills!B30</f>
        <v/>
      </c>
      <c r="C679">
        <f>Inputs!$B$3&gt;=45</f>
        <v/>
      </c>
      <c r="D679">
        <f>IF(Skills!C30=1,60+Inputs!$B$25+Inputs!$B$29,IF(Skills!C30=2,90+Inputs!$B$26+Inputs!$B$29,IF(Skills!C30=3,120+Inputs!$B$27+Inputs!$B$29,MAX(0,(Inputs!$B$3-100)*3)+Inputs!$B$28+Inputs!$B$29)))</f>
        <v/>
      </c>
      <c r="E679">
        <f>INDEX(FactorTable!$B$2:$Y$301, MATCH(ROUND(MIN(300,MAX(1,D679)),0), FactorTable!$A$2:$A$301,0), Skills!M30+1)</f>
        <v/>
      </c>
      <c r="F679">
        <f>IF(Skills!N30=TRUE,(Skills!L30/10)*(E679/1000),Skills!L30/10)+Skills!O30</f>
        <v/>
      </c>
      <c r="G679">
        <f>Skills!G30*IF(Skills!H30&gt;0,Skills!I30/Skills!H30,1)</f>
        <v/>
      </c>
      <c r="H679">
        <f>1-(1-Skills!J30/100)^Skills!K30</f>
        <v/>
      </c>
      <c r="I679" t="inlineStr">
        <is>
          <t>1</t>
        </is>
      </c>
      <c r="J679" t="inlineStr"/>
      <c r="K679" t="inlineStr"/>
      <c r="L679" t="inlineStr"/>
      <c r="M679" t="inlineStr"/>
      <c r="N679" t="inlineStr"/>
      <c r="O679" t="n">
        <v>0</v>
      </c>
      <c r="P679">
        <f>IF(B690=0,0,O679/B690)</f>
        <v/>
      </c>
      <c r="Q679" t="n">
        <v>0</v>
      </c>
      <c r="R679" t="n">
        <v>0</v>
      </c>
      <c r="S679">
        <f>IFERROR(O679/N679,0)</f>
        <v/>
      </c>
    </row>
    <row r="681">
      <c r="A681" t="inlineStr">
        <is>
          <t>Attack% Bucket Multiplier</t>
        </is>
      </c>
      <c r="B681">
        <f>(1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f>
        <v/>
      </c>
    </row>
    <row r="682">
      <c r="A682" t="inlineStr">
        <is>
          <t>Global Crit Rate Bonus %</t>
        </is>
      </c>
      <c r="B682">
        <f>(C665=TRUE)*20*IF(AND(Inputs!$B$38&lt;&gt;"pvp",Inputs!$B$43&gt;0),(((R665-1)*(Skills!T16*(1+Inputs!$B$34/100))+MIN((Skills!T16*(1+Inputs!$B$34/100)),MAX(0,Inputs!$B$43-((R665-1)*Skills!D16))))/Inputs!$B$43),IF(Inputs!$B$38="pvp",MIN((Skills!T16*(1+Inputs!$B$34/100)),15)/15,(Skills!T16*(1+Inputs!$B$34/100))/Skills!D16))</f>
        <v/>
      </c>
    </row>
    <row r="683">
      <c r="A683" t="inlineStr">
        <is>
          <t>Attack Speed Buff Bonus %</t>
        </is>
      </c>
      <c r="B683">
        <f>((C668=TRUE)*F668*IF(AND(Inputs!$B$38&lt;&gt;"pvp",Inputs!$B$43&gt;0),(((R668-1)*(Skills!T19*(1+Inputs!$B$34/100))+MIN((Skills!T19*(1+Inputs!$B$34/100)),MAX(0,Inputs!$B$43-((R668-1)*Skills!D19))))/Inputs!$B$43),IF(Inputs!$B$38="pvp",MIN((Skills!T19*(1+Inputs!$B$34/100)),15)/15,(Skills!T19*(1+Inputs!$B$34/100))/Skills!D19)))</f>
        <v/>
      </c>
    </row>
    <row r="684">
      <c r="A684" t="inlineStr">
        <is>
          <t>Actions Per Second</t>
        </is>
      </c>
      <c r="B684">
        <f>1+MIN(150,150*(1-(1-(Inputs!$B$11+((C670=TRUE)*(F670-Calc!F21))+((C671=TRUE)*(F671-Calc!F22)))/150)*(1-B683/150)))/100</f>
        <v/>
      </c>
    </row>
    <row r="685">
      <c r="A685" t="inlineStr">
        <is>
          <t>Skill + Buff Cast Rate</t>
        </is>
      </c>
      <c r="B685">
        <f>IF(AND(Inputs!$B$38&lt;&gt;"pvp",Inputs!$B$43&gt;0),SUMPRODUCT((Skills!E2:E30=TRUE)*(C651:C679=TRUE)*R651:R679*Skills!F2:F30)/Inputs!$B$43,SUMPRODUCT((Skills!E2:E30=TRUE)*(C651:C679=TRUE)*Q651:Q679*Skills!F2:F30))</f>
        <v/>
      </c>
    </row>
    <row r="686">
      <c r="A686" t="inlineStr">
        <is>
          <t>Arrow Stream Casts Per Second</t>
        </is>
      </c>
      <c r="B686">
        <f>MAX(0,B684-B685)</f>
        <v/>
      </c>
    </row>
    <row r="687">
      <c r="A687" t="inlineStr">
        <is>
          <t>Global Critical Damage Bonus % (Sharp Eyes + Concentration)</t>
        </is>
      </c>
      <c r="B687">
        <f>(C665=TRUE)*F665*IF(AND(Inputs!$B$38&lt;&gt;"pvp",Inputs!$B$43&gt;0),(((R665-1)*(Skills!T16*(1+Inputs!$B$34/100))+MIN((Skills!T16*(1+Inputs!$B$34/100)),MAX(0,Inputs!$B$43-((R665-1)*Skills!D16))))/Inputs!$B$43),IF(Inputs!$B$38="pvp",MIN((Skills!T16*(1+Inputs!$B$34/100)),15)/15,(Skills!T16*(1+Inputs!$B$34/100))/Skills!D16))+(C666=TRUE)*30</f>
        <v/>
      </c>
    </row>
    <row r="688">
      <c r="A688" t="inlineStr">
        <is>
          <t>Global Final Damage Bonus % (Mortal Blow)</t>
        </is>
      </c>
      <c r="B688">
        <f>(C667=TRUE)*F667</f>
        <v/>
      </c>
    </row>
    <row r="689">
      <c r="A689" t="inlineStr">
        <is>
          <t>Buff-Casting Startup Delay (s, fixed-duration only)</t>
        </is>
      </c>
      <c r="B689">
        <f>IF(AND(Inputs!$B$38&lt;&gt;"pvp",Inputs!$B$43&gt;0),SUMPRODUCT((Skills!T2:T30&gt;0)*(Skills!E2:E30=TRUE)*(C651:C679=TRUE))/B684,0)</f>
        <v/>
      </c>
    </row>
    <row r="690">
      <c r="A690" s="5" t="inlineStr">
        <is>
          <t>TOTAL DPS</t>
        </is>
      </c>
      <c r="B690" s="5">
        <f>SUM(O651:O679)</f>
        <v/>
      </c>
    </row>
    <row r="693">
      <c r="A693" s="5" t="inlineStr">
        <is>
          <t>Stat: SKILL_DAMAGE %</t>
        </is>
      </c>
    </row>
    <row r="694">
      <c r="A694" s="9" t="inlineStr">
        <is>
          <t>Key</t>
        </is>
      </c>
      <c r="B694" s="9" t="inlineStr">
        <is>
          <t>Name</t>
        </is>
      </c>
      <c r="C694" s="9" t="inlineStr">
        <is>
          <t>Unlocked</t>
        </is>
      </c>
      <c r="D694" s="9" t="inlineStr">
        <is>
          <t>InputLevel</t>
        </is>
      </c>
      <c r="E694" s="9" t="inlineStr">
        <is>
          <t>Factor</t>
        </is>
      </c>
      <c r="F694" s="9" t="inlineStr">
        <is>
          <t>CoefficientPercent</t>
        </is>
      </c>
      <c r="G694" s="9" t="inlineStr">
        <is>
          <t>EffectiveHits</t>
        </is>
      </c>
      <c r="H694" s="9" t="inlineStr">
        <is>
          <t>ProcProbability</t>
        </is>
      </c>
      <c r="I694" s="9" t="inlineStr">
        <is>
          <t>MapleHeroMultiplier</t>
        </is>
      </c>
      <c r="J694" s="9" t="inlineStr">
        <is>
          <t>BaseDamage</t>
        </is>
      </c>
      <c r="K694" s="9" t="inlineStr">
        <is>
          <t>BaseHitDamage</t>
        </is>
      </c>
      <c r="L694" s="9" t="inlineStr">
        <is>
          <t>NonCritAvg</t>
        </is>
      </c>
      <c r="M694" s="9" t="inlineStr">
        <is>
          <t>CritAvg</t>
        </is>
      </c>
      <c r="N694" s="9" t="inlineStr">
        <is>
          <t>ExpectedDamage(perHit)</t>
        </is>
      </c>
      <c r="O694" s="9" t="inlineStr">
        <is>
          <t>DPS</t>
        </is>
      </c>
      <c r="P694" s="9" t="inlineStr">
        <is>
          <t>% of Total</t>
        </is>
      </c>
      <c r="Q694" s="9" t="inlineStr">
        <is>
          <t>InvCooldown</t>
        </is>
      </c>
      <c r="R694" s="9" t="inlineStr">
        <is>
          <t>CastsInFight</t>
        </is>
      </c>
      <c r="S694" s="9" t="inlineStr">
        <is>
          <t>HitRate(perSec)</t>
        </is>
      </c>
      <c r="U694" t="inlineStr">
        <is>
          <t>helpers</t>
        </is>
      </c>
    </row>
    <row r="695">
      <c r="A695">
        <f>Skills!A2</f>
        <v/>
      </c>
      <c r="B695">
        <f>Skills!B2</f>
        <v/>
      </c>
      <c r="C695">
        <f>Inputs!$B$3&gt;=100</f>
        <v/>
      </c>
      <c r="D695" t="inlineStr"/>
      <c r="E695" t="inlineStr"/>
      <c r="F695">
        <f>U697+Skills!O2</f>
        <v/>
      </c>
      <c r="G695">
        <f>Skills!G2*IF(Skills!H2&gt;0,Skills!I2/Skills!H2,1)</f>
        <v/>
      </c>
      <c r="H695">
        <f>1-(1-Skills!J2/100)^Skills!K2</f>
        <v/>
      </c>
      <c r="I695" t="inlineStr">
        <is>
          <t>1</t>
        </is>
      </c>
      <c r="J695">
        <f>((Inputs!$B$6*(1+Inputs!$B$7/100))+(((Inputs!$B$12*(1+Inputs!$B$13/100))-(Inputs!$B$12*(1+Inputs!$B$13/100)))+0.25*(Inputs!$B$14-Inputs!$B$14))*(1+Inputs!$B$7/100))*(F695/100)</f>
        <v/>
      </c>
      <c r="K695">
        <f>J695*(1+((Inputs!$B$12*(1+Inputs!$B$13/100))*0.01+Inputs!$B$14*0.0025)/100)*(1+Inputs!$B$15/100)*(1+IF(Inputs!$B$38="pvp",0,(1-Summary!$B$55)*(Inputs!$B$20+0+Skills!P2)+Summary!$B$55*(Inputs!$B$21+Skills!Q2))/100)*(1+Inputs!$B$16/100)*(5000/(6000+Inputs!$B$42*(1-(Inputs!$B$19+((C720=TRUE)*(F720-Calc!F27)))/100)))*(1+(Inputs!$B$24+((C718=TRUE)*(F718-Calc!F25))+((C719=TRUE)*(F719-Calc!F26))+B732)/100)*(1+(IF(Skills!A2="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695)</f>
        <v/>
      </c>
      <c r="L695">
        <f>K695*(MIN(Inputs!$B$22+((C717=TRUE)*(F717-Calc!F24)),Inputs!$B$23+((C722=TRUE)*(F722-Calc!F29)))/100+(Inputs!$B$23+((C722=TRUE)*(F722-Calc!F29)))/100)/2</f>
        <v/>
      </c>
      <c r="M695">
        <f>L695*(1+(Inputs!$B$10+0+B731)/100)</f>
        <v/>
      </c>
      <c r="N695">
        <f>L695*(1-MIN((Inputs!$B$9+((C713=TRUE)*(F713-Calc!F20))+B726),100)/100)+M695*(MIN((Inputs!$B$9+((C713=TRUE)*(F713-Calc!F20))+B726),100)/100)</f>
        <v/>
      </c>
      <c r="O695">
        <f>IF(C695,Skills!G2*N695*B730*IF(Inputs!$B$38="pvp",1,(1-Summary!$B$55)*(1)+Summary!$B$55*(MIN((6+Inputs!$B$33),Inputs!$B$37))),0)</f>
        <v/>
      </c>
      <c r="P695">
        <f>IF(B734=0,0,O695/B734)</f>
        <v/>
      </c>
      <c r="Q695" t="n">
        <v>0</v>
      </c>
      <c r="R695" t="n">
        <v>0</v>
      </c>
      <c r="S695">
        <f>IFERROR(O695/N695,0)</f>
        <v/>
      </c>
      <c r="U695">
        <f>MAX(0,(Inputs!$B$3-100)*3)+Inputs!$B$28+Inputs!$B$29</f>
        <v/>
      </c>
    </row>
    <row r="696">
      <c r="A696">
        <f>Skills!A3</f>
        <v/>
      </c>
      <c r="B696">
        <f>Skills!B3</f>
        <v/>
      </c>
      <c r="C696">
        <f>Inputs!$B$3&gt;=50</f>
        <v/>
      </c>
      <c r="D696">
        <f>IF(Skills!C3=1,60+Inputs!$B$25+Inputs!$B$29,IF(Skills!C3=2,90+Inputs!$B$26+Inputs!$B$29,IF(Skills!C3=3,120+Inputs!$B$27+Inputs!$B$29,MAX(0,(Inputs!$B$3-100)*3)+Inputs!$B$28+Inputs!$B$29)))</f>
        <v/>
      </c>
      <c r="E696">
        <f>INDEX(FactorTable!$B$2:$Y$301, MATCH(ROUND(MIN(300,MAX(1,D696)),0), FactorTable!$A$2:$A$301,0), Skills!M3+1)</f>
        <v/>
      </c>
      <c r="F696">
        <f>IF(Skills!N3=TRUE,(Skills!L3/10)*(E696/1000),Skills!L3/10)+Skills!O3</f>
        <v/>
      </c>
      <c r="G696" t="inlineStr"/>
      <c r="H696" t="inlineStr"/>
      <c r="I696" t="inlineStr">
        <is>
          <t>1</t>
        </is>
      </c>
      <c r="J696" t="inlineStr"/>
      <c r="K696" t="inlineStr"/>
      <c r="L696" t="inlineStr"/>
      <c r="M696" t="inlineStr"/>
      <c r="N696" t="inlineStr"/>
      <c r="O696" t="inlineStr"/>
      <c r="P696" t="inlineStr"/>
      <c r="Q696" t="inlineStr"/>
      <c r="R696" t="inlineStr"/>
      <c r="S696" t="inlineStr"/>
      <c r="U696">
        <f>INDEX(FactorTable!$B$2:$Y$301, MATCH(ROUND(MIN(300,MAX(1,U695)),0), FactorTable!$A$2:$A$301,0), 22)</f>
        <v/>
      </c>
    </row>
    <row r="697">
      <c r="A697">
        <f>Skills!A4</f>
        <v/>
      </c>
      <c r="B697">
        <f>Skills!B4</f>
        <v/>
      </c>
      <c r="C697">
        <f>Inputs!$B$3&gt;=105</f>
        <v/>
      </c>
      <c r="D697">
        <f>IF(Skills!C4=1,60+Inputs!$B$25+Inputs!$B$29,IF(Skills!C4=2,90+Inputs!$B$26+Inputs!$B$29,IF(Skills!C4=3,120+Inputs!$B$27+Inputs!$B$29,MAX(0,(Inputs!$B$3-100)*3)+Inputs!$B$28+Inputs!$B$29)))</f>
        <v/>
      </c>
      <c r="E697">
        <f>INDEX(FactorTable!$B$2:$Y$301, MATCH(ROUND(MIN(300,MAX(1,D697)),0), FactorTable!$A$2:$A$301,0), Skills!M4+1)</f>
        <v/>
      </c>
      <c r="F697">
        <f>IF(Skills!N4=TRUE,(Skills!L4/10)*(E697/1000),Skills!L4/10)+Skills!O4</f>
        <v/>
      </c>
      <c r="G697" t="inlineStr"/>
      <c r="H697" t="inlineStr"/>
      <c r="I697" t="inlineStr">
        <is>
          <t>1</t>
        </is>
      </c>
      <c r="J697" t="inlineStr"/>
      <c r="K697" t="inlineStr"/>
      <c r="L697" t="inlineStr"/>
      <c r="M697" t="inlineStr"/>
      <c r="N697" t="inlineStr"/>
      <c r="O697" t="inlineStr"/>
      <c r="P697" t="inlineStr"/>
      <c r="Q697" t="inlineStr"/>
      <c r="R697" t="inlineStr"/>
      <c r="S697" t="inlineStr"/>
      <c r="U697">
        <f>290*U696/1000</f>
        <v/>
      </c>
    </row>
    <row r="698">
      <c r="A698">
        <f>Skills!A5</f>
        <v/>
      </c>
      <c r="B698">
        <f>Skills!B5</f>
        <v/>
      </c>
      <c r="C698">
        <f>Inputs!$B$3&gt;=35</f>
        <v/>
      </c>
      <c r="D698">
        <f>IF(Skills!C5=1,60+Inputs!$B$25+Inputs!$B$29,IF(Skills!C5=2,90+Inputs!$B$26+Inputs!$B$29,IF(Skills!C5=3,120+Inputs!$B$27+Inputs!$B$29,MAX(0,(Inputs!$B$3-100)*3)+Inputs!$B$28+Inputs!$B$29)))</f>
        <v/>
      </c>
      <c r="E698">
        <f>INDEX(FactorTable!$B$2:$Y$301, MATCH(ROUND(MIN(300,MAX(1,D698)),0), FactorTable!$A$2:$A$301,0), Skills!M5+1)</f>
        <v/>
      </c>
      <c r="F698">
        <f>IF(Skills!N5=TRUE,(Skills!L5/10)*(E698/1000),Skills!L5/10)+Skills!O5</f>
        <v/>
      </c>
      <c r="G698">
        <f>Skills!G5*IF(Skills!H5&gt;0,Skills!I5/Skills!H5,1)</f>
        <v/>
      </c>
      <c r="H698">
        <f>1-(1-Skills!J5/100)^Skills!K5</f>
        <v/>
      </c>
      <c r="I698" t="inlineStr">
        <is>
          <t>1</t>
        </is>
      </c>
      <c r="J698">
        <f>((Inputs!$B$6*(1+Inputs!$B$7/100))+(((Inputs!$B$12*(1+Inputs!$B$13/100))-(Inputs!$B$12*(1+Inputs!$B$13/100)))+0.25*(Inputs!$B$14-Inputs!$B$14))*(1+Inputs!$B$7/100))*(F698/100)</f>
        <v/>
      </c>
      <c r="K698">
        <f>J698*(1+((Inputs!$B$12*(1+Inputs!$B$13/100))*0.01+Inputs!$B$14*0.0025)/100)*(1+Inputs!$B$15/100)*(1+IF(Inputs!$B$38="pvp",0,(1-Summary!$B$55)*(Inputs!$B$20+0+Skills!P5)+Summary!$B$55*(Inputs!$B$21+Skills!Q5))/100)*(1+Inputs!$B$16/100)*(5000/(6000+Inputs!$B$42*(1-(Inputs!$B$19+((C720=TRUE)*(F720-Calc!F27)))/100)))*(1+(Inputs!$B$24+((C718=TRUE)*(F718-Calc!F25))+((C719=TRUE)*(F719-Calc!F26))+B732)/100)*(1+4.0*IF(C703=TRUE,F703,0)/100)*(1+(IF(Skills!A5="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698)</f>
        <v/>
      </c>
      <c r="L698">
        <f>K698*(MIN(Inputs!$B$22+((C717=TRUE)*(F717-Calc!F24)),Inputs!$B$23+((C722=TRUE)*(F722-Calc!F29)))/100+(Inputs!$B$23+((C722=TRUE)*(F722-Calc!F29)))/100)/2</f>
        <v/>
      </c>
      <c r="M698">
        <f>L698*(1+(Inputs!$B$10+0+B731)/100)</f>
        <v/>
      </c>
      <c r="N698">
        <f>L698*(1-MIN((Inputs!$B$9+((C713=TRUE)*(F713-Calc!F20))+B726),100)/100)+M698*(MIN((Inputs!$B$9+((C713=TRUE)*(F713-Calc!F20))+B726),100)/100)</f>
        <v/>
      </c>
      <c r="O698">
        <f>IF(C698,H698*N698*IF(AND(Inputs!$B$38&lt;&gt;"pvp",Inputs!$B$43&gt;0),((Skills!G5*((R698-1)*IF(Skills!H5&gt;0,Skills!I5/Skills!H5,1)+IF(Skills!H5&gt;0,MIN(Skills!I5,MAX(0,MAX(0,Inputs!$B$43-B733)-((R698-1)*IF(Inputs!$B$38="pvp",15,MAX(0.1,Skills!D5-IF(Skills!E5=TRUE,Inputs!$B$32,0))))))/Skills!H5,1)))/Inputs!$B$43),G698*Q698)*IF(Inputs!$B$38="pvp",1,(1-Summary!$B$55)*(1)+Summary!$B$55*(MIN(Skills!R5,Inputs!$B$37))),0)</f>
        <v/>
      </c>
      <c r="P698">
        <f>IF(B734=0,0,O698/B734)</f>
        <v/>
      </c>
      <c r="Q698">
        <f>IFERROR(1/IF(Inputs!$B$38="pvp",15,MAX(0.1,Skills!D5-IF(Skills!E5=TRUE,Inputs!$B$32,0))),0)</f>
        <v/>
      </c>
      <c r="R698">
        <f>IF(AND(Inputs!$B$38&lt;&gt;"pvp",Inputs!$B$43&gt;0),IF(MAX(0,Inputs!$B$43-B733)&lt;=0,0,(INT(MAX(0,Inputs!$B$43-B733)/IF(Inputs!$B$38="pvp",15,MAX(0.1,Skills!D5-IF(Skills!E5=TRUE,Inputs!$B$32,0))))+1)),0)</f>
        <v/>
      </c>
      <c r="S698">
        <f>IFERROR(O698/N698,0)</f>
        <v/>
      </c>
    </row>
    <row r="699">
      <c r="A699">
        <f>Skills!A6</f>
        <v/>
      </c>
      <c r="B699">
        <f>Skills!B6</f>
        <v/>
      </c>
      <c r="C699">
        <f>Inputs!$B$3&gt;=40</f>
        <v/>
      </c>
      <c r="D699">
        <f>IF(Skills!C6=1,60+Inputs!$B$25+Inputs!$B$29,IF(Skills!C6=2,90+Inputs!$B$26+Inputs!$B$29,IF(Skills!C6=3,120+Inputs!$B$27+Inputs!$B$29,MAX(0,(Inputs!$B$3-100)*3)+Inputs!$B$28+Inputs!$B$29)))</f>
        <v/>
      </c>
      <c r="E699">
        <f>INDEX(FactorTable!$B$2:$Y$301, MATCH(ROUND(MIN(300,MAX(1,D699)),0), FactorTable!$A$2:$A$301,0), Skills!M6+1)</f>
        <v/>
      </c>
      <c r="F699">
        <f>IF(Skills!N6=TRUE,(Skills!L6/10)*(E699/1000),Skills!L6/10)+Skills!O6</f>
        <v/>
      </c>
      <c r="G699">
        <f>Skills!G6*IF(Skills!H6&gt;0,Skills!I6/Skills!H6,1)</f>
        <v/>
      </c>
      <c r="H699">
        <f>1-(1-Skills!J6/100)^Skills!K6</f>
        <v/>
      </c>
      <c r="I699" t="inlineStr">
        <is>
          <t>1</t>
        </is>
      </c>
      <c r="J699">
        <f>((Inputs!$B$6*(1+Inputs!$B$7/100))+(((Inputs!$B$12*(1+Inputs!$B$13/100))-(Inputs!$B$12*(1+Inputs!$B$13/100)))+0.25*(Inputs!$B$14-Inputs!$B$14))*(1+Inputs!$B$7/100))*(F699/100)</f>
        <v/>
      </c>
      <c r="K699">
        <f>J699*(1+((Inputs!$B$12*(1+Inputs!$B$13/100))*0.01+Inputs!$B$14*0.0025)/100)*(1+Inputs!$B$15/100)*(1+IF(Inputs!$B$38="pvp",0,(1-Summary!$B$55)*(Inputs!$B$20+0+Skills!P6)+Summary!$B$55*(Inputs!$B$21+Skills!Q6))/100)*(1+Inputs!$B$16/100)*(5000/(6000+Inputs!$B$42*(1-(Inputs!$B$19+((C720=TRUE)*(F720-Calc!F27)))/100)))*(1+(Inputs!$B$24+((C718=TRUE)*(F718-Calc!F25))+((C719=TRUE)*(F719-Calc!F26))+B732)/100)*(1+IF(C700=TRUE,F700,0)/100)*(1+(IF(Skills!A6="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699)</f>
        <v/>
      </c>
      <c r="L699">
        <f>K699*(MIN(Inputs!$B$22+((C717=TRUE)*(F717-Calc!F24)),Inputs!$B$23+((C722=TRUE)*(F722-Calc!F29)))/100+(Inputs!$B$23+((C722=TRUE)*(F722-Calc!F29)))/100)/2</f>
        <v/>
      </c>
      <c r="M699">
        <f>L699*(1+(Inputs!$B$10+0+B731)/100)</f>
        <v/>
      </c>
      <c r="N699">
        <f>L699*(1-MIN((Inputs!$B$9+((C713=TRUE)*(F713-Calc!F20))+B726),100)/100)+M699*(MIN((Inputs!$B$9+((C713=TRUE)*(F713-Calc!F20))+B726),100)/100)</f>
        <v/>
      </c>
      <c r="O699">
        <f>IF(C699,H699*N699*IF(AND(Inputs!$B$38&lt;&gt;"pvp",Inputs!$B$43&gt;0),((Skills!G6*((R699-1)*IF(Skills!H6&gt;0,Skills!I6/Skills!H6,1)+IF(Skills!H6&gt;0,MIN(Skills!I6,MAX(0,MAX(0,Inputs!$B$43-B733)-((R699-1)*IF(Inputs!$B$38="pvp",15,MAX(0.1,Skills!D6-IF(Skills!E6=TRUE,Inputs!$B$32,0))))))/Skills!H6,1)))/Inputs!$B$43),G699*Q699)*IF(Inputs!$B$38="pvp",1,(1-Summary!$B$55)*(1)+Summary!$B$55*(MIN(Skills!R6,Inputs!$B$37))),0)</f>
        <v/>
      </c>
      <c r="P699">
        <f>IF(B734=0,0,O699/B734)</f>
        <v/>
      </c>
      <c r="Q699">
        <f>IFERROR(1/IF(Inputs!$B$38="pvp",15,MAX(0.1,Skills!D6-IF(Skills!E6=TRUE,Inputs!$B$32,0))),0)</f>
        <v/>
      </c>
      <c r="R699">
        <f>IF(AND(Inputs!$B$38&lt;&gt;"pvp",Inputs!$B$43&gt;0),IF(MAX(0,Inputs!$B$43-B733)&lt;=0,0,(INT(MAX(0,Inputs!$B$43-B733)/IF(Inputs!$B$38="pvp",15,MAX(0.1,Skills!D6-IF(Skills!E6=TRUE,Inputs!$B$32,0))))+1)),0)</f>
        <v/>
      </c>
      <c r="S699">
        <f>IFERROR(O699/N699,0)</f>
        <v/>
      </c>
    </row>
    <row r="700">
      <c r="A700">
        <f>Skills!A7</f>
        <v/>
      </c>
      <c r="B700">
        <f>Skills!B7</f>
        <v/>
      </c>
      <c r="C700">
        <f>Inputs!$B$3&gt;=107</f>
        <v/>
      </c>
      <c r="D700">
        <f>IF(Skills!C7=1,60+Inputs!$B$25+Inputs!$B$29,IF(Skills!C7=2,90+Inputs!$B$26+Inputs!$B$29,IF(Skills!C7=3,120+Inputs!$B$27+Inputs!$B$29,MAX(0,(Inputs!$B$3-100)*3)+Inputs!$B$28+Inputs!$B$29)))</f>
        <v/>
      </c>
      <c r="E700">
        <f>INDEX(FactorTable!$B$2:$Y$301, MATCH(ROUND(MIN(300,MAX(1,D700)),0), FactorTable!$A$2:$A$301,0), Skills!M7+1)</f>
        <v/>
      </c>
      <c r="F700">
        <f>IF(Skills!N7=TRUE,(Skills!L7/10)*(E700/1000),Skills!L7/10)+Skills!O7</f>
        <v/>
      </c>
      <c r="G700" t="inlineStr"/>
      <c r="H700" t="inlineStr"/>
      <c r="I700" t="inlineStr">
        <is>
          <t>1</t>
        </is>
      </c>
      <c r="J700" t="inlineStr"/>
      <c r="K700" t="inlineStr"/>
      <c r="L700" t="inlineStr"/>
      <c r="M700" t="inlineStr"/>
      <c r="N700" t="inlineStr"/>
      <c r="O700" t="inlineStr"/>
      <c r="P700" t="inlineStr"/>
      <c r="Q700" t="inlineStr"/>
      <c r="R700" t="inlineStr"/>
      <c r="S700" t="inlineStr"/>
    </row>
    <row r="701">
      <c r="A701">
        <f>Skills!A8</f>
        <v/>
      </c>
      <c r="B701">
        <f>Skills!B8</f>
        <v/>
      </c>
      <c r="C701">
        <f>Inputs!$B$3&gt;=69</f>
        <v/>
      </c>
      <c r="D701">
        <f>IF(Skills!C8=1,60+Inputs!$B$25+Inputs!$B$29,IF(Skills!C8=2,90+Inputs!$B$26+Inputs!$B$29,IF(Skills!C8=3,120+Inputs!$B$27+Inputs!$B$29,MAX(0,(Inputs!$B$3-100)*3)+Inputs!$B$28+Inputs!$B$29)))</f>
        <v/>
      </c>
      <c r="E701">
        <f>INDEX(FactorTable!$B$2:$Y$301, MATCH(ROUND(MIN(300,MAX(1,D701)),0), FactorTable!$A$2:$A$301,0), Skills!M8+1)</f>
        <v/>
      </c>
      <c r="F701">
        <f>IF(Skills!N8=TRUE,(Skills!L8/10)*(E701/1000),Skills!L8/10)+Skills!O8</f>
        <v/>
      </c>
      <c r="G701">
        <f>Skills!G8*IF(Skills!H8&gt;0,Skills!I8/Skills!H8,1)</f>
        <v/>
      </c>
      <c r="H701">
        <f>1-(1-Skills!J8/100)^Skills!K8</f>
        <v/>
      </c>
      <c r="I701" t="inlineStr">
        <is>
          <t>1</t>
        </is>
      </c>
      <c r="J701">
        <f>((Inputs!$B$6*(1+Inputs!$B$7/100))+(((Inputs!$B$12*(1+Inputs!$B$13/100))-(Inputs!$B$12*(1+Inputs!$B$13/100)))+0.25*(Inputs!$B$14-Inputs!$B$14))*(1+Inputs!$B$7/100))*(F701/100)</f>
        <v/>
      </c>
      <c r="K701">
        <f>J701*(1+((Inputs!$B$12*(1+Inputs!$B$13/100))*0.01+Inputs!$B$14*0.0025)/100)*(1+Inputs!$B$15/100)*(1+IF(Inputs!$B$38="pvp",0,(1-Summary!$B$55)*(Inputs!$B$20+0+Skills!P8)+Summary!$B$55*(Inputs!$B$21+Skills!Q8))/100)*(1+Inputs!$B$16/100)*(5000/(6000+Inputs!$B$42*(1-(Inputs!$B$19+((C720=TRUE)*(F720-Calc!F27)))/100)))*(1+(Inputs!$B$24+((C718=TRUE)*(F718-Calc!F25))+((C719=TRUE)*(F719-Calc!F26))+B732)/100)*(1+1.2*IF(C703=TRUE,F703,0)/100)*(1+(IF(Skills!A8="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701)</f>
        <v/>
      </c>
      <c r="L701">
        <f>K701*(MIN(Inputs!$B$22+((C717=TRUE)*(F717-Calc!F24)),Inputs!$B$23+((C722=TRUE)*(F722-Calc!F29)))/100+(Inputs!$B$23+((C722=TRUE)*(F722-Calc!F29)))/100)/2</f>
        <v/>
      </c>
      <c r="M701">
        <f>L701*(1+(Inputs!$B$10+0+B731)/100)</f>
        <v/>
      </c>
      <c r="N701">
        <f>L701*(1-MIN((Inputs!$B$9+((C713=TRUE)*(F713-Calc!F20))+B726),100)/100)+M701*(MIN((Inputs!$B$9+((C713=TRUE)*(F713-Calc!F20))+B726),100)/100)</f>
        <v/>
      </c>
      <c r="O701">
        <f>IF(C701,H701*N701*IF(AND(Inputs!$B$38&lt;&gt;"pvp",Inputs!$B$43&gt;0),((Skills!G8*((R701-1)*IF(Skills!H8&gt;0,Skills!I8/Skills!H8,1)+IF(Skills!H8&gt;0,MIN(Skills!I8,MAX(0,MAX(0,Inputs!$B$43-B733)-((R701-1)*IF(Inputs!$B$38="pvp",15,MAX(0.1,Skills!D8-IF(Skills!E8=TRUE,Inputs!$B$32,0))))))/Skills!H8,1)))/Inputs!$B$43),G701*Q701)*IF(Inputs!$B$38="pvp",1,(1-Summary!$B$55)*(1)+Summary!$B$55*(MIN(Skills!R8,Inputs!$B$37))),0)</f>
        <v/>
      </c>
      <c r="P701">
        <f>IF(B734=0,0,O701/B734)</f>
        <v/>
      </c>
      <c r="Q701">
        <f>IFERROR(1/IF(Inputs!$B$38="pvp",15,MAX(0.1,Skills!D8-IF(Skills!E8=TRUE,Inputs!$B$32,0))),0)</f>
        <v/>
      </c>
      <c r="R701">
        <f>IF(AND(Inputs!$B$38&lt;&gt;"pvp",Inputs!$B$43&gt;0),IF(MAX(0,Inputs!$B$43-B733)&lt;=0,0,(INT(MAX(0,Inputs!$B$43-B733)/IF(Inputs!$B$38="pvp",15,MAX(0.1,Skills!D8-IF(Skills!E8=TRUE,Inputs!$B$32,0))))+1)),0)</f>
        <v/>
      </c>
      <c r="S701">
        <f>IFERROR(O701/N701,0)</f>
        <v/>
      </c>
    </row>
    <row r="702">
      <c r="A702">
        <f>Skills!A9</f>
        <v/>
      </c>
      <c r="B702">
        <f>Skills!B9</f>
        <v/>
      </c>
      <c r="C702">
        <f>Inputs!$B$3&gt;=63</f>
        <v/>
      </c>
      <c r="D702">
        <f>IF(Skills!C9=1,60+Inputs!$B$25+Inputs!$B$29,IF(Skills!C9=2,90+Inputs!$B$26+Inputs!$B$29,IF(Skills!C9=3,120+Inputs!$B$27+Inputs!$B$29,MAX(0,(Inputs!$B$3-100)*3)+Inputs!$B$28+Inputs!$B$29)))</f>
        <v/>
      </c>
      <c r="E702">
        <f>INDEX(FactorTable!$B$2:$Y$301, MATCH(ROUND(MIN(300,MAX(1,D702)),0), FactorTable!$A$2:$A$301,0), Skills!M9+1)</f>
        <v/>
      </c>
      <c r="F702">
        <f>IF(Skills!N9=TRUE,(Skills!L9/10)*(E702/1000),Skills!L9/10)+Skills!O9</f>
        <v/>
      </c>
      <c r="G702">
        <f>Skills!G9*IF(Skills!H9&gt;0,Skills!I9/Skills!H9,1)</f>
        <v/>
      </c>
      <c r="H702">
        <f>1-(1-Skills!J9/100)^Skills!K9</f>
        <v/>
      </c>
      <c r="I702" t="inlineStr">
        <is>
          <t>1</t>
        </is>
      </c>
      <c r="J702">
        <f>((Inputs!$B$6*(1+Inputs!$B$7/100))+(((Inputs!$B$12*(1+Inputs!$B$13/100))-(Inputs!$B$12*(1+Inputs!$B$13/100)))+0.25*(Inputs!$B$14-Inputs!$B$14))*(1+Inputs!$B$7/100))*(F702/100)</f>
        <v/>
      </c>
      <c r="K702">
        <f>J702*(1+((Inputs!$B$12*(1+Inputs!$B$13/100))*0.01+Inputs!$B$14*0.0025)/100)*(1+Inputs!$B$15/100)*(1+IF(Inputs!$B$38="pvp",0,(1-Summary!$B$55)*(Inputs!$B$20+0+Skills!P9)+Summary!$B$55*(Inputs!$B$21+Skills!Q9))/100)*(1+Inputs!$B$16/100)*(5000/(6000+Inputs!$B$42*(1-(Inputs!$B$19+((C720=TRUE)*(F720-Calc!F27)))/100)))*(1+(Inputs!$B$24+((C718=TRUE)*(F718-Calc!F25))+((C719=TRUE)*(F719-Calc!F26))+B732)/100)*(1+1.0*IF(C703=TRUE,F703,0)/100)*(1+(IF(Skills!A9="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702)</f>
        <v/>
      </c>
      <c r="L702">
        <f>K702*(MIN(Inputs!$B$22+((C717=TRUE)*(F717-Calc!F24)),Inputs!$B$23+((C722=TRUE)*(F722-Calc!F29)))/100+(Inputs!$B$23+((C722=TRUE)*(F722-Calc!F29)))/100)/2</f>
        <v/>
      </c>
      <c r="M702">
        <f>L702*(1+(Inputs!$B$10+0+B731)/100)</f>
        <v/>
      </c>
      <c r="N702">
        <f>L702*(1-MIN((Inputs!$B$9+((C713=TRUE)*(F713-Calc!F20))+B726),100)/100)+M702*(MIN((Inputs!$B$9+((C713=TRUE)*(F713-Calc!F20))+B726),100)/100)</f>
        <v/>
      </c>
      <c r="O702">
        <f>IF(C702,H702*N702*IF(AND(Inputs!$B$38&lt;&gt;"pvp",Inputs!$B$43&gt;0),((Skills!G9*((R702-1)*IF(Skills!H9&gt;0,Skills!I9/Skills!H9,1)+IF(Skills!H9&gt;0,MIN(Skills!I9,MAX(0,MAX(0,Inputs!$B$43-B733)-((R702-1)*IF(Inputs!$B$38="pvp",15,MAX(0.1,Skills!D9-IF(Skills!E9=TRUE,Inputs!$B$32,0))))))/Skills!H9,1)))/Inputs!$B$43),G702*Q702)*IF(Inputs!$B$38="pvp",1,(1-Summary!$B$55)*(1)+Summary!$B$55*(MIN(Skills!R9,Inputs!$B$37))),0)</f>
        <v/>
      </c>
      <c r="P702">
        <f>IF(B734=0,0,O702/B734)</f>
        <v/>
      </c>
      <c r="Q702">
        <f>IFERROR(1/IF(Inputs!$B$38="pvp",15,MAX(0.1,Skills!D9-IF(Skills!E9=TRUE,Inputs!$B$32,0))),0)</f>
        <v/>
      </c>
      <c r="R702">
        <f>IF(AND(Inputs!$B$38&lt;&gt;"pvp",Inputs!$B$43&gt;0),IF(MAX(0,Inputs!$B$43-B733)&lt;=0,0,(INT(MAX(0,Inputs!$B$43-B733)/IF(Inputs!$B$38="pvp",15,MAX(0.1,Skills!D9-IF(Skills!E9=TRUE,Inputs!$B$32,0))))+1)),0)</f>
        <v/>
      </c>
      <c r="S702">
        <f>IFERROR(O702/N702,0)</f>
        <v/>
      </c>
    </row>
    <row r="703">
      <c r="A703">
        <f>Skills!A10</f>
        <v/>
      </c>
      <c r="B703">
        <f>Skills!B10</f>
        <v/>
      </c>
      <c r="C703">
        <f>Inputs!$B$3&gt;=100</f>
        <v/>
      </c>
      <c r="D703">
        <f>IF(Skills!C10=1,60+Inputs!$B$25+Inputs!$B$29,IF(Skills!C10=2,90+Inputs!$B$26+Inputs!$B$29,IF(Skills!C10=3,120+Inputs!$B$27+Inputs!$B$29,MAX(0,(Inputs!$B$3-100)*3)+Inputs!$B$28+Inputs!$B$29)))</f>
        <v/>
      </c>
      <c r="E703">
        <f>INDEX(FactorTable!$B$2:$Y$301, MATCH(ROUND(MIN(300,MAX(1,D703)),0), FactorTable!$A$2:$A$301,0), Skills!M10+1)</f>
        <v/>
      </c>
      <c r="F703">
        <f>IF(Skills!N10=TRUE,(Skills!L10/10)*(E703/1000),Skills!L10/10)+Skills!O10</f>
        <v/>
      </c>
      <c r="G703" t="inlineStr"/>
      <c r="H703" t="inlineStr"/>
      <c r="I703" t="inlineStr">
        <is>
          <t>1</t>
        </is>
      </c>
      <c r="J703" t="inlineStr"/>
      <c r="K703" t="inlineStr"/>
      <c r="L703" t="inlineStr"/>
      <c r="M703" t="inlineStr"/>
      <c r="N703" t="inlineStr"/>
      <c r="O703" t="inlineStr"/>
      <c r="P703" t="inlineStr"/>
      <c r="Q703" t="inlineStr"/>
      <c r="R703" t="inlineStr"/>
      <c r="S703" t="inlineStr"/>
    </row>
    <row r="704">
      <c r="A704">
        <f>Skills!A11</f>
        <v/>
      </c>
      <c r="B704">
        <f>Skills!B11</f>
        <v/>
      </c>
      <c r="C704">
        <f>Inputs!$B$3&gt;=60</f>
        <v/>
      </c>
      <c r="D704">
        <f>IF(Skills!C11=1,60+Inputs!$B$25+Inputs!$B$29,IF(Skills!C11=2,90+Inputs!$B$26+Inputs!$B$29,IF(Skills!C11=3,120+Inputs!$B$27+Inputs!$B$29,MAX(0,(Inputs!$B$3-100)*3)+Inputs!$B$28+Inputs!$B$29)))</f>
        <v/>
      </c>
      <c r="E704">
        <f>INDEX(FactorTable!$B$2:$Y$301, MATCH(ROUND(MIN(300,MAX(1,D704)),0), FactorTable!$A$2:$A$301,0), Skills!M11+1)</f>
        <v/>
      </c>
      <c r="F704">
        <f>IF(Skills!N11=TRUE,(Skills!L11/10)*(E704/1000),Skills!L11/10)+Skills!O11</f>
        <v/>
      </c>
      <c r="G704">
        <f>Skills!G11*IF(Skills!H11&gt;0,Skills!I11/Skills!H11,1)</f>
        <v/>
      </c>
      <c r="H704">
        <f>1-(1-Skills!J11/100)^Skills!K11</f>
        <v/>
      </c>
      <c r="I704" t="inlineStr">
        <is>
          <t>1</t>
        </is>
      </c>
      <c r="J704">
        <f>((Inputs!$B$6*(1+Inputs!$B$7/100))+(((Inputs!$B$12*(1+Inputs!$B$13/100))-(Inputs!$B$12*(1+Inputs!$B$13/100)))+0.25*(Inputs!$B$14-Inputs!$B$14))*(1+Inputs!$B$7/100))*(F704/100)</f>
        <v/>
      </c>
      <c r="K704">
        <f>J704*(1+((Inputs!$B$12*(1+Inputs!$B$13/100))*0.01+Inputs!$B$14*0.0025)/100)*(1+Inputs!$B$15/100)*(1+IF(Inputs!$B$38="pvp",0,(1-Summary!$B$55)*(Inputs!$B$20+0+Skills!P11)+Summary!$B$55*(Inputs!$B$21+Skills!Q11))/100)*(1+Inputs!$B$16/100)*(5000/(6000+Inputs!$B$42*(1-(Inputs!$B$19+((C720=TRUE)*(F720-Calc!F27)))/100)))*(1+(Inputs!$B$24+((C718=TRUE)*(F718-Calc!F25))+((C719=TRUE)*(F719-Calc!F26))+B732)/100)*(1+IF(C705=TRUE,F705,0)/100)*(1+(IF(Skills!A11="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704)</f>
        <v/>
      </c>
      <c r="L704">
        <f>K704*(MIN(Inputs!$B$22+((C717=TRUE)*(F717-Calc!F24)),Inputs!$B$23+((C722=TRUE)*(F722-Calc!F29)))/100+(Inputs!$B$23+((C722=TRUE)*(F722-Calc!F29)))/100)/2</f>
        <v/>
      </c>
      <c r="M704">
        <f>L704*(1+(Inputs!$B$10+0+B731)/100)</f>
        <v/>
      </c>
      <c r="N704">
        <f>L704*(1-MIN((Inputs!$B$9+((C713=TRUE)*(F713-Calc!F20))+B726),100)/100)+M704*(MIN((Inputs!$B$9+((C713=TRUE)*(F713-Calc!F20))+B726),100)/100)</f>
        <v/>
      </c>
      <c r="O704">
        <f>IF(C704,H704*N704*IF(AND(Inputs!$B$38&lt;&gt;"pvp",Inputs!$B$43&gt;0),((Skills!G11*((R704-1)*IF(Skills!H11&gt;0,Skills!I11/Skills!H11,1)+IF(Skills!H11&gt;0,MIN(Skills!I11,MAX(0,MAX(0,Inputs!$B$43-B733)-((R704-1)*IF(Inputs!$B$38="pvp",15,MAX(0.1,Skills!D11-IF(Skills!E11=TRUE,Inputs!$B$32,0))))))/Skills!H11,1)))/Inputs!$B$43),G704*Q704)*IF(Inputs!$B$38="pvp",1,(1-Summary!$B$55)*(1)+Summary!$B$55*(MIN(Skills!R11,Inputs!$B$37))),0)</f>
        <v/>
      </c>
      <c r="P704">
        <f>IF(B734=0,0,O704/B734)</f>
        <v/>
      </c>
      <c r="Q704">
        <f>IFERROR(1/IF(Inputs!$B$38="pvp",15,MAX(0.1,Skills!D11-IF(Skills!E11=TRUE,Inputs!$B$32,0))),0)</f>
        <v/>
      </c>
      <c r="R704">
        <f>IF(AND(Inputs!$B$38&lt;&gt;"pvp",Inputs!$B$43&gt;0),IF(MAX(0,Inputs!$B$43-B733)&lt;=0,0,(INT(MAX(0,Inputs!$B$43-B733)/IF(Inputs!$B$38="pvp",15,MAX(0.1,Skills!D11-IF(Skills!E11=TRUE,Inputs!$B$32,0))))+1)),0)</f>
        <v/>
      </c>
      <c r="S704">
        <f>IFERROR(O704/N704,0)</f>
        <v/>
      </c>
    </row>
    <row r="705">
      <c r="A705">
        <f>Skills!A12</f>
        <v/>
      </c>
      <c r="B705">
        <f>Skills!B12</f>
        <v/>
      </c>
      <c r="C705">
        <f>Inputs!$B$3&gt;=110</f>
        <v/>
      </c>
      <c r="D705">
        <f>IF(Skills!C12=1,60+Inputs!$B$25+Inputs!$B$29,IF(Skills!C12=2,90+Inputs!$B$26+Inputs!$B$29,IF(Skills!C12=3,120+Inputs!$B$27+Inputs!$B$29,MAX(0,(Inputs!$B$3-100)*3)+Inputs!$B$28+Inputs!$B$29)))</f>
        <v/>
      </c>
      <c r="E705">
        <f>INDEX(FactorTable!$B$2:$Y$301, MATCH(ROUND(MIN(300,MAX(1,D705)),0), FactorTable!$A$2:$A$301,0), Skills!M12+1)</f>
        <v/>
      </c>
      <c r="F705">
        <f>IF(Skills!N12=TRUE,(Skills!L12/10)*(E705/1000),Skills!L12/10)+Skills!O12</f>
        <v/>
      </c>
      <c r="G705" t="inlineStr"/>
      <c r="H705" t="inlineStr"/>
      <c r="I705" t="inlineStr">
        <is>
          <t>1</t>
        </is>
      </c>
      <c r="J705" t="inlineStr"/>
      <c r="K705" t="inlineStr"/>
      <c r="L705" t="inlineStr"/>
      <c r="M705" t="inlineStr"/>
      <c r="N705" t="inlineStr"/>
      <c r="O705" t="inlineStr"/>
      <c r="P705" t="inlineStr"/>
      <c r="Q705" t="inlineStr"/>
      <c r="R705" t="inlineStr"/>
      <c r="S705" t="inlineStr"/>
    </row>
    <row r="706">
      <c r="A706">
        <f>Skills!A13</f>
        <v/>
      </c>
      <c r="B706">
        <f>Skills!B13</f>
        <v/>
      </c>
      <c r="C706">
        <f>Inputs!$B$3&gt;=74</f>
        <v/>
      </c>
      <c r="D706">
        <f>IF(Skills!C13=1,60+Inputs!$B$25+Inputs!$B$29,IF(Skills!C13=2,90+Inputs!$B$26+Inputs!$B$29,IF(Skills!C13=3,120+Inputs!$B$27+Inputs!$B$29,MAX(0,(Inputs!$B$3-100)*3)+Inputs!$B$28+Inputs!$B$29)))</f>
        <v/>
      </c>
      <c r="E706">
        <f>INDEX(FactorTable!$B$2:$Y$301, MATCH(ROUND(MIN(300,MAX(1,D706)),0), FactorTable!$A$2:$A$301,0), Skills!M13+1)</f>
        <v/>
      </c>
      <c r="F706">
        <f>IF(Skills!N13=TRUE,(Skills!L13/10)*(E706/1000),Skills!L13/10)+Skills!O13</f>
        <v/>
      </c>
      <c r="G706">
        <f>Skills!G13*IF(Skills!H13&gt;0,Skills!I13/Skills!H13,1)</f>
        <v/>
      </c>
      <c r="H706">
        <f>1-(1-Skills!J13/100)^Skills!K13</f>
        <v/>
      </c>
      <c r="I706" t="inlineStr">
        <is>
          <t>1</t>
        </is>
      </c>
      <c r="J706" t="inlineStr"/>
      <c r="K706" t="inlineStr"/>
      <c r="L706" t="inlineStr"/>
      <c r="M706" t="inlineStr"/>
      <c r="N706" t="inlineStr"/>
      <c r="O706" t="n">
        <v>0</v>
      </c>
      <c r="P706">
        <f>IF(B734=0,0,O706/B734)</f>
        <v/>
      </c>
      <c r="Q706" t="n">
        <v>0</v>
      </c>
      <c r="R706" t="n">
        <v>0</v>
      </c>
      <c r="S706">
        <f>IFERROR(O706/N706,0)</f>
        <v/>
      </c>
    </row>
    <row r="707">
      <c r="A707">
        <f>Skills!A14</f>
        <v/>
      </c>
      <c r="B707">
        <f>Skills!B14</f>
        <v/>
      </c>
      <c r="C707">
        <f>Inputs!$B$3&gt;=74</f>
        <v/>
      </c>
      <c r="D707">
        <f>IF(Skills!C14=1,60+Inputs!$B$25+Inputs!$B$29,IF(Skills!C14=2,90+Inputs!$B$26+Inputs!$B$29,IF(Skills!C14=3,120+Inputs!$B$27+Inputs!$B$29,MAX(0,(Inputs!$B$3-100)*3)+Inputs!$B$28+Inputs!$B$29)))</f>
        <v/>
      </c>
      <c r="E707">
        <f>INDEX(FactorTable!$B$2:$Y$301, MATCH(ROUND(MIN(300,MAX(1,D707)),0), FactorTable!$A$2:$A$301,0), Skills!M14+1)</f>
        <v/>
      </c>
      <c r="F707">
        <f>IF(Skills!N14=TRUE,(Skills!L14/10)*(E707/1000),Skills!L14/10)+Skills!O14</f>
        <v/>
      </c>
      <c r="G707">
        <f>Skills!G14*IF(Skills!H14&gt;0,Skills!I14/Skills!H14,1)</f>
        <v/>
      </c>
      <c r="H707">
        <f>1-(1-Skills!J14/100)^Skills!K14</f>
        <v/>
      </c>
      <c r="I707" t="inlineStr">
        <is>
          <t>1</t>
        </is>
      </c>
      <c r="J707" t="inlineStr"/>
      <c r="K707" t="inlineStr"/>
      <c r="L707" t="inlineStr"/>
      <c r="M707" t="inlineStr"/>
      <c r="N707" t="inlineStr"/>
      <c r="O707" t="n">
        <v>0</v>
      </c>
      <c r="P707">
        <f>IF(B734=0,0,O707/B734)</f>
        <v/>
      </c>
      <c r="Q707" t="n">
        <v>0</v>
      </c>
      <c r="R707" t="n">
        <v>0</v>
      </c>
      <c r="S707">
        <f>IFERROR(O707/N707,0)</f>
        <v/>
      </c>
    </row>
    <row r="708">
      <c r="A708">
        <f>Skills!A15</f>
        <v/>
      </c>
      <c r="B708">
        <f>Skills!B15</f>
        <v/>
      </c>
      <c r="C708">
        <f>Inputs!$B$3&gt;=117</f>
        <v/>
      </c>
      <c r="D708">
        <f>IF(Skills!C15=1,60+Inputs!$B$25+Inputs!$B$29,IF(Skills!C15=2,90+Inputs!$B$26+Inputs!$B$29,IF(Skills!C15=3,120+Inputs!$B$27+Inputs!$B$29,MAX(0,(Inputs!$B$3-100)*3)+Inputs!$B$28+Inputs!$B$29)))</f>
        <v/>
      </c>
      <c r="E708">
        <f>INDEX(FactorTable!$B$2:$Y$301, MATCH(ROUND(MIN(300,MAX(1,D708)),0), FactorTable!$A$2:$A$301,0), Skills!M15+1)</f>
        <v/>
      </c>
      <c r="F708">
        <f>IF(Skills!N15=TRUE,(Skills!L15/10)*(E708/1000),Skills!L15/10)+Skills!O15</f>
        <v/>
      </c>
      <c r="G708">
        <f>Skills!G15*IF(Skills!H15&gt;0,Skills!I15/Skills!H15,1)</f>
        <v/>
      </c>
      <c r="H708">
        <f>1-(1-Skills!J15/100)^Skills!K15</f>
        <v/>
      </c>
      <c r="I708" t="inlineStr">
        <is>
          <t>1</t>
        </is>
      </c>
      <c r="J708" t="inlineStr"/>
      <c r="K708" t="inlineStr"/>
      <c r="L708" t="inlineStr"/>
      <c r="M708" t="inlineStr"/>
      <c r="N708" t="inlineStr"/>
      <c r="O708" t="n">
        <v>0</v>
      </c>
      <c r="P708">
        <f>IF(B734=0,0,O708/B734)</f>
        <v/>
      </c>
      <c r="Q708">
        <f>IFERROR(1/IF(Inputs!$B$38="pvp",15,MAX(0.1,Skills!D15-IF(Skills!E15=TRUE,Inputs!$B$32,0))),0)</f>
        <v/>
      </c>
      <c r="R708">
        <f>IF(AND(Inputs!$B$38&lt;&gt;"pvp",Inputs!$B$43&gt;0),IF(Inputs!$B$43&lt;=0,0,(INT(Inputs!$B$43/IF(Inputs!$B$38="pvp",15,MAX(0.1,Skills!D15-IF(Skills!E15=TRUE,Inputs!$B$32,0))))+1)),0)</f>
        <v/>
      </c>
      <c r="S708">
        <f>IFERROR(O708/N708,0)</f>
        <v/>
      </c>
    </row>
    <row r="709">
      <c r="A709">
        <f>Skills!A16</f>
        <v/>
      </c>
      <c r="B709">
        <f>Skills!B16</f>
        <v/>
      </c>
      <c r="C709">
        <f>Inputs!$B$3&gt;=115</f>
        <v/>
      </c>
      <c r="D709">
        <f>IF(Skills!C16=1,60+Inputs!$B$25+Inputs!$B$29,IF(Skills!C16=2,90+Inputs!$B$26+Inputs!$B$29,IF(Skills!C16=3,120+Inputs!$B$27+Inputs!$B$29,MAX(0,(Inputs!$B$3-100)*3)+Inputs!$B$28+Inputs!$B$29)))</f>
        <v/>
      </c>
      <c r="E709">
        <f>INDEX(FactorTable!$B$2:$Y$301, MATCH(ROUND(MIN(300,MAX(1,D709)),0), FactorTable!$A$2:$A$301,0), Skills!M16+1)</f>
        <v/>
      </c>
      <c r="F709">
        <f>IF(Skills!N16=TRUE,(Skills!L16/10)*(E709/1000),Skills!L16/10)+Skills!O16</f>
        <v/>
      </c>
      <c r="G709">
        <f>Skills!G16*IF(Skills!H16&gt;0,Skills!I16/Skills!H16,1)</f>
        <v/>
      </c>
      <c r="H709">
        <f>1-(1-Skills!J16/100)^Skills!K16</f>
        <v/>
      </c>
      <c r="I709" t="inlineStr">
        <is>
          <t>1</t>
        </is>
      </c>
      <c r="J709" t="inlineStr"/>
      <c r="K709" t="inlineStr"/>
      <c r="L709" t="inlineStr"/>
      <c r="M709" t="inlineStr"/>
      <c r="N709" t="inlineStr"/>
      <c r="O709" t="n">
        <v>0</v>
      </c>
      <c r="P709">
        <f>IF(B734=0,0,O709/B734)</f>
        <v/>
      </c>
      <c r="Q709">
        <f>IFERROR(1/IF(Inputs!$B$38="pvp",15,MAX(0.1,Skills!D16-IF(Skills!E16=TRUE,Inputs!$B$32,0))),0)</f>
        <v/>
      </c>
      <c r="R709">
        <f>IF(AND(Inputs!$B$38&lt;&gt;"pvp",Inputs!$B$43&gt;0),IF(Inputs!$B$43&lt;=0,0,(INT(Inputs!$B$43/IF(Inputs!$B$38="pvp",15,MAX(0.1,Skills!D16-IF(Skills!E16=TRUE,Inputs!$B$32,0))))+1)),0)</f>
        <v/>
      </c>
      <c r="S709">
        <f>IFERROR(O709/N709,0)</f>
        <v/>
      </c>
    </row>
    <row r="710">
      <c r="A710">
        <f>Skills!A17</f>
        <v/>
      </c>
      <c r="B710">
        <f>Skills!B17</f>
        <v/>
      </c>
      <c r="C710">
        <f>Inputs!$B$3&gt;=66</f>
        <v/>
      </c>
      <c r="D710">
        <f>IF(Skills!C17=1,60+Inputs!$B$25+Inputs!$B$29,IF(Skills!C17=2,90+Inputs!$B$26+Inputs!$B$29,IF(Skills!C17=3,120+Inputs!$B$27+Inputs!$B$29,MAX(0,(Inputs!$B$3-100)*3)+Inputs!$B$28+Inputs!$B$29)))</f>
        <v/>
      </c>
      <c r="E710">
        <f>INDEX(FactorTable!$B$2:$Y$301, MATCH(ROUND(MIN(300,MAX(1,D710)),0), FactorTable!$A$2:$A$301,0), Skills!M17+1)</f>
        <v/>
      </c>
      <c r="F710">
        <f>IF(Skills!N17=TRUE,(Skills!L17/10)*(E710/1000),Skills!L17/10)+Skills!O17</f>
        <v/>
      </c>
      <c r="G710">
        <f>Skills!G17*IF(Skills!H17&gt;0,Skills!I17/Skills!H17,1)</f>
        <v/>
      </c>
      <c r="H710">
        <f>1-(1-Skills!J17/100)^Skills!K17</f>
        <v/>
      </c>
      <c r="I710" t="inlineStr">
        <is>
          <t>1</t>
        </is>
      </c>
      <c r="J710" t="inlineStr"/>
      <c r="K710" t="inlineStr"/>
      <c r="L710" t="inlineStr"/>
      <c r="M710" t="inlineStr"/>
      <c r="N710" t="inlineStr"/>
      <c r="O710" t="n">
        <v>0</v>
      </c>
      <c r="P710">
        <f>IF(B734=0,0,O710/B734)</f>
        <v/>
      </c>
      <c r="Q710" t="n">
        <v>0</v>
      </c>
      <c r="R710" t="n">
        <v>0</v>
      </c>
      <c r="S710">
        <f>IFERROR(O710/N710,0)</f>
        <v/>
      </c>
    </row>
    <row r="711">
      <c r="A711">
        <f>Skills!A18</f>
        <v/>
      </c>
      <c r="B711">
        <f>Skills!B18</f>
        <v/>
      </c>
      <c r="C711">
        <f>Inputs!$B$3&gt;=72</f>
        <v/>
      </c>
      <c r="D711">
        <f>IF(Skills!C18=1,60+Inputs!$B$25+Inputs!$B$29,IF(Skills!C18=2,90+Inputs!$B$26+Inputs!$B$29,IF(Skills!C18=3,120+Inputs!$B$27+Inputs!$B$29,MAX(0,(Inputs!$B$3-100)*3)+Inputs!$B$28+Inputs!$B$29)))</f>
        <v/>
      </c>
      <c r="E711">
        <f>INDEX(FactorTable!$B$2:$Y$301, MATCH(ROUND(MIN(300,MAX(1,D711)),0), FactorTable!$A$2:$A$301,0), Skills!M18+1)</f>
        <v/>
      </c>
      <c r="F711">
        <f>IF(Skills!N18=TRUE,(Skills!L18/10)*(E711/1000),Skills!L18/10)+Skills!O18</f>
        <v/>
      </c>
      <c r="G711">
        <f>Skills!G18*IF(Skills!H18&gt;0,Skills!I18/Skills!H18,1)</f>
        <v/>
      </c>
      <c r="H711">
        <f>1-(1-Skills!J18/100)^Skills!K18</f>
        <v/>
      </c>
      <c r="I711" t="inlineStr">
        <is>
          <t>1</t>
        </is>
      </c>
      <c r="J711" t="inlineStr"/>
      <c r="K711" t="inlineStr"/>
      <c r="L711" t="inlineStr"/>
      <c r="M711" t="inlineStr"/>
      <c r="N711" t="inlineStr"/>
      <c r="O711" t="n">
        <v>0</v>
      </c>
      <c r="P711">
        <f>IF(B734=0,0,O711/B734)</f>
        <v/>
      </c>
      <c r="Q711" t="n">
        <v>0</v>
      </c>
      <c r="R711" t="n">
        <v>0</v>
      </c>
      <c r="S711">
        <f>IFERROR(O711/N711,0)</f>
        <v/>
      </c>
    </row>
    <row r="712">
      <c r="A712">
        <f>Skills!A19</f>
        <v/>
      </c>
      <c r="B712">
        <f>Skills!B19</f>
        <v/>
      </c>
      <c r="C712">
        <f>TRUE</f>
        <v/>
      </c>
      <c r="D712">
        <f>IF(Skills!C19=1,60+Inputs!$B$25+Inputs!$B$29,IF(Skills!C19=2,90+Inputs!$B$26+Inputs!$B$29,IF(Skills!C19=3,120+Inputs!$B$27+Inputs!$B$29,MAX(0,(Inputs!$B$3-100)*3)+Inputs!$B$28+Inputs!$B$29)))</f>
        <v/>
      </c>
      <c r="E712">
        <f>INDEX(FactorTable!$B$2:$Y$301, MATCH(ROUND(MIN(300,MAX(1,D712)),0), FactorTable!$A$2:$A$301,0), Skills!M19+1)</f>
        <v/>
      </c>
      <c r="F712">
        <f>IF(Skills!N19=TRUE,(Skills!L19/10)*(E712/1000),Skills!L19/10)+Skills!O19</f>
        <v/>
      </c>
      <c r="G712">
        <f>Skills!G19*IF(Skills!H19&gt;0,Skills!I19/Skills!H19,1)</f>
        <v/>
      </c>
      <c r="H712">
        <f>1-(1-Skills!J19/100)^Skills!K19</f>
        <v/>
      </c>
      <c r="I712" t="inlineStr">
        <is>
          <t>1</t>
        </is>
      </c>
      <c r="J712" t="inlineStr"/>
      <c r="K712" t="inlineStr"/>
      <c r="L712" t="inlineStr"/>
      <c r="M712" t="inlineStr"/>
      <c r="N712" t="inlineStr"/>
      <c r="O712" t="n">
        <v>0</v>
      </c>
      <c r="P712">
        <f>IF(B734=0,0,O712/B734)</f>
        <v/>
      </c>
      <c r="Q712">
        <f>IFERROR(1/IF(Inputs!$B$38="pvp",15,MAX(0.1,Skills!D19-IF(Skills!E19=TRUE,Inputs!$B$32,0))),0)</f>
        <v/>
      </c>
      <c r="R712">
        <f>IF(AND(Inputs!$B$38&lt;&gt;"pvp",Inputs!$B$43&gt;0),IF(Inputs!$B$43&lt;=0,0,(INT(Inputs!$B$43/IF(Inputs!$B$38="pvp",15,MAX(0.1,Skills!D19-IF(Skills!E19=TRUE,Inputs!$B$32,0))))+1)),0)</f>
        <v/>
      </c>
      <c r="S712">
        <f>IFERROR(O712/N712,0)</f>
        <v/>
      </c>
    </row>
    <row r="713">
      <c r="A713">
        <f>Skills!A20</f>
        <v/>
      </c>
      <c r="B713">
        <f>Skills!B20</f>
        <v/>
      </c>
      <c r="C713">
        <f>Inputs!$B$3&gt;=15</f>
        <v/>
      </c>
      <c r="D713">
        <f>IF(Skills!C20=1,60+Inputs!$B$25+Inputs!$B$29,IF(Skills!C20=2,90+Inputs!$B$26+Inputs!$B$29,IF(Skills!C20=3,120+Inputs!$B$27+Inputs!$B$29,MAX(0,(Inputs!$B$3-100)*3)+Inputs!$B$28+Inputs!$B$29)))</f>
        <v/>
      </c>
      <c r="E713">
        <f>INDEX(FactorTable!$B$2:$Y$301, MATCH(ROUND(MIN(300,MAX(1,D713)),0), FactorTable!$A$2:$A$301,0), Skills!M20+1)</f>
        <v/>
      </c>
      <c r="F713">
        <f>IF(Skills!N20=TRUE,(Skills!L20/10)*(E713/1000),Skills!L20/10)+Skills!O20</f>
        <v/>
      </c>
      <c r="G713">
        <f>Skills!G20*IF(Skills!H20&gt;0,Skills!I20/Skills!H20,1)</f>
        <v/>
      </c>
      <c r="H713">
        <f>1-(1-Skills!J20/100)^Skills!K20</f>
        <v/>
      </c>
      <c r="I713" t="inlineStr">
        <is>
          <t>1</t>
        </is>
      </c>
      <c r="J713" t="inlineStr"/>
      <c r="K713" t="inlineStr"/>
      <c r="L713" t="inlineStr"/>
      <c r="M713" t="inlineStr"/>
      <c r="N713" t="inlineStr"/>
      <c r="O713" t="n">
        <v>0</v>
      </c>
      <c r="P713">
        <f>IF(B734=0,0,O713/B734)</f>
        <v/>
      </c>
      <c r="Q713" t="n">
        <v>0</v>
      </c>
      <c r="R713" t="n">
        <v>0</v>
      </c>
      <c r="S713">
        <f>IFERROR(O713/N713,0)</f>
        <v/>
      </c>
    </row>
    <row r="714">
      <c r="A714">
        <f>Skills!A21</f>
        <v/>
      </c>
      <c r="B714">
        <f>Skills!B21</f>
        <v/>
      </c>
      <c r="C714">
        <f>Inputs!$B$3&gt;=10</f>
        <v/>
      </c>
      <c r="D714">
        <f>IF(Skills!C21=1,60+Inputs!$B$25+Inputs!$B$29,IF(Skills!C21=2,90+Inputs!$B$26+Inputs!$B$29,IF(Skills!C21=3,120+Inputs!$B$27+Inputs!$B$29,MAX(0,(Inputs!$B$3-100)*3)+Inputs!$B$28+Inputs!$B$29)))</f>
        <v/>
      </c>
      <c r="E714">
        <f>INDEX(FactorTable!$B$2:$Y$301, MATCH(ROUND(MIN(300,MAX(1,D714)),0), FactorTable!$A$2:$A$301,0), Skills!M21+1)</f>
        <v/>
      </c>
      <c r="F714">
        <f>IF(Skills!N21=TRUE,(Skills!L21/10)*(E714/1000),Skills!L21/10)+Skills!O21</f>
        <v/>
      </c>
      <c r="G714">
        <f>Skills!G21*IF(Skills!H21&gt;0,Skills!I21/Skills!H21,1)</f>
        <v/>
      </c>
      <c r="H714">
        <f>1-(1-Skills!J21/100)^Skills!K21</f>
        <v/>
      </c>
      <c r="I714" t="inlineStr">
        <is>
          <t>1</t>
        </is>
      </c>
      <c r="J714" t="inlineStr"/>
      <c r="K714" t="inlineStr"/>
      <c r="L714" t="inlineStr"/>
      <c r="M714" t="inlineStr"/>
      <c r="N714" t="inlineStr"/>
      <c r="O714" t="n">
        <v>0</v>
      </c>
      <c r="P714">
        <f>IF(B734=0,0,O714/B734)</f>
        <v/>
      </c>
      <c r="Q714" t="n">
        <v>0</v>
      </c>
      <c r="R714" t="n">
        <v>0</v>
      </c>
      <c r="S714">
        <f>IFERROR(O714/N714,0)</f>
        <v/>
      </c>
    </row>
    <row r="715">
      <c r="A715">
        <f>Skills!A22</f>
        <v/>
      </c>
      <c r="B715">
        <f>Skills!B22</f>
        <v/>
      </c>
      <c r="C715">
        <f>Inputs!$B$3&gt;=33</f>
        <v/>
      </c>
      <c r="D715">
        <f>IF(Skills!C22=1,60+Inputs!$B$25+Inputs!$B$29,IF(Skills!C22=2,90+Inputs!$B$26+Inputs!$B$29,IF(Skills!C22=3,120+Inputs!$B$27+Inputs!$B$29,MAX(0,(Inputs!$B$3-100)*3)+Inputs!$B$28+Inputs!$B$29)))</f>
        <v/>
      </c>
      <c r="E715">
        <f>INDEX(FactorTable!$B$2:$Y$301, MATCH(ROUND(MIN(300,MAX(1,D715)),0), FactorTable!$A$2:$A$301,0), Skills!M22+1)</f>
        <v/>
      </c>
      <c r="F715">
        <f>IF(Skills!N22=TRUE,(Skills!L22/10)*(E715/1000),Skills!L22/10)+Skills!O22</f>
        <v/>
      </c>
      <c r="G715">
        <f>Skills!G22*IF(Skills!H22&gt;0,Skills!I22/Skills!H22,1)</f>
        <v/>
      </c>
      <c r="H715">
        <f>1-(1-Skills!J22/100)^Skills!K22</f>
        <v/>
      </c>
      <c r="I715" t="inlineStr">
        <is>
          <t>1</t>
        </is>
      </c>
      <c r="J715" t="inlineStr"/>
      <c r="K715" t="inlineStr"/>
      <c r="L715" t="inlineStr"/>
      <c r="M715" t="inlineStr"/>
      <c r="N715" t="inlineStr"/>
      <c r="O715" t="n">
        <v>0</v>
      </c>
      <c r="P715">
        <f>IF(B734=0,0,O715/B734)</f>
        <v/>
      </c>
      <c r="Q715" t="n">
        <v>0</v>
      </c>
      <c r="R715" t="n">
        <v>0</v>
      </c>
      <c r="S715">
        <f>IFERROR(O715/N715,0)</f>
        <v/>
      </c>
    </row>
    <row r="716">
      <c r="A716">
        <f>Skills!A23</f>
        <v/>
      </c>
      <c r="B716">
        <f>Skills!B23</f>
        <v/>
      </c>
      <c r="C716">
        <f>Inputs!$B$3&gt;=38</f>
        <v/>
      </c>
      <c r="D716">
        <f>IF(Skills!C23=1,60+Inputs!$B$25+Inputs!$B$29,IF(Skills!C23=2,90+Inputs!$B$26+Inputs!$B$29,IF(Skills!C23=3,120+Inputs!$B$27+Inputs!$B$29,MAX(0,(Inputs!$B$3-100)*3)+Inputs!$B$28+Inputs!$B$29)))</f>
        <v/>
      </c>
      <c r="E716">
        <f>INDEX(FactorTable!$B$2:$Y$301, MATCH(ROUND(MIN(300,MAX(1,D716)),0), FactorTable!$A$2:$A$301,0), Skills!M23+1)</f>
        <v/>
      </c>
      <c r="F716">
        <f>IF(Skills!N23=TRUE,(Skills!L23/10)*(E716/1000),Skills!L23/10)+Skills!O23</f>
        <v/>
      </c>
      <c r="G716">
        <f>Skills!G23*IF(Skills!H23&gt;0,Skills!I23/Skills!H23,1)</f>
        <v/>
      </c>
      <c r="H716">
        <f>1-(1-Skills!J23/100)^Skills!K23</f>
        <v/>
      </c>
      <c r="I716" t="inlineStr">
        <is>
          <t>1</t>
        </is>
      </c>
      <c r="J716" t="inlineStr"/>
      <c r="K716" t="inlineStr"/>
      <c r="L716" t="inlineStr"/>
      <c r="M716" t="inlineStr"/>
      <c r="N716" t="inlineStr"/>
      <c r="O716" t="n">
        <v>0</v>
      </c>
      <c r="P716">
        <f>IF(B734=0,0,O716/B734)</f>
        <v/>
      </c>
      <c r="Q716" t="n">
        <v>0</v>
      </c>
      <c r="R716" t="n">
        <v>0</v>
      </c>
      <c r="S716">
        <f>IFERROR(O716/N716,0)</f>
        <v/>
      </c>
    </row>
    <row r="717">
      <c r="A717">
        <f>Skills!A24</f>
        <v/>
      </c>
      <c r="B717">
        <f>Skills!B24</f>
        <v/>
      </c>
      <c r="C717">
        <f>Inputs!$B$3&gt;=43</f>
        <v/>
      </c>
      <c r="D717">
        <f>IF(Skills!C24=1,60+Inputs!$B$25+Inputs!$B$29,IF(Skills!C24=2,90+Inputs!$B$26+Inputs!$B$29,IF(Skills!C24=3,120+Inputs!$B$27+Inputs!$B$29,MAX(0,(Inputs!$B$3-100)*3)+Inputs!$B$28+Inputs!$B$29)))</f>
        <v/>
      </c>
      <c r="E717">
        <f>INDEX(FactorTable!$B$2:$Y$301, MATCH(ROUND(MIN(300,MAX(1,D717)),0), FactorTable!$A$2:$A$301,0), Skills!M24+1)</f>
        <v/>
      </c>
      <c r="F717">
        <f>IF(Skills!N24=TRUE,(Skills!L24/10)*(E717/1000),Skills!L24/10)+Skills!O24</f>
        <v/>
      </c>
      <c r="G717">
        <f>Skills!G24*IF(Skills!H24&gt;0,Skills!I24/Skills!H24,1)</f>
        <v/>
      </c>
      <c r="H717">
        <f>1-(1-Skills!J24/100)^Skills!K24</f>
        <v/>
      </c>
      <c r="I717" t="inlineStr">
        <is>
          <t>1</t>
        </is>
      </c>
      <c r="J717" t="inlineStr"/>
      <c r="K717" t="inlineStr"/>
      <c r="L717" t="inlineStr"/>
      <c r="M717" t="inlineStr"/>
      <c r="N717" t="inlineStr"/>
      <c r="O717" t="n">
        <v>0</v>
      </c>
      <c r="P717">
        <f>IF(B734=0,0,O717/B734)</f>
        <v/>
      </c>
      <c r="Q717" t="n">
        <v>0</v>
      </c>
      <c r="R717" t="n">
        <v>0</v>
      </c>
      <c r="S717">
        <f>IFERROR(O717/N717,0)</f>
        <v/>
      </c>
    </row>
    <row r="718">
      <c r="A718">
        <f>Skills!A25</f>
        <v/>
      </c>
      <c r="B718">
        <f>Skills!B25</f>
        <v/>
      </c>
      <c r="C718">
        <f>Inputs!$B$3&gt;=75</f>
        <v/>
      </c>
      <c r="D718">
        <f>IF(Skills!C25=1,60+Inputs!$B$25+Inputs!$B$29,IF(Skills!C25=2,90+Inputs!$B$26+Inputs!$B$29,IF(Skills!C25=3,120+Inputs!$B$27+Inputs!$B$29,MAX(0,(Inputs!$B$3-100)*3)+Inputs!$B$28+Inputs!$B$29)))</f>
        <v/>
      </c>
      <c r="E718">
        <f>INDEX(FactorTable!$B$2:$Y$301, MATCH(ROUND(MIN(300,MAX(1,D718)),0), FactorTable!$A$2:$A$301,0), Skills!M25+1)</f>
        <v/>
      </c>
      <c r="F718">
        <f>IF(Skills!N25=TRUE,(Skills!L25/10)*(E718/1000),Skills!L25/10)+Skills!O25</f>
        <v/>
      </c>
      <c r="G718">
        <f>Skills!G25*IF(Skills!H25&gt;0,Skills!I25/Skills!H25,1)</f>
        <v/>
      </c>
      <c r="H718">
        <f>1-(1-Skills!J25/100)^Skills!K25</f>
        <v/>
      </c>
      <c r="I718" t="inlineStr">
        <is>
          <t>1</t>
        </is>
      </c>
      <c r="J718" t="inlineStr"/>
      <c r="K718" t="inlineStr"/>
      <c r="L718" t="inlineStr"/>
      <c r="M718" t="inlineStr"/>
      <c r="N718" t="inlineStr"/>
      <c r="O718" t="n">
        <v>0</v>
      </c>
      <c r="P718">
        <f>IF(B734=0,0,O718/B734)</f>
        <v/>
      </c>
      <c r="Q718" t="n">
        <v>0</v>
      </c>
      <c r="R718" t="n">
        <v>0</v>
      </c>
      <c r="S718">
        <f>IFERROR(O718/N718,0)</f>
        <v/>
      </c>
    </row>
    <row r="719">
      <c r="A719">
        <f>Skills!A26</f>
        <v/>
      </c>
      <c r="B719">
        <f>Skills!B26</f>
        <v/>
      </c>
      <c r="C719">
        <f>Inputs!$B$3&gt;=125</f>
        <v/>
      </c>
      <c r="D719">
        <f>IF(Skills!C26=1,60+Inputs!$B$25+Inputs!$B$29,IF(Skills!C26=2,90+Inputs!$B$26+Inputs!$B$29,IF(Skills!C26=3,120+Inputs!$B$27+Inputs!$B$29,MAX(0,(Inputs!$B$3-100)*3)+Inputs!$B$28+Inputs!$B$29)))</f>
        <v/>
      </c>
      <c r="E719">
        <f>INDEX(FactorTable!$B$2:$Y$301, MATCH(ROUND(MIN(300,MAX(1,D719)),0), FactorTable!$A$2:$A$301,0), Skills!M26+1)</f>
        <v/>
      </c>
      <c r="F719">
        <f>IF(Skills!N26=TRUE,(Skills!L26/10)*(E719/1000),Skills!L26/10)+Skills!O26</f>
        <v/>
      </c>
      <c r="G719">
        <f>Skills!G26*IF(Skills!H26&gt;0,Skills!I26/Skills!H26,1)</f>
        <v/>
      </c>
      <c r="H719">
        <f>1-(1-Skills!J26/100)^Skills!K26</f>
        <v/>
      </c>
      <c r="I719" t="inlineStr">
        <is>
          <t>1</t>
        </is>
      </c>
      <c r="J719" t="inlineStr"/>
      <c r="K719" t="inlineStr"/>
      <c r="L719" t="inlineStr"/>
      <c r="M719" t="inlineStr"/>
      <c r="N719" t="inlineStr"/>
      <c r="O719" t="n">
        <v>0</v>
      </c>
      <c r="P719">
        <f>IF(B734=0,0,O719/B734)</f>
        <v/>
      </c>
      <c r="Q719" t="n">
        <v>0</v>
      </c>
      <c r="R719" t="n">
        <v>0</v>
      </c>
      <c r="S719">
        <f>IFERROR(O719/N719,0)</f>
        <v/>
      </c>
    </row>
    <row r="720">
      <c r="A720">
        <f>Skills!A27</f>
        <v/>
      </c>
      <c r="B720">
        <f>Skills!B27</f>
        <v/>
      </c>
      <c r="C720">
        <f>Inputs!$B$3&gt;=125</f>
        <v/>
      </c>
      <c r="D720">
        <f>IF(Skills!C27=1,60+Inputs!$B$25+Inputs!$B$29,IF(Skills!C27=2,90+Inputs!$B$26+Inputs!$B$29,IF(Skills!C27=3,120+Inputs!$B$27+Inputs!$B$29,MAX(0,(Inputs!$B$3-100)*3)+Inputs!$B$28+Inputs!$B$29)))</f>
        <v/>
      </c>
      <c r="E720">
        <f>INDEX(FactorTable!$B$2:$Y$301, MATCH(ROUND(MIN(300,MAX(1,D720)),0), FactorTable!$A$2:$A$301,0), Skills!M27+1)</f>
        <v/>
      </c>
      <c r="F720">
        <f>IF(Skills!N27=TRUE,(Skills!L27/10)*(E720/1000),Skills!L27/10)+Skills!O27</f>
        <v/>
      </c>
      <c r="G720">
        <f>Skills!G27*IF(Skills!H27&gt;0,Skills!I27/Skills!H27,1)</f>
        <v/>
      </c>
      <c r="H720">
        <f>1-(1-Skills!J27/100)^Skills!K27</f>
        <v/>
      </c>
      <c r="I720" t="inlineStr">
        <is>
          <t>1</t>
        </is>
      </c>
      <c r="J720" t="inlineStr"/>
      <c r="K720" t="inlineStr"/>
      <c r="L720" t="inlineStr"/>
      <c r="M720" t="inlineStr"/>
      <c r="N720" t="inlineStr"/>
      <c r="O720" t="n">
        <v>0</v>
      </c>
      <c r="P720">
        <f>IF(B734=0,0,O720/B734)</f>
        <v/>
      </c>
      <c r="Q720" t="n">
        <v>0</v>
      </c>
      <c r="R720" t="n">
        <v>0</v>
      </c>
      <c r="S720">
        <f>IFERROR(O720/N720,0)</f>
        <v/>
      </c>
    </row>
    <row r="721">
      <c r="A721">
        <f>Skills!A28</f>
        <v/>
      </c>
      <c r="B721">
        <f>Skills!B28</f>
        <v/>
      </c>
      <c r="C721">
        <f>Inputs!$B$3&gt;=120</f>
        <v/>
      </c>
      <c r="D721">
        <f>IF(Skills!C28=1,60+Inputs!$B$25+Inputs!$B$29,IF(Skills!C28=2,90+Inputs!$B$26+Inputs!$B$29,IF(Skills!C28=3,120+Inputs!$B$27+Inputs!$B$29,MAX(0,(Inputs!$B$3-100)*3)+Inputs!$B$28+Inputs!$B$29)))</f>
        <v/>
      </c>
      <c r="E721">
        <f>INDEX(FactorTable!$B$2:$Y$301, MATCH(ROUND(MIN(300,MAX(1,D721)),0), FactorTable!$A$2:$A$301,0), Skills!M28+1)</f>
        <v/>
      </c>
      <c r="F721">
        <f>IF(Skills!N28=TRUE,(Skills!L28/10)*(E721/1000),Skills!L28/10)+Skills!O28</f>
        <v/>
      </c>
      <c r="G721">
        <f>Skills!G28*IF(Skills!H28&gt;0,Skills!I28/Skills!H28,1)</f>
        <v/>
      </c>
      <c r="H721">
        <f>1-(1-Skills!J28/100)^Skills!K28</f>
        <v/>
      </c>
      <c r="I721" t="inlineStr">
        <is>
          <t>1</t>
        </is>
      </c>
      <c r="J721" t="inlineStr"/>
      <c r="K721" t="inlineStr"/>
      <c r="L721" t="inlineStr"/>
      <c r="M721" t="inlineStr"/>
      <c r="N721" t="inlineStr"/>
      <c r="O721" t="n">
        <v>0</v>
      </c>
      <c r="P721">
        <f>IF(B734=0,0,O721/B734)</f>
        <v/>
      </c>
      <c r="Q721" t="n">
        <v>0</v>
      </c>
      <c r="R721" t="n">
        <v>0</v>
      </c>
      <c r="S721">
        <f>IFERROR(O721/N721,0)</f>
        <v/>
      </c>
    </row>
    <row r="722">
      <c r="A722">
        <f>Skills!A29</f>
        <v/>
      </c>
      <c r="B722">
        <f>Skills!B29</f>
        <v/>
      </c>
      <c r="C722">
        <f>Inputs!$B$3&gt;=120</f>
        <v/>
      </c>
      <c r="D722">
        <f>IF(Skills!C29=1,60+Inputs!$B$25+Inputs!$B$29,IF(Skills!C29=2,90+Inputs!$B$26+Inputs!$B$29,IF(Skills!C29=3,120+Inputs!$B$27+Inputs!$B$29,MAX(0,(Inputs!$B$3-100)*3)+Inputs!$B$28+Inputs!$B$29)))</f>
        <v/>
      </c>
      <c r="E722">
        <f>INDEX(FactorTable!$B$2:$Y$301, MATCH(ROUND(MIN(300,MAX(1,D722)),0), FactorTable!$A$2:$A$301,0), Skills!M29+1)</f>
        <v/>
      </c>
      <c r="F722">
        <f>IF(Skills!N29=TRUE,(Skills!L29/10)*(E722/1000),Skills!L29/10)+Skills!O29</f>
        <v/>
      </c>
      <c r="G722">
        <f>Skills!G29*IF(Skills!H29&gt;0,Skills!I29/Skills!H29,1)</f>
        <v/>
      </c>
      <c r="H722">
        <f>1-(1-Skills!J29/100)^Skills!K29</f>
        <v/>
      </c>
      <c r="I722" t="inlineStr">
        <is>
          <t>1</t>
        </is>
      </c>
      <c r="J722" t="inlineStr"/>
      <c r="K722" t="inlineStr"/>
      <c r="L722" t="inlineStr"/>
      <c r="M722" t="inlineStr"/>
      <c r="N722" t="inlineStr"/>
      <c r="O722" t="n">
        <v>0</v>
      </c>
      <c r="P722">
        <f>IF(B734=0,0,O722/B734)</f>
        <v/>
      </c>
      <c r="Q722" t="n">
        <v>0</v>
      </c>
      <c r="R722" t="n">
        <v>0</v>
      </c>
      <c r="S722">
        <f>IFERROR(O722/N722,0)</f>
        <v/>
      </c>
    </row>
    <row r="723">
      <c r="A723">
        <f>Skills!A30</f>
        <v/>
      </c>
      <c r="B723">
        <f>Skills!B30</f>
        <v/>
      </c>
      <c r="C723">
        <f>Inputs!$B$3&gt;=45</f>
        <v/>
      </c>
      <c r="D723">
        <f>IF(Skills!C30=1,60+Inputs!$B$25+Inputs!$B$29,IF(Skills!C30=2,90+Inputs!$B$26+Inputs!$B$29,IF(Skills!C30=3,120+Inputs!$B$27+Inputs!$B$29,MAX(0,(Inputs!$B$3-100)*3)+Inputs!$B$28+Inputs!$B$29)))</f>
        <v/>
      </c>
      <c r="E723">
        <f>INDEX(FactorTable!$B$2:$Y$301, MATCH(ROUND(MIN(300,MAX(1,D723)),0), FactorTable!$A$2:$A$301,0), Skills!M30+1)</f>
        <v/>
      </c>
      <c r="F723">
        <f>IF(Skills!N30=TRUE,(Skills!L30/10)*(E723/1000),Skills!L30/10)+Skills!O30</f>
        <v/>
      </c>
      <c r="G723">
        <f>Skills!G30*IF(Skills!H30&gt;0,Skills!I30/Skills!H30,1)</f>
        <v/>
      </c>
      <c r="H723">
        <f>1-(1-Skills!J30/100)^Skills!K30</f>
        <v/>
      </c>
      <c r="I723" t="inlineStr">
        <is>
          <t>1</t>
        </is>
      </c>
      <c r="J723" t="inlineStr"/>
      <c r="K723" t="inlineStr"/>
      <c r="L723" t="inlineStr"/>
      <c r="M723" t="inlineStr"/>
      <c r="N723" t="inlineStr"/>
      <c r="O723" t="n">
        <v>0</v>
      </c>
      <c r="P723">
        <f>IF(B734=0,0,O723/B734)</f>
        <v/>
      </c>
      <c r="Q723" t="n">
        <v>0</v>
      </c>
      <c r="R723" t="n">
        <v>0</v>
      </c>
      <c r="S723">
        <f>IFERROR(O723/N723,0)</f>
        <v/>
      </c>
    </row>
    <row r="725">
      <c r="A725" t="inlineStr">
        <is>
          <t>Attack% Bucket Multiplier</t>
        </is>
      </c>
      <c r="B725">
        <f>(1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f>
        <v/>
      </c>
    </row>
    <row r="726">
      <c r="A726" t="inlineStr">
        <is>
          <t>Global Crit Rate Bonus %</t>
        </is>
      </c>
      <c r="B726">
        <f>(C709=TRUE)*20*IF(AND(Inputs!$B$38&lt;&gt;"pvp",Inputs!$B$43&gt;0),(((R709-1)*(Skills!T16*(1+Inputs!$B$34/100))+MIN((Skills!T16*(1+Inputs!$B$34/100)),MAX(0,Inputs!$B$43-((R709-1)*Skills!D16))))/Inputs!$B$43),IF(Inputs!$B$38="pvp",MIN((Skills!T16*(1+Inputs!$B$34/100)),15)/15,(Skills!T16*(1+Inputs!$B$34/100))/Skills!D16))</f>
        <v/>
      </c>
    </row>
    <row r="727">
      <c r="A727" t="inlineStr">
        <is>
          <t>Attack Speed Buff Bonus %</t>
        </is>
      </c>
      <c r="B727">
        <f>((C712=TRUE)*F712*IF(AND(Inputs!$B$38&lt;&gt;"pvp",Inputs!$B$43&gt;0),(((R712-1)*(Skills!T19*(1+Inputs!$B$34/100))+MIN((Skills!T19*(1+Inputs!$B$34/100)),MAX(0,Inputs!$B$43-((R712-1)*Skills!D19))))/Inputs!$B$43),IF(Inputs!$B$38="pvp",MIN((Skills!T19*(1+Inputs!$B$34/100)),15)/15,(Skills!T19*(1+Inputs!$B$34/100))/Skills!D19)))</f>
        <v/>
      </c>
    </row>
    <row r="728">
      <c r="A728" t="inlineStr">
        <is>
          <t>Actions Per Second</t>
        </is>
      </c>
      <c r="B728">
        <f>1+MIN(150,150*(1-(1-(Inputs!$B$11+((C714=TRUE)*(F714-Calc!F21))+((C715=TRUE)*(F715-Calc!F22)))/150)*(1-B727/150)))/100</f>
        <v/>
      </c>
    </row>
    <row r="729">
      <c r="A729" t="inlineStr">
        <is>
          <t>Skill + Buff Cast Rate</t>
        </is>
      </c>
      <c r="B729">
        <f>IF(AND(Inputs!$B$38&lt;&gt;"pvp",Inputs!$B$43&gt;0),SUMPRODUCT((Skills!E2:E30=TRUE)*(C695:C723=TRUE)*R695:R723*Skills!F2:F30)/Inputs!$B$43,SUMPRODUCT((Skills!E2:E30=TRUE)*(C695:C723=TRUE)*Q695:Q723*Skills!F2:F30))</f>
        <v/>
      </c>
    </row>
    <row r="730">
      <c r="A730" t="inlineStr">
        <is>
          <t>Arrow Stream Casts Per Second</t>
        </is>
      </c>
      <c r="B730">
        <f>MAX(0,B728-B729)</f>
        <v/>
      </c>
    </row>
    <row r="731">
      <c r="A731" t="inlineStr">
        <is>
          <t>Global Critical Damage Bonus % (Sharp Eyes + Concentration)</t>
        </is>
      </c>
      <c r="B731">
        <f>(C709=TRUE)*F709*IF(AND(Inputs!$B$38&lt;&gt;"pvp",Inputs!$B$43&gt;0),(((R709-1)*(Skills!T16*(1+Inputs!$B$34/100))+MIN((Skills!T16*(1+Inputs!$B$34/100)),MAX(0,Inputs!$B$43-((R709-1)*Skills!D16))))/Inputs!$B$43),IF(Inputs!$B$38="pvp",MIN((Skills!T16*(1+Inputs!$B$34/100)),15)/15,(Skills!T16*(1+Inputs!$B$34/100))/Skills!D16))+(C710=TRUE)*30</f>
        <v/>
      </c>
    </row>
    <row r="732">
      <c r="A732" t="inlineStr">
        <is>
          <t>Global Final Damage Bonus % (Mortal Blow)</t>
        </is>
      </c>
      <c r="B732">
        <f>(C711=TRUE)*F711</f>
        <v/>
      </c>
    </row>
    <row r="733">
      <c r="A733" t="inlineStr">
        <is>
          <t>Buff-Casting Startup Delay (s, fixed-duration only)</t>
        </is>
      </c>
      <c r="B733">
        <f>IF(AND(Inputs!$B$38&lt;&gt;"pvp",Inputs!$B$43&gt;0),SUMPRODUCT((Skills!T2:T30&gt;0)*(Skills!E2:E30=TRUE)*(C695:C723=TRUE))/B728,0)</f>
        <v/>
      </c>
    </row>
    <row r="734">
      <c r="A734" s="5" t="inlineStr">
        <is>
          <t>TOTAL DPS</t>
        </is>
      </c>
      <c r="B734" s="5">
        <f>SUM(O695:O723)</f>
        <v/>
      </c>
    </row>
    <row r="737">
      <c r="A737" s="5" t="inlineStr">
        <is>
          <t>Stat: Skill Level Bonus — 1st Job</t>
        </is>
      </c>
    </row>
    <row r="738">
      <c r="A738" s="9" t="inlineStr">
        <is>
          <t>Key</t>
        </is>
      </c>
      <c r="B738" s="9" t="inlineStr">
        <is>
          <t>Name</t>
        </is>
      </c>
      <c r="C738" s="9" t="inlineStr">
        <is>
          <t>Unlocked</t>
        </is>
      </c>
      <c r="D738" s="9" t="inlineStr">
        <is>
          <t>InputLevel</t>
        </is>
      </c>
      <c r="E738" s="9" t="inlineStr">
        <is>
          <t>Factor</t>
        </is>
      </c>
      <c r="F738" s="9" t="inlineStr">
        <is>
          <t>CoefficientPercent</t>
        </is>
      </c>
      <c r="G738" s="9" t="inlineStr">
        <is>
          <t>EffectiveHits</t>
        </is>
      </c>
      <c r="H738" s="9" t="inlineStr">
        <is>
          <t>ProcProbability</t>
        </is>
      </c>
      <c r="I738" s="9" t="inlineStr">
        <is>
          <t>MapleHeroMultiplier</t>
        </is>
      </c>
      <c r="J738" s="9" t="inlineStr">
        <is>
          <t>BaseDamage</t>
        </is>
      </c>
      <c r="K738" s="9" t="inlineStr">
        <is>
          <t>BaseHitDamage</t>
        </is>
      </c>
      <c r="L738" s="9" t="inlineStr">
        <is>
          <t>NonCritAvg</t>
        </is>
      </c>
      <c r="M738" s="9" t="inlineStr">
        <is>
          <t>CritAvg</t>
        </is>
      </c>
      <c r="N738" s="9" t="inlineStr">
        <is>
          <t>ExpectedDamage(perHit)</t>
        </is>
      </c>
      <c r="O738" s="9" t="inlineStr">
        <is>
          <t>DPS</t>
        </is>
      </c>
      <c r="P738" s="9" t="inlineStr">
        <is>
          <t>% of Total</t>
        </is>
      </c>
      <c r="Q738" s="9" t="inlineStr">
        <is>
          <t>InvCooldown</t>
        </is>
      </c>
      <c r="R738" s="9" t="inlineStr">
        <is>
          <t>CastsInFight</t>
        </is>
      </c>
      <c r="S738" s="9" t="inlineStr">
        <is>
          <t>HitRate(perSec)</t>
        </is>
      </c>
      <c r="U738" t="inlineStr">
        <is>
          <t>helpers</t>
        </is>
      </c>
    </row>
    <row r="739">
      <c r="A739">
        <f>Skills!A2</f>
        <v/>
      </c>
      <c r="B739">
        <f>Skills!B2</f>
        <v/>
      </c>
      <c r="C739">
        <f>Inputs!$B$3&gt;=100</f>
        <v/>
      </c>
      <c r="D739" t="inlineStr"/>
      <c r="E739" t="inlineStr"/>
      <c r="F739">
        <f>U741+Skills!O2</f>
        <v/>
      </c>
      <c r="G739">
        <f>Skills!G2*IF(Skills!H2&gt;0,Skills!I2/Skills!H2,1)</f>
        <v/>
      </c>
      <c r="H739">
        <f>1-(1-Skills!J2/100)^Skills!K2</f>
        <v/>
      </c>
      <c r="I739" t="inlineStr">
        <is>
          <t>1</t>
        </is>
      </c>
      <c r="J739">
        <f>((Inputs!$B$6*(1+Inputs!$B$7/100))+(((Inputs!$B$12*(1+Inputs!$B$13/100))-(Inputs!$B$12*(1+Inputs!$B$13/100)))+0.25*(Inputs!$B$14-Inputs!$B$14))*(1+Inputs!$B$7/100))*(F739/100)</f>
        <v/>
      </c>
      <c r="K739">
        <f>J739*(1+((Inputs!$B$12*(1+Inputs!$B$13/100))*0.01+Inputs!$B$14*0.0025)/100)*(1+Inputs!$B$15/100)*(1+IF(Inputs!$B$38="pvp",0,(1-Summary!$B$55)*(Inputs!$B$20+0+Skills!P2)+Summary!$B$55*(Inputs!$B$21+Skills!Q2))/100)*(1+Inputs!$B$16/100)*(5000/(6000+Inputs!$B$42*(1-(Inputs!$B$19+((C764=TRUE)*(F764-Calc!F27)))/100)))*(1+(Inputs!$B$24+((C762=TRUE)*(F762-Calc!F25))+((C763=TRUE)*(F763-Calc!F26))+B776)/100)*(1+(IF(Skills!A2="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739)</f>
        <v/>
      </c>
      <c r="L739">
        <f>K739*(MIN(Inputs!$B$22+((C761=TRUE)*(F761-Calc!F24)),Inputs!$B$23+((C766=TRUE)*(F766-Calc!F29)))/100+(Inputs!$B$23+((C766=TRUE)*(F766-Calc!F29)))/100)/2</f>
        <v/>
      </c>
      <c r="M739">
        <f>L739*(1+(Inputs!$B$10+0+B775)/100)</f>
        <v/>
      </c>
      <c r="N739">
        <f>L739*(1-MIN((Inputs!$B$9+((C757=TRUE)*(F757-Calc!F20))+B770),100)/100)+M739*(MIN((Inputs!$B$9+((C757=TRUE)*(F757-Calc!F20))+B770),100)/100)</f>
        <v/>
      </c>
      <c r="O739">
        <f>IF(C739,Skills!G2*N739*B774*IF(Inputs!$B$38="pvp",1,(1-Summary!$B$55)*(1)+Summary!$B$55*(MIN((6+Inputs!$B$33),Inputs!$B$37))),0)</f>
        <v/>
      </c>
      <c r="P739">
        <f>IF(B778=0,0,O739/B778)</f>
        <v/>
      </c>
      <c r="Q739" t="n">
        <v>0</v>
      </c>
      <c r="R739" t="n">
        <v>0</v>
      </c>
      <c r="S739">
        <f>IFERROR(O739/N739,0)</f>
        <v/>
      </c>
      <c r="U739">
        <f>MAX(0,(Inputs!$B$3-100)*3)+Inputs!$B$28+Inputs!$B$29</f>
        <v/>
      </c>
    </row>
    <row r="740">
      <c r="A740">
        <f>Skills!A3</f>
        <v/>
      </c>
      <c r="B740">
        <f>Skills!B3</f>
        <v/>
      </c>
      <c r="C740">
        <f>Inputs!$B$3&gt;=50</f>
        <v/>
      </c>
      <c r="D740">
        <f>IF(Skills!C3=1,60+(Inputs!$B$25+1)+Inputs!$B$29,IF(Skills!C3=2,90+Inputs!$B$26+Inputs!$B$29,IF(Skills!C3=3,120+Inputs!$B$27+Inputs!$B$29,MAX(0,(Inputs!$B$3-100)*3)+Inputs!$B$28+Inputs!$B$29)))</f>
        <v/>
      </c>
      <c r="E740">
        <f>INDEX(FactorTable!$B$2:$Y$301, MATCH(ROUND(MIN(300,MAX(1,D740)),0), FactorTable!$A$2:$A$301,0), Skills!M3+1)</f>
        <v/>
      </c>
      <c r="F740">
        <f>IF(Skills!N3=TRUE,(Skills!L3/10)*(E740/1000),Skills!L3/10)+Skills!O3</f>
        <v/>
      </c>
      <c r="G740" t="inlineStr"/>
      <c r="H740" t="inlineStr"/>
      <c r="I740" t="inlineStr">
        <is>
          <t>1</t>
        </is>
      </c>
      <c r="J740" t="inlineStr"/>
      <c r="K740" t="inlineStr"/>
      <c r="L740" t="inlineStr"/>
      <c r="M740" t="inlineStr"/>
      <c r="N740" t="inlineStr"/>
      <c r="O740" t="inlineStr"/>
      <c r="P740" t="inlineStr"/>
      <c r="Q740" t="inlineStr"/>
      <c r="R740" t="inlineStr"/>
      <c r="S740" t="inlineStr"/>
      <c r="U740">
        <f>INDEX(FactorTable!$B$2:$Y$301, MATCH(ROUND(MIN(300,MAX(1,U739)),0), FactorTable!$A$2:$A$301,0), 22)</f>
        <v/>
      </c>
    </row>
    <row r="741">
      <c r="A741">
        <f>Skills!A4</f>
        <v/>
      </c>
      <c r="B741">
        <f>Skills!B4</f>
        <v/>
      </c>
      <c r="C741">
        <f>Inputs!$B$3&gt;=105</f>
        <v/>
      </c>
      <c r="D741">
        <f>IF(Skills!C4=1,60+(Inputs!$B$25+1)+Inputs!$B$29,IF(Skills!C4=2,90+Inputs!$B$26+Inputs!$B$29,IF(Skills!C4=3,120+Inputs!$B$27+Inputs!$B$29,MAX(0,(Inputs!$B$3-100)*3)+Inputs!$B$28+Inputs!$B$29)))</f>
        <v/>
      </c>
      <c r="E741">
        <f>INDEX(FactorTable!$B$2:$Y$301, MATCH(ROUND(MIN(300,MAX(1,D741)),0), FactorTable!$A$2:$A$301,0), Skills!M4+1)</f>
        <v/>
      </c>
      <c r="F741">
        <f>IF(Skills!N4=TRUE,(Skills!L4/10)*(E741/1000),Skills!L4/10)+Skills!O4</f>
        <v/>
      </c>
      <c r="G741" t="inlineStr"/>
      <c r="H741" t="inlineStr"/>
      <c r="I741" t="inlineStr">
        <is>
          <t>1</t>
        </is>
      </c>
      <c r="J741" t="inlineStr"/>
      <c r="K741" t="inlineStr"/>
      <c r="L741" t="inlineStr"/>
      <c r="M741" t="inlineStr"/>
      <c r="N741" t="inlineStr"/>
      <c r="O741" t="inlineStr"/>
      <c r="P741" t="inlineStr"/>
      <c r="Q741" t="inlineStr"/>
      <c r="R741" t="inlineStr"/>
      <c r="S741" t="inlineStr"/>
      <c r="U741">
        <f>290*U740/1000</f>
        <v/>
      </c>
    </row>
    <row r="742">
      <c r="A742">
        <f>Skills!A5</f>
        <v/>
      </c>
      <c r="B742">
        <f>Skills!B5</f>
        <v/>
      </c>
      <c r="C742">
        <f>Inputs!$B$3&gt;=35</f>
        <v/>
      </c>
      <c r="D742">
        <f>IF(Skills!C5=1,60+(Inputs!$B$25+1)+Inputs!$B$29,IF(Skills!C5=2,90+Inputs!$B$26+Inputs!$B$29,IF(Skills!C5=3,120+Inputs!$B$27+Inputs!$B$29,MAX(0,(Inputs!$B$3-100)*3)+Inputs!$B$28+Inputs!$B$29)))</f>
        <v/>
      </c>
      <c r="E742">
        <f>INDEX(FactorTable!$B$2:$Y$301, MATCH(ROUND(MIN(300,MAX(1,D742)),0), FactorTable!$A$2:$A$301,0), Skills!M5+1)</f>
        <v/>
      </c>
      <c r="F742">
        <f>IF(Skills!N5=TRUE,(Skills!L5/10)*(E742/1000),Skills!L5/10)+Skills!O5</f>
        <v/>
      </c>
      <c r="G742">
        <f>Skills!G5*IF(Skills!H5&gt;0,Skills!I5/Skills!H5,1)</f>
        <v/>
      </c>
      <c r="H742">
        <f>1-(1-Skills!J5/100)^Skills!K5</f>
        <v/>
      </c>
      <c r="I742" t="inlineStr">
        <is>
          <t>1</t>
        </is>
      </c>
      <c r="J742">
        <f>((Inputs!$B$6*(1+Inputs!$B$7/100))+(((Inputs!$B$12*(1+Inputs!$B$13/100))-(Inputs!$B$12*(1+Inputs!$B$13/100)))+0.25*(Inputs!$B$14-Inputs!$B$14))*(1+Inputs!$B$7/100))*(F742/100)</f>
        <v/>
      </c>
      <c r="K742">
        <f>J742*(1+((Inputs!$B$12*(1+Inputs!$B$13/100))*0.01+Inputs!$B$14*0.0025)/100)*(1+Inputs!$B$15/100)*(1+IF(Inputs!$B$38="pvp",0,(1-Summary!$B$55)*(Inputs!$B$20+0+Skills!P5)+Summary!$B$55*(Inputs!$B$21+Skills!Q5))/100)*(1+Inputs!$B$16/100)*(5000/(6000+Inputs!$B$42*(1-(Inputs!$B$19+((C764=TRUE)*(F764-Calc!F27)))/100)))*(1+(Inputs!$B$24+((C762=TRUE)*(F762-Calc!F25))+((C763=TRUE)*(F763-Calc!F26))+B776)/100)*(1+4.0*IF(C747=TRUE,F747,0)/100)*(1+(IF(Skills!A5="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742)</f>
        <v/>
      </c>
      <c r="L742">
        <f>K742*(MIN(Inputs!$B$22+((C761=TRUE)*(F761-Calc!F24)),Inputs!$B$23+((C766=TRUE)*(F766-Calc!F29)))/100+(Inputs!$B$23+((C766=TRUE)*(F766-Calc!F29)))/100)/2</f>
        <v/>
      </c>
      <c r="M742">
        <f>L742*(1+(Inputs!$B$10+0+B775)/100)</f>
        <v/>
      </c>
      <c r="N742">
        <f>L742*(1-MIN((Inputs!$B$9+((C757=TRUE)*(F757-Calc!F20))+B770),100)/100)+M742*(MIN((Inputs!$B$9+((C757=TRUE)*(F757-Calc!F20))+B770),100)/100)</f>
        <v/>
      </c>
      <c r="O742">
        <f>IF(C742,H742*N742*IF(AND(Inputs!$B$38&lt;&gt;"pvp",Inputs!$B$43&gt;0),((Skills!G5*((R742-1)*IF(Skills!H5&gt;0,Skills!I5/Skills!H5,1)+IF(Skills!H5&gt;0,MIN(Skills!I5,MAX(0,MAX(0,Inputs!$B$43-B777)-((R742-1)*IF(Inputs!$B$38="pvp",15,MAX(0.1,Skills!D5-IF(Skills!E5=TRUE,Inputs!$B$32,0))))))/Skills!H5,1)))/Inputs!$B$43),G742*Q742)*IF(Inputs!$B$38="pvp",1,(1-Summary!$B$55)*(1)+Summary!$B$55*(MIN(Skills!R5,Inputs!$B$37))),0)</f>
        <v/>
      </c>
      <c r="P742">
        <f>IF(B778=0,0,O742/B778)</f>
        <v/>
      </c>
      <c r="Q742">
        <f>IFERROR(1/IF(Inputs!$B$38="pvp",15,MAX(0.1,Skills!D5-IF(Skills!E5=TRUE,Inputs!$B$32,0))),0)</f>
        <v/>
      </c>
      <c r="R742">
        <f>IF(AND(Inputs!$B$38&lt;&gt;"pvp",Inputs!$B$43&gt;0),IF(MAX(0,Inputs!$B$43-B777)&lt;=0,0,(INT(MAX(0,Inputs!$B$43-B777)/IF(Inputs!$B$38="pvp",15,MAX(0.1,Skills!D5-IF(Skills!E5=TRUE,Inputs!$B$32,0))))+1)),0)</f>
        <v/>
      </c>
      <c r="S742">
        <f>IFERROR(O742/N742,0)</f>
        <v/>
      </c>
    </row>
    <row r="743">
      <c r="A743">
        <f>Skills!A6</f>
        <v/>
      </c>
      <c r="B743">
        <f>Skills!B6</f>
        <v/>
      </c>
      <c r="C743">
        <f>Inputs!$B$3&gt;=40</f>
        <v/>
      </c>
      <c r="D743">
        <f>IF(Skills!C6=1,60+(Inputs!$B$25+1)+Inputs!$B$29,IF(Skills!C6=2,90+Inputs!$B$26+Inputs!$B$29,IF(Skills!C6=3,120+Inputs!$B$27+Inputs!$B$29,MAX(0,(Inputs!$B$3-100)*3)+Inputs!$B$28+Inputs!$B$29)))</f>
        <v/>
      </c>
      <c r="E743">
        <f>INDEX(FactorTable!$B$2:$Y$301, MATCH(ROUND(MIN(300,MAX(1,D743)),0), FactorTable!$A$2:$A$301,0), Skills!M6+1)</f>
        <v/>
      </c>
      <c r="F743">
        <f>IF(Skills!N6=TRUE,(Skills!L6/10)*(E743/1000),Skills!L6/10)+Skills!O6</f>
        <v/>
      </c>
      <c r="G743">
        <f>Skills!G6*IF(Skills!H6&gt;0,Skills!I6/Skills!H6,1)</f>
        <v/>
      </c>
      <c r="H743">
        <f>1-(1-Skills!J6/100)^Skills!K6</f>
        <v/>
      </c>
      <c r="I743" t="inlineStr">
        <is>
          <t>1</t>
        </is>
      </c>
      <c r="J743">
        <f>((Inputs!$B$6*(1+Inputs!$B$7/100))+(((Inputs!$B$12*(1+Inputs!$B$13/100))-(Inputs!$B$12*(1+Inputs!$B$13/100)))+0.25*(Inputs!$B$14-Inputs!$B$14))*(1+Inputs!$B$7/100))*(F743/100)</f>
        <v/>
      </c>
      <c r="K743">
        <f>J743*(1+((Inputs!$B$12*(1+Inputs!$B$13/100))*0.01+Inputs!$B$14*0.0025)/100)*(1+Inputs!$B$15/100)*(1+IF(Inputs!$B$38="pvp",0,(1-Summary!$B$55)*(Inputs!$B$20+0+Skills!P6)+Summary!$B$55*(Inputs!$B$21+Skills!Q6))/100)*(1+Inputs!$B$16/100)*(5000/(6000+Inputs!$B$42*(1-(Inputs!$B$19+((C764=TRUE)*(F764-Calc!F27)))/100)))*(1+(Inputs!$B$24+((C762=TRUE)*(F762-Calc!F25))+((C763=TRUE)*(F763-Calc!F26))+B776)/100)*(1+IF(C744=TRUE,F744,0)/100)*(1+(IF(Skills!A6="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743)</f>
        <v/>
      </c>
      <c r="L743">
        <f>K743*(MIN(Inputs!$B$22+((C761=TRUE)*(F761-Calc!F24)),Inputs!$B$23+((C766=TRUE)*(F766-Calc!F29)))/100+(Inputs!$B$23+((C766=TRUE)*(F766-Calc!F29)))/100)/2</f>
        <v/>
      </c>
      <c r="M743">
        <f>L743*(1+(Inputs!$B$10+0+B775)/100)</f>
        <v/>
      </c>
      <c r="N743">
        <f>L743*(1-MIN((Inputs!$B$9+((C757=TRUE)*(F757-Calc!F20))+B770),100)/100)+M743*(MIN((Inputs!$B$9+((C757=TRUE)*(F757-Calc!F20))+B770),100)/100)</f>
        <v/>
      </c>
      <c r="O743">
        <f>IF(C743,H743*N743*IF(AND(Inputs!$B$38&lt;&gt;"pvp",Inputs!$B$43&gt;0),((Skills!G6*((R743-1)*IF(Skills!H6&gt;0,Skills!I6/Skills!H6,1)+IF(Skills!H6&gt;0,MIN(Skills!I6,MAX(0,MAX(0,Inputs!$B$43-B777)-((R743-1)*IF(Inputs!$B$38="pvp",15,MAX(0.1,Skills!D6-IF(Skills!E6=TRUE,Inputs!$B$32,0))))))/Skills!H6,1)))/Inputs!$B$43),G743*Q743)*IF(Inputs!$B$38="pvp",1,(1-Summary!$B$55)*(1)+Summary!$B$55*(MIN(Skills!R6,Inputs!$B$37))),0)</f>
        <v/>
      </c>
      <c r="P743">
        <f>IF(B778=0,0,O743/B778)</f>
        <v/>
      </c>
      <c r="Q743">
        <f>IFERROR(1/IF(Inputs!$B$38="pvp",15,MAX(0.1,Skills!D6-IF(Skills!E6=TRUE,Inputs!$B$32,0))),0)</f>
        <v/>
      </c>
      <c r="R743">
        <f>IF(AND(Inputs!$B$38&lt;&gt;"pvp",Inputs!$B$43&gt;0),IF(MAX(0,Inputs!$B$43-B777)&lt;=0,0,(INT(MAX(0,Inputs!$B$43-B777)/IF(Inputs!$B$38="pvp",15,MAX(0.1,Skills!D6-IF(Skills!E6=TRUE,Inputs!$B$32,0))))+1)),0)</f>
        <v/>
      </c>
      <c r="S743">
        <f>IFERROR(O743/N743,0)</f>
        <v/>
      </c>
    </row>
    <row r="744">
      <c r="A744">
        <f>Skills!A7</f>
        <v/>
      </c>
      <c r="B744">
        <f>Skills!B7</f>
        <v/>
      </c>
      <c r="C744">
        <f>Inputs!$B$3&gt;=107</f>
        <v/>
      </c>
      <c r="D744">
        <f>IF(Skills!C7=1,60+(Inputs!$B$25+1)+Inputs!$B$29,IF(Skills!C7=2,90+Inputs!$B$26+Inputs!$B$29,IF(Skills!C7=3,120+Inputs!$B$27+Inputs!$B$29,MAX(0,(Inputs!$B$3-100)*3)+Inputs!$B$28+Inputs!$B$29)))</f>
        <v/>
      </c>
      <c r="E744">
        <f>INDEX(FactorTable!$B$2:$Y$301, MATCH(ROUND(MIN(300,MAX(1,D744)),0), FactorTable!$A$2:$A$301,0), Skills!M7+1)</f>
        <v/>
      </c>
      <c r="F744">
        <f>IF(Skills!N7=TRUE,(Skills!L7/10)*(E744/1000),Skills!L7/10)+Skills!O7</f>
        <v/>
      </c>
      <c r="G744" t="inlineStr"/>
      <c r="H744" t="inlineStr"/>
      <c r="I744" t="inlineStr">
        <is>
          <t>1</t>
        </is>
      </c>
      <c r="J744" t="inlineStr"/>
      <c r="K744" t="inlineStr"/>
      <c r="L744" t="inlineStr"/>
      <c r="M744" t="inlineStr"/>
      <c r="N744" t="inlineStr"/>
      <c r="O744" t="inlineStr"/>
      <c r="P744" t="inlineStr"/>
      <c r="Q744" t="inlineStr"/>
      <c r="R744" t="inlineStr"/>
      <c r="S744" t="inlineStr"/>
    </row>
    <row r="745">
      <c r="A745">
        <f>Skills!A8</f>
        <v/>
      </c>
      <c r="B745">
        <f>Skills!B8</f>
        <v/>
      </c>
      <c r="C745">
        <f>Inputs!$B$3&gt;=69</f>
        <v/>
      </c>
      <c r="D745">
        <f>IF(Skills!C8=1,60+(Inputs!$B$25+1)+Inputs!$B$29,IF(Skills!C8=2,90+Inputs!$B$26+Inputs!$B$29,IF(Skills!C8=3,120+Inputs!$B$27+Inputs!$B$29,MAX(0,(Inputs!$B$3-100)*3)+Inputs!$B$28+Inputs!$B$29)))</f>
        <v/>
      </c>
      <c r="E745">
        <f>INDEX(FactorTable!$B$2:$Y$301, MATCH(ROUND(MIN(300,MAX(1,D745)),0), FactorTable!$A$2:$A$301,0), Skills!M8+1)</f>
        <v/>
      </c>
      <c r="F745">
        <f>IF(Skills!N8=TRUE,(Skills!L8/10)*(E745/1000),Skills!L8/10)+Skills!O8</f>
        <v/>
      </c>
      <c r="G745">
        <f>Skills!G8*IF(Skills!H8&gt;0,Skills!I8/Skills!H8,1)</f>
        <v/>
      </c>
      <c r="H745">
        <f>1-(1-Skills!J8/100)^Skills!K8</f>
        <v/>
      </c>
      <c r="I745" t="inlineStr">
        <is>
          <t>1</t>
        </is>
      </c>
      <c r="J745">
        <f>((Inputs!$B$6*(1+Inputs!$B$7/100))+(((Inputs!$B$12*(1+Inputs!$B$13/100))-(Inputs!$B$12*(1+Inputs!$B$13/100)))+0.25*(Inputs!$B$14-Inputs!$B$14))*(1+Inputs!$B$7/100))*(F745/100)</f>
        <v/>
      </c>
      <c r="K745">
        <f>J745*(1+((Inputs!$B$12*(1+Inputs!$B$13/100))*0.01+Inputs!$B$14*0.0025)/100)*(1+Inputs!$B$15/100)*(1+IF(Inputs!$B$38="pvp",0,(1-Summary!$B$55)*(Inputs!$B$20+0+Skills!P8)+Summary!$B$55*(Inputs!$B$21+Skills!Q8))/100)*(1+Inputs!$B$16/100)*(5000/(6000+Inputs!$B$42*(1-(Inputs!$B$19+((C764=TRUE)*(F764-Calc!F27)))/100)))*(1+(Inputs!$B$24+((C762=TRUE)*(F762-Calc!F25))+((C763=TRUE)*(F763-Calc!F26))+B776)/100)*(1+1.2*IF(C747=TRUE,F747,0)/100)*(1+(IF(Skills!A8="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745)</f>
        <v/>
      </c>
      <c r="L745">
        <f>K745*(MIN(Inputs!$B$22+((C761=TRUE)*(F761-Calc!F24)),Inputs!$B$23+((C766=TRUE)*(F766-Calc!F29)))/100+(Inputs!$B$23+((C766=TRUE)*(F766-Calc!F29)))/100)/2</f>
        <v/>
      </c>
      <c r="M745">
        <f>L745*(1+(Inputs!$B$10+0+B775)/100)</f>
        <v/>
      </c>
      <c r="N745">
        <f>L745*(1-MIN((Inputs!$B$9+((C757=TRUE)*(F757-Calc!F20))+B770),100)/100)+M745*(MIN((Inputs!$B$9+((C757=TRUE)*(F757-Calc!F20))+B770),100)/100)</f>
        <v/>
      </c>
      <c r="O745">
        <f>IF(C745,H745*N745*IF(AND(Inputs!$B$38&lt;&gt;"pvp",Inputs!$B$43&gt;0),((Skills!G8*((R745-1)*IF(Skills!H8&gt;0,Skills!I8/Skills!H8,1)+IF(Skills!H8&gt;0,MIN(Skills!I8,MAX(0,MAX(0,Inputs!$B$43-B777)-((R745-1)*IF(Inputs!$B$38="pvp",15,MAX(0.1,Skills!D8-IF(Skills!E8=TRUE,Inputs!$B$32,0))))))/Skills!H8,1)))/Inputs!$B$43),G745*Q745)*IF(Inputs!$B$38="pvp",1,(1-Summary!$B$55)*(1)+Summary!$B$55*(MIN(Skills!R8,Inputs!$B$37))),0)</f>
        <v/>
      </c>
      <c r="P745">
        <f>IF(B778=0,0,O745/B778)</f>
        <v/>
      </c>
      <c r="Q745">
        <f>IFERROR(1/IF(Inputs!$B$38="pvp",15,MAX(0.1,Skills!D8-IF(Skills!E8=TRUE,Inputs!$B$32,0))),0)</f>
        <v/>
      </c>
      <c r="R745">
        <f>IF(AND(Inputs!$B$38&lt;&gt;"pvp",Inputs!$B$43&gt;0),IF(MAX(0,Inputs!$B$43-B777)&lt;=0,0,(INT(MAX(0,Inputs!$B$43-B777)/IF(Inputs!$B$38="pvp",15,MAX(0.1,Skills!D8-IF(Skills!E8=TRUE,Inputs!$B$32,0))))+1)),0)</f>
        <v/>
      </c>
      <c r="S745">
        <f>IFERROR(O745/N745,0)</f>
        <v/>
      </c>
    </row>
    <row r="746">
      <c r="A746">
        <f>Skills!A9</f>
        <v/>
      </c>
      <c r="B746">
        <f>Skills!B9</f>
        <v/>
      </c>
      <c r="C746">
        <f>Inputs!$B$3&gt;=63</f>
        <v/>
      </c>
      <c r="D746">
        <f>IF(Skills!C9=1,60+(Inputs!$B$25+1)+Inputs!$B$29,IF(Skills!C9=2,90+Inputs!$B$26+Inputs!$B$29,IF(Skills!C9=3,120+Inputs!$B$27+Inputs!$B$29,MAX(0,(Inputs!$B$3-100)*3)+Inputs!$B$28+Inputs!$B$29)))</f>
        <v/>
      </c>
      <c r="E746">
        <f>INDEX(FactorTable!$B$2:$Y$301, MATCH(ROUND(MIN(300,MAX(1,D746)),0), FactorTable!$A$2:$A$301,0), Skills!M9+1)</f>
        <v/>
      </c>
      <c r="F746">
        <f>IF(Skills!N9=TRUE,(Skills!L9/10)*(E746/1000),Skills!L9/10)+Skills!O9</f>
        <v/>
      </c>
      <c r="G746">
        <f>Skills!G9*IF(Skills!H9&gt;0,Skills!I9/Skills!H9,1)</f>
        <v/>
      </c>
      <c r="H746">
        <f>1-(1-Skills!J9/100)^Skills!K9</f>
        <v/>
      </c>
      <c r="I746" t="inlineStr">
        <is>
          <t>1</t>
        </is>
      </c>
      <c r="J746">
        <f>((Inputs!$B$6*(1+Inputs!$B$7/100))+(((Inputs!$B$12*(1+Inputs!$B$13/100))-(Inputs!$B$12*(1+Inputs!$B$13/100)))+0.25*(Inputs!$B$14-Inputs!$B$14))*(1+Inputs!$B$7/100))*(F746/100)</f>
        <v/>
      </c>
      <c r="K746">
        <f>J746*(1+((Inputs!$B$12*(1+Inputs!$B$13/100))*0.01+Inputs!$B$14*0.0025)/100)*(1+Inputs!$B$15/100)*(1+IF(Inputs!$B$38="pvp",0,(1-Summary!$B$55)*(Inputs!$B$20+0+Skills!P9)+Summary!$B$55*(Inputs!$B$21+Skills!Q9))/100)*(1+Inputs!$B$16/100)*(5000/(6000+Inputs!$B$42*(1-(Inputs!$B$19+((C764=TRUE)*(F764-Calc!F27)))/100)))*(1+(Inputs!$B$24+((C762=TRUE)*(F762-Calc!F25))+((C763=TRUE)*(F763-Calc!F26))+B776)/100)*(1+1.0*IF(C747=TRUE,F747,0)/100)*(1+(IF(Skills!A9="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746)</f>
        <v/>
      </c>
      <c r="L746">
        <f>K746*(MIN(Inputs!$B$22+((C761=TRUE)*(F761-Calc!F24)),Inputs!$B$23+((C766=TRUE)*(F766-Calc!F29)))/100+(Inputs!$B$23+((C766=TRUE)*(F766-Calc!F29)))/100)/2</f>
        <v/>
      </c>
      <c r="M746">
        <f>L746*(1+(Inputs!$B$10+0+B775)/100)</f>
        <v/>
      </c>
      <c r="N746">
        <f>L746*(1-MIN((Inputs!$B$9+((C757=TRUE)*(F757-Calc!F20))+B770),100)/100)+M746*(MIN((Inputs!$B$9+((C757=TRUE)*(F757-Calc!F20))+B770),100)/100)</f>
        <v/>
      </c>
      <c r="O746">
        <f>IF(C746,H746*N746*IF(AND(Inputs!$B$38&lt;&gt;"pvp",Inputs!$B$43&gt;0),((Skills!G9*((R746-1)*IF(Skills!H9&gt;0,Skills!I9/Skills!H9,1)+IF(Skills!H9&gt;0,MIN(Skills!I9,MAX(0,MAX(0,Inputs!$B$43-B777)-((R746-1)*IF(Inputs!$B$38="pvp",15,MAX(0.1,Skills!D9-IF(Skills!E9=TRUE,Inputs!$B$32,0))))))/Skills!H9,1)))/Inputs!$B$43),G746*Q746)*IF(Inputs!$B$38="pvp",1,(1-Summary!$B$55)*(1)+Summary!$B$55*(MIN(Skills!R9,Inputs!$B$37))),0)</f>
        <v/>
      </c>
      <c r="P746">
        <f>IF(B778=0,0,O746/B778)</f>
        <v/>
      </c>
      <c r="Q746">
        <f>IFERROR(1/IF(Inputs!$B$38="pvp",15,MAX(0.1,Skills!D9-IF(Skills!E9=TRUE,Inputs!$B$32,0))),0)</f>
        <v/>
      </c>
      <c r="R746">
        <f>IF(AND(Inputs!$B$38&lt;&gt;"pvp",Inputs!$B$43&gt;0),IF(MAX(0,Inputs!$B$43-B777)&lt;=0,0,(INT(MAX(0,Inputs!$B$43-B777)/IF(Inputs!$B$38="pvp",15,MAX(0.1,Skills!D9-IF(Skills!E9=TRUE,Inputs!$B$32,0))))+1)),0)</f>
        <v/>
      </c>
      <c r="S746">
        <f>IFERROR(O746/N746,0)</f>
        <v/>
      </c>
    </row>
    <row r="747">
      <c r="A747">
        <f>Skills!A10</f>
        <v/>
      </c>
      <c r="B747">
        <f>Skills!B10</f>
        <v/>
      </c>
      <c r="C747">
        <f>Inputs!$B$3&gt;=100</f>
        <v/>
      </c>
      <c r="D747">
        <f>IF(Skills!C10=1,60+(Inputs!$B$25+1)+Inputs!$B$29,IF(Skills!C10=2,90+Inputs!$B$26+Inputs!$B$29,IF(Skills!C10=3,120+Inputs!$B$27+Inputs!$B$29,MAX(0,(Inputs!$B$3-100)*3)+Inputs!$B$28+Inputs!$B$29)))</f>
        <v/>
      </c>
      <c r="E747">
        <f>INDEX(FactorTable!$B$2:$Y$301, MATCH(ROUND(MIN(300,MAX(1,D747)),0), FactorTable!$A$2:$A$301,0), Skills!M10+1)</f>
        <v/>
      </c>
      <c r="F747">
        <f>IF(Skills!N10=TRUE,(Skills!L10/10)*(E747/1000),Skills!L10/10)+Skills!O10</f>
        <v/>
      </c>
      <c r="G747" t="inlineStr"/>
      <c r="H747" t="inlineStr"/>
      <c r="I747" t="inlineStr">
        <is>
          <t>1</t>
        </is>
      </c>
      <c r="J747" t="inlineStr"/>
      <c r="K747" t="inlineStr"/>
      <c r="L747" t="inlineStr"/>
      <c r="M747" t="inlineStr"/>
      <c r="N747" t="inlineStr"/>
      <c r="O747" t="inlineStr"/>
      <c r="P747" t="inlineStr"/>
      <c r="Q747" t="inlineStr"/>
      <c r="R747" t="inlineStr"/>
      <c r="S747" t="inlineStr"/>
    </row>
    <row r="748">
      <c r="A748">
        <f>Skills!A11</f>
        <v/>
      </c>
      <c r="B748">
        <f>Skills!B11</f>
        <v/>
      </c>
      <c r="C748">
        <f>Inputs!$B$3&gt;=60</f>
        <v/>
      </c>
      <c r="D748">
        <f>IF(Skills!C11=1,60+(Inputs!$B$25+1)+Inputs!$B$29,IF(Skills!C11=2,90+Inputs!$B$26+Inputs!$B$29,IF(Skills!C11=3,120+Inputs!$B$27+Inputs!$B$29,MAX(0,(Inputs!$B$3-100)*3)+Inputs!$B$28+Inputs!$B$29)))</f>
        <v/>
      </c>
      <c r="E748">
        <f>INDEX(FactorTable!$B$2:$Y$301, MATCH(ROUND(MIN(300,MAX(1,D748)),0), FactorTable!$A$2:$A$301,0), Skills!M11+1)</f>
        <v/>
      </c>
      <c r="F748">
        <f>IF(Skills!N11=TRUE,(Skills!L11/10)*(E748/1000),Skills!L11/10)+Skills!O11</f>
        <v/>
      </c>
      <c r="G748">
        <f>Skills!G11*IF(Skills!H11&gt;0,Skills!I11/Skills!H11,1)</f>
        <v/>
      </c>
      <c r="H748">
        <f>1-(1-Skills!J11/100)^Skills!K11</f>
        <v/>
      </c>
      <c r="I748" t="inlineStr">
        <is>
          <t>1</t>
        </is>
      </c>
      <c r="J748">
        <f>((Inputs!$B$6*(1+Inputs!$B$7/100))+(((Inputs!$B$12*(1+Inputs!$B$13/100))-(Inputs!$B$12*(1+Inputs!$B$13/100)))+0.25*(Inputs!$B$14-Inputs!$B$14))*(1+Inputs!$B$7/100))*(F748/100)</f>
        <v/>
      </c>
      <c r="K748">
        <f>J748*(1+((Inputs!$B$12*(1+Inputs!$B$13/100))*0.01+Inputs!$B$14*0.0025)/100)*(1+Inputs!$B$15/100)*(1+IF(Inputs!$B$38="pvp",0,(1-Summary!$B$55)*(Inputs!$B$20+0+Skills!P11)+Summary!$B$55*(Inputs!$B$21+Skills!Q11))/100)*(1+Inputs!$B$16/100)*(5000/(6000+Inputs!$B$42*(1-(Inputs!$B$19+((C764=TRUE)*(F764-Calc!F27)))/100)))*(1+(Inputs!$B$24+((C762=TRUE)*(F762-Calc!F25))+((C763=TRUE)*(F763-Calc!F26))+B776)/100)*(1+IF(C749=TRUE,F749,0)/100)*(1+(IF(Skills!A11="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748)</f>
        <v/>
      </c>
      <c r="L748">
        <f>K748*(MIN(Inputs!$B$22+((C761=TRUE)*(F761-Calc!F24)),Inputs!$B$23+((C766=TRUE)*(F766-Calc!F29)))/100+(Inputs!$B$23+((C766=TRUE)*(F766-Calc!F29)))/100)/2</f>
        <v/>
      </c>
      <c r="M748">
        <f>L748*(1+(Inputs!$B$10+0+B775)/100)</f>
        <v/>
      </c>
      <c r="N748">
        <f>L748*(1-MIN((Inputs!$B$9+((C757=TRUE)*(F757-Calc!F20))+B770),100)/100)+M748*(MIN((Inputs!$B$9+((C757=TRUE)*(F757-Calc!F20))+B770),100)/100)</f>
        <v/>
      </c>
      <c r="O748">
        <f>IF(C748,H748*N748*IF(AND(Inputs!$B$38&lt;&gt;"pvp",Inputs!$B$43&gt;0),((Skills!G11*((R748-1)*IF(Skills!H11&gt;0,Skills!I11/Skills!H11,1)+IF(Skills!H11&gt;0,MIN(Skills!I11,MAX(0,MAX(0,Inputs!$B$43-B777)-((R748-1)*IF(Inputs!$B$38="pvp",15,MAX(0.1,Skills!D11-IF(Skills!E11=TRUE,Inputs!$B$32,0))))))/Skills!H11,1)))/Inputs!$B$43),G748*Q748)*IF(Inputs!$B$38="pvp",1,(1-Summary!$B$55)*(1)+Summary!$B$55*(MIN(Skills!R11,Inputs!$B$37))),0)</f>
        <v/>
      </c>
      <c r="P748">
        <f>IF(B778=0,0,O748/B778)</f>
        <v/>
      </c>
      <c r="Q748">
        <f>IFERROR(1/IF(Inputs!$B$38="pvp",15,MAX(0.1,Skills!D11-IF(Skills!E11=TRUE,Inputs!$B$32,0))),0)</f>
        <v/>
      </c>
      <c r="R748">
        <f>IF(AND(Inputs!$B$38&lt;&gt;"pvp",Inputs!$B$43&gt;0),IF(MAX(0,Inputs!$B$43-B777)&lt;=0,0,(INT(MAX(0,Inputs!$B$43-B777)/IF(Inputs!$B$38="pvp",15,MAX(0.1,Skills!D11-IF(Skills!E11=TRUE,Inputs!$B$32,0))))+1)),0)</f>
        <v/>
      </c>
      <c r="S748">
        <f>IFERROR(O748/N748,0)</f>
        <v/>
      </c>
    </row>
    <row r="749">
      <c r="A749">
        <f>Skills!A12</f>
        <v/>
      </c>
      <c r="B749">
        <f>Skills!B12</f>
        <v/>
      </c>
      <c r="C749">
        <f>Inputs!$B$3&gt;=110</f>
        <v/>
      </c>
      <c r="D749">
        <f>IF(Skills!C12=1,60+(Inputs!$B$25+1)+Inputs!$B$29,IF(Skills!C12=2,90+Inputs!$B$26+Inputs!$B$29,IF(Skills!C12=3,120+Inputs!$B$27+Inputs!$B$29,MAX(0,(Inputs!$B$3-100)*3)+Inputs!$B$28+Inputs!$B$29)))</f>
        <v/>
      </c>
      <c r="E749">
        <f>INDEX(FactorTable!$B$2:$Y$301, MATCH(ROUND(MIN(300,MAX(1,D749)),0), FactorTable!$A$2:$A$301,0), Skills!M12+1)</f>
        <v/>
      </c>
      <c r="F749">
        <f>IF(Skills!N12=TRUE,(Skills!L12/10)*(E749/1000),Skills!L12/10)+Skills!O12</f>
        <v/>
      </c>
      <c r="G749" t="inlineStr"/>
      <c r="H749" t="inlineStr"/>
      <c r="I749" t="inlineStr">
        <is>
          <t>1</t>
        </is>
      </c>
      <c r="J749" t="inlineStr"/>
      <c r="K749" t="inlineStr"/>
      <c r="L749" t="inlineStr"/>
      <c r="M749" t="inlineStr"/>
      <c r="N749" t="inlineStr"/>
      <c r="O749" t="inlineStr"/>
      <c r="P749" t="inlineStr"/>
      <c r="Q749" t="inlineStr"/>
      <c r="R749" t="inlineStr"/>
      <c r="S749" t="inlineStr"/>
    </row>
    <row r="750">
      <c r="A750">
        <f>Skills!A13</f>
        <v/>
      </c>
      <c r="B750">
        <f>Skills!B13</f>
        <v/>
      </c>
      <c r="C750">
        <f>Inputs!$B$3&gt;=74</f>
        <v/>
      </c>
      <c r="D750">
        <f>IF(Skills!C13=1,60+(Inputs!$B$25+1)+Inputs!$B$29,IF(Skills!C13=2,90+Inputs!$B$26+Inputs!$B$29,IF(Skills!C13=3,120+Inputs!$B$27+Inputs!$B$29,MAX(0,(Inputs!$B$3-100)*3)+Inputs!$B$28+Inputs!$B$29)))</f>
        <v/>
      </c>
      <c r="E750">
        <f>INDEX(FactorTable!$B$2:$Y$301, MATCH(ROUND(MIN(300,MAX(1,D750)),0), FactorTable!$A$2:$A$301,0), Skills!M13+1)</f>
        <v/>
      </c>
      <c r="F750">
        <f>IF(Skills!N13=TRUE,(Skills!L13/10)*(E750/1000),Skills!L13/10)+Skills!O13</f>
        <v/>
      </c>
      <c r="G750">
        <f>Skills!G13*IF(Skills!H13&gt;0,Skills!I13/Skills!H13,1)</f>
        <v/>
      </c>
      <c r="H750">
        <f>1-(1-Skills!J13/100)^Skills!K13</f>
        <v/>
      </c>
      <c r="I750" t="inlineStr">
        <is>
          <t>1</t>
        </is>
      </c>
      <c r="J750" t="inlineStr"/>
      <c r="K750" t="inlineStr"/>
      <c r="L750" t="inlineStr"/>
      <c r="M750" t="inlineStr"/>
      <c r="N750" t="inlineStr"/>
      <c r="O750" t="n">
        <v>0</v>
      </c>
      <c r="P750">
        <f>IF(B778=0,0,O750/B778)</f>
        <v/>
      </c>
      <c r="Q750" t="n">
        <v>0</v>
      </c>
      <c r="R750" t="n">
        <v>0</v>
      </c>
      <c r="S750">
        <f>IFERROR(O750/N750,0)</f>
        <v/>
      </c>
    </row>
    <row r="751">
      <c r="A751">
        <f>Skills!A14</f>
        <v/>
      </c>
      <c r="B751">
        <f>Skills!B14</f>
        <v/>
      </c>
      <c r="C751">
        <f>Inputs!$B$3&gt;=74</f>
        <v/>
      </c>
      <c r="D751">
        <f>IF(Skills!C14=1,60+(Inputs!$B$25+1)+Inputs!$B$29,IF(Skills!C14=2,90+Inputs!$B$26+Inputs!$B$29,IF(Skills!C14=3,120+Inputs!$B$27+Inputs!$B$29,MAX(0,(Inputs!$B$3-100)*3)+Inputs!$B$28+Inputs!$B$29)))</f>
        <v/>
      </c>
      <c r="E751">
        <f>INDEX(FactorTable!$B$2:$Y$301, MATCH(ROUND(MIN(300,MAX(1,D751)),0), FactorTable!$A$2:$A$301,0), Skills!M14+1)</f>
        <v/>
      </c>
      <c r="F751">
        <f>IF(Skills!N14=TRUE,(Skills!L14/10)*(E751/1000),Skills!L14/10)+Skills!O14</f>
        <v/>
      </c>
      <c r="G751">
        <f>Skills!G14*IF(Skills!H14&gt;0,Skills!I14/Skills!H14,1)</f>
        <v/>
      </c>
      <c r="H751">
        <f>1-(1-Skills!J14/100)^Skills!K14</f>
        <v/>
      </c>
      <c r="I751" t="inlineStr">
        <is>
          <t>1</t>
        </is>
      </c>
      <c r="J751" t="inlineStr"/>
      <c r="K751" t="inlineStr"/>
      <c r="L751" t="inlineStr"/>
      <c r="M751" t="inlineStr"/>
      <c r="N751" t="inlineStr"/>
      <c r="O751" t="n">
        <v>0</v>
      </c>
      <c r="P751">
        <f>IF(B778=0,0,O751/B778)</f>
        <v/>
      </c>
      <c r="Q751" t="n">
        <v>0</v>
      </c>
      <c r="R751" t="n">
        <v>0</v>
      </c>
      <c r="S751">
        <f>IFERROR(O751/N751,0)</f>
        <v/>
      </c>
    </row>
    <row r="752">
      <c r="A752">
        <f>Skills!A15</f>
        <v/>
      </c>
      <c r="B752">
        <f>Skills!B15</f>
        <v/>
      </c>
      <c r="C752">
        <f>Inputs!$B$3&gt;=117</f>
        <v/>
      </c>
      <c r="D752">
        <f>IF(Skills!C15=1,60+(Inputs!$B$25+1)+Inputs!$B$29,IF(Skills!C15=2,90+Inputs!$B$26+Inputs!$B$29,IF(Skills!C15=3,120+Inputs!$B$27+Inputs!$B$29,MAX(0,(Inputs!$B$3-100)*3)+Inputs!$B$28+Inputs!$B$29)))</f>
        <v/>
      </c>
      <c r="E752">
        <f>INDEX(FactorTable!$B$2:$Y$301, MATCH(ROUND(MIN(300,MAX(1,D752)),0), FactorTable!$A$2:$A$301,0), Skills!M15+1)</f>
        <v/>
      </c>
      <c r="F752">
        <f>IF(Skills!N15=TRUE,(Skills!L15/10)*(E752/1000),Skills!L15/10)+Skills!O15</f>
        <v/>
      </c>
      <c r="G752">
        <f>Skills!G15*IF(Skills!H15&gt;0,Skills!I15/Skills!H15,1)</f>
        <v/>
      </c>
      <c r="H752">
        <f>1-(1-Skills!J15/100)^Skills!K15</f>
        <v/>
      </c>
      <c r="I752" t="inlineStr">
        <is>
          <t>1</t>
        </is>
      </c>
      <c r="J752" t="inlineStr"/>
      <c r="K752" t="inlineStr"/>
      <c r="L752" t="inlineStr"/>
      <c r="M752" t="inlineStr"/>
      <c r="N752" t="inlineStr"/>
      <c r="O752" t="n">
        <v>0</v>
      </c>
      <c r="P752">
        <f>IF(B778=0,0,O752/B778)</f>
        <v/>
      </c>
      <c r="Q752">
        <f>IFERROR(1/IF(Inputs!$B$38="pvp",15,MAX(0.1,Skills!D15-IF(Skills!E15=TRUE,Inputs!$B$32,0))),0)</f>
        <v/>
      </c>
      <c r="R752">
        <f>IF(AND(Inputs!$B$38&lt;&gt;"pvp",Inputs!$B$43&gt;0),IF(Inputs!$B$43&lt;=0,0,(INT(Inputs!$B$43/IF(Inputs!$B$38="pvp",15,MAX(0.1,Skills!D15-IF(Skills!E15=TRUE,Inputs!$B$32,0))))+1)),0)</f>
        <v/>
      </c>
      <c r="S752">
        <f>IFERROR(O752/N752,0)</f>
        <v/>
      </c>
    </row>
    <row r="753">
      <c r="A753">
        <f>Skills!A16</f>
        <v/>
      </c>
      <c r="B753">
        <f>Skills!B16</f>
        <v/>
      </c>
      <c r="C753">
        <f>Inputs!$B$3&gt;=115</f>
        <v/>
      </c>
      <c r="D753">
        <f>IF(Skills!C16=1,60+(Inputs!$B$25+1)+Inputs!$B$29,IF(Skills!C16=2,90+Inputs!$B$26+Inputs!$B$29,IF(Skills!C16=3,120+Inputs!$B$27+Inputs!$B$29,MAX(0,(Inputs!$B$3-100)*3)+Inputs!$B$28+Inputs!$B$29)))</f>
        <v/>
      </c>
      <c r="E753">
        <f>INDEX(FactorTable!$B$2:$Y$301, MATCH(ROUND(MIN(300,MAX(1,D753)),0), FactorTable!$A$2:$A$301,0), Skills!M16+1)</f>
        <v/>
      </c>
      <c r="F753">
        <f>IF(Skills!N16=TRUE,(Skills!L16/10)*(E753/1000),Skills!L16/10)+Skills!O16</f>
        <v/>
      </c>
      <c r="G753">
        <f>Skills!G16*IF(Skills!H16&gt;0,Skills!I16/Skills!H16,1)</f>
        <v/>
      </c>
      <c r="H753">
        <f>1-(1-Skills!J16/100)^Skills!K16</f>
        <v/>
      </c>
      <c r="I753" t="inlineStr">
        <is>
          <t>1</t>
        </is>
      </c>
      <c r="J753" t="inlineStr"/>
      <c r="K753" t="inlineStr"/>
      <c r="L753" t="inlineStr"/>
      <c r="M753" t="inlineStr"/>
      <c r="N753" t="inlineStr"/>
      <c r="O753" t="n">
        <v>0</v>
      </c>
      <c r="P753">
        <f>IF(B778=0,0,O753/B778)</f>
        <v/>
      </c>
      <c r="Q753">
        <f>IFERROR(1/IF(Inputs!$B$38="pvp",15,MAX(0.1,Skills!D16-IF(Skills!E16=TRUE,Inputs!$B$32,0))),0)</f>
        <v/>
      </c>
      <c r="R753">
        <f>IF(AND(Inputs!$B$38&lt;&gt;"pvp",Inputs!$B$43&gt;0),IF(Inputs!$B$43&lt;=0,0,(INT(Inputs!$B$43/IF(Inputs!$B$38="pvp",15,MAX(0.1,Skills!D16-IF(Skills!E16=TRUE,Inputs!$B$32,0))))+1)),0)</f>
        <v/>
      </c>
      <c r="S753">
        <f>IFERROR(O753/N753,0)</f>
        <v/>
      </c>
    </row>
    <row r="754">
      <c r="A754">
        <f>Skills!A17</f>
        <v/>
      </c>
      <c r="B754">
        <f>Skills!B17</f>
        <v/>
      </c>
      <c r="C754">
        <f>Inputs!$B$3&gt;=66</f>
        <v/>
      </c>
      <c r="D754">
        <f>IF(Skills!C17=1,60+(Inputs!$B$25+1)+Inputs!$B$29,IF(Skills!C17=2,90+Inputs!$B$26+Inputs!$B$29,IF(Skills!C17=3,120+Inputs!$B$27+Inputs!$B$29,MAX(0,(Inputs!$B$3-100)*3)+Inputs!$B$28+Inputs!$B$29)))</f>
        <v/>
      </c>
      <c r="E754">
        <f>INDEX(FactorTable!$B$2:$Y$301, MATCH(ROUND(MIN(300,MAX(1,D754)),0), FactorTable!$A$2:$A$301,0), Skills!M17+1)</f>
        <v/>
      </c>
      <c r="F754">
        <f>IF(Skills!N17=TRUE,(Skills!L17/10)*(E754/1000),Skills!L17/10)+Skills!O17</f>
        <v/>
      </c>
      <c r="G754">
        <f>Skills!G17*IF(Skills!H17&gt;0,Skills!I17/Skills!H17,1)</f>
        <v/>
      </c>
      <c r="H754">
        <f>1-(1-Skills!J17/100)^Skills!K17</f>
        <v/>
      </c>
      <c r="I754" t="inlineStr">
        <is>
          <t>1</t>
        </is>
      </c>
      <c r="J754" t="inlineStr"/>
      <c r="K754" t="inlineStr"/>
      <c r="L754" t="inlineStr"/>
      <c r="M754" t="inlineStr"/>
      <c r="N754" t="inlineStr"/>
      <c r="O754" t="n">
        <v>0</v>
      </c>
      <c r="P754">
        <f>IF(B778=0,0,O754/B778)</f>
        <v/>
      </c>
      <c r="Q754" t="n">
        <v>0</v>
      </c>
      <c r="R754" t="n">
        <v>0</v>
      </c>
      <c r="S754">
        <f>IFERROR(O754/N754,0)</f>
        <v/>
      </c>
    </row>
    <row r="755">
      <c r="A755">
        <f>Skills!A18</f>
        <v/>
      </c>
      <c r="B755">
        <f>Skills!B18</f>
        <v/>
      </c>
      <c r="C755">
        <f>Inputs!$B$3&gt;=72</f>
        <v/>
      </c>
      <c r="D755">
        <f>IF(Skills!C18=1,60+(Inputs!$B$25+1)+Inputs!$B$29,IF(Skills!C18=2,90+Inputs!$B$26+Inputs!$B$29,IF(Skills!C18=3,120+Inputs!$B$27+Inputs!$B$29,MAX(0,(Inputs!$B$3-100)*3)+Inputs!$B$28+Inputs!$B$29)))</f>
        <v/>
      </c>
      <c r="E755">
        <f>INDEX(FactorTable!$B$2:$Y$301, MATCH(ROUND(MIN(300,MAX(1,D755)),0), FactorTable!$A$2:$A$301,0), Skills!M18+1)</f>
        <v/>
      </c>
      <c r="F755">
        <f>IF(Skills!N18=TRUE,(Skills!L18/10)*(E755/1000),Skills!L18/10)+Skills!O18</f>
        <v/>
      </c>
      <c r="G755">
        <f>Skills!G18*IF(Skills!H18&gt;0,Skills!I18/Skills!H18,1)</f>
        <v/>
      </c>
      <c r="H755">
        <f>1-(1-Skills!J18/100)^Skills!K18</f>
        <v/>
      </c>
      <c r="I755" t="inlineStr">
        <is>
          <t>1</t>
        </is>
      </c>
      <c r="J755" t="inlineStr"/>
      <c r="K755" t="inlineStr"/>
      <c r="L755" t="inlineStr"/>
      <c r="M755" t="inlineStr"/>
      <c r="N755" t="inlineStr"/>
      <c r="O755" t="n">
        <v>0</v>
      </c>
      <c r="P755">
        <f>IF(B778=0,0,O755/B778)</f>
        <v/>
      </c>
      <c r="Q755" t="n">
        <v>0</v>
      </c>
      <c r="R755" t="n">
        <v>0</v>
      </c>
      <c r="S755">
        <f>IFERROR(O755/N755,0)</f>
        <v/>
      </c>
    </row>
    <row r="756">
      <c r="A756">
        <f>Skills!A19</f>
        <v/>
      </c>
      <c r="B756">
        <f>Skills!B19</f>
        <v/>
      </c>
      <c r="C756">
        <f>TRUE</f>
        <v/>
      </c>
      <c r="D756">
        <f>IF(Skills!C19=1,60+(Inputs!$B$25+1)+Inputs!$B$29,IF(Skills!C19=2,90+Inputs!$B$26+Inputs!$B$29,IF(Skills!C19=3,120+Inputs!$B$27+Inputs!$B$29,MAX(0,(Inputs!$B$3-100)*3)+Inputs!$B$28+Inputs!$B$29)))</f>
        <v/>
      </c>
      <c r="E756">
        <f>INDEX(FactorTable!$B$2:$Y$301, MATCH(ROUND(MIN(300,MAX(1,D756)),0), FactorTable!$A$2:$A$301,0), Skills!M19+1)</f>
        <v/>
      </c>
      <c r="F756">
        <f>IF(Skills!N19=TRUE,(Skills!L19/10)*(E756/1000),Skills!L19/10)+Skills!O19</f>
        <v/>
      </c>
      <c r="G756">
        <f>Skills!G19*IF(Skills!H19&gt;0,Skills!I19/Skills!H19,1)</f>
        <v/>
      </c>
      <c r="H756">
        <f>1-(1-Skills!J19/100)^Skills!K19</f>
        <v/>
      </c>
      <c r="I756" t="inlineStr">
        <is>
          <t>1</t>
        </is>
      </c>
      <c r="J756" t="inlineStr"/>
      <c r="K756" t="inlineStr"/>
      <c r="L756" t="inlineStr"/>
      <c r="M756" t="inlineStr"/>
      <c r="N756" t="inlineStr"/>
      <c r="O756" t="n">
        <v>0</v>
      </c>
      <c r="P756">
        <f>IF(B778=0,0,O756/B778)</f>
        <v/>
      </c>
      <c r="Q756">
        <f>IFERROR(1/IF(Inputs!$B$38="pvp",15,MAX(0.1,Skills!D19-IF(Skills!E19=TRUE,Inputs!$B$32,0))),0)</f>
        <v/>
      </c>
      <c r="R756">
        <f>IF(AND(Inputs!$B$38&lt;&gt;"pvp",Inputs!$B$43&gt;0),IF(Inputs!$B$43&lt;=0,0,(INT(Inputs!$B$43/IF(Inputs!$B$38="pvp",15,MAX(0.1,Skills!D19-IF(Skills!E19=TRUE,Inputs!$B$32,0))))+1)),0)</f>
        <v/>
      </c>
      <c r="S756">
        <f>IFERROR(O756/N756,0)</f>
        <v/>
      </c>
    </row>
    <row r="757">
      <c r="A757">
        <f>Skills!A20</f>
        <v/>
      </c>
      <c r="B757">
        <f>Skills!B20</f>
        <v/>
      </c>
      <c r="C757">
        <f>Inputs!$B$3&gt;=15</f>
        <v/>
      </c>
      <c r="D757">
        <f>IF(Skills!C20=1,60+(Inputs!$B$25+1)+Inputs!$B$29,IF(Skills!C20=2,90+Inputs!$B$26+Inputs!$B$29,IF(Skills!C20=3,120+Inputs!$B$27+Inputs!$B$29,MAX(0,(Inputs!$B$3-100)*3)+Inputs!$B$28+Inputs!$B$29)))</f>
        <v/>
      </c>
      <c r="E757">
        <f>INDEX(FactorTable!$B$2:$Y$301, MATCH(ROUND(MIN(300,MAX(1,D757)),0), FactorTable!$A$2:$A$301,0), Skills!M20+1)</f>
        <v/>
      </c>
      <c r="F757">
        <f>IF(Skills!N20=TRUE,(Skills!L20/10)*(E757/1000),Skills!L20/10)+Skills!O20</f>
        <v/>
      </c>
      <c r="G757">
        <f>Skills!G20*IF(Skills!H20&gt;0,Skills!I20/Skills!H20,1)</f>
        <v/>
      </c>
      <c r="H757">
        <f>1-(1-Skills!J20/100)^Skills!K20</f>
        <v/>
      </c>
      <c r="I757" t="inlineStr">
        <is>
          <t>1</t>
        </is>
      </c>
      <c r="J757" t="inlineStr"/>
      <c r="K757" t="inlineStr"/>
      <c r="L757" t="inlineStr"/>
      <c r="M757" t="inlineStr"/>
      <c r="N757" t="inlineStr"/>
      <c r="O757" t="n">
        <v>0</v>
      </c>
      <c r="P757">
        <f>IF(B778=0,0,O757/B778)</f>
        <v/>
      </c>
      <c r="Q757" t="n">
        <v>0</v>
      </c>
      <c r="R757" t="n">
        <v>0</v>
      </c>
      <c r="S757">
        <f>IFERROR(O757/N757,0)</f>
        <v/>
      </c>
    </row>
    <row r="758">
      <c r="A758">
        <f>Skills!A21</f>
        <v/>
      </c>
      <c r="B758">
        <f>Skills!B21</f>
        <v/>
      </c>
      <c r="C758">
        <f>Inputs!$B$3&gt;=10</f>
        <v/>
      </c>
      <c r="D758">
        <f>IF(Skills!C21=1,60+(Inputs!$B$25+1)+Inputs!$B$29,IF(Skills!C21=2,90+Inputs!$B$26+Inputs!$B$29,IF(Skills!C21=3,120+Inputs!$B$27+Inputs!$B$29,MAX(0,(Inputs!$B$3-100)*3)+Inputs!$B$28+Inputs!$B$29)))</f>
        <v/>
      </c>
      <c r="E758">
        <f>INDEX(FactorTable!$B$2:$Y$301, MATCH(ROUND(MIN(300,MAX(1,D758)),0), FactorTable!$A$2:$A$301,0), Skills!M21+1)</f>
        <v/>
      </c>
      <c r="F758">
        <f>IF(Skills!N21=TRUE,(Skills!L21/10)*(E758/1000),Skills!L21/10)+Skills!O21</f>
        <v/>
      </c>
      <c r="G758">
        <f>Skills!G21*IF(Skills!H21&gt;0,Skills!I21/Skills!H21,1)</f>
        <v/>
      </c>
      <c r="H758">
        <f>1-(1-Skills!J21/100)^Skills!K21</f>
        <v/>
      </c>
      <c r="I758" t="inlineStr">
        <is>
          <t>1</t>
        </is>
      </c>
      <c r="J758" t="inlineStr"/>
      <c r="K758" t="inlineStr"/>
      <c r="L758" t="inlineStr"/>
      <c r="M758" t="inlineStr"/>
      <c r="N758" t="inlineStr"/>
      <c r="O758" t="n">
        <v>0</v>
      </c>
      <c r="P758">
        <f>IF(B778=0,0,O758/B778)</f>
        <v/>
      </c>
      <c r="Q758" t="n">
        <v>0</v>
      </c>
      <c r="R758" t="n">
        <v>0</v>
      </c>
      <c r="S758">
        <f>IFERROR(O758/N758,0)</f>
        <v/>
      </c>
    </row>
    <row r="759">
      <c r="A759">
        <f>Skills!A22</f>
        <v/>
      </c>
      <c r="B759">
        <f>Skills!B22</f>
        <v/>
      </c>
      <c r="C759">
        <f>Inputs!$B$3&gt;=33</f>
        <v/>
      </c>
      <c r="D759">
        <f>IF(Skills!C22=1,60+(Inputs!$B$25+1)+Inputs!$B$29,IF(Skills!C22=2,90+Inputs!$B$26+Inputs!$B$29,IF(Skills!C22=3,120+Inputs!$B$27+Inputs!$B$29,MAX(0,(Inputs!$B$3-100)*3)+Inputs!$B$28+Inputs!$B$29)))</f>
        <v/>
      </c>
      <c r="E759">
        <f>INDEX(FactorTable!$B$2:$Y$301, MATCH(ROUND(MIN(300,MAX(1,D759)),0), FactorTable!$A$2:$A$301,0), Skills!M22+1)</f>
        <v/>
      </c>
      <c r="F759">
        <f>IF(Skills!N22=TRUE,(Skills!L22/10)*(E759/1000),Skills!L22/10)+Skills!O22</f>
        <v/>
      </c>
      <c r="G759">
        <f>Skills!G22*IF(Skills!H22&gt;0,Skills!I22/Skills!H22,1)</f>
        <v/>
      </c>
      <c r="H759">
        <f>1-(1-Skills!J22/100)^Skills!K22</f>
        <v/>
      </c>
      <c r="I759" t="inlineStr">
        <is>
          <t>1</t>
        </is>
      </c>
      <c r="J759" t="inlineStr"/>
      <c r="K759" t="inlineStr"/>
      <c r="L759" t="inlineStr"/>
      <c r="M759" t="inlineStr"/>
      <c r="N759" t="inlineStr"/>
      <c r="O759" t="n">
        <v>0</v>
      </c>
      <c r="P759">
        <f>IF(B778=0,0,O759/B778)</f>
        <v/>
      </c>
      <c r="Q759" t="n">
        <v>0</v>
      </c>
      <c r="R759" t="n">
        <v>0</v>
      </c>
      <c r="S759">
        <f>IFERROR(O759/N759,0)</f>
        <v/>
      </c>
    </row>
    <row r="760">
      <c r="A760">
        <f>Skills!A23</f>
        <v/>
      </c>
      <c r="B760">
        <f>Skills!B23</f>
        <v/>
      </c>
      <c r="C760">
        <f>Inputs!$B$3&gt;=38</f>
        <v/>
      </c>
      <c r="D760">
        <f>IF(Skills!C23=1,60+(Inputs!$B$25+1)+Inputs!$B$29,IF(Skills!C23=2,90+Inputs!$B$26+Inputs!$B$29,IF(Skills!C23=3,120+Inputs!$B$27+Inputs!$B$29,MAX(0,(Inputs!$B$3-100)*3)+Inputs!$B$28+Inputs!$B$29)))</f>
        <v/>
      </c>
      <c r="E760">
        <f>INDEX(FactorTable!$B$2:$Y$301, MATCH(ROUND(MIN(300,MAX(1,D760)),0), FactorTable!$A$2:$A$301,0), Skills!M23+1)</f>
        <v/>
      </c>
      <c r="F760">
        <f>IF(Skills!N23=TRUE,(Skills!L23/10)*(E760/1000),Skills!L23/10)+Skills!O23</f>
        <v/>
      </c>
      <c r="G760">
        <f>Skills!G23*IF(Skills!H23&gt;0,Skills!I23/Skills!H23,1)</f>
        <v/>
      </c>
      <c r="H760">
        <f>1-(1-Skills!J23/100)^Skills!K23</f>
        <v/>
      </c>
      <c r="I760" t="inlineStr">
        <is>
          <t>1</t>
        </is>
      </c>
      <c r="J760" t="inlineStr"/>
      <c r="K760" t="inlineStr"/>
      <c r="L760" t="inlineStr"/>
      <c r="M760" t="inlineStr"/>
      <c r="N760" t="inlineStr"/>
      <c r="O760" t="n">
        <v>0</v>
      </c>
      <c r="P760">
        <f>IF(B778=0,0,O760/B778)</f>
        <v/>
      </c>
      <c r="Q760" t="n">
        <v>0</v>
      </c>
      <c r="R760" t="n">
        <v>0</v>
      </c>
      <c r="S760">
        <f>IFERROR(O760/N760,0)</f>
        <v/>
      </c>
    </row>
    <row r="761">
      <c r="A761">
        <f>Skills!A24</f>
        <v/>
      </c>
      <c r="B761">
        <f>Skills!B24</f>
        <v/>
      </c>
      <c r="C761">
        <f>Inputs!$B$3&gt;=43</f>
        <v/>
      </c>
      <c r="D761">
        <f>IF(Skills!C24=1,60+(Inputs!$B$25+1)+Inputs!$B$29,IF(Skills!C24=2,90+Inputs!$B$26+Inputs!$B$29,IF(Skills!C24=3,120+Inputs!$B$27+Inputs!$B$29,MAX(0,(Inputs!$B$3-100)*3)+Inputs!$B$28+Inputs!$B$29)))</f>
        <v/>
      </c>
      <c r="E761">
        <f>INDEX(FactorTable!$B$2:$Y$301, MATCH(ROUND(MIN(300,MAX(1,D761)),0), FactorTable!$A$2:$A$301,0), Skills!M24+1)</f>
        <v/>
      </c>
      <c r="F761">
        <f>IF(Skills!N24=TRUE,(Skills!L24/10)*(E761/1000),Skills!L24/10)+Skills!O24</f>
        <v/>
      </c>
      <c r="G761">
        <f>Skills!G24*IF(Skills!H24&gt;0,Skills!I24/Skills!H24,1)</f>
        <v/>
      </c>
      <c r="H761">
        <f>1-(1-Skills!J24/100)^Skills!K24</f>
        <v/>
      </c>
      <c r="I761" t="inlineStr">
        <is>
          <t>1</t>
        </is>
      </c>
      <c r="J761" t="inlineStr"/>
      <c r="K761" t="inlineStr"/>
      <c r="L761" t="inlineStr"/>
      <c r="M761" t="inlineStr"/>
      <c r="N761" t="inlineStr"/>
      <c r="O761" t="n">
        <v>0</v>
      </c>
      <c r="P761">
        <f>IF(B778=0,0,O761/B778)</f>
        <v/>
      </c>
      <c r="Q761" t="n">
        <v>0</v>
      </c>
      <c r="R761" t="n">
        <v>0</v>
      </c>
      <c r="S761">
        <f>IFERROR(O761/N761,0)</f>
        <v/>
      </c>
    </row>
    <row r="762">
      <c r="A762">
        <f>Skills!A25</f>
        <v/>
      </c>
      <c r="B762">
        <f>Skills!B25</f>
        <v/>
      </c>
      <c r="C762">
        <f>Inputs!$B$3&gt;=75</f>
        <v/>
      </c>
      <c r="D762">
        <f>IF(Skills!C25=1,60+(Inputs!$B$25+1)+Inputs!$B$29,IF(Skills!C25=2,90+Inputs!$B$26+Inputs!$B$29,IF(Skills!C25=3,120+Inputs!$B$27+Inputs!$B$29,MAX(0,(Inputs!$B$3-100)*3)+Inputs!$B$28+Inputs!$B$29)))</f>
        <v/>
      </c>
      <c r="E762">
        <f>INDEX(FactorTable!$B$2:$Y$301, MATCH(ROUND(MIN(300,MAX(1,D762)),0), FactorTable!$A$2:$A$301,0), Skills!M25+1)</f>
        <v/>
      </c>
      <c r="F762">
        <f>IF(Skills!N25=TRUE,(Skills!L25/10)*(E762/1000),Skills!L25/10)+Skills!O25</f>
        <v/>
      </c>
      <c r="G762">
        <f>Skills!G25*IF(Skills!H25&gt;0,Skills!I25/Skills!H25,1)</f>
        <v/>
      </c>
      <c r="H762">
        <f>1-(1-Skills!J25/100)^Skills!K25</f>
        <v/>
      </c>
      <c r="I762" t="inlineStr">
        <is>
          <t>1</t>
        </is>
      </c>
      <c r="J762" t="inlineStr"/>
      <c r="K762" t="inlineStr"/>
      <c r="L762" t="inlineStr"/>
      <c r="M762" t="inlineStr"/>
      <c r="N762" t="inlineStr"/>
      <c r="O762" t="n">
        <v>0</v>
      </c>
      <c r="P762">
        <f>IF(B778=0,0,O762/B778)</f>
        <v/>
      </c>
      <c r="Q762" t="n">
        <v>0</v>
      </c>
      <c r="R762" t="n">
        <v>0</v>
      </c>
      <c r="S762">
        <f>IFERROR(O762/N762,0)</f>
        <v/>
      </c>
    </row>
    <row r="763">
      <c r="A763">
        <f>Skills!A26</f>
        <v/>
      </c>
      <c r="B763">
        <f>Skills!B26</f>
        <v/>
      </c>
      <c r="C763">
        <f>Inputs!$B$3&gt;=125</f>
        <v/>
      </c>
      <c r="D763">
        <f>IF(Skills!C26=1,60+(Inputs!$B$25+1)+Inputs!$B$29,IF(Skills!C26=2,90+Inputs!$B$26+Inputs!$B$29,IF(Skills!C26=3,120+Inputs!$B$27+Inputs!$B$29,MAX(0,(Inputs!$B$3-100)*3)+Inputs!$B$28+Inputs!$B$29)))</f>
        <v/>
      </c>
      <c r="E763">
        <f>INDEX(FactorTable!$B$2:$Y$301, MATCH(ROUND(MIN(300,MAX(1,D763)),0), FactorTable!$A$2:$A$301,0), Skills!M26+1)</f>
        <v/>
      </c>
      <c r="F763">
        <f>IF(Skills!N26=TRUE,(Skills!L26/10)*(E763/1000),Skills!L26/10)+Skills!O26</f>
        <v/>
      </c>
      <c r="G763">
        <f>Skills!G26*IF(Skills!H26&gt;0,Skills!I26/Skills!H26,1)</f>
        <v/>
      </c>
      <c r="H763">
        <f>1-(1-Skills!J26/100)^Skills!K26</f>
        <v/>
      </c>
      <c r="I763" t="inlineStr">
        <is>
          <t>1</t>
        </is>
      </c>
      <c r="J763" t="inlineStr"/>
      <c r="K763" t="inlineStr"/>
      <c r="L763" t="inlineStr"/>
      <c r="M763" t="inlineStr"/>
      <c r="N763" t="inlineStr"/>
      <c r="O763" t="n">
        <v>0</v>
      </c>
      <c r="P763">
        <f>IF(B778=0,0,O763/B778)</f>
        <v/>
      </c>
      <c r="Q763" t="n">
        <v>0</v>
      </c>
      <c r="R763" t="n">
        <v>0</v>
      </c>
      <c r="S763">
        <f>IFERROR(O763/N763,0)</f>
        <v/>
      </c>
    </row>
    <row r="764">
      <c r="A764">
        <f>Skills!A27</f>
        <v/>
      </c>
      <c r="B764">
        <f>Skills!B27</f>
        <v/>
      </c>
      <c r="C764">
        <f>Inputs!$B$3&gt;=125</f>
        <v/>
      </c>
      <c r="D764">
        <f>IF(Skills!C27=1,60+(Inputs!$B$25+1)+Inputs!$B$29,IF(Skills!C27=2,90+Inputs!$B$26+Inputs!$B$29,IF(Skills!C27=3,120+Inputs!$B$27+Inputs!$B$29,MAX(0,(Inputs!$B$3-100)*3)+Inputs!$B$28+Inputs!$B$29)))</f>
        <v/>
      </c>
      <c r="E764">
        <f>INDEX(FactorTable!$B$2:$Y$301, MATCH(ROUND(MIN(300,MAX(1,D764)),0), FactorTable!$A$2:$A$301,0), Skills!M27+1)</f>
        <v/>
      </c>
      <c r="F764">
        <f>IF(Skills!N27=TRUE,(Skills!L27/10)*(E764/1000),Skills!L27/10)+Skills!O27</f>
        <v/>
      </c>
      <c r="G764">
        <f>Skills!G27*IF(Skills!H27&gt;0,Skills!I27/Skills!H27,1)</f>
        <v/>
      </c>
      <c r="H764">
        <f>1-(1-Skills!J27/100)^Skills!K27</f>
        <v/>
      </c>
      <c r="I764" t="inlineStr">
        <is>
          <t>1</t>
        </is>
      </c>
      <c r="J764" t="inlineStr"/>
      <c r="K764" t="inlineStr"/>
      <c r="L764" t="inlineStr"/>
      <c r="M764" t="inlineStr"/>
      <c r="N764" t="inlineStr"/>
      <c r="O764" t="n">
        <v>0</v>
      </c>
      <c r="P764">
        <f>IF(B778=0,0,O764/B778)</f>
        <v/>
      </c>
      <c r="Q764" t="n">
        <v>0</v>
      </c>
      <c r="R764" t="n">
        <v>0</v>
      </c>
      <c r="S764">
        <f>IFERROR(O764/N764,0)</f>
        <v/>
      </c>
    </row>
    <row r="765">
      <c r="A765">
        <f>Skills!A28</f>
        <v/>
      </c>
      <c r="B765">
        <f>Skills!B28</f>
        <v/>
      </c>
      <c r="C765">
        <f>Inputs!$B$3&gt;=120</f>
        <v/>
      </c>
      <c r="D765">
        <f>IF(Skills!C28=1,60+(Inputs!$B$25+1)+Inputs!$B$29,IF(Skills!C28=2,90+Inputs!$B$26+Inputs!$B$29,IF(Skills!C28=3,120+Inputs!$B$27+Inputs!$B$29,MAX(0,(Inputs!$B$3-100)*3)+Inputs!$B$28+Inputs!$B$29)))</f>
        <v/>
      </c>
      <c r="E765">
        <f>INDEX(FactorTable!$B$2:$Y$301, MATCH(ROUND(MIN(300,MAX(1,D765)),0), FactorTable!$A$2:$A$301,0), Skills!M28+1)</f>
        <v/>
      </c>
      <c r="F765">
        <f>IF(Skills!N28=TRUE,(Skills!L28/10)*(E765/1000),Skills!L28/10)+Skills!O28</f>
        <v/>
      </c>
      <c r="G765">
        <f>Skills!G28*IF(Skills!H28&gt;0,Skills!I28/Skills!H28,1)</f>
        <v/>
      </c>
      <c r="H765">
        <f>1-(1-Skills!J28/100)^Skills!K28</f>
        <v/>
      </c>
      <c r="I765" t="inlineStr">
        <is>
          <t>1</t>
        </is>
      </c>
      <c r="J765" t="inlineStr"/>
      <c r="K765" t="inlineStr"/>
      <c r="L765" t="inlineStr"/>
      <c r="M765" t="inlineStr"/>
      <c r="N765" t="inlineStr"/>
      <c r="O765" t="n">
        <v>0</v>
      </c>
      <c r="P765">
        <f>IF(B778=0,0,O765/B778)</f>
        <v/>
      </c>
      <c r="Q765" t="n">
        <v>0</v>
      </c>
      <c r="R765" t="n">
        <v>0</v>
      </c>
      <c r="S765">
        <f>IFERROR(O765/N765,0)</f>
        <v/>
      </c>
    </row>
    <row r="766">
      <c r="A766">
        <f>Skills!A29</f>
        <v/>
      </c>
      <c r="B766">
        <f>Skills!B29</f>
        <v/>
      </c>
      <c r="C766">
        <f>Inputs!$B$3&gt;=120</f>
        <v/>
      </c>
      <c r="D766">
        <f>IF(Skills!C29=1,60+(Inputs!$B$25+1)+Inputs!$B$29,IF(Skills!C29=2,90+Inputs!$B$26+Inputs!$B$29,IF(Skills!C29=3,120+Inputs!$B$27+Inputs!$B$29,MAX(0,(Inputs!$B$3-100)*3)+Inputs!$B$28+Inputs!$B$29)))</f>
        <v/>
      </c>
      <c r="E766">
        <f>INDEX(FactorTable!$B$2:$Y$301, MATCH(ROUND(MIN(300,MAX(1,D766)),0), FactorTable!$A$2:$A$301,0), Skills!M29+1)</f>
        <v/>
      </c>
      <c r="F766">
        <f>IF(Skills!N29=TRUE,(Skills!L29/10)*(E766/1000),Skills!L29/10)+Skills!O29</f>
        <v/>
      </c>
      <c r="G766">
        <f>Skills!G29*IF(Skills!H29&gt;0,Skills!I29/Skills!H29,1)</f>
        <v/>
      </c>
      <c r="H766">
        <f>1-(1-Skills!J29/100)^Skills!K29</f>
        <v/>
      </c>
      <c r="I766" t="inlineStr">
        <is>
          <t>1</t>
        </is>
      </c>
      <c r="J766" t="inlineStr"/>
      <c r="K766" t="inlineStr"/>
      <c r="L766" t="inlineStr"/>
      <c r="M766" t="inlineStr"/>
      <c r="N766" t="inlineStr"/>
      <c r="O766" t="n">
        <v>0</v>
      </c>
      <c r="P766">
        <f>IF(B778=0,0,O766/B778)</f>
        <v/>
      </c>
      <c r="Q766" t="n">
        <v>0</v>
      </c>
      <c r="R766" t="n">
        <v>0</v>
      </c>
      <c r="S766">
        <f>IFERROR(O766/N766,0)</f>
        <v/>
      </c>
    </row>
    <row r="767">
      <c r="A767">
        <f>Skills!A30</f>
        <v/>
      </c>
      <c r="B767">
        <f>Skills!B30</f>
        <v/>
      </c>
      <c r="C767">
        <f>Inputs!$B$3&gt;=45</f>
        <v/>
      </c>
      <c r="D767">
        <f>IF(Skills!C30=1,60+(Inputs!$B$25+1)+Inputs!$B$29,IF(Skills!C30=2,90+Inputs!$B$26+Inputs!$B$29,IF(Skills!C30=3,120+Inputs!$B$27+Inputs!$B$29,MAX(0,(Inputs!$B$3-100)*3)+Inputs!$B$28+Inputs!$B$29)))</f>
        <v/>
      </c>
      <c r="E767">
        <f>INDEX(FactorTable!$B$2:$Y$301, MATCH(ROUND(MIN(300,MAX(1,D767)),0), FactorTable!$A$2:$A$301,0), Skills!M30+1)</f>
        <v/>
      </c>
      <c r="F767">
        <f>IF(Skills!N30=TRUE,(Skills!L30/10)*(E767/1000),Skills!L30/10)+Skills!O30</f>
        <v/>
      </c>
      <c r="G767">
        <f>Skills!G30*IF(Skills!H30&gt;0,Skills!I30/Skills!H30,1)</f>
        <v/>
      </c>
      <c r="H767">
        <f>1-(1-Skills!J30/100)^Skills!K30</f>
        <v/>
      </c>
      <c r="I767" t="inlineStr">
        <is>
          <t>1</t>
        </is>
      </c>
      <c r="J767" t="inlineStr"/>
      <c r="K767" t="inlineStr"/>
      <c r="L767" t="inlineStr"/>
      <c r="M767" t="inlineStr"/>
      <c r="N767" t="inlineStr"/>
      <c r="O767" t="n">
        <v>0</v>
      </c>
      <c r="P767">
        <f>IF(B778=0,0,O767/B778)</f>
        <v/>
      </c>
      <c r="Q767" t="n">
        <v>0</v>
      </c>
      <c r="R767" t="n">
        <v>0</v>
      </c>
      <c r="S767">
        <f>IFERROR(O767/N767,0)</f>
        <v/>
      </c>
    </row>
    <row r="769">
      <c r="A769" t="inlineStr">
        <is>
          <t>Attack% Bucket Multiplier</t>
        </is>
      </c>
      <c r="B769">
        <f>(1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f>
        <v/>
      </c>
    </row>
    <row r="770">
      <c r="A770" t="inlineStr">
        <is>
          <t>Global Crit Rate Bonus %</t>
        </is>
      </c>
      <c r="B770">
        <f>(C753=TRUE)*20*IF(AND(Inputs!$B$38&lt;&gt;"pvp",Inputs!$B$43&gt;0),(((R753-1)*(Skills!T16*(1+Inputs!$B$34/100))+MIN((Skills!T16*(1+Inputs!$B$34/100)),MAX(0,Inputs!$B$43-((R753-1)*Skills!D16))))/Inputs!$B$43),IF(Inputs!$B$38="pvp",MIN((Skills!T16*(1+Inputs!$B$34/100)),15)/15,(Skills!T16*(1+Inputs!$B$34/100))/Skills!D16))</f>
        <v/>
      </c>
    </row>
    <row r="771">
      <c r="A771" t="inlineStr">
        <is>
          <t>Attack Speed Buff Bonus %</t>
        </is>
      </c>
      <c r="B771">
        <f>((C756=TRUE)*F756*IF(AND(Inputs!$B$38&lt;&gt;"pvp",Inputs!$B$43&gt;0),(((R756-1)*(Skills!T19*(1+Inputs!$B$34/100))+MIN((Skills!T19*(1+Inputs!$B$34/100)),MAX(0,Inputs!$B$43-((R756-1)*Skills!D19))))/Inputs!$B$43),IF(Inputs!$B$38="pvp",MIN((Skills!T19*(1+Inputs!$B$34/100)),15)/15,(Skills!T19*(1+Inputs!$B$34/100))/Skills!D19)))</f>
        <v/>
      </c>
    </row>
    <row r="772">
      <c r="A772" t="inlineStr">
        <is>
          <t>Actions Per Second</t>
        </is>
      </c>
      <c r="B772">
        <f>1+MIN(150,150*(1-(1-(Inputs!$B$11+((C758=TRUE)*(F758-Calc!F21))+((C759=TRUE)*(F759-Calc!F22)))/150)*(1-B771/150)))/100</f>
        <v/>
      </c>
    </row>
    <row r="773">
      <c r="A773" t="inlineStr">
        <is>
          <t>Skill + Buff Cast Rate</t>
        </is>
      </c>
      <c r="B773">
        <f>IF(AND(Inputs!$B$38&lt;&gt;"pvp",Inputs!$B$43&gt;0),SUMPRODUCT((Skills!E2:E30=TRUE)*(C739:C767=TRUE)*R739:R767*Skills!F2:F30)/Inputs!$B$43,SUMPRODUCT((Skills!E2:E30=TRUE)*(C739:C767=TRUE)*Q739:Q767*Skills!F2:F30))</f>
        <v/>
      </c>
    </row>
    <row r="774">
      <c r="A774" t="inlineStr">
        <is>
          <t>Arrow Stream Casts Per Second</t>
        </is>
      </c>
      <c r="B774">
        <f>MAX(0,B772-B773)</f>
        <v/>
      </c>
    </row>
    <row r="775">
      <c r="A775" t="inlineStr">
        <is>
          <t>Global Critical Damage Bonus % (Sharp Eyes + Concentration)</t>
        </is>
      </c>
      <c r="B775">
        <f>(C753=TRUE)*F753*IF(AND(Inputs!$B$38&lt;&gt;"pvp",Inputs!$B$43&gt;0),(((R753-1)*(Skills!T16*(1+Inputs!$B$34/100))+MIN((Skills!T16*(1+Inputs!$B$34/100)),MAX(0,Inputs!$B$43-((R753-1)*Skills!D16))))/Inputs!$B$43),IF(Inputs!$B$38="pvp",MIN((Skills!T16*(1+Inputs!$B$34/100)),15)/15,(Skills!T16*(1+Inputs!$B$34/100))/Skills!D16))+(C754=TRUE)*30</f>
        <v/>
      </c>
    </row>
    <row r="776">
      <c r="A776" t="inlineStr">
        <is>
          <t>Global Final Damage Bonus % (Mortal Blow)</t>
        </is>
      </c>
      <c r="B776">
        <f>(C755=TRUE)*F755</f>
        <v/>
      </c>
    </row>
    <row r="777">
      <c r="A777" t="inlineStr">
        <is>
          <t>Buff-Casting Startup Delay (s, fixed-duration only)</t>
        </is>
      </c>
      <c r="B777">
        <f>IF(AND(Inputs!$B$38&lt;&gt;"pvp",Inputs!$B$43&gt;0),SUMPRODUCT((Skills!T2:T30&gt;0)*(Skills!E2:E30=TRUE)*(C739:C767=TRUE))/B772,0)</f>
        <v/>
      </c>
    </row>
    <row r="778">
      <c r="A778" s="5" t="inlineStr">
        <is>
          <t>TOTAL DPS</t>
        </is>
      </c>
      <c r="B778" s="5">
        <f>SUM(O739:O767)</f>
        <v/>
      </c>
    </row>
    <row r="781">
      <c r="A781" s="5" t="inlineStr">
        <is>
          <t>Stat: Skill Level Bonus — 2nd Job</t>
        </is>
      </c>
    </row>
    <row r="782">
      <c r="A782" s="9" t="inlineStr">
        <is>
          <t>Key</t>
        </is>
      </c>
      <c r="B782" s="9" t="inlineStr">
        <is>
          <t>Name</t>
        </is>
      </c>
      <c r="C782" s="9" t="inlineStr">
        <is>
          <t>Unlocked</t>
        </is>
      </c>
      <c r="D782" s="9" t="inlineStr">
        <is>
          <t>InputLevel</t>
        </is>
      </c>
      <c r="E782" s="9" t="inlineStr">
        <is>
          <t>Factor</t>
        </is>
      </c>
      <c r="F782" s="9" t="inlineStr">
        <is>
          <t>CoefficientPercent</t>
        </is>
      </c>
      <c r="G782" s="9" t="inlineStr">
        <is>
          <t>EffectiveHits</t>
        </is>
      </c>
      <c r="H782" s="9" t="inlineStr">
        <is>
          <t>ProcProbability</t>
        </is>
      </c>
      <c r="I782" s="9" t="inlineStr">
        <is>
          <t>MapleHeroMultiplier</t>
        </is>
      </c>
      <c r="J782" s="9" t="inlineStr">
        <is>
          <t>BaseDamage</t>
        </is>
      </c>
      <c r="K782" s="9" t="inlineStr">
        <is>
          <t>BaseHitDamage</t>
        </is>
      </c>
      <c r="L782" s="9" t="inlineStr">
        <is>
          <t>NonCritAvg</t>
        </is>
      </c>
      <c r="M782" s="9" t="inlineStr">
        <is>
          <t>CritAvg</t>
        </is>
      </c>
      <c r="N782" s="9" t="inlineStr">
        <is>
          <t>ExpectedDamage(perHit)</t>
        </is>
      </c>
      <c r="O782" s="9" t="inlineStr">
        <is>
          <t>DPS</t>
        </is>
      </c>
      <c r="P782" s="9" t="inlineStr">
        <is>
          <t>% of Total</t>
        </is>
      </c>
      <c r="Q782" s="9" t="inlineStr">
        <is>
          <t>InvCooldown</t>
        </is>
      </c>
      <c r="R782" s="9" t="inlineStr">
        <is>
          <t>CastsInFight</t>
        </is>
      </c>
      <c r="S782" s="9" t="inlineStr">
        <is>
          <t>HitRate(perSec)</t>
        </is>
      </c>
      <c r="U782" t="inlineStr">
        <is>
          <t>helpers</t>
        </is>
      </c>
    </row>
    <row r="783">
      <c r="A783">
        <f>Skills!A2</f>
        <v/>
      </c>
      <c r="B783">
        <f>Skills!B2</f>
        <v/>
      </c>
      <c r="C783">
        <f>Inputs!$B$3&gt;=100</f>
        <v/>
      </c>
      <c r="D783" t="inlineStr"/>
      <c r="E783" t="inlineStr"/>
      <c r="F783">
        <f>U785+Skills!O2</f>
        <v/>
      </c>
      <c r="G783">
        <f>Skills!G2*IF(Skills!H2&gt;0,Skills!I2/Skills!H2,1)</f>
        <v/>
      </c>
      <c r="H783">
        <f>1-(1-Skills!J2/100)^Skills!K2</f>
        <v/>
      </c>
      <c r="I783" t="inlineStr">
        <is>
          <t>1</t>
        </is>
      </c>
      <c r="J783">
        <f>((Inputs!$B$6*(1+Inputs!$B$7/100))+(((Inputs!$B$12*(1+Inputs!$B$13/100))-(Inputs!$B$12*(1+Inputs!$B$13/100)))+0.25*(Inputs!$B$14-Inputs!$B$14))*(1+Inputs!$B$7/100))*(F783/100)</f>
        <v/>
      </c>
      <c r="K783">
        <f>J783*(1+((Inputs!$B$12*(1+Inputs!$B$13/100))*0.01+Inputs!$B$14*0.0025)/100)*(1+Inputs!$B$15/100)*(1+IF(Inputs!$B$38="pvp",0,(1-Summary!$B$55)*(Inputs!$B$20+0+Skills!P2)+Summary!$B$55*(Inputs!$B$21+Skills!Q2))/100)*(1+Inputs!$B$16/100)*(5000/(6000+Inputs!$B$42*(1-(Inputs!$B$19+((C808=TRUE)*(F808-Calc!F27)))/100)))*(1+(Inputs!$B$24+((C806=TRUE)*(F806-Calc!F25))+((C807=TRUE)*(F807-Calc!F26))+B820)/100)*(1+(IF(Skills!A2="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783)</f>
        <v/>
      </c>
      <c r="L783">
        <f>K783*(MIN(Inputs!$B$22+((C805=TRUE)*(F805-Calc!F24)),Inputs!$B$23+((C810=TRUE)*(F810-Calc!F29)))/100+(Inputs!$B$23+((C810=TRUE)*(F810-Calc!F29)))/100)/2</f>
        <v/>
      </c>
      <c r="M783">
        <f>L783*(1+(Inputs!$B$10+0+B819)/100)</f>
        <v/>
      </c>
      <c r="N783">
        <f>L783*(1-MIN((Inputs!$B$9+((C801=TRUE)*(F801-Calc!F20))+B814),100)/100)+M783*(MIN((Inputs!$B$9+((C801=TRUE)*(F801-Calc!F20))+B814),100)/100)</f>
        <v/>
      </c>
      <c r="O783">
        <f>IF(C783,Skills!G2*N783*B818*IF(Inputs!$B$38="pvp",1,(1-Summary!$B$55)*(1)+Summary!$B$55*(MIN((6+Inputs!$B$33),Inputs!$B$37))),0)</f>
        <v/>
      </c>
      <c r="P783">
        <f>IF(B822=0,0,O783/B822)</f>
        <v/>
      </c>
      <c r="Q783" t="n">
        <v>0</v>
      </c>
      <c r="R783" t="n">
        <v>0</v>
      </c>
      <c r="S783">
        <f>IFERROR(O783/N783,0)</f>
        <v/>
      </c>
      <c r="U783">
        <f>MAX(0,(Inputs!$B$3-100)*3)+Inputs!$B$28+Inputs!$B$29</f>
        <v/>
      </c>
    </row>
    <row r="784">
      <c r="A784">
        <f>Skills!A3</f>
        <v/>
      </c>
      <c r="B784">
        <f>Skills!B3</f>
        <v/>
      </c>
      <c r="C784">
        <f>Inputs!$B$3&gt;=50</f>
        <v/>
      </c>
      <c r="D784">
        <f>IF(Skills!C3=1,60+Inputs!$B$25+Inputs!$B$29,IF(Skills!C3=2,90+(Inputs!$B$26+1)+Inputs!$B$29,IF(Skills!C3=3,120+Inputs!$B$27+Inputs!$B$29,MAX(0,(Inputs!$B$3-100)*3)+Inputs!$B$28+Inputs!$B$29)))</f>
        <v/>
      </c>
      <c r="E784">
        <f>INDEX(FactorTable!$B$2:$Y$301, MATCH(ROUND(MIN(300,MAX(1,D784)),0), FactorTable!$A$2:$A$301,0), Skills!M3+1)</f>
        <v/>
      </c>
      <c r="F784">
        <f>IF(Skills!N3=TRUE,(Skills!L3/10)*(E784/1000),Skills!L3/10)+Skills!O3</f>
        <v/>
      </c>
      <c r="G784" t="inlineStr"/>
      <c r="H784" t="inlineStr"/>
      <c r="I784" t="inlineStr">
        <is>
          <t>1</t>
        </is>
      </c>
      <c r="J784" t="inlineStr"/>
      <c r="K784" t="inlineStr"/>
      <c r="L784" t="inlineStr"/>
      <c r="M784" t="inlineStr"/>
      <c r="N784" t="inlineStr"/>
      <c r="O784" t="inlineStr"/>
      <c r="P784" t="inlineStr"/>
      <c r="Q784" t="inlineStr"/>
      <c r="R784" t="inlineStr"/>
      <c r="S784" t="inlineStr"/>
      <c r="U784">
        <f>INDEX(FactorTable!$B$2:$Y$301, MATCH(ROUND(MIN(300,MAX(1,U783)),0), FactorTable!$A$2:$A$301,0), 22)</f>
        <v/>
      </c>
    </row>
    <row r="785">
      <c r="A785">
        <f>Skills!A4</f>
        <v/>
      </c>
      <c r="B785">
        <f>Skills!B4</f>
        <v/>
      </c>
      <c r="C785">
        <f>Inputs!$B$3&gt;=105</f>
        <v/>
      </c>
      <c r="D785">
        <f>IF(Skills!C4=1,60+Inputs!$B$25+Inputs!$B$29,IF(Skills!C4=2,90+(Inputs!$B$26+1)+Inputs!$B$29,IF(Skills!C4=3,120+Inputs!$B$27+Inputs!$B$29,MAX(0,(Inputs!$B$3-100)*3)+Inputs!$B$28+Inputs!$B$29)))</f>
        <v/>
      </c>
      <c r="E785">
        <f>INDEX(FactorTable!$B$2:$Y$301, MATCH(ROUND(MIN(300,MAX(1,D785)),0), FactorTable!$A$2:$A$301,0), Skills!M4+1)</f>
        <v/>
      </c>
      <c r="F785">
        <f>IF(Skills!N4=TRUE,(Skills!L4/10)*(E785/1000),Skills!L4/10)+Skills!O4</f>
        <v/>
      </c>
      <c r="G785" t="inlineStr"/>
      <c r="H785" t="inlineStr"/>
      <c r="I785" t="inlineStr">
        <is>
          <t>1</t>
        </is>
      </c>
      <c r="J785" t="inlineStr"/>
      <c r="K785" t="inlineStr"/>
      <c r="L785" t="inlineStr"/>
      <c r="M785" t="inlineStr"/>
      <c r="N785" t="inlineStr"/>
      <c r="O785" t="inlineStr"/>
      <c r="P785" t="inlineStr"/>
      <c r="Q785" t="inlineStr"/>
      <c r="R785" t="inlineStr"/>
      <c r="S785" t="inlineStr"/>
      <c r="U785">
        <f>290*U784/1000</f>
        <v/>
      </c>
    </row>
    <row r="786">
      <c r="A786">
        <f>Skills!A5</f>
        <v/>
      </c>
      <c r="B786">
        <f>Skills!B5</f>
        <v/>
      </c>
      <c r="C786">
        <f>Inputs!$B$3&gt;=35</f>
        <v/>
      </c>
      <c r="D786">
        <f>IF(Skills!C5=1,60+Inputs!$B$25+Inputs!$B$29,IF(Skills!C5=2,90+(Inputs!$B$26+1)+Inputs!$B$29,IF(Skills!C5=3,120+Inputs!$B$27+Inputs!$B$29,MAX(0,(Inputs!$B$3-100)*3)+Inputs!$B$28+Inputs!$B$29)))</f>
        <v/>
      </c>
      <c r="E786">
        <f>INDEX(FactorTable!$B$2:$Y$301, MATCH(ROUND(MIN(300,MAX(1,D786)),0), FactorTable!$A$2:$A$301,0), Skills!M5+1)</f>
        <v/>
      </c>
      <c r="F786">
        <f>IF(Skills!N5=TRUE,(Skills!L5/10)*(E786/1000),Skills!L5/10)+Skills!O5</f>
        <v/>
      </c>
      <c r="G786">
        <f>Skills!G5*IF(Skills!H5&gt;0,Skills!I5/Skills!H5,1)</f>
        <v/>
      </c>
      <c r="H786">
        <f>1-(1-Skills!J5/100)^Skills!K5</f>
        <v/>
      </c>
      <c r="I786" t="inlineStr">
        <is>
          <t>1</t>
        </is>
      </c>
      <c r="J786">
        <f>((Inputs!$B$6*(1+Inputs!$B$7/100))+(((Inputs!$B$12*(1+Inputs!$B$13/100))-(Inputs!$B$12*(1+Inputs!$B$13/100)))+0.25*(Inputs!$B$14-Inputs!$B$14))*(1+Inputs!$B$7/100))*(F786/100)</f>
        <v/>
      </c>
      <c r="K786">
        <f>J786*(1+((Inputs!$B$12*(1+Inputs!$B$13/100))*0.01+Inputs!$B$14*0.0025)/100)*(1+Inputs!$B$15/100)*(1+IF(Inputs!$B$38="pvp",0,(1-Summary!$B$55)*(Inputs!$B$20+0+Skills!P5)+Summary!$B$55*(Inputs!$B$21+Skills!Q5))/100)*(1+Inputs!$B$16/100)*(5000/(6000+Inputs!$B$42*(1-(Inputs!$B$19+((C808=TRUE)*(F808-Calc!F27)))/100)))*(1+(Inputs!$B$24+((C806=TRUE)*(F806-Calc!F25))+((C807=TRUE)*(F807-Calc!F26))+B820)/100)*(1+4.0*IF(C791=TRUE,F791,0)/100)*(1+(IF(Skills!A5="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786)</f>
        <v/>
      </c>
      <c r="L786">
        <f>K786*(MIN(Inputs!$B$22+((C805=TRUE)*(F805-Calc!F24)),Inputs!$B$23+((C810=TRUE)*(F810-Calc!F29)))/100+(Inputs!$B$23+((C810=TRUE)*(F810-Calc!F29)))/100)/2</f>
        <v/>
      </c>
      <c r="M786">
        <f>L786*(1+(Inputs!$B$10+0+B819)/100)</f>
        <v/>
      </c>
      <c r="N786">
        <f>L786*(1-MIN((Inputs!$B$9+((C801=TRUE)*(F801-Calc!F20))+B814),100)/100)+M786*(MIN((Inputs!$B$9+((C801=TRUE)*(F801-Calc!F20))+B814),100)/100)</f>
        <v/>
      </c>
      <c r="O786">
        <f>IF(C786,H786*N786*IF(AND(Inputs!$B$38&lt;&gt;"pvp",Inputs!$B$43&gt;0),((Skills!G5*((R786-1)*IF(Skills!H5&gt;0,Skills!I5/Skills!H5,1)+IF(Skills!H5&gt;0,MIN(Skills!I5,MAX(0,MAX(0,Inputs!$B$43-B821)-((R786-1)*IF(Inputs!$B$38="pvp",15,MAX(0.1,Skills!D5-IF(Skills!E5=TRUE,Inputs!$B$32,0))))))/Skills!H5,1)))/Inputs!$B$43),G786*Q786)*IF(Inputs!$B$38="pvp",1,(1-Summary!$B$55)*(1)+Summary!$B$55*(MIN(Skills!R5,Inputs!$B$37))),0)</f>
        <v/>
      </c>
      <c r="P786">
        <f>IF(B822=0,0,O786/B822)</f>
        <v/>
      </c>
      <c r="Q786">
        <f>IFERROR(1/IF(Inputs!$B$38="pvp",15,MAX(0.1,Skills!D5-IF(Skills!E5=TRUE,Inputs!$B$32,0))),0)</f>
        <v/>
      </c>
      <c r="R786">
        <f>IF(AND(Inputs!$B$38&lt;&gt;"pvp",Inputs!$B$43&gt;0),IF(MAX(0,Inputs!$B$43-B821)&lt;=0,0,(INT(MAX(0,Inputs!$B$43-B821)/IF(Inputs!$B$38="pvp",15,MAX(0.1,Skills!D5-IF(Skills!E5=TRUE,Inputs!$B$32,0))))+1)),0)</f>
        <v/>
      </c>
      <c r="S786">
        <f>IFERROR(O786/N786,0)</f>
        <v/>
      </c>
    </row>
    <row r="787">
      <c r="A787">
        <f>Skills!A6</f>
        <v/>
      </c>
      <c r="B787">
        <f>Skills!B6</f>
        <v/>
      </c>
      <c r="C787">
        <f>Inputs!$B$3&gt;=40</f>
        <v/>
      </c>
      <c r="D787">
        <f>IF(Skills!C6=1,60+Inputs!$B$25+Inputs!$B$29,IF(Skills!C6=2,90+(Inputs!$B$26+1)+Inputs!$B$29,IF(Skills!C6=3,120+Inputs!$B$27+Inputs!$B$29,MAX(0,(Inputs!$B$3-100)*3)+Inputs!$B$28+Inputs!$B$29)))</f>
        <v/>
      </c>
      <c r="E787">
        <f>INDEX(FactorTable!$B$2:$Y$301, MATCH(ROUND(MIN(300,MAX(1,D787)),0), FactorTable!$A$2:$A$301,0), Skills!M6+1)</f>
        <v/>
      </c>
      <c r="F787">
        <f>IF(Skills!N6=TRUE,(Skills!L6/10)*(E787/1000),Skills!L6/10)+Skills!O6</f>
        <v/>
      </c>
      <c r="G787">
        <f>Skills!G6*IF(Skills!H6&gt;0,Skills!I6/Skills!H6,1)</f>
        <v/>
      </c>
      <c r="H787">
        <f>1-(1-Skills!J6/100)^Skills!K6</f>
        <v/>
      </c>
      <c r="I787" t="inlineStr">
        <is>
          <t>1</t>
        </is>
      </c>
      <c r="J787">
        <f>((Inputs!$B$6*(1+Inputs!$B$7/100))+(((Inputs!$B$12*(1+Inputs!$B$13/100))-(Inputs!$B$12*(1+Inputs!$B$13/100)))+0.25*(Inputs!$B$14-Inputs!$B$14))*(1+Inputs!$B$7/100))*(F787/100)</f>
        <v/>
      </c>
      <c r="K787">
        <f>J787*(1+((Inputs!$B$12*(1+Inputs!$B$13/100))*0.01+Inputs!$B$14*0.0025)/100)*(1+Inputs!$B$15/100)*(1+IF(Inputs!$B$38="pvp",0,(1-Summary!$B$55)*(Inputs!$B$20+0+Skills!P6)+Summary!$B$55*(Inputs!$B$21+Skills!Q6))/100)*(1+Inputs!$B$16/100)*(5000/(6000+Inputs!$B$42*(1-(Inputs!$B$19+((C808=TRUE)*(F808-Calc!F27)))/100)))*(1+(Inputs!$B$24+((C806=TRUE)*(F806-Calc!F25))+((C807=TRUE)*(F807-Calc!F26))+B820)/100)*(1+IF(C788=TRUE,F788,0)/100)*(1+(IF(Skills!A6="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787)</f>
        <v/>
      </c>
      <c r="L787">
        <f>K787*(MIN(Inputs!$B$22+((C805=TRUE)*(F805-Calc!F24)),Inputs!$B$23+((C810=TRUE)*(F810-Calc!F29)))/100+(Inputs!$B$23+((C810=TRUE)*(F810-Calc!F29)))/100)/2</f>
        <v/>
      </c>
      <c r="M787">
        <f>L787*(1+(Inputs!$B$10+0+B819)/100)</f>
        <v/>
      </c>
      <c r="N787">
        <f>L787*(1-MIN((Inputs!$B$9+((C801=TRUE)*(F801-Calc!F20))+B814),100)/100)+M787*(MIN((Inputs!$B$9+((C801=TRUE)*(F801-Calc!F20))+B814),100)/100)</f>
        <v/>
      </c>
      <c r="O787">
        <f>IF(C787,H787*N787*IF(AND(Inputs!$B$38&lt;&gt;"pvp",Inputs!$B$43&gt;0),((Skills!G6*((R787-1)*IF(Skills!H6&gt;0,Skills!I6/Skills!H6,1)+IF(Skills!H6&gt;0,MIN(Skills!I6,MAX(0,MAX(0,Inputs!$B$43-B821)-((R787-1)*IF(Inputs!$B$38="pvp",15,MAX(0.1,Skills!D6-IF(Skills!E6=TRUE,Inputs!$B$32,0))))))/Skills!H6,1)))/Inputs!$B$43),G787*Q787)*IF(Inputs!$B$38="pvp",1,(1-Summary!$B$55)*(1)+Summary!$B$55*(MIN(Skills!R6,Inputs!$B$37))),0)</f>
        <v/>
      </c>
      <c r="P787">
        <f>IF(B822=0,0,O787/B822)</f>
        <v/>
      </c>
      <c r="Q787">
        <f>IFERROR(1/IF(Inputs!$B$38="pvp",15,MAX(0.1,Skills!D6-IF(Skills!E6=TRUE,Inputs!$B$32,0))),0)</f>
        <v/>
      </c>
      <c r="R787">
        <f>IF(AND(Inputs!$B$38&lt;&gt;"pvp",Inputs!$B$43&gt;0),IF(MAX(0,Inputs!$B$43-B821)&lt;=0,0,(INT(MAX(0,Inputs!$B$43-B821)/IF(Inputs!$B$38="pvp",15,MAX(0.1,Skills!D6-IF(Skills!E6=TRUE,Inputs!$B$32,0))))+1)),0)</f>
        <v/>
      </c>
      <c r="S787">
        <f>IFERROR(O787/N787,0)</f>
        <v/>
      </c>
    </row>
    <row r="788">
      <c r="A788">
        <f>Skills!A7</f>
        <v/>
      </c>
      <c r="B788">
        <f>Skills!B7</f>
        <v/>
      </c>
      <c r="C788">
        <f>Inputs!$B$3&gt;=107</f>
        <v/>
      </c>
      <c r="D788">
        <f>IF(Skills!C7=1,60+Inputs!$B$25+Inputs!$B$29,IF(Skills!C7=2,90+(Inputs!$B$26+1)+Inputs!$B$29,IF(Skills!C7=3,120+Inputs!$B$27+Inputs!$B$29,MAX(0,(Inputs!$B$3-100)*3)+Inputs!$B$28+Inputs!$B$29)))</f>
        <v/>
      </c>
      <c r="E788">
        <f>INDEX(FactorTable!$B$2:$Y$301, MATCH(ROUND(MIN(300,MAX(1,D788)),0), FactorTable!$A$2:$A$301,0), Skills!M7+1)</f>
        <v/>
      </c>
      <c r="F788">
        <f>IF(Skills!N7=TRUE,(Skills!L7/10)*(E788/1000),Skills!L7/10)+Skills!O7</f>
        <v/>
      </c>
      <c r="G788" t="inlineStr"/>
      <c r="H788" t="inlineStr"/>
      <c r="I788" t="inlineStr">
        <is>
          <t>1</t>
        </is>
      </c>
      <c r="J788" t="inlineStr"/>
      <c r="K788" t="inlineStr"/>
      <c r="L788" t="inlineStr"/>
      <c r="M788" t="inlineStr"/>
      <c r="N788" t="inlineStr"/>
      <c r="O788" t="inlineStr"/>
      <c r="P788" t="inlineStr"/>
      <c r="Q788" t="inlineStr"/>
      <c r="R788" t="inlineStr"/>
      <c r="S788" t="inlineStr"/>
    </row>
    <row r="789">
      <c r="A789">
        <f>Skills!A8</f>
        <v/>
      </c>
      <c r="B789">
        <f>Skills!B8</f>
        <v/>
      </c>
      <c r="C789">
        <f>Inputs!$B$3&gt;=69</f>
        <v/>
      </c>
      <c r="D789">
        <f>IF(Skills!C8=1,60+Inputs!$B$25+Inputs!$B$29,IF(Skills!C8=2,90+(Inputs!$B$26+1)+Inputs!$B$29,IF(Skills!C8=3,120+Inputs!$B$27+Inputs!$B$29,MAX(0,(Inputs!$B$3-100)*3)+Inputs!$B$28+Inputs!$B$29)))</f>
        <v/>
      </c>
      <c r="E789">
        <f>INDEX(FactorTable!$B$2:$Y$301, MATCH(ROUND(MIN(300,MAX(1,D789)),0), FactorTable!$A$2:$A$301,0), Skills!M8+1)</f>
        <v/>
      </c>
      <c r="F789">
        <f>IF(Skills!N8=TRUE,(Skills!L8/10)*(E789/1000),Skills!L8/10)+Skills!O8</f>
        <v/>
      </c>
      <c r="G789">
        <f>Skills!G8*IF(Skills!H8&gt;0,Skills!I8/Skills!H8,1)</f>
        <v/>
      </c>
      <c r="H789">
        <f>1-(1-Skills!J8/100)^Skills!K8</f>
        <v/>
      </c>
      <c r="I789" t="inlineStr">
        <is>
          <t>1</t>
        </is>
      </c>
      <c r="J789">
        <f>((Inputs!$B$6*(1+Inputs!$B$7/100))+(((Inputs!$B$12*(1+Inputs!$B$13/100))-(Inputs!$B$12*(1+Inputs!$B$13/100)))+0.25*(Inputs!$B$14-Inputs!$B$14))*(1+Inputs!$B$7/100))*(F789/100)</f>
        <v/>
      </c>
      <c r="K789">
        <f>J789*(1+((Inputs!$B$12*(1+Inputs!$B$13/100))*0.01+Inputs!$B$14*0.0025)/100)*(1+Inputs!$B$15/100)*(1+IF(Inputs!$B$38="pvp",0,(1-Summary!$B$55)*(Inputs!$B$20+0+Skills!P8)+Summary!$B$55*(Inputs!$B$21+Skills!Q8))/100)*(1+Inputs!$B$16/100)*(5000/(6000+Inputs!$B$42*(1-(Inputs!$B$19+((C808=TRUE)*(F808-Calc!F27)))/100)))*(1+(Inputs!$B$24+((C806=TRUE)*(F806-Calc!F25))+((C807=TRUE)*(F807-Calc!F26))+B820)/100)*(1+1.2*IF(C791=TRUE,F791,0)/100)*(1+(IF(Skills!A8="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789)</f>
        <v/>
      </c>
      <c r="L789">
        <f>K789*(MIN(Inputs!$B$22+((C805=TRUE)*(F805-Calc!F24)),Inputs!$B$23+((C810=TRUE)*(F810-Calc!F29)))/100+(Inputs!$B$23+((C810=TRUE)*(F810-Calc!F29)))/100)/2</f>
        <v/>
      </c>
      <c r="M789">
        <f>L789*(1+(Inputs!$B$10+0+B819)/100)</f>
        <v/>
      </c>
      <c r="N789">
        <f>L789*(1-MIN((Inputs!$B$9+((C801=TRUE)*(F801-Calc!F20))+B814),100)/100)+M789*(MIN((Inputs!$B$9+((C801=TRUE)*(F801-Calc!F20))+B814),100)/100)</f>
        <v/>
      </c>
      <c r="O789">
        <f>IF(C789,H789*N789*IF(AND(Inputs!$B$38&lt;&gt;"pvp",Inputs!$B$43&gt;0),((Skills!G8*((R789-1)*IF(Skills!H8&gt;0,Skills!I8/Skills!H8,1)+IF(Skills!H8&gt;0,MIN(Skills!I8,MAX(0,MAX(0,Inputs!$B$43-B821)-((R789-1)*IF(Inputs!$B$38="pvp",15,MAX(0.1,Skills!D8-IF(Skills!E8=TRUE,Inputs!$B$32,0))))))/Skills!H8,1)))/Inputs!$B$43),G789*Q789)*IF(Inputs!$B$38="pvp",1,(1-Summary!$B$55)*(1)+Summary!$B$55*(MIN(Skills!R8,Inputs!$B$37))),0)</f>
        <v/>
      </c>
      <c r="P789">
        <f>IF(B822=0,0,O789/B822)</f>
        <v/>
      </c>
      <c r="Q789">
        <f>IFERROR(1/IF(Inputs!$B$38="pvp",15,MAX(0.1,Skills!D8-IF(Skills!E8=TRUE,Inputs!$B$32,0))),0)</f>
        <v/>
      </c>
      <c r="R789">
        <f>IF(AND(Inputs!$B$38&lt;&gt;"pvp",Inputs!$B$43&gt;0),IF(MAX(0,Inputs!$B$43-B821)&lt;=0,0,(INT(MAX(0,Inputs!$B$43-B821)/IF(Inputs!$B$38="pvp",15,MAX(0.1,Skills!D8-IF(Skills!E8=TRUE,Inputs!$B$32,0))))+1)),0)</f>
        <v/>
      </c>
      <c r="S789">
        <f>IFERROR(O789/N789,0)</f>
        <v/>
      </c>
    </row>
    <row r="790">
      <c r="A790">
        <f>Skills!A9</f>
        <v/>
      </c>
      <c r="B790">
        <f>Skills!B9</f>
        <v/>
      </c>
      <c r="C790">
        <f>Inputs!$B$3&gt;=63</f>
        <v/>
      </c>
      <c r="D790">
        <f>IF(Skills!C9=1,60+Inputs!$B$25+Inputs!$B$29,IF(Skills!C9=2,90+(Inputs!$B$26+1)+Inputs!$B$29,IF(Skills!C9=3,120+Inputs!$B$27+Inputs!$B$29,MAX(0,(Inputs!$B$3-100)*3)+Inputs!$B$28+Inputs!$B$29)))</f>
        <v/>
      </c>
      <c r="E790">
        <f>INDEX(FactorTable!$B$2:$Y$301, MATCH(ROUND(MIN(300,MAX(1,D790)),0), FactorTable!$A$2:$A$301,0), Skills!M9+1)</f>
        <v/>
      </c>
      <c r="F790">
        <f>IF(Skills!N9=TRUE,(Skills!L9/10)*(E790/1000),Skills!L9/10)+Skills!O9</f>
        <v/>
      </c>
      <c r="G790">
        <f>Skills!G9*IF(Skills!H9&gt;0,Skills!I9/Skills!H9,1)</f>
        <v/>
      </c>
      <c r="H790">
        <f>1-(1-Skills!J9/100)^Skills!K9</f>
        <v/>
      </c>
      <c r="I790" t="inlineStr">
        <is>
          <t>1</t>
        </is>
      </c>
      <c r="J790">
        <f>((Inputs!$B$6*(1+Inputs!$B$7/100))+(((Inputs!$B$12*(1+Inputs!$B$13/100))-(Inputs!$B$12*(1+Inputs!$B$13/100)))+0.25*(Inputs!$B$14-Inputs!$B$14))*(1+Inputs!$B$7/100))*(F790/100)</f>
        <v/>
      </c>
      <c r="K790">
        <f>J790*(1+((Inputs!$B$12*(1+Inputs!$B$13/100))*0.01+Inputs!$B$14*0.0025)/100)*(1+Inputs!$B$15/100)*(1+IF(Inputs!$B$38="pvp",0,(1-Summary!$B$55)*(Inputs!$B$20+0+Skills!P9)+Summary!$B$55*(Inputs!$B$21+Skills!Q9))/100)*(1+Inputs!$B$16/100)*(5000/(6000+Inputs!$B$42*(1-(Inputs!$B$19+((C808=TRUE)*(F808-Calc!F27)))/100)))*(1+(Inputs!$B$24+((C806=TRUE)*(F806-Calc!F25))+((C807=TRUE)*(F807-Calc!F26))+B820)/100)*(1+1.0*IF(C791=TRUE,F791,0)/100)*(1+(IF(Skills!A9="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790)</f>
        <v/>
      </c>
      <c r="L790">
        <f>K790*(MIN(Inputs!$B$22+((C805=TRUE)*(F805-Calc!F24)),Inputs!$B$23+((C810=TRUE)*(F810-Calc!F29)))/100+(Inputs!$B$23+((C810=TRUE)*(F810-Calc!F29)))/100)/2</f>
        <v/>
      </c>
      <c r="M790">
        <f>L790*(1+(Inputs!$B$10+0+B819)/100)</f>
        <v/>
      </c>
      <c r="N790">
        <f>L790*(1-MIN((Inputs!$B$9+((C801=TRUE)*(F801-Calc!F20))+B814),100)/100)+M790*(MIN((Inputs!$B$9+((C801=TRUE)*(F801-Calc!F20))+B814),100)/100)</f>
        <v/>
      </c>
      <c r="O790">
        <f>IF(C790,H790*N790*IF(AND(Inputs!$B$38&lt;&gt;"pvp",Inputs!$B$43&gt;0),((Skills!G9*((R790-1)*IF(Skills!H9&gt;0,Skills!I9/Skills!H9,1)+IF(Skills!H9&gt;0,MIN(Skills!I9,MAX(0,MAX(0,Inputs!$B$43-B821)-((R790-1)*IF(Inputs!$B$38="pvp",15,MAX(0.1,Skills!D9-IF(Skills!E9=TRUE,Inputs!$B$32,0))))))/Skills!H9,1)))/Inputs!$B$43),G790*Q790)*IF(Inputs!$B$38="pvp",1,(1-Summary!$B$55)*(1)+Summary!$B$55*(MIN(Skills!R9,Inputs!$B$37))),0)</f>
        <v/>
      </c>
      <c r="P790">
        <f>IF(B822=0,0,O790/B822)</f>
        <v/>
      </c>
      <c r="Q790">
        <f>IFERROR(1/IF(Inputs!$B$38="pvp",15,MAX(0.1,Skills!D9-IF(Skills!E9=TRUE,Inputs!$B$32,0))),0)</f>
        <v/>
      </c>
      <c r="R790">
        <f>IF(AND(Inputs!$B$38&lt;&gt;"pvp",Inputs!$B$43&gt;0),IF(MAX(0,Inputs!$B$43-B821)&lt;=0,0,(INT(MAX(0,Inputs!$B$43-B821)/IF(Inputs!$B$38="pvp",15,MAX(0.1,Skills!D9-IF(Skills!E9=TRUE,Inputs!$B$32,0))))+1)),0)</f>
        <v/>
      </c>
      <c r="S790">
        <f>IFERROR(O790/N790,0)</f>
        <v/>
      </c>
    </row>
    <row r="791">
      <c r="A791">
        <f>Skills!A10</f>
        <v/>
      </c>
      <c r="B791">
        <f>Skills!B10</f>
        <v/>
      </c>
      <c r="C791">
        <f>Inputs!$B$3&gt;=100</f>
        <v/>
      </c>
      <c r="D791">
        <f>IF(Skills!C10=1,60+Inputs!$B$25+Inputs!$B$29,IF(Skills!C10=2,90+(Inputs!$B$26+1)+Inputs!$B$29,IF(Skills!C10=3,120+Inputs!$B$27+Inputs!$B$29,MAX(0,(Inputs!$B$3-100)*3)+Inputs!$B$28+Inputs!$B$29)))</f>
        <v/>
      </c>
      <c r="E791">
        <f>INDEX(FactorTable!$B$2:$Y$301, MATCH(ROUND(MIN(300,MAX(1,D791)),0), FactorTable!$A$2:$A$301,0), Skills!M10+1)</f>
        <v/>
      </c>
      <c r="F791">
        <f>IF(Skills!N10=TRUE,(Skills!L10/10)*(E791/1000),Skills!L10/10)+Skills!O10</f>
        <v/>
      </c>
      <c r="G791" t="inlineStr"/>
      <c r="H791" t="inlineStr"/>
      <c r="I791" t="inlineStr">
        <is>
          <t>1</t>
        </is>
      </c>
      <c r="J791" t="inlineStr"/>
      <c r="K791" t="inlineStr"/>
      <c r="L791" t="inlineStr"/>
      <c r="M791" t="inlineStr"/>
      <c r="N791" t="inlineStr"/>
      <c r="O791" t="inlineStr"/>
      <c r="P791" t="inlineStr"/>
      <c r="Q791" t="inlineStr"/>
      <c r="R791" t="inlineStr"/>
      <c r="S791" t="inlineStr"/>
    </row>
    <row r="792">
      <c r="A792">
        <f>Skills!A11</f>
        <v/>
      </c>
      <c r="B792">
        <f>Skills!B11</f>
        <v/>
      </c>
      <c r="C792">
        <f>Inputs!$B$3&gt;=60</f>
        <v/>
      </c>
      <c r="D792">
        <f>IF(Skills!C11=1,60+Inputs!$B$25+Inputs!$B$29,IF(Skills!C11=2,90+(Inputs!$B$26+1)+Inputs!$B$29,IF(Skills!C11=3,120+Inputs!$B$27+Inputs!$B$29,MAX(0,(Inputs!$B$3-100)*3)+Inputs!$B$28+Inputs!$B$29)))</f>
        <v/>
      </c>
      <c r="E792">
        <f>INDEX(FactorTable!$B$2:$Y$301, MATCH(ROUND(MIN(300,MAX(1,D792)),0), FactorTable!$A$2:$A$301,0), Skills!M11+1)</f>
        <v/>
      </c>
      <c r="F792">
        <f>IF(Skills!N11=TRUE,(Skills!L11/10)*(E792/1000),Skills!L11/10)+Skills!O11</f>
        <v/>
      </c>
      <c r="G792">
        <f>Skills!G11*IF(Skills!H11&gt;0,Skills!I11/Skills!H11,1)</f>
        <v/>
      </c>
      <c r="H792">
        <f>1-(1-Skills!J11/100)^Skills!K11</f>
        <v/>
      </c>
      <c r="I792" t="inlineStr">
        <is>
          <t>1</t>
        </is>
      </c>
      <c r="J792">
        <f>((Inputs!$B$6*(1+Inputs!$B$7/100))+(((Inputs!$B$12*(1+Inputs!$B$13/100))-(Inputs!$B$12*(1+Inputs!$B$13/100)))+0.25*(Inputs!$B$14-Inputs!$B$14))*(1+Inputs!$B$7/100))*(F792/100)</f>
        <v/>
      </c>
      <c r="K792">
        <f>J792*(1+((Inputs!$B$12*(1+Inputs!$B$13/100))*0.01+Inputs!$B$14*0.0025)/100)*(1+Inputs!$B$15/100)*(1+IF(Inputs!$B$38="pvp",0,(1-Summary!$B$55)*(Inputs!$B$20+0+Skills!P11)+Summary!$B$55*(Inputs!$B$21+Skills!Q11))/100)*(1+Inputs!$B$16/100)*(5000/(6000+Inputs!$B$42*(1-(Inputs!$B$19+((C808=TRUE)*(F808-Calc!F27)))/100)))*(1+(Inputs!$B$24+((C806=TRUE)*(F806-Calc!F25))+((C807=TRUE)*(F807-Calc!F26))+B820)/100)*(1+IF(C793=TRUE,F793,0)/100)*(1+(IF(Skills!A11="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792)</f>
        <v/>
      </c>
      <c r="L792">
        <f>K792*(MIN(Inputs!$B$22+((C805=TRUE)*(F805-Calc!F24)),Inputs!$B$23+((C810=TRUE)*(F810-Calc!F29)))/100+(Inputs!$B$23+((C810=TRUE)*(F810-Calc!F29)))/100)/2</f>
        <v/>
      </c>
      <c r="M792">
        <f>L792*(1+(Inputs!$B$10+0+B819)/100)</f>
        <v/>
      </c>
      <c r="N792">
        <f>L792*(1-MIN((Inputs!$B$9+((C801=TRUE)*(F801-Calc!F20))+B814),100)/100)+M792*(MIN((Inputs!$B$9+((C801=TRUE)*(F801-Calc!F20))+B814),100)/100)</f>
        <v/>
      </c>
      <c r="O792">
        <f>IF(C792,H792*N792*IF(AND(Inputs!$B$38&lt;&gt;"pvp",Inputs!$B$43&gt;0),((Skills!G11*((R792-1)*IF(Skills!H11&gt;0,Skills!I11/Skills!H11,1)+IF(Skills!H11&gt;0,MIN(Skills!I11,MAX(0,MAX(0,Inputs!$B$43-B821)-((R792-1)*IF(Inputs!$B$38="pvp",15,MAX(0.1,Skills!D11-IF(Skills!E11=TRUE,Inputs!$B$32,0))))))/Skills!H11,1)))/Inputs!$B$43),G792*Q792)*IF(Inputs!$B$38="pvp",1,(1-Summary!$B$55)*(1)+Summary!$B$55*(MIN(Skills!R11,Inputs!$B$37))),0)</f>
        <v/>
      </c>
      <c r="P792">
        <f>IF(B822=0,0,O792/B822)</f>
        <v/>
      </c>
      <c r="Q792">
        <f>IFERROR(1/IF(Inputs!$B$38="pvp",15,MAX(0.1,Skills!D11-IF(Skills!E11=TRUE,Inputs!$B$32,0))),0)</f>
        <v/>
      </c>
      <c r="R792">
        <f>IF(AND(Inputs!$B$38&lt;&gt;"pvp",Inputs!$B$43&gt;0),IF(MAX(0,Inputs!$B$43-B821)&lt;=0,0,(INT(MAX(0,Inputs!$B$43-B821)/IF(Inputs!$B$38="pvp",15,MAX(0.1,Skills!D11-IF(Skills!E11=TRUE,Inputs!$B$32,0))))+1)),0)</f>
        <v/>
      </c>
      <c r="S792">
        <f>IFERROR(O792/N792,0)</f>
        <v/>
      </c>
    </row>
    <row r="793">
      <c r="A793">
        <f>Skills!A12</f>
        <v/>
      </c>
      <c r="B793">
        <f>Skills!B12</f>
        <v/>
      </c>
      <c r="C793">
        <f>Inputs!$B$3&gt;=110</f>
        <v/>
      </c>
      <c r="D793">
        <f>IF(Skills!C12=1,60+Inputs!$B$25+Inputs!$B$29,IF(Skills!C12=2,90+(Inputs!$B$26+1)+Inputs!$B$29,IF(Skills!C12=3,120+Inputs!$B$27+Inputs!$B$29,MAX(0,(Inputs!$B$3-100)*3)+Inputs!$B$28+Inputs!$B$29)))</f>
        <v/>
      </c>
      <c r="E793">
        <f>INDEX(FactorTable!$B$2:$Y$301, MATCH(ROUND(MIN(300,MAX(1,D793)),0), FactorTable!$A$2:$A$301,0), Skills!M12+1)</f>
        <v/>
      </c>
      <c r="F793">
        <f>IF(Skills!N12=TRUE,(Skills!L12/10)*(E793/1000),Skills!L12/10)+Skills!O12</f>
        <v/>
      </c>
      <c r="G793" t="inlineStr"/>
      <c r="H793" t="inlineStr"/>
      <c r="I793" t="inlineStr">
        <is>
          <t>1</t>
        </is>
      </c>
      <c r="J793" t="inlineStr"/>
      <c r="K793" t="inlineStr"/>
      <c r="L793" t="inlineStr"/>
      <c r="M793" t="inlineStr"/>
      <c r="N793" t="inlineStr"/>
      <c r="O793" t="inlineStr"/>
      <c r="P793" t="inlineStr"/>
      <c r="Q793" t="inlineStr"/>
      <c r="R793" t="inlineStr"/>
      <c r="S793" t="inlineStr"/>
    </row>
    <row r="794">
      <c r="A794">
        <f>Skills!A13</f>
        <v/>
      </c>
      <c r="B794">
        <f>Skills!B13</f>
        <v/>
      </c>
      <c r="C794">
        <f>Inputs!$B$3&gt;=74</f>
        <v/>
      </c>
      <c r="D794">
        <f>IF(Skills!C13=1,60+Inputs!$B$25+Inputs!$B$29,IF(Skills!C13=2,90+(Inputs!$B$26+1)+Inputs!$B$29,IF(Skills!C13=3,120+Inputs!$B$27+Inputs!$B$29,MAX(0,(Inputs!$B$3-100)*3)+Inputs!$B$28+Inputs!$B$29)))</f>
        <v/>
      </c>
      <c r="E794">
        <f>INDEX(FactorTable!$B$2:$Y$301, MATCH(ROUND(MIN(300,MAX(1,D794)),0), FactorTable!$A$2:$A$301,0), Skills!M13+1)</f>
        <v/>
      </c>
      <c r="F794">
        <f>IF(Skills!N13=TRUE,(Skills!L13/10)*(E794/1000),Skills!L13/10)+Skills!O13</f>
        <v/>
      </c>
      <c r="G794">
        <f>Skills!G13*IF(Skills!H13&gt;0,Skills!I13/Skills!H13,1)</f>
        <v/>
      </c>
      <c r="H794">
        <f>1-(1-Skills!J13/100)^Skills!K13</f>
        <v/>
      </c>
      <c r="I794" t="inlineStr">
        <is>
          <t>1</t>
        </is>
      </c>
      <c r="J794" t="inlineStr"/>
      <c r="K794" t="inlineStr"/>
      <c r="L794" t="inlineStr"/>
      <c r="M794" t="inlineStr"/>
      <c r="N794" t="inlineStr"/>
      <c r="O794" t="n">
        <v>0</v>
      </c>
      <c r="P794">
        <f>IF(B822=0,0,O794/B822)</f>
        <v/>
      </c>
      <c r="Q794" t="n">
        <v>0</v>
      </c>
      <c r="R794" t="n">
        <v>0</v>
      </c>
      <c r="S794">
        <f>IFERROR(O794/N794,0)</f>
        <v/>
      </c>
    </row>
    <row r="795">
      <c r="A795">
        <f>Skills!A14</f>
        <v/>
      </c>
      <c r="B795">
        <f>Skills!B14</f>
        <v/>
      </c>
      <c r="C795">
        <f>Inputs!$B$3&gt;=74</f>
        <v/>
      </c>
      <c r="D795">
        <f>IF(Skills!C14=1,60+Inputs!$B$25+Inputs!$B$29,IF(Skills!C14=2,90+(Inputs!$B$26+1)+Inputs!$B$29,IF(Skills!C14=3,120+Inputs!$B$27+Inputs!$B$29,MAX(0,(Inputs!$B$3-100)*3)+Inputs!$B$28+Inputs!$B$29)))</f>
        <v/>
      </c>
      <c r="E795">
        <f>INDEX(FactorTable!$B$2:$Y$301, MATCH(ROUND(MIN(300,MAX(1,D795)),0), FactorTable!$A$2:$A$301,0), Skills!M14+1)</f>
        <v/>
      </c>
      <c r="F795">
        <f>IF(Skills!N14=TRUE,(Skills!L14/10)*(E795/1000),Skills!L14/10)+Skills!O14</f>
        <v/>
      </c>
      <c r="G795">
        <f>Skills!G14*IF(Skills!H14&gt;0,Skills!I14/Skills!H14,1)</f>
        <v/>
      </c>
      <c r="H795">
        <f>1-(1-Skills!J14/100)^Skills!K14</f>
        <v/>
      </c>
      <c r="I795" t="inlineStr">
        <is>
          <t>1</t>
        </is>
      </c>
      <c r="J795" t="inlineStr"/>
      <c r="K795" t="inlineStr"/>
      <c r="L795" t="inlineStr"/>
      <c r="M795" t="inlineStr"/>
      <c r="N795" t="inlineStr"/>
      <c r="O795" t="n">
        <v>0</v>
      </c>
      <c r="P795">
        <f>IF(B822=0,0,O795/B822)</f>
        <v/>
      </c>
      <c r="Q795" t="n">
        <v>0</v>
      </c>
      <c r="R795" t="n">
        <v>0</v>
      </c>
      <c r="S795">
        <f>IFERROR(O795/N795,0)</f>
        <v/>
      </c>
    </row>
    <row r="796">
      <c r="A796">
        <f>Skills!A15</f>
        <v/>
      </c>
      <c r="B796">
        <f>Skills!B15</f>
        <v/>
      </c>
      <c r="C796">
        <f>Inputs!$B$3&gt;=117</f>
        <v/>
      </c>
      <c r="D796">
        <f>IF(Skills!C15=1,60+Inputs!$B$25+Inputs!$B$29,IF(Skills!C15=2,90+(Inputs!$B$26+1)+Inputs!$B$29,IF(Skills!C15=3,120+Inputs!$B$27+Inputs!$B$29,MAX(0,(Inputs!$B$3-100)*3)+Inputs!$B$28+Inputs!$B$29)))</f>
        <v/>
      </c>
      <c r="E796">
        <f>INDEX(FactorTable!$B$2:$Y$301, MATCH(ROUND(MIN(300,MAX(1,D796)),0), FactorTable!$A$2:$A$301,0), Skills!M15+1)</f>
        <v/>
      </c>
      <c r="F796">
        <f>IF(Skills!N15=TRUE,(Skills!L15/10)*(E796/1000),Skills!L15/10)+Skills!O15</f>
        <v/>
      </c>
      <c r="G796">
        <f>Skills!G15*IF(Skills!H15&gt;0,Skills!I15/Skills!H15,1)</f>
        <v/>
      </c>
      <c r="H796">
        <f>1-(1-Skills!J15/100)^Skills!K15</f>
        <v/>
      </c>
      <c r="I796" t="inlineStr">
        <is>
          <t>1</t>
        </is>
      </c>
      <c r="J796" t="inlineStr"/>
      <c r="K796" t="inlineStr"/>
      <c r="L796" t="inlineStr"/>
      <c r="M796" t="inlineStr"/>
      <c r="N796" t="inlineStr"/>
      <c r="O796" t="n">
        <v>0</v>
      </c>
      <c r="P796">
        <f>IF(B822=0,0,O796/B822)</f>
        <v/>
      </c>
      <c r="Q796">
        <f>IFERROR(1/IF(Inputs!$B$38="pvp",15,MAX(0.1,Skills!D15-IF(Skills!E15=TRUE,Inputs!$B$32,0))),0)</f>
        <v/>
      </c>
      <c r="R796">
        <f>IF(AND(Inputs!$B$38&lt;&gt;"pvp",Inputs!$B$43&gt;0),IF(Inputs!$B$43&lt;=0,0,(INT(Inputs!$B$43/IF(Inputs!$B$38="pvp",15,MAX(0.1,Skills!D15-IF(Skills!E15=TRUE,Inputs!$B$32,0))))+1)),0)</f>
        <v/>
      </c>
      <c r="S796">
        <f>IFERROR(O796/N796,0)</f>
        <v/>
      </c>
    </row>
    <row r="797">
      <c r="A797">
        <f>Skills!A16</f>
        <v/>
      </c>
      <c r="B797">
        <f>Skills!B16</f>
        <v/>
      </c>
      <c r="C797">
        <f>Inputs!$B$3&gt;=115</f>
        <v/>
      </c>
      <c r="D797">
        <f>IF(Skills!C16=1,60+Inputs!$B$25+Inputs!$B$29,IF(Skills!C16=2,90+(Inputs!$B$26+1)+Inputs!$B$29,IF(Skills!C16=3,120+Inputs!$B$27+Inputs!$B$29,MAX(0,(Inputs!$B$3-100)*3)+Inputs!$B$28+Inputs!$B$29)))</f>
        <v/>
      </c>
      <c r="E797">
        <f>INDEX(FactorTable!$B$2:$Y$301, MATCH(ROUND(MIN(300,MAX(1,D797)),0), FactorTable!$A$2:$A$301,0), Skills!M16+1)</f>
        <v/>
      </c>
      <c r="F797">
        <f>IF(Skills!N16=TRUE,(Skills!L16/10)*(E797/1000),Skills!L16/10)+Skills!O16</f>
        <v/>
      </c>
      <c r="G797">
        <f>Skills!G16*IF(Skills!H16&gt;0,Skills!I16/Skills!H16,1)</f>
        <v/>
      </c>
      <c r="H797">
        <f>1-(1-Skills!J16/100)^Skills!K16</f>
        <v/>
      </c>
      <c r="I797" t="inlineStr">
        <is>
          <t>1</t>
        </is>
      </c>
      <c r="J797" t="inlineStr"/>
      <c r="K797" t="inlineStr"/>
      <c r="L797" t="inlineStr"/>
      <c r="M797" t="inlineStr"/>
      <c r="N797" t="inlineStr"/>
      <c r="O797" t="n">
        <v>0</v>
      </c>
      <c r="P797">
        <f>IF(B822=0,0,O797/B822)</f>
        <v/>
      </c>
      <c r="Q797">
        <f>IFERROR(1/IF(Inputs!$B$38="pvp",15,MAX(0.1,Skills!D16-IF(Skills!E16=TRUE,Inputs!$B$32,0))),0)</f>
        <v/>
      </c>
      <c r="R797">
        <f>IF(AND(Inputs!$B$38&lt;&gt;"pvp",Inputs!$B$43&gt;0),IF(Inputs!$B$43&lt;=0,0,(INT(Inputs!$B$43/IF(Inputs!$B$38="pvp",15,MAX(0.1,Skills!D16-IF(Skills!E16=TRUE,Inputs!$B$32,0))))+1)),0)</f>
        <v/>
      </c>
      <c r="S797">
        <f>IFERROR(O797/N797,0)</f>
        <v/>
      </c>
    </row>
    <row r="798">
      <c r="A798">
        <f>Skills!A17</f>
        <v/>
      </c>
      <c r="B798">
        <f>Skills!B17</f>
        <v/>
      </c>
      <c r="C798">
        <f>Inputs!$B$3&gt;=66</f>
        <v/>
      </c>
      <c r="D798">
        <f>IF(Skills!C17=1,60+Inputs!$B$25+Inputs!$B$29,IF(Skills!C17=2,90+(Inputs!$B$26+1)+Inputs!$B$29,IF(Skills!C17=3,120+Inputs!$B$27+Inputs!$B$29,MAX(0,(Inputs!$B$3-100)*3)+Inputs!$B$28+Inputs!$B$29)))</f>
        <v/>
      </c>
      <c r="E798">
        <f>INDEX(FactorTable!$B$2:$Y$301, MATCH(ROUND(MIN(300,MAX(1,D798)),0), FactorTable!$A$2:$A$301,0), Skills!M17+1)</f>
        <v/>
      </c>
      <c r="F798">
        <f>IF(Skills!N17=TRUE,(Skills!L17/10)*(E798/1000),Skills!L17/10)+Skills!O17</f>
        <v/>
      </c>
      <c r="G798">
        <f>Skills!G17*IF(Skills!H17&gt;0,Skills!I17/Skills!H17,1)</f>
        <v/>
      </c>
      <c r="H798">
        <f>1-(1-Skills!J17/100)^Skills!K17</f>
        <v/>
      </c>
      <c r="I798" t="inlineStr">
        <is>
          <t>1</t>
        </is>
      </c>
      <c r="J798" t="inlineStr"/>
      <c r="K798" t="inlineStr"/>
      <c r="L798" t="inlineStr"/>
      <c r="M798" t="inlineStr"/>
      <c r="N798" t="inlineStr"/>
      <c r="O798" t="n">
        <v>0</v>
      </c>
      <c r="P798">
        <f>IF(B822=0,0,O798/B822)</f>
        <v/>
      </c>
      <c r="Q798" t="n">
        <v>0</v>
      </c>
      <c r="R798" t="n">
        <v>0</v>
      </c>
      <c r="S798">
        <f>IFERROR(O798/N798,0)</f>
        <v/>
      </c>
    </row>
    <row r="799">
      <c r="A799">
        <f>Skills!A18</f>
        <v/>
      </c>
      <c r="B799">
        <f>Skills!B18</f>
        <v/>
      </c>
      <c r="C799">
        <f>Inputs!$B$3&gt;=72</f>
        <v/>
      </c>
      <c r="D799">
        <f>IF(Skills!C18=1,60+Inputs!$B$25+Inputs!$B$29,IF(Skills!C18=2,90+(Inputs!$B$26+1)+Inputs!$B$29,IF(Skills!C18=3,120+Inputs!$B$27+Inputs!$B$29,MAX(0,(Inputs!$B$3-100)*3)+Inputs!$B$28+Inputs!$B$29)))</f>
        <v/>
      </c>
      <c r="E799">
        <f>INDEX(FactorTable!$B$2:$Y$301, MATCH(ROUND(MIN(300,MAX(1,D799)),0), FactorTable!$A$2:$A$301,0), Skills!M18+1)</f>
        <v/>
      </c>
      <c r="F799">
        <f>IF(Skills!N18=TRUE,(Skills!L18/10)*(E799/1000),Skills!L18/10)+Skills!O18</f>
        <v/>
      </c>
      <c r="G799">
        <f>Skills!G18*IF(Skills!H18&gt;0,Skills!I18/Skills!H18,1)</f>
        <v/>
      </c>
      <c r="H799">
        <f>1-(1-Skills!J18/100)^Skills!K18</f>
        <v/>
      </c>
      <c r="I799" t="inlineStr">
        <is>
          <t>1</t>
        </is>
      </c>
      <c r="J799" t="inlineStr"/>
      <c r="K799" t="inlineStr"/>
      <c r="L799" t="inlineStr"/>
      <c r="M799" t="inlineStr"/>
      <c r="N799" t="inlineStr"/>
      <c r="O799" t="n">
        <v>0</v>
      </c>
      <c r="P799">
        <f>IF(B822=0,0,O799/B822)</f>
        <v/>
      </c>
      <c r="Q799" t="n">
        <v>0</v>
      </c>
      <c r="R799" t="n">
        <v>0</v>
      </c>
      <c r="S799">
        <f>IFERROR(O799/N799,0)</f>
        <v/>
      </c>
    </row>
    <row r="800">
      <c r="A800">
        <f>Skills!A19</f>
        <v/>
      </c>
      <c r="B800">
        <f>Skills!B19</f>
        <v/>
      </c>
      <c r="C800">
        <f>TRUE</f>
        <v/>
      </c>
      <c r="D800">
        <f>IF(Skills!C19=1,60+Inputs!$B$25+Inputs!$B$29,IF(Skills!C19=2,90+(Inputs!$B$26+1)+Inputs!$B$29,IF(Skills!C19=3,120+Inputs!$B$27+Inputs!$B$29,MAX(0,(Inputs!$B$3-100)*3)+Inputs!$B$28+Inputs!$B$29)))</f>
        <v/>
      </c>
      <c r="E800">
        <f>INDEX(FactorTable!$B$2:$Y$301, MATCH(ROUND(MIN(300,MAX(1,D800)),0), FactorTable!$A$2:$A$301,0), Skills!M19+1)</f>
        <v/>
      </c>
      <c r="F800">
        <f>IF(Skills!N19=TRUE,(Skills!L19/10)*(E800/1000),Skills!L19/10)+Skills!O19</f>
        <v/>
      </c>
      <c r="G800">
        <f>Skills!G19*IF(Skills!H19&gt;0,Skills!I19/Skills!H19,1)</f>
        <v/>
      </c>
      <c r="H800">
        <f>1-(1-Skills!J19/100)^Skills!K19</f>
        <v/>
      </c>
      <c r="I800" t="inlineStr">
        <is>
          <t>1</t>
        </is>
      </c>
      <c r="J800" t="inlineStr"/>
      <c r="K800" t="inlineStr"/>
      <c r="L800" t="inlineStr"/>
      <c r="M800" t="inlineStr"/>
      <c r="N800" t="inlineStr"/>
      <c r="O800" t="n">
        <v>0</v>
      </c>
      <c r="P800">
        <f>IF(B822=0,0,O800/B822)</f>
        <v/>
      </c>
      <c r="Q800">
        <f>IFERROR(1/IF(Inputs!$B$38="pvp",15,MAX(0.1,Skills!D19-IF(Skills!E19=TRUE,Inputs!$B$32,0))),0)</f>
        <v/>
      </c>
      <c r="R800">
        <f>IF(AND(Inputs!$B$38&lt;&gt;"pvp",Inputs!$B$43&gt;0),IF(Inputs!$B$43&lt;=0,0,(INT(Inputs!$B$43/IF(Inputs!$B$38="pvp",15,MAX(0.1,Skills!D19-IF(Skills!E19=TRUE,Inputs!$B$32,0))))+1)),0)</f>
        <v/>
      </c>
      <c r="S800">
        <f>IFERROR(O800/N800,0)</f>
        <v/>
      </c>
    </row>
    <row r="801">
      <c r="A801">
        <f>Skills!A20</f>
        <v/>
      </c>
      <c r="B801">
        <f>Skills!B20</f>
        <v/>
      </c>
      <c r="C801">
        <f>Inputs!$B$3&gt;=15</f>
        <v/>
      </c>
      <c r="D801">
        <f>IF(Skills!C20=1,60+Inputs!$B$25+Inputs!$B$29,IF(Skills!C20=2,90+(Inputs!$B$26+1)+Inputs!$B$29,IF(Skills!C20=3,120+Inputs!$B$27+Inputs!$B$29,MAX(0,(Inputs!$B$3-100)*3)+Inputs!$B$28+Inputs!$B$29)))</f>
        <v/>
      </c>
      <c r="E801">
        <f>INDEX(FactorTable!$B$2:$Y$301, MATCH(ROUND(MIN(300,MAX(1,D801)),0), FactorTable!$A$2:$A$301,0), Skills!M20+1)</f>
        <v/>
      </c>
      <c r="F801">
        <f>IF(Skills!N20=TRUE,(Skills!L20/10)*(E801/1000),Skills!L20/10)+Skills!O20</f>
        <v/>
      </c>
      <c r="G801">
        <f>Skills!G20*IF(Skills!H20&gt;0,Skills!I20/Skills!H20,1)</f>
        <v/>
      </c>
      <c r="H801">
        <f>1-(1-Skills!J20/100)^Skills!K20</f>
        <v/>
      </c>
      <c r="I801" t="inlineStr">
        <is>
          <t>1</t>
        </is>
      </c>
      <c r="J801" t="inlineStr"/>
      <c r="K801" t="inlineStr"/>
      <c r="L801" t="inlineStr"/>
      <c r="M801" t="inlineStr"/>
      <c r="N801" t="inlineStr"/>
      <c r="O801" t="n">
        <v>0</v>
      </c>
      <c r="P801">
        <f>IF(B822=0,0,O801/B822)</f>
        <v/>
      </c>
      <c r="Q801" t="n">
        <v>0</v>
      </c>
      <c r="R801" t="n">
        <v>0</v>
      </c>
      <c r="S801">
        <f>IFERROR(O801/N801,0)</f>
        <v/>
      </c>
    </row>
    <row r="802">
      <c r="A802">
        <f>Skills!A21</f>
        <v/>
      </c>
      <c r="B802">
        <f>Skills!B21</f>
        <v/>
      </c>
      <c r="C802">
        <f>Inputs!$B$3&gt;=10</f>
        <v/>
      </c>
      <c r="D802">
        <f>IF(Skills!C21=1,60+Inputs!$B$25+Inputs!$B$29,IF(Skills!C21=2,90+(Inputs!$B$26+1)+Inputs!$B$29,IF(Skills!C21=3,120+Inputs!$B$27+Inputs!$B$29,MAX(0,(Inputs!$B$3-100)*3)+Inputs!$B$28+Inputs!$B$29)))</f>
        <v/>
      </c>
      <c r="E802">
        <f>INDEX(FactorTable!$B$2:$Y$301, MATCH(ROUND(MIN(300,MAX(1,D802)),0), FactorTable!$A$2:$A$301,0), Skills!M21+1)</f>
        <v/>
      </c>
      <c r="F802">
        <f>IF(Skills!N21=TRUE,(Skills!L21/10)*(E802/1000),Skills!L21/10)+Skills!O21</f>
        <v/>
      </c>
      <c r="G802">
        <f>Skills!G21*IF(Skills!H21&gt;0,Skills!I21/Skills!H21,1)</f>
        <v/>
      </c>
      <c r="H802">
        <f>1-(1-Skills!J21/100)^Skills!K21</f>
        <v/>
      </c>
      <c r="I802" t="inlineStr">
        <is>
          <t>1</t>
        </is>
      </c>
      <c r="J802" t="inlineStr"/>
      <c r="K802" t="inlineStr"/>
      <c r="L802" t="inlineStr"/>
      <c r="M802" t="inlineStr"/>
      <c r="N802" t="inlineStr"/>
      <c r="O802" t="n">
        <v>0</v>
      </c>
      <c r="P802">
        <f>IF(B822=0,0,O802/B822)</f>
        <v/>
      </c>
      <c r="Q802" t="n">
        <v>0</v>
      </c>
      <c r="R802" t="n">
        <v>0</v>
      </c>
      <c r="S802">
        <f>IFERROR(O802/N802,0)</f>
        <v/>
      </c>
    </row>
    <row r="803">
      <c r="A803">
        <f>Skills!A22</f>
        <v/>
      </c>
      <c r="B803">
        <f>Skills!B22</f>
        <v/>
      </c>
      <c r="C803">
        <f>Inputs!$B$3&gt;=33</f>
        <v/>
      </c>
      <c r="D803">
        <f>IF(Skills!C22=1,60+Inputs!$B$25+Inputs!$B$29,IF(Skills!C22=2,90+(Inputs!$B$26+1)+Inputs!$B$29,IF(Skills!C22=3,120+Inputs!$B$27+Inputs!$B$29,MAX(0,(Inputs!$B$3-100)*3)+Inputs!$B$28+Inputs!$B$29)))</f>
        <v/>
      </c>
      <c r="E803">
        <f>INDEX(FactorTable!$B$2:$Y$301, MATCH(ROUND(MIN(300,MAX(1,D803)),0), FactorTable!$A$2:$A$301,0), Skills!M22+1)</f>
        <v/>
      </c>
      <c r="F803">
        <f>IF(Skills!N22=TRUE,(Skills!L22/10)*(E803/1000),Skills!L22/10)+Skills!O22</f>
        <v/>
      </c>
      <c r="G803">
        <f>Skills!G22*IF(Skills!H22&gt;0,Skills!I22/Skills!H22,1)</f>
        <v/>
      </c>
      <c r="H803">
        <f>1-(1-Skills!J22/100)^Skills!K22</f>
        <v/>
      </c>
      <c r="I803" t="inlineStr">
        <is>
          <t>1</t>
        </is>
      </c>
      <c r="J803" t="inlineStr"/>
      <c r="K803" t="inlineStr"/>
      <c r="L803" t="inlineStr"/>
      <c r="M803" t="inlineStr"/>
      <c r="N803" t="inlineStr"/>
      <c r="O803" t="n">
        <v>0</v>
      </c>
      <c r="P803">
        <f>IF(B822=0,0,O803/B822)</f>
        <v/>
      </c>
      <c r="Q803" t="n">
        <v>0</v>
      </c>
      <c r="R803" t="n">
        <v>0</v>
      </c>
      <c r="S803">
        <f>IFERROR(O803/N803,0)</f>
        <v/>
      </c>
    </row>
    <row r="804">
      <c r="A804">
        <f>Skills!A23</f>
        <v/>
      </c>
      <c r="B804">
        <f>Skills!B23</f>
        <v/>
      </c>
      <c r="C804">
        <f>Inputs!$B$3&gt;=38</f>
        <v/>
      </c>
      <c r="D804">
        <f>IF(Skills!C23=1,60+Inputs!$B$25+Inputs!$B$29,IF(Skills!C23=2,90+(Inputs!$B$26+1)+Inputs!$B$29,IF(Skills!C23=3,120+Inputs!$B$27+Inputs!$B$29,MAX(0,(Inputs!$B$3-100)*3)+Inputs!$B$28+Inputs!$B$29)))</f>
        <v/>
      </c>
      <c r="E804">
        <f>INDEX(FactorTable!$B$2:$Y$301, MATCH(ROUND(MIN(300,MAX(1,D804)),0), FactorTable!$A$2:$A$301,0), Skills!M23+1)</f>
        <v/>
      </c>
      <c r="F804">
        <f>IF(Skills!N23=TRUE,(Skills!L23/10)*(E804/1000),Skills!L23/10)+Skills!O23</f>
        <v/>
      </c>
      <c r="G804">
        <f>Skills!G23*IF(Skills!H23&gt;0,Skills!I23/Skills!H23,1)</f>
        <v/>
      </c>
      <c r="H804">
        <f>1-(1-Skills!J23/100)^Skills!K23</f>
        <v/>
      </c>
      <c r="I804" t="inlineStr">
        <is>
          <t>1</t>
        </is>
      </c>
      <c r="J804" t="inlineStr"/>
      <c r="K804" t="inlineStr"/>
      <c r="L804" t="inlineStr"/>
      <c r="M804" t="inlineStr"/>
      <c r="N804" t="inlineStr"/>
      <c r="O804" t="n">
        <v>0</v>
      </c>
      <c r="P804">
        <f>IF(B822=0,0,O804/B822)</f>
        <v/>
      </c>
      <c r="Q804" t="n">
        <v>0</v>
      </c>
      <c r="R804" t="n">
        <v>0</v>
      </c>
      <c r="S804">
        <f>IFERROR(O804/N804,0)</f>
        <v/>
      </c>
    </row>
    <row r="805">
      <c r="A805">
        <f>Skills!A24</f>
        <v/>
      </c>
      <c r="B805">
        <f>Skills!B24</f>
        <v/>
      </c>
      <c r="C805">
        <f>Inputs!$B$3&gt;=43</f>
        <v/>
      </c>
      <c r="D805">
        <f>IF(Skills!C24=1,60+Inputs!$B$25+Inputs!$B$29,IF(Skills!C24=2,90+(Inputs!$B$26+1)+Inputs!$B$29,IF(Skills!C24=3,120+Inputs!$B$27+Inputs!$B$29,MAX(0,(Inputs!$B$3-100)*3)+Inputs!$B$28+Inputs!$B$29)))</f>
        <v/>
      </c>
      <c r="E805">
        <f>INDEX(FactorTable!$B$2:$Y$301, MATCH(ROUND(MIN(300,MAX(1,D805)),0), FactorTable!$A$2:$A$301,0), Skills!M24+1)</f>
        <v/>
      </c>
      <c r="F805">
        <f>IF(Skills!N24=TRUE,(Skills!L24/10)*(E805/1000),Skills!L24/10)+Skills!O24</f>
        <v/>
      </c>
      <c r="G805">
        <f>Skills!G24*IF(Skills!H24&gt;0,Skills!I24/Skills!H24,1)</f>
        <v/>
      </c>
      <c r="H805">
        <f>1-(1-Skills!J24/100)^Skills!K24</f>
        <v/>
      </c>
      <c r="I805" t="inlineStr">
        <is>
          <t>1</t>
        </is>
      </c>
      <c r="J805" t="inlineStr"/>
      <c r="K805" t="inlineStr"/>
      <c r="L805" t="inlineStr"/>
      <c r="M805" t="inlineStr"/>
      <c r="N805" t="inlineStr"/>
      <c r="O805" t="n">
        <v>0</v>
      </c>
      <c r="P805">
        <f>IF(B822=0,0,O805/B822)</f>
        <v/>
      </c>
      <c r="Q805" t="n">
        <v>0</v>
      </c>
      <c r="R805" t="n">
        <v>0</v>
      </c>
      <c r="S805">
        <f>IFERROR(O805/N805,0)</f>
        <v/>
      </c>
    </row>
    <row r="806">
      <c r="A806">
        <f>Skills!A25</f>
        <v/>
      </c>
      <c r="B806">
        <f>Skills!B25</f>
        <v/>
      </c>
      <c r="C806">
        <f>Inputs!$B$3&gt;=75</f>
        <v/>
      </c>
      <c r="D806">
        <f>IF(Skills!C25=1,60+Inputs!$B$25+Inputs!$B$29,IF(Skills!C25=2,90+(Inputs!$B$26+1)+Inputs!$B$29,IF(Skills!C25=3,120+Inputs!$B$27+Inputs!$B$29,MAX(0,(Inputs!$B$3-100)*3)+Inputs!$B$28+Inputs!$B$29)))</f>
        <v/>
      </c>
      <c r="E806">
        <f>INDEX(FactorTable!$B$2:$Y$301, MATCH(ROUND(MIN(300,MAX(1,D806)),0), FactorTable!$A$2:$A$301,0), Skills!M25+1)</f>
        <v/>
      </c>
      <c r="F806">
        <f>IF(Skills!N25=TRUE,(Skills!L25/10)*(E806/1000),Skills!L25/10)+Skills!O25</f>
        <v/>
      </c>
      <c r="G806">
        <f>Skills!G25*IF(Skills!H25&gt;0,Skills!I25/Skills!H25,1)</f>
        <v/>
      </c>
      <c r="H806">
        <f>1-(1-Skills!J25/100)^Skills!K25</f>
        <v/>
      </c>
      <c r="I806" t="inlineStr">
        <is>
          <t>1</t>
        </is>
      </c>
      <c r="J806" t="inlineStr"/>
      <c r="K806" t="inlineStr"/>
      <c r="L806" t="inlineStr"/>
      <c r="M806" t="inlineStr"/>
      <c r="N806" t="inlineStr"/>
      <c r="O806" t="n">
        <v>0</v>
      </c>
      <c r="P806">
        <f>IF(B822=0,0,O806/B822)</f>
        <v/>
      </c>
      <c r="Q806" t="n">
        <v>0</v>
      </c>
      <c r="R806" t="n">
        <v>0</v>
      </c>
      <c r="S806">
        <f>IFERROR(O806/N806,0)</f>
        <v/>
      </c>
    </row>
    <row r="807">
      <c r="A807">
        <f>Skills!A26</f>
        <v/>
      </c>
      <c r="B807">
        <f>Skills!B26</f>
        <v/>
      </c>
      <c r="C807">
        <f>Inputs!$B$3&gt;=125</f>
        <v/>
      </c>
      <c r="D807">
        <f>IF(Skills!C26=1,60+Inputs!$B$25+Inputs!$B$29,IF(Skills!C26=2,90+(Inputs!$B$26+1)+Inputs!$B$29,IF(Skills!C26=3,120+Inputs!$B$27+Inputs!$B$29,MAX(0,(Inputs!$B$3-100)*3)+Inputs!$B$28+Inputs!$B$29)))</f>
        <v/>
      </c>
      <c r="E807">
        <f>INDEX(FactorTable!$B$2:$Y$301, MATCH(ROUND(MIN(300,MAX(1,D807)),0), FactorTable!$A$2:$A$301,0), Skills!M26+1)</f>
        <v/>
      </c>
      <c r="F807">
        <f>IF(Skills!N26=TRUE,(Skills!L26/10)*(E807/1000),Skills!L26/10)+Skills!O26</f>
        <v/>
      </c>
      <c r="G807">
        <f>Skills!G26*IF(Skills!H26&gt;0,Skills!I26/Skills!H26,1)</f>
        <v/>
      </c>
      <c r="H807">
        <f>1-(1-Skills!J26/100)^Skills!K26</f>
        <v/>
      </c>
      <c r="I807" t="inlineStr">
        <is>
          <t>1</t>
        </is>
      </c>
      <c r="J807" t="inlineStr"/>
      <c r="K807" t="inlineStr"/>
      <c r="L807" t="inlineStr"/>
      <c r="M807" t="inlineStr"/>
      <c r="N807" t="inlineStr"/>
      <c r="O807" t="n">
        <v>0</v>
      </c>
      <c r="P807">
        <f>IF(B822=0,0,O807/B822)</f>
        <v/>
      </c>
      <c r="Q807" t="n">
        <v>0</v>
      </c>
      <c r="R807" t="n">
        <v>0</v>
      </c>
      <c r="S807">
        <f>IFERROR(O807/N807,0)</f>
        <v/>
      </c>
    </row>
    <row r="808">
      <c r="A808">
        <f>Skills!A27</f>
        <v/>
      </c>
      <c r="B808">
        <f>Skills!B27</f>
        <v/>
      </c>
      <c r="C808">
        <f>Inputs!$B$3&gt;=125</f>
        <v/>
      </c>
      <c r="D808">
        <f>IF(Skills!C27=1,60+Inputs!$B$25+Inputs!$B$29,IF(Skills!C27=2,90+(Inputs!$B$26+1)+Inputs!$B$29,IF(Skills!C27=3,120+Inputs!$B$27+Inputs!$B$29,MAX(0,(Inputs!$B$3-100)*3)+Inputs!$B$28+Inputs!$B$29)))</f>
        <v/>
      </c>
      <c r="E808">
        <f>INDEX(FactorTable!$B$2:$Y$301, MATCH(ROUND(MIN(300,MAX(1,D808)),0), FactorTable!$A$2:$A$301,0), Skills!M27+1)</f>
        <v/>
      </c>
      <c r="F808">
        <f>IF(Skills!N27=TRUE,(Skills!L27/10)*(E808/1000),Skills!L27/10)+Skills!O27</f>
        <v/>
      </c>
      <c r="G808">
        <f>Skills!G27*IF(Skills!H27&gt;0,Skills!I27/Skills!H27,1)</f>
        <v/>
      </c>
      <c r="H808">
        <f>1-(1-Skills!J27/100)^Skills!K27</f>
        <v/>
      </c>
      <c r="I808" t="inlineStr">
        <is>
          <t>1</t>
        </is>
      </c>
      <c r="J808" t="inlineStr"/>
      <c r="K808" t="inlineStr"/>
      <c r="L808" t="inlineStr"/>
      <c r="M808" t="inlineStr"/>
      <c r="N808" t="inlineStr"/>
      <c r="O808" t="n">
        <v>0</v>
      </c>
      <c r="P808">
        <f>IF(B822=0,0,O808/B822)</f>
        <v/>
      </c>
      <c r="Q808" t="n">
        <v>0</v>
      </c>
      <c r="R808" t="n">
        <v>0</v>
      </c>
      <c r="S808">
        <f>IFERROR(O808/N808,0)</f>
        <v/>
      </c>
    </row>
    <row r="809">
      <c r="A809">
        <f>Skills!A28</f>
        <v/>
      </c>
      <c r="B809">
        <f>Skills!B28</f>
        <v/>
      </c>
      <c r="C809">
        <f>Inputs!$B$3&gt;=120</f>
        <v/>
      </c>
      <c r="D809">
        <f>IF(Skills!C28=1,60+Inputs!$B$25+Inputs!$B$29,IF(Skills!C28=2,90+(Inputs!$B$26+1)+Inputs!$B$29,IF(Skills!C28=3,120+Inputs!$B$27+Inputs!$B$29,MAX(0,(Inputs!$B$3-100)*3)+Inputs!$B$28+Inputs!$B$29)))</f>
        <v/>
      </c>
      <c r="E809">
        <f>INDEX(FactorTable!$B$2:$Y$301, MATCH(ROUND(MIN(300,MAX(1,D809)),0), FactorTable!$A$2:$A$301,0), Skills!M28+1)</f>
        <v/>
      </c>
      <c r="F809">
        <f>IF(Skills!N28=TRUE,(Skills!L28/10)*(E809/1000),Skills!L28/10)+Skills!O28</f>
        <v/>
      </c>
      <c r="G809">
        <f>Skills!G28*IF(Skills!H28&gt;0,Skills!I28/Skills!H28,1)</f>
        <v/>
      </c>
      <c r="H809">
        <f>1-(1-Skills!J28/100)^Skills!K28</f>
        <v/>
      </c>
      <c r="I809" t="inlineStr">
        <is>
          <t>1</t>
        </is>
      </c>
      <c r="J809" t="inlineStr"/>
      <c r="K809" t="inlineStr"/>
      <c r="L809" t="inlineStr"/>
      <c r="M809" t="inlineStr"/>
      <c r="N809" t="inlineStr"/>
      <c r="O809" t="n">
        <v>0</v>
      </c>
      <c r="P809">
        <f>IF(B822=0,0,O809/B822)</f>
        <v/>
      </c>
      <c r="Q809" t="n">
        <v>0</v>
      </c>
      <c r="R809" t="n">
        <v>0</v>
      </c>
      <c r="S809">
        <f>IFERROR(O809/N809,0)</f>
        <v/>
      </c>
    </row>
    <row r="810">
      <c r="A810">
        <f>Skills!A29</f>
        <v/>
      </c>
      <c r="B810">
        <f>Skills!B29</f>
        <v/>
      </c>
      <c r="C810">
        <f>Inputs!$B$3&gt;=120</f>
        <v/>
      </c>
      <c r="D810">
        <f>IF(Skills!C29=1,60+Inputs!$B$25+Inputs!$B$29,IF(Skills!C29=2,90+(Inputs!$B$26+1)+Inputs!$B$29,IF(Skills!C29=3,120+Inputs!$B$27+Inputs!$B$29,MAX(0,(Inputs!$B$3-100)*3)+Inputs!$B$28+Inputs!$B$29)))</f>
        <v/>
      </c>
      <c r="E810">
        <f>INDEX(FactorTable!$B$2:$Y$301, MATCH(ROUND(MIN(300,MAX(1,D810)),0), FactorTable!$A$2:$A$301,0), Skills!M29+1)</f>
        <v/>
      </c>
      <c r="F810">
        <f>IF(Skills!N29=TRUE,(Skills!L29/10)*(E810/1000),Skills!L29/10)+Skills!O29</f>
        <v/>
      </c>
      <c r="G810">
        <f>Skills!G29*IF(Skills!H29&gt;0,Skills!I29/Skills!H29,1)</f>
        <v/>
      </c>
      <c r="H810">
        <f>1-(1-Skills!J29/100)^Skills!K29</f>
        <v/>
      </c>
      <c r="I810" t="inlineStr">
        <is>
          <t>1</t>
        </is>
      </c>
      <c r="J810" t="inlineStr"/>
      <c r="K810" t="inlineStr"/>
      <c r="L810" t="inlineStr"/>
      <c r="M810" t="inlineStr"/>
      <c r="N810" t="inlineStr"/>
      <c r="O810" t="n">
        <v>0</v>
      </c>
      <c r="P810">
        <f>IF(B822=0,0,O810/B822)</f>
        <v/>
      </c>
      <c r="Q810" t="n">
        <v>0</v>
      </c>
      <c r="R810" t="n">
        <v>0</v>
      </c>
      <c r="S810">
        <f>IFERROR(O810/N810,0)</f>
        <v/>
      </c>
    </row>
    <row r="811">
      <c r="A811">
        <f>Skills!A30</f>
        <v/>
      </c>
      <c r="B811">
        <f>Skills!B30</f>
        <v/>
      </c>
      <c r="C811">
        <f>Inputs!$B$3&gt;=45</f>
        <v/>
      </c>
      <c r="D811">
        <f>IF(Skills!C30=1,60+Inputs!$B$25+Inputs!$B$29,IF(Skills!C30=2,90+(Inputs!$B$26+1)+Inputs!$B$29,IF(Skills!C30=3,120+Inputs!$B$27+Inputs!$B$29,MAX(0,(Inputs!$B$3-100)*3)+Inputs!$B$28+Inputs!$B$29)))</f>
        <v/>
      </c>
      <c r="E811">
        <f>INDEX(FactorTable!$B$2:$Y$301, MATCH(ROUND(MIN(300,MAX(1,D811)),0), FactorTable!$A$2:$A$301,0), Skills!M30+1)</f>
        <v/>
      </c>
      <c r="F811">
        <f>IF(Skills!N30=TRUE,(Skills!L30/10)*(E811/1000),Skills!L30/10)+Skills!O30</f>
        <v/>
      </c>
      <c r="G811">
        <f>Skills!G30*IF(Skills!H30&gt;0,Skills!I30/Skills!H30,1)</f>
        <v/>
      </c>
      <c r="H811">
        <f>1-(1-Skills!J30/100)^Skills!K30</f>
        <v/>
      </c>
      <c r="I811" t="inlineStr">
        <is>
          <t>1</t>
        </is>
      </c>
      <c r="J811" t="inlineStr"/>
      <c r="K811" t="inlineStr"/>
      <c r="L811" t="inlineStr"/>
      <c r="M811" t="inlineStr"/>
      <c r="N811" t="inlineStr"/>
      <c r="O811" t="n">
        <v>0</v>
      </c>
      <c r="P811">
        <f>IF(B822=0,0,O811/B822)</f>
        <v/>
      </c>
      <c r="Q811" t="n">
        <v>0</v>
      </c>
      <c r="R811" t="n">
        <v>0</v>
      </c>
      <c r="S811">
        <f>IFERROR(O811/N811,0)</f>
        <v/>
      </c>
    </row>
    <row r="813">
      <c r="A813" t="inlineStr">
        <is>
          <t>Attack% Bucket Multiplier</t>
        </is>
      </c>
      <c r="B813">
        <f>(1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f>
        <v/>
      </c>
    </row>
    <row r="814">
      <c r="A814" t="inlineStr">
        <is>
          <t>Global Crit Rate Bonus %</t>
        </is>
      </c>
      <c r="B814">
        <f>(C797=TRUE)*20*IF(AND(Inputs!$B$38&lt;&gt;"pvp",Inputs!$B$43&gt;0),(((R797-1)*(Skills!T16*(1+Inputs!$B$34/100))+MIN((Skills!T16*(1+Inputs!$B$34/100)),MAX(0,Inputs!$B$43-((R797-1)*Skills!D16))))/Inputs!$B$43),IF(Inputs!$B$38="pvp",MIN((Skills!T16*(1+Inputs!$B$34/100)),15)/15,(Skills!T16*(1+Inputs!$B$34/100))/Skills!D16))</f>
        <v/>
      </c>
    </row>
    <row r="815">
      <c r="A815" t="inlineStr">
        <is>
          <t>Attack Speed Buff Bonus %</t>
        </is>
      </c>
      <c r="B815">
        <f>((C800=TRUE)*F800*IF(AND(Inputs!$B$38&lt;&gt;"pvp",Inputs!$B$43&gt;0),(((R800-1)*(Skills!T19*(1+Inputs!$B$34/100))+MIN((Skills!T19*(1+Inputs!$B$34/100)),MAX(0,Inputs!$B$43-((R800-1)*Skills!D19))))/Inputs!$B$43),IF(Inputs!$B$38="pvp",MIN((Skills!T19*(1+Inputs!$B$34/100)),15)/15,(Skills!T19*(1+Inputs!$B$34/100))/Skills!D19)))</f>
        <v/>
      </c>
    </row>
    <row r="816">
      <c r="A816" t="inlineStr">
        <is>
          <t>Actions Per Second</t>
        </is>
      </c>
      <c r="B816">
        <f>1+MIN(150,150*(1-(1-(Inputs!$B$11+((C802=TRUE)*(F802-Calc!F21))+((C803=TRUE)*(F803-Calc!F22)))/150)*(1-B815/150)))/100</f>
        <v/>
      </c>
    </row>
    <row r="817">
      <c r="A817" t="inlineStr">
        <is>
          <t>Skill + Buff Cast Rate</t>
        </is>
      </c>
      <c r="B817">
        <f>IF(AND(Inputs!$B$38&lt;&gt;"pvp",Inputs!$B$43&gt;0),SUMPRODUCT((Skills!E2:E30=TRUE)*(C783:C811=TRUE)*R783:R811*Skills!F2:F30)/Inputs!$B$43,SUMPRODUCT((Skills!E2:E30=TRUE)*(C783:C811=TRUE)*Q783:Q811*Skills!F2:F30))</f>
        <v/>
      </c>
    </row>
    <row r="818">
      <c r="A818" t="inlineStr">
        <is>
          <t>Arrow Stream Casts Per Second</t>
        </is>
      </c>
      <c r="B818">
        <f>MAX(0,B816-B817)</f>
        <v/>
      </c>
    </row>
    <row r="819">
      <c r="A819" t="inlineStr">
        <is>
          <t>Global Critical Damage Bonus % (Sharp Eyes + Concentration)</t>
        </is>
      </c>
      <c r="B819">
        <f>(C797=TRUE)*F797*IF(AND(Inputs!$B$38&lt;&gt;"pvp",Inputs!$B$43&gt;0),(((R797-1)*(Skills!T16*(1+Inputs!$B$34/100))+MIN((Skills!T16*(1+Inputs!$B$34/100)),MAX(0,Inputs!$B$43-((R797-1)*Skills!D16))))/Inputs!$B$43),IF(Inputs!$B$38="pvp",MIN((Skills!T16*(1+Inputs!$B$34/100)),15)/15,(Skills!T16*(1+Inputs!$B$34/100))/Skills!D16))+(C798=TRUE)*30</f>
        <v/>
      </c>
    </row>
    <row r="820">
      <c r="A820" t="inlineStr">
        <is>
          <t>Global Final Damage Bonus % (Mortal Blow)</t>
        </is>
      </c>
      <c r="B820">
        <f>(C799=TRUE)*F799</f>
        <v/>
      </c>
    </row>
    <row r="821">
      <c r="A821" t="inlineStr">
        <is>
          <t>Buff-Casting Startup Delay (s, fixed-duration only)</t>
        </is>
      </c>
      <c r="B821">
        <f>IF(AND(Inputs!$B$38&lt;&gt;"pvp",Inputs!$B$43&gt;0),SUMPRODUCT((Skills!T2:T30&gt;0)*(Skills!E2:E30=TRUE)*(C783:C811=TRUE))/B816,0)</f>
        <v/>
      </c>
    </row>
    <row r="822">
      <c r="A822" s="5" t="inlineStr">
        <is>
          <t>TOTAL DPS</t>
        </is>
      </c>
      <c r="B822" s="5">
        <f>SUM(O783:O811)</f>
        <v/>
      </c>
    </row>
    <row r="825">
      <c r="A825" s="5" t="inlineStr">
        <is>
          <t>Stat: Skill Level Bonus — 3rd Job</t>
        </is>
      </c>
    </row>
    <row r="826">
      <c r="A826" s="9" t="inlineStr">
        <is>
          <t>Key</t>
        </is>
      </c>
      <c r="B826" s="9" t="inlineStr">
        <is>
          <t>Name</t>
        </is>
      </c>
      <c r="C826" s="9" t="inlineStr">
        <is>
          <t>Unlocked</t>
        </is>
      </c>
      <c r="D826" s="9" t="inlineStr">
        <is>
          <t>InputLevel</t>
        </is>
      </c>
      <c r="E826" s="9" t="inlineStr">
        <is>
          <t>Factor</t>
        </is>
      </c>
      <c r="F826" s="9" t="inlineStr">
        <is>
          <t>CoefficientPercent</t>
        </is>
      </c>
      <c r="G826" s="9" t="inlineStr">
        <is>
          <t>EffectiveHits</t>
        </is>
      </c>
      <c r="H826" s="9" t="inlineStr">
        <is>
          <t>ProcProbability</t>
        </is>
      </c>
      <c r="I826" s="9" t="inlineStr">
        <is>
          <t>MapleHeroMultiplier</t>
        </is>
      </c>
      <c r="J826" s="9" t="inlineStr">
        <is>
          <t>BaseDamage</t>
        </is>
      </c>
      <c r="K826" s="9" t="inlineStr">
        <is>
          <t>BaseHitDamage</t>
        </is>
      </c>
      <c r="L826" s="9" t="inlineStr">
        <is>
          <t>NonCritAvg</t>
        </is>
      </c>
      <c r="M826" s="9" t="inlineStr">
        <is>
          <t>CritAvg</t>
        </is>
      </c>
      <c r="N826" s="9" t="inlineStr">
        <is>
          <t>ExpectedDamage(perHit)</t>
        </is>
      </c>
      <c r="O826" s="9" t="inlineStr">
        <is>
          <t>DPS</t>
        </is>
      </c>
      <c r="P826" s="9" t="inlineStr">
        <is>
          <t>% of Total</t>
        </is>
      </c>
      <c r="Q826" s="9" t="inlineStr">
        <is>
          <t>InvCooldown</t>
        </is>
      </c>
      <c r="R826" s="9" t="inlineStr">
        <is>
          <t>CastsInFight</t>
        </is>
      </c>
      <c r="S826" s="9" t="inlineStr">
        <is>
          <t>HitRate(perSec)</t>
        </is>
      </c>
      <c r="U826" t="inlineStr">
        <is>
          <t>helpers</t>
        </is>
      </c>
    </row>
    <row r="827">
      <c r="A827">
        <f>Skills!A2</f>
        <v/>
      </c>
      <c r="B827">
        <f>Skills!B2</f>
        <v/>
      </c>
      <c r="C827">
        <f>Inputs!$B$3&gt;=100</f>
        <v/>
      </c>
      <c r="D827" t="inlineStr"/>
      <c r="E827" t="inlineStr"/>
      <c r="F827">
        <f>U829+Skills!O2</f>
        <v/>
      </c>
      <c r="G827">
        <f>Skills!G2*IF(Skills!H2&gt;0,Skills!I2/Skills!H2,1)</f>
        <v/>
      </c>
      <c r="H827">
        <f>1-(1-Skills!J2/100)^Skills!K2</f>
        <v/>
      </c>
      <c r="I827" t="inlineStr">
        <is>
          <t>1</t>
        </is>
      </c>
      <c r="J827">
        <f>((Inputs!$B$6*(1+Inputs!$B$7/100))+(((Inputs!$B$12*(1+Inputs!$B$13/100))-(Inputs!$B$12*(1+Inputs!$B$13/100)))+0.25*(Inputs!$B$14-Inputs!$B$14))*(1+Inputs!$B$7/100))*(F827/100)</f>
        <v/>
      </c>
      <c r="K827">
        <f>J827*(1+((Inputs!$B$12*(1+Inputs!$B$13/100))*0.01+Inputs!$B$14*0.0025)/100)*(1+Inputs!$B$15/100)*(1+IF(Inputs!$B$38="pvp",0,(1-Summary!$B$55)*(Inputs!$B$20+0+Skills!P2)+Summary!$B$55*(Inputs!$B$21+Skills!Q2))/100)*(1+Inputs!$B$16/100)*(5000/(6000+Inputs!$B$42*(1-(Inputs!$B$19+((C852=TRUE)*(F852-Calc!F27)))/100)))*(1+(Inputs!$B$24+((C850=TRUE)*(F850-Calc!F25))+((C851=TRUE)*(F851-Calc!F26))+B864)/100)*(1+(IF(Skills!A2="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827)</f>
        <v/>
      </c>
      <c r="L827">
        <f>K827*(MIN(Inputs!$B$22+((C849=TRUE)*(F849-Calc!F24)),Inputs!$B$23+((C854=TRUE)*(F854-Calc!F29)))/100+(Inputs!$B$23+((C854=TRUE)*(F854-Calc!F29)))/100)/2</f>
        <v/>
      </c>
      <c r="M827">
        <f>L827*(1+(Inputs!$B$10+0+B863)/100)</f>
        <v/>
      </c>
      <c r="N827">
        <f>L827*(1-MIN((Inputs!$B$9+((C845=TRUE)*(F845-Calc!F20))+B858),100)/100)+M827*(MIN((Inputs!$B$9+((C845=TRUE)*(F845-Calc!F20))+B858),100)/100)</f>
        <v/>
      </c>
      <c r="O827">
        <f>IF(C827,Skills!G2*N827*B862*IF(Inputs!$B$38="pvp",1,(1-Summary!$B$55)*(1)+Summary!$B$55*(MIN((6+Inputs!$B$33),Inputs!$B$37))),0)</f>
        <v/>
      </c>
      <c r="P827">
        <f>IF(B866=0,0,O827/B866)</f>
        <v/>
      </c>
      <c r="Q827" t="n">
        <v>0</v>
      </c>
      <c r="R827" t="n">
        <v>0</v>
      </c>
      <c r="S827">
        <f>IFERROR(O827/N827,0)</f>
        <v/>
      </c>
      <c r="U827">
        <f>MAX(0,(Inputs!$B$3-100)*3)+Inputs!$B$28+Inputs!$B$29</f>
        <v/>
      </c>
    </row>
    <row r="828">
      <c r="A828">
        <f>Skills!A3</f>
        <v/>
      </c>
      <c r="B828">
        <f>Skills!B3</f>
        <v/>
      </c>
      <c r="C828">
        <f>Inputs!$B$3&gt;=50</f>
        <v/>
      </c>
      <c r="D828">
        <f>IF(Skills!C3=1,60+Inputs!$B$25+Inputs!$B$29,IF(Skills!C3=2,90+Inputs!$B$26+Inputs!$B$29,IF(Skills!C3=3,120+(Inputs!$B$27+1)+Inputs!$B$29,MAX(0,(Inputs!$B$3-100)*3)+Inputs!$B$28+Inputs!$B$29)))</f>
        <v/>
      </c>
      <c r="E828">
        <f>INDEX(FactorTable!$B$2:$Y$301, MATCH(ROUND(MIN(300,MAX(1,D828)),0), FactorTable!$A$2:$A$301,0), Skills!M3+1)</f>
        <v/>
      </c>
      <c r="F828">
        <f>IF(Skills!N3=TRUE,(Skills!L3/10)*(E828/1000),Skills!L3/10)+Skills!O3</f>
        <v/>
      </c>
      <c r="G828" t="inlineStr"/>
      <c r="H828" t="inlineStr"/>
      <c r="I828" t="inlineStr">
        <is>
          <t>1</t>
        </is>
      </c>
      <c r="J828" t="inlineStr"/>
      <c r="K828" t="inlineStr"/>
      <c r="L828" t="inlineStr"/>
      <c r="M828" t="inlineStr"/>
      <c r="N828" t="inlineStr"/>
      <c r="O828" t="inlineStr"/>
      <c r="P828" t="inlineStr"/>
      <c r="Q828" t="inlineStr"/>
      <c r="R828" t="inlineStr"/>
      <c r="S828" t="inlineStr"/>
      <c r="U828">
        <f>INDEX(FactorTable!$B$2:$Y$301, MATCH(ROUND(MIN(300,MAX(1,U827)),0), FactorTable!$A$2:$A$301,0), 22)</f>
        <v/>
      </c>
    </row>
    <row r="829">
      <c r="A829">
        <f>Skills!A4</f>
        <v/>
      </c>
      <c r="B829">
        <f>Skills!B4</f>
        <v/>
      </c>
      <c r="C829">
        <f>Inputs!$B$3&gt;=105</f>
        <v/>
      </c>
      <c r="D829">
        <f>IF(Skills!C4=1,60+Inputs!$B$25+Inputs!$B$29,IF(Skills!C4=2,90+Inputs!$B$26+Inputs!$B$29,IF(Skills!C4=3,120+(Inputs!$B$27+1)+Inputs!$B$29,MAX(0,(Inputs!$B$3-100)*3)+Inputs!$B$28+Inputs!$B$29)))</f>
        <v/>
      </c>
      <c r="E829">
        <f>INDEX(FactorTable!$B$2:$Y$301, MATCH(ROUND(MIN(300,MAX(1,D829)),0), FactorTable!$A$2:$A$301,0), Skills!M4+1)</f>
        <v/>
      </c>
      <c r="F829">
        <f>IF(Skills!N4=TRUE,(Skills!L4/10)*(E829/1000),Skills!L4/10)+Skills!O4</f>
        <v/>
      </c>
      <c r="G829" t="inlineStr"/>
      <c r="H829" t="inlineStr"/>
      <c r="I829" t="inlineStr">
        <is>
          <t>1</t>
        </is>
      </c>
      <c r="J829" t="inlineStr"/>
      <c r="K829" t="inlineStr"/>
      <c r="L829" t="inlineStr"/>
      <c r="M829" t="inlineStr"/>
      <c r="N829" t="inlineStr"/>
      <c r="O829" t="inlineStr"/>
      <c r="P829" t="inlineStr"/>
      <c r="Q829" t="inlineStr"/>
      <c r="R829" t="inlineStr"/>
      <c r="S829" t="inlineStr"/>
      <c r="U829">
        <f>290*U828/1000</f>
        <v/>
      </c>
    </row>
    <row r="830">
      <c r="A830">
        <f>Skills!A5</f>
        <v/>
      </c>
      <c r="B830">
        <f>Skills!B5</f>
        <v/>
      </c>
      <c r="C830">
        <f>Inputs!$B$3&gt;=35</f>
        <v/>
      </c>
      <c r="D830">
        <f>IF(Skills!C5=1,60+Inputs!$B$25+Inputs!$B$29,IF(Skills!C5=2,90+Inputs!$B$26+Inputs!$B$29,IF(Skills!C5=3,120+(Inputs!$B$27+1)+Inputs!$B$29,MAX(0,(Inputs!$B$3-100)*3)+Inputs!$B$28+Inputs!$B$29)))</f>
        <v/>
      </c>
      <c r="E830">
        <f>INDEX(FactorTable!$B$2:$Y$301, MATCH(ROUND(MIN(300,MAX(1,D830)),0), FactorTable!$A$2:$A$301,0), Skills!M5+1)</f>
        <v/>
      </c>
      <c r="F830">
        <f>IF(Skills!N5=TRUE,(Skills!L5/10)*(E830/1000),Skills!L5/10)+Skills!O5</f>
        <v/>
      </c>
      <c r="G830">
        <f>Skills!G5*IF(Skills!H5&gt;0,Skills!I5/Skills!H5,1)</f>
        <v/>
      </c>
      <c r="H830">
        <f>1-(1-Skills!J5/100)^Skills!K5</f>
        <v/>
      </c>
      <c r="I830" t="inlineStr">
        <is>
          <t>1</t>
        </is>
      </c>
      <c r="J830">
        <f>((Inputs!$B$6*(1+Inputs!$B$7/100))+(((Inputs!$B$12*(1+Inputs!$B$13/100))-(Inputs!$B$12*(1+Inputs!$B$13/100)))+0.25*(Inputs!$B$14-Inputs!$B$14))*(1+Inputs!$B$7/100))*(F830/100)</f>
        <v/>
      </c>
      <c r="K830">
        <f>J830*(1+((Inputs!$B$12*(1+Inputs!$B$13/100))*0.01+Inputs!$B$14*0.0025)/100)*(1+Inputs!$B$15/100)*(1+IF(Inputs!$B$38="pvp",0,(1-Summary!$B$55)*(Inputs!$B$20+0+Skills!P5)+Summary!$B$55*(Inputs!$B$21+Skills!Q5))/100)*(1+Inputs!$B$16/100)*(5000/(6000+Inputs!$B$42*(1-(Inputs!$B$19+((C852=TRUE)*(F852-Calc!F27)))/100)))*(1+(Inputs!$B$24+((C850=TRUE)*(F850-Calc!F25))+((C851=TRUE)*(F851-Calc!F26))+B864)/100)*(1+4.0*IF(C835=TRUE,F835,0)/100)*(1+(IF(Skills!A5="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830)</f>
        <v/>
      </c>
      <c r="L830">
        <f>K830*(MIN(Inputs!$B$22+((C849=TRUE)*(F849-Calc!F24)),Inputs!$B$23+((C854=TRUE)*(F854-Calc!F29)))/100+(Inputs!$B$23+((C854=TRUE)*(F854-Calc!F29)))/100)/2</f>
        <v/>
      </c>
      <c r="M830">
        <f>L830*(1+(Inputs!$B$10+0+B863)/100)</f>
        <v/>
      </c>
      <c r="N830">
        <f>L830*(1-MIN((Inputs!$B$9+((C845=TRUE)*(F845-Calc!F20))+B858),100)/100)+M830*(MIN((Inputs!$B$9+((C845=TRUE)*(F845-Calc!F20))+B858),100)/100)</f>
        <v/>
      </c>
      <c r="O830">
        <f>IF(C830,H830*N830*IF(AND(Inputs!$B$38&lt;&gt;"pvp",Inputs!$B$43&gt;0),((Skills!G5*((R830-1)*IF(Skills!H5&gt;0,Skills!I5/Skills!H5,1)+IF(Skills!H5&gt;0,MIN(Skills!I5,MAX(0,MAX(0,Inputs!$B$43-B865)-((R830-1)*IF(Inputs!$B$38="pvp",15,MAX(0.1,Skills!D5-IF(Skills!E5=TRUE,Inputs!$B$32,0))))))/Skills!H5,1)))/Inputs!$B$43),G830*Q830)*IF(Inputs!$B$38="pvp",1,(1-Summary!$B$55)*(1)+Summary!$B$55*(MIN(Skills!R5,Inputs!$B$37))),0)</f>
        <v/>
      </c>
      <c r="P830">
        <f>IF(B866=0,0,O830/B866)</f>
        <v/>
      </c>
      <c r="Q830">
        <f>IFERROR(1/IF(Inputs!$B$38="pvp",15,MAX(0.1,Skills!D5-IF(Skills!E5=TRUE,Inputs!$B$32,0))),0)</f>
        <v/>
      </c>
      <c r="R830">
        <f>IF(AND(Inputs!$B$38&lt;&gt;"pvp",Inputs!$B$43&gt;0),IF(MAX(0,Inputs!$B$43-B865)&lt;=0,0,(INT(MAX(0,Inputs!$B$43-B865)/IF(Inputs!$B$38="pvp",15,MAX(0.1,Skills!D5-IF(Skills!E5=TRUE,Inputs!$B$32,0))))+1)),0)</f>
        <v/>
      </c>
      <c r="S830">
        <f>IFERROR(O830/N830,0)</f>
        <v/>
      </c>
    </row>
    <row r="831">
      <c r="A831">
        <f>Skills!A6</f>
        <v/>
      </c>
      <c r="B831">
        <f>Skills!B6</f>
        <v/>
      </c>
      <c r="C831">
        <f>Inputs!$B$3&gt;=40</f>
        <v/>
      </c>
      <c r="D831">
        <f>IF(Skills!C6=1,60+Inputs!$B$25+Inputs!$B$29,IF(Skills!C6=2,90+Inputs!$B$26+Inputs!$B$29,IF(Skills!C6=3,120+(Inputs!$B$27+1)+Inputs!$B$29,MAX(0,(Inputs!$B$3-100)*3)+Inputs!$B$28+Inputs!$B$29)))</f>
        <v/>
      </c>
      <c r="E831">
        <f>INDEX(FactorTable!$B$2:$Y$301, MATCH(ROUND(MIN(300,MAX(1,D831)),0), FactorTable!$A$2:$A$301,0), Skills!M6+1)</f>
        <v/>
      </c>
      <c r="F831">
        <f>IF(Skills!N6=TRUE,(Skills!L6/10)*(E831/1000),Skills!L6/10)+Skills!O6</f>
        <v/>
      </c>
      <c r="G831">
        <f>Skills!G6*IF(Skills!H6&gt;0,Skills!I6/Skills!H6,1)</f>
        <v/>
      </c>
      <c r="H831">
        <f>1-(1-Skills!J6/100)^Skills!K6</f>
        <v/>
      </c>
      <c r="I831" t="inlineStr">
        <is>
          <t>1</t>
        </is>
      </c>
      <c r="J831">
        <f>((Inputs!$B$6*(1+Inputs!$B$7/100))+(((Inputs!$B$12*(1+Inputs!$B$13/100))-(Inputs!$B$12*(1+Inputs!$B$13/100)))+0.25*(Inputs!$B$14-Inputs!$B$14))*(1+Inputs!$B$7/100))*(F831/100)</f>
        <v/>
      </c>
      <c r="K831">
        <f>J831*(1+((Inputs!$B$12*(1+Inputs!$B$13/100))*0.01+Inputs!$B$14*0.0025)/100)*(1+Inputs!$B$15/100)*(1+IF(Inputs!$B$38="pvp",0,(1-Summary!$B$55)*(Inputs!$B$20+0+Skills!P6)+Summary!$B$55*(Inputs!$B$21+Skills!Q6))/100)*(1+Inputs!$B$16/100)*(5000/(6000+Inputs!$B$42*(1-(Inputs!$B$19+((C852=TRUE)*(F852-Calc!F27)))/100)))*(1+(Inputs!$B$24+((C850=TRUE)*(F850-Calc!F25))+((C851=TRUE)*(F851-Calc!F26))+B864)/100)*(1+IF(C832=TRUE,F832,0)/100)*(1+(IF(Skills!A6="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831)</f>
        <v/>
      </c>
      <c r="L831">
        <f>K831*(MIN(Inputs!$B$22+((C849=TRUE)*(F849-Calc!F24)),Inputs!$B$23+((C854=TRUE)*(F854-Calc!F29)))/100+(Inputs!$B$23+((C854=TRUE)*(F854-Calc!F29)))/100)/2</f>
        <v/>
      </c>
      <c r="M831">
        <f>L831*(1+(Inputs!$B$10+0+B863)/100)</f>
        <v/>
      </c>
      <c r="N831">
        <f>L831*(1-MIN((Inputs!$B$9+((C845=TRUE)*(F845-Calc!F20))+B858),100)/100)+M831*(MIN((Inputs!$B$9+((C845=TRUE)*(F845-Calc!F20))+B858),100)/100)</f>
        <v/>
      </c>
      <c r="O831">
        <f>IF(C831,H831*N831*IF(AND(Inputs!$B$38&lt;&gt;"pvp",Inputs!$B$43&gt;0),((Skills!G6*((R831-1)*IF(Skills!H6&gt;0,Skills!I6/Skills!H6,1)+IF(Skills!H6&gt;0,MIN(Skills!I6,MAX(0,MAX(0,Inputs!$B$43-B865)-((R831-1)*IF(Inputs!$B$38="pvp",15,MAX(0.1,Skills!D6-IF(Skills!E6=TRUE,Inputs!$B$32,0))))))/Skills!H6,1)))/Inputs!$B$43),G831*Q831)*IF(Inputs!$B$38="pvp",1,(1-Summary!$B$55)*(1)+Summary!$B$55*(MIN(Skills!R6,Inputs!$B$37))),0)</f>
        <v/>
      </c>
      <c r="P831">
        <f>IF(B866=0,0,O831/B866)</f>
        <v/>
      </c>
      <c r="Q831">
        <f>IFERROR(1/IF(Inputs!$B$38="pvp",15,MAX(0.1,Skills!D6-IF(Skills!E6=TRUE,Inputs!$B$32,0))),0)</f>
        <v/>
      </c>
      <c r="R831">
        <f>IF(AND(Inputs!$B$38&lt;&gt;"pvp",Inputs!$B$43&gt;0),IF(MAX(0,Inputs!$B$43-B865)&lt;=0,0,(INT(MAX(0,Inputs!$B$43-B865)/IF(Inputs!$B$38="pvp",15,MAX(0.1,Skills!D6-IF(Skills!E6=TRUE,Inputs!$B$32,0))))+1)),0)</f>
        <v/>
      </c>
      <c r="S831">
        <f>IFERROR(O831/N831,0)</f>
        <v/>
      </c>
    </row>
    <row r="832">
      <c r="A832">
        <f>Skills!A7</f>
        <v/>
      </c>
      <c r="B832">
        <f>Skills!B7</f>
        <v/>
      </c>
      <c r="C832">
        <f>Inputs!$B$3&gt;=107</f>
        <v/>
      </c>
      <c r="D832">
        <f>IF(Skills!C7=1,60+Inputs!$B$25+Inputs!$B$29,IF(Skills!C7=2,90+Inputs!$B$26+Inputs!$B$29,IF(Skills!C7=3,120+(Inputs!$B$27+1)+Inputs!$B$29,MAX(0,(Inputs!$B$3-100)*3)+Inputs!$B$28+Inputs!$B$29)))</f>
        <v/>
      </c>
      <c r="E832">
        <f>INDEX(FactorTable!$B$2:$Y$301, MATCH(ROUND(MIN(300,MAX(1,D832)),0), FactorTable!$A$2:$A$301,0), Skills!M7+1)</f>
        <v/>
      </c>
      <c r="F832">
        <f>IF(Skills!N7=TRUE,(Skills!L7/10)*(E832/1000),Skills!L7/10)+Skills!O7</f>
        <v/>
      </c>
      <c r="G832" t="inlineStr"/>
      <c r="H832" t="inlineStr"/>
      <c r="I832" t="inlineStr">
        <is>
          <t>1</t>
        </is>
      </c>
      <c r="J832" t="inlineStr"/>
      <c r="K832" t="inlineStr"/>
      <c r="L832" t="inlineStr"/>
      <c r="M832" t="inlineStr"/>
      <c r="N832" t="inlineStr"/>
      <c r="O832" t="inlineStr"/>
      <c r="P832" t="inlineStr"/>
      <c r="Q832" t="inlineStr"/>
      <c r="R832" t="inlineStr"/>
      <c r="S832" t="inlineStr"/>
    </row>
    <row r="833">
      <c r="A833">
        <f>Skills!A8</f>
        <v/>
      </c>
      <c r="B833">
        <f>Skills!B8</f>
        <v/>
      </c>
      <c r="C833">
        <f>Inputs!$B$3&gt;=69</f>
        <v/>
      </c>
      <c r="D833">
        <f>IF(Skills!C8=1,60+Inputs!$B$25+Inputs!$B$29,IF(Skills!C8=2,90+Inputs!$B$26+Inputs!$B$29,IF(Skills!C8=3,120+(Inputs!$B$27+1)+Inputs!$B$29,MAX(0,(Inputs!$B$3-100)*3)+Inputs!$B$28+Inputs!$B$29)))</f>
        <v/>
      </c>
      <c r="E833">
        <f>INDEX(FactorTable!$B$2:$Y$301, MATCH(ROUND(MIN(300,MAX(1,D833)),0), FactorTable!$A$2:$A$301,0), Skills!M8+1)</f>
        <v/>
      </c>
      <c r="F833">
        <f>IF(Skills!N8=TRUE,(Skills!L8/10)*(E833/1000),Skills!L8/10)+Skills!O8</f>
        <v/>
      </c>
      <c r="G833">
        <f>Skills!G8*IF(Skills!H8&gt;0,Skills!I8/Skills!H8,1)</f>
        <v/>
      </c>
      <c r="H833">
        <f>1-(1-Skills!J8/100)^Skills!K8</f>
        <v/>
      </c>
      <c r="I833" t="inlineStr">
        <is>
          <t>1</t>
        </is>
      </c>
      <c r="J833">
        <f>((Inputs!$B$6*(1+Inputs!$B$7/100))+(((Inputs!$B$12*(1+Inputs!$B$13/100))-(Inputs!$B$12*(1+Inputs!$B$13/100)))+0.25*(Inputs!$B$14-Inputs!$B$14))*(1+Inputs!$B$7/100))*(F833/100)</f>
        <v/>
      </c>
      <c r="K833">
        <f>J833*(1+((Inputs!$B$12*(1+Inputs!$B$13/100))*0.01+Inputs!$B$14*0.0025)/100)*(1+Inputs!$B$15/100)*(1+IF(Inputs!$B$38="pvp",0,(1-Summary!$B$55)*(Inputs!$B$20+0+Skills!P8)+Summary!$B$55*(Inputs!$B$21+Skills!Q8))/100)*(1+Inputs!$B$16/100)*(5000/(6000+Inputs!$B$42*(1-(Inputs!$B$19+((C852=TRUE)*(F852-Calc!F27)))/100)))*(1+(Inputs!$B$24+((C850=TRUE)*(F850-Calc!F25))+((C851=TRUE)*(F851-Calc!F26))+B864)/100)*(1+1.2*IF(C835=TRUE,F835,0)/100)*(1+(IF(Skills!A8="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833)</f>
        <v/>
      </c>
      <c r="L833">
        <f>K833*(MIN(Inputs!$B$22+((C849=TRUE)*(F849-Calc!F24)),Inputs!$B$23+((C854=TRUE)*(F854-Calc!F29)))/100+(Inputs!$B$23+((C854=TRUE)*(F854-Calc!F29)))/100)/2</f>
        <v/>
      </c>
      <c r="M833">
        <f>L833*(1+(Inputs!$B$10+0+B863)/100)</f>
        <v/>
      </c>
      <c r="N833">
        <f>L833*(1-MIN((Inputs!$B$9+((C845=TRUE)*(F845-Calc!F20))+B858),100)/100)+M833*(MIN((Inputs!$B$9+((C845=TRUE)*(F845-Calc!F20))+B858),100)/100)</f>
        <v/>
      </c>
      <c r="O833">
        <f>IF(C833,H833*N833*IF(AND(Inputs!$B$38&lt;&gt;"pvp",Inputs!$B$43&gt;0),((Skills!G8*((R833-1)*IF(Skills!H8&gt;0,Skills!I8/Skills!H8,1)+IF(Skills!H8&gt;0,MIN(Skills!I8,MAX(0,MAX(0,Inputs!$B$43-B865)-((R833-1)*IF(Inputs!$B$38="pvp",15,MAX(0.1,Skills!D8-IF(Skills!E8=TRUE,Inputs!$B$32,0))))))/Skills!H8,1)))/Inputs!$B$43),G833*Q833)*IF(Inputs!$B$38="pvp",1,(1-Summary!$B$55)*(1)+Summary!$B$55*(MIN(Skills!R8,Inputs!$B$37))),0)</f>
        <v/>
      </c>
      <c r="P833">
        <f>IF(B866=0,0,O833/B866)</f>
        <v/>
      </c>
      <c r="Q833">
        <f>IFERROR(1/IF(Inputs!$B$38="pvp",15,MAX(0.1,Skills!D8-IF(Skills!E8=TRUE,Inputs!$B$32,0))),0)</f>
        <v/>
      </c>
      <c r="R833">
        <f>IF(AND(Inputs!$B$38&lt;&gt;"pvp",Inputs!$B$43&gt;0),IF(MAX(0,Inputs!$B$43-B865)&lt;=0,0,(INT(MAX(0,Inputs!$B$43-B865)/IF(Inputs!$B$38="pvp",15,MAX(0.1,Skills!D8-IF(Skills!E8=TRUE,Inputs!$B$32,0))))+1)),0)</f>
        <v/>
      </c>
      <c r="S833">
        <f>IFERROR(O833/N833,0)</f>
        <v/>
      </c>
    </row>
    <row r="834">
      <c r="A834">
        <f>Skills!A9</f>
        <v/>
      </c>
      <c r="B834">
        <f>Skills!B9</f>
        <v/>
      </c>
      <c r="C834">
        <f>Inputs!$B$3&gt;=63</f>
        <v/>
      </c>
      <c r="D834">
        <f>IF(Skills!C9=1,60+Inputs!$B$25+Inputs!$B$29,IF(Skills!C9=2,90+Inputs!$B$26+Inputs!$B$29,IF(Skills!C9=3,120+(Inputs!$B$27+1)+Inputs!$B$29,MAX(0,(Inputs!$B$3-100)*3)+Inputs!$B$28+Inputs!$B$29)))</f>
        <v/>
      </c>
      <c r="E834">
        <f>INDEX(FactorTable!$B$2:$Y$301, MATCH(ROUND(MIN(300,MAX(1,D834)),0), FactorTable!$A$2:$A$301,0), Skills!M9+1)</f>
        <v/>
      </c>
      <c r="F834">
        <f>IF(Skills!N9=TRUE,(Skills!L9/10)*(E834/1000),Skills!L9/10)+Skills!O9</f>
        <v/>
      </c>
      <c r="G834">
        <f>Skills!G9*IF(Skills!H9&gt;0,Skills!I9/Skills!H9,1)</f>
        <v/>
      </c>
      <c r="H834">
        <f>1-(1-Skills!J9/100)^Skills!K9</f>
        <v/>
      </c>
      <c r="I834" t="inlineStr">
        <is>
          <t>1</t>
        </is>
      </c>
      <c r="J834">
        <f>((Inputs!$B$6*(1+Inputs!$B$7/100))+(((Inputs!$B$12*(1+Inputs!$B$13/100))-(Inputs!$B$12*(1+Inputs!$B$13/100)))+0.25*(Inputs!$B$14-Inputs!$B$14))*(1+Inputs!$B$7/100))*(F834/100)</f>
        <v/>
      </c>
      <c r="K834">
        <f>J834*(1+((Inputs!$B$12*(1+Inputs!$B$13/100))*0.01+Inputs!$B$14*0.0025)/100)*(1+Inputs!$B$15/100)*(1+IF(Inputs!$B$38="pvp",0,(1-Summary!$B$55)*(Inputs!$B$20+0+Skills!P9)+Summary!$B$55*(Inputs!$B$21+Skills!Q9))/100)*(1+Inputs!$B$16/100)*(5000/(6000+Inputs!$B$42*(1-(Inputs!$B$19+((C852=TRUE)*(F852-Calc!F27)))/100)))*(1+(Inputs!$B$24+((C850=TRUE)*(F850-Calc!F25))+((C851=TRUE)*(F851-Calc!F26))+B864)/100)*(1+1.0*IF(C835=TRUE,F835,0)/100)*(1+(IF(Skills!A9="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834)</f>
        <v/>
      </c>
      <c r="L834">
        <f>K834*(MIN(Inputs!$B$22+((C849=TRUE)*(F849-Calc!F24)),Inputs!$B$23+((C854=TRUE)*(F854-Calc!F29)))/100+(Inputs!$B$23+((C854=TRUE)*(F854-Calc!F29)))/100)/2</f>
        <v/>
      </c>
      <c r="M834">
        <f>L834*(1+(Inputs!$B$10+0+B863)/100)</f>
        <v/>
      </c>
      <c r="N834">
        <f>L834*(1-MIN((Inputs!$B$9+((C845=TRUE)*(F845-Calc!F20))+B858),100)/100)+M834*(MIN((Inputs!$B$9+((C845=TRUE)*(F845-Calc!F20))+B858),100)/100)</f>
        <v/>
      </c>
      <c r="O834">
        <f>IF(C834,H834*N834*IF(AND(Inputs!$B$38&lt;&gt;"pvp",Inputs!$B$43&gt;0),((Skills!G9*((R834-1)*IF(Skills!H9&gt;0,Skills!I9/Skills!H9,1)+IF(Skills!H9&gt;0,MIN(Skills!I9,MAX(0,MAX(0,Inputs!$B$43-B865)-((R834-1)*IF(Inputs!$B$38="pvp",15,MAX(0.1,Skills!D9-IF(Skills!E9=TRUE,Inputs!$B$32,0))))))/Skills!H9,1)))/Inputs!$B$43),G834*Q834)*IF(Inputs!$B$38="pvp",1,(1-Summary!$B$55)*(1)+Summary!$B$55*(MIN(Skills!R9,Inputs!$B$37))),0)</f>
        <v/>
      </c>
      <c r="P834">
        <f>IF(B866=0,0,O834/B866)</f>
        <v/>
      </c>
      <c r="Q834">
        <f>IFERROR(1/IF(Inputs!$B$38="pvp",15,MAX(0.1,Skills!D9-IF(Skills!E9=TRUE,Inputs!$B$32,0))),0)</f>
        <v/>
      </c>
      <c r="R834">
        <f>IF(AND(Inputs!$B$38&lt;&gt;"pvp",Inputs!$B$43&gt;0),IF(MAX(0,Inputs!$B$43-B865)&lt;=0,0,(INT(MAX(0,Inputs!$B$43-B865)/IF(Inputs!$B$38="pvp",15,MAX(0.1,Skills!D9-IF(Skills!E9=TRUE,Inputs!$B$32,0))))+1)),0)</f>
        <v/>
      </c>
      <c r="S834">
        <f>IFERROR(O834/N834,0)</f>
        <v/>
      </c>
    </row>
    <row r="835">
      <c r="A835">
        <f>Skills!A10</f>
        <v/>
      </c>
      <c r="B835">
        <f>Skills!B10</f>
        <v/>
      </c>
      <c r="C835">
        <f>Inputs!$B$3&gt;=100</f>
        <v/>
      </c>
      <c r="D835">
        <f>IF(Skills!C10=1,60+Inputs!$B$25+Inputs!$B$29,IF(Skills!C10=2,90+Inputs!$B$26+Inputs!$B$29,IF(Skills!C10=3,120+(Inputs!$B$27+1)+Inputs!$B$29,MAX(0,(Inputs!$B$3-100)*3)+Inputs!$B$28+Inputs!$B$29)))</f>
        <v/>
      </c>
      <c r="E835">
        <f>INDEX(FactorTable!$B$2:$Y$301, MATCH(ROUND(MIN(300,MAX(1,D835)),0), FactorTable!$A$2:$A$301,0), Skills!M10+1)</f>
        <v/>
      </c>
      <c r="F835">
        <f>IF(Skills!N10=TRUE,(Skills!L10/10)*(E835/1000),Skills!L10/10)+Skills!O10</f>
        <v/>
      </c>
      <c r="G835" t="inlineStr"/>
      <c r="H835" t="inlineStr"/>
      <c r="I835" t="inlineStr">
        <is>
          <t>1</t>
        </is>
      </c>
      <c r="J835" t="inlineStr"/>
      <c r="K835" t="inlineStr"/>
      <c r="L835" t="inlineStr"/>
      <c r="M835" t="inlineStr"/>
      <c r="N835" t="inlineStr"/>
      <c r="O835" t="inlineStr"/>
      <c r="P835" t="inlineStr"/>
      <c r="Q835" t="inlineStr"/>
      <c r="R835" t="inlineStr"/>
      <c r="S835" t="inlineStr"/>
    </row>
    <row r="836">
      <c r="A836">
        <f>Skills!A11</f>
        <v/>
      </c>
      <c r="B836">
        <f>Skills!B11</f>
        <v/>
      </c>
      <c r="C836">
        <f>Inputs!$B$3&gt;=60</f>
        <v/>
      </c>
      <c r="D836">
        <f>IF(Skills!C11=1,60+Inputs!$B$25+Inputs!$B$29,IF(Skills!C11=2,90+Inputs!$B$26+Inputs!$B$29,IF(Skills!C11=3,120+(Inputs!$B$27+1)+Inputs!$B$29,MAX(0,(Inputs!$B$3-100)*3)+Inputs!$B$28+Inputs!$B$29)))</f>
        <v/>
      </c>
      <c r="E836">
        <f>INDEX(FactorTable!$B$2:$Y$301, MATCH(ROUND(MIN(300,MAX(1,D836)),0), FactorTable!$A$2:$A$301,0), Skills!M11+1)</f>
        <v/>
      </c>
      <c r="F836">
        <f>IF(Skills!N11=TRUE,(Skills!L11/10)*(E836/1000),Skills!L11/10)+Skills!O11</f>
        <v/>
      </c>
      <c r="G836">
        <f>Skills!G11*IF(Skills!H11&gt;0,Skills!I11/Skills!H11,1)</f>
        <v/>
      </c>
      <c r="H836">
        <f>1-(1-Skills!J11/100)^Skills!K11</f>
        <v/>
      </c>
      <c r="I836" t="inlineStr">
        <is>
          <t>1</t>
        </is>
      </c>
      <c r="J836">
        <f>((Inputs!$B$6*(1+Inputs!$B$7/100))+(((Inputs!$B$12*(1+Inputs!$B$13/100))-(Inputs!$B$12*(1+Inputs!$B$13/100)))+0.25*(Inputs!$B$14-Inputs!$B$14))*(1+Inputs!$B$7/100))*(F836/100)</f>
        <v/>
      </c>
      <c r="K836">
        <f>J836*(1+((Inputs!$B$12*(1+Inputs!$B$13/100))*0.01+Inputs!$B$14*0.0025)/100)*(1+Inputs!$B$15/100)*(1+IF(Inputs!$B$38="pvp",0,(1-Summary!$B$55)*(Inputs!$B$20+0+Skills!P11)+Summary!$B$55*(Inputs!$B$21+Skills!Q11))/100)*(1+Inputs!$B$16/100)*(5000/(6000+Inputs!$B$42*(1-(Inputs!$B$19+((C852=TRUE)*(F852-Calc!F27)))/100)))*(1+(Inputs!$B$24+((C850=TRUE)*(F850-Calc!F25))+((C851=TRUE)*(F851-Calc!F26))+B864)/100)*(1+IF(C837=TRUE,F837,0)/100)*(1+(IF(Skills!A11="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836)</f>
        <v/>
      </c>
      <c r="L836">
        <f>K836*(MIN(Inputs!$B$22+((C849=TRUE)*(F849-Calc!F24)),Inputs!$B$23+((C854=TRUE)*(F854-Calc!F29)))/100+(Inputs!$B$23+((C854=TRUE)*(F854-Calc!F29)))/100)/2</f>
        <v/>
      </c>
      <c r="M836">
        <f>L836*(1+(Inputs!$B$10+0+B863)/100)</f>
        <v/>
      </c>
      <c r="N836">
        <f>L836*(1-MIN((Inputs!$B$9+((C845=TRUE)*(F845-Calc!F20))+B858),100)/100)+M836*(MIN((Inputs!$B$9+((C845=TRUE)*(F845-Calc!F20))+B858),100)/100)</f>
        <v/>
      </c>
      <c r="O836">
        <f>IF(C836,H836*N836*IF(AND(Inputs!$B$38&lt;&gt;"pvp",Inputs!$B$43&gt;0),((Skills!G11*((R836-1)*IF(Skills!H11&gt;0,Skills!I11/Skills!H11,1)+IF(Skills!H11&gt;0,MIN(Skills!I11,MAX(0,MAX(0,Inputs!$B$43-B865)-((R836-1)*IF(Inputs!$B$38="pvp",15,MAX(0.1,Skills!D11-IF(Skills!E11=TRUE,Inputs!$B$32,0))))))/Skills!H11,1)))/Inputs!$B$43),G836*Q836)*IF(Inputs!$B$38="pvp",1,(1-Summary!$B$55)*(1)+Summary!$B$55*(MIN(Skills!R11,Inputs!$B$37))),0)</f>
        <v/>
      </c>
      <c r="P836">
        <f>IF(B866=0,0,O836/B866)</f>
        <v/>
      </c>
      <c r="Q836">
        <f>IFERROR(1/IF(Inputs!$B$38="pvp",15,MAX(0.1,Skills!D11-IF(Skills!E11=TRUE,Inputs!$B$32,0))),0)</f>
        <v/>
      </c>
      <c r="R836">
        <f>IF(AND(Inputs!$B$38&lt;&gt;"pvp",Inputs!$B$43&gt;0),IF(MAX(0,Inputs!$B$43-B865)&lt;=0,0,(INT(MAX(0,Inputs!$B$43-B865)/IF(Inputs!$B$38="pvp",15,MAX(0.1,Skills!D11-IF(Skills!E11=TRUE,Inputs!$B$32,0))))+1)),0)</f>
        <v/>
      </c>
      <c r="S836">
        <f>IFERROR(O836/N836,0)</f>
        <v/>
      </c>
    </row>
    <row r="837">
      <c r="A837">
        <f>Skills!A12</f>
        <v/>
      </c>
      <c r="B837">
        <f>Skills!B12</f>
        <v/>
      </c>
      <c r="C837">
        <f>Inputs!$B$3&gt;=110</f>
        <v/>
      </c>
      <c r="D837">
        <f>IF(Skills!C12=1,60+Inputs!$B$25+Inputs!$B$29,IF(Skills!C12=2,90+Inputs!$B$26+Inputs!$B$29,IF(Skills!C12=3,120+(Inputs!$B$27+1)+Inputs!$B$29,MAX(0,(Inputs!$B$3-100)*3)+Inputs!$B$28+Inputs!$B$29)))</f>
        <v/>
      </c>
      <c r="E837">
        <f>INDEX(FactorTable!$B$2:$Y$301, MATCH(ROUND(MIN(300,MAX(1,D837)),0), FactorTable!$A$2:$A$301,0), Skills!M12+1)</f>
        <v/>
      </c>
      <c r="F837">
        <f>IF(Skills!N12=TRUE,(Skills!L12/10)*(E837/1000),Skills!L12/10)+Skills!O12</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Skills!A13</f>
        <v/>
      </c>
      <c r="B838">
        <f>Skills!B13</f>
        <v/>
      </c>
      <c r="C838">
        <f>Inputs!$B$3&gt;=74</f>
        <v/>
      </c>
      <c r="D838">
        <f>IF(Skills!C13=1,60+Inputs!$B$25+Inputs!$B$29,IF(Skills!C13=2,90+Inputs!$B$26+Inputs!$B$29,IF(Skills!C13=3,120+(Inputs!$B$27+1)+Inputs!$B$29,MAX(0,(Inputs!$B$3-100)*3)+Inputs!$B$28+Inputs!$B$29)))</f>
        <v/>
      </c>
      <c r="E838">
        <f>INDEX(FactorTable!$B$2:$Y$301, MATCH(ROUND(MIN(300,MAX(1,D838)),0), FactorTable!$A$2:$A$301,0), Skills!M13+1)</f>
        <v/>
      </c>
      <c r="F838">
        <f>IF(Skills!N13=TRUE,(Skills!L13/10)*(E838/1000),Skills!L13/10)+Skills!O13</f>
        <v/>
      </c>
      <c r="G838">
        <f>Skills!G13*IF(Skills!H13&gt;0,Skills!I13/Skills!H13,1)</f>
        <v/>
      </c>
      <c r="H838">
        <f>1-(1-Skills!J13/100)^Skills!K13</f>
        <v/>
      </c>
      <c r="I838" t="inlineStr">
        <is>
          <t>1</t>
        </is>
      </c>
      <c r="J838" t="inlineStr"/>
      <c r="K838" t="inlineStr"/>
      <c r="L838" t="inlineStr"/>
      <c r="M838" t="inlineStr"/>
      <c r="N838" t="inlineStr"/>
      <c r="O838" t="n">
        <v>0</v>
      </c>
      <c r="P838">
        <f>IF(B866=0,0,O838/B866)</f>
        <v/>
      </c>
      <c r="Q838" t="n">
        <v>0</v>
      </c>
      <c r="R838" t="n">
        <v>0</v>
      </c>
      <c r="S838">
        <f>IFERROR(O838/N838,0)</f>
        <v/>
      </c>
    </row>
    <row r="839">
      <c r="A839">
        <f>Skills!A14</f>
        <v/>
      </c>
      <c r="B839">
        <f>Skills!B14</f>
        <v/>
      </c>
      <c r="C839">
        <f>Inputs!$B$3&gt;=74</f>
        <v/>
      </c>
      <c r="D839">
        <f>IF(Skills!C14=1,60+Inputs!$B$25+Inputs!$B$29,IF(Skills!C14=2,90+Inputs!$B$26+Inputs!$B$29,IF(Skills!C14=3,120+(Inputs!$B$27+1)+Inputs!$B$29,MAX(0,(Inputs!$B$3-100)*3)+Inputs!$B$28+Inputs!$B$29)))</f>
        <v/>
      </c>
      <c r="E839">
        <f>INDEX(FactorTable!$B$2:$Y$301, MATCH(ROUND(MIN(300,MAX(1,D839)),0), FactorTable!$A$2:$A$301,0), Skills!M14+1)</f>
        <v/>
      </c>
      <c r="F839">
        <f>IF(Skills!N14=TRUE,(Skills!L14/10)*(E839/1000),Skills!L14/10)+Skills!O14</f>
        <v/>
      </c>
      <c r="G839">
        <f>Skills!G14*IF(Skills!H14&gt;0,Skills!I14/Skills!H14,1)</f>
        <v/>
      </c>
      <c r="H839">
        <f>1-(1-Skills!J14/100)^Skills!K14</f>
        <v/>
      </c>
      <c r="I839" t="inlineStr">
        <is>
          <t>1</t>
        </is>
      </c>
      <c r="J839" t="inlineStr"/>
      <c r="K839" t="inlineStr"/>
      <c r="L839" t="inlineStr"/>
      <c r="M839" t="inlineStr"/>
      <c r="N839" t="inlineStr"/>
      <c r="O839" t="n">
        <v>0</v>
      </c>
      <c r="P839">
        <f>IF(B866=0,0,O839/B866)</f>
        <v/>
      </c>
      <c r="Q839" t="n">
        <v>0</v>
      </c>
      <c r="R839" t="n">
        <v>0</v>
      </c>
      <c r="S839">
        <f>IFERROR(O839/N839,0)</f>
        <v/>
      </c>
    </row>
    <row r="840">
      <c r="A840">
        <f>Skills!A15</f>
        <v/>
      </c>
      <c r="B840">
        <f>Skills!B15</f>
        <v/>
      </c>
      <c r="C840">
        <f>Inputs!$B$3&gt;=117</f>
        <v/>
      </c>
      <c r="D840">
        <f>IF(Skills!C15=1,60+Inputs!$B$25+Inputs!$B$29,IF(Skills!C15=2,90+Inputs!$B$26+Inputs!$B$29,IF(Skills!C15=3,120+(Inputs!$B$27+1)+Inputs!$B$29,MAX(0,(Inputs!$B$3-100)*3)+Inputs!$B$28+Inputs!$B$29)))</f>
        <v/>
      </c>
      <c r="E840">
        <f>INDEX(FactorTable!$B$2:$Y$301, MATCH(ROUND(MIN(300,MAX(1,D840)),0), FactorTable!$A$2:$A$301,0), Skills!M15+1)</f>
        <v/>
      </c>
      <c r="F840">
        <f>IF(Skills!N15=TRUE,(Skills!L15/10)*(E840/1000),Skills!L15/10)+Skills!O15</f>
        <v/>
      </c>
      <c r="G840">
        <f>Skills!G15*IF(Skills!H15&gt;0,Skills!I15/Skills!H15,1)</f>
        <v/>
      </c>
      <c r="H840">
        <f>1-(1-Skills!J15/100)^Skills!K15</f>
        <v/>
      </c>
      <c r="I840" t="inlineStr">
        <is>
          <t>1</t>
        </is>
      </c>
      <c r="J840" t="inlineStr"/>
      <c r="K840" t="inlineStr"/>
      <c r="L840" t="inlineStr"/>
      <c r="M840" t="inlineStr"/>
      <c r="N840" t="inlineStr"/>
      <c r="O840" t="n">
        <v>0</v>
      </c>
      <c r="P840">
        <f>IF(B866=0,0,O840/B866)</f>
        <v/>
      </c>
      <c r="Q840">
        <f>IFERROR(1/IF(Inputs!$B$38="pvp",15,MAX(0.1,Skills!D15-IF(Skills!E15=TRUE,Inputs!$B$32,0))),0)</f>
        <v/>
      </c>
      <c r="R840">
        <f>IF(AND(Inputs!$B$38&lt;&gt;"pvp",Inputs!$B$43&gt;0),IF(Inputs!$B$43&lt;=0,0,(INT(Inputs!$B$43/IF(Inputs!$B$38="pvp",15,MAX(0.1,Skills!D15-IF(Skills!E15=TRUE,Inputs!$B$32,0))))+1)),0)</f>
        <v/>
      </c>
      <c r="S840">
        <f>IFERROR(O840/N840,0)</f>
        <v/>
      </c>
    </row>
    <row r="841">
      <c r="A841">
        <f>Skills!A16</f>
        <v/>
      </c>
      <c r="B841">
        <f>Skills!B16</f>
        <v/>
      </c>
      <c r="C841">
        <f>Inputs!$B$3&gt;=115</f>
        <v/>
      </c>
      <c r="D841">
        <f>IF(Skills!C16=1,60+Inputs!$B$25+Inputs!$B$29,IF(Skills!C16=2,90+Inputs!$B$26+Inputs!$B$29,IF(Skills!C16=3,120+(Inputs!$B$27+1)+Inputs!$B$29,MAX(0,(Inputs!$B$3-100)*3)+Inputs!$B$28+Inputs!$B$29)))</f>
        <v/>
      </c>
      <c r="E841">
        <f>INDEX(FactorTable!$B$2:$Y$301, MATCH(ROUND(MIN(300,MAX(1,D841)),0), FactorTable!$A$2:$A$301,0), Skills!M16+1)</f>
        <v/>
      </c>
      <c r="F841">
        <f>IF(Skills!N16=TRUE,(Skills!L16/10)*(E841/1000),Skills!L16/10)+Skills!O16</f>
        <v/>
      </c>
      <c r="G841">
        <f>Skills!G16*IF(Skills!H16&gt;0,Skills!I16/Skills!H16,1)</f>
        <v/>
      </c>
      <c r="H841">
        <f>1-(1-Skills!J16/100)^Skills!K16</f>
        <v/>
      </c>
      <c r="I841" t="inlineStr">
        <is>
          <t>1</t>
        </is>
      </c>
      <c r="J841" t="inlineStr"/>
      <c r="K841" t="inlineStr"/>
      <c r="L841" t="inlineStr"/>
      <c r="M841" t="inlineStr"/>
      <c r="N841" t="inlineStr"/>
      <c r="O841" t="n">
        <v>0</v>
      </c>
      <c r="P841">
        <f>IF(B866=0,0,O841/B866)</f>
        <v/>
      </c>
      <c r="Q841">
        <f>IFERROR(1/IF(Inputs!$B$38="pvp",15,MAX(0.1,Skills!D16-IF(Skills!E16=TRUE,Inputs!$B$32,0))),0)</f>
        <v/>
      </c>
      <c r="R841">
        <f>IF(AND(Inputs!$B$38&lt;&gt;"pvp",Inputs!$B$43&gt;0),IF(Inputs!$B$43&lt;=0,0,(INT(Inputs!$B$43/IF(Inputs!$B$38="pvp",15,MAX(0.1,Skills!D16-IF(Skills!E16=TRUE,Inputs!$B$32,0))))+1)),0)</f>
        <v/>
      </c>
      <c r="S841">
        <f>IFERROR(O841/N841,0)</f>
        <v/>
      </c>
    </row>
    <row r="842">
      <c r="A842">
        <f>Skills!A17</f>
        <v/>
      </c>
      <c r="B842">
        <f>Skills!B17</f>
        <v/>
      </c>
      <c r="C842">
        <f>Inputs!$B$3&gt;=66</f>
        <v/>
      </c>
      <c r="D842">
        <f>IF(Skills!C17=1,60+Inputs!$B$25+Inputs!$B$29,IF(Skills!C17=2,90+Inputs!$B$26+Inputs!$B$29,IF(Skills!C17=3,120+(Inputs!$B$27+1)+Inputs!$B$29,MAX(0,(Inputs!$B$3-100)*3)+Inputs!$B$28+Inputs!$B$29)))</f>
        <v/>
      </c>
      <c r="E842">
        <f>INDEX(FactorTable!$B$2:$Y$301, MATCH(ROUND(MIN(300,MAX(1,D842)),0), FactorTable!$A$2:$A$301,0), Skills!M17+1)</f>
        <v/>
      </c>
      <c r="F842">
        <f>IF(Skills!N17=TRUE,(Skills!L17/10)*(E842/1000),Skills!L17/10)+Skills!O17</f>
        <v/>
      </c>
      <c r="G842">
        <f>Skills!G17*IF(Skills!H17&gt;0,Skills!I17/Skills!H17,1)</f>
        <v/>
      </c>
      <c r="H842">
        <f>1-(1-Skills!J17/100)^Skills!K17</f>
        <v/>
      </c>
      <c r="I842" t="inlineStr">
        <is>
          <t>1</t>
        </is>
      </c>
      <c r="J842" t="inlineStr"/>
      <c r="K842" t="inlineStr"/>
      <c r="L842" t="inlineStr"/>
      <c r="M842" t="inlineStr"/>
      <c r="N842" t="inlineStr"/>
      <c r="O842" t="n">
        <v>0</v>
      </c>
      <c r="P842">
        <f>IF(B866=0,0,O842/B866)</f>
        <v/>
      </c>
      <c r="Q842" t="n">
        <v>0</v>
      </c>
      <c r="R842" t="n">
        <v>0</v>
      </c>
      <c r="S842">
        <f>IFERROR(O842/N842,0)</f>
        <v/>
      </c>
    </row>
    <row r="843">
      <c r="A843">
        <f>Skills!A18</f>
        <v/>
      </c>
      <c r="B843">
        <f>Skills!B18</f>
        <v/>
      </c>
      <c r="C843">
        <f>Inputs!$B$3&gt;=72</f>
        <v/>
      </c>
      <c r="D843">
        <f>IF(Skills!C18=1,60+Inputs!$B$25+Inputs!$B$29,IF(Skills!C18=2,90+Inputs!$B$26+Inputs!$B$29,IF(Skills!C18=3,120+(Inputs!$B$27+1)+Inputs!$B$29,MAX(0,(Inputs!$B$3-100)*3)+Inputs!$B$28+Inputs!$B$29)))</f>
        <v/>
      </c>
      <c r="E843">
        <f>INDEX(FactorTable!$B$2:$Y$301, MATCH(ROUND(MIN(300,MAX(1,D843)),0), FactorTable!$A$2:$A$301,0), Skills!M18+1)</f>
        <v/>
      </c>
      <c r="F843">
        <f>IF(Skills!N18=TRUE,(Skills!L18/10)*(E843/1000),Skills!L18/10)+Skills!O18</f>
        <v/>
      </c>
      <c r="G843">
        <f>Skills!G18*IF(Skills!H18&gt;0,Skills!I18/Skills!H18,1)</f>
        <v/>
      </c>
      <c r="H843">
        <f>1-(1-Skills!J18/100)^Skills!K18</f>
        <v/>
      </c>
      <c r="I843" t="inlineStr">
        <is>
          <t>1</t>
        </is>
      </c>
      <c r="J843" t="inlineStr"/>
      <c r="K843" t="inlineStr"/>
      <c r="L843" t="inlineStr"/>
      <c r="M843" t="inlineStr"/>
      <c r="N843" t="inlineStr"/>
      <c r="O843" t="n">
        <v>0</v>
      </c>
      <c r="P843">
        <f>IF(B866=0,0,O843/B866)</f>
        <v/>
      </c>
      <c r="Q843" t="n">
        <v>0</v>
      </c>
      <c r="R843" t="n">
        <v>0</v>
      </c>
      <c r="S843">
        <f>IFERROR(O843/N843,0)</f>
        <v/>
      </c>
    </row>
    <row r="844">
      <c r="A844">
        <f>Skills!A19</f>
        <v/>
      </c>
      <c r="B844">
        <f>Skills!B19</f>
        <v/>
      </c>
      <c r="C844">
        <f>TRUE</f>
        <v/>
      </c>
      <c r="D844">
        <f>IF(Skills!C19=1,60+Inputs!$B$25+Inputs!$B$29,IF(Skills!C19=2,90+Inputs!$B$26+Inputs!$B$29,IF(Skills!C19=3,120+(Inputs!$B$27+1)+Inputs!$B$29,MAX(0,(Inputs!$B$3-100)*3)+Inputs!$B$28+Inputs!$B$29)))</f>
        <v/>
      </c>
      <c r="E844">
        <f>INDEX(FactorTable!$B$2:$Y$301, MATCH(ROUND(MIN(300,MAX(1,D844)),0), FactorTable!$A$2:$A$301,0), Skills!M19+1)</f>
        <v/>
      </c>
      <c r="F844">
        <f>IF(Skills!N19=TRUE,(Skills!L19/10)*(E844/1000),Skills!L19/10)+Skills!O19</f>
        <v/>
      </c>
      <c r="G844">
        <f>Skills!G19*IF(Skills!H19&gt;0,Skills!I19/Skills!H19,1)</f>
        <v/>
      </c>
      <c r="H844">
        <f>1-(1-Skills!J19/100)^Skills!K19</f>
        <v/>
      </c>
      <c r="I844" t="inlineStr">
        <is>
          <t>1</t>
        </is>
      </c>
      <c r="J844" t="inlineStr"/>
      <c r="K844" t="inlineStr"/>
      <c r="L844" t="inlineStr"/>
      <c r="M844" t="inlineStr"/>
      <c r="N844" t="inlineStr"/>
      <c r="O844" t="n">
        <v>0</v>
      </c>
      <c r="P844">
        <f>IF(B866=0,0,O844/B866)</f>
        <v/>
      </c>
      <c r="Q844">
        <f>IFERROR(1/IF(Inputs!$B$38="pvp",15,MAX(0.1,Skills!D19-IF(Skills!E19=TRUE,Inputs!$B$32,0))),0)</f>
        <v/>
      </c>
      <c r="R844">
        <f>IF(AND(Inputs!$B$38&lt;&gt;"pvp",Inputs!$B$43&gt;0),IF(Inputs!$B$43&lt;=0,0,(INT(Inputs!$B$43/IF(Inputs!$B$38="pvp",15,MAX(0.1,Skills!D19-IF(Skills!E19=TRUE,Inputs!$B$32,0))))+1)),0)</f>
        <v/>
      </c>
      <c r="S844">
        <f>IFERROR(O844/N844,0)</f>
        <v/>
      </c>
    </row>
    <row r="845">
      <c r="A845">
        <f>Skills!A20</f>
        <v/>
      </c>
      <c r="B845">
        <f>Skills!B20</f>
        <v/>
      </c>
      <c r="C845">
        <f>Inputs!$B$3&gt;=15</f>
        <v/>
      </c>
      <c r="D845">
        <f>IF(Skills!C20=1,60+Inputs!$B$25+Inputs!$B$29,IF(Skills!C20=2,90+Inputs!$B$26+Inputs!$B$29,IF(Skills!C20=3,120+(Inputs!$B$27+1)+Inputs!$B$29,MAX(0,(Inputs!$B$3-100)*3)+Inputs!$B$28+Inputs!$B$29)))</f>
        <v/>
      </c>
      <c r="E845">
        <f>INDEX(FactorTable!$B$2:$Y$301, MATCH(ROUND(MIN(300,MAX(1,D845)),0), FactorTable!$A$2:$A$301,0), Skills!M20+1)</f>
        <v/>
      </c>
      <c r="F845">
        <f>IF(Skills!N20=TRUE,(Skills!L20/10)*(E845/1000),Skills!L20/10)+Skills!O20</f>
        <v/>
      </c>
      <c r="G845">
        <f>Skills!G20*IF(Skills!H20&gt;0,Skills!I20/Skills!H20,1)</f>
        <v/>
      </c>
      <c r="H845">
        <f>1-(1-Skills!J20/100)^Skills!K20</f>
        <v/>
      </c>
      <c r="I845" t="inlineStr">
        <is>
          <t>1</t>
        </is>
      </c>
      <c r="J845" t="inlineStr"/>
      <c r="K845" t="inlineStr"/>
      <c r="L845" t="inlineStr"/>
      <c r="M845" t="inlineStr"/>
      <c r="N845" t="inlineStr"/>
      <c r="O845" t="n">
        <v>0</v>
      </c>
      <c r="P845">
        <f>IF(B866=0,0,O845/B866)</f>
        <v/>
      </c>
      <c r="Q845" t="n">
        <v>0</v>
      </c>
      <c r="R845" t="n">
        <v>0</v>
      </c>
      <c r="S845">
        <f>IFERROR(O845/N845,0)</f>
        <v/>
      </c>
    </row>
    <row r="846">
      <c r="A846">
        <f>Skills!A21</f>
        <v/>
      </c>
      <c r="B846">
        <f>Skills!B21</f>
        <v/>
      </c>
      <c r="C846">
        <f>Inputs!$B$3&gt;=10</f>
        <v/>
      </c>
      <c r="D846">
        <f>IF(Skills!C21=1,60+Inputs!$B$25+Inputs!$B$29,IF(Skills!C21=2,90+Inputs!$B$26+Inputs!$B$29,IF(Skills!C21=3,120+(Inputs!$B$27+1)+Inputs!$B$29,MAX(0,(Inputs!$B$3-100)*3)+Inputs!$B$28+Inputs!$B$29)))</f>
        <v/>
      </c>
      <c r="E846">
        <f>INDEX(FactorTable!$B$2:$Y$301, MATCH(ROUND(MIN(300,MAX(1,D846)),0), FactorTable!$A$2:$A$301,0), Skills!M21+1)</f>
        <v/>
      </c>
      <c r="F846">
        <f>IF(Skills!N21=TRUE,(Skills!L21/10)*(E846/1000),Skills!L21/10)+Skills!O21</f>
        <v/>
      </c>
      <c r="G846">
        <f>Skills!G21*IF(Skills!H21&gt;0,Skills!I21/Skills!H21,1)</f>
        <v/>
      </c>
      <c r="H846">
        <f>1-(1-Skills!J21/100)^Skills!K21</f>
        <v/>
      </c>
      <c r="I846" t="inlineStr">
        <is>
          <t>1</t>
        </is>
      </c>
      <c r="J846" t="inlineStr"/>
      <c r="K846" t="inlineStr"/>
      <c r="L846" t="inlineStr"/>
      <c r="M846" t="inlineStr"/>
      <c r="N846" t="inlineStr"/>
      <c r="O846" t="n">
        <v>0</v>
      </c>
      <c r="P846">
        <f>IF(B866=0,0,O846/B866)</f>
        <v/>
      </c>
      <c r="Q846" t="n">
        <v>0</v>
      </c>
      <c r="R846" t="n">
        <v>0</v>
      </c>
      <c r="S846">
        <f>IFERROR(O846/N846,0)</f>
        <v/>
      </c>
    </row>
    <row r="847">
      <c r="A847">
        <f>Skills!A22</f>
        <v/>
      </c>
      <c r="B847">
        <f>Skills!B22</f>
        <v/>
      </c>
      <c r="C847">
        <f>Inputs!$B$3&gt;=33</f>
        <v/>
      </c>
      <c r="D847">
        <f>IF(Skills!C22=1,60+Inputs!$B$25+Inputs!$B$29,IF(Skills!C22=2,90+Inputs!$B$26+Inputs!$B$29,IF(Skills!C22=3,120+(Inputs!$B$27+1)+Inputs!$B$29,MAX(0,(Inputs!$B$3-100)*3)+Inputs!$B$28+Inputs!$B$29)))</f>
        <v/>
      </c>
      <c r="E847">
        <f>INDEX(FactorTable!$B$2:$Y$301, MATCH(ROUND(MIN(300,MAX(1,D847)),0), FactorTable!$A$2:$A$301,0), Skills!M22+1)</f>
        <v/>
      </c>
      <c r="F847">
        <f>IF(Skills!N22=TRUE,(Skills!L22/10)*(E847/1000),Skills!L22/10)+Skills!O22</f>
        <v/>
      </c>
      <c r="G847">
        <f>Skills!G22*IF(Skills!H22&gt;0,Skills!I22/Skills!H22,1)</f>
        <v/>
      </c>
      <c r="H847">
        <f>1-(1-Skills!J22/100)^Skills!K22</f>
        <v/>
      </c>
      <c r="I847" t="inlineStr">
        <is>
          <t>1</t>
        </is>
      </c>
      <c r="J847" t="inlineStr"/>
      <c r="K847" t="inlineStr"/>
      <c r="L847" t="inlineStr"/>
      <c r="M847" t="inlineStr"/>
      <c r="N847" t="inlineStr"/>
      <c r="O847" t="n">
        <v>0</v>
      </c>
      <c r="P847">
        <f>IF(B866=0,0,O847/B866)</f>
        <v/>
      </c>
      <c r="Q847" t="n">
        <v>0</v>
      </c>
      <c r="R847" t="n">
        <v>0</v>
      </c>
      <c r="S847">
        <f>IFERROR(O847/N847,0)</f>
        <v/>
      </c>
    </row>
    <row r="848">
      <c r="A848">
        <f>Skills!A23</f>
        <v/>
      </c>
      <c r="B848">
        <f>Skills!B23</f>
        <v/>
      </c>
      <c r="C848">
        <f>Inputs!$B$3&gt;=38</f>
        <v/>
      </c>
      <c r="D848">
        <f>IF(Skills!C23=1,60+Inputs!$B$25+Inputs!$B$29,IF(Skills!C23=2,90+Inputs!$B$26+Inputs!$B$29,IF(Skills!C23=3,120+(Inputs!$B$27+1)+Inputs!$B$29,MAX(0,(Inputs!$B$3-100)*3)+Inputs!$B$28+Inputs!$B$29)))</f>
        <v/>
      </c>
      <c r="E848">
        <f>INDEX(FactorTable!$B$2:$Y$301, MATCH(ROUND(MIN(300,MAX(1,D848)),0), FactorTable!$A$2:$A$301,0), Skills!M23+1)</f>
        <v/>
      </c>
      <c r="F848">
        <f>IF(Skills!N23=TRUE,(Skills!L23/10)*(E848/1000),Skills!L23/10)+Skills!O23</f>
        <v/>
      </c>
      <c r="G848">
        <f>Skills!G23*IF(Skills!H23&gt;0,Skills!I23/Skills!H23,1)</f>
        <v/>
      </c>
      <c r="H848">
        <f>1-(1-Skills!J23/100)^Skills!K23</f>
        <v/>
      </c>
      <c r="I848" t="inlineStr">
        <is>
          <t>1</t>
        </is>
      </c>
      <c r="J848" t="inlineStr"/>
      <c r="K848" t="inlineStr"/>
      <c r="L848" t="inlineStr"/>
      <c r="M848" t="inlineStr"/>
      <c r="N848" t="inlineStr"/>
      <c r="O848" t="n">
        <v>0</v>
      </c>
      <c r="P848">
        <f>IF(B866=0,0,O848/B866)</f>
        <v/>
      </c>
      <c r="Q848" t="n">
        <v>0</v>
      </c>
      <c r="R848" t="n">
        <v>0</v>
      </c>
      <c r="S848">
        <f>IFERROR(O848/N848,0)</f>
        <v/>
      </c>
    </row>
    <row r="849">
      <c r="A849">
        <f>Skills!A24</f>
        <v/>
      </c>
      <c r="B849">
        <f>Skills!B24</f>
        <v/>
      </c>
      <c r="C849">
        <f>Inputs!$B$3&gt;=43</f>
        <v/>
      </c>
      <c r="D849">
        <f>IF(Skills!C24=1,60+Inputs!$B$25+Inputs!$B$29,IF(Skills!C24=2,90+Inputs!$B$26+Inputs!$B$29,IF(Skills!C24=3,120+(Inputs!$B$27+1)+Inputs!$B$29,MAX(0,(Inputs!$B$3-100)*3)+Inputs!$B$28+Inputs!$B$29)))</f>
        <v/>
      </c>
      <c r="E849">
        <f>INDEX(FactorTable!$B$2:$Y$301, MATCH(ROUND(MIN(300,MAX(1,D849)),0), FactorTable!$A$2:$A$301,0), Skills!M24+1)</f>
        <v/>
      </c>
      <c r="F849">
        <f>IF(Skills!N24=TRUE,(Skills!L24/10)*(E849/1000),Skills!L24/10)+Skills!O24</f>
        <v/>
      </c>
      <c r="G849">
        <f>Skills!G24*IF(Skills!H24&gt;0,Skills!I24/Skills!H24,1)</f>
        <v/>
      </c>
      <c r="H849">
        <f>1-(1-Skills!J24/100)^Skills!K24</f>
        <v/>
      </c>
      <c r="I849" t="inlineStr">
        <is>
          <t>1</t>
        </is>
      </c>
      <c r="J849" t="inlineStr"/>
      <c r="K849" t="inlineStr"/>
      <c r="L849" t="inlineStr"/>
      <c r="M849" t="inlineStr"/>
      <c r="N849" t="inlineStr"/>
      <c r="O849" t="n">
        <v>0</v>
      </c>
      <c r="P849">
        <f>IF(B866=0,0,O849/B866)</f>
        <v/>
      </c>
      <c r="Q849" t="n">
        <v>0</v>
      </c>
      <c r="R849" t="n">
        <v>0</v>
      </c>
      <c r="S849">
        <f>IFERROR(O849/N849,0)</f>
        <v/>
      </c>
    </row>
    <row r="850">
      <c r="A850">
        <f>Skills!A25</f>
        <v/>
      </c>
      <c r="B850">
        <f>Skills!B25</f>
        <v/>
      </c>
      <c r="C850">
        <f>Inputs!$B$3&gt;=75</f>
        <v/>
      </c>
      <c r="D850">
        <f>IF(Skills!C25=1,60+Inputs!$B$25+Inputs!$B$29,IF(Skills!C25=2,90+Inputs!$B$26+Inputs!$B$29,IF(Skills!C25=3,120+(Inputs!$B$27+1)+Inputs!$B$29,MAX(0,(Inputs!$B$3-100)*3)+Inputs!$B$28+Inputs!$B$29)))</f>
        <v/>
      </c>
      <c r="E850">
        <f>INDEX(FactorTable!$B$2:$Y$301, MATCH(ROUND(MIN(300,MAX(1,D850)),0), FactorTable!$A$2:$A$301,0), Skills!M25+1)</f>
        <v/>
      </c>
      <c r="F850">
        <f>IF(Skills!N25=TRUE,(Skills!L25/10)*(E850/1000),Skills!L25/10)+Skills!O25</f>
        <v/>
      </c>
      <c r="G850">
        <f>Skills!G25*IF(Skills!H25&gt;0,Skills!I25/Skills!H25,1)</f>
        <v/>
      </c>
      <c r="H850">
        <f>1-(1-Skills!J25/100)^Skills!K25</f>
        <v/>
      </c>
      <c r="I850" t="inlineStr">
        <is>
          <t>1</t>
        </is>
      </c>
      <c r="J850" t="inlineStr"/>
      <c r="K850" t="inlineStr"/>
      <c r="L850" t="inlineStr"/>
      <c r="M850" t="inlineStr"/>
      <c r="N850" t="inlineStr"/>
      <c r="O850" t="n">
        <v>0</v>
      </c>
      <c r="P850">
        <f>IF(B866=0,0,O850/B866)</f>
        <v/>
      </c>
      <c r="Q850" t="n">
        <v>0</v>
      </c>
      <c r="R850" t="n">
        <v>0</v>
      </c>
      <c r="S850">
        <f>IFERROR(O850/N850,0)</f>
        <v/>
      </c>
    </row>
    <row r="851">
      <c r="A851">
        <f>Skills!A26</f>
        <v/>
      </c>
      <c r="B851">
        <f>Skills!B26</f>
        <v/>
      </c>
      <c r="C851">
        <f>Inputs!$B$3&gt;=125</f>
        <v/>
      </c>
      <c r="D851">
        <f>IF(Skills!C26=1,60+Inputs!$B$25+Inputs!$B$29,IF(Skills!C26=2,90+Inputs!$B$26+Inputs!$B$29,IF(Skills!C26=3,120+(Inputs!$B$27+1)+Inputs!$B$29,MAX(0,(Inputs!$B$3-100)*3)+Inputs!$B$28+Inputs!$B$29)))</f>
        <v/>
      </c>
      <c r="E851">
        <f>INDEX(FactorTable!$B$2:$Y$301, MATCH(ROUND(MIN(300,MAX(1,D851)),0), FactorTable!$A$2:$A$301,0), Skills!M26+1)</f>
        <v/>
      </c>
      <c r="F851">
        <f>IF(Skills!N26=TRUE,(Skills!L26/10)*(E851/1000),Skills!L26/10)+Skills!O26</f>
        <v/>
      </c>
      <c r="G851">
        <f>Skills!G26*IF(Skills!H26&gt;0,Skills!I26/Skills!H26,1)</f>
        <v/>
      </c>
      <c r="H851">
        <f>1-(1-Skills!J26/100)^Skills!K26</f>
        <v/>
      </c>
      <c r="I851" t="inlineStr">
        <is>
          <t>1</t>
        </is>
      </c>
      <c r="J851" t="inlineStr"/>
      <c r="K851" t="inlineStr"/>
      <c r="L851" t="inlineStr"/>
      <c r="M851" t="inlineStr"/>
      <c r="N851" t="inlineStr"/>
      <c r="O851" t="n">
        <v>0</v>
      </c>
      <c r="P851">
        <f>IF(B866=0,0,O851/B866)</f>
        <v/>
      </c>
      <c r="Q851" t="n">
        <v>0</v>
      </c>
      <c r="R851" t="n">
        <v>0</v>
      </c>
      <c r="S851">
        <f>IFERROR(O851/N851,0)</f>
        <v/>
      </c>
    </row>
    <row r="852">
      <c r="A852">
        <f>Skills!A27</f>
        <v/>
      </c>
      <c r="B852">
        <f>Skills!B27</f>
        <v/>
      </c>
      <c r="C852">
        <f>Inputs!$B$3&gt;=125</f>
        <v/>
      </c>
      <c r="D852">
        <f>IF(Skills!C27=1,60+Inputs!$B$25+Inputs!$B$29,IF(Skills!C27=2,90+Inputs!$B$26+Inputs!$B$29,IF(Skills!C27=3,120+(Inputs!$B$27+1)+Inputs!$B$29,MAX(0,(Inputs!$B$3-100)*3)+Inputs!$B$28+Inputs!$B$29)))</f>
        <v/>
      </c>
      <c r="E852">
        <f>INDEX(FactorTable!$B$2:$Y$301, MATCH(ROUND(MIN(300,MAX(1,D852)),0), FactorTable!$A$2:$A$301,0), Skills!M27+1)</f>
        <v/>
      </c>
      <c r="F852">
        <f>IF(Skills!N27=TRUE,(Skills!L27/10)*(E852/1000),Skills!L27/10)+Skills!O27</f>
        <v/>
      </c>
      <c r="G852">
        <f>Skills!G27*IF(Skills!H27&gt;0,Skills!I27/Skills!H27,1)</f>
        <v/>
      </c>
      <c r="H852">
        <f>1-(1-Skills!J27/100)^Skills!K27</f>
        <v/>
      </c>
      <c r="I852" t="inlineStr">
        <is>
          <t>1</t>
        </is>
      </c>
      <c r="J852" t="inlineStr"/>
      <c r="K852" t="inlineStr"/>
      <c r="L852" t="inlineStr"/>
      <c r="M852" t="inlineStr"/>
      <c r="N852" t="inlineStr"/>
      <c r="O852" t="n">
        <v>0</v>
      </c>
      <c r="P852">
        <f>IF(B866=0,0,O852/B866)</f>
        <v/>
      </c>
      <c r="Q852" t="n">
        <v>0</v>
      </c>
      <c r="R852" t="n">
        <v>0</v>
      </c>
      <c r="S852">
        <f>IFERROR(O852/N852,0)</f>
        <v/>
      </c>
    </row>
    <row r="853">
      <c r="A853">
        <f>Skills!A28</f>
        <v/>
      </c>
      <c r="B853">
        <f>Skills!B28</f>
        <v/>
      </c>
      <c r="C853">
        <f>Inputs!$B$3&gt;=120</f>
        <v/>
      </c>
      <c r="D853">
        <f>IF(Skills!C28=1,60+Inputs!$B$25+Inputs!$B$29,IF(Skills!C28=2,90+Inputs!$B$26+Inputs!$B$29,IF(Skills!C28=3,120+(Inputs!$B$27+1)+Inputs!$B$29,MAX(0,(Inputs!$B$3-100)*3)+Inputs!$B$28+Inputs!$B$29)))</f>
        <v/>
      </c>
      <c r="E853">
        <f>INDEX(FactorTable!$B$2:$Y$301, MATCH(ROUND(MIN(300,MAX(1,D853)),0), FactorTable!$A$2:$A$301,0), Skills!M28+1)</f>
        <v/>
      </c>
      <c r="F853">
        <f>IF(Skills!N28=TRUE,(Skills!L28/10)*(E853/1000),Skills!L28/10)+Skills!O28</f>
        <v/>
      </c>
      <c r="G853">
        <f>Skills!G28*IF(Skills!H28&gt;0,Skills!I28/Skills!H28,1)</f>
        <v/>
      </c>
      <c r="H853">
        <f>1-(1-Skills!J28/100)^Skills!K28</f>
        <v/>
      </c>
      <c r="I853" t="inlineStr">
        <is>
          <t>1</t>
        </is>
      </c>
      <c r="J853" t="inlineStr"/>
      <c r="K853" t="inlineStr"/>
      <c r="L853" t="inlineStr"/>
      <c r="M853" t="inlineStr"/>
      <c r="N853" t="inlineStr"/>
      <c r="O853" t="n">
        <v>0</v>
      </c>
      <c r="P853">
        <f>IF(B866=0,0,O853/B866)</f>
        <v/>
      </c>
      <c r="Q853" t="n">
        <v>0</v>
      </c>
      <c r="R853" t="n">
        <v>0</v>
      </c>
      <c r="S853">
        <f>IFERROR(O853/N853,0)</f>
        <v/>
      </c>
    </row>
    <row r="854">
      <c r="A854">
        <f>Skills!A29</f>
        <v/>
      </c>
      <c r="B854">
        <f>Skills!B29</f>
        <v/>
      </c>
      <c r="C854">
        <f>Inputs!$B$3&gt;=120</f>
        <v/>
      </c>
      <c r="D854">
        <f>IF(Skills!C29=1,60+Inputs!$B$25+Inputs!$B$29,IF(Skills!C29=2,90+Inputs!$B$26+Inputs!$B$29,IF(Skills!C29=3,120+(Inputs!$B$27+1)+Inputs!$B$29,MAX(0,(Inputs!$B$3-100)*3)+Inputs!$B$28+Inputs!$B$29)))</f>
        <v/>
      </c>
      <c r="E854">
        <f>INDEX(FactorTable!$B$2:$Y$301, MATCH(ROUND(MIN(300,MAX(1,D854)),0), FactorTable!$A$2:$A$301,0), Skills!M29+1)</f>
        <v/>
      </c>
      <c r="F854">
        <f>IF(Skills!N29=TRUE,(Skills!L29/10)*(E854/1000),Skills!L29/10)+Skills!O29</f>
        <v/>
      </c>
      <c r="G854">
        <f>Skills!G29*IF(Skills!H29&gt;0,Skills!I29/Skills!H29,1)</f>
        <v/>
      </c>
      <c r="H854">
        <f>1-(1-Skills!J29/100)^Skills!K29</f>
        <v/>
      </c>
      <c r="I854" t="inlineStr">
        <is>
          <t>1</t>
        </is>
      </c>
      <c r="J854" t="inlineStr"/>
      <c r="K854" t="inlineStr"/>
      <c r="L854" t="inlineStr"/>
      <c r="M854" t="inlineStr"/>
      <c r="N854" t="inlineStr"/>
      <c r="O854" t="n">
        <v>0</v>
      </c>
      <c r="P854">
        <f>IF(B866=0,0,O854/B866)</f>
        <v/>
      </c>
      <c r="Q854" t="n">
        <v>0</v>
      </c>
      <c r="R854" t="n">
        <v>0</v>
      </c>
      <c r="S854">
        <f>IFERROR(O854/N854,0)</f>
        <v/>
      </c>
    </row>
    <row r="855">
      <c r="A855">
        <f>Skills!A30</f>
        <v/>
      </c>
      <c r="B855">
        <f>Skills!B30</f>
        <v/>
      </c>
      <c r="C855">
        <f>Inputs!$B$3&gt;=45</f>
        <v/>
      </c>
      <c r="D855">
        <f>IF(Skills!C30=1,60+Inputs!$B$25+Inputs!$B$29,IF(Skills!C30=2,90+Inputs!$B$26+Inputs!$B$29,IF(Skills!C30=3,120+(Inputs!$B$27+1)+Inputs!$B$29,MAX(0,(Inputs!$B$3-100)*3)+Inputs!$B$28+Inputs!$B$29)))</f>
        <v/>
      </c>
      <c r="E855">
        <f>INDEX(FactorTable!$B$2:$Y$301, MATCH(ROUND(MIN(300,MAX(1,D855)),0), FactorTable!$A$2:$A$301,0), Skills!M30+1)</f>
        <v/>
      </c>
      <c r="F855">
        <f>IF(Skills!N30=TRUE,(Skills!L30/10)*(E855/1000),Skills!L30/10)+Skills!O30</f>
        <v/>
      </c>
      <c r="G855">
        <f>Skills!G30*IF(Skills!H30&gt;0,Skills!I30/Skills!H30,1)</f>
        <v/>
      </c>
      <c r="H855">
        <f>1-(1-Skills!J30/100)^Skills!K30</f>
        <v/>
      </c>
      <c r="I855" t="inlineStr">
        <is>
          <t>1</t>
        </is>
      </c>
      <c r="J855" t="inlineStr"/>
      <c r="K855" t="inlineStr"/>
      <c r="L855" t="inlineStr"/>
      <c r="M855" t="inlineStr"/>
      <c r="N855" t="inlineStr"/>
      <c r="O855" t="n">
        <v>0</v>
      </c>
      <c r="P855">
        <f>IF(B866=0,0,O855/B866)</f>
        <v/>
      </c>
      <c r="Q855" t="n">
        <v>0</v>
      </c>
      <c r="R855" t="n">
        <v>0</v>
      </c>
      <c r="S855">
        <f>IFERROR(O855/N855,0)</f>
        <v/>
      </c>
    </row>
    <row r="857">
      <c r="A857" t="inlineStr">
        <is>
          <t>Attack% Bucket Multiplier</t>
        </is>
      </c>
      <c r="B857">
        <f>(1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f>
        <v/>
      </c>
    </row>
    <row r="858">
      <c r="A858" t="inlineStr">
        <is>
          <t>Global Crit Rate Bonus %</t>
        </is>
      </c>
      <c r="B858">
        <f>(C841=TRUE)*20*IF(AND(Inputs!$B$38&lt;&gt;"pvp",Inputs!$B$43&gt;0),(((R841-1)*(Skills!T16*(1+Inputs!$B$34/100))+MIN((Skills!T16*(1+Inputs!$B$34/100)),MAX(0,Inputs!$B$43-((R841-1)*Skills!D16))))/Inputs!$B$43),IF(Inputs!$B$38="pvp",MIN((Skills!T16*(1+Inputs!$B$34/100)),15)/15,(Skills!T16*(1+Inputs!$B$34/100))/Skills!D16))</f>
        <v/>
      </c>
    </row>
    <row r="859">
      <c r="A859" t="inlineStr">
        <is>
          <t>Attack Speed Buff Bonus %</t>
        </is>
      </c>
      <c r="B859">
        <f>((C844=TRUE)*F844*IF(AND(Inputs!$B$38&lt;&gt;"pvp",Inputs!$B$43&gt;0),(((R844-1)*(Skills!T19*(1+Inputs!$B$34/100))+MIN((Skills!T19*(1+Inputs!$B$34/100)),MAX(0,Inputs!$B$43-((R844-1)*Skills!D19))))/Inputs!$B$43),IF(Inputs!$B$38="pvp",MIN((Skills!T19*(1+Inputs!$B$34/100)),15)/15,(Skills!T19*(1+Inputs!$B$34/100))/Skills!D19)))</f>
        <v/>
      </c>
    </row>
    <row r="860">
      <c r="A860" t="inlineStr">
        <is>
          <t>Actions Per Second</t>
        </is>
      </c>
      <c r="B860">
        <f>1+MIN(150,150*(1-(1-(Inputs!$B$11+((C846=TRUE)*(F846-Calc!F21))+((C847=TRUE)*(F847-Calc!F22)))/150)*(1-B859/150)))/100</f>
        <v/>
      </c>
    </row>
    <row r="861">
      <c r="A861" t="inlineStr">
        <is>
          <t>Skill + Buff Cast Rate</t>
        </is>
      </c>
      <c r="B861">
        <f>IF(AND(Inputs!$B$38&lt;&gt;"pvp",Inputs!$B$43&gt;0),SUMPRODUCT((Skills!E2:E30=TRUE)*(C827:C855=TRUE)*R827:R855*Skills!F2:F30)/Inputs!$B$43,SUMPRODUCT((Skills!E2:E30=TRUE)*(C827:C855=TRUE)*Q827:Q855*Skills!F2:F30))</f>
        <v/>
      </c>
    </row>
    <row r="862">
      <c r="A862" t="inlineStr">
        <is>
          <t>Arrow Stream Casts Per Second</t>
        </is>
      </c>
      <c r="B862">
        <f>MAX(0,B860-B861)</f>
        <v/>
      </c>
    </row>
    <row r="863">
      <c r="A863" t="inlineStr">
        <is>
          <t>Global Critical Damage Bonus % (Sharp Eyes + Concentration)</t>
        </is>
      </c>
      <c r="B863">
        <f>(C841=TRUE)*F841*IF(AND(Inputs!$B$38&lt;&gt;"pvp",Inputs!$B$43&gt;0),(((R841-1)*(Skills!T16*(1+Inputs!$B$34/100))+MIN((Skills!T16*(1+Inputs!$B$34/100)),MAX(0,Inputs!$B$43-((R841-1)*Skills!D16))))/Inputs!$B$43),IF(Inputs!$B$38="pvp",MIN((Skills!T16*(1+Inputs!$B$34/100)),15)/15,(Skills!T16*(1+Inputs!$B$34/100))/Skills!D16))+(C842=TRUE)*30</f>
        <v/>
      </c>
    </row>
    <row r="864">
      <c r="A864" t="inlineStr">
        <is>
          <t>Global Final Damage Bonus % (Mortal Blow)</t>
        </is>
      </c>
      <c r="B864">
        <f>(C843=TRUE)*F843</f>
        <v/>
      </c>
    </row>
    <row r="865">
      <c r="A865" t="inlineStr">
        <is>
          <t>Buff-Casting Startup Delay (s, fixed-duration only)</t>
        </is>
      </c>
      <c r="B865">
        <f>IF(AND(Inputs!$B$38&lt;&gt;"pvp",Inputs!$B$43&gt;0),SUMPRODUCT((Skills!T2:T30&gt;0)*(Skills!E2:E30=TRUE)*(C827:C855=TRUE))/B860,0)</f>
        <v/>
      </c>
    </row>
    <row r="866">
      <c r="A866" s="5" t="inlineStr">
        <is>
          <t>TOTAL DPS</t>
        </is>
      </c>
      <c r="B866" s="5">
        <f>SUM(O827:O855)</f>
        <v/>
      </c>
    </row>
    <row r="869">
      <c r="A869" s="5" t="inlineStr">
        <is>
          <t>Stat: Skill Level Bonus — 4th Job</t>
        </is>
      </c>
    </row>
    <row r="870">
      <c r="A870" s="9" t="inlineStr">
        <is>
          <t>Key</t>
        </is>
      </c>
      <c r="B870" s="9" t="inlineStr">
        <is>
          <t>Name</t>
        </is>
      </c>
      <c r="C870" s="9" t="inlineStr">
        <is>
          <t>Unlocked</t>
        </is>
      </c>
      <c r="D870" s="9" t="inlineStr">
        <is>
          <t>InputLevel</t>
        </is>
      </c>
      <c r="E870" s="9" t="inlineStr">
        <is>
          <t>Factor</t>
        </is>
      </c>
      <c r="F870" s="9" t="inlineStr">
        <is>
          <t>CoefficientPercent</t>
        </is>
      </c>
      <c r="G870" s="9" t="inlineStr">
        <is>
          <t>EffectiveHits</t>
        </is>
      </c>
      <c r="H870" s="9" t="inlineStr">
        <is>
          <t>ProcProbability</t>
        </is>
      </c>
      <c r="I870" s="9" t="inlineStr">
        <is>
          <t>MapleHeroMultiplier</t>
        </is>
      </c>
      <c r="J870" s="9" t="inlineStr">
        <is>
          <t>BaseDamage</t>
        </is>
      </c>
      <c r="K870" s="9" t="inlineStr">
        <is>
          <t>BaseHitDamage</t>
        </is>
      </c>
      <c r="L870" s="9" t="inlineStr">
        <is>
          <t>NonCritAvg</t>
        </is>
      </c>
      <c r="M870" s="9" t="inlineStr">
        <is>
          <t>CritAvg</t>
        </is>
      </c>
      <c r="N870" s="9" t="inlineStr">
        <is>
          <t>ExpectedDamage(perHit)</t>
        </is>
      </c>
      <c r="O870" s="9" t="inlineStr">
        <is>
          <t>DPS</t>
        </is>
      </c>
      <c r="P870" s="9" t="inlineStr">
        <is>
          <t>% of Total</t>
        </is>
      </c>
      <c r="Q870" s="9" t="inlineStr">
        <is>
          <t>InvCooldown</t>
        </is>
      </c>
      <c r="R870" s="9" t="inlineStr">
        <is>
          <t>CastsInFight</t>
        </is>
      </c>
      <c r="S870" s="9"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F(Inputs!$B$38="pvp",0,(1-Summary!$B$55)*(Inputs!$B$20+0+Skills!P2)+Summary!$B$55*(Inputs!$B$21+Skills!Q2))/100)*(1+Inputs!$B$16/100)*(5000/(6000+Inputs!$B$42*(1-(Inputs!$B$19+((C896=TRUE)*(F896-Calc!F27)))/100)))*(1+(Inputs!$B$24+((C894=TRUE)*(F894-Calc!F25))+((C895=TRUE)*(F895-Calc!F26))+B908)/100)*(1+(IF(Skills!A2="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871)</f>
        <v/>
      </c>
      <c r="L871">
        <f>K871*(MIN(Inputs!$B$22+((C893=TRUE)*(F893-Calc!F24)),Inputs!$B$23+((C898=TRUE)*(F898-Calc!F29)))/100+(Inputs!$B$23+((C898=TRUE)*(F898-Calc!F29)))/100)/2</f>
        <v/>
      </c>
      <c r="M871">
        <f>L871*(1+(Inputs!$B$10+0+B907)/100)</f>
        <v/>
      </c>
      <c r="N871">
        <f>L871*(1-MIN((Inputs!$B$9+((C889=TRUE)*(F889-Calc!F20))+B902),100)/100)+M871*(MIN((Inputs!$B$9+((C889=TRUE)*(F889-Calc!F20))+B902),100)/100)</f>
        <v/>
      </c>
      <c r="O871">
        <f>IF(C871,Skills!G2*N871*B906*IF(Inputs!$B$38="pvp",1,(1-Summary!$B$55)*(1)+Summary!$B$55*(MIN((6+Inputs!$B$33),Inputs!$B$37))),0)</f>
        <v/>
      </c>
      <c r="P871">
        <f>IF(B910=0,0,O871/B910)</f>
        <v/>
      </c>
      <c r="Q871" t="n">
        <v>0</v>
      </c>
      <c r="R871" t="n">
        <v>0</v>
      </c>
      <c r="S871">
        <f>IFERROR(O871/N871,0)</f>
        <v/>
      </c>
      <c r="U871">
        <f>MAX(0,(Inputs!$B$3-100)*3)+(Inputs!$B$28+1)+Inputs!$B$29</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Inputs!$B$3&gt;=35</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F(Inputs!$B$38="pvp",0,(1-Summary!$B$55)*(Inputs!$B$20+0+Skills!P5)+Summary!$B$55*(Inputs!$B$21+Skills!Q5))/100)*(1+Inputs!$B$16/100)*(5000/(6000+Inputs!$B$42*(1-(Inputs!$B$19+((C896=TRUE)*(F896-Calc!F27)))/100)))*(1+(Inputs!$B$24+((C894=TRUE)*(F894-Calc!F25))+((C895=TRUE)*(F895-Calc!F26))+B908)/100)*(1+4.0*IF(C879=TRUE,F879,0)/100)*(1+(IF(Skills!A5="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874)</f>
        <v/>
      </c>
      <c r="L874">
        <f>K874*(MIN(Inputs!$B$22+((C893=TRUE)*(F893-Calc!F24)),Inputs!$B$23+((C898=TRUE)*(F898-Calc!F29)))/100+(Inputs!$B$23+((C898=TRUE)*(F898-Calc!F29)))/100)/2</f>
        <v/>
      </c>
      <c r="M874">
        <f>L874*(1+(Inputs!$B$10+0+B907)/100)</f>
        <v/>
      </c>
      <c r="N874">
        <f>L874*(1-MIN((Inputs!$B$9+((C889=TRUE)*(F889-Calc!F20))+B902),100)/100)+M874*(MIN((Inputs!$B$9+((C889=TRUE)*(F889-Calc!F20))+B902),100)/100)</f>
        <v/>
      </c>
      <c r="O874">
        <f>IF(C874,H874*N874*IF(AND(Inputs!$B$38&lt;&gt;"pvp",Inputs!$B$43&gt;0),((Skills!G5*((R874-1)*IF(Skills!H5&gt;0,Skills!I5/Skills!H5,1)+IF(Skills!H5&gt;0,MIN(Skills!I5,MAX(0,MAX(0,Inputs!$B$43-B909)-((R874-1)*IF(Inputs!$B$38="pvp",15,MAX(0.1,Skills!D5-IF(Skills!E5=TRUE,Inputs!$B$32,0))))))/Skills!H5,1)))/Inputs!$B$43),G874*Q874)*IF(Inputs!$B$38="pvp",1,(1-Summary!$B$55)*(1)+Summary!$B$55*(MIN(Skills!R5,Inputs!$B$37))),0)</f>
        <v/>
      </c>
      <c r="P874">
        <f>IF(B910=0,0,O874/B910)</f>
        <v/>
      </c>
      <c r="Q874">
        <f>IFERROR(1/IF(Inputs!$B$38="pvp",15,MAX(0.1,Skills!D5-IF(Skills!E5=TRUE,Inputs!$B$32,0))),0)</f>
        <v/>
      </c>
      <c r="R874">
        <f>IF(AND(Inputs!$B$38&lt;&gt;"pvp",Inputs!$B$43&gt;0),IF(MAX(0,Inputs!$B$43-B909)&lt;=0,0,(INT(MAX(0,Inputs!$B$43-B909)/IF(Inputs!$B$38="pvp",15,MAX(0.1,Skills!D5-IF(Skills!E5=TRUE,Inputs!$B$32,0))))+1)),0)</f>
        <v/>
      </c>
      <c r="S874">
        <f>IFERROR(O874/N874,0)</f>
        <v/>
      </c>
    </row>
    <row r="875">
      <c r="A875">
        <f>Skills!A6</f>
        <v/>
      </c>
      <c r="B875">
        <f>Skills!B6</f>
        <v/>
      </c>
      <c r="C875">
        <f>Inputs!$B$3&gt;=40</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F(Inputs!$B$38="pvp",0,(1-Summary!$B$55)*(Inputs!$B$20+0+Skills!P6)+Summary!$B$55*(Inputs!$B$21+Skills!Q6))/100)*(1+Inputs!$B$16/100)*(5000/(6000+Inputs!$B$42*(1-(Inputs!$B$19+((C896=TRUE)*(F896-Calc!F27)))/100)))*(1+(Inputs!$B$24+((C894=TRUE)*(F894-Calc!F25))+((C895=TRUE)*(F895-Calc!F26))+B908)/100)*(1+IF(C876=TRUE,F876,0)/100)*(1+(IF(Skills!A6="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875)</f>
        <v/>
      </c>
      <c r="L875">
        <f>K875*(MIN(Inputs!$B$22+((C893=TRUE)*(F893-Calc!F24)),Inputs!$B$23+((C898=TRUE)*(F898-Calc!F29)))/100+(Inputs!$B$23+((C898=TRUE)*(F898-Calc!F29)))/100)/2</f>
        <v/>
      </c>
      <c r="M875">
        <f>L875*(1+(Inputs!$B$10+0+B907)/100)</f>
        <v/>
      </c>
      <c r="N875">
        <f>L875*(1-MIN((Inputs!$B$9+((C889=TRUE)*(F889-Calc!F20))+B902),100)/100)+M875*(MIN((Inputs!$B$9+((C889=TRUE)*(F889-Calc!F20))+B902),100)/100)</f>
        <v/>
      </c>
      <c r="O875">
        <f>IF(C875,H875*N875*IF(AND(Inputs!$B$38&lt;&gt;"pvp",Inputs!$B$43&gt;0),((Skills!G6*((R875-1)*IF(Skills!H6&gt;0,Skills!I6/Skills!H6,1)+IF(Skills!H6&gt;0,MIN(Skills!I6,MAX(0,MAX(0,Inputs!$B$43-B909)-((R875-1)*IF(Inputs!$B$38="pvp",15,MAX(0.1,Skills!D6-IF(Skills!E6=TRUE,Inputs!$B$32,0))))))/Skills!H6,1)))/Inputs!$B$43),G875*Q875)*IF(Inputs!$B$38="pvp",1,(1-Summary!$B$55)*(1)+Summary!$B$55*(MIN(Skills!R6,Inputs!$B$37))),0)</f>
        <v/>
      </c>
      <c r="P875">
        <f>IF(B910=0,0,O875/B910)</f>
        <v/>
      </c>
      <c r="Q875">
        <f>IFERROR(1/IF(Inputs!$B$38="pvp",15,MAX(0.1,Skills!D6-IF(Skills!E6=TRUE,Inputs!$B$32,0))),0)</f>
        <v/>
      </c>
      <c r="R875">
        <f>IF(AND(Inputs!$B$38&lt;&gt;"pvp",Inputs!$B$43&gt;0),IF(MAX(0,Inputs!$B$43-B909)&lt;=0,0,(INT(MAX(0,Inputs!$B$43-B909)/IF(Inputs!$B$38="pvp",15,MAX(0.1,Skills!D6-IF(Skills!E6=TRUE,Inputs!$B$32,0))))+1)),0)</f>
        <v/>
      </c>
      <c r="S875">
        <f>IFERROR(O875/N875,0)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t="inlineStr"/>
      <c r="H876" t="inlineStr"/>
      <c r="I876" t="inlineStr">
        <is>
          <t>1</t>
        </is>
      </c>
      <c r="J876" t="inlineStr"/>
      <c r="K876" t="inlineStr"/>
      <c r="L876" t="inlineStr"/>
      <c r="M876" t="inlineStr"/>
      <c r="N876" t="inlineStr"/>
      <c r="O876" t="inlineStr"/>
      <c r="P876" t="inlineStr"/>
      <c r="Q876" t="inlineStr"/>
      <c r="R876" t="inlineStr"/>
      <c r="S876" t="inlineStr"/>
    </row>
    <row r="877">
      <c r="A877">
        <f>Skills!A8</f>
        <v/>
      </c>
      <c r="B877">
        <f>Skills!B8</f>
        <v/>
      </c>
      <c r="C877">
        <f>Inputs!$B$3&gt;=69</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F(Inputs!$B$38="pvp",0,(1-Summary!$B$55)*(Inputs!$B$20+0+Skills!P8)+Summary!$B$55*(Inputs!$B$21+Skills!Q8))/100)*(1+Inputs!$B$16/100)*(5000/(6000+Inputs!$B$42*(1-(Inputs!$B$19+((C896=TRUE)*(F896-Calc!F27)))/100)))*(1+(Inputs!$B$24+((C894=TRUE)*(F894-Calc!F25))+((C895=TRUE)*(F895-Calc!F26))+B908)/100)*(1+1.2*IF(C879=TRUE,F879,0)/100)*(1+(IF(Skills!A8="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877)</f>
        <v/>
      </c>
      <c r="L877">
        <f>K877*(MIN(Inputs!$B$22+((C893=TRUE)*(F893-Calc!F24)),Inputs!$B$23+((C898=TRUE)*(F898-Calc!F29)))/100+(Inputs!$B$23+((C898=TRUE)*(F898-Calc!F29)))/100)/2</f>
        <v/>
      </c>
      <c r="M877">
        <f>L877*(1+(Inputs!$B$10+0+B907)/100)</f>
        <v/>
      </c>
      <c r="N877">
        <f>L877*(1-MIN((Inputs!$B$9+((C889=TRUE)*(F889-Calc!F20))+B902),100)/100)+M877*(MIN((Inputs!$B$9+((C889=TRUE)*(F889-Calc!F20))+B902),100)/100)</f>
        <v/>
      </c>
      <c r="O877">
        <f>IF(C877,H877*N877*IF(AND(Inputs!$B$38&lt;&gt;"pvp",Inputs!$B$43&gt;0),((Skills!G8*((R877-1)*IF(Skills!H8&gt;0,Skills!I8/Skills!H8,1)+IF(Skills!H8&gt;0,MIN(Skills!I8,MAX(0,MAX(0,Inputs!$B$43-B909)-((R877-1)*IF(Inputs!$B$38="pvp",15,MAX(0.1,Skills!D8-IF(Skills!E8=TRUE,Inputs!$B$32,0))))))/Skills!H8,1)))/Inputs!$B$43),G877*Q877)*IF(Inputs!$B$38="pvp",1,(1-Summary!$B$55)*(1)+Summary!$B$55*(MIN(Skills!R8,Inputs!$B$37))),0)</f>
        <v/>
      </c>
      <c r="P877">
        <f>IF(B910=0,0,O877/B910)</f>
        <v/>
      </c>
      <c r="Q877">
        <f>IFERROR(1/IF(Inputs!$B$38="pvp",15,MAX(0.1,Skills!D8-IF(Skills!E8=TRUE,Inputs!$B$32,0))),0)</f>
        <v/>
      </c>
      <c r="R877">
        <f>IF(AND(Inputs!$B$38&lt;&gt;"pvp",Inputs!$B$43&gt;0),IF(MAX(0,Inputs!$B$43-B909)&lt;=0,0,(INT(MAX(0,Inputs!$B$43-B909)/IF(Inputs!$B$38="pvp",15,MAX(0.1,Skills!D8-IF(Skills!E8=TRUE,Inputs!$B$32,0))))+1)),0)</f>
        <v/>
      </c>
      <c r="S877">
        <f>IFERROR(O877/N877,0)</f>
        <v/>
      </c>
    </row>
    <row r="878">
      <c r="A878">
        <f>Skills!A9</f>
        <v/>
      </c>
      <c r="B878">
        <f>Skills!B9</f>
        <v/>
      </c>
      <c r="C878">
        <f>Inputs!$B$3&gt;=63</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F(Inputs!$B$38="pvp",0,(1-Summary!$B$55)*(Inputs!$B$20+0+Skills!P9)+Summary!$B$55*(Inputs!$B$21+Skills!Q9))/100)*(1+Inputs!$B$16/100)*(5000/(6000+Inputs!$B$42*(1-(Inputs!$B$19+((C896=TRUE)*(F896-Calc!F27)))/100)))*(1+(Inputs!$B$24+((C894=TRUE)*(F894-Calc!F25))+((C895=TRUE)*(F895-Calc!F26))+B908)/100)*(1+1.0*IF(C879=TRUE,F879,0)/100)*(1+(IF(Skills!A9="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878)</f>
        <v/>
      </c>
      <c r="L878">
        <f>K878*(MIN(Inputs!$B$22+((C893=TRUE)*(F893-Calc!F24)),Inputs!$B$23+((C898=TRUE)*(F898-Calc!F29)))/100+(Inputs!$B$23+((C898=TRUE)*(F898-Calc!F29)))/100)/2</f>
        <v/>
      </c>
      <c r="M878">
        <f>L878*(1+(Inputs!$B$10+0+B907)/100)</f>
        <v/>
      </c>
      <c r="N878">
        <f>L878*(1-MIN((Inputs!$B$9+((C889=TRUE)*(F889-Calc!F20))+B902),100)/100)+M878*(MIN((Inputs!$B$9+((C889=TRUE)*(F889-Calc!F20))+B902),100)/100)</f>
        <v/>
      </c>
      <c r="O878">
        <f>IF(C878,H878*N878*IF(AND(Inputs!$B$38&lt;&gt;"pvp",Inputs!$B$43&gt;0),((Skills!G9*((R878-1)*IF(Skills!H9&gt;0,Skills!I9/Skills!H9,1)+IF(Skills!H9&gt;0,MIN(Skills!I9,MAX(0,MAX(0,Inputs!$B$43-B909)-((R878-1)*IF(Inputs!$B$38="pvp",15,MAX(0.1,Skills!D9-IF(Skills!E9=TRUE,Inputs!$B$32,0))))))/Skills!H9,1)))/Inputs!$B$43),G878*Q878)*IF(Inputs!$B$38="pvp",1,(1-Summary!$B$55)*(1)+Summary!$B$55*(MIN(Skills!R9,Inputs!$B$37))),0)</f>
        <v/>
      </c>
      <c r="P878">
        <f>IF(B910=0,0,O878/B910)</f>
        <v/>
      </c>
      <c r="Q878">
        <f>IFERROR(1/IF(Inputs!$B$38="pvp",15,MAX(0.1,Skills!D9-IF(Skills!E9=TRUE,Inputs!$B$32,0))),0)</f>
        <v/>
      </c>
      <c r="R878">
        <f>IF(AND(Inputs!$B$38&lt;&gt;"pvp",Inputs!$B$43&gt;0),IF(MAX(0,Inputs!$B$43-B909)&lt;=0,0,(INT(MAX(0,Inputs!$B$43-B909)/IF(Inputs!$B$38="pvp",15,MAX(0.1,Skills!D9-IF(Skills!E9=TRUE,Inputs!$B$32,0))))+1)),0)</f>
        <v/>
      </c>
      <c r="S878">
        <f>IFERROR(O878/N878,0)</f>
        <v/>
      </c>
    </row>
    <row r="879">
      <c r="A879">
        <f>Skills!A10</f>
        <v/>
      </c>
      <c r="B879">
        <f>Skills!B10</f>
        <v/>
      </c>
      <c r="C879">
        <f>Inputs!$B$3&gt;=100</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Skills!A11</f>
        <v/>
      </c>
      <c r="B880">
        <f>Skills!B11</f>
        <v/>
      </c>
      <c r="C880">
        <f>Inputs!$B$3&gt;=60</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F(Inputs!$B$38="pvp",0,(1-Summary!$B$55)*(Inputs!$B$20+0+Skills!P11)+Summary!$B$55*(Inputs!$B$21+Skills!Q11))/100)*(1+Inputs!$B$16/100)*(5000/(6000+Inputs!$B$42*(1-(Inputs!$B$19+((C896=TRUE)*(F896-Calc!F27)))/100)))*(1+(Inputs!$B$24+((C894=TRUE)*(F894-Calc!F25))+((C895=TRUE)*(F895-Calc!F26))+B908)/100)*(1+IF(C881=TRUE,F881,0)/100)*(1+(IF(Skills!A11="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880)</f>
        <v/>
      </c>
      <c r="L880">
        <f>K880*(MIN(Inputs!$B$22+((C893=TRUE)*(F893-Calc!F24)),Inputs!$B$23+((C898=TRUE)*(F898-Calc!F29)))/100+(Inputs!$B$23+((C898=TRUE)*(F898-Calc!F29)))/100)/2</f>
        <v/>
      </c>
      <c r="M880">
        <f>L880*(1+(Inputs!$B$10+0+B907)/100)</f>
        <v/>
      </c>
      <c r="N880">
        <f>L880*(1-MIN((Inputs!$B$9+((C889=TRUE)*(F889-Calc!F20))+B902),100)/100)+M880*(MIN((Inputs!$B$9+((C889=TRUE)*(F889-Calc!F20))+B902),100)/100)</f>
        <v/>
      </c>
      <c r="O880">
        <f>IF(C880,H880*N880*IF(AND(Inputs!$B$38&lt;&gt;"pvp",Inputs!$B$43&gt;0),((Skills!G11*((R880-1)*IF(Skills!H11&gt;0,Skills!I11/Skills!H11,1)+IF(Skills!H11&gt;0,MIN(Skills!I11,MAX(0,MAX(0,Inputs!$B$43-B909)-((R880-1)*IF(Inputs!$B$38="pvp",15,MAX(0.1,Skills!D11-IF(Skills!E11=TRUE,Inputs!$B$32,0))))))/Skills!H11,1)))/Inputs!$B$43),G880*Q880)*IF(Inputs!$B$38="pvp",1,(1-Summary!$B$55)*(1)+Summary!$B$55*(MIN(Skills!R11,Inputs!$B$37))),0)</f>
        <v/>
      </c>
      <c r="P880">
        <f>IF(B910=0,0,O880/B910)</f>
        <v/>
      </c>
      <c r="Q880">
        <f>IFERROR(1/IF(Inputs!$B$38="pvp",15,MAX(0.1,Skills!D11-IF(Skills!E11=TRUE,Inputs!$B$32,0))),0)</f>
        <v/>
      </c>
      <c r="R880">
        <f>IF(AND(Inputs!$B$38&lt;&gt;"pvp",Inputs!$B$43&gt;0),IF(MAX(0,Inputs!$B$43-B909)&lt;=0,0,(INT(MAX(0,Inputs!$B$43-B909)/IF(Inputs!$B$38="pvp",15,MAX(0.1,Skills!D11-IF(Skills!E11=TRUE,Inputs!$B$32,0))))+1)),0)</f>
        <v/>
      </c>
      <c r="S880">
        <f>IFERROR(O880/N880,0)</f>
        <v/>
      </c>
    </row>
    <row r="881">
      <c r="A881">
        <f>Skills!A12</f>
        <v/>
      </c>
      <c r="B881">
        <f>Skills!B12</f>
        <v/>
      </c>
      <c r="C881">
        <f>Inputs!$B$3&gt;=110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Inputs!$B$3&gt;=74</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t="n">
        <v>0</v>
      </c>
      <c r="P882">
        <f>IF(B910=0,0,O882/B910)</f>
        <v/>
      </c>
      <c r="Q882" t="n">
        <v>0</v>
      </c>
      <c r="R882" t="n">
        <v>0</v>
      </c>
      <c r="S882">
        <f>IFERROR(O882/N882,0)</f>
        <v/>
      </c>
    </row>
    <row r="883">
      <c r="A883">
        <f>Skills!A14</f>
        <v/>
      </c>
      <c r="B883">
        <f>Skills!B14</f>
        <v/>
      </c>
      <c r="C883">
        <f>Inputs!$B$3&gt;=74</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t="n">
        <v>0</v>
      </c>
      <c r="P883">
        <f>IF(B910=0,0,O883/B910)</f>
        <v/>
      </c>
      <c r="Q883" t="n">
        <v>0</v>
      </c>
      <c r="R883" t="n">
        <v>0</v>
      </c>
      <c r="S883">
        <f>IFERROR(O883/N883,0)</f>
        <v/>
      </c>
    </row>
    <row r="884">
      <c r="A884">
        <f>Skills!A15</f>
        <v/>
      </c>
      <c r="B884">
        <f>Skills!B15</f>
        <v/>
      </c>
      <c r="C884">
        <f>Inputs!$B$3&gt;=117</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t="n">
        <v>0</v>
      </c>
      <c r="P884">
        <f>IF(B910=0,0,O884/B910)</f>
        <v/>
      </c>
      <c r="Q884">
        <f>IFERROR(1/IF(Inputs!$B$38="pvp",15,MAX(0.1,Skills!D15-IF(Skills!E15=TRUE,Inputs!$B$32,0))),0)</f>
        <v/>
      </c>
      <c r="R884">
        <f>IF(AND(Inputs!$B$38&lt;&gt;"pvp",Inputs!$B$43&gt;0),IF(Inputs!$B$43&lt;=0,0,(INT(Inputs!$B$43/IF(Inputs!$B$38="pvp",15,MAX(0.1,Skills!D15-IF(Skills!E15=TRUE,Inputs!$B$32,0))))+1)),0)</f>
        <v/>
      </c>
      <c r="S884">
        <f>IFERROR(O884/N884,0)</f>
        <v/>
      </c>
    </row>
    <row r="885">
      <c r="A885">
        <f>Skills!A16</f>
        <v/>
      </c>
      <c r="B885">
        <f>Skills!B16</f>
        <v/>
      </c>
      <c r="C885">
        <f>Inputs!$B$3&gt;=115</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t="n">
        <v>0</v>
      </c>
      <c r="P885">
        <f>IF(B910=0,0,O885/B910)</f>
        <v/>
      </c>
      <c r="Q885">
        <f>IFERROR(1/IF(Inputs!$B$38="pvp",15,MAX(0.1,Skills!D16-IF(Skills!E16=TRUE,Inputs!$B$32,0))),0)</f>
        <v/>
      </c>
      <c r="R885">
        <f>IF(AND(Inputs!$B$38&lt;&gt;"pvp",Inputs!$B$43&gt;0),IF(Inputs!$B$43&lt;=0,0,(INT(Inputs!$B$43/IF(Inputs!$B$38="pvp",15,MAX(0.1,Skills!D16-IF(Skills!E16=TRUE,Inputs!$B$32,0))))+1)),0)</f>
        <v/>
      </c>
      <c r="S885">
        <f>IFERROR(O885/N885,0)</f>
        <v/>
      </c>
    </row>
    <row r="886">
      <c r="A886">
        <f>Skills!A17</f>
        <v/>
      </c>
      <c r="B886">
        <f>Skills!B17</f>
        <v/>
      </c>
      <c r="C886">
        <f>Inputs!$B$3&gt;=66</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t="n">
        <v>0</v>
      </c>
      <c r="P886">
        <f>IF(B910=0,0,O886/B910)</f>
        <v/>
      </c>
      <c r="Q886" t="n">
        <v>0</v>
      </c>
      <c r="R886" t="n">
        <v>0</v>
      </c>
      <c r="S886">
        <f>IFERROR(O886/N886,0)</f>
        <v/>
      </c>
    </row>
    <row r="887">
      <c r="A887">
        <f>Skills!A18</f>
        <v/>
      </c>
      <c r="B887">
        <f>Skills!B18</f>
        <v/>
      </c>
      <c r="C887">
        <f>Inputs!$B$3&gt;=72</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t="n">
        <v>0</v>
      </c>
      <c r="P887">
        <f>IF(B910=0,0,O887/B910)</f>
        <v/>
      </c>
      <c r="Q887" t="n">
        <v>0</v>
      </c>
      <c r="R887" t="n">
        <v>0</v>
      </c>
      <c r="S887">
        <f>IFERROR(O887/N887,0)</f>
        <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t="n">
        <v>0</v>
      </c>
      <c r="P888">
        <f>IF(B910=0,0,O888/B910)</f>
        <v/>
      </c>
      <c r="Q888">
        <f>IFERROR(1/IF(Inputs!$B$38="pvp",15,MAX(0.1,Skills!D19-IF(Skills!E19=TRUE,Inputs!$B$32,0))),0)</f>
        <v/>
      </c>
      <c r="R888">
        <f>IF(AND(Inputs!$B$38&lt;&gt;"pvp",Inputs!$B$43&gt;0),IF(Inputs!$B$43&lt;=0,0,(INT(Inputs!$B$43/IF(Inputs!$B$38="pvp",15,MAX(0.1,Skills!D19-IF(Skills!E19=TRUE,Inputs!$B$32,0))))+1)),0)</f>
        <v/>
      </c>
      <c r="S888">
        <f>IFERROR(O888/N888,0)</f>
        <v/>
      </c>
    </row>
    <row r="889">
      <c r="A889">
        <f>Skills!A20</f>
        <v/>
      </c>
      <c r="B889">
        <f>Skills!B20</f>
        <v/>
      </c>
      <c r="C889">
        <f>Inputs!$B$3&gt;=15</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t="n">
        <v>0</v>
      </c>
      <c r="P889">
        <f>IF(B910=0,0,O889/B910)</f>
        <v/>
      </c>
      <c r="Q889" t="n">
        <v>0</v>
      </c>
      <c r="R889" t="n">
        <v>0</v>
      </c>
      <c r="S889">
        <f>IFERROR(O889/N889,0)</f>
        <v/>
      </c>
    </row>
    <row r="890">
      <c r="A890">
        <f>Skills!A21</f>
        <v/>
      </c>
      <c r="B890">
        <f>Skills!B21</f>
        <v/>
      </c>
      <c r="C890">
        <f>Inputs!$B$3&gt;=10</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t="n">
        <v>0</v>
      </c>
      <c r="P890">
        <f>IF(B910=0,0,O890/B910)</f>
        <v/>
      </c>
      <c r="Q890" t="n">
        <v>0</v>
      </c>
      <c r="R890" t="n">
        <v>0</v>
      </c>
      <c r="S890">
        <f>IFERROR(O890/N890,0)</f>
        <v/>
      </c>
    </row>
    <row r="891">
      <c r="A891">
        <f>Skills!A22</f>
        <v/>
      </c>
      <c r="B891">
        <f>Skills!B22</f>
        <v/>
      </c>
      <c r="C891">
        <f>Inputs!$B$3&gt;=33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t="n">
        <v>0</v>
      </c>
      <c r="P891">
        <f>IF(B910=0,0,O891/B910)</f>
        <v/>
      </c>
      <c r="Q891" t="n">
        <v>0</v>
      </c>
      <c r="R891" t="n">
        <v>0</v>
      </c>
      <c r="S891">
        <f>IFERROR(O891/N891,0)</f>
        <v/>
      </c>
    </row>
    <row r="892">
      <c r="A892">
        <f>Skills!A23</f>
        <v/>
      </c>
      <c r="B892">
        <f>Skills!B23</f>
        <v/>
      </c>
      <c r="C892">
        <f>Inputs!$B$3&gt;=38</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t="n">
        <v>0</v>
      </c>
      <c r="P892">
        <f>IF(B910=0,0,O892/B910)</f>
        <v/>
      </c>
      <c r="Q892" t="n">
        <v>0</v>
      </c>
      <c r="R892" t="n">
        <v>0</v>
      </c>
      <c r="S892">
        <f>IFERROR(O892/N892,0)</f>
        <v/>
      </c>
    </row>
    <row r="893">
      <c r="A893">
        <f>Skills!A24</f>
        <v/>
      </c>
      <c r="B893">
        <f>Skills!B24</f>
        <v/>
      </c>
      <c r="C893">
        <f>Inputs!$B$3&gt;=43</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t="n">
        <v>0</v>
      </c>
      <c r="P893">
        <f>IF(B910=0,0,O893/B910)</f>
        <v/>
      </c>
      <c r="Q893" t="n">
        <v>0</v>
      </c>
      <c r="R893" t="n">
        <v>0</v>
      </c>
      <c r="S893">
        <f>IFERROR(O893/N893,0)</f>
        <v/>
      </c>
    </row>
    <row r="894">
      <c r="A894">
        <f>Skills!A25</f>
        <v/>
      </c>
      <c r="B894">
        <f>Skills!B25</f>
        <v/>
      </c>
      <c r="C894">
        <f>Inputs!$B$3&gt;=75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t="n">
        <v>0</v>
      </c>
      <c r="P894">
        <f>IF(B910=0,0,O894/B910)</f>
        <v/>
      </c>
      <c r="Q894" t="n">
        <v>0</v>
      </c>
      <c r="R894" t="n">
        <v>0</v>
      </c>
      <c r="S894">
        <f>IFERROR(O894/N894,0)</f>
        <v/>
      </c>
    </row>
    <row r="895">
      <c r="A895">
        <f>Skills!A26</f>
        <v/>
      </c>
      <c r="B895">
        <f>Skills!B26</f>
        <v/>
      </c>
      <c r="C895">
        <f>Inputs!$B$3&gt;=125</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t="n">
        <v>0</v>
      </c>
      <c r="P895">
        <f>IF(B910=0,0,O895/B910)</f>
        <v/>
      </c>
      <c r="Q895" t="n">
        <v>0</v>
      </c>
      <c r="R895" t="n">
        <v>0</v>
      </c>
      <c r="S895">
        <f>IFERROR(O895/N895,0)</f>
        <v/>
      </c>
    </row>
    <row r="896">
      <c r="A896">
        <f>Skills!A27</f>
        <v/>
      </c>
      <c r="B896">
        <f>Skills!B27</f>
        <v/>
      </c>
      <c r="C896">
        <f>Inputs!$B$3&gt;=125</f>
        <v/>
      </c>
      <c r="D896">
        <f>IF(Skills!C27=1,60+Inputs!$B$25+Inputs!$B$29,IF(Skills!C27=2,90+Inputs!$B$26+Inputs!$B$29,IF(Skills!C27=3,120+Inputs!$B$27+Inputs!$B$29,MAX(0,(Inputs!$B$3-100)*3)+(Inputs!$B$28+1)+Inputs!$B$29)))</f>
        <v/>
      </c>
      <c r="E896">
        <f>INDEX(FactorTable!$B$2:$Y$301, MATCH(ROUND(MIN(300,MAX(1,D896)),0), FactorTable!$A$2:$A$301,0), Skills!M27+1)</f>
        <v/>
      </c>
      <c r="F896">
        <f>IF(Skills!N27=TRUE,(Skills!L27/10)*(E896/1000),Skills!L27/10)+Skills!O27</f>
        <v/>
      </c>
      <c r="G896">
        <f>Skills!G27*IF(Skills!H27&gt;0,Skills!I27/Skills!H27,1)</f>
        <v/>
      </c>
      <c r="H896">
        <f>1-(1-Skills!J27/100)^Skills!K27</f>
        <v/>
      </c>
      <c r="I896" t="inlineStr">
        <is>
          <t>1</t>
        </is>
      </c>
      <c r="J896" t="inlineStr"/>
      <c r="K896" t="inlineStr"/>
      <c r="L896" t="inlineStr"/>
      <c r="M896" t="inlineStr"/>
      <c r="N896" t="inlineStr"/>
      <c r="O896" t="n">
        <v>0</v>
      </c>
      <c r="P896">
        <f>IF(B910=0,0,O896/B910)</f>
        <v/>
      </c>
      <c r="Q896" t="n">
        <v>0</v>
      </c>
      <c r="R896" t="n">
        <v>0</v>
      </c>
      <c r="S896">
        <f>IFERROR(O896/N896,0)</f>
        <v/>
      </c>
    </row>
    <row r="897">
      <c r="A897">
        <f>Skills!A28</f>
        <v/>
      </c>
      <c r="B897">
        <f>Skills!B28</f>
        <v/>
      </c>
      <c r="C897">
        <f>Inputs!$B$3&gt;=120</f>
        <v/>
      </c>
      <c r="D897">
        <f>IF(Skills!C28=1,60+Inputs!$B$25+Inputs!$B$29,IF(Skills!C28=2,90+Inputs!$B$26+Inputs!$B$29,IF(Skills!C28=3,120+Inputs!$B$27+Inputs!$B$29,MAX(0,(Inputs!$B$3-100)*3)+(Inputs!$B$28+1)+Inputs!$B$29)))</f>
        <v/>
      </c>
      <c r="E897">
        <f>INDEX(FactorTable!$B$2:$Y$301, MATCH(ROUND(MIN(300,MAX(1,D897)),0), FactorTable!$A$2:$A$301,0), Skills!M28+1)</f>
        <v/>
      </c>
      <c r="F897">
        <f>IF(Skills!N28=TRUE,(Skills!L28/10)*(E897/1000),Skills!L28/10)+Skills!O28</f>
        <v/>
      </c>
      <c r="G897">
        <f>Skills!G28*IF(Skills!H28&gt;0,Skills!I28/Skills!H28,1)</f>
        <v/>
      </c>
      <c r="H897">
        <f>1-(1-Skills!J28/100)^Skills!K28</f>
        <v/>
      </c>
      <c r="I897" t="inlineStr">
        <is>
          <t>1</t>
        </is>
      </c>
      <c r="J897" t="inlineStr"/>
      <c r="K897" t="inlineStr"/>
      <c r="L897" t="inlineStr"/>
      <c r="M897" t="inlineStr"/>
      <c r="N897" t="inlineStr"/>
      <c r="O897" t="n">
        <v>0</v>
      </c>
      <c r="P897">
        <f>IF(B910=0,0,O897/B910)</f>
        <v/>
      </c>
      <c r="Q897" t="n">
        <v>0</v>
      </c>
      <c r="R897" t="n">
        <v>0</v>
      </c>
      <c r="S897">
        <f>IFERROR(O897/N897,0)</f>
        <v/>
      </c>
    </row>
    <row r="898">
      <c r="A898">
        <f>Skills!A29</f>
        <v/>
      </c>
      <c r="B898">
        <f>Skills!B29</f>
        <v/>
      </c>
      <c r="C898">
        <f>Inputs!$B$3&gt;=120</f>
        <v/>
      </c>
      <c r="D898">
        <f>IF(Skills!C29=1,60+Inputs!$B$25+Inputs!$B$29,IF(Skills!C29=2,90+Inputs!$B$26+Inputs!$B$29,IF(Skills!C29=3,120+Inputs!$B$27+Inputs!$B$29,MAX(0,(Inputs!$B$3-100)*3)+(Inputs!$B$28+1)+Inputs!$B$29)))</f>
        <v/>
      </c>
      <c r="E898">
        <f>INDEX(FactorTable!$B$2:$Y$301, MATCH(ROUND(MIN(300,MAX(1,D898)),0), FactorTable!$A$2:$A$301,0), Skills!M29+1)</f>
        <v/>
      </c>
      <c r="F898">
        <f>IF(Skills!N29=TRUE,(Skills!L29/10)*(E898/1000),Skills!L29/10)+Skills!O29</f>
        <v/>
      </c>
      <c r="G898">
        <f>Skills!G29*IF(Skills!H29&gt;0,Skills!I29/Skills!H29,1)</f>
        <v/>
      </c>
      <c r="H898">
        <f>1-(1-Skills!J29/100)^Skills!K29</f>
        <v/>
      </c>
      <c r="I898" t="inlineStr">
        <is>
          <t>1</t>
        </is>
      </c>
      <c r="J898" t="inlineStr"/>
      <c r="K898" t="inlineStr"/>
      <c r="L898" t="inlineStr"/>
      <c r="M898" t="inlineStr"/>
      <c r="N898" t="inlineStr"/>
      <c r="O898" t="n">
        <v>0</v>
      </c>
      <c r="P898">
        <f>IF(B910=0,0,O898/B910)</f>
        <v/>
      </c>
      <c r="Q898" t="n">
        <v>0</v>
      </c>
      <c r="R898" t="n">
        <v>0</v>
      </c>
      <c r="S898">
        <f>IFERROR(O898/N898,0)</f>
        <v/>
      </c>
    </row>
    <row r="899">
      <c r="A899">
        <f>Skills!A30</f>
        <v/>
      </c>
      <c r="B899">
        <f>Skills!B30</f>
        <v/>
      </c>
      <c r="C899">
        <f>Inputs!$B$3&gt;=45</f>
        <v/>
      </c>
      <c r="D899">
        <f>IF(Skills!C30=1,60+Inputs!$B$25+Inputs!$B$29,IF(Skills!C30=2,90+Inputs!$B$26+Inputs!$B$29,IF(Skills!C30=3,120+Inputs!$B$27+Inputs!$B$29,MAX(0,(Inputs!$B$3-100)*3)+(Inputs!$B$28+1)+Inputs!$B$29)))</f>
        <v/>
      </c>
      <c r="E899">
        <f>INDEX(FactorTable!$B$2:$Y$301, MATCH(ROUND(MIN(300,MAX(1,D899)),0), FactorTable!$A$2:$A$301,0), Skills!M30+1)</f>
        <v/>
      </c>
      <c r="F899">
        <f>IF(Skills!N30=TRUE,(Skills!L30/10)*(E899/1000),Skills!L30/10)+Skills!O30</f>
        <v/>
      </c>
      <c r="G899">
        <f>Skills!G30*IF(Skills!H30&gt;0,Skills!I30/Skills!H30,1)</f>
        <v/>
      </c>
      <c r="H899">
        <f>1-(1-Skills!J30/100)^Skills!K30</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f>
        <v/>
      </c>
    </row>
    <row r="902">
      <c r="A902" t="inlineStr">
        <is>
          <t>Global Crit Rate Bonus %</t>
        </is>
      </c>
      <c r="B902">
        <f>(C885=TRUE)*20*IF(AND(Inputs!$B$38&lt;&gt;"pvp",Inputs!$B$43&gt;0),(((R885-1)*(Skills!T16*(1+Inputs!$B$34/100))+MIN((Skills!T16*(1+Inputs!$B$34/100)),MAX(0,Inputs!$B$43-((R885-1)*Skills!D16))))/Inputs!$B$43),IF(Inputs!$B$38="pvp",MIN((Skills!T16*(1+Inputs!$B$34/100)),15)/15,(Skills!T16*(1+Inputs!$B$34/100))/Skills!D16))</f>
        <v/>
      </c>
    </row>
    <row r="903">
      <c r="A903" t="inlineStr">
        <is>
          <t>Attack Speed Buff Bonus %</t>
        </is>
      </c>
      <c r="B903">
        <f>((C888=TRUE)*F888*IF(AND(Inputs!$B$38&lt;&gt;"pvp",Inputs!$B$43&gt;0),(((R888-1)*(Skills!T19*(1+Inputs!$B$34/100))+MIN((Skills!T19*(1+Inputs!$B$34/100)),MAX(0,Inputs!$B$43-((R888-1)*Skills!D19))))/Inputs!$B$43),IF(Inputs!$B$38="pvp",MIN((Skills!T19*(1+Inputs!$B$34/100)),15)/15,(Skills!T19*(1+Inputs!$B$34/100))/Skills!D19)))</f>
        <v/>
      </c>
    </row>
    <row r="904">
      <c r="A904" t="inlineStr">
        <is>
          <t>Actions Per Second</t>
        </is>
      </c>
      <c r="B904">
        <f>1+MIN(150,150*(1-(1-(Inputs!$B$11+((C890=TRUE)*(F890-Calc!F21))+((C891=TRUE)*(F891-Calc!F22)))/150)*(1-B903/150)))/100</f>
        <v/>
      </c>
    </row>
    <row r="905">
      <c r="A905" t="inlineStr">
        <is>
          <t>Skill + Buff Cast Rate</t>
        </is>
      </c>
      <c r="B905">
        <f>IF(AND(Inputs!$B$38&lt;&gt;"pvp",Inputs!$B$43&gt;0),SUMPRODUCT((Skills!E2:E30=TRUE)*(C871:C899=TRUE)*R871:R899*Skills!F2:F30)/Inputs!$B$43,SUMPRODUCT((Skills!E2:E30=TRUE)*(C871:C899=TRUE)*Q871:Q899*Skills!F2:F30))</f>
        <v/>
      </c>
    </row>
    <row r="906">
      <c r="A906" t="inlineStr">
        <is>
          <t>Arrow Stream Casts Per Second</t>
        </is>
      </c>
      <c r="B906">
        <f>MAX(0,B904-B905)</f>
        <v/>
      </c>
    </row>
    <row r="907">
      <c r="A907" t="inlineStr">
        <is>
          <t>Global Critical Damage Bonus % (Sharp Eyes + Concentration)</t>
        </is>
      </c>
      <c r="B907">
        <f>(C885=TRUE)*F885*IF(AND(Inputs!$B$38&lt;&gt;"pvp",Inputs!$B$43&gt;0),(((R885-1)*(Skills!T16*(1+Inputs!$B$34/100))+MIN((Skills!T16*(1+Inputs!$B$34/100)),MAX(0,Inputs!$B$43-((R885-1)*Skills!D16))))/Inputs!$B$43),IF(Inputs!$B$38="pvp",MIN((Skills!T16*(1+Inputs!$B$34/100)),15)/15,(Skills!T16*(1+Inputs!$B$34/100))/Skills!D16))+(C886=TRUE)*30</f>
        <v/>
      </c>
    </row>
    <row r="908">
      <c r="A908" t="inlineStr">
        <is>
          <t>Global Final Damage Bonus % (Mortal Blow)</t>
        </is>
      </c>
      <c r="B908">
        <f>(C887=TRUE)*F887</f>
        <v/>
      </c>
    </row>
    <row r="909">
      <c r="A909" t="inlineStr">
        <is>
          <t>Buff-Casting Startup Delay (s, fixed-duration only)</t>
        </is>
      </c>
      <c r="B909">
        <f>IF(AND(Inputs!$B$38&lt;&gt;"pvp",Inputs!$B$43&gt;0),SUMPRODUCT((Skills!T2:T30&gt;0)*(Skills!E2:E30=TRUE)*(C871:C899=TRUE))/B904,0)</f>
        <v/>
      </c>
    </row>
    <row r="910">
      <c r="A910" s="5" t="inlineStr">
        <is>
          <t>TOTAL DPS</t>
        </is>
      </c>
      <c r="B910" s="5">
        <f>SUM(O871:O899)</f>
        <v/>
      </c>
    </row>
    <row r="913">
      <c r="A913" s="5" t="inlineStr">
        <is>
          <t>Stat: Skill Level Bonus — All Skills</t>
        </is>
      </c>
    </row>
    <row r="914">
      <c r="A914" s="9" t="inlineStr">
        <is>
          <t>Key</t>
        </is>
      </c>
      <c r="B914" s="9" t="inlineStr">
        <is>
          <t>Name</t>
        </is>
      </c>
      <c r="C914" s="9" t="inlineStr">
        <is>
          <t>Unlocked</t>
        </is>
      </c>
      <c r="D914" s="9" t="inlineStr">
        <is>
          <t>InputLevel</t>
        </is>
      </c>
      <c r="E914" s="9" t="inlineStr">
        <is>
          <t>Factor</t>
        </is>
      </c>
      <c r="F914" s="9" t="inlineStr">
        <is>
          <t>CoefficientPercent</t>
        </is>
      </c>
      <c r="G914" s="9" t="inlineStr">
        <is>
          <t>EffectiveHits</t>
        </is>
      </c>
      <c r="H914" s="9" t="inlineStr">
        <is>
          <t>ProcProbability</t>
        </is>
      </c>
      <c r="I914" s="9" t="inlineStr">
        <is>
          <t>MapleHeroMultiplier</t>
        </is>
      </c>
      <c r="J914" s="9" t="inlineStr">
        <is>
          <t>BaseDamage</t>
        </is>
      </c>
      <c r="K914" s="9" t="inlineStr">
        <is>
          <t>BaseHitDamage</t>
        </is>
      </c>
      <c r="L914" s="9" t="inlineStr">
        <is>
          <t>NonCritAvg</t>
        </is>
      </c>
      <c r="M914" s="9" t="inlineStr">
        <is>
          <t>CritAvg</t>
        </is>
      </c>
      <c r="N914" s="9" t="inlineStr">
        <is>
          <t>ExpectedDamage(perHit)</t>
        </is>
      </c>
      <c r="O914" s="9" t="inlineStr">
        <is>
          <t>DPS</t>
        </is>
      </c>
      <c r="P914" s="9" t="inlineStr">
        <is>
          <t>% of Total</t>
        </is>
      </c>
      <c r="Q914" s="9" t="inlineStr">
        <is>
          <t>InvCooldown</t>
        </is>
      </c>
      <c r="R914" s="9" t="inlineStr">
        <is>
          <t>CastsInFight</t>
        </is>
      </c>
      <c r="S914" s="9"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((Inputs!$B$6*(1+Inputs!$B$7/100))+(((Inputs!$B$12*(1+Inputs!$B$13/100))-(Inputs!$B$12*(1+Inputs!$B$13/100)))+0.25*(Inputs!$B$14-Inputs!$B$14))*(1+Inputs!$B$7/100))*(F915/100)</f>
        <v/>
      </c>
      <c r="K915">
        <f>J915*(1+((Inputs!$B$12*(1+Inputs!$B$13/100))*0.01+Inputs!$B$14*0.0025)/100)*(1+Inputs!$B$15/100)*(1+IF(Inputs!$B$38="pvp",0,(1-Summary!$B$55)*(Inputs!$B$20+0+Skills!P2)+Summary!$B$55*(Inputs!$B$21+Skills!Q2))/100)*(1+Inputs!$B$16/100)*(5000/(6000+Inputs!$B$42*(1-(Inputs!$B$19+((C940=TRUE)*(F940-Calc!F27)))/100)))*(1+(Inputs!$B$24+((C938=TRUE)*(F938-Calc!F25))+((C939=TRUE)*(F939-Calc!F26))+B952)/100)*(1+(IF(Skills!A2="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915)</f>
        <v/>
      </c>
      <c r="L915">
        <f>K915*(MIN(Inputs!$B$22+((C937=TRUE)*(F937-Calc!F24)),Inputs!$B$23+((C942=TRUE)*(F942-Calc!F29)))/100+(Inputs!$B$23+((C942=TRUE)*(F942-Calc!F29)))/100)/2</f>
        <v/>
      </c>
      <c r="M915">
        <f>L915*(1+(Inputs!$B$10+0+B951)/100)</f>
        <v/>
      </c>
      <c r="N915">
        <f>L915*(1-MIN((Inputs!$B$9+((C933=TRUE)*(F933-Calc!F20))+B946),100)/100)+M915*(MIN((Inputs!$B$9+((C933=TRUE)*(F933-Calc!F20))+B946),100)/100)</f>
        <v/>
      </c>
      <c r="O915">
        <f>IF(C915,Skills!G2*N915*B950*IF(Inputs!$B$38="pvp",1,(1-Summary!$B$55)*(1)+Summary!$B$55*(MIN((6+Inputs!$B$33),Inputs!$B$37))),0)</f>
        <v/>
      </c>
      <c r="P915">
        <f>IF(B954=0,0,O915/B954)</f>
        <v/>
      </c>
      <c r="Q915" t="n">
        <v>0</v>
      </c>
      <c r="R915" t="n">
        <v>0</v>
      </c>
      <c r="S915">
        <f>IFERROR(O915/N915,0)</f>
        <v/>
      </c>
      <c r="U915">
        <f>MAX(0,(Inputs!$B$3-100)*3)+Inputs!$B$28+(Inputs!$B$29+1)</f>
        <v/>
      </c>
    </row>
    <row r="916">
      <c r="A916">
        <f>Skills!A3</f>
        <v/>
      </c>
      <c r="B916">
        <f>Skills!B3</f>
        <v/>
      </c>
      <c r="C916">
        <f>Inputs!$B$3&gt;=50</f>
        <v/>
      </c>
      <c r="D916">
        <f>IF(Skills!C3=1,60+Inputs!$B$25+(Inputs!$B$29+1),IF(Skills!C3=2,90+Inputs!$B$26+(Inputs!$B$29+1),IF(Skills!C3=3,120+Inputs!$B$27+(Inputs!$B$29+1),MAX(0,(Inputs!$B$3-100)*3)+Inputs!$B$28+(Inputs!$B$29+1))))</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IF(Skills!C4=1,60+Inputs!$B$25+(Inputs!$B$29+1),IF(Skills!C4=2,90+Inputs!$B$26+(Inputs!$B$29+1),IF(Skills!C4=3,120+Inputs!$B$27+(Inputs!$B$29+1),MAX(0,(Inputs!$B$3-100)*3)+Inputs!$B$28+(Inputs!$B$29+1))))</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Inputs!$B$3&gt;=35</f>
        <v/>
      </c>
      <c r="D918">
        <f>IF(Skills!C5=1,60+Inputs!$B$25+(Inputs!$B$29+1),IF(Skills!C5=2,90+Inputs!$B$26+(Inputs!$B$29+1),IF(Skills!C5=3,120+Inputs!$B$27+(Inputs!$B$29+1),MAX(0,(Inputs!$B$3-100)*3)+Inputs!$B$28+(Inputs!$B$29+1))))</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((Inputs!$B$6*(1+Inputs!$B$7/100))+(((Inputs!$B$12*(1+Inputs!$B$13/100))-(Inputs!$B$12*(1+Inputs!$B$13/100)))+0.25*(Inputs!$B$14-Inputs!$B$14))*(1+Inputs!$B$7/100))*(F918/100)</f>
        <v/>
      </c>
      <c r="K918">
        <f>J918*(1+((Inputs!$B$12*(1+Inputs!$B$13/100))*0.01+Inputs!$B$14*0.0025)/100)*(1+Inputs!$B$15/100)*(1+IF(Inputs!$B$38="pvp",0,(1-Summary!$B$55)*(Inputs!$B$20+0+Skills!P5)+Summary!$B$55*(Inputs!$B$21+Skills!Q5))/100)*(1+Inputs!$B$16/100)*(5000/(6000+Inputs!$B$42*(1-(Inputs!$B$19+((C940=TRUE)*(F940-Calc!F27)))/100)))*(1+(Inputs!$B$24+((C938=TRUE)*(F938-Calc!F25))+((C939=TRUE)*(F939-Calc!F26))+B952)/100)*(1+4.0*IF(C923=TRUE,F923,0)/100)*(1+(IF(Skills!A5="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918)</f>
        <v/>
      </c>
      <c r="L918">
        <f>K918*(MIN(Inputs!$B$22+((C937=TRUE)*(F937-Calc!F24)),Inputs!$B$23+((C942=TRUE)*(F942-Calc!F29)))/100+(Inputs!$B$23+((C942=TRUE)*(F942-Calc!F29)))/100)/2</f>
        <v/>
      </c>
      <c r="M918">
        <f>L918*(1+(Inputs!$B$10+0+B951)/100)</f>
        <v/>
      </c>
      <c r="N918">
        <f>L918*(1-MIN((Inputs!$B$9+((C933=TRUE)*(F933-Calc!F20))+B946),100)/100)+M918*(MIN((Inputs!$B$9+((C933=TRUE)*(F933-Calc!F20))+B946),100)/100)</f>
        <v/>
      </c>
      <c r="O918">
        <f>IF(C918,H918*N918*IF(AND(Inputs!$B$38&lt;&gt;"pvp",Inputs!$B$43&gt;0),((Skills!G5*((R918-1)*IF(Skills!H5&gt;0,Skills!I5/Skills!H5,1)+IF(Skills!H5&gt;0,MIN(Skills!I5,MAX(0,MAX(0,Inputs!$B$43-B953)-((R918-1)*IF(Inputs!$B$38="pvp",15,MAX(0.1,Skills!D5-IF(Skills!E5=TRUE,Inputs!$B$32,0))))))/Skills!H5,1)))/Inputs!$B$43),G918*Q918)*IF(Inputs!$B$38="pvp",1,(1-Summary!$B$55)*(1)+Summary!$B$55*(MIN(Skills!R5,Inputs!$B$37))),0)</f>
        <v/>
      </c>
      <c r="P918">
        <f>IF(B954=0,0,O918/B954)</f>
        <v/>
      </c>
      <c r="Q918">
        <f>IFERROR(1/IF(Inputs!$B$38="pvp",15,MAX(0.1,Skills!D5-IF(Skills!E5=TRUE,Inputs!$B$32,0))),0)</f>
        <v/>
      </c>
      <c r="R918">
        <f>IF(AND(Inputs!$B$38&lt;&gt;"pvp",Inputs!$B$43&gt;0),IF(MAX(0,Inputs!$B$43-B953)&lt;=0,0,(INT(MAX(0,Inputs!$B$43-B953)/IF(Inputs!$B$38="pvp",15,MAX(0.1,Skills!D5-IF(Skills!E5=TRUE,Inputs!$B$32,0))))+1)),0)</f>
        <v/>
      </c>
      <c r="S918">
        <f>IFERROR(O918/N918,0)</f>
        <v/>
      </c>
    </row>
    <row r="919">
      <c r="A919">
        <f>Skills!A6</f>
        <v/>
      </c>
      <c r="B919">
        <f>Skills!B6</f>
        <v/>
      </c>
      <c r="C919">
        <f>Inputs!$B$3&gt;=40</f>
        <v/>
      </c>
      <c r="D919">
        <f>IF(Skills!C6=1,60+Inputs!$B$25+(Inputs!$B$29+1),IF(Skills!C6=2,90+Inputs!$B$26+(Inputs!$B$29+1),IF(Skills!C6=3,120+Inputs!$B$27+(Inputs!$B$29+1),MAX(0,(Inputs!$B$3-100)*3)+Inputs!$B$28+(Inputs!$B$29+1))))</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((Inputs!$B$6*(1+Inputs!$B$7/100))+(((Inputs!$B$12*(1+Inputs!$B$13/100))-(Inputs!$B$12*(1+Inputs!$B$13/100)))+0.25*(Inputs!$B$14-Inputs!$B$14))*(1+Inputs!$B$7/100))*(F919/100)</f>
        <v/>
      </c>
      <c r="K919">
        <f>J919*(1+((Inputs!$B$12*(1+Inputs!$B$13/100))*0.01+Inputs!$B$14*0.0025)/100)*(1+Inputs!$B$15/100)*(1+IF(Inputs!$B$38="pvp",0,(1-Summary!$B$55)*(Inputs!$B$20+0+Skills!P6)+Summary!$B$55*(Inputs!$B$21+Skills!Q6))/100)*(1+Inputs!$B$16/100)*(5000/(6000+Inputs!$B$42*(1-(Inputs!$B$19+((C940=TRUE)*(F940-Calc!F27)))/100)))*(1+(Inputs!$B$24+((C938=TRUE)*(F938-Calc!F25))+((C939=TRUE)*(F939-Calc!F26))+B952)/100)*(1+IF(C920=TRUE,F920,0)/100)*(1+(IF(Skills!A6="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919)</f>
        <v/>
      </c>
      <c r="L919">
        <f>K919*(MIN(Inputs!$B$22+((C937=TRUE)*(F937-Calc!F24)),Inputs!$B$23+((C942=TRUE)*(F942-Calc!F29)))/100+(Inputs!$B$23+((C942=TRUE)*(F942-Calc!F29)))/100)/2</f>
        <v/>
      </c>
      <c r="M919">
        <f>L919*(1+(Inputs!$B$10+0+B951)/100)</f>
        <v/>
      </c>
      <c r="N919">
        <f>L919*(1-MIN((Inputs!$B$9+((C933=TRUE)*(F933-Calc!F20))+B946),100)/100)+M919*(MIN((Inputs!$B$9+((C933=TRUE)*(F933-Calc!F20))+B946),100)/100)</f>
        <v/>
      </c>
      <c r="O919">
        <f>IF(C919,H919*N919*IF(AND(Inputs!$B$38&lt;&gt;"pvp",Inputs!$B$43&gt;0),((Skills!G6*((R919-1)*IF(Skills!H6&gt;0,Skills!I6/Skills!H6,1)+IF(Skills!H6&gt;0,MIN(Skills!I6,MAX(0,MAX(0,Inputs!$B$43-B953)-((R919-1)*IF(Inputs!$B$38="pvp",15,MAX(0.1,Skills!D6-IF(Skills!E6=TRUE,Inputs!$B$32,0))))))/Skills!H6,1)))/Inputs!$B$43),G919*Q919)*IF(Inputs!$B$38="pvp",1,(1-Summary!$B$55)*(1)+Summary!$B$55*(MIN(Skills!R6,Inputs!$B$37))),0)</f>
        <v/>
      </c>
      <c r="P919">
        <f>IF(B954=0,0,O919/B954)</f>
        <v/>
      </c>
      <c r="Q919">
        <f>IFERROR(1/IF(Inputs!$B$38="pvp",15,MAX(0.1,Skills!D6-IF(Skills!E6=TRUE,Inputs!$B$32,0))),0)</f>
        <v/>
      </c>
      <c r="R919">
        <f>IF(AND(Inputs!$B$38&lt;&gt;"pvp",Inputs!$B$43&gt;0),IF(MAX(0,Inputs!$B$43-B953)&lt;=0,0,(INT(MAX(0,Inputs!$B$43-B953)/IF(Inputs!$B$38="pvp",15,MAX(0.1,Skills!D6-IF(Skills!E6=TRUE,Inputs!$B$32,0))))+1)),0)</f>
        <v/>
      </c>
      <c r="S919">
        <f>IFERROR(O919/N919,0)</f>
        <v/>
      </c>
    </row>
    <row r="920">
      <c r="A920">
        <f>Skills!A7</f>
        <v/>
      </c>
      <c r="B920">
        <f>Skills!B7</f>
        <v/>
      </c>
      <c r="C920">
        <f>Inputs!$B$3&gt;=107</f>
        <v/>
      </c>
      <c r="D920">
        <f>IF(Skills!C7=1,60+Inputs!$B$25+(Inputs!$B$29+1),IF(Skills!C7=2,90+Inputs!$B$26+(Inputs!$B$29+1),IF(Skills!C7=3,120+Inputs!$B$27+(Inputs!$B$29+1),MAX(0,(Inputs!$B$3-100)*3)+Inputs!$B$28+(Inputs!$B$29+1))))</f>
        <v/>
      </c>
      <c r="E920">
        <f>INDEX(FactorTable!$B$2:$Y$301, MATCH(ROUND(MIN(300,MAX(1,D920)),0), FactorTable!$A$2:$A$301,0), Skills!M7+1)</f>
        <v/>
      </c>
      <c r="F920">
        <f>IF(Skills!N7=TRUE,(Skills!L7/10)*(E920/1000),Skills!L7/10)+Skills!O7</f>
        <v/>
      </c>
      <c r="G920" t="inlineStr"/>
      <c r="H920" t="inlineStr"/>
      <c r="I920" t="inlineStr">
        <is>
          <t>1</t>
        </is>
      </c>
      <c r="J920" t="inlineStr"/>
      <c r="K920" t="inlineStr"/>
      <c r="L920" t="inlineStr"/>
      <c r="M920" t="inlineStr"/>
      <c r="N920" t="inlineStr"/>
      <c r="O920" t="inlineStr"/>
      <c r="P920" t="inlineStr"/>
      <c r="Q920" t="inlineStr"/>
      <c r="R920" t="inlineStr"/>
      <c r="S920" t="inlineStr"/>
    </row>
    <row r="921">
      <c r="A921">
        <f>Skills!A8</f>
        <v/>
      </c>
      <c r="B921">
        <f>Skills!B8</f>
        <v/>
      </c>
      <c r="C921">
        <f>Inputs!$B$3&gt;=69</f>
        <v/>
      </c>
      <c r="D921">
        <f>IF(Skills!C8=1,60+Inputs!$B$25+(Inputs!$B$29+1),IF(Skills!C8=2,90+Inputs!$B$26+(Inputs!$B$29+1),IF(Skills!C8=3,120+Inputs!$B$27+(Inputs!$B$29+1),MAX(0,(Inputs!$B$3-100)*3)+Inputs!$B$28+(Inputs!$B$29+1))))</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((Inputs!$B$6*(1+Inputs!$B$7/100))+(((Inputs!$B$12*(1+Inputs!$B$13/100))-(Inputs!$B$12*(1+Inputs!$B$13/100)))+0.25*(Inputs!$B$14-Inputs!$B$14))*(1+Inputs!$B$7/100))*(F921/100)</f>
        <v/>
      </c>
      <c r="K921">
        <f>J921*(1+((Inputs!$B$12*(1+Inputs!$B$13/100))*0.01+Inputs!$B$14*0.0025)/100)*(1+Inputs!$B$15/100)*(1+IF(Inputs!$B$38="pvp",0,(1-Summary!$B$55)*(Inputs!$B$20+0+Skills!P8)+Summary!$B$55*(Inputs!$B$21+Skills!Q8))/100)*(1+Inputs!$B$16/100)*(5000/(6000+Inputs!$B$42*(1-(Inputs!$B$19+((C940=TRUE)*(F940-Calc!F27)))/100)))*(1+(Inputs!$B$24+((C938=TRUE)*(F938-Calc!F25))+((C939=TRUE)*(F939-Calc!F26))+B952)/100)*(1+1.2*IF(C923=TRUE,F923,0)/100)*(1+(IF(Skills!A8="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921)</f>
        <v/>
      </c>
      <c r="L921">
        <f>K921*(MIN(Inputs!$B$22+((C937=TRUE)*(F937-Calc!F24)),Inputs!$B$23+((C942=TRUE)*(F942-Calc!F29)))/100+(Inputs!$B$23+((C942=TRUE)*(F942-Calc!F29)))/100)/2</f>
        <v/>
      </c>
      <c r="M921">
        <f>L921*(1+(Inputs!$B$10+0+B951)/100)</f>
        <v/>
      </c>
      <c r="N921">
        <f>L921*(1-MIN((Inputs!$B$9+((C933=TRUE)*(F933-Calc!F20))+B946),100)/100)+M921*(MIN((Inputs!$B$9+((C933=TRUE)*(F933-Calc!F20))+B946),100)/100)</f>
        <v/>
      </c>
      <c r="O921">
        <f>IF(C921,H921*N921*IF(AND(Inputs!$B$38&lt;&gt;"pvp",Inputs!$B$43&gt;0),((Skills!G8*((R921-1)*IF(Skills!H8&gt;0,Skills!I8/Skills!H8,1)+IF(Skills!H8&gt;0,MIN(Skills!I8,MAX(0,MAX(0,Inputs!$B$43-B953)-((R921-1)*IF(Inputs!$B$38="pvp",15,MAX(0.1,Skills!D8-IF(Skills!E8=TRUE,Inputs!$B$32,0))))))/Skills!H8,1)))/Inputs!$B$43),G921*Q921)*IF(Inputs!$B$38="pvp",1,(1-Summary!$B$55)*(1)+Summary!$B$55*(MIN(Skills!R8,Inputs!$B$37))),0)</f>
        <v/>
      </c>
      <c r="P921">
        <f>IF(B954=0,0,O921/B954)</f>
        <v/>
      </c>
      <c r="Q921">
        <f>IFERROR(1/IF(Inputs!$B$38="pvp",15,MAX(0.1,Skills!D8-IF(Skills!E8=TRUE,Inputs!$B$32,0))),0)</f>
        <v/>
      </c>
      <c r="R921">
        <f>IF(AND(Inputs!$B$38&lt;&gt;"pvp",Inputs!$B$43&gt;0),IF(MAX(0,Inputs!$B$43-B953)&lt;=0,0,(INT(MAX(0,Inputs!$B$43-B953)/IF(Inputs!$B$38="pvp",15,MAX(0.1,Skills!D8-IF(Skills!E8=TRUE,Inputs!$B$32,0))))+1)),0)</f>
        <v/>
      </c>
      <c r="S921">
        <f>IFERROR(O921/N921,0)</f>
        <v/>
      </c>
    </row>
    <row r="922">
      <c r="A922">
        <f>Skills!A9</f>
        <v/>
      </c>
      <c r="B922">
        <f>Skills!B9</f>
        <v/>
      </c>
      <c r="C922">
        <f>Inputs!$B$3&gt;=63</f>
        <v/>
      </c>
      <c r="D922">
        <f>IF(Skills!C9=1,60+Inputs!$B$25+(Inputs!$B$29+1),IF(Skills!C9=2,90+Inputs!$B$26+(Inputs!$B$29+1),IF(Skills!C9=3,120+Inputs!$B$27+(Inputs!$B$29+1),MAX(0,(Inputs!$B$3-100)*3)+Inputs!$B$28+(Inputs!$B$29+1))))</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((Inputs!$B$6*(1+Inputs!$B$7/100))+(((Inputs!$B$12*(1+Inputs!$B$13/100))-(Inputs!$B$12*(1+Inputs!$B$13/100)))+0.25*(Inputs!$B$14-Inputs!$B$14))*(1+Inputs!$B$7/100))*(F922/100)</f>
        <v/>
      </c>
      <c r="K922">
        <f>J922*(1+((Inputs!$B$12*(1+Inputs!$B$13/100))*0.01+Inputs!$B$14*0.0025)/100)*(1+Inputs!$B$15/100)*(1+IF(Inputs!$B$38="pvp",0,(1-Summary!$B$55)*(Inputs!$B$20+0+Skills!P9)+Summary!$B$55*(Inputs!$B$21+Skills!Q9))/100)*(1+Inputs!$B$16/100)*(5000/(6000+Inputs!$B$42*(1-(Inputs!$B$19+((C940=TRUE)*(F940-Calc!F27)))/100)))*(1+(Inputs!$B$24+((C938=TRUE)*(F938-Calc!F25))+((C939=TRUE)*(F939-Calc!F26))+B952)/100)*(1+1.0*IF(C923=TRUE,F923,0)/100)*(1+(IF(Skills!A9="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922)</f>
        <v/>
      </c>
      <c r="L922">
        <f>K922*(MIN(Inputs!$B$22+((C937=TRUE)*(F937-Calc!F24)),Inputs!$B$23+((C942=TRUE)*(F942-Calc!F29)))/100+(Inputs!$B$23+((C942=TRUE)*(F942-Calc!F29)))/100)/2</f>
        <v/>
      </c>
      <c r="M922">
        <f>L922*(1+(Inputs!$B$10+0+B951)/100)</f>
        <v/>
      </c>
      <c r="N922">
        <f>L922*(1-MIN((Inputs!$B$9+((C933=TRUE)*(F933-Calc!F20))+B946),100)/100)+M922*(MIN((Inputs!$B$9+((C933=TRUE)*(F933-Calc!F20))+B946),100)/100)</f>
        <v/>
      </c>
      <c r="O922">
        <f>IF(C922,H922*N922*IF(AND(Inputs!$B$38&lt;&gt;"pvp",Inputs!$B$43&gt;0),((Skills!G9*((R922-1)*IF(Skills!H9&gt;0,Skills!I9/Skills!H9,1)+IF(Skills!H9&gt;0,MIN(Skills!I9,MAX(0,MAX(0,Inputs!$B$43-B953)-((R922-1)*IF(Inputs!$B$38="pvp",15,MAX(0.1,Skills!D9-IF(Skills!E9=TRUE,Inputs!$B$32,0))))))/Skills!H9,1)))/Inputs!$B$43),G922*Q922)*IF(Inputs!$B$38="pvp",1,(1-Summary!$B$55)*(1)+Summary!$B$55*(MIN(Skills!R9,Inputs!$B$37))),0)</f>
        <v/>
      </c>
      <c r="P922">
        <f>IF(B954=0,0,O922/B954)</f>
        <v/>
      </c>
      <c r="Q922">
        <f>IFERROR(1/IF(Inputs!$B$38="pvp",15,MAX(0.1,Skills!D9-IF(Skills!E9=TRUE,Inputs!$B$32,0))),0)</f>
        <v/>
      </c>
      <c r="R922">
        <f>IF(AND(Inputs!$B$38&lt;&gt;"pvp",Inputs!$B$43&gt;0),IF(MAX(0,Inputs!$B$43-B953)&lt;=0,0,(INT(MAX(0,Inputs!$B$43-B953)/IF(Inputs!$B$38="pvp",15,MAX(0.1,Skills!D9-IF(Skills!E9=TRUE,Inputs!$B$32,0))))+1)),0)</f>
        <v/>
      </c>
      <c r="S922">
        <f>IFERROR(O922/N922,0)</f>
        <v/>
      </c>
    </row>
    <row r="923">
      <c r="A923">
        <f>Skills!A10</f>
        <v/>
      </c>
      <c r="B923">
        <f>Skills!B10</f>
        <v/>
      </c>
      <c r="C923">
        <f>Inputs!$B$3&gt;=100</f>
        <v/>
      </c>
      <c r="D923">
        <f>IF(Skills!C10=1,60+Inputs!$B$25+(Inputs!$B$29+1),IF(Skills!C10=2,90+Inputs!$B$26+(Inputs!$B$29+1),IF(Skills!C10=3,120+Inputs!$B$27+(Inputs!$B$29+1),MAX(0,(Inputs!$B$3-100)*3)+Inputs!$B$28+(Inputs!$B$29+1))))</f>
        <v/>
      </c>
      <c r="E923">
        <f>INDEX(FactorTable!$B$2:$Y$301, MATCH(ROUND(MIN(300,MAX(1,D923)),0), FactorTable!$A$2:$A$301,0), Skills!M10+1)</f>
        <v/>
      </c>
      <c r="F923">
        <f>IF(Skills!N10=TRUE,(Skills!L10/10)*(E923/1000),Skills!L10/10)+Skills!O10</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Skills!A11</f>
        <v/>
      </c>
      <c r="B924">
        <f>Skills!B11</f>
        <v/>
      </c>
      <c r="C924">
        <f>Inputs!$B$3&gt;=60</f>
        <v/>
      </c>
      <c r="D924">
        <f>IF(Skills!C11=1,60+Inputs!$B$25+(Inputs!$B$29+1),IF(Skills!C11=2,90+Inputs!$B$26+(Inputs!$B$29+1),IF(Skills!C11=3,120+Inputs!$B$27+(Inputs!$B$29+1),MAX(0,(Inputs!$B$3-100)*3)+Inputs!$B$28+(Inputs!$B$29+1))))</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((Inputs!$B$6*(1+Inputs!$B$7/100))+(((Inputs!$B$12*(1+Inputs!$B$13/100))-(Inputs!$B$12*(1+Inputs!$B$13/100)))+0.25*(Inputs!$B$14-Inputs!$B$14))*(1+Inputs!$B$7/100))*(F924/100)</f>
        <v/>
      </c>
      <c r="K924">
        <f>J924*(1+((Inputs!$B$12*(1+Inputs!$B$13/100))*0.01+Inputs!$B$14*0.0025)/100)*(1+Inputs!$B$15/100)*(1+IF(Inputs!$B$38="pvp",0,(1-Summary!$B$55)*(Inputs!$B$20+0+Skills!P11)+Summary!$B$55*(Inputs!$B$21+Skills!Q11))/100)*(1+Inputs!$B$16/100)*(5000/(6000+Inputs!$B$42*(1-(Inputs!$B$19+((C940=TRUE)*(F940-Calc!F27)))/100)))*(1+(Inputs!$B$24+((C938=TRUE)*(F938-Calc!F25))+((C939=TRUE)*(F939-Calc!F26))+B952)/100)*(1+IF(C925=TRUE,F925,0)/100)*(1+(IF(Skills!A11="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924)</f>
        <v/>
      </c>
      <c r="L924">
        <f>K924*(MIN(Inputs!$B$22+((C937=TRUE)*(F937-Calc!F24)),Inputs!$B$23+((C942=TRUE)*(F942-Calc!F29)))/100+(Inputs!$B$23+((C942=TRUE)*(F942-Calc!F29)))/100)/2</f>
        <v/>
      </c>
      <c r="M924">
        <f>L924*(1+(Inputs!$B$10+0+B951)/100)</f>
        <v/>
      </c>
      <c r="N924">
        <f>L924*(1-MIN((Inputs!$B$9+((C933=TRUE)*(F933-Calc!F20))+B946),100)/100)+M924*(MIN((Inputs!$B$9+((C933=TRUE)*(F933-Calc!F20))+B946),100)/100)</f>
        <v/>
      </c>
      <c r="O924">
        <f>IF(C924,H924*N924*IF(AND(Inputs!$B$38&lt;&gt;"pvp",Inputs!$B$43&gt;0),((Skills!G11*((R924-1)*IF(Skills!H11&gt;0,Skills!I11/Skills!H11,1)+IF(Skills!H11&gt;0,MIN(Skills!I11,MAX(0,MAX(0,Inputs!$B$43-B953)-((R924-1)*IF(Inputs!$B$38="pvp",15,MAX(0.1,Skills!D11-IF(Skills!E11=TRUE,Inputs!$B$32,0))))))/Skills!H11,1)))/Inputs!$B$43),G924*Q924)*IF(Inputs!$B$38="pvp",1,(1-Summary!$B$55)*(1)+Summary!$B$55*(MIN(Skills!R11,Inputs!$B$37))),0)</f>
        <v/>
      </c>
      <c r="P924">
        <f>IF(B954=0,0,O924/B954)</f>
        <v/>
      </c>
      <c r="Q924">
        <f>IFERROR(1/IF(Inputs!$B$38="pvp",15,MAX(0.1,Skills!D11-IF(Skills!E11=TRUE,Inputs!$B$32,0))),0)</f>
        <v/>
      </c>
      <c r="R924">
        <f>IF(AND(Inputs!$B$38&lt;&gt;"pvp",Inputs!$B$43&gt;0),IF(MAX(0,Inputs!$B$43-B953)&lt;=0,0,(INT(MAX(0,Inputs!$B$43-B953)/IF(Inputs!$B$38="pvp",15,MAX(0.1,Skills!D11-IF(Skills!E11=TRUE,Inputs!$B$32,0))))+1)),0)</f>
        <v/>
      </c>
      <c r="S924">
        <f>IFERROR(O924/N924,0)</f>
        <v/>
      </c>
    </row>
    <row r="925">
      <c r="A925">
        <f>Skills!A12</f>
        <v/>
      </c>
      <c r="B925">
        <f>Skills!B12</f>
        <v/>
      </c>
      <c r="C925">
        <f>Inputs!$B$3&gt;=110</f>
        <v/>
      </c>
      <c r="D925">
        <f>IF(Skills!C12=1,60+Inputs!$B$25+(Inputs!$B$29+1),IF(Skills!C12=2,90+Inputs!$B$26+(Inputs!$B$29+1),IF(Skills!C12=3,120+Inputs!$B$27+(Inputs!$B$29+1),MAX(0,(Inputs!$B$3-100)*3)+Inputs!$B$28+(Inputs!$B$29+1))))</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Inputs!$B$3&gt;=74</f>
        <v/>
      </c>
      <c r="D926">
        <f>IF(Skills!C13=1,60+Inputs!$B$25+(Inputs!$B$29+1),IF(Skills!C13=2,90+Inputs!$B$26+(Inputs!$B$29+1),IF(Skills!C13=3,120+Inputs!$B$27+(Inputs!$B$29+1),MAX(0,(Inputs!$B$3-100)*3)+Inputs!$B$28+(Inputs!$B$29+1))))</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IF(B954=0,0,O926/B954)</f>
        <v/>
      </c>
      <c r="Q926" t="n">
        <v>0</v>
      </c>
      <c r="R926" t="n">
        <v>0</v>
      </c>
      <c r="S926">
        <f>IFERROR(O926/N926,0)</f>
        <v/>
      </c>
    </row>
    <row r="927">
      <c r="A927">
        <f>Skills!A14</f>
        <v/>
      </c>
      <c r="B927">
        <f>Skills!B14</f>
        <v/>
      </c>
      <c r="C927">
        <f>Inputs!$B$3&gt;=74</f>
        <v/>
      </c>
      <c r="D927">
        <f>IF(Skills!C14=1,60+Inputs!$B$25+(Inputs!$B$29+1),IF(Skills!C14=2,90+Inputs!$B$26+(Inputs!$B$29+1),IF(Skills!C14=3,120+Inputs!$B$27+(Inputs!$B$29+1),MAX(0,(Inputs!$B$3-100)*3)+Inputs!$B$28+(Inputs!$B$29+1))))</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IF(B954=0,0,O927/B954)</f>
        <v/>
      </c>
      <c r="Q927" t="n">
        <v>0</v>
      </c>
      <c r="R927" t="n">
        <v>0</v>
      </c>
      <c r="S927">
        <f>IFERROR(O927/N927,0)</f>
        <v/>
      </c>
    </row>
    <row r="928">
      <c r="A928">
        <f>Skills!A15</f>
        <v/>
      </c>
      <c r="B928">
        <f>Skills!B15</f>
        <v/>
      </c>
      <c r="C928">
        <f>Inputs!$B$3&gt;=117</f>
        <v/>
      </c>
      <c r="D928">
        <f>IF(Skills!C15=1,60+Inputs!$B$25+(Inputs!$B$29+1),IF(Skills!C15=2,90+Inputs!$B$26+(Inputs!$B$29+1),IF(Skills!C15=3,120+Inputs!$B$27+(Inputs!$B$29+1),MAX(0,(Inputs!$B$3-100)*3)+Inputs!$B$28+(Inputs!$B$29+1))))</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IF(B954=0,0,O928/B954)</f>
        <v/>
      </c>
      <c r="Q928">
        <f>IFERROR(1/IF(Inputs!$B$38="pvp",15,MAX(0.1,Skills!D15-IF(Skills!E15=TRUE,Inputs!$B$32,0))),0)</f>
        <v/>
      </c>
      <c r="R928">
        <f>IF(AND(Inputs!$B$38&lt;&gt;"pvp",Inputs!$B$43&gt;0),IF(Inputs!$B$43&lt;=0,0,(INT(Inputs!$B$43/IF(Inputs!$B$38="pvp",15,MAX(0.1,Skills!D15-IF(Skills!E15=TRUE,Inputs!$B$32,0))))+1)),0)</f>
        <v/>
      </c>
      <c r="S928">
        <f>IFERROR(O928/N928,0)</f>
        <v/>
      </c>
    </row>
    <row r="929">
      <c r="A929">
        <f>Skills!A16</f>
        <v/>
      </c>
      <c r="B929">
        <f>Skills!B16</f>
        <v/>
      </c>
      <c r="C929">
        <f>Inputs!$B$3&gt;=115</f>
        <v/>
      </c>
      <c r="D929">
        <f>IF(Skills!C16=1,60+Inputs!$B$25+(Inputs!$B$29+1),IF(Skills!C16=2,90+Inputs!$B$26+(Inputs!$B$29+1),IF(Skills!C16=3,120+Inputs!$B$27+(Inputs!$B$29+1),MAX(0,(Inputs!$B$3-100)*3)+Inputs!$B$28+(Inputs!$B$29+1))))</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IF(B954=0,0,O929/B954)</f>
        <v/>
      </c>
      <c r="Q929">
        <f>IFERROR(1/IF(Inputs!$B$38="pvp",15,MAX(0.1,Skills!D16-IF(Skills!E16=TRUE,Inputs!$B$32,0))),0)</f>
        <v/>
      </c>
      <c r="R929">
        <f>IF(AND(Inputs!$B$38&lt;&gt;"pvp",Inputs!$B$43&gt;0),IF(Inputs!$B$43&lt;=0,0,(INT(Inputs!$B$43/IF(Inputs!$B$38="pvp",15,MAX(0.1,Skills!D16-IF(Skills!E16=TRUE,Inputs!$B$32,0))))+1)),0)</f>
        <v/>
      </c>
      <c r="S929">
        <f>IFERROR(O929/N929,0)</f>
        <v/>
      </c>
    </row>
    <row r="930">
      <c r="A930">
        <f>Skills!A17</f>
        <v/>
      </c>
      <c r="B930">
        <f>Skills!B17</f>
        <v/>
      </c>
      <c r="C930">
        <f>Inputs!$B$3&gt;=66</f>
        <v/>
      </c>
      <c r="D930">
        <f>IF(Skills!C17=1,60+Inputs!$B$25+(Inputs!$B$29+1),IF(Skills!C17=2,90+Inputs!$B$26+(Inputs!$B$29+1),IF(Skills!C17=3,120+Inputs!$B$27+(Inputs!$B$29+1),MAX(0,(Inputs!$B$3-100)*3)+Inputs!$B$28+(Inputs!$B$29+1))))</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IF(B954=0,0,O930/B954)</f>
        <v/>
      </c>
      <c r="Q930" t="n">
        <v>0</v>
      </c>
      <c r="R930" t="n">
        <v>0</v>
      </c>
      <c r="S930">
        <f>IFERROR(O930/N930,0)</f>
        <v/>
      </c>
    </row>
    <row r="931">
      <c r="A931">
        <f>Skills!A18</f>
        <v/>
      </c>
      <c r="B931">
        <f>Skills!B18</f>
        <v/>
      </c>
      <c r="C931">
        <f>Inputs!$B$3&gt;=72</f>
        <v/>
      </c>
      <c r="D931">
        <f>IF(Skills!C18=1,60+Inputs!$B$25+(Inputs!$B$29+1),IF(Skills!C18=2,90+Inputs!$B$26+(Inputs!$B$29+1),IF(Skills!C18=3,120+Inputs!$B$27+(Inputs!$B$29+1),MAX(0,(Inputs!$B$3-100)*3)+Inputs!$B$28+(Inputs!$B$29+1))))</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IF(B954=0,0,O931/B954)</f>
        <v/>
      </c>
      <c r="Q931" t="n">
        <v>0</v>
      </c>
      <c r="R931" t="n">
        <v>0</v>
      </c>
      <c r="S931">
        <f>IFERROR(O931/N931,0)</f>
        <v/>
      </c>
    </row>
    <row r="932">
      <c r="A932">
        <f>Skills!A19</f>
        <v/>
      </c>
      <c r="B932">
        <f>Skills!B19</f>
        <v/>
      </c>
      <c r="C932">
        <f>TRUE</f>
        <v/>
      </c>
      <c r="D932">
        <f>IF(Skills!C19=1,60+Inputs!$B$25+(Inputs!$B$29+1),IF(Skills!C19=2,90+Inputs!$B$26+(Inputs!$B$29+1),IF(Skills!C19=3,120+Inputs!$B$27+(Inputs!$B$29+1),MAX(0,(Inputs!$B$3-100)*3)+Inputs!$B$28+(Inputs!$B$29+1))))</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IF(B954=0,0,O932/B954)</f>
        <v/>
      </c>
      <c r="Q932">
        <f>IFERROR(1/IF(Inputs!$B$38="pvp",15,MAX(0.1,Skills!D19-IF(Skills!E19=TRUE,Inputs!$B$32,0))),0)</f>
        <v/>
      </c>
      <c r="R932">
        <f>IF(AND(Inputs!$B$38&lt;&gt;"pvp",Inputs!$B$43&gt;0),IF(Inputs!$B$43&lt;=0,0,(INT(Inputs!$B$43/IF(Inputs!$B$38="pvp",15,MAX(0.1,Skills!D19-IF(Skills!E19=TRUE,Inputs!$B$32,0))))+1)),0)</f>
        <v/>
      </c>
      <c r="S932">
        <f>IFERROR(O932/N932,0)</f>
        <v/>
      </c>
    </row>
    <row r="933">
      <c r="A933">
        <f>Skills!A20</f>
        <v/>
      </c>
      <c r="B933">
        <f>Skills!B20</f>
        <v/>
      </c>
      <c r="C933">
        <f>Inputs!$B$3&gt;=15</f>
        <v/>
      </c>
      <c r="D933">
        <f>IF(Skills!C20=1,60+Inputs!$B$25+(Inputs!$B$29+1),IF(Skills!C20=2,90+Inputs!$B$26+(Inputs!$B$29+1),IF(Skills!C20=3,120+Inputs!$B$27+(Inputs!$B$29+1),MAX(0,(Inputs!$B$3-100)*3)+Inputs!$B$28+(Inputs!$B$29+1))))</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IF(B954=0,0,O933/B954)</f>
        <v/>
      </c>
      <c r="Q933" t="n">
        <v>0</v>
      </c>
      <c r="R933" t="n">
        <v>0</v>
      </c>
      <c r="S933">
        <f>IFERROR(O933/N933,0)</f>
        <v/>
      </c>
    </row>
    <row r="934">
      <c r="A934">
        <f>Skills!A21</f>
        <v/>
      </c>
      <c r="B934">
        <f>Skills!B21</f>
        <v/>
      </c>
      <c r="C934">
        <f>Inputs!$B$3&gt;=10</f>
        <v/>
      </c>
      <c r="D934">
        <f>IF(Skills!C21=1,60+Inputs!$B$25+(Inputs!$B$29+1),IF(Skills!C21=2,90+Inputs!$B$26+(Inputs!$B$29+1),IF(Skills!C21=3,120+Inputs!$B$27+(Inputs!$B$29+1),MAX(0,(Inputs!$B$3-100)*3)+Inputs!$B$28+(Inputs!$B$29+1))))</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IF(B954=0,0,O934/B954)</f>
        <v/>
      </c>
      <c r="Q934" t="n">
        <v>0</v>
      </c>
      <c r="R934" t="n">
        <v>0</v>
      </c>
      <c r="S934">
        <f>IFERROR(O934/N934,0)</f>
        <v/>
      </c>
    </row>
    <row r="935">
      <c r="A935">
        <f>Skills!A22</f>
        <v/>
      </c>
      <c r="B935">
        <f>Skills!B22</f>
        <v/>
      </c>
      <c r="C935">
        <f>Inputs!$B$3&gt;=33</f>
        <v/>
      </c>
      <c r="D935">
        <f>IF(Skills!C22=1,60+Inputs!$B$25+(Inputs!$B$29+1),IF(Skills!C22=2,90+Inputs!$B$26+(Inputs!$B$29+1),IF(Skills!C22=3,120+Inputs!$B$27+(Inputs!$B$29+1),MAX(0,(Inputs!$B$3-100)*3)+Inputs!$B$28+(Inputs!$B$29+1))))</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IF(B954=0,0,O935/B954)</f>
        <v/>
      </c>
      <c r="Q935" t="n">
        <v>0</v>
      </c>
      <c r="R935" t="n">
        <v>0</v>
      </c>
      <c r="S935">
        <f>IFERROR(O935/N935,0)</f>
        <v/>
      </c>
    </row>
    <row r="936">
      <c r="A936">
        <f>Skills!A23</f>
        <v/>
      </c>
      <c r="B936">
        <f>Skills!B23</f>
        <v/>
      </c>
      <c r="C936">
        <f>Inputs!$B$3&gt;=38</f>
        <v/>
      </c>
      <c r="D936">
        <f>IF(Skills!C23=1,60+Inputs!$B$25+(Inputs!$B$29+1),IF(Skills!C23=2,90+Inputs!$B$26+(Inputs!$B$29+1),IF(Skills!C23=3,120+Inputs!$B$27+(Inputs!$B$29+1),MAX(0,(Inputs!$B$3-100)*3)+Inputs!$B$28+(Inputs!$B$29+1))))</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IF(B954=0,0,O936/B954)</f>
        <v/>
      </c>
      <c r="Q936" t="n">
        <v>0</v>
      </c>
      <c r="R936" t="n">
        <v>0</v>
      </c>
      <c r="S936">
        <f>IFERROR(O936/N936,0)</f>
        <v/>
      </c>
    </row>
    <row r="937">
      <c r="A937">
        <f>Skills!A24</f>
        <v/>
      </c>
      <c r="B937">
        <f>Skills!B24</f>
        <v/>
      </c>
      <c r="C937">
        <f>Inputs!$B$3&gt;=43</f>
        <v/>
      </c>
      <c r="D937">
        <f>IF(Skills!C24=1,60+Inputs!$B$25+(Inputs!$B$29+1),IF(Skills!C24=2,90+Inputs!$B$26+(Inputs!$B$29+1),IF(Skills!C24=3,120+Inputs!$B$27+(Inputs!$B$29+1),MAX(0,(Inputs!$B$3-100)*3)+Inputs!$B$28+(Inputs!$B$29+1))))</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IF(B954=0,0,O937/B954)</f>
        <v/>
      </c>
      <c r="Q937" t="n">
        <v>0</v>
      </c>
      <c r="R937" t="n">
        <v>0</v>
      </c>
      <c r="S937">
        <f>IFERROR(O937/N937,0)</f>
        <v/>
      </c>
    </row>
    <row r="938">
      <c r="A938">
        <f>Skills!A25</f>
        <v/>
      </c>
      <c r="B938">
        <f>Skills!B25</f>
        <v/>
      </c>
      <c r="C938">
        <f>Inputs!$B$3&gt;=75</f>
        <v/>
      </c>
      <c r="D938">
        <f>IF(Skills!C25=1,60+Inputs!$B$25+(Inputs!$B$29+1),IF(Skills!C25=2,90+Inputs!$B$26+(Inputs!$B$29+1),IF(Skills!C25=3,120+Inputs!$B$27+(Inputs!$B$29+1),MAX(0,(Inputs!$B$3-100)*3)+Inputs!$B$28+(Inputs!$B$29+1))))</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IF(B954=0,0,O938/B954)</f>
        <v/>
      </c>
      <c r="Q938" t="n">
        <v>0</v>
      </c>
      <c r="R938" t="n">
        <v>0</v>
      </c>
      <c r="S938">
        <f>IFERROR(O938/N938,0)</f>
        <v/>
      </c>
    </row>
    <row r="939">
      <c r="A939">
        <f>Skills!A26</f>
        <v/>
      </c>
      <c r="B939">
        <f>Skills!B26</f>
        <v/>
      </c>
      <c r="C939">
        <f>Inputs!$B$3&gt;=125</f>
        <v/>
      </c>
      <c r="D939">
        <f>IF(Skills!C26=1,60+Inputs!$B$25+(Inputs!$B$29+1),IF(Skills!C26=2,90+Inputs!$B$26+(Inputs!$B$29+1),IF(Skills!C26=3,120+Inputs!$B$27+(Inputs!$B$29+1),MAX(0,(Inputs!$B$3-100)*3)+Inputs!$B$28+(Inputs!$B$29+1))))</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IF(B954=0,0,O939/B954)</f>
        <v/>
      </c>
      <c r="Q939" t="n">
        <v>0</v>
      </c>
      <c r="R939" t="n">
        <v>0</v>
      </c>
      <c r="S939">
        <f>IFERROR(O939/N939,0)</f>
        <v/>
      </c>
    </row>
    <row r="940">
      <c r="A940">
        <f>Skills!A27</f>
        <v/>
      </c>
      <c r="B940">
        <f>Skills!B27</f>
        <v/>
      </c>
      <c r="C940">
        <f>Inputs!$B$3&gt;=125</f>
        <v/>
      </c>
      <c r="D940">
        <f>IF(Skills!C27=1,60+Inputs!$B$25+(Inputs!$B$29+1),IF(Skills!C27=2,90+Inputs!$B$26+(Inputs!$B$29+1),IF(Skills!C27=3,120+Inputs!$B$27+(Inputs!$B$29+1),MAX(0,(Inputs!$B$3-100)*3)+Inputs!$B$28+(Inputs!$B$29+1))))</f>
        <v/>
      </c>
      <c r="E940">
        <f>INDEX(FactorTable!$B$2:$Y$301, MATCH(ROUND(MIN(300,MAX(1,D940)),0), FactorTable!$A$2:$A$301,0), Skills!M27+1)</f>
        <v/>
      </c>
      <c r="F940">
        <f>IF(Skills!N27=TRUE,(Skills!L27/10)*(E940/1000),Skills!L27/10)+Skills!O27</f>
        <v/>
      </c>
      <c r="G940">
        <f>Skills!G27*IF(Skills!H27&gt;0,Skills!I27/Skills!H27,1)</f>
        <v/>
      </c>
      <c r="H940">
        <f>1-(1-Skills!J27/100)^Skills!K27</f>
        <v/>
      </c>
      <c r="I940" t="inlineStr">
        <is>
          <t>1</t>
        </is>
      </c>
      <c r="J940" t="inlineStr"/>
      <c r="K940" t="inlineStr"/>
      <c r="L940" t="inlineStr"/>
      <c r="M940" t="inlineStr"/>
      <c r="N940" t="inlineStr"/>
      <c r="O940" t="n">
        <v>0</v>
      </c>
      <c r="P940">
        <f>IF(B954=0,0,O940/B954)</f>
        <v/>
      </c>
      <c r="Q940" t="n">
        <v>0</v>
      </c>
      <c r="R940" t="n">
        <v>0</v>
      </c>
      <c r="S940">
        <f>IFERROR(O940/N940,0)</f>
        <v/>
      </c>
    </row>
    <row r="941">
      <c r="A941">
        <f>Skills!A28</f>
        <v/>
      </c>
      <c r="B941">
        <f>Skills!B28</f>
        <v/>
      </c>
      <c r="C941">
        <f>Inputs!$B$3&gt;=120</f>
        <v/>
      </c>
      <c r="D941">
        <f>IF(Skills!C28=1,60+Inputs!$B$25+(Inputs!$B$29+1),IF(Skills!C28=2,90+Inputs!$B$26+(Inputs!$B$29+1),IF(Skills!C28=3,120+Inputs!$B$27+(Inputs!$B$29+1),MAX(0,(Inputs!$B$3-100)*3)+Inputs!$B$28+(Inputs!$B$29+1))))</f>
        <v/>
      </c>
      <c r="E941">
        <f>INDEX(FactorTable!$B$2:$Y$301, MATCH(ROUND(MIN(300,MAX(1,D941)),0), FactorTable!$A$2:$A$301,0), Skills!M28+1)</f>
        <v/>
      </c>
      <c r="F941">
        <f>IF(Skills!N28=TRUE,(Skills!L28/10)*(E941/1000),Skills!L28/10)+Skills!O28</f>
        <v/>
      </c>
      <c r="G941">
        <f>Skills!G28*IF(Skills!H28&gt;0,Skills!I28/Skills!H28,1)</f>
        <v/>
      </c>
      <c r="H941">
        <f>1-(1-Skills!J28/100)^Skills!K28</f>
        <v/>
      </c>
      <c r="I941" t="inlineStr">
        <is>
          <t>1</t>
        </is>
      </c>
      <c r="J941" t="inlineStr"/>
      <c r="K941" t="inlineStr"/>
      <c r="L941" t="inlineStr"/>
      <c r="M941" t="inlineStr"/>
      <c r="N941" t="inlineStr"/>
      <c r="O941" t="n">
        <v>0</v>
      </c>
      <c r="P941">
        <f>IF(B954=0,0,O941/B954)</f>
        <v/>
      </c>
      <c r="Q941" t="n">
        <v>0</v>
      </c>
      <c r="R941" t="n">
        <v>0</v>
      </c>
      <c r="S941">
        <f>IFERROR(O941/N941,0)</f>
        <v/>
      </c>
    </row>
    <row r="942">
      <c r="A942">
        <f>Skills!A29</f>
        <v/>
      </c>
      <c r="B942">
        <f>Skills!B29</f>
        <v/>
      </c>
      <c r="C942">
        <f>Inputs!$B$3&gt;=120</f>
        <v/>
      </c>
      <c r="D942">
        <f>IF(Skills!C29=1,60+Inputs!$B$25+(Inputs!$B$29+1),IF(Skills!C29=2,90+Inputs!$B$26+(Inputs!$B$29+1),IF(Skills!C29=3,120+Inputs!$B$27+(Inputs!$B$29+1),MAX(0,(Inputs!$B$3-100)*3)+Inputs!$B$28+(Inputs!$B$29+1))))</f>
        <v/>
      </c>
      <c r="E942">
        <f>INDEX(FactorTable!$B$2:$Y$301, MATCH(ROUND(MIN(300,MAX(1,D942)),0), FactorTable!$A$2:$A$301,0), Skills!M29+1)</f>
        <v/>
      </c>
      <c r="F942">
        <f>IF(Skills!N29=TRUE,(Skills!L29/10)*(E942/1000),Skills!L29/10)+Skills!O29</f>
        <v/>
      </c>
      <c r="G942">
        <f>Skills!G29*IF(Skills!H29&gt;0,Skills!I29/Skills!H29,1)</f>
        <v/>
      </c>
      <c r="H942">
        <f>1-(1-Skills!J29/100)^Skills!K29</f>
        <v/>
      </c>
      <c r="I942" t="inlineStr">
        <is>
          <t>1</t>
        </is>
      </c>
      <c r="J942" t="inlineStr"/>
      <c r="K942" t="inlineStr"/>
      <c r="L942" t="inlineStr"/>
      <c r="M942" t="inlineStr"/>
      <c r="N942" t="inlineStr"/>
      <c r="O942" t="n">
        <v>0</v>
      </c>
      <c r="P942">
        <f>IF(B954=0,0,O942/B954)</f>
        <v/>
      </c>
      <c r="Q942" t="n">
        <v>0</v>
      </c>
      <c r="R942" t="n">
        <v>0</v>
      </c>
      <c r="S942">
        <f>IFERROR(O942/N942,0)</f>
        <v/>
      </c>
    </row>
    <row r="943">
      <c r="A943">
        <f>Skills!A30</f>
        <v/>
      </c>
      <c r="B943">
        <f>Skills!B30</f>
        <v/>
      </c>
      <c r="C943">
        <f>Inputs!$B$3&gt;=45</f>
        <v/>
      </c>
      <c r="D943">
        <f>IF(Skills!C30=1,60+Inputs!$B$25+(Inputs!$B$29+1),IF(Skills!C30=2,90+Inputs!$B$26+(Inputs!$B$29+1),IF(Skills!C30=3,120+Inputs!$B$27+(Inputs!$B$29+1),MAX(0,(Inputs!$B$3-100)*3)+Inputs!$B$28+(Inputs!$B$29+1))))</f>
        <v/>
      </c>
      <c r="E943">
        <f>INDEX(FactorTable!$B$2:$Y$301, MATCH(ROUND(MIN(300,MAX(1,D943)),0), FactorTable!$A$2:$A$301,0), Skills!M30+1)</f>
        <v/>
      </c>
      <c r="F943">
        <f>IF(Skills!N30=TRUE,(Skills!L30/10)*(E943/1000),Skills!L30/10)+Skills!O30</f>
        <v/>
      </c>
      <c r="G943">
        <f>Skills!G30*IF(Skills!H30&gt;0,Skills!I30/Skills!H30,1)</f>
        <v/>
      </c>
      <c r="H943">
        <f>1-(1-Skills!J30/100)^Skills!K30</f>
        <v/>
      </c>
      <c r="I943" t="inlineStr">
        <is>
          <t>1</t>
        </is>
      </c>
      <c r="J943" t="inlineStr"/>
      <c r="K943" t="inlineStr"/>
      <c r="L943" t="inlineStr"/>
      <c r="M943" t="inlineStr"/>
      <c r="N943" t="inlineStr"/>
      <c r="O943" t="n">
        <v>0</v>
      </c>
      <c r="P943">
        <f>IF(B954=0,0,O943/B954)</f>
        <v/>
      </c>
      <c r="Q943" t="n">
        <v>0</v>
      </c>
      <c r="R943" t="n">
        <v>0</v>
      </c>
      <c r="S943">
        <f>IFERROR(O943/N943,0)</f>
        <v/>
      </c>
    </row>
    <row r="945">
      <c r="A945" t="inlineStr">
        <is>
          <t>Attack% Bucket Multiplier</t>
        </is>
      </c>
      <c r="B945">
        <f>(1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f>
        <v/>
      </c>
    </row>
    <row r="946">
      <c r="A946" t="inlineStr">
        <is>
          <t>Global Crit Rate Bonus %</t>
        </is>
      </c>
      <c r="B946">
        <f>(C929=TRUE)*20*IF(AND(Inputs!$B$38&lt;&gt;"pvp",Inputs!$B$43&gt;0),(((R929-1)*(Skills!T16*(1+Inputs!$B$34/100))+MIN((Skills!T16*(1+Inputs!$B$34/100)),MAX(0,Inputs!$B$43-((R929-1)*Skills!D16))))/Inputs!$B$43),IF(Inputs!$B$38="pvp",MIN((Skills!T16*(1+Inputs!$B$34/100)),15)/15,(Skills!T16*(1+Inputs!$B$34/100))/Skills!D16))</f>
        <v/>
      </c>
    </row>
    <row r="947">
      <c r="A947" t="inlineStr">
        <is>
          <t>Attack Speed Buff Bonus %</t>
        </is>
      </c>
      <c r="B947">
        <f>((C932=TRUE)*F932*IF(AND(Inputs!$B$38&lt;&gt;"pvp",Inputs!$B$43&gt;0),(((R932-1)*(Skills!T19*(1+Inputs!$B$34/100))+MIN((Skills!T19*(1+Inputs!$B$34/100)),MAX(0,Inputs!$B$43-((R932-1)*Skills!D19))))/Inputs!$B$43),IF(Inputs!$B$38="pvp",MIN((Skills!T19*(1+Inputs!$B$34/100)),15)/15,(Skills!T19*(1+Inputs!$B$34/100))/Skills!D19)))</f>
        <v/>
      </c>
    </row>
    <row r="948">
      <c r="A948" t="inlineStr">
        <is>
          <t>Actions Per Second</t>
        </is>
      </c>
      <c r="B948">
        <f>1+MIN(150,150*(1-(1-(Inputs!$B$11+((C934=TRUE)*(F934-Calc!F21))+((C935=TRUE)*(F935-Calc!F22)))/150)*(1-B947/150)))/100</f>
        <v/>
      </c>
    </row>
    <row r="949">
      <c r="A949" t="inlineStr">
        <is>
          <t>Skill + Buff Cast Rate</t>
        </is>
      </c>
      <c r="B949">
        <f>IF(AND(Inputs!$B$38&lt;&gt;"pvp",Inputs!$B$43&gt;0),SUMPRODUCT((Skills!E2:E30=TRUE)*(C915:C943=TRUE)*R915:R943*Skills!F2:F30)/Inputs!$B$43,SUMPRODUCT((Skills!E2:E30=TRUE)*(C915:C943=TRUE)*Q915:Q943*Skills!F2:F30))</f>
        <v/>
      </c>
    </row>
    <row r="950">
      <c r="A950" t="inlineStr">
        <is>
          <t>Arrow Stream Casts Per Second</t>
        </is>
      </c>
      <c r="B950">
        <f>MAX(0,B948-B949)</f>
        <v/>
      </c>
    </row>
    <row r="951">
      <c r="A951" t="inlineStr">
        <is>
          <t>Global Critical Damage Bonus % (Sharp Eyes + Concentration)</t>
        </is>
      </c>
      <c r="B951">
        <f>(C929=TRUE)*F929*IF(AND(Inputs!$B$38&lt;&gt;"pvp",Inputs!$B$43&gt;0),(((R929-1)*(Skills!T16*(1+Inputs!$B$34/100))+MIN((Skills!T16*(1+Inputs!$B$34/100)),MAX(0,Inputs!$B$43-((R929-1)*Skills!D16))))/Inputs!$B$43),IF(Inputs!$B$38="pvp",MIN((Skills!T16*(1+Inputs!$B$34/100)),15)/15,(Skills!T16*(1+Inputs!$B$34/100))/Skills!D16))+(C930=TRUE)*30</f>
        <v/>
      </c>
    </row>
    <row r="952">
      <c r="A952" t="inlineStr">
        <is>
          <t>Global Final Damage Bonus % (Mortal Blow)</t>
        </is>
      </c>
      <c r="B952">
        <f>(C931=TRUE)*F931</f>
        <v/>
      </c>
    </row>
    <row r="953">
      <c r="A953" t="inlineStr">
        <is>
          <t>Buff-Casting Startup Delay (s, fixed-duration only)</t>
        </is>
      </c>
      <c r="B953">
        <f>IF(AND(Inputs!$B$38&lt;&gt;"pvp",Inputs!$B$43&gt;0),SUMPRODUCT((Skills!T2:T30&gt;0)*(Skills!E2:E30=TRUE)*(C915:C943=TRUE))/B948,0)</f>
        <v/>
      </c>
    </row>
    <row r="954">
      <c r="A954" s="5" t="inlineStr">
        <is>
          <t>TOTAL DPS</t>
        </is>
      </c>
      <c r="B954" s="5">
        <f>SUM(O915:O943)</f>
        <v/>
      </c>
    </row>
    <row r="957">
      <c r="A957" s="5" t="inlineStr">
        <is>
          <t>Stat: Flat ATTACK</t>
        </is>
      </c>
    </row>
    <row r="958">
      <c r="A958" s="9" t="inlineStr">
        <is>
          <t>Key</t>
        </is>
      </c>
      <c r="B958" s="9" t="inlineStr">
        <is>
          <t>Name</t>
        </is>
      </c>
      <c r="C958" s="9" t="inlineStr">
        <is>
          <t>Unlocked</t>
        </is>
      </c>
      <c r="D958" s="9" t="inlineStr">
        <is>
          <t>InputLevel</t>
        </is>
      </c>
      <c r="E958" s="9" t="inlineStr">
        <is>
          <t>Factor</t>
        </is>
      </c>
      <c r="F958" s="9" t="inlineStr">
        <is>
          <t>CoefficientPercent</t>
        </is>
      </c>
      <c r="G958" s="9" t="inlineStr">
        <is>
          <t>EffectiveHits</t>
        </is>
      </c>
      <c r="H958" s="9" t="inlineStr">
        <is>
          <t>ProcProbability</t>
        </is>
      </c>
      <c r="I958" s="9" t="inlineStr">
        <is>
          <t>MapleHeroMultiplier</t>
        </is>
      </c>
      <c r="J958" s="9" t="inlineStr">
        <is>
          <t>BaseDamage</t>
        </is>
      </c>
      <c r="K958" s="9" t="inlineStr">
        <is>
          <t>BaseHitDamage</t>
        </is>
      </c>
      <c r="L958" s="9" t="inlineStr">
        <is>
          <t>NonCritAvg</t>
        </is>
      </c>
      <c r="M958" s="9" t="inlineStr">
        <is>
          <t>CritAvg</t>
        </is>
      </c>
      <c r="N958" s="9" t="inlineStr">
        <is>
          <t>ExpectedDamage(perHit)</t>
        </is>
      </c>
      <c r="O958" s="9" t="inlineStr">
        <is>
          <t>DPS</t>
        </is>
      </c>
      <c r="P958" s="9" t="inlineStr">
        <is>
          <t>% of Total</t>
        </is>
      </c>
      <c r="Q958" s="9" t="inlineStr">
        <is>
          <t>InvCooldown</t>
        </is>
      </c>
      <c r="R958" s="9" t="inlineStr">
        <is>
          <t>CastsInFight</t>
        </is>
      </c>
      <c r="S958" s="9" t="inlineStr">
        <is>
          <t>HitRate(perSec)</t>
        </is>
      </c>
      <c r="U958" t="inlineStr">
        <is>
          <t>helpers</t>
        </is>
      </c>
    </row>
    <row r="959">
      <c r="A959">
        <f>Skills!A2</f>
        <v/>
      </c>
      <c r="B959">
        <f>Skills!B2</f>
        <v/>
      </c>
      <c r="C959">
        <f>Inputs!$B$3&gt;=100</f>
        <v/>
      </c>
      <c r="D959" t="inlineStr"/>
      <c r="E959" t="inlineStr"/>
      <c r="F959">
        <f>U961+Skills!O2</f>
        <v/>
      </c>
      <c r="G959">
        <f>Skills!G2*IF(Skills!H2&gt;0,Skills!I2/Skills!H2,1)</f>
        <v/>
      </c>
      <c r="H959">
        <f>1-(1-Skills!J2/100)^Skills!K2</f>
        <v/>
      </c>
      <c r="I959" t="inlineStr">
        <is>
          <t>1</t>
        </is>
      </c>
      <c r="J959">
        <f>(((Inputs!$B$6+1)*(1+Inputs!$B$7/100))+(((Inputs!$B$12*(1+Inputs!$B$13/100))-(Inputs!$B$12*(1+Inputs!$B$13/100)))+0.25*(Inputs!$B$14-Inputs!$B$14))*(1+Inputs!$B$7/100))*(F959/100)</f>
        <v/>
      </c>
      <c r="K959">
        <f>J959*(1+((Inputs!$B$12*(1+Inputs!$B$13/100))*0.01+Inputs!$B$14*0.0025)/100)*(1+Inputs!$B$15/100)*(1+IF(Inputs!$B$38="pvp",0,(1-Summary!$B$55)*(Inputs!$B$20+0+Skills!P2)+Summary!$B$55*(Inputs!$B$21+Skills!Q2))/100)*(1+Inputs!$B$16/100)*(5000/(6000+Inputs!$B$42*(1-(Inputs!$B$19+((C984=TRUE)*(F984-Calc!F27)))/100)))*(1+(Inputs!$B$24+((C982=TRUE)*(F982-Calc!F25))+((C983=TRUE)*(F983-Calc!F26))+B996)/100)*(1+(IF(Skills!A2="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959)</f>
        <v/>
      </c>
      <c r="L959">
        <f>K959*(MIN(Inputs!$B$22+((C981=TRUE)*(F981-Calc!F24)),Inputs!$B$23+((C986=TRUE)*(F986-Calc!F29)))/100+(Inputs!$B$23+((C986=TRUE)*(F986-Calc!F29)))/100)/2</f>
        <v/>
      </c>
      <c r="M959">
        <f>L959*(1+(Inputs!$B$10+0+B995)/100)</f>
        <v/>
      </c>
      <c r="N959">
        <f>L959*(1-MIN((Inputs!$B$9+((C977=TRUE)*(F977-Calc!F20))+B990),100)/100)+M959*(MIN((Inputs!$B$9+((C977=TRUE)*(F977-Calc!F20))+B990),100)/100)</f>
        <v/>
      </c>
      <c r="O959">
        <f>IF(C959,Skills!G2*N959*B994*IF(Inputs!$B$38="pvp",1,(1-Summary!$B$55)*(1)+Summary!$B$55*(MIN((6+Inputs!$B$33),Inputs!$B$37))),0)</f>
        <v/>
      </c>
      <c r="P959">
        <f>IF(B998=0,0,O959/B998)</f>
        <v/>
      </c>
      <c r="Q959" t="n">
        <v>0</v>
      </c>
      <c r="R959" t="n">
        <v>0</v>
      </c>
      <c r="S959">
        <f>IFERROR(O959/N959,0)</f>
        <v/>
      </c>
      <c r="U959">
        <f>MAX(0,(Inputs!$B$3-100)*3)+Inputs!$B$28+Inputs!$B$29</f>
        <v/>
      </c>
    </row>
    <row r="960">
      <c r="A960">
        <f>Skills!A3</f>
        <v/>
      </c>
      <c r="B960">
        <f>Skills!B3</f>
        <v/>
      </c>
      <c r="C960">
        <f>Inputs!$B$3&gt;=50</f>
        <v/>
      </c>
      <c r="D960">
        <f>IF(Skills!C3=1,60+Inputs!$B$25+Inputs!$B$29,IF(Skills!C3=2,90+Inputs!$B$26+Inputs!$B$29,IF(Skills!C3=3,120+Inputs!$B$27+Inputs!$B$29,MAX(0,(Inputs!$B$3-100)*3)+Inputs!$B$28+Inputs!$B$29)))</f>
        <v/>
      </c>
      <c r="E960">
        <f>INDEX(FactorTable!$B$2:$Y$301, MATCH(ROUND(MIN(300,MAX(1,D960)),0), FactorTable!$A$2:$A$301,0), Skills!M3+1)</f>
        <v/>
      </c>
      <c r="F960">
        <f>IF(Skills!N3=TRUE,(Skills!L3/10)*(E960/1000),Skills!L3/10)+Skills!O3</f>
        <v/>
      </c>
      <c r="G960" t="inlineStr"/>
      <c r="H960" t="inlineStr"/>
      <c r="I960" t="inlineStr">
        <is>
          <t>1</t>
        </is>
      </c>
      <c r="J960" t="inlineStr"/>
      <c r="K960" t="inlineStr"/>
      <c r="L960" t="inlineStr"/>
      <c r="M960" t="inlineStr"/>
      <c r="N960" t="inlineStr"/>
      <c r="O960" t="inlineStr"/>
      <c r="P960" t="inlineStr"/>
      <c r="Q960" t="inlineStr"/>
      <c r="R960" t="inlineStr"/>
      <c r="S960" t="inlineStr"/>
      <c r="U960">
        <f>INDEX(FactorTable!$B$2:$Y$301, MATCH(ROUND(MIN(300,MAX(1,U959)),0), FactorTable!$A$2:$A$301,0), 22)</f>
        <v/>
      </c>
    </row>
    <row r="961">
      <c r="A961">
        <f>Skills!A4</f>
        <v/>
      </c>
      <c r="B961">
        <f>Skills!B4</f>
        <v/>
      </c>
      <c r="C961">
        <f>Inputs!$B$3&gt;=105</f>
        <v/>
      </c>
      <c r="D961">
        <f>IF(Skills!C4=1,60+Inputs!$B$25+Inputs!$B$29,IF(Skills!C4=2,90+Inputs!$B$26+Inputs!$B$29,IF(Skills!C4=3,120+Inputs!$B$27+Inputs!$B$29,MAX(0,(Inputs!$B$3-100)*3)+Inputs!$B$28+Inputs!$B$29)))</f>
        <v/>
      </c>
      <c r="E961">
        <f>INDEX(FactorTable!$B$2:$Y$301, MATCH(ROUND(MIN(300,MAX(1,D961)),0), FactorTable!$A$2:$A$301,0), Skills!M4+1)</f>
        <v/>
      </c>
      <c r="F961">
        <f>IF(Skills!N4=TRUE,(Skills!L4/10)*(E961/1000),Skills!L4/10)+Skills!O4</f>
        <v/>
      </c>
      <c r="G961" t="inlineStr"/>
      <c r="H961" t="inlineStr"/>
      <c r="I961" t="inlineStr">
        <is>
          <t>1</t>
        </is>
      </c>
      <c r="J961" t="inlineStr"/>
      <c r="K961" t="inlineStr"/>
      <c r="L961" t="inlineStr"/>
      <c r="M961" t="inlineStr"/>
      <c r="N961" t="inlineStr"/>
      <c r="O961" t="inlineStr"/>
      <c r="P961" t="inlineStr"/>
      <c r="Q961" t="inlineStr"/>
      <c r="R961" t="inlineStr"/>
      <c r="S961" t="inlineStr"/>
      <c r="U961">
        <f>290*U960/1000</f>
        <v/>
      </c>
    </row>
    <row r="962">
      <c r="A962">
        <f>Skills!A5</f>
        <v/>
      </c>
      <c r="B962">
        <f>Skills!B5</f>
        <v/>
      </c>
      <c r="C962">
        <f>Inputs!$B$3&gt;=35</f>
        <v/>
      </c>
      <c r="D962">
        <f>IF(Skills!C5=1,60+Inputs!$B$25+Inputs!$B$29,IF(Skills!C5=2,90+Inputs!$B$26+Inputs!$B$29,IF(Skills!C5=3,120+Inputs!$B$27+Inputs!$B$29,MAX(0,(Inputs!$B$3-100)*3)+Inputs!$B$28+Inputs!$B$29)))</f>
        <v/>
      </c>
      <c r="E962">
        <f>INDEX(FactorTable!$B$2:$Y$301, MATCH(ROUND(MIN(300,MAX(1,D962)),0), FactorTable!$A$2:$A$301,0), Skills!M5+1)</f>
        <v/>
      </c>
      <c r="F962">
        <f>IF(Skills!N5=TRUE,(Skills!L5/10)*(E962/1000),Skills!L5/10)+Skills!O5</f>
        <v/>
      </c>
      <c r="G962">
        <f>Skills!G5*IF(Skills!H5&gt;0,Skills!I5/Skills!H5,1)</f>
        <v/>
      </c>
      <c r="H962">
        <f>1-(1-Skills!J5/100)^Skills!K5</f>
        <v/>
      </c>
      <c r="I962" t="inlineStr">
        <is>
          <t>1</t>
        </is>
      </c>
      <c r="J962">
        <f>(((Inputs!$B$6+1)*(1+Inputs!$B$7/100))+(((Inputs!$B$12*(1+Inputs!$B$13/100))-(Inputs!$B$12*(1+Inputs!$B$13/100)))+0.25*(Inputs!$B$14-Inputs!$B$14))*(1+Inputs!$B$7/100))*(F962/100)</f>
        <v/>
      </c>
      <c r="K962">
        <f>J962*(1+((Inputs!$B$12*(1+Inputs!$B$13/100))*0.01+Inputs!$B$14*0.0025)/100)*(1+Inputs!$B$15/100)*(1+IF(Inputs!$B$38="pvp",0,(1-Summary!$B$55)*(Inputs!$B$20+0+Skills!P5)+Summary!$B$55*(Inputs!$B$21+Skills!Q5))/100)*(1+Inputs!$B$16/100)*(5000/(6000+Inputs!$B$42*(1-(Inputs!$B$19+((C984=TRUE)*(F984-Calc!F27)))/100)))*(1+(Inputs!$B$24+((C982=TRUE)*(F982-Calc!F25))+((C983=TRUE)*(F983-Calc!F26))+B996)/100)*(1+4.0*IF(C967=TRUE,F967,0)/100)*(1+(IF(Skills!A5="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962)</f>
        <v/>
      </c>
      <c r="L962">
        <f>K962*(MIN(Inputs!$B$22+((C981=TRUE)*(F981-Calc!F24)),Inputs!$B$23+((C986=TRUE)*(F986-Calc!F29)))/100+(Inputs!$B$23+((C986=TRUE)*(F986-Calc!F29)))/100)/2</f>
        <v/>
      </c>
      <c r="M962">
        <f>L962*(1+(Inputs!$B$10+0+B995)/100)</f>
        <v/>
      </c>
      <c r="N962">
        <f>L962*(1-MIN((Inputs!$B$9+((C977=TRUE)*(F977-Calc!F20))+B990),100)/100)+M962*(MIN((Inputs!$B$9+((C977=TRUE)*(F977-Calc!F20))+B990),100)/100)</f>
        <v/>
      </c>
      <c r="O962">
        <f>IF(C962,H962*N962*IF(AND(Inputs!$B$38&lt;&gt;"pvp",Inputs!$B$43&gt;0),((Skills!G5*((R962-1)*IF(Skills!H5&gt;0,Skills!I5/Skills!H5,1)+IF(Skills!H5&gt;0,MIN(Skills!I5,MAX(0,MAX(0,Inputs!$B$43-B997)-((R962-1)*IF(Inputs!$B$38="pvp",15,MAX(0.1,Skills!D5-IF(Skills!E5=TRUE,Inputs!$B$32,0))))))/Skills!H5,1)))/Inputs!$B$43),G962*Q962)*IF(Inputs!$B$38="pvp",1,(1-Summary!$B$55)*(1)+Summary!$B$55*(MIN(Skills!R5,Inputs!$B$37))),0)</f>
        <v/>
      </c>
      <c r="P962">
        <f>IF(B998=0,0,O962/B998)</f>
        <v/>
      </c>
      <c r="Q962">
        <f>IFERROR(1/IF(Inputs!$B$38="pvp",15,MAX(0.1,Skills!D5-IF(Skills!E5=TRUE,Inputs!$B$32,0))),0)</f>
        <v/>
      </c>
      <c r="R962">
        <f>IF(AND(Inputs!$B$38&lt;&gt;"pvp",Inputs!$B$43&gt;0),IF(MAX(0,Inputs!$B$43-B997)&lt;=0,0,(INT(MAX(0,Inputs!$B$43-B997)/IF(Inputs!$B$38="pvp",15,MAX(0.1,Skills!D5-IF(Skills!E5=TRUE,Inputs!$B$32,0))))+1)),0)</f>
        <v/>
      </c>
      <c r="S962">
        <f>IFERROR(O962/N962,0)</f>
        <v/>
      </c>
    </row>
    <row r="963">
      <c r="A963">
        <f>Skills!A6</f>
        <v/>
      </c>
      <c r="B963">
        <f>Skills!B6</f>
        <v/>
      </c>
      <c r="C963">
        <f>Inputs!$B$3&gt;=40</f>
        <v/>
      </c>
      <c r="D963">
        <f>IF(Skills!C6=1,60+Inputs!$B$25+Inputs!$B$29,IF(Skills!C6=2,90+Inputs!$B$26+Inputs!$B$29,IF(Skills!C6=3,120+Inputs!$B$27+Inputs!$B$29,MAX(0,(Inputs!$B$3-100)*3)+Inputs!$B$28+Inputs!$B$29)))</f>
        <v/>
      </c>
      <c r="E963">
        <f>INDEX(FactorTable!$B$2:$Y$301, MATCH(ROUND(MIN(300,MAX(1,D963)),0), FactorTable!$A$2:$A$301,0), Skills!M6+1)</f>
        <v/>
      </c>
      <c r="F963">
        <f>IF(Skills!N6=TRUE,(Skills!L6/10)*(E963/1000),Skills!L6/10)+Skills!O6</f>
        <v/>
      </c>
      <c r="G963">
        <f>Skills!G6*IF(Skills!H6&gt;0,Skills!I6/Skills!H6,1)</f>
        <v/>
      </c>
      <c r="H963">
        <f>1-(1-Skills!J6/100)^Skills!K6</f>
        <v/>
      </c>
      <c r="I963" t="inlineStr">
        <is>
          <t>1</t>
        </is>
      </c>
      <c r="J963">
        <f>(((Inputs!$B$6+1)*(1+Inputs!$B$7/100))+(((Inputs!$B$12*(1+Inputs!$B$13/100))-(Inputs!$B$12*(1+Inputs!$B$13/100)))+0.25*(Inputs!$B$14-Inputs!$B$14))*(1+Inputs!$B$7/100))*(F963/100)</f>
        <v/>
      </c>
      <c r="K963">
        <f>J963*(1+((Inputs!$B$12*(1+Inputs!$B$13/100))*0.01+Inputs!$B$14*0.0025)/100)*(1+Inputs!$B$15/100)*(1+IF(Inputs!$B$38="pvp",0,(1-Summary!$B$55)*(Inputs!$B$20+0+Skills!P6)+Summary!$B$55*(Inputs!$B$21+Skills!Q6))/100)*(1+Inputs!$B$16/100)*(5000/(6000+Inputs!$B$42*(1-(Inputs!$B$19+((C984=TRUE)*(F984-Calc!F27)))/100)))*(1+(Inputs!$B$24+((C982=TRUE)*(F982-Calc!F25))+((C983=TRUE)*(F983-Calc!F26))+B996)/100)*(1+IF(C964=TRUE,F964,0)/100)*(1+(IF(Skills!A6="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963)</f>
        <v/>
      </c>
      <c r="L963">
        <f>K963*(MIN(Inputs!$B$22+((C981=TRUE)*(F981-Calc!F24)),Inputs!$B$23+((C986=TRUE)*(F986-Calc!F29)))/100+(Inputs!$B$23+((C986=TRUE)*(F986-Calc!F29)))/100)/2</f>
        <v/>
      </c>
      <c r="M963">
        <f>L963*(1+(Inputs!$B$10+0+B995)/100)</f>
        <v/>
      </c>
      <c r="N963">
        <f>L963*(1-MIN((Inputs!$B$9+((C977=TRUE)*(F977-Calc!F20))+B990),100)/100)+M963*(MIN((Inputs!$B$9+((C977=TRUE)*(F977-Calc!F20))+B990),100)/100)</f>
        <v/>
      </c>
      <c r="O963">
        <f>IF(C963,H963*N963*IF(AND(Inputs!$B$38&lt;&gt;"pvp",Inputs!$B$43&gt;0),((Skills!G6*((R963-1)*IF(Skills!H6&gt;0,Skills!I6/Skills!H6,1)+IF(Skills!H6&gt;0,MIN(Skills!I6,MAX(0,MAX(0,Inputs!$B$43-B997)-((R963-1)*IF(Inputs!$B$38="pvp",15,MAX(0.1,Skills!D6-IF(Skills!E6=TRUE,Inputs!$B$32,0))))))/Skills!H6,1)))/Inputs!$B$43),G963*Q963)*IF(Inputs!$B$38="pvp",1,(1-Summary!$B$55)*(1)+Summary!$B$55*(MIN(Skills!R6,Inputs!$B$37))),0)</f>
        <v/>
      </c>
      <c r="P963">
        <f>IF(B998=0,0,O963/B998)</f>
        <v/>
      </c>
      <c r="Q963">
        <f>IFERROR(1/IF(Inputs!$B$38="pvp",15,MAX(0.1,Skills!D6-IF(Skills!E6=TRUE,Inputs!$B$32,0))),0)</f>
        <v/>
      </c>
      <c r="R963">
        <f>IF(AND(Inputs!$B$38&lt;&gt;"pvp",Inputs!$B$43&gt;0),IF(MAX(0,Inputs!$B$43-B997)&lt;=0,0,(INT(MAX(0,Inputs!$B$43-B997)/IF(Inputs!$B$38="pvp",15,MAX(0.1,Skills!D6-IF(Skills!E6=TRUE,Inputs!$B$32,0))))+1)),0)</f>
        <v/>
      </c>
      <c r="S963">
        <f>IFERROR(O963/N963,0)</f>
        <v/>
      </c>
    </row>
    <row r="964">
      <c r="A964">
        <f>Skills!A7</f>
        <v/>
      </c>
      <c r="B964">
        <f>Skills!B7</f>
        <v/>
      </c>
      <c r="C964">
        <f>Inputs!$B$3&gt;=107</f>
        <v/>
      </c>
      <c r="D964">
        <f>IF(Skills!C7=1,60+Inputs!$B$25+Inputs!$B$29,IF(Skills!C7=2,90+Inputs!$B$26+Inputs!$B$29,IF(Skills!C7=3,120+Inputs!$B$27+Inputs!$B$29,MAX(0,(Inputs!$B$3-100)*3)+Inputs!$B$28+Inputs!$B$29)))</f>
        <v/>
      </c>
      <c r="E964">
        <f>INDEX(FactorTable!$B$2:$Y$301, MATCH(ROUND(MIN(300,MAX(1,D964)),0), FactorTable!$A$2:$A$301,0), Skills!M7+1)</f>
        <v/>
      </c>
      <c r="F964">
        <f>IF(Skills!N7=TRUE,(Skills!L7/10)*(E964/1000),Skills!L7/10)+Skills!O7</f>
        <v/>
      </c>
      <c r="G964" t="inlineStr"/>
      <c r="H964" t="inlineStr"/>
      <c r="I964" t="inlineStr">
        <is>
          <t>1</t>
        </is>
      </c>
      <c r="J964" t="inlineStr"/>
      <c r="K964" t="inlineStr"/>
      <c r="L964" t="inlineStr"/>
      <c r="M964" t="inlineStr"/>
      <c r="N964" t="inlineStr"/>
      <c r="O964" t="inlineStr"/>
      <c r="P964" t="inlineStr"/>
      <c r="Q964" t="inlineStr"/>
      <c r="R964" t="inlineStr"/>
      <c r="S964" t="inlineStr"/>
    </row>
    <row r="965">
      <c r="A965">
        <f>Skills!A8</f>
        <v/>
      </c>
      <c r="B965">
        <f>Skills!B8</f>
        <v/>
      </c>
      <c r="C965">
        <f>Inputs!$B$3&gt;=69</f>
        <v/>
      </c>
      <c r="D965">
        <f>IF(Skills!C8=1,60+Inputs!$B$25+Inputs!$B$29,IF(Skills!C8=2,90+Inputs!$B$26+Inputs!$B$29,IF(Skills!C8=3,120+Inputs!$B$27+Inputs!$B$29,MAX(0,(Inputs!$B$3-100)*3)+Inputs!$B$28+Inputs!$B$29)))</f>
        <v/>
      </c>
      <c r="E965">
        <f>INDEX(FactorTable!$B$2:$Y$301, MATCH(ROUND(MIN(300,MAX(1,D965)),0), FactorTable!$A$2:$A$301,0), Skills!M8+1)</f>
        <v/>
      </c>
      <c r="F965">
        <f>IF(Skills!N8=TRUE,(Skills!L8/10)*(E965/1000),Skills!L8/10)+Skills!O8</f>
        <v/>
      </c>
      <c r="G965">
        <f>Skills!G8*IF(Skills!H8&gt;0,Skills!I8/Skills!H8,1)</f>
        <v/>
      </c>
      <c r="H965">
        <f>1-(1-Skills!J8/100)^Skills!K8</f>
        <v/>
      </c>
      <c r="I965" t="inlineStr">
        <is>
          <t>1</t>
        </is>
      </c>
      <c r="J965">
        <f>(((Inputs!$B$6+1)*(1+Inputs!$B$7/100))+(((Inputs!$B$12*(1+Inputs!$B$13/100))-(Inputs!$B$12*(1+Inputs!$B$13/100)))+0.25*(Inputs!$B$14-Inputs!$B$14))*(1+Inputs!$B$7/100))*(F965/100)</f>
        <v/>
      </c>
      <c r="K965">
        <f>J965*(1+((Inputs!$B$12*(1+Inputs!$B$13/100))*0.01+Inputs!$B$14*0.0025)/100)*(1+Inputs!$B$15/100)*(1+IF(Inputs!$B$38="pvp",0,(1-Summary!$B$55)*(Inputs!$B$20+0+Skills!P8)+Summary!$B$55*(Inputs!$B$21+Skills!Q8))/100)*(1+Inputs!$B$16/100)*(5000/(6000+Inputs!$B$42*(1-(Inputs!$B$19+((C984=TRUE)*(F984-Calc!F27)))/100)))*(1+(Inputs!$B$24+((C982=TRUE)*(F982-Calc!F25))+((C983=TRUE)*(F983-Calc!F26))+B996)/100)*(1+1.2*IF(C967=TRUE,F967,0)/100)*(1+(IF(Skills!A8="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965)</f>
        <v/>
      </c>
      <c r="L965">
        <f>K965*(MIN(Inputs!$B$22+((C981=TRUE)*(F981-Calc!F24)),Inputs!$B$23+((C986=TRUE)*(F986-Calc!F29)))/100+(Inputs!$B$23+((C986=TRUE)*(F986-Calc!F29)))/100)/2</f>
        <v/>
      </c>
      <c r="M965">
        <f>L965*(1+(Inputs!$B$10+0+B995)/100)</f>
        <v/>
      </c>
      <c r="N965">
        <f>L965*(1-MIN((Inputs!$B$9+((C977=TRUE)*(F977-Calc!F20))+B990),100)/100)+M965*(MIN((Inputs!$B$9+((C977=TRUE)*(F977-Calc!F20))+B990),100)/100)</f>
        <v/>
      </c>
      <c r="O965">
        <f>IF(C965,H965*N965*IF(AND(Inputs!$B$38&lt;&gt;"pvp",Inputs!$B$43&gt;0),((Skills!G8*((R965-1)*IF(Skills!H8&gt;0,Skills!I8/Skills!H8,1)+IF(Skills!H8&gt;0,MIN(Skills!I8,MAX(0,MAX(0,Inputs!$B$43-B997)-((R965-1)*IF(Inputs!$B$38="pvp",15,MAX(0.1,Skills!D8-IF(Skills!E8=TRUE,Inputs!$B$32,0))))))/Skills!H8,1)))/Inputs!$B$43),G965*Q965)*IF(Inputs!$B$38="pvp",1,(1-Summary!$B$55)*(1)+Summary!$B$55*(MIN(Skills!R8,Inputs!$B$37))),0)</f>
        <v/>
      </c>
      <c r="P965">
        <f>IF(B998=0,0,O965/B998)</f>
        <v/>
      </c>
      <c r="Q965">
        <f>IFERROR(1/IF(Inputs!$B$38="pvp",15,MAX(0.1,Skills!D8-IF(Skills!E8=TRUE,Inputs!$B$32,0))),0)</f>
        <v/>
      </c>
      <c r="R965">
        <f>IF(AND(Inputs!$B$38&lt;&gt;"pvp",Inputs!$B$43&gt;0),IF(MAX(0,Inputs!$B$43-B997)&lt;=0,0,(INT(MAX(0,Inputs!$B$43-B997)/IF(Inputs!$B$38="pvp",15,MAX(0.1,Skills!D8-IF(Skills!E8=TRUE,Inputs!$B$32,0))))+1)),0)</f>
        <v/>
      </c>
      <c r="S965">
        <f>IFERROR(O965/N965,0)</f>
        <v/>
      </c>
    </row>
    <row r="966">
      <c r="A966">
        <f>Skills!A9</f>
        <v/>
      </c>
      <c r="B966">
        <f>Skills!B9</f>
        <v/>
      </c>
      <c r="C966">
        <f>Inputs!$B$3&gt;=63</f>
        <v/>
      </c>
      <c r="D966">
        <f>IF(Skills!C9=1,60+Inputs!$B$25+Inputs!$B$29,IF(Skills!C9=2,90+Inputs!$B$26+Inputs!$B$29,IF(Skills!C9=3,120+Inputs!$B$27+Inputs!$B$29,MAX(0,(Inputs!$B$3-100)*3)+Inputs!$B$28+Inputs!$B$29)))</f>
        <v/>
      </c>
      <c r="E966">
        <f>INDEX(FactorTable!$B$2:$Y$301, MATCH(ROUND(MIN(300,MAX(1,D966)),0), FactorTable!$A$2:$A$301,0), Skills!M9+1)</f>
        <v/>
      </c>
      <c r="F966">
        <f>IF(Skills!N9=TRUE,(Skills!L9/10)*(E966/1000),Skills!L9/10)+Skills!O9</f>
        <v/>
      </c>
      <c r="G966">
        <f>Skills!G9*IF(Skills!H9&gt;0,Skills!I9/Skills!H9,1)</f>
        <v/>
      </c>
      <c r="H966">
        <f>1-(1-Skills!J9/100)^Skills!K9</f>
        <v/>
      </c>
      <c r="I966" t="inlineStr">
        <is>
          <t>1</t>
        </is>
      </c>
      <c r="J966">
        <f>(((Inputs!$B$6+1)*(1+Inputs!$B$7/100))+(((Inputs!$B$12*(1+Inputs!$B$13/100))-(Inputs!$B$12*(1+Inputs!$B$13/100)))+0.25*(Inputs!$B$14-Inputs!$B$14))*(1+Inputs!$B$7/100))*(F966/100)</f>
        <v/>
      </c>
      <c r="K966">
        <f>J966*(1+((Inputs!$B$12*(1+Inputs!$B$13/100))*0.01+Inputs!$B$14*0.0025)/100)*(1+Inputs!$B$15/100)*(1+IF(Inputs!$B$38="pvp",0,(1-Summary!$B$55)*(Inputs!$B$20+0+Skills!P9)+Summary!$B$55*(Inputs!$B$21+Skills!Q9))/100)*(1+Inputs!$B$16/100)*(5000/(6000+Inputs!$B$42*(1-(Inputs!$B$19+((C984=TRUE)*(F984-Calc!F27)))/100)))*(1+(Inputs!$B$24+((C982=TRUE)*(F982-Calc!F25))+((C983=TRUE)*(F983-Calc!F26))+B996)/100)*(1+1.0*IF(C967=TRUE,F967,0)/100)*(1+(IF(Skills!A9="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966)</f>
        <v/>
      </c>
      <c r="L966">
        <f>K966*(MIN(Inputs!$B$22+((C981=TRUE)*(F981-Calc!F24)),Inputs!$B$23+((C986=TRUE)*(F986-Calc!F29)))/100+(Inputs!$B$23+((C986=TRUE)*(F986-Calc!F29)))/100)/2</f>
        <v/>
      </c>
      <c r="M966">
        <f>L966*(1+(Inputs!$B$10+0+B995)/100)</f>
        <v/>
      </c>
      <c r="N966">
        <f>L966*(1-MIN((Inputs!$B$9+((C977=TRUE)*(F977-Calc!F20))+B990),100)/100)+M966*(MIN((Inputs!$B$9+((C977=TRUE)*(F977-Calc!F20))+B990),100)/100)</f>
        <v/>
      </c>
      <c r="O966">
        <f>IF(C966,H966*N966*IF(AND(Inputs!$B$38&lt;&gt;"pvp",Inputs!$B$43&gt;0),((Skills!G9*((R966-1)*IF(Skills!H9&gt;0,Skills!I9/Skills!H9,1)+IF(Skills!H9&gt;0,MIN(Skills!I9,MAX(0,MAX(0,Inputs!$B$43-B997)-((R966-1)*IF(Inputs!$B$38="pvp",15,MAX(0.1,Skills!D9-IF(Skills!E9=TRUE,Inputs!$B$32,0))))))/Skills!H9,1)))/Inputs!$B$43),G966*Q966)*IF(Inputs!$B$38="pvp",1,(1-Summary!$B$55)*(1)+Summary!$B$55*(MIN(Skills!R9,Inputs!$B$37))),0)</f>
        <v/>
      </c>
      <c r="P966">
        <f>IF(B998=0,0,O966/B998)</f>
        <v/>
      </c>
      <c r="Q966">
        <f>IFERROR(1/IF(Inputs!$B$38="pvp",15,MAX(0.1,Skills!D9-IF(Skills!E9=TRUE,Inputs!$B$32,0))),0)</f>
        <v/>
      </c>
      <c r="R966">
        <f>IF(AND(Inputs!$B$38&lt;&gt;"pvp",Inputs!$B$43&gt;0),IF(MAX(0,Inputs!$B$43-B997)&lt;=0,0,(INT(MAX(0,Inputs!$B$43-B997)/IF(Inputs!$B$38="pvp",15,MAX(0.1,Skills!D9-IF(Skills!E9=TRUE,Inputs!$B$32,0))))+1)),0)</f>
        <v/>
      </c>
      <c r="S966">
        <f>IFERROR(O966/N966,0)</f>
        <v/>
      </c>
    </row>
    <row r="967">
      <c r="A967">
        <f>Skills!A10</f>
        <v/>
      </c>
      <c r="B967">
        <f>Skills!B10</f>
        <v/>
      </c>
      <c r="C967">
        <f>Inputs!$B$3&gt;=100</f>
        <v/>
      </c>
      <c r="D967">
        <f>IF(Skills!C10=1,60+Inputs!$B$25+Inputs!$B$29,IF(Skills!C10=2,90+Inputs!$B$26+Inputs!$B$29,IF(Skills!C10=3,120+Inputs!$B$27+Inputs!$B$29,MAX(0,(Inputs!$B$3-100)*3)+Inputs!$B$28+Inputs!$B$29)))</f>
        <v/>
      </c>
      <c r="E967">
        <f>INDEX(FactorTable!$B$2:$Y$301, MATCH(ROUND(MIN(300,MAX(1,D967)),0), FactorTable!$A$2:$A$301,0), Skills!M10+1)</f>
        <v/>
      </c>
      <c r="F967">
        <f>IF(Skills!N10=TRUE,(Skills!L10/10)*(E967/1000),Skills!L10/10)+Skills!O10</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Skills!A11</f>
        <v/>
      </c>
      <c r="B968">
        <f>Skills!B11</f>
        <v/>
      </c>
      <c r="C968">
        <f>Inputs!$B$3&gt;=60</f>
        <v/>
      </c>
      <c r="D968">
        <f>IF(Skills!C11=1,60+Inputs!$B$25+Inputs!$B$29,IF(Skills!C11=2,90+Inputs!$B$26+Inputs!$B$29,IF(Skills!C11=3,120+Inputs!$B$27+Inputs!$B$29,MAX(0,(Inputs!$B$3-100)*3)+Inputs!$B$28+Inputs!$B$29)))</f>
        <v/>
      </c>
      <c r="E968">
        <f>INDEX(FactorTable!$B$2:$Y$301, MATCH(ROUND(MIN(300,MAX(1,D968)),0), FactorTable!$A$2:$A$301,0), Skills!M11+1)</f>
        <v/>
      </c>
      <c r="F968">
        <f>IF(Skills!N11=TRUE,(Skills!L11/10)*(E968/1000),Skills!L11/10)+Skills!O11</f>
        <v/>
      </c>
      <c r="G968">
        <f>Skills!G11*IF(Skills!H11&gt;0,Skills!I11/Skills!H11,1)</f>
        <v/>
      </c>
      <c r="H968">
        <f>1-(1-Skills!J11/100)^Skills!K11</f>
        <v/>
      </c>
      <c r="I968" t="inlineStr">
        <is>
          <t>1</t>
        </is>
      </c>
      <c r="J968">
        <f>(((Inputs!$B$6+1)*(1+Inputs!$B$7/100))+(((Inputs!$B$12*(1+Inputs!$B$13/100))-(Inputs!$B$12*(1+Inputs!$B$13/100)))+0.25*(Inputs!$B$14-Inputs!$B$14))*(1+Inputs!$B$7/100))*(F968/100)</f>
        <v/>
      </c>
      <c r="K968">
        <f>J968*(1+((Inputs!$B$12*(1+Inputs!$B$13/100))*0.01+Inputs!$B$14*0.0025)/100)*(1+Inputs!$B$15/100)*(1+IF(Inputs!$B$38="pvp",0,(1-Summary!$B$55)*(Inputs!$B$20+0+Skills!P11)+Summary!$B$55*(Inputs!$B$21+Skills!Q11))/100)*(1+Inputs!$B$16/100)*(5000/(6000+Inputs!$B$42*(1-(Inputs!$B$19+((C984=TRUE)*(F984-Calc!F27)))/100)))*(1+(Inputs!$B$24+((C982=TRUE)*(F982-Calc!F25))+((C983=TRUE)*(F983-Calc!F26))+B996)/100)*(1+IF(C969=TRUE,F969,0)/100)*(1+(IF(Skills!A11="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968)</f>
        <v/>
      </c>
      <c r="L968">
        <f>K968*(MIN(Inputs!$B$22+((C981=TRUE)*(F981-Calc!F24)),Inputs!$B$23+((C986=TRUE)*(F986-Calc!F29)))/100+(Inputs!$B$23+((C986=TRUE)*(F986-Calc!F29)))/100)/2</f>
        <v/>
      </c>
      <c r="M968">
        <f>L968*(1+(Inputs!$B$10+0+B995)/100)</f>
        <v/>
      </c>
      <c r="N968">
        <f>L968*(1-MIN((Inputs!$B$9+((C977=TRUE)*(F977-Calc!F20))+B990),100)/100)+M968*(MIN((Inputs!$B$9+((C977=TRUE)*(F977-Calc!F20))+B990),100)/100)</f>
        <v/>
      </c>
      <c r="O968">
        <f>IF(C968,H968*N968*IF(AND(Inputs!$B$38&lt;&gt;"pvp",Inputs!$B$43&gt;0),((Skills!G11*((R968-1)*IF(Skills!H11&gt;0,Skills!I11/Skills!H11,1)+IF(Skills!H11&gt;0,MIN(Skills!I11,MAX(0,MAX(0,Inputs!$B$43-B997)-((R968-1)*IF(Inputs!$B$38="pvp",15,MAX(0.1,Skills!D11-IF(Skills!E11=TRUE,Inputs!$B$32,0))))))/Skills!H11,1)))/Inputs!$B$43),G968*Q968)*IF(Inputs!$B$38="pvp",1,(1-Summary!$B$55)*(1)+Summary!$B$55*(MIN(Skills!R11,Inputs!$B$37))),0)</f>
        <v/>
      </c>
      <c r="P968">
        <f>IF(B998=0,0,O968/B998)</f>
        <v/>
      </c>
      <c r="Q968">
        <f>IFERROR(1/IF(Inputs!$B$38="pvp",15,MAX(0.1,Skills!D11-IF(Skills!E11=TRUE,Inputs!$B$32,0))),0)</f>
        <v/>
      </c>
      <c r="R968">
        <f>IF(AND(Inputs!$B$38&lt;&gt;"pvp",Inputs!$B$43&gt;0),IF(MAX(0,Inputs!$B$43-B997)&lt;=0,0,(INT(MAX(0,Inputs!$B$43-B997)/IF(Inputs!$B$38="pvp",15,MAX(0.1,Skills!D11-IF(Skills!E11=TRUE,Inputs!$B$32,0))))+1)),0)</f>
        <v/>
      </c>
      <c r="S968">
        <f>IFERROR(O968/N968,0)</f>
        <v/>
      </c>
    </row>
    <row r="969">
      <c r="A969">
        <f>Skills!A12</f>
        <v/>
      </c>
      <c r="B969">
        <f>Skills!B12</f>
        <v/>
      </c>
      <c r="C969">
        <f>Inputs!$B$3&gt;=110</f>
        <v/>
      </c>
      <c r="D969">
        <f>IF(Skills!C12=1,60+Inputs!$B$25+Inputs!$B$29,IF(Skills!C12=2,90+Inputs!$B$26+Inputs!$B$29,IF(Skills!C12=3,120+Inputs!$B$27+Inputs!$B$29,MAX(0,(Inputs!$B$3-100)*3)+Inputs!$B$28+Inputs!$B$29)))</f>
        <v/>
      </c>
      <c r="E969">
        <f>INDEX(FactorTable!$B$2:$Y$301, MATCH(ROUND(MIN(300,MAX(1,D969)),0), FactorTable!$A$2:$A$301,0), Skills!M12+1)</f>
        <v/>
      </c>
      <c r="F969">
        <f>IF(Skills!N12=TRUE,(Skills!L12/10)*(E969/1000),Skills!L12/10)+Skills!O12</f>
        <v/>
      </c>
      <c r="G969" t="inlineStr"/>
      <c r="H969" t="inlineStr"/>
      <c r="I969" t="inlineStr">
        <is>
          <t>1</t>
        </is>
      </c>
      <c r="J969" t="inlineStr"/>
      <c r="K969" t="inlineStr"/>
      <c r="L969" t="inlineStr"/>
      <c r="M969" t="inlineStr"/>
      <c r="N969" t="inlineStr"/>
      <c r="O969" t="inlineStr"/>
      <c r="P969" t="inlineStr"/>
      <c r="Q969" t="inlineStr"/>
      <c r="R969" t="inlineStr"/>
      <c r="S969" t="inlineStr"/>
    </row>
    <row r="970">
      <c r="A970">
        <f>Skills!A13</f>
        <v/>
      </c>
      <c r="B970">
        <f>Skills!B13</f>
        <v/>
      </c>
      <c r="C970">
        <f>Inputs!$B$3&gt;=74</f>
        <v/>
      </c>
      <c r="D970">
        <f>IF(Skills!C13=1,60+Inputs!$B$25+Inputs!$B$29,IF(Skills!C13=2,90+Inputs!$B$26+Inputs!$B$29,IF(Skills!C13=3,120+Inputs!$B$27+Inputs!$B$29,MAX(0,(Inputs!$B$3-100)*3)+Inputs!$B$28+Inputs!$B$29)))</f>
        <v/>
      </c>
      <c r="E970">
        <f>INDEX(FactorTable!$B$2:$Y$301, MATCH(ROUND(MIN(300,MAX(1,D970)),0), FactorTable!$A$2:$A$301,0), Skills!M13+1)</f>
        <v/>
      </c>
      <c r="F970">
        <f>IF(Skills!N13=TRUE,(Skills!L13/10)*(E970/1000),Skills!L13/10)+Skills!O13</f>
        <v/>
      </c>
      <c r="G970">
        <f>Skills!G13*IF(Skills!H13&gt;0,Skills!I13/Skills!H13,1)</f>
        <v/>
      </c>
      <c r="H970">
        <f>1-(1-Skills!J13/100)^Skills!K13</f>
        <v/>
      </c>
      <c r="I970" t="inlineStr">
        <is>
          <t>1</t>
        </is>
      </c>
      <c r="J970" t="inlineStr"/>
      <c r="K970" t="inlineStr"/>
      <c r="L970" t="inlineStr"/>
      <c r="M970" t="inlineStr"/>
      <c r="N970" t="inlineStr"/>
      <c r="O970" t="n">
        <v>0</v>
      </c>
      <c r="P970">
        <f>IF(B998=0,0,O970/B998)</f>
        <v/>
      </c>
      <c r="Q970" t="n">
        <v>0</v>
      </c>
      <c r="R970" t="n">
        <v>0</v>
      </c>
      <c r="S970">
        <f>IFERROR(O970/N970,0)</f>
        <v/>
      </c>
    </row>
    <row r="971">
      <c r="A971">
        <f>Skills!A14</f>
        <v/>
      </c>
      <c r="B971">
        <f>Skills!B14</f>
        <v/>
      </c>
      <c r="C971">
        <f>Inputs!$B$3&gt;=74</f>
        <v/>
      </c>
      <c r="D971">
        <f>IF(Skills!C14=1,60+Inputs!$B$25+Inputs!$B$29,IF(Skills!C14=2,90+Inputs!$B$26+Inputs!$B$29,IF(Skills!C14=3,120+Inputs!$B$27+Inputs!$B$29,MAX(0,(Inputs!$B$3-100)*3)+Inputs!$B$28+Inputs!$B$29)))</f>
        <v/>
      </c>
      <c r="E971">
        <f>INDEX(FactorTable!$B$2:$Y$301, MATCH(ROUND(MIN(300,MAX(1,D971)),0), FactorTable!$A$2:$A$301,0), Skills!M14+1)</f>
        <v/>
      </c>
      <c r="F971">
        <f>IF(Skills!N14=TRUE,(Skills!L14/10)*(E971/1000),Skills!L14/10)+Skills!O14</f>
        <v/>
      </c>
      <c r="G971">
        <f>Skills!G14*IF(Skills!H14&gt;0,Skills!I14/Skills!H14,1)</f>
        <v/>
      </c>
      <c r="H971">
        <f>1-(1-Skills!J14/100)^Skills!K14</f>
        <v/>
      </c>
      <c r="I971" t="inlineStr">
        <is>
          <t>1</t>
        </is>
      </c>
      <c r="J971" t="inlineStr"/>
      <c r="K971" t="inlineStr"/>
      <c r="L971" t="inlineStr"/>
      <c r="M971" t="inlineStr"/>
      <c r="N971" t="inlineStr"/>
      <c r="O971" t="n">
        <v>0</v>
      </c>
      <c r="P971">
        <f>IF(B998=0,0,O971/B998)</f>
        <v/>
      </c>
      <c r="Q971" t="n">
        <v>0</v>
      </c>
      <c r="R971" t="n">
        <v>0</v>
      </c>
      <c r="S971">
        <f>IFERROR(O971/N971,0)</f>
        <v/>
      </c>
    </row>
    <row r="972">
      <c r="A972">
        <f>Skills!A15</f>
        <v/>
      </c>
      <c r="B972">
        <f>Skills!B15</f>
        <v/>
      </c>
      <c r="C972">
        <f>Inputs!$B$3&gt;=117</f>
        <v/>
      </c>
      <c r="D972">
        <f>IF(Skills!C15=1,60+Inputs!$B$25+Inputs!$B$29,IF(Skills!C15=2,90+Inputs!$B$26+Inputs!$B$29,IF(Skills!C15=3,120+Inputs!$B$27+Inputs!$B$29,MAX(0,(Inputs!$B$3-100)*3)+Inputs!$B$28+Inputs!$B$29)))</f>
        <v/>
      </c>
      <c r="E972">
        <f>INDEX(FactorTable!$B$2:$Y$301, MATCH(ROUND(MIN(300,MAX(1,D972)),0), FactorTable!$A$2:$A$301,0), Skills!M15+1)</f>
        <v/>
      </c>
      <c r="F972">
        <f>IF(Skills!N15=TRUE,(Skills!L15/10)*(E972/1000),Skills!L15/10)+Skills!O15</f>
        <v/>
      </c>
      <c r="G972">
        <f>Skills!G15*IF(Skills!H15&gt;0,Skills!I15/Skills!H15,1)</f>
        <v/>
      </c>
      <c r="H972">
        <f>1-(1-Skills!J15/100)^Skills!K15</f>
        <v/>
      </c>
      <c r="I972" t="inlineStr">
        <is>
          <t>1</t>
        </is>
      </c>
      <c r="J972" t="inlineStr"/>
      <c r="K972" t="inlineStr"/>
      <c r="L972" t="inlineStr"/>
      <c r="M972" t="inlineStr"/>
      <c r="N972" t="inlineStr"/>
      <c r="O972" t="n">
        <v>0</v>
      </c>
      <c r="P972">
        <f>IF(B998=0,0,O972/B998)</f>
        <v/>
      </c>
      <c r="Q972">
        <f>IFERROR(1/IF(Inputs!$B$38="pvp",15,MAX(0.1,Skills!D15-IF(Skills!E15=TRUE,Inputs!$B$32,0))),0)</f>
        <v/>
      </c>
      <c r="R972">
        <f>IF(AND(Inputs!$B$38&lt;&gt;"pvp",Inputs!$B$43&gt;0),IF(Inputs!$B$43&lt;=0,0,(INT(Inputs!$B$43/IF(Inputs!$B$38="pvp",15,MAX(0.1,Skills!D15-IF(Skills!E15=TRUE,Inputs!$B$32,0))))+1)),0)</f>
        <v/>
      </c>
      <c r="S972">
        <f>IFERROR(O972/N972,0)</f>
        <v/>
      </c>
    </row>
    <row r="973">
      <c r="A973">
        <f>Skills!A16</f>
        <v/>
      </c>
      <c r="B973">
        <f>Skills!B16</f>
        <v/>
      </c>
      <c r="C973">
        <f>Inputs!$B$3&gt;=115</f>
        <v/>
      </c>
      <c r="D973">
        <f>IF(Skills!C16=1,60+Inputs!$B$25+Inputs!$B$29,IF(Skills!C16=2,90+Inputs!$B$26+Inputs!$B$29,IF(Skills!C16=3,120+Inputs!$B$27+Inputs!$B$29,MAX(0,(Inputs!$B$3-100)*3)+Inputs!$B$28+Inputs!$B$29)))</f>
        <v/>
      </c>
      <c r="E973">
        <f>INDEX(FactorTable!$B$2:$Y$301, MATCH(ROUND(MIN(300,MAX(1,D973)),0), FactorTable!$A$2:$A$301,0), Skills!M16+1)</f>
        <v/>
      </c>
      <c r="F973">
        <f>IF(Skills!N16=TRUE,(Skills!L16/10)*(E973/1000),Skills!L16/10)+Skills!O16</f>
        <v/>
      </c>
      <c r="G973">
        <f>Skills!G16*IF(Skills!H16&gt;0,Skills!I16/Skills!H16,1)</f>
        <v/>
      </c>
      <c r="H973">
        <f>1-(1-Skills!J16/100)^Skills!K16</f>
        <v/>
      </c>
      <c r="I973" t="inlineStr">
        <is>
          <t>1</t>
        </is>
      </c>
      <c r="J973" t="inlineStr"/>
      <c r="K973" t="inlineStr"/>
      <c r="L973" t="inlineStr"/>
      <c r="M973" t="inlineStr"/>
      <c r="N973" t="inlineStr"/>
      <c r="O973" t="n">
        <v>0</v>
      </c>
      <c r="P973">
        <f>IF(B998=0,0,O973/B998)</f>
        <v/>
      </c>
      <c r="Q973">
        <f>IFERROR(1/IF(Inputs!$B$38="pvp",15,MAX(0.1,Skills!D16-IF(Skills!E16=TRUE,Inputs!$B$32,0))),0)</f>
        <v/>
      </c>
      <c r="R973">
        <f>IF(AND(Inputs!$B$38&lt;&gt;"pvp",Inputs!$B$43&gt;0),IF(Inputs!$B$43&lt;=0,0,(INT(Inputs!$B$43/IF(Inputs!$B$38="pvp",15,MAX(0.1,Skills!D16-IF(Skills!E16=TRUE,Inputs!$B$32,0))))+1)),0)</f>
        <v/>
      </c>
      <c r="S973">
        <f>IFERROR(O973/N973,0)</f>
        <v/>
      </c>
    </row>
    <row r="974">
      <c r="A974">
        <f>Skills!A17</f>
        <v/>
      </c>
      <c r="B974">
        <f>Skills!B17</f>
        <v/>
      </c>
      <c r="C974">
        <f>Inputs!$B$3&gt;=66</f>
        <v/>
      </c>
      <c r="D974">
        <f>IF(Skills!C17=1,60+Inputs!$B$25+Inputs!$B$29,IF(Skills!C17=2,90+Inputs!$B$26+Inputs!$B$29,IF(Skills!C17=3,120+Inputs!$B$27+Inputs!$B$29,MAX(0,(Inputs!$B$3-100)*3)+Inputs!$B$28+Inputs!$B$29)))</f>
        <v/>
      </c>
      <c r="E974">
        <f>INDEX(FactorTable!$B$2:$Y$301, MATCH(ROUND(MIN(300,MAX(1,D974)),0), FactorTable!$A$2:$A$301,0), Skills!M17+1)</f>
        <v/>
      </c>
      <c r="F974">
        <f>IF(Skills!N17=TRUE,(Skills!L17/10)*(E974/1000),Skills!L17/10)+Skills!O17</f>
        <v/>
      </c>
      <c r="G974">
        <f>Skills!G17*IF(Skills!H17&gt;0,Skills!I17/Skills!H17,1)</f>
        <v/>
      </c>
      <c r="H974">
        <f>1-(1-Skills!J17/100)^Skills!K17</f>
        <v/>
      </c>
      <c r="I974" t="inlineStr">
        <is>
          <t>1</t>
        </is>
      </c>
      <c r="J974" t="inlineStr"/>
      <c r="K974" t="inlineStr"/>
      <c r="L974" t="inlineStr"/>
      <c r="M974" t="inlineStr"/>
      <c r="N974" t="inlineStr"/>
      <c r="O974" t="n">
        <v>0</v>
      </c>
      <c r="P974">
        <f>IF(B998=0,0,O974/B998)</f>
        <v/>
      </c>
      <c r="Q974" t="n">
        <v>0</v>
      </c>
      <c r="R974" t="n">
        <v>0</v>
      </c>
      <c r="S974">
        <f>IFERROR(O974/N974,0)</f>
        <v/>
      </c>
    </row>
    <row r="975">
      <c r="A975">
        <f>Skills!A18</f>
        <v/>
      </c>
      <c r="B975">
        <f>Skills!B18</f>
        <v/>
      </c>
      <c r="C975">
        <f>Inputs!$B$3&gt;=72</f>
        <v/>
      </c>
      <c r="D975">
        <f>IF(Skills!C18=1,60+Inputs!$B$25+Inputs!$B$29,IF(Skills!C18=2,90+Inputs!$B$26+Inputs!$B$29,IF(Skills!C18=3,120+Inputs!$B$27+Inputs!$B$29,MAX(0,(Inputs!$B$3-100)*3)+Inputs!$B$28+Inputs!$B$29)))</f>
        <v/>
      </c>
      <c r="E975">
        <f>INDEX(FactorTable!$B$2:$Y$301, MATCH(ROUND(MIN(300,MAX(1,D975)),0), FactorTable!$A$2:$A$301,0), Skills!M18+1)</f>
        <v/>
      </c>
      <c r="F975">
        <f>IF(Skills!N18=TRUE,(Skills!L18/10)*(E975/1000),Skills!L18/10)+Skills!O18</f>
        <v/>
      </c>
      <c r="G975">
        <f>Skills!G18*IF(Skills!H18&gt;0,Skills!I18/Skills!H18,1)</f>
        <v/>
      </c>
      <c r="H975">
        <f>1-(1-Skills!J18/100)^Skills!K18</f>
        <v/>
      </c>
      <c r="I975" t="inlineStr">
        <is>
          <t>1</t>
        </is>
      </c>
      <c r="J975" t="inlineStr"/>
      <c r="K975" t="inlineStr"/>
      <c r="L975" t="inlineStr"/>
      <c r="M975" t="inlineStr"/>
      <c r="N975" t="inlineStr"/>
      <c r="O975" t="n">
        <v>0</v>
      </c>
      <c r="P975">
        <f>IF(B998=0,0,O975/B998)</f>
        <v/>
      </c>
      <c r="Q975" t="n">
        <v>0</v>
      </c>
      <c r="R975" t="n">
        <v>0</v>
      </c>
      <c r="S975">
        <f>IFERROR(O975/N975,0)</f>
        <v/>
      </c>
    </row>
    <row r="976">
      <c r="A976">
        <f>Skills!A19</f>
        <v/>
      </c>
      <c r="B976">
        <f>Skills!B19</f>
        <v/>
      </c>
      <c r="C976">
        <f>TRUE</f>
        <v/>
      </c>
      <c r="D976">
        <f>IF(Skills!C19=1,60+Inputs!$B$25+Inputs!$B$29,IF(Skills!C19=2,90+Inputs!$B$26+Inputs!$B$29,IF(Skills!C19=3,120+Inputs!$B$27+Inputs!$B$29,MAX(0,(Inputs!$B$3-100)*3)+Inputs!$B$28+Inputs!$B$29)))</f>
        <v/>
      </c>
      <c r="E976">
        <f>INDEX(FactorTable!$B$2:$Y$301, MATCH(ROUND(MIN(300,MAX(1,D976)),0), FactorTable!$A$2:$A$301,0), Skills!M19+1)</f>
        <v/>
      </c>
      <c r="F976">
        <f>IF(Skills!N19=TRUE,(Skills!L19/10)*(E976/1000),Skills!L19/10)+Skills!O19</f>
        <v/>
      </c>
      <c r="G976">
        <f>Skills!G19*IF(Skills!H19&gt;0,Skills!I19/Skills!H19,1)</f>
        <v/>
      </c>
      <c r="H976">
        <f>1-(1-Skills!J19/100)^Skills!K19</f>
        <v/>
      </c>
      <c r="I976" t="inlineStr">
        <is>
          <t>1</t>
        </is>
      </c>
      <c r="J976" t="inlineStr"/>
      <c r="K976" t="inlineStr"/>
      <c r="L976" t="inlineStr"/>
      <c r="M976" t="inlineStr"/>
      <c r="N976" t="inlineStr"/>
      <c r="O976" t="n">
        <v>0</v>
      </c>
      <c r="P976">
        <f>IF(B998=0,0,O976/B998)</f>
        <v/>
      </c>
      <c r="Q976">
        <f>IFERROR(1/IF(Inputs!$B$38="pvp",15,MAX(0.1,Skills!D19-IF(Skills!E19=TRUE,Inputs!$B$32,0))),0)</f>
        <v/>
      </c>
      <c r="R976">
        <f>IF(AND(Inputs!$B$38&lt;&gt;"pvp",Inputs!$B$43&gt;0),IF(Inputs!$B$43&lt;=0,0,(INT(Inputs!$B$43/IF(Inputs!$B$38="pvp",15,MAX(0.1,Skills!D19-IF(Skills!E19=TRUE,Inputs!$B$32,0))))+1)),0)</f>
        <v/>
      </c>
      <c r="S976">
        <f>IFERROR(O976/N976,0)</f>
        <v/>
      </c>
    </row>
    <row r="977">
      <c r="A977">
        <f>Skills!A20</f>
        <v/>
      </c>
      <c r="B977">
        <f>Skills!B20</f>
        <v/>
      </c>
      <c r="C977">
        <f>Inputs!$B$3&gt;=15</f>
        <v/>
      </c>
      <c r="D977">
        <f>IF(Skills!C20=1,60+Inputs!$B$25+Inputs!$B$29,IF(Skills!C20=2,90+Inputs!$B$26+Inputs!$B$29,IF(Skills!C20=3,120+Inputs!$B$27+Inputs!$B$29,MAX(0,(Inputs!$B$3-100)*3)+Inputs!$B$28+Inputs!$B$29)))</f>
        <v/>
      </c>
      <c r="E977">
        <f>INDEX(FactorTable!$B$2:$Y$301, MATCH(ROUND(MIN(300,MAX(1,D977)),0), FactorTable!$A$2:$A$301,0), Skills!M20+1)</f>
        <v/>
      </c>
      <c r="F977">
        <f>IF(Skills!N20=TRUE,(Skills!L20/10)*(E977/1000),Skills!L20/10)+Skills!O20</f>
        <v/>
      </c>
      <c r="G977">
        <f>Skills!G20*IF(Skills!H20&gt;0,Skills!I20/Skills!H20,1)</f>
        <v/>
      </c>
      <c r="H977">
        <f>1-(1-Skills!J20/100)^Skills!K20</f>
        <v/>
      </c>
      <c r="I977" t="inlineStr">
        <is>
          <t>1</t>
        </is>
      </c>
      <c r="J977" t="inlineStr"/>
      <c r="K977" t="inlineStr"/>
      <c r="L977" t="inlineStr"/>
      <c r="M977" t="inlineStr"/>
      <c r="N977" t="inlineStr"/>
      <c r="O977" t="n">
        <v>0</v>
      </c>
      <c r="P977">
        <f>IF(B998=0,0,O977/B998)</f>
        <v/>
      </c>
      <c r="Q977" t="n">
        <v>0</v>
      </c>
      <c r="R977" t="n">
        <v>0</v>
      </c>
      <c r="S977">
        <f>IFERROR(O977/N977,0)</f>
        <v/>
      </c>
    </row>
    <row r="978">
      <c r="A978">
        <f>Skills!A21</f>
        <v/>
      </c>
      <c r="B978">
        <f>Skills!B21</f>
        <v/>
      </c>
      <c r="C978">
        <f>Inputs!$B$3&gt;=10</f>
        <v/>
      </c>
      <c r="D978">
        <f>IF(Skills!C21=1,60+Inputs!$B$25+Inputs!$B$29,IF(Skills!C21=2,90+Inputs!$B$26+Inputs!$B$29,IF(Skills!C21=3,120+Inputs!$B$27+Inputs!$B$29,MAX(0,(Inputs!$B$3-100)*3)+Inputs!$B$28+Inputs!$B$29)))</f>
        <v/>
      </c>
      <c r="E978">
        <f>INDEX(FactorTable!$B$2:$Y$301, MATCH(ROUND(MIN(300,MAX(1,D978)),0), FactorTable!$A$2:$A$301,0), Skills!M21+1)</f>
        <v/>
      </c>
      <c r="F978">
        <f>IF(Skills!N21=TRUE,(Skills!L21/10)*(E978/1000),Skills!L21/10)+Skills!O21</f>
        <v/>
      </c>
      <c r="G978">
        <f>Skills!G21*IF(Skills!H21&gt;0,Skills!I21/Skills!H21,1)</f>
        <v/>
      </c>
      <c r="H978">
        <f>1-(1-Skills!J21/100)^Skills!K21</f>
        <v/>
      </c>
      <c r="I978" t="inlineStr">
        <is>
          <t>1</t>
        </is>
      </c>
      <c r="J978" t="inlineStr"/>
      <c r="K978" t="inlineStr"/>
      <c r="L978" t="inlineStr"/>
      <c r="M978" t="inlineStr"/>
      <c r="N978" t="inlineStr"/>
      <c r="O978" t="n">
        <v>0</v>
      </c>
      <c r="P978">
        <f>IF(B998=0,0,O978/B998)</f>
        <v/>
      </c>
      <c r="Q978" t="n">
        <v>0</v>
      </c>
      <c r="R978" t="n">
        <v>0</v>
      </c>
      <c r="S978">
        <f>IFERROR(O978/N978,0)</f>
        <v/>
      </c>
    </row>
    <row r="979">
      <c r="A979">
        <f>Skills!A22</f>
        <v/>
      </c>
      <c r="B979">
        <f>Skills!B22</f>
        <v/>
      </c>
      <c r="C979">
        <f>Inputs!$B$3&gt;=33</f>
        <v/>
      </c>
      <c r="D979">
        <f>IF(Skills!C22=1,60+Inputs!$B$25+Inputs!$B$29,IF(Skills!C22=2,90+Inputs!$B$26+Inputs!$B$29,IF(Skills!C22=3,120+Inputs!$B$27+Inputs!$B$29,MAX(0,(Inputs!$B$3-100)*3)+Inputs!$B$28+Inputs!$B$29)))</f>
        <v/>
      </c>
      <c r="E979">
        <f>INDEX(FactorTable!$B$2:$Y$301, MATCH(ROUND(MIN(300,MAX(1,D979)),0), FactorTable!$A$2:$A$301,0), Skills!M22+1)</f>
        <v/>
      </c>
      <c r="F979">
        <f>IF(Skills!N22=TRUE,(Skills!L22/10)*(E979/1000),Skills!L22/10)+Skills!O22</f>
        <v/>
      </c>
      <c r="G979">
        <f>Skills!G22*IF(Skills!H22&gt;0,Skills!I22/Skills!H22,1)</f>
        <v/>
      </c>
      <c r="H979">
        <f>1-(1-Skills!J22/100)^Skills!K22</f>
        <v/>
      </c>
      <c r="I979" t="inlineStr">
        <is>
          <t>1</t>
        </is>
      </c>
      <c r="J979" t="inlineStr"/>
      <c r="K979" t="inlineStr"/>
      <c r="L979" t="inlineStr"/>
      <c r="M979" t="inlineStr"/>
      <c r="N979" t="inlineStr"/>
      <c r="O979" t="n">
        <v>0</v>
      </c>
      <c r="P979">
        <f>IF(B998=0,0,O979/B998)</f>
        <v/>
      </c>
      <c r="Q979" t="n">
        <v>0</v>
      </c>
      <c r="R979" t="n">
        <v>0</v>
      </c>
      <c r="S979">
        <f>IFERROR(O979/N979,0)</f>
        <v/>
      </c>
    </row>
    <row r="980">
      <c r="A980">
        <f>Skills!A23</f>
        <v/>
      </c>
      <c r="B980">
        <f>Skills!B23</f>
        <v/>
      </c>
      <c r="C980">
        <f>Inputs!$B$3&gt;=38</f>
        <v/>
      </c>
      <c r="D980">
        <f>IF(Skills!C23=1,60+Inputs!$B$25+Inputs!$B$29,IF(Skills!C23=2,90+Inputs!$B$26+Inputs!$B$29,IF(Skills!C23=3,120+Inputs!$B$27+Inputs!$B$29,MAX(0,(Inputs!$B$3-100)*3)+Inputs!$B$28+Inputs!$B$29)))</f>
        <v/>
      </c>
      <c r="E980">
        <f>INDEX(FactorTable!$B$2:$Y$301, MATCH(ROUND(MIN(300,MAX(1,D980)),0), FactorTable!$A$2:$A$301,0), Skills!M23+1)</f>
        <v/>
      </c>
      <c r="F980">
        <f>IF(Skills!N23=TRUE,(Skills!L23/10)*(E980/1000),Skills!L23/10)+Skills!O23</f>
        <v/>
      </c>
      <c r="G980">
        <f>Skills!G23*IF(Skills!H23&gt;0,Skills!I23/Skills!H23,1)</f>
        <v/>
      </c>
      <c r="H980">
        <f>1-(1-Skills!J23/100)^Skills!K23</f>
        <v/>
      </c>
      <c r="I980" t="inlineStr">
        <is>
          <t>1</t>
        </is>
      </c>
      <c r="J980" t="inlineStr"/>
      <c r="K980" t="inlineStr"/>
      <c r="L980" t="inlineStr"/>
      <c r="M980" t="inlineStr"/>
      <c r="N980" t="inlineStr"/>
      <c r="O980" t="n">
        <v>0</v>
      </c>
      <c r="P980">
        <f>IF(B998=0,0,O980/B998)</f>
        <v/>
      </c>
      <c r="Q980" t="n">
        <v>0</v>
      </c>
      <c r="R980" t="n">
        <v>0</v>
      </c>
      <c r="S980">
        <f>IFERROR(O980/N980,0)</f>
        <v/>
      </c>
    </row>
    <row r="981">
      <c r="A981">
        <f>Skills!A24</f>
        <v/>
      </c>
      <c r="B981">
        <f>Skills!B24</f>
        <v/>
      </c>
      <c r="C981">
        <f>Inputs!$B$3&gt;=43</f>
        <v/>
      </c>
      <c r="D981">
        <f>IF(Skills!C24=1,60+Inputs!$B$25+Inputs!$B$29,IF(Skills!C24=2,90+Inputs!$B$26+Inputs!$B$29,IF(Skills!C24=3,120+Inputs!$B$27+Inputs!$B$29,MAX(0,(Inputs!$B$3-100)*3)+Inputs!$B$28+Inputs!$B$29)))</f>
        <v/>
      </c>
      <c r="E981">
        <f>INDEX(FactorTable!$B$2:$Y$301, MATCH(ROUND(MIN(300,MAX(1,D981)),0), FactorTable!$A$2:$A$301,0), Skills!M24+1)</f>
        <v/>
      </c>
      <c r="F981">
        <f>IF(Skills!N24=TRUE,(Skills!L24/10)*(E981/1000),Skills!L24/10)+Skills!O24</f>
        <v/>
      </c>
      <c r="G981">
        <f>Skills!G24*IF(Skills!H24&gt;0,Skills!I24/Skills!H24,1)</f>
        <v/>
      </c>
      <c r="H981">
        <f>1-(1-Skills!J24/100)^Skills!K24</f>
        <v/>
      </c>
      <c r="I981" t="inlineStr">
        <is>
          <t>1</t>
        </is>
      </c>
      <c r="J981" t="inlineStr"/>
      <c r="K981" t="inlineStr"/>
      <c r="L981" t="inlineStr"/>
      <c r="M981" t="inlineStr"/>
      <c r="N981" t="inlineStr"/>
      <c r="O981" t="n">
        <v>0</v>
      </c>
      <c r="P981">
        <f>IF(B998=0,0,O981/B998)</f>
        <v/>
      </c>
      <c r="Q981" t="n">
        <v>0</v>
      </c>
      <c r="R981" t="n">
        <v>0</v>
      </c>
      <c r="S981">
        <f>IFERROR(O981/N981,0)</f>
        <v/>
      </c>
    </row>
    <row r="982">
      <c r="A982">
        <f>Skills!A25</f>
        <v/>
      </c>
      <c r="B982">
        <f>Skills!B25</f>
        <v/>
      </c>
      <c r="C982">
        <f>Inputs!$B$3&gt;=75</f>
        <v/>
      </c>
      <c r="D982">
        <f>IF(Skills!C25=1,60+Inputs!$B$25+Inputs!$B$29,IF(Skills!C25=2,90+Inputs!$B$26+Inputs!$B$29,IF(Skills!C25=3,120+Inputs!$B$27+Inputs!$B$29,MAX(0,(Inputs!$B$3-100)*3)+Inputs!$B$28+Inputs!$B$29)))</f>
        <v/>
      </c>
      <c r="E982">
        <f>INDEX(FactorTable!$B$2:$Y$301, MATCH(ROUND(MIN(300,MAX(1,D982)),0), FactorTable!$A$2:$A$301,0), Skills!M25+1)</f>
        <v/>
      </c>
      <c r="F982">
        <f>IF(Skills!N25=TRUE,(Skills!L25/10)*(E982/1000),Skills!L25/10)+Skills!O25</f>
        <v/>
      </c>
      <c r="G982">
        <f>Skills!G25*IF(Skills!H25&gt;0,Skills!I25/Skills!H25,1)</f>
        <v/>
      </c>
      <c r="H982">
        <f>1-(1-Skills!J25/100)^Skills!K25</f>
        <v/>
      </c>
      <c r="I982" t="inlineStr">
        <is>
          <t>1</t>
        </is>
      </c>
      <c r="J982" t="inlineStr"/>
      <c r="K982" t="inlineStr"/>
      <c r="L982" t="inlineStr"/>
      <c r="M982" t="inlineStr"/>
      <c r="N982" t="inlineStr"/>
      <c r="O982" t="n">
        <v>0</v>
      </c>
      <c r="P982">
        <f>IF(B998=0,0,O982/B998)</f>
        <v/>
      </c>
      <c r="Q982" t="n">
        <v>0</v>
      </c>
      <c r="R982" t="n">
        <v>0</v>
      </c>
      <c r="S982">
        <f>IFERROR(O982/N982,0)</f>
        <v/>
      </c>
    </row>
    <row r="983">
      <c r="A983">
        <f>Skills!A26</f>
        <v/>
      </c>
      <c r="B983">
        <f>Skills!B26</f>
        <v/>
      </c>
      <c r="C983">
        <f>Inputs!$B$3&gt;=125</f>
        <v/>
      </c>
      <c r="D983">
        <f>IF(Skills!C26=1,60+Inputs!$B$25+Inputs!$B$29,IF(Skills!C26=2,90+Inputs!$B$26+Inputs!$B$29,IF(Skills!C26=3,120+Inputs!$B$27+Inputs!$B$29,MAX(0,(Inputs!$B$3-100)*3)+Inputs!$B$28+Inputs!$B$29)))</f>
        <v/>
      </c>
      <c r="E983">
        <f>INDEX(FactorTable!$B$2:$Y$301, MATCH(ROUND(MIN(300,MAX(1,D983)),0), FactorTable!$A$2:$A$301,0), Skills!M26+1)</f>
        <v/>
      </c>
      <c r="F983">
        <f>IF(Skills!N26=TRUE,(Skills!L26/10)*(E983/1000),Skills!L26/10)+Skills!O26</f>
        <v/>
      </c>
      <c r="G983">
        <f>Skills!G26*IF(Skills!H26&gt;0,Skills!I26/Skills!H26,1)</f>
        <v/>
      </c>
      <c r="H983">
        <f>1-(1-Skills!J26/100)^Skills!K26</f>
        <v/>
      </c>
      <c r="I983" t="inlineStr">
        <is>
          <t>1</t>
        </is>
      </c>
      <c r="J983" t="inlineStr"/>
      <c r="K983" t="inlineStr"/>
      <c r="L983" t="inlineStr"/>
      <c r="M983" t="inlineStr"/>
      <c r="N983" t="inlineStr"/>
      <c r="O983" t="n">
        <v>0</v>
      </c>
      <c r="P983">
        <f>IF(B998=0,0,O983/B998)</f>
        <v/>
      </c>
      <c r="Q983" t="n">
        <v>0</v>
      </c>
      <c r="R983" t="n">
        <v>0</v>
      </c>
      <c r="S983">
        <f>IFERROR(O983/N983,0)</f>
        <v/>
      </c>
    </row>
    <row r="984">
      <c r="A984">
        <f>Skills!A27</f>
        <v/>
      </c>
      <c r="B984">
        <f>Skills!B27</f>
        <v/>
      </c>
      <c r="C984">
        <f>Inputs!$B$3&gt;=125</f>
        <v/>
      </c>
      <c r="D984">
        <f>IF(Skills!C27=1,60+Inputs!$B$25+Inputs!$B$29,IF(Skills!C27=2,90+Inputs!$B$26+Inputs!$B$29,IF(Skills!C27=3,120+Inputs!$B$27+Inputs!$B$29,MAX(0,(Inputs!$B$3-100)*3)+Inputs!$B$28+Inputs!$B$29)))</f>
        <v/>
      </c>
      <c r="E984">
        <f>INDEX(FactorTable!$B$2:$Y$301, MATCH(ROUND(MIN(300,MAX(1,D984)),0), FactorTable!$A$2:$A$301,0), Skills!M27+1)</f>
        <v/>
      </c>
      <c r="F984">
        <f>IF(Skills!N27=TRUE,(Skills!L27/10)*(E984/1000),Skills!L27/10)+Skills!O27</f>
        <v/>
      </c>
      <c r="G984">
        <f>Skills!G27*IF(Skills!H27&gt;0,Skills!I27/Skills!H27,1)</f>
        <v/>
      </c>
      <c r="H984">
        <f>1-(1-Skills!J27/100)^Skills!K27</f>
        <v/>
      </c>
      <c r="I984" t="inlineStr">
        <is>
          <t>1</t>
        </is>
      </c>
      <c r="J984" t="inlineStr"/>
      <c r="K984" t="inlineStr"/>
      <c r="L984" t="inlineStr"/>
      <c r="M984" t="inlineStr"/>
      <c r="N984" t="inlineStr"/>
      <c r="O984" t="n">
        <v>0</v>
      </c>
      <c r="P984">
        <f>IF(B998=0,0,O984/B998)</f>
        <v/>
      </c>
      <c r="Q984" t="n">
        <v>0</v>
      </c>
      <c r="R984" t="n">
        <v>0</v>
      </c>
      <c r="S984">
        <f>IFERROR(O984/N984,0)</f>
        <v/>
      </c>
    </row>
    <row r="985">
      <c r="A985">
        <f>Skills!A28</f>
        <v/>
      </c>
      <c r="B985">
        <f>Skills!B28</f>
        <v/>
      </c>
      <c r="C985">
        <f>Inputs!$B$3&gt;=120</f>
        <v/>
      </c>
      <c r="D985">
        <f>IF(Skills!C28=1,60+Inputs!$B$25+Inputs!$B$29,IF(Skills!C28=2,90+Inputs!$B$26+Inputs!$B$29,IF(Skills!C28=3,120+Inputs!$B$27+Inputs!$B$29,MAX(0,(Inputs!$B$3-100)*3)+Inputs!$B$28+Inputs!$B$29)))</f>
        <v/>
      </c>
      <c r="E985">
        <f>INDEX(FactorTable!$B$2:$Y$301, MATCH(ROUND(MIN(300,MAX(1,D985)),0), FactorTable!$A$2:$A$301,0), Skills!M28+1)</f>
        <v/>
      </c>
      <c r="F985">
        <f>IF(Skills!N28=TRUE,(Skills!L28/10)*(E985/1000),Skills!L28/10)+Skills!O28</f>
        <v/>
      </c>
      <c r="G985">
        <f>Skills!G28*IF(Skills!H28&gt;0,Skills!I28/Skills!H28,1)</f>
        <v/>
      </c>
      <c r="H985">
        <f>1-(1-Skills!J28/100)^Skills!K28</f>
        <v/>
      </c>
      <c r="I985" t="inlineStr">
        <is>
          <t>1</t>
        </is>
      </c>
      <c r="J985" t="inlineStr"/>
      <c r="K985" t="inlineStr"/>
      <c r="L985" t="inlineStr"/>
      <c r="M985" t="inlineStr"/>
      <c r="N985" t="inlineStr"/>
      <c r="O985" t="n">
        <v>0</v>
      </c>
      <c r="P985">
        <f>IF(B998=0,0,O985/B998)</f>
        <v/>
      </c>
      <c r="Q985" t="n">
        <v>0</v>
      </c>
      <c r="R985" t="n">
        <v>0</v>
      </c>
      <c r="S985">
        <f>IFERROR(O985/N985,0)</f>
        <v/>
      </c>
    </row>
    <row r="986">
      <c r="A986">
        <f>Skills!A29</f>
        <v/>
      </c>
      <c r="B986">
        <f>Skills!B29</f>
        <v/>
      </c>
      <c r="C986">
        <f>Inputs!$B$3&gt;=120</f>
        <v/>
      </c>
      <c r="D986">
        <f>IF(Skills!C29=1,60+Inputs!$B$25+Inputs!$B$29,IF(Skills!C29=2,90+Inputs!$B$26+Inputs!$B$29,IF(Skills!C29=3,120+Inputs!$B$27+Inputs!$B$29,MAX(0,(Inputs!$B$3-100)*3)+Inputs!$B$28+Inputs!$B$29)))</f>
        <v/>
      </c>
      <c r="E986">
        <f>INDEX(FactorTable!$B$2:$Y$301, MATCH(ROUND(MIN(300,MAX(1,D986)),0), FactorTable!$A$2:$A$301,0), Skills!M29+1)</f>
        <v/>
      </c>
      <c r="F986">
        <f>IF(Skills!N29=TRUE,(Skills!L29/10)*(E986/1000),Skills!L29/10)+Skills!O29</f>
        <v/>
      </c>
      <c r="G986">
        <f>Skills!G29*IF(Skills!H29&gt;0,Skills!I29/Skills!H29,1)</f>
        <v/>
      </c>
      <c r="H986">
        <f>1-(1-Skills!J29/100)^Skills!K29</f>
        <v/>
      </c>
      <c r="I986" t="inlineStr">
        <is>
          <t>1</t>
        </is>
      </c>
      <c r="J986" t="inlineStr"/>
      <c r="K986" t="inlineStr"/>
      <c r="L986" t="inlineStr"/>
      <c r="M986" t="inlineStr"/>
      <c r="N986" t="inlineStr"/>
      <c r="O986" t="n">
        <v>0</v>
      </c>
      <c r="P986">
        <f>IF(B998=0,0,O986/B998)</f>
        <v/>
      </c>
      <c r="Q986" t="n">
        <v>0</v>
      </c>
      <c r="R986" t="n">
        <v>0</v>
      </c>
      <c r="S986">
        <f>IFERROR(O986/N986,0)</f>
        <v/>
      </c>
    </row>
    <row r="987">
      <c r="A987">
        <f>Skills!A30</f>
        <v/>
      </c>
      <c r="B987">
        <f>Skills!B30</f>
        <v/>
      </c>
      <c r="C987">
        <f>Inputs!$B$3&gt;=45</f>
        <v/>
      </c>
      <c r="D987">
        <f>IF(Skills!C30=1,60+Inputs!$B$25+Inputs!$B$29,IF(Skills!C30=2,90+Inputs!$B$26+Inputs!$B$29,IF(Skills!C30=3,120+Inputs!$B$27+Inputs!$B$29,MAX(0,(Inputs!$B$3-100)*3)+Inputs!$B$28+Inputs!$B$29)))</f>
        <v/>
      </c>
      <c r="E987">
        <f>INDEX(FactorTable!$B$2:$Y$301, MATCH(ROUND(MIN(300,MAX(1,D987)),0), FactorTable!$A$2:$A$301,0), Skills!M30+1)</f>
        <v/>
      </c>
      <c r="F987">
        <f>IF(Skills!N30=TRUE,(Skills!L30/10)*(E987/1000),Skills!L30/10)+Skills!O30</f>
        <v/>
      </c>
      <c r="G987">
        <f>Skills!G30*IF(Skills!H30&gt;0,Skills!I30/Skills!H30,1)</f>
        <v/>
      </c>
      <c r="H987">
        <f>1-(1-Skills!J30/100)^Skills!K30</f>
        <v/>
      </c>
      <c r="I987" t="inlineStr">
        <is>
          <t>1</t>
        </is>
      </c>
      <c r="J987" t="inlineStr"/>
      <c r="K987" t="inlineStr"/>
      <c r="L987" t="inlineStr"/>
      <c r="M987" t="inlineStr"/>
      <c r="N987" t="inlineStr"/>
      <c r="O987" t="n">
        <v>0</v>
      </c>
      <c r="P987">
        <f>IF(B998=0,0,O987/B998)</f>
        <v/>
      </c>
      <c r="Q987" t="n">
        <v>0</v>
      </c>
      <c r="R987" t="n">
        <v>0</v>
      </c>
      <c r="S987">
        <f>IFERROR(O987/N987,0)</f>
        <v/>
      </c>
    </row>
    <row r="989">
      <c r="A989" t="inlineStr">
        <is>
          <t>Attack% Bucket Multiplier</t>
        </is>
      </c>
      <c r="B989">
        <f>(1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f>
        <v/>
      </c>
    </row>
    <row r="990">
      <c r="A990" t="inlineStr">
        <is>
          <t>Global Crit Rate Bonus %</t>
        </is>
      </c>
      <c r="B990">
        <f>(C973=TRUE)*20*IF(AND(Inputs!$B$38&lt;&gt;"pvp",Inputs!$B$43&gt;0),(((R973-1)*(Skills!T16*(1+Inputs!$B$34/100))+MIN((Skills!T16*(1+Inputs!$B$34/100)),MAX(0,Inputs!$B$43-((R973-1)*Skills!D16))))/Inputs!$B$43),IF(Inputs!$B$38="pvp",MIN((Skills!T16*(1+Inputs!$B$34/100)),15)/15,(Skills!T16*(1+Inputs!$B$34/100))/Skills!D16))</f>
        <v/>
      </c>
    </row>
    <row r="991">
      <c r="A991" t="inlineStr">
        <is>
          <t>Attack Speed Buff Bonus %</t>
        </is>
      </c>
      <c r="B991">
        <f>((C976=TRUE)*F976*IF(AND(Inputs!$B$38&lt;&gt;"pvp",Inputs!$B$43&gt;0),(((R976-1)*(Skills!T19*(1+Inputs!$B$34/100))+MIN((Skills!T19*(1+Inputs!$B$34/100)),MAX(0,Inputs!$B$43-((R976-1)*Skills!D19))))/Inputs!$B$43),IF(Inputs!$B$38="pvp",MIN((Skills!T19*(1+Inputs!$B$34/100)),15)/15,(Skills!T19*(1+Inputs!$B$34/100))/Skills!D19)))</f>
        <v/>
      </c>
    </row>
    <row r="992">
      <c r="A992" t="inlineStr">
        <is>
          <t>Actions Per Second</t>
        </is>
      </c>
      <c r="B992">
        <f>1+MIN(150,150*(1-(1-(Inputs!$B$11+((C978=TRUE)*(F978-Calc!F21))+((C979=TRUE)*(F979-Calc!F22)))/150)*(1-B991/150)))/100</f>
        <v/>
      </c>
    </row>
    <row r="993">
      <c r="A993" t="inlineStr">
        <is>
          <t>Skill + Buff Cast Rate</t>
        </is>
      </c>
      <c r="B993">
        <f>IF(AND(Inputs!$B$38&lt;&gt;"pvp",Inputs!$B$43&gt;0),SUMPRODUCT((Skills!E2:E30=TRUE)*(C959:C987=TRUE)*R959:R987*Skills!F2:F30)/Inputs!$B$43,SUMPRODUCT((Skills!E2:E30=TRUE)*(C959:C987=TRUE)*Q959:Q987*Skills!F2:F30))</f>
        <v/>
      </c>
    </row>
    <row r="994">
      <c r="A994" t="inlineStr">
        <is>
          <t>Arrow Stream Casts Per Second</t>
        </is>
      </c>
      <c r="B994">
        <f>MAX(0,B992-B993)</f>
        <v/>
      </c>
    </row>
    <row r="995">
      <c r="A995" t="inlineStr">
        <is>
          <t>Global Critical Damage Bonus % (Sharp Eyes + Concentration)</t>
        </is>
      </c>
      <c r="B995">
        <f>(C973=TRUE)*F973*IF(AND(Inputs!$B$38&lt;&gt;"pvp",Inputs!$B$43&gt;0),(((R973-1)*(Skills!T16*(1+Inputs!$B$34/100))+MIN((Skills!T16*(1+Inputs!$B$34/100)),MAX(0,Inputs!$B$43-((R973-1)*Skills!D16))))/Inputs!$B$43),IF(Inputs!$B$38="pvp",MIN((Skills!T16*(1+Inputs!$B$34/100)),15)/15,(Skills!T16*(1+Inputs!$B$34/100))/Skills!D16))+(C974=TRUE)*30</f>
        <v/>
      </c>
    </row>
    <row r="996">
      <c r="A996" t="inlineStr">
        <is>
          <t>Global Final Damage Bonus % (Mortal Blow)</t>
        </is>
      </c>
      <c r="B996">
        <f>(C975=TRUE)*F975</f>
        <v/>
      </c>
    </row>
    <row r="997">
      <c r="A997" t="inlineStr">
        <is>
          <t>Buff-Casting Startup Delay (s, fixed-duration only)</t>
        </is>
      </c>
      <c r="B997">
        <f>IF(AND(Inputs!$B$38&lt;&gt;"pvp",Inputs!$B$43&gt;0),SUMPRODUCT((Skills!T2:T30&gt;0)*(Skills!E2:E30=TRUE)*(C959:C987=TRUE))/B992,0)</f>
        <v/>
      </c>
    </row>
    <row r="998">
      <c r="A998" s="5" t="inlineStr">
        <is>
          <t>TOTAL DPS</t>
        </is>
      </c>
      <c r="B998" s="5">
        <f>SUM(O959:O987)</f>
        <v/>
      </c>
    </row>
    <row r="1001">
      <c r="A1001" s="5" t="inlineStr">
        <is>
          <t>Stat: ATTACK %</t>
        </is>
      </c>
    </row>
    <row r="1002">
      <c r="A1002" s="9" t="inlineStr">
        <is>
          <t>Key</t>
        </is>
      </c>
      <c r="B1002" s="9" t="inlineStr">
        <is>
          <t>Name</t>
        </is>
      </c>
      <c r="C1002" s="9" t="inlineStr">
        <is>
          <t>Unlocked</t>
        </is>
      </c>
      <c r="D1002" s="9" t="inlineStr">
        <is>
          <t>InputLevel</t>
        </is>
      </c>
      <c r="E1002" s="9" t="inlineStr">
        <is>
          <t>Factor</t>
        </is>
      </c>
      <c r="F1002" s="9" t="inlineStr">
        <is>
          <t>CoefficientPercent</t>
        </is>
      </c>
      <c r="G1002" s="9" t="inlineStr">
        <is>
          <t>EffectiveHits</t>
        </is>
      </c>
      <c r="H1002" s="9" t="inlineStr">
        <is>
          <t>ProcProbability</t>
        </is>
      </c>
      <c r="I1002" s="9" t="inlineStr">
        <is>
          <t>MapleHeroMultiplier</t>
        </is>
      </c>
      <c r="J1002" s="9" t="inlineStr">
        <is>
          <t>BaseDamage</t>
        </is>
      </c>
      <c r="K1002" s="9" t="inlineStr">
        <is>
          <t>BaseHitDamage</t>
        </is>
      </c>
      <c r="L1002" s="9" t="inlineStr">
        <is>
          <t>NonCritAvg</t>
        </is>
      </c>
      <c r="M1002" s="9" t="inlineStr">
        <is>
          <t>CritAvg</t>
        </is>
      </c>
      <c r="N1002" s="9" t="inlineStr">
        <is>
          <t>ExpectedDamage(perHit)</t>
        </is>
      </c>
      <c r="O1002" s="9" t="inlineStr">
        <is>
          <t>DPS</t>
        </is>
      </c>
      <c r="P1002" s="9" t="inlineStr">
        <is>
          <t>% of Total</t>
        </is>
      </c>
      <c r="Q1002" s="9" t="inlineStr">
        <is>
          <t>InvCooldown</t>
        </is>
      </c>
      <c r="R1002" s="9" t="inlineStr">
        <is>
          <t>CastsInFight</t>
        </is>
      </c>
      <c r="S1002" s="9" t="inlineStr">
        <is>
          <t>HitRate(perSec)</t>
        </is>
      </c>
      <c r="U1002" t="inlineStr">
        <is>
          <t>helpers</t>
        </is>
      </c>
    </row>
    <row r="1003">
      <c r="A1003">
        <f>Skills!A2</f>
        <v/>
      </c>
      <c r="B1003">
        <f>Skills!B2</f>
        <v/>
      </c>
      <c r="C1003">
        <f>Inputs!$B$3&gt;=100</f>
        <v/>
      </c>
      <c r="D1003" t="inlineStr"/>
      <c r="E1003" t="inlineStr"/>
      <c r="F1003">
        <f>U1005+Skills!O2</f>
        <v/>
      </c>
      <c r="G1003">
        <f>Skills!G2*IF(Skills!H2&gt;0,Skills!I2/Skills!H2,1)</f>
        <v/>
      </c>
      <c r="H1003">
        <f>1-(1-Skills!J2/100)^Skills!K2</f>
        <v/>
      </c>
      <c r="I1003" t="inlineStr">
        <is>
          <t>1</t>
        </is>
      </c>
      <c r="J1003">
        <f>((Inputs!$B$6*(1+(Inputs!$B$7+1)/100))+(((Inputs!$B$12*(1+Inputs!$B$13/100))-(Inputs!$B$12*(1+Inputs!$B$13/100)))+0.25*(Inputs!$B$14-Inputs!$B$14))*(1+(Inputs!$B$7+1)/100))*(F1003/100)</f>
        <v/>
      </c>
      <c r="K1003">
        <f>J1003*(1+((Inputs!$B$12*(1+Inputs!$B$13/100))*0.01+Inputs!$B$14*0.0025)/100)*(1+Inputs!$B$15/100)*(1+IF(Inputs!$B$38="pvp",0,(1-Summary!$B$55)*(Inputs!$B$20+0+Skills!P2)+Summary!$B$55*(Inputs!$B$21+Skills!Q2))/100)*(1+Inputs!$B$16/100)*(5000/(6000+Inputs!$B$42*(1-(Inputs!$B$19+((C1028=TRUE)*(F1028-Calc!F27)))/100)))*(1+(Inputs!$B$24+((C1026=TRUE)*(F1026-Calc!F25))+((C1027=TRUE)*(F1027-Calc!F26))+B1040)/100)*(1+(IF(Skills!A2="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1003)</f>
        <v/>
      </c>
      <c r="L1003">
        <f>K1003*(MIN(Inputs!$B$22+((C1025=TRUE)*(F1025-Calc!F24)),Inputs!$B$23+((C1030=TRUE)*(F1030-Calc!F29)))/100+(Inputs!$B$23+((C1030=TRUE)*(F1030-Calc!F29)))/100)/2</f>
        <v/>
      </c>
      <c r="M1003">
        <f>L1003*(1+(Inputs!$B$10+0+B1039)/100)</f>
        <v/>
      </c>
      <c r="N1003">
        <f>L1003*(1-MIN((Inputs!$B$9+((C1021=TRUE)*(F1021-Calc!F20))+B1034),100)/100)+M1003*(MIN((Inputs!$B$9+((C1021=TRUE)*(F1021-Calc!F20))+B1034),100)/100)</f>
        <v/>
      </c>
      <c r="O1003">
        <f>IF(C1003,Skills!G2*N1003*B1038*IF(Inputs!$B$38="pvp",1,(1-Summary!$B$55)*(1)+Summary!$B$55*(MIN((6+Inputs!$B$33),Inputs!$B$37))),0)</f>
        <v/>
      </c>
      <c r="P1003">
        <f>IF(B1042=0,0,O1003/B1042)</f>
        <v/>
      </c>
      <c r="Q1003" t="n">
        <v>0</v>
      </c>
      <c r="R1003" t="n">
        <v>0</v>
      </c>
      <c r="S1003">
        <f>IFERROR(O1003/N1003,0)</f>
        <v/>
      </c>
      <c r="U1003">
        <f>MAX(0,(Inputs!$B$3-100)*3)+Inputs!$B$28+Inputs!$B$29</f>
        <v/>
      </c>
    </row>
    <row r="1004">
      <c r="A1004">
        <f>Skills!A3</f>
        <v/>
      </c>
      <c r="B1004">
        <f>Skills!B3</f>
        <v/>
      </c>
      <c r="C1004">
        <f>Inputs!$B$3&gt;=50</f>
        <v/>
      </c>
      <c r="D1004">
        <f>IF(Skills!C3=1,60+Inputs!$B$25+Inputs!$B$29,IF(Skills!C3=2,90+Inputs!$B$26+Inputs!$B$29,IF(Skills!C3=3,120+Inputs!$B$27+Inputs!$B$29,MAX(0,(Inputs!$B$3-100)*3)+Inputs!$B$28+Inputs!$B$29)))</f>
        <v/>
      </c>
      <c r="E1004">
        <f>INDEX(FactorTable!$B$2:$Y$301, MATCH(ROUND(MIN(300,MAX(1,D1004)),0), FactorTable!$A$2:$A$301,0), Skills!M3+1)</f>
        <v/>
      </c>
      <c r="F1004">
        <f>IF(Skills!N3=TRUE,(Skills!L3/10)*(E1004/1000),Skills!L3/10)+Skills!O3</f>
        <v/>
      </c>
      <c r="G1004" t="inlineStr"/>
      <c r="H1004" t="inlineStr"/>
      <c r="I1004" t="inlineStr">
        <is>
          <t>1</t>
        </is>
      </c>
      <c r="J1004" t="inlineStr"/>
      <c r="K1004" t="inlineStr"/>
      <c r="L1004" t="inlineStr"/>
      <c r="M1004" t="inlineStr"/>
      <c r="N1004" t="inlineStr"/>
      <c r="O1004" t="inlineStr"/>
      <c r="P1004" t="inlineStr"/>
      <c r="Q1004" t="inlineStr"/>
      <c r="R1004" t="inlineStr"/>
      <c r="S1004" t="inlineStr"/>
      <c r="U1004">
        <f>INDEX(FactorTable!$B$2:$Y$301, MATCH(ROUND(MIN(300,MAX(1,U1003)),0), FactorTable!$A$2:$A$301,0), 22)</f>
        <v/>
      </c>
    </row>
    <row r="1005">
      <c r="A1005">
        <f>Skills!A4</f>
        <v/>
      </c>
      <c r="B1005">
        <f>Skills!B4</f>
        <v/>
      </c>
      <c r="C1005">
        <f>Inputs!$B$3&gt;=105</f>
        <v/>
      </c>
      <c r="D1005">
        <f>IF(Skills!C4=1,60+Inputs!$B$25+Inputs!$B$29,IF(Skills!C4=2,90+Inputs!$B$26+Inputs!$B$29,IF(Skills!C4=3,120+Inputs!$B$27+Inputs!$B$29,MAX(0,(Inputs!$B$3-100)*3)+Inputs!$B$28+Inputs!$B$29)))</f>
        <v/>
      </c>
      <c r="E1005">
        <f>INDEX(FactorTable!$B$2:$Y$301, MATCH(ROUND(MIN(300,MAX(1,D1005)),0), FactorTable!$A$2:$A$301,0), Skills!M4+1)</f>
        <v/>
      </c>
      <c r="F1005">
        <f>IF(Skills!N4=TRUE,(Skills!L4/10)*(E1005/1000),Skills!L4/10)+Skills!O4</f>
        <v/>
      </c>
      <c r="G1005" t="inlineStr"/>
      <c r="H1005" t="inlineStr"/>
      <c r="I1005" t="inlineStr">
        <is>
          <t>1</t>
        </is>
      </c>
      <c r="J1005" t="inlineStr"/>
      <c r="K1005" t="inlineStr"/>
      <c r="L1005" t="inlineStr"/>
      <c r="M1005" t="inlineStr"/>
      <c r="N1005" t="inlineStr"/>
      <c r="O1005" t="inlineStr"/>
      <c r="P1005" t="inlineStr"/>
      <c r="Q1005" t="inlineStr"/>
      <c r="R1005" t="inlineStr"/>
      <c r="S1005" t="inlineStr"/>
      <c r="U1005">
        <f>290*U1004/1000</f>
        <v/>
      </c>
    </row>
    <row r="1006">
      <c r="A1006">
        <f>Skills!A5</f>
        <v/>
      </c>
      <c r="B1006">
        <f>Skills!B5</f>
        <v/>
      </c>
      <c r="C1006">
        <f>Inputs!$B$3&gt;=35</f>
        <v/>
      </c>
      <c r="D1006">
        <f>IF(Skills!C5=1,60+Inputs!$B$25+Inputs!$B$29,IF(Skills!C5=2,90+Inputs!$B$26+Inputs!$B$29,IF(Skills!C5=3,120+Inputs!$B$27+Inputs!$B$29,MAX(0,(Inputs!$B$3-100)*3)+Inputs!$B$28+Inputs!$B$29)))</f>
        <v/>
      </c>
      <c r="E1006">
        <f>INDEX(FactorTable!$B$2:$Y$301, MATCH(ROUND(MIN(300,MAX(1,D1006)),0), FactorTable!$A$2:$A$301,0), Skills!M5+1)</f>
        <v/>
      </c>
      <c r="F1006">
        <f>IF(Skills!N5=TRUE,(Skills!L5/10)*(E1006/1000),Skills!L5/10)+Skills!O5</f>
        <v/>
      </c>
      <c r="G1006">
        <f>Skills!G5*IF(Skills!H5&gt;0,Skills!I5/Skills!H5,1)</f>
        <v/>
      </c>
      <c r="H1006">
        <f>1-(1-Skills!J5/100)^Skills!K5</f>
        <v/>
      </c>
      <c r="I1006" t="inlineStr">
        <is>
          <t>1</t>
        </is>
      </c>
      <c r="J1006">
        <f>((Inputs!$B$6*(1+(Inputs!$B$7+1)/100))+(((Inputs!$B$12*(1+Inputs!$B$13/100))-(Inputs!$B$12*(1+Inputs!$B$13/100)))+0.25*(Inputs!$B$14-Inputs!$B$14))*(1+(Inputs!$B$7+1)/100))*(F1006/100)</f>
        <v/>
      </c>
      <c r="K1006">
        <f>J1006*(1+((Inputs!$B$12*(1+Inputs!$B$13/100))*0.01+Inputs!$B$14*0.0025)/100)*(1+Inputs!$B$15/100)*(1+IF(Inputs!$B$38="pvp",0,(1-Summary!$B$55)*(Inputs!$B$20+0+Skills!P5)+Summary!$B$55*(Inputs!$B$21+Skills!Q5))/100)*(1+Inputs!$B$16/100)*(5000/(6000+Inputs!$B$42*(1-(Inputs!$B$19+((C1028=TRUE)*(F1028-Calc!F27)))/100)))*(1+(Inputs!$B$24+((C1026=TRUE)*(F1026-Calc!F25))+((C1027=TRUE)*(F1027-Calc!F26))+B1040)/100)*(1+4.0*IF(C1011=TRUE,F1011,0)/100)*(1+(IF(Skills!A5="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1006)</f>
        <v/>
      </c>
      <c r="L1006">
        <f>K1006*(MIN(Inputs!$B$22+((C1025=TRUE)*(F1025-Calc!F24)),Inputs!$B$23+((C1030=TRUE)*(F1030-Calc!F29)))/100+(Inputs!$B$23+((C1030=TRUE)*(F1030-Calc!F29)))/100)/2</f>
        <v/>
      </c>
      <c r="M1006">
        <f>L1006*(1+(Inputs!$B$10+0+B1039)/100)</f>
        <v/>
      </c>
      <c r="N1006">
        <f>L1006*(1-MIN((Inputs!$B$9+((C1021=TRUE)*(F1021-Calc!F20))+B1034),100)/100)+M1006*(MIN((Inputs!$B$9+((C1021=TRUE)*(F1021-Calc!F20))+B1034),100)/100)</f>
        <v/>
      </c>
      <c r="O1006">
        <f>IF(C1006,H1006*N1006*IF(AND(Inputs!$B$38&lt;&gt;"pvp",Inputs!$B$43&gt;0),((Skills!G5*((R1006-1)*IF(Skills!H5&gt;0,Skills!I5/Skills!H5,1)+IF(Skills!H5&gt;0,MIN(Skills!I5,MAX(0,MAX(0,Inputs!$B$43-B1041)-((R1006-1)*IF(Inputs!$B$38="pvp",15,MAX(0.1,Skills!D5-IF(Skills!E5=TRUE,Inputs!$B$32,0))))))/Skills!H5,1)))/Inputs!$B$43),G1006*Q1006)*IF(Inputs!$B$38="pvp",1,(1-Summary!$B$55)*(1)+Summary!$B$55*(MIN(Skills!R5,Inputs!$B$37))),0)</f>
        <v/>
      </c>
      <c r="P1006">
        <f>IF(B1042=0,0,O1006/B1042)</f>
        <v/>
      </c>
      <c r="Q1006">
        <f>IFERROR(1/IF(Inputs!$B$38="pvp",15,MAX(0.1,Skills!D5-IF(Skills!E5=TRUE,Inputs!$B$32,0))),0)</f>
        <v/>
      </c>
      <c r="R1006">
        <f>IF(AND(Inputs!$B$38&lt;&gt;"pvp",Inputs!$B$43&gt;0),IF(MAX(0,Inputs!$B$43-B1041)&lt;=0,0,(INT(MAX(0,Inputs!$B$43-B1041)/IF(Inputs!$B$38="pvp",15,MAX(0.1,Skills!D5-IF(Skills!E5=TRUE,Inputs!$B$32,0))))+1)),0)</f>
        <v/>
      </c>
      <c r="S1006">
        <f>IFERROR(O1006/N1006,0)</f>
        <v/>
      </c>
    </row>
    <row r="1007">
      <c r="A1007">
        <f>Skills!A6</f>
        <v/>
      </c>
      <c r="B1007">
        <f>Skills!B6</f>
        <v/>
      </c>
      <c r="C1007">
        <f>Inputs!$B$3&gt;=40</f>
        <v/>
      </c>
      <c r="D1007">
        <f>IF(Skills!C6=1,60+Inputs!$B$25+Inputs!$B$29,IF(Skills!C6=2,90+Inputs!$B$26+Inputs!$B$29,IF(Skills!C6=3,120+Inputs!$B$27+Inputs!$B$29,MAX(0,(Inputs!$B$3-100)*3)+Inputs!$B$28+Inputs!$B$29)))</f>
        <v/>
      </c>
      <c r="E1007">
        <f>INDEX(FactorTable!$B$2:$Y$301, MATCH(ROUND(MIN(300,MAX(1,D1007)),0), FactorTable!$A$2:$A$301,0), Skills!M6+1)</f>
        <v/>
      </c>
      <c r="F1007">
        <f>IF(Skills!N6=TRUE,(Skills!L6/10)*(E1007/1000),Skills!L6/10)+Skills!O6</f>
        <v/>
      </c>
      <c r="G1007">
        <f>Skills!G6*IF(Skills!H6&gt;0,Skills!I6/Skills!H6,1)</f>
        <v/>
      </c>
      <c r="H1007">
        <f>1-(1-Skills!J6/100)^Skills!K6</f>
        <v/>
      </c>
      <c r="I1007" t="inlineStr">
        <is>
          <t>1</t>
        </is>
      </c>
      <c r="J1007">
        <f>((Inputs!$B$6*(1+(Inputs!$B$7+1)/100))+(((Inputs!$B$12*(1+Inputs!$B$13/100))-(Inputs!$B$12*(1+Inputs!$B$13/100)))+0.25*(Inputs!$B$14-Inputs!$B$14))*(1+(Inputs!$B$7+1)/100))*(F1007/100)</f>
        <v/>
      </c>
      <c r="K1007">
        <f>J1007*(1+((Inputs!$B$12*(1+Inputs!$B$13/100))*0.01+Inputs!$B$14*0.0025)/100)*(1+Inputs!$B$15/100)*(1+IF(Inputs!$B$38="pvp",0,(1-Summary!$B$55)*(Inputs!$B$20+0+Skills!P6)+Summary!$B$55*(Inputs!$B$21+Skills!Q6))/100)*(1+Inputs!$B$16/100)*(5000/(6000+Inputs!$B$42*(1-(Inputs!$B$19+((C1028=TRUE)*(F1028-Calc!F27)))/100)))*(1+(Inputs!$B$24+((C1026=TRUE)*(F1026-Calc!F25))+((C1027=TRUE)*(F1027-Calc!F26))+B1040)/100)*(1+IF(C1008=TRUE,F1008,0)/100)*(1+(IF(Skills!A6="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1007)</f>
        <v/>
      </c>
      <c r="L1007">
        <f>K1007*(MIN(Inputs!$B$22+((C1025=TRUE)*(F1025-Calc!F24)),Inputs!$B$23+((C1030=TRUE)*(F1030-Calc!F29)))/100+(Inputs!$B$23+((C1030=TRUE)*(F1030-Calc!F29)))/100)/2</f>
        <v/>
      </c>
      <c r="M1007">
        <f>L1007*(1+(Inputs!$B$10+0+B1039)/100)</f>
        <v/>
      </c>
      <c r="N1007">
        <f>L1007*(1-MIN((Inputs!$B$9+((C1021=TRUE)*(F1021-Calc!F20))+B1034),100)/100)+M1007*(MIN((Inputs!$B$9+((C1021=TRUE)*(F1021-Calc!F20))+B1034),100)/100)</f>
        <v/>
      </c>
      <c r="O1007">
        <f>IF(C1007,H1007*N1007*IF(AND(Inputs!$B$38&lt;&gt;"pvp",Inputs!$B$43&gt;0),((Skills!G6*((R1007-1)*IF(Skills!H6&gt;0,Skills!I6/Skills!H6,1)+IF(Skills!H6&gt;0,MIN(Skills!I6,MAX(0,MAX(0,Inputs!$B$43-B1041)-((R1007-1)*IF(Inputs!$B$38="pvp",15,MAX(0.1,Skills!D6-IF(Skills!E6=TRUE,Inputs!$B$32,0))))))/Skills!H6,1)))/Inputs!$B$43),G1007*Q1007)*IF(Inputs!$B$38="pvp",1,(1-Summary!$B$55)*(1)+Summary!$B$55*(MIN(Skills!R6,Inputs!$B$37))),0)</f>
        <v/>
      </c>
      <c r="P1007">
        <f>IF(B1042=0,0,O1007/B1042)</f>
        <v/>
      </c>
      <c r="Q1007">
        <f>IFERROR(1/IF(Inputs!$B$38="pvp",15,MAX(0.1,Skills!D6-IF(Skills!E6=TRUE,Inputs!$B$32,0))),0)</f>
        <v/>
      </c>
      <c r="R1007">
        <f>IF(AND(Inputs!$B$38&lt;&gt;"pvp",Inputs!$B$43&gt;0),IF(MAX(0,Inputs!$B$43-B1041)&lt;=0,0,(INT(MAX(0,Inputs!$B$43-B1041)/IF(Inputs!$B$38="pvp",15,MAX(0.1,Skills!D6-IF(Skills!E6=TRUE,Inputs!$B$32,0))))+1)),0)</f>
        <v/>
      </c>
      <c r="S1007">
        <f>IFERROR(O1007/N1007,0)</f>
        <v/>
      </c>
    </row>
    <row r="1008">
      <c r="A1008">
        <f>Skills!A7</f>
        <v/>
      </c>
      <c r="B1008">
        <f>Skills!B7</f>
        <v/>
      </c>
      <c r="C1008">
        <f>Inputs!$B$3&gt;=107</f>
        <v/>
      </c>
      <c r="D1008">
        <f>IF(Skills!C7=1,60+Inputs!$B$25+Inputs!$B$29,IF(Skills!C7=2,90+Inputs!$B$26+Inputs!$B$29,IF(Skills!C7=3,120+Inputs!$B$27+Inputs!$B$29,MAX(0,(Inputs!$B$3-100)*3)+Inputs!$B$28+Inputs!$B$29)))</f>
        <v/>
      </c>
      <c r="E1008">
        <f>INDEX(FactorTable!$B$2:$Y$301, MATCH(ROUND(MIN(300,MAX(1,D1008)),0), FactorTable!$A$2:$A$301,0), Skills!M7+1)</f>
        <v/>
      </c>
      <c r="F1008">
        <f>IF(Skills!N7=TRUE,(Skills!L7/10)*(E1008/1000),Skills!L7/10)+Skills!O7</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Skills!A8</f>
        <v/>
      </c>
      <c r="B1009">
        <f>Skills!B8</f>
        <v/>
      </c>
      <c r="C1009">
        <f>Inputs!$B$3&gt;=69</f>
        <v/>
      </c>
      <c r="D1009">
        <f>IF(Skills!C8=1,60+Inputs!$B$25+Inputs!$B$29,IF(Skills!C8=2,90+Inputs!$B$26+Inputs!$B$29,IF(Skills!C8=3,120+Inputs!$B$27+Inputs!$B$29,MAX(0,(Inputs!$B$3-100)*3)+Inputs!$B$28+Inputs!$B$29)))</f>
        <v/>
      </c>
      <c r="E1009">
        <f>INDEX(FactorTable!$B$2:$Y$301, MATCH(ROUND(MIN(300,MAX(1,D1009)),0), FactorTable!$A$2:$A$301,0), Skills!M8+1)</f>
        <v/>
      </c>
      <c r="F1009">
        <f>IF(Skills!N8=TRUE,(Skills!L8/10)*(E1009/1000),Skills!L8/10)+Skills!O8</f>
        <v/>
      </c>
      <c r="G1009">
        <f>Skills!G8*IF(Skills!H8&gt;0,Skills!I8/Skills!H8,1)</f>
        <v/>
      </c>
      <c r="H1009">
        <f>1-(1-Skills!J8/100)^Skills!K8</f>
        <v/>
      </c>
      <c r="I1009" t="inlineStr">
        <is>
          <t>1</t>
        </is>
      </c>
      <c r="J1009">
        <f>((Inputs!$B$6*(1+(Inputs!$B$7+1)/100))+(((Inputs!$B$12*(1+Inputs!$B$13/100))-(Inputs!$B$12*(1+Inputs!$B$13/100)))+0.25*(Inputs!$B$14-Inputs!$B$14))*(1+(Inputs!$B$7+1)/100))*(F1009/100)</f>
        <v/>
      </c>
      <c r="K1009">
        <f>J1009*(1+((Inputs!$B$12*(1+Inputs!$B$13/100))*0.01+Inputs!$B$14*0.0025)/100)*(1+Inputs!$B$15/100)*(1+IF(Inputs!$B$38="pvp",0,(1-Summary!$B$55)*(Inputs!$B$20+0+Skills!P8)+Summary!$B$55*(Inputs!$B$21+Skills!Q8))/100)*(1+Inputs!$B$16/100)*(5000/(6000+Inputs!$B$42*(1-(Inputs!$B$19+((C1028=TRUE)*(F1028-Calc!F27)))/100)))*(1+(Inputs!$B$24+((C1026=TRUE)*(F1026-Calc!F25))+((C1027=TRUE)*(F1027-Calc!F26))+B1040)/100)*(1+1.2*IF(C1011=TRUE,F1011,0)/100)*(1+(IF(Skills!A8="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1009)</f>
        <v/>
      </c>
      <c r="L1009">
        <f>K1009*(MIN(Inputs!$B$22+((C1025=TRUE)*(F1025-Calc!F24)),Inputs!$B$23+((C1030=TRUE)*(F1030-Calc!F29)))/100+(Inputs!$B$23+((C1030=TRUE)*(F1030-Calc!F29)))/100)/2</f>
        <v/>
      </c>
      <c r="M1009">
        <f>L1009*(1+(Inputs!$B$10+0+B1039)/100)</f>
        <v/>
      </c>
      <c r="N1009">
        <f>L1009*(1-MIN((Inputs!$B$9+((C1021=TRUE)*(F1021-Calc!F20))+B1034),100)/100)+M1009*(MIN((Inputs!$B$9+((C1021=TRUE)*(F1021-Calc!F20))+B1034),100)/100)</f>
        <v/>
      </c>
      <c r="O1009">
        <f>IF(C1009,H1009*N1009*IF(AND(Inputs!$B$38&lt;&gt;"pvp",Inputs!$B$43&gt;0),((Skills!G8*((R1009-1)*IF(Skills!H8&gt;0,Skills!I8/Skills!H8,1)+IF(Skills!H8&gt;0,MIN(Skills!I8,MAX(0,MAX(0,Inputs!$B$43-B1041)-((R1009-1)*IF(Inputs!$B$38="pvp",15,MAX(0.1,Skills!D8-IF(Skills!E8=TRUE,Inputs!$B$32,0))))))/Skills!H8,1)))/Inputs!$B$43),G1009*Q1009)*IF(Inputs!$B$38="pvp",1,(1-Summary!$B$55)*(1)+Summary!$B$55*(MIN(Skills!R8,Inputs!$B$37))),0)</f>
        <v/>
      </c>
      <c r="P1009">
        <f>IF(B1042=0,0,O1009/B1042)</f>
        <v/>
      </c>
      <c r="Q1009">
        <f>IFERROR(1/IF(Inputs!$B$38="pvp",15,MAX(0.1,Skills!D8-IF(Skills!E8=TRUE,Inputs!$B$32,0))),0)</f>
        <v/>
      </c>
      <c r="R1009">
        <f>IF(AND(Inputs!$B$38&lt;&gt;"pvp",Inputs!$B$43&gt;0),IF(MAX(0,Inputs!$B$43-B1041)&lt;=0,0,(INT(MAX(0,Inputs!$B$43-B1041)/IF(Inputs!$B$38="pvp",15,MAX(0.1,Skills!D8-IF(Skills!E8=TRUE,Inputs!$B$32,0))))+1)),0)</f>
        <v/>
      </c>
      <c r="S1009">
        <f>IFERROR(O1009/N1009,0)</f>
        <v/>
      </c>
    </row>
    <row r="1010">
      <c r="A1010">
        <f>Skills!A9</f>
        <v/>
      </c>
      <c r="B1010">
        <f>Skills!B9</f>
        <v/>
      </c>
      <c r="C1010">
        <f>Inputs!$B$3&gt;=63</f>
        <v/>
      </c>
      <c r="D1010">
        <f>IF(Skills!C9=1,60+Inputs!$B$25+Inputs!$B$29,IF(Skills!C9=2,90+Inputs!$B$26+Inputs!$B$29,IF(Skills!C9=3,120+Inputs!$B$27+Inputs!$B$29,MAX(0,(Inputs!$B$3-100)*3)+Inputs!$B$28+Inputs!$B$29)))</f>
        <v/>
      </c>
      <c r="E1010">
        <f>INDEX(FactorTable!$B$2:$Y$301, MATCH(ROUND(MIN(300,MAX(1,D1010)),0), FactorTable!$A$2:$A$301,0), Skills!M9+1)</f>
        <v/>
      </c>
      <c r="F1010">
        <f>IF(Skills!N9=TRUE,(Skills!L9/10)*(E1010/1000),Skills!L9/10)+Skills!O9</f>
        <v/>
      </c>
      <c r="G1010">
        <f>Skills!G9*IF(Skills!H9&gt;0,Skills!I9/Skills!H9,1)</f>
        <v/>
      </c>
      <c r="H1010">
        <f>1-(1-Skills!J9/100)^Skills!K9</f>
        <v/>
      </c>
      <c r="I1010" t="inlineStr">
        <is>
          <t>1</t>
        </is>
      </c>
      <c r="J1010">
        <f>((Inputs!$B$6*(1+(Inputs!$B$7+1)/100))+(((Inputs!$B$12*(1+Inputs!$B$13/100))-(Inputs!$B$12*(1+Inputs!$B$13/100)))+0.25*(Inputs!$B$14-Inputs!$B$14))*(1+(Inputs!$B$7+1)/100))*(F1010/100)</f>
        <v/>
      </c>
      <c r="K1010">
        <f>J1010*(1+((Inputs!$B$12*(1+Inputs!$B$13/100))*0.01+Inputs!$B$14*0.0025)/100)*(1+Inputs!$B$15/100)*(1+IF(Inputs!$B$38="pvp",0,(1-Summary!$B$55)*(Inputs!$B$20+0+Skills!P9)+Summary!$B$55*(Inputs!$B$21+Skills!Q9))/100)*(1+Inputs!$B$16/100)*(5000/(6000+Inputs!$B$42*(1-(Inputs!$B$19+((C1028=TRUE)*(F1028-Calc!F27)))/100)))*(1+(Inputs!$B$24+((C1026=TRUE)*(F1026-Calc!F25))+((C1027=TRUE)*(F1027-Calc!F26))+B1040)/100)*(1+1.0*IF(C1011=TRUE,F1011,0)/100)*(1+(IF(Skills!A9="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1010)</f>
        <v/>
      </c>
      <c r="L1010">
        <f>K1010*(MIN(Inputs!$B$22+((C1025=TRUE)*(F1025-Calc!F24)),Inputs!$B$23+((C1030=TRUE)*(F1030-Calc!F29)))/100+(Inputs!$B$23+((C1030=TRUE)*(F1030-Calc!F29)))/100)/2</f>
        <v/>
      </c>
      <c r="M1010">
        <f>L1010*(1+(Inputs!$B$10+0+B1039)/100)</f>
        <v/>
      </c>
      <c r="N1010">
        <f>L1010*(1-MIN((Inputs!$B$9+((C1021=TRUE)*(F1021-Calc!F20))+B1034),100)/100)+M1010*(MIN((Inputs!$B$9+((C1021=TRUE)*(F1021-Calc!F20))+B1034),100)/100)</f>
        <v/>
      </c>
      <c r="O1010">
        <f>IF(C1010,H1010*N1010*IF(AND(Inputs!$B$38&lt;&gt;"pvp",Inputs!$B$43&gt;0),((Skills!G9*((R1010-1)*IF(Skills!H9&gt;0,Skills!I9/Skills!H9,1)+IF(Skills!H9&gt;0,MIN(Skills!I9,MAX(0,MAX(0,Inputs!$B$43-B1041)-((R1010-1)*IF(Inputs!$B$38="pvp",15,MAX(0.1,Skills!D9-IF(Skills!E9=TRUE,Inputs!$B$32,0))))))/Skills!H9,1)))/Inputs!$B$43),G1010*Q1010)*IF(Inputs!$B$38="pvp",1,(1-Summary!$B$55)*(1)+Summary!$B$55*(MIN(Skills!R9,Inputs!$B$37))),0)</f>
        <v/>
      </c>
      <c r="P1010">
        <f>IF(B1042=0,0,O1010/B1042)</f>
        <v/>
      </c>
      <c r="Q1010">
        <f>IFERROR(1/IF(Inputs!$B$38="pvp",15,MAX(0.1,Skills!D9-IF(Skills!E9=TRUE,Inputs!$B$32,0))),0)</f>
        <v/>
      </c>
      <c r="R1010">
        <f>IF(AND(Inputs!$B$38&lt;&gt;"pvp",Inputs!$B$43&gt;0),IF(MAX(0,Inputs!$B$43-B1041)&lt;=0,0,(INT(MAX(0,Inputs!$B$43-B1041)/IF(Inputs!$B$38="pvp",15,MAX(0.1,Skills!D9-IF(Skills!E9=TRUE,Inputs!$B$32,0))))+1)),0)</f>
        <v/>
      </c>
      <c r="S1010">
        <f>IFERROR(O1010/N1010,0)</f>
        <v/>
      </c>
    </row>
    <row r="1011">
      <c r="A1011">
        <f>Skills!A10</f>
        <v/>
      </c>
      <c r="B1011">
        <f>Skills!B10</f>
        <v/>
      </c>
      <c r="C1011">
        <f>Inputs!$B$3&gt;=100</f>
        <v/>
      </c>
      <c r="D1011">
        <f>IF(Skills!C10=1,60+Inputs!$B$25+Inputs!$B$29,IF(Skills!C10=2,90+Inputs!$B$26+Inputs!$B$29,IF(Skills!C10=3,120+Inputs!$B$27+Inputs!$B$29,MAX(0,(Inputs!$B$3-100)*3)+Inputs!$B$28+Inputs!$B$29)))</f>
        <v/>
      </c>
      <c r="E1011">
        <f>INDEX(FactorTable!$B$2:$Y$301, MATCH(ROUND(MIN(300,MAX(1,D1011)),0), FactorTable!$A$2:$A$301,0), Skills!M10+1)</f>
        <v/>
      </c>
      <c r="F1011">
        <f>IF(Skills!N10=TRUE,(Skills!L10/10)*(E1011/1000),Skills!L10/10)+Skills!O10</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Skills!A11</f>
        <v/>
      </c>
      <c r="B1012">
        <f>Skills!B11</f>
        <v/>
      </c>
      <c r="C1012">
        <f>Inputs!$B$3&gt;=60</f>
        <v/>
      </c>
      <c r="D1012">
        <f>IF(Skills!C11=1,60+Inputs!$B$25+Inputs!$B$29,IF(Skills!C11=2,90+Inputs!$B$26+Inputs!$B$29,IF(Skills!C11=3,120+Inputs!$B$27+Inputs!$B$29,MAX(0,(Inputs!$B$3-100)*3)+Inputs!$B$28+Inputs!$B$29)))</f>
        <v/>
      </c>
      <c r="E1012">
        <f>INDEX(FactorTable!$B$2:$Y$301, MATCH(ROUND(MIN(300,MAX(1,D1012)),0), FactorTable!$A$2:$A$301,0), Skills!M11+1)</f>
        <v/>
      </c>
      <c r="F1012">
        <f>IF(Skills!N11=TRUE,(Skills!L11/10)*(E1012/1000),Skills!L11/10)+Skills!O11</f>
        <v/>
      </c>
      <c r="G1012">
        <f>Skills!G11*IF(Skills!H11&gt;0,Skills!I11/Skills!H11,1)</f>
        <v/>
      </c>
      <c r="H1012">
        <f>1-(1-Skills!J11/100)^Skills!K11</f>
        <v/>
      </c>
      <c r="I1012" t="inlineStr">
        <is>
          <t>1</t>
        </is>
      </c>
      <c r="J1012">
        <f>((Inputs!$B$6*(1+(Inputs!$B$7+1)/100))+(((Inputs!$B$12*(1+Inputs!$B$13/100))-(Inputs!$B$12*(1+Inputs!$B$13/100)))+0.25*(Inputs!$B$14-Inputs!$B$14))*(1+(Inputs!$B$7+1)/100))*(F1012/100)</f>
        <v/>
      </c>
      <c r="K1012">
        <f>J1012*(1+((Inputs!$B$12*(1+Inputs!$B$13/100))*0.01+Inputs!$B$14*0.0025)/100)*(1+Inputs!$B$15/100)*(1+IF(Inputs!$B$38="pvp",0,(1-Summary!$B$55)*(Inputs!$B$20+0+Skills!P11)+Summary!$B$55*(Inputs!$B$21+Skills!Q11))/100)*(1+Inputs!$B$16/100)*(5000/(6000+Inputs!$B$42*(1-(Inputs!$B$19+((C1028=TRUE)*(F1028-Calc!F27)))/100)))*(1+(Inputs!$B$24+((C1026=TRUE)*(F1026-Calc!F25))+((C1027=TRUE)*(F1027-Calc!F26))+B1040)/100)*(1+IF(C1013=TRUE,F1013,0)/100)*(1+(IF(Skills!A11="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1012)</f>
        <v/>
      </c>
      <c r="L1012">
        <f>K1012*(MIN(Inputs!$B$22+((C1025=TRUE)*(F1025-Calc!F24)),Inputs!$B$23+((C1030=TRUE)*(F1030-Calc!F29)))/100+(Inputs!$B$23+((C1030=TRUE)*(F1030-Calc!F29)))/100)/2</f>
        <v/>
      </c>
      <c r="M1012">
        <f>L1012*(1+(Inputs!$B$10+0+B1039)/100)</f>
        <v/>
      </c>
      <c r="N1012">
        <f>L1012*(1-MIN((Inputs!$B$9+((C1021=TRUE)*(F1021-Calc!F20))+B1034),100)/100)+M1012*(MIN((Inputs!$B$9+((C1021=TRUE)*(F1021-Calc!F20))+B1034),100)/100)</f>
        <v/>
      </c>
      <c r="O1012">
        <f>IF(C1012,H1012*N1012*IF(AND(Inputs!$B$38&lt;&gt;"pvp",Inputs!$B$43&gt;0),((Skills!G11*((R1012-1)*IF(Skills!H11&gt;0,Skills!I11/Skills!H11,1)+IF(Skills!H11&gt;0,MIN(Skills!I11,MAX(0,MAX(0,Inputs!$B$43-B1041)-((R1012-1)*IF(Inputs!$B$38="pvp",15,MAX(0.1,Skills!D11-IF(Skills!E11=TRUE,Inputs!$B$32,0))))))/Skills!H11,1)))/Inputs!$B$43),G1012*Q1012)*IF(Inputs!$B$38="pvp",1,(1-Summary!$B$55)*(1)+Summary!$B$55*(MIN(Skills!R11,Inputs!$B$37))),0)</f>
        <v/>
      </c>
      <c r="P1012">
        <f>IF(B1042=0,0,O1012/B1042)</f>
        <v/>
      </c>
      <c r="Q1012">
        <f>IFERROR(1/IF(Inputs!$B$38="pvp",15,MAX(0.1,Skills!D11-IF(Skills!E11=TRUE,Inputs!$B$32,0))),0)</f>
        <v/>
      </c>
      <c r="R1012">
        <f>IF(AND(Inputs!$B$38&lt;&gt;"pvp",Inputs!$B$43&gt;0),IF(MAX(0,Inputs!$B$43-B1041)&lt;=0,0,(INT(MAX(0,Inputs!$B$43-B1041)/IF(Inputs!$B$38="pvp",15,MAX(0.1,Skills!D11-IF(Skills!E11=TRUE,Inputs!$B$32,0))))+1)),0)</f>
        <v/>
      </c>
      <c r="S1012">
        <f>IFERROR(O1012/N1012,0)</f>
        <v/>
      </c>
    </row>
    <row r="1013">
      <c r="A1013">
        <f>Skills!A12</f>
        <v/>
      </c>
      <c r="B1013">
        <f>Skills!B12</f>
        <v/>
      </c>
      <c r="C1013">
        <f>Inputs!$B$3&gt;=110</f>
        <v/>
      </c>
      <c r="D1013">
        <f>IF(Skills!C12=1,60+Inputs!$B$25+Inputs!$B$29,IF(Skills!C12=2,90+Inputs!$B$26+Inputs!$B$29,IF(Skills!C12=3,120+Inputs!$B$27+Inputs!$B$29,MAX(0,(Inputs!$B$3-100)*3)+Inputs!$B$28+Inputs!$B$29)))</f>
        <v/>
      </c>
      <c r="E1013">
        <f>INDEX(FactorTable!$B$2:$Y$301, MATCH(ROUND(MIN(300,MAX(1,D1013)),0), FactorTable!$A$2:$A$301,0), Skills!M12+1)</f>
        <v/>
      </c>
      <c r="F1013">
        <f>IF(Skills!N12=TRUE,(Skills!L12/10)*(E1013/1000),Skills!L12/10)+Skills!O12</f>
        <v/>
      </c>
      <c r="G1013" t="inlineStr"/>
      <c r="H1013" t="inlineStr"/>
      <c r="I1013" t="inlineStr">
        <is>
          <t>1</t>
        </is>
      </c>
      <c r="J1013" t="inlineStr"/>
      <c r="K1013" t="inlineStr"/>
      <c r="L1013" t="inlineStr"/>
      <c r="M1013" t="inlineStr"/>
      <c r="N1013" t="inlineStr"/>
      <c r="O1013" t="inlineStr"/>
      <c r="P1013" t="inlineStr"/>
      <c r="Q1013" t="inlineStr"/>
      <c r="R1013" t="inlineStr"/>
      <c r="S1013" t="inlineStr"/>
    </row>
    <row r="1014">
      <c r="A1014">
        <f>Skills!A13</f>
        <v/>
      </c>
      <c r="B1014">
        <f>Skills!B13</f>
        <v/>
      </c>
      <c r="C1014">
        <f>Inputs!$B$3&gt;=74</f>
        <v/>
      </c>
      <c r="D1014">
        <f>IF(Skills!C13=1,60+Inputs!$B$25+Inputs!$B$29,IF(Skills!C13=2,90+Inputs!$B$26+Inputs!$B$29,IF(Skills!C13=3,120+Inputs!$B$27+Inputs!$B$29,MAX(0,(Inputs!$B$3-100)*3)+Inputs!$B$28+Inputs!$B$29)))</f>
        <v/>
      </c>
      <c r="E1014">
        <f>INDEX(FactorTable!$B$2:$Y$301, MATCH(ROUND(MIN(300,MAX(1,D1014)),0), FactorTable!$A$2:$A$301,0), Skills!M13+1)</f>
        <v/>
      </c>
      <c r="F1014">
        <f>IF(Skills!N13=TRUE,(Skills!L13/10)*(E1014/1000),Skills!L13/10)+Skills!O13</f>
        <v/>
      </c>
      <c r="G1014">
        <f>Skills!G13*IF(Skills!H13&gt;0,Skills!I13/Skills!H13,1)</f>
        <v/>
      </c>
      <c r="H1014">
        <f>1-(1-Skills!J13/100)^Skills!K13</f>
        <v/>
      </c>
      <c r="I1014" t="inlineStr">
        <is>
          <t>1</t>
        </is>
      </c>
      <c r="J1014" t="inlineStr"/>
      <c r="K1014" t="inlineStr"/>
      <c r="L1014" t="inlineStr"/>
      <c r="M1014" t="inlineStr"/>
      <c r="N1014" t="inlineStr"/>
      <c r="O1014" t="n">
        <v>0</v>
      </c>
      <c r="P1014">
        <f>IF(B1042=0,0,O1014/B1042)</f>
        <v/>
      </c>
      <c r="Q1014" t="n">
        <v>0</v>
      </c>
      <c r="R1014" t="n">
        <v>0</v>
      </c>
      <c r="S1014">
        <f>IFERROR(O1014/N1014,0)</f>
        <v/>
      </c>
    </row>
    <row r="1015">
      <c r="A1015">
        <f>Skills!A14</f>
        <v/>
      </c>
      <c r="B1015">
        <f>Skills!B14</f>
        <v/>
      </c>
      <c r="C1015">
        <f>Inputs!$B$3&gt;=74</f>
        <v/>
      </c>
      <c r="D1015">
        <f>IF(Skills!C14=1,60+Inputs!$B$25+Inputs!$B$29,IF(Skills!C14=2,90+Inputs!$B$26+Inputs!$B$29,IF(Skills!C14=3,120+Inputs!$B$27+Inputs!$B$29,MAX(0,(Inputs!$B$3-100)*3)+Inputs!$B$28+Inputs!$B$29)))</f>
        <v/>
      </c>
      <c r="E1015">
        <f>INDEX(FactorTable!$B$2:$Y$301, MATCH(ROUND(MIN(300,MAX(1,D1015)),0), FactorTable!$A$2:$A$301,0), Skills!M14+1)</f>
        <v/>
      </c>
      <c r="F1015">
        <f>IF(Skills!N14=TRUE,(Skills!L14/10)*(E1015/1000),Skills!L14/10)+Skills!O14</f>
        <v/>
      </c>
      <c r="G1015">
        <f>Skills!G14*IF(Skills!H14&gt;0,Skills!I14/Skills!H14,1)</f>
        <v/>
      </c>
      <c r="H1015">
        <f>1-(1-Skills!J14/100)^Skills!K14</f>
        <v/>
      </c>
      <c r="I1015" t="inlineStr">
        <is>
          <t>1</t>
        </is>
      </c>
      <c r="J1015" t="inlineStr"/>
      <c r="K1015" t="inlineStr"/>
      <c r="L1015" t="inlineStr"/>
      <c r="M1015" t="inlineStr"/>
      <c r="N1015" t="inlineStr"/>
      <c r="O1015" t="n">
        <v>0</v>
      </c>
      <c r="P1015">
        <f>IF(B1042=0,0,O1015/B1042)</f>
        <v/>
      </c>
      <c r="Q1015" t="n">
        <v>0</v>
      </c>
      <c r="R1015" t="n">
        <v>0</v>
      </c>
      <c r="S1015">
        <f>IFERROR(O1015/N1015,0)</f>
        <v/>
      </c>
    </row>
    <row r="1016">
      <c r="A1016">
        <f>Skills!A15</f>
        <v/>
      </c>
      <c r="B1016">
        <f>Skills!B15</f>
        <v/>
      </c>
      <c r="C1016">
        <f>Inputs!$B$3&gt;=117</f>
        <v/>
      </c>
      <c r="D1016">
        <f>IF(Skills!C15=1,60+Inputs!$B$25+Inputs!$B$29,IF(Skills!C15=2,90+Inputs!$B$26+Inputs!$B$29,IF(Skills!C15=3,120+Inputs!$B$27+Inputs!$B$29,MAX(0,(Inputs!$B$3-100)*3)+Inputs!$B$28+Inputs!$B$29)))</f>
        <v/>
      </c>
      <c r="E1016">
        <f>INDEX(FactorTable!$B$2:$Y$301, MATCH(ROUND(MIN(300,MAX(1,D1016)),0), FactorTable!$A$2:$A$301,0), Skills!M15+1)</f>
        <v/>
      </c>
      <c r="F1016">
        <f>IF(Skills!N15=TRUE,(Skills!L15/10)*(E1016/1000),Skills!L15/10)+Skills!O15</f>
        <v/>
      </c>
      <c r="G1016">
        <f>Skills!G15*IF(Skills!H15&gt;0,Skills!I15/Skills!H15,1)</f>
        <v/>
      </c>
      <c r="H1016">
        <f>1-(1-Skills!J15/100)^Skills!K15</f>
        <v/>
      </c>
      <c r="I1016" t="inlineStr">
        <is>
          <t>1</t>
        </is>
      </c>
      <c r="J1016" t="inlineStr"/>
      <c r="K1016" t="inlineStr"/>
      <c r="L1016" t="inlineStr"/>
      <c r="M1016" t="inlineStr"/>
      <c r="N1016" t="inlineStr"/>
      <c r="O1016" t="n">
        <v>0</v>
      </c>
      <c r="P1016">
        <f>IF(B1042=0,0,O1016/B1042)</f>
        <v/>
      </c>
      <c r="Q1016">
        <f>IFERROR(1/IF(Inputs!$B$38="pvp",15,MAX(0.1,Skills!D15-IF(Skills!E15=TRUE,Inputs!$B$32,0))),0)</f>
        <v/>
      </c>
      <c r="R1016">
        <f>IF(AND(Inputs!$B$38&lt;&gt;"pvp",Inputs!$B$43&gt;0),IF(Inputs!$B$43&lt;=0,0,(INT(Inputs!$B$43/IF(Inputs!$B$38="pvp",15,MAX(0.1,Skills!D15-IF(Skills!E15=TRUE,Inputs!$B$32,0))))+1)),0)</f>
        <v/>
      </c>
      <c r="S1016">
        <f>IFERROR(O1016/N1016,0)</f>
        <v/>
      </c>
    </row>
    <row r="1017">
      <c r="A1017">
        <f>Skills!A16</f>
        <v/>
      </c>
      <c r="B1017">
        <f>Skills!B16</f>
        <v/>
      </c>
      <c r="C1017">
        <f>Inputs!$B$3&gt;=115</f>
        <v/>
      </c>
      <c r="D1017">
        <f>IF(Skills!C16=1,60+Inputs!$B$25+Inputs!$B$29,IF(Skills!C16=2,90+Inputs!$B$26+Inputs!$B$29,IF(Skills!C16=3,120+Inputs!$B$27+Inputs!$B$29,MAX(0,(Inputs!$B$3-100)*3)+Inputs!$B$28+Inputs!$B$29)))</f>
        <v/>
      </c>
      <c r="E1017">
        <f>INDEX(FactorTable!$B$2:$Y$301, MATCH(ROUND(MIN(300,MAX(1,D1017)),0), FactorTable!$A$2:$A$301,0), Skills!M16+1)</f>
        <v/>
      </c>
      <c r="F1017">
        <f>IF(Skills!N16=TRUE,(Skills!L16/10)*(E1017/1000),Skills!L16/10)+Skills!O16</f>
        <v/>
      </c>
      <c r="G1017">
        <f>Skills!G16*IF(Skills!H16&gt;0,Skills!I16/Skills!H16,1)</f>
        <v/>
      </c>
      <c r="H1017">
        <f>1-(1-Skills!J16/100)^Skills!K16</f>
        <v/>
      </c>
      <c r="I1017" t="inlineStr">
        <is>
          <t>1</t>
        </is>
      </c>
      <c r="J1017" t="inlineStr"/>
      <c r="K1017" t="inlineStr"/>
      <c r="L1017" t="inlineStr"/>
      <c r="M1017" t="inlineStr"/>
      <c r="N1017" t="inlineStr"/>
      <c r="O1017" t="n">
        <v>0</v>
      </c>
      <c r="P1017">
        <f>IF(B1042=0,0,O1017/B1042)</f>
        <v/>
      </c>
      <c r="Q1017">
        <f>IFERROR(1/IF(Inputs!$B$38="pvp",15,MAX(0.1,Skills!D16-IF(Skills!E16=TRUE,Inputs!$B$32,0))),0)</f>
        <v/>
      </c>
      <c r="R1017">
        <f>IF(AND(Inputs!$B$38&lt;&gt;"pvp",Inputs!$B$43&gt;0),IF(Inputs!$B$43&lt;=0,0,(INT(Inputs!$B$43/IF(Inputs!$B$38="pvp",15,MAX(0.1,Skills!D16-IF(Skills!E16=TRUE,Inputs!$B$32,0))))+1)),0)</f>
        <v/>
      </c>
      <c r="S1017">
        <f>IFERROR(O1017/N1017,0)</f>
        <v/>
      </c>
    </row>
    <row r="1018">
      <c r="A1018">
        <f>Skills!A17</f>
        <v/>
      </c>
      <c r="B1018">
        <f>Skills!B17</f>
        <v/>
      </c>
      <c r="C1018">
        <f>Inputs!$B$3&gt;=66</f>
        <v/>
      </c>
      <c r="D1018">
        <f>IF(Skills!C17=1,60+Inputs!$B$25+Inputs!$B$29,IF(Skills!C17=2,90+Inputs!$B$26+Inputs!$B$29,IF(Skills!C17=3,120+Inputs!$B$27+Inputs!$B$29,MAX(0,(Inputs!$B$3-100)*3)+Inputs!$B$28+Inputs!$B$29)))</f>
        <v/>
      </c>
      <c r="E1018">
        <f>INDEX(FactorTable!$B$2:$Y$301, MATCH(ROUND(MIN(300,MAX(1,D1018)),0), FactorTable!$A$2:$A$301,0), Skills!M17+1)</f>
        <v/>
      </c>
      <c r="F1018">
        <f>IF(Skills!N17=TRUE,(Skills!L17/10)*(E1018/1000),Skills!L17/10)+Skills!O17</f>
        <v/>
      </c>
      <c r="G1018">
        <f>Skills!G17*IF(Skills!H17&gt;0,Skills!I17/Skills!H17,1)</f>
        <v/>
      </c>
      <c r="H1018">
        <f>1-(1-Skills!J17/100)^Skills!K17</f>
        <v/>
      </c>
      <c r="I1018" t="inlineStr">
        <is>
          <t>1</t>
        </is>
      </c>
      <c r="J1018" t="inlineStr"/>
      <c r="K1018" t="inlineStr"/>
      <c r="L1018" t="inlineStr"/>
      <c r="M1018" t="inlineStr"/>
      <c r="N1018" t="inlineStr"/>
      <c r="O1018" t="n">
        <v>0</v>
      </c>
      <c r="P1018">
        <f>IF(B1042=0,0,O1018/B1042)</f>
        <v/>
      </c>
      <c r="Q1018" t="n">
        <v>0</v>
      </c>
      <c r="R1018" t="n">
        <v>0</v>
      </c>
      <c r="S1018">
        <f>IFERROR(O1018/N1018,0)</f>
        <v/>
      </c>
    </row>
    <row r="1019">
      <c r="A1019">
        <f>Skills!A18</f>
        <v/>
      </c>
      <c r="B1019">
        <f>Skills!B18</f>
        <v/>
      </c>
      <c r="C1019">
        <f>Inputs!$B$3&gt;=72</f>
        <v/>
      </c>
      <c r="D1019">
        <f>IF(Skills!C18=1,60+Inputs!$B$25+Inputs!$B$29,IF(Skills!C18=2,90+Inputs!$B$26+Inputs!$B$29,IF(Skills!C18=3,120+Inputs!$B$27+Inputs!$B$29,MAX(0,(Inputs!$B$3-100)*3)+Inputs!$B$28+Inputs!$B$29)))</f>
        <v/>
      </c>
      <c r="E1019">
        <f>INDEX(FactorTable!$B$2:$Y$301, MATCH(ROUND(MIN(300,MAX(1,D1019)),0), FactorTable!$A$2:$A$301,0), Skills!M18+1)</f>
        <v/>
      </c>
      <c r="F1019">
        <f>IF(Skills!N18=TRUE,(Skills!L18/10)*(E1019/1000),Skills!L18/10)+Skills!O18</f>
        <v/>
      </c>
      <c r="G1019">
        <f>Skills!G18*IF(Skills!H18&gt;0,Skills!I18/Skills!H18,1)</f>
        <v/>
      </c>
      <c r="H1019">
        <f>1-(1-Skills!J18/100)^Skills!K18</f>
        <v/>
      </c>
      <c r="I1019" t="inlineStr">
        <is>
          <t>1</t>
        </is>
      </c>
      <c r="J1019" t="inlineStr"/>
      <c r="K1019" t="inlineStr"/>
      <c r="L1019" t="inlineStr"/>
      <c r="M1019" t="inlineStr"/>
      <c r="N1019" t="inlineStr"/>
      <c r="O1019" t="n">
        <v>0</v>
      </c>
      <c r="P1019">
        <f>IF(B1042=0,0,O1019/B1042)</f>
        <v/>
      </c>
      <c r="Q1019" t="n">
        <v>0</v>
      </c>
      <c r="R1019" t="n">
        <v>0</v>
      </c>
      <c r="S1019">
        <f>IFERROR(O1019/N1019,0)</f>
        <v/>
      </c>
    </row>
    <row r="1020">
      <c r="A1020">
        <f>Skills!A19</f>
        <v/>
      </c>
      <c r="B1020">
        <f>Skills!B19</f>
        <v/>
      </c>
      <c r="C1020">
        <f>TRUE</f>
        <v/>
      </c>
      <c r="D1020">
        <f>IF(Skills!C19=1,60+Inputs!$B$25+Inputs!$B$29,IF(Skills!C19=2,90+Inputs!$B$26+Inputs!$B$29,IF(Skills!C19=3,120+Inputs!$B$27+Inputs!$B$29,MAX(0,(Inputs!$B$3-100)*3)+Inputs!$B$28+Inputs!$B$29)))</f>
        <v/>
      </c>
      <c r="E1020">
        <f>INDEX(FactorTable!$B$2:$Y$301, MATCH(ROUND(MIN(300,MAX(1,D1020)),0), FactorTable!$A$2:$A$301,0), Skills!M19+1)</f>
        <v/>
      </c>
      <c r="F1020">
        <f>IF(Skills!N19=TRUE,(Skills!L19/10)*(E1020/1000),Skills!L19/10)+Skills!O19</f>
        <v/>
      </c>
      <c r="G1020">
        <f>Skills!G19*IF(Skills!H19&gt;0,Skills!I19/Skills!H19,1)</f>
        <v/>
      </c>
      <c r="H1020">
        <f>1-(1-Skills!J19/100)^Skills!K19</f>
        <v/>
      </c>
      <c r="I1020" t="inlineStr">
        <is>
          <t>1</t>
        </is>
      </c>
      <c r="J1020" t="inlineStr"/>
      <c r="K1020" t="inlineStr"/>
      <c r="L1020" t="inlineStr"/>
      <c r="M1020" t="inlineStr"/>
      <c r="N1020" t="inlineStr"/>
      <c r="O1020" t="n">
        <v>0</v>
      </c>
      <c r="P1020">
        <f>IF(B1042=0,0,O1020/B1042)</f>
        <v/>
      </c>
      <c r="Q1020">
        <f>IFERROR(1/IF(Inputs!$B$38="pvp",15,MAX(0.1,Skills!D19-IF(Skills!E19=TRUE,Inputs!$B$32,0))),0)</f>
        <v/>
      </c>
      <c r="R1020">
        <f>IF(AND(Inputs!$B$38&lt;&gt;"pvp",Inputs!$B$43&gt;0),IF(Inputs!$B$43&lt;=0,0,(INT(Inputs!$B$43/IF(Inputs!$B$38="pvp",15,MAX(0.1,Skills!D19-IF(Skills!E19=TRUE,Inputs!$B$32,0))))+1)),0)</f>
        <v/>
      </c>
      <c r="S1020">
        <f>IFERROR(O1020/N1020,0)</f>
        <v/>
      </c>
    </row>
    <row r="1021">
      <c r="A1021">
        <f>Skills!A20</f>
        <v/>
      </c>
      <c r="B1021">
        <f>Skills!B20</f>
        <v/>
      </c>
      <c r="C1021">
        <f>Inputs!$B$3&gt;=15</f>
        <v/>
      </c>
      <c r="D1021">
        <f>IF(Skills!C20=1,60+Inputs!$B$25+Inputs!$B$29,IF(Skills!C20=2,90+Inputs!$B$26+Inputs!$B$29,IF(Skills!C20=3,120+Inputs!$B$27+Inputs!$B$29,MAX(0,(Inputs!$B$3-100)*3)+Inputs!$B$28+Inputs!$B$29)))</f>
        <v/>
      </c>
      <c r="E1021">
        <f>INDEX(FactorTable!$B$2:$Y$301, MATCH(ROUND(MIN(300,MAX(1,D1021)),0), FactorTable!$A$2:$A$301,0), Skills!M20+1)</f>
        <v/>
      </c>
      <c r="F1021">
        <f>IF(Skills!N20=TRUE,(Skills!L20/10)*(E1021/1000),Skills!L20/10)+Skills!O20</f>
        <v/>
      </c>
      <c r="G1021">
        <f>Skills!G20*IF(Skills!H20&gt;0,Skills!I20/Skills!H20,1)</f>
        <v/>
      </c>
      <c r="H1021">
        <f>1-(1-Skills!J20/100)^Skills!K20</f>
        <v/>
      </c>
      <c r="I1021" t="inlineStr">
        <is>
          <t>1</t>
        </is>
      </c>
      <c r="J1021" t="inlineStr"/>
      <c r="K1021" t="inlineStr"/>
      <c r="L1021" t="inlineStr"/>
      <c r="M1021" t="inlineStr"/>
      <c r="N1021" t="inlineStr"/>
      <c r="O1021" t="n">
        <v>0</v>
      </c>
      <c r="P1021">
        <f>IF(B1042=0,0,O1021/B1042)</f>
        <v/>
      </c>
      <c r="Q1021" t="n">
        <v>0</v>
      </c>
      <c r="R1021" t="n">
        <v>0</v>
      </c>
      <c r="S1021">
        <f>IFERROR(O1021/N1021,0)</f>
        <v/>
      </c>
    </row>
    <row r="1022">
      <c r="A1022">
        <f>Skills!A21</f>
        <v/>
      </c>
      <c r="B1022">
        <f>Skills!B21</f>
        <v/>
      </c>
      <c r="C1022">
        <f>Inputs!$B$3&gt;=10</f>
        <v/>
      </c>
      <c r="D1022">
        <f>IF(Skills!C21=1,60+Inputs!$B$25+Inputs!$B$29,IF(Skills!C21=2,90+Inputs!$B$26+Inputs!$B$29,IF(Skills!C21=3,120+Inputs!$B$27+Inputs!$B$29,MAX(0,(Inputs!$B$3-100)*3)+Inputs!$B$28+Inputs!$B$29)))</f>
        <v/>
      </c>
      <c r="E1022">
        <f>INDEX(FactorTable!$B$2:$Y$301, MATCH(ROUND(MIN(300,MAX(1,D1022)),0), FactorTable!$A$2:$A$301,0), Skills!M21+1)</f>
        <v/>
      </c>
      <c r="F1022">
        <f>IF(Skills!N21=TRUE,(Skills!L21/10)*(E1022/1000),Skills!L21/10)+Skills!O21</f>
        <v/>
      </c>
      <c r="G1022">
        <f>Skills!G21*IF(Skills!H21&gt;0,Skills!I21/Skills!H21,1)</f>
        <v/>
      </c>
      <c r="H1022">
        <f>1-(1-Skills!J21/100)^Skills!K21</f>
        <v/>
      </c>
      <c r="I1022" t="inlineStr">
        <is>
          <t>1</t>
        </is>
      </c>
      <c r="J1022" t="inlineStr"/>
      <c r="K1022" t="inlineStr"/>
      <c r="L1022" t="inlineStr"/>
      <c r="M1022" t="inlineStr"/>
      <c r="N1022" t="inlineStr"/>
      <c r="O1022" t="n">
        <v>0</v>
      </c>
      <c r="P1022">
        <f>IF(B1042=0,0,O1022/B1042)</f>
        <v/>
      </c>
      <c r="Q1022" t="n">
        <v>0</v>
      </c>
      <c r="R1022" t="n">
        <v>0</v>
      </c>
      <c r="S1022">
        <f>IFERROR(O1022/N1022,0)</f>
        <v/>
      </c>
    </row>
    <row r="1023">
      <c r="A1023">
        <f>Skills!A22</f>
        <v/>
      </c>
      <c r="B1023">
        <f>Skills!B22</f>
        <v/>
      </c>
      <c r="C1023">
        <f>Inputs!$B$3&gt;=33</f>
        <v/>
      </c>
      <c r="D1023">
        <f>IF(Skills!C22=1,60+Inputs!$B$25+Inputs!$B$29,IF(Skills!C22=2,90+Inputs!$B$26+Inputs!$B$29,IF(Skills!C22=3,120+Inputs!$B$27+Inputs!$B$29,MAX(0,(Inputs!$B$3-100)*3)+Inputs!$B$28+Inputs!$B$29)))</f>
        <v/>
      </c>
      <c r="E1023">
        <f>INDEX(FactorTable!$B$2:$Y$301, MATCH(ROUND(MIN(300,MAX(1,D1023)),0), FactorTable!$A$2:$A$301,0), Skills!M22+1)</f>
        <v/>
      </c>
      <c r="F1023">
        <f>IF(Skills!N22=TRUE,(Skills!L22/10)*(E1023/1000),Skills!L22/10)+Skills!O22</f>
        <v/>
      </c>
      <c r="G1023">
        <f>Skills!G22*IF(Skills!H22&gt;0,Skills!I22/Skills!H22,1)</f>
        <v/>
      </c>
      <c r="H1023">
        <f>1-(1-Skills!J22/100)^Skills!K22</f>
        <v/>
      </c>
      <c r="I1023" t="inlineStr">
        <is>
          <t>1</t>
        </is>
      </c>
      <c r="J1023" t="inlineStr"/>
      <c r="K1023" t="inlineStr"/>
      <c r="L1023" t="inlineStr"/>
      <c r="M1023" t="inlineStr"/>
      <c r="N1023" t="inlineStr"/>
      <c r="O1023" t="n">
        <v>0</v>
      </c>
      <c r="P1023">
        <f>IF(B1042=0,0,O1023/B1042)</f>
        <v/>
      </c>
      <c r="Q1023" t="n">
        <v>0</v>
      </c>
      <c r="R1023" t="n">
        <v>0</v>
      </c>
      <c r="S1023">
        <f>IFERROR(O1023/N1023,0)</f>
        <v/>
      </c>
    </row>
    <row r="1024">
      <c r="A1024">
        <f>Skills!A23</f>
        <v/>
      </c>
      <c r="B1024">
        <f>Skills!B23</f>
        <v/>
      </c>
      <c r="C1024">
        <f>Inputs!$B$3&gt;=38</f>
        <v/>
      </c>
      <c r="D1024">
        <f>IF(Skills!C23=1,60+Inputs!$B$25+Inputs!$B$29,IF(Skills!C23=2,90+Inputs!$B$26+Inputs!$B$29,IF(Skills!C23=3,120+Inputs!$B$27+Inputs!$B$29,MAX(0,(Inputs!$B$3-100)*3)+Inputs!$B$28+Inputs!$B$29)))</f>
        <v/>
      </c>
      <c r="E1024">
        <f>INDEX(FactorTable!$B$2:$Y$301, MATCH(ROUND(MIN(300,MAX(1,D1024)),0), FactorTable!$A$2:$A$301,0), Skills!M23+1)</f>
        <v/>
      </c>
      <c r="F1024">
        <f>IF(Skills!N23=TRUE,(Skills!L23/10)*(E1024/1000),Skills!L23/10)+Skills!O23</f>
        <v/>
      </c>
      <c r="G1024">
        <f>Skills!G23*IF(Skills!H23&gt;0,Skills!I23/Skills!H23,1)</f>
        <v/>
      </c>
      <c r="H1024">
        <f>1-(1-Skills!J23/100)^Skills!K23</f>
        <v/>
      </c>
      <c r="I1024" t="inlineStr">
        <is>
          <t>1</t>
        </is>
      </c>
      <c r="J1024" t="inlineStr"/>
      <c r="K1024" t="inlineStr"/>
      <c r="L1024" t="inlineStr"/>
      <c r="M1024" t="inlineStr"/>
      <c r="N1024" t="inlineStr"/>
      <c r="O1024" t="n">
        <v>0</v>
      </c>
      <c r="P1024">
        <f>IF(B1042=0,0,O1024/B1042)</f>
        <v/>
      </c>
      <c r="Q1024" t="n">
        <v>0</v>
      </c>
      <c r="R1024" t="n">
        <v>0</v>
      </c>
      <c r="S1024">
        <f>IFERROR(O1024/N1024,0)</f>
        <v/>
      </c>
    </row>
    <row r="1025">
      <c r="A1025">
        <f>Skills!A24</f>
        <v/>
      </c>
      <c r="B1025">
        <f>Skills!B24</f>
        <v/>
      </c>
      <c r="C1025">
        <f>Inputs!$B$3&gt;=43</f>
        <v/>
      </c>
      <c r="D1025">
        <f>IF(Skills!C24=1,60+Inputs!$B$25+Inputs!$B$29,IF(Skills!C24=2,90+Inputs!$B$26+Inputs!$B$29,IF(Skills!C24=3,120+Inputs!$B$27+Inputs!$B$29,MAX(0,(Inputs!$B$3-100)*3)+Inputs!$B$28+Inputs!$B$29)))</f>
        <v/>
      </c>
      <c r="E1025">
        <f>INDEX(FactorTable!$B$2:$Y$301, MATCH(ROUND(MIN(300,MAX(1,D1025)),0), FactorTable!$A$2:$A$301,0), Skills!M24+1)</f>
        <v/>
      </c>
      <c r="F1025">
        <f>IF(Skills!N24=TRUE,(Skills!L24/10)*(E1025/1000),Skills!L24/10)+Skills!O24</f>
        <v/>
      </c>
      <c r="G1025">
        <f>Skills!G24*IF(Skills!H24&gt;0,Skills!I24/Skills!H24,1)</f>
        <v/>
      </c>
      <c r="H1025">
        <f>1-(1-Skills!J24/100)^Skills!K24</f>
        <v/>
      </c>
      <c r="I1025" t="inlineStr">
        <is>
          <t>1</t>
        </is>
      </c>
      <c r="J1025" t="inlineStr"/>
      <c r="K1025" t="inlineStr"/>
      <c r="L1025" t="inlineStr"/>
      <c r="M1025" t="inlineStr"/>
      <c r="N1025" t="inlineStr"/>
      <c r="O1025" t="n">
        <v>0</v>
      </c>
      <c r="P1025">
        <f>IF(B1042=0,0,O1025/B1042)</f>
        <v/>
      </c>
      <c r="Q1025" t="n">
        <v>0</v>
      </c>
      <c r="R1025" t="n">
        <v>0</v>
      </c>
      <c r="S1025">
        <f>IFERROR(O1025/N1025,0)</f>
        <v/>
      </c>
    </row>
    <row r="1026">
      <c r="A1026">
        <f>Skills!A25</f>
        <v/>
      </c>
      <c r="B1026">
        <f>Skills!B25</f>
        <v/>
      </c>
      <c r="C1026">
        <f>Inputs!$B$3&gt;=75</f>
        <v/>
      </c>
      <c r="D1026">
        <f>IF(Skills!C25=1,60+Inputs!$B$25+Inputs!$B$29,IF(Skills!C25=2,90+Inputs!$B$26+Inputs!$B$29,IF(Skills!C25=3,120+Inputs!$B$27+Inputs!$B$29,MAX(0,(Inputs!$B$3-100)*3)+Inputs!$B$28+Inputs!$B$29)))</f>
        <v/>
      </c>
      <c r="E1026">
        <f>INDEX(FactorTable!$B$2:$Y$301, MATCH(ROUND(MIN(300,MAX(1,D1026)),0), FactorTable!$A$2:$A$301,0), Skills!M25+1)</f>
        <v/>
      </c>
      <c r="F1026">
        <f>IF(Skills!N25=TRUE,(Skills!L25/10)*(E1026/1000),Skills!L25/10)+Skills!O25</f>
        <v/>
      </c>
      <c r="G1026">
        <f>Skills!G25*IF(Skills!H25&gt;0,Skills!I25/Skills!H25,1)</f>
        <v/>
      </c>
      <c r="H1026">
        <f>1-(1-Skills!J25/100)^Skills!K25</f>
        <v/>
      </c>
      <c r="I1026" t="inlineStr">
        <is>
          <t>1</t>
        </is>
      </c>
      <c r="J1026" t="inlineStr"/>
      <c r="K1026" t="inlineStr"/>
      <c r="L1026" t="inlineStr"/>
      <c r="M1026" t="inlineStr"/>
      <c r="N1026" t="inlineStr"/>
      <c r="O1026" t="n">
        <v>0</v>
      </c>
      <c r="P1026">
        <f>IF(B1042=0,0,O1026/B1042)</f>
        <v/>
      </c>
      <c r="Q1026" t="n">
        <v>0</v>
      </c>
      <c r="R1026" t="n">
        <v>0</v>
      </c>
      <c r="S1026">
        <f>IFERROR(O1026/N1026,0)</f>
        <v/>
      </c>
    </row>
    <row r="1027">
      <c r="A1027">
        <f>Skills!A26</f>
        <v/>
      </c>
      <c r="B1027">
        <f>Skills!B26</f>
        <v/>
      </c>
      <c r="C1027">
        <f>Inputs!$B$3&gt;=125</f>
        <v/>
      </c>
      <c r="D1027">
        <f>IF(Skills!C26=1,60+Inputs!$B$25+Inputs!$B$29,IF(Skills!C26=2,90+Inputs!$B$26+Inputs!$B$29,IF(Skills!C26=3,120+Inputs!$B$27+Inputs!$B$29,MAX(0,(Inputs!$B$3-100)*3)+Inputs!$B$28+Inputs!$B$29)))</f>
        <v/>
      </c>
      <c r="E1027">
        <f>INDEX(FactorTable!$B$2:$Y$301, MATCH(ROUND(MIN(300,MAX(1,D1027)),0), FactorTable!$A$2:$A$301,0), Skills!M26+1)</f>
        <v/>
      </c>
      <c r="F1027">
        <f>IF(Skills!N26=TRUE,(Skills!L26/10)*(E1027/1000),Skills!L26/10)+Skills!O26</f>
        <v/>
      </c>
      <c r="G1027">
        <f>Skills!G26*IF(Skills!H26&gt;0,Skills!I26/Skills!H26,1)</f>
        <v/>
      </c>
      <c r="H1027">
        <f>1-(1-Skills!J26/100)^Skills!K26</f>
        <v/>
      </c>
      <c r="I1027" t="inlineStr">
        <is>
          <t>1</t>
        </is>
      </c>
      <c r="J1027" t="inlineStr"/>
      <c r="K1027" t="inlineStr"/>
      <c r="L1027" t="inlineStr"/>
      <c r="M1027" t="inlineStr"/>
      <c r="N1027" t="inlineStr"/>
      <c r="O1027" t="n">
        <v>0</v>
      </c>
      <c r="P1027">
        <f>IF(B1042=0,0,O1027/B1042)</f>
        <v/>
      </c>
      <c r="Q1027" t="n">
        <v>0</v>
      </c>
      <c r="R1027" t="n">
        <v>0</v>
      </c>
      <c r="S1027">
        <f>IFERROR(O1027/N1027,0)</f>
        <v/>
      </c>
    </row>
    <row r="1028">
      <c r="A1028">
        <f>Skills!A27</f>
        <v/>
      </c>
      <c r="B1028">
        <f>Skills!B27</f>
        <v/>
      </c>
      <c r="C1028">
        <f>Inputs!$B$3&gt;=125</f>
        <v/>
      </c>
      <c r="D1028">
        <f>IF(Skills!C27=1,60+Inputs!$B$25+Inputs!$B$29,IF(Skills!C27=2,90+Inputs!$B$26+Inputs!$B$29,IF(Skills!C27=3,120+Inputs!$B$27+Inputs!$B$29,MAX(0,(Inputs!$B$3-100)*3)+Inputs!$B$28+Inputs!$B$29)))</f>
        <v/>
      </c>
      <c r="E1028">
        <f>INDEX(FactorTable!$B$2:$Y$301, MATCH(ROUND(MIN(300,MAX(1,D1028)),0), FactorTable!$A$2:$A$301,0), Skills!M27+1)</f>
        <v/>
      </c>
      <c r="F1028">
        <f>IF(Skills!N27=TRUE,(Skills!L27/10)*(E1028/1000),Skills!L27/10)+Skills!O27</f>
        <v/>
      </c>
      <c r="G1028">
        <f>Skills!G27*IF(Skills!H27&gt;0,Skills!I27/Skills!H27,1)</f>
        <v/>
      </c>
      <c r="H1028">
        <f>1-(1-Skills!J27/100)^Skills!K27</f>
        <v/>
      </c>
      <c r="I1028" t="inlineStr">
        <is>
          <t>1</t>
        </is>
      </c>
      <c r="J1028" t="inlineStr"/>
      <c r="K1028" t="inlineStr"/>
      <c r="L1028" t="inlineStr"/>
      <c r="M1028" t="inlineStr"/>
      <c r="N1028" t="inlineStr"/>
      <c r="O1028" t="n">
        <v>0</v>
      </c>
      <c r="P1028">
        <f>IF(B1042=0,0,O1028/B1042)</f>
        <v/>
      </c>
      <c r="Q1028" t="n">
        <v>0</v>
      </c>
      <c r="R1028" t="n">
        <v>0</v>
      </c>
      <c r="S1028">
        <f>IFERROR(O1028/N1028,0)</f>
        <v/>
      </c>
    </row>
    <row r="1029">
      <c r="A1029">
        <f>Skills!A28</f>
        <v/>
      </c>
      <c r="B1029">
        <f>Skills!B28</f>
        <v/>
      </c>
      <c r="C1029">
        <f>Inputs!$B$3&gt;=120</f>
        <v/>
      </c>
      <c r="D1029">
        <f>IF(Skills!C28=1,60+Inputs!$B$25+Inputs!$B$29,IF(Skills!C28=2,90+Inputs!$B$26+Inputs!$B$29,IF(Skills!C28=3,120+Inputs!$B$27+Inputs!$B$29,MAX(0,(Inputs!$B$3-100)*3)+Inputs!$B$28+Inputs!$B$29)))</f>
        <v/>
      </c>
      <c r="E1029">
        <f>INDEX(FactorTable!$B$2:$Y$301, MATCH(ROUND(MIN(300,MAX(1,D1029)),0), FactorTable!$A$2:$A$301,0), Skills!M28+1)</f>
        <v/>
      </c>
      <c r="F1029">
        <f>IF(Skills!N28=TRUE,(Skills!L28/10)*(E1029/1000),Skills!L28/10)+Skills!O28</f>
        <v/>
      </c>
      <c r="G1029">
        <f>Skills!G28*IF(Skills!H28&gt;0,Skills!I28/Skills!H28,1)</f>
        <v/>
      </c>
      <c r="H1029">
        <f>1-(1-Skills!J28/100)^Skills!K28</f>
        <v/>
      </c>
      <c r="I1029" t="inlineStr">
        <is>
          <t>1</t>
        </is>
      </c>
      <c r="J1029" t="inlineStr"/>
      <c r="K1029" t="inlineStr"/>
      <c r="L1029" t="inlineStr"/>
      <c r="M1029" t="inlineStr"/>
      <c r="N1029" t="inlineStr"/>
      <c r="O1029" t="n">
        <v>0</v>
      </c>
      <c r="P1029">
        <f>IF(B1042=0,0,O1029/B1042)</f>
        <v/>
      </c>
      <c r="Q1029" t="n">
        <v>0</v>
      </c>
      <c r="R1029" t="n">
        <v>0</v>
      </c>
      <c r="S1029">
        <f>IFERROR(O1029/N1029,0)</f>
        <v/>
      </c>
    </row>
    <row r="1030">
      <c r="A1030">
        <f>Skills!A29</f>
        <v/>
      </c>
      <c r="B1030">
        <f>Skills!B29</f>
        <v/>
      </c>
      <c r="C1030">
        <f>Inputs!$B$3&gt;=120</f>
        <v/>
      </c>
      <c r="D1030">
        <f>IF(Skills!C29=1,60+Inputs!$B$25+Inputs!$B$29,IF(Skills!C29=2,90+Inputs!$B$26+Inputs!$B$29,IF(Skills!C29=3,120+Inputs!$B$27+Inputs!$B$29,MAX(0,(Inputs!$B$3-100)*3)+Inputs!$B$28+Inputs!$B$29)))</f>
        <v/>
      </c>
      <c r="E1030">
        <f>INDEX(FactorTable!$B$2:$Y$301, MATCH(ROUND(MIN(300,MAX(1,D1030)),0), FactorTable!$A$2:$A$301,0), Skills!M29+1)</f>
        <v/>
      </c>
      <c r="F1030">
        <f>IF(Skills!N29=TRUE,(Skills!L29/10)*(E1030/1000),Skills!L29/10)+Skills!O29</f>
        <v/>
      </c>
      <c r="G1030">
        <f>Skills!G29*IF(Skills!H29&gt;0,Skills!I29/Skills!H29,1)</f>
        <v/>
      </c>
      <c r="H1030">
        <f>1-(1-Skills!J29/100)^Skills!K29</f>
        <v/>
      </c>
      <c r="I1030" t="inlineStr">
        <is>
          <t>1</t>
        </is>
      </c>
      <c r="J1030" t="inlineStr"/>
      <c r="K1030" t="inlineStr"/>
      <c r="L1030" t="inlineStr"/>
      <c r="M1030" t="inlineStr"/>
      <c r="N1030" t="inlineStr"/>
      <c r="O1030" t="n">
        <v>0</v>
      </c>
      <c r="P1030">
        <f>IF(B1042=0,0,O1030/B1042)</f>
        <v/>
      </c>
      <c r="Q1030" t="n">
        <v>0</v>
      </c>
      <c r="R1030" t="n">
        <v>0</v>
      </c>
      <c r="S1030">
        <f>IFERROR(O1030/N1030,0)</f>
        <v/>
      </c>
    </row>
    <row r="1031">
      <c r="A1031">
        <f>Skills!A30</f>
        <v/>
      </c>
      <c r="B1031">
        <f>Skills!B30</f>
        <v/>
      </c>
      <c r="C1031">
        <f>Inputs!$B$3&gt;=45</f>
        <v/>
      </c>
      <c r="D1031">
        <f>IF(Skills!C30=1,60+Inputs!$B$25+Inputs!$B$29,IF(Skills!C30=2,90+Inputs!$B$26+Inputs!$B$29,IF(Skills!C30=3,120+Inputs!$B$27+Inputs!$B$29,MAX(0,(Inputs!$B$3-100)*3)+Inputs!$B$28+Inputs!$B$29)))</f>
        <v/>
      </c>
      <c r="E1031">
        <f>INDEX(FactorTable!$B$2:$Y$301, MATCH(ROUND(MIN(300,MAX(1,D1031)),0), FactorTable!$A$2:$A$301,0), Skills!M30+1)</f>
        <v/>
      </c>
      <c r="F1031">
        <f>IF(Skills!N30=TRUE,(Skills!L30/10)*(E1031/1000),Skills!L30/10)+Skills!O30</f>
        <v/>
      </c>
      <c r="G1031">
        <f>Skills!G30*IF(Skills!H30&gt;0,Skills!I30/Skills!H30,1)</f>
        <v/>
      </c>
      <c r="H1031">
        <f>1-(1-Skills!J30/100)^Skills!K30</f>
        <v/>
      </c>
      <c r="I1031" t="inlineStr">
        <is>
          <t>1</t>
        </is>
      </c>
      <c r="J1031" t="inlineStr"/>
      <c r="K1031" t="inlineStr"/>
      <c r="L1031" t="inlineStr"/>
      <c r="M1031" t="inlineStr"/>
      <c r="N1031" t="inlineStr"/>
      <c r="O1031" t="n">
        <v>0</v>
      </c>
      <c r="P1031">
        <f>IF(B1042=0,0,O1031/B1042)</f>
        <v/>
      </c>
      <c r="Q1031" t="n">
        <v>0</v>
      </c>
      <c r="R1031" t="n">
        <v>0</v>
      </c>
      <c r="S1031">
        <f>IFERROR(O1031/N1031,0)</f>
        <v/>
      </c>
    </row>
    <row r="1033">
      <c r="A1033" t="inlineStr">
        <is>
          <t>Attack% Bucket Multiplier</t>
        </is>
      </c>
      <c r="B1033">
        <f>(1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f>
        <v/>
      </c>
    </row>
    <row r="1034">
      <c r="A1034" t="inlineStr">
        <is>
          <t>Global Crit Rate Bonus %</t>
        </is>
      </c>
      <c r="B1034">
        <f>(C1017=TRUE)*20*IF(AND(Inputs!$B$38&lt;&gt;"pvp",Inputs!$B$43&gt;0),(((R1017-1)*(Skills!T16*(1+Inputs!$B$34/100))+MIN((Skills!T16*(1+Inputs!$B$34/100)),MAX(0,Inputs!$B$43-((R1017-1)*Skills!D16))))/Inputs!$B$43),IF(Inputs!$B$38="pvp",MIN((Skills!T16*(1+Inputs!$B$34/100)),15)/15,(Skills!T16*(1+Inputs!$B$34/100))/Skills!D16))</f>
        <v/>
      </c>
    </row>
    <row r="1035">
      <c r="A1035" t="inlineStr">
        <is>
          <t>Attack Speed Buff Bonus %</t>
        </is>
      </c>
      <c r="B1035">
        <f>((C1020=TRUE)*F1020*IF(AND(Inputs!$B$38&lt;&gt;"pvp",Inputs!$B$43&gt;0),(((R1020-1)*(Skills!T19*(1+Inputs!$B$34/100))+MIN((Skills!T19*(1+Inputs!$B$34/100)),MAX(0,Inputs!$B$43-((R1020-1)*Skills!D19))))/Inputs!$B$43),IF(Inputs!$B$38="pvp",MIN((Skills!T19*(1+Inputs!$B$34/100)),15)/15,(Skills!T19*(1+Inputs!$B$34/100))/Skills!D19)))</f>
        <v/>
      </c>
    </row>
    <row r="1036">
      <c r="A1036" t="inlineStr">
        <is>
          <t>Actions Per Second</t>
        </is>
      </c>
      <c r="B1036">
        <f>1+MIN(150,150*(1-(1-(Inputs!$B$11+((C1022=TRUE)*(F1022-Calc!F21))+((C1023=TRUE)*(F1023-Calc!F22)))/150)*(1-B1035/150)))/100</f>
        <v/>
      </c>
    </row>
    <row r="1037">
      <c r="A1037" t="inlineStr">
        <is>
          <t>Skill + Buff Cast Rate</t>
        </is>
      </c>
      <c r="B1037">
        <f>IF(AND(Inputs!$B$38&lt;&gt;"pvp",Inputs!$B$43&gt;0),SUMPRODUCT((Skills!E2:E30=TRUE)*(C1003:C1031=TRUE)*R1003:R1031*Skills!F2:F30)/Inputs!$B$43,SUMPRODUCT((Skills!E2:E30=TRUE)*(C1003:C1031=TRUE)*Q1003:Q1031*Skills!F2:F30))</f>
        <v/>
      </c>
    </row>
    <row r="1038">
      <c r="A1038" t="inlineStr">
        <is>
          <t>Arrow Stream Casts Per Second</t>
        </is>
      </c>
      <c r="B1038">
        <f>MAX(0,B1036-B1037)</f>
        <v/>
      </c>
    </row>
    <row r="1039">
      <c r="A1039" t="inlineStr">
        <is>
          <t>Global Critical Damage Bonus % (Sharp Eyes + Concentration)</t>
        </is>
      </c>
      <c r="B1039">
        <f>(C1017=TRUE)*F1017*IF(AND(Inputs!$B$38&lt;&gt;"pvp",Inputs!$B$43&gt;0),(((R1017-1)*(Skills!T16*(1+Inputs!$B$34/100))+MIN((Skills!T16*(1+Inputs!$B$34/100)),MAX(0,Inputs!$B$43-((R1017-1)*Skills!D16))))/Inputs!$B$43),IF(Inputs!$B$38="pvp",MIN((Skills!T16*(1+Inputs!$B$34/100)),15)/15,(Skills!T16*(1+Inputs!$B$34/100))/Skills!D16))+(C1018=TRUE)*30</f>
        <v/>
      </c>
    </row>
    <row r="1040">
      <c r="A1040" t="inlineStr">
        <is>
          <t>Global Final Damage Bonus % (Mortal Blow)</t>
        </is>
      </c>
      <c r="B1040">
        <f>(C1019=TRUE)*F1019</f>
        <v/>
      </c>
    </row>
    <row r="1041">
      <c r="A1041" t="inlineStr">
        <is>
          <t>Buff-Casting Startup Delay (s, fixed-duration only)</t>
        </is>
      </c>
      <c r="B1041">
        <f>IF(AND(Inputs!$B$38&lt;&gt;"pvp",Inputs!$B$43&gt;0),SUMPRODUCT((Skills!T2:T30&gt;0)*(Skills!E2:E30=TRUE)*(C1003:C1031=TRUE))/B1036,0)</f>
        <v/>
      </c>
    </row>
    <row r="1042">
      <c r="A1042" s="5" t="inlineStr">
        <is>
          <t>TOTAL DPS</t>
        </is>
      </c>
      <c r="B1042" s="5">
        <f>SUM(O1003:O1031)</f>
        <v/>
      </c>
    </row>
    <row r="1045">
      <c r="A1045" s="5" t="inlineStr">
        <is>
          <t>Stat: Skill Cooldown Decrease (seconds)</t>
        </is>
      </c>
    </row>
    <row r="1046">
      <c r="A1046" s="9" t="inlineStr">
        <is>
          <t>Key</t>
        </is>
      </c>
      <c r="B1046" s="9" t="inlineStr">
        <is>
          <t>Name</t>
        </is>
      </c>
      <c r="C1046" s="9" t="inlineStr">
        <is>
          <t>Unlocked</t>
        </is>
      </c>
      <c r="D1046" s="9" t="inlineStr">
        <is>
          <t>InputLevel</t>
        </is>
      </c>
      <c r="E1046" s="9" t="inlineStr">
        <is>
          <t>Factor</t>
        </is>
      </c>
      <c r="F1046" s="9" t="inlineStr">
        <is>
          <t>CoefficientPercent</t>
        </is>
      </c>
      <c r="G1046" s="9" t="inlineStr">
        <is>
          <t>EffectiveHits</t>
        </is>
      </c>
      <c r="H1046" s="9" t="inlineStr">
        <is>
          <t>ProcProbability</t>
        </is>
      </c>
      <c r="I1046" s="9" t="inlineStr">
        <is>
          <t>MapleHeroMultiplier</t>
        </is>
      </c>
      <c r="J1046" s="9" t="inlineStr">
        <is>
          <t>BaseDamage</t>
        </is>
      </c>
      <c r="K1046" s="9" t="inlineStr">
        <is>
          <t>BaseHitDamage</t>
        </is>
      </c>
      <c r="L1046" s="9" t="inlineStr">
        <is>
          <t>NonCritAvg</t>
        </is>
      </c>
      <c r="M1046" s="9" t="inlineStr">
        <is>
          <t>CritAvg</t>
        </is>
      </c>
      <c r="N1046" s="9" t="inlineStr">
        <is>
          <t>ExpectedDamage(perHit)</t>
        </is>
      </c>
      <c r="O1046" s="9" t="inlineStr">
        <is>
          <t>DPS</t>
        </is>
      </c>
      <c r="P1046" s="9" t="inlineStr">
        <is>
          <t>% of Total</t>
        </is>
      </c>
      <c r="Q1046" s="9" t="inlineStr">
        <is>
          <t>InvCooldown</t>
        </is>
      </c>
      <c r="R1046" s="9" t="inlineStr">
        <is>
          <t>CastsInFight</t>
        </is>
      </c>
      <c r="S1046" s="9" t="inlineStr">
        <is>
          <t>HitRate(perSec)</t>
        </is>
      </c>
      <c r="U1046" t="inlineStr">
        <is>
          <t>helpers</t>
        </is>
      </c>
    </row>
    <row r="1047">
      <c r="A1047">
        <f>Skills!A2</f>
        <v/>
      </c>
      <c r="B1047">
        <f>Skills!B2</f>
        <v/>
      </c>
      <c r="C1047">
        <f>Inputs!$B$3&gt;=100</f>
        <v/>
      </c>
      <c r="D1047" t="inlineStr"/>
      <c r="E1047" t="inlineStr"/>
      <c r="F1047">
        <f>U1049+Skills!O2</f>
        <v/>
      </c>
      <c r="G1047">
        <f>Skills!G2*IF(Skills!H2&gt;0,Skills!I2/Skills!H2,1)</f>
        <v/>
      </c>
      <c r="H1047">
        <f>1-(1-Skills!J2/100)^Skills!K2</f>
        <v/>
      </c>
      <c r="I1047" t="inlineStr">
        <is>
          <t>1</t>
        </is>
      </c>
      <c r="J1047">
        <f>((Inputs!$B$6*(1+Inputs!$B$7/100))+(((Inputs!$B$12*(1+Inputs!$B$13/100))-(Inputs!$B$12*(1+Inputs!$B$13/100)))+0.25*(Inputs!$B$14-Inputs!$B$14))*(1+Inputs!$B$7/100))*(F1047/100)</f>
        <v/>
      </c>
      <c r="K1047">
        <f>J1047*(1+((Inputs!$B$12*(1+Inputs!$B$13/100))*0.01+Inputs!$B$14*0.0025)/100)*(1+Inputs!$B$15/100)*(1+IF(Inputs!$B$38="pvp",0,(1-Summary!$B$55)*(Inputs!$B$20+0+Skills!P2)+Summary!$B$55*(Inputs!$B$21+Skills!Q2))/100)*(1+Inputs!$B$16/100)*(5000/(6000+Inputs!$B$42*(1-(Inputs!$B$19+((C1072=TRUE)*(F1072-Calc!F27)))/100)))*(1+(Inputs!$B$24+((C1070=TRUE)*(F1070-Calc!F25))+((C1071=TRUE)*(F1071-Calc!F26))+B1084)/100)*(1+(IF(Skills!A2="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1047)</f>
        <v/>
      </c>
      <c r="L1047">
        <f>K1047*(MIN(Inputs!$B$22+((C1069=TRUE)*(F1069-Calc!F24)),Inputs!$B$23+((C1074=TRUE)*(F1074-Calc!F29)))/100+(Inputs!$B$23+((C1074=TRUE)*(F1074-Calc!F29)))/100)/2</f>
        <v/>
      </c>
      <c r="M1047">
        <f>L1047*(1+(Inputs!$B$10+0+B1083)/100)</f>
        <v/>
      </c>
      <c r="N1047">
        <f>L1047*(1-MIN((Inputs!$B$9+((C1065=TRUE)*(F1065-Calc!F20))+B1078),100)/100)+M1047*(MIN((Inputs!$B$9+((C1065=TRUE)*(F1065-Calc!F20))+B1078),100)/100)</f>
        <v/>
      </c>
      <c r="O1047">
        <f>IF(C1047,Skills!G2*N1047*B1082*IF(Inputs!$B$38="pvp",1,(1-Summary!$B$55)*(1)+Summary!$B$55*(MIN((6+Inputs!$B$33),Inputs!$B$37))),0)</f>
        <v/>
      </c>
      <c r="P1047">
        <f>IF(B1086=0,0,O1047/B1086)</f>
        <v/>
      </c>
      <c r="Q1047" t="n">
        <v>0</v>
      </c>
      <c r="R1047" t="n">
        <v>0</v>
      </c>
      <c r="S1047">
        <f>IFERROR(O1047/N1047,0)</f>
        <v/>
      </c>
      <c r="U1047">
        <f>MAX(0,(Inputs!$B$3-100)*3)+Inputs!$B$28+Inputs!$B$29</f>
        <v/>
      </c>
    </row>
    <row r="1048">
      <c r="A1048">
        <f>Skills!A3</f>
        <v/>
      </c>
      <c r="B1048">
        <f>Skills!B3</f>
        <v/>
      </c>
      <c r="C1048">
        <f>Inputs!$B$3&gt;=50</f>
        <v/>
      </c>
      <c r="D1048">
        <f>IF(Skills!C3=1,60+Inputs!$B$25+Inputs!$B$29,IF(Skills!C3=2,90+Inputs!$B$26+Inputs!$B$29,IF(Skills!C3=3,120+Inputs!$B$27+Inputs!$B$29,MAX(0,(Inputs!$B$3-100)*3)+Inputs!$B$28+Inputs!$B$29)))</f>
        <v/>
      </c>
      <c r="E1048">
        <f>INDEX(FactorTable!$B$2:$Y$301, MATCH(ROUND(MIN(300,MAX(1,D1048)),0), FactorTable!$A$2:$A$301,0), Skills!M3+1)</f>
        <v/>
      </c>
      <c r="F1048">
        <f>IF(Skills!N3=TRUE,(Skills!L3/10)*(E1048/1000),Skills!L3/10)+Skills!O3</f>
        <v/>
      </c>
      <c r="G1048" t="inlineStr"/>
      <c r="H1048" t="inlineStr"/>
      <c r="I1048" t="inlineStr">
        <is>
          <t>1</t>
        </is>
      </c>
      <c r="J1048" t="inlineStr"/>
      <c r="K1048" t="inlineStr"/>
      <c r="L1048" t="inlineStr"/>
      <c r="M1048" t="inlineStr"/>
      <c r="N1048" t="inlineStr"/>
      <c r="O1048" t="inlineStr"/>
      <c r="P1048" t="inlineStr"/>
      <c r="Q1048" t="inlineStr"/>
      <c r="R1048" t="inlineStr"/>
      <c r="S1048" t="inlineStr"/>
      <c r="U1048">
        <f>INDEX(FactorTable!$B$2:$Y$301, MATCH(ROUND(MIN(300,MAX(1,U1047)),0), FactorTable!$A$2:$A$301,0), 22)</f>
        <v/>
      </c>
    </row>
    <row r="1049">
      <c r="A1049">
        <f>Skills!A4</f>
        <v/>
      </c>
      <c r="B1049">
        <f>Skills!B4</f>
        <v/>
      </c>
      <c r="C1049">
        <f>Inputs!$B$3&gt;=105</f>
        <v/>
      </c>
      <c r="D1049">
        <f>IF(Skills!C4=1,60+Inputs!$B$25+Inputs!$B$29,IF(Skills!C4=2,90+Inputs!$B$26+Inputs!$B$29,IF(Skills!C4=3,120+Inputs!$B$27+Inputs!$B$29,MAX(0,(Inputs!$B$3-100)*3)+Inputs!$B$28+Inputs!$B$29)))</f>
        <v/>
      </c>
      <c r="E1049">
        <f>INDEX(FactorTable!$B$2:$Y$301, MATCH(ROUND(MIN(300,MAX(1,D1049)),0), FactorTable!$A$2:$A$301,0), Skills!M4+1)</f>
        <v/>
      </c>
      <c r="F1049">
        <f>IF(Skills!N4=TRUE,(Skills!L4/10)*(E1049/1000),Skills!L4/10)+Skills!O4</f>
        <v/>
      </c>
      <c r="G1049" t="inlineStr"/>
      <c r="H1049" t="inlineStr"/>
      <c r="I1049" t="inlineStr">
        <is>
          <t>1</t>
        </is>
      </c>
      <c r="J1049" t="inlineStr"/>
      <c r="K1049" t="inlineStr"/>
      <c r="L1049" t="inlineStr"/>
      <c r="M1049" t="inlineStr"/>
      <c r="N1049" t="inlineStr"/>
      <c r="O1049" t="inlineStr"/>
      <c r="P1049" t="inlineStr"/>
      <c r="Q1049" t="inlineStr"/>
      <c r="R1049" t="inlineStr"/>
      <c r="S1049" t="inlineStr"/>
      <c r="U1049">
        <f>290*U1048/1000</f>
        <v/>
      </c>
    </row>
    <row r="1050">
      <c r="A1050">
        <f>Skills!A5</f>
        <v/>
      </c>
      <c r="B1050">
        <f>Skills!B5</f>
        <v/>
      </c>
      <c r="C1050">
        <f>Inputs!$B$3&gt;=35</f>
        <v/>
      </c>
      <c r="D1050">
        <f>IF(Skills!C5=1,60+Inputs!$B$25+Inputs!$B$29,IF(Skills!C5=2,90+Inputs!$B$26+Inputs!$B$29,IF(Skills!C5=3,120+Inputs!$B$27+Inputs!$B$29,MAX(0,(Inputs!$B$3-100)*3)+Inputs!$B$28+Inputs!$B$29)))</f>
        <v/>
      </c>
      <c r="E1050">
        <f>INDEX(FactorTable!$B$2:$Y$301, MATCH(ROUND(MIN(300,MAX(1,D1050)),0), FactorTable!$A$2:$A$301,0), Skills!M5+1)</f>
        <v/>
      </c>
      <c r="F1050">
        <f>IF(Skills!N5=TRUE,(Skills!L5/10)*(E1050/1000),Skills!L5/10)+Skills!O5</f>
        <v/>
      </c>
      <c r="G1050">
        <f>Skills!G5*IF(Skills!H5&gt;0,Skills!I5/Skills!H5,1)</f>
        <v/>
      </c>
      <c r="H1050">
        <f>1-(1-Skills!J5/100)^Skills!K5</f>
        <v/>
      </c>
      <c r="I1050" t="inlineStr">
        <is>
          <t>1</t>
        </is>
      </c>
      <c r="J1050">
        <f>((Inputs!$B$6*(1+Inputs!$B$7/100))+(((Inputs!$B$12*(1+Inputs!$B$13/100))-(Inputs!$B$12*(1+Inputs!$B$13/100)))+0.25*(Inputs!$B$14-Inputs!$B$14))*(1+Inputs!$B$7/100))*(F1050/100)</f>
        <v/>
      </c>
      <c r="K1050">
        <f>J1050*(1+((Inputs!$B$12*(1+Inputs!$B$13/100))*0.01+Inputs!$B$14*0.0025)/100)*(1+Inputs!$B$15/100)*(1+IF(Inputs!$B$38="pvp",0,(1-Summary!$B$55)*(Inputs!$B$20+0+Skills!P5)+Summary!$B$55*(Inputs!$B$21+Skills!Q5))/100)*(1+Inputs!$B$16/100)*(5000/(6000+Inputs!$B$42*(1-(Inputs!$B$19+((C1072=TRUE)*(F1072-Calc!F27)))/100)))*(1+(Inputs!$B$24+((C1070=TRUE)*(F1070-Calc!F25))+((C1071=TRUE)*(F1071-Calc!F26))+B1084)/100)*(1+4.0*IF(C1055=TRUE,F1055,0)/100)*(1+(IF(Skills!A5="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1050)</f>
        <v/>
      </c>
      <c r="L1050">
        <f>K1050*(MIN(Inputs!$B$22+((C1069=TRUE)*(F1069-Calc!F24)),Inputs!$B$23+((C1074=TRUE)*(F1074-Calc!F29)))/100+(Inputs!$B$23+((C1074=TRUE)*(F1074-Calc!F29)))/100)/2</f>
        <v/>
      </c>
      <c r="M1050">
        <f>L1050*(1+(Inputs!$B$10+0+B1083)/100)</f>
        <v/>
      </c>
      <c r="N1050">
        <f>L1050*(1-MIN((Inputs!$B$9+((C1065=TRUE)*(F1065-Calc!F20))+B1078),100)/100)+M1050*(MIN((Inputs!$B$9+((C1065=TRUE)*(F1065-Calc!F20))+B1078),100)/100)</f>
        <v/>
      </c>
      <c r="O1050">
        <f>IF(C1050,H1050*N1050*IF(AND(Inputs!$B$38&lt;&gt;"pvp",Inputs!$B$43&gt;0),((Skills!G5*((R1050-1)*IF(Skills!H5&gt;0,Skills!I5/Skills!H5,1)+IF(Skills!H5&gt;0,MIN(Skills!I5,MAX(0,MAX(0,Inputs!$B$43-B1085)-((R1050-1)*IF(Inputs!$B$38="pvp",15,MAX(0.1,Skills!D5-IF(Skills!E5=TRUE,(Inputs!$B$32+1),0))))))/Skills!H5,1)))/Inputs!$B$43),G1050*Q1050)*IF(Inputs!$B$38="pvp",1,(1-Summary!$B$55)*(1)+Summary!$B$55*(MIN(Skills!R5,Inputs!$B$37))),0)</f>
        <v/>
      </c>
      <c r="P1050">
        <f>IF(B1086=0,0,O1050/B1086)</f>
        <v/>
      </c>
      <c r="Q1050">
        <f>IFERROR(1/IF(Inputs!$B$38="pvp",15,MAX(0.1,Skills!D5-IF(Skills!E5=TRUE,(Inputs!$B$32+1),0))),0)</f>
        <v/>
      </c>
      <c r="R1050">
        <f>IF(AND(Inputs!$B$38&lt;&gt;"pvp",Inputs!$B$43&gt;0),IF(MAX(0,Inputs!$B$43-B1085)&lt;=0,0,(INT(MAX(0,Inputs!$B$43-B1085)/IF(Inputs!$B$38="pvp",15,MAX(0.1,Skills!D5-IF(Skills!E5=TRUE,(Inputs!$B$32+1),0))))+1)),0)</f>
        <v/>
      </c>
      <c r="S1050">
        <f>IFERROR(O1050/N1050,0)</f>
        <v/>
      </c>
    </row>
    <row r="1051">
      <c r="A1051">
        <f>Skills!A6</f>
        <v/>
      </c>
      <c r="B1051">
        <f>Skills!B6</f>
        <v/>
      </c>
      <c r="C1051">
        <f>Inputs!$B$3&gt;=40</f>
        <v/>
      </c>
      <c r="D1051">
        <f>IF(Skills!C6=1,60+Inputs!$B$25+Inputs!$B$29,IF(Skills!C6=2,90+Inputs!$B$26+Inputs!$B$29,IF(Skills!C6=3,120+Inputs!$B$27+Inputs!$B$29,MAX(0,(Inputs!$B$3-100)*3)+Inputs!$B$28+Inputs!$B$29)))</f>
        <v/>
      </c>
      <c r="E1051">
        <f>INDEX(FactorTable!$B$2:$Y$301, MATCH(ROUND(MIN(300,MAX(1,D1051)),0), FactorTable!$A$2:$A$301,0), Skills!M6+1)</f>
        <v/>
      </c>
      <c r="F1051">
        <f>IF(Skills!N6=TRUE,(Skills!L6/10)*(E1051/1000),Skills!L6/10)+Skills!O6</f>
        <v/>
      </c>
      <c r="G1051">
        <f>Skills!G6*IF(Skills!H6&gt;0,Skills!I6/Skills!H6,1)</f>
        <v/>
      </c>
      <c r="H1051">
        <f>1-(1-Skills!J6/100)^Skills!K6</f>
        <v/>
      </c>
      <c r="I1051" t="inlineStr">
        <is>
          <t>1</t>
        </is>
      </c>
      <c r="J1051">
        <f>((Inputs!$B$6*(1+Inputs!$B$7/100))+(((Inputs!$B$12*(1+Inputs!$B$13/100))-(Inputs!$B$12*(1+Inputs!$B$13/100)))+0.25*(Inputs!$B$14-Inputs!$B$14))*(1+Inputs!$B$7/100))*(F1051/100)</f>
        <v/>
      </c>
      <c r="K1051">
        <f>J1051*(1+((Inputs!$B$12*(1+Inputs!$B$13/100))*0.01+Inputs!$B$14*0.0025)/100)*(1+Inputs!$B$15/100)*(1+IF(Inputs!$B$38="pvp",0,(1-Summary!$B$55)*(Inputs!$B$20+0+Skills!P6)+Summary!$B$55*(Inputs!$B$21+Skills!Q6))/100)*(1+Inputs!$B$16/100)*(5000/(6000+Inputs!$B$42*(1-(Inputs!$B$19+((C1072=TRUE)*(F1072-Calc!F27)))/100)))*(1+(Inputs!$B$24+((C1070=TRUE)*(F1070-Calc!F25))+((C1071=TRUE)*(F1071-Calc!F26))+B1084)/100)*(1+IF(C1052=TRUE,F1052,0)/100)*(1+(IF(Skills!A6="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1051)</f>
        <v/>
      </c>
      <c r="L1051">
        <f>K1051*(MIN(Inputs!$B$22+((C1069=TRUE)*(F1069-Calc!F24)),Inputs!$B$23+((C1074=TRUE)*(F1074-Calc!F29)))/100+(Inputs!$B$23+((C1074=TRUE)*(F1074-Calc!F29)))/100)/2</f>
        <v/>
      </c>
      <c r="M1051">
        <f>L1051*(1+(Inputs!$B$10+0+B1083)/100)</f>
        <v/>
      </c>
      <c r="N1051">
        <f>L1051*(1-MIN((Inputs!$B$9+((C1065=TRUE)*(F1065-Calc!F20))+B1078),100)/100)+M1051*(MIN((Inputs!$B$9+((C1065=TRUE)*(F1065-Calc!F20))+B1078),100)/100)</f>
        <v/>
      </c>
      <c r="O1051">
        <f>IF(C1051,H1051*N1051*IF(AND(Inputs!$B$38&lt;&gt;"pvp",Inputs!$B$43&gt;0),((Skills!G6*((R1051-1)*IF(Skills!H6&gt;0,Skills!I6/Skills!H6,1)+IF(Skills!H6&gt;0,MIN(Skills!I6,MAX(0,MAX(0,Inputs!$B$43-B1085)-((R1051-1)*IF(Inputs!$B$38="pvp",15,MAX(0.1,Skills!D6-IF(Skills!E6=TRUE,(Inputs!$B$32+1),0))))))/Skills!H6,1)))/Inputs!$B$43),G1051*Q1051)*IF(Inputs!$B$38="pvp",1,(1-Summary!$B$55)*(1)+Summary!$B$55*(MIN(Skills!R6,Inputs!$B$37))),0)</f>
        <v/>
      </c>
      <c r="P1051">
        <f>IF(B1086=0,0,O1051/B1086)</f>
        <v/>
      </c>
      <c r="Q1051">
        <f>IFERROR(1/IF(Inputs!$B$38="pvp",15,MAX(0.1,Skills!D6-IF(Skills!E6=TRUE,(Inputs!$B$32+1),0))),0)</f>
        <v/>
      </c>
      <c r="R1051">
        <f>IF(AND(Inputs!$B$38&lt;&gt;"pvp",Inputs!$B$43&gt;0),IF(MAX(0,Inputs!$B$43-B1085)&lt;=0,0,(INT(MAX(0,Inputs!$B$43-B1085)/IF(Inputs!$B$38="pvp",15,MAX(0.1,Skills!D6-IF(Skills!E6=TRUE,(Inputs!$B$32+1),0))))+1)),0)</f>
        <v/>
      </c>
      <c r="S1051">
        <f>IFERROR(O1051/N1051,0)</f>
        <v/>
      </c>
    </row>
    <row r="1052">
      <c r="A1052">
        <f>Skills!A7</f>
        <v/>
      </c>
      <c r="B1052">
        <f>Skills!B7</f>
        <v/>
      </c>
      <c r="C1052">
        <f>Inputs!$B$3&gt;=107</f>
        <v/>
      </c>
      <c r="D1052">
        <f>IF(Skills!C7=1,60+Inputs!$B$25+Inputs!$B$29,IF(Skills!C7=2,90+Inputs!$B$26+Inputs!$B$29,IF(Skills!C7=3,120+Inputs!$B$27+Inputs!$B$29,MAX(0,(Inputs!$B$3-100)*3)+Inputs!$B$28+Inputs!$B$29)))</f>
        <v/>
      </c>
      <c r="E1052">
        <f>INDEX(FactorTable!$B$2:$Y$301, MATCH(ROUND(MIN(300,MAX(1,D1052)),0), FactorTable!$A$2:$A$301,0), Skills!M7+1)</f>
        <v/>
      </c>
      <c r="F1052">
        <f>IF(Skills!N7=TRUE,(Skills!L7/10)*(E1052/1000),Skills!L7/10)+Skills!O7</f>
        <v/>
      </c>
      <c r="G1052" t="inlineStr"/>
      <c r="H1052" t="inlineStr"/>
      <c r="I1052" t="inlineStr">
        <is>
          <t>1</t>
        </is>
      </c>
      <c r="J1052" t="inlineStr"/>
      <c r="K1052" t="inlineStr"/>
      <c r="L1052" t="inlineStr"/>
      <c r="M1052" t="inlineStr"/>
      <c r="N1052" t="inlineStr"/>
      <c r="O1052" t="inlineStr"/>
      <c r="P1052" t="inlineStr"/>
      <c r="Q1052" t="inlineStr"/>
      <c r="R1052" t="inlineStr"/>
      <c r="S1052" t="inlineStr"/>
    </row>
    <row r="1053">
      <c r="A1053">
        <f>Skills!A8</f>
        <v/>
      </c>
      <c r="B1053">
        <f>Skills!B8</f>
        <v/>
      </c>
      <c r="C1053">
        <f>Inputs!$B$3&gt;=69</f>
        <v/>
      </c>
      <c r="D1053">
        <f>IF(Skills!C8=1,60+Inputs!$B$25+Inputs!$B$29,IF(Skills!C8=2,90+Inputs!$B$26+Inputs!$B$29,IF(Skills!C8=3,120+Inputs!$B$27+Inputs!$B$29,MAX(0,(Inputs!$B$3-100)*3)+Inputs!$B$28+Inputs!$B$29)))</f>
        <v/>
      </c>
      <c r="E1053">
        <f>INDEX(FactorTable!$B$2:$Y$301, MATCH(ROUND(MIN(300,MAX(1,D1053)),0), FactorTable!$A$2:$A$301,0), Skills!M8+1)</f>
        <v/>
      </c>
      <c r="F1053">
        <f>IF(Skills!N8=TRUE,(Skills!L8/10)*(E1053/1000),Skills!L8/10)+Skills!O8</f>
        <v/>
      </c>
      <c r="G1053">
        <f>Skills!G8*IF(Skills!H8&gt;0,Skills!I8/Skills!H8,1)</f>
        <v/>
      </c>
      <c r="H1053">
        <f>1-(1-Skills!J8/100)^Skills!K8</f>
        <v/>
      </c>
      <c r="I1053" t="inlineStr">
        <is>
          <t>1</t>
        </is>
      </c>
      <c r="J1053">
        <f>((Inputs!$B$6*(1+Inputs!$B$7/100))+(((Inputs!$B$12*(1+Inputs!$B$13/100))-(Inputs!$B$12*(1+Inputs!$B$13/100)))+0.25*(Inputs!$B$14-Inputs!$B$14))*(1+Inputs!$B$7/100))*(F1053/100)</f>
        <v/>
      </c>
      <c r="K1053">
        <f>J1053*(1+((Inputs!$B$12*(1+Inputs!$B$13/100))*0.01+Inputs!$B$14*0.0025)/100)*(1+Inputs!$B$15/100)*(1+IF(Inputs!$B$38="pvp",0,(1-Summary!$B$55)*(Inputs!$B$20+0+Skills!P8)+Summary!$B$55*(Inputs!$B$21+Skills!Q8))/100)*(1+Inputs!$B$16/100)*(5000/(6000+Inputs!$B$42*(1-(Inputs!$B$19+((C1072=TRUE)*(F1072-Calc!F27)))/100)))*(1+(Inputs!$B$24+((C1070=TRUE)*(F1070-Calc!F25))+((C1071=TRUE)*(F1071-Calc!F26))+B1084)/100)*(1+1.2*IF(C1055=TRUE,F1055,0)/100)*(1+(IF(Skills!A8="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1053)</f>
        <v/>
      </c>
      <c r="L1053">
        <f>K1053*(MIN(Inputs!$B$22+((C1069=TRUE)*(F1069-Calc!F24)),Inputs!$B$23+((C1074=TRUE)*(F1074-Calc!F29)))/100+(Inputs!$B$23+((C1074=TRUE)*(F1074-Calc!F29)))/100)/2</f>
        <v/>
      </c>
      <c r="M1053">
        <f>L1053*(1+(Inputs!$B$10+0+B1083)/100)</f>
        <v/>
      </c>
      <c r="N1053">
        <f>L1053*(1-MIN((Inputs!$B$9+((C1065=TRUE)*(F1065-Calc!F20))+B1078),100)/100)+M1053*(MIN((Inputs!$B$9+((C1065=TRUE)*(F1065-Calc!F20))+B1078),100)/100)</f>
        <v/>
      </c>
      <c r="O1053">
        <f>IF(C1053,H1053*N1053*IF(AND(Inputs!$B$38&lt;&gt;"pvp",Inputs!$B$43&gt;0),((Skills!G8*((R1053-1)*IF(Skills!H8&gt;0,Skills!I8/Skills!H8,1)+IF(Skills!H8&gt;0,MIN(Skills!I8,MAX(0,MAX(0,Inputs!$B$43-B1085)-((R1053-1)*IF(Inputs!$B$38="pvp",15,MAX(0.1,Skills!D8-IF(Skills!E8=TRUE,(Inputs!$B$32+1),0))))))/Skills!H8,1)))/Inputs!$B$43),G1053*Q1053)*IF(Inputs!$B$38="pvp",1,(1-Summary!$B$55)*(1)+Summary!$B$55*(MIN(Skills!R8,Inputs!$B$37))),0)</f>
        <v/>
      </c>
      <c r="P1053">
        <f>IF(B1086=0,0,O1053/B1086)</f>
        <v/>
      </c>
      <c r="Q1053">
        <f>IFERROR(1/IF(Inputs!$B$38="pvp",15,MAX(0.1,Skills!D8-IF(Skills!E8=TRUE,(Inputs!$B$32+1),0))),0)</f>
        <v/>
      </c>
      <c r="R1053">
        <f>IF(AND(Inputs!$B$38&lt;&gt;"pvp",Inputs!$B$43&gt;0),IF(MAX(0,Inputs!$B$43-B1085)&lt;=0,0,(INT(MAX(0,Inputs!$B$43-B1085)/IF(Inputs!$B$38="pvp",15,MAX(0.1,Skills!D8-IF(Skills!E8=TRUE,(Inputs!$B$32+1),0))))+1)),0)</f>
        <v/>
      </c>
      <c r="S1053">
        <f>IFERROR(O1053/N1053,0)</f>
        <v/>
      </c>
    </row>
    <row r="1054">
      <c r="A1054">
        <f>Skills!A9</f>
        <v/>
      </c>
      <c r="B1054">
        <f>Skills!B9</f>
        <v/>
      </c>
      <c r="C1054">
        <f>Inputs!$B$3&gt;=63</f>
        <v/>
      </c>
      <c r="D1054">
        <f>IF(Skills!C9=1,60+Inputs!$B$25+Inputs!$B$29,IF(Skills!C9=2,90+Inputs!$B$26+Inputs!$B$29,IF(Skills!C9=3,120+Inputs!$B$27+Inputs!$B$29,MAX(0,(Inputs!$B$3-100)*3)+Inputs!$B$28+Inputs!$B$29)))</f>
        <v/>
      </c>
      <c r="E1054">
        <f>INDEX(FactorTable!$B$2:$Y$301, MATCH(ROUND(MIN(300,MAX(1,D1054)),0), FactorTable!$A$2:$A$301,0), Skills!M9+1)</f>
        <v/>
      </c>
      <c r="F1054">
        <f>IF(Skills!N9=TRUE,(Skills!L9/10)*(E1054/1000),Skills!L9/10)+Skills!O9</f>
        <v/>
      </c>
      <c r="G1054">
        <f>Skills!G9*IF(Skills!H9&gt;0,Skills!I9/Skills!H9,1)</f>
        <v/>
      </c>
      <c r="H1054">
        <f>1-(1-Skills!J9/100)^Skills!K9</f>
        <v/>
      </c>
      <c r="I1054" t="inlineStr">
        <is>
          <t>1</t>
        </is>
      </c>
      <c r="J1054">
        <f>((Inputs!$B$6*(1+Inputs!$B$7/100))+(((Inputs!$B$12*(1+Inputs!$B$13/100))-(Inputs!$B$12*(1+Inputs!$B$13/100)))+0.25*(Inputs!$B$14-Inputs!$B$14))*(1+Inputs!$B$7/100))*(F1054/100)</f>
        <v/>
      </c>
      <c r="K1054">
        <f>J1054*(1+((Inputs!$B$12*(1+Inputs!$B$13/100))*0.01+Inputs!$B$14*0.0025)/100)*(1+Inputs!$B$15/100)*(1+IF(Inputs!$B$38="pvp",0,(1-Summary!$B$55)*(Inputs!$B$20+0+Skills!P9)+Summary!$B$55*(Inputs!$B$21+Skills!Q9))/100)*(1+Inputs!$B$16/100)*(5000/(6000+Inputs!$B$42*(1-(Inputs!$B$19+((C1072=TRUE)*(F1072-Calc!F27)))/100)))*(1+(Inputs!$B$24+((C1070=TRUE)*(F1070-Calc!F25))+((C1071=TRUE)*(F1071-Calc!F26))+B1084)/100)*(1+1.0*IF(C1055=TRUE,F1055,0)/100)*(1+(IF(Skills!A9="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1054)</f>
        <v/>
      </c>
      <c r="L1054">
        <f>K1054*(MIN(Inputs!$B$22+((C1069=TRUE)*(F1069-Calc!F24)),Inputs!$B$23+((C1074=TRUE)*(F1074-Calc!F29)))/100+(Inputs!$B$23+((C1074=TRUE)*(F1074-Calc!F29)))/100)/2</f>
        <v/>
      </c>
      <c r="M1054">
        <f>L1054*(1+(Inputs!$B$10+0+B1083)/100)</f>
        <v/>
      </c>
      <c r="N1054">
        <f>L1054*(1-MIN((Inputs!$B$9+((C1065=TRUE)*(F1065-Calc!F20))+B1078),100)/100)+M1054*(MIN((Inputs!$B$9+((C1065=TRUE)*(F1065-Calc!F20))+B1078),100)/100)</f>
        <v/>
      </c>
      <c r="O1054">
        <f>IF(C1054,H1054*N1054*IF(AND(Inputs!$B$38&lt;&gt;"pvp",Inputs!$B$43&gt;0),((Skills!G9*((R1054-1)*IF(Skills!H9&gt;0,Skills!I9/Skills!H9,1)+IF(Skills!H9&gt;0,MIN(Skills!I9,MAX(0,MAX(0,Inputs!$B$43-B1085)-((R1054-1)*IF(Inputs!$B$38="pvp",15,MAX(0.1,Skills!D9-IF(Skills!E9=TRUE,(Inputs!$B$32+1),0))))))/Skills!H9,1)))/Inputs!$B$43),G1054*Q1054)*IF(Inputs!$B$38="pvp",1,(1-Summary!$B$55)*(1)+Summary!$B$55*(MIN(Skills!R9,Inputs!$B$37))),0)</f>
        <v/>
      </c>
      <c r="P1054">
        <f>IF(B1086=0,0,O1054/B1086)</f>
        <v/>
      </c>
      <c r="Q1054">
        <f>IFERROR(1/IF(Inputs!$B$38="pvp",15,MAX(0.1,Skills!D9-IF(Skills!E9=TRUE,(Inputs!$B$32+1),0))),0)</f>
        <v/>
      </c>
      <c r="R1054">
        <f>IF(AND(Inputs!$B$38&lt;&gt;"pvp",Inputs!$B$43&gt;0),IF(MAX(0,Inputs!$B$43-B1085)&lt;=0,0,(INT(MAX(0,Inputs!$B$43-B1085)/IF(Inputs!$B$38="pvp",15,MAX(0.1,Skills!D9-IF(Skills!E9=TRUE,(Inputs!$B$32+1),0))))+1)),0)</f>
        <v/>
      </c>
      <c r="S1054">
        <f>IFERROR(O1054/N1054,0)</f>
        <v/>
      </c>
    </row>
    <row r="1055">
      <c r="A1055">
        <f>Skills!A10</f>
        <v/>
      </c>
      <c r="B1055">
        <f>Skills!B10</f>
        <v/>
      </c>
      <c r="C1055">
        <f>Inputs!$B$3&gt;=100</f>
        <v/>
      </c>
      <c r="D1055">
        <f>IF(Skills!C10=1,60+Inputs!$B$25+Inputs!$B$29,IF(Skills!C10=2,90+Inputs!$B$26+Inputs!$B$29,IF(Skills!C10=3,120+Inputs!$B$27+Inputs!$B$29,MAX(0,(Inputs!$B$3-100)*3)+Inputs!$B$28+Inputs!$B$29)))</f>
        <v/>
      </c>
      <c r="E1055">
        <f>INDEX(FactorTable!$B$2:$Y$301, MATCH(ROUND(MIN(300,MAX(1,D1055)),0), FactorTable!$A$2:$A$301,0), Skills!M10+1)</f>
        <v/>
      </c>
      <c r="F1055">
        <f>IF(Skills!N10=TRUE,(Skills!L10/10)*(E1055/1000),Skills!L10/10)+Skills!O10</f>
        <v/>
      </c>
      <c r="G1055" t="inlineStr"/>
      <c r="H1055" t="inlineStr"/>
      <c r="I1055" t="inlineStr">
        <is>
          <t>1</t>
        </is>
      </c>
      <c r="J1055" t="inlineStr"/>
      <c r="K1055" t="inlineStr"/>
      <c r="L1055" t="inlineStr"/>
      <c r="M1055" t="inlineStr"/>
      <c r="N1055" t="inlineStr"/>
      <c r="O1055" t="inlineStr"/>
      <c r="P1055" t="inlineStr"/>
      <c r="Q1055" t="inlineStr"/>
      <c r="R1055" t="inlineStr"/>
      <c r="S1055" t="inlineStr"/>
    </row>
    <row r="1056">
      <c r="A1056">
        <f>Skills!A11</f>
        <v/>
      </c>
      <c r="B1056">
        <f>Skills!B11</f>
        <v/>
      </c>
      <c r="C1056">
        <f>Inputs!$B$3&gt;=60</f>
        <v/>
      </c>
      <c r="D1056">
        <f>IF(Skills!C11=1,60+Inputs!$B$25+Inputs!$B$29,IF(Skills!C11=2,90+Inputs!$B$26+Inputs!$B$29,IF(Skills!C11=3,120+Inputs!$B$27+Inputs!$B$29,MAX(0,(Inputs!$B$3-100)*3)+Inputs!$B$28+Inputs!$B$29)))</f>
        <v/>
      </c>
      <c r="E1056">
        <f>INDEX(FactorTable!$B$2:$Y$301, MATCH(ROUND(MIN(300,MAX(1,D1056)),0), FactorTable!$A$2:$A$301,0), Skills!M11+1)</f>
        <v/>
      </c>
      <c r="F1056">
        <f>IF(Skills!N11=TRUE,(Skills!L11/10)*(E1056/1000),Skills!L11/10)+Skills!O11</f>
        <v/>
      </c>
      <c r="G1056">
        <f>Skills!G11*IF(Skills!H11&gt;0,Skills!I11/Skills!H11,1)</f>
        <v/>
      </c>
      <c r="H1056">
        <f>1-(1-Skills!J11/100)^Skills!K11</f>
        <v/>
      </c>
      <c r="I1056" t="inlineStr">
        <is>
          <t>1</t>
        </is>
      </c>
      <c r="J1056">
        <f>((Inputs!$B$6*(1+Inputs!$B$7/100))+(((Inputs!$B$12*(1+Inputs!$B$13/100))-(Inputs!$B$12*(1+Inputs!$B$13/100)))+0.25*(Inputs!$B$14-Inputs!$B$14))*(1+Inputs!$B$7/100))*(F1056/100)</f>
        <v/>
      </c>
      <c r="K1056">
        <f>J1056*(1+((Inputs!$B$12*(1+Inputs!$B$13/100))*0.01+Inputs!$B$14*0.0025)/100)*(1+Inputs!$B$15/100)*(1+IF(Inputs!$B$38="pvp",0,(1-Summary!$B$55)*(Inputs!$B$20+0+Skills!P11)+Summary!$B$55*(Inputs!$B$21+Skills!Q11))/100)*(1+Inputs!$B$16/100)*(5000/(6000+Inputs!$B$42*(1-(Inputs!$B$19+((C1072=TRUE)*(F1072-Calc!F27)))/100)))*(1+(Inputs!$B$24+((C1070=TRUE)*(F1070-Calc!F25))+((C1071=TRUE)*(F1071-Calc!F26))+B1084)/100)*(1+IF(C1057=TRUE,F1057,0)/100)*(1+(IF(Skills!A11="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1056)</f>
        <v/>
      </c>
      <c r="L1056">
        <f>K1056*(MIN(Inputs!$B$22+((C1069=TRUE)*(F1069-Calc!F24)),Inputs!$B$23+((C1074=TRUE)*(F1074-Calc!F29)))/100+(Inputs!$B$23+((C1074=TRUE)*(F1074-Calc!F29)))/100)/2</f>
        <v/>
      </c>
      <c r="M1056">
        <f>L1056*(1+(Inputs!$B$10+0+B1083)/100)</f>
        <v/>
      </c>
      <c r="N1056">
        <f>L1056*(1-MIN((Inputs!$B$9+((C1065=TRUE)*(F1065-Calc!F20))+B1078),100)/100)+M1056*(MIN((Inputs!$B$9+((C1065=TRUE)*(F1065-Calc!F20))+B1078),100)/100)</f>
        <v/>
      </c>
      <c r="O1056">
        <f>IF(C1056,H1056*N1056*IF(AND(Inputs!$B$38&lt;&gt;"pvp",Inputs!$B$43&gt;0),((Skills!G11*((R1056-1)*IF(Skills!H11&gt;0,Skills!I11/Skills!H11,1)+IF(Skills!H11&gt;0,MIN(Skills!I11,MAX(0,MAX(0,Inputs!$B$43-B1085)-((R1056-1)*IF(Inputs!$B$38="pvp",15,MAX(0.1,Skills!D11-IF(Skills!E11=TRUE,(Inputs!$B$32+1),0))))))/Skills!H11,1)))/Inputs!$B$43),G1056*Q1056)*IF(Inputs!$B$38="pvp",1,(1-Summary!$B$55)*(1)+Summary!$B$55*(MIN(Skills!R11,Inputs!$B$37))),0)</f>
        <v/>
      </c>
      <c r="P1056">
        <f>IF(B1086=0,0,O1056/B1086)</f>
        <v/>
      </c>
      <c r="Q1056">
        <f>IFERROR(1/IF(Inputs!$B$38="pvp",15,MAX(0.1,Skills!D11-IF(Skills!E11=TRUE,(Inputs!$B$32+1),0))),0)</f>
        <v/>
      </c>
      <c r="R1056">
        <f>IF(AND(Inputs!$B$38&lt;&gt;"pvp",Inputs!$B$43&gt;0),IF(MAX(0,Inputs!$B$43-B1085)&lt;=0,0,(INT(MAX(0,Inputs!$B$43-B1085)/IF(Inputs!$B$38="pvp",15,MAX(0.1,Skills!D11-IF(Skills!E11=TRUE,(Inputs!$B$32+1),0))))+1)),0)</f>
        <v/>
      </c>
      <c r="S1056">
        <f>IFERROR(O1056/N1056,0)</f>
        <v/>
      </c>
    </row>
    <row r="1057">
      <c r="A1057">
        <f>Skills!A12</f>
        <v/>
      </c>
      <c r="B1057">
        <f>Skills!B12</f>
        <v/>
      </c>
      <c r="C1057">
        <f>Inputs!$B$3&gt;=110</f>
        <v/>
      </c>
      <c r="D1057">
        <f>IF(Skills!C12=1,60+Inputs!$B$25+Inputs!$B$29,IF(Skills!C12=2,90+Inputs!$B$26+Inputs!$B$29,IF(Skills!C12=3,120+Inputs!$B$27+Inputs!$B$29,MAX(0,(Inputs!$B$3-100)*3)+Inputs!$B$28+Inputs!$B$29)))</f>
        <v/>
      </c>
      <c r="E1057">
        <f>INDEX(FactorTable!$B$2:$Y$301, MATCH(ROUND(MIN(300,MAX(1,D1057)),0), FactorTable!$A$2:$A$301,0), Skills!M12+1)</f>
        <v/>
      </c>
      <c r="F1057">
        <f>IF(Skills!N12=TRUE,(Skills!L12/10)*(E1057/1000),Skills!L12/10)+Skills!O12</f>
        <v/>
      </c>
      <c r="G1057" t="inlineStr"/>
      <c r="H1057" t="inlineStr"/>
      <c r="I1057" t="inlineStr">
        <is>
          <t>1</t>
        </is>
      </c>
      <c r="J1057" t="inlineStr"/>
      <c r="K1057" t="inlineStr"/>
      <c r="L1057" t="inlineStr"/>
      <c r="M1057" t="inlineStr"/>
      <c r="N1057" t="inlineStr"/>
      <c r="O1057" t="inlineStr"/>
      <c r="P1057" t="inlineStr"/>
      <c r="Q1057" t="inlineStr"/>
      <c r="R1057" t="inlineStr"/>
      <c r="S1057" t="inlineStr"/>
    </row>
    <row r="1058">
      <c r="A1058">
        <f>Skills!A13</f>
        <v/>
      </c>
      <c r="B1058">
        <f>Skills!B13</f>
        <v/>
      </c>
      <c r="C1058">
        <f>Inputs!$B$3&gt;=74</f>
        <v/>
      </c>
      <c r="D1058">
        <f>IF(Skills!C13=1,60+Inputs!$B$25+Inputs!$B$29,IF(Skills!C13=2,90+Inputs!$B$26+Inputs!$B$29,IF(Skills!C13=3,120+Inputs!$B$27+Inputs!$B$29,MAX(0,(Inputs!$B$3-100)*3)+Inputs!$B$28+Inputs!$B$29)))</f>
        <v/>
      </c>
      <c r="E1058">
        <f>INDEX(FactorTable!$B$2:$Y$301, MATCH(ROUND(MIN(300,MAX(1,D1058)),0), FactorTable!$A$2:$A$301,0), Skills!M13+1)</f>
        <v/>
      </c>
      <c r="F1058">
        <f>IF(Skills!N13=TRUE,(Skills!L13/10)*(E1058/1000),Skills!L13/10)+Skills!O13</f>
        <v/>
      </c>
      <c r="G1058">
        <f>Skills!G13*IF(Skills!H13&gt;0,Skills!I13/Skills!H13,1)</f>
        <v/>
      </c>
      <c r="H1058">
        <f>1-(1-Skills!J13/100)^Skills!K13</f>
        <v/>
      </c>
      <c r="I1058" t="inlineStr">
        <is>
          <t>1</t>
        </is>
      </c>
      <c r="J1058" t="inlineStr"/>
      <c r="K1058" t="inlineStr"/>
      <c r="L1058" t="inlineStr"/>
      <c r="M1058" t="inlineStr"/>
      <c r="N1058" t="inlineStr"/>
      <c r="O1058" t="n">
        <v>0</v>
      </c>
      <c r="P1058">
        <f>IF(B1086=0,0,O1058/B1086)</f>
        <v/>
      </c>
      <c r="Q1058" t="n">
        <v>0</v>
      </c>
      <c r="R1058" t="n">
        <v>0</v>
      </c>
      <c r="S1058">
        <f>IFERROR(O1058/N1058,0)</f>
        <v/>
      </c>
    </row>
    <row r="1059">
      <c r="A1059">
        <f>Skills!A14</f>
        <v/>
      </c>
      <c r="B1059">
        <f>Skills!B14</f>
        <v/>
      </c>
      <c r="C1059">
        <f>Inputs!$B$3&gt;=74</f>
        <v/>
      </c>
      <c r="D1059">
        <f>IF(Skills!C14=1,60+Inputs!$B$25+Inputs!$B$29,IF(Skills!C14=2,90+Inputs!$B$26+Inputs!$B$29,IF(Skills!C14=3,120+Inputs!$B$27+Inputs!$B$29,MAX(0,(Inputs!$B$3-100)*3)+Inputs!$B$28+Inputs!$B$29)))</f>
        <v/>
      </c>
      <c r="E1059">
        <f>INDEX(FactorTable!$B$2:$Y$301, MATCH(ROUND(MIN(300,MAX(1,D1059)),0), FactorTable!$A$2:$A$301,0), Skills!M14+1)</f>
        <v/>
      </c>
      <c r="F1059">
        <f>IF(Skills!N14=TRUE,(Skills!L14/10)*(E1059/1000),Skills!L14/10)+Skills!O14</f>
        <v/>
      </c>
      <c r="G1059">
        <f>Skills!G14*IF(Skills!H14&gt;0,Skills!I14/Skills!H14,1)</f>
        <v/>
      </c>
      <c r="H1059">
        <f>1-(1-Skills!J14/100)^Skills!K14</f>
        <v/>
      </c>
      <c r="I1059" t="inlineStr">
        <is>
          <t>1</t>
        </is>
      </c>
      <c r="J1059" t="inlineStr"/>
      <c r="K1059" t="inlineStr"/>
      <c r="L1059" t="inlineStr"/>
      <c r="M1059" t="inlineStr"/>
      <c r="N1059" t="inlineStr"/>
      <c r="O1059" t="n">
        <v>0</v>
      </c>
      <c r="P1059">
        <f>IF(B1086=0,0,O1059/B1086)</f>
        <v/>
      </c>
      <c r="Q1059" t="n">
        <v>0</v>
      </c>
      <c r="R1059" t="n">
        <v>0</v>
      </c>
      <c r="S1059">
        <f>IFERROR(O1059/N1059,0)</f>
        <v/>
      </c>
    </row>
    <row r="1060">
      <c r="A1060">
        <f>Skills!A15</f>
        <v/>
      </c>
      <c r="B1060">
        <f>Skills!B15</f>
        <v/>
      </c>
      <c r="C1060">
        <f>Inputs!$B$3&gt;=117</f>
        <v/>
      </c>
      <c r="D1060">
        <f>IF(Skills!C15=1,60+Inputs!$B$25+Inputs!$B$29,IF(Skills!C15=2,90+Inputs!$B$26+Inputs!$B$29,IF(Skills!C15=3,120+Inputs!$B$27+Inputs!$B$29,MAX(0,(Inputs!$B$3-100)*3)+Inputs!$B$28+Inputs!$B$29)))</f>
        <v/>
      </c>
      <c r="E1060">
        <f>INDEX(FactorTable!$B$2:$Y$301, MATCH(ROUND(MIN(300,MAX(1,D1060)),0), FactorTable!$A$2:$A$301,0), Skills!M15+1)</f>
        <v/>
      </c>
      <c r="F1060">
        <f>IF(Skills!N15=TRUE,(Skills!L15/10)*(E1060/1000),Skills!L15/10)+Skills!O15</f>
        <v/>
      </c>
      <c r="G1060">
        <f>Skills!G15*IF(Skills!H15&gt;0,Skills!I15/Skills!H15,1)</f>
        <v/>
      </c>
      <c r="H1060">
        <f>1-(1-Skills!J15/100)^Skills!K15</f>
        <v/>
      </c>
      <c r="I1060" t="inlineStr">
        <is>
          <t>1</t>
        </is>
      </c>
      <c r="J1060" t="inlineStr"/>
      <c r="K1060" t="inlineStr"/>
      <c r="L1060" t="inlineStr"/>
      <c r="M1060" t="inlineStr"/>
      <c r="N1060" t="inlineStr"/>
      <c r="O1060" t="n">
        <v>0</v>
      </c>
      <c r="P1060">
        <f>IF(B1086=0,0,O1060/B1086)</f>
        <v/>
      </c>
      <c r="Q1060">
        <f>IFERROR(1/IF(Inputs!$B$38="pvp",15,MAX(0.1,Skills!D15-IF(Skills!E15=TRUE,(Inputs!$B$32+1),0))),0)</f>
        <v/>
      </c>
      <c r="R1060">
        <f>IF(AND(Inputs!$B$38&lt;&gt;"pvp",Inputs!$B$43&gt;0),IF(Inputs!$B$43&lt;=0,0,(INT(Inputs!$B$43/IF(Inputs!$B$38="pvp",15,MAX(0.1,Skills!D15-IF(Skills!E15=TRUE,(Inputs!$B$32+1),0))))+1)),0)</f>
        <v/>
      </c>
      <c r="S1060">
        <f>IFERROR(O1060/N1060,0)</f>
        <v/>
      </c>
    </row>
    <row r="1061">
      <c r="A1061">
        <f>Skills!A16</f>
        <v/>
      </c>
      <c r="B1061">
        <f>Skills!B16</f>
        <v/>
      </c>
      <c r="C1061">
        <f>Inputs!$B$3&gt;=115</f>
        <v/>
      </c>
      <c r="D1061">
        <f>IF(Skills!C16=1,60+Inputs!$B$25+Inputs!$B$29,IF(Skills!C16=2,90+Inputs!$B$26+Inputs!$B$29,IF(Skills!C16=3,120+Inputs!$B$27+Inputs!$B$29,MAX(0,(Inputs!$B$3-100)*3)+Inputs!$B$28+Inputs!$B$29)))</f>
        <v/>
      </c>
      <c r="E1061">
        <f>INDEX(FactorTable!$B$2:$Y$301, MATCH(ROUND(MIN(300,MAX(1,D1061)),0), FactorTable!$A$2:$A$301,0), Skills!M16+1)</f>
        <v/>
      </c>
      <c r="F1061">
        <f>IF(Skills!N16=TRUE,(Skills!L16/10)*(E1061/1000),Skills!L16/10)+Skills!O16</f>
        <v/>
      </c>
      <c r="G1061">
        <f>Skills!G16*IF(Skills!H16&gt;0,Skills!I16/Skills!H16,1)</f>
        <v/>
      </c>
      <c r="H1061">
        <f>1-(1-Skills!J16/100)^Skills!K16</f>
        <v/>
      </c>
      <c r="I1061" t="inlineStr">
        <is>
          <t>1</t>
        </is>
      </c>
      <c r="J1061" t="inlineStr"/>
      <c r="K1061" t="inlineStr"/>
      <c r="L1061" t="inlineStr"/>
      <c r="M1061" t="inlineStr"/>
      <c r="N1061" t="inlineStr"/>
      <c r="O1061" t="n">
        <v>0</v>
      </c>
      <c r="P1061">
        <f>IF(B1086=0,0,O1061/B1086)</f>
        <v/>
      </c>
      <c r="Q1061">
        <f>IFERROR(1/IF(Inputs!$B$38="pvp",15,MAX(0.1,Skills!D16-IF(Skills!E16=TRUE,(Inputs!$B$32+1),0))),0)</f>
        <v/>
      </c>
      <c r="R1061">
        <f>IF(AND(Inputs!$B$38&lt;&gt;"pvp",Inputs!$B$43&gt;0),IF(Inputs!$B$43&lt;=0,0,(INT(Inputs!$B$43/IF(Inputs!$B$38="pvp",15,MAX(0.1,Skills!D16-IF(Skills!E16=TRUE,(Inputs!$B$32+1),0))))+1)),0)</f>
        <v/>
      </c>
      <c r="S1061">
        <f>IFERROR(O1061/N1061,0)</f>
        <v/>
      </c>
    </row>
    <row r="1062">
      <c r="A1062">
        <f>Skills!A17</f>
        <v/>
      </c>
      <c r="B1062">
        <f>Skills!B17</f>
        <v/>
      </c>
      <c r="C1062">
        <f>Inputs!$B$3&gt;=66</f>
        <v/>
      </c>
      <c r="D1062">
        <f>IF(Skills!C17=1,60+Inputs!$B$25+Inputs!$B$29,IF(Skills!C17=2,90+Inputs!$B$26+Inputs!$B$29,IF(Skills!C17=3,120+Inputs!$B$27+Inputs!$B$29,MAX(0,(Inputs!$B$3-100)*3)+Inputs!$B$28+Inputs!$B$29)))</f>
        <v/>
      </c>
      <c r="E1062">
        <f>INDEX(FactorTable!$B$2:$Y$301, MATCH(ROUND(MIN(300,MAX(1,D1062)),0), FactorTable!$A$2:$A$301,0), Skills!M17+1)</f>
        <v/>
      </c>
      <c r="F1062">
        <f>IF(Skills!N17=TRUE,(Skills!L17/10)*(E1062/1000),Skills!L17/10)+Skills!O17</f>
        <v/>
      </c>
      <c r="G1062">
        <f>Skills!G17*IF(Skills!H17&gt;0,Skills!I17/Skills!H17,1)</f>
        <v/>
      </c>
      <c r="H1062">
        <f>1-(1-Skills!J17/100)^Skills!K17</f>
        <v/>
      </c>
      <c r="I1062" t="inlineStr">
        <is>
          <t>1</t>
        </is>
      </c>
      <c r="J1062" t="inlineStr"/>
      <c r="K1062" t="inlineStr"/>
      <c r="L1062" t="inlineStr"/>
      <c r="M1062" t="inlineStr"/>
      <c r="N1062" t="inlineStr"/>
      <c r="O1062" t="n">
        <v>0</v>
      </c>
      <c r="P1062">
        <f>IF(B1086=0,0,O1062/B1086)</f>
        <v/>
      </c>
      <c r="Q1062" t="n">
        <v>0</v>
      </c>
      <c r="R1062" t="n">
        <v>0</v>
      </c>
      <c r="S1062">
        <f>IFERROR(O1062/N1062,0)</f>
        <v/>
      </c>
    </row>
    <row r="1063">
      <c r="A1063">
        <f>Skills!A18</f>
        <v/>
      </c>
      <c r="B1063">
        <f>Skills!B18</f>
        <v/>
      </c>
      <c r="C1063">
        <f>Inputs!$B$3&gt;=72</f>
        <v/>
      </c>
      <c r="D1063">
        <f>IF(Skills!C18=1,60+Inputs!$B$25+Inputs!$B$29,IF(Skills!C18=2,90+Inputs!$B$26+Inputs!$B$29,IF(Skills!C18=3,120+Inputs!$B$27+Inputs!$B$29,MAX(0,(Inputs!$B$3-100)*3)+Inputs!$B$28+Inputs!$B$29)))</f>
        <v/>
      </c>
      <c r="E1063">
        <f>INDEX(FactorTable!$B$2:$Y$301, MATCH(ROUND(MIN(300,MAX(1,D1063)),0), FactorTable!$A$2:$A$301,0), Skills!M18+1)</f>
        <v/>
      </c>
      <c r="F1063">
        <f>IF(Skills!N18=TRUE,(Skills!L18/10)*(E1063/1000),Skills!L18/10)+Skills!O18</f>
        <v/>
      </c>
      <c r="G1063">
        <f>Skills!G18*IF(Skills!H18&gt;0,Skills!I18/Skills!H18,1)</f>
        <v/>
      </c>
      <c r="H1063">
        <f>1-(1-Skills!J18/100)^Skills!K18</f>
        <v/>
      </c>
      <c r="I1063" t="inlineStr">
        <is>
          <t>1</t>
        </is>
      </c>
      <c r="J1063" t="inlineStr"/>
      <c r="K1063" t="inlineStr"/>
      <c r="L1063" t="inlineStr"/>
      <c r="M1063" t="inlineStr"/>
      <c r="N1063" t="inlineStr"/>
      <c r="O1063" t="n">
        <v>0</v>
      </c>
      <c r="P1063">
        <f>IF(B1086=0,0,O1063/B1086)</f>
        <v/>
      </c>
      <c r="Q1063" t="n">
        <v>0</v>
      </c>
      <c r="R1063" t="n">
        <v>0</v>
      </c>
      <c r="S1063">
        <f>IFERROR(O1063/N1063,0)</f>
        <v/>
      </c>
    </row>
    <row r="1064">
      <c r="A1064">
        <f>Skills!A19</f>
        <v/>
      </c>
      <c r="B1064">
        <f>Skills!B19</f>
        <v/>
      </c>
      <c r="C1064">
        <f>TRUE</f>
        <v/>
      </c>
      <c r="D1064">
        <f>IF(Skills!C19=1,60+Inputs!$B$25+Inputs!$B$29,IF(Skills!C19=2,90+Inputs!$B$26+Inputs!$B$29,IF(Skills!C19=3,120+Inputs!$B$27+Inputs!$B$29,MAX(0,(Inputs!$B$3-100)*3)+Inputs!$B$28+Inputs!$B$29)))</f>
        <v/>
      </c>
      <c r="E1064">
        <f>INDEX(FactorTable!$B$2:$Y$301, MATCH(ROUND(MIN(300,MAX(1,D1064)),0), FactorTable!$A$2:$A$301,0), Skills!M19+1)</f>
        <v/>
      </c>
      <c r="F1064">
        <f>IF(Skills!N19=TRUE,(Skills!L19/10)*(E1064/1000),Skills!L19/10)+Skills!O19</f>
        <v/>
      </c>
      <c r="G1064">
        <f>Skills!G19*IF(Skills!H19&gt;0,Skills!I19/Skills!H19,1)</f>
        <v/>
      </c>
      <c r="H1064">
        <f>1-(1-Skills!J19/100)^Skills!K19</f>
        <v/>
      </c>
      <c r="I1064" t="inlineStr">
        <is>
          <t>1</t>
        </is>
      </c>
      <c r="J1064" t="inlineStr"/>
      <c r="K1064" t="inlineStr"/>
      <c r="L1064" t="inlineStr"/>
      <c r="M1064" t="inlineStr"/>
      <c r="N1064" t="inlineStr"/>
      <c r="O1064" t="n">
        <v>0</v>
      </c>
      <c r="P1064">
        <f>IF(B1086=0,0,O1064/B1086)</f>
        <v/>
      </c>
      <c r="Q1064">
        <f>IFERROR(1/IF(Inputs!$B$38="pvp",15,MAX(0.1,Skills!D19-IF(Skills!E19=TRUE,(Inputs!$B$32+1),0))),0)</f>
        <v/>
      </c>
      <c r="R1064">
        <f>IF(AND(Inputs!$B$38&lt;&gt;"pvp",Inputs!$B$43&gt;0),IF(Inputs!$B$43&lt;=0,0,(INT(Inputs!$B$43/IF(Inputs!$B$38="pvp",15,MAX(0.1,Skills!D19-IF(Skills!E19=TRUE,(Inputs!$B$32+1),0))))+1)),0)</f>
        <v/>
      </c>
      <c r="S1064">
        <f>IFERROR(O1064/N1064,0)</f>
        <v/>
      </c>
    </row>
    <row r="1065">
      <c r="A1065">
        <f>Skills!A20</f>
        <v/>
      </c>
      <c r="B1065">
        <f>Skills!B20</f>
        <v/>
      </c>
      <c r="C1065">
        <f>Inputs!$B$3&gt;=15</f>
        <v/>
      </c>
      <c r="D1065">
        <f>IF(Skills!C20=1,60+Inputs!$B$25+Inputs!$B$29,IF(Skills!C20=2,90+Inputs!$B$26+Inputs!$B$29,IF(Skills!C20=3,120+Inputs!$B$27+Inputs!$B$29,MAX(0,(Inputs!$B$3-100)*3)+Inputs!$B$28+Inputs!$B$29)))</f>
        <v/>
      </c>
      <c r="E1065">
        <f>INDEX(FactorTable!$B$2:$Y$301, MATCH(ROUND(MIN(300,MAX(1,D1065)),0), FactorTable!$A$2:$A$301,0), Skills!M20+1)</f>
        <v/>
      </c>
      <c r="F1065">
        <f>IF(Skills!N20=TRUE,(Skills!L20/10)*(E1065/1000),Skills!L20/10)+Skills!O20</f>
        <v/>
      </c>
      <c r="G1065">
        <f>Skills!G20*IF(Skills!H20&gt;0,Skills!I20/Skills!H20,1)</f>
        <v/>
      </c>
      <c r="H1065">
        <f>1-(1-Skills!J20/100)^Skills!K20</f>
        <v/>
      </c>
      <c r="I1065" t="inlineStr">
        <is>
          <t>1</t>
        </is>
      </c>
      <c r="J1065" t="inlineStr"/>
      <c r="K1065" t="inlineStr"/>
      <c r="L1065" t="inlineStr"/>
      <c r="M1065" t="inlineStr"/>
      <c r="N1065" t="inlineStr"/>
      <c r="O1065" t="n">
        <v>0</v>
      </c>
      <c r="P1065">
        <f>IF(B1086=0,0,O1065/B1086)</f>
        <v/>
      </c>
      <c r="Q1065" t="n">
        <v>0</v>
      </c>
      <c r="R1065" t="n">
        <v>0</v>
      </c>
      <c r="S1065">
        <f>IFERROR(O1065/N1065,0)</f>
        <v/>
      </c>
    </row>
    <row r="1066">
      <c r="A1066">
        <f>Skills!A21</f>
        <v/>
      </c>
      <c r="B1066">
        <f>Skills!B21</f>
        <v/>
      </c>
      <c r="C1066">
        <f>Inputs!$B$3&gt;=10</f>
        <v/>
      </c>
      <c r="D1066">
        <f>IF(Skills!C21=1,60+Inputs!$B$25+Inputs!$B$29,IF(Skills!C21=2,90+Inputs!$B$26+Inputs!$B$29,IF(Skills!C21=3,120+Inputs!$B$27+Inputs!$B$29,MAX(0,(Inputs!$B$3-100)*3)+Inputs!$B$28+Inputs!$B$29)))</f>
        <v/>
      </c>
      <c r="E1066">
        <f>INDEX(FactorTable!$B$2:$Y$301, MATCH(ROUND(MIN(300,MAX(1,D1066)),0), FactorTable!$A$2:$A$301,0), Skills!M21+1)</f>
        <v/>
      </c>
      <c r="F1066">
        <f>IF(Skills!N21=TRUE,(Skills!L21/10)*(E1066/1000),Skills!L21/10)+Skills!O21</f>
        <v/>
      </c>
      <c r="G1066">
        <f>Skills!G21*IF(Skills!H21&gt;0,Skills!I21/Skills!H21,1)</f>
        <v/>
      </c>
      <c r="H1066">
        <f>1-(1-Skills!J21/100)^Skills!K21</f>
        <v/>
      </c>
      <c r="I1066" t="inlineStr">
        <is>
          <t>1</t>
        </is>
      </c>
      <c r="J1066" t="inlineStr"/>
      <c r="K1066" t="inlineStr"/>
      <c r="L1066" t="inlineStr"/>
      <c r="M1066" t="inlineStr"/>
      <c r="N1066" t="inlineStr"/>
      <c r="O1066" t="n">
        <v>0</v>
      </c>
      <c r="P1066">
        <f>IF(B1086=0,0,O1066/B1086)</f>
        <v/>
      </c>
      <c r="Q1066" t="n">
        <v>0</v>
      </c>
      <c r="R1066" t="n">
        <v>0</v>
      </c>
      <c r="S1066">
        <f>IFERROR(O1066/N1066,0)</f>
        <v/>
      </c>
    </row>
    <row r="1067">
      <c r="A1067">
        <f>Skills!A22</f>
        <v/>
      </c>
      <c r="B1067">
        <f>Skills!B22</f>
        <v/>
      </c>
      <c r="C1067">
        <f>Inputs!$B$3&gt;=33</f>
        <v/>
      </c>
      <c r="D1067">
        <f>IF(Skills!C22=1,60+Inputs!$B$25+Inputs!$B$29,IF(Skills!C22=2,90+Inputs!$B$26+Inputs!$B$29,IF(Skills!C22=3,120+Inputs!$B$27+Inputs!$B$29,MAX(0,(Inputs!$B$3-100)*3)+Inputs!$B$28+Inputs!$B$29)))</f>
        <v/>
      </c>
      <c r="E1067">
        <f>INDEX(FactorTable!$B$2:$Y$301, MATCH(ROUND(MIN(300,MAX(1,D1067)),0), FactorTable!$A$2:$A$301,0), Skills!M22+1)</f>
        <v/>
      </c>
      <c r="F1067">
        <f>IF(Skills!N22=TRUE,(Skills!L22/10)*(E1067/1000),Skills!L22/10)+Skills!O22</f>
        <v/>
      </c>
      <c r="G1067">
        <f>Skills!G22*IF(Skills!H22&gt;0,Skills!I22/Skills!H22,1)</f>
        <v/>
      </c>
      <c r="H1067">
        <f>1-(1-Skills!J22/100)^Skills!K22</f>
        <v/>
      </c>
      <c r="I1067" t="inlineStr">
        <is>
          <t>1</t>
        </is>
      </c>
      <c r="J1067" t="inlineStr"/>
      <c r="K1067" t="inlineStr"/>
      <c r="L1067" t="inlineStr"/>
      <c r="M1067" t="inlineStr"/>
      <c r="N1067" t="inlineStr"/>
      <c r="O1067" t="n">
        <v>0</v>
      </c>
      <c r="P1067">
        <f>IF(B1086=0,0,O1067/B1086)</f>
        <v/>
      </c>
      <c r="Q1067" t="n">
        <v>0</v>
      </c>
      <c r="R1067" t="n">
        <v>0</v>
      </c>
      <c r="S1067">
        <f>IFERROR(O1067/N1067,0)</f>
        <v/>
      </c>
    </row>
    <row r="1068">
      <c r="A1068">
        <f>Skills!A23</f>
        <v/>
      </c>
      <c r="B1068">
        <f>Skills!B23</f>
        <v/>
      </c>
      <c r="C1068">
        <f>Inputs!$B$3&gt;=38</f>
        <v/>
      </c>
      <c r="D1068">
        <f>IF(Skills!C23=1,60+Inputs!$B$25+Inputs!$B$29,IF(Skills!C23=2,90+Inputs!$B$26+Inputs!$B$29,IF(Skills!C23=3,120+Inputs!$B$27+Inputs!$B$29,MAX(0,(Inputs!$B$3-100)*3)+Inputs!$B$28+Inputs!$B$29)))</f>
        <v/>
      </c>
      <c r="E1068">
        <f>INDEX(FactorTable!$B$2:$Y$301, MATCH(ROUND(MIN(300,MAX(1,D1068)),0), FactorTable!$A$2:$A$301,0), Skills!M23+1)</f>
        <v/>
      </c>
      <c r="F1068">
        <f>IF(Skills!N23=TRUE,(Skills!L23/10)*(E1068/1000),Skills!L23/10)+Skills!O23</f>
        <v/>
      </c>
      <c r="G1068">
        <f>Skills!G23*IF(Skills!H23&gt;0,Skills!I23/Skills!H23,1)</f>
        <v/>
      </c>
      <c r="H1068">
        <f>1-(1-Skills!J23/100)^Skills!K23</f>
        <v/>
      </c>
      <c r="I1068" t="inlineStr">
        <is>
          <t>1</t>
        </is>
      </c>
      <c r="J1068" t="inlineStr"/>
      <c r="K1068" t="inlineStr"/>
      <c r="L1068" t="inlineStr"/>
      <c r="M1068" t="inlineStr"/>
      <c r="N1068" t="inlineStr"/>
      <c r="O1068" t="n">
        <v>0</v>
      </c>
      <c r="P1068">
        <f>IF(B1086=0,0,O1068/B1086)</f>
        <v/>
      </c>
      <c r="Q1068" t="n">
        <v>0</v>
      </c>
      <c r="R1068" t="n">
        <v>0</v>
      </c>
      <c r="S1068">
        <f>IFERROR(O1068/N1068,0)</f>
        <v/>
      </c>
    </row>
    <row r="1069">
      <c r="A1069">
        <f>Skills!A24</f>
        <v/>
      </c>
      <c r="B1069">
        <f>Skills!B24</f>
        <v/>
      </c>
      <c r="C1069">
        <f>Inputs!$B$3&gt;=43</f>
        <v/>
      </c>
      <c r="D1069">
        <f>IF(Skills!C24=1,60+Inputs!$B$25+Inputs!$B$29,IF(Skills!C24=2,90+Inputs!$B$26+Inputs!$B$29,IF(Skills!C24=3,120+Inputs!$B$27+Inputs!$B$29,MAX(0,(Inputs!$B$3-100)*3)+Inputs!$B$28+Inputs!$B$29)))</f>
        <v/>
      </c>
      <c r="E1069">
        <f>INDEX(FactorTable!$B$2:$Y$301, MATCH(ROUND(MIN(300,MAX(1,D1069)),0), FactorTable!$A$2:$A$301,0), Skills!M24+1)</f>
        <v/>
      </c>
      <c r="F1069">
        <f>IF(Skills!N24=TRUE,(Skills!L24/10)*(E1069/1000),Skills!L24/10)+Skills!O24</f>
        <v/>
      </c>
      <c r="G1069">
        <f>Skills!G24*IF(Skills!H24&gt;0,Skills!I24/Skills!H24,1)</f>
        <v/>
      </c>
      <c r="H1069">
        <f>1-(1-Skills!J24/100)^Skills!K24</f>
        <v/>
      </c>
      <c r="I1069" t="inlineStr">
        <is>
          <t>1</t>
        </is>
      </c>
      <c r="J1069" t="inlineStr"/>
      <c r="K1069" t="inlineStr"/>
      <c r="L1069" t="inlineStr"/>
      <c r="M1069" t="inlineStr"/>
      <c r="N1069" t="inlineStr"/>
      <c r="O1069" t="n">
        <v>0</v>
      </c>
      <c r="P1069">
        <f>IF(B1086=0,0,O1069/B1086)</f>
        <v/>
      </c>
      <c r="Q1069" t="n">
        <v>0</v>
      </c>
      <c r="R1069" t="n">
        <v>0</v>
      </c>
      <c r="S1069">
        <f>IFERROR(O1069/N1069,0)</f>
        <v/>
      </c>
    </row>
    <row r="1070">
      <c r="A1070">
        <f>Skills!A25</f>
        <v/>
      </c>
      <c r="B1070">
        <f>Skills!B25</f>
        <v/>
      </c>
      <c r="C1070">
        <f>Inputs!$B$3&gt;=75</f>
        <v/>
      </c>
      <c r="D1070">
        <f>IF(Skills!C25=1,60+Inputs!$B$25+Inputs!$B$29,IF(Skills!C25=2,90+Inputs!$B$26+Inputs!$B$29,IF(Skills!C25=3,120+Inputs!$B$27+Inputs!$B$29,MAX(0,(Inputs!$B$3-100)*3)+Inputs!$B$28+Inputs!$B$29)))</f>
        <v/>
      </c>
      <c r="E1070">
        <f>INDEX(FactorTable!$B$2:$Y$301, MATCH(ROUND(MIN(300,MAX(1,D1070)),0), FactorTable!$A$2:$A$301,0), Skills!M25+1)</f>
        <v/>
      </c>
      <c r="F1070">
        <f>IF(Skills!N25=TRUE,(Skills!L25/10)*(E1070/1000),Skills!L25/10)+Skills!O25</f>
        <v/>
      </c>
      <c r="G1070">
        <f>Skills!G25*IF(Skills!H25&gt;0,Skills!I25/Skills!H25,1)</f>
        <v/>
      </c>
      <c r="H1070">
        <f>1-(1-Skills!J25/100)^Skills!K25</f>
        <v/>
      </c>
      <c r="I1070" t="inlineStr">
        <is>
          <t>1</t>
        </is>
      </c>
      <c r="J1070" t="inlineStr"/>
      <c r="K1070" t="inlineStr"/>
      <c r="L1070" t="inlineStr"/>
      <c r="M1070" t="inlineStr"/>
      <c r="N1070" t="inlineStr"/>
      <c r="O1070" t="n">
        <v>0</v>
      </c>
      <c r="P1070">
        <f>IF(B1086=0,0,O1070/B1086)</f>
        <v/>
      </c>
      <c r="Q1070" t="n">
        <v>0</v>
      </c>
      <c r="R1070" t="n">
        <v>0</v>
      </c>
      <c r="S1070">
        <f>IFERROR(O1070/N1070,0)</f>
        <v/>
      </c>
    </row>
    <row r="1071">
      <c r="A1071">
        <f>Skills!A26</f>
        <v/>
      </c>
      <c r="B1071">
        <f>Skills!B26</f>
        <v/>
      </c>
      <c r="C1071">
        <f>Inputs!$B$3&gt;=125</f>
        <v/>
      </c>
      <c r="D1071">
        <f>IF(Skills!C26=1,60+Inputs!$B$25+Inputs!$B$29,IF(Skills!C26=2,90+Inputs!$B$26+Inputs!$B$29,IF(Skills!C26=3,120+Inputs!$B$27+Inputs!$B$29,MAX(0,(Inputs!$B$3-100)*3)+Inputs!$B$28+Inputs!$B$29)))</f>
        <v/>
      </c>
      <c r="E1071">
        <f>INDEX(FactorTable!$B$2:$Y$301, MATCH(ROUND(MIN(300,MAX(1,D1071)),0), FactorTable!$A$2:$A$301,0), Skills!M26+1)</f>
        <v/>
      </c>
      <c r="F1071">
        <f>IF(Skills!N26=TRUE,(Skills!L26/10)*(E1071/1000),Skills!L26/10)+Skills!O26</f>
        <v/>
      </c>
      <c r="G1071">
        <f>Skills!G26*IF(Skills!H26&gt;0,Skills!I26/Skills!H26,1)</f>
        <v/>
      </c>
      <c r="H1071">
        <f>1-(1-Skills!J26/100)^Skills!K26</f>
        <v/>
      </c>
      <c r="I1071" t="inlineStr">
        <is>
          <t>1</t>
        </is>
      </c>
      <c r="J1071" t="inlineStr"/>
      <c r="K1071" t="inlineStr"/>
      <c r="L1071" t="inlineStr"/>
      <c r="M1071" t="inlineStr"/>
      <c r="N1071" t="inlineStr"/>
      <c r="O1071" t="n">
        <v>0</v>
      </c>
      <c r="P1071">
        <f>IF(B1086=0,0,O1071/B1086)</f>
        <v/>
      </c>
      <c r="Q1071" t="n">
        <v>0</v>
      </c>
      <c r="R1071" t="n">
        <v>0</v>
      </c>
      <c r="S1071">
        <f>IFERROR(O1071/N1071,0)</f>
        <v/>
      </c>
    </row>
    <row r="1072">
      <c r="A1072">
        <f>Skills!A27</f>
        <v/>
      </c>
      <c r="B1072">
        <f>Skills!B27</f>
        <v/>
      </c>
      <c r="C1072">
        <f>Inputs!$B$3&gt;=125</f>
        <v/>
      </c>
      <c r="D1072">
        <f>IF(Skills!C27=1,60+Inputs!$B$25+Inputs!$B$29,IF(Skills!C27=2,90+Inputs!$B$26+Inputs!$B$29,IF(Skills!C27=3,120+Inputs!$B$27+Inputs!$B$29,MAX(0,(Inputs!$B$3-100)*3)+Inputs!$B$28+Inputs!$B$29)))</f>
        <v/>
      </c>
      <c r="E1072">
        <f>INDEX(FactorTable!$B$2:$Y$301, MATCH(ROUND(MIN(300,MAX(1,D1072)),0), FactorTable!$A$2:$A$301,0), Skills!M27+1)</f>
        <v/>
      </c>
      <c r="F1072">
        <f>IF(Skills!N27=TRUE,(Skills!L27/10)*(E1072/1000),Skills!L27/10)+Skills!O27</f>
        <v/>
      </c>
      <c r="G1072">
        <f>Skills!G27*IF(Skills!H27&gt;0,Skills!I27/Skills!H27,1)</f>
        <v/>
      </c>
      <c r="H1072">
        <f>1-(1-Skills!J27/100)^Skills!K27</f>
        <v/>
      </c>
      <c r="I1072" t="inlineStr">
        <is>
          <t>1</t>
        </is>
      </c>
      <c r="J1072" t="inlineStr"/>
      <c r="K1072" t="inlineStr"/>
      <c r="L1072" t="inlineStr"/>
      <c r="M1072" t="inlineStr"/>
      <c r="N1072" t="inlineStr"/>
      <c r="O1072" t="n">
        <v>0</v>
      </c>
      <c r="P1072">
        <f>IF(B1086=0,0,O1072/B1086)</f>
        <v/>
      </c>
      <c r="Q1072" t="n">
        <v>0</v>
      </c>
      <c r="R1072" t="n">
        <v>0</v>
      </c>
      <c r="S1072">
        <f>IFERROR(O1072/N1072,0)</f>
        <v/>
      </c>
    </row>
    <row r="1073">
      <c r="A1073">
        <f>Skills!A28</f>
        <v/>
      </c>
      <c r="B1073">
        <f>Skills!B28</f>
        <v/>
      </c>
      <c r="C1073">
        <f>Inputs!$B$3&gt;=120</f>
        <v/>
      </c>
      <c r="D1073">
        <f>IF(Skills!C28=1,60+Inputs!$B$25+Inputs!$B$29,IF(Skills!C28=2,90+Inputs!$B$26+Inputs!$B$29,IF(Skills!C28=3,120+Inputs!$B$27+Inputs!$B$29,MAX(0,(Inputs!$B$3-100)*3)+Inputs!$B$28+Inputs!$B$29)))</f>
        <v/>
      </c>
      <c r="E1073">
        <f>INDEX(FactorTable!$B$2:$Y$301, MATCH(ROUND(MIN(300,MAX(1,D1073)),0), FactorTable!$A$2:$A$301,0), Skills!M28+1)</f>
        <v/>
      </c>
      <c r="F1073">
        <f>IF(Skills!N28=TRUE,(Skills!L28/10)*(E1073/1000),Skills!L28/10)+Skills!O28</f>
        <v/>
      </c>
      <c r="G1073">
        <f>Skills!G28*IF(Skills!H28&gt;0,Skills!I28/Skills!H28,1)</f>
        <v/>
      </c>
      <c r="H1073">
        <f>1-(1-Skills!J28/100)^Skills!K28</f>
        <v/>
      </c>
      <c r="I1073" t="inlineStr">
        <is>
          <t>1</t>
        </is>
      </c>
      <c r="J1073" t="inlineStr"/>
      <c r="K1073" t="inlineStr"/>
      <c r="L1073" t="inlineStr"/>
      <c r="M1073" t="inlineStr"/>
      <c r="N1073" t="inlineStr"/>
      <c r="O1073" t="n">
        <v>0</v>
      </c>
      <c r="P1073">
        <f>IF(B1086=0,0,O1073/B1086)</f>
        <v/>
      </c>
      <c r="Q1073" t="n">
        <v>0</v>
      </c>
      <c r="R1073" t="n">
        <v>0</v>
      </c>
      <c r="S1073">
        <f>IFERROR(O1073/N1073,0)</f>
        <v/>
      </c>
    </row>
    <row r="1074">
      <c r="A1074">
        <f>Skills!A29</f>
        <v/>
      </c>
      <c r="B1074">
        <f>Skills!B29</f>
        <v/>
      </c>
      <c r="C1074">
        <f>Inputs!$B$3&gt;=120</f>
        <v/>
      </c>
      <c r="D1074">
        <f>IF(Skills!C29=1,60+Inputs!$B$25+Inputs!$B$29,IF(Skills!C29=2,90+Inputs!$B$26+Inputs!$B$29,IF(Skills!C29=3,120+Inputs!$B$27+Inputs!$B$29,MAX(0,(Inputs!$B$3-100)*3)+Inputs!$B$28+Inputs!$B$29)))</f>
        <v/>
      </c>
      <c r="E1074">
        <f>INDEX(FactorTable!$B$2:$Y$301, MATCH(ROUND(MIN(300,MAX(1,D1074)),0), FactorTable!$A$2:$A$301,0), Skills!M29+1)</f>
        <v/>
      </c>
      <c r="F1074">
        <f>IF(Skills!N29=TRUE,(Skills!L29/10)*(E1074/1000),Skills!L29/10)+Skills!O29</f>
        <v/>
      </c>
      <c r="G1074">
        <f>Skills!G29*IF(Skills!H29&gt;0,Skills!I29/Skills!H29,1)</f>
        <v/>
      </c>
      <c r="H1074">
        <f>1-(1-Skills!J29/100)^Skills!K29</f>
        <v/>
      </c>
      <c r="I1074" t="inlineStr">
        <is>
          <t>1</t>
        </is>
      </c>
      <c r="J1074" t="inlineStr"/>
      <c r="K1074" t="inlineStr"/>
      <c r="L1074" t="inlineStr"/>
      <c r="M1074" t="inlineStr"/>
      <c r="N1074" t="inlineStr"/>
      <c r="O1074" t="n">
        <v>0</v>
      </c>
      <c r="P1074">
        <f>IF(B1086=0,0,O1074/B1086)</f>
        <v/>
      </c>
      <c r="Q1074" t="n">
        <v>0</v>
      </c>
      <c r="R1074" t="n">
        <v>0</v>
      </c>
      <c r="S1074">
        <f>IFERROR(O1074/N1074,0)</f>
        <v/>
      </c>
    </row>
    <row r="1075">
      <c r="A1075">
        <f>Skills!A30</f>
        <v/>
      </c>
      <c r="B1075">
        <f>Skills!B30</f>
        <v/>
      </c>
      <c r="C1075">
        <f>Inputs!$B$3&gt;=45</f>
        <v/>
      </c>
      <c r="D1075">
        <f>IF(Skills!C30=1,60+Inputs!$B$25+Inputs!$B$29,IF(Skills!C30=2,90+Inputs!$B$26+Inputs!$B$29,IF(Skills!C30=3,120+Inputs!$B$27+Inputs!$B$29,MAX(0,(Inputs!$B$3-100)*3)+Inputs!$B$28+Inputs!$B$29)))</f>
        <v/>
      </c>
      <c r="E1075">
        <f>INDEX(FactorTable!$B$2:$Y$301, MATCH(ROUND(MIN(300,MAX(1,D1075)),0), FactorTable!$A$2:$A$301,0), Skills!M30+1)</f>
        <v/>
      </c>
      <c r="F1075">
        <f>IF(Skills!N30=TRUE,(Skills!L30/10)*(E1075/1000),Skills!L30/10)+Skills!O30</f>
        <v/>
      </c>
      <c r="G1075">
        <f>Skills!G30*IF(Skills!H30&gt;0,Skills!I30/Skills!H30,1)</f>
        <v/>
      </c>
      <c r="H1075">
        <f>1-(1-Skills!J30/100)^Skills!K30</f>
        <v/>
      </c>
      <c r="I1075" t="inlineStr">
        <is>
          <t>1</t>
        </is>
      </c>
      <c r="J1075" t="inlineStr"/>
      <c r="K1075" t="inlineStr"/>
      <c r="L1075" t="inlineStr"/>
      <c r="M1075" t="inlineStr"/>
      <c r="N1075" t="inlineStr"/>
      <c r="O1075" t="n">
        <v>0</v>
      </c>
      <c r="P1075">
        <f>IF(B1086=0,0,O1075/B1086)</f>
        <v/>
      </c>
      <c r="Q1075" t="n">
        <v>0</v>
      </c>
      <c r="R1075" t="n">
        <v>0</v>
      </c>
      <c r="S1075">
        <f>IFERROR(O1075/N1075,0)</f>
        <v/>
      </c>
    </row>
    <row r="1077">
      <c r="A1077" t="inlineStr">
        <is>
          <t>Attack% Bucket Multiplier</t>
        </is>
      </c>
      <c r="B1077">
        <f>(1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f>
        <v/>
      </c>
    </row>
    <row r="1078">
      <c r="A1078" t="inlineStr">
        <is>
          <t>Global Crit Rate Bonus %</t>
        </is>
      </c>
      <c r="B1078">
        <f>(C1061=TRUE)*20*IF(AND(Inputs!$B$38&lt;&gt;"pvp",Inputs!$B$43&gt;0),(((R1061-1)*(Skills!T16*(1+Inputs!$B$34/100))+MIN((Skills!T16*(1+Inputs!$B$34/100)),MAX(0,Inputs!$B$43-((R1061-1)*Skills!D16))))/Inputs!$B$43),IF(Inputs!$B$38="pvp",MIN((Skills!T16*(1+Inputs!$B$34/100)),15)/15,(Skills!T16*(1+Inputs!$B$34/100))/Skills!D16))</f>
        <v/>
      </c>
    </row>
    <row r="1079">
      <c r="A1079" t="inlineStr">
        <is>
          <t>Attack Speed Buff Bonus %</t>
        </is>
      </c>
      <c r="B1079">
        <f>((C1064=TRUE)*F1064*IF(AND(Inputs!$B$38&lt;&gt;"pvp",Inputs!$B$43&gt;0),(((R1064-1)*(Skills!T19*(1+Inputs!$B$34/100))+MIN((Skills!T19*(1+Inputs!$B$34/100)),MAX(0,Inputs!$B$43-((R1064-1)*Skills!D19))))/Inputs!$B$43),IF(Inputs!$B$38="pvp",MIN((Skills!T19*(1+Inputs!$B$34/100)),15)/15,(Skills!T19*(1+Inputs!$B$34/100))/Skills!D19)))</f>
        <v/>
      </c>
    </row>
    <row r="1080">
      <c r="A1080" t="inlineStr">
        <is>
          <t>Actions Per Second</t>
        </is>
      </c>
      <c r="B1080">
        <f>1+MIN(150,150*(1-(1-(Inputs!$B$11+((C1066=TRUE)*(F1066-Calc!F21))+((C1067=TRUE)*(F1067-Calc!F22)))/150)*(1-B1079/150)))/100</f>
        <v/>
      </c>
    </row>
    <row r="1081">
      <c r="A1081" t="inlineStr">
        <is>
          <t>Skill + Buff Cast Rate</t>
        </is>
      </c>
      <c r="B1081">
        <f>IF(AND(Inputs!$B$38&lt;&gt;"pvp",Inputs!$B$43&gt;0),SUMPRODUCT((Skills!E2:E30=TRUE)*(C1047:C1075=TRUE)*R1047:R1075*Skills!F2:F30)/Inputs!$B$43,SUMPRODUCT((Skills!E2:E30=TRUE)*(C1047:C1075=TRUE)*Q1047:Q1075*Skills!F2:F30))</f>
        <v/>
      </c>
    </row>
    <row r="1082">
      <c r="A1082" t="inlineStr">
        <is>
          <t>Arrow Stream Casts Per Second</t>
        </is>
      </c>
      <c r="B1082">
        <f>MAX(0,B1080-B1081)</f>
        <v/>
      </c>
    </row>
    <row r="1083">
      <c r="A1083" t="inlineStr">
        <is>
          <t>Global Critical Damage Bonus % (Sharp Eyes + Concentration)</t>
        </is>
      </c>
      <c r="B1083">
        <f>(C1061=TRUE)*F1061*IF(AND(Inputs!$B$38&lt;&gt;"pvp",Inputs!$B$43&gt;0),(((R1061-1)*(Skills!T16*(1+Inputs!$B$34/100))+MIN((Skills!T16*(1+Inputs!$B$34/100)),MAX(0,Inputs!$B$43-((R1061-1)*Skills!D16))))/Inputs!$B$43),IF(Inputs!$B$38="pvp",MIN((Skills!T16*(1+Inputs!$B$34/100)),15)/15,(Skills!T16*(1+Inputs!$B$34/100))/Skills!D16))+(C1062=TRUE)*30</f>
        <v/>
      </c>
    </row>
    <row r="1084">
      <c r="A1084" t="inlineStr">
        <is>
          <t>Global Final Damage Bonus % (Mortal Blow)</t>
        </is>
      </c>
      <c r="B1084">
        <f>(C1063=TRUE)*F1063</f>
        <v/>
      </c>
    </row>
    <row r="1085">
      <c r="A1085" t="inlineStr">
        <is>
          <t>Buff-Casting Startup Delay (s, fixed-duration only)</t>
        </is>
      </c>
      <c r="B1085">
        <f>IF(AND(Inputs!$B$38&lt;&gt;"pvp",Inputs!$B$43&gt;0),SUMPRODUCT((Skills!T2:T30&gt;0)*(Skills!E2:E30=TRUE)*(C1047:C1075=TRUE))/B1080,0)</f>
        <v/>
      </c>
    </row>
    <row r="1086">
      <c r="A1086" s="5" t="inlineStr">
        <is>
          <t>TOTAL DPS</t>
        </is>
      </c>
      <c r="B1086" s="5">
        <f>SUM(O1047:O1075)</f>
        <v/>
      </c>
    </row>
    <row r="1089">
      <c r="A1089" s="5" t="inlineStr">
        <is>
          <t>Stat: Basic Attack Target Increase (flat)</t>
        </is>
      </c>
    </row>
    <row r="1090">
      <c r="A1090" s="9" t="inlineStr">
        <is>
          <t>Key</t>
        </is>
      </c>
      <c r="B1090" s="9" t="inlineStr">
        <is>
          <t>Name</t>
        </is>
      </c>
      <c r="C1090" s="9" t="inlineStr">
        <is>
          <t>Unlocked</t>
        </is>
      </c>
      <c r="D1090" s="9" t="inlineStr">
        <is>
          <t>InputLevel</t>
        </is>
      </c>
      <c r="E1090" s="9" t="inlineStr">
        <is>
          <t>Factor</t>
        </is>
      </c>
      <c r="F1090" s="9" t="inlineStr">
        <is>
          <t>CoefficientPercent</t>
        </is>
      </c>
      <c r="G1090" s="9" t="inlineStr">
        <is>
          <t>EffectiveHits</t>
        </is>
      </c>
      <c r="H1090" s="9" t="inlineStr">
        <is>
          <t>ProcProbability</t>
        </is>
      </c>
      <c r="I1090" s="9" t="inlineStr">
        <is>
          <t>MapleHeroMultiplier</t>
        </is>
      </c>
      <c r="J1090" s="9" t="inlineStr">
        <is>
          <t>BaseDamage</t>
        </is>
      </c>
      <c r="K1090" s="9" t="inlineStr">
        <is>
          <t>BaseHitDamage</t>
        </is>
      </c>
      <c r="L1090" s="9" t="inlineStr">
        <is>
          <t>NonCritAvg</t>
        </is>
      </c>
      <c r="M1090" s="9" t="inlineStr">
        <is>
          <t>CritAvg</t>
        </is>
      </c>
      <c r="N1090" s="9" t="inlineStr">
        <is>
          <t>ExpectedDamage(perHit)</t>
        </is>
      </c>
      <c r="O1090" s="9" t="inlineStr">
        <is>
          <t>DPS</t>
        </is>
      </c>
      <c r="P1090" s="9" t="inlineStr">
        <is>
          <t>% of Total</t>
        </is>
      </c>
      <c r="Q1090" s="9" t="inlineStr">
        <is>
          <t>InvCooldown</t>
        </is>
      </c>
      <c r="R1090" s="9" t="inlineStr">
        <is>
          <t>CastsInFight</t>
        </is>
      </c>
      <c r="S1090" s="9" t="inlineStr">
        <is>
          <t>HitRate(perSec)</t>
        </is>
      </c>
      <c r="U1090" t="inlineStr">
        <is>
          <t>helpers</t>
        </is>
      </c>
    </row>
    <row r="1091">
      <c r="A1091">
        <f>Skills!A2</f>
        <v/>
      </c>
      <c r="B1091">
        <f>Skills!B2</f>
        <v/>
      </c>
      <c r="C1091">
        <f>Inputs!$B$3&gt;=100</f>
        <v/>
      </c>
      <c r="D1091" t="inlineStr"/>
      <c r="E1091" t="inlineStr"/>
      <c r="F1091">
        <f>U1093+Skills!O2</f>
        <v/>
      </c>
      <c r="G1091">
        <f>Skills!G2*IF(Skills!H2&gt;0,Skills!I2/Skills!H2,1)</f>
        <v/>
      </c>
      <c r="H1091">
        <f>1-(1-Skills!J2/100)^Skills!K2</f>
        <v/>
      </c>
      <c r="I1091" t="inlineStr">
        <is>
          <t>1</t>
        </is>
      </c>
      <c r="J1091">
        <f>((Inputs!$B$6*(1+Inputs!$B$7/100))+(((Inputs!$B$12*(1+Inputs!$B$13/100))-(Inputs!$B$12*(1+Inputs!$B$13/100)))+0.25*(Inputs!$B$14-Inputs!$B$14))*(1+Inputs!$B$7/100))*(F1091/100)</f>
        <v/>
      </c>
      <c r="K1091">
        <f>J1091*(1+((Inputs!$B$12*(1+Inputs!$B$13/100))*0.01+Inputs!$B$14*0.0025)/100)*(1+Inputs!$B$15/100)*(1+IF(Inputs!$B$38="pvp",0,(1-Summary!$B$55)*(Inputs!$B$20+0+Skills!P2)+Summary!$B$55*(Inputs!$B$21+Skills!Q2))/100)*(1+Inputs!$B$16/100)*(5000/(6000+Inputs!$B$42*(1-(Inputs!$B$19+((C1116=TRUE)*(F1116-Calc!F27)))/100)))*(1+(Inputs!$B$24+((C1114=TRUE)*(F1114-Calc!F25))+((C1115=TRUE)*(F1115-Calc!F26))+B1128)/100)*(1+(IF(Skills!A2="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1091)</f>
        <v/>
      </c>
      <c r="L1091">
        <f>K1091*(MIN(Inputs!$B$22+((C1113=TRUE)*(F1113-Calc!F24)),Inputs!$B$23+((C1118=TRUE)*(F1118-Calc!F29)))/100+(Inputs!$B$23+((C1118=TRUE)*(F1118-Calc!F29)))/100)/2</f>
        <v/>
      </c>
      <c r="M1091">
        <f>L1091*(1+(Inputs!$B$10+0+B1127)/100)</f>
        <v/>
      </c>
      <c r="N1091">
        <f>L1091*(1-MIN((Inputs!$B$9+((C1109=TRUE)*(F1109-Calc!F20))+B1122),100)/100)+M1091*(MIN((Inputs!$B$9+((C1109=TRUE)*(F1109-Calc!F20))+B1122),100)/100)</f>
        <v/>
      </c>
      <c r="O1091">
        <f>IF(C1091,Skills!G2*N1091*B1126*IF(Inputs!$B$38="pvp",1,(1-Summary!$B$55)*(1)+Summary!$B$55*(MIN((6+(Inputs!$B$33+1)),Inputs!$B$37))),0)</f>
        <v/>
      </c>
      <c r="P1091">
        <f>IF(B1130=0,0,O1091/B1130)</f>
        <v/>
      </c>
      <c r="Q1091" t="n">
        <v>0</v>
      </c>
      <c r="R1091" t="n">
        <v>0</v>
      </c>
      <c r="S1091">
        <f>IFERROR(O1091/N1091,0)</f>
        <v/>
      </c>
      <c r="U1091">
        <f>MAX(0,(Inputs!$B$3-100)*3)+Inputs!$B$28+Inputs!$B$29</f>
        <v/>
      </c>
    </row>
    <row r="1092">
      <c r="A1092">
        <f>Skills!A3</f>
        <v/>
      </c>
      <c r="B1092">
        <f>Skills!B3</f>
        <v/>
      </c>
      <c r="C1092">
        <f>Inputs!$B$3&gt;=50</f>
        <v/>
      </c>
      <c r="D1092">
        <f>IF(Skills!C3=1,60+Inputs!$B$25+Inputs!$B$29,IF(Skills!C3=2,90+Inputs!$B$26+Inputs!$B$29,IF(Skills!C3=3,120+Inputs!$B$27+Inputs!$B$29,MAX(0,(Inputs!$B$3-100)*3)+Inputs!$B$28+Inputs!$B$29)))</f>
        <v/>
      </c>
      <c r="E1092">
        <f>INDEX(FactorTable!$B$2:$Y$301, MATCH(ROUND(MIN(300,MAX(1,D1092)),0), FactorTable!$A$2:$A$301,0), Skills!M3+1)</f>
        <v/>
      </c>
      <c r="F1092">
        <f>IF(Skills!N3=TRUE,(Skills!L3/10)*(E1092/1000),Skills!L3/10)+Skills!O3</f>
        <v/>
      </c>
      <c r="G1092" t="inlineStr"/>
      <c r="H1092" t="inlineStr"/>
      <c r="I1092" t="inlineStr">
        <is>
          <t>1</t>
        </is>
      </c>
      <c r="J1092" t="inlineStr"/>
      <c r="K1092" t="inlineStr"/>
      <c r="L1092" t="inlineStr"/>
      <c r="M1092" t="inlineStr"/>
      <c r="N1092" t="inlineStr"/>
      <c r="O1092" t="inlineStr"/>
      <c r="P1092" t="inlineStr"/>
      <c r="Q1092" t="inlineStr"/>
      <c r="R1092" t="inlineStr"/>
      <c r="S1092" t="inlineStr"/>
      <c r="U1092">
        <f>INDEX(FactorTable!$B$2:$Y$301, MATCH(ROUND(MIN(300,MAX(1,U1091)),0), FactorTable!$A$2:$A$301,0), 22)</f>
        <v/>
      </c>
    </row>
    <row r="1093">
      <c r="A1093">
        <f>Skills!A4</f>
        <v/>
      </c>
      <c r="B1093">
        <f>Skills!B4</f>
        <v/>
      </c>
      <c r="C1093">
        <f>Inputs!$B$3&gt;=105</f>
        <v/>
      </c>
      <c r="D1093">
        <f>IF(Skills!C4=1,60+Inputs!$B$25+Inputs!$B$29,IF(Skills!C4=2,90+Inputs!$B$26+Inputs!$B$29,IF(Skills!C4=3,120+Inputs!$B$27+Inputs!$B$29,MAX(0,(Inputs!$B$3-100)*3)+Inputs!$B$28+Inputs!$B$29)))</f>
        <v/>
      </c>
      <c r="E1093">
        <f>INDEX(FactorTable!$B$2:$Y$301, MATCH(ROUND(MIN(300,MAX(1,D1093)),0), FactorTable!$A$2:$A$301,0), Skills!M4+1)</f>
        <v/>
      </c>
      <c r="F1093">
        <f>IF(Skills!N4=TRUE,(Skills!L4/10)*(E1093/1000),Skills!L4/10)+Skills!O4</f>
        <v/>
      </c>
      <c r="G1093" t="inlineStr"/>
      <c r="H1093" t="inlineStr"/>
      <c r="I1093" t="inlineStr">
        <is>
          <t>1</t>
        </is>
      </c>
      <c r="J1093" t="inlineStr"/>
      <c r="K1093" t="inlineStr"/>
      <c r="L1093" t="inlineStr"/>
      <c r="M1093" t="inlineStr"/>
      <c r="N1093" t="inlineStr"/>
      <c r="O1093" t="inlineStr"/>
      <c r="P1093" t="inlineStr"/>
      <c r="Q1093" t="inlineStr"/>
      <c r="R1093" t="inlineStr"/>
      <c r="S1093" t="inlineStr"/>
      <c r="U1093">
        <f>290*U1092/1000</f>
        <v/>
      </c>
    </row>
    <row r="1094">
      <c r="A1094">
        <f>Skills!A5</f>
        <v/>
      </c>
      <c r="B1094">
        <f>Skills!B5</f>
        <v/>
      </c>
      <c r="C1094">
        <f>Inputs!$B$3&gt;=35</f>
        <v/>
      </c>
      <c r="D1094">
        <f>IF(Skills!C5=1,60+Inputs!$B$25+Inputs!$B$29,IF(Skills!C5=2,90+Inputs!$B$26+Inputs!$B$29,IF(Skills!C5=3,120+Inputs!$B$27+Inputs!$B$29,MAX(0,(Inputs!$B$3-100)*3)+Inputs!$B$28+Inputs!$B$29)))</f>
        <v/>
      </c>
      <c r="E1094">
        <f>INDEX(FactorTable!$B$2:$Y$301, MATCH(ROUND(MIN(300,MAX(1,D1094)),0), FactorTable!$A$2:$A$301,0), Skills!M5+1)</f>
        <v/>
      </c>
      <c r="F1094">
        <f>IF(Skills!N5=TRUE,(Skills!L5/10)*(E1094/1000),Skills!L5/10)+Skills!O5</f>
        <v/>
      </c>
      <c r="G1094">
        <f>Skills!G5*IF(Skills!H5&gt;0,Skills!I5/Skills!H5,1)</f>
        <v/>
      </c>
      <c r="H1094">
        <f>1-(1-Skills!J5/100)^Skills!K5</f>
        <v/>
      </c>
      <c r="I1094" t="inlineStr">
        <is>
          <t>1</t>
        </is>
      </c>
      <c r="J1094">
        <f>((Inputs!$B$6*(1+Inputs!$B$7/100))+(((Inputs!$B$12*(1+Inputs!$B$13/100))-(Inputs!$B$12*(1+Inputs!$B$13/100)))+0.25*(Inputs!$B$14-Inputs!$B$14))*(1+Inputs!$B$7/100))*(F1094/100)</f>
        <v/>
      </c>
      <c r="K1094">
        <f>J1094*(1+((Inputs!$B$12*(1+Inputs!$B$13/100))*0.01+Inputs!$B$14*0.0025)/100)*(1+Inputs!$B$15/100)*(1+IF(Inputs!$B$38="pvp",0,(1-Summary!$B$55)*(Inputs!$B$20+0+Skills!P5)+Summary!$B$55*(Inputs!$B$21+Skills!Q5))/100)*(1+Inputs!$B$16/100)*(5000/(6000+Inputs!$B$42*(1-(Inputs!$B$19+((C1116=TRUE)*(F1116-Calc!F27)))/100)))*(1+(Inputs!$B$24+((C1114=TRUE)*(F1114-Calc!F25))+((C1115=TRUE)*(F1115-Calc!F26))+B1128)/100)*(1+4.0*IF(C1099=TRUE,F1099,0)/100)*(1+(IF(Skills!A5="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1094)</f>
        <v/>
      </c>
      <c r="L1094">
        <f>K1094*(MIN(Inputs!$B$22+((C1113=TRUE)*(F1113-Calc!F24)),Inputs!$B$23+((C1118=TRUE)*(F1118-Calc!F29)))/100+(Inputs!$B$23+((C1118=TRUE)*(F1118-Calc!F29)))/100)/2</f>
        <v/>
      </c>
      <c r="M1094">
        <f>L1094*(1+(Inputs!$B$10+0+B1127)/100)</f>
        <v/>
      </c>
      <c r="N1094">
        <f>L1094*(1-MIN((Inputs!$B$9+((C1109=TRUE)*(F1109-Calc!F20))+B1122),100)/100)+M1094*(MIN((Inputs!$B$9+((C1109=TRUE)*(F1109-Calc!F20))+B1122),100)/100)</f>
        <v/>
      </c>
      <c r="O1094">
        <f>IF(C1094,H1094*N1094*IF(AND(Inputs!$B$38&lt;&gt;"pvp",Inputs!$B$43&gt;0),((Skills!G5*((R1094-1)*IF(Skills!H5&gt;0,Skills!I5/Skills!H5,1)+IF(Skills!H5&gt;0,MIN(Skills!I5,MAX(0,MAX(0,Inputs!$B$43-B1129)-((R1094-1)*IF(Inputs!$B$38="pvp",15,MAX(0.1,Skills!D5-IF(Skills!E5=TRUE,Inputs!$B$32,0))))))/Skills!H5,1)))/Inputs!$B$43),G1094*Q1094)*IF(Inputs!$B$38="pvp",1,(1-Summary!$B$55)*(1)+Summary!$B$55*(MIN(Skills!R5,Inputs!$B$37))),0)</f>
        <v/>
      </c>
      <c r="P1094">
        <f>IF(B1130=0,0,O1094/B1130)</f>
        <v/>
      </c>
      <c r="Q1094">
        <f>IFERROR(1/IF(Inputs!$B$38="pvp",15,MAX(0.1,Skills!D5-IF(Skills!E5=TRUE,Inputs!$B$32,0))),0)</f>
        <v/>
      </c>
      <c r="R1094">
        <f>IF(AND(Inputs!$B$38&lt;&gt;"pvp",Inputs!$B$43&gt;0),IF(MAX(0,Inputs!$B$43-B1129)&lt;=0,0,(INT(MAX(0,Inputs!$B$43-B1129)/IF(Inputs!$B$38="pvp",15,MAX(0.1,Skills!D5-IF(Skills!E5=TRUE,Inputs!$B$32,0))))+1)),0)</f>
        <v/>
      </c>
      <c r="S1094">
        <f>IFERROR(O1094/N1094,0)</f>
        <v/>
      </c>
    </row>
    <row r="1095">
      <c r="A1095">
        <f>Skills!A6</f>
        <v/>
      </c>
      <c r="B1095">
        <f>Skills!B6</f>
        <v/>
      </c>
      <c r="C1095">
        <f>Inputs!$B$3&gt;=40</f>
        <v/>
      </c>
      <c r="D1095">
        <f>IF(Skills!C6=1,60+Inputs!$B$25+Inputs!$B$29,IF(Skills!C6=2,90+Inputs!$B$26+Inputs!$B$29,IF(Skills!C6=3,120+Inputs!$B$27+Inputs!$B$29,MAX(0,(Inputs!$B$3-100)*3)+Inputs!$B$28+Inputs!$B$29)))</f>
        <v/>
      </c>
      <c r="E1095">
        <f>INDEX(FactorTable!$B$2:$Y$301, MATCH(ROUND(MIN(300,MAX(1,D1095)),0), FactorTable!$A$2:$A$301,0), Skills!M6+1)</f>
        <v/>
      </c>
      <c r="F1095">
        <f>IF(Skills!N6=TRUE,(Skills!L6/10)*(E1095/1000),Skills!L6/10)+Skills!O6</f>
        <v/>
      </c>
      <c r="G1095">
        <f>Skills!G6*IF(Skills!H6&gt;0,Skills!I6/Skills!H6,1)</f>
        <v/>
      </c>
      <c r="H1095">
        <f>1-(1-Skills!J6/100)^Skills!K6</f>
        <v/>
      </c>
      <c r="I1095" t="inlineStr">
        <is>
          <t>1</t>
        </is>
      </c>
      <c r="J1095">
        <f>((Inputs!$B$6*(1+Inputs!$B$7/100))+(((Inputs!$B$12*(1+Inputs!$B$13/100))-(Inputs!$B$12*(1+Inputs!$B$13/100)))+0.25*(Inputs!$B$14-Inputs!$B$14))*(1+Inputs!$B$7/100))*(F1095/100)</f>
        <v/>
      </c>
      <c r="K1095">
        <f>J1095*(1+((Inputs!$B$12*(1+Inputs!$B$13/100))*0.01+Inputs!$B$14*0.0025)/100)*(1+Inputs!$B$15/100)*(1+IF(Inputs!$B$38="pvp",0,(1-Summary!$B$55)*(Inputs!$B$20+0+Skills!P6)+Summary!$B$55*(Inputs!$B$21+Skills!Q6))/100)*(1+Inputs!$B$16/100)*(5000/(6000+Inputs!$B$42*(1-(Inputs!$B$19+((C1116=TRUE)*(F1116-Calc!F27)))/100)))*(1+(Inputs!$B$24+((C1114=TRUE)*(F1114-Calc!F25))+((C1115=TRUE)*(F1115-Calc!F26))+B1128)/100)*(1+IF(C1096=TRUE,F1096,0)/100)*(1+(IF(Skills!A6="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1095)</f>
        <v/>
      </c>
      <c r="L1095">
        <f>K1095*(MIN(Inputs!$B$22+((C1113=TRUE)*(F1113-Calc!F24)),Inputs!$B$23+((C1118=TRUE)*(F1118-Calc!F29)))/100+(Inputs!$B$23+((C1118=TRUE)*(F1118-Calc!F29)))/100)/2</f>
        <v/>
      </c>
      <c r="M1095">
        <f>L1095*(1+(Inputs!$B$10+0+B1127)/100)</f>
        <v/>
      </c>
      <c r="N1095">
        <f>L1095*(1-MIN((Inputs!$B$9+((C1109=TRUE)*(F1109-Calc!F20))+B1122),100)/100)+M1095*(MIN((Inputs!$B$9+((C1109=TRUE)*(F1109-Calc!F20))+B1122),100)/100)</f>
        <v/>
      </c>
      <c r="O1095">
        <f>IF(C1095,H1095*N1095*IF(AND(Inputs!$B$38&lt;&gt;"pvp",Inputs!$B$43&gt;0),((Skills!G6*((R1095-1)*IF(Skills!H6&gt;0,Skills!I6/Skills!H6,1)+IF(Skills!H6&gt;0,MIN(Skills!I6,MAX(0,MAX(0,Inputs!$B$43-B1129)-((R1095-1)*IF(Inputs!$B$38="pvp",15,MAX(0.1,Skills!D6-IF(Skills!E6=TRUE,Inputs!$B$32,0))))))/Skills!H6,1)))/Inputs!$B$43),G1095*Q1095)*IF(Inputs!$B$38="pvp",1,(1-Summary!$B$55)*(1)+Summary!$B$55*(MIN(Skills!R6,Inputs!$B$37))),0)</f>
        <v/>
      </c>
      <c r="P1095">
        <f>IF(B1130=0,0,O1095/B1130)</f>
        <v/>
      </c>
      <c r="Q1095">
        <f>IFERROR(1/IF(Inputs!$B$38="pvp",15,MAX(0.1,Skills!D6-IF(Skills!E6=TRUE,Inputs!$B$32,0))),0)</f>
        <v/>
      </c>
      <c r="R1095">
        <f>IF(AND(Inputs!$B$38&lt;&gt;"pvp",Inputs!$B$43&gt;0),IF(MAX(0,Inputs!$B$43-B1129)&lt;=0,0,(INT(MAX(0,Inputs!$B$43-B1129)/IF(Inputs!$B$38="pvp",15,MAX(0.1,Skills!D6-IF(Skills!E6=TRUE,Inputs!$B$32,0))))+1)),0)</f>
        <v/>
      </c>
      <c r="S1095">
        <f>IFERROR(O1095/N1095,0)</f>
        <v/>
      </c>
    </row>
    <row r="1096">
      <c r="A1096">
        <f>Skills!A7</f>
        <v/>
      </c>
      <c r="B1096">
        <f>Skills!B7</f>
        <v/>
      </c>
      <c r="C1096">
        <f>Inputs!$B$3&gt;=107</f>
        <v/>
      </c>
      <c r="D1096">
        <f>IF(Skills!C7=1,60+Inputs!$B$25+Inputs!$B$29,IF(Skills!C7=2,90+Inputs!$B$26+Inputs!$B$29,IF(Skills!C7=3,120+Inputs!$B$27+Inputs!$B$29,MAX(0,(Inputs!$B$3-100)*3)+Inputs!$B$28+Inputs!$B$29)))</f>
        <v/>
      </c>
      <c r="E1096">
        <f>INDEX(FactorTable!$B$2:$Y$301, MATCH(ROUND(MIN(300,MAX(1,D1096)),0), FactorTable!$A$2:$A$301,0), Skills!M7+1)</f>
        <v/>
      </c>
      <c r="F1096">
        <f>IF(Skills!N7=TRUE,(Skills!L7/10)*(E1096/1000),Skills!L7/10)+Skills!O7</f>
        <v/>
      </c>
      <c r="G1096" t="inlineStr"/>
      <c r="H1096" t="inlineStr"/>
      <c r="I1096" t="inlineStr">
        <is>
          <t>1</t>
        </is>
      </c>
      <c r="J1096" t="inlineStr"/>
      <c r="K1096" t="inlineStr"/>
      <c r="L1096" t="inlineStr"/>
      <c r="M1096" t="inlineStr"/>
      <c r="N1096" t="inlineStr"/>
      <c r="O1096" t="inlineStr"/>
      <c r="P1096" t="inlineStr"/>
      <c r="Q1096" t="inlineStr"/>
      <c r="R1096" t="inlineStr"/>
      <c r="S1096" t="inlineStr"/>
    </row>
    <row r="1097">
      <c r="A1097">
        <f>Skills!A8</f>
        <v/>
      </c>
      <c r="B1097">
        <f>Skills!B8</f>
        <v/>
      </c>
      <c r="C1097">
        <f>Inputs!$B$3&gt;=69</f>
        <v/>
      </c>
      <c r="D1097">
        <f>IF(Skills!C8=1,60+Inputs!$B$25+Inputs!$B$29,IF(Skills!C8=2,90+Inputs!$B$26+Inputs!$B$29,IF(Skills!C8=3,120+Inputs!$B$27+Inputs!$B$29,MAX(0,(Inputs!$B$3-100)*3)+Inputs!$B$28+Inputs!$B$29)))</f>
        <v/>
      </c>
      <c r="E1097">
        <f>INDEX(FactorTable!$B$2:$Y$301, MATCH(ROUND(MIN(300,MAX(1,D1097)),0), FactorTable!$A$2:$A$301,0), Skills!M8+1)</f>
        <v/>
      </c>
      <c r="F1097">
        <f>IF(Skills!N8=TRUE,(Skills!L8/10)*(E1097/1000),Skills!L8/10)+Skills!O8</f>
        <v/>
      </c>
      <c r="G1097">
        <f>Skills!G8*IF(Skills!H8&gt;0,Skills!I8/Skills!H8,1)</f>
        <v/>
      </c>
      <c r="H1097">
        <f>1-(1-Skills!J8/100)^Skills!K8</f>
        <v/>
      </c>
      <c r="I1097" t="inlineStr">
        <is>
          <t>1</t>
        </is>
      </c>
      <c r="J1097">
        <f>((Inputs!$B$6*(1+Inputs!$B$7/100))+(((Inputs!$B$12*(1+Inputs!$B$13/100))-(Inputs!$B$12*(1+Inputs!$B$13/100)))+0.25*(Inputs!$B$14-Inputs!$B$14))*(1+Inputs!$B$7/100))*(F1097/100)</f>
        <v/>
      </c>
      <c r="K1097">
        <f>J1097*(1+((Inputs!$B$12*(1+Inputs!$B$13/100))*0.01+Inputs!$B$14*0.0025)/100)*(1+Inputs!$B$15/100)*(1+IF(Inputs!$B$38="pvp",0,(1-Summary!$B$55)*(Inputs!$B$20+0+Skills!P8)+Summary!$B$55*(Inputs!$B$21+Skills!Q8))/100)*(1+Inputs!$B$16/100)*(5000/(6000+Inputs!$B$42*(1-(Inputs!$B$19+((C1116=TRUE)*(F1116-Calc!F27)))/100)))*(1+(Inputs!$B$24+((C1114=TRUE)*(F1114-Calc!F25))+((C1115=TRUE)*(F1115-Calc!F26))+B1128)/100)*(1+1.2*IF(C1099=TRUE,F1099,0)/100)*(1+(IF(Skills!A8="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1097)</f>
        <v/>
      </c>
      <c r="L1097">
        <f>K1097*(MIN(Inputs!$B$22+((C1113=TRUE)*(F1113-Calc!F24)),Inputs!$B$23+((C1118=TRUE)*(F1118-Calc!F29)))/100+(Inputs!$B$23+((C1118=TRUE)*(F1118-Calc!F29)))/100)/2</f>
        <v/>
      </c>
      <c r="M1097">
        <f>L1097*(1+(Inputs!$B$10+0+B1127)/100)</f>
        <v/>
      </c>
      <c r="N1097">
        <f>L1097*(1-MIN((Inputs!$B$9+((C1109=TRUE)*(F1109-Calc!F20))+B1122),100)/100)+M1097*(MIN((Inputs!$B$9+((C1109=TRUE)*(F1109-Calc!F20))+B1122),100)/100)</f>
        <v/>
      </c>
      <c r="O1097">
        <f>IF(C1097,H1097*N1097*IF(AND(Inputs!$B$38&lt;&gt;"pvp",Inputs!$B$43&gt;0),((Skills!G8*((R1097-1)*IF(Skills!H8&gt;0,Skills!I8/Skills!H8,1)+IF(Skills!H8&gt;0,MIN(Skills!I8,MAX(0,MAX(0,Inputs!$B$43-B1129)-((R1097-1)*IF(Inputs!$B$38="pvp",15,MAX(0.1,Skills!D8-IF(Skills!E8=TRUE,Inputs!$B$32,0))))))/Skills!H8,1)))/Inputs!$B$43),G1097*Q1097)*IF(Inputs!$B$38="pvp",1,(1-Summary!$B$55)*(1)+Summary!$B$55*(MIN(Skills!R8,Inputs!$B$37))),0)</f>
        <v/>
      </c>
      <c r="P1097">
        <f>IF(B1130=0,0,O1097/B1130)</f>
        <v/>
      </c>
      <c r="Q1097">
        <f>IFERROR(1/IF(Inputs!$B$38="pvp",15,MAX(0.1,Skills!D8-IF(Skills!E8=TRUE,Inputs!$B$32,0))),0)</f>
        <v/>
      </c>
      <c r="R1097">
        <f>IF(AND(Inputs!$B$38&lt;&gt;"pvp",Inputs!$B$43&gt;0),IF(MAX(0,Inputs!$B$43-B1129)&lt;=0,0,(INT(MAX(0,Inputs!$B$43-B1129)/IF(Inputs!$B$38="pvp",15,MAX(0.1,Skills!D8-IF(Skills!E8=TRUE,Inputs!$B$32,0))))+1)),0)</f>
        <v/>
      </c>
      <c r="S1097">
        <f>IFERROR(O1097/N1097,0)</f>
        <v/>
      </c>
    </row>
    <row r="1098">
      <c r="A1098">
        <f>Skills!A9</f>
        <v/>
      </c>
      <c r="B1098">
        <f>Skills!B9</f>
        <v/>
      </c>
      <c r="C1098">
        <f>Inputs!$B$3&gt;=63</f>
        <v/>
      </c>
      <c r="D1098">
        <f>IF(Skills!C9=1,60+Inputs!$B$25+Inputs!$B$29,IF(Skills!C9=2,90+Inputs!$B$26+Inputs!$B$29,IF(Skills!C9=3,120+Inputs!$B$27+Inputs!$B$29,MAX(0,(Inputs!$B$3-100)*3)+Inputs!$B$28+Inputs!$B$29)))</f>
        <v/>
      </c>
      <c r="E1098">
        <f>INDEX(FactorTable!$B$2:$Y$301, MATCH(ROUND(MIN(300,MAX(1,D1098)),0), FactorTable!$A$2:$A$301,0), Skills!M9+1)</f>
        <v/>
      </c>
      <c r="F1098">
        <f>IF(Skills!N9=TRUE,(Skills!L9/10)*(E1098/1000),Skills!L9/10)+Skills!O9</f>
        <v/>
      </c>
      <c r="G1098">
        <f>Skills!G9*IF(Skills!H9&gt;0,Skills!I9/Skills!H9,1)</f>
        <v/>
      </c>
      <c r="H1098">
        <f>1-(1-Skills!J9/100)^Skills!K9</f>
        <v/>
      </c>
      <c r="I1098" t="inlineStr">
        <is>
          <t>1</t>
        </is>
      </c>
      <c r="J1098">
        <f>((Inputs!$B$6*(1+Inputs!$B$7/100))+(((Inputs!$B$12*(1+Inputs!$B$13/100))-(Inputs!$B$12*(1+Inputs!$B$13/100)))+0.25*(Inputs!$B$14-Inputs!$B$14))*(1+Inputs!$B$7/100))*(F1098/100)</f>
        <v/>
      </c>
      <c r="K1098">
        <f>J1098*(1+((Inputs!$B$12*(1+Inputs!$B$13/100))*0.01+Inputs!$B$14*0.0025)/100)*(1+Inputs!$B$15/100)*(1+IF(Inputs!$B$38="pvp",0,(1-Summary!$B$55)*(Inputs!$B$20+0+Skills!P9)+Summary!$B$55*(Inputs!$B$21+Skills!Q9))/100)*(1+Inputs!$B$16/100)*(5000/(6000+Inputs!$B$42*(1-(Inputs!$B$19+((C1116=TRUE)*(F1116-Calc!F27)))/100)))*(1+(Inputs!$B$24+((C1114=TRUE)*(F1114-Calc!F25))+((C1115=TRUE)*(F1115-Calc!F26))+B1128)/100)*(1+1.0*IF(C1099=TRUE,F1099,0)/100)*(1+(IF(Skills!A9="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1098)</f>
        <v/>
      </c>
      <c r="L1098">
        <f>K1098*(MIN(Inputs!$B$22+((C1113=TRUE)*(F1113-Calc!F24)),Inputs!$B$23+((C1118=TRUE)*(F1118-Calc!F29)))/100+(Inputs!$B$23+((C1118=TRUE)*(F1118-Calc!F29)))/100)/2</f>
        <v/>
      </c>
      <c r="M1098">
        <f>L1098*(1+(Inputs!$B$10+0+B1127)/100)</f>
        <v/>
      </c>
      <c r="N1098">
        <f>L1098*(1-MIN((Inputs!$B$9+((C1109=TRUE)*(F1109-Calc!F20))+B1122),100)/100)+M1098*(MIN((Inputs!$B$9+((C1109=TRUE)*(F1109-Calc!F20))+B1122),100)/100)</f>
        <v/>
      </c>
      <c r="O1098">
        <f>IF(C1098,H1098*N1098*IF(AND(Inputs!$B$38&lt;&gt;"pvp",Inputs!$B$43&gt;0),((Skills!G9*((R1098-1)*IF(Skills!H9&gt;0,Skills!I9/Skills!H9,1)+IF(Skills!H9&gt;0,MIN(Skills!I9,MAX(0,MAX(0,Inputs!$B$43-B1129)-((R1098-1)*IF(Inputs!$B$38="pvp",15,MAX(0.1,Skills!D9-IF(Skills!E9=TRUE,Inputs!$B$32,0))))))/Skills!H9,1)))/Inputs!$B$43),G1098*Q1098)*IF(Inputs!$B$38="pvp",1,(1-Summary!$B$55)*(1)+Summary!$B$55*(MIN(Skills!R9,Inputs!$B$37))),0)</f>
        <v/>
      </c>
      <c r="P1098">
        <f>IF(B1130=0,0,O1098/B1130)</f>
        <v/>
      </c>
      <c r="Q1098">
        <f>IFERROR(1/IF(Inputs!$B$38="pvp",15,MAX(0.1,Skills!D9-IF(Skills!E9=TRUE,Inputs!$B$32,0))),0)</f>
        <v/>
      </c>
      <c r="R1098">
        <f>IF(AND(Inputs!$B$38&lt;&gt;"pvp",Inputs!$B$43&gt;0),IF(MAX(0,Inputs!$B$43-B1129)&lt;=0,0,(INT(MAX(0,Inputs!$B$43-B1129)/IF(Inputs!$B$38="pvp",15,MAX(0.1,Skills!D9-IF(Skills!E9=TRUE,Inputs!$B$32,0))))+1)),0)</f>
        <v/>
      </c>
      <c r="S1098">
        <f>IFERROR(O1098/N1098,0)</f>
        <v/>
      </c>
    </row>
    <row r="1099">
      <c r="A1099">
        <f>Skills!A10</f>
        <v/>
      </c>
      <c r="B1099">
        <f>Skills!B10</f>
        <v/>
      </c>
      <c r="C1099">
        <f>Inputs!$B$3&gt;=100</f>
        <v/>
      </c>
      <c r="D1099">
        <f>IF(Skills!C10=1,60+Inputs!$B$25+Inputs!$B$29,IF(Skills!C10=2,90+Inputs!$B$26+Inputs!$B$29,IF(Skills!C10=3,120+Inputs!$B$27+Inputs!$B$29,MAX(0,(Inputs!$B$3-100)*3)+Inputs!$B$28+Inputs!$B$29)))</f>
        <v/>
      </c>
      <c r="E1099">
        <f>INDEX(FactorTable!$B$2:$Y$301, MATCH(ROUND(MIN(300,MAX(1,D1099)),0), FactorTable!$A$2:$A$301,0), Skills!M10+1)</f>
        <v/>
      </c>
      <c r="F1099">
        <f>IF(Skills!N10=TRUE,(Skills!L10/10)*(E1099/1000),Skills!L10/10)+Skills!O10</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Skills!A11</f>
        <v/>
      </c>
      <c r="B1100">
        <f>Skills!B11</f>
        <v/>
      </c>
      <c r="C1100">
        <f>Inputs!$B$3&gt;=60</f>
        <v/>
      </c>
      <c r="D1100">
        <f>IF(Skills!C11=1,60+Inputs!$B$25+Inputs!$B$29,IF(Skills!C11=2,90+Inputs!$B$26+Inputs!$B$29,IF(Skills!C11=3,120+Inputs!$B$27+Inputs!$B$29,MAX(0,(Inputs!$B$3-100)*3)+Inputs!$B$28+Inputs!$B$29)))</f>
        <v/>
      </c>
      <c r="E1100">
        <f>INDEX(FactorTable!$B$2:$Y$301, MATCH(ROUND(MIN(300,MAX(1,D1100)),0), FactorTable!$A$2:$A$301,0), Skills!M11+1)</f>
        <v/>
      </c>
      <c r="F1100">
        <f>IF(Skills!N11=TRUE,(Skills!L11/10)*(E1100/1000),Skills!L11/10)+Skills!O11</f>
        <v/>
      </c>
      <c r="G1100">
        <f>Skills!G11*IF(Skills!H11&gt;0,Skills!I11/Skills!H11,1)</f>
        <v/>
      </c>
      <c r="H1100">
        <f>1-(1-Skills!J11/100)^Skills!K11</f>
        <v/>
      </c>
      <c r="I1100" t="inlineStr">
        <is>
          <t>1</t>
        </is>
      </c>
      <c r="J1100">
        <f>((Inputs!$B$6*(1+Inputs!$B$7/100))+(((Inputs!$B$12*(1+Inputs!$B$13/100))-(Inputs!$B$12*(1+Inputs!$B$13/100)))+0.25*(Inputs!$B$14-Inputs!$B$14))*(1+Inputs!$B$7/100))*(F1100/100)</f>
        <v/>
      </c>
      <c r="K1100">
        <f>J1100*(1+((Inputs!$B$12*(1+Inputs!$B$13/100))*0.01+Inputs!$B$14*0.0025)/100)*(1+Inputs!$B$15/100)*(1+IF(Inputs!$B$38="pvp",0,(1-Summary!$B$55)*(Inputs!$B$20+0+Skills!P11)+Summary!$B$55*(Inputs!$B$21+Skills!Q11))/100)*(1+Inputs!$B$16/100)*(5000/(6000+Inputs!$B$42*(1-(Inputs!$B$19+((C1116=TRUE)*(F1116-Calc!F27)))/100)))*(1+(Inputs!$B$24+((C1114=TRUE)*(F1114-Calc!F25))+((C1115=TRUE)*(F1115-Calc!F26))+B1128)/100)*(1+IF(C1101=TRUE,F1101,0)/100)*(1+(IF(Skills!A11="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1100)</f>
        <v/>
      </c>
      <c r="L1100">
        <f>K1100*(MIN(Inputs!$B$22+((C1113=TRUE)*(F1113-Calc!F24)),Inputs!$B$23+((C1118=TRUE)*(F1118-Calc!F29)))/100+(Inputs!$B$23+((C1118=TRUE)*(F1118-Calc!F29)))/100)/2</f>
        <v/>
      </c>
      <c r="M1100">
        <f>L1100*(1+(Inputs!$B$10+0+B1127)/100)</f>
        <v/>
      </c>
      <c r="N1100">
        <f>L1100*(1-MIN((Inputs!$B$9+((C1109=TRUE)*(F1109-Calc!F20))+B1122),100)/100)+M1100*(MIN((Inputs!$B$9+((C1109=TRUE)*(F1109-Calc!F20))+B1122),100)/100)</f>
        <v/>
      </c>
      <c r="O1100">
        <f>IF(C1100,H1100*N1100*IF(AND(Inputs!$B$38&lt;&gt;"pvp",Inputs!$B$43&gt;0),((Skills!G11*((R1100-1)*IF(Skills!H11&gt;0,Skills!I11/Skills!H11,1)+IF(Skills!H11&gt;0,MIN(Skills!I11,MAX(0,MAX(0,Inputs!$B$43-B1129)-((R1100-1)*IF(Inputs!$B$38="pvp",15,MAX(0.1,Skills!D11-IF(Skills!E11=TRUE,Inputs!$B$32,0))))))/Skills!H11,1)))/Inputs!$B$43),G1100*Q1100)*IF(Inputs!$B$38="pvp",1,(1-Summary!$B$55)*(1)+Summary!$B$55*(MIN(Skills!R11,Inputs!$B$37))),0)</f>
        <v/>
      </c>
      <c r="P1100">
        <f>IF(B1130=0,0,O1100/B1130)</f>
        <v/>
      </c>
      <c r="Q1100">
        <f>IFERROR(1/IF(Inputs!$B$38="pvp",15,MAX(0.1,Skills!D11-IF(Skills!E11=TRUE,Inputs!$B$32,0))),0)</f>
        <v/>
      </c>
      <c r="R1100">
        <f>IF(AND(Inputs!$B$38&lt;&gt;"pvp",Inputs!$B$43&gt;0),IF(MAX(0,Inputs!$B$43-B1129)&lt;=0,0,(INT(MAX(0,Inputs!$B$43-B1129)/IF(Inputs!$B$38="pvp",15,MAX(0.1,Skills!D11-IF(Skills!E11=TRUE,Inputs!$B$32,0))))+1)),0)</f>
        <v/>
      </c>
      <c r="S1100">
        <f>IFERROR(O1100/N1100,0)</f>
        <v/>
      </c>
    </row>
    <row r="1101">
      <c r="A1101">
        <f>Skills!A12</f>
        <v/>
      </c>
      <c r="B1101">
        <f>Skills!B12</f>
        <v/>
      </c>
      <c r="C1101">
        <f>Inputs!$B$3&gt;=110</f>
        <v/>
      </c>
      <c r="D1101">
        <f>IF(Skills!C12=1,60+Inputs!$B$25+Inputs!$B$29,IF(Skills!C12=2,90+Inputs!$B$26+Inputs!$B$29,IF(Skills!C12=3,120+Inputs!$B$27+Inputs!$B$29,MAX(0,(Inputs!$B$3-100)*3)+Inputs!$B$28+Inputs!$B$29)))</f>
        <v/>
      </c>
      <c r="E1101">
        <f>INDEX(FactorTable!$B$2:$Y$301, MATCH(ROUND(MIN(300,MAX(1,D1101)),0), FactorTable!$A$2:$A$301,0), Skills!M12+1)</f>
        <v/>
      </c>
      <c r="F1101">
        <f>IF(Skills!N12=TRUE,(Skills!L12/10)*(E1101/1000),Skills!L12/10)+Skills!O12</f>
        <v/>
      </c>
      <c r="G1101" t="inlineStr"/>
      <c r="H1101" t="inlineStr"/>
      <c r="I1101" t="inlineStr">
        <is>
          <t>1</t>
        </is>
      </c>
      <c r="J1101" t="inlineStr"/>
      <c r="K1101" t="inlineStr"/>
      <c r="L1101" t="inlineStr"/>
      <c r="M1101" t="inlineStr"/>
      <c r="N1101" t="inlineStr"/>
      <c r="O1101" t="inlineStr"/>
      <c r="P1101" t="inlineStr"/>
      <c r="Q1101" t="inlineStr"/>
      <c r="R1101" t="inlineStr"/>
      <c r="S1101" t="inlineStr"/>
    </row>
    <row r="1102">
      <c r="A1102">
        <f>Skills!A13</f>
        <v/>
      </c>
      <c r="B1102">
        <f>Skills!B13</f>
        <v/>
      </c>
      <c r="C1102">
        <f>Inputs!$B$3&gt;=74</f>
        <v/>
      </c>
      <c r="D1102">
        <f>IF(Skills!C13=1,60+Inputs!$B$25+Inputs!$B$29,IF(Skills!C13=2,90+Inputs!$B$26+Inputs!$B$29,IF(Skills!C13=3,120+Inputs!$B$27+Inputs!$B$29,MAX(0,(Inputs!$B$3-100)*3)+Inputs!$B$28+Inputs!$B$29)))</f>
        <v/>
      </c>
      <c r="E1102">
        <f>INDEX(FactorTable!$B$2:$Y$301, MATCH(ROUND(MIN(300,MAX(1,D1102)),0), FactorTable!$A$2:$A$301,0), Skills!M13+1)</f>
        <v/>
      </c>
      <c r="F1102">
        <f>IF(Skills!N13=TRUE,(Skills!L13/10)*(E1102/1000),Skills!L13/10)+Skills!O13</f>
        <v/>
      </c>
      <c r="G1102">
        <f>Skills!G13*IF(Skills!H13&gt;0,Skills!I13/Skills!H13,1)</f>
        <v/>
      </c>
      <c r="H1102">
        <f>1-(1-Skills!J13/100)^Skills!K13</f>
        <v/>
      </c>
      <c r="I1102" t="inlineStr">
        <is>
          <t>1</t>
        </is>
      </c>
      <c r="J1102" t="inlineStr"/>
      <c r="K1102" t="inlineStr"/>
      <c r="L1102" t="inlineStr"/>
      <c r="M1102" t="inlineStr"/>
      <c r="N1102" t="inlineStr"/>
      <c r="O1102" t="n">
        <v>0</v>
      </c>
      <c r="P1102">
        <f>IF(B1130=0,0,O1102/B1130)</f>
        <v/>
      </c>
      <c r="Q1102" t="n">
        <v>0</v>
      </c>
      <c r="R1102" t="n">
        <v>0</v>
      </c>
      <c r="S1102">
        <f>IFERROR(O1102/N1102,0)</f>
        <v/>
      </c>
    </row>
    <row r="1103">
      <c r="A1103">
        <f>Skills!A14</f>
        <v/>
      </c>
      <c r="B1103">
        <f>Skills!B14</f>
        <v/>
      </c>
      <c r="C1103">
        <f>Inputs!$B$3&gt;=74</f>
        <v/>
      </c>
      <c r="D1103">
        <f>IF(Skills!C14=1,60+Inputs!$B$25+Inputs!$B$29,IF(Skills!C14=2,90+Inputs!$B$26+Inputs!$B$29,IF(Skills!C14=3,120+Inputs!$B$27+Inputs!$B$29,MAX(0,(Inputs!$B$3-100)*3)+Inputs!$B$28+Inputs!$B$29)))</f>
        <v/>
      </c>
      <c r="E1103">
        <f>INDEX(FactorTable!$B$2:$Y$301, MATCH(ROUND(MIN(300,MAX(1,D1103)),0), FactorTable!$A$2:$A$301,0), Skills!M14+1)</f>
        <v/>
      </c>
      <c r="F1103">
        <f>IF(Skills!N14=TRUE,(Skills!L14/10)*(E1103/1000),Skills!L14/10)+Skills!O14</f>
        <v/>
      </c>
      <c r="G1103">
        <f>Skills!G14*IF(Skills!H14&gt;0,Skills!I14/Skills!H14,1)</f>
        <v/>
      </c>
      <c r="H1103">
        <f>1-(1-Skills!J14/100)^Skills!K14</f>
        <v/>
      </c>
      <c r="I1103" t="inlineStr">
        <is>
          <t>1</t>
        </is>
      </c>
      <c r="J1103" t="inlineStr"/>
      <c r="K1103" t="inlineStr"/>
      <c r="L1103" t="inlineStr"/>
      <c r="M1103" t="inlineStr"/>
      <c r="N1103" t="inlineStr"/>
      <c r="O1103" t="n">
        <v>0</v>
      </c>
      <c r="P1103">
        <f>IF(B1130=0,0,O1103/B1130)</f>
        <v/>
      </c>
      <c r="Q1103" t="n">
        <v>0</v>
      </c>
      <c r="R1103" t="n">
        <v>0</v>
      </c>
      <c r="S1103">
        <f>IFERROR(O1103/N1103,0)</f>
        <v/>
      </c>
    </row>
    <row r="1104">
      <c r="A1104">
        <f>Skills!A15</f>
        <v/>
      </c>
      <c r="B1104">
        <f>Skills!B15</f>
        <v/>
      </c>
      <c r="C1104">
        <f>Inputs!$B$3&gt;=117</f>
        <v/>
      </c>
      <c r="D1104">
        <f>IF(Skills!C15=1,60+Inputs!$B$25+Inputs!$B$29,IF(Skills!C15=2,90+Inputs!$B$26+Inputs!$B$29,IF(Skills!C15=3,120+Inputs!$B$27+Inputs!$B$29,MAX(0,(Inputs!$B$3-100)*3)+Inputs!$B$28+Inputs!$B$29)))</f>
        <v/>
      </c>
      <c r="E1104">
        <f>INDEX(FactorTable!$B$2:$Y$301, MATCH(ROUND(MIN(300,MAX(1,D1104)),0), FactorTable!$A$2:$A$301,0), Skills!M15+1)</f>
        <v/>
      </c>
      <c r="F1104">
        <f>IF(Skills!N15=TRUE,(Skills!L15/10)*(E1104/1000),Skills!L15/10)+Skills!O15</f>
        <v/>
      </c>
      <c r="G1104">
        <f>Skills!G15*IF(Skills!H15&gt;0,Skills!I15/Skills!H15,1)</f>
        <v/>
      </c>
      <c r="H1104">
        <f>1-(1-Skills!J15/100)^Skills!K15</f>
        <v/>
      </c>
      <c r="I1104" t="inlineStr">
        <is>
          <t>1</t>
        </is>
      </c>
      <c r="J1104" t="inlineStr"/>
      <c r="K1104" t="inlineStr"/>
      <c r="L1104" t="inlineStr"/>
      <c r="M1104" t="inlineStr"/>
      <c r="N1104" t="inlineStr"/>
      <c r="O1104" t="n">
        <v>0</v>
      </c>
      <c r="P1104">
        <f>IF(B1130=0,0,O1104/B1130)</f>
        <v/>
      </c>
      <c r="Q1104">
        <f>IFERROR(1/IF(Inputs!$B$38="pvp",15,MAX(0.1,Skills!D15-IF(Skills!E15=TRUE,Inputs!$B$32,0))),0)</f>
        <v/>
      </c>
      <c r="R1104">
        <f>IF(AND(Inputs!$B$38&lt;&gt;"pvp",Inputs!$B$43&gt;0),IF(Inputs!$B$43&lt;=0,0,(INT(Inputs!$B$43/IF(Inputs!$B$38="pvp",15,MAX(0.1,Skills!D15-IF(Skills!E15=TRUE,Inputs!$B$32,0))))+1)),0)</f>
        <v/>
      </c>
      <c r="S1104">
        <f>IFERROR(O1104/N1104,0)</f>
        <v/>
      </c>
    </row>
    <row r="1105">
      <c r="A1105">
        <f>Skills!A16</f>
        <v/>
      </c>
      <c r="B1105">
        <f>Skills!B16</f>
        <v/>
      </c>
      <c r="C1105">
        <f>Inputs!$B$3&gt;=115</f>
        <v/>
      </c>
      <c r="D1105">
        <f>IF(Skills!C16=1,60+Inputs!$B$25+Inputs!$B$29,IF(Skills!C16=2,90+Inputs!$B$26+Inputs!$B$29,IF(Skills!C16=3,120+Inputs!$B$27+Inputs!$B$29,MAX(0,(Inputs!$B$3-100)*3)+Inputs!$B$28+Inputs!$B$29)))</f>
        <v/>
      </c>
      <c r="E1105">
        <f>INDEX(FactorTable!$B$2:$Y$301, MATCH(ROUND(MIN(300,MAX(1,D1105)),0), FactorTable!$A$2:$A$301,0), Skills!M16+1)</f>
        <v/>
      </c>
      <c r="F1105">
        <f>IF(Skills!N16=TRUE,(Skills!L16/10)*(E1105/1000),Skills!L16/10)+Skills!O16</f>
        <v/>
      </c>
      <c r="G1105">
        <f>Skills!G16*IF(Skills!H16&gt;0,Skills!I16/Skills!H16,1)</f>
        <v/>
      </c>
      <c r="H1105">
        <f>1-(1-Skills!J16/100)^Skills!K16</f>
        <v/>
      </c>
      <c r="I1105" t="inlineStr">
        <is>
          <t>1</t>
        </is>
      </c>
      <c r="J1105" t="inlineStr"/>
      <c r="K1105" t="inlineStr"/>
      <c r="L1105" t="inlineStr"/>
      <c r="M1105" t="inlineStr"/>
      <c r="N1105" t="inlineStr"/>
      <c r="O1105" t="n">
        <v>0</v>
      </c>
      <c r="P1105">
        <f>IF(B1130=0,0,O1105/B1130)</f>
        <v/>
      </c>
      <c r="Q1105">
        <f>IFERROR(1/IF(Inputs!$B$38="pvp",15,MAX(0.1,Skills!D16-IF(Skills!E16=TRUE,Inputs!$B$32,0))),0)</f>
        <v/>
      </c>
      <c r="R1105">
        <f>IF(AND(Inputs!$B$38&lt;&gt;"pvp",Inputs!$B$43&gt;0),IF(Inputs!$B$43&lt;=0,0,(INT(Inputs!$B$43/IF(Inputs!$B$38="pvp",15,MAX(0.1,Skills!D16-IF(Skills!E16=TRUE,Inputs!$B$32,0))))+1)),0)</f>
        <v/>
      </c>
      <c r="S1105">
        <f>IFERROR(O1105/N1105,0)</f>
        <v/>
      </c>
    </row>
    <row r="1106">
      <c r="A1106">
        <f>Skills!A17</f>
        <v/>
      </c>
      <c r="B1106">
        <f>Skills!B17</f>
        <v/>
      </c>
      <c r="C1106">
        <f>Inputs!$B$3&gt;=66</f>
        <v/>
      </c>
      <c r="D1106">
        <f>IF(Skills!C17=1,60+Inputs!$B$25+Inputs!$B$29,IF(Skills!C17=2,90+Inputs!$B$26+Inputs!$B$29,IF(Skills!C17=3,120+Inputs!$B$27+Inputs!$B$29,MAX(0,(Inputs!$B$3-100)*3)+Inputs!$B$28+Inputs!$B$29)))</f>
        <v/>
      </c>
      <c r="E1106">
        <f>INDEX(FactorTable!$B$2:$Y$301, MATCH(ROUND(MIN(300,MAX(1,D1106)),0), FactorTable!$A$2:$A$301,0), Skills!M17+1)</f>
        <v/>
      </c>
      <c r="F1106">
        <f>IF(Skills!N17=TRUE,(Skills!L17/10)*(E1106/1000),Skills!L17/10)+Skills!O17</f>
        <v/>
      </c>
      <c r="G1106">
        <f>Skills!G17*IF(Skills!H17&gt;0,Skills!I17/Skills!H17,1)</f>
        <v/>
      </c>
      <c r="H1106">
        <f>1-(1-Skills!J17/100)^Skills!K17</f>
        <v/>
      </c>
      <c r="I1106" t="inlineStr">
        <is>
          <t>1</t>
        </is>
      </c>
      <c r="J1106" t="inlineStr"/>
      <c r="K1106" t="inlineStr"/>
      <c r="L1106" t="inlineStr"/>
      <c r="M1106" t="inlineStr"/>
      <c r="N1106" t="inlineStr"/>
      <c r="O1106" t="n">
        <v>0</v>
      </c>
      <c r="P1106">
        <f>IF(B1130=0,0,O1106/B1130)</f>
        <v/>
      </c>
      <c r="Q1106" t="n">
        <v>0</v>
      </c>
      <c r="R1106" t="n">
        <v>0</v>
      </c>
      <c r="S1106">
        <f>IFERROR(O1106/N1106,0)</f>
        <v/>
      </c>
    </row>
    <row r="1107">
      <c r="A1107">
        <f>Skills!A18</f>
        <v/>
      </c>
      <c r="B1107">
        <f>Skills!B18</f>
        <v/>
      </c>
      <c r="C1107">
        <f>Inputs!$B$3&gt;=72</f>
        <v/>
      </c>
      <c r="D1107">
        <f>IF(Skills!C18=1,60+Inputs!$B$25+Inputs!$B$29,IF(Skills!C18=2,90+Inputs!$B$26+Inputs!$B$29,IF(Skills!C18=3,120+Inputs!$B$27+Inputs!$B$29,MAX(0,(Inputs!$B$3-100)*3)+Inputs!$B$28+Inputs!$B$29)))</f>
        <v/>
      </c>
      <c r="E1107">
        <f>INDEX(FactorTable!$B$2:$Y$301, MATCH(ROUND(MIN(300,MAX(1,D1107)),0), FactorTable!$A$2:$A$301,0), Skills!M18+1)</f>
        <v/>
      </c>
      <c r="F1107">
        <f>IF(Skills!N18=TRUE,(Skills!L18/10)*(E1107/1000),Skills!L18/10)+Skills!O18</f>
        <v/>
      </c>
      <c r="G1107">
        <f>Skills!G18*IF(Skills!H18&gt;0,Skills!I18/Skills!H18,1)</f>
        <v/>
      </c>
      <c r="H1107">
        <f>1-(1-Skills!J18/100)^Skills!K18</f>
        <v/>
      </c>
      <c r="I1107" t="inlineStr">
        <is>
          <t>1</t>
        </is>
      </c>
      <c r="J1107" t="inlineStr"/>
      <c r="K1107" t="inlineStr"/>
      <c r="L1107" t="inlineStr"/>
      <c r="M1107" t="inlineStr"/>
      <c r="N1107" t="inlineStr"/>
      <c r="O1107" t="n">
        <v>0</v>
      </c>
      <c r="P1107">
        <f>IF(B1130=0,0,O1107/B1130)</f>
        <v/>
      </c>
      <c r="Q1107" t="n">
        <v>0</v>
      </c>
      <c r="R1107" t="n">
        <v>0</v>
      </c>
      <c r="S1107">
        <f>IFERROR(O1107/N1107,0)</f>
        <v/>
      </c>
    </row>
    <row r="1108">
      <c r="A1108">
        <f>Skills!A19</f>
        <v/>
      </c>
      <c r="B1108">
        <f>Skills!B19</f>
        <v/>
      </c>
      <c r="C1108">
        <f>TRUE</f>
        <v/>
      </c>
      <c r="D1108">
        <f>IF(Skills!C19=1,60+Inputs!$B$25+Inputs!$B$29,IF(Skills!C19=2,90+Inputs!$B$26+Inputs!$B$29,IF(Skills!C19=3,120+Inputs!$B$27+Inputs!$B$29,MAX(0,(Inputs!$B$3-100)*3)+Inputs!$B$28+Inputs!$B$29)))</f>
        <v/>
      </c>
      <c r="E1108">
        <f>INDEX(FactorTable!$B$2:$Y$301, MATCH(ROUND(MIN(300,MAX(1,D1108)),0), FactorTable!$A$2:$A$301,0), Skills!M19+1)</f>
        <v/>
      </c>
      <c r="F1108">
        <f>IF(Skills!N19=TRUE,(Skills!L19/10)*(E1108/1000),Skills!L19/10)+Skills!O19</f>
        <v/>
      </c>
      <c r="G1108">
        <f>Skills!G19*IF(Skills!H19&gt;0,Skills!I19/Skills!H19,1)</f>
        <v/>
      </c>
      <c r="H1108">
        <f>1-(1-Skills!J19/100)^Skills!K19</f>
        <v/>
      </c>
      <c r="I1108" t="inlineStr">
        <is>
          <t>1</t>
        </is>
      </c>
      <c r="J1108" t="inlineStr"/>
      <c r="K1108" t="inlineStr"/>
      <c r="L1108" t="inlineStr"/>
      <c r="M1108" t="inlineStr"/>
      <c r="N1108" t="inlineStr"/>
      <c r="O1108" t="n">
        <v>0</v>
      </c>
      <c r="P1108">
        <f>IF(B1130=0,0,O1108/B1130)</f>
        <v/>
      </c>
      <c r="Q1108">
        <f>IFERROR(1/IF(Inputs!$B$38="pvp",15,MAX(0.1,Skills!D19-IF(Skills!E19=TRUE,Inputs!$B$32,0))),0)</f>
        <v/>
      </c>
      <c r="R1108">
        <f>IF(AND(Inputs!$B$38&lt;&gt;"pvp",Inputs!$B$43&gt;0),IF(Inputs!$B$43&lt;=0,0,(INT(Inputs!$B$43/IF(Inputs!$B$38="pvp",15,MAX(0.1,Skills!D19-IF(Skills!E19=TRUE,Inputs!$B$32,0))))+1)),0)</f>
        <v/>
      </c>
      <c r="S1108">
        <f>IFERROR(O1108/N1108,0)</f>
        <v/>
      </c>
    </row>
    <row r="1109">
      <c r="A1109">
        <f>Skills!A20</f>
        <v/>
      </c>
      <c r="B1109">
        <f>Skills!B20</f>
        <v/>
      </c>
      <c r="C1109">
        <f>Inputs!$B$3&gt;=15</f>
        <v/>
      </c>
      <c r="D1109">
        <f>IF(Skills!C20=1,60+Inputs!$B$25+Inputs!$B$29,IF(Skills!C20=2,90+Inputs!$B$26+Inputs!$B$29,IF(Skills!C20=3,120+Inputs!$B$27+Inputs!$B$29,MAX(0,(Inputs!$B$3-100)*3)+Inputs!$B$28+Inputs!$B$29)))</f>
        <v/>
      </c>
      <c r="E1109">
        <f>INDEX(FactorTable!$B$2:$Y$301, MATCH(ROUND(MIN(300,MAX(1,D1109)),0), FactorTable!$A$2:$A$301,0), Skills!M20+1)</f>
        <v/>
      </c>
      <c r="F1109">
        <f>IF(Skills!N20=TRUE,(Skills!L20/10)*(E1109/1000),Skills!L20/10)+Skills!O20</f>
        <v/>
      </c>
      <c r="G1109">
        <f>Skills!G20*IF(Skills!H20&gt;0,Skills!I20/Skills!H20,1)</f>
        <v/>
      </c>
      <c r="H1109">
        <f>1-(1-Skills!J20/100)^Skills!K20</f>
        <v/>
      </c>
      <c r="I1109" t="inlineStr">
        <is>
          <t>1</t>
        </is>
      </c>
      <c r="J1109" t="inlineStr"/>
      <c r="K1109" t="inlineStr"/>
      <c r="L1109" t="inlineStr"/>
      <c r="M1109" t="inlineStr"/>
      <c r="N1109" t="inlineStr"/>
      <c r="O1109" t="n">
        <v>0</v>
      </c>
      <c r="P1109">
        <f>IF(B1130=0,0,O1109/B1130)</f>
        <v/>
      </c>
      <c r="Q1109" t="n">
        <v>0</v>
      </c>
      <c r="R1109" t="n">
        <v>0</v>
      </c>
      <c r="S1109">
        <f>IFERROR(O1109/N1109,0)</f>
        <v/>
      </c>
    </row>
    <row r="1110">
      <c r="A1110">
        <f>Skills!A21</f>
        <v/>
      </c>
      <c r="B1110">
        <f>Skills!B21</f>
        <v/>
      </c>
      <c r="C1110">
        <f>Inputs!$B$3&gt;=10</f>
        <v/>
      </c>
      <c r="D1110">
        <f>IF(Skills!C21=1,60+Inputs!$B$25+Inputs!$B$29,IF(Skills!C21=2,90+Inputs!$B$26+Inputs!$B$29,IF(Skills!C21=3,120+Inputs!$B$27+Inputs!$B$29,MAX(0,(Inputs!$B$3-100)*3)+Inputs!$B$28+Inputs!$B$29)))</f>
        <v/>
      </c>
      <c r="E1110">
        <f>INDEX(FactorTable!$B$2:$Y$301, MATCH(ROUND(MIN(300,MAX(1,D1110)),0), FactorTable!$A$2:$A$301,0), Skills!M21+1)</f>
        <v/>
      </c>
      <c r="F1110">
        <f>IF(Skills!N21=TRUE,(Skills!L21/10)*(E1110/1000),Skills!L21/10)+Skills!O21</f>
        <v/>
      </c>
      <c r="G1110">
        <f>Skills!G21*IF(Skills!H21&gt;0,Skills!I21/Skills!H21,1)</f>
        <v/>
      </c>
      <c r="H1110">
        <f>1-(1-Skills!J21/100)^Skills!K21</f>
        <v/>
      </c>
      <c r="I1110" t="inlineStr">
        <is>
          <t>1</t>
        </is>
      </c>
      <c r="J1110" t="inlineStr"/>
      <c r="K1110" t="inlineStr"/>
      <c r="L1110" t="inlineStr"/>
      <c r="M1110" t="inlineStr"/>
      <c r="N1110" t="inlineStr"/>
      <c r="O1110" t="n">
        <v>0</v>
      </c>
      <c r="P1110">
        <f>IF(B1130=0,0,O1110/B1130)</f>
        <v/>
      </c>
      <c r="Q1110" t="n">
        <v>0</v>
      </c>
      <c r="R1110" t="n">
        <v>0</v>
      </c>
      <c r="S1110">
        <f>IFERROR(O1110/N1110,0)</f>
        <v/>
      </c>
    </row>
    <row r="1111">
      <c r="A1111">
        <f>Skills!A22</f>
        <v/>
      </c>
      <c r="B1111">
        <f>Skills!B22</f>
        <v/>
      </c>
      <c r="C1111">
        <f>Inputs!$B$3&gt;=33</f>
        <v/>
      </c>
      <c r="D1111">
        <f>IF(Skills!C22=1,60+Inputs!$B$25+Inputs!$B$29,IF(Skills!C22=2,90+Inputs!$B$26+Inputs!$B$29,IF(Skills!C22=3,120+Inputs!$B$27+Inputs!$B$29,MAX(0,(Inputs!$B$3-100)*3)+Inputs!$B$28+Inputs!$B$29)))</f>
        <v/>
      </c>
      <c r="E1111">
        <f>INDEX(FactorTable!$B$2:$Y$301, MATCH(ROUND(MIN(300,MAX(1,D1111)),0), FactorTable!$A$2:$A$301,0), Skills!M22+1)</f>
        <v/>
      </c>
      <c r="F1111">
        <f>IF(Skills!N22=TRUE,(Skills!L22/10)*(E1111/1000),Skills!L22/10)+Skills!O22</f>
        <v/>
      </c>
      <c r="G1111">
        <f>Skills!G22*IF(Skills!H22&gt;0,Skills!I22/Skills!H22,1)</f>
        <v/>
      </c>
      <c r="H1111">
        <f>1-(1-Skills!J22/100)^Skills!K22</f>
        <v/>
      </c>
      <c r="I1111" t="inlineStr">
        <is>
          <t>1</t>
        </is>
      </c>
      <c r="J1111" t="inlineStr"/>
      <c r="K1111" t="inlineStr"/>
      <c r="L1111" t="inlineStr"/>
      <c r="M1111" t="inlineStr"/>
      <c r="N1111" t="inlineStr"/>
      <c r="O1111" t="n">
        <v>0</v>
      </c>
      <c r="P1111">
        <f>IF(B1130=0,0,O1111/B1130)</f>
        <v/>
      </c>
      <c r="Q1111" t="n">
        <v>0</v>
      </c>
      <c r="R1111" t="n">
        <v>0</v>
      </c>
      <c r="S1111">
        <f>IFERROR(O1111/N1111,0)</f>
        <v/>
      </c>
    </row>
    <row r="1112">
      <c r="A1112">
        <f>Skills!A23</f>
        <v/>
      </c>
      <c r="B1112">
        <f>Skills!B23</f>
        <v/>
      </c>
      <c r="C1112">
        <f>Inputs!$B$3&gt;=38</f>
        <v/>
      </c>
      <c r="D1112">
        <f>IF(Skills!C23=1,60+Inputs!$B$25+Inputs!$B$29,IF(Skills!C23=2,90+Inputs!$B$26+Inputs!$B$29,IF(Skills!C23=3,120+Inputs!$B$27+Inputs!$B$29,MAX(0,(Inputs!$B$3-100)*3)+Inputs!$B$28+Inputs!$B$29)))</f>
        <v/>
      </c>
      <c r="E1112">
        <f>INDEX(FactorTable!$B$2:$Y$301, MATCH(ROUND(MIN(300,MAX(1,D1112)),0), FactorTable!$A$2:$A$301,0), Skills!M23+1)</f>
        <v/>
      </c>
      <c r="F1112">
        <f>IF(Skills!N23=TRUE,(Skills!L23/10)*(E1112/1000),Skills!L23/10)+Skills!O23</f>
        <v/>
      </c>
      <c r="G1112">
        <f>Skills!G23*IF(Skills!H23&gt;0,Skills!I23/Skills!H23,1)</f>
        <v/>
      </c>
      <c r="H1112">
        <f>1-(1-Skills!J23/100)^Skills!K23</f>
        <v/>
      </c>
      <c r="I1112" t="inlineStr">
        <is>
          <t>1</t>
        </is>
      </c>
      <c r="J1112" t="inlineStr"/>
      <c r="K1112" t="inlineStr"/>
      <c r="L1112" t="inlineStr"/>
      <c r="M1112" t="inlineStr"/>
      <c r="N1112" t="inlineStr"/>
      <c r="O1112" t="n">
        <v>0</v>
      </c>
      <c r="P1112">
        <f>IF(B1130=0,0,O1112/B1130)</f>
        <v/>
      </c>
      <c r="Q1112" t="n">
        <v>0</v>
      </c>
      <c r="R1112" t="n">
        <v>0</v>
      </c>
      <c r="S1112">
        <f>IFERROR(O1112/N1112,0)</f>
        <v/>
      </c>
    </row>
    <row r="1113">
      <c r="A1113">
        <f>Skills!A24</f>
        <v/>
      </c>
      <c r="B1113">
        <f>Skills!B24</f>
        <v/>
      </c>
      <c r="C1113">
        <f>Inputs!$B$3&gt;=43</f>
        <v/>
      </c>
      <c r="D1113">
        <f>IF(Skills!C24=1,60+Inputs!$B$25+Inputs!$B$29,IF(Skills!C24=2,90+Inputs!$B$26+Inputs!$B$29,IF(Skills!C24=3,120+Inputs!$B$27+Inputs!$B$29,MAX(0,(Inputs!$B$3-100)*3)+Inputs!$B$28+Inputs!$B$29)))</f>
        <v/>
      </c>
      <c r="E1113">
        <f>INDEX(FactorTable!$B$2:$Y$301, MATCH(ROUND(MIN(300,MAX(1,D1113)),0), FactorTable!$A$2:$A$301,0), Skills!M24+1)</f>
        <v/>
      </c>
      <c r="F1113">
        <f>IF(Skills!N24=TRUE,(Skills!L24/10)*(E1113/1000),Skills!L24/10)+Skills!O24</f>
        <v/>
      </c>
      <c r="G1113">
        <f>Skills!G24*IF(Skills!H24&gt;0,Skills!I24/Skills!H24,1)</f>
        <v/>
      </c>
      <c r="H1113">
        <f>1-(1-Skills!J24/100)^Skills!K24</f>
        <v/>
      </c>
      <c r="I1113" t="inlineStr">
        <is>
          <t>1</t>
        </is>
      </c>
      <c r="J1113" t="inlineStr"/>
      <c r="K1113" t="inlineStr"/>
      <c r="L1113" t="inlineStr"/>
      <c r="M1113" t="inlineStr"/>
      <c r="N1113" t="inlineStr"/>
      <c r="O1113" t="n">
        <v>0</v>
      </c>
      <c r="P1113">
        <f>IF(B1130=0,0,O1113/B1130)</f>
        <v/>
      </c>
      <c r="Q1113" t="n">
        <v>0</v>
      </c>
      <c r="R1113" t="n">
        <v>0</v>
      </c>
      <c r="S1113">
        <f>IFERROR(O1113/N1113,0)</f>
        <v/>
      </c>
    </row>
    <row r="1114">
      <c r="A1114">
        <f>Skills!A25</f>
        <v/>
      </c>
      <c r="B1114">
        <f>Skills!B25</f>
        <v/>
      </c>
      <c r="C1114">
        <f>Inputs!$B$3&gt;=75</f>
        <v/>
      </c>
      <c r="D1114">
        <f>IF(Skills!C25=1,60+Inputs!$B$25+Inputs!$B$29,IF(Skills!C25=2,90+Inputs!$B$26+Inputs!$B$29,IF(Skills!C25=3,120+Inputs!$B$27+Inputs!$B$29,MAX(0,(Inputs!$B$3-100)*3)+Inputs!$B$28+Inputs!$B$29)))</f>
        <v/>
      </c>
      <c r="E1114">
        <f>INDEX(FactorTable!$B$2:$Y$301, MATCH(ROUND(MIN(300,MAX(1,D1114)),0), FactorTable!$A$2:$A$301,0), Skills!M25+1)</f>
        <v/>
      </c>
      <c r="F1114">
        <f>IF(Skills!N25=TRUE,(Skills!L25/10)*(E1114/1000),Skills!L25/10)+Skills!O25</f>
        <v/>
      </c>
      <c r="G1114">
        <f>Skills!G25*IF(Skills!H25&gt;0,Skills!I25/Skills!H25,1)</f>
        <v/>
      </c>
      <c r="H1114">
        <f>1-(1-Skills!J25/100)^Skills!K25</f>
        <v/>
      </c>
      <c r="I1114" t="inlineStr">
        <is>
          <t>1</t>
        </is>
      </c>
      <c r="J1114" t="inlineStr"/>
      <c r="K1114" t="inlineStr"/>
      <c r="L1114" t="inlineStr"/>
      <c r="M1114" t="inlineStr"/>
      <c r="N1114" t="inlineStr"/>
      <c r="O1114" t="n">
        <v>0</v>
      </c>
      <c r="P1114">
        <f>IF(B1130=0,0,O1114/B1130)</f>
        <v/>
      </c>
      <c r="Q1114" t="n">
        <v>0</v>
      </c>
      <c r="R1114" t="n">
        <v>0</v>
      </c>
      <c r="S1114">
        <f>IFERROR(O1114/N1114,0)</f>
        <v/>
      </c>
    </row>
    <row r="1115">
      <c r="A1115">
        <f>Skills!A26</f>
        <v/>
      </c>
      <c r="B1115">
        <f>Skills!B26</f>
        <v/>
      </c>
      <c r="C1115">
        <f>Inputs!$B$3&gt;=125</f>
        <v/>
      </c>
      <c r="D1115">
        <f>IF(Skills!C26=1,60+Inputs!$B$25+Inputs!$B$29,IF(Skills!C26=2,90+Inputs!$B$26+Inputs!$B$29,IF(Skills!C26=3,120+Inputs!$B$27+Inputs!$B$29,MAX(0,(Inputs!$B$3-100)*3)+Inputs!$B$28+Inputs!$B$29)))</f>
        <v/>
      </c>
      <c r="E1115">
        <f>INDEX(FactorTable!$B$2:$Y$301, MATCH(ROUND(MIN(300,MAX(1,D1115)),0), FactorTable!$A$2:$A$301,0), Skills!M26+1)</f>
        <v/>
      </c>
      <c r="F1115">
        <f>IF(Skills!N26=TRUE,(Skills!L26/10)*(E1115/1000),Skills!L26/10)+Skills!O26</f>
        <v/>
      </c>
      <c r="G1115">
        <f>Skills!G26*IF(Skills!H26&gt;0,Skills!I26/Skills!H26,1)</f>
        <v/>
      </c>
      <c r="H1115">
        <f>1-(1-Skills!J26/100)^Skills!K26</f>
        <v/>
      </c>
      <c r="I1115" t="inlineStr">
        <is>
          <t>1</t>
        </is>
      </c>
      <c r="J1115" t="inlineStr"/>
      <c r="K1115" t="inlineStr"/>
      <c r="L1115" t="inlineStr"/>
      <c r="M1115" t="inlineStr"/>
      <c r="N1115" t="inlineStr"/>
      <c r="O1115" t="n">
        <v>0</v>
      </c>
      <c r="P1115">
        <f>IF(B1130=0,0,O1115/B1130)</f>
        <v/>
      </c>
      <c r="Q1115" t="n">
        <v>0</v>
      </c>
      <c r="R1115" t="n">
        <v>0</v>
      </c>
      <c r="S1115">
        <f>IFERROR(O1115/N1115,0)</f>
        <v/>
      </c>
    </row>
    <row r="1116">
      <c r="A1116">
        <f>Skills!A27</f>
        <v/>
      </c>
      <c r="B1116">
        <f>Skills!B27</f>
        <v/>
      </c>
      <c r="C1116">
        <f>Inputs!$B$3&gt;=125</f>
        <v/>
      </c>
      <c r="D1116">
        <f>IF(Skills!C27=1,60+Inputs!$B$25+Inputs!$B$29,IF(Skills!C27=2,90+Inputs!$B$26+Inputs!$B$29,IF(Skills!C27=3,120+Inputs!$B$27+Inputs!$B$29,MAX(0,(Inputs!$B$3-100)*3)+Inputs!$B$28+Inputs!$B$29)))</f>
        <v/>
      </c>
      <c r="E1116">
        <f>INDEX(FactorTable!$B$2:$Y$301, MATCH(ROUND(MIN(300,MAX(1,D1116)),0), FactorTable!$A$2:$A$301,0), Skills!M27+1)</f>
        <v/>
      </c>
      <c r="F1116">
        <f>IF(Skills!N27=TRUE,(Skills!L27/10)*(E1116/1000),Skills!L27/10)+Skills!O27</f>
        <v/>
      </c>
      <c r="G1116">
        <f>Skills!G27*IF(Skills!H27&gt;0,Skills!I27/Skills!H27,1)</f>
        <v/>
      </c>
      <c r="H1116">
        <f>1-(1-Skills!J27/100)^Skills!K27</f>
        <v/>
      </c>
      <c r="I1116" t="inlineStr">
        <is>
          <t>1</t>
        </is>
      </c>
      <c r="J1116" t="inlineStr"/>
      <c r="K1116" t="inlineStr"/>
      <c r="L1116" t="inlineStr"/>
      <c r="M1116" t="inlineStr"/>
      <c r="N1116" t="inlineStr"/>
      <c r="O1116" t="n">
        <v>0</v>
      </c>
      <c r="P1116">
        <f>IF(B1130=0,0,O1116/B1130)</f>
        <v/>
      </c>
      <c r="Q1116" t="n">
        <v>0</v>
      </c>
      <c r="R1116" t="n">
        <v>0</v>
      </c>
      <c r="S1116">
        <f>IFERROR(O1116/N1116,0)</f>
        <v/>
      </c>
    </row>
    <row r="1117">
      <c r="A1117">
        <f>Skills!A28</f>
        <v/>
      </c>
      <c r="B1117">
        <f>Skills!B28</f>
        <v/>
      </c>
      <c r="C1117">
        <f>Inputs!$B$3&gt;=120</f>
        <v/>
      </c>
      <c r="D1117">
        <f>IF(Skills!C28=1,60+Inputs!$B$25+Inputs!$B$29,IF(Skills!C28=2,90+Inputs!$B$26+Inputs!$B$29,IF(Skills!C28=3,120+Inputs!$B$27+Inputs!$B$29,MAX(0,(Inputs!$B$3-100)*3)+Inputs!$B$28+Inputs!$B$29)))</f>
        <v/>
      </c>
      <c r="E1117">
        <f>INDEX(FactorTable!$B$2:$Y$301, MATCH(ROUND(MIN(300,MAX(1,D1117)),0), FactorTable!$A$2:$A$301,0), Skills!M28+1)</f>
        <v/>
      </c>
      <c r="F1117">
        <f>IF(Skills!N28=TRUE,(Skills!L28/10)*(E1117/1000),Skills!L28/10)+Skills!O28</f>
        <v/>
      </c>
      <c r="G1117">
        <f>Skills!G28*IF(Skills!H28&gt;0,Skills!I28/Skills!H28,1)</f>
        <v/>
      </c>
      <c r="H1117">
        <f>1-(1-Skills!J28/100)^Skills!K28</f>
        <v/>
      </c>
      <c r="I1117" t="inlineStr">
        <is>
          <t>1</t>
        </is>
      </c>
      <c r="J1117" t="inlineStr"/>
      <c r="K1117" t="inlineStr"/>
      <c r="L1117" t="inlineStr"/>
      <c r="M1117" t="inlineStr"/>
      <c r="N1117" t="inlineStr"/>
      <c r="O1117" t="n">
        <v>0</v>
      </c>
      <c r="P1117">
        <f>IF(B1130=0,0,O1117/B1130)</f>
        <v/>
      </c>
      <c r="Q1117" t="n">
        <v>0</v>
      </c>
      <c r="R1117" t="n">
        <v>0</v>
      </c>
      <c r="S1117">
        <f>IFERROR(O1117/N1117,0)</f>
        <v/>
      </c>
    </row>
    <row r="1118">
      <c r="A1118">
        <f>Skills!A29</f>
        <v/>
      </c>
      <c r="B1118">
        <f>Skills!B29</f>
        <v/>
      </c>
      <c r="C1118">
        <f>Inputs!$B$3&gt;=120</f>
        <v/>
      </c>
      <c r="D1118">
        <f>IF(Skills!C29=1,60+Inputs!$B$25+Inputs!$B$29,IF(Skills!C29=2,90+Inputs!$B$26+Inputs!$B$29,IF(Skills!C29=3,120+Inputs!$B$27+Inputs!$B$29,MAX(0,(Inputs!$B$3-100)*3)+Inputs!$B$28+Inputs!$B$29)))</f>
        <v/>
      </c>
      <c r="E1118">
        <f>INDEX(FactorTable!$B$2:$Y$301, MATCH(ROUND(MIN(300,MAX(1,D1118)),0), FactorTable!$A$2:$A$301,0), Skills!M29+1)</f>
        <v/>
      </c>
      <c r="F1118">
        <f>IF(Skills!N29=TRUE,(Skills!L29/10)*(E1118/1000),Skills!L29/10)+Skills!O29</f>
        <v/>
      </c>
      <c r="G1118">
        <f>Skills!G29*IF(Skills!H29&gt;0,Skills!I29/Skills!H29,1)</f>
        <v/>
      </c>
      <c r="H1118">
        <f>1-(1-Skills!J29/100)^Skills!K29</f>
        <v/>
      </c>
      <c r="I1118" t="inlineStr">
        <is>
          <t>1</t>
        </is>
      </c>
      <c r="J1118" t="inlineStr"/>
      <c r="K1118" t="inlineStr"/>
      <c r="L1118" t="inlineStr"/>
      <c r="M1118" t="inlineStr"/>
      <c r="N1118" t="inlineStr"/>
      <c r="O1118" t="n">
        <v>0</v>
      </c>
      <c r="P1118">
        <f>IF(B1130=0,0,O1118/B1130)</f>
        <v/>
      </c>
      <c r="Q1118" t="n">
        <v>0</v>
      </c>
      <c r="R1118" t="n">
        <v>0</v>
      </c>
      <c r="S1118">
        <f>IFERROR(O1118/N1118,0)</f>
        <v/>
      </c>
    </row>
    <row r="1119">
      <c r="A1119">
        <f>Skills!A30</f>
        <v/>
      </c>
      <c r="B1119">
        <f>Skills!B30</f>
        <v/>
      </c>
      <c r="C1119">
        <f>Inputs!$B$3&gt;=45</f>
        <v/>
      </c>
      <c r="D1119">
        <f>IF(Skills!C30=1,60+Inputs!$B$25+Inputs!$B$29,IF(Skills!C30=2,90+Inputs!$B$26+Inputs!$B$29,IF(Skills!C30=3,120+Inputs!$B$27+Inputs!$B$29,MAX(0,(Inputs!$B$3-100)*3)+Inputs!$B$28+Inputs!$B$29)))</f>
        <v/>
      </c>
      <c r="E1119">
        <f>INDEX(FactorTable!$B$2:$Y$301, MATCH(ROUND(MIN(300,MAX(1,D1119)),0), FactorTable!$A$2:$A$301,0), Skills!M30+1)</f>
        <v/>
      </c>
      <c r="F1119">
        <f>IF(Skills!N30=TRUE,(Skills!L30/10)*(E1119/1000),Skills!L30/10)+Skills!O30</f>
        <v/>
      </c>
      <c r="G1119">
        <f>Skills!G30*IF(Skills!H30&gt;0,Skills!I30/Skills!H30,1)</f>
        <v/>
      </c>
      <c r="H1119">
        <f>1-(1-Skills!J30/100)^Skills!K30</f>
        <v/>
      </c>
      <c r="I1119" t="inlineStr">
        <is>
          <t>1</t>
        </is>
      </c>
      <c r="J1119" t="inlineStr"/>
      <c r="K1119" t="inlineStr"/>
      <c r="L1119" t="inlineStr"/>
      <c r="M1119" t="inlineStr"/>
      <c r="N1119" t="inlineStr"/>
      <c r="O1119" t="n">
        <v>0</v>
      </c>
      <c r="P1119">
        <f>IF(B1130=0,0,O1119/B1130)</f>
        <v/>
      </c>
      <c r="Q1119" t="n">
        <v>0</v>
      </c>
      <c r="R1119" t="n">
        <v>0</v>
      </c>
      <c r="S1119">
        <f>IFERROR(O1119/N1119,0)</f>
        <v/>
      </c>
    </row>
    <row r="1121">
      <c r="A1121" t="inlineStr">
        <is>
          <t>Attack% Bucket Multiplier</t>
        </is>
      </c>
      <c r="B1121">
        <f>(1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f>
        <v/>
      </c>
    </row>
    <row r="1122">
      <c r="A1122" t="inlineStr">
        <is>
          <t>Global Crit Rate Bonus %</t>
        </is>
      </c>
      <c r="B1122">
        <f>(C1105=TRUE)*20*IF(AND(Inputs!$B$38&lt;&gt;"pvp",Inputs!$B$43&gt;0),(((R1105-1)*(Skills!T16*(1+Inputs!$B$34/100))+MIN((Skills!T16*(1+Inputs!$B$34/100)),MAX(0,Inputs!$B$43-((R1105-1)*Skills!D16))))/Inputs!$B$43),IF(Inputs!$B$38="pvp",MIN((Skills!T16*(1+Inputs!$B$34/100)),15)/15,(Skills!T16*(1+Inputs!$B$34/100))/Skills!D16))</f>
        <v/>
      </c>
    </row>
    <row r="1123">
      <c r="A1123" t="inlineStr">
        <is>
          <t>Attack Speed Buff Bonus %</t>
        </is>
      </c>
      <c r="B1123">
        <f>((C1108=TRUE)*F1108*IF(AND(Inputs!$B$38&lt;&gt;"pvp",Inputs!$B$43&gt;0),(((R1108-1)*(Skills!T19*(1+Inputs!$B$34/100))+MIN((Skills!T19*(1+Inputs!$B$34/100)),MAX(0,Inputs!$B$43-((R1108-1)*Skills!D19))))/Inputs!$B$43),IF(Inputs!$B$38="pvp",MIN((Skills!T19*(1+Inputs!$B$34/100)),15)/15,(Skills!T19*(1+Inputs!$B$34/100))/Skills!D19)))</f>
        <v/>
      </c>
    </row>
    <row r="1124">
      <c r="A1124" t="inlineStr">
        <is>
          <t>Actions Per Second</t>
        </is>
      </c>
      <c r="B1124">
        <f>1+MIN(150,150*(1-(1-(Inputs!$B$11+((C1110=TRUE)*(F1110-Calc!F21))+((C1111=TRUE)*(F1111-Calc!F22)))/150)*(1-B1123/150)))/100</f>
        <v/>
      </c>
    </row>
    <row r="1125">
      <c r="A1125" t="inlineStr">
        <is>
          <t>Skill + Buff Cast Rate</t>
        </is>
      </c>
      <c r="B1125">
        <f>IF(AND(Inputs!$B$38&lt;&gt;"pvp",Inputs!$B$43&gt;0),SUMPRODUCT((Skills!E2:E30=TRUE)*(C1091:C1119=TRUE)*R1091:R1119*Skills!F2:F30)/Inputs!$B$43,SUMPRODUCT((Skills!E2:E30=TRUE)*(C1091:C1119=TRUE)*Q1091:Q1119*Skills!F2:F30))</f>
        <v/>
      </c>
    </row>
    <row r="1126">
      <c r="A1126" t="inlineStr">
        <is>
          <t>Arrow Stream Casts Per Second</t>
        </is>
      </c>
      <c r="B1126">
        <f>MAX(0,B1124-B1125)</f>
        <v/>
      </c>
    </row>
    <row r="1127">
      <c r="A1127" t="inlineStr">
        <is>
          <t>Global Critical Damage Bonus % (Sharp Eyes + Concentration)</t>
        </is>
      </c>
      <c r="B1127">
        <f>(C1105=TRUE)*F1105*IF(AND(Inputs!$B$38&lt;&gt;"pvp",Inputs!$B$43&gt;0),(((R1105-1)*(Skills!T16*(1+Inputs!$B$34/100))+MIN((Skills!T16*(1+Inputs!$B$34/100)),MAX(0,Inputs!$B$43-((R1105-1)*Skills!D16))))/Inputs!$B$43),IF(Inputs!$B$38="pvp",MIN((Skills!T16*(1+Inputs!$B$34/100)),15)/15,(Skills!T16*(1+Inputs!$B$34/100))/Skills!D16))+(C1106=TRUE)*30</f>
        <v/>
      </c>
    </row>
    <row r="1128">
      <c r="A1128" t="inlineStr">
        <is>
          <t>Global Final Damage Bonus % (Mortal Blow)</t>
        </is>
      </c>
      <c r="B1128">
        <f>(C1107=TRUE)*F1107</f>
        <v/>
      </c>
    </row>
    <row r="1129">
      <c r="A1129" t="inlineStr">
        <is>
          <t>Buff-Casting Startup Delay (s, fixed-duration only)</t>
        </is>
      </c>
      <c r="B1129">
        <f>IF(AND(Inputs!$B$38&lt;&gt;"pvp",Inputs!$B$43&gt;0),SUMPRODUCT((Skills!T2:T30&gt;0)*(Skills!E2:E30=TRUE)*(C1091:C1119=TRUE))/B1124,0)</f>
        <v/>
      </c>
    </row>
    <row r="1130">
      <c r="A1130" s="5" t="inlineStr">
        <is>
          <t>TOTAL DPS</t>
        </is>
      </c>
      <c r="B1130" s="5">
        <f>SUM(O1091:O1119)</f>
        <v/>
      </c>
    </row>
    <row r="1133">
      <c r="A1133" s="5" t="inlineStr">
        <is>
          <t>Stat: Buff Duration Increase %</t>
        </is>
      </c>
    </row>
    <row r="1134">
      <c r="A1134" s="9" t="inlineStr">
        <is>
          <t>Key</t>
        </is>
      </c>
      <c r="B1134" s="9" t="inlineStr">
        <is>
          <t>Name</t>
        </is>
      </c>
      <c r="C1134" s="9" t="inlineStr">
        <is>
          <t>Unlocked</t>
        </is>
      </c>
      <c r="D1134" s="9" t="inlineStr">
        <is>
          <t>InputLevel</t>
        </is>
      </c>
      <c r="E1134" s="9" t="inlineStr">
        <is>
          <t>Factor</t>
        </is>
      </c>
      <c r="F1134" s="9" t="inlineStr">
        <is>
          <t>CoefficientPercent</t>
        </is>
      </c>
      <c r="G1134" s="9" t="inlineStr">
        <is>
          <t>EffectiveHits</t>
        </is>
      </c>
      <c r="H1134" s="9" t="inlineStr">
        <is>
          <t>ProcProbability</t>
        </is>
      </c>
      <c r="I1134" s="9" t="inlineStr">
        <is>
          <t>MapleHeroMultiplier</t>
        </is>
      </c>
      <c r="J1134" s="9" t="inlineStr">
        <is>
          <t>BaseDamage</t>
        </is>
      </c>
      <c r="K1134" s="9" t="inlineStr">
        <is>
          <t>BaseHitDamage</t>
        </is>
      </c>
      <c r="L1134" s="9" t="inlineStr">
        <is>
          <t>NonCritAvg</t>
        </is>
      </c>
      <c r="M1134" s="9" t="inlineStr">
        <is>
          <t>CritAvg</t>
        </is>
      </c>
      <c r="N1134" s="9" t="inlineStr">
        <is>
          <t>ExpectedDamage(perHit)</t>
        </is>
      </c>
      <c r="O1134" s="9" t="inlineStr">
        <is>
          <t>DPS</t>
        </is>
      </c>
      <c r="P1134" s="9" t="inlineStr">
        <is>
          <t>% of Total</t>
        </is>
      </c>
      <c r="Q1134" s="9" t="inlineStr">
        <is>
          <t>InvCooldown</t>
        </is>
      </c>
      <c r="R1134" s="9" t="inlineStr">
        <is>
          <t>CastsInFight</t>
        </is>
      </c>
      <c r="S1134" s="9" t="inlineStr">
        <is>
          <t>HitRate(perSec)</t>
        </is>
      </c>
      <c r="U1134" t="inlineStr">
        <is>
          <t>helpers</t>
        </is>
      </c>
    </row>
    <row r="1135">
      <c r="A1135">
        <f>Skills!A2</f>
        <v/>
      </c>
      <c r="B1135">
        <f>Skills!B2</f>
        <v/>
      </c>
      <c r="C1135">
        <f>Inputs!$B$3&gt;=100</f>
        <v/>
      </c>
      <c r="D1135" t="inlineStr"/>
      <c r="E1135" t="inlineStr"/>
      <c r="F1135">
        <f>U1137+Skills!O2</f>
        <v/>
      </c>
      <c r="G1135">
        <f>Skills!G2*IF(Skills!H2&gt;0,Skills!I2/Skills!H2,1)</f>
        <v/>
      </c>
      <c r="H1135">
        <f>1-(1-Skills!J2/100)^Skills!K2</f>
        <v/>
      </c>
      <c r="I1135" t="inlineStr">
        <is>
          <t>1</t>
        </is>
      </c>
      <c r="J1135">
        <f>((Inputs!$B$6*(1+Inputs!$B$7/100))+(((Inputs!$B$12*(1+Inputs!$B$13/100))-(Inputs!$B$12*(1+Inputs!$B$13/100)))+0.25*(Inputs!$B$14-Inputs!$B$14))*(1+Inputs!$B$7/100))*(F1135/100)</f>
        <v/>
      </c>
      <c r="K1135">
        <f>J1135*(1+((Inputs!$B$12*(1+Inputs!$B$13/100))*0.01+Inputs!$B$14*0.0025)/100)*(1+Inputs!$B$15/100)*(1+IF(Inputs!$B$38="pvp",0,(1-Summary!$B$55)*(Inputs!$B$20+0+Skills!P2)+Summary!$B$55*(Inputs!$B$21+Skills!Q2))/100)*(1+Inputs!$B$16/100)*(5000/(6000+Inputs!$B$42*(1-(Inputs!$B$19+((C1160=TRUE)*(F1160-Calc!F27)))/100)))*(1+(Inputs!$B$24+((C1158=TRUE)*(F1158-Calc!F25))+((C1159=TRUE)*(F1159-Calc!F26))+B1172)/100)*(1+(IF(Skills!A2="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1135)</f>
        <v/>
      </c>
      <c r="L1135">
        <f>K1135*(MIN(Inputs!$B$22+((C1157=TRUE)*(F1157-Calc!F24)),Inputs!$B$23+((C1162=TRUE)*(F1162-Calc!F29)))/100+(Inputs!$B$23+((C1162=TRUE)*(F1162-Calc!F29)))/100)/2</f>
        <v/>
      </c>
      <c r="M1135">
        <f>L1135*(1+(Inputs!$B$10+0+B1171)/100)</f>
        <v/>
      </c>
      <c r="N1135">
        <f>L1135*(1-MIN((Inputs!$B$9+((C1153=TRUE)*(F1153-Calc!F20))+B1166),100)/100)+M1135*(MIN((Inputs!$B$9+((C1153=TRUE)*(F1153-Calc!F20))+B1166),100)/100)</f>
        <v/>
      </c>
      <c r="O1135">
        <f>IF(C1135,Skills!G2*N1135*B1170*IF(Inputs!$B$38="pvp",1,(1-Summary!$B$55)*(1)+Summary!$B$55*(MIN((6+Inputs!$B$33),Inputs!$B$37))),0)</f>
        <v/>
      </c>
      <c r="P1135">
        <f>IF(B1174=0,0,O1135/B1174)</f>
        <v/>
      </c>
      <c r="Q1135" t="n">
        <v>0</v>
      </c>
      <c r="R1135" t="n">
        <v>0</v>
      </c>
      <c r="S1135">
        <f>IFERROR(O1135/N1135,0)</f>
        <v/>
      </c>
      <c r="U1135">
        <f>MAX(0,(Inputs!$B$3-100)*3)+Inputs!$B$28+Inputs!$B$29</f>
        <v/>
      </c>
    </row>
    <row r="1136">
      <c r="A1136">
        <f>Skills!A3</f>
        <v/>
      </c>
      <c r="B1136">
        <f>Skills!B3</f>
        <v/>
      </c>
      <c r="C1136">
        <f>Inputs!$B$3&gt;=50</f>
        <v/>
      </c>
      <c r="D1136">
        <f>IF(Skills!C3=1,60+Inputs!$B$25+Inputs!$B$29,IF(Skills!C3=2,90+Inputs!$B$26+Inputs!$B$29,IF(Skills!C3=3,120+Inputs!$B$27+Inputs!$B$29,MAX(0,(Inputs!$B$3-100)*3)+Inputs!$B$28+Inputs!$B$29)))</f>
        <v/>
      </c>
      <c r="E1136">
        <f>INDEX(FactorTable!$B$2:$Y$301, MATCH(ROUND(MIN(300,MAX(1,D1136)),0), FactorTable!$A$2:$A$301,0), Skills!M3+1)</f>
        <v/>
      </c>
      <c r="F1136">
        <f>IF(Skills!N3=TRUE,(Skills!L3/10)*(E1136/1000),Skills!L3/10)+Skills!O3</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U1136">
        <f>INDEX(FactorTable!$B$2:$Y$301, MATCH(ROUND(MIN(300,MAX(1,U1135)),0), FactorTable!$A$2:$A$301,0), 22)</f>
        <v/>
      </c>
    </row>
    <row r="1137">
      <c r="A1137">
        <f>Skills!A4</f>
        <v/>
      </c>
      <c r="B1137">
        <f>Skills!B4</f>
        <v/>
      </c>
      <c r="C1137">
        <f>Inputs!$B$3&gt;=105</f>
        <v/>
      </c>
      <c r="D1137">
        <f>IF(Skills!C4=1,60+Inputs!$B$25+Inputs!$B$29,IF(Skills!C4=2,90+Inputs!$B$26+Inputs!$B$29,IF(Skills!C4=3,120+Inputs!$B$27+Inputs!$B$29,MAX(0,(Inputs!$B$3-100)*3)+Inputs!$B$28+Inputs!$B$29)))</f>
        <v/>
      </c>
      <c r="E1137">
        <f>INDEX(FactorTable!$B$2:$Y$301, MATCH(ROUND(MIN(300,MAX(1,D1137)),0), FactorTable!$A$2:$A$301,0), Skills!M4+1)</f>
        <v/>
      </c>
      <c r="F1137">
        <f>IF(Skills!N4=TRUE,(Skills!L4/10)*(E1137/1000),Skills!L4/10)+Skills!O4</f>
        <v/>
      </c>
      <c r="G1137" t="inlineStr"/>
      <c r="H1137" t="inlineStr"/>
      <c r="I1137" t="inlineStr">
        <is>
          <t>1</t>
        </is>
      </c>
      <c r="J1137" t="inlineStr"/>
      <c r="K1137" t="inlineStr"/>
      <c r="L1137" t="inlineStr"/>
      <c r="M1137" t="inlineStr"/>
      <c r="N1137" t="inlineStr"/>
      <c r="O1137" t="inlineStr"/>
      <c r="P1137" t="inlineStr"/>
      <c r="Q1137" t="inlineStr"/>
      <c r="R1137" t="inlineStr"/>
      <c r="S1137" t="inlineStr"/>
      <c r="U1137">
        <f>290*U1136/1000</f>
        <v/>
      </c>
    </row>
    <row r="1138">
      <c r="A1138">
        <f>Skills!A5</f>
        <v/>
      </c>
      <c r="B1138">
        <f>Skills!B5</f>
        <v/>
      </c>
      <c r="C1138">
        <f>Inputs!$B$3&gt;=35</f>
        <v/>
      </c>
      <c r="D1138">
        <f>IF(Skills!C5=1,60+Inputs!$B$25+Inputs!$B$29,IF(Skills!C5=2,90+Inputs!$B$26+Inputs!$B$29,IF(Skills!C5=3,120+Inputs!$B$27+Inputs!$B$29,MAX(0,(Inputs!$B$3-100)*3)+Inputs!$B$28+Inputs!$B$29)))</f>
        <v/>
      </c>
      <c r="E1138">
        <f>INDEX(FactorTable!$B$2:$Y$301, MATCH(ROUND(MIN(300,MAX(1,D1138)),0), FactorTable!$A$2:$A$301,0), Skills!M5+1)</f>
        <v/>
      </c>
      <c r="F1138">
        <f>IF(Skills!N5=TRUE,(Skills!L5/10)*(E1138/1000),Skills!L5/10)+Skills!O5</f>
        <v/>
      </c>
      <c r="G1138">
        <f>Skills!G5*IF(Skills!H5&gt;0,Skills!I5/Skills!H5,1)</f>
        <v/>
      </c>
      <c r="H1138">
        <f>1-(1-Skills!J5/100)^Skills!K5</f>
        <v/>
      </c>
      <c r="I1138" t="inlineStr">
        <is>
          <t>1</t>
        </is>
      </c>
      <c r="J1138">
        <f>((Inputs!$B$6*(1+Inputs!$B$7/100))+(((Inputs!$B$12*(1+Inputs!$B$13/100))-(Inputs!$B$12*(1+Inputs!$B$13/100)))+0.25*(Inputs!$B$14-Inputs!$B$14))*(1+Inputs!$B$7/100))*(F1138/100)</f>
        <v/>
      </c>
      <c r="K1138">
        <f>J1138*(1+((Inputs!$B$12*(1+Inputs!$B$13/100))*0.01+Inputs!$B$14*0.0025)/100)*(1+Inputs!$B$15/100)*(1+IF(Inputs!$B$38="pvp",0,(1-Summary!$B$55)*(Inputs!$B$20+0+Skills!P5)+Summary!$B$55*(Inputs!$B$21+Skills!Q5))/100)*(1+Inputs!$B$16/100)*(5000/(6000+Inputs!$B$42*(1-(Inputs!$B$19+((C1160=TRUE)*(F1160-Calc!F27)))/100)))*(1+(Inputs!$B$24+((C1158=TRUE)*(F1158-Calc!F25))+((C1159=TRUE)*(F1159-Calc!F26))+B1172)/100)*(1+4.0*IF(C1143=TRUE,F1143,0)/100)*(1+(IF(Skills!A5="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1138)</f>
        <v/>
      </c>
      <c r="L1138">
        <f>K1138*(MIN(Inputs!$B$22+((C1157=TRUE)*(F1157-Calc!F24)),Inputs!$B$23+((C1162=TRUE)*(F1162-Calc!F29)))/100+(Inputs!$B$23+((C1162=TRUE)*(F1162-Calc!F29)))/100)/2</f>
        <v/>
      </c>
      <c r="M1138">
        <f>L1138*(1+(Inputs!$B$10+0+B1171)/100)</f>
        <v/>
      </c>
      <c r="N1138">
        <f>L1138*(1-MIN((Inputs!$B$9+((C1153=TRUE)*(F1153-Calc!F20))+B1166),100)/100)+M1138*(MIN((Inputs!$B$9+((C1153=TRUE)*(F1153-Calc!F20))+B1166),100)/100)</f>
        <v/>
      </c>
      <c r="O1138">
        <f>IF(C1138,H1138*N1138*IF(AND(Inputs!$B$38&lt;&gt;"pvp",Inputs!$B$43&gt;0),((Skills!G5*((R1138-1)*IF(Skills!H5&gt;0,Skills!I5/Skills!H5,1)+IF(Skills!H5&gt;0,MIN(Skills!I5,MAX(0,MAX(0,Inputs!$B$43-B1173)-((R1138-1)*IF(Inputs!$B$38="pvp",15,MAX(0.1,Skills!D5-IF(Skills!E5=TRUE,Inputs!$B$32,0))))))/Skills!H5,1)))/Inputs!$B$43),G1138*Q1138)*IF(Inputs!$B$38="pvp",1,(1-Summary!$B$55)*(1)+Summary!$B$55*(MIN(Skills!R5,Inputs!$B$37))),0)</f>
        <v/>
      </c>
      <c r="P1138">
        <f>IF(B1174=0,0,O1138/B1174)</f>
        <v/>
      </c>
      <c r="Q1138">
        <f>IFERROR(1/IF(Inputs!$B$38="pvp",15,MAX(0.1,Skills!D5-IF(Skills!E5=TRUE,Inputs!$B$32,0))),0)</f>
        <v/>
      </c>
      <c r="R1138">
        <f>IF(AND(Inputs!$B$38&lt;&gt;"pvp",Inputs!$B$43&gt;0),IF(MAX(0,Inputs!$B$43-B1173)&lt;=0,0,(INT(MAX(0,Inputs!$B$43-B1173)/IF(Inputs!$B$38="pvp",15,MAX(0.1,Skills!D5-IF(Skills!E5=TRUE,Inputs!$B$32,0))))+1)),0)</f>
        <v/>
      </c>
      <c r="S1138">
        <f>IFERROR(O1138/N1138,0)</f>
        <v/>
      </c>
    </row>
    <row r="1139">
      <c r="A1139">
        <f>Skills!A6</f>
        <v/>
      </c>
      <c r="B1139">
        <f>Skills!B6</f>
        <v/>
      </c>
      <c r="C1139">
        <f>Inputs!$B$3&gt;=40</f>
        <v/>
      </c>
      <c r="D1139">
        <f>IF(Skills!C6=1,60+Inputs!$B$25+Inputs!$B$29,IF(Skills!C6=2,90+Inputs!$B$26+Inputs!$B$29,IF(Skills!C6=3,120+Inputs!$B$27+Inputs!$B$29,MAX(0,(Inputs!$B$3-100)*3)+Inputs!$B$28+Inputs!$B$29)))</f>
        <v/>
      </c>
      <c r="E1139">
        <f>INDEX(FactorTable!$B$2:$Y$301, MATCH(ROUND(MIN(300,MAX(1,D1139)),0), FactorTable!$A$2:$A$301,0), Skills!M6+1)</f>
        <v/>
      </c>
      <c r="F1139">
        <f>IF(Skills!N6=TRUE,(Skills!L6/10)*(E1139/1000),Skills!L6/10)+Skills!O6</f>
        <v/>
      </c>
      <c r="G1139">
        <f>Skills!G6*IF(Skills!H6&gt;0,Skills!I6/Skills!H6,1)</f>
        <v/>
      </c>
      <c r="H1139">
        <f>1-(1-Skills!J6/100)^Skills!K6</f>
        <v/>
      </c>
      <c r="I1139" t="inlineStr">
        <is>
          <t>1</t>
        </is>
      </c>
      <c r="J1139">
        <f>((Inputs!$B$6*(1+Inputs!$B$7/100))+(((Inputs!$B$12*(1+Inputs!$B$13/100))-(Inputs!$B$12*(1+Inputs!$B$13/100)))+0.25*(Inputs!$B$14-Inputs!$B$14))*(1+Inputs!$B$7/100))*(F1139/100)</f>
        <v/>
      </c>
      <c r="K1139">
        <f>J1139*(1+((Inputs!$B$12*(1+Inputs!$B$13/100))*0.01+Inputs!$B$14*0.0025)/100)*(1+Inputs!$B$15/100)*(1+IF(Inputs!$B$38="pvp",0,(1-Summary!$B$55)*(Inputs!$B$20+0+Skills!P6)+Summary!$B$55*(Inputs!$B$21+Skills!Q6))/100)*(1+Inputs!$B$16/100)*(5000/(6000+Inputs!$B$42*(1-(Inputs!$B$19+((C1160=TRUE)*(F1160-Calc!F27)))/100)))*(1+(Inputs!$B$24+((C1158=TRUE)*(F1158-Calc!F25))+((C1159=TRUE)*(F1159-Calc!F26))+B1172)/100)*(1+IF(C1140=TRUE,F1140,0)/100)*(1+(IF(Skills!A6="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1139)</f>
        <v/>
      </c>
      <c r="L1139">
        <f>K1139*(MIN(Inputs!$B$22+((C1157=TRUE)*(F1157-Calc!F24)),Inputs!$B$23+((C1162=TRUE)*(F1162-Calc!F29)))/100+(Inputs!$B$23+((C1162=TRUE)*(F1162-Calc!F29)))/100)/2</f>
        <v/>
      </c>
      <c r="M1139">
        <f>L1139*(1+(Inputs!$B$10+0+B1171)/100)</f>
        <v/>
      </c>
      <c r="N1139">
        <f>L1139*(1-MIN((Inputs!$B$9+((C1153=TRUE)*(F1153-Calc!F20))+B1166),100)/100)+M1139*(MIN((Inputs!$B$9+((C1153=TRUE)*(F1153-Calc!F20))+B1166),100)/100)</f>
        <v/>
      </c>
      <c r="O1139">
        <f>IF(C1139,H1139*N1139*IF(AND(Inputs!$B$38&lt;&gt;"pvp",Inputs!$B$43&gt;0),((Skills!G6*((R1139-1)*IF(Skills!H6&gt;0,Skills!I6/Skills!H6,1)+IF(Skills!H6&gt;0,MIN(Skills!I6,MAX(0,MAX(0,Inputs!$B$43-B1173)-((R1139-1)*IF(Inputs!$B$38="pvp",15,MAX(0.1,Skills!D6-IF(Skills!E6=TRUE,Inputs!$B$32,0))))))/Skills!H6,1)))/Inputs!$B$43),G1139*Q1139)*IF(Inputs!$B$38="pvp",1,(1-Summary!$B$55)*(1)+Summary!$B$55*(MIN(Skills!R6,Inputs!$B$37))),0)</f>
        <v/>
      </c>
      <c r="P1139">
        <f>IF(B1174=0,0,O1139/B1174)</f>
        <v/>
      </c>
      <c r="Q1139">
        <f>IFERROR(1/IF(Inputs!$B$38="pvp",15,MAX(0.1,Skills!D6-IF(Skills!E6=TRUE,Inputs!$B$32,0))),0)</f>
        <v/>
      </c>
      <c r="R1139">
        <f>IF(AND(Inputs!$B$38&lt;&gt;"pvp",Inputs!$B$43&gt;0),IF(MAX(0,Inputs!$B$43-B1173)&lt;=0,0,(INT(MAX(0,Inputs!$B$43-B1173)/IF(Inputs!$B$38="pvp",15,MAX(0.1,Skills!D6-IF(Skills!E6=TRUE,Inputs!$B$32,0))))+1)),0)</f>
        <v/>
      </c>
      <c r="S1139">
        <f>IFERROR(O1139/N1139,0)</f>
        <v/>
      </c>
    </row>
    <row r="1140">
      <c r="A1140">
        <f>Skills!A7</f>
        <v/>
      </c>
      <c r="B1140">
        <f>Skills!B7</f>
        <v/>
      </c>
      <c r="C1140">
        <f>Inputs!$B$3&gt;=107</f>
        <v/>
      </c>
      <c r="D1140">
        <f>IF(Skills!C7=1,60+Inputs!$B$25+Inputs!$B$29,IF(Skills!C7=2,90+Inputs!$B$26+Inputs!$B$29,IF(Skills!C7=3,120+Inputs!$B$27+Inputs!$B$29,MAX(0,(Inputs!$B$3-100)*3)+Inputs!$B$28+Inputs!$B$29)))</f>
        <v/>
      </c>
      <c r="E1140">
        <f>INDEX(FactorTable!$B$2:$Y$301, MATCH(ROUND(MIN(300,MAX(1,D1140)),0), FactorTable!$A$2:$A$301,0), Skills!M7+1)</f>
        <v/>
      </c>
      <c r="F1140">
        <f>IF(Skills!N7=TRUE,(Skills!L7/10)*(E1140/1000),Skills!L7/10)+Skills!O7</f>
        <v/>
      </c>
      <c r="G1140" t="inlineStr"/>
      <c r="H1140" t="inlineStr"/>
      <c r="I1140" t="inlineStr">
        <is>
          <t>1</t>
        </is>
      </c>
      <c r="J1140" t="inlineStr"/>
      <c r="K1140" t="inlineStr"/>
      <c r="L1140" t="inlineStr"/>
      <c r="M1140" t="inlineStr"/>
      <c r="N1140" t="inlineStr"/>
      <c r="O1140" t="inlineStr"/>
      <c r="P1140" t="inlineStr"/>
      <c r="Q1140" t="inlineStr"/>
      <c r="R1140" t="inlineStr"/>
      <c r="S1140" t="inlineStr"/>
    </row>
    <row r="1141">
      <c r="A1141">
        <f>Skills!A8</f>
        <v/>
      </c>
      <c r="B1141">
        <f>Skills!B8</f>
        <v/>
      </c>
      <c r="C1141">
        <f>Inputs!$B$3&gt;=69</f>
        <v/>
      </c>
      <c r="D1141">
        <f>IF(Skills!C8=1,60+Inputs!$B$25+Inputs!$B$29,IF(Skills!C8=2,90+Inputs!$B$26+Inputs!$B$29,IF(Skills!C8=3,120+Inputs!$B$27+Inputs!$B$29,MAX(0,(Inputs!$B$3-100)*3)+Inputs!$B$28+Inputs!$B$29)))</f>
        <v/>
      </c>
      <c r="E1141">
        <f>INDEX(FactorTable!$B$2:$Y$301, MATCH(ROUND(MIN(300,MAX(1,D1141)),0), FactorTable!$A$2:$A$301,0), Skills!M8+1)</f>
        <v/>
      </c>
      <c r="F1141">
        <f>IF(Skills!N8=TRUE,(Skills!L8/10)*(E1141/1000),Skills!L8/10)+Skills!O8</f>
        <v/>
      </c>
      <c r="G1141">
        <f>Skills!G8*IF(Skills!H8&gt;0,Skills!I8/Skills!H8,1)</f>
        <v/>
      </c>
      <c r="H1141">
        <f>1-(1-Skills!J8/100)^Skills!K8</f>
        <v/>
      </c>
      <c r="I1141" t="inlineStr">
        <is>
          <t>1</t>
        </is>
      </c>
      <c r="J1141">
        <f>((Inputs!$B$6*(1+Inputs!$B$7/100))+(((Inputs!$B$12*(1+Inputs!$B$13/100))-(Inputs!$B$12*(1+Inputs!$B$13/100)))+0.25*(Inputs!$B$14-Inputs!$B$14))*(1+Inputs!$B$7/100))*(F1141/100)</f>
        <v/>
      </c>
      <c r="K1141">
        <f>J1141*(1+((Inputs!$B$12*(1+Inputs!$B$13/100))*0.01+Inputs!$B$14*0.0025)/100)*(1+Inputs!$B$15/100)*(1+IF(Inputs!$B$38="pvp",0,(1-Summary!$B$55)*(Inputs!$B$20+0+Skills!P8)+Summary!$B$55*(Inputs!$B$21+Skills!Q8))/100)*(1+Inputs!$B$16/100)*(5000/(6000+Inputs!$B$42*(1-(Inputs!$B$19+((C1160=TRUE)*(F1160-Calc!F27)))/100)))*(1+(Inputs!$B$24+((C1158=TRUE)*(F1158-Calc!F25))+((C1159=TRUE)*(F1159-Calc!F26))+B1172)/100)*(1+1.2*IF(C1143=TRUE,F1143,0)/100)*(1+(IF(Skills!A8="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1141)</f>
        <v/>
      </c>
      <c r="L1141">
        <f>K1141*(MIN(Inputs!$B$22+((C1157=TRUE)*(F1157-Calc!F24)),Inputs!$B$23+((C1162=TRUE)*(F1162-Calc!F29)))/100+(Inputs!$B$23+((C1162=TRUE)*(F1162-Calc!F29)))/100)/2</f>
        <v/>
      </c>
      <c r="M1141">
        <f>L1141*(1+(Inputs!$B$10+0+B1171)/100)</f>
        <v/>
      </c>
      <c r="N1141">
        <f>L1141*(1-MIN((Inputs!$B$9+((C1153=TRUE)*(F1153-Calc!F20))+B1166),100)/100)+M1141*(MIN((Inputs!$B$9+((C1153=TRUE)*(F1153-Calc!F20))+B1166),100)/100)</f>
        <v/>
      </c>
      <c r="O1141">
        <f>IF(C1141,H1141*N1141*IF(AND(Inputs!$B$38&lt;&gt;"pvp",Inputs!$B$43&gt;0),((Skills!G8*((R1141-1)*IF(Skills!H8&gt;0,Skills!I8/Skills!H8,1)+IF(Skills!H8&gt;0,MIN(Skills!I8,MAX(0,MAX(0,Inputs!$B$43-B1173)-((R1141-1)*IF(Inputs!$B$38="pvp",15,MAX(0.1,Skills!D8-IF(Skills!E8=TRUE,Inputs!$B$32,0))))))/Skills!H8,1)))/Inputs!$B$43),G1141*Q1141)*IF(Inputs!$B$38="pvp",1,(1-Summary!$B$55)*(1)+Summary!$B$55*(MIN(Skills!R8,Inputs!$B$37))),0)</f>
        <v/>
      </c>
      <c r="P1141">
        <f>IF(B1174=0,0,O1141/B1174)</f>
        <v/>
      </c>
      <c r="Q1141">
        <f>IFERROR(1/IF(Inputs!$B$38="pvp",15,MAX(0.1,Skills!D8-IF(Skills!E8=TRUE,Inputs!$B$32,0))),0)</f>
        <v/>
      </c>
      <c r="R1141">
        <f>IF(AND(Inputs!$B$38&lt;&gt;"pvp",Inputs!$B$43&gt;0),IF(MAX(0,Inputs!$B$43-B1173)&lt;=0,0,(INT(MAX(0,Inputs!$B$43-B1173)/IF(Inputs!$B$38="pvp",15,MAX(0.1,Skills!D8-IF(Skills!E8=TRUE,Inputs!$B$32,0))))+1)),0)</f>
        <v/>
      </c>
      <c r="S1141">
        <f>IFERROR(O1141/N1141,0)</f>
        <v/>
      </c>
    </row>
    <row r="1142">
      <c r="A1142">
        <f>Skills!A9</f>
        <v/>
      </c>
      <c r="B1142">
        <f>Skills!B9</f>
        <v/>
      </c>
      <c r="C1142">
        <f>Inputs!$B$3&gt;=63</f>
        <v/>
      </c>
      <c r="D1142">
        <f>IF(Skills!C9=1,60+Inputs!$B$25+Inputs!$B$29,IF(Skills!C9=2,90+Inputs!$B$26+Inputs!$B$29,IF(Skills!C9=3,120+Inputs!$B$27+Inputs!$B$29,MAX(0,(Inputs!$B$3-100)*3)+Inputs!$B$28+Inputs!$B$29)))</f>
        <v/>
      </c>
      <c r="E1142">
        <f>INDEX(FactorTable!$B$2:$Y$301, MATCH(ROUND(MIN(300,MAX(1,D1142)),0), FactorTable!$A$2:$A$301,0), Skills!M9+1)</f>
        <v/>
      </c>
      <c r="F1142">
        <f>IF(Skills!N9=TRUE,(Skills!L9/10)*(E1142/1000),Skills!L9/10)+Skills!O9</f>
        <v/>
      </c>
      <c r="G1142">
        <f>Skills!G9*IF(Skills!H9&gt;0,Skills!I9/Skills!H9,1)</f>
        <v/>
      </c>
      <c r="H1142">
        <f>1-(1-Skills!J9/100)^Skills!K9</f>
        <v/>
      </c>
      <c r="I1142" t="inlineStr">
        <is>
          <t>1</t>
        </is>
      </c>
      <c r="J1142">
        <f>((Inputs!$B$6*(1+Inputs!$B$7/100))+(((Inputs!$B$12*(1+Inputs!$B$13/100))-(Inputs!$B$12*(1+Inputs!$B$13/100)))+0.25*(Inputs!$B$14-Inputs!$B$14))*(1+Inputs!$B$7/100))*(F1142/100)</f>
        <v/>
      </c>
      <c r="K1142">
        <f>J1142*(1+((Inputs!$B$12*(1+Inputs!$B$13/100))*0.01+Inputs!$B$14*0.0025)/100)*(1+Inputs!$B$15/100)*(1+IF(Inputs!$B$38="pvp",0,(1-Summary!$B$55)*(Inputs!$B$20+0+Skills!P9)+Summary!$B$55*(Inputs!$B$21+Skills!Q9))/100)*(1+Inputs!$B$16/100)*(5000/(6000+Inputs!$B$42*(1-(Inputs!$B$19+((C1160=TRUE)*(F1160-Calc!F27)))/100)))*(1+(Inputs!$B$24+((C1158=TRUE)*(F1158-Calc!F25))+((C1159=TRUE)*(F1159-Calc!F26))+B1172)/100)*(1+1.0*IF(C1143=TRUE,F1143,0)/100)*(1+(IF(Skills!A9="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1142)</f>
        <v/>
      </c>
      <c r="L1142">
        <f>K1142*(MIN(Inputs!$B$22+((C1157=TRUE)*(F1157-Calc!F24)),Inputs!$B$23+((C1162=TRUE)*(F1162-Calc!F29)))/100+(Inputs!$B$23+((C1162=TRUE)*(F1162-Calc!F29)))/100)/2</f>
        <v/>
      </c>
      <c r="M1142">
        <f>L1142*(1+(Inputs!$B$10+0+B1171)/100)</f>
        <v/>
      </c>
      <c r="N1142">
        <f>L1142*(1-MIN((Inputs!$B$9+((C1153=TRUE)*(F1153-Calc!F20))+B1166),100)/100)+M1142*(MIN((Inputs!$B$9+((C1153=TRUE)*(F1153-Calc!F20))+B1166),100)/100)</f>
        <v/>
      </c>
      <c r="O1142">
        <f>IF(C1142,H1142*N1142*IF(AND(Inputs!$B$38&lt;&gt;"pvp",Inputs!$B$43&gt;0),((Skills!G9*((R1142-1)*IF(Skills!H9&gt;0,Skills!I9/Skills!H9,1)+IF(Skills!H9&gt;0,MIN(Skills!I9,MAX(0,MAX(0,Inputs!$B$43-B1173)-((R1142-1)*IF(Inputs!$B$38="pvp",15,MAX(0.1,Skills!D9-IF(Skills!E9=TRUE,Inputs!$B$32,0))))))/Skills!H9,1)))/Inputs!$B$43),G1142*Q1142)*IF(Inputs!$B$38="pvp",1,(1-Summary!$B$55)*(1)+Summary!$B$55*(MIN(Skills!R9,Inputs!$B$37))),0)</f>
        <v/>
      </c>
      <c r="P1142">
        <f>IF(B1174=0,0,O1142/B1174)</f>
        <v/>
      </c>
      <c r="Q1142">
        <f>IFERROR(1/IF(Inputs!$B$38="pvp",15,MAX(0.1,Skills!D9-IF(Skills!E9=TRUE,Inputs!$B$32,0))),0)</f>
        <v/>
      </c>
      <c r="R1142">
        <f>IF(AND(Inputs!$B$38&lt;&gt;"pvp",Inputs!$B$43&gt;0),IF(MAX(0,Inputs!$B$43-B1173)&lt;=0,0,(INT(MAX(0,Inputs!$B$43-B1173)/IF(Inputs!$B$38="pvp",15,MAX(0.1,Skills!D9-IF(Skills!E9=TRUE,Inputs!$B$32,0))))+1)),0)</f>
        <v/>
      </c>
      <c r="S1142">
        <f>IFERROR(O1142/N1142,0)</f>
        <v/>
      </c>
    </row>
    <row r="1143">
      <c r="A1143">
        <f>Skills!A10</f>
        <v/>
      </c>
      <c r="B1143">
        <f>Skills!B10</f>
        <v/>
      </c>
      <c r="C1143">
        <f>Inputs!$B$3&gt;=100</f>
        <v/>
      </c>
      <c r="D1143">
        <f>IF(Skills!C10=1,60+Inputs!$B$25+Inputs!$B$29,IF(Skills!C10=2,90+Inputs!$B$26+Inputs!$B$29,IF(Skills!C10=3,120+Inputs!$B$27+Inputs!$B$29,MAX(0,(Inputs!$B$3-100)*3)+Inputs!$B$28+Inputs!$B$29)))</f>
        <v/>
      </c>
      <c r="E1143">
        <f>INDEX(FactorTable!$B$2:$Y$301, MATCH(ROUND(MIN(300,MAX(1,D1143)),0), FactorTable!$A$2:$A$301,0), Skills!M10+1)</f>
        <v/>
      </c>
      <c r="F1143">
        <f>IF(Skills!N10=TRUE,(Skills!L10/10)*(E1143/1000),Skills!L10/10)+Skills!O10</f>
        <v/>
      </c>
      <c r="G1143" t="inlineStr"/>
      <c r="H1143" t="inlineStr"/>
      <c r="I1143" t="inlineStr">
        <is>
          <t>1</t>
        </is>
      </c>
      <c r="J1143" t="inlineStr"/>
      <c r="K1143" t="inlineStr"/>
      <c r="L1143" t="inlineStr"/>
      <c r="M1143" t="inlineStr"/>
      <c r="N1143" t="inlineStr"/>
      <c r="O1143" t="inlineStr"/>
      <c r="P1143" t="inlineStr"/>
      <c r="Q1143" t="inlineStr"/>
      <c r="R1143" t="inlineStr"/>
      <c r="S1143" t="inlineStr"/>
    </row>
    <row r="1144">
      <c r="A1144">
        <f>Skills!A11</f>
        <v/>
      </c>
      <c r="B1144">
        <f>Skills!B11</f>
        <v/>
      </c>
      <c r="C1144">
        <f>Inputs!$B$3&gt;=60</f>
        <v/>
      </c>
      <c r="D1144">
        <f>IF(Skills!C11=1,60+Inputs!$B$25+Inputs!$B$29,IF(Skills!C11=2,90+Inputs!$B$26+Inputs!$B$29,IF(Skills!C11=3,120+Inputs!$B$27+Inputs!$B$29,MAX(0,(Inputs!$B$3-100)*3)+Inputs!$B$28+Inputs!$B$29)))</f>
        <v/>
      </c>
      <c r="E1144">
        <f>INDEX(FactorTable!$B$2:$Y$301, MATCH(ROUND(MIN(300,MAX(1,D1144)),0), FactorTable!$A$2:$A$301,0), Skills!M11+1)</f>
        <v/>
      </c>
      <c r="F1144">
        <f>IF(Skills!N11=TRUE,(Skills!L11/10)*(E1144/1000),Skills!L11/10)+Skills!O11</f>
        <v/>
      </c>
      <c r="G1144">
        <f>Skills!G11*IF(Skills!H11&gt;0,Skills!I11/Skills!H11,1)</f>
        <v/>
      </c>
      <c r="H1144">
        <f>1-(1-Skills!J11/100)^Skills!K11</f>
        <v/>
      </c>
      <c r="I1144" t="inlineStr">
        <is>
          <t>1</t>
        </is>
      </c>
      <c r="J1144">
        <f>((Inputs!$B$6*(1+Inputs!$B$7/100))+(((Inputs!$B$12*(1+Inputs!$B$13/100))-(Inputs!$B$12*(1+Inputs!$B$13/100)))+0.25*(Inputs!$B$14-Inputs!$B$14))*(1+Inputs!$B$7/100))*(F1144/100)</f>
        <v/>
      </c>
      <c r="K1144">
        <f>J1144*(1+((Inputs!$B$12*(1+Inputs!$B$13/100))*0.01+Inputs!$B$14*0.0025)/100)*(1+Inputs!$B$15/100)*(1+IF(Inputs!$B$38="pvp",0,(1-Summary!$B$55)*(Inputs!$B$20+0+Skills!P11)+Summary!$B$55*(Inputs!$B$21+Skills!Q11))/100)*(1+Inputs!$B$16/100)*(5000/(6000+Inputs!$B$42*(1-(Inputs!$B$19+((C1160=TRUE)*(F1160-Calc!F27)))/100)))*(1+(Inputs!$B$24+((C1158=TRUE)*(F1158-Calc!F25))+((C1159=TRUE)*(F1159-Calc!F26))+B1172)/100)*(1+IF(C1145=TRUE,F1145,0)/100)*(1+(IF(Skills!A11="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1144)</f>
        <v/>
      </c>
      <c r="L1144">
        <f>K1144*(MIN(Inputs!$B$22+((C1157=TRUE)*(F1157-Calc!F24)),Inputs!$B$23+((C1162=TRUE)*(F1162-Calc!F29)))/100+(Inputs!$B$23+((C1162=TRUE)*(F1162-Calc!F29)))/100)/2</f>
        <v/>
      </c>
      <c r="M1144">
        <f>L1144*(1+(Inputs!$B$10+0+B1171)/100)</f>
        <v/>
      </c>
      <c r="N1144">
        <f>L1144*(1-MIN((Inputs!$B$9+((C1153=TRUE)*(F1153-Calc!F20))+B1166),100)/100)+M1144*(MIN((Inputs!$B$9+((C1153=TRUE)*(F1153-Calc!F20))+B1166),100)/100)</f>
        <v/>
      </c>
      <c r="O1144">
        <f>IF(C1144,H1144*N1144*IF(AND(Inputs!$B$38&lt;&gt;"pvp",Inputs!$B$43&gt;0),((Skills!G11*((R1144-1)*IF(Skills!H11&gt;0,Skills!I11/Skills!H11,1)+IF(Skills!H11&gt;0,MIN(Skills!I11,MAX(0,MAX(0,Inputs!$B$43-B1173)-((R1144-1)*IF(Inputs!$B$38="pvp",15,MAX(0.1,Skills!D11-IF(Skills!E11=TRUE,Inputs!$B$32,0))))))/Skills!H11,1)))/Inputs!$B$43),G1144*Q1144)*IF(Inputs!$B$38="pvp",1,(1-Summary!$B$55)*(1)+Summary!$B$55*(MIN(Skills!R11,Inputs!$B$37))),0)</f>
        <v/>
      </c>
      <c r="P1144">
        <f>IF(B1174=0,0,O1144/B1174)</f>
        <v/>
      </c>
      <c r="Q1144">
        <f>IFERROR(1/IF(Inputs!$B$38="pvp",15,MAX(0.1,Skills!D11-IF(Skills!E11=TRUE,Inputs!$B$32,0))),0)</f>
        <v/>
      </c>
      <c r="R1144">
        <f>IF(AND(Inputs!$B$38&lt;&gt;"pvp",Inputs!$B$43&gt;0),IF(MAX(0,Inputs!$B$43-B1173)&lt;=0,0,(INT(MAX(0,Inputs!$B$43-B1173)/IF(Inputs!$B$38="pvp",15,MAX(0.1,Skills!D11-IF(Skills!E11=TRUE,Inputs!$B$32,0))))+1)),0)</f>
        <v/>
      </c>
      <c r="S1144">
        <f>IFERROR(O1144/N1144,0)</f>
        <v/>
      </c>
    </row>
    <row r="1145">
      <c r="A1145">
        <f>Skills!A12</f>
        <v/>
      </c>
      <c r="B1145">
        <f>Skills!B12</f>
        <v/>
      </c>
      <c r="C1145">
        <f>Inputs!$B$3&gt;=110</f>
        <v/>
      </c>
      <c r="D1145">
        <f>IF(Skills!C12=1,60+Inputs!$B$25+Inputs!$B$29,IF(Skills!C12=2,90+Inputs!$B$26+Inputs!$B$29,IF(Skills!C12=3,120+Inputs!$B$27+Inputs!$B$29,MAX(0,(Inputs!$B$3-100)*3)+Inputs!$B$28+Inputs!$B$29)))</f>
        <v/>
      </c>
      <c r="E1145">
        <f>INDEX(FactorTable!$B$2:$Y$301, MATCH(ROUND(MIN(300,MAX(1,D1145)),0), FactorTable!$A$2:$A$301,0), Skills!M12+1)</f>
        <v/>
      </c>
      <c r="F1145">
        <f>IF(Skills!N12=TRUE,(Skills!L12/10)*(E1145/1000),Skills!L12/10)+Skills!O12</f>
        <v/>
      </c>
      <c r="G1145" t="inlineStr"/>
      <c r="H1145" t="inlineStr"/>
      <c r="I1145" t="inlineStr">
        <is>
          <t>1</t>
        </is>
      </c>
      <c r="J1145" t="inlineStr"/>
      <c r="K1145" t="inlineStr"/>
      <c r="L1145" t="inlineStr"/>
      <c r="M1145" t="inlineStr"/>
      <c r="N1145" t="inlineStr"/>
      <c r="O1145" t="inlineStr"/>
      <c r="P1145" t="inlineStr"/>
      <c r="Q1145" t="inlineStr"/>
      <c r="R1145" t="inlineStr"/>
      <c r="S1145" t="inlineStr"/>
    </row>
    <row r="1146">
      <c r="A1146">
        <f>Skills!A13</f>
        <v/>
      </c>
      <c r="B1146">
        <f>Skills!B13</f>
        <v/>
      </c>
      <c r="C1146">
        <f>Inputs!$B$3&gt;=74</f>
        <v/>
      </c>
      <c r="D1146">
        <f>IF(Skills!C13=1,60+Inputs!$B$25+Inputs!$B$29,IF(Skills!C13=2,90+Inputs!$B$26+Inputs!$B$29,IF(Skills!C13=3,120+Inputs!$B$27+Inputs!$B$29,MAX(0,(Inputs!$B$3-100)*3)+Inputs!$B$28+Inputs!$B$29)))</f>
        <v/>
      </c>
      <c r="E1146">
        <f>INDEX(FactorTable!$B$2:$Y$301, MATCH(ROUND(MIN(300,MAX(1,D1146)),0), FactorTable!$A$2:$A$301,0), Skills!M13+1)</f>
        <v/>
      </c>
      <c r="F1146">
        <f>IF(Skills!N13=TRUE,(Skills!L13/10)*(E1146/1000),Skills!L13/10)+Skills!O13</f>
        <v/>
      </c>
      <c r="G1146">
        <f>Skills!G13*IF(Skills!H13&gt;0,Skills!I13/Skills!H13,1)</f>
        <v/>
      </c>
      <c r="H1146">
        <f>1-(1-Skills!J13/100)^Skills!K13</f>
        <v/>
      </c>
      <c r="I1146" t="inlineStr">
        <is>
          <t>1</t>
        </is>
      </c>
      <c r="J1146" t="inlineStr"/>
      <c r="K1146" t="inlineStr"/>
      <c r="L1146" t="inlineStr"/>
      <c r="M1146" t="inlineStr"/>
      <c r="N1146" t="inlineStr"/>
      <c r="O1146" t="n">
        <v>0</v>
      </c>
      <c r="P1146">
        <f>IF(B1174=0,0,O1146/B1174)</f>
        <v/>
      </c>
      <c r="Q1146" t="n">
        <v>0</v>
      </c>
      <c r="R1146" t="n">
        <v>0</v>
      </c>
      <c r="S1146">
        <f>IFERROR(O1146/N1146,0)</f>
        <v/>
      </c>
    </row>
    <row r="1147">
      <c r="A1147">
        <f>Skills!A14</f>
        <v/>
      </c>
      <c r="B1147">
        <f>Skills!B14</f>
        <v/>
      </c>
      <c r="C1147">
        <f>Inputs!$B$3&gt;=74</f>
        <v/>
      </c>
      <c r="D1147">
        <f>IF(Skills!C14=1,60+Inputs!$B$25+Inputs!$B$29,IF(Skills!C14=2,90+Inputs!$B$26+Inputs!$B$29,IF(Skills!C14=3,120+Inputs!$B$27+Inputs!$B$29,MAX(0,(Inputs!$B$3-100)*3)+Inputs!$B$28+Inputs!$B$29)))</f>
        <v/>
      </c>
      <c r="E1147">
        <f>INDEX(FactorTable!$B$2:$Y$301, MATCH(ROUND(MIN(300,MAX(1,D1147)),0), FactorTable!$A$2:$A$301,0), Skills!M14+1)</f>
        <v/>
      </c>
      <c r="F1147">
        <f>IF(Skills!N14=TRUE,(Skills!L14/10)*(E1147/1000),Skills!L14/10)+Skills!O14</f>
        <v/>
      </c>
      <c r="G1147">
        <f>Skills!G14*IF(Skills!H14&gt;0,Skills!I14/Skills!H14,1)</f>
        <v/>
      </c>
      <c r="H1147">
        <f>1-(1-Skills!J14/100)^Skills!K14</f>
        <v/>
      </c>
      <c r="I1147" t="inlineStr">
        <is>
          <t>1</t>
        </is>
      </c>
      <c r="J1147" t="inlineStr"/>
      <c r="K1147" t="inlineStr"/>
      <c r="L1147" t="inlineStr"/>
      <c r="M1147" t="inlineStr"/>
      <c r="N1147" t="inlineStr"/>
      <c r="O1147" t="n">
        <v>0</v>
      </c>
      <c r="P1147">
        <f>IF(B1174=0,0,O1147/B1174)</f>
        <v/>
      </c>
      <c r="Q1147" t="n">
        <v>0</v>
      </c>
      <c r="R1147" t="n">
        <v>0</v>
      </c>
      <c r="S1147">
        <f>IFERROR(O1147/N1147,0)</f>
        <v/>
      </c>
    </row>
    <row r="1148">
      <c r="A1148">
        <f>Skills!A15</f>
        <v/>
      </c>
      <c r="B1148">
        <f>Skills!B15</f>
        <v/>
      </c>
      <c r="C1148">
        <f>Inputs!$B$3&gt;=117</f>
        <v/>
      </c>
      <c r="D1148">
        <f>IF(Skills!C15=1,60+Inputs!$B$25+Inputs!$B$29,IF(Skills!C15=2,90+Inputs!$B$26+Inputs!$B$29,IF(Skills!C15=3,120+Inputs!$B$27+Inputs!$B$29,MAX(0,(Inputs!$B$3-100)*3)+Inputs!$B$28+Inputs!$B$29)))</f>
        <v/>
      </c>
      <c r="E1148">
        <f>INDEX(FactorTable!$B$2:$Y$301, MATCH(ROUND(MIN(300,MAX(1,D1148)),0), FactorTable!$A$2:$A$301,0), Skills!M15+1)</f>
        <v/>
      </c>
      <c r="F1148">
        <f>IF(Skills!N15=TRUE,(Skills!L15/10)*(E1148/1000),Skills!L15/10)+Skills!O15</f>
        <v/>
      </c>
      <c r="G1148">
        <f>Skills!G15*IF(Skills!H15&gt;0,Skills!I15/Skills!H15,1)</f>
        <v/>
      </c>
      <c r="H1148">
        <f>1-(1-Skills!J15/100)^Skills!K15</f>
        <v/>
      </c>
      <c r="I1148" t="inlineStr">
        <is>
          <t>1</t>
        </is>
      </c>
      <c r="J1148" t="inlineStr"/>
      <c r="K1148" t="inlineStr"/>
      <c r="L1148" t="inlineStr"/>
      <c r="M1148" t="inlineStr"/>
      <c r="N1148" t="inlineStr"/>
      <c r="O1148" t="n">
        <v>0</v>
      </c>
      <c r="P1148">
        <f>IF(B1174=0,0,O1148/B1174)</f>
        <v/>
      </c>
      <c r="Q1148">
        <f>IFERROR(1/IF(Inputs!$B$38="pvp",15,MAX(0.1,Skills!D15-IF(Skills!E15=TRUE,Inputs!$B$32,0))),0)</f>
        <v/>
      </c>
      <c r="R1148">
        <f>IF(AND(Inputs!$B$38&lt;&gt;"pvp",Inputs!$B$43&gt;0),IF(Inputs!$B$43&lt;=0,0,(INT(Inputs!$B$43/IF(Inputs!$B$38="pvp",15,MAX(0.1,Skills!D15-IF(Skills!E15=TRUE,Inputs!$B$32,0))))+1)),0)</f>
        <v/>
      </c>
      <c r="S1148">
        <f>IFERROR(O1148/N1148,0)</f>
        <v/>
      </c>
    </row>
    <row r="1149">
      <c r="A1149">
        <f>Skills!A16</f>
        <v/>
      </c>
      <c r="B1149">
        <f>Skills!B16</f>
        <v/>
      </c>
      <c r="C1149">
        <f>Inputs!$B$3&gt;=115</f>
        <v/>
      </c>
      <c r="D1149">
        <f>IF(Skills!C16=1,60+Inputs!$B$25+Inputs!$B$29,IF(Skills!C16=2,90+Inputs!$B$26+Inputs!$B$29,IF(Skills!C16=3,120+Inputs!$B$27+Inputs!$B$29,MAX(0,(Inputs!$B$3-100)*3)+Inputs!$B$28+Inputs!$B$29)))</f>
        <v/>
      </c>
      <c r="E1149">
        <f>INDEX(FactorTable!$B$2:$Y$301, MATCH(ROUND(MIN(300,MAX(1,D1149)),0), FactorTable!$A$2:$A$301,0), Skills!M16+1)</f>
        <v/>
      </c>
      <c r="F1149">
        <f>IF(Skills!N16=TRUE,(Skills!L16/10)*(E1149/1000),Skills!L16/10)+Skills!O16</f>
        <v/>
      </c>
      <c r="G1149">
        <f>Skills!G16*IF(Skills!H16&gt;0,Skills!I16/Skills!H16,1)</f>
        <v/>
      </c>
      <c r="H1149">
        <f>1-(1-Skills!J16/100)^Skills!K16</f>
        <v/>
      </c>
      <c r="I1149" t="inlineStr">
        <is>
          <t>1</t>
        </is>
      </c>
      <c r="J1149" t="inlineStr"/>
      <c r="K1149" t="inlineStr"/>
      <c r="L1149" t="inlineStr"/>
      <c r="M1149" t="inlineStr"/>
      <c r="N1149" t="inlineStr"/>
      <c r="O1149" t="n">
        <v>0</v>
      </c>
      <c r="P1149">
        <f>IF(B1174=0,0,O1149/B1174)</f>
        <v/>
      </c>
      <c r="Q1149">
        <f>IFERROR(1/IF(Inputs!$B$38="pvp",15,MAX(0.1,Skills!D16-IF(Skills!E16=TRUE,Inputs!$B$32,0))),0)</f>
        <v/>
      </c>
      <c r="R1149">
        <f>IF(AND(Inputs!$B$38&lt;&gt;"pvp",Inputs!$B$43&gt;0),IF(Inputs!$B$43&lt;=0,0,(INT(Inputs!$B$43/IF(Inputs!$B$38="pvp",15,MAX(0.1,Skills!D16-IF(Skills!E16=TRUE,Inputs!$B$32,0))))+1)),0)</f>
        <v/>
      </c>
      <c r="S1149">
        <f>IFERROR(O1149/N1149,0)</f>
        <v/>
      </c>
    </row>
    <row r="1150">
      <c r="A1150">
        <f>Skills!A17</f>
        <v/>
      </c>
      <c r="B1150">
        <f>Skills!B17</f>
        <v/>
      </c>
      <c r="C1150">
        <f>Inputs!$B$3&gt;=66</f>
        <v/>
      </c>
      <c r="D1150">
        <f>IF(Skills!C17=1,60+Inputs!$B$25+Inputs!$B$29,IF(Skills!C17=2,90+Inputs!$B$26+Inputs!$B$29,IF(Skills!C17=3,120+Inputs!$B$27+Inputs!$B$29,MAX(0,(Inputs!$B$3-100)*3)+Inputs!$B$28+Inputs!$B$29)))</f>
        <v/>
      </c>
      <c r="E1150">
        <f>INDEX(FactorTable!$B$2:$Y$301, MATCH(ROUND(MIN(300,MAX(1,D1150)),0), FactorTable!$A$2:$A$301,0), Skills!M17+1)</f>
        <v/>
      </c>
      <c r="F1150">
        <f>IF(Skills!N17=TRUE,(Skills!L17/10)*(E1150/1000),Skills!L17/10)+Skills!O17</f>
        <v/>
      </c>
      <c r="G1150">
        <f>Skills!G17*IF(Skills!H17&gt;0,Skills!I17/Skills!H17,1)</f>
        <v/>
      </c>
      <c r="H1150">
        <f>1-(1-Skills!J17/100)^Skills!K17</f>
        <v/>
      </c>
      <c r="I1150" t="inlineStr">
        <is>
          <t>1</t>
        </is>
      </c>
      <c r="J1150" t="inlineStr"/>
      <c r="K1150" t="inlineStr"/>
      <c r="L1150" t="inlineStr"/>
      <c r="M1150" t="inlineStr"/>
      <c r="N1150" t="inlineStr"/>
      <c r="O1150" t="n">
        <v>0</v>
      </c>
      <c r="P1150">
        <f>IF(B1174=0,0,O1150/B1174)</f>
        <v/>
      </c>
      <c r="Q1150" t="n">
        <v>0</v>
      </c>
      <c r="R1150" t="n">
        <v>0</v>
      </c>
      <c r="S1150">
        <f>IFERROR(O1150/N1150,0)</f>
        <v/>
      </c>
    </row>
    <row r="1151">
      <c r="A1151">
        <f>Skills!A18</f>
        <v/>
      </c>
      <c r="B1151">
        <f>Skills!B18</f>
        <v/>
      </c>
      <c r="C1151">
        <f>Inputs!$B$3&gt;=72</f>
        <v/>
      </c>
      <c r="D1151">
        <f>IF(Skills!C18=1,60+Inputs!$B$25+Inputs!$B$29,IF(Skills!C18=2,90+Inputs!$B$26+Inputs!$B$29,IF(Skills!C18=3,120+Inputs!$B$27+Inputs!$B$29,MAX(0,(Inputs!$B$3-100)*3)+Inputs!$B$28+Inputs!$B$29)))</f>
        <v/>
      </c>
      <c r="E1151">
        <f>INDEX(FactorTable!$B$2:$Y$301, MATCH(ROUND(MIN(300,MAX(1,D1151)),0), FactorTable!$A$2:$A$301,0), Skills!M18+1)</f>
        <v/>
      </c>
      <c r="F1151">
        <f>IF(Skills!N18=TRUE,(Skills!L18/10)*(E1151/1000),Skills!L18/10)+Skills!O18</f>
        <v/>
      </c>
      <c r="G1151">
        <f>Skills!G18*IF(Skills!H18&gt;0,Skills!I18/Skills!H18,1)</f>
        <v/>
      </c>
      <c r="H1151">
        <f>1-(1-Skills!J18/100)^Skills!K18</f>
        <v/>
      </c>
      <c r="I1151" t="inlineStr">
        <is>
          <t>1</t>
        </is>
      </c>
      <c r="J1151" t="inlineStr"/>
      <c r="K1151" t="inlineStr"/>
      <c r="L1151" t="inlineStr"/>
      <c r="M1151" t="inlineStr"/>
      <c r="N1151" t="inlineStr"/>
      <c r="O1151" t="n">
        <v>0</v>
      </c>
      <c r="P1151">
        <f>IF(B1174=0,0,O1151/B1174)</f>
        <v/>
      </c>
      <c r="Q1151" t="n">
        <v>0</v>
      </c>
      <c r="R1151" t="n">
        <v>0</v>
      </c>
      <c r="S1151">
        <f>IFERROR(O1151/N1151,0)</f>
        <v/>
      </c>
    </row>
    <row r="1152">
      <c r="A1152">
        <f>Skills!A19</f>
        <v/>
      </c>
      <c r="B1152">
        <f>Skills!B19</f>
        <v/>
      </c>
      <c r="C1152">
        <f>TRUE</f>
        <v/>
      </c>
      <c r="D1152">
        <f>IF(Skills!C19=1,60+Inputs!$B$25+Inputs!$B$29,IF(Skills!C19=2,90+Inputs!$B$26+Inputs!$B$29,IF(Skills!C19=3,120+Inputs!$B$27+Inputs!$B$29,MAX(0,(Inputs!$B$3-100)*3)+Inputs!$B$28+Inputs!$B$29)))</f>
        <v/>
      </c>
      <c r="E1152">
        <f>INDEX(FactorTable!$B$2:$Y$301, MATCH(ROUND(MIN(300,MAX(1,D1152)),0), FactorTable!$A$2:$A$301,0), Skills!M19+1)</f>
        <v/>
      </c>
      <c r="F1152">
        <f>IF(Skills!N19=TRUE,(Skills!L19/10)*(E1152/1000),Skills!L19/10)+Skills!O19</f>
        <v/>
      </c>
      <c r="G1152">
        <f>Skills!G19*IF(Skills!H19&gt;0,Skills!I19/Skills!H19,1)</f>
        <v/>
      </c>
      <c r="H1152">
        <f>1-(1-Skills!J19/100)^Skills!K19</f>
        <v/>
      </c>
      <c r="I1152" t="inlineStr">
        <is>
          <t>1</t>
        </is>
      </c>
      <c r="J1152" t="inlineStr"/>
      <c r="K1152" t="inlineStr"/>
      <c r="L1152" t="inlineStr"/>
      <c r="M1152" t="inlineStr"/>
      <c r="N1152" t="inlineStr"/>
      <c r="O1152" t="n">
        <v>0</v>
      </c>
      <c r="P1152">
        <f>IF(B1174=0,0,O1152/B1174)</f>
        <v/>
      </c>
      <c r="Q1152">
        <f>IFERROR(1/IF(Inputs!$B$38="pvp",15,MAX(0.1,Skills!D19-IF(Skills!E19=TRUE,Inputs!$B$32,0))),0)</f>
        <v/>
      </c>
      <c r="R1152">
        <f>IF(AND(Inputs!$B$38&lt;&gt;"pvp",Inputs!$B$43&gt;0),IF(Inputs!$B$43&lt;=0,0,(INT(Inputs!$B$43/IF(Inputs!$B$38="pvp",15,MAX(0.1,Skills!D19-IF(Skills!E19=TRUE,Inputs!$B$32,0))))+1)),0)</f>
        <v/>
      </c>
      <c r="S1152">
        <f>IFERROR(O1152/N1152,0)</f>
        <v/>
      </c>
    </row>
    <row r="1153">
      <c r="A1153">
        <f>Skills!A20</f>
        <v/>
      </c>
      <c r="B1153">
        <f>Skills!B20</f>
        <v/>
      </c>
      <c r="C1153">
        <f>Inputs!$B$3&gt;=15</f>
        <v/>
      </c>
      <c r="D1153">
        <f>IF(Skills!C20=1,60+Inputs!$B$25+Inputs!$B$29,IF(Skills!C20=2,90+Inputs!$B$26+Inputs!$B$29,IF(Skills!C20=3,120+Inputs!$B$27+Inputs!$B$29,MAX(0,(Inputs!$B$3-100)*3)+Inputs!$B$28+Inputs!$B$29)))</f>
        <v/>
      </c>
      <c r="E1153">
        <f>INDEX(FactorTable!$B$2:$Y$301, MATCH(ROUND(MIN(300,MAX(1,D1153)),0), FactorTable!$A$2:$A$301,0), Skills!M20+1)</f>
        <v/>
      </c>
      <c r="F1153">
        <f>IF(Skills!N20=TRUE,(Skills!L20/10)*(E1153/1000),Skills!L20/10)+Skills!O20</f>
        <v/>
      </c>
      <c r="G1153">
        <f>Skills!G20*IF(Skills!H20&gt;0,Skills!I20/Skills!H20,1)</f>
        <v/>
      </c>
      <c r="H1153">
        <f>1-(1-Skills!J20/100)^Skills!K20</f>
        <v/>
      </c>
      <c r="I1153" t="inlineStr">
        <is>
          <t>1</t>
        </is>
      </c>
      <c r="J1153" t="inlineStr"/>
      <c r="K1153" t="inlineStr"/>
      <c r="L1153" t="inlineStr"/>
      <c r="M1153" t="inlineStr"/>
      <c r="N1153" t="inlineStr"/>
      <c r="O1153" t="n">
        <v>0</v>
      </c>
      <c r="P1153">
        <f>IF(B1174=0,0,O1153/B1174)</f>
        <v/>
      </c>
      <c r="Q1153" t="n">
        <v>0</v>
      </c>
      <c r="R1153" t="n">
        <v>0</v>
      </c>
      <c r="S1153">
        <f>IFERROR(O1153/N1153,0)</f>
        <v/>
      </c>
    </row>
    <row r="1154">
      <c r="A1154">
        <f>Skills!A21</f>
        <v/>
      </c>
      <c r="B1154">
        <f>Skills!B21</f>
        <v/>
      </c>
      <c r="C1154">
        <f>Inputs!$B$3&gt;=10</f>
        <v/>
      </c>
      <c r="D1154">
        <f>IF(Skills!C21=1,60+Inputs!$B$25+Inputs!$B$29,IF(Skills!C21=2,90+Inputs!$B$26+Inputs!$B$29,IF(Skills!C21=3,120+Inputs!$B$27+Inputs!$B$29,MAX(0,(Inputs!$B$3-100)*3)+Inputs!$B$28+Inputs!$B$29)))</f>
        <v/>
      </c>
      <c r="E1154">
        <f>INDEX(FactorTable!$B$2:$Y$301, MATCH(ROUND(MIN(300,MAX(1,D1154)),0), FactorTable!$A$2:$A$301,0), Skills!M21+1)</f>
        <v/>
      </c>
      <c r="F1154">
        <f>IF(Skills!N21=TRUE,(Skills!L21/10)*(E1154/1000),Skills!L21/10)+Skills!O21</f>
        <v/>
      </c>
      <c r="G1154">
        <f>Skills!G21*IF(Skills!H21&gt;0,Skills!I21/Skills!H21,1)</f>
        <v/>
      </c>
      <c r="H1154">
        <f>1-(1-Skills!J21/100)^Skills!K21</f>
        <v/>
      </c>
      <c r="I1154" t="inlineStr">
        <is>
          <t>1</t>
        </is>
      </c>
      <c r="J1154" t="inlineStr"/>
      <c r="K1154" t="inlineStr"/>
      <c r="L1154" t="inlineStr"/>
      <c r="M1154" t="inlineStr"/>
      <c r="N1154" t="inlineStr"/>
      <c r="O1154" t="n">
        <v>0</v>
      </c>
      <c r="P1154">
        <f>IF(B1174=0,0,O1154/B1174)</f>
        <v/>
      </c>
      <c r="Q1154" t="n">
        <v>0</v>
      </c>
      <c r="R1154" t="n">
        <v>0</v>
      </c>
      <c r="S1154">
        <f>IFERROR(O1154/N1154,0)</f>
        <v/>
      </c>
    </row>
    <row r="1155">
      <c r="A1155">
        <f>Skills!A22</f>
        <v/>
      </c>
      <c r="B1155">
        <f>Skills!B22</f>
        <v/>
      </c>
      <c r="C1155">
        <f>Inputs!$B$3&gt;=33</f>
        <v/>
      </c>
      <c r="D1155">
        <f>IF(Skills!C22=1,60+Inputs!$B$25+Inputs!$B$29,IF(Skills!C22=2,90+Inputs!$B$26+Inputs!$B$29,IF(Skills!C22=3,120+Inputs!$B$27+Inputs!$B$29,MAX(0,(Inputs!$B$3-100)*3)+Inputs!$B$28+Inputs!$B$29)))</f>
        <v/>
      </c>
      <c r="E1155">
        <f>INDEX(FactorTable!$B$2:$Y$301, MATCH(ROUND(MIN(300,MAX(1,D1155)),0), FactorTable!$A$2:$A$301,0), Skills!M22+1)</f>
        <v/>
      </c>
      <c r="F1155">
        <f>IF(Skills!N22=TRUE,(Skills!L22/10)*(E1155/1000),Skills!L22/10)+Skills!O22</f>
        <v/>
      </c>
      <c r="G1155">
        <f>Skills!G22*IF(Skills!H22&gt;0,Skills!I22/Skills!H22,1)</f>
        <v/>
      </c>
      <c r="H1155">
        <f>1-(1-Skills!J22/100)^Skills!K22</f>
        <v/>
      </c>
      <c r="I1155" t="inlineStr">
        <is>
          <t>1</t>
        </is>
      </c>
      <c r="J1155" t="inlineStr"/>
      <c r="K1155" t="inlineStr"/>
      <c r="L1155" t="inlineStr"/>
      <c r="M1155" t="inlineStr"/>
      <c r="N1155" t="inlineStr"/>
      <c r="O1155" t="n">
        <v>0</v>
      </c>
      <c r="P1155">
        <f>IF(B1174=0,0,O1155/B1174)</f>
        <v/>
      </c>
      <c r="Q1155" t="n">
        <v>0</v>
      </c>
      <c r="R1155" t="n">
        <v>0</v>
      </c>
      <c r="S1155">
        <f>IFERROR(O1155/N1155,0)</f>
        <v/>
      </c>
    </row>
    <row r="1156">
      <c r="A1156">
        <f>Skills!A23</f>
        <v/>
      </c>
      <c r="B1156">
        <f>Skills!B23</f>
        <v/>
      </c>
      <c r="C1156">
        <f>Inputs!$B$3&gt;=38</f>
        <v/>
      </c>
      <c r="D1156">
        <f>IF(Skills!C23=1,60+Inputs!$B$25+Inputs!$B$29,IF(Skills!C23=2,90+Inputs!$B$26+Inputs!$B$29,IF(Skills!C23=3,120+Inputs!$B$27+Inputs!$B$29,MAX(0,(Inputs!$B$3-100)*3)+Inputs!$B$28+Inputs!$B$29)))</f>
        <v/>
      </c>
      <c r="E1156">
        <f>INDEX(FactorTable!$B$2:$Y$301, MATCH(ROUND(MIN(300,MAX(1,D1156)),0), FactorTable!$A$2:$A$301,0), Skills!M23+1)</f>
        <v/>
      </c>
      <c r="F1156">
        <f>IF(Skills!N23=TRUE,(Skills!L23/10)*(E1156/1000),Skills!L23/10)+Skills!O23</f>
        <v/>
      </c>
      <c r="G1156">
        <f>Skills!G23*IF(Skills!H23&gt;0,Skills!I23/Skills!H23,1)</f>
        <v/>
      </c>
      <c r="H1156">
        <f>1-(1-Skills!J23/100)^Skills!K23</f>
        <v/>
      </c>
      <c r="I1156" t="inlineStr">
        <is>
          <t>1</t>
        </is>
      </c>
      <c r="J1156" t="inlineStr"/>
      <c r="K1156" t="inlineStr"/>
      <c r="L1156" t="inlineStr"/>
      <c r="M1156" t="inlineStr"/>
      <c r="N1156" t="inlineStr"/>
      <c r="O1156" t="n">
        <v>0</v>
      </c>
      <c r="P1156">
        <f>IF(B1174=0,0,O1156/B1174)</f>
        <v/>
      </c>
      <c r="Q1156" t="n">
        <v>0</v>
      </c>
      <c r="R1156" t="n">
        <v>0</v>
      </c>
      <c r="S1156">
        <f>IFERROR(O1156/N1156,0)</f>
        <v/>
      </c>
    </row>
    <row r="1157">
      <c r="A1157">
        <f>Skills!A24</f>
        <v/>
      </c>
      <c r="B1157">
        <f>Skills!B24</f>
        <v/>
      </c>
      <c r="C1157">
        <f>Inputs!$B$3&gt;=43</f>
        <v/>
      </c>
      <c r="D1157">
        <f>IF(Skills!C24=1,60+Inputs!$B$25+Inputs!$B$29,IF(Skills!C24=2,90+Inputs!$B$26+Inputs!$B$29,IF(Skills!C24=3,120+Inputs!$B$27+Inputs!$B$29,MAX(0,(Inputs!$B$3-100)*3)+Inputs!$B$28+Inputs!$B$29)))</f>
        <v/>
      </c>
      <c r="E1157">
        <f>INDEX(FactorTable!$B$2:$Y$301, MATCH(ROUND(MIN(300,MAX(1,D1157)),0), FactorTable!$A$2:$A$301,0), Skills!M24+1)</f>
        <v/>
      </c>
      <c r="F1157">
        <f>IF(Skills!N24=TRUE,(Skills!L24/10)*(E1157/1000),Skills!L24/10)+Skills!O24</f>
        <v/>
      </c>
      <c r="G1157">
        <f>Skills!G24*IF(Skills!H24&gt;0,Skills!I24/Skills!H24,1)</f>
        <v/>
      </c>
      <c r="H1157">
        <f>1-(1-Skills!J24/100)^Skills!K24</f>
        <v/>
      </c>
      <c r="I1157" t="inlineStr">
        <is>
          <t>1</t>
        </is>
      </c>
      <c r="J1157" t="inlineStr"/>
      <c r="K1157" t="inlineStr"/>
      <c r="L1157" t="inlineStr"/>
      <c r="M1157" t="inlineStr"/>
      <c r="N1157" t="inlineStr"/>
      <c r="O1157" t="n">
        <v>0</v>
      </c>
      <c r="P1157">
        <f>IF(B1174=0,0,O1157/B1174)</f>
        <v/>
      </c>
      <c r="Q1157" t="n">
        <v>0</v>
      </c>
      <c r="R1157" t="n">
        <v>0</v>
      </c>
      <c r="S1157">
        <f>IFERROR(O1157/N1157,0)</f>
        <v/>
      </c>
    </row>
    <row r="1158">
      <c r="A1158">
        <f>Skills!A25</f>
        <v/>
      </c>
      <c r="B1158">
        <f>Skills!B25</f>
        <v/>
      </c>
      <c r="C1158">
        <f>Inputs!$B$3&gt;=75</f>
        <v/>
      </c>
      <c r="D1158">
        <f>IF(Skills!C25=1,60+Inputs!$B$25+Inputs!$B$29,IF(Skills!C25=2,90+Inputs!$B$26+Inputs!$B$29,IF(Skills!C25=3,120+Inputs!$B$27+Inputs!$B$29,MAX(0,(Inputs!$B$3-100)*3)+Inputs!$B$28+Inputs!$B$29)))</f>
        <v/>
      </c>
      <c r="E1158">
        <f>INDEX(FactorTable!$B$2:$Y$301, MATCH(ROUND(MIN(300,MAX(1,D1158)),0), FactorTable!$A$2:$A$301,0), Skills!M25+1)</f>
        <v/>
      </c>
      <c r="F1158">
        <f>IF(Skills!N25=TRUE,(Skills!L25/10)*(E1158/1000),Skills!L25/10)+Skills!O25</f>
        <v/>
      </c>
      <c r="G1158">
        <f>Skills!G25*IF(Skills!H25&gt;0,Skills!I25/Skills!H25,1)</f>
        <v/>
      </c>
      <c r="H1158">
        <f>1-(1-Skills!J25/100)^Skills!K25</f>
        <v/>
      </c>
      <c r="I1158" t="inlineStr">
        <is>
          <t>1</t>
        </is>
      </c>
      <c r="J1158" t="inlineStr"/>
      <c r="K1158" t="inlineStr"/>
      <c r="L1158" t="inlineStr"/>
      <c r="M1158" t="inlineStr"/>
      <c r="N1158" t="inlineStr"/>
      <c r="O1158" t="n">
        <v>0</v>
      </c>
      <c r="P1158">
        <f>IF(B1174=0,0,O1158/B1174)</f>
        <v/>
      </c>
      <c r="Q1158" t="n">
        <v>0</v>
      </c>
      <c r="R1158" t="n">
        <v>0</v>
      </c>
      <c r="S1158">
        <f>IFERROR(O1158/N1158,0)</f>
        <v/>
      </c>
    </row>
    <row r="1159">
      <c r="A1159">
        <f>Skills!A26</f>
        <v/>
      </c>
      <c r="B1159">
        <f>Skills!B26</f>
        <v/>
      </c>
      <c r="C1159">
        <f>Inputs!$B$3&gt;=125</f>
        <v/>
      </c>
      <c r="D1159">
        <f>IF(Skills!C26=1,60+Inputs!$B$25+Inputs!$B$29,IF(Skills!C26=2,90+Inputs!$B$26+Inputs!$B$29,IF(Skills!C26=3,120+Inputs!$B$27+Inputs!$B$29,MAX(0,(Inputs!$B$3-100)*3)+Inputs!$B$28+Inputs!$B$29)))</f>
        <v/>
      </c>
      <c r="E1159">
        <f>INDEX(FactorTable!$B$2:$Y$301, MATCH(ROUND(MIN(300,MAX(1,D1159)),0), FactorTable!$A$2:$A$301,0), Skills!M26+1)</f>
        <v/>
      </c>
      <c r="F1159">
        <f>IF(Skills!N26=TRUE,(Skills!L26/10)*(E1159/1000),Skills!L26/10)+Skills!O26</f>
        <v/>
      </c>
      <c r="G1159">
        <f>Skills!G26*IF(Skills!H26&gt;0,Skills!I26/Skills!H26,1)</f>
        <v/>
      </c>
      <c r="H1159">
        <f>1-(1-Skills!J26/100)^Skills!K26</f>
        <v/>
      </c>
      <c r="I1159" t="inlineStr">
        <is>
          <t>1</t>
        </is>
      </c>
      <c r="J1159" t="inlineStr"/>
      <c r="K1159" t="inlineStr"/>
      <c r="L1159" t="inlineStr"/>
      <c r="M1159" t="inlineStr"/>
      <c r="N1159" t="inlineStr"/>
      <c r="O1159" t="n">
        <v>0</v>
      </c>
      <c r="P1159">
        <f>IF(B1174=0,0,O1159/B1174)</f>
        <v/>
      </c>
      <c r="Q1159" t="n">
        <v>0</v>
      </c>
      <c r="R1159" t="n">
        <v>0</v>
      </c>
      <c r="S1159">
        <f>IFERROR(O1159/N1159,0)</f>
        <v/>
      </c>
    </row>
    <row r="1160">
      <c r="A1160">
        <f>Skills!A27</f>
        <v/>
      </c>
      <c r="B1160">
        <f>Skills!B27</f>
        <v/>
      </c>
      <c r="C1160">
        <f>Inputs!$B$3&gt;=125</f>
        <v/>
      </c>
      <c r="D1160">
        <f>IF(Skills!C27=1,60+Inputs!$B$25+Inputs!$B$29,IF(Skills!C27=2,90+Inputs!$B$26+Inputs!$B$29,IF(Skills!C27=3,120+Inputs!$B$27+Inputs!$B$29,MAX(0,(Inputs!$B$3-100)*3)+Inputs!$B$28+Inputs!$B$29)))</f>
        <v/>
      </c>
      <c r="E1160">
        <f>INDEX(FactorTable!$B$2:$Y$301, MATCH(ROUND(MIN(300,MAX(1,D1160)),0), FactorTable!$A$2:$A$301,0), Skills!M27+1)</f>
        <v/>
      </c>
      <c r="F1160">
        <f>IF(Skills!N27=TRUE,(Skills!L27/10)*(E1160/1000),Skills!L27/10)+Skills!O27</f>
        <v/>
      </c>
      <c r="G1160">
        <f>Skills!G27*IF(Skills!H27&gt;0,Skills!I27/Skills!H27,1)</f>
        <v/>
      </c>
      <c r="H1160">
        <f>1-(1-Skills!J27/100)^Skills!K27</f>
        <v/>
      </c>
      <c r="I1160" t="inlineStr">
        <is>
          <t>1</t>
        </is>
      </c>
      <c r="J1160" t="inlineStr"/>
      <c r="K1160" t="inlineStr"/>
      <c r="L1160" t="inlineStr"/>
      <c r="M1160" t="inlineStr"/>
      <c r="N1160" t="inlineStr"/>
      <c r="O1160" t="n">
        <v>0</v>
      </c>
      <c r="P1160">
        <f>IF(B1174=0,0,O1160/B1174)</f>
        <v/>
      </c>
      <c r="Q1160" t="n">
        <v>0</v>
      </c>
      <c r="R1160" t="n">
        <v>0</v>
      </c>
      <c r="S1160">
        <f>IFERROR(O1160/N1160,0)</f>
        <v/>
      </c>
    </row>
    <row r="1161">
      <c r="A1161">
        <f>Skills!A28</f>
        <v/>
      </c>
      <c r="B1161">
        <f>Skills!B28</f>
        <v/>
      </c>
      <c r="C1161">
        <f>Inputs!$B$3&gt;=120</f>
        <v/>
      </c>
      <c r="D1161">
        <f>IF(Skills!C28=1,60+Inputs!$B$25+Inputs!$B$29,IF(Skills!C28=2,90+Inputs!$B$26+Inputs!$B$29,IF(Skills!C28=3,120+Inputs!$B$27+Inputs!$B$29,MAX(0,(Inputs!$B$3-100)*3)+Inputs!$B$28+Inputs!$B$29)))</f>
        <v/>
      </c>
      <c r="E1161">
        <f>INDEX(FactorTable!$B$2:$Y$301, MATCH(ROUND(MIN(300,MAX(1,D1161)),0), FactorTable!$A$2:$A$301,0), Skills!M28+1)</f>
        <v/>
      </c>
      <c r="F1161">
        <f>IF(Skills!N28=TRUE,(Skills!L28/10)*(E1161/1000),Skills!L28/10)+Skills!O28</f>
        <v/>
      </c>
      <c r="G1161">
        <f>Skills!G28*IF(Skills!H28&gt;0,Skills!I28/Skills!H28,1)</f>
        <v/>
      </c>
      <c r="H1161">
        <f>1-(1-Skills!J28/100)^Skills!K28</f>
        <v/>
      </c>
      <c r="I1161" t="inlineStr">
        <is>
          <t>1</t>
        </is>
      </c>
      <c r="J1161" t="inlineStr"/>
      <c r="K1161" t="inlineStr"/>
      <c r="L1161" t="inlineStr"/>
      <c r="M1161" t="inlineStr"/>
      <c r="N1161" t="inlineStr"/>
      <c r="O1161" t="n">
        <v>0</v>
      </c>
      <c r="P1161">
        <f>IF(B1174=0,0,O1161/B1174)</f>
        <v/>
      </c>
      <c r="Q1161" t="n">
        <v>0</v>
      </c>
      <c r="R1161" t="n">
        <v>0</v>
      </c>
      <c r="S1161">
        <f>IFERROR(O1161/N1161,0)</f>
        <v/>
      </c>
    </row>
    <row r="1162">
      <c r="A1162">
        <f>Skills!A29</f>
        <v/>
      </c>
      <c r="B1162">
        <f>Skills!B29</f>
        <v/>
      </c>
      <c r="C1162">
        <f>Inputs!$B$3&gt;=120</f>
        <v/>
      </c>
      <c r="D1162">
        <f>IF(Skills!C29=1,60+Inputs!$B$25+Inputs!$B$29,IF(Skills!C29=2,90+Inputs!$B$26+Inputs!$B$29,IF(Skills!C29=3,120+Inputs!$B$27+Inputs!$B$29,MAX(0,(Inputs!$B$3-100)*3)+Inputs!$B$28+Inputs!$B$29)))</f>
        <v/>
      </c>
      <c r="E1162">
        <f>INDEX(FactorTable!$B$2:$Y$301, MATCH(ROUND(MIN(300,MAX(1,D1162)),0), FactorTable!$A$2:$A$301,0), Skills!M29+1)</f>
        <v/>
      </c>
      <c r="F1162">
        <f>IF(Skills!N29=TRUE,(Skills!L29/10)*(E1162/1000),Skills!L29/10)+Skills!O29</f>
        <v/>
      </c>
      <c r="G1162">
        <f>Skills!G29*IF(Skills!H29&gt;0,Skills!I29/Skills!H29,1)</f>
        <v/>
      </c>
      <c r="H1162">
        <f>1-(1-Skills!J29/100)^Skills!K29</f>
        <v/>
      </c>
      <c r="I1162" t="inlineStr">
        <is>
          <t>1</t>
        </is>
      </c>
      <c r="J1162" t="inlineStr"/>
      <c r="K1162" t="inlineStr"/>
      <c r="L1162" t="inlineStr"/>
      <c r="M1162" t="inlineStr"/>
      <c r="N1162" t="inlineStr"/>
      <c r="O1162" t="n">
        <v>0</v>
      </c>
      <c r="P1162">
        <f>IF(B1174=0,0,O1162/B1174)</f>
        <v/>
      </c>
      <c r="Q1162" t="n">
        <v>0</v>
      </c>
      <c r="R1162" t="n">
        <v>0</v>
      </c>
      <c r="S1162">
        <f>IFERROR(O1162/N1162,0)</f>
        <v/>
      </c>
    </row>
    <row r="1163">
      <c r="A1163">
        <f>Skills!A30</f>
        <v/>
      </c>
      <c r="B1163">
        <f>Skills!B30</f>
        <v/>
      </c>
      <c r="C1163">
        <f>Inputs!$B$3&gt;=45</f>
        <v/>
      </c>
      <c r="D1163">
        <f>IF(Skills!C30=1,60+Inputs!$B$25+Inputs!$B$29,IF(Skills!C30=2,90+Inputs!$B$26+Inputs!$B$29,IF(Skills!C30=3,120+Inputs!$B$27+Inputs!$B$29,MAX(0,(Inputs!$B$3-100)*3)+Inputs!$B$28+Inputs!$B$29)))</f>
        <v/>
      </c>
      <c r="E1163">
        <f>INDEX(FactorTable!$B$2:$Y$301, MATCH(ROUND(MIN(300,MAX(1,D1163)),0), FactorTable!$A$2:$A$301,0), Skills!M30+1)</f>
        <v/>
      </c>
      <c r="F1163">
        <f>IF(Skills!N30=TRUE,(Skills!L30/10)*(E1163/1000),Skills!L30/10)+Skills!O30</f>
        <v/>
      </c>
      <c r="G1163">
        <f>Skills!G30*IF(Skills!H30&gt;0,Skills!I30/Skills!H30,1)</f>
        <v/>
      </c>
      <c r="H1163">
        <f>1-(1-Skills!J30/100)^Skills!K30</f>
        <v/>
      </c>
      <c r="I1163" t="inlineStr">
        <is>
          <t>1</t>
        </is>
      </c>
      <c r="J1163" t="inlineStr"/>
      <c r="K1163" t="inlineStr"/>
      <c r="L1163" t="inlineStr"/>
      <c r="M1163" t="inlineStr"/>
      <c r="N1163" t="inlineStr"/>
      <c r="O1163" t="n">
        <v>0</v>
      </c>
      <c r="P1163">
        <f>IF(B1174=0,0,O1163/B1174)</f>
        <v/>
      </c>
      <c r="Q1163" t="n">
        <v>0</v>
      </c>
      <c r="R1163" t="n">
        <v>0</v>
      </c>
      <c r="S1163">
        <f>IFERROR(O1163/N1163,0)</f>
        <v/>
      </c>
    </row>
    <row r="1165">
      <c r="A1165" t="inlineStr">
        <is>
          <t>Attack% Bucket Multiplier</t>
        </is>
      </c>
      <c r="B1165">
        <f>(1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f>
        <v/>
      </c>
    </row>
    <row r="1166">
      <c r="A1166" t="inlineStr">
        <is>
          <t>Global Crit Rate Bonus %</t>
        </is>
      </c>
      <c r="B1166">
        <f>(C1149=TRUE)*20*IF(AND(Inputs!$B$38&lt;&gt;"pvp",Inputs!$B$43&gt;0),(((R1149-1)*(Skills!T16*(1+(Inputs!$B$34+1)/100))+MIN((Skills!T16*(1+(Inputs!$B$34+1)/100)),MAX(0,Inputs!$B$43-((R1149-1)*Skills!D16))))/Inputs!$B$43),IF(Inputs!$B$38="pvp",MIN((Skills!T16*(1+(Inputs!$B$34+1)/100)),15)/15,(Skills!T16*(1+(Inputs!$B$34+1)/100))/Skills!D16))</f>
        <v/>
      </c>
    </row>
    <row r="1167">
      <c r="A1167" t="inlineStr">
        <is>
          <t>Attack Speed Buff Bonus %</t>
        </is>
      </c>
      <c r="B1167">
        <f>((C1152=TRUE)*F1152*IF(AND(Inputs!$B$38&lt;&gt;"pvp",Inputs!$B$43&gt;0),(((R1152-1)*(Skills!T19*(1+(Inputs!$B$34+1)/100))+MIN((Skills!T19*(1+(Inputs!$B$34+1)/100)),MAX(0,Inputs!$B$43-((R1152-1)*Skills!D19))))/Inputs!$B$43),IF(Inputs!$B$38="pvp",MIN((Skills!T19*(1+(Inputs!$B$34+1)/100)),15)/15,(Skills!T19*(1+(Inputs!$B$34+1)/100))/Skills!D19)))</f>
        <v/>
      </c>
    </row>
    <row r="1168">
      <c r="A1168" t="inlineStr">
        <is>
          <t>Actions Per Second</t>
        </is>
      </c>
      <c r="B1168">
        <f>1+MIN(150,150*(1-(1-(Inputs!$B$11+((C1154=TRUE)*(F1154-Calc!F21))+((C1155=TRUE)*(F1155-Calc!F22)))/150)*(1-B1167/150)))/100</f>
        <v/>
      </c>
    </row>
    <row r="1169">
      <c r="A1169" t="inlineStr">
        <is>
          <t>Skill + Buff Cast Rate</t>
        </is>
      </c>
      <c r="B1169">
        <f>IF(AND(Inputs!$B$38&lt;&gt;"pvp",Inputs!$B$43&gt;0),SUMPRODUCT((Skills!E2:E30=TRUE)*(C1135:C1163=TRUE)*R1135:R1163*Skills!F2:F30)/Inputs!$B$43,SUMPRODUCT((Skills!E2:E30=TRUE)*(C1135:C1163=TRUE)*Q1135:Q1163*Skills!F2:F30))</f>
        <v/>
      </c>
    </row>
    <row r="1170">
      <c r="A1170" t="inlineStr">
        <is>
          <t>Arrow Stream Casts Per Second</t>
        </is>
      </c>
      <c r="B1170">
        <f>MAX(0,B1168-B1169)</f>
        <v/>
      </c>
    </row>
    <row r="1171">
      <c r="A1171" t="inlineStr">
        <is>
          <t>Global Critical Damage Bonus % (Sharp Eyes + Concentration)</t>
        </is>
      </c>
      <c r="B1171">
        <f>(C1149=TRUE)*F1149*IF(AND(Inputs!$B$38&lt;&gt;"pvp",Inputs!$B$43&gt;0),(((R1149-1)*(Skills!T16*(1+(Inputs!$B$34+1)/100))+MIN((Skills!T16*(1+(Inputs!$B$34+1)/100)),MAX(0,Inputs!$B$43-((R1149-1)*Skills!D16))))/Inputs!$B$43),IF(Inputs!$B$38="pvp",MIN((Skills!T16*(1+(Inputs!$B$34+1)/100)),15)/15,(Skills!T16*(1+(Inputs!$B$34+1)/100))/Skills!D16))+(C1150=TRUE)*30</f>
        <v/>
      </c>
    </row>
    <row r="1172">
      <c r="A1172" t="inlineStr">
        <is>
          <t>Global Final Damage Bonus % (Mortal Blow)</t>
        </is>
      </c>
      <c r="B1172">
        <f>(C1151=TRUE)*F1151</f>
        <v/>
      </c>
    </row>
    <row r="1173">
      <c r="A1173" t="inlineStr">
        <is>
          <t>Buff-Casting Startup Delay (s, fixed-duration only)</t>
        </is>
      </c>
      <c r="B1173">
        <f>IF(AND(Inputs!$B$38&lt;&gt;"pvp",Inputs!$B$43&gt;0),SUMPRODUCT((Skills!T2:T30&gt;0)*(Skills!E2:E30=TRUE)*(C1135:C1163=TRUE))/B1168,0)</f>
        <v/>
      </c>
    </row>
    <row r="1174">
      <c r="A1174" s="5" t="inlineStr">
        <is>
          <t>TOTAL DPS</t>
        </is>
      </c>
      <c r="B1174" s="5">
        <f>SUM(O1135:O1163)</f>
        <v/>
      </c>
    </row>
    <row r="1177">
      <c r="A1177" s="7" t="inlineStr">
        <is>
          <t>Cooldown Reduction Milestone Sweep (absolute CDR seconds, fixed-duration content only)</t>
        </is>
      </c>
    </row>
    <row r="1178">
      <c r="A1178" s="9" t="inlineStr">
        <is>
          <t>CDR (s)</t>
        </is>
      </c>
      <c r="B1178" s="9" t="inlineStr">
        <is>
          <t>Total DPS</t>
        </is>
      </c>
      <c r="C1178" s="9" t="inlineStr">
        <is>
          <t>DPS Gain (vs prior step)</t>
        </is>
      </c>
      <c r="D1178" s="9" t="inlineStr">
        <is>
          <t>% Gain (vs current CDR)</t>
        </is>
      </c>
    </row>
    <row r="1179">
      <c r="A1179" t="n">
        <v>0.5</v>
      </c>
      <c r="B1179">
        <f>B1232</f>
        <v/>
      </c>
      <c r="C1179" t="n">
        <v>0</v>
      </c>
      <c r="D1179">
        <f>IF(Summary!$B$3=0,0,(B1179-Summary!$B$3)/Summary!$B$3*100)</f>
        <v/>
      </c>
    </row>
    <row r="1180">
      <c r="A1180" t="n">
        <v>1</v>
      </c>
      <c r="B1180">
        <f>B1276</f>
        <v/>
      </c>
      <c r="C1180">
        <f>B1180-B1179</f>
        <v/>
      </c>
      <c r="D1180">
        <f>IF(Summary!$B$3=0,0,(B1180-Summary!$B$3)/Summary!$B$3*100)</f>
        <v/>
      </c>
    </row>
    <row r="1181">
      <c r="A1181" t="n">
        <v>1.5</v>
      </c>
      <c r="B1181">
        <f>B1320</f>
        <v/>
      </c>
      <c r="C1181">
        <f>B1181-B1180</f>
        <v/>
      </c>
      <c r="D1181">
        <f>IF(Summary!$B$3=0,0,(B1181-Summary!$B$3)/Summary!$B$3*100)</f>
        <v/>
      </c>
    </row>
    <row r="1182">
      <c r="A1182" t="n">
        <v>2</v>
      </c>
      <c r="B1182">
        <f>B1364</f>
        <v/>
      </c>
      <c r="C1182">
        <f>B1182-B1181</f>
        <v/>
      </c>
      <c r="D1182">
        <f>IF(Summary!$B$3=0,0,(B1182-Summary!$B$3)/Summary!$B$3*100)</f>
        <v/>
      </c>
    </row>
    <row r="1183">
      <c r="A1183" t="n">
        <v>2.5</v>
      </c>
      <c r="B1183">
        <f>B1408</f>
        <v/>
      </c>
      <c r="C1183">
        <f>B1183-B1182</f>
        <v/>
      </c>
      <c r="D1183">
        <f>IF(Summary!$B$3=0,0,(B1183-Summary!$B$3)/Summary!$B$3*100)</f>
        <v/>
      </c>
    </row>
    <row r="1184">
      <c r="A1184" t="n">
        <v>3</v>
      </c>
      <c r="B1184">
        <f>B1452</f>
        <v/>
      </c>
      <c r="C1184">
        <f>B1184-B1183</f>
        <v/>
      </c>
      <c r="D1184">
        <f>IF(Summary!$B$3=0,0,(B1184-Summary!$B$3)/Summary!$B$3*100)</f>
        <v/>
      </c>
    </row>
    <row r="1185">
      <c r="A1185" t="n">
        <v>3.5</v>
      </c>
      <c r="B1185">
        <f>B1496</f>
        <v/>
      </c>
      <c r="C1185">
        <f>B1185-B1184</f>
        <v/>
      </c>
      <c r="D1185">
        <f>IF(Summary!$B$3=0,0,(B1185-Summary!$B$3)/Summary!$B$3*100)</f>
        <v/>
      </c>
    </row>
    <row r="1186">
      <c r="A1186" t="n">
        <v>4</v>
      </c>
      <c r="B1186">
        <f>B1540</f>
        <v/>
      </c>
      <c r="C1186">
        <f>B1186-B1185</f>
        <v/>
      </c>
      <c r="D1186">
        <f>IF(Summary!$B$3=0,0,(B1186-Summary!$B$3)/Summary!$B$3*100)</f>
        <v/>
      </c>
    </row>
    <row r="1187">
      <c r="A1187" t="n">
        <v>4.5</v>
      </c>
      <c r="B1187">
        <f>B1584</f>
        <v/>
      </c>
      <c r="C1187">
        <f>B1187-B1186</f>
        <v/>
      </c>
      <c r="D1187">
        <f>IF(Summary!$B$3=0,0,(B1187-Summary!$B$3)/Summary!$B$3*100)</f>
        <v/>
      </c>
    </row>
    <row r="1188">
      <c r="A1188" t="n">
        <v>5</v>
      </c>
      <c r="B1188">
        <f>B1628</f>
        <v/>
      </c>
      <c r="C1188">
        <f>B1188-B1187</f>
        <v/>
      </c>
      <c r="D1188">
        <f>IF(Summary!$B$3=0,0,(B1188-Summary!$B$3)/Summary!$B$3*100)</f>
        <v/>
      </c>
    </row>
    <row r="1191">
      <c r="A1191" s="5" t="inlineStr">
        <is>
          <t>Stat: CDR = 0.5s</t>
        </is>
      </c>
    </row>
    <row r="1192">
      <c r="A1192" s="9" t="inlineStr">
        <is>
          <t>Key</t>
        </is>
      </c>
      <c r="B1192" s="9" t="inlineStr">
        <is>
          <t>Name</t>
        </is>
      </c>
      <c r="C1192" s="9" t="inlineStr">
        <is>
          <t>Unlocked</t>
        </is>
      </c>
      <c r="D1192" s="9" t="inlineStr">
        <is>
          <t>InputLevel</t>
        </is>
      </c>
      <c r="E1192" s="9" t="inlineStr">
        <is>
          <t>Factor</t>
        </is>
      </c>
      <c r="F1192" s="9" t="inlineStr">
        <is>
          <t>CoefficientPercent</t>
        </is>
      </c>
      <c r="G1192" s="9" t="inlineStr">
        <is>
          <t>EffectiveHits</t>
        </is>
      </c>
      <c r="H1192" s="9" t="inlineStr">
        <is>
          <t>ProcProbability</t>
        </is>
      </c>
      <c r="I1192" s="9" t="inlineStr">
        <is>
          <t>MapleHeroMultiplier</t>
        </is>
      </c>
      <c r="J1192" s="9" t="inlineStr">
        <is>
          <t>BaseDamage</t>
        </is>
      </c>
      <c r="K1192" s="9" t="inlineStr">
        <is>
          <t>BaseHitDamage</t>
        </is>
      </c>
      <c r="L1192" s="9" t="inlineStr">
        <is>
          <t>NonCritAvg</t>
        </is>
      </c>
      <c r="M1192" s="9" t="inlineStr">
        <is>
          <t>CritAvg</t>
        </is>
      </c>
      <c r="N1192" s="9" t="inlineStr">
        <is>
          <t>ExpectedDamage(perHit)</t>
        </is>
      </c>
      <c r="O1192" s="9" t="inlineStr">
        <is>
          <t>DPS</t>
        </is>
      </c>
      <c r="P1192" s="9" t="inlineStr">
        <is>
          <t>% of Total</t>
        </is>
      </c>
      <c r="Q1192" s="9" t="inlineStr">
        <is>
          <t>InvCooldown</t>
        </is>
      </c>
      <c r="R1192" s="9" t="inlineStr">
        <is>
          <t>CastsInFight</t>
        </is>
      </c>
      <c r="S1192" s="9" t="inlineStr">
        <is>
          <t>HitRate(perSec)</t>
        </is>
      </c>
      <c r="U1192" t="inlineStr">
        <is>
          <t>helpers</t>
        </is>
      </c>
    </row>
    <row r="1193">
      <c r="A1193">
        <f>Skills!A2</f>
        <v/>
      </c>
      <c r="B1193">
        <f>Skills!B2</f>
        <v/>
      </c>
      <c r="C1193">
        <f>Inputs!$B$3&gt;=100</f>
        <v/>
      </c>
      <c r="D1193" t="inlineStr"/>
      <c r="E1193" t="inlineStr"/>
      <c r="F1193">
        <f>U1195+Skills!O2</f>
        <v/>
      </c>
      <c r="G1193">
        <f>Skills!G2*IF(Skills!H2&gt;0,Skills!I2/Skills!H2,1)</f>
        <v/>
      </c>
      <c r="H1193">
        <f>1-(1-Skills!J2/100)^Skills!K2</f>
        <v/>
      </c>
      <c r="I1193" t="inlineStr">
        <is>
          <t>1</t>
        </is>
      </c>
      <c r="J1193">
        <f>((Inputs!$B$6*(1+Inputs!$B$7/100))+(((Inputs!$B$12*(1+Inputs!$B$13/100))-(Inputs!$B$12*(1+Inputs!$B$13/100)))+0.25*(Inputs!$B$14-Inputs!$B$14))*(1+Inputs!$B$7/100))*(F1193/100)</f>
        <v/>
      </c>
      <c r="K1193">
        <f>J1193*(1+((Inputs!$B$12*(1+Inputs!$B$13/100))*0.01+Inputs!$B$14*0.0025)/100)*(1+Inputs!$B$15/100)*(1+IF(Inputs!$B$38="pvp",0,(1-Summary!$B$55)*(Inputs!$B$20+0+Skills!P2)+Summary!$B$55*(Inputs!$B$21+Skills!Q2))/100)*(1+Inputs!$B$16/100)*(5000/(6000+Inputs!$B$42*(1-(Inputs!$B$19+((C1218=TRUE)*(F1218-Calc!F27)))/100)))*(1+(Inputs!$B$24+((C1216=TRUE)*(F1216-Calc!F25))+((C1217=TRUE)*(F1217-Calc!F26))+B1230)/100)*(1+(IF(Skills!A2="ARROW_STREAM",Inputs!$B$17+((C1214=TRUE)*(F1214-Calc!F23)),Inputs!$B$18+((C1219=TRUE)*(F1219-Calc!F28))))/100)*((1+(((C1204=TRUE)*F1204)+((C1205=TRUE)*IF(Inputs!$B$38="pvp",F1205,(1-Summary!$B$55)*(F1205)+Summary!$B$55*(0)))+((C1206=TRUE)*F1206*IF(AND(Inputs!$B$38&lt;&gt;"pvp",Inputs!$B$43&gt;0),(((R1206-1)*(Skills!T15*(1+Inputs!$B$34/100))+MIN((Skills!T15*(1+Inputs!$B$34/100)),MAX(0,Inputs!$B$43-((R1206-1)*Skills!D15))))/Inputs!$B$43),IF(Inputs!$B$38="pvp",MIN((Skills!T15*(1+Inputs!$B$34/100)),15)/15,(Skills!T15*(1+Inputs!$B$34/100))/Skills!D15)))+((C1221=TRUE)*(F1221-Calc!F30)))/100)*I1193)</f>
        <v/>
      </c>
      <c r="L1193">
        <f>K1193*(MIN(Inputs!$B$22+((C1215=TRUE)*(F1215-Calc!F24)),Inputs!$B$23+((C1220=TRUE)*(F1220-Calc!F29)))/100+(Inputs!$B$23+((C1220=TRUE)*(F1220-Calc!F29)))/100)/2</f>
        <v/>
      </c>
      <c r="M1193">
        <f>L1193*(1+(Inputs!$B$10+0+B1229)/100)</f>
        <v/>
      </c>
      <c r="N1193">
        <f>L1193*(1-MIN((Inputs!$B$9+((C1211=TRUE)*(F1211-Calc!F20))+B1224),100)/100)+M1193*(MIN((Inputs!$B$9+((C1211=TRUE)*(F1211-Calc!F20))+B1224),100)/100)</f>
        <v/>
      </c>
      <c r="O1193">
        <f>IF(C1193,Skills!G2*N1193*B1228*IF(Inputs!$B$38="pvp",1,(1-Summary!$B$55)*(1)+Summary!$B$55*(MIN((6+Inputs!$B$33),Inputs!$B$37))),0)</f>
        <v/>
      </c>
      <c r="P1193">
        <f>IF(B1232=0,0,O1193/B1232)</f>
        <v/>
      </c>
      <c r="Q1193" t="n">
        <v>0</v>
      </c>
      <c r="R1193" t="n">
        <v>0</v>
      </c>
      <c r="S1193">
        <f>IFERROR(O1193/N1193,0)</f>
        <v/>
      </c>
      <c r="U1193">
        <f>MAX(0,(Inputs!$B$3-100)*3)+Inputs!$B$28+Inputs!$B$29</f>
        <v/>
      </c>
    </row>
    <row r="1194">
      <c r="A1194">
        <f>Skills!A3</f>
        <v/>
      </c>
      <c r="B1194">
        <f>Skills!B3</f>
        <v/>
      </c>
      <c r="C1194">
        <f>Inputs!$B$3&gt;=50</f>
        <v/>
      </c>
      <c r="D1194">
        <f>IF(Skills!C3=1,60+Inputs!$B$25+Inputs!$B$29,IF(Skills!C3=2,90+Inputs!$B$26+Inputs!$B$29,IF(Skills!C3=3,120+Inputs!$B$27+Inputs!$B$29,MAX(0,(Inputs!$B$3-100)*3)+Inputs!$B$28+Inputs!$B$29)))</f>
        <v/>
      </c>
      <c r="E1194">
        <f>INDEX(FactorTable!$B$2:$Y$301, MATCH(ROUND(MIN(300,MAX(1,D1194)),0), FactorTable!$A$2:$A$301,0), Skills!M3+1)</f>
        <v/>
      </c>
      <c r="F1194">
        <f>IF(Skills!N3=TRUE,(Skills!L3/10)*(E1194/1000),Skills!L3/10)+Skills!O3</f>
        <v/>
      </c>
      <c r="G1194" t="inlineStr"/>
      <c r="H1194" t="inlineStr"/>
      <c r="I1194" t="inlineStr">
        <is>
          <t>1</t>
        </is>
      </c>
      <c r="J1194" t="inlineStr"/>
      <c r="K1194" t="inlineStr"/>
      <c r="L1194" t="inlineStr"/>
      <c r="M1194" t="inlineStr"/>
      <c r="N1194" t="inlineStr"/>
      <c r="O1194" t="inlineStr"/>
      <c r="P1194" t="inlineStr"/>
      <c r="Q1194" t="inlineStr"/>
      <c r="R1194" t="inlineStr"/>
      <c r="S1194" t="inlineStr"/>
      <c r="U1194">
        <f>INDEX(FactorTable!$B$2:$Y$301, MATCH(ROUND(MIN(300,MAX(1,U1193)),0), FactorTable!$A$2:$A$301,0), 22)</f>
        <v/>
      </c>
    </row>
    <row r="1195">
      <c r="A1195">
        <f>Skills!A4</f>
        <v/>
      </c>
      <c r="B1195">
        <f>Skills!B4</f>
        <v/>
      </c>
      <c r="C1195">
        <f>Inputs!$B$3&gt;=105</f>
        <v/>
      </c>
      <c r="D1195">
        <f>IF(Skills!C4=1,60+Inputs!$B$25+Inputs!$B$29,IF(Skills!C4=2,90+Inputs!$B$26+Inputs!$B$29,IF(Skills!C4=3,120+Inputs!$B$27+Inputs!$B$29,MAX(0,(Inputs!$B$3-100)*3)+Inputs!$B$28+Inputs!$B$29)))</f>
        <v/>
      </c>
      <c r="E1195">
        <f>INDEX(FactorTable!$B$2:$Y$301, MATCH(ROUND(MIN(300,MAX(1,D1195)),0), FactorTable!$A$2:$A$301,0), Skills!M4+1)</f>
        <v/>
      </c>
      <c r="F1195">
        <f>IF(Skills!N4=TRUE,(Skills!L4/10)*(E1195/1000),Skills!L4/10)+Skills!O4</f>
        <v/>
      </c>
      <c r="G1195" t="inlineStr"/>
      <c r="H1195" t="inlineStr"/>
      <c r="I1195" t="inlineStr">
        <is>
          <t>1</t>
        </is>
      </c>
      <c r="J1195" t="inlineStr"/>
      <c r="K1195" t="inlineStr"/>
      <c r="L1195" t="inlineStr"/>
      <c r="M1195" t="inlineStr"/>
      <c r="N1195" t="inlineStr"/>
      <c r="O1195" t="inlineStr"/>
      <c r="P1195" t="inlineStr"/>
      <c r="Q1195" t="inlineStr"/>
      <c r="R1195" t="inlineStr"/>
      <c r="S1195" t="inlineStr"/>
      <c r="U1195">
        <f>290*U1194/1000</f>
        <v/>
      </c>
    </row>
    <row r="1196">
      <c r="A1196">
        <f>Skills!A5</f>
        <v/>
      </c>
      <c r="B1196">
        <f>Skills!B5</f>
        <v/>
      </c>
      <c r="C1196">
        <f>Inputs!$B$3&gt;=35</f>
        <v/>
      </c>
      <c r="D1196">
        <f>IF(Skills!C5=1,60+Inputs!$B$25+Inputs!$B$29,IF(Skills!C5=2,90+Inputs!$B$26+Inputs!$B$29,IF(Skills!C5=3,120+Inputs!$B$27+Inputs!$B$29,MAX(0,(Inputs!$B$3-100)*3)+Inputs!$B$28+Inputs!$B$29)))</f>
        <v/>
      </c>
      <c r="E1196">
        <f>INDEX(FactorTable!$B$2:$Y$301, MATCH(ROUND(MIN(300,MAX(1,D1196)),0), FactorTable!$A$2:$A$301,0), Skills!M5+1)</f>
        <v/>
      </c>
      <c r="F1196">
        <f>IF(Skills!N5=TRUE,(Skills!L5/10)*(E1196/1000),Skills!L5/10)+Skills!O5</f>
        <v/>
      </c>
      <c r="G1196">
        <f>Skills!G5*IF(Skills!H5&gt;0,Skills!I5/Skills!H5,1)</f>
        <v/>
      </c>
      <c r="H1196">
        <f>1-(1-Skills!J5/100)^Skills!K5</f>
        <v/>
      </c>
      <c r="I1196" t="inlineStr">
        <is>
          <t>1</t>
        </is>
      </c>
      <c r="J1196">
        <f>((Inputs!$B$6*(1+Inputs!$B$7/100))+(((Inputs!$B$12*(1+Inputs!$B$13/100))-(Inputs!$B$12*(1+Inputs!$B$13/100)))+0.25*(Inputs!$B$14-Inputs!$B$14))*(1+Inputs!$B$7/100))*(F1196/100)</f>
        <v/>
      </c>
      <c r="K1196">
        <f>J1196*(1+((Inputs!$B$12*(1+Inputs!$B$13/100))*0.01+Inputs!$B$14*0.0025)/100)*(1+Inputs!$B$15/100)*(1+IF(Inputs!$B$38="pvp",0,(1-Summary!$B$55)*(Inputs!$B$20+0+Skills!P5)+Summary!$B$55*(Inputs!$B$21+Skills!Q5))/100)*(1+Inputs!$B$16/100)*(5000/(6000+Inputs!$B$42*(1-(Inputs!$B$19+((C1218=TRUE)*(F1218-Calc!F27)))/100)))*(1+(Inputs!$B$24+((C1216=TRUE)*(F1216-Calc!F25))+((C1217=TRUE)*(F1217-Calc!F26))+B1230)/100)*(1+4.0*IF(C1201=TRUE,F1201,0)/100)*(1+(IF(Skills!A5="ARROW_STREAM",Inputs!$B$17+((C1214=TRUE)*(F1214-Calc!F23)),Inputs!$B$18+((C1219=TRUE)*(F1219-Calc!F28))))/100)*((1+(((C1204=TRUE)*F1204)+((C1205=TRUE)*IF(Inputs!$B$38="pvp",F1205,(1-Summary!$B$55)*(F1205)+Summary!$B$55*(0)))+((C1206=TRUE)*F1206*IF(AND(Inputs!$B$38&lt;&gt;"pvp",Inputs!$B$43&gt;0),(((R1206-1)*(Skills!T15*(1+Inputs!$B$34/100))+MIN((Skills!T15*(1+Inputs!$B$34/100)),MAX(0,Inputs!$B$43-((R1206-1)*Skills!D15))))/Inputs!$B$43),IF(Inputs!$B$38="pvp",MIN((Skills!T15*(1+Inputs!$B$34/100)),15)/15,(Skills!T15*(1+Inputs!$B$34/100))/Skills!D15)))+((C1221=TRUE)*(F1221-Calc!F30)))/100)*I1196)</f>
        <v/>
      </c>
      <c r="L1196">
        <f>K1196*(MIN(Inputs!$B$22+((C1215=TRUE)*(F1215-Calc!F24)),Inputs!$B$23+((C1220=TRUE)*(F1220-Calc!F29)))/100+(Inputs!$B$23+((C1220=TRUE)*(F1220-Calc!F29)))/100)/2</f>
        <v/>
      </c>
      <c r="M1196">
        <f>L1196*(1+(Inputs!$B$10+0+B1229)/100)</f>
        <v/>
      </c>
      <c r="N1196">
        <f>L1196*(1-MIN((Inputs!$B$9+((C1211=TRUE)*(F1211-Calc!F20))+B1224),100)/100)+M1196*(MIN((Inputs!$B$9+((C1211=TRUE)*(F1211-Calc!F20))+B1224),100)/100)</f>
        <v/>
      </c>
      <c r="O1196">
        <f>IF(C1196,H1196*N1196*IF(AND(Inputs!$B$38&lt;&gt;"pvp",Inputs!$B$43&gt;0),((Skills!G5*((R1196-1)*IF(Skills!H5&gt;0,Skills!I5/Skills!H5,1)+IF(Skills!H5&gt;0,MIN(Skills!I5,MAX(0,MAX(0,Inputs!$B$43-B1231)-((R1196-1)*IF(Inputs!$B$38="pvp",15,MAX(0.1,Skills!D5-IF(Skills!E5=TRUE,0.5,0))))))/Skills!H5,1)))/Inputs!$B$43),G1196*Q1196)*IF(Inputs!$B$38="pvp",1,(1-Summary!$B$55)*(1)+Summary!$B$55*(MIN(Skills!R5,Inputs!$B$37))),0)</f>
        <v/>
      </c>
      <c r="P1196">
        <f>IF(B1232=0,0,O1196/B1232)</f>
        <v/>
      </c>
      <c r="Q1196">
        <f>IFERROR(1/IF(Inputs!$B$38="pvp",15,MAX(0.1,Skills!D5-IF(Skills!E5=TRUE,0.5,0))),0)</f>
        <v/>
      </c>
      <c r="R1196">
        <f>IF(AND(Inputs!$B$38&lt;&gt;"pvp",Inputs!$B$43&gt;0),IF(MAX(0,Inputs!$B$43-B1231)&lt;=0,0,(INT(MAX(0,Inputs!$B$43-B1231)/IF(Inputs!$B$38="pvp",15,MAX(0.1,Skills!D5-IF(Skills!E5=TRUE,0.5,0))))+1)),0)</f>
        <v/>
      </c>
      <c r="S1196">
        <f>IFERROR(O1196/N1196,0)</f>
        <v/>
      </c>
    </row>
    <row r="1197">
      <c r="A1197">
        <f>Skills!A6</f>
        <v/>
      </c>
      <c r="B1197">
        <f>Skills!B6</f>
        <v/>
      </c>
      <c r="C1197">
        <f>Inputs!$B$3&gt;=40</f>
        <v/>
      </c>
      <c r="D1197">
        <f>IF(Skills!C6=1,60+Inputs!$B$25+Inputs!$B$29,IF(Skills!C6=2,90+Inputs!$B$26+Inputs!$B$29,IF(Skills!C6=3,120+Inputs!$B$27+Inputs!$B$29,MAX(0,(Inputs!$B$3-100)*3)+Inputs!$B$28+Inputs!$B$29)))</f>
        <v/>
      </c>
      <c r="E1197">
        <f>INDEX(FactorTable!$B$2:$Y$301, MATCH(ROUND(MIN(300,MAX(1,D1197)),0), FactorTable!$A$2:$A$301,0), Skills!M6+1)</f>
        <v/>
      </c>
      <c r="F1197">
        <f>IF(Skills!N6=TRUE,(Skills!L6/10)*(E1197/1000),Skills!L6/10)+Skills!O6</f>
        <v/>
      </c>
      <c r="G1197">
        <f>Skills!G6*IF(Skills!H6&gt;0,Skills!I6/Skills!H6,1)</f>
        <v/>
      </c>
      <c r="H1197">
        <f>1-(1-Skills!J6/100)^Skills!K6</f>
        <v/>
      </c>
      <c r="I1197" t="inlineStr">
        <is>
          <t>1</t>
        </is>
      </c>
      <c r="J1197">
        <f>((Inputs!$B$6*(1+Inputs!$B$7/100))+(((Inputs!$B$12*(1+Inputs!$B$13/100))-(Inputs!$B$12*(1+Inputs!$B$13/100)))+0.25*(Inputs!$B$14-Inputs!$B$14))*(1+Inputs!$B$7/100))*(F1197/100)</f>
        <v/>
      </c>
      <c r="K1197">
        <f>J1197*(1+((Inputs!$B$12*(1+Inputs!$B$13/100))*0.01+Inputs!$B$14*0.0025)/100)*(1+Inputs!$B$15/100)*(1+IF(Inputs!$B$38="pvp",0,(1-Summary!$B$55)*(Inputs!$B$20+0+Skills!P6)+Summary!$B$55*(Inputs!$B$21+Skills!Q6))/100)*(1+Inputs!$B$16/100)*(5000/(6000+Inputs!$B$42*(1-(Inputs!$B$19+((C1218=TRUE)*(F1218-Calc!F27)))/100)))*(1+(Inputs!$B$24+((C1216=TRUE)*(F1216-Calc!F25))+((C1217=TRUE)*(F1217-Calc!F26))+B1230)/100)*(1+IF(C1198=TRUE,F1198,0)/100)*(1+(IF(Skills!A6="ARROW_STREAM",Inputs!$B$17+((C1214=TRUE)*(F1214-Calc!F23)),Inputs!$B$18+((C1219=TRUE)*(F1219-Calc!F28))))/100)*((1+(((C1204=TRUE)*F1204)+((C1205=TRUE)*IF(Inputs!$B$38="pvp",F1205,(1-Summary!$B$55)*(F1205)+Summary!$B$55*(0)))+((C1206=TRUE)*F1206*IF(AND(Inputs!$B$38&lt;&gt;"pvp",Inputs!$B$43&gt;0),(((R1206-1)*(Skills!T15*(1+Inputs!$B$34/100))+MIN((Skills!T15*(1+Inputs!$B$34/100)),MAX(0,Inputs!$B$43-((R1206-1)*Skills!D15))))/Inputs!$B$43),IF(Inputs!$B$38="pvp",MIN((Skills!T15*(1+Inputs!$B$34/100)),15)/15,(Skills!T15*(1+Inputs!$B$34/100))/Skills!D15)))+((C1221=TRUE)*(F1221-Calc!F30)))/100)*I1197)</f>
        <v/>
      </c>
      <c r="L1197">
        <f>K1197*(MIN(Inputs!$B$22+((C1215=TRUE)*(F1215-Calc!F24)),Inputs!$B$23+((C1220=TRUE)*(F1220-Calc!F29)))/100+(Inputs!$B$23+((C1220=TRUE)*(F1220-Calc!F29)))/100)/2</f>
        <v/>
      </c>
      <c r="M1197">
        <f>L1197*(1+(Inputs!$B$10+0+B1229)/100)</f>
        <v/>
      </c>
      <c r="N1197">
        <f>L1197*(1-MIN((Inputs!$B$9+((C1211=TRUE)*(F1211-Calc!F20))+B1224),100)/100)+M1197*(MIN((Inputs!$B$9+((C1211=TRUE)*(F1211-Calc!F20))+B1224),100)/100)</f>
        <v/>
      </c>
      <c r="O1197">
        <f>IF(C1197,H1197*N1197*IF(AND(Inputs!$B$38&lt;&gt;"pvp",Inputs!$B$43&gt;0),((Skills!G6*((R1197-1)*IF(Skills!H6&gt;0,Skills!I6/Skills!H6,1)+IF(Skills!H6&gt;0,MIN(Skills!I6,MAX(0,MAX(0,Inputs!$B$43-B1231)-((R1197-1)*IF(Inputs!$B$38="pvp",15,MAX(0.1,Skills!D6-IF(Skills!E6=TRUE,0.5,0))))))/Skills!H6,1)))/Inputs!$B$43),G1197*Q1197)*IF(Inputs!$B$38="pvp",1,(1-Summary!$B$55)*(1)+Summary!$B$55*(MIN(Skills!R6,Inputs!$B$37))),0)</f>
        <v/>
      </c>
      <c r="P1197">
        <f>IF(B1232=0,0,O1197/B1232)</f>
        <v/>
      </c>
      <c r="Q1197">
        <f>IFERROR(1/IF(Inputs!$B$38="pvp",15,MAX(0.1,Skills!D6-IF(Skills!E6=TRUE,0.5,0))),0)</f>
        <v/>
      </c>
      <c r="R1197">
        <f>IF(AND(Inputs!$B$38&lt;&gt;"pvp",Inputs!$B$43&gt;0),IF(MAX(0,Inputs!$B$43-B1231)&lt;=0,0,(INT(MAX(0,Inputs!$B$43-B1231)/IF(Inputs!$B$38="pvp",15,MAX(0.1,Skills!D6-IF(Skills!E6=TRUE,0.5,0))))+1)),0)</f>
        <v/>
      </c>
      <c r="S1197">
        <f>IFERROR(O1197/N1197,0)</f>
        <v/>
      </c>
    </row>
    <row r="1198">
      <c r="A1198">
        <f>Skills!A7</f>
        <v/>
      </c>
      <c r="B1198">
        <f>Skills!B7</f>
        <v/>
      </c>
      <c r="C1198">
        <f>Inputs!$B$3&gt;=107</f>
        <v/>
      </c>
      <c r="D1198">
        <f>IF(Skills!C7=1,60+Inputs!$B$25+Inputs!$B$29,IF(Skills!C7=2,90+Inputs!$B$26+Inputs!$B$29,IF(Skills!C7=3,120+Inputs!$B$27+Inputs!$B$29,MAX(0,(Inputs!$B$3-100)*3)+Inputs!$B$28+Inputs!$B$29)))</f>
        <v/>
      </c>
      <c r="E1198">
        <f>INDEX(FactorTable!$B$2:$Y$301, MATCH(ROUND(MIN(300,MAX(1,D1198)),0), FactorTable!$A$2:$A$301,0), Skills!M7+1)</f>
        <v/>
      </c>
      <c r="F1198">
        <f>IF(Skills!N7=TRUE,(Skills!L7/10)*(E1198/1000),Skills!L7/10)+Skills!O7</f>
        <v/>
      </c>
      <c r="G1198" t="inlineStr"/>
      <c r="H1198" t="inlineStr"/>
      <c r="I1198" t="inlineStr">
        <is>
          <t>1</t>
        </is>
      </c>
      <c r="J1198" t="inlineStr"/>
      <c r="K1198" t="inlineStr"/>
      <c r="L1198" t="inlineStr"/>
      <c r="M1198" t="inlineStr"/>
      <c r="N1198" t="inlineStr"/>
      <c r="O1198" t="inlineStr"/>
      <c r="P1198" t="inlineStr"/>
      <c r="Q1198" t="inlineStr"/>
      <c r="R1198" t="inlineStr"/>
      <c r="S1198" t="inlineStr"/>
    </row>
    <row r="1199">
      <c r="A1199">
        <f>Skills!A8</f>
        <v/>
      </c>
      <c r="B1199">
        <f>Skills!B8</f>
        <v/>
      </c>
      <c r="C1199">
        <f>Inputs!$B$3&gt;=69</f>
        <v/>
      </c>
      <c r="D1199">
        <f>IF(Skills!C8=1,60+Inputs!$B$25+Inputs!$B$29,IF(Skills!C8=2,90+Inputs!$B$26+Inputs!$B$29,IF(Skills!C8=3,120+Inputs!$B$27+Inputs!$B$29,MAX(0,(Inputs!$B$3-100)*3)+Inputs!$B$28+Inputs!$B$29)))</f>
        <v/>
      </c>
      <c r="E1199">
        <f>INDEX(FactorTable!$B$2:$Y$301, MATCH(ROUND(MIN(300,MAX(1,D1199)),0), FactorTable!$A$2:$A$301,0), Skills!M8+1)</f>
        <v/>
      </c>
      <c r="F1199">
        <f>IF(Skills!N8=TRUE,(Skills!L8/10)*(E1199/1000),Skills!L8/10)+Skills!O8</f>
        <v/>
      </c>
      <c r="G1199">
        <f>Skills!G8*IF(Skills!H8&gt;0,Skills!I8/Skills!H8,1)</f>
        <v/>
      </c>
      <c r="H1199">
        <f>1-(1-Skills!J8/100)^Skills!K8</f>
        <v/>
      </c>
      <c r="I1199" t="inlineStr">
        <is>
          <t>1</t>
        </is>
      </c>
      <c r="J1199">
        <f>((Inputs!$B$6*(1+Inputs!$B$7/100))+(((Inputs!$B$12*(1+Inputs!$B$13/100))-(Inputs!$B$12*(1+Inputs!$B$13/100)))+0.25*(Inputs!$B$14-Inputs!$B$14))*(1+Inputs!$B$7/100))*(F1199/100)</f>
        <v/>
      </c>
      <c r="K1199">
        <f>J1199*(1+((Inputs!$B$12*(1+Inputs!$B$13/100))*0.01+Inputs!$B$14*0.0025)/100)*(1+Inputs!$B$15/100)*(1+IF(Inputs!$B$38="pvp",0,(1-Summary!$B$55)*(Inputs!$B$20+0+Skills!P8)+Summary!$B$55*(Inputs!$B$21+Skills!Q8))/100)*(1+Inputs!$B$16/100)*(5000/(6000+Inputs!$B$42*(1-(Inputs!$B$19+((C1218=TRUE)*(F1218-Calc!F27)))/100)))*(1+(Inputs!$B$24+((C1216=TRUE)*(F1216-Calc!F25))+((C1217=TRUE)*(F1217-Calc!F26))+B1230)/100)*(1+1.2*IF(C1201=TRUE,F1201,0)/100)*(1+(IF(Skills!A8="ARROW_STREAM",Inputs!$B$17+((C1214=TRUE)*(F1214-Calc!F23)),Inputs!$B$18+((C1219=TRUE)*(F1219-Calc!F28))))/100)*((1+(((C1204=TRUE)*F1204)+((C1205=TRUE)*IF(Inputs!$B$38="pvp",F1205,(1-Summary!$B$55)*(F1205)+Summary!$B$55*(0)))+((C1206=TRUE)*F1206*IF(AND(Inputs!$B$38&lt;&gt;"pvp",Inputs!$B$43&gt;0),(((R1206-1)*(Skills!T15*(1+Inputs!$B$34/100))+MIN((Skills!T15*(1+Inputs!$B$34/100)),MAX(0,Inputs!$B$43-((R1206-1)*Skills!D15))))/Inputs!$B$43),IF(Inputs!$B$38="pvp",MIN((Skills!T15*(1+Inputs!$B$34/100)),15)/15,(Skills!T15*(1+Inputs!$B$34/100))/Skills!D15)))+((C1221=TRUE)*(F1221-Calc!F30)))/100)*I1199)</f>
        <v/>
      </c>
      <c r="L1199">
        <f>K1199*(MIN(Inputs!$B$22+((C1215=TRUE)*(F1215-Calc!F24)),Inputs!$B$23+((C1220=TRUE)*(F1220-Calc!F29)))/100+(Inputs!$B$23+((C1220=TRUE)*(F1220-Calc!F29)))/100)/2</f>
        <v/>
      </c>
      <c r="M1199">
        <f>L1199*(1+(Inputs!$B$10+0+B1229)/100)</f>
        <v/>
      </c>
      <c r="N1199">
        <f>L1199*(1-MIN((Inputs!$B$9+((C1211=TRUE)*(F1211-Calc!F20))+B1224),100)/100)+M1199*(MIN((Inputs!$B$9+((C1211=TRUE)*(F1211-Calc!F20))+B1224),100)/100)</f>
        <v/>
      </c>
      <c r="O1199">
        <f>IF(C1199,H1199*N1199*IF(AND(Inputs!$B$38&lt;&gt;"pvp",Inputs!$B$43&gt;0),((Skills!G8*((R1199-1)*IF(Skills!H8&gt;0,Skills!I8/Skills!H8,1)+IF(Skills!H8&gt;0,MIN(Skills!I8,MAX(0,MAX(0,Inputs!$B$43-B1231)-((R1199-1)*IF(Inputs!$B$38="pvp",15,MAX(0.1,Skills!D8-IF(Skills!E8=TRUE,0.5,0))))))/Skills!H8,1)))/Inputs!$B$43),G1199*Q1199)*IF(Inputs!$B$38="pvp",1,(1-Summary!$B$55)*(1)+Summary!$B$55*(MIN(Skills!R8,Inputs!$B$37))),0)</f>
        <v/>
      </c>
      <c r="P1199">
        <f>IF(B1232=0,0,O1199/B1232)</f>
        <v/>
      </c>
      <c r="Q1199">
        <f>IFERROR(1/IF(Inputs!$B$38="pvp",15,MAX(0.1,Skills!D8-IF(Skills!E8=TRUE,0.5,0))),0)</f>
        <v/>
      </c>
      <c r="R1199">
        <f>IF(AND(Inputs!$B$38&lt;&gt;"pvp",Inputs!$B$43&gt;0),IF(MAX(0,Inputs!$B$43-B1231)&lt;=0,0,(INT(MAX(0,Inputs!$B$43-B1231)/IF(Inputs!$B$38="pvp",15,MAX(0.1,Skills!D8-IF(Skills!E8=TRUE,0.5,0))))+1)),0)</f>
        <v/>
      </c>
      <c r="S1199">
        <f>IFERROR(O1199/N1199,0)</f>
        <v/>
      </c>
    </row>
    <row r="1200">
      <c r="A1200">
        <f>Skills!A9</f>
        <v/>
      </c>
      <c r="B1200">
        <f>Skills!B9</f>
        <v/>
      </c>
      <c r="C1200">
        <f>Inputs!$B$3&gt;=63</f>
        <v/>
      </c>
      <c r="D1200">
        <f>IF(Skills!C9=1,60+Inputs!$B$25+Inputs!$B$29,IF(Skills!C9=2,90+Inputs!$B$26+Inputs!$B$29,IF(Skills!C9=3,120+Inputs!$B$27+Inputs!$B$29,MAX(0,(Inputs!$B$3-100)*3)+Inputs!$B$28+Inputs!$B$29)))</f>
        <v/>
      </c>
      <c r="E1200">
        <f>INDEX(FactorTable!$B$2:$Y$301, MATCH(ROUND(MIN(300,MAX(1,D1200)),0), FactorTable!$A$2:$A$301,0), Skills!M9+1)</f>
        <v/>
      </c>
      <c r="F1200">
        <f>IF(Skills!N9=TRUE,(Skills!L9/10)*(E1200/1000),Skills!L9/10)+Skills!O9</f>
        <v/>
      </c>
      <c r="G1200">
        <f>Skills!G9*IF(Skills!H9&gt;0,Skills!I9/Skills!H9,1)</f>
        <v/>
      </c>
      <c r="H1200">
        <f>1-(1-Skills!J9/100)^Skills!K9</f>
        <v/>
      </c>
      <c r="I1200" t="inlineStr">
        <is>
          <t>1</t>
        </is>
      </c>
      <c r="J1200">
        <f>((Inputs!$B$6*(1+Inputs!$B$7/100))+(((Inputs!$B$12*(1+Inputs!$B$13/100))-(Inputs!$B$12*(1+Inputs!$B$13/100)))+0.25*(Inputs!$B$14-Inputs!$B$14))*(1+Inputs!$B$7/100))*(F1200/100)</f>
        <v/>
      </c>
      <c r="K1200">
        <f>J1200*(1+((Inputs!$B$12*(1+Inputs!$B$13/100))*0.01+Inputs!$B$14*0.0025)/100)*(1+Inputs!$B$15/100)*(1+IF(Inputs!$B$38="pvp",0,(1-Summary!$B$55)*(Inputs!$B$20+0+Skills!P9)+Summary!$B$55*(Inputs!$B$21+Skills!Q9))/100)*(1+Inputs!$B$16/100)*(5000/(6000+Inputs!$B$42*(1-(Inputs!$B$19+((C1218=TRUE)*(F1218-Calc!F27)))/100)))*(1+(Inputs!$B$24+((C1216=TRUE)*(F1216-Calc!F25))+((C1217=TRUE)*(F1217-Calc!F26))+B1230)/100)*(1+1.0*IF(C1201=TRUE,F1201,0)/100)*(1+(IF(Skills!A9="ARROW_STREAM",Inputs!$B$17+((C1214=TRUE)*(F1214-Calc!F23)),Inputs!$B$18+((C1219=TRUE)*(F1219-Calc!F28))))/100)*((1+(((C1204=TRUE)*F1204)+((C1205=TRUE)*IF(Inputs!$B$38="pvp",F1205,(1-Summary!$B$55)*(F1205)+Summary!$B$55*(0)))+((C1206=TRUE)*F1206*IF(AND(Inputs!$B$38&lt;&gt;"pvp",Inputs!$B$43&gt;0),(((R1206-1)*(Skills!T15*(1+Inputs!$B$34/100))+MIN((Skills!T15*(1+Inputs!$B$34/100)),MAX(0,Inputs!$B$43-((R1206-1)*Skills!D15))))/Inputs!$B$43),IF(Inputs!$B$38="pvp",MIN((Skills!T15*(1+Inputs!$B$34/100)),15)/15,(Skills!T15*(1+Inputs!$B$34/100))/Skills!D15)))+((C1221=TRUE)*(F1221-Calc!F30)))/100)*I1200)</f>
        <v/>
      </c>
      <c r="L1200">
        <f>K1200*(MIN(Inputs!$B$22+((C1215=TRUE)*(F1215-Calc!F24)),Inputs!$B$23+((C1220=TRUE)*(F1220-Calc!F29)))/100+(Inputs!$B$23+((C1220=TRUE)*(F1220-Calc!F29)))/100)/2</f>
        <v/>
      </c>
      <c r="M1200">
        <f>L1200*(1+(Inputs!$B$10+0+B1229)/100)</f>
        <v/>
      </c>
      <c r="N1200">
        <f>L1200*(1-MIN((Inputs!$B$9+((C1211=TRUE)*(F1211-Calc!F20))+B1224),100)/100)+M1200*(MIN((Inputs!$B$9+((C1211=TRUE)*(F1211-Calc!F20))+B1224),100)/100)</f>
        <v/>
      </c>
      <c r="O1200">
        <f>IF(C1200,H1200*N1200*IF(AND(Inputs!$B$38&lt;&gt;"pvp",Inputs!$B$43&gt;0),((Skills!G9*((R1200-1)*IF(Skills!H9&gt;0,Skills!I9/Skills!H9,1)+IF(Skills!H9&gt;0,MIN(Skills!I9,MAX(0,MAX(0,Inputs!$B$43-B1231)-((R1200-1)*IF(Inputs!$B$38="pvp",15,MAX(0.1,Skills!D9-IF(Skills!E9=TRUE,0.5,0))))))/Skills!H9,1)))/Inputs!$B$43),G1200*Q1200)*IF(Inputs!$B$38="pvp",1,(1-Summary!$B$55)*(1)+Summary!$B$55*(MIN(Skills!R9,Inputs!$B$37))),0)</f>
        <v/>
      </c>
      <c r="P1200">
        <f>IF(B1232=0,0,O1200/B1232)</f>
        <v/>
      </c>
      <c r="Q1200">
        <f>IFERROR(1/IF(Inputs!$B$38="pvp",15,MAX(0.1,Skills!D9-IF(Skills!E9=TRUE,0.5,0))),0)</f>
        <v/>
      </c>
      <c r="R1200">
        <f>IF(AND(Inputs!$B$38&lt;&gt;"pvp",Inputs!$B$43&gt;0),IF(MAX(0,Inputs!$B$43-B1231)&lt;=0,0,(INT(MAX(0,Inputs!$B$43-B1231)/IF(Inputs!$B$38="pvp",15,MAX(0.1,Skills!D9-IF(Skills!E9=TRUE,0.5,0))))+1)),0)</f>
        <v/>
      </c>
      <c r="S1200">
        <f>IFERROR(O1200/N1200,0)</f>
        <v/>
      </c>
    </row>
    <row r="1201">
      <c r="A1201">
        <f>Skills!A10</f>
        <v/>
      </c>
      <c r="B1201">
        <f>Skills!B10</f>
        <v/>
      </c>
      <c r="C1201">
        <f>Inputs!$B$3&gt;=100</f>
        <v/>
      </c>
      <c r="D1201">
        <f>IF(Skills!C10=1,60+Inputs!$B$25+Inputs!$B$29,IF(Skills!C10=2,90+Inputs!$B$26+Inputs!$B$29,IF(Skills!C10=3,120+Inputs!$B$27+Inputs!$B$29,MAX(0,(Inputs!$B$3-100)*3)+Inputs!$B$28+Inputs!$B$29)))</f>
        <v/>
      </c>
      <c r="E1201">
        <f>INDEX(FactorTable!$B$2:$Y$301, MATCH(ROUND(MIN(300,MAX(1,D1201)),0), FactorTable!$A$2:$A$301,0), Skills!M10+1)</f>
        <v/>
      </c>
      <c r="F1201">
        <f>IF(Skills!N10=TRUE,(Skills!L10/10)*(E1201/1000),Skills!L10/10)+Skills!O10</f>
        <v/>
      </c>
      <c r="G1201" t="inlineStr"/>
      <c r="H1201" t="inlineStr"/>
      <c r="I1201" t="inlineStr">
        <is>
          <t>1</t>
        </is>
      </c>
      <c r="J1201" t="inlineStr"/>
      <c r="K1201" t="inlineStr"/>
      <c r="L1201" t="inlineStr"/>
      <c r="M1201" t="inlineStr"/>
      <c r="N1201" t="inlineStr"/>
      <c r="O1201" t="inlineStr"/>
      <c r="P1201" t="inlineStr"/>
      <c r="Q1201" t="inlineStr"/>
      <c r="R1201" t="inlineStr"/>
      <c r="S1201" t="inlineStr"/>
    </row>
    <row r="1202">
      <c r="A1202">
        <f>Skills!A11</f>
        <v/>
      </c>
      <c r="B1202">
        <f>Skills!B11</f>
        <v/>
      </c>
      <c r="C1202">
        <f>Inputs!$B$3&gt;=60</f>
        <v/>
      </c>
      <c r="D1202">
        <f>IF(Skills!C11=1,60+Inputs!$B$25+Inputs!$B$29,IF(Skills!C11=2,90+Inputs!$B$26+Inputs!$B$29,IF(Skills!C11=3,120+Inputs!$B$27+Inputs!$B$29,MAX(0,(Inputs!$B$3-100)*3)+Inputs!$B$28+Inputs!$B$29)))</f>
        <v/>
      </c>
      <c r="E1202">
        <f>INDEX(FactorTable!$B$2:$Y$301, MATCH(ROUND(MIN(300,MAX(1,D1202)),0), FactorTable!$A$2:$A$301,0), Skills!M11+1)</f>
        <v/>
      </c>
      <c r="F1202">
        <f>IF(Skills!N11=TRUE,(Skills!L11/10)*(E1202/1000),Skills!L11/10)+Skills!O11</f>
        <v/>
      </c>
      <c r="G1202">
        <f>Skills!G11*IF(Skills!H11&gt;0,Skills!I11/Skills!H11,1)</f>
        <v/>
      </c>
      <c r="H1202">
        <f>1-(1-Skills!J11/100)^Skills!K11</f>
        <v/>
      </c>
      <c r="I1202" t="inlineStr">
        <is>
          <t>1</t>
        </is>
      </c>
      <c r="J1202">
        <f>((Inputs!$B$6*(1+Inputs!$B$7/100))+(((Inputs!$B$12*(1+Inputs!$B$13/100))-(Inputs!$B$12*(1+Inputs!$B$13/100)))+0.25*(Inputs!$B$14-Inputs!$B$14))*(1+Inputs!$B$7/100))*(F1202/100)</f>
        <v/>
      </c>
      <c r="K1202">
        <f>J1202*(1+((Inputs!$B$12*(1+Inputs!$B$13/100))*0.01+Inputs!$B$14*0.0025)/100)*(1+Inputs!$B$15/100)*(1+IF(Inputs!$B$38="pvp",0,(1-Summary!$B$55)*(Inputs!$B$20+0+Skills!P11)+Summary!$B$55*(Inputs!$B$21+Skills!Q11))/100)*(1+Inputs!$B$16/100)*(5000/(6000+Inputs!$B$42*(1-(Inputs!$B$19+((C1218=TRUE)*(F1218-Calc!F27)))/100)))*(1+(Inputs!$B$24+((C1216=TRUE)*(F1216-Calc!F25))+((C1217=TRUE)*(F1217-Calc!F26))+B1230)/100)*(1+IF(C1203=TRUE,F1203,0)/100)*(1+(IF(Skills!A11="ARROW_STREAM",Inputs!$B$17+((C1214=TRUE)*(F1214-Calc!F23)),Inputs!$B$18+((C1219=TRUE)*(F1219-Calc!F28))))/100)*((1+(((C1204=TRUE)*F1204)+((C1205=TRUE)*IF(Inputs!$B$38="pvp",F1205,(1-Summary!$B$55)*(F1205)+Summary!$B$55*(0)))+((C1206=TRUE)*F1206*IF(AND(Inputs!$B$38&lt;&gt;"pvp",Inputs!$B$43&gt;0),(((R1206-1)*(Skills!T15*(1+Inputs!$B$34/100))+MIN((Skills!T15*(1+Inputs!$B$34/100)),MAX(0,Inputs!$B$43-((R1206-1)*Skills!D15))))/Inputs!$B$43),IF(Inputs!$B$38="pvp",MIN((Skills!T15*(1+Inputs!$B$34/100)),15)/15,(Skills!T15*(1+Inputs!$B$34/100))/Skills!D15)))+((C1221=TRUE)*(F1221-Calc!F30)))/100)*I1202)</f>
        <v/>
      </c>
      <c r="L1202">
        <f>K1202*(MIN(Inputs!$B$22+((C1215=TRUE)*(F1215-Calc!F24)),Inputs!$B$23+((C1220=TRUE)*(F1220-Calc!F29)))/100+(Inputs!$B$23+((C1220=TRUE)*(F1220-Calc!F29)))/100)/2</f>
        <v/>
      </c>
      <c r="M1202">
        <f>L1202*(1+(Inputs!$B$10+0+B1229)/100)</f>
        <v/>
      </c>
      <c r="N1202">
        <f>L1202*(1-MIN((Inputs!$B$9+((C1211=TRUE)*(F1211-Calc!F20))+B1224),100)/100)+M1202*(MIN((Inputs!$B$9+((C1211=TRUE)*(F1211-Calc!F20))+B1224),100)/100)</f>
        <v/>
      </c>
      <c r="O1202">
        <f>IF(C1202,H1202*N1202*IF(AND(Inputs!$B$38&lt;&gt;"pvp",Inputs!$B$43&gt;0),((Skills!G11*((R1202-1)*IF(Skills!H11&gt;0,Skills!I11/Skills!H11,1)+IF(Skills!H11&gt;0,MIN(Skills!I11,MAX(0,MAX(0,Inputs!$B$43-B1231)-((R1202-1)*IF(Inputs!$B$38="pvp",15,MAX(0.1,Skills!D11-IF(Skills!E11=TRUE,0.5,0))))))/Skills!H11,1)))/Inputs!$B$43),G1202*Q1202)*IF(Inputs!$B$38="pvp",1,(1-Summary!$B$55)*(1)+Summary!$B$55*(MIN(Skills!R11,Inputs!$B$37))),0)</f>
        <v/>
      </c>
      <c r="P1202">
        <f>IF(B1232=0,0,O1202/B1232)</f>
        <v/>
      </c>
      <c r="Q1202">
        <f>IFERROR(1/IF(Inputs!$B$38="pvp",15,MAX(0.1,Skills!D11-IF(Skills!E11=TRUE,0.5,0))),0)</f>
        <v/>
      </c>
      <c r="R1202">
        <f>IF(AND(Inputs!$B$38&lt;&gt;"pvp",Inputs!$B$43&gt;0),IF(MAX(0,Inputs!$B$43-B1231)&lt;=0,0,(INT(MAX(0,Inputs!$B$43-B1231)/IF(Inputs!$B$38="pvp",15,MAX(0.1,Skills!D11-IF(Skills!E11=TRUE,0.5,0))))+1)),0)</f>
        <v/>
      </c>
      <c r="S1202">
        <f>IFERROR(O1202/N1202,0)</f>
        <v/>
      </c>
    </row>
    <row r="1203">
      <c r="A1203">
        <f>Skills!A12</f>
        <v/>
      </c>
      <c r="B1203">
        <f>Skills!B12</f>
        <v/>
      </c>
      <c r="C1203">
        <f>Inputs!$B$3&gt;=110</f>
        <v/>
      </c>
      <c r="D1203">
        <f>IF(Skills!C12=1,60+Inputs!$B$25+Inputs!$B$29,IF(Skills!C12=2,90+Inputs!$B$26+Inputs!$B$29,IF(Skills!C12=3,120+Inputs!$B$27+Inputs!$B$29,MAX(0,(Inputs!$B$3-100)*3)+Inputs!$B$28+Inputs!$B$29)))</f>
        <v/>
      </c>
      <c r="E1203">
        <f>INDEX(FactorTable!$B$2:$Y$301, MATCH(ROUND(MIN(300,MAX(1,D1203)),0), FactorTable!$A$2:$A$301,0), Skills!M12+1)</f>
        <v/>
      </c>
      <c r="F1203">
        <f>IF(Skills!N12=TRUE,(Skills!L12/10)*(E1203/1000),Skills!L12/10)+Skills!O12</f>
        <v/>
      </c>
      <c r="G1203" t="inlineStr"/>
      <c r="H1203" t="inlineStr"/>
      <c r="I1203" t="inlineStr">
        <is>
          <t>1</t>
        </is>
      </c>
      <c r="J1203" t="inlineStr"/>
      <c r="K1203" t="inlineStr"/>
      <c r="L1203" t="inlineStr"/>
      <c r="M1203" t="inlineStr"/>
      <c r="N1203" t="inlineStr"/>
      <c r="O1203" t="inlineStr"/>
      <c r="P1203" t="inlineStr"/>
      <c r="Q1203" t="inlineStr"/>
      <c r="R1203" t="inlineStr"/>
      <c r="S1203" t="inlineStr"/>
    </row>
    <row r="1204">
      <c r="A1204">
        <f>Skills!A13</f>
        <v/>
      </c>
      <c r="B1204">
        <f>Skills!B13</f>
        <v/>
      </c>
      <c r="C1204">
        <f>Inputs!$B$3&gt;=74</f>
        <v/>
      </c>
      <c r="D1204">
        <f>IF(Skills!C13=1,60+Inputs!$B$25+Inputs!$B$29,IF(Skills!C13=2,90+Inputs!$B$26+Inputs!$B$29,IF(Skills!C13=3,120+Inputs!$B$27+Inputs!$B$29,MAX(0,(Inputs!$B$3-100)*3)+Inputs!$B$28+Inputs!$B$29)))</f>
        <v/>
      </c>
      <c r="E1204">
        <f>INDEX(FactorTable!$B$2:$Y$301, MATCH(ROUND(MIN(300,MAX(1,D1204)),0), FactorTable!$A$2:$A$301,0), Skills!M13+1)</f>
        <v/>
      </c>
      <c r="F1204">
        <f>IF(Skills!N13=TRUE,(Skills!L13/10)*(E1204/1000),Skills!L13/10)+Skills!O13</f>
        <v/>
      </c>
      <c r="G1204">
        <f>Skills!G13*IF(Skills!H13&gt;0,Skills!I13/Skills!H13,1)</f>
        <v/>
      </c>
      <c r="H1204">
        <f>1-(1-Skills!J13/100)^Skills!K13</f>
        <v/>
      </c>
      <c r="I1204" t="inlineStr">
        <is>
          <t>1</t>
        </is>
      </c>
      <c r="J1204" t="inlineStr"/>
      <c r="K1204" t="inlineStr"/>
      <c r="L1204" t="inlineStr"/>
      <c r="M1204" t="inlineStr"/>
      <c r="N1204" t="inlineStr"/>
      <c r="O1204" t="n">
        <v>0</v>
      </c>
      <c r="P1204">
        <f>IF(B1232=0,0,O1204/B1232)</f>
        <v/>
      </c>
      <c r="Q1204" t="n">
        <v>0</v>
      </c>
      <c r="R1204" t="n">
        <v>0</v>
      </c>
      <c r="S1204">
        <f>IFERROR(O1204/N1204,0)</f>
        <v/>
      </c>
    </row>
    <row r="1205">
      <c r="A1205">
        <f>Skills!A14</f>
        <v/>
      </c>
      <c r="B1205">
        <f>Skills!B14</f>
        <v/>
      </c>
      <c r="C1205">
        <f>Inputs!$B$3&gt;=74</f>
        <v/>
      </c>
      <c r="D1205">
        <f>IF(Skills!C14=1,60+Inputs!$B$25+Inputs!$B$29,IF(Skills!C14=2,90+Inputs!$B$26+Inputs!$B$29,IF(Skills!C14=3,120+Inputs!$B$27+Inputs!$B$29,MAX(0,(Inputs!$B$3-100)*3)+Inputs!$B$28+Inputs!$B$29)))</f>
        <v/>
      </c>
      <c r="E1205">
        <f>INDEX(FactorTable!$B$2:$Y$301, MATCH(ROUND(MIN(300,MAX(1,D1205)),0), FactorTable!$A$2:$A$301,0), Skills!M14+1)</f>
        <v/>
      </c>
      <c r="F1205">
        <f>IF(Skills!N14=TRUE,(Skills!L14/10)*(E1205/1000),Skills!L14/10)+Skills!O14</f>
        <v/>
      </c>
      <c r="G1205">
        <f>Skills!G14*IF(Skills!H14&gt;0,Skills!I14/Skills!H14,1)</f>
        <v/>
      </c>
      <c r="H1205">
        <f>1-(1-Skills!J14/100)^Skills!K14</f>
        <v/>
      </c>
      <c r="I1205" t="inlineStr">
        <is>
          <t>1</t>
        </is>
      </c>
      <c r="J1205" t="inlineStr"/>
      <c r="K1205" t="inlineStr"/>
      <c r="L1205" t="inlineStr"/>
      <c r="M1205" t="inlineStr"/>
      <c r="N1205" t="inlineStr"/>
      <c r="O1205" t="n">
        <v>0</v>
      </c>
      <c r="P1205">
        <f>IF(B1232=0,0,O1205/B1232)</f>
        <v/>
      </c>
      <c r="Q1205" t="n">
        <v>0</v>
      </c>
      <c r="R1205" t="n">
        <v>0</v>
      </c>
      <c r="S1205">
        <f>IFERROR(O1205/N1205,0)</f>
        <v/>
      </c>
    </row>
    <row r="1206">
      <c r="A1206">
        <f>Skills!A15</f>
        <v/>
      </c>
      <c r="B1206">
        <f>Skills!B15</f>
        <v/>
      </c>
      <c r="C1206">
        <f>Inputs!$B$3&gt;=117</f>
        <v/>
      </c>
      <c r="D1206">
        <f>IF(Skills!C15=1,60+Inputs!$B$25+Inputs!$B$29,IF(Skills!C15=2,90+Inputs!$B$26+Inputs!$B$29,IF(Skills!C15=3,120+Inputs!$B$27+Inputs!$B$29,MAX(0,(Inputs!$B$3-100)*3)+Inputs!$B$28+Inputs!$B$29)))</f>
        <v/>
      </c>
      <c r="E1206">
        <f>INDEX(FactorTable!$B$2:$Y$301, MATCH(ROUND(MIN(300,MAX(1,D1206)),0), FactorTable!$A$2:$A$301,0), Skills!M15+1)</f>
        <v/>
      </c>
      <c r="F1206">
        <f>IF(Skills!N15=TRUE,(Skills!L15/10)*(E1206/1000),Skills!L15/10)+Skills!O15</f>
        <v/>
      </c>
      <c r="G1206">
        <f>Skills!G15*IF(Skills!H15&gt;0,Skills!I15/Skills!H15,1)</f>
        <v/>
      </c>
      <c r="H1206">
        <f>1-(1-Skills!J15/100)^Skills!K15</f>
        <v/>
      </c>
      <c r="I1206" t="inlineStr">
        <is>
          <t>1</t>
        </is>
      </c>
      <c r="J1206" t="inlineStr"/>
      <c r="K1206" t="inlineStr"/>
      <c r="L1206" t="inlineStr"/>
      <c r="M1206" t="inlineStr"/>
      <c r="N1206" t="inlineStr"/>
      <c r="O1206" t="n">
        <v>0</v>
      </c>
      <c r="P1206">
        <f>IF(B1232=0,0,O1206/B1232)</f>
        <v/>
      </c>
      <c r="Q1206">
        <f>IFERROR(1/IF(Inputs!$B$38="pvp",15,MAX(0.1,Skills!D15-IF(Skills!E15=TRUE,0.5,0))),0)</f>
        <v/>
      </c>
      <c r="R1206">
        <f>IF(AND(Inputs!$B$38&lt;&gt;"pvp",Inputs!$B$43&gt;0),IF(Inputs!$B$43&lt;=0,0,(INT(Inputs!$B$43/IF(Inputs!$B$38="pvp",15,MAX(0.1,Skills!D15-IF(Skills!E15=TRUE,0.5,0))))+1)),0)</f>
        <v/>
      </c>
      <c r="S1206">
        <f>IFERROR(O1206/N1206,0)</f>
        <v/>
      </c>
    </row>
    <row r="1207">
      <c r="A1207">
        <f>Skills!A16</f>
        <v/>
      </c>
      <c r="B1207">
        <f>Skills!B16</f>
        <v/>
      </c>
      <c r="C1207">
        <f>Inputs!$B$3&gt;=115</f>
        <v/>
      </c>
      <c r="D1207">
        <f>IF(Skills!C16=1,60+Inputs!$B$25+Inputs!$B$29,IF(Skills!C16=2,90+Inputs!$B$26+Inputs!$B$29,IF(Skills!C16=3,120+Inputs!$B$27+Inputs!$B$29,MAX(0,(Inputs!$B$3-100)*3)+Inputs!$B$28+Inputs!$B$29)))</f>
        <v/>
      </c>
      <c r="E1207">
        <f>INDEX(FactorTable!$B$2:$Y$301, MATCH(ROUND(MIN(300,MAX(1,D1207)),0), FactorTable!$A$2:$A$301,0), Skills!M16+1)</f>
        <v/>
      </c>
      <c r="F1207">
        <f>IF(Skills!N16=TRUE,(Skills!L16/10)*(E1207/1000),Skills!L16/10)+Skills!O16</f>
        <v/>
      </c>
      <c r="G1207">
        <f>Skills!G16*IF(Skills!H16&gt;0,Skills!I16/Skills!H16,1)</f>
        <v/>
      </c>
      <c r="H1207">
        <f>1-(1-Skills!J16/100)^Skills!K16</f>
        <v/>
      </c>
      <c r="I1207" t="inlineStr">
        <is>
          <t>1</t>
        </is>
      </c>
      <c r="J1207" t="inlineStr"/>
      <c r="K1207" t="inlineStr"/>
      <c r="L1207" t="inlineStr"/>
      <c r="M1207" t="inlineStr"/>
      <c r="N1207" t="inlineStr"/>
      <c r="O1207" t="n">
        <v>0</v>
      </c>
      <c r="P1207">
        <f>IF(B1232=0,0,O1207/B1232)</f>
        <v/>
      </c>
      <c r="Q1207">
        <f>IFERROR(1/IF(Inputs!$B$38="pvp",15,MAX(0.1,Skills!D16-IF(Skills!E16=TRUE,0.5,0))),0)</f>
        <v/>
      </c>
      <c r="R1207">
        <f>IF(AND(Inputs!$B$38&lt;&gt;"pvp",Inputs!$B$43&gt;0),IF(Inputs!$B$43&lt;=0,0,(INT(Inputs!$B$43/IF(Inputs!$B$38="pvp",15,MAX(0.1,Skills!D16-IF(Skills!E16=TRUE,0.5,0))))+1)),0)</f>
        <v/>
      </c>
      <c r="S1207">
        <f>IFERROR(O1207/N1207,0)</f>
        <v/>
      </c>
    </row>
    <row r="1208">
      <c r="A1208">
        <f>Skills!A17</f>
        <v/>
      </c>
      <c r="B1208">
        <f>Skills!B17</f>
        <v/>
      </c>
      <c r="C1208">
        <f>Inputs!$B$3&gt;=66</f>
        <v/>
      </c>
      <c r="D1208">
        <f>IF(Skills!C17=1,60+Inputs!$B$25+Inputs!$B$29,IF(Skills!C17=2,90+Inputs!$B$26+Inputs!$B$29,IF(Skills!C17=3,120+Inputs!$B$27+Inputs!$B$29,MAX(0,(Inputs!$B$3-100)*3)+Inputs!$B$28+Inputs!$B$29)))</f>
        <v/>
      </c>
      <c r="E1208">
        <f>INDEX(FactorTable!$B$2:$Y$301, MATCH(ROUND(MIN(300,MAX(1,D1208)),0), FactorTable!$A$2:$A$301,0), Skills!M17+1)</f>
        <v/>
      </c>
      <c r="F1208">
        <f>IF(Skills!N17=TRUE,(Skills!L17/10)*(E1208/1000),Skills!L17/10)+Skills!O17</f>
        <v/>
      </c>
      <c r="G1208">
        <f>Skills!G17*IF(Skills!H17&gt;0,Skills!I17/Skills!H17,1)</f>
        <v/>
      </c>
      <c r="H1208">
        <f>1-(1-Skills!J17/100)^Skills!K17</f>
        <v/>
      </c>
      <c r="I1208" t="inlineStr">
        <is>
          <t>1</t>
        </is>
      </c>
      <c r="J1208" t="inlineStr"/>
      <c r="K1208" t="inlineStr"/>
      <c r="L1208" t="inlineStr"/>
      <c r="M1208" t="inlineStr"/>
      <c r="N1208" t="inlineStr"/>
      <c r="O1208" t="n">
        <v>0</v>
      </c>
      <c r="P1208">
        <f>IF(B1232=0,0,O1208/B1232)</f>
        <v/>
      </c>
      <c r="Q1208" t="n">
        <v>0</v>
      </c>
      <c r="R1208" t="n">
        <v>0</v>
      </c>
      <c r="S1208">
        <f>IFERROR(O1208/N1208,0)</f>
        <v/>
      </c>
    </row>
    <row r="1209">
      <c r="A1209">
        <f>Skills!A18</f>
        <v/>
      </c>
      <c r="B1209">
        <f>Skills!B18</f>
        <v/>
      </c>
      <c r="C1209">
        <f>Inputs!$B$3&gt;=72</f>
        <v/>
      </c>
      <c r="D1209">
        <f>IF(Skills!C18=1,60+Inputs!$B$25+Inputs!$B$29,IF(Skills!C18=2,90+Inputs!$B$26+Inputs!$B$29,IF(Skills!C18=3,120+Inputs!$B$27+Inputs!$B$29,MAX(0,(Inputs!$B$3-100)*3)+Inputs!$B$28+Inputs!$B$29)))</f>
        <v/>
      </c>
      <c r="E1209">
        <f>INDEX(FactorTable!$B$2:$Y$301, MATCH(ROUND(MIN(300,MAX(1,D1209)),0), FactorTable!$A$2:$A$301,0), Skills!M18+1)</f>
        <v/>
      </c>
      <c r="F1209">
        <f>IF(Skills!N18=TRUE,(Skills!L18/10)*(E1209/1000),Skills!L18/10)+Skills!O18</f>
        <v/>
      </c>
      <c r="G1209">
        <f>Skills!G18*IF(Skills!H18&gt;0,Skills!I18/Skills!H18,1)</f>
        <v/>
      </c>
      <c r="H1209">
        <f>1-(1-Skills!J18/100)^Skills!K18</f>
        <v/>
      </c>
      <c r="I1209" t="inlineStr">
        <is>
          <t>1</t>
        </is>
      </c>
      <c r="J1209" t="inlineStr"/>
      <c r="K1209" t="inlineStr"/>
      <c r="L1209" t="inlineStr"/>
      <c r="M1209" t="inlineStr"/>
      <c r="N1209" t="inlineStr"/>
      <c r="O1209" t="n">
        <v>0</v>
      </c>
      <c r="P1209">
        <f>IF(B1232=0,0,O1209/B1232)</f>
        <v/>
      </c>
      <c r="Q1209" t="n">
        <v>0</v>
      </c>
      <c r="R1209" t="n">
        <v>0</v>
      </c>
      <c r="S1209">
        <f>IFERROR(O1209/N1209,0)</f>
        <v/>
      </c>
    </row>
    <row r="1210">
      <c r="A1210">
        <f>Skills!A19</f>
        <v/>
      </c>
      <c r="B1210">
        <f>Skills!B19</f>
        <v/>
      </c>
      <c r="C1210">
        <f>TRUE</f>
        <v/>
      </c>
      <c r="D1210">
        <f>IF(Skills!C19=1,60+Inputs!$B$25+Inputs!$B$29,IF(Skills!C19=2,90+Inputs!$B$26+Inputs!$B$29,IF(Skills!C19=3,120+Inputs!$B$27+Inputs!$B$29,MAX(0,(Inputs!$B$3-100)*3)+Inputs!$B$28+Inputs!$B$29)))</f>
        <v/>
      </c>
      <c r="E1210">
        <f>INDEX(FactorTable!$B$2:$Y$301, MATCH(ROUND(MIN(300,MAX(1,D1210)),0), FactorTable!$A$2:$A$301,0), Skills!M19+1)</f>
        <v/>
      </c>
      <c r="F1210">
        <f>IF(Skills!N19=TRUE,(Skills!L19/10)*(E1210/1000),Skills!L19/10)+Skills!O19</f>
        <v/>
      </c>
      <c r="G1210">
        <f>Skills!G19*IF(Skills!H19&gt;0,Skills!I19/Skills!H19,1)</f>
        <v/>
      </c>
      <c r="H1210">
        <f>1-(1-Skills!J19/100)^Skills!K19</f>
        <v/>
      </c>
      <c r="I1210" t="inlineStr">
        <is>
          <t>1</t>
        </is>
      </c>
      <c r="J1210" t="inlineStr"/>
      <c r="K1210" t="inlineStr"/>
      <c r="L1210" t="inlineStr"/>
      <c r="M1210" t="inlineStr"/>
      <c r="N1210" t="inlineStr"/>
      <c r="O1210" t="n">
        <v>0</v>
      </c>
      <c r="P1210">
        <f>IF(B1232=0,0,O1210/B1232)</f>
        <v/>
      </c>
      <c r="Q1210">
        <f>IFERROR(1/IF(Inputs!$B$38="pvp",15,MAX(0.1,Skills!D19-IF(Skills!E19=TRUE,0.5,0))),0)</f>
        <v/>
      </c>
      <c r="R1210">
        <f>IF(AND(Inputs!$B$38&lt;&gt;"pvp",Inputs!$B$43&gt;0),IF(Inputs!$B$43&lt;=0,0,(INT(Inputs!$B$43/IF(Inputs!$B$38="pvp",15,MAX(0.1,Skills!D19-IF(Skills!E19=TRUE,0.5,0))))+1)),0)</f>
        <v/>
      </c>
      <c r="S1210">
        <f>IFERROR(O1210/N1210,0)</f>
        <v/>
      </c>
    </row>
    <row r="1211">
      <c r="A1211">
        <f>Skills!A20</f>
        <v/>
      </c>
      <c r="B1211">
        <f>Skills!B20</f>
        <v/>
      </c>
      <c r="C1211">
        <f>Inputs!$B$3&gt;=15</f>
        <v/>
      </c>
      <c r="D1211">
        <f>IF(Skills!C20=1,60+Inputs!$B$25+Inputs!$B$29,IF(Skills!C20=2,90+Inputs!$B$26+Inputs!$B$29,IF(Skills!C20=3,120+Inputs!$B$27+Inputs!$B$29,MAX(0,(Inputs!$B$3-100)*3)+Inputs!$B$28+Inputs!$B$29)))</f>
        <v/>
      </c>
      <c r="E1211">
        <f>INDEX(FactorTable!$B$2:$Y$301, MATCH(ROUND(MIN(300,MAX(1,D1211)),0), FactorTable!$A$2:$A$301,0), Skills!M20+1)</f>
        <v/>
      </c>
      <c r="F1211">
        <f>IF(Skills!N20=TRUE,(Skills!L20/10)*(E1211/1000),Skills!L20/10)+Skills!O20</f>
        <v/>
      </c>
      <c r="G1211">
        <f>Skills!G20*IF(Skills!H20&gt;0,Skills!I20/Skills!H20,1)</f>
        <v/>
      </c>
      <c r="H1211">
        <f>1-(1-Skills!J20/100)^Skills!K20</f>
        <v/>
      </c>
      <c r="I1211" t="inlineStr">
        <is>
          <t>1</t>
        </is>
      </c>
      <c r="J1211" t="inlineStr"/>
      <c r="K1211" t="inlineStr"/>
      <c r="L1211" t="inlineStr"/>
      <c r="M1211" t="inlineStr"/>
      <c r="N1211" t="inlineStr"/>
      <c r="O1211" t="n">
        <v>0</v>
      </c>
      <c r="P1211">
        <f>IF(B1232=0,0,O1211/B1232)</f>
        <v/>
      </c>
      <c r="Q1211" t="n">
        <v>0</v>
      </c>
      <c r="R1211" t="n">
        <v>0</v>
      </c>
      <c r="S1211">
        <f>IFERROR(O1211/N1211,0)</f>
        <v/>
      </c>
    </row>
    <row r="1212">
      <c r="A1212">
        <f>Skills!A21</f>
        <v/>
      </c>
      <c r="B1212">
        <f>Skills!B21</f>
        <v/>
      </c>
      <c r="C1212">
        <f>Inputs!$B$3&gt;=10</f>
        <v/>
      </c>
      <c r="D1212">
        <f>IF(Skills!C21=1,60+Inputs!$B$25+Inputs!$B$29,IF(Skills!C21=2,90+Inputs!$B$26+Inputs!$B$29,IF(Skills!C21=3,120+Inputs!$B$27+Inputs!$B$29,MAX(0,(Inputs!$B$3-100)*3)+Inputs!$B$28+Inputs!$B$29)))</f>
        <v/>
      </c>
      <c r="E1212">
        <f>INDEX(FactorTable!$B$2:$Y$301, MATCH(ROUND(MIN(300,MAX(1,D1212)),0), FactorTable!$A$2:$A$301,0), Skills!M21+1)</f>
        <v/>
      </c>
      <c r="F1212">
        <f>IF(Skills!N21=TRUE,(Skills!L21/10)*(E1212/1000),Skills!L21/10)+Skills!O21</f>
        <v/>
      </c>
      <c r="G1212">
        <f>Skills!G21*IF(Skills!H21&gt;0,Skills!I21/Skills!H21,1)</f>
        <v/>
      </c>
      <c r="H1212">
        <f>1-(1-Skills!J21/100)^Skills!K21</f>
        <v/>
      </c>
      <c r="I1212" t="inlineStr">
        <is>
          <t>1</t>
        </is>
      </c>
      <c r="J1212" t="inlineStr"/>
      <c r="K1212" t="inlineStr"/>
      <c r="L1212" t="inlineStr"/>
      <c r="M1212" t="inlineStr"/>
      <c r="N1212" t="inlineStr"/>
      <c r="O1212" t="n">
        <v>0</v>
      </c>
      <c r="P1212">
        <f>IF(B1232=0,0,O1212/B1232)</f>
        <v/>
      </c>
      <c r="Q1212" t="n">
        <v>0</v>
      </c>
      <c r="R1212" t="n">
        <v>0</v>
      </c>
      <c r="S1212">
        <f>IFERROR(O1212/N1212,0)</f>
        <v/>
      </c>
    </row>
    <row r="1213">
      <c r="A1213">
        <f>Skills!A22</f>
        <v/>
      </c>
      <c r="B1213">
        <f>Skills!B22</f>
        <v/>
      </c>
      <c r="C1213">
        <f>Inputs!$B$3&gt;=33</f>
        <v/>
      </c>
      <c r="D1213">
        <f>IF(Skills!C22=1,60+Inputs!$B$25+Inputs!$B$29,IF(Skills!C22=2,90+Inputs!$B$26+Inputs!$B$29,IF(Skills!C22=3,120+Inputs!$B$27+Inputs!$B$29,MAX(0,(Inputs!$B$3-100)*3)+Inputs!$B$28+Inputs!$B$29)))</f>
        <v/>
      </c>
      <c r="E1213">
        <f>INDEX(FactorTable!$B$2:$Y$301, MATCH(ROUND(MIN(300,MAX(1,D1213)),0), FactorTable!$A$2:$A$301,0), Skills!M22+1)</f>
        <v/>
      </c>
      <c r="F1213">
        <f>IF(Skills!N22=TRUE,(Skills!L22/10)*(E1213/1000),Skills!L22/10)+Skills!O22</f>
        <v/>
      </c>
      <c r="G1213">
        <f>Skills!G22*IF(Skills!H22&gt;0,Skills!I22/Skills!H22,1)</f>
        <v/>
      </c>
      <c r="H1213">
        <f>1-(1-Skills!J22/100)^Skills!K22</f>
        <v/>
      </c>
      <c r="I1213" t="inlineStr">
        <is>
          <t>1</t>
        </is>
      </c>
      <c r="J1213" t="inlineStr"/>
      <c r="K1213" t="inlineStr"/>
      <c r="L1213" t="inlineStr"/>
      <c r="M1213" t="inlineStr"/>
      <c r="N1213" t="inlineStr"/>
      <c r="O1213" t="n">
        <v>0</v>
      </c>
      <c r="P1213">
        <f>IF(B1232=0,0,O1213/B1232)</f>
        <v/>
      </c>
      <c r="Q1213" t="n">
        <v>0</v>
      </c>
      <c r="R1213" t="n">
        <v>0</v>
      </c>
      <c r="S1213">
        <f>IFERROR(O1213/N1213,0)</f>
        <v/>
      </c>
    </row>
    <row r="1214">
      <c r="A1214">
        <f>Skills!A23</f>
        <v/>
      </c>
      <c r="B1214">
        <f>Skills!B23</f>
        <v/>
      </c>
      <c r="C1214">
        <f>Inputs!$B$3&gt;=38</f>
        <v/>
      </c>
      <c r="D1214">
        <f>IF(Skills!C23=1,60+Inputs!$B$25+Inputs!$B$29,IF(Skills!C23=2,90+Inputs!$B$26+Inputs!$B$29,IF(Skills!C23=3,120+Inputs!$B$27+Inputs!$B$29,MAX(0,(Inputs!$B$3-100)*3)+Inputs!$B$28+Inputs!$B$29)))</f>
        <v/>
      </c>
      <c r="E1214">
        <f>INDEX(FactorTable!$B$2:$Y$301, MATCH(ROUND(MIN(300,MAX(1,D1214)),0), FactorTable!$A$2:$A$301,0), Skills!M23+1)</f>
        <v/>
      </c>
      <c r="F1214">
        <f>IF(Skills!N23=TRUE,(Skills!L23/10)*(E1214/1000),Skills!L23/10)+Skills!O23</f>
        <v/>
      </c>
      <c r="G1214">
        <f>Skills!G23*IF(Skills!H23&gt;0,Skills!I23/Skills!H23,1)</f>
        <v/>
      </c>
      <c r="H1214">
        <f>1-(1-Skills!J23/100)^Skills!K23</f>
        <v/>
      </c>
      <c r="I1214" t="inlineStr">
        <is>
          <t>1</t>
        </is>
      </c>
      <c r="J1214" t="inlineStr"/>
      <c r="K1214" t="inlineStr"/>
      <c r="L1214" t="inlineStr"/>
      <c r="M1214" t="inlineStr"/>
      <c r="N1214" t="inlineStr"/>
      <c r="O1214" t="n">
        <v>0</v>
      </c>
      <c r="P1214">
        <f>IF(B1232=0,0,O1214/B1232)</f>
        <v/>
      </c>
      <c r="Q1214" t="n">
        <v>0</v>
      </c>
      <c r="R1214" t="n">
        <v>0</v>
      </c>
      <c r="S1214">
        <f>IFERROR(O1214/N1214,0)</f>
        <v/>
      </c>
    </row>
    <row r="1215">
      <c r="A1215">
        <f>Skills!A24</f>
        <v/>
      </c>
      <c r="B1215">
        <f>Skills!B24</f>
        <v/>
      </c>
      <c r="C1215">
        <f>Inputs!$B$3&gt;=43</f>
        <v/>
      </c>
      <c r="D1215">
        <f>IF(Skills!C24=1,60+Inputs!$B$25+Inputs!$B$29,IF(Skills!C24=2,90+Inputs!$B$26+Inputs!$B$29,IF(Skills!C24=3,120+Inputs!$B$27+Inputs!$B$29,MAX(0,(Inputs!$B$3-100)*3)+Inputs!$B$28+Inputs!$B$29)))</f>
        <v/>
      </c>
      <c r="E1215">
        <f>INDEX(FactorTable!$B$2:$Y$301, MATCH(ROUND(MIN(300,MAX(1,D1215)),0), FactorTable!$A$2:$A$301,0), Skills!M24+1)</f>
        <v/>
      </c>
      <c r="F1215">
        <f>IF(Skills!N24=TRUE,(Skills!L24/10)*(E1215/1000),Skills!L24/10)+Skills!O24</f>
        <v/>
      </c>
      <c r="G1215">
        <f>Skills!G24*IF(Skills!H24&gt;0,Skills!I24/Skills!H24,1)</f>
        <v/>
      </c>
      <c r="H1215">
        <f>1-(1-Skills!J24/100)^Skills!K24</f>
        <v/>
      </c>
      <c r="I1215" t="inlineStr">
        <is>
          <t>1</t>
        </is>
      </c>
      <c r="J1215" t="inlineStr"/>
      <c r="K1215" t="inlineStr"/>
      <c r="L1215" t="inlineStr"/>
      <c r="M1215" t="inlineStr"/>
      <c r="N1215" t="inlineStr"/>
      <c r="O1215" t="n">
        <v>0</v>
      </c>
      <c r="P1215">
        <f>IF(B1232=0,0,O1215/B1232)</f>
        <v/>
      </c>
      <c r="Q1215" t="n">
        <v>0</v>
      </c>
      <c r="R1215" t="n">
        <v>0</v>
      </c>
      <c r="S1215">
        <f>IFERROR(O1215/N1215,0)</f>
        <v/>
      </c>
    </row>
    <row r="1216">
      <c r="A1216">
        <f>Skills!A25</f>
        <v/>
      </c>
      <c r="B1216">
        <f>Skills!B25</f>
        <v/>
      </c>
      <c r="C1216">
        <f>Inputs!$B$3&gt;=75</f>
        <v/>
      </c>
      <c r="D1216">
        <f>IF(Skills!C25=1,60+Inputs!$B$25+Inputs!$B$29,IF(Skills!C25=2,90+Inputs!$B$26+Inputs!$B$29,IF(Skills!C25=3,120+Inputs!$B$27+Inputs!$B$29,MAX(0,(Inputs!$B$3-100)*3)+Inputs!$B$28+Inputs!$B$29)))</f>
        <v/>
      </c>
      <c r="E1216">
        <f>INDEX(FactorTable!$B$2:$Y$301, MATCH(ROUND(MIN(300,MAX(1,D1216)),0), FactorTable!$A$2:$A$301,0), Skills!M25+1)</f>
        <v/>
      </c>
      <c r="F1216">
        <f>IF(Skills!N25=TRUE,(Skills!L25/10)*(E1216/1000),Skills!L25/10)+Skills!O25</f>
        <v/>
      </c>
      <c r="G1216">
        <f>Skills!G25*IF(Skills!H25&gt;0,Skills!I25/Skills!H25,1)</f>
        <v/>
      </c>
      <c r="H1216">
        <f>1-(1-Skills!J25/100)^Skills!K25</f>
        <v/>
      </c>
      <c r="I1216" t="inlineStr">
        <is>
          <t>1</t>
        </is>
      </c>
      <c r="J1216" t="inlineStr"/>
      <c r="K1216" t="inlineStr"/>
      <c r="L1216" t="inlineStr"/>
      <c r="M1216" t="inlineStr"/>
      <c r="N1216" t="inlineStr"/>
      <c r="O1216" t="n">
        <v>0</v>
      </c>
      <c r="P1216">
        <f>IF(B1232=0,0,O1216/B1232)</f>
        <v/>
      </c>
      <c r="Q1216" t="n">
        <v>0</v>
      </c>
      <c r="R1216" t="n">
        <v>0</v>
      </c>
      <c r="S1216">
        <f>IFERROR(O1216/N1216,0)</f>
        <v/>
      </c>
    </row>
    <row r="1217">
      <c r="A1217">
        <f>Skills!A26</f>
        <v/>
      </c>
      <c r="B1217">
        <f>Skills!B26</f>
        <v/>
      </c>
      <c r="C1217">
        <f>Inputs!$B$3&gt;=125</f>
        <v/>
      </c>
      <c r="D1217">
        <f>IF(Skills!C26=1,60+Inputs!$B$25+Inputs!$B$29,IF(Skills!C26=2,90+Inputs!$B$26+Inputs!$B$29,IF(Skills!C26=3,120+Inputs!$B$27+Inputs!$B$29,MAX(0,(Inputs!$B$3-100)*3)+Inputs!$B$28+Inputs!$B$29)))</f>
        <v/>
      </c>
      <c r="E1217">
        <f>INDEX(FactorTable!$B$2:$Y$301, MATCH(ROUND(MIN(300,MAX(1,D1217)),0), FactorTable!$A$2:$A$301,0), Skills!M26+1)</f>
        <v/>
      </c>
      <c r="F1217">
        <f>IF(Skills!N26=TRUE,(Skills!L26/10)*(E1217/1000),Skills!L26/10)+Skills!O26</f>
        <v/>
      </c>
      <c r="G1217">
        <f>Skills!G26*IF(Skills!H26&gt;0,Skills!I26/Skills!H26,1)</f>
        <v/>
      </c>
      <c r="H1217">
        <f>1-(1-Skills!J26/100)^Skills!K26</f>
        <v/>
      </c>
      <c r="I1217" t="inlineStr">
        <is>
          <t>1</t>
        </is>
      </c>
      <c r="J1217" t="inlineStr"/>
      <c r="K1217" t="inlineStr"/>
      <c r="L1217" t="inlineStr"/>
      <c r="M1217" t="inlineStr"/>
      <c r="N1217" t="inlineStr"/>
      <c r="O1217" t="n">
        <v>0</v>
      </c>
      <c r="P1217">
        <f>IF(B1232=0,0,O1217/B1232)</f>
        <v/>
      </c>
      <c r="Q1217" t="n">
        <v>0</v>
      </c>
      <c r="R1217" t="n">
        <v>0</v>
      </c>
      <c r="S1217">
        <f>IFERROR(O1217/N1217,0)</f>
        <v/>
      </c>
    </row>
    <row r="1218">
      <c r="A1218">
        <f>Skills!A27</f>
        <v/>
      </c>
      <c r="B1218">
        <f>Skills!B27</f>
        <v/>
      </c>
      <c r="C1218">
        <f>Inputs!$B$3&gt;=125</f>
        <v/>
      </c>
      <c r="D1218">
        <f>IF(Skills!C27=1,60+Inputs!$B$25+Inputs!$B$29,IF(Skills!C27=2,90+Inputs!$B$26+Inputs!$B$29,IF(Skills!C27=3,120+Inputs!$B$27+Inputs!$B$29,MAX(0,(Inputs!$B$3-100)*3)+Inputs!$B$28+Inputs!$B$29)))</f>
        <v/>
      </c>
      <c r="E1218">
        <f>INDEX(FactorTable!$B$2:$Y$301, MATCH(ROUND(MIN(300,MAX(1,D1218)),0), FactorTable!$A$2:$A$301,0), Skills!M27+1)</f>
        <v/>
      </c>
      <c r="F1218">
        <f>IF(Skills!N27=TRUE,(Skills!L27/10)*(E1218/1000),Skills!L27/10)+Skills!O27</f>
        <v/>
      </c>
      <c r="G1218">
        <f>Skills!G27*IF(Skills!H27&gt;0,Skills!I27/Skills!H27,1)</f>
        <v/>
      </c>
      <c r="H1218">
        <f>1-(1-Skills!J27/100)^Skills!K27</f>
        <v/>
      </c>
      <c r="I1218" t="inlineStr">
        <is>
          <t>1</t>
        </is>
      </c>
      <c r="J1218" t="inlineStr"/>
      <c r="K1218" t="inlineStr"/>
      <c r="L1218" t="inlineStr"/>
      <c r="M1218" t="inlineStr"/>
      <c r="N1218" t="inlineStr"/>
      <c r="O1218" t="n">
        <v>0</v>
      </c>
      <c r="P1218">
        <f>IF(B1232=0,0,O1218/B1232)</f>
        <v/>
      </c>
      <c r="Q1218" t="n">
        <v>0</v>
      </c>
      <c r="R1218" t="n">
        <v>0</v>
      </c>
      <c r="S1218">
        <f>IFERROR(O1218/N1218,0)</f>
        <v/>
      </c>
    </row>
    <row r="1219">
      <c r="A1219">
        <f>Skills!A28</f>
        <v/>
      </c>
      <c r="B1219">
        <f>Skills!B28</f>
        <v/>
      </c>
      <c r="C1219">
        <f>Inputs!$B$3&gt;=120</f>
        <v/>
      </c>
      <c r="D1219">
        <f>IF(Skills!C28=1,60+Inputs!$B$25+Inputs!$B$29,IF(Skills!C28=2,90+Inputs!$B$26+Inputs!$B$29,IF(Skills!C28=3,120+Inputs!$B$27+Inputs!$B$29,MAX(0,(Inputs!$B$3-100)*3)+Inputs!$B$28+Inputs!$B$29)))</f>
        <v/>
      </c>
      <c r="E1219">
        <f>INDEX(FactorTable!$B$2:$Y$301, MATCH(ROUND(MIN(300,MAX(1,D1219)),0), FactorTable!$A$2:$A$301,0), Skills!M28+1)</f>
        <v/>
      </c>
      <c r="F1219">
        <f>IF(Skills!N28=TRUE,(Skills!L28/10)*(E1219/1000),Skills!L28/10)+Skills!O28</f>
        <v/>
      </c>
      <c r="G1219">
        <f>Skills!G28*IF(Skills!H28&gt;0,Skills!I28/Skills!H28,1)</f>
        <v/>
      </c>
      <c r="H1219">
        <f>1-(1-Skills!J28/100)^Skills!K28</f>
        <v/>
      </c>
      <c r="I1219" t="inlineStr">
        <is>
          <t>1</t>
        </is>
      </c>
      <c r="J1219" t="inlineStr"/>
      <c r="K1219" t="inlineStr"/>
      <c r="L1219" t="inlineStr"/>
      <c r="M1219" t="inlineStr"/>
      <c r="N1219" t="inlineStr"/>
      <c r="O1219" t="n">
        <v>0</v>
      </c>
      <c r="P1219">
        <f>IF(B1232=0,0,O1219/B1232)</f>
        <v/>
      </c>
      <c r="Q1219" t="n">
        <v>0</v>
      </c>
      <c r="R1219" t="n">
        <v>0</v>
      </c>
      <c r="S1219">
        <f>IFERROR(O1219/N1219,0)</f>
        <v/>
      </c>
    </row>
    <row r="1220">
      <c r="A1220">
        <f>Skills!A29</f>
        <v/>
      </c>
      <c r="B1220">
        <f>Skills!B29</f>
        <v/>
      </c>
      <c r="C1220">
        <f>Inputs!$B$3&gt;=120</f>
        <v/>
      </c>
      <c r="D1220">
        <f>IF(Skills!C29=1,60+Inputs!$B$25+Inputs!$B$29,IF(Skills!C29=2,90+Inputs!$B$26+Inputs!$B$29,IF(Skills!C29=3,120+Inputs!$B$27+Inputs!$B$29,MAX(0,(Inputs!$B$3-100)*3)+Inputs!$B$28+Inputs!$B$29)))</f>
        <v/>
      </c>
      <c r="E1220">
        <f>INDEX(FactorTable!$B$2:$Y$301, MATCH(ROUND(MIN(300,MAX(1,D1220)),0), FactorTable!$A$2:$A$301,0), Skills!M29+1)</f>
        <v/>
      </c>
      <c r="F1220">
        <f>IF(Skills!N29=TRUE,(Skills!L29/10)*(E1220/1000),Skills!L29/10)+Skills!O29</f>
        <v/>
      </c>
      <c r="G1220">
        <f>Skills!G29*IF(Skills!H29&gt;0,Skills!I29/Skills!H29,1)</f>
        <v/>
      </c>
      <c r="H1220">
        <f>1-(1-Skills!J29/100)^Skills!K29</f>
        <v/>
      </c>
      <c r="I1220" t="inlineStr">
        <is>
          <t>1</t>
        </is>
      </c>
      <c r="J1220" t="inlineStr"/>
      <c r="K1220" t="inlineStr"/>
      <c r="L1220" t="inlineStr"/>
      <c r="M1220" t="inlineStr"/>
      <c r="N1220" t="inlineStr"/>
      <c r="O1220" t="n">
        <v>0</v>
      </c>
      <c r="P1220">
        <f>IF(B1232=0,0,O1220/B1232)</f>
        <v/>
      </c>
      <c r="Q1220" t="n">
        <v>0</v>
      </c>
      <c r="R1220" t="n">
        <v>0</v>
      </c>
      <c r="S1220">
        <f>IFERROR(O1220/N1220,0)</f>
        <v/>
      </c>
    </row>
    <row r="1221">
      <c r="A1221">
        <f>Skills!A30</f>
        <v/>
      </c>
      <c r="B1221">
        <f>Skills!B30</f>
        <v/>
      </c>
      <c r="C1221">
        <f>Inputs!$B$3&gt;=45</f>
        <v/>
      </c>
      <c r="D1221">
        <f>IF(Skills!C30=1,60+Inputs!$B$25+Inputs!$B$29,IF(Skills!C30=2,90+Inputs!$B$26+Inputs!$B$29,IF(Skills!C30=3,120+Inputs!$B$27+Inputs!$B$29,MAX(0,(Inputs!$B$3-100)*3)+Inputs!$B$28+Inputs!$B$29)))</f>
        <v/>
      </c>
      <c r="E1221">
        <f>INDEX(FactorTable!$B$2:$Y$301, MATCH(ROUND(MIN(300,MAX(1,D1221)),0), FactorTable!$A$2:$A$301,0), Skills!M30+1)</f>
        <v/>
      </c>
      <c r="F1221">
        <f>IF(Skills!N30=TRUE,(Skills!L30/10)*(E1221/1000),Skills!L30/10)+Skills!O30</f>
        <v/>
      </c>
      <c r="G1221">
        <f>Skills!G30*IF(Skills!H30&gt;0,Skills!I30/Skills!H30,1)</f>
        <v/>
      </c>
      <c r="H1221">
        <f>1-(1-Skills!J30/100)^Skills!K30</f>
        <v/>
      </c>
      <c r="I1221" t="inlineStr">
        <is>
          <t>1</t>
        </is>
      </c>
      <c r="J1221" t="inlineStr"/>
      <c r="K1221" t="inlineStr"/>
      <c r="L1221" t="inlineStr"/>
      <c r="M1221" t="inlineStr"/>
      <c r="N1221" t="inlineStr"/>
      <c r="O1221" t="n">
        <v>0</v>
      </c>
      <c r="P1221">
        <f>IF(B1232=0,0,O1221/B1232)</f>
        <v/>
      </c>
      <c r="Q1221" t="n">
        <v>0</v>
      </c>
      <c r="R1221" t="n">
        <v>0</v>
      </c>
      <c r="S1221">
        <f>IFERROR(O1221/N1221,0)</f>
        <v/>
      </c>
    </row>
    <row r="1223">
      <c r="A1223" t="inlineStr">
        <is>
          <t>Attack% Bucket Multiplier</t>
        </is>
      </c>
      <c r="B1223">
        <f>(1+(((C1204=TRUE)*F1204)+((C1205=TRUE)*IF(Inputs!$B$38="pvp",F1205,(1-Summary!$B$55)*(F1205)+Summary!$B$55*(0)))+((C1206=TRUE)*F1206*IF(AND(Inputs!$B$38&lt;&gt;"pvp",Inputs!$B$43&gt;0),(((R1206-1)*(Skills!T15*(1+Inputs!$B$34/100))+MIN((Skills!T15*(1+Inputs!$B$34/100)),MAX(0,Inputs!$B$43-((R1206-1)*Skills!D15))))/Inputs!$B$43),IF(Inputs!$B$38="pvp",MIN((Skills!T15*(1+Inputs!$B$34/100)),15)/15,(Skills!T15*(1+Inputs!$B$34/100))/Skills!D15)))+((C1221=TRUE)*(F1221-Calc!F30)))/100)</f>
        <v/>
      </c>
    </row>
    <row r="1224">
      <c r="A1224" t="inlineStr">
        <is>
          <t>Global Crit Rate Bonus %</t>
        </is>
      </c>
      <c r="B1224">
        <f>(C1207=TRUE)*20*IF(AND(Inputs!$B$38&lt;&gt;"pvp",Inputs!$B$43&gt;0),(((R1207-1)*(Skills!T16*(1+Inputs!$B$34/100))+MIN((Skills!T16*(1+Inputs!$B$34/100)),MAX(0,Inputs!$B$43-((R1207-1)*Skills!D16))))/Inputs!$B$43),IF(Inputs!$B$38="pvp",MIN((Skills!T16*(1+Inputs!$B$34/100)),15)/15,(Skills!T16*(1+Inputs!$B$34/100))/Skills!D16))</f>
        <v/>
      </c>
    </row>
    <row r="1225">
      <c r="A1225" t="inlineStr">
        <is>
          <t>Attack Speed Buff Bonus %</t>
        </is>
      </c>
      <c r="B1225">
        <f>((C1210=TRUE)*F1210*IF(AND(Inputs!$B$38&lt;&gt;"pvp",Inputs!$B$43&gt;0),(((R1210-1)*(Skills!T19*(1+Inputs!$B$34/100))+MIN((Skills!T19*(1+Inputs!$B$34/100)),MAX(0,Inputs!$B$43-((R1210-1)*Skills!D19))))/Inputs!$B$43),IF(Inputs!$B$38="pvp",MIN((Skills!T19*(1+Inputs!$B$34/100)),15)/15,(Skills!T19*(1+Inputs!$B$34/100))/Skills!D19)))</f>
        <v/>
      </c>
    </row>
    <row r="1226">
      <c r="A1226" t="inlineStr">
        <is>
          <t>Actions Per Second</t>
        </is>
      </c>
      <c r="B1226">
        <f>1+MIN(150,150*(1-(1-(Inputs!$B$11+((C1212=TRUE)*(F1212-Calc!F21))+((C1213=TRUE)*(F1213-Calc!F22)))/150)*(1-B1225/150)))/100</f>
        <v/>
      </c>
    </row>
    <row r="1227">
      <c r="A1227" t="inlineStr">
        <is>
          <t>Skill + Buff Cast Rate</t>
        </is>
      </c>
      <c r="B1227">
        <f>IF(AND(Inputs!$B$38&lt;&gt;"pvp",Inputs!$B$43&gt;0),SUMPRODUCT((Skills!E2:E30=TRUE)*(C1193:C1221=TRUE)*R1193:R1221*Skills!F2:F30)/Inputs!$B$43,SUMPRODUCT((Skills!E2:E30=TRUE)*(C1193:C1221=TRUE)*Q1193:Q1221*Skills!F2:F30))</f>
        <v/>
      </c>
    </row>
    <row r="1228">
      <c r="A1228" t="inlineStr">
        <is>
          <t>Arrow Stream Casts Per Second</t>
        </is>
      </c>
      <c r="B1228">
        <f>MAX(0,B1226-B1227)</f>
        <v/>
      </c>
    </row>
    <row r="1229">
      <c r="A1229" t="inlineStr">
        <is>
          <t>Global Critical Damage Bonus % (Sharp Eyes + Concentration)</t>
        </is>
      </c>
      <c r="B1229">
        <f>(C1207=TRUE)*F1207*IF(AND(Inputs!$B$38&lt;&gt;"pvp",Inputs!$B$43&gt;0),(((R1207-1)*(Skills!T16*(1+Inputs!$B$34/100))+MIN((Skills!T16*(1+Inputs!$B$34/100)),MAX(0,Inputs!$B$43-((R1207-1)*Skills!D16))))/Inputs!$B$43),IF(Inputs!$B$38="pvp",MIN((Skills!T16*(1+Inputs!$B$34/100)),15)/15,(Skills!T16*(1+Inputs!$B$34/100))/Skills!D16))+(C1208=TRUE)*30</f>
        <v/>
      </c>
    </row>
    <row r="1230">
      <c r="A1230" t="inlineStr">
        <is>
          <t>Global Final Damage Bonus % (Mortal Blow)</t>
        </is>
      </c>
      <c r="B1230">
        <f>(C1209=TRUE)*F1209</f>
        <v/>
      </c>
    </row>
    <row r="1231">
      <c r="A1231" t="inlineStr">
        <is>
          <t>Buff-Casting Startup Delay (s, fixed-duration only)</t>
        </is>
      </c>
      <c r="B1231">
        <f>IF(AND(Inputs!$B$38&lt;&gt;"pvp",Inputs!$B$43&gt;0),SUMPRODUCT((Skills!T2:T30&gt;0)*(Skills!E2:E30=TRUE)*(C1193:C1221=TRUE))/B1226,0)</f>
        <v/>
      </c>
    </row>
    <row r="1232">
      <c r="A1232" s="5" t="inlineStr">
        <is>
          <t>TOTAL DPS</t>
        </is>
      </c>
      <c r="B1232" s="5">
        <f>SUM(O1193:O1221)</f>
        <v/>
      </c>
    </row>
    <row r="1235">
      <c r="A1235" s="5" t="inlineStr">
        <is>
          <t>Stat: CDR = 1.0s</t>
        </is>
      </c>
    </row>
    <row r="1236">
      <c r="A1236" s="9" t="inlineStr">
        <is>
          <t>Key</t>
        </is>
      </c>
      <c r="B1236" s="9" t="inlineStr">
        <is>
          <t>Name</t>
        </is>
      </c>
      <c r="C1236" s="9" t="inlineStr">
        <is>
          <t>Unlocked</t>
        </is>
      </c>
      <c r="D1236" s="9" t="inlineStr">
        <is>
          <t>InputLevel</t>
        </is>
      </c>
      <c r="E1236" s="9" t="inlineStr">
        <is>
          <t>Factor</t>
        </is>
      </c>
      <c r="F1236" s="9" t="inlineStr">
        <is>
          <t>CoefficientPercent</t>
        </is>
      </c>
      <c r="G1236" s="9" t="inlineStr">
        <is>
          <t>EffectiveHits</t>
        </is>
      </c>
      <c r="H1236" s="9" t="inlineStr">
        <is>
          <t>ProcProbability</t>
        </is>
      </c>
      <c r="I1236" s="9" t="inlineStr">
        <is>
          <t>MapleHeroMultiplier</t>
        </is>
      </c>
      <c r="J1236" s="9" t="inlineStr">
        <is>
          <t>BaseDamage</t>
        </is>
      </c>
      <c r="K1236" s="9" t="inlineStr">
        <is>
          <t>BaseHitDamage</t>
        </is>
      </c>
      <c r="L1236" s="9" t="inlineStr">
        <is>
          <t>NonCritAvg</t>
        </is>
      </c>
      <c r="M1236" s="9" t="inlineStr">
        <is>
          <t>CritAvg</t>
        </is>
      </c>
      <c r="N1236" s="9" t="inlineStr">
        <is>
          <t>ExpectedDamage(perHit)</t>
        </is>
      </c>
      <c r="O1236" s="9" t="inlineStr">
        <is>
          <t>DPS</t>
        </is>
      </c>
      <c r="P1236" s="9" t="inlineStr">
        <is>
          <t>% of Total</t>
        </is>
      </c>
      <c r="Q1236" s="9" t="inlineStr">
        <is>
          <t>InvCooldown</t>
        </is>
      </c>
      <c r="R1236" s="9" t="inlineStr">
        <is>
          <t>CastsInFight</t>
        </is>
      </c>
      <c r="S1236" s="9" t="inlineStr">
        <is>
          <t>HitRate(perSec)</t>
        </is>
      </c>
      <c r="U1236" t="inlineStr">
        <is>
          <t>helpers</t>
        </is>
      </c>
    </row>
    <row r="1237">
      <c r="A1237">
        <f>Skills!A2</f>
        <v/>
      </c>
      <c r="B1237">
        <f>Skills!B2</f>
        <v/>
      </c>
      <c r="C1237">
        <f>Inputs!$B$3&gt;=100</f>
        <v/>
      </c>
      <c r="D1237" t="inlineStr"/>
      <c r="E1237" t="inlineStr"/>
      <c r="F1237">
        <f>U1239+Skills!O2</f>
        <v/>
      </c>
      <c r="G1237">
        <f>Skills!G2*IF(Skills!H2&gt;0,Skills!I2/Skills!H2,1)</f>
        <v/>
      </c>
      <c r="H1237">
        <f>1-(1-Skills!J2/100)^Skills!K2</f>
        <v/>
      </c>
      <c r="I1237" t="inlineStr">
        <is>
          <t>1</t>
        </is>
      </c>
      <c r="J1237">
        <f>((Inputs!$B$6*(1+Inputs!$B$7/100))+(((Inputs!$B$12*(1+Inputs!$B$13/100))-(Inputs!$B$12*(1+Inputs!$B$13/100)))+0.25*(Inputs!$B$14-Inputs!$B$14))*(1+Inputs!$B$7/100))*(F1237/100)</f>
        <v/>
      </c>
      <c r="K1237">
        <f>J1237*(1+((Inputs!$B$12*(1+Inputs!$B$13/100))*0.01+Inputs!$B$14*0.0025)/100)*(1+Inputs!$B$15/100)*(1+IF(Inputs!$B$38="pvp",0,(1-Summary!$B$55)*(Inputs!$B$20+0+Skills!P2)+Summary!$B$55*(Inputs!$B$21+Skills!Q2))/100)*(1+Inputs!$B$16/100)*(5000/(6000+Inputs!$B$42*(1-(Inputs!$B$19+((C1262=TRUE)*(F1262-Calc!F27)))/100)))*(1+(Inputs!$B$24+((C1260=TRUE)*(F1260-Calc!F25))+((C1261=TRUE)*(F1261-Calc!F26))+B1274)/100)*(1+(IF(Skills!A2="ARROW_STREAM",Inputs!$B$17+((C1258=TRUE)*(F1258-Calc!F23)),Inputs!$B$18+((C1263=TRUE)*(F1263-Calc!F28))))/100)*((1+(((C1248=TRUE)*F1248)+((C1249=TRUE)*IF(Inputs!$B$38="pvp",F1249,(1-Summary!$B$55)*(F1249)+Summary!$B$55*(0)))+((C1250=TRUE)*F1250*IF(AND(Inputs!$B$38&lt;&gt;"pvp",Inputs!$B$43&gt;0),(((R1250-1)*(Skills!T15*(1+Inputs!$B$34/100))+MIN((Skills!T15*(1+Inputs!$B$34/100)),MAX(0,Inputs!$B$43-((R1250-1)*Skills!D15))))/Inputs!$B$43),IF(Inputs!$B$38="pvp",MIN((Skills!T15*(1+Inputs!$B$34/100)),15)/15,(Skills!T15*(1+Inputs!$B$34/100))/Skills!D15)))+((C1265=TRUE)*(F1265-Calc!F30)))/100)*I1237)</f>
        <v/>
      </c>
      <c r="L1237">
        <f>K1237*(MIN(Inputs!$B$22+((C1259=TRUE)*(F1259-Calc!F24)),Inputs!$B$23+((C1264=TRUE)*(F1264-Calc!F29)))/100+(Inputs!$B$23+((C1264=TRUE)*(F1264-Calc!F29)))/100)/2</f>
        <v/>
      </c>
      <c r="M1237">
        <f>L1237*(1+(Inputs!$B$10+0+B1273)/100)</f>
        <v/>
      </c>
      <c r="N1237">
        <f>L1237*(1-MIN((Inputs!$B$9+((C1255=TRUE)*(F1255-Calc!F20))+B1268),100)/100)+M1237*(MIN((Inputs!$B$9+((C1255=TRUE)*(F1255-Calc!F20))+B1268),100)/100)</f>
        <v/>
      </c>
      <c r="O1237">
        <f>IF(C1237,Skills!G2*N1237*B1272*IF(Inputs!$B$38="pvp",1,(1-Summary!$B$55)*(1)+Summary!$B$55*(MIN((6+Inputs!$B$33),Inputs!$B$37))),0)</f>
        <v/>
      </c>
      <c r="P1237">
        <f>IF(B1276=0,0,O1237/B1276)</f>
        <v/>
      </c>
      <c r="Q1237" t="n">
        <v>0</v>
      </c>
      <c r="R1237" t="n">
        <v>0</v>
      </c>
      <c r="S1237">
        <f>IFERROR(O1237/N1237,0)</f>
        <v/>
      </c>
      <c r="U1237">
        <f>MAX(0,(Inputs!$B$3-100)*3)+Inputs!$B$28+Inputs!$B$29</f>
        <v/>
      </c>
    </row>
    <row r="1238">
      <c r="A1238">
        <f>Skills!A3</f>
        <v/>
      </c>
      <c r="B1238">
        <f>Skills!B3</f>
        <v/>
      </c>
      <c r="C1238">
        <f>Inputs!$B$3&gt;=50</f>
        <v/>
      </c>
      <c r="D1238">
        <f>IF(Skills!C3=1,60+Inputs!$B$25+Inputs!$B$29,IF(Skills!C3=2,90+Inputs!$B$26+Inputs!$B$29,IF(Skills!C3=3,120+Inputs!$B$27+Inputs!$B$29,MAX(0,(Inputs!$B$3-100)*3)+Inputs!$B$28+Inputs!$B$29)))</f>
        <v/>
      </c>
      <c r="E1238">
        <f>INDEX(FactorTable!$B$2:$Y$301, MATCH(ROUND(MIN(300,MAX(1,D1238)),0), FactorTable!$A$2:$A$301,0), Skills!M3+1)</f>
        <v/>
      </c>
      <c r="F1238">
        <f>IF(Skills!N3=TRUE,(Skills!L3/10)*(E1238/1000),Skills!L3/10)+Skills!O3</f>
        <v/>
      </c>
      <c r="G1238" t="inlineStr"/>
      <c r="H1238" t="inlineStr"/>
      <c r="I1238" t="inlineStr">
        <is>
          <t>1</t>
        </is>
      </c>
      <c r="J1238" t="inlineStr"/>
      <c r="K1238" t="inlineStr"/>
      <c r="L1238" t="inlineStr"/>
      <c r="M1238" t="inlineStr"/>
      <c r="N1238" t="inlineStr"/>
      <c r="O1238" t="inlineStr"/>
      <c r="P1238" t="inlineStr"/>
      <c r="Q1238" t="inlineStr"/>
      <c r="R1238" t="inlineStr"/>
      <c r="S1238" t="inlineStr"/>
      <c r="U1238">
        <f>INDEX(FactorTable!$B$2:$Y$301, MATCH(ROUND(MIN(300,MAX(1,U1237)),0), FactorTable!$A$2:$A$301,0), 22)</f>
        <v/>
      </c>
    </row>
    <row r="1239">
      <c r="A1239">
        <f>Skills!A4</f>
        <v/>
      </c>
      <c r="B1239">
        <f>Skills!B4</f>
        <v/>
      </c>
      <c r="C1239">
        <f>Inputs!$B$3&gt;=105</f>
        <v/>
      </c>
      <c r="D1239">
        <f>IF(Skills!C4=1,60+Inputs!$B$25+Inputs!$B$29,IF(Skills!C4=2,90+Inputs!$B$26+Inputs!$B$29,IF(Skills!C4=3,120+Inputs!$B$27+Inputs!$B$29,MAX(0,(Inputs!$B$3-100)*3)+Inputs!$B$28+Inputs!$B$29)))</f>
        <v/>
      </c>
      <c r="E1239">
        <f>INDEX(FactorTable!$B$2:$Y$301, MATCH(ROUND(MIN(300,MAX(1,D1239)),0), FactorTable!$A$2:$A$301,0), Skills!M4+1)</f>
        <v/>
      </c>
      <c r="F1239">
        <f>IF(Skills!N4=TRUE,(Skills!L4/10)*(E1239/1000),Skills!L4/10)+Skills!O4</f>
        <v/>
      </c>
      <c r="G1239" t="inlineStr"/>
      <c r="H1239" t="inlineStr"/>
      <c r="I1239" t="inlineStr">
        <is>
          <t>1</t>
        </is>
      </c>
      <c r="J1239" t="inlineStr"/>
      <c r="K1239" t="inlineStr"/>
      <c r="L1239" t="inlineStr"/>
      <c r="M1239" t="inlineStr"/>
      <c r="N1239" t="inlineStr"/>
      <c r="O1239" t="inlineStr"/>
      <c r="P1239" t="inlineStr"/>
      <c r="Q1239" t="inlineStr"/>
      <c r="R1239" t="inlineStr"/>
      <c r="S1239" t="inlineStr"/>
      <c r="U1239">
        <f>290*U1238/1000</f>
        <v/>
      </c>
    </row>
    <row r="1240">
      <c r="A1240">
        <f>Skills!A5</f>
        <v/>
      </c>
      <c r="B1240">
        <f>Skills!B5</f>
        <v/>
      </c>
      <c r="C1240">
        <f>Inputs!$B$3&gt;=35</f>
        <v/>
      </c>
      <c r="D1240">
        <f>IF(Skills!C5=1,60+Inputs!$B$25+Inputs!$B$29,IF(Skills!C5=2,90+Inputs!$B$26+Inputs!$B$29,IF(Skills!C5=3,120+Inputs!$B$27+Inputs!$B$29,MAX(0,(Inputs!$B$3-100)*3)+Inputs!$B$28+Inputs!$B$29)))</f>
        <v/>
      </c>
      <c r="E1240">
        <f>INDEX(FactorTable!$B$2:$Y$301, MATCH(ROUND(MIN(300,MAX(1,D1240)),0), FactorTable!$A$2:$A$301,0), Skills!M5+1)</f>
        <v/>
      </c>
      <c r="F1240">
        <f>IF(Skills!N5=TRUE,(Skills!L5/10)*(E1240/1000),Skills!L5/10)+Skills!O5</f>
        <v/>
      </c>
      <c r="G1240">
        <f>Skills!G5*IF(Skills!H5&gt;0,Skills!I5/Skills!H5,1)</f>
        <v/>
      </c>
      <c r="H1240">
        <f>1-(1-Skills!J5/100)^Skills!K5</f>
        <v/>
      </c>
      <c r="I1240" t="inlineStr">
        <is>
          <t>1</t>
        </is>
      </c>
      <c r="J1240">
        <f>((Inputs!$B$6*(1+Inputs!$B$7/100))+(((Inputs!$B$12*(1+Inputs!$B$13/100))-(Inputs!$B$12*(1+Inputs!$B$13/100)))+0.25*(Inputs!$B$14-Inputs!$B$14))*(1+Inputs!$B$7/100))*(F1240/100)</f>
        <v/>
      </c>
      <c r="K1240">
        <f>J1240*(1+((Inputs!$B$12*(1+Inputs!$B$13/100))*0.01+Inputs!$B$14*0.0025)/100)*(1+Inputs!$B$15/100)*(1+IF(Inputs!$B$38="pvp",0,(1-Summary!$B$55)*(Inputs!$B$20+0+Skills!P5)+Summary!$B$55*(Inputs!$B$21+Skills!Q5))/100)*(1+Inputs!$B$16/100)*(5000/(6000+Inputs!$B$42*(1-(Inputs!$B$19+((C1262=TRUE)*(F1262-Calc!F27)))/100)))*(1+(Inputs!$B$24+((C1260=TRUE)*(F1260-Calc!F25))+((C1261=TRUE)*(F1261-Calc!F26))+B1274)/100)*(1+4.0*IF(C1245=TRUE,F1245,0)/100)*(1+(IF(Skills!A5="ARROW_STREAM",Inputs!$B$17+((C1258=TRUE)*(F1258-Calc!F23)),Inputs!$B$18+((C1263=TRUE)*(F1263-Calc!F28))))/100)*((1+(((C1248=TRUE)*F1248)+((C1249=TRUE)*IF(Inputs!$B$38="pvp",F1249,(1-Summary!$B$55)*(F1249)+Summary!$B$55*(0)))+((C1250=TRUE)*F1250*IF(AND(Inputs!$B$38&lt;&gt;"pvp",Inputs!$B$43&gt;0),(((R1250-1)*(Skills!T15*(1+Inputs!$B$34/100))+MIN((Skills!T15*(1+Inputs!$B$34/100)),MAX(0,Inputs!$B$43-((R1250-1)*Skills!D15))))/Inputs!$B$43),IF(Inputs!$B$38="pvp",MIN((Skills!T15*(1+Inputs!$B$34/100)),15)/15,(Skills!T15*(1+Inputs!$B$34/100))/Skills!D15)))+((C1265=TRUE)*(F1265-Calc!F30)))/100)*I1240)</f>
        <v/>
      </c>
      <c r="L1240">
        <f>K1240*(MIN(Inputs!$B$22+((C1259=TRUE)*(F1259-Calc!F24)),Inputs!$B$23+((C1264=TRUE)*(F1264-Calc!F29)))/100+(Inputs!$B$23+((C1264=TRUE)*(F1264-Calc!F29)))/100)/2</f>
        <v/>
      </c>
      <c r="M1240">
        <f>L1240*(1+(Inputs!$B$10+0+B1273)/100)</f>
        <v/>
      </c>
      <c r="N1240">
        <f>L1240*(1-MIN((Inputs!$B$9+((C1255=TRUE)*(F1255-Calc!F20))+B1268),100)/100)+M1240*(MIN((Inputs!$B$9+((C1255=TRUE)*(F1255-Calc!F20))+B1268),100)/100)</f>
        <v/>
      </c>
      <c r="O1240">
        <f>IF(C1240,H1240*N1240*IF(AND(Inputs!$B$38&lt;&gt;"pvp",Inputs!$B$43&gt;0),((Skills!G5*((R1240-1)*IF(Skills!H5&gt;0,Skills!I5/Skills!H5,1)+IF(Skills!H5&gt;0,MIN(Skills!I5,MAX(0,MAX(0,Inputs!$B$43-B1275)-((R1240-1)*IF(Inputs!$B$38="pvp",15,MAX(0.1,Skills!D5-IF(Skills!E5=TRUE,1.0,0))))))/Skills!H5,1)))/Inputs!$B$43),G1240*Q1240)*IF(Inputs!$B$38="pvp",1,(1-Summary!$B$55)*(1)+Summary!$B$55*(MIN(Skills!R5,Inputs!$B$37))),0)</f>
        <v/>
      </c>
      <c r="P1240">
        <f>IF(B1276=0,0,O1240/B1276)</f>
        <v/>
      </c>
      <c r="Q1240">
        <f>IFERROR(1/IF(Inputs!$B$38="pvp",15,MAX(0.1,Skills!D5-IF(Skills!E5=TRUE,1.0,0))),0)</f>
        <v/>
      </c>
      <c r="R1240">
        <f>IF(AND(Inputs!$B$38&lt;&gt;"pvp",Inputs!$B$43&gt;0),IF(MAX(0,Inputs!$B$43-B1275)&lt;=0,0,(INT(MAX(0,Inputs!$B$43-B1275)/IF(Inputs!$B$38="pvp",15,MAX(0.1,Skills!D5-IF(Skills!E5=TRUE,1.0,0))))+1)),0)</f>
        <v/>
      </c>
      <c r="S1240">
        <f>IFERROR(O1240/N1240,0)</f>
        <v/>
      </c>
    </row>
    <row r="1241">
      <c r="A1241">
        <f>Skills!A6</f>
        <v/>
      </c>
      <c r="B1241">
        <f>Skills!B6</f>
        <v/>
      </c>
      <c r="C1241">
        <f>Inputs!$B$3&gt;=40</f>
        <v/>
      </c>
      <c r="D1241">
        <f>IF(Skills!C6=1,60+Inputs!$B$25+Inputs!$B$29,IF(Skills!C6=2,90+Inputs!$B$26+Inputs!$B$29,IF(Skills!C6=3,120+Inputs!$B$27+Inputs!$B$29,MAX(0,(Inputs!$B$3-100)*3)+Inputs!$B$28+Inputs!$B$29)))</f>
        <v/>
      </c>
      <c r="E1241">
        <f>INDEX(FactorTable!$B$2:$Y$301, MATCH(ROUND(MIN(300,MAX(1,D1241)),0), FactorTable!$A$2:$A$301,0), Skills!M6+1)</f>
        <v/>
      </c>
      <c r="F1241">
        <f>IF(Skills!N6=TRUE,(Skills!L6/10)*(E1241/1000),Skills!L6/10)+Skills!O6</f>
        <v/>
      </c>
      <c r="G1241">
        <f>Skills!G6*IF(Skills!H6&gt;0,Skills!I6/Skills!H6,1)</f>
        <v/>
      </c>
      <c r="H1241">
        <f>1-(1-Skills!J6/100)^Skills!K6</f>
        <v/>
      </c>
      <c r="I1241" t="inlineStr">
        <is>
          <t>1</t>
        </is>
      </c>
      <c r="J1241">
        <f>((Inputs!$B$6*(1+Inputs!$B$7/100))+(((Inputs!$B$12*(1+Inputs!$B$13/100))-(Inputs!$B$12*(1+Inputs!$B$13/100)))+0.25*(Inputs!$B$14-Inputs!$B$14))*(1+Inputs!$B$7/100))*(F1241/100)</f>
        <v/>
      </c>
      <c r="K1241">
        <f>J1241*(1+((Inputs!$B$12*(1+Inputs!$B$13/100))*0.01+Inputs!$B$14*0.0025)/100)*(1+Inputs!$B$15/100)*(1+IF(Inputs!$B$38="pvp",0,(1-Summary!$B$55)*(Inputs!$B$20+0+Skills!P6)+Summary!$B$55*(Inputs!$B$21+Skills!Q6))/100)*(1+Inputs!$B$16/100)*(5000/(6000+Inputs!$B$42*(1-(Inputs!$B$19+((C1262=TRUE)*(F1262-Calc!F27)))/100)))*(1+(Inputs!$B$24+((C1260=TRUE)*(F1260-Calc!F25))+((C1261=TRUE)*(F1261-Calc!F26))+B1274)/100)*(1+IF(C1242=TRUE,F1242,0)/100)*(1+(IF(Skills!A6="ARROW_STREAM",Inputs!$B$17+((C1258=TRUE)*(F1258-Calc!F23)),Inputs!$B$18+((C1263=TRUE)*(F1263-Calc!F28))))/100)*((1+(((C1248=TRUE)*F1248)+((C1249=TRUE)*IF(Inputs!$B$38="pvp",F1249,(1-Summary!$B$55)*(F1249)+Summary!$B$55*(0)))+((C1250=TRUE)*F1250*IF(AND(Inputs!$B$38&lt;&gt;"pvp",Inputs!$B$43&gt;0),(((R1250-1)*(Skills!T15*(1+Inputs!$B$34/100))+MIN((Skills!T15*(1+Inputs!$B$34/100)),MAX(0,Inputs!$B$43-((R1250-1)*Skills!D15))))/Inputs!$B$43),IF(Inputs!$B$38="pvp",MIN((Skills!T15*(1+Inputs!$B$34/100)),15)/15,(Skills!T15*(1+Inputs!$B$34/100))/Skills!D15)))+((C1265=TRUE)*(F1265-Calc!F30)))/100)*I1241)</f>
        <v/>
      </c>
      <c r="L1241">
        <f>K1241*(MIN(Inputs!$B$22+((C1259=TRUE)*(F1259-Calc!F24)),Inputs!$B$23+((C1264=TRUE)*(F1264-Calc!F29)))/100+(Inputs!$B$23+((C1264=TRUE)*(F1264-Calc!F29)))/100)/2</f>
        <v/>
      </c>
      <c r="M1241">
        <f>L1241*(1+(Inputs!$B$10+0+B1273)/100)</f>
        <v/>
      </c>
      <c r="N1241">
        <f>L1241*(1-MIN((Inputs!$B$9+((C1255=TRUE)*(F1255-Calc!F20))+B1268),100)/100)+M1241*(MIN((Inputs!$B$9+((C1255=TRUE)*(F1255-Calc!F20))+B1268),100)/100)</f>
        <v/>
      </c>
      <c r="O1241">
        <f>IF(C1241,H1241*N1241*IF(AND(Inputs!$B$38&lt;&gt;"pvp",Inputs!$B$43&gt;0),((Skills!G6*((R1241-1)*IF(Skills!H6&gt;0,Skills!I6/Skills!H6,1)+IF(Skills!H6&gt;0,MIN(Skills!I6,MAX(0,MAX(0,Inputs!$B$43-B1275)-((R1241-1)*IF(Inputs!$B$38="pvp",15,MAX(0.1,Skills!D6-IF(Skills!E6=TRUE,1.0,0))))))/Skills!H6,1)))/Inputs!$B$43),G1241*Q1241)*IF(Inputs!$B$38="pvp",1,(1-Summary!$B$55)*(1)+Summary!$B$55*(MIN(Skills!R6,Inputs!$B$37))),0)</f>
        <v/>
      </c>
      <c r="P1241">
        <f>IF(B1276=0,0,O1241/B1276)</f>
        <v/>
      </c>
      <c r="Q1241">
        <f>IFERROR(1/IF(Inputs!$B$38="pvp",15,MAX(0.1,Skills!D6-IF(Skills!E6=TRUE,1.0,0))),0)</f>
        <v/>
      </c>
      <c r="R1241">
        <f>IF(AND(Inputs!$B$38&lt;&gt;"pvp",Inputs!$B$43&gt;0),IF(MAX(0,Inputs!$B$43-B1275)&lt;=0,0,(INT(MAX(0,Inputs!$B$43-B1275)/IF(Inputs!$B$38="pvp",15,MAX(0.1,Skills!D6-IF(Skills!E6=TRUE,1.0,0))))+1)),0)</f>
        <v/>
      </c>
      <c r="S1241">
        <f>IFERROR(O1241/N1241,0)</f>
        <v/>
      </c>
    </row>
    <row r="1242">
      <c r="A1242">
        <f>Skills!A7</f>
        <v/>
      </c>
      <c r="B1242">
        <f>Skills!B7</f>
        <v/>
      </c>
      <c r="C1242">
        <f>Inputs!$B$3&gt;=107</f>
        <v/>
      </c>
      <c r="D1242">
        <f>IF(Skills!C7=1,60+Inputs!$B$25+Inputs!$B$29,IF(Skills!C7=2,90+Inputs!$B$26+Inputs!$B$29,IF(Skills!C7=3,120+Inputs!$B$27+Inputs!$B$29,MAX(0,(Inputs!$B$3-100)*3)+Inputs!$B$28+Inputs!$B$29)))</f>
        <v/>
      </c>
      <c r="E1242">
        <f>INDEX(FactorTable!$B$2:$Y$301, MATCH(ROUND(MIN(300,MAX(1,D1242)),0), FactorTable!$A$2:$A$301,0), Skills!M7+1)</f>
        <v/>
      </c>
      <c r="F1242">
        <f>IF(Skills!N7=TRUE,(Skills!L7/10)*(E1242/1000),Skills!L7/10)+Skills!O7</f>
        <v/>
      </c>
      <c r="G1242" t="inlineStr"/>
      <c r="H1242" t="inlineStr"/>
      <c r="I1242" t="inlineStr">
        <is>
          <t>1</t>
        </is>
      </c>
      <c r="J1242" t="inlineStr"/>
      <c r="K1242" t="inlineStr"/>
      <c r="L1242" t="inlineStr"/>
      <c r="M1242" t="inlineStr"/>
      <c r="N1242" t="inlineStr"/>
      <c r="O1242" t="inlineStr"/>
      <c r="P1242" t="inlineStr"/>
      <c r="Q1242" t="inlineStr"/>
      <c r="R1242" t="inlineStr"/>
      <c r="S1242" t="inlineStr"/>
    </row>
    <row r="1243">
      <c r="A1243">
        <f>Skills!A8</f>
        <v/>
      </c>
      <c r="B1243">
        <f>Skills!B8</f>
        <v/>
      </c>
      <c r="C1243">
        <f>Inputs!$B$3&gt;=69</f>
        <v/>
      </c>
      <c r="D1243">
        <f>IF(Skills!C8=1,60+Inputs!$B$25+Inputs!$B$29,IF(Skills!C8=2,90+Inputs!$B$26+Inputs!$B$29,IF(Skills!C8=3,120+Inputs!$B$27+Inputs!$B$29,MAX(0,(Inputs!$B$3-100)*3)+Inputs!$B$28+Inputs!$B$29)))</f>
        <v/>
      </c>
      <c r="E1243">
        <f>INDEX(FactorTable!$B$2:$Y$301, MATCH(ROUND(MIN(300,MAX(1,D1243)),0), FactorTable!$A$2:$A$301,0), Skills!M8+1)</f>
        <v/>
      </c>
      <c r="F1243">
        <f>IF(Skills!N8=TRUE,(Skills!L8/10)*(E1243/1000),Skills!L8/10)+Skills!O8</f>
        <v/>
      </c>
      <c r="G1243">
        <f>Skills!G8*IF(Skills!H8&gt;0,Skills!I8/Skills!H8,1)</f>
        <v/>
      </c>
      <c r="H1243">
        <f>1-(1-Skills!J8/100)^Skills!K8</f>
        <v/>
      </c>
      <c r="I1243" t="inlineStr">
        <is>
          <t>1</t>
        </is>
      </c>
      <c r="J1243">
        <f>((Inputs!$B$6*(1+Inputs!$B$7/100))+(((Inputs!$B$12*(1+Inputs!$B$13/100))-(Inputs!$B$12*(1+Inputs!$B$13/100)))+0.25*(Inputs!$B$14-Inputs!$B$14))*(1+Inputs!$B$7/100))*(F1243/100)</f>
        <v/>
      </c>
      <c r="K1243">
        <f>J1243*(1+((Inputs!$B$12*(1+Inputs!$B$13/100))*0.01+Inputs!$B$14*0.0025)/100)*(1+Inputs!$B$15/100)*(1+IF(Inputs!$B$38="pvp",0,(1-Summary!$B$55)*(Inputs!$B$20+0+Skills!P8)+Summary!$B$55*(Inputs!$B$21+Skills!Q8))/100)*(1+Inputs!$B$16/100)*(5000/(6000+Inputs!$B$42*(1-(Inputs!$B$19+((C1262=TRUE)*(F1262-Calc!F27)))/100)))*(1+(Inputs!$B$24+((C1260=TRUE)*(F1260-Calc!F25))+((C1261=TRUE)*(F1261-Calc!F26))+B1274)/100)*(1+1.2*IF(C1245=TRUE,F1245,0)/100)*(1+(IF(Skills!A8="ARROW_STREAM",Inputs!$B$17+((C1258=TRUE)*(F1258-Calc!F23)),Inputs!$B$18+((C1263=TRUE)*(F1263-Calc!F28))))/100)*((1+(((C1248=TRUE)*F1248)+((C1249=TRUE)*IF(Inputs!$B$38="pvp",F1249,(1-Summary!$B$55)*(F1249)+Summary!$B$55*(0)))+((C1250=TRUE)*F1250*IF(AND(Inputs!$B$38&lt;&gt;"pvp",Inputs!$B$43&gt;0),(((R1250-1)*(Skills!T15*(1+Inputs!$B$34/100))+MIN((Skills!T15*(1+Inputs!$B$34/100)),MAX(0,Inputs!$B$43-((R1250-1)*Skills!D15))))/Inputs!$B$43),IF(Inputs!$B$38="pvp",MIN((Skills!T15*(1+Inputs!$B$34/100)),15)/15,(Skills!T15*(1+Inputs!$B$34/100))/Skills!D15)))+((C1265=TRUE)*(F1265-Calc!F30)))/100)*I1243)</f>
        <v/>
      </c>
      <c r="L1243">
        <f>K1243*(MIN(Inputs!$B$22+((C1259=TRUE)*(F1259-Calc!F24)),Inputs!$B$23+((C1264=TRUE)*(F1264-Calc!F29)))/100+(Inputs!$B$23+((C1264=TRUE)*(F1264-Calc!F29)))/100)/2</f>
        <v/>
      </c>
      <c r="M1243">
        <f>L1243*(1+(Inputs!$B$10+0+B1273)/100)</f>
        <v/>
      </c>
      <c r="N1243">
        <f>L1243*(1-MIN((Inputs!$B$9+((C1255=TRUE)*(F1255-Calc!F20))+B1268),100)/100)+M1243*(MIN((Inputs!$B$9+((C1255=TRUE)*(F1255-Calc!F20))+B1268),100)/100)</f>
        <v/>
      </c>
      <c r="O1243">
        <f>IF(C1243,H1243*N1243*IF(AND(Inputs!$B$38&lt;&gt;"pvp",Inputs!$B$43&gt;0),((Skills!G8*((R1243-1)*IF(Skills!H8&gt;0,Skills!I8/Skills!H8,1)+IF(Skills!H8&gt;0,MIN(Skills!I8,MAX(0,MAX(0,Inputs!$B$43-B1275)-((R1243-1)*IF(Inputs!$B$38="pvp",15,MAX(0.1,Skills!D8-IF(Skills!E8=TRUE,1.0,0))))))/Skills!H8,1)))/Inputs!$B$43),G1243*Q1243)*IF(Inputs!$B$38="pvp",1,(1-Summary!$B$55)*(1)+Summary!$B$55*(MIN(Skills!R8,Inputs!$B$37))),0)</f>
        <v/>
      </c>
      <c r="P1243">
        <f>IF(B1276=0,0,O1243/B1276)</f>
        <v/>
      </c>
      <c r="Q1243">
        <f>IFERROR(1/IF(Inputs!$B$38="pvp",15,MAX(0.1,Skills!D8-IF(Skills!E8=TRUE,1.0,0))),0)</f>
        <v/>
      </c>
      <c r="R1243">
        <f>IF(AND(Inputs!$B$38&lt;&gt;"pvp",Inputs!$B$43&gt;0),IF(MAX(0,Inputs!$B$43-B1275)&lt;=0,0,(INT(MAX(0,Inputs!$B$43-B1275)/IF(Inputs!$B$38="pvp",15,MAX(0.1,Skills!D8-IF(Skills!E8=TRUE,1.0,0))))+1)),0)</f>
        <v/>
      </c>
      <c r="S1243">
        <f>IFERROR(O1243/N1243,0)</f>
        <v/>
      </c>
    </row>
    <row r="1244">
      <c r="A1244">
        <f>Skills!A9</f>
        <v/>
      </c>
      <c r="B1244">
        <f>Skills!B9</f>
        <v/>
      </c>
      <c r="C1244">
        <f>Inputs!$B$3&gt;=63</f>
        <v/>
      </c>
      <c r="D1244">
        <f>IF(Skills!C9=1,60+Inputs!$B$25+Inputs!$B$29,IF(Skills!C9=2,90+Inputs!$B$26+Inputs!$B$29,IF(Skills!C9=3,120+Inputs!$B$27+Inputs!$B$29,MAX(0,(Inputs!$B$3-100)*3)+Inputs!$B$28+Inputs!$B$29)))</f>
        <v/>
      </c>
      <c r="E1244">
        <f>INDEX(FactorTable!$B$2:$Y$301, MATCH(ROUND(MIN(300,MAX(1,D1244)),0), FactorTable!$A$2:$A$301,0), Skills!M9+1)</f>
        <v/>
      </c>
      <c r="F1244">
        <f>IF(Skills!N9=TRUE,(Skills!L9/10)*(E1244/1000),Skills!L9/10)+Skills!O9</f>
        <v/>
      </c>
      <c r="G1244">
        <f>Skills!G9*IF(Skills!H9&gt;0,Skills!I9/Skills!H9,1)</f>
        <v/>
      </c>
      <c r="H1244">
        <f>1-(1-Skills!J9/100)^Skills!K9</f>
        <v/>
      </c>
      <c r="I1244" t="inlineStr">
        <is>
          <t>1</t>
        </is>
      </c>
      <c r="J1244">
        <f>((Inputs!$B$6*(1+Inputs!$B$7/100))+(((Inputs!$B$12*(1+Inputs!$B$13/100))-(Inputs!$B$12*(1+Inputs!$B$13/100)))+0.25*(Inputs!$B$14-Inputs!$B$14))*(1+Inputs!$B$7/100))*(F1244/100)</f>
        <v/>
      </c>
      <c r="K1244">
        <f>J1244*(1+((Inputs!$B$12*(1+Inputs!$B$13/100))*0.01+Inputs!$B$14*0.0025)/100)*(1+Inputs!$B$15/100)*(1+IF(Inputs!$B$38="pvp",0,(1-Summary!$B$55)*(Inputs!$B$20+0+Skills!P9)+Summary!$B$55*(Inputs!$B$21+Skills!Q9))/100)*(1+Inputs!$B$16/100)*(5000/(6000+Inputs!$B$42*(1-(Inputs!$B$19+((C1262=TRUE)*(F1262-Calc!F27)))/100)))*(1+(Inputs!$B$24+((C1260=TRUE)*(F1260-Calc!F25))+((C1261=TRUE)*(F1261-Calc!F26))+B1274)/100)*(1+1.0*IF(C1245=TRUE,F1245,0)/100)*(1+(IF(Skills!A9="ARROW_STREAM",Inputs!$B$17+((C1258=TRUE)*(F1258-Calc!F23)),Inputs!$B$18+((C1263=TRUE)*(F1263-Calc!F28))))/100)*((1+(((C1248=TRUE)*F1248)+((C1249=TRUE)*IF(Inputs!$B$38="pvp",F1249,(1-Summary!$B$55)*(F1249)+Summary!$B$55*(0)))+((C1250=TRUE)*F1250*IF(AND(Inputs!$B$38&lt;&gt;"pvp",Inputs!$B$43&gt;0),(((R1250-1)*(Skills!T15*(1+Inputs!$B$34/100))+MIN((Skills!T15*(1+Inputs!$B$34/100)),MAX(0,Inputs!$B$43-((R1250-1)*Skills!D15))))/Inputs!$B$43),IF(Inputs!$B$38="pvp",MIN((Skills!T15*(1+Inputs!$B$34/100)),15)/15,(Skills!T15*(1+Inputs!$B$34/100))/Skills!D15)))+((C1265=TRUE)*(F1265-Calc!F30)))/100)*I1244)</f>
        <v/>
      </c>
      <c r="L1244">
        <f>K1244*(MIN(Inputs!$B$22+((C1259=TRUE)*(F1259-Calc!F24)),Inputs!$B$23+((C1264=TRUE)*(F1264-Calc!F29)))/100+(Inputs!$B$23+((C1264=TRUE)*(F1264-Calc!F29)))/100)/2</f>
        <v/>
      </c>
      <c r="M1244">
        <f>L1244*(1+(Inputs!$B$10+0+B1273)/100)</f>
        <v/>
      </c>
      <c r="N1244">
        <f>L1244*(1-MIN((Inputs!$B$9+((C1255=TRUE)*(F1255-Calc!F20))+B1268),100)/100)+M1244*(MIN((Inputs!$B$9+((C1255=TRUE)*(F1255-Calc!F20))+B1268),100)/100)</f>
        <v/>
      </c>
      <c r="O1244">
        <f>IF(C1244,H1244*N1244*IF(AND(Inputs!$B$38&lt;&gt;"pvp",Inputs!$B$43&gt;0),((Skills!G9*((R1244-1)*IF(Skills!H9&gt;0,Skills!I9/Skills!H9,1)+IF(Skills!H9&gt;0,MIN(Skills!I9,MAX(0,MAX(0,Inputs!$B$43-B1275)-((R1244-1)*IF(Inputs!$B$38="pvp",15,MAX(0.1,Skills!D9-IF(Skills!E9=TRUE,1.0,0))))))/Skills!H9,1)))/Inputs!$B$43),G1244*Q1244)*IF(Inputs!$B$38="pvp",1,(1-Summary!$B$55)*(1)+Summary!$B$55*(MIN(Skills!R9,Inputs!$B$37))),0)</f>
        <v/>
      </c>
      <c r="P1244">
        <f>IF(B1276=0,0,O1244/B1276)</f>
        <v/>
      </c>
      <c r="Q1244">
        <f>IFERROR(1/IF(Inputs!$B$38="pvp",15,MAX(0.1,Skills!D9-IF(Skills!E9=TRUE,1.0,0))),0)</f>
        <v/>
      </c>
      <c r="R1244">
        <f>IF(AND(Inputs!$B$38&lt;&gt;"pvp",Inputs!$B$43&gt;0),IF(MAX(0,Inputs!$B$43-B1275)&lt;=0,0,(INT(MAX(0,Inputs!$B$43-B1275)/IF(Inputs!$B$38="pvp",15,MAX(0.1,Skills!D9-IF(Skills!E9=TRUE,1.0,0))))+1)),0)</f>
        <v/>
      </c>
      <c r="S1244">
        <f>IFERROR(O1244/N1244,0)</f>
        <v/>
      </c>
    </row>
    <row r="1245">
      <c r="A1245">
        <f>Skills!A10</f>
        <v/>
      </c>
      <c r="B1245">
        <f>Skills!B10</f>
        <v/>
      </c>
      <c r="C1245">
        <f>Inputs!$B$3&gt;=100</f>
        <v/>
      </c>
      <c r="D1245">
        <f>IF(Skills!C10=1,60+Inputs!$B$25+Inputs!$B$29,IF(Skills!C10=2,90+Inputs!$B$26+Inputs!$B$29,IF(Skills!C10=3,120+Inputs!$B$27+Inputs!$B$29,MAX(0,(Inputs!$B$3-100)*3)+Inputs!$B$28+Inputs!$B$29)))</f>
        <v/>
      </c>
      <c r="E1245">
        <f>INDEX(FactorTable!$B$2:$Y$301, MATCH(ROUND(MIN(300,MAX(1,D1245)),0), FactorTable!$A$2:$A$301,0), Skills!M10+1)</f>
        <v/>
      </c>
      <c r="F1245">
        <f>IF(Skills!N10=TRUE,(Skills!L10/10)*(E1245/1000),Skills!L10/10)+Skills!O10</f>
        <v/>
      </c>
      <c r="G1245" t="inlineStr"/>
      <c r="H1245" t="inlineStr"/>
      <c r="I1245" t="inlineStr">
        <is>
          <t>1</t>
        </is>
      </c>
      <c r="J1245" t="inlineStr"/>
      <c r="K1245" t="inlineStr"/>
      <c r="L1245" t="inlineStr"/>
      <c r="M1245" t="inlineStr"/>
      <c r="N1245" t="inlineStr"/>
      <c r="O1245" t="inlineStr"/>
      <c r="P1245" t="inlineStr"/>
      <c r="Q1245" t="inlineStr"/>
      <c r="R1245" t="inlineStr"/>
      <c r="S1245" t="inlineStr"/>
    </row>
    <row r="1246">
      <c r="A1246">
        <f>Skills!A11</f>
        <v/>
      </c>
      <c r="B1246">
        <f>Skills!B11</f>
        <v/>
      </c>
      <c r="C1246">
        <f>Inputs!$B$3&gt;=60</f>
        <v/>
      </c>
      <c r="D1246">
        <f>IF(Skills!C11=1,60+Inputs!$B$25+Inputs!$B$29,IF(Skills!C11=2,90+Inputs!$B$26+Inputs!$B$29,IF(Skills!C11=3,120+Inputs!$B$27+Inputs!$B$29,MAX(0,(Inputs!$B$3-100)*3)+Inputs!$B$28+Inputs!$B$29)))</f>
        <v/>
      </c>
      <c r="E1246">
        <f>INDEX(FactorTable!$B$2:$Y$301, MATCH(ROUND(MIN(300,MAX(1,D1246)),0), FactorTable!$A$2:$A$301,0), Skills!M11+1)</f>
        <v/>
      </c>
      <c r="F1246">
        <f>IF(Skills!N11=TRUE,(Skills!L11/10)*(E1246/1000),Skills!L11/10)+Skills!O11</f>
        <v/>
      </c>
      <c r="G1246">
        <f>Skills!G11*IF(Skills!H11&gt;0,Skills!I11/Skills!H11,1)</f>
        <v/>
      </c>
      <c r="H1246">
        <f>1-(1-Skills!J11/100)^Skills!K11</f>
        <v/>
      </c>
      <c r="I1246" t="inlineStr">
        <is>
          <t>1</t>
        </is>
      </c>
      <c r="J1246">
        <f>((Inputs!$B$6*(1+Inputs!$B$7/100))+(((Inputs!$B$12*(1+Inputs!$B$13/100))-(Inputs!$B$12*(1+Inputs!$B$13/100)))+0.25*(Inputs!$B$14-Inputs!$B$14))*(1+Inputs!$B$7/100))*(F1246/100)</f>
        <v/>
      </c>
      <c r="K1246">
        <f>J1246*(1+((Inputs!$B$12*(1+Inputs!$B$13/100))*0.01+Inputs!$B$14*0.0025)/100)*(1+Inputs!$B$15/100)*(1+IF(Inputs!$B$38="pvp",0,(1-Summary!$B$55)*(Inputs!$B$20+0+Skills!P11)+Summary!$B$55*(Inputs!$B$21+Skills!Q11))/100)*(1+Inputs!$B$16/100)*(5000/(6000+Inputs!$B$42*(1-(Inputs!$B$19+((C1262=TRUE)*(F1262-Calc!F27)))/100)))*(1+(Inputs!$B$24+((C1260=TRUE)*(F1260-Calc!F25))+((C1261=TRUE)*(F1261-Calc!F26))+B1274)/100)*(1+IF(C1247=TRUE,F1247,0)/100)*(1+(IF(Skills!A11="ARROW_STREAM",Inputs!$B$17+((C1258=TRUE)*(F1258-Calc!F23)),Inputs!$B$18+((C1263=TRUE)*(F1263-Calc!F28))))/100)*((1+(((C1248=TRUE)*F1248)+((C1249=TRUE)*IF(Inputs!$B$38="pvp",F1249,(1-Summary!$B$55)*(F1249)+Summary!$B$55*(0)))+((C1250=TRUE)*F1250*IF(AND(Inputs!$B$38&lt;&gt;"pvp",Inputs!$B$43&gt;0),(((R1250-1)*(Skills!T15*(1+Inputs!$B$34/100))+MIN((Skills!T15*(1+Inputs!$B$34/100)),MAX(0,Inputs!$B$43-((R1250-1)*Skills!D15))))/Inputs!$B$43),IF(Inputs!$B$38="pvp",MIN((Skills!T15*(1+Inputs!$B$34/100)),15)/15,(Skills!T15*(1+Inputs!$B$34/100))/Skills!D15)))+((C1265=TRUE)*(F1265-Calc!F30)))/100)*I1246)</f>
        <v/>
      </c>
      <c r="L1246">
        <f>K1246*(MIN(Inputs!$B$22+((C1259=TRUE)*(F1259-Calc!F24)),Inputs!$B$23+((C1264=TRUE)*(F1264-Calc!F29)))/100+(Inputs!$B$23+((C1264=TRUE)*(F1264-Calc!F29)))/100)/2</f>
        <v/>
      </c>
      <c r="M1246">
        <f>L1246*(1+(Inputs!$B$10+0+B1273)/100)</f>
        <v/>
      </c>
      <c r="N1246">
        <f>L1246*(1-MIN((Inputs!$B$9+((C1255=TRUE)*(F1255-Calc!F20))+B1268),100)/100)+M1246*(MIN((Inputs!$B$9+((C1255=TRUE)*(F1255-Calc!F20))+B1268),100)/100)</f>
        <v/>
      </c>
      <c r="O1246">
        <f>IF(C1246,H1246*N1246*IF(AND(Inputs!$B$38&lt;&gt;"pvp",Inputs!$B$43&gt;0),((Skills!G11*((R1246-1)*IF(Skills!H11&gt;0,Skills!I11/Skills!H11,1)+IF(Skills!H11&gt;0,MIN(Skills!I11,MAX(0,MAX(0,Inputs!$B$43-B1275)-((R1246-1)*IF(Inputs!$B$38="pvp",15,MAX(0.1,Skills!D11-IF(Skills!E11=TRUE,1.0,0))))))/Skills!H11,1)))/Inputs!$B$43),G1246*Q1246)*IF(Inputs!$B$38="pvp",1,(1-Summary!$B$55)*(1)+Summary!$B$55*(MIN(Skills!R11,Inputs!$B$37))),0)</f>
        <v/>
      </c>
      <c r="P1246">
        <f>IF(B1276=0,0,O1246/B1276)</f>
        <v/>
      </c>
      <c r="Q1246">
        <f>IFERROR(1/IF(Inputs!$B$38="pvp",15,MAX(0.1,Skills!D11-IF(Skills!E11=TRUE,1.0,0))),0)</f>
        <v/>
      </c>
      <c r="R1246">
        <f>IF(AND(Inputs!$B$38&lt;&gt;"pvp",Inputs!$B$43&gt;0),IF(MAX(0,Inputs!$B$43-B1275)&lt;=0,0,(INT(MAX(0,Inputs!$B$43-B1275)/IF(Inputs!$B$38="pvp",15,MAX(0.1,Skills!D11-IF(Skills!E11=TRUE,1.0,0))))+1)),0)</f>
        <v/>
      </c>
      <c r="S1246">
        <f>IFERROR(O1246/N1246,0)</f>
        <v/>
      </c>
    </row>
    <row r="1247">
      <c r="A1247">
        <f>Skills!A12</f>
        <v/>
      </c>
      <c r="B1247">
        <f>Skills!B12</f>
        <v/>
      </c>
      <c r="C1247">
        <f>Inputs!$B$3&gt;=110</f>
        <v/>
      </c>
      <c r="D1247">
        <f>IF(Skills!C12=1,60+Inputs!$B$25+Inputs!$B$29,IF(Skills!C12=2,90+Inputs!$B$26+Inputs!$B$29,IF(Skills!C12=3,120+Inputs!$B$27+Inputs!$B$29,MAX(0,(Inputs!$B$3-100)*3)+Inputs!$B$28+Inputs!$B$29)))</f>
        <v/>
      </c>
      <c r="E1247">
        <f>INDEX(FactorTable!$B$2:$Y$301, MATCH(ROUND(MIN(300,MAX(1,D1247)),0), FactorTable!$A$2:$A$301,0), Skills!M12+1)</f>
        <v/>
      </c>
      <c r="F1247">
        <f>IF(Skills!N12=TRUE,(Skills!L12/10)*(E1247/1000),Skills!L12/10)+Skills!O12</f>
        <v/>
      </c>
      <c r="G1247" t="inlineStr"/>
      <c r="H1247" t="inlineStr"/>
      <c r="I1247" t="inlineStr">
        <is>
          <t>1</t>
        </is>
      </c>
      <c r="J1247" t="inlineStr"/>
      <c r="K1247" t="inlineStr"/>
      <c r="L1247" t="inlineStr"/>
      <c r="M1247" t="inlineStr"/>
      <c r="N1247" t="inlineStr"/>
      <c r="O1247" t="inlineStr"/>
      <c r="P1247" t="inlineStr"/>
      <c r="Q1247" t="inlineStr"/>
      <c r="R1247" t="inlineStr"/>
      <c r="S1247" t="inlineStr"/>
    </row>
    <row r="1248">
      <c r="A1248">
        <f>Skills!A13</f>
        <v/>
      </c>
      <c r="B1248">
        <f>Skills!B13</f>
        <v/>
      </c>
      <c r="C1248">
        <f>Inputs!$B$3&gt;=74</f>
        <v/>
      </c>
      <c r="D1248">
        <f>IF(Skills!C13=1,60+Inputs!$B$25+Inputs!$B$29,IF(Skills!C13=2,90+Inputs!$B$26+Inputs!$B$29,IF(Skills!C13=3,120+Inputs!$B$27+Inputs!$B$29,MAX(0,(Inputs!$B$3-100)*3)+Inputs!$B$28+Inputs!$B$29)))</f>
        <v/>
      </c>
      <c r="E1248">
        <f>INDEX(FactorTable!$B$2:$Y$301, MATCH(ROUND(MIN(300,MAX(1,D1248)),0), FactorTable!$A$2:$A$301,0), Skills!M13+1)</f>
        <v/>
      </c>
      <c r="F1248">
        <f>IF(Skills!N13=TRUE,(Skills!L13/10)*(E1248/1000),Skills!L13/10)+Skills!O13</f>
        <v/>
      </c>
      <c r="G1248">
        <f>Skills!G13*IF(Skills!H13&gt;0,Skills!I13/Skills!H13,1)</f>
        <v/>
      </c>
      <c r="H1248">
        <f>1-(1-Skills!J13/100)^Skills!K13</f>
        <v/>
      </c>
      <c r="I1248" t="inlineStr">
        <is>
          <t>1</t>
        </is>
      </c>
      <c r="J1248" t="inlineStr"/>
      <c r="K1248" t="inlineStr"/>
      <c r="L1248" t="inlineStr"/>
      <c r="M1248" t="inlineStr"/>
      <c r="N1248" t="inlineStr"/>
      <c r="O1248" t="n">
        <v>0</v>
      </c>
      <c r="P1248">
        <f>IF(B1276=0,0,O1248/B1276)</f>
        <v/>
      </c>
      <c r="Q1248" t="n">
        <v>0</v>
      </c>
      <c r="R1248" t="n">
        <v>0</v>
      </c>
      <c r="S1248">
        <f>IFERROR(O1248/N1248,0)</f>
        <v/>
      </c>
    </row>
    <row r="1249">
      <c r="A1249">
        <f>Skills!A14</f>
        <v/>
      </c>
      <c r="B1249">
        <f>Skills!B14</f>
        <v/>
      </c>
      <c r="C1249">
        <f>Inputs!$B$3&gt;=74</f>
        <v/>
      </c>
      <c r="D1249">
        <f>IF(Skills!C14=1,60+Inputs!$B$25+Inputs!$B$29,IF(Skills!C14=2,90+Inputs!$B$26+Inputs!$B$29,IF(Skills!C14=3,120+Inputs!$B$27+Inputs!$B$29,MAX(0,(Inputs!$B$3-100)*3)+Inputs!$B$28+Inputs!$B$29)))</f>
        <v/>
      </c>
      <c r="E1249">
        <f>INDEX(FactorTable!$B$2:$Y$301, MATCH(ROUND(MIN(300,MAX(1,D1249)),0), FactorTable!$A$2:$A$301,0), Skills!M14+1)</f>
        <v/>
      </c>
      <c r="F1249">
        <f>IF(Skills!N14=TRUE,(Skills!L14/10)*(E1249/1000),Skills!L14/10)+Skills!O14</f>
        <v/>
      </c>
      <c r="G1249">
        <f>Skills!G14*IF(Skills!H14&gt;0,Skills!I14/Skills!H14,1)</f>
        <v/>
      </c>
      <c r="H1249">
        <f>1-(1-Skills!J14/100)^Skills!K14</f>
        <v/>
      </c>
      <c r="I1249" t="inlineStr">
        <is>
          <t>1</t>
        </is>
      </c>
      <c r="J1249" t="inlineStr"/>
      <c r="K1249" t="inlineStr"/>
      <c r="L1249" t="inlineStr"/>
      <c r="M1249" t="inlineStr"/>
      <c r="N1249" t="inlineStr"/>
      <c r="O1249" t="n">
        <v>0</v>
      </c>
      <c r="P1249">
        <f>IF(B1276=0,0,O1249/B1276)</f>
        <v/>
      </c>
      <c r="Q1249" t="n">
        <v>0</v>
      </c>
      <c r="R1249" t="n">
        <v>0</v>
      </c>
      <c r="S1249">
        <f>IFERROR(O1249/N1249,0)</f>
        <v/>
      </c>
    </row>
    <row r="1250">
      <c r="A1250">
        <f>Skills!A15</f>
        <v/>
      </c>
      <c r="B1250">
        <f>Skills!B15</f>
        <v/>
      </c>
      <c r="C1250">
        <f>Inputs!$B$3&gt;=117</f>
        <v/>
      </c>
      <c r="D1250">
        <f>IF(Skills!C15=1,60+Inputs!$B$25+Inputs!$B$29,IF(Skills!C15=2,90+Inputs!$B$26+Inputs!$B$29,IF(Skills!C15=3,120+Inputs!$B$27+Inputs!$B$29,MAX(0,(Inputs!$B$3-100)*3)+Inputs!$B$28+Inputs!$B$29)))</f>
        <v/>
      </c>
      <c r="E1250">
        <f>INDEX(FactorTable!$B$2:$Y$301, MATCH(ROUND(MIN(300,MAX(1,D1250)),0), FactorTable!$A$2:$A$301,0), Skills!M15+1)</f>
        <v/>
      </c>
      <c r="F1250">
        <f>IF(Skills!N15=TRUE,(Skills!L15/10)*(E1250/1000),Skills!L15/10)+Skills!O15</f>
        <v/>
      </c>
      <c r="G1250">
        <f>Skills!G15*IF(Skills!H15&gt;0,Skills!I15/Skills!H15,1)</f>
        <v/>
      </c>
      <c r="H1250">
        <f>1-(1-Skills!J15/100)^Skills!K15</f>
        <v/>
      </c>
      <c r="I1250" t="inlineStr">
        <is>
          <t>1</t>
        </is>
      </c>
      <c r="J1250" t="inlineStr"/>
      <c r="K1250" t="inlineStr"/>
      <c r="L1250" t="inlineStr"/>
      <c r="M1250" t="inlineStr"/>
      <c r="N1250" t="inlineStr"/>
      <c r="O1250" t="n">
        <v>0</v>
      </c>
      <c r="P1250">
        <f>IF(B1276=0,0,O1250/B1276)</f>
        <v/>
      </c>
      <c r="Q1250">
        <f>IFERROR(1/IF(Inputs!$B$38="pvp",15,MAX(0.1,Skills!D15-IF(Skills!E15=TRUE,1.0,0))),0)</f>
        <v/>
      </c>
      <c r="R1250">
        <f>IF(AND(Inputs!$B$38&lt;&gt;"pvp",Inputs!$B$43&gt;0),IF(Inputs!$B$43&lt;=0,0,(INT(Inputs!$B$43/IF(Inputs!$B$38="pvp",15,MAX(0.1,Skills!D15-IF(Skills!E15=TRUE,1.0,0))))+1)),0)</f>
        <v/>
      </c>
      <c r="S1250">
        <f>IFERROR(O1250/N1250,0)</f>
        <v/>
      </c>
    </row>
    <row r="1251">
      <c r="A1251">
        <f>Skills!A16</f>
        <v/>
      </c>
      <c r="B1251">
        <f>Skills!B16</f>
        <v/>
      </c>
      <c r="C1251">
        <f>Inputs!$B$3&gt;=115</f>
        <v/>
      </c>
      <c r="D1251">
        <f>IF(Skills!C16=1,60+Inputs!$B$25+Inputs!$B$29,IF(Skills!C16=2,90+Inputs!$B$26+Inputs!$B$29,IF(Skills!C16=3,120+Inputs!$B$27+Inputs!$B$29,MAX(0,(Inputs!$B$3-100)*3)+Inputs!$B$28+Inputs!$B$29)))</f>
        <v/>
      </c>
      <c r="E1251">
        <f>INDEX(FactorTable!$B$2:$Y$301, MATCH(ROUND(MIN(300,MAX(1,D1251)),0), FactorTable!$A$2:$A$301,0), Skills!M16+1)</f>
        <v/>
      </c>
      <c r="F1251">
        <f>IF(Skills!N16=TRUE,(Skills!L16/10)*(E1251/1000),Skills!L16/10)+Skills!O16</f>
        <v/>
      </c>
      <c r="G1251">
        <f>Skills!G16*IF(Skills!H16&gt;0,Skills!I16/Skills!H16,1)</f>
        <v/>
      </c>
      <c r="H1251">
        <f>1-(1-Skills!J16/100)^Skills!K16</f>
        <v/>
      </c>
      <c r="I1251" t="inlineStr">
        <is>
          <t>1</t>
        </is>
      </c>
      <c r="J1251" t="inlineStr"/>
      <c r="K1251" t="inlineStr"/>
      <c r="L1251" t="inlineStr"/>
      <c r="M1251" t="inlineStr"/>
      <c r="N1251" t="inlineStr"/>
      <c r="O1251" t="n">
        <v>0</v>
      </c>
      <c r="P1251">
        <f>IF(B1276=0,0,O1251/B1276)</f>
        <v/>
      </c>
      <c r="Q1251">
        <f>IFERROR(1/IF(Inputs!$B$38="pvp",15,MAX(0.1,Skills!D16-IF(Skills!E16=TRUE,1.0,0))),0)</f>
        <v/>
      </c>
      <c r="R1251">
        <f>IF(AND(Inputs!$B$38&lt;&gt;"pvp",Inputs!$B$43&gt;0),IF(Inputs!$B$43&lt;=0,0,(INT(Inputs!$B$43/IF(Inputs!$B$38="pvp",15,MAX(0.1,Skills!D16-IF(Skills!E16=TRUE,1.0,0))))+1)),0)</f>
        <v/>
      </c>
      <c r="S1251">
        <f>IFERROR(O1251/N1251,0)</f>
        <v/>
      </c>
    </row>
    <row r="1252">
      <c r="A1252">
        <f>Skills!A17</f>
        <v/>
      </c>
      <c r="B1252">
        <f>Skills!B17</f>
        <v/>
      </c>
      <c r="C1252">
        <f>Inputs!$B$3&gt;=66</f>
        <v/>
      </c>
      <c r="D1252">
        <f>IF(Skills!C17=1,60+Inputs!$B$25+Inputs!$B$29,IF(Skills!C17=2,90+Inputs!$B$26+Inputs!$B$29,IF(Skills!C17=3,120+Inputs!$B$27+Inputs!$B$29,MAX(0,(Inputs!$B$3-100)*3)+Inputs!$B$28+Inputs!$B$29)))</f>
        <v/>
      </c>
      <c r="E1252">
        <f>INDEX(FactorTable!$B$2:$Y$301, MATCH(ROUND(MIN(300,MAX(1,D1252)),0), FactorTable!$A$2:$A$301,0), Skills!M17+1)</f>
        <v/>
      </c>
      <c r="F1252">
        <f>IF(Skills!N17=TRUE,(Skills!L17/10)*(E1252/1000),Skills!L17/10)+Skills!O17</f>
        <v/>
      </c>
      <c r="G1252">
        <f>Skills!G17*IF(Skills!H17&gt;0,Skills!I17/Skills!H17,1)</f>
        <v/>
      </c>
      <c r="H1252">
        <f>1-(1-Skills!J17/100)^Skills!K17</f>
        <v/>
      </c>
      <c r="I1252" t="inlineStr">
        <is>
          <t>1</t>
        </is>
      </c>
      <c r="J1252" t="inlineStr"/>
      <c r="K1252" t="inlineStr"/>
      <c r="L1252" t="inlineStr"/>
      <c r="M1252" t="inlineStr"/>
      <c r="N1252" t="inlineStr"/>
      <c r="O1252" t="n">
        <v>0</v>
      </c>
      <c r="P1252">
        <f>IF(B1276=0,0,O1252/B1276)</f>
        <v/>
      </c>
      <c r="Q1252" t="n">
        <v>0</v>
      </c>
      <c r="R1252" t="n">
        <v>0</v>
      </c>
      <c r="S1252">
        <f>IFERROR(O1252/N1252,0)</f>
        <v/>
      </c>
    </row>
    <row r="1253">
      <c r="A1253">
        <f>Skills!A18</f>
        <v/>
      </c>
      <c r="B1253">
        <f>Skills!B18</f>
        <v/>
      </c>
      <c r="C1253">
        <f>Inputs!$B$3&gt;=72</f>
        <v/>
      </c>
      <c r="D1253">
        <f>IF(Skills!C18=1,60+Inputs!$B$25+Inputs!$B$29,IF(Skills!C18=2,90+Inputs!$B$26+Inputs!$B$29,IF(Skills!C18=3,120+Inputs!$B$27+Inputs!$B$29,MAX(0,(Inputs!$B$3-100)*3)+Inputs!$B$28+Inputs!$B$29)))</f>
        <v/>
      </c>
      <c r="E1253">
        <f>INDEX(FactorTable!$B$2:$Y$301, MATCH(ROUND(MIN(300,MAX(1,D1253)),0), FactorTable!$A$2:$A$301,0), Skills!M18+1)</f>
        <v/>
      </c>
      <c r="F1253">
        <f>IF(Skills!N18=TRUE,(Skills!L18/10)*(E1253/1000),Skills!L18/10)+Skills!O18</f>
        <v/>
      </c>
      <c r="G1253">
        <f>Skills!G18*IF(Skills!H18&gt;0,Skills!I18/Skills!H18,1)</f>
        <v/>
      </c>
      <c r="H1253">
        <f>1-(1-Skills!J18/100)^Skills!K18</f>
        <v/>
      </c>
      <c r="I1253" t="inlineStr">
        <is>
          <t>1</t>
        </is>
      </c>
      <c r="J1253" t="inlineStr"/>
      <c r="K1253" t="inlineStr"/>
      <c r="L1253" t="inlineStr"/>
      <c r="M1253" t="inlineStr"/>
      <c r="N1253" t="inlineStr"/>
      <c r="O1253" t="n">
        <v>0</v>
      </c>
      <c r="P1253">
        <f>IF(B1276=0,0,O1253/B1276)</f>
        <v/>
      </c>
      <c r="Q1253" t="n">
        <v>0</v>
      </c>
      <c r="R1253" t="n">
        <v>0</v>
      </c>
      <c r="S1253">
        <f>IFERROR(O1253/N1253,0)</f>
        <v/>
      </c>
    </row>
    <row r="1254">
      <c r="A1254">
        <f>Skills!A19</f>
        <v/>
      </c>
      <c r="B1254">
        <f>Skills!B19</f>
        <v/>
      </c>
      <c r="C1254">
        <f>TRUE</f>
        <v/>
      </c>
      <c r="D1254">
        <f>IF(Skills!C19=1,60+Inputs!$B$25+Inputs!$B$29,IF(Skills!C19=2,90+Inputs!$B$26+Inputs!$B$29,IF(Skills!C19=3,120+Inputs!$B$27+Inputs!$B$29,MAX(0,(Inputs!$B$3-100)*3)+Inputs!$B$28+Inputs!$B$29)))</f>
        <v/>
      </c>
      <c r="E1254">
        <f>INDEX(FactorTable!$B$2:$Y$301, MATCH(ROUND(MIN(300,MAX(1,D1254)),0), FactorTable!$A$2:$A$301,0), Skills!M19+1)</f>
        <v/>
      </c>
      <c r="F1254">
        <f>IF(Skills!N19=TRUE,(Skills!L19/10)*(E1254/1000),Skills!L19/10)+Skills!O19</f>
        <v/>
      </c>
      <c r="G1254">
        <f>Skills!G19*IF(Skills!H19&gt;0,Skills!I19/Skills!H19,1)</f>
        <v/>
      </c>
      <c r="H1254">
        <f>1-(1-Skills!J19/100)^Skills!K19</f>
        <v/>
      </c>
      <c r="I1254" t="inlineStr">
        <is>
          <t>1</t>
        </is>
      </c>
      <c r="J1254" t="inlineStr"/>
      <c r="K1254" t="inlineStr"/>
      <c r="L1254" t="inlineStr"/>
      <c r="M1254" t="inlineStr"/>
      <c r="N1254" t="inlineStr"/>
      <c r="O1254" t="n">
        <v>0</v>
      </c>
      <c r="P1254">
        <f>IF(B1276=0,0,O1254/B1276)</f>
        <v/>
      </c>
      <c r="Q1254">
        <f>IFERROR(1/IF(Inputs!$B$38="pvp",15,MAX(0.1,Skills!D19-IF(Skills!E19=TRUE,1.0,0))),0)</f>
        <v/>
      </c>
      <c r="R1254">
        <f>IF(AND(Inputs!$B$38&lt;&gt;"pvp",Inputs!$B$43&gt;0),IF(Inputs!$B$43&lt;=0,0,(INT(Inputs!$B$43/IF(Inputs!$B$38="pvp",15,MAX(0.1,Skills!D19-IF(Skills!E19=TRUE,1.0,0))))+1)),0)</f>
        <v/>
      </c>
      <c r="S1254">
        <f>IFERROR(O1254/N1254,0)</f>
        <v/>
      </c>
    </row>
    <row r="1255">
      <c r="A1255">
        <f>Skills!A20</f>
        <v/>
      </c>
      <c r="B1255">
        <f>Skills!B20</f>
        <v/>
      </c>
      <c r="C1255">
        <f>Inputs!$B$3&gt;=15</f>
        <v/>
      </c>
      <c r="D1255">
        <f>IF(Skills!C20=1,60+Inputs!$B$25+Inputs!$B$29,IF(Skills!C20=2,90+Inputs!$B$26+Inputs!$B$29,IF(Skills!C20=3,120+Inputs!$B$27+Inputs!$B$29,MAX(0,(Inputs!$B$3-100)*3)+Inputs!$B$28+Inputs!$B$29)))</f>
        <v/>
      </c>
      <c r="E1255">
        <f>INDEX(FactorTable!$B$2:$Y$301, MATCH(ROUND(MIN(300,MAX(1,D1255)),0), FactorTable!$A$2:$A$301,0), Skills!M20+1)</f>
        <v/>
      </c>
      <c r="F1255">
        <f>IF(Skills!N20=TRUE,(Skills!L20/10)*(E1255/1000),Skills!L20/10)+Skills!O20</f>
        <v/>
      </c>
      <c r="G1255">
        <f>Skills!G20*IF(Skills!H20&gt;0,Skills!I20/Skills!H20,1)</f>
        <v/>
      </c>
      <c r="H1255">
        <f>1-(1-Skills!J20/100)^Skills!K20</f>
        <v/>
      </c>
      <c r="I1255" t="inlineStr">
        <is>
          <t>1</t>
        </is>
      </c>
      <c r="J1255" t="inlineStr"/>
      <c r="K1255" t="inlineStr"/>
      <c r="L1255" t="inlineStr"/>
      <c r="M1255" t="inlineStr"/>
      <c r="N1255" t="inlineStr"/>
      <c r="O1255" t="n">
        <v>0</v>
      </c>
      <c r="P1255">
        <f>IF(B1276=0,0,O1255/B1276)</f>
        <v/>
      </c>
      <c r="Q1255" t="n">
        <v>0</v>
      </c>
      <c r="R1255" t="n">
        <v>0</v>
      </c>
      <c r="S1255">
        <f>IFERROR(O1255/N1255,0)</f>
        <v/>
      </c>
    </row>
    <row r="1256">
      <c r="A1256">
        <f>Skills!A21</f>
        <v/>
      </c>
      <c r="B1256">
        <f>Skills!B21</f>
        <v/>
      </c>
      <c r="C1256">
        <f>Inputs!$B$3&gt;=10</f>
        <v/>
      </c>
      <c r="D1256">
        <f>IF(Skills!C21=1,60+Inputs!$B$25+Inputs!$B$29,IF(Skills!C21=2,90+Inputs!$B$26+Inputs!$B$29,IF(Skills!C21=3,120+Inputs!$B$27+Inputs!$B$29,MAX(0,(Inputs!$B$3-100)*3)+Inputs!$B$28+Inputs!$B$29)))</f>
        <v/>
      </c>
      <c r="E1256">
        <f>INDEX(FactorTable!$B$2:$Y$301, MATCH(ROUND(MIN(300,MAX(1,D1256)),0), FactorTable!$A$2:$A$301,0), Skills!M21+1)</f>
        <v/>
      </c>
      <c r="F1256">
        <f>IF(Skills!N21=TRUE,(Skills!L21/10)*(E1256/1000),Skills!L21/10)+Skills!O21</f>
        <v/>
      </c>
      <c r="G1256">
        <f>Skills!G21*IF(Skills!H21&gt;0,Skills!I21/Skills!H21,1)</f>
        <v/>
      </c>
      <c r="H1256">
        <f>1-(1-Skills!J21/100)^Skills!K21</f>
        <v/>
      </c>
      <c r="I1256" t="inlineStr">
        <is>
          <t>1</t>
        </is>
      </c>
      <c r="J1256" t="inlineStr"/>
      <c r="K1256" t="inlineStr"/>
      <c r="L1256" t="inlineStr"/>
      <c r="M1256" t="inlineStr"/>
      <c r="N1256" t="inlineStr"/>
      <c r="O1256" t="n">
        <v>0</v>
      </c>
      <c r="P1256">
        <f>IF(B1276=0,0,O1256/B1276)</f>
        <v/>
      </c>
      <c r="Q1256" t="n">
        <v>0</v>
      </c>
      <c r="R1256" t="n">
        <v>0</v>
      </c>
      <c r="S1256">
        <f>IFERROR(O1256/N1256,0)</f>
        <v/>
      </c>
    </row>
    <row r="1257">
      <c r="A1257">
        <f>Skills!A22</f>
        <v/>
      </c>
      <c r="B1257">
        <f>Skills!B22</f>
        <v/>
      </c>
      <c r="C1257">
        <f>Inputs!$B$3&gt;=33</f>
        <v/>
      </c>
      <c r="D1257">
        <f>IF(Skills!C22=1,60+Inputs!$B$25+Inputs!$B$29,IF(Skills!C22=2,90+Inputs!$B$26+Inputs!$B$29,IF(Skills!C22=3,120+Inputs!$B$27+Inputs!$B$29,MAX(0,(Inputs!$B$3-100)*3)+Inputs!$B$28+Inputs!$B$29)))</f>
        <v/>
      </c>
      <c r="E1257">
        <f>INDEX(FactorTable!$B$2:$Y$301, MATCH(ROUND(MIN(300,MAX(1,D1257)),0), FactorTable!$A$2:$A$301,0), Skills!M22+1)</f>
        <v/>
      </c>
      <c r="F1257">
        <f>IF(Skills!N22=TRUE,(Skills!L22/10)*(E1257/1000),Skills!L22/10)+Skills!O22</f>
        <v/>
      </c>
      <c r="G1257">
        <f>Skills!G22*IF(Skills!H22&gt;0,Skills!I22/Skills!H22,1)</f>
        <v/>
      </c>
      <c r="H1257">
        <f>1-(1-Skills!J22/100)^Skills!K22</f>
        <v/>
      </c>
      <c r="I1257" t="inlineStr">
        <is>
          <t>1</t>
        </is>
      </c>
      <c r="J1257" t="inlineStr"/>
      <c r="K1257" t="inlineStr"/>
      <c r="L1257" t="inlineStr"/>
      <c r="M1257" t="inlineStr"/>
      <c r="N1257" t="inlineStr"/>
      <c r="O1257" t="n">
        <v>0</v>
      </c>
      <c r="P1257">
        <f>IF(B1276=0,0,O1257/B1276)</f>
        <v/>
      </c>
      <c r="Q1257" t="n">
        <v>0</v>
      </c>
      <c r="R1257" t="n">
        <v>0</v>
      </c>
      <c r="S1257">
        <f>IFERROR(O1257/N1257,0)</f>
        <v/>
      </c>
    </row>
    <row r="1258">
      <c r="A1258">
        <f>Skills!A23</f>
        <v/>
      </c>
      <c r="B1258">
        <f>Skills!B23</f>
        <v/>
      </c>
      <c r="C1258">
        <f>Inputs!$B$3&gt;=38</f>
        <v/>
      </c>
      <c r="D1258">
        <f>IF(Skills!C23=1,60+Inputs!$B$25+Inputs!$B$29,IF(Skills!C23=2,90+Inputs!$B$26+Inputs!$B$29,IF(Skills!C23=3,120+Inputs!$B$27+Inputs!$B$29,MAX(0,(Inputs!$B$3-100)*3)+Inputs!$B$28+Inputs!$B$29)))</f>
        <v/>
      </c>
      <c r="E1258">
        <f>INDEX(FactorTable!$B$2:$Y$301, MATCH(ROUND(MIN(300,MAX(1,D1258)),0), FactorTable!$A$2:$A$301,0), Skills!M23+1)</f>
        <v/>
      </c>
      <c r="F1258">
        <f>IF(Skills!N23=TRUE,(Skills!L23/10)*(E1258/1000),Skills!L23/10)+Skills!O23</f>
        <v/>
      </c>
      <c r="G1258">
        <f>Skills!G23*IF(Skills!H23&gt;0,Skills!I23/Skills!H23,1)</f>
        <v/>
      </c>
      <c r="H1258">
        <f>1-(1-Skills!J23/100)^Skills!K23</f>
        <v/>
      </c>
      <c r="I1258" t="inlineStr">
        <is>
          <t>1</t>
        </is>
      </c>
      <c r="J1258" t="inlineStr"/>
      <c r="K1258" t="inlineStr"/>
      <c r="L1258" t="inlineStr"/>
      <c r="M1258" t="inlineStr"/>
      <c r="N1258" t="inlineStr"/>
      <c r="O1258" t="n">
        <v>0</v>
      </c>
      <c r="P1258">
        <f>IF(B1276=0,0,O1258/B1276)</f>
        <v/>
      </c>
      <c r="Q1258" t="n">
        <v>0</v>
      </c>
      <c r="R1258" t="n">
        <v>0</v>
      </c>
      <c r="S1258">
        <f>IFERROR(O1258/N1258,0)</f>
        <v/>
      </c>
    </row>
    <row r="1259">
      <c r="A1259">
        <f>Skills!A24</f>
        <v/>
      </c>
      <c r="B1259">
        <f>Skills!B24</f>
        <v/>
      </c>
      <c r="C1259">
        <f>Inputs!$B$3&gt;=43</f>
        <v/>
      </c>
      <c r="D1259">
        <f>IF(Skills!C24=1,60+Inputs!$B$25+Inputs!$B$29,IF(Skills!C24=2,90+Inputs!$B$26+Inputs!$B$29,IF(Skills!C24=3,120+Inputs!$B$27+Inputs!$B$29,MAX(0,(Inputs!$B$3-100)*3)+Inputs!$B$28+Inputs!$B$29)))</f>
        <v/>
      </c>
      <c r="E1259">
        <f>INDEX(FactorTable!$B$2:$Y$301, MATCH(ROUND(MIN(300,MAX(1,D1259)),0), FactorTable!$A$2:$A$301,0), Skills!M24+1)</f>
        <v/>
      </c>
      <c r="F1259">
        <f>IF(Skills!N24=TRUE,(Skills!L24/10)*(E1259/1000),Skills!L24/10)+Skills!O24</f>
        <v/>
      </c>
      <c r="G1259">
        <f>Skills!G24*IF(Skills!H24&gt;0,Skills!I24/Skills!H24,1)</f>
        <v/>
      </c>
      <c r="H1259">
        <f>1-(1-Skills!J24/100)^Skills!K24</f>
        <v/>
      </c>
      <c r="I1259" t="inlineStr">
        <is>
          <t>1</t>
        </is>
      </c>
      <c r="J1259" t="inlineStr"/>
      <c r="K1259" t="inlineStr"/>
      <c r="L1259" t="inlineStr"/>
      <c r="M1259" t="inlineStr"/>
      <c r="N1259" t="inlineStr"/>
      <c r="O1259" t="n">
        <v>0</v>
      </c>
      <c r="P1259">
        <f>IF(B1276=0,0,O1259/B1276)</f>
        <v/>
      </c>
      <c r="Q1259" t="n">
        <v>0</v>
      </c>
      <c r="R1259" t="n">
        <v>0</v>
      </c>
      <c r="S1259">
        <f>IFERROR(O1259/N1259,0)</f>
        <v/>
      </c>
    </row>
    <row r="1260">
      <c r="A1260">
        <f>Skills!A25</f>
        <v/>
      </c>
      <c r="B1260">
        <f>Skills!B25</f>
        <v/>
      </c>
      <c r="C1260">
        <f>Inputs!$B$3&gt;=75</f>
        <v/>
      </c>
      <c r="D1260">
        <f>IF(Skills!C25=1,60+Inputs!$B$25+Inputs!$B$29,IF(Skills!C25=2,90+Inputs!$B$26+Inputs!$B$29,IF(Skills!C25=3,120+Inputs!$B$27+Inputs!$B$29,MAX(0,(Inputs!$B$3-100)*3)+Inputs!$B$28+Inputs!$B$29)))</f>
        <v/>
      </c>
      <c r="E1260">
        <f>INDEX(FactorTable!$B$2:$Y$301, MATCH(ROUND(MIN(300,MAX(1,D1260)),0), FactorTable!$A$2:$A$301,0), Skills!M25+1)</f>
        <v/>
      </c>
      <c r="F1260">
        <f>IF(Skills!N25=TRUE,(Skills!L25/10)*(E1260/1000),Skills!L25/10)+Skills!O25</f>
        <v/>
      </c>
      <c r="G1260">
        <f>Skills!G25*IF(Skills!H25&gt;0,Skills!I25/Skills!H25,1)</f>
        <v/>
      </c>
      <c r="H1260">
        <f>1-(1-Skills!J25/100)^Skills!K25</f>
        <v/>
      </c>
      <c r="I1260" t="inlineStr">
        <is>
          <t>1</t>
        </is>
      </c>
      <c r="J1260" t="inlineStr"/>
      <c r="K1260" t="inlineStr"/>
      <c r="L1260" t="inlineStr"/>
      <c r="M1260" t="inlineStr"/>
      <c r="N1260" t="inlineStr"/>
      <c r="O1260" t="n">
        <v>0</v>
      </c>
      <c r="P1260">
        <f>IF(B1276=0,0,O1260/B1276)</f>
        <v/>
      </c>
      <c r="Q1260" t="n">
        <v>0</v>
      </c>
      <c r="R1260" t="n">
        <v>0</v>
      </c>
      <c r="S1260">
        <f>IFERROR(O1260/N1260,0)</f>
        <v/>
      </c>
    </row>
    <row r="1261">
      <c r="A1261">
        <f>Skills!A26</f>
        <v/>
      </c>
      <c r="B1261">
        <f>Skills!B26</f>
        <v/>
      </c>
      <c r="C1261">
        <f>Inputs!$B$3&gt;=125</f>
        <v/>
      </c>
      <c r="D1261">
        <f>IF(Skills!C26=1,60+Inputs!$B$25+Inputs!$B$29,IF(Skills!C26=2,90+Inputs!$B$26+Inputs!$B$29,IF(Skills!C26=3,120+Inputs!$B$27+Inputs!$B$29,MAX(0,(Inputs!$B$3-100)*3)+Inputs!$B$28+Inputs!$B$29)))</f>
        <v/>
      </c>
      <c r="E1261">
        <f>INDEX(FactorTable!$B$2:$Y$301, MATCH(ROUND(MIN(300,MAX(1,D1261)),0), FactorTable!$A$2:$A$301,0), Skills!M26+1)</f>
        <v/>
      </c>
      <c r="F1261">
        <f>IF(Skills!N26=TRUE,(Skills!L26/10)*(E1261/1000),Skills!L26/10)+Skills!O26</f>
        <v/>
      </c>
      <c r="G1261">
        <f>Skills!G26*IF(Skills!H26&gt;0,Skills!I26/Skills!H26,1)</f>
        <v/>
      </c>
      <c r="H1261">
        <f>1-(1-Skills!J26/100)^Skills!K26</f>
        <v/>
      </c>
      <c r="I1261" t="inlineStr">
        <is>
          <t>1</t>
        </is>
      </c>
      <c r="J1261" t="inlineStr"/>
      <c r="K1261" t="inlineStr"/>
      <c r="L1261" t="inlineStr"/>
      <c r="M1261" t="inlineStr"/>
      <c r="N1261" t="inlineStr"/>
      <c r="O1261" t="n">
        <v>0</v>
      </c>
      <c r="P1261">
        <f>IF(B1276=0,0,O1261/B1276)</f>
        <v/>
      </c>
      <c r="Q1261" t="n">
        <v>0</v>
      </c>
      <c r="R1261" t="n">
        <v>0</v>
      </c>
      <c r="S1261">
        <f>IFERROR(O1261/N1261,0)</f>
        <v/>
      </c>
    </row>
    <row r="1262">
      <c r="A1262">
        <f>Skills!A27</f>
        <v/>
      </c>
      <c r="B1262">
        <f>Skills!B27</f>
        <v/>
      </c>
      <c r="C1262">
        <f>Inputs!$B$3&gt;=125</f>
        <v/>
      </c>
      <c r="D1262">
        <f>IF(Skills!C27=1,60+Inputs!$B$25+Inputs!$B$29,IF(Skills!C27=2,90+Inputs!$B$26+Inputs!$B$29,IF(Skills!C27=3,120+Inputs!$B$27+Inputs!$B$29,MAX(0,(Inputs!$B$3-100)*3)+Inputs!$B$28+Inputs!$B$29)))</f>
        <v/>
      </c>
      <c r="E1262">
        <f>INDEX(FactorTable!$B$2:$Y$301, MATCH(ROUND(MIN(300,MAX(1,D1262)),0), FactorTable!$A$2:$A$301,0), Skills!M27+1)</f>
        <v/>
      </c>
      <c r="F1262">
        <f>IF(Skills!N27=TRUE,(Skills!L27/10)*(E1262/1000),Skills!L27/10)+Skills!O27</f>
        <v/>
      </c>
      <c r="G1262">
        <f>Skills!G27*IF(Skills!H27&gt;0,Skills!I27/Skills!H27,1)</f>
        <v/>
      </c>
      <c r="H1262">
        <f>1-(1-Skills!J27/100)^Skills!K27</f>
        <v/>
      </c>
      <c r="I1262" t="inlineStr">
        <is>
          <t>1</t>
        </is>
      </c>
      <c r="J1262" t="inlineStr"/>
      <c r="K1262" t="inlineStr"/>
      <c r="L1262" t="inlineStr"/>
      <c r="M1262" t="inlineStr"/>
      <c r="N1262" t="inlineStr"/>
      <c r="O1262" t="n">
        <v>0</v>
      </c>
      <c r="P1262">
        <f>IF(B1276=0,0,O1262/B1276)</f>
        <v/>
      </c>
      <c r="Q1262" t="n">
        <v>0</v>
      </c>
      <c r="R1262" t="n">
        <v>0</v>
      </c>
      <c r="S1262">
        <f>IFERROR(O1262/N1262,0)</f>
        <v/>
      </c>
    </row>
    <row r="1263">
      <c r="A1263">
        <f>Skills!A28</f>
        <v/>
      </c>
      <c r="B1263">
        <f>Skills!B28</f>
        <v/>
      </c>
      <c r="C1263">
        <f>Inputs!$B$3&gt;=120</f>
        <v/>
      </c>
      <c r="D1263">
        <f>IF(Skills!C28=1,60+Inputs!$B$25+Inputs!$B$29,IF(Skills!C28=2,90+Inputs!$B$26+Inputs!$B$29,IF(Skills!C28=3,120+Inputs!$B$27+Inputs!$B$29,MAX(0,(Inputs!$B$3-100)*3)+Inputs!$B$28+Inputs!$B$29)))</f>
        <v/>
      </c>
      <c r="E1263">
        <f>INDEX(FactorTable!$B$2:$Y$301, MATCH(ROUND(MIN(300,MAX(1,D1263)),0), FactorTable!$A$2:$A$301,0), Skills!M28+1)</f>
        <v/>
      </c>
      <c r="F1263">
        <f>IF(Skills!N28=TRUE,(Skills!L28/10)*(E1263/1000),Skills!L28/10)+Skills!O28</f>
        <v/>
      </c>
      <c r="G1263">
        <f>Skills!G28*IF(Skills!H28&gt;0,Skills!I28/Skills!H28,1)</f>
        <v/>
      </c>
      <c r="H1263">
        <f>1-(1-Skills!J28/100)^Skills!K28</f>
        <v/>
      </c>
      <c r="I1263" t="inlineStr">
        <is>
          <t>1</t>
        </is>
      </c>
      <c r="J1263" t="inlineStr"/>
      <c r="K1263" t="inlineStr"/>
      <c r="L1263" t="inlineStr"/>
      <c r="M1263" t="inlineStr"/>
      <c r="N1263" t="inlineStr"/>
      <c r="O1263" t="n">
        <v>0</v>
      </c>
      <c r="P1263">
        <f>IF(B1276=0,0,O1263/B1276)</f>
        <v/>
      </c>
      <c r="Q1263" t="n">
        <v>0</v>
      </c>
      <c r="R1263" t="n">
        <v>0</v>
      </c>
      <c r="S1263">
        <f>IFERROR(O1263/N1263,0)</f>
        <v/>
      </c>
    </row>
    <row r="1264">
      <c r="A1264">
        <f>Skills!A29</f>
        <v/>
      </c>
      <c r="B1264">
        <f>Skills!B29</f>
        <v/>
      </c>
      <c r="C1264">
        <f>Inputs!$B$3&gt;=120</f>
        <v/>
      </c>
      <c r="D1264">
        <f>IF(Skills!C29=1,60+Inputs!$B$25+Inputs!$B$29,IF(Skills!C29=2,90+Inputs!$B$26+Inputs!$B$29,IF(Skills!C29=3,120+Inputs!$B$27+Inputs!$B$29,MAX(0,(Inputs!$B$3-100)*3)+Inputs!$B$28+Inputs!$B$29)))</f>
        <v/>
      </c>
      <c r="E1264">
        <f>INDEX(FactorTable!$B$2:$Y$301, MATCH(ROUND(MIN(300,MAX(1,D1264)),0), FactorTable!$A$2:$A$301,0), Skills!M29+1)</f>
        <v/>
      </c>
      <c r="F1264">
        <f>IF(Skills!N29=TRUE,(Skills!L29/10)*(E1264/1000),Skills!L29/10)+Skills!O29</f>
        <v/>
      </c>
      <c r="G1264">
        <f>Skills!G29*IF(Skills!H29&gt;0,Skills!I29/Skills!H29,1)</f>
        <v/>
      </c>
      <c r="H1264">
        <f>1-(1-Skills!J29/100)^Skills!K29</f>
        <v/>
      </c>
      <c r="I1264" t="inlineStr">
        <is>
          <t>1</t>
        </is>
      </c>
      <c r="J1264" t="inlineStr"/>
      <c r="K1264" t="inlineStr"/>
      <c r="L1264" t="inlineStr"/>
      <c r="M1264" t="inlineStr"/>
      <c r="N1264" t="inlineStr"/>
      <c r="O1264" t="n">
        <v>0</v>
      </c>
      <c r="P1264">
        <f>IF(B1276=0,0,O1264/B1276)</f>
        <v/>
      </c>
      <c r="Q1264" t="n">
        <v>0</v>
      </c>
      <c r="R1264" t="n">
        <v>0</v>
      </c>
      <c r="S1264">
        <f>IFERROR(O1264/N1264,0)</f>
        <v/>
      </c>
    </row>
    <row r="1265">
      <c r="A1265">
        <f>Skills!A30</f>
        <v/>
      </c>
      <c r="B1265">
        <f>Skills!B30</f>
        <v/>
      </c>
      <c r="C1265">
        <f>Inputs!$B$3&gt;=45</f>
        <v/>
      </c>
      <c r="D1265">
        <f>IF(Skills!C30=1,60+Inputs!$B$25+Inputs!$B$29,IF(Skills!C30=2,90+Inputs!$B$26+Inputs!$B$29,IF(Skills!C30=3,120+Inputs!$B$27+Inputs!$B$29,MAX(0,(Inputs!$B$3-100)*3)+Inputs!$B$28+Inputs!$B$29)))</f>
        <v/>
      </c>
      <c r="E1265">
        <f>INDEX(FactorTable!$B$2:$Y$301, MATCH(ROUND(MIN(300,MAX(1,D1265)),0), FactorTable!$A$2:$A$301,0), Skills!M30+1)</f>
        <v/>
      </c>
      <c r="F1265">
        <f>IF(Skills!N30=TRUE,(Skills!L30/10)*(E1265/1000),Skills!L30/10)+Skills!O30</f>
        <v/>
      </c>
      <c r="G1265">
        <f>Skills!G30*IF(Skills!H30&gt;0,Skills!I30/Skills!H30,1)</f>
        <v/>
      </c>
      <c r="H1265">
        <f>1-(1-Skills!J30/100)^Skills!K30</f>
        <v/>
      </c>
      <c r="I1265" t="inlineStr">
        <is>
          <t>1</t>
        </is>
      </c>
      <c r="J1265" t="inlineStr"/>
      <c r="K1265" t="inlineStr"/>
      <c r="L1265" t="inlineStr"/>
      <c r="M1265" t="inlineStr"/>
      <c r="N1265" t="inlineStr"/>
      <c r="O1265" t="n">
        <v>0</v>
      </c>
      <c r="P1265">
        <f>IF(B1276=0,0,O1265/B1276)</f>
        <v/>
      </c>
      <c r="Q1265" t="n">
        <v>0</v>
      </c>
      <c r="R1265" t="n">
        <v>0</v>
      </c>
      <c r="S1265">
        <f>IFERROR(O1265/N1265,0)</f>
        <v/>
      </c>
    </row>
    <row r="1267">
      <c r="A1267" t="inlineStr">
        <is>
          <t>Attack% Bucket Multiplier</t>
        </is>
      </c>
      <c r="B1267">
        <f>(1+(((C1248=TRUE)*F1248)+((C1249=TRUE)*IF(Inputs!$B$38="pvp",F1249,(1-Summary!$B$55)*(F1249)+Summary!$B$55*(0)))+((C1250=TRUE)*F1250*IF(AND(Inputs!$B$38&lt;&gt;"pvp",Inputs!$B$43&gt;0),(((R1250-1)*(Skills!T15*(1+Inputs!$B$34/100))+MIN((Skills!T15*(1+Inputs!$B$34/100)),MAX(0,Inputs!$B$43-((R1250-1)*Skills!D15))))/Inputs!$B$43),IF(Inputs!$B$38="pvp",MIN((Skills!T15*(1+Inputs!$B$34/100)),15)/15,(Skills!T15*(1+Inputs!$B$34/100))/Skills!D15)))+((C1265=TRUE)*(F1265-Calc!F30)))/100)</f>
        <v/>
      </c>
    </row>
    <row r="1268">
      <c r="A1268" t="inlineStr">
        <is>
          <t>Global Crit Rate Bonus %</t>
        </is>
      </c>
      <c r="B1268">
        <f>(C1251=TRUE)*20*IF(AND(Inputs!$B$38&lt;&gt;"pvp",Inputs!$B$43&gt;0),(((R1251-1)*(Skills!T16*(1+Inputs!$B$34/100))+MIN((Skills!T16*(1+Inputs!$B$34/100)),MAX(0,Inputs!$B$43-((R1251-1)*Skills!D16))))/Inputs!$B$43),IF(Inputs!$B$38="pvp",MIN((Skills!T16*(1+Inputs!$B$34/100)),15)/15,(Skills!T16*(1+Inputs!$B$34/100))/Skills!D16))</f>
        <v/>
      </c>
    </row>
    <row r="1269">
      <c r="A1269" t="inlineStr">
        <is>
          <t>Attack Speed Buff Bonus %</t>
        </is>
      </c>
      <c r="B1269">
        <f>((C1254=TRUE)*F1254*IF(AND(Inputs!$B$38&lt;&gt;"pvp",Inputs!$B$43&gt;0),(((R1254-1)*(Skills!T19*(1+Inputs!$B$34/100))+MIN((Skills!T19*(1+Inputs!$B$34/100)),MAX(0,Inputs!$B$43-((R1254-1)*Skills!D19))))/Inputs!$B$43),IF(Inputs!$B$38="pvp",MIN((Skills!T19*(1+Inputs!$B$34/100)),15)/15,(Skills!T19*(1+Inputs!$B$34/100))/Skills!D19)))</f>
        <v/>
      </c>
    </row>
    <row r="1270">
      <c r="A1270" t="inlineStr">
        <is>
          <t>Actions Per Second</t>
        </is>
      </c>
      <c r="B1270">
        <f>1+MIN(150,150*(1-(1-(Inputs!$B$11+((C1256=TRUE)*(F1256-Calc!F21))+((C1257=TRUE)*(F1257-Calc!F22)))/150)*(1-B1269/150)))/100</f>
        <v/>
      </c>
    </row>
    <row r="1271">
      <c r="A1271" t="inlineStr">
        <is>
          <t>Skill + Buff Cast Rate</t>
        </is>
      </c>
      <c r="B1271">
        <f>IF(AND(Inputs!$B$38&lt;&gt;"pvp",Inputs!$B$43&gt;0),SUMPRODUCT((Skills!E2:E30=TRUE)*(C1237:C1265=TRUE)*R1237:R1265*Skills!F2:F30)/Inputs!$B$43,SUMPRODUCT((Skills!E2:E30=TRUE)*(C1237:C1265=TRUE)*Q1237:Q1265*Skills!F2:F30))</f>
        <v/>
      </c>
    </row>
    <row r="1272">
      <c r="A1272" t="inlineStr">
        <is>
          <t>Arrow Stream Casts Per Second</t>
        </is>
      </c>
      <c r="B1272">
        <f>MAX(0,B1270-B1271)</f>
        <v/>
      </c>
    </row>
    <row r="1273">
      <c r="A1273" t="inlineStr">
        <is>
          <t>Global Critical Damage Bonus % (Sharp Eyes + Concentration)</t>
        </is>
      </c>
      <c r="B1273">
        <f>(C1251=TRUE)*F1251*IF(AND(Inputs!$B$38&lt;&gt;"pvp",Inputs!$B$43&gt;0),(((R1251-1)*(Skills!T16*(1+Inputs!$B$34/100))+MIN((Skills!T16*(1+Inputs!$B$34/100)),MAX(0,Inputs!$B$43-((R1251-1)*Skills!D16))))/Inputs!$B$43),IF(Inputs!$B$38="pvp",MIN((Skills!T16*(1+Inputs!$B$34/100)),15)/15,(Skills!T16*(1+Inputs!$B$34/100))/Skills!D16))+(C1252=TRUE)*30</f>
        <v/>
      </c>
    </row>
    <row r="1274">
      <c r="A1274" t="inlineStr">
        <is>
          <t>Global Final Damage Bonus % (Mortal Blow)</t>
        </is>
      </c>
      <c r="B1274">
        <f>(C1253=TRUE)*F1253</f>
        <v/>
      </c>
    </row>
    <row r="1275">
      <c r="A1275" t="inlineStr">
        <is>
          <t>Buff-Casting Startup Delay (s, fixed-duration only)</t>
        </is>
      </c>
      <c r="B1275">
        <f>IF(AND(Inputs!$B$38&lt;&gt;"pvp",Inputs!$B$43&gt;0),SUMPRODUCT((Skills!T2:T30&gt;0)*(Skills!E2:E30=TRUE)*(C1237:C1265=TRUE))/B1270,0)</f>
        <v/>
      </c>
    </row>
    <row r="1276">
      <c r="A1276" s="5" t="inlineStr">
        <is>
          <t>TOTAL DPS</t>
        </is>
      </c>
      <c r="B1276" s="5">
        <f>SUM(O1237:O1265)</f>
        <v/>
      </c>
    </row>
    <row r="1279">
      <c r="A1279" s="5" t="inlineStr">
        <is>
          <t>Stat: CDR = 1.5s</t>
        </is>
      </c>
    </row>
    <row r="1280">
      <c r="A1280" s="9" t="inlineStr">
        <is>
          <t>Key</t>
        </is>
      </c>
      <c r="B1280" s="9" t="inlineStr">
        <is>
          <t>Name</t>
        </is>
      </c>
      <c r="C1280" s="9" t="inlineStr">
        <is>
          <t>Unlocked</t>
        </is>
      </c>
      <c r="D1280" s="9" t="inlineStr">
        <is>
          <t>InputLevel</t>
        </is>
      </c>
      <c r="E1280" s="9" t="inlineStr">
        <is>
          <t>Factor</t>
        </is>
      </c>
      <c r="F1280" s="9" t="inlineStr">
        <is>
          <t>CoefficientPercent</t>
        </is>
      </c>
      <c r="G1280" s="9" t="inlineStr">
        <is>
          <t>EffectiveHits</t>
        </is>
      </c>
      <c r="H1280" s="9" t="inlineStr">
        <is>
          <t>ProcProbability</t>
        </is>
      </c>
      <c r="I1280" s="9" t="inlineStr">
        <is>
          <t>MapleHeroMultiplier</t>
        </is>
      </c>
      <c r="J1280" s="9" t="inlineStr">
        <is>
          <t>BaseDamage</t>
        </is>
      </c>
      <c r="K1280" s="9" t="inlineStr">
        <is>
          <t>BaseHitDamage</t>
        </is>
      </c>
      <c r="L1280" s="9" t="inlineStr">
        <is>
          <t>NonCritAvg</t>
        </is>
      </c>
      <c r="M1280" s="9" t="inlineStr">
        <is>
          <t>CritAvg</t>
        </is>
      </c>
      <c r="N1280" s="9" t="inlineStr">
        <is>
          <t>ExpectedDamage(perHit)</t>
        </is>
      </c>
      <c r="O1280" s="9" t="inlineStr">
        <is>
          <t>DPS</t>
        </is>
      </c>
      <c r="P1280" s="9" t="inlineStr">
        <is>
          <t>% of Total</t>
        </is>
      </c>
      <c r="Q1280" s="9" t="inlineStr">
        <is>
          <t>InvCooldown</t>
        </is>
      </c>
      <c r="R1280" s="9" t="inlineStr">
        <is>
          <t>CastsInFight</t>
        </is>
      </c>
      <c r="S1280" s="9" t="inlineStr">
        <is>
          <t>HitRate(perSec)</t>
        </is>
      </c>
      <c r="U1280" t="inlineStr">
        <is>
          <t>helpers</t>
        </is>
      </c>
    </row>
    <row r="1281">
      <c r="A1281">
        <f>Skills!A2</f>
        <v/>
      </c>
      <c r="B1281">
        <f>Skills!B2</f>
        <v/>
      </c>
      <c r="C1281">
        <f>Inputs!$B$3&gt;=100</f>
        <v/>
      </c>
      <c r="D1281" t="inlineStr"/>
      <c r="E1281" t="inlineStr"/>
      <c r="F1281">
        <f>U1283+Skills!O2</f>
        <v/>
      </c>
      <c r="G1281">
        <f>Skills!G2*IF(Skills!H2&gt;0,Skills!I2/Skills!H2,1)</f>
        <v/>
      </c>
      <c r="H1281">
        <f>1-(1-Skills!J2/100)^Skills!K2</f>
        <v/>
      </c>
      <c r="I1281" t="inlineStr">
        <is>
          <t>1</t>
        </is>
      </c>
      <c r="J1281">
        <f>((Inputs!$B$6*(1+Inputs!$B$7/100))+(((Inputs!$B$12*(1+Inputs!$B$13/100))-(Inputs!$B$12*(1+Inputs!$B$13/100)))+0.25*(Inputs!$B$14-Inputs!$B$14))*(1+Inputs!$B$7/100))*(F1281/100)</f>
        <v/>
      </c>
      <c r="K1281">
        <f>J1281*(1+((Inputs!$B$12*(1+Inputs!$B$13/100))*0.01+Inputs!$B$14*0.0025)/100)*(1+Inputs!$B$15/100)*(1+IF(Inputs!$B$38="pvp",0,(1-Summary!$B$55)*(Inputs!$B$20+0+Skills!P2)+Summary!$B$55*(Inputs!$B$21+Skills!Q2))/100)*(1+Inputs!$B$16/100)*(5000/(6000+Inputs!$B$42*(1-(Inputs!$B$19+((C1306=TRUE)*(F1306-Calc!F27)))/100)))*(1+(Inputs!$B$24+((C1304=TRUE)*(F1304-Calc!F25))+((C1305=TRUE)*(F1305-Calc!F26))+B1318)/100)*(1+(IF(Skills!A2="ARROW_STREAM",Inputs!$B$17+((C1302=TRUE)*(F1302-Calc!F23)),Inputs!$B$18+((C1307=TRUE)*(F1307-Calc!F28))))/100)*((1+(((C1292=TRUE)*F1292)+((C1293=TRUE)*IF(Inputs!$B$38="pvp",F1293,(1-Summary!$B$55)*(F1293)+Summary!$B$55*(0)))+((C1294=TRUE)*F1294*IF(AND(Inputs!$B$38&lt;&gt;"pvp",Inputs!$B$43&gt;0),(((R1294-1)*(Skills!T15*(1+Inputs!$B$34/100))+MIN((Skills!T15*(1+Inputs!$B$34/100)),MAX(0,Inputs!$B$43-((R1294-1)*Skills!D15))))/Inputs!$B$43),IF(Inputs!$B$38="pvp",MIN((Skills!T15*(1+Inputs!$B$34/100)),15)/15,(Skills!T15*(1+Inputs!$B$34/100))/Skills!D15)))+((C1309=TRUE)*(F1309-Calc!F30)))/100)*I1281)</f>
        <v/>
      </c>
      <c r="L1281">
        <f>K1281*(MIN(Inputs!$B$22+((C1303=TRUE)*(F1303-Calc!F24)),Inputs!$B$23+((C1308=TRUE)*(F1308-Calc!F29)))/100+(Inputs!$B$23+((C1308=TRUE)*(F1308-Calc!F29)))/100)/2</f>
        <v/>
      </c>
      <c r="M1281">
        <f>L1281*(1+(Inputs!$B$10+0+B1317)/100)</f>
        <v/>
      </c>
      <c r="N1281">
        <f>L1281*(1-MIN((Inputs!$B$9+((C1299=TRUE)*(F1299-Calc!F20))+B1312),100)/100)+M1281*(MIN((Inputs!$B$9+((C1299=TRUE)*(F1299-Calc!F20))+B1312),100)/100)</f>
        <v/>
      </c>
      <c r="O1281">
        <f>IF(C1281,Skills!G2*N1281*B1316*IF(Inputs!$B$38="pvp",1,(1-Summary!$B$55)*(1)+Summary!$B$55*(MIN((6+Inputs!$B$33),Inputs!$B$37))),0)</f>
        <v/>
      </c>
      <c r="P1281">
        <f>IF(B1320=0,0,O1281/B1320)</f>
        <v/>
      </c>
      <c r="Q1281" t="n">
        <v>0</v>
      </c>
      <c r="R1281" t="n">
        <v>0</v>
      </c>
      <c r="S1281">
        <f>IFERROR(O1281/N1281,0)</f>
        <v/>
      </c>
      <c r="U1281">
        <f>MAX(0,(Inputs!$B$3-100)*3)+Inputs!$B$28+Inputs!$B$29</f>
        <v/>
      </c>
    </row>
    <row r="1282">
      <c r="A1282">
        <f>Skills!A3</f>
        <v/>
      </c>
      <c r="B1282">
        <f>Skills!B3</f>
        <v/>
      </c>
      <c r="C1282">
        <f>Inputs!$B$3&gt;=50</f>
        <v/>
      </c>
      <c r="D1282">
        <f>IF(Skills!C3=1,60+Inputs!$B$25+Inputs!$B$29,IF(Skills!C3=2,90+Inputs!$B$26+Inputs!$B$29,IF(Skills!C3=3,120+Inputs!$B$27+Inputs!$B$29,MAX(0,(Inputs!$B$3-100)*3)+Inputs!$B$28+Inputs!$B$29)))</f>
        <v/>
      </c>
      <c r="E1282">
        <f>INDEX(FactorTable!$B$2:$Y$301, MATCH(ROUND(MIN(300,MAX(1,D1282)),0), FactorTable!$A$2:$A$301,0), Skills!M3+1)</f>
        <v/>
      </c>
      <c r="F1282">
        <f>IF(Skills!N3=TRUE,(Skills!L3/10)*(E1282/1000),Skills!L3/10)+Skills!O3</f>
        <v/>
      </c>
      <c r="G1282" t="inlineStr"/>
      <c r="H1282" t="inlineStr"/>
      <c r="I1282" t="inlineStr">
        <is>
          <t>1</t>
        </is>
      </c>
      <c r="J1282" t="inlineStr"/>
      <c r="K1282" t="inlineStr"/>
      <c r="L1282" t="inlineStr"/>
      <c r="M1282" t="inlineStr"/>
      <c r="N1282" t="inlineStr"/>
      <c r="O1282" t="inlineStr"/>
      <c r="P1282" t="inlineStr"/>
      <c r="Q1282" t="inlineStr"/>
      <c r="R1282" t="inlineStr"/>
      <c r="S1282" t="inlineStr"/>
      <c r="U1282">
        <f>INDEX(FactorTable!$B$2:$Y$301, MATCH(ROUND(MIN(300,MAX(1,U1281)),0), FactorTable!$A$2:$A$301,0), 22)</f>
        <v/>
      </c>
    </row>
    <row r="1283">
      <c r="A1283">
        <f>Skills!A4</f>
        <v/>
      </c>
      <c r="B1283">
        <f>Skills!B4</f>
        <v/>
      </c>
      <c r="C1283">
        <f>Inputs!$B$3&gt;=105</f>
        <v/>
      </c>
      <c r="D1283">
        <f>IF(Skills!C4=1,60+Inputs!$B$25+Inputs!$B$29,IF(Skills!C4=2,90+Inputs!$B$26+Inputs!$B$29,IF(Skills!C4=3,120+Inputs!$B$27+Inputs!$B$29,MAX(0,(Inputs!$B$3-100)*3)+Inputs!$B$28+Inputs!$B$29)))</f>
        <v/>
      </c>
      <c r="E1283">
        <f>INDEX(FactorTable!$B$2:$Y$301, MATCH(ROUND(MIN(300,MAX(1,D1283)),0), FactorTable!$A$2:$A$301,0), Skills!M4+1)</f>
        <v/>
      </c>
      <c r="F1283">
        <f>IF(Skills!N4=TRUE,(Skills!L4/10)*(E1283/1000),Skills!L4/10)+Skills!O4</f>
        <v/>
      </c>
      <c r="G1283" t="inlineStr"/>
      <c r="H1283" t="inlineStr"/>
      <c r="I1283" t="inlineStr">
        <is>
          <t>1</t>
        </is>
      </c>
      <c r="J1283" t="inlineStr"/>
      <c r="K1283" t="inlineStr"/>
      <c r="L1283" t="inlineStr"/>
      <c r="M1283" t="inlineStr"/>
      <c r="N1283" t="inlineStr"/>
      <c r="O1283" t="inlineStr"/>
      <c r="P1283" t="inlineStr"/>
      <c r="Q1283" t="inlineStr"/>
      <c r="R1283" t="inlineStr"/>
      <c r="S1283" t="inlineStr"/>
      <c r="U1283">
        <f>290*U1282/1000</f>
        <v/>
      </c>
    </row>
    <row r="1284">
      <c r="A1284">
        <f>Skills!A5</f>
        <v/>
      </c>
      <c r="B1284">
        <f>Skills!B5</f>
        <v/>
      </c>
      <c r="C1284">
        <f>Inputs!$B$3&gt;=35</f>
        <v/>
      </c>
      <c r="D1284">
        <f>IF(Skills!C5=1,60+Inputs!$B$25+Inputs!$B$29,IF(Skills!C5=2,90+Inputs!$B$26+Inputs!$B$29,IF(Skills!C5=3,120+Inputs!$B$27+Inputs!$B$29,MAX(0,(Inputs!$B$3-100)*3)+Inputs!$B$28+Inputs!$B$29)))</f>
        <v/>
      </c>
      <c r="E1284">
        <f>INDEX(FactorTable!$B$2:$Y$301, MATCH(ROUND(MIN(300,MAX(1,D1284)),0), FactorTable!$A$2:$A$301,0), Skills!M5+1)</f>
        <v/>
      </c>
      <c r="F1284">
        <f>IF(Skills!N5=TRUE,(Skills!L5/10)*(E1284/1000),Skills!L5/10)+Skills!O5</f>
        <v/>
      </c>
      <c r="G1284">
        <f>Skills!G5*IF(Skills!H5&gt;0,Skills!I5/Skills!H5,1)</f>
        <v/>
      </c>
      <c r="H1284">
        <f>1-(1-Skills!J5/100)^Skills!K5</f>
        <v/>
      </c>
      <c r="I1284" t="inlineStr">
        <is>
          <t>1</t>
        </is>
      </c>
      <c r="J1284">
        <f>((Inputs!$B$6*(1+Inputs!$B$7/100))+(((Inputs!$B$12*(1+Inputs!$B$13/100))-(Inputs!$B$12*(1+Inputs!$B$13/100)))+0.25*(Inputs!$B$14-Inputs!$B$14))*(1+Inputs!$B$7/100))*(F1284/100)</f>
        <v/>
      </c>
      <c r="K1284">
        <f>J1284*(1+((Inputs!$B$12*(1+Inputs!$B$13/100))*0.01+Inputs!$B$14*0.0025)/100)*(1+Inputs!$B$15/100)*(1+IF(Inputs!$B$38="pvp",0,(1-Summary!$B$55)*(Inputs!$B$20+0+Skills!P5)+Summary!$B$55*(Inputs!$B$21+Skills!Q5))/100)*(1+Inputs!$B$16/100)*(5000/(6000+Inputs!$B$42*(1-(Inputs!$B$19+((C1306=TRUE)*(F1306-Calc!F27)))/100)))*(1+(Inputs!$B$24+((C1304=TRUE)*(F1304-Calc!F25))+((C1305=TRUE)*(F1305-Calc!F26))+B1318)/100)*(1+4.0*IF(C1289=TRUE,F1289,0)/100)*(1+(IF(Skills!A5="ARROW_STREAM",Inputs!$B$17+((C1302=TRUE)*(F1302-Calc!F23)),Inputs!$B$18+((C1307=TRUE)*(F1307-Calc!F28))))/100)*((1+(((C1292=TRUE)*F1292)+((C1293=TRUE)*IF(Inputs!$B$38="pvp",F1293,(1-Summary!$B$55)*(F1293)+Summary!$B$55*(0)))+((C1294=TRUE)*F1294*IF(AND(Inputs!$B$38&lt;&gt;"pvp",Inputs!$B$43&gt;0),(((R1294-1)*(Skills!T15*(1+Inputs!$B$34/100))+MIN((Skills!T15*(1+Inputs!$B$34/100)),MAX(0,Inputs!$B$43-((R1294-1)*Skills!D15))))/Inputs!$B$43),IF(Inputs!$B$38="pvp",MIN((Skills!T15*(1+Inputs!$B$34/100)),15)/15,(Skills!T15*(1+Inputs!$B$34/100))/Skills!D15)))+((C1309=TRUE)*(F1309-Calc!F30)))/100)*I1284)</f>
        <v/>
      </c>
      <c r="L1284">
        <f>K1284*(MIN(Inputs!$B$22+((C1303=TRUE)*(F1303-Calc!F24)),Inputs!$B$23+((C1308=TRUE)*(F1308-Calc!F29)))/100+(Inputs!$B$23+((C1308=TRUE)*(F1308-Calc!F29)))/100)/2</f>
        <v/>
      </c>
      <c r="M1284">
        <f>L1284*(1+(Inputs!$B$10+0+B1317)/100)</f>
        <v/>
      </c>
      <c r="N1284">
        <f>L1284*(1-MIN((Inputs!$B$9+((C1299=TRUE)*(F1299-Calc!F20))+B1312),100)/100)+M1284*(MIN((Inputs!$B$9+((C1299=TRUE)*(F1299-Calc!F20))+B1312),100)/100)</f>
        <v/>
      </c>
      <c r="O1284">
        <f>IF(C1284,H1284*N1284*IF(AND(Inputs!$B$38&lt;&gt;"pvp",Inputs!$B$43&gt;0),((Skills!G5*((R1284-1)*IF(Skills!H5&gt;0,Skills!I5/Skills!H5,1)+IF(Skills!H5&gt;0,MIN(Skills!I5,MAX(0,MAX(0,Inputs!$B$43-B1319)-((R1284-1)*IF(Inputs!$B$38="pvp",15,MAX(0.1,Skills!D5-IF(Skills!E5=TRUE,1.5,0))))))/Skills!H5,1)))/Inputs!$B$43),G1284*Q1284)*IF(Inputs!$B$38="pvp",1,(1-Summary!$B$55)*(1)+Summary!$B$55*(MIN(Skills!R5,Inputs!$B$37))),0)</f>
        <v/>
      </c>
      <c r="P1284">
        <f>IF(B1320=0,0,O1284/B1320)</f>
        <v/>
      </c>
      <c r="Q1284">
        <f>IFERROR(1/IF(Inputs!$B$38="pvp",15,MAX(0.1,Skills!D5-IF(Skills!E5=TRUE,1.5,0))),0)</f>
        <v/>
      </c>
      <c r="R1284">
        <f>IF(AND(Inputs!$B$38&lt;&gt;"pvp",Inputs!$B$43&gt;0),IF(MAX(0,Inputs!$B$43-B1319)&lt;=0,0,(INT(MAX(0,Inputs!$B$43-B1319)/IF(Inputs!$B$38="pvp",15,MAX(0.1,Skills!D5-IF(Skills!E5=TRUE,1.5,0))))+1)),0)</f>
        <v/>
      </c>
      <c r="S1284">
        <f>IFERROR(O1284/N1284,0)</f>
        <v/>
      </c>
    </row>
    <row r="1285">
      <c r="A1285">
        <f>Skills!A6</f>
        <v/>
      </c>
      <c r="B1285">
        <f>Skills!B6</f>
        <v/>
      </c>
      <c r="C1285">
        <f>Inputs!$B$3&gt;=40</f>
        <v/>
      </c>
      <c r="D1285">
        <f>IF(Skills!C6=1,60+Inputs!$B$25+Inputs!$B$29,IF(Skills!C6=2,90+Inputs!$B$26+Inputs!$B$29,IF(Skills!C6=3,120+Inputs!$B$27+Inputs!$B$29,MAX(0,(Inputs!$B$3-100)*3)+Inputs!$B$28+Inputs!$B$29)))</f>
        <v/>
      </c>
      <c r="E1285">
        <f>INDEX(FactorTable!$B$2:$Y$301, MATCH(ROUND(MIN(300,MAX(1,D1285)),0), FactorTable!$A$2:$A$301,0), Skills!M6+1)</f>
        <v/>
      </c>
      <c r="F1285">
        <f>IF(Skills!N6=TRUE,(Skills!L6/10)*(E1285/1000),Skills!L6/10)+Skills!O6</f>
        <v/>
      </c>
      <c r="G1285">
        <f>Skills!G6*IF(Skills!H6&gt;0,Skills!I6/Skills!H6,1)</f>
        <v/>
      </c>
      <c r="H1285">
        <f>1-(1-Skills!J6/100)^Skills!K6</f>
        <v/>
      </c>
      <c r="I1285" t="inlineStr">
        <is>
          <t>1</t>
        </is>
      </c>
      <c r="J1285">
        <f>((Inputs!$B$6*(1+Inputs!$B$7/100))+(((Inputs!$B$12*(1+Inputs!$B$13/100))-(Inputs!$B$12*(1+Inputs!$B$13/100)))+0.25*(Inputs!$B$14-Inputs!$B$14))*(1+Inputs!$B$7/100))*(F1285/100)</f>
        <v/>
      </c>
      <c r="K1285">
        <f>J1285*(1+((Inputs!$B$12*(1+Inputs!$B$13/100))*0.01+Inputs!$B$14*0.0025)/100)*(1+Inputs!$B$15/100)*(1+IF(Inputs!$B$38="pvp",0,(1-Summary!$B$55)*(Inputs!$B$20+0+Skills!P6)+Summary!$B$55*(Inputs!$B$21+Skills!Q6))/100)*(1+Inputs!$B$16/100)*(5000/(6000+Inputs!$B$42*(1-(Inputs!$B$19+((C1306=TRUE)*(F1306-Calc!F27)))/100)))*(1+(Inputs!$B$24+((C1304=TRUE)*(F1304-Calc!F25))+((C1305=TRUE)*(F1305-Calc!F26))+B1318)/100)*(1+IF(C1286=TRUE,F1286,0)/100)*(1+(IF(Skills!A6="ARROW_STREAM",Inputs!$B$17+((C1302=TRUE)*(F1302-Calc!F23)),Inputs!$B$18+((C1307=TRUE)*(F1307-Calc!F28))))/100)*((1+(((C1292=TRUE)*F1292)+((C1293=TRUE)*IF(Inputs!$B$38="pvp",F1293,(1-Summary!$B$55)*(F1293)+Summary!$B$55*(0)))+((C1294=TRUE)*F1294*IF(AND(Inputs!$B$38&lt;&gt;"pvp",Inputs!$B$43&gt;0),(((R1294-1)*(Skills!T15*(1+Inputs!$B$34/100))+MIN((Skills!T15*(1+Inputs!$B$34/100)),MAX(0,Inputs!$B$43-((R1294-1)*Skills!D15))))/Inputs!$B$43),IF(Inputs!$B$38="pvp",MIN((Skills!T15*(1+Inputs!$B$34/100)),15)/15,(Skills!T15*(1+Inputs!$B$34/100))/Skills!D15)))+((C1309=TRUE)*(F1309-Calc!F30)))/100)*I1285)</f>
        <v/>
      </c>
      <c r="L1285">
        <f>K1285*(MIN(Inputs!$B$22+((C1303=TRUE)*(F1303-Calc!F24)),Inputs!$B$23+((C1308=TRUE)*(F1308-Calc!F29)))/100+(Inputs!$B$23+((C1308=TRUE)*(F1308-Calc!F29)))/100)/2</f>
        <v/>
      </c>
      <c r="M1285">
        <f>L1285*(1+(Inputs!$B$10+0+B1317)/100)</f>
        <v/>
      </c>
      <c r="N1285">
        <f>L1285*(1-MIN((Inputs!$B$9+((C1299=TRUE)*(F1299-Calc!F20))+B1312),100)/100)+M1285*(MIN((Inputs!$B$9+((C1299=TRUE)*(F1299-Calc!F20))+B1312),100)/100)</f>
        <v/>
      </c>
      <c r="O1285">
        <f>IF(C1285,H1285*N1285*IF(AND(Inputs!$B$38&lt;&gt;"pvp",Inputs!$B$43&gt;0),((Skills!G6*((R1285-1)*IF(Skills!H6&gt;0,Skills!I6/Skills!H6,1)+IF(Skills!H6&gt;0,MIN(Skills!I6,MAX(0,MAX(0,Inputs!$B$43-B1319)-((R1285-1)*IF(Inputs!$B$38="pvp",15,MAX(0.1,Skills!D6-IF(Skills!E6=TRUE,1.5,0))))))/Skills!H6,1)))/Inputs!$B$43),G1285*Q1285)*IF(Inputs!$B$38="pvp",1,(1-Summary!$B$55)*(1)+Summary!$B$55*(MIN(Skills!R6,Inputs!$B$37))),0)</f>
        <v/>
      </c>
      <c r="P1285">
        <f>IF(B1320=0,0,O1285/B1320)</f>
        <v/>
      </c>
      <c r="Q1285">
        <f>IFERROR(1/IF(Inputs!$B$38="pvp",15,MAX(0.1,Skills!D6-IF(Skills!E6=TRUE,1.5,0))),0)</f>
        <v/>
      </c>
      <c r="R1285">
        <f>IF(AND(Inputs!$B$38&lt;&gt;"pvp",Inputs!$B$43&gt;0),IF(MAX(0,Inputs!$B$43-B1319)&lt;=0,0,(INT(MAX(0,Inputs!$B$43-B1319)/IF(Inputs!$B$38="pvp",15,MAX(0.1,Skills!D6-IF(Skills!E6=TRUE,1.5,0))))+1)),0)</f>
        <v/>
      </c>
      <c r="S1285">
        <f>IFERROR(O1285/N1285,0)</f>
        <v/>
      </c>
    </row>
    <row r="1286">
      <c r="A1286">
        <f>Skills!A7</f>
        <v/>
      </c>
      <c r="B1286">
        <f>Skills!B7</f>
        <v/>
      </c>
      <c r="C1286">
        <f>Inputs!$B$3&gt;=107</f>
        <v/>
      </c>
      <c r="D1286">
        <f>IF(Skills!C7=1,60+Inputs!$B$25+Inputs!$B$29,IF(Skills!C7=2,90+Inputs!$B$26+Inputs!$B$29,IF(Skills!C7=3,120+Inputs!$B$27+Inputs!$B$29,MAX(0,(Inputs!$B$3-100)*3)+Inputs!$B$28+Inputs!$B$29)))</f>
        <v/>
      </c>
      <c r="E1286">
        <f>INDEX(FactorTable!$B$2:$Y$301, MATCH(ROUND(MIN(300,MAX(1,D1286)),0), FactorTable!$A$2:$A$301,0), Skills!M7+1)</f>
        <v/>
      </c>
      <c r="F1286">
        <f>IF(Skills!N7=TRUE,(Skills!L7/10)*(E1286/1000),Skills!L7/10)+Skills!O7</f>
        <v/>
      </c>
      <c r="G1286" t="inlineStr"/>
      <c r="H1286" t="inlineStr"/>
      <c r="I1286" t="inlineStr">
        <is>
          <t>1</t>
        </is>
      </c>
      <c r="J1286" t="inlineStr"/>
      <c r="K1286" t="inlineStr"/>
      <c r="L1286" t="inlineStr"/>
      <c r="M1286" t="inlineStr"/>
      <c r="N1286" t="inlineStr"/>
      <c r="O1286" t="inlineStr"/>
      <c r="P1286" t="inlineStr"/>
      <c r="Q1286" t="inlineStr"/>
      <c r="R1286" t="inlineStr"/>
      <c r="S1286" t="inlineStr"/>
    </row>
    <row r="1287">
      <c r="A1287">
        <f>Skills!A8</f>
        <v/>
      </c>
      <c r="B1287">
        <f>Skills!B8</f>
        <v/>
      </c>
      <c r="C1287">
        <f>Inputs!$B$3&gt;=69</f>
        <v/>
      </c>
      <c r="D1287">
        <f>IF(Skills!C8=1,60+Inputs!$B$25+Inputs!$B$29,IF(Skills!C8=2,90+Inputs!$B$26+Inputs!$B$29,IF(Skills!C8=3,120+Inputs!$B$27+Inputs!$B$29,MAX(0,(Inputs!$B$3-100)*3)+Inputs!$B$28+Inputs!$B$29)))</f>
        <v/>
      </c>
      <c r="E1287">
        <f>INDEX(FactorTable!$B$2:$Y$301, MATCH(ROUND(MIN(300,MAX(1,D1287)),0), FactorTable!$A$2:$A$301,0), Skills!M8+1)</f>
        <v/>
      </c>
      <c r="F1287">
        <f>IF(Skills!N8=TRUE,(Skills!L8/10)*(E1287/1000),Skills!L8/10)+Skills!O8</f>
        <v/>
      </c>
      <c r="G1287">
        <f>Skills!G8*IF(Skills!H8&gt;0,Skills!I8/Skills!H8,1)</f>
        <v/>
      </c>
      <c r="H1287">
        <f>1-(1-Skills!J8/100)^Skills!K8</f>
        <v/>
      </c>
      <c r="I1287" t="inlineStr">
        <is>
          <t>1</t>
        </is>
      </c>
      <c r="J1287">
        <f>((Inputs!$B$6*(1+Inputs!$B$7/100))+(((Inputs!$B$12*(1+Inputs!$B$13/100))-(Inputs!$B$12*(1+Inputs!$B$13/100)))+0.25*(Inputs!$B$14-Inputs!$B$14))*(1+Inputs!$B$7/100))*(F1287/100)</f>
        <v/>
      </c>
      <c r="K1287">
        <f>J1287*(1+((Inputs!$B$12*(1+Inputs!$B$13/100))*0.01+Inputs!$B$14*0.0025)/100)*(1+Inputs!$B$15/100)*(1+IF(Inputs!$B$38="pvp",0,(1-Summary!$B$55)*(Inputs!$B$20+0+Skills!P8)+Summary!$B$55*(Inputs!$B$21+Skills!Q8))/100)*(1+Inputs!$B$16/100)*(5000/(6000+Inputs!$B$42*(1-(Inputs!$B$19+((C1306=TRUE)*(F1306-Calc!F27)))/100)))*(1+(Inputs!$B$24+((C1304=TRUE)*(F1304-Calc!F25))+((C1305=TRUE)*(F1305-Calc!F26))+B1318)/100)*(1+1.2*IF(C1289=TRUE,F1289,0)/100)*(1+(IF(Skills!A8="ARROW_STREAM",Inputs!$B$17+((C1302=TRUE)*(F1302-Calc!F23)),Inputs!$B$18+((C1307=TRUE)*(F1307-Calc!F28))))/100)*((1+(((C1292=TRUE)*F1292)+((C1293=TRUE)*IF(Inputs!$B$38="pvp",F1293,(1-Summary!$B$55)*(F1293)+Summary!$B$55*(0)))+((C1294=TRUE)*F1294*IF(AND(Inputs!$B$38&lt;&gt;"pvp",Inputs!$B$43&gt;0),(((R1294-1)*(Skills!T15*(1+Inputs!$B$34/100))+MIN((Skills!T15*(1+Inputs!$B$34/100)),MAX(0,Inputs!$B$43-((R1294-1)*Skills!D15))))/Inputs!$B$43),IF(Inputs!$B$38="pvp",MIN((Skills!T15*(1+Inputs!$B$34/100)),15)/15,(Skills!T15*(1+Inputs!$B$34/100))/Skills!D15)))+((C1309=TRUE)*(F1309-Calc!F30)))/100)*I1287)</f>
        <v/>
      </c>
      <c r="L1287">
        <f>K1287*(MIN(Inputs!$B$22+((C1303=TRUE)*(F1303-Calc!F24)),Inputs!$B$23+((C1308=TRUE)*(F1308-Calc!F29)))/100+(Inputs!$B$23+((C1308=TRUE)*(F1308-Calc!F29)))/100)/2</f>
        <v/>
      </c>
      <c r="M1287">
        <f>L1287*(1+(Inputs!$B$10+0+B1317)/100)</f>
        <v/>
      </c>
      <c r="N1287">
        <f>L1287*(1-MIN((Inputs!$B$9+((C1299=TRUE)*(F1299-Calc!F20))+B1312),100)/100)+M1287*(MIN((Inputs!$B$9+((C1299=TRUE)*(F1299-Calc!F20))+B1312),100)/100)</f>
        <v/>
      </c>
      <c r="O1287">
        <f>IF(C1287,H1287*N1287*IF(AND(Inputs!$B$38&lt;&gt;"pvp",Inputs!$B$43&gt;0),((Skills!G8*((R1287-1)*IF(Skills!H8&gt;0,Skills!I8/Skills!H8,1)+IF(Skills!H8&gt;0,MIN(Skills!I8,MAX(0,MAX(0,Inputs!$B$43-B1319)-((R1287-1)*IF(Inputs!$B$38="pvp",15,MAX(0.1,Skills!D8-IF(Skills!E8=TRUE,1.5,0))))))/Skills!H8,1)))/Inputs!$B$43),G1287*Q1287)*IF(Inputs!$B$38="pvp",1,(1-Summary!$B$55)*(1)+Summary!$B$55*(MIN(Skills!R8,Inputs!$B$37))),0)</f>
        <v/>
      </c>
      <c r="P1287">
        <f>IF(B1320=0,0,O1287/B1320)</f>
        <v/>
      </c>
      <c r="Q1287">
        <f>IFERROR(1/IF(Inputs!$B$38="pvp",15,MAX(0.1,Skills!D8-IF(Skills!E8=TRUE,1.5,0))),0)</f>
        <v/>
      </c>
      <c r="R1287">
        <f>IF(AND(Inputs!$B$38&lt;&gt;"pvp",Inputs!$B$43&gt;0),IF(MAX(0,Inputs!$B$43-B1319)&lt;=0,0,(INT(MAX(0,Inputs!$B$43-B1319)/IF(Inputs!$B$38="pvp",15,MAX(0.1,Skills!D8-IF(Skills!E8=TRUE,1.5,0))))+1)),0)</f>
        <v/>
      </c>
      <c r="S1287">
        <f>IFERROR(O1287/N1287,0)</f>
        <v/>
      </c>
    </row>
    <row r="1288">
      <c r="A1288">
        <f>Skills!A9</f>
        <v/>
      </c>
      <c r="B1288">
        <f>Skills!B9</f>
        <v/>
      </c>
      <c r="C1288">
        <f>Inputs!$B$3&gt;=63</f>
        <v/>
      </c>
      <c r="D1288">
        <f>IF(Skills!C9=1,60+Inputs!$B$25+Inputs!$B$29,IF(Skills!C9=2,90+Inputs!$B$26+Inputs!$B$29,IF(Skills!C9=3,120+Inputs!$B$27+Inputs!$B$29,MAX(0,(Inputs!$B$3-100)*3)+Inputs!$B$28+Inputs!$B$29)))</f>
        <v/>
      </c>
      <c r="E1288">
        <f>INDEX(FactorTable!$B$2:$Y$301, MATCH(ROUND(MIN(300,MAX(1,D1288)),0), FactorTable!$A$2:$A$301,0), Skills!M9+1)</f>
        <v/>
      </c>
      <c r="F1288">
        <f>IF(Skills!N9=TRUE,(Skills!L9/10)*(E1288/1000),Skills!L9/10)+Skills!O9</f>
        <v/>
      </c>
      <c r="G1288">
        <f>Skills!G9*IF(Skills!H9&gt;0,Skills!I9/Skills!H9,1)</f>
        <v/>
      </c>
      <c r="H1288">
        <f>1-(1-Skills!J9/100)^Skills!K9</f>
        <v/>
      </c>
      <c r="I1288" t="inlineStr">
        <is>
          <t>1</t>
        </is>
      </c>
      <c r="J1288">
        <f>((Inputs!$B$6*(1+Inputs!$B$7/100))+(((Inputs!$B$12*(1+Inputs!$B$13/100))-(Inputs!$B$12*(1+Inputs!$B$13/100)))+0.25*(Inputs!$B$14-Inputs!$B$14))*(1+Inputs!$B$7/100))*(F1288/100)</f>
        <v/>
      </c>
      <c r="K1288">
        <f>J1288*(1+((Inputs!$B$12*(1+Inputs!$B$13/100))*0.01+Inputs!$B$14*0.0025)/100)*(1+Inputs!$B$15/100)*(1+IF(Inputs!$B$38="pvp",0,(1-Summary!$B$55)*(Inputs!$B$20+0+Skills!P9)+Summary!$B$55*(Inputs!$B$21+Skills!Q9))/100)*(1+Inputs!$B$16/100)*(5000/(6000+Inputs!$B$42*(1-(Inputs!$B$19+((C1306=TRUE)*(F1306-Calc!F27)))/100)))*(1+(Inputs!$B$24+((C1304=TRUE)*(F1304-Calc!F25))+((C1305=TRUE)*(F1305-Calc!F26))+B1318)/100)*(1+1.0*IF(C1289=TRUE,F1289,0)/100)*(1+(IF(Skills!A9="ARROW_STREAM",Inputs!$B$17+((C1302=TRUE)*(F1302-Calc!F23)),Inputs!$B$18+((C1307=TRUE)*(F1307-Calc!F28))))/100)*((1+(((C1292=TRUE)*F1292)+((C1293=TRUE)*IF(Inputs!$B$38="pvp",F1293,(1-Summary!$B$55)*(F1293)+Summary!$B$55*(0)))+((C1294=TRUE)*F1294*IF(AND(Inputs!$B$38&lt;&gt;"pvp",Inputs!$B$43&gt;0),(((R1294-1)*(Skills!T15*(1+Inputs!$B$34/100))+MIN((Skills!T15*(1+Inputs!$B$34/100)),MAX(0,Inputs!$B$43-((R1294-1)*Skills!D15))))/Inputs!$B$43),IF(Inputs!$B$38="pvp",MIN((Skills!T15*(1+Inputs!$B$34/100)),15)/15,(Skills!T15*(1+Inputs!$B$34/100))/Skills!D15)))+((C1309=TRUE)*(F1309-Calc!F30)))/100)*I1288)</f>
        <v/>
      </c>
      <c r="L1288">
        <f>K1288*(MIN(Inputs!$B$22+((C1303=TRUE)*(F1303-Calc!F24)),Inputs!$B$23+((C1308=TRUE)*(F1308-Calc!F29)))/100+(Inputs!$B$23+((C1308=TRUE)*(F1308-Calc!F29)))/100)/2</f>
        <v/>
      </c>
      <c r="M1288">
        <f>L1288*(1+(Inputs!$B$10+0+B1317)/100)</f>
        <v/>
      </c>
      <c r="N1288">
        <f>L1288*(1-MIN((Inputs!$B$9+((C1299=TRUE)*(F1299-Calc!F20))+B1312),100)/100)+M1288*(MIN((Inputs!$B$9+((C1299=TRUE)*(F1299-Calc!F20))+B1312),100)/100)</f>
        <v/>
      </c>
      <c r="O1288">
        <f>IF(C1288,H1288*N1288*IF(AND(Inputs!$B$38&lt;&gt;"pvp",Inputs!$B$43&gt;0),((Skills!G9*((R1288-1)*IF(Skills!H9&gt;0,Skills!I9/Skills!H9,1)+IF(Skills!H9&gt;0,MIN(Skills!I9,MAX(0,MAX(0,Inputs!$B$43-B1319)-((R1288-1)*IF(Inputs!$B$38="pvp",15,MAX(0.1,Skills!D9-IF(Skills!E9=TRUE,1.5,0))))))/Skills!H9,1)))/Inputs!$B$43),G1288*Q1288)*IF(Inputs!$B$38="pvp",1,(1-Summary!$B$55)*(1)+Summary!$B$55*(MIN(Skills!R9,Inputs!$B$37))),0)</f>
        <v/>
      </c>
      <c r="P1288">
        <f>IF(B1320=0,0,O1288/B1320)</f>
        <v/>
      </c>
      <c r="Q1288">
        <f>IFERROR(1/IF(Inputs!$B$38="pvp",15,MAX(0.1,Skills!D9-IF(Skills!E9=TRUE,1.5,0))),0)</f>
        <v/>
      </c>
      <c r="R1288">
        <f>IF(AND(Inputs!$B$38&lt;&gt;"pvp",Inputs!$B$43&gt;0),IF(MAX(0,Inputs!$B$43-B1319)&lt;=0,0,(INT(MAX(0,Inputs!$B$43-B1319)/IF(Inputs!$B$38="pvp",15,MAX(0.1,Skills!D9-IF(Skills!E9=TRUE,1.5,0))))+1)),0)</f>
        <v/>
      </c>
      <c r="S1288">
        <f>IFERROR(O1288/N1288,0)</f>
        <v/>
      </c>
    </row>
    <row r="1289">
      <c r="A1289">
        <f>Skills!A10</f>
        <v/>
      </c>
      <c r="B1289">
        <f>Skills!B10</f>
        <v/>
      </c>
      <c r="C1289">
        <f>Inputs!$B$3&gt;=100</f>
        <v/>
      </c>
      <c r="D1289">
        <f>IF(Skills!C10=1,60+Inputs!$B$25+Inputs!$B$29,IF(Skills!C10=2,90+Inputs!$B$26+Inputs!$B$29,IF(Skills!C10=3,120+Inputs!$B$27+Inputs!$B$29,MAX(0,(Inputs!$B$3-100)*3)+Inputs!$B$28+Inputs!$B$29)))</f>
        <v/>
      </c>
      <c r="E1289">
        <f>INDEX(FactorTable!$B$2:$Y$301, MATCH(ROUND(MIN(300,MAX(1,D1289)),0), FactorTable!$A$2:$A$301,0), Skills!M10+1)</f>
        <v/>
      </c>
      <c r="F1289">
        <f>IF(Skills!N10=TRUE,(Skills!L10/10)*(E1289/1000),Skills!L10/10)+Skills!O10</f>
        <v/>
      </c>
      <c r="G1289" t="inlineStr"/>
      <c r="H1289" t="inlineStr"/>
      <c r="I1289" t="inlineStr">
        <is>
          <t>1</t>
        </is>
      </c>
      <c r="J1289" t="inlineStr"/>
      <c r="K1289" t="inlineStr"/>
      <c r="L1289" t="inlineStr"/>
      <c r="M1289" t="inlineStr"/>
      <c r="N1289" t="inlineStr"/>
      <c r="O1289" t="inlineStr"/>
      <c r="P1289" t="inlineStr"/>
      <c r="Q1289" t="inlineStr"/>
      <c r="R1289" t="inlineStr"/>
      <c r="S1289" t="inlineStr"/>
    </row>
    <row r="1290">
      <c r="A1290">
        <f>Skills!A11</f>
        <v/>
      </c>
      <c r="B1290">
        <f>Skills!B11</f>
        <v/>
      </c>
      <c r="C1290">
        <f>Inputs!$B$3&gt;=60</f>
        <v/>
      </c>
      <c r="D1290">
        <f>IF(Skills!C11=1,60+Inputs!$B$25+Inputs!$B$29,IF(Skills!C11=2,90+Inputs!$B$26+Inputs!$B$29,IF(Skills!C11=3,120+Inputs!$B$27+Inputs!$B$29,MAX(0,(Inputs!$B$3-100)*3)+Inputs!$B$28+Inputs!$B$29)))</f>
        <v/>
      </c>
      <c r="E1290">
        <f>INDEX(FactorTable!$B$2:$Y$301, MATCH(ROUND(MIN(300,MAX(1,D1290)),0), FactorTable!$A$2:$A$301,0), Skills!M11+1)</f>
        <v/>
      </c>
      <c r="F1290">
        <f>IF(Skills!N11=TRUE,(Skills!L11/10)*(E1290/1000),Skills!L11/10)+Skills!O11</f>
        <v/>
      </c>
      <c r="G1290">
        <f>Skills!G11*IF(Skills!H11&gt;0,Skills!I11/Skills!H11,1)</f>
        <v/>
      </c>
      <c r="H1290">
        <f>1-(1-Skills!J11/100)^Skills!K11</f>
        <v/>
      </c>
      <c r="I1290" t="inlineStr">
        <is>
          <t>1</t>
        </is>
      </c>
      <c r="J1290">
        <f>((Inputs!$B$6*(1+Inputs!$B$7/100))+(((Inputs!$B$12*(1+Inputs!$B$13/100))-(Inputs!$B$12*(1+Inputs!$B$13/100)))+0.25*(Inputs!$B$14-Inputs!$B$14))*(1+Inputs!$B$7/100))*(F1290/100)</f>
        <v/>
      </c>
      <c r="K1290">
        <f>J1290*(1+((Inputs!$B$12*(1+Inputs!$B$13/100))*0.01+Inputs!$B$14*0.0025)/100)*(1+Inputs!$B$15/100)*(1+IF(Inputs!$B$38="pvp",0,(1-Summary!$B$55)*(Inputs!$B$20+0+Skills!P11)+Summary!$B$55*(Inputs!$B$21+Skills!Q11))/100)*(1+Inputs!$B$16/100)*(5000/(6000+Inputs!$B$42*(1-(Inputs!$B$19+((C1306=TRUE)*(F1306-Calc!F27)))/100)))*(1+(Inputs!$B$24+((C1304=TRUE)*(F1304-Calc!F25))+((C1305=TRUE)*(F1305-Calc!F26))+B1318)/100)*(1+IF(C1291=TRUE,F1291,0)/100)*(1+(IF(Skills!A11="ARROW_STREAM",Inputs!$B$17+((C1302=TRUE)*(F1302-Calc!F23)),Inputs!$B$18+((C1307=TRUE)*(F1307-Calc!F28))))/100)*((1+(((C1292=TRUE)*F1292)+((C1293=TRUE)*IF(Inputs!$B$38="pvp",F1293,(1-Summary!$B$55)*(F1293)+Summary!$B$55*(0)))+((C1294=TRUE)*F1294*IF(AND(Inputs!$B$38&lt;&gt;"pvp",Inputs!$B$43&gt;0),(((R1294-1)*(Skills!T15*(1+Inputs!$B$34/100))+MIN((Skills!T15*(1+Inputs!$B$34/100)),MAX(0,Inputs!$B$43-((R1294-1)*Skills!D15))))/Inputs!$B$43),IF(Inputs!$B$38="pvp",MIN((Skills!T15*(1+Inputs!$B$34/100)),15)/15,(Skills!T15*(1+Inputs!$B$34/100))/Skills!D15)))+((C1309=TRUE)*(F1309-Calc!F30)))/100)*I1290)</f>
        <v/>
      </c>
      <c r="L1290">
        <f>K1290*(MIN(Inputs!$B$22+((C1303=TRUE)*(F1303-Calc!F24)),Inputs!$B$23+((C1308=TRUE)*(F1308-Calc!F29)))/100+(Inputs!$B$23+((C1308=TRUE)*(F1308-Calc!F29)))/100)/2</f>
        <v/>
      </c>
      <c r="M1290">
        <f>L1290*(1+(Inputs!$B$10+0+B1317)/100)</f>
        <v/>
      </c>
      <c r="N1290">
        <f>L1290*(1-MIN((Inputs!$B$9+((C1299=TRUE)*(F1299-Calc!F20))+B1312),100)/100)+M1290*(MIN((Inputs!$B$9+((C1299=TRUE)*(F1299-Calc!F20))+B1312),100)/100)</f>
        <v/>
      </c>
      <c r="O1290">
        <f>IF(C1290,H1290*N1290*IF(AND(Inputs!$B$38&lt;&gt;"pvp",Inputs!$B$43&gt;0),((Skills!G11*((R1290-1)*IF(Skills!H11&gt;0,Skills!I11/Skills!H11,1)+IF(Skills!H11&gt;0,MIN(Skills!I11,MAX(0,MAX(0,Inputs!$B$43-B1319)-((R1290-1)*IF(Inputs!$B$38="pvp",15,MAX(0.1,Skills!D11-IF(Skills!E11=TRUE,1.5,0))))))/Skills!H11,1)))/Inputs!$B$43),G1290*Q1290)*IF(Inputs!$B$38="pvp",1,(1-Summary!$B$55)*(1)+Summary!$B$55*(MIN(Skills!R11,Inputs!$B$37))),0)</f>
        <v/>
      </c>
      <c r="P1290">
        <f>IF(B1320=0,0,O1290/B1320)</f>
        <v/>
      </c>
      <c r="Q1290">
        <f>IFERROR(1/IF(Inputs!$B$38="pvp",15,MAX(0.1,Skills!D11-IF(Skills!E11=TRUE,1.5,0))),0)</f>
        <v/>
      </c>
      <c r="R1290">
        <f>IF(AND(Inputs!$B$38&lt;&gt;"pvp",Inputs!$B$43&gt;0),IF(MAX(0,Inputs!$B$43-B1319)&lt;=0,0,(INT(MAX(0,Inputs!$B$43-B1319)/IF(Inputs!$B$38="pvp",15,MAX(0.1,Skills!D11-IF(Skills!E11=TRUE,1.5,0))))+1)),0)</f>
        <v/>
      </c>
      <c r="S1290">
        <f>IFERROR(O1290/N1290,0)</f>
        <v/>
      </c>
    </row>
    <row r="1291">
      <c r="A1291">
        <f>Skills!A12</f>
        <v/>
      </c>
      <c r="B1291">
        <f>Skills!B12</f>
        <v/>
      </c>
      <c r="C1291">
        <f>Inputs!$B$3&gt;=110</f>
        <v/>
      </c>
      <c r="D1291">
        <f>IF(Skills!C12=1,60+Inputs!$B$25+Inputs!$B$29,IF(Skills!C12=2,90+Inputs!$B$26+Inputs!$B$29,IF(Skills!C12=3,120+Inputs!$B$27+Inputs!$B$29,MAX(0,(Inputs!$B$3-100)*3)+Inputs!$B$28+Inputs!$B$29)))</f>
        <v/>
      </c>
      <c r="E1291">
        <f>INDEX(FactorTable!$B$2:$Y$301, MATCH(ROUND(MIN(300,MAX(1,D1291)),0), FactorTable!$A$2:$A$301,0), Skills!M12+1)</f>
        <v/>
      </c>
      <c r="F1291">
        <f>IF(Skills!N12=TRUE,(Skills!L12/10)*(E1291/1000),Skills!L12/10)+Skills!O12</f>
        <v/>
      </c>
      <c r="G1291" t="inlineStr"/>
      <c r="H1291" t="inlineStr"/>
      <c r="I1291" t="inlineStr">
        <is>
          <t>1</t>
        </is>
      </c>
      <c r="J1291" t="inlineStr"/>
      <c r="K1291" t="inlineStr"/>
      <c r="L1291" t="inlineStr"/>
      <c r="M1291" t="inlineStr"/>
      <c r="N1291" t="inlineStr"/>
      <c r="O1291" t="inlineStr"/>
      <c r="P1291" t="inlineStr"/>
      <c r="Q1291" t="inlineStr"/>
      <c r="R1291" t="inlineStr"/>
      <c r="S1291" t="inlineStr"/>
    </row>
    <row r="1292">
      <c r="A1292">
        <f>Skills!A13</f>
        <v/>
      </c>
      <c r="B1292">
        <f>Skills!B13</f>
        <v/>
      </c>
      <c r="C1292">
        <f>Inputs!$B$3&gt;=74</f>
        <v/>
      </c>
      <c r="D1292">
        <f>IF(Skills!C13=1,60+Inputs!$B$25+Inputs!$B$29,IF(Skills!C13=2,90+Inputs!$B$26+Inputs!$B$29,IF(Skills!C13=3,120+Inputs!$B$27+Inputs!$B$29,MAX(0,(Inputs!$B$3-100)*3)+Inputs!$B$28+Inputs!$B$29)))</f>
        <v/>
      </c>
      <c r="E1292">
        <f>INDEX(FactorTable!$B$2:$Y$301, MATCH(ROUND(MIN(300,MAX(1,D1292)),0), FactorTable!$A$2:$A$301,0), Skills!M13+1)</f>
        <v/>
      </c>
      <c r="F1292">
        <f>IF(Skills!N13=TRUE,(Skills!L13/10)*(E1292/1000),Skills!L13/10)+Skills!O13</f>
        <v/>
      </c>
      <c r="G1292">
        <f>Skills!G13*IF(Skills!H13&gt;0,Skills!I13/Skills!H13,1)</f>
        <v/>
      </c>
      <c r="H1292">
        <f>1-(1-Skills!J13/100)^Skills!K13</f>
        <v/>
      </c>
      <c r="I1292" t="inlineStr">
        <is>
          <t>1</t>
        </is>
      </c>
      <c r="J1292" t="inlineStr"/>
      <c r="K1292" t="inlineStr"/>
      <c r="L1292" t="inlineStr"/>
      <c r="M1292" t="inlineStr"/>
      <c r="N1292" t="inlineStr"/>
      <c r="O1292" t="n">
        <v>0</v>
      </c>
      <c r="P1292">
        <f>IF(B1320=0,0,O1292/B1320)</f>
        <v/>
      </c>
      <c r="Q1292" t="n">
        <v>0</v>
      </c>
      <c r="R1292" t="n">
        <v>0</v>
      </c>
      <c r="S1292">
        <f>IFERROR(O1292/N1292,0)</f>
        <v/>
      </c>
    </row>
    <row r="1293">
      <c r="A1293">
        <f>Skills!A14</f>
        <v/>
      </c>
      <c r="B1293">
        <f>Skills!B14</f>
        <v/>
      </c>
      <c r="C1293">
        <f>Inputs!$B$3&gt;=74</f>
        <v/>
      </c>
      <c r="D1293">
        <f>IF(Skills!C14=1,60+Inputs!$B$25+Inputs!$B$29,IF(Skills!C14=2,90+Inputs!$B$26+Inputs!$B$29,IF(Skills!C14=3,120+Inputs!$B$27+Inputs!$B$29,MAX(0,(Inputs!$B$3-100)*3)+Inputs!$B$28+Inputs!$B$29)))</f>
        <v/>
      </c>
      <c r="E1293">
        <f>INDEX(FactorTable!$B$2:$Y$301, MATCH(ROUND(MIN(300,MAX(1,D1293)),0), FactorTable!$A$2:$A$301,0), Skills!M14+1)</f>
        <v/>
      </c>
      <c r="F1293">
        <f>IF(Skills!N14=TRUE,(Skills!L14/10)*(E1293/1000),Skills!L14/10)+Skills!O14</f>
        <v/>
      </c>
      <c r="G1293">
        <f>Skills!G14*IF(Skills!H14&gt;0,Skills!I14/Skills!H14,1)</f>
        <v/>
      </c>
      <c r="H1293">
        <f>1-(1-Skills!J14/100)^Skills!K14</f>
        <v/>
      </c>
      <c r="I1293" t="inlineStr">
        <is>
          <t>1</t>
        </is>
      </c>
      <c r="J1293" t="inlineStr"/>
      <c r="K1293" t="inlineStr"/>
      <c r="L1293" t="inlineStr"/>
      <c r="M1293" t="inlineStr"/>
      <c r="N1293" t="inlineStr"/>
      <c r="O1293" t="n">
        <v>0</v>
      </c>
      <c r="P1293">
        <f>IF(B1320=0,0,O1293/B1320)</f>
        <v/>
      </c>
      <c r="Q1293" t="n">
        <v>0</v>
      </c>
      <c r="R1293" t="n">
        <v>0</v>
      </c>
      <c r="S1293">
        <f>IFERROR(O1293/N1293,0)</f>
        <v/>
      </c>
    </row>
    <row r="1294">
      <c r="A1294">
        <f>Skills!A15</f>
        <v/>
      </c>
      <c r="B1294">
        <f>Skills!B15</f>
        <v/>
      </c>
      <c r="C1294">
        <f>Inputs!$B$3&gt;=117</f>
        <v/>
      </c>
      <c r="D1294">
        <f>IF(Skills!C15=1,60+Inputs!$B$25+Inputs!$B$29,IF(Skills!C15=2,90+Inputs!$B$26+Inputs!$B$29,IF(Skills!C15=3,120+Inputs!$B$27+Inputs!$B$29,MAX(0,(Inputs!$B$3-100)*3)+Inputs!$B$28+Inputs!$B$29)))</f>
        <v/>
      </c>
      <c r="E1294">
        <f>INDEX(FactorTable!$B$2:$Y$301, MATCH(ROUND(MIN(300,MAX(1,D1294)),0), FactorTable!$A$2:$A$301,0), Skills!M15+1)</f>
        <v/>
      </c>
      <c r="F1294">
        <f>IF(Skills!N15=TRUE,(Skills!L15/10)*(E1294/1000),Skills!L15/10)+Skills!O15</f>
        <v/>
      </c>
      <c r="G1294">
        <f>Skills!G15*IF(Skills!H15&gt;0,Skills!I15/Skills!H15,1)</f>
        <v/>
      </c>
      <c r="H1294">
        <f>1-(1-Skills!J15/100)^Skills!K15</f>
        <v/>
      </c>
      <c r="I1294" t="inlineStr">
        <is>
          <t>1</t>
        </is>
      </c>
      <c r="J1294" t="inlineStr"/>
      <c r="K1294" t="inlineStr"/>
      <c r="L1294" t="inlineStr"/>
      <c r="M1294" t="inlineStr"/>
      <c r="N1294" t="inlineStr"/>
      <c r="O1294" t="n">
        <v>0</v>
      </c>
      <c r="P1294">
        <f>IF(B1320=0,0,O1294/B1320)</f>
        <v/>
      </c>
      <c r="Q1294">
        <f>IFERROR(1/IF(Inputs!$B$38="pvp",15,MAX(0.1,Skills!D15-IF(Skills!E15=TRUE,1.5,0))),0)</f>
        <v/>
      </c>
      <c r="R1294">
        <f>IF(AND(Inputs!$B$38&lt;&gt;"pvp",Inputs!$B$43&gt;0),IF(Inputs!$B$43&lt;=0,0,(INT(Inputs!$B$43/IF(Inputs!$B$38="pvp",15,MAX(0.1,Skills!D15-IF(Skills!E15=TRUE,1.5,0))))+1)),0)</f>
        <v/>
      </c>
      <c r="S1294">
        <f>IFERROR(O1294/N1294,0)</f>
        <v/>
      </c>
    </row>
    <row r="1295">
      <c r="A1295">
        <f>Skills!A16</f>
        <v/>
      </c>
      <c r="B1295">
        <f>Skills!B16</f>
        <v/>
      </c>
      <c r="C1295">
        <f>Inputs!$B$3&gt;=115</f>
        <v/>
      </c>
      <c r="D1295">
        <f>IF(Skills!C16=1,60+Inputs!$B$25+Inputs!$B$29,IF(Skills!C16=2,90+Inputs!$B$26+Inputs!$B$29,IF(Skills!C16=3,120+Inputs!$B$27+Inputs!$B$29,MAX(0,(Inputs!$B$3-100)*3)+Inputs!$B$28+Inputs!$B$29)))</f>
        <v/>
      </c>
      <c r="E1295">
        <f>INDEX(FactorTable!$B$2:$Y$301, MATCH(ROUND(MIN(300,MAX(1,D1295)),0), FactorTable!$A$2:$A$301,0), Skills!M16+1)</f>
        <v/>
      </c>
      <c r="F1295">
        <f>IF(Skills!N16=TRUE,(Skills!L16/10)*(E1295/1000),Skills!L16/10)+Skills!O16</f>
        <v/>
      </c>
      <c r="G1295">
        <f>Skills!G16*IF(Skills!H16&gt;0,Skills!I16/Skills!H16,1)</f>
        <v/>
      </c>
      <c r="H1295">
        <f>1-(1-Skills!J16/100)^Skills!K16</f>
        <v/>
      </c>
      <c r="I1295" t="inlineStr">
        <is>
          <t>1</t>
        </is>
      </c>
      <c r="J1295" t="inlineStr"/>
      <c r="K1295" t="inlineStr"/>
      <c r="L1295" t="inlineStr"/>
      <c r="M1295" t="inlineStr"/>
      <c r="N1295" t="inlineStr"/>
      <c r="O1295" t="n">
        <v>0</v>
      </c>
      <c r="P1295">
        <f>IF(B1320=0,0,O1295/B1320)</f>
        <v/>
      </c>
      <c r="Q1295">
        <f>IFERROR(1/IF(Inputs!$B$38="pvp",15,MAX(0.1,Skills!D16-IF(Skills!E16=TRUE,1.5,0))),0)</f>
        <v/>
      </c>
      <c r="R1295">
        <f>IF(AND(Inputs!$B$38&lt;&gt;"pvp",Inputs!$B$43&gt;0),IF(Inputs!$B$43&lt;=0,0,(INT(Inputs!$B$43/IF(Inputs!$B$38="pvp",15,MAX(0.1,Skills!D16-IF(Skills!E16=TRUE,1.5,0))))+1)),0)</f>
        <v/>
      </c>
      <c r="S1295">
        <f>IFERROR(O1295/N1295,0)</f>
        <v/>
      </c>
    </row>
    <row r="1296">
      <c r="A1296">
        <f>Skills!A17</f>
        <v/>
      </c>
      <c r="B1296">
        <f>Skills!B17</f>
        <v/>
      </c>
      <c r="C1296">
        <f>Inputs!$B$3&gt;=66</f>
        <v/>
      </c>
      <c r="D1296">
        <f>IF(Skills!C17=1,60+Inputs!$B$25+Inputs!$B$29,IF(Skills!C17=2,90+Inputs!$B$26+Inputs!$B$29,IF(Skills!C17=3,120+Inputs!$B$27+Inputs!$B$29,MAX(0,(Inputs!$B$3-100)*3)+Inputs!$B$28+Inputs!$B$29)))</f>
        <v/>
      </c>
      <c r="E1296">
        <f>INDEX(FactorTable!$B$2:$Y$301, MATCH(ROUND(MIN(300,MAX(1,D1296)),0), FactorTable!$A$2:$A$301,0), Skills!M17+1)</f>
        <v/>
      </c>
      <c r="F1296">
        <f>IF(Skills!N17=TRUE,(Skills!L17/10)*(E1296/1000),Skills!L17/10)+Skills!O17</f>
        <v/>
      </c>
      <c r="G1296">
        <f>Skills!G17*IF(Skills!H17&gt;0,Skills!I17/Skills!H17,1)</f>
        <v/>
      </c>
      <c r="H1296">
        <f>1-(1-Skills!J17/100)^Skills!K17</f>
        <v/>
      </c>
      <c r="I1296" t="inlineStr">
        <is>
          <t>1</t>
        </is>
      </c>
      <c r="J1296" t="inlineStr"/>
      <c r="K1296" t="inlineStr"/>
      <c r="L1296" t="inlineStr"/>
      <c r="M1296" t="inlineStr"/>
      <c r="N1296" t="inlineStr"/>
      <c r="O1296" t="n">
        <v>0</v>
      </c>
      <c r="P1296">
        <f>IF(B1320=0,0,O1296/B1320)</f>
        <v/>
      </c>
      <c r="Q1296" t="n">
        <v>0</v>
      </c>
      <c r="R1296" t="n">
        <v>0</v>
      </c>
      <c r="S1296">
        <f>IFERROR(O1296/N1296,0)</f>
        <v/>
      </c>
    </row>
    <row r="1297">
      <c r="A1297">
        <f>Skills!A18</f>
        <v/>
      </c>
      <c r="B1297">
        <f>Skills!B18</f>
        <v/>
      </c>
      <c r="C1297">
        <f>Inputs!$B$3&gt;=72</f>
        <v/>
      </c>
      <c r="D1297">
        <f>IF(Skills!C18=1,60+Inputs!$B$25+Inputs!$B$29,IF(Skills!C18=2,90+Inputs!$B$26+Inputs!$B$29,IF(Skills!C18=3,120+Inputs!$B$27+Inputs!$B$29,MAX(0,(Inputs!$B$3-100)*3)+Inputs!$B$28+Inputs!$B$29)))</f>
        <v/>
      </c>
      <c r="E1297">
        <f>INDEX(FactorTable!$B$2:$Y$301, MATCH(ROUND(MIN(300,MAX(1,D1297)),0), FactorTable!$A$2:$A$301,0), Skills!M18+1)</f>
        <v/>
      </c>
      <c r="F1297">
        <f>IF(Skills!N18=TRUE,(Skills!L18/10)*(E1297/1000),Skills!L18/10)+Skills!O18</f>
        <v/>
      </c>
      <c r="G1297">
        <f>Skills!G18*IF(Skills!H18&gt;0,Skills!I18/Skills!H18,1)</f>
        <v/>
      </c>
      <c r="H1297">
        <f>1-(1-Skills!J18/100)^Skills!K18</f>
        <v/>
      </c>
      <c r="I1297" t="inlineStr">
        <is>
          <t>1</t>
        </is>
      </c>
      <c r="J1297" t="inlineStr"/>
      <c r="K1297" t="inlineStr"/>
      <c r="L1297" t="inlineStr"/>
      <c r="M1297" t="inlineStr"/>
      <c r="N1297" t="inlineStr"/>
      <c r="O1297" t="n">
        <v>0</v>
      </c>
      <c r="P1297">
        <f>IF(B1320=0,0,O1297/B1320)</f>
        <v/>
      </c>
      <c r="Q1297" t="n">
        <v>0</v>
      </c>
      <c r="R1297" t="n">
        <v>0</v>
      </c>
      <c r="S1297">
        <f>IFERROR(O1297/N1297,0)</f>
        <v/>
      </c>
    </row>
    <row r="1298">
      <c r="A1298">
        <f>Skills!A19</f>
        <v/>
      </c>
      <c r="B1298">
        <f>Skills!B19</f>
        <v/>
      </c>
      <c r="C1298">
        <f>TRUE</f>
        <v/>
      </c>
      <c r="D1298">
        <f>IF(Skills!C19=1,60+Inputs!$B$25+Inputs!$B$29,IF(Skills!C19=2,90+Inputs!$B$26+Inputs!$B$29,IF(Skills!C19=3,120+Inputs!$B$27+Inputs!$B$29,MAX(0,(Inputs!$B$3-100)*3)+Inputs!$B$28+Inputs!$B$29)))</f>
        <v/>
      </c>
      <c r="E1298">
        <f>INDEX(FactorTable!$B$2:$Y$301, MATCH(ROUND(MIN(300,MAX(1,D1298)),0), FactorTable!$A$2:$A$301,0), Skills!M19+1)</f>
        <v/>
      </c>
      <c r="F1298">
        <f>IF(Skills!N19=TRUE,(Skills!L19/10)*(E1298/1000),Skills!L19/10)+Skills!O19</f>
        <v/>
      </c>
      <c r="G1298">
        <f>Skills!G19*IF(Skills!H19&gt;0,Skills!I19/Skills!H19,1)</f>
        <v/>
      </c>
      <c r="H1298">
        <f>1-(1-Skills!J19/100)^Skills!K19</f>
        <v/>
      </c>
      <c r="I1298" t="inlineStr">
        <is>
          <t>1</t>
        </is>
      </c>
      <c r="J1298" t="inlineStr"/>
      <c r="K1298" t="inlineStr"/>
      <c r="L1298" t="inlineStr"/>
      <c r="M1298" t="inlineStr"/>
      <c r="N1298" t="inlineStr"/>
      <c r="O1298" t="n">
        <v>0</v>
      </c>
      <c r="P1298">
        <f>IF(B1320=0,0,O1298/B1320)</f>
        <v/>
      </c>
      <c r="Q1298">
        <f>IFERROR(1/IF(Inputs!$B$38="pvp",15,MAX(0.1,Skills!D19-IF(Skills!E19=TRUE,1.5,0))),0)</f>
        <v/>
      </c>
      <c r="R1298">
        <f>IF(AND(Inputs!$B$38&lt;&gt;"pvp",Inputs!$B$43&gt;0),IF(Inputs!$B$43&lt;=0,0,(INT(Inputs!$B$43/IF(Inputs!$B$38="pvp",15,MAX(0.1,Skills!D19-IF(Skills!E19=TRUE,1.5,0))))+1)),0)</f>
        <v/>
      </c>
      <c r="S1298">
        <f>IFERROR(O1298/N1298,0)</f>
        <v/>
      </c>
    </row>
    <row r="1299">
      <c r="A1299">
        <f>Skills!A20</f>
        <v/>
      </c>
      <c r="B1299">
        <f>Skills!B20</f>
        <v/>
      </c>
      <c r="C1299">
        <f>Inputs!$B$3&gt;=15</f>
        <v/>
      </c>
      <c r="D1299">
        <f>IF(Skills!C20=1,60+Inputs!$B$25+Inputs!$B$29,IF(Skills!C20=2,90+Inputs!$B$26+Inputs!$B$29,IF(Skills!C20=3,120+Inputs!$B$27+Inputs!$B$29,MAX(0,(Inputs!$B$3-100)*3)+Inputs!$B$28+Inputs!$B$29)))</f>
        <v/>
      </c>
      <c r="E1299">
        <f>INDEX(FactorTable!$B$2:$Y$301, MATCH(ROUND(MIN(300,MAX(1,D1299)),0), FactorTable!$A$2:$A$301,0), Skills!M20+1)</f>
        <v/>
      </c>
      <c r="F1299">
        <f>IF(Skills!N20=TRUE,(Skills!L20/10)*(E1299/1000),Skills!L20/10)+Skills!O20</f>
        <v/>
      </c>
      <c r="G1299">
        <f>Skills!G20*IF(Skills!H20&gt;0,Skills!I20/Skills!H20,1)</f>
        <v/>
      </c>
      <c r="H1299">
        <f>1-(1-Skills!J20/100)^Skills!K20</f>
        <v/>
      </c>
      <c r="I1299" t="inlineStr">
        <is>
          <t>1</t>
        </is>
      </c>
      <c r="J1299" t="inlineStr"/>
      <c r="K1299" t="inlineStr"/>
      <c r="L1299" t="inlineStr"/>
      <c r="M1299" t="inlineStr"/>
      <c r="N1299" t="inlineStr"/>
      <c r="O1299" t="n">
        <v>0</v>
      </c>
      <c r="P1299">
        <f>IF(B1320=0,0,O1299/B1320)</f>
        <v/>
      </c>
      <c r="Q1299" t="n">
        <v>0</v>
      </c>
      <c r="R1299" t="n">
        <v>0</v>
      </c>
      <c r="S1299">
        <f>IFERROR(O1299/N1299,0)</f>
        <v/>
      </c>
    </row>
    <row r="1300">
      <c r="A1300">
        <f>Skills!A21</f>
        <v/>
      </c>
      <c r="B1300">
        <f>Skills!B21</f>
        <v/>
      </c>
      <c r="C1300">
        <f>Inputs!$B$3&gt;=10</f>
        <v/>
      </c>
      <c r="D1300">
        <f>IF(Skills!C21=1,60+Inputs!$B$25+Inputs!$B$29,IF(Skills!C21=2,90+Inputs!$B$26+Inputs!$B$29,IF(Skills!C21=3,120+Inputs!$B$27+Inputs!$B$29,MAX(0,(Inputs!$B$3-100)*3)+Inputs!$B$28+Inputs!$B$29)))</f>
        <v/>
      </c>
      <c r="E1300">
        <f>INDEX(FactorTable!$B$2:$Y$301, MATCH(ROUND(MIN(300,MAX(1,D1300)),0), FactorTable!$A$2:$A$301,0), Skills!M21+1)</f>
        <v/>
      </c>
      <c r="F1300">
        <f>IF(Skills!N21=TRUE,(Skills!L21/10)*(E1300/1000),Skills!L21/10)+Skills!O21</f>
        <v/>
      </c>
      <c r="G1300">
        <f>Skills!G21*IF(Skills!H21&gt;0,Skills!I21/Skills!H21,1)</f>
        <v/>
      </c>
      <c r="H1300">
        <f>1-(1-Skills!J21/100)^Skills!K21</f>
        <v/>
      </c>
      <c r="I1300" t="inlineStr">
        <is>
          <t>1</t>
        </is>
      </c>
      <c r="J1300" t="inlineStr"/>
      <c r="K1300" t="inlineStr"/>
      <c r="L1300" t="inlineStr"/>
      <c r="M1300" t="inlineStr"/>
      <c r="N1300" t="inlineStr"/>
      <c r="O1300" t="n">
        <v>0</v>
      </c>
      <c r="P1300">
        <f>IF(B1320=0,0,O1300/B1320)</f>
        <v/>
      </c>
      <c r="Q1300" t="n">
        <v>0</v>
      </c>
      <c r="R1300" t="n">
        <v>0</v>
      </c>
      <c r="S1300">
        <f>IFERROR(O1300/N1300,0)</f>
        <v/>
      </c>
    </row>
    <row r="1301">
      <c r="A1301">
        <f>Skills!A22</f>
        <v/>
      </c>
      <c r="B1301">
        <f>Skills!B22</f>
        <v/>
      </c>
      <c r="C1301">
        <f>Inputs!$B$3&gt;=33</f>
        <v/>
      </c>
      <c r="D1301">
        <f>IF(Skills!C22=1,60+Inputs!$B$25+Inputs!$B$29,IF(Skills!C22=2,90+Inputs!$B$26+Inputs!$B$29,IF(Skills!C22=3,120+Inputs!$B$27+Inputs!$B$29,MAX(0,(Inputs!$B$3-100)*3)+Inputs!$B$28+Inputs!$B$29)))</f>
        <v/>
      </c>
      <c r="E1301">
        <f>INDEX(FactorTable!$B$2:$Y$301, MATCH(ROUND(MIN(300,MAX(1,D1301)),0), FactorTable!$A$2:$A$301,0), Skills!M22+1)</f>
        <v/>
      </c>
      <c r="F1301">
        <f>IF(Skills!N22=TRUE,(Skills!L22/10)*(E1301/1000),Skills!L22/10)+Skills!O22</f>
        <v/>
      </c>
      <c r="G1301">
        <f>Skills!G22*IF(Skills!H22&gt;0,Skills!I22/Skills!H22,1)</f>
        <v/>
      </c>
      <c r="H1301">
        <f>1-(1-Skills!J22/100)^Skills!K22</f>
        <v/>
      </c>
      <c r="I1301" t="inlineStr">
        <is>
          <t>1</t>
        </is>
      </c>
      <c r="J1301" t="inlineStr"/>
      <c r="K1301" t="inlineStr"/>
      <c r="L1301" t="inlineStr"/>
      <c r="M1301" t="inlineStr"/>
      <c r="N1301" t="inlineStr"/>
      <c r="O1301" t="n">
        <v>0</v>
      </c>
      <c r="P1301">
        <f>IF(B1320=0,0,O1301/B1320)</f>
        <v/>
      </c>
      <c r="Q1301" t="n">
        <v>0</v>
      </c>
      <c r="R1301" t="n">
        <v>0</v>
      </c>
      <c r="S1301">
        <f>IFERROR(O1301/N1301,0)</f>
        <v/>
      </c>
    </row>
    <row r="1302">
      <c r="A1302">
        <f>Skills!A23</f>
        <v/>
      </c>
      <c r="B1302">
        <f>Skills!B23</f>
        <v/>
      </c>
      <c r="C1302">
        <f>Inputs!$B$3&gt;=38</f>
        <v/>
      </c>
      <c r="D1302">
        <f>IF(Skills!C23=1,60+Inputs!$B$25+Inputs!$B$29,IF(Skills!C23=2,90+Inputs!$B$26+Inputs!$B$29,IF(Skills!C23=3,120+Inputs!$B$27+Inputs!$B$29,MAX(0,(Inputs!$B$3-100)*3)+Inputs!$B$28+Inputs!$B$29)))</f>
        <v/>
      </c>
      <c r="E1302">
        <f>INDEX(FactorTable!$B$2:$Y$301, MATCH(ROUND(MIN(300,MAX(1,D1302)),0), FactorTable!$A$2:$A$301,0), Skills!M23+1)</f>
        <v/>
      </c>
      <c r="F1302">
        <f>IF(Skills!N23=TRUE,(Skills!L23/10)*(E1302/1000),Skills!L23/10)+Skills!O23</f>
        <v/>
      </c>
      <c r="G1302">
        <f>Skills!G23*IF(Skills!H23&gt;0,Skills!I23/Skills!H23,1)</f>
        <v/>
      </c>
      <c r="H1302">
        <f>1-(1-Skills!J23/100)^Skills!K23</f>
        <v/>
      </c>
      <c r="I1302" t="inlineStr">
        <is>
          <t>1</t>
        </is>
      </c>
      <c r="J1302" t="inlineStr"/>
      <c r="K1302" t="inlineStr"/>
      <c r="L1302" t="inlineStr"/>
      <c r="M1302" t="inlineStr"/>
      <c r="N1302" t="inlineStr"/>
      <c r="O1302" t="n">
        <v>0</v>
      </c>
      <c r="P1302">
        <f>IF(B1320=0,0,O1302/B1320)</f>
        <v/>
      </c>
      <c r="Q1302" t="n">
        <v>0</v>
      </c>
      <c r="R1302" t="n">
        <v>0</v>
      </c>
      <c r="S1302">
        <f>IFERROR(O1302/N1302,0)</f>
        <v/>
      </c>
    </row>
    <row r="1303">
      <c r="A1303">
        <f>Skills!A24</f>
        <v/>
      </c>
      <c r="B1303">
        <f>Skills!B24</f>
        <v/>
      </c>
      <c r="C1303">
        <f>Inputs!$B$3&gt;=43</f>
        <v/>
      </c>
      <c r="D1303">
        <f>IF(Skills!C24=1,60+Inputs!$B$25+Inputs!$B$29,IF(Skills!C24=2,90+Inputs!$B$26+Inputs!$B$29,IF(Skills!C24=3,120+Inputs!$B$27+Inputs!$B$29,MAX(0,(Inputs!$B$3-100)*3)+Inputs!$B$28+Inputs!$B$29)))</f>
        <v/>
      </c>
      <c r="E1303">
        <f>INDEX(FactorTable!$B$2:$Y$301, MATCH(ROUND(MIN(300,MAX(1,D1303)),0), FactorTable!$A$2:$A$301,0), Skills!M24+1)</f>
        <v/>
      </c>
      <c r="F1303">
        <f>IF(Skills!N24=TRUE,(Skills!L24/10)*(E1303/1000),Skills!L24/10)+Skills!O24</f>
        <v/>
      </c>
      <c r="G1303">
        <f>Skills!G24*IF(Skills!H24&gt;0,Skills!I24/Skills!H24,1)</f>
        <v/>
      </c>
      <c r="H1303">
        <f>1-(1-Skills!J24/100)^Skills!K24</f>
        <v/>
      </c>
      <c r="I1303" t="inlineStr">
        <is>
          <t>1</t>
        </is>
      </c>
      <c r="J1303" t="inlineStr"/>
      <c r="K1303" t="inlineStr"/>
      <c r="L1303" t="inlineStr"/>
      <c r="M1303" t="inlineStr"/>
      <c r="N1303" t="inlineStr"/>
      <c r="O1303" t="n">
        <v>0</v>
      </c>
      <c r="P1303">
        <f>IF(B1320=0,0,O1303/B1320)</f>
        <v/>
      </c>
      <c r="Q1303" t="n">
        <v>0</v>
      </c>
      <c r="R1303" t="n">
        <v>0</v>
      </c>
      <c r="S1303">
        <f>IFERROR(O1303/N1303,0)</f>
        <v/>
      </c>
    </row>
    <row r="1304">
      <c r="A1304">
        <f>Skills!A25</f>
        <v/>
      </c>
      <c r="B1304">
        <f>Skills!B25</f>
        <v/>
      </c>
      <c r="C1304">
        <f>Inputs!$B$3&gt;=75</f>
        <v/>
      </c>
      <c r="D1304">
        <f>IF(Skills!C25=1,60+Inputs!$B$25+Inputs!$B$29,IF(Skills!C25=2,90+Inputs!$B$26+Inputs!$B$29,IF(Skills!C25=3,120+Inputs!$B$27+Inputs!$B$29,MAX(0,(Inputs!$B$3-100)*3)+Inputs!$B$28+Inputs!$B$29)))</f>
        <v/>
      </c>
      <c r="E1304">
        <f>INDEX(FactorTable!$B$2:$Y$301, MATCH(ROUND(MIN(300,MAX(1,D1304)),0), FactorTable!$A$2:$A$301,0), Skills!M25+1)</f>
        <v/>
      </c>
      <c r="F1304">
        <f>IF(Skills!N25=TRUE,(Skills!L25/10)*(E1304/1000),Skills!L25/10)+Skills!O25</f>
        <v/>
      </c>
      <c r="G1304">
        <f>Skills!G25*IF(Skills!H25&gt;0,Skills!I25/Skills!H25,1)</f>
        <v/>
      </c>
      <c r="H1304">
        <f>1-(1-Skills!J25/100)^Skills!K25</f>
        <v/>
      </c>
      <c r="I1304" t="inlineStr">
        <is>
          <t>1</t>
        </is>
      </c>
      <c r="J1304" t="inlineStr"/>
      <c r="K1304" t="inlineStr"/>
      <c r="L1304" t="inlineStr"/>
      <c r="M1304" t="inlineStr"/>
      <c r="N1304" t="inlineStr"/>
      <c r="O1304" t="n">
        <v>0</v>
      </c>
      <c r="P1304">
        <f>IF(B1320=0,0,O1304/B1320)</f>
        <v/>
      </c>
      <c r="Q1304" t="n">
        <v>0</v>
      </c>
      <c r="R1304" t="n">
        <v>0</v>
      </c>
      <c r="S1304">
        <f>IFERROR(O1304/N1304,0)</f>
        <v/>
      </c>
    </row>
    <row r="1305">
      <c r="A1305">
        <f>Skills!A26</f>
        <v/>
      </c>
      <c r="B1305">
        <f>Skills!B26</f>
        <v/>
      </c>
      <c r="C1305">
        <f>Inputs!$B$3&gt;=125</f>
        <v/>
      </c>
      <c r="D1305">
        <f>IF(Skills!C26=1,60+Inputs!$B$25+Inputs!$B$29,IF(Skills!C26=2,90+Inputs!$B$26+Inputs!$B$29,IF(Skills!C26=3,120+Inputs!$B$27+Inputs!$B$29,MAX(0,(Inputs!$B$3-100)*3)+Inputs!$B$28+Inputs!$B$29)))</f>
        <v/>
      </c>
      <c r="E1305">
        <f>INDEX(FactorTable!$B$2:$Y$301, MATCH(ROUND(MIN(300,MAX(1,D1305)),0), FactorTable!$A$2:$A$301,0), Skills!M26+1)</f>
        <v/>
      </c>
      <c r="F1305">
        <f>IF(Skills!N26=TRUE,(Skills!L26/10)*(E1305/1000),Skills!L26/10)+Skills!O26</f>
        <v/>
      </c>
      <c r="G1305">
        <f>Skills!G26*IF(Skills!H26&gt;0,Skills!I26/Skills!H26,1)</f>
        <v/>
      </c>
      <c r="H1305">
        <f>1-(1-Skills!J26/100)^Skills!K26</f>
        <v/>
      </c>
      <c r="I1305" t="inlineStr">
        <is>
          <t>1</t>
        </is>
      </c>
      <c r="J1305" t="inlineStr"/>
      <c r="K1305" t="inlineStr"/>
      <c r="L1305" t="inlineStr"/>
      <c r="M1305" t="inlineStr"/>
      <c r="N1305" t="inlineStr"/>
      <c r="O1305" t="n">
        <v>0</v>
      </c>
      <c r="P1305">
        <f>IF(B1320=0,0,O1305/B1320)</f>
        <v/>
      </c>
      <c r="Q1305" t="n">
        <v>0</v>
      </c>
      <c r="R1305" t="n">
        <v>0</v>
      </c>
      <c r="S1305">
        <f>IFERROR(O1305/N1305,0)</f>
        <v/>
      </c>
    </row>
    <row r="1306">
      <c r="A1306">
        <f>Skills!A27</f>
        <v/>
      </c>
      <c r="B1306">
        <f>Skills!B27</f>
        <v/>
      </c>
      <c r="C1306">
        <f>Inputs!$B$3&gt;=125</f>
        <v/>
      </c>
      <c r="D1306">
        <f>IF(Skills!C27=1,60+Inputs!$B$25+Inputs!$B$29,IF(Skills!C27=2,90+Inputs!$B$26+Inputs!$B$29,IF(Skills!C27=3,120+Inputs!$B$27+Inputs!$B$29,MAX(0,(Inputs!$B$3-100)*3)+Inputs!$B$28+Inputs!$B$29)))</f>
        <v/>
      </c>
      <c r="E1306">
        <f>INDEX(FactorTable!$B$2:$Y$301, MATCH(ROUND(MIN(300,MAX(1,D1306)),0), FactorTable!$A$2:$A$301,0), Skills!M27+1)</f>
        <v/>
      </c>
      <c r="F1306">
        <f>IF(Skills!N27=TRUE,(Skills!L27/10)*(E1306/1000),Skills!L27/10)+Skills!O27</f>
        <v/>
      </c>
      <c r="G1306">
        <f>Skills!G27*IF(Skills!H27&gt;0,Skills!I27/Skills!H27,1)</f>
        <v/>
      </c>
      <c r="H1306">
        <f>1-(1-Skills!J27/100)^Skills!K27</f>
        <v/>
      </c>
      <c r="I1306" t="inlineStr">
        <is>
          <t>1</t>
        </is>
      </c>
      <c r="J1306" t="inlineStr"/>
      <c r="K1306" t="inlineStr"/>
      <c r="L1306" t="inlineStr"/>
      <c r="M1306" t="inlineStr"/>
      <c r="N1306" t="inlineStr"/>
      <c r="O1306" t="n">
        <v>0</v>
      </c>
      <c r="P1306">
        <f>IF(B1320=0,0,O1306/B1320)</f>
        <v/>
      </c>
      <c r="Q1306" t="n">
        <v>0</v>
      </c>
      <c r="R1306" t="n">
        <v>0</v>
      </c>
      <c r="S1306">
        <f>IFERROR(O1306/N1306,0)</f>
        <v/>
      </c>
    </row>
    <row r="1307">
      <c r="A1307">
        <f>Skills!A28</f>
        <v/>
      </c>
      <c r="B1307">
        <f>Skills!B28</f>
        <v/>
      </c>
      <c r="C1307">
        <f>Inputs!$B$3&gt;=120</f>
        <v/>
      </c>
      <c r="D1307">
        <f>IF(Skills!C28=1,60+Inputs!$B$25+Inputs!$B$29,IF(Skills!C28=2,90+Inputs!$B$26+Inputs!$B$29,IF(Skills!C28=3,120+Inputs!$B$27+Inputs!$B$29,MAX(0,(Inputs!$B$3-100)*3)+Inputs!$B$28+Inputs!$B$29)))</f>
        <v/>
      </c>
      <c r="E1307">
        <f>INDEX(FactorTable!$B$2:$Y$301, MATCH(ROUND(MIN(300,MAX(1,D1307)),0), FactorTable!$A$2:$A$301,0), Skills!M28+1)</f>
        <v/>
      </c>
      <c r="F1307">
        <f>IF(Skills!N28=TRUE,(Skills!L28/10)*(E1307/1000),Skills!L28/10)+Skills!O28</f>
        <v/>
      </c>
      <c r="G1307">
        <f>Skills!G28*IF(Skills!H28&gt;0,Skills!I28/Skills!H28,1)</f>
        <v/>
      </c>
      <c r="H1307">
        <f>1-(1-Skills!J28/100)^Skills!K28</f>
        <v/>
      </c>
      <c r="I1307" t="inlineStr">
        <is>
          <t>1</t>
        </is>
      </c>
      <c r="J1307" t="inlineStr"/>
      <c r="K1307" t="inlineStr"/>
      <c r="L1307" t="inlineStr"/>
      <c r="M1307" t="inlineStr"/>
      <c r="N1307" t="inlineStr"/>
      <c r="O1307" t="n">
        <v>0</v>
      </c>
      <c r="P1307">
        <f>IF(B1320=0,0,O1307/B1320)</f>
        <v/>
      </c>
      <c r="Q1307" t="n">
        <v>0</v>
      </c>
      <c r="R1307" t="n">
        <v>0</v>
      </c>
      <c r="S1307">
        <f>IFERROR(O1307/N1307,0)</f>
        <v/>
      </c>
    </row>
    <row r="1308">
      <c r="A1308">
        <f>Skills!A29</f>
        <v/>
      </c>
      <c r="B1308">
        <f>Skills!B29</f>
        <v/>
      </c>
      <c r="C1308">
        <f>Inputs!$B$3&gt;=120</f>
        <v/>
      </c>
      <c r="D1308">
        <f>IF(Skills!C29=1,60+Inputs!$B$25+Inputs!$B$29,IF(Skills!C29=2,90+Inputs!$B$26+Inputs!$B$29,IF(Skills!C29=3,120+Inputs!$B$27+Inputs!$B$29,MAX(0,(Inputs!$B$3-100)*3)+Inputs!$B$28+Inputs!$B$29)))</f>
        <v/>
      </c>
      <c r="E1308">
        <f>INDEX(FactorTable!$B$2:$Y$301, MATCH(ROUND(MIN(300,MAX(1,D1308)),0), FactorTable!$A$2:$A$301,0), Skills!M29+1)</f>
        <v/>
      </c>
      <c r="F1308">
        <f>IF(Skills!N29=TRUE,(Skills!L29/10)*(E1308/1000),Skills!L29/10)+Skills!O29</f>
        <v/>
      </c>
      <c r="G1308">
        <f>Skills!G29*IF(Skills!H29&gt;0,Skills!I29/Skills!H29,1)</f>
        <v/>
      </c>
      <c r="H1308">
        <f>1-(1-Skills!J29/100)^Skills!K29</f>
        <v/>
      </c>
      <c r="I1308" t="inlineStr">
        <is>
          <t>1</t>
        </is>
      </c>
      <c r="J1308" t="inlineStr"/>
      <c r="K1308" t="inlineStr"/>
      <c r="L1308" t="inlineStr"/>
      <c r="M1308" t="inlineStr"/>
      <c r="N1308" t="inlineStr"/>
      <c r="O1308" t="n">
        <v>0</v>
      </c>
      <c r="P1308">
        <f>IF(B1320=0,0,O1308/B1320)</f>
        <v/>
      </c>
      <c r="Q1308" t="n">
        <v>0</v>
      </c>
      <c r="R1308" t="n">
        <v>0</v>
      </c>
      <c r="S1308">
        <f>IFERROR(O1308/N1308,0)</f>
        <v/>
      </c>
    </row>
    <row r="1309">
      <c r="A1309">
        <f>Skills!A30</f>
        <v/>
      </c>
      <c r="B1309">
        <f>Skills!B30</f>
        <v/>
      </c>
      <c r="C1309">
        <f>Inputs!$B$3&gt;=45</f>
        <v/>
      </c>
      <c r="D1309">
        <f>IF(Skills!C30=1,60+Inputs!$B$25+Inputs!$B$29,IF(Skills!C30=2,90+Inputs!$B$26+Inputs!$B$29,IF(Skills!C30=3,120+Inputs!$B$27+Inputs!$B$29,MAX(0,(Inputs!$B$3-100)*3)+Inputs!$B$28+Inputs!$B$29)))</f>
        <v/>
      </c>
      <c r="E1309">
        <f>INDEX(FactorTable!$B$2:$Y$301, MATCH(ROUND(MIN(300,MAX(1,D1309)),0), FactorTable!$A$2:$A$301,0), Skills!M30+1)</f>
        <v/>
      </c>
      <c r="F1309">
        <f>IF(Skills!N30=TRUE,(Skills!L30/10)*(E1309/1000),Skills!L30/10)+Skills!O30</f>
        <v/>
      </c>
      <c r="G1309">
        <f>Skills!G30*IF(Skills!H30&gt;0,Skills!I30/Skills!H30,1)</f>
        <v/>
      </c>
      <c r="H1309">
        <f>1-(1-Skills!J30/100)^Skills!K30</f>
        <v/>
      </c>
      <c r="I1309" t="inlineStr">
        <is>
          <t>1</t>
        </is>
      </c>
      <c r="J1309" t="inlineStr"/>
      <c r="K1309" t="inlineStr"/>
      <c r="L1309" t="inlineStr"/>
      <c r="M1309" t="inlineStr"/>
      <c r="N1309" t="inlineStr"/>
      <c r="O1309" t="n">
        <v>0</v>
      </c>
      <c r="P1309">
        <f>IF(B1320=0,0,O1309/B1320)</f>
        <v/>
      </c>
      <c r="Q1309" t="n">
        <v>0</v>
      </c>
      <c r="R1309" t="n">
        <v>0</v>
      </c>
      <c r="S1309">
        <f>IFERROR(O1309/N1309,0)</f>
        <v/>
      </c>
    </row>
    <row r="1311">
      <c r="A1311" t="inlineStr">
        <is>
          <t>Attack% Bucket Multiplier</t>
        </is>
      </c>
      <c r="B1311">
        <f>(1+(((C1292=TRUE)*F1292)+((C1293=TRUE)*IF(Inputs!$B$38="pvp",F1293,(1-Summary!$B$55)*(F1293)+Summary!$B$55*(0)))+((C1294=TRUE)*F1294*IF(AND(Inputs!$B$38&lt;&gt;"pvp",Inputs!$B$43&gt;0),(((R1294-1)*(Skills!T15*(1+Inputs!$B$34/100))+MIN((Skills!T15*(1+Inputs!$B$34/100)),MAX(0,Inputs!$B$43-((R1294-1)*Skills!D15))))/Inputs!$B$43),IF(Inputs!$B$38="pvp",MIN((Skills!T15*(1+Inputs!$B$34/100)),15)/15,(Skills!T15*(1+Inputs!$B$34/100))/Skills!D15)))+((C1309=TRUE)*(F1309-Calc!F30)))/100)</f>
        <v/>
      </c>
    </row>
    <row r="1312">
      <c r="A1312" t="inlineStr">
        <is>
          <t>Global Crit Rate Bonus %</t>
        </is>
      </c>
      <c r="B1312">
        <f>(C1295=TRUE)*20*IF(AND(Inputs!$B$38&lt;&gt;"pvp",Inputs!$B$43&gt;0),(((R1295-1)*(Skills!T16*(1+Inputs!$B$34/100))+MIN((Skills!T16*(1+Inputs!$B$34/100)),MAX(0,Inputs!$B$43-((R1295-1)*Skills!D16))))/Inputs!$B$43),IF(Inputs!$B$38="pvp",MIN((Skills!T16*(1+Inputs!$B$34/100)),15)/15,(Skills!T16*(1+Inputs!$B$34/100))/Skills!D16))</f>
        <v/>
      </c>
    </row>
    <row r="1313">
      <c r="A1313" t="inlineStr">
        <is>
          <t>Attack Speed Buff Bonus %</t>
        </is>
      </c>
      <c r="B1313">
        <f>((C1298=TRUE)*F1298*IF(AND(Inputs!$B$38&lt;&gt;"pvp",Inputs!$B$43&gt;0),(((R1298-1)*(Skills!T19*(1+Inputs!$B$34/100))+MIN((Skills!T19*(1+Inputs!$B$34/100)),MAX(0,Inputs!$B$43-((R1298-1)*Skills!D19))))/Inputs!$B$43),IF(Inputs!$B$38="pvp",MIN((Skills!T19*(1+Inputs!$B$34/100)),15)/15,(Skills!T19*(1+Inputs!$B$34/100))/Skills!D19)))</f>
        <v/>
      </c>
    </row>
    <row r="1314">
      <c r="A1314" t="inlineStr">
        <is>
          <t>Actions Per Second</t>
        </is>
      </c>
      <c r="B1314">
        <f>1+MIN(150,150*(1-(1-(Inputs!$B$11+((C1300=TRUE)*(F1300-Calc!F21))+((C1301=TRUE)*(F1301-Calc!F22)))/150)*(1-B1313/150)))/100</f>
        <v/>
      </c>
    </row>
    <row r="1315">
      <c r="A1315" t="inlineStr">
        <is>
          <t>Skill + Buff Cast Rate</t>
        </is>
      </c>
      <c r="B1315">
        <f>IF(AND(Inputs!$B$38&lt;&gt;"pvp",Inputs!$B$43&gt;0),SUMPRODUCT((Skills!E2:E30=TRUE)*(C1281:C1309=TRUE)*R1281:R1309*Skills!F2:F30)/Inputs!$B$43,SUMPRODUCT((Skills!E2:E30=TRUE)*(C1281:C1309=TRUE)*Q1281:Q1309*Skills!F2:F30))</f>
        <v/>
      </c>
    </row>
    <row r="1316">
      <c r="A1316" t="inlineStr">
        <is>
          <t>Arrow Stream Casts Per Second</t>
        </is>
      </c>
      <c r="B1316">
        <f>MAX(0,B1314-B1315)</f>
        <v/>
      </c>
    </row>
    <row r="1317">
      <c r="A1317" t="inlineStr">
        <is>
          <t>Global Critical Damage Bonus % (Sharp Eyes + Concentration)</t>
        </is>
      </c>
      <c r="B1317">
        <f>(C1295=TRUE)*F1295*IF(AND(Inputs!$B$38&lt;&gt;"pvp",Inputs!$B$43&gt;0),(((R1295-1)*(Skills!T16*(1+Inputs!$B$34/100))+MIN((Skills!T16*(1+Inputs!$B$34/100)),MAX(0,Inputs!$B$43-((R1295-1)*Skills!D16))))/Inputs!$B$43),IF(Inputs!$B$38="pvp",MIN((Skills!T16*(1+Inputs!$B$34/100)),15)/15,(Skills!T16*(1+Inputs!$B$34/100))/Skills!D16))+(C1296=TRUE)*30</f>
        <v/>
      </c>
    </row>
    <row r="1318">
      <c r="A1318" t="inlineStr">
        <is>
          <t>Global Final Damage Bonus % (Mortal Blow)</t>
        </is>
      </c>
      <c r="B1318">
        <f>(C1297=TRUE)*F1297</f>
        <v/>
      </c>
    </row>
    <row r="1319">
      <c r="A1319" t="inlineStr">
        <is>
          <t>Buff-Casting Startup Delay (s, fixed-duration only)</t>
        </is>
      </c>
      <c r="B1319">
        <f>IF(AND(Inputs!$B$38&lt;&gt;"pvp",Inputs!$B$43&gt;0),SUMPRODUCT((Skills!T2:T30&gt;0)*(Skills!E2:E30=TRUE)*(C1281:C1309=TRUE))/B1314,0)</f>
        <v/>
      </c>
    </row>
    <row r="1320">
      <c r="A1320" s="5" t="inlineStr">
        <is>
          <t>TOTAL DPS</t>
        </is>
      </c>
      <c r="B1320" s="5">
        <f>SUM(O1281:O1309)</f>
        <v/>
      </c>
    </row>
    <row r="1323">
      <c r="A1323" s="5" t="inlineStr">
        <is>
          <t>Stat: CDR = 2.0s</t>
        </is>
      </c>
    </row>
    <row r="1324">
      <c r="A1324" s="9" t="inlineStr">
        <is>
          <t>Key</t>
        </is>
      </c>
      <c r="B1324" s="9" t="inlineStr">
        <is>
          <t>Name</t>
        </is>
      </c>
      <c r="C1324" s="9" t="inlineStr">
        <is>
          <t>Unlocked</t>
        </is>
      </c>
      <c r="D1324" s="9" t="inlineStr">
        <is>
          <t>InputLevel</t>
        </is>
      </c>
      <c r="E1324" s="9" t="inlineStr">
        <is>
          <t>Factor</t>
        </is>
      </c>
      <c r="F1324" s="9" t="inlineStr">
        <is>
          <t>CoefficientPercent</t>
        </is>
      </c>
      <c r="G1324" s="9" t="inlineStr">
        <is>
          <t>EffectiveHits</t>
        </is>
      </c>
      <c r="H1324" s="9" t="inlineStr">
        <is>
          <t>ProcProbability</t>
        </is>
      </c>
      <c r="I1324" s="9" t="inlineStr">
        <is>
          <t>MapleHeroMultiplier</t>
        </is>
      </c>
      <c r="J1324" s="9" t="inlineStr">
        <is>
          <t>BaseDamage</t>
        </is>
      </c>
      <c r="K1324" s="9" t="inlineStr">
        <is>
          <t>BaseHitDamage</t>
        </is>
      </c>
      <c r="L1324" s="9" t="inlineStr">
        <is>
          <t>NonCritAvg</t>
        </is>
      </c>
      <c r="M1324" s="9" t="inlineStr">
        <is>
          <t>CritAvg</t>
        </is>
      </c>
      <c r="N1324" s="9" t="inlineStr">
        <is>
          <t>ExpectedDamage(perHit)</t>
        </is>
      </c>
      <c r="O1324" s="9" t="inlineStr">
        <is>
          <t>DPS</t>
        </is>
      </c>
      <c r="P1324" s="9" t="inlineStr">
        <is>
          <t>% of Total</t>
        </is>
      </c>
      <c r="Q1324" s="9" t="inlineStr">
        <is>
          <t>InvCooldown</t>
        </is>
      </c>
      <c r="R1324" s="9" t="inlineStr">
        <is>
          <t>CastsInFight</t>
        </is>
      </c>
      <c r="S1324" s="9" t="inlineStr">
        <is>
          <t>HitRate(perSec)</t>
        </is>
      </c>
      <c r="U1324" t="inlineStr">
        <is>
          <t>helpers</t>
        </is>
      </c>
    </row>
    <row r="1325">
      <c r="A1325">
        <f>Skills!A2</f>
        <v/>
      </c>
      <c r="B1325">
        <f>Skills!B2</f>
        <v/>
      </c>
      <c r="C1325">
        <f>Inputs!$B$3&gt;=100</f>
        <v/>
      </c>
      <c r="D1325" t="inlineStr"/>
      <c r="E1325" t="inlineStr"/>
      <c r="F1325">
        <f>U1327+Skills!O2</f>
        <v/>
      </c>
      <c r="G1325">
        <f>Skills!G2*IF(Skills!H2&gt;0,Skills!I2/Skills!H2,1)</f>
        <v/>
      </c>
      <c r="H1325">
        <f>1-(1-Skills!J2/100)^Skills!K2</f>
        <v/>
      </c>
      <c r="I1325" t="inlineStr">
        <is>
          <t>1</t>
        </is>
      </c>
      <c r="J1325">
        <f>((Inputs!$B$6*(1+Inputs!$B$7/100))+(((Inputs!$B$12*(1+Inputs!$B$13/100))-(Inputs!$B$12*(1+Inputs!$B$13/100)))+0.25*(Inputs!$B$14-Inputs!$B$14))*(1+Inputs!$B$7/100))*(F1325/100)</f>
        <v/>
      </c>
      <c r="K1325">
        <f>J1325*(1+((Inputs!$B$12*(1+Inputs!$B$13/100))*0.01+Inputs!$B$14*0.0025)/100)*(1+Inputs!$B$15/100)*(1+IF(Inputs!$B$38="pvp",0,(1-Summary!$B$55)*(Inputs!$B$20+0+Skills!P2)+Summary!$B$55*(Inputs!$B$21+Skills!Q2))/100)*(1+Inputs!$B$16/100)*(5000/(6000+Inputs!$B$42*(1-(Inputs!$B$19+((C1350=TRUE)*(F1350-Calc!F27)))/100)))*(1+(Inputs!$B$24+((C1348=TRUE)*(F1348-Calc!F25))+((C1349=TRUE)*(F1349-Calc!F26))+B1362)/100)*(1+(IF(Skills!A2="ARROW_STREAM",Inputs!$B$17+((C1346=TRUE)*(F1346-Calc!F23)),Inputs!$B$18+((C1351=TRUE)*(F1351-Calc!F28))))/100)*((1+(((C1336=TRUE)*F1336)+((C1337=TRUE)*IF(Inputs!$B$38="pvp",F1337,(1-Summary!$B$55)*(F1337)+Summary!$B$55*(0)))+((C1338=TRUE)*F1338*IF(AND(Inputs!$B$38&lt;&gt;"pvp",Inputs!$B$43&gt;0),(((R1338-1)*(Skills!T15*(1+Inputs!$B$34/100))+MIN((Skills!T15*(1+Inputs!$B$34/100)),MAX(0,Inputs!$B$43-((R1338-1)*Skills!D15))))/Inputs!$B$43),IF(Inputs!$B$38="pvp",MIN((Skills!T15*(1+Inputs!$B$34/100)),15)/15,(Skills!T15*(1+Inputs!$B$34/100))/Skills!D15)))+((C1353=TRUE)*(F1353-Calc!F30)))/100)*I1325)</f>
        <v/>
      </c>
      <c r="L1325">
        <f>K1325*(MIN(Inputs!$B$22+((C1347=TRUE)*(F1347-Calc!F24)),Inputs!$B$23+((C1352=TRUE)*(F1352-Calc!F29)))/100+(Inputs!$B$23+((C1352=TRUE)*(F1352-Calc!F29)))/100)/2</f>
        <v/>
      </c>
      <c r="M1325">
        <f>L1325*(1+(Inputs!$B$10+0+B1361)/100)</f>
        <v/>
      </c>
      <c r="N1325">
        <f>L1325*(1-MIN((Inputs!$B$9+((C1343=TRUE)*(F1343-Calc!F20))+B1356),100)/100)+M1325*(MIN((Inputs!$B$9+((C1343=TRUE)*(F1343-Calc!F20))+B1356),100)/100)</f>
        <v/>
      </c>
      <c r="O1325">
        <f>IF(C1325,Skills!G2*N1325*B1360*IF(Inputs!$B$38="pvp",1,(1-Summary!$B$55)*(1)+Summary!$B$55*(MIN((6+Inputs!$B$33),Inputs!$B$37))),0)</f>
        <v/>
      </c>
      <c r="P1325">
        <f>IF(B1364=0,0,O1325/B1364)</f>
        <v/>
      </c>
      <c r="Q1325" t="n">
        <v>0</v>
      </c>
      <c r="R1325" t="n">
        <v>0</v>
      </c>
      <c r="S1325">
        <f>IFERROR(O1325/N1325,0)</f>
        <v/>
      </c>
      <c r="U1325">
        <f>MAX(0,(Inputs!$B$3-100)*3)+Inputs!$B$28+Inputs!$B$29</f>
        <v/>
      </c>
    </row>
    <row r="1326">
      <c r="A1326">
        <f>Skills!A3</f>
        <v/>
      </c>
      <c r="B1326">
        <f>Skills!B3</f>
        <v/>
      </c>
      <c r="C1326">
        <f>Inputs!$B$3&gt;=50</f>
        <v/>
      </c>
      <c r="D1326">
        <f>IF(Skills!C3=1,60+Inputs!$B$25+Inputs!$B$29,IF(Skills!C3=2,90+Inputs!$B$26+Inputs!$B$29,IF(Skills!C3=3,120+Inputs!$B$27+Inputs!$B$29,MAX(0,(Inputs!$B$3-100)*3)+Inputs!$B$28+Inputs!$B$29)))</f>
        <v/>
      </c>
      <c r="E1326">
        <f>INDEX(FactorTable!$B$2:$Y$301, MATCH(ROUND(MIN(300,MAX(1,D1326)),0), FactorTable!$A$2:$A$301,0), Skills!M3+1)</f>
        <v/>
      </c>
      <c r="F1326">
        <f>IF(Skills!N3=TRUE,(Skills!L3/10)*(E1326/1000),Skills!L3/10)+Skills!O3</f>
        <v/>
      </c>
      <c r="G1326" t="inlineStr"/>
      <c r="H1326" t="inlineStr"/>
      <c r="I1326" t="inlineStr">
        <is>
          <t>1</t>
        </is>
      </c>
      <c r="J1326" t="inlineStr"/>
      <c r="K1326" t="inlineStr"/>
      <c r="L1326" t="inlineStr"/>
      <c r="M1326" t="inlineStr"/>
      <c r="N1326" t="inlineStr"/>
      <c r="O1326" t="inlineStr"/>
      <c r="P1326" t="inlineStr"/>
      <c r="Q1326" t="inlineStr"/>
      <c r="R1326" t="inlineStr"/>
      <c r="S1326" t="inlineStr"/>
      <c r="U1326">
        <f>INDEX(FactorTable!$B$2:$Y$301, MATCH(ROUND(MIN(300,MAX(1,U1325)),0), FactorTable!$A$2:$A$301,0), 22)</f>
        <v/>
      </c>
    </row>
    <row r="1327">
      <c r="A1327">
        <f>Skills!A4</f>
        <v/>
      </c>
      <c r="B1327">
        <f>Skills!B4</f>
        <v/>
      </c>
      <c r="C1327">
        <f>Inputs!$B$3&gt;=105</f>
        <v/>
      </c>
      <c r="D1327">
        <f>IF(Skills!C4=1,60+Inputs!$B$25+Inputs!$B$29,IF(Skills!C4=2,90+Inputs!$B$26+Inputs!$B$29,IF(Skills!C4=3,120+Inputs!$B$27+Inputs!$B$29,MAX(0,(Inputs!$B$3-100)*3)+Inputs!$B$28+Inputs!$B$29)))</f>
        <v/>
      </c>
      <c r="E1327">
        <f>INDEX(FactorTable!$B$2:$Y$301, MATCH(ROUND(MIN(300,MAX(1,D1327)),0), FactorTable!$A$2:$A$301,0), Skills!M4+1)</f>
        <v/>
      </c>
      <c r="F1327">
        <f>IF(Skills!N4=TRUE,(Skills!L4/10)*(E1327/1000),Skills!L4/10)+Skills!O4</f>
        <v/>
      </c>
      <c r="G1327" t="inlineStr"/>
      <c r="H1327" t="inlineStr"/>
      <c r="I1327" t="inlineStr">
        <is>
          <t>1</t>
        </is>
      </c>
      <c r="J1327" t="inlineStr"/>
      <c r="K1327" t="inlineStr"/>
      <c r="L1327" t="inlineStr"/>
      <c r="M1327" t="inlineStr"/>
      <c r="N1327" t="inlineStr"/>
      <c r="O1327" t="inlineStr"/>
      <c r="P1327" t="inlineStr"/>
      <c r="Q1327" t="inlineStr"/>
      <c r="R1327" t="inlineStr"/>
      <c r="S1327" t="inlineStr"/>
      <c r="U1327">
        <f>290*U1326/1000</f>
        <v/>
      </c>
    </row>
    <row r="1328">
      <c r="A1328">
        <f>Skills!A5</f>
        <v/>
      </c>
      <c r="B1328">
        <f>Skills!B5</f>
        <v/>
      </c>
      <c r="C1328">
        <f>Inputs!$B$3&gt;=35</f>
        <v/>
      </c>
      <c r="D1328">
        <f>IF(Skills!C5=1,60+Inputs!$B$25+Inputs!$B$29,IF(Skills!C5=2,90+Inputs!$B$26+Inputs!$B$29,IF(Skills!C5=3,120+Inputs!$B$27+Inputs!$B$29,MAX(0,(Inputs!$B$3-100)*3)+Inputs!$B$28+Inputs!$B$29)))</f>
        <v/>
      </c>
      <c r="E1328">
        <f>INDEX(FactorTable!$B$2:$Y$301, MATCH(ROUND(MIN(300,MAX(1,D1328)),0), FactorTable!$A$2:$A$301,0), Skills!M5+1)</f>
        <v/>
      </c>
      <c r="F1328">
        <f>IF(Skills!N5=TRUE,(Skills!L5/10)*(E1328/1000),Skills!L5/10)+Skills!O5</f>
        <v/>
      </c>
      <c r="G1328">
        <f>Skills!G5*IF(Skills!H5&gt;0,Skills!I5/Skills!H5,1)</f>
        <v/>
      </c>
      <c r="H1328">
        <f>1-(1-Skills!J5/100)^Skills!K5</f>
        <v/>
      </c>
      <c r="I1328" t="inlineStr">
        <is>
          <t>1</t>
        </is>
      </c>
      <c r="J1328">
        <f>((Inputs!$B$6*(1+Inputs!$B$7/100))+(((Inputs!$B$12*(1+Inputs!$B$13/100))-(Inputs!$B$12*(1+Inputs!$B$13/100)))+0.25*(Inputs!$B$14-Inputs!$B$14))*(1+Inputs!$B$7/100))*(F1328/100)</f>
        <v/>
      </c>
      <c r="K1328">
        <f>J1328*(1+((Inputs!$B$12*(1+Inputs!$B$13/100))*0.01+Inputs!$B$14*0.0025)/100)*(1+Inputs!$B$15/100)*(1+IF(Inputs!$B$38="pvp",0,(1-Summary!$B$55)*(Inputs!$B$20+0+Skills!P5)+Summary!$B$55*(Inputs!$B$21+Skills!Q5))/100)*(1+Inputs!$B$16/100)*(5000/(6000+Inputs!$B$42*(1-(Inputs!$B$19+((C1350=TRUE)*(F1350-Calc!F27)))/100)))*(1+(Inputs!$B$24+((C1348=TRUE)*(F1348-Calc!F25))+((C1349=TRUE)*(F1349-Calc!F26))+B1362)/100)*(1+4.0*IF(C1333=TRUE,F1333,0)/100)*(1+(IF(Skills!A5="ARROW_STREAM",Inputs!$B$17+((C1346=TRUE)*(F1346-Calc!F23)),Inputs!$B$18+((C1351=TRUE)*(F1351-Calc!F28))))/100)*((1+(((C1336=TRUE)*F1336)+((C1337=TRUE)*IF(Inputs!$B$38="pvp",F1337,(1-Summary!$B$55)*(F1337)+Summary!$B$55*(0)))+((C1338=TRUE)*F1338*IF(AND(Inputs!$B$38&lt;&gt;"pvp",Inputs!$B$43&gt;0),(((R1338-1)*(Skills!T15*(1+Inputs!$B$34/100))+MIN((Skills!T15*(1+Inputs!$B$34/100)),MAX(0,Inputs!$B$43-((R1338-1)*Skills!D15))))/Inputs!$B$43),IF(Inputs!$B$38="pvp",MIN((Skills!T15*(1+Inputs!$B$34/100)),15)/15,(Skills!T15*(1+Inputs!$B$34/100))/Skills!D15)))+((C1353=TRUE)*(F1353-Calc!F30)))/100)*I1328)</f>
        <v/>
      </c>
      <c r="L1328">
        <f>K1328*(MIN(Inputs!$B$22+((C1347=TRUE)*(F1347-Calc!F24)),Inputs!$B$23+((C1352=TRUE)*(F1352-Calc!F29)))/100+(Inputs!$B$23+((C1352=TRUE)*(F1352-Calc!F29)))/100)/2</f>
        <v/>
      </c>
      <c r="M1328">
        <f>L1328*(1+(Inputs!$B$10+0+B1361)/100)</f>
        <v/>
      </c>
      <c r="N1328">
        <f>L1328*(1-MIN((Inputs!$B$9+((C1343=TRUE)*(F1343-Calc!F20))+B1356),100)/100)+M1328*(MIN((Inputs!$B$9+((C1343=TRUE)*(F1343-Calc!F20))+B1356),100)/100)</f>
        <v/>
      </c>
      <c r="O1328">
        <f>IF(C1328,H1328*N1328*IF(AND(Inputs!$B$38&lt;&gt;"pvp",Inputs!$B$43&gt;0),((Skills!G5*((R1328-1)*IF(Skills!H5&gt;0,Skills!I5/Skills!H5,1)+IF(Skills!H5&gt;0,MIN(Skills!I5,MAX(0,MAX(0,Inputs!$B$43-B1363)-((R1328-1)*IF(Inputs!$B$38="pvp",15,MAX(0.1,Skills!D5-IF(Skills!E5=TRUE,2.0,0))))))/Skills!H5,1)))/Inputs!$B$43),G1328*Q1328)*IF(Inputs!$B$38="pvp",1,(1-Summary!$B$55)*(1)+Summary!$B$55*(MIN(Skills!R5,Inputs!$B$37))),0)</f>
        <v/>
      </c>
      <c r="P1328">
        <f>IF(B1364=0,0,O1328/B1364)</f>
        <v/>
      </c>
      <c r="Q1328">
        <f>IFERROR(1/IF(Inputs!$B$38="pvp",15,MAX(0.1,Skills!D5-IF(Skills!E5=TRUE,2.0,0))),0)</f>
        <v/>
      </c>
      <c r="R1328">
        <f>IF(AND(Inputs!$B$38&lt;&gt;"pvp",Inputs!$B$43&gt;0),IF(MAX(0,Inputs!$B$43-B1363)&lt;=0,0,(INT(MAX(0,Inputs!$B$43-B1363)/IF(Inputs!$B$38="pvp",15,MAX(0.1,Skills!D5-IF(Skills!E5=TRUE,2.0,0))))+1)),0)</f>
        <v/>
      </c>
      <c r="S1328">
        <f>IFERROR(O1328/N1328,0)</f>
        <v/>
      </c>
    </row>
    <row r="1329">
      <c r="A1329">
        <f>Skills!A6</f>
        <v/>
      </c>
      <c r="B1329">
        <f>Skills!B6</f>
        <v/>
      </c>
      <c r="C1329">
        <f>Inputs!$B$3&gt;=40</f>
        <v/>
      </c>
      <c r="D1329">
        <f>IF(Skills!C6=1,60+Inputs!$B$25+Inputs!$B$29,IF(Skills!C6=2,90+Inputs!$B$26+Inputs!$B$29,IF(Skills!C6=3,120+Inputs!$B$27+Inputs!$B$29,MAX(0,(Inputs!$B$3-100)*3)+Inputs!$B$28+Inputs!$B$29)))</f>
        <v/>
      </c>
      <c r="E1329">
        <f>INDEX(FactorTable!$B$2:$Y$301, MATCH(ROUND(MIN(300,MAX(1,D1329)),0), FactorTable!$A$2:$A$301,0), Skills!M6+1)</f>
        <v/>
      </c>
      <c r="F1329">
        <f>IF(Skills!N6=TRUE,(Skills!L6/10)*(E1329/1000),Skills!L6/10)+Skills!O6</f>
        <v/>
      </c>
      <c r="G1329">
        <f>Skills!G6*IF(Skills!H6&gt;0,Skills!I6/Skills!H6,1)</f>
        <v/>
      </c>
      <c r="H1329">
        <f>1-(1-Skills!J6/100)^Skills!K6</f>
        <v/>
      </c>
      <c r="I1329" t="inlineStr">
        <is>
          <t>1</t>
        </is>
      </c>
      <c r="J1329">
        <f>((Inputs!$B$6*(1+Inputs!$B$7/100))+(((Inputs!$B$12*(1+Inputs!$B$13/100))-(Inputs!$B$12*(1+Inputs!$B$13/100)))+0.25*(Inputs!$B$14-Inputs!$B$14))*(1+Inputs!$B$7/100))*(F1329/100)</f>
        <v/>
      </c>
      <c r="K1329">
        <f>J1329*(1+((Inputs!$B$12*(1+Inputs!$B$13/100))*0.01+Inputs!$B$14*0.0025)/100)*(1+Inputs!$B$15/100)*(1+IF(Inputs!$B$38="pvp",0,(1-Summary!$B$55)*(Inputs!$B$20+0+Skills!P6)+Summary!$B$55*(Inputs!$B$21+Skills!Q6))/100)*(1+Inputs!$B$16/100)*(5000/(6000+Inputs!$B$42*(1-(Inputs!$B$19+((C1350=TRUE)*(F1350-Calc!F27)))/100)))*(1+(Inputs!$B$24+((C1348=TRUE)*(F1348-Calc!F25))+((C1349=TRUE)*(F1349-Calc!F26))+B1362)/100)*(1+IF(C1330=TRUE,F1330,0)/100)*(1+(IF(Skills!A6="ARROW_STREAM",Inputs!$B$17+((C1346=TRUE)*(F1346-Calc!F23)),Inputs!$B$18+((C1351=TRUE)*(F1351-Calc!F28))))/100)*((1+(((C1336=TRUE)*F1336)+((C1337=TRUE)*IF(Inputs!$B$38="pvp",F1337,(1-Summary!$B$55)*(F1337)+Summary!$B$55*(0)))+((C1338=TRUE)*F1338*IF(AND(Inputs!$B$38&lt;&gt;"pvp",Inputs!$B$43&gt;0),(((R1338-1)*(Skills!T15*(1+Inputs!$B$34/100))+MIN((Skills!T15*(1+Inputs!$B$34/100)),MAX(0,Inputs!$B$43-((R1338-1)*Skills!D15))))/Inputs!$B$43),IF(Inputs!$B$38="pvp",MIN((Skills!T15*(1+Inputs!$B$34/100)),15)/15,(Skills!T15*(1+Inputs!$B$34/100))/Skills!D15)))+((C1353=TRUE)*(F1353-Calc!F30)))/100)*I1329)</f>
        <v/>
      </c>
      <c r="L1329">
        <f>K1329*(MIN(Inputs!$B$22+((C1347=TRUE)*(F1347-Calc!F24)),Inputs!$B$23+((C1352=TRUE)*(F1352-Calc!F29)))/100+(Inputs!$B$23+((C1352=TRUE)*(F1352-Calc!F29)))/100)/2</f>
        <v/>
      </c>
      <c r="M1329">
        <f>L1329*(1+(Inputs!$B$10+0+B1361)/100)</f>
        <v/>
      </c>
      <c r="N1329">
        <f>L1329*(1-MIN((Inputs!$B$9+((C1343=TRUE)*(F1343-Calc!F20))+B1356),100)/100)+M1329*(MIN((Inputs!$B$9+((C1343=TRUE)*(F1343-Calc!F20))+B1356),100)/100)</f>
        <v/>
      </c>
      <c r="O1329">
        <f>IF(C1329,H1329*N1329*IF(AND(Inputs!$B$38&lt;&gt;"pvp",Inputs!$B$43&gt;0),((Skills!G6*((R1329-1)*IF(Skills!H6&gt;0,Skills!I6/Skills!H6,1)+IF(Skills!H6&gt;0,MIN(Skills!I6,MAX(0,MAX(0,Inputs!$B$43-B1363)-((R1329-1)*IF(Inputs!$B$38="pvp",15,MAX(0.1,Skills!D6-IF(Skills!E6=TRUE,2.0,0))))))/Skills!H6,1)))/Inputs!$B$43),G1329*Q1329)*IF(Inputs!$B$38="pvp",1,(1-Summary!$B$55)*(1)+Summary!$B$55*(MIN(Skills!R6,Inputs!$B$37))),0)</f>
        <v/>
      </c>
      <c r="P1329">
        <f>IF(B1364=0,0,O1329/B1364)</f>
        <v/>
      </c>
      <c r="Q1329">
        <f>IFERROR(1/IF(Inputs!$B$38="pvp",15,MAX(0.1,Skills!D6-IF(Skills!E6=TRUE,2.0,0))),0)</f>
        <v/>
      </c>
      <c r="R1329">
        <f>IF(AND(Inputs!$B$38&lt;&gt;"pvp",Inputs!$B$43&gt;0),IF(MAX(0,Inputs!$B$43-B1363)&lt;=0,0,(INT(MAX(0,Inputs!$B$43-B1363)/IF(Inputs!$B$38="pvp",15,MAX(0.1,Skills!D6-IF(Skills!E6=TRUE,2.0,0))))+1)),0)</f>
        <v/>
      </c>
      <c r="S1329">
        <f>IFERROR(O1329/N1329,0)</f>
        <v/>
      </c>
    </row>
    <row r="1330">
      <c r="A1330">
        <f>Skills!A7</f>
        <v/>
      </c>
      <c r="B1330">
        <f>Skills!B7</f>
        <v/>
      </c>
      <c r="C1330">
        <f>Inputs!$B$3&gt;=107</f>
        <v/>
      </c>
      <c r="D1330">
        <f>IF(Skills!C7=1,60+Inputs!$B$25+Inputs!$B$29,IF(Skills!C7=2,90+Inputs!$B$26+Inputs!$B$29,IF(Skills!C7=3,120+Inputs!$B$27+Inputs!$B$29,MAX(0,(Inputs!$B$3-100)*3)+Inputs!$B$28+Inputs!$B$29)))</f>
        <v/>
      </c>
      <c r="E1330">
        <f>INDEX(FactorTable!$B$2:$Y$301, MATCH(ROUND(MIN(300,MAX(1,D1330)),0), FactorTable!$A$2:$A$301,0), Skills!M7+1)</f>
        <v/>
      </c>
      <c r="F1330">
        <f>IF(Skills!N7=TRUE,(Skills!L7/10)*(E1330/1000),Skills!L7/10)+Skills!O7</f>
        <v/>
      </c>
      <c r="G1330" t="inlineStr"/>
      <c r="H1330" t="inlineStr"/>
      <c r="I1330" t="inlineStr">
        <is>
          <t>1</t>
        </is>
      </c>
      <c r="J1330" t="inlineStr"/>
      <c r="K1330" t="inlineStr"/>
      <c r="L1330" t="inlineStr"/>
      <c r="M1330" t="inlineStr"/>
      <c r="N1330" t="inlineStr"/>
      <c r="O1330" t="inlineStr"/>
      <c r="P1330" t="inlineStr"/>
      <c r="Q1330" t="inlineStr"/>
      <c r="R1330" t="inlineStr"/>
      <c r="S1330" t="inlineStr"/>
    </row>
    <row r="1331">
      <c r="A1331">
        <f>Skills!A8</f>
        <v/>
      </c>
      <c r="B1331">
        <f>Skills!B8</f>
        <v/>
      </c>
      <c r="C1331">
        <f>Inputs!$B$3&gt;=69</f>
        <v/>
      </c>
      <c r="D1331">
        <f>IF(Skills!C8=1,60+Inputs!$B$25+Inputs!$B$29,IF(Skills!C8=2,90+Inputs!$B$26+Inputs!$B$29,IF(Skills!C8=3,120+Inputs!$B$27+Inputs!$B$29,MAX(0,(Inputs!$B$3-100)*3)+Inputs!$B$28+Inputs!$B$29)))</f>
        <v/>
      </c>
      <c r="E1331">
        <f>INDEX(FactorTable!$B$2:$Y$301, MATCH(ROUND(MIN(300,MAX(1,D1331)),0), FactorTable!$A$2:$A$301,0), Skills!M8+1)</f>
        <v/>
      </c>
      <c r="F1331">
        <f>IF(Skills!N8=TRUE,(Skills!L8/10)*(E1331/1000),Skills!L8/10)+Skills!O8</f>
        <v/>
      </c>
      <c r="G1331">
        <f>Skills!G8*IF(Skills!H8&gt;0,Skills!I8/Skills!H8,1)</f>
        <v/>
      </c>
      <c r="H1331">
        <f>1-(1-Skills!J8/100)^Skills!K8</f>
        <v/>
      </c>
      <c r="I1331" t="inlineStr">
        <is>
          <t>1</t>
        </is>
      </c>
      <c r="J1331">
        <f>((Inputs!$B$6*(1+Inputs!$B$7/100))+(((Inputs!$B$12*(1+Inputs!$B$13/100))-(Inputs!$B$12*(1+Inputs!$B$13/100)))+0.25*(Inputs!$B$14-Inputs!$B$14))*(1+Inputs!$B$7/100))*(F1331/100)</f>
        <v/>
      </c>
      <c r="K1331">
        <f>J1331*(1+((Inputs!$B$12*(1+Inputs!$B$13/100))*0.01+Inputs!$B$14*0.0025)/100)*(1+Inputs!$B$15/100)*(1+IF(Inputs!$B$38="pvp",0,(1-Summary!$B$55)*(Inputs!$B$20+0+Skills!P8)+Summary!$B$55*(Inputs!$B$21+Skills!Q8))/100)*(1+Inputs!$B$16/100)*(5000/(6000+Inputs!$B$42*(1-(Inputs!$B$19+((C1350=TRUE)*(F1350-Calc!F27)))/100)))*(1+(Inputs!$B$24+((C1348=TRUE)*(F1348-Calc!F25))+((C1349=TRUE)*(F1349-Calc!F26))+B1362)/100)*(1+1.2*IF(C1333=TRUE,F1333,0)/100)*(1+(IF(Skills!A8="ARROW_STREAM",Inputs!$B$17+((C1346=TRUE)*(F1346-Calc!F23)),Inputs!$B$18+((C1351=TRUE)*(F1351-Calc!F28))))/100)*((1+(((C1336=TRUE)*F1336)+((C1337=TRUE)*IF(Inputs!$B$38="pvp",F1337,(1-Summary!$B$55)*(F1337)+Summary!$B$55*(0)))+((C1338=TRUE)*F1338*IF(AND(Inputs!$B$38&lt;&gt;"pvp",Inputs!$B$43&gt;0),(((R1338-1)*(Skills!T15*(1+Inputs!$B$34/100))+MIN((Skills!T15*(1+Inputs!$B$34/100)),MAX(0,Inputs!$B$43-((R1338-1)*Skills!D15))))/Inputs!$B$43),IF(Inputs!$B$38="pvp",MIN((Skills!T15*(1+Inputs!$B$34/100)),15)/15,(Skills!T15*(1+Inputs!$B$34/100))/Skills!D15)))+((C1353=TRUE)*(F1353-Calc!F30)))/100)*I1331)</f>
        <v/>
      </c>
      <c r="L1331">
        <f>K1331*(MIN(Inputs!$B$22+((C1347=TRUE)*(F1347-Calc!F24)),Inputs!$B$23+((C1352=TRUE)*(F1352-Calc!F29)))/100+(Inputs!$B$23+((C1352=TRUE)*(F1352-Calc!F29)))/100)/2</f>
        <v/>
      </c>
      <c r="M1331">
        <f>L1331*(1+(Inputs!$B$10+0+B1361)/100)</f>
        <v/>
      </c>
      <c r="N1331">
        <f>L1331*(1-MIN((Inputs!$B$9+((C1343=TRUE)*(F1343-Calc!F20))+B1356),100)/100)+M1331*(MIN((Inputs!$B$9+((C1343=TRUE)*(F1343-Calc!F20))+B1356),100)/100)</f>
        <v/>
      </c>
      <c r="O1331">
        <f>IF(C1331,H1331*N1331*IF(AND(Inputs!$B$38&lt;&gt;"pvp",Inputs!$B$43&gt;0),((Skills!G8*((R1331-1)*IF(Skills!H8&gt;0,Skills!I8/Skills!H8,1)+IF(Skills!H8&gt;0,MIN(Skills!I8,MAX(0,MAX(0,Inputs!$B$43-B1363)-((R1331-1)*IF(Inputs!$B$38="pvp",15,MAX(0.1,Skills!D8-IF(Skills!E8=TRUE,2.0,0))))))/Skills!H8,1)))/Inputs!$B$43),G1331*Q1331)*IF(Inputs!$B$38="pvp",1,(1-Summary!$B$55)*(1)+Summary!$B$55*(MIN(Skills!R8,Inputs!$B$37))),0)</f>
        <v/>
      </c>
      <c r="P1331">
        <f>IF(B1364=0,0,O1331/B1364)</f>
        <v/>
      </c>
      <c r="Q1331">
        <f>IFERROR(1/IF(Inputs!$B$38="pvp",15,MAX(0.1,Skills!D8-IF(Skills!E8=TRUE,2.0,0))),0)</f>
        <v/>
      </c>
      <c r="R1331">
        <f>IF(AND(Inputs!$B$38&lt;&gt;"pvp",Inputs!$B$43&gt;0),IF(MAX(0,Inputs!$B$43-B1363)&lt;=0,0,(INT(MAX(0,Inputs!$B$43-B1363)/IF(Inputs!$B$38="pvp",15,MAX(0.1,Skills!D8-IF(Skills!E8=TRUE,2.0,0))))+1)),0)</f>
        <v/>
      </c>
      <c r="S1331">
        <f>IFERROR(O1331/N1331,0)</f>
        <v/>
      </c>
    </row>
    <row r="1332">
      <c r="A1332">
        <f>Skills!A9</f>
        <v/>
      </c>
      <c r="B1332">
        <f>Skills!B9</f>
        <v/>
      </c>
      <c r="C1332">
        <f>Inputs!$B$3&gt;=63</f>
        <v/>
      </c>
      <c r="D1332">
        <f>IF(Skills!C9=1,60+Inputs!$B$25+Inputs!$B$29,IF(Skills!C9=2,90+Inputs!$B$26+Inputs!$B$29,IF(Skills!C9=3,120+Inputs!$B$27+Inputs!$B$29,MAX(0,(Inputs!$B$3-100)*3)+Inputs!$B$28+Inputs!$B$29)))</f>
        <v/>
      </c>
      <c r="E1332">
        <f>INDEX(FactorTable!$B$2:$Y$301, MATCH(ROUND(MIN(300,MAX(1,D1332)),0), FactorTable!$A$2:$A$301,0), Skills!M9+1)</f>
        <v/>
      </c>
      <c r="F1332">
        <f>IF(Skills!N9=TRUE,(Skills!L9/10)*(E1332/1000),Skills!L9/10)+Skills!O9</f>
        <v/>
      </c>
      <c r="G1332">
        <f>Skills!G9*IF(Skills!H9&gt;0,Skills!I9/Skills!H9,1)</f>
        <v/>
      </c>
      <c r="H1332">
        <f>1-(1-Skills!J9/100)^Skills!K9</f>
        <v/>
      </c>
      <c r="I1332" t="inlineStr">
        <is>
          <t>1</t>
        </is>
      </c>
      <c r="J1332">
        <f>((Inputs!$B$6*(1+Inputs!$B$7/100))+(((Inputs!$B$12*(1+Inputs!$B$13/100))-(Inputs!$B$12*(1+Inputs!$B$13/100)))+0.25*(Inputs!$B$14-Inputs!$B$14))*(1+Inputs!$B$7/100))*(F1332/100)</f>
        <v/>
      </c>
      <c r="K1332">
        <f>J1332*(1+((Inputs!$B$12*(1+Inputs!$B$13/100))*0.01+Inputs!$B$14*0.0025)/100)*(1+Inputs!$B$15/100)*(1+IF(Inputs!$B$38="pvp",0,(1-Summary!$B$55)*(Inputs!$B$20+0+Skills!P9)+Summary!$B$55*(Inputs!$B$21+Skills!Q9))/100)*(1+Inputs!$B$16/100)*(5000/(6000+Inputs!$B$42*(1-(Inputs!$B$19+((C1350=TRUE)*(F1350-Calc!F27)))/100)))*(1+(Inputs!$B$24+((C1348=TRUE)*(F1348-Calc!F25))+((C1349=TRUE)*(F1349-Calc!F26))+B1362)/100)*(1+1.0*IF(C1333=TRUE,F1333,0)/100)*(1+(IF(Skills!A9="ARROW_STREAM",Inputs!$B$17+((C1346=TRUE)*(F1346-Calc!F23)),Inputs!$B$18+((C1351=TRUE)*(F1351-Calc!F28))))/100)*((1+(((C1336=TRUE)*F1336)+((C1337=TRUE)*IF(Inputs!$B$38="pvp",F1337,(1-Summary!$B$55)*(F1337)+Summary!$B$55*(0)))+((C1338=TRUE)*F1338*IF(AND(Inputs!$B$38&lt;&gt;"pvp",Inputs!$B$43&gt;0),(((R1338-1)*(Skills!T15*(1+Inputs!$B$34/100))+MIN((Skills!T15*(1+Inputs!$B$34/100)),MAX(0,Inputs!$B$43-((R1338-1)*Skills!D15))))/Inputs!$B$43),IF(Inputs!$B$38="pvp",MIN((Skills!T15*(1+Inputs!$B$34/100)),15)/15,(Skills!T15*(1+Inputs!$B$34/100))/Skills!D15)))+((C1353=TRUE)*(F1353-Calc!F30)))/100)*I1332)</f>
        <v/>
      </c>
      <c r="L1332">
        <f>K1332*(MIN(Inputs!$B$22+((C1347=TRUE)*(F1347-Calc!F24)),Inputs!$B$23+((C1352=TRUE)*(F1352-Calc!F29)))/100+(Inputs!$B$23+((C1352=TRUE)*(F1352-Calc!F29)))/100)/2</f>
        <v/>
      </c>
      <c r="M1332">
        <f>L1332*(1+(Inputs!$B$10+0+B1361)/100)</f>
        <v/>
      </c>
      <c r="N1332">
        <f>L1332*(1-MIN((Inputs!$B$9+((C1343=TRUE)*(F1343-Calc!F20))+B1356),100)/100)+M1332*(MIN((Inputs!$B$9+((C1343=TRUE)*(F1343-Calc!F20))+B1356),100)/100)</f>
        <v/>
      </c>
      <c r="O1332">
        <f>IF(C1332,H1332*N1332*IF(AND(Inputs!$B$38&lt;&gt;"pvp",Inputs!$B$43&gt;0),((Skills!G9*((R1332-1)*IF(Skills!H9&gt;0,Skills!I9/Skills!H9,1)+IF(Skills!H9&gt;0,MIN(Skills!I9,MAX(0,MAX(0,Inputs!$B$43-B1363)-((R1332-1)*IF(Inputs!$B$38="pvp",15,MAX(0.1,Skills!D9-IF(Skills!E9=TRUE,2.0,0))))))/Skills!H9,1)))/Inputs!$B$43),G1332*Q1332)*IF(Inputs!$B$38="pvp",1,(1-Summary!$B$55)*(1)+Summary!$B$55*(MIN(Skills!R9,Inputs!$B$37))),0)</f>
        <v/>
      </c>
      <c r="P1332">
        <f>IF(B1364=0,0,O1332/B1364)</f>
        <v/>
      </c>
      <c r="Q1332">
        <f>IFERROR(1/IF(Inputs!$B$38="pvp",15,MAX(0.1,Skills!D9-IF(Skills!E9=TRUE,2.0,0))),0)</f>
        <v/>
      </c>
      <c r="R1332">
        <f>IF(AND(Inputs!$B$38&lt;&gt;"pvp",Inputs!$B$43&gt;0),IF(MAX(0,Inputs!$B$43-B1363)&lt;=0,0,(INT(MAX(0,Inputs!$B$43-B1363)/IF(Inputs!$B$38="pvp",15,MAX(0.1,Skills!D9-IF(Skills!E9=TRUE,2.0,0))))+1)),0)</f>
        <v/>
      </c>
      <c r="S1332">
        <f>IFERROR(O1332/N1332,0)</f>
        <v/>
      </c>
    </row>
    <row r="1333">
      <c r="A1333">
        <f>Skills!A10</f>
        <v/>
      </c>
      <c r="B1333">
        <f>Skills!B10</f>
        <v/>
      </c>
      <c r="C1333">
        <f>Inputs!$B$3&gt;=100</f>
        <v/>
      </c>
      <c r="D1333">
        <f>IF(Skills!C10=1,60+Inputs!$B$25+Inputs!$B$29,IF(Skills!C10=2,90+Inputs!$B$26+Inputs!$B$29,IF(Skills!C10=3,120+Inputs!$B$27+Inputs!$B$29,MAX(0,(Inputs!$B$3-100)*3)+Inputs!$B$28+Inputs!$B$29)))</f>
        <v/>
      </c>
      <c r="E1333">
        <f>INDEX(FactorTable!$B$2:$Y$301, MATCH(ROUND(MIN(300,MAX(1,D1333)),0), FactorTable!$A$2:$A$301,0), Skills!M10+1)</f>
        <v/>
      </c>
      <c r="F1333">
        <f>IF(Skills!N10=TRUE,(Skills!L10/10)*(E1333/1000),Skills!L10/10)+Skills!O10</f>
        <v/>
      </c>
      <c r="G1333" t="inlineStr"/>
      <c r="H1333" t="inlineStr"/>
      <c r="I1333" t="inlineStr">
        <is>
          <t>1</t>
        </is>
      </c>
      <c r="J1333" t="inlineStr"/>
      <c r="K1333" t="inlineStr"/>
      <c r="L1333" t="inlineStr"/>
      <c r="M1333" t="inlineStr"/>
      <c r="N1333" t="inlineStr"/>
      <c r="O1333" t="inlineStr"/>
      <c r="P1333" t="inlineStr"/>
      <c r="Q1333" t="inlineStr"/>
      <c r="R1333" t="inlineStr"/>
      <c r="S1333" t="inlineStr"/>
    </row>
    <row r="1334">
      <c r="A1334">
        <f>Skills!A11</f>
        <v/>
      </c>
      <c r="B1334">
        <f>Skills!B11</f>
        <v/>
      </c>
      <c r="C1334">
        <f>Inputs!$B$3&gt;=60</f>
        <v/>
      </c>
      <c r="D1334">
        <f>IF(Skills!C11=1,60+Inputs!$B$25+Inputs!$B$29,IF(Skills!C11=2,90+Inputs!$B$26+Inputs!$B$29,IF(Skills!C11=3,120+Inputs!$B$27+Inputs!$B$29,MAX(0,(Inputs!$B$3-100)*3)+Inputs!$B$28+Inputs!$B$29)))</f>
        <v/>
      </c>
      <c r="E1334">
        <f>INDEX(FactorTable!$B$2:$Y$301, MATCH(ROUND(MIN(300,MAX(1,D1334)),0), FactorTable!$A$2:$A$301,0), Skills!M11+1)</f>
        <v/>
      </c>
      <c r="F1334">
        <f>IF(Skills!N11=TRUE,(Skills!L11/10)*(E1334/1000),Skills!L11/10)+Skills!O11</f>
        <v/>
      </c>
      <c r="G1334">
        <f>Skills!G11*IF(Skills!H11&gt;0,Skills!I11/Skills!H11,1)</f>
        <v/>
      </c>
      <c r="H1334">
        <f>1-(1-Skills!J11/100)^Skills!K11</f>
        <v/>
      </c>
      <c r="I1334" t="inlineStr">
        <is>
          <t>1</t>
        </is>
      </c>
      <c r="J1334">
        <f>((Inputs!$B$6*(1+Inputs!$B$7/100))+(((Inputs!$B$12*(1+Inputs!$B$13/100))-(Inputs!$B$12*(1+Inputs!$B$13/100)))+0.25*(Inputs!$B$14-Inputs!$B$14))*(1+Inputs!$B$7/100))*(F1334/100)</f>
        <v/>
      </c>
      <c r="K1334">
        <f>J1334*(1+((Inputs!$B$12*(1+Inputs!$B$13/100))*0.01+Inputs!$B$14*0.0025)/100)*(1+Inputs!$B$15/100)*(1+IF(Inputs!$B$38="pvp",0,(1-Summary!$B$55)*(Inputs!$B$20+0+Skills!P11)+Summary!$B$55*(Inputs!$B$21+Skills!Q11))/100)*(1+Inputs!$B$16/100)*(5000/(6000+Inputs!$B$42*(1-(Inputs!$B$19+((C1350=TRUE)*(F1350-Calc!F27)))/100)))*(1+(Inputs!$B$24+((C1348=TRUE)*(F1348-Calc!F25))+((C1349=TRUE)*(F1349-Calc!F26))+B1362)/100)*(1+IF(C1335=TRUE,F1335,0)/100)*(1+(IF(Skills!A11="ARROW_STREAM",Inputs!$B$17+((C1346=TRUE)*(F1346-Calc!F23)),Inputs!$B$18+((C1351=TRUE)*(F1351-Calc!F28))))/100)*((1+(((C1336=TRUE)*F1336)+((C1337=TRUE)*IF(Inputs!$B$38="pvp",F1337,(1-Summary!$B$55)*(F1337)+Summary!$B$55*(0)))+((C1338=TRUE)*F1338*IF(AND(Inputs!$B$38&lt;&gt;"pvp",Inputs!$B$43&gt;0),(((R1338-1)*(Skills!T15*(1+Inputs!$B$34/100))+MIN((Skills!T15*(1+Inputs!$B$34/100)),MAX(0,Inputs!$B$43-((R1338-1)*Skills!D15))))/Inputs!$B$43),IF(Inputs!$B$38="pvp",MIN((Skills!T15*(1+Inputs!$B$34/100)),15)/15,(Skills!T15*(1+Inputs!$B$34/100))/Skills!D15)))+((C1353=TRUE)*(F1353-Calc!F30)))/100)*I1334)</f>
        <v/>
      </c>
      <c r="L1334">
        <f>K1334*(MIN(Inputs!$B$22+((C1347=TRUE)*(F1347-Calc!F24)),Inputs!$B$23+((C1352=TRUE)*(F1352-Calc!F29)))/100+(Inputs!$B$23+((C1352=TRUE)*(F1352-Calc!F29)))/100)/2</f>
        <v/>
      </c>
      <c r="M1334">
        <f>L1334*(1+(Inputs!$B$10+0+B1361)/100)</f>
        <v/>
      </c>
      <c r="N1334">
        <f>L1334*(1-MIN((Inputs!$B$9+((C1343=TRUE)*(F1343-Calc!F20))+B1356),100)/100)+M1334*(MIN((Inputs!$B$9+((C1343=TRUE)*(F1343-Calc!F20))+B1356),100)/100)</f>
        <v/>
      </c>
      <c r="O1334">
        <f>IF(C1334,H1334*N1334*IF(AND(Inputs!$B$38&lt;&gt;"pvp",Inputs!$B$43&gt;0),((Skills!G11*((R1334-1)*IF(Skills!H11&gt;0,Skills!I11/Skills!H11,1)+IF(Skills!H11&gt;0,MIN(Skills!I11,MAX(0,MAX(0,Inputs!$B$43-B1363)-((R1334-1)*IF(Inputs!$B$38="pvp",15,MAX(0.1,Skills!D11-IF(Skills!E11=TRUE,2.0,0))))))/Skills!H11,1)))/Inputs!$B$43),G1334*Q1334)*IF(Inputs!$B$38="pvp",1,(1-Summary!$B$55)*(1)+Summary!$B$55*(MIN(Skills!R11,Inputs!$B$37))),0)</f>
        <v/>
      </c>
      <c r="P1334">
        <f>IF(B1364=0,0,O1334/B1364)</f>
        <v/>
      </c>
      <c r="Q1334">
        <f>IFERROR(1/IF(Inputs!$B$38="pvp",15,MAX(0.1,Skills!D11-IF(Skills!E11=TRUE,2.0,0))),0)</f>
        <v/>
      </c>
      <c r="R1334">
        <f>IF(AND(Inputs!$B$38&lt;&gt;"pvp",Inputs!$B$43&gt;0),IF(MAX(0,Inputs!$B$43-B1363)&lt;=0,0,(INT(MAX(0,Inputs!$B$43-B1363)/IF(Inputs!$B$38="pvp",15,MAX(0.1,Skills!D11-IF(Skills!E11=TRUE,2.0,0))))+1)),0)</f>
        <v/>
      </c>
      <c r="S1334">
        <f>IFERROR(O1334/N1334,0)</f>
        <v/>
      </c>
    </row>
    <row r="1335">
      <c r="A1335">
        <f>Skills!A12</f>
        <v/>
      </c>
      <c r="B1335">
        <f>Skills!B12</f>
        <v/>
      </c>
      <c r="C1335">
        <f>Inputs!$B$3&gt;=110</f>
        <v/>
      </c>
      <c r="D1335">
        <f>IF(Skills!C12=1,60+Inputs!$B$25+Inputs!$B$29,IF(Skills!C12=2,90+Inputs!$B$26+Inputs!$B$29,IF(Skills!C12=3,120+Inputs!$B$27+Inputs!$B$29,MAX(0,(Inputs!$B$3-100)*3)+Inputs!$B$28+Inputs!$B$29)))</f>
        <v/>
      </c>
      <c r="E1335">
        <f>INDEX(FactorTable!$B$2:$Y$301, MATCH(ROUND(MIN(300,MAX(1,D1335)),0), FactorTable!$A$2:$A$301,0), Skills!M12+1)</f>
        <v/>
      </c>
      <c r="F1335">
        <f>IF(Skills!N12=TRUE,(Skills!L12/10)*(E1335/1000),Skills!L12/10)+Skills!O12</f>
        <v/>
      </c>
      <c r="G1335" t="inlineStr"/>
      <c r="H1335" t="inlineStr"/>
      <c r="I1335" t="inlineStr">
        <is>
          <t>1</t>
        </is>
      </c>
      <c r="J1335" t="inlineStr"/>
      <c r="K1335" t="inlineStr"/>
      <c r="L1335" t="inlineStr"/>
      <c r="M1335" t="inlineStr"/>
      <c r="N1335" t="inlineStr"/>
      <c r="O1335" t="inlineStr"/>
      <c r="P1335" t="inlineStr"/>
      <c r="Q1335" t="inlineStr"/>
      <c r="R1335" t="inlineStr"/>
      <c r="S1335" t="inlineStr"/>
    </row>
    <row r="1336">
      <c r="A1336">
        <f>Skills!A13</f>
        <v/>
      </c>
      <c r="B1336">
        <f>Skills!B13</f>
        <v/>
      </c>
      <c r="C1336">
        <f>Inputs!$B$3&gt;=74</f>
        <v/>
      </c>
      <c r="D1336">
        <f>IF(Skills!C13=1,60+Inputs!$B$25+Inputs!$B$29,IF(Skills!C13=2,90+Inputs!$B$26+Inputs!$B$29,IF(Skills!C13=3,120+Inputs!$B$27+Inputs!$B$29,MAX(0,(Inputs!$B$3-100)*3)+Inputs!$B$28+Inputs!$B$29)))</f>
        <v/>
      </c>
      <c r="E1336">
        <f>INDEX(FactorTable!$B$2:$Y$301, MATCH(ROUND(MIN(300,MAX(1,D1336)),0), FactorTable!$A$2:$A$301,0), Skills!M13+1)</f>
        <v/>
      </c>
      <c r="F1336">
        <f>IF(Skills!N13=TRUE,(Skills!L13/10)*(E1336/1000),Skills!L13/10)+Skills!O13</f>
        <v/>
      </c>
      <c r="G1336">
        <f>Skills!G13*IF(Skills!H13&gt;0,Skills!I13/Skills!H13,1)</f>
        <v/>
      </c>
      <c r="H1336">
        <f>1-(1-Skills!J13/100)^Skills!K13</f>
        <v/>
      </c>
      <c r="I1336" t="inlineStr">
        <is>
          <t>1</t>
        </is>
      </c>
      <c r="J1336" t="inlineStr"/>
      <c r="K1336" t="inlineStr"/>
      <c r="L1336" t="inlineStr"/>
      <c r="M1336" t="inlineStr"/>
      <c r="N1336" t="inlineStr"/>
      <c r="O1336" t="n">
        <v>0</v>
      </c>
      <c r="P1336">
        <f>IF(B1364=0,0,O1336/B1364)</f>
        <v/>
      </c>
      <c r="Q1336" t="n">
        <v>0</v>
      </c>
      <c r="R1336" t="n">
        <v>0</v>
      </c>
      <c r="S1336">
        <f>IFERROR(O1336/N1336,0)</f>
        <v/>
      </c>
    </row>
    <row r="1337">
      <c r="A1337">
        <f>Skills!A14</f>
        <v/>
      </c>
      <c r="B1337">
        <f>Skills!B14</f>
        <v/>
      </c>
      <c r="C1337">
        <f>Inputs!$B$3&gt;=74</f>
        <v/>
      </c>
      <c r="D1337">
        <f>IF(Skills!C14=1,60+Inputs!$B$25+Inputs!$B$29,IF(Skills!C14=2,90+Inputs!$B$26+Inputs!$B$29,IF(Skills!C14=3,120+Inputs!$B$27+Inputs!$B$29,MAX(0,(Inputs!$B$3-100)*3)+Inputs!$B$28+Inputs!$B$29)))</f>
        <v/>
      </c>
      <c r="E1337">
        <f>INDEX(FactorTable!$B$2:$Y$301, MATCH(ROUND(MIN(300,MAX(1,D1337)),0), FactorTable!$A$2:$A$301,0), Skills!M14+1)</f>
        <v/>
      </c>
      <c r="F1337">
        <f>IF(Skills!N14=TRUE,(Skills!L14/10)*(E1337/1000),Skills!L14/10)+Skills!O14</f>
        <v/>
      </c>
      <c r="G1337">
        <f>Skills!G14*IF(Skills!H14&gt;0,Skills!I14/Skills!H14,1)</f>
        <v/>
      </c>
      <c r="H1337">
        <f>1-(1-Skills!J14/100)^Skills!K14</f>
        <v/>
      </c>
      <c r="I1337" t="inlineStr">
        <is>
          <t>1</t>
        </is>
      </c>
      <c r="J1337" t="inlineStr"/>
      <c r="K1337" t="inlineStr"/>
      <c r="L1337" t="inlineStr"/>
      <c r="M1337" t="inlineStr"/>
      <c r="N1337" t="inlineStr"/>
      <c r="O1337" t="n">
        <v>0</v>
      </c>
      <c r="P1337">
        <f>IF(B1364=0,0,O1337/B1364)</f>
        <v/>
      </c>
      <c r="Q1337" t="n">
        <v>0</v>
      </c>
      <c r="R1337" t="n">
        <v>0</v>
      </c>
      <c r="S1337">
        <f>IFERROR(O1337/N1337,0)</f>
        <v/>
      </c>
    </row>
    <row r="1338">
      <c r="A1338">
        <f>Skills!A15</f>
        <v/>
      </c>
      <c r="B1338">
        <f>Skills!B15</f>
        <v/>
      </c>
      <c r="C1338">
        <f>Inputs!$B$3&gt;=117</f>
        <v/>
      </c>
      <c r="D1338">
        <f>IF(Skills!C15=1,60+Inputs!$B$25+Inputs!$B$29,IF(Skills!C15=2,90+Inputs!$B$26+Inputs!$B$29,IF(Skills!C15=3,120+Inputs!$B$27+Inputs!$B$29,MAX(0,(Inputs!$B$3-100)*3)+Inputs!$B$28+Inputs!$B$29)))</f>
        <v/>
      </c>
      <c r="E1338">
        <f>INDEX(FactorTable!$B$2:$Y$301, MATCH(ROUND(MIN(300,MAX(1,D1338)),0), FactorTable!$A$2:$A$301,0), Skills!M15+1)</f>
        <v/>
      </c>
      <c r="F1338">
        <f>IF(Skills!N15=TRUE,(Skills!L15/10)*(E1338/1000),Skills!L15/10)+Skills!O15</f>
        <v/>
      </c>
      <c r="G1338">
        <f>Skills!G15*IF(Skills!H15&gt;0,Skills!I15/Skills!H15,1)</f>
        <v/>
      </c>
      <c r="H1338">
        <f>1-(1-Skills!J15/100)^Skills!K15</f>
        <v/>
      </c>
      <c r="I1338" t="inlineStr">
        <is>
          <t>1</t>
        </is>
      </c>
      <c r="J1338" t="inlineStr"/>
      <c r="K1338" t="inlineStr"/>
      <c r="L1338" t="inlineStr"/>
      <c r="M1338" t="inlineStr"/>
      <c r="N1338" t="inlineStr"/>
      <c r="O1338" t="n">
        <v>0</v>
      </c>
      <c r="P1338">
        <f>IF(B1364=0,0,O1338/B1364)</f>
        <v/>
      </c>
      <c r="Q1338">
        <f>IFERROR(1/IF(Inputs!$B$38="pvp",15,MAX(0.1,Skills!D15-IF(Skills!E15=TRUE,2.0,0))),0)</f>
        <v/>
      </c>
      <c r="R1338">
        <f>IF(AND(Inputs!$B$38&lt;&gt;"pvp",Inputs!$B$43&gt;0),IF(Inputs!$B$43&lt;=0,0,(INT(Inputs!$B$43/IF(Inputs!$B$38="pvp",15,MAX(0.1,Skills!D15-IF(Skills!E15=TRUE,2.0,0))))+1)),0)</f>
        <v/>
      </c>
      <c r="S1338">
        <f>IFERROR(O1338/N1338,0)</f>
        <v/>
      </c>
    </row>
    <row r="1339">
      <c r="A1339">
        <f>Skills!A16</f>
        <v/>
      </c>
      <c r="B1339">
        <f>Skills!B16</f>
        <v/>
      </c>
      <c r="C1339">
        <f>Inputs!$B$3&gt;=115</f>
        <v/>
      </c>
      <c r="D1339">
        <f>IF(Skills!C16=1,60+Inputs!$B$25+Inputs!$B$29,IF(Skills!C16=2,90+Inputs!$B$26+Inputs!$B$29,IF(Skills!C16=3,120+Inputs!$B$27+Inputs!$B$29,MAX(0,(Inputs!$B$3-100)*3)+Inputs!$B$28+Inputs!$B$29)))</f>
        <v/>
      </c>
      <c r="E1339">
        <f>INDEX(FactorTable!$B$2:$Y$301, MATCH(ROUND(MIN(300,MAX(1,D1339)),0), FactorTable!$A$2:$A$301,0), Skills!M16+1)</f>
        <v/>
      </c>
      <c r="F1339">
        <f>IF(Skills!N16=TRUE,(Skills!L16/10)*(E1339/1000),Skills!L16/10)+Skills!O16</f>
        <v/>
      </c>
      <c r="G1339">
        <f>Skills!G16*IF(Skills!H16&gt;0,Skills!I16/Skills!H16,1)</f>
        <v/>
      </c>
      <c r="H1339">
        <f>1-(1-Skills!J16/100)^Skills!K16</f>
        <v/>
      </c>
      <c r="I1339" t="inlineStr">
        <is>
          <t>1</t>
        </is>
      </c>
      <c r="J1339" t="inlineStr"/>
      <c r="K1339" t="inlineStr"/>
      <c r="L1339" t="inlineStr"/>
      <c r="M1339" t="inlineStr"/>
      <c r="N1339" t="inlineStr"/>
      <c r="O1339" t="n">
        <v>0</v>
      </c>
      <c r="P1339">
        <f>IF(B1364=0,0,O1339/B1364)</f>
        <v/>
      </c>
      <c r="Q1339">
        <f>IFERROR(1/IF(Inputs!$B$38="pvp",15,MAX(0.1,Skills!D16-IF(Skills!E16=TRUE,2.0,0))),0)</f>
        <v/>
      </c>
      <c r="R1339">
        <f>IF(AND(Inputs!$B$38&lt;&gt;"pvp",Inputs!$B$43&gt;0),IF(Inputs!$B$43&lt;=0,0,(INT(Inputs!$B$43/IF(Inputs!$B$38="pvp",15,MAX(0.1,Skills!D16-IF(Skills!E16=TRUE,2.0,0))))+1)),0)</f>
        <v/>
      </c>
      <c r="S1339">
        <f>IFERROR(O1339/N1339,0)</f>
        <v/>
      </c>
    </row>
    <row r="1340">
      <c r="A1340">
        <f>Skills!A17</f>
        <v/>
      </c>
      <c r="B1340">
        <f>Skills!B17</f>
        <v/>
      </c>
      <c r="C1340">
        <f>Inputs!$B$3&gt;=66</f>
        <v/>
      </c>
      <c r="D1340">
        <f>IF(Skills!C17=1,60+Inputs!$B$25+Inputs!$B$29,IF(Skills!C17=2,90+Inputs!$B$26+Inputs!$B$29,IF(Skills!C17=3,120+Inputs!$B$27+Inputs!$B$29,MAX(0,(Inputs!$B$3-100)*3)+Inputs!$B$28+Inputs!$B$29)))</f>
        <v/>
      </c>
      <c r="E1340">
        <f>INDEX(FactorTable!$B$2:$Y$301, MATCH(ROUND(MIN(300,MAX(1,D1340)),0), FactorTable!$A$2:$A$301,0), Skills!M17+1)</f>
        <v/>
      </c>
      <c r="F1340">
        <f>IF(Skills!N17=TRUE,(Skills!L17/10)*(E1340/1000),Skills!L17/10)+Skills!O17</f>
        <v/>
      </c>
      <c r="G1340">
        <f>Skills!G17*IF(Skills!H17&gt;0,Skills!I17/Skills!H17,1)</f>
        <v/>
      </c>
      <c r="H1340">
        <f>1-(1-Skills!J17/100)^Skills!K17</f>
        <v/>
      </c>
      <c r="I1340" t="inlineStr">
        <is>
          <t>1</t>
        </is>
      </c>
      <c r="J1340" t="inlineStr"/>
      <c r="K1340" t="inlineStr"/>
      <c r="L1340" t="inlineStr"/>
      <c r="M1340" t="inlineStr"/>
      <c r="N1340" t="inlineStr"/>
      <c r="O1340" t="n">
        <v>0</v>
      </c>
      <c r="P1340">
        <f>IF(B1364=0,0,O1340/B1364)</f>
        <v/>
      </c>
      <c r="Q1340" t="n">
        <v>0</v>
      </c>
      <c r="R1340" t="n">
        <v>0</v>
      </c>
      <c r="S1340">
        <f>IFERROR(O1340/N1340,0)</f>
        <v/>
      </c>
    </row>
    <row r="1341">
      <c r="A1341">
        <f>Skills!A18</f>
        <v/>
      </c>
      <c r="B1341">
        <f>Skills!B18</f>
        <v/>
      </c>
      <c r="C1341">
        <f>Inputs!$B$3&gt;=72</f>
        <v/>
      </c>
      <c r="D1341">
        <f>IF(Skills!C18=1,60+Inputs!$B$25+Inputs!$B$29,IF(Skills!C18=2,90+Inputs!$B$26+Inputs!$B$29,IF(Skills!C18=3,120+Inputs!$B$27+Inputs!$B$29,MAX(0,(Inputs!$B$3-100)*3)+Inputs!$B$28+Inputs!$B$29)))</f>
        <v/>
      </c>
      <c r="E1341">
        <f>INDEX(FactorTable!$B$2:$Y$301, MATCH(ROUND(MIN(300,MAX(1,D1341)),0), FactorTable!$A$2:$A$301,0), Skills!M18+1)</f>
        <v/>
      </c>
      <c r="F1341">
        <f>IF(Skills!N18=TRUE,(Skills!L18/10)*(E1341/1000),Skills!L18/10)+Skills!O18</f>
        <v/>
      </c>
      <c r="G1341">
        <f>Skills!G18*IF(Skills!H18&gt;0,Skills!I18/Skills!H18,1)</f>
        <v/>
      </c>
      <c r="H1341">
        <f>1-(1-Skills!J18/100)^Skills!K18</f>
        <v/>
      </c>
      <c r="I1341" t="inlineStr">
        <is>
          <t>1</t>
        </is>
      </c>
      <c r="J1341" t="inlineStr"/>
      <c r="K1341" t="inlineStr"/>
      <c r="L1341" t="inlineStr"/>
      <c r="M1341" t="inlineStr"/>
      <c r="N1341" t="inlineStr"/>
      <c r="O1341" t="n">
        <v>0</v>
      </c>
      <c r="P1341">
        <f>IF(B1364=0,0,O1341/B1364)</f>
        <v/>
      </c>
      <c r="Q1341" t="n">
        <v>0</v>
      </c>
      <c r="R1341" t="n">
        <v>0</v>
      </c>
      <c r="S1341">
        <f>IFERROR(O1341/N1341,0)</f>
        <v/>
      </c>
    </row>
    <row r="1342">
      <c r="A1342">
        <f>Skills!A19</f>
        <v/>
      </c>
      <c r="B1342">
        <f>Skills!B19</f>
        <v/>
      </c>
      <c r="C1342">
        <f>TRUE</f>
        <v/>
      </c>
      <c r="D1342">
        <f>IF(Skills!C19=1,60+Inputs!$B$25+Inputs!$B$29,IF(Skills!C19=2,90+Inputs!$B$26+Inputs!$B$29,IF(Skills!C19=3,120+Inputs!$B$27+Inputs!$B$29,MAX(0,(Inputs!$B$3-100)*3)+Inputs!$B$28+Inputs!$B$29)))</f>
        <v/>
      </c>
      <c r="E1342">
        <f>INDEX(FactorTable!$B$2:$Y$301, MATCH(ROUND(MIN(300,MAX(1,D1342)),0), FactorTable!$A$2:$A$301,0), Skills!M19+1)</f>
        <v/>
      </c>
      <c r="F1342">
        <f>IF(Skills!N19=TRUE,(Skills!L19/10)*(E1342/1000),Skills!L19/10)+Skills!O19</f>
        <v/>
      </c>
      <c r="G1342">
        <f>Skills!G19*IF(Skills!H19&gt;0,Skills!I19/Skills!H19,1)</f>
        <v/>
      </c>
      <c r="H1342">
        <f>1-(1-Skills!J19/100)^Skills!K19</f>
        <v/>
      </c>
      <c r="I1342" t="inlineStr">
        <is>
          <t>1</t>
        </is>
      </c>
      <c r="J1342" t="inlineStr"/>
      <c r="K1342" t="inlineStr"/>
      <c r="L1342" t="inlineStr"/>
      <c r="M1342" t="inlineStr"/>
      <c r="N1342" t="inlineStr"/>
      <c r="O1342" t="n">
        <v>0</v>
      </c>
      <c r="P1342">
        <f>IF(B1364=0,0,O1342/B1364)</f>
        <v/>
      </c>
      <c r="Q1342">
        <f>IFERROR(1/IF(Inputs!$B$38="pvp",15,MAX(0.1,Skills!D19-IF(Skills!E19=TRUE,2.0,0))),0)</f>
        <v/>
      </c>
      <c r="R1342">
        <f>IF(AND(Inputs!$B$38&lt;&gt;"pvp",Inputs!$B$43&gt;0),IF(Inputs!$B$43&lt;=0,0,(INT(Inputs!$B$43/IF(Inputs!$B$38="pvp",15,MAX(0.1,Skills!D19-IF(Skills!E19=TRUE,2.0,0))))+1)),0)</f>
        <v/>
      </c>
      <c r="S1342">
        <f>IFERROR(O1342/N1342,0)</f>
        <v/>
      </c>
    </row>
    <row r="1343">
      <c r="A1343">
        <f>Skills!A20</f>
        <v/>
      </c>
      <c r="B1343">
        <f>Skills!B20</f>
        <v/>
      </c>
      <c r="C1343">
        <f>Inputs!$B$3&gt;=15</f>
        <v/>
      </c>
      <c r="D1343">
        <f>IF(Skills!C20=1,60+Inputs!$B$25+Inputs!$B$29,IF(Skills!C20=2,90+Inputs!$B$26+Inputs!$B$29,IF(Skills!C20=3,120+Inputs!$B$27+Inputs!$B$29,MAX(0,(Inputs!$B$3-100)*3)+Inputs!$B$28+Inputs!$B$29)))</f>
        <v/>
      </c>
      <c r="E1343">
        <f>INDEX(FactorTable!$B$2:$Y$301, MATCH(ROUND(MIN(300,MAX(1,D1343)),0), FactorTable!$A$2:$A$301,0), Skills!M20+1)</f>
        <v/>
      </c>
      <c r="F1343">
        <f>IF(Skills!N20=TRUE,(Skills!L20/10)*(E1343/1000),Skills!L20/10)+Skills!O20</f>
        <v/>
      </c>
      <c r="G1343">
        <f>Skills!G20*IF(Skills!H20&gt;0,Skills!I20/Skills!H20,1)</f>
        <v/>
      </c>
      <c r="H1343">
        <f>1-(1-Skills!J20/100)^Skills!K20</f>
        <v/>
      </c>
      <c r="I1343" t="inlineStr">
        <is>
          <t>1</t>
        </is>
      </c>
      <c r="J1343" t="inlineStr"/>
      <c r="K1343" t="inlineStr"/>
      <c r="L1343" t="inlineStr"/>
      <c r="M1343" t="inlineStr"/>
      <c r="N1343" t="inlineStr"/>
      <c r="O1343" t="n">
        <v>0</v>
      </c>
      <c r="P1343">
        <f>IF(B1364=0,0,O1343/B1364)</f>
        <v/>
      </c>
      <c r="Q1343" t="n">
        <v>0</v>
      </c>
      <c r="R1343" t="n">
        <v>0</v>
      </c>
      <c r="S1343">
        <f>IFERROR(O1343/N1343,0)</f>
        <v/>
      </c>
    </row>
    <row r="1344">
      <c r="A1344">
        <f>Skills!A21</f>
        <v/>
      </c>
      <c r="B1344">
        <f>Skills!B21</f>
        <v/>
      </c>
      <c r="C1344">
        <f>Inputs!$B$3&gt;=10</f>
        <v/>
      </c>
      <c r="D1344">
        <f>IF(Skills!C21=1,60+Inputs!$B$25+Inputs!$B$29,IF(Skills!C21=2,90+Inputs!$B$26+Inputs!$B$29,IF(Skills!C21=3,120+Inputs!$B$27+Inputs!$B$29,MAX(0,(Inputs!$B$3-100)*3)+Inputs!$B$28+Inputs!$B$29)))</f>
        <v/>
      </c>
      <c r="E1344">
        <f>INDEX(FactorTable!$B$2:$Y$301, MATCH(ROUND(MIN(300,MAX(1,D1344)),0), FactorTable!$A$2:$A$301,0), Skills!M21+1)</f>
        <v/>
      </c>
      <c r="F1344">
        <f>IF(Skills!N21=TRUE,(Skills!L21/10)*(E1344/1000),Skills!L21/10)+Skills!O21</f>
        <v/>
      </c>
      <c r="G1344">
        <f>Skills!G21*IF(Skills!H21&gt;0,Skills!I21/Skills!H21,1)</f>
        <v/>
      </c>
      <c r="H1344">
        <f>1-(1-Skills!J21/100)^Skills!K21</f>
        <v/>
      </c>
      <c r="I1344" t="inlineStr">
        <is>
          <t>1</t>
        </is>
      </c>
      <c r="J1344" t="inlineStr"/>
      <c r="K1344" t="inlineStr"/>
      <c r="L1344" t="inlineStr"/>
      <c r="M1344" t="inlineStr"/>
      <c r="N1344" t="inlineStr"/>
      <c r="O1344" t="n">
        <v>0</v>
      </c>
      <c r="P1344">
        <f>IF(B1364=0,0,O1344/B1364)</f>
        <v/>
      </c>
      <c r="Q1344" t="n">
        <v>0</v>
      </c>
      <c r="R1344" t="n">
        <v>0</v>
      </c>
      <c r="S1344">
        <f>IFERROR(O1344/N1344,0)</f>
        <v/>
      </c>
    </row>
    <row r="1345">
      <c r="A1345">
        <f>Skills!A22</f>
        <v/>
      </c>
      <c r="B1345">
        <f>Skills!B22</f>
        <v/>
      </c>
      <c r="C1345">
        <f>Inputs!$B$3&gt;=33</f>
        <v/>
      </c>
      <c r="D1345">
        <f>IF(Skills!C22=1,60+Inputs!$B$25+Inputs!$B$29,IF(Skills!C22=2,90+Inputs!$B$26+Inputs!$B$29,IF(Skills!C22=3,120+Inputs!$B$27+Inputs!$B$29,MAX(0,(Inputs!$B$3-100)*3)+Inputs!$B$28+Inputs!$B$29)))</f>
        <v/>
      </c>
      <c r="E1345">
        <f>INDEX(FactorTable!$B$2:$Y$301, MATCH(ROUND(MIN(300,MAX(1,D1345)),0), FactorTable!$A$2:$A$301,0), Skills!M22+1)</f>
        <v/>
      </c>
      <c r="F1345">
        <f>IF(Skills!N22=TRUE,(Skills!L22/10)*(E1345/1000),Skills!L22/10)+Skills!O22</f>
        <v/>
      </c>
      <c r="G1345">
        <f>Skills!G22*IF(Skills!H22&gt;0,Skills!I22/Skills!H22,1)</f>
        <v/>
      </c>
      <c r="H1345">
        <f>1-(1-Skills!J22/100)^Skills!K22</f>
        <v/>
      </c>
      <c r="I1345" t="inlineStr">
        <is>
          <t>1</t>
        </is>
      </c>
      <c r="J1345" t="inlineStr"/>
      <c r="K1345" t="inlineStr"/>
      <c r="L1345" t="inlineStr"/>
      <c r="M1345" t="inlineStr"/>
      <c r="N1345" t="inlineStr"/>
      <c r="O1345" t="n">
        <v>0</v>
      </c>
      <c r="P1345">
        <f>IF(B1364=0,0,O1345/B1364)</f>
        <v/>
      </c>
      <c r="Q1345" t="n">
        <v>0</v>
      </c>
      <c r="R1345" t="n">
        <v>0</v>
      </c>
      <c r="S1345">
        <f>IFERROR(O1345/N1345,0)</f>
        <v/>
      </c>
    </row>
    <row r="1346">
      <c r="A1346">
        <f>Skills!A23</f>
        <v/>
      </c>
      <c r="B1346">
        <f>Skills!B23</f>
        <v/>
      </c>
      <c r="C1346">
        <f>Inputs!$B$3&gt;=38</f>
        <v/>
      </c>
      <c r="D1346">
        <f>IF(Skills!C23=1,60+Inputs!$B$25+Inputs!$B$29,IF(Skills!C23=2,90+Inputs!$B$26+Inputs!$B$29,IF(Skills!C23=3,120+Inputs!$B$27+Inputs!$B$29,MAX(0,(Inputs!$B$3-100)*3)+Inputs!$B$28+Inputs!$B$29)))</f>
        <v/>
      </c>
      <c r="E1346">
        <f>INDEX(FactorTable!$B$2:$Y$301, MATCH(ROUND(MIN(300,MAX(1,D1346)),0), FactorTable!$A$2:$A$301,0), Skills!M23+1)</f>
        <v/>
      </c>
      <c r="F1346">
        <f>IF(Skills!N23=TRUE,(Skills!L23/10)*(E1346/1000),Skills!L23/10)+Skills!O23</f>
        <v/>
      </c>
      <c r="G1346">
        <f>Skills!G23*IF(Skills!H23&gt;0,Skills!I23/Skills!H23,1)</f>
        <v/>
      </c>
      <c r="H1346">
        <f>1-(1-Skills!J23/100)^Skills!K23</f>
        <v/>
      </c>
      <c r="I1346" t="inlineStr">
        <is>
          <t>1</t>
        </is>
      </c>
      <c r="J1346" t="inlineStr"/>
      <c r="K1346" t="inlineStr"/>
      <c r="L1346" t="inlineStr"/>
      <c r="M1346" t="inlineStr"/>
      <c r="N1346" t="inlineStr"/>
      <c r="O1346" t="n">
        <v>0</v>
      </c>
      <c r="P1346">
        <f>IF(B1364=0,0,O1346/B1364)</f>
        <v/>
      </c>
      <c r="Q1346" t="n">
        <v>0</v>
      </c>
      <c r="R1346" t="n">
        <v>0</v>
      </c>
      <c r="S1346">
        <f>IFERROR(O1346/N1346,0)</f>
        <v/>
      </c>
    </row>
    <row r="1347">
      <c r="A1347">
        <f>Skills!A24</f>
        <v/>
      </c>
      <c r="B1347">
        <f>Skills!B24</f>
        <v/>
      </c>
      <c r="C1347">
        <f>Inputs!$B$3&gt;=43</f>
        <v/>
      </c>
      <c r="D1347">
        <f>IF(Skills!C24=1,60+Inputs!$B$25+Inputs!$B$29,IF(Skills!C24=2,90+Inputs!$B$26+Inputs!$B$29,IF(Skills!C24=3,120+Inputs!$B$27+Inputs!$B$29,MAX(0,(Inputs!$B$3-100)*3)+Inputs!$B$28+Inputs!$B$29)))</f>
        <v/>
      </c>
      <c r="E1347">
        <f>INDEX(FactorTable!$B$2:$Y$301, MATCH(ROUND(MIN(300,MAX(1,D1347)),0), FactorTable!$A$2:$A$301,0), Skills!M24+1)</f>
        <v/>
      </c>
      <c r="F1347">
        <f>IF(Skills!N24=TRUE,(Skills!L24/10)*(E1347/1000),Skills!L24/10)+Skills!O24</f>
        <v/>
      </c>
      <c r="G1347">
        <f>Skills!G24*IF(Skills!H24&gt;0,Skills!I24/Skills!H24,1)</f>
        <v/>
      </c>
      <c r="H1347">
        <f>1-(1-Skills!J24/100)^Skills!K24</f>
        <v/>
      </c>
      <c r="I1347" t="inlineStr">
        <is>
          <t>1</t>
        </is>
      </c>
      <c r="J1347" t="inlineStr"/>
      <c r="K1347" t="inlineStr"/>
      <c r="L1347" t="inlineStr"/>
      <c r="M1347" t="inlineStr"/>
      <c r="N1347" t="inlineStr"/>
      <c r="O1347" t="n">
        <v>0</v>
      </c>
      <c r="P1347">
        <f>IF(B1364=0,0,O1347/B1364)</f>
        <v/>
      </c>
      <c r="Q1347" t="n">
        <v>0</v>
      </c>
      <c r="R1347" t="n">
        <v>0</v>
      </c>
      <c r="S1347">
        <f>IFERROR(O1347/N1347,0)</f>
        <v/>
      </c>
    </row>
    <row r="1348">
      <c r="A1348">
        <f>Skills!A25</f>
        <v/>
      </c>
      <c r="B1348">
        <f>Skills!B25</f>
        <v/>
      </c>
      <c r="C1348">
        <f>Inputs!$B$3&gt;=75</f>
        <v/>
      </c>
      <c r="D1348">
        <f>IF(Skills!C25=1,60+Inputs!$B$25+Inputs!$B$29,IF(Skills!C25=2,90+Inputs!$B$26+Inputs!$B$29,IF(Skills!C25=3,120+Inputs!$B$27+Inputs!$B$29,MAX(0,(Inputs!$B$3-100)*3)+Inputs!$B$28+Inputs!$B$29)))</f>
        <v/>
      </c>
      <c r="E1348">
        <f>INDEX(FactorTable!$B$2:$Y$301, MATCH(ROUND(MIN(300,MAX(1,D1348)),0), FactorTable!$A$2:$A$301,0), Skills!M25+1)</f>
        <v/>
      </c>
      <c r="F1348">
        <f>IF(Skills!N25=TRUE,(Skills!L25/10)*(E1348/1000),Skills!L25/10)+Skills!O25</f>
        <v/>
      </c>
      <c r="G1348">
        <f>Skills!G25*IF(Skills!H25&gt;0,Skills!I25/Skills!H25,1)</f>
        <v/>
      </c>
      <c r="H1348">
        <f>1-(1-Skills!J25/100)^Skills!K25</f>
        <v/>
      </c>
      <c r="I1348" t="inlineStr">
        <is>
          <t>1</t>
        </is>
      </c>
      <c r="J1348" t="inlineStr"/>
      <c r="K1348" t="inlineStr"/>
      <c r="L1348" t="inlineStr"/>
      <c r="M1348" t="inlineStr"/>
      <c r="N1348" t="inlineStr"/>
      <c r="O1348" t="n">
        <v>0</v>
      </c>
      <c r="P1348">
        <f>IF(B1364=0,0,O1348/B1364)</f>
        <v/>
      </c>
      <c r="Q1348" t="n">
        <v>0</v>
      </c>
      <c r="R1348" t="n">
        <v>0</v>
      </c>
      <c r="S1348">
        <f>IFERROR(O1348/N1348,0)</f>
        <v/>
      </c>
    </row>
    <row r="1349">
      <c r="A1349">
        <f>Skills!A26</f>
        <v/>
      </c>
      <c r="B1349">
        <f>Skills!B26</f>
        <v/>
      </c>
      <c r="C1349">
        <f>Inputs!$B$3&gt;=125</f>
        <v/>
      </c>
      <c r="D1349">
        <f>IF(Skills!C26=1,60+Inputs!$B$25+Inputs!$B$29,IF(Skills!C26=2,90+Inputs!$B$26+Inputs!$B$29,IF(Skills!C26=3,120+Inputs!$B$27+Inputs!$B$29,MAX(0,(Inputs!$B$3-100)*3)+Inputs!$B$28+Inputs!$B$29)))</f>
        <v/>
      </c>
      <c r="E1349">
        <f>INDEX(FactorTable!$B$2:$Y$301, MATCH(ROUND(MIN(300,MAX(1,D1349)),0), FactorTable!$A$2:$A$301,0), Skills!M26+1)</f>
        <v/>
      </c>
      <c r="F1349">
        <f>IF(Skills!N26=TRUE,(Skills!L26/10)*(E1349/1000),Skills!L26/10)+Skills!O26</f>
        <v/>
      </c>
      <c r="G1349">
        <f>Skills!G26*IF(Skills!H26&gt;0,Skills!I26/Skills!H26,1)</f>
        <v/>
      </c>
      <c r="H1349">
        <f>1-(1-Skills!J26/100)^Skills!K26</f>
        <v/>
      </c>
      <c r="I1349" t="inlineStr">
        <is>
          <t>1</t>
        </is>
      </c>
      <c r="J1349" t="inlineStr"/>
      <c r="K1349" t="inlineStr"/>
      <c r="L1349" t="inlineStr"/>
      <c r="M1349" t="inlineStr"/>
      <c r="N1349" t="inlineStr"/>
      <c r="O1349" t="n">
        <v>0</v>
      </c>
      <c r="P1349">
        <f>IF(B1364=0,0,O1349/B1364)</f>
        <v/>
      </c>
      <c r="Q1349" t="n">
        <v>0</v>
      </c>
      <c r="R1349" t="n">
        <v>0</v>
      </c>
      <c r="S1349">
        <f>IFERROR(O1349/N1349,0)</f>
        <v/>
      </c>
    </row>
    <row r="1350">
      <c r="A1350">
        <f>Skills!A27</f>
        <v/>
      </c>
      <c r="B1350">
        <f>Skills!B27</f>
        <v/>
      </c>
      <c r="C1350">
        <f>Inputs!$B$3&gt;=125</f>
        <v/>
      </c>
      <c r="D1350">
        <f>IF(Skills!C27=1,60+Inputs!$B$25+Inputs!$B$29,IF(Skills!C27=2,90+Inputs!$B$26+Inputs!$B$29,IF(Skills!C27=3,120+Inputs!$B$27+Inputs!$B$29,MAX(0,(Inputs!$B$3-100)*3)+Inputs!$B$28+Inputs!$B$29)))</f>
        <v/>
      </c>
      <c r="E1350">
        <f>INDEX(FactorTable!$B$2:$Y$301, MATCH(ROUND(MIN(300,MAX(1,D1350)),0), FactorTable!$A$2:$A$301,0), Skills!M27+1)</f>
        <v/>
      </c>
      <c r="F1350">
        <f>IF(Skills!N27=TRUE,(Skills!L27/10)*(E1350/1000),Skills!L27/10)+Skills!O27</f>
        <v/>
      </c>
      <c r="G1350">
        <f>Skills!G27*IF(Skills!H27&gt;0,Skills!I27/Skills!H27,1)</f>
        <v/>
      </c>
      <c r="H1350">
        <f>1-(1-Skills!J27/100)^Skills!K27</f>
        <v/>
      </c>
      <c r="I1350" t="inlineStr">
        <is>
          <t>1</t>
        </is>
      </c>
      <c r="J1350" t="inlineStr"/>
      <c r="K1350" t="inlineStr"/>
      <c r="L1350" t="inlineStr"/>
      <c r="M1350" t="inlineStr"/>
      <c r="N1350" t="inlineStr"/>
      <c r="O1350" t="n">
        <v>0</v>
      </c>
      <c r="P1350">
        <f>IF(B1364=0,0,O1350/B1364)</f>
        <v/>
      </c>
      <c r="Q1350" t="n">
        <v>0</v>
      </c>
      <c r="R1350" t="n">
        <v>0</v>
      </c>
      <c r="S1350">
        <f>IFERROR(O1350/N1350,0)</f>
        <v/>
      </c>
    </row>
    <row r="1351">
      <c r="A1351">
        <f>Skills!A28</f>
        <v/>
      </c>
      <c r="B1351">
        <f>Skills!B28</f>
        <v/>
      </c>
      <c r="C1351">
        <f>Inputs!$B$3&gt;=120</f>
        <v/>
      </c>
      <c r="D1351">
        <f>IF(Skills!C28=1,60+Inputs!$B$25+Inputs!$B$29,IF(Skills!C28=2,90+Inputs!$B$26+Inputs!$B$29,IF(Skills!C28=3,120+Inputs!$B$27+Inputs!$B$29,MAX(0,(Inputs!$B$3-100)*3)+Inputs!$B$28+Inputs!$B$29)))</f>
        <v/>
      </c>
      <c r="E1351">
        <f>INDEX(FactorTable!$B$2:$Y$301, MATCH(ROUND(MIN(300,MAX(1,D1351)),0), FactorTable!$A$2:$A$301,0), Skills!M28+1)</f>
        <v/>
      </c>
      <c r="F1351">
        <f>IF(Skills!N28=TRUE,(Skills!L28/10)*(E1351/1000),Skills!L28/10)+Skills!O28</f>
        <v/>
      </c>
      <c r="G1351">
        <f>Skills!G28*IF(Skills!H28&gt;0,Skills!I28/Skills!H28,1)</f>
        <v/>
      </c>
      <c r="H1351">
        <f>1-(1-Skills!J28/100)^Skills!K28</f>
        <v/>
      </c>
      <c r="I1351" t="inlineStr">
        <is>
          <t>1</t>
        </is>
      </c>
      <c r="J1351" t="inlineStr"/>
      <c r="K1351" t="inlineStr"/>
      <c r="L1351" t="inlineStr"/>
      <c r="M1351" t="inlineStr"/>
      <c r="N1351" t="inlineStr"/>
      <c r="O1351" t="n">
        <v>0</v>
      </c>
      <c r="P1351">
        <f>IF(B1364=0,0,O1351/B1364)</f>
        <v/>
      </c>
      <c r="Q1351" t="n">
        <v>0</v>
      </c>
      <c r="R1351" t="n">
        <v>0</v>
      </c>
      <c r="S1351">
        <f>IFERROR(O1351/N1351,0)</f>
        <v/>
      </c>
    </row>
    <row r="1352">
      <c r="A1352">
        <f>Skills!A29</f>
        <v/>
      </c>
      <c r="B1352">
        <f>Skills!B29</f>
        <v/>
      </c>
      <c r="C1352">
        <f>Inputs!$B$3&gt;=120</f>
        <v/>
      </c>
      <c r="D1352">
        <f>IF(Skills!C29=1,60+Inputs!$B$25+Inputs!$B$29,IF(Skills!C29=2,90+Inputs!$B$26+Inputs!$B$29,IF(Skills!C29=3,120+Inputs!$B$27+Inputs!$B$29,MAX(0,(Inputs!$B$3-100)*3)+Inputs!$B$28+Inputs!$B$29)))</f>
        <v/>
      </c>
      <c r="E1352">
        <f>INDEX(FactorTable!$B$2:$Y$301, MATCH(ROUND(MIN(300,MAX(1,D1352)),0), FactorTable!$A$2:$A$301,0), Skills!M29+1)</f>
        <v/>
      </c>
      <c r="F1352">
        <f>IF(Skills!N29=TRUE,(Skills!L29/10)*(E1352/1000),Skills!L29/10)+Skills!O29</f>
        <v/>
      </c>
      <c r="G1352">
        <f>Skills!G29*IF(Skills!H29&gt;0,Skills!I29/Skills!H29,1)</f>
        <v/>
      </c>
      <c r="H1352">
        <f>1-(1-Skills!J29/100)^Skills!K29</f>
        <v/>
      </c>
      <c r="I1352" t="inlineStr">
        <is>
          <t>1</t>
        </is>
      </c>
      <c r="J1352" t="inlineStr"/>
      <c r="K1352" t="inlineStr"/>
      <c r="L1352" t="inlineStr"/>
      <c r="M1352" t="inlineStr"/>
      <c r="N1352" t="inlineStr"/>
      <c r="O1352" t="n">
        <v>0</v>
      </c>
      <c r="P1352">
        <f>IF(B1364=0,0,O1352/B1364)</f>
        <v/>
      </c>
      <c r="Q1352" t="n">
        <v>0</v>
      </c>
      <c r="R1352" t="n">
        <v>0</v>
      </c>
      <c r="S1352">
        <f>IFERROR(O1352/N1352,0)</f>
        <v/>
      </c>
    </row>
    <row r="1353">
      <c r="A1353">
        <f>Skills!A30</f>
        <v/>
      </c>
      <c r="B1353">
        <f>Skills!B30</f>
        <v/>
      </c>
      <c r="C1353">
        <f>Inputs!$B$3&gt;=45</f>
        <v/>
      </c>
      <c r="D1353">
        <f>IF(Skills!C30=1,60+Inputs!$B$25+Inputs!$B$29,IF(Skills!C30=2,90+Inputs!$B$26+Inputs!$B$29,IF(Skills!C30=3,120+Inputs!$B$27+Inputs!$B$29,MAX(0,(Inputs!$B$3-100)*3)+Inputs!$B$28+Inputs!$B$29)))</f>
        <v/>
      </c>
      <c r="E1353">
        <f>INDEX(FactorTable!$B$2:$Y$301, MATCH(ROUND(MIN(300,MAX(1,D1353)),0), FactorTable!$A$2:$A$301,0), Skills!M30+1)</f>
        <v/>
      </c>
      <c r="F1353">
        <f>IF(Skills!N30=TRUE,(Skills!L30/10)*(E1353/1000),Skills!L30/10)+Skills!O30</f>
        <v/>
      </c>
      <c r="G1353">
        <f>Skills!G30*IF(Skills!H30&gt;0,Skills!I30/Skills!H30,1)</f>
        <v/>
      </c>
      <c r="H1353">
        <f>1-(1-Skills!J30/100)^Skills!K30</f>
        <v/>
      </c>
      <c r="I1353" t="inlineStr">
        <is>
          <t>1</t>
        </is>
      </c>
      <c r="J1353" t="inlineStr"/>
      <c r="K1353" t="inlineStr"/>
      <c r="L1353" t="inlineStr"/>
      <c r="M1353" t="inlineStr"/>
      <c r="N1353" t="inlineStr"/>
      <c r="O1353" t="n">
        <v>0</v>
      </c>
      <c r="P1353">
        <f>IF(B1364=0,0,O1353/B1364)</f>
        <v/>
      </c>
      <c r="Q1353" t="n">
        <v>0</v>
      </c>
      <c r="R1353" t="n">
        <v>0</v>
      </c>
      <c r="S1353">
        <f>IFERROR(O1353/N1353,0)</f>
        <v/>
      </c>
    </row>
    <row r="1355">
      <c r="A1355" t="inlineStr">
        <is>
          <t>Attack% Bucket Multiplier</t>
        </is>
      </c>
      <c r="B1355">
        <f>(1+(((C1336=TRUE)*F1336)+((C1337=TRUE)*IF(Inputs!$B$38="pvp",F1337,(1-Summary!$B$55)*(F1337)+Summary!$B$55*(0)))+((C1338=TRUE)*F1338*IF(AND(Inputs!$B$38&lt;&gt;"pvp",Inputs!$B$43&gt;0),(((R1338-1)*(Skills!T15*(1+Inputs!$B$34/100))+MIN((Skills!T15*(1+Inputs!$B$34/100)),MAX(0,Inputs!$B$43-((R1338-1)*Skills!D15))))/Inputs!$B$43),IF(Inputs!$B$38="pvp",MIN((Skills!T15*(1+Inputs!$B$34/100)),15)/15,(Skills!T15*(1+Inputs!$B$34/100))/Skills!D15)))+((C1353=TRUE)*(F1353-Calc!F30)))/100)</f>
        <v/>
      </c>
    </row>
    <row r="1356">
      <c r="A1356" t="inlineStr">
        <is>
          <t>Global Crit Rate Bonus %</t>
        </is>
      </c>
      <c r="B1356">
        <f>(C1339=TRUE)*20*IF(AND(Inputs!$B$38&lt;&gt;"pvp",Inputs!$B$43&gt;0),(((R1339-1)*(Skills!T16*(1+Inputs!$B$34/100))+MIN((Skills!T16*(1+Inputs!$B$34/100)),MAX(0,Inputs!$B$43-((R1339-1)*Skills!D16))))/Inputs!$B$43),IF(Inputs!$B$38="pvp",MIN((Skills!T16*(1+Inputs!$B$34/100)),15)/15,(Skills!T16*(1+Inputs!$B$34/100))/Skills!D16))</f>
        <v/>
      </c>
    </row>
    <row r="1357">
      <c r="A1357" t="inlineStr">
        <is>
          <t>Attack Speed Buff Bonus %</t>
        </is>
      </c>
      <c r="B1357">
        <f>((C1342=TRUE)*F1342*IF(AND(Inputs!$B$38&lt;&gt;"pvp",Inputs!$B$43&gt;0),(((R1342-1)*(Skills!T19*(1+Inputs!$B$34/100))+MIN((Skills!T19*(1+Inputs!$B$34/100)),MAX(0,Inputs!$B$43-((R1342-1)*Skills!D19))))/Inputs!$B$43),IF(Inputs!$B$38="pvp",MIN((Skills!T19*(1+Inputs!$B$34/100)),15)/15,(Skills!T19*(1+Inputs!$B$34/100))/Skills!D19)))</f>
        <v/>
      </c>
    </row>
    <row r="1358">
      <c r="A1358" t="inlineStr">
        <is>
          <t>Actions Per Second</t>
        </is>
      </c>
      <c r="B1358">
        <f>1+MIN(150,150*(1-(1-(Inputs!$B$11+((C1344=TRUE)*(F1344-Calc!F21))+((C1345=TRUE)*(F1345-Calc!F22)))/150)*(1-B1357/150)))/100</f>
        <v/>
      </c>
    </row>
    <row r="1359">
      <c r="A1359" t="inlineStr">
        <is>
          <t>Skill + Buff Cast Rate</t>
        </is>
      </c>
      <c r="B1359">
        <f>IF(AND(Inputs!$B$38&lt;&gt;"pvp",Inputs!$B$43&gt;0),SUMPRODUCT((Skills!E2:E30=TRUE)*(C1325:C1353=TRUE)*R1325:R1353*Skills!F2:F30)/Inputs!$B$43,SUMPRODUCT((Skills!E2:E30=TRUE)*(C1325:C1353=TRUE)*Q1325:Q1353*Skills!F2:F30))</f>
        <v/>
      </c>
    </row>
    <row r="1360">
      <c r="A1360" t="inlineStr">
        <is>
          <t>Arrow Stream Casts Per Second</t>
        </is>
      </c>
      <c r="B1360">
        <f>MAX(0,B1358-B1359)</f>
        <v/>
      </c>
    </row>
    <row r="1361">
      <c r="A1361" t="inlineStr">
        <is>
          <t>Global Critical Damage Bonus % (Sharp Eyes + Concentration)</t>
        </is>
      </c>
      <c r="B1361">
        <f>(C1339=TRUE)*F1339*IF(AND(Inputs!$B$38&lt;&gt;"pvp",Inputs!$B$43&gt;0),(((R1339-1)*(Skills!T16*(1+Inputs!$B$34/100))+MIN((Skills!T16*(1+Inputs!$B$34/100)),MAX(0,Inputs!$B$43-((R1339-1)*Skills!D16))))/Inputs!$B$43),IF(Inputs!$B$38="pvp",MIN((Skills!T16*(1+Inputs!$B$34/100)),15)/15,(Skills!T16*(1+Inputs!$B$34/100))/Skills!D16))+(C1340=TRUE)*30</f>
        <v/>
      </c>
    </row>
    <row r="1362">
      <c r="A1362" t="inlineStr">
        <is>
          <t>Global Final Damage Bonus % (Mortal Blow)</t>
        </is>
      </c>
      <c r="B1362">
        <f>(C1341=TRUE)*F1341</f>
        <v/>
      </c>
    </row>
    <row r="1363">
      <c r="A1363" t="inlineStr">
        <is>
          <t>Buff-Casting Startup Delay (s, fixed-duration only)</t>
        </is>
      </c>
      <c r="B1363">
        <f>IF(AND(Inputs!$B$38&lt;&gt;"pvp",Inputs!$B$43&gt;0),SUMPRODUCT((Skills!T2:T30&gt;0)*(Skills!E2:E30=TRUE)*(C1325:C1353=TRUE))/B1358,0)</f>
        <v/>
      </c>
    </row>
    <row r="1364">
      <c r="A1364" s="5" t="inlineStr">
        <is>
          <t>TOTAL DPS</t>
        </is>
      </c>
      <c r="B1364" s="5">
        <f>SUM(O1325:O1353)</f>
        <v/>
      </c>
    </row>
    <row r="1367">
      <c r="A1367" s="5" t="inlineStr">
        <is>
          <t>Stat: CDR = 2.5s</t>
        </is>
      </c>
    </row>
    <row r="1368">
      <c r="A1368" s="9" t="inlineStr">
        <is>
          <t>Key</t>
        </is>
      </c>
      <c r="B1368" s="9" t="inlineStr">
        <is>
          <t>Name</t>
        </is>
      </c>
      <c r="C1368" s="9" t="inlineStr">
        <is>
          <t>Unlocked</t>
        </is>
      </c>
      <c r="D1368" s="9" t="inlineStr">
        <is>
          <t>InputLevel</t>
        </is>
      </c>
      <c r="E1368" s="9" t="inlineStr">
        <is>
          <t>Factor</t>
        </is>
      </c>
      <c r="F1368" s="9" t="inlineStr">
        <is>
          <t>CoefficientPercent</t>
        </is>
      </c>
      <c r="G1368" s="9" t="inlineStr">
        <is>
          <t>EffectiveHits</t>
        </is>
      </c>
      <c r="H1368" s="9" t="inlineStr">
        <is>
          <t>ProcProbability</t>
        </is>
      </c>
      <c r="I1368" s="9" t="inlineStr">
        <is>
          <t>MapleHeroMultiplier</t>
        </is>
      </c>
      <c r="J1368" s="9" t="inlineStr">
        <is>
          <t>BaseDamage</t>
        </is>
      </c>
      <c r="K1368" s="9" t="inlineStr">
        <is>
          <t>BaseHitDamage</t>
        </is>
      </c>
      <c r="L1368" s="9" t="inlineStr">
        <is>
          <t>NonCritAvg</t>
        </is>
      </c>
      <c r="M1368" s="9" t="inlineStr">
        <is>
          <t>CritAvg</t>
        </is>
      </c>
      <c r="N1368" s="9" t="inlineStr">
        <is>
          <t>ExpectedDamage(perHit)</t>
        </is>
      </c>
      <c r="O1368" s="9" t="inlineStr">
        <is>
          <t>DPS</t>
        </is>
      </c>
      <c r="P1368" s="9" t="inlineStr">
        <is>
          <t>% of Total</t>
        </is>
      </c>
      <c r="Q1368" s="9" t="inlineStr">
        <is>
          <t>InvCooldown</t>
        </is>
      </c>
      <c r="R1368" s="9" t="inlineStr">
        <is>
          <t>CastsInFight</t>
        </is>
      </c>
      <c r="S1368" s="9" t="inlineStr">
        <is>
          <t>HitRate(perSec)</t>
        </is>
      </c>
      <c r="U1368" t="inlineStr">
        <is>
          <t>helpers</t>
        </is>
      </c>
    </row>
    <row r="1369">
      <c r="A1369">
        <f>Skills!A2</f>
        <v/>
      </c>
      <c r="B1369">
        <f>Skills!B2</f>
        <v/>
      </c>
      <c r="C1369">
        <f>Inputs!$B$3&gt;=100</f>
        <v/>
      </c>
      <c r="D1369" t="inlineStr"/>
      <c r="E1369" t="inlineStr"/>
      <c r="F1369">
        <f>U1371+Skills!O2</f>
        <v/>
      </c>
      <c r="G1369">
        <f>Skills!G2*IF(Skills!H2&gt;0,Skills!I2/Skills!H2,1)</f>
        <v/>
      </c>
      <c r="H1369">
        <f>1-(1-Skills!J2/100)^Skills!K2</f>
        <v/>
      </c>
      <c r="I1369" t="inlineStr">
        <is>
          <t>1</t>
        </is>
      </c>
      <c r="J1369">
        <f>((Inputs!$B$6*(1+Inputs!$B$7/100))+(((Inputs!$B$12*(1+Inputs!$B$13/100))-(Inputs!$B$12*(1+Inputs!$B$13/100)))+0.25*(Inputs!$B$14-Inputs!$B$14))*(1+Inputs!$B$7/100))*(F1369/100)</f>
        <v/>
      </c>
      <c r="K1369">
        <f>J1369*(1+((Inputs!$B$12*(1+Inputs!$B$13/100))*0.01+Inputs!$B$14*0.0025)/100)*(1+Inputs!$B$15/100)*(1+IF(Inputs!$B$38="pvp",0,(1-Summary!$B$55)*(Inputs!$B$20+0+Skills!P2)+Summary!$B$55*(Inputs!$B$21+Skills!Q2))/100)*(1+Inputs!$B$16/100)*(5000/(6000+Inputs!$B$42*(1-(Inputs!$B$19+((C1394=TRUE)*(F1394-Calc!F27)))/100)))*(1+(Inputs!$B$24+((C1392=TRUE)*(F1392-Calc!F25))+((C1393=TRUE)*(F1393-Calc!F26))+B1406)/100)*(1+(IF(Skills!A2="ARROW_STREAM",Inputs!$B$17+((C1390=TRUE)*(F1390-Calc!F23)),Inputs!$B$18+((C1395=TRUE)*(F1395-Calc!F28))))/100)*((1+(((C1380=TRUE)*F1380)+((C1381=TRUE)*IF(Inputs!$B$38="pvp",F1381,(1-Summary!$B$55)*(F1381)+Summary!$B$55*(0)))+((C1382=TRUE)*F1382*IF(AND(Inputs!$B$38&lt;&gt;"pvp",Inputs!$B$43&gt;0),(((R1382-1)*(Skills!T15*(1+Inputs!$B$34/100))+MIN((Skills!T15*(1+Inputs!$B$34/100)),MAX(0,Inputs!$B$43-((R1382-1)*Skills!D15))))/Inputs!$B$43),IF(Inputs!$B$38="pvp",MIN((Skills!T15*(1+Inputs!$B$34/100)),15)/15,(Skills!T15*(1+Inputs!$B$34/100))/Skills!D15)))+((C1397=TRUE)*(F1397-Calc!F30)))/100)*I1369)</f>
        <v/>
      </c>
      <c r="L1369">
        <f>K1369*(MIN(Inputs!$B$22+((C1391=TRUE)*(F1391-Calc!F24)),Inputs!$B$23+((C1396=TRUE)*(F1396-Calc!F29)))/100+(Inputs!$B$23+((C1396=TRUE)*(F1396-Calc!F29)))/100)/2</f>
        <v/>
      </c>
      <c r="M1369">
        <f>L1369*(1+(Inputs!$B$10+0+B1405)/100)</f>
        <v/>
      </c>
      <c r="N1369">
        <f>L1369*(1-MIN((Inputs!$B$9+((C1387=TRUE)*(F1387-Calc!F20))+B1400),100)/100)+M1369*(MIN((Inputs!$B$9+((C1387=TRUE)*(F1387-Calc!F20))+B1400),100)/100)</f>
        <v/>
      </c>
      <c r="O1369">
        <f>IF(C1369,Skills!G2*N1369*B1404*IF(Inputs!$B$38="pvp",1,(1-Summary!$B$55)*(1)+Summary!$B$55*(MIN((6+Inputs!$B$33),Inputs!$B$37))),0)</f>
        <v/>
      </c>
      <c r="P1369">
        <f>IF(B1408=0,0,O1369/B1408)</f>
        <v/>
      </c>
      <c r="Q1369" t="n">
        <v>0</v>
      </c>
      <c r="R1369" t="n">
        <v>0</v>
      </c>
      <c r="S1369">
        <f>IFERROR(O1369/N1369,0)</f>
        <v/>
      </c>
      <c r="U1369">
        <f>MAX(0,(Inputs!$B$3-100)*3)+Inputs!$B$28+Inputs!$B$29</f>
        <v/>
      </c>
    </row>
    <row r="1370">
      <c r="A1370">
        <f>Skills!A3</f>
        <v/>
      </c>
      <c r="B1370">
        <f>Skills!B3</f>
        <v/>
      </c>
      <c r="C1370">
        <f>Inputs!$B$3&gt;=50</f>
        <v/>
      </c>
      <c r="D1370">
        <f>IF(Skills!C3=1,60+Inputs!$B$25+Inputs!$B$29,IF(Skills!C3=2,90+Inputs!$B$26+Inputs!$B$29,IF(Skills!C3=3,120+Inputs!$B$27+Inputs!$B$29,MAX(0,(Inputs!$B$3-100)*3)+Inputs!$B$28+Inputs!$B$29)))</f>
        <v/>
      </c>
      <c r="E1370">
        <f>INDEX(FactorTable!$B$2:$Y$301, MATCH(ROUND(MIN(300,MAX(1,D1370)),0), FactorTable!$A$2:$A$301,0), Skills!M3+1)</f>
        <v/>
      </c>
      <c r="F1370">
        <f>IF(Skills!N3=TRUE,(Skills!L3/10)*(E1370/1000),Skills!L3/10)+Skills!O3</f>
        <v/>
      </c>
      <c r="G1370" t="inlineStr"/>
      <c r="H1370" t="inlineStr"/>
      <c r="I1370" t="inlineStr">
        <is>
          <t>1</t>
        </is>
      </c>
      <c r="J1370" t="inlineStr"/>
      <c r="K1370" t="inlineStr"/>
      <c r="L1370" t="inlineStr"/>
      <c r="M1370" t="inlineStr"/>
      <c r="N1370" t="inlineStr"/>
      <c r="O1370" t="inlineStr"/>
      <c r="P1370" t="inlineStr"/>
      <c r="Q1370" t="inlineStr"/>
      <c r="R1370" t="inlineStr"/>
      <c r="S1370" t="inlineStr"/>
      <c r="U1370">
        <f>INDEX(FactorTable!$B$2:$Y$301, MATCH(ROUND(MIN(300,MAX(1,U1369)),0), FactorTable!$A$2:$A$301,0), 22)</f>
        <v/>
      </c>
    </row>
    <row r="1371">
      <c r="A1371">
        <f>Skills!A4</f>
        <v/>
      </c>
      <c r="B1371">
        <f>Skills!B4</f>
        <v/>
      </c>
      <c r="C1371">
        <f>Inputs!$B$3&gt;=105</f>
        <v/>
      </c>
      <c r="D1371">
        <f>IF(Skills!C4=1,60+Inputs!$B$25+Inputs!$B$29,IF(Skills!C4=2,90+Inputs!$B$26+Inputs!$B$29,IF(Skills!C4=3,120+Inputs!$B$27+Inputs!$B$29,MAX(0,(Inputs!$B$3-100)*3)+Inputs!$B$28+Inputs!$B$29)))</f>
        <v/>
      </c>
      <c r="E1371">
        <f>INDEX(FactorTable!$B$2:$Y$301, MATCH(ROUND(MIN(300,MAX(1,D1371)),0), FactorTable!$A$2:$A$301,0), Skills!M4+1)</f>
        <v/>
      </c>
      <c r="F1371">
        <f>IF(Skills!N4=TRUE,(Skills!L4/10)*(E1371/1000),Skills!L4/10)+Skills!O4</f>
        <v/>
      </c>
      <c r="G1371" t="inlineStr"/>
      <c r="H1371" t="inlineStr"/>
      <c r="I1371" t="inlineStr">
        <is>
          <t>1</t>
        </is>
      </c>
      <c r="J1371" t="inlineStr"/>
      <c r="K1371" t="inlineStr"/>
      <c r="L1371" t="inlineStr"/>
      <c r="M1371" t="inlineStr"/>
      <c r="N1371" t="inlineStr"/>
      <c r="O1371" t="inlineStr"/>
      <c r="P1371" t="inlineStr"/>
      <c r="Q1371" t="inlineStr"/>
      <c r="R1371" t="inlineStr"/>
      <c r="S1371" t="inlineStr"/>
      <c r="U1371">
        <f>290*U1370/1000</f>
        <v/>
      </c>
    </row>
    <row r="1372">
      <c r="A1372">
        <f>Skills!A5</f>
        <v/>
      </c>
      <c r="B1372">
        <f>Skills!B5</f>
        <v/>
      </c>
      <c r="C1372">
        <f>Inputs!$B$3&gt;=35</f>
        <v/>
      </c>
      <c r="D1372">
        <f>IF(Skills!C5=1,60+Inputs!$B$25+Inputs!$B$29,IF(Skills!C5=2,90+Inputs!$B$26+Inputs!$B$29,IF(Skills!C5=3,120+Inputs!$B$27+Inputs!$B$29,MAX(0,(Inputs!$B$3-100)*3)+Inputs!$B$28+Inputs!$B$29)))</f>
        <v/>
      </c>
      <c r="E1372">
        <f>INDEX(FactorTable!$B$2:$Y$301, MATCH(ROUND(MIN(300,MAX(1,D1372)),0), FactorTable!$A$2:$A$301,0), Skills!M5+1)</f>
        <v/>
      </c>
      <c r="F1372">
        <f>IF(Skills!N5=TRUE,(Skills!L5/10)*(E1372/1000),Skills!L5/10)+Skills!O5</f>
        <v/>
      </c>
      <c r="G1372">
        <f>Skills!G5*IF(Skills!H5&gt;0,Skills!I5/Skills!H5,1)</f>
        <v/>
      </c>
      <c r="H1372">
        <f>1-(1-Skills!J5/100)^Skills!K5</f>
        <v/>
      </c>
      <c r="I1372" t="inlineStr">
        <is>
          <t>1</t>
        </is>
      </c>
      <c r="J1372">
        <f>((Inputs!$B$6*(1+Inputs!$B$7/100))+(((Inputs!$B$12*(1+Inputs!$B$13/100))-(Inputs!$B$12*(1+Inputs!$B$13/100)))+0.25*(Inputs!$B$14-Inputs!$B$14))*(1+Inputs!$B$7/100))*(F1372/100)</f>
        <v/>
      </c>
      <c r="K1372">
        <f>J1372*(1+((Inputs!$B$12*(1+Inputs!$B$13/100))*0.01+Inputs!$B$14*0.0025)/100)*(1+Inputs!$B$15/100)*(1+IF(Inputs!$B$38="pvp",0,(1-Summary!$B$55)*(Inputs!$B$20+0+Skills!P5)+Summary!$B$55*(Inputs!$B$21+Skills!Q5))/100)*(1+Inputs!$B$16/100)*(5000/(6000+Inputs!$B$42*(1-(Inputs!$B$19+((C1394=TRUE)*(F1394-Calc!F27)))/100)))*(1+(Inputs!$B$24+((C1392=TRUE)*(F1392-Calc!F25))+((C1393=TRUE)*(F1393-Calc!F26))+B1406)/100)*(1+4.0*IF(C1377=TRUE,F1377,0)/100)*(1+(IF(Skills!A5="ARROW_STREAM",Inputs!$B$17+((C1390=TRUE)*(F1390-Calc!F23)),Inputs!$B$18+((C1395=TRUE)*(F1395-Calc!F28))))/100)*((1+(((C1380=TRUE)*F1380)+((C1381=TRUE)*IF(Inputs!$B$38="pvp",F1381,(1-Summary!$B$55)*(F1381)+Summary!$B$55*(0)))+((C1382=TRUE)*F1382*IF(AND(Inputs!$B$38&lt;&gt;"pvp",Inputs!$B$43&gt;0),(((R1382-1)*(Skills!T15*(1+Inputs!$B$34/100))+MIN((Skills!T15*(1+Inputs!$B$34/100)),MAX(0,Inputs!$B$43-((R1382-1)*Skills!D15))))/Inputs!$B$43),IF(Inputs!$B$38="pvp",MIN((Skills!T15*(1+Inputs!$B$34/100)),15)/15,(Skills!T15*(1+Inputs!$B$34/100))/Skills!D15)))+((C1397=TRUE)*(F1397-Calc!F30)))/100)*I1372)</f>
        <v/>
      </c>
      <c r="L1372">
        <f>K1372*(MIN(Inputs!$B$22+((C1391=TRUE)*(F1391-Calc!F24)),Inputs!$B$23+((C1396=TRUE)*(F1396-Calc!F29)))/100+(Inputs!$B$23+((C1396=TRUE)*(F1396-Calc!F29)))/100)/2</f>
        <v/>
      </c>
      <c r="M1372">
        <f>L1372*(1+(Inputs!$B$10+0+B1405)/100)</f>
        <v/>
      </c>
      <c r="N1372">
        <f>L1372*(1-MIN((Inputs!$B$9+((C1387=TRUE)*(F1387-Calc!F20))+B1400),100)/100)+M1372*(MIN((Inputs!$B$9+((C1387=TRUE)*(F1387-Calc!F20))+B1400),100)/100)</f>
        <v/>
      </c>
      <c r="O1372">
        <f>IF(C1372,H1372*N1372*IF(AND(Inputs!$B$38&lt;&gt;"pvp",Inputs!$B$43&gt;0),((Skills!G5*((R1372-1)*IF(Skills!H5&gt;0,Skills!I5/Skills!H5,1)+IF(Skills!H5&gt;0,MIN(Skills!I5,MAX(0,MAX(0,Inputs!$B$43-B1407)-((R1372-1)*IF(Inputs!$B$38="pvp",15,MAX(0.1,Skills!D5-IF(Skills!E5=TRUE,2.5,0))))))/Skills!H5,1)))/Inputs!$B$43),G1372*Q1372)*IF(Inputs!$B$38="pvp",1,(1-Summary!$B$55)*(1)+Summary!$B$55*(MIN(Skills!R5,Inputs!$B$37))),0)</f>
        <v/>
      </c>
      <c r="P1372">
        <f>IF(B1408=0,0,O1372/B1408)</f>
        <v/>
      </c>
      <c r="Q1372">
        <f>IFERROR(1/IF(Inputs!$B$38="pvp",15,MAX(0.1,Skills!D5-IF(Skills!E5=TRUE,2.5,0))),0)</f>
        <v/>
      </c>
      <c r="R1372">
        <f>IF(AND(Inputs!$B$38&lt;&gt;"pvp",Inputs!$B$43&gt;0),IF(MAX(0,Inputs!$B$43-B1407)&lt;=0,0,(INT(MAX(0,Inputs!$B$43-B1407)/IF(Inputs!$B$38="pvp",15,MAX(0.1,Skills!D5-IF(Skills!E5=TRUE,2.5,0))))+1)),0)</f>
        <v/>
      </c>
      <c r="S1372">
        <f>IFERROR(O1372/N1372,0)</f>
        <v/>
      </c>
    </row>
    <row r="1373">
      <c r="A1373">
        <f>Skills!A6</f>
        <v/>
      </c>
      <c r="B1373">
        <f>Skills!B6</f>
        <v/>
      </c>
      <c r="C1373">
        <f>Inputs!$B$3&gt;=40</f>
        <v/>
      </c>
      <c r="D1373">
        <f>IF(Skills!C6=1,60+Inputs!$B$25+Inputs!$B$29,IF(Skills!C6=2,90+Inputs!$B$26+Inputs!$B$29,IF(Skills!C6=3,120+Inputs!$B$27+Inputs!$B$29,MAX(0,(Inputs!$B$3-100)*3)+Inputs!$B$28+Inputs!$B$29)))</f>
        <v/>
      </c>
      <c r="E1373">
        <f>INDEX(FactorTable!$B$2:$Y$301, MATCH(ROUND(MIN(300,MAX(1,D1373)),0), FactorTable!$A$2:$A$301,0), Skills!M6+1)</f>
        <v/>
      </c>
      <c r="F1373">
        <f>IF(Skills!N6=TRUE,(Skills!L6/10)*(E1373/1000),Skills!L6/10)+Skills!O6</f>
        <v/>
      </c>
      <c r="G1373">
        <f>Skills!G6*IF(Skills!H6&gt;0,Skills!I6/Skills!H6,1)</f>
        <v/>
      </c>
      <c r="H1373">
        <f>1-(1-Skills!J6/100)^Skills!K6</f>
        <v/>
      </c>
      <c r="I1373" t="inlineStr">
        <is>
          <t>1</t>
        </is>
      </c>
      <c r="J1373">
        <f>((Inputs!$B$6*(1+Inputs!$B$7/100))+(((Inputs!$B$12*(1+Inputs!$B$13/100))-(Inputs!$B$12*(1+Inputs!$B$13/100)))+0.25*(Inputs!$B$14-Inputs!$B$14))*(1+Inputs!$B$7/100))*(F1373/100)</f>
        <v/>
      </c>
      <c r="K1373">
        <f>J1373*(1+((Inputs!$B$12*(1+Inputs!$B$13/100))*0.01+Inputs!$B$14*0.0025)/100)*(1+Inputs!$B$15/100)*(1+IF(Inputs!$B$38="pvp",0,(1-Summary!$B$55)*(Inputs!$B$20+0+Skills!P6)+Summary!$B$55*(Inputs!$B$21+Skills!Q6))/100)*(1+Inputs!$B$16/100)*(5000/(6000+Inputs!$B$42*(1-(Inputs!$B$19+((C1394=TRUE)*(F1394-Calc!F27)))/100)))*(1+(Inputs!$B$24+((C1392=TRUE)*(F1392-Calc!F25))+((C1393=TRUE)*(F1393-Calc!F26))+B1406)/100)*(1+IF(C1374=TRUE,F1374,0)/100)*(1+(IF(Skills!A6="ARROW_STREAM",Inputs!$B$17+((C1390=TRUE)*(F1390-Calc!F23)),Inputs!$B$18+((C1395=TRUE)*(F1395-Calc!F28))))/100)*((1+(((C1380=TRUE)*F1380)+((C1381=TRUE)*IF(Inputs!$B$38="pvp",F1381,(1-Summary!$B$55)*(F1381)+Summary!$B$55*(0)))+((C1382=TRUE)*F1382*IF(AND(Inputs!$B$38&lt;&gt;"pvp",Inputs!$B$43&gt;0),(((R1382-1)*(Skills!T15*(1+Inputs!$B$34/100))+MIN((Skills!T15*(1+Inputs!$B$34/100)),MAX(0,Inputs!$B$43-((R1382-1)*Skills!D15))))/Inputs!$B$43),IF(Inputs!$B$38="pvp",MIN((Skills!T15*(1+Inputs!$B$34/100)),15)/15,(Skills!T15*(1+Inputs!$B$34/100))/Skills!D15)))+((C1397=TRUE)*(F1397-Calc!F30)))/100)*I1373)</f>
        <v/>
      </c>
      <c r="L1373">
        <f>K1373*(MIN(Inputs!$B$22+((C1391=TRUE)*(F1391-Calc!F24)),Inputs!$B$23+((C1396=TRUE)*(F1396-Calc!F29)))/100+(Inputs!$B$23+((C1396=TRUE)*(F1396-Calc!F29)))/100)/2</f>
        <v/>
      </c>
      <c r="M1373">
        <f>L1373*(1+(Inputs!$B$10+0+B1405)/100)</f>
        <v/>
      </c>
      <c r="N1373">
        <f>L1373*(1-MIN((Inputs!$B$9+((C1387=TRUE)*(F1387-Calc!F20))+B1400),100)/100)+M1373*(MIN((Inputs!$B$9+((C1387=TRUE)*(F1387-Calc!F20))+B1400),100)/100)</f>
        <v/>
      </c>
      <c r="O1373">
        <f>IF(C1373,H1373*N1373*IF(AND(Inputs!$B$38&lt;&gt;"pvp",Inputs!$B$43&gt;0),((Skills!G6*((R1373-1)*IF(Skills!H6&gt;0,Skills!I6/Skills!H6,1)+IF(Skills!H6&gt;0,MIN(Skills!I6,MAX(0,MAX(0,Inputs!$B$43-B1407)-((R1373-1)*IF(Inputs!$B$38="pvp",15,MAX(0.1,Skills!D6-IF(Skills!E6=TRUE,2.5,0))))))/Skills!H6,1)))/Inputs!$B$43),G1373*Q1373)*IF(Inputs!$B$38="pvp",1,(1-Summary!$B$55)*(1)+Summary!$B$55*(MIN(Skills!R6,Inputs!$B$37))),0)</f>
        <v/>
      </c>
      <c r="P1373">
        <f>IF(B1408=0,0,O1373/B1408)</f>
        <v/>
      </c>
      <c r="Q1373">
        <f>IFERROR(1/IF(Inputs!$B$38="pvp",15,MAX(0.1,Skills!D6-IF(Skills!E6=TRUE,2.5,0))),0)</f>
        <v/>
      </c>
      <c r="R1373">
        <f>IF(AND(Inputs!$B$38&lt;&gt;"pvp",Inputs!$B$43&gt;0),IF(MAX(0,Inputs!$B$43-B1407)&lt;=0,0,(INT(MAX(0,Inputs!$B$43-B1407)/IF(Inputs!$B$38="pvp",15,MAX(0.1,Skills!D6-IF(Skills!E6=TRUE,2.5,0))))+1)),0)</f>
        <v/>
      </c>
      <c r="S1373">
        <f>IFERROR(O1373/N1373,0)</f>
        <v/>
      </c>
    </row>
    <row r="1374">
      <c r="A1374">
        <f>Skills!A7</f>
        <v/>
      </c>
      <c r="B1374">
        <f>Skills!B7</f>
        <v/>
      </c>
      <c r="C1374">
        <f>Inputs!$B$3&gt;=107</f>
        <v/>
      </c>
      <c r="D1374">
        <f>IF(Skills!C7=1,60+Inputs!$B$25+Inputs!$B$29,IF(Skills!C7=2,90+Inputs!$B$26+Inputs!$B$29,IF(Skills!C7=3,120+Inputs!$B$27+Inputs!$B$29,MAX(0,(Inputs!$B$3-100)*3)+Inputs!$B$28+Inputs!$B$29)))</f>
        <v/>
      </c>
      <c r="E1374">
        <f>INDEX(FactorTable!$B$2:$Y$301, MATCH(ROUND(MIN(300,MAX(1,D1374)),0), FactorTable!$A$2:$A$301,0), Skills!M7+1)</f>
        <v/>
      </c>
      <c r="F1374">
        <f>IF(Skills!N7=TRUE,(Skills!L7/10)*(E1374/1000),Skills!L7/10)+Skills!O7</f>
        <v/>
      </c>
      <c r="G1374" t="inlineStr"/>
      <c r="H1374" t="inlineStr"/>
      <c r="I1374" t="inlineStr">
        <is>
          <t>1</t>
        </is>
      </c>
      <c r="J1374" t="inlineStr"/>
      <c r="K1374" t="inlineStr"/>
      <c r="L1374" t="inlineStr"/>
      <c r="M1374" t="inlineStr"/>
      <c r="N1374" t="inlineStr"/>
      <c r="O1374" t="inlineStr"/>
      <c r="P1374" t="inlineStr"/>
      <c r="Q1374" t="inlineStr"/>
      <c r="R1374" t="inlineStr"/>
      <c r="S1374" t="inlineStr"/>
    </row>
    <row r="1375">
      <c r="A1375">
        <f>Skills!A8</f>
        <v/>
      </c>
      <c r="B1375">
        <f>Skills!B8</f>
        <v/>
      </c>
      <c r="C1375">
        <f>Inputs!$B$3&gt;=69</f>
        <v/>
      </c>
      <c r="D1375">
        <f>IF(Skills!C8=1,60+Inputs!$B$25+Inputs!$B$29,IF(Skills!C8=2,90+Inputs!$B$26+Inputs!$B$29,IF(Skills!C8=3,120+Inputs!$B$27+Inputs!$B$29,MAX(0,(Inputs!$B$3-100)*3)+Inputs!$B$28+Inputs!$B$29)))</f>
        <v/>
      </c>
      <c r="E1375">
        <f>INDEX(FactorTable!$B$2:$Y$301, MATCH(ROUND(MIN(300,MAX(1,D1375)),0), FactorTable!$A$2:$A$301,0), Skills!M8+1)</f>
        <v/>
      </c>
      <c r="F1375">
        <f>IF(Skills!N8=TRUE,(Skills!L8/10)*(E1375/1000),Skills!L8/10)+Skills!O8</f>
        <v/>
      </c>
      <c r="G1375">
        <f>Skills!G8*IF(Skills!H8&gt;0,Skills!I8/Skills!H8,1)</f>
        <v/>
      </c>
      <c r="H1375">
        <f>1-(1-Skills!J8/100)^Skills!K8</f>
        <v/>
      </c>
      <c r="I1375" t="inlineStr">
        <is>
          <t>1</t>
        </is>
      </c>
      <c r="J1375">
        <f>((Inputs!$B$6*(1+Inputs!$B$7/100))+(((Inputs!$B$12*(1+Inputs!$B$13/100))-(Inputs!$B$12*(1+Inputs!$B$13/100)))+0.25*(Inputs!$B$14-Inputs!$B$14))*(1+Inputs!$B$7/100))*(F1375/100)</f>
        <v/>
      </c>
      <c r="K1375">
        <f>J1375*(1+((Inputs!$B$12*(1+Inputs!$B$13/100))*0.01+Inputs!$B$14*0.0025)/100)*(1+Inputs!$B$15/100)*(1+IF(Inputs!$B$38="pvp",0,(1-Summary!$B$55)*(Inputs!$B$20+0+Skills!P8)+Summary!$B$55*(Inputs!$B$21+Skills!Q8))/100)*(1+Inputs!$B$16/100)*(5000/(6000+Inputs!$B$42*(1-(Inputs!$B$19+((C1394=TRUE)*(F1394-Calc!F27)))/100)))*(1+(Inputs!$B$24+((C1392=TRUE)*(F1392-Calc!F25))+((C1393=TRUE)*(F1393-Calc!F26))+B1406)/100)*(1+1.2*IF(C1377=TRUE,F1377,0)/100)*(1+(IF(Skills!A8="ARROW_STREAM",Inputs!$B$17+((C1390=TRUE)*(F1390-Calc!F23)),Inputs!$B$18+((C1395=TRUE)*(F1395-Calc!F28))))/100)*((1+(((C1380=TRUE)*F1380)+((C1381=TRUE)*IF(Inputs!$B$38="pvp",F1381,(1-Summary!$B$55)*(F1381)+Summary!$B$55*(0)))+((C1382=TRUE)*F1382*IF(AND(Inputs!$B$38&lt;&gt;"pvp",Inputs!$B$43&gt;0),(((R1382-1)*(Skills!T15*(1+Inputs!$B$34/100))+MIN((Skills!T15*(1+Inputs!$B$34/100)),MAX(0,Inputs!$B$43-((R1382-1)*Skills!D15))))/Inputs!$B$43),IF(Inputs!$B$38="pvp",MIN((Skills!T15*(1+Inputs!$B$34/100)),15)/15,(Skills!T15*(1+Inputs!$B$34/100))/Skills!D15)))+((C1397=TRUE)*(F1397-Calc!F30)))/100)*I1375)</f>
        <v/>
      </c>
      <c r="L1375">
        <f>K1375*(MIN(Inputs!$B$22+((C1391=TRUE)*(F1391-Calc!F24)),Inputs!$B$23+((C1396=TRUE)*(F1396-Calc!F29)))/100+(Inputs!$B$23+((C1396=TRUE)*(F1396-Calc!F29)))/100)/2</f>
        <v/>
      </c>
      <c r="M1375">
        <f>L1375*(1+(Inputs!$B$10+0+B1405)/100)</f>
        <v/>
      </c>
      <c r="N1375">
        <f>L1375*(1-MIN((Inputs!$B$9+((C1387=TRUE)*(F1387-Calc!F20))+B1400),100)/100)+M1375*(MIN((Inputs!$B$9+((C1387=TRUE)*(F1387-Calc!F20))+B1400),100)/100)</f>
        <v/>
      </c>
      <c r="O1375">
        <f>IF(C1375,H1375*N1375*IF(AND(Inputs!$B$38&lt;&gt;"pvp",Inputs!$B$43&gt;0),((Skills!G8*((R1375-1)*IF(Skills!H8&gt;0,Skills!I8/Skills!H8,1)+IF(Skills!H8&gt;0,MIN(Skills!I8,MAX(0,MAX(0,Inputs!$B$43-B1407)-((R1375-1)*IF(Inputs!$B$38="pvp",15,MAX(0.1,Skills!D8-IF(Skills!E8=TRUE,2.5,0))))))/Skills!H8,1)))/Inputs!$B$43),G1375*Q1375)*IF(Inputs!$B$38="pvp",1,(1-Summary!$B$55)*(1)+Summary!$B$55*(MIN(Skills!R8,Inputs!$B$37))),0)</f>
        <v/>
      </c>
      <c r="P1375">
        <f>IF(B1408=0,0,O1375/B1408)</f>
        <v/>
      </c>
      <c r="Q1375">
        <f>IFERROR(1/IF(Inputs!$B$38="pvp",15,MAX(0.1,Skills!D8-IF(Skills!E8=TRUE,2.5,0))),0)</f>
        <v/>
      </c>
      <c r="R1375">
        <f>IF(AND(Inputs!$B$38&lt;&gt;"pvp",Inputs!$B$43&gt;0),IF(MAX(0,Inputs!$B$43-B1407)&lt;=0,0,(INT(MAX(0,Inputs!$B$43-B1407)/IF(Inputs!$B$38="pvp",15,MAX(0.1,Skills!D8-IF(Skills!E8=TRUE,2.5,0))))+1)),0)</f>
        <v/>
      </c>
      <c r="S1375">
        <f>IFERROR(O1375/N1375,0)</f>
        <v/>
      </c>
    </row>
    <row r="1376">
      <c r="A1376">
        <f>Skills!A9</f>
        <v/>
      </c>
      <c r="B1376">
        <f>Skills!B9</f>
        <v/>
      </c>
      <c r="C1376">
        <f>Inputs!$B$3&gt;=63</f>
        <v/>
      </c>
      <c r="D1376">
        <f>IF(Skills!C9=1,60+Inputs!$B$25+Inputs!$B$29,IF(Skills!C9=2,90+Inputs!$B$26+Inputs!$B$29,IF(Skills!C9=3,120+Inputs!$B$27+Inputs!$B$29,MAX(0,(Inputs!$B$3-100)*3)+Inputs!$B$28+Inputs!$B$29)))</f>
        <v/>
      </c>
      <c r="E1376">
        <f>INDEX(FactorTable!$B$2:$Y$301, MATCH(ROUND(MIN(300,MAX(1,D1376)),0), FactorTable!$A$2:$A$301,0), Skills!M9+1)</f>
        <v/>
      </c>
      <c r="F1376">
        <f>IF(Skills!N9=TRUE,(Skills!L9/10)*(E1376/1000),Skills!L9/10)+Skills!O9</f>
        <v/>
      </c>
      <c r="G1376">
        <f>Skills!G9*IF(Skills!H9&gt;0,Skills!I9/Skills!H9,1)</f>
        <v/>
      </c>
      <c r="H1376">
        <f>1-(1-Skills!J9/100)^Skills!K9</f>
        <v/>
      </c>
      <c r="I1376" t="inlineStr">
        <is>
          <t>1</t>
        </is>
      </c>
      <c r="J1376">
        <f>((Inputs!$B$6*(1+Inputs!$B$7/100))+(((Inputs!$B$12*(1+Inputs!$B$13/100))-(Inputs!$B$12*(1+Inputs!$B$13/100)))+0.25*(Inputs!$B$14-Inputs!$B$14))*(1+Inputs!$B$7/100))*(F1376/100)</f>
        <v/>
      </c>
      <c r="K1376">
        <f>J1376*(1+((Inputs!$B$12*(1+Inputs!$B$13/100))*0.01+Inputs!$B$14*0.0025)/100)*(1+Inputs!$B$15/100)*(1+IF(Inputs!$B$38="pvp",0,(1-Summary!$B$55)*(Inputs!$B$20+0+Skills!P9)+Summary!$B$55*(Inputs!$B$21+Skills!Q9))/100)*(1+Inputs!$B$16/100)*(5000/(6000+Inputs!$B$42*(1-(Inputs!$B$19+((C1394=TRUE)*(F1394-Calc!F27)))/100)))*(1+(Inputs!$B$24+((C1392=TRUE)*(F1392-Calc!F25))+((C1393=TRUE)*(F1393-Calc!F26))+B1406)/100)*(1+1.0*IF(C1377=TRUE,F1377,0)/100)*(1+(IF(Skills!A9="ARROW_STREAM",Inputs!$B$17+((C1390=TRUE)*(F1390-Calc!F23)),Inputs!$B$18+((C1395=TRUE)*(F1395-Calc!F28))))/100)*((1+(((C1380=TRUE)*F1380)+((C1381=TRUE)*IF(Inputs!$B$38="pvp",F1381,(1-Summary!$B$55)*(F1381)+Summary!$B$55*(0)))+((C1382=TRUE)*F1382*IF(AND(Inputs!$B$38&lt;&gt;"pvp",Inputs!$B$43&gt;0),(((R1382-1)*(Skills!T15*(1+Inputs!$B$34/100))+MIN((Skills!T15*(1+Inputs!$B$34/100)),MAX(0,Inputs!$B$43-((R1382-1)*Skills!D15))))/Inputs!$B$43),IF(Inputs!$B$38="pvp",MIN((Skills!T15*(1+Inputs!$B$34/100)),15)/15,(Skills!T15*(1+Inputs!$B$34/100))/Skills!D15)))+((C1397=TRUE)*(F1397-Calc!F30)))/100)*I1376)</f>
        <v/>
      </c>
      <c r="L1376">
        <f>K1376*(MIN(Inputs!$B$22+((C1391=TRUE)*(F1391-Calc!F24)),Inputs!$B$23+((C1396=TRUE)*(F1396-Calc!F29)))/100+(Inputs!$B$23+((C1396=TRUE)*(F1396-Calc!F29)))/100)/2</f>
        <v/>
      </c>
      <c r="M1376">
        <f>L1376*(1+(Inputs!$B$10+0+B1405)/100)</f>
        <v/>
      </c>
      <c r="N1376">
        <f>L1376*(1-MIN((Inputs!$B$9+((C1387=TRUE)*(F1387-Calc!F20))+B1400),100)/100)+M1376*(MIN((Inputs!$B$9+((C1387=TRUE)*(F1387-Calc!F20))+B1400),100)/100)</f>
        <v/>
      </c>
      <c r="O1376">
        <f>IF(C1376,H1376*N1376*IF(AND(Inputs!$B$38&lt;&gt;"pvp",Inputs!$B$43&gt;0),((Skills!G9*((R1376-1)*IF(Skills!H9&gt;0,Skills!I9/Skills!H9,1)+IF(Skills!H9&gt;0,MIN(Skills!I9,MAX(0,MAX(0,Inputs!$B$43-B1407)-((R1376-1)*IF(Inputs!$B$38="pvp",15,MAX(0.1,Skills!D9-IF(Skills!E9=TRUE,2.5,0))))))/Skills!H9,1)))/Inputs!$B$43),G1376*Q1376)*IF(Inputs!$B$38="pvp",1,(1-Summary!$B$55)*(1)+Summary!$B$55*(MIN(Skills!R9,Inputs!$B$37))),0)</f>
        <v/>
      </c>
      <c r="P1376">
        <f>IF(B1408=0,0,O1376/B1408)</f>
        <v/>
      </c>
      <c r="Q1376">
        <f>IFERROR(1/IF(Inputs!$B$38="pvp",15,MAX(0.1,Skills!D9-IF(Skills!E9=TRUE,2.5,0))),0)</f>
        <v/>
      </c>
      <c r="R1376">
        <f>IF(AND(Inputs!$B$38&lt;&gt;"pvp",Inputs!$B$43&gt;0),IF(MAX(0,Inputs!$B$43-B1407)&lt;=0,0,(INT(MAX(0,Inputs!$B$43-B1407)/IF(Inputs!$B$38="pvp",15,MAX(0.1,Skills!D9-IF(Skills!E9=TRUE,2.5,0))))+1)),0)</f>
        <v/>
      </c>
      <c r="S1376">
        <f>IFERROR(O1376/N1376,0)</f>
        <v/>
      </c>
    </row>
    <row r="1377">
      <c r="A1377">
        <f>Skills!A10</f>
        <v/>
      </c>
      <c r="B1377">
        <f>Skills!B10</f>
        <v/>
      </c>
      <c r="C1377">
        <f>Inputs!$B$3&gt;=100</f>
        <v/>
      </c>
      <c r="D1377">
        <f>IF(Skills!C10=1,60+Inputs!$B$25+Inputs!$B$29,IF(Skills!C10=2,90+Inputs!$B$26+Inputs!$B$29,IF(Skills!C10=3,120+Inputs!$B$27+Inputs!$B$29,MAX(0,(Inputs!$B$3-100)*3)+Inputs!$B$28+Inputs!$B$29)))</f>
        <v/>
      </c>
      <c r="E1377">
        <f>INDEX(FactorTable!$B$2:$Y$301, MATCH(ROUND(MIN(300,MAX(1,D1377)),0), FactorTable!$A$2:$A$301,0), Skills!M10+1)</f>
        <v/>
      </c>
      <c r="F1377">
        <f>IF(Skills!N10=TRUE,(Skills!L10/10)*(E1377/1000),Skills!L10/10)+Skills!O10</f>
        <v/>
      </c>
      <c r="G1377" t="inlineStr"/>
      <c r="H1377" t="inlineStr"/>
      <c r="I1377" t="inlineStr">
        <is>
          <t>1</t>
        </is>
      </c>
      <c r="J1377" t="inlineStr"/>
      <c r="K1377" t="inlineStr"/>
      <c r="L1377" t="inlineStr"/>
      <c r="M1377" t="inlineStr"/>
      <c r="N1377" t="inlineStr"/>
      <c r="O1377" t="inlineStr"/>
      <c r="P1377" t="inlineStr"/>
      <c r="Q1377" t="inlineStr"/>
      <c r="R1377" t="inlineStr"/>
      <c r="S1377" t="inlineStr"/>
    </row>
    <row r="1378">
      <c r="A1378">
        <f>Skills!A11</f>
        <v/>
      </c>
      <c r="B1378">
        <f>Skills!B11</f>
        <v/>
      </c>
      <c r="C1378">
        <f>Inputs!$B$3&gt;=60</f>
        <v/>
      </c>
      <c r="D1378">
        <f>IF(Skills!C11=1,60+Inputs!$B$25+Inputs!$B$29,IF(Skills!C11=2,90+Inputs!$B$26+Inputs!$B$29,IF(Skills!C11=3,120+Inputs!$B$27+Inputs!$B$29,MAX(0,(Inputs!$B$3-100)*3)+Inputs!$B$28+Inputs!$B$29)))</f>
        <v/>
      </c>
      <c r="E1378">
        <f>INDEX(FactorTable!$B$2:$Y$301, MATCH(ROUND(MIN(300,MAX(1,D1378)),0), FactorTable!$A$2:$A$301,0), Skills!M11+1)</f>
        <v/>
      </c>
      <c r="F1378">
        <f>IF(Skills!N11=TRUE,(Skills!L11/10)*(E1378/1000),Skills!L11/10)+Skills!O11</f>
        <v/>
      </c>
      <c r="G1378">
        <f>Skills!G11*IF(Skills!H11&gt;0,Skills!I11/Skills!H11,1)</f>
        <v/>
      </c>
      <c r="H1378">
        <f>1-(1-Skills!J11/100)^Skills!K11</f>
        <v/>
      </c>
      <c r="I1378" t="inlineStr">
        <is>
          <t>1</t>
        </is>
      </c>
      <c r="J1378">
        <f>((Inputs!$B$6*(1+Inputs!$B$7/100))+(((Inputs!$B$12*(1+Inputs!$B$13/100))-(Inputs!$B$12*(1+Inputs!$B$13/100)))+0.25*(Inputs!$B$14-Inputs!$B$14))*(1+Inputs!$B$7/100))*(F1378/100)</f>
        <v/>
      </c>
      <c r="K1378">
        <f>J1378*(1+((Inputs!$B$12*(1+Inputs!$B$13/100))*0.01+Inputs!$B$14*0.0025)/100)*(1+Inputs!$B$15/100)*(1+IF(Inputs!$B$38="pvp",0,(1-Summary!$B$55)*(Inputs!$B$20+0+Skills!P11)+Summary!$B$55*(Inputs!$B$21+Skills!Q11))/100)*(1+Inputs!$B$16/100)*(5000/(6000+Inputs!$B$42*(1-(Inputs!$B$19+((C1394=TRUE)*(F1394-Calc!F27)))/100)))*(1+(Inputs!$B$24+((C1392=TRUE)*(F1392-Calc!F25))+((C1393=TRUE)*(F1393-Calc!F26))+B1406)/100)*(1+IF(C1379=TRUE,F1379,0)/100)*(1+(IF(Skills!A11="ARROW_STREAM",Inputs!$B$17+((C1390=TRUE)*(F1390-Calc!F23)),Inputs!$B$18+((C1395=TRUE)*(F1395-Calc!F28))))/100)*((1+(((C1380=TRUE)*F1380)+((C1381=TRUE)*IF(Inputs!$B$38="pvp",F1381,(1-Summary!$B$55)*(F1381)+Summary!$B$55*(0)))+((C1382=TRUE)*F1382*IF(AND(Inputs!$B$38&lt;&gt;"pvp",Inputs!$B$43&gt;0),(((R1382-1)*(Skills!T15*(1+Inputs!$B$34/100))+MIN((Skills!T15*(1+Inputs!$B$34/100)),MAX(0,Inputs!$B$43-((R1382-1)*Skills!D15))))/Inputs!$B$43),IF(Inputs!$B$38="pvp",MIN((Skills!T15*(1+Inputs!$B$34/100)),15)/15,(Skills!T15*(1+Inputs!$B$34/100))/Skills!D15)))+((C1397=TRUE)*(F1397-Calc!F30)))/100)*I1378)</f>
        <v/>
      </c>
      <c r="L1378">
        <f>K1378*(MIN(Inputs!$B$22+((C1391=TRUE)*(F1391-Calc!F24)),Inputs!$B$23+((C1396=TRUE)*(F1396-Calc!F29)))/100+(Inputs!$B$23+((C1396=TRUE)*(F1396-Calc!F29)))/100)/2</f>
        <v/>
      </c>
      <c r="M1378">
        <f>L1378*(1+(Inputs!$B$10+0+B1405)/100)</f>
        <v/>
      </c>
      <c r="N1378">
        <f>L1378*(1-MIN((Inputs!$B$9+((C1387=TRUE)*(F1387-Calc!F20))+B1400),100)/100)+M1378*(MIN((Inputs!$B$9+((C1387=TRUE)*(F1387-Calc!F20))+B1400),100)/100)</f>
        <v/>
      </c>
      <c r="O1378">
        <f>IF(C1378,H1378*N1378*IF(AND(Inputs!$B$38&lt;&gt;"pvp",Inputs!$B$43&gt;0),((Skills!G11*((R1378-1)*IF(Skills!H11&gt;0,Skills!I11/Skills!H11,1)+IF(Skills!H11&gt;0,MIN(Skills!I11,MAX(0,MAX(0,Inputs!$B$43-B1407)-((R1378-1)*IF(Inputs!$B$38="pvp",15,MAX(0.1,Skills!D11-IF(Skills!E11=TRUE,2.5,0))))))/Skills!H11,1)))/Inputs!$B$43),G1378*Q1378)*IF(Inputs!$B$38="pvp",1,(1-Summary!$B$55)*(1)+Summary!$B$55*(MIN(Skills!R11,Inputs!$B$37))),0)</f>
        <v/>
      </c>
      <c r="P1378">
        <f>IF(B1408=0,0,O1378/B1408)</f>
        <v/>
      </c>
      <c r="Q1378">
        <f>IFERROR(1/IF(Inputs!$B$38="pvp",15,MAX(0.1,Skills!D11-IF(Skills!E11=TRUE,2.5,0))),0)</f>
        <v/>
      </c>
      <c r="R1378">
        <f>IF(AND(Inputs!$B$38&lt;&gt;"pvp",Inputs!$B$43&gt;0),IF(MAX(0,Inputs!$B$43-B1407)&lt;=0,0,(INT(MAX(0,Inputs!$B$43-B1407)/IF(Inputs!$B$38="pvp",15,MAX(0.1,Skills!D11-IF(Skills!E11=TRUE,2.5,0))))+1)),0)</f>
        <v/>
      </c>
      <c r="S1378">
        <f>IFERROR(O1378/N1378,0)</f>
        <v/>
      </c>
    </row>
    <row r="1379">
      <c r="A1379">
        <f>Skills!A12</f>
        <v/>
      </c>
      <c r="B1379">
        <f>Skills!B12</f>
        <v/>
      </c>
      <c r="C1379">
        <f>Inputs!$B$3&gt;=110</f>
        <v/>
      </c>
      <c r="D1379">
        <f>IF(Skills!C12=1,60+Inputs!$B$25+Inputs!$B$29,IF(Skills!C12=2,90+Inputs!$B$26+Inputs!$B$29,IF(Skills!C12=3,120+Inputs!$B$27+Inputs!$B$29,MAX(0,(Inputs!$B$3-100)*3)+Inputs!$B$28+Inputs!$B$29)))</f>
        <v/>
      </c>
      <c r="E1379">
        <f>INDEX(FactorTable!$B$2:$Y$301, MATCH(ROUND(MIN(300,MAX(1,D1379)),0), FactorTable!$A$2:$A$301,0), Skills!M12+1)</f>
        <v/>
      </c>
      <c r="F1379">
        <f>IF(Skills!N12=TRUE,(Skills!L12/10)*(E1379/1000),Skills!L12/10)+Skills!O12</f>
        <v/>
      </c>
      <c r="G1379" t="inlineStr"/>
      <c r="H1379" t="inlineStr"/>
      <c r="I1379" t="inlineStr">
        <is>
          <t>1</t>
        </is>
      </c>
      <c r="J1379" t="inlineStr"/>
      <c r="K1379" t="inlineStr"/>
      <c r="L1379" t="inlineStr"/>
      <c r="M1379" t="inlineStr"/>
      <c r="N1379" t="inlineStr"/>
      <c r="O1379" t="inlineStr"/>
      <c r="P1379" t="inlineStr"/>
      <c r="Q1379" t="inlineStr"/>
      <c r="R1379" t="inlineStr"/>
      <c r="S1379" t="inlineStr"/>
    </row>
    <row r="1380">
      <c r="A1380">
        <f>Skills!A13</f>
        <v/>
      </c>
      <c r="B1380">
        <f>Skills!B13</f>
        <v/>
      </c>
      <c r="C1380">
        <f>Inputs!$B$3&gt;=74</f>
        <v/>
      </c>
      <c r="D1380">
        <f>IF(Skills!C13=1,60+Inputs!$B$25+Inputs!$B$29,IF(Skills!C13=2,90+Inputs!$B$26+Inputs!$B$29,IF(Skills!C13=3,120+Inputs!$B$27+Inputs!$B$29,MAX(0,(Inputs!$B$3-100)*3)+Inputs!$B$28+Inputs!$B$29)))</f>
        <v/>
      </c>
      <c r="E1380">
        <f>INDEX(FactorTable!$B$2:$Y$301, MATCH(ROUND(MIN(300,MAX(1,D1380)),0), FactorTable!$A$2:$A$301,0), Skills!M13+1)</f>
        <v/>
      </c>
      <c r="F1380">
        <f>IF(Skills!N13=TRUE,(Skills!L13/10)*(E1380/1000),Skills!L13/10)+Skills!O13</f>
        <v/>
      </c>
      <c r="G1380">
        <f>Skills!G13*IF(Skills!H13&gt;0,Skills!I13/Skills!H13,1)</f>
        <v/>
      </c>
      <c r="H1380">
        <f>1-(1-Skills!J13/100)^Skills!K13</f>
        <v/>
      </c>
      <c r="I1380" t="inlineStr">
        <is>
          <t>1</t>
        </is>
      </c>
      <c r="J1380" t="inlineStr"/>
      <c r="K1380" t="inlineStr"/>
      <c r="L1380" t="inlineStr"/>
      <c r="M1380" t="inlineStr"/>
      <c r="N1380" t="inlineStr"/>
      <c r="O1380" t="n">
        <v>0</v>
      </c>
      <c r="P1380">
        <f>IF(B1408=0,0,O1380/B1408)</f>
        <v/>
      </c>
      <c r="Q1380" t="n">
        <v>0</v>
      </c>
      <c r="R1380" t="n">
        <v>0</v>
      </c>
      <c r="S1380">
        <f>IFERROR(O1380/N1380,0)</f>
        <v/>
      </c>
    </row>
    <row r="1381">
      <c r="A1381">
        <f>Skills!A14</f>
        <v/>
      </c>
      <c r="B1381">
        <f>Skills!B14</f>
        <v/>
      </c>
      <c r="C1381">
        <f>Inputs!$B$3&gt;=74</f>
        <v/>
      </c>
      <c r="D1381">
        <f>IF(Skills!C14=1,60+Inputs!$B$25+Inputs!$B$29,IF(Skills!C14=2,90+Inputs!$B$26+Inputs!$B$29,IF(Skills!C14=3,120+Inputs!$B$27+Inputs!$B$29,MAX(0,(Inputs!$B$3-100)*3)+Inputs!$B$28+Inputs!$B$29)))</f>
        <v/>
      </c>
      <c r="E1381">
        <f>INDEX(FactorTable!$B$2:$Y$301, MATCH(ROUND(MIN(300,MAX(1,D1381)),0), FactorTable!$A$2:$A$301,0), Skills!M14+1)</f>
        <v/>
      </c>
      <c r="F1381">
        <f>IF(Skills!N14=TRUE,(Skills!L14/10)*(E1381/1000),Skills!L14/10)+Skills!O14</f>
        <v/>
      </c>
      <c r="G1381">
        <f>Skills!G14*IF(Skills!H14&gt;0,Skills!I14/Skills!H14,1)</f>
        <v/>
      </c>
      <c r="H1381">
        <f>1-(1-Skills!J14/100)^Skills!K14</f>
        <v/>
      </c>
      <c r="I1381" t="inlineStr">
        <is>
          <t>1</t>
        </is>
      </c>
      <c r="J1381" t="inlineStr"/>
      <c r="K1381" t="inlineStr"/>
      <c r="L1381" t="inlineStr"/>
      <c r="M1381" t="inlineStr"/>
      <c r="N1381" t="inlineStr"/>
      <c r="O1381" t="n">
        <v>0</v>
      </c>
      <c r="P1381">
        <f>IF(B1408=0,0,O1381/B1408)</f>
        <v/>
      </c>
      <c r="Q1381" t="n">
        <v>0</v>
      </c>
      <c r="R1381" t="n">
        <v>0</v>
      </c>
      <c r="S1381">
        <f>IFERROR(O1381/N1381,0)</f>
        <v/>
      </c>
    </row>
    <row r="1382">
      <c r="A1382">
        <f>Skills!A15</f>
        <v/>
      </c>
      <c r="B1382">
        <f>Skills!B15</f>
        <v/>
      </c>
      <c r="C1382">
        <f>Inputs!$B$3&gt;=117</f>
        <v/>
      </c>
      <c r="D1382">
        <f>IF(Skills!C15=1,60+Inputs!$B$25+Inputs!$B$29,IF(Skills!C15=2,90+Inputs!$B$26+Inputs!$B$29,IF(Skills!C15=3,120+Inputs!$B$27+Inputs!$B$29,MAX(0,(Inputs!$B$3-100)*3)+Inputs!$B$28+Inputs!$B$29)))</f>
        <v/>
      </c>
      <c r="E1382">
        <f>INDEX(FactorTable!$B$2:$Y$301, MATCH(ROUND(MIN(300,MAX(1,D1382)),0), FactorTable!$A$2:$A$301,0), Skills!M15+1)</f>
        <v/>
      </c>
      <c r="F1382">
        <f>IF(Skills!N15=TRUE,(Skills!L15/10)*(E1382/1000),Skills!L15/10)+Skills!O15</f>
        <v/>
      </c>
      <c r="G1382">
        <f>Skills!G15*IF(Skills!H15&gt;0,Skills!I15/Skills!H15,1)</f>
        <v/>
      </c>
      <c r="H1382">
        <f>1-(1-Skills!J15/100)^Skills!K15</f>
        <v/>
      </c>
      <c r="I1382" t="inlineStr">
        <is>
          <t>1</t>
        </is>
      </c>
      <c r="J1382" t="inlineStr"/>
      <c r="K1382" t="inlineStr"/>
      <c r="L1382" t="inlineStr"/>
      <c r="M1382" t="inlineStr"/>
      <c r="N1382" t="inlineStr"/>
      <c r="O1382" t="n">
        <v>0</v>
      </c>
      <c r="P1382">
        <f>IF(B1408=0,0,O1382/B1408)</f>
        <v/>
      </c>
      <c r="Q1382">
        <f>IFERROR(1/IF(Inputs!$B$38="pvp",15,MAX(0.1,Skills!D15-IF(Skills!E15=TRUE,2.5,0))),0)</f>
        <v/>
      </c>
      <c r="R1382">
        <f>IF(AND(Inputs!$B$38&lt;&gt;"pvp",Inputs!$B$43&gt;0),IF(Inputs!$B$43&lt;=0,0,(INT(Inputs!$B$43/IF(Inputs!$B$38="pvp",15,MAX(0.1,Skills!D15-IF(Skills!E15=TRUE,2.5,0))))+1)),0)</f>
        <v/>
      </c>
      <c r="S1382">
        <f>IFERROR(O1382/N1382,0)</f>
        <v/>
      </c>
    </row>
    <row r="1383">
      <c r="A1383">
        <f>Skills!A16</f>
        <v/>
      </c>
      <c r="B1383">
        <f>Skills!B16</f>
        <v/>
      </c>
      <c r="C1383">
        <f>Inputs!$B$3&gt;=115</f>
        <v/>
      </c>
      <c r="D1383">
        <f>IF(Skills!C16=1,60+Inputs!$B$25+Inputs!$B$29,IF(Skills!C16=2,90+Inputs!$B$26+Inputs!$B$29,IF(Skills!C16=3,120+Inputs!$B$27+Inputs!$B$29,MAX(0,(Inputs!$B$3-100)*3)+Inputs!$B$28+Inputs!$B$29)))</f>
        <v/>
      </c>
      <c r="E1383">
        <f>INDEX(FactorTable!$B$2:$Y$301, MATCH(ROUND(MIN(300,MAX(1,D1383)),0), FactorTable!$A$2:$A$301,0), Skills!M16+1)</f>
        <v/>
      </c>
      <c r="F1383">
        <f>IF(Skills!N16=TRUE,(Skills!L16/10)*(E1383/1000),Skills!L16/10)+Skills!O16</f>
        <v/>
      </c>
      <c r="G1383">
        <f>Skills!G16*IF(Skills!H16&gt;0,Skills!I16/Skills!H16,1)</f>
        <v/>
      </c>
      <c r="H1383">
        <f>1-(1-Skills!J16/100)^Skills!K16</f>
        <v/>
      </c>
      <c r="I1383" t="inlineStr">
        <is>
          <t>1</t>
        </is>
      </c>
      <c r="J1383" t="inlineStr"/>
      <c r="K1383" t="inlineStr"/>
      <c r="L1383" t="inlineStr"/>
      <c r="M1383" t="inlineStr"/>
      <c r="N1383" t="inlineStr"/>
      <c r="O1383" t="n">
        <v>0</v>
      </c>
      <c r="P1383">
        <f>IF(B1408=0,0,O1383/B1408)</f>
        <v/>
      </c>
      <c r="Q1383">
        <f>IFERROR(1/IF(Inputs!$B$38="pvp",15,MAX(0.1,Skills!D16-IF(Skills!E16=TRUE,2.5,0))),0)</f>
        <v/>
      </c>
      <c r="R1383">
        <f>IF(AND(Inputs!$B$38&lt;&gt;"pvp",Inputs!$B$43&gt;0),IF(Inputs!$B$43&lt;=0,0,(INT(Inputs!$B$43/IF(Inputs!$B$38="pvp",15,MAX(0.1,Skills!D16-IF(Skills!E16=TRUE,2.5,0))))+1)),0)</f>
        <v/>
      </c>
      <c r="S1383">
        <f>IFERROR(O1383/N1383,0)</f>
        <v/>
      </c>
    </row>
    <row r="1384">
      <c r="A1384">
        <f>Skills!A17</f>
        <v/>
      </c>
      <c r="B1384">
        <f>Skills!B17</f>
        <v/>
      </c>
      <c r="C1384">
        <f>Inputs!$B$3&gt;=66</f>
        <v/>
      </c>
      <c r="D1384">
        <f>IF(Skills!C17=1,60+Inputs!$B$25+Inputs!$B$29,IF(Skills!C17=2,90+Inputs!$B$26+Inputs!$B$29,IF(Skills!C17=3,120+Inputs!$B$27+Inputs!$B$29,MAX(0,(Inputs!$B$3-100)*3)+Inputs!$B$28+Inputs!$B$29)))</f>
        <v/>
      </c>
      <c r="E1384">
        <f>INDEX(FactorTable!$B$2:$Y$301, MATCH(ROUND(MIN(300,MAX(1,D1384)),0), FactorTable!$A$2:$A$301,0), Skills!M17+1)</f>
        <v/>
      </c>
      <c r="F1384">
        <f>IF(Skills!N17=TRUE,(Skills!L17/10)*(E1384/1000),Skills!L17/10)+Skills!O17</f>
        <v/>
      </c>
      <c r="G1384">
        <f>Skills!G17*IF(Skills!H17&gt;0,Skills!I17/Skills!H17,1)</f>
        <v/>
      </c>
      <c r="H1384">
        <f>1-(1-Skills!J17/100)^Skills!K17</f>
        <v/>
      </c>
      <c r="I1384" t="inlineStr">
        <is>
          <t>1</t>
        </is>
      </c>
      <c r="J1384" t="inlineStr"/>
      <c r="K1384" t="inlineStr"/>
      <c r="L1384" t="inlineStr"/>
      <c r="M1384" t="inlineStr"/>
      <c r="N1384" t="inlineStr"/>
      <c r="O1384" t="n">
        <v>0</v>
      </c>
      <c r="P1384">
        <f>IF(B1408=0,0,O1384/B1408)</f>
        <v/>
      </c>
      <c r="Q1384" t="n">
        <v>0</v>
      </c>
      <c r="R1384" t="n">
        <v>0</v>
      </c>
      <c r="S1384">
        <f>IFERROR(O1384/N1384,0)</f>
        <v/>
      </c>
    </row>
    <row r="1385">
      <c r="A1385">
        <f>Skills!A18</f>
        <v/>
      </c>
      <c r="B1385">
        <f>Skills!B18</f>
        <v/>
      </c>
      <c r="C1385">
        <f>Inputs!$B$3&gt;=72</f>
        <v/>
      </c>
      <c r="D1385">
        <f>IF(Skills!C18=1,60+Inputs!$B$25+Inputs!$B$29,IF(Skills!C18=2,90+Inputs!$B$26+Inputs!$B$29,IF(Skills!C18=3,120+Inputs!$B$27+Inputs!$B$29,MAX(0,(Inputs!$B$3-100)*3)+Inputs!$B$28+Inputs!$B$29)))</f>
        <v/>
      </c>
      <c r="E1385">
        <f>INDEX(FactorTable!$B$2:$Y$301, MATCH(ROUND(MIN(300,MAX(1,D1385)),0), FactorTable!$A$2:$A$301,0), Skills!M18+1)</f>
        <v/>
      </c>
      <c r="F1385">
        <f>IF(Skills!N18=TRUE,(Skills!L18/10)*(E1385/1000),Skills!L18/10)+Skills!O18</f>
        <v/>
      </c>
      <c r="G1385">
        <f>Skills!G18*IF(Skills!H18&gt;0,Skills!I18/Skills!H18,1)</f>
        <v/>
      </c>
      <c r="H1385">
        <f>1-(1-Skills!J18/100)^Skills!K18</f>
        <v/>
      </c>
      <c r="I1385" t="inlineStr">
        <is>
          <t>1</t>
        </is>
      </c>
      <c r="J1385" t="inlineStr"/>
      <c r="K1385" t="inlineStr"/>
      <c r="L1385" t="inlineStr"/>
      <c r="M1385" t="inlineStr"/>
      <c r="N1385" t="inlineStr"/>
      <c r="O1385" t="n">
        <v>0</v>
      </c>
      <c r="P1385">
        <f>IF(B1408=0,0,O1385/B1408)</f>
        <v/>
      </c>
      <c r="Q1385" t="n">
        <v>0</v>
      </c>
      <c r="R1385" t="n">
        <v>0</v>
      </c>
      <c r="S1385">
        <f>IFERROR(O1385/N1385,0)</f>
        <v/>
      </c>
    </row>
    <row r="1386">
      <c r="A1386">
        <f>Skills!A19</f>
        <v/>
      </c>
      <c r="B1386">
        <f>Skills!B19</f>
        <v/>
      </c>
      <c r="C1386">
        <f>TRUE</f>
        <v/>
      </c>
      <c r="D1386">
        <f>IF(Skills!C19=1,60+Inputs!$B$25+Inputs!$B$29,IF(Skills!C19=2,90+Inputs!$B$26+Inputs!$B$29,IF(Skills!C19=3,120+Inputs!$B$27+Inputs!$B$29,MAX(0,(Inputs!$B$3-100)*3)+Inputs!$B$28+Inputs!$B$29)))</f>
        <v/>
      </c>
      <c r="E1386">
        <f>INDEX(FactorTable!$B$2:$Y$301, MATCH(ROUND(MIN(300,MAX(1,D1386)),0), FactorTable!$A$2:$A$301,0), Skills!M19+1)</f>
        <v/>
      </c>
      <c r="F1386">
        <f>IF(Skills!N19=TRUE,(Skills!L19/10)*(E1386/1000),Skills!L19/10)+Skills!O19</f>
        <v/>
      </c>
      <c r="G1386">
        <f>Skills!G19*IF(Skills!H19&gt;0,Skills!I19/Skills!H19,1)</f>
        <v/>
      </c>
      <c r="H1386">
        <f>1-(1-Skills!J19/100)^Skills!K19</f>
        <v/>
      </c>
      <c r="I1386" t="inlineStr">
        <is>
          <t>1</t>
        </is>
      </c>
      <c r="J1386" t="inlineStr"/>
      <c r="K1386" t="inlineStr"/>
      <c r="L1386" t="inlineStr"/>
      <c r="M1386" t="inlineStr"/>
      <c r="N1386" t="inlineStr"/>
      <c r="O1386" t="n">
        <v>0</v>
      </c>
      <c r="P1386">
        <f>IF(B1408=0,0,O1386/B1408)</f>
        <v/>
      </c>
      <c r="Q1386">
        <f>IFERROR(1/IF(Inputs!$B$38="pvp",15,MAX(0.1,Skills!D19-IF(Skills!E19=TRUE,2.5,0))),0)</f>
        <v/>
      </c>
      <c r="R1386">
        <f>IF(AND(Inputs!$B$38&lt;&gt;"pvp",Inputs!$B$43&gt;0),IF(Inputs!$B$43&lt;=0,0,(INT(Inputs!$B$43/IF(Inputs!$B$38="pvp",15,MAX(0.1,Skills!D19-IF(Skills!E19=TRUE,2.5,0))))+1)),0)</f>
        <v/>
      </c>
      <c r="S1386">
        <f>IFERROR(O1386/N1386,0)</f>
        <v/>
      </c>
    </row>
    <row r="1387">
      <c r="A1387">
        <f>Skills!A20</f>
        <v/>
      </c>
      <c r="B1387">
        <f>Skills!B20</f>
        <v/>
      </c>
      <c r="C1387">
        <f>Inputs!$B$3&gt;=15</f>
        <v/>
      </c>
      <c r="D1387">
        <f>IF(Skills!C20=1,60+Inputs!$B$25+Inputs!$B$29,IF(Skills!C20=2,90+Inputs!$B$26+Inputs!$B$29,IF(Skills!C20=3,120+Inputs!$B$27+Inputs!$B$29,MAX(0,(Inputs!$B$3-100)*3)+Inputs!$B$28+Inputs!$B$29)))</f>
        <v/>
      </c>
      <c r="E1387">
        <f>INDEX(FactorTable!$B$2:$Y$301, MATCH(ROUND(MIN(300,MAX(1,D1387)),0), FactorTable!$A$2:$A$301,0), Skills!M20+1)</f>
        <v/>
      </c>
      <c r="F1387">
        <f>IF(Skills!N20=TRUE,(Skills!L20/10)*(E1387/1000),Skills!L20/10)+Skills!O20</f>
        <v/>
      </c>
      <c r="G1387">
        <f>Skills!G20*IF(Skills!H20&gt;0,Skills!I20/Skills!H20,1)</f>
        <v/>
      </c>
      <c r="H1387">
        <f>1-(1-Skills!J20/100)^Skills!K20</f>
        <v/>
      </c>
      <c r="I1387" t="inlineStr">
        <is>
          <t>1</t>
        </is>
      </c>
      <c r="J1387" t="inlineStr"/>
      <c r="K1387" t="inlineStr"/>
      <c r="L1387" t="inlineStr"/>
      <c r="M1387" t="inlineStr"/>
      <c r="N1387" t="inlineStr"/>
      <c r="O1387" t="n">
        <v>0</v>
      </c>
      <c r="P1387">
        <f>IF(B1408=0,0,O1387/B1408)</f>
        <v/>
      </c>
      <c r="Q1387" t="n">
        <v>0</v>
      </c>
      <c r="R1387" t="n">
        <v>0</v>
      </c>
      <c r="S1387">
        <f>IFERROR(O1387/N1387,0)</f>
        <v/>
      </c>
    </row>
    <row r="1388">
      <c r="A1388">
        <f>Skills!A21</f>
        <v/>
      </c>
      <c r="B1388">
        <f>Skills!B21</f>
        <v/>
      </c>
      <c r="C1388">
        <f>Inputs!$B$3&gt;=10</f>
        <v/>
      </c>
      <c r="D1388">
        <f>IF(Skills!C21=1,60+Inputs!$B$25+Inputs!$B$29,IF(Skills!C21=2,90+Inputs!$B$26+Inputs!$B$29,IF(Skills!C21=3,120+Inputs!$B$27+Inputs!$B$29,MAX(0,(Inputs!$B$3-100)*3)+Inputs!$B$28+Inputs!$B$29)))</f>
        <v/>
      </c>
      <c r="E1388">
        <f>INDEX(FactorTable!$B$2:$Y$301, MATCH(ROUND(MIN(300,MAX(1,D1388)),0), FactorTable!$A$2:$A$301,0), Skills!M21+1)</f>
        <v/>
      </c>
      <c r="F1388">
        <f>IF(Skills!N21=TRUE,(Skills!L21/10)*(E1388/1000),Skills!L21/10)+Skills!O21</f>
        <v/>
      </c>
      <c r="G1388">
        <f>Skills!G21*IF(Skills!H21&gt;0,Skills!I21/Skills!H21,1)</f>
        <v/>
      </c>
      <c r="H1388">
        <f>1-(1-Skills!J21/100)^Skills!K21</f>
        <v/>
      </c>
      <c r="I1388" t="inlineStr">
        <is>
          <t>1</t>
        </is>
      </c>
      <c r="J1388" t="inlineStr"/>
      <c r="K1388" t="inlineStr"/>
      <c r="L1388" t="inlineStr"/>
      <c r="M1388" t="inlineStr"/>
      <c r="N1388" t="inlineStr"/>
      <c r="O1388" t="n">
        <v>0</v>
      </c>
      <c r="P1388">
        <f>IF(B1408=0,0,O1388/B1408)</f>
        <v/>
      </c>
      <c r="Q1388" t="n">
        <v>0</v>
      </c>
      <c r="R1388" t="n">
        <v>0</v>
      </c>
      <c r="S1388">
        <f>IFERROR(O1388/N1388,0)</f>
        <v/>
      </c>
    </row>
    <row r="1389">
      <c r="A1389">
        <f>Skills!A22</f>
        <v/>
      </c>
      <c r="B1389">
        <f>Skills!B22</f>
        <v/>
      </c>
      <c r="C1389">
        <f>Inputs!$B$3&gt;=33</f>
        <v/>
      </c>
      <c r="D1389">
        <f>IF(Skills!C22=1,60+Inputs!$B$25+Inputs!$B$29,IF(Skills!C22=2,90+Inputs!$B$26+Inputs!$B$29,IF(Skills!C22=3,120+Inputs!$B$27+Inputs!$B$29,MAX(0,(Inputs!$B$3-100)*3)+Inputs!$B$28+Inputs!$B$29)))</f>
        <v/>
      </c>
      <c r="E1389">
        <f>INDEX(FactorTable!$B$2:$Y$301, MATCH(ROUND(MIN(300,MAX(1,D1389)),0), FactorTable!$A$2:$A$301,0), Skills!M22+1)</f>
        <v/>
      </c>
      <c r="F1389">
        <f>IF(Skills!N22=TRUE,(Skills!L22/10)*(E1389/1000),Skills!L22/10)+Skills!O22</f>
        <v/>
      </c>
      <c r="G1389">
        <f>Skills!G22*IF(Skills!H22&gt;0,Skills!I22/Skills!H22,1)</f>
        <v/>
      </c>
      <c r="H1389">
        <f>1-(1-Skills!J22/100)^Skills!K22</f>
        <v/>
      </c>
      <c r="I1389" t="inlineStr">
        <is>
          <t>1</t>
        </is>
      </c>
      <c r="J1389" t="inlineStr"/>
      <c r="K1389" t="inlineStr"/>
      <c r="L1389" t="inlineStr"/>
      <c r="M1389" t="inlineStr"/>
      <c r="N1389" t="inlineStr"/>
      <c r="O1389" t="n">
        <v>0</v>
      </c>
      <c r="P1389">
        <f>IF(B1408=0,0,O1389/B1408)</f>
        <v/>
      </c>
      <c r="Q1389" t="n">
        <v>0</v>
      </c>
      <c r="R1389" t="n">
        <v>0</v>
      </c>
      <c r="S1389">
        <f>IFERROR(O1389/N1389,0)</f>
        <v/>
      </c>
    </row>
    <row r="1390">
      <c r="A1390">
        <f>Skills!A23</f>
        <v/>
      </c>
      <c r="B1390">
        <f>Skills!B23</f>
        <v/>
      </c>
      <c r="C1390">
        <f>Inputs!$B$3&gt;=38</f>
        <v/>
      </c>
      <c r="D1390">
        <f>IF(Skills!C23=1,60+Inputs!$B$25+Inputs!$B$29,IF(Skills!C23=2,90+Inputs!$B$26+Inputs!$B$29,IF(Skills!C23=3,120+Inputs!$B$27+Inputs!$B$29,MAX(0,(Inputs!$B$3-100)*3)+Inputs!$B$28+Inputs!$B$29)))</f>
        <v/>
      </c>
      <c r="E1390">
        <f>INDEX(FactorTable!$B$2:$Y$301, MATCH(ROUND(MIN(300,MAX(1,D1390)),0), FactorTable!$A$2:$A$301,0), Skills!M23+1)</f>
        <v/>
      </c>
      <c r="F1390">
        <f>IF(Skills!N23=TRUE,(Skills!L23/10)*(E1390/1000),Skills!L23/10)+Skills!O23</f>
        <v/>
      </c>
      <c r="G1390">
        <f>Skills!G23*IF(Skills!H23&gt;0,Skills!I23/Skills!H23,1)</f>
        <v/>
      </c>
      <c r="H1390">
        <f>1-(1-Skills!J23/100)^Skills!K23</f>
        <v/>
      </c>
      <c r="I1390" t="inlineStr">
        <is>
          <t>1</t>
        </is>
      </c>
      <c r="J1390" t="inlineStr"/>
      <c r="K1390" t="inlineStr"/>
      <c r="L1390" t="inlineStr"/>
      <c r="M1390" t="inlineStr"/>
      <c r="N1390" t="inlineStr"/>
      <c r="O1390" t="n">
        <v>0</v>
      </c>
      <c r="P1390">
        <f>IF(B1408=0,0,O1390/B1408)</f>
        <v/>
      </c>
      <c r="Q1390" t="n">
        <v>0</v>
      </c>
      <c r="R1390" t="n">
        <v>0</v>
      </c>
      <c r="S1390">
        <f>IFERROR(O1390/N1390,0)</f>
        <v/>
      </c>
    </row>
    <row r="1391">
      <c r="A1391">
        <f>Skills!A24</f>
        <v/>
      </c>
      <c r="B1391">
        <f>Skills!B24</f>
        <v/>
      </c>
      <c r="C1391">
        <f>Inputs!$B$3&gt;=43</f>
        <v/>
      </c>
      <c r="D1391">
        <f>IF(Skills!C24=1,60+Inputs!$B$25+Inputs!$B$29,IF(Skills!C24=2,90+Inputs!$B$26+Inputs!$B$29,IF(Skills!C24=3,120+Inputs!$B$27+Inputs!$B$29,MAX(0,(Inputs!$B$3-100)*3)+Inputs!$B$28+Inputs!$B$29)))</f>
        <v/>
      </c>
      <c r="E1391">
        <f>INDEX(FactorTable!$B$2:$Y$301, MATCH(ROUND(MIN(300,MAX(1,D1391)),0), FactorTable!$A$2:$A$301,0), Skills!M24+1)</f>
        <v/>
      </c>
      <c r="F1391">
        <f>IF(Skills!N24=TRUE,(Skills!L24/10)*(E1391/1000),Skills!L24/10)+Skills!O24</f>
        <v/>
      </c>
      <c r="G1391">
        <f>Skills!G24*IF(Skills!H24&gt;0,Skills!I24/Skills!H24,1)</f>
        <v/>
      </c>
      <c r="H1391">
        <f>1-(1-Skills!J24/100)^Skills!K24</f>
        <v/>
      </c>
      <c r="I1391" t="inlineStr">
        <is>
          <t>1</t>
        </is>
      </c>
      <c r="J1391" t="inlineStr"/>
      <c r="K1391" t="inlineStr"/>
      <c r="L1391" t="inlineStr"/>
      <c r="M1391" t="inlineStr"/>
      <c r="N1391" t="inlineStr"/>
      <c r="O1391" t="n">
        <v>0</v>
      </c>
      <c r="P1391">
        <f>IF(B1408=0,0,O1391/B1408)</f>
        <v/>
      </c>
      <c r="Q1391" t="n">
        <v>0</v>
      </c>
      <c r="R1391" t="n">
        <v>0</v>
      </c>
      <c r="S1391">
        <f>IFERROR(O1391/N1391,0)</f>
        <v/>
      </c>
    </row>
    <row r="1392">
      <c r="A1392">
        <f>Skills!A25</f>
        <v/>
      </c>
      <c r="B1392">
        <f>Skills!B25</f>
        <v/>
      </c>
      <c r="C1392">
        <f>Inputs!$B$3&gt;=75</f>
        <v/>
      </c>
      <c r="D1392">
        <f>IF(Skills!C25=1,60+Inputs!$B$25+Inputs!$B$29,IF(Skills!C25=2,90+Inputs!$B$26+Inputs!$B$29,IF(Skills!C25=3,120+Inputs!$B$27+Inputs!$B$29,MAX(0,(Inputs!$B$3-100)*3)+Inputs!$B$28+Inputs!$B$29)))</f>
        <v/>
      </c>
      <c r="E1392">
        <f>INDEX(FactorTable!$B$2:$Y$301, MATCH(ROUND(MIN(300,MAX(1,D1392)),0), FactorTable!$A$2:$A$301,0), Skills!M25+1)</f>
        <v/>
      </c>
      <c r="F1392">
        <f>IF(Skills!N25=TRUE,(Skills!L25/10)*(E1392/1000),Skills!L25/10)+Skills!O25</f>
        <v/>
      </c>
      <c r="G1392">
        <f>Skills!G25*IF(Skills!H25&gt;0,Skills!I25/Skills!H25,1)</f>
        <v/>
      </c>
      <c r="H1392">
        <f>1-(1-Skills!J25/100)^Skills!K25</f>
        <v/>
      </c>
      <c r="I1392" t="inlineStr">
        <is>
          <t>1</t>
        </is>
      </c>
      <c r="J1392" t="inlineStr"/>
      <c r="K1392" t="inlineStr"/>
      <c r="L1392" t="inlineStr"/>
      <c r="M1392" t="inlineStr"/>
      <c r="N1392" t="inlineStr"/>
      <c r="O1392" t="n">
        <v>0</v>
      </c>
      <c r="P1392">
        <f>IF(B1408=0,0,O1392/B1408)</f>
        <v/>
      </c>
      <c r="Q1392" t="n">
        <v>0</v>
      </c>
      <c r="R1392" t="n">
        <v>0</v>
      </c>
      <c r="S1392">
        <f>IFERROR(O1392/N1392,0)</f>
        <v/>
      </c>
    </row>
    <row r="1393">
      <c r="A1393">
        <f>Skills!A26</f>
        <v/>
      </c>
      <c r="B1393">
        <f>Skills!B26</f>
        <v/>
      </c>
      <c r="C1393">
        <f>Inputs!$B$3&gt;=125</f>
        <v/>
      </c>
      <c r="D1393">
        <f>IF(Skills!C26=1,60+Inputs!$B$25+Inputs!$B$29,IF(Skills!C26=2,90+Inputs!$B$26+Inputs!$B$29,IF(Skills!C26=3,120+Inputs!$B$27+Inputs!$B$29,MAX(0,(Inputs!$B$3-100)*3)+Inputs!$B$28+Inputs!$B$29)))</f>
        <v/>
      </c>
      <c r="E1393">
        <f>INDEX(FactorTable!$B$2:$Y$301, MATCH(ROUND(MIN(300,MAX(1,D1393)),0), FactorTable!$A$2:$A$301,0), Skills!M26+1)</f>
        <v/>
      </c>
      <c r="F1393">
        <f>IF(Skills!N26=TRUE,(Skills!L26/10)*(E1393/1000),Skills!L26/10)+Skills!O26</f>
        <v/>
      </c>
      <c r="G1393">
        <f>Skills!G26*IF(Skills!H26&gt;0,Skills!I26/Skills!H26,1)</f>
        <v/>
      </c>
      <c r="H1393">
        <f>1-(1-Skills!J26/100)^Skills!K26</f>
        <v/>
      </c>
      <c r="I1393" t="inlineStr">
        <is>
          <t>1</t>
        </is>
      </c>
      <c r="J1393" t="inlineStr"/>
      <c r="K1393" t="inlineStr"/>
      <c r="L1393" t="inlineStr"/>
      <c r="M1393" t="inlineStr"/>
      <c r="N1393" t="inlineStr"/>
      <c r="O1393" t="n">
        <v>0</v>
      </c>
      <c r="P1393">
        <f>IF(B1408=0,0,O1393/B1408)</f>
        <v/>
      </c>
      <c r="Q1393" t="n">
        <v>0</v>
      </c>
      <c r="R1393" t="n">
        <v>0</v>
      </c>
      <c r="S1393">
        <f>IFERROR(O1393/N1393,0)</f>
        <v/>
      </c>
    </row>
    <row r="1394">
      <c r="A1394">
        <f>Skills!A27</f>
        <v/>
      </c>
      <c r="B1394">
        <f>Skills!B27</f>
        <v/>
      </c>
      <c r="C1394">
        <f>Inputs!$B$3&gt;=125</f>
        <v/>
      </c>
      <c r="D1394">
        <f>IF(Skills!C27=1,60+Inputs!$B$25+Inputs!$B$29,IF(Skills!C27=2,90+Inputs!$B$26+Inputs!$B$29,IF(Skills!C27=3,120+Inputs!$B$27+Inputs!$B$29,MAX(0,(Inputs!$B$3-100)*3)+Inputs!$B$28+Inputs!$B$29)))</f>
        <v/>
      </c>
      <c r="E1394">
        <f>INDEX(FactorTable!$B$2:$Y$301, MATCH(ROUND(MIN(300,MAX(1,D1394)),0), FactorTable!$A$2:$A$301,0), Skills!M27+1)</f>
        <v/>
      </c>
      <c r="F1394">
        <f>IF(Skills!N27=TRUE,(Skills!L27/10)*(E1394/1000),Skills!L27/10)+Skills!O27</f>
        <v/>
      </c>
      <c r="G1394">
        <f>Skills!G27*IF(Skills!H27&gt;0,Skills!I27/Skills!H27,1)</f>
        <v/>
      </c>
      <c r="H1394">
        <f>1-(1-Skills!J27/100)^Skills!K27</f>
        <v/>
      </c>
      <c r="I1394" t="inlineStr">
        <is>
          <t>1</t>
        </is>
      </c>
      <c r="J1394" t="inlineStr"/>
      <c r="K1394" t="inlineStr"/>
      <c r="L1394" t="inlineStr"/>
      <c r="M1394" t="inlineStr"/>
      <c r="N1394" t="inlineStr"/>
      <c r="O1394" t="n">
        <v>0</v>
      </c>
      <c r="P1394">
        <f>IF(B1408=0,0,O1394/B1408)</f>
        <v/>
      </c>
      <c r="Q1394" t="n">
        <v>0</v>
      </c>
      <c r="R1394" t="n">
        <v>0</v>
      </c>
      <c r="S1394">
        <f>IFERROR(O1394/N1394,0)</f>
        <v/>
      </c>
    </row>
    <row r="1395">
      <c r="A1395">
        <f>Skills!A28</f>
        <v/>
      </c>
      <c r="B1395">
        <f>Skills!B28</f>
        <v/>
      </c>
      <c r="C1395">
        <f>Inputs!$B$3&gt;=120</f>
        <v/>
      </c>
      <c r="D1395">
        <f>IF(Skills!C28=1,60+Inputs!$B$25+Inputs!$B$29,IF(Skills!C28=2,90+Inputs!$B$26+Inputs!$B$29,IF(Skills!C28=3,120+Inputs!$B$27+Inputs!$B$29,MAX(0,(Inputs!$B$3-100)*3)+Inputs!$B$28+Inputs!$B$29)))</f>
        <v/>
      </c>
      <c r="E1395">
        <f>INDEX(FactorTable!$B$2:$Y$301, MATCH(ROUND(MIN(300,MAX(1,D1395)),0), FactorTable!$A$2:$A$301,0), Skills!M28+1)</f>
        <v/>
      </c>
      <c r="F1395">
        <f>IF(Skills!N28=TRUE,(Skills!L28/10)*(E1395/1000),Skills!L28/10)+Skills!O28</f>
        <v/>
      </c>
      <c r="G1395">
        <f>Skills!G28*IF(Skills!H28&gt;0,Skills!I28/Skills!H28,1)</f>
        <v/>
      </c>
      <c r="H1395">
        <f>1-(1-Skills!J28/100)^Skills!K28</f>
        <v/>
      </c>
      <c r="I1395" t="inlineStr">
        <is>
          <t>1</t>
        </is>
      </c>
      <c r="J1395" t="inlineStr"/>
      <c r="K1395" t="inlineStr"/>
      <c r="L1395" t="inlineStr"/>
      <c r="M1395" t="inlineStr"/>
      <c r="N1395" t="inlineStr"/>
      <c r="O1395" t="n">
        <v>0</v>
      </c>
      <c r="P1395">
        <f>IF(B1408=0,0,O1395/B1408)</f>
        <v/>
      </c>
      <c r="Q1395" t="n">
        <v>0</v>
      </c>
      <c r="R1395" t="n">
        <v>0</v>
      </c>
      <c r="S1395">
        <f>IFERROR(O1395/N1395,0)</f>
        <v/>
      </c>
    </row>
    <row r="1396">
      <c r="A1396">
        <f>Skills!A29</f>
        <v/>
      </c>
      <c r="B1396">
        <f>Skills!B29</f>
        <v/>
      </c>
      <c r="C1396">
        <f>Inputs!$B$3&gt;=120</f>
        <v/>
      </c>
      <c r="D1396">
        <f>IF(Skills!C29=1,60+Inputs!$B$25+Inputs!$B$29,IF(Skills!C29=2,90+Inputs!$B$26+Inputs!$B$29,IF(Skills!C29=3,120+Inputs!$B$27+Inputs!$B$29,MAX(0,(Inputs!$B$3-100)*3)+Inputs!$B$28+Inputs!$B$29)))</f>
        <v/>
      </c>
      <c r="E1396">
        <f>INDEX(FactorTable!$B$2:$Y$301, MATCH(ROUND(MIN(300,MAX(1,D1396)),0), FactorTable!$A$2:$A$301,0), Skills!M29+1)</f>
        <v/>
      </c>
      <c r="F1396">
        <f>IF(Skills!N29=TRUE,(Skills!L29/10)*(E1396/1000),Skills!L29/10)+Skills!O29</f>
        <v/>
      </c>
      <c r="G1396">
        <f>Skills!G29*IF(Skills!H29&gt;0,Skills!I29/Skills!H29,1)</f>
        <v/>
      </c>
      <c r="H1396">
        <f>1-(1-Skills!J29/100)^Skills!K29</f>
        <v/>
      </c>
      <c r="I1396" t="inlineStr">
        <is>
          <t>1</t>
        </is>
      </c>
      <c r="J1396" t="inlineStr"/>
      <c r="K1396" t="inlineStr"/>
      <c r="L1396" t="inlineStr"/>
      <c r="M1396" t="inlineStr"/>
      <c r="N1396" t="inlineStr"/>
      <c r="O1396" t="n">
        <v>0</v>
      </c>
      <c r="P1396">
        <f>IF(B1408=0,0,O1396/B1408)</f>
        <v/>
      </c>
      <c r="Q1396" t="n">
        <v>0</v>
      </c>
      <c r="R1396" t="n">
        <v>0</v>
      </c>
      <c r="S1396">
        <f>IFERROR(O1396/N1396,0)</f>
        <v/>
      </c>
    </row>
    <row r="1397">
      <c r="A1397">
        <f>Skills!A30</f>
        <v/>
      </c>
      <c r="B1397">
        <f>Skills!B30</f>
        <v/>
      </c>
      <c r="C1397">
        <f>Inputs!$B$3&gt;=45</f>
        <v/>
      </c>
      <c r="D1397">
        <f>IF(Skills!C30=1,60+Inputs!$B$25+Inputs!$B$29,IF(Skills!C30=2,90+Inputs!$B$26+Inputs!$B$29,IF(Skills!C30=3,120+Inputs!$B$27+Inputs!$B$29,MAX(0,(Inputs!$B$3-100)*3)+Inputs!$B$28+Inputs!$B$29)))</f>
        <v/>
      </c>
      <c r="E1397">
        <f>INDEX(FactorTable!$B$2:$Y$301, MATCH(ROUND(MIN(300,MAX(1,D1397)),0), FactorTable!$A$2:$A$301,0), Skills!M30+1)</f>
        <v/>
      </c>
      <c r="F1397">
        <f>IF(Skills!N30=TRUE,(Skills!L30/10)*(E1397/1000),Skills!L30/10)+Skills!O30</f>
        <v/>
      </c>
      <c r="G1397">
        <f>Skills!G30*IF(Skills!H30&gt;0,Skills!I30/Skills!H30,1)</f>
        <v/>
      </c>
      <c r="H1397">
        <f>1-(1-Skills!J30/100)^Skills!K30</f>
        <v/>
      </c>
      <c r="I1397" t="inlineStr">
        <is>
          <t>1</t>
        </is>
      </c>
      <c r="J1397" t="inlineStr"/>
      <c r="K1397" t="inlineStr"/>
      <c r="L1397" t="inlineStr"/>
      <c r="M1397" t="inlineStr"/>
      <c r="N1397" t="inlineStr"/>
      <c r="O1397" t="n">
        <v>0</v>
      </c>
      <c r="P1397">
        <f>IF(B1408=0,0,O1397/B1408)</f>
        <v/>
      </c>
      <c r="Q1397" t="n">
        <v>0</v>
      </c>
      <c r="R1397" t="n">
        <v>0</v>
      </c>
      <c r="S1397">
        <f>IFERROR(O1397/N1397,0)</f>
        <v/>
      </c>
    </row>
    <row r="1399">
      <c r="A1399" t="inlineStr">
        <is>
          <t>Attack% Bucket Multiplier</t>
        </is>
      </c>
      <c r="B1399">
        <f>(1+(((C1380=TRUE)*F1380)+((C1381=TRUE)*IF(Inputs!$B$38="pvp",F1381,(1-Summary!$B$55)*(F1381)+Summary!$B$55*(0)))+((C1382=TRUE)*F1382*IF(AND(Inputs!$B$38&lt;&gt;"pvp",Inputs!$B$43&gt;0),(((R1382-1)*(Skills!T15*(1+Inputs!$B$34/100))+MIN((Skills!T15*(1+Inputs!$B$34/100)),MAX(0,Inputs!$B$43-((R1382-1)*Skills!D15))))/Inputs!$B$43),IF(Inputs!$B$38="pvp",MIN((Skills!T15*(1+Inputs!$B$34/100)),15)/15,(Skills!T15*(1+Inputs!$B$34/100))/Skills!D15)))+((C1397=TRUE)*(F1397-Calc!F30)))/100)</f>
        <v/>
      </c>
    </row>
    <row r="1400">
      <c r="A1400" t="inlineStr">
        <is>
          <t>Global Crit Rate Bonus %</t>
        </is>
      </c>
      <c r="B1400">
        <f>(C1383=TRUE)*20*IF(AND(Inputs!$B$38&lt;&gt;"pvp",Inputs!$B$43&gt;0),(((R1383-1)*(Skills!T16*(1+Inputs!$B$34/100))+MIN((Skills!T16*(1+Inputs!$B$34/100)),MAX(0,Inputs!$B$43-((R1383-1)*Skills!D16))))/Inputs!$B$43),IF(Inputs!$B$38="pvp",MIN((Skills!T16*(1+Inputs!$B$34/100)),15)/15,(Skills!T16*(1+Inputs!$B$34/100))/Skills!D16))</f>
        <v/>
      </c>
    </row>
    <row r="1401">
      <c r="A1401" t="inlineStr">
        <is>
          <t>Attack Speed Buff Bonus %</t>
        </is>
      </c>
      <c r="B1401">
        <f>((C1386=TRUE)*F1386*IF(AND(Inputs!$B$38&lt;&gt;"pvp",Inputs!$B$43&gt;0),(((R1386-1)*(Skills!T19*(1+Inputs!$B$34/100))+MIN((Skills!T19*(1+Inputs!$B$34/100)),MAX(0,Inputs!$B$43-((R1386-1)*Skills!D19))))/Inputs!$B$43),IF(Inputs!$B$38="pvp",MIN((Skills!T19*(1+Inputs!$B$34/100)),15)/15,(Skills!T19*(1+Inputs!$B$34/100))/Skills!D19)))</f>
        <v/>
      </c>
    </row>
    <row r="1402">
      <c r="A1402" t="inlineStr">
        <is>
          <t>Actions Per Second</t>
        </is>
      </c>
      <c r="B1402">
        <f>1+MIN(150,150*(1-(1-(Inputs!$B$11+((C1388=TRUE)*(F1388-Calc!F21))+((C1389=TRUE)*(F1389-Calc!F22)))/150)*(1-B1401/150)))/100</f>
        <v/>
      </c>
    </row>
    <row r="1403">
      <c r="A1403" t="inlineStr">
        <is>
          <t>Skill + Buff Cast Rate</t>
        </is>
      </c>
      <c r="B1403">
        <f>IF(AND(Inputs!$B$38&lt;&gt;"pvp",Inputs!$B$43&gt;0),SUMPRODUCT((Skills!E2:E30=TRUE)*(C1369:C1397=TRUE)*R1369:R1397*Skills!F2:F30)/Inputs!$B$43,SUMPRODUCT((Skills!E2:E30=TRUE)*(C1369:C1397=TRUE)*Q1369:Q1397*Skills!F2:F30))</f>
        <v/>
      </c>
    </row>
    <row r="1404">
      <c r="A1404" t="inlineStr">
        <is>
          <t>Arrow Stream Casts Per Second</t>
        </is>
      </c>
      <c r="B1404">
        <f>MAX(0,B1402-B1403)</f>
        <v/>
      </c>
    </row>
    <row r="1405">
      <c r="A1405" t="inlineStr">
        <is>
          <t>Global Critical Damage Bonus % (Sharp Eyes + Concentration)</t>
        </is>
      </c>
      <c r="B1405">
        <f>(C1383=TRUE)*F1383*IF(AND(Inputs!$B$38&lt;&gt;"pvp",Inputs!$B$43&gt;0),(((R1383-1)*(Skills!T16*(1+Inputs!$B$34/100))+MIN((Skills!T16*(1+Inputs!$B$34/100)),MAX(0,Inputs!$B$43-((R1383-1)*Skills!D16))))/Inputs!$B$43),IF(Inputs!$B$38="pvp",MIN((Skills!T16*(1+Inputs!$B$34/100)),15)/15,(Skills!T16*(1+Inputs!$B$34/100))/Skills!D16))+(C1384=TRUE)*30</f>
        <v/>
      </c>
    </row>
    <row r="1406">
      <c r="A1406" t="inlineStr">
        <is>
          <t>Global Final Damage Bonus % (Mortal Blow)</t>
        </is>
      </c>
      <c r="B1406">
        <f>(C1385=TRUE)*F1385</f>
        <v/>
      </c>
    </row>
    <row r="1407">
      <c r="A1407" t="inlineStr">
        <is>
          <t>Buff-Casting Startup Delay (s, fixed-duration only)</t>
        </is>
      </c>
      <c r="B1407">
        <f>IF(AND(Inputs!$B$38&lt;&gt;"pvp",Inputs!$B$43&gt;0),SUMPRODUCT((Skills!T2:T30&gt;0)*(Skills!E2:E30=TRUE)*(C1369:C1397=TRUE))/B1402,0)</f>
        <v/>
      </c>
    </row>
    <row r="1408">
      <c r="A1408" s="5" t="inlineStr">
        <is>
          <t>TOTAL DPS</t>
        </is>
      </c>
      <c r="B1408" s="5">
        <f>SUM(O1369:O1397)</f>
        <v/>
      </c>
    </row>
    <row r="1411">
      <c r="A1411" s="5" t="inlineStr">
        <is>
          <t>Stat: CDR = 3.0s</t>
        </is>
      </c>
    </row>
    <row r="1412">
      <c r="A1412" s="9" t="inlineStr">
        <is>
          <t>Key</t>
        </is>
      </c>
      <c r="B1412" s="9" t="inlineStr">
        <is>
          <t>Name</t>
        </is>
      </c>
      <c r="C1412" s="9" t="inlineStr">
        <is>
          <t>Unlocked</t>
        </is>
      </c>
      <c r="D1412" s="9" t="inlineStr">
        <is>
          <t>InputLevel</t>
        </is>
      </c>
      <c r="E1412" s="9" t="inlineStr">
        <is>
          <t>Factor</t>
        </is>
      </c>
      <c r="F1412" s="9" t="inlineStr">
        <is>
          <t>CoefficientPercent</t>
        </is>
      </c>
      <c r="G1412" s="9" t="inlineStr">
        <is>
          <t>EffectiveHits</t>
        </is>
      </c>
      <c r="H1412" s="9" t="inlineStr">
        <is>
          <t>ProcProbability</t>
        </is>
      </c>
      <c r="I1412" s="9" t="inlineStr">
        <is>
          <t>MapleHeroMultiplier</t>
        </is>
      </c>
      <c r="J1412" s="9" t="inlineStr">
        <is>
          <t>BaseDamage</t>
        </is>
      </c>
      <c r="K1412" s="9" t="inlineStr">
        <is>
          <t>BaseHitDamage</t>
        </is>
      </c>
      <c r="L1412" s="9" t="inlineStr">
        <is>
          <t>NonCritAvg</t>
        </is>
      </c>
      <c r="M1412" s="9" t="inlineStr">
        <is>
          <t>CritAvg</t>
        </is>
      </c>
      <c r="N1412" s="9" t="inlineStr">
        <is>
          <t>ExpectedDamage(perHit)</t>
        </is>
      </c>
      <c r="O1412" s="9" t="inlineStr">
        <is>
          <t>DPS</t>
        </is>
      </c>
      <c r="P1412" s="9" t="inlineStr">
        <is>
          <t>% of Total</t>
        </is>
      </c>
      <c r="Q1412" s="9" t="inlineStr">
        <is>
          <t>InvCooldown</t>
        </is>
      </c>
      <c r="R1412" s="9" t="inlineStr">
        <is>
          <t>CastsInFight</t>
        </is>
      </c>
      <c r="S1412" s="9" t="inlineStr">
        <is>
          <t>HitRate(perSec)</t>
        </is>
      </c>
      <c r="U1412" t="inlineStr">
        <is>
          <t>helpers</t>
        </is>
      </c>
    </row>
    <row r="1413">
      <c r="A1413">
        <f>Skills!A2</f>
        <v/>
      </c>
      <c r="B1413">
        <f>Skills!B2</f>
        <v/>
      </c>
      <c r="C1413">
        <f>Inputs!$B$3&gt;=100</f>
        <v/>
      </c>
      <c r="D1413" t="inlineStr"/>
      <c r="E1413" t="inlineStr"/>
      <c r="F1413">
        <f>U1415+Skills!O2</f>
        <v/>
      </c>
      <c r="G1413">
        <f>Skills!G2*IF(Skills!H2&gt;0,Skills!I2/Skills!H2,1)</f>
        <v/>
      </c>
      <c r="H1413">
        <f>1-(1-Skills!J2/100)^Skills!K2</f>
        <v/>
      </c>
      <c r="I1413" t="inlineStr">
        <is>
          <t>1</t>
        </is>
      </c>
      <c r="J1413">
        <f>((Inputs!$B$6*(1+Inputs!$B$7/100))+(((Inputs!$B$12*(1+Inputs!$B$13/100))-(Inputs!$B$12*(1+Inputs!$B$13/100)))+0.25*(Inputs!$B$14-Inputs!$B$14))*(1+Inputs!$B$7/100))*(F1413/100)</f>
        <v/>
      </c>
      <c r="K1413">
        <f>J1413*(1+((Inputs!$B$12*(1+Inputs!$B$13/100))*0.01+Inputs!$B$14*0.0025)/100)*(1+Inputs!$B$15/100)*(1+IF(Inputs!$B$38="pvp",0,(1-Summary!$B$55)*(Inputs!$B$20+0+Skills!P2)+Summary!$B$55*(Inputs!$B$21+Skills!Q2))/100)*(1+Inputs!$B$16/100)*(5000/(6000+Inputs!$B$42*(1-(Inputs!$B$19+((C1438=TRUE)*(F1438-Calc!F27)))/100)))*(1+(Inputs!$B$24+((C1436=TRUE)*(F1436-Calc!F25))+((C1437=TRUE)*(F1437-Calc!F26))+B1450)/100)*(1+(IF(Skills!A2="ARROW_STREAM",Inputs!$B$17+((C1434=TRUE)*(F1434-Calc!F23)),Inputs!$B$18+((C1439=TRUE)*(F1439-Calc!F28))))/100)*((1+(((C1424=TRUE)*F1424)+((C1425=TRUE)*IF(Inputs!$B$38="pvp",F1425,(1-Summary!$B$55)*(F1425)+Summary!$B$55*(0)))+((C1426=TRUE)*F1426*IF(AND(Inputs!$B$38&lt;&gt;"pvp",Inputs!$B$43&gt;0),(((R1426-1)*(Skills!T15*(1+Inputs!$B$34/100))+MIN((Skills!T15*(1+Inputs!$B$34/100)),MAX(0,Inputs!$B$43-((R1426-1)*Skills!D15))))/Inputs!$B$43),IF(Inputs!$B$38="pvp",MIN((Skills!T15*(1+Inputs!$B$34/100)),15)/15,(Skills!T15*(1+Inputs!$B$34/100))/Skills!D15)))+((C1441=TRUE)*(F1441-Calc!F30)))/100)*I1413)</f>
        <v/>
      </c>
      <c r="L1413">
        <f>K1413*(MIN(Inputs!$B$22+((C1435=TRUE)*(F1435-Calc!F24)),Inputs!$B$23+((C1440=TRUE)*(F1440-Calc!F29)))/100+(Inputs!$B$23+((C1440=TRUE)*(F1440-Calc!F29)))/100)/2</f>
        <v/>
      </c>
      <c r="M1413">
        <f>L1413*(1+(Inputs!$B$10+0+B1449)/100)</f>
        <v/>
      </c>
      <c r="N1413">
        <f>L1413*(1-MIN((Inputs!$B$9+((C1431=TRUE)*(F1431-Calc!F20))+B1444),100)/100)+M1413*(MIN((Inputs!$B$9+((C1431=TRUE)*(F1431-Calc!F20))+B1444),100)/100)</f>
        <v/>
      </c>
      <c r="O1413">
        <f>IF(C1413,Skills!G2*N1413*B1448*IF(Inputs!$B$38="pvp",1,(1-Summary!$B$55)*(1)+Summary!$B$55*(MIN((6+Inputs!$B$33),Inputs!$B$37))),0)</f>
        <v/>
      </c>
      <c r="P1413">
        <f>IF(B1452=0,0,O1413/B1452)</f>
        <v/>
      </c>
      <c r="Q1413" t="n">
        <v>0</v>
      </c>
      <c r="R1413" t="n">
        <v>0</v>
      </c>
      <c r="S1413">
        <f>IFERROR(O1413/N1413,0)</f>
        <v/>
      </c>
      <c r="U1413">
        <f>MAX(0,(Inputs!$B$3-100)*3)+Inputs!$B$28+Inputs!$B$29</f>
        <v/>
      </c>
    </row>
    <row r="1414">
      <c r="A1414">
        <f>Skills!A3</f>
        <v/>
      </c>
      <c r="B1414">
        <f>Skills!B3</f>
        <v/>
      </c>
      <c r="C1414">
        <f>Inputs!$B$3&gt;=50</f>
        <v/>
      </c>
      <c r="D1414">
        <f>IF(Skills!C3=1,60+Inputs!$B$25+Inputs!$B$29,IF(Skills!C3=2,90+Inputs!$B$26+Inputs!$B$29,IF(Skills!C3=3,120+Inputs!$B$27+Inputs!$B$29,MAX(0,(Inputs!$B$3-100)*3)+Inputs!$B$28+Inputs!$B$29)))</f>
        <v/>
      </c>
      <c r="E1414">
        <f>INDEX(FactorTable!$B$2:$Y$301, MATCH(ROUND(MIN(300,MAX(1,D1414)),0), FactorTable!$A$2:$A$301,0), Skills!M3+1)</f>
        <v/>
      </c>
      <c r="F1414">
        <f>IF(Skills!N3=TRUE,(Skills!L3/10)*(E1414/1000),Skills!L3/10)+Skills!O3</f>
        <v/>
      </c>
      <c r="G1414" t="inlineStr"/>
      <c r="H1414" t="inlineStr"/>
      <c r="I1414" t="inlineStr">
        <is>
          <t>1</t>
        </is>
      </c>
      <c r="J1414" t="inlineStr"/>
      <c r="K1414" t="inlineStr"/>
      <c r="L1414" t="inlineStr"/>
      <c r="M1414" t="inlineStr"/>
      <c r="N1414" t="inlineStr"/>
      <c r="O1414" t="inlineStr"/>
      <c r="P1414" t="inlineStr"/>
      <c r="Q1414" t="inlineStr"/>
      <c r="R1414" t="inlineStr"/>
      <c r="S1414" t="inlineStr"/>
      <c r="U1414">
        <f>INDEX(FactorTable!$B$2:$Y$301, MATCH(ROUND(MIN(300,MAX(1,U1413)),0), FactorTable!$A$2:$A$301,0), 22)</f>
        <v/>
      </c>
    </row>
    <row r="1415">
      <c r="A1415">
        <f>Skills!A4</f>
        <v/>
      </c>
      <c r="B1415">
        <f>Skills!B4</f>
        <v/>
      </c>
      <c r="C1415">
        <f>Inputs!$B$3&gt;=105</f>
        <v/>
      </c>
      <c r="D1415">
        <f>IF(Skills!C4=1,60+Inputs!$B$25+Inputs!$B$29,IF(Skills!C4=2,90+Inputs!$B$26+Inputs!$B$29,IF(Skills!C4=3,120+Inputs!$B$27+Inputs!$B$29,MAX(0,(Inputs!$B$3-100)*3)+Inputs!$B$28+Inputs!$B$29)))</f>
        <v/>
      </c>
      <c r="E1415">
        <f>INDEX(FactorTable!$B$2:$Y$301, MATCH(ROUND(MIN(300,MAX(1,D1415)),0), FactorTable!$A$2:$A$301,0), Skills!M4+1)</f>
        <v/>
      </c>
      <c r="F1415">
        <f>IF(Skills!N4=TRUE,(Skills!L4/10)*(E1415/1000),Skills!L4/10)+Skills!O4</f>
        <v/>
      </c>
      <c r="G1415" t="inlineStr"/>
      <c r="H1415" t="inlineStr"/>
      <c r="I1415" t="inlineStr">
        <is>
          <t>1</t>
        </is>
      </c>
      <c r="J1415" t="inlineStr"/>
      <c r="K1415" t="inlineStr"/>
      <c r="L1415" t="inlineStr"/>
      <c r="M1415" t="inlineStr"/>
      <c r="N1415" t="inlineStr"/>
      <c r="O1415" t="inlineStr"/>
      <c r="P1415" t="inlineStr"/>
      <c r="Q1415" t="inlineStr"/>
      <c r="R1415" t="inlineStr"/>
      <c r="S1415" t="inlineStr"/>
      <c r="U1415">
        <f>290*U1414/1000</f>
        <v/>
      </c>
    </row>
    <row r="1416">
      <c r="A1416">
        <f>Skills!A5</f>
        <v/>
      </c>
      <c r="B1416">
        <f>Skills!B5</f>
        <v/>
      </c>
      <c r="C1416">
        <f>Inputs!$B$3&gt;=35</f>
        <v/>
      </c>
      <c r="D1416">
        <f>IF(Skills!C5=1,60+Inputs!$B$25+Inputs!$B$29,IF(Skills!C5=2,90+Inputs!$B$26+Inputs!$B$29,IF(Skills!C5=3,120+Inputs!$B$27+Inputs!$B$29,MAX(0,(Inputs!$B$3-100)*3)+Inputs!$B$28+Inputs!$B$29)))</f>
        <v/>
      </c>
      <c r="E1416">
        <f>INDEX(FactorTable!$B$2:$Y$301, MATCH(ROUND(MIN(300,MAX(1,D1416)),0), FactorTable!$A$2:$A$301,0), Skills!M5+1)</f>
        <v/>
      </c>
      <c r="F1416">
        <f>IF(Skills!N5=TRUE,(Skills!L5/10)*(E1416/1000),Skills!L5/10)+Skills!O5</f>
        <v/>
      </c>
      <c r="G1416">
        <f>Skills!G5*IF(Skills!H5&gt;0,Skills!I5/Skills!H5,1)</f>
        <v/>
      </c>
      <c r="H1416">
        <f>1-(1-Skills!J5/100)^Skills!K5</f>
        <v/>
      </c>
      <c r="I1416" t="inlineStr">
        <is>
          <t>1</t>
        </is>
      </c>
      <c r="J1416">
        <f>((Inputs!$B$6*(1+Inputs!$B$7/100))+(((Inputs!$B$12*(1+Inputs!$B$13/100))-(Inputs!$B$12*(1+Inputs!$B$13/100)))+0.25*(Inputs!$B$14-Inputs!$B$14))*(1+Inputs!$B$7/100))*(F1416/100)</f>
        <v/>
      </c>
      <c r="K1416">
        <f>J1416*(1+((Inputs!$B$12*(1+Inputs!$B$13/100))*0.01+Inputs!$B$14*0.0025)/100)*(1+Inputs!$B$15/100)*(1+IF(Inputs!$B$38="pvp",0,(1-Summary!$B$55)*(Inputs!$B$20+0+Skills!P5)+Summary!$B$55*(Inputs!$B$21+Skills!Q5))/100)*(1+Inputs!$B$16/100)*(5000/(6000+Inputs!$B$42*(1-(Inputs!$B$19+((C1438=TRUE)*(F1438-Calc!F27)))/100)))*(1+(Inputs!$B$24+((C1436=TRUE)*(F1436-Calc!F25))+((C1437=TRUE)*(F1437-Calc!F26))+B1450)/100)*(1+4.0*IF(C1421=TRUE,F1421,0)/100)*(1+(IF(Skills!A5="ARROW_STREAM",Inputs!$B$17+((C1434=TRUE)*(F1434-Calc!F23)),Inputs!$B$18+((C1439=TRUE)*(F1439-Calc!F28))))/100)*((1+(((C1424=TRUE)*F1424)+((C1425=TRUE)*IF(Inputs!$B$38="pvp",F1425,(1-Summary!$B$55)*(F1425)+Summary!$B$55*(0)))+((C1426=TRUE)*F1426*IF(AND(Inputs!$B$38&lt;&gt;"pvp",Inputs!$B$43&gt;0),(((R1426-1)*(Skills!T15*(1+Inputs!$B$34/100))+MIN((Skills!T15*(1+Inputs!$B$34/100)),MAX(0,Inputs!$B$43-((R1426-1)*Skills!D15))))/Inputs!$B$43),IF(Inputs!$B$38="pvp",MIN((Skills!T15*(1+Inputs!$B$34/100)),15)/15,(Skills!T15*(1+Inputs!$B$34/100))/Skills!D15)))+((C1441=TRUE)*(F1441-Calc!F30)))/100)*I1416)</f>
        <v/>
      </c>
      <c r="L1416">
        <f>K1416*(MIN(Inputs!$B$22+((C1435=TRUE)*(F1435-Calc!F24)),Inputs!$B$23+((C1440=TRUE)*(F1440-Calc!F29)))/100+(Inputs!$B$23+((C1440=TRUE)*(F1440-Calc!F29)))/100)/2</f>
        <v/>
      </c>
      <c r="M1416">
        <f>L1416*(1+(Inputs!$B$10+0+B1449)/100)</f>
        <v/>
      </c>
      <c r="N1416">
        <f>L1416*(1-MIN((Inputs!$B$9+((C1431=TRUE)*(F1431-Calc!F20))+B1444),100)/100)+M1416*(MIN((Inputs!$B$9+((C1431=TRUE)*(F1431-Calc!F20))+B1444),100)/100)</f>
        <v/>
      </c>
      <c r="O1416">
        <f>IF(C1416,H1416*N1416*IF(AND(Inputs!$B$38&lt;&gt;"pvp",Inputs!$B$43&gt;0),((Skills!G5*((R1416-1)*IF(Skills!H5&gt;0,Skills!I5/Skills!H5,1)+IF(Skills!H5&gt;0,MIN(Skills!I5,MAX(0,MAX(0,Inputs!$B$43-B1451)-((R1416-1)*IF(Inputs!$B$38="pvp",15,MAX(0.1,Skills!D5-IF(Skills!E5=TRUE,3.0,0))))))/Skills!H5,1)))/Inputs!$B$43),G1416*Q1416)*IF(Inputs!$B$38="pvp",1,(1-Summary!$B$55)*(1)+Summary!$B$55*(MIN(Skills!R5,Inputs!$B$37))),0)</f>
        <v/>
      </c>
      <c r="P1416">
        <f>IF(B1452=0,0,O1416/B1452)</f>
        <v/>
      </c>
      <c r="Q1416">
        <f>IFERROR(1/IF(Inputs!$B$38="pvp",15,MAX(0.1,Skills!D5-IF(Skills!E5=TRUE,3.0,0))),0)</f>
        <v/>
      </c>
      <c r="R1416">
        <f>IF(AND(Inputs!$B$38&lt;&gt;"pvp",Inputs!$B$43&gt;0),IF(MAX(0,Inputs!$B$43-B1451)&lt;=0,0,(INT(MAX(0,Inputs!$B$43-B1451)/IF(Inputs!$B$38="pvp",15,MAX(0.1,Skills!D5-IF(Skills!E5=TRUE,3.0,0))))+1)),0)</f>
        <v/>
      </c>
      <c r="S1416">
        <f>IFERROR(O1416/N1416,0)</f>
        <v/>
      </c>
    </row>
    <row r="1417">
      <c r="A1417">
        <f>Skills!A6</f>
        <v/>
      </c>
      <c r="B1417">
        <f>Skills!B6</f>
        <v/>
      </c>
      <c r="C1417">
        <f>Inputs!$B$3&gt;=40</f>
        <v/>
      </c>
      <c r="D1417">
        <f>IF(Skills!C6=1,60+Inputs!$B$25+Inputs!$B$29,IF(Skills!C6=2,90+Inputs!$B$26+Inputs!$B$29,IF(Skills!C6=3,120+Inputs!$B$27+Inputs!$B$29,MAX(0,(Inputs!$B$3-100)*3)+Inputs!$B$28+Inputs!$B$29)))</f>
        <v/>
      </c>
      <c r="E1417">
        <f>INDEX(FactorTable!$B$2:$Y$301, MATCH(ROUND(MIN(300,MAX(1,D1417)),0), FactorTable!$A$2:$A$301,0), Skills!M6+1)</f>
        <v/>
      </c>
      <c r="F1417">
        <f>IF(Skills!N6=TRUE,(Skills!L6/10)*(E1417/1000),Skills!L6/10)+Skills!O6</f>
        <v/>
      </c>
      <c r="G1417">
        <f>Skills!G6*IF(Skills!H6&gt;0,Skills!I6/Skills!H6,1)</f>
        <v/>
      </c>
      <c r="H1417">
        <f>1-(1-Skills!J6/100)^Skills!K6</f>
        <v/>
      </c>
      <c r="I1417" t="inlineStr">
        <is>
          <t>1</t>
        </is>
      </c>
      <c r="J1417">
        <f>((Inputs!$B$6*(1+Inputs!$B$7/100))+(((Inputs!$B$12*(1+Inputs!$B$13/100))-(Inputs!$B$12*(1+Inputs!$B$13/100)))+0.25*(Inputs!$B$14-Inputs!$B$14))*(1+Inputs!$B$7/100))*(F1417/100)</f>
        <v/>
      </c>
      <c r="K1417">
        <f>J1417*(1+((Inputs!$B$12*(1+Inputs!$B$13/100))*0.01+Inputs!$B$14*0.0025)/100)*(1+Inputs!$B$15/100)*(1+IF(Inputs!$B$38="pvp",0,(1-Summary!$B$55)*(Inputs!$B$20+0+Skills!P6)+Summary!$B$55*(Inputs!$B$21+Skills!Q6))/100)*(1+Inputs!$B$16/100)*(5000/(6000+Inputs!$B$42*(1-(Inputs!$B$19+((C1438=TRUE)*(F1438-Calc!F27)))/100)))*(1+(Inputs!$B$24+((C1436=TRUE)*(F1436-Calc!F25))+((C1437=TRUE)*(F1437-Calc!F26))+B1450)/100)*(1+IF(C1418=TRUE,F1418,0)/100)*(1+(IF(Skills!A6="ARROW_STREAM",Inputs!$B$17+((C1434=TRUE)*(F1434-Calc!F23)),Inputs!$B$18+((C1439=TRUE)*(F1439-Calc!F28))))/100)*((1+(((C1424=TRUE)*F1424)+((C1425=TRUE)*IF(Inputs!$B$38="pvp",F1425,(1-Summary!$B$55)*(F1425)+Summary!$B$55*(0)))+((C1426=TRUE)*F1426*IF(AND(Inputs!$B$38&lt;&gt;"pvp",Inputs!$B$43&gt;0),(((R1426-1)*(Skills!T15*(1+Inputs!$B$34/100))+MIN((Skills!T15*(1+Inputs!$B$34/100)),MAX(0,Inputs!$B$43-((R1426-1)*Skills!D15))))/Inputs!$B$43),IF(Inputs!$B$38="pvp",MIN((Skills!T15*(1+Inputs!$B$34/100)),15)/15,(Skills!T15*(1+Inputs!$B$34/100))/Skills!D15)))+((C1441=TRUE)*(F1441-Calc!F30)))/100)*I1417)</f>
        <v/>
      </c>
      <c r="L1417">
        <f>K1417*(MIN(Inputs!$B$22+((C1435=TRUE)*(F1435-Calc!F24)),Inputs!$B$23+((C1440=TRUE)*(F1440-Calc!F29)))/100+(Inputs!$B$23+((C1440=TRUE)*(F1440-Calc!F29)))/100)/2</f>
        <v/>
      </c>
      <c r="M1417">
        <f>L1417*(1+(Inputs!$B$10+0+B1449)/100)</f>
        <v/>
      </c>
      <c r="N1417">
        <f>L1417*(1-MIN((Inputs!$B$9+((C1431=TRUE)*(F1431-Calc!F20))+B1444),100)/100)+M1417*(MIN((Inputs!$B$9+((C1431=TRUE)*(F1431-Calc!F20))+B1444),100)/100)</f>
        <v/>
      </c>
      <c r="O1417">
        <f>IF(C1417,H1417*N1417*IF(AND(Inputs!$B$38&lt;&gt;"pvp",Inputs!$B$43&gt;0),((Skills!G6*((R1417-1)*IF(Skills!H6&gt;0,Skills!I6/Skills!H6,1)+IF(Skills!H6&gt;0,MIN(Skills!I6,MAX(0,MAX(0,Inputs!$B$43-B1451)-((R1417-1)*IF(Inputs!$B$38="pvp",15,MAX(0.1,Skills!D6-IF(Skills!E6=TRUE,3.0,0))))))/Skills!H6,1)))/Inputs!$B$43),G1417*Q1417)*IF(Inputs!$B$38="pvp",1,(1-Summary!$B$55)*(1)+Summary!$B$55*(MIN(Skills!R6,Inputs!$B$37))),0)</f>
        <v/>
      </c>
      <c r="P1417">
        <f>IF(B1452=0,0,O1417/B1452)</f>
        <v/>
      </c>
      <c r="Q1417">
        <f>IFERROR(1/IF(Inputs!$B$38="pvp",15,MAX(0.1,Skills!D6-IF(Skills!E6=TRUE,3.0,0))),0)</f>
        <v/>
      </c>
      <c r="R1417">
        <f>IF(AND(Inputs!$B$38&lt;&gt;"pvp",Inputs!$B$43&gt;0),IF(MAX(0,Inputs!$B$43-B1451)&lt;=0,0,(INT(MAX(0,Inputs!$B$43-B1451)/IF(Inputs!$B$38="pvp",15,MAX(0.1,Skills!D6-IF(Skills!E6=TRUE,3.0,0))))+1)),0)</f>
        <v/>
      </c>
      <c r="S1417">
        <f>IFERROR(O1417/N1417,0)</f>
        <v/>
      </c>
    </row>
    <row r="1418">
      <c r="A1418">
        <f>Skills!A7</f>
        <v/>
      </c>
      <c r="B1418">
        <f>Skills!B7</f>
        <v/>
      </c>
      <c r="C1418">
        <f>Inputs!$B$3&gt;=107</f>
        <v/>
      </c>
      <c r="D1418">
        <f>IF(Skills!C7=1,60+Inputs!$B$25+Inputs!$B$29,IF(Skills!C7=2,90+Inputs!$B$26+Inputs!$B$29,IF(Skills!C7=3,120+Inputs!$B$27+Inputs!$B$29,MAX(0,(Inputs!$B$3-100)*3)+Inputs!$B$28+Inputs!$B$29)))</f>
        <v/>
      </c>
      <c r="E1418">
        <f>INDEX(FactorTable!$B$2:$Y$301, MATCH(ROUND(MIN(300,MAX(1,D1418)),0), FactorTable!$A$2:$A$301,0), Skills!M7+1)</f>
        <v/>
      </c>
      <c r="F1418">
        <f>IF(Skills!N7=TRUE,(Skills!L7/10)*(E1418/1000),Skills!L7/10)+Skills!O7</f>
        <v/>
      </c>
      <c r="G1418" t="inlineStr"/>
      <c r="H1418" t="inlineStr"/>
      <c r="I1418" t="inlineStr">
        <is>
          <t>1</t>
        </is>
      </c>
      <c r="J1418" t="inlineStr"/>
      <c r="K1418" t="inlineStr"/>
      <c r="L1418" t="inlineStr"/>
      <c r="M1418" t="inlineStr"/>
      <c r="N1418" t="inlineStr"/>
      <c r="O1418" t="inlineStr"/>
      <c r="P1418" t="inlineStr"/>
      <c r="Q1418" t="inlineStr"/>
      <c r="R1418" t="inlineStr"/>
      <c r="S1418" t="inlineStr"/>
    </row>
    <row r="1419">
      <c r="A1419">
        <f>Skills!A8</f>
        <v/>
      </c>
      <c r="B1419">
        <f>Skills!B8</f>
        <v/>
      </c>
      <c r="C1419">
        <f>Inputs!$B$3&gt;=69</f>
        <v/>
      </c>
      <c r="D1419">
        <f>IF(Skills!C8=1,60+Inputs!$B$25+Inputs!$B$29,IF(Skills!C8=2,90+Inputs!$B$26+Inputs!$B$29,IF(Skills!C8=3,120+Inputs!$B$27+Inputs!$B$29,MAX(0,(Inputs!$B$3-100)*3)+Inputs!$B$28+Inputs!$B$29)))</f>
        <v/>
      </c>
      <c r="E1419">
        <f>INDEX(FactorTable!$B$2:$Y$301, MATCH(ROUND(MIN(300,MAX(1,D1419)),0), FactorTable!$A$2:$A$301,0), Skills!M8+1)</f>
        <v/>
      </c>
      <c r="F1419">
        <f>IF(Skills!N8=TRUE,(Skills!L8/10)*(E1419/1000),Skills!L8/10)+Skills!O8</f>
        <v/>
      </c>
      <c r="G1419">
        <f>Skills!G8*IF(Skills!H8&gt;0,Skills!I8/Skills!H8,1)</f>
        <v/>
      </c>
      <c r="H1419">
        <f>1-(1-Skills!J8/100)^Skills!K8</f>
        <v/>
      </c>
      <c r="I1419" t="inlineStr">
        <is>
          <t>1</t>
        </is>
      </c>
      <c r="J1419">
        <f>((Inputs!$B$6*(1+Inputs!$B$7/100))+(((Inputs!$B$12*(1+Inputs!$B$13/100))-(Inputs!$B$12*(1+Inputs!$B$13/100)))+0.25*(Inputs!$B$14-Inputs!$B$14))*(1+Inputs!$B$7/100))*(F1419/100)</f>
        <v/>
      </c>
      <c r="K1419">
        <f>J1419*(1+((Inputs!$B$12*(1+Inputs!$B$13/100))*0.01+Inputs!$B$14*0.0025)/100)*(1+Inputs!$B$15/100)*(1+IF(Inputs!$B$38="pvp",0,(1-Summary!$B$55)*(Inputs!$B$20+0+Skills!P8)+Summary!$B$55*(Inputs!$B$21+Skills!Q8))/100)*(1+Inputs!$B$16/100)*(5000/(6000+Inputs!$B$42*(1-(Inputs!$B$19+((C1438=TRUE)*(F1438-Calc!F27)))/100)))*(1+(Inputs!$B$24+((C1436=TRUE)*(F1436-Calc!F25))+((C1437=TRUE)*(F1437-Calc!F26))+B1450)/100)*(1+1.2*IF(C1421=TRUE,F1421,0)/100)*(1+(IF(Skills!A8="ARROW_STREAM",Inputs!$B$17+((C1434=TRUE)*(F1434-Calc!F23)),Inputs!$B$18+((C1439=TRUE)*(F1439-Calc!F28))))/100)*((1+(((C1424=TRUE)*F1424)+((C1425=TRUE)*IF(Inputs!$B$38="pvp",F1425,(1-Summary!$B$55)*(F1425)+Summary!$B$55*(0)))+((C1426=TRUE)*F1426*IF(AND(Inputs!$B$38&lt;&gt;"pvp",Inputs!$B$43&gt;0),(((R1426-1)*(Skills!T15*(1+Inputs!$B$34/100))+MIN((Skills!T15*(1+Inputs!$B$34/100)),MAX(0,Inputs!$B$43-((R1426-1)*Skills!D15))))/Inputs!$B$43),IF(Inputs!$B$38="pvp",MIN((Skills!T15*(1+Inputs!$B$34/100)),15)/15,(Skills!T15*(1+Inputs!$B$34/100))/Skills!D15)))+((C1441=TRUE)*(F1441-Calc!F30)))/100)*I1419)</f>
        <v/>
      </c>
      <c r="L1419">
        <f>K1419*(MIN(Inputs!$B$22+((C1435=TRUE)*(F1435-Calc!F24)),Inputs!$B$23+((C1440=TRUE)*(F1440-Calc!F29)))/100+(Inputs!$B$23+((C1440=TRUE)*(F1440-Calc!F29)))/100)/2</f>
        <v/>
      </c>
      <c r="M1419">
        <f>L1419*(1+(Inputs!$B$10+0+B1449)/100)</f>
        <v/>
      </c>
      <c r="N1419">
        <f>L1419*(1-MIN((Inputs!$B$9+((C1431=TRUE)*(F1431-Calc!F20))+B1444),100)/100)+M1419*(MIN((Inputs!$B$9+((C1431=TRUE)*(F1431-Calc!F20))+B1444),100)/100)</f>
        <v/>
      </c>
      <c r="O1419">
        <f>IF(C1419,H1419*N1419*IF(AND(Inputs!$B$38&lt;&gt;"pvp",Inputs!$B$43&gt;0),((Skills!G8*((R1419-1)*IF(Skills!H8&gt;0,Skills!I8/Skills!H8,1)+IF(Skills!H8&gt;0,MIN(Skills!I8,MAX(0,MAX(0,Inputs!$B$43-B1451)-((R1419-1)*IF(Inputs!$B$38="pvp",15,MAX(0.1,Skills!D8-IF(Skills!E8=TRUE,3.0,0))))))/Skills!H8,1)))/Inputs!$B$43),G1419*Q1419)*IF(Inputs!$B$38="pvp",1,(1-Summary!$B$55)*(1)+Summary!$B$55*(MIN(Skills!R8,Inputs!$B$37))),0)</f>
        <v/>
      </c>
      <c r="P1419">
        <f>IF(B1452=0,0,O1419/B1452)</f>
        <v/>
      </c>
      <c r="Q1419">
        <f>IFERROR(1/IF(Inputs!$B$38="pvp",15,MAX(0.1,Skills!D8-IF(Skills!E8=TRUE,3.0,0))),0)</f>
        <v/>
      </c>
      <c r="R1419">
        <f>IF(AND(Inputs!$B$38&lt;&gt;"pvp",Inputs!$B$43&gt;0),IF(MAX(0,Inputs!$B$43-B1451)&lt;=0,0,(INT(MAX(0,Inputs!$B$43-B1451)/IF(Inputs!$B$38="pvp",15,MAX(0.1,Skills!D8-IF(Skills!E8=TRUE,3.0,0))))+1)),0)</f>
        <v/>
      </c>
      <c r="S1419">
        <f>IFERROR(O1419/N1419,0)</f>
        <v/>
      </c>
    </row>
    <row r="1420">
      <c r="A1420">
        <f>Skills!A9</f>
        <v/>
      </c>
      <c r="B1420">
        <f>Skills!B9</f>
        <v/>
      </c>
      <c r="C1420">
        <f>Inputs!$B$3&gt;=63</f>
        <v/>
      </c>
      <c r="D1420">
        <f>IF(Skills!C9=1,60+Inputs!$B$25+Inputs!$B$29,IF(Skills!C9=2,90+Inputs!$B$26+Inputs!$B$29,IF(Skills!C9=3,120+Inputs!$B$27+Inputs!$B$29,MAX(0,(Inputs!$B$3-100)*3)+Inputs!$B$28+Inputs!$B$29)))</f>
        <v/>
      </c>
      <c r="E1420">
        <f>INDEX(FactorTable!$B$2:$Y$301, MATCH(ROUND(MIN(300,MAX(1,D1420)),0), FactorTable!$A$2:$A$301,0), Skills!M9+1)</f>
        <v/>
      </c>
      <c r="F1420">
        <f>IF(Skills!N9=TRUE,(Skills!L9/10)*(E1420/1000),Skills!L9/10)+Skills!O9</f>
        <v/>
      </c>
      <c r="G1420">
        <f>Skills!G9*IF(Skills!H9&gt;0,Skills!I9/Skills!H9,1)</f>
        <v/>
      </c>
      <c r="H1420">
        <f>1-(1-Skills!J9/100)^Skills!K9</f>
        <v/>
      </c>
      <c r="I1420" t="inlineStr">
        <is>
          <t>1</t>
        </is>
      </c>
      <c r="J1420">
        <f>((Inputs!$B$6*(1+Inputs!$B$7/100))+(((Inputs!$B$12*(1+Inputs!$B$13/100))-(Inputs!$B$12*(1+Inputs!$B$13/100)))+0.25*(Inputs!$B$14-Inputs!$B$14))*(1+Inputs!$B$7/100))*(F1420/100)</f>
        <v/>
      </c>
      <c r="K1420">
        <f>J1420*(1+((Inputs!$B$12*(1+Inputs!$B$13/100))*0.01+Inputs!$B$14*0.0025)/100)*(1+Inputs!$B$15/100)*(1+IF(Inputs!$B$38="pvp",0,(1-Summary!$B$55)*(Inputs!$B$20+0+Skills!P9)+Summary!$B$55*(Inputs!$B$21+Skills!Q9))/100)*(1+Inputs!$B$16/100)*(5000/(6000+Inputs!$B$42*(1-(Inputs!$B$19+((C1438=TRUE)*(F1438-Calc!F27)))/100)))*(1+(Inputs!$B$24+((C1436=TRUE)*(F1436-Calc!F25))+((C1437=TRUE)*(F1437-Calc!F26))+B1450)/100)*(1+1.0*IF(C1421=TRUE,F1421,0)/100)*(1+(IF(Skills!A9="ARROW_STREAM",Inputs!$B$17+((C1434=TRUE)*(F1434-Calc!F23)),Inputs!$B$18+((C1439=TRUE)*(F1439-Calc!F28))))/100)*((1+(((C1424=TRUE)*F1424)+((C1425=TRUE)*IF(Inputs!$B$38="pvp",F1425,(1-Summary!$B$55)*(F1425)+Summary!$B$55*(0)))+((C1426=TRUE)*F1426*IF(AND(Inputs!$B$38&lt;&gt;"pvp",Inputs!$B$43&gt;0),(((R1426-1)*(Skills!T15*(1+Inputs!$B$34/100))+MIN((Skills!T15*(1+Inputs!$B$34/100)),MAX(0,Inputs!$B$43-((R1426-1)*Skills!D15))))/Inputs!$B$43),IF(Inputs!$B$38="pvp",MIN((Skills!T15*(1+Inputs!$B$34/100)),15)/15,(Skills!T15*(1+Inputs!$B$34/100))/Skills!D15)))+((C1441=TRUE)*(F1441-Calc!F30)))/100)*I1420)</f>
        <v/>
      </c>
      <c r="L1420">
        <f>K1420*(MIN(Inputs!$B$22+((C1435=TRUE)*(F1435-Calc!F24)),Inputs!$B$23+((C1440=TRUE)*(F1440-Calc!F29)))/100+(Inputs!$B$23+((C1440=TRUE)*(F1440-Calc!F29)))/100)/2</f>
        <v/>
      </c>
      <c r="M1420">
        <f>L1420*(1+(Inputs!$B$10+0+B1449)/100)</f>
        <v/>
      </c>
      <c r="N1420">
        <f>L1420*(1-MIN((Inputs!$B$9+((C1431=TRUE)*(F1431-Calc!F20))+B1444),100)/100)+M1420*(MIN((Inputs!$B$9+((C1431=TRUE)*(F1431-Calc!F20))+B1444),100)/100)</f>
        <v/>
      </c>
      <c r="O1420">
        <f>IF(C1420,H1420*N1420*IF(AND(Inputs!$B$38&lt;&gt;"pvp",Inputs!$B$43&gt;0),((Skills!G9*((R1420-1)*IF(Skills!H9&gt;0,Skills!I9/Skills!H9,1)+IF(Skills!H9&gt;0,MIN(Skills!I9,MAX(0,MAX(0,Inputs!$B$43-B1451)-((R1420-1)*IF(Inputs!$B$38="pvp",15,MAX(0.1,Skills!D9-IF(Skills!E9=TRUE,3.0,0))))))/Skills!H9,1)))/Inputs!$B$43),G1420*Q1420)*IF(Inputs!$B$38="pvp",1,(1-Summary!$B$55)*(1)+Summary!$B$55*(MIN(Skills!R9,Inputs!$B$37))),0)</f>
        <v/>
      </c>
      <c r="P1420">
        <f>IF(B1452=0,0,O1420/B1452)</f>
        <v/>
      </c>
      <c r="Q1420">
        <f>IFERROR(1/IF(Inputs!$B$38="pvp",15,MAX(0.1,Skills!D9-IF(Skills!E9=TRUE,3.0,0))),0)</f>
        <v/>
      </c>
      <c r="R1420">
        <f>IF(AND(Inputs!$B$38&lt;&gt;"pvp",Inputs!$B$43&gt;0),IF(MAX(0,Inputs!$B$43-B1451)&lt;=0,0,(INT(MAX(0,Inputs!$B$43-B1451)/IF(Inputs!$B$38="pvp",15,MAX(0.1,Skills!D9-IF(Skills!E9=TRUE,3.0,0))))+1)),0)</f>
        <v/>
      </c>
      <c r="S1420">
        <f>IFERROR(O1420/N1420,0)</f>
        <v/>
      </c>
    </row>
    <row r="1421">
      <c r="A1421">
        <f>Skills!A10</f>
        <v/>
      </c>
      <c r="B1421">
        <f>Skills!B10</f>
        <v/>
      </c>
      <c r="C1421">
        <f>Inputs!$B$3&gt;=100</f>
        <v/>
      </c>
      <c r="D1421">
        <f>IF(Skills!C10=1,60+Inputs!$B$25+Inputs!$B$29,IF(Skills!C10=2,90+Inputs!$B$26+Inputs!$B$29,IF(Skills!C10=3,120+Inputs!$B$27+Inputs!$B$29,MAX(0,(Inputs!$B$3-100)*3)+Inputs!$B$28+Inputs!$B$29)))</f>
        <v/>
      </c>
      <c r="E1421">
        <f>INDEX(FactorTable!$B$2:$Y$301, MATCH(ROUND(MIN(300,MAX(1,D1421)),0), FactorTable!$A$2:$A$301,0), Skills!M10+1)</f>
        <v/>
      </c>
      <c r="F1421">
        <f>IF(Skills!N10=TRUE,(Skills!L10/10)*(E1421/1000),Skills!L10/10)+Skills!O10</f>
        <v/>
      </c>
      <c r="G1421" t="inlineStr"/>
      <c r="H1421" t="inlineStr"/>
      <c r="I1421" t="inlineStr">
        <is>
          <t>1</t>
        </is>
      </c>
      <c r="J1421" t="inlineStr"/>
      <c r="K1421" t="inlineStr"/>
      <c r="L1421" t="inlineStr"/>
      <c r="M1421" t="inlineStr"/>
      <c r="N1421" t="inlineStr"/>
      <c r="O1421" t="inlineStr"/>
      <c r="P1421" t="inlineStr"/>
      <c r="Q1421" t="inlineStr"/>
      <c r="R1421" t="inlineStr"/>
      <c r="S1421" t="inlineStr"/>
    </row>
    <row r="1422">
      <c r="A1422">
        <f>Skills!A11</f>
        <v/>
      </c>
      <c r="B1422">
        <f>Skills!B11</f>
        <v/>
      </c>
      <c r="C1422">
        <f>Inputs!$B$3&gt;=60</f>
        <v/>
      </c>
      <c r="D1422">
        <f>IF(Skills!C11=1,60+Inputs!$B$25+Inputs!$B$29,IF(Skills!C11=2,90+Inputs!$B$26+Inputs!$B$29,IF(Skills!C11=3,120+Inputs!$B$27+Inputs!$B$29,MAX(0,(Inputs!$B$3-100)*3)+Inputs!$B$28+Inputs!$B$29)))</f>
        <v/>
      </c>
      <c r="E1422">
        <f>INDEX(FactorTable!$B$2:$Y$301, MATCH(ROUND(MIN(300,MAX(1,D1422)),0), FactorTable!$A$2:$A$301,0), Skills!M11+1)</f>
        <v/>
      </c>
      <c r="F1422">
        <f>IF(Skills!N11=TRUE,(Skills!L11/10)*(E1422/1000),Skills!L11/10)+Skills!O11</f>
        <v/>
      </c>
      <c r="G1422">
        <f>Skills!G11*IF(Skills!H11&gt;0,Skills!I11/Skills!H11,1)</f>
        <v/>
      </c>
      <c r="H1422">
        <f>1-(1-Skills!J11/100)^Skills!K11</f>
        <v/>
      </c>
      <c r="I1422" t="inlineStr">
        <is>
          <t>1</t>
        </is>
      </c>
      <c r="J1422">
        <f>((Inputs!$B$6*(1+Inputs!$B$7/100))+(((Inputs!$B$12*(1+Inputs!$B$13/100))-(Inputs!$B$12*(1+Inputs!$B$13/100)))+0.25*(Inputs!$B$14-Inputs!$B$14))*(1+Inputs!$B$7/100))*(F1422/100)</f>
        <v/>
      </c>
      <c r="K1422">
        <f>J1422*(1+((Inputs!$B$12*(1+Inputs!$B$13/100))*0.01+Inputs!$B$14*0.0025)/100)*(1+Inputs!$B$15/100)*(1+IF(Inputs!$B$38="pvp",0,(1-Summary!$B$55)*(Inputs!$B$20+0+Skills!P11)+Summary!$B$55*(Inputs!$B$21+Skills!Q11))/100)*(1+Inputs!$B$16/100)*(5000/(6000+Inputs!$B$42*(1-(Inputs!$B$19+((C1438=TRUE)*(F1438-Calc!F27)))/100)))*(1+(Inputs!$B$24+((C1436=TRUE)*(F1436-Calc!F25))+((C1437=TRUE)*(F1437-Calc!F26))+B1450)/100)*(1+IF(C1423=TRUE,F1423,0)/100)*(1+(IF(Skills!A11="ARROW_STREAM",Inputs!$B$17+((C1434=TRUE)*(F1434-Calc!F23)),Inputs!$B$18+((C1439=TRUE)*(F1439-Calc!F28))))/100)*((1+(((C1424=TRUE)*F1424)+((C1425=TRUE)*IF(Inputs!$B$38="pvp",F1425,(1-Summary!$B$55)*(F1425)+Summary!$B$55*(0)))+((C1426=TRUE)*F1426*IF(AND(Inputs!$B$38&lt;&gt;"pvp",Inputs!$B$43&gt;0),(((R1426-1)*(Skills!T15*(1+Inputs!$B$34/100))+MIN((Skills!T15*(1+Inputs!$B$34/100)),MAX(0,Inputs!$B$43-((R1426-1)*Skills!D15))))/Inputs!$B$43),IF(Inputs!$B$38="pvp",MIN((Skills!T15*(1+Inputs!$B$34/100)),15)/15,(Skills!T15*(1+Inputs!$B$34/100))/Skills!D15)))+((C1441=TRUE)*(F1441-Calc!F30)))/100)*I1422)</f>
        <v/>
      </c>
      <c r="L1422">
        <f>K1422*(MIN(Inputs!$B$22+((C1435=TRUE)*(F1435-Calc!F24)),Inputs!$B$23+((C1440=TRUE)*(F1440-Calc!F29)))/100+(Inputs!$B$23+((C1440=TRUE)*(F1440-Calc!F29)))/100)/2</f>
        <v/>
      </c>
      <c r="M1422">
        <f>L1422*(1+(Inputs!$B$10+0+B1449)/100)</f>
        <v/>
      </c>
      <c r="N1422">
        <f>L1422*(1-MIN((Inputs!$B$9+((C1431=TRUE)*(F1431-Calc!F20))+B1444),100)/100)+M1422*(MIN((Inputs!$B$9+((C1431=TRUE)*(F1431-Calc!F20))+B1444),100)/100)</f>
        <v/>
      </c>
      <c r="O1422">
        <f>IF(C1422,H1422*N1422*IF(AND(Inputs!$B$38&lt;&gt;"pvp",Inputs!$B$43&gt;0),((Skills!G11*((R1422-1)*IF(Skills!H11&gt;0,Skills!I11/Skills!H11,1)+IF(Skills!H11&gt;0,MIN(Skills!I11,MAX(0,MAX(0,Inputs!$B$43-B1451)-((R1422-1)*IF(Inputs!$B$38="pvp",15,MAX(0.1,Skills!D11-IF(Skills!E11=TRUE,3.0,0))))))/Skills!H11,1)))/Inputs!$B$43),G1422*Q1422)*IF(Inputs!$B$38="pvp",1,(1-Summary!$B$55)*(1)+Summary!$B$55*(MIN(Skills!R11,Inputs!$B$37))),0)</f>
        <v/>
      </c>
      <c r="P1422">
        <f>IF(B1452=0,0,O1422/B1452)</f>
        <v/>
      </c>
      <c r="Q1422">
        <f>IFERROR(1/IF(Inputs!$B$38="pvp",15,MAX(0.1,Skills!D11-IF(Skills!E11=TRUE,3.0,0))),0)</f>
        <v/>
      </c>
      <c r="R1422">
        <f>IF(AND(Inputs!$B$38&lt;&gt;"pvp",Inputs!$B$43&gt;0),IF(MAX(0,Inputs!$B$43-B1451)&lt;=0,0,(INT(MAX(0,Inputs!$B$43-B1451)/IF(Inputs!$B$38="pvp",15,MAX(0.1,Skills!D11-IF(Skills!E11=TRUE,3.0,0))))+1)),0)</f>
        <v/>
      </c>
      <c r="S1422">
        <f>IFERROR(O1422/N1422,0)</f>
        <v/>
      </c>
    </row>
    <row r="1423">
      <c r="A1423">
        <f>Skills!A12</f>
        <v/>
      </c>
      <c r="B1423">
        <f>Skills!B12</f>
        <v/>
      </c>
      <c r="C1423">
        <f>Inputs!$B$3&gt;=110</f>
        <v/>
      </c>
      <c r="D1423">
        <f>IF(Skills!C12=1,60+Inputs!$B$25+Inputs!$B$29,IF(Skills!C12=2,90+Inputs!$B$26+Inputs!$B$29,IF(Skills!C12=3,120+Inputs!$B$27+Inputs!$B$29,MAX(0,(Inputs!$B$3-100)*3)+Inputs!$B$28+Inputs!$B$29)))</f>
        <v/>
      </c>
      <c r="E1423">
        <f>INDEX(FactorTable!$B$2:$Y$301, MATCH(ROUND(MIN(300,MAX(1,D1423)),0), FactorTable!$A$2:$A$301,0), Skills!M12+1)</f>
        <v/>
      </c>
      <c r="F1423">
        <f>IF(Skills!N12=TRUE,(Skills!L12/10)*(E1423/1000),Skills!L12/10)+Skills!O12</f>
        <v/>
      </c>
      <c r="G1423" t="inlineStr"/>
      <c r="H1423" t="inlineStr"/>
      <c r="I1423" t="inlineStr">
        <is>
          <t>1</t>
        </is>
      </c>
      <c r="J1423" t="inlineStr"/>
      <c r="K1423" t="inlineStr"/>
      <c r="L1423" t="inlineStr"/>
      <c r="M1423" t="inlineStr"/>
      <c r="N1423" t="inlineStr"/>
      <c r="O1423" t="inlineStr"/>
      <c r="P1423" t="inlineStr"/>
      <c r="Q1423" t="inlineStr"/>
      <c r="R1423" t="inlineStr"/>
      <c r="S1423" t="inlineStr"/>
    </row>
    <row r="1424">
      <c r="A1424">
        <f>Skills!A13</f>
        <v/>
      </c>
      <c r="B1424">
        <f>Skills!B13</f>
        <v/>
      </c>
      <c r="C1424">
        <f>Inputs!$B$3&gt;=74</f>
        <v/>
      </c>
      <c r="D1424">
        <f>IF(Skills!C13=1,60+Inputs!$B$25+Inputs!$B$29,IF(Skills!C13=2,90+Inputs!$B$26+Inputs!$B$29,IF(Skills!C13=3,120+Inputs!$B$27+Inputs!$B$29,MAX(0,(Inputs!$B$3-100)*3)+Inputs!$B$28+Inputs!$B$29)))</f>
        <v/>
      </c>
      <c r="E1424">
        <f>INDEX(FactorTable!$B$2:$Y$301, MATCH(ROUND(MIN(300,MAX(1,D1424)),0), FactorTable!$A$2:$A$301,0), Skills!M13+1)</f>
        <v/>
      </c>
      <c r="F1424">
        <f>IF(Skills!N13=TRUE,(Skills!L13/10)*(E1424/1000),Skills!L13/10)+Skills!O13</f>
        <v/>
      </c>
      <c r="G1424">
        <f>Skills!G13*IF(Skills!H13&gt;0,Skills!I13/Skills!H13,1)</f>
        <v/>
      </c>
      <c r="H1424">
        <f>1-(1-Skills!J13/100)^Skills!K13</f>
        <v/>
      </c>
      <c r="I1424" t="inlineStr">
        <is>
          <t>1</t>
        </is>
      </c>
      <c r="J1424" t="inlineStr"/>
      <c r="K1424" t="inlineStr"/>
      <c r="L1424" t="inlineStr"/>
      <c r="M1424" t="inlineStr"/>
      <c r="N1424" t="inlineStr"/>
      <c r="O1424" t="n">
        <v>0</v>
      </c>
      <c r="P1424">
        <f>IF(B1452=0,0,O1424/B1452)</f>
        <v/>
      </c>
      <c r="Q1424" t="n">
        <v>0</v>
      </c>
      <c r="R1424" t="n">
        <v>0</v>
      </c>
      <c r="S1424">
        <f>IFERROR(O1424/N1424,0)</f>
        <v/>
      </c>
    </row>
    <row r="1425">
      <c r="A1425">
        <f>Skills!A14</f>
        <v/>
      </c>
      <c r="B1425">
        <f>Skills!B14</f>
        <v/>
      </c>
      <c r="C1425">
        <f>Inputs!$B$3&gt;=74</f>
        <v/>
      </c>
      <c r="D1425">
        <f>IF(Skills!C14=1,60+Inputs!$B$25+Inputs!$B$29,IF(Skills!C14=2,90+Inputs!$B$26+Inputs!$B$29,IF(Skills!C14=3,120+Inputs!$B$27+Inputs!$B$29,MAX(0,(Inputs!$B$3-100)*3)+Inputs!$B$28+Inputs!$B$29)))</f>
        <v/>
      </c>
      <c r="E1425">
        <f>INDEX(FactorTable!$B$2:$Y$301, MATCH(ROUND(MIN(300,MAX(1,D1425)),0), FactorTable!$A$2:$A$301,0), Skills!M14+1)</f>
        <v/>
      </c>
      <c r="F1425">
        <f>IF(Skills!N14=TRUE,(Skills!L14/10)*(E1425/1000),Skills!L14/10)+Skills!O14</f>
        <v/>
      </c>
      <c r="G1425">
        <f>Skills!G14*IF(Skills!H14&gt;0,Skills!I14/Skills!H14,1)</f>
        <v/>
      </c>
      <c r="H1425">
        <f>1-(1-Skills!J14/100)^Skills!K14</f>
        <v/>
      </c>
      <c r="I1425" t="inlineStr">
        <is>
          <t>1</t>
        </is>
      </c>
      <c r="J1425" t="inlineStr"/>
      <c r="K1425" t="inlineStr"/>
      <c r="L1425" t="inlineStr"/>
      <c r="M1425" t="inlineStr"/>
      <c r="N1425" t="inlineStr"/>
      <c r="O1425" t="n">
        <v>0</v>
      </c>
      <c r="P1425">
        <f>IF(B1452=0,0,O1425/B1452)</f>
        <v/>
      </c>
      <c r="Q1425" t="n">
        <v>0</v>
      </c>
      <c r="R1425" t="n">
        <v>0</v>
      </c>
      <c r="S1425">
        <f>IFERROR(O1425/N1425,0)</f>
        <v/>
      </c>
    </row>
    <row r="1426">
      <c r="A1426">
        <f>Skills!A15</f>
        <v/>
      </c>
      <c r="B1426">
        <f>Skills!B15</f>
        <v/>
      </c>
      <c r="C1426">
        <f>Inputs!$B$3&gt;=117</f>
        <v/>
      </c>
      <c r="D1426">
        <f>IF(Skills!C15=1,60+Inputs!$B$25+Inputs!$B$29,IF(Skills!C15=2,90+Inputs!$B$26+Inputs!$B$29,IF(Skills!C15=3,120+Inputs!$B$27+Inputs!$B$29,MAX(0,(Inputs!$B$3-100)*3)+Inputs!$B$28+Inputs!$B$29)))</f>
        <v/>
      </c>
      <c r="E1426">
        <f>INDEX(FactorTable!$B$2:$Y$301, MATCH(ROUND(MIN(300,MAX(1,D1426)),0), FactorTable!$A$2:$A$301,0), Skills!M15+1)</f>
        <v/>
      </c>
      <c r="F1426">
        <f>IF(Skills!N15=TRUE,(Skills!L15/10)*(E1426/1000),Skills!L15/10)+Skills!O15</f>
        <v/>
      </c>
      <c r="G1426">
        <f>Skills!G15*IF(Skills!H15&gt;0,Skills!I15/Skills!H15,1)</f>
        <v/>
      </c>
      <c r="H1426">
        <f>1-(1-Skills!J15/100)^Skills!K15</f>
        <v/>
      </c>
      <c r="I1426" t="inlineStr">
        <is>
          <t>1</t>
        </is>
      </c>
      <c r="J1426" t="inlineStr"/>
      <c r="K1426" t="inlineStr"/>
      <c r="L1426" t="inlineStr"/>
      <c r="M1426" t="inlineStr"/>
      <c r="N1426" t="inlineStr"/>
      <c r="O1426" t="n">
        <v>0</v>
      </c>
      <c r="P1426">
        <f>IF(B1452=0,0,O1426/B1452)</f>
        <v/>
      </c>
      <c r="Q1426">
        <f>IFERROR(1/IF(Inputs!$B$38="pvp",15,MAX(0.1,Skills!D15-IF(Skills!E15=TRUE,3.0,0))),0)</f>
        <v/>
      </c>
      <c r="R1426">
        <f>IF(AND(Inputs!$B$38&lt;&gt;"pvp",Inputs!$B$43&gt;0),IF(Inputs!$B$43&lt;=0,0,(INT(Inputs!$B$43/IF(Inputs!$B$38="pvp",15,MAX(0.1,Skills!D15-IF(Skills!E15=TRUE,3.0,0))))+1)),0)</f>
        <v/>
      </c>
      <c r="S1426">
        <f>IFERROR(O1426/N1426,0)</f>
        <v/>
      </c>
    </row>
    <row r="1427">
      <c r="A1427">
        <f>Skills!A16</f>
        <v/>
      </c>
      <c r="B1427">
        <f>Skills!B16</f>
        <v/>
      </c>
      <c r="C1427">
        <f>Inputs!$B$3&gt;=115</f>
        <v/>
      </c>
      <c r="D1427">
        <f>IF(Skills!C16=1,60+Inputs!$B$25+Inputs!$B$29,IF(Skills!C16=2,90+Inputs!$B$26+Inputs!$B$29,IF(Skills!C16=3,120+Inputs!$B$27+Inputs!$B$29,MAX(0,(Inputs!$B$3-100)*3)+Inputs!$B$28+Inputs!$B$29)))</f>
        <v/>
      </c>
      <c r="E1427">
        <f>INDEX(FactorTable!$B$2:$Y$301, MATCH(ROUND(MIN(300,MAX(1,D1427)),0), FactorTable!$A$2:$A$301,0), Skills!M16+1)</f>
        <v/>
      </c>
      <c r="F1427">
        <f>IF(Skills!N16=TRUE,(Skills!L16/10)*(E1427/1000),Skills!L16/10)+Skills!O16</f>
        <v/>
      </c>
      <c r="G1427">
        <f>Skills!G16*IF(Skills!H16&gt;0,Skills!I16/Skills!H16,1)</f>
        <v/>
      </c>
      <c r="H1427">
        <f>1-(1-Skills!J16/100)^Skills!K16</f>
        <v/>
      </c>
      <c r="I1427" t="inlineStr">
        <is>
          <t>1</t>
        </is>
      </c>
      <c r="J1427" t="inlineStr"/>
      <c r="K1427" t="inlineStr"/>
      <c r="L1427" t="inlineStr"/>
      <c r="M1427" t="inlineStr"/>
      <c r="N1427" t="inlineStr"/>
      <c r="O1427" t="n">
        <v>0</v>
      </c>
      <c r="P1427">
        <f>IF(B1452=0,0,O1427/B1452)</f>
        <v/>
      </c>
      <c r="Q1427">
        <f>IFERROR(1/IF(Inputs!$B$38="pvp",15,MAX(0.1,Skills!D16-IF(Skills!E16=TRUE,3.0,0))),0)</f>
        <v/>
      </c>
      <c r="R1427">
        <f>IF(AND(Inputs!$B$38&lt;&gt;"pvp",Inputs!$B$43&gt;0),IF(Inputs!$B$43&lt;=0,0,(INT(Inputs!$B$43/IF(Inputs!$B$38="pvp",15,MAX(0.1,Skills!D16-IF(Skills!E16=TRUE,3.0,0))))+1)),0)</f>
        <v/>
      </c>
      <c r="S1427">
        <f>IFERROR(O1427/N1427,0)</f>
        <v/>
      </c>
    </row>
    <row r="1428">
      <c r="A1428">
        <f>Skills!A17</f>
        <v/>
      </c>
      <c r="B1428">
        <f>Skills!B17</f>
        <v/>
      </c>
      <c r="C1428">
        <f>Inputs!$B$3&gt;=66</f>
        <v/>
      </c>
      <c r="D1428">
        <f>IF(Skills!C17=1,60+Inputs!$B$25+Inputs!$B$29,IF(Skills!C17=2,90+Inputs!$B$26+Inputs!$B$29,IF(Skills!C17=3,120+Inputs!$B$27+Inputs!$B$29,MAX(0,(Inputs!$B$3-100)*3)+Inputs!$B$28+Inputs!$B$29)))</f>
        <v/>
      </c>
      <c r="E1428">
        <f>INDEX(FactorTable!$B$2:$Y$301, MATCH(ROUND(MIN(300,MAX(1,D1428)),0), FactorTable!$A$2:$A$301,0), Skills!M17+1)</f>
        <v/>
      </c>
      <c r="F1428">
        <f>IF(Skills!N17=TRUE,(Skills!L17/10)*(E1428/1000),Skills!L17/10)+Skills!O17</f>
        <v/>
      </c>
      <c r="G1428">
        <f>Skills!G17*IF(Skills!H17&gt;0,Skills!I17/Skills!H17,1)</f>
        <v/>
      </c>
      <c r="H1428">
        <f>1-(1-Skills!J17/100)^Skills!K17</f>
        <v/>
      </c>
      <c r="I1428" t="inlineStr">
        <is>
          <t>1</t>
        </is>
      </c>
      <c r="J1428" t="inlineStr"/>
      <c r="K1428" t="inlineStr"/>
      <c r="L1428" t="inlineStr"/>
      <c r="M1428" t="inlineStr"/>
      <c r="N1428" t="inlineStr"/>
      <c r="O1428" t="n">
        <v>0</v>
      </c>
      <c r="P1428">
        <f>IF(B1452=0,0,O1428/B1452)</f>
        <v/>
      </c>
      <c r="Q1428" t="n">
        <v>0</v>
      </c>
      <c r="R1428" t="n">
        <v>0</v>
      </c>
      <c r="S1428">
        <f>IFERROR(O1428/N1428,0)</f>
        <v/>
      </c>
    </row>
    <row r="1429">
      <c r="A1429">
        <f>Skills!A18</f>
        <v/>
      </c>
      <c r="B1429">
        <f>Skills!B18</f>
        <v/>
      </c>
      <c r="C1429">
        <f>Inputs!$B$3&gt;=72</f>
        <v/>
      </c>
      <c r="D1429">
        <f>IF(Skills!C18=1,60+Inputs!$B$25+Inputs!$B$29,IF(Skills!C18=2,90+Inputs!$B$26+Inputs!$B$29,IF(Skills!C18=3,120+Inputs!$B$27+Inputs!$B$29,MAX(0,(Inputs!$B$3-100)*3)+Inputs!$B$28+Inputs!$B$29)))</f>
        <v/>
      </c>
      <c r="E1429">
        <f>INDEX(FactorTable!$B$2:$Y$301, MATCH(ROUND(MIN(300,MAX(1,D1429)),0), FactorTable!$A$2:$A$301,0), Skills!M18+1)</f>
        <v/>
      </c>
      <c r="F1429">
        <f>IF(Skills!N18=TRUE,(Skills!L18/10)*(E1429/1000),Skills!L18/10)+Skills!O18</f>
        <v/>
      </c>
      <c r="G1429">
        <f>Skills!G18*IF(Skills!H18&gt;0,Skills!I18/Skills!H18,1)</f>
        <v/>
      </c>
      <c r="H1429">
        <f>1-(1-Skills!J18/100)^Skills!K18</f>
        <v/>
      </c>
      <c r="I1429" t="inlineStr">
        <is>
          <t>1</t>
        </is>
      </c>
      <c r="J1429" t="inlineStr"/>
      <c r="K1429" t="inlineStr"/>
      <c r="L1429" t="inlineStr"/>
      <c r="M1429" t="inlineStr"/>
      <c r="N1429" t="inlineStr"/>
      <c r="O1429" t="n">
        <v>0</v>
      </c>
      <c r="P1429">
        <f>IF(B1452=0,0,O1429/B1452)</f>
        <v/>
      </c>
      <c r="Q1429" t="n">
        <v>0</v>
      </c>
      <c r="R1429" t="n">
        <v>0</v>
      </c>
      <c r="S1429">
        <f>IFERROR(O1429/N1429,0)</f>
        <v/>
      </c>
    </row>
    <row r="1430">
      <c r="A1430">
        <f>Skills!A19</f>
        <v/>
      </c>
      <c r="B1430">
        <f>Skills!B19</f>
        <v/>
      </c>
      <c r="C1430">
        <f>TRUE</f>
        <v/>
      </c>
      <c r="D1430">
        <f>IF(Skills!C19=1,60+Inputs!$B$25+Inputs!$B$29,IF(Skills!C19=2,90+Inputs!$B$26+Inputs!$B$29,IF(Skills!C19=3,120+Inputs!$B$27+Inputs!$B$29,MAX(0,(Inputs!$B$3-100)*3)+Inputs!$B$28+Inputs!$B$29)))</f>
        <v/>
      </c>
      <c r="E1430">
        <f>INDEX(FactorTable!$B$2:$Y$301, MATCH(ROUND(MIN(300,MAX(1,D1430)),0), FactorTable!$A$2:$A$301,0), Skills!M19+1)</f>
        <v/>
      </c>
      <c r="F1430">
        <f>IF(Skills!N19=TRUE,(Skills!L19/10)*(E1430/1000),Skills!L19/10)+Skills!O19</f>
        <v/>
      </c>
      <c r="G1430">
        <f>Skills!G19*IF(Skills!H19&gt;0,Skills!I19/Skills!H19,1)</f>
        <v/>
      </c>
      <c r="H1430">
        <f>1-(1-Skills!J19/100)^Skills!K19</f>
        <v/>
      </c>
      <c r="I1430" t="inlineStr">
        <is>
          <t>1</t>
        </is>
      </c>
      <c r="J1430" t="inlineStr"/>
      <c r="K1430" t="inlineStr"/>
      <c r="L1430" t="inlineStr"/>
      <c r="M1430" t="inlineStr"/>
      <c r="N1430" t="inlineStr"/>
      <c r="O1430" t="n">
        <v>0</v>
      </c>
      <c r="P1430">
        <f>IF(B1452=0,0,O1430/B1452)</f>
        <v/>
      </c>
      <c r="Q1430">
        <f>IFERROR(1/IF(Inputs!$B$38="pvp",15,MAX(0.1,Skills!D19-IF(Skills!E19=TRUE,3.0,0))),0)</f>
        <v/>
      </c>
      <c r="R1430">
        <f>IF(AND(Inputs!$B$38&lt;&gt;"pvp",Inputs!$B$43&gt;0),IF(Inputs!$B$43&lt;=0,0,(INT(Inputs!$B$43/IF(Inputs!$B$38="pvp",15,MAX(0.1,Skills!D19-IF(Skills!E19=TRUE,3.0,0))))+1)),0)</f>
        <v/>
      </c>
      <c r="S1430">
        <f>IFERROR(O1430/N1430,0)</f>
        <v/>
      </c>
    </row>
    <row r="1431">
      <c r="A1431">
        <f>Skills!A20</f>
        <v/>
      </c>
      <c r="B1431">
        <f>Skills!B20</f>
        <v/>
      </c>
      <c r="C1431">
        <f>Inputs!$B$3&gt;=15</f>
        <v/>
      </c>
      <c r="D1431">
        <f>IF(Skills!C20=1,60+Inputs!$B$25+Inputs!$B$29,IF(Skills!C20=2,90+Inputs!$B$26+Inputs!$B$29,IF(Skills!C20=3,120+Inputs!$B$27+Inputs!$B$29,MAX(0,(Inputs!$B$3-100)*3)+Inputs!$B$28+Inputs!$B$29)))</f>
        <v/>
      </c>
      <c r="E1431">
        <f>INDEX(FactorTable!$B$2:$Y$301, MATCH(ROUND(MIN(300,MAX(1,D1431)),0), FactorTable!$A$2:$A$301,0), Skills!M20+1)</f>
        <v/>
      </c>
      <c r="F1431">
        <f>IF(Skills!N20=TRUE,(Skills!L20/10)*(E1431/1000),Skills!L20/10)+Skills!O20</f>
        <v/>
      </c>
      <c r="G1431">
        <f>Skills!G20*IF(Skills!H20&gt;0,Skills!I20/Skills!H20,1)</f>
        <v/>
      </c>
      <c r="H1431">
        <f>1-(1-Skills!J20/100)^Skills!K20</f>
        <v/>
      </c>
      <c r="I1431" t="inlineStr">
        <is>
          <t>1</t>
        </is>
      </c>
      <c r="J1431" t="inlineStr"/>
      <c r="K1431" t="inlineStr"/>
      <c r="L1431" t="inlineStr"/>
      <c r="M1431" t="inlineStr"/>
      <c r="N1431" t="inlineStr"/>
      <c r="O1431" t="n">
        <v>0</v>
      </c>
      <c r="P1431">
        <f>IF(B1452=0,0,O1431/B1452)</f>
        <v/>
      </c>
      <c r="Q1431" t="n">
        <v>0</v>
      </c>
      <c r="R1431" t="n">
        <v>0</v>
      </c>
      <c r="S1431">
        <f>IFERROR(O1431/N1431,0)</f>
        <v/>
      </c>
    </row>
    <row r="1432">
      <c r="A1432">
        <f>Skills!A21</f>
        <v/>
      </c>
      <c r="B1432">
        <f>Skills!B21</f>
        <v/>
      </c>
      <c r="C1432">
        <f>Inputs!$B$3&gt;=10</f>
        <v/>
      </c>
      <c r="D1432">
        <f>IF(Skills!C21=1,60+Inputs!$B$25+Inputs!$B$29,IF(Skills!C21=2,90+Inputs!$B$26+Inputs!$B$29,IF(Skills!C21=3,120+Inputs!$B$27+Inputs!$B$29,MAX(0,(Inputs!$B$3-100)*3)+Inputs!$B$28+Inputs!$B$29)))</f>
        <v/>
      </c>
      <c r="E1432">
        <f>INDEX(FactorTable!$B$2:$Y$301, MATCH(ROUND(MIN(300,MAX(1,D1432)),0), FactorTable!$A$2:$A$301,0), Skills!M21+1)</f>
        <v/>
      </c>
      <c r="F1432">
        <f>IF(Skills!N21=TRUE,(Skills!L21/10)*(E1432/1000),Skills!L21/10)+Skills!O21</f>
        <v/>
      </c>
      <c r="G1432">
        <f>Skills!G21*IF(Skills!H21&gt;0,Skills!I21/Skills!H21,1)</f>
        <v/>
      </c>
      <c r="H1432">
        <f>1-(1-Skills!J21/100)^Skills!K21</f>
        <v/>
      </c>
      <c r="I1432" t="inlineStr">
        <is>
          <t>1</t>
        </is>
      </c>
      <c r="J1432" t="inlineStr"/>
      <c r="K1432" t="inlineStr"/>
      <c r="L1432" t="inlineStr"/>
      <c r="M1432" t="inlineStr"/>
      <c r="N1432" t="inlineStr"/>
      <c r="O1432" t="n">
        <v>0</v>
      </c>
      <c r="P1432">
        <f>IF(B1452=0,0,O1432/B1452)</f>
        <v/>
      </c>
      <c r="Q1432" t="n">
        <v>0</v>
      </c>
      <c r="R1432" t="n">
        <v>0</v>
      </c>
      <c r="S1432">
        <f>IFERROR(O1432/N1432,0)</f>
        <v/>
      </c>
    </row>
    <row r="1433">
      <c r="A1433">
        <f>Skills!A22</f>
        <v/>
      </c>
      <c r="B1433">
        <f>Skills!B22</f>
        <v/>
      </c>
      <c r="C1433">
        <f>Inputs!$B$3&gt;=33</f>
        <v/>
      </c>
      <c r="D1433">
        <f>IF(Skills!C22=1,60+Inputs!$B$25+Inputs!$B$29,IF(Skills!C22=2,90+Inputs!$B$26+Inputs!$B$29,IF(Skills!C22=3,120+Inputs!$B$27+Inputs!$B$29,MAX(0,(Inputs!$B$3-100)*3)+Inputs!$B$28+Inputs!$B$29)))</f>
        <v/>
      </c>
      <c r="E1433">
        <f>INDEX(FactorTable!$B$2:$Y$301, MATCH(ROUND(MIN(300,MAX(1,D1433)),0), FactorTable!$A$2:$A$301,0), Skills!M22+1)</f>
        <v/>
      </c>
      <c r="F1433">
        <f>IF(Skills!N22=TRUE,(Skills!L22/10)*(E1433/1000),Skills!L22/10)+Skills!O22</f>
        <v/>
      </c>
      <c r="G1433">
        <f>Skills!G22*IF(Skills!H22&gt;0,Skills!I22/Skills!H22,1)</f>
        <v/>
      </c>
      <c r="H1433">
        <f>1-(1-Skills!J22/100)^Skills!K22</f>
        <v/>
      </c>
      <c r="I1433" t="inlineStr">
        <is>
          <t>1</t>
        </is>
      </c>
      <c r="J1433" t="inlineStr"/>
      <c r="K1433" t="inlineStr"/>
      <c r="L1433" t="inlineStr"/>
      <c r="M1433" t="inlineStr"/>
      <c r="N1433" t="inlineStr"/>
      <c r="O1433" t="n">
        <v>0</v>
      </c>
      <c r="P1433">
        <f>IF(B1452=0,0,O1433/B1452)</f>
        <v/>
      </c>
      <c r="Q1433" t="n">
        <v>0</v>
      </c>
      <c r="R1433" t="n">
        <v>0</v>
      </c>
      <c r="S1433">
        <f>IFERROR(O1433/N1433,0)</f>
        <v/>
      </c>
    </row>
    <row r="1434">
      <c r="A1434">
        <f>Skills!A23</f>
        <v/>
      </c>
      <c r="B1434">
        <f>Skills!B23</f>
        <v/>
      </c>
      <c r="C1434">
        <f>Inputs!$B$3&gt;=38</f>
        <v/>
      </c>
      <c r="D1434">
        <f>IF(Skills!C23=1,60+Inputs!$B$25+Inputs!$B$29,IF(Skills!C23=2,90+Inputs!$B$26+Inputs!$B$29,IF(Skills!C23=3,120+Inputs!$B$27+Inputs!$B$29,MAX(0,(Inputs!$B$3-100)*3)+Inputs!$B$28+Inputs!$B$29)))</f>
        <v/>
      </c>
      <c r="E1434">
        <f>INDEX(FactorTable!$B$2:$Y$301, MATCH(ROUND(MIN(300,MAX(1,D1434)),0), FactorTable!$A$2:$A$301,0), Skills!M23+1)</f>
        <v/>
      </c>
      <c r="F1434">
        <f>IF(Skills!N23=TRUE,(Skills!L23/10)*(E1434/1000),Skills!L23/10)+Skills!O23</f>
        <v/>
      </c>
      <c r="G1434">
        <f>Skills!G23*IF(Skills!H23&gt;0,Skills!I23/Skills!H23,1)</f>
        <v/>
      </c>
      <c r="H1434">
        <f>1-(1-Skills!J23/100)^Skills!K23</f>
        <v/>
      </c>
      <c r="I1434" t="inlineStr">
        <is>
          <t>1</t>
        </is>
      </c>
      <c r="J1434" t="inlineStr"/>
      <c r="K1434" t="inlineStr"/>
      <c r="L1434" t="inlineStr"/>
      <c r="M1434" t="inlineStr"/>
      <c r="N1434" t="inlineStr"/>
      <c r="O1434" t="n">
        <v>0</v>
      </c>
      <c r="P1434">
        <f>IF(B1452=0,0,O1434/B1452)</f>
        <v/>
      </c>
      <c r="Q1434" t="n">
        <v>0</v>
      </c>
      <c r="R1434" t="n">
        <v>0</v>
      </c>
      <c r="S1434">
        <f>IFERROR(O1434/N1434,0)</f>
        <v/>
      </c>
    </row>
    <row r="1435">
      <c r="A1435">
        <f>Skills!A24</f>
        <v/>
      </c>
      <c r="B1435">
        <f>Skills!B24</f>
        <v/>
      </c>
      <c r="C1435">
        <f>Inputs!$B$3&gt;=43</f>
        <v/>
      </c>
      <c r="D1435">
        <f>IF(Skills!C24=1,60+Inputs!$B$25+Inputs!$B$29,IF(Skills!C24=2,90+Inputs!$B$26+Inputs!$B$29,IF(Skills!C24=3,120+Inputs!$B$27+Inputs!$B$29,MAX(0,(Inputs!$B$3-100)*3)+Inputs!$B$28+Inputs!$B$29)))</f>
        <v/>
      </c>
      <c r="E1435">
        <f>INDEX(FactorTable!$B$2:$Y$301, MATCH(ROUND(MIN(300,MAX(1,D1435)),0), FactorTable!$A$2:$A$301,0), Skills!M24+1)</f>
        <v/>
      </c>
      <c r="F1435">
        <f>IF(Skills!N24=TRUE,(Skills!L24/10)*(E1435/1000),Skills!L24/10)+Skills!O24</f>
        <v/>
      </c>
      <c r="G1435">
        <f>Skills!G24*IF(Skills!H24&gt;0,Skills!I24/Skills!H24,1)</f>
        <v/>
      </c>
      <c r="H1435">
        <f>1-(1-Skills!J24/100)^Skills!K24</f>
        <v/>
      </c>
      <c r="I1435" t="inlineStr">
        <is>
          <t>1</t>
        </is>
      </c>
      <c r="J1435" t="inlineStr"/>
      <c r="K1435" t="inlineStr"/>
      <c r="L1435" t="inlineStr"/>
      <c r="M1435" t="inlineStr"/>
      <c r="N1435" t="inlineStr"/>
      <c r="O1435" t="n">
        <v>0</v>
      </c>
      <c r="P1435">
        <f>IF(B1452=0,0,O1435/B1452)</f>
        <v/>
      </c>
      <c r="Q1435" t="n">
        <v>0</v>
      </c>
      <c r="R1435" t="n">
        <v>0</v>
      </c>
      <c r="S1435">
        <f>IFERROR(O1435/N1435,0)</f>
        <v/>
      </c>
    </row>
    <row r="1436">
      <c r="A1436">
        <f>Skills!A25</f>
        <v/>
      </c>
      <c r="B1436">
        <f>Skills!B25</f>
        <v/>
      </c>
      <c r="C1436">
        <f>Inputs!$B$3&gt;=75</f>
        <v/>
      </c>
      <c r="D1436">
        <f>IF(Skills!C25=1,60+Inputs!$B$25+Inputs!$B$29,IF(Skills!C25=2,90+Inputs!$B$26+Inputs!$B$29,IF(Skills!C25=3,120+Inputs!$B$27+Inputs!$B$29,MAX(0,(Inputs!$B$3-100)*3)+Inputs!$B$28+Inputs!$B$29)))</f>
        <v/>
      </c>
      <c r="E1436">
        <f>INDEX(FactorTable!$B$2:$Y$301, MATCH(ROUND(MIN(300,MAX(1,D1436)),0), FactorTable!$A$2:$A$301,0), Skills!M25+1)</f>
        <v/>
      </c>
      <c r="F1436">
        <f>IF(Skills!N25=TRUE,(Skills!L25/10)*(E1436/1000),Skills!L25/10)+Skills!O25</f>
        <v/>
      </c>
      <c r="G1436">
        <f>Skills!G25*IF(Skills!H25&gt;0,Skills!I25/Skills!H25,1)</f>
        <v/>
      </c>
      <c r="H1436">
        <f>1-(1-Skills!J25/100)^Skills!K25</f>
        <v/>
      </c>
      <c r="I1436" t="inlineStr">
        <is>
          <t>1</t>
        </is>
      </c>
      <c r="J1436" t="inlineStr"/>
      <c r="K1436" t="inlineStr"/>
      <c r="L1436" t="inlineStr"/>
      <c r="M1436" t="inlineStr"/>
      <c r="N1436" t="inlineStr"/>
      <c r="O1436" t="n">
        <v>0</v>
      </c>
      <c r="P1436">
        <f>IF(B1452=0,0,O1436/B1452)</f>
        <v/>
      </c>
      <c r="Q1436" t="n">
        <v>0</v>
      </c>
      <c r="R1436" t="n">
        <v>0</v>
      </c>
      <c r="S1436">
        <f>IFERROR(O1436/N1436,0)</f>
        <v/>
      </c>
    </row>
    <row r="1437">
      <c r="A1437">
        <f>Skills!A26</f>
        <v/>
      </c>
      <c r="B1437">
        <f>Skills!B26</f>
        <v/>
      </c>
      <c r="C1437">
        <f>Inputs!$B$3&gt;=125</f>
        <v/>
      </c>
      <c r="D1437">
        <f>IF(Skills!C26=1,60+Inputs!$B$25+Inputs!$B$29,IF(Skills!C26=2,90+Inputs!$B$26+Inputs!$B$29,IF(Skills!C26=3,120+Inputs!$B$27+Inputs!$B$29,MAX(0,(Inputs!$B$3-100)*3)+Inputs!$B$28+Inputs!$B$29)))</f>
        <v/>
      </c>
      <c r="E1437">
        <f>INDEX(FactorTable!$B$2:$Y$301, MATCH(ROUND(MIN(300,MAX(1,D1437)),0), FactorTable!$A$2:$A$301,0), Skills!M26+1)</f>
        <v/>
      </c>
      <c r="F1437">
        <f>IF(Skills!N26=TRUE,(Skills!L26/10)*(E1437/1000),Skills!L26/10)+Skills!O26</f>
        <v/>
      </c>
      <c r="G1437">
        <f>Skills!G26*IF(Skills!H26&gt;0,Skills!I26/Skills!H26,1)</f>
        <v/>
      </c>
      <c r="H1437">
        <f>1-(1-Skills!J26/100)^Skills!K26</f>
        <v/>
      </c>
      <c r="I1437" t="inlineStr">
        <is>
          <t>1</t>
        </is>
      </c>
      <c r="J1437" t="inlineStr"/>
      <c r="K1437" t="inlineStr"/>
      <c r="L1437" t="inlineStr"/>
      <c r="M1437" t="inlineStr"/>
      <c r="N1437" t="inlineStr"/>
      <c r="O1437" t="n">
        <v>0</v>
      </c>
      <c r="P1437">
        <f>IF(B1452=0,0,O1437/B1452)</f>
        <v/>
      </c>
      <c r="Q1437" t="n">
        <v>0</v>
      </c>
      <c r="R1437" t="n">
        <v>0</v>
      </c>
      <c r="S1437">
        <f>IFERROR(O1437/N1437,0)</f>
        <v/>
      </c>
    </row>
    <row r="1438">
      <c r="A1438">
        <f>Skills!A27</f>
        <v/>
      </c>
      <c r="B1438">
        <f>Skills!B27</f>
        <v/>
      </c>
      <c r="C1438">
        <f>Inputs!$B$3&gt;=125</f>
        <v/>
      </c>
      <c r="D1438">
        <f>IF(Skills!C27=1,60+Inputs!$B$25+Inputs!$B$29,IF(Skills!C27=2,90+Inputs!$B$26+Inputs!$B$29,IF(Skills!C27=3,120+Inputs!$B$27+Inputs!$B$29,MAX(0,(Inputs!$B$3-100)*3)+Inputs!$B$28+Inputs!$B$29)))</f>
        <v/>
      </c>
      <c r="E1438">
        <f>INDEX(FactorTable!$B$2:$Y$301, MATCH(ROUND(MIN(300,MAX(1,D1438)),0), FactorTable!$A$2:$A$301,0), Skills!M27+1)</f>
        <v/>
      </c>
      <c r="F1438">
        <f>IF(Skills!N27=TRUE,(Skills!L27/10)*(E1438/1000),Skills!L27/10)+Skills!O27</f>
        <v/>
      </c>
      <c r="G1438">
        <f>Skills!G27*IF(Skills!H27&gt;0,Skills!I27/Skills!H27,1)</f>
        <v/>
      </c>
      <c r="H1438">
        <f>1-(1-Skills!J27/100)^Skills!K27</f>
        <v/>
      </c>
      <c r="I1438" t="inlineStr">
        <is>
          <t>1</t>
        </is>
      </c>
      <c r="J1438" t="inlineStr"/>
      <c r="K1438" t="inlineStr"/>
      <c r="L1438" t="inlineStr"/>
      <c r="M1438" t="inlineStr"/>
      <c r="N1438" t="inlineStr"/>
      <c r="O1438" t="n">
        <v>0</v>
      </c>
      <c r="P1438">
        <f>IF(B1452=0,0,O1438/B1452)</f>
        <v/>
      </c>
      <c r="Q1438" t="n">
        <v>0</v>
      </c>
      <c r="R1438" t="n">
        <v>0</v>
      </c>
      <c r="S1438">
        <f>IFERROR(O1438/N1438,0)</f>
        <v/>
      </c>
    </row>
    <row r="1439">
      <c r="A1439">
        <f>Skills!A28</f>
        <v/>
      </c>
      <c r="B1439">
        <f>Skills!B28</f>
        <v/>
      </c>
      <c r="C1439">
        <f>Inputs!$B$3&gt;=120</f>
        <v/>
      </c>
      <c r="D1439">
        <f>IF(Skills!C28=1,60+Inputs!$B$25+Inputs!$B$29,IF(Skills!C28=2,90+Inputs!$B$26+Inputs!$B$29,IF(Skills!C28=3,120+Inputs!$B$27+Inputs!$B$29,MAX(0,(Inputs!$B$3-100)*3)+Inputs!$B$28+Inputs!$B$29)))</f>
        <v/>
      </c>
      <c r="E1439">
        <f>INDEX(FactorTable!$B$2:$Y$301, MATCH(ROUND(MIN(300,MAX(1,D1439)),0), FactorTable!$A$2:$A$301,0), Skills!M28+1)</f>
        <v/>
      </c>
      <c r="F1439">
        <f>IF(Skills!N28=TRUE,(Skills!L28/10)*(E1439/1000),Skills!L28/10)+Skills!O28</f>
        <v/>
      </c>
      <c r="G1439">
        <f>Skills!G28*IF(Skills!H28&gt;0,Skills!I28/Skills!H28,1)</f>
        <v/>
      </c>
      <c r="H1439">
        <f>1-(1-Skills!J28/100)^Skills!K28</f>
        <v/>
      </c>
      <c r="I1439" t="inlineStr">
        <is>
          <t>1</t>
        </is>
      </c>
      <c r="J1439" t="inlineStr"/>
      <c r="K1439" t="inlineStr"/>
      <c r="L1439" t="inlineStr"/>
      <c r="M1439" t="inlineStr"/>
      <c r="N1439" t="inlineStr"/>
      <c r="O1439" t="n">
        <v>0</v>
      </c>
      <c r="P1439">
        <f>IF(B1452=0,0,O1439/B1452)</f>
        <v/>
      </c>
      <c r="Q1439" t="n">
        <v>0</v>
      </c>
      <c r="R1439" t="n">
        <v>0</v>
      </c>
      <c r="S1439">
        <f>IFERROR(O1439/N1439,0)</f>
        <v/>
      </c>
    </row>
    <row r="1440">
      <c r="A1440">
        <f>Skills!A29</f>
        <v/>
      </c>
      <c r="B1440">
        <f>Skills!B29</f>
        <v/>
      </c>
      <c r="C1440">
        <f>Inputs!$B$3&gt;=120</f>
        <v/>
      </c>
      <c r="D1440">
        <f>IF(Skills!C29=1,60+Inputs!$B$25+Inputs!$B$29,IF(Skills!C29=2,90+Inputs!$B$26+Inputs!$B$29,IF(Skills!C29=3,120+Inputs!$B$27+Inputs!$B$29,MAX(0,(Inputs!$B$3-100)*3)+Inputs!$B$28+Inputs!$B$29)))</f>
        <v/>
      </c>
      <c r="E1440">
        <f>INDEX(FactorTable!$B$2:$Y$301, MATCH(ROUND(MIN(300,MAX(1,D1440)),0), FactorTable!$A$2:$A$301,0), Skills!M29+1)</f>
        <v/>
      </c>
      <c r="F1440">
        <f>IF(Skills!N29=TRUE,(Skills!L29/10)*(E1440/1000),Skills!L29/10)+Skills!O29</f>
        <v/>
      </c>
      <c r="G1440">
        <f>Skills!G29*IF(Skills!H29&gt;0,Skills!I29/Skills!H29,1)</f>
        <v/>
      </c>
      <c r="H1440">
        <f>1-(1-Skills!J29/100)^Skills!K29</f>
        <v/>
      </c>
      <c r="I1440" t="inlineStr">
        <is>
          <t>1</t>
        </is>
      </c>
      <c r="J1440" t="inlineStr"/>
      <c r="K1440" t="inlineStr"/>
      <c r="L1440" t="inlineStr"/>
      <c r="M1440" t="inlineStr"/>
      <c r="N1440" t="inlineStr"/>
      <c r="O1440" t="n">
        <v>0</v>
      </c>
      <c r="P1440">
        <f>IF(B1452=0,0,O1440/B1452)</f>
        <v/>
      </c>
      <c r="Q1440" t="n">
        <v>0</v>
      </c>
      <c r="R1440" t="n">
        <v>0</v>
      </c>
      <c r="S1440">
        <f>IFERROR(O1440/N1440,0)</f>
        <v/>
      </c>
    </row>
    <row r="1441">
      <c r="A1441">
        <f>Skills!A30</f>
        <v/>
      </c>
      <c r="B1441">
        <f>Skills!B30</f>
        <v/>
      </c>
      <c r="C1441">
        <f>Inputs!$B$3&gt;=45</f>
        <v/>
      </c>
      <c r="D1441">
        <f>IF(Skills!C30=1,60+Inputs!$B$25+Inputs!$B$29,IF(Skills!C30=2,90+Inputs!$B$26+Inputs!$B$29,IF(Skills!C30=3,120+Inputs!$B$27+Inputs!$B$29,MAX(0,(Inputs!$B$3-100)*3)+Inputs!$B$28+Inputs!$B$29)))</f>
        <v/>
      </c>
      <c r="E1441">
        <f>INDEX(FactorTable!$B$2:$Y$301, MATCH(ROUND(MIN(300,MAX(1,D1441)),0), FactorTable!$A$2:$A$301,0), Skills!M30+1)</f>
        <v/>
      </c>
      <c r="F1441">
        <f>IF(Skills!N30=TRUE,(Skills!L30/10)*(E1441/1000),Skills!L30/10)+Skills!O30</f>
        <v/>
      </c>
      <c r="G1441">
        <f>Skills!G30*IF(Skills!H30&gt;0,Skills!I30/Skills!H30,1)</f>
        <v/>
      </c>
      <c r="H1441">
        <f>1-(1-Skills!J30/100)^Skills!K30</f>
        <v/>
      </c>
      <c r="I1441" t="inlineStr">
        <is>
          <t>1</t>
        </is>
      </c>
      <c r="J1441" t="inlineStr"/>
      <c r="K1441" t="inlineStr"/>
      <c r="L1441" t="inlineStr"/>
      <c r="M1441" t="inlineStr"/>
      <c r="N1441" t="inlineStr"/>
      <c r="O1441" t="n">
        <v>0</v>
      </c>
      <c r="P1441">
        <f>IF(B1452=0,0,O1441/B1452)</f>
        <v/>
      </c>
      <c r="Q1441" t="n">
        <v>0</v>
      </c>
      <c r="R1441" t="n">
        <v>0</v>
      </c>
      <c r="S1441">
        <f>IFERROR(O1441/N1441,0)</f>
        <v/>
      </c>
    </row>
    <row r="1443">
      <c r="A1443" t="inlineStr">
        <is>
          <t>Attack% Bucket Multiplier</t>
        </is>
      </c>
      <c r="B1443">
        <f>(1+(((C1424=TRUE)*F1424)+((C1425=TRUE)*IF(Inputs!$B$38="pvp",F1425,(1-Summary!$B$55)*(F1425)+Summary!$B$55*(0)))+((C1426=TRUE)*F1426*IF(AND(Inputs!$B$38&lt;&gt;"pvp",Inputs!$B$43&gt;0),(((R1426-1)*(Skills!T15*(1+Inputs!$B$34/100))+MIN((Skills!T15*(1+Inputs!$B$34/100)),MAX(0,Inputs!$B$43-((R1426-1)*Skills!D15))))/Inputs!$B$43),IF(Inputs!$B$38="pvp",MIN((Skills!T15*(1+Inputs!$B$34/100)),15)/15,(Skills!T15*(1+Inputs!$B$34/100))/Skills!D15)))+((C1441=TRUE)*(F1441-Calc!F30)))/100)</f>
        <v/>
      </c>
    </row>
    <row r="1444">
      <c r="A1444" t="inlineStr">
        <is>
          <t>Global Crit Rate Bonus %</t>
        </is>
      </c>
      <c r="B1444">
        <f>(C1427=TRUE)*20*IF(AND(Inputs!$B$38&lt;&gt;"pvp",Inputs!$B$43&gt;0),(((R1427-1)*(Skills!T16*(1+Inputs!$B$34/100))+MIN((Skills!T16*(1+Inputs!$B$34/100)),MAX(0,Inputs!$B$43-((R1427-1)*Skills!D16))))/Inputs!$B$43),IF(Inputs!$B$38="pvp",MIN((Skills!T16*(1+Inputs!$B$34/100)),15)/15,(Skills!T16*(1+Inputs!$B$34/100))/Skills!D16))</f>
        <v/>
      </c>
    </row>
    <row r="1445">
      <c r="A1445" t="inlineStr">
        <is>
          <t>Attack Speed Buff Bonus %</t>
        </is>
      </c>
      <c r="B1445">
        <f>((C1430=TRUE)*F1430*IF(AND(Inputs!$B$38&lt;&gt;"pvp",Inputs!$B$43&gt;0),(((R1430-1)*(Skills!T19*(1+Inputs!$B$34/100))+MIN((Skills!T19*(1+Inputs!$B$34/100)),MAX(0,Inputs!$B$43-((R1430-1)*Skills!D19))))/Inputs!$B$43),IF(Inputs!$B$38="pvp",MIN((Skills!T19*(1+Inputs!$B$34/100)),15)/15,(Skills!T19*(1+Inputs!$B$34/100))/Skills!D19)))</f>
        <v/>
      </c>
    </row>
    <row r="1446">
      <c r="A1446" t="inlineStr">
        <is>
          <t>Actions Per Second</t>
        </is>
      </c>
      <c r="B1446">
        <f>1+MIN(150,150*(1-(1-(Inputs!$B$11+((C1432=TRUE)*(F1432-Calc!F21))+((C1433=TRUE)*(F1433-Calc!F22)))/150)*(1-B1445/150)))/100</f>
        <v/>
      </c>
    </row>
    <row r="1447">
      <c r="A1447" t="inlineStr">
        <is>
          <t>Skill + Buff Cast Rate</t>
        </is>
      </c>
      <c r="B1447">
        <f>IF(AND(Inputs!$B$38&lt;&gt;"pvp",Inputs!$B$43&gt;0),SUMPRODUCT((Skills!E2:E30=TRUE)*(C1413:C1441=TRUE)*R1413:R1441*Skills!F2:F30)/Inputs!$B$43,SUMPRODUCT((Skills!E2:E30=TRUE)*(C1413:C1441=TRUE)*Q1413:Q1441*Skills!F2:F30))</f>
        <v/>
      </c>
    </row>
    <row r="1448">
      <c r="A1448" t="inlineStr">
        <is>
          <t>Arrow Stream Casts Per Second</t>
        </is>
      </c>
      <c r="B1448">
        <f>MAX(0,B1446-B1447)</f>
        <v/>
      </c>
    </row>
    <row r="1449">
      <c r="A1449" t="inlineStr">
        <is>
          <t>Global Critical Damage Bonus % (Sharp Eyes + Concentration)</t>
        </is>
      </c>
      <c r="B1449">
        <f>(C1427=TRUE)*F1427*IF(AND(Inputs!$B$38&lt;&gt;"pvp",Inputs!$B$43&gt;0),(((R1427-1)*(Skills!T16*(1+Inputs!$B$34/100))+MIN((Skills!T16*(1+Inputs!$B$34/100)),MAX(0,Inputs!$B$43-((R1427-1)*Skills!D16))))/Inputs!$B$43),IF(Inputs!$B$38="pvp",MIN((Skills!T16*(1+Inputs!$B$34/100)),15)/15,(Skills!T16*(1+Inputs!$B$34/100))/Skills!D16))+(C1428=TRUE)*30</f>
        <v/>
      </c>
    </row>
    <row r="1450">
      <c r="A1450" t="inlineStr">
        <is>
          <t>Global Final Damage Bonus % (Mortal Blow)</t>
        </is>
      </c>
      <c r="B1450">
        <f>(C1429=TRUE)*F1429</f>
        <v/>
      </c>
    </row>
    <row r="1451">
      <c r="A1451" t="inlineStr">
        <is>
          <t>Buff-Casting Startup Delay (s, fixed-duration only)</t>
        </is>
      </c>
      <c r="B1451">
        <f>IF(AND(Inputs!$B$38&lt;&gt;"pvp",Inputs!$B$43&gt;0),SUMPRODUCT((Skills!T2:T30&gt;0)*(Skills!E2:E30=TRUE)*(C1413:C1441=TRUE))/B1446,0)</f>
        <v/>
      </c>
    </row>
    <row r="1452">
      <c r="A1452" s="5" t="inlineStr">
        <is>
          <t>TOTAL DPS</t>
        </is>
      </c>
      <c r="B1452" s="5">
        <f>SUM(O1413:O1441)</f>
        <v/>
      </c>
    </row>
    <row r="1455">
      <c r="A1455" s="5" t="inlineStr">
        <is>
          <t>Stat: CDR = 3.5s</t>
        </is>
      </c>
    </row>
    <row r="1456">
      <c r="A1456" s="9" t="inlineStr">
        <is>
          <t>Key</t>
        </is>
      </c>
      <c r="B1456" s="9" t="inlineStr">
        <is>
          <t>Name</t>
        </is>
      </c>
      <c r="C1456" s="9" t="inlineStr">
        <is>
          <t>Unlocked</t>
        </is>
      </c>
      <c r="D1456" s="9" t="inlineStr">
        <is>
          <t>InputLevel</t>
        </is>
      </c>
      <c r="E1456" s="9" t="inlineStr">
        <is>
          <t>Factor</t>
        </is>
      </c>
      <c r="F1456" s="9" t="inlineStr">
        <is>
          <t>CoefficientPercent</t>
        </is>
      </c>
      <c r="G1456" s="9" t="inlineStr">
        <is>
          <t>EffectiveHits</t>
        </is>
      </c>
      <c r="H1456" s="9" t="inlineStr">
        <is>
          <t>ProcProbability</t>
        </is>
      </c>
      <c r="I1456" s="9" t="inlineStr">
        <is>
          <t>MapleHeroMultiplier</t>
        </is>
      </c>
      <c r="J1456" s="9" t="inlineStr">
        <is>
          <t>BaseDamage</t>
        </is>
      </c>
      <c r="K1456" s="9" t="inlineStr">
        <is>
          <t>BaseHitDamage</t>
        </is>
      </c>
      <c r="L1456" s="9" t="inlineStr">
        <is>
          <t>NonCritAvg</t>
        </is>
      </c>
      <c r="M1456" s="9" t="inlineStr">
        <is>
          <t>CritAvg</t>
        </is>
      </c>
      <c r="N1456" s="9" t="inlineStr">
        <is>
          <t>ExpectedDamage(perHit)</t>
        </is>
      </c>
      <c r="O1456" s="9" t="inlineStr">
        <is>
          <t>DPS</t>
        </is>
      </c>
      <c r="P1456" s="9" t="inlineStr">
        <is>
          <t>% of Total</t>
        </is>
      </c>
      <c r="Q1456" s="9" t="inlineStr">
        <is>
          <t>InvCooldown</t>
        </is>
      </c>
      <c r="R1456" s="9" t="inlineStr">
        <is>
          <t>CastsInFight</t>
        </is>
      </c>
      <c r="S1456" s="9" t="inlineStr">
        <is>
          <t>HitRate(perSec)</t>
        </is>
      </c>
      <c r="U1456" t="inlineStr">
        <is>
          <t>helpers</t>
        </is>
      </c>
    </row>
    <row r="1457">
      <c r="A1457">
        <f>Skills!A2</f>
        <v/>
      </c>
      <c r="B1457">
        <f>Skills!B2</f>
        <v/>
      </c>
      <c r="C1457">
        <f>Inputs!$B$3&gt;=100</f>
        <v/>
      </c>
      <c r="D1457" t="inlineStr"/>
      <c r="E1457" t="inlineStr"/>
      <c r="F1457">
        <f>U1459+Skills!O2</f>
        <v/>
      </c>
      <c r="G1457">
        <f>Skills!G2*IF(Skills!H2&gt;0,Skills!I2/Skills!H2,1)</f>
        <v/>
      </c>
      <c r="H1457">
        <f>1-(1-Skills!J2/100)^Skills!K2</f>
        <v/>
      </c>
      <c r="I1457" t="inlineStr">
        <is>
          <t>1</t>
        </is>
      </c>
      <c r="J1457">
        <f>((Inputs!$B$6*(1+Inputs!$B$7/100))+(((Inputs!$B$12*(1+Inputs!$B$13/100))-(Inputs!$B$12*(1+Inputs!$B$13/100)))+0.25*(Inputs!$B$14-Inputs!$B$14))*(1+Inputs!$B$7/100))*(F1457/100)</f>
        <v/>
      </c>
      <c r="K1457">
        <f>J1457*(1+((Inputs!$B$12*(1+Inputs!$B$13/100))*0.01+Inputs!$B$14*0.0025)/100)*(1+Inputs!$B$15/100)*(1+IF(Inputs!$B$38="pvp",0,(1-Summary!$B$55)*(Inputs!$B$20+0+Skills!P2)+Summary!$B$55*(Inputs!$B$21+Skills!Q2))/100)*(1+Inputs!$B$16/100)*(5000/(6000+Inputs!$B$42*(1-(Inputs!$B$19+((C1482=TRUE)*(F1482-Calc!F27)))/100)))*(1+(Inputs!$B$24+((C1480=TRUE)*(F1480-Calc!F25))+((C1481=TRUE)*(F1481-Calc!F26))+B1494)/100)*(1+(IF(Skills!A2="ARROW_STREAM",Inputs!$B$17+((C1478=TRUE)*(F1478-Calc!F23)),Inputs!$B$18+((C1483=TRUE)*(F1483-Calc!F28))))/100)*((1+(((C1468=TRUE)*F1468)+((C1469=TRUE)*IF(Inputs!$B$38="pvp",F1469,(1-Summary!$B$55)*(F1469)+Summary!$B$55*(0)))+((C1470=TRUE)*F1470*IF(AND(Inputs!$B$38&lt;&gt;"pvp",Inputs!$B$43&gt;0),(((R1470-1)*(Skills!T15*(1+Inputs!$B$34/100))+MIN((Skills!T15*(1+Inputs!$B$34/100)),MAX(0,Inputs!$B$43-((R1470-1)*Skills!D15))))/Inputs!$B$43),IF(Inputs!$B$38="pvp",MIN((Skills!T15*(1+Inputs!$B$34/100)),15)/15,(Skills!T15*(1+Inputs!$B$34/100))/Skills!D15)))+((C1485=TRUE)*(F1485-Calc!F30)))/100)*I1457)</f>
        <v/>
      </c>
      <c r="L1457">
        <f>K1457*(MIN(Inputs!$B$22+((C1479=TRUE)*(F1479-Calc!F24)),Inputs!$B$23+((C1484=TRUE)*(F1484-Calc!F29)))/100+(Inputs!$B$23+((C1484=TRUE)*(F1484-Calc!F29)))/100)/2</f>
        <v/>
      </c>
      <c r="M1457">
        <f>L1457*(1+(Inputs!$B$10+0+B1493)/100)</f>
        <v/>
      </c>
      <c r="N1457">
        <f>L1457*(1-MIN((Inputs!$B$9+((C1475=TRUE)*(F1475-Calc!F20))+B1488),100)/100)+M1457*(MIN((Inputs!$B$9+((C1475=TRUE)*(F1475-Calc!F20))+B1488),100)/100)</f>
        <v/>
      </c>
      <c r="O1457">
        <f>IF(C1457,Skills!G2*N1457*B1492*IF(Inputs!$B$38="pvp",1,(1-Summary!$B$55)*(1)+Summary!$B$55*(MIN((6+Inputs!$B$33),Inputs!$B$37))),0)</f>
        <v/>
      </c>
      <c r="P1457">
        <f>IF(B1496=0,0,O1457/B1496)</f>
        <v/>
      </c>
      <c r="Q1457" t="n">
        <v>0</v>
      </c>
      <c r="R1457" t="n">
        <v>0</v>
      </c>
      <c r="S1457">
        <f>IFERROR(O1457/N1457,0)</f>
        <v/>
      </c>
      <c r="U1457">
        <f>MAX(0,(Inputs!$B$3-100)*3)+Inputs!$B$28+Inputs!$B$29</f>
        <v/>
      </c>
    </row>
    <row r="1458">
      <c r="A1458">
        <f>Skills!A3</f>
        <v/>
      </c>
      <c r="B1458">
        <f>Skills!B3</f>
        <v/>
      </c>
      <c r="C1458">
        <f>Inputs!$B$3&gt;=50</f>
        <v/>
      </c>
      <c r="D1458">
        <f>IF(Skills!C3=1,60+Inputs!$B$25+Inputs!$B$29,IF(Skills!C3=2,90+Inputs!$B$26+Inputs!$B$29,IF(Skills!C3=3,120+Inputs!$B$27+Inputs!$B$29,MAX(0,(Inputs!$B$3-100)*3)+Inputs!$B$28+Inputs!$B$29)))</f>
        <v/>
      </c>
      <c r="E1458">
        <f>INDEX(FactorTable!$B$2:$Y$301, MATCH(ROUND(MIN(300,MAX(1,D1458)),0), FactorTable!$A$2:$A$301,0), Skills!M3+1)</f>
        <v/>
      </c>
      <c r="F1458">
        <f>IF(Skills!N3=TRUE,(Skills!L3/10)*(E1458/1000),Skills!L3/10)+Skills!O3</f>
        <v/>
      </c>
      <c r="G1458" t="inlineStr"/>
      <c r="H1458" t="inlineStr"/>
      <c r="I1458" t="inlineStr">
        <is>
          <t>1</t>
        </is>
      </c>
      <c r="J1458" t="inlineStr"/>
      <c r="K1458" t="inlineStr"/>
      <c r="L1458" t="inlineStr"/>
      <c r="M1458" t="inlineStr"/>
      <c r="N1458" t="inlineStr"/>
      <c r="O1458" t="inlineStr"/>
      <c r="P1458" t="inlineStr"/>
      <c r="Q1458" t="inlineStr"/>
      <c r="R1458" t="inlineStr"/>
      <c r="S1458" t="inlineStr"/>
      <c r="U1458">
        <f>INDEX(FactorTable!$B$2:$Y$301, MATCH(ROUND(MIN(300,MAX(1,U1457)),0), FactorTable!$A$2:$A$301,0), 22)</f>
        <v/>
      </c>
    </row>
    <row r="1459">
      <c r="A1459">
        <f>Skills!A4</f>
        <v/>
      </c>
      <c r="B1459">
        <f>Skills!B4</f>
        <v/>
      </c>
      <c r="C1459">
        <f>Inputs!$B$3&gt;=105</f>
        <v/>
      </c>
      <c r="D1459">
        <f>IF(Skills!C4=1,60+Inputs!$B$25+Inputs!$B$29,IF(Skills!C4=2,90+Inputs!$B$26+Inputs!$B$29,IF(Skills!C4=3,120+Inputs!$B$27+Inputs!$B$29,MAX(0,(Inputs!$B$3-100)*3)+Inputs!$B$28+Inputs!$B$29)))</f>
        <v/>
      </c>
      <c r="E1459">
        <f>INDEX(FactorTable!$B$2:$Y$301, MATCH(ROUND(MIN(300,MAX(1,D1459)),0), FactorTable!$A$2:$A$301,0), Skills!M4+1)</f>
        <v/>
      </c>
      <c r="F1459">
        <f>IF(Skills!N4=TRUE,(Skills!L4/10)*(E1459/1000),Skills!L4/10)+Skills!O4</f>
        <v/>
      </c>
      <c r="G1459" t="inlineStr"/>
      <c r="H1459" t="inlineStr"/>
      <c r="I1459" t="inlineStr">
        <is>
          <t>1</t>
        </is>
      </c>
      <c r="J1459" t="inlineStr"/>
      <c r="K1459" t="inlineStr"/>
      <c r="L1459" t="inlineStr"/>
      <c r="M1459" t="inlineStr"/>
      <c r="N1459" t="inlineStr"/>
      <c r="O1459" t="inlineStr"/>
      <c r="P1459" t="inlineStr"/>
      <c r="Q1459" t="inlineStr"/>
      <c r="R1459" t="inlineStr"/>
      <c r="S1459" t="inlineStr"/>
      <c r="U1459">
        <f>290*U1458/1000</f>
        <v/>
      </c>
    </row>
    <row r="1460">
      <c r="A1460">
        <f>Skills!A5</f>
        <v/>
      </c>
      <c r="B1460">
        <f>Skills!B5</f>
        <v/>
      </c>
      <c r="C1460">
        <f>Inputs!$B$3&gt;=35</f>
        <v/>
      </c>
      <c r="D1460">
        <f>IF(Skills!C5=1,60+Inputs!$B$25+Inputs!$B$29,IF(Skills!C5=2,90+Inputs!$B$26+Inputs!$B$29,IF(Skills!C5=3,120+Inputs!$B$27+Inputs!$B$29,MAX(0,(Inputs!$B$3-100)*3)+Inputs!$B$28+Inputs!$B$29)))</f>
        <v/>
      </c>
      <c r="E1460">
        <f>INDEX(FactorTable!$B$2:$Y$301, MATCH(ROUND(MIN(300,MAX(1,D1460)),0), FactorTable!$A$2:$A$301,0), Skills!M5+1)</f>
        <v/>
      </c>
      <c r="F1460">
        <f>IF(Skills!N5=TRUE,(Skills!L5/10)*(E1460/1000),Skills!L5/10)+Skills!O5</f>
        <v/>
      </c>
      <c r="G1460">
        <f>Skills!G5*IF(Skills!H5&gt;0,Skills!I5/Skills!H5,1)</f>
        <v/>
      </c>
      <c r="H1460">
        <f>1-(1-Skills!J5/100)^Skills!K5</f>
        <v/>
      </c>
      <c r="I1460" t="inlineStr">
        <is>
          <t>1</t>
        </is>
      </c>
      <c r="J1460">
        <f>((Inputs!$B$6*(1+Inputs!$B$7/100))+(((Inputs!$B$12*(1+Inputs!$B$13/100))-(Inputs!$B$12*(1+Inputs!$B$13/100)))+0.25*(Inputs!$B$14-Inputs!$B$14))*(1+Inputs!$B$7/100))*(F1460/100)</f>
        <v/>
      </c>
      <c r="K1460">
        <f>J1460*(1+((Inputs!$B$12*(1+Inputs!$B$13/100))*0.01+Inputs!$B$14*0.0025)/100)*(1+Inputs!$B$15/100)*(1+IF(Inputs!$B$38="pvp",0,(1-Summary!$B$55)*(Inputs!$B$20+0+Skills!P5)+Summary!$B$55*(Inputs!$B$21+Skills!Q5))/100)*(1+Inputs!$B$16/100)*(5000/(6000+Inputs!$B$42*(1-(Inputs!$B$19+((C1482=TRUE)*(F1482-Calc!F27)))/100)))*(1+(Inputs!$B$24+((C1480=TRUE)*(F1480-Calc!F25))+((C1481=TRUE)*(F1481-Calc!F26))+B1494)/100)*(1+4.0*IF(C1465=TRUE,F1465,0)/100)*(1+(IF(Skills!A5="ARROW_STREAM",Inputs!$B$17+((C1478=TRUE)*(F1478-Calc!F23)),Inputs!$B$18+((C1483=TRUE)*(F1483-Calc!F28))))/100)*((1+(((C1468=TRUE)*F1468)+((C1469=TRUE)*IF(Inputs!$B$38="pvp",F1469,(1-Summary!$B$55)*(F1469)+Summary!$B$55*(0)))+((C1470=TRUE)*F1470*IF(AND(Inputs!$B$38&lt;&gt;"pvp",Inputs!$B$43&gt;0),(((R1470-1)*(Skills!T15*(1+Inputs!$B$34/100))+MIN((Skills!T15*(1+Inputs!$B$34/100)),MAX(0,Inputs!$B$43-((R1470-1)*Skills!D15))))/Inputs!$B$43),IF(Inputs!$B$38="pvp",MIN((Skills!T15*(1+Inputs!$B$34/100)),15)/15,(Skills!T15*(1+Inputs!$B$34/100))/Skills!D15)))+((C1485=TRUE)*(F1485-Calc!F30)))/100)*I1460)</f>
        <v/>
      </c>
      <c r="L1460">
        <f>K1460*(MIN(Inputs!$B$22+((C1479=TRUE)*(F1479-Calc!F24)),Inputs!$B$23+((C1484=TRUE)*(F1484-Calc!F29)))/100+(Inputs!$B$23+((C1484=TRUE)*(F1484-Calc!F29)))/100)/2</f>
        <v/>
      </c>
      <c r="M1460">
        <f>L1460*(1+(Inputs!$B$10+0+B1493)/100)</f>
        <v/>
      </c>
      <c r="N1460">
        <f>L1460*(1-MIN((Inputs!$B$9+((C1475=TRUE)*(F1475-Calc!F20))+B1488),100)/100)+M1460*(MIN((Inputs!$B$9+((C1475=TRUE)*(F1475-Calc!F20))+B1488),100)/100)</f>
        <v/>
      </c>
      <c r="O1460">
        <f>IF(C1460,H1460*N1460*IF(AND(Inputs!$B$38&lt;&gt;"pvp",Inputs!$B$43&gt;0),((Skills!G5*((R1460-1)*IF(Skills!H5&gt;0,Skills!I5/Skills!H5,1)+IF(Skills!H5&gt;0,MIN(Skills!I5,MAX(0,MAX(0,Inputs!$B$43-B1495)-((R1460-1)*IF(Inputs!$B$38="pvp",15,MAX(0.1,Skills!D5-IF(Skills!E5=TRUE,3.5,0))))))/Skills!H5,1)))/Inputs!$B$43),G1460*Q1460)*IF(Inputs!$B$38="pvp",1,(1-Summary!$B$55)*(1)+Summary!$B$55*(MIN(Skills!R5,Inputs!$B$37))),0)</f>
        <v/>
      </c>
      <c r="P1460">
        <f>IF(B1496=0,0,O1460/B1496)</f>
        <v/>
      </c>
      <c r="Q1460">
        <f>IFERROR(1/IF(Inputs!$B$38="pvp",15,MAX(0.1,Skills!D5-IF(Skills!E5=TRUE,3.5,0))),0)</f>
        <v/>
      </c>
      <c r="R1460">
        <f>IF(AND(Inputs!$B$38&lt;&gt;"pvp",Inputs!$B$43&gt;0),IF(MAX(0,Inputs!$B$43-B1495)&lt;=0,0,(INT(MAX(0,Inputs!$B$43-B1495)/IF(Inputs!$B$38="pvp",15,MAX(0.1,Skills!D5-IF(Skills!E5=TRUE,3.5,0))))+1)),0)</f>
        <v/>
      </c>
      <c r="S1460">
        <f>IFERROR(O1460/N1460,0)</f>
        <v/>
      </c>
    </row>
    <row r="1461">
      <c r="A1461">
        <f>Skills!A6</f>
        <v/>
      </c>
      <c r="B1461">
        <f>Skills!B6</f>
        <v/>
      </c>
      <c r="C1461">
        <f>Inputs!$B$3&gt;=40</f>
        <v/>
      </c>
      <c r="D1461">
        <f>IF(Skills!C6=1,60+Inputs!$B$25+Inputs!$B$29,IF(Skills!C6=2,90+Inputs!$B$26+Inputs!$B$29,IF(Skills!C6=3,120+Inputs!$B$27+Inputs!$B$29,MAX(0,(Inputs!$B$3-100)*3)+Inputs!$B$28+Inputs!$B$29)))</f>
        <v/>
      </c>
      <c r="E1461">
        <f>INDEX(FactorTable!$B$2:$Y$301, MATCH(ROUND(MIN(300,MAX(1,D1461)),0), FactorTable!$A$2:$A$301,0), Skills!M6+1)</f>
        <v/>
      </c>
      <c r="F1461">
        <f>IF(Skills!N6=TRUE,(Skills!L6/10)*(E1461/1000),Skills!L6/10)+Skills!O6</f>
        <v/>
      </c>
      <c r="G1461">
        <f>Skills!G6*IF(Skills!H6&gt;0,Skills!I6/Skills!H6,1)</f>
        <v/>
      </c>
      <c r="H1461">
        <f>1-(1-Skills!J6/100)^Skills!K6</f>
        <v/>
      </c>
      <c r="I1461" t="inlineStr">
        <is>
          <t>1</t>
        </is>
      </c>
      <c r="J1461">
        <f>((Inputs!$B$6*(1+Inputs!$B$7/100))+(((Inputs!$B$12*(1+Inputs!$B$13/100))-(Inputs!$B$12*(1+Inputs!$B$13/100)))+0.25*(Inputs!$B$14-Inputs!$B$14))*(1+Inputs!$B$7/100))*(F1461/100)</f>
        <v/>
      </c>
      <c r="K1461">
        <f>J1461*(1+((Inputs!$B$12*(1+Inputs!$B$13/100))*0.01+Inputs!$B$14*0.0025)/100)*(1+Inputs!$B$15/100)*(1+IF(Inputs!$B$38="pvp",0,(1-Summary!$B$55)*(Inputs!$B$20+0+Skills!P6)+Summary!$B$55*(Inputs!$B$21+Skills!Q6))/100)*(1+Inputs!$B$16/100)*(5000/(6000+Inputs!$B$42*(1-(Inputs!$B$19+((C1482=TRUE)*(F1482-Calc!F27)))/100)))*(1+(Inputs!$B$24+((C1480=TRUE)*(F1480-Calc!F25))+((C1481=TRUE)*(F1481-Calc!F26))+B1494)/100)*(1+IF(C1462=TRUE,F1462,0)/100)*(1+(IF(Skills!A6="ARROW_STREAM",Inputs!$B$17+((C1478=TRUE)*(F1478-Calc!F23)),Inputs!$B$18+((C1483=TRUE)*(F1483-Calc!F28))))/100)*((1+(((C1468=TRUE)*F1468)+((C1469=TRUE)*IF(Inputs!$B$38="pvp",F1469,(1-Summary!$B$55)*(F1469)+Summary!$B$55*(0)))+((C1470=TRUE)*F1470*IF(AND(Inputs!$B$38&lt;&gt;"pvp",Inputs!$B$43&gt;0),(((R1470-1)*(Skills!T15*(1+Inputs!$B$34/100))+MIN((Skills!T15*(1+Inputs!$B$34/100)),MAX(0,Inputs!$B$43-((R1470-1)*Skills!D15))))/Inputs!$B$43),IF(Inputs!$B$38="pvp",MIN((Skills!T15*(1+Inputs!$B$34/100)),15)/15,(Skills!T15*(1+Inputs!$B$34/100))/Skills!D15)))+((C1485=TRUE)*(F1485-Calc!F30)))/100)*I1461)</f>
        <v/>
      </c>
      <c r="L1461">
        <f>K1461*(MIN(Inputs!$B$22+((C1479=TRUE)*(F1479-Calc!F24)),Inputs!$B$23+((C1484=TRUE)*(F1484-Calc!F29)))/100+(Inputs!$B$23+((C1484=TRUE)*(F1484-Calc!F29)))/100)/2</f>
        <v/>
      </c>
      <c r="M1461">
        <f>L1461*(1+(Inputs!$B$10+0+B1493)/100)</f>
        <v/>
      </c>
      <c r="N1461">
        <f>L1461*(1-MIN((Inputs!$B$9+((C1475=TRUE)*(F1475-Calc!F20))+B1488),100)/100)+M1461*(MIN((Inputs!$B$9+((C1475=TRUE)*(F1475-Calc!F20))+B1488),100)/100)</f>
        <v/>
      </c>
      <c r="O1461">
        <f>IF(C1461,H1461*N1461*IF(AND(Inputs!$B$38&lt;&gt;"pvp",Inputs!$B$43&gt;0),((Skills!G6*((R1461-1)*IF(Skills!H6&gt;0,Skills!I6/Skills!H6,1)+IF(Skills!H6&gt;0,MIN(Skills!I6,MAX(0,MAX(0,Inputs!$B$43-B1495)-((R1461-1)*IF(Inputs!$B$38="pvp",15,MAX(0.1,Skills!D6-IF(Skills!E6=TRUE,3.5,0))))))/Skills!H6,1)))/Inputs!$B$43),G1461*Q1461)*IF(Inputs!$B$38="pvp",1,(1-Summary!$B$55)*(1)+Summary!$B$55*(MIN(Skills!R6,Inputs!$B$37))),0)</f>
        <v/>
      </c>
      <c r="P1461">
        <f>IF(B1496=0,0,O1461/B1496)</f>
        <v/>
      </c>
      <c r="Q1461">
        <f>IFERROR(1/IF(Inputs!$B$38="pvp",15,MAX(0.1,Skills!D6-IF(Skills!E6=TRUE,3.5,0))),0)</f>
        <v/>
      </c>
      <c r="R1461">
        <f>IF(AND(Inputs!$B$38&lt;&gt;"pvp",Inputs!$B$43&gt;0),IF(MAX(0,Inputs!$B$43-B1495)&lt;=0,0,(INT(MAX(0,Inputs!$B$43-B1495)/IF(Inputs!$B$38="pvp",15,MAX(0.1,Skills!D6-IF(Skills!E6=TRUE,3.5,0))))+1)),0)</f>
        <v/>
      </c>
      <c r="S1461">
        <f>IFERROR(O1461/N1461,0)</f>
        <v/>
      </c>
    </row>
    <row r="1462">
      <c r="A1462">
        <f>Skills!A7</f>
        <v/>
      </c>
      <c r="B1462">
        <f>Skills!B7</f>
        <v/>
      </c>
      <c r="C1462">
        <f>Inputs!$B$3&gt;=107</f>
        <v/>
      </c>
      <c r="D1462">
        <f>IF(Skills!C7=1,60+Inputs!$B$25+Inputs!$B$29,IF(Skills!C7=2,90+Inputs!$B$26+Inputs!$B$29,IF(Skills!C7=3,120+Inputs!$B$27+Inputs!$B$29,MAX(0,(Inputs!$B$3-100)*3)+Inputs!$B$28+Inputs!$B$29)))</f>
        <v/>
      </c>
      <c r="E1462">
        <f>INDEX(FactorTable!$B$2:$Y$301, MATCH(ROUND(MIN(300,MAX(1,D1462)),0), FactorTable!$A$2:$A$301,0), Skills!M7+1)</f>
        <v/>
      </c>
      <c r="F1462">
        <f>IF(Skills!N7=TRUE,(Skills!L7/10)*(E1462/1000),Skills!L7/10)+Skills!O7</f>
        <v/>
      </c>
      <c r="G1462" t="inlineStr"/>
      <c r="H1462" t="inlineStr"/>
      <c r="I1462" t="inlineStr">
        <is>
          <t>1</t>
        </is>
      </c>
      <c r="J1462" t="inlineStr"/>
      <c r="K1462" t="inlineStr"/>
      <c r="L1462" t="inlineStr"/>
      <c r="M1462" t="inlineStr"/>
      <c r="N1462" t="inlineStr"/>
      <c r="O1462" t="inlineStr"/>
      <c r="P1462" t="inlineStr"/>
      <c r="Q1462" t="inlineStr"/>
      <c r="R1462" t="inlineStr"/>
      <c r="S1462" t="inlineStr"/>
    </row>
    <row r="1463">
      <c r="A1463">
        <f>Skills!A8</f>
        <v/>
      </c>
      <c r="B1463">
        <f>Skills!B8</f>
        <v/>
      </c>
      <c r="C1463">
        <f>Inputs!$B$3&gt;=69</f>
        <v/>
      </c>
      <c r="D1463">
        <f>IF(Skills!C8=1,60+Inputs!$B$25+Inputs!$B$29,IF(Skills!C8=2,90+Inputs!$B$26+Inputs!$B$29,IF(Skills!C8=3,120+Inputs!$B$27+Inputs!$B$29,MAX(0,(Inputs!$B$3-100)*3)+Inputs!$B$28+Inputs!$B$29)))</f>
        <v/>
      </c>
      <c r="E1463">
        <f>INDEX(FactorTable!$B$2:$Y$301, MATCH(ROUND(MIN(300,MAX(1,D1463)),0), FactorTable!$A$2:$A$301,0), Skills!M8+1)</f>
        <v/>
      </c>
      <c r="F1463">
        <f>IF(Skills!N8=TRUE,(Skills!L8/10)*(E1463/1000),Skills!L8/10)+Skills!O8</f>
        <v/>
      </c>
      <c r="G1463">
        <f>Skills!G8*IF(Skills!H8&gt;0,Skills!I8/Skills!H8,1)</f>
        <v/>
      </c>
      <c r="H1463">
        <f>1-(1-Skills!J8/100)^Skills!K8</f>
        <v/>
      </c>
      <c r="I1463" t="inlineStr">
        <is>
          <t>1</t>
        </is>
      </c>
      <c r="J1463">
        <f>((Inputs!$B$6*(1+Inputs!$B$7/100))+(((Inputs!$B$12*(1+Inputs!$B$13/100))-(Inputs!$B$12*(1+Inputs!$B$13/100)))+0.25*(Inputs!$B$14-Inputs!$B$14))*(1+Inputs!$B$7/100))*(F1463/100)</f>
        <v/>
      </c>
      <c r="K1463">
        <f>J1463*(1+((Inputs!$B$12*(1+Inputs!$B$13/100))*0.01+Inputs!$B$14*0.0025)/100)*(1+Inputs!$B$15/100)*(1+IF(Inputs!$B$38="pvp",0,(1-Summary!$B$55)*(Inputs!$B$20+0+Skills!P8)+Summary!$B$55*(Inputs!$B$21+Skills!Q8))/100)*(1+Inputs!$B$16/100)*(5000/(6000+Inputs!$B$42*(1-(Inputs!$B$19+((C1482=TRUE)*(F1482-Calc!F27)))/100)))*(1+(Inputs!$B$24+((C1480=TRUE)*(F1480-Calc!F25))+((C1481=TRUE)*(F1481-Calc!F26))+B1494)/100)*(1+1.2*IF(C1465=TRUE,F1465,0)/100)*(1+(IF(Skills!A8="ARROW_STREAM",Inputs!$B$17+((C1478=TRUE)*(F1478-Calc!F23)),Inputs!$B$18+((C1483=TRUE)*(F1483-Calc!F28))))/100)*((1+(((C1468=TRUE)*F1468)+((C1469=TRUE)*IF(Inputs!$B$38="pvp",F1469,(1-Summary!$B$55)*(F1469)+Summary!$B$55*(0)))+((C1470=TRUE)*F1470*IF(AND(Inputs!$B$38&lt;&gt;"pvp",Inputs!$B$43&gt;0),(((R1470-1)*(Skills!T15*(1+Inputs!$B$34/100))+MIN((Skills!T15*(1+Inputs!$B$34/100)),MAX(0,Inputs!$B$43-((R1470-1)*Skills!D15))))/Inputs!$B$43),IF(Inputs!$B$38="pvp",MIN((Skills!T15*(1+Inputs!$B$34/100)),15)/15,(Skills!T15*(1+Inputs!$B$34/100))/Skills!D15)))+((C1485=TRUE)*(F1485-Calc!F30)))/100)*I1463)</f>
        <v/>
      </c>
      <c r="L1463">
        <f>K1463*(MIN(Inputs!$B$22+((C1479=TRUE)*(F1479-Calc!F24)),Inputs!$B$23+((C1484=TRUE)*(F1484-Calc!F29)))/100+(Inputs!$B$23+((C1484=TRUE)*(F1484-Calc!F29)))/100)/2</f>
        <v/>
      </c>
      <c r="M1463">
        <f>L1463*(1+(Inputs!$B$10+0+B1493)/100)</f>
        <v/>
      </c>
      <c r="N1463">
        <f>L1463*(1-MIN((Inputs!$B$9+((C1475=TRUE)*(F1475-Calc!F20))+B1488),100)/100)+M1463*(MIN((Inputs!$B$9+((C1475=TRUE)*(F1475-Calc!F20))+B1488),100)/100)</f>
        <v/>
      </c>
      <c r="O1463">
        <f>IF(C1463,H1463*N1463*IF(AND(Inputs!$B$38&lt;&gt;"pvp",Inputs!$B$43&gt;0),((Skills!G8*((R1463-1)*IF(Skills!H8&gt;0,Skills!I8/Skills!H8,1)+IF(Skills!H8&gt;0,MIN(Skills!I8,MAX(0,MAX(0,Inputs!$B$43-B1495)-((R1463-1)*IF(Inputs!$B$38="pvp",15,MAX(0.1,Skills!D8-IF(Skills!E8=TRUE,3.5,0))))))/Skills!H8,1)))/Inputs!$B$43),G1463*Q1463)*IF(Inputs!$B$38="pvp",1,(1-Summary!$B$55)*(1)+Summary!$B$55*(MIN(Skills!R8,Inputs!$B$37))),0)</f>
        <v/>
      </c>
      <c r="P1463">
        <f>IF(B1496=0,0,O1463/B1496)</f>
        <v/>
      </c>
      <c r="Q1463">
        <f>IFERROR(1/IF(Inputs!$B$38="pvp",15,MAX(0.1,Skills!D8-IF(Skills!E8=TRUE,3.5,0))),0)</f>
        <v/>
      </c>
      <c r="R1463">
        <f>IF(AND(Inputs!$B$38&lt;&gt;"pvp",Inputs!$B$43&gt;0),IF(MAX(0,Inputs!$B$43-B1495)&lt;=0,0,(INT(MAX(0,Inputs!$B$43-B1495)/IF(Inputs!$B$38="pvp",15,MAX(0.1,Skills!D8-IF(Skills!E8=TRUE,3.5,0))))+1)),0)</f>
        <v/>
      </c>
      <c r="S1463">
        <f>IFERROR(O1463/N1463,0)</f>
        <v/>
      </c>
    </row>
    <row r="1464">
      <c r="A1464">
        <f>Skills!A9</f>
        <v/>
      </c>
      <c r="B1464">
        <f>Skills!B9</f>
        <v/>
      </c>
      <c r="C1464">
        <f>Inputs!$B$3&gt;=63</f>
        <v/>
      </c>
      <c r="D1464">
        <f>IF(Skills!C9=1,60+Inputs!$B$25+Inputs!$B$29,IF(Skills!C9=2,90+Inputs!$B$26+Inputs!$B$29,IF(Skills!C9=3,120+Inputs!$B$27+Inputs!$B$29,MAX(0,(Inputs!$B$3-100)*3)+Inputs!$B$28+Inputs!$B$29)))</f>
        <v/>
      </c>
      <c r="E1464">
        <f>INDEX(FactorTable!$B$2:$Y$301, MATCH(ROUND(MIN(300,MAX(1,D1464)),0), FactorTable!$A$2:$A$301,0), Skills!M9+1)</f>
        <v/>
      </c>
      <c r="F1464">
        <f>IF(Skills!N9=TRUE,(Skills!L9/10)*(E1464/1000),Skills!L9/10)+Skills!O9</f>
        <v/>
      </c>
      <c r="G1464">
        <f>Skills!G9*IF(Skills!H9&gt;0,Skills!I9/Skills!H9,1)</f>
        <v/>
      </c>
      <c r="H1464">
        <f>1-(1-Skills!J9/100)^Skills!K9</f>
        <v/>
      </c>
      <c r="I1464" t="inlineStr">
        <is>
          <t>1</t>
        </is>
      </c>
      <c r="J1464">
        <f>((Inputs!$B$6*(1+Inputs!$B$7/100))+(((Inputs!$B$12*(1+Inputs!$B$13/100))-(Inputs!$B$12*(1+Inputs!$B$13/100)))+0.25*(Inputs!$B$14-Inputs!$B$14))*(1+Inputs!$B$7/100))*(F1464/100)</f>
        <v/>
      </c>
      <c r="K1464">
        <f>J1464*(1+((Inputs!$B$12*(1+Inputs!$B$13/100))*0.01+Inputs!$B$14*0.0025)/100)*(1+Inputs!$B$15/100)*(1+IF(Inputs!$B$38="pvp",0,(1-Summary!$B$55)*(Inputs!$B$20+0+Skills!P9)+Summary!$B$55*(Inputs!$B$21+Skills!Q9))/100)*(1+Inputs!$B$16/100)*(5000/(6000+Inputs!$B$42*(1-(Inputs!$B$19+((C1482=TRUE)*(F1482-Calc!F27)))/100)))*(1+(Inputs!$B$24+((C1480=TRUE)*(F1480-Calc!F25))+((C1481=TRUE)*(F1481-Calc!F26))+B1494)/100)*(1+1.0*IF(C1465=TRUE,F1465,0)/100)*(1+(IF(Skills!A9="ARROW_STREAM",Inputs!$B$17+((C1478=TRUE)*(F1478-Calc!F23)),Inputs!$B$18+((C1483=TRUE)*(F1483-Calc!F28))))/100)*((1+(((C1468=TRUE)*F1468)+((C1469=TRUE)*IF(Inputs!$B$38="pvp",F1469,(1-Summary!$B$55)*(F1469)+Summary!$B$55*(0)))+((C1470=TRUE)*F1470*IF(AND(Inputs!$B$38&lt;&gt;"pvp",Inputs!$B$43&gt;0),(((R1470-1)*(Skills!T15*(1+Inputs!$B$34/100))+MIN((Skills!T15*(1+Inputs!$B$34/100)),MAX(0,Inputs!$B$43-((R1470-1)*Skills!D15))))/Inputs!$B$43),IF(Inputs!$B$38="pvp",MIN((Skills!T15*(1+Inputs!$B$34/100)),15)/15,(Skills!T15*(1+Inputs!$B$34/100))/Skills!D15)))+((C1485=TRUE)*(F1485-Calc!F30)))/100)*I1464)</f>
        <v/>
      </c>
      <c r="L1464">
        <f>K1464*(MIN(Inputs!$B$22+((C1479=TRUE)*(F1479-Calc!F24)),Inputs!$B$23+((C1484=TRUE)*(F1484-Calc!F29)))/100+(Inputs!$B$23+((C1484=TRUE)*(F1484-Calc!F29)))/100)/2</f>
        <v/>
      </c>
      <c r="M1464">
        <f>L1464*(1+(Inputs!$B$10+0+B1493)/100)</f>
        <v/>
      </c>
      <c r="N1464">
        <f>L1464*(1-MIN((Inputs!$B$9+((C1475=TRUE)*(F1475-Calc!F20))+B1488),100)/100)+M1464*(MIN((Inputs!$B$9+((C1475=TRUE)*(F1475-Calc!F20))+B1488),100)/100)</f>
        <v/>
      </c>
      <c r="O1464">
        <f>IF(C1464,H1464*N1464*IF(AND(Inputs!$B$38&lt;&gt;"pvp",Inputs!$B$43&gt;0),((Skills!G9*((R1464-1)*IF(Skills!H9&gt;0,Skills!I9/Skills!H9,1)+IF(Skills!H9&gt;0,MIN(Skills!I9,MAX(0,MAX(0,Inputs!$B$43-B1495)-((R1464-1)*IF(Inputs!$B$38="pvp",15,MAX(0.1,Skills!D9-IF(Skills!E9=TRUE,3.5,0))))))/Skills!H9,1)))/Inputs!$B$43),G1464*Q1464)*IF(Inputs!$B$38="pvp",1,(1-Summary!$B$55)*(1)+Summary!$B$55*(MIN(Skills!R9,Inputs!$B$37))),0)</f>
        <v/>
      </c>
      <c r="P1464">
        <f>IF(B1496=0,0,O1464/B1496)</f>
        <v/>
      </c>
      <c r="Q1464">
        <f>IFERROR(1/IF(Inputs!$B$38="pvp",15,MAX(0.1,Skills!D9-IF(Skills!E9=TRUE,3.5,0))),0)</f>
        <v/>
      </c>
      <c r="R1464">
        <f>IF(AND(Inputs!$B$38&lt;&gt;"pvp",Inputs!$B$43&gt;0),IF(MAX(0,Inputs!$B$43-B1495)&lt;=0,0,(INT(MAX(0,Inputs!$B$43-B1495)/IF(Inputs!$B$38="pvp",15,MAX(0.1,Skills!D9-IF(Skills!E9=TRUE,3.5,0))))+1)),0)</f>
        <v/>
      </c>
      <c r="S1464">
        <f>IFERROR(O1464/N1464,0)</f>
        <v/>
      </c>
    </row>
    <row r="1465">
      <c r="A1465">
        <f>Skills!A10</f>
        <v/>
      </c>
      <c r="B1465">
        <f>Skills!B10</f>
        <v/>
      </c>
      <c r="C1465">
        <f>Inputs!$B$3&gt;=100</f>
        <v/>
      </c>
      <c r="D1465">
        <f>IF(Skills!C10=1,60+Inputs!$B$25+Inputs!$B$29,IF(Skills!C10=2,90+Inputs!$B$26+Inputs!$B$29,IF(Skills!C10=3,120+Inputs!$B$27+Inputs!$B$29,MAX(0,(Inputs!$B$3-100)*3)+Inputs!$B$28+Inputs!$B$29)))</f>
        <v/>
      </c>
      <c r="E1465">
        <f>INDEX(FactorTable!$B$2:$Y$301, MATCH(ROUND(MIN(300,MAX(1,D1465)),0), FactorTable!$A$2:$A$301,0), Skills!M10+1)</f>
        <v/>
      </c>
      <c r="F1465">
        <f>IF(Skills!N10=TRUE,(Skills!L10/10)*(E1465/1000),Skills!L10/10)+Skills!O10</f>
        <v/>
      </c>
      <c r="G1465" t="inlineStr"/>
      <c r="H1465" t="inlineStr"/>
      <c r="I1465" t="inlineStr">
        <is>
          <t>1</t>
        </is>
      </c>
      <c r="J1465" t="inlineStr"/>
      <c r="K1465" t="inlineStr"/>
      <c r="L1465" t="inlineStr"/>
      <c r="M1465" t="inlineStr"/>
      <c r="N1465" t="inlineStr"/>
      <c r="O1465" t="inlineStr"/>
      <c r="P1465" t="inlineStr"/>
      <c r="Q1465" t="inlineStr"/>
      <c r="R1465" t="inlineStr"/>
      <c r="S1465" t="inlineStr"/>
    </row>
    <row r="1466">
      <c r="A1466">
        <f>Skills!A11</f>
        <v/>
      </c>
      <c r="B1466">
        <f>Skills!B11</f>
        <v/>
      </c>
      <c r="C1466">
        <f>Inputs!$B$3&gt;=60</f>
        <v/>
      </c>
      <c r="D1466">
        <f>IF(Skills!C11=1,60+Inputs!$B$25+Inputs!$B$29,IF(Skills!C11=2,90+Inputs!$B$26+Inputs!$B$29,IF(Skills!C11=3,120+Inputs!$B$27+Inputs!$B$29,MAX(0,(Inputs!$B$3-100)*3)+Inputs!$B$28+Inputs!$B$29)))</f>
        <v/>
      </c>
      <c r="E1466">
        <f>INDEX(FactorTable!$B$2:$Y$301, MATCH(ROUND(MIN(300,MAX(1,D1466)),0), FactorTable!$A$2:$A$301,0), Skills!M11+1)</f>
        <v/>
      </c>
      <c r="F1466">
        <f>IF(Skills!N11=TRUE,(Skills!L11/10)*(E1466/1000),Skills!L11/10)+Skills!O11</f>
        <v/>
      </c>
      <c r="G1466">
        <f>Skills!G11*IF(Skills!H11&gt;0,Skills!I11/Skills!H11,1)</f>
        <v/>
      </c>
      <c r="H1466">
        <f>1-(1-Skills!J11/100)^Skills!K11</f>
        <v/>
      </c>
      <c r="I1466" t="inlineStr">
        <is>
          <t>1</t>
        </is>
      </c>
      <c r="J1466">
        <f>((Inputs!$B$6*(1+Inputs!$B$7/100))+(((Inputs!$B$12*(1+Inputs!$B$13/100))-(Inputs!$B$12*(1+Inputs!$B$13/100)))+0.25*(Inputs!$B$14-Inputs!$B$14))*(1+Inputs!$B$7/100))*(F1466/100)</f>
        <v/>
      </c>
      <c r="K1466">
        <f>J1466*(1+((Inputs!$B$12*(1+Inputs!$B$13/100))*0.01+Inputs!$B$14*0.0025)/100)*(1+Inputs!$B$15/100)*(1+IF(Inputs!$B$38="pvp",0,(1-Summary!$B$55)*(Inputs!$B$20+0+Skills!P11)+Summary!$B$55*(Inputs!$B$21+Skills!Q11))/100)*(1+Inputs!$B$16/100)*(5000/(6000+Inputs!$B$42*(1-(Inputs!$B$19+((C1482=TRUE)*(F1482-Calc!F27)))/100)))*(1+(Inputs!$B$24+((C1480=TRUE)*(F1480-Calc!F25))+((C1481=TRUE)*(F1481-Calc!F26))+B1494)/100)*(1+IF(C1467=TRUE,F1467,0)/100)*(1+(IF(Skills!A11="ARROW_STREAM",Inputs!$B$17+((C1478=TRUE)*(F1478-Calc!F23)),Inputs!$B$18+((C1483=TRUE)*(F1483-Calc!F28))))/100)*((1+(((C1468=TRUE)*F1468)+((C1469=TRUE)*IF(Inputs!$B$38="pvp",F1469,(1-Summary!$B$55)*(F1469)+Summary!$B$55*(0)))+((C1470=TRUE)*F1470*IF(AND(Inputs!$B$38&lt;&gt;"pvp",Inputs!$B$43&gt;0),(((R1470-1)*(Skills!T15*(1+Inputs!$B$34/100))+MIN((Skills!T15*(1+Inputs!$B$34/100)),MAX(0,Inputs!$B$43-((R1470-1)*Skills!D15))))/Inputs!$B$43),IF(Inputs!$B$38="pvp",MIN((Skills!T15*(1+Inputs!$B$34/100)),15)/15,(Skills!T15*(1+Inputs!$B$34/100))/Skills!D15)))+((C1485=TRUE)*(F1485-Calc!F30)))/100)*I1466)</f>
        <v/>
      </c>
      <c r="L1466">
        <f>K1466*(MIN(Inputs!$B$22+((C1479=TRUE)*(F1479-Calc!F24)),Inputs!$B$23+((C1484=TRUE)*(F1484-Calc!F29)))/100+(Inputs!$B$23+((C1484=TRUE)*(F1484-Calc!F29)))/100)/2</f>
        <v/>
      </c>
      <c r="M1466">
        <f>L1466*(1+(Inputs!$B$10+0+B1493)/100)</f>
        <v/>
      </c>
      <c r="N1466">
        <f>L1466*(1-MIN((Inputs!$B$9+((C1475=TRUE)*(F1475-Calc!F20))+B1488),100)/100)+M1466*(MIN((Inputs!$B$9+((C1475=TRUE)*(F1475-Calc!F20))+B1488),100)/100)</f>
        <v/>
      </c>
      <c r="O1466">
        <f>IF(C1466,H1466*N1466*IF(AND(Inputs!$B$38&lt;&gt;"pvp",Inputs!$B$43&gt;0),((Skills!G11*((R1466-1)*IF(Skills!H11&gt;0,Skills!I11/Skills!H11,1)+IF(Skills!H11&gt;0,MIN(Skills!I11,MAX(0,MAX(0,Inputs!$B$43-B1495)-((R1466-1)*IF(Inputs!$B$38="pvp",15,MAX(0.1,Skills!D11-IF(Skills!E11=TRUE,3.5,0))))))/Skills!H11,1)))/Inputs!$B$43),G1466*Q1466)*IF(Inputs!$B$38="pvp",1,(1-Summary!$B$55)*(1)+Summary!$B$55*(MIN(Skills!R11,Inputs!$B$37))),0)</f>
        <v/>
      </c>
      <c r="P1466">
        <f>IF(B1496=0,0,O1466/B1496)</f>
        <v/>
      </c>
      <c r="Q1466">
        <f>IFERROR(1/IF(Inputs!$B$38="pvp",15,MAX(0.1,Skills!D11-IF(Skills!E11=TRUE,3.5,0))),0)</f>
        <v/>
      </c>
      <c r="R1466">
        <f>IF(AND(Inputs!$B$38&lt;&gt;"pvp",Inputs!$B$43&gt;0),IF(MAX(0,Inputs!$B$43-B1495)&lt;=0,0,(INT(MAX(0,Inputs!$B$43-B1495)/IF(Inputs!$B$38="pvp",15,MAX(0.1,Skills!D11-IF(Skills!E11=TRUE,3.5,0))))+1)),0)</f>
        <v/>
      </c>
      <c r="S1466">
        <f>IFERROR(O1466/N1466,0)</f>
        <v/>
      </c>
    </row>
    <row r="1467">
      <c r="A1467">
        <f>Skills!A12</f>
        <v/>
      </c>
      <c r="B1467">
        <f>Skills!B12</f>
        <v/>
      </c>
      <c r="C1467">
        <f>Inputs!$B$3&gt;=110</f>
        <v/>
      </c>
      <c r="D1467">
        <f>IF(Skills!C12=1,60+Inputs!$B$25+Inputs!$B$29,IF(Skills!C12=2,90+Inputs!$B$26+Inputs!$B$29,IF(Skills!C12=3,120+Inputs!$B$27+Inputs!$B$29,MAX(0,(Inputs!$B$3-100)*3)+Inputs!$B$28+Inputs!$B$29)))</f>
        <v/>
      </c>
      <c r="E1467">
        <f>INDEX(FactorTable!$B$2:$Y$301, MATCH(ROUND(MIN(300,MAX(1,D1467)),0), FactorTable!$A$2:$A$301,0), Skills!M12+1)</f>
        <v/>
      </c>
      <c r="F1467">
        <f>IF(Skills!N12=TRUE,(Skills!L12/10)*(E1467/1000),Skills!L12/10)+Skills!O12</f>
        <v/>
      </c>
      <c r="G1467" t="inlineStr"/>
      <c r="H1467" t="inlineStr"/>
      <c r="I1467" t="inlineStr">
        <is>
          <t>1</t>
        </is>
      </c>
      <c r="J1467" t="inlineStr"/>
      <c r="K1467" t="inlineStr"/>
      <c r="L1467" t="inlineStr"/>
      <c r="M1467" t="inlineStr"/>
      <c r="N1467" t="inlineStr"/>
      <c r="O1467" t="inlineStr"/>
      <c r="P1467" t="inlineStr"/>
      <c r="Q1467" t="inlineStr"/>
      <c r="R1467" t="inlineStr"/>
      <c r="S1467" t="inlineStr"/>
    </row>
    <row r="1468">
      <c r="A1468">
        <f>Skills!A13</f>
        <v/>
      </c>
      <c r="B1468">
        <f>Skills!B13</f>
        <v/>
      </c>
      <c r="C1468">
        <f>Inputs!$B$3&gt;=74</f>
        <v/>
      </c>
      <c r="D1468">
        <f>IF(Skills!C13=1,60+Inputs!$B$25+Inputs!$B$29,IF(Skills!C13=2,90+Inputs!$B$26+Inputs!$B$29,IF(Skills!C13=3,120+Inputs!$B$27+Inputs!$B$29,MAX(0,(Inputs!$B$3-100)*3)+Inputs!$B$28+Inputs!$B$29)))</f>
        <v/>
      </c>
      <c r="E1468">
        <f>INDEX(FactorTable!$B$2:$Y$301, MATCH(ROUND(MIN(300,MAX(1,D1468)),0), FactorTable!$A$2:$A$301,0), Skills!M13+1)</f>
        <v/>
      </c>
      <c r="F1468">
        <f>IF(Skills!N13=TRUE,(Skills!L13/10)*(E1468/1000),Skills!L13/10)+Skills!O13</f>
        <v/>
      </c>
      <c r="G1468">
        <f>Skills!G13*IF(Skills!H13&gt;0,Skills!I13/Skills!H13,1)</f>
        <v/>
      </c>
      <c r="H1468">
        <f>1-(1-Skills!J13/100)^Skills!K13</f>
        <v/>
      </c>
      <c r="I1468" t="inlineStr">
        <is>
          <t>1</t>
        </is>
      </c>
      <c r="J1468" t="inlineStr"/>
      <c r="K1468" t="inlineStr"/>
      <c r="L1468" t="inlineStr"/>
      <c r="M1468" t="inlineStr"/>
      <c r="N1468" t="inlineStr"/>
      <c r="O1468" t="n">
        <v>0</v>
      </c>
      <c r="P1468">
        <f>IF(B1496=0,0,O1468/B1496)</f>
        <v/>
      </c>
      <c r="Q1468" t="n">
        <v>0</v>
      </c>
      <c r="R1468" t="n">
        <v>0</v>
      </c>
      <c r="S1468">
        <f>IFERROR(O1468/N1468,0)</f>
        <v/>
      </c>
    </row>
    <row r="1469">
      <c r="A1469">
        <f>Skills!A14</f>
        <v/>
      </c>
      <c r="B1469">
        <f>Skills!B14</f>
        <v/>
      </c>
      <c r="C1469">
        <f>Inputs!$B$3&gt;=74</f>
        <v/>
      </c>
      <c r="D1469">
        <f>IF(Skills!C14=1,60+Inputs!$B$25+Inputs!$B$29,IF(Skills!C14=2,90+Inputs!$B$26+Inputs!$B$29,IF(Skills!C14=3,120+Inputs!$B$27+Inputs!$B$29,MAX(0,(Inputs!$B$3-100)*3)+Inputs!$B$28+Inputs!$B$29)))</f>
        <v/>
      </c>
      <c r="E1469">
        <f>INDEX(FactorTable!$B$2:$Y$301, MATCH(ROUND(MIN(300,MAX(1,D1469)),0), FactorTable!$A$2:$A$301,0), Skills!M14+1)</f>
        <v/>
      </c>
      <c r="F1469">
        <f>IF(Skills!N14=TRUE,(Skills!L14/10)*(E1469/1000),Skills!L14/10)+Skills!O14</f>
        <v/>
      </c>
      <c r="G1469">
        <f>Skills!G14*IF(Skills!H14&gt;0,Skills!I14/Skills!H14,1)</f>
        <v/>
      </c>
      <c r="H1469">
        <f>1-(1-Skills!J14/100)^Skills!K14</f>
        <v/>
      </c>
      <c r="I1469" t="inlineStr">
        <is>
          <t>1</t>
        </is>
      </c>
      <c r="J1469" t="inlineStr"/>
      <c r="K1469" t="inlineStr"/>
      <c r="L1469" t="inlineStr"/>
      <c r="M1469" t="inlineStr"/>
      <c r="N1469" t="inlineStr"/>
      <c r="O1469" t="n">
        <v>0</v>
      </c>
      <c r="P1469">
        <f>IF(B1496=0,0,O1469/B1496)</f>
        <v/>
      </c>
      <c r="Q1469" t="n">
        <v>0</v>
      </c>
      <c r="R1469" t="n">
        <v>0</v>
      </c>
      <c r="S1469">
        <f>IFERROR(O1469/N1469,0)</f>
        <v/>
      </c>
    </row>
    <row r="1470">
      <c r="A1470">
        <f>Skills!A15</f>
        <v/>
      </c>
      <c r="B1470">
        <f>Skills!B15</f>
        <v/>
      </c>
      <c r="C1470">
        <f>Inputs!$B$3&gt;=117</f>
        <v/>
      </c>
      <c r="D1470">
        <f>IF(Skills!C15=1,60+Inputs!$B$25+Inputs!$B$29,IF(Skills!C15=2,90+Inputs!$B$26+Inputs!$B$29,IF(Skills!C15=3,120+Inputs!$B$27+Inputs!$B$29,MAX(0,(Inputs!$B$3-100)*3)+Inputs!$B$28+Inputs!$B$29)))</f>
        <v/>
      </c>
      <c r="E1470">
        <f>INDEX(FactorTable!$B$2:$Y$301, MATCH(ROUND(MIN(300,MAX(1,D1470)),0), FactorTable!$A$2:$A$301,0), Skills!M15+1)</f>
        <v/>
      </c>
      <c r="F1470">
        <f>IF(Skills!N15=TRUE,(Skills!L15/10)*(E1470/1000),Skills!L15/10)+Skills!O15</f>
        <v/>
      </c>
      <c r="G1470">
        <f>Skills!G15*IF(Skills!H15&gt;0,Skills!I15/Skills!H15,1)</f>
        <v/>
      </c>
      <c r="H1470">
        <f>1-(1-Skills!J15/100)^Skills!K15</f>
        <v/>
      </c>
      <c r="I1470" t="inlineStr">
        <is>
          <t>1</t>
        </is>
      </c>
      <c r="J1470" t="inlineStr"/>
      <c r="K1470" t="inlineStr"/>
      <c r="L1470" t="inlineStr"/>
      <c r="M1470" t="inlineStr"/>
      <c r="N1470" t="inlineStr"/>
      <c r="O1470" t="n">
        <v>0</v>
      </c>
      <c r="P1470">
        <f>IF(B1496=0,0,O1470/B1496)</f>
        <v/>
      </c>
      <c r="Q1470">
        <f>IFERROR(1/IF(Inputs!$B$38="pvp",15,MAX(0.1,Skills!D15-IF(Skills!E15=TRUE,3.5,0))),0)</f>
        <v/>
      </c>
      <c r="R1470">
        <f>IF(AND(Inputs!$B$38&lt;&gt;"pvp",Inputs!$B$43&gt;0),IF(Inputs!$B$43&lt;=0,0,(INT(Inputs!$B$43/IF(Inputs!$B$38="pvp",15,MAX(0.1,Skills!D15-IF(Skills!E15=TRUE,3.5,0))))+1)),0)</f>
        <v/>
      </c>
      <c r="S1470">
        <f>IFERROR(O1470/N1470,0)</f>
        <v/>
      </c>
    </row>
    <row r="1471">
      <c r="A1471">
        <f>Skills!A16</f>
        <v/>
      </c>
      <c r="B1471">
        <f>Skills!B16</f>
        <v/>
      </c>
      <c r="C1471">
        <f>Inputs!$B$3&gt;=115</f>
        <v/>
      </c>
      <c r="D1471">
        <f>IF(Skills!C16=1,60+Inputs!$B$25+Inputs!$B$29,IF(Skills!C16=2,90+Inputs!$B$26+Inputs!$B$29,IF(Skills!C16=3,120+Inputs!$B$27+Inputs!$B$29,MAX(0,(Inputs!$B$3-100)*3)+Inputs!$B$28+Inputs!$B$29)))</f>
        <v/>
      </c>
      <c r="E1471">
        <f>INDEX(FactorTable!$B$2:$Y$301, MATCH(ROUND(MIN(300,MAX(1,D1471)),0), FactorTable!$A$2:$A$301,0), Skills!M16+1)</f>
        <v/>
      </c>
      <c r="F1471">
        <f>IF(Skills!N16=TRUE,(Skills!L16/10)*(E1471/1000),Skills!L16/10)+Skills!O16</f>
        <v/>
      </c>
      <c r="G1471">
        <f>Skills!G16*IF(Skills!H16&gt;0,Skills!I16/Skills!H16,1)</f>
        <v/>
      </c>
      <c r="H1471">
        <f>1-(1-Skills!J16/100)^Skills!K16</f>
        <v/>
      </c>
      <c r="I1471" t="inlineStr">
        <is>
          <t>1</t>
        </is>
      </c>
      <c r="J1471" t="inlineStr"/>
      <c r="K1471" t="inlineStr"/>
      <c r="L1471" t="inlineStr"/>
      <c r="M1471" t="inlineStr"/>
      <c r="N1471" t="inlineStr"/>
      <c r="O1471" t="n">
        <v>0</v>
      </c>
      <c r="P1471">
        <f>IF(B1496=0,0,O1471/B1496)</f>
        <v/>
      </c>
      <c r="Q1471">
        <f>IFERROR(1/IF(Inputs!$B$38="pvp",15,MAX(0.1,Skills!D16-IF(Skills!E16=TRUE,3.5,0))),0)</f>
        <v/>
      </c>
      <c r="R1471">
        <f>IF(AND(Inputs!$B$38&lt;&gt;"pvp",Inputs!$B$43&gt;0),IF(Inputs!$B$43&lt;=0,0,(INT(Inputs!$B$43/IF(Inputs!$B$38="pvp",15,MAX(0.1,Skills!D16-IF(Skills!E16=TRUE,3.5,0))))+1)),0)</f>
        <v/>
      </c>
      <c r="S1471">
        <f>IFERROR(O1471/N1471,0)</f>
        <v/>
      </c>
    </row>
    <row r="1472">
      <c r="A1472">
        <f>Skills!A17</f>
        <v/>
      </c>
      <c r="B1472">
        <f>Skills!B17</f>
        <v/>
      </c>
      <c r="C1472">
        <f>Inputs!$B$3&gt;=66</f>
        <v/>
      </c>
      <c r="D1472">
        <f>IF(Skills!C17=1,60+Inputs!$B$25+Inputs!$B$29,IF(Skills!C17=2,90+Inputs!$B$26+Inputs!$B$29,IF(Skills!C17=3,120+Inputs!$B$27+Inputs!$B$29,MAX(0,(Inputs!$B$3-100)*3)+Inputs!$B$28+Inputs!$B$29)))</f>
        <v/>
      </c>
      <c r="E1472">
        <f>INDEX(FactorTable!$B$2:$Y$301, MATCH(ROUND(MIN(300,MAX(1,D1472)),0), FactorTable!$A$2:$A$301,0), Skills!M17+1)</f>
        <v/>
      </c>
      <c r="F1472">
        <f>IF(Skills!N17=TRUE,(Skills!L17/10)*(E1472/1000),Skills!L17/10)+Skills!O17</f>
        <v/>
      </c>
      <c r="G1472">
        <f>Skills!G17*IF(Skills!H17&gt;0,Skills!I17/Skills!H17,1)</f>
        <v/>
      </c>
      <c r="H1472">
        <f>1-(1-Skills!J17/100)^Skills!K17</f>
        <v/>
      </c>
      <c r="I1472" t="inlineStr">
        <is>
          <t>1</t>
        </is>
      </c>
      <c r="J1472" t="inlineStr"/>
      <c r="K1472" t="inlineStr"/>
      <c r="L1472" t="inlineStr"/>
      <c r="M1472" t="inlineStr"/>
      <c r="N1472" t="inlineStr"/>
      <c r="O1472" t="n">
        <v>0</v>
      </c>
      <c r="P1472">
        <f>IF(B1496=0,0,O1472/B1496)</f>
        <v/>
      </c>
      <c r="Q1472" t="n">
        <v>0</v>
      </c>
      <c r="R1472" t="n">
        <v>0</v>
      </c>
      <c r="S1472">
        <f>IFERROR(O1472/N1472,0)</f>
        <v/>
      </c>
    </row>
    <row r="1473">
      <c r="A1473">
        <f>Skills!A18</f>
        <v/>
      </c>
      <c r="B1473">
        <f>Skills!B18</f>
        <v/>
      </c>
      <c r="C1473">
        <f>Inputs!$B$3&gt;=72</f>
        <v/>
      </c>
      <c r="D1473">
        <f>IF(Skills!C18=1,60+Inputs!$B$25+Inputs!$B$29,IF(Skills!C18=2,90+Inputs!$B$26+Inputs!$B$29,IF(Skills!C18=3,120+Inputs!$B$27+Inputs!$B$29,MAX(0,(Inputs!$B$3-100)*3)+Inputs!$B$28+Inputs!$B$29)))</f>
        <v/>
      </c>
      <c r="E1473">
        <f>INDEX(FactorTable!$B$2:$Y$301, MATCH(ROUND(MIN(300,MAX(1,D1473)),0), FactorTable!$A$2:$A$301,0), Skills!M18+1)</f>
        <v/>
      </c>
      <c r="F1473">
        <f>IF(Skills!N18=TRUE,(Skills!L18/10)*(E1473/1000),Skills!L18/10)+Skills!O18</f>
        <v/>
      </c>
      <c r="G1473">
        <f>Skills!G18*IF(Skills!H18&gt;0,Skills!I18/Skills!H18,1)</f>
        <v/>
      </c>
      <c r="H1473">
        <f>1-(1-Skills!J18/100)^Skills!K18</f>
        <v/>
      </c>
      <c r="I1473" t="inlineStr">
        <is>
          <t>1</t>
        </is>
      </c>
      <c r="J1473" t="inlineStr"/>
      <c r="K1473" t="inlineStr"/>
      <c r="L1473" t="inlineStr"/>
      <c r="M1473" t="inlineStr"/>
      <c r="N1473" t="inlineStr"/>
      <c r="O1473" t="n">
        <v>0</v>
      </c>
      <c r="P1473">
        <f>IF(B1496=0,0,O1473/B1496)</f>
        <v/>
      </c>
      <c r="Q1473" t="n">
        <v>0</v>
      </c>
      <c r="R1473" t="n">
        <v>0</v>
      </c>
      <c r="S1473">
        <f>IFERROR(O1473/N1473,0)</f>
        <v/>
      </c>
    </row>
    <row r="1474">
      <c r="A1474">
        <f>Skills!A19</f>
        <v/>
      </c>
      <c r="B1474">
        <f>Skills!B19</f>
        <v/>
      </c>
      <c r="C1474">
        <f>TRUE</f>
        <v/>
      </c>
      <c r="D1474">
        <f>IF(Skills!C19=1,60+Inputs!$B$25+Inputs!$B$29,IF(Skills!C19=2,90+Inputs!$B$26+Inputs!$B$29,IF(Skills!C19=3,120+Inputs!$B$27+Inputs!$B$29,MAX(0,(Inputs!$B$3-100)*3)+Inputs!$B$28+Inputs!$B$29)))</f>
        <v/>
      </c>
      <c r="E1474">
        <f>INDEX(FactorTable!$B$2:$Y$301, MATCH(ROUND(MIN(300,MAX(1,D1474)),0), FactorTable!$A$2:$A$301,0), Skills!M19+1)</f>
        <v/>
      </c>
      <c r="F1474">
        <f>IF(Skills!N19=TRUE,(Skills!L19/10)*(E1474/1000),Skills!L19/10)+Skills!O19</f>
        <v/>
      </c>
      <c r="G1474">
        <f>Skills!G19*IF(Skills!H19&gt;0,Skills!I19/Skills!H19,1)</f>
        <v/>
      </c>
      <c r="H1474">
        <f>1-(1-Skills!J19/100)^Skills!K19</f>
        <v/>
      </c>
      <c r="I1474" t="inlineStr">
        <is>
          <t>1</t>
        </is>
      </c>
      <c r="J1474" t="inlineStr"/>
      <c r="K1474" t="inlineStr"/>
      <c r="L1474" t="inlineStr"/>
      <c r="M1474" t="inlineStr"/>
      <c r="N1474" t="inlineStr"/>
      <c r="O1474" t="n">
        <v>0</v>
      </c>
      <c r="P1474">
        <f>IF(B1496=0,0,O1474/B1496)</f>
        <v/>
      </c>
      <c r="Q1474">
        <f>IFERROR(1/IF(Inputs!$B$38="pvp",15,MAX(0.1,Skills!D19-IF(Skills!E19=TRUE,3.5,0))),0)</f>
        <v/>
      </c>
      <c r="R1474">
        <f>IF(AND(Inputs!$B$38&lt;&gt;"pvp",Inputs!$B$43&gt;0),IF(Inputs!$B$43&lt;=0,0,(INT(Inputs!$B$43/IF(Inputs!$B$38="pvp",15,MAX(0.1,Skills!D19-IF(Skills!E19=TRUE,3.5,0))))+1)),0)</f>
        <v/>
      </c>
      <c r="S1474">
        <f>IFERROR(O1474/N1474,0)</f>
        <v/>
      </c>
    </row>
    <row r="1475">
      <c r="A1475">
        <f>Skills!A20</f>
        <v/>
      </c>
      <c r="B1475">
        <f>Skills!B20</f>
        <v/>
      </c>
      <c r="C1475">
        <f>Inputs!$B$3&gt;=15</f>
        <v/>
      </c>
      <c r="D1475">
        <f>IF(Skills!C20=1,60+Inputs!$B$25+Inputs!$B$29,IF(Skills!C20=2,90+Inputs!$B$26+Inputs!$B$29,IF(Skills!C20=3,120+Inputs!$B$27+Inputs!$B$29,MAX(0,(Inputs!$B$3-100)*3)+Inputs!$B$28+Inputs!$B$29)))</f>
        <v/>
      </c>
      <c r="E1475">
        <f>INDEX(FactorTable!$B$2:$Y$301, MATCH(ROUND(MIN(300,MAX(1,D1475)),0), FactorTable!$A$2:$A$301,0), Skills!M20+1)</f>
        <v/>
      </c>
      <c r="F1475">
        <f>IF(Skills!N20=TRUE,(Skills!L20/10)*(E1475/1000),Skills!L20/10)+Skills!O20</f>
        <v/>
      </c>
      <c r="G1475">
        <f>Skills!G20*IF(Skills!H20&gt;0,Skills!I20/Skills!H20,1)</f>
        <v/>
      </c>
      <c r="H1475">
        <f>1-(1-Skills!J20/100)^Skills!K20</f>
        <v/>
      </c>
      <c r="I1475" t="inlineStr">
        <is>
          <t>1</t>
        </is>
      </c>
      <c r="J1475" t="inlineStr"/>
      <c r="K1475" t="inlineStr"/>
      <c r="L1475" t="inlineStr"/>
      <c r="M1475" t="inlineStr"/>
      <c r="N1475" t="inlineStr"/>
      <c r="O1475" t="n">
        <v>0</v>
      </c>
      <c r="P1475">
        <f>IF(B1496=0,0,O1475/B1496)</f>
        <v/>
      </c>
      <c r="Q1475" t="n">
        <v>0</v>
      </c>
      <c r="R1475" t="n">
        <v>0</v>
      </c>
      <c r="S1475">
        <f>IFERROR(O1475/N1475,0)</f>
        <v/>
      </c>
    </row>
    <row r="1476">
      <c r="A1476">
        <f>Skills!A21</f>
        <v/>
      </c>
      <c r="B1476">
        <f>Skills!B21</f>
        <v/>
      </c>
      <c r="C1476">
        <f>Inputs!$B$3&gt;=10</f>
        <v/>
      </c>
      <c r="D1476">
        <f>IF(Skills!C21=1,60+Inputs!$B$25+Inputs!$B$29,IF(Skills!C21=2,90+Inputs!$B$26+Inputs!$B$29,IF(Skills!C21=3,120+Inputs!$B$27+Inputs!$B$29,MAX(0,(Inputs!$B$3-100)*3)+Inputs!$B$28+Inputs!$B$29)))</f>
        <v/>
      </c>
      <c r="E1476">
        <f>INDEX(FactorTable!$B$2:$Y$301, MATCH(ROUND(MIN(300,MAX(1,D1476)),0), FactorTable!$A$2:$A$301,0), Skills!M21+1)</f>
        <v/>
      </c>
      <c r="F1476">
        <f>IF(Skills!N21=TRUE,(Skills!L21/10)*(E1476/1000),Skills!L21/10)+Skills!O21</f>
        <v/>
      </c>
      <c r="G1476">
        <f>Skills!G21*IF(Skills!H21&gt;0,Skills!I21/Skills!H21,1)</f>
        <v/>
      </c>
      <c r="H1476">
        <f>1-(1-Skills!J21/100)^Skills!K21</f>
        <v/>
      </c>
      <c r="I1476" t="inlineStr">
        <is>
          <t>1</t>
        </is>
      </c>
      <c r="J1476" t="inlineStr"/>
      <c r="K1476" t="inlineStr"/>
      <c r="L1476" t="inlineStr"/>
      <c r="M1476" t="inlineStr"/>
      <c r="N1476" t="inlineStr"/>
      <c r="O1476" t="n">
        <v>0</v>
      </c>
      <c r="P1476">
        <f>IF(B1496=0,0,O1476/B1496)</f>
        <v/>
      </c>
      <c r="Q1476" t="n">
        <v>0</v>
      </c>
      <c r="R1476" t="n">
        <v>0</v>
      </c>
      <c r="S1476">
        <f>IFERROR(O1476/N1476,0)</f>
        <v/>
      </c>
    </row>
    <row r="1477">
      <c r="A1477">
        <f>Skills!A22</f>
        <v/>
      </c>
      <c r="B1477">
        <f>Skills!B22</f>
        <v/>
      </c>
      <c r="C1477">
        <f>Inputs!$B$3&gt;=33</f>
        <v/>
      </c>
      <c r="D1477">
        <f>IF(Skills!C22=1,60+Inputs!$B$25+Inputs!$B$29,IF(Skills!C22=2,90+Inputs!$B$26+Inputs!$B$29,IF(Skills!C22=3,120+Inputs!$B$27+Inputs!$B$29,MAX(0,(Inputs!$B$3-100)*3)+Inputs!$B$28+Inputs!$B$29)))</f>
        <v/>
      </c>
      <c r="E1477">
        <f>INDEX(FactorTable!$B$2:$Y$301, MATCH(ROUND(MIN(300,MAX(1,D1477)),0), FactorTable!$A$2:$A$301,0), Skills!M22+1)</f>
        <v/>
      </c>
      <c r="F1477">
        <f>IF(Skills!N22=TRUE,(Skills!L22/10)*(E1477/1000),Skills!L22/10)+Skills!O22</f>
        <v/>
      </c>
      <c r="G1477">
        <f>Skills!G22*IF(Skills!H22&gt;0,Skills!I22/Skills!H22,1)</f>
        <v/>
      </c>
      <c r="H1477">
        <f>1-(1-Skills!J22/100)^Skills!K22</f>
        <v/>
      </c>
      <c r="I1477" t="inlineStr">
        <is>
          <t>1</t>
        </is>
      </c>
      <c r="J1477" t="inlineStr"/>
      <c r="K1477" t="inlineStr"/>
      <c r="L1477" t="inlineStr"/>
      <c r="M1477" t="inlineStr"/>
      <c r="N1477" t="inlineStr"/>
      <c r="O1477" t="n">
        <v>0</v>
      </c>
      <c r="P1477">
        <f>IF(B1496=0,0,O1477/B1496)</f>
        <v/>
      </c>
      <c r="Q1477" t="n">
        <v>0</v>
      </c>
      <c r="R1477" t="n">
        <v>0</v>
      </c>
      <c r="S1477">
        <f>IFERROR(O1477/N1477,0)</f>
        <v/>
      </c>
    </row>
    <row r="1478">
      <c r="A1478">
        <f>Skills!A23</f>
        <v/>
      </c>
      <c r="B1478">
        <f>Skills!B23</f>
        <v/>
      </c>
      <c r="C1478">
        <f>Inputs!$B$3&gt;=38</f>
        <v/>
      </c>
      <c r="D1478">
        <f>IF(Skills!C23=1,60+Inputs!$B$25+Inputs!$B$29,IF(Skills!C23=2,90+Inputs!$B$26+Inputs!$B$29,IF(Skills!C23=3,120+Inputs!$B$27+Inputs!$B$29,MAX(0,(Inputs!$B$3-100)*3)+Inputs!$B$28+Inputs!$B$29)))</f>
        <v/>
      </c>
      <c r="E1478">
        <f>INDEX(FactorTable!$B$2:$Y$301, MATCH(ROUND(MIN(300,MAX(1,D1478)),0), FactorTable!$A$2:$A$301,0), Skills!M23+1)</f>
        <v/>
      </c>
      <c r="F1478">
        <f>IF(Skills!N23=TRUE,(Skills!L23/10)*(E1478/1000),Skills!L23/10)+Skills!O23</f>
        <v/>
      </c>
      <c r="G1478">
        <f>Skills!G23*IF(Skills!H23&gt;0,Skills!I23/Skills!H23,1)</f>
        <v/>
      </c>
      <c r="H1478">
        <f>1-(1-Skills!J23/100)^Skills!K23</f>
        <v/>
      </c>
      <c r="I1478" t="inlineStr">
        <is>
          <t>1</t>
        </is>
      </c>
      <c r="J1478" t="inlineStr"/>
      <c r="K1478" t="inlineStr"/>
      <c r="L1478" t="inlineStr"/>
      <c r="M1478" t="inlineStr"/>
      <c r="N1478" t="inlineStr"/>
      <c r="O1478" t="n">
        <v>0</v>
      </c>
      <c r="P1478">
        <f>IF(B1496=0,0,O1478/B1496)</f>
        <v/>
      </c>
      <c r="Q1478" t="n">
        <v>0</v>
      </c>
      <c r="R1478" t="n">
        <v>0</v>
      </c>
      <c r="S1478">
        <f>IFERROR(O1478/N1478,0)</f>
        <v/>
      </c>
    </row>
    <row r="1479">
      <c r="A1479">
        <f>Skills!A24</f>
        <v/>
      </c>
      <c r="B1479">
        <f>Skills!B24</f>
        <v/>
      </c>
      <c r="C1479">
        <f>Inputs!$B$3&gt;=43</f>
        <v/>
      </c>
      <c r="D1479">
        <f>IF(Skills!C24=1,60+Inputs!$B$25+Inputs!$B$29,IF(Skills!C24=2,90+Inputs!$B$26+Inputs!$B$29,IF(Skills!C24=3,120+Inputs!$B$27+Inputs!$B$29,MAX(0,(Inputs!$B$3-100)*3)+Inputs!$B$28+Inputs!$B$29)))</f>
        <v/>
      </c>
      <c r="E1479">
        <f>INDEX(FactorTable!$B$2:$Y$301, MATCH(ROUND(MIN(300,MAX(1,D1479)),0), FactorTable!$A$2:$A$301,0), Skills!M24+1)</f>
        <v/>
      </c>
      <c r="F1479">
        <f>IF(Skills!N24=TRUE,(Skills!L24/10)*(E1479/1000),Skills!L24/10)+Skills!O24</f>
        <v/>
      </c>
      <c r="G1479">
        <f>Skills!G24*IF(Skills!H24&gt;0,Skills!I24/Skills!H24,1)</f>
        <v/>
      </c>
      <c r="H1479">
        <f>1-(1-Skills!J24/100)^Skills!K24</f>
        <v/>
      </c>
      <c r="I1479" t="inlineStr">
        <is>
          <t>1</t>
        </is>
      </c>
      <c r="J1479" t="inlineStr"/>
      <c r="K1479" t="inlineStr"/>
      <c r="L1479" t="inlineStr"/>
      <c r="M1479" t="inlineStr"/>
      <c r="N1479" t="inlineStr"/>
      <c r="O1479" t="n">
        <v>0</v>
      </c>
      <c r="P1479">
        <f>IF(B1496=0,0,O1479/B1496)</f>
        <v/>
      </c>
      <c r="Q1479" t="n">
        <v>0</v>
      </c>
      <c r="R1479" t="n">
        <v>0</v>
      </c>
      <c r="S1479">
        <f>IFERROR(O1479/N1479,0)</f>
        <v/>
      </c>
    </row>
    <row r="1480">
      <c r="A1480">
        <f>Skills!A25</f>
        <v/>
      </c>
      <c r="B1480">
        <f>Skills!B25</f>
        <v/>
      </c>
      <c r="C1480">
        <f>Inputs!$B$3&gt;=75</f>
        <v/>
      </c>
      <c r="D1480">
        <f>IF(Skills!C25=1,60+Inputs!$B$25+Inputs!$B$29,IF(Skills!C25=2,90+Inputs!$B$26+Inputs!$B$29,IF(Skills!C25=3,120+Inputs!$B$27+Inputs!$B$29,MAX(0,(Inputs!$B$3-100)*3)+Inputs!$B$28+Inputs!$B$29)))</f>
        <v/>
      </c>
      <c r="E1480">
        <f>INDEX(FactorTable!$B$2:$Y$301, MATCH(ROUND(MIN(300,MAX(1,D1480)),0), FactorTable!$A$2:$A$301,0), Skills!M25+1)</f>
        <v/>
      </c>
      <c r="F1480">
        <f>IF(Skills!N25=TRUE,(Skills!L25/10)*(E1480/1000),Skills!L25/10)+Skills!O25</f>
        <v/>
      </c>
      <c r="G1480">
        <f>Skills!G25*IF(Skills!H25&gt;0,Skills!I25/Skills!H25,1)</f>
        <v/>
      </c>
      <c r="H1480">
        <f>1-(1-Skills!J25/100)^Skills!K25</f>
        <v/>
      </c>
      <c r="I1480" t="inlineStr">
        <is>
          <t>1</t>
        </is>
      </c>
      <c r="J1480" t="inlineStr"/>
      <c r="K1480" t="inlineStr"/>
      <c r="L1480" t="inlineStr"/>
      <c r="M1480" t="inlineStr"/>
      <c r="N1480" t="inlineStr"/>
      <c r="O1480" t="n">
        <v>0</v>
      </c>
      <c r="P1480">
        <f>IF(B1496=0,0,O1480/B1496)</f>
        <v/>
      </c>
      <c r="Q1480" t="n">
        <v>0</v>
      </c>
      <c r="R1480" t="n">
        <v>0</v>
      </c>
      <c r="S1480">
        <f>IFERROR(O1480/N1480,0)</f>
        <v/>
      </c>
    </row>
    <row r="1481">
      <c r="A1481">
        <f>Skills!A26</f>
        <v/>
      </c>
      <c r="B1481">
        <f>Skills!B26</f>
        <v/>
      </c>
      <c r="C1481">
        <f>Inputs!$B$3&gt;=125</f>
        <v/>
      </c>
      <c r="D1481">
        <f>IF(Skills!C26=1,60+Inputs!$B$25+Inputs!$B$29,IF(Skills!C26=2,90+Inputs!$B$26+Inputs!$B$29,IF(Skills!C26=3,120+Inputs!$B$27+Inputs!$B$29,MAX(0,(Inputs!$B$3-100)*3)+Inputs!$B$28+Inputs!$B$29)))</f>
        <v/>
      </c>
      <c r="E1481">
        <f>INDEX(FactorTable!$B$2:$Y$301, MATCH(ROUND(MIN(300,MAX(1,D1481)),0), FactorTable!$A$2:$A$301,0), Skills!M26+1)</f>
        <v/>
      </c>
      <c r="F1481">
        <f>IF(Skills!N26=TRUE,(Skills!L26/10)*(E1481/1000),Skills!L26/10)+Skills!O26</f>
        <v/>
      </c>
      <c r="G1481">
        <f>Skills!G26*IF(Skills!H26&gt;0,Skills!I26/Skills!H26,1)</f>
        <v/>
      </c>
      <c r="H1481">
        <f>1-(1-Skills!J26/100)^Skills!K26</f>
        <v/>
      </c>
      <c r="I1481" t="inlineStr">
        <is>
          <t>1</t>
        </is>
      </c>
      <c r="J1481" t="inlineStr"/>
      <c r="K1481" t="inlineStr"/>
      <c r="L1481" t="inlineStr"/>
      <c r="M1481" t="inlineStr"/>
      <c r="N1481" t="inlineStr"/>
      <c r="O1481" t="n">
        <v>0</v>
      </c>
      <c r="P1481">
        <f>IF(B1496=0,0,O1481/B1496)</f>
        <v/>
      </c>
      <c r="Q1481" t="n">
        <v>0</v>
      </c>
      <c r="R1481" t="n">
        <v>0</v>
      </c>
      <c r="S1481">
        <f>IFERROR(O1481/N1481,0)</f>
        <v/>
      </c>
    </row>
    <row r="1482">
      <c r="A1482">
        <f>Skills!A27</f>
        <v/>
      </c>
      <c r="B1482">
        <f>Skills!B27</f>
        <v/>
      </c>
      <c r="C1482">
        <f>Inputs!$B$3&gt;=125</f>
        <v/>
      </c>
      <c r="D1482">
        <f>IF(Skills!C27=1,60+Inputs!$B$25+Inputs!$B$29,IF(Skills!C27=2,90+Inputs!$B$26+Inputs!$B$29,IF(Skills!C27=3,120+Inputs!$B$27+Inputs!$B$29,MAX(0,(Inputs!$B$3-100)*3)+Inputs!$B$28+Inputs!$B$29)))</f>
        <v/>
      </c>
      <c r="E1482">
        <f>INDEX(FactorTable!$B$2:$Y$301, MATCH(ROUND(MIN(300,MAX(1,D1482)),0), FactorTable!$A$2:$A$301,0), Skills!M27+1)</f>
        <v/>
      </c>
      <c r="F1482">
        <f>IF(Skills!N27=TRUE,(Skills!L27/10)*(E1482/1000),Skills!L27/10)+Skills!O27</f>
        <v/>
      </c>
      <c r="G1482">
        <f>Skills!G27*IF(Skills!H27&gt;0,Skills!I27/Skills!H27,1)</f>
        <v/>
      </c>
      <c r="H1482">
        <f>1-(1-Skills!J27/100)^Skills!K27</f>
        <v/>
      </c>
      <c r="I1482" t="inlineStr">
        <is>
          <t>1</t>
        </is>
      </c>
      <c r="J1482" t="inlineStr"/>
      <c r="K1482" t="inlineStr"/>
      <c r="L1482" t="inlineStr"/>
      <c r="M1482" t="inlineStr"/>
      <c r="N1482" t="inlineStr"/>
      <c r="O1482" t="n">
        <v>0</v>
      </c>
      <c r="P1482">
        <f>IF(B1496=0,0,O1482/B1496)</f>
        <v/>
      </c>
      <c r="Q1482" t="n">
        <v>0</v>
      </c>
      <c r="R1482" t="n">
        <v>0</v>
      </c>
      <c r="S1482">
        <f>IFERROR(O1482/N1482,0)</f>
        <v/>
      </c>
    </row>
    <row r="1483">
      <c r="A1483">
        <f>Skills!A28</f>
        <v/>
      </c>
      <c r="B1483">
        <f>Skills!B28</f>
        <v/>
      </c>
      <c r="C1483">
        <f>Inputs!$B$3&gt;=120</f>
        <v/>
      </c>
      <c r="D1483">
        <f>IF(Skills!C28=1,60+Inputs!$B$25+Inputs!$B$29,IF(Skills!C28=2,90+Inputs!$B$26+Inputs!$B$29,IF(Skills!C28=3,120+Inputs!$B$27+Inputs!$B$29,MAX(0,(Inputs!$B$3-100)*3)+Inputs!$B$28+Inputs!$B$29)))</f>
        <v/>
      </c>
      <c r="E1483">
        <f>INDEX(FactorTable!$B$2:$Y$301, MATCH(ROUND(MIN(300,MAX(1,D1483)),0), FactorTable!$A$2:$A$301,0), Skills!M28+1)</f>
        <v/>
      </c>
      <c r="F1483">
        <f>IF(Skills!N28=TRUE,(Skills!L28/10)*(E1483/1000),Skills!L28/10)+Skills!O28</f>
        <v/>
      </c>
      <c r="G1483">
        <f>Skills!G28*IF(Skills!H28&gt;0,Skills!I28/Skills!H28,1)</f>
        <v/>
      </c>
      <c r="H1483">
        <f>1-(1-Skills!J28/100)^Skills!K28</f>
        <v/>
      </c>
      <c r="I1483" t="inlineStr">
        <is>
          <t>1</t>
        </is>
      </c>
      <c r="J1483" t="inlineStr"/>
      <c r="K1483" t="inlineStr"/>
      <c r="L1483" t="inlineStr"/>
      <c r="M1483" t="inlineStr"/>
      <c r="N1483" t="inlineStr"/>
      <c r="O1483" t="n">
        <v>0</v>
      </c>
      <c r="P1483">
        <f>IF(B1496=0,0,O1483/B1496)</f>
        <v/>
      </c>
      <c r="Q1483" t="n">
        <v>0</v>
      </c>
      <c r="R1483" t="n">
        <v>0</v>
      </c>
      <c r="S1483">
        <f>IFERROR(O1483/N1483,0)</f>
        <v/>
      </c>
    </row>
    <row r="1484">
      <c r="A1484">
        <f>Skills!A29</f>
        <v/>
      </c>
      <c r="B1484">
        <f>Skills!B29</f>
        <v/>
      </c>
      <c r="C1484">
        <f>Inputs!$B$3&gt;=120</f>
        <v/>
      </c>
      <c r="D1484">
        <f>IF(Skills!C29=1,60+Inputs!$B$25+Inputs!$B$29,IF(Skills!C29=2,90+Inputs!$B$26+Inputs!$B$29,IF(Skills!C29=3,120+Inputs!$B$27+Inputs!$B$29,MAX(0,(Inputs!$B$3-100)*3)+Inputs!$B$28+Inputs!$B$29)))</f>
        <v/>
      </c>
      <c r="E1484">
        <f>INDEX(FactorTable!$B$2:$Y$301, MATCH(ROUND(MIN(300,MAX(1,D1484)),0), FactorTable!$A$2:$A$301,0), Skills!M29+1)</f>
        <v/>
      </c>
      <c r="F1484">
        <f>IF(Skills!N29=TRUE,(Skills!L29/10)*(E1484/1000),Skills!L29/10)+Skills!O29</f>
        <v/>
      </c>
      <c r="G1484">
        <f>Skills!G29*IF(Skills!H29&gt;0,Skills!I29/Skills!H29,1)</f>
        <v/>
      </c>
      <c r="H1484">
        <f>1-(1-Skills!J29/100)^Skills!K29</f>
        <v/>
      </c>
      <c r="I1484" t="inlineStr">
        <is>
          <t>1</t>
        </is>
      </c>
      <c r="J1484" t="inlineStr"/>
      <c r="K1484" t="inlineStr"/>
      <c r="L1484" t="inlineStr"/>
      <c r="M1484" t="inlineStr"/>
      <c r="N1484" t="inlineStr"/>
      <c r="O1484" t="n">
        <v>0</v>
      </c>
      <c r="P1484">
        <f>IF(B1496=0,0,O1484/B1496)</f>
        <v/>
      </c>
      <c r="Q1484" t="n">
        <v>0</v>
      </c>
      <c r="R1484" t="n">
        <v>0</v>
      </c>
      <c r="S1484">
        <f>IFERROR(O1484/N1484,0)</f>
        <v/>
      </c>
    </row>
    <row r="1485">
      <c r="A1485">
        <f>Skills!A30</f>
        <v/>
      </c>
      <c r="B1485">
        <f>Skills!B30</f>
        <v/>
      </c>
      <c r="C1485">
        <f>Inputs!$B$3&gt;=45</f>
        <v/>
      </c>
      <c r="D1485">
        <f>IF(Skills!C30=1,60+Inputs!$B$25+Inputs!$B$29,IF(Skills!C30=2,90+Inputs!$B$26+Inputs!$B$29,IF(Skills!C30=3,120+Inputs!$B$27+Inputs!$B$29,MAX(0,(Inputs!$B$3-100)*3)+Inputs!$B$28+Inputs!$B$29)))</f>
        <v/>
      </c>
      <c r="E1485">
        <f>INDEX(FactorTable!$B$2:$Y$301, MATCH(ROUND(MIN(300,MAX(1,D1485)),0), FactorTable!$A$2:$A$301,0), Skills!M30+1)</f>
        <v/>
      </c>
      <c r="F1485">
        <f>IF(Skills!N30=TRUE,(Skills!L30/10)*(E1485/1000),Skills!L30/10)+Skills!O30</f>
        <v/>
      </c>
      <c r="G1485">
        <f>Skills!G30*IF(Skills!H30&gt;0,Skills!I30/Skills!H30,1)</f>
        <v/>
      </c>
      <c r="H1485">
        <f>1-(1-Skills!J30/100)^Skills!K30</f>
        <v/>
      </c>
      <c r="I1485" t="inlineStr">
        <is>
          <t>1</t>
        </is>
      </c>
      <c r="J1485" t="inlineStr"/>
      <c r="K1485" t="inlineStr"/>
      <c r="L1485" t="inlineStr"/>
      <c r="M1485" t="inlineStr"/>
      <c r="N1485" t="inlineStr"/>
      <c r="O1485" t="n">
        <v>0</v>
      </c>
      <c r="P1485">
        <f>IF(B1496=0,0,O1485/B1496)</f>
        <v/>
      </c>
      <c r="Q1485" t="n">
        <v>0</v>
      </c>
      <c r="R1485" t="n">
        <v>0</v>
      </c>
      <c r="S1485">
        <f>IFERROR(O1485/N1485,0)</f>
        <v/>
      </c>
    </row>
    <row r="1487">
      <c r="A1487" t="inlineStr">
        <is>
          <t>Attack% Bucket Multiplier</t>
        </is>
      </c>
      <c r="B1487">
        <f>(1+(((C1468=TRUE)*F1468)+((C1469=TRUE)*IF(Inputs!$B$38="pvp",F1469,(1-Summary!$B$55)*(F1469)+Summary!$B$55*(0)))+((C1470=TRUE)*F1470*IF(AND(Inputs!$B$38&lt;&gt;"pvp",Inputs!$B$43&gt;0),(((R1470-1)*(Skills!T15*(1+Inputs!$B$34/100))+MIN((Skills!T15*(1+Inputs!$B$34/100)),MAX(0,Inputs!$B$43-((R1470-1)*Skills!D15))))/Inputs!$B$43),IF(Inputs!$B$38="pvp",MIN((Skills!T15*(1+Inputs!$B$34/100)),15)/15,(Skills!T15*(1+Inputs!$B$34/100))/Skills!D15)))+((C1485=TRUE)*(F1485-Calc!F30)))/100)</f>
        <v/>
      </c>
    </row>
    <row r="1488">
      <c r="A1488" t="inlineStr">
        <is>
          <t>Global Crit Rate Bonus %</t>
        </is>
      </c>
      <c r="B1488">
        <f>(C1471=TRUE)*20*IF(AND(Inputs!$B$38&lt;&gt;"pvp",Inputs!$B$43&gt;0),(((R1471-1)*(Skills!T16*(1+Inputs!$B$34/100))+MIN((Skills!T16*(1+Inputs!$B$34/100)),MAX(0,Inputs!$B$43-((R1471-1)*Skills!D16))))/Inputs!$B$43),IF(Inputs!$B$38="pvp",MIN((Skills!T16*(1+Inputs!$B$34/100)),15)/15,(Skills!T16*(1+Inputs!$B$34/100))/Skills!D16))</f>
        <v/>
      </c>
    </row>
    <row r="1489">
      <c r="A1489" t="inlineStr">
        <is>
          <t>Attack Speed Buff Bonus %</t>
        </is>
      </c>
      <c r="B1489">
        <f>((C1474=TRUE)*F1474*IF(AND(Inputs!$B$38&lt;&gt;"pvp",Inputs!$B$43&gt;0),(((R1474-1)*(Skills!T19*(1+Inputs!$B$34/100))+MIN((Skills!T19*(1+Inputs!$B$34/100)),MAX(0,Inputs!$B$43-((R1474-1)*Skills!D19))))/Inputs!$B$43),IF(Inputs!$B$38="pvp",MIN((Skills!T19*(1+Inputs!$B$34/100)),15)/15,(Skills!T19*(1+Inputs!$B$34/100))/Skills!D19)))</f>
        <v/>
      </c>
    </row>
    <row r="1490">
      <c r="A1490" t="inlineStr">
        <is>
          <t>Actions Per Second</t>
        </is>
      </c>
      <c r="B1490">
        <f>1+MIN(150,150*(1-(1-(Inputs!$B$11+((C1476=TRUE)*(F1476-Calc!F21))+((C1477=TRUE)*(F1477-Calc!F22)))/150)*(1-B1489/150)))/100</f>
        <v/>
      </c>
    </row>
    <row r="1491">
      <c r="A1491" t="inlineStr">
        <is>
          <t>Skill + Buff Cast Rate</t>
        </is>
      </c>
      <c r="B1491">
        <f>IF(AND(Inputs!$B$38&lt;&gt;"pvp",Inputs!$B$43&gt;0),SUMPRODUCT((Skills!E2:E30=TRUE)*(C1457:C1485=TRUE)*R1457:R1485*Skills!F2:F30)/Inputs!$B$43,SUMPRODUCT((Skills!E2:E30=TRUE)*(C1457:C1485=TRUE)*Q1457:Q1485*Skills!F2:F30))</f>
        <v/>
      </c>
    </row>
    <row r="1492">
      <c r="A1492" t="inlineStr">
        <is>
          <t>Arrow Stream Casts Per Second</t>
        </is>
      </c>
      <c r="B1492">
        <f>MAX(0,B1490-B1491)</f>
        <v/>
      </c>
    </row>
    <row r="1493">
      <c r="A1493" t="inlineStr">
        <is>
          <t>Global Critical Damage Bonus % (Sharp Eyes + Concentration)</t>
        </is>
      </c>
      <c r="B1493">
        <f>(C1471=TRUE)*F1471*IF(AND(Inputs!$B$38&lt;&gt;"pvp",Inputs!$B$43&gt;0),(((R1471-1)*(Skills!T16*(1+Inputs!$B$34/100))+MIN((Skills!T16*(1+Inputs!$B$34/100)),MAX(0,Inputs!$B$43-((R1471-1)*Skills!D16))))/Inputs!$B$43),IF(Inputs!$B$38="pvp",MIN((Skills!T16*(1+Inputs!$B$34/100)),15)/15,(Skills!T16*(1+Inputs!$B$34/100))/Skills!D16))+(C1472=TRUE)*30</f>
        <v/>
      </c>
    </row>
    <row r="1494">
      <c r="A1494" t="inlineStr">
        <is>
          <t>Global Final Damage Bonus % (Mortal Blow)</t>
        </is>
      </c>
      <c r="B1494">
        <f>(C1473=TRUE)*F1473</f>
        <v/>
      </c>
    </row>
    <row r="1495">
      <c r="A1495" t="inlineStr">
        <is>
          <t>Buff-Casting Startup Delay (s, fixed-duration only)</t>
        </is>
      </c>
      <c r="B1495">
        <f>IF(AND(Inputs!$B$38&lt;&gt;"pvp",Inputs!$B$43&gt;0),SUMPRODUCT((Skills!T2:T30&gt;0)*(Skills!E2:E30=TRUE)*(C1457:C1485=TRUE))/B1490,0)</f>
        <v/>
      </c>
    </row>
    <row r="1496">
      <c r="A1496" s="5" t="inlineStr">
        <is>
          <t>TOTAL DPS</t>
        </is>
      </c>
      <c r="B1496" s="5">
        <f>SUM(O1457:O1485)</f>
        <v/>
      </c>
    </row>
    <row r="1499">
      <c r="A1499" s="5" t="inlineStr">
        <is>
          <t>Stat: CDR = 4.0s</t>
        </is>
      </c>
    </row>
    <row r="1500">
      <c r="A1500" s="9" t="inlineStr">
        <is>
          <t>Key</t>
        </is>
      </c>
      <c r="B1500" s="9" t="inlineStr">
        <is>
          <t>Name</t>
        </is>
      </c>
      <c r="C1500" s="9" t="inlineStr">
        <is>
          <t>Unlocked</t>
        </is>
      </c>
      <c r="D1500" s="9" t="inlineStr">
        <is>
          <t>InputLevel</t>
        </is>
      </c>
      <c r="E1500" s="9" t="inlineStr">
        <is>
          <t>Factor</t>
        </is>
      </c>
      <c r="F1500" s="9" t="inlineStr">
        <is>
          <t>CoefficientPercent</t>
        </is>
      </c>
      <c r="G1500" s="9" t="inlineStr">
        <is>
          <t>EffectiveHits</t>
        </is>
      </c>
      <c r="H1500" s="9" t="inlineStr">
        <is>
          <t>ProcProbability</t>
        </is>
      </c>
      <c r="I1500" s="9" t="inlineStr">
        <is>
          <t>MapleHeroMultiplier</t>
        </is>
      </c>
      <c r="J1500" s="9" t="inlineStr">
        <is>
          <t>BaseDamage</t>
        </is>
      </c>
      <c r="K1500" s="9" t="inlineStr">
        <is>
          <t>BaseHitDamage</t>
        </is>
      </c>
      <c r="L1500" s="9" t="inlineStr">
        <is>
          <t>NonCritAvg</t>
        </is>
      </c>
      <c r="M1500" s="9" t="inlineStr">
        <is>
          <t>CritAvg</t>
        </is>
      </c>
      <c r="N1500" s="9" t="inlineStr">
        <is>
          <t>ExpectedDamage(perHit)</t>
        </is>
      </c>
      <c r="O1500" s="9" t="inlineStr">
        <is>
          <t>DPS</t>
        </is>
      </c>
      <c r="P1500" s="9" t="inlineStr">
        <is>
          <t>% of Total</t>
        </is>
      </c>
      <c r="Q1500" s="9" t="inlineStr">
        <is>
          <t>InvCooldown</t>
        </is>
      </c>
      <c r="R1500" s="9" t="inlineStr">
        <is>
          <t>CastsInFight</t>
        </is>
      </c>
      <c r="S1500" s="9" t="inlineStr">
        <is>
          <t>HitRate(perSec)</t>
        </is>
      </c>
      <c r="U1500" t="inlineStr">
        <is>
          <t>helpers</t>
        </is>
      </c>
    </row>
    <row r="1501">
      <c r="A1501">
        <f>Skills!A2</f>
        <v/>
      </c>
      <c r="B1501">
        <f>Skills!B2</f>
        <v/>
      </c>
      <c r="C1501">
        <f>Inputs!$B$3&gt;=100</f>
        <v/>
      </c>
      <c r="D1501" t="inlineStr"/>
      <c r="E1501" t="inlineStr"/>
      <c r="F1501">
        <f>U1503+Skills!O2</f>
        <v/>
      </c>
      <c r="G1501">
        <f>Skills!G2*IF(Skills!H2&gt;0,Skills!I2/Skills!H2,1)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F(Inputs!$B$38="pvp",0,(1-Summary!$B$55)*(Inputs!$B$20+0+Skills!P2)+Summary!$B$55*(Inputs!$B$21+Skills!Q2))/100)*(1+Inputs!$B$16/100)*(5000/(6000+Inputs!$B$42*(1-(Inputs!$B$19+((C1526=TRUE)*(F1526-Calc!F27)))/100)))*(1+(Inputs!$B$24+((C1524=TRUE)*(F1524-Calc!F25))+((C1525=TRUE)*(F1525-Calc!F26))+B1538)/100)*(1+(IF(Skills!A2="ARROW_STREAM",Inputs!$B$17+((C1522=TRUE)*(F1522-Calc!F23)),Inputs!$B$18+((C1527=TRUE)*(F1527-Calc!F28))))/100)*((1+(((C1512=TRUE)*F1512)+((C1513=TRUE)*IF(Inputs!$B$38="pvp",F1513,(1-Summary!$B$55)*(F1513)+Summary!$B$55*(0)))+((C1514=TRUE)*F1514*IF(AND(Inputs!$B$38&lt;&gt;"pvp",Inputs!$B$43&gt;0),(((R1514-1)*(Skills!T15*(1+Inputs!$B$34/100))+MIN((Skills!T15*(1+Inputs!$B$34/100)),MAX(0,Inputs!$B$43-((R1514-1)*Skills!D15))))/Inputs!$B$43),IF(Inputs!$B$38="pvp",MIN((Skills!T15*(1+Inputs!$B$34/100)),15)/15,(Skills!T15*(1+Inputs!$B$34/100))/Skills!D15)))+((C1529=TRUE)*(F1529-Calc!F30)))/100)*I1501)</f>
        <v/>
      </c>
      <c r="L1501">
        <f>K1501*(MIN(Inputs!$B$22+((C1523=TRUE)*(F1523-Calc!F24)),Inputs!$B$23+((C1528=TRUE)*(F1528-Calc!F29)))/100+(Inputs!$B$23+((C1528=TRUE)*(F1528-Calc!F29)))/100)/2</f>
        <v/>
      </c>
      <c r="M1501">
        <f>L1501*(1+(Inputs!$B$10+0+B1537)/100)</f>
        <v/>
      </c>
      <c r="N1501">
        <f>L1501*(1-MIN((Inputs!$B$9+((C1519=TRUE)*(F1519-Calc!F20))+B1532),100)/100)+M1501*(MIN((Inputs!$B$9+((C1519=TRUE)*(F1519-Calc!F20))+B1532),100)/100)</f>
        <v/>
      </c>
      <c r="O1501">
        <f>IF(C1501,Skills!G2*N1501*B1536*IF(Inputs!$B$38="pvp",1,(1-Summary!$B$55)*(1)+Summary!$B$55*(MIN((6+Inputs!$B$33),Inputs!$B$37))),0)</f>
        <v/>
      </c>
      <c r="P1501">
        <f>IF(B1540=0,0,O1501/B1540)</f>
        <v/>
      </c>
      <c r="Q1501" t="n">
        <v>0</v>
      </c>
      <c r="R1501" t="n">
        <v>0</v>
      </c>
      <c r="S1501">
        <f>IFERROR(O1501/N1501,0)</f>
        <v/>
      </c>
      <c r="U1501">
        <f>MAX(0,(Inputs!$B$3-100)*3)+Inputs!$B$28+Inputs!$B$29</f>
        <v/>
      </c>
    </row>
    <row r="1502">
      <c r="A1502">
        <f>Skills!A3</f>
        <v/>
      </c>
      <c r="B1502">
        <f>Skills!B3</f>
        <v/>
      </c>
      <c r="C1502">
        <f>Inputs!$B$3&gt;=50</f>
        <v/>
      </c>
      <c r="D1502">
        <f>IF(Skills!C3=1,60+Inputs!$B$25+Inputs!$B$29,IF(Skills!C3=2,90+Inputs!$B$26+Inputs!$B$29,IF(Skills!C3=3,120+Inputs!$B$27+Inputs!$B$29,MAX(0,(Inputs!$B$3-100)*3)+Inputs!$B$28+Inputs!$B$29)))</f>
        <v/>
      </c>
      <c r="E1502">
        <f>INDEX(FactorTable!$B$2:$Y$301, MATCH(ROUND(MIN(300,MAX(1,D1502)),0),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INDEX(FactorTable!$B$2:$Y$301, MATCH(ROUND(MIN(300,MAX(1,U1501)),0), FactorTable!$A$2:$A$301,0), 22)</f>
        <v/>
      </c>
    </row>
    <row r="1503">
      <c r="A1503">
        <f>Skills!A4</f>
        <v/>
      </c>
      <c r="B1503">
        <f>Skills!B4</f>
        <v/>
      </c>
      <c r="C1503">
        <f>Inputs!$B$3&gt;=105</f>
        <v/>
      </c>
      <c r="D1503">
        <f>IF(Skills!C4=1,60+Inputs!$B$25+Inputs!$B$29,IF(Skills!C4=2,90+Inputs!$B$26+Inputs!$B$29,IF(Skills!C4=3,120+Inputs!$B$27+Inputs!$B$29,MAX(0,(Inputs!$B$3-100)*3)+Inputs!$B$28+Inputs!$B$29)))</f>
        <v/>
      </c>
      <c r="E1503">
        <f>INDEX(FactorTable!$B$2:$Y$301, MATCH(ROUND(MIN(300,MAX(1,D1503)),0), FactorTable!$A$2:$A$301,0), Skills!M4+1)</f>
        <v/>
      </c>
      <c r="F1503">
        <f>IF(Skills!N4=TRUE,(Skills!L4/10)*(E1503/1000),Skills!L4/10)+Skills!O4</f>
        <v/>
      </c>
      <c r="G1503" t="inlineStr"/>
      <c r="H1503" t="inlineStr"/>
      <c r="I1503" t="inlineStr">
        <is>
          <t>1</t>
        </is>
      </c>
      <c r="J1503" t="inlineStr"/>
      <c r="K1503" t="inlineStr"/>
      <c r="L1503" t="inlineStr"/>
      <c r="M1503" t="inlineStr"/>
      <c r="N1503" t="inlineStr"/>
      <c r="O1503" t="inlineStr"/>
      <c r="P1503" t="inlineStr"/>
      <c r="Q1503" t="inlineStr"/>
      <c r="R1503" t="inlineStr"/>
      <c r="S1503" t="inlineStr"/>
      <c r="U1503">
        <f>290*U1502/1000</f>
        <v/>
      </c>
    </row>
    <row r="1504">
      <c r="A1504">
        <f>Skills!A5</f>
        <v/>
      </c>
      <c r="B1504">
        <f>Skills!B5</f>
        <v/>
      </c>
      <c r="C1504">
        <f>Inputs!$B$3&gt;=35</f>
        <v/>
      </c>
      <c r="D1504">
        <f>IF(Skills!C5=1,60+Inputs!$B$25+Inputs!$B$29,IF(Skills!C5=2,90+Inputs!$B$26+Inputs!$B$29,IF(Skills!C5=3,120+Inputs!$B$27+Inputs!$B$29,MAX(0,(Inputs!$B$3-100)*3)+Inputs!$B$28+Inputs!$B$29)))</f>
        <v/>
      </c>
      <c r="E1504">
        <f>INDEX(FactorTable!$B$2:$Y$301, MATCH(ROUND(MIN(300,MAX(1,D1504)),0), FactorTable!$A$2:$A$301,0), Skills!M5+1)</f>
        <v/>
      </c>
      <c r="F1504">
        <f>IF(Skills!N5=TRUE,(Skills!L5/10)*(E1504/1000),Skills!L5/10)+Skills!O5</f>
        <v/>
      </c>
      <c r="G1504">
        <f>Skills!G5*IF(Skills!H5&gt;0,Skills!I5/Skills!H5,1)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F(Inputs!$B$38="pvp",0,(1-Summary!$B$55)*(Inputs!$B$20+0+Skills!P5)+Summary!$B$55*(Inputs!$B$21+Skills!Q5))/100)*(1+Inputs!$B$16/100)*(5000/(6000+Inputs!$B$42*(1-(Inputs!$B$19+((C1526=TRUE)*(F1526-Calc!F27)))/100)))*(1+(Inputs!$B$24+((C1524=TRUE)*(F1524-Calc!F25))+((C1525=TRUE)*(F1525-Calc!F26))+B1538)/100)*(1+4.0*IF(C1509=TRUE,F1509,0)/100)*(1+(IF(Skills!A5="ARROW_STREAM",Inputs!$B$17+((C1522=TRUE)*(F1522-Calc!F23)),Inputs!$B$18+((C1527=TRUE)*(F1527-Calc!F28))))/100)*((1+(((C1512=TRUE)*F1512)+((C1513=TRUE)*IF(Inputs!$B$38="pvp",F1513,(1-Summary!$B$55)*(F1513)+Summary!$B$55*(0)))+((C1514=TRUE)*F1514*IF(AND(Inputs!$B$38&lt;&gt;"pvp",Inputs!$B$43&gt;0),(((R1514-1)*(Skills!T15*(1+Inputs!$B$34/100))+MIN((Skills!T15*(1+Inputs!$B$34/100)),MAX(0,Inputs!$B$43-((R1514-1)*Skills!D15))))/Inputs!$B$43),IF(Inputs!$B$38="pvp",MIN((Skills!T15*(1+Inputs!$B$34/100)),15)/15,(Skills!T15*(1+Inputs!$B$34/100))/Skills!D15)))+((C1529=TRUE)*(F1529-Calc!F30)))/100)*I1504)</f>
        <v/>
      </c>
      <c r="L1504">
        <f>K1504*(MIN(Inputs!$B$22+((C1523=TRUE)*(F1523-Calc!F24)),Inputs!$B$23+((C1528=TRUE)*(F1528-Calc!F29)))/100+(Inputs!$B$23+((C1528=TRUE)*(F1528-Calc!F29)))/100)/2</f>
        <v/>
      </c>
      <c r="M1504">
        <f>L1504*(1+(Inputs!$B$10+0+B1537)/100)</f>
        <v/>
      </c>
      <c r="N1504">
        <f>L1504*(1-MIN((Inputs!$B$9+((C1519=TRUE)*(F1519-Calc!F20))+B1532),100)/100)+M1504*(MIN((Inputs!$B$9+((C1519=TRUE)*(F1519-Calc!F20))+B1532),100)/100)</f>
        <v/>
      </c>
      <c r="O1504">
        <f>IF(C1504,H1504*N1504*IF(AND(Inputs!$B$38&lt;&gt;"pvp",Inputs!$B$43&gt;0),((Skills!G5*((R1504-1)*IF(Skills!H5&gt;0,Skills!I5/Skills!H5,1)+IF(Skills!H5&gt;0,MIN(Skills!I5,MAX(0,MAX(0,Inputs!$B$43-B1539)-((R1504-1)*IF(Inputs!$B$38="pvp",15,MAX(0.1,Skills!D5-IF(Skills!E5=TRUE,4.0,0))))))/Skills!H5,1)))/Inputs!$B$43),G1504*Q1504)*IF(Inputs!$B$38="pvp",1,(1-Summary!$B$55)*(1)+Summary!$B$55*(MIN(Skills!R5,Inputs!$B$37))),0)</f>
        <v/>
      </c>
      <c r="P1504">
        <f>IF(B1540=0,0,O1504/B1540)</f>
        <v/>
      </c>
      <c r="Q1504">
        <f>IFERROR(1/IF(Inputs!$B$38="pvp",15,MAX(0.1,Skills!D5-IF(Skills!E5=TRUE,4.0,0))),0)</f>
        <v/>
      </c>
      <c r="R1504">
        <f>IF(AND(Inputs!$B$38&lt;&gt;"pvp",Inputs!$B$43&gt;0),IF(MAX(0,Inputs!$B$43-B1539)&lt;=0,0,(INT(MAX(0,Inputs!$B$43-B1539)/IF(Inputs!$B$38="pvp",15,MAX(0.1,Skills!D5-IF(Skills!E5=TRUE,4.0,0))))+1)),0)</f>
        <v/>
      </c>
      <c r="S1504">
        <f>IFERROR(O1504/N1504,0)</f>
        <v/>
      </c>
    </row>
    <row r="1505">
      <c r="A1505">
        <f>Skills!A6</f>
        <v/>
      </c>
      <c r="B1505">
        <f>Skills!B6</f>
        <v/>
      </c>
      <c r="C1505">
        <f>Inputs!$B$3&gt;=40</f>
        <v/>
      </c>
      <c r="D1505">
        <f>IF(Skills!C6=1,60+Inputs!$B$25+Inputs!$B$29,IF(Skills!C6=2,90+Inputs!$B$26+Inputs!$B$29,IF(Skills!C6=3,120+Inputs!$B$27+Inputs!$B$29,MAX(0,(Inputs!$B$3-100)*3)+Inputs!$B$28+Inputs!$B$29)))</f>
        <v/>
      </c>
      <c r="E1505">
        <f>INDEX(FactorTable!$B$2:$Y$301, MATCH(ROUND(MIN(300,MAX(1,D1505)),0), FactorTable!$A$2:$A$301,0), Skills!M6+1)</f>
        <v/>
      </c>
      <c r="F1505">
        <f>IF(Skills!N6=TRUE,(Skills!L6/10)*(E1505/1000),Skills!L6/10)+Skills!O6</f>
        <v/>
      </c>
      <c r="G1505">
        <f>Skills!G6*IF(Skills!H6&gt;0,Skills!I6/Skills!H6,1)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F(Inputs!$B$38="pvp",0,(1-Summary!$B$55)*(Inputs!$B$20+0+Skills!P6)+Summary!$B$55*(Inputs!$B$21+Skills!Q6))/100)*(1+Inputs!$B$16/100)*(5000/(6000+Inputs!$B$42*(1-(Inputs!$B$19+((C1526=TRUE)*(F1526-Calc!F27)))/100)))*(1+(Inputs!$B$24+((C1524=TRUE)*(F1524-Calc!F25))+((C1525=TRUE)*(F1525-Calc!F26))+B1538)/100)*(1+IF(C1506=TRUE,F1506,0)/100)*(1+(IF(Skills!A6="ARROW_STREAM",Inputs!$B$17+((C1522=TRUE)*(F1522-Calc!F23)),Inputs!$B$18+((C1527=TRUE)*(F1527-Calc!F28))))/100)*((1+(((C1512=TRUE)*F1512)+((C1513=TRUE)*IF(Inputs!$B$38="pvp",F1513,(1-Summary!$B$55)*(F1513)+Summary!$B$55*(0)))+((C1514=TRUE)*F1514*IF(AND(Inputs!$B$38&lt;&gt;"pvp",Inputs!$B$43&gt;0),(((R1514-1)*(Skills!T15*(1+Inputs!$B$34/100))+MIN((Skills!T15*(1+Inputs!$B$34/100)),MAX(0,Inputs!$B$43-((R1514-1)*Skills!D15))))/Inputs!$B$43),IF(Inputs!$B$38="pvp",MIN((Skills!T15*(1+Inputs!$B$34/100)),15)/15,(Skills!T15*(1+Inputs!$B$34/100))/Skills!D15)))+((C1529=TRUE)*(F1529-Calc!F30)))/100)*I1505)</f>
        <v/>
      </c>
      <c r="L1505">
        <f>K1505*(MIN(Inputs!$B$22+((C1523=TRUE)*(F1523-Calc!F24)),Inputs!$B$23+((C1528=TRUE)*(F1528-Calc!F29)))/100+(Inputs!$B$23+((C1528=TRUE)*(F1528-Calc!F29)))/100)/2</f>
        <v/>
      </c>
      <c r="M1505">
        <f>L1505*(1+(Inputs!$B$10+0+B1537)/100)</f>
        <v/>
      </c>
      <c r="N1505">
        <f>L1505*(1-MIN((Inputs!$B$9+((C1519=TRUE)*(F1519-Calc!F20))+B1532),100)/100)+M1505*(MIN((Inputs!$B$9+((C1519=TRUE)*(F1519-Calc!F20))+B1532),100)/100)</f>
        <v/>
      </c>
      <c r="O1505">
        <f>IF(C1505,H1505*N1505*IF(AND(Inputs!$B$38&lt;&gt;"pvp",Inputs!$B$43&gt;0),((Skills!G6*((R1505-1)*IF(Skills!H6&gt;0,Skills!I6/Skills!H6,1)+IF(Skills!H6&gt;0,MIN(Skills!I6,MAX(0,MAX(0,Inputs!$B$43-B1539)-((R1505-1)*IF(Inputs!$B$38="pvp",15,MAX(0.1,Skills!D6-IF(Skills!E6=TRUE,4.0,0))))))/Skills!H6,1)))/Inputs!$B$43),G1505*Q1505)*IF(Inputs!$B$38="pvp",1,(1-Summary!$B$55)*(1)+Summary!$B$55*(MIN(Skills!R6,Inputs!$B$37))),0)</f>
        <v/>
      </c>
      <c r="P1505">
        <f>IF(B1540=0,0,O1505/B1540)</f>
        <v/>
      </c>
      <c r="Q1505">
        <f>IFERROR(1/IF(Inputs!$B$38="pvp",15,MAX(0.1,Skills!D6-IF(Skills!E6=TRUE,4.0,0))),0)</f>
        <v/>
      </c>
      <c r="R1505">
        <f>IF(AND(Inputs!$B$38&lt;&gt;"pvp",Inputs!$B$43&gt;0),IF(MAX(0,Inputs!$B$43-B1539)&lt;=0,0,(INT(MAX(0,Inputs!$B$43-B1539)/IF(Inputs!$B$38="pvp",15,MAX(0.1,Skills!D6-IF(Skills!E6=TRUE,4.0,0))))+1)),0)</f>
        <v/>
      </c>
      <c r="S1505">
        <f>IFERROR(O1505/N1505,0)</f>
        <v/>
      </c>
    </row>
    <row r="1506">
      <c r="A1506">
        <f>Skills!A7</f>
        <v/>
      </c>
      <c r="B1506">
        <f>Skills!B7</f>
        <v/>
      </c>
      <c r="C1506">
        <f>Inputs!$B$3&gt;=107</f>
        <v/>
      </c>
      <c r="D1506">
        <f>IF(Skills!C7=1,60+Inputs!$B$25+Inputs!$B$29,IF(Skills!C7=2,90+Inputs!$B$26+Inputs!$B$29,IF(Skills!C7=3,120+Inputs!$B$27+Inputs!$B$29,MAX(0,(Inputs!$B$3-100)*3)+Inputs!$B$28+Inputs!$B$29)))</f>
        <v/>
      </c>
      <c r="E1506">
        <f>INDEX(FactorTable!$B$2:$Y$301, MATCH(ROUND(MIN(300,MAX(1,D1506)),0), FactorTable!$A$2:$A$301,0), Skills!M7+1)</f>
        <v/>
      </c>
      <c r="F1506">
        <f>IF(Skills!N7=TRUE,(Skills!L7/10)*(E1506/1000),Skills!L7/10)+Skills!O7</f>
        <v/>
      </c>
      <c r="G1506" t="inlineStr"/>
      <c r="H1506" t="inlineStr"/>
      <c r="I1506" t="inlineStr">
        <is>
          <t>1</t>
        </is>
      </c>
      <c r="J1506" t="inlineStr"/>
      <c r="K1506" t="inlineStr"/>
      <c r="L1506" t="inlineStr"/>
      <c r="M1506" t="inlineStr"/>
      <c r="N1506" t="inlineStr"/>
      <c r="O1506" t="inlineStr"/>
      <c r="P1506" t="inlineStr"/>
      <c r="Q1506" t="inlineStr"/>
      <c r="R1506" t="inlineStr"/>
      <c r="S1506" t="inlineStr"/>
    </row>
    <row r="1507">
      <c r="A1507">
        <f>Skills!A8</f>
        <v/>
      </c>
      <c r="B1507">
        <f>Skills!B8</f>
        <v/>
      </c>
      <c r="C1507">
        <f>Inputs!$B$3&gt;=69</f>
        <v/>
      </c>
      <c r="D1507">
        <f>IF(Skills!C8=1,60+Inputs!$B$25+Inputs!$B$29,IF(Skills!C8=2,90+Inputs!$B$26+Inputs!$B$29,IF(Skills!C8=3,120+Inputs!$B$27+Inputs!$B$29,MAX(0,(Inputs!$B$3-100)*3)+Inputs!$B$28+Inputs!$B$29)))</f>
        <v/>
      </c>
      <c r="E1507">
        <f>INDEX(FactorTable!$B$2:$Y$301, MATCH(ROUND(MIN(300,MAX(1,D1507)),0), FactorTable!$A$2:$A$301,0), Skills!M8+1)</f>
        <v/>
      </c>
      <c r="F1507">
        <f>IF(Skills!N8=TRUE,(Skills!L8/10)*(E1507/1000),Skills!L8/10)+Skills!O8</f>
        <v/>
      </c>
      <c r="G1507">
        <f>Skills!G8*IF(Skills!H8&gt;0,Skills!I8/Skills!H8,1)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F(Inputs!$B$38="pvp",0,(1-Summary!$B$55)*(Inputs!$B$20+0+Skills!P8)+Summary!$B$55*(Inputs!$B$21+Skills!Q8))/100)*(1+Inputs!$B$16/100)*(5000/(6000+Inputs!$B$42*(1-(Inputs!$B$19+((C1526=TRUE)*(F1526-Calc!F27)))/100)))*(1+(Inputs!$B$24+((C1524=TRUE)*(F1524-Calc!F25))+((C1525=TRUE)*(F1525-Calc!F26))+B1538)/100)*(1+1.2*IF(C1509=TRUE,F1509,0)/100)*(1+(IF(Skills!A8="ARROW_STREAM",Inputs!$B$17+((C1522=TRUE)*(F1522-Calc!F23)),Inputs!$B$18+((C1527=TRUE)*(F1527-Calc!F28))))/100)*((1+(((C1512=TRUE)*F1512)+((C1513=TRUE)*IF(Inputs!$B$38="pvp",F1513,(1-Summary!$B$55)*(F1513)+Summary!$B$55*(0)))+((C1514=TRUE)*F1514*IF(AND(Inputs!$B$38&lt;&gt;"pvp",Inputs!$B$43&gt;0),(((R1514-1)*(Skills!T15*(1+Inputs!$B$34/100))+MIN((Skills!T15*(1+Inputs!$B$34/100)),MAX(0,Inputs!$B$43-((R1514-1)*Skills!D15))))/Inputs!$B$43),IF(Inputs!$B$38="pvp",MIN((Skills!T15*(1+Inputs!$B$34/100)),15)/15,(Skills!T15*(1+Inputs!$B$34/100))/Skills!D15)))+((C1529=TRUE)*(F1529-Calc!F30)))/100)*I1507)</f>
        <v/>
      </c>
      <c r="L1507">
        <f>K1507*(MIN(Inputs!$B$22+((C1523=TRUE)*(F1523-Calc!F24)),Inputs!$B$23+((C1528=TRUE)*(F1528-Calc!F29)))/100+(Inputs!$B$23+((C1528=TRUE)*(F1528-Calc!F29)))/100)/2</f>
        <v/>
      </c>
      <c r="M1507">
        <f>L1507*(1+(Inputs!$B$10+0+B1537)/100)</f>
        <v/>
      </c>
      <c r="N1507">
        <f>L1507*(1-MIN((Inputs!$B$9+((C1519=TRUE)*(F1519-Calc!F20))+B1532),100)/100)+M1507*(MIN((Inputs!$B$9+((C1519=TRUE)*(F1519-Calc!F20))+B1532),100)/100)</f>
        <v/>
      </c>
      <c r="O1507">
        <f>IF(C1507,H1507*N1507*IF(AND(Inputs!$B$38&lt;&gt;"pvp",Inputs!$B$43&gt;0),((Skills!G8*((R1507-1)*IF(Skills!H8&gt;0,Skills!I8/Skills!H8,1)+IF(Skills!H8&gt;0,MIN(Skills!I8,MAX(0,MAX(0,Inputs!$B$43-B1539)-((R1507-1)*IF(Inputs!$B$38="pvp",15,MAX(0.1,Skills!D8-IF(Skills!E8=TRUE,4.0,0))))))/Skills!H8,1)))/Inputs!$B$43),G1507*Q1507)*IF(Inputs!$B$38="pvp",1,(1-Summary!$B$55)*(1)+Summary!$B$55*(MIN(Skills!R8,Inputs!$B$37))),0)</f>
        <v/>
      </c>
      <c r="P1507">
        <f>IF(B1540=0,0,O1507/B1540)</f>
        <v/>
      </c>
      <c r="Q1507">
        <f>IFERROR(1/IF(Inputs!$B$38="pvp",15,MAX(0.1,Skills!D8-IF(Skills!E8=TRUE,4.0,0))),0)</f>
        <v/>
      </c>
      <c r="R1507">
        <f>IF(AND(Inputs!$B$38&lt;&gt;"pvp",Inputs!$B$43&gt;0),IF(MAX(0,Inputs!$B$43-B1539)&lt;=0,0,(INT(MAX(0,Inputs!$B$43-B1539)/IF(Inputs!$B$38="pvp",15,MAX(0.1,Skills!D8-IF(Skills!E8=TRUE,4.0,0))))+1)),0)</f>
        <v/>
      </c>
      <c r="S1507">
        <f>IFERROR(O1507/N1507,0)</f>
        <v/>
      </c>
    </row>
    <row r="1508">
      <c r="A1508">
        <f>Skills!A9</f>
        <v/>
      </c>
      <c r="B1508">
        <f>Skills!B9</f>
        <v/>
      </c>
      <c r="C1508">
        <f>Inputs!$B$3&gt;=63</f>
        <v/>
      </c>
      <c r="D1508">
        <f>IF(Skills!C9=1,60+Inputs!$B$25+Inputs!$B$29,IF(Skills!C9=2,90+Inputs!$B$26+Inputs!$B$29,IF(Skills!C9=3,120+Inputs!$B$27+Inputs!$B$29,MAX(0,(Inputs!$B$3-100)*3)+Inputs!$B$28+Inputs!$B$29)))</f>
        <v/>
      </c>
      <c r="E1508">
        <f>INDEX(FactorTable!$B$2:$Y$301, MATCH(ROUND(MIN(300,MAX(1,D1508)),0), FactorTable!$A$2:$A$301,0), Skills!M9+1)</f>
        <v/>
      </c>
      <c r="F1508">
        <f>IF(Skills!N9=TRUE,(Skills!L9/10)*(E1508/1000),Skills!L9/10)+Skills!O9</f>
        <v/>
      </c>
      <c r="G1508">
        <f>Skills!G9*IF(Skills!H9&gt;0,Skills!I9/Skills!H9,1)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F(Inputs!$B$38="pvp",0,(1-Summary!$B$55)*(Inputs!$B$20+0+Skills!P9)+Summary!$B$55*(Inputs!$B$21+Skills!Q9))/100)*(1+Inputs!$B$16/100)*(5000/(6000+Inputs!$B$42*(1-(Inputs!$B$19+((C1526=TRUE)*(F1526-Calc!F27)))/100)))*(1+(Inputs!$B$24+((C1524=TRUE)*(F1524-Calc!F25))+((C1525=TRUE)*(F1525-Calc!F26))+B1538)/100)*(1+1.0*IF(C1509=TRUE,F1509,0)/100)*(1+(IF(Skills!A9="ARROW_STREAM",Inputs!$B$17+((C1522=TRUE)*(F1522-Calc!F23)),Inputs!$B$18+((C1527=TRUE)*(F1527-Calc!F28))))/100)*((1+(((C1512=TRUE)*F1512)+((C1513=TRUE)*IF(Inputs!$B$38="pvp",F1513,(1-Summary!$B$55)*(F1513)+Summary!$B$55*(0)))+((C1514=TRUE)*F1514*IF(AND(Inputs!$B$38&lt;&gt;"pvp",Inputs!$B$43&gt;0),(((R1514-1)*(Skills!T15*(1+Inputs!$B$34/100))+MIN((Skills!T15*(1+Inputs!$B$34/100)),MAX(0,Inputs!$B$43-((R1514-1)*Skills!D15))))/Inputs!$B$43),IF(Inputs!$B$38="pvp",MIN((Skills!T15*(1+Inputs!$B$34/100)),15)/15,(Skills!T15*(1+Inputs!$B$34/100))/Skills!D15)))+((C1529=TRUE)*(F1529-Calc!F30)))/100)*I1508)</f>
        <v/>
      </c>
      <c r="L1508">
        <f>K1508*(MIN(Inputs!$B$22+((C1523=TRUE)*(F1523-Calc!F24)),Inputs!$B$23+((C1528=TRUE)*(F1528-Calc!F29)))/100+(Inputs!$B$23+((C1528=TRUE)*(F1528-Calc!F29)))/100)/2</f>
        <v/>
      </c>
      <c r="M1508">
        <f>L1508*(1+(Inputs!$B$10+0+B1537)/100)</f>
        <v/>
      </c>
      <c r="N1508">
        <f>L1508*(1-MIN((Inputs!$B$9+((C1519=TRUE)*(F1519-Calc!F20))+B1532),100)/100)+M1508*(MIN((Inputs!$B$9+((C1519=TRUE)*(F1519-Calc!F20))+B1532),100)/100)</f>
        <v/>
      </c>
      <c r="O1508">
        <f>IF(C1508,H1508*N1508*IF(AND(Inputs!$B$38&lt;&gt;"pvp",Inputs!$B$43&gt;0),((Skills!G9*((R1508-1)*IF(Skills!H9&gt;0,Skills!I9/Skills!H9,1)+IF(Skills!H9&gt;0,MIN(Skills!I9,MAX(0,MAX(0,Inputs!$B$43-B1539)-((R1508-1)*IF(Inputs!$B$38="pvp",15,MAX(0.1,Skills!D9-IF(Skills!E9=TRUE,4.0,0))))))/Skills!H9,1)))/Inputs!$B$43),G1508*Q1508)*IF(Inputs!$B$38="pvp",1,(1-Summary!$B$55)*(1)+Summary!$B$55*(MIN(Skills!R9,Inputs!$B$37))),0)</f>
        <v/>
      </c>
      <c r="P1508">
        <f>IF(B1540=0,0,O1508/B1540)</f>
        <v/>
      </c>
      <c r="Q1508">
        <f>IFERROR(1/IF(Inputs!$B$38="pvp",15,MAX(0.1,Skills!D9-IF(Skills!E9=TRUE,4.0,0))),0)</f>
        <v/>
      </c>
      <c r="R1508">
        <f>IF(AND(Inputs!$B$38&lt;&gt;"pvp",Inputs!$B$43&gt;0),IF(MAX(0,Inputs!$B$43-B1539)&lt;=0,0,(INT(MAX(0,Inputs!$B$43-B1539)/IF(Inputs!$B$38="pvp",15,MAX(0.1,Skills!D9-IF(Skills!E9=TRUE,4.0,0))))+1)),0)</f>
        <v/>
      </c>
      <c r="S1508">
        <f>IFERROR(O1508/N1508,0)</f>
        <v/>
      </c>
    </row>
    <row r="1509">
      <c r="A1509">
        <f>Skills!A10</f>
        <v/>
      </c>
      <c r="B1509">
        <f>Skills!B10</f>
        <v/>
      </c>
      <c r="C1509">
        <f>Inputs!$B$3&gt;=100</f>
        <v/>
      </c>
      <c r="D1509">
        <f>IF(Skills!C10=1,60+Inputs!$B$25+Inputs!$B$29,IF(Skills!C10=2,90+Inputs!$B$26+Inputs!$B$29,IF(Skills!C10=3,120+Inputs!$B$27+Inputs!$B$29,MAX(0,(Inputs!$B$3-100)*3)+Inputs!$B$28+Inputs!$B$29)))</f>
        <v/>
      </c>
      <c r="E1509">
        <f>INDEX(FactorTable!$B$2:$Y$301, MATCH(ROUND(MIN(300,MAX(1,D1509)),0), FactorTable!$A$2:$A$301,0), Skills!M10+1)</f>
        <v/>
      </c>
      <c r="F1509">
        <f>IF(Skills!N10=TRUE,(Skills!L10/10)*(E1509/1000),Skills!L10/10)+Skills!O10</f>
        <v/>
      </c>
      <c r="G1509" t="inlineStr"/>
      <c r="H1509" t="inlineStr"/>
      <c r="I1509" t="inlineStr">
        <is>
          <t>1</t>
        </is>
      </c>
      <c r="J1509" t="inlineStr"/>
      <c r="K1509" t="inlineStr"/>
      <c r="L1509" t="inlineStr"/>
      <c r="M1509" t="inlineStr"/>
      <c r="N1509" t="inlineStr"/>
      <c r="O1509" t="inlineStr"/>
      <c r="P1509" t="inlineStr"/>
      <c r="Q1509" t="inlineStr"/>
      <c r="R1509" t="inlineStr"/>
      <c r="S1509" t="inlineStr"/>
    </row>
    <row r="1510">
      <c r="A1510">
        <f>Skills!A11</f>
        <v/>
      </c>
      <c r="B1510">
        <f>Skills!B11</f>
        <v/>
      </c>
      <c r="C1510">
        <f>Inputs!$B$3&gt;=60</f>
        <v/>
      </c>
      <c r="D1510">
        <f>IF(Skills!C11=1,60+Inputs!$B$25+Inputs!$B$29,IF(Skills!C11=2,90+Inputs!$B$26+Inputs!$B$29,IF(Skills!C11=3,120+Inputs!$B$27+Inputs!$B$29,MAX(0,(Inputs!$B$3-100)*3)+Inputs!$B$28+Inputs!$B$29)))</f>
        <v/>
      </c>
      <c r="E1510">
        <f>INDEX(FactorTable!$B$2:$Y$301, MATCH(ROUND(MIN(300,MAX(1,D1510)),0), FactorTable!$A$2:$A$301,0), Skills!M11+1)</f>
        <v/>
      </c>
      <c r="F1510">
        <f>IF(Skills!N11=TRUE,(Skills!L11/10)*(E1510/1000),Skills!L11/10)+Skills!O11</f>
        <v/>
      </c>
      <c r="G1510">
        <f>Skills!G11*IF(Skills!H11&gt;0,Skills!I11/Skills!H11,1)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F(Inputs!$B$38="pvp",0,(1-Summary!$B$55)*(Inputs!$B$20+0+Skills!P11)+Summary!$B$55*(Inputs!$B$21+Skills!Q11))/100)*(1+Inputs!$B$16/100)*(5000/(6000+Inputs!$B$42*(1-(Inputs!$B$19+((C1526=TRUE)*(F1526-Calc!F27)))/100)))*(1+(Inputs!$B$24+((C1524=TRUE)*(F1524-Calc!F25))+((C1525=TRUE)*(F1525-Calc!F26))+B1538)/100)*(1+IF(C1511=TRUE,F1511,0)/100)*(1+(IF(Skills!A11="ARROW_STREAM",Inputs!$B$17+((C1522=TRUE)*(F1522-Calc!F23)),Inputs!$B$18+((C1527=TRUE)*(F1527-Calc!F28))))/100)*((1+(((C1512=TRUE)*F1512)+((C1513=TRUE)*IF(Inputs!$B$38="pvp",F1513,(1-Summary!$B$55)*(F1513)+Summary!$B$55*(0)))+((C1514=TRUE)*F1514*IF(AND(Inputs!$B$38&lt;&gt;"pvp",Inputs!$B$43&gt;0),(((R1514-1)*(Skills!T15*(1+Inputs!$B$34/100))+MIN((Skills!T15*(1+Inputs!$B$34/100)),MAX(0,Inputs!$B$43-((R1514-1)*Skills!D15))))/Inputs!$B$43),IF(Inputs!$B$38="pvp",MIN((Skills!T15*(1+Inputs!$B$34/100)),15)/15,(Skills!T15*(1+Inputs!$B$34/100))/Skills!D15)))+((C1529=TRUE)*(F1529-Calc!F30)))/100)*I1510)</f>
        <v/>
      </c>
      <c r="L1510">
        <f>K1510*(MIN(Inputs!$B$22+((C1523=TRUE)*(F1523-Calc!F24)),Inputs!$B$23+((C1528=TRUE)*(F1528-Calc!F29)))/100+(Inputs!$B$23+((C1528=TRUE)*(F1528-Calc!F29)))/100)/2</f>
        <v/>
      </c>
      <c r="M1510">
        <f>L1510*(1+(Inputs!$B$10+0+B1537)/100)</f>
        <v/>
      </c>
      <c r="N1510">
        <f>L1510*(1-MIN((Inputs!$B$9+((C1519=TRUE)*(F1519-Calc!F20))+B1532),100)/100)+M1510*(MIN((Inputs!$B$9+((C1519=TRUE)*(F1519-Calc!F20))+B1532),100)/100)</f>
        <v/>
      </c>
      <c r="O1510">
        <f>IF(C1510,H1510*N1510*IF(AND(Inputs!$B$38&lt;&gt;"pvp",Inputs!$B$43&gt;0),((Skills!G11*((R1510-1)*IF(Skills!H11&gt;0,Skills!I11/Skills!H11,1)+IF(Skills!H11&gt;0,MIN(Skills!I11,MAX(0,MAX(0,Inputs!$B$43-B1539)-((R1510-1)*IF(Inputs!$B$38="pvp",15,MAX(0.1,Skills!D11-IF(Skills!E11=TRUE,4.0,0))))))/Skills!H11,1)))/Inputs!$B$43),G1510*Q1510)*IF(Inputs!$B$38="pvp",1,(1-Summary!$B$55)*(1)+Summary!$B$55*(MIN(Skills!R11,Inputs!$B$37))),0)</f>
        <v/>
      </c>
      <c r="P1510">
        <f>IF(B1540=0,0,O1510/B1540)</f>
        <v/>
      </c>
      <c r="Q1510">
        <f>IFERROR(1/IF(Inputs!$B$38="pvp",15,MAX(0.1,Skills!D11-IF(Skills!E11=TRUE,4.0,0))),0)</f>
        <v/>
      </c>
      <c r="R1510">
        <f>IF(AND(Inputs!$B$38&lt;&gt;"pvp",Inputs!$B$43&gt;0),IF(MAX(0,Inputs!$B$43-B1539)&lt;=0,0,(INT(MAX(0,Inputs!$B$43-B1539)/IF(Inputs!$B$38="pvp",15,MAX(0.1,Skills!D11-IF(Skills!E11=TRUE,4.0,0))))+1)),0)</f>
        <v/>
      </c>
      <c r="S1510">
        <f>IFERROR(O1510/N1510,0)</f>
        <v/>
      </c>
    </row>
    <row r="1511">
      <c r="A1511">
        <f>Skills!A12</f>
        <v/>
      </c>
      <c r="B1511">
        <f>Skills!B12</f>
        <v/>
      </c>
      <c r="C1511">
        <f>Inputs!$B$3&gt;=110</f>
        <v/>
      </c>
      <c r="D1511">
        <f>IF(Skills!C12=1,60+Inputs!$B$25+Inputs!$B$29,IF(Skills!C12=2,90+Inputs!$B$26+Inputs!$B$29,IF(Skills!C12=3,120+Inputs!$B$27+Inputs!$B$29,MAX(0,(Inputs!$B$3-100)*3)+Inputs!$B$28+Inputs!$B$29)))</f>
        <v/>
      </c>
      <c r="E1511">
        <f>INDEX(FactorTable!$B$2:$Y$301, MATCH(ROUND(MIN(300,MAX(1,D1511)),0),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Inputs!$B$3&gt;=74</f>
        <v/>
      </c>
      <c r="D1512">
        <f>IF(Skills!C13=1,60+Inputs!$B$25+Inputs!$B$29,IF(Skills!C13=2,90+Inputs!$B$26+Inputs!$B$29,IF(Skills!C13=3,120+Inputs!$B$27+Inputs!$B$29,MAX(0,(Inputs!$B$3-100)*3)+Inputs!$B$28+Inputs!$B$29)))</f>
        <v/>
      </c>
      <c r="E1512">
        <f>INDEX(FactorTable!$B$2:$Y$301, MATCH(ROUND(MIN(300,MAX(1,D1512)),0), FactorTable!$A$2:$A$301,0), Skills!M13+1)</f>
        <v/>
      </c>
      <c r="F1512">
        <f>IF(Skills!N13=TRUE,(Skills!L13/10)*(E1512/1000),Skills!L13/10)+Skills!O13</f>
        <v/>
      </c>
      <c r="G1512">
        <f>Skills!G13*IF(Skills!H13&gt;0,Skills!I13/Skills!H13,1)</f>
        <v/>
      </c>
      <c r="H1512">
        <f>1-(1-Skills!J13/100)^Skills!K13</f>
        <v/>
      </c>
      <c r="I1512" t="inlineStr">
        <is>
          <t>1</t>
        </is>
      </c>
      <c r="J1512" t="inlineStr"/>
      <c r="K1512" t="inlineStr"/>
      <c r="L1512" t="inlineStr"/>
      <c r="M1512" t="inlineStr"/>
      <c r="N1512" t="inlineStr"/>
      <c r="O1512" t="n">
        <v>0</v>
      </c>
      <c r="P1512">
        <f>IF(B1540=0,0,O1512/B1540)</f>
        <v/>
      </c>
      <c r="Q1512" t="n">
        <v>0</v>
      </c>
      <c r="R1512" t="n">
        <v>0</v>
      </c>
      <c r="S1512">
        <f>IFERROR(O1512/N1512,0)</f>
        <v/>
      </c>
    </row>
    <row r="1513">
      <c r="A1513">
        <f>Skills!A14</f>
        <v/>
      </c>
      <c r="B1513">
        <f>Skills!B14</f>
        <v/>
      </c>
      <c r="C1513">
        <f>Inputs!$B$3&gt;=74</f>
        <v/>
      </c>
      <c r="D1513">
        <f>IF(Skills!C14=1,60+Inputs!$B$25+Inputs!$B$29,IF(Skills!C14=2,90+Inputs!$B$26+Inputs!$B$29,IF(Skills!C14=3,120+Inputs!$B$27+Inputs!$B$29,MAX(0,(Inputs!$B$3-100)*3)+Inputs!$B$28+Inputs!$B$29)))</f>
        <v/>
      </c>
      <c r="E1513">
        <f>INDEX(FactorTable!$B$2:$Y$301, MATCH(ROUND(MIN(300,MAX(1,D1513)),0), FactorTable!$A$2:$A$301,0), Skills!M14+1)</f>
        <v/>
      </c>
      <c r="F1513">
        <f>IF(Skills!N14=TRUE,(Skills!L14/10)*(E1513/1000),Skills!L14/10)+Skills!O14</f>
        <v/>
      </c>
      <c r="G1513">
        <f>Skills!G14*IF(Skills!H14&gt;0,Skills!I14/Skills!H14,1)</f>
        <v/>
      </c>
      <c r="H1513">
        <f>1-(1-Skills!J14/100)^Skills!K14</f>
        <v/>
      </c>
      <c r="I1513" t="inlineStr">
        <is>
          <t>1</t>
        </is>
      </c>
      <c r="J1513" t="inlineStr"/>
      <c r="K1513" t="inlineStr"/>
      <c r="L1513" t="inlineStr"/>
      <c r="M1513" t="inlineStr"/>
      <c r="N1513" t="inlineStr"/>
      <c r="O1513" t="n">
        <v>0</v>
      </c>
      <c r="P1513">
        <f>IF(B1540=0,0,O1513/B1540)</f>
        <v/>
      </c>
      <c r="Q1513" t="n">
        <v>0</v>
      </c>
      <c r="R1513" t="n">
        <v>0</v>
      </c>
      <c r="S1513">
        <f>IFERROR(O1513/N1513,0)</f>
        <v/>
      </c>
    </row>
    <row r="1514">
      <c r="A1514">
        <f>Skills!A15</f>
        <v/>
      </c>
      <c r="B1514">
        <f>Skills!B15</f>
        <v/>
      </c>
      <c r="C1514">
        <f>Inputs!$B$3&gt;=117</f>
        <v/>
      </c>
      <c r="D1514">
        <f>IF(Skills!C15=1,60+Inputs!$B$25+Inputs!$B$29,IF(Skills!C15=2,90+Inputs!$B$26+Inputs!$B$29,IF(Skills!C15=3,120+Inputs!$B$27+Inputs!$B$29,MAX(0,(Inputs!$B$3-100)*3)+Inputs!$B$28+Inputs!$B$29)))</f>
        <v/>
      </c>
      <c r="E1514">
        <f>INDEX(FactorTable!$B$2:$Y$301, MATCH(ROUND(MIN(300,MAX(1,D1514)),0), FactorTable!$A$2:$A$301,0), Skills!M15+1)</f>
        <v/>
      </c>
      <c r="F1514">
        <f>IF(Skills!N15=TRUE,(Skills!L15/10)*(E1514/1000),Skills!L15/10)+Skills!O15</f>
        <v/>
      </c>
      <c r="G1514">
        <f>Skills!G15*IF(Skills!H15&gt;0,Skills!I15/Skills!H15,1)</f>
        <v/>
      </c>
      <c r="H1514">
        <f>1-(1-Skills!J15/100)^Skills!K15</f>
        <v/>
      </c>
      <c r="I1514" t="inlineStr">
        <is>
          <t>1</t>
        </is>
      </c>
      <c r="J1514" t="inlineStr"/>
      <c r="K1514" t="inlineStr"/>
      <c r="L1514" t="inlineStr"/>
      <c r="M1514" t="inlineStr"/>
      <c r="N1514" t="inlineStr"/>
      <c r="O1514" t="n">
        <v>0</v>
      </c>
      <c r="P1514">
        <f>IF(B1540=0,0,O1514/B1540)</f>
        <v/>
      </c>
      <c r="Q1514">
        <f>IFERROR(1/IF(Inputs!$B$38="pvp",15,MAX(0.1,Skills!D15-IF(Skills!E15=TRUE,4.0,0))),0)</f>
        <v/>
      </c>
      <c r="R1514">
        <f>IF(AND(Inputs!$B$38&lt;&gt;"pvp",Inputs!$B$43&gt;0),IF(Inputs!$B$43&lt;=0,0,(INT(Inputs!$B$43/IF(Inputs!$B$38="pvp",15,MAX(0.1,Skills!D15-IF(Skills!E15=TRUE,4.0,0))))+1)),0)</f>
        <v/>
      </c>
      <c r="S1514">
        <f>IFERROR(O1514/N1514,0)</f>
        <v/>
      </c>
    </row>
    <row r="1515">
      <c r="A1515">
        <f>Skills!A16</f>
        <v/>
      </c>
      <c r="B1515">
        <f>Skills!B16</f>
        <v/>
      </c>
      <c r="C1515">
        <f>Inputs!$B$3&gt;=115</f>
        <v/>
      </c>
      <c r="D1515">
        <f>IF(Skills!C16=1,60+Inputs!$B$25+Inputs!$B$29,IF(Skills!C16=2,90+Inputs!$B$26+Inputs!$B$29,IF(Skills!C16=3,120+Inputs!$B$27+Inputs!$B$29,MAX(0,(Inputs!$B$3-100)*3)+Inputs!$B$28+Inputs!$B$29)))</f>
        <v/>
      </c>
      <c r="E1515">
        <f>INDEX(FactorTable!$B$2:$Y$301, MATCH(ROUND(MIN(300,MAX(1,D1515)),0), FactorTable!$A$2:$A$301,0), Skills!M16+1)</f>
        <v/>
      </c>
      <c r="F1515">
        <f>IF(Skills!N16=TRUE,(Skills!L16/10)*(E1515/1000),Skills!L16/10)+Skills!O16</f>
        <v/>
      </c>
      <c r="G1515">
        <f>Skills!G16*IF(Skills!H16&gt;0,Skills!I16/Skills!H16,1)</f>
        <v/>
      </c>
      <c r="H1515">
        <f>1-(1-Skills!J16/100)^Skills!K16</f>
        <v/>
      </c>
      <c r="I1515" t="inlineStr">
        <is>
          <t>1</t>
        </is>
      </c>
      <c r="J1515" t="inlineStr"/>
      <c r="K1515" t="inlineStr"/>
      <c r="L1515" t="inlineStr"/>
      <c r="M1515" t="inlineStr"/>
      <c r="N1515" t="inlineStr"/>
      <c r="O1515" t="n">
        <v>0</v>
      </c>
      <c r="P1515">
        <f>IF(B1540=0,0,O1515/B1540)</f>
        <v/>
      </c>
      <c r="Q1515">
        <f>IFERROR(1/IF(Inputs!$B$38="pvp",15,MAX(0.1,Skills!D16-IF(Skills!E16=TRUE,4.0,0))),0)</f>
        <v/>
      </c>
      <c r="R1515">
        <f>IF(AND(Inputs!$B$38&lt;&gt;"pvp",Inputs!$B$43&gt;0),IF(Inputs!$B$43&lt;=0,0,(INT(Inputs!$B$43/IF(Inputs!$B$38="pvp",15,MAX(0.1,Skills!D16-IF(Skills!E16=TRUE,4.0,0))))+1)),0)</f>
        <v/>
      </c>
      <c r="S1515">
        <f>IFERROR(O1515/N1515,0)</f>
        <v/>
      </c>
    </row>
    <row r="1516">
      <c r="A1516">
        <f>Skills!A17</f>
        <v/>
      </c>
      <c r="B1516">
        <f>Skills!B17</f>
        <v/>
      </c>
      <c r="C1516">
        <f>Inputs!$B$3&gt;=66</f>
        <v/>
      </c>
      <c r="D1516">
        <f>IF(Skills!C17=1,60+Inputs!$B$25+Inputs!$B$29,IF(Skills!C17=2,90+Inputs!$B$26+Inputs!$B$29,IF(Skills!C17=3,120+Inputs!$B$27+Inputs!$B$29,MAX(0,(Inputs!$B$3-100)*3)+Inputs!$B$28+Inputs!$B$29)))</f>
        <v/>
      </c>
      <c r="E1516">
        <f>INDEX(FactorTable!$B$2:$Y$301, MATCH(ROUND(MIN(300,MAX(1,D1516)),0), FactorTable!$A$2:$A$301,0), Skills!M17+1)</f>
        <v/>
      </c>
      <c r="F1516">
        <f>IF(Skills!N17=TRUE,(Skills!L17/10)*(E1516/1000),Skills!L17/10)+Skills!O17</f>
        <v/>
      </c>
      <c r="G1516">
        <f>Skills!G17*IF(Skills!H17&gt;0,Skills!I17/Skills!H17,1)</f>
        <v/>
      </c>
      <c r="H1516">
        <f>1-(1-Skills!J17/100)^Skills!K17</f>
        <v/>
      </c>
      <c r="I1516" t="inlineStr">
        <is>
          <t>1</t>
        </is>
      </c>
      <c r="J1516" t="inlineStr"/>
      <c r="K1516" t="inlineStr"/>
      <c r="L1516" t="inlineStr"/>
      <c r="M1516" t="inlineStr"/>
      <c r="N1516" t="inlineStr"/>
      <c r="O1516" t="n">
        <v>0</v>
      </c>
      <c r="P1516">
        <f>IF(B1540=0,0,O1516/B1540)</f>
        <v/>
      </c>
      <c r="Q1516" t="n">
        <v>0</v>
      </c>
      <c r="R1516" t="n">
        <v>0</v>
      </c>
      <c r="S1516">
        <f>IFERROR(O1516/N1516,0)</f>
        <v/>
      </c>
    </row>
    <row r="1517">
      <c r="A1517">
        <f>Skills!A18</f>
        <v/>
      </c>
      <c r="B1517">
        <f>Skills!B18</f>
        <v/>
      </c>
      <c r="C1517">
        <f>Inputs!$B$3&gt;=72</f>
        <v/>
      </c>
      <c r="D1517">
        <f>IF(Skills!C18=1,60+Inputs!$B$25+Inputs!$B$29,IF(Skills!C18=2,90+Inputs!$B$26+Inputs!$B$29,IF(Skills!C18=3,120+Inputs!$B$27+Inputs!$B$29,MAX(0,(Inputs!$B$3-100)*3)+Inputs!$B$28+Inputs!$B$29)))</f>
        <v/>
      </c>
      <c r="E1517">
        <f>INDEX(FactorTable!$B$2:$Y$301, MATCH(ROUND(MIN(300,MAX(1,D1517)),0), FactorTable!$A$2:$A$301,0), Skills!M18+1)</f>
        <v/>
      </c>
      <c r="F1517">
        <f>IF(Skills!N18=TRUE,(Skills!L18/10)*(E1517/1000),Skills!L18/10)+Skills!O18</f>
        <v/>
      </c>
      <c r="G1517">
        <f>Skills!G18*IF(Skills!H18&gt;0,Skills!I18/Skills!H18,1)</f>
        <v/>
      </c>
      <c r="H1517">
        <f>1-(1-Skills!J18/100)^Skills!K18</f>
        <v/>
      </c>
      <c r="I1517" t="inlineStr">
        <is>
          <t>1</t>
        </is>
      </c>
      <c r="J1517" t="inlineStr"/>
      <c r="K1517" t="inlineStr"/>
      <c r="L1517" t="inlineStr"/>
      <c r="M1517" t="inlineStr"/>
      <c r="N1517" t="inlineStr"/>
      <c r="O1517" t="n">
        <v>0</v>
      </c>
      <c r="P1517">
        <f>IF(B1540=0,0,O1517/B1540)</f>
        <v/>
      </c>
      <c r="Q1517" t="n">
        <v>0</v>
      </c>
      <c r="R1517" t="n">
        <v>0</v>
      </c>
      <c r="S1517">
        <f>IFERROR(O1517/N1517,0)</f>
        <v/>
      </c>
    </row>
    <row r="1518">
      <c r="A1518">
        <f>Skills!A19</f>
        <v/>
      </c>
      <c r="B1518">
        <f>Skills!B19</f>
        <v/>
      </c>
      <c r="C1518">
        <f>TRUE</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Skills!G19*IF(Skills!H19&gt;0,Skills!I19/Skills!H19,1)</f>
        <v/>
      </c>
      <c r="H1518">
        <f>1-(1-Skills!J19/100)^Skills!K19</f>
        <v/>
      </c>
      <c r="I1518" t="inlineStr">
        <is>
          <t>1</t>
        </is>
      </c>
      <c r="J1518" t="inlineStr"/>
      <c r="K1518" t="inlineStr"/>
      <c r="L1518" t="inlineStr"/>
      <c r="M1518" t="inlineStr"/>
      <c r="N1518" t="inlineStr"/>
      <c r="O1518" t="n">
        <v>0</v>
      </c>
      <c r="P1518">
        <f>IF(B1540=0,0,O1518/B1540)</f>
        <v/>
      </c>
      <c r="Q1518">
        <f>IFERROR(1/IF(Inputs!$B$38="pvp",15,MAX(0.1,Skills!D19-IF(Skills!E19=TRUE,4.0,0))),0)</f>
        <v/>
      </c>
      <c r="R1518">
        <f>IF(AND(Inputs!$B$38&lt;&gt;"pvp",Inputs!$B$43&gt;0),IF(Inputs!$B$43&lt;=0,0,(INT(Inputs!$B$43/IF(Inputs!$B$38="pvp",15,MAX(0.1,Skills!D19-IF(Skills!E19=TRUE,4.0,0))))+1)),0)</f>
        <v/>
      </c>
      <c r="S1518">
        <f>IFERROR(O1518/N1518,0)</f>
        <v/>
      </c>
    </row>
    <row r="1519">
      <c r="A1519">
        <f>Skills!A20</f>
        <v/>
      </c>
      <c r="B1519">
        <f>Skills!B20</f>
        <v/>
      </c>
      <c r="C1519">
        <f>Inputs!$B$3&gt;=15</f>
        <v/>
      </c>
      <c r="D1519">
        <f>IF(Skills!C20=1,60+Inputs!$B$25+Inputs!$B$29,IF(Skills!C20=2,90+Inputs!$B$26+Inputs!$B$29,IF(Skills!C20=3,120+Inputs!$B$27+Inputs!$B$29,MAX(0,(Inputs!$B$3-100)*3)+Inputs!$B$28+Inputs!$B$29)))</f>
        <v/>
      </c>
      <c r="E1519">
        <f>INDEX(FactorTable!$B$2:$Y$301, MATCH(ROUND(MIN(300,MAX(1,D1519)),0), FactorTable!$A$2:$A$301,0), Skills!M20+1)</f>
        <v/>
      </c>
      <c r="F1519">
        <f>IF(Skills!N20=TRUE,(Skills!L20/10)*(E1519/1000),Skills!L20/10)+Skills!O20</f>
        <v/>
      </c>
      <c r="G1519">
        <f>Skills!G20*IF(Skills!H20&gt;0,Skills!I20/Skills!H20,1)</f>
        <v/>
      </c>
      <c r="H1519">
        <f>1-(1-Skills!J20/100)^Skills!K20</f>
        <v/>
      </c>
      <c r="I1519" t="inlineStr">
        <is>
          <t>1</t>
        </is>
      </c>
      <c r="J1519" t="inlineStr"/>
      <c r="K1519" t="inlineStr"/>
      <c r="L1519" t="inlineStr"/>
      <c r="M1519" t="inlineStr"/>
      <c r="N1519" t="inlineStr"/>
      <c r="O1519" t="n">
        <v>0</v>
      </c>
      <c r="P1519">
        <f>IF(B1540=0,0,O1519/B1540)</f>
        <v/>
      </c>
      <c r="Q1519" t="n">
        <v>0</v>
      </c>
      <c r="R1519" t="n">
        <v>0</v>
      </c>
      <c r="S1519">
        <f>IFERROR(O1519/N1519,0)</f>
        <v/>
      </c>
    </row>
    <row r="1520">
      <c r="A1520">
        <f>Skills!A21</f>
        <v/>
      </c>
      <c r="B1520">
        <f>Skills!B21</f>
        <v/>
      </c>
      <c r="C1520">
        <f>Inputs!$B$3&gt;=10</f>
        <v/>
      </c>
      <c r="D1520">
        <f>IF(Skills!C21=1,60+Inputs!$B$25+Inputs!$B$29,IF(Skills!C21=2,90+Inputs!$B$26+Inputs!$B$29,IF(Skills!C21=3,120+Inputs!$B$27+Inputs!$B$29,MAX(0,(Inputs!$B$3-100)*3)+Inputs!$B$28+Inputs!$B$29)))</f>
        <v/>
      </c>
      <c r="E1520">
        <f>INDEX(FactorTable!$B$2:$Y$301, MATCH(ROUND(MIN(300,MAX(1,D1520)),0), FactorTable!$A$2:$A$301,0), Skills!M21+1)</f>
        <v/>
      </c>
      <c r="F1520">
        <f>IF(Skills!N21=TRUE,(Skills!L21/10)*(E1520/1000),Skills!L21/10)+Skills!O21</f>
        <v/>
      </c>
      <c r="G1520">
        <f>Skills!G21*IF(Skills!H21&gt;0,Skills!I21/Skills!H21,1)</f>
        <v/>
      </c>
      <c r="H1520">
        <f>1-(1-Skills!J21/100)^Skills!K21</f>
        <v/>
      </c>
      <c r="I1520" t="inlineStr">
        <is>
          <t>1</t>
        </is>
      </c>
      <c r="J1520" t="inlineStr"/>
      <c r="K1520" t="inlineStr"/>
      <c r="L1520" t="inlineStr"/>
      <c r="M1520" t="inlineStr"/>
      <c r="N1520" t="inlineStr"/>
      <c r="O1520" t="n">
        <v>0</v>
      </c>
      <c r="P1520">
        <f>IF(B1540=0,0,O1520/B1540)</f>
        <v/>
      </c>
      <c r="Q1520" t="n">
        <v>0</v>
      </c>
      <c r="R1520" t="n">
        <v>0</v>
      </c>
      <c r="S1520">
        <f>IFERROR(O1520/N1520,0)</f>
        <v/>
      </c>
    </row>
    <row r="1521">
      <c r="A1521">
        <f>Skills!A22</f>
        <v/>
      </c>
      <c r="B1521">
        <f>Skills!B22</f>
        <v/>
      </c>
      <c r="C1521">
        <f>Inputs!$B$3&gt;=33</f>
        <v/>
      </c>
      <c r="D1521">
        <f>IF(Skills!C22=1,60+Inputs!$B$25+Inputs!$B$29,IF(Skills!C22=2,90+Inputs!$B$26+Inputs!$B$29,IF(Skills!C22=3,120+Inputs!$B$27+Inputs!$B$29,MAX(0,(Inputs!$B$3-100)*3)+Inputs!$B$28+Inputs!$B$29)))</f>
        <v/>
      </c>
      <c r="E1521">
        <f>INDEX(FactorTable!$B$2:$Y$301, MATCH(ROUND(MIN(300,MAX(1,D1521)),0), FactorTable!$A$2:$A$301,0), Skills!M22+1)</f>
        <v/>
      </c>
      <c r="F1521">
        <f>IF(Skills!N22=TRUE,(Skills!L22/10)*(E1521/1000),Skills!L22/10)+Skills!O22</f>
        <v/>
      </c>
      <c r="G1521">
        <f>Skills!G22*IF(Skills!H22&gt;0,Skills!I22/Skills!H22,1)</f>
        <v/>
      </c>
      <c r="H1521">
        <f>1-(1-Skills!J22/100)^Skills!K22</f>
        <v/>
      </c>
      <c r="I1521" t="inlineStr">
        <is>
          <t>1</t>
        </is>
      </c>
      <c r="J1521" t="inlineStr"/>
      <c r="K1521" t="inlineStr"/>
      <c r="L1521" t="inlineStr"/>
      <c r="M1521" t="inlineStr"/>
      <c r="N1521" t="inlineStr"/>
      <c r="O1521" t="n">
        <v>0</v>
      </c>
      <c r="P1521">
        <f>IF(B1540=0,0,O1521/B1540)</f>
        <v/>
      </c>
      <c r="Q1521" t="n">
        <v>0</v>
      </c>
      <c r="R1521" t="n">
        <v>0</v>
      </c>
      <c r="S1521">
        <f>IFERROR(O1521/N1521,0)</f>
        <v/>
      </c>
    </row>
    <row r="1522">
      <c r="A1522">
        <f>Skills!A23</f>
        <v/>
      </c>
      <c r="B1522">
        <f>Skills!B23</f>
        <v/>
      </c>
      <c r="C1522">
        <f>Inputs!$B$3&gt;=38</f>
        <v/>
      </c>
      <c r="D1522">
        <f>IF(Skills!C23=1,60+Inputs!$B$25+Inputs!$B$29,IF(Skills!C23=2,90+Inputs!$B$26+Inputs!$B$29,IF(Skills!C23=3,120+Inputs!$B$27+Inputs!$B$29,MAX(0,(Inputs!$B$3-100)*3)+Inputs!$B$28+Inputs!$B$29)))</f>
        <v/>
      </c>
      <c r="E1522">
        <f>INDEX(FactorTable!$B$2:$Y$301, MATCH(ROUND(MIN(300,MAX(1,D1522)),0), FactorTable!$A$2:$A$301,0), Skills!M23+1)</f>
        <v/>
      </c>
      <c r="F1522">
        <f>IF(Skills!N23=TRUE,(Skills!L23/10)*(E1522/1000),Skills!L23/10)+Skills!O23</f>
        <v/>
      </c>
      <c r="G1522">
        <f>Skills!G23*IF(Skills!H23&gt;0,Skills!I23/Skills!H23,1)</f>
        <v/>
      </c>
      <c r="H1522">
        <f>1-(1-Skills!J23/100)^Skills!K23</f>
        <v/>
      </c>
      <c r="I1522" t="inlineStr">
        <is>
          <t>1</t>
        </is>
      </c>
      <c r="J1522" t="inlineStr"/>
      <c r="K1522" t="inlineStr"/>
      <c r="L1522" t="inlineStr"/>
      <c r="M1522" t="inlineStr"/>
      <c r="N1522" t="inlineStr"/>
      <c r="O1522" t="n">
        <v>0</v>
      </c>
      <c r="P1522">
        <f>IF(B1540=0,0,O1522/B1540)</f>
        <v/>
      </c>
      <c r="Q1522" t="n">
        <v>0</v>
      </c>
      <c r="R1522" t="n">
        <v>0</v>
      </c>
      <c r="S1522">
        <f>IFERROR(O1522/N1522,0)</f>
        <v/>
      </c>
    </row>
    <row r="1523">
      <c r="A1523">
        <f>Skills!A24</f>
        <v/>
      </c>
      <c r="B1523">
        <f>Skills!B24</f>
        <v/>
      </c>
      <c r="C1523">
        <f>Inputs!$B$3&gt;=43</f>
        <v/>
      </c>
      <c r="D1523">
        <f>IF(Skills!C24=1,60+Inputs!$B$25+Inputs!$B$29,IF(Skills!C24=2,90+Inputs!$B$26+Inputs!$B$29,IF(Skills!C24=3,120+Inputs!$B$27+Inputs!$B$29,MAX(0,(Inputs!$B$3-100)*3)+Inputs!$B$28+Inputs!$B$29)))</f>
        <v/>
      </c>
      <c r="E1523">
        <f>INDEX(FactorTable!$B$2:$Y$301, MATCH(ROUND(MIN(300,MAX(1,D1523)),0), FactorTable!$A$2:$A$301,0), Skills!M24+1)</f>
        <v/>
      </c>
      <c r="F1523">
        <f>IF(Skills!N24=TRUE,(Skills!L24/10)*(E1523/1000),Skills!L24/10)+Skills!O24</f>
        <v/>
      </c>
      <c r="G1523">
        <f>Skills!G24*IF(Skills!H24&gt;0,Skills!I24/Skills!H24,1)</f>
        <v/>
      </c>
      <c r="H1523">
        <f>1-(1-Skills!J24/100)^Skills!K24</f>
        <v/>
      </c>
      <c r="I1523" t="inlineStr">
        <is>
          <t>1</t>
        </is>
      </c>
      <c r="J1523" t="inlineStr"/>
      <c r="K1523" t="inlineStr"/>
      <c r="L1523" t="inlineStr"/>
      <c r="M1523" t="inlineStr"/>
      <c r="N1523" t="inlineStr"/>
      <c r="O1523" t="n">
        <v>0</v>
      </c>
      <c r="P1523">
        <f>IF(B1540=0,0,O1523/B1540)</f>
        <v/>
      </c>
      <c r="Q1523" t="n">
        <v>0</v>
      </c>
      <c r="R1523" t="n">
        <v>0</v>
      </c>
      <c r="S1523">
        <f>IFERROR(O1523/N1523,0)</f>
        <v/>
      </c>
    </row>
    <row r="1524">
      <c r="A1524">
        <f>Skills!A25</f>
        <v/>
      </c>
      <c r="B1524">
        <f>Skills!B25</f>
        <v/>
      </c>
      <c r="C1524">
        <f>Inputs!$B$3&gt;=75</f>
        <v/>
      </c>
      <c r="D1524">
        <f>IF(Skills!C25=1,60+Inputs!$B$25+Inputs!$B$29,IF(Skills!C25=2,90+Inputs!$B$26+Inputs!$B$29,IF(Skills!C25=3,120+Inputs!$B$27+Inputs!$B$29,MAX(0,(Inputs!$B$3-100)*3)+Inputs!$B$28+Inputs!$B$29)))</f>
        <v/>
      </c>
      <c r="E1524">
        <f>INDEX(FactorTable!$B$2:$Y$301, MATCH(ROUND(MIN(300,MAX(1,D1524)),0), FactorTable!$A$2:$A$301,0), Skills!M25+1)</f>
        <v/>
      </c>
      <c r="F1524">
        <f>IF(Skills!N25=TRUE,(Skills!L25/10)*(E1524/1000),Skills!L25/10)+Skills!O25</f>
        <v/>
      </c>
      <c r="G1524">
        <f>Skills!G25*IF(Skills!H25&gt;0,Skills!I25/Skills!H25,1)</f>
        <v/>
      </c>
      <c r="H1524">
        <f>1-(1-Skills!J25/100)^Skills!K25</f>
        <v/>
      </c>
      <c r="I1524" t="inlineStr">
        <is>
          <t>1</t>
        </is>
      </c>
      <c r="J1524" t="inlineStr"/>
      <c r="K1524" t="inlineStr"/>
      <c r="L1524" t="inlineStr"/>
      <c r="M1524" t="inlineStr"/>
      <c r="N1524" t="inlineStr"/>
      <c r="O1524" t="n">
        <v>0</v>
      </c>
      <c r="P1524">
        <f>IF(B1540=0,0,O1524/B1540)</f>
        <v/>
      </c>
      <c r="Q1524" t="n">
        <v>0</v>
      </c>
      <c r="R1524" t="n">
        <v>0</v>
      </c>
      <c r="S1524">
        <f>IFERROR(O1524/N1524,0)</f>
        <v/>
      </c>
    </row>
    <row r="1525">
      <c r="A1525">
        <f>Skills!A26</f>
        <v/>
      </c>
      <c r="B1525">
        <f>Skills!B26</f>
        <v/>
      </c>
      <c r="C1525">
        <f>Inputs!$B$3&gt;=125</f>
        <v/>
      </c>
      <c r="D1525">
        <f>IF(Skills!C26=1,60+Inputs!$B$25+Inputs!$B$29,IF(Skills!C26=2,90+Inputs!$B$26+Inputs!$B$29,IF(Skills!C26=3,120+Inputs!$B$27+Inputs!$B$29,MAX(0,(Inputs!$B$3-100)*3)+Inputs!$B$28+Inputs!$B$29)))</f>
        <v/>
      </c>
      <c r="E1525">
        <f>INDEX(FactorTable!$B$2:$Y$301, MATCH(ROUND(MIN(300,MAX(1,D1525)),0), FactorTable!$A$2:$A$301,0), Skills!M26+1)</f>
        <v/>
      </c>
      <c r="F1525">
        <f>IF(Skills!N26=TRUE,(Skills!L26/10)*(E1525/1000),Skills!L26/10)+Skills!O26</f>
        <v/>
      </c>
      <c r="G1525">
        <f>Skills!G26*IF(Skills!H26&gt;0,Skills!I26/Skills!H26,1)</f>
        <v/>
      </c>
      <c r="H1525">
        <f>1-(1-Skills!J26/100)^Skills!K26</f>
        <v/>
      </c>
      <c r="I1525" t="inlineStr">
        <is>
          <t>1</t>
        </is>
      </c>
      <c r="J1525" t="inlineStr"/>
      <c r="K1525" t="inlineStr"/>
      <c r="L1525" t="inlineStr"/>
      <c r="M1525" t="inlineStr"/>
      <c r="N1525" t="inlineStr"/>
      <c r="O1525" t="n">
        <v>0</v>
      </c>
      <c r="P1525">
        <f>IF(B1540=0,0,O1525/B1540)</f>
        <v/>
      </c>
      <c r="Q1525" t="n">
        <v>0</v>
      </c>
      <c r="R1525" t="n">
        <v>0</v>
      </c>
      <c r="S1525">
        <f>IFERROR(O1525/N1525,0)</f>
        <v/>
      </c>
    </row>
    <row r="1526">
      <c r="A1526">
        <f>Skills!A27</f>
        <v/>
      </c>
      <c r="B1526">
        <f>Skills!B27</f>
        <v/>
      </c>
      <c r="C1526">
        <f>Inputs!$B$3&gt;=125</f>
        <v/>
      </c>
      <c r="D1526">
        <f>IF(Skills!C27=1,60+Inputs!$B$25+Inputs!$B$29,IF(Skills!C27=2,90+Inputs!$B$26+Inputs!$B$29,IF(Skills!C27=3,120+Inputs!$B$27+Inputs!$B$29,MAX(0,(Inputs!$B$3-100)*3)+Inputs!$B$28+Inputs!$B$29)))</f>
        <v/>
      </c>
      <c r="E1526">
        <f>INDEX(FactorTable!$B$2:$Y$301, MATCH(ROUND(MIN(300,MAX(1,D1526)),0), FactorTable!$A$2:$A$301,0), Skills!M27+1)</f>
        <v/>
      </c>
      <c r="F1526">
        <f>IF(Skills!N27=TRUE,(Skills!L27/10)*(E1526/1000),Skills!L27/10)+Skills!O27</f>
        <v/>
      </c>
      <c r="G1526">
        <f>Skills!G27*IF(Skills!H27&gt;0,Skills!I27/Skills!H27,1)</f>
        <v/>
      </c>
      <c r="H1526">
        <f>1-(1-Skills!J27/100)^Skills!K27</f>
        <v/>
      </c>
      <c r="I1526" t="inlineStr">
        <is>
          <t>1</t>
        </is>
      </c>
      <c r="J1526" t="inlineStr"/>
      <c r="K1526" t="inlineStr"/>
      <c r="L1526" t="inlineStr"/>
      <c r="M1526" t="inlineStr"/>
      <c r="N1526" t="inlineStr"/>
      <c r="O1526" t="n">
        <v>0</v>
      </c>
      <c r="P1526">
        <f>IF(B1540=0,0,O1526/B1540)</f>
        <v/>
      </c>
      <c r="Q1526" t="n">
        <v>0</v>
      </c>
      <c r="R1526" t="n">
        <v>0</v>
      </c>
      <c r="S1526">
        <f>IFERROR(O1526/N1526,0)</f>
        <v/>
      </c>
    </row>
    <row r="1527">
      <c r="A1527">
        <f>Skills!A28</f>
        <v/>
      </c>
      <c r="B1527">
        <f>Skills!B28</f>
        <v/>
      </c>
      <c r="C1527">
        <f>Inputs!$B$3&gt;=120</f>
        <v/>
      </c>
      <c r="D1527">
        <f>IF(Skills!C28=1,60+Inputs!$B$25+Inputs!$B$29,IF(Skills!C28=2,90+Inputs!$B$26+Inputs!$B$29,IF(Skills!C28=3,120+Inputs!$B$27+Inputs!$B$29,MAX(0,(Inputs!$B$3-100)*3)+Inputs!$B$28+Inputs!$B$29)))</f>
        <v/>
      </c>
      <c r="E1527">
        <f>INDEX(FactorTable!$B$2:$Y$301, MATCH(ROUND(MIN(300,MAX(1,D1527)),0), FactorTable!$A$2:$A$301,0), Skills!M28+1)</f>
        <v/>
      </c>
      <c r="F1527">
        <f>IF(Skills!N28=TRUE,(Skills!L28/10)*(E1527/1000),Skills!L28/10)+Skills!O28</f>
        <v/>
      </c>
      <c r="G1527">
        <f>Skills!G28*IF(Skills!H28&gt;0,Skills!I28/Skills!H28,1)</f>
        <v/>
      </c>
      <c r="H1527">
        <f>1-(1-Skills!J28/100)^Skills!K28</f>
        <v/>
      </c>
      <c r="I1527" t="inlineStr">
        <is>
          <t>1</t>
        </is>
      </c>
      <c r="J1527" t="inlineStr"/>
      <c r="K1527" t="inlineStr"/>
      <c r="L1527" t="inlineStr"/>
      <c r="M1527" t="inlineStr"/>
      <c r="N1527" t="inlineStr"/>
      <c r="O1527" t="n">
        <v>0</v>
      </c>
      <c r="P1527">
        <f>IF(B1540=0,0,O1527/B1540)</f>
        <v/>
      </c>
      <c r="Q1527" t="n">
        <v>0</v>
      </c>
      <c r="R1527" t="n">
        <v>0</v>
      </c>
      <c r="S1527">
        <f>IFERROR(O1527/N1527,0)</f>
        <v/>
      </c>
    </row>
    <row r="1528">
      <c r="A1528">
        <f>Skills!A29</f>
        <v/>
      </c>
      <c r="B1528">
        <f>Skills!B29</f>
        <v/>
      </c>
      <c r="C1528">
        <f>Inputs!$B$3&gt;=120</f>
        <v/>
      </c>
      <c r="D1528">
        <f>IF(Skills!C29=1,60+Inputs!$B$25+Inputs!$B$29,IF(Skills!C29=2,90+Inputs!$B$26+Inputs!$B$29,IF(Skills!C29=3,120+Inputs!$B$27+Inputs!$B$29,MAX(0,(Inputs!$B$3-100)*3)+Inputs!$B$28+Inputs!$B$29)))</f>
        <v/>
      </c>
      <c r="E1528">
        <f>INDEX(FactorTable!$B$2:$Y$301, MATCH(ROUND(MIN(300,MAX(1,D1528)),0), FactorTable!$A$2:$A$301,0), Skills!M29+1)</f>
        <v/>
      </c>
      <c r="F1528">
        <f>IF(Skills!N29=TRUE,(Skills!L29/10)*(E1528/1000),Skills!L29/10)+Skills!O29</f>
        <v/>
      </c>
      <c r="G1528">
        <f>Skills!G29*IF(Skills!H29&gt;0,Skills!I29/Skills!H29,1)</f>
        <v/>
      </c>
      <c r="H1528">
        <f>1-(1-Skills!J29/100)^Skills!K29</f>
        <v/>
      </c>
      <c r="I1528" t="inlineStr">
        <is>
          <t>1</t>
        </is>
      </c>
      <c r="J1528" t="inlineStr"/>
      <c r="K1528" t="inlineStr"/>
      <c r="L1528" t="inlineStr"/>
      <c r="M1528" t="inlineStr"/>
      <c r="N1528" t="inlineStr"/>
      <c r="O1528" t="n">
        <v>0</v>
      </c>
      <c r="P1528">
        <f>IF(B1540=0,0,O1528/B1540)</f>
        <v/>
      </c>
      <c r="Q1528" t="n">
        <v>0</v>
      </c>
      <c r="R1528" t="n">
        <v>0</v>
      </c>
      <c r="S1528">
        <f>IFERROR(O1528/N1528,0)</f>
        <v/>
      </c>
    </row>
    <row r="1529">
      <c r="A1529">
        <f>Skills!A30</f>
        <v/>
      </c>
      <c r="B1529">
        <f>Skills!B30</f>
        <v/>
      </c>
      <c r="C1529">
        <f>Inputs!$B$3&gt;=45</f>
        <v/>
      </c>
      <c r="D1529">
        <f>IF(Skills!C30=1,60+Inputs!$B$25+Inputs!$B$29,IF(Skills!C30=2,90+Inputs!$B$26+Inputs!$B$29,IF(Skills!C30=3,120+Inputs!$B$27+Inputs!$B$29,MAX(0,(Inputs!$B$3-100)*3)+Inputs!$B$28+Inputs!$B$29)))</f>
        <v/>
      </c>
      <c r="E1529">
        <f>INDEX(FactorTable!$B$2:$Y$301, MATCH(ROUND(MIN(300,MAX(1,D1529)),0), FactorTable!$A$2:$A$301,0), Skills!M30+1)</f>
        <v/>
      </c>
      <c r="F1529">
        <f>IF(Skills!N30=TRUE,(Skills!L30/10)*(E1529/1000),Skills!L30/10)+Skills!O30</f>
        <v/>
      </c>
      <c r="G1529">
        <f>Skills!G30*IF(Skills!H30&gt;0,Skills!I30/Skills!H30,1)</f>
        <v/>
      </c>
      <c r="H1529">
        <f>1-(1-Skills!J30/100)^Skills!K30</f>
        <v/>
      </c>
      <c r="I1529" t="inlineStr">
        <is>
          <t>1</t>
        </is>
      </c>
      <c r="J1529" t="inlineStr"/>
      <c r="K1529" t="inlineStr"/>
      <c r="L1529" t="inlineStr"/>
      <c r="M1529" t="inlineStr"/>
      <c r="N1529" t="inlineStr"/>
      <c r="O1529" t="n">
        <v>0</v>
      </c>
      <c r="P1529">
        <f>IF(B1540=0,0,O1529/B1540)</f>
        <v/>
      </c>
      <c r="Q1529" t="n">
        <v>0</v>
      </c>
      <c r="R1529" t="n">
        <v>0</v>
      </c>
      <c r="S1529">
        <f>IFERROR(O1529/N1529,0)</f>
        <v/>
      </c>
    </row>
    <row r="1531">
      <c r="A1531" t="inlineStr">
        <is>
          <t>Attack% Bucket Multiplier</t>
        </is>
      </c>
      <c r="B1531">
        <f>(1+(((C1512=TRUE)*F1512)+((C1513=TRUE)*IF(Inputs!$B$38="pvp",F1513,(1-Summary!$B$55)*(F1513)+Summary!$B$55*(0)))+((C1514=TRUE)*F1514*IF(AND(Inputs!$B$38&lt;&gt;"pvp",Inputs!$B$43&gt;0),(((R1514-1)*(Skills!T15*(1+Inputs!$B$34/100))+MIN((Skills!T15*(1+Inputs!$B$34/100)),MAX(0,Inputs!$B$43-((R1514-1)*Skills!D15))))/Inputs!$B$43),IF(Inputs!$B$38="pvp",MIN((Skills!T15*(1+Inputs!$B$34/100)),15)/15,(Skills!T15*(1+Inputs!$B$34/100))/Skills!D15)))+((C1529=TRUE)*(F1529-Calc!F30)))/100)</f>
        <v/>
      </c>
    </row>
    <row r="1532">
      <c r="A1532" t="inlineStr">
        <is>
          <t>Global Crit Rate Bonus %</t>
        </is>
      </c>
      <c r="B1532">
        <f>(C1515=TRUE)*20*IF(AND(Inputs!$B$38&lt;&gt;"pvp",Inputs!$B$43&gt;0),(((R1515-1)*(Skills!T16*(1+Inputs!$B$34/100))+MIN((Skills!T16*(1+Inputs!$B$34/100)),MAX(0,Inputs!$B$43-((R1515-1)*Skills!D16))))/Inputs!$B$43),IF(Inputs!$B$38="pvp",MIN((Skills!T16*(1+Inputs!$B$34/100)),15)/15,(Skills!T16*(1+Inputs!$B$34/100))/Skills!D16))</f>
        <v/>
      </c>
    </row>
    <row r="1533">
      <c r="A1533" t="inlineStr">
        <is>
          <t>Attack Speed Buff Bonus %</t>
        </is>
      </c>
      <c r="B1533">
        <f>((C1518=TRUE)*F1518*IF(AND(Inputs!$B$38&lt;&gt;"pvp",Inputs!$B$43&gt;0),(((R1518-1)*(Skills!T19*(1+Inputs!$B$34/100))+MIN((Skills!T19*(1+Inputs!$B$34/100)),MAX(0,Inputs!$B$43-((R1518-1)*Skills!D19))))/Inputs!$B$43),IF(Inputs!$B$38="pvp",MIN((Skills!T19*(1+Inputs!$B$34/100)),15)/15,(Skills!T19*(1+Inputs!$B$34/100))/Skills!D19)))</f>
        <v/>
      </c>
    </row>
    <row r="1534">
      <c r="A1534" t="inlineStr">
        <is>
          <t>Actions Per Second</t>
        </is>
      </c>
      <c r="B1534">
        <f>1+MIN(150,150*(1-(1-(Inputs!$B$11+((C1520=TRUE)*(F1520-Calc!F21))+((C1521=TRUE)*(F1521-Calc!F22)))/150)*(1-B1533/150)))/100</f>
        <v/>
      </c>
    </row>
    <row r="1535">
      <c r="A1535" t="inlineStr">
        <is>
          <t>Skill + Buff Cast Rate</t>
        </is>
      </c>
      <c r="B1535">
        <f>IF(AND(Inputs!$B$38&lt;&gt;"pvp",Inputs!$B$43&gt;0),SUMPRODUCT((Skills!E2:E30=TRUE)*(C1501:C1529=TRUE)*R1501:R1529*Skills!F2:F30)/Inputs!$B$43,SUMPRODUCT((Skills!E2:E30=TRUE)*(C1501:C1529=TRUE)*Q1501:Q1529*Skills!F2:F30))</f>
        <v/>
      </c>
    </row>
    <row r="1536">
      <c r="A1536" t="inlineStr">
        <is>
          <t>Arrow Stream Casts Per Second</t>
        </is>
      </c>
      <c r="B1536">
        <f>MAX(0,B1534-B1535)</f>
        <v/>
      </c>
    </row>
    <row r="1537">
      <c r="A1537" t="inlineStr">
        <is>
          <t>Global Critical Damage Bonus % (Sharp Eyes + Concentration)</t>
        </is>
      </c>
      <c r="B1537">
        <f>(C1515=TRUE)*F1515*IF(AND(Inputs!$B$38&lt;&gt;"pvp",Inputs!$B$43&gt;0),(((R1515-1)*(Skills!T16*(1+Inputs!$B$34/100))+MIN((Skills!T16*(1+Inputs!$B$34/100)),MAX(0,Inputs!$B$43-((R1515-1)*Skills!D16))))/Inputs!$B$43),IF(Inputs!$B$38="pvp",MIN((Skills!T16*(1+Inputs!$B$34/100)),15)/15,(Skills!T16*(1+Inputs!$B$34/100))/Skills!D16))+(C1516=TRUE)*30</f>
        <v/>
      </c>
    </row>
    <row r="1538">
      <c r="A1538" t="inlineStr">
        <is>
          <t>Global Final Damage Bonus % (Mortal Blow)</t>
        </is>
      </c>
      <c r="B1538">
        <f>(C1517=TRUE)*F1517</f>
        <v/>
      </c>
    </row>
    <row r="1539">
      <c r="A1539" t="inlineStr">
        <is>
          <t>Buff-Casting Startup Delay (s, fixed-duration only)</t>
        </is>
      </c>
      <c r="B1539">
        <f>IF(AND(Inputs!$B$38&lt;&gt;"pvp",Inputs!$B$43&gt;0),SUMPRODUCT((Skills!T2:T30&gt;0)*(Skills!E2:E30=TRUE)*(C1501:C1529=TRUE))/B1534,0)</f>
        <v/>
      </c>
    </row>
    <row r="1540">
      <c r="A1540" s="5" t="inlineStr">
        <is>
          <t>TOTAL DPS</t>
        </is>
      </c>
      <c r="B1540" s="5">
        <f>SUM(O1501:O1529)</f>
        <v/>
      </c>
    </row>
    <row r="1543">
      <c r="A1543" s="5" t="inlineStr">
        <is>
          <t>Stat: CDR = 4.5s</t>
        </is>
      </c>
    </row>
    <row r="1544">
      <c r="A1544" s="9" t="inlineStr">
        <is>
          <t>Key</t>
        </is>
      </c>
      <c r="B1544" s="9" t="inlineStr">
        <is>
          <t>Name</t>
        </is>
      </c>
      <c r="C1544" s="9" t="inlineStr">
        <is>
          <t>Unlocked</t>
        </is>
      </c>
      <c r="D1544" s="9" t="inlineStr">
        <is>
          <t>InputLevel</t>
        </is>
      </c>
      <c r="E1544" s="9" t="inlineStr">
        <is>
          <t>Factor</t>
        </is>
      </c>
      <c r="F1544" s="9" t="inlineStr">
        <is>
          <t>CoefficientPercent</t>
        </is>
      </c>
      <c r="G1544" s="9" t="inlineStr">
        <is>
          <t>EffectiveHits</t>
        </is>
      </c>
      <c r="H1544" s="9" t="inlineStr">
        <is>
          <t>ProcProbability</t>
        </is>
      </c>
      <c r="I1544" s="9" t="inlineStr">
        <is>
          <t>MapleHeroMultiplier</t>
        </is>
      </c>
      <c r="J1544" s="9" t="inlineStr">
        <is>
          <t>BaseDamage</t>
        </is>
      </c>
      <c r="K1544" s="9" t="inlineStr">
        <is>
          <t>BaseHitDamage</t>
        </is>
      </c>
      <c r="L1544" s="9" t="inlineStr">
        <is>
          <t>NonCritAvg</t>
        </is>
      </c>
      <c r="M1544" s="9" t="inlineStr">
        <is>
          <t>CritAvg</t>
        </is>
      </c>
      <c r="N1544" s="9" t="inlineStr">
        <is>
          <t>ExpectedDamage(perHit)</t>
        </is>
      </c>
      <c r="O1544" s="9" t="inlineStr">
        <is>
          <t>DPS</t>
        </is>
      </c>
      <c r="P1544" s="9" t="inlineStr">
        <is>
          <t>% of Total</t>
        </is>
      </c>
      <c r="Q1544" s="9" t="inlineStr">
        <is>
          <t>InvCooldown</t>
        </is>
      </c>
      <c r="R1544" s="9" t="inlineStr">
        <is>
          <t>CastsInFight</t>
        </is>
      </c>
      <c r="S1544" s="9" t="inlineStr">
        <is>
          <t>HitRate(perSec)</t>
        </is>
      </c>
      <c r="U1544" t="inlineStr">
        <is>
          <t>helpers</t>
        </is>
      </c>
    </row>
    <row r="1545">
      <c r="A1545">
        <f>Skills!A2</f>
        <v/>
      </c>
      <c r="B1545">
        <f>Skills!B2</f>
        <v/>
      </c>
      <c r="C1545">
        <f>Inputs!$B$3&gt;=100</f>
        <v/>
      </c>
      <c r="D1545" t="inlineStr"/>
      <c r="E1545" t="inlineStr"/>
      <c r="F1545">
        <f>U1547+Skills!O2</f>
        <v/>
      </c>
      <c r="G1545">
        <f>Skills!G2*IF(Skills!H2&gt;0,Skills!I2/Skills!H2,1)</f>
        <v/>
      </c>
      <c r="H1545">
        <f>1-(1-Skills!J2/100)^Skills!K2</f>
        <v/>
      </c>
      <c r="I1545" t="inlineStr">
        <is>
          <t>1</t>
        </is>
      </c>
      <c r="J1545">
        <f>((Inputs!$B$6*(1+Inputs!$B$7/100))+(((Inputs!$B$12*(1+Inputs!$B$13/100))-(Inputs!$B$12*(1+Inputs!$B$13/100)))+0.25*(Inputs!$B$14-Inputs!$B$14))*(1+Inputs!$B$7/100))*(F1545/100)</f>
        <v/>
      </c>
      <c r="K1545">
        <f>J1545*(1+((Inputs!$B$12*(1+Inputs!$B$13/100))*0.01+Inputs!$B$14*0.0025)/100)*(1+Inputs!$B$15/100)*(1+IF(Inputs!$B$38="pvp",0,(1-Summary!$B$55)*(Inputs!$B$20+0+Skills!P2)+Summary!$B$55*(Inputs!$B$21+Skills!Q2))/100)*(1+Inputs!$B$16/100)*(5000/(6000+Inputs!$B$42*(1-(Inputs!$B$19+((C1570=TRUE)*(F1570-Calc!F27)))/100)))*(1+(Inputs!$B$24+((C1568=TRUE)*(F1568-Calc!F25))+((C1569=TRUE)*(F1569-Calc!F26))+B1582)/100)*(1+(IF(Skills!A2="ARROW_STREAM",Inputs!$B$17+((C1566=TRUE)*(F1566-Calc!F23)),Inputs!$B$18+((C1571=TRUE)*(F1571-Calc!F28))))/100)*((1+(((C1556=TRUE)*F1556)+((C1557=TRUE)*IF(Inputs!$B$38="pvp",F1557,(1-Summary!$B$55)*(F1557)+Summary!$B$55*(0)))+((C1558=TRUE)*F1558*IF(AND(Inputs!$B$38&lt;&gt;"pvp",Inputs!$B$43&gt;0),(((R1558-1)*(Skills!T15*(1+Inputs!$B$34/100))+MIN((Skills!T15*(1+Inputs!$B$34/100)),MAX(0,Inputs!$B$43-((R1558-1)*Skills!D15))))/Inputs!$B$43),IF(Inputs!$B$38="pvp",MIN((Skills!T15*(1+Inputs!$B$34/100)),15)/15,(Skills!T15*(1+Inputs!$B$34/100))/Skills!D15)))+((C1573=TRUE)*(F1573-Calc!F30)))/100)*I1545)</f>
        <v/>
      </c>
      <c r="L1545">
        <f>K1545*(MIN(Inputs!$B$22+((C1567=TRUE)*(F1567-Calc!F24)),Inputs!$B$23+((C1572=TRUE)*(F1572-Calc!F29)))/100+(Inputs!$B$23+((C1572=TRUE)*(F1572-Calc!F29)))/100)/2</f>
        <v/>
      </c>
      <c r="M1545">
        <f>L1545*(1+(Inputs!$B$10+0+B1581)/100)</f>
        <v/>
      </c>
      <c r="N1545">
        <f>L1545*(1-MIN((Inputs!$B$9+((C1563=TRUE)*(F1563-Calc!F20))+B1576),100)/100)+M1545*(MIN((Inputs!$B$9+((C1563=TRUE)*(F1563-Calc!F20))+B1576),100)/100)</f>
        <v/>
      </c>
      <c r="O1545">
        <f>IF(C1545,Skills!G2*N1545*B1580*IF(Inputs!$B$38="pvp",1,(1-Summary!$B$55)*(1)+Summary!$B$55*(MIN((6+Inputs!$B$33),Inputs!$B$37))),0)</f>
        <v/>
      </c>
      <c r="P1545">
        <f>IF(B1584=0,0,O1545/B1584)</f>
        <v/>
      </c>
      <c r="Q1545" t="n">
        <v>0</v>
      </c>
      <c r="R1545" t="n">
        <v>0</v>
      </c>
      <c r="S1545">
        <f>IFERROR(O1545/N1545,0)</f>
        <v/>
      </c>
      <c r="U1545">
        <f>MAX(0,(Inputs!$B$3-100)*3)+Inputs!$B$28+Inputs!$B$29</f>
        <v/>
      </c>
    </row>
    <row r="1546">
      <c r="A1546">
        <f>Skills!A3</f>
        <v/>
      </c>
      <c r="B1546">
        <f>Skills!B3</f>
        <v/>
      </c>
      <c r="C1546">
        <f>Inputs!$B$3&gt;=50</f>
        <v/>
      </c>
      <c r="D1546">
        <f>IF(Skills!C3=1,60+Inputs!$B$25+Inputs!$B$29,IF(Skills!C3=2,90+Inputs!$B$26+Inputs!$B$29,IF(Skills!C3=3,120+Inputs!$B$27+Inputs!$B$29,MAX(0,(Inputs!$B$3-100)*3)+Inputs!$B$28+Inputs!$B$29)))</f>
        <v/>
      </c>
      <c r="E1546">
        <f>INDEX(FactorTable!$B$2:$Y$301, MATCH(ROUND(MIN(300,MAX(1,D1546)),0), FactorTable!$A$2:$A$301,0), Skills!M3+1)</f>
        <v/>
      </c>
      <c r="F1546">
        <f>IF(Skills!N3=TRUE,(Skills!L3/10)*(E1546/1000),Skills!L3/10)+Skills!O3</f>
        <v/>
      </c>
      <c r="G1546" t="inlineStr"/>
      <c r="H1546" t="inlineStr"/>
      <c r="I1546" t="inlineStr">
        <is>
          <t>1</t>
        </is>
      </c>
      <c r="J1546" t="inlineStr"/>
      <c r="K1546" t="inlineStr"/>
      <c r="L1546" t="inlineStr"/>
      <c r="M1546" t="inlineStr"/>
      <c r="N1546" t="inlineStr"/>
      <c r="O1546" t="inlineStr"/>
      <c r="P1546" t="inlineStr"/>
      <c r="Q1546" t="inlineStr"/>
      <c r="R1546" t="inlineStr"/>
      <c r="S1546" t="inlineStr"/>
      <c r="U1546">
        <f>INDEX(FactorTable!$B$2:$Y$301, MATCH(ROUND(MIN(300,MAX(1,U1545)),0), FactorTable!$A$2:$A$301,0), 22)</f>
        <v/>
      </c>
    </row>
    <row r="1547">
      <c r="A1547">
        <f>Skills!A4</f>
        <v/>
      </c>
      <c r="B1547">
        <f>Skills!B4</f>
        <v/>
      </c>
      <c r="C1547">
        <f>Inputs!$B$3&gt;=105</f>
        <v/>
      </c>
      <c r="D1547">
        <f>IF(Skills!C4=1,60+Inputs!$B$25+Inputs!$B$29,IF(Skills!C4=2,90+Inputs!$B$26+Inputs!$B$29,IF(Skills!C4=3,120+Inputs!$B$27+Inputs!$B$29,MAX(0,(Inputs!$B$3-100)*3)+Inputs!$B$28+Inputs!$B$29)))</f>
        <v/>
      </c>
      <c r="E1547">
        <f>INDEX(FactorTable!$B$2:$Y$301, MATCH(ROUND(MIN(300,MAX(1,D1547)),0), FactorTable!$A$2:$A$301,0), Skills!M4+1)</f>
        <v/>
      </c>
      <c r="F1547">
        <f>IF(Skills!N4=TRUE,(Skills!L4/10)*(E1547/1000),Skills!L4/10)+Skills!O4</f>
        <v/>
      </c>
      <c r="G1547" t="inlineStr"/>
      <c r="H1547" t="inlineStr"/>
      <c r="I1547" t="inlineStr">
        <is>
          <t>1</t>
        </is>
      </c>
      <c r="J1547" t="inlineStr"/>
      <c r="K1547" t="inlineStr"/>
      <c r="L1547" t="inlineStr"/>
      <c r="M1547" t="inlineStr"/>
      <c r="N1547" t="inlineStr"/>
      <c r="O1547" t="inlineStr"/>
      <c r="P1547" t="inlineStr"/>
      <c r="Q1547" t="inlineStr"/>
      <c r="R1547" t="inlineStr"/>
      <c r="S1547" t="inlineStr"/>
      <c r="U1547">
        <f>290*U1546/1000</f>
        <v/>
      </c>
    </row>
    <row r="1548">
      <c r="A1548">
        <f>Skills!A5</f>
        <v/>
      </c>
      <c r="B1548">
        <f>Skills!B5</f>
        <v/>
      </c>
      <c r="C1548">
        <f>Inputs!$B$3&gt;=35</f>
        <v/>
      </c>
      <c r="D1548">
        <f>IF(Skills!C5=1,60+Inputs!$B$25+Inputs!$B$29,IF(Skills!C5=2,90+Inputs!$B$26+Inputs!$B$29,IF(Skills!C5=3,120+Inputs!$B$27+Inputs!$B$29,MAX(0,(Inputs!$B$3-100)*3)+Inputs!$B$28+Inputs!$B$29)))</f>
        <v/>
      </c>
      <c r="E1548">
        <f>INDEX(FactorTable!$B$2:$Y$301, MATCH(ROUND(MIN(300,MAX(1,D1548)),0), FactorTable!$A$2:$A$301,0), Skills!M5+1)</f>
        <v/>
      </c>
      <c r="F1548">
        <f>IF(Skills!N5=TRUE,(Skills!L5/10)*(E1548/1000),Skills!L5/10)+Skills!O5</f>
        <v/>
      </c>
      <c r="G1548">
        <f>Skills!G5*IF(Skills!H5&gt;0,Skills!I5/Skills!H5,1)</f>
        <v/>
      </c>
      <c r="H1548">
        <f>1-(1-Skills!J5/100)^Skills!K5</f>
        <v/>
      </c>
      <c r="I1548" t="inlineStr">
        <is>
          <t>1</t>
        </is>
      </c>
      <c r="J1548">
        <f>((Inputs!$B$6*(1+Inputs!$B$7/100))+(((Inputs!$B$12*(1+Inputs!$B$13/100))-(Inputs!$B$12*(1+Inputs!$B$13/100)))+0.25*(Inputs!$B$14-Inputs!$B$14))*(1+Inputs!$B$7/100))*(F1548/100)</f>
        <v/>
      </c>
      <c r="K1548">
        <f>J1548*(1+((Inputs!$B$12*(1+Inputs!$B$13/100))*0.01+Inputs!$B$14*0.0025)/100)*(1+Inputs!$B$15/100)*(1+IF(Inputs!$B$38="pvp",0,(1-Summary!$B$55)*(Inputs!$B$20+0+Skills!P5)+Summary!$B$55*(Inputs!$B$21+Skills!Q5))/100)*(1+Inputs!$B$16/100)*(5000/(6000+Inputs!$B$42*(1-(Inputs!$B$19+((C1570=TRUE)*(F1570-Calc!F27)))/100)))*(1+(Inputs!$B$24+((C1568=TRUE)*(F1568-Calc!F25))+((C1569=TRUE)*(F1569-Calc!F26))+B1582)/100)*(1+4.0*IF(C1553=TRUE,F1553,0)/100)*(1+(IF(Skills!A5="ARROW_STREAM",Inputs!$B$17+((C1566=TRUE)*(F1566-Calc!F23)),Inputs!$B$18+((C1571=TRUE)*(F1571-Calc!F28))))/100)*((1+(((C1556=TRUE)*F1556)+((C1557=TRUE)*IF(Inputs!$B$38="pvp",F1557,(1-Summary!$B$55)*(F1557)+Summary!$B$55*(0)))+((C1558=TRUE)*F1558*IF(AND(Inputs!$B$38&lt;&gt;"pvp",Inputs!$B$43&gt;0),(((R1558-1)*(Skills!T15*(1+Inputs!$B$34/100))+MIN((Skills!T15*(1+Inputs!$B$34/100)),MAX(0,Inputs!$B$43-((R1558-1)*Skills!D15))))/Inputs!$B$43),IF(Inputs!$B$38="pvp",MIN((Skills!T15*(1+Inputs!$B$34/100)),15)/15,(Skills!T15*(1+Inputs!$B$34/100))/Skills!D15)))+((C1573=TRUE)*(F1573-Calc!F30)))/100)*I1548)</f>
        <v/>
      </c>
      <c r="L1548">
        <f>K1548*(MIN(Inputs!$B$22+((C1567=TRUE)*(F1567-Calc!F24)),Inputs!$B$23+((C1572=TRUE)*(F1572-Calc!F29)))/100+(Inputs!$B$23+((C1572=TRUE)*(F1572-Calc!F29)))/100)/2</f>
        <v/>
      </c>
      <c r="M1548">
        <f>L1548*(1+(Inputs!$B$10+0+B1581)/100)</f>
        <v/>
      </c>
      <c r="N1548">
        <f>L1548*(1-MIN((Inputs!$B$9+((C1563=TRUE)*(F1563-Calc!F20))+B1576),100)/100)+M1548*(MIN((Inputs!$B$9+((C1563=TRUE)*(F1563-Calc!F20))+B1576),100)/100)</f>
        <v/>
      </c>
      <c r="O1548">
        <f>IF(C1548,H1548*N1548*IF(AND(Inputs!$B$38&lt;&gt;"pvp",Inputs!$B$43&gt;0),((Skills!G5*((R1548-1)*IF(Skills!H5&gt;0,Skills!I5/Skills!H5,1)+IF(Skills!H5&gt;0,MIN(Skills!I5,MAX(0,MAX(0,Inputs!$B$43-B1583)-((R1548-1)*IF(Inputs!$B$38="pvp",15,MAX(0.1,Skills!D5-IF(Skills!E5=TRUE,4.5,0))))))/Skills!H5,1)))/Inputs!$B$43),G1548*Q1548)*IF(Inputs!$B$38="pvp",1,(1-Summary!$B$55)*(1)+Summary!$B$55*(MIN(Skills!R5,Inputs!$B$37))),0)</f>
        <v/>
      </c>
      <c r="P1548">
        <f>IF(B1584=0,0,O1548/B1584)</f>
        <v/>
      </c>
      <c r="Q1548">
        <f>IFERROR(1/IF(Inputs!$B$38="pvp",15,MAX(0.1,Skills!D5-IF(Skills!E5=TRUE,4.5,0))),0)</f>
        <v/>
      </c>
      <c r="R1548">
        <f>IF(AND(Inputs!$B$38&lt;&gt;"pvp",Inputs!$B$43&gt;0),IF(MAX(0,Inputs!$B$43-B1583)&lt;=0,0,(INT(MAX(0,Inputs!$B$43-B1583)/IF(Inputs!$B$38="pvp",15,MAX(0.1,Skills!D5-IF(Skills!E5=TRUE,4.5,0))))+1)),0)</f>
        <v/>
      </c>
      <c r="S1548">
        <f>IFERROR(O1548/N1548,0)</f>
        <v/>
      </c>
    </row>
    <row r="1549">
      <c r="A1549">
        <f>Skills!A6</f>
        <v/>
      </c>
      <c r="B1549">
        <f>Skills!B6</f>
        <v/>
      </c>
      <c r="C1549">
        <f>Inputs!$B$3&gt;=40</f>
        <v/>
      </c>
      <c r="D1549">
        <f>IF(Skills!C6=1,60+Inputs!$B$25+Inputs!$B$29,IF(Skills!C6=2,90+Inputs!$B$26+Inputs!$B$29,IF(Skills!C6=3,120+Inputs!$B$27+Inputs!$B$29,MAX(0,(Inputs!$B$3-100)*3)+Inputs!$B$28+Inputs!$B$29)))</f>
        <v/>
      </c>
      <c r="E1549">
        <f>INDEX(FactorTable!$B$2:$Y$301, MATCH(ROUND(MIN(300,MAX(1,D1549)),0), FactorTable!$A$2:$A$301,0), Skills!M6+1)</f>
        <v/>
      </c>
      <c r="F1549">
        <f>IF(Skills!N6=TRUE,(Skills!L6/10)*(E1549/1000),Skills!L6/10)+Skills!O6</f>
        <v/>
      </c>
      <c r="G1549">
        <f>Skills!G6*IF(Skills!H6&gt;0,Skills!I6/Skills!H6,1)</f>
        <v/>
      </c>
      <c r="H1549">
        <f>1-(1-Skills!J6/100)^Skills!K6</f>
        <v/>
      </c>
      <c r="I1549" t="inlineStr">
        <is>
          <t>1</t>
        </is>
      </c>
      <c r="J1549">
        <f>((Inputs!$B$6*(1+Inputs!$B$7/100))+(((Inputs!$B$12*(1+Inputs!$B$13/100))-(Inputs!$B$12*(1+Inputs!$B$13/100)))+0.25*(Inputs!$B$14-Inputs!$B$14))*(1+Inputs!$B$7/100))*(F1549/100)</f>
        <v/>
      </c>
      <c r="K1549">
        <f>J1549*(1+((Inputs!$B$12*(1+Inputs!$B$13/100))*0.01+Inputs!$B$14*0.0025)/100)*(1+Inputs!$B$15/100)*(1+IF(Inputs!$B$38="pvp",0,(1-Summary!$B$55)*(Inputs!$B$20+0+Skills!P6)+Summary!$B$55*(Inputs!$B$21+Skills!Q6))/100)*(1+Inputs!$B$16/100)*(5000/(6000+Inputs!$B$42*(1-(Inputs!$B$19+((C1570=TRUE)*(F1570-Calc!F27)))/100)))*(1+(Inputs!$B$24+((C1568=TRUE)*(F1568-Calc!F25))+((C1569=TRUE)*(F1569-Calc!F26))+B1582)/100)*(1+IF(C1550=TRUE,F1550,0)/100)*(1+(IF(Skills!A6="ARROW_STREAM",Inputs!$B$17+((C1566=TRUE)*(F1566-Calc!F23)),Inputs!$B$18+((C1571=TRUE)*(F1571-Calc!F28))))/100)*((1+(((C1556=TRUE)*F1556)+((C1557=TRUE)*IF(Inputs!$B$38="pvp",F1557,(1-Summary!$B$55)*(F1557)+Summary!$B$55*(0)))+((C1558=TRUE)*F1558*IF(AND(Inputs!$B$38&lt;&gt;"pvp",Inputs!$B$43&gt;0),(((R1558-1)*(Skills!T15*(1+Inputs!$B$34/100))+MIN((Skills!T15*(1+Inputs!$B$34/100)),MAX(0,Inputs!$B$43-((R1558-1)*Skills!D15))))/Inputs!$B$43),IF(Inputs!$B$38="pvp",MIN((Skills!T15*(1+Inputs!$B$34/100)),15)/15,(Skills!T15*(1+Inputs!$B$34/100))/Skills!D15)))+((C1573=TRUE)*(F1573-Calc!F30)))/100)*I1549)</f>
        <v/>
      </c>
      <c r="L1549">
        <f>K1549*(MIN(Inputs!$B$22+((C1567=TRUE)*(F1567-Calc!F24)),Inputs!$B$23+((C1572=TRUE)*(F1572-Calc!F29)))/100+(Inputs!$B$23+((C1572=TRUE)*(F1572-Calc!F29)))/100)/2</f>
        <v/>
      </c>
      <c r="M1549">
        <f>L1549*(1+(Inputs!$B$10+0+B1581)/100)</f>
        <v/>
      </c>
      <c r="N1549">
        <f>L1549*(1-MIN((Inputs!$B$9+((C1563=TRUE)*(F1563-Calc!F20))+B1576),100)/100)+M1549*(MIN((Inputs!$B$9+((C1563=TRUE)*(F1563-Calc!F20))+B1576),100)/100)</f>
        <v/>
      </c>
      <c r="O1549">
        <f>IF(C1549,H1549*N1549*IF(AND(Inputs!$B$38&lt;&gt;"pvp",Inputs!$B$43&gt;0),((Skills!G6*((R1549-1)*IF(Skills!H6&gt;0,Skills!I6/Skills!H6,1)+IF(Skills!H6&gt;0,MIN(Skills!I6,MAX(0,MAX(0,Inputs!$B$43-B1583)-((R1549-1)*IF(Inputs!$B$38="pvp",15,MAX(0.1,Skills!D6-IF(Skills!E6=TRUE,4.5,0))))))/Skills!H6,1)))/Inputs!$B$43),G1549*Q1549)*IF(Inputs!$B$38="pvp",1,(1-Summary!$B$55)*(1)+Summary!$B$55*(MIN(Skills!R6,Inputs!$B$37))),0)</f>
        <v/>
      </c>
      <c r="P1549">
        <f>IF(B1584=0,0,O1549/B1584)</f>
        <v/>
      </c>
      <c r="Q1549">
        <f>IFERROR(1/IF(Inputs!$B$38="pvp",15,MAX(0.1,Skills!D6-IF(Skills!E6=TRUE,4.5,0))),0)</f>
        <v/>
      </c>
      <c r="R1549">
        <f>IF(AND(Inputs!$B$38&lt;&gt;"pvp",Inputs!$B$43&gt;0),IF(MAX(0,Inputs!$B$43-B1583)&lt;=0,0,(INT(MAX(0,Inputs!$B$43-B1583)/IF(Inputs!$B$38="pvp",15,MAX(0.1,Skills!D6-IF(Skills!E6=TRUE,4.5,0))))+1)),0)</f>
        <v/>
      </c>
      <c r="S1549">
        <f>IFERROR(O1549/N1549,0)</f>
        <v/>
      </c>
    </row>
    <row r="1550">
      <c r="A1550">
        <f>Skills!A7</f>
        <v/>
      </c>
      <c r="B1550">
        <f>Skills!B7</f>
        <v/>
      </c>
      <c r="C1550">
        <f>Inputs!$B$3&gt;=107</f>
        <v/>
      </c>
      <c r="D1550">
        <f>IF(Skills!C7=1,60+Inputs!$B$25+Inputs!$B$29,IF(Skills!C7=2,90+Inputs!$B$26+Inputs!$B$29,IF(Skills!C7=3,120+Inputs!$B$27+Inputs!$B$29,MAX(0,(Inputs!$B$3-100)*3)+Inputs!$B$28+Inputs!$B$29)))</f>
        <v/>
      </c>
      <c r="E1550">
        <f>INDEX(FactorTable!$B$2:$Y$301, MATCH(ROUND(MIN(300,MAX(1,D1550)),0), FactorTable!$A$2:$A$301,0), Skills!M7+1)</f>
        <v/>
      </c>
      <c r="F1550">
        <f>IF(Skills!N7=TRUE,(Skills!L7/10)*(E1550/1000),Skills!L7/10)+Skills!O7</f>
        <v/>
      </c>
      <c r="G1550" t="inlineStr"/>
      <c r="H1550" t="inlineStr"/>
      <c r="I1550" t="inlineStr">
        <is>
          <t>1</t>
        </is>
      </c>
      <c r="J1550" t="inlineStr"/>
      <c r="K1550" t="inlineStr"/>
      <c r="L1550" t="inlineStr"/>
      <c r="M1550" t="inlineStr"/>
      <c r="N1550" t="inlineStr"/>
      <c r="O1550" t="inlineStr"/>
      <c r="P1550" t="inlineStr"/>
      <c r="Q1550" t="inlineStr"/>
      <c r="R1550" t="inlineStr"/>
      <c r="S1550" t="inlineStr"/>
    </row>
    <row r="1551">
      <c r="A1551">
        <f>Skills!A8</f>
        <v/>
      </c>
      <c r="B1551">
        <f>Skills!B8</f>
        <v/>
      </c>
      <c r="C1551">
        <f>Inputs!$B$3&gt;=69</f>
        <v/>
      </c>
      <c r="D1551">
        <f>IF(Skills!C8=1,60+Inputs!$B$25+Inputs!$B$29,IF(Skills!C8=2,90+Inputs!$B$26+Inputs!$B$29,IF(Skills!C8=3,120+Inputs!$B$27+Inputs!$B$29,MAX(0,(Inputs!$B$3-100)*3)+Inputs!$B$28+Inputs!$B$29)))</f>
        <v/>
      </c>
      <c r="E1551">
        <f>INDEX(FactorTable!$B$2:$Y$301, MATCH(ROUND(MIN(300,MAX(1,D1551)),0), FactorTable!$A$2:$A$301,0), Skills!M8+1)</f>
        <v/>
      </c>
      <c r="F1551">
        <f>IF(Skills!N8=TRUE,(Skills!L8/10)*(E1551/1000),Skills!L8/10)+Skills!O8</f>
        <v/>
      </c>
      <c r="G1551">
        <f>Skills!G8*IF(Skills!H8&gt;0,Skills!I8/Skills!H8,1)</f>
        <v/>
      </c>
      <c r="H1551">
        <f>1-(1-Skills!J8/100)^Skills!K8</f>
        <v/>
      </c>
      <c r="I1551" t="inlineStr">
        <is>
          <t>1</t>
        </is>
      </c>
      <c r="J1551">
        <f>((Inputs!$B$6*(1+Inputs!$B$7/100))+(((Inputs!$B$12*(1+Inputs!$B$13/100))-(Inputs!$B$12*(1+Inputs!$B$13/100)))+0.25*(Inputs!$B$14-Inputs!$B$14))*(1+Inputs!$B$7/100))*(F1551/100)</f>
        <v/>
      </c>
      <c r="K1551">
        <f>J1551*(1+((Inputs!$B$12*(1+Inputs!$B$13/100))*0.01+Inputs!$B$14*0.0025)/100)*(1+Inputs!$B$15/100)*(1+IF(Inputs!$B$38="pvp",0,(1-Summary!$B$55)*(Inputs!$B$20+0+Skills!P8)+Summary!$B$55*(Inputs!$B$21+Skills!Q8))/100)*(1+Inputs!$B$16/100)*(5000/(6000+Inputs!$B$42*(1-(Inputs!$B$19+((C1570=TRUE)*(F1570-Calc!F27)))/100)))*(1+(Inputs!$B$24+((C1568=TRUE)*(F1568-Calc!F25))+((C1569=TRUE)*(F1569-Calc!F26))+B1582)/100)*(1+1.2*IF(C1553=TRUE,F1553,0)/100)*(1+(IF(Skills!A8="ARROW_STREAM",Inputs!$B$17+((C1566=TRUE)*(F1566-Calc!F23)),Inputs!$B$18+((C1571=TRUE)*(F1571-Calc!F28))))/100)*((1+(((C1556=TRUE)*F1556)+((C1557=TRUE)*IF(Inputs!$B$38="pvp",F1557,(1-Summary!$B$55)*(F1557)+Summary!$B$55*(0)))+((C1558=TRUE)*F1558*IF(AND(Inputs!$B$38&lt;&gt;"pvp",Inputs!$B$43&gt;0),(((R1558-1)*(Skills!T15*(1+Inputs!$B$34/100))+MIN((Skills!T15*(1+Inputs!$B$34/100)),MAX(0,Inputs!$B$43-((R1558-1)*Skills!D15))))/Inputs!$B$43),IF(Inputs!$B$38="pvp",MIN((Skills!T15*(1+Inputs!$B$34/100)),15)/15,(Skills!T15*(1+Inputs!$B$34/100))/Skills!D15)))+((C1573=TRUE)*(F1573-Calc!F30)))/100)*I1551)</f>
        <v/>
      </c>
      <c r="L1551">
        <f>K1551*(MIN(Inputs!$B$22+((C1567=TRUE)*(F1567-Calc!F24)),Inputs!$B$23+((C1572=TRUE)*(F1572-Calc!F29)))/100+(Inputs!$B$23+((C1572=TRUE)*(F1572-Calc!F29)))/100)/2</f>
        <v/>
      </c>
      <c r="M1551">
        <f>L1551*(1+(Inputs!$B$10+0+B1581)/100)</f>
        <v/>
      </c>
      <c r="N1551">
        <f>L1551*(1-MIN((Inputs!$B$9+((C1563=TRUE)*(F1563-Calc!F20))+B1576),100)/100)+M1551*(MIN((Inputs!$B$9+((C1563=TRUE)*(F1563-Calc!F20))+B1576),100)/100)</f>
        <v/>
      </c>
      <c r="O1551">
        <f>IF(C1551,H1551*N1551*IF(AND(Inputs!$B$38&lt;&gt;"pvp",Inputs!$B$43&gt;0),((Skills!G8*((R1551-1)*IF(Skills!H8&gt;0,Skills!I8/Skills!H8,1)+IF(Skills!H8&gt;0,MIN(Skills!I8,MAX(0,MAX(0,Inputs!$B$43-B1583)-((R1551-1)*IF(Inputs!$B$38="pvp",15,MAX(0.1,Skills!D8-IF(Skills!E8=TRUE,4.5,0))))))/Skills!H8,1)))/Inputs!$B$43),G1551*Q1551)*IF(Inputs!$B$38="pvp",1,(1-Summary!$B$55)*(1)+Summary!$B$55*(MIN(Skills!R8,Inputs!$B$37))),0)</f>
        <v/>
      </c>
      <c r="P1551">
        <f>IF(B1584=0,0,O1551/B1584)</f>
        <v/>
      </c>
      <c r="Q1551">
        <f>IFERROR(1/IF(Inputs!$B$38="pvp",15,MAX(0.1,Skills!D8-IF(Skills!E8=TRUE,4.5,0))),0)</f>
        <v/>
      </c>
      <c r="R1551">
        <f>IF(AND(Inputs!$B$38&lt;&gt;"pvp",Inputs!$B$43&gt;0),IF(MAX(0,Inputs!$B$43-B1583)&lt;=0,0,(INT(MAX(0,Inputs!$B$43-B1583)/IF(Inputs!$B$38="pvp",15,MAX(0.1,Skills!D8-IF(Skills!E8=TRUE,4.5,0))))+1)),0)</f>
        <v/>
      </c>
      <c r="S1551">
        <f>IFERROR(O1551/N1551,0)</f>
        <v/>
      </c>
    </row>
    <row r="1552">
      <c r="A1552">
        <f>Skills!A9</f>
        <v/>
      </c>
      <c r="B1552">
        <f>Skills!B9</f>
        <v/>
      </c>
      <c r="C1552">
        <f>Inputs!$B$3&gt;=63</f>
        <v/>
      </c>
      <c r="D1552">
        <f>IF(Skills!C9=1,60+Inputs!$B$25+Inputs!$B$29,IF(Skills!C9=2,90+Inputs!$B$26+Inputs!$B$29,IF(Skills!C9=3,120+Inputs!$B$27+Inputs!$B$29,MAX(0,(Inputs!$B$3-100)*3)+Inputs!$B$28+Inputs!$B$29)))</f>
        <v/>
      </c>
      <c r="E1552">
        <f>INDEX(FactorTable!$B$2:$Y$301, MATCH(ROUND(MIN(300,MAX(1,D1552)),0), FactorTable!$A$2:$A$301,0), Skills!M9+1)</f>
        <v/>
      </c>
      <c r="F1552">
        <f>IF(Skills!N9=TRUE,(Skills!L9/10)*(E1552/1000),Skills!L9/10)+Skills!O9</f>
        <v/>
      </c>
      <c r="G1552">
        <f>Skills!G9*IF(Skills!H9&gt;0,Skills!I9/Skills!H9,1)</f>
        <v/>
      </c>
      <c r="H1552">
        <f>1-(1-Skills!J9/100)^Skills!K9</f>
        <v/>
      </c>
      <c r="I1552" t="inlineStr">
        <is>
          <t>1</t>
        </is>
      </c>
      <c r="J1552">
        <f>((Inputs!$B$6*(1+Inputs!$B$7/100))+(((Inputs!$B$12*(1+Inputs!$B$13/100))-(Inputs!$B$12*(1+Inputs!$B$13/100)))+0.25*(Inputs!$B$14-Inputs!$B$14))*(1+Inputs!$B$7/100))*(F1552/100)</f>
        <v/>
      </c>
      <c r="K1552">
        <f>J1552*(1+((Inputs!$B$12*(1+Inputs!$B$13/100))*0.01+Inputs!$B$14*0.0025)/100)*(1+Inputs!$B$15/100)*(1+IF(Inputs!$B$38="pvp",0,(1-Summary!$B$55)*(Inputs!$B$20+0+Skills!P9)+Summary!$B$55*(Inputs!$B$21+Skills!Q9))/100)*(1+Inputs!$B$16/100)*(5000/(6000+Inputs!$B$42*(1-(Inputs!$B$19+((C1570=TRUE)*(F1570-Calc!F27)))/100)))*(1+(Inputs!$B$24+((C1568=TRUE)*(F1568-Calc!F25))+((C1569=TRUE)*(F1569-Calc!F26))+B1582)/100)*(1+1.0*IF(C1553=TRUE,F1553,0)/100)*(1+(IF(Skills!A9="ARROW_STREAM",Inputs!$B$17+((C1566=TRUE)*(F1566-Calc!F23)),Inputs!$B$18+((C1571=TRUE)*(F1571-Calc!F28))))/100)*((1+(((C1556=TRUE)*F1556)+((C1557=TRUE)*IF(Inputs!$B$38="pvp",F1557,(1-Summary!$B$55)*(F1557)+Summary!$B$55*(0)))+((C1558=TRUE)*F1558*IF(AND(Inputs!$B$38&lt;&gt;"pvp",Inputs!$B$43&gt;0),(((R1558-1)*(Skills!T15*(1+Inputs!$B$34/100))+MIN((Skills!T15*(1+Inputs!$B$34/100)),MAX(0,Inputs!$B$43-((R1558-1)*Skills!D15))))/Inputs!$B$43),IF(Inputs!$B$38="pvp",MIN((Skills!T15*(1+Inputs!$B$34/100)),15)/15,(Skills!T15*(1+Inputs!$B$34/100))/Skills!D15)))+((C1573=TRUE)*(F1573-Calc!F30)))/100)*I1552)</f>
        <v/>
      </c>
      <c r="L1552">
        <f>K1552*(MIN(Inputs!$B$22+((C1567=TRUE)*(F1567-Calc!F24)),Inputs!$B$23+((C1572=TRUE)*(F1572-Calc!F29)))/100+(Inputs!$B$23+((C1572=TRUE)*(F1572-Calc!F29)))/100)/2</f>
        <v/>
      </c>
      <c r="M1552">
        <f>L1552*(1+(Inputs!$B$10+0+B1581)/100)</f>
        <v/>
      </c>
      <c r="N1552">
        <f>L1552*(1-MIN((Inputs!$B$9+((C1563=TRUE)*(F1563-Calc!F20))+B1576),100)/100)+M1552*(MIN((Inputs!$B$9+((C1563=TRUE)*(F1563-Calc!F20))+B1576),100)/100)</f>
        <v/>
      </c>
      <c r="O1552">
        <f>IF(C1552,H1552*N1552*IF(AND(Inputs!$B$38&lt;&gt;"pvp",Inputs!$B$43&gt;0),((Skills!G9*((R1552-1)*IF(Skills!H9&gt;0,Skills!I9/Skills!H9,1)+IF(Skills!H9&gt;0,MIN(Skills!I9,MAX(0,MAX(0,Inputs!$B$43-B1583)-((R1552-1)*IF(Inputs!$B$38="pvp",15,MAX(0.1,Skills!D9-IF(Skills!E9=TRUE,4.5,0))))))/Skills!H9,1)))/Inputs!$B$43),G1552*Q1552)*IF(Inputs!$B$38="pvp",1,(1-Summary!$B$55)*(1)+Summary!$B$55*(MIN(Skills!R9,Inputs!$B$37))),0)</f>
        <v/>
      </c>
      <c r="P1552">
        <f>IF(B1584=0,0,O1552/B1584)</f>
        <v/>
      </c>
      <c r="Q1552">
        <f>IFERROR(1/IF(Inputs!$B$38="pvp",15,MAX(0.1,Skills!D9-IF(Skills!E9=TRUE,4.5,0))),0)</f>
        <v/>
      </c>
      <c r="R1552">
        <f>IF(AND(Inputs!$B$38&lt;&gt;"pvp",Inputs!$B$43&gt;0),IF(MAX(0,Inputs!$B$43-B1583)&lt;=0,0,(INT(MAX(0,Inputs!$B$43-B1583)/IF(Inputs!$B$38="pvp",15,MAX(0.1,Skills!D9-IF(Skills!E9=TRUE,4.5,0))))+1)),0)</f>
        <v/>
      </c>
      <c r="S1552">
        <f>IFERROR(O1552/N1552,0)</f>
        <v/>
      </c>
    </row>
    <row r="1553">
      <c r="A1553">
        <f>Skills!A10</f>
        <v/>
      </c>
      <c r="B1553">
        <f>Skills!B10</f>
        <v/>
      </c>
      <c r="C1553">
        <f>Inputs!$B$3&gt;=100</f>
        <v/>
      </c>
      <c r="D1553">
        <f>IF(Skills!C10=1,60+Inputs!$B$25+Inputs!$B$29,IF(Skills!C10=2,90+Inputs!$B$26+Inputs!$B$29,IF(Skills!C10=3,120+Inputs!$B$27+Inputs!$B$29,MAX(0,(Inputs!$B$3-100)*3)+Inputs!$B$28+Inputs!$B$29)))</f>
        <v/>
      </c>
      <c r="E1553">
        <f>INDEX(FactorTable!$B$2:$Y$301, MATCH(ROUND(MIN(300,MAX(1,D1553)),0), FactorTable!$A$2:$A$301,0), Skills!M10+1)</f>
        <v/>
      </c>
      <c r="F1553">
        <f>IF(Skills!N10=TRUE,(Skills!L10/10)*(E1553/1000),Skills!L10/10)+Skills!O10</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Skills!A11</f>
        <v/>
      </c>
      <c r="B1554">
        <f>Skills!B11</f>
        <v/>
      </c>
      <c r="C1554">
        <f>Inputs!$B$3&gt;=60</f>
        <v/>
      </c>
      <c r="D1554">
        <f>IF(Skills!C11=1,60+Inputs!$B$25+Inputs!$B$29,IF(Skills!C11=2,90+Inputs!$B$26+Inputs!$B$29,IF(Skills!C11=3,120+Inputs!$B$27+Inputs!$B$29,MAX(0,(Inputs!$B$3-100)*3)+Inputs!$B$28+Inputs!$B$29)))</f>
        <v/>
      </c>
      <c r="E1554">
        <f>INDEX(FactorTable!$B$2:$Y$301, MATCH(ROUND(MIN(300,MAX(1,D1554)),0), FactorTable!$A$2:$A$301,0), Skills!M11+1)</f>
        <v/>
      </c>
      <c r="F1554">
        <f>IF(Skills!N11=TRUE,(Skills!L11/10)*(E1554/1000),Skills!L11/10)+Skills!O11</f>
        <v/>
      </c>
      <c r="G1554">
        <f>Skills!G11*IF(Skills!H11&gt;0,Skills!I11/Skills!H11,1)</f>
        <v/>
      </c>
      <c r="H1554">
        <f>1-(1-Skills!J11/100)^Skills!K11</f>
        <v/>
      </c>
      <c r="I1554" t="inlineStr">
        <is>
          <t>1</t>
        </is>
      </c>
      <c r="J1554">
        <f>((Inputs!$B$6*(1+Inputs!$B$7/100))+(((Inputs!$B$12*(1+Inputs!$B$13/100))-(Inputs!$B$12*(1+Inputs!$B$13/100)))+0.25*(Inputs!$B$14-Inputs!$B$14))*(1+Inputs!$B$7/100))*(F1554/100)</f>
        <v/>
      </c>
      <c r="K1554">
        <f>J1554*(1+((Inputs!$B$12*(1+Inputs!$B$13/100))*0.01+Inputs!$B$14*0.0025)/100)*(1+Inputs!$B$15/100)*(1+IF(Inputs!$B$38="pvp",0,(1-Summary!$B$55)*(Inputs!$B$20+0+Skills!P11)+Summary!$B$55*(Inputs!$B$21+Skills!Q11))/100)*(1+Inputs!$B$16/100)*(5000/(6000+Inputs!$B$42*(1-(Inputs!$B$19+((C1570=TRUE)*(F1570-Calc!F27)))/100)))*(1+(Inputs!$B$24+((C1568=TRUE)*(F1568-Calc!F25))+((C1569=TRUE)*(F1569-Calc!F26))+B1582)/100)*(1+IF(C1555=TRUE,F1555,0)/100)*(1+(IF(Skills!A11="ARROW_STREAM",Inputs!$B$17+((C1566=TRUE)*(F1566-Calc!F23)),Inputs!$B$18+((C1571=TRUE)*(F1571-Calc!F28))))/100)*((1+(((C1556=TRUE)*F1556)+((C1557=TRUE)*IF(Inputs!$B$38="pvp",F1557,(1-Summary!$B$55)*(F1557)+Summary!$B$55*(0)))+((C1558=TRUE)*F1558*IF(AND(Inputs!$B$38&lt;&gt;"pvp",Inputs!$B$43&gt;0),(((R1558-1)*(Skills!T15*(1+Inputs!$B$34/100))+MIN((Skills!T15*(1+Inputs!$B$34/100)),MAX(0,Inputs!$B$43-((R1558-1)*Skills!D15))))/Inputs!$B$43),IF(Inputs!$B$38="pvp",MIN((Skills!T15*(1+Inputs!$B$34/100)),15)/15,(Skills!T15*(1+Inputs!$B$34/100))/Skills!D15)))+((C1573=TRUE)*(F1573-Calc!F30)))/100)*I1554)</f>
        <v/>
      </c>
      <c r="L1554">
        <f>K1554*(MIN(Inputs!$B$22+((C1567=TRUE)*(F1567-Calc!F24)),Inputs!$B$23+((C1572=TRUE)*(F1572-Calc!F29)))/100+(Inputs!$B$23+((C1572=TRUE)*(F1572-Calc!F29)))/100)/2</f>
        <v/>
      </c>
      <c r="M1554">
        <f>L1554*(1+(Inputs!$B$10+0+B1581)/100)</f>
        <v/>
      </c>
      <c r="N1554">
        <f>L1554*(1-MIN((Inputs!$B$9+((C1563=TRUE)*(F1563-Calc!F20))+B1576),100)/100)+M1554*(MIN((Inputs!$B$9+((C1563=TRUE)*(F1563-Calc!F20))+B1576),100)/100)</f>
        <v/>
      </c>
      <c r="O1554">
        <f>IF(C1554,H1554*N1554*IF(AND(Inputs!$B$38&lt;&gt;"pvp",Inputs!$B$43&gt;0),((Skills!G11*((R1554-1)*IF(Skills!H11&gt;0,Skills!I11/Skills!H11,1)+IF(Skills!H11&gt;0,MIN(Skills!I11,MAX(0,MAX(0,Inputs!$B$43-B1583)-((R1554-1)*IF(Inputs!$B$38="pvp",15,MAX(0.1,Skills!D11-IF(Skills!E11=TRUE,4.5,0))))))/Skills!H11,1)))/Inputs!$B$43),G1554*Q1554)*IF(Inputs!$B$38="pvp",1,(1-Summary!$B$55)*(1)+Summary!$B$55*(MIN(Skills!R11,Inputs!$B$37))),0)</f>
        <v/>
      </c>
      <c r="P1554">
        <f>IF(B1584=0,0,O1554/B1584)</f>
        <v/>
      </c>
      <c r="Q1554">
        <f>IFERROR(1/IF(Inputs!$B$38="pvp",15,MAX(0.1,Skills!D11-IF(Skills!E11=TRUE,4.5,0))),0)</f>
        <v/>
      </c>
      <c r="R1554">
        <f>IF(AND(Inputs!$B$38&lt;&gt;"pvp",Inputs!$B$43&gt;0),IF(MAX(0,Inputs!$B$43-B1583)&lt;=0,0,(INT(MAX(0,Inputs!$B$43-B1583)/IF(Inputs!$B$38="pvp",15,MAX(0.1,Skills!D11-IF(Skills!E11=TRUE,4.5,0))))+1)),0)</f>
        <v/>
      </c>
      <c r="S1554">
        <f>IFERROR(O1554/N1554,0)</f>
        <v/>
      </c>
    </row>
    <row r="1555">
      <c r="A1555">
        <f>Skills!A12</f>
        <v/>
      </c>
      <c r="B1555">
        <f>Skills!B12</f>
        <v/>
      </c>
      <c r="C1555">
        <f>Inputs!$B$3&gt;=110</f>
        <v/>
      </c>
      <c r="D1555">
        <f>IF(Skills!C12=1,60+Inputs!$B$25+Inputs!$B$29,IF(Skills!C12=2,90+Inputs!$B$26+Inputs!$B$29,IF(Skills!C12=3,120+Inputs!$B$27+Inputs!$B$29,MAX(0,(Inputs!$B$3-100)*3)+Inputs!$B$28+Inputs!$B$29)))</f>
        <v/>
      </c>
      <c r="E1555">
        <f>INDEX(FactorTable!$B$2:$Y$301, MATCH(ROUND(MIN(300,MAX(1,D1555)),0), FactorTable!$A$2:$A$301,0), Skills!M12+1)</f>
        <v/>
      </c>
      <c r="F1555">
        <f>IF(Skills!N12=TRUE,(Skills!L12/10)*(E1555/1000),Skills!L12/10)+Skills!O12</f>
        <v/>
      </c>
      <c r="G1555" t="inlineStr"/>
      <c r="H1555" t="inlineStr"/>
      <c r="I1555" t="inlineStr">
        <is>
          <t>1</t>
        </is>
      </c>
      <c r="J1555" t="inlineStr"/>
      <c r="K1555" t="inlineStr"/>
      <c r="L1555" t="inlineStr"/>
      <c r="M1555" t="inlineStr"/>
      <c r="N1555" t="inlineStr"/>
      <c r="O1555" t="inlineStr"/>
      <c r="P1555" t="inlineStr"/>
      <c r="Q1555" t="inlineStr"/>
      <c r="R1555" t="inlineStr"/>
      <c r="S1555" t="inlineStr"/>
    </row>
    <row r="1556">
      <c r="A1556">
        <f>Skills!A13</f>
        <v/>
      </c>
      <c r="B1556">
        <f>Skills!B13</f>
        <v/>
      </c>
      <c r="C1556">
        <f>Inputs!$B$3&gt;=74</f>
        <v/>
      </c>
      <c r="D1556">
        <f>IF(Skills!C13=1,60+Inputs!$B$25+Inputs!$B$29,IF(Skills!C13=2,90+Inputs!$B$26+Inputs!$B$29,IF(Skills!C13=3,120+Inputs!$B$27+Inputs!$B$29,MAX(0,(Inputs!$B$3-100)*3)+Inputs!$B$28+Inputs!$B$29)))</f>
        <v/>
      </c>
      <c r="E1556">
        <f>INDEX(FactorTable!$B$2:$Y$301, MATCH(ROUND(MIN(300,MAX(1,D1556)),0), FactorTable!$A$2:$A$301,0), Skills!M13+1)</f>
        <v/>
      </c>
      <c r="F1556">
        <f>IF(Skills!N13=TRUE,(Skills!L13/10)*(E1556/1000),Skills!L13/10)+Skills!O13</f>
        <v/>
      </c>
      <c r="G1556">
        <f>Skills!G13*IF(Skills!H13&gt;0,Skills!I13/Skills!H13,1)</f>
        <v/>
      </c>
      <c r="H1556">
        <f>1-(1-Skills!J13/100)^Skills!K13</f>
        <v/>
      </c>
      <c r="I1556" t="inlineStr">
        <is>
          <t>1</t>
        </is>
      </c>
      <c r="J1556" t="inlineStr"/>
      <c r="K1556" t="inlineStr"/>
      <c r="L1556" t="inlineStr"/>
      <c r="M1556" t="inlineStr"/>
      <c r="N1556" t="inlineStr"/>
      <c r="O1556" t="n">
        <v>0</v>
      </c>
      <c r="P1556">
        <f>IF(B1584=0,0,O1556/B1584)</f>
        <v/>
      </c>
      <c r="Q1556" t="n">
        <v>0</v>
      </c>
      <c r="R1556" t="n">
        <v>0</v>
      </c>
      <c r="S1556">
        <f>IFERROR(O1556/N1556,0)</f>
        <v/>
      </c>
    </row>
    <row r="1557">
      <c r="A1557">
        <f>Skills!A14</f>
        <v/>
      </c>
      <c r="B1557">
        <f>Skills!B14</f>
        <v/>
      </c>
      <c r="C1557">
        <f>Inputs!$B$3&gt;=74</f>
        <v/>
      </c>
      <c r="D1557">
        <f>IF(Skills!C14=1,60+Inputs!$B$25+Inputs!$B$29,IF(Skills!C14=2,90+Inputs!$B$26+Inputs!$B$29,IF(Skills!C14=3,120+Inputs!$B$27+Inputs!$B$29,MAX(0,(Inputs!$B$3-100)*3)+Inputs!$B$28+Inputs!$B$29)))</f>
        <v/>
      </c>
      <c r="E1557">
        <f>INDEX(FactorTable!$B$2:$Y$301, MATCH(ROUND(MIN(300,MAX(1,D1557)),0), FactorTable!$A$2:$A$301,0), Skills!M14+1)</f>
        <v/>
      </c>
      <c r="F1557">
        <f>IF(Skills!N14=TRUE,(Skills!L14/10)*(E1557/1000),Skills!L14/10)+Skills!O14</f>
        <v/>
      </c>
      <c r="G1557">
        <f>Skills!G14*IF(Skills!H14&gt;0,Skills!I14/Skills!H14,1)</f>
        <v/>
      </c>
      <c r="H1557">
        <f>1-(1-Skills!J14/100)^Skills!K14</f>
        <v/>
      </c>
      <c r="I1557" t="inlineStr">
        <is>
          <t>1</t>
        </is>
      </c>
      <c r="J1557" t="inlineStr"/>
      <c r="K1557" t="inlineStr"/>
      <c r="L1557" t="inlineStr"/>
      <c r="M1557" t="inlineStr"/>
      <c r="N1557" t="inlineStr"/>
      <c r="O1557" t="n">
        <v>0</v>
      </c>
      <c r="P1557">
        <f>IF(B1584=0,0,O1557/B1584)</f>
        <v/>
      </c>
      <c r="Q1557" t="n">
        <v>0</v>
      </c>
      <c r="R1557" t="n">
        <v>0</v>
      </c>
      <c r="S1557">
        <f>IFERROR(O1557/N1557,0)</f>
        <v/>
      </c>
    </row>
    <row r="1558">
      <c r="A1558">
        <f>Skills!A15</f>
        <v/>
      </c>
      <c r="B1558">
        <f>Skills!B15</f>
        <v/>
      </c>
      <c r="C1558">
        <f>Inputs!$B$3&gt;=117</f>
        <v/>
      </c>
      <c r="D1558">
        <f>IF(Skills!C15=1,60+Inputs!$B$25+Inputs!$B$29,IF(Skills!C15=2,90+Inputs!$B$26+Inputs!$B$29,IF(Skills!C15=3,120+Inputs!$B$27+Inputs!$B$29,MAX(0,(Inputs!$B$3-100)*3)+Inputs!$B$28+Inputs!$B$29)))</f>
        <v/>
      </c>
      <c r="E1558">
        <f>INDEX(FactorTable!$B$2:$Y$301, MATCH(ROUND(MIN(300,MAX(1,D1558)),0), FactorTable!$A$2:$A$301,0), Skills!M15+1)</f>
        <v/>
      </c>
      <c r="F1558">
        <f>IF(Skills!N15=TRUE,(Skills!L15/10)*(E1558/1000),Skills!L15/10)+Skills!O15</f>
        <v/>
      </c>
      <c r="G1558">
        <f>Skills!G15*IF(Skills!H15&gt;0,Skills!I15/Skills!H15,1)</f>
        <v/>
      </c>
      <c r="H1558">
        <f>1-(1-Skills!J15/100)^Skills!K15</f>
        <v/>
      </c>
      <c r="I1558" t="inlineStr">
        <is>
          <t>1</t>
        </is>
      </c>
      <c r="J1558" t="inlineStr"/>
      <c r="K1558" t="inlineStr"/>
      <c r="L1558" t="inlineStr"/>
      <c r="M1558" t="inlineStr"/>
      <c r="N1558" t="inlineStr"/>
      <c r="O1558" t="n">
        <v>0</v>
      </c>
      <c r="P1558">
        <f>IF(B1584=0,0,O1558/B1584)</f>
        <v/>
      </c>
      <c r="Q1558">
        <f>IFERROR(1/IF(Inputs!$B$38="pvp",15,MAX(0.1,Skills!D15-IF(Skills!E15=TRUE,4.5,0))),0)</f>
        <v/>
      </c>
      <c r="R1558">
        <f>IF(AND(Inputs!$B$38&lt;&gt;"pvp",Inputs!$B$43&gt;0),IF(Inputs!$B$43&lt;=0,0,(INT(Inputs!$B$43/IF(Inputs!$B$38="pvp",15,MAX(0.1,Skills!D15-IF(Skills!E15=TRUE,4.5,0))))+1)),0)</f>
        <v/>
      </c>
      <c r="S1558">
        <f>IFERROR(O1558/N1558,0)</f>
        <v/>
      </c>
    </row>
    <row r="1559">
      <c r="A1559">
        <f>Skills!A16</f>
        <v/>
      </c>
      <c r="B1559">
        <f>Skills!B16</f>
        <v/>
      </c>
      <c r="C1559">
        <f>Inputs!$B$3&gt;=115</f>
        <v/>
      </c>
      <c r="D1559">
        <f>IF(Skills!C16=1,60+Inputs!$B$25+Inputs!$B$29,IF(Skills!C16=2,90+Inputs!$B$26+Inputs!$B$29,IF(Skills!C16=3,120+Inputs!$B$27+Inputs!$B$29,MAX(0,(Inputs!$B$3-100)*3)+Inputs!$B$28+Inputs!$B$29)))</f>
        <v/>
      </c>
      <c r="E1559">
        <f>INDEX(FactorTable!$B$2:$Y$301, MATCH(ROUND(MIN(300,MAX(1,D1559)),0), FactorTable!$A$2:$A$301,0), Skills!M16+1)</f>
        <v/>
      </c>
      <c r="F1559">
        <f>IF(Skills!N16=TRUE,(Skills!L16/10)*(E1559/1000),Skills!L16/10)+Skills!O16</f>
        <v/>
      </c>
      <c r="G1559">
        <f>Skills!G16*IF(Skills!H16&gt;0,Skills!I16/Skills!H16,1)</f>
        <v/>
      </c>
      <c r="H1559">
        <f>1-(1-Skills!J16/100)^Skills!K16</f>
        <v/>
      </c>
      <c r="I1559" t="inlineStr">
        <is>
          <t>1</t>
        </is>
      </c>
      <c r="J1559" t="inlineStr"/>
      <c r="K1559" t="inlineStr"/>
      <c r="L1559" t="inlineStr"/>
      <c r="M1559" t="inlineStr"/>
      <c r="N1559" t="inlineStr"/>
      <c r="O1559" t="n">
        <v>0</v>
      </c>
      <c r="P1559">
        <f>IF(B1584=0,0,O1559/B1584)</f>
        <v/>
      </c>
      <c r="Q1559">
        <f>IFERROR(1/IF(Inputs!$B$38="pvp",15,MAX(0.1,Skills!D16-IF(Skills!E16=TRUE,4.5,0))),0)</f>
        <v/>
      </c>
      <c r="R1559">
        <f>IF(AND(Inputs!$B$38&lt;&gt;"pvp",Inputs!$B$43&gt;0),IF(Inputs!$B$43&lt;=0,0,(INT(Inputs!$B$43/IF(Inputs!$B$38="pvp",15,MAX(0.1,Skills!D16-IF(Skills!E16=TRUE,4.5,0))))+1)),0)</f>
        <v/>
      </c>
      <c r="S1559">
        <f>IFERROR(O1559/N1559,0)</f>
        <v/>
      </c>
    </row>
    <row r="1560">
      <c r="A1560">
        <f>Skills!A17</f>
        <v/>
      </c>
      <c r="B1560">
        <f>Skills!B17</f>
        <v/>
      </c>
      <c r="C1560">
        <f>Inputs!$B$3&gt;=66</f>
        <v/>
      </c>
      <c r="D1560">
        <f>IF(Skills!C17=1,60+Inputs!$B$25+Inputs!$B$29,IF(Skills!C17=2,90+Inputs!$B$26+Inputs!$B$29,IF(Skills!C17=3,120+Inputs!$B$27+Inputs!$B$29,MAX(0,(Inputs!$B$3-100)*3)+Inputs!$B$28+Inputs!$B$29)))</f>
        <v/>
      </c>
      <c r="E1560">
        <f>INDEX(FactorTable!$B$2:$Y$301, MATCH(ROUND(MIN(300,MAX(1,D1560)),0), FactorTable!$A$2:$A$301,0), Skills!M17+1)</f>
        <v/>
      </c>
      <c r="F1560">
        <f>IF(Skills!N17=TRUE,(Skills!L17/10)*(E1560/1000),Skills!L17/10)+Skills!O17</f>
        <v/>
      </c>
      <c r="G1560">
        <f>Skills!G17*IF(Skills!H17&gt;0,Skills!I17/Skills!H17,1)</f>
        <v/>
      </c>
      <c r="H1560">
        <f>1-(1-Skills!J17/100)^Skills!K17</f>
        <v/>
      </c>
      <c r="I1560" t="inlineStr">
        <is>
          <t>1</t>
        </is>
      </c>
      <c r="J1560" t="inlineStr"/>
      <c r="K1560" t="inlineStr"/>
      <c r="L1560" t="inlineStr"/>
      <c r="M1560" t="inlineStr"/>
      <c r="N1560" t="inlineStr"/>
      <c r="O1560" t="n">
        <v>0</v>
      </c>
      <c r="P1560">
        <f>IF(B1584=0,0,O1560/B1584)</f>
        <v/>
      </c>
      <c r="Q1560" t="n">
        <v>0</v>
      </c>
      <c r="R1560" t="n">
        <v>0</v>
      </c>
      <c r="S1560">
        <f>IFERROR(O1560/N1560,0)</f>
        <v/>
      </c>
    </row>
    <row r="1561">
      <c r="A1561">
        <f>Skills!A18</f>
        <v/>
      </c>
      <c r="B1561">
        <f>Skills!B18</f>
        <v/>
      </c>
      <c r="C1561">
        <f>Inputs!$B$3&gt;=72</f>
        <v/>
      </c>
      <c r="D1561">
        <f>IF(Skills!C18=1,60+Inputs!$B$25+Inputs!$B$29,IF(Skills!C18=2,90+Inputs!$B$26+Inputs!$B$29,IF(Skills!C18=3,120+Inputs!$B$27+Inputs!$B$29,MAX(0,(Inputs!$B$3-100)*3)+Inputs!$B$28+Inputs!$B$29)))</f>
        <v/>
      </c>
      <c r="E1561">
        <f>INDEX(FactorTable!$B$2:$Y$301, MATCH(ROUND(MIN(300,MAX(1,D1561)),0), FactorTable!$A$2:$A$301,0), Skills!M18+1)</f>
        <v/>
      </c>
      <c r="F1561">
        <f>IF(Skills!N18=TRUE,(Skills!L18/10)*(E1561/1000),Skills!L18/10)+Skills!O18</f>
        <v/>
      </c>
      <c r="G1561">
        <f>Skills!G18*IF(Skills!H18&gt;0,Skills!I18/Skills!H18,1)</f>
        <v/>
      </c>
      <c r="H1561">
        <f>1-(1-Skills!J18/100)^Skills!K18</f>
        <v/>
      </c>
      <c r="I1561" t="inlineStr">
        <is>
          <t>1</t>
        </is>
      </c>
      <c r="J1561" t="inlineStr"/>
      <c r="K1561" t="inlineStr"/>
      <c r="L1561" t="inlineStr"/>
      <c r="M1561" t="inlineStr"/>
      <c r="N1561" t="inlineStr"/>
      <c r="O1561" t="n">
        <v>0</v>
      </c>
      <c r="P1561">
        <f>IF(B1584=0,0,O1561/B1584)</f>
        <v/>
      </c>
      <c r="Q1561" t="n">
        <v>0</v>
      </c>
      <c r="R1561" t="n">
        <v>0</v>
      </c>
      <c r="S1561">
        <f>IFERROR(O1561/N1561,0)</f>
        <v/>
      </c>
    </row>
    <row r="1562">
      <c r="A1562">
        <f>Skills!A19</f>
        <v/>
      </c>
      <c r="B1562">
        <f>Skills!B19</f>
        <v/>
      </c>
      <c r="C1562">
        <f>TRUE</f>
        <v/>
      </c>
      <c r="D1562">
        <f>IF(Skills!C19=1,60+Inputs!$B$25+Inputs!$B$29,IF(Skills!C19=2,90+Inputs!$B$26+Inputs!$B$29,IF(Skills!C19=3,120+Inputs!$B$27+Inputs!$B$29,MAX(0,(Inputs!$B$3-100)*3)+Inputs!$B$28+Inputs!$B$29)))</f>
        <v/>
      </c>
      <c r="E1562">
        <f>INDEX(FactorTable!$B$2:$Y$301, MATCH(ROUND(MIN(300,MAX(1,D1562)),0), FactorTable!$A$2:$A$301,0), Skills!M19+1)</f>
        <v/>
      </c>
      <c r="F1562">
        <f>IF(Skills!N19=TRUE,(Skills!L19/10)*(E1562/1000),Skills!L19/10)+Skills!O19</f>
        <v/>
      </c>
      <c r="G1562">
        <f>Skills!G19*IF(Skills!H19&gt;0,Skills!I19/Skills!H19,1)</f>
        <v/>
      </c>
      <c r="H1562">
        <f>1-(1-Skills!J19/100)^Skills!K19</f>
        <v/>
      </c>
      <c r="I1562" t="inlineStr">
        <is>
          <t>1</t>
        </is>
      </c>
      <c r="J1562" t="inlineStr"/>
      <c r="K1562" t="inlineStr"/>
      <c r="L1562" t="inlineStr"/>
      <c r="M1562" t="inlineStr"/>
      <c r="N1562" t="inlineStr"/>
      <c r="O1562" t="n">
        <v>0</v>
      </c>
      <c r="P1562">
        <f>IF(B1584=0,0,O1562/B1584)</f>
        <v/>
      </c>
      <c r="Q1562">
        <f>IFERROR(1/IF(Inputs!$B$38="pvp",15,MAX(0.1,Skills!D19-IF(Skills!E19=TRUE,4.5,0))),0)</f>
        <v/>
      </c>
      <c r="R1562">
        <f>IF(AND(Inputs!$B$38&lt;&gt;"pvp",Inputs!$B$43&gt;0),IF(Inputs!$B$43&lt;=0,0,(INT(Inputs!$B$43/IF(Inputs!$B$38="pvp",15,MAX(0.1,Skills!D19-IF(Skills!E19=TRUE,4.5,0))))+1)),0)</f>
        <v/>
      </c>
      <c r="S1562">
        <f>IFERROR(O1562/N1562,0)</f>
        <v/>
      </c>
    </row>
    <row r="1563">
      <c r="A1563">
        <f>Skills!A20</f>
        <v/>
      </c>
      <c r="B1563">
        <f>Skills!B20</f>
        <v/>
      </c>
      <c r="C1563">
        <f>Inputs!$B$3&gt;=15</f>
        <v/>
      </c>
      <c r="D1563">
        <f>IF(Skills!C20=1,60+Inputs!$B$25+Inputs!$B$29,IF(Skills!C20=2,90+Inputs!$B$26+Inputs!$B$29,IF(Skills!C20=3,120+Inputs!$B$27+Inputs!$B$29,MAX(0,(Inputs!$B$3-100)*3)+Inputs!$B$28+Inputs!$B$29)))</f>
        <v/>
      </c>
      <c r="E1563">
        <f>INDEX(FactorTable!$B$2:$Y$301, MATCH(ROUND(MIN(300,MAX(1,D1563)),0), FactorTable!$A$2:$A$301,0), Skills!M20+1)</f>
        <v/>
      </c>
      <c r="F1563">
        <f>IF(Skills!N20=TRUE,(Skills!L20/10)*(E1563/1000),Skills!L20/10)+Skills!O20</f>
        <v/>
      </c>
      <c r="G1563">
        <f>Skills!G20*IF(Skills!H20&gt;0,Skills!I20/Skills!H20,1)</f>
        <v/>
      </c>
      <c r="H1563">
        <f>1-(1-Skills!J20/100)^Skills!K20</f>
        <v/>
      </c>
      <c r="I1563" t="inlineStr">
        <is>
          <t>1</t>
        </is>
      </c>
      <c r="J1563" t="inlineStr"/>
      <c r="K1563" t="inlineStr"/>
      <c r="L1563" t="inlineStr"/>
      <c r="M1563" t="inlineStr"/>
      <c r="N1563" t="inlineStr"/>
      <c r="O1563" t="n">
        <v>0</v>
      </c>
      <c r="P1563">
        <f>IF(B1584=0,0,O1563/B1584)</f>
        <v/>
      </c>
      <c r="Q1563" t="n">
        <v>0</v>
      </c>
      <c r="R1563" t="n">
        <v>0</v>
      </c>
      <c r="S1563">
        <f>IFERROR(O1563/N1563,0)</f>
        <v/>
      </c>
    </row>
    <row r="1564">
      <c r="A1564">
        <f>Skills!A21</f>
        <v/>
      </c>
      <c r="B1564">
        <f>Skills!B21</f>
        <v/>
      </c>
      <c r="C1564">
        <f>Inputs!$B$3&gt;=10</f>
        <v/>
      </c>
      <c r="D1564">
        <f>IF(Skills!C21=1,60+Inputs!$B$25+Inputs!$B$29,IF(Skills!C21=2,90+Inputs!$B$26+Inputs!$B$29,IF(Skills!C21=3,120+Inputs!$B$27+Inputs!$B$29,MAX(0,(Inputs!$B$3-100)*3)+Inputs!$B$28+Inputs!$B$29)))</f>
        <v/>
      </c>
      <c r="E1564">
        <f>INDEX(FactorTable!$B$2:$Y$301, MATCH(ROUND(MIN(300,MAX(1,D1564)),0), FactorTable!$A$2:$A$301,0), Skills!M21+1)</f>
        <v/>
      </c>
      <c r="F1564">
        <f>IF(Skills!N21=TRUE,(Skills!L21/10)*(E1564/1000),Skills!L21/10)+Skills!O21</f>
        <v/>
      </c>
      <c r="G1564">
        <f>Skills!G21*IF(Skills!H21&gt;0,Skills!I21/Skills!H21,1)</f>
        <v/>
      </c>
      <c r="H1564">
        <f>1-(1-Skills!J21/100)^Skills!K21</f>
        <v/>
      </c>
      <c r="I1564" t="inlineStr">
        <is>
          <t>1</t>
        </is>
      </c>
      <c r="J1564" t="inlineStr"/>
      <c r="K1564" t="inlineStr"/>
      <c r="L1564" t="inlineStr"/>
      <c r="M1564" t="inlineStr"/>
      <c r="N1564" t="inlineStr"/>
      <c r="O1564" t="n">
        <v>0</v>
      </c>
      <c r="P1564">
        <f>IF(B1584=0,0,O1564/B1584)</f>
        <v/>
      </c>
      <c r="Q1564" t="n">
        <v>0</v>
      </c>
      <c r="R1564" t="n">
        <v>0</v>
      </c>
      <c r="S1564">
        <f>IFERROR(O1564/N1564,0)</f>
        <v/>
      </c>
    </row>
    <row r="1565">
      <c r="A1565">
        <f>Skills!A22</f>
        <v/>
      </c>
      <c r="B1565">
        <f>Skills!B22</f>
        <v/>
      </c>
      <c r="C1565">
        <f>Inputs!$B$3&gt;=33</f>
        <v/>
      </c>
      <c r="D1565">
        <f>IF(Skills!C22=1,60+Inputs!$B$25+Inputs!$B$29,IF(Skills!C22=2,90+Inputs!$B$26+Inputs!$B$29,IF(Skills!C22=3,120+Inputs!$B$27+Inputs!$B$29,MAX(0,(Inputs!$B$3-100)*3)+Inputs!$B$28+Inputs!$B$29)))</f>
        <v/>
      </c>
      <c r="E1565">
        <f>INDEX(FactorTable!$B$2:$Y$301, MATCH(ROUND(MIN(300,MAX(1,D1565)),0), FactorTable!$A$2:$A$301,0), Skills!M22+1)</f>
        <v/>
      </c>
      <c r="F1565">
        <f>IF(Skills!N22=TRUE,(Skills!L22/10)*(E1565/1000),Skills!L22/10)+Skills!O22</f>
        <v/>
      </c>
      <c r="G1565">
        <f>Skills!G22*IF(Skills!H22&gt;0,Skills!I22/Skills!H22,1)</f>
        <v/>
      </c>
      <c r="H1565">
        <f>1-(1-Skills!J22/100)^Skills!K22</f>
        <v/>
      </c>
      <c r="I1565" t="inlineStr">
        <is>
          <t>1</t>
        </is>
      </c>
      <c r="J1565" t="inlineStr"/>
      <c r="K1565" t="inlineStr"/>
      <c r="L1565" t="inlineStr"/>
      <c r="M1565" t="inlineStr"/>
      <c r="N1565" t="inlineStr"/>
      <c r="O1565" t="n">
        <v>0</v>
      </c>
      <c r="P1565">
        <f>IF(B1584=0,0,O1565/B1584)</f>
        <v/>
      </c>
      <c r="Q1565" t="n">
        <v>0</v>
      </c>
      <c r="R1565" t="n">
        <v>0</v>
      </c>
      <c r="S1565">
        <f>IFERROR(O1565/N1565,0)</f>
        <v/>
      </c>
    </row>
    <row r="1566">
      <c r="A1566">
        <f>Skills!A23</f>
        <v/>
      </c>
      <c r="B1566">
        <f>Skills!B23</f>
        <v/>
      </c>
      <c r="C1566">
        <f>Inputs!$B$3&gt;=38</f>
        <v/>
      </c>
      <c r="D1566">
        <f>IF(Skills!C23=1,60+Inputs!$B$25+Inputs!$B$29,IF(Skills!C23=2,90+Inputs!$B$26+Inputs!$B$29,IF(Skills!C23=3,120+Inputs!$B$27+Inputs!$B$29,MAX(0,(Inputs!$B$3-100)*3)+Inputs!$B$28+Inputs!$B$29)))</f>
        <v/>
      </c>
      <c r="E1566">
        <f>INDEX(FactorTable!$B$2:$Y$301, MATCH(ROUND(MIN(300,MAX(1,D1566)),0), FactorTable!$A$2:$A$301,0), Skills!M23+1)</f>
        <v/>
      </c>
      <c r="F1566">
        <f>IF(Skills!N23=TRUE,(Skills!L23/10)*(E1566/1000),Skills!L23/10)+Skills!O23</f>
        <v/>
      </c>
      <c r="G1566">
        <f>Skills!G23*IF(Skills!H23&gt;0,Skills!I23/Skills!H23,1)</f>
        <v/>
      </c>
      <c r="H1566">
        <f>1-(1-Skills!J23/100)^Skills!K23</f>
        <v/>
      </c>
      <c r="I1566" t="inlineStr">
        <is>
          <t>1</t>
        </is>
      </c>
      <c r="J1566" t="inlineStr"/>
      <c r="K1566" t="inlineStr"/>
      <c r="L1566" t="inlineStr"/>
      <c r="M1566" t="inlineStr"/>
      <c r="N1566" t="inlineStr"/>
      <c r="O1566" t="n">
        <v>0</v>
      </c>
      <c r="P1566">
        <f>IF(B1584=0,0,O1566/B1584)</f>
        <v/>
      </c>
      <c r="Q1566" t="n">
        <v>0</v>
      </c>
      <c r="R1566" t="n">
        <v>0</v>
      </c>
      <c r="S1566">
        <f>IFERROR(O1566/N1566,0)</f>
        <v/>
      </c>
    </row>
    <row r="1567">
      <c r="A1567">
        <f>Skills!A24</f>
        <v/>
      </c>
      <c r="B1567">
        <f>Skills!B24</f>
        <v/>
      </c>
      <c r="C1567">
        <f>Inputs!$B$3&gt;=43</f>
        <v/>
      </c>
      <c r="D1567">
        <f>IF(Skills!C24=1,60+Inputs!$B$25+Inputs!$B$29,IF(Skills!C24=2,90+Inputs!$B$26+Inputs!$B$29,IF(Skills!C24=3,120+Inputs!$B$27+Inputs!$B$29,MAX(0,(Inputs!$B$3-100)*3)+Inputs!$B$28+Inputs!$B$29)))</f>
        <v/>
      </c>
      <c r="E1567">
        <f>INDEX(FactorTable!$B$2:$Y$301, MATCH(ROUND(MIN(300,MAX(1,D1567)),0), FactorTable!$A$2:$A$301,0), Skills!M24+1)</f>
        <v/>
      </c>
      <c r="F1567">
        <f>IF(Skills!N24=TRUE,(Skills!L24/10)*(E1567/1000),Skills!L24/10)+Skills!O24</f>
        <v/>
      </c>
      <c r="G1567">
        <f>Skills!G24*IF(Skills!H24&gt;0,Skills!I24/Skills!H24,1)</f>
        <v/>
      </c>
      <c r="H1567">
        <f>1-(1-Skills!J24/100)^Skills!K24</f>
        <v/>
      </c>
      <c r="I1567" t="inlineStr">
        <is>
          <t>1</t>
        </is>
      </c>
      <c r="J1567" t="inlineStr"/>
      <c r="K1567" t="inlineStr"/>
      <c r="L1567" t="inlineStr"/>
      <c r="M1567" t="inlineStr"/>
      <c r="N1567" t="inlineStr"/>
      <c r="O1567" t="n">
        <v>0</v>
      </c>
      <c r="P1567">
        <f>IF(B1584=0,0,O1567/B1584)</f>
        <v/>
      </c>
      <c r="Q1567" t="n">
        <v>0</v>
      </c>
      <c r="R1567" t="n">
        <v>0</v>
      </c>
      <c r="S1567">
        <f>IFERROR(O1567/N1567,0)</f>
        <v/>
      </c>
    </row>
    <row r="1568">
      <c r="A1568">
        <f>Skills!A25</f>
        <v/>
      </c>
      <c r="B1568">
        <f>Skills!B25</f>
        <v/>
      </c>
      <c r="C1568">
        <f>Inputs!$B$3&gt;=75</f>
        <v/>
      </c>
      <c r="D1568">
        <f>IF(Skills!C25=1,60+Inputs!$B$25+Inputs!$B$29,IF(Skills!C25=2,90+Inputs!$B$26+Inputs!$B$29,IF(Skills!C25=3,120+Inputs!$B$27+Inputs!$B$29,MAX(0,(Inputs!$B$3-100)*3)+Inputs!$B$28+Inputs!$B$29)))</f>
        <v/>
      </c>
      <c r="E1568">
        <f>INDEX(FactorTable!$B$2:$Y$301, MATCH(ROUND(MIN(300,MAX(1,D1568)),0), FactorTable!$A$2:$A$301,0), Skills!M25+1)</f>
        <v/>
      </c>
      <c r="F1568">
        <f>IF(Skills!N25=TRUE,(Skills!L25/10)*(E1568/1000),Skills!L25/10)+Skills!O25</f>
        <v/>
      </c>
      <c r="G1568">
        <f>Skills!G25*IF(Skills!H25&gt;0,Skills!I25/Skills!H25,1)</f>
        <v/>
      </c>
      <c r="H1568">
        <f>1-(1-Skills!J25/100)^Skills!K25</f>
        <v/>
      </c>
      <c r="I1568" t="inlineStr">
        <is>
          <t>1</t>
        </is>
      </c>
      <c r="J1568" t="inlineStr"/>
      <c r="K1568" t="inlineStr"/>
      <c r="L1568" t="inlineStr"/>
      <c r="M1568" t="inlineStr"/>
      <c r="N1568" t="inlineStr"/>
      <c r="O1568" t="n">
        <v>0</v>
      </c>
      <c r="P1568">
        <f>IF(B1584=0,0,O1568/B1584)</f>
        <v/>
      </c>
      <c r="Q1568" t="n">
        <v>0</v>
      </c>
      <c r="R1568" t="n">
        <v>0</v>
      </c>
      <c r="S1568">
        <f>IFERROR(O1568/N1568,0)</f>
        <v/>
      </c>
    </row>
    <row r="1569">
      <c r="A1569">
        <f>Skills!A26</f>
        <v/>
      </c>
      <c r="B1569">
        <f>Skills!B26</f>
        <v/>
      </c>
      <c r="C1569">
        <f>Inputs!$B$3&gt;=125</f>
        <v/>
      </c>
      <c r="D1569">
        <f>IF(Skills!C26=1,60+Inputs!$B$25+Inputs!$B$29,IF(Skills!C26=2,90+Inputs!$B$26+Inputs!$B$29,IF(Skills!C26=3,120+Inputs!$B$27+Inputs!$B$29,MAX(0,(Inputs!$B$3-100)*3)+Inputs!$B$28+Inputs!$B$29)))</f>
        <v/>
      </c>
      <c r="E1569">
        <f>INDEX(FactorTable!$B$2:$Y$301, MATCH(ROUND(MIN(300,MAX(1,D1569)),0), FactorTable!$A$2:$A$301,0), Skills!M26+1)</f>
        <v/>
      </c>
      <c r="F1569">
        <f>IF(Skills!N26=TRUE,(Skills!L26/10)*(E1569/1000),Skills!L26/10)+Skills!O26</f>
        <v/>
      </c>
      <c r="G1569">
        <f>Skills!G26*IF(Skills!H26&gt;0,Skills!I26/Skills!H26,1)</f>
        <v/>
      </c>
      <c r="H1569">
        <f>1-(1-Skills!J26/100)^Skills!K26</f>
        <v/>
      </c>
      <c r="I1569" t="inlineStr">
        <is>
          <t>1</t>
        </is>
      </c>
      <c r="J1569" t="inlineStr"/>
      <c r="K1569" t="inlineStr"/>
      <c r="L1569" t="inlineStr"/>
      <c r="M1569" t="inlineStr"/>
      <c r="N1569" t="inlineStr"/>
      <c r="O1569" t="n">
        <v>0</v>
      </c>
      <c r="P1569">
        <f>IF(B1584=0,0,O1569/B1584)</f>
        <v/>
      </c>
      <c r="Q1569" t="n">
        <v>0</v>
      </c>
      <c r="R1569" t="n">
        <v>0</v>
      </c>
      <c r="S1569">
        <f>IFERROR(O1569/N1569,0)</f>
        <v/>
      </c>
    </row>
    <row r="1570">
      <c r="A1570">
        <f>Skills!A27</f>
        <v/>
      </c>
      <c r="B1570">
        <f>Skills!B27</f>
        <v/>
      </c>
      <c r="C1570">
        <f>Inputs!$B$3&gt;=125</f>
        <v/>
      </c>
      <c r="D1570">
        <f>IF(Skills!C27=1,60+Inputs!$B$25+Inputs!$B$29,IF(Skills!C27=2,90+Inputs!$B$26+Inputs!$B$29,IF(Skills!C27=3,120+Inputs!$B$27+Inputs!$B$29,MAX(0,(Inputs!$B$3-100)*3)+Inputs!$B$28+Inputs!$B$29)))</f>
        <v/>
      </c>
      <c r="E1570">
        <f>INDEX(FactorTable!$B$2:$Y$301, MATCH(ROUND(MIN(300,MAX(1,D1570)),0), FactorTable!$A$2:$A$301,0), Skills!M27+1)</f>
        <v/>
      </c>
      <c r="F1570">
        <f>IF(Skills!N27=TRUE,(Skills!L27/10)*(E1570/1000),Skills!L27/10)+Skills!O27</f>
        <v/>
      </c>
      <c r="G1570">
        <f>Skills!G27*IF(Skills!H27&gt;0,Skills!I27/Skills!H27,1)</f>
        <v/>
      </c>
      <c r="H1570">
        <f>1-(1-Skills!J27/100)^Skills!K27</f>
        <v/>
      </c>
      <c r="I1570" t="inlineStr">
        <is>
          <t>1</t>
        </is>
      </c>
      <c r="J1570" t="inlineStr"/>
      <c r="K1570" t="inlineStr"/>
      <c r="L1570" t="inlineStr"/>
      <c r="M1570" t="inlineStr"/>
      <c r="N1570" t="inlineStr"/>
      <c r="O1570" t="n">
        <v>0</v>
      </c>
      <c r="P1570">
        <f>IF(B1584=0,0,O1570/B1584)</f>
        <v/>
      </c>
      <c r="Q1570" t="n">
        <v>0</v>
      </c>
      <c r="R1570" t="n">
        <v>0</v>
      </c>
      <c r="S1570">
        <f>IFERROR(O1570/N1570,0)</f>
        <v/>
      </c>
    </row>
    <row r="1571">
      <c r="A1571">
        <f>Skills!A28</f>
        <v/>
      </c>
      <c r="B1571">
        <f>Skills!B28</f>
        <v/>
      </c>
      <c r="C1571">
        <f>Inputs!$B$3&gt;=120</f>
        <v/>
      </c>
      <c r="D1571">
        <f>IF(Skills!C28=1,60+Inputs!$B$25+Inputs!$B$29,IF(Skills!C28=2,90+Inputs!$B$26+Inputs!$B$29,IF(Skills!C28=3,120+Inputs!$B$27+Inputs!$B$29,MAX(0,(Inputs!$B$3-100)*3)+Inputs!$B$28+Inputs!$B$29)))</f>
        <v/>
      </c>
      <c r="E1571">
        <f>INDEX(FactorTable!$B$2:$Y$301, MATCH(ROUND(MIN(300,MAX(1,D1571)),0), FactorTable!$A$2:$A$301,0), Skills!M28+1)</f>
        <v/>
      </c>
      <c r="F1571">
        <f>IF(Skills!N28=TRUE,(Skills!L28/10)*(E1571/1000),Skills!L28/10)+Skills!O28</f>
        <v/>
      </c>
      <c r="G1571">
        <f>Skills!G28*IF(Skills!H28&gt;0,Skills!I28/Skills!H28,1)</f>
        <v/>
      </c>
      <c r="H1571">
        <f>1-(1-Skills!J28/100)^Skills!K28</f>
        <v/>
      </c>
      <c r="I1571" t="inlineStr">
        <is>
          <t>1</t>
        </is>
      </c>
      <c r="J1571" t="inlineStr"/>
      <c r="K1571" t="inlineStr"/>
      <c r="L1571" t="inlineStr"/>
      <c r="M1571" t="inlineStr"/>
      <c r="N1571" t="inlineStr"/>
      <c r="O1571" t="n">
        <v>0</v>
      </c>
      <c r="P1571">
        <f>IF(B1584=0,0,O1571/B1584)</f>
        <v/>
      </c>
      <c r="Q1571" t="n">
        <v>0</v>
      </c>
      <c r="R1571" t="n">
        <v>0</v>
      </c>
      <c r="S1571">
        <f>IFERROR(O1571/N1571,0)</f>
        <v/>
      </c>
    </row>
    <row r="1572">
      <c r="A1572">
        <f>Skills!A29</f>
        <v/>
      </c>
      <c r="B1572">
        <f>Skills!B29</f>
        <v/>
      </c>
      <c r="C1572">
        <f>Inputs!$B$3&gt;=120</f>
        <v/>
      </c>
      <c r="D1572">
        <f>IF(Skills!C29=1,60+Inputs!$B$25+Inputs!$B$29,IF(Skills!C29=2,90+Inputs!$B$26+Inputs!$B$29,IF(Skills!C29=3,120+Inputs!$B$27+Inputs!$B$29,MAX(0,(Inputs!$B$3-100)*3)+Inputs!$B$28+Inputs!$B$29)))</f>
        <v/>
      </c>
      <c r="E1572">
        <f>INDEX(FactorTable!$B$2:$Y$301, MATCH(ROUND(MIN(300,MAX(1,D1572)),0), FactorTable!$A$2:$A$301,0), Skills!M29+1)</f>
        <v/>
      </c>
      <c r="F1572">
        <f>IF(Skills!N29=TRUE,(Skills!L29/10)*(E1572/1000),Skills!L29/10)+Skills!O29</f>
        <v/>
      </c>
      <c r="G1572">
        <f>Skills!G29*IF(Skills!H29&gt;0,Skills!I29/Skills!H29,1)</f>
        <v/>
      </c>
      <c r="H1572">
        <f>1-(1-Skills!J29/100)^Skills!K29</f>
        <v/>
      </c>
      <c r="I1572" t="inlineStr">
        <is>
          <t>1</t>
        </is>
      </c>
      <c r="J1572" t="inlineStr"/>
      <c r="K1572" t="inlineStr"/>
      <c r="L1572" t="inlineStr"/>
      <c r="M1572" t="inlineStr"/>
      <c r="N1572" t="inlineStr"/>
      <c r="O1572" t="n">
        <v>0</v>
      </c>
      <c r="P1572">
        <f>IF(B1584=0,0,O1572/B1584)</f>
        <v/>
      </c>
      <c r="Q1572" t="n">
        <v>0</v>
      </c>
      <c r="R1572" t="n">
        <v>0</v>
      </c>
      <c r="S1572">
        <f>IFERROR(O1572/N1572,0)</f>
        <v/>
      </c>
    </row>
    <row r="1573">
      <c r="A1573">
        <f>Skills!A30</f>
        <v/>
      </c>
      <c r="B1573">
        <f>Skills!B30</f>
        <v/>
      </c>
      <c r="C1573">
        <f>Inputs!$B$3&gt;=45</f>
        <v/>
      </c>
      <c r="D1573">
        <f>IF(Skills!C30=1,60+Inputs!$B$25+Inputs!$B$29,IF(Skills!C30=2,90+Inputs!$B$26+Inputs!$B$29,IF(Skills!C30=3,120+Inputs!$B$27+Inputs!$B$29,MAX(0,(Inputs!$B$3-100)*3)+Inputs!$B$28+Inputs!$B$29)))</f>
        <v/>
      </c>
      <c r="E1573">
        <f>INDEX(FactorTable!$B$2:$Y$301, MATCH(ROUND(MIN(300,MAX(1,D1573)),0), FactorTable!$A$2:$A$301,0), Skills!M30+1)</f>
        <v/>
      </c>
      <c r="F1573">
        <f>IF(Skills!N30=TRUE,(Skills!L30/10)*(E1573/1000),Skills!L30/10)+Skills!O30</f>
        <v/>
      </c>
      <c r="G1573">
        <f>Skills!G30*IF(Skills!H30&gt;0,Skills!I30/Skills!H30,1)</f>
        <v/>
      </c>
      <c r="H1573">
        <f>1-(1-Skills!J30/100)^Skills!K30</f>
        <v/>
      </c>
      <c r="I1573" t="inlineStr">
        <is>
          <t>1</t>
        </is>
      </c>
      <c r="J1573" t="inlineStr"/>
      <c r="K1573" t="inlineStr"/>
      <c r="L1573" t="inlineStr"/>
      <c r="M1573" t="inlineStr"/>
      <c r="N1573" t="inlineStr"/>
      <c r="O1573" t="n">
        <v>0</v>
      </c>
      <c r="P1573">
        <f>IF(B1584=0,0,O1573/B1584)</f>
        <v/>
      </c>
      <c r="Q1573" t="n">
        <v>0</v>
      </c>
      <c r="R1573" t="n">
        <v>0</v>
      </c>
      <c r="S1573">
        <f>IFERROR(O1573/N1573,0)</f>
        <v/>
      </c>
    </row>
    <row r="1575">
      <c r="A1575" t="inlineStr">
        <is>
          <t>Attack% Bucket Multiplier</t>
        </is>
      </c>
      <c r="B1575">
        <f>(1+(((C1556=TRUE)*F1556)+((C1557=TRUE)*IF(Inputs!$B$38="pvp",F1557,(1-Summary!$B$55)*(F1557)+Summary!$B$55*(0)))+((C1558=TRUE)*F1558*IF(AND(Inputs!$B$38&lt;&gt;"pvp",Inputs!$B$43&gt;0),(((R1558-1)*(Skills!T15*(1+Inputs!$B$34/100))+MIN((Skills!T15*(1+Inputs!$B$34/100)),MAX(0,Inputs!$B$43-((R1558-1)*Skills!D15))))/Inputs!$B$43),IF(Inputs!$B$38="pvp",MIN((Skills!T15*(1+Inputs!$B$34/100)),15)/15,(Skills!T15*(1+Inputs!$B$34/100))/Skills!D15)))+((C1573=TRUE)*(F1573-Calc!F30)))/100)</f>
        <v/>
      </c>
    </row>
    <row r="1576">
      <c r="A1576" t="inlineStr">
        <is>
          <t>Global Crit Rate Bonus %</t>
        </is>
      </c>
      <c r="B1576">
        <f>(C1559=TRUE)*20*IF(AND(Inputs!$B$38&lt;&gt;"pvp",Inputs!$B$43&gt;0),(((R1559-1)*(Skills!T16*(1+Inputs!$B$34/100))+MIN((Skills!T16*(1+Inputs!$B$34/100)),MAX(0,Inputs!$B$43-((R1559-1)*Skills!D16))))/Inputs!$B$43),IF(Inputs!$B$38="pvp",MIN((Skills!T16*(1+Inputs!$B$34/100)),15)/15,(Skills!T16*(1+Inputs!$B$34/100))/Skills!D16))</f>
        <v/>
      </c>
    </row>
    <row r="1577">
      <c r="A1577" t="inlineStr">
        <is>
          <t>Attack Speed Buff Bonus %</t>
        </is>
      </c>
      <c r="B1577">
        <f>((C1562=TRUE)*F1562*IF(AND(Inputs!$B$38&lt;&gt;"pvp",Inputs!$B$43&gt;0),(((R1562-1)*(Skills!T19*(1+Inputs!$B$34/100))+MIN((Skills!T19*(1+Inputs!$B$34/100)),MAX(0,Inputs!$B$43-((R1562-1)*Skills!D19))))/Inputs!$B$43),IF(Inputs!$B$38="pvp",MIN((Skills!T19*(1+Inputs!$B$34/100)),15)/15,(Skills!T19*(1+Inputs!$B$34/100))/Skills!D19)))</f>
        <v/>
      </c>
    </row>
    <row r="1578">
      <c r="A1578" t="inlineStr">
        <is>
          <t>Actions Per Second</t>
        </is>
      </c>
      <c r="B1578">
        <f>1+MIN(150,150*(1-(1-(Inputs!$B$11+((C1564=TRUE)*(F1564-Calc!F21))+((C1565=TRUE)*(F1565-Calc!F22)))/150)*(1-B1577/150)))/100</f>
        <v/>
      </c>
    </row>
    <row r="1579">
      <c r="A1579" t="inlineStr">
        <is>
          <t>Skill + Buff Cast Rate</t>
        </is>
      </c>
      <c r="B1579">
        <f>IF(AND(Inputs!$B$38&lt;&gt;"pvp",Inputs!$B$43&gt;0),SUMPRODUCT((Skills!E2:E30=TRUE)*(C1545:C1573=TRUE)*R1545:R1573*Skills!F2:F30)/Inputs!$B$43,SUMPRODUCT((Skills!E2:E30=TRUE)*(C1545:C1573=TRUE)*Q1545:Q1573*Skills!F2:F30))</f>
        <v/>
      </c>
    </row>
    <row r="1580">
      <c r="A1580" t="inlineStr">
        <is>
          <t>Arrow Stream Casts Per Second</t>
        </is>
      </c>
      <c r="B1580">
        <f>MAX(0,B1578-B1579)</f>
        <v/>
      </c>
    </row>
    <row r="1581">
      <c r="A1581" t="inlineStr">
        <is>
          <t>Global Critical Damage Bonus % (Sharp Eyes + Concentration)</t>
        </is>
      </c>
      <c r="B1581">
        <f>(C1559=TRUE)*F1559*IF(AND(Inputs!$B$38&lt;&gt;"pvp",Inputs!$B$43&gt;0),(((R1559-1)*(Skills!T16*(1+Inputs!$B$34/100))+MIN((Skills!T16*(1+Inputs!$B$34/100)),MAX(0,Inputs!$B$43-((R1559-1)*Skills!D16))))/Inputs!$B$43),IF(Inputs!$B$38="pvp",MIN((Skills!T16*(1+Inputs!$B$34/100)),15)/15,(Skills!T16*(1+Inputs!$B$34/100))/Skills!D16))+(C1560=TRUE)*30</f>
        <v/>
      </c>
    </row>
    <row r="1582">
      <c r="A1582" t="inlineStr">
        <is>
          <t>Global Final Damage Bonus % (Mortal Blow)</t>
        </is>
      </c>
      <c r="B1582">
        <f>(C1561=TRUE)*F1561</f>
        <v/>
      </c>
    </row>
    <row r="1583">
      <c r="A1583" t="inlineStr">
        <is>
          <t>Buff-Casting Startup Delay (s, fixed-duration only)</t>
        </is>
      </c>
      <c r="B1583">
        <f>IF(AND(Inputs!$B$38&lt;&gt;"pvp",Inputs!$B$43&gt;0),SUMPRODUCT((Skills!T2:T30&gt;0)*(Skills!E2:E30=TRUE)*(C1545:C1573=TRUE))/B1578,0)</f>
        <v/>
      </c>
    </row>
    <row r="1584">
      <c r="A1584" s="5" t="inlineStr">
        <is>
          <t>TOTAL DPS</t>
        </is>
      </c>
      <c r="B1584" s="5">
        <f>SUM(O1545:O1573)</f>
        <v/>
      </c>
    </row>
    <row r="1587">
      <c r="A1587" s="5" t="inlineStr">
        <is>
          <t>Stat: CDR = 5.0s</t>
        </is>
      </c>
    </row>
    <row r="1588">
      <c r="A1588" s="9" t="inlineStr">
        <is>
          <t>Key</t>
        </is>
      </c>
      <c r="B1588" s="9" t="inlineStr">
        <is>
          <t>Name</t>
        </is>
      </c>
      <c r="C1588" s="9" t="inlineStr">
        <is>
          <t>Unlocked</t>
        </is>
      </c>
      <c r="D1588" s="9" t="inlineStr">
        <is>
          <t>InputLevel</t>
        </is>
      </c>
      <c r="E1588" s="9" t="inlineStr">
        <is>
          <t>Factor</t>
        </is>
      </c>
      <c r="F1588" s="9" t="inlineStr">
        <is>
          <t>CoefficientPercent</t>
        </is>
      </c>
      <c r="G1588" s="9" t="inlineStr">
        <is>
          <t>EffectiveHits</t>
        </is>
      </c>
      <c r="H1588" s="9" t="inlineStr">
        <is>
          <t>ProcProbability</t>
        </is>
      </c>
      <c r="I1588" s="9" t="inlineStr">
        <is>
          <t>MapleHeroMultiplier</t>
        </is>
      </c>
      <c r="J1588" s="9" t="inlineStr">
        <is>
          <t>BaseDamage</t>
        </is>
      </c>
      <c r="K1588" s="9" t="inlineStr">
        <is>
          <t>BaseHitDamage</t>
        </is>
      </c>
      <c r="L1588" s="9" t="inlineStr">
        <is>
          <t>NonCritAvg</t>
        </is>
      </c>
      <c r="M1588" s="9" t="inlineStr">
        <is>
          <t>CritAvg</t>
        </is>
      </c>
      <c r="N1588" s="9" t="inlineStr">
        <is>
          <t>ExpectedDamage(perHit)</t>
        </is>
      </c>
      <c r="O1588" s="9" t="inlineStr">
        <is>
          <t>DPS</t>
        </is>
      </c>
      <c r="P1588" s="9" t="inlineStr">
        <is>
          <t>% of Total</t>
        </is>
      </c>
      <c r="Q1588" s="9" t="inlineStr">
        <is>
          <t>InvCooldown</t>
        </is>
      </c>
      <c r="R1588" s="9" t="inlineStr">
        <is>
          <t>CastsInFight</t>
        </is>
      </c>
      <c r="S1588" s="9" t="inlineStr">
        <is>
          <t>HitRate(perSec)</t>
        </is>
      </c>
      <c r="U1588" t="inlineStr">
        <is>
          <t>helpers</t>
        </is>
      </c>
    </row>
    <row r="1589">
      <c r="A1589">
        <f>Skills!A2</f>
        <v/>
      </c>
      <c r="B1589">
        <f>Skills!B2</f>
        <v/>
      </c>
      <c r="C1589">
        <f>Inputs!$B$3&gt;=100</f>
        <v/>
      </c>
      <c r="D1589" t="inlineStr"/>
      <c r="E1589" t="inlineStr"/>
      <c r="F1589">
        <f>U1591+Skills!O2</f>
        <v/>
      </c>
      <c r="G1589">
        <f>Skills!G2*IF(Skills!H2&gt;0,Skills!I2/Skills!H2,1)</f>
        <v/>
      </c>
      <c r="H1589">
        <f>1-(1-Skills!J2/100)^Skills!K2</f>
        <v/>
      </c>
      <c r="I1589" t="inlineStr">
        <is>
          <t>1</t>
        </is>
      </c>
      <c r="J1589">
        <f>((Inputs!$B$6*(1+Inputs!$B$7/100))+(((Inputs!$B$12*(1+Inputs!$B$13/100))-(Inputs!$B$12*(1+Inputs!$B$13/100)))+0.25*(Inputs!$B$14-Inputs!$B$14))*(1+Inputs!$B$7/100))*(F1589/100)</f>
        <v/>
      </c>
      <c r="K1589">
        <f>J1589*(1+((Inputs!$B$12*(1+Inputs!$B$13/100))*0.01+Inputs!$B$14*0.0025)/100)*(1+Inputs!$B$15/100)*(1+IF(Inputs!$B$38="pvp",0,(1-Summary!$B$55)*(Inputs!$B$20+0+Skills!P2)+Summary!$B$55*(Inputs!$B$21+Skills!Q2))/100)*(1+Inputs!$B$16/100)*(5000/(6000+Inputs!$B$42*(1-(Inputs!$B$19+((C1614=TRUE)*(F1614-Calc!F27)))/100)))*(1+(Inputs!$B$24+((C1612=TRUE)*(F1612-Calc!F25))+((C1613=TRUE)*(F1613-Calc!F26))+B1626)/100)*(1+(IF(Skills!A2="ARROW_STREAM",Inputs!$B$17+((C1610=TRUE)*(F1610-Calc!F23)),Inputs!$B$18+((C1615=TRUE)*(F1615-Calc!F28))))/100)*((1+(((C1600=TRUE)*F1600)+((C1601=TRUE)*IF(Inputs!$B$38="pvp",F1601,(1-Summary!$B$55)*(F1601)+Summary!$B$55*(0)))+((C1602=TRUE)*F1602*IF(AND(Inputs!$B$38&lt;&gt;"pvp",Inputs!$B$43&gt;0),(((R1602-1)*(Skills!T15*(1+Inputs!$B$34/100))+MIN((Skills!T15*(1+Inputs!$B$34/100)),MAX(0,Inputs!$B$43-((R1602-1)*Skills!D15))))/Inputs!$B$43),IF(Inputs!$B$38="pvp",MIN((Skills!T15*(1+Inputs!$B$34/100)),15)/15,(Skills!T15*(1+Inputs!$B$34/100))/Skills!D15)))+((C1617=TRUE)*(F1617-Calc!F30)))/100)*I1589)</f>
        <v/>
      </c>
      <c r="L1589">
        <f>K1589*(MIN(Inputs!$B$22+((C1611=TRUE)*(F1611-Calc!F24)),Inputs!$B$23+((C1616=TRUE)*(F1616-Calc!F29)))/100+(Inputs!$B$23+((C1616=TRUE)*(F1616-Calc!F29)))/100)/2</f>
        <v/>
      </c>
      <c r="M1589">
        <f>L1589*(1+(Inputs!$B$10+0+B1625)/100)</f>
        <v/>
      </c>
      <c r="N1589">
        <f>L1589*(1-MIN((Inputs!$B$9+((C1607=TRUE)*(F1607-Calc!F20))+B1620),100)/100)+M1589*(MIN((Inputs!$B$9+((C1607=TRUE)*(F1607-Calc!F20))+B1620),100)/100)</f>
        <v/>
      </c>
      <c r="O1589">
        <f>IF(C1589,Skills!G2*N1589*B1624*IF(Inputs!$B$38="pvp",1,(1-Summary!$B$55)*(1)+Summary!$B$55*(MIN((6+Inputs!$B$33),Inputs!$B$37))),0)</f>
        <v/>
      </c>
      <c r="P1589">
        <f>IF(B1628=0,0,O1589/B1628)</f>
        <v/>
      </c>
      <c r="Q1589" t="n">
        <v>0</v>
      </c>
      <c r="R1589" t="n">
        <v>0</v>
      </c>
      <c r="S1589">
        <f>IFERROR(O1589/N1589,0)</f>
        <v/>
      </c>
      <c r="U1589">
        <f>MAX(0,(Inputs!$B$3-100)*3)+Inputs!$B$28+Inputs!$B$29</f>
        <v/>
      </c>
    </row>
    <row r="1590">
      <c r="A1590">
        <f>Skills!A3</f>
        <v/>
      </c>
      <c r="B1590">
        <f>Skills!B3</f>
        <v/>
      </c>
      <c r="C1590">
        <f>Inputs!$B$3&gt;=50</f>
        <v/>
      </c>
      <c r="D1590">
        <f>IF(Skills!C3=1,60+Inputs!$B$25+Inputs!$B$29,IF(Skills!C3=2,90+Inputs!$B$26+Inputs!$B$29,IF(Skills!C3=3,120+Inputs!$B$27+Inputs!$B$29,MAX(0,(Inputs!$B$3-100)*3)+Inputs!$B$28+Inputs!$B$29)))</f>
        <v/>
      </c>
      <c r="E1590">
        <f>INDEX(FactorTable!$B$2:$Y$301, MATCH(ROUND(MIN(300,MAX(1,D1590)),0), FactorTable!$A$2:$A$301,0), Skills!M3+1)</f>
        <v/>
      </c>
      <c r="F1590">
        <f>IF(Skills!N3=TRUE,(Skills!L3/10)*(E1590/1000),Skills!L3/10)+Skills!O3</f>
        <v/>
      </c>
      <c r="G1590" t="inlineStr"/>
      <c r="H1590" t="inlineStr"/>
      <c r="I1590" t="inlineStr">
        <is>
          <t>1</t>
        </is>
      </c>
      <c r="J1590" t="inlineStr"/>
      <c r="K1590" t="inlineStr"/>
      <c r="L1590" t="inlineStr"/>
      <c r="M1590" t="inlineStr"/>
      <c r="N1590" t="inlineStr"/>
      <c r="O1590" t="inlineStr"/>
      <c r="P1590" t="inlineStr"/>
      <c r="Q1590" t="inlineStr"/>
      <c r="R1590" t="inlineStr"/>
      <c r="S1590" t="inlineStr"/>
      <c r="U1590">
        <f>INDEX(FactorTable!$B$2:$Y$301, MATCH(ROUND(MIN(300,MAX(1,U1589)),0), FactorTable!$A$2:$A$301,0), 22)</f>
        <v/>
      </c>
    </row>
    <row r="1591">
      <c r="A1591">
        <f>Skills!A4</f>
        <v/>
      </c>
      <c r="B1591">
        <f>Skills!B4</f>
        <v/>
      </c>
      <c r="C1591">
        <f>Inputs!$B$3&gt;=105</f>
        <v/>
      </c>
      <c r="D1591">
        <f>IF(Skills!C4=1,60+Inputs!$B$25+Inputs!$B$29,IF(Skills!C4=2,90+Inputs!$B$26+Inputs!$B$29,IF(Skills!C4=3,120+Inputs!$B$27+Inputs!$B$29,MAX(0,(Inputs!$B$3-100)*3)+Inputs!$B$28+Inputs!$B$29)))</f>
        <v/>
      </c>
      <c r="E1591">
        <f>INDEX(FactorTable!$B$2:$Y$301, MATCH(ROUND(MIN(300,MAX(1,D1591)),0), FactorTable!$A$2:$A$301,0), Skills!M4+1)</f>
        <v/>
      </c>
      <c r="F1591">
        <f>IF(Skills!N4=TRUE,(Skills!L4/10)*(E1591/1000),Skills!L4/10)+Skills!O4</f>
        <v/>
      </c>
      <c r="G1591" t="inlineStr"/>
      <c r="H1591" t="inlineStr"/>
      <c r="I1591" t="inlineStr">
        <is>
          <t>1</t>
        </is>
      </c>
      <c r="J1591" t="inlineStr"/>
      <c r="K1591" t="inlineStr"/>
      <c r="L1591" t="inlineStr"/>
      <c r="M1591" t="inlineStr"/>
      <c r="N1591" t="inlineStr"/>
      <c r="O1591" t="inlineStr"/>
      <c r="P1591" t="inlineStr"/>
      <c r="Q1591" t="inlineStr"/>
      <c r="R1591" t="inlineStr"/>
      <c r="S1591" t="inlineStr"/>
      <c r="U1591">
        <f>290*U1590/1000</f>
        <v/>
      </c>
    </row>
    <row r="1592">
      <c r="A1592">
        <f>Skills!A5</f>
        <v/>
      </c>
      <c r="B1592">
        <f>Skills!B5</f>
        <v/>
      </c>
      <c r="C1592">
        <f>Inputs!$B$3&gt;=35</f>
        <v/>
      </c>
      <c r="D1592">
        <f>IF(Skills!C5=1,60+Inputs!$B$25+Inputs!$B$29,IF(Skills!C5=2,90+Inputs!$B$26+Inputs!$B$29,IF(Skills!C5=3,120+Inputs!$B$27+Inputs!$B$29,MAX(0,(Inputs!$B$3-100)*3)+Inputs!$B$28+Inputs!$B$29)))</f>
        <v/>
      </c>
      <c r="E1592">
        <f>INDEX(FactorTable!$B$2:$Y$301, MATCH(ROUND(MIN(300,MAX(1,D1592)),0), FactorTable!$A$2:$A$301,0), Skills!M5+1)</f>
        <v/>
      </c>
      <c r="F1592">
        <f>IF(Skills!N5=TRUE,(Skills!L5/10)*(E1592/1000),Skills!L5/10)+Skills!O5</f>
        <v/>
      </c>
      <c r="G1592">
        <f>Skills!G5*IF(Skills!H5&gt;0,Skills!I5/Skills!H5,1)</f>
        <v/>
      </c>
      <c r="H1592">
        <f>1-(1-Skills!J5/100)^Skills!K5</f>
        <v/>
      </c>
      <c r="I1592" t="inlineStr">
        <is>
          <t>1</t>
        </is>
      </c>
      <c r="J1592">
        <f>((Inputs!$B$6*(1+Inputs!$B$7/100))+(((Inputs!$B$12*(1+Inputs!$B$13/100))-(Inputs!$B$12*(1+Inputs!$B$13/100)))+0.25*(Inputs!$B$14-Inputs!$B$14))*(1+Inputs!$B$7/100))*(F1592/100)</f>
        <v/>
      </c>
      <c r="K1592">
        <f>J1592*(1+((Inputs!$B$12*(1+Inputs!$B$13/100))*0.01+Inputs!$B$14*0.0025)/100)*(1+Inputs!$B$15/100)*(1+IF(Inputs!$B$38="pvp",0,(1-Summary!$B$55)*(Inputs!$B$20+0+Skills!P5)+Summary!$B$55*(Inputs!$B$21+Skills!Q5))/100)*(1+Inputs!$B$16/100)*(5000/(6000+Inputs!$B$42*(1-(Inputs!$B$19+((C1614=TRUE)*(F1614-Calc!F27)))/100)))*(1+(Inputs!$B$24+((C1612=TRUE)*(F1612-Calc!F25))+((C1613=TRUE)*(F1613-Calc!F26))+B1626)/100)*(1+4.0*IF(C1597=TRUE,F1597,0)/100)*(1+(IF(Skills!A5="ARROW_STREAM",Inputs!$B$17+((C1610=TRUE)*(F1610-Calc!F23)),Inputs!$B$18+((C1615=TRUE)*(F1615-Calc!F28))))/100)*((1+(((C1600=TRUE)*F1600)+((C1601=TRUE)*IF(Inputs!$B$38="pvp",F1601,(1-Summary!$B$55)*(F1601)+Summary!$B$55*(0)))+((C1602=TRUE)*F1602*IF(AND(Inputs!$B$38&lt;&gt;"pvp",Inputs!$B$43&gt;0),(((R1602-1)*(Skills!T15*(1+Inputs!$B$34/100))+MIN((Skills!T15*(1+Inputs!$B$34/100)),MAX(0,Inputs!$B$43-((R1602-1)*Skills!D15))))/Inputs!$B$43),IF(Inputs!$B$38="pvp",MIN((Skills!T15*(1+Inputs!$B$34/100)),15)/15,(Skills!T15*(1+Inputs!$B$34/100))/Skills!D15)))+((C1617=TRUE)*(F1617-Calc!F30)))/100)*I1592)</f>
        <v/>
      </c>
      <c r="L1592">
        <f>K1592*(MIN(Inputs!$B$22+((C1611=TRUE)*(F1611-Calc!F24)),Inputs!$B$23+((C1616=TRUE)*(F1616-Calc!F29)))/100+(Inputs!$B$23+((C1616=TRUE)*(F1616-Calc!F29)))/100)/2</f>
        <v/>
      </c>
      <c r="M1592">
        <f>L1592*(1+(Inputs!$B$10+0+B1625)/100)</f>
        <v/>
      </c>
      <c r="N1592">
        <f>L1592*(1-MIN((Inputs!$B$9+((C1607=TRUE)*(F1607-Calc!F20))+B1620),100)/100)+M1592*(MIN((Inputs!$B$9+((C1607=TRUE)*(F1607-Calc!F20))+B1620),100)/100)</f>
        <v/>
      </c>
      <c r="O1592">
        <f>IF(C1592,H1592*N1592*IF(AND(Inputs!$B$38&lt;&gt;"pvp",Inputs!$B$43&gt;0),((Skills!G5*((R1592-1)*IF(Skills!H5&gt;0,Skills!I5/Skills!H5,1)+IF(Skills!H5&gt;0,MIN(Skills!I5,MAX(0,MAX(0,Inputs!$B$43-B1627)-((R1592-1)*IF(Inputs!$B$38="pvp",15,MAX(0.1,Skills!D5-IF(Skills!E5=TRUE,5.0,0))))))/Skills!H5,1)))/Inputs!$B$43),G1592*Q1592)*IF(Inputs!$B$38="pvp",1,(1-Summary!$B$55)*(1)+Summary!$B$55*(MIN(Skills!R5,Inputs!$B$37))),0)</f>
        <v/>
      </c>
      <c r="P1592">
        <f>IF(B1628=0,0,O1592/B1628)</f>
        <v/>
      </c>
      <c r="Q1592">
        <f>IFERROR(1/IF(Inputs!$B$38="pvp",15,MAX(0.1,Skills!D5-IF(Skills!E5=TRUE,5.0,0))),0)</f>
        <v/>
      </c>
      <c r="R1592">
        <f>IF(AND(Inputs!$B$38&lt;&gt;"pvp",Inputs!$B$43&gt;0),IF(MAX(0,Inputs!$B$43-B1627)&lt;=0,0,(INT(MAX(0,Inputs!$B$43-B1627)/IF(Inputs!$B$38="pvp",15,MAX(0.1,Skills!D5-IF(Skills!E5=TRUE,5.0,0))))+1)),0)</f>
        <v/>
      </c>
      <c r="S1592">
        <f>IFERROR(O1592/N1592,0)</f>
        <v/>
      </c>
    </row>
    <row r="1593">
      <c r="A1593">
        <f>Skills!A6</f>
        <v/>
      </c>
      <c r="B1593">
        <f>Skills!B6</f>
        <v/>
      </c>
      <c r="C1593">
        <f>Inputs!$B$3&gt;=40</f>
        <v/>
      </c>
      <c r="D1593">
        <f>IF(Skills!C6=1,60+Inputs!$B$25+Inputs!$B$29,IF(Skills!C6=2,90+Inputs!$B$26+Inputs!$B$29,IF(Skills!C6=3,120+Inputs!$B$27+Inputs!$B$29,MAX(0,(Inputs!$B$3-100)*3)+Inputs!$B$28+Inputs!$B$29)))</f>
        <v/>
      </c>
      <c r="E1593">
        <f>INDEX(FactorTable!$B$2:$Y$301, MATCH(ROUND(MIN(300,MAX(1,D1593)),0), FactorTable!$A$2:$A$301,0), Skills!M6+1)</f>
        <v/>
      </c>
      <c r="F1593">
        <f>IF(Skills!N6=TRUE,(Skills!L6/10)*(E1593/1000),Skills!L6/10)+Skills!O6</f>
        <v/>
      </c>
      <c r="G1593">
        <f>Skills!G6*IF(Skills!H6&gt;0,Skills!I6/Skills!H6,1)</f>
        <v/>
      </c>
      <c r="H1593">
        <f>1-(1-Skills!J6/100)^Skills!K6</f>
        <v/>
      </c>
      <c r="I1593" t="inlineStr">
        <is>
          <t>1</t>
        </is>
      </c>
      <c r="J1593">
        <f>((Inputs!$B$6*(1+Inputs!$B$7/100))+(((Inputs!$B$12*(1+Inputs!$B$13/100))-(Inputs!$B$12*(1+Inputs!$B$13/100)))+0.25*(Inputs!$B$14-Inputs!$B$14))*(1+Inputs!$B$7/100))*(F1593/100)</f>
        <v/>
      </c>
      <c r="K1593">
        <f>J1593*(1+((Inputs!$B$12*(1+Inputs!$B$13/100))*0.01+Inputs!$B$14*0.0025)/100)*(1+Inputs!$B$15/100)*(1+IF(Inputs!$B$38="pvp",0,(1-Summary!$B$55)*(Inputs!$B$20+0+Skills!P6)+Summary!$B$55*(Inputs!$B$21+Skills!Q6))/100)*(1+Inputs!$B$16/100)*(5000/(6000+Inputs!$B$42*(1-(Inputs!$B$19+((C1614=TRUE)*(F1614-Calc!F27)))/100)))*(1+(Inputs!$B$24+((C1612=TRUE)*(F1612-Calc!F25))+((C1613=TRUE)*(F1613-Calc!F26))+B1626)/100)*(1+IF(C1594=TRUE,F1594,0)/100)*(1+(IF(Skills!A6="ARROW_STREAM",Inputs!$B$17+((C1610=TRUE)*(F1610-Calc!F23)),Inputs!$B$18+((C1615=TRUE)*(F1615-Calc!F28))))/100)*((1+(((C1600=TRUE)*F1600)+((C1601=TRUE)*IF(Inputs!$B$38="pvp",F1601,(1-Summary!$B$55)*(F1601)+Summary!$B$55*(0)))+((C1602=TRUE)*F1602*IF(AND(Inputs!$B$38&lt;&gt;"pvp",Inputs!$B$43&gt;0),(((R1602-1)*(Skills!T15*(1+Inputs!$B$34/100))+MIN((Skills!T15*(1+Inputs!$B$34/100)),MAX(0,Inputs!$B$43-((R1602-1)*Skills!D15))))/Inputs!$B$43),IF(Inputs!$B$38="pvp",MIN((Skills!T15*(1+Inputs!$B$34/100)),15)/15,(Skills!T15*(1+Inputs!$B$34/100))/Skills!D15)))+((C1617=TRUE)*(F1617-Calc!F30)))/100)*I1593)</f>
        <v/>
      </c>
      <c r="L1593">
        <f>K1593*(MIN(Inputs!$B$22+((C1611=TRUE)*(F1611-Calc!F24)),Inputs!$B$23+((C1616=TRUE)*(F1616-Calc!F29)))/100+(Inputs!$B$23+((C1616=TRUE)*(F1616-Calc!F29)))/100)/2</f>
        <v/>
      </c>
      <c r="M1593">
        <f>L1593*(1+(Inputs!$B$10+0+B1625)/100)</f>
        <v/>
      </c>
      <c r="N1593">
        <f>L1593*(1-MIN((Inputs!$B$9+((C1607=TRUE)*(F1607-Calc!F20))+B1620),100)/100)+M1593*(MIN((Inputs!$B$9+((C1607=TRUE)*(F1607-Calc!F20))+B1620),100)/100)</f>
        <v/>
      </c>
      <c r="O1593">
        <f>IF(C1593,H1593*N1593*IF(AND(Inputs!$B$38&lt;&gt;"pvp",Inputs!$B$43&gt;0),((Skills!G6*((R1593-1)*IF(Skills!H6&gt;0,Skills!I6/Skills!H6,1)+IF(Skills!H6&gt;0,MIN(Skills!I6,MAX(0,MAX(0,Inputs!$B$43-B1627)-((R1593-1)*IF(Inputs!$B$38="pvp",15,MAX(0.1,Skills!D6-IF(Skills!E6=TRUE,5.0,0))))))/Skills!H6,1)))/Inputs!$B$43),G1593*Q1593)*IF(Inputs!$B$38="pvp",1,(1-Summary!$B$55)*(1)+Summary!$B$55*(MIN(Skills!R6,Inputs!$B$37))),0)</f>
        <v/>
      </c>
      <c r="P1593">
        <f>IF(B1628=0,0,O1593/B1628)</f>
        <v/>
      </c>
      <c r="Q1593">
        <f>IFERROR(1/IF(Inputs!$B$38="pvp",15,MAX(0.1,Skills!D6-IF(Skills!E6=TRUE,5.0,0))),0)</f>
        <v/>
      </c>
      <c r="R1593">
        <f>IF(AND(Inputs!$B$38&lt;&gt;"pvp",Inputs!$B$43&gt;0),IF(MAX(0,Inputs!$B$43-B1627)&lt;=0,0,(INT(MAX(0,Inputs!$B$43-B1627)/IF(Inputs!$B$38="pvp",15,MAX(0.1,Skills!D6-IF(Skills!E6=TRUE,5.0,0))))+1)),0)</f>
        <v/>
      </c>
      <c r="S1593">
        <f>IFERROR(O1593/N1593,0)</f>
        <v/>
      </c>
    </row>
    <row r="1594">
      <c r="A1594">
        <f>Skills!A7</f>
        <v/>
      </c>
      <c r="B1594">
        <f>Skills!B7</f>
        <v/>
      </c>
      <c r="C1594">
        <f>Inputs!$B$3&gt;=107</f>
        <v/>
      </c>
      <c r="D1594">
        <f>IF(Skills!C7=1,60+Inputs!$B$25+Inputs!$B$29,IF(Skills!C7=2,90+Inputs!$B$26+Inputs!$B$29,IF(Skills!C7=3,120+Inputs!$B$27+Inputs!$B$29,MAX(0,(Inputs!$B$3-100)*3)+Inputs!$B$28+Inputs!$B$29)))</f>
        <v/>
      </c>
      <c r="E1594">
        <f>INDEX(FactorTable!$B$2:$Y$301, MATCH(ROUND(MIN(300,MAX(1,D1594)),0), FactorTable!$A$2:$A$301,0), Skills!M7+1)</f>
        <v/>
      </c>
      <c r="F1594">
        <f>IF(Skills!N7=TRUE,(Skills!L7/10)*(E1594/1000),Skills!L7/10)+Skills!O7</f>
        <v/>
      </c>
      <c r="G1594" t="inlineStr"/>
      <c r="H1594" t="inlineStr"/>
      <c r="I1594" t="inlineStr">
        <is>
          <t>1</t>
        </is>
      </c>
      <c r="J1594" t="inlineStr"/>
      <c r="K1594" t="inlineStr"/>
      <c r="L1594" t="inlineStr"/>
      <c r="M1594" t="inlineStr"/>
      <c r="N1594" t="inlineStr"/>
      <c r="O1594" t="inlineStr"/>
      <c r="P1594" t="inlineStr"/>
      <c r="Q1594" t="inlineStr"/>
      <c r="R1594" t="inlineStr"/>
      <c r="S1594" t="inlineStr"/>
    </row>
    <row r="1595">
      <c r="A1595">
        <f>Skills!A8</f>
        <v/>
      </c>
      <c r="B1595">
        <f>Skills!B8</f>
        <v/>
      </c>
      <c r="C1595">
        <f>Inputs!$B$3&gt;=69</f>
        <v/>
      </c>
      <c r="D1595">
        <f>IF(Skills!C8=1,60+Inputs!$B$25+Inputs!$B$29,IF(Skills!C8=2,90+Inputs!$B$26+Inputs!$B$29,IF(Skills!C8=3,120+Inputs!$B$27+Inputs!$B$29,MAX(0,(Inputs!$B$3-100)*3)+Inputs!$B$28+Inputs!$B$29)))</f>
        <v/>
      </c>
      <c r="E1595">
        <f>INDEX(FactorTable!$B$2:$Y$301, MATCH(ROUND(MIN(300,MAX(1,D1595)),0), FactorTable!$A$2:$A$301,0), Skills!M8+1)</f>
        <v/>
      </c>
      <c r="F1595">
        <f>IF(Skills!N8=TRUE,(Skills!L8/10)*(E1595/1000),Skills!L8/10)+Skills!O8</f>
        <v/>
      </c>
      <c r="G1595">
        <f>Skills!G8*IF(Skills!H8&gt;0,Skills!I8/Skills!H8,1)</f>
        <v/>
      </c>
      <c r="H1595">
        <f>1-(1-Skills!J8/100)^Skills!K8</f>
        <v/>
      </c>
      <c r="I1595" t="inlineStr">
        <is>
          <t>1</t>
        </is>
      </c>
      <c r="J1595">
        <f>((Inputs!$B$6*(1+Inputs!$B$7/100))+(((Inputs!$B$12*(1+Inputs!$B$13/100))-(Inputs!$B$12*(1+Inputs!$B$13/100)))+0.25*(Inputs!$B$14-Inputs!$B$14))*(1+Inputs!$B$7/100))*(F1595/100)</f>
        <v/>
      </c>
      <c r="K1595">
        <f>J1595*(1+((Inputs!$B$12*(1+Inputs!$B$13/100))*0.01+Inputs!$B$14*0.0025)/100)*(1+Inputs!$B$15/100)*(1+IF(Inputs!$B$38="pvp",0,(1-Summary!$B$55)*(Inputs!$B$20+0+Skills!P8)+Summary!$B$55*(Inputs!$B$21+Skills!Q8))/100)*(1+Inputs!$B$16/100)*(5000/(6000+Inputs!$B$42*(1-(Inputs!$B$19+((C1614=TRUE)*(F1614-Calc!F27)))/100)))*(1+(Inputs!$B$24+((C1612=TRUE)*(F1612-Calc!F25))+((C1613=TRUE)*(F1613-Calc!F26))+B1626)/100)*(1+1.2*IF(C1597=TRUE,F1597,0)/100)*(1+(IF(Skills!A8="ARROW_STREAM",Inputs!$B$17+((C1610=TRUE)*(F1610-Calc!F23)),Inputs!$B$18+((C1615=TRUE)*(F1615-Calc!F28))))/100)*((1+(((C1600=TRUE)*F1600)+((C1601=TRUE)*IF(Inputs!$B$38="pvp",F1601,(1-Summary!$B$55)*(F1601)+Summary!$B$55*(0)))+((C1602=TRUE)*F1602*IF(AND(Inputs!$B$38&lt;&gt;"pvp",Inputs!$B$43&gt;0),(((R1602-1)*(Skills!T15*(1+Inputs!$B$34/100))+MIN((Skills!T15*(1+Inputs!$B$34/100)),MAX(0,Inputs!$B$43-((R1602-1)*Skills!D15))))/Inputs!$B$43),IF(Inputs!$B$38="pvp",MIN((Skills!T15*(1+Inputs!$B$34/100)),15)/15,(Skills!T15*(1+Inputs!$B$34/100))/Skills!D15)))+((C1617=TRUE)*(F1617-Calc!F30)))/100)*I1595)</f>
        <v/>
      </c>
      <c r="L1595">
        <f>K1595*(MIN(Inputs!$B$22+((C1611=TRUE)*(F1611-Calc!F24)),Inputs!$B$23+((C1616=TRUE)*(F1616-Calc!F29)))/100+(Inputs!$B$23+((C1616=TRUE)*(F1616-Calc!F29)))/100)/2</f>
        <v/>
      </c>
      <c r="M1595">
        <f>L1595*(1+(Inputs!$B$10+0+B1625)/100)</f>
        <v/>
      </c>
      <c r="N1595">
        <f>L1595*(1-MIN((Inputs!$B$9+((C1607=TRUE)*(F1607-Calc!F20))+B1620),100)/100)+M1595*(MIN((Inputs!$B$9+((C1607=TRUE)*(F1607-Calc!F20))+B1620),100)/100)</f>
        <v/>
      </c>
      <c r="O1595">
        <f>IF(C1595,H1595*N1595*IF(AND(Inputs!$B$38&lt;&gt;"pvp",Inputs!$B$43&gt;0),((Skills!G8*((R1595-1)*IF(Skills!H8&gt;0,Skills!I8/Skills!H8,1)+IF(Skills!H8&gt;0,MIN(Skills!I8,MAX(0,MAX(0,Inputs!$B$43-B1627)-((R1595-1)*IF(Inputs!$B$38="pvp",15,MAX(0.1,Skills!D8-IF(Skills!E8=TRUE,5.0,0))))))/Skills!H8,1)))/Inputs!$B$43),G1595*Q1595)*IF(Inputs!$B$38="pvp",1,(1-Summary!$B$55)*(1)+Summary!$B$55*(MIN(Skills!R8,Inputs!$B$37))),0)</f>
        <v/>
      </c>
      <c r="P1595">
        <f>IF(B1628=0,0,O1595/B1628)</f>
        <v/>
      </c>
      <c r="Q1595">
        <f>IFERROR(1/IF(Inputs!$B$38="pvp",15,MAX(0.1,Skills!D8-IF(Skills!E8=TRUE,5.0,0))),0)</f>
        <v/>
      </c>
      <c r="R1595">
        <f>IF(AND(Inputs!$B$38&lt;&gt;"pvp",Inputs!$B$43&gt;0),IF(MAX(0,Inputs!$B$43-B1627)&lt;=0,0,(INT(MAX(0,Inputs!$B$43-B1627)/IF(Inputs!$B$38="pvp",15,MAX(0.1,Skills!D8-IF(Skills!E8=TRUE,5.0,0))))+1)),0)</f>
        <v/>
      </c>
      <c r="S1595">
        <f>IFERROR(O1595/N1595,0)</f>
        <v/>
      </c>
    </row>
    <row r="1596">
      <c r="A1596">
        <f>Skills!A9</f>
        <v/>
      </c>
      <c r="B1596">
        <f>Skills!B9</f>
        <v/>
      </c>
      <c r="C1596">
        <f>Inputs!$B$3&gt;=63</f>
        <v/>
      </c>
      <c r="D1596">
        <f>IF(Skills!C9=1,60+Inputs!$B$25+Inputs!$B$29,IF(Skills!C9=2,90+Inputs!$B$26+Inputs!$B$29,IF(Skills!C9=3,120+Inputs!$B$27+Inputs!$B$29,MAX(0,(Inputs!$B$3-100)*3)+Inputs!$B$28+Inputs!$B$29)))</f>
        <v/>
      </c>
      <c r="E1596">
        <f>INDEX(FactorTable!$B$2:$Y$301, MATCH(ROUND(MIN(300,MAX(1,D1596)),0), FactorTable!$A$2:$A$301,0), Skills!M9+1)</f>
        <v/>
      </c>
      <c r="F1596">
        <f>IF(Skills!N9=TRUE,(Skills!L9/10)*(E1596/1000),Skills!L9/10)+Skills!O9</f>
        <v/>
      </c>
      <c r="G1596">
        <f>Skills!G9*IF(Skills!H9&gt;0,Skills!I9/Skills!H9,1)</f>
        <v/>
      </c>
      <c r="H1596">
        <f>1-(1-Skills!J9/100)^Skills!K9</f>
        <v/>
      </c>
      <c r="I1596" t="inlineStr">
        <is>
          <t>1</t>
        </is>
      </c>
      <c r="J1596">
        <f>((Inputs!$B$6*(1+Inputs!$B$7/100))+(((Inputs!$B$12*(1+Inputs!$B$13/100))-(Inputs!$B$12*(1+Inputs!$B$13/100)))+0.25*(Inputs!$B$14-Inputs!$B$14))*(1+Inputs!$B$7/100))*(F1596/100)</f>
        <v/>
      </c>
      <c r="K1596">
        <f>J1596*(1+((Inputs!$B$12*(1+Inputs!$B$13/100))*0.01+Inputs!$B$14*0.0025)/100)*(1+Inputs!$B$15/100)*(1+IF(Inputs!$B$38="pvp",0,(1-Summary!$B$55)*(Inputs!$B$20+0+Skills!P9)+Summary!$B$55*(Inputs!$B$21+Skills!Q9))/100)*(1+Inputs!$B$16/100)*(5000/(6000+Inputs!$B$42*(1-(Inputs!$B$19+((C1614=TRUE)*(F1614-Calc!F27)))/100)))*(1+(Inputs!$B$24+((C1612=TRUE)*(F1612-Calc!F25))+((C1613=TRUE)*(F1613-Calc!F26))+B1626)/100)*(1+1.0*IF(C1597=TRUE,F1597,0)/100)*(1+(IF(Skills!A9="ARROW_STREAM",Inputs!$B$17+((C1610=TRUE)*(F1610-Calc!F23)),Inputs!$B$18+((C1615=TRUE)*(F1615-Calc!F28))))/100)*((1+(((C1600=TRUE)*F1600)+((C1601=TRUE)*IF(Inputs!$B$38="pvp",F1601,(1-Summary!$B$55)*(F1601)+Summary!$B$55*(0)))+((C1602=TRUE)*F1602*IF(AND(Inputs!$B$38&lt;&gt;"pvp",Inputs!$B$43&gt;0),(((R1602-1)*(Skills!T15*(1+Inputs!$B$34/100))+MIN((Skills!T15*(1+Inputs!$B$34/100)),MAX(0,Inputs!$B$43-((R1602-1)*Skills!D15))))/Inputs!$B$43),IF(Inputs!$B$38="pvp",MIN((Skills!T15*(1+Inputs!$B$34/100)),15)/15,(Skills!T15*(1+Inputs!$B$34/100))/Skills!D15)))+((C1617=TRUE)*(F1617-Calc!F30)))/100)*I1596)</f>
        <v/>
      </c>
      <c r="L1596">
        <f>K1596*(MIN(Inputs!$B$22+((C1611=TRUE)*(F1611-Calc!F24)),Inputs!$B$23+((C1616=TRUE)*(F1616-Calc!F29)))/100+(Inputs!$B$23+((C1616=TRUE)*(F1616-Calc!F29)))/100)/2</f>
        <v/>
      </c>
      <c r="M1596">
        <f>L1596*(1+(Inputs!$B$10+0+B1625)/100)</f>
        <v/>
      </c>
      <c r="N1596">
        <f>L1596*(1-MIN((Inputs!$B$9+((C1607=TRUE)*(F1607-Calc!F20))+B1620),100)/100)+M1596*(MIN((Inputs!$B$9+((C1607=TRUE)*(F1607-Calc!F20))+B1620),100)/100)</f>
        <v/>
      </c>
      <c r="O1596">
        <f>IF(C1596,H1596*N1596*IF(AND(Inputs!$B$38&lt;&gt;"pvp",Inputs!$B$43&gt;0),((Skills!G9*((R1596-1)*IF(Skills!H9&gt;0,Skills!I9/Skills!H9,1)+IF(Skills!H9&gt;0,MIN(Skills!I9,MAX(0,MAX(0,Inputs!$B$43-B1627)-((R1596-1)*IF(Inputs!$B$38="pvp",15,MAX(0.1,Skills!D9-IF(Skills!E9=TRUE,5.0,0))))))/Skills!H9,1)))/Inputs!$B$43),G1596*Q1596)*IF(Inputs!$B$38="pvp",1,(1-Summary!$B$55)*(1)+Summary!$B$55*(MIN(Skills!R9,Inputs!$B$37))),0)</f>
        <v/>
      </c>
      <c r="P1596">
        <f>IF(B1628=0,0,O1596/B1628)</f>
        <v/>
      </c>
      <c r="Q1596">
        <f>IFERROR(1/IF(Inputs!$B$38="pvp",15,MAX(0.1,Skills!D9-IF(Skills!E9=TRUE,5.0,0))),0)</f>
        <v/>
      </c>
      <c r="R1596">
        <f>IF(AND(Inputs!$B$38&lt;&gt;"pvp",Inputs!$B$43&gt;0),IF(MAX(0,Inputs!$B$43-B1627)&lt;=0,0,(INT(MAX(0,Inputs!$B$43-B1627)/IF(Inputs!$B$38="pvp",15,MAX(0.1,Skills!D9-IF(Skills!E9=TRUE,5.0,0))))+1)),0)</f>
        <v/>
      </c>
      <c r="S1596">
        <f>IFERROR(O1596/N1596,0)</f>
        <v/>
      </c>
    </row>
    <row r="1597">
      <c r="A1597">
        <f>Skills!A10</f>
        <v/>
      </c>
      <c r="B1597">
        <f>Skills!B10</f>
        <v/>
      </c>
      <c r="C1597">
        <f>Inputs!$B$3&gt;=100</f>
        <v/>
      </c>
      <c r="D1597">
        <f>IF(Skills!C10=1,60+Inputs!$B$25+Inputs!$B$29,IF(Skills!C10=2,90+Inputs!$B$26+Inputs!$B$29,IF(Skills!C10=3,120+Inputs!$B$27+Inputs!$B$29,MAX(0,(Inputs!$B$3-100)*3)+Inputs!$B$28+Inputs!$B$29)))</f>
        <v/>
      </c>
      <c r="E1597">
        <f>INDEX(FactorTable!$B$2:$Y$301, MATCH(ROUND(MIN(300,MAX(1,D1597)),0), FactorTable!$A$2:$A$301,0), Skills!M10+1)</f>
        <v/>
      </c>
      <c r="F1597">
        <f>IF(Skills!N10=TRUE,(Skills!L10/10)*(E1597/1000),Skills!L10/10)+Skills!O10</f>
        <v/>
      </c>
      <c r="G1597" t="inlineStr"/>
      <c r="H1597" t="inlineStr"/>
      <c r="I1597" t="inlineStr">
        <is>
          <t>1</t>
        </is>
      </c>
      <c r="J1597" t="inlineStr"/>
      <c r="K1597" t="inlineStr"/>
      <c r="L1597" t="inlineStr"/>
      <c r="M1597" t="inlineStr"/>
      <c r="N1597" t="inlineStr"/>
      <c r="O1597" t="inlineStr"/>
      <c r="P1597" t="inlineStr"/>
      <c r="Q1597" t="inlineStr"/>
      <c r="R1597" t="inlineStr"/>
      <c r="S1597" t="inlineStr"/>
    </row>
    <row r="1598">
      <c r="A1598">
        <f>Skills!A11</f>
        <v/>
      </c>
      <c r="B1598">
        <f>Skills!B11</f>
        <v/>
      </c>
      <c r="C1598">
        <f>Inputs!$B$3&gt;=60</f>
        <v/>
      </c>
      <c r="D1598">
        <f>IF(Skills!C11=1,60+Inputs!$B$25+Inputs!$B$29,IF(Skills!C11=2,90+Inputs!$B$26+Inputs!$B$29,IF(Skills!C11=3,120+Inputs!$B$27+Inputs!$B$29,MAX(0,(Inputs!$B$3-100)*3)+Inputs!$B$28+Inputs!$B$29)))</f>
        <v/>
      </c>
      <c r="E1598">
        <f>INDEX(FactorTable!$B$2:$Y$301, MATCH(ROUND(MIN(300,MAX(1,D1598)),0), FactorTable!$A$2:$A$301,0), Skills!M11+1)</f>
        <v/>
      </c>
      <c r="F1598">
        <f>IF(Skills!N11=TRUE,(Skills!L11/10)*(E1598/1000),Skills!L11/10)+Skills!O11</f>
        <v/>
      </c>
      <c r="G1598">
        <f>Skills!G11*IF(Skills!H11&gt;0,Skills!I11/Skills!H11,1)</f>
        <v/>
      </c>
      <c r="H1598">
        <f>1-(1-Skills!J11/100)^Skills!K11</f>
        <v/>
      </c>
      <c r="I1598" t="inlineStr">
        <is>
          <t>1</t>
        </is>
      </c>
      <c r="J1598">
        <f>((Inputs!$B$6*(1+Inputs!$B$7/100))+(((Inputs!$B$12*(1+Inputs!$B$13/100))-(Inputs!$B$12*(1+Inputs!$B$13/100)))+0.25*(Inputs!$B$14-Inputs!$B$14))*(1+Inputs!$B$7/100))*(F1598/100)</f>
        <v/>
      </c>
      <c r="K1598">
        <f>J1598*(1+((Inputs!$B$12*(1+Inputs!$B$13/100))*0.01+Inputs!$B$14*0.0025)/100)*(1+Inputs!$B$15/100)*(1+IF(Inputs!$B$38="pvp",0,(1-Summary!$B$55)*(Inputs!$B$20+0+Skills!P11)+Summary!$B$55*(Inputs!$B$21+Skills!Q11))/100)*(1+Inputs!$B$16/100)*(5000/(6000+Inputs!$B$42*(1-(Inputs!$B$19+((C1614=TRUE)*(F1614-Calc!F27)))/100)))*(1+(Inputs!$B$24+((C1612=TRUE)*(F1612-Calc!F25))+((C1613=TRUE)*(F1613-Calc!F26))+B1626)/100)*(1+IF(C1599=TRUE,F1599,0)/100)*(1+(IF(Skills!A11="ARROW_STREAM",Inputs!$B$17+((C1610=TRUE)*(F1610-Calc!F23)),Inputs!$B$18+((C1615=TRUE)*(F1615-Calc!F28))))/100)*((1+(((C1600=TRUE)*F1600)+((C1601=TRUE)*IF(Inputs!$B$38="pvp",F1601,(1-Summary!$B$55)*(F1601)+Summary!$B$55*(0)))+((C1602=TRUE)*F1602*IF(AND(Inputs!$B$38&lt;&gt;"pvp",Inputs!$B$43&gt;0),(((R1602-1)*(Skills!T15*(1+Inputs!$B$34/100))+MIN((Skills!T15*(1+Inputs!$B$34/100)),MAX(0,Inputs!$B$43-((R1602-1)*Skills!D15))))/Inputs!$B$43),IF(Inputs!$B$38="pvp",MIN((Skills!T15*(1+Inputs!$B$34/100)),15)/15,(Skills!T15*(1+Inputs!$B$34/100))/Skills!D15)))+((C1617=TRUE)*(F1617-Calc!F30)))/100)*I1598)</f>
        <v/>
      </c>
      <c r="L1598">
        <f>K1598*(MIN(Inputs!$B$22+((C1611=TRUE)*(F1611-Calc!F24)),Inputs!$B$23+((C1616=TRUE)*(F1616-Calc!F29)))/100+(Inputs!$B$23+((C1616=TRUE)*(F1616-Calc!F29)))/100)/2</f>
        <v/>
      </c>
      <c r="M1598">
        <f>L1598*(1+(Inputs!$B$10+0+B1625)/100)</f>
        <v/>
      </c>
      <c r="N1598">
        <f>L1598*(1-MIN((Inputs!$B$9+((C1607=TRUE)*(F1607-Calc!F20))+B1620),100)/100)+M1598*(MIN((Inputs!$B$9+((C1607=TRUE)*(F1607-Calc!F20))+B1620),100)/100)</f>
        <v/>
      </c>
      <c r="O1598">
        <f>IF(C1598,H1598*N1598*IF(AND(Inputs!$B$38&lt;&gt;"pvp",Inputs!$B$43&gt;0),((Skills!G11*((R1598-1)*IF(Skills!H11&gt;0,Skills!I11/Skills!H11,1)+IF(Skills!H11&gt;0,MIN(Skills!I11,MAX(0,MAX(0,Inputs!$B$43-B1627)-((R1598-1)*IF(Inputs!$B$38="pvp",15,MAX(0.1,Skills!D11-IF(Skills!E11=TRUE,5.0,0))))))/Skills!H11,1)))/Inputs!$B$43),G1598*Q1598)*IF(Inputs!$B$38="pvp",1,(1-Summary!$B$55)*(1)+Summary!$B$55*(MIN(Skills!R11,Inputs!$B$37))),0)</f>
        <v/>
      </c>
      <c r="P1598">
        <f>IF(B1628=0,0,O1598/B1628)</f>
        <v/>
      </c>
      <c r="Q1598">
        <f>IFERROR(1/IF(Inputs!$B$38="pvp",15,MAX(0.1,Skills!D11-IF(Skills!E11=TRUE,5.0,0))),0)</f>
        <v/>
      </c>
      <c r="R1598">
        <f>IF(AND(Inputs!$B$38&lt;&gt;"pvp",Inputs!$B$43&gt;0),IF(MAX(0,Inputs!$B$43-B1627)&lt;=0,0,(INT(MAX(0,Inputs!$B$43-B1627)/IF(Inputs!$B$38="pvp",15,MAX(0.1,Skills!D11-IF(Skills!E11=TRUE,5.0,0))))+1)),0)</f>
        <v/>
      </c>
      <c r="S1598">
        <f>IFERROR(O1598/N1598,0)</f>
        <v/>
      </c>
    </row>
    <row r="1599">
      <c r="A1599">
        <f>Skills!A12</f>
        <v/>
      </c>
      <c r="B1599">
        <f>Skills!B12</f>
        <v/>
      </c>
      <c r="C1599">
        <f>Inputs!$B$3&gt;=110</f>
        <v/>
      </c>
      <c r="D1599">
        <f>IF(Skills!C12=1,60+Inputs!$B$25+Inputs!$B$29,IF(Skills!C12=2,90+Inputs!$B$26+Inputs!$B$29,IF(Skills!C12=3,120+Inputs!$B$27+Inputs!$B$29,MAX(0,(Inputs!$B$3-100)*3)+Inputs!$B$28+Inputs!$B$29)))</f>
        <v/>
      </c>
      <c r="E1599">
        <f>INDEX(FactorTable!$B$2:$Y$301, MATCH(ROUND(MIN(300,MAX(1,D1599)),0), FactorTable!$A$2:$A$301,0), Skills!M12+1)</f>
        <v/>
      </c>
      <c r="F1599">
        <f>IF(Skills!N12=TRUE,(Skills!L12/10)*(E1599/1000),Skills!L12/10)+Skills!O12</f>
        <v/>
      </c>
      <c r="G1599" t="inlineStr"/>
      <c r="H1599" t="inlineStr"/>
      <c r="I1599" t="inlineStr">
        <is>
          <t>1</t>
        </is>
      </c>
      <c r="J1599" t="inlineStr"/>
      <c r="K1599" t="inlineStr"/>
      <c r="L1599" t="inlineStr"/>
      <c r="M1599" t="inlineStr"/>
      <c r="N1599" t="inlineStr"/>
      <c r="O1599" t="inlineStr"/>
      <c r="P1599" t="inlineStr"/>
      <c r="Q1599" t="inlineStr"/>
      <c r="R1599" t="inlineStr"/>
      <c r="S1599" t="inlineStr"/>
    </row>
    <row r="1600">
      <c r="A1600">
        <f>Skills!A13</f>
        <v/>
      </c>
      <c r="B1600">
        <f>Skills!B13</f>
        <v/>
      </c>
      <c r="C1600">
        <f>Inputs!$B$3&gt;=74</f>
        <v/>
      </c>
      <c r="D1600">
        <f>IF(Skills!C13=1,60+Inputs!$B$25+Inputs!$B$29,IF(Skills!C13=2,90+Inputs!$B$26+Inputs!$B$29,IF(Skills!C13=3,120+Inputs!$B$27+Inputs!$B$29,MAX(0,(Inputs!$B$3-100)*3)+Inputs!$B$28+Inputs!$B$29)))</f>
        <v/>
      </c>
      <c r="E1600">
        <f>INDEX(FactorTable!$B$2:$Y$301, MATCH(ROUND(MIN(300,MAX(1,D1600)),0), FactorTable!$A$2:$A$301,0), Skills!M13+1)</f>
        <v/>
      </c>
      <c r="F1600">
        <f>IF(Skills!N13=TRUE,(Skills!L13/10)*(E1600/1000),Skills!L13/10)+Skills!O13</f>
        <v/>
      </c>
      <c r="G1600">
        <f>Skills!G13*IF(Skills!H13&gt;0,Skills!I13/Skills!H13,1)</f>
        <v/>
      </c>
      <c r="H1600">
        <f>1-(1-Skills!J13/100)^Skills!K13</f>
        <v/>
      </c>
      <c r="I1600" t="inlineStr">
        <is>
          <t>1</t>
        </is>
      </c>
      <c r="J1600" t="inlineStr"/>
      <c r="K1600" t="inlineStr"/>
      <c r="L1600" t="inlineStr"/>
      <c r="M1600" t="inlineStr"/>
      <c r="N1600" t="inlineStr"/>
      <c r="O1600" t="n">
        <v>0</v>
      </c>
      <c r="P1600">
        <f>IF(B1628=0,0,O1600/B1628)</f>
        <v/>
      </c>
      <c r="Q1600" t="n">
        <v>0</v>
      </c>
      <c r="R1600" t="n">
        <v>0</v>
      </c>
      <c r="S1600">
        <f>IFERROR(O1600/N1600,0)</f>
        <v/>
      </c>
    </row>
    <row r="1601">
      <c r="A1601">
        <f>Skills!A14</f>
        <v/>
      </c>
      <c r="B1601">
        <f>Skills!B14</f>
        <v/>
      </c>
      <c r="C1601">
        <f>Inputs!$B$3&gt;=74</f>
        <v/>
      </c>
      <c r="D1601">
        <f>IF(Skills!C14=1,60+Inputs!$B$25+Inputs!$B$29,IF(Skills!C14=2,90+Inputs!$B$26+Inputs!$B$29,IF(Skills!C14=3,120+Inputs!$B$27+Inputs!$B$29,MAX(0,(Inputs!$B$3-100)*3)+Inputs!$B$28+Inputs!$B$29)))</f>
        <v/>
      </c>
      <c r="E1601">
        <f>INDEX(FactorTable!$B$2:$Y$301, MATCH(ROUND(MIN(300,MAX(1,D1601)),0), FactorTable!$A$2:$A$301,0), Skills!M14+1)</f>
        <v/>
      </c>
      <c r="F1601">
        <f>IF(Skills!N14=TRUE,(Skills!L14/10)*(E1601/1000),Skills!L14/10)+Skills!O14</f>
        <v/>
      </c>
      <c r="G1601">
        <f>Skills!G14*IF(Skills!H14&gt;0,Skills!I14/Skills!H14,1)</f>
        <v/>
      </c>
      <c r="H1601">
        <f>1-(1-Skills!J14/100)^Skills!K14</f>
        <v/>
      </c>
      <c r="I1601" t="inlineStr">
        <is>
          <t>1</t>
        </is>
      </c>
      <c r="J1601" t="inlineStr"/>
      <c r="K1601" t="inlineStr"/>
      <c r="L1601" t="inlineStr"/>
      <c r="M1601" t="inlineStr"/>
      <c r="N1601" t="inlineStr"/>
      <c r="O1601" t="n">
        <v>0</v>
      </c>
      <c r="P1601">
        <f>IF(B1628=0,0,O1601/B1628)</f>
        <v/>
      </c>
      <c r="Q1601" t="n">
        <v>0</v>
      </c>
      <c r="R1601" t="n">
        <v>0</v>
      </c>
      <c r="S1601">
        <f>IFERROR(O1601/N1601,0)</f>
        <v/>
      </c>
    </row>
    <row r="1602">
      <c r="A1602">
        <f>Skills!A15</f>
        <v/>
      </c>
      <c r="B1602">
        <f>Skills!B15</f>
        <v/>
      </c>
      <c r="C1602">
        <f>Inputs!$B$3&gt;=117</f>
        <v/>
      </c>
      <c r="D1602">
        <f>IF(Skills!C15=1,60+Inputs!$B$25+Inputs!$B$29,IF(Skills!C15=2,90+Inputs!$B$26+Inputs!$B$29,IF(Skills!C15=3,120+Inputs!$B$27+Inputs!$B$29,MAX(0,(Inputs!$B$3-100)*3)+Inputs!$B$28+Inputs!$B$29)))</f>
        <v/>
      </c>
      <c r="E1602">
        <f>INDEX(FactorTable!$B$2:$Y$301, MATCH(ROUND(MIN(300,MAX(1,D1602)),0), FactorTable!$A$2:$A$301,0), Skills!M15+1)</f>
        <v/>
      </c>
      <c r="F1602">
        <f>IF(Skills!N15=TRUE,(Skills!L15/10)*(E1602/1000),Skills!L15/10)+Skills!O15</f>
        <v/>
      </c>
      <c r="G1602">
        <f>Skills!G15*IF(Skills!H15&gt;0,Skills!I15/Skills!H15,1)</f>
        <v/>
      </c>
      <c r="H1602">
        <f>1-(1-Skills!J15/100)^Skills!K15</f>
        <v/>
      </c>
      <c r="I1602" t="inlineStr">
        <is>
          <t>1</t>
        </is>
      </c>
      <c r="J1602" t="inlineStr"/>
      <c r="K1602" t="inlineStr"/>
      <c r="L1602" t="inlineStr"/>
      <c r="M1602" t="inlineStr"/>
      <c r="N1602" t="inlineStr"/>
      <c r="O1602" t="n">
        <v>0</v>
      </c>
      <c r="P1602">
        <f>IF(B1628=0,0,O1602/B1628)</f>
        <v/>
      </c>
      <c r="Q1602">
        <f>IFERROR(1/IF(Inputs!$B$38="pvp",15,MAX(0.1,Skills!D15-IF(Skills!E15=TRUE,5.0,0))),0)</f>
        <v/>
      </c>
      <c r="R1602">
        <f>IF(AND(Inputs!$B$38&lt;&gt;"pvp",Inputs!$B$43&gt;0),IF(Inputs!$B$43&lt;=0,0,(INT(Inputs!$B$43/IF(Inputs!$B$38="pvp",15,MAX(0.1,Skills!D15-IF(Skills!E15=TRUE,5.0,0))))+1)),0)</f>
        <v/>
      </c>
      <c r="S1602">
        <f>IFERROR(O1602/N1602,0)</f>
        <v/>
      </c>
    </row>
    <row r="1603">
      <c r="A1603">
        <f>Skills!A16</f>
        <v/>
      </c>
      <c r="B1603">
        <f>Skills!B16</f>
        <v/>
      </c>
      <c r="C1603">
        <f>Inputs!$B$3&gt;=115</f>
        <v/>
      </c>
      <c r="D1603">
        <f>IF(Skills!C16=1,60+Inputs!$B$25+Inputs!$B$29,IF(Skills!C16=2,90+Inputs!$B$26+Inputs!$B$29,IF(Skills!C16=3,120+Inputs!$B$27+Inputs!$B$29,MAX(0,(Inputs!$B$3-100)*3)+Inputs!$B$28+Inputs!$B$29)))</f>
        <v/>
      </c>
      <c r="E1603">
        <f>INDEX(FactorTable!$B$2:$Y$301, MATCH(ROUND(MIN(300,MAX(1,D1603)),0), FactorTable!$A$2:$A$301,0), Skills!M16+1)</f>
        <v/>
      </c>
      <c r="F1603">
        <f>IF(Skills!N16=TRUE,(Skills!L16/10)*(E1603/1000),Skills!L16/10)+Skills!O16</f>
        <v/>
      </c>
      <c r="G1603">
        <f>Skills!G16*IF(Skills!H16&gt;0,Skills!I16/Skills!H16,1)</f>
        <v/>
      </c>
      <c r="H1603">
        <f>1-(1-Skills!J16/100)^Skills!K16</f>
        <v/>
      </c>
      <c r="I1603" t="inlineStr">
        <is>
          <t>1</t>
        </is>
      </c>
      <c r="J1603" t="inlineStr"/>
      <c r="K1603" t="inlineStr"/>
      <c r="L1603" t="inlineStr"/>
      <c r="M1603" t="inlineStr"/>
      <c r="N1603" t="inlineStr"/>
      <c r="O1603" t="n">
        <v>0</v>
      </c>
      <c r="P1603">
        <f>IF(B1628=0,0,O1603/B1628)</f>
        <v/>
      </c>
      <c r="Q1603">
        <f>IFERROR(1/IF(Inputs!$B$38="pvp",15,MAX(0.1,Skills!D16-IF(Skills!E16=TRUE,5.0,0))),0)</f>
        <v/>
      </c>
      <c r="R1603">
        <f>IF(AND(Inputs!$B$38&lt;&gt;"pvp",Inputs!$B$43&gt;0),IF(Inputs!$B$43&lt;=0,0,(INT(Inputs!$B$43/IF(Inputs!$B$38="pvp",15,MAX(0.1,Skills!D16-IF(Skills!E16=TRUE,5.0,0))))+1)),0)</f>
        <v/>
      </c>
      <c r="S1603">
        <f>IFERROR(O1603/N1603,0)</f>
        <v/>
      </c>
    </row>
    <row r="1604">
      <c r="A1604">
        <f>Skills!A17</f>
        <v/>
      </c>
      <c r="B1604">
        <f>Skills!B17</f>
        <v/>
      </c>
      <c r="C1604">
        <f>Inputs!$B$3&gt;=66</f>
        <v/>
      </c>
      <c r="D1604">
        <f>IF(Skills!C17=1,60+Inputs!$B$25+Inputs!$B$29,IF(Skills!C17=2,90+Inputs!$B$26+Inputs!$B$29,IF(Skills!C17=3,120+Inputs!$B$27+Inputs!$B$29,MAX(0,(Inputs!$B$3-100)*3)+Inputs!$B$28+Inputs!$B$29)))</f>
        <v/>
      </c>
      <c r="E1604">
        <f>INDEX(FactorTable!$B$2:$Y$301, MATCH(ROUND(MIN(300,MAX(1,D1604)),0), FactorTable!$A$2:$A$301,0), Skills!M17+1)</f>
        <v/>
      </c>
      <c r="F1604">
        <f>IF(Skills!N17=TRUE,(Skills!L17/10)*(E1604/1000),Skills!L17/10)+Skills!O17</f>
        <v/>
      </c>
      <c r="G1604">
        <f>Skills!G17*IF(Skills!H17&gt;0,Skills!I17/Skills!H17,1)</f>
        <v/>
      </c>
      <c r="H1604">
        <f>1-(1-Skills!J17/100)^Skills!K17</f>
        <v/>
      </c>
      <c r="I1604" t="inlineStr">
        <is>
          <t>1</t>
        </is>
      </c>
      <c r="J1604" t="inlineStr"/>
      <c r="K1604" t="inlineStr"/>
      <c r="L1604" t="inlineStr"/>
      <c r="M1604" t="inlineStr"/>
      <c r="N1604" t="inlineStr"/>
      <c r="O1604" t="n">
        <v>0</v>
      </c>
      <c r="P1604">
        <f>IF(B1628=0,0,O1604/B1628)</f>
        <v/>
      </c>
      <c r="Q1604" t="n">
        <v>0</v>
      </c>
      <c r="R1604" t="n">
        <v>0</v>
      </c>
      <c r="S1604">
        <f>IFERROR(O1604/N1604,0)</f>
        <v/>
      </c>
    </row>
    <row r="1605">
      <c r="A1605">
        <f>Skills!A18</f>
        <v/>
      </c>
      <c r="B1605">
        <f>Skills!B18</f>
        <v/>
      </c>
      <c r="C1605">
        <f>Inputs!$B$3&gt;=72</f>
        <v/>
      </c>
      <c r="D1605">
        <f>IF(Skills!C18=1,60+Inputs!$B$25+Inputs!$B$29,IF(Skills!C18=2,90+Inputs!$B$26+Inputs!$B$29,IF(Skills!C18=3,120+Inputs!$B$27+Inputs!$B$29,MAX(0,(Inputs!$B$3-100)*3)+Inputs!$B$28+Inputs!$B$29)))</f>
        <v/>
      </c>
      <c r="E1605">
        <f>INDEX(FactorTable!$B$2:$Y$301, MATCH(ROUND(MIN(300,MAX(1,D1605)),0), FactorTable!$A$2:$A$301,0), Skills!M18+1)</f>
        <v/>
      </c>
      <c r="F1605">
        <f>IF(Skills!N18=TRUE,(Skills!L18/10)*(E1605/1000),Skills!L18/10)+Skills!O18</f>
        <v/>
      </c>
      <c r="G1605">
        <f>Skills!G18*IF(Skills!H18&gt;0,Skills!I18/Skills!H18,1)</f>
        <v/>
      </c>
      <c r="H1605">
        <f>1-(1-Skills!J18/100)^Skills!K18</f>
        <v/>
      </c>
      <c r="I1605" t="inlineStr">
        <is>
          <t>1</t>
        </is>
      </c>
      <c r="J1605" t="inlineStr"/>
      <c r="K1605" t="inlineStr"/>
      <c r="L1605" t="inlineStr"/>
      <c r="M1605" t="inlineStr"/>
      <c r="N1605" t="inlineStr"/>
      <c r="O1605" t="n">
        <v>0</v>
      </c>
      <c r="P1605">
        <f>IF(B1628=0,0,O1605/B1628)</f>
        <v/>
      </c>
      <c r="Q1605" t="n">
        <v>0</v>
      </c>
      <c r="R1605" t="n">
        <v>0</v>
      </c>
      <c r="S1605">
        <f>IFERROR(O1605/N1605,0)</f>
        <v/>
      </c>
    </row>
    <row r="1606">
      <c r="A1606">
        <f>Skills!A19</f>
        <v/>
      </c>
      <c r="B1606">
        <f>Skills!B19</f>
        <v/>
      </c>
      <c r="C1606">
        <f>TRUE</f>
        <v/>
      </c>
      <c r="D1606">
        <f>IF(Skills!C19=1,60+Inputs!$B$25+Inputs!$B$29,IF(Skills!C19=2,90+Inputs!$B$26+Inputs!$B$29,IF(Skills!C19=3,120+Inputs!$B$27+Inputs!$B$29,MAX(0,(Inputs!$B$3-100)*3)+Inputs!$B$28+Inputs!$B$29)))</f>
        <v/>
      </c>
      <c r="E1606">
        <f>INDEX(FactorTable!$B$2:$Y$301, MATCH(ROUND(MIN(300,MAX(1,D1606)),0), FactorTable!$A$2:$A$301,0), Skills!M19+1)</f>
        <v/>
      </c>
      <c r="F1606">
        <f>IF(Skills!N19=TRUE,(Skills!L19/10)*(E1606/1000),Skills!L19/10)+Skills!O19</f>
        <v/>
      </c>
      <c r="G1606">
        <f>Skills!G19*IF(Skills!H19&gt;0,Skills!I19/Skills!H19,1)</f>
        <v/>
      </c>
      <c r="H1606">
        <f>1-(1-Skills!J19/100)^Skills!K19</f>
        <v/>
      </c>
      <c r="I1606" t="inlineStr">
        <is>
          <t>1</t>
        </is>
      </c>
      <c r="J1606" t="inlineStr"/>
      <c r="K1606" t="inlineStr"/>
      <c r="L1606" t="inlineStr"/>
      <c r="M1606" t="inlineStr"/>
      <c r="N1606" t="inlineStr"/>
      <c r="O1606" t="n">
        <v>0</v>
      </c>
      <c r="P1606">
        <f>IF(B1628=0,0,O1606/B1628)</f>
        <v/>
      </c>
      <c r="Q1606">
        <f>IFERROR(1/IF(Inputs!$B$38="pvp",15,MAX(0.1,Skills!D19-IF(Skills!E19=TRUE,5.0,0))),0)</f>
        <v/>
      </c>
      <c r="R1606">
        <f>IF(AND(Inputs!$B$38&lt;&gt;"pvp",Inputs!$B$43&gt;0),IF(Inputs!$B$43&lt;=0,0,(INT(Inputs!$B$43/IF(Inputs!$B$38="pvp",15,MAX(0.1,Skills!D19-IF(Skills!E19=TRUE,5.0,0))))+1)),0)</f>
        <v/>
      </c>
      <c r="S1606">
        <f>IFERROR(O1606/N1606,0)</f>
        <v/>
      </c>
    </row>
    <row r="1607">
      <c r="A1607">
        <f>Skills!A20</f>
        <v/>
      </c>
      <c r="B1607">
        <f>Skills!B20</f>
        <v/>
      </c>
      <c r="C1607">
        <f>Inputs!$B$3&gt;=15</f>
        <v/>
      </c>
      <c r="D1607">
        <f>IF(Skills!C20=1,60+Inputs!$B$25+Inputs!$B$29,IF(Skills!C20=2,90+Inputs!$B$26+Inputs!$B$29,IF(Skills!C20=3,120+Inputs!$B$27+Inputs!$B$29,MAX(0,(Inputs!$B$3-100)*3)+Inputs!$B$28+Inputs!$B$29)))</f>
        <v/>
      </c>
      <c r="E1607">
        <f>INDEX(FactorTable!$B$2:$Y$301, MATCH(ROUND(MIN(300,MAX(1,D1607)),0), FactorTable!$A$2:$A$301,0), Skills!M20+1)</f>
        <v/>
      </c>
      <c r="F1607">
        <f>IF(Skills!N20=TRUE,(Skills!L20/10)*(E1607/1000),Skills!L20/10)+Skills!O20</f>
        <v/>
      </c>
      <c r="G1607">
        <f>Skills!G20*IF(Skills!H20&gt;0,Skills!I20/Skills!H20,1)</f>
        <v/>
      </c>
      <c r="H1607">
        <f>1-(1-Skills!J20/100)^Skills!K20</f>
        <v/>
      </c>
      <c r="I1607" t="inlineStr">
        <is>
          <t>1</t>
        </is>
      </c>
      <c r="J1607" t="inlineStr"/>
      <c r="K1607" t="inlineStr"/>
      <c r="L1607" t="inlineStr"/>
      <c r="M1607" t="inlineStr"/>
      <c r="N1607" t="inlineStr"/>
      <c r="O1607" t="n">
        <v>0</v>
      </c>
      <c r="P1607">
        <f>IF(B1628=0,0,O1607/B1628)</f>
        <v/>
      </c>
      <c r="Q1607" t="n">
        <v>0</v>
      </c>
      <c r="R1607" t="n">
        <v>0</v>
      </c>
      <c r="S1607">
        <f>IFERROR(O1607/N1607,0)</f>
        <v/>
      </c>
    </row>
    <row r="1608">
      <c r="A1608">
        <f>Skills!A21</f>
        <v/>
      </c>
      <c r="B1608">
        <f>Skills!B21</f>
        <v/>
      </c>
      <c r="C1608">
        <f>Inputs!$B$3&gt;=10</f>
        <v/>
      </c>
      <c r="D1608">
        <f>IF(Skills!C21=1,60+Inputs!$B$25+Inputs!$B$29,IF(Skills!C21=2,90+Inputs!$B$26+Inputs!$B$29,IF(Skills!C21=3,120+Inputs!$B$27+Inputs!$B$29,MAX(0,(Inputs!$B$3-100)*3)+Inputs!$B$28+Inputs!$B$29)))</f>
        <v/>
      </c>
      <c r="E1608">
        <f>INDEX(FactorTable!$B$2:$Y$301, MATCH(ROUND(MIN(300,MAX(1,D1608)),0), FactorTable!$A$2:$A$301,0), Skills!M21+1)</f>
        <v/>
      </c>
      <c r="F1608">
        <f>IF(Skills!N21=TRUE,(Skills!L21/10)*(E1608/1000),Skills!L21/10)+Skills!O21</f>
        <v/>
      </c>
      <c r="G1608">
        <f>Skills!G21*IF(Skills!H21&gt;0,Skills!I21/Skills!H21,1)</f>
        <v/>
      </c>
      <c r="H1608">
        <f>1-(1-Skills!J21/100)^Skills!K21</f>
        <v/>
      </c>
      <c r="I1608" t="inlineStr">
        <is>
          <t>1</t>
        </is>
      </c>
      <c r="J1608" t="inlineStr"/>
      <c r="K1608" t="inlineStr"/>
      <c r="L1608" t="inlineStr"/>
      <c r="M1608" t="inlineStr"/>
      <c r="N1608" t="inlineStr"/>
      <c r="O1608" t="n">
        <v>0</v>
      </c>
      <c r="P1608">
        <f>IF(B1628=0,0,O1608/B1628)</f>
        <v/>
      </c>
      <c r="Q1608" t="n">
        <v>0</v>
      </c>
      <c r="R1608" t="n">
        <v>0</v>
      </c>
      <c r="S1608">
        <f>IFERROR(O1608/N1608,0)</f>
        <v/>
      </c>
    </row>
    <row r="1609">
      <c r="A1609">
        <f>Skills!A22</f>
        <v/>
      </c>
      <c r="B1609">
        <f>Skills!B22</f>
        <v/>
      </c>
      <c r="C1609">
        <f>Inputs!$B$3&gt;=33</f>
        <v/>
      </c>
      <c r="D1609">
        <f>IF(Skills!C22=1,60+Inputs!$B$25+Inputs!$B$29,IF(Skills!C22=2,90+Inputs!$B$26+Inputs!$B$29,IF(Skills!C22=3,120+Inputs!$B$27+Inputs!$B$29,MAX(0,(Inputs!$B$3-100)*3)+Inputs!$B$28+Inputs!$B$29)))</f>
        <v/>
      </c>
      <c r="E1609">
        <f>INDEX(FactorTable!$B$2:$Y$301, MATCH(ROUND(MIN(300,MAX(1,D1609)),0), FactorTable!$A$2:$A$301,0), Skills!M22+1)</f>
        <v/>
      </c>
      <c r="F1609">
        <f>IF(Skills!N22=TRUE,(Skills!L22/10)*(E1609/1000),Skills!L22/10)+Skills!O22</f>
        <v/>
      </c>
      <c r="G1609">
        <f>Skills!G22*IF(Skills!H22&gt;0,Skills!I22/Skills!H22,1)</f>
        <v/>
      </c>
      <c r="H1609">
        <f>1-(1-Skills!J22/100)^Skills!K22</f>
        <v/>
      </c>
      <c r="I1609" t="inlineStr">
        <is>
          <t>1</t>
        </is>
      </c>
      <c r="J1609" t="inlineStr"/>
      <c r="K1609" t="inlineStr"/>
      <c r="L1609" t="inlineStr"/>
      <c r="M1609" t="inlineStr"/>
      <c r="N1609" t="inlineStr"/>
      <c r="O1609" t="n">
        <v>0</v>
      </c>
      <c r="P1609">
        <f>IF(B1628=0,0,O1609/B1628)</f>
        <v/>
      </c>
      <c r="Q1609" t="n">
        <v>0</v>
      </c>
      <c r="R1609" t="n">
        <v>0</v>
      </c>
      <c r="S1609">
        <f>IFERROR(O1609/N1609,0)</f>
        <v/>
      </c>
    </row>
    <row r="1610">
      <c r="A1610">
        <f>Skills!A23</f>
        <v/>
      </c>
      <c r="B1610">
        <f>Skills!B23</f>
        <v/>
      </c>
      <c r="C1610">
        <f>Inputs!$B$3&gt;=38</f>
        <v/>
      </c>
      <c r="D1610">
        <f>IF(Skills!C23=1,60+Inputs!$B$25+Inputs!$B$29,IF(Skills!C23=2,90+Inputs!$B$26+Inputs!$B$29,IF(Skills!C23=3,120+Inputs!$B$27+Inputs!$B$29,MAX(0,(Inputs!$B$3-100)*3)+Inputs!$B$28+Inputs!$B$29)))</f>
        <v/>
      </c>
      <c r="E1610">
        <f>INDEX(FactorTable!$B$2:$Y$301, MATCH(ROUND(MIN(300,MAX(1,D1610)),0), FactorTable!$A$2:$A$301,0), Skills!M23+1)</f>
        <v/>
      </c>
      <c r="F1610">
        <f>IF(Skills!N23=TRUE,(Skills!L23/10)*(E1610/1000),Skills!L23/10)+Skills!O23</f>
        <v/>
      </c>
      <c r="G1610">
        <f>Skills!G23*IF(Skills!H23&gt;0,Skills!I23/Skills!H23,1)</f>
        <v/>
      </c>
      <c r="H1610">
        <f>1-(1-Skills!J23/100)^Skills!K23</f>
        <v/>
      </c>
      <c r="I1610" t="inlineStr">
        <is>
          <t>1</t>
        </is>
      </c>
      <c r="J1610" t="inlineStr"/>
      <c r="K1610" t="inlineStr"/>
      <c r="L1610" t="inlineStr"/>
      <c r="M1610" t="inlineStr"/>
      <c r="N1610" t="inlineStr"/>
      <c r="O1610" t="n">
        <v>0</v>
      </c>
      <c r="P1610">
        <f>IF(B1628=0,0,O1610/B1628)</f>
        <v/>
      </c>
      <c r="Q1610" t="n">
        <v>0</v>
      </c>
      <c r="R1610" t="n">
        <v>0</v>
      </c>
      <c r="S1610">
        <f>IFERROR(O1610/N1610,0)</f>
        <v/>
      </c>
    </row>
    <row r="1611">
      <c r="A1611">
        <f>Skills!A24</f>
        <v/>
      </c>
      <c r="B1611">
        <f>Skills!B24</f>
        <v/>
      </c>
      <c r="C1611">
        <f>Inputs!$B$3&gt;=43</f>
        <v/>
      </c>
      <c r="D1611">
        <f>IF(Skills!C24=1,60+Inputs!$B$25+Inputs!$B$29,IF(Skills!C24=2,90+Inputs!$B$26+Inputs!$B$29,IF(Skills!C24=3,120+Inputs!$B$27+Inputs!$B$29,MAX(0,(Inputs!$B$3-100)*3)+Inputs!$B$28+Inputs!$B$29)))</f>
        <v/>
      </c>
      <c r="E1611">
        <f>INDEX(FactorTable!$B$2:$Y$301, MATCH(ROUND(MIN(300,MAX(1,D1611)),0), FactorTable!$A$2:$A$301,0), Skills!M24+1)</f>
        <v/>
      </c>
      <c r="F1611">
        <f>IF(Skills!N24=TRUE,(Skills!L24/10)*(E1611/1000),Skills!L24/10)+Skills!O24</f>
        <v/>
      </c>
      <c r="G1611">
        <f>Skills!G24*IF(Skills!H24&gt;0,Skills!I24/Skills!H24,1)</f>
        <v/>
      </c>
      <c r="H1611">
        <f>1-(1-Skills!J24/100)^Skills!K24</f>
        <v/>
      </c>
      <c r="I1611" t="inlineStr">
        <is>
          <t>1</t>
        </is>
      </c>
      <c r="J1611" t="inlineStr"/>
      <c r="K1611" t="inlineStr"/>
      <c r="L1611" t="inlineStr"/>
      <c r="M1611" t="inlineStr"/>
      <c r="N1611" t="inlineStr"/>
      <c r="O1611" t="n">
        <v>0</v>
      </c>
      <c r="P1611">
        <f>IF(B1628=0,0,O1611/B1628)</f>
        <v/>
      </c>
      <c r="Q1611" t="n">
        <v>0</v>
      </c>
      <c r="R1611" t="n">
        <v>0</v>
      </c>
      <c r="S1611">
        <f>IFERROR(O1611/N1611,0)</f>
        <v/>
      </c>
    </row>
    <row r="1612">
      <c r="A1612">
        <f>Skills!A25</f>
        <v/>
      </c>
      <c r="B1612">
        <f>Skills!B25</f>
        <v/>
      </c>
      <c r="C1612">
        <f>Inputs!$B$3&gt;=75</f>
        <v/>
      </c>
      <c r="D1612">
        <f>IF(Skills!C25=1,60+Inputs!$B$25+Inputs!$B$29,IF(Skills!C25=2,90+Inputs!$B$26+Inputs!$B$29,IF(Skills!C25=3,120+Inputs!$B$27+Inputs!$B$29,MAX(0,(Inputs!$B$3-100)*3)+Inputs!$B$28+Inputs!$B$29)))</f>
        <v/>
      </c>
      <c r="E1612">
        <f>INDEX(FactorTable!$B$2:$Y$301, MATCH(ROUND(MIN(300,MAX(1,D1612)),0), FactorTable!$A$2:$A$301,0), Skills!M25+1)</f>
        <v/>
      </c>
      <c r="F1612">
        <f>IF(Skills!N25=TRUE,(Skills!L25/10)*(E1612/1000),Skills!L25/10)+Skills!O25</f>
        <v/>
      </c>
      <c r="G1612">
        <f>Skills!G25*IF(Skills!H25&gt;0,Skills!I25/Skills!H25,1)</f>
        <v/>
      </c>
      <c r="H1612">
        <f>1-(1-Skills!J25/100)^Skills!K25</f>
        <v/>
      </c>
      <c r="I1612" t="inlineStr">
        <is>
          <t>1</t>
        </is>
      </c>
      <c r="J1612" t="inlineStr"/>
      <c r="K1612" t="inlineStr"/>
      <c r="L1612" t="inlineStr"/>
      <c r="M1612" t="inlineStr"/>
      <c r="N1612" t="inlineStr"/>
      <c r="O1612" t="n">
        <v>0</v>
      </c>
      <c r="P1612">
        <f>IF(B1628=0,0,O1612/B1628)</f>
        <v/>
      </c>
      <c r="Q1612" t="n">
        <v>0</v>
      </c>
      <c r="R1612" t="n">
        <v>0</v>
      </c>
      <c r="S1612">
        <f>IFERROR(O1612/N1612,0)</f>
        <v/>
      </c>
    </row>
    <row r="1613">
      <c r="A1613">
        <f>Skills!A26</f>
        <v/>
      </c>
      <c r="B1613">
        <f>Skills!B26</f>
        <v/>
      </c>
      <c r="C1613">
        <f>Inputs!$B$3&gt;=125</f>
        <v/>
      </c>
      <c r="D1613">
        <f>IF(Skills!C26=1,60+Inputs!$B$25+Inputs!$B$29,IF(Skills!C26=2,90+Inputs!$B$26+Inputs!$B$29,IF(Skills!C26=3,120+Inputs!$B$27+Inputs!$B$29,MAX(0,(Inputs!$B$3-100)*3)+Inputs!$B$28+Inputs!$B$29)))</f>
        <v/>
      </c>
      <c r="E1613">
        <f>INDEX(FactorTable!$B$2:$Y$301, MATCH(ROUND(MIN(300,MAX(1,D1613)),0), FactorTable!$A$2:$A$301,0), Skills!M26+1)</f>
        <v/>
      </c>
      <c r="F1613">
        <f>IF(Skills!N26=TRUE,(Skills!L26/10)*(E1613/1000),Skills!L26/10)+Skills!O26</f>
        <v/>
      </c>
      <c r="G1613">
        <f>Skills!G26*IF(Skills!H26&gt;0,Skills!I26/Skills!H26,1)</f>
        <v/>
      </c>
      <c r="H1613">
        <f>1-(1-Skills!J26/100)^Skills!K26</f>
        <v/>
      </c>
      <c r="I1613" t="inlineStr">
        <is>
          <t>1</t>
        </is>
      </c>
      <c r="J1613" t="inlineStr"/>
      <c r="K1613" t="inlineStr"/>
      <c r="L1613" t="inlineStr"/>
      <c r="M1613" t="inlineStr"/>
      <c r="N1613" t="inlineStr"/>
      <c r="O1613" t="n">
        <v>0</v>
      </c>
      <c r="P1613">
        <f>IF(B1628=0,0,O1613/B1628)</f>
        <v/>
      </c>
      <c r="Q1613" t="n">
        <v>0</v>
      </c>
      <c r="R1613" t="n">
        <v>0</v>
      </c>
      <c r="S1613">
        <f>IFERROR(O1613/N1613,0)</f>
        <v/>
      </c>
    </row>
    <row r="1614">
      <c r="A1614">
        <f>Skills!A27</f>
        <v/>
      </c>
      <c r="B1614">
        <f>Skills!B27</f>
        <v/>
      </c>
      <c r="C1614">
        <f>Inputs!$B$3&gt;=125</f>
        <v/>
      </c>
      <c r="D1614">
        <f>IF(Skills!C27=1,60+Inputs!$B$25+Inputs!$B$29,IF(Skills!C27=2,90+Inputs!$B$26+Inputs!$B$29,IF(Skills!C27=3,120+Inputs!$B$27+Inputs!$B$29,MAX(0,(Inputs!$B$3-100)*3)+Inputs!$B$28+Inputs!$B$29)))</f>
        <v/>
      </c>
      <c r="E1614">
        <f>INDEX(FactorTable!$B$2:$Y$301, MATCH(ROUND(MIN(300,MAX(1,D1614)),0), FactorTable!$A$2:$A$301,0), Skills!M27+1)</f>
        <v/>
      </c>
      <c r="F1614">
        <f>IF(Skills!N27=TRUE,(Skills!L27/10)*(E1614/1000),Skills!L27/10)+Skills!O27</f>
        <v/>
      </c>
      <c r="G1614">
        <f>Skills!G27*IF(Skills!H27&gt;0,Skills!I27/Skills!H27,1)</f>
        <v/>
      </c>
      <c r="H1614">
        <f>1-(1-Skills!J27/100)^Skills!K27</f>
        <v/>
      </c>
      <c r="I1614" t="inlineStr">
        <is>
          <t>1</t>
        </is>
      </c>
      <c r="J1614" t="inlineStr"/>
      <c r="K1614" t="inlineStr"/>
      <c r="L1614" t="inlineStr"/>
      <c r="M1614" t="inlineStr"/>
      <c r="N1614" t="inlineStr"/>
      <c r="O1614" t="n">
        <v>0</v>
      </c>
      <c r="P1614">
        <f>IF(B1628=0,0,O1614/B1628)</f>
        <v/>
      </c>
      <c r="Q1614" t="n">
        <v>0</v>
      </c>
      <c r="R1614" t="n">
        <v>0</v>
      </c>
      <c r="S1614">
        <f>IFERROR(O1614/N1614,0)</f>
        <v/>
      </c>
    </row>
    <row r="1615">
      <c r="A1615">
        <f>Skills!A28</f>
        <v/>
      </c>
      <c r="B1615">
        <f>Skills!B28</f>
        <v/>
      </c>
      <c r="C1615">
        <f>Inputs!$B$3&gt;=120</f>
        <v/>
      </c>
      <c r="D1615">
        <f>IF(Skills!C28=1,60+Inputs!$B$25+Inputs!$B$29,IF(Skills!C28=2,90+Inputs!$B$26+Inputs!$B$29,IF(Skills!C28=3,120+Inputs!$B$27+Inputs!$B$29,MAX(0,(Inputs!$B$3-100)*3)+Inputs!$B$28+Inputs!$B$29)))</f>
        <v/>
      </c>
      <c r="E1615">
        <f>INDEX(FactorTable!$B$2:$Y$301, MATCH(ROUND(MIN(300,MAX(1,D1615)),0), FactorTable!$A$2:$A$301,0), Skills!M28+1)</f>
        <v/>
      </c>
      <c r="F1615">
        <f>IF(Skills!N28=TRUE,(Skills!L28/10)*(E1615/1000),Skills!L28/10)+Skills!O28</f>
        <v/>
      </c>
      <c r="G1615">
        <f>Skills!G28*IF(Skills!H28&gt;0,Skills!I28/Skills!H28,1)</f>
        <v/>
      </c>
      <c r="H1615">
        <f>1-(1-Skills!J28/100)^Skills!K28</f>
        <v/>
      </c>
      <c r="I1615" t="inlineStr">
        <is>
          <t>1</t>
        </is>
      </c>
      <c r="J1615" t="inlineStr"/>
      <c r="K1615" t="inlineStr"/>
      <c r="L1615" t="inlineStr"/>
      <c r="M1615" t="inlineStr"/>
      <c r="N1615" t="inlineStr"/>
      <c r="O1615" t="n">
        <v>0</v>
      </c>
      <c r="P1615">
        <f>IF(B1628=0,0,O1615/B1628)</f>
        <v/>
      </c>
      <c r="Q1615" t="n">
        <v>0</v>
      </c>
      <c r="R1615" t="n">
        <v>0</v>
      </c>
      <c r="S1615">
        <f>IFERROR(O1615/N1615,0)</f>
        <v/>
      </c>
    </row>
    <row r="1616">
      <c r="A1616">
        <f>Skills!A29</f>
        <v/>
      </c>
      <c r="B1616">
        <f>Skills!B29</f>
        <v/>
      </c>
      <c r="C1616">
        <f>Inputs!$B$3&gt;=120</f>
        <v/>
      </c>
      <c r="D1616">
        <f>IF(Skills!C29=1,60+Inputs!$B$25+Inputs!$B$29,IF(Skills!C29=2,90+Inputs!$B$26+Inputs!$B$29,IF(Skills!C29=3,120+Inputs!$B$27+Inputs!$B$29,MAX(0,(Inputs!$B$3-100)*3)+Inputs!$B$28+Inputs!$B$29)))</f>
        <v/>
      </c>
      <c r="E1616">
        <f>INDEX(FactorTable!$B$2:$Y$301, MATCH(ROUND(MIN(300,MAX(1,D1616)),0), FactorTable!$A$2:$A$301,0), Skills!M29+1)</f>
        <v/>
      </c>
      <c r="F1616">
        <f>IF(Skills!N29=TRUE,(Skills!L29/10)*(E1616/1000),Skills!L29/10)+Skills!O29</f>
        <v/>
      </c>
      <c r="G1616">
        <f>Skills!G29*IF(Skills!H29&gt;0,Skills!I29/Skills!H29,1)</f>
        <v/>
      </c>
      <c r="H1616">
        <f>1-(1-Skills!J29/100)^Skills!K29</f>
        <v/>
      </c>
      <c r="I1616" t="inlineStr">
        <is>
          <t>1</t>
        </is>
      </c>
      <c r="J1616" t="inlineStr"/>
      <c r="K1616" t="inlineStr"/>
      <c r="L1616" t="inlineStr"/>
      <c r="M1616" t="inlineStr"/>
      <c r="N1616" t="inlineStr"/>
      <c r="O1616" t="n">
        <v>0</v>
      </c>
      <c r="P1616">
        <f>IF(B1628=0,0,O1616/B1628)</f>
        <v/>
      </c>
      <c r="Q1616" t="n">
        <v>0</v>
      </c>
      <c r="R1616" t="n">
        <v>0</v>
      </c>
      <c r="S1616">
        <f>IFERROR(O1616/N1616,0)</f>
        <v/>
      </c>
    </row>
    <row r="1617">
      <c r="A1617">
        <f>Skills!A30</f>
        <v/>
      </c>
      <c r="B1617">
        <f>Skills!B30</f>
        <v/>
      </c>
      <c r="C1617">
        <f>Inputs!$B$3&gt;=45</f>
        <v/>
      </c>
      <c r="D1617">
        <f>IF(Skills!C30=1,60+Inputs!$B$25+Inputs!$B$29,IF(Skills!C30=2,90+Inputs!$B$26+Inputs!$B$29,IF(Skills!C30=3,120+Inputs!$B$27+Inputs!$B$29,MAX(0,(Inputs!$B$3-100)*3)+Inputs!$B$28+Inputs!$B$29)))</f>
        <v/>
      </c>
      <c r="E1617">
        <f>INDEX(FactorTable!$B$2:$Y$301, MATCH(ROUND(MIN(300,MAX(1,D1617)),0), FactorTable!$A$2:$A$301,0), Skills!M30+1)</f>
        <v/>
      </c>
      <c r="F1617">
        <f>IF(Skills!N30=TRUE,(Skills!L30/10)*(E1617/1000),Skills!L30/10)+Skills!O30</f>
        <v/>
      </c>
      <c r="G1617">
        <f>Skills!G30*IF(Skills!H30&gt;0,Skills!I30/Skills!H30,1)</f>
        <v/>
      </c>
      <c r="H1617">
        <f>1-(1-Skills!J30/100)^Skills!K30</f>
        <v/>
      </c>
      <c r="I1617" t="inlineStr">
        <is>
          <t>1</t>
        </is>
      </c>
      <c r="J1617" t="inlineStr"/>
      <c r="K1617" t="inlineStr"/>
      <c r="L1617" t="inlineStr"/>
      <c r="M1617" t="inlineStr"/>
      <c r="N1617" t="inlineStr"/>
      <c r="O1617" t="n">
        <v>0</v>
      </c>
      <c r="P1617">
        <f>IF(B1628=0,0,O1617/B1628)</f>
        <v/>
      </c>
      <c r="Q1617" t="n">
        <v>0</v>
      </c>
      <c r="R1617" t="n">
        <v>0</v>
      </c>
      <c r="S1617">
        <f>IFERROR(O1617/N1617,0)</f>
        <v/>
      </c>
    </row>
    <row r="1619">
      <c r="A1619" t="inlineStr">
        <is>
          <t>Attack% Bucket Multiplier</t>
        </is>
      </c>
      <c r="B1619">
        <f>(1+(((C1600=TRUE)*F1600)+((C1601=TRUE)*IF(Inputs!$B$38="pvp",F1601,(1-Summary!$B$55)*(F1601)+Summary!$B$55*(0)))+((C1602=TRUE)*F1602*IF(AND(Inputs!$B$38&lt;&gt;"pvp",Inputs!$B$43&gt;0),(((R1602-1)*(Skills!T15*(1+Inputs!$B$34/100))+MIN((Skills!T15*(1+Inputs!$B$34/100)),MAX(0,Inputs!$B$43-((R1602-1)*Skills!D15))))/Inputs!$B$43),IF(Inputs!$B$38="pvp",MIN((Skills!T15*(1+Inputs!$B$34/100)),15)/15,(Skills!T15*(1+Inputs!$B$34/100))/Skills!D15)))+((C1617=TRUE)*(F1617-Calc!F30)))/100)</f>
        <v/>
      </c>
    </row>
    <row r="1620">
      <c r="A1620" t="inlineStr">
        <is>
          <t>Global Crit Rate Bonus %</t>
        </is>
      </c>
      <c r="B1620">
        <f>(C1603=TRUE)*20*IF(AND(Inputs!$B$38&lt;&gt;"pvp",Inputs!$B$43&gt;0),(((R1603-1)*(Skills!T16*(1+Inputs!$B$34/100))+MIN((Skills!T16*(1+Inputs!$B$34/100)),MAX(0,Inputs!$B$43-((R1603-1)*Skills!D16))))/Inputs!$B$43),IF(Inputs!$B$38="pvp",MIN((Skills!T16*(1+Inputs!$B$34/100)),15)/15,(Skills!T16*(1+Inputs!$B$34/100))/Skills!D16))</f>
        <v/>
      </c>
    </row>
    <row r="1621">
      <c r="A1621" t="inlineStr">
        <is>
          <t>Attack Speed Buff Bonus %</t>
        </is>
      </c>
      <c r="B1621">
        <f>((C1606=TRUE)*F1606*IF(AND(Inputs!$B$38&lt;&gt;"pvp",Inputs!$B$43&gt;0),(((R1606-1)*(Skills!T19*(1+Inputs!$B$34/100))+MIN((Skills!T19*(1+Inputs!$B$34/100)),MAX(0,Inputs!$B$43-((R1606-1)*Skills!D19))))/Inputs!$B$43),IF(Inputs!$B$38="pvp",MIN((Skills!T19*(1+Inputs!$B$34/100)),15)/15,(Skills!T19*(1+Inputs!$B$34/100))/Skills!D19)))</f>
        <v/>
      </c>
    </row>
    <row r="1622">
      <c r="A1622" t="inlineStr">
        <is>
          <t>Actions Per Second</t>
        </is>
      </c>
      <c r="B1622">
        <f>1+MIN(150,150*(1-(1-(Inputs!$B$11+((C1608=TRUE)*(F1608-Calc!F21))+((C1609=TRUE)*(F1609-Calc!F22)))/150)*(1-B1621/150)))/100</f>
        <v/>
      </c>
    </row>
    <row r="1623">
      <c r="A1623" t="inlineStr">
        <is>
          <t>Skill + Buff Cast Rate</t>
        </is>
      </c>
      <c r="B1623">
        <f>IF(AND(Inputs!$B$38&lt;&gt;"pvp",Inputs!$B$43&gt;0),SUMPRODUCT((Skills!E2:E30=TRUE)*(C1589:C1617=TRUE)*R1589:R1617*Skills!F2:F30)/Inputs!$B$43,SUMPRODUCT((Skills!E2:E30=TRUE)*(C1589:C1617=TRUE)*Q1589:Q1617*Skills!F2:F30))</f>
        <v/>
      </c>
    </row>
    <row r="1624">
      <c r="A1624" t="inlineStr">
        <is>
          <t>Arrow Stream Casts Per Second</t>
        </is>
      </c>
      <c r="B1624">
        <f>MAX(0,B1622-B1623)</f>
        <v/>
      </c>
    </row>
    <row r="1625">
      <c r="A1625" t="inlineStr">
        <is>
          <t>Global Critical Damage Bonus % (Sharp Eyes + Concentration)</t>
        </is>
      </c>
      <c r="B1625">
        <f>(C1603=TRUE)*F1603*IF(AND(Inputs!$B$38&lt;&gt;"pvp",Inputs!$B$43&gt;0),(((R1603-1)*(Skills!T16*(1+Inputs!$B$34/100))+MIN((Skills!T16*(1+Inputs!$B$34/100)),MAX(0,Inputs!$B$43-((R1603-1)*Skills!D16))))/Inputs!$B$43),IF(Inputs!$B$38="pvp",MIN((Skills!T16*(1+Inputs!$B$34/100)),15)/15,(Skills!T16*(1+Inputs!$B$34/100))/Skills!D16))+(C1604=TRUE)*30</f>
        <v/>
      </c>
    </row>
    <row r="1626">
      <c r="A1626" t="inlineStr">
        <is>
          <t>Global Final Damage Bonus % (Mortal Blow)</t>
        </is>
      </c>
      <c r="B1626">
        <f>(C1605=TRUE)*F1605</f>
        <v/>
      </c>
    </row>
    <row r="1627">
      <c r="A1627" t="inlineStr">
        <is>
          <t>Buff-Casting Startup Delay (s, fixed-duration only)</t>
        </is>
      </c>
      <c r="B1627">
        <f>IF(AND(Inputs!$B$38&lt;&gt;"pvp",Inputs!$B$43&gt;0),SUMPRODUCT((Skills!T2:T30&gt;0)*(Skills!E2:E30=TRUE)*(C1589:C1617=TRUE))/B1622,0)</f>
        <v/>
      </c>
    </row>
    <row r="1628">
      <c r="A1628" s="5" t="inlineStr">
        <is>
          <t>TOTAL DPS</t>
        </is>
      </c>
      <c r="B1628" s="5">
        <f>SUM(O1589:O1617)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2026-09-18T10:59:55Z</dcterms:created>
  <dcterms:modified xsi:type="dcterms:W3CDTF">2026-09-18T10:59:55Z</dcterms:modified>
</cp:coreProperties>
</file>