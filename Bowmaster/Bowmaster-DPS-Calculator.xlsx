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Bowmaster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Archer Mastery/Bow Acceleration)</t>
        </is>
      </c>
      <c r="B11" s="6" t="n">
        <v>0</v>
      </c>
    </row>
    <row r="12">
      <c r="A12" s="5" t="inlineStr">
        <is>
          <t>Flat DEX (include Soul Arrow: Bow's own bonus if unlocked)</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0"/>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Final Attack: Bow + Advanced Final Attack's own combined steady-state contribution (ProcChance x AdditionalDamage% x (1+AdvancedFD%/100) x 25, the x25 converting Final Attack's own attack-triggered percentage into an equivalent addition to Arrow Stream's per-hit coefficient at Arrow Stream's own 5-hit-per-cast rate — see the module docstring for why this is folded in rather than an independent pipeline) PLUS the real Arrow Stream - Damage mastery chain (98/104/113/118/126/130, cumulative +10/11/12/13/14/15%).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FINAL_ATTACK_BOW_HELPER</t>
        </is>
      </c>
      <c r="B3" t="inlineStr">
        <is>
          <t>Final Attack: 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inlineStr"/>
      <c r="V3" t="inlineStr"/>
      <c r="W3" t="inlineStr">
        <is>
          <t>Helper row only (no independent O-column DPS) — feeds Arrow Stream's own coefficient. 25% chance, 35%-&gt;49% additional damage (levels 1-100). factorIndex 21, baseDamage 350 tenths%. Mastery Lv.52 'Final Attack - Damage' +50% (real SkillMasteryBonus%, confirmed via Bowmaster/Mastery — same pattern/level as Marksman's own Final Attack: Crossbow helper, missing from this row until caught during the Marksman build's own cross-check).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inlineStr"/>
      <c r="V4" t="inlineStr"/>
      <c r="W4" t="inlineStr">
        <is>
          <t>Helper row only — feeds Arrow Stream's own coefficient (Final Attack's own Final Damage bonus). +500%-&gt;900% FD (levels 1-200). factorIndex 21, baseDamage 5000 tenths%. Mastery Lv.111 'Advanced Final Attack - Enhance' +50% (real SkillMasteryBonus%, confirmed via Bowmaster/Mastery — same treatment as FINAL_ATTACK_BOW_HELPER above). Not otherwise patched.</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1/(1+(Summary!$B$61-1)*4/15)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MAPLE_HERO_HELPER</t>
        </is>
      </c>
      <c r="B10" t="inlineStr">
        <is>
          <t>Maple Hero (helper)</t>
        </is>
      </c>
      <c r="C10" t="n">
        <v>4</v>
      </c>
      <c r="D10" t="inlineStr"/>
      <c r="E10" t="b">
        <v>0</v>
      </c>
      <c r="F10" t="n">
        <v>1</v>
      </c>
      <c r="G10" t="n">
        <v>1</v>
      </c>
      <c r="H10" t="n">
        <v>0</v>
      </c>
      <c r="I10" t="n">
        <v>0</v>
      </c>
      <c r="J10" t="n">
        <v>100</v>
      </c>
      <c r="K10" t="n">
        <v>1</v>
      </c>
      <c r="L10" t="n">
        <v>250</v>
      </c>
      <c r="M10" t="n">
        <v>23</v>
      </c>
      <c r="N10" t="b">
        <v>1</v>
      </c>
      <c r="O10" t="n">
        <v>0</v>
      </c>
      <c r="P10" t="n">
        <v>0</v>
      </c>
      <c r="Q10" t="n">
        <v>0</v>
      </c>
      <c r="R10" t="n">
        <v>0</v>
      </c>
      <c r="S10" t="inlineStr"/>
      <c r="T10" t="n">
        <v>0</v>
      </c>
      <c r="U10" t="inlineStr"/>
      <c r="V10" t="inlineStr"/>
      <c r="W10"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1">
      <c r="A11" t="inlineStr">
        <is>
          <t>FLASH_MIRAGE</t>
        </is>
      </c>
      <c r="B11" t="inlineStr">
        <is>
          <t>Flash Mirage</t>
        </is>
      </c>
      <c r="C11" t="n">
        <v>3</v>
      </c>
      <c r="D11" t="n">
        <v>5</v>
      </c>
      <c r="E11" t="b">
        <v>0</v>
      </c>
      <c r="F11" t="n">
        <v>1</v>
      </c>
      <c r="G11" t="n">
        <v>1</v>
      </c>
      <c r="H11" t="n">
        <v>0</v>
      </c>
      <c r="I11" t="n">
        <v>0</v>
      </c>
      <c r="J11" t="n">
        <v>20</v>
      </c>
      <c r="K11" t="n">
        <v>1</v>
      </c>
      <c r="L11" t="n">
        <v>50</v>
      </c>
      <c r="M11" t="n">
        <v>0</v>
      </c>
      <c r="N11" t="b">
        <v>0</v>
      </c>
      <c r="O11" t="n">
        <v>0</v>
      </c>
      <c r="P11" t="n">
        <v>0</v>
      </c>
      <c r="Q11" t="n">
        <v>0</v>
      </c>
      <c r="R11">
        <f>5+IF(Inputs!$B$3&gt;=136,1,0)</f>
        <v/>
      </c>
      <c r="S11" t="inlineStr"/>
      <c r="T11" t="n">
        <v>0</v>
      </c>
      <c r="U11" t="inlineStr"/>
      <c r="V11" t="inlineStr"/>
      <c r="W11" t="inlineStr">
        <is>
          <t>Passive proc with a real 5s internal cooldown (own wiki infobox lists 'Cooldown: 5 sec' despite Type=Passive) — modeled as a normal Cooldown(s)-gated row (CostsActionSlot=False) so effective proc rate is capped at once per 5s x 20% chance. Own damage% (5%) confirmed non-scaling across all sampled levels 1-200 — factorIndex 0, baseDamage 50 tenths%. Its own 'activation chance/damage increases based on Attack Speed' text (550-&gt;990 across levels) is too vague to model precisely (unclear whether it means chance, damage, or a hard cap) — FLAGGED, not modeled, flat 20%/5% used throughout. Wiki calls this skill 'Flash Mirage'; the Aug 13 patch notes call the SAME skill 'Speed Mirage' (confirmed via mechanic match — targets 5-&gt;7, detection range +~14%, target count not modeled here since this row is single-target-proc shaped). Flash Mirage II (Lv.110, see FLASH_MIRAGE_II_HELPER) adds +targets/+FD once unlocked, baked into NormalMonsterTargets/K-column.</t>
        </is>
      </c>
    </row>
    <row r="12">
      <c r="A12" t="inlineStr">
        <is>
          <t>FLASH_MIRAGE_II_HELPER</t>
        </is>
      </c>
      <c r="B12" t="inlineStr">
        <is>
          <t>Flash Mirage II (helper)</t>
        </is>
      </c>
      <c r="C12" t="n">
        <v>4</v>
      </c>
      <c r="D12" t="inlineStr"/>
      <c r="E12" t="b">
        <v>0</v>
      </c>
      <c r="F12" t="n">
        <v>1</v>
      </c>
      <c r="G12" t="n">
        <v>1</v>
      </c>
      <c r="H12" t="n">
        <v>0</v>
      </c>
      <c r="I12" t="n">
        <v>0</v>
      </c>
      <c r="J12" t="n">
        <v>100</v>
      </c>
      <c r="K12" t="n">
        <v>1</v>
      </c>
      <c r="L12" t="n">
        <v>4000</v>
      </c>
      <c r="M12" t="n">
        <v>21</v>
      </c>
      <c r="N12" t="b">
        <v>1</v>
      </c>
      <c r="O12" t="n">
        <v>0</v>
      </c>
      <c r="P12" t="n">
        <v>0</v>
      </c>
      <c r="Q12" t="n">
        <v>0</v>
      </c>
      <c r="R12" t="n">
        <v>0</v>
      </c>
      <c r="S12" t="inlineStr"/>
      <c r="T12" t="n">
        <v>0</v>
      </c>
      <c r="U12" t="inlineStr"/>
      <c r="V12" t="inlineStr"/>
      <c r="W12"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inlineStr"/>
      <c r="V13" t="inlineStr"/>
      <c r="W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inlineStr"/>
      <c r="V14" t="inlineStr"/>
      <c r="W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inlineStr"/>
      <c r="V15" t="inlineStr"/>
      <c r="W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inlineStr"/>
      <c r="V16" t="inlineStr"/>
      <c r="W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7">
      <c r="A17" t="inlineStr">
        <is>
          <t>CONCENTRATION</t>
        </is>
      </c>
      <c r="B17" t="inlineStr">
        <is>
          <t>Concentration</t>
        </is>
      </c>
      <c r="C17" t="n">
        <v>3</v>
      </c>
      <c r="D17" t="inlineStr"/>
      <c r="E17" t="b">
        <v>0</v>
      </c>
      <c r="F17" t="n">
        <v>1</v>
      </c>
      <c r="G17" t="n">
        <v>1</v>
      </c>
      <c r="H17" t="n">
        <v>0</v>
      </c>
      <c r="I17" t="n">
        <v>0</v>
      </c>
      <c r="J17" t="n">
        <v>100</v>
      </c>
      <c r="K17" t="n">
        <v>1</v>
      </c>
      <c r="L17" t="n">
        <v>0</v>
      </c>
      <c r="M17" t="n">
        <v>0</v>
      </c>
      <c r="N17" t="b">
        <v>0</v>
      </c>
      <c r="O17" t="n">
        <v>0</v>
      </c>
      <c r="P17" t="n">
        <v>0</v>
      </c>
      <c r="Q17" t="n">
        <v>0</v>
      </c>
      <c r="R17" t="n">
        <v>0</v>
      </c>
      <c r="S17" t="inlineStr">
        <is>
          <t>CRIT_DAMAGE</t>
        </is>
      </c>
      <c r="T17" t="n">
        <v>0</v>
      </c>
      <c r="U17" t="inlineStr"/>
      <c r="V17" t="inlineStr"/>
      <c r="W17"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8">
      <c r="A18" t="inlineStr">
        <is>
          <t>MORTAL_BLOW</t>
        </is>
      </c>
      <c r="B18" t="inlineStr">
        <is>
          <t>Mortal Blow</t>
        </is>
      </c>
      <c r="C18" t="n">
        <v>3</v>
      </c>
      <c r="D18" t="inlineStr"/>
      <c r="E18" t="b">
        <v>0</v>
      </c>
      <c r="F18" t="n">
        <v>1</v>
      </c>
      <c r="G18" t="n">
        <v>1</v>
      </c>
      <c r="H18" t="n">
        <v>0</v>
      </c>
      <c r="I18" t="n">
        <v>0</v>
      </c>
      <c r="J18" t="n">
        <v>100</v>
      </c>
      <c r="K18" t="n">
        <v>1</v>
      </c>
      <c r="L18" t="n">
        <v>120</v>
      </c>
      <c r="M18" t="n">
        <v>22</v>
      </c>
      <c r="N18" t="b">
        <v>1</v>
      </c>
      <c r="O18" t="n">
        <v>0</v>
      </c>
      <c r="P18" t="n">
        <v>0</v>
      </c>
      <c r="Q18" t="n">
        <v>0</v>
      </c>
      <c r="R18" t="n">
        <v>0</v>
      </c>
      <c r="S18" t="inlineStr">
        <is>
          <t>FINAL_DAMAGE</t>
        </is>
      </c>
      <c r="T18" t="n">
        <v>0</v>
      </c>
      <c r="U18" t="inlineStr"/>
      <c r="V18" t="inlineStr"/>
      <c r="W18"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Night Lord/Shadower/FP-Mage (byte-identical wiki wording — '+15% Attack Speed, +10% Speed for 15 sec'). Flat +15% Attack Speed / +10% Speed for 15s, 60s cooldown, non-scaling. FactorIndex unused placeholder.</t>
        </is>
      </c>
    </row>
    <row r="20">
      <c r="A20" t="inlineStr">
        <is>
          <t>CRITICAL_SHOT</t>
        </is>
      </c>
      <c r="B20" t="inlineStr">
        <is>
          <t>Critical Shot</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CRIT_RATE</t>
        </is>
      </c>
      <c r="T20" t="n">
        <v>0</v>
      </c>
      <c r="U20" t="inlineStr"/>
      <c r="V20" t="inlineStr"/>
      <c r="W20" t="inlineStr">
        <is>
          <t>Magic Critical pattern — already baked into Inputs!CRIT_RATE%; feeds the 1st-Job Skill Level Bonus delta. factorIndex 22, baseDamage 50 tenths% (5%-&gt;6.5%, levels 1-100).</t>
        </is>
      </c>
    </row>
    <row r="21">
      <c r="A21" t="inlineStr">
        <is>
          <t>ARCHER_MASTERY</t>
        </is>
      </c>
      <c r="B21" t="inlineStr">
        <is>
          <t>Archer Mastery (Attack Speed)</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1st-Job Skill Level Bonus delta. factorIndex 22, baseDamage 50 tenths% (5%-&gt;6.5%, levels 1-100). Own Speed component not modeled.</t>
        </is>
      </c>
    </row>
    <row r="22">
      <c r="A22" t="inlineStr">
        <is>
          <t>BOW_ACCELERATION</t>
        </is>
      </c>
      <c r="B22" t="inlineStr">
        <is>
          <t>Bow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factorIndex 22, baseDamage 100 tenths% (10%-&gt;13%, levels 1-100).</t>
        </is>
      </c>
    </row>
    <row r="24">
      <c r="A24" t="inlineStr">
        <is>
          <t>BOW_MASTERY</t>
        </is>
      </c>
      <c r="B24" t="inlineStr">
        <is>
          <t>Bow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factorIndex 22, baseDamage 150 tenths% (15%-&gt;19.5%, levels 1-100).</t>
        </is>
      </c>
    </row>
    <row r="25">
      <c r="A25" t="inlineStr">
        <is>
          <t>EXTREME_ARCHERY_BOW</t>
        </is>
      </c>
      <c r="B25" t="inlineStr">
        <is>
          <t>Extreme Archery / Reckless Hunt: Bow</t>
        </is>
      </c>
      <c r="C25" t="n">
        <v>3</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6">
      <c r="A26" t="inlineStr">
        <is>
          <t>ARMOR_BREAK_FD</t>
        </is>
      </c>
      <c r="B26" t="inlineStr">
        <is>
          <t>Armor Break (Final Damage)</t>
        </is>
      </c>
      <c r="C26" t="n">
        <v>4</v>
      </c>
      <c r="D26" t="inlineStr"/>
      <c r="E26" t="b">
        <v>0</v>
      </c>
      <c r="F26" t="n">
        <v>1</v>
      </c>
      <c r="G26" t="n">
        <v>1</v>
      </c>
      <c r="H26" t="n">
        <v>0</v>
      </c>
      <c r="I26" t="n">
        <v>0</v>
      </c>
      <c r="J26" t="n">
        <v>100</v>
      </c>
      <c r="K26" t="n">
        <v>1</v>
      </c>
      <c r="L26" t="n">
        <v>100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7">
      <c r="A27" t="inlineStr">
        <is>
          <t>ARMOR_BREAK_DEFPEN</t>
        </is>
      </c>
      <c r="B27" t="inlineStr">
        <is>
          <t>Armor Break (Defense Penetration)</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DEF_PEN</t>
        </is>
      </c>
      <c r="T27" t="n">
        <v>0</v>
      </c>
      <c r="U27" t="inlineStr"/>
      <c r="V27" t="inlineStr"/>
      <c r="W27" t="inlineStr">
        <is>
          <t>Same skill as Armor Break (Final Damage) above, +10%-&gt;16% Defense Penetration. Magic Critical pattern — already baked into Inputs!DEF_PEN%; feeds the 4th-Job Skill Level Bonus delta (Defense Penetration side). factorIndex 22, baseDamage 100 tenths%.</t>
        </is>
      </c>
    </row>
    <row r="28">
      <c r="A28" t="inlineStr">
        <is>
          <t>BOW_EXPERT_SKILL</t>
        </is>
      </c>
      <c r="B28" t="inlineStr">
        <is>
          <t>Bow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inlineStr">
        <is>
          <t>SKILL_DAMAGE</t>
        </is>
      </c>
      <c r="T28" t="n">
        <v>0</v>
      </c>
      <c r="U28" t="inlineStr"/>
      <c r="V28" t="inlineStr"/>
      <c r="W28" t="inlineStr">
        <is>
          <t>Magic Critical pattern — already baked into Inputs!SKILL_DAMAGE%; feeds the 4th-Job Skill Level Bonus delta (Skill Damage side). factorIndex 22, baseDamage 150 tenths% (15%-&gt;24%, levels 1-200). Not patched.</t>
        </is>
      </c>
    </row>
    <row r="29">
      <c r="A29" t="inlineStr">
        <is>
          <t>BOW_EXPERT_MAXDMG</t>
        </is>
      </c>
      <c r="B29" t="inlineStr">
        <is>
          <t>Bow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inlineStr">
        <is>
          <t>MAX_DAMAGE</t>
        </is>
      </c>
      <c r="T29" t="n">
        <v>0</v>
      </c>
      <c r="U29" t="inlineStr"/>
      <c r="V29" t="inlineStr"/>
      <c r="W29" t="inlineStr">
        <is>
          <t>Same skill as Bow Expert (Skill Damage) above, +20%-&gt;32% Max Damage Multiplier. Magic Critical pattern — already baked into Inputs!MAX_DAMAGE%; feeds the 4th-Job Skill Level Bonus delta (Max Damage Multiplier side). factorIndex 22, baseDamage 200 tenths%.</t>
        </is>
      </c>
    </row>
    <row r="30">
      <c r="A30" t="inlineStr">
        <is>
          <t>SOUL_ARROW_BOW_ATK</t>
        </is>
      </c>
      <c r="B30" t="inlineStr">
        <is>
          <t>Soul Arrow: Bow (Attack%)</t>
        </is>
      </c>
      <c r="C30" t="n">
        <v>2</v>
      </c>
      <c r="D30" t="inlineStr"/>
      <c r="E30" t="b">
        <v>0</v>
      </c>
      <c r="F30" t="n">
        <v>1</v>
      </c>
      <c r="G30" t="n">
        <v>1</v>
      </c>
      <c r="H30" t="n">
        <v>0</v>
      </c>
      <c r="I30" t="n">
        <v>0</v>
      </c>
      <c r="J30" t="n">
        <v>100</v>
      </c>
      <c r="K30" t="n">
        <v>1</v>
      </c>
      <c r="L30" t="n">
        <v>80</v>
      </c>
      <c r="M30" t="n">
        <v>0</v>
      </c>
      <c r="N30" t="b">
        <v>0</v>
      </c>
      <c r="O30" t="n">
        <v>0</v>
      </c>
      <c r="P30" t="n">
        <v>0</v>
      </c>
      <c r="Q30" t="n">
        <v>0</v>
      </c>
      <c r="R30" t="n">
        <v>0</v>
      </c>
      <c r="S30" t="inlineStr">
        <is>
          <t>ATTACK</t>
        </is>
      </c>
      <c r="T30" t="n">
        <v>0</v>
      </c>
      <c r="U30" t="inlineStr"/>
      <c r="V30" t="inlineStr"/>
      <c r="W30"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J2*(1+Summary!$B$51/100)*(1+Inputs!$B$15/100)*(1+Inputs!$B$16/100)*(5000/(6000+Inputs!$B$42*(1-Inputs!$B$19/100)))*(1+(Inputs!$B$24+Summary!$B$65)/100)*(1+(IF(Skills!A2="ARROW_STREAM",Inputs!$B$17,Inputs!$B$18))/100)*(Summary!$B$57*I2)</f>
        <v/>
      </c>
      <c r="L2">
        <f>K2*(MIN(Inputs!$B$22,Inputs!$B$23)/100+Inputs!$B$23/100)/2</f>
        <v/>
      </c>
      <c r="M2">
        <f>L2*(1+(Inputs!$B$10+Summary!$B$64)/100)</f>
        <v/>
      </c>
      <c r="N2">
        <f>L2*(1-MIN((Inputs!$B$9+Summary!$B$58),100)/100)+M2*(MIN((Inputs!$B$9+Summary!$B$58),100)/100)</f>
        <v/>
      </c>
      <c r="O2">
        <f>(1-Summary!$B$55)*T2+Summary!$B$55*V2</f>
        <v/>
      </c>
      <c r="P2">
        <f>IF(Summary!$B$3=0,0,O2/Summary!$B$3)</f>
        <v/>
      </c>
      <c r="Q2" t="n">
        <v>0</v>
      </c>
      <c r="R2" t="n">
        <v>0</v>
      </c>
      <c r="S2">
        <f>IFERROR(O2/N2,0)</f>
        <v/>
      </c>
      <c r="T2">
        <f>IF(C2,(Skills!G2*N2*Summary!$B$63)*IF(Inputs!$B$38="pvp",1,1+(Inputs!$B$20+Skills!P2+Summary!$B$59)/100),0)</f>
        <v/>
      </c>
      <c r="V2">
        <f>IF(C2,(Skills!G2*N2*Summary!$B$63)*IF(Inputs!$B$38="pvp",1,(1+(Inputs!$B$21+Skills!Q2+Summary!$B$59)/100)*(MIN(Skills!R2,Inputs!$B$37))),0)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J5*(1+Summary!$B$51/100)*(1+Inputs!$B$15/100)*(1+Inputs!$B$16/100)*(5000/(6000+Inputs!$B$42*(1-Inputs!$B$19/100)))*(1+(Inputs!$B$24+Summary!$B$65)/100)*(1+4.0*IF(C10=TRUE,F10,0)/100)*(1+(IF(Skills!A5="ARROW_STREAM",Inputs!$B$17,Inputs!$B$18))/100)*(Summary!$B$57*I5)</f>
        <v/>
      </c>
      <c r="L5">
        <f>K5*(MIN(Inputs!$B$22,Inputs!$B$23)/100+Inputs!$B$23/100)/2</f>
        <v/>
      </c>
      <c r="M5">
        <f>L5*(1+(Inputs!$B$10+Summary!$B$64)/100)</f>
        <v/>
      </c>
      <c r="N5">
        <f>L5*(1-MIN((Inputs!$B$9+Summary!$B$58),100)/100)+M5*(MIN((Inputs!$B$9+Summary!$B$58),100)/100)</f>
        <v/>
      </c>
      <c r="O5">
        <f>(1-Summary!$B$55)*T5+Summary!$B$55*V5</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c r="T5">
        <f>IF(C5,(H5*N5*IF(AND(Inputs!$B$38&lt;&gt;"pvp",Inputs!$B$43&gt;0),((Skills!G5*((R5-1)*IF(Skills!H5&gt;0,Skills!I5/Skills!H5,1)+IF(Skills!H5&gt;0,MIN(Skills!I5,MAX(0,MAX(0,Inputs!$B$43-Summary!$B$67)-((R5-1)*IF(Inputs!$B$38="pvp",15,MAX(0.1,Skills!D5-IF(Skills!E5=TRUE,Inputs!$B$32,0))))))/Skills!H5,1)))/Inputs!$B$43),G5*Q5))*IF(Inputs!$B$38="pvp",1,1+(Inputs!$B$20+Skills!P5+Summary!$B$59)/100),0)</f>
        <v/>
      </c>
      <c r="V5">
        <f>IF(C5,(H5*N5*IF(AND(Inputs!$B$38&lt;&gt;"pvp",Inputs!$B$43&gt;0),((Skills!G5*((R5-1)*IF(Skills!H5&gt;0,Skills!I5/Skills!H5,1)+IF(Skills!H5&gt;0,MIN(Skills!I5,MAX(0,MAX(0,Inputs!$B$43-Summary!$B$67)-((R5-1)*IF(Inputs!$B$38="pvp",15,MAX(0.1,Skills!D5-IF(Skills!E5=TRUE,Inputs!$B$32,0))))))/Skills!H5,1)))/Inputs!$B$43),G5*Q5))*IF(Inputs!$B$38="pvp",1,(1+(Inputs!$B$21+Skills!Q5+Summary!$B$59)/100)*(MIN(Skills!R5,Inputs!$B$37))),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J6*(1+Summary!$B$51/100)*(1+Inputs!$B$15/100)*(1+Inputs!$B$16/100)*(5000/(6000+Inputs!$B$42*(1-Inputs!$B$19/100)))*(1+(Inputs!$B$24+Summary!$B$65)/100)*(1+IF(C7=TRUE,F7,0)/100)*(1+(IF(Skills!A6="ARROW_STREAM",Inputs!$B$17,Inputs!$B$18))/100)*(Summary!$B$57*I6)</f>
        <v/>
      </c>
      <c r="L6">
        <f>K6*(MIN(Inputs!$B$22,Inputs!$B$23)/100+Inputs!$B$23/100)/2</f>
        <v/>
      </c>
      <c r="M6">
        <f>L6*(1+(Inputs!$B$10+Summary!$B$64)/100)</f>
        <v/>
      </c>
      <c r="N6">
        <f>L6*(1-MIN((Inputs!$B$9+Summary!$B$58),100)/100)+M6*(MIN((Inputs!$B$9+Summary!$B$58),100)/100)</f>
        <v/>
      </c>
      <c r="O6">
        <f>(1-Summary!$B$55)*T6+Summary!$B$55*V6</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c r="T6">
        <f>IF(C6,(H6*N6*IF(AND(Inputs!$B$38&lt;&gt;"pvp",Inputs!$B$43&gt;0),((Skills!G6*((R6-1)*IF(Skills!H6&gt;0,Skills!I6/Skills!H6,1)+IF(Skills!H6&gt;0,MIN(Skills!I6,MAX(0,MAX(0,Inputs!$B$43-Summary!$B$67)-((R6-1)*IF(Inputs!$B$38="pvp",15,MAX(0.1,Skills!D6-IF(Skills!E6=TRUE,Inputs!$B$32,0))))))/Skills!H6,1)))/Inputs!$B$43),G6*Q6))*IF(Inputs!$B$38="pvp",1,1+(Inputs!$B$20+Skills!P6+Summary!$B$59)/100),0)</f>
        <v/>
      </c>
      <c r="V6">
        <f>IF(C6,(H6*N6*IF(AND(Inputs!$B$38&lt;&gt;"pvp",Inputs!$B$43&gt;0),((Skills!G6*((R6-1)*IF(Skills!H6&gt;0,Skills!I6/Skills!H6,1)+IF(Skills!H6&gt;0,MIN(Skills!I6,MAX(0,MAX(0,Inputs!$B$43-Summary!$B$67)-((R6-1)*IF(Inputs!$B$38="pvp",15,MAX(0.1,Skills!D6-IF(Skills!E6=TRUE,Inputs!$B$32,0))))))/Skills!H6,1)))/Inputs!$B$43),G6*Q6))*IF(Inputs!$B$38="pvp",1,(1+(Inputs!$B$21+Skills!Q6+Summary!$B$59)/100)*(MIN(Skills!R6,Inputs!$B$37))),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J8*(1+Summary!$B$51/100)*(1+Inputs!$B$15/100)*(1+Inputs!$B$16/100)*(5000/(6000+Inputs!$B$42*(1-Inputs!$B$19/100)))*(1+(Inputs!$B$24+Summary!$B$65)/100)*(1+1.2*IF(C10=TRUE,F10,0)/100)*(1+(IF(Skills!A8="ARROW_STREAM",Inputs!$B$17,Inputs!$B$18))/100)*(Summary!$B$57*I8)</f>
        <v/>
      </c>
      <c r="L8">
        <f>K8*(MIN(Inputs!$B$22,Inputs!$B$23)/100+Inputs!$B$23/100)/2</f>
        <v/>
      </c>
      <c r="M8">
        <f>L8*(1+(Inputs!$B$10+Summary!$B$64)/100)</f>
        <v/>
      </c>
      <c r="N8">
        <f>L8*(1-MIN((Inputs!$B$9+Summary!$B$58),100)/100)+M8*(MIN((Inputs!$B$9+Summary!$B$58),100)/100)</f>
        <v/>
      </c>
      <c r="O8">
        <f>(1-Summary!$B$55)*T8+Summary!$B$55*V8</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c r="T8">
        <f>IF(C8,(H8*N8*IF(AND(Inputs!$B$38&lt;&gt;"pvp",Inputs!$B$43&gt;0),((Skills!G8*((R8-1)*IF(Skills!H8&gt;0,Skills!I8/Skills!H8,1)+IF(Skills!H8&gt;0,MIN(Skills!I8,MAX(0,MAX(0,Inputs!$B$43-Summary!$B$67)-((R8-1)*IF(Inputs!$B$38="pvp",15,MAX(0.1,Skills!D8-IF(Skills!E8=TRUE,Inputs!$B$32,0))))))/Skills!H8,1)))/Inputs!$B$43),G8*Q8))*IF(Inputs!$B$38="pvp",1,1+(Inputs!$B$20+Skills!P8+Summary!$B$59)/100),0)</f>
        <v/>
      </c>
      <c r="V8">
        <f>IF(C8,(H8*N8*IF(AND(Inputs!$B$38&lt;&gt;"pvp",Inputs!$B$43&gt;0),((Skills!G8*((R8-1)*IF(Skills!H8&gt;0,Skills!I8/Skills!H8,1)+IF(Skills!H8&gt;0,MIN(Skills!I8,MAX(0,MAX(0,Inputs!$B$43-Summary!$B$67)-((R8-1)*IF(Inputs!$B$38="pvp",15,MAX(0.1,Skills!D8-IF(Skills!E8=TRUE,Inputs!$B$32,0))))))/Skills!H8,1)))/Inputs!$B$43),G8*Q8))*IF(Inputs!$B$38="pvp",1,(1+(Inputs!$B$21+Skills!Q8+Summary!$B$59)/100)*(MIN(Skills!R8,Inputs!$B$37))),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J9*(1+Summary!$B$51/100)*(1+Inputs!$B$15/100)*(1+Inputs!$B$16/100)*(5000/(6000+Inputs!$B$42*(1-Inputs!$B$19/100)))*(1+(Inputs!$B$24+Summary!$B$65)/100)*(1+1.0*IF(C10=TRUE,F10,0)/100)*(1+(IF(Skills!A9="ARROW_STREAM",Inputs!$B$17,Inputs!$B$18))/100)*(Summary!$B$57*I9)</f>
        <v/>
      </c>
      <c r="L9">
        <f>K9*(MIN(Inputs!$B$22,Inputs!$B$23)/100+Inputs!$B$23/100)/2</f>
        <v/>
      </c>
      <c r="M9">
        <f>L9*(1+(Inputs!$B$10+Summary!$B$64)/100)</f>
        <v/>
      </c>
      <c r="N9">
        <f>L9*(1-MIN((Inputs!$B$9+Summary!$B$58),100)/100)+M9*(MIN((Inputs!$B$9+Summary!$B$58),100)/100)</f>
        <v/>
      </c>
      <c r="O9">
        <f>(1-Summary!$B$55)*T9+Summary!$B$55*V9</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c r="T9">
        <f>IF(C9,(H9*N9*IF(AND(Inputs!$B$38&lt;&gt;"pvp",Inputs!$B$43&gt;0),((Skills!G9*((R9-1)*IF(Skills!H9&gt;0,Skills!I9/Skills!H9,1)+IF(Skills!H9&gt;0,MIN(Skills!I9,MAX(0,MAX(0,Inputs!$B$43-Summary!$B$67)-((R9-1)*IF(Inputs!$B$38="pvp",15,MAX(0.1,Skills!D9-IF(Skills!E9=TRUE,Inputs!$B$32,0))))))/Skills!H9,1)))/Inputs!$B$43),G9*Q9))*IF(Inputs!$B$38="pvp",1,1+(Inputs!$B$20+Skills!P9+Summary!$B$59)/100),0)</f>
        <v/>
      </c>
      <c r="V9">
        <f>IF(C9,(H9*N9*IF(AND(Inputs!$B$38&lt;&gt;"pvp",Inputs!$B$43&gt;0),((Skills!G9*((R9-1)*IF(Skills!H9&gt;0,Skills!I9/Skills!H9,1)+IF(Skills!H9&gt;0,MIN(Skills!I9,MAX(0,MAX(0,Inputs!$B$43-Summary!$B$67)-((R9-1)*IF(Inputs!$B$38="pvp",15,MAX(0.1,Skills!D9-IF(Skills!E9=TRUE,Inputs!$B$32,0))))))/Skills!H9,1)))/Inputs!$B$43),G9*Q9))*IF(Inputs!$B$38="pvp",1,(1+(Inputs!$B$21+Skills!Q9+Summary!$B$59)/100)*(MIN(Skills!R9,Inputs!$B$37))),0)</f>
        <v/>
      </c>
    </row>
    <row r="10">
      <c r="A10">
        <f>Skills!A10</f>
        <v/>
      </c>
      <c r="B10">
        <f>Skills!B10</f>
        <v/>
      </c>
      <c r="C10">
        <f>Inputs!$B$3&gt;=100</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t="inlineStr"/>
      <c r="H10" t="inlineStr"/>
      <c r="I10" t="inlineStr">
        <is>
          <t>1</t>
        </is>
      </c>
      <c r="J10" t="inlineStr"/>
      <c r="K10" t="inlineStr"/>
      <c r="L10" t="inlineStr"/>
      <c r="M10" t="inlineStr"/>
      <c r="N10" t="inlineStr"/>
      <c r="O10" t="inlineStr"/>
      <c r="P10" t="inlineStr"/>
      <c r="Q10" t="inlineStr"/>
      <c r="R10" t="inlineStr"/>
      <c r="S10" t="inlineStr"/>
      <c r="T10" t="inlineStr"/>
      <c r="V10" t="inlineStr"/>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J11*(1+Summary!$B$51/100)*(1+Inputs!$B$15/100)*(1+Inputs!$B$16/100)*(5000/(6000+Inputs!$B$42*(1-Inputs!$B$19/100)))*(1+(Inputs!$B$24+Summary!$B$65)/100)*(1+IF(C12=TRUE,F12,0)/100)*(1+(IF(Skills!A11="ARROW_STREAM",Inputs!$B$17,Inputs!$B$18))/100)*(Summary!$B$57*I11)</f>
        <v/>
      </c>
      <c r="L11">
        <f>K11*(MIN(Inputs!$B$22,Inputs!$B$23)/100+Inputs!$B$23/100)/2</f>
        <v/>
      </c>
      <c r="M11">
        <f>L11*(1+(Inputs!$B$10+Summary!$B$64)/100)</f>
        <v/>
      </c>
      <c r="N11">
        <f>L11*(1-MIN((Inputs!$B$9+Summary!$B$58),100)/100)+M11*(MIN((Inputs!$B$9+Summary!$B$58),100)/100)</f>
        <v/>
      </c>
      <c r="O11">
        <f>(1-Summary!$B$55)*T11+Summary!$B$55*V11</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c r="T11">
        <f>IF(C11,(H11*N11*IF(AND(Inputs!$B$38&lt;&gt;"pvp",Inputs!$B$43&gt;0),((Skills!G11*((R11-1)*IF(Skills!H11&gt;0,Skills!I11/Skills!H11,1)+IF(Skills!H11&gt;0,MIN(Skills!I11,MAX(0,MAX(0,Inputs!$B$43-Summary!$B$67)-((R11-1)*IF(Inputs!$B$38="pvp",15,MAX(0.1,Skills!D11-IF(Skills!E11=TRUE,Inputs!$B$32,0))))))/Skills!H11,1)))/Inputs!$B$43),G11*Q11))*IF(Inputs!$B$38="pvp",1,1+(Inputs!$B$20+Skills!P11+Summary!$B$59)/100),0)</f>
        <v/>
      </c>
      <c r="V11">
        <f>IF(C11,(H11*N11*IF(AND(Inputs!$B$38&lt;&gt;"pvp",Inputs!$B$43&gt;0),((Skills!G11*((R11-1)*IF(Skills!H11&gt;0,Skills!I11/Skills!H11,1)+IF(Skills!H11&gt;0,MIN(Skills!I11,MAX(0,MAX(0,Inputs!$B$43-Summary!$B$67)-((R11-1)*IF(Inputs!$B$38="pvp",15,MAX(0.1,Skills!D11-IF(Skills!E11=TRUE,Inputs!$B$32,0))))))/Skills!H11,1)))/Inputs!$B$43),G11*Q11))*IF(Inputs!$B$38="pvp",1,(1+(Inputs!$B$21+Skills!Q11+Summary!$B$59)/100)*(MIN(Skills!R11,Inputs!$B$37))),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(1-Summary!$B$55)*T13+Summary!$B$55*V13</f>
        <v/>
      </c>
      <c r="P13">
        <f>IF(Summary!$B$3=0,0,O13/Summary!$B$3)</f>
        <v/>
      </c>
      <c r="Q13" t="n">
        <v>0</v>
      </c>
      <c r="R13" t="n">
        <v>0</v>
      </c>
      <c r="S13">
        <f>IFERROR(O13/N13,0)</f>
        <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(1-Summary!$B$55)*T14+Summary!$B$55*V14</f>
        <v/>
      </c>
      <c r="P14">
        <f>IF(Summary!$B$3=0,0,O14/Summary!$B$3)</f>
        <v/>
      </c>
      <c r="Q14" t="n">
        <v>0</v>
      </c>
      <c r="R14" t="n">
        <v>0</v>
      </c>
      <c r="S14">
        <f>IFERROR(O14/N14,0)</f>
        <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(1-Summary!$B$55)*T15+Summary!$B$55*V15</f>
        <v/>
      </c>
      <c r="P15">
        <f>IF(Summary!$B$3=0,0,O15/Summary!$B$3)</f>
        <v/>
      </c>
      <c r="Q15">
        <f>IFERROR(1/IF(Inputs!$B$38="pvp",15,MAX(0.1,Skills!D15-IF(Skills!E15=TRUE,Inputs!$B$32,0))),0)</f>
        <v/>
      </c>
      <c r="R15">
        <f>IF(AND(Inputs!$B$38&lt;&gt;"pvp",Inputs!$B$43&gt;0),IF(Inputs!$B$43&lt;=0,0,(INT(Inputs!$B$43/IF(Inputs!$B$38="pvp",15,MAX(0.1,Skills!D15-IF(Skills!E15=TRUE,Inputs!$B$32,0))))+1)),0)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(1-Summary!$B$55)*T16+Summary!$B$55*V16</f>
        <v/>
      </c>
      <c r="P16">
        <f>IF(Summary!$B$3=0,0,O16/Summary!$B$3)</f>
        <v/>
      </c>
      <c r="Q16">
        <f>IFERROR(1/IF(Inputs!$B$38="pvp",15,MAX(0.1,Skills!D16-IF(Skills!E16=TRUE,Inputs!$B$32,0))),0)</f>
        <v/>
      </c>
      <c r="R16">
        <f>IF(AND(Inputs!$B$38&lt;&gt;"pvp",Inputs!$B$43&gt;0),IF(Inputs!$B$43&lt;=0,0,(INT(Inputs!$B$43/IF(Inputs!$B$38="pvp",15,MAX(0.1,Skills!D16-IF(Skills!E16=TRUE,Inputs!$B$32,0))))+1)),0)</f>
        <v/>
      </c>
      <c r="S16">
        <f>IFERROR(O16/N16,0)</f>
        <v/>
      </c>
      <c r="T16" t="n">
        <v>0</v>
      </c>
      <c r="V16" t="n">
        <v>0</v>
      </c>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(1-Summary!$B$55)*T17+Summary!$B$55*V17</f>
        <v/>
      </c>
      <c r="P17">
        <f>IF(Summary!$B$3=0,0,O17/Summary!$B$3)</f>
        <v/>
      </c>
      <c r="Q17" t="n">
        <v>0</v>
      </c>
      <c r="R17" t="n">
        <v>0</v>
      </c>
      <c r="S17">
        <f>IFERROR(O17/N17,0)</f>
        <v/>
      </c>
      <c r="T17" t="n">
        <v>0</v>
      </c>
      <c r="V17" t="n">
        <v>0</v>
      </c>
    </row>
    <row r="18">
      <c r="A18">
        <f>Skills!A18</f>
        <v/>
      </c>
      <c r="B18">
        <f>Skills!B18</f>
        <v/>
      </c>
      <c r="C18">
        <f>Inputs!$B$3&gt;=72</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(1-Summary!$B$55)*T18+Summary!$B$55*V18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(1-Summary!$B$55)*T19+Summary!$B$55*V19</f>
        <v/>
      </c>
      <c r="P19">
        <f>IF(Summary!$B$3=0,0,O19/Summary!$B$3)</f>
        <v/>
      </c>
      <c r="Q19">
        <f>IFERROR(1/IF(Inputs!$B$38="pvp",15,MAX(0.1,Skills!D19-IF(Skills!E19=TRUE,Inputs!$B$32,0))),0)</f>
        <v/>
      </c>
      <c r="R19">
        <f>IF(AND(Inputs!$B$38&lt;&gt;"pvp",Inputs!$B$43&gt;0),IF(Inputs!$B$43&lt;=0,0,(INT(Inputs!$B$43/IF(Inputs!$B$38="pvp",15,MAX(0.1,Skills!D19-IF(Skills!E19=TRUE,Inputs!$B$32,0))))+1)),0)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(1-Summary!$B$55)*T20+Summary!$B$55*V20</f>
        <v/>
      </c>
      <c r="P20">
        <f>IF(Summary!$B$3=0,0,O20/Summary!$B$3)</f>
        <v/>
      </c>
      <c r="Q20" t="n">
        <v>0</v>
      </c>
      <c r="R20" t="n">
        <v>0</v>
      </c>
      <c r="S20">
        <f>IFERROR(O20/N20,0)</f>
        <v/>
      </c>
      <c r="T20" t="n">
        <v>0</v>
      </c>
      <c r="V20" t="n">
        <v>0</v>
      </c>
    </row>
    <row r="21">
      <c r="A21">
        <f>Skills!A21</f>
        <v/>
      </c>
      <c r="B21">
        <f>Skills!B21</f>
        <v/>
      </c>
      <c r="C21">
        <f>Inputs!$B$3&gt;=10</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(1-Summary!$B$55)*T21+Summary!$B$55*V21</f>
        <v/>
      </c>
      <c r="P21">
        <f>IF(Summary!$B$3=0,0,O21/Summary!$B$3)</f>
        <v/>
      </c>
      <c r="Q21" t="n">
        <v>0</v>
      </c>
      <c r="R21" t="n">
        <v>0</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(1-Summary!$B$55)*T22+Summary!$B$55*V22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(1-Summary!$B$55)*T23+Summary!$B$55*V23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(1-Summary!$B$55)*T24+Summary!$B$55*V24</f>
        <v/>
      </c>
      <c r="P24">
        <f>IF(Summary!$B$3=0,0,O24/Summary!$B$3)</f>
        <v/>
      </c>
      <c r="Q24" t="n">
        <v>0</v>
      </c>
      <c r="R24" t="n">
        <v>0</v>
      </c>
      <c r="S24">
        <f>IFERROR(O24/N24,0)</f>
        <v/>
      </c>
      <c r="T24" t="n">
        <v>0</v>
      </c>
      <c r="V24" t="n">
        <v>0</v>
      </c>
    </row>
    <row r="25">
      <c r="A25">
        <f>Skills!A25</f>
        <v/>
      </c>
      <c r="B25">
        <f>Skills!B25</f>
        <v/>
      </c>
      <c r="C25">
        <f>Inputs!$B$3&gt;=75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(1-Summary!$B$55)*T25+Summary!$B$55*V25</f>
        <v/>
      </c>
      <c r="P25">
        <f>IF(Summary!$B$3=0,0,O25/Summary!$B$3)</f>
        <v/>
      </c>
      <c r="Q25" t="n">
        <v>0</v>
      </c>
      <c r="R25" t="n">
        <v>0</v>
      </c>
      <c r="S25">
        <f>IFERROR(O25/N25,0)</f>
        <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(1-Summary!$B$55)*T26+Summary!$B$55*V26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(1-Summary!$B$55)*T27+Summary!$B$55*V27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(1-Summary!$B$55)*T28+Summary!$B$55*V28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(1-Summary!$B$55)*T29+Summary!$B$55*V29</f>
        <v/>
      </c>
      <c r="P29">
        <f>IF(Summary!$B$3=0,0,O29/Summary!$B$3)</f>
        <v/>
      </c>
      <c r="Q29" t="n">
        <v>0</v>
      </c>
      <c r="R29" t="n">
        <v>0</v>
      </c>
      <c r="S29">
        <f>IFERROR(O29/N29,0)</f>
        <v/>
      </c>
      <c r="T29" t="n">
        <v>0</v>
      </c>
      <c r="V29" t="n">
        <v>0</v>
      </c>
    </row>
    <row r="30">
      <c r="A30">
        <f>Skills!A30</f>
        <v/>
      </c>
      <c r="B30">
        <f>Skills!B30</f>
        <v/>
      </c>
      <c r="C30">
        <f>Inputs!$B$3&gt;=45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(1-Summary!$B$55)*T30+Summary!$B$55*V30</f>
        <v/>
      </c>
      <c r="P30">
        <f>IF(Summary!$B$3=0,0,O30/Summary!$B$3)</f>
        <v/>
      </c>
      <c r="Q30" t="n">
        <v>0</v>
      </c>
      <c r="R30" t="n">
        <v>0</v>
      </c>
      <c r="S30">
        <f>IFERROR(O30/N30,0)</f>
        <v/>
      </c>
      <c r="T30" t="n">
        <v>0</v>
      </c>
      <c r="V30"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Calc!B8</f>
        <v/>
      </c>
      <c r="B10">
        <f>Calc!O8</f>
        <v/>
      </c>
      <c r="C10">
        <f>Calc!P8*100</f>
        <v/>
      </c>
    </row>
    <row r="11">
      <c r="A11">
        <f>Calc!B9</f>
        <v/>
      </c>
      <c r="B11">
        <f>Calc!O9</f>
        <v/>
      </c>
      <c r="C11">
        <f>Calc!P9*100</f>
        <v/>
      </c>
    </row>
    <row r="12">
      <c r="A12">
        <f>Calc!B11</f>
        <v/>
      </c>
      <c r="B12">
        <f>Calc!O11</f>
        <v/>
      </c>
      <c r="C12">
        <f>Calc!P11*100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9">
      <c r="A49" s="7" t="inlineStr">
        <is>
          <t>Derived Values (read-only, computed from Inputs)</t>
        </is>
      </c>
    </row>
    <row r="50">
      <c r="A50" t="inlineStr">
        <is>
          <t>ATTACK (= Flat ATTACK x (1+ATTACK%/100))</t>
        </is>
      </c>
      <c r="B50">
        <f>Inputs!$B$6*(1+Inputs!$B$7/100)</f>
        <v/>
      </c>
    </row>
    <row r="51">
      <c r="A51" t="inlineStr">
        <is>
          <t>STAT_DAMAGE % (= 1% of total DEX + 0.25% of STR)</t>
        </is>
      </c>
      <c r="B51">
        <f>(Inputs!$B$12*(1+Inputs!$B$13/100))*0.01+Inputs!$B$14*0.0025</f>
        <v/>
      </c>
    </row>
    <row r="52">
      <c r="A52" t="inlineStr">
        <is>
          <t>Basic Attack (Arrow Stream)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Arrow Stream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(Marksmanship base+conditional + Illusion Step, summed additively)</t>
        </is>
      </c>
      <c r="B57">
        <f>1+(((Calc!C13=TRUE)*Calc!F13)+((Calc!C14=TRUE)*IF(Inputs!$B$38="pvp",Calc!F14,(1-Summary!$B$55)*(Calc!F14)+Summary!$B$55*(0)))+((Calc!C15=TRUE)*Calc!F15*IF(AND(Inputs!$B$38&lt;&gt;"pvp",Inputs!$B$43&gt;0),(((Calc!R15-1)*(Skills!T15*(1+Inputs!$B$34/100))+MIN((Skills!T15*(1+Inputs!$B$34/100)),MAX(0,Inputs!$B$43-((Calc!R15-1)*Skills!D15))))/Inputs!$B$43),IF(Inputs!$B$38="pvp",MIN((Skills!T15*(1+Inputs!$B$34/100)),15)/15,(Skills!T15*(1+Inputs!$B$34/100))/Skills!D15))))/100</f>
        <v/>
      </c>
    </row>
    <row r="58">
      <c r="A58" t="inlineStr">
        <is>
          <t>Global Crit Rate Bonus % (Sharp Eyes, flat 20, duty-cycle averaged)</t>
        </is>
      </c>
      <c r="B58">
        <f>(Calc!C16=TRUE)*20*IF(AND(Inputs!$B$38&lt;&gt;"pvp",Inputs!$B$43&gt;0),(((Calc!R16-1)*(Skills!T16*(1+Inputs!$B$34/100))+MIN((Skills!T16*(1+Inputs!$B$34/100)),MAX(0,Inputs!$B$43-((Calc!R16-1)*Skills!D16))))/Inputs!$B$43),IF(Inputs!$B$38="pvp",MIN((Skills!T16*(1+Inputs!$B$34/100)),15)/15,(Skills!T16*(1+Inputs!$B$34/100))/Skills!D16))</f>
        <v/>
      </c>
    </row>
    <row r="59">
      <c r="A59" t="inlineStr">
        <is>
          <t>Global Monster Damage-Taken Bonus % (unused — no such source exists in this kit)</t>
        </is>
      </c>
      <c r="B59" t="n">
        <v>0</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Arrow Stream, 1/s)</t>
        </is>
      </c>
      <c r="B62">
        <f>IF(AND(Inputs!$B$38&lt;&gt;"pvp",Inputs!$B$43&gt;0),SUMPRODUCT((Skills!E2:E30=TRUE)*(Calc!C2:C30=TRUE)*Calc!R2:R30*Skills!F2:F30)/Inputs!$B$43,SUMPRODUCT((Skills!E2:E30=TRUE)*(Calc!C2:C30=TRUE)*Calc!Q2:Q30*Skills!F2:F30))</f>
        <v/>
      </c>
    </row>
    <row r="63">
      <c r="A63" t="inlineStr">
        <is>
          <t>Arrow Stream (Basic Attack) Casts Per Second</t>
        </is>
      </c>
      <c r="B63">
        <f>MAX(0,B61-B62)</f>
        <v/>
      </c>
    </row>
    <row r="64">
      <c r="A64" t="inlineStr">
        <is>
          <t>Global Critical Damage Bonus % (Sharp Eyes scaling + Concentration steady-state max stacks)</t>
        </is>
      </c>
      <c r="B64">
        <f>(Calc!C16=TRUE)*Calc!F16*IF(AND(Inputs!$B$38&lt;&gt;"pvp",Inputs!$B$43&gt;0),(((Calc!R16-1)*(Skills!T16*(1+Inputs!$B$34/100))+MIN((Skills!T16*(1+Inputs!$B$34/100)),MAX(0,Inputs!$B$43-((Calc!R16-1)*Skills!D16))))/Inputs!$B$43),IF(Inputs!$B$38="pvp",MIN((Skills!T16*(1+Inputs!$B$34/100)),15)/15,(Skills!T16*(1+Inputs!$B$34/100))/Skills!D16))+(Calc!C17=TRUE)*30</f>
        <v/>
      </c>
    </row>
    <row r="65">
      <c r="A65" t="inlineStr">
        <is>
          <t>Global Final Damage Bonus % (Mortal Blow, steady-state always-active)</t>
        </is>
      </c>
      <c r="B65">
        <f>(Calc!C18=TRUE)*Calc!F18</f>
        <v/>
      </c>
    </row>
    <row r="66">
      <c r="A66" t="inlineStr">
        <is>
          <t>Arrow Stream (Basic Attack) DPS</t>
        </is>
      </c>
      <c r="B66">
        <f>Calc!O2</f>
        <v/>
      </c>
    </row>
    <row r="67">
      <c r="A67" t="inlineStr">
        <is>
          <t>Buff-Casting Startup Delay (s, before first damage-skill cast; fixed-duration only)</t>
        </is>
      </c>
      <c r="B67">
        <f>IF(AND(Inputs!$B$38&lt;&gt;"pvp",Inputs!$B$43&gt;0),SUMPRODUCT((Skills!T2:T30&gt;0)*(Skills!E2:E30=TRUE)*(Calc!C2:C30=TRUE))/B61,0)</f>
        <v/>
      </c>
    </row>
    <row r="68">
      <c r="A68" t="inlineStr">
        <is>
          <t>Boss-Only Total DPS (Sensitivity baseline)</t>
        </is>
      </c>
      <c r="B68">
        <f>SUM(Calc!T2:T30)</f>
        <v/>
      </c>
    </row>
    <row r="69">
      <c r="A69" t="inlineStr">
        <is>
          <t>Normal-Only Total DPS (Sensitivity baseline)</t>
        </is>
      </c>
      <c r="B69">
        <f>SUM(Calc!V2:V30)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70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B76</f>
        <v/>
      </c>
      <c r="H5">
        <f>Summary!$B$3*(((1-Summary!$B$55)*IFERROR(B74/Summary!$B$68,1)+Summary!$B$55*IFERROR(B75/Summary!$B$69,1))-1)</f>
        <v/>
      </c>
      <c r="I5">
        <f>((1-Summary!$B$55)*IFERROR(B74/Summary!$B$68,1)+Summary!$B$55*IFERROR(B75/Summary!$B$69,1))*100</f>
        <v/>
      </c>
    </row>
    <row r="6">
      <c r="A6" t="inlineStr">
        <is>
          <t>DEX %</t>
        </is>
      </c>
      <c r="B6">
        <f>IFERROR(1/(I6-100),"n/a")</f>
        <v/>
      </c>
      <c r="C6" t="inlineStr">
        <is>
          <t>pct</t>
        </is>
      </c>
      <c r="D6">
        <f>Inputs!$B$13</f>
        <v/>
      </c>
      <c r="E6">
        <f>(Inputs!$B$13+1)</f>
        <v/>
      </c>
      <c r="F6">
        <f>Summary!$B$3</f>
        <v/>
      </c>
      <c r="G6">
        <f>B122</f>
        <v/>
      </c>
      <c r="H6">
        <f>Summary!$B$3*(((1-Summary!$B$55)*IFERROR(B120/Summary!$B$68,1)+Summary!$B$55*IFERROR(B121/Summary!$B$69,1))-1)</f>
        <v/>
      </c>
      <c r="I6">
        <f>((1-Summary!$B$55)*IFERROR(B120/Summary!$B$68,1)+Summary!$B$55*IFERROR(B121/Summary!$B$69,1))*100</f>
        <v/>
      </c>
    </row>
    <row r="7">
      <c r="A7" t="inlineStr">
        <is>
          <t>STR</t>
        </is>
      </c>
      <c r="B7">
        <f>IFERROR(1/(I7-100),"n/a")</f>
        <v/>
      </c>
      <c r="C7" t="inlineStr">
        <is>
          <t>flat</t>
        </is>
      </c>
      <c r="D7">
        <f>Inputs!$B$14</f>
        <v/>
      </c>
      <c r="E7">
        <f>(Inputs!$B$14+1)</f>
        <v/>
      </c>
      <c r="F7">
        <f>Summary!$B$3</f>
        <v/>
      </c>
      <c r="G7">
        <f>B168</f>
        <v/>
      </c>
      <c r="H7">
        <f>Summary!$B$3*(((1-Summary!$B$55)*IFERROR(B166/Summary!$B$68,1)+Summary!$B$55*IFERROR(B167/Summary!$B$69,1))-1)</f>
        <v/>
      </c>
      <c r="I7">
        <f>((1-Summary!$B$55)*IFERROR(B166/Summary!$B$68,1)+Summary!$B$55*IFERROR(B167/Summary!$B$69,1))*100</f>
        <v/>
      </c>
    </row>
    <row r="8">
      <c r="A8" t="inlineStr">
        <is>
          <t>DAMAGE %</t>
        </is>
      </c>
      <c r="B8">
        <f>IFERROR(1/(I8-100),"n/a")</f>
        <v/>
      </c>
      <c r="C8" t="inlineStr">
        <is>
          <t>pct</t>
        </is>
      </c>
      <c r="D8">
        <f>Inputs!$B$15</f>
        <v/>
      </c>
      <c r="E8">
        <f>(Inputs!$B$15+1)</f>
        <v/>
      </c>
      <c r="F8">
        <f>Summary!$B$3</f>
        <v/>
      </c>
      <c r="G8">
        <f>B214</f>
        <v/>
      </c>
      <c r="H8">
        <f>Summary!$B$3*(((1-Summary!$B$55)*IFERROR(B212/Summary!$B$68,1)+Summary!$B$55*IFERROR(B213/Summary!$B$69,1))-1)</f>
        <v/>
      </c>
      <c r="I8">
        <f>((1-Summary!$B$55)*IFERROR(B212/Summary!$B$68,1)+Summary!$B$55*IFERROR(B213/Summary!$B$69,1))*100</f>
        <v/>
      </c>
    </row>
    <row r="9">
      <c r="A9" t="inlineStr">
        <is>
          <t>DAMAGE_AMP %</t>
        </is>
      </c>
      <c r="B9">
        <f>IFERROR(1/(I9-100),"n/a")</f>
        <v/>
      </c>
      <c r="C9" t="inlineStr">
        <is>
          <t>pct</t>
        </is>
      </c>
      <c r="D9">
        <f>Inputs!$B$16</f>
        <v/>
      </c>
      <c r="E9">
        <f>(Inputs!$B$16+1)</f>
        <v/>
      </c>
      <c r="F9">
        <f>Summary!$B$3</f>
        <v/>
      </c>
      <c r="G9">
        <f>B260</f>
        <v/>
      </c>
      <c r="H9">
        <f>Summary!$B$3*(((1-Summary!$B$55)*IFERROR(B258/Summary!$B$68,1)+Summary!$B$55*IFERROR(B259/Summary!$B$69,1))-1)</f>
        <v/>
      </c>
      <c r="I9">
        <f>((1-Summary!$B$55)*IFERROR(B258/Summary!$B$68,1)+Summary!$B$55*IFERROR(B259/Summary!$B$69,1))*100</f>
        <v/>
      </c>
    </row>
    <row r="10">
      <c r="A10" t="inlineStr">
        <is>
          <t>BOSS_DAMAGE %</t>
        </is>
      </c>
      <c r="B10">
        <f>IFERROR(1/(I10-100),"n/a")</f>
        <v/>
      </c>
      <c r="C10" t="inlineStr">
        <is>
          <t>pct</t>
        </is>
      </c>
      <c r="D10">
        <f>Inputs!$B$20</f>
        <v/>
      </c>
      <c r="E10">
        <f>(Inputs!$B$20+1)</f>
        <v/>
      </c>
      <c r="F10">
        <f>Summary!$B$3</f>
        <v/>
      </c>
      <c r="G10">
        <f>B306</f>
        <v/>
      </c>
      <c r="H10">
        <f>Summary!$B$3*(((1-Summary!$B$55)*IFERROR(B304/Summary!$B$68,1)+Summary!$B$55*IFERROR(B305/Summary!$B$69,1))-1)</f>
        <v/>
      </c>
      <c r="I10">
        <f>((1-Summary!$B$55)*IFERROR(B304/Summary!$B$68,1)+Summary!$B$55*IFERROR(B305/Summary!$B$69,1))*100</f>
        <v/>
      </c>
    </row>
    <row r="11">
      <c r="A11" t="inlineStr">
        <is>
          <t>NORMAL_DAMAGE %</t>
        </is>
      </c>
      <c r="B11">
        <f>IFERROR(1/(I11-100),"n/a")</f>
        <v/>
      </c>
      <c r="C11" t="inlineStr">
        <is>
          <t>pct</t>
        </is>
      </c>
      <c r="D11">
        <f>Inputs!$B$21</f>
        <v/>
      </c>
      <c r="E11">
        <f>(Inputs!$B$21+1)</f>
        <v/>
      </c>
      <c r="F11">
        <f>Summary!$B$3</f>
        <v/>
      </c>
      <c r="G11">
        <f>B352</f>
        <v/>
      </c>
      <c r="H11">
        <f>Summary!$B$3*(((1-Summary!$B$55)*IFERROR(B350/Summary!$B$68,1)+Summary!$B$55*IFERROR(B351/Summary!$B$69,1))-1)</f>
        <v/>
      </c>
      <c r="I11">
        <f>((1-Summary!$B$55)*IFERROR(B350/Summary!$B$68,1)+Summary!$B$55*IFERROR(B351/Summary!$B$69,1))*100</f>
        <v/>
      </c>
    </row>
    <row r="12">
      <c r="A12" t="inlineStr">
        <is>
          <t>FINAL_DAMAGE % (multiplicative source)</t>
        </is>
      </c>
      <c r="B12">
        <f>IFERROR(1/(I12-100),"n/a")</f>
        <v/>
      </c>
      <c r="C12" t="inlineStr">
        <is>
          <t>mult</t>
        </is>
      </c>
      <c r="D12">
        <f>Inputs!$B$24</f>
        <v/>
      </c>
      <c r="E12">
        <f>((((1+Inputs!$B$24/100)*(1.01))-1)*100)</f>
        <v/>
      </c>
      <c r="F12">
        <f>Summary!$B$3</f>
        <v/>
      </c>
      <c r="G12">
        <f>B398</f>
        <v/>
      </c>
      <c r="H12">
        <f>Summary!$B$3*(((1-Summary!$B$55)*IFERROR(B396/Summary!$B$68,1)+Summary!$B$55*IFERROR(B397/Summary!$B$69,1))-1)</f>
        <v/>
      </c>
      <c r="I12">
        <f>((1-Summary!$B$55)*IFERROR(B396/Summary!$B$68,1)+Summary!$B$55*IFERROR(B397/Summary!$B$69,1))*100</f>
        <v/>
      </c>
    </row>
    <row r="13">
      <c r="A13" t="inlineStr">
        <is>
          <t>MIN_DAMAGE %</t>
        </is>
      </c>
      <c r="B13">
        <f>IFERROR(1/(I13-100),"n/a")</f>
        <v/>
      </c>
      <c r="C13" t="inlineStr">
        <is>
          <t>pct</t>
        </is>
      </c>
      <c r="D13">
        <f>Inputs!$B$22</f>
        <v/>
      </c>
      <c r="E13">
        <f>(Inputs!$B$22+1)</f>
        <v/>
      </c>
      <c r="F13">
        <f>Summary!$B$3</f>
        <v/>
      </c>
      <c r="G13">
        <f>B444</f>
        <v/>
      </c>
      <c r="H13">
        <f>Summary!$B$3*(((1-Summary!$B$55)*IFERROR(B442/Summary!$B$68,1)+Summary!$B$55*IFERROR(B443/Summary!$B$69,1))-1)</f>
        <v/>
      </c>
      <c r="I13">
        <f>((1-Summary!$B$55)*IFERROR(B442/Summary!$B$68,1)+Summary!$B$55*IFERROR(B443/Summary!$B$69,1))*100</f>
        <v/>
      </c>
    </row>
    <row r="14">
      <c r="A14" t="inlineStr">
        <is>
          <t>MAX_DAMAGE %</t>
        </is>
      </c>
      <c r="B14">
        <f>IFERROR(1/(I14-100),"n/a")</f>
        <v/>
      </c>
      <c r="C14" t="inlineStr">
        <is>
          <t>pct</t>
        </is>
      </c>
      <c r="D14">
        <f>Inputs!$B$23</f>
        <v/>
      </c>
      <c r="E14">
        <f>(Inputs!$B$23+1)</f>
        <v/>
      </c>
      <c r="F14">
        <f>Summary!$B$3</f>
        <v/>
      </c>
      <c r="G14">
        <f>B490</f>
        <v/>
      </c>
      <c r="H14">
        <f>Summary!$B$3*(((1-Summary!$B$55)*IFERROR(B488/Summary!$B$68,1)+Summary!$B$55*IFERROR(B489/Summary!$B$69,1))-1)</f>
        <v/>
      </c>
      <c r="I14">
        <f>((1-Summary!$B$55)*IFERROR(B488/Summary!$B$68,1)+Summary!$B$55*IFERROR(B489/Summary!$B$69,1))*100</f>
        <v/>
      </c>
    </row>
    <row r="15">
      <c r="A15" t="inlineStr">
        <is>
          <t>CRIT_RATE %</t>
        </is>
      </c>
      <c r="B15">
        <f>IFERROR(1/(I15-100),"n/a")</f>
        <v/>
      </c>
      <c r="C15" t="inlineStr">
        <is>
          <t>pct</t>
        </is>
      </c>
      <c r="D15">
        <f>Inputs!$B$9</f>
        <v/>
      </c>
      <c r="E15">
        <f>(Inputs!$B$9+1)</f>
        <v/>
      </c>
      <c r="F15">
        <f>Summary!$B$3</f>
        <v/>
      </c>
      <c r="G15">
        <f>B536</f>
        <v/>
      </c>
      <c r="H15">
        <f>Summary!$B$3*(((1-Summary!$B$55)*IFERROR(B534/Summary!$B$68,1)+Summary!$B$55*IFERROR(B535/Summary!$B$69,1))-1)</f>
        <v/>
      </c>
      <c r="I15">
        <f>((1-Summary!$B$55)*IFERROR(B534/Summary!$B$68,1)+Summary!$B$55*IFERROR(B535/Summary!$B$69,1))*100</f>
        <v/>
      </c>
    </row>
    <row r="16">
      <c r="A16" t="inlineStr">
        <is>
          <t>CRIT_DAMAGE %</t>
        </is>
      </c>
      <c r="B16">
        <f>IFERROR(1/(I16-100),"n/a")</f>
        <v/>
      </c>
      <c r="C16" t="inlineStr">
        <is>
          <t>pct</t>
        </is>
      </c>
      <c r="D16">
        <f>Inputs!$B$10</f>
        <v/>
      </c>
      <c r="E16">
        <f>(Inputs!$B$10+1)</f>
        <v/>
      </c>
      <c r="F16">
        <f>Summary!$B$3</f>
        <v/>
      </c>
      <c r="G16">
        <f>B582</f>
        <v/>
      </c>
      <c r="H16">
        <f>Summary!$B$3*(((1-Summary!$B$55)*IFERROR(B580/Summary!$B$68,1)+Summary!$B$55*IFERROR(B581/Summary!$B$69,1))-1)</f>
        <v/>
      </c>
      <c r="I16">
        <f>((1-Summary!$B$55)*IFERROR(B580/Summary!$B$68,1)+Summary!$B$55*IFERROR(B581/Summary!$B$69,1))*100</f>
        <v/>
      </c>
    </row>
    <row r="17">
      <c r="A17" t="inlineStr">
        <is>
          <t>ATTACK_SPEED % (diminishing returns, factor 150)</t>
        </is>
      </c>
      <c r="B17">
        <f>IFERROR(1/(I17-100),"n/a")</f>
        <v/>
      </c>
      <c r="C17" t="inlineStr">
        <is>
          <t>dr150</t>
        </is>
      </c>
      <c r="D17">
        <f>Inputs!$B$11</f>
        <v/>
      </c>
      <c r="E17">
        <f>((1-(1-Inputs!$B$11/150)*(1-1/150))*150)</f>
        <v/>
      </c>
      <c r="F17">
        <f>Summary!$B$3</f>
        <v/>
      </c>
      <c r="G17">
        <f>B628</f>
        <v/>
      </c>
      <c r="H17">
        <f>Summary!$B$3*(((1-Summary!$B$55)*IFERROR(B626/Summary!$B$68,1)+Summary!$B$55*IFERROR(B627/Summary!$B$69,1))-1)</f>
        <v/>
      </c>
      <c r="I17">
        <f>((1-Summary!$B$55)*IFERROR(B626/Summary!$B$68,1)+Summary!$B$55*IFERROR(B627/Summary!$B$69,1))*100</f>
        <v/>
      </c>
    </row>
    <row r="18">
      <c r="A18" t="inlineStr">
        <is>
          <t>DEF_PEN % (diminishing returns, factor 100)</t>
        </is>
      </c>
      <c r="B18">
        <f>IFERROR(1/(I18-100),"n/a")</f>
        <v/>
      </c>
      <c r="C18" t="inlineStr">
        <is>
          <t>dr100</t>
        </is>
      </c>
      <c r="D18">
        <f>Inputs!$B$19</f>
        <v/>
      </c>
      <c r="E18">
        <f>((1-(1-Inputs!$B$19/100)*(1-1/100))*100)</f>
        <v/>
      </c>
      <c r="F18">
        <f>Summary!$B$3</f>
        <v/>
      </c>
      <c r="G18">
        <f>B674</f>
        <v/>
      </c>
      <c r="H18">
        <f>Summary!$B$3*(((1-Summary!$B$55)*IFERROR(B672/Summary!$B$68,1)+Summary!$B$55*IFERROR(B673/Summary!$B$69,1))-1)</f>
        <v/>
      </c>
      <c r="I18">
        <f>((1-Summary!$B$55)*IFERROR(B672/Summary!$B$68,1)+Summary!$B$55*IFERROR(B673/Summary!$B$69,1))*100</f>
        <v/>
      </c>
    </row>
    <row r="19">
      <c r="A19" t="inlineStr">
        <is>
          <t>BASIC_ATTACK_DAMAGE %</t>
        </is>
      </c>
      <c r="B19">
        <f>IFERROR(1/(I19-100),"n/a")</f>
        <v/>
      </c>
      <c r="C19" t="inlineStr">
        <is>
          <t>pct</t>
        </is>
      </c>
      <c r="D19">
        <f>Inputs!$B$17</f>
        <v/>
      </c>
      <c r="E19">
        <f>(Inputs!$B$17+1)</f>
        <v/>
      </c>
      <c r="F19">
        <f>Summary!$B$3</f>
        <v/>
      </c>
      <c r="G19">
        <f>B720</f>
        <v/>
      </c>
      <c r="H19">
        <f>Summary!$B$3*(((1-Summary!$B$55)*IFERROR(B718/Summary!$B$68,1)+Summary!$B$55*IFERROR(B719/Summary!$B$69,1))-1)</f>
        <v/>
      </c>
      <c r="I19">
        <f>((1-Summary!$B$55)*IFERROR(B718/Summary!$B$68,1)+Summary!$B$55*IFERROR(B719/Summary!$B$69,1))*100</f>
        <v/>
      </c>
    </row>
    <row r="20">
      <c r="A20" t="inlineStr">
        <is>
          <t>SKILL_DAMAGE %</t>
        </is>
      </c>
      <c r="B20">
        <f>IFERROR(1/(I20-100),"n/a")</f>
        <v/>
      </c>
      <c r="C20" t="inlineStr">
        <is>
          <t>pct</t>
        </is>
      </c>
      <c r="D20">
        <f>Inputs!$B$18</f>
        <v/>
      </c>
      <c r="E20">
        <f>(Inputs!$B$18+1)</f>
        <v/>
      </c>
      <c r="F20">
        <f>Summary!$B$3</f>
        <v/>
      </c>
      <c r="G20">
        <f>B766</f>
        <v/>
      </c>
      <c r="H20">
        <f>Summary!$B$3*(((1-Summary!$B$55)*IFERROR(B764/Summary!$B$68,1)+Summary!$B$55*IFERROR(B765/Summary!$B$69,1))-1)</f>
        <v/>
      </c>
      <c r="I20">
        <f>((1-Summary!$B$55)*IFERROR(B764/Summary!$B$68,1)+Summary!$B$55*IFERROR(B765/Summary!$B$69,1))*100</f>
        <v/>
      </c>
    </row>
    <row r="21">
      <c r="A21" t="inlineStr">
        <is>
          <t>Skill Level Bonus — 1st Job</t>
        </is>
      </c>
      <c r="B21">
        <f>IFERROR(1/(I21-100),"n/a")</f>
        <v/>
      </c>
      <c r="C21" t="inlineStr">
        <is>
          <t>level</t>
        </is>
      </c>
      <c r="D21">
        <f>Inputs!$B$25</f>
        <v/>
      </c>
      <c r="E21">
        <f>(Inputs!$B$25+1)</f>
        <v/>
      </c>
      <c r="F21">
        <f>Summary!$B$3</f>
        <v/>
      </c>
      <c r="G21">
        <f>B812</f>
        <v/>
      </c>
      <c r="H21">
        <f>Summary!$B$3*(((1-Summary!$B$55)*IFERROR(B810/Summary!$B$68,1)+Summary!$B$55*IFERROR(B811/Summary!$B$69,1))-1)</f>
        <v/>
      </c>
      <c r="I21">
        <f>((1-Summary!$B$55)*IFERROR(B810/Summary!$B$68,1)+Summary!$B$55*IFERROR(B811/Summary!$B$69,1))*100</f>
        <v/>
      </c>
    </row>
    <row r="22">
      <c r="A22" t="inlineStr">
        <is>
          <t>Skill Level Bonus — 2nd Job</t>
        </is>
      </c>
      <c r="B22">
        <f>IFERROR(1/(I22-100),"n/a")</f>
        <v/>
      </c>
      <c r="C22" t="inlineStr">
        <is>
          <t>level</t>
        </is>
      </c>
      <c r="D22">
        <f>Inputs!$B$26</f>
        <v/>
      </c>
      <c r="E22">
        <f>(Inputs!$B$26+1)</f>
        <v/>
      </c>
      <c r="F22">
        <f>Summary!$B$3</f>
        <v/>
      </c>
      <c r="G22">
        <f>B858</f>
        <v/>
      </c>
      <c r="H22">
        <f>Summary!$B$3*(((1-Summary!$B$55)*IFERROR(B856/Summary!$B$68,1)+Summary!$B$55*IFERROR(B857/Summary!$B$69,1))-1)</f>
        <v/>
      </c>
      <c r="I22">
        <f>((1-Summary!$B$55)*IFERROR(B856/Summary!$B$68,1)+Summary!$B$55*IFERROR(B857/Summary!$B$69,1))*100</f>
        <v/>
      </c>
    </row>
    <row r="23">
      <c r="A23" t="inlineStr">
        <is>
          <t>Skill Level Bonus — 3rd Job</t>
        </is>
      </c>
      <c r="B23">
        <f>IFERROR(1/(I23-100),"n/a")</f>
        <v/>
      </c>
      <c r="C23" t="inlineStr">
        <is>
          <t>level</t>
        </is>
      </c>
      <c r="D23">
        <f>Inputs!$B$27</f>
        <v/>
      </c>
      <c r="E23">
        <f>(Inputs!$B$27+1)</f>
        <v/>
      </c>
      <c r="F23">
        <f>Summary!$B$3</f>
        <v/>
      </c>
      <c r="G23">
        <f>B904</f>
        <v/>
      </c>
      <c r="H23">
        <f>Summary!$B$3*(((1-Summary!$B$55)*IFERROR(B902/Summary!$B$68,1)+Summary!$B$55*IFERROR(B903/Summary!$B$69,1))-1)</f>
        <v/>
      </c>
      <c r="I23">
        <f>((1-Summary!$B$55)*IFERROR(B902/Summary!$B$68,1)+Summary!$B$55*IFERROR(B903/Summary!$B$69,1))*100</f>
        <v/>
      </c>
    </row>
    <row r="24">
      <c r="A24" t="inlineStr">
        <is>
          <t>Skill Level Bonus — 4th Job</t>
        </is>
      </c>
      <c r="B24">
        <f>IFERROR(1/(I24-100),"n/a")</f>
        <v/>
      </c>
      <c r="C24" t="inlineStr">
        <is>
          <t>level</t>
        </is>
      </c>
      <c r="D24">
        <f>Inputs!$B$28</f>
        <v/>
      </c>
      <c r="E24">
        <f>(Inputs!$B$28+1)</f>
        <v/>
      </c>
      <c r="F24">
        <f>Summary!$B$3</f>
        <v/>
      </c>
      <c r="G24">
        <f>B950</f>
        <v/>
      </c>
      <c r="H24">
        <f>Summary!$B$3*(((1-Summary!$B$55)*IFERROR(B948/Summary!$B$68,1)+Summary!$B$55*IFERROR(B949/Summary!$B$69,1))-1)</f>
        <v/>
      </c>
      <c r="I24">
        <f>((1-Summary!$B$55)*IFERROR(B948/Summary!$B$68,1)+Summary!$B$55*IFERROR(B949/Summary!$B$69,1))*100</f>
        <v/>
      </c>
    </row>
    <row r="25">
      <c r="A25" t="inlineStr">
        <is>
          <t>Skill Level Bonus — All Skills</t>
        </is>
      </c>
      <c r="B25">
        <f>IFERROR(1/(I25-100),"n/a")</f>
        <v/>
      </c>
      <c r="C25" t="inlineStr">
        <is>
          <t>level</t>
        </is>
      </c>
      <c r="D25">
        <f>Inputs!$B$29</f>
        <v/>
      </c>
      <c r="E25">
        <f>(Inputs!$B$29+1)</f>
        <v/>
      </c>
      <c r="F25">
        <f>Summary!$B$3</f>
        <v/>
      </c>
      <c r="G25">
        <f>B996</f>
        <v/>
      </c>
      <c r="H25">
        <f>Summary!$B$3*(((1-Summary!$B$55)*IFERROR(B994/Summary!$B$68,1)+Summary!$B$55*IFERROR(B995/Summary!$B$69,1))-1)</f>
        <v/>
      </c>
      <c r="I25">
        <f>((1-Summary!$B$55)*IFERROR(B994/Summary!$B$68,1)+Summary!$B$55*IFERROR(B995/Summary!$B$69,1))*100</f>
        <v/>
      </c>
    </row>
    <row r="26">
      <c r="A26" t="inlineStr">
        <is>
          <t>Flat ATTACK</t>
        </is>
      </c>
      <c r="B26">
        <f>IFERROR(1/(I26-100),"n/a")</f>
        <v/>
      </c>
      <c r="C26" t="inlineStr">
        <is>
          <t>flat</t>
        </is>
      </c>
      <c r="D26">
        <f>Inputs!$B$6</f>
        <v/>
      </c>
      <c r="E26">
        <f>(Inputs!$B$6+1)</f>
        <v/>
      </c>
      <c r="F26">
        <f>Summary!$B$3</f>
        <v/>
      </c>
      <c r="G26">
        <f>B1042</f>
        <v/>
      </c>
      <c r="H26">
        <f>Summary!$B$3*(((1-Summary!$B$55)*IFERROR(B1040/Summary!$B$68,1)+Summary!$B$55*IFERROR(B1041/Summary!$B$69,1))-1)</f>
        <v/>
      </c>
      <c r="I26">
        <f>((1-Summary!$B$55)*IFERROR(B1040/Summary!$B$68,1)+Summary!$B$55*IFERROR(B1041/Summary!$B$69,1))*100</f>
        <v/>
      </c>
    </row>
    <row r="27">
      <c r="A27" t="inlineStr">
        <is>
          <t>ATTACK %</t>
        </is>
      </c>
      <c r="B27">
        <f>IFERROR(1/(I27-100),"n/a")</f>
        <v/>
      </c>
      <c r="C27" t="inlineStr">
        <is>
          <t>pct</t>
        </is>
      </c>
      <c r="D27">
        <f>Inputs!$B$7</f>
        <v/>
      </c>
      <c r="E27">
        <f>(Inputs!$B$7+1)</f>
        <v/>
      </c>
      <c r="F27">
        <f>Summary!$B$3</f>
        <v/>
      </c>
      <c r="G27">
        <f>B1088</f>
        <v/>
      </c>
      <c r="H27">
        <f>Summary!$B$3*(((1-Summary!$B$55)*IFERROR(B1086/Summary!$B$68,1)+Summary!$B$55*IFERROR(B1087/Summary!$B$69,1))-1)</f>
        <v/>
      </c>
      <c r="I27">
        <f>((1-Summary!$B$55)*IFERROR(B1086/Summary!$B$68,1)+Summary!$B$55*IFERROR(B1087/Summary!$B$69,1))*100</f>
        <v/>
      </c>
    </row>
    <row r="28">
      <c r="A28" t="inlineStr">
        <is>
          <t>Skill Cooldown Decrease (seconds)</t>
        </is>
      </c>
      <c r="B28">
        <f>IFERROR(1/(I28-100),"n/a")</f>
        <v/>
      </c>
      <c r="C28" t="inlineStr">
        <is>
          <t>flat</t>
        </is>
      </c>
      <c r="D28">
        <f>Inputs!$B$32</f>
        <v/>
      </c>
      <c r="E28">
        <f>(Inputs!$B$32+1)</f>
        <v/>
      </c>
      <c r="F28">
        <f>Summary!$B$3</f>
        <v/>
      </c>
      <c r="G28">
        <f>B1134</f>
        <v/>
      </c>
      <c r="H28">
        <f>Summary!$B$3*(((1-Summary!$B$55)*IFERROR(B1132/Summary!$B$68,1)+Summary!$B$55*IFERROR(B1133/Summary!$B$69,1))-1)</f>
        <v/>
      </c>
      <c r="I28">
        <f>((1-Summary!$B$55)*IFERROR(B1132/Summary!$B$68,1)+Summary!$B$55*IFERROR(B1133/Summary!$B$69,1))*100</f>
        <v/>
      </c>
    </row>
    <row r="29">
      <c r="A29" t="inlineStr">
        <is>
          <t>Basic Attack Target Increase (flat)</t>
        </is>
      </c>
      <c r="B29">
        <f>IFERROR(1/(I29-100),"n/a")</f>
        <v/>
      </c>
      <c r="C29" t="inlineStr">
        <is>
          <t>flat</t>
        </is>
      </c>
      <c r="D29">
        <f>Inputs!$B$33</f>
        <v/>
      </c>
      <c r="E29">
        <f>(Inputs!$B$33+1)</f>
        <v/>
      </c>
      <c r="F29">
        <f>Summary!$B$3</f>
        <v/>
      </c>
      <c r="G29">
        <f>B1180</f>
        <v/>
      </c>
      <c r="H29">
        <f>Summary!$B$3*(((1-Summary!$B$55)*IFERROR(B1178/Summary!$B$68,1)+Summary!$B$55*IFERROR(B1179/Summary!$B$69,1))-1)</f>
        <v/>
      </c>
      <c r="I29">
        <f>((1-Summary!$B$55)*IFERROR(B1178/Summary!$B$68,1)+Summary!$B$55*IFERROR(B1179/Summary!$B$69,1))*100</f>
        <v/>
      </c>
    </row>
    <row r="30">
      <c r="A30" t="inlineStr">
        <is>
          <t>Buff Duration Increase %</t>
        </is>
      </c>
      <c r="B30">
        <f>IFERROR(1/(I30-100),"n/a")</f>
        <v/>
      </c>
      <c r="C30" t="inlineStr">
        <is>
          <t>pct</t>
        </is>
      </c>
      <c r="D30">
        <f>Inputs!$B$34</f>
        <v/>
      </c>
      <c r="E30">
        <f>(Inputs!$B$34+1)</f>
        <v/>
      </c>
      <c r="F30">
        <f>Summary!$B$3</f>
        <v/>
      </c>
      <c r="G30">
        <f>B1226</f>
        <v/>
      </c>
      <c r="H30">
        <f>Summary!$B$3*(((1-Summary!$B$55)*IFERROR(B1224/Summary!$B$68,1)+Summary!$B$55*IFERROR(B1225/Summary!$B$69,1))-1)</f>
        <v/>
      </c>
      <c r="I30">
        <f>((1-Summary!$B$55)*IFERROR(B1224/Summary!$B$68,1)+Summary!$B$55*IFERROR(B1225/Summary!$B$69,1))*100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nputs!$B$16/100)*(5000/(6000+Inputs!$B$42*(1-(Inputs!$B$19+((C60=TRUE)*(F60-Calc!F27)))/100)))*(1+(Inputs!$B$24+((C58=TRUE)*(F58-Calc!F25))+((C59=TRUE)*(F59-Calc!F26))+B72)/100)*(1+(IF(Skills!A2="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35)</f>
        <v/>
      </c>
      <c r="L35">
        <f>K35*(MIN(Inputs!$B$22+((C57=TRUE)*(F57-Calc!F24)),Inputs!$B$23+((C62=TRUE)*(F62-Calc!F29)))/100+(Inputs!$B$23+((C62=TRUE)*(F62-Calc!F29)))/100)/2</f>
        <v/>
      </c>
      <c r="M35">
        <f>L35*(1+(Inputs!$B$10+0+B71)/100)</f>
        <v/>
      </c>
      <c r="N35">
        <f>L35*(1-MIN((Inputs!$B$9+((C53=TRUE)*(F53-Calc!F20))+B66),100)/100)+M35*(MIN((Inputs!$B$9+((C53=TRUE)*(F53-Calc!F20))+B66),100)/100)</f>
        <v/>
      </c>
      <c r="O35">
        <f>(1-Summary!$B$55)*T35+Summary!$B$55*V35</f>
        <v/>
      </c>
      <c r="P35">
        <f>IF(B76=0,0,O35/B76)</f>
        <v/>
      </c>
      <c r="Q35" t="n">
        <v>0</v>
      </c>
      <c r="R35" t="n">
        <v>0</v>
      </c>
      <c r="S35">
        <f>IFERROR(O35/N35,0)</f>
        <v/>
      </c>
      <c r="T35">
        <f>IF(C35,(Skills!G2*N35*B70)*IF(Inputs!$B$38="pvp",1,1+(Inputs!$B$20+0+Skills!P2)/100),0)</f>
        <v/>
      </c>
      <c r="U35">
        <f>MAX(0,(Inputs!$B$3-100)*3)+Inputs!$B$28+Inputs!$B$29</f>
        <v/>
      </c>
      <c r="V35">
        <f>IF(C35,(Skills!G2*N35*B70)*IF(Inputs!$B$38="pvp",1,(1+(Inputs!$B$21+Skills!Q2)/100)*(MIN((6+Inputs!$B$33),Inputs!$B$37))),0)</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T36" t="inlineStr"/>
      <c r="U36">
        <f>INDEX(FactorTable!$B$2:$Y$301, MATCH(ROUND(MIN(300,MAX(1,U35)),0), FactorTable!$A$2:$A$301,0), 22)</f>
        <v/>
      </c>
      <c r="V36" t="inlineStr"/>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T37" t="inlineStr"/>
      <c r="U37">
        <f>290*U36/1000</f>
        <v/>
      </c>
      <c r="V37" t="inlineStr"/>
    </row>
    <row r="38">
      <c r="A38">
        <f>Skills!A5</f>
        <v/>
      </c>
      <c r="B38">
        <f>Skills!B5</f>
        <v/>
      </c>
      <c r="C38">
        <f>Inputs!$B$3&gt;=35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nputs!$B$16/100)*(5000/(6000+Inputs!$B$42*(1-(Inputs!$B$19+((C60=TRUE)*(F60-Calc!F27)))/100)))*(1+(Inputs!$B$24+((C58=TRUE)*(F58-Calc!F25))+((C59=TRUE)*(F59-Calc!F26))+B72)/100)*(1+4.0*IF(C43=TRUE,F43,0)/100)*(1+(IF(Skills!A5="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38)</f>
        <v/>
      </c>
      <c r="L38">
        <f>K38*(MIN(Inputs!$B$22+((C57=TRUE)*(F57-Calc!F24)),Inputs!$B$23+((C62=TRUE)*(F62-Calc!F29)))/100+(Inputs!$B$23+((C62=TRUE)*(F62-Calc!F29)))/100)/2</f>
        <v/>
      </c>
      <c r="M38">
        <f>L38*(1+(Inputs!$B$10+0+B71)/100)</f>
        <v/>
      </c>
      <c r="N38">
        <f>L38*(1-MIN((Inputs!$B$9+((C53=TRUE)*(F53-Calc!F20))+B66),100)/100)+M38*(MIN((Inputs!$B$9+((C53=TRUE)*(F53-Calc!F20))+B66),100)/100)</f>
        <v/>
      </c>
      <c r="O38">
        <f>(1-Summary!$B$55)*T38+Summary!$B$55*V38</f>
        <v/>
      </c>
      <c r="P38">
        <f>IF(B76=0,0,O38/B76)</f>
        <v/>
      </c>
      <c r="Q38">
        <f>IFERROR(1/IF(Inputs!$B$38="pvp",15,MAX(0.1,Skills!D5-IF(Skills!E5=TRUE,Inputs!$B$32,0))),0)</f>
        <v/>
      </c>
      <c r="R38">
        <f>IF(AND(Inputs!$B$38&lt;&gt;"pvp",Inputs!$B$43&gt;0),IF(MAX(0,Inputs!$B$43-B73)&lt;=0,0,(INT(MAX(0,Inputs!$B$43-B73)/IF(Inputs!$B$38="pvp",15,MAX(0.1,Skills!D5-IF(Skills!E5=TRUE,Inputs!$B$32,0))))+1)),0)</f>
        <v/>
      </c>
      <c r="S38">
        <f>IFERROR(O38/N38,0)</f>
        <v/>
      </c>
      <c r="T38">
        <f>IF(C38,(H38*N38*IF(AND(Inputs!$B$38&lt;&gt;"pvp",Inputs!$B$43&gt;0),((Skills!G5*((R38-1)*IF(Skills!H5&gt;0,Skills!I5/Skills!H5,1)+IF(Skills!H5&gt;0,MIN(Skills!I5,MAX(0,MAX(0,Inputs!$B$43-B73)-((R38-1)*IF(Inputs!$B$38="pvp",15,MAX(0.1,Skills!D5-IF(Skills!E5=TRUE,Inputs!$B$32,0))))))/Skills!H5,1)))/Inputs!$B$43),G38*Q38))*IF(Inputs!$B$38="pvp",1,1+(Inputs!$B$20+0+Skills!P5)/100),0)</f>
        <v/>
      </c>
      <c r="V38">
        <f>IF(C38,(H38*N38*IF(AND(Inputs!$B$38&lt;&gt;"pvp",Inputs!$B$43&gt;0),((Skills!G5*((R38-1)*IF(Skills!H5&gt;0,Skills!I5/Skills!H5,1)+IF(Skills!H5&gt;0,MIN(Skills!I5,MAX(0,MAX(0,Inputs!$B$43-B73)-((R38-1)*IF(Inputs!$B$38="pvp",15,MAX(0.1,Skills!D5-IF(Skills!E5=TRUE,Inputs!$B$32,0))))))/Skills!H5,1)))/Inputs!$B$43),G38*Q38))*IF(Inputs!$B$38="pvp",1,(1+(Inputs!$B$21+Skills!Q5)/100)*(MIN(Skills!R5,Inputs!$B$37))),0)</f>
        <v/>
      </c>
    </row>
    <row r="39">
      <c r="A39">
        <f>Skills!A6</f>
        <v/>
      </c>
      <c r="B39">
        <f>Skills!B6</f>
        <v/>
      </c>
      <c r="C39">
        <f>Inputs!$B$3&gt;=40</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nputs!$B$16/100)*(5000/(6000+Inputs!$B$42*(1-(Inputs!$B$19+((C60=TRUE)*(F60-Calc!F27)))/100)))*(1+(Inputs!$B$24+((C58=TRUE)*(F58-Calc!F25))+((C59=TRUE)*(F59-Calc!F26))+B72)/100)*(1+IF(C40=TRUE,F40,0)/100)*(1+(IF(Skills!A6="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39)</f>
        <v/>
      </c>
      <c r="L39">
        <f>K39*(MIN(Inputs!$B$22+((C57=TRUE)*(F57-Calc!F24)),Inputs!$B$23+((C62=TRUE)*(F62-Calc!F29)))/100+(Inputs!$B$23+((C62=TRUE)*(F62-Calc!F29)))/100)/2</f>
        <v/>
      </c>
      <c r="M39">
        <f>L39*(1+(Inputs!$B$10+0+B71)/100)</f>
        <v/>
      </c>
      <c r="N39">
        <f>L39*(1-MIN((Inputs!$B$9+((C53=TRUE)*(F53-Calc!F20))+B66),100)/100)+M39*(MIN((Inputs!$B$9+((C53=TRUE)*(F53-Calc!F20))+B66),100)/100)</f>
        <v/>
      </c>
      <c r="O39">
        <f>(1-Summary!$B$55)*T39+Summary!$B$55*V39</f>
        <v/>
      </c>
      <c r="P39">
        <f>IF(B76=0,0,O39/B76)</f>
        <v/>
      </c>
      <c r="Q39">
        <f>IFERROR(1/IF(Inputs!$B$38="pvp",15,MAX(0.1,Skills!D6-IF(Skills!E6=TRUE,Inputs!$B$32,0))),0)</f>
        <v/>
      </c>
      <c r="R39">
        <f>IF(AND(Inputs!$B$38&lt;&gt;"pvp",Inputs!$B$43&gt;0),IF(MAX(0,Inputs!$B$43-B73)&lt;=0,0,(INT(MAX(0,Inputs!$B$43-B73)/IF(Inputs!$B$38="pvp",15,MAX(0.1,Skills!D6-IF(Skills!E6=TRUE,Inputs!$B$32,0))))+1)),0)</f>
        <v/>
      </c>
      <c r="S39">
        <f>IFERROR(O39/N39,0)</f>
        <v/>
      </c>
      <c r="T39">
        <f>IF(C39,(H39*N39*IF(AND(Inputs!$B$38&lt;&gt;"pvp",Inputs!$B$43&gt;0),((Skills!G6*((R39-1)*IF(Skills!H6&gt;0,Skills!I6/Skills!H6,1)+IF(Skills!H6&gt;0,MIN(Skills!I6,MAX(0,MAX(0,Inputs!$B$43-B73)-((R39-1)*IF(Inputs!$B$38="pvp",15,MAX(0.1,Skills!D6-IF(Skills!E6=TRUE,Inputs!$B$32,0))))))/Skills!H6,1)))/Inputs!$B$43),G39*Q39))*IF(Inputs!$B$38="pvp",1,1+(Inputs!$B$20+0+Skills!P6)/100),0)</f>
        <v/>
      </c>
      <c r="V39">
        <f>IF(C39,(H39*N39*IF(AND(Inputs!$B$38&lt;&gt;"pvp",Inputs!$B$43&gt;0),((Skills!G6*((R39-1)*IF(Skills!H6&gt;0,Skills!I6/Skills!H6,1)+IF(Skills!H6&gt;0,MIN(Skills!I6,MAX(0,MAX(0,Inputs!$B$43-B73)-((R39-1)*IF(Inputs!$B$38="pvp",15,MAX(0.1,Skills!D6-IF(Skills!E6=TRUE,Inputs!$B$32,0))))))/Skills!H6,1)))/Inputs!$B$43),G39*Q39))*IF(Inputs!$B$38="pvp",1,(1+(Inputs!$B$21+Skills!Q6)/100)*(MIN(Skills!R6,Inputs!$B$37))),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t="inlineStr"/>
      <c r="H40" t="inlineStr"/>
      <c r="I40" t="inlineStr">
        <is>
          <t>1</t>
        </is>
      </c>
      <c r="J40" t="inlineStr"/>
      <c r="K40" t="inlineStr"/>
      <c r="L40" t="inlineStr"/>
      <c r="M40" t="inlineStr"/>
      <c r="N40" t="inlineStr"/>
      <c r="O40" t="inlineStr"/>
      <c r="P40" t="inlineStr"/>
      <c r="Q40" t="inlineStr"/>
      <c r="R40" t="inlineStr"/>
      <c r="S40" t="inlineStr"/>
      <c r="T40" t="inlineStr"/>
      <c r="V40" t="inlineStr"/>
    </row>
    <row r="41">
      <c r="A41">
        <f>Skills!A8</f>
        <v/>
      </c>
      <c r="B41">
        <f>Skills!B8</f>
        <v/>
      </c>
      <c r="C41">
        <f>Inputs!$B$3&gt;=69</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nputs!$B$16/100)*(5000/(6000+Inputs!$B$42*(1-(Inputs!$B$19+((C60=TRUE)*(F60-Calc!F27)))/100)))*(1+(Inputs!$B$24+((C58=TRUE)*(F58-Calc!F25))+((C59=TRUE)*(F59-Calc!F26))+B72)/100)*(1+1.2*IF(C43=TRUE,F43,0)/100)*(1+(IF(Skills!A8="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41)</f>
        <v/>
      </c>
      <c r="L41">
        <f>K41*(MIN(Inputs!$B$22+((C57=TRUE)*(F57-Calc!F24)),Inputs!$B$23+((C62=TRUE)*(F62-Calc!F29)))/100+(Inputs!$B$23+((C62=TRUE)*(F62-Calc!F29)))/100)/2</f>
        <v/>
      </c>
      <c r="M41">
        <f>L41*(1+(Inputs!$B$10+0+B71)/100)</f>
        <v/>
      </c>
      <c r="N41">
        <f>L41*(1-MIN((Inputs!$B$9+((C53=TRUE)*(F53-Calc!F20))+B66),100)/100)+M41*(MIN((Inputs!$B$9+((C53=TRUE)*(F53-Calc!F20))+B66),100)/100)</f>
        <v/>
      </c>
      <c r="O41">
        <f>(1-Summary!$B$55)*T41+Summary!$B$55*V41</f>
        <v/>
      </c>
      <c r="P41">
        <f>IF(B76=0,0,O41/B76)</f>
        <v/>
      </c>
      <c r="Q41">
        <f>IFERROR(1/IF(Inputs!$B$38="pvp",15,MAX(0.1,Skills!D8-IF(Skills!E8=TRUE,Inputs!$B$32,0))),0)</f>
        <v/>
      </c>
      <c r="R41">
        <f>IF(AND(Inputs!$B$38&lt;&gt;"pvp",Inputs!$B$43&gt;0),IF(MAX(0,Inputs!$B$43-B73)&lt;=0,0,(INT(MAX(0,Inputs!$B$43-B73)/IF(Inputs!$B$38="pvp",15,MAX(0.1,Skills!D8-IF(Skills!E8=TRUE,Inputs!$B$32,0))))+1)),0)</f>
        <v/>
      </c>
      <c r="S41">
        <f>IFERROR(O41/N41,0)</f>
        <v/>
      </c>
      <c r="T41">
        <f>IF(C41,(H41*N41*IF(AND(Inputs!$B$38&lt;&gt;"pvp",Inputs!$B$43&gt;0),((Skills!G8*((R41-1)*IF(Skills!H8&gt;0,Skills!I8/Skills!H8,1)+IF(Skills!H8&gt;0,MIN(Skills!I8,MAX(0,MAX(0,Inputs!$B$43-B73)-((R41-1)*IF(Inputs!$B$38="pvp",15,MAX(0.1,Skills!D8-IF(Skills!E8=TRUE,Inputs!$B$32,0))))))/Skills!H8,1)))/Inputs!$B$43),G41*Q41))*IF(Inputs!$B$38="pvp",1,1+(Inputs!$B$20+0+Skills!P8)/100),0)</f>
        <v/>
      </c>
      <c r="V41">
        <f>IF(C41,(H41*N41*IF(AND(Inputs!$B$38&lt;&gt;"pvp",Inputs!$B$43&gt;0),((Skills!G8*((R41-1)*IF(Skills!H8&gt;0,Skills!I8/Skills!H8,1)+IF(Skills!H8&gt;0,MIN(Skills!I8,MAX(0,MAX(0,Inputs!$B$43-B73)-((R41-1)*IF(Inputs!$B$38="pvp",15,MAX(0.1,Skills!D8-IF(Skills!E8=TRUE,Inputs!$B$32,0))))))/Skills!H8,1)))/Inputs!$B$43),G41*Q41))*IF(Inputs!$B$38="pvp",1,(1+(Inputs!$B$21+Skills!Q8)/100)*(MIN(Skills!R8,Inputs!$B$37))),0)</f>
        <v/>
      </c>
    </row>
    <row r="42">
      <c r="A42">
        <f>Skills!A9</f>
        <v/>
      </c>
      <c r="B42">
        <f>Skills!B9</f>
        <v/>
      </c>
      <c r="C42">
        <f>Inputs!$B$3&gt;=63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nputs!$B$16/100)*(5000/(6000+Inputs!$B$42*(1-(Inputs!$B$19+((C60=TRUE)*(F60-Calc!F27)))/100)))*(1+(Inputs!$B$24+((C58=TRUE)*(F58-Calc!F25))+((C59=TRUE)*(F59-Calc!F26))+B72)/100)*(1+1.0*IF(C43=TRUE,F43,0)/100)*(1+(IF(Skills!A9="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42)</f>
        <v/>
      </c>
      <c r="L42">
        <f>K42*(MIN(Inputs!$B$22+((C57=TRUE)*(F57-Calc!F24)),Inputs!$B$23+((C62=TRUE)*(F62-Calc!F29)))/100+(Inputs!$B$23+((C62=TRUE)*(F62-Calc!F29)))/100)/2</f>
        <v/>
      </c>
      <c r="M42">
        <f>L42*(1+(Inputs!$B$10+0+B71)/100)</f>
        <v/>
      </c>
      <c r="N42">
        <f>L42*(1-MIN((Inputs!$B$9+((C53=TRUE)*(F53-Calc!F20))+B66),100)/100)+M42*(MIN((Inputs!$B$9+((C53=TRUE)*(F53-Calc!F20))+B66),100)/100)</f>
        <v/>
      </c>
      <c r="O42">
        <f>(1-Summary!$B$55)*T42+Summary!$B$55*V42</f>
        <v/>
      </c>
      <c r="P42">
        <f>IF(B76=0,0,O42/B76)</f>
        <v/>
      </c>
      <c r="Q42">
        <f>IFERROR(1/IF(Inputs!$B$38="pvp",15,MAX(0.1,Skills!D9-IF(Skills!E9=TRUE,Inputs!$B$32,0))),0)</f>
        <v/>
      </c>
      <c r="R42">
        <f>IF(AND(Inputs!$B$38&lt;&gt;"pvp",Inputs!$B$43&gt;0),IF(MAX(0,Inputs!$B$43-B73)&lt;=0,0,(INT(MAX(0,Inputs!$B$43-B73)/IF(Inputs!$B$38="pvp",15,MAX(0.1,Skills!D9-IF(Skills!E9=TRUE,Inputs!$B$32,0))))+1)),0)</f>
        <v/>
      </c>
      <c r="S42">
        <f>IFERROR(O42/N42,0)</f>
        <v/>
      </c>
      <c r="T42">
        <f>IF(C42,(H42*N42*IF(AND(Inputs!$B$38&lt;&gt;"pvp",Inputs!$B$43&gt;0),((Skills!G9*((R42-1)*IF(Skills!H9&gt;0,Skills!I9/Skills!H9,1)+IF(Skills!H9&gt;0,MIN(Skills!I9,MAX(0,MAX(0,Inputs!$B$43-B73)-((R42-1)*IF(Inputs!$B$38="pvp",15,MAX(0.1,Skills!D9-IF(Skills!E9=TRUE,Inputs!$B$32,0))))))/Skills!H9,1)))/Inputs!$B$43),G42*Q42))*IF(Inputs!$B$38="pvp",1,1+(Inputs!$B$20+0+Skills!P9)/100),0)</f>
        <v/>
      </c>
      <c r="V42">
        <f>IF(C42,(H42*N42*IF(AND(Inputs!$B$38&lt;&gt;"pvp",Inputs!$B$43&gt;0),((Skills!G9*((R42-1)*IF(Skills!H9&gt;0,Skills!I9/Skills!H9,1)+IF(Skills!H9&gt;0,MIN(Skills!I9,MAX(0,MAX(0,Inputs!$B$43-B73)-((R42-1)*IF(Inputs!$B$38="pvp",15,MAX(0.1,Skills!D9-IF(Skills!E9=TRUE,Inputs!$B$32,0))))))/Skills!H9,1)))/Inputs!$B$43),G42*Q42))*IF(Inputs!$B$38="pvp",1,(1+(Inputs!$B$21+Skills!Q9)/100)*(MIN(Skills!R9,Inputs!$B$37))),0)</f>
        <v/>
      </c>
    </row>
    <row r="43">
      <c r="A43">
        <f>Skills!A10</f>
        <v/>
      </c>
      <c r="B43">
        <f>Skills!B10</f>
        <v/>
      </c>
      <c r="C43">
        <f>Inputs!$B$3&gt;=100</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t="inlineStr"/>
      <c r="H43" t="inlineStr"/>
      <c r="I43" t="inlineStr">
        <is>
          <t>1</t>
        </is>
      </c>
      <c r="J43" t="inlineStr"/>
      <c r="K43" t="inlineStr"/>
      <c r="L43" t="inlineStr"/>
      <c r="M43" t="inlineStr"/>
      <c r="N43" t="inlineStr"/>
      <c r="O43" t="inlineStr"/>
      <c r="P43" t="inlineStr"/>
      <c r="Q43" t="inlineStr"/>
      <c r="R43" t="inlineStr"/>
      <c r="S43" t="inlineStr"/>
      <c r="T43" t="inlineStr"/>
      <c r="V43" t="inlineStr"/>
    </row>
    <row r="44">
      <c r="A44">
        <f>Skills!A11</f>
        <v/>
      </c>
      <c r="B44">
        <f>Skills!B11</f>
        <v/>
      </c>
      <c r="C44">
        <f>Inputs!$B$3&gt;=60</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nputs!$B$16/100)*(5000/(6000+Inputs!$B$42*(1-(Inputs!$B$19+((C60=TRUE)*(F60-Calc!F27)))/100)))*(1+(Inputs!$B$24+((C58=TRUE)*(F58-Calc!F25))+((C59=TRUE)*(F59-Calc!F26))+B72)/100)*(1+IF(C45=TRUE,F45,0)/100)*(1+(IF(Skills!A11="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44)</f>
        <v/>
      </c>
      <c r="L44">
        <f>K44*(MIN(Inputs!$B$22+((C57=TRUE)*(F57-Calc!F24)),Inputs!$B$23+((C62=TRUE)*(F62-Calc!F29)))/100+(Inputs!$B$23+((C62=TRUE)*(F62-Calc!F29)))/100)/2</f>
        <v/>
      </c>
      <c r="M44">
        <f>L44*(1+(Inputs!$B$10+0+B71)/100)</f>
        <v/>
      </c>
      <c r="N44">
        <f>L44*(1-MIN((Inputs!$B$9+((C53=TRUE)*(F53-Calc!F20))+B66),100)/100)+M44*(MIN((Inputs!$B$9+((C53=TRUE)*(F53-Calc!F20))+B66),100)/100)</f>
        <v/>
      </c>
      <c r="O44">
        <f>(1-Summary!$B$55)*T44+Summary!$B$55*V44</f>
        <v/>
      </c>
      <c r="P44">
        <f>IF(B76=0,0,O44/B76)</f>
        <v/>
      </c>
      <c r="Q44">
        <f>IFERROR(1/IF(Inputs!$B$38="pvp",15,MAX(0.1,Skills!D11-IF(Skills!E11=TRUE,Inputs!$B$32,0))),0)</f>
        <v/>
      </c>
      <c r="R44">
        <f>IF(AND(Inputs!$B$38&lt;&gt;"pvp",Inputs!$B$43&gt;0),IF(MAX(0,Inputs!$B$43-B73)&lt;=0,0,(INT(MAX(0,Inputs!$B$43-B73)/IF(Inputs!$B$38="pvp",15,MAX(0.1,Skills!D11-IF(Skills!E11=TRUE,Inputs!$B$32,0))))+1)),0)</f>
        <v/>
      </c>
      <c r="S44">
        <f>IFERROR(O44/N44,0)</f>
        <v/>
      </c>
      <c r="T44">
        <f>IF(C44,(H44*N44*IF(AND(Inputs!$B$38&lt;&gt;"pvp",Inputs!$B$43&gt;0),((Skills!G11*((R44-1)*IF(Skills!H11&gt;0,Skills!I11/Skills!H11,1)+IF(Skills!H11&gt;0,MIN(Skills!I11,MAX(0,MAX(0,Inputs!$B$43-B73)-((R44-1)*IF(Inputs!$B$38="pvp",15,MAX(0.1,Skills!D11-IF(Skills!E11=TRUE,Inputs!$B$32,0))))))/Skills!H11,1)))/Inputs!$B$43),G44*Q44))*IF(Inputs!$B$38="pvp",1,1+(Inputs!$B$20+0+Skills!P11)/100),0)</f>
        <v/>
      </c>
      <c r="V44">
        <f>IF(C44,(H44*N44*IF(AND(Inputs!$B$38&lt;&gt;"pvp",Inputs!$B$43&gt;0),((Skills!G11*((R44-1)*IF(Skills!H11&gt;0,Skills!I11/Skills!H11,1)+IF(Skills!H11&gt;0,MIN(Skills!I11,MAX(0,MAX(0,Inputs!$B$43-B73)-((R44-1)*IF(Inputs!$B$38="pvp",15,MAX(0.1,Skills!D11-IF(Skills!E11=TRUE,Inputs!$B$32,0))))))/Skills!H11,1)))/Inputs!$B$43),G44*Q44))*IF(Inputs!$B$38="pvp",1,(1+(Inputs!$B$21+Skills!Q11)/100)*(MIN(Skills!R11,Inputs!$B$37))),0)</f>
        <v/>
      </c>
    </row>
    <row r="45">
      <c r="A45">
        <f>Skills!A12</f>
        <v/>
      </c>
      <c r="B45">
        <f>Skills!B12</f>
        <v/>
      </c>
      <c r="C45">
        <f>Inputs!$B$3&gt;=110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c r="T45" t="inlineStr"/>
      <c r="V45" t="inlineStr"/>
    </row>
    <row r="46">
      <c r="A46">
        <f>Skills!A13</f>
        <v/>
      </c>
      <c r="B46">
        <f>Skills!B13</f>
        <v/>
      </c>
      <c r="C46">
        <f>Inputs!$B$3&gt;=74</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f>(1-Summary!$B$55)*T46+Summary!$B$55*V46</f>
        <v/>
      </c>
      <c r="P46">
        <f>IF(B76=0,0,O46/B76)</f>
        <v/>
      </c>
      <c r="Q46" t="n">
        <v>0</v>
      </c>
      <c r="R46" t="n">
        <v>0</v>
      </c>
      <c r="S46">
        <f>IFERROR(O46/N46,0)</f>
        <v/>
      </c>
      <c r="T46" t="n">
        <v>0</v>
      </c>
      <c r="V46" t="n">
        <v>0</v>
      </c>
    </row>
    <row r="47">
      <c r="A47">
        <f>Skills!A14</f>
        <v/>
      </c>
      <c r="B47">
        <f>Skills!B14</f>
        <v/>
      </c>
      <c r="C47">
        <f>Inputs!$B$3&gt;=74</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f>(1-Summary!$B$55)*T47+Summary!$B$55*V47</f>
        <v/>
      </c>
      <c r="P47">
        <f>IF(B76=0,0,O47/B76)</f>
        <v/>
      </c>
      <c r="Q47" t="n">
        <v>0</v>
      </c>
      <c r="R47" t="n">
        <v>0</v>
      </c>
      <c r="S47">
        <f>IFERROR(O47/N47,0)</f>
        <v/>
      </c>
      <c r="T47" t="n">
        <v>0</v>
      </c>
      <c r="V47" t="n">
        <v>0</v>
      </c>
    </row>
    <row r="48">
      <c r="A48">
        <f>Skills!A15</f>
        <v/>
      </c>
      <c r="B48">
        <f>Skills!B15</f>
        <v/>
      </c>
      <c r="C48">
        <f>Inputs!$B$3&gt;=117</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f>(1-Summary!$B$55)*T48+Summary!$B$55*V48</f>
        <v/>
      </c>
      <c r="P48">
        <f>IF(B76=0,0,O48/B76)</f>
        <v/>
      </c>
      <c r="Q48">
        <f>IFERROR(1/IF(Inputs!$B$38="pvp",15,MAX(0.1,Skills!D15-IF(Skills!E15=TRUE,Inputs!$B$32,0))),0)</f>
        <v/>
      </c>
      <c r="R48">
        <f>IF(AND(Inputs!$B$38&lt;&gt;"pvp",Inputs!$B$43&gt;0),IF(Inputs!$B$43&lt;=0,0,(INT(Inputs!$B$43/IF(Inputs!$B$38="pvp",15,MAX(0.1,Skills!D15-IF(Skills!E15=TRUE,Inputs!$B$32,0))))+1)),0)</f>
        <v/>
      </c>
      <c r="S48">
        <f>IFERROR(O48/N48,0)</f>
        <v/>
      </c>
      <c r="T48" t="n">
        <v>0</v>
      </c>
      <c r="V48" t="n">
        <v>0</v>
      </c>
    </row>
    <row r="49">
      <c r="A49">
        <f>Skills!A16</f>
        <v/>
      </c>
      <c r="B49">
        <f>Skills!B16</f>
        <v/>
      </c>
      <c r="C49">
        <f>Inputs!$B$3&gt;=115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f>(1-Summary!$B$55)*T49+Summary!$B$55*V49</f>
        <v/>
      </c>
      <c r="P49">
        <f>IF(B76=0,0,O49/B76)</f>
        <v/>
      </c>
      <c r="Q49">
        <f>IFERROR(1/IF(Inputs!$B$38="pvp",15,MAX(0.1,Skills!D16-IF(Skills!E16=TRUE,Inputs!$B$32,0))),0)</f>
        <v/>
      </c>
      <c r="R49">
        <f>IF(AND(Inputs!$B$38&lt;&gt;"pvp",Inputs!$B$43&gt;0),IF(Inputs!$B$43&lt;=0,0,(INT(Inputs!$B$43/IF(Inputs!$B$38="pvp",15,MAX(0.1,Skills!D16-IF(Skills!E16=TRUE,Inputs!$B$32,0))))+1)),0)</f>
        <v/>
      </c>
      <c r="S49">
        <f>IFERROR(O49/N49,0)</f>
        <v/>
      </c>
      <c r="T49" t="n">
        <v>0</v>
      </c>
      <c r="V49" t="n">
        <v>0</v>
      </c>
    </row>
    <row r="50">
      <c r="A50">
        <f>Skills!A17</f>
        <v/>
      </c>
      <c r="B50">
        <f>Skills!B17</f>
        <v/>
      </c>
      <c r="C50">
        <f>Inputs!$B$3&gt;=66</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f>(1-Summary!$B$55)*T50+Summary!$B$55*V50</f>
        <v/>
      </c>
      <c r="P50">
        <f>IF(B76=0,0,O50/B76)</f>
        <v/>
      </c>
      <c r="Q50" t="n">
        <v>0</v>
      </c>
      <c r="R50" t="n">
        <v>0</v>
      </c>
      <c r="S50">
        <f>IFERROR(O50/N50,0)</f>
        <v/>
      </c>
      <c r="T50" t="n">
        <v>0</v>
      </c>
      <c r="V50" t="n">
        <v>0</v>
      </c>
    </row>
    <row r="51">
      <c r="A51">
        <f>Skills!A18</f>
        <v/>
      </c>
      <c r="B51">
        <f>Skills!B18</f>
        <v/>
      </c>
      <c r="C51">
        <f>Inputs!$B$3&gt;=72</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f>(1-Summary!$B$55)*T51+Summary!$B$55*V51</f>
        <v/>
      </c>
      <c r="P51">
        <f>IF(B76=0,0,O51/B76)</f>
        <v/>
      </c>
      <c r="Q51" t="n">
        <v>0</v>
      </c>
      <c r="R51" t="n">
        <v>0</v>
      </c>
      <c r="S51">
        <f>IFERROR(O51/N51,0)</f>
        <v/>
      </c>
      <c r="T51" t="n">
        <v>0</v>
      </c>
      <c r="V51" t="n">
        <v>0</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f>(1-Summary!$B$55)*T52+Summary!$B$55*V52</f>
        <v/>
      </c>
      <c r="P52">
        <f>IF(B76=0,0,O52/B76)</f>
        <v/>
      </c>
      <c r="Q52">
        <f>IFERROR(1/IF(Inputs!$B$38="pvp",15,MAX(0.1,Skills!D19-IF(Skills!E19=TRUE,Inputs!$B$32,0))),0)</f>
        <v/>
      </c>
      <c r="R52">
        <f>IF(AND(Inputs!$B$38&lt;&gt;"pvp",Inputs!$B$43&gt;0),IF(Inputs!$B$43&lt;=0,0,(INT(Inputs!$B$43/IF(Inputs!$B$38="pvp",15,MAX(0.1,Skills!D19-IF(Skills!E19=TRUE,Inputs!$B$32,0))))+1)),0)</f>
        <v/>
      </c>
      <c r="S52">
        <f>IFERROR(O52/N52,0)</f>
        <v/>
      </c>
      <c r="T52" t="n">
        <v>0</v>
      </c>
      <c r="V52" t="n">
        <v>0</v>
      </c>
    </row>
    <row r="53">
      <c r="A53">
        <f>Skills!A20</f>
        <v/>
      </c>
      <c r="B53">
        <f>Skills!B20</f>
        <v/>
      </c>
      <c r="C53">
        <f>Inputs!$B$3&gt;=15</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f>(1-Summary!$B$55)*T53+Summary!$B$55*V53</f>
        <v/>
      </c>
      <c r="P53">
        <f>IF(B76=0,0,O53/B76)</f>
        <v/>
      </c>
      <c r="Q53" t="n">
        <v>0</v>
      </c>
      <c r="R53" t="n">
        <v>0</v>
      </c>
      <c r="S53">
        <f>IFERROR(O53/N53,0)</f>
        <v/>
      </c>
      <c r="T53" t="n">
        <v>0</v>
      </c>
      <c r="V53" t="n">
        <v>0</v>
      </c>
    </row>
    <row r="54">
      <c r="A54">
        <f>Skills!A21</f>
        <v/>
      </c>
      <c r="B54">
        <f>Skills!B21</f>
        <v/>
      </c>
      <c r="C54">
        <f>Inputs!$B$3&gt;=10</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f>(1-Summary!$B$55)*T54+Summary!$B$55*V54</f>
        <v/>
      </c>
      <c r="P54">
        <f>IF(B76=0,0,O54/B76)</f>
        <v/>
      </c>
      <c r="Q54" t="n">
        <v>0</v>
      </c>
      <c r="R54" t="n">
        <v>0</v>
      </c>
      <c r="S54">
        <f>IFERROR(O54/N54,0)</f>
        <v/>
      </c>
      <c r="T54" t="n">
        <v>0</v>
      </c>
      <c r="V54" t="n">
        <v>0</v>
      </c>
    </row>
    <row r="55">
      <c r="A55">
        <f>Skills!A22</f>
        <v/>
      </c>
      <c r="B55">
        <f>Skills!B22</f>
        <v/>
      </c>
      <c r="C55">
        <f>Inputs!$B$3&gt;=33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f>(1-Summary!$B$55)*T55+Summary!$B$55*V55</f>
        <v/>
      </c>
      <c r="P55">
        <f>IF(B76=0,0,O55/B76)</f>
        <v/>
      </c>
      <c r="Q55" t="n">
        <v>0</v>
      </c>
      <c r="R55" t="n">
        <v>0</v>
      </c>
      <c r="S55">
        <f>IFERROR(O55/N55,0)</f>
        <v/>
      </c>
      <c r="T55" t="n">
        <v>0</v>
      </c>
      <c r="V55" t="n">
        <v>0</v>
      </c>
    </row>
    <row r="56">
      <c r="A56">
        <f>Skills!A23</f>
        <v/>
      </c>
      <c r="B56">
        <f>Skills!B23</f>
        <v/>
      </c>
      <c r="C56">
        <f>Inputs!$B$3&gt;=38</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f>(1-Summary!$B$55)*T56+Summary!$B$55*V56</f>
        <v/>
      </c>
      <c r="P56">
        <f>IF(B76=0,0,O56/B76)</f>
        <v/>
      </c>
      <c r="Q56" t="n">
        <v>0</v>
      </c>
      <c r="R56" t="n">
        <v>0</v>
      </c>
      <c r="S56">
        <f>IFERROR(O56/N56,0)</f>
        <v/>
      </c>
      <c r="T56" t="n">
        <v>0</v>
      </c>
      <c r="V56" t="n">
        <v>0</v>
      </c>
    </row>
    <row r="57">
      <c r="A57">
        <f>Skills!A24</f>
        <v/>
      </c>
      <c r="B57">
        <f>Skills!B24</f>
        <v/>
      </c>
      <c r="C57">
        <f>Inputs!$B$3&gt;=43</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f>(1-Summary!$B$55)*T57+Summary!$B$55*V57</f>
        <v/>
      </c>
      <c r="P57">
        <f>IF(B76=0,0,O57/B76)</f>
        <v/>
      </c>
      <c r="Q57" t="n">
        <v>0</v>
      </c>
      <c r="R57" t="n">
        <v>0</v>
      </c>
      <c r="S57">
        <f>IFERROR(O57/N57,0)</f>
        <v/>
      </c>
      <c r="T57" t="n">
        <v>0</v>
      </c>
      <c r="V57" t="n">
        <v>0</v>
      </c>
    </row>
    <row r="58">
      <c r="A58">
        <f>Skills!A25</f>
        <v/>
      </c>
      <c r="B58">
        <f>Skills!B25</f>
        <v/>
      </c>
      <c r="C58">
        <f>Inputs!$B$3&gt;=75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f>(1-Summary!$B$55)*T58+Summary!$B$55*V58</f>
        <v/>
      </c>
      <c r="P58">
        <f>IF(B76=0,0,O58/B76)</f>
        <v/>
      </c>
      <c r="Q58" t="n">
        <v>0</v>
      </c>
      <c r="R58" t="n">
        <v>0</v>
      </c>
      <c r="S58">
        <f>IFERROR(O58/N58,0)</f>
        <v/>
      </c>
      <c r="T58" t="n">
        <v>0</v>
      </c>
      <c r="V58" t="n">
        <v>0</v>
      </c>
    </row>
    <row r="59">
      <c r="A59">
        <f>Skills!A26</f>
        <v/>
      </c>
      <c r="B59">
        <f>Skills!B26</f>
        <v/>
      </c>
      <c r="C59">
        <f>Inputs!$B$3&gt;=125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f>(1-Summary!$B$55)*T59+Summary!$B$55*V59</f>
        <v/>
      </c>
      <c r="P59">
        <f>IF(B76=0,0,O59/B76)</f>
        <v/>
      </c>
      <c r="Q59" t="n">
        <v>0</v>
      </c>
      <c r="R59" t="n">
        <v>0</v>
      </c>
      <c r="S59">
        <f>IFERROR(O59/N59,0)</f>
        <v/>
      </c>
      <c r="T59" t="n">
        <v>0</v>
      </c>
      <c r="V59" t="n">
        <v>0</v>
      </c>
    </row>
    <row r="60">
      <c r="A60">
        <f>Skills!A27</f>
        <v/>
      </c>
      <c r="B60">
        <f>Skills!B27</f>
        <v/>
      </c>
      <c r="C60">
        <f>Inputs!$B$3&gt;=125</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f>(1-Summary!$B$55)*T60+Summary!$B$55*V60</f>
        <v/>
      </c>
      <c r="P60">
        <f>IF(B76=0,0,O60/B76)</f>
        <v/>
      </c>
      <c r="Q60" t="n">
        <v>0</v>
      </c>
      <c r="R60" t="n">
        <v>0</v>
      </c>
      <c r="S60">
        <f>IFERROR(O60/N60,0)</f>
        <v/>
      </c>
      <c r="T60" t="n">
        <v>0</v>
      </c>
      <c r="V60" t="n">
        <v>0</v>
      </c>
    </row>
    <row r="61">
      <c r="A61">
        <f>Skills!A28</f>
        <v/>
      </c>
      <c r="B61">
        <f>Skills!B28</f>
        <v/>
      </c>
      <c r="C61">
        <f>Inputs!$B$3&gt;=120</f>
        <v/>
      </c>
      <c r="D61">
        <f>IF(Skills!C28=1,60+Inputs!$B$25+Inputs!$B$29,IF(Skills!C28=2,90+Inputs!$B$26+Inputs!$B$29,IF(Skills!C28=3,120+Inputs!$B$27+Inputs!$B$29,MAX(0,(Inputs!$B$3-100)*3)+Inputs!$B$28+Inputs!$B$29)))</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f>(1-Summary!$B$55)*T61+Summary!$B$55*V61</f>
        <v/>
      </c>
      <c r="P61">
        <f>IF(B76=0,0,O61/B76)</f>
        <v/>
      </c>
      <c r="Q61" t="n">
        <v>0</v>
      </c>
      <c r="R61" t="n">
        <v>0</v>
      </c>
      <c r="S61">
        <f>IFERROR(O61/N61,0)</f>
        <v/>
      </c>
      <c r="T61" t="n">
        <v>0</v>
      </c>
      <c r="V61" t="n">
        <v>0</v>
      </c>
    </row>
    <row r="62">
      <c r="A62">
        <f>Skills!A29</f>
        <v/>
      </c>
      <c r="B62">
        <f>Skills!B29</f>
        <v/>
      </c>
      <c r="C62">
        <f>Inputs!$B$3&gt;=120</f>
        <v/>
      </c>
      <c r="D62">
        <f>IF(Skills!C29=1,60+Inputs!$B$25+Inputs!$B$29,IF(Skills!C29=2,90+Inputs!$B$26+Inputs!$B$29,IF(Skills!C29=3,120+Inputs!$B$27+Inputs!$B$29,MAX(0,(Inputs!$B$3-100)*3)+Inputs!$B$28+Inputs!$B$29)))</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f>(1-Summary!$B$55)*T62+Summary!$B$55*V62</f>
        <v/>
      </c>
      <c r="P62">
        <f>IF(B76=0,0,O62/B76)</f>
        <v/>
      </c>
      <c r="Q62" t="n">
        <v>0</v>
      </c>
      <c r="R62" t="n">
        <v>0</v>
      </c>
      <c r="S62">
        <f>IFERROR(O62/N62,0)</f>
        <v/>
      </c>
      <c r="T62" t="n">
        <v>0</v>
      </c>
      <c r="V62" t="n">
        <v>0</v>
      </c>
    </row>
    <row r="63">
      <c r="A63">
        <f>Skills!A30</f>
        <v/>
      </c>
      <c r="B63">
        <f>Skills!B30</f>
        <v/>
      </c>
      <c r="C63">
        <f>Inputs!$B$3&gt;=45</f>
        <v/>
      </c>
      <c r="D63">
        <f>IF(Skills!C30=1,60+Inputs!$B$25+Inputs!$B$29,IF(Skills!C30=2,90+Inputs!$B$26+Inputs!$B$29,IF(Skills!C30=3,120+Inputs!$B$27+Inputs!$B$29,MAX(0,(Inputs!$B$3-100)*3)+Inputs!$B$28+Inputs!$B$29)))</f>
        <v/>
      </c>
      <c r="E63">
        <f>INDEX(FactorTable!$B$2:$Y$301, MATCH(ROUND(MIN(300,MAX(1,D63)),0), FactorTable!$A$2:$A$301,0), Skills!M30+1)</f>
        <v/>
      </c>
      <c r="F63">
        <f>IF(Skills!N30=TRUE,(Skills!L30/10)*(E63/1000),Skills!L30/10)+Skills!O30</f>
        <v/>
      </c>
      <c r="G63">
        <f>Skills!G30*IF(Skills!H30&gt;0,Skills!I30/Skills!H30,1)</f>
        <v/>
      </c>
      <c r="H63">
        <f>1-(1-Skills!J30/100)^Skills!K30</f>
        <v/>
      </c>
      <c r="I63" t="inlineStr">
        <is>
          <t>1</t>
        </is>
      </c>
      <c r="J63" t="inlineStr"/>
      <c r="K63" t="inlineStr"/>
      <c r="L63" t="inlineStr"/>
      <c r="M63" t="inlineStr"/>
      <c r="N63" t="inlineStr"/>
      <c r="O63">
        <f>(1-Summary!$B$55)*T63+Summary!$B$55*V63</f>
        <v/>
      </c>
      <c r="P63">
        <f>IF(B76=0,0,O63/B76)</f>
        <v/>
      </c>
      <c r="Q63" t="n">
        <v>0</v>
      </c>
      <c r="R63" t="n">
        <v>0</v>
      </c>
      <c r="S63">
        <f>IFERROR(O63/N63,0)</f>
        <v/>
      </c>
      <c r="T63" t="n">
        <v>0</v>
      </c>
      <c r="V63" t="n">
        <v>0</v>
      </c>
    </row>
    <row r="65">
      <c r="A65" t="inlineStr">
        <is>
          <t>Attack% Bucket Multiplier</t>
        </is>
      </c>
      <c r="B65">
        <f>(1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f>
        <v/>
      </c>
    </row>
    <row r="66">
      <c r="A66" t="inlineStr">
        <is>
          <t>Global Crit Rate Bonus %</t>
        </is>
      </c>
      <c r="B66">
        <f>(C49=TRUE)*20*IF(AND(Inputs!$B$38&lt;&gt;"pvp",Inputs!$B$43&gt;0),(((R49-1)*(Skills!T16*(1+Inputs!$B$34/100))+MIN((Skills!T16*(1+Inputs!$B$34/100)),MAX(0,Inputs!$B$43-((R49-1)*Skills!D16))))/Inputs!$B$43),IF(Inputs!$B$38="pvp",MIN((Skills!T16*(1+Inputs!$B$34/100)),15)/15,(Skills!T16*(1+Inputs!$B$34/100))/Skills!D16))</f>
        <v/>
      </c>
    </row>
    <row r="67">
      <c r="A67" t="inlineStr">
        <is>
          <t>Attack Speed Buff Bonus %</t>
        </is>
      </c>
      <c r="B67">
        <f>((C52=TRUE)*F52*IF(AND(Inputs!$B$38&lt;&gt;"pvp",Inputs!$B$43&gt;0),(((R52-1)*(Skills!T19*(1+Inputs!$B$34/100))+MIN((Skills!T19*(1+Inputs!$B$34/100)),MAX(0,Inputs!$B$43-((R52-1)*Skills!D19))))/Inputs!$B$43),IF(Inputs!$B$38="pvp",MIN((Skills!T19*(1+Inputs!$B$34/100)),15)/15,(Skills!T19*(1+Inputs!$B$34/100))/Skills!D19)))</f>
        <v/>
      </c>
    </row>
    <row r="68">
      <c r="A68" t="inlineStr">
        <is>
          <t>Actions Per Second</t>
        </is>
      </c>
      <c r="B68">
        <f>1+MIN(150,150*(1-(1-(Inputs!$B$11+((C54=TRUE)*(F54-Calc!F21))+((C55=TRUE)*(F55-Calc!F22)))/150)*(1-B67/150)))/100</f>
        <v/>
      </c>
    </row>
    <row r="69">
      <c r="A69" t="inlineStr">
        <is>
          <t>Skill + Buff Cast Rate</t>
        </is>
      </c>
      <c r="B69">
        <f>IF(AND(Inputs!$B$38&lt;&gt;"pvp",Inputs!$B$43&gt;0),SUMPRODUCT((Skills!E2:E30=TRUE)*(C35:C63=TRUE)*R35:R63*Skills!F2:F30)/Inputs!$B$43,SUMPRODUCT((Skills!E2:E30=TRUE)*(C35:C63=TRUE)*Q35:Q63*Skills!F2:F30))</f>
        <v/>
      </c>
    </row>
    <row r="70">
      <c r="A70" t="inlineStr">
        <is>
          <t>Arrow Stream Casts Per Second</t>
        </is>
      </c>
      <c r="B70">
        <f>MAX(0,B68-B69)</f>
        <v/>
      </c>
    </row>
    <row r="71">
      <c r="A71" t="inlineStr">
        <is>
          <t>Global Critical Damage Bonus % (Sharp Eyes + Concentration)</t>
        </is>
      </c>
      <c r="B71">
        <f>(C49=TRUE)*F49*IF(AND(Inputs!$B$38&lt;&gt;"pvp",Inputs!$B$43&gt;0),(((R49-1)*(Skills!T16*(1+Inputs!$B$34/100))+MIN((Skills!T16*(1+Inputs!$B$34/100)),MAX(0,Inputs!$B$43-((R49-1)*Skills!D16))))/Inputs!$B$43),IF(Inputs!$B$38="pvp",MIN((Skills!T16*(1+Inputs!$B$34/100)),15)/15,(Skills!T16*(1+Inputs!$B$34/100))/Skills!D16))+(C50=TRUE)*30</f>
        <v/>
      </c>
    </row>
    <row r="72">
      <c r="A72" t="inlineStr">
        <is>
          <t>Global Final Damage Bonus % (Mortal Blow)</t>
        </is>
      </c>
      <c r="B72">
        <f>(C51=TRUE)*F51</f>
        <v/>
      </c>
    </row>
    <row r="73">
      <c r="A73" t="inlineStr">
        <is>
          <t>Buff-Casting Startup Delay (s, fixed-duration only)</t>
        </is>
      </c>
      <c r="B73">
        <f>IF(AND(Inputs!$B$38&lt;&gt;"pvp",Inputs!$B$43&gt;0),SUMPRODUCT((Skills!T2:T30&gt;0)*(Skills!E2:E30=TRUE)*(C35:C63=TRUE))/B68,0)</f>
        <v/>
      </c>
    </row>
    <row r="74">
      <c r="A74" t="inlineStr">
        <is>
          <t>Boss-Only Total DPS (this block's swept value)</t>
        </is>
      </c>
      <c r="B74">
        <f>SUM(T35:T63)</f>
        <v/>
      </c>
    </row>
    <row r="75">
      <c r="A75" t="inlineStr">
        <is>
          <t>Normal-Only Total DPS (this block's swept value)</t>
        </is>
      </c>
      <c r="B75">
        <f>SUM(V35:V63)</f>
        <v/>
      </c>
    </row>
    <row r="76">
      <c r="A76" s="5" t="inlineStr">
        <is>
          <t>TOTAL DPS</t>
        </is>
      </c>
      <c r="B76" s="5">
        <f>SUM(O35:O63)</f>
        <v/>
      </c>
    </row>
    <row r="79">
      <c r="A79" s="5" t="inlineStr">
        <is>
          <t>Stat: DEX %</t>
        </is>
      </c>
    </row>
    <row r="80">
      <c r="A80" s="9" t="inlineStr">
        <is>
          <t>Key</t>
        </is>
      </c>
      <c r="B80" s="9" t="inlineStr">
        <is>
          <t>Name</t>
        </is>
      </c>
      <c r="C80" s="9" t="inlineStr">
        <is>
          <t>Unlocked</t>
        </is>
      </c>
      <c r="D80" s="9" t="inlineStr">
        <is>
          <t>InputLevel</t>
        </is>
      </c>
      <c r="E80" s="9" t="inlineStr">
        <is>
          <t>Factor</t>
        </is>
      </c>
      <c r="F80" s="9" t="inlineStr">
        <is>
          <t>CoefficientPercent</t>
        </is>
      </c>
      <c r="G80" s="9" t="inlineStr">
        <is>
          <t>EffectiveHits</t>
        </is>
      </c>
      <c r="H80" s="9" t="inlineStr">
        <is>
          <t>ProcProbability</t>
        </is>
      </c>
      <c r="I80" s="9" t="inlineStr">
        <is>
          <t>MapleHeroMultiplier</t>
        </is>
      </c>
      <c r="J80" s="9" t="inlineStr">
        <is>
          <t>BaseDamage</t>
        </is>
      </c>
      <c r="K80" s="9" t="inlineStr">
        <is>
          <t>BaseHitDamage</t>
        </is>
      </c>
      <c r="L80" s="9" t="inlineStr">
        <is>
          <t>NonCritAvg</t>
        </is>
      </c>
      <c r="M80" s="9" t="inlineStr">
        <is>
          <t>CritAvg</t>
        </is>
      </c>
      <c r="N80" s="9" t="inlineStr">
        <is>
          <t>ExpectedDamage(perHit)</t>
        </is>
      </c>
      <c r="O80" s="9" t="inlineStr">
        <is>
          <t>DPS</t>
        </is>
      </c>
      <c r="P80" s="9" t="inlineStr">
        <is>
          <t>% of Total</t>
        </is>
      </c>
      <c r="Q80" s="9" t="inlineStr">
        <is>
          <t>InvCooldown</t>
        </is>
      </c>
      <c r="R80" s="9" t="inlineStr">
        <is>
          <t>CastsInFight</t>
        </is>
      </c>
      <c r="S80" s="9" t="inlineStr">
        <is>
          <t>HitRate(perSec)</t>
        </is>
      </c>
      <c r="U80" t="inlineStr">
        <is>
          <t>helpers</t>
        </is>
      </c>
    </row>
    <row r="81">
      <c r="A81">
        <f>Skills!A2</f>
        <v/>
      </c>
      <c r="B81">
        <f>Skills!B2</f>
        <v/>
      </c>
      <c r="C81">
        <f>Inputs!$B$3&gt;=100</f>
        <v/>
      </c>
      <c r="D81" t="inlineStr"/>
      <c r="E81" t="inlineStr"/>
      <c r="F81">
        <f>U83+Skills!O2</f>
        <v/>
      </c>
      <c r="G81">
        <f>Skills!G2*IF(Skills!H2&gt;0,Skills!I2/Skills!H2,1)</f>
        <v/>
      </c>
      <c r="H81">
        <f>1-(1-Skills!J2/100)^Skills!K2</f>
        <v/>
      </c>
      <c r="I81" t="inlineStr">
        <is>
          <t>1</t>
        </is>
      </c>
      <c r="J81">
        <f>((Inputs!$B$6*(1+Inputs!$B$7/100))+(((Inputs!$B$12*(1+(Inputs!$B$13+1)/100))-(Inputs!$B$12*(1+Inputs!$B$13/100)))+0.25*(Inputs!$B$14-Inputs!$B$14))*(1+Inputs!$B$7/100))*(F81/100)</f>
        <v/>
      </c>
      <c r="K81">
        <f>J81*(1+((Inputs!$B$12*(1+(Inputs!$B$13+1)/100))*0.01+Inputs!$B$14*0.0025)/100)*(1+Inputs!$B$15/100)*(1+Inputs!$B$16/100)*(5000/(6000+Inputs!$B$42*(1-(Inputs!$B$19+((C106=TRUE)*(F106-Calc!F27)))/100)))*(1+(Inputs!$B$24+((C104=TRUE)*(F104-Calc!F25))+((C105=TRUE)*(F105-Calc!F26))+B118)/100)*(1+(IF(Skills!A2="ARROW_STREAM",Inputs!$B$17+((C102=TRUE)*(F102-Calc!F23)),Inputs!$B$18+((C107=TRUE)*(F107-Calc!F28))))/100)*((1+(((C92=TRUE)*F92)+((C93=TRUE)*IF(Inputs!$B$38="pvp",F93,(1-Summary!$B$55)*(F93)+Summary!$B$55*(0)))+((C94=TRUE)*F94*IF(AND(Inputs!$B$38&lt;&gt;"pvp",Inputs!$B$43&gt;0),(((R94-1)*(Skills!T15*(1+Inputs!$B$34/100))+MIN((Skills!T15*(1+Inputs!$B$34/100)),MAX(0,Inputs!$B$43-((R94-1)*Skills!D15))))/Inputs!$B$43),IF(Inputs!$B$38="pvp",MIN((Skills!T15*(1+Inputs!$B$34/100)),15)/15,(Skills!T15*(1+Inputs!$B$34/100))/Skills!D15)))+((C109=TRUE)*(F109-Calc!F30)))/100)*I81)</f>
        <v/>
      </c>
      <c r="L81">
        <f>K81*(MIN(Inputs!$B$22+((C103=TRUE)*(F103-Calc!F24)),Inputs!$B$23+((C108=TRUE)*(F108-Calc!F29)))/100+(Inputs!$B$23+((C108=TRUE)*(F108-Calc!F29)))/100)/2</f>
        <v/>
      </c>
      <c r="M81">
        <f>L81*(1+(Inputs!$B$10+0+B117)/100)</f>
        <v/>
      </c>
      <c r="N81">
        <f>L81*(1-MIN((Inputs!$B$9+((C99=TRUE)*(F99-Calc!F20))+B112),100)/100)+M81*(MIN((Inputs!$B$9+((C99=TRUE)*(F99-Calc!F20))+B112),100)/100)</f>
        <v/>
      </c>
      <c r="O81">
        <f>(1-Summary!$B$55)*T81+Summary!$B$55*V81</f>
        <v/>
      </c>
      <c r="P81">
        <f>IF(B122=0,0,O81/B122)</f>
        <v/>
      </c>
      <c r="Q81" t="n">
        <v>0</v>
      </c>
      <c r="R81" t="n">
        <v>0</v>
      </c>
      <c r="S81">
        <f>IFERROR(O81/N81,0)</f>
        <v/>
      </c>
      <c r="T81">
        <f>IF(C81,(Skills!G2*N81*B116)*IF(Inputs!$B$38="pvp",1,1+(Inputs!$B$20+0+Skills!P2)/100),0)</f>
        <v/>
      </c>
      <c r="U81">
        <f>MAX(0,(Inputs!$B$3-100)*3)+Inputs!$B$28+Inputs!$B$29</f>
        <v/>
      </c>
      <c r="V81">
        <f>IF(C81,(Skills!G2*N81*B116)*IF(Inputs!$B$38="pvp",1,(1+(Inputs!$B$21+Skills!Q2)/100)*(MIN((6+Inputs!$B$33),Inputs!$B$37))),0)</f>
        <v/>
      </c>
    </row>
    <row r="82">
      <c r="A82">
        <f>Skills!A3</f>
        <v/>
      </c>
      <c r="B82">
        <f>Skills!B3</f>
        <v/>
      </c>
      <c r="C82">
        <f>Inputs!$B$3&gt;=50</f>
        <v/>
      </c>
      <c r="D82">
        <f>IF(Skills!C3=1,60+Inputs!$B$25+Inputs!$B$29,IF(Skills!C3=2,90+Inputs!$B$26+Inputs!$B$29,IF(Skills!C3=3,120+Inputs!$B$27+Inputs!$B$29,MAX(0,(Inputs!$B$3-100)*3)+Inputs!$B$28+Inputs!$B$29)))</f>
        <v/>
      </c>
      <c r="E82">
        <f>INDEX(FactorTable!$B$2:$Y$301, MATCH(ROUND(MIN(300,MAX(1,D82)),0), FactorTable!$A$2:$A$301,0), Skills!M3+1)</f>
        <v/>
      </c>
      <c r="F82">
        <f>IF(Skills!N3=TRUE,(Skills!L3/10)*(E82/1000),Skills!L3/10)+Skills!O3</f>
        <v/>
      </c>
      <c r="G82" t="inlineStr"/>
      <c r="H82" t="inlineStr"/>
      <c r="I82" t="inlineStr">
        <is>
          <t>1</t>
        </is>
      </c>
      <c r="J82" t="inlineStr"/>
      <c r="K82" t="inlineStr"/>
      <c r="L82" t="inlineStr"/>
      <c r="M82" t="inlineStr"/>
      <c r="N82" t="inlineStr"/>
      <c r="O82" t="inlineStr"/>
      <c r="P82" t="inlineStr"/>
      <c r="Q82" t="inlineStr"/>
      <c r="R82" t="inlineStr"/>
      <c r="S82" t="inlineStr"/>
      <c r="T82" t="inlineStr"/>
      <c r="U82">
        <f>INDEX(FactorTable!$B$2:$Y$301, MATCH(ROUND(MIN(300,MAX(1,U81)),0), FactorTable!$A$2:$A$301,0), 22)</f>
        <v/>
      </c>
      <c r="V82" t="inlineStr"/>
    </row>
    <row r="83">
      <c r="A83">
        <f>Skills!A4</f>
        <v/>
      </c>
      <c r="B83">
        <f>Skills!B4</f>
        <v/>
      </c>
      <c r="C83">
        <f>Inputs!$B$3&gt;=105</f>
        <v/>
      </c>
      <c r="D83">
        <f>IF(Skills!C4=1,60+Inputs!$B$25+Inputs!$B$29,IF(Skills!C4=2,90+Inputs!$B$26+Inputs!$B$29,IF(Skills!C4=3,120+Inputs!$B$27+Inputs!$B$29,MAX(0,(Inputs!$B$3-100)*3)+Inputs!$B$28+Inputs!$B$29)))</f>
        <v/>
      </c>
      <c r="E83">
        <f>INDEX(FactorTable!$B$2:$Y$301, MATCH(ROUND(MIN(300,MAX(1,D83)),0), FactorTable!$A$2:$A$301,0), Skills!M4+1)</f>
        <v/>
      </c>
      <c r="F83">
        <f>IF(Skills!N4=TRUE,(Skills!L4/10)*(E83/1000),Skills!L4/10)+Skills!O4</f>
        <v/>
      </c>
      <c r="G83" t="inlineStr"/>
      <c r="H83" t="inlineStr"/>
      <c r="I83" t="inlineStr">
        <is>
          <t>1</t>
        </is>
      </c>
      <c r="J83" t="inlineStr"/>
      <c r="K83" t="inlineStr"/>
      <c r="L83" t="inlineStr"/>
      <c r="M83" t="inlineStr"/>
      <c r="N83" t="inlineStr"/>
      <c r="O83" t="inlineStr"/>
      <c r="P83" t="inlineStr"/>
      <c r="Q83" t="inlineStr"/>
      <c r="R83" t="inlineStr"/>
      <c r="S83" t="inlineStr"/>
      <c r="T83" t="inlineStr"/>
      <c r="U83">
        <f>290*U82/1000</f>
        <v/>
      </c>
      <c r="V83" t="inlineStr"/>
    </row>
    <row r="84">
      <c r="A84">
        <f>Skills!A5</f>
        <v/>
      </c>
      <c r="B84">
        <f>Skills!B5</f>
        <v/>
      </c>
      <c r="C84">
        <f>Inputs!$B$3&gt;=35</f>
        <v/>
      </c>
      <c r="D84">
        <f>IF(Skills!C5=1,60+Inputs!$B$25+Inputs!$B$29,IF(Skills!C5=2,90+Inputs!$B$26+Inputs!$B$29,IF(Skills!C5=3,120+Inputs!$B$27+Inputs!$B$29,MAX(0,(Inputs!$B$3-100)*3)+Inputs!$B$28+Inputs!$B$29)))</f>
        <v/>
      </c>
      <c r="E84">
        <f>INDEX(FactorTable!$B$2:$Y$301, MATCH(ROUND(MIN(300,MAX(1,D84)),0), FactorTable!$A$2:$A$301,0), Skills!M5+1)</f>
        <v/>
      </c>
      <c r="F84">
        <f>IF(Skills!N5=TRUE,(Skills!L5/10)*(E84/1000),Skills!L5/10)+Skills!O5</f>
        <v/>
      </c>
      <c r="G84">
        <f>Skills!G5*IF(Skills!H5&gt;0,Skills!I5/Skills!H5,1)</f>
        <v/>
      </c>
      <c r="H84">
        <f>1-(1-Skills!J5/100)^Skills!K5</f>
        <v/>
      </c>
      <c r="I84" t="inlineStr">
        <is>
          <t>1</t>
        </is>
      </c>
      <c r="J84">
        <f>((Inputs!$B$6*(1+Inputs!$B$7/100))+(((Inputs!$B$12*(1+(Inputs!$B$13+1)/100))-(Inputs!$B$12*(1+Inputs!$B$13/100)))+0.25*(Inputs!$B$14-Inputs!$B$14))*(1+Inputs!$B$7/100))*(F84/100)</f>
        <v/>
      </c>
      <c r="K84">
        <f>J84*(1+((Inputs!$B$12*(1+(Inputs!$B$13+1)/100))*0.01+Inputs!$B$14*0.0025)/100)*(1+Inputs!$B$15/100)*(1+Inputs!$B$16/100)*(5000/(6000+Inputs!$B$42*(1-(Inputs!$B$19+((C106=TRUE)*(F106-Calc!F27)))/100)))*(1+(Inputs!$B$24+((C104=TRUE)*(F104-Calc!F25))+((C105=TRUE)*(F105-Calc!F26))+B118)/100)*(1+4.0*IF(C89=TRUE,F89,0)/100)*(1+(IF(Skills!A5="ARROW_STREAM",Inputs!$B$17+((C102=TRUE)*(F102-Calc!F23)),Inputs!$B$18+((C107=TRUE)*(F107-Calc!F28))))/100)*((1+(((C92=TRUE)*F92)+((C93=TRUE)*IF(Inputs!$B$38="pvp",F93,(1-Summary!$B$55)*(F93)+Summary!$B$55*(0)))+((C94=TRUE)*F94*IF(AND(Inputs!$B$38&lt;&gt;"pvp",Inputs!$B$43&gt;0),(((R94-1)*(Skills!T15*(1+Inputs!$B$34/100))+MIN((Skills!T15*(1+Inputs!$B$34/100)),MAX(0,Inputs!$B$43-((R94-1)*Skills!D15))))/Inputs!$B$43),IF(Inputs!$B$38="pvp",MIN((Skills!T15*(1+Inputs!$B$34/100)),15)/15,(Skills!T15*(1+Inputs!$B$34/100))/Skills!D15)))+((C109=TRUE)*(F109-Calc!F30)))/100)*I84)</f>
        <v/>
      </c>
      <c r="L84">
        <f>K84*(MIN(Inputs!$B$22+((C103=TRUE)*(F103-Calc!F24)),Inputs!$B$23+((C108=TRUE)*(F108-Calc!F29)))/100+(Inputs!$B$23+((C108=TRUE)*(F108-Calc!F29)))/100)/2</f>
        <v/>
      </c>
      <c r="M84">
        <f>L84*(1+(Inputs!$B$10+0+B117)/100)</f>
        <v/>
      </c>
      <c r="N84">
        <f>L84*(1-MIN((Inputs!$B$9+((C99=TRUE)*(F99-Calc!F20))+B112),100)/100)+M84*(MIN((Inputs!$B$9+((C99=TRUE)*(F99-Calc!F20))+B112),100)/100)</f>
        <v/>
      </c>
      <c r="O84">
        <f>(1-Summary!$B$55)*T84+Summary!$B$55*V84</f>
        <v/>
      </c>
      <c r="P84">
        <f>IF(B122=0,0,O84/B122)</f>
        <v/>
      </c>
      <c r="Q84">
        <f>IFERROR(1/IF(Inputs!$B$38="pvp",15,MAX(0.1,Skills!D5-IF(Skills!E5=TRUE,Inputs!$B$32,0))),0)</f>
        <v/>
      </c>
      <c r="R84">
        <f>IF(AND(Inputs!$B$38&lt;&gt;"pvp",Inputs!$B$43&gt;0),IF(MAX(0,Inputs!$B$43-B119)&lt;=0,0,(INT(MAX(0,Inputs!$B$43-B119)/IF(Inputs!$B$38="pvp",15,MAX(0.1,Skills!D5-IF(Skills!E5=TRUE,Inputs!$B$32,0))))+1)),0)</f>
        <v/>
      </c>
      <c r="S84">
        <f>IFERROR(O84/N84,0)</f>
        <v/>
      </c>
      <c r="T84">
        <f>IF(C84,(H84*N84*IF(AND(Inputs!$B$38&lt;&gt;"pvp",Inputs!$B$43&gt;0),((Skills!G5*((R84-1)*IF(Skills!H5&gt;0,Skills!I5/Skills!H5,1)+IF(Skills!H5&gt;0,MIN(Skills!I5,MAX(0,MAX(0,Inputs!$B$43-B119)-((R84-1)*IF(Inputs!$B$38="pvp",15,MAX(0.1,Skills!D5-IF(Skills!E5=TRUE,Inputs!$B$32,0))))))/Skills!H5,1)))/Inputs!$B$43),G84*Q84))*IF(Inputs!$B$38="pvp",1,1+(Inputs!$B$20+0+Skills!P5)/100),0)</f>
        <v/>
      </c>
      <c r="V84">
        <f>IF(C84,(H84*N84*IF(AND(Inputs!$B$38&lt;&gt;"pvp",Inputs!$B$43&gt;0),((Skills!G5*((R84-1)*IF(Skills!H5&gt;0,Skills!I5/Skills!H5,1)+IF(Skills!H5&gt;0,MIN(Skills!I5,MAX(0,MAX(0,Inputs!$B$43-B119)-((R84-1)*IF(Inputs!$B$38="pvp",15,MAX(0.1,Skills!D5-IF(Skills!E5=TRUE,Inputs!$B$32,0))))))/Skills!H5,1)))/Inputs!$B$43),G84*Q84))*IF(Inputs!$B$38="pvp",1,(1+(Inputs!$B$21+Skills!Q5)/100)*(MIN(Skills!R5,Inputs!$B$37))),0)</f>
        <v/>
      </c>
    </row>
    <row r="85">
      <c r="A85">
        <f>Skills!A6</f>
        <v/>
      </c>
      <c r="B85">
        <f>Skills!B6</f>
        <v/>
      </c>
      <c r="C85">
        <f>Inputs!$B$3&gt;=40</f>
        <v/>
      </c>
      <c r="D85">
        <f>IF(Skills!C6=1,60+Inputs!$B$25+Inputs!$B$29,IF(Skills!C6=2,90+Inputs!$B$26+Inputs!$B$29,IF(Skills!C6=3,120+Inputs!$B$27+Inputs!$B$29,MAX(0,(Inputs!$B$3-100)*3)+Inputs!$B$28+Inputs!$B$29)))</f>
        <v/>
      </c>
      <c r="E85">
        <f>INDEX(FactorTable!$B$2:$Y$301, MATCH(ROUND(MIN(300,MAX(1,D85)),0), FactorTable!$A$2:$A$301,0), Skills!M6+1)</f>
        <v/>
      </c>
      <c r="F85">
        <f>IF(Skills!N6=TRUE,(Skills!L6/10)*(E85/1000),Skills!L6/10)+Skills!O6</f>
        <v/>
      </c>
      <c r="G85">
        <f>Skills!G6*IF(Skills!H6&gt;0,Skills!I6/Skills!H6,1)</f>
        <v/>
      </c>
      <c r="H85">
        <f>1-(1-Skills!J6/100)^Skills!K6</f>
        <v/>
      </c>
      <c r="I85" t="inlineStr">
        <is>
          <t>1</t>
        </is>
      </c>
      <c r="J85">
        <f>((Inputs!$B$6*(1+Inputs!$B$7/100))+(((Inputs!$B$12*(1+(Inputs!$B$13+1)/100))-(Inputs!$B$12*(1+Inputs!$B$13/100)))+0.25*(Inputs!$B$14-Inputs!$B$14))*(1+Inputs!$B$7/100))*(F85/100)</f>
        <v/>
      </c>
      <c r="K85">
        <f>J85*(1+((Inputs!$B$12*(1+(Inputs!$B$13+1)/100))*0.01+Inputs!$B$14*0.0025)/100)*(1+Inputs!$B$15/100)*(1+Inputs!$B$16/100)*(5000/(6000+Inputs!$B$42*(1-(Inputs!$B$19+((C106=TRUE)*(F106-Calc!F27)))/100)))*(1+(Inputs!$B$24+((C104=TRUE)*(F104-Calc!F25))+((C105=TRUE)*(F105-Calc!F26))+B118)/100)*(1+IF(C86=TRUE,F86,0)/100)*(1+(IF(Skills!A6="ARROW_STREAM",Inputs!$B$17+((C102=TRUE)*(F102-Calc!F23)),Inputs!$B$18+((C107=TRUE)*(F107-Calc!F28))))/100)*((1+(((C92=TRUE)*F92)+((C93=TRUE)*IF(Inputs!$B$38="pvp",F93,(1-Summary!$B$55)*(F93)+Summary!$B$55*(0)))+((C94=TRUE)*F94*IF(AND(Inputs!$B$38&lt;&gt;"pvp",Inputs!$B$43&gt;0),(((R94-1)*(Skills!T15*(1+Inputs!$B$34/100))+MIN((Skills!T15*(1+Inputs!$B$34/100)),MAX(0,Inputs!$B$43-((R94-1)*Skills!D15))))/Inputs!$B$43),IF(Inputs!$B$38="pvp",MIN((Skills!T15*(1+Inputs!$B$34/100)),15)/15,(Skills!T15*(1+Inputs!$B$34/100))/Skills!D15)))+((C109=TRUE)*(F109-Calc!F30)))/100)*I85)</f>
        <v/>
      </c>
      <c r="L85">
        <f>K85*(MIN(Inputs!$B$22+((C103=TRUE)*(F103-Calc!F24)),Inputs!$B$23+((C108=TRUE)*(F108-Calc!F29)))/100+(Inputs!$B$23+((C108=TRUE)*(F108-Calc!F29)))/100)/2</f>
        <v/>
      </c>
      <c r="M85">
        <f>L85*(1+(Inputs!$B$10+0+B117)/100)</f>
        <v/>
      </c>
      <c r="N85">
        <f>L85*(1-MIN((Inputs!$B$9+((C99=TRUE)*(F99-Calc!F20))+B112),100)/100)+M85*(MIN((Inputs!$B$9+((C99=TRUE)*(F99-Calc!F20))+B112),100)/100)</f>
        <v/>
      </c>
      <c r="O85">
        <f>(1-Summary!$B$55)*T85+Summary!$B$55*V85</f>
        <v/>
      </c>
      <c r="P85">
        <f>IF(B122=0,0,O85/B122)</f>
        <v/>
      </c>
      <c r="Q85">
        <f>IFERROR(1/IF(Inputs!$B$38="pvp",15,MAX(0.1,Skills!D6-IF(Skills!E6=TRUE,Inputs!$B$32,0))),0)</f>
        <v/>
      </c>
      <c r="R85">
        <f>IF(AND(Inputs!$B$38&lt;&gt;"pvp",Inputs!$B$43&gt;0),IF(MAX(0,Inputs!$B$43-B119)&lt;=0,0,(INT(MAX(0,Inputs!$B$43-B119)/IF(Inputs!$B$38="pvp",15,MAX(0.1,Skills!D6-IF(Skills!E6=TRUE,Inputs!$B$32,0))))+1)),0)</f>
        <v/>
      </c>
      <c r="S85">
        <f>IFERROR(O85/N85,0)</f>
        <v/>
      </c>
      <c r="T85">
        <f>IF(C85,(H85*N85*IF(AND(Inputs!$B$38&lt;&gt;"pvp",Inputs!$B$43&gt;0),((Skills!G6*((R85-1)*IF(Skills!H6&gt;0,Skills!I6/Skills!H6,1)+IF(Skills!H6&gt;0,MIN(Skills!I6,MAX(0,MAX(0,Inputs!$B$43-B119)-((R85-1)*IF(Inputs!$B$38="pvp",15,MAX(0.1,Skills!D6-IF(Skills!E6=TRUE,Inputs!$B$32,0))))))/Skills!H6,1)))/Inputs!$B$43),G85*Q85))*IF(Inputs!$B$38="pvp",1,1+(Inputs!$B$20+0+Skills!P6)/100),0)</f>
        <v/>
      </c>
      <c r="V85">
        <f>IF(C85,(H85*N85*IF(AND(Inputs!$B$38&lt;&gt;"pvp",Inputs!$B$43&gt;0),((Skills!G6*((R85-1)*IF(Skills!H6&gt;0,Skills!I6/Skills!H6,1)+IF(Skills!H6&gt;0,MIN(Skills!I6,MAX(0,MAX(0,Inputs!$B$43-B119)-((R85-1)*IF(Inputs!$B$38="pvp",15,MAX(0.1,Skills!D6-IF(Skills!E6=TRUE,Inputs!$B$32,0))))))/Skills!H6,1)))/Inputs!$B$43),G85*Q85))*IF(Inputs!$B$38="pvp",1,(1+(Inputs!$B$21+Skills!Q6)/100)*(MIN(Skills!R6,Inputs!$B$37))),0)</f>
        <v/>
      </c>
    </row>
    <row r="86">
      <c r="A86">
        <f>Skills!A7</f>
        <v/>
      </c>
      <c r="B86">
        <f>Skills!B7</f>
        <v/>
      </c>
      <c r="C86">
        <f>Inputs!$B$3&gt;=107</f>
        <v/>
      </c>
      <c r="D86">
        <f>IF(Skills!C7=1,60+Inputs!$B$25+Inputs!$B$29,IF(Skills!C7=2,90+Inputs!$B$26+Inputs!$B$29,IF(Skills!C7=3,120+Inputs!$B$27+Inputs!$B$29,MAX(0,(Inputs!$B$3-100)*3)+Inputs!$B$28+Inputs!$B$29)))</f>
        <v/>
      </c>
      <c r="E86">
        <f>INDEX(FactorTable!$B$2:$Y$301, MATCH(ROUND(MIN(300,MAX(1,D86)),0), FactorTable!$A$2:$A$301,0), Skills!M7+1)</f>
        <v/>
      </c>
      <c r="F86">
        <f>IF(Skills!N7=TRUE,(Skills!L7/10)*(E86/1000),Skills!L7/10)+Skills!O7</f>
        <v/>
      </c>
      <c r="G86" t="inlineStr"/>
      <c r="H86" t="inlineStr"/>
      <c r="I86" t="inlineStr">
        <is>
          <t>1</t>
        </is>
      </c>
      <c r="J86" t="inlineStr"/>
      <c r="K86" t="inlineStr"/>
      <c r="L86" t="inlineStr"/>
      <c r="M86" t="inlineStr"/>
      <c r="N86" t="inlineStr"/>
      <c r="O86" t="inlineStr"/>
      <c r="P86" t="inlineStr"/>
      <c r="Q86" t="inlineStr"/>
      <c r="R86" t="inlineStr"/>
      <c r="S86" t="inlineStr"/>
      <c r="T86" t="inlineStr"/>
      <c r="V86" t="inlineStr"/>
    </row>
    <row r="87">
      <c r="A87">
        <f>Skills!A8</f>
        <v/>
      </c>
      <c r="B87">
        <f>Skills!B8</f>
        <v/>
      </c>
      <c r="C87">
        <f>Inputs!$B$3&gt;=69</f>
        <v/>
      </c>
      <c r="D87">
        <f>IF(Skills!C8=1,60+Inputs!$B$25+Inputs!$B$29,IF(Skills!C8=2,90+Inputs!$B$26+Inputs!$B$29,IF(Skills!C8=3,120+Inputs!$B$27+Inputs!$B$29,MAX(0,(Inputs!$B$3-100)*3)+Inputs!$B$28+Inputs!$B$29)))</f>
        <v/>
      </c>
      <c r="E87">
        <f>INDEX(FactorTable!$B$2:$Y$301, MATCH(ROUND(MIN(300,MAX(1,D87)),0), FactorTable!$A$2:$A$301,0), Skills!M8+1)</f>
        <v/>
      </c>
      <c r="F87">
        <f>IF(Skills!N8=TRUE,(Skills!L8/10)*(E87/1000),Skills!L8/10)+Skills!O8</f>
        <v/>
      </c>
      <c r="G87">
        <f>Skills!G8*IF(Skills!H8&gt;0,Skills!I8/Skills!H8,1)</f>
        <v/>
      </c>
      <c r="H87">
        <f>1-(1-Skills!J8/100)^Skills!K8</f>
        <v/>
      </c>
      <c r="I87" t="inlineStr">
        <is>
          <t>1</t>
        </is>
      </c>
      <c r="J87">
        <f>((Inputs!$B$6*(1+Inputs!$B$7/100))+(((Inputs!$B$12*(1+(Inputs!$B$13+1)/100))-(Inputs!$B$12*(1+Inputs!$B$13/100)))+0.25*(Inputs!$B$14-Inputs!$B$14))*(1+Inputs!$B$7/100))*(F87/100)</f>
        <v/>
      </c>
      <c r="K87">
        <f>J87*(1+((Inputs!$B$12*(1+(Inputs!$B$13+1)/100))*0.01+Inputs!$B$14*0.0025)/100)*(1+Inputs!$B$15/100)*(1+Inputs!$B$16/100)*(5000/(6000+Inputs!$B$42*(1-(Inputs!$B$19+((C106=TRUE)*(F106-Calc!F27)))/100)))*(1+(Inputs!$B$24+((C104=TRUE)*(F104-Calc!F25))+((C105=TRUE)*(F105-Calc!F26))+B118)/100)*(1+1.2*IF(C89=TRUE,F89,0)/100)*(1+(IF(Skills!A8="ARROW_STREAM",Inputs!$B$17+((C102=TRUE)*(F102-Calc!F23)),Inputs!$B$18+((C107=TRUE)*(F107-Calc!F28))))/100)*((1+(((C92=TRUE)*F92)+((C93=TRUE)*IF(Inputs!$B$38="pvp",F93,(1-Summary!$B$55)*(F93)+Summary!$B$55*(0)))+((C94=TRUE)*F94*IF(AND(Inputs!$B$38&lt;&gt;"pvp",Inputs!$B$43&gt;0),(((R94-1)*(Skills!T15*(1+Inputs!$B$34/100))+MIN((Skills!T15*(1+Inputs!$B$34/100)),MAX(0,Inputs!$B$43-((R94-1)*Skills!D15))))/Inputs!$B$43),IF(Inputs!$B$38="pvp",MIN((Skills!T15*(1+Inputs!$B$34/100)),15)/15,(Skills!T15*(1+Inputs!$B$34/100))/Skills!D15)))+((C109=TRUE)*(F109-Calc!F30)))/100)*I87)</f>
        <v/>
      </c>
      <c r="L87">
        <f>K87*(MIN(Inputs!$B$22+((C103=TRUE)*(F103-Calc!F24)),Inputs!$B$23+((C108=TRUE)*(F108-Calc!F29)))/100+(Inputs!$B$23+((C108=TRUE)*(F108-Calc!F29)))/100)/2</f>
        <v/>
      </c>
      <c r="M87">
        <f>L87*(1+(Inputs!$B$10+0+B117)/100)</f>
        <v/>
      </c>
      <c r="N87">
        <f>L87*(1-MIN((Inputs!$B$9+((C99=TRUE)*(F99-Calc!F20))+B112),100)/100)+M87*(MIN((Inputs!$B$9+((C99=TRUE)*(F99-Calc!F20))+B112),100)/100)</f>
        <v/>
      </c>
      <c r="O87">
        <f>(1-Summary!$B$55)*T87+Summary!$B$55*V87</f>
        <v/>
      </c>
      <c r="P87">
        <f>IF(B122=0,0,O87/B122)</f>
        <v/>
      </c>
      <c r="Q87">
        <f>IFERROR(1/IF(Inputs!$B$38="pvp",15,MAX(0.1,Skills!D8-IF(Skills!E8=TRUE,Inputs!$B$32,0))),0)</f>
        <v/>
      </c>
      <c r="R87">
        <f>IF(AND(Inputs!$B$38&lt;&gt;"pvp",Inputs!$B$43&gt;0),IF(MAX(0,Inputs!$B$43-B119)&lt;=0,0,(INT(MAX(0,Inputs!$B$43-B119)/IF(Inputs!$B$38="pvp",15,MAX(0.1,Skills!D8-IF(Skills!E8=TRUE,Inputs!$B$32,0))))+1)),0)</f>
        <v/>
      </c>
      <c r="S87">
        <f>IFERROR(O87/N87,0)</f>
        <v/>
      </c>
      <c r="T87">
        <f>IF(C87,(H87*N87*IF(AND(Inputs!$B$38&lt;&gt;"pvp",Inputs!$B$43&gt;0),((Skills!G8*((R87-1)*IF(Skills!H8&gt;0,Skills!I8/Skills!H8,1)+IF(Skills!H8&gt;0,MIN(Skills!I8,MAX(0,MAX(0,Inputs!$B$43-B119)-((R87-1)*IF(Inputs!$B$38="pvp",15,MAX(0.1,Skills!D8-IF(Skills!E8=TRUE,Inputs!$B$32,0))))))/Skills!H8,1)))/Inputs!$B$43),G87*Q87))*IF(Inputs!$B$38="pvp",1,1+(Inputs!$B$20+0+Skills!P8)/100),0)</f>
        <v/>
      </c>
      <c r="V87">
        <f>IF(C87,(H87*N87*IF(AND(Inputs!$B$38&lt;&gt;"pvp",Inputs!$B$43&gt;0),((Skills!G8*((R87-1)*IF(Skills!H8&gt;0,Skills!I8/Skills!H8,1)+IF(Skills!H8&gt;0,MIN(Skills!I8,MAX(0,MAX(0,Inputs!$B$43-B119)-((R87-1)*IF(Inputs!$B$38="pvp",15,MAX(0.1,Skills!D8-IF(Skills!E8=TRUE,Inputs!$B$32,0))))))/Skills!H8,1)))/Inputs!$B$43),G87*Q87))*IF(Inputs!$B$38="pvp",1,(1+(Inputs!$B$21+Skills!Q8)/100)*(MIN(Skills!R8,Inputs!$B$37))),0)</f>
        <v/>
      </c>
    </row>
    <row r="88">
      <c r="A88">
        <f>Skills!A9</f>
        <v/>
      </c>
      <c r="B88">
        <f>Skills!B9</f>
        <v/>
      </c>
      <c r="C88">
        <f>Inputs!$B$3&gt;=63</f>
        <v/>
      </c>
      <c r="D88">
        <f>IF(Skills!C9=1,60+Inputs!$B$25+Inputs!$B$29,IF(Skills!C9=2,90+Inputs!$B$26+Inputs!$B$29,IF(Skills!C9=3,120+Inputs!$B$27+Inputs!$B$29,MAX(0,(Inputs!$B$3-100)*3)+Inputs!$B$28+Inputs!$B$29)))</f>
        <v/>
      </c>
      <c r="E88">
        <f>INDEX(FactorTable!$B$2:$Y$301, MATCH(ROUND(MIN(300,MAX(1,D88)),0), FactorTable!$A$2:$A$301,0), Skills!M9+1)</f>
        <v/>
      </c>
      <c r="F88">
        <f>IF(Skills!N9=TRUE,(Skills!L9/10)*(E88/1000),Skills!L9/10)+Skills!O9</f>
        <v/>
      </c>
      <c r="G88">
        <f>Skills!G9*IF(Skills!H9&gt;0,Skills!I9/Skills!H9,1)</f>
        <v/>
      </c>
      <c r="H88">
        <f>1-(1-Skills!J9/100)^Skills!K9</f>
        <v/>
      </c>
      <c r="I88" t="inlineStr">
        <is>
          <t>1</t>
        </is>
      </c>
      <c r="J88">
        <f>((Inputs!$B$6*(1+Inputs!$B$7/100))+(((Inputs!$B$12*(1+(Inputs!$B$13+1)/100))-(Inputs!$B$12*(1+Inputs!$B$13/100)))+0.25*(Inputs!$B$14-Inputs!$B$14))*(1+Inputs!$B$7/100))*(F88/100)</f>
        <v/>
      </c>
      <c r="K88">
        <f>J88*(1+((Inputs!$B$12*(1+(Inputs!$B$13+1)/100))*0.01+Inputs!$B$14*0.0025)/100)*(1+Inputs!$B$15/100)*(1+Inputs!$B$16/100)*(5000/(6000+Inputs!$B$42*(1-(Inputs!$B$19+((C106=TRUE)*(F106-Calc!F27)))/100)))*(1+(Inputs!$B$24+((C104=TRUE)*(F104-Calc!F25))+((C105=TRUE)*(F105-Calc!F26))+B118)/100)*(1+1.0*IF(C89=TRUE,F89,0)/100)*(1+(IF(Skills!A9="ARROW_STREAM",Inputs!$B$17+((C102=TRUE)*(F102-Calc!F23)),Inputs!$B$18+((C107=TRUE)*(F107-Calc!F28))))/100)*((1+(((C92=TRUE)*F92)+((C93=TRUE)*IF(Inputs!$B$38="pvp",F93,(1-Summary!$B$55)*(F93)+Summary!$B$55*(0)))+((C94=TRUE)*F94*IF(AND(Inputs!$B$38&lt;&gt;"pvp",Inputs!$B$43&gt;0),(((R94-1)*(Skills!T15*(1+Inputs!$B$34/100))+MIN((Skills!T15*(1+Inputs!$B$34/100)),MAX(0,Inputs!$B$43-((R94-1)*Skills!D15))))/Inputs!$B$43),IF(Inputs!$B$38="pvp",MIN((Skills!T15*(1+Inputs!$B$34/100)),15)/15,(Skills!T15*(1+Inputs!$B$34/100))/Skills!D15)))+((C109=TRUE)*(F109-Calc!F30)))/100)*I88)</f>
        <v/>
      </c>
      <c r="L88">
        <f>K88*(MIN(Inputs!$B$22+((C103=TRUE)*(F103-Calc!F24)),Inputs!$B$23+((C108=TRUE)*(F108-Calc!F29)))/100+(Inputs!$B$23+((C108=TRUE)*(F108-Calc!F29)))/100)/2</f>
        <v/>
      </c>
      <c r="M88">
        <f>L88*(1+(Inputs!$B$10+0+B117)/100)</f>
        <v/>
      </c>
      <c r="N88">
        <f>L88*(1-MIN((Inputs!$B$9+((C99=TRUE)*(F99-Calc!F20))+B112),100)/100)+M88*(MIN((Inputs!$B$9+((C99=TRUE)*(F99-Calc!F20))+B112),100)/100)</f>
        <v/>
      </c>
      <c r="O88">
        <f>(1-Summary!$B$55)*T88+Summary!$B$55*V88</f>
        <v/>
      </c>
      <c r="P88">
        <f>IF(B122=0,0,O88/B122)</f>
        <v/>
      </c>
      <c r="Q88">
        <f>IFERROR(1/IF(Inputs!$B$38="pvp",15,MAX(0.1,Skills!D9-IF(Skills!E9=TRUE,Inputs!$B$32,0))),0)</f>
        <v/>
      </c>
      <c r="R88">
        <f>IF(AND(Inputs!$B$38&lt;&gt;"pvp",Inputs!$B$43&gt;0),IF(MAX(0,Inputs!$B$43-B119)&lt;=0,0,(INT(MAX(0,Inputs!$B$43-B119)/IF(Inputs!$B$38="pvp",15,MAX(0.1,Skills!D9-IF(Skills!E9=TRUE,Inputs!$B$32,0))))+1)),0)</f>
        <v/>
      </c>
      <c r="S88">
        <f>IFERROR(O88/N88,0)</f>
        <v/>
      </c>
      <c r="T88">
        <f>IF(C88,(H88*N88*IF(AND(Inputs!$B$38&lt;&gt;"pvp",Inputs!$B$43&gt;0),((Skills!G9*((R88-1)*IF(Skills!H9&gt;0,Skills!I9/Skills!H9,1)+IF(Skills!H9&gt;0,MIN(Skills!I9,MAX(0,MAX(0,Inputs!$B$43-B119)-((R88-1)*IF(Inputs!$B$38="pvp",15,MAX(0.1,Skills!D9-IF(Skills!E9=TRUE,Inputs!$B$32,0))))))/Skills!H9,1)))/Inputs!$B$43),G88*Q88))*IF(Inputs!$B$38="pvp",1,1+(Inputs!$B$20+0+Skills!P9)/100),0)</f>
        <v/>
      </c>
      <c r="V88">
        <f>IF(C88,(H88*N88*IF(AND(Inputs!$B$38&lt;&gt;"pvp",Inputs!$B$43&gt;0),((Skills!G9*((R88-1)*IF(Skills!H9&gt;0,Skills!I9/Skills!H9,1)+IF(Skills!H9&gt;0,MIN(Skills!I9,MAX(0,MAX(0,Inputs!$B$43-B119)-((R88-1)*IF(Inputs!$B$38="pvp",15,MAX(0.1,Skills!D9-IF(Skills!E9=TRUE,Inputs!$B$32,0))))))/Skills!H9,1)))/Inputs!$B$43),G88*Q88))*IF(Inputs!$B$38="pvp",1,(1+(Inputs!$B$21+Skills!Q9)/100)*(MIN(Skills!R9,Inputs!$B$37))),0)</f>
        <v/>
      </c>
    </row>
    <row r="89">
      <c r="A89">
        <f>Skills!A10</f>
        <v/>
      </c>
      <c r="B89">
        <f>Skills!B10</f>
        <v/>
      </c>
      <c r="C89">
        <f>Inputs!$B$3&gt;=100</f>
        <v/>
      </c>
      <c r="D89">
        <f>IF(Skills!C10=1,60+Inputs!$B$25+Inputs!$B$29,IF(Skills!C10=2,90+Inputs!$B$26+Inputs!$B$29,IF(Skills!C10=3,120+Inputs!$B$27+Inputs!$B$29,MAX(0,(Inputs!$B$3-100)*3)+Inputs!$B$28+Inputs!$B$29)))</f>
        <v/>
      </c>
      <c r="E89">
        <f>INDEX(FactorTable!$B$2:$Y$301, MATCH(ROUND(MIN(300,MAX(1,D89)),0), FactorTable!$A$2:$A$301,0), Skills!M10+1)</f>
        <v/>
      </c>
      <c r="F89">
        <f>IF(Skills!N10=TRUE,(Skills!L10/10)*(E89/1000),Skills!L10/10)+Skills!O10</f>
        <v/>
      </c>
      <c r="G89" t="inlineStr"/>
      <c r="H89" t="inlineStr"/>
      <c r="I89" t="inlineStr">
        <is>
          <t>1</t>
        </is>
      </c>
      <c r="J89" t="inlineStr"/>
      <c r="K89" t="inlineStr"/>
      <c r="L89" t="inlineStr"/>
      <c r="M89" t="inlineStr"/>
      <c r="N89" t="inlineStr"/>
      <c r="O89" t="inlineStr"/>
      <c r="P89" t="inlineStr"/>
      <c r="Q89" t="inlineStr"/>
      <c r="R89" t="inlineStr"/>
      <c r="S89" t="inlineStr"/>
      <c r="T89" t="inlineStr"/>
      <c r="V89" t="inlineStr"/>
    </row>
    <row r="90">
      <c r="A90">
        <f>Skills!A11</f>
        <v/>
      </c>
      <c r="B90">
        <f>Skills!B11</f>
        <v/>
      </c>
      <c r="C90">
        <f>Inputs!$B$3&gt;=60</f>
        <v/>
      </c>
      <c r="D90">
        <f>IF(Skills!C11=1,60+Inputs!$B$25+Inputs!$B$29,IF(Skills!C11=2,90+Inputs!$B$26+Inputs!$B$29,IF(Skills!C11=3,120+Inputs!$B$27+Inputs!$B$29,MAX(0,(Inputs!$B$3-100)*3)+Inputs!$B$28+Inputs!$B$29)))</f>
        <v/>
      </c>
      <c r="E90">
        <f>INDEX(FactorTable!$B$2:$Y$301, MATCH(ROUND(MIN(300,MAX(1,D90)),0), FactorTable!$A$2:$A$301,0), Skills!M11+1)</f>
        <v/>
      </c>
      <c r="F90">
        <f>IF(Skills!N11=TRUE,(Skills!L11/10)*(E90/1000),Skills!L11/10)+Skills!O11</f>
        <v/>
      </c>
      <c r="G90">
        <f>Skills!G11*IF(Skills!H11&gt;0,Skills!I11/Skills!H11,1)</f>
        <v/>
      </c>
      <c r="H90">
        <f>1-(1-Skills!J11/100)^Skills!K11</f>
        <v/>
      </c>
      <c r="I90" t="inlineStr">
        <is>
          <t>1</t>
        </is>
      </c>
      <c r="J90">
        <f>((Inputs!$B$6*(1+Inputs!$B$7/100))+(((Inputs!$B$12*(1+(Inputs!$B$13+1)/100))-(Inputs!$B$12*(1+Inputs!$B$13/100)))+0.25*(Inputs!$B$14-Inputs!$B$14))*(1+Inputs!$B$7/100))*(F90/100)</f>
        <v/>
      </c>
      <c r="K90">
        <f>J90*(1+((Inputs!$B$12*(1+(Inputs!$B$13+1)/100))*0.01+Inputs!$B$14*0.0025)/100)*(1+Inputs!$B$15/100)*(1+Inputs!$B$16/100)*(5000/(6000+Inputs!$B$42*(1-(Inputs!$B$19+((C106=TRUE)*(F106-Calc!F27)))/100)))*(1+(Inputs!$B$24+((C104=TRUE)*(F104-Calc!F25))+((C105=TRUE)*(F105-Calc!F26))+B118)/100)*(1+IF(C91=TRUE,F91,0)/100)*(1+(IF(Skills!A11="ARROW_STREAM",Inputs!$B$17+((C102=TRUE)*(F102-Calc!F23)),Inputs!$B$18+((C107=TRUE)*(F107-Calc!F28))))/100)*((1+(((C92=TRUE)*F92)+((C93=TRUE)*IF(Inputs!$B$38="pvp",F93,(1-Summary!$B$55)*(F93)+Summary!$B$55*(0)))+((C94=TRUE)*F94*IF(AND(Inputs!$B$38&lt;&gt;"pvp",Inputs!$B$43&gt;0),(((R94-1)*(Skills!T15*(1+Inputs!$B$34/100))+MIN((Skills!T15*(1+Inputs!$B$34/100)),MAX(0,Inputs!$B$43-((R94-1)*Skills!D15))))/Inputs!$B$43),IF(Inputs!$B$38="pvp",MIN((Skills!T15*(1+Inputs!$B$34/100)),15)/15,(Skills!T15*(1+Inputs!$B$34/100))/Skills!D15)))+((C109=TRUE)*(F109-Calc!F30)))/100)*I90)</f>
        <v/>
      </c>
      <c r="L90">
        <f>K90*(MIN(Inputs!$B$22+((C103=TRUE)*(F103-Calc!F24)),Inputs!$B$23+((C108=TRUE)*(F108-Calc!F29)))/100+(Inputs!$B$23+((C108=TRUE)*(F108-Calc!F29)))/100)/2</f>
        <v/>
      </c>
      <c r="M90">
        <f>L90*(1+(Inputs!$B$10+0+B117)/100)</f>
        <v/>
      </c>
      <c r="N90">
        <f>L90*(1-MIN((Inputs!$B$9+((C99=TRUE)*(F99-Calc!F20))+B112),100)/100)+M90*(MIN((Inputs!$B$9+((C99=TRUE)*(F99-Calc!F20))+B112),100)/100)</f>
        <v/>
      </c>
      <c r="O90">
        <f>(1-Summary!$B$55)*T90+Summary!$B$55*V90</f>
        <v/>
      </c>
      <c r="P90">
        <f>IF(B122=0,0,O90/B122)</f>
        <v/>
      </c>
      <c r="Q90">
        <f>IFERROR(1/IF(Inputs!$B$38="pvp",15,MAX(0.1,Skills!D11-IF(Skills!E11=TRUE,Inputs!$B$32,0))),0)</f>
        <v/>
      </c>
      <c r="R90">
        <f>IF(AND(Inputs!$B$38&lt;&gt;"pvp",Inputs!$B$43&gt;0),IF(MAX(0,Inputs!$B$43-B119)&lt;=0,0,(INT(MAX(0,Inputs!$B$43-B119)/IF(Inputs!$B$38="pvp",15,MAX(0.1,Skills!D11-IF(Skills!E11=TRUE,Inputs!$B$32,0))))+1)),0)</f>
        <v/>
      </c>
      <c r="S90">
        <f>IFERROR(O90/N90,0)</f>
        <v/>
      </c>
      <c r="T90">
        <f>IF(C90,(H90*N90*IF(AND(Inputs!$B$38&lt;&gt;"pvp",Inputs!$B$43&gt;0),((Skills!G11*((R90-1)*IF(Skills!H11&gt;0,Skills!I11/Skills!H11,1)+IF(Skills!H11&gt;0,MIN(Skills!I11,MAX(0,MAX(0,Inputs!$B$43-B119)-((R90-1)*IF(Inputs!$B$38="pvp",15,MAX(0.1,Skills!D11-IF(Skills!E11=TRUE,Inputs!$B$32,0))))))/Skills!H11,1)))/Inputs!$B$43),G90*Q90))*IF(Inputs!$B$38="pvp",1,1+(Inputs!$B$20+0+Skills!P11)/100),0)</f>
        <v/>
      </c>
      <c r="V90">
        <f>IF(C90,(H90*N90*IF(AND(Inputs!$B$38&lt;&gt;"pvp",Inputs!$B$43&gt;0),((Skills!G11*((R90-1)*IF(Skills!H11&gt;0,Skills!I11/Skills!H11,1)+IF(Skills!H11&gt;0,MIN(Skills!I11,MAX(0,MAX(0,Inputs!$B$43-B119)-((R90-1)*IF(Inputs!$B$38="pvp",15,MAX(0.1,Skills!D11-IF(Skills!E11=TRUE,Inputs!$B$32,0))))))/Skills!H11,1)))/Inputs!$B$43),G90*Q90))*IF(Inputs!$B$38="pvp",1,(1+(Inputs!$B$21+Skills!Q11)/100)*(MIN(Skills!R11,Inputs!$B$37))),0)</f>
        <v/>
      </c>
    </row>
    <row r="91">
      <c r="A91">
        <f>Skills!A12</f>
        <v/>
      </c>
      <c r="B91">
        <f>Skills!B12</f>
        <v/>
      </c>
      <c r="C91">
        <f>Inputs!$B$3&gt;=110</f>
        <v/>
      </c>
      <c r="D91">
        <f>IF(Skills!C12=1,60+Inputs!$B$25+Inputs!$B$29,IF(Skills!C12=2,90+Inputs!$B$26+Inputs!$B$29,IF(Skills!C12=3,120+Inputs!$B$27+Inputs!$B$29,MAX(0,(Inputs!$B$3-100)*3)+Inputs!$B$28+Inputs!$B$29)))</f>
        <v/>
      </c>
      <c r="E91">
        <f>INDEX(FactorTable!$B$2:$Y$301, MATCH(ROUND(MIN(300,MAX(1,D91)),0), FactorTable!$A$2:$A$301,0), Skills!M12+1)</f>
        <v/>
      </c>
      <c r="F91">
        <f>IF(Skills!N12=TRUE,(Skills!L12/10)*(E91/1000),Skills!L12/10)+Skills!O12</f>
        <v/>
      </c>
      <c r="G91" t="inlineStr"/>
      <c r="H91" t="inlineStr"/>
      <c r="I91" t="inlineStr">
        <is>
          <t>1</t>
        </is>
      </c>
      <c r="J91" t="inlineStr"/>
      <c r="K91" t="inlineStr"/>
      <c r="L91" t="inlineStr"/>
      <c r="M91" t="inlineStr"/>
      <c r="N91" t="inlineStr"/>
      <c r="O91" t="inlineStr"/>
      <c r="P91" t="inlineStr"/>
      <c r="Q91" t="inlineStr"/>
      <c r="R91" t="inlineStr"/>
      <c r="S91" t="inlineStr"/>
      <c r="T91" t="inlineStr"/>
      <c r="V91" t="inlineStr"/>
    </row>
    <row r="92">
      <c r="A92">
        <f>Skills!A13</f>
        <v/>
      </c>
      <c r="B92">
        <f>Skills!B13</f>
        <v/>
      </c>
      <c r="C92">
        <f>Inputs!$B$3&gt;=74</f>
        <v/>
      </c>
      <c r="D92">
        <f>IF(Skills!C13=1,60+Inputs!$B$25+Inputs!$B$29,IF(Skills!C13=2,90+Inputs!$B$26+Inputs!$B$29,IF(Skills!C13=3,120+Inputs!$B$27+Inputs!$B$29,MAX(0,(Inputs!$B$3-100)*3)+Inputs!$B$28+Inputs!$B$29)))</f>
        <v/>
      </c>
      <c r="E92">
        <f>INDEX(FactorTable!$B$2:$Y$301, MATCH(ROUND(MIN(300,MAX(1,D92)),0), FactorTable!$A$2:$A$301,0), Skills!M13+1)</f>
        <v/>
      </c>
      <c r="F92">
        <f>IF(Skills!N13=TRUE,(Skills!L13/10)*(E92/1000),Skills!L13/10)+Skills!O13</f>
        <v/>
      </c>
      <c r="G92">
        <f>Skills!G13*IF(Skills!H13&gt;0,Skills!I13/Skills!H13,1)</f>
        <v/>
      </c>
      <c r="H92">
        <f>1-(1-Skills!J13/100)^Skills!K13</f>
        <v/>
      </c>
      <c r="I92" t="inlineStr">
        <is>
          <t>1</t>
        </is>
      </c>
      <c r="J92" t="inlineStr"/>
      <c r="K92" t="inlineStr"/>
      <c r="L92" t="inlineStr"/>
      <c r="M92" t="inlineStr"/>
      <c r="N92" t="inlineStr"/>
      <c r="O92">
        <f>(1-Summary!$B$55)*T92+Summary!$B$55*V92</f>
        <v/>
      </c>
      <c r="P92">
        <f>IF(B122=0,0,O92/B122)</f>
        <v/>
      </c>
      <c r="Q92" t="n">
        <v>0</v>
      </c>
      <c r="R92" t="n">
        <v>0</v>
      </c>
      <c r="S92">
        <f>IFERROR(O92/N92,0)</f>
        <v/>
      </c>
      <c r="T92" t="n">
        <v>0</v>
      </c>
      <c r="V92" t="n">
        <v>0</v>
      </c>
    </row>
    <row r="93">
      <c r="A93">
        <f>Skills!A14</f>
        <v/>
      </c>
      <c r="B93">
        <f>Skills!B14</f>
        <v/>
      </c>
      <c r="C93">
        <f>Inputs!$B$3&gt;=74</f>
        <v/>
      </c>
      <c r="D93">
        <f>IF(Skills!C14=1,60+Inputs!$B$25+Inputs!$B$29,IF(Skills!C14=2,90+Inputs!$B$26+Inputs!$B$29,IF(Skills!C14=3,120+Inputs!$B$27+Inputs!$B$29,MAX(0,(Inputs!$B$3-100)*3)+Inputs!$B$28+Inputs!$B$29)))</f>
        <v/>
      </c>
      <c r="E93">
        <f>INDEX(FactorTable!$B$2:$Y$301, MATCH(ROUND(MIN(300,MAX(1,D93)),0), FactorTable!$A$2:$A$301,0), Skills!M14+1)</f>
        <v/>
      </c>
      <c r="F93">
        <f>IF(Skills!N14=TRUE,(Skills!L14/10)*(E93/1000),Skills!L14/10)+Skills!O14</f>
        <v/>
      </c>
      <c r="G93">
        <f>Skills!G14*IF(Skills!H14&gt;0,Skills!I14/Skills!H14,1)</f>
        <v/>
      </c>
      <c r="H93">
        <f>1-(1-Skills!J14/100)^Skills!K14</f>
        <v/>
      </c>
      <c r="I93" t="inlineStr">
        <is>
          <t>1</t>
        </is>
      </c>
      <c r="J93" t="inlineStr"/>
      <c r="K93" t="inlineStr"/>
      <c r="L93" t="inlineStr"/>
      <c r="M93" t="inlineStr"/>
      <c r="N93" t="inlineStr"/>
      <c r="O93">
        <f>(1-Summary!$B$55)*T93+Summary!$B$55*V93</f>
        <v/>
      </c>
      <c r="P93">
        <f>IF(B122=0,0,O93/B122)</f>
        <v/>
      </c>
      <c r="Q93" t="n">
        <v>0</v>
      </c>
      <c r="R93" t="n">
        <v>0</v>
      </c>
      <c r="S93">
        <f>IFERROR(O93/N93,0)</f>
        <v/>
      </c>
      <c r="T93" t="n">
        <v>0</v>
      </c>
      <c r="V93" t="n">
        <v>0</v>
      </c>
    </row>
    <row r="94">
      <c r="A94">
        <f>Skills!A15</f>
        <v/>
      </c>
      <c r="B94">
        <f>Skills!B15</f>
        <v/>
      </c>
      <c r="C94">
        <f>Inputs!$B$3&gt;=117</f>
        <v/>
      </c>
      <c r="D94">
        <f>IF(Skills!C15=1,60+Inputs!$B$25+Inputs!$B$29,IF(Skills!C15=2,90+Inputs!$B$26+Inputs!$B$29,IF(Skills!C15=3,120+Inputs!$B$27+Inputs!$B$29,MAX(0,(Inputs!$B$3-100)*3)+Inputs!$B$28+Inputs!$B$29)))</f>
        <v/>
      </c>
      <c r="E94">
        <f>INDEX(FactorTable!$B$2:$Y$301, MATCH(ROUND(MIN(300,MAX(1,D94)),0), FactorTable!$A$2:$A$301,0), Skills!M15+1)</f>
        <v/>
      </c>
      <c r="F94">
        <f>IF(Skills!N15=TRUE,(Skills!L15/10)*(E94/1000),Skills!L15/10)+Skills!O15</f>
        <v/>
      </c>
      <c r="G94">
        <f>Skills!G15*IF(Skills!H15&gt;0,Skills!I15/Skills!H15,1)</f>
        <v/>
      </c>
      <c r="H94">
        <f>1-(1-Skills!J15/100)^Skills!K15</f>
        <v/>
      </c>
      <c r="I94" t="inlineStr">
        <is>
          <t>1</t>
        </is>
      </c>
      <c r="J94" t="inlineStr"/>
      <c r="K94" t="inlineStr"/>
      <c r="L94" t="inlineStr"/>
      <c r="M94" t="inlineStr"/>
      <c r="N94" t="inlineStr"/>
      <c r="O94">
        <f>(1-Summary!$B$55)*T94+Summary!$B$55*V94</f>
        <v/>
      </c>
      <c r="P94">
        <f>IF(B122=0,0,O94/B122)</f>
        <v/>
      </c>
      <c r="Q94">
        <f>IFERROR(1/IF(Inputs!$B$38="pvp",15,MAX(0.1,Skills!D15-IF(Skills!E15=TRUE,Inputs!$B$32,0))),0)</f>
        <v/>
      </c>
      <c r="R94">
        <f>IF(AND(Inputs!$B$38&lt;&gt;"pvp",Inputs!$B$43&gt;0),IF(Inputs!$B$43&lt;=0,0,(INT(Inputs!$B$43/IF(Inputs!$B$38="pvp",15,MAX(0.1,Skills!D15-IF(Skills!E15=TRUE,Inputs!$B$32,0))))+1)),0)</f>
        <v/>
      </c>
      <c r="S94">
        <f>IFERROR(O94/N94,0)</f>
        <v/>
      </c>
      <c r="T94" t="n">
        <v>0</v>
      </c>
      <c r="V94" t="n">
        <v>0</v>
      </c>
    </row>
    <row r="95">
      <c r="A95">
        <f>Skills!A16</f>
        <v/>
      </c>
      <c r="B95">
        <f>Skills!B16</f>
        <v/>
      </c>
      <c r="C95">
        <f>Inputs!$B$3&gt;=115</f>
        <v/>
      </c>
      <c r="D95">
        <f>IF(Skills!C16=1,60+Inputs!$B$25+Inputs!$B$29,IF(Skills!C16=2,90+Inputs!$B$26+Inputs!$B$29,IF(Skills!C16=3,120+Inputs!$B$27+Inputs!$B$29,MAX(0,(Inputs!$B$3-100)*3)+Inputs!$B$28+Inputs!$B$29)))</f>
        <v/>
      </c>
      <c r="E95">
        <f>INDEX(FactorTable!$B$2:$Y$301, MATCH(ROUND(MIN(300,MAX(1,D95)),0), FactorTable!$A$2:$A$301,0), Skills!M16+1)</f>
        <v/>
      </c>
      <c r="F95">
        <f>IF(Skills!N16=TRUE,(Skills!L16/10)*(E95/1000),Skills!L16/10)+Skills!O16</f>
        <v/>
      </c>
      <c r="G95">
        <f>Skills!G16*IF(Skills!H16&gt;0,Skills!I16/Skills!H16,1)</f>
        <v/>
      </c>
      <c r="H95">
        <f>1-(1-Skills!J16/100)^Skills!K16</f>
        <v/>
      </c>
      <c r="I95" t="inlineStr">
        <is>
          <t>1</t>
        </is>
      </c>
      <c r="J95" t="inlineStr"/>
      <c r="K95" t="inlineStr"/>
      <c r="L95" t="inlineStr"/>
      <c r="M95" t="inlineStr"/>
      <c r="N95" t="inlineStr"/>
      <c r="O95">
        <f>(1-Summary!$B$55)*T95+Summary!$B$55*V95</f>
        <v/>
      </c>
      <c r="P95">
        <f>IF(B122=0,0,O95/B122)</f>
        <v/>
      </c>
      <c r="Q95">
        <f>IFERROR(1/IF(Inputs!$B$38="pvp",15,MAX(0.1,Skills!D16-IF(Skills!E16=TRUE,Inputs!$B$32,0))),0)</f>
        <v/>
      </c>
      <c r="R95">
        <f>IF(AND(Inputs!$B$38&lt;&gt;"pvp",Inputs!$B$43&gt;0),IF(Inputs!$B$43&lt;=0,0,(INT(Inputs!$B$43/IF(Inputs!$B$38="pvp",15,MAX(0.1,Skills!D16-IF(Skills!E16=TRUE,Inputs!$B$32,0))))+1)),0)</f>
        <v/>
      </c>
      <c r="S95">
        <f>IFERROR(O95/N95,0)</f>
        <v/>
      </c>
      <c r="T95" t="n">
        <v>0</v>
      </c>
      <c r="V95" t="n">
        <v>0</v>
      </c>
    </row>
    <row r="96">
      <c r="A96">
        <f>Skills!A17</f>
        <v/>
      </c>
      <c r="B96">
        <f>Skills!B17</f>
        <v/>
      </c>
      <c r="C96">
        <f>Inputs!$B$3&gt;=66</f>
        <v/>
      </c>
      <c r="D96">
        <f>IF(Skills!C17=1,60+Inputs!$B$25+Inputs!$B$29,IF(Skills!C17=2,90+Inputs!$B$26+Inputs!$B$29,IF(Skills!C17=3,120+Inputs!$B$27+Inputs!$B$29,MAX(0,(Inputs!$B$3-100)*3)+Inputs!$B$28+Inputs!$B$29)))</f>
        <v/>
      </c>
      <c r="E96">
        <f>INDEX(FactorTable!$B$2:$Y$301, MATCH(ROUND(MIN(300,MAX(1,D96)),0), FactorTable!$A$2:$A$301,0), Skills!M17+1)</f>
        <v/>
      </c>
      <c r="F96">
        <f>IF(Skills!N17=TRUE,(Skills!L17/10)*(E96/1000),Skills!L17/10)+Skills!O17</f>
        <v/>
      </c>
      <c r="G96">
        <f>Skills!G17*IF(Skills!H17&gt;0,Skills!I17/Skills!H17,1)</f>
        <v/>
      </c>
      <c r="H96">
        <f>1-(1-Skills!J17/100)^Skills!K17</f>
        <v/>
      </c>
      <c r="I96" t="inlineStr">
        <is>
          <t>1</t>
        </is>
      </c>
      <c r="J96" t="inlineStr"/>
      <c r="K96" t="inlineStr"/>
      <c r="L96" t="inlineStr"/>
      <c r="M96" t="inlineStr"/>
      <c r="N96" t="inlineStr"/>
      <c r="O96">
        <f>(1-Summary!$B$55)*T96+Summary!$B$55*V96</f>
        <v/>
      </c>
      <c r="P96">
        <f>IF(B122=0,0,O96/B122)</f>
        <v/>
      </c>
      <c r="Q96" t="n">
        <v>0</v>
      </c>
      <c r="R96" t="n">
        <v>0</v>
      </c>
      <c r="S96">
        <f>IFERROR(O96/N96,0)</f>
        <v/>
      </c>
      <c r="T96" t="n">
        <v>0</v>
      </c>
      <c r="V96" t="n">
        <v>0</v>
      </c>
    </row>
    <row r="97">
      <c r="A97">
        <f>Skills!A18</f>
        <v/>
      </c>
      <c r="B97">
        <f>Skills!B18</f>
        <v/>
      </c>
      <c r="C97">
        <f>Inputs!$B$3&gt;=72</f>
        <v/>
      </c>
      <c r="D97">
        <f>IF(Skills!C18=1,60+Inputs!$B$25+Inputs!$B$29,IF(Skills!C18=2,90+Inputs!$B$26+Inputs!$B$29,IF(Skills!C18=3,120+Inputs!$B$27+Inputs!$B$29,MAX(0,(Inputs!$B$3-100)*3)+Inputs!$B$28+Inputs!$B$29)))</f>
        <v/>
      </c>
      <c r="E97">
        <f>INDEX(FactorTable!$B$2:$Y$301, MATCH(ROUND(MIN(300,MAX(1,D97)),0), FactorTable!$A$2:$A$301,0), Skills!M18+1)</f>
        <v/>
      </c>
      <c r="F97">
        <f>IF(Skills!N18=TRUE,(Skills!L18/10)*(E97/1000),Skills!L18/10)+Skills!O18</f>
        <v/>
      </c>
      <c r="G97">
        <f>Skills!G18*IF(Skills!H18&gt;0,Skills!I18/Skills!H18,1)</f>
        <v/>
      </c>
      <c r="H97">
        <f>1-(1-Skills!J18/100)^Skills!K18</f>
        <v/>
      </c>
      <c r="I97" t="inlineStr">
        <is>
          <t>1</t>
        </is>
      </c>
      <c r="J97" t="inlineStr"/>
      <c r="K97" t="inlineStr"/>
      <c r="L97" t="inlineStr"/>
      <c r="M97" t="inlineStr"/>
      <c r="N97" t="inlineStr"/>
      <c r="O97">
        <f>(1-Summary!$B$55)*T97+Summary!$B$55*V97</f>
        <v/>
      </c>
      <c r="P97">
        <f>IF(B122=0,0,O97/B122)</f>
        <v/>
      </c>
      <c r="Q97" t="n">
        <v>0</v>
      </c>
      <c r="R97" t="n">
        <v>0</v>
      </c>
      <c r="S97">
        <f>IFERROR(O97/N97,0)</f>
        <v/>
      </c>
      <c r="T97" t="n">
        <v>0</v>
      </c>
      <c r="V97" t="n">
        <v>0</v>
      </c>
    </row>
    <row r="98">
      <c r="A98">
        <f>Skills!A19</f>
        <v/>
      </c>
      <c r="B98">
        <f>Skills!B19</f>
        <v/>
      </c>
      <c r="C98">
        <f>TRUE</f>
        <v/>
      </c>
      <c r="D98">
        <f>IF(Skills!C19=1,60+Inputs!$B$25+Inputs!$B$29,IF(Skills!C19=2,90+Inputs!$B$26+Inputs!$B$29,IF(Skills!C19=3,120+Inputs!$B$27+Inputs!$B$29,MAX(0,(Inputs!$B$3-100)*3)+Inputs!$B$28+Inputs!$B$29)))</f>
        <v/>
      </c>
      <c r="E98">
        <f>INDEX(FactorTable!$B$2:$Y$301, MATCH(ROUND(MIN(300,MAX(1,D98)),0), FactorTable!$A$2:$A$301,0), Skills!M19+1)</f>
        <v/>
      </c>
      <c r="F98">
        <f>IF(Skills!N19=TRUE,(Skills!L19/10)*(E98/1000),Skills!L19/10)+Skills!O19</f>
        <v/>
      </c>
      <c r="G98">
        <f>Skills!G19*IF(Skills!H19&gt;0,Skills!I19/Skills!H19,1)</f>
        <v/>
      </c>
      <c r="H98">
        <f>1-(1-Skills!J19/100)^Skills!K19</f>
        <v/>
      </c>
      <c r="I98" t="inlineStr">
        <is>
          <t>1</t>
        </is>
      </c>
      <c r="J98" t="inlineStr"/>
      <c r="K98" t="inlineStr"/>
      <c r="L98" t="inlineStr"/>
      <c r="M98" t="inlineStr"/>
      <c r="N98" t="inlineStr"/>
      <c r="O98">
        <f>(1-Summary!$B$55)*T98+Summary!$B$55*V98</f>
        <v/>
      </c>
      <c r="P98">
        <f>IF(B122=0,0,O98/B122)</f>
        <v/>
      </c>
      <c r="Q98">
        <f>IFERROR(1/IF(Inputs!$B$38="pvp",15,MAX(0.1,Skills!D19-IF(Skills!E19=TRUE,Inputs!$B$32,0))),0)</f>
        <v/>
      </c>
      <c r="R98">
        <f>IF(AND(Inputs!$B$38&lt;&gt;"pvp",Inputs!$B$43&gt;0),IF(Inputs!$B$43&lt;=0,0,(INT(Inputs!$B$43/IF(Inputs!$B$38="pvp",15,MAX(0.1,Skills!D19-IF(Skills!E19=TRUE,Inputs!$B$32,0))))+1)),0)</f>
        <v/>
      </c>
      <c r="S98">
        <f>IFERROR(O98/N98,0)</f>
        <v/>
      </c>
      <c r="T98" t="n">
        <v>0</v>
      </c>
      <c r="V98" t="n">
        <v>0</v>
      </c>
    </row>
    <row r="99">
      <c r="A99">
        <f>Skills!A20</f>
        <v/>
      </c>
      <c r="B99">
        <f>Skills!B20</f>
        <v/>
      </c>
      <c r="C99">
        <f>Inputs!$B$3&gt;=15</f>
        <v/>
      </c>
      <c r="D99">
        <f>IF(Skills!C20=1,60+Inputs!$B$25+Inputs!$B$29,IF(Skills!C20=2,90+Inputs!$B$26+Inputs!$B$29,IF(Skills!C20=3,120+Inputs!$B$27+Inputs!$B$29,MAX(0,(Inputs!$B$3-100)*3)+Inputs!$B$28+Inputs!$B$29)))</f>
        <v/>
      </c>
      <c r="E99">
        <f>INDEX(FactorTable!$B$2:$Y$301, MATCH(ROUND(MIN(300,MAX(1,D99)),0), FactorTable!$A$2:$A$301,0), Skills!M20+1)</f>
        <v/>
      </c>
      <c r="F99">
        <f>IF(Skills!N20=TRUE,(Skills!L20/10)*(E99/1000),Skills!L20/10)+Skills!O20</f>
        <v/>
      </c>
      <c r="G99">
        <f>Skills!G20*IF(Skills!H20&gt;0,Skills!I20/Skills!H20,1)</f>
        <v/>
      </c>
      <c r="H99">
        <f>1-(1-Skills!J20/100)^Skills!K20</f>
        <v/>
      </c>
      <c r="I99" t="inlineStr">
        <is>
          <t>1</t>
        </is>
      </c>
      <c r="J99" t="inlineStr"/>
      <c r="K99" t="inlineStr"/>
      <c r="L99" t="inlineStr"/>
      <c r="M99" t="inlineStr"/>
      <c r="N99" t="inlineStr"/>
      <c r="O99">
        <f>(1-Summary!$B$55)*T99+Summary!$B$55*V99</f>
        <v/>
      </c>
      <c r="P99">
        <f>IF(B122=0,0,O99/B122)</f>
        <v/>
      </c>
      <c r="Q99" t="n">
        <v>0</v>
      </c>
      <c r="R99" t="n">
        <v>0</v>
      </c>
      <c r="S99">
        <f>IFERROR(O99/N99,0)</f>
        <v/>
      </c>
      <c r="T99" t="n">
        <v>0</v>
      </c>
      <c r="V99" t="n">
        <v>0</v>
      </c>
    </row>
    <row r="100">
      <c r="A100">
        <f>Skills!A21</f>
        <v/>
      </c>
      <c r="B100">
        <f>Skills!B21</f>
        <v/>
      </c>
      <c r="C100">
        <f>Inputs!$B$3&gt;=10</f>
        <v/>
      </c>
      <c r="D100">
        <f>IF(Skills!C21=1,60+Inputs!$B$25+Inputs!$B$29,IF(Skills!C21=2,90+Inputs!$B$26+Inputs!$B$29,IF(Skills!C21=3,120+Inputs!$B$27+Inputs!$B$29,MAX(0,(Inputs!$B$3-100)*3)+Inputs!$B$28+Inputs!$B$29)))</f>
        <v/>
      </c>
      <c r="E100">
        <f>INDEX(FactorTable!$B$2:$Y$301, MATCH(ROUND(MIN(300,MAX(1,D100)),0), FactorTable!$A$2:$A$301,0), Skills!M21+1)</f>
        <v/>
      </c>
      <c r="F100">
        <f>IF(Skills!N21=TRUE,(Skills!L21/10)*(E100/1000),Skills!L21/10)+Skills!O21</f>
        <v/>
      </c>
      <c r="G100">
        <f>Skills!G21*IF(Skills!H21&gt;0,Skills!I21/Skills!H21,1)</f>
        <v/>
      </c>
      <c r="H100">
        <f>1-(1-Skills!J21/100)^Skills!K21</f>
        <v/>
      </c>
      <c r="I100" t="inlineStr">
        <is>
          <t>1</t>
        </is>
      </c>
      <c r="J100" t="inlineStr"/>
      <c r="K100" t="inlineStr"/>
      <c r="L100" t="inlineStr"/>
      <c r="M100" t="inlineStr"/>
      <c r="N100" t="inlineStr"/>
      <c r="O100">
        <f>(1-Summary!$B$55)*T100+Summary!$B$55*V100</f>
        <v/>
      </c>
      <c r="P100">
        <f>IF(B122=0,0,O100/B122)</f>
        <v/>
      </c>
      <c r="Q100" t="n">
        <v>0</v>
      </c>
      <c r="R100" t="n">
        <v>0</v>
      </c>
      <c r="S100">
        <f>IFERROR(O100/N100,0)</f>
        <v/>
      </c>
      <c r="T100" t="n">
        <v>0</v>
      </c>
      <c r="V100" t="n">
        <v>0</v>
      </c>
    </row>
    <row r="101">
      <c r="A101">
        <f>Skills!A22</f>
        <v/>
      </c>
      <c r="B101">
        <f>Skills!B22</f>
        <v/>
      </c>
      <c r="C101">
        <f>Inputs!$B$3&gt;=33</f>
        <v/>
      </c>
      <c r="D101">
        <f>IF(Skills!C22=1,60+Inputs!$B$25+Inputs!$B$29,IF(Skills!C22=2,90+Inputs!$B$26+Inputs!$B$29,IF(Skills!C22=3,120+Inputs!$B$27+Inputs!$B$29,MAX(0,(Inputs!$B$3-100)*3)+Inputs!$B$28+Inputs!$B$29)))</f>
        <v/>
      </c>
      <c r="E101">
        <f>INDEX(FactorTable!$B$2:$Y$301, MATCH(ROUND(MIN(300,MAX(1,D101)),0), FactorTable!$A$2:$A$301,0), Skills!M22+1)</f>
        <v/>
      </c>
      <c r="F101">
        <f>IF(Skills!N22=TRUE,(Skills!L22/10)*(E101/1000),Skills!L22/10)+Skills!O22</f>
        <v/>
      </c>
      <c r="G101">
        <f>Skills!G22*IF(Skills!H22&gt;0,Skills!I22/Skills!H22,1)</f>
        <v/>
      </c>
      <c r="H101">
        <f>1-(1-Skills!J22/100)^Skills!K22</f>
        <v/>
      </c>
      <c r="I101" t="inlineStr">
        <is>
          <t>1</t>
        </is>
      </c>
      <c r="J101" t="inlineStr"/>
      <c r="K101" t="inlineStr"/>
      <c r="L101" t="inlineStr"/>
      <c r="M101" t="inlineStr"/>
      <c r="N101" t="inlineStr"/>
      <c r="O101">
        <f>(1-Summary!$B$55)*T101+Summary!$B$55*V101</f>
        <v/>
      </c>
      <c r="P101">
        <f>IF(B122=0,0,O101/B122)</f>
        <v/>
      </c>
      <c r="Q101" t="n">
        <v>0</v>
      </c>
      <c r="R101" t="n">
        <v>0</v>
      </c>
      <c r="S101">
        <f>IFERROR(O101/N101,0)</f>
        <v/>
      </c>
      <c r="T101" t="n">
        <v>0</v>
      </c>
      <c r="V101" t="n">
        <v>0</v>
      </c>
    </row>
    <row r="102">
      <c r="A102">
        <f>Skills!A23</f>
        <v/>
      </c>
      <c r="B102">
        <f>Skills!B23</f>
        <v/>
      </c>
      <c r="C102">
        <f>Inputs!$B$3&gt;=38</f>
        <v/>
      </c>
      <c r="D102">
        <f>IF(Skills!C23=1,60+Inputs!$B$25+Inputs!$B$29,IF(Skills!C23=2,90+Inputs!$B$26+Inputs!$B$29,IF(Skills!C23=3,120+Inputs!$B$27+Inputs!$B$29,MAX(0,(Inputs!$B$3-100)*3)+Inputs!$B$28+Inputs!$B$29)))</f>
        <v/>
      </c>
      <c r="E102">
        <f>INDEX(FactorTable!$B$2:$Y$301, MATCH(ROUND(MIN(300,MAX(1,D102)),0), FactorTable!$A$2:$A$301,0), Skills!M23+1)</f>
        <v/>
      </c>
      <c r="F102">
        <f>IF(Skills!N23=TRUE,(Skills!L23/10)*(E102/1000),Skills!L23/10)+Skills!O23</f>
        <v/>
      </c>
      <c r="G102">
        <f>Skills!G23*IF(Skills!H23&gt;0,Skills!I23/Skills!H23,1)</f>
        <v/>
      </c>
      <c r="H102">
        <f>1-(1-Skills!J23/100)^Skills!K23</f>
        <v/>
      </c>
      <c r="I102" t="inlineStr">
        <is>
          <t>1</t>
        </is>
      </c>
      <c r="J102" t="inlineStr"/>
      <c r="K102" t="inlineStr"/>
      <c r="L102" t="inlineStr"/>
      <c r="M102" t="inlineStr"/>
      <c r="N102" t="inlineStr"/>
      <c r="O102">
        <f>(1-Summary!$B$55)*T102+Summary!$B$55*V102</f>
        <v/>
      </c>
      <c r="P102">
        <f>IF(B122=0,0,O102/B122)</f>
        <v/>
      </c>
      <c r="Q102" t="n">
        <v>0</v>
      </c>
      <c r="R102" t="n">
        <v>0</v>
      </c>
      <c r="S102">
        <f>IFERROR(O102/N102,0)</f>
        <v/>
      </c>
      <c r="T102" t="n">
        <v>0</v>
      </c>
      <c r="V102" t="n">
        <v>0</v>
      </c>
    </row>
    <row r="103">
      <c r="A103">
        <f>Skills!A24</f>
        <v/>
      </c>
      <c r="B103">
        <f>Skills!B24</f>
        <v/>
      </c>
      <c r="C103">
        <f>Inputs!$B$3&gt;=43</f>
        <v/>
      </c>
      <c r="D103">
        <f>IF(Skills!C24=1,60+Inputs!$B$25+Inputs!$B$29,IF(Skills!C24=2,90+Inputs!$B$26+Inputs!$B$29,IF(Skills!C24=3,120+Inputs!$B$27+Inputs!$B$29,MAX(0,(Inputs!$B$3-100)*3)+Inputs!$B$28+Inputs!$B$29)))</f>
        <v/>
      </c>
      <c r="E103">
        <f>INDEX(FactorTable!$B$2:$Y$301, MATCH(ROUND(MIN(300,MAX(1,D103)),0), FactorTable!$A$2:$A$301,0), Skills!M24+1)</f>
        <v/>
      </c>
      <c r="F103">
        <f>IF(Skills!N24=TRUE,(Skills!L24/10)*(E103/1000),Skills!L24/10)+Skills!O24</f>
        <v/>
      </c>
      <c r="G103">
        <f>Skills!G24*IF(Skills!H24&gt;0,Skills!I24/Skills!H24,1)</f>
        <v/>
      </c>
      <c r="H103">
        <f>1-(1-Skills!J24/100)^Skills!K24</f>
        <v/>
      </c>
      <c r="I103" t="inlineStr">
        <is>
          <t>1</t>
        </is>
      </c>
      <c r="J103" t="inlineStr"/>
      <c r="K103" t="inlineStr"/>
      <c r="L103" t="inlineStr"/>
      <c r="M103" t="inlineStr"/>
      <c r="N103" t="inlineStr"/>
      <c r="O103">
        <f>(1-Summary!$B$55)*T103+Summary!$B$55*V103</f>
        <v/>
      </c>
      <c r="P103">
        <f>IF(B122=0,0,O103/B122)</f>
        <v/>
      </c>
      <c r="Q103" t="n">
        <v>0</v>
      </c>
      <c r="R103" t="n">
        <v>0</v>
      </c>
      <c r="S103">
        <f>IFERROR(O103/N103,0)</f>
        <v/>
      </c>
      <c r="T103" t="n">
        <v>0</v>
      </c>
      <c r="V103" t="n">
        <v>0</v>
      </c>
    </row>
    <row r="104">
      <c r="A104">
        <f>Skills!A25</f>
        <v/>
      </c>
      <c r="B104">
        <f>Skills!B25</f>
        <v/>
      </c>
      <c r="C104">
        <f>Inputs!$B$3&gt;=75</f>
        <v/>
      </c>
      <c r="D104">
        <f>IF(Skills!C25=1,60+Inputs!$B$25+Inputs!$B$29,IF(Skills!C25=2,90+Inputs!$B$26+Inputs!$B$29,IF(Skills!C25=3,120+Inputs!$B$27+Inputs!$B$29,MAX(0,(Inputs!$B$3-100)*3)+Inputs!$B$28+Inputs!$B$29)))</f>
        <v/>
      </c>
      <c r="E104">
        <f>INDEX(FactorTable!$B$2:$Y$301, MATCH(ROUND(MIN(300,MAX(1,D104)),0), FactorTable!$A$2:$A$301,0), Skills!M25+1)</f>
        <v/>
      </c>
      <c r="F104">
        <f>IF(Skills!N25=TRUE,(Skills!L25/10)*(E104/1000),Skills!L25/10)+Skills!O25</f>
        <v/>
      </c>
      <c r="G104">
        <f>Skills!G25*IF(Skills!H25&gt;0,Skills!I25/Skills!H25,1)</f>
        <v/>
      </c>
      <c r="H104">
        <f>1-(1-Skills!J25/100)^Skills!K25</f>
        <v/>
      </c>
      <c r="I104" t="inlineStr">
        <is>
          <t>1</t>
        </is>
      </c>
      <c r="J104" t="inlineStr"/>
      <c r="K104" t="inlineStr"/>
      <c r="L104" t="inlineStr"/>
      <c r="M104" t="inlineStr"/>
      <c r="N104" t="inlineStr"/>
      <c r="O104">
        <f>(1-Summary!$B$55)*T104+Summary!$B$55*V104</f>
        <v/>
      </c>
      <c r="P104">
        <f>IF(B122=0,0,O104/B122)</f>
        <v/>
      </c>
      <c r="Q104" t="n">
        <v>0</v>
      </c>
      <c r="R104" t="n">
        <v>0</v>
      </c>
      <c r="S104">
        <f>IFERROR(O104/N104,0)</f>
        <v/>
      </c>
      <c r="T104" t="n">
        <v>0</v>
      </c>
      <c r="V104" t="n">
        <v>0</v>
      </c>
    </row>
    <row r="105">
      <c r="A105">
        <f>Skills!A26</f>
        <v/>
      </c>
      <c r="B105">
        <f>Skills!B26</f>
        <v/>
      </c>
      <c r="C105">
        <f>Inputs!$B$3&gt;=125</f>
        <v/>
      </c>
      <c r="D105">
        <f>IF(Skills!C26=1,60+Inputs!$B$25+Inputs!$B$29,IF(Skills!C26=2,90+Inputs!$B$26+Inputs!$B$29,IF(Skills!C26=3,120+Inputs!$B$27+Inputs!$B$29,MAX(0,(Inputs!$B$3-100)*3)+Inputs!$B$28+Inputs!$B$29)))</f>
        <v/>
      </c>
      <c r="E105">
        <f>INDEX(FactorTable!$B$2:$Y$301, MATCH(ROUND(MIN(300,MAX(1,D105)),0), FactorTable!$A$2:$A$301,0), Skills!M26+1)</f>
        <v/>
      </c>
      <c r="F105">
        <f>IF(Skills!N26=TRUE,(Skills!L26/10)*(E105/1000),Skills!L26/10)+Skills!O26</f>
        <v/>
      </c>
      <c r="G105">
        <f>Skills!G26*IF(Skills!H26&gt;0,Skills!I26/Skills!H26,1)</f>
        <v/>
      </c>
      <c r="H105">
        <f>1-(1-Skills!J26/100)^Skills!K26</f>
        <v/>
      </c>
      <c r="I105" t="inlineStr">
        <is>
          <t>1</t>
        </is>
      </c>
      <c r="J105" t="inlineStr"/>
      <c r="K105" t="inlineStr"/>
      <c r="L105" t="inlineStr"/>
      <c r="M105" t="inlineStr"/>
      <c r="N105" t="inlineStr"/>
      <c r="O105">
        <f>(1-Summary!$B$55)*T105+Summary!$B$55*V105</f>
        <v/>
      </c>
      <c r="P105">
        <f>IF(B122=0,0,O105/B122)</f>
        <v/>
      </c>
      <c r="Q105" t="n">
        <v>0</v>
      </c>
      <c r="R105" t="n">
        <v>0</v>
      </c>
      <c r="S105">
        <f>IFERROR(O105/N105,0)</f>
        <v/>
      </c>
      <c r="T105" t="n">
        <v>0</v>
      </c>
      <c r="V105" t="n">
        <v>0</v>
      </c>
    </row>
    <row r="106">
      <c r="A106">
        <f>Skills!A27</f>
        <v/>
      </c>
      <c r="B106">
        <f>Skills!B27</f>
        <v/>
      </c>
      <c r="C106">
        <f>Inputs!$B$3&gt;=125</f>
        <v/>
      </c>
      <c r="D106">
        <f>IF(Skills!C27=1,60+Inputs!$B$25+Inputs!$B$29,IF(Skills!C27=2,90+Inputs!$B$26+Inputs!$B$29,IF(Skills!C27=3,120+Inputs!$B$27+Inputs!$B$29,MAX(0,(Inputs!$B$3-100)*3)+Inputs!$B$28+Inputs!$B$29)))</f>
        <v/>
      </c>
      <c r="E106">
        <f>INDEX(FactorTable!$B$2:$Y$301, MATCH(ROUND(MIN(300,MAX(1,D106)),0), FactorTable!$A$2:$A$301,0), Skills!M27+1)</f>
        <v/>
      </c>
      <c r="F106">
        <f>IF(Skills!N27=TRUE,(Skills!L27/10)*(E106/1000),Skills!L27/10)+Skills!O27</f>
        <v/>
      </c>
      <c r="G106">
        <f>Skills!G27*IF(Skills!H27&gt;0,Skills!I27/Skills!H27,1)</f>
        <v/>
      </c>
      <c r="H106">
        <f>1-(1-Skills!J27/100)^Skills!K27</f>
        <v/>
      </c>
      <c r="I106" t="inlineStr">
        <is>
          <t>1</t>
        </is>
      </c>
      <c r="J106" t="inlineStr"/>
      <c r="K106" t="inlineStr"/>
      <c r="L106" t="inlineStr"/>
      <c r="M106" t="inlineStr"/>
      <c r="N106" t="inlineStr"/>
      <c r="O106">
        <f>(1-Summary!$B$55)*T106+Summary!$B$55*V106</f>
        <v/>
      </c>
      <c r="P106">
        <f>IF(B122=0,0,O106/B122)</f>
        <v/>
      </c>
      <c r="Q106" t="n">
        <v>0</v>
      </c>
      <c r="R106" t="n">
        <v>0</v>
      </c>
      <c r="S106">
        <f>IFERROR(O106/N106,0)</f>
        <v/>
      </c>
      <c r="T106" t="n">
        <v>0</v>
      </c>
      <c r="V106" t="n">
        <v>0</v>
      </c>
    </row>
    <row r="107">
      <c r="A107">
        <f>Skills!A28</f>
        <v/>
      </c>
      <c r="B107">
        <f>Skills!B28</f>
        <v/>
      </c>
      <c r="C107">
        <f>Inputs!$B$3&gt;=120</f>
        <v/>
      </c>
      <c r="D107">
        <f>IF(Skills!C28=1,60+Inputs!$B$25+Inputs!$B$29,IF(Skills!C28=2,90+Inputs!$B$26+Inputs!$B$29,IF(Skills!C28=3,120+Inputs!$B$27+Inputs!$B$29,MAX(0,(Inputs!$B$3-100)*3)+Inputs!$B$28+Inputs!$B$29)))</f>
        <v/>
      </c>
      <c r="E107">
        <f>INDEX(FactorTable!$B$2:$Y$301, MATCH(ROUND(MIN(300,MAX(1,D107)),0), FactorTable!$A$2:$A$301,0), Skills!M28+1)</f>
        <v/>
      </c>
      <c r="F107">
        <f>IF(Skills!N28=TRUE,(Skills!L28/10)*(E107/1000),Skills!L28/10)+Skills!O28</f>
        <v/>
      </c>
      <c r="G107">
        <f>Skills!G28*IF(Skills!H28&gt;0,Skills!I28/Skills!H28,1)</f>
        <v/>
      </c>
      <c r="H107">
        <f>1-(1-Skills!J28/100)^Skills!K28</f>
        <v/>
      </c>
      <c r="I107" t="inlineStr">
        <is>
          <t>1</t>
        </is>
      </c>
      <c r="J107" t="inlineStr"/>
      <c r="K107" t="inlineStr"/>
      <c r="L107" t="inlineStr"/>
      <c r="M107" t="inlineStr"/>
      <c r="N107" t="inlineStr"/>
      <c r="O107">
        <f>(1-Summary!$B$55)*T107+Summary!$B$55*V107</f>
        <v/>
      </c>
      <c r="P107">
        <f>IF(B122=0,0,O107/B122)</f>
        <v/>
      </c>
      <c r="Q107" t="n">
        <v>0</v>
      </c>
      <c r="R107" t="n">
        <v>0</v>
      </c>
      <c r="S107">
        <f>IFERROR(O107/N107,0)</f>
        <v/>
      </c>
      <c r="T107" t="n">
        <v>0</v>
      </c>
      <c r="V107" t="n">
        <v>0</v>
      </c>
    </row>
    <row r="108">
      <c r="A108">
        <f>Skills!A29</f>
        <v/>
      </c>
      <c r="B108">
        <f>Skills!B29</f>
        <v/>
      </c>
      <c r="C108">
        <f>Inputs!$B$3&gt;=120</f>
        <v/>
      </c>
      <c r="D108">
        <f>IF(Skills!C29=1,60+Inputs!$B$25+Inputs!$B$29,IF(Skills!C29=2,90+Inputs!$B$26+Inputs!$B$29,IF(Skills!C29=3,120+Inputs!$B$27+Inputs!$B$29,MAX(0,(Inputs!$B$3-100)*3)+Inputs!$B$28+Inputs!$B$29)))</f>
        <v/>
      </c>
      <c r="E108">
        <f>INDEX(FactorTable!$B$2:$Y$301, MATCH(ROUND(MIN(300,MAX(1,D108)),0), FactorTable!$A$2:$A$301,0), Skills!M29+1)</f>
        <v/>
      </c>
      <c r="F108">
        <f>IF(Skills!N29=TRUE,(Skills!L29/10)*(E108/1000),Skills!L29/10)+Skills!O29</f>
        <v/>
      </c>
      <c r="G108">
        <f>Skills!G29*IF(Skills!H29&gt;0,Skills!I29/Skills!H29,1)</f>
        <v/>
      </c>
      <c r="H108">
        <f>1-(1-Skills!J29/100)^Skills!K29</f>
        <v/>
      </c>
      <c r="I108" t="inlineStr">
        <is>
          <t>1</t>
        </is>
      </c>
      <c r="J108" t="inlineStr"/>
      <c r="K108" t="inlineStr"/>
      <c r="L108" t="inlineStr"/>
      <c r="M108" t="inlineStr"/>
      <c r="N108" t="inlineStr"/>
      <c r="O108">
        <f>(1-Summary!$B$55)*T108+Summary!$B$55*V108</f>
        <v/>
      </c>
      <c r="P108">
        <f>IF(B122=0,0,O108/B122)</f>
        <v/>
      </c>
      <c r="Q108" t="n">
        <v>0</v>
      </c>
      <c r="R108" t="n">
        <v>0</v>
      </c>
      <c r="S108">
        <f>IFERROR(O108/N108,0)</f>
        <v/>
      </c>
      <c r="T108" t="n">
        <v>0</v>
      </c>
      <c r="V108" t="n">
        <v>0</v>
      </c>
    </row>
    <row r="109">
      <c r="A109">
        <f>Skills!A30</f>
        <v/>
      </c>
      <c r="B109">
        <f>Skills!B30</f>
        <v/>
      </c>
      <c r="C109">
        <f>Inputs!$B$3&gt;=45</f>
        <v/>
      </c>
      <c r="D109">
        <f>IF(Skills!C30=1,60+Inputs!$B$25+Inputs!$B$29,IF(Skills!C30=2,90+Inputs!$B$26+Inputs!$B$29,IF(Skills!C30=3,120+Inputs!$B$27+Inputs!$B$29,MAX(0,(Inputs!$B$3-100)*3)+Inputs!$B$28+Inputs!$B$29)))</f>
        <v/>
      </c>
      <c r="E109">
        <f>INDEX(FactorTable!$B$2:$Y$301, MATCH(ROUND(MIN(300,MAX(1,D109)),0), FactorTable!$A$2:$A$301,0), Skills!M30+1)</f>
        <v/>
      </c>
      <c r="F109">
        <f>IF(Skills!N30=TRUE,(Skills!L30/10)*(E109/1000),Skills!L30/10)+Skills!O30</f>
        <v/>
      </c>
      <c r="G109">
        <f>Skills!G30*IF(Skills!H30&gt;0,Skills!I30/Skills!H30,1)</f>
        <v/>
      </c>
      <c r="H109">
        <f>1-(1-Skills!J30/100)^Skills!K30</f>
        <v/>
      </c>
      <c r="I109" t="inlineStr">
        <is>
          <t>1</t>
        </is>
      </c>
      <c r="J109" t="inlineStr"/>
      <c r="K109" t="inlineStr"/>
      <c r="L109" t="inlineStr"/>
      <c r="M109" t="inlineStr"/>
      <c r="N109" t="inlineStr"/>
      <c r="O109">
        <f>(1-Summary!$B$55)*T109+Summary!$B$55*V109</f>
        <v/>
      </c>
      <c r="P109">
        <f>IF(B122=0,0,O109/B122)</f>
        <v/>
      </c>
      <c r="Q109" t="n">
        <v>0</v>
      </c>
      <c r="R109" t="n">
        <v>0</v>
      </c>
      <c r="S109">
        <f>IFERROR(O109/N109,0)</f>
        <v/>
      </c>
      <c r="T109" t="n">
        <v>0</v>
      </c>
      <c r="V109" t="n">
        <v>0</v>
      </c>
    </row>
    <row r="111">
      <c r="A111" t="inlineStr">
        <is>
          <t>Attack% Bucket Multiplier</t>
        </is>
      </c>
      <c r="B111">
        <f>(1+(((C92=TRUE)*F92)+((C93=TRUE)*IF(Inputs!$B$38="pvp",F93,(1-Summary!$B$55)*(F93)+Summary!$B$55*(0)))+((C94=TRUE)*F94*IF(AND(Inputs!$B$38&lt;&gt;"pvp",Inputs!$B$43&gt;0),(((R94-1)*(Skills!T15*(1+Inputs!$B$34/100))+MIN((Skills!T15*(1+Inputs!$B$34/100)),MAX(0,Inputs!$B$43-((R94-1)*Skills!D15))))/Inputs!$B$43),IF(Inputs!$B$38="pvp",MIN((Skills!T15*(1+Inputs!$B$34/100)),15)/15,(Skills!T15*(1+Inputs!$B$34/100))/Skills!D15)))+((C109=TRUE)*(F109-Calc!F30)))/100)</f>
        <v/>
      </c>
    </row>
    <row r="112">
      <c r="A112" t="inlineStr">
        <is>
          <t>Global Crit Rate Bonus %</t>
        </is>
      </c>
      <c r="B112">
        <f>(C95=TRUE)*20*IF(AND(Inputs!$B$38&lt;&gt;"pvp",Inputs!$B$43&gt;0),(((R95-1)*(Skills!T16*(1+Inputs!$B$34/100))+MIN((Skills!T16*(1+Inputs!$B$34/100)),MAX(0,Inputs!$B$43-((R95-1)*Skills!D16))))/Inputs!$B$43),IF(Inputs!$B$38="pvp",MIN((Skills!T16*(1+Inputs!$B$34/100)),15)/15,(Skills!T16*(1+Inputs!$B$34/100))/Skills!D16))</f>
        <v/>
      </c>
    </row>
    <row r="113">
      <c r="A113" t="inlineStr">
        <is>
          <t>Attack Speed Buff Bonus %</t>
        </is>
      </c>
      <c r="B113">
        <f>((C98=TRUE)*F98*IF(AND(Inputs!$B$38&lt;&gt;"pvp",Inputs!$B$43&gt;0),(((R98-1)*(Skills!T19*(1+Inputs!$B$34/100))+MIN((Skills!T19*(1+Inputs!$B$34/100)),MAX(0,Inputs!$B$43-((R98-1)*Skills!D19))))/Inputs!$B$43),IF(Inputs!$B$38="pvp",MIN((Skills!T19*(1+Inputs!$B$34/100)),15)/15,(Skills!T19*(1+Inputs!$B$34/100))/Skills!D19)))</f>
        <v/>
      </c>
    </row>
    <row r="114">
      <c r="A114" t="inlineStr">
        <is>
          <t>Actions Per Second</t>
        </is>
      </c>
      <c r="B114">
        <f>1+MIN(150,150*(1-(1-(Inputs!$B$11+((C100=TRUE)*(F100-Calc!F21))+((C101=TRUE)*(F101-Calc!F22)))/150)*(1-B113/150)))/100</f>
        <v/>
      </c>
    </row>
    <row r="115">
      <c r="A115" t="inlineStr">
        <is>
          <t>Skill + Buff Cast Rate</t>
        </is>
      </c>
      <c r="B115">
        <f>IF(AND(Inputs!$B$38&lt;&gt;"pvp",Inputs!$B$43&gt;0),SUMPRODUCT((Skills!E2:E30=TRUE)*(C81:C109=TRUE)*R81:R109*Skills!F2:F30)/Inputs!$B$43,SUMPRODUCT((Skills!E2:E30=TRUE)*(C81:C109=TRUE)*Q81:Q109*Skills!F2:F30))</f>
        <v/>
      </c>
    </row>
    <row r="116">
      <c r="A116" t="inlineStr">
        <is>
          <t>Arrow Stream Casts Per Second</t>
        </is>
      </c>
      <c r="B116">
        <f>MAX(0,B114-B115)</f>
        <v/>
      </c>
    </row>
    <row r="117">
      <c r="A117" t="inlineStr">
        <is>
          <t>Global Critical Damage Bonus % (Sharp Eyes + Concentration)</t>
        </is>
      </c>
      <c r="B117">
        <f>(C95=TRUE)*F95*IF(AND(Inputs!$B$38&lt;&gt;"pvp",Inputs!$B$43&gt;0),(((R95-1)*(Skills!T16*(1+Inputs!$B$34/100))+MIN((Skills!T16*(1+Inputs!$B$34/100)),MAX(0,Inputs!$B$43-((R95-1)*Skills!D16))))/Inputs!$B$43),IF(Inputs!$B$38="pvp",MIN((Skills!T16*(1+Inputs!$B$34/100)),15)/15,(Skills!T16*(1+Inputs!$B$34/100))/Skills!D16))+(C96=TRUE)*30</f>
        <v/>
      </c>
    </row>
    <row r="118">
      <c r="A118" t="inlineStr">
        <is>
          <t>Global Final Damage Bonus % (Mortal Blow)</t>
        </is>
      </c>
      <c r="B118">
        <f>(C97=TRUE)*F97</f>
        <v/>
      </c>
    </row>
    <row r="119">
      <c r="A119" t="inlineStr">
        <is>
          <t>Buff-Casting Startup Delay (s, fixed-duration only)</t>
        </is>
      </c>
      <c r="B119">
        <f>IF(AND(Inputs!$B$38&lt;&gt;"pvp",Inputs!$B$43&gt;0),SUMPRODUCT((Skills!T2:T30&gt;0)*(Skills!E2:E30=TRUE)*(C81:C109=TRUE))/B114,0)</f>
        <v/>
      </c>
    </row>
    <row r="120">
      <c r="A120" t="inlineStr">
        <is>
          <t>Boss-Only Total DPS (this block's swept value)</t>
        </is>
      </c>
      <c r="B120">
        <f>SUM(T81:T109)</f>
        <v/>
      </c>
    </row>
    <row r="121">
      <c r="A121" t="inlineStr">
        <is>
          <t>Normal-Only Total DPS (this block's swept value)</t>
        </is>
      </c>
      <c r="B121">
        <f>SUM(V81:V109)</f>
        <v/>
      </c>
    </row>
    <row r="122">
      <c r="A122" s="5" t="inlineStr">
        <is>
          <t>TOTAL DPS</t>
        </is>
      </c>
      <c r="B122" s="5">
        <f>SUM(O81:O109)</f>
        <v/>
      </c>
    </row>
    <row r="125">
      <c r="A125" s="5" t="inlineStr">
        <is>
          <t>Stat: STR</t>
        </is>
      </c>
    </row>
    <row r="126">
      <c r="A126" s="9" t="inlineStr">
        <is>
          <t>Key</t>
        </is>
      </c>
      <c r="B126" s="9" t="inlineStr">
        <is>
          <t>Name</t>
        </is>
      </c>
      <c r="C126" s="9" t="inlineStr">
        <is>
          <t>Unlocked</t>
        </is>
      </c>
      <c r="D126" s="9" t="inlineStr">
        <is>
          <t>InputLevel</t>
        </is>
      </c>
      <c r="E126" s="9" t="inlineStr">
        <is>
          <t>Factor</t>
        </is>
      </c>
      <c r="F126" s="9" t="inlineStr">
        <is>
          <t>CoefficientPercent</t>
        </is>
      </c>
      <c r="G126" s="9" t="inlineStr">
        <is>
          <t>EffectiveHits</t>
        </is>
      </c>
      <c r="H126" s="9" t="inlineStr">
        <is>
          <t>ProcProbability</t>
        </is>
      </c>
      <c r="I126" s="9" t="inlineStr">
        <is>
          <t>MapleHeroMultiplier</t>
        </is>
      </c>
      <c r="J126" s="9" t="inlineStr">
        <is>
          <t>BaseDamage</t>
        </is>
      </c>
      <c r="K126" s="9" t="inlineStr">
        <is>
          <t>BaseHitDamage</t>
        </is>
      </c>
      <c r="L126" s="9" t="inlineStr">
        <is>
          <t>NonCritAvg</t>
        </is>
      </c>
      <c r="M126" s="9" t="inlineStr">
        <is>
          <t>CritAvg</t>
        </is>
      </c>
      <c r="N126" s="9" t="inlineStr">
        <is>
          <t>ExpectedDamage(perHit)</t>
        </is>
      </c>
      <c r="O126" s="9" t="inlineStr">
        <is>
          <t>DPS</t>
        </is>
      </c>
      <c r="P126" s="9" t="inlineStr">
        <is>
          <t>% of Total</t>
        </is>
      </c>
      <c r="Q126" s="9" t="inlineStr">
        <is>
          <t>InvCooldown</t>
        </is>
      </c>
      <c r="R126" s="9" t="inlineStr">
        <is>
          <t>CastsInFight</t>
        </is>
      </c>
      <c r="S126" s="9" t="inlineStr">
        <is>
          <t>HitRate(perSec)</t>
        </is>
      </c>
      <c r="U126" t="inlineStr">
        <is>
          <t>helpers</t>
        </is>
      </c>
    </row>
    <row r="127">
      <c r="A127">
        <f>Skills!A2</f>
        <v/>
      </c>
      <c r="B127">
        <f>Skills!B2</f>
        <v/>
      </c>
      <c r="C127">
        <f>Inputs!$B$3&gt;=100</f>
        <v/>
      </c>
      <c r="D127" t="inlineStr"/>
      <c r="E127" t="inlineStr"/>
      <c r="F127">
        <f>U129+Skills!O2</f>
        <v/>
      </c>
      <c r="G127">
        <f>Skills!G2*IF(Skills!H2&gt;0,Skills!I2/Skills!H2,1)</f>
        <v/>
      </c>
      <c r="H127">
        <f>1-(1-Skills!J2/100)^Skills!K2</f>
        <v/>
      </c>
      <c r="I127" t="inlineStr">
        <is>
          <t>1</t>
        </is>
      </c>
      <c r="J127">
        <f>((Inputs!$B$6*(1+Inputs!$B$7/100))+(((Inputs!$B$12*(1+Inputs!$B$13/100))-(Inputs!$B$12*(1+Inputs!$B$13/100)))+0.25*((Inputs!$B$14+1)-Inputs!$B$14))*(1+Inputs!$B$7/100))*(F127/100)</f>
        <v/>
      </c>
      <c r="K127">
        <f>J127*(1+((Inputs!$B$12*(1+Inputs!$B$13/100))*0.01+(Inputs!$B$14+1)*0.0025)/100)*(1+Inputs!$B$15/100)*(1+Inputs!$B$16/100)*(5000/(6000+Inputs!$B$42*(1-(Inputs!$B$19+((C152=TRUE)*(F152-Calc!F27)))/100)))*(1+(Inputs!$B$24+((C150=TRUE)*(F150-Calc!F25))+((C151=TRUE)*(F151-Calc!F26))+B164)/100)*(1+(IF(Skills!A2="ARROW_STREAM",Inputs!$B$17+((C148=TRUE)*(F148-Calc!F23)),Inputs!$B$18+((C153=TRUE)*(F153-Calc!F28))))/100)*((1+(((C138=TRUE)*F138)+((C139=TRUE)*IF(Inputs!$B$38="pvp",F139,(1-Summary!$B$55)*(F139)+Summary!$B$55*(0)))+((C140=TRUE)*F140*IF(AND(Inputs!$B$38&lt;&gt;"pvp",Inputs!$B$43&gt;0),(((R140-1)*(Skills!T15*(1+Inputs!$B$34/100))+MIN((Skills!T15*(1+Inputs!$B$34/100)),MAX(0,Inputs!$B$43-((R140-1)*Skills!D15))))/Inputs!$B$43),IF(Inputs!$B$38="pvp",MIN((Skills!T15*(1+Inputs!$B$34/100)),15)/15,(Skills!T15*(1+Inputs!$B$34/100))/Skills!D15)))+((C155=TRUE)*(F155-Calc!F30)))/100)*I127)</f>
        <v/>
      </c>
      <c r="L127">
        <f>K127*(MIN(Inputs!$B$22+((C149=TRUE)*(F149-Calc!F24)),Inputs!$B$23+((C154=TRUE)*(F154-Calc!F29)))/100+(Inputs!$B$23+((C154=TRUE)*(F154-Calc!F29)))/100)/2</f>
        <v/>
      </c>
      <c r="M127">
        <f>L127*(1+(Inputs!$B$10+0+B163)/100)</f>
        <v/>
      </c>
      <c r="N127">
        <f>L127*(1-MIN((Inputs!$B$9+((C145=TRUE)*(F145-Calc!F20))+B158),100)/100)+M127*(MIN((Inputs!$B$9+((C145=TRUE)*(F145-Calc!F20))+B158),100)/100)</f>
        <v/>
      </c>
      <c r="O127">
        <f>(1-Summary!$B$55)*T127+Summary!$B$55*V127</f>
        <v/>
      </c>
      <c r="P127">
        <f>IF(B168=0,0,O127/B168)</f>
        <v/>
      </c>
      <c r="Q127" t="n">
        <v>0</v>
      </c>
      <c r="R127" t="n">
        <v>0</v>
      </c>
      <c r="S127">
        <f>IFERROR(O127/N127,0)</f>
        <v/>
      </c>
      <c r="T127">
        <f>IF(C127,(Skills!G2*N127*B162)*IF(Inputs!$B$38="pvp",1,1+(Inputs!$B$20+0+Skills!P2)/100),0)</f>
        <v/>
      </c>
      <c r="U127">
        <f>MAX(0,(Inputs!$B$3-100)*3)+Inputs!$B$28+Inputs!$B$29</f>
        <v/>
      </c>
      <c r="V127">
        <f>IF(C127,(Skills!G2*N127*B162)*IF(Inputs!$B$38="pvp",1,(1+(Inputs!$B$21+Skills!Q2)/100)*(MIN((6+Inputs!$B$33),Inputs!$B$37))),0)</f>
        <v/>
      </c>
    </row>
    <row r="128">
      <c r="A128">
        <f>Skills!A3</f>
        <v/>
      </c>
      <c r="B128">
        <f>Skills!B3</f>
        <v/>
      </c>
      <c r="C128">
        <f>Inputs!$B$3&gt;=50</f>
        <v/>
      </c>
      <c r="D128">
        <f>IF(Skills!C3=1,60+Inputs!$B$25+Inputs!$B$29,IF(Skills!C3=2,90+Inputs!$B$26+Inputs!$B$29,IF(Skills!C3=3,120+Inputs!$B$27+Inputs!$B$29,MAX(0,(Inputs!$B$3-100)*3)+Inputs!$B$28+Inputs!$B$29)))</f>
        <v/>
      </c>
      <c r="E128">
        <f>INDEX(FactorTable!$B$2:$Y$301, MATCH(ROUND(MIN(300,MAX(1,D128)),0), FactorTable!$A$2:$A$301,0), Skills!M3+1)</f>
        <v/>
      </c>
      <c r="F128">
        <f>IF(Skills!N3=TRUE,(Skills!L3/10)*(E128/1000),Skills!L3/10)+Skills!O3</f>
        <v/>
      </c>
      <c r="G128" t="inlineStr"/>
      <c r="H128" t="inlineStr"/>
      <c r="I128" t="inlineStr">
        <is>
          <t>1</t>
        </is>
      </c>
      <c r="J128" t="inlineStr"/>
      <c r="K128" t="inlineStr"/>
      <c r="L128" t="inlineStr"/>
      <c r="M128" t="inlineStr"/>
      <c r="N128" t="inlineStr"/>
      <c r="O128" t="inlineStr"/>
      <c r="P128" t="inlineStr"/>
      <c r="Q128" t="inlineStr"/>
      <c r="R128" t="inlineStr"/>
      <c r="S128" t="inlineStr"/>
      <c r="T128" t="inlineStr"/>
      <c r="U128">
        <f>INDEX(FactorTable!$B$2:$Y$301, MATCH(ROUND(MIN(300,MAX(1,U127)),0), FactorTable!$A$2:$A$301,0), 22)</f>
        <v/>
      </c>
      <c r="V128" t="inlineStr"/>
    </row>
    <row r="129">
      <c r="A129">
        <f>Skills!A4</f>
        <v/>
      </c>
      <c r="B129">
        <f>Skills!B4</f>
        <v/>
      </c>
      <c r="C129">
        <f>Inputs!$B$3&gt;=105</f>
        <v/>
      </c>
      <c r="D129">
        <f>IF(Skills!C4=1,60+Inputs!$B$25+Inputs!$B$29,IF(Skills!C4=2,90+Inputs!$B$26+Inputs!$B$29,IF(Skills!C4=3,120+Inputs!$B$27+Inputs!$B$29,MAX(0,(Inputs!$B$3-100)*3)+Inputs!$B$28+Inputs!$B$29)))</f>
        <v/>
      </c>
      <c r="E129">
        <f>INDEX(FactorTable!$B$2:$Y$301, MATCH(ROUND(MIN(300,MAX(1,D129)),0), FactorTable!$A$2:$A$301,0), Skills!M4+1)</f>
        <v/>
      </c>
      <c r="F129">
        <f>IF(Skills!N4=TRUE,(Skills!L4/10)*(E129/1000),Skills!L4/10)+Skills!O4</f>
        <v/>
      </c>
      <c r="G129" t="inlineStr"/>
      <c r="H129" t="inlineStr"/>
      <c r="I129" t="inlineStr">
        <is>
          <t>1</t>
        </is>
      </c>
      <c r="J129" t="inlineStr"/>
      <c r="K129" t="inlineStr"/>
      <c r="L129" t="inlineStr"/>
      <c r="M129" t="inlineStr"/>
      <c r="N129" t="inlineStr"/>
      <c r="O129" t="inlineStr"/>
      <c r="P129" t="inlineStr"/>
      <c r="Q129" t="inlineStr"/>
      <c r="R129" t="inlineStr"/>
      <c r="S129" t="inlineStr"/>
      <c r="T129" t="inlineStr"/>
      <c r="U129">
        <f>290*U128/1000</f>
        <v/>
      </c>
      <c r="V129" t="inlineStr"/>
    </row>
    <row r="130">
      <c r="A130">
        <f>Skills!A5</f>
        <v/>
      </c>
      <c r="B130">
        <f>Skills!B5</f>
        <v/>
      </c>
      <c r="C130">
        <f>Inputs!$B$3&gt;=35</f>
        <v/>
      </c>
      <c r="D130">
        <f>IF(Skills!C5=1,60+Inputs!$B$25+Inputs!$B$29,IF(Skills!C5=2,90+Inputs!$B$26+Inputs!$B$29,IF(Skills!C5=3,120+Inputs!$B$27+Inputs!$B$29,MAX(0,(Inputs!$B$3-100)*3)+Inputs!$B$28+Inputs!$B$29)))</f>
        <v/>
      </c>
      <c r="E130">
        <f>INDEX(FactorTable!$B$2:$Y$301, MATCH(ROUND(MIN(300,MAX(1,D130)),0), FactorTable!$A$2:$A$301,0), Skills!M5+1)</f>
        <v/>
      </c>
      <c r="F130">
        <f>IF(Skills!N5=TRUE,(Skills!L5/10)*(E130/1000),Skills!L5/10)+Skills!O5</f>
        <v/>
      </c>
      <c r="G130">
        <f>Skills!G5*IF(Skills!H5&gt;0,Skills!I5/Skills!H5,1)</f>
        <v/>
      </c>
      <c r="H130">
        <f>1-(1-Skills!J5/100)^Skills!K5</f>
        <v/>
      </c>
      <c r="I130" t="inlineStr">
        <is>
          <t>1</t>
        </is>
      </c>
      <c r="J130">
        <f>((Inputs!$B$6*(1+Inputs!$B$7/100))+(((Inputs!$B$12*(1+Inputs!$B$13/100))-(Inputs!$B$12*(1+Inputs!$B$13/100)))+0.25*((Inputs!$B$14+1)-Inputs!$B$14))*(1+Inputs!$B$7/100))*(F130/100)</f>
        <v/>
      </c>
      <c r="K130">
        <f>J130*(1+((Inputs!$B$12*(1+Inputs!$B$13/100))*0.01+(Inputs!$B$14+1)*0.0025)/100)*(1+Inputs!$B$15/100)*(1+Inputs!$B$16/100)*(5000/(6000+Inputs!$B$42*(1-(Inputs!$B$19+((C152=TRUE)*(F152-Calc!F27)))/100)))*(1+(Inputs!$B$24+((C150=TRUE)*(F150-Calc!F25))+((C151=TRUE)*(F151-Calc!F26))+B164)/100)*(1+4.0*IF(C135=TRUE,F135,0)/100)*(1+(IF(Skills!A5="ARROW_STREAM",Inputs!$B$17+((C148=TRUE)*(F148-Calc!F23)),Inputs!$B$18+((C153=TRUE)*(F153-Calc!F28))))/100)*((1+(((C138=TRUE)*F138)+((C139=TRUE)*IF(Inputs!$B$38="pvp",F139,(1-Summary!$B$55)*(F139)+Summary!$B$55*(0)))+((C140=TRUE)*F140*IF(AND(Inputs!$B$38&lt;&gt;"pvp",Inputs!$B$43&gt;0),(((R140-1)*(Skills!T15*(1+Inputs!$B$34/100))+MIN((Skills!T15*(1+Inputs!$B$34/100)),MAX(0,Inputs!$B$43-((R140-1)*Skills!D15))))/Inputs!$B$43),IF(Inputs!$B$38="pvp",MIN((Skills!T15*(1+Inputs!$B$34/100)),15)/15,(Skills!T15*(1+Inputs!$B$34/100))/Skills!D15)))+((C155=TRUE)*(F155-Calc!F30)))/100)*I130)</f>
        <v/>
      </c>
      <c r="L130">
        <f>K130*(MIN(Inputs!$B$22+((C149=TRUE)*(F149-Calc!F24)),Inputs!$B$23+((C154=TRUE)*(F154-Calc!F29)))/100+(Inputs!$B$23+((C154=TRUE)*(F154-Calc!F29)))/100)/2</f>
        <v/>
      </c>
      <c r="M130">
        <f>L130*(1+(Inputs!$B$10+0+B163)/100)</f>
        <v/>
      </c>
      <c r="N130">
        <f>L130*(1-MIN((Inputs!$B$9+((C145=TRUE)*(F145-Calc!F20))+B158),100)/100)+M130*(MIN((Inputs!$B$9+((C145=TRUE)*(F145-Calc!F20))+B158),100)/100)</f>
        <v/>
      </c>
      <c r="O130">
        <f>(1-Summary!$B$55)*T130+Summary!$B$55*V130</f>
        <v/>
      </c>
      <c r="P130">
        <f>IF(B168=0,0,O130/B168)</f>
        <v/>
      </c>
      <c r="Q130">
        <f>IFERROR(1/IF(Inputs!$B$38="pvp",15,MAX(0.1,Skills!D5-IF(Skills!E5=TRUE,Inputs!$B$32,0))),0)</f>
        <v/>
      </c>
      <c r="R130">
        <f>IF(AND(Inputs!$B$38&lt;&gt;"pvp",Inputs!$B$43&gt;0),IF(MAX(0,Inputs!$B$43-B165)&lt;=0,0,(INT(MAX(0,Inputs!$B$43-B165)/IF(Inputs!$B$38="pvp",15,MAX(0.1,Skills!D5-IF(Skills!E5=TRUE,Inputs!$B$32,0))))+1)),0)</f>
        <v/>
      </c>
      <c r="S130">
        <f>IFERROR(O130/N130,0)</f>
        <v/>
      </c>
      <c r="T130">
        <f>IF(C130,(H130*N130*IF(AND(Inputs!$B$38&lt;&gt;"pvp",Inputs!$B$43&gt;0),((Skills!G5*((R130-1)*IF(Skills!H5&gt;0,Skills!I5/Skills!H5,1)+IF(Skills!H5&gt;0,MIN(Skills!I5,MAX(0,MAX(0,Inputs!$B$43-B165)-((R130-1)*IF(Inputs!$B$38="pvp",15,MAX(0.1,Skills!D5-IF(Skills!E5=TRUE,Inputs!$B$32,0))))))/Skills!H5,1)))/Inputs!$B$43),G130*Q130))*IF(Inputs!$B$38="pvp",1,1+(Inputs!$B$20+0+Skills!P5)/100),0)</f>
        <v/>
      </c>
      <c r="V130">
        <f>IF(C130,(H130*N130*IF(AND(Inputs!$B$38&lt;&gt;"pvp",Inputs!$B$43&gt;0),((Skills!G5*((R130-1)*IF(Skills!H5&gt;0,Skills!I5/Skills!H5,1)+IF(Skills!H5&gt;0,MIN(Skills!I5,MAX(0,MAX(0,Inputs!$B$43-B165)-((R130-1)*IF(Inputs!$B$38="pvp",15,MAX(0.1,Skills!D5-IF(Skills!E5=TRUE,Inputs!$B$32,0))))))/Skills!H5,1)))/Inputs!$B$43),G130*Q130))*IF(Inputs!$B$38="pvp",1,(1+(Inputs!$B$21+Skills!Q5)/100)*(MIN(Skills!R5,Inputs!$B$37))),0)</f>
        <v/>
      </c>
    </row>
    <row r="131">
      <c r="A131">
        <f>Skills!A6</f>
        <v/>
      </c>
      <c r="B131">
        <f>Skills!B6</f>
        <v/>
      </c>
      <c r="C131">
        <f>Inputs!$B$3&gt;=40</f>
        <v/>
      </c>
      <c r="D131">
        <f>IF(Skills!C6=1,60+Inputs!$B$25+Inputs!$B$29,IF(Skills!C6=2,90+Inputs!$B$26+Inputs!$B$29,IF(Skills!C6=3,120+Inputs!$B$27+Inputs!$B$29,MAX(0,(Inputs!$B$3-100)*3)+Inputs!$B$28+Inputs!$B$29)))</f>
        <v/>
      </c>
      <c r="E131">
        <f>INDEX(FactorTable!$B$2:$Y$301, MATCH(ROUND(MIN(300,MAX(1,D131)),0), FactorTable!$A$2:$A$301,0), Skills!M6+1)</f>
        <v/>
      </c>
      <c r="F131">
        <f>IF(Skills!N6=TRUE,(Skills!L6/10)*(E131/1000),Skills!L6/10)+Skills!O6</f>
        <v/>
      </c>
      <c r="G131">
        <f>Skills!G6*IF(Skills!H6&gt;0,Skills!I6/Skills!H6,1)</f>
        <v/>
      </c>
      <c r="H131">
        <f>1-(1-Skills!J6/100)^Skills!K6</f>
        <v/>
      </c>
      <c r="I131" t="inlineStr">
        <is>
          <t>1</t>
        </is>
      </c>
      <c r="J131">
        <f>((Inputs!$B$6*(1+Inputs!$B$7/100))+(((Inputs!$B$12*(1+Inputs!$B$13/100))-(Inputs!$B$12*(1+Inputs!$B$13/100)))+0.25*((Inputs!$B$14+1)-Inputs!$B$14))*(1+Inputs!$B$7/100))*(F131/100)</f>
        <v/>
      </c>
      <c r="K131">
        <f>J131*(1+((Inputs!$B$12*(1+Inputs!$B$13/100))*0.01+(Inputs!$B$14+1)*0.0025)/100)*(1+Inputs!$B$15/100)*(1+Inputs!$B$16/100)*(5000/(6000+Inputs!$B$42*(1-(Inputs!$B$19+((C152=TRUE)*(F152-Calc!F27)))/100)))*(1+(Inputs!$B$24+((C150=TRUE)*(F150-Calc!F25))+((C151=TRUE)*(F151-Calc!F26))+B164)/100)*(1+IF(C132=TRUE,F132,0)/100)*(1+(IF(Skills!A6="ARROW_STREAM",Inputs!$B$17+((C148=TRUE)*(F148-Calc!F23)),Inputs!$B$18+((C153=TRUE)*(F153-Calc!F28))))/100)*((1+(((C138=TRUE)*F138)+((C139=TRUE)*IF(Inputs!$B$38="pvp",F139,(1-Summary!$B$55)*(F139)+Summary!$B$55*(0)))+((C140=TRUE)*F140*IF(AND(Inputs!$B$38&lt;&gt;"pvp",Inputs!$B$43&gt;0),(((R140-1)*(Skills!T15*(1+Inputs!$B$34/100))+MIN((Skills!T15*(1+Inputs!$B$34/100)),MAX(0,Inputs!$B$43-((R140-1)*Skills!D15))))/Inputs!$B$43),IF(Inputs!$B$38="pvp",MIN((Skills!T15*(1+Inputs!$B$34/100)),15)/15,(Skills!T15*(1+Inputs!$B$34/100))/Skills!D15)))+((C155=TRUE)*(F155-Calc!F30)))/100)*I131)</f>
        <v/>
      </c>
      <c r="L131">
        <f>K131*(MIN(Inputs!$B$22+((C149=TRUE)*(F149-Calc!F24)),Inputs!$B$23+((C154=TRUE)*(F154-Calc!F29)))/100+(Inputs!$B$23+((C154=TRUE)*(F154-Calc!F29)))/100)/2</f>
        <v/>
      </c>
      <c r="M131">
        <f>L131*(1+(Inputs!$B$10+0+B163)/100)</f>
        <v/>
      </c>
      <c r="N131">
        <f>L131*(1-MIN((Inputs!$B$9+((C145=TRUE)*(F145-Calc!F20))+B158),100)/100)+M131*(MIN((Inputs!$B$9+((C145=TRUE)*(F145-Calc!F20))+B158),100)/100)</f>
        <v/>
      </c>
      <c r="O131">
        <f>(1-Summary!$B$55)*T131+Summary!$B$55*V131</f>
        <v/>
      </c>
      <c r="P131">
        <f>IF(B168=0,0,O131/B168)</f>
        <v/>
      </c>
      <c r="Q131">
        <f>IFERROR(1/IF(Inputs!$B$38="pvp",15,MAX(0.1,Skills!D6-IF(Skills!E6=TRUE,Inputs!$B$32,0))),0)</f>
        <v/>
      </c>
      <c r="R131">
        <f>IF(AND(Inputs!$B$38&lt;&gt;"pvp",Inputs!$B$43&gt;0),IF(MAX(0,Inputs!$B$43-B165)&lt;=0,0,(INT(MAX(0,Inputs!$B$43-B165)/IF(Inputs!$B$38="pvp",15,MAX(0.1,Skills!D6-IF(Skills!E6=TRUE,Inputs!$B$32,0))))+1)),0)</f>
        <v/>
      </c>
      <c r="S131">
        <f>IFERROR(O131/N131,0)</f>
        <v/>
      </c>
      <c r="T131">
        <f>IF(C131,(H131*N131*IF(AND(Inputs!$B$38&lt;&gt;"pvp",Inputs!$B$43&gt;0),((Skills!G6*((R131-1)*IF(Skills!H6&gt;0,Skills!I6/Skills!H6,1)+IF(Skills!H6&gt;0,MIN(Skills!I6,MAX(0,MAX(0,Inputs!$B$43-B165)-((R131-1)*IF(Inputs!$B$38="pvp",15,MAX(0.1,Skills!D6-IF(Skills!E6=TRUE,Inputs!$B$32,0))))))/Skills!H6,1)))/Inputs!$B$43),G131*Q131))*IF(Inputs!$B$38="pvp",1,1+(Inputs!$B$20+0+Skills!P6)/100),0)</f>
        <v/>
      </c>
      <c r="V131">
        <f>IF(C131,(H131*N131*IF(AND(Inputs!$B$38&lt;&gt;"pvp",Inputs!$B$43&gt;0),((Skills!G6*((R131-1)*IF(Skills!H6&gt;0,Skills!I6/Skills!H6,1)+IF(Skills!H6&gt;0,MIN(Skills!I6,MAX(0,MAX(0,Inputs!$B$43-B165)-((R131-1)*IF(Inputs!$B$38="pvp",15,MAX(0.1,Skills!D6-IF(Skills!E6=TRUE,Inputs!$B$32,0))))))/Skills!H6,1)))/Inputs!$B$43),G131*Q131))*IF(Inputs!$B$38="pvp",1,(1+(Inputs!$B$21+Skills!Q6)/100)*(MIN(Skills!R6,Inputs!$B$37))),0)</f>
        <v/>
      </c>
    </row>
    <row r="132">
      <c r="A132">
        <f>Skills!A7</f>
        <v/>
      </c>
      <c r="B132">
        <f>Skills!B7</f>
        <v/>
      </c>
      <c r="C132">
        <f>Inputs!$B$3&gt;=107</f>
        <v/>
      </c>
      <c r="D132">
        <f>IF(Skills!C7=1,60+Inputs!$B$25+Inputs!$B$29,IF(Skills!C7=2,90+Inputs!$B$26+Inputs!$B$29,IF(Skills!C7=3,120+Inputs!$B$27+Inputs!$B$29,MAX(0,(Inputs!$B$3-100)*3)+Inputs!$B$28+Inputs!$B$29)))</f>
        <v/>
      </c>
      <c r="E132">
        <f>INDEX(FactorTable!$B$2:$Y$301, MATCH(ROUND(MIN(300,MAX(1,D132)),0), FactorTable!$A$2:$A$301,0), Skills!M7+1)</f>
        <v/>
      </c>
      <c r="F132">
        <f>IF(Skills!N7=TRUE,(Skills!L7/10)*(E132/1000),Skills!L7/10)+Skills!O7</f>
        <v/>
      </c>
      <c r="G132" t="inlineStr"/>
      <c r="H132" t="inlineStr"/>
      <c r="I132" t="inlineStr">
        <is>
          <t>1</t>
        </is>
      </c>
      <c r="J132" t="inlineStr"/>
      <c r="K132" t="inlineStr"/>
      <c r="L132" t="inlineStr"/>
      <c r="M132" t="inlineStr"/>
      <c r="N132" t="inlineStr"/>
      <c r="O132" t="inlineStr"/>
      <c r="P132" t="inlineStr"/>
      <c r="Q132" t="inlineStr"/>
      <c r="R132" t="inlineStr"/>
      <c r="S132" t="inlineStr"/>
      <c r="T132" t="inlineStr"/>
      <c r="V132" t="inlineStr"/>
    </row>
    <row r="133">
      <c r="A133">
        <f>Skills!A8</f>
        <v/>
      </c>
      <c r="B133">
        <f>Skills!B8</f>
        <v/>
      </c>
      <c r="C133">
        <f>Inputs!$B$3&gt;=69</f>
        <v/>
      </c>
      <c r="D133">
        <f>IF(Skills!C8=1,60+Inputs!$B$25+Inputs!$B$29,IF(Skills!C8=2,90+Inputs!$B$26+Inputs!$B$29,IF(Skills!C8=3,120+Inputs!$B$27+Inputs!$B$29,MAX(0,(Inputs!$B$3-100)*3)+Inputs!$B$28+Inputs!$B$29)))</f>
        <v/>
      </c>
      <c r="E133">
        <f>INDEX(FactorTable!$B$2:$Y$301, MATCH(ROUND(MIN(300,MAX(1,D133)),0), FactorTable!$A$2:$A$301,0), Skills!M8+1)</f>
        <v/>
      </c>
      <c r="F133">
        <f>IF(Skills!N8=TRUE,(Skills!L8/10)*(E133/1000),Skills!L8/10)+Skills!O8</f>
        <v/>
      </c>
      <c r="G133">
        <f>Skills!G8*IF(Skills!H8&gt;0,Skills!I8/Skills!H8,1)</f>
        <v/>
      </c>
      <c r="H133">
        <f>1-(1-Skills!J8/100)^Skills!K8</f>
        <v/>
      </c>
      <c r="I133" t="inlineStr">
        <is>
          <t>1</t>
        </is>
      </c>
      <c r="J133">
        <f>((Inputs!$B$6*(1+Inputs!$B$7/100))+(((Inputs!$B$12*(1+Inputs!$B$13/100))-(Inputs!$B$12*(1+Inputs!$B$13/100)))+0.25*((Inputs!$B$14+1)-Inputs!$B$14))*(1+Inputs!$B$7/100))*(F133/100)</f>
        <v/>
      </c>
      <c r="K133">
        <f>J133*(1+((Inputs!$B$12*(1+Inputs!$B$13/100))*0.01+(Inputs!$B$14+1)*0.0025)/100)*(1+Inputs!$B$15/100)*(1+Inputs!$B$16/100)*(5000/(6000+Inputs!$B$42*(1-(Inputs!$B$19+((C152=TRUE)*(F152-Calc!F27)))/100)))*(1+(Inputs!$B$24+((C150=TRUE)*(F150-Calc!F25))+((C151=TRUE)*(F151-Calc!F26))+B164)/100)*(1+1.2*IF(C135=TRUE,F135,0)/100)*(1+(IF(Skills!A8="ARROW_STREAM",Inputs!$B$17+((C148=TRUE)*(F148-Calc!F23)),Inputs!$B$18+((C153=TRUE)*(F153-Calc!F28))))/100)*((1+(((C138=TRUE)*F138)+((C139=TRUE)*IF(Inputs!$B$38="pvp",F139,(1-Summary!$B$55)*(F139)+Summary!$B$55*(0)))+((C140=TRUE)*F140*IF(AND(Inputs!$B$38&lt;&gt;"pvp",Inputs!$B$43&gt;0),(((R140-1)*(Skills!T15*(1+Inputs!$B$34/100))+MIN((Skills!T15*(1+Inputs!$B$34/100)),MAX(0,Inputs!$B$43-((R140-1)*Skills!D15))))/Inputs!$B$43),IF(Inputs!$B$38="pvp",MIN((Skills!T15*(1+Inputs!$B$34/100)),15)/15,(Skills!T15*(1+Inputs!$B$34/100))/Skills!D15)))+((C155=TRUE)*(F155-Calc!F30)))/100)*I133)</f>
        <v/>
      </c>
      <c r="L133">
        <f>K133*(MIN(Inputs!$B$22+((C149=TRUE)*(F149-Calc!F24)),Inputs!$B$23+((C154=TRUE)*(F154-Calc!F29)))/100+(Inputs!$B$23+((C154=TRUE)*(F154-Calc!F29)))/100)/2</f>
        <v/>
      </c>
      <c r="M133">
        <f>L133*(1+(Inputs!$B$10+0+B163)/100)</f>
        <v/>
      </c>
      <c r="N133">
        <f>L133*(1-MIN((Inputs!$B$9+((C145=TRUE)*(F145-Calc!F20))+B158),100)/100)+M133*(MIN((Inputs!$B$9+((C145=TRUE)*(F145-Calc!F20))+B158),100)/100)</f>
        <v/>
      </c>
      <c r="O133">
        <f>(1-Summary!$B$55)*T133+Summary!$B$55*V133</f>
        <v/>
      </c>
      <c r="P133">
        <f>IF(B168=0,0,O133/B168)</f>
        <v/>
      </c>
      <c r="Q133">
        <f>IFERROR(1/IF(Inputs!$B$38="pvp",15,MAX(0.1,Skills!D8-IF(Skills!E8=TRUE,Inputs!$B$32,0))),0)</f>
        <v/>
      </c>
      <c r="R133">
        <f>IF(AND(Inputs!$B$38&lt;&gt;"pvp",Inputs!$B$43&gt;0),IF(MAX(0,Inputs!$B$43-B165)&lt;=0,0,(INT(MAX(0,Inputs!$B$43-B165)/IF(Inputs!$B$38="pvp",15,MAX(0.1,Skills!D8-IF(Skills!E8=TRUE,Inputs!$B$32,0))))+1)),0)</f>
        <v/>
      </c>
      <c r="S133">
        <f>IFERROR(O133/N133,0)</f>
        <v/>
      </c>
      <c r="T133">
        <f>IF(C133,(H133*N133*IF(AND(Inputs!$B$38&lt;&gt;"pvp",Inputs!$B$43&gt;0),((Skills!G8*((R133-1)*IF(Skills!H8&gt;0,Skills!I8/Skills!H8,1)+IF(Skills!H8&gt;0,MIN(Skills!I8,MAX(0,MAX(0,Inputs!$B$43-B165)-((R133-1)*IF(Inputs!$B$38="pvp",15,MAX(0.1,Skills!D8-IF(Skills!E8=TRUE,Inputs!$B$32,0))))))/Skills!H8,1)))/Inputs!$B$43),G133*Q133))*IF(Inputs!$B$38="pvp",1,1+(Inputs!$B$20+0+Skills!P8)/100),0)</f>
        <v/>
      </c>
      <c r="V133">
        <f>IF(C133,(H133*N133*IF(AND(Inputs!$B$38&lt;&gt;"pvp",Inputs!$B$43&gt;0),((Skills!G8*((R133-1)*IF(Skills!H8&gt;0,Skills!I8/Skills!H8,1)+IF(Skills!H8&gt;0,MIN(Skills!I8,MAX(0,MAX(0,Inputs!$B$43-B165)-((R133-1)*IF(Inputs!$B$38="pvp",15,MAX(0.1,Skills!D8-IF(Skills!E8=TRUE,Inputs!$B$32,0))))))/Skills!H8,1)))/Inputs!$B$43),G133*Q133))*IF(Inputs!$B$38="pvp",1,(1+(Inputs!$B$21+Skills!Q8)/100)*(MIN(Skills!R8,Inputs!$B$37))),0)</f>
        <v/>
      </c>
    </row>
    <row r="134">
      <c r="A134">
        <f>Skills!A9</f>
        <v/>
      </c>
      <c r="B134">
        <f>Skills!B9</f>
        <v/>
      </c>
      <c r="C134">
        <f>Inputs!$B$3&gt;=63</f>
        <v/>
      </c>
      <c r="D134">
        <f>IF(Skills!C9=1,60+Inputs!$B$25+Inputs!$B$29,IF(Skills!C9=2,90+Inputs!$B$26+Inputs!$B$29,IF(Skills!C9=3,120+Inputs!$B$27+Inputs!$B$29,MAX(0,(Inputs!$B$3-100)*3)+Inputs!$B$28+Inputs!$B$29)))</f>
        <v/>
      </c>
      <c r="E134">
        <f>INDEX(FactorTable!$B$2:$Y$301, MATCH(ROUND(MIN(300,MAX(1,D134)),0), FactorTable!$A$2:$A$301,0), Skills!M9+1)</f>
        <v/>
      </c>
      <c r="F134">
        <f>IF(Skills!N9=TRUE,(Skills!L9/10)*(E134/1000),Skills!L9/10)+Skills!O9</f>
        <v/>
      </c>
      <c r="G134">
        <f>Skills!G9*IF(Skills!H9&gt;0,Skills!I9/Skills!H9,1)</f>
        <v/>
      </c>
      <c r="H134">
        <f>1-(1-Skills!J9/100)^Skills!K9</f>
        <v/>
      </c>
      <c r="I134" t="inlineStr">
        <is>
          <t>1</t>
        </is>
      </c>
      <c r="J134">
        <f>((Inputs!$B$6*(1+Inputs!$B$7/100))+(((Inputs!$B$12*(1+Inputs!$B$13/100))-(Inputs!$B$12*(1+Inputs!$B$13/100)))+0.25*((Inputs!$B$14+1)-Inputs!$B$14))*(1+Inputs!$B$7/100))*(F134/100)</f>
        <v/>
      </c>
      <c r="K134">
        <f>J134*(1+((Inputs!$B$12*(1+Inputs!$B$13/100))*0.01+(Inputs!$B$14+1)*0.0025)/100)*(1+Inputs!$B$15/100)*(1+Inputs!$B$16/100)*(5000/(6000+Inputs!$B$42*(1-(Inputs!$B$19+((C152=TRUE)*(F152-Calc!F27)))/100)))*(1+(Inputs!$B$24+((C150=TRUE)*(F150-Calc!F25))+((C151=TRUE)*(F151-Calc!F26))+B164)/100)*(1+1.0*IF(C135=TRUE,F135,0)/100)*(1+(IF(Skills!A9="ARROW_STREAM",Inputs!$B$17+((C148=TRUE)*(F148-Calc!F23)),Inputs!$B$18+((C153=TRUE)*(F153-Calc!F28))))/100)*((1+(((C138=TRUE)*F138)+((C139=TRUE)*IF(Inputs!$B$38="pvp",F139,(1-Summary!$B$55)*(F139)+Summary!$B$55*(0)))+((C140=TRUE)*F140*IF(AND(Inputs!$B$38&lt;&gt;"pvp",Inputs!$B$43&gt;0),(((R140-1)*(Skills!T15*(1+Inputs!$B$34/100))+MIN((Skills!T15*(1+Inputs!$B$34/100)),MAX(0,Inputs!$B$43-((R140-1)*Skills!D15))))/Inputs!$B$43),IF(Inputs!$B$38="pvp",MIN((Skills!T15*(1+Inputs!$B$34/100)),15)/15,(Skills!T15*(1+Inputs!$B$34/100))/Skills!D15)))+((C155=TRUE)*(F155-Calc!F30)))/100)*I134)</f>
        <v/>
      </c>
      <c r="L134">
        <f>K134*(MIN(Inputs!$B$22+((C149=TRUE)*(F149-Calc!F24)),Inputs!$B$23+((C154=TRUE)*(F154-Calc!F29)))/100+(Inputs!$B$23+((C154=TRUE)*(F154-Calc!F29)))/100)/2</f>
        <v/>
      </c>
      <c r="M134">
        <f>L134*(1+(Inputs!$B$10+0+B163)/100)</f>
        <v/>
      </c>
      <c r="N134">
        <f>L134*(1-MIN((Inputs!$B$9+((C145=TRUE)*(F145-Calc!F20))+B158),100)/100)+M134*(MIN((Inputs!$B$9+((C145=TRUE)*(F145-Calc!F20))+B158),100)/100)</f>
        <v/>
      </c>
      <c r="O134">
        <f>(1-Summary!$B$55)*T134+Summary!$B$55*V134</f>
        <v/>
      </c>
      <c r="P134">
        <f>IF(B168=0,0,O134/B168)</f>
        <v/>
      </c>
      <c r="Q134">
        <f>IFERROR(1/IF(Inputs!$B$38="pvp",15,MAX(0.1,Skills!D9-IF(Skills!E9=TRUE,Inputs!$B$32,0))),0)</f>
        <v/>
      </c>
      <c r="R134">
        <f>IF(AND(Inputs!$B$38&lt;&gt;"pvp",Inputs!$B$43&gt;0),IF(MAX(0,Inputs!$B$43-B165)&lt;=0,0,(INT(MAX(0,Inputs!$B$43-B165)/IF(Inputs!$B$38="pvp",15,MAX(0.1,Skills!D9-IF(Skills!E9=TRUE,Inputs!$B$32,0))))+1)),0)</f>
        <v/>
      </c>
      <c r="S134">
        <f>IFERROR(O134/N134,0)</f>
        <v/>
      </c>
      <c r="T134">
        <f>IF(C134,(H134*N134*IF(AND(Inputs!$B$38&lt;&gt;"pvp",Inputs!$B$43&gt;0),((Skills!G9*((R134-1)*IF(Skills!H9&gt;0,Skills!I9/Skills!H9,1)+IF(Skills!H9&gt;0,MIN(Skills!I9,MAX(0,MAX(0,Inputs!$B$43-B165)-((R134-1)*IF(Inputs!$B$38="pvp",15,MAX(0.1,Skills!D9-IF(Skills!E9=TRUE,Inputs!$B$32,0))))))/Skills!H9,1)))/Inputs!$B$43),G134*Q134))*IF(Inputs!$B$38="pvp",1,1+(Inputs!$B$20+0+Skills!P9)/100),0)</f>
        <v/>
      </c>
      <c r="V134">
        <f>IF(C134,(H134*N134*IF(AND(Inputs!$B$38&lt;&gt;"pvp",Inputs!$B$43&gt;0),((Skills!G9*((R134-1)*IF(Skills!H9&gt;0,Skills!I9/Skills!H9,1)+IF(Skills!H9&gt;0,MIN(Skills!I9,MAX(0,MAX(0,Inputs!$B$43-B165)-((R134-1)*IF(Inputs!$B$38="pvp",15,MAX(0.1,Skills!D9-IF(Skills!E9=TRUE,Inputs!$B$32,0))))))/Skills!H9,1)))/Inputs!$B$43),G134*Q134))*IF(Inputs!$B$38="pvp",1,(1+(Inputs!$B$21+Skills!Q9)/100)*(MIN(Skills!R9,Inputs!$B$37))),0)</f>
        <v/>
      </c>
    </row>
    <row r="135">
      <c r="A135">
        <f>Skills!A10</f>
        <v/>
      </c>
      <c r="B135">
        <f>Skills!B10</f>
        <v/>
      </c>
      <c r="C135">
        <f>Inputs!$B$3&gt;=100</f>
        <v/>
      </c>
      <c r="D135">
        <f>IF(Skills!C10=1,60+Inputs!$B$25+Inputs!$B$29,IF(Skills!C10=2,90+Inputs!$B$26+Inputs!$B$29,IF(Skills!C10=3,120+Inputs!$B$27+Inputs!$B$29,MAX(0,(Inputs!$B$3-100)*3)+Inputs!$B$28+Inputs!$B$29)))</f>
        <v/>
      </c>
      <c r="E135">
        <f>INDEX(FactorTable!$B$2:$Y$301, MATCH(ROUND(MIN(300,MAX(1,D135)),0), FactorTable!$A$2:$A$301,0), Skills!M10+1)</f>
        <v/>
      </c>
      <c r="F135">
        <f>IF(Skills!N10=TRUE,(Skills!L10/10)*(E135/1000),Skills!L10/10)+Skills!O10</f>
        <v/>
      </c>
      <c r="G135" t="inlineStr"/>
      <c r="H135" t="inlineStr"/>
      <c r="I135" t="inlineStr">
        <is>
          <t>1</t>
        </is>
      </c>
      <c r="J135" t="inlineStr"/>
      <c r="K135" t="inlineStr"/>
      <c r="L135" t="inlineStr"/>
      <c r="M135" t="inlineStr"/>
      <c r="N135" t="inlineStr"/>
      <c r="O135" t="inlineStr"/>
      <c r="P135" t="inlineStr"/>
      <c r="Q135" t="inlineStr"/>
      <c r="R135" t="inlineStr"/>
      <c r="S135" t="inlineStr"/>
      <c r="T135" t="inlineStr"/>
      <c r="V135" t="inlineStr"/>
    </row>
    <row r="136">
      <c r="A136">
        <f>Skills!A11</f>
        <v/>
      </c>
      <c r="B136">
        <f>Skills!B11</f>
        <v/>
      </c>
      <c r="C136">
        <f>Inputs!$B$3&gt;=60</f>
        <v/>
      </c>
      <c r="D136">
        <f>IF(Skills!C11=1,60+Inputs!$B$25+Inputs!$B$29,IF(Skills!C11=2,90+Inputs!$B$26+Inputs!$B$29,IF(Skills!C11=3,120+Inputs!$B$27+Inputs!$B$29,MAX(0,(Inputs!$B$3-100)*3)+Inputs!$B$28+Inputs!$B$29)))</f>
        <v/>
      </c>
      <c r="E136">
        <f>INDEX(FactorTable!$B$2:$Y$301, MATCH(ROUND(MIN(300,MAX(1,D136)),0), FactorTable!$A$2:$A$301,0), Skills!M11+1)</f>
        <v/>
      </c>
      <c r="F136">
        <f>IF(Skills!N11=TRUE,(Skills!L11/10)*(E136/1000),Skills!L11/10)+Skills!O11</f>
        <v/>
      </c>
      <c r="G136">
        <f>Skills!G11*IF(Skills!H11&gt;0,Skills!I11/Skills!H11,1)</f>
        <v/>
      </c>
      <c r="H136">
        <f>1-(1-Skills!J11/100)^Skills!K11</f>
        <v/>
      </c>
      <c r="I136" t="inlineStr">
        <is>
          <t>1</t>
        </is>
      </c>
      <c r="J136">
        <f>((Inputs!$B$6*(1+Inputs!$B$7/100))+(((Inputs!$B$12*(1+Inputs!$B$13/100))-(Inputs!$B$12*(1+Inputs!$B$13/100)))+0.25*((Inputs!$B$14+1)-Inputs!$B$14))*(1+Inputs!$B$7/100))*(F136/100)</f>
        <v/>
      </c>
      <c r="K136">
        <f>J136*(1+((Inputs!$B$12*(1+Inputs!$B$13/100))*0.01+(Inputs!$B$14+1)*0.0025)/100)*(1+Inputs!$B$15/100)*(1+Inputs!$B$16/100)*(5000/(6000+Inputs!$B$42*(1-(Inputs!$B$19+((C152=TRUE)*(F152-Calc!F27)))/100)))*(1+(Inputs!$B$24+((C150=TRUE)*(F150-Calc!F25))+((C151=TRUE)*(F151-Calc!F26))+B164)/100)*(1+IF(C137=TRUE,F137,0)/100)*(1+(IF(Skills!A11="ARROW_STREAM",Inputs!$B$17+((C148=TRUE)*(F148-Calc!F23)),Inputs!$B$18+((C153=TRUE)*(F153-Calc!F28))))/100)*((1+(((C138=TRUE)*F138)+((C139=TRUE)*IF(Inputs!$B$38="pvp",F139,(1-Summary!$B$55)*(F139)+Summary!$B$55*(0)))+((C140=TRUE)*F140*IF(AND(Inputs!$B$38&lt;&gt;"pvp",Inputs!$B$43&gt;0),(((R140-1)*(Skills!T15*(1+Inputs!$B$34/100))+MIN((Skills!T15*(1+Inputs!$B$34/100)),MAX(0,Inputs!$B$43-((R140-1)*Skills!D15))))/Inputs!$B$43),IF(Inputs!$B$38="pvp",MIN((Skills!T15*(1+Inputs!$B$34/100)),15)/15,(Skills!T15*(1+Inputs!$B$34/100))/Skills!D15)))+((C155=TRUE)*(F155-Calc!F30)))/100)*I136)</f>
        <v/>
      </c>
      <c r="L136">
        <f>K136*(MIN(Inputs!$B$22+((C149=TRUE)*(F149-Calc!F24)),Inputs!$B$23+((C154=TRUE)*(F154-Calc!F29)))/100+(Inputs!$B$23+((C154=TRUE)*(F154-Calc!F29)))/100)/2</f>
        <v/>
      </c>
      <c r="M136">
        <f>L136*(1+(Inputs!$B$10+0+B163)/100)</f>
        <v/>
      </c>
      <c r="N136">
        <f>L136*(1-MIN((Inputs!$B$9+((C145=TRUE)*(F145-Calc!F20))+B158),100)/100)+M136*(MIN((Inputs!$B$9+((C145=TRUE)*(F145-Calc!F20))+B158),100)/100)</f>
        <v/>
      </c>
      <c r="O136">
        <f>(1-Summary!$B$55)*T136+Summary!$B$55*V136</f>
        <v/>
      </c>
      <c r="P136">
        <f>IF(B168=0,0,O136/B168)</f>
        <v/>
      </c>
      <c r="Q136">
        <f>IFERROR(1/IF(Inputs!$B$38="pvp",15,MAX(0.1,Skills!D11-IF(Skills!E11=TRUE,Inputs!$B$32,0))),0)</f>
        <v/>
      </c>
      <c r="R136">
        <f>IF(AND(Inputs!$B$38&lt;&gt;"pvp",Inputs!$B$43&gt;0),IF(MAX(0,Inputs!$B$43-B165)&lt;=0,0,(INT(MAX(0,Inputs!$B$43-B165)/IF(Inputs!$B$38="pvp",15,MAX(0.1,Skills!D11-IF(Skills!E11=TRUE,Inputs!$B$32,0))))+1)),0)</f>
        <v/>
      </c>
      <c r="S136">
        <f>IFERROR(O136/N136,0)</f>
        <v/>
      </c>
      <c r="T136">
        <f>IF(C136,(H136*N136*IF(AND(Inputs!$B$38&lt;&gt;"pvp",Inputs!$B$43&gt;0),((Skills!G11*((R136-1)*IF(Skills!H11&gt;0,Skills!I11/Skills!H11,1)+IF(Skills!H11&gt;0,MIN(Skills!I11,MAX(0,MAX(0,Inputs!$B$43-B165)-((R136-1)*IF(Inputs!$B$38="pvp",15,MAX(0.1,Skills!D11-IF(Skills!E11=TRUE,Inputs!$B$32,0))))))/Skills!H11,1)))/Inputs!$B$43),G136*Q136))*IF(Inputs!$B$38="pvp",1,1+(Inputs!$B$20+0+Skills!P11)/100),0)</f>
        <v/>
      </c>
      <c r="V136">
        <f>IF(C136,(H136*N136*IF(AND(Inputs!$B$38&lt;&gt;"pvp",Inputs!$B$43&gt;0),((Skills!G11*((R136-1)*IF(Skills!H11&gt;0,Skills!I11/Skills!H11,1)+IF(Skills!H11&gt;0,MIN(Skills!I11,MAX(0,MAX(0,Inputs!$B$43-B165)-((R136-1)*IF(Inputs!$B$38="pvp",15,MAX(0.1,Skills!D11-IF(Skills!E11=TRUE,Inputs!$B$32,0))))))/Skills!H11,1)))/Inputs!$B$43),G136*Q136))*IF(Inputs!$B$38="pvp",1,(1+(Inputs!$B$21+Skills!Q11)/100)*(MIN(Skills!R11,Inputs!$B$37))),0)</f>
        <v/>
      </c>
    </row>
    <row r="137">
      <c r="A137">
        <f>Skills!A12</f>
        <v/>
      </c>
      <c r="B137">
        <f>Skills!B12</f>
        <v/>
      </c>
      <c r="C137">
        <f>Inputs!$B$3&gt;=110</f>
        <v/>
      </c>
      <c r="D137">
        <f>IF(Skills!C12=1,60+Inputs!$B$25+Inputs!$B$29,IF(Skills!C12=2,90+Inputs!$B$26+Inputs!$B$29,IF(Skills!C12=3,120+Inputs!$B$27+Inputs!$B$29,MAX(0,(Inputs!$B$3-100)*3)+Inputs!$B$28+Inputs!$B$29)))</f>
        <v/>
      </c>
      <c r="E137">
        <f>INDEX(FactorTable!$B$2:$Y$301, MATCH(ROUND(MIN(300,MAX(1,D137)),0), FactorTable!$A$2:$A$301,0), Skills!M12+1)</f>
        <v/>
      </c>
      <c r="F137">
        <f>IF(Skills!N12=TRUE,(Skills!L12/10)*(E137/1000),Skills!L12/10)+Skills!O12</f>
        <v/>
      </c>
      <c r="G137" t="inlineStr"/>
      <c r="H137" t="inlineStr"/>
      <c r="I137" t="inlineStr">
        <is>
          <t>1</t>
        </is>
      </c>
      <c r="J137" t="inlineStr"/>
      <c r="K137" t="inlineStr"/>
      <c r="L137" t="inlineStr"/>
      <c r="M137" t="inlineStr"/>
      <c r="N137" t="inlineStr"/>
      <c r="O137" t="inlineStr"/>
      <c r="P137" t="inlineStr"/>
      <c r="Q137" t="inlineStr"/>
      <c r="R137" t="inlineStr"/>
      <c r="S137" t="inlineStr"/>
      <c r="T137" t="inlineStr"/>
      <c r="V137" t="inlineStr"/>
    </row>
    <row r="138">
      <c r="A138">
        <f>Skills!A13</f>
        <v/>
      </c>
      <c r="B138">
        <f>Skills!B13</f>
        <v/>
      </c>
      <c r="C138">
        <f>Inputs!$B$3&gt;=74</f>
        <v/>
      </c>
      <c r="D138">
        <f>IF(Skills!C13=1,60+Inputs!$B$25+Inputs!$B$29,IF(Skills!C13=2,90+Inputs!$B$26+Inputs!$B$29,IF(Skills!C13=3,120+Inputs!$B$27+Inputs!$B$29,MAX(0,(Inputs!$B$3-100)*3)+Inputs!$B$28+Inputs!$B$29)))</f>
        <v/>
      </c>
      <c r="E138">
        <f>INDEX(FactorTable!$B$2:$Y$301, MATCH(ROUND(MIN(300,MAX(1,D138)),0), FactorTable!$A$2:$A$301,0), Skills!M13+1)</f>
        <v/>
      </c>
      <c r="F138">
        <f>IF(Skills!N13=TRUE,(Skills!L13/10)*(E138/1000),Skills!L13/10)+Skills!O13</f>
        <v/>
      </c>
      <c r="G138">
        <f>Skills!G13*IF(Skills!H13&gt;0,Skills!I13/Skills!H13,1)</f>
        <v/>
      </c>
      <c r="H138">
        <f>1-(1-Skills!J13/100)^Skills!K13</f>
        <v/>
      </c>
      <c r="I138" t="inlineStr">
        <is>
          <t>1</t>
        </is>
      </c>
      <c r="J138" t="inlineStr"/>
      <c r="K138" t="inlineStr"/>
      <c r="L138" t="inlineStr"/>
      <c r="M138" t="inlineStr"/>
      <c r="N138" t="inlineStr"/>
      <c r="O138">
        <f>(1-Summary!$B$55)*T138+Summary!$B$55*V138</f>
        <v/>
      </c>
      <c r="P138">
        <f>IF(B168=0,0,O138/B168)</f>
        <v/>
      </c>
      <c r="Q138" t="n">
        <v>0</v>
      </c>
      <c r="R138" t="n">
        <v>0</v>
      </c>
      <c r="S138">
        <f>IFERROR(O138/N138,0)</f>
        <v/>
      </c>
      <c r="T138" t="n">
        <v>0</v>
      </c>
      <c r="V138" t="n">
        <v>0</v>
      </c>
    </row>
    <row r="139">
      <c r="A139">
        <f>Skills!A14</f>
        <v/>
      </c>
      <c r="B139">
        <f>Skills!B14</f>
        <v/>
      </c>
      <c r="C139">
        <f>Inputs!$B$3&gt;=74</f>
        <v/>
      </c>
      <c r="D139">
        <f>IF(Skills!C14=1,60+Inputs!$B$25+Inputs!$B$29,IF(Skills!C14=2,90+Inputs!$B$26+Inputs!$B$29,IF(Skills!C14=3,120+Inputs!$B$27+Inputs!$B$29,MAX(0,(Inputs!$B$3-100)*3)+Inputs!$B$28+Inputs!$B$29)))</f>
        <v/>
      </c>
      <c r="E139">
        <f>INDEX(FactorTable!$B$2:$Y$301, MATCH(ROUND(MIN(300,MAX(1,D139)),0), FactorTable!$A$2:$A$301,0), Skills!M14+1)</f>
        <v/>
      </c>
      <c r="F139">
        <f>IF(Skills!N14=TRUE,(Skills!L14/10)*(E139/1000),Skills!L14/10)+Skills!O14</f>
        <v/>
      </c>
      <c r="G139">
        <f>Skills!G14*IF(Skills!H14&gt;0,Skills!I14/Skills!H14,1)</f>
        <v/>
      </c>
      <c r="H139">
        <f>1-(1-Skills!J14/100)^Skills!K14</f>
        <v/>
      </c>
      <c r="I139" t="inlineStr">
        <is>
          <t>1</t>
        </is>
      </c>
      <c r="J139" t="inlineStr"/>
      <c r="K139" t="inlineStr"/>
      <c r="L139" t="inlineStr"/>
      <c r="M139" t="inlineStr"/>
      <c r="N139" t="inlineStr"/>
      <c r="O139">
        <f>(1-Summary!$B$55)*T139+Summary!$B$55*V139</f>
        <v/>
      </c>
      <c r="P139">
        <f>IF(B168=0,0,O139/B168)</f>
        <v/>
      </c>
      <c r="Q139" t="n">
        <v>0</v>
      </c>
      <c r="R139" t="n">
        <v>0</v>
      </c>
      <c r="S139">
        <f>IFERROR(O139/N139,0)</f>
        <v/>
      </c>
      <c r="T139" t="n">
        <v>0</v>
      </c>
      <c r="V139" t="n">
        <v>0</v>
      </c>
    </row>
    <row r="140">
      <c r="A140">
        <f>Skills!A15</f>
        <v/>
      </c>
      <c r="B140">
        <f>Skills!B15</f>
        <v/>
      </c>
      <c r="C140">
        <f>Inputs!$B$3&gt;=117</f>
        <v/>
      </c>
      <c r="D140">
        <f>IF(Skills!C15=1,60+Inputs!$B$25+Inputs!$B$29,IF(Skills!C15=2,90+Inputs!$B$26+Inputs!$B$29,IF(Skills!C15=3,120+Inputs!$B$27+Inputs!$B$29,MAX(0,(Inputs!$B$3-100)*3)+Inputs!$B$28+Inputs!$B$29)))</f>
        <v/>
      </c>
      <c r="E140">
        <f>INDEX(FactorTable!$B$2:$Y$301, MATCH(ROUND(MIN(300,MAX(1,D140)),0), FactorTable!$A$2:$A$301,0), Skills!M15+1)</f>
        <v/>
      </c>
      <c r="F140">
        <f>IF(Skills!N15=TRUE,(Skills!L15/10)*(E140/1000),Skills!L15/10)+Skills!O15</f>
        <v/>
      </c>
      <c r="G140">
        <f>Skills!G15*IF(Skills!H15&gt;0,Skills!I15/Skills!H15,1)</f>
        <v/>
      </c>
      <c r="H140">
        <f>1-(1-Skills!J15/100)^Skills!K15</f>
        <v/>
      </c>
      <c r="I140" t="inlineStr">
        <is>
          <t>1</t>
        </is>
      </c>
      <c r="J140" t="inlineStr"/>
      <c r="K140" t="inlineStr"/>
      <c r="L140" t="inlineStr"/>
      <c r="M140" t="inlineStr"/>
      <c r="N140" t="inlineStr"/>
      <c r="O140">
        <f>(1-Summary!$B$55)*T140+Summary!$B$55*V140</f>
        <v/>
      </c>
      <c r="P140">
        <f>IF(B168=0,0,O140/B168)</f>
        <v/>
      </c>
      <c r="Q140">
        <f>IFERROR(1/IF(Inputs!$B$38="pvp",15,MAX(0.1,Skills!D15-IF(Skills!E15=TRUE,Inputs!$B$32,0))),0)</f>
        <v/>
      </c>
      <c r="R140">
        <f>IF(AND(Inputs!$B$38&lt;&gt;"pvp",Inputs!$B$43&gt;0),IF(Inputs!$B$43&lt;=0,0,(INT(Inputs!$B$43/IF(Inputs!$B$38="pvp",15,MAX(0.1,Skills!D15-IF(Skills!E15=TRUE,Inputs!$B$32,0))))+1)),0)</f>
        <v/>
      </c>
      <c r="S140">
        <f>IFERROR(O140/N140,0)</f>
        <v/>
      </c>
      <c r="T140" t="n">
        <v>0</v>
      </c>
      <c r="V140" t="n">
        <v>0</v>
      </c>
    </row>
    <row r="141">
      <c r="A141">
        <f>Skills!A16</f>
        <v/>
      </c>
      <c r="B141">
        <f>Skills!B16</f>
        <v/>
      </c>
      <c r="C141">
        <f>Inputs!$B$3&gt;=115</f>
        <v/>
      </c>
      <c r="D141">
        <f>IF(Skills!C16=1,60+Inputs!$B$25+Inputs!$B$29,IF(Skills!C16=2,90+Inputs!$B$26+Inputs!$B$29,IF(Skills!C16=3,120+Inputs!$B$27+Inputs!$B$29,MAX(0,(Inputs!$B$3-100)*3)+Inputs!$B$28+Inputs!$B$29)))</f>
        <v/>
      </c>
      <c r="E141">
        <f>INDEX(FactorTable!$B$2:$Y$301, MATCH(ROUND(MIN(300,MAX(1,D141)),0), FactorTable!$A$2:$A$301,0), Skills!M16+1)</f>
        <v/>
      </c>
      <c r="F141">
        <f>IF(Skills!N16=TRUE,(Skills!L16/10)*(E141/1000),Skills!L16/10)+Skills!O16</f>
        <v/>
      </c>
      <c r="G141">
        <f>Skills!G16*IF(Skills!H16&gt;0,Skills!I16/Skills!H16,1)</f>
        <v/>
      </c>
      <c r="H141">
        <f>1-(1-Skills!J16/100)^Skills!K16</f>
        <v/>
      </c>
      <c r="I141" t="inlineStr">
        <is>
          <t>1</t>
        </is>
      </c>
      <c r="J141" t="inlineStr"/>
      <c r="K141" t="inlineStr"/>
      <c r="L141" t="inlineStr"/>
      <c r="M141" t="inlineStr"/>
      <c r="N141" t="inlineStr"/>
      <c r="O141">
        <f>(1-Summary!$B$55)*T141+Summary!$B$55*V141</f>
        <v/>
      </c>
      <c r="P141">
        <f>IF(B168=0,0,O141/B168)</f>
        <v/>
      </c>
      <c r="Q141">
        <f>IFERROR(1/IF(Inputs!$B$38="pvp",15,MAX(0.1,Skills!D16-IF(Skills!E16=TRUE,Inputs!$B$32,0))),0)</f>
        <v/>
      </c>
      <c r="R141">
        <f>IF(AND(Inputs!$B$38&lt;&gt;"pvp",Inputs!$B$43&gt;0),IF(Inputs!$B$43&lt;=0,0,(INT(Inputs!$B$43/IF(Inputs!$B$38="pvp",15,MAX(0.1,Skills!D16-IF(Skills!E16=TRUE,Inputs!$B$32,0))))+1)),0)</f>
        <v/>
      </c>
      <c r="S141">
        <f>IFERROR(O141/N141,0)</f>
        <v/>
      </c>
      <c r="T141" t="n">
        <v>0</v>
      </c>
      <c r="V141" t="n">
        <v>0</v>
      </c>
    </row>
    <row r="142">
      <c r="A142">
        <f>Skills!A17</f>
        <v/>
      </c>
      <c r="B142">
        <f>Skills!B17</f>
        <v/>
      </c>
      <c r="C142">
        <f>Inputs!$B$3&gt;=66</f>
        <v/>
      </c>
      <c r="D142">
        <f>IF(Skills!C17=1,60+Inputs!$B$25+Inputs!$B$29,IF(Skills!C17=2,90+Inputs!$B$26+Inputs!$B$29,IF(Skills!C17=3,120+Inputs!$B$27+Inputs!$B$29,MAX(0,(Inputs!$B$3-100)*3)+Inputs!$B$28+Inputs!$B$29)))</f>
        <v/>
      </c>
      <c r="E142">
        <f>INDEX(FactorTable!$B$2:$Y$301, MATCH(ROUND(MIN(300,MAX(1,D142)),0), FactorTable!$A$2:$A$301,0), Skills!M17+1)</f>
        <v/>
      </c>
      <c r="F142">
        <f>IF(Skills!N17=TRUE,(Skills!L17/10)*(E142/1000),Skills!L17/10)+Skills!O17</f>
        <v/>
      </c>
      <c r="G142">
        <f>Skills!G17*IF(Skills!H17&gt;0,Skills!I17/Skills!H17,1)</f>
        <v/>
      </c>
      <c r="H142">
        <f>1-(1-Skills!J17/100)^Skills!K17</f>
        <v/>
      </c>
      <c r="I142" t="inlineStr">
        <is>
          <t>1</t>
        </is>
      </c>
      <c r="J142" t="inlineStr"/>
      <c r="K142" t="inlineStr"/>
      <c r="L142" t="inlineStr"/>
      <c r="M142" t="inlineStr"/>
      <c r="N142" t="inlineStr"/>
      <c r="O142">
        <f>(1-Summary!$B$55)*T142+Summary!$B$55*V142</f>
        <v/>
      </c>
      <c r="P142">
        <f>IF(B168=0,0,O142/B168)</f>
        <v/>
      </c>
      <c r="Q142" t="n">
        <v>0</v>
      </c>
      <c r="R142" t="n">
        <v>0</v>
      </c>
      <c r="S142">
        <f>IFERROR(O142/N142,0)</f>
        <v/>
      </c>
      <c r="T142" t="n">
        <v>0</v>
      </c>
      <c r="V142" t="n">
        <v>0</v>
      </c>
    </row>
    <row r="143">
      <c r="A143">
        <f>Skills!A18</f>
        <v/>
      </c>
      <c r="B143">
        <f>Skills!B18</f>
        <v/>
      </c>
      <c r="C143">
        <f>Inputs!$B$3&gt;=72</f>
        <v/>
      </c>
      <c r="D143">
        <f>IF(Skills!C18=1,60+Inputs!$B$25+Inputs!$B$29,IF(Skills!C18=2,90+Inputs!$B$26+Inputs!$B$29,IF(Skills!C18=3,120+Inputs!$B$27+Inputs!$B$29,MAX(0,(Inputs!$B$3-100)*3)+Inputs!$B$28+Inputs!$B$29)))</f>
        <v/>
      </c>
      <c r="E143">
        <f>INDEX(FactorTable!$B$2:$Y$301, MATCH(ROUND(MIN(300,MAX(1,D143)),0), FactorTable!$A$2:$A$301,0), Skills!M18+1)</f>
        <v/>
      </c>
      <c r="F143">
        <f>IF(Skills!N18=TRUE,(Skills!L18/10)*(E143/1000),Skills!L18/10)+Skills!O18</f>
        <v/>
      </c>
      <c r="G143">
        <f>Skills!G18*IF(Skills!H18&gt;0,Skills!I18/Skills!H18,1)</f>
        <v/>
      </c>
      <c r="H143">
        <f>1-(1-Skills!J18/100)^Skills!K18</f>
        <v/>
      </c>
      <c r="I143" t="inlineStr">
        <is>
          <t>1</t>
        </is>
      </c>
      <c r="J143" t="inlineStr"/>
      <c r="K143" t="inlineStr"/>
      <c r="L143" t="inlineStr"/>
      <c r="M143" t="inlineStr"/>
      <c r="N143" t="inlineStr"/>
      <c r="O143">
        <f>(1-Summary!$B$55)*T143+Summary!$B$55*V143</f>
        <v/>
      </c>
      <c r="P143">
        <f>IF(B168=0,0,O143/B168)</f>
        <v/>
      </c>
      <c r="Q143" t="n">
        <v>0</v>
      </c>
      <c r="R143" t="n">
        <v>0</v>
      </c>
      <c r="S143">
        <f>IFERROR(O143/N143,0)</f>
        <v/>
      </c>
      <c r="T143" t="n">
        <v>0</v>
      </c>
      <c r="V143" t="n">
        <v>0</v>
      </c>
    </row>
    <row r="144">
      <c r="A144">
        <f>Skills!A19</f>
        <v/>
      </c>
      <c r="B144">
        <f>Skills!B19</f>
        <v/>
      </c>
      <c r="C144">
        <f>TRUE</f>
        <v/>
      </c>
      <c r="D144">
        <f>IF(Skills!C19=1,60+Inputs!$B$25+Inputs!$B$29,IF(Skills!C19=2,90+Inputs!$B$26+Inputs!$B$29,IF(Skills!C19=3,120+Inputs!$B$27+Inputs!$B$29,MAX(0,(Inputs!$B$3-100)*3)+Inputs!$B$28+Inputs!$B$29)))</f>
        <v/>
      </c>
      <c r="E144">
        <f>INDEX(FactorTable!$B$2:$Y$301, MATCH(ROUND(MIN(300,MAX(1,D144)),0), FactorTable!$A$2:$A$301,0), Skills!M19+1)</f>
        <v/>
      </c>
      <c r="F144">
        <f>IF(Skills!N19=TRUE,(Skills!L19/10)*(E144/1000),Skills!L19/10)+Skills!O19</f>
        <v/>
      </c>
      <c r="G144">
        <f>Skills!G19*IF(Skills!H19&gt;0,Skills!I19/Skills!H19,1)</f>
        <v/>
      </c>
      <c r="H144">
        <f>1-(1-Skills!J19/100)^Skills!K19</f>
        <v/>
      </c>
      <c r="I144" t="inlineStr">
        <is>
          <t>1</t>
        </is>
      </c>
      <c r="J144" t="inlineStr"/>
      <c r="K144" t="inlineStr"/>
      <c r="L144" t="inlineStr"/>
      <c r="M144" t="inlineStr"/>
      <c r="N144" t="inlineStr"/>
      <c r="O144">
        <f>(1-Summary!$B$55)*T144+Summary!$B$55*V144</f>
        <v/>
      </c>
      <c r="P144">
        <f>IF(B168=0,0,O144/B168)</f>
        <v/>
      </c>
      <c r="Q144">
        <f>IFERROR(1/IF(Inputs!$B$38="pvp",15,MAX(0.1,Skills!D19-IF(Skills!E19=TRUE,Inputs!$B$32,0))),0)</f>
        <v/>
      </c>
      <c r="R144">
        <f>IF(AND(Inputs!$B$38&lt;&gt;"pvp",Inputs!$B$43&gt;0),IF(Inputs!$B$43&lt;=0,0,(INT(Inputs!$B$43/IF(Inputs!$B$38="pvp",15,MAX(0.1,Skills!D19-IF(Skills!E19=TRUE,Inputs!$B$32,0))))+1)),0)</f>
        <v/>
      </c>
      <c r="S144">
        <f>IFERROR(O144/N144,0)</f>
        <v/>
      </c>
      <c r="T144" t="n">
        <v>0</v>
      </c>
      <c r="V144" t="n">
        <v>0</v>
      </c>
    </row>
    <row r="145">
      <c r="A145">
        <f>Skills!A20</f>
        <v/>
      </c>
      <c r="B145">
        <f>Skills!B20</f>
        <v/>
      </c>
      <c r="C145">
        <f>Inputs!$B$3&gt;=15</f>
        <v/>
      </c>
      <c r="D145">
        <f>IF(Skills!C20=1,60+Inputs!$B$25+Inputs!$B$29,IF(Skills!C20=2,90+Inputs!$B$26+Inputs!$B$29,IF(Skills!C20=3,120+Inputs!$B$27+Inputs!$B$29,MAX(0,(Inputs!$B$3-100)*3)+Inputs!$B$28+Inputs!$B$29)))</f>
        <v/>
      </c>
      <c r="E145">
        <f>INDEX(FactorTable!$B$2:$Y$301, MATCH(ROUND(MIN(300,MAX(1,D145)),0), FactorTable!$A$2:$A$301,0), Skills!M20+1)</f>
        <v/>
      </c>
      <c r="F145">
        <f>IF(Skills!N20=TRUE,(Skills!L20/10)*(E145/1000),Skills!L20/10)+Skills!O20</f>
        <v/>
      </c>
      <c r="G145">
        <f>Skills!G20*IF(Skills!H20&gt;0,Skills!I20/Skills!H20,1)</f>
        <v/>
      </c>
      <c r="H145">
        <f>1-(1-Skills!J20/100)^Skills!K20</f>
        <v/>
      </c>
      <c r="I145" t="inlineStr">
        <is>
          <t>1</t>
        </is>
      </c>
      <c r="J145" t="inlineStr"/>
      <c r="K145" t="inlineStr"/>
      <c r="L145" t="inlineStr"/>
      <c r="M145" t="inlineStr"/>
      <c r="N145" t="inlineStr"/>
      <c r="O145">
        <f>(1-Summary!$B$55)*T145+Summary!$B$55*V145</f>
        <v/>
      </c>
      <c r="P145">
        <f>IF(B168=0,0,O145/B168)</f>
        <v/>
      </c>
      <c r="Q145" t="n">
        <v>0</v>
      </c>
      <c r="R145" t="n">
        <v>0</v>
      </c>
      <c r="S145">
        <f>IFERROR(O145/N145,0)</f>
        <v/>
      </c>
      <c r="T145" t="n">
        <v>0</v>
      </c>
      <c r="V145" t="n">
        <v>0</v>
      </c>
    </row>
    <row r="146">
      <c r="A146">
        <f>Skills!A21</f>
        <v/>
      </c>
      <c r="B146">
        <f>Skills!B21</f>
        <v/>
      </c>
      <c r="C146">
        <f>Inputs!$B$3&gt;=10</f>
        <v/>
      </c>
      <c r="D146">
        <f>IF(Skills!C21=1,60+Inputs!$B$25+Inputs!$B$29,IF(Skills!C21=2,90+Inputs!$B$26+Inputs!$B$29,IF(Skills!C21=3,120+Inputs!$B$27+Inputs!$B$29,MAX(0,(Inputs!$B$3-100)*3)+Inputs!$B$28+Inputs!$B$29)))</f>
        <v/>
      </c>
      <c r="E146">
        <f>INDEX(FactorTable!$B$2:$Y$301, MATCH(ROUND(MIN(300,MAX(1,D146)),0), FactorTable!$A$2:$A$301,0), Skills!M21+1)</f>
        <v/>
      </c>
      <c r="F146">
        <f>IF(Skills!N21=TRUE,(Skills!L21/10)*(E146/1000),Skills!L21/10)+Skills!O21</f>
        <v/>
      </c>
      <c r="G146">
        <f>Skills!G21*IF(Skills!H21&gt;0,Skills!I21/Skills!H21,1)</f>
        <v/>
      </c>
      <c r="H146">
        <f>1-(1-Skills!J21/100)^Skills!K21</f>
        <v/>
      </c>
      <c r="I146" t="inlineStr">
        <is>
          <t>1</t>
        </is>
      </c>
      <c r="J146" t="inlineStr"/>
      <c r="K146" t="inlineStr"/>
      <c r="L146" t="inlineStr"/>
      <c r="M146" t="inlineStr"/>
      <c r="N146" t="inlineStr"/>
      <c r="O146">
        <f>(1-Summary!$B$55)*T146+Summary!$B$55*V146</f>
        <v/>
      </c>
      <c r="P146">
        <f>IF(B168=0,0,O146/B168)</f>
        <v/>
      </c>
      <c r="Q146" t="n">
        <v>0</v>
      </c>
      <c r="R146" t="n">
        <v>0</v>
      </c>
      <c r="S146">
        <f>IFERROR(O146/N146,0)</f>
        <v/>
      </c>
      <c r="T146" t="n">
        <v>0</v>
      </c>
      <c r="V146" t="n">
        <v>0</v>
      </c>
    </row>
    <row r="147">
      <c r="A147">
        <f>Skills!A22</f>
        <v/>
      </c>
      <c r="B147">
        <f>Skills!B22</f>
        <v/>
      </c>
      <c r="C147">
        <f>Inputs!$B$3&gt;=33</f>
        <v/>
      </c>
      <c r="D147">
        <f>IF(Skills!C22=1,60+Inputs!$B$25+Inputs!$B$29,IF(Skills!C22=2,90+Inputs!$B$26+Inputs!$B$29,IF(Skills!C22=3,120+Inputs!$B$27+Inputs!$B$29,MAX(0,(Inputs!$B$3-100)*3)+Inputs!$B$28+Inputs!$B$29)))</f>
        <v/>
      </c>
      <c r="E147">
        <f>INDEX(FactorTable!$B$2:$Y$301, MATCH(ROUND(MIN(300,MAX(1,D147)),0), FactorTable!$A$2:$A$301,0), Skills!M22+1)</f>
        <v/>
      </c>
      <c r="F147">
        <f>IF(Skills!N22=TRUE,(Skills!L22/10)*(E147/1000),Skills!L22/10)+Skills!O22</f>
        <v/>
      </c>
      <c r="G147">
        <f>Skills!G22*IF(Skills!H22&gt;0,Skills!I22/Skills!H22,1)</f>
        <v/>
      </c>
      <c r="H147">
        <f>1-(1-Skills!J22/100)^Skills!K22</f>
        <v/>
      </c>
      <c r="I147" t="inlineStr">
        <is>
          <t>1</t>
        </is>
      </c>
      <c r="J147" t="inlineStr"/>
      <c r="K147" t="inlineStr"/>
      <c r="L147" t="inlineStr"/>
      <c r="M147" t="inlineStr"/>
      <c r="N147" t="inlineStr"/>
      <c r="O147">
        <f>(1-Summary!$B$55)*T147+Summary!$B$55*V147</f>
        <v/>
      </c>
      <c r="P147">
        <f>IF(B168=0,0,O147/B168)</f>
        <v/>
      </c>
      <c r="Q147" t="n">
        <v>0</v>
      </c>
      <c r="R147" t="n">
        <v>0</v>
      </c>
      <c r="S147">
        <f>IFERROR(O147/N147,0)</f>
        <v/>
      </c>
      <c r="T147" t="n">
        <v>0</v>
      </c>
      <c r="V147" t="n">
        <v>0</v>
      </c>
    </row>
    <row r="148">
      <c r="A148">
        <f>Skills!A23</f>
        <v/>
      </c>
      <c r="B148">
        <f>Skills!B23</f>
        <v/>
      </c>
      <c r="C148">
        <f>Inputs!$B$3&gt;=38</f>
        <v/>
      </c>
      <c r="D148">
        <f>IF(Skills!C23=1,60+Inputs!$B$25+Inputs!$B$29,IF(Skills!C23=2,90+Inputs!$B$26+Inputs!$B$29,IF(Skills!C23=3,120+Inputs!$B$27+Inputs!$B$29,MAX(0,(Inputs!$B$3-100)*3)+Inputs!$B$28+Inputs!$B$29)))</f>
        <v/>
      </c>
      <c r="E148">
        <f>INDEX(FactorTable!$B$2:$Y$301, MATCH(ROUND(MIN(300,MAX(1,D148)),0), FactorTable!$A$2:$A$301,0), Skills!M23+1)</f>
        <v/>
      </c>
      <c r="F148">
        <f>IF(Skills!N23=TRUE,(Skills!L23/10)*(E148/1000),Skills!L23/10)+Skills!O23</f>
        <v/>
      </c>
      <c r="G148">
        <f>Skills!G23*IF(Skills!H23&gt;0,Skills!I23/Skills!H23,1)</f>
        <v/>
      </c>
      <c r="H148">
        <f>1-(1-Skills!J23/100)^Skills!K23</f>
        <v/>
      </c>
      <c r="I148" t="inlineStr">
        <is>
          <t>1</t>
        </is>
      </c>
      <c r="J148" t="inlineStr"/>
      <c r="K148" t="inlineStr"/>
      <c r="L148" t="inlineStr"/>
      <c r="M148" t="inlineStr"/>
      <c r="N148" t="inlineStr"/>
      <c r="O148">
        <f>(1-Summary!$B$55)*T148+Summary!$B$55*V148</f>
        <v/>
      </c>
      <c r="P148">
        <f>IF(B168=0,0,O148/B168)</f>
        <v/>
      </c>
      <c r="Q148" t="n">
        <v>0</v>
      </c>
      <c r="R148" t="n">
        <v>0</v>
      </c>
      <c r="S148">
        <f>IFERROR(O148/N148,0)</f>
        <v/>
      </c>
      <c r="T148" t="n">
        <v>0</v>
      </c>
      <c r="V148" t="n">
        <v>0</v>
      </c>
    </row>
    <row r="149">
      <c r="A149">
        <f>Skills!A24</f>
        <v/>
      </c>
      <c r="B149">
        <f>Skills!B24</f>
        <v/>
      </c>
      <c r="C149">
        <f>Inputs!$B$3&gt;=43</f>
        <v/>
      </c>
      <c r="D149">
        <f>IF(Skills!C24=1,60+Inputs!$B$25+Inputs!$B$29,IF(Skills!C24=2,90+Inputs!$B$26+Inputs!$B$29,IF(Skills!C24=3,120+Inputs!$B$27+Inputs!$B$29,MAX(0,(Inputs!$B$3-100)*3)+Inputs!$B$28+Inputs!$B$29)))</f>
        <v/>
      </c>
      <c r="E149">
        <f>INDEX(FactorTable!$B$2:$Y$301, MATCH(ROUND(MIN(300,MAX(1,D149)),0), FactorTable!$A$2:$A$301,0), Skills!M24+1)</f>
        <v/>
      </c>
      <c r="F149">
        <f>IF(Skills!N24=TRUE,(Skills!L24/10)*(E149/1000),Skills!L24/10)+Skills!O24</f>
        <v/>
      </c>
      <c r="G149">
        <f>Skills!G24*IF(Skills!H24&gt;0,Skills!I24/Skills!H24,1)</f>
        <v/>
      </c>
      <c r="H149">
        <f>1-(1-Skills!J24/100)^Skills!K24</f>
        <v/>
      </c>
      <c r="I149" t="inlineStr">
        <is>
          <t>1</t>
        </is>
      </c>
      <c r="J149" t="inlineStr"/>
      <c r="K149" t="inlineStr"/>
      <c r="L149" t="inlineStr"/>
      <c r="M149" t="inlineStr"/>
      <c r="N149" t="inlineStr"/>
      <c r="O149">
        <f>(1-Summary!$B$55)*T149+Summary!$B$55*V149</f>
        <v/>
      </c>
      <c r="P149">
        <f>IF(B168=0,0,O149/B168)</f>
        <v/>
      </c>
      <c r="Q149" t="n">
        <v>0</v>
      </c>
      <c r="R149" t="n">
        <v>0</v>
      </c>
      <c r="S149">
        <f>IFERROR(O149/N149,0)</f>
        <v/>
      </c>
      <c r="T149" t="n">
        <v>0</v>
      </c>
      <c r="V149" t="n">
        <v>0</v>
      </c>
    </row>
    <row r="150">
      <c r="A150">
        <f>Skills!A25</f>
        <v/>
      </c>
      <c r="B150">
        <f>Skills!B25</f>
        <v/>
      </c>
      <c r="C150">
        <f>Inputs!$B$3&gt;=75</f>
        <v/>
      </c>
      <c r="D150">
        <f>IF(Skills!C25=1,60+Inputs!$B$25+Inputs!$B$29,IF(Skills!C25=2,90+Inputs!$B$26+Inputs!$B$29,IF(Skills!C25=3,120+Inputs!$B$27+Inputs!$B$29,MAX(0,(Inputs!$B$3-100)*3)+Inputs!$B$28+Inputs!$B$29)))</f>
        <v/>
      </c>
      <c r="E150">
        <f>INDEX(FactorTable!$B$2:$Y$301, MATCH(ROUND(MIN(300,MAX(1,D150)),0), FactorTable!$A$2:$A$301,0), Skills!M25+1)</f>
        <v/>
      </c>
      <c r="F150">
        <f>IF(Skills!N25=TRUE,(Skills!L25/10)*(E150/1000),Skills!L25/10)+Skills!O25</f>
        <v/>
      </c>
      <c r="G150">
        <f>Skills!G25*IF(Skills!H25&gt;0,Skills!I25/Skills!H25,1)</f>
        <v/>
      </c>
      <c r="H150">
        <f>1-(1-Skills!J25/100)^Skills!K25</f>
        <v/>
      </c>
      <c r="I150" t="inlineStr">
        <is>
          <t>1</t>
        </is>
      </c>
      <c r="J150" t="inlineStr"/>
      <c r="K150" t="inlineStr"/>
      <c r="L150" t="inlineStr"/>
      <c r="M150" t="inlineStr"/>
      <c r="N150" t="inlineStr"/>
      <c r="O150">
        <f>(1-Summary!$B$55)*T150+Summary!$B$55*V150</f>
        <v/>
      </c>
      <c r="P150">
        <f>IF(B168=0,0,O150/B168)</f>
        <v/>
      </c>
      <c r="Q150" t="n">
        <v>0</v>
      </c>
      <c r="R150" t="n">
        <v>0</v>
      </c>
      <c r="S150">
        <f>IFERROR(O150/N150,0)</f>
        <v/>
      </c>
      <c r="T150" t="n">
        <v>0</v>
      </c>
      <c r="V150" t="n">
        <v>0</v>
      </c>
    </row>
    <row r="151">
      <c r="A151">
        <f>Skills!A26</f>
        <v/>
      </c>
      <c r="B151">
        <f>Skills!B26</f>
        <v/>
      </c>
      <c r="C151">
        <f>Inputs!$B$3&gt;=125</f>
        <v/>
      </c>
      <c r="D151">
        <f>IF(Skills!C26=1,60+Inputs!$B$25+Inputs!$B$29,IF(Skills!C26=2,90+Inputs!$B$26+Inputs!$B$29,IF(Skills!C26=3,120+Inputs!$B$27+Inputs!$B$29,MAX(0,(Inputs!$B$3-100)*3)+Inputs!$B$28+Inputs!$B$29)))</f>
        <v/>
      </c>
      <c r="E151">
        <f>INDEX(FactorTable!$B$2:$Y$301, MATCH(ROUND(MIN(300,MAX(1,D151)),0), FactorTable!$A$2:$A$301,0), Skills!M26+1)</f>
        <v/>
      </c>
      <c r="F151">
        <f>IF(Skills!N26=TRUE,(Skills!L26/10)*(E151/1000),Skills!L26/10)+Skills!O26</f>
        <v/>
      </c>
      <c r="G151">
        <f>Skills!G26*IF(Skills!H26&gt;0,Skills!I26/Skills!H26,1)</f>
        <v/>
      </c>
      <c r="H151">
        <f>1-(1-Skills!J26/100)^Skills!K26</f>
        <v/>
      </c>
      <c r="I151" t="inlineStr">
        <is>
          <t>1</t>
        </is>
      </c>
      <c r="J151" t="inlineStr"/>
      <c r="K151" t="inlineStr"/>
      <c r="L151" t="inlineStr"/>
      <c r="M151" t="inlineStr"/>
      <c r="N151" t="inlineStr"/>
      <c r="O151">
        <f>(1-Summary!$B$55)*T151+Summary!$B$55*V151</f>
        <v/>
      </c>
      <c r="P151">
        <f>IF(B168=0,0,O151/B168)</f>
        <v/>
      </c>
      <c r="Q151" t="n">
        <v>0</v>
      </c>
      <c r="R151" t="n">
        <v>0</v>
      </c>
      <c r="S151">
        <f>IFERROR(O151/N151,0)</f>
        <v/>
      </c>
      <c r="T151" t="n">
        <v>0</v>
      </c>
      <c r="V151" t="n">
        <v>0</v>
      </c>
    </row>
    <row r="152">
      <c r="A152">
        <f>Skills!A27</f>
        <v/>
      </c>
      <c r="B152">
        <f>Skills!B27</f>
        <v/>
      </c>
      <c r="C152">
        <f>Inputs!$B$3&gt;=125</f>
        <v/>
      </c>
      <c r="D152">
        <f>IF(Skills!C27=1,60+Inputs!$B$25+Inputs!$B$29,IF(Skills!C27=2,90+Inputs!$B$26+Inputs!$B$29,IF(Skills!C27=3,120+Inputs!$B$27+Inputs!$B$29,MAX(0,(Inputs!$B$3-100)*3)+Inputs!$B$28+Inputs!$B$29)))</f>
        <v/>
      </c>
      <c r="E152">
        <f>INDEX(FactorTable!$B$2:$Y$301, MATCH(ROUND(MIN(300,MAX(1,D152)),0), FactorTable!$A$2:$A$301,0), Skills!M27+1)</f>
        <v/>
      </c>
      <c r="F152">
        <f>IF(Skills!N27=TRUE,(Skills!L27/10)*(E152/1000),Skills!L27/10)+Skills!O27</f>
        <v/>
      </c>
      <c r="G152">
        <f>Skills!G27*IF(Skills!H27&gt;0,Skills!I27/Skills!H27,1)</f>
        <v/>
      </c>
      <c r="H152">
        <f>1-(1-Skills!J27/100)^Skills!K27</f>
        <v/>
      </c>
      <c r="I152" t="inlineStr">
        <is>
          <t>1</t>
        </is>
      </c>
      <c r="J152" t="inlineStr"/>
      <c r="K152" t="inlineStr"/>
      <c r="L152" t="inlineStr"/>
      <c r="M152" t="inlineStr"/>
      <c r="N152" t="inlineStr"/>
      <c r="O152">
        <f>(1-Summary!$B$55)*T152+Summary!$B$55*V152</f>
        <v/>
      </c>
      <c r="P152">
        <f>IF(B168=0,0,O152/B168)</f>
        <v/>
      </c>
      <c r="Q152" t="n">
        <v>0</v>
      </c>
      <c r="R152" t="n">
        <v>0</v>
      </c>
      <c r="S152">
        <f>IFERROR(O152/N152,0)</f>
        <v/>
      </c>
      <c r="T152" t="n">
        <v>0</v>
      </c>
      <c r="V152" t="n">
        <v>0</v>
      </c>
    </row>
    <row r="153">
      <c r="A153">
        <f>Skills!A28</f>
        <v/>
      </c>
      <c r="B153">
        <f>Skills!B28</f>
        <v/>
      </c>
      <c r="C153">
        <f>Inputs!$B$3&gt;=120</f>
        <v/>
      </c>
      <c r="D153">
        <f>IF(Skills!C28=1,60+Inputs!$B$25+Inputs!$B$29,IF(Skills!C28=2,90+Inputs!$B$26+Inputs!$B$29,IF(Skills!C28=3,120+Inputs!$B$27+Inputs!$B$29,MAX(0,(Inputs!$B$3-100)*3)+Inputs!$B$28+Inputs!$B$29)))</f>
        <v/>
      </c>
      <c r="E153">
        <f>INDEX(FactorTable!$B$2:$Y$301, MATCH(ROUND(MIN(300,MAX(1,D153)),0), FactorTable!$A$2:$A$301,0), Skills!M28+1)</f>
        <v/>
      </c>
      <c r="F153">
        <f>IF(Skills!N28=TRUE,(Skills!L28/10)*(E153/1000),Skills!L28/10)+Skills!O28</f>
        <v/>
      </c>
      <c r="G153">
        <f>Skills!G28*IF(Skills!H28&gt;0,Skills!I28/Skills!H28,1)</f>
        <v/>
      </c>
      <c r="H153">
        <f>1-(1-Skills!J28/100)^Skills!K28</f>
        <v/>
      </c>
      <c r="I153" t="inlineStr">
        <is>
          <t>1</t>
        </is>
      </c>
      <c r="J153" t="inlineStr"/>
      <c r="K153" t="inlineStr"/>
      <c r="L153" t="inlineStr"/>
      <c r="M153" t="inlineStr"/>
      <c r="N153" t="inlineStr"/>
      <c r="O153">
        <f>(1-Summary!$B$55)*T153+Summary!$B$55*V153</f>
        <v/>
      </c>
      <c r="P153">
        <f>IF(B168=0,0,O153/B168)</f>
        <v/>
      </c>
      <c r="Q153" t="n">
        <v>0</v>
      </c>
      <c r="R153" t="n">
        <v>0</v>
      </c>
      <c r="S153">
        <f>IFERROR(O153/N153,0)</f>
        <v/>
      </c>
      <c r="T153" t="n">
        <v>0</v>
      </c>
      <c r="V153" t="n">
        <v>0</v>
      </c>
    </row>
    <row r="154">
      <c r="A154">
        <f>Skills!A29</f>
        <v/>
      </c>
      <c r="B154">
        <f>Skills!B29</f>
        <v/>
      </c>
      <c r="C154">
        <f>Inputs!$B$3&gt;=120</f>
        <v/>
      </c>
      <c r="D154">
        <f>IF(Skills!C29=1,60+Inputs!$B$25+Inputs!$B$29,IF(Skills!C29=2,90+Inputs!$B$26+Inputs!$B$29,IF(Skills!C29=3,120+Inputs!$B$27+Inputs!$B$29,MAX(0,(Inputs!$B$3-100)*3)+Inputs!$B$28+Inputs!$B$29)))</f>
        <v/>
      </c>
      <c r="E154">
        <f>INDEX(FactorTable!$B$2:$Y$301, MATCH(ROUND(MIN(300,MAX(1,D154)),0), FactorTable!$A$2:$A$301,0), Skills!M29+1)</f>
        <v/>
      </c>
      <c r="F154">
        <f>IF(Skills!N29=TRUE,(Skills!L29/10)*(E154/1000),Skills!L29/10)+Skills!O29</f>
        <v/>
      </c>
      <c r="G154">
        <f>Skills!G29*IF(Skills!H29&gt;0,Skills!I29/Skills!H29,1)</f>
        <v/>
      </c>
      <c r="H154">
        <f>1-(1-Skills!J29/100)^Skills!K29</f>
        <v/>
      </c>
      <c r="I154" t="inlineStr">
        <is>
          <t>1</t>
        </is>
      </c>
      <c r="J154" t="inlineStr"/>
      <c r="K154" t="inlineStr"/>
      <c r="L154" t="inlineStr"/>
      <c r="M154" t="inlineStr"/>
      <c r="N154" t="inlineStr"/>
      <c r="O154">
        <f>(1-Summary!$B$55)*T154+Summary!$B$55*V154</f>
        <v/>
      </c>
      <c r="P154">
        <f>IF(B168=0,0,O154/B168)</f>
        <v/>
      </c>
      <c r="Q154" t="n">
        <v>0</v>
      </c>
      <c r="R154" t="n">
        <v>0</v>
      </c>
      <c r="S154">
        <f>IFERROR(O154/N154,0)</f>
        <v/>
      </c>
      <c r="T154" t="n">
        <v>0</v>
      </c>
      <c r="V154" t="n">
        <v>0</v>
      </c>
    </row>
    <row r="155">
      <c r="A155">
        <f>Skills!A30</f>
        <v/>
      </c>
      <c r="B155">
        <f>Skills!B30</f>
        <v/>
      </c>
      <c r="C155">
        <f>Inputs!$B$3&gt;=45</f>
        <v/>
      </c>
      <c r="D155">
        <f>IF(Skills!C30=1,60+Inputs!$B$25+Inputs!$B$29,IF(Skills!C30=2,90+Inputs!$B$26+Inputs!$B$29,IF(Skills!C30=3,120+Inputs!$B$27+Inputs!$B$29,MAX(0,(Inputs!$B$3-100)*3)+Inputs!$B$28+Inputs!$B$29)))</f>
        <v/>
      </c>
      <c r="E155">
        <f>INDEX(FactorTable!$B$2:$Y$301, MATCH(ROUND(MIN(300,MAX(1,D155)),0), FactorTable!$A$2:$A$301,0), Skills!M30+1)</f>
        <v/>
      </c>
      <c r="F155">
        <f>IF(Skills!N30=TRUE,(Skills!L30/10)*(E155/1000),Skills!L30/10)+Skills!O30</f>
        <v/>
      </c>
      <c r="G155">
        <f>Skills!G30*IF(Skills!H30&gt;0,Skills!I30/Skills!H30,1)</f>
        <v/>
      </c>
      <c r="H155">
        <f>1-(1-Skills!J30/100)^Skills!K30</f>
        <v/>
      </c>
      <c r="I155" t="inlineStr">
        <is>
          <t>1</t>
        </is>
      </c>
      <c r="J155" t="inlineStr"/>
      <c r="K155" t="inlineStr"/>
      <c r="L155" t="inlineStr"/>
      <c r="M155" t="inlineStr"/>
      <c r="N155" t="inlineStr"/>
      <c r="O155">
        <f>(1-Summary!$B$55)*T155+Summary!$B$55*V155</f>
        <v/>
      </c>
      <c r="P155">
        <f>IF(B168=0,0,O155/B168)</f>
        <v/>
      </c>
      <c r="Q155" t="n">
        <v>0</v>
      </c>
      <c r="R155" t="n">
        <v>0</v>
      </c>
      <c r="S155">
        <f>IFERROR(O155/N155,0)</f>
        <v/>
      </c>
      <c r="T155" t="n">
        <v>0</v>
      </c>
      <c r="V155" t="n">
        <v>0</v>
      </c>
    </row>
    <row r="157">
      <c r="A157" t="inlineStr">
        <is>
          <t>Attack% Bucket Multiplier</t>
        </is>
      </c>
      <c r="B157">
        <f>(1+(((C138=TRUE)*F138)+((C139=TRUE)*IF(Inputs!$B$38="pvp",F139,(1-Summary!$B$55)*(F139)+Summary!$B$55*(0)))+((C140=TRUE)*F140*IF(AND(Inputs!$B$38&lt;&gt;"pvp",Inputs!$B$43&gt;0),(((R140-1)*(Skills!T15*(1+Inputs!$B$34/100))+MIN((Skills!T15*(1+Inputs!$B$34/100)),MAX(0,Inputs!$B$43-((R140-1)*Skills!D15))))/Inputs!$B$43),IF(Inputs!$B$38="pvp",MIN((Skills!T15*(1+Inputs!$B$34/100)),15)/15,(Skills!T15*(1+Inputs!$B$34/100))/Skills!D15)))+((C155=TRUE)*(F155-Calc!F30)))/100)</f>
        <v/>
      </c>
    </row>
    <row r="158">
      <c r="A158" t="inlineStr">
        <is>
          <t>Global Crit Rate Bonus %</t>
        </is>
      </c>
      <c r="B158">
        <f>(C141=TRUE)*20*IF(AND(Inputs!$B$38&lt;&gt;"pvp",Inputs!$B$43&gt;0),(((R141-1)*(Skills!T16*(1+Inputs!$B$34/100))+MIN((Skills!T16*(1+Inputs!$B$34/100)),MAX(0,Inputs!$B$43-((R141-1)*Skills!D16))))/Inputs!$B$43),IF(Inputs!$B$38="pvp",MIN((Skills!T16*(1+Inputs!$B$34/100)),15)/15,(Skills!T16*(1+Inputs!$B$34/100))/Skills!D16))</f>
        <v/>
      </c>
    </row>
    <row r="159">
      <c r="A159" t="inlineStr">
        <is>
          <t>Attack Speed Buff Bonus %</t>
        </is>
      </c>
      <c r="B159">
        <f>((C144=TRUE)*F144*IF(AND(Inputs!$B$38&lt;&gt;"pvp",Inputs!$B$43&gt;0),(((R144-1)*(Skills!T19*(1+Inputs!$B$34/100))+MIN((Skills!T19*(1+Inputs!$B$34/100)),MAX(0,Inputs!$B$43-((R144-1)*Skills!D19))))/Inputs!$B$43),IF(Inputs!$B$38="pvp",MIN((Skills!T19*(1+Inputs!$B$34/100)),15)/15,(Skills!T19*(1+Inputs!$B$34/100))/Skills!D19)))</f>
        <v/>
      </c>
    </row>
    <row r="160">
      <c r="A160" t="inlineStr">
        <is>
          <t>Actions Per Second</t>
        </is>
      </c>
      <c r="B160">
        <f>1+MIN(150,150*(1-(1-(Inputs!$B$11+((C146=TRUE)*(F146-Calc!F21))+((C147=TRUE)*(F147-Calc!F22)))/150)*(1-B159/150)))/100</f>
        <v/>
      </c>
    </row>
    <row r="161">
      <c r="A161" t="inlineStr">
        <is>
          <t>Skill + Buff Cast Rate</t>
        </is>
      </c>
      <c r="B161">
        <f>IF(AND(Inputs!$B$38&lt;&gt;"pvp",Inputs!$B$43&gt;0),SUMPRODUCT((Skills!E2:E30=TRUE)*(C127:C155=TRUE)*R127:R155*Skills!F2:F30)/Inputs!$B$43,SUMPRODUCT((Skills!E2:E30=TRUE)*(C127:C155=TRUE)*Q127:Q155*Skills!F2:F30))</f>
        <v/>
      </c>
    </row>
    <row r="162">
      <c r="A162" t="inlineStr">
        <is>
          <t>Arrow Stream Casts Per Second</t>
        </is>
      </c>
      <c r="B162">
        <f>MAX(0,B160-B161)</f>
        <v/>
      </c>
    </row>
    <row r="163">
      <c r="A163" t="inlineStr">
        <is>
          <t>Global Critical Damage Bonus % (Sharp Eyes + Concentration)</t>
        </is>
      </c>
      <c r="B163">
        <f>(C141=TRUE)*F141*IF(AND(Inputs!$B$38&lt;&gt;"pvp",Inputs!$B$43&gt;0),(((R141-1)*(Skills!T16*(1+Inputs!$B$34/100))+MIN((Skills!T16*(1+Inputs!$B$34/100)),MAX(0,Inputs!$B$43-((R141-1)*Skills!D16))))/Inputs!$B$43),IF(Inputs!$B$38="pvp",MIN((Skills!T16*(1+Inputs!$B$34/100)),15)/15,(Skills!T16*(1+Inputs!$B$34/100))/Skills!D16))+(C142=TRUE)*30</f>
        <v/>
      </c>
    </row>
    <row r="164">
      <c r="A164" t="inlineStr">
        <is>
          <t>Global Final Damage Bonus % (Mortal Blow)</t>
        </is>
      </c>
      <c r="B164">
        <f>(C143=TRUE)*F143</f>
        <v/>
      </c>
    </row>
    <row r="165">
      <c r="A165" t="inlineStr">
        <is>
          <t>Buff-Casting Startup Delay (s, fixed-duration only)</t>
        </is>
      </c>
      <c r="B165">
        <f>IF(AND(Inputs!$B$38&lt;&gt;"pvp",Inputs!$B$43&gt;0),SUMPRODUCT((Skills!T2:T30&gt;0)*(Skills!E2:E30=TRUE)*(C127:C155=TRUE))/B160,0)</f>
        <v/>
      </c>
    </row>
    <row r="166">
      <c r="A166" t="inlineStr">
        <is>
          <t>Boss-Only Total DPS (this block's swept value)</t>
        </is>
      </c>
      <c r="B166">
        <f>SUM(T127:T155)</f>
        <v/>
      </c>
    </row>
    <row r="167">
      <c r="A167" t="inlineStr">
        <is>
          <t>Normal-Only Total DPS (this block's swept value)</t>
        </is>
      </c>
      <c r="B167">
        <f>SUM(V127:V155)</f>
        <v/>
      </c>
    </row>
    <row r="168">
      <c r="A168" s="5" t="inlineStr">
        <is>
          <t>TOTAL DPS</t>
        </is>
      </c>
      <c r="B168" s="5">
        <f>SUM(O127:O155)</f>
        <v/>
      </c>
    </row>
    <row r="171">
      <c r="A171" s="5" t="inlineStr">
        <is>
          <t>Stat: DAMAGE %</t>
        </is>
      </c>
    </row>
    <row r="172">
      <c r="A172" s="9" t="inlineStr">
        <is>
          <t>Key</t>
        </is>
      </c>
      <c r="B172" s="9" t="inlineStr">
        <is>
          <t>Name</t>
        </is>
      </c>
      <c r="C172" s="9" t="inlineStr">
        <is>
          <t>Unlocked</t>
        </is>
      </c>
      <c r="D172" s="9" t="inlineStr">
        <is>
          <t>InputLevel</t>
        </is>
      </c>
      <c r="E172" s="9" t="inlineStr">
        <is>
          <t>Factor</t>
        </is>
      </c>
      <c r="F172" s="9" t="inlineStr">
        <is>
          <t>CoefficientPercent</t>
        </is>
      </c>
      <c r="G172" s="9" t="inlineStr">
        <is>
          <t>EffectiveHits</t>
        </is>
      </c>
      <c r="H172" s="9" t="inlineStr">
        <is>
          <t>ProcProbability</t>
        </is>
      </c>
      <c r="I172" s="9" t="inlineStr">
        <is>
          <t>MapleHeroMultiplier</t>
        </is>
      </c>
      <c r="J172" s="9" t="inlineStr">
        <is>
          <t>BaseDamage</t>
        </is>
      </c>
      <c r="K172" s="9" t="inlineStr">
        <is>
          <t>BaseHitDamage</t>
        </is>
      </c>
      <c r="L172" s="9" t="inlineStr">
        <is>
          <t>NonCritAvg</t>
        </is>
      </c>
      <c r="M172" s="9" t="inlineStr">
        <is>
          <t>CritAvg</t>
        </is>
      </c>
      <c r="N172" s="9" t="inlineStr">
        <is>
          <t>ExpectedDamage(perHit)</t>
        </is>
      </c>
      <c r="O172" s="9" t="inlineStr">
        <is>
          <t>DPS</t>
        </is>
      </c>
      <c r="P172" s="9" t="inlineStr">
        <is>
          <t>% of Total</t>
        </is>
      </c>
      <c r="Q172" s="9" t="inlineStr">
        <is>
          <t>InvCooldown</t>
        </is>
      </c>
      <c r="R172" s="9" t="inlineStr">
        <is>
          <t>CastsInFight</t>
        </is>
      </c>
      <c r="S172" s="9" t="inlineStr">
        <is>
          <t>HitRate(perSec)</t>
        </is>
      </c>
      <c r="U172" t="inlineStr">
        <is>
          <t>helpers</t>
        </is>
      </c>
    </row>
    <row r="173">
      <c r="A173">
        <f>Skills!A2</f>
        <v/>
      </c>
      <c r="B173">
        <f>Skills!B2</f>
        <v/>
      </c>
      <c r="C173">
        <f>Inputs!$B$3&gt;=100</f>
        <v/>
      </c>
      <c r="D173" t="inlineStr"/>
      <c r="E173" t="inlineStr"/>
      <c r="F173">
        <f>U175+Skills!O2</f>
        <v/>
      </c>
      <c r="G173">
        <f>Skills!G2*IF(Skills!H2&gt;0,Skills!I2/Skills!H2,1)</f>
        <v/>
      </c>
      <c r="H173">
        <f>1-(1-Skills!J2/100)^Skills!K2</f>
        <v/>
      </c>
      <c r="I173" t="inlineStr">
        <is>
          <t>1</t>
        </is>
      </c>
      <c r="J173">
        <f>((Inputs!$B$6*(1+Inputs!$B$7/100))+(((Inputs!$B$12*(1+Inputs!$B$13/100))-(Inputs!$B$12*(1+Inputs!$B$13/100)))+0.25*(Inputs!$B$14-Inputs!$B$14))*(1+Inputs!$B$7/100))*(F173/100)</f>
        <v/>
      </c>
      <c r="K173">
        <f>J173*(1+((Inputs!$B$12*(1+Inputs!$B$13/100))*0.01+Inputs!$B$14*0.0025)/100)*(1+(Inputs!$B$15+1)/100)*(1+Inputs!$B$16/100)*(5000/(6000+Inputs!$B$42*(1-(Inputs!$B$19+((C198=TRUE)*(F198-Calc!F27)))/100)))*(1+(Inputs!$B$24+((C196=TRUE)*(F196-Calc!F25))+((C197=TRUE)*(F197-Calc!F26))+B210)/100)*(1+(IF(Skills!A2="ARROW_STREAM",Inputs!$B$17+((C194=TRUE)*(F194-Calc!F23)),Inputs!$B$18+((C199=TRUE)*(F199-Calc!F28))))/100)*((1+(((C184=TRUE)*F184)+((C185=TRUE)*IF(Inputs!$B$38="pvp",F185,(1-Summary!$B$55)*(F185)+Summary!$B$55*(0)))+((C186=TRUE)*F186*IF(AND(Inputs!$B$38&lt;&gt;"pvp",Inputs!$B$43&gt;0),(((R186-1)*(Skills!T15*(1+Inputs!$B$34/100))+MIN((Skills!T15*(1+Inputs!$B$34/100)),MAX(0,Inputs!$B$43-((R186-1)*Skills!D15))))/Inputs!$B$43),IF(Inputs!$B$38="pvp",MIN((Skills!T15*(1+Inputs!$B$34/100)),15)/15,(Skills!T15*(1+Inputs!$B$34/100))/Skills!D15)))+((C201=TRUE)*(F201-Calc!F30)))/100)*I173)</f>
        <v/>
      </c>
      <c r="L173">
        <f>K173*(MIN(Inputs!$B$22+((C195=TRUE)*(F195-Calc!F24)),Inputs!$B$23+((C200=TRUE)*(F200-Calc!F29)))/100+(Inputs!$B$23+((C200=TRUE)*(F200-Calc!F29)))/100)/2</f>
        <v/>
      </c>
      <c r="M173">
        <f>L173*(1+(Inputs!$B$10+0+B209)/100)</f>
        <v/>
      </c>
      <c r="N173">
        <f>L173*(1-MIN((Inputs!$B$9+((C191=TRUE)*(F191-Calc!F20))+B204),100)/100)+M173*(MIN((Inputs!$B$9+((C191=TRUE)*(F191-Calc!F20))+B204),100)/100)</f>
        <v/>
      </c>
      <c r="O173">
        <f>(1-Summary!$B$55)*T173+Summary!$B$55*V173</f>
        <v/>
      </c>
      <c r="P173">
        <f>IF(B214=0,0,O173/B214)</f>
        <v/>
      </c>
      <c r="Q173" t="n">
        <v>0</v>
      </c>
      <c r="R173" t="n">
        <v>0</v>
      </c>
      <c r="S173">
        <f>IFERROR(O173/N173,0)</f>
        <v/>
      </c>
      <c r="T173">
        <f>IF(C173,(Skills!G2*N173*B208)*IF(Inputs!$B$38="pvp",1,1+(Inputs!$B$20+0+Skills!P2)/100),0)</f>
        <v/>
      </c>
      <c r="U173">
        <f>MAX(0,(Inputs!$B$3-100)*3)+Inputs!$B$28+Inputs!$B$29</f>
        <v/>
      </c>
      <c r="V173">
        <f>IF(C173,(Skills!G2*N173*B208)*IF(Inputs!$B$38="pvp",1,(1+(Inputs!$B$21+Skills!Q2)/100)*(MIN((6+Inputs!$B$33),Inputs!$B$37))),0)</f>
        <v/>
      </c>
    </row>
    <row r="174">
      <c r="A174">
        <f>Skills!A3</f>
        <v/>
      </c>
      <c r="B174">
        <f>Skills!B3</f>
        <v/>
      </c>
      <c r="C174">
        <f>Inputs!$B$3&gt;=50</f>
        <v/>
      </c>
      <c r="D174">
        <f>IF(Skills!C3=1,60+Inputs!$B$25+Inputs!$B$29,IF(Skills!C3=2,90+Inputs!$B$26+Inputs!$B$29,IF(Skills!C3=3,120+Inputs!$B$27+Inputs!$B$29,MAX(0,(Inputs!$B$3-100)*3)+Inputs!$B$28+Inputs!$B$29)))</f>
        <v/>
      </c>
      <c r="E174">
        <f>INDEX(FactorTable!$B$2:$Y$301, MATCH(ROUND(MIN(300,MAX(1,D174)),0), FactorTable!$A$2:$A$301,0), Skills!M3+1)</f>
        <v/>
      </c>
      <c r="F174">
        <f>IF(Skills!N3=TRUE,(Skills!L3/10)*(E174/1000),Skills!L3/10)+Skills!O3</f>
        <v/>
      </c>
      <c r="G174" t="inlineStr"/>
      <c r="H174" t="inlineStr"/>
      <c r="I174" t="inlineStr">
        <is>
          <t>1</t>
        </is>
      </c>
      <c r="J174" t="inlineStr"/>
      <c r="K174" t="inlineStr"/>
      <c r="L174" t="inlineStr"/>
      <c r="M174" t="inlineStr"/>
      <c r="N174" t="inlineStr"/>
      <c r="O174" t="inlineStr"/>
      <c r="P174" t="inlineStr"/>
      <c r="Q174" t="inlineStr"/>
      <c r="R174" t="inlineStr"/>
      <c r="S174" t="inlineStr"/>
      <c r="T174" t="inlineStr"/>
      <c r="U174">
        <f>INDEX(FactorTable!$B$2:$Y$301, MATCH(ROUND(MIN(300,MAX(1,U173)),0), FactorTable!$A$2:$A$301,0), 22)</f>
        <v/>
      </c>
      <c r="V174" t="inlineStr"/>
    </row>
    <row r="175">
      <c r="A175">
        <f>Skills!A4</f>
        <v/>
      </c>
      <c r="B175">
        <f>Skills!B4</f>
        <v/>
      </c>
      <c r="C175">
        <f>Inputs!$B$3&gt;=105</f>
        <v/>
      </c>
      <c r="D175">
        <f>IF(Skills!C4=1,60+Inputs!$B$25+Inputs!$B$29,IF(Skills!C4=2,90+Inputs!$B$26+Inputs!$B$29,IF(Skills!C4=3,120+Inputs!$B$27+Inputs!$B$29,MAX(0,(Inputs!$B$3-100)*3)+Inputs!$B$28+Inputs!$B$29)))</f>
        <v/>
      </c>
      <c r="E175">
        <f>INDEX(FactorTable!$B$2:$Y$301, MATCH(ROUND(MIN(300,MAX(1,D175)),0), FactorTable!$A$2:$A$301,0), Skills!M4+1)</f>
        <v/>
      </c>
      <c r="F175">
        <f>IF(Skills!N4=TRUE,(Skills!L4/10)*(E175/1000),Skills!L4/10)+Skills!O4</f>
        <v/>
      </c>
      <c r="G175" t="inlineStr"/>
      <c r="H175" t="inlineStr"/>
      <c r="I175" t="inlineStr">
        <is>
          <t>1</t>
        </is>
      </c>
      <c r="J175" t="inlineStr"/>
      <c r="K175" t="inlineStr"/>
      <c r="L175" t="inlineStr"/>
      <c r="M175" t="inlineStr"/>
      <c r="N175" t="inlineStr"/>
      <c r="O175" t="inlineStr"/>
      <c r="P175" t="inlineStr"/>
      <c r="Q175" t="inlineStr"/>
      <c r="R175" t="inlineStr"/>
      <c r="S175" t="inlineStr"/>
      <c r="T175" t="inlineStr"/>
      <c r="U175">
        <f>290*U174/1000</f>
        <v/>
      </c>
      <c r="V175" t="inlineStr"/>
    </row>
    <row r="176">
      <c r="A176">
        <f>Skills!A5</f>
        <v/>
      </c>
      <c r="B176">
        <f>Skills!B5</f>
        <v/>
      </c>
      <c r="C176">
        <f>Inputs!$B$3&gt;=35</f>
        <v/>
      </c>
      <c r="D176">
        <f>IF(Skills!C5=1,60+Inputs!$B$25+Inputs!$B$29,IF(Skills!C5=2,90+Inputs!$B$26+Inputs!$B$29,IF(Skills!C5=3,120+Inputs!$B$27+Inputs!$B$29,MAX(0,(Inputs!$B$3-100)*3)+Inputs!$B$28+Inputs!$B$29)))</f>
        <v/>
      </c>
      <c r="E176">
        <f>INDEX(FactorTable!$B$2:$Y$301, MATCH(ROUND(MIN(300,MAX(1,D176)),0), FactorTable!$A$2:$A$301,0), Skills!M5+1)</f>
        <v/>
      </c>
      <c r="F176">
        <f>IF(Skills!N5=TRUE,(Skills!L5/10)*(E176/1000),Skills!L5/10)+Skills!O5</f>
        <v/>
      </c>
      <c r="G176">
        <f>Skills!G5*IF(Skills!H5&gt;0,Skills!I5/Skills!H5,1)</f>
        <v/>
      </c>
      <c r="H176">
        <f>1-(1-Skills!J5/100)^Skills!K5</f>
        <v/>
      </c>
      <c r="I176" t="inlineStr">
        <is>
          <t>1</t>
        </is>
      </c>
      <c r="J176">
        <f>((Inputs!$B$6*(1+Inputs!$B$7/100))+(((Inputs!$B$12*(1+Inputs!$B$13/100))-(Inputs!$B$12*(1+Inputs!$B$13/100)))+0.25*(Inputs!$B$14-Inputs!$B$14))*(1+Inputs!$B$7/100))*(F176/100)</f>
        <v/>
      </c>
      <c r="K176">
        <f>J176*(1+((Inputs!$B$12*(1+Inputs!$B$13/100))*0.01+Inputs!$B$14*0.0025)/100)*(1+(Inputs!$B$15+1)/100)*(1+Inputs!$B$16/100)*(5000/(6000+Inputs!$B$42*(1-(Inputs!$B$19+((C198=TRUE)*(F198-Calc!F27)))/100)))*(1+(Inputs!$B$24+((C196=TRUE)*(F196-Calc!F25))+((C197=TRUE)*(F197-Calc!F26))+B210)/100)*(1+4.0*IF(C181=TRUE,F181,0)/100)*(1+(IF(Skills!A5="ARROW_STREAM",Inputs!$B$17+((C194=TRUE)*(F194-Calc!F23)),Inputs!$B$18+((C199=TRUE)*(F199-Calc!F28))))/100)*((1+(((C184=TRUE)*F184)+((C185=TRUE)*IF(Inputs!$B$38="pvp",F185,(1-Summary!$B$55)*(F185)+Summary!$B$55*(0)))+((C186=TRUE)*F186*IF(AND(Inputs!$B$38&lt;&gt;"pvp",Inputs!$B$43&gt;0),(((R186-1)*(Skills!T15*(1+Inputs!$B$34/100))+MIN((Skills!T15*(1+Inputs!$B$34/100)),MAX(0,Inputs!$B$43-((R186-1)*Skills!D15))))/Inputs!$B$43),IF(Inputs!$B$38="pvp",MIN((Skills!T15*(1+Inputs!$B$34/100)),15)/15,(Skills!T15*(1+Inputs!$B$34/100))/Skills!D15)))+((C201=TRUE)*(F201-Calc!F30)))/100)*I176)</f>
        <v/>
      </c>
      <c r="L176">
        <f>K176*(MIN(Inputs!$B$22+((C195=TRUE)*(F195-Calc!F24)),Inputs!$B$23+((C200=TRUE)*(F200-Calc!F29)))/100+(Inputs!$B$23+((C200=TRUE)*(F200-Calc!F29)))/100)/2</f>
        <v/>
      </c>
      <c r="M176">
        <f>L176*(1+(Inputs!$B$10+0+B209)/100)</f>
        <v/>
      </c>
      <c r="N176">
        <f>L176*(1-MIN((Inputs!$B$9+((C191=TRUE)*(F191-Calc!F20))+B204),100)/100)+M176*(MIN((Inputs!$B$9+((C191=TRUE)*(F191-Calc!F20))+B204),100)/100)</f>
        <v/>
      </c>
      <c r="O176">
        <f>(1-Summary!$B$55)*T176+Summary!$B$55*V176</f>
        <v/>
      </c>
      <c r="P176">
        <f>IF(B214=0,0,O176/B214)</f>
        <v/>
      </c>
      <c r="Q176">
        <f>IFERROR(1/IF(Inputs!$B$38="pvp",15,MAX(0.1,Skills!D5-IF(Skills!E5=TRUE,Inputs!$B$32,0))),0)</f>
        <v/>
      </c>
      <c r="R176">
        <f>IF(AND(Inputs!$B$38&lt;&gt;"pvp",Inputs!$B$43&gt;0),IF(MAX(0,Inputs!$B$43-B211)&lt;=0,0,(INT(MAX(0,Inputs!$B$43-B211)/IF(Inputs!$B$38="pvp",15,MAX(0.1,Skills!D5-IF(Skills!E5=TRUE,Inputs!$B$32,0))))+1)),0)</f>
        <v/>
      </c>
      <c r="S176">
        <f>IFERROR(O176/N176,0)</f>
        <v/>
      </c>
      <c r="T176">
        <f>IF(C176,(H176*N176*IF(AND(Inputs!$B$38&lt;&gt;"pvp",Inputs!$B$43&gt;0),((Skills!G5*((R176-1)*IF(Skills!H5&gt;0,Skills!I5/Skills!H5,1)+IF(Skills!H5&gt;0,MIN(Skills!I5,MAX(0,MAX(0,Inputs!$B$43-B211)-((R176-1)*IF(Inputs!$B$38="pvp",15,MAX(0.1,Skills!D5-IF(Skills!E5=TRUE,Inputs!$B$32,0))))))/Skills!H5,1)))/Inputs!$B$43),G176*Q176))*IF(Inputs!$B$38="pvp",1,1+(Inputs!$B$20+0+Skills!P5)/100),0)</f>
        <v/>
      </c>
      <c r="V176">
        <f>IF(C176,(H176*N176*IF(AND(Inputs!$B$38&lt;&gt;"pvp",Inputs!$B$43&gt;0),((Skills!G5*((R176-1)*IF(Skills!H5&gt;0,Skills!I5/Skills!H5,1)+IF(Skills!H5&gt;0,MIN(Skills!I5,MAX(0,MAX(0,Inputs!$B$43-B211)-((R176-1)*IF(Inputs!$B$38="pvp",15,MAX(0.1,Skills!D5-IF(Skills!E5=TRUE,Inputs!$B$32,0))))))/Skills!H5,1)))/Inputs!$B$43),G176*Q176))*IF(Inputs!$B$38="pvp",1,(1+(Inputs!$B$21+Skills!Q5)/100)*(MIN(Skills!R5,Inputs!$B$37))),0)</f>
        <v/>
      </c>
    </row>
    <row r="177">
      <c r="A177">
        <f>Skills!A6</f>
        <v/>
      </c>
      <c r="B177">
        <f>Skills!B6</f>
        <v/>
      </c>
      <c r="C177">
        <f>Inputs!$B$3&gt;=40</f>
        <v/>
      </c>
      <c r="D177">
        <f>IF(Skills!C6=1,60+Inputs!$B$25+Inputs!$B$29,IF(Skills!C6=2,90+Inputs!$B$26+Inputs!$B$29,IF(Skills!C6=3,120+Inputs!$B$27+Inputs!$B$29,MAX(0,(Inputs!$B$3-100)*3)+Inputs!$B$28+Inputs!$B$29)))</f>
        <v/>
      </c>
      <c r="E177">
        <f>INDEX(FactorTable!$B$2:$Y$301, MATCH(ROUND(MIN(300,MAX(1,D177)),0), FactorTable!$A$2:$A$301,0), Skills!M6+1)</f>
        <v/>
      </c>
      <c r="F177">
        <f>IF(Skills!N6=TRUE,(Skills!L6/10)*(E177/1000),Skills!L6/10)+Skills!O6</f>
        <v/>
      </c>
      <c r="G177">
        <f>Skills!G6*IF(Skills!H6&gt;0,Skills!I6/Skills!H6,1)</f>
        <v/>
      </c>
      <c r="H177">
        <f>1-(1-Skills!J6/100)^Skills!K6</f>
        <v/>
      </c>
      <c r="I177" t="inlineStr">
        <is>
          <t>1</t>
        </is>
      </c>
      <c r="J177">
        <f>((Inputs!$B$6*(1+Inputs!$B$7/100))+(((Inputs!$B$12*(1+Inputs!$B$13/100))-(Inputs!$B$12*(1+Inputs!$B$13/100)))+0.25*(Inputs!$B$14-Inputs!$B$14))*(1+Inputs!$B$7/100))*(F177/100)</f>
        <v/>
      </c>
      <c r="K177">
        <f>J177*(1+((Inputs!$B$12*(1+Inputs!$B$13/100))*0.01+Inputs!$B$14*0.0025)/100)*(1+(Inputs!$B$15+1)/100)*(1+Inputs!$B$16/100)*(5000/(6000+Inputs!$B$42*(1-(Inputs!$B$19+((C198=TRUE)*(F198-Calc!F27)))/100)))*(1+(Inputs!$B$24+((C196=TRUE)*(F196-Calc!F25))+((C197=TRUE)*(F197-Calc!F26))+B210)/100)*(1+IF(C178=TRUE,F178,0)/100)*(1+(IF(Skills!A6="ARROW_STREAM",Inputs!$B$17+((C194=TRUE)*(F194-Calc!F23)),Inputs!$B$18+((C199=TRUE)*(F199-Calc!F28))))/100)*((1+(((C184=TRUE)*F184)+((C185=TRUE)*IF(Inputs!$B$38="pvp",F185,(1-Summary!$B$55)*(F185)+Summary!$B$55*(0)))+((C186=TRUE)*F186*IF(AND(Inputs!$B$38&lt;&gt;"pvp",Inputs!$B$43&gt;0),(((R186-1)*(Skills!T15*(1+Inputs!$B$34/100))+MIN((Skills!T15*(1+Inputs!$B$34/100)),MAX(0,Inputs!$B$43-((R186-1)*Skills!D15))))/Inputs!$B$43),IF(Inputs!$B$38="pvp",MIN((Skills!T15*(1+Inputs!$B$34/100)),15)/15,(Skills!T15*(1+Inputs!$B$34/100))/Skills!D15)))+((C201=TRUE)*(F201-Calc!F30)))/100)*I177)</f>
        <v/>
      </c>
      <c r="L177">
        <f>K177*(MIN(Inputs!$B$22+((C195=TRUE)*(F195-Calc!F24)),Inputs!$B$23+((C200=TRUE)*(F200-Calc!F29)))/100+(Inputs!$B$23+((C200=TRUE)*(F200-Calc!F29)))/100)/2</f>
        <v/>
      </c>
      <c r="M177">
        <f>L177*(1+(Inputs!$B$10+0+B209)/100)</f>
        <v/>
      </c>
      <c r="N177">
        <f>L177*(1-MIN((Inputs!$B$9+((C191=TRUE)*(F191-Calc!F20))+B204),100)/100)+M177*(MIN((Inputs!$B$9+((C191=TRUE)*(F191-Calc!F20))+B204),100)/100)</f>
        <v/>
      </c>
      <c r="O177">
        <f>(1-Summary!$B$55)*T177+Summary!$B$55*V177</f>
        <v/>
      </c>
      <c r="P177">
        <f>IF(B214=0,0,O177/B214)</f>
        <v/>
      </c>
      <c r="Q177">
        <f>IFERROR(1/IF(Inputs!$B$38="pvp",15,MAX(0.1,Skills!D6-IF(Skills!E6=TRUE,Inputs!$B$32,0))),0)</f>
        <v/>
      </c>
      <c r="R177">
        <f>IF(AND(Inputs!$B$38&lt;&gt;"pvp",Inputs!$B$43&gt;0),IF(MAX(0,Inputs!$B$43-B211)&lt;=0,0,(INT(MAX(0,Inputs!$B$43-B211)/IF(Inputs!$B$38="pvp",15,MAX(0.1,Skills!D6-IF(Skills!E6=TRUE,Inputs!$B$32,0))))+1)),0)</f>
        <v/>
      </c>
      <c r="S177">
        <f>IFERROR(O177/N177,0)</f>
        <v/>
      </c>
      <c r="T177">
        <f>IF(C177,(H177*N177*IF(AND(Inputs!$B$38&lt;&gt;"pvp",Inputs!$B$43&gt;0),((Skills!G6*((R177-1)*IF(Skills!H6&gt;0,Skills!I6/Skills!H6,1)+IF(Skills!H6&gt;0,MIN(Skills!I6,MAX(0,MAX(0,Inputs!$B$43-B211)-((R177-1)*IF(Inputs!$B$38="pvp",15,MAX(0.1,Skills!D6-IF(Skills!E6=TRUE,Inputs!$B$32,0))))))/Skills!H6,1)))/Inputs!$B$43),G177*Q177))*IF(Inputs!$B$38="pvp",1,1+(Inputs!$B$20+0+Skills!P6)/100),0)</f>
        <v/>
      </c>
      <c r="V177">
        <f>IF(C177,(H177*N177*IF(AND(Inputs!$B$38&lt;&gt;"pvp",Inputs!$B$43&gt;0),((Skills!G6*((R177-1)*IF(Skills!H6&gt;0,Skills!I6/Skills!H6,1)+IF(Skills!H6&gt;0,MIN(Skills!I6,MAX(0,MAX(0,Inputs!$B$43-B211)-((R177-1)*IF(Inputs!$B$38="pvp",15,MAX(0.1,Skills!D6-IF(Skills!E6=TRUE,Inputs!$B$32,0))))))/Skills!H6,1)))/Inputs!$B$43),G177*Q177))*IF(Inputs!$B$38="pvp",1,(1+(Inputs!$B$21+Skills!Q6)/100)*(MIN(Skills!R6,Inputs!$B$37))),0)</f>
        <v/>
      </c>
    </row>
    <row r="178">
      <c r="A178">
        <f>Skills!A7</f>
        <v/>
      </c>
      <c r="B178">
        <f>Skills!B7</f>
        <v/>
      </c>
      <c r="C178">
        <f>Inputs!$B$3&gt;=107</f>
        <v/>
      </c>
      <c r="D178">
        <f>IF(Skills!C7=1,60+Inputs!$B$25+Inputs!$B$29,IF(Skills!C7=2,90+Inputs!$B$26+Inputs!$B$29,IF(Skills!C7=3,120+Inputs!$B$27+Inputs!$B$29,MAX(0,(Inputs!$B$3-100)*3)+Inputs!$B$28+Inputs!$B$29)))</f>
        <v/>
      </c>
      <c r="E178">
        <f>INDEX(FactorTable!$B$2:$Y$301, MATCH(ROUND(MIN(300,MAX(1,D178)),0), FactorTable!$A$2:$A$301,0), Skills!M7+1)</f>
        <v/>
      </c>
      <c r="F178">
        <f>IF(Skills!N7=TRUE,(Skills!L7/10)*(E178/1000),Skills!L7/10)+Skills!O7</f>
        <v/>
      </c>
      <c r="G178" t="inlineStr"/>
      <c r="H178" t="inlineStr"/>
      <c r="I178" t="inlineStr">
        <is>
          <t>1</t>
        </is>
      </c>
      <c r="J178" t="inlineStr"/>
      <c r="K178" t="inlineStr"/>
      <c r="L178" t="inlineStr"/>
      <c r="M178" t="inlineStr"/>
      <c r="N178" t="inlineStr"/>
      <c r="O178" t="inlineStr"/>
      <c r="P178" t="inlineStr"/>
      <c r="Q178" t="inlineStr"/>
      <c r="R178" t="inlineStr"/>
      <c r="S178" t="inlineStr"/>
      <c r="T178" t="inlineStr"/>
      <c r="V178" t="inlineStr"/>
    </row>
    <row r="179">
      <c r="A179">
        <f>Skills!A8</f>
        <v/>
      </c>
      <c r="B179">
        <f>Skills!B8</f>
        <v/>
      </c>
      <c r="C179">
        <f>Inputs!$B$3&gt;=69</f>
        <v/>
      </c>
      <c r="D179">
        <f>IF(Skills!C8=1,60+Inputs!$B$25+Inputs!$B$29,IF(Skills!C8=2,90+Inputs!$B$26+Inputs!$B$29,IF(Skills!C8=3,120+Inputs!$B$27+Inputs!$B$29,MAX(0,(Inputs!$B$3-100)*3)+Inputs!$B$28+Inputs!$B$29)))</f>
        <v/>
      </c>
      <c r="E179">
        <f>INDEX(FactorTable!$B$2:$Y$301, MATCH(ROUND(MIN(300,MAX(1,D179)),0), FactorTable!$A$2:$A$301,0), Skills!M8+1)</f>
        <v/>
      </c>
      <c r="F179">
        <f>IF(Skills!N8=TRUE,(Skills!L8/10)*(E179/1000),Skills!L8/10)+Skills!O8</f>
        <v/>
      </c>
      <c r="G179">
        <f>Skills!G8*IF(Skills!H8&gt;0,Skills!I8/Skills!H8,1)</f>
        <v/>
      </c>
      <c r="H179">
        <f>1-(1-Skills!J8/100)^Skills!K8</f>
        <v/>
      </c>
      <c r="I179" t="inlineStr">
        <is>
          <t>1</t>
        </is>
      </c>
      <c r="J179">
        <f>((Inputs!$B$6*(1+Inputs!$B$7/100))+(((Inputs!$B$12*(1+Inputs!$B$13/100))-(Inputs!$B$12*(1+Inputs!$B$13/100)))+0.25*(Inputs!$B$14-Inputs!$B$14))*(1+Inputs!$B$7/100))*(F179/100)</f>
        <v/>
      </c>
      <c r="K179">
        <f>J179*(1+((Inputs!$B$12*(1+Inputs!$B$13/100))*0.01+Inputs!$B$14*0.0025)/100)*(1+(Inputs!$B$15+1)/100)*(1+Inputs!$B$16/100)*(5000/(6000+Inputs!$B$42*(1-(Inputs!$B$19+((C198=TRUE)*(F198-Calc!F27)))/100)))*(1+(Inputs!$B$24+((C196=TRUE)*(F196-Calc!F25))+((C197=TRUE)*(F197-Calc!F26))+B210)/100)*(1+1.2*IF(C181=TRUE,F181,0)/100)*(1+(IF(Skills!A8="ARROW_STREAM",Inputs!$B$17+((C194=TRUE)*(F194-Calc!F23)),Inputs!$B$18+((C199=TRUE)*(F199-Calc!F28))))/100)*((1+(((C184=TRUE)*F184)+((C185=TRUE)*IF(Inputs!$B$38="pvp",F185,(1-Summary!$B$55)*(F185)+Summary!$B$55*(0)))+((C186=TRUE)*F186*IF(AND(Inputs!$B$38&lt;&gt;"pvp",Inputs!$B$43&gt;0),(((R186-1)*(Skills!T15*(1+Inputs!$B$34/100))+MIN((Skills!T15*(1+Inputs!$B$34/100)),MAX(0,Inputs!$B$43-((R186-1)*Skills!D15))))/Inputs!$B$43),IF(Inputs!$B$38="pvp",MIN((Skills!T15*(1+Inputs!$B$34/100)),15)/15,(Skills!T15*(1+Inputs!$B$34/100))/Skills!D15)))+((C201=TRUE)*(F201-Calc!F30)))/100)*I179)</f>
        <v/>
      </c>
      <c r="L179">
        <f>K179*(MIN(Inputs!$B$22+((C195=TRUE)*(F195-Calc!F24)),Inputs!$B$23+((C200=TRUE)*(F200-Calc!F29)))/100+(Inputs!$B$23+((C200=TRUE)*(F200-Calc!F29)))/100)/2</f>
        <v/>
      </c>
      <c r="M179">
        <f>L179*(1+(Inputs!$B$10+0+B209)/100)</f>
        <v/>
      </c>
      <c r="N179">
        <f>L179*(1-MIN((Inputs!$B$9+((C191=TRUE)*(F191-Calc!F20))+B204),100)/100)+M179*(MIN((Inputs!$B$9+((C191=TRUE)*(F191-Calc!F20))+B204),100)/100)</f>
        <v/>
      </c>
      <c r="O179">
        <f>(1-Summary!$B$55)*T179+Summary!$B$55*V179</f>
        <v/>
      </c>
      <c r="P179">
        <f>IF(B214=0,0,O179/B214)</f>
        <v/>
      </c>
      <c r="Q179">
        <f>IFERROR(1/IF(Inputs!$B$38="pvp",15,MAX(0.1,Skills!D8-IF(Skills!E8=TRUE,Inputs!$B$32,0))),0)</f>
        <v/>
      </c>
      <c r="R179">
        <f>IF(AND(Inputs!$B$38&lt;&gt;"pvp",Inputs!$B$43&gt;0),IF(MAX(0,Inputs!$B$43-B211)&lt;=0,0,(INT(MAX(0,Inputs!$B$43-B211)/IF(Inputs!$B$38="pvp",15,MAX(0.1,Skills!D8-IF(Skills!E8=TRUE,Inputs!$B$32,0))))+1)),0)</f>
        <v/>
      </c>
      <c r="S179">
        <f>IFERROR(O179/N179,0)</f>
        <v/>
      </c>
      <c r="T179">
        <f>IF(C179,(H179*N179*IF(AND(Inputs!$B$38&lt;&gt;"pvp",Inputs!$B$43&gt;0),((Skills!G8*((R179-1)*IF(Skills!H8&gt;0,Skills!I8/Skills!H8,1)+IF(Skills!H8&gt;0,MIN(Skills!I8,MAX(0,MAX(0,Inputs!$B$43-B211)-((R179-1)*IF(Inputs!$B$38="pvp",15,MAX(0.1,Skills!D8-IF(Skills!E8=TRUE,Inputs!$B$32,0))))))/Skills!H8,1)))/Inputs!$B$43),G179*Q179))*IF(Inputs!$B$38="pvp",1,1+(Inputs!$B$20+0+Skills!P8)/100),0)</f>
        <v/>
      </c>
      <c r="V179">
        <f>IF(C179,(H179*N179*IF(AND(Inputs!$B$38&lt;&gt;"pvp",Inputs!$B$43&gt;0),((Skills!G8*((R179-1)*IF(Skills!H8&gt;0,Skills!I8/Skills!H8,1)+IF(Skills!H8&gt;0,MIN(Skills!I8,MAX(0,MAX(0,Inputs!$B$43-B211)-((R179-1)*IF(Inputs!$B$38="pvp",15,MAX(0.1,Skills!D8-IF(Skills!E8=TRUE,Inputs!$B$32,0))))))/Skills!H8,1)))/Inputs!$B$43),G179*Q179))*IF(Inputs!$B$38="pvp",1,(1+(Inputs!$B$21+Skills!Q8)/100)*(MIN(Skills!R8,Inputs!$B$37))),0)</f>
        <v/>
      </c>
    </row>
    <row r="180">
      <c r="A180">
        <f>Skills!A9</f>
        <v/>
      </c>
      <c r="B180">
        <f>Skills!B9</f>
        <v/>
      </c>
      <c r="C180">
        <f>Inputs!$B$3&gt;=63</f>
        <v/>
      </c>
      <c r="D180">
        <f>IF(Skills!C9=1,60+Inputs!$B$25+Inputs!$B$29,IF(Skills!C9=2,90+Inputs!$B$26+Inputs!$B$29,IF(Skills!C9=3,120+Inputs!$B$27+Inputs!$B$29,MAX(0,(Inputs!$B$3-100)*3)+Inputs!$B$28+Inputs!$B$29)))</f>
        <v/>
      </c>
      <c r="E180">
        <f>INDEX(FactorTable!$B$2:$Y$301, MATCH(ROUND(MIN(300,MAX(1,D180)),0), FactorTable!$A$2:$A$301,0), Skills!M9+1)</f>
        <v/>
      </c>
      <c r="F180">
        <f>IF(Skills!N9=TRUE,(Skills!L9/10)*(E180/1000),Skills!L9/10)+Skills!O9</f>
        <v/>
      </c>
      <c r="G180">
        <f>Skills!G9*IF(Skills!H9&gt;0,Skills!I9/Skills!H9,1)</f>
        <v/>
      </c>
      <c r="H180">
        <f>1-(1-Skills!J9/100)^Skills!K9</f>
        <v/>
      </c>
      <c r="I180" t="inlineStr">
        <is>
          <t>1</t>
        </is>
      </c>
      <c r="J180">
        <f>((Inputs!$B$6*(1+Inputs!$B$7/100))+(((Inputs!$B$12*(1+Inputs!$B$13/100))-(Inputs!$B$12*(1+Inputs!$B$13/100)))+0.25*(Inputs!$B$14-Inputs!$B$14))*(1+Inputs!$B$7/100))*(F180/100)</f>
        <v/>
      </c>
      <c r="K180">
        <f>J180*(1+((Inputs!$B$12*(1+Inputs!$B$13/100))*0.01+Inputs!$B$14*0.0025)/100)*(1+(Inputs!$B$15+1)/100)*(1+Inputs!$B$16/100)*(5000/(6000+Inputs!$B$42*(1-(Inputs!$B$19+((C198=TRUE)*(F198-Calc!F27)))/100)))*(1+(Inputs!$B$24+((C196=TRUE)*(F196-Calc!F25))+((C197=TRUE)*(F197-Calc!F26))+B210)/100)*(1+1.0*IF(C181=TRUE,F181,0)/100)*(1+(IF(Skills!A9="ARROW_STREAM",Inputs!$B$17+((C194=TRUE)*(F194-Calc!F23)),Inputs!$B$18+((C199=TRUE)*(F199-Calc!F28))))/100)*((1+(((C184=TRUE)*F184)+((C185=TRUE)*IF(Inputs!$B$38="pvp",F185,(1-Summary!$B$55)*(F185)+Summary!$B$55*(0)))+((C186=TRUE)*F186*IF(AND(Inputs!$B$38&lt;&gt;"pvp",Inputs!$B$43&gt;0),(((R186-1)*(Skills!T15*(1+Inputs!$B$34/100))+MIN((Skills!T15*(1+Inputs!$B$34/100)),MAX(0,Inputs!$B$43-((R186-1)*Skills!D15))))/Inputs!$B$43),IF(Inputs!$B$38="pvp",MIN((Skills!T15*(1+Inputs!$B$34/100)),15)/15,(Skills!T15*(1+Inputs!$B$34/100))/Skills!D15)))+((C201=TRUE)*(F201-Calc!F30)))/100)*I180)</f>
        <v/>
      </c>
      <c r="L180">
        <f>K180*(MIN(Inputs!$B$22+((C195=TRUE)*(F195-Calc!F24)),Inputs!$B$23+((C200=TRUE)*(F200-Calc!F29)))/100+(Inputs!$B$23+((C200=TRUE)*(F200-Calc!F29)))/100)/2</f>
        <v/>
      </c>
      <c r="M180">
        <f>L180*(1+(Inputs!$B$10+0+B209)/100)</f>
        <v/>
      </c>
      <c r="N180">
        <f>L180*(1-MIN((Inputs!$B$9+((C191=TRUE)*(F191-Calc!F20))+B204),100)/100)+M180*(MIN((Inputs!$B$9+((C191=TRUE)*(F191-Calc!F20))+B204),100)/100)</f>
        <v/>
      </c>
      <c r="O180">
        <f>(1-Summary!$B$55)*T180+Summary!$B$55*V180</f>
        <v/>
      </c>
      <c r="P180">
        <f>IF(B214=0,0,O180/B214)</f>
        <v/>
      </c>
      <c r="Q180">
        <f>IFERROR(1/IF(Inputs!$B$38="pvp",15,MAX(0.1,Skills!D9-IF(Skills!E9=TRUE,Inputs!$B$32,0))),0)</f>
        <v/>
      </c>
      <c r="R180">
        <f>IF(AND(Inputs!$B$38&lt;&gt;"pvp",Inputs!$B$43&gt;0),IF(MAX(0,Inputs!$B$43-B211)&lt;=0,0,(INT(MAX(0,Inputs!$B$43-B211)/IF(Inputs!$B$38="pvp",15,MAX(0.1,Skills!D9-IF(Skills!E9=TRUE,Inputs!$B$32,0))))+1)),0)</f>
        <v/>
      </c>
      <c r="S180">
        <f>IFERROR(O180/N180,0)</f>
        <v/>
      </c>
      <c r="T180">
        <f>IF(C180,(H180*N180*IF(AND(Inputs!$B$38&lt;&gt;"pvp",Inputs!$B$43&gt;0),((Skills!G9*((R180-1)*IF(Skills!H9&gt;0,Skills!I9/Skills!H9,1)+IF(Skills!H9&gt;0,MIN(Skills!I9,MAX(0,MAX(0,Inputs!$B$43-B211)-((R180-1)*IF(Inputs!$B$38="pvp",15,MAX(0.1,Skills!D9-IF(Skills!E9=TRUE,Inputs!$B$32,0))))))/Skills!H9,1)))/Inputs!$B$43),G180*Q180))*IF(Inputs!$B$38="pvp",1,1+(Inputs!$B$20+0+Skills!P9)/100),0)</f>
        <v/>
      </c>
      <c r="V180">
        <f>IF(C180,(H180*N180*IF(AND(Inputs!$B$38&lt;&gt;"pvp",Inputs!$B$43&gt;0),((Skills!G9*((R180-1)*IF(Skills!H9&gt;0,Skills!I9/Skills!H9,1)+IF(Skills!H9&gt;0,MIN(Skills!I9,MAX(0,MAX(0,Inputs!$B$43-B211)-((R180-1)*IF(Inputs!$B$38="pvp",15,MAX(0.1,Skills!D9-IF(Skills!E9=TRUE,Inputs!$B$32,0))))))/Skills!H9,1)))/Inputs!$B$43),G180*Q180))*IF(Inputs!$B$38="pvp",1,(1+(Inputs!$B$21+Skills!Q9)/100)*(MIN(Skills!R9,Inputs!$B$37))),0)</f>
        <v/>
      </c>
    </row>
    <row r="181">
      <c r="A181">
        <f>Skills!A10</f>
        <v/>
      </c>
      <c r="B181">
        <f>Skills!B10</f>
        <v/>
      </c>
      <c r="C181">
        <f>Inputs!$B$3&gt;=100</f>
        <v/>
      </c>
      <c r="D181">
        <f>IF(Skills!C10=1,60+Inputs!$B$25+Inputs!$B$29,IF(Skills!C10=2,90+Inputs!$B$26+Inputs!$B$29,IF(Skills!C10=3,120+Inputs!$B$27+Inputs!$B$29,MAX(0,(Inputs!$B$3-100)*3)+Inputs!$B$28+Inputs!$B$29)))</f>
        <v/>
      </c>
      <c r="E181">
        <f>INDEX(FactorTable!$B$2:$Y$301, MATCH(ROUND(MIN(300,MAX(1,D181)),0), FactorTable!$A$2:$A$301,0), Skills!M10+1)</f>
        <v/>
      </c>
      <c r="F181">
        <f>IF(Skills!N10=TRUE,(Skills!L10/10)*(E181/1000),Skills!L10/10)+Skills!O10</f>
        <v/>
      </c>
      <c r="G181" t="inlineStr"/>
      <c r="H181" t="inlineStr"/>
      <c r="I181" t="inlineStr">
        <is>
          <t>1</t>
        </is>
      </c>
      <c r="J181" t="inlineStr"/>
      <c r="K181" t="inlineStr"/>
      <c r="L181" t="inlineStr"/>
      <c r="M181" t="inlineStr"/>
      <c r="N181" t="inlineStr"/>
      <c r="O181" t="inlineStr"/>
      <c r="P181" t="inlineStr"/>
      <c r="Q181" t="inlineStr"/>
      <c r="R181" t="inlineStr"/>
      <c r="S181" t="inlineStr"/>
      <c r="T181" t="inlineStr"/>
      <c r="V181" t="inlineStr"/>
    </row>
    <row r="182">
      <c r="A182">
        <f>Skills!A11</f>
        <v/>
      </c>
      <c r="B182">
        <f>Skills!B11</f>
        <v/>
      </c>
      <c r="C182">
        <f>Inputs!$B$3&gt;=60</f>
        <v/>
      </c>
      <c r="D182">
        <f>IF(Skills!C11=1,60+Inputs!$B$25+Inputs!$B$29,IF(Skills!C11=2,90+Inputs!$B$26+Inputs!$B$29,IF(Skills!C11=3,120+Inputs!$B$27+Inputs!$B$29,MAX(0,(Inputs!$B$3-100)*3)+Inputs!$B$28+Inputs!$B$29)))</f>
        <v/>
      </c>
      <c r="E182">
        <f>INDEX(FactorTable!$B$2:$Y$301, MATCH(ROUND(MIN(300,MAX(1,D182)),0), FactorTable!$A$2:$A$301,0), Skills!M11+1)</f>
        <v/>
      </c>
      <c r="F182">
        <f>IF(Skills!N11=TRUE,(Skills!L11/10)*(E182/1000),Skills!L11/10)+Skills!O11</f>
        <v/>
      </c>
      <c r="G182">
        <f>Skills!G11*IF(Skills!H11&gt;0,Skills!I11/Skills!H11,1)</f>
        <v/>
      </c>
      <c r="H182">
        <f>1-(1-Skills!J11/100)^Skills!K11</f>
        <v/>
      </c>
      <c r="I182" t="inlineStr">
        <is>
          <t>1</t>
        </is>
      </c>
      <c r="J182">
        <f>((Inputs!$B$6*(1+Inputs!$B$7/100))+(((Inputs!$B$12*(1+Inputs!$B$13/100))-(Inputs!$B$12*(1+Inputs!$B$13/100)))+0.25*(Inputs!$B$14-Inputs!$B$14))*(1+Inputs!$B$7/100))*(F182/100)</f>
        <v/>
      </c>
      <c r="K182">
        <f>J182*(1+((Inputs!$B$12*(1+Inputs!$B$13/100))*0.01+Inputs!$B$14*0.0025)/100)*(1+(Inputs!$B$15+1)/100)*(1+Inputs!$B$16/100)*(5000/(6000+Inputs!$B$42*(1-(Inputs!$B$19+((C198=TRUE)*(F198-Calc!F27)))/100)))*(1+(Inputs!$B$24+((C196=TRUE)*(F196-Calc!F25))+((C197=TRUE)*(F197-Calc!F26))+B210)/100)*(1+IF(C183=TRUE,F183,0)/100)*(1+(IF(Skills!A11="ARROW_STREAM",Inputs!$B$17+((C194=TRUE)*(F194-Calc!F23)),Inputs!$B$18+((C199=TRUE)*(F199-Calc!F28))))/100)*((1+(((C184=TRUE)*F184)+((C185=TRUE)*IF(Inputs!$B$38="pvp",F185,(1-Summary!$B$55)*(F185)+Summary!$B$55*(0)))+((C186=TRUE)*F186*IF(AND(Inputs!$B$38&lt;&gt;"pvp",Inputs!$B$43&gt;0),(((R186-1)*(Skills!T15*(1+Inputs!$B$34/100))+MIN((Skills!T15*(1+Inputs!$B$34/100)),MAX(0,Inputs!$B$43-((R186-1)*Skills!D15))))/Inputs!$B$43),IF(Inputs!$B$38="pvp",MIN((Skills!T15*(1+Inputs!$B$34/100)),15)/15,(Skills!T15*(1+Inputs!$B$34/100))/Skills!D15)))+((C201=TRUE)*(F201-Calc!F30)))/100)*I182)</f>
        <v/>
      </c>
      <c r="L182">
        <f>K182*(MIN(Inputs!$B$22+((C195=TRUE)*(F195-Calc!F24)),Inputs!$B$23+((C200=TRUE)*(F200-Calc!F29)))/100+(Inputs!$B$23+((C200=TRUE)*(F200-Calc!F29)))/100)/2</f>
        <v/>
      </c>
      <c r="M182">
        <f>L182*(1+(Inputs!$B$10+0+B209)/100)</f>
        <v/>
      </c>
      <c r="N182">
        <f>L182*(1-MIN((Inputs!$B$9+((C191=TRUE)*(F191-Calc!F20))+B204),100)/100)+M182*(MIN((Inputs!$B$9+((C191=TRUE)*(F191-Calc!F20))+B204),100)/100)</f>
        <v/>
      </c>
      <c r="O182">
        <f>(1-Summary!$B$55)*T182+Summary!$B$55*V182</f>
        <v/>
      </c>
      <c r="P182">
        <f>IF(B214=0,0,O182/B214)</f>
        <v/>
      </c>
      <c r="Q182">
        <f>IFERROR(1/IF(Inputs!$B$38="pvp",15,MAX(0.1,Skills!D11-IF(Skills!E11=TRUE,Inputs!$B$32,0))),0)</f>
        <v/>
      </c>
      <c r="R182">
        <f>IF(AND(Inputs!$B$38&lt;&gt;"pvp",Inputs!$B$43&gt;0),IF(MAX(0,Inputs!$B$43-B211)&lt;=0,0,(INT(MAX(0,Inputs!$B$43-B211)/IF(Inputs!$B$38="pvp",15,MAX(0.1,Skills!D11-IF(Skills!E11=TRUE,Inputs!$B$32,0))))+1)),0)</f>
        <v/>
      </c>
      <c r="S182">
        <f>IFERROR(O182/N182,0)</f>
        <v/>
      </c>
      <c r="T182">
        <f>IF(C182,(H182*N182*IF(AND(Inputs!$B$38&lt;&gt;"pvp",Inputs!$B$43&gt;0),((Skills!G11*((R182-1)*IF(Skills!H11&gt;0,Skills!I11/Skills!H11,1)+IF(Skills!H11&gt;0,MIN(Skills!I11,MAX(0,MAX(0,Inputs!$B$43-B211)-((R182-1)*IF(Inputs!$B$38="pvp",15,MAX(0.1,Skills!D11-IF(Skills!E11=TRUE,Inputs!$B$32,0))))))/Skills!H11,1)))/Inputs!$B$43),G182*Q182))*IF(Inputs!$B$38="pvp",1,1+(Inputs!$B$20+0+Skills!P11)/100),0)</f>
        <v/>
      </c>
      <c r="V182">
        <f>IF(C182,(H182*N182*IF(AND(Inputs!$B$38&lt;&gt;"pvp",Inputs!$B$43&gt;0),((Skills!G11*((R182-1)*IF(Skills!H11&gt;0,Skills!I11/Skills!H11,1)+IF(Skills!H11&gt;0,MIN(Skills!I11,MAX(0,MAX(0,Inputs!$B$43-B211)-((R182-1)*IF(Inputs!$B$38="pvp",15,MAX(0.1,Skills!D11-IF(Skills!E11=TRUE,Inputs!$B$32,0))))))/Skills!H11,1)))/Inputs!$B$43),G182*Q182))*IF(Inputs!$B$38="pvp",1,(1+(Inputs!$B$21+Skills!Q11)/100)*(MIN(Skills!R11,Inputs!$B$37))),0)</f>
        <v/>
      </c>
    </row>
    <row r="183">
      <c r="A183">
        <f>Skills!A12</f>
        <v/>
      </c>
      <c r="B183">
        <f>Skills!B12</f>
        <v/>
      </c>
      <c r="C183">
        <f>Inputs!$B$3&gt;=110</f>
        <v/>
      </c>
      <c r="D183">
        <f>IF(Skills!C12=1,60+Inputs!$B$25+Inputs!$B$29,IF(Skills!C12=2,90+Inputs!$B$26+Inputs!$B$29,IF(Skills!C12=3,120+Inputs!$B$27+Inputs!$B$29,MAX(0,(Inputs!$B$3-100)*3)+Inputs!$B$28+Inputs!$B$29)))</f>
        <v/>
      </c>
      <c r="E183">
        <f>INDEX(FactorTable!$B$2:$Y$301, MATCH(ROUND(MIN(300,MAX(1,D183)),0), FactorTable!$A$2:$A$301,0), Skills!M12+1)</f>
        <v/>
      </c>
      <c r="F183">
        <f>IF(Skills!N12=TRUE,(Skills!L12/10)*(E183/1000),Skills!L12/10)+Skills!O12</f>
        <v/>
      </c>
      <c r="G183" t="inlineStr"/>
      <c r="H183" t="inlineStr"/>
      <c r="I183" t="inlineStr">
        <is>
          <t>1</t>
        </is>
      </c>
      <c r="J183" t="inlineStr"/>
      <c r="K183" t="inlineStr"/>
      <c r="L183" t="inlineStr"/>
      <c r="M183" t="inlineStr"/>
      <c r="N183" t="inlineStr"/>
      <c r="O183" t="inlineStr"/>
      <c r="P183" t="inlineStr"/>
      <c r="Q183" t="inlineStr"/>
      <c r="R183" t="inlineStr"/>
      <c r="S183" t="inlineStr"/>
      <c r="T183" t="inlineStr"/>
      <c r="V183" t="inlineStr"/>
    </row>
    <row r="184">
      <c r="A184">
        <f>Skills!A13</f>
        <v/>
      </c>
      <c r="B184">
        <f>Skills!B13</f>
        <v/>
      </c>
      <c r="C184">
        <f>Inputs!$B$3&gt;=74</f>
        <v/>
      </c>
      <c r="D184">
        <f>IF(Skills!C13=1,60+Inputs!$B$25+Inputs!$B$29,IF(Skills!C13=2,90+Inputs!$B$26+Inputs!$B$29,IF(Skills!C13=3,120+Inputs!$B$27+Inputs!$B$29,MAX(0,(Inputs!$B$3-100)*3)+Inputs!$B$28+Inputs!$B$29)))</f>
        <v/>
      </c>
      <c r="E184">
        <f>INDEX(FactorTable!$B$2:$Y$301, MATCH(ROUND(MIN(300,MAX(1,D184)),0), FactorTable!$A$2:$A$301,0), Skills!M13+1)</f>
        <v/>
      </c>
      <c r="F184">
        <f>IF(Skills!N13=TRUE,(Skills!L13/10)*(E184/1000),Skills!L13/10)+Skills!O13</f>
        <v/>
      </c>
      <c r="G184">
        <f>Skills!G13*IF(Skills!H13&gt;0,Skills!I13/Skills!H13,1)</f>
        <v/>
      </c>
      <c r="H184">
        <f>1-(1-Skills!J13/100)^Skills!K13</f>
        <v/>
      </c>
      <c r="I184" t="inlineStr">
        <is>
          <t>1</t>
        </is>
      </c>
      <c r="J184" t="inlineStr"/>
      <c r="K184" t="inlineStr"/>
      <c r="L184" t="inlineStr"/>
      <c r="M184" t="inlineStr"/>
      <c r="N184" t="inlineStr"/>
      <c r="O184">
        <f>(1-Summary!$B$55)*T184+Summary!$B$55*V184</f>
        <v/>
      </c>
      <c r="P184">
        <f>IF(B214=0,0,O184/B214)</f>
        <v/>
      </c>
      <c r="Q184" t="n">
        <v>0</v>
      </c>
      <c r="R184" t="n">
        <v>0</v>
      </c>
      <c r="S184">
        <f>IFERROR(O184/N184,0)</f>
        <v/>
      </c>
      <c r="T184" t="n">
        <v>0</v>
      </c>
      <c r="V184" t="n">
        <v>0</v>
      </c>
    </row>
    <row r="185">
      <c r="A185">
        <f>Skills!A14</f>
        <v/>
      </c>
      <c r="B185">
        <f>Skills!B14</f>
        <v/>
      </c>
      <c r="C185">
        <f>Inputs!$B$3&gt;=74</f>
        <v/>
      </c>
      <c r="D185">
        <f>IF(Skills!C14=1,60+Inputs!$B$25+Inputs!$B$29,IF(Skills!C14=2,90+Inputs!$B$26+Inputs!$B$29,IF(Skills!C14=3,120+Inputs!$B$27+Inputs!$B$29,MAX(0,(Inputs!$B$3-100)*3)+Inputs!$B$28+Inputs!$B$29)))</f>
        <v/>
      </c>
      <c r="E185">
        <f>INDEX(FactorTable!$B$2:$Y$301, MATCH(ROUND(MIN(300,MAX(1,D185)),0), FactorTable!$A$2:$A$301,0), Skills!M14+1)</f>
        <v/>
      </c>
      <c r="F185">
        <f>IF(Skills!N14=TRUE,(Skills!L14/10)*(E185/1000),Skills!L14/10)+Skills!O14</f>
        <v/>
      </c>
      <c r="G185">
        <f>Skills!G14*IF(Skills!H14&gt;0,Skills!I14/Skills!H14,1)</f>
        <v/>
      </c>
      <c r="H185">
        <f>1-(1-Skills!J14/100)^Skills!K14</f>
        <v/>
      </c>
      <c r="I185" t="inlineStr">
        <is>
          <t>1</t>
        </is>
      </c>
      <c r="J185" t="inlineStr"/>
      <c r="K185" t="inlineStr"/>
      <c r="L185" t="inlineStr"/>
      <c r="M185" t="inlineStr"/>
      <c r="N185" t="inlineStr"/>
      <c r="O185">
        <f>(1-Summary!$B$55)*T185+Summary!$B$55*V185</f>
        <v/>
      </c>
      <c r="P185">
        <f>IF(B214=0,0,O185/B214)</f>
        <v/>
      </c>
      <c r="Q185" t="n">
        <v>0</v>
      </c>
      <c r="R185" t="n">
        <v>0</v>
      </c>
      <c r="S185">
        <f>IFERROR(O185/N185,0)</f>
        <v/>
      </c>
      <c r="T185" t="n">
        <v>0</v>
      </c>
      <c r="V185" t="n">
        <v>0</v>
      </c>
    </row>
    <row r="186">
      <c r="A186">
        <f>Skills!A15</f>
        <v/>
      </c>
      <c r="B186">
        <f>Skills!B15</f>
        <v/>
      </c>
      <c r="C186">
        <f>Inputs!$B$3&gt;=117</f>
        <v/>
      </c>
      <c r="D186">
        <f>IF(Skills!C15=1,60+Inputs!$B$25+Inputs!$B$29,IF(Skills!C15=2,90+Inputs!$B$26+Inputs!$B$29,IF(Skills!C15=3,120+Inputs!$B$27+Inputs!$B$29,MAX(0,(Inputs!$B$3-100)*3)+Inputs!$B$28+Inputs!$B$29)))</f>
        <v/>
      </c>
      <c r="E186">
        <f>INDEX(FactorTable!$B$2:$Y$301, MATCH(ROUND(MIN(300,MAX(1,D186)),0), FactorTable!$A$2:$A$301,0), Skills!M15+1)</f>
        <v/>
      </c>
      <c r="F186">
        <f>IF(Skills!N15=TRUE,(Skills!L15/10)*(E186/1000),Skills!L15/10)+Skills!O15</f>
        <v/>
      </c>
      <c r="G186">
        <f>Skills!G15*IF(Skills!H15&gt;0,Skills!I15/Skills!H15,1)</f>
        <v/>
      </c>
      <c r="H186">
        <f>1-(1-Skills!J15/100)^Skills!K15</f>
        <v/>
      </c>
      <c r="I186" t="inlineStr">
        <is>
          <t>1</t>
        </is>
      </c>
      <c r="J186" t="inlineStr"/>
      <c r="K186" t="inlineStr"/>
      <c r="L186" t="inlineStr"/>
      <c r="M186" t="inlineStr"/>
      <c r="N186" t="inlineStr"/>
      <c r="O186">
        <f>(1-Summary!$B$55)*T186+Summary!$B$55*V186</f>
        <v/>
      </c>
      <c r="P186">
        <f>IF(B214=0,0,O186/B214)</f>
        <v/>
      </c>
      <c r="Q186">
        <f>IFERROR(1/IF(Inputs!$B$38="pvp",15,MAX(0.1,Skills!D15-IF(Skills!E15=TRUE,Inputs!$B$32,0))),0)</f>
        <v/>
      </c>
      <c r="R186">
        <f>IF(AND(Inputs!$B$38&lt;&gt;"pvp",Inputs!$B$43&gt;0),IF(Inputs!$B$43&lt;=0,0,(INT(Inputs!$B$43/IF(Inputs!$B$38="pvp",15,MAX(0.1,Skills!D15-IF(Skills!E15=TRUE,Inputs!$B$32,0))))+1)),0)</f>
        <v/>
      </c>
      <c r="S186">
        <f>IFERROR(O186/N186,0)</f>
        <v/>
      </c>
      <c r="T186" t="n">
        <v>0</v>
      </c>
      <c r="V186" t="n">
        <v>0</v>
      </c>
    </row>
    <row r="187">
      <c r="A187">
        <f>Skills!A16</f>
        <v/>
      </c>
      <c r="B187">
        <f>Skills!B16</f>
        <v/>
      </c>
      <c r="C187">
        <f>Inputs!$B$3&gt;=115</f>
        <v/>
      </c>
      <c r="D187">
        <f>IF(Skills!C16=1,60+Inputs!$B$25+Inputs!$B$29,IF(Skills!C16=2,90+Inputs!$B$26+Inputs!$B$29,IF(Skills!C16=3,120+Inputs!$B$27+Inputs!$B$29,MAX(0,(Inputs!$B$3-100)*3)+Inputs!$B$28+Inputs!$B$29)))</f>
        <v/>
      </c>
      <c r="E187">
        <f>INDEX(FactorTable!$B$2:$Y$301, MATCH(ROUND(MIN(300,MAX(1,D187)),0), FactorTable!$A$2:$A$301,0), Skills!M16+1)</f>
        <v/>
      </c>
      <c r="F187">
        <f>IF(Skills!N16=TRUE,(Skills!L16/10)*(E187/1000),Skills!L16/10)+Skills!O16</f>
        <v/>
      </c>
      <c r="G187">
        <f>Skills!G16*IF(Skills!H16&gt;0,Skills!I16/Skills!H16,1)</f>
        <v/>
      </c>
      <c r="H187">
        <f>1-(1-Skills!J16/100)^Skills!K16</f>
        <v/>
      </c>
      <c r="I187" t="inlineStr">
        <is>
          <t>1</t>
        </is>
      </c>
      <c r="J187" t="inlineStr"/>
      <c r="K187" t="inlineStr"/>
      <c r="L187" t="inlineStr"/>
      <c r="M187" t="inlineStr"/>
      <c r="N187" t="inlineStr"/>
      <c r="O187">
        <f>(1-Summary!$B$55)*T187+Summary!$B$55*V187</f>
        <v/>
      </c>
      <c r="P187">
        <f>IF(B214=0,0,O187/B214)</f>
        <v/>
      </c>
      <c r="Q187">
        <f>IFERROR(1/IF(Inputs!$B$38="pvp",15,MAX(0.1,Skills!D16-IF(Skills!E16=TRUE,Inputs!$B$32,0))),0)</f>
        <v/>
      </c>
      <c r="R187">
        <f>IF(AND(Inputs!$B$38&lt;&gt;"pvp",Inputs!$B$43&gt;0),IF(Inputs!$B$43&lt;=0,0,(INT(Inputs!$B$43/IF(Inputs!$B$38="pvp",15,MAX(0.1,Skills!D16-IF(Skills!E16=TRUE,Inputs!$B$32,0))))+1)),0)</f>
        <v/>
      </c>
      <c r="S187">
        <f>IFERROR(O187/N187,0)</f>
        <v/>
      </c>
      <c r="T187" t="n">
        <v>0</v>
      </c>
      <c r="V187" t="n">
        <v>0</v>
      </c>
    </row>
    <row r="188">
      <c r="A188">
        <f>Skills!A17</f>
        <v/>
      </c>
      <c r="B188">
        <f>Skills!B17</f>
        <v/>
      </c>
      <c r="C188">
        <f>Inputs!$B$3&gt;=66</f>
        <v/>
      </c>
      <c r="D188">
        <f>IF(Skills!C17=1,60+Inputs!$B$25+Inputs!$B$29,IF(Skills!C17=2,90+Inputs!$B$26+Inputs!$B$29,IF(Skills!C17=3,120+Inputs!$B$27+Inputs!$B$29,MAX(0,(Inputs!$B$3-100)*3)+Inputs!$B$28+Inputs!$B$29)))</f>
        <v/>
      </c>
      <c r="E188">
        <f>INDEX(FactorTable!$B$2:$Y$301, MATCH(ROUND(MIN(300,MAX(1,D188)),0), FactorTable!$A$2:$A$301,0), Skills!M17+1)</f>
        <v/>
      </c>
      <c r="F188">
        <f>IF(Skills!N17=TRUE,(Skills!L17/10)*(E188/1000),Skills!L17/10)+Skills!O17</f>
        <v/>
      </c>
      <c r="G188">
        <f>Skills!G17*IF(Skills!H17&gt;0,Skills!I17/Skills!H17,1)</f>
        <v/>
      </c>
      <c r="H188">
        <f>1-(1-Skills!J17/100)^Skills!K17</f>
        <v/>
      </c>
      <c r="I188" t="inlineStr">
        <is>
          <t>1</t>
        </is>
      </c>
      <c r="J188" t="inlineStr"/>
      <c r="K188" t="inlineStr"/>
      <c r="L188" t="inlineStr"/>
      <c r="M188" t="inlineStr"/>
      <c r="N188" t="inlineStr"/>
      <c r="O188">
        <f>(1-Summary!$B$55)*T188+Summary!$B$55*V188</f>
        <v/>
      </c>
      <c r="P188">
        <f>IF(B214=0,0,O188/B214)</f>
        <v/>
      </c>
      <c r="Q188" t="n">
        <v>0</v>
      </c>
      <c r="R188" t="n">
        <v>0</v>
      </c>
      <c r="S188">
        <f>IFERROR(O188/N188,0)</f>
        <v/>
      </c>
      <c r="T188" t="n">
        <v>0</v>
      </c>
      <c r="V188" t="n">
        <v>0</v>
      </c>
    </row>
    <row r="189">
      <c r="A189">
        <f>Skills!A18</f>
        <v/>
      </c>
      <c r="B189">
        <f>Skills!B18</f>
        <v/>
      </c>
      <c r="C189">
        <f>Inputs!$B$3&gt;=72</f>
        <v/>
      </c>
      <c r="D189">
        <f>IF(Skills!C18=1,60+Inputs!$B$25+Inputs!$B$29,IF(Skills!C18=2,90+Inputs!$B$26+Inputs!$B$29,IF(Skills!C18=3,120+Inputs!$B$27+Inputs!$B$29,MAX(0,(Inputs!$B$3-100)*3)+Inputs!$B$28+Inputs!$B$29)))</f>
        <v/>
      </c>
      <c r="E189">
        <f>INDEX(FactorTable!$B$2:$Y$301, MATCH(ROUND(MIN(300,MAX(1,D189)),0), FactorTable!$A$2:$A$301,0), Skills!M18+1)</f>
        <v/>
      </c>
      <c r="F189">
        <f>IF(Skills!N18=TRUE,(Skills!L18/10)*(E189/1000),Skills!L18/10)+Skills!O18</f>
        <v/>
      </c>
      <c r="G189">
        <f>Skills!G18*IF(Skills!H18&gt;0,Skills!I18/Skills!H18,1)</f>
        <v/>
      </c>
      <c r="H189">
        <f>1-(1-Skills!J18/100)^Skills!K18</f>
        <v/>
      </c>
      <c r="I189" t="inlineStr">
        <is>
          <t>1</t>
        </is>
      </c>
      <c r="J189" t="inlineStr"/>
      <c r="K189" t="inlineStr"/>
      <c r="L189" t="inlineStr"/>
      <c r="M189" t="inlineStr"/>
      <c r="N189" t="inlineStr"/>
      <c r="O189">
        <f>(1-Summary!$B$55)*T189+Summary!$B$55*V189</f>
        <v/>
      </c>
      <c r="P189">
        <f>IF(B214=0,0,O189/B214)</f>
        <v/>
      </c>
      <c r="Q189" t="n">
        <v>0</v>
      </c>
      <c r="R189" t="n">
        <v>0</v>
      </c>
      <c r="S189">
        <f>IFERROR(O189/N189,0)</f>
        <v/>
      </c>
      <c r="T189" t="n">
        <v>0</v>
      </c>
      <c r="V189" t="n">
        <v>0</v>
      </c>
    </row>
    <row r="190">
      <c r="A190">
        <f>Skills!A19</f>
        <v/>
      </c>
      <c r="B190">
        <f>Skills!B19</f>
        <v/>
      </c>
      <c r="C190">
        <f>TRUE</f>
        <v/>
      </c>
      <c r="D190">
        <f>IF(Skills!C19=1,60+Inputs!$B$25+Inputs!$B$29,IF(Skills!C19=2,90+Inputs!$B$26+Inputs!$B$29,IF(Skills!C19=3,120+Inputs!$B$27+Inputs!$B$29,MAX(0,(Inputs!$B$3-100)*3)+Inputs!$B$28+Inputs!$B$29)))</f>
        <v/>
      </c>
      <c r="E190">
        <f>INDEX(FactorTable!$B$2:$Y$301, MATCH(ROUND(MIN(300,MAX(1,D190)),0), FactorTable!$A$2:$A$301,0), Skills!M19+1)</f>
        <v/>
      </c>
      <c r="F190">
        <f>IF(Skills!N19=TRUE,(Skills!L19/10)*(E190/1000),Skills!L19/10)+Skills!O19</f>
        <v/>
      </c>
      <c r="G190">
        <f>Skills!G19*IF(Skills!H19&gt;0,Skills!I19/Skills!H19,1)</f>
        <v/>
      </c>
      <c r="H190">
        <f>1-(1-Skills!J19/100)^Skills!K19</f>
        <v/>
      </c>
      <c r="I190" t="inlineStr">
        <is>
          <t>1</t>
        </is>
      </c>
      <c r="J190" t="inlineStr"/>
      <c r="K190" t="inlineStr"/>
      <c r="L190" t="inlineStr"/>
      <c r="M190" t="inlineStr"/>
      <c r="N190" t="inlineStr"/>
      <c r="O190">
        <f>(1-Summary!$B$55)*T190+Summary!$B$55*V190</f>
        <v/>
      </c>
      <c r="P190">
        <f>IF(B214=0,0,O190/B214)</f>
        <v/>
      </c>
      <c r="Q190">
        <f>IFERROR(1/IF(Inputs!$B$38="pvp",15,MAX(0.1,Skills!D19-IF(Skills!E19=TRUE,Inputs!$B$32,0))),0)</f>
        <v/>
      </c>
      <c r="R190">
        <f>IF(AND(Inputs!$B$38&lt;&gt;"pvp",Inputs!$B$43&gt;0),IF(Inputs!$B$43&lt;=0,0,(INT(Inputs!$B$43/IF(Inputs!$B$38="pvp",15,MAX(0.1,Skills!D19-IF(Skills!E19=TRUE,Inputs!$B$32,0))))+1)),0)</f>
        <v/>
      </c>
      <c r="S190">
        <f>IFERROR(O190/N190,0)</f>
        <v/>
      </c>
      <c r="T190" t="n">
        <v>0</v>
      </c>
      <c r="V190" t="n">
        <v>0</v>
      </c>
    </row>
    <row r="191">
      <c r="A191">
        <f>Skills!A20</f>
        <v/>
      </c>
      <c r="B191">
        <f>Skills!B20</f>
        <v/>
      </c>
      <c r="C191">
        <f>Inputs!$B$3&gt;=15</f>
        <v/>
      </c>
      <c r="D191">
        <f>IF(Skills!C20=1,60+Inputs!$B$25+Inputs!$B$29,IF(Skills!C20=2,90+Inputs!$B$26+Inputs!$B$29,IF(Skills!C20=3,120+Inputs!$B$27+Inputs!$B$29,MAX(0,(Inputs!$B$3-100)*3)+Inputs!$B$28+Inputs!$B$29)))</f>
        <v/>
      </c>
      <c r="E191">
        <f>INDEX(FactorTable!$B$2:$Y$301, MATCH(ROUND(MIN(300,MAX(1,D191)),0), FactorTable!$A$2:$A$301,0), Skills!M20+1)</f>
        <v/>
      </c>
      <c r="F191">
        <f>IF(Skills!N20=TRUE,(Skills!L20/10)*(E191/1000),Skills!L20/10)+Skills!O20</f>
        <v/>
      </c>
      <c r="G191">
        <f>Skills!G20*IF(Skills!H20&gt;0,Skills!I20/Skills!H20,1)</f>
        <v/>
      </c>
      <c r="H191">
        <f>1-(1-Skills!J20/100)^Skills!K20</f>
        <v/>
      </c>
      <c r="I191" t="inlineStr">
        <is>
          <t>1</t>
        </is>
      </c>
      <c r="J191" t="inlineStr"/>
      <c r="K191" t="inlineStr"/>
      <c r="L191" t="inlineStr"/>
      <c r="M191" t="inlineStr"/>
      <c r="N191" t="inlineStr"/>
      <c r="O191">
        <f>(1-Summary!$B$55)*T191+Summary!$B$55*V191</f>
        <v/>
      </c>
      <c r="P191">
        <f>IF(B214=0,0,O191/B214)</f>
        <v/>
      </c>
      <c r="Q191" t="n">
        <v>0</v>
      </c>
      <c r="R191" t="n">
        <v>0</v>
      </c>
      <c r="S191">
        <f>IFERROR(O191/N191,0)</f>
        <v/>
      </c>
      <c r="T191" t="n">
        <v>0</v>
      </c>
      <c r="V191" t="n">
        <v>0</v>
      </c>
    </row>
    <row r="192">
      <c r="A192">
        <f>Skills!A21</f>
        <v/>
      </c>
      <c r="B192">
        <f>Skills!B21</f>
        <v/>
      </c>
      <c r="C192">
        <f>Inputs!$B$3&gt;=10</f>
        <v/>
      </c>
      <c r="D192">
        <f>IF(Skills!C21=1,60+Inputs!$B$25+Inputs!$B$29,IF(Skills!C21=2,90+Inputs!$B$26+Inputs!$B$29,IF(Skills!C21=3,120+Inputs!$B$27+Inputs!$B$29,MAX(0,(Inputs!$B$3-100)*3)+Inputs!$B$28+Inputs!$B$29)))</f>
        <v/>
      </c>
      <c r="E192">
        <f>INDEX(FactorTable!$B$2:$Y$301, MATCH(ROUND(MIN(300,MAX(1,D192)),0), FactorTable!$A$2:$A$301,0), Skills!M21+1)</f>
        <v/>
      </c>
      <c r="F192">
        <f>IF(Skills!N21=TRUE,(Skills!L21/10)*(E192/1000),Skills!L21/10)+Skills!O21</f>
        <v/>
      </c>
      <c r="G192">
        <f>Skills!G21*IF(Skills!H21&gt;0,Skills!I21/Skills!H21,1)</f>
        <v/>
      </c>
      <c r="H192">
        <f>1-(1-Skills!J21/100)^Skills!K21</f>
        <v/>
      </c>
      <c r="I192" t="inlineStr">
        <is>
          <t>1</t>
        </is>
      </c>
      <c r="J192" t="inlineStr"/>
      <c r="K192" t="inlineStr"/>
      <c r="L192" t="inlineStr"/>
      <c r="M192" t="inlineStr"/>
      <c r="N192" t="inlineStr"/>
      <c r="O192">
        <f>(1-Summary!$B$55)*T192+Summary!$B$55*V192</f>
        <v/>
      </c>
      <c r="P192">
        <f>IF(B214=0,0,O192/B214)</f>
        <v/>
      </c>
      <c r="Q192" t="n">
        <v>0</v>
      </c>
      <c r="R192" t="n">
        <v>0</v>
      </c>
      <c r="S192">
        <f>IFERROR(O192/N192,0)</f>
        <v/>
      </c>
      <c r="T192" t="n">
        <v>0</v>
      </c>
      <c r="V192" t="n">
        <v>0</v>
      </c>
    </row>
    <row r="193">
      <c r="A193">
        <f>Skills!A22</f>
        <v/>
      </c>
      <c r="B193">
        <f>Skills!B22</f>
        <v/>
      </c>
      <c r="C193">
        <f>Inputs!$B$3&gt;=33</f>
        <v/>
      </c>
      <c r="D193">
        <f>IF(Skills!C22=1,60+Inputs!$B$25+Inputs!$B$29,IF(Skills!C22=2,90+Inputs!$B$26+Inputs!$B$29,IF(Skills!C22=3,120+Inputs!$B$27+Inputs!$B$29,MAX(0,(Inputs!$B$3-100)*3)+Inputs!$B$28+Inputs!$B$29)))</f>
        <v/>
      </c>
      <c r="E193">
        <f>INDEX(FactorTable!$B$2:$Y$301, MATCH(ROUND(MIN(300,MAX(1,D193)),0), FactorTable!$A$2:$A$301,0), Skills!M22+1)</f>
        <v/>
      </c>
      <c r="F193">
        <f>IF(Skills!N22=TRUE,(Skills!L22/10)*(E193/1000),Skills!L22/10)+Skills!O22</f>
        <v/>
      </c>
      <c r="G193">
        <f>Skills!G22*IF(Skills!H22&gt;0,Skills!I22/Skills!H22,1)</f>
        <v/>
      </c>
      <c r="H193">
        <f>1-(1-Skills!J22/100)^Skills!K22</f>
        <v/>
      </c>
      <c r="I193" t="inlineStr">
        <is>
          <t>1</t>
        </is>
      </c>
      <c r="J193" t="inlineStr"/>
      <c r="K193" t="inlineStr"/>
      <c r="L193" t="inlineStr"/>
      <c r="M193" t="inlineStr"/>
      <c r="N193" t="inlineStr"/>
      <c r="O193">
        <f>(1-Summary!$B$55)*T193+Summary!$B$55*V193</f>
        <v/>
      </c>
      <c r="P193">
        <f>IF(B214=0,0,O193/B214)</f>
        <v/>
      </c>
      <c r="Q193" t="n">
        <v>0</v>
      </c>
      <c r="R193" t="n">
        <v>0</v>
      </c>
      <c r="S193">
        <f>IFERROR(O193/N193,0)</f>
        <v/>
      </c>
      <c r="T193" t="n">
        <v>0</v>
      </c>
      <c r="V193" t="n">
        <v>0</v>
      </c>
    </row>
    <row r="194">
      <c r="A194">
        <f>Skills!A23</f>
        <v/>
      </c>
      <c r="B194">
        <f>Skills!B23</f>
        <v/>
      </c>
      <c r="C194">
        <f>Inputs!$B$3&gt;=38</f>
        <v/>
      </c>
      <c r="D194">
        <f>IF(Skills!C23=1,60+Inputs!$B$25+Inputs!$B$29,IF(Skills!C23=2,90+Inputs!$B$26+Inputs!$B$29,IF(Skills!C23=3,120+Inputs!$B$27+Inputs!$B$29,MAX(0,(Inputs!$B$3-100)*3)+Inputs!$B$28+Inputs!$B$29)))</f>
        <v/>
      </c>
      <c r="E194">
        <f>INDEX(FactorTable!$B$2:$Y$301, MATCH(ROUND(MIN(300,MAX(1,D194)),0), FactorTable!$A$2:$A$301,0), Skills!M23+1)</f>
        <v/>
      </c>
      <c r="F194">
        <f>IF(Skills!N23=TRUE,(Skills!L23/10)*(E194/1000),Skills!L23/10)+Skills!O23</f>
        <v/>
      </c>
      <c r="G194">
        <f>Skills!G23*IF(Skills!H23&gt;0,Skills!I23/Skills!H23,1)</f>
        <v/>
      </c>
      <c r="H194">
        <f>1-(1-Skills!J23/100)^Skills!K23</f>
        <v/>
      </c>
      <c r="I194" t="inlineStr">
        <is>
          <t>1</t>
        </is>
      </c>
      <c r="J194" t="inlineStr"/>
      <c r="K194" t="inlineStr"/>
      <c r="L194" t="inlineStr"/>
      <c r="M194" t="inlineStr"/>
      <c r="N194" t="inlineStr"/>
      <c r="O194">
        <f>(1-Summary!$B$55)*T194+Summary!$B$55*V194</f>
        <v/>
      </c>
      <c r="P194">
        <f>IF(B214=0,0,O194/B214)</f>
        <v/>
      </c>
      <c r="Q194" t="n">
        <v>0</v>
      </c>
      <c r="R194" t="n">
        <v>0</v>
      </c>
      <c r="S194">
        <f>IFERROR(O194/N194,0)</f>
        <v/>
      </c>
      <c r="T194" t="n">
        <v>0</v>
      </c>
      <c r="V194" t="n">
        <v>0</v>
      </c>
    </row>
    <row r="195">
      <c r="A195">
        <f>Skills!A24</f>
        <v/>
      </c>
      <c r="B195">
        <f>Skills!B24</f>
        <v/>
      </c>
      <c r="C195">
        <f>Inputs!$B$3&gt;=43</f>
        <v/>
      </c>
      <c r="D195">
        <f>IF(Skills!C24=1,60+Inputs!$B$25+Inputs!$B$29,IF(Skills!C24=2,90+Inputs!$B$26+Inputs!$B$29,IF(Skills!C24=3,120+Inputs!$B$27+Inputs!$B$29,MAX(0,(Inputs!$B$3-100)*3)+Inputs!$B$28+Inputs!$B$29)))</f>
        <v/>
      </c>
      <c r="E195">
        <f>INDEX(FactorTable!$B$2:$Y$301, MATCH(ROUND(MIN(300,MAX(1,D195)),0), FactorTable!$A$2:$A$301,0), Skills!M24+1)</f>
        <v/>
      </c>
      <c r="F195">
        <f>IF(Skills!N24=TRUE,(Skills!L24/10)*(E195/1000),Skills!L24/10)+Skills!O24</f>
        <v/>
      </c>
      <c r="G195">
        <f>Skills!G24*IF(Skills!H24&gt;0,Skills!I24/Skills!H24,1)</f>
        <v/>
      </c>
      <c r="H195">
        <f>1-(1-Skills!J24/100)^Skills!K24</f>
        <v/>
      </c>
      <c r="I195" t="inlineStr">
        <is>
          <t>1</t>
        </is>
      </c>
      <c r="J195" t="inlineStr"/>
      <c r="K195" t="inlineStr"/>
      <c r="L195" t="inlineStr"/>
      <c r="M195" t="inlineStr"/>
      <c r="N195" t="inlineStr"/>
      <c r="O195">
        <f>(1-Summary!$B$55)*T195+Summary!$B$55*V195</f>
        <v/>
      </c>
      <c r="P195">
        <f>IF(B214=0,0,O195/B214)</f>
        <v/>
      </c>
      <c r="Q195" t="n">
        <v>0</v>
      </c>
      <c r="R195" t="n">
        <v>0</v>
      </c>
      <c r="S195">
        <f>IFERROR(O195/N195,0)</f>
        <v/>
      </c>
      <c r="T195" t="n">
        <v>0</v>
      </c>
      <c r="V195" t="n">
        <v>0</v>
      </c>
    </row>
    <row r="196">
      <c r="A196">
        <f>Skills!A25</f>
        <v/>
      </c>
      <c r="B196">
        <f>Skills!B25</f>
        <v/>
      </c>
      <c r="C196">
        <f>Inputs!$B$3&gt;=75</f>
        <v/>
      </c>
      <c r="D196">
        <f>IF(Skills!C25=1,60+Inputs!$B$25+Inputs!$B$29,IF(Skills!C25=2,90+Inputs!$B$26+Inputs!$B$29,IF(Skills!C25=3,120+Inputs!$B$27+Inputs!$B$29,MAX(0,(Inputs!$B$3-100)*3)+Inputs!$B$28+Inputs!$B$29)))</f>
        <v/>
      </c>
      <c r="E196">
        <f>INDEX(FactorTable!$B$2:$Y$301, MATCH(ROUND(MIN(300,MAX(1,D196)),0), FactorTable!$A$2:$A$301,0), Skills!M25+1)</f>
        <v/>
      </c>
      <c r="F196">
        <f>IF(Skills!N25=TRUE,(Skills!L25/10)*(E196/1000),Skills!L25/10)+Skills!O25</f>
        <v/>
      </c>
      <c r="G196">
        <f>Skills!G25*IF(Skills!H25&gt;0,Skills!I25/Skills!H25,1)</f>
        <v/>
      </c>
      <c r="H196">
        <f>1-(1-Skills!J25/100)^Skills!K25</f>
        <v/>
      </c>
      <c r="I196" t="inlineStr">
        <is>
          <t>1</t>
        </is>
      </c>
      <c r="J196" t="inlineStr"/>
      <c r="K196" t="inlineStr"/>
      <c r="L196" t="inlineStr"/>
      <c r="M196" t="inlineStr"/>
      <c r="N196" t="inlineStr"/>
      <c r="O196">
        <f>(1-Summary!$B$55)*T196+Summary!$B$55*V196</f>
        <v/>
      </c>
      <c r="P196">
        <f>IF(B214=0,0,O196/B214)</f>
        <v/>
      </c>
      <c r="Q196" t="n">
        <v>0</v>
      </c>
      <c r="R196" t="n">
        <v>0</v>
      </c>
      <c r="S196">
        <f>IFERROR(O196/N196,0)</f>
        <v/>
      </c>
      <c r="T196" t="n">
        <v>0</v>
      </c>
      <c r="V196" t="n">
        <v>0</v>
      </c>
    </row>
    <row r="197">
      <c r="A197">
        <f>Skills!A26</f>
        <v/>
      </c>
      <c r="B197">
        <f>Skills!B26</f>
        <v/>
      </c>
      <c r="C197">
        <f>Inputs!$B$3&gt;=125</f>
        <v/>
      </c>
      <c r="D197">
        <f>IF(Skills!C26=1,60+Inputs!$B$25+Inputs!$B$29,IF(Skills!C26=2,90+Inputs!$B$26+Inputs!$B$29,IF(Skills!C26=3,120+Inputs!$B$27+Inputs!$B$29,MAX(0,(Inputs!$B$3-100)*3)+Inputs!$B$28+Inputs!$B$29)))</f>
        <v/>
      </c>
      <c r="E197">
        <f>INDEX(FactorTable!$B$2:$Y$301, MATCH(ROUND(MIN(300,MAX(1,D197)),0), FactorTable!$A$2:$A$301,0), Skills!M26+1)</f>
        <v/>
      </c>
      <c r="F197">
        <f>IF(Skills!N26=TRUE,(Skills!L26/10)*(E197/1000),Skills!L26/10)+Skills!O26</f>
        <v/>
      </c>
      <c r="G197">
        <f>Skills!G26*IF(Skills!H26&gt;0,Skills!I26/Skills!H26,1)</f>
        <v/>
      </c>
      <c r="H197">
        <f>1-(1-Skills!J26/100)^Skills!K26</f>
        <v/>
      </c>
      <c r="I197" t="inlineStr">
        <is>
          <t>1</t>
        </is>
      </c>
      <c r="J197" t="inlineStr"/>
      <c r="K197" t="inlineStr"/>
      <c r="L197" t="inlineStr"/>
      <c r="M197" t="inlineStr"/>
      <c r="N197" t="inlineStr"/>
      <c r="O197">
        <f>(1-Summary!$B$55)*T197+Summary!$B$55*V197</f>
        <v/>
      </c>
      <c r="P197">
        <f>IF(B214=0,0,O197/B214)</f>
        <v/>
      </c>
      <c r="Q197" t="n">
        <v>0</v>
      </c>
      <c r="R197" t="n">
        <v>0</v>
      </c>
      <c r="S197">
        <f>IFERROR(O197/N197,0)</f>
        <v/>
      </c>
      <c r="T197" t="n">
        <v>0</v>
      </c>
      <c r="V197" t="n">
        <v>0</v>
      </c>
    </row>
    <row r="198">
      <c r="A198">
        <f>Skills!A27</f>
        <v/>
      </c>
      <c r="B198">
        <f>Skills!B27</f>
        <v/>
      </c>
      <c r="C198">
        <f>Inputs!$B$3&gt;=125</f>
        <v/>
      </c>
      <c r="D198">
        <f>IF(Skills!C27=1,60+Inputs!$B$25+Inputs!$B$29,IF(Skills!C27=2,90+Inputs!$B$26+Inputs!$B$29,IF(Skills!C27=3,120+Inputs!$B$27+Inputs!$B$29,MAX(0,(Inputs!$B$3-100)*3)+Inputs!$B$28+Inputs!$B$29)))</f>
        <v/>
      </c>
      <c r="E198">
        <f>INDEX(FactorTable!$B$2:$Y$301, MATCH(ROUND(MIN(300,MAX(1,D198)),0), FactorTable!$A$2:$A$301,0), Skills!M27+1)</f>
        <v/>
      </c>
      <c r="F198">
        <f>IF(Skills!N27=TRUE,(Skills!L27/10)*(E198/1000),Skills!L27/10)+Skills!O27</f>
        <v/>
      </c>
      <c r="G198">
        <f>Skills!G27*IF(Skills!H27&gt;0,Skills!I27/Skills!H27,1)</f>
        <v/>
      </c>
      <c r="H198">
        <f>1-(1-Skills!J27/100)^Skills!K27</f>
        <v/>
      </c>
      <c r="I198" t="inlineStr">
        <is>
          <t>1</t>
        </is>
      </c>
      <c r="J198" t="inlineStr"/>
      <c r="K198" t="inlineStr"/>
      <c r="L198" t="inlineStr"/>
      <c r="M198" t="inlineStr"/>
      <c r="N198" t="inlineStr"/>
      <c r="O198">
        <f>(1-Summary!$B$55)*T198+Summary!$B$55*V198</f>
        <v/>
      </c>
      <c r="P198">
        <f>IF(B214=0,0,O198/B214)</f>
        <v/>
      </c>
      <c r="Q198" t="n">
        <v>0</v>
      </c>
      <c r="R198" t="n">
        <v>0</v>
      </c>
      <c r="S198">
        <f>IFERROR(O198/N198,0)</f>
        <v/>
      </c>
      <c r="T198" t="n">
        <v>0</v>
      </c>
      <c r="V198" t="n">
        <v>0</v>
      </c>
    </row>
    <row r="199">
      <c r="A199">
        <f>Skills!A28</f>
        <v/>
      </c>
      <c r="B199">
        <f>Skills!B28</f>
        <v/>
      </c>
      <c r="C199">
        <f>Inputs!$B$3&gt;=120</f>
        <v/>
      </c>
      <c r="D199">
        <f>IF(Skills!C28=1,60+Inputs!$B$25+Inputs!$B$29,IF(Skills!C28=2,90+Inputs!$B$26+Inputs!$B$29,IF(Skills!C28=3,120+Inputs!$B$27+Inputs!$B$29,MAX(0,(Inputs!$B$3-100)*3)+Inputs!$B$28+Inputs!$B$29)))</f>
        <v/>
      </c>
      <c r="E199">
        <f>INDEX(FactorTable!$B$2:$Y$301, MATCH(ROUND(MIN(300,MAX(1,D199)),0), FactorTable!$A$2:$A$301,0), Skills!M28+1)</f>
        <v/>
      </c>
      <c r="F199">
        <f>IF(Skills!N28=TRUE,(Skills!L28/10)*(E199/1000),Skills!L28/10)+Skills!O28</f>
        <v/>
      </c>
      <c r="G199">
        <f>Skills!G28*IF(Skills!H28&gt;0,Skills!I28/Skills!H28,1)</f>
        <v/>
      </c>
      <c r="H199">
        <f>1-(1-Skills!J28/100)^Skills!K28</f>
        <v/>
      </c>
      <c r="I199" t="inlineStr">
        <is>
          <t>1</t>
        </is>
      </c>
      <c r="J199" t="inlineStr"/>
      <c r="K199" t="inlineStr"/>
      <c r="L199" t="inlineStr"/>
      <c r="M199" t="inlineStr"/>
      <c r="N199" t="inlineStr"/>
      <c r="O199">
        <f>(1-Summary!$B$55)*T199+Summary!$B$55*V199</f>
        <v/>
      </c>
      <c r="P199">
        <f>IF(B214=0,0,O199/B214)</f>
        <v/>
      </c>
      <c r="Q199" t="n">
        <v>0</v>
      </c>
      <c r="R199" t="n">
        <v>0</v>
      </c>
      <c r="S199">
        <f>IFERROR(O199/N199,0)</f>
        <v/>
      </c>
      <c r="T199" t="n">
        <v>0</v>
      </c>
      <c r="V199" t="n">
        <v>0</v>
      </c>
    </row>
    <row r="200">
      <c r="A200">
        <f>Skills!A29</f>
        <v/>
      </c>
      <c r="B200">
        <f>Skills!B29</f>
        <v/>
      </c>
      <c r="C200">
        <f>Inputs!$B$3&gt;=120</f>
        <v/>
      </c>
      <c r="D200">
        <f>IF(Skills!C29=1,60+Inputs!$B$25+Inputs!$B$29,IF(Skills!C29=2,90+Inputs!$B$26+Inputs!$B$29,IF(Skills!C29=3,120+Inputs!$B$27+Inputs!$B$29,MAX(0,(Inputs!$B$3-100)*3)+Inputs!$B$28+Inputs!$B$29)))</f>
        <v/>
      </c>
      <c r="E200">
        <f>INDEX(FactorTable!$B$2:$Y$301, MATCH(ROUND(MIN(300,MAX(1,D200)),0), FactorTable!$A$2:$A$301,0), Skills!M29+1)</f>
        <v/>
      </c>
      <c r="F200">
        <f>IF(Skills!N29=TRUE,(Skills!L29/10)*(E200/1000),Skills!L29/10)+Skills!O29</f>
        <v/>
      </c>
      <c r="G200">
        <f>Skills!G29*IF(Skills!H29&gt;0,Skills!I29/Skills!H29,1)</f>
        <v/>
      </c>
      <c r="H200">
        <f>1-(1-Skills!J29/100)^Skills!K29</f>
        <v/>
      </c>
      <c r="I200" t="inlineStr">
        <is>
          <t>1</t>
        </is>
      </c>
      <c r="J200" t="inlineStr"/>
      <c r="K200" t="inlineStr"/>
      <c r="L200" t="inlineStr"/>
      <c r="M200" t="inlineStr"/>
      <c r="N200" t="inlineStr"/>
      <c r="O200">
        <f>(1-Summary!$B$55)*T200+Summary!$B$55*V200</f>
        <v/>
      </c>
      <c r="P200">
        <f>IF(B214=0,0,O200/B214)</f>
        <v/>
      </c>
      <c r="Q200" t="n">
        <v>0</v>
      </c>
      <c r="R200" t="n">
        <v>0</v>
      </c>
      <c r="S200">
        <f>IFERROR(O200/N200,0)</f>
        <v/>
      </c>
      <c r="T200" t="n">
        <v>0</v>
      </c>
      <c r="V200" t="n">
        <v>0</v>
      </c>
    </row>
    <row r="201">
      <c r="A201">
        <f>Skills!A30</f>
        <v/>
      </c>
      <c r="B201">
        <f>Skills!B30</f>
        <v/>
      </c>
      <c r="C201">
        <f>Inputs!$B$3&gt;=45</f>
        <v/>
      </c>
      <c r="D201">
        <f>IF(Skills!C30=1,60+Inputs!$B$25+Inputs!$B$29,IF(Skills!C30=2,90+Inputs!$B$26+Inputs!$B$29,IF(Skills!C30=3,120+Inputs!$B$27+Inputs!$B$29,MAX(0,(Inputs!$B$3-100)*3)+Inputs!$B$28+Inputs!$B$29)))</f>
        <v/>
      </c>
      <c r="E201">
        <f>INDEX(FactorTable!$B$2:$Y$301, MATCH(ROUND(MIN(300,MAX(1,D201)),0), FactorTable!$A$2:$A$301,0), Skills!M30+1)</f>
        <v/>
      </c>
      <c r="F201">
        <f>IF(Skills!N30=TRUE,(Skills!L30/10)*(E201/1000),Skills!L30/10)+Skills!O30</f>
        <v/>
      </c>
      <c r="G201">
        <f>Skills!G30*IF(Skills!H30&gt;0,Skills!I30/Skills!H30,1)</f>
        <v/>
      </c>
      <c r="H201">
        <f>1-(1-Skills!J30/100)^Skills!K30</f>
        <v/>
      </c>
      <c r="I201" t="inlineStr">
        <is>
          <t>1</t>
        </is>
      </c>
      <c r="J201" t="inlineStr"/>
      <c r="K201" t="inlineStr"/>
      <c r="L201" t="inlineStr"/>
      <c r="M201" t="inlineStr"/>
      <c r="N201" t="inlineStr"/>
      <c r="O201">
        <f>(1-Summary!$B$55)*T201+Summary!$B$55*V201</f>
        <v/>
      </c>
      <c r="P201">
        <f>IF(B214=0,0,O201/B214)</f>
        <v/>
      </c>
      <c r="Q201" t="n">
        <v>0</v>
      </c>
      <c r="R201" t="n">
        <v>0</v>
      </c>
      <c r="S201">
        <f>IFERROR(O201/N201,0)</f>
        <v/>
      </c>
      <c r="T201" t="n">
        <v>0</v>
      </c>
      <c r="V201" t="n">
        <v>0</v>
      </c>
    </row>
    <row r="203">
      <c r="A203" t="inlineStr">
        <is>
          <t>Attack% Bucket Multiplier</t>
        </is>
      </c>
      <c r="B203">
        <f>(1+(((C184=TRUE)*F184)+((C185=TRUE)*IF(Inputs!$B$38="pvp",F185,(1-Summary!$B$55)*(F185)+Summary!$B$55*(0)))+((C186=TRUE)*F186*IF(AND(Inputs!$B$38&lt;&gt;"pvp",Inputs!$B$43&gt;0),(((R186-1)*(Skills!T15*(1+Inputs!$B$34/100))+MIN((Skills!T15*(1+Inputs!$B$34/100)),MAX(0,Inputs!$B$43-((R186-1)*Skills!D15))))/Inputs!$B$43),IF(Inputs!$B$38="pvp",MIN((Skills!T15*(1+Inputs!$B$34/100)),15)/15,(Skills!T15*(1+Inputs!$B$34/100))/Skills!D15)))+((C201=TRUE)*(F201-Calc!F30)))/100)</f>
        <v/>
      </c>
    </row>
    <row r="204">
      <c r="A204" t="inlineStr">
        <is>
          <t>Global Crit Rate Bonus %</t>
        </is>
      </c>
      <c r="B204">
        <f>(C187=TRUE)*20*IF(AND(Inputs!$B$38&lt;&gt;"pvp",Inputs!$B$43&gt;0),(((R187-1)*(Skills!T16*(1+Inputs!$B$34/100))+MIN((Skills!T16*(1+Inputs!$B$34/100)),MAX(0,Inputs!$B$43-((R187-1)*Skills!D16))))/Inputs!$B$43),IF(Inputs!$B$38="pvp",MIN((Skills!T16*(1+Inputs!$B$34/100)),15)/15,(Skills!T16*(1+Inputs!$B$34/100))/Skills!D16))</f>
        <v/>
      </c>
    </row>
    <row r="205">
      <c r="A205" t="inlineStr">
        <is>
          <t>Attack Speed Buff Bonus %</t>
        </is>
      </c>
      <c r="B205">
        <f>((C190=TRUE)*F190*IF(AND(Inputs!$B$38&lt;&gt;"pvp",Inputs!$B$43&gt;0),(((R190-1)*(Skills!T19*(1+Inputs!$B$34/100))+MIN((Skills!T19*(1+Inputs!$B$34/100)),MAX(0,Inputs!$B$43-((R190-1)*Skills!D19))))/Inputs!$B$43),IF(Inputs!$B$38="pvp",MIN((Skills!T19*(1+Inputs!$B$34/100)),15)/15,(Skills!T19*(1+Inputs!$B$34/100))/Skills!D19)))</f>
        <v/>
      </c>
    </row>
    <row r="206">
      <c r="A206" t="inlineStr">
        <is>
          <t>Actions Per Second</t>
        </is>
      </c>
      <c r="B206">
        <f>1+MIN(150,150*(1-(1-(Inputs!$B$11+((C192=TRUE)*(F192-Calc!F21))+((C193=TRUE)*(F193-Calc!F22)))/150)*(1-B205/150)))/100</f>
        <v/>
      </c>
    </row>
    <row r="207">
      <c r="A207" t="inlineStr">
        <is>
          <t>Skill + Buff Cast Rate</t>
        </is>
      </c>
      <c r="B207">
        <f>IF(AND(Inputs!$B$38&lt;&gt;"pvp",Inputs!$B$43&gt;0),SUMPRODUCT((Skills!E2:E30=TRUE)*(C173:C201=TRUE)*R173:R201*Skills!F2:F30)/Inputs!$B$43,SUMPRODUCT((Skills!E2:E30=TRUE)*(C173:C201=TRUE)*Q173:Q201*Skills!F2:F30))</f>
        <v/>
      </c>
    </row>
    <row r="208">
      <c r="A208" t="inlineStr">
        <is>
          <t>Arrow Stream Casts Per Second</t>
        </is>
      </c>
      <c r="B208">
        <f>MAX(0,B206-B207)</f>
        <v/>
      </c>
    </row>
    <row r="209">
      <c r="A209" t="inlineStr">
        <is>
          <t>Global Critical Damage Bonus % (Sharp Eyes + Concentration)</t>
        </is>
      </c>
      <c r="B209">
        <f>(C187=TRUE)*F187*IF(AND(Inputs!$B$38&lt;&gt;"pvp",Inputs!$B$43&gt;0),(((R187-1)*(Skills!T16*(1+Inputs!$B$34/100))+MIN((Skills!T16*(1+Inputs!$B$34/100)),MAX(0,Inputs!$B$43-((R187-1)*Skills!D16))))/Inputs!$B$43),IF(Inputs!$B$38="pvp",MIN((Skills!T16*(1+Inputs!$B$34/100)),15)/15,(Skills!T16*(1+Inputs!$B$34/100))/Skills!D16))+(C188=TRUE)*30</f>
        <v/>
      </c>
    </row>
    <row r="210">
      <c r="A210" t="inlineStr">
        <is>
          <t>Global Final Damage Bonus % (Mortal Blow)</t>
        </is>
      </c>
      <c r="B210">
        <f>(C189=TRUE)*F189</f>
        <v/>
      </c>
    </row>
    <row r="211">
      <c r="A211" t="inlineStr">
        <is>
          <t>Buff-Casting Startup Delay (s, fixed-duration only)</t>
        </is>
      </c>
      <c r="B211">
        <f>IF(AND(Inputs!$B$38&lt;&gt;"pvp",Inputs!$B$43&gt;0),SUMPRODUCT((Skills!T2:T30&gt;0)*(Skills!E2:E30=TRUE)*(C173:C201=TRUE))/B206,0)</f>
        <v/>
      </c>
    </row>
    <row r="212">
      <c r="A212" t="inlineStr">
        <is>
          <t>Boss-Only Total DPS (this block's swept value)</t>
        </is>
      </c>
      <c r="B212">
        <f>SUM(T173:T201)</f>
        <v/>
      </c>
    </row>
    <row r="213">
      <c r="A213" t="inlineStr">
        <is>
          <t>Normal-Only Total DPS (this block's swept value)</t>
        </is>
      </c>
      <c r="B213">
        <f>SUM(V173:V201)</f>
        <v/>
      </c>
    </row>
    <row r="214">
      <c r="A214" s="5" t="inlineStr">
        <is>
          <t>TOTAL DPS</t>
        </is>
      </c>
      <c r="B214" s="5">
        <f>SUM(O173:O201)</f>
        <v/>
      </c>
    </row>
    <row r="217">
      <c r="A217" s="5" t="inlineStr">
        <is>
          <t>Stat: DAMAGE_AMP %</t>
        </is>
      </c>
    </row>
    <row r="218">
      <c r="A218" s="9" t="inlineStr">
        <is>
          <t>Key</t>
        </is>
      </c>
      <c r="B218" s="9" t="inlineStr">
        <is>
          <t>Name</t>
        </is>
      </c>
      <c r="C218" s="9" t="inlineStr">
        <is>
          <t>Unlocked</t>
        </is>
      </c>
      <c r="D218" s="9" t="inlineStr">
        <is>
          <t>InputLevel</t>
        </is>
      </c>
      <c r="E218" s="9" t="inlineStr">
        <is>
          <t>Factor</t>
        </is>
      </c>
      <c r="F218" s="9" t="inlineStr">
        <is>
          <t>CoefficientPercent</t>
        </is>
      </c>
      <c r="G218" s="9" t="inlineStr">
        <is>
          <t>EffectiveHits</t>
        </is>
      </c>
      <c r="H218" s="9" t="inlineStr">
        <is>
          <t>ProcProbability</t>
        </is>
      </c>
      <c r="I218" s="9" t="inlineStr">
        <is>
          <t>MapleHeroMultiplier</t>
        </is>
      </c>
      <c r="J218" s="9" t="inlineStr">
        <is>
          <t>BaseDamage</t>
        </is>
      </c>
      <c r="K218" s="9" t="inlineStr">
        <is>
          <t>BaseHitDamage</t>
        </is>
      </c>
      <c r="L218" s="9" t="inlineStr">
        <is>
          <t>NonCritAvg</t>
        </is>
      </c>
      <c r="M218" s="9" t="inlineStr">
        <is>
          <t>CritAvg</t>
        </is>
      </c>
      <c r="N218" s="9" t="inlineStr">
        <is>
          <t>ExpectedDamage(perHit)</t>
        </is>
      </c>
      <c r="O218" s="9" t="inlineStr">
        <is>
          <t>DPS</t>
        </is>
      </c>
      <c r="P218" s="9" t="inlineStr">
        <is>
          <t>% of Total</t>
        </is>
      </c>
      <c r="Q218" s="9" t="inlineStr">
        <is>
          <t>InvCooldown</t>
        </is>
      </c>
      <c r="R218" s="9" t="inlineStr">
        <is>
          <t>CastsInFight</t>
        </is>
      </c>
      <c r="S218" s="9" t="inlineStr">
        <is>
          <t>HitRate(perSec)</t>
        </is>
      </c>
      <c r="U218" t="inlineStr">
        <is>
          <t>helpers</t>
        </is>
      </c>
    </row>
    <row r="219">
      <c r="A219">
        <f>Skills!A2</f>
        <v/>
      </c>
      <c r="B219">
        <f>Skills!B2</f>
        <v/>
      </c>
      <c r="C219">
        <f>Inputs!$B$3&gt;=100</f>
        <v/>
      </c>
      <c r="D219" t="inlineStr"/>
      <c r="E219" t="inlineStr"/>
      <c r="F219">
        <f>U221+Skills!O2</f>
        <v/>
      </c>
      <c r="G219">
        <f>Skills!G2*IF(Skills!H2&gt;0,Skills!I2/Skills!H2,1)</f>
        <v/>
      </c>
      <c r="H219">
        <f>1-(1-Skills!J2/100)^Skills!K2</f>
        <v/>
      </c>
      <c r="I219" t="inlineStr">
        <is>
          <t>1</t>
        </is>
      </c>
      <c r="J219">
        <f>((Inputs!$B$6*(1+Inputs!$B$7/100))+(((Inputs!$B$12*(1+Inputs!$B$13/100))-(Inputs!$B$12*(1+Inputs!$B$13/100)))+0.25*(Inputs!$B$14-Inputs!$B$14))*(1+Inputs!$B$7/100))*(F219/100)</f>
        <v/>
      </c>
      <c r="K219">
        <f>J219*(1+((Inputs!$B$12*(1+Inputs!$B$13/100))*0.01+Inputs!$B$14*0.0025)/100)*(1+Inputs!$B$15/100)*(1+(Inputs!$B$16+1)/100)*(5000/(6000+Inputs!$B$42*(1-(Inputs!$B$19+((C244=TRUE)*(F244-Calc!F27)))/100)))*(1+(Inputs!$B$24+((C242=TRUE)*(F242-Calc!F25))+((C243=TRUE)*(F243-Calc!F26))+B256)/100)*(1+(IF(Skills!A2="ARROW_STREAM",Inputs!$B$17+((C240=TRUE)*(F240-Calc!F23)),Inputs!$B$18+((C245=TRUE)*(F245-Calc!F28))))/100)*((1+(((C230=TRUE)*F230)+((C231=TRUE)*IF(Inputs!$B$38="pvp",F231,(1-Summary!$B$55)*(F231)+Summary!$B$55*(0)))+((C232=TRUE)*F232*IF(AND(Inputs!$B$38&lt;&gt;"pvp",Inputs!$B$43&gt;0),(((R232-1)*(Skills!T15*(1+Inputs!$B$34/100))+MIN((Skills!T15*(1+Inputs!$B$34/100)),MAX(0,Inputs!$B$43-((R232-1)*Skills!D15))))/Inputs!$B$43),IF(Inputs!$B$38="pvp",MIN((Skills!T15*(1+Inputs!$B$34/100)),15)/15,(Skills!T15*(1+Inputs!$B$34/100))/Skills!D15)))+((C247=TRUE)*(F247-Calc!F30)))/100)*I219)</f>
        <v/>
      </c>
      <c r="L219">
        <f>K219*(MIN(Inputs!$B$22+((C241=TRUE)*(F241-Calc!F24)),Inputs!$B$23+((C246=TRUE)*(F246-Calc!F29)))/100+(Inputs!$B$23+((C246=TRUE)*(F246-Calc!F29)))/100)/2</f>
        <v/>
      </c>
      <c r="M219">
        <f>L219*(1+(Inputs!$B$10+0+B255)/100)</f>
        <v/>
      </c>
      <c r="N219">
        <f>L219*(1-MIN((Inputs!$B$9+((C237=TRUE)*(F237-Calc!F20))+B250),100)/100)+M219*(MIN((Inputs!$B$9+((C237=TRUE)*(F237-Calc!F20))+B250),100)/100)</f>
        <v/>
      </c>
      <c r="O219">
        <f>(1-Summary!$B$55)*T219+Summary!$B$55*V219</f>
        <v/>
      </c>
      <c r="P219">
        <f>IF(B260=0,0,O219/B260)</f>
        <v/>
      </c>
      <c r="Q219" t="n">
        <v>0</v>
      </c>
      <c r="R219" t="n">
        <v>0</v>
      </c>
      <c r="S219">
        <f>IFERROR(O219/N219,0)</f>
        <v/>
      </c>
      <c r="T219">
        <f>IF(C219,(Skills!G2*N219*B254)*IF(Inputs!$B$38="pvp",1,1+(Inputs!$B$20+0+Skills!P2)/100),0)</f>
        <v/>
      </c>
      <c r="U219">
        <f>MAX(0,(Inputs!$B$3-100)*3)+Inputs!$B$28+Inputs!$B$29</f>
        <v/>
      </c>
      <c r="V219">
        <f>IF(C219,(Skills!G2*N219*B254)*IF(Inputs!$B$38="pvp",1,(1+(Inputs!$B$21+Skills!Q2)/100)*(MIN((6+Inputs!$B$33),Inputs!$B$37))),0)</f>
        <v/>
      </c>
    </row>
    <row r="220">
      <c r="A220">
        <f>Skills!A3</f>
        <v/>
      </c>
      <c r="B220">
        <f>Skills!B3</f>
        <v/>
      </c>
      <c r="C220">
        <f>Inputs!$B$3&gt;=50</f>
        <v/>
      </c>
      <c r="D220">
        <f>IF(Skills!C3=1,60+Inputs!$B$25+Inputs!$B$29,IF(Skills!C3=2,90+Inputs!$B$26+Inputs!$B$29,IF(Skills!C3=3,120+Inputs!$B$27+Inputs!$B$29,MAX(0,(Inputs!$B$3-100)*3)+Inputs!$B$28+Inputs!$B$29)))</f>
        <v/>
      </c>
      <c r="E220">
        <f>INDEX(FactorTable!$B$2:$Y$301, MATCH(ROUND(MIN(300,MAX(1,D220)),0), FactorTable!$A$2:$A$301,0), Skills!M3+1)</f>
        <v/>
      </c>
      <c r="F220">
        <f>IF(Skills!N3=TRUE,(Skills!L3/10)*(E220/1000),Skills!L3/10)+Skills!O3</f>
        <v/>
      </c>
      <c r="G220" t="inlineStr"/>
      <c r="H220" t="inlineStr"/>
      <c r="I220" t="inlineStr">
        <is>
          <t>1</t>
        </is>
      </c>
      <c r="J220" t="inlineStr"/>
      <c r="K220" t="inlineStr"/>
      <c r="L220" t="inlineStr"/>
      <c r="M220" t="inlineStr"/>
      <c r="N220" t="inlineStr"/>
      <c r="O220" t="inlineStr"/>
      <c r="P220" t="inlineStr"/>
      <c r="Q220" t="inlineStr"/>
      <c r="R220" t="inlineStr"/>
      <c r="S220" t="inlineStr"/>
      <c r="T220" t="inlineStr"/>
      <c r="U220">
        <f>INDEX(FactorTable!$B$2:$Y$301, MATCH(ROUND(MIN(300,MAX(1,U219)),0), FactorTable!$A$2:$A$301,0), 22)</f>
        <v/>
      </c>
      <c r="V220" t="inlineStr"/>
    </row>
    <row r="221">
      <c r="A221">
        <f>Skills!A4</f>
        <v/>
      </c>
      <c r="B221">
        <f>Skills!B4</f>
        <v/>
      </c>
      <c r="C221">
        <f>Inputs!$B$3&gt;=105</f>
        <v/>
      </c>
      <c r="D221">
        <f>IF(Skills!C4=1,60+Inputs!$B$25+Inputs!$B$29,IF(Skills!C4=2,90+Inputs!$B$26+Inputs!$B$29,IF(Skills!C4=3,120+Inputs!$B$27+Inputs!$B$29,MAX(0,(Inputs!$B$3-100)*3)+Inputs!$B$28+Inputs!$B$29)))</f>
        <v/>
      </c>
      <c r="E221">
        <f>INDEX(FactorTable!$B$2:$Y$301, MATCH(ROUND(MIN(300,MAX(1,D221)),0), FactorTable!$A$2:$A$301,0), Skills!M4+1)</f>
        <v/>
      </c>
      <c r="F221">
        <f>IF(Skills!N4=TRUE,(Skills!L4/10)*(E221/1000),Skills!L4/10)+Skills!O4</f>
        <v/>
      </c>
      <c r="G221" t="inlineStr"/>
      <c r="H221" t="inlineStr"/>
      <c r="I221" t="inlineStr">
        <is>
          <t>1</t>
        </is>
      </c>
      <c r="J221" t="inlineStr"/>
      <c r="K221" t="inlineStr"/>
      <c r="L221" t="inlineStr"/>
      <c r="M221" t="inlineStr"/>
      <c r="N221" t="inlineStr"/>
      <c r="O221" t="inlineStr"/>
      <c r="P221" t="inlineStr"/>
      <c r="Q221" t="inlineStr"/>
      <c r="R221" t="inlineStr"/>
      <c r="S221" t="inlineStr"/>
      <c r="T221" t="inlineStr"/>
      <c r="U221">
        <f>290*U220/1000</f>
        <v/>
      </c>
      <c r="V221" t="inlineStr"/>
    </row>
    <row r="222">
      <c r="A222">
        <f>Skills!A5</f>
        <v/>
      </c>
      <c r="B222">
        <f>Skills!B5</f>
        <v/>
      </c>
      <c r="C222">
        <f>Inputs!$B$3&gt;=35</f>
        <v/>
      </c>
      <c r="D222">
        <f>IF(Skills!C5=1,60+Inputs!$B$25+Inputs!$B$29,IF(Skills!C5=2,90+Inputs!$B$26+Inputs!$B$29,IF(Skills!C5=3,120+Inputs!$B$27+Inputs!$B$29,MAX(0,(Inputs!$B$3-100)*3)+Inputs!$B$28+Inputs!$B$29)))</f>
        <v/>
      </c>
      <c r="E222">
        <f>INDEX(FactorTable!$B$2:$Y$301, MATCH(ROUND(MIN(300,MAX(1,D222)),0), FactorTable!$A$2:$A$301,0), Skills!M5+1)</f>
        <v/>
      </c>
      <c r="F222">
        <f>IF(Skills!N5=TRUE,(Skills!L5/10)*(E222/1000),Skills!L5/10)+Skills!O5</f>
        <v/>
      </c>
      <c r="G222">
        <f>Skills!G5*IF(Skills!H5&gt;0,Skills!I5/Skills!H5,1)</f>
        <v/>
      </c>
      <c r="H222">
        <f>1-(1-Skills!J5/100)^Skills!K5</f>
        <v/>
      </c>
      <c r="I222" t="inlineStr">
        <is>
          <t>1</t>
        </is>
      </c>
      <c r="J222">
        <f>((Inputs!$B$6*(1+Inputs!$B$7/100))+(((Inputs!$B$12*(1+Inputs!$B$13/100))-(Inputs!$B$12*(1+Inputs!$B$13/100)))+0.25*(Inputs!$B$14-Inputs!$B$14))*(1+Inputs!$B$7/100))*(F222/100)</f>
        <v/>
      </c>
      <c r="K222">
        <f>J222*(1+((Inputs!$B$12*(1+Inputs!$B$13/100))*0.01+Inputs!$B$14*0.0025)/100)*(1+Inputs!$B$15/100)*(1+(Inputs!$B$16+1)/100)*(5000/(6000+Inputs!$B$42*(1-(Inputs!$B$19+((C244=TRUE)*(F244-Calc!F27)))/100)))*(1+(Inputs!$B$24+((C242=TRUE)*(F242-Calc!F25))+((C243=TRUE)*(F243-Calc!F26))+B256)/100)*(1+4.0*IF(C227=TRUE,F227,0)/100)*(1+(IF(Skills!A5="ARROW_STREAM",Inputs!$B$17+((C240=TRUE)*(F240-Calc!F23)),Inputs!$B$18+((C245=TRUE)*(F245-Calc!F28))))/100)*((1+(((C230=TRUE)*F230)+((C231=TRUE)*IF(Inputs!$B$38="pvp",F231,(1-Summary!$B$55)*(F231)+Summary!$B$55*(0)))+((C232=TRUE)*F232*IF(AND(Inputs!$B$38&lt;&gt;"pvp",Inputs!$B$43&gt;0),(((R232-1)*(Skills!T15*(1+Inputs!$B$34/100))+MIN((Skills!T15*(1+Inputs!$B$34/100)),MAX(0,Inputs!$B$43-((R232-1)*Skills!D15))))/Inputs!$B$43),IF(Inputs!$B$38="pvp",MIN((Skills!T15*(1+Inputs!$B$34/100)),15)/15,(Skills!T15*(1+Inputs!$B$34/100))/Skills!D15)))+((C247=TRUE)*(F247-Calc!F30)))/100)*I222)</f>
        <v/>
      </c>
      <c r="L222">
        <f>K222*(MIN(Inputs!$B$22+((C241=TRUE)*(F241-Calc!F24)),Inputs!$B$23+((C246=TRUE)*(F246-Calc!F29)))/100+(Inputs!$B$23+((C246=TRUE)*(F246-Calc!F29)))/100)/2</f>
        <v/>
      </c>
      <c r="M222">
        <f>L222*(1+(Inputs!$B$10+0+B255)/100)</f>
        <v/>
      </c>
      <c r="N222">
        <f>L222*(1-MIN((Inputs!$B$9+((C237=TRUE)*(F237-Calc!F20))+B250),100)/100)+M222*(MIN((Inputs!$B$9+((C237=TRUE)*(F237-Calc!F20))+B250),100)/100)</f>
        <v/>
      </c>
      <c r="O222">
        <f>(1-Summary!$B$55)*T222+Summary!$B$55*V222</f>
        <v/>
      </c>
      <c r="P222">
        <f>IF(B260=0,0,O222/B260)</f>
        <v/>
      </c>
      <c r="Q222">
        <f>IFERROR(1/IF(Inputs!$B$38="pvp",15,MAX(0.1,Skills!D5-IF(Skills!E5=TRUE,Inputs!$B$32,0))),0)</f>
        <v/>
      </c>
      <c r="R222">
        <f>IF(AND(Inputs!$B$38&lt;&gt;"pvp",Inputs!$B$43&gt;0),IF(MAX(0,Inputs!$B$43-B257)&lt;=0,0,(INT(MAX(0,Inputs!$B$43-B257)/IF(Inputs!$B$38="pvp",15,MAX(0.1,Skills!D5-IF(Skills!E5=TRUE,Inputs!$B$32,0))))+1)),0)</f>
        <v/>
      </c>
      <c r="S222">
        <f>IFERROR(O222/N222,0)</f>
        <v/>
      </c>
      <c r="T222">
        <f>IF(C222,(H222*N222*IF(AND(Inputs!$B$38&lt;&gt;"pvp",Inputs!$B$43&gt;0),((Skills!G5*((R222-1)*IF(Skills!H5&gt;0,Skills!I5/Skills!H5,1)+IF(Skills!H5&gt;0,MIN(Skills!I5,MAX(0,MAX(0,Inputs!$B$43-B257)-((R222-1)*IF(Inputs!$B$38="pvp",15,MAX(0.1,Skills!D5-IF(Skills!E5=TRUE,Inputs!$B$32,0))))))/Skills!H5,1)))/Inputs!$B$43),G222*Q222))*IF(Inputs!$B$38="pvp",1,1+(Inputs!$B$20+0+Skills!P5)/100),0)</f>
        <v/>
      </c>
      <c r="V222">
        <f>IF(C222,(H222*N222*IF(AND(Inputs!$B$38&lt;&gt;"pvp",Inputs!$B$43&gt;0),((Skills!G5*((R222-1)*IF(Skills!H5&gt;0,Skills!I5/Skills!H5,1)+IF(Skills!H5&gt;0,MIN(Skills!I5,MAX(0,MAX(0,Inputs!$B$43-B257)-((R222-1)*IF(Inputs!$B$38="pvp",15,MAX(0.1,Skills!D5-IF(Skills!E5=TRUE,Inputs!$B$32,0))))))/Skills!H5,1)))/Inputs!$B$43),G222*Q222))*IF(Inputs!$B$38="pvp",1,(1+(Inputs!$B$21+Skills!Q5)/100)*(MIN(Skills!R5,Inputs!$B$37))),0)</f>
        <v/>
      </c>
    </row>
    <row r="223">
      <c r="A223">
        <f>Skills!A6</f>
        <v/>
      </c>
      <c r="B223">
        <f>Skills!B6</f>
        <v/>
      </c>
      <c r="C223">
        <f>Inputs!$B$3&gt;=40</f>
        <v/>
      </c>
      <c r="D223">
        <f>IF(Skills!C6=1,60+Inputs!$B$25+Inputs!$B$29,IF(Skills!C6=2,90+Inputs!$B$26+Inputs!$B$29,IF(Skills!C6=3,120+Inputs!$B$27+Inputs!$B$29,MAX(0,(Inputs!$B$3-100)*3)+Inputs!$B$28+Inputs!$B$29)))</f>
        <v/>
      </c>
      <c r="E223">
        <f>INDEX(FactorTable!$B$2:$Y$301, MATCH(ROUND(MIN(300,MAX(1,D223)),0), FactorTable!$A$2:$A$301,0), Skills!M6+1)</f>
        <v/>
      </c>
      <c r="F223">
        <f>IF(Skills!N6=TRUE,(Skills!L6/10)*(E223/1000),Skills!L6/10)+Skills!O6</f>
        <v/>
      </c>
      <c r="G223">
        <f>Skills!G6*IF(Skills!H6&gt;0,Skills!I6/Skills!H6,1)</f>
        <v/>
      </c>
      <c r="H223">
        <f>1-(1-Skills!J6/100)^Skills!K6</f>
        <v/>
      </c>
      <c r="I223" t="inlineStr">
        <is>
          <t>1</t>
        </is>
      </c>
      <c r="J223">
        <f>((Inputs!$B$6*(1+Inputs!$B$7/100))+(((Inputs!$B$12*(1+Inputs!$B$13/100))-(Inputs!$B$12*(1+Inputs!$B$13/100)))+0.25*(Inputs!$B$14-Inputs!$B$14))*(1+Inputs!$B$7/100))*(F223/100)</f>
        <v/>
      </c>
      <c r="K223">
        <f>J223*(1+((Inputs!$B$12*(1+Inputs!$B$13/100))*0.01+Inputs!$B$14*0.0025)/100)*(1+Inputs!$B$15/100)*(1+(Inputs!$B$16+1)/100)*(5000/(6000+Inputs!$B$42*(1-(Inputs!$B$19+((C244=TRUE)*(F244-Calc!F27)))/100)))*(1+(Inputs!$B$24+((C242=TRUE)*(F242-Calc!F25))+((C243=TRUE)*(F243-Calc!F26))+B256)/100)*(1+IF(C224=TRUE,F224,0)/100)*(1+(IF(Skills!A6="ARROW_STREAM",Inputs!$B$17+((C240=TRUE)*(F240-Calc!F23)),Inputs!$B$18+((C245=TRUE)*(F245-Calc!F28))))/100)*((1+(((C230=TRUE)*F230)+((C231=TRUE)*IF(Inputs!$B$38="pvp",F231,(1-Summary!$B$55)*(F231)+Summary!$B$55*(0)))+((C232=TRUE)*F232*IF(AND(Inputs!$B$38&lt;&gt;"pvp",Inputs!$B$43&gt;0),(((R232-1)*(Skills!T15*(1+Inputs!$B$34/100))+MIN((Skills!T15*(1+Inputs!$B$34/100)),MAX(0,Inputs!$B$43-((R232-1)*Skills!D15))))/Inputs!$B$43),IF(Inputs!$B$38="pvp",MIN((Skills!T15*(1+Inputs!$B$34/100)),15)/15,(Skills!T15*(1+Inputs!$B$34/100))/Skills!D15)))+((C247=TRUE)*(F247-Calc!F30)))/100)*I223)</f>
        <v/>
      </c>
      <c r="L223">
        <f>K223*(MIN(Inputs!$B$22+((C241=TRUE)*(F241-Calc!F24)),Inputs!$B$23+((C246=TRUE)*(F246-Calc!F29)))/100+(Inputs!$B$23+((C246=TRUE)*(F246-Calc!F29)))/100)/2</f>
        <v/>
      </c>
      <c r="M223">
        <f>L223*(1+(Inputs!$B$10+0+B255)/100)</f>
        <v/>
      </c>
      <c r="N223">
        <f>L223*(1-MIN((Inputs!$B$9+((C237=TRUE)*(F237-Calc!F20))+B250),100)/100)+M223*(MIN((Inputs!$B$9+((C237=TRUE)*(F237-Calc!F20))+B250),100)/100)</f>
        <v/>
      </c>
      <c r="O223">
        <f>(1-Summary!$B$55)*T223+Summary!$B$55*V223</f>
        <v/>
      </c>
      <c r="P223">
        <f>IF(B260=0,0,O223/B260)</f>
        <v/>
      </c>
      <c r="Q223">
        <f>IFERROR(1/IF(Inputs!$B$38="pvp",15,MAX(0.1,Skills!D6-IF(Skills!E6=TRUE,Inputs!$B$32,0))),0)</f>
        <v/>
      </c>
      <c r="R223">
        <f>IF(AND(Inputs!$B$38&lt;&gt;"pvp",Inputs!$B$43&gt;0),IF(MAX(0,Inputs!$B$43-B257)&lt;=0,0,(INT(MAX(0,Inputs!$B$43-B257)/IF(Inputs!$B$38="pvp",15,MAX(0.1,Skills!D6-IF(Skills!E6=TRUE,Inputs!$B$32,0))))+1)),0)</f>
        <v/>
      </c>
      <c r="S223">
        <f>IFERROR(O223/N223,0)</f>
        <v/>
      </c>
      <c r="T223">
        <f>IF(C223,(H223*N223*IF(AND(Inputs!$B$38&lt;&gt;"pvp",Inputs!$B$43&gt;0),((Skills!G6*((R223-1)*IF(Skills!H6&gt;0,Skills!I6/Skills!H6,1)+IF(Skills!H6&gt;0,MIN(Skills!I6,MAX(0,MAX(0,Inputs!$B$43-B257)-((R223-1)*IF(Inputs!$B$38="pvp",15,MAX(0.1,Skills!D6-IF(Skills!E6=TRUE,Inputs!$B$32,0))))))/Skills!H6,1)))/Inputs!$B$43),G223*Q223))*IF(Inputs!$B$38="pvp",1,1+(Inputs!$B$20+0+Skills!P6)/100),0)</f>
        <v/>
      </c>
      <c r="V223">
        <f>IF(C223,(H223*N223*IF(AND(Inputs!$B$38&lt;&gt;"pvp",Inputs!$B$43&gt;0),((Skills!G6*((R223-1)*IF(Skills!H6&gt;0,Skills!I6/Skills!H6,1)+IF(Skills!H6&gt;0,MIN(Skills!I6,MAX(0,MAX(0,Inputs!$B$43-B257)-((R223-1)*IF(Inputs!$B$38="pvp",15,MAX(0.1,Skills!D6-IF(Skills!E6=TRUE,Inputs!$B$32,0))))))/Skills!H6,1)))/Inputs!$B$43),G223*Q223))*IF(Inputs!$B$38="pvp",1,(1+(Inputs!$B$21+Skills!Q6)/100)*(MIN(Skills!R6,Inputs!$B$37))),0)</f>
        <v/>
      </c>
    </row>
    <row r="224">
      <c r="A224">
        <f>Skills!A7</f>
        <v/>
      </c>
      <c r="B224">
        <f>Skills!B7</f>
        <v/>
      </c>
      <c r="C224">
        <f>Inputs!$B$3&gt;=107</f>
        <v/>
      </c>
      <c r="D224">
        <f>IF(Skills!C7=1,60+Inputs!$B$25+Inputs!$B$29,IF(Skills!C7=2,90+Inputs!$B$26+Inputs!$B$29,IF(Skills!C7=3,120+Inputs!$B$27+Inputs!$B$29,MAX(0,(Inputs!$B$3-100)*3)+Inputs!$B$28+Inputs!$B$29)))</f>
        <v/>
      </c>
      <c r="E224">
        <f>INDEX(FactorTable!$B$2:$Y$301, MATCH(ROUND(MIN(300,MAX(1,D224)),0), FactorTable!$A$2:$A$301,0), Skills!M7+1)</f>
        <v/>
      </c>
      <c r="F224">
        <f>IF(Skills!N7=TRUE,(Skills!L7/10)*(E224/1000),Skills!L7/10)+Skills!O7</f>
        <v/>
      </c>
      <c r="G224" t="inlineStr"/>
      <c r="H224" t="inlineStr"/>
      <c r="I224" t="inlineStr">
        <is>
          <t>1</t>
        </is>
      </c>
      <c r="J224" t="inlineStr"/>
      <c r="K224" t="inlineStr"/>
      <c r="L224" t="inlineStr"/>
      <c r="M224" t="inlineStr"/>
      <c r="N224" t="inlineStr"/>
      <c r="O224" t="inlineStr"/>
      <c r="P224" t="inlineStr"/>
      <c r="Q224" t="inlineStr"/>
      <c r="R224" t="inlineStr"/>
      <c r="S224" t="inlineStr"/>
      <c r="T224" t="inlineStr"/>
      <c r="V224" t="inlineStr"/>
    </row>
    <row r="225">
      <c r="A225">
        <f>Skills!A8</f>
        <v/>
      </c>
      <c r="B225">
        <f>Skills!B8</f>
        <v/>
      </c>
      <c r="C225">
        <f>Inputs!$B$3&gt;=69</f>
        <v/>
      </c>
      <c r="D225">
        <f>IF(Skills!C8=1,60+Inputs!$B$25+Inputs!$B$29,IF(Skills!C8=2,90+Inputs!$B$26+Inputs!$B$29,IF(Skills!C8=3,120+Inputs!$B$27+Inputs!$B$29,MAX(0,(Inputs!$B$3-100)*3)+Inputs!$B$28+Inputs!$B$29)))</f>
        <v/>
      </c>
      <c r="E225">
        <f>INDEX(FactorTable!$B$2:$Y$301, MATCH(ROUND(MIN(300,MAX(1,D225)),0), FactorTable!$A$2:$A$301,0), Skills!M8+1)</f>
        <v/>
      </c>
      <c r="F225">
        <f>IF(Skills!N8=TRUE,(Skills!L8/10)*(E225/1000),Skills!L8/10)+Skills!O8</f>
        <v/>
      </c>
      <c r="G225">
        <f>Skills!G8*IF(Skills!H8&gt;0,Skills!I8/Skills!H8,1)</f>
        <v/>
      </c>
      <c r="H225">
        <f>1-(1-Skills!J8/100)^Skills!K8</f>
        <v/>
      </c>
      <c r="I225" t="inlineStr">
        <is>
          <t>1</t>
        </is>
      </c>
      <c r="J225">
        <f>((Inputs!$B$6*(1+Inputs!$B$7/100))+(((Inputs!$B$12*(1+Inputs!$B$13/100))-(Inputs!$B$12*(1+Inputs!$B$13/100)))+0.25*(Inputs!$B$14-Inputs!$B$14))*(1+Inputs!$B$7/100))*(F225/100)</f>
        <v/>
      </c>
      <c r="K225">
        <f>J225*(1+((Inputs!$B$12*(1+Inputs!$B$13/100))*0.01+Inputs!$B$14*0.0025)/100)*(1+Inputs!$B$15/100)*(1+(Inputs!$B$16+1)/100)*(5000/(6000+Inputs!$B$42*(1-(Inputs!$B$19+((C244=TRUE)*(F244-Calc!F27)))/100)))*(1+(Inputs!$B$24+((C242=TRUE)*(F242-Calc!F25))+((C243=TRUE)*(F243-Calc!F26))+B256)/100)*(1+1.2*IF(C227=TRUE,F227,0)/100)*(1+(IF(Skills!A8="ARROW_STREAM",Inputs!$B$17+((C240=TRUE)*(F240-Calc!F23)),Inputs!$B$18+((C245=TRUE)*(F245-Calc!F28))))/100)*((1+(((C230=TRUE)*F230)+((C231=TRUE)*IF(Inputs!$B$38="pvp",F231,(1-Summary!$B$55)*(F231)+Summary!$B$55*(0)))+((C232=TRUE)*F232*IF(AND(Inputs!$B$38&lt;&gt;"pvp",Inputs!$B$43&gt;0),(((R232-1)*(Skills!T15*(1+Inputs!$B$34/100))+MIN((Skills!T15*(1+Inputs!$B$34/100)),MAX(0,Inputs!$B$43-((R232-1)*Skills!D15))))/Inputs!$B$43),IF(Inputs!$B$38="pvp",MIN((Skills!T15*(1+Inputs!$B$34/100)),15)/15,(Skills!T15*(1+Inputs!$B$34/100))/Skills!D15)))+((C247=TRUE)*(F247-Calc!F30)))/100)*I225)</f>
        <v/>
      </c>
      <c r="L225">
        <f>K225*(MIN(Inputs!$B$22+((C241=TRUE)*(F241-Calc!F24)),Inputs!$B$23+((C246=TRUE)*(F246-Calc!F29)))/100+(Inputs!$B$23+((C246=TRUE)*(F246-Calc!F29)))/100)/2</f>
        <v/>
      </c>
      <c r="M225">
        <f>L225*(1+(Inputs!$B$10+0+B255)/100)</f>
        <v/>
      </c>
      <c r="N225">
        <f>L225*(1-MIN((Inputs!$B$9+((C237=TRUE)*(F237-Calc!F20))+B250),100)/100)+M225*(MIN((Inputs!$B$9+((C237=TRUE)*(F237-Calc!F20))+B250),100)/100)</f>
        <v/>
      </c>
      <c r="O225">
        <f>(1-Summary!$B$55)*T225+Summary!$B$55*V225</f>
        <v/>
      </c>
      <c r="P225">
        <f>IF(B260=0,0,O225/B260)</f>
        <v/>
      </c>
      <c r="Q225">
        <f>IFERROR(1/IF(Inputs!$B$38="pvp",15,MAX(0.1,Skills!D8-IF(Skills!E8=TRUE,Inputs!$B$32,0))),0)</f>
        <v/>
      </c>
      <c r="R225">
        <f>IF(AND(Inputs!$B$38&lt;&gt;"pvp",Inputs!$B$43&gt;0),IF(MAX(0,Inputs!$B$43-B257)&lt;=0,0,(INT(MAX(0,Inputs!$B$43-B257)/IF(Inputs!$B$38="pvp",15,MAX(0.1,Skills!D8-IF(Skills!E8=TRUE,Inputs!$B$32,0))))+1)),0)</f>
        <v/>
      </c>
      <c r="S225">
        <f>IFERROR(O225/N225,0)</f>
        <v/>
      </c>
      <c r="T225">
        <f>IF(C225,(H225*N225*IF(AND(Inputs!$B$38&lt;&gt;"pvp",Inputs!$B$43&gt;0),((Skills!G8*((R225-1)*IF(Skills!H8&gt;0,Skills!I8/Skills!H8,1)+IF(Skills!H8&gt;0,MIN(Skills!I8,MAX(0,MAX(0,Inputs!$B$43-B257)-((R225-1)*IF(Inputs!$B$38="pvp",15,MAX(0.1,Skills!D8-IF(Skills!E8=TRUE,Inputs!$B$32,0))))))/Skills!H8,1)))/Inputs!$B$43),G225*Q225))*IF(Inputs!$B$38="pvp",1,1+(Inputs!$B$20+0+Skills!P8)/100),0)</f>
        <v/>
      </c>
      <c r="V225">
        <f>IF(C225,(H225*N225*IF(AND(Inputs!$B$38&lt;&gt;"pvp",Inputs!$B$43&gt;0),((Skills!G8*((R225-1)*IF(Skills!H8&gt;0,Skills!I8/Skills!H8,1)+IF(Skills!H8&gt;0,MIN(Skills!I8,MAX(0,MAX(0,Inputs!$B$43-B257)-((R225-1)*IF(Inputs!$B$38="pvp",15,MAX(0.1,Skills!D8-IF(Skills!E8=TRUE,Inputs!$B$32,0))))))/Skills!H8,1)))/Inputs!$B$43),G225*Q225))*IF(Inputs!$B$38="pvp",1,(1+(Inputs!$B$21+Skills!Q8)/100)*(MIN(Skills!R8,Inputs!$B$37))),0)</f>
        <v/>
      </c>
    </row>
    <row r="226">
      <c r="A226">
        <f>Skills!A9</f>
        <v/>
      </c>
      <c r="B226">
        <f>Skills!B9</f>
        <v/>
      </c>
      <c r="C226">
        <f>Inputs!$B$3&gt;=63</f>
        <v/>
      </c>
      <c r="D226">
        <f>IF(Skills!C9=1,60+Inputs!$B$25+Inputs!$B$29,IF(Skills!C9=2,90+Inputs!$B$26+Inputs!$B$29,IF(Skills!C9=3,120+Inputs!$B$27+Inputs!$B$29,MAX(0,(Inputs!$B$3-100)*3)+Inputs!$B$28+Inputs!$B$29)))</f>
        <v/>
      </c>
      <c r="E226">
        <f>INDEX(FactorTable!$B$2:$Y$301, MATCH(ROUND(MIN(300,MAX(1,D226)),0), FactorTable!$A$2:$A$301,0), Skills!M9+1)</f>
        <v/>
      </c>
      <c r="F226">
        <f>IF(Skills!N9=TRUE,(Skills!L9/10)*(E226/1000),Skills!L9/10)+Skills!O9</f>
        <v/>
      </c>
      <c r="G226">
        <f>Skills!G9*IF(Skills!H9&gt;0,Skills!I9/Skills!H9,1)</f>
        <v/>
      </c>
      <c r="H226">
        <f>1-(1-Skills!J9/100)^Skills!K9</f>
        <v/>
      </c>
      <c r="I226" t="inlineStr">
        <is>
          <t>1</t>
        </is>
      </c>
      <c r="J226">
        <f>((Inputs!$B$6*(1+Inputs!$B$7/100))+(((Inputs!$B$12*(1+Inputs!$B$13/100))-(Inputs!$B$12*(1+Inputs!$B$13/100)))+0.25*(Inputs!$B$14-Inputs!$B$14))*(1+Inputs!$B$7/100))*(F226/100)</f>
        <v/>
      </c>
      <c r="K226">
        <f>J226*(1+((Inputs!$B$12*(1+Inputs!$B$13/100))*0.01+Inputs!$B$14*0.0025)/100)*(1+Inputs!$B$15/100)*(1+(Inputs!$B$16+1)/100)*(5000/(6000+Inputs!$B$42*(1-(Inputs!$B$19+((C244=TRUE)*(F244-Calc!F27)))/100)))*(1+(Inputs!$B$24+((C242=TRUE)*(F242-Calc!F25))+((C243=TRUE)*(F243-Calc!F26))+B256)/100)*(1+1.0*IF(C227=TRUE,F227,0)/100)*(1+(IF(Skills!A9="ARROW_STREAM",Inputs!$B$17+((C240=TRUE)*(F240-Calc!F23)),Inputs!$B$18+((C245=TRUE)*(F245-Calc!F28))))/100)*((1+(((C230=TRUE)*F230)+((C231=TRUE)*IF(Inputs!$B$38="pvp",F231,(1-Summary!$B$55)*(F231)+Summary!$B$55*(0)))+((C232=TRUE)*F232*IF(AND(Inputs!$B$38&lt;&gt;"pvp",Inputs!$B$43&gt;0),(((R232-1)*(Skills!T15*(1+Inputs!$B$34/100))+MIN((Skills!T15*(1+Inputs!$B$34/100)),MAX(0,Inputs!$B$43-((R232-1)*Skills!D15))))/Inputs!$B$43),IF(Inputs!$B$38="pvp",MIN((Skills!T15*(1+Inputs!$B$34/100)),15)/15,(Skills!T15*(1+Inputs!$B$34/100))/Skills!D15)))+((C247=TRUE)*(F247-Calc!F30)))/100)*I226)</f>
        <v/>
      </c>
      <c r="L226">
        <f>K226*(MIN(Inputs!$B$22+((C241=TRUE)*(F241-Calc!F24)),Inputs!$B$23+((C246=TRUE)*(F246-Calc!F29)))/100+(Inputs!$B$23+((C246=TRUE)*(F246-Calc!F29)))/100)/2</f>
        <v/>
      </c>
      <c r="M226">
        <f>L226*(1+(Inputs!$B$10+0+B255)/100)</f>
        <v/>
      </c>
      <c r="N226">
        <f>L226*(1-MIN((Inputs!$B$9+((C237=TRUE)*(F237-Calc!F20))+B250),100)/100)+M226*(MIN((Inputs!$B$9+((C237=TRUE)*(F237-Calc!F20))+B250),100)/100)</f>
        <v/>
      </c>
      <c r="O226">
        <f>(1-Summary!$B$55)*T226+Summary!$B$55*V226</f>
        <v/>
      </c>
      <c r="P226">
        <f>IF(B260=0,0,O226/B260)</f>
        <v/>
      </c>
      <c r="Q226">
        <f>IFERROR(1/IF(Inputs!$B$38="pvp",15,MAX(0.1,Skills!D9-IF(Skills!E9=TRUE,Inputs!$B$32,0))),0)</f>
        <v/>
      </c>
      <c r="R226">
        <f>IF(AND(Inputs!$B$38&lt;&gt;"pvp",Inputs!$B$43&gt;0),IF(MAX(0,Inputs!$B$43-B257)&lt;=0,0,(INT(MAX(0,Inputs!$B$43-B257)/IF(Inputs!$B$38="pvp",15,MAX(0.1,Skills!D9-IF(Skills!E9=TRUE,Inputs!$B$32,0))))+1)),0)</f>
        <v/>
      </c>
      <c r="S226">
        <f>IFERROR(O226/N226,0)</f>
        <v/>
      </c>
      <c r="T226">
        <f>IF(C226,(H226*N226*IF(AND(Inputs!$B$38&lt;&gt;"pvp",Inputs!$B$43&gt;0),((Skills!G9*((R226-1)*IF(Skills!H9&gt;0,Skills!I9/Skills!H9,1)+IF(Skills!H9&gt;0,MIN(Skills!I9,MAX(0,MAX(0,Inputs!$B$43-B257)-((R226-1)*IF(Inputs!$B$38="pvp",15,MAX(0.1,Skills!D9-IF(Skills!E9=TRUE,Inputs!$B$32,0))))))/Skills!H9,1)))/Inputs!$B$43),G226*Q226))*IF(Inputs!$B$38="pvp",1,1+(Inputs!$B$20+0+Skills!P9)/100),0)</f>
        <v/>
      </c>
      <c r="V226">
        <f>IF(C226,(H226*N226*IF(AND(Inputs!$B$38&lt;&gt;"pvp",Inputs!$B$43&gt;0),((Skills!G9*((R226-1)*IF(Skills!H9&gt;0,Skills!I9/Skills!H9,1)+IF(Skills!H9&gt;0,MIN(Skills!I9,MAX(0,MAX(0,Inputs!$B$43-B257)-((R226-1)*IF(Inputs!$B$38="pvp",15,MAX(0.1,Skills!D9-IF(Skills!E9=TRUE,Inputs!$B$32,0))))))/Skills!H9,1)))/Inputs!$B$43),G226*Q226))*IF(Inputs!$B$38="pvp",1,(1+(Inputs!$B$21+Skills!Q9)/100)*(MIN(Skills!R9,Inputs!$B$37))),0)</f>
        <v/>
      </c>
    </row>
    <row r="227">
      <c r="A227">
        <f>Skills!A10</f>
        <v/>
      </c>
      <c r="B227">
        <f>Skills!B10</f>
        <v/>
      </c>
      <c r="C227">
        <f>Inputs!$B$3&gt;=100</f>
        <v/>
      </c>
      <c r="D227">
        <f>IF(Skills!C10=1,60+Inputs!$B$25+Inputs!$B$29,IF(Skills!C10=2,90+Inputs!$B$26+Inputs!$B$29,IF(Skills!C10=3,120+Inputs!$B$27+Inputs!$B$29,MAX(0,(Inputs!$B$3-100)*3)+Inputs!$B$28+Inputs!$B$29)))</f>
        <v/>
      </c>
      <c r="E227">
        <f>INDEX(FactorTable!$B$2:$Y$301, MATCH(ROUND(MIN(300,MAX(1,D227)),0), FactorTable!$A$2:$A$301,0), Skills!M10+1)</f>
        <v/>
      </c>
      <c r="F227">
        <f>IF(Skills!N10=TRUE,(Skills!L10/10)*(E227/1000),Skills!L10/10)+Skills!O10</f>
        <v/>
      </c>
      <c r="G227" t="inlineStr"/>
      <c r="H227" t="inlineStr"/>
      <c r="I227" t="inlineStr">
        <is>
          <t>1</t>
        </is>
      </c>
      <c r="J227" t="inlineStr"/>
      <c r="K227" t="inlineStr"/>
      <c r="L227" t="inlineStr"/>
      <c r="M227" t="inlineStr"/>
      <c r="N227" t="inlineStr"/>
      <c r="O227" t="inlineStr"/>
      <c r="P227" t="inlineStr"/>
      <c r="Q227" t="inlineStr"/>
      <c r="R227" t="inlineStr"/>
      <c r="S227" t="inlineStr"/>
      <c r="T227" t="inlineStr"/>
      <c r="V227" t="inlineStr"/>
    </row>
    <row r="228">
      <c r="A228">
        <f>Skills!A11</f>
        <v/>
      </c>
      <c r="B228">
        <f>Skills!B11</f>
        <v/>
      </c>
      <c r="C228">
        <f>Inputs!$B$3&gt;=60</f>
        <v/>
      </c>
      <c r="D228">
        <f>IF(Skills!C11=1,60+Inputs!$B$25+Inputs!$B$29,IF(Skills!C11=2,90+Inputs!$B$26+Inputs!$B$29,IF(Skills!C11=3,120+Inputs!$B$27+Inputs!$B$29,MAX(0,(Inputs!$B$3-100)*3)+Inputs!$B$28+Inputs!$B$29)))</f>
        <v/>
      </c>
      <c r="E228">
        <f>INDEX(FactorTable!$B$2:$Y$301, MATCH(ROUND(MIN(300,MAX(1,D228)),0), FactorTable!$A$2:$A$301,0), Skills!M11+1)</f>
        <v/>
      </c>
      <c r="F228">
        <f>IF(Skills!N11=TRUE,(Skills!L11/10)*(E228/1000),Skills!L11/10)+Skills!O11</f>
        <v/>
      </c>
      <c r="G228">
        <f>Skills!G11*IF(Skills!H11&gt;0,Skills!I11/Skills!H11,1)</f>
        <v/>
      </c>
      <c r="H228">
        <f>1-(1-Skills!J11/100)^Skills!K11</f>
        <v/>
      </c>
      <c r="I228" t="inlineStr">
        <is>
          <t>1</t>
        </is>
      </c>
      <c r="J228">
        <f>((Inputs!$B$6*(1+Inputs!$B$7/100))+(((Inputs!$B$12*(1+Inputs!$B$13/100))-(Inputs!$B$12*(1+Inputs!$B$13/100)))+0.25*(Inputs!$B$14-Inputs!$B$14))*(1+Inputs!$B$7/100))*(F228/100)</f>
        <v/>
      </c>
      <c r="K228">
        <f>J228*(1+((Inputs!$B$12*(1+Inputs!$B$13/100))*0.01+Inputs!$B$14*0.0025)/100)*(1+Inputs!$B$15/100)*(1+(Inputs!$B$16+1)/100)*(5000/(6000+Inputs!$B$42*(1-(Inputs!$B$19+((C244=TRUE)*(F244-Calc!F27)))/100)))*(1+(Inputs!$B$24+((C242=TRUE)*(F242-Calc!F25))+((C243=TRUE)*(F243-Calc!F26))+B256)/100)*(1+IF(C229=TRUE,F229,0)/100)*(1+(IF(Skills!A11="ARROW_STREAM",Inputs!$B$17+((C240=TRUE)*(F240-Calc!F23)),Inputs!$B$18+((C245=TRUE)*(F245-Calc!F28))))/100)*((1+(((C230=TRUE)*F230)+((C231=TRUE)*IF(Inputs!$B$38="pvp",F231,(1-Summary!$B$55)*(F231)+Summary!$B$55*(0)))+((C232=TRUE)*F232*IF(AND(Inputs!$B$38&lt;&gt;"pvp",Inputs!$B$43&gt;0),(((R232-1)*(Skills!T15*(1+Inputs!$B$34/100))+MIN((Skills!T15*(1+Inputs!$B$34/100)),MAX(0,Inputs!$B$43-((R232-1)*Skills!D15))))/Inputs!$B$43),IF(Inputs!$B$38="pvp",MIN((Skills!T15*(1+Inputs!$B$34/100)),15)/15,(Skills!T15*(1+Inputs!$B$34/100))/Skills!D15)))+((C247=TRUE)*(F247-Calc!F30)))/100)*I228)</f>
        <v/>
      </c>
      <c r="L228">
        <f>K228*(MIN(Inputs!$B$22+((C241=TRUE)*(F241-Calc!F24)),Inputs!$B$23+((C246=TRUE)*(F246-Calc!F29)))/100+(Inputs!$B$23+((C246=TRUE)*(F246-Calc!F29)))/100)/2</f>
        <v/>
      </c>
      <c r="M228">
        <f>L228*(1+(Inputs!$B$10+0+B255)/100)</f>
        <v/>
      </c>
      <c r="N228">
        <f>L228*(1-MIN((Inputs!$B$9+((C237=TRUE)*(F237-Calc!F20))+B250),100)/100)+M228*(MIN((Inputs!$B$9+((C237=TRUE)*(F237-Calc!F20))+B250),100)/100)</f>
        <v/>
      </c>
      <c r="O228">
        <f>(1-Summary!$B$55)*T228+Summary!$B$55*V228</f>
        <v/>
      </c>
      <c r="P228">
        <f>IF(B260=0,0,O228/B260)</f>
        <v/>
      </c>
      <c r="Q228">
        <f>IFERROR(1/IF(Inputs!$B$38="pvp",15,MAX(0.1,Skills!D11-IF(Skills!E11=TRUE,Inputs!$B$32,0))),0)</f>
        <v/>
      </c>
      <c r="R228">
        <f>IF(AND(Inputs!$B$38&lt;&gt;"pvp",Inputs!$B$43&gt;0),IF(MAX(0,Inputs!$B$43-B257)&lt;=0,0,(INT(MAX(0,Inputs!$B$43-B257)/IF(Inputs!$B$38="pvp",15,MAX(0.1,Skills!D11-IF(Skills!E11=TRUE,Inputs!$B$32,0))))+1)),0)</f>
        <v/>
      </c>
      <c r="S228">
        <f>IFERROR(O228/N228,0)</f>
        <v/>
      </c>
      <c r="T228">
        <f>IF(C228,(H228*N228*IF(AND(Inputs!$B$38&lt;&gt;"pvp",Inputs!$B$43&gt;0),((Skills!G11*((R228-1)*IF(Skills!H11&gt;0,Skills!I11/Skills!H11,1)+IF(Skills!H11&gt;0,MIN(Skills!I11,MAX(0,MAX(0,Inputs!$B$43-B257)-((R228-1)*IF(Inputs!$B$38="pvp",15,MAX(0.1,Skills!D11-IF(Skills!E11=TRUE,Inputs!$B$32,0))))))/Skills!H11,1)))/Inputs!$B$43),G228*Q228))*IF(Inputs!$B$38="pvp",1,1+(Inputs!$B$20+0+Skills!P11)/100),0)</f>
        <v/>
      </c>
      <c r="V228">
        <f>IF(C228,(H228*N228*IF(AND(Inputs!$B$38&lt;&gt;"pvp",Inputs!$B$43&gt;0),((Skills!G11*((R228-1)*IF(Skills!H11&gt;0,Skills!I11/Skills!H11,1)+IF(Skills!H11&gt;0,MIN(Skills!I11,MAX(0,MAX(0,Inputs!$B$43-B257)-((R228-1)*IF(Inputs!$B$38="pvp",15,MAX(0.1,Skills!D11-IF(Skills!E11=TRUE,Inputs!$B$32,0))))))/Skills!H11,1)))/Inputs!$B$43),G228*Q228))*IF(Inputs!$B$38="pvp",1,(1+(Inputs!$B$21+Skills!Q11)/100)*(MIN(Skills!R11,Inputs!$B$37))),0)</f>
        <v/>
      </c>
    </row>
    <row r="229">
      <c r="A229">
        <f>Skills!A12</f>
        <v/>
      </c>
      <c r="B229">
        <f>Skills!B12</f>
        <v/>
      </c>
      <c r="C229">
        <f>Inputs!$B$3&gt;=110</f>
        <v/>
      </c>
      <c r="D229">
        <f>IF(Skills!C12=1,60+Inputs!$B$25+Inputs!$B$29,IF(Skills!C12=2,90+Inputs!$B$26+Inputs!$B$29,IF(Skills!C12=3,120+Inputs!$B$27+Inputs!$B$29,MAX(0,(Inputs!$B$3-100)*3)+Inputs!$B$28+Inputs!$B$29)))</f>
        <v/>
      </c>
      <c r="E229">
        <f>INDEX(FactorTable!$B$2:$Y$301, MATCH(ROUND(MIN(300,MAX(1,D229)),0), FactorTable!$A$2:$A$301,0), Skills!M12+1)</f>
        <v/>
      </c>
      <c r="F229">
        <f>IF(Skills!N12=TRUE,(Skills!L12/10)*(E229/1000),Skills!L12/10)+Skills!O12</f>
        <v/>
      </c>
      <c r="G229" t="inlineStr"/>
      <c r="H229" t="inlineStr"/>
      <c r="I229" t="inlineStr">
        <is>
          <t>1</t>
        </is>
      </c>
      <c r="J229" t="inlineStr"/>
      <c r="K229" t="inlineStr"/>
      <c r="L229" t="inlineStr"/>
      <c r="M229" t="inlineStr"/>
      <c r="N229" t="inlineStr"/>
      <c r="O229" t="inlineStr"/>
      <c r="P229" t="inlineStr"/>
      <c r="Q229" t="inlineStr"/>
      <c r="R229" t="inlineStr"/>
      <c r="S229" t="inlineStr"/>
      <c r="T229" t="inlineStr"/>
      <c r="V229" t="inlineStr"/>
    </row>
    <row r="230">
      <c r="A230">
        <f>Skills!A13</f>
        <v/>
      </c>
      <c r="B230">
        <f>Skills!B13</f>
        <v/>
      </c>
      <c r="C230">
        <f>Inputs!$B$3&gt;=74</f>
        <v/>
      </c>
      <c r="D230">
        <f>IF(Skills!C13=1,60+Inputs!$B$25+Inputs!$B$29,IF(Skills!C13=2,90+Inputs!$B$26+Inputs!$B$29,IF(Skills!C13=3,120+Inputs!$B$27+Inputs!$B$29,MAX(0,(Inputs!$B$3-100)*3)+Inputs!$B$28+Inputs!$B$29)))</f>
        <v/>
      </c>
      <c r="E230">
        <f>INDEX(FactorTable!$B$2:$Y$301, MATCH(ROUND(MIN(300,MAX(1,D230)),0), FactorTable!$A$2:$A$301,0), Skills!M13+1)</f>
        <v/>
      </c>
      <c r="F230">
        <f>IF(Skills!N13=TRUE,(Skills!L13/10)*(E230/1000),Skills!L13/10)+Skills!O13</f>
        <v/>
      </c>
      <c r="G230">
        <f>Skills!G13*IF(Skills!H13&gt;0,Skills!I13/Skills!H13,1)</f>
        <v/>
      </c>
      <c r="H230">
        <f>1-(1-Skills!J13/100)^Skills!K13</f>
        <v/>
      </c>
      <c r="I230" t="inlineStr">
        <is>
          <t>1</t>
        </is>
      </c>
      <c r="J230" t="inlineStr"/>
      <c r="K230" t="inlineStr"/>
      <c r="L230" t="inlineStr"/>
      <c r="M230" t="inlineStr"/>
      <c r="N230" t="inlineStr"/>
      <c r="O230">
        <f>(1-Summary!$B$55)*T230+Summary!$B$55*V230</f>
        <v/>
      </c>
      <c r="P230">
        <f>IF(B260=0,0,O230/B260)</f>
        <v/>
      </c>
      <c r="Q230" t="n">
        <v>0</v>
      </c>
      <c r="R230" t="n">
        <v>0</v>
      </c>
      <c r="S230">
        <f>IFERROR(O230/N230,0)</f>
        <v/>
      </c>
      <c r="T230" t="n">
        <v>0</v>
      </c>
      <c r="V230" t="n">
        <v>0</v>
      </c>
    </row>
    <row r="231">
      <c r="A231">
        <f>Skills!A14</f>
        <v/>
      </c>
      <c r="B231">
        <f>Skills!B14</f>
        <v/>
      </c>
      <c r="C231">
        <f>Inputs!$B$3&gt;=74</f>
        <v/>
      </c>
      <c r="D231">
        <f>IF(Skills!C14=1,60+Inputs!$B$25+Inputs!$B$29,IF(Skills!C14=2,90+Inputs!$B$26+Inputs!$B$29,IF(Skills!C14=3,120+Inputs!$B$27+Inputs!$B$29,MAX(0,(Inputs!$B$3-100)*3)+Inputs!$B$28+Inputs!$B$29)))</f>
        <v/>
      </c>
      <c r="E231">
        <f>INDEX(FactorTable!$B$2:$Y$301, MATCH(ROUND(MIN(300,MAX(1,D231)),0), FactorTable!$A$2:$A$301,0), Skills!M14+1)</f>
        <v/>
      </c>
      <c r="F231">
        <f>IF(Skills!N14=TRUE,(Skills!L14/10)*(E231/1000),Skills!L14/10)+Skills!O14</f>
        <v/>
      </c>
      <c r="G231">
        <f>Skills!G14*IF(Skills!H14&gt;0,Skills!I14/Skills!H14,1)</f>
        <v/>
      </c>
      <c r="H231">
        <f>1-(1-Skills!J14/100)^Skills!K14</f>
        <v/>
      </c>
      <c r="I231" t="inlineStr">
        <is>
          <t>1</t>
        </is>
      </c>
      <c r="J231" t="inlineStr"/>
      <c r="K231" t="inlineStr"/>
      <c r="L231" t="inlineStr"/>
      <c r="M231" t="inlineStr"/>
      <c r="N231" t="inlineStr"/>
      <c r="O231">
        <f>(1-Summary!$B$55)*T231+Summary!$B$55*V231</f>
        <v/>
      </c>
      <c r="P231">
        <f>IF(B260=0,0,O231/B260)</f>
        <v/>
      </c>
      <c r="Q231" t="n">
        <v>0</v>
      </c>
      <c r="R231" t="n">
        <v>0</v>
      </c>
      <c r="S231">
        <f>IFERROR(O231/N231,0)</f>
        <v/>
      </c>
      <c r="T231" t="n">
        <v>0</v>
      </c>
      <c r="V231" t="n">
        <v>0</v>
      </c>
    </row>
    <row r="232">
      <c r="A232">
        <f>Skills!A15</f>
        <v/>
      </c>
      <c r="B232">
        <f>Skills!B15</f>
        <v/>
      </c>
      <c r="C232">
        <f>Inputs!$B$3&gt;=117</f>
        <v/>
      </c>
      <c r="D232">
        <f>IF(Skills!C15=1,60+Inputs!$B$25+Inputs!$B$29,IF(Skills!C15=2,90+Inputs!$B$26+Inputs!$B$29,IF(Skills!C15=3,120+Inputs!$B$27+Inputs!$B$29,MAX(0,(Inputs!$B$3-100)*3)+Inputs!$B$28+Inputs!$B$29)))</f>
        <v/>
      </c>
      <c r="E232">
        <f>INDEX(FactorTable!$B$2:$Y$301, MATCH(ROUND(MIN(300,MAX(1,D232)),0), FactorTable!$A$2:$A$301,0), Skills!M15+1)</f>
        <v/>
      </c>
      <c r="F232">
        <f>IF(Skills!N15=TRUE,(Skills!L15/10)*(E232/1000),Skills!L15/10)+Skills!O15</f>
        <v/>
      </c>
      <c r="G232">
        <f>Skills!G15*IF(Skills!H15&gt;0,Skills!I15/Skills!H15,1)</f>
        <v/>
      </c>
      <c r="H232">
        <f>1-(1-Skills!J15/100)^Skills!K15</f>
        <v/>
      </c>
      <c r="I232" t="inlineStr">
        <is>
          <t>1</t>
        </is>
      </c>
      <c r="J232" t="inlineStr"/>
      <c r="K232" t="inlineStr"/>
      <c r="L232" t="inlineStr"/>
      <c r="M232" t="inlineStr"/>
      <c r="N232" t="inlineStr"/>
      <c r="O232">
        <f>(1-Summary!$B$55)*T232+Summary!$B$55*V232</f>
        <v/>
      </c>
      <c r="P232">
        <f>IF(B260=0,0,O232/B260)</f>
        <v/>
      </c>
      <c r="Q232">
        <f>IFERROR(1/IF(Inputs!$B$38="pvp",15,MAX(0.1,Skills!D15-IF(Skills!E15=TRUE,Inputs!$B$32,0))),0)</f>
        <v/>
      </c>
      <c r="R232">
        <f>IF(AND(Inputs!$B$38&lt;&gt;"pvp",Inputs!$B$43&gt;0),IF(Inputs!$B$43&lt;=0,0,(INT(Inputs!$B$43/IF(Inputs!$B$38="pvp",15,MAX(0.1,Skills!D15-IF(Skills!E15=TRUE,Inputs!$B$32,0))))+1)),0)</f>
        <v/>
      </c>
      <c r="S232">
        <f>IFERROR(O232/N232,0)</f>
        <v/>
      </c>
      <c r="T232" t="n">
        <v>0</v>
      </c>
      <c r="V232" t="n">
        <v>0</v>
      </c>
    </row>
    <row r="233">
      <c r="A233">
        <f>Skills!A16</f>
        <v/>
      </c>
      <c r="B233">
        <f>Skills!B16</f>
        <v/>
      </c>
      <c r="C233">
        <f>Inputs!$B$3&gt;=115</f>
        <v/>
      </c>
      <c r="D233">
        <f>IF(Skills!C16=1,60+Inputs!$B$25+Inputs!$B$29,IF(Skills!C16=2,90+Inputs!$B$26+Inputs!$B$29,IF(Skills!C16=3,120+Inputs!$B$27+Inputs!$B$29,MAX(0,(Inputs!$B$3-100)*3)+Inputs!$B$28+Inputs!$B$29)))</f>
        <v/>
      </c>
      <c r="E233">
        <f>INDEX(FactorTable!$B$2:$Y$301, MATCH(ROUND(MIN(300,MAX(1,D233)),0), FactorTable!$A$2:$A$301,0), Skills!M16+1)</f>
        <v/>
      </c>
      <c r="F233">
        <f>IF(Skills!N16=TRUE,(Skills!L16/10)*(E233/1000),Skills!L16/10)+Skills!O16</f>
        <v/>
      </c>
      <c r="G233">
        <f>Skills!G16*IF(Skills!H16&gt;0,Skills!I16/Skills!H16,1)</f>
        <v/>
      </c>
      <c r="H233">
        <f>1-(1-Skills!J16/100)^Skills!K16</f>
        <v/>
      </c>
      <c r="I233" t="inlineStr">
        <is>
          <t>1</t>
        </is>
      </c>
      <c r="J233" t="inlineStr"/>
      <c r="K233" t="inlineStr"/>
      <c r="L233" t="inlineStr"/>
      <c r="M233" t="inlineStr"/>
      <c r="N233" t="inlineStr"/>
      <c r="O233">
        <f>(1-Summary!$B$55)*T233+Summary!$B$55*V233</f>
        <v/>
      </c>
      <c r="P233">
        <f>IF(B260=0,0,O233/B260)</f>
        <v/>
      </c>
      <c r="Q233">
        <f>IFERROR(1/IF(Inputs!$B$38="pvp",15,MAX(0.1,Skills!D16-IF(Skills!E16=TRUE,Inputs!$B$32,0))),0)</f>
        <v/>
      </c>
      <c r="R233">
        <f>IF(AND(Inputs!$B$38&lt;&gt;"pvp",Inputs!$B$43&gt;0),IF(Inputs!$B$43&lt;=0,0,(INT(Inputs!$B$43/IF(Inputs!$B$38="pvp",15,MAX(0.1,Skills!D16-IF(Skills!E16=TRUE,Inputs!$B$32,0))))+1)),0)</f>
        <v/>
      </c>
      <c r="S233">
        <f>IFERROR(O233/N233,0)</f>
        <v/>
      </c>
      <c r="T233" t="n">
        <v>0</v>
      </c>
      <c r="V233" t="n">
        <v>0</v>
      </c>
    </row>
    <row r="234">
      <c r="A234">
        <f>Skills!A17</f>
        <v/>
      </c>
      <c r="B234">
        <f>Skills!B17</f>
        <v/>
      </c>
      <c r="C234">
        <f>Inputs!$B$3&gt;=66</f>
        <v/>
      </c>
      <c r="D234">
        <f>IF(Skills!C17=1,60+Inputs!$B$25+Inputs!$B$29,IF(Skills!C17=2,90+Inputs!$B$26+Inputs!$B$29,IF(Skills!C17=3,120+Inputs!$B$27+Inputs!$B$29,MAX(0,(Inputs!$B$3-100)*3)+Inputs!$B$28+Inputs!$B$29)))</f>
        <v/>
      </c>
      <c r="E234">
        <f>INDEX(FactorTable!$B$2:$Y$301, MATCH(ROUND(MIN(300,MAX(1,D234)),0), FactorTable!$A$2:$A$301,0), Skills!M17+1)</f>
        <v/>
      </c>
      <c r="F234">
        <f>IF(Skills!N17=TRUE,(Skills!L17/10)*(E234/1000),Skills!L17/10)+Skills!O17</f>
        <v/>
      </c>
      <c r="G234">
        <f>Skills!G17*IF(Skills!H17&gt;0,Skills!I17/Skills!H17,1)</f>
        <v/>
      </c>
      <c r="H234">
        <f>1-(1-Skills!J17/100)^Skills!K17</f>
        <v/>
      </c>
      <c r="I234" t="inlineStr">
        <is>
          <t>1</t>
        </is>
      </c>
      <c r="J234" t="inlineStr"/>
      <c r="K234" t="inlineStr"/>
      <c r="L234" t="inlineStr"/>
      <c r="M234" t="inlineStr"/>
      <c r="N234" t="inlineStr"/>
      <c r="O234">
        <f>(1-Summary!$B$55)*T234+Summary!$B$55*V234</f>
        <v/>
      </c>
      <c r="P234">
        <f>IF(B260=0,0,O234/B260)</f>
        <v/>
      </c>
      <c r="Q234" t="n">
        <v>0</v>
      </c>
      <c r="R234" t="n">
        <v>0</v>
      </c>
      <c r="S234">
        <f>IFERROR(O234/N234,0)</f>
        <v/>
      </c>
      <c r="T234" t="n">
        <v>0</v>
      </c>
      <c r="V234" t="n">
        <v>0</v>
      </c>
    </row>
    <row r="235">
      <c r="A235">
        <f>Skills!A18</f>
        <v/>
      </c>
      <c r="B235">
        <f>Skills!B18</f>
        <v/>
      </c>
      <c r="C235">
        <f>Inputs!$B$3&gt;=72</f>
        <v/>
      </c>
      <c r="D235">
        <f>IF(Skills!C18=1,60+Inputs!$B$25+Inputs!$B$29,IF(Skills!C18=2,90+Inputs!$B$26+Inputs!$B$29,IF(Skills!C18=3,120+Inputs!$B$27+Inputs!$B$29,MAX(0,(Inputs!$B$3-100)*3)+Inputs!$B$28+Inputs!$B$29)))</f>
        <v/>
      </c>
      <c r="E235">
        <f>INDEX(FactorTable!$B$2:$Y$301, MATCH(ROUND(MIN(300,MAX(1,D235)),0), FactorTable!$A$2:$A$301,0), Skills!M18+1)</f>
        <v/>
      </c>
      <c r="F235">
        <f>IF(Skills!N18=TRUE,(Skills!L18/10)*(E235/1000),Skills!L18/10)+Skills!O18</f>
        <v/>
      </c>
      <c r="G235">
        <f>Skills!G18*IF(Skills!H18&gt;0,Skills!I18/Skills!H18,1)</f>
        <v/>
      </c>
      <c r="H235">
        <f>1-(1-Skills!J18/100)^Skills!K18</f>
        <v/>
      </c>
      <c r="I235" t="inlineStr">
        <is>
          <t>1</t>
        </is>
      </c>
      <c r="J235" t="inlineStr"/>
      <c r="K235" t="inlineStr"/>
      <c r="L235" t="inlineStr"/>
      <c r="M235" t="inlineStr"/>
      <c r="N235" t="inlineStr"/>
      <c r="O235">
        <f>(1-Summary!$B$55)*T235+Summary!$B$55*V235</f>
        <v/>
      </c>
      <c r="P235">
        <f>IF(B260=0,0,O235/B260)</f>
        <v/>
      </c>
      <c r="Q235" t="n">
        <v>0</v>
      </c>
      <c r="R235" t="n">
        <v>0</v>
      </c>
      <c r="S235">
        <f>IFERROR(O235/N235,0)</f>
        <v/>
      </c>
      <c r="T235" t="n">
        <v>0</v>
      </c>
      <c r="V235" t="n">
        <v>0</v>
      </c>
    </row>
    <row r="236">
      <c r="A236">
        <f>Skills!A19</f>
        <v/>
      </c>
      <c r="B236">
        <f>Skills!B19</f>
        <v/>
      </c>
      <c r="C236">
        <f>TRUE</f>
        <v/>
      </c>
      <c r="D236">
        <f>IF(Skills!C19=1,60+Inputs!$B$25+Inputs!$B$29,IF(Skills!C19=2,90+Inputs!$B$26+Inputs!$B$29,IF(Skills!C19=3,120+Inputs!$B$27+Inputs!$B$29,MAX(0,(Inputs!$B$3-100)*3)+Inputs!$B$28+Inputs!$B$29)))</f>
        <v/>
      </c>
      <c r="E236">
        <f>INDEX(FactorTable!$B$2:$Y$301, MATCH(ROUND(MIN(300,MAX(1,D236)),0), FactorTable!$A$2:$A$301,0), Skills!M19+1)</f>
        <v/>
      </c>
      <c r="F236">
        <f>IF(Skills!N19=TRUE,(Skills!L19/10)*(E236/1000),Skills!L19/10)+Skills!O19</f>
        <v/>
      </c>
      <c r="G236">
        <f>Skills!G19*IF(Skills!H19&gt;0,Skills!I19/Skills!H19,1)</f>
        <v/>
      </c>
      <c r="H236">
        <f>1-(1-Skills!J19/100)^Skills!K19</f>
        <v/>
      </c>
      <c r="I236" t="inlineStr">
        <is>
          <t>1</t>
        </is>
      </c>
      <c r="J236" t="inlineStr"/>
      <c r="K236" t="inlineStr"/>
      <c r="L236" t="inlineStr"/>
      <c r="M236" t="inlineStr"/>
      <c r="N236" t="inlineStr"/>
      <c r="O236">
        <f>(1-Summary!$B$55)*T236+Summary!$B$55*V236</f>
        <v/>
      </c>
      <c r="P236">
        <f>IF(B260=0,0,O236/B260)</f>
        <v/>
      </c>
      <c r="Q236">
        <f>IFERROR(1/IF(Inputs!$B$38="pvp",15,MAX(0.1,Skills!D19-IF(Skills!E19=TRUE,Inputs!$B$32,0))),0)</f>
        <v/>
      </c>
      <c r="R236">
        <f>IF(AND(Inputs!$B$38&lt;&gt;"pvp",Inputs!$B$43&gt;0),IF(Inputs!$B$43&lt;=0,0,(INT(Inputs!$B$43/IF(Inputs!$B$38="pvp",15,MAX(0.1,Skills!D19-IF(Skills!E19=TRUE,Inputs!$B$32,0))))+1)),0)</f>
        <v/>
      </c>
      <c r="S236">
        <f>IFERROR(O236/N236,0)</f>
        <v/>
      </c>
      <c r="T236" t="n">
        <v>0</v>
      </c>
      <c r="V236" t="n">
        <v>0</v>
      </c>
    </row>
    <row r="237">
      <c r="A237">
        <f>Skills!A20</f>
        <v/>
      </c>
      <c r="B237">
        <f>Skills!B20</f>
        <v/>
      </c>
      <c r="C237">
        <f>Inputs!$B$3&gt;=15</f>
        <v/>
      </c>
      <c r="D237">
        <f>IF(Skills!C20=1,60+Inputs!$B$25+Inputs!$B$29,IF(Skills!C20=2,90+Inputs!$B$26+Inputs!$B$29,IF(Skills!C20=3,120+Inputs!$B$27+Inputs!$B$29,MAX(0,(Inputs!$B$3-100)*3)+Inputs!$B$28+Inputs!$B$29)))</f>
        <v/>
      </c>
      <c r="E237">
        <f>INDEX(FactorTable!$B$2:$Y$301, MATCH(ROUND(MIN(300,MAX(1,D237)),0), FactorTable!$A$2:$A$301,0), Skills!M20+1)</f>
        <v/>
      </c>
      <c r="F237">
        <f>IF(Skills!N20=TRUE,(Skills!L20/10)*(E237/1000),Skills!L20/10)+Skills!O20</f>
        <v/>
      </c>
      <c r="G237">
        <f>Skills!G20*IF(Skills!H20&gt;0,Skills!I20/Skills!H20,1)</f>
        <v/>
      </c>
      <c r="H237">
        <f>1-(1-Skills!J20/100)^Skills!K20</f>
        <v/>
      </c>
      <c r="I237" t="inlineStr">
        <is>
          <t>1</t>
        </is>
      </c>
      <c r="J237" t="inlineStr"/>
      <c r="K237" t="inlineStr"/>
      <c r="L237" t="inlineStr"/>
      <c r="M237" t="inlineStr"/>
      <c r="N237" t="inlineStr"/>
      <c r="O237">
        <f>(1-Summary!$B$55)*T237+Summary!$B$55*V237</f>
        <v/>
      </c>
      <c r="P237">
        <f>IF(B260=0,0,O237/B260)</f>
        <v/>
      </c>
      <c r="Q237" t="n">
        <v>0</v>
      </c>
      <c r="R237" t="n">
        <v>0</v>
      </c>
      <c r="S237">
        <f>IFERROR(O237/N237,0)</f>
        <v/>
      </c>
      <c r="T237" t="n">
        <v>0</v>
      </c>
      <c r="V237" t="n">
        <v>0</v>
      </c>
    </row>
    <row r="238">
      <c r="A238">
        <f>Skills!A21</f>
        <v/>
      </c>
      <c r="B238">
        <f>Skills!B21</f>
        <v/>
      </c>
      <c r="C238">
        <f>Inputs!$B$3&gt;=10</f>
        <v/>
      </c>
      <c r="D238">
        <f>IF(Skills!C21=1,60+Inputs!$B$25+Inputs!$B$29,IF(Skills!C21=2,90+Inputs!$B$26+Inputs!$B$29,IF(Skills!C21=3,120+Inputs!$B$27+Inputs!$B$29,MAX(0,(Inputs!$B$3-100)*3)+Inputs!$B$28+Inputs!$B$29)))</f>
        <v/>
      </c>
      <c r="E238">
        <f>INDEX(FactorTable!$B$2:$Y$301, MATCH(ROUND(MIN(300,MAX(1,D238)),0), FactorTable!$A$2:$A$301,0), Skills!M21+1)</f>
        <v/>
      </c>
      <c r="F238">
        <f>IF(Skills!N21=TRUE,(Skills!L21/10)*(E238/1000),Skills!L21/10)+Skills!O21</f>
        <v/>
      </c>
      <c r="G238">
        <f>Skills!G21*IF(Skills!H21&gt;0,Skills!I21/Skills!H21,1)</f>
        <v/>
      </c>
      <c r="H238">
        <f>1-(1-Skills!J21/100)^Skills!K21</f>
        <v/>
      </c>
      <c r="I238" t="inlineStr">
        <is>
          <t>1</t>
        </is>
      </c>
      <c r="J238" t="inlineStr"/>
      <c r="K238" t="inlineStr"/>
      <c r="L238" t="inlineStr"/>
      <c r="M238" t="inlineStr"/>
      <c r="N238" t="inlineStr"/>
      <c r="O238">
        <f>(1-Summary!$B$55)*T238+Summary!$B$55*V238</f>
        <v/>
      </c>
      <c r="P238">
        <f>IF(B260=0,0,O238/B260)</f>
        <v/>
      </c>
      <c r="Q238" t="n">
        <v>0</v>
      </c>
      <c r="R238" t="n">
        <v>0</v>
      </c>
      <c r="S238">
        <f>IFERROR(O238/N238,0)</f>
        <v/>
      </c>
      <c r="T238" t="n">
        <v>0</v>
      </c>
      <c r="V238" t="n">
        <v>0</v>
      </c>
    </row>
    <row r="239">
      <c r="A239">
        <f>Skills!A22</f>
        <v/>
      </c>
      <c r="B239">
        <f>Skills!B22</f>
        <v/>
      </c>
      <c r="C239">
        <f>Inputs!$B$3&gt;=33</f>
        <v/>
      </c>
      <c r="D239">
        <f>IF(Skills!C22=1,60+Inputs!$B$25+Inputs!$B$29,IF(Skills!C22=2,90+Inputs!$B$26+Inputs!$B$29,IF(Skills!C22=3,120+Inputs!$B$27+Inputs!$B$29,MAX(0,(Inputs!$B$3-100)*3)+Inputs!$B$28+Inputs!$B$29)))</f>
        <v/>
      </c>
      <c r="E239">
        <f>INDEX(FactorTable!$B$2:$Y$301, MATCH(ROUND(MIN(300,MAX(1,D239)),0), FactorTable!$A$2:$A$301,0), Skills!M22+1)</f>
        <v/>
      </c>
      <c r="F239">
        <f>IF(Skills!N22=TRUE,(Skills!L22/10)*(E239/1000),Skills!L22/10)+Skills!O22</f>
        <v/>
      </c>
      <c r="G239">
        <f>Skills!G22*IF(Skills!H22&gt;0,Skills!I22/Skills!H22,1)</f>
        <v/>
      </c>
      <c r="H239">
        <f>1-(1-Skills!J22/100)^Skills!K22</f>
        <v/>
      </c>
      <c r="I239" t="inlineStr">
        <is>
          <t>1</t>
        </is>
      </c>
      <c r="J239" t="inlineStr"/>
      <c r="K239" t="inlineStr"/>
      <c r="L239" t="inlineStr"/>
      <c r="M239" t="inlineStr"/>
      <c r="N239" t="inlineStr"/>
      <c r="O239">
        <f>(1-Summary!$B$55)*T239+Summary!$B$55*V239</f>
        <v/>
      </c>
      <c r="P239">
        <f>IF(B260=0,0,O239/B260)</f>
        <v/>
      </c>
      <c r="Q239" t="n">
        <v>0</v>
      </c>
      <c r="R239" t="n">
        <v>0</v>
      </c>
      <c r="S239">
        <f>IFERROR(O239/N239,0)</f>
        <v/>
      </c>
      <c r="T239" t="n">
        <v>0</v>
      </c>
      <c r="V239" t="n">
        <v>0</v>
      </c>
    </row>
    <row r="240">
      <c r="A240">
        <f>Skills!A23</f>
        <v/>
      </c>
      <c r="B240">
        <f>Skills!B23</f>
        <v/>
      </c>
      <c r="C240">
        <f>Inputs!$B$3&gt;=38</f>
        <v/>
      </c>
      <c r="D240">
        <f>IF(Skills!C23=1,60+Inputs!$B$25+Inputs!$B$29,IF(Skills!C23=2,90+Inputs!$B$26+Inputs!$B$29,IF(Skills!C23=3,120+Inputs!$B$27+Inputs!$B$29,MAX(0,(Inputs!$B$3-100)*3)+Inputs!$B$28+Inputs!$B$29)))</f>
        <v/>
      </c>
      <c r="E240">
        <f>INDEX(FactorTable!$B$2:$Y$301, MATCH(ROUND(MIN(300,MAX(1,D240)),0), FactorTable!$A$2:$A$301,0), Skills!M23+1)</f>
        <v/>
      </c>
      <c r="F240">
        <f>IF(Skills!N23=TRUE,(Skills!L23/10)*(E240/1000),Skills!L23/10)+Skills!O23</f>
        <v/>
      </c>
      <c r="G240">
        <f>Skills!G23*IF(Skills!H23&gt;0,Skills!I23/Skills!H23,1)</f>
        <v/>
      </c>
      <c r="H240">
        <f>1-(1-Skills!J23/100)^Skills!K23</f>
        <v/>
      </c>
      <c r="I240" t="inlineStr">
        <is>
          <t>1</t>
        </is>
      </c>
      <c r="J240" t="inlineStr"/>
      <c r="K240" t="inlineStr"/>
      <c r="L240" t="inlineStr"/>
      <c r="M240" t="inlineStr"/>
      <c r="N240" t="inlineStr"/>
      <c r="O240">
        <f>(1-Summary!$B$55)*T240+Summary!$B$55*V240</f>
        <v/>
      </c>
      <c r="P240">
        <f>IF(B260=0,0,O240/B260)</f>
        <v/>
      </c>
      <c r="Q240" t="n">
        <v>0</v>
      </c>
      <c r="R240" t="n">
        <v>0</v>
      </c>
      <c r="S240">
        <f>IFERROR(O240/N240,0)</f>
        <v/>
      </c>
      <c r="T240" t="n">
        <v>0</v>
      </c>
      <c r="V240" t="n">
        <v>0</v>
      </c>
    </row>
    <row r="241">
      <c r="A241">
        <f>Skills!A24</f>
        <v/>
      </c>
      <c r="B241">
        <f>Skills!B24</f>
        <v/>
      </c>
      <c r="C241">
        <f>Inputs!$B$3&gt;=43</f>
        <v/>
      </c>
      <c r="D241">
        <f>IF(Skills!C24=1,60+Inputs!$B$25+Inputs!$B$29,IF(Skills!C24=2,90+Inputs!$B$26+Inputs!$B$29,IF(Skills!C24=3,120+Inputs!$B$27+Inputs!$B$29,MAX(0,(Inputs!$B$3-100)*3)+Inputs!$B$28+Inputs!$B$29)))</f>
        <v/>
      </c>
      <c r="E241">
        <f>INDEX(FactorTable!$B$2:$Y$301, MATCH(ROUND(MIN(300,MAX(1,D241)),0), FactorTable!$A$2:$A$301,0), Skills!M24+1)</f>
        <v/>
      </c>
      <c r="F241">
        <f>IF(Skills!N24=TRUE,(Skills!L24/10)*(E241/1000),Skills!L24/10)+Skills!O24</f>
        <v/>
      </c>
      <c r="G241">
        <f>Skills!G24*IF(Skills!H24&gt;0,Skills!I24/Skills!H24,1)</f>
        <v/>
      </c>
      <c r="H241">
        <f>1-(1-Skills!J24/100)^Skills!K24</f>
        <v/>
      </c>
      <c r="I241" t="inlineStr">
        <is>
          <t>1</t>
        </is>
      </c>
      <c r="J241" t="inlineStr"/>
      <c r="K241" t="inlineStr"/>
      <c r="L241" t="inlineStr"/>
      <c r="M241" t="inlineStr"/>
      <c r="N241" t="inlineStr"/>
      <c r="O241">
        <f>(1-Summary!$B$55)*T241+Summary!$B$55*V241</f>
        <v/>
      </c>
      <c r="P241">
        <f>IF(B260=0,0,O241/B260)</f>
        <v/>
      </c>
      <c r="Q241" t="n">
        <v>0</v>
      </c>
      <c r="R241" t="n">
        <v>0</v>
      </c>
      <c r="S241">
        <f>IFERROR(O241/N241,0)</f>
        <v/>
      </c>
      <c r="T241" t="n">
        <v>0</v>
      </c>
      <c r="V241" t="n">
        <v>0</v>
      </c>
    </row>
    <row r="242">
      <c r="A242">
        <f>Skills!A25</f>
        <v/>
      </c>
      <c r="B242">
        <f>Skills!B25</f>
        <v/>
      </c>
      <c r="C242">
        <f>Inputs!$B$3&gt;=75</f>
        <v/>
      </c>
      <c r="D242">
        <f>IF(Skills!C25=1,60+Inputs!$B$25+Inputs!$B$29,IF(Skills!C25=2,90+Inputs!$B$26+Inputs!$B$29,IF(Skills!C25=3,120+Inputs!$B$27+Inputs!$B$29,MAX(0,(Inputs!$B$3-100)*3)+Inputs!$B$28+Inputs!$B$29)))</f>
        <v/>
      </c>
      <c r="E242">
        <f>INDEX(FactorTable!$B$2:$Y$301, MATCH(ROUND(MIN(300,MAX(1,D242)),0), FactorTable!$A$2:$A$301,0), Skills!M25+1)</f>
        <v/>
      </c>
      <c r="F242">
        <f>IF(Skills!N25=TRUE,(Skills!L25/10)*(E242/1000),Skills!L25/10)+Skills!O25</f>
        <v/>
      </c>
      <c r="G242">
        <f>Skills!G25*IF(Skills!H25&gt;0,Skills!I25/Skills!H25,1)</f>
        <v/>
      </c>
      <c r="H242">
        <f>1-(1-Skills!J25/100)^Skills!K25</f>
        <v/>
      </c>
      <c r="I242" t="inlineStr">
        <is>
          <t>1</t>
        </is>
      </c>
      <c r="J242" t="inlineStr"/>
      <c r="K242" t="inlineStr"/>
      <c r="L242" t="inlineStr"/>
      <c r="M242" t="inlineStr"/>
      <c r="N242" t="inlineStr"/>
      <c r="O242">
        <f>(1-Summary!$B$55)*T242+Summary!$B$55*V242</f>
        <v/>
      </c>
      <c r="P242">
        <f>IF(B260=0,0,O242/B260)</f>
        <v/>
      </c>
      <c r="Q242" t="n">
        <v>0</v>
      </c>
      <c r="R242" t="n">
        <v>0</v>
      </c>
      <c r="S242">
        <f>IFERROR(O242/N242,0)</f>
        <v/>
      </c>
      <c r="T242" t="n">
        <v>0</v>
      </c>
      <c r="V242" t="n">
        <v>0</v>
      </c>
    </row>
    <row r="243">
      <c r="A243">
        <f>Skills!A26</f>
        <v/>
      </c>
      <c r="B243">
        <f>Skills!B26</f>
        <v/>
      </c>
      <c r="C243">
        <f>Inputs!$B$3&gt;=125</f>
        <v/>
      </c>
      <c r="D243">
        <f>IF(Skills!C26=1,60+Inputs!$B$25+Inputs!$B$29,IF(Skills!C26=2,90+Inputs!$B$26+Inputs!$B$29,IF(Skills!C26=3,120+Inputs!$B$27+Inputs!$B$29,MAX(0,(Inputs!$B$3-100)*3)+Inputs!$B$28+Inputs!$B$29)))</f>
        <v/>
      </c>
      <c r="E243">
        <f>INDEX(FactorTable!$B$2:$Y$301, MATCH(ROUND(MIN(300,MAX(1,D243)),0), FactorTable!$A$2:$A$301,0), Skills!M26+1)</f>
        <v/>
      </c>
      <c r="F243">
        <f>IF(Skills!N26=TRUE,(Skills!L26/10)*(E243/1000),Skills!L26/10)+Skills!O26</f>
        <v/>
      </c>
      <c r="G243">
        <f>Skills!G26*IF(Skills!H26&gt;0,Skills!I26/Skills!H26,1)</f>
        <v/>
      </c>
      <c r="H243">
        <f>1-(1-Skills!J26/100)^Skills!K26</f>
        <v/>
      </c>
      <c r="I243" t="inlineStr">
        <is>
          <t>1</t>
        </is>
      </c>
      <c r="J243" t="inlineStr"/>
      <c r="K243" t="inlineStr"/>
      <c r="L243" t="inlineStr"/>
      <c r="M243" t="inlineStr"/>
      <c r="N243" t="inlineStr"/>
      <c r="O243">
        <f>(1-Summary!$B$55)*T243+Summary!$B$55*V243</f>
        <v/>
      </c>
      <c r="P243">
        <f>IF(B260=0,0,O243/B260)</f>
        <v/>
      </c>
      <c r="Q243" t="n">
        <v>0</v>
      </c>
      <c r="R243" t="n">
        <v>0</v>
      </c>
      <c r="S243">
        <f>IFERROR(O243/N243,0)</f>
        <v/>
      </c>
      <c r="T243" t="n">
        <v>0</v>
      </c>
      <c r="V243" t="n">
        <v>0</v>
      </c>
    </row>
    <row r="244">
      <c r="A244">
        <f>Skills!A27</f>
        <v/>
      </c>
      <c r="B244">
        <f>Skills!B27</f>
        <v/>
      </c>
      <c r="C244">
        <f>Inputs!$B$3&gt;=125</f>
        <v/>
      </c>
      <c r="D244">
        <f>IF(Skills!C27=1,60+Inputs!$B$25+Inputs!$B$29,IF(Skills!C27=2,90+Inputs!$B$26+Inputs!$B$29,IF(Skills!C27=3,120+Inputs!$B$27+Inputs!$B$29,MAX(0,(Inputs!$B$3-100)*3)+Inputs!$B$28+Inputs!$B$29)))</f>
        <v/>
      </c>
      <c r="E244">
        <f>INDEX(FactorTable!$B$2:$Y$301, MATCH(ROUND(MIN(300,MAX(1,D244)),0), FactorTable!$A$2:$A$301,0), Skills!M27+1)</f>
        <v/>
      </c>
      <c r="F244">
        <f>IF(Skills!N27=TRUE,(Skills!L27/10)*(E244/1000),Skills!L27/10)+Skills!O27</f>
        <v/>
      </c>
      <c r="G244">
        <f>Skills!G27*IF(Skills!H27&gt;0,Skills!I27/Skills!H27,1)</f>
        <v/>
      </c>
      <c r="H244">
        <f>1-(1-Skills!J27/100)^Skills!K27</f>
        <v/>
      </c>
      <c r="I244" t="inlineStr">
        <is>
          <t>1</t>
        </is>
      </c>
      <c r="J244" t="inlineStr"/>
      <c r="K244" t="inlineStr"/>
      <c r="L244" t="inlineStr"/>
      <c r="M244" t="inlineStr"/>
      <c r="N244" t="inlineStr"/>
      <c r="O244">
        <f>(1-Summary!$B$55)*T244+Summary!$B$55*V244</f>
        <v/>
      </c>
      <c r="P244">
        <f>IF(B260=0,0,O244/B260)</f>
        <v/>
      </c>
      <c r="Q244" t="n">
        <v>0</v>
      </c>
      <c r="R244" t="n">
        <v>0</v>
      </c>
      <c r="S244">
        <f>IFERROR(O244/N244,0)</f>
        <v/>
      </c>
      <c r="T244" t="n">
        <v>0</v>
      </c>
      <c r="V244" t="n">
        <v>0</v>
      </c>
    </row>
    <row r="245">
      <c r="A245">
        <f>Skills!A28</f>
        <v/>
      </c>
      <c r="B245">
        <f>Skills!B28</f>
        <v/>
      </c>
      <c r="C245">
        <f>Inputs!$B$3&gt;=120</f>
        <v/>
      </c>
      <c r="D245">
        <f>IF(Skills!C28=1,60+Inputs!$B$25+Inputs!$B$29,IF(Skills!C28=2,90+Inputs!$B$26+Inputs!$B$29,IF(Skills!C28=3,120+Inputs!$B$27+Inputs!$B$29,MAX(0,(Inputs!$B$3-100)*3)+Inputs!$B$28+Inputs!$B$29)))</f>
        <v/>
      </c>
      <c r="E245">
        <f>INDEX(FactorTable!$B$2:$Y$301, MATCH(ROUND(MIN(300,MAX(1,D245)),0), FactorTable!$A$2:$A$301,0), Skills!M28+1)</f>
        <v/>
      </c>
      <c r="F245">
        <f>IF(Skills!N28=TRUE,(Skills!L28/10)*(E245/1000),Skills!L28/10)+Skills!O28</f>
        <v/>
      </c>
      <c r="G245">
        <f>Skills!G28*IF(Skills!H28&gt;0,Skills!I28/Skills!H28,1)</f>
        <v/>
      </c>
      <c r="H245">
        <f>1-(1-Skills!J28/100)^Skills!K28</f>
        <v/>
      </c>
      <c r="I245" t="inlineStr">
        <is>
          <t>1</t>
        </is>
      </c>
      <c r="J245" t="inlineStr"/>
      <c r="K245" t="inlineStr"/>
      <c r="L245" t="inlineStr"/>
      <c r="M245" t="inlineStr"/>
      <c r="N245" t="inlineStr"/>
      <c r="O245">
        <f>(1-Summary!$B$55)*T245+Summary!$B$55*V245</f>
        <v/>
      </c>
      <c r="P245">
        <f>IF(B260=0,0,O245/B260)</f>
        <v/>
      </c>
      <c r="Q245" t="n">
        <v>0</v>
      </c>
      <c r="R245" t="n">
        <v>0</v>
      </c>
      <c r="S245">
        <f>IFERROR(O245/N245,0)</f>
        <v/>
      </c>
      <c r="T245" t="n">
        <v>0</v>
      </c>
      <c r="V245" t="n">
        <v>0</v>
      </c>
    </row>
    <row r="246">
      <c r="A246">
        <f>Skills!A29</f>
        <v/>
      </c>
      <c r="B246">
        <f>Skills!B29</f>
        <v/>
      </c>
      <c r="C246">
        <f>Inputs!$B$3&gt;=120</f>
        <v/>
      </c>
      <c r="D246">
        <f>IF(Skills!C29=1,60+Inputs!$B$25+Inputs!$B$29,IF(Skills!C29=2,90+Inputs!$B$26+Inputs!$B$29,IF(Skills!C29=3,120+Inputs!$B$27+Inputs!$B$29,MAX(0,(Inputs!$B$3-100)*3)+Inputs!$B$28+Inputs!$B$29)))</f>
        <v/>
      </c>
      <c r="E246">
        <f>INDEX(FactorTable!$B$2:$Y$301, MATCH(ROUND(MIN(300,MAX(1,D246)),0), FactorTable!$A$2:$A$301,0), Skills!M29+1)</f>
        <v/>
      </c>
      <c r="F246">
        <f>IF(Skills!N29=TRUE,(Skills!L29/10)*(E246/1000),Skills!L29/10)+Skills!O29</f>
        <v/>
      </c>
      <c r="G246">
        <f>Skills!G29*IF(Skills!H29&gt;0,Skills!I29/Skills!H29,1)</f>
        <v/>
      </c>
      <c r="H246">
        <f>1-(1-Skills!J29/100)^Skills!K29</f>
        <v/>
      </c>
      <c r="I246" t="inlineStr">
        <is>
          <t>1</t>
        </is>
      </c>
      <c r="J246" t="inlineStr"/>
      <c r="K246" t="inlineStr"/>
      <c r="L246" t="inlineStr"/>
      <c r="M246" t="inlineStr"/>
      <c r="N246" t="inlineStr"/>
      <c r="O246">
        <f>(1-Summary!$B$55)*T246+Summary!$B$55*V246</f>
        <v/>
      </c>
      <c r="P246">
        <f>IF(B260=0,0,O246/B260)</f>
        <v/>
      </c>
      <c r="Q246" t="n">
        <v>0</v>
      </c>
      <c r="R246" t="n">
        <v>0</v>
      </c>
      <c r="S246">
        <f>IFERROR(O246/N246,0)</f>
        <v/>
      </c>
      <c r="T246" t="n">
        <v>0</v>
      </c>
      <c r="V246" t="n">
        <v>0</v>
      </c>
    </row>
    <row r="247">
      <c r="A247">
        <f>Skills!A30</f>
        <v/>
      </c>
      <c r="B247">
        <f>Skills!B30</f>
        <v/>
      </c>
      <c r="C247">
        <f>Inputs!$B$3&gt;=45</f>
        <v/>
      </c>
      <c r="D247">
        <f>IF(Skills!C30=1,60+Inputs!$B$25+Inputs!$B$29,IF(Skills!C30=2,90+Inputs!$B$26+Inputs!$B$29,IF(Skills!C30=3,120+Inputs!$B$27+Inputs!$B$29,MAX(0,(Inputs!$B$3-100)*3)+Inputs!$B$28+Inputs!$B$29)))</f>
        <v/>
      </c>
      <c r="E247">
        <f>INDEX(FactorTable!$B$2:$Y$301, MATCH(ROUND(MIN(300,MAX(1,D247)),0), FactorTable!$A$2:$A$301,0), Skills!M30+1)</f>
        <v/>
      </c>
      <c r="F247">
        <f>IF(Skills!N30=TRUE,(Skills!L30/10)*(E247/1000),Skills!L30/10)+Skills!O30</f>
        <v/>
      </c>
      <c r="G247">
        <f>Skills!G30*IF(Skills!H30&gt;0,Skills!I30/Skills!H30,1)</f>
        <v/>
      </c>
      <c r="H247">
        <f>1-(1-Skills!J30/100)^Skills!K30</f>
        <v/>
      </c>
      <c r="I247" t="inlineStr">
        <is>
          <t>1</t>
        </is>
      </c>
      <c r="J247" t="inlineStr"/>
      <c r="K247" t="inlineStr"/>
      <c r="L247" t="inlineStr"/>
      <c r="M247" t="inlineStr"/>
      <c r="N247" t="inlineStr"/>
      <c r="O247">
        <f>(1-Summary!$B$55)*T247+Summary!$B$55*V247</f>
        <v/>
      </c>
      <c r="P247">
        <f>IF(B260=0,0,O247/B260)</f>
        <v/>
      </c>
      <c r="Q247" t="n">
        <v>0</v>
      </c>
      <c r="R247" t="n">
        <v>0</v>
      </c>
      <c r="S247">
        <f>IFERROR(O247/N247,0)</f>
        <v/>
      </c>
      <c r="T247" t="n">
        <v>0</v>
      </c>
      <c r="V247" t="n">
        <v>0</v>
      </c>
    </row>
    <row r="249">
      <c r="A249" t="inlineStr">
        <is>
          <t>Attack% Bucket Multiplier</t>
        </is>
      </c>
      <c r="B249">
        <f>(1+(((C230=TRUE)*F230)+((C231=TRUE)*IF(Inputs!$B$38="pvp",F231,(1-Summary!$B$55)*(F231)+Summary!$B$55*(0)))+((C232=TRUE)*F232*IF(AND(Inputs!$B$38&lt;&gt;"pvp",Inputs!$B$43&gt;0),(((R232-1)*(Skills!T15*(1+Inputs!$B$34/100))+MIN((Skills!T15*(1+Inputs!$B$34/100)),MAX(0,Inputs!$B$43-((R232-1)*Skills!D15))))/Inputs!$B$43),IF(Inputs!$B$38="pvp",MIN((Skills!T15*(1+Inputs!$B$34/100)),15)/15,(Skills!T15*(1+Inputs!$B$34/100))/Skills!D15)))+((C247=TRUE)*(F247-Calc!F30)))/100)</f>
        <v/>
      </c>
    </row>
    <row r="250">
      <c r="A250" t="inlineStr">
        <is>
          <t>Global Crit Rate Bonus %</t>
        </is>
      </c>
      <c r="B250">
        <f>(C233=TRUE)*20*IF(AND(Inputs!$B$38&lt;&gt;"pvp",Inputs!$B$43&gt;0),(((R233-1)*(Skills!T16*(1+Inputs!$B$34/100))+MIN((Skills!T16*(1+Inputs!$B$34/100)),MAX(0,Inputs!$B$43-((R233-1)*Skills!D16))))/Inputs!$B$43),IF(Inputs!$B$38="pvp",MIN((Skills!T16*(1+Inputs!$B$34/100)),15)/15,(Skills!T16*(1+Inputs!$B$34/100))/Skills!D16))</f>
        <v/>
      </c>
    </row>
    <row r="251">
      <c r="A251" t="inlineStr">
        <is>
          <t>Attack Speed Buff Bonus %</t>
        </is>
      </c>
      <c r="B251">
        <f>((C236=TRUE)*F236*IF(AND(Inputs!$B$38&lt;&gt;"pvp",Inputs!$B$43&gt;0),(((R236-1)*(Skills!T19*(1+Inputs!$B$34/100))+MIN((Skills!T19*(1+Inputs!$B$34/100)),MAX(0,Inputs!$B$43-((R236-1)*Skills!D19))))/Inputs!$B$43),IF(Inputs!$B$38="pvp",MIN((Skills!T19*(1+Inputs!$B$34/100)),15)/15,(Skills!T19*(1+Inputs!$B$34/100))/Skills!D19)))</f>
        <v/>
      </c>
    </row>
    <row r="252">
      <c r="A252" t="inlineStr">
        <is>
          <t>Actions Per Second</t>
        </is>
      </c>
      <c r="B252">
        <f>1+MIN(150,150*(1-(1-(Inputs!$B$11+((C238=TRUE)*(F238-Calc!F21))+((C239=TRUE)*(F239-Calc!F22)))/150)*(1-B251/150)))/100</f>
        <v/>
      </c>
    </row>
    <row r="253">
      <c r="A253" t="inlineStr">
        <is>
          <t>Skill + Buff Cast Rate</t>
        </is>
      </c>
      <c r="B253">
        <f>IF(AND(Inputs!$B$38&lt;&gt;"pvp",Inputs!$B$43&gt;0),SUMPRODUCT((Skills!E2:E30=TRUE)*(C219:C247=TRUE)*R219:R247*Skills!F2:F30)/Inputs!$B$43,SUMPRODUCT((Skills!E2:E30=TRUE)*(C219:C247=TRUE)*Q219:Q247*Skills!F2:F30))</f>
        <v/>
      </c>
    </row>
    <row r="254">
      <c r="A254" t="inlineStr">
        <is>
          <t>Arrow Stream Casts Per Second</t>
        </is>
      </c>
      <c r="B254">
        <f>MAX(0,B252-B253)</f>
        <v/>
      </c>
    </row>
    <row r="255">
      <c r="A255" t="inlineStr">
        <is>
          <t>Global Critical Damage Bonus % (Sharp Eyes + Concentration)</t>
        </is>
      </c>
      <c r="B255">
        <f>(C233=TRUE)*F233*IF(AND(Inputs!$B$38&lt;&gt;"pvp",Inputs!$B$43&gt;0),(((R233-1)*(Skills!T16*(1+Inputs!$B$34/100))+MIN((Skills!T16*(1+Inputs!$B$34/100)),MAX(0,Inputs!$B$43-((R233-1)*Skills!D16))))/Inputs!$B$43),IF(Inputs!$B$38="pvp",MIN((Skills!T16*(1+Inputs!$B$34/100)),15)/15,(Skills!T16*(1+Inputs!$B$34/100))/Skills!D16))+(C234=TRUE)*30</f>
        <v/>
      </c>
    </row>
    <row r="256">
      <c r="A256" t="inlineStr">
        <is>
          <t>Global Final Damage Bonus % (Mortal Blow)</t>
        </is>
      </c>
      <c r="B256">
        <f>(C235=TRUE)*F235</f>
        <v/>
      </c>
    </row>
    <row r="257">
      <c r="A257" t="inlineStr">
        <is>
          <t>Buff-Casting Startup Delay (s, fixed-duration only)</t>
        </is>
      </c>
      <c r="B257">
        <f>IF(AND(Inputs!$B$38&lt;&gt;"pvp",Inputs!$B$43&gt;0),SUMPRODUCT((Skills!T2:T30&gt;0)*(Skills!E2:E30=TRUE)*(C219:C247=TRUE))/B252,0)</f>
        <v/>
      </c>
    </row>
    <row r="258">
      <c r="A258" t="inlineStr">
        <is>
          <t>Boss-Only Total DPS (this block's swept value)</t>
        </is>
      </c>
      <c r="B258">
        <f>SUM(T219:T247)</f>
        <v/>
      </c>
    </row>
    <row r="259">
      <c r="A259" t="inlineStr">
        <is>
          <t>Normal-Only Total DPS (this block's swept value)</t>
        </is>
      </c>
      <c r="B259">
        <f>SUM(V219:V247)</f>
        <v/>
      </c>
    </row>
    <row r="260">
      <c r="A260" s="5" t="inlineStr">
        <is>
          <t>TOTAL DPS</t>
        </is>
      </c>
      <c r="B260" s="5">
        <f>SUM(O219:O247)</f>
        <v/>
      </c>
    </row>
    <row r="263">
      <c r="A263" s="5" t="inlineStr">
        <is>
          <t>Stat: BOSS_DAMAGE %</t>
        </is>
      </c>
    </row>
    <row r="264">
      <c r="A264" s="9" t="inlineStr">
        <is>
          <t>Key</t>
        </is>
      </c>
      <c r="B264" s="9" t="inlineStr">
        <is>
          <t>Name</t>
        </is>
      </c>
      <c r="C264" s="9" t="inlineStr">
        <is>
          <t>Unlocked</t>
        </is>
      </c>
      <c r="D264" s="9" t="inlineStr">
        <is>
          <t>InputLevel</t>
        </is>
      </c>
      <c r="E264" s="9" t="inlineStr">
        <is>
          <t>Factor</t>
        </is>
      </c>
      <c r="F264" s="9" t="inlineStr">
        <is>
          <t>CoefficientPercent</t>
        </is>
      </c>
      <c r="G264" s="9" t="inlineStr">
        <is>
          <t>EffectiveHits</t>
        </is>
      </c>
      <c r="H264" s="9" t="inlineStr">
        <is>
          <t>ProcProbability</t>
        </is>
      </c>
      <c r="I264" s="9" t="inlineStr">
        <is>
          <t>MapleHeroMultiplier</t>
        </is>
      </c>
      <c r="J264" s="9" t="inlineStr">
        <is>
          <t>BaseDamage</t>
        </is>
      </c>
      <c r="K264" s="9" t="inlineStr">
        <is>
          <t>BaseHitDamage</t>
        </is>
      </c>
      <c r="L264" s="9" t="inlineStr">
        <is>
          <t>NonCritAvg</t>
        </is>
      </c>
      <c r="M264" s="9" t="inlineStr">
        <is>
          <t>CritAvg</t>
        </is>
      </c>
      <c r="N264" s="9" t="inlineStr">
        <is>
          <t>ExpectedDamage(perHit)</t>
        </is>
      </c>
      <c r="O264" s="9" t="inlineStr">
        <is>
          <t>DPS</t>
        </is>
      </c>
      <c r="P264" s="9" t="inlineStr">
        <is>
          <t>% of Total</t>
        </is>
      </c>
      <c r="Q264" s="9" t="inlineStr">
        <is>
          <t>InvCooldown</t>
        </is>
      </c>
      <c r="R264" s="9" t="inlineStr">
        <is>
          <t>CastsInFight</t>
        </is>
      </c>
      <c r="S264" s="9" t="inlineStr">
        <is>
          <t>HitRate(perSec)</t>
        </is>
      </c>
      <c r="U264" t="inlineStr">
        <is>
          <t>helpers</t>
        </is>
      </c>
    </row>
    <row r="265">
      <c r="A265">
        <f>Skills!A2</f>
        <v/>
      </c>
      <c r="B265">
        <f>Skills!B2</f>
        <v/>
      </c>
      <c r="C265">
        <f>Inputs!$B$3&gt;=100</f>
        <v/>
      </c>
      <c r="D265" t="inlineStr"/>
      <c r="E265" t="inlineStr"/>
      <c r="F265">
        <f>U267+Skills!O2</f>
        <v/>
      </c>
      <c r="G265">
        <f>Skills!G2*IF(Skills!H2&gt;0,Skills!I2/Skills!H2,1)</f>
        <v/>
      </c>
      <c r="H265">
        <f>1-(1-Skills!J2/100)^Skills!K2</f>
        <v/>
      </c>
      <c r="I265" t="inlineStr">
        <is>
          <t>1</t>
        </is>
      </c>
      <c r="J265">
        <f>((Inputs!$B$6*(1+Inputs!$B$7/100))+(((Inputs!$B$12*(1+Inputs!$B$13/100))-(Inputs!$B$12*(1+Inputs!$B$13/100)))+0.25*(Inputs!$B$14-Inputs!$B$14))*(1+Inputs!$B$7/100))*(F265/100)</f>
        <v/>
      </c>
      <c r="K265">
        <f>J265*(1+((Inputs!$B$12*(1+Inputs!$B$13/100))*0.01+Inputs!$B$14*0.0025)/100)*(1+Inputs!$B$15/100)*(1+Inputs!$B$16/100)*(5000/(6000+Inputs!$B$42*(1-(Inputs!$B$19+((C290=TRUE)*(F290-Calc!F27)))/100)))*(1+(Inputs!$B$24+((C288=TRUE)*(F288-Calc!F25))+((C289=TRUE)*(F289-Calc!F26))+B302)/100)*(1+(IF(Skills!A2="ARROW_STREAM",Inputs!$B$17+((C286=TRUE)*(F286-Calc!F23)),Inputs!$B$18+((C291=TRUE)*(F291-Calc!F28))))/100)*((1+(((C276=TRUE)*F276)+((C277=TRUE)*IF(Inputs!$B$38="pvp",F277,(1-Summary!$B$55)*(F277)+Summary!$B$55*(0)))+((C278=TRUE)*F278*IF(AND(Inputs!$B$38&lt;&gt;"pvp",Inputs!$B$43&gt;0),(((R278-1)*(Skills!T15*(1+Inputs!$B$34/100))+MIN((Skills!T15*(1+Inputs!$B$34/100)),MAX(0,Inputs!$B$43-((R278-1)*Skills!D15))))/Inputs!$B$43),IF(Inputs!$B$38="pvp",MIN((Skills!T15*(1+Inputs!$B$34/100)),15)/15,(Skills!T15*(1+Inputs!$B$34/100))/Skills!D15)))+((C293=TRUE)*(F293-Calc!F30)))/100)*I265)</f>
        <v/>
      </c>
      <c r="L265">
        <f>K265*(MIN(Inputs!$B$22+((C287=TRUE)*(F287-Calc!F24)),Inputs!$B$23+((C292=TRUE)*(F292-Calc!F29)))/100+(Inputs!$B$23+((C292=TRUE)*(F292-Calc!F29)))/100)/2</f>
        <v/>
      </c>
      <c r="M265">
        <f>L265*(1+(Inputs!$B$10+0+B301)/100)</f>
        <v/>
      </c>
      <c r="N265">
        <f>L265*(1-MIN((Inputs!$B$9+((C283=TRUE)*(F283-Calc!F20))+B296),100)/100)+M265*(MIN((Inputs!$B$9+((C283=TRUE)*(F283-Calc!F20))+B296),100)/100)</f>
        <v/>
      </c>
      <c r="O265">
        <f>(1-Summary!$B$55)*T265+Summary!$B$55*V265</f>
        <v/>
      </c>
      <c r="P265">
        <f>IF(B306=0,0,O265/B306)</f>
        <v/>
      </c>
      <c r="Q265" t="n">
        <v>0</v>
      </c>
      <c r="R265" t="n">
        <v>0</v>
      </c>
      <c r="S265">
        <f>IFERROR(O265/N265,0)</f>
        <v/>
      </c>
      <c r="T265">
        <f>IF(C265,(Skills!G2*N265*B300)*IF(Inputs!$B$38="pvp",1,1+((Inputs!$B$20+1)+0+Skills!P2)/100),0)</f>
        <v/>
      </c>
      <c r="U265">
        <f>MAX(0,(Inputs!$B$3-100)*3)+Inputs!$B$28+Inputs!$B$29</f>
        <v/>
      </c>
      <c r="V265">
        <f>IF(C265,(Skills!G2*N265*B300)*IF(Inputs!$B$38="pvp",1,(1+(Inputs!$B$21+Skills!Q2)/100)*(MIN((6+Inputs!$B$33),Inputs!$B$37))),0)</f>
        <v/>
      </c>
    </row>
    <row r="266">
      <c r="A266">
        <f>Skills!A3</f>
        <v/>
      </c>
      <c r="B266">
        <f>Skills!B3</f>
        <v/>
      </c>
      <c r="C266">
        <f>Inputs!$B$3&gt;=50</f>
        <v/>
      </c>
      <c r="D266">
        <f>IF(Skills!C3=1,60+Inputs!$B$25+Inputs!$B$29,IF(Skills!C3=2,90+Inputs!$B$26+Inputs!$B$29,IF(Skills!C3=3,120+Inputs!$B$27+Inputs!$B$29,MAX(0,(Inputs!$B$3-100)*3)+Inputs!$B$28+Inputs!$B$29)))</f>
        <v/>
      </c>
      <c r="E266">
        <f>INDEX(FactorTable!$B$2:$Y$301, MATCH(ROUND(MIN(300,MAX(1,D266)),0), FactorTable!$A$2:$A$301,0), Skills!M3+1)</f>
        <v/>
      </c>
      <c r="F266">
        <f>IF(Skills!N3=TRUE,(Skills!L3/10)*(E266/1000),Skills!L3/10)+Skills!O3</f>
        <v/>
      </c>
      <c r="G266" t="inlineStr"/>
      <c r="H266" t="inlineStr"/>
      <c r="I266" t="inlineStr">
        <is>
          <t>1</t>
        </is>
      </c>
      <c r="J266" t="inlineStr"/>
      <c r="K266" t="inlineStr"/>
      <c r="L266" t="inlineStr"/>
      <c r="M266" t="inlineStr"/>
      <c r="N266" t="inlineStr"/>
      <c r="O266" t="inlineStr"/>
      <c r="P266" t="inlineStr"/>
      <c r="Q266" t="inlineStr"/>
      <c r="R266" t="inlineStr"/>
      <c r="S266" t="inlineStr"/>
      <c r="T266" t="inlineStr"/>
      <c r="U266">
        <f>INDEX(FactorTable!$B$2:$Y$301, MATCH(ROUND(MIN(300,MAX(1,U265)),0), FactorTable!$A$2:$A$301,0), 22)</f>
        <v/>
      </c>
      <c r="V266" t="inlineStr"/>
    </row>
    <row r="267">
      <c r="A267">
        <f>Skills!A4</f>
        <v/>
      </c>
      <c r="B267">
        <f>Skills!B4</f>
        <v/>
      </c>
      <c r="C267">
        <f>Inputs!$B$3&gt;=105</f>
        <v/>
      </c>
      <c r="D267">
        <f>IF(Skills!C4=1,60+Inputs!$B$25+Inputs!$B$29,IF(Skills!C4=2,90+Inputs!$B$26+Inputs!$B$29,IF(Skills!C4=3,120+Inputs!$B$27+Inputs!$B$29,MAX(0,(Inputs!$B$3-100)*3)+Inputs!$B$28+Inputs!$B$29)))</f>
        <v/>
      </c>
      <c r="E267">
        <f>INDEX(FactorTable!$B$2:$Y$301, MATCH(ROUND(MIN(300,MAX(1,D267)),0), FactorTable!$A$2:$A$301,0), Skills!M4+1)</f>
        <v/>
      </c>
      <c r="F267">
        <f>IF(Skills!N4=TRUE,(Skills!L4/10)*(E267/1000),Skills!L4/10)+Skills!O4</f>
        <v/>
      </c>
      <c r="G267" t="inlineStr"/>
      <c r="H267" t="inlineStr"/>
      <c r="I267" t="inlineStr">
        <is>
          <t>1</t>
        </is>
      </c>
      <c r="J267" t="inlineStr"/>
      <c r="K267" t="inlineStr"/>
      <c r="L267" t="inlineStr"/>
      <c r="M267" t="inlineStr"/>
      <c r="N267" t="inlineStr"/>
      <c r="O267" t="inlineStr"/>
      <c r="P267" t="inlineStr"/>
      <c r="Q267" t="inlineStr"/>
      <c r="R267" t="inlineStr"/>
      <c r="S267" t="inlineStr"/>
      <c r="T267" t="inlineStr"/>
      <c r="U267">
        <f>290*U266/1000</f>
        <v/>
      </c>
      <c r="V267" t="inlineStr"/>
    </row>
    <row r="268">
      <c r="A268">
        <f>Skills!A5</f>
        <v/>
      </c>
      <c r="B268">
        <f>Skills!B5</f>
        <v/>
      </c>
      <c r="C268">
        <f>Inputs!$B$3&gt;=35</f>
        <v/>
      </c>
      <c r="D268">
        <f>IF(Skills!C5=1,60+Inputs!$B$25+Inputs!$B$29,IF(Skills!C5=2,90+Inputs!$B$26+Inputs!$B$29,IF(Skills!C5=3,120+Inputs!$B$27+Inputs!$B$29,MAX(0,(Inputs!$B$3-100)*3)+Inputs!$B$28+Inputs!$B$29)))</f>
        <v/>
      </c>
      <c r="E268">
        <f>INDEX(FactorTable!$B$2:$Y$301, MATCH(ROUND(MIN(300,MAX(1,D268)),0), FactorTable!$A$2:$A$301,0), Skills!M5+1)</f>
        <v/>
      </c>
      <c r="F268">
        <f>IF(Skills!N5=TRUE,(Skills!L5/10)*(E268/1000),Skills!L5/10)+Skills!O5</f>
        <v/>
      </c>
      <c r="G268">
        <f>Skills!G5*IF(Skills!H5&gt;0,Skills!I5/Skills!H5,1)</f>
        <v/>
      </c>
      <c r="H268">
        <f>1-(1-Skills!J5/100)^Skills!K5</f>
        <v/>
      </c>
      <c r="I268" t="inlineStr">
        <is>
          <t>1</t>
        </is>
      </c>
      <c r="J268">
        <f>((Inputs!$B$6*(1+Inputs!$B$7/100))+(((Inputs!$B$12*(1+Inputs!$B$13/100))-(Inputs!$B$12*(1+Inputs!$B$13/100)))+0.25*(Inputs!$B$14-Inputs!$B$14))*(1+Inputs!$B$7/100))*(F268/100)</f>
        <v/>
      </c>
      <c r="K268">
        <f>J268*(1+((Inputs!$B$12*(1+Inputs!$B$13/100))*0.01+Inputs!$B$14*0.0025)/100)*(1+Inputs!$B$15/100)*(1+Inputs!$B$16/100)*(5000/(6000+Inputs!$B$42*(1-(Inputs!$B$19+((C290=TRUE)*(F290-Calc!F27)))/100)))*(1+(Inputs!$B$24+((C288=TRUE)*(F288-Calc!F25))+((C289=TRUE)*(F289-Calc!F26))+B302)/100)*(1+4.0*IF(C273=TRUE,F273,0)/100)*(1+(IF(Skills!A5="ARROW_STREAM",Inputs!$B$17+((C286=TRUE)*(F286-Calc!F23)),Inputs!$B$18+((C291=TRUE)*(F291-Calc!F28))))/100)*((1+(((C276=TRUE)*F276)+((C277=TRUE)*IF(Inputs!$B$38="pvp",F277,(1-Summary!$B$55)*(F277)+Summary!$B$55*(0)))+((C278=TRUE)*F278*IF(AND(Inputs!$B$38&lt;&gt;"pvp",Inputs!$B$43&gt;0),(((R278-1)*(Skills!T15*(1+Inputs!$B$34/100))+MIN((Skills!T15*(1+Inputs!$B$34/100)),MAX(0,Inputs!$B$43-((R278-1)*Skills!D15))))/Inputs!$B$43),IF(Inputs!$B$38="pvp",MIN((Skills!T15*(1+Inputs!$B$34/100)),15)/15,(Skills!T15*(1+Inputs!$B$34/100))/Skills!D15)))+((C293=TRUE)*(F293-Calc!F30)))/100)*I268)</f>
        <v/>
      </c>
      <c r="L268">
        <f>K268*(MIN(Inputs!$B$22+((C287=TRUE)*(F287-Calc!F24)),Inputs!$B$23+((C292=TRUE)*(F292-Calc!F29)))/100+(Inputs!$B$23+((C292=TRUE)*(F292-Calc!F29)))/100)/2</f>
        <v/>
      </c>
      <c r="M268">
        <f>L268*(1+(Inputs!$B$10+0+B301)/100)</f>
        <v/>
      </c>
      <c r="N268">
        <f>L268*(1-MIN((Inputs!$B$9+((C283=TRUE)*(F283-Calc!F20))+B296),100)/100)+M268*(MIN((Inputs!$B$9+((C283=TRUE)*(F283-Calc!F20))+B296),100)/100)</f>
        <v/>
      </c>
      <c r="O268">
        <f>(1-Summary!$B$55)*T268+Summary!$B$55*V268</f>
        <v/>
      </c>
      <c r="P268">
        <f>IF(B306=0,0,O268/B306)</f>
        <v/>
      </c>
      <c r="Q268">
        <f>IFERROR(1/IF(Inputs!$B$38="pvp",15,MAX(0.1,Skills!D5-IF(Skills!E5=TRUE,Inputs!$B$32,0))),0)</f>
        <v/>
      </c>
      <c r="R268">
        <f>IF(AND(Inputs!$B$38&lt;&gt;"pvp",Inputs!$B$43&gt;0),IF(MAX(0,Inputs!$B$43-B303)&lt;=0,0,(INT(MAX(0,Inputs!$B$43-B303)/IF(Inputs!$B$38="pvp",15,MAX(0.1,Skills!D5-IF(Skills!E5=TRUE,Inputs!$B$32,0))))+1)),0)</f>
        <v/>
      </c>
      <c r="S268">
        <f>IFERROR(O268/N268,0)</f>
        <v/>
      </c>
      <c r="T268">
        <f>IF(C268,(H268*N268*IF(AND(Inputs!$B$38&lt;&gt;"pvp",Inputs!$B$43&gt;0),((Skills!G5*((R268-1)*IF(Skills!H5&gt;0,Skills!I5/Skills!H5,1)+IF(Skills!H5&gt;0,MIN(Skills!I5,MAX(0,MAX(0,Inputs!$B$43-B303)-((R268-1)*IF(Inputs!$B$38="pvp",15,MAX(0.1,Skills!D5-IF(Skills!E5=TRUE,Inputs!$B$32,0))))))/Skills!H5,1)))/Inputs!$B$43),G268*Q268))*IF(Inputs!$B$38="pvp",1,1+((Inputs!$B$20+1)+0+Skills!P5)/100),0)</f>
        <v/>
      </c>
      <c r="V268">
        <f>IF(C268,(H268*N268*IF(AND(Inputs!$B$38&lt;&gt;"pvp",Inputs!$B$43&gt;0),((Skills!G5*((R268-1)*IF(Skills!H5&gt;0,Skills!I5/Skills!H5,1)+IF(Skills!H5&gt;0,MIN(Skills!I5,MAX(0,MAX(0,Inputs!$B$43-B303)-((R268-1)*IF(Inputs!$B$38="pvp",15,MAX(0.1,Skills!D5-IF(Skills!E5=TRUE,Inputs!$B$32,0))))))/Skills!H5,1)))/Inputs!$B$43),G268*Q268))*IF(Inputs!$B$38="pvp",1,(1+(Inputs!$B$21+Skills!Q5)/100)*(MIN(Skills!R5,Inputs!$B$37))),0)</f>
        <v/>
      </c>
    </row>
    <row r="269">
      <c r="A269">
        <f>Skills!A6</f>
        <v/>
      </c>
      <c r="B269">
        <f>Skills!B6</f>
        <v/>
      </c>
      <c r="C269">
        <f>Inputs!$B$3&gt;=40</f>
        <v/>
      </c>
      <c r="D269">
        <f>IF(Skills!C6=1,60+Inputs!$B$25+Inputs!$B$29,IF(Skills!C6=2,90+Inputs!$B$26+Inputs!$B$29,IF(Skills!C6=3,120+Inputs!$B$27+Inputs!$B$29,MAX(0,(Inputs!$B$3-100)*3)+Inputs!$B$28+Inputs!$B$29)))</f>
        <v/>
      </c>
      <c r="E269">
        <f>INDEX(FactorTable!$B$2:$Y$301, MATCH(ROUND(MIN(300,MAX(1,D269)),0), FactorTable!$A$2:$A$301,0), Skills!M6+1)</f>
        <v/>
      </c>
      <c r="F269">
        <f>IF(Skills!N6=TRUE,(Skills!L6/10)*(E269/1000),Skills!L6/10)+Skills!O6</f>
        <v/>
      </c>
      <c r="G269">
        <f>Skills!G6*IF(Skills!H6&gt;0,Skills!I6/Skills!H6,1)</f>
        <v/>
      </c>
      <c r="H269">
        <f>1-(1-Skills!J6/100)^Skills!K6</f>
        <v/>
      </c>
      <c r="I269" t="inlineStr">
        <is>
          <t>1</t>
        </is>
      </c>
      <c r="J269">
        <f>((Inputs!$B$6*(1+Inputs!$B$7/100))+(((Inputs!$B$12*(1+Inputs!$B$13/100))-(Inputs!$B$12*(1+Inputs!$B$13/100)))+0.25*(Inputs!$B$14-Inputs!$B$14))*(1+Inputs!$B$7/100))*(F269/100)</f>
        <v/>
      </c>
      <c r="K269">
        <f>J269*(1+((Inputs!$B$12*(1+Inputs!$B$13/100))*0.01+Inputs!$B$14*0.0025)/100)*(1+Inputs!$B$15/100)*(1+Inputs!$B$16/100)*(5000/(6000+Inputs!$B$42*(1-(Inputs!$B$19+((C290=TRUE)*(F290-Calc!F27)))/100)))*(1+(Inputs!$B$24+((C288=TRUE)*(F288-Calc!F25))+((C289=TRUE)*(F289-Calc!F26))+B302)/100)*(1+IF(C270=TRUE,F270,0)/100)*(1+(IF(Skills!A6="ARROW_STREAM",Inputs!$B$17+((C286=TRUE)*(F286-Calc!F23)),Inputs!$B$18+((C291=TRUE)*(F291-Calc!F28))))/100)*((1+(((C276=TRUE)*F276)+((C277=TRUE)*IF(Inputs!$B$38="pvp",F277,(1-Summary!$B$55)*(F277)+Summary!$B$55*(0)))+((C278=TRUE)*F278*IF(AND(Inputs!$B$38&lt;&gt;"pvp",Inputs!$B$43&gt;0),(((R278-1)*(Skills!T15*(1+Inputs!$B$34/100))+MIN((Skills!T15*(1+Inputs!$B$34/100)),MAX(0,Inputs!$B$43-((R278-1)*Skills!D15))))/Inputs!$B$43),IF(Inputs!$B$38="pvp",MIN((Skills!T15*(1+Inputs!$B$34/100)),15)/15,(Skills!T15*(1+Inputs!$B$34/100))/Skills!D15)))+((C293=TRUE)*(F293-Calc!F30)))/100)*I269)</f>
        <v/>
      </c>
      <c r="L269">
        <f>K269*(MIN(Inputs!$B$22+((C287=TRUE)*(F287-Calc!F24)),Inputs!$B$23+((C292=TRUE)*(F292-Calc!F29)))/100+(Inputs!$B$23+((C292=TRUE)*(F292-Calc!F29)))/100)/2</f>
        <v/>
      </c>
      <c r="M269">
        <f>L269*(1+(Inputs!$B$10+0+B301)/100)</f>
        <v/>
      </c>
      <c r="N269">
        <f>L269*(1-MIN((Inputs!$B$9+((C283=TRUE)*(F283-Calc!F20))+B296),100)/100)+M269*(MIN((Inputs!$B$9+((C283=TRUE)*(F283-Calc!F20))+B296),100)/100)</f>
        <v/>
      </c>
      <c r="O269">
        <f>(1-Summary!$B$55)*T269+Summary!$B$55*V269</f>
        <v/>
      </c>
      <c r="P269">
        <f>IF(B306=0,0,O269/B306)</f>
        <v/>
      </c>
      <c r="Q269">
        <f>IFERROR(1/IF(Inputs!$B$38="pvp",15,MAX(0.1,Skills!D6-IF(Skills!E6=TRUE,Inputs!$B$32,0))),0)</f>
        <v/>
      </c>
      <c r="R269">
        <f>IF(AND(Inputs!$B$38&lt;&gt;"pvp",Inputs!$B$43&gt;0),IF(MAX(0,Inputs!$B$43-B303)&lt;=0,0,(INT(MAX(0,Inputs!$B$43-B303)/IF(Inputs!$B$38="pvp",15,MAX(0.1,Skills!D6-IF(Skills!E6=TRUE,Inputs!$B$32,0))))+1)),0)</f>
        <v/>
      </c>
      <c r="S269">
        <f>IFERROR(O269/N269,0)</f>
        <v/>
      </c>
      <c r="T269">
        <f>IF(C269,(H269*N269*IF(AND(Inputs!$B$38&lt;&gt;"pvp",Inputs!$B$43&gt;0),((Skills!G6*((R269-1)*IF(Skills!H6&gt;0,Skills!I6/Skills!H6,1)+IF(Skills!H6&gt;0,MIN(Skills!I6,MAX(0,MAX(0,Inputs!$B$43-B303)-((R269-1)*IF(Inputs!$B$38="pvp",15,MAX(0.1,Skills!D6-IF(Skills!E6=TRUE,Inputs!$B$32,0))))))/Skills!H6,1)))/Inputs!$B$43),G269*Q269))*IF(Inputs!$B$38="pvp",1,1+((Inputs!$B$20+1)+0+Skills!P6)/100),0)</f>
        <v/>
      </c>
      <c r="V269">
        <f>IF(C269,(H269*N269*IF(AND(Inputs!$B$38&lt;&gt;"pvp",Inputs!$B$43&gt;0),((Skills!G6*((R269-1)*IF(Skills!H6&gt;0,Skills!I6/Skills!H6,1)+IF(Skills!H6&gt;0,MIN(Skills!I6,MAX(0,MAX(0,Inputs!$B$43-B303)-((R269-1)*IF(Inputs!$B$38="pvp",15,MAX(0.1,Skills!D6-IF(Skills!E6=TRUE,Inputs!$B$32,0))))))/Skills!H6,1)))/Inputs!$B$43),G269*Q269))*IF(Inputs!$B$38="pvp",1,(1+(Inputs!$B$21+Skills!Q6)/100)*(MIN(Skills!R6,Inputs!$B$37))),0)</f>
        <v/>
      </c>
    </row>
    <row r="270">
      <c r="A270">
        <f>Skills!A7</f>
        <v/>
      </c>
      <c r="B270">
        <f>Skills!B7</f>
        <v/>
      </c>
      <c r="C270">
        <f>Inputs!$B$3&gt;=107</f>
        <v/>
      </c>
      <c r="D270">
        <f>IF(Skills!C7=1,60+Inputs!$B$25+Inputs!$B$29,IF(Skills!C7=2,90+Inputs!$B$26+Inputs!$B$29,IF(Skills!C7=3,120+Inputs!$B$27+Inputs!$B$29,MAX(0,(Inputs!$B$3-100)*3)+Inputs!$B$28+Inputs!$B$29)))</f>
        <v/>
      </c>
      <c r="E270">
        <f>INDEX(FactorTable!$B$2:$Y$301, MATCH(ROUND(MIN(300,MAX(1,D270)),0), FactorTable!$A$2:$A$301,0), Skills!M7+1)</f>
        <v/>
      </c>
      <c r="F270">
        <f>IF(Skills!N7=TRUE,(Skills!L7/10)*(E270/1000),Skills!L7/10)+Skills!O7</f>
        <v/>
      </c>
      <c r="G270" t="inlineStr"/>
      <c r="H270" t="inlineStr"/>
      <c r="I270" t="inlineStr">
        <is>
          <t>1</t>
        </is>
      </c>
      <c r="J270" t="inlineStr"/>
      <c r="K270" t="inlineStr"/>
      <c r="L270" t="inlineStr"/>
      <c r="M270" t="inlineStr"/>
      <c r="N270" t="inlineStr"/>
      <c r="O270" t="inlineStr"/>
      <c r="P270" t="inlineStr"/>
      <c r="Q270" t="inlineStr"/>
      <c r="R270" t="inlineStr"/>
      <c r="S270" t="inlineStr"/>
      <c r="T270" t="inlineStr"/>
      <c r="V270" t="inlineStr"/>
    </row>
    <row r="271">
      <c r="A271">
        <f>Skills!A8</f>
        <v/>
      </c>
      <c r="B271">
        <f>Skills!B8</f>
        <v/>
      </c>
      <c r="C271">
        <f>Inputs!$B$3&gt;=69</f>
        <v/>
      </c>
      <c r="D271">
        <f>IF(Skills!C8=1,60+Inputs!$B$25+Inputs!$B$29,IF(Skills!C8=2,90+Inputs!$B$26+Inputs!$B$29,IF(Skills!C8=3,120+Inputs!$B$27+Inputs!$B$29,MAX(0,(Inputs!$B$3-100)*3)+Inputs!$B$28+Inputs!$B$29)))</f>
        <v/>
      </c>
      <c r="E271">
        <f>INDEX(FactorTable!$B$2:$Y$301, MATCH(ROUND(MIN(300,MAX(1,D271)),0), FactorTable!$A$2:$A$301,0), Skills!M8+1)</f>
        <v/>
      </c>
      <c r="F271">
        <f>IF(Skills!N8=TRUE,(Skills!L8/10)*(E271/1000),Skills!L8/10)+Skills!O8</f>
        <v/>
      </c>
      <c r="G271">
        <f>Skills!G8*IF(Skills!H8&gt;0,Skills!I8/Skills!H8,1)</f>
        <v/>
      </c>
      <c r="H271">
        <f>1-(1-Skills!J8/100)^Skills!K8</f>
        <v/>
      </c>
      <c r="I271" t="inlineStr">
        <is>
          <t>1</t>
        </is>
      </c>
      <c r="J271">
        <f>((Inputs!$B$6*(1+Inputs!$B$7/100))+(((Inputs!$B$12*(1+Inputs!$B$13/100))-(Inputs!$B$12*(1+Inputs!$B$13/100)))+0.25*(Inputs!$B$14-Inputs!$B$14))*(1+Inputs!$B$7/100))*(F271/100)</f>
        <v/>
      </c>
      <c r="K271">
        <f>J271*(1+((Inputs!$B$12*(1+Inputs!$B$13/100))*0.01+Inputs!$B$14*0.0025)/100)*(1+Inputs!$B$15/100)*(1+Inputs!$B$16/100)*(5000/(6000+Inputs!$B$42*(1-(Inputs!$B$19+((C290=TRUE)*(F290-Calc!F27)))/100)))*(1+(Inputs!$B$24+((C288=TRUE)*(F288-Calc!F25))+((C289=TRUE)*(F289-Calc!F26))+B302)/100)*(1+1.2*IF(C273=TRUE,F273,0)/100)*(1+(IF(Skills!A8="ARROW_STREAM",Inputs!$B$17+((C286=TRUE)*(F286-Calc!F23)),Inputs!$B$18+((C291=TRUE)*(F291-Calc!F28))))/100)*((1+(((C276=TRUE)*F276)+((C277=TRUE)*IF(Inputs!$B$38="pvp",F277,(1-Summary!$B$55)*(F277)+Summary!$B$55*(0)))+((C278=TRUE)*F278*IF(AND(Inputs!$B$38&lt;&gt;"pvp",Inputs!$B$43&gt;0),(((R278-1)*(Skills!T15*(1+Inputs!$B$34/100))+MIN((Skills!T15*(1+Inputs!$B$34/100)),MAX(0,Inputs!$B$43-((R278-1)*Skills!D15))))/Inputs!$B$43),IF(Inputs!$B$38="pvp",MIN((Skills!T15*(1+Inputs!$B$34/100)),15)/15,(Skills!T15*(1+Inputs!$B$34/100))/Skills!D15)))+((C293=TRUE)*(F293-Calc!F30)))/100)*I271)</f>
        <v/>
      </c>
      <c r="L271">
        <f>K271*(MIN(Inputs!$B$22+((C287=TRUE)*(F287-Calc!F24)),Inputs!$B$23+((C292=TRUE)*(F292-Calc!F29)))/100+(Inputs!$B$23+((C292=TRUE)*(F292-Calc!F29)))/100)/2</f>
        <v/>
      </c>
      <c r="M271">
        <f>L271*(1+(Inputs!$B$10+0+B301)/100)</f>
        <v/>
      </c>
      <c r="N271">
        <f>L271*(1-MIN((Inputs!$B$9+((C283=TRUE)*(F283-Calc!F20))+B296),100)/100)+M271*(MIN((Inputs!$B$9+((C283=TRUE)*(F283-Calc!F20))+B296),100)/100)</f>
        <v/>
      </c>
      <c r="O271">
        <f>(1-Summary!$B$55)*T271+Summary!$B$55*V271</f>
        <v/>
      </c>
      <c r="P271">
        <f>IF(B306=0,0,O271/B306)</f>
        <v/>
      </c>
      <c r="Q271">
        <f>IFERROR(1/IF(Inputs!$B$38="pvp",15,MAX(0.1,Skills!D8-IF(Skills!E8=TRUE,Inputs!$B$32,0))),0)</f>
        <v/>
      </c>
      <c r="R271">
        <f>IF(AND(Inputs!$B$38&lt;&gt;"pvp",Inputs!$B$43&gt;0),IF(MAX(0,Inputs!$B$43-B303)&lt;=0,0,(INT(MAX(0,Inputs!$B$43-B303)/IF(Inputs!$B$38="pvp",15,MAX(0.1,Skills!D8-IF(Skills!E8=TRUE,Inputs!$B$32,0))))+1)),0)</f>
        <v/>
      </c>
      <c r="S271">
        <f>IFERROR(O271/N271,0)</f>
        <v/>
      </c>
      <c r="T271">
        <f>IF(C271,(H271*N271*IF(AND(Inputs!$B$38&lt;&gt;"pvp",Inputs!$B$43&gt;0),((Skills!G8*((R271-1)*IF(Skills!H8&gt;0,Skills!I8/Skills!H8,1)+IF(Skills!H8&gt;0,MIN(Skills!I8,MAX(0,MAX(0,Inputs!$B$43-B303)-((R271-1)*IF(Inputs!$B$38="pvp",15,MAX(0.1,Skills!D8-IF(Skills!E8=TRUE,Inputs!$B$32,0))))))/Skills!H8,1)))/Inputs!$B$43),G271*Q271))*IF(Inputs!$B$38="pvp",1,1+((Inputs!$B$20+1)+0+Skills!P8)/100),0)</f>
        <v/>
      </c>
      <c r="V271">
        <f>IF(C271,(H271*N271*IF(AND(Inputs!$B$38&lt;&gt;"pvp",Inputs!$B$43&gt;0),((Skills!G8*((R271-1)*IF(Skills!H8&gt;0,Skills!I8/Skills!H8,1)+IF(Skills!H8&gt;0,MIN(Skills!I8,MAX(0,MAX(0,Inputs!$B$43-B303)-((R271-1)*IF(Inputs!$B$38="pvp",15,MAX(0.1,Skills!D8-IF(Skills!E8=TRUE,Inputs!$B$32,0))))))/Skills!H8,1)))/Inputs!$B$43),G271*Q271))*IF(Inputs!$B$38="pvp",1,(1+(Inputs!$B$21+Skills!Q8)/100)*(MIN(Skills!R8,Inputs!$B$37))),0)</f>
        <v/>
      </c>
    </row>
    <row r="272">
      <c r="A272">
        <f>Skills!A9</f>
        <v/>
      </c>
      <c r="B272">
        <f>Skills!B9</f>
        <v/>
      </c>
      <c r="C272">
        <f>Inputs!$B$3&gt;=63</f>
        <v/>
      </c>
      <c r="D272">
        <f>IF(Skills!C9=1,60+Inputs!$B$25+Inputs!$B$29,IF(Skills!C9=2,90+Inputs!$B$26+Inputs!$B$29,IF(Skills!C9=3,120+Inputs!$B$27+Inputs!$B$29,MAX(0,(Inputs!$B$3-100)*3)+Inputs!$B$28+Inputs!$B$29)))</f>
        <v/>
      </c>
      <c r="E272">
        <f>INDEX(FactorTable!$B$2:$Y$301, MATCH(ROUND(MIN(300,MAX(1,D272)),0), FactorTable!$A$2:$A$301,0), Skills!M9+1)</f>
        <v/>
      </c>
      <c r="F272">
        <f>IF(Skills!N9=TRUE,(Skills!L9/10)*(E272/1000),Skills!L9/10)+Skills!O9</f>
        <v/>
      </c>
      <c r="G272">
        <f>Skills!G9*IF(Skills!H9&gt;0,Skills!I9/Skills!H9,1)</f>
        <v/>
      </c>
      <c r="H272">
        <f>1-(1-Skills!J9/100)^Skills!K9</f>
        <v/>
      </c>
      <c r="I272" t="inlineStr">
        <is>
          <t>1</t>
        </is>
      </c>
      <c r="J272">
        <f>((Inputs!$B$6*(1+Inputs!$B$7/100))+(((Inputs!$B$12*(1+Inputs!$B$13/100))-(Inputs!$B$12*(1+Inputs!$B$13/100)))+0.25*(Inputs!$B$14-Inputs!$B$14))*(1+Inputs!$B$7/100))*(F272/100)</f>
        <v/>
      </c>
      <c r="K272">
        <f>J272*(1+((Inputs!$B$12*(1+Inputs!$B$13/100))*0.01+Inputs!$B$14*0.0025)/100)*(1+Inputs!$B$15/100)*(1+Inputs!$B$16/100)*(5000/(6000+Inputs!$B$42*(1-(Inputs!$B$19+((C290=TRUE)*(F290-Calc!F27)))/100)))*(1+(Inputs!$B$24+((C288=TRUE)*(F288-Calc!F25))+((C289=TRUE)*(F289-Calc!F26))+B302)/100)*(1+1.0*IF(C273=TRUE,F273,0)/100)*(1+(IF(Skills!A9="ARROW_STREAM",Inputs!$B$17+((C286=TRUE)*(F286-Calc!F23)),Inputs!$B$18+((C291=TRUE)*(F291-Calc!F28))))/100)*((1+(((C276=TRUE)*F276)+((C277=TRUE)*IF(Inputs!$B$38="pvp",F277,(1-Summary!$B$55)*(F277)+Summary!$B$55*(0)))+((C278=TRUE)*F278*IF(AND(Inputs!$B$38&lt;&gt;"pvp",Inputs!$B$43&gt;0),(((R278-1)*(Skills!T15*(1+Inputs!$B$34/100))+MIN((Skills!T15*(1+Inputs!$B$34/100)),MAX(0,Inputs!$B$43-((R278-1)*Skills!D15))))/Inputs!$B$43),IF(Inputs!$B$38="pvp",MIN((Skills!T15*(1+Inputs!$B$34/100)),15)/15,(Skills!T15*(1+Inputs!$B$34/100))/Skills!D15)))+((C293=TRUE)*(F293-Calc!F30)))/100)*I272)</f>
        <v/>
      </c>
      <c r="L272">
        <f>K272*(MIN(Inputs!$B$22+((C287=TRUE)*(F287-Calc!F24)),Inputs!$B$23+((C292=TRUE)*(F292-Calc!F29)))/100+(Inputs!$B$23+((C292=TRUE)*(F292-Calc!F29)))/100)/2</f>
        <v/>
      </c>
      <c r="M272">
        <f>L272*(1+(Inputs!$B$10+0+B301)/100)</f>
        <v/>
      </c>
      <c r="N272">
        <f>L272*(1-MIN((Inputs!$B$9+((C283=TRUE)*(F283-Calc!F20))+B296),100)/100)+M272*(MIN((Inputs!$B$9+((C283=TRUE)*(F283-Calc!F20))+B296),100)/100)</f>
        <v/>
      </c>
      <c r="O272">
        <f>(1-Summary!$B$55)*T272+Summary!$B$55*V272</f>
        <v/>
      </c>
      <c r="P272">
        <f>IF(B306=0,0,O272/B306)</f>
        <v/>
      </c>
      <c r="Q272">
        <f>IFERROR(1/IF(Inputs!$B$38="pvp",15,MAX(0.1,Skills!D9-IF(Skills!E9=TRUE,Inputs!$B$32,0))),0)</f>
        <v/>
      </c>
      <c r="R272">
        <f>IF(AND(Inputs!$B$38&lt;&gt;"pvp",Inputs!$B$43&gt;0),IF(MAX(0,Inputs!$B$43-B303)&lt;=0,0,(INT(MAX(0,Inputs!$B$43-B303)/IF(Inputs!$B$38="pvp",15,MAX(0.1,Skills!D9-IF(Skills!E9=TRUE,Inputs!$B$32,0))))+1)),0)</f>
        <v/>
      </c>
      <c r="S272">
        <f>IFERROR(O272/N272,0)</f>
        <v/>
      </c>
      <c r="T272">
        <f>IF(C272,(H272*N272*IF(AND(Inputs!$B$38&lt;&gt;"pvp",Inputs!$B$43&gt;0),((Skills!G9*((R272-1)*IF(Skills!H9&gt;0,Skills!I9/Skills!H9,1)+IF(Skills!H9&gt;0,MIN(Skills!I9,MAX(0,MAX(0,Inputs!$B$43-B303)-((R272-1)*IF(Inputs!$B$38="pvp",15,MAX(0.1,Skills!D9-IF(Skills!E9=TRUE,Inputs!$B$32,0))))))/Skills!H9,1)))/Inputs!$B$43),G272*Q272))*IF(Inputs!$B$38="pvp",1,1+((Inputs!$B$20+1)+0+Skills!P9)/100),0)</f>
        <v/>
      </c>
      <c r="V272">
        <f>IF(C272,(H272*N272*IF(AND(Inputs!$B$38&lt;&gt;"pvp",Inputs!$B$43&gt;0),((Skills!G9*((R272-1)*IF(Skills!H9&gt;0,Skills!I9/Skills!H9,1)+IF(Skills!H9&gt;0,MIN(Skills!I9,MAX(0,MAX(0,Inputs!$B$43-B303)-((R272-1)*IF(Inputs!$B$38="pvp",15,MAX(0.1,Skills!D9-IF(Skills!E9=TRUE,Inputs!$B$32,0))))))/Skills!H9,1)))/Inputs!$B$43),G272*Q272))*IF(Inputs!$B$38="pvp",1,(1+(Inputs!$B$21+Skills!Q9)/100)*(MIN(Skills!R9,Inputs!$B$37))),0)</f>
        <v/>
      </c>
    </row>
    <row r="273">
      <c r="A273">
        <f>Skills!A10</f>
        <v/>
      </c>
      <c r="B273">
        <f>Skills!B10</f>
        <v/>
      </c>
      <c r="C273">
        <f>Inputs!$B$3&gt;=100</f>
        <v/>
      </c>
      <c r="D273">
        <f>IF(Skills!C10=1,60+Inputs!$B$25+Inputs!$B$29,IF(Skills!C10=2,90+Inputs!$B$26+Inputs!$B$29,IF(Skills!C10=3,120+Inputs!$B$27+Inputs!$B$29,MAX(0,(Inputs!$B$3-100)*3)+Inputs!$B$28+Inputs!$B$29)))</f>
        <v/>
      </c>
      <c r="E273">
        <f>INDEX(FactorTable!$B$2:$Y$301, MATCH(ROUND(MIN(300,MAX(1,D273)),0), FactorTable!$A$2:$A$301,0), Skills!M10+1)</f>
        <v/>
      </c>
      <c r="F273">
        <f>IF(Skills!N10=TRUE,(Skills!L10/10)*(E273/1000),Skills!L10/10)+Skills!O10</f>
        <v/>
      </c>
      <c r="G273" t="inlineStr"/>
      <c r="H273" t="inlineStr"/>
      <c r="I273" t="inlineStr">
        <is>
          <t>1</t>
        </is>
      </c>
      <c r="J273" t="inlineStr"/>
      <c r="K273" t="inlineStr"/>
      <c r="L273" t="inlineStr"/>
      <c r="M273" t="inlineStr"/>
      <c r="N273" t="inlineStr"/>
      <c r="O273" t="inlineStr"/>
      <c r="P273" t="inlineStr"/>
      <c r="Q273" t="inlineStr"/>
      <c r="R273" t="inlineStr"/>
      <c r="S273" t="inlineStr"/>
      <c r="T273" t="inlineStr"/>
      <c r="V273" t="inlineStr"/>
    </row>
    <row r="274">
      <c r="A274">
        <f>Skills!A11</f>
        <v/>
      </c>
      <c r="B274">
        <f>Skills!B11</f>
        <v/>
      </c>
      <c r="C274">
        <f>Inputs!$B$3&gt;=60</f>
        <v/>
      </c>
      <c r="D274">
        <f>IF(Skills!C11=1,60+Inputs!$B$25+Inputs!$B$29,IF(Skills!C11=2,90+Inputs!$B$26+Inputs!$B$29,IF(Skills!C11=3,120+Inputs!$B$27+Inputs!$B$29,MAX(0,(Inputs!$B$3-100)*3)+Inputs!$B$28+Inputs!$B$29)))</f>
        <v/>
      </c>
      <c r="E274">
        <f>INDEX(FactorTable!$B$2:$Y$301, MATCH(ROUND(MIN(300,MAX(1,D274)),0), FactorTable!$A$2:$A$301,0), Skills!M11+1)</f>
        <v/>
      </c>
      <c r="F274">
        <f>IF(Skills!N11=TRUE,(Skills!L11/10)*(E274/1000),Skills!L11/10)+Skills!O11</f>
        <v/>
      </c>
      <c r="G274">
        <f>Skills!G11*IF(Skills!H11&gt;0,Skills!I11/Skills!H11,1)</f>
        <v/>
      </c>
      <c r="H274">
        <f>1-(1-Skills!J11/100)^Skills!K11</f>
        <v/>
      </c>
      <c r="I274" t="inlineStr">
        <is>
          <t>1</t>
        </is>
      </c>
      <c r="J274">
        <f>((Inputs!$B$6*(1+Inputs!$B$7/100))+(((Inputs!$B$12*(1+Inputs!$B$13/100))-(Inputs!$B$12*(1+Inputs!$B$13/100)))+0.25*(Inputs!$B$14-Inputs!$B$14))*(1+Inputs!$B$7/100))*(F274/100)</f>
        <v/>
      </c>
      <c r="K274">
        <f>J274*(1+((Inputs!$B$12*(1+Inputs!$B$13/100))*0.01+Inputs!$B$14*0.0025)/100)*(1+Inputs!$B$15/100)*(1+Inputs!$B$16/100)*(5000/(6000+Inputs!$B$42*(1-(Inputs!$B$19+((C290=TRUE)*(F290-Calc!F27)))/100)))*(1+(Inputs!$B$24+((C288=TRUE)*(F288-Calc!F25))+((C289=TRUE)*(F289-Calc!F26))+B302)/100)*(1+IF(C275=TRUE,F275,0)/100)*(1+(IF(Skills!A11="ARROW_STREAM",Inputs!$B$17+((C286=TRUE)*(F286-Calc!F23)),Inputs!$B$18+((C291=TRUE)*(F291-Calc!F28))))/100)*((1+(((C276=TRUE)*F276)+((C277=TRUE)*IF(Inputs!$B$38="pvp",F277,(1-Summary!$B$55)*(F277)+Summary!$B$55*(0)))+((C278=TRUE)*F278*IF(AND(Inputs!$B$38&lt;&gt;"pvp",Inputs!$B$43&gt;0),(((R278-1)*(Skills!T15*(1+Inputs!$B$34/100))+MIN((Skills!T15*(1+Inputs!$B$34/100)),MAX(0,Inputs!$B$43-((R278-1)*Skills!D15))))/Inputs!$B$43),IF(Inputs!$B$38="pvp",MIN((Skills!T15*(1+Inputs!$B$34/100)),15)/15,(Skills!T15*(1+Inputs!$B$34/100))/Skills!D15)))+((C293=TRUE)*(F293-Calc!F30)))/100)*I274)</f>
        <v/>
      </c>
      <c r="L274">
        <f>K274*(MIN(Inputs!$B$22+((C287=TRUE)*(F287-Calc!F24)),Inputs!$B$23+((C292=TRUE)*(F292-Calc!F29)))/100+(Inputs!$B$23+((C292=TRUE)*(F292-Calc!F29)))/100)/2</f>
        <v/>
      </c>
      <c r="M274">
        <f>L274*(1+(Inputs!$B$10+0+B301)/100)</f>
        <v/>
      </c>
      <c r="N274">
        <f>L274*(1-MIN((Inputs!$B$9+((C283=TRUE)*(F283-Calc!F20))+B296),100)/100)+M274*(MIN((Inputs!$B$9+((C283=TRUE)*(F283-Calc!F20))+B296),100)/100)</f>
        <v/>
      </c>
      <c r="O274">
        <f>(1-Summary!$B$55)*T274+Summary!$B$55*V274</f>
        <v/>
      </c>
      <c r="P274">
        <f>IF(B306=0,0,O274/B306)</f>
        <v/>
      </c>
      <c r="Q274">
        <f>IFERROR(1/IF(Inputs!$B$38="pvp",15,MAX(0.1,Skills!D11-IF(Skills!E11=TRUE,Inputs!$B$32,0))),0)</f>
        <v/>
      </c>
      <c r="R274">
        <f>IF(AND(Inputs!$B$38&lt;&gt;"pvp",Inputs!$B$43&gt;0),IF(MAX(0,Inputs!$B$43-B303)&lt;=0,0,(INT(MAX(0,Inputs!$B$43-B303)/IF(Inputs!$B$38="pvp",15,MAX(0.1,Skills!D11-IF(Skills!E11=TRUE,Inputs!$B$32,0))))+1)),0)</f>
        <v/>
      </c>
      <c r="S274">
        <f>IFERROR(O274/N274,0)</f>
        <v/>
      </c>
      <c r="T274">
        <f>IF(C274,(H274*N274*IF(AND(Inputs!$B$38&lt;&gt;"pvp",Inputs!$B$43&gt;0),((Skills!G11*((R274-1)*IF(Skills!H11&gt;0,Skills!I11/Skills!H11,1)+IF(Skills!H11&gt;0,MIN(Skills!I11,MAX(0,MAX(0,Inputs!$B$43-B303)-((R274-1)*IF(Inputs!$B$38="pvp",15,MAX(0.1,Skills!D11-IF(Skills!E11=TRUE,Inputs!$B$32,0))))))/Skills!H11,1)))/Inputs!$B$43),G274*Q274))*IF(Inputs!$B$38="pvp",1,1+((Inputs!$B$20+1)+0+Skills!P11)/100),0)</f>
        <v/>
      </c>
      <c r="V274">
        <f>IF(C274,(H274*N274*IF(AND(Inputs!$B$38&lt;&gt;"pvp",Inputs!$B$43&gt;0),((Skills!G11*((R274-1)*IF(Skills!H11&gt;0,Skills!I11/Skills!H11,1)+IF(Skills!H11&gt;0,MIN(Skills!I11,MAX(0,MAX(0,Inputs!$B$43-B303)-((R274-1)*IF(Inputs!$B$38="pvp",15,MAX(0.1,Skills!D11-IF(Skills!E11=TRUE,Inputs!$B$32,0))))))/Skills!H11,1)))/Inputs!$B$43),G274*Q274))*IF(Inputs!$B$38="pvp",1,(1+(Inputs!$B$21+Skills!Q11)/100)*(MIN(Skills!R11,Inputs!$B$37))),0)</f>
        <v/>
      </c>
    </row>
    <row r="275">
      <c r="A275">
        <f>Skills!A12</f>
        <v/>
      </c>
      <c r="B275">
        <f>Skills!B12</f>
        <v/>
      </c>
      <c r="C275">
        <f>Inputs!$B$3&gt;=110</f>
        <v/>
      </c>
      <c r="D275">
        <f>IF(Skills!C12=1,60+Inputs!$B$25+Inputs!$B$29,IF(Skills!C12=2,90+Inputs!$B$26+Inputs!$B$29,IF(Skills!C12=3,120+Inputs!$B$27+Inputs!$B$29,MAX(0,(Inputs!$B$3-100)*3)+Inputs!$B$28+Inputs!$B$29)))</f>
        <v/>
      </c>
      <c r="E275">
        <f>INDEX(FactorTable!$B$2:$Y$301, MATCH(ROUND(MIN(300,MAX(1,D275)),0), FactorTable!$A$2:$A$301,0), Skills!M12+1)</f>
        <v/>
      </c>
      <c r="F275">
        <f>IF(Skills!N12=TRUE,(Skills!L12/10)*(E275/1000),Skills!L12/10)+Skills!O12</f>
        <v/>
      </c>
      <c r="G275" t="inlineStr"/>
      <c r="H275" t="inlineStr"/>
      <c r="I275" t="inlineStr">
        <is>
          <t>1</t>
        </is>
      </c>
      <c r="J275" t="inlineStr"/>
      <c r="K275" t="inlineStr"/>
      <c r="L275" t="inlineStr"/>
      <c r="M275" t="inlineStr"/>
      <c r="N275" t="inlineStr"/>
      <c r="O275" t="inlineStr"/>
      <c r="P275" t="inlineStr"/>
      <c r="Q275" t="inlineStr"/>
      <c r="R275" t="inlineStr"/>
      <c r="S275" t="inlineStr"/>
      <c r="T275" t="inlineStr"/>
      <c r="V275" t="inlineStr"/>
    </row>
    <row r="276">
      <c r="A276">
        <f>Skills!A13</f>
        <v/>
      </c>
      <c r="B276">
        <f>Skills!B13</f>
        <v/>
      </c>
      <c r="C276">
        <f>Inputs!$B$3&gt;=74</f>
        <v/>
      </c>
      <c r="D276">
        <f>IF(Skills!C13=1,60+Inputs!$B$25+Inputs!$B$29,IF(Skills!C13=2,90+Inputs!$B$26+Inputs!$B$29,IF(Skills!C13=3,120+Inputs!$B$27+Inputs!$B$29,MAX(0,(Inputs!$B$3-100)*3)+Inputs!$B$28+Inputs!$B$29)))</f>
        <v/>
      </c>
      <c r="E276">
        <f>INDEX(FactorTable!$B$2:$Y$301, MATCH(ROUND(MIN(300,MAX(1,D276)),0), FactorTable!$A$2:$A$301,0), Skills!M13+1)</f>
        <v/>
      </c>
      <c r="F276">
        <f>IF(Skills!N13=TRUE,(Skills!L13/10)*(E276/1000),Skills!L13/10)+Skills!O13</f>
        <v/>
      </c>
      <c r="G276">
        <f>Skills!G13*IF(Skills!H13&gt;0,Skills!I13/Skills!H13,1)</f>
        <v/>
      </c>
      <c r="H276">
        <f>1-(1-Skills!J13/100)^Skills!K13</f>
        <v/>
      </c>
      <c r="I276" t="inlineStr">
        <is>
          <t>1</t>
        </is>
      </c>
      <c r="J276" t="inlineStr"/>
      <c r="K276" t="inlineStr"/>
      <c r="L276" t="inlineStr"/>
      <c r="M276" t="inlineStr"/>
      <c r="N276" t="inlineStr"/>
      <c r="O276">
        <f>(1-Summary!$B$55)*T276+Summary!$B$55*V276</f>
        <v/>
      </c>
      <c r="P276">
        <f>IF(B306=0,0,O276/B306)</f>
        <v/>
      </c>
      <c r="Q276" t="n">
        <v>0</v>
      </c>
      <c r="R276" t="n">
        <v>0</v>
      </c>
      <c r="S276">
        <f>IFERROR(O276/N276,0)</f>
        <v/>
      </c>
      <c r="T276" t="n">
        <v>0</v>
      </c>
      <c r="V276" t="n">
        <v>0</v>
      </c>
    </row>
    <row r="277">
      <c r="A277">
        <f>Skills!A14</f>
        <v/>
      </c>
      <c r="B277">
        <f>Skills!B14</f>
        <v/>
      </c>
      <c r="C277">
        <f>Inputs!$B$3&gt;=74</f>
        <v/>
      </c>
      <c r="D277">
        <f>IF(Skills!C14=1,60+Inputs!$B$25+Inputs!$B$29,IF(Skills!C14=2,90+Inputs!$B$26+Inputs!$B$29,IF(Skills!C14=3,120+Inputs!$B$27+Inputs!$B$29,MAX(0,(Inputs!$B$3-100)*3)+Inputs!$B$28+Inputs!$B$29)))</f>
        <v/>
      </c>
      <c r="E277">
        <f>INDEX(FactorTable!$B$2:$Y$301, MATCH(ROUND(MIN(300,MAX(1,D277)),0), FactorTable!$A$2:$A$301,0), Skills!M14+1)</f>
        <v/>
      </c>
      <c r="F277">
        <f>IF(Skills!N14=TRUE,(Skills!L14/10)*(E277/1000),Skills!L14/10)+Skills!O14</f>
        <v/>
      </c>
      <c r="G277">
        <f>Skills!G14*IF(Skills!H14&gt;0,Skills!I14/Skills!H14,1)</f>
        <v/>
      </c>
      <c r="H277">
        <f>1-(1-Skills!J14/100)^Skills!K14</f>
        <v/>
      </c>
      <c r="I277" t="inlineStr">
        <is>
          <t>1</t>
        </is>
      </c>
      <c r="J277" t="inlineStr"/>
      <c r="K277" t="inlineStr"/>
      <c r="L277" t="inlineStr"/>
      <c r="M277" t="inlineStr"/>
      <c r="N277" t="inlineStr"/>
      <c r="O277">
        <f>(1-Summary!$B$55)*T277+Summary!$B$55*V277</f>
        <v/>
      </c>
      <c r="P277">
        <f>IF(B306=0,0,O277/B306)</f>
        <v/>
      </c>
      <c r="Q277" t="n">
        <v>0</v>
      </c>
      <c r="R277" t="n">
        <v>0</v>
      </c>
      <c r="S277">
        <f>IFERROR(O277/N277,0)</f>
        <v/>
      </c>
      <c r="T277" t="n">
        <v>0</v>
      </c>
      <c r="V277" t="n">
        <v>0</v>
      </c>
    </row>
    <row r="278">
      <c r="A278">
        <f>Skills!A15</f>
        <v/>
      </c>
      <c r="B278">
        <f>Skills!B15</f>
        <v/>
      </c>
      <c r="C278">
        <f>Inputs!$B$3&gt;=117</f>
        <v/>
      </c>
      <c r="D278">
        <f>IF(Skills!C15=1,60+Inputs!$B$25+Inputs!$B$29,IF(Skills!C15=2,90+Inputs!$B$26+Inputs!$B$29,IF(Skills!C15=3,120+Inputs!$B$27+Inputs!$B$29,MAX(0,(Inputs!$B$3-100)*3)+Inputs!$B$28+Inputs!$B$29)))</f>
        <v/>
      </c>
      <c r="E278">
        <f>INDEX(FactorTable!$B$2:$Y$301, MATCH(ROUND(MIN(300,MAX(1,D278)),0), FactorTable!$A$2:$A$301,0), Skills!M15+1)</f>
        <v/>
      </c>
      <c r="F278">
        <f>IF(Skills!N15=TRUE,(Skills!L15/10)*(E278/1000),Skills!L15/10)+Skills!O15</f>
        <v/>
      </c>
      <c r="G278">
        <f>Skills!G15*IF(Skills!H15&gt;0,Skills!I15/Skills!H15,1)</f>
        <v/>
      </c>
      <c r="H278">
        <f>1-(1-Skills!J15/100)^Skills!K15</f>
        <v/>
      </c>
      <c r="I278" t="inlineStr">
        <is>
          <t>1</t>
        </is>
      </c>
      <c r="J278" t="inlineStr"/>
      <c r="K278" t="inlineStr"/>
      <c r="L278" t="inlineStr"/>
      <c r="M278" t="inlineStr"/>
      <c r="N278" t="inlineStr"/>
      <c r="O278">
        <f>(1-Summary!$B$55)*T278+Summary!$B$55*V278</f>
        <v/>
      </c>
      <c r="P278">
        <f>IF(B306=0,0,O278/B306)</f>
        <v/>
      </c>
      <c r="Q278">
        <f>IFERROR(1/IF(Inputs!$B$38="pvp",15,MAX(0.1,Skills!D15-IF(Skills!E15=TRUE,Inputs!$B$32,0))),0)</f>
        <v/>
      </c>
      <c r="R278">
        <f>IF(AND(Inputs!$B$38&lt;&gt;"pvp",Inputs!$B$43&gt;0),IF(Inputs!$B$43&lt;=0,0,(INT(Inputs!$B$43/IF(Inputs!$B$38="pvp",15,MAX(0.1,Skills!D15-IF(Skills!E15=TRUE,Inputs!$B$32,0))))+1)),0)</f>
        <v/>
      </c>
      <c r="S278">
        <f>IFERROR(O278/N278,0)</f>
        <v/>
      </c>
      <c r="T278" t="n">
        <v>0</v>
      </c>
      <c r="V278" t="n">
        <v>0</v>
      </c>
    </row>
    <row r="279">
      <c r="A279">
        <f>Skills!A16</f>
        <v/>
      </c>
      <c r="B279">
        <f>Skills!B16</f>
        <v/>
      </c>
      <c r="C279">
        <f>Inputs!$B$3&gt;=115</f>
        <v/>
      </c>
      <c r="D279">
        <f>IF(Skills!C16=1,60+Inputs!$B$25+Inputs!$B$29,IF(Skills!C16=2,90+Inputs!$B$26+Inputs!$B$29,IF(Skills!C16=3,120+Inputs!$B$27+Inputs!$B$29,MAX(0,(Inputs!$B$3-100)*3)+Inputs!$B$28+Inputs!$B$29)))</f>
        <v/>
      </c>
      <c r="E279">
        <f>INDEX(FactorTable!$B$2:$Y$301, MATCH(ROUND(MIN(300,MAX(1,D279)),0), FactorTable!$A$2:$A$301,0), Skills!M16+1)</f>
        <v/>
      </c>
      <c r="F279">
        <f>IF(Skills!N16=TRUE,(Skills!L16/10)*(E279/1000),Skills!L16/10)+Skills!O16</f>
        <v/>
      </c>
      <c r="G279">
        <f>Skills!G16*IF(Skills!H16&gt;0,Skills!I16/Skills!H16,1)</f>
        <v/>
      </c>
      <c r="H279">
        <f>1-(1-Skills!J16/100)^Skills!K16</f>
        <v/>
      </c>
      <c r="I279" t="inlineStr">
        <is>
          <t>1</t>
        </is>
      </c>
      <c r="J279" t="inlineStr"/>
      <c r="K279" t="inlineStr"/>
      <c r="L279" t="inlineStr"/>
      <c r="M279" t="inlineStr"/>
      <c r="N279" t="inlineStr"/>
      <c r="O279">
        <f>(1-Summary!$B$55)*T279+Summary!$B$55*V279</f>
        <v/>
      </c>
      <c r="P279">
        <f>IF(B306=0,0,O279/B306)</f>
        <v/>
      </c>
      <c r="Q279">
        <f>IFERROR(1/IF(Inputs!$B$38="pvp",15,MAX(0.1,Skills!D16-IF(Skills!E16=TRUE,Inputs!$B$32,0))),0)</f>
        <v/>
      </c>
      <c r="R279">
        <f>IF(AND(Inputs!$B$38&lt;&gt;"pvp",Inputs!$B$43&gt;0),IF(Inputs!$B$43&lt;=0,0,(INT(Inputs!$B$43/IF(Inputs!$B$38="pvp",15,MAX(0.1,Skills!D16-IF(Skills!E16=TRUE,Inputs!$B$32,0))))+1)),0)</f>
        <v/>
      </c>
      <c r="S279">
        <f>IFERROR(O279/N279,0)</f>
        <v/>
      </c>
      <c r="T279" t="n">
        <v>0</v>
      </c>
      <c r="V279" t="n">
        <v>0</v>
      </c>
    </row>
    <row r="280">
      <c r="A280">
        <f>Skills!A17</f>
        <v/>
      </c>
      <c r="B280">
        <f>Skills!B17</f>
        <v/>
      </c>
      <c r="C280">
        <f>Inputs!$B$3&gt;=66</f>
        <v/>
      </c>
      <c r="D280">
        <f>IF(Skills!C17=1,60+Inputs!$B$25+Inputs!$B$29,IF(Skills!C17=2,90+Inputs!$B$26+Inputs!$B$29,IF(Skills!C17=3,120+Inputs!$B$27+Inputs!$B$29,MAX(0,(Inputs!$B$3-100)*3)+Inputs!$B$28+Inputs!$B$29)))</f>
        <v/>
      </c>
      <c r="E280">
        <f>INDEX(FactorTable!$B$2:$Y$301, MATCH(ROUND(MIN(300,MAX(1,D280)),0), FactorTable!$A$2:$A$301,0), Skills!M17+1)</f>
        <v/>
      </c>
      <c r="F280">
        <f>IF(Skills!N17=TRUE,(Skills!L17/10)*(E280/1000),Skills!L17/10)+Skills!O17</f>
        <v/>
      </c>
      <c r="G280">
        <f>Skills!G17*IF(Skills!H17&gt;0,Skills!I17/Skills!H17,1)</f>
        <v/>
      </c>
      <c r="H280">
        <f>1-(1-Skills!J17/100)^Skills!K17</f>
        <v/>
      </c>
      <c r="I280" t="inlineStr">
        <is>
          <t>1</t>
        </is>
      </c>
      <c r="J280" t="inlineStr"/>
      <c r="K280" t="inlineStr"/>
      <c r="L280" t="inlineStr"/>
      <c r="M280" t="inlineStr"/>
      <c r="N280" t="inlineStr"/>
      <c r="O280">
        <f>(1-Summary!$B$55)*T280+Summary!$B$55*V280</f>
        <v/>
      </c>
      <c r="P280">
        <f>IF(B306=0,0,O280/B306)</f>
        <v/>
      </c>
      <c r="Q280" t="n">
        <v>0</v>
      </c>
      <c r="R280" t="n">
        <v>0</v>
      </c>
      <c r="S280">
        <f>IFERROR(O280/N280,0)</f>
        <v/>
      </c>
      <c r="T280" t="n">
        <v>0</v>
      </c>
      <c r="V280" t="n">
        <v>0</v>
      </c>
    </row>
    <row r="281">
      <c r="A281">
        <f>Skills!A18</f>
        <v/>
      </c>
      <c r="B281">
        <f>Skills!B18</f>
        <v/>
      </c>
      <c r="C281">
        <f>Inputs!$B$3&gt;=72</f>
        <v/>
      </c>
      <c r="D281">
        <f>IF(Skills!C18=1,60+Inputs!$B$25+Inputs!$B$29,IF(Skills!C18=2,90+Inputs!$B$26+Inputs!$B$29,IF(Skills!C18=3,120+Inputs!$B$27+Inputs!$B$29,MAX(0,(Inputs!$B$3-100)*3)+Inputs!$B$28+Inputs!$B$29)))</f>
        <v/>
      </c>
      <c r="E281">
        <f>INDEX(FactorTable!$B$2:$Y$301, MATCH(ROUND(MIN(300,MAX(1,D281)),0), FactorTable!$A$2:$A$301,0), Skills!M18+1)</f>
        <v/>
      </c>
      <c r="F281">
        <f>IF(Skills!N18=TRUE,(Skills!L18/10)*(E281/1000),Skills!L18/10)+Skills!O18</f>
        <v/>
      </c>
      <c r="G281">
        <f>Skills!G18*IF(Skills!H18&gt;0,Skills!I18/Skills!H18,1)</f>
        <v/>
      </c>
      <c r="H281">
        <f>1-(1-Skills!J18/100)^Skills!K18</f>
        <v/>
      </c>
      <c r="I281" t="inlineStr">
        <is>
          <t>1</t>
        </is>
      </c>
      <c r="J281" t="inlineStr"/>
      <c r="K281" t="inlineStr"/>
      <c r="L281" t="inlineStr"/>
      <c r="M281" t="inlineStr"/>
      <c r="N281" t="inlineStr"/>
      <c r="O281">
        <f>(1-Summary!$B$55)*T281+Summary!$B$55*V281</f>
        <v/>
      </c>
      <c r="P281">
        <f>IF(B306=0,0,O281/B306)</f>
        <v/>
      </c>
      <c r="Q281" t="n">
        <v>0</v>
      </c>
      <c r="R281" t="n">
        <v>0</v>
      </c>
      <c r="S281">
        <f>IFERROR(O281/N281,0)</f>
        <v/>
      </c>
      <c r="T281" t="n">
        <v>0</v>
      </c>
      <c r="V281" t="n">
        <v>0</v>
      </c>
    </row>
    <row r="282">
      <c r="A282">
        <f>Skills!A19</f>
        <v/>
      </c>
      <c r="B282">
        <f>Skills!B19</f>
        <v/>
      </c>
      <c r="C282">
        <f>TRUE</f>
        <v/>
      </c>
      <c r="D282">
        <f>IF(Skills!C19=1,60+Inputs!$B$25+Inputs!$B$29,IF(Skills!C19=2,90+Inputs!$B$26+Inputs!$B$29,IF(Skills!C19=3,120+Inputs!$B$27+Inputs!$B$29,MAX(0,(Inputs!$B$3-100)*3)+Inputs!$B$28+Inputs!$B$29)))</f>
        <v/>
      </c>
      <c r="E282">
        <f>INDEX(FactorTable!$B$2:$Y$301, MATCH(ROUND(MIN(300,MAX(1,D282)),0), FactorTable!$A$2:$A$301,0), Skills!M19+1)</f>
        <v/>
      </c>
      <c r="F282">
        <f>IF(Skills!N19=TRUE,(Skills!L19/10)*(E282/1000),Skills!L19/10)+Skills!O19</f>
        <v/>
      </c>
      <c r="G282">
        <f>Skills!G19*IF(Skills!H19&gt;0,Skills!I19/Skills!H19,1)</f>
        <v/>
      </c>
      <c r="H282">
        <f>1-(1-Skills!J19/100)^Skills!K19</f>
        <v/>
      </c>
      <c r="I282" t="inlineStr">
        <is>
          <t>1</t>
        </is>
      </c>
      <c r="J282" t="inlineStr"/>
      <c r="K282" t="inlineStr"/>
      <c r="L282" t="inlineStr"/>
      <c r="M282" t="inlineStr"/>
      <c r="N282" t="inlineStr"/>
      <c r="O282">
        <f>(1-Summary!$B$55)*T282+Summary!$B$55*V282</f>
        <v/>
      </c>
      <c r="P282">
        <f>IF(B306=0,0,O282/B306)</f>
        <v/>
      </c>
      <c r="Q282">
        <f>IFERROR(1/IF(Inputs!$B$38="pvp",15,MAX(0.1,Skills!D19-IF(Skills!E19=TRUE,Inputs!$B$32,0))),0)</f>
        <v/>
      </c>
      <c r="R282">
        <f>IF(AND(Inputs!$B$38&lt;&gt;"pvp",Inputs!$B$43&gt;0),IF(Inputs!$B$43&lt;=0,0,(INT(Inputs!$B$43/IF(Inputs!$B$38="pvp",15,MAX(0.1,Skills!D19-IF(Skills!E19=TRUE,Inputs!$B$32,0))))+1)),0)</f>
        <v/>
      </c>
      <c r="S282">
        <f>IFERROR(O282/N282,0)</f>
        <v/>
      </c>
      <c r="T282" t="n">
        <v>0</v>
      </c>
      <c r="V282" t="n">
        <v>0</v>
      </c>
    </row>
    <row r="283">
      <c r="A283">
        <f>Skills!A20</f>
        <v/>
      </c>
      <c r="B283">
        <f>Skills!B20</f>
        <v/>
      </c>
      <c r="C283">
        <f>Inputs!$B$3&gt;=15</f>
        <v/>
      </c>
      <c r="D283">
        <f>IF(Skills!C20=1,60+Inputs!$B$25+Inputs!$B$29,IF(Skills!C20=2,90+Inputs!$B$26+Inputs!$B$29,IF(Skills!C20=3,120+Inputs!$B$27+Inputs!$B$29,MAX(0,(Inputs!$B$3-100)*3)+Inputs!$B$28+Inputs!$B$29)))</f>
        <v/>
      </c>
      <c r="E283">
        <f>INDEX(FactorTable!$B$2:$Y$301, MATCH(ROUND(MIN(300,MAX(1,D283)),0), FactorTable!$A$2:$A$301,0), Skills!M20+1)</f>
        <v/>
      </c>
      <c r="F283">
        <f>IF(Skills!N20=TRUE,(Skills!L20/10)*(E283/1000),Skills!L20/10)+Skills!O20</f>
        <v/>
      </c>
      <c r="G283">
        <f>Skills!G20*IF(Skills!H20&gt;0,Skills!I20/Skills!H20,1)</f>
        <v/>
      </c>
      <c r="H283">
        <f>1-(1-Skills!J20/100)^Skills!K20</f>
        <v/>
      </c>
      <c r="I283" t="inlineStr">
        <is>
          <t>1</t>
        </is>
      </c>
      <c r="J283" t="inlineStr"/>
      <c r="K283" t="inlineStr"/>
      <c r="L283" t="inlineStr"/>
      <c r="M283" t="inlineStr"/>
      <c r="N283" t="inlineStr"/>
      <c r="O283">
        <f>(1-Summary!$B$55)*T283+Summary!$B$55*V283</f>
        <v/>
      </c>
      <c r="P283">
        <f>IF(B306=0,0,O283/B306)</f>
        <v/>
      </c>
      <c r="Q283" t="n">
        <v>0</v>
      </c>
      <c r="R283" t="n">
        <v>0</v>
      </c>
      <c r="S283">
        <f>IFERROR(O283/N283,0)</f>
        <v/>
      </c>
      <c r="T283" t="n">
        <v>0</v>
      </c>
      <c r="V283" t="n">
        <v>0</v>
      </c>
    </row>
    <row r="284">
      <c r="A284">
        <f>Skills!A21</f>
        <v/>
      </c>
      <c r="B284">
        <f>Skills!B21</f>
        <v/>
      </c>
      <c r="C284">
        <f>Inputs!$B$3&gt;=10</f>
        <v/>
      </c>
      <c r="D284">
        <f>IF(Skills!C21=1,60+Inputs!$B$25+Inputs!$B$29,IF(Skills!C21=2,90+Inputs!$B$26+Inputs!$B$29,IF(Skills!C21=3,120+Inputs!$B$27+Inputs!$B$29,MAX(0,(Inputs!$B$3-100)*3)+Inputs!$B$28+Inputs!$B$29)))</f>
        <v/>
      </c>
      <c r="E284">
        <f>INDEX(FactorTable!$B$2:$Y$301, MATCH(ROUND(MIN(300,MAX(1,D284)),0), FactorTable!$A$2:$A$301,0), Skills!M21+1)</f>
        <v/>
      </c>
      <c r="F284">
        <f>IF(Skills!N21=TRUE,(Skills!L21/10)*(E284/1000),Skills!L21/10)+Skills!O21</f>
        <v/>
      </c>
      <c r="G284">
        <f>Skills!G21*IF(Skills!H21&gt;0,Skills!I21/Skills!H21,1)</f>
        <v/>
      </c>
      <c r="H284">
        <f>1-(1-Skills!J21/100)^Skills!K21</f>
        <v/>
      </c>
      <c r="I284" t="inlineStr">
        <is>
          <t>1</t>
        </is>
      </c>
      <c r="J284" t="inlineStr"/>
      <c r="K284" t="inlineStr"/>
      <c r="L284" t="inlineStr"/>
      <c r="M284" t="inlineStr"/>
      <c r="N284" t="inlineStr"/>
      <c r="O284">
        <f>(1-Summary!$B$55)*T284+Summary!$B$55*V284</f>
        <v/>
      </c>
      <c r="P284">
        <f>IF(B306=0,0,O284/B306)</f>
        <v/>
      </c>
      <c r="Q284" t="n">
        <v>0</v>
      </c>
      <c r="R284" t="n">
        <v>0</v>
      </c>
      <c r="S284">
        <f>IFERROR(O284/N284,0)</f>
        <v/>
      </c>
      <c r="T284" t="n">
        <v>0</v>
      </c>
      <c r="V284" t="n">
        <v>0</v>
      </c>
    </row>
    <row r="285">
      <c r="A285">
        <f>Skills!A22</f>
        <v/>
      </c>
      <c r="B285">
        <f>Skills!B22</f>
        <v/>
      </c>
      <c r="C285">
        <f>Inputs!$B$3&gt;=33</f>
        <v/>
      </c>
      <c r="D285">
        <f>IF(Skills!C22=1,60+Inputs!$B$25+Inputs!$B$29,IF(Skills!C22=2,90+Inputs!$B$26+Inputs!$B$29,IF(Skills!C22=3,120+Inputs!$B$27+Inputs!$B$29,MAX(0,(Inputs!$B$3-100)*3)+Inputs!$B$28+Inputs!$B$29)))</f>
        <v/>
      </c>
      <c r="E285">
        <f>INDEX(FactorTable!$B$2:$Y$301, MATCH(ROUND(MIN(300,MAX(1,D285)),0), FactorTable!$A$2:$A$301,0), Skills!M22+1)</f>
        <v/>
      </c>
      <c r="F285">
        <f>IF(Skills!N22=TRUE,(Skills!L22/10)*(E285/1000),Skills!L22/10)+Skills!O22</f>
        <v/>
      </c>
      <c r="G285">
        <f>Skills!G22*IF(Skills!H22&gt;0,Skills!I22/Skills!H22,1)</f>
        <v/>
      </c>
      <c r="H285">
        <f>1-(1-Skills!J22/100)^Skills!K22</f>
        <v/>
      </c>
      <c r="I285" t="inlineStr">
        <is>
          <t>1</t>
        </is>
      </c>
      <c r="J285" t="inlineStr"/>
      <c r="K285" t="inlineStr"/>
      <c r="L285" t="inlineStr"/>
      <c r="M285" t="inlineStr"/>
      <c r="N285" t="inlineStr"/>
      <c r="O285">
        <f>(1-Summary!$B$55)*T285+Summary!$B$55*V285</f>
        <v/>
      </c>
      <c r="P285">
        <f>IF(B306=0,0,O285/B306)</f>
        <v/>
      </c>
      <c r="Q285" t="n">
        <v>0</v>
      </c>
      <c r="R285" t="n">
        <v>0</v>
      </c>
      <c r="S285">
        <f>IFERROR(O285/N285,0)</f>
        <v/>
      </c>
      <c r="T285" t="n">
        <v>0</v>
      </c>
      <c r="V285" t="n">
        <v>0</v>
      </c>
    </row>
    <row r="286">
      <c r="A286">
        <f>Skills!A23</f>
        <v/>
      </c>
      <c r="B286">
        <f>Skills!B23</f>
        <v/>
      </c>
      <c r="C286">
        <f>Inputs!$B$3&gt;=38</f>
        <v/>
      </c>
      <c r="D286">
        <f>IF(Skills!C23=1,60+Inputs!$B$25+Inputs!$B$29,IF(Skills!C23=2,90+Inputs!$B$26+Inputs!$B$29,IF(Skills!C23=3,120+Inputs!$B$27+Inputs!$B$29,MAX(0,(Inputs!$B$3-100)*3)+Inputs!$B$28+Inputs!$B$29)))</f>
        <v/>
      </c>
      <c r="E286">
        <f>INDEX(FactorTable!$B$2:$Y$301, MATCH(ROUND(MIN(300,MAX(1,D286)),0), FactorTable!$A$2:$A$301,0), Skills!M23+1)</f>
        <v/>
      </c>
      <c r="F286">
        <f>IF(Skills!N23=TRUE,(Skills!L23/10)*(E286/1000),Skills!L23/10)+Skills!O23</f>
        <v/>
      </c>
      <c r="G286">
        <f>Skills!G23*IF(Skills!H23&gt;0,Skills!I23/Skills!H23,1)</f>
        <v/>
      </c>
      <c r="H286">
        <f>1-(1-Skills!J23/100)^Skills!K23</f>
        <v/>
      </c>
      <c r="I286" t="inlineStr">
        <is>
          <t>1</t>
        </is>
      </c>
      <c r="J286" t="inlineStr"/>
      <c r="K286" t="inlineStr"/>
      <c r="L286" t="inlineStr"/>
      <c r="M286" t="inlineStr"/>
      <c r="N286" t="inlineStr"/>
      <c r="O286">
        <f>(1-Summary!$B$55)*T286+Summary!$B$55*V286</f>
        <v/>
      </c>
      <c r="P286">
        <f>IF(B306=0,0,O286/B306)</f>
        <v/>
      </c>
      <c r="Q286" t="n">
        <v>0</v>
      </c>
      <c r="R286" t="n">
        <v>0</v>
      </c>
      <c r="S286">
        <f>IFERROR(O286/N286,0)</f>
        <v/>
      </c>
      <c r="T286" t="n">
        <v>0</v>
      </c>
      <c r="V286" t="n">
        <v>0</v>
      </c>
    </row>
    <row r="287">
      <c r="A287">
        <f>Skills!A24</f>
        <v/>
      </c>
      <c r="B287">
        <f>Skills!B24</f>
        <v/>
      </c>
      <c r="C287">
        <f>Inputs!$B$3&gt;=43</f>
        <v/>
      </c>
      <c r="D287">
        <f>IF(Skills!C24=1,60+Inputs!$B$25+Inputs!$B$29,IF(Skills!C24=2,90+Inputs!$B$26+Inputs!$B$29,IF(Skills!C24=3,120+Inputs!$B$27+Inputs!$B$29,MAX(0,(Inputs!$B$3-100)*3)+Inputs!$B$28+Inputs!$B$29)))</f>
        <v/>
      </c>
      <c r="E287">
        <f>INDEX(FactorTable!$B$2:$Y$301, MATCH(ROUND(MIN(300,MAX(1,D287)),0), FactorTable!$A$2:$A$301,0), Skills!M24+1)</f>
        <v/>
      </c>
      <c r="F287">
        <f>IF(Skills!N24=TRUE,(Skills!L24/10)*(E287/1000),Skills!L24/10)+Skills!O24</f>
        <v/>
      </c>
      <c r="G287">
        <f>Skills!G24*IF(Skills!H24&gt;0,Skills!I24/Skills!H24,1)</f>
        <v/>
      </c>
      <c r="H287">
        <f>1-(1-Skills!J24/100)^Skills!K24</f>
        <v/>
      </c>
      <c r="I287" t="inlineStr">
        <is>
          <t>1</t>
        </is>
      </c>
      <c r="J287" t="inlineStr"/>
      <c r="K287" t="inlineStr"/>
      <c r="L287" t="inlineStr"/>
      <c r="M287" t="inlineStr"/>
      <c r="N287" t="inlineStr"/>
      <c r="O287">
        <f>(1-Summary!$B$55)*T287+Summary!$B$55*V287</f>
        <v/>
      </c>
      <c r="P287">
        <f>IF(B306=0,0,O287/B306)</f>
        <v/>
      </c>
      <c r="Q287" t="n">
        <v>0</v>
      </c>
      <c r="R287" t="n">
        <v>0</v>
      </c>
      <c r="S287">
        <f>IFERROR(O287/N287,0)</f>
        <v/>
      </c>
      <c r="T287" t="n">
        <v>0</v>
      </c>
      <c r="V287" t="n">
        <v>0</v>
      </c>
    </row>
    <row r="288">
      <c r="A288">
        <f>Skills!A25</f>
        <v/>
      </c>
      <c r="B288">
        <f>Skills!B25</f>
        <v/>
      </c>
      <c r="C288">
        <f>Inputs!$B$3&gt;=75</f>
        <v/>
      </c>
      <c r="D288">
        <f>IF(Skills!C25=1,60+Inputs!$B$25+Inputs!$B$29,IF(Skills!C25=2,90+Inputs!$B$26+Inputs!$B$29,IF(Skills!C25=3,120+Inputs!$B$27+Inputs!$B$29,MAX(0,(Inputs!$B$3-100)*3)+Inputs!$B$28+Inputs!$B$29)))</f>
        <v/>
      </c>
      <c r="E288">
        <f>INDEX(FactorTable!$B$2:$Y$301, MATCH(ROUND(MIN(300,MAX(1,D288)),0), FactorTable!$A$2:$A$301,0), Skills!M25+1)</f>
        <v/>
      </c>
      <c r="F288">
        <f>IF(Skills!N25=TRUE,(Skills!L25/10)*(E288/1000),Skills!L25/10)+Skills!O25</f>
        <v/>
      </c>
      <c r="G288">
        <f>Skills!G25*IF(Skills!H25&gt;0,Skills!I25/Skills!H25,1)</f>
        <v/>
      </c>
      <c r="H288">
        <f>1-(1-Skills!J25/100)^Skills!K25</f>
        <v/>
      </c>
      <c r="I288" t="inlineStr">
        <is>
          <t>1</t>
        </is>
      </c>
      <c r="J288" t="inlineStr"/>
      <c r="K288" t="inlineStr"/>
      <c r="L288" t="inlineStr"/>
      <c r="M288" t="inlineStr"/>
      <c r="N288" t="inlineStr"/>
      <c r="O288">
        <f>(1-Summary!$B$55)*T288+Summary!$B$55*V288</f>
        <v/>
      </c>
      <c r="P288">
        <f>IF(B306=0,0,O288/B306)</f>
        <v/>
      </c>
      <c r="Q288" t="n">
        <v>0</v>
      </c>
      <c r="R288" t="n">
        <v>0</v>
      </c>
      <c r="S288">
        <f>IFERROR(O288/N288,0)</f>
        <v/>
      </c>
      <c r="T288" t="n">
        <v>0</v>
      </c>
      <c r="V288" t="n">
        <v>0</v>
      </c>
    </row>
    <row r="289">
      <c r="A289">
        <f>Skills!A26</f>
        <v/>
      </c>
      <c r="B289">
        <f>Skills!B26</f>
        <v/>
      </c>
      <c r="C289">
        <f>Inputs!$B$3&gt;=125</f>
        <v/>
      </c>
      <c r="D289">
        <f>IF(Skills!C26=1,60+Inputs!$B$25+Inputs!$B$29,IF(Skills!C26=2,90+Inputs!$B$26+Inputs!$B$29,IF(Skills!C26=3,120+Inputs!$B$27+Inputs!$B$29,MAX(0,(Inputs!$B$3-100)*3)+Inputs!$B$28+Inputs!$B$29)))</f>
        <v/>
      </c>
      <c r="E289">
        <f>INDEX(FactorTable!$B$2:$Y$301, MATCH(ROUND(MIN(300,MAX(1,D289)),0), FactorTable!$A$2:$A$301,0), Skills!M26+1)</f>
        <v/>
      </c>
      <c r="F289">
        <f>IF(Skills!N26=TRUE,(Skills!L26/10)*(E289/1000),Skills!L26/10)+Skills!O26</f>
        <v/>
      </c>
      <c r="G289">
        <f>Skills!G26*IF(Skills!H26&gt;0,Skills!I26/Skills!H26,1)</f>
        <v/>
      </c>
      <c r="H289">
        <f>1-(1-Skills!J26/100)^Skills!K26</f>
        <v/>
      </c>
      <c r="I289" t="inlineStr">
        <is>
          <t>1</t>
        </is>
      </c>
      <c r="J289" t="inlineStr"/>
      <c r="K289" t="inlineStr"/>
      <c r="L289" t="inlineStr"/>
      <c r="M289" t="inlineStr"/>
      <c r="N289" t="inlineStr"/>
      <c r="O289">
        <f>(1-Summary!$B$55)*T289+Summary!$B$55*V289</f>
        <v/>
      </c>
      <c r="P289">
        <f>IF(B306=0,0,O289/B306)</f>
        <v/>
      </c>
      <c r="Q289" t="n">
        <v>0</v>
      </c>
      <c r="R289" t="n">
        <v>0</v>
      </c>
      <c r="S289">
        <f>IFERROR(O289/N289,0)</f>
        <v/>
      </c>
      <c r="T289" t="n">
        <v>0</v>
      </c>
      <c r="V289" t="n">
        <v>0</v>
      </c>
    </row>
    <row r="290">
      <c r="A290">
        <f>Skills!A27</f>
        <v/>
      </c>
      <c r="B290">
        <f>Skills!B27</f>
        <v/>
      </c>
      <c r="C290">
        <f>Inputs!$B$3&gt;=125</f>
        <v/>
      </c>
      <c r="D290">
        <f>IF(Skills!C27=1,60+Inputs!$B$25+Inputs!$B$29,IF(Skills!C27=2,90+Inputs!$B$26+Inputs!$B$29,IF(Skills!C27=3,120+Inputs!$B$27+Inputs!$B$29,MAX(0,(Inputs!$B$3-100)*3)+Inputs!$B$28+Inputs!$B$29)))</f>
        <v/>
      </c>
      <c r="E290">
        <f>INDEX(FactorTable!$B$2:$Y$301, MATCH(ROUND(MIN(300,MAX(1,D290)),0), FactorTable!$A$2:$A$301,0), Skills!M27+1)</f>
        <v/>
      </c>
      <c r="F290">
        <f>IF(Skills!N27=TRUE,(Skills!L27/10)*(E290/1000),Skills!L27/10)+Skills!O27</f>
        <v/>
      </c>
      <c r="G290">
        <f>Skills!G27*IF(Skills!H27&gt;0,Skills!I27/Skills!H27,1)</f>
        <v/>
      </c>
      <c r="H290">
        <f>1-(1-Skills!J27/100)^Skills!K27</f>
        <v/>
      </c>
      <c r="I290" t="inlineStr">
        <is>
          <t>1</t>
        </is>
      </c>
      <c r="J290" t="inlineStr"/>
      <c r="K290" t="inlineStr"/>
      <c r="L290" t="inlineStr"/>
      <c r="M290" t="inlineStr"/>
      <c r="N290" t="inlineStr"/>
      <c r="O290">
        <f>(1-Summary!$B$55)*T290+Summary!$B$55*V290</f>
        <v/>
      </c>
      <c r="P290">
        <f>IF(B306=0,0,O290/B306)</f>
        <v/>
      </c>
      <c r="Q290" t="n">
        <v>0</v>
      </c>
      <c r="R290" t="n">
        <v>0</v>
      </c>
      <c r="S290">
        <f>IFERROR(O290/N290,0)</f>
        <v/>
      </c>
      <c r="T290" t="n">
        <v>0</v>
      </c>
      <c r="V290" t="n">
        <v>0</v>
      </c>
    </row>
    <row r="291">
      <c r="A291">
        <f>Skills!A28</f>
        <v/>
      </c>
      <c r="B291">
        <f>Skills!B28</f>
        <v/>
      </c>
      <c r="C291">
        <f>Inputs!$B$3&gt;=120</f>
        <v/>
      </c>
      <c r="D291">
        <f>IF(Skills!C28=1,60+Inputs!$B$25+Inputs!$B$29,IF(Skills!C28=2,90+Inputs!$B$26+Inputs!$B$29,IF(Skills!C28=3,120+Inputs!$B$27+Inputs!$B$29,MAX(0,(Inputs!$B$3-100)*3)+Inputs!$B$28+Inputs!$B$29)))</f>
        <v/>
      </c>
      <c r="E291">
        <f>INDEX(FactorTable!$B$2:$Y$301, MATCH(ROUND(MIN(300,MAX(1,D291)),0), FactorTable!$A$2:$A$301,0), Skills!M28+1)</f>
        <v/>
      </c>
      <c r="F291">
        <f>IF(Skills!N28=TRUE,(Skills!L28/10)*(E291/1000),Skills!L28/10)+Skills!O28</f>
        <v/>
      </c>
      <c r="G291">
        <f>Skills!G28*IF(Skills!H28&gt;0,Skills!I28/Skills!H28,1)</f>
        <v/>
      </c>
      <c r="H291">
        <f>1-(1-Skills!J28/100)^Skills!K28</f>
        <v/>
      </c>
      <c r="I291" t="inlineStr">
        <is>
          <t>1</t>
        </is>
      </c>
      <c r="J291" t="inlineStr"/>
      <c r="K291" t="inlineStr"/>
      <c r="L291" t="inlineStr"/>
      <c r="M291" t="inlineStr"/>
      <c r="N291" t="inlineStr"/>
      <c r="O291">
        <f>(1-Summary!$B$55)*T291+Summary!$B$55*V291</f>
        <v/>
      </c>
      <c r="P291">
        <f>IF(B306=0,0,O291/B306)</f>
        <v/>
      </c>
      <c r="Q291" t="n">
        <v>0</v>
      </c>
      <c r="R291" t="n">
        <v>0</v>
      </c>
      <c r="S291">
        <f>IFERROR(O291/N291,0)</f>
        <v/>
      </c>
      <c r="T291" t="n">
        <v>0</v>
      </c>
      <c r="V291" t="n">
        <v>0</v>
      </c>
    </row>
    <row r="292">
      <c r="A292">
        <f>Skills!A29</f>
        <v/>
      </c>
      <c r="B292">
        <f>Skills!B29</f>
        <v/>
      </c>
      <c r="C292">
        <f>Inputs!$B$3&gt;=120</f>
        <v/>
      </c>
      <c r="D292">
        <f>IF(Skills!C29=1,60+Inputs!$B$25+Inputs!$B$29,IF(Skills!C29=2,90+Inputs!$B$26+Inputs!$B$29,IF(Skills!C29=3,120+Inputs!$B$27+Inputs!$B$29,MAX(0,(Inputs!$B$3-100)*3)+Inputs!$B$28+Inputs!$B$29)))</f>
        <v/>
      </c>
      <c r="E292">
        <f>INDEX(FactorTable!$B$2:$Y$301, MATCH(ROUND(MIN(300,MAX(1,D292)),0), FactorTable!$A$2:$A$301,0), Skills!M29+1)</f>
        <v/>
      </c>
      <c r="F292">
        <f>IF(Skills!N29=TRUE,(Skills!L29/10)*(E292/1000),Skills!L29/10)+Skills!O29</f>
        <v/>
      </c>
      <c r="G292">
        <f>Skills!G29*IF(Skills!H29&gt;0,Skills!I29/Skills!H29,1)</f>
        <v/>
      </c>
      <c r="H292">
        <f>1-(1-Skills!J29/100)^Skills!K29</f>
        <v/>
      </c>
      <c r="I292" t="inlineStr">
        <is>
          <t>1</t>
        </is>
      </c>
      <c r="J292" t="inlineStr"/>
      <c r="K292" t="inlineStr"/>
      <c r="L292" t="inlineStr"/>
      <c r="M292" t="inlineStr"/>
      <c r="N292" t="inlineStr"/>
      <c r="O292">
        <f>(1-Summary!$B$55)*T292+Summary!$B$55*V292</f>
        <v/>
      </c>
      <c r="P292">
        <f>IF(B306=0,0,O292/B306)</f>
        <v/>
      </c>
      <c r="Q292" t="n">
        <v>0</v>
      </c>
      <c r="R292" t="n">
        <v>0</v>
      </c>
      <c r="S292">
        <f>IFERROR(O292/N292,0)</f>
        <v/>
      </c>
      <c r="T292" t="n">
        <v>0</v>
      </c>
      <c r="V292" t="n">
        <v>0</v>
      </c>
    </row>
    <row r="293">
      <c r="A293">
        <f>Skills!A30</f>
        <v/>
      </c>
      <c r="B293">
        <f>Skills!B30</f>
        <v/>
      </c>
      <c r="C293">
        <f>Inputs!$B$3&gt;=45</f>
        <v/>
      </c>
      <c r="D293">
        <f>IF(Skills!C30=1,60+Inputs!$B$25+Inputs!$B$29,IF(Skills!C30=2,90+Inputs!$B$26+Inputs!$B$29,IF(Skills!C30=3,120+Inputs!$B$27+Inputs!$B$29,MAX(0,(Inputs!$B$3-100)*3)+Inputs!$B$28+Inputs!$B$29)))</f>
        <v/>
      </c>
      <c r="E293">
        <f>INDEX(FactorTable!$B$2:$Y$301, MATCH(ROUND(MIN(300,MAX(1,D293)),0), FactorTable!$A$2:$A$301,0), Skills!M30+1)</f>
        <v/>
      </c>
      <c r="F293">
        <f>IF(Skills!N30=TRUE,(Skills!L30/10)*(E293/1000),Skills!L30/10)+Skills!O30</f>
        <v/>
      </c>
      <c r="G293">
        <f>Skills!G30*IF(Skills!H30&gt;0,Skills!I30/Skills!H30,1)</f>
        <v/>
      </c>
      <c r="H293">
        <f>1-(1-Skills!J30/100)^Skills!K30</f>
        <v/>
      </c>
      <c r="I293" t="inlineStr">
        <is>
          <t>1</t>
        </is>
      </c>
      <c r="J293" t="inlineStr"/>
      <c r="K293" t="inlineStr"/>
      <c r="L293" t="inlineStr"/>
      <c r="M293" t="inlineStr"/>
      <c r="N293" t="inlineStr"/>
      <c r="O293">
        <f>(1-Summary!$B$55)*T293+Summary!$B$55*V293</f>
        <v/>
      </c>
      <c r="P293">
        <f>IF(B306=0,0,O293/B306)</f>
        <v/>
      </c>
      <c r="Q293" t="n">
        <v>0</v>
      </c>
      <c r="R293" t="n">
        <v>0</v>
      </c>
      <c r="S293">
        <f>IFERROR(O293/N293,0)</f>
        <v/>
      </c>
      <c r="T293" t="n">
        <v>0</v>
      </c>
      <c r="V293" t="n">
        <v>0</v>
      </c>
    </row>
    <row r="295">
      <c r="A295" t="inlineStr">
        <is>
          <t>Attack% Bucket Multiplier</t>
        </is>
      </c>
      <c r="B295">
        <f>(1+(((C276=TRUE)*F276)+((C277=TRUE)*IF(Inputs!$B$38="pvp",F277,(1-Summary!$B$55)*(F277)+Summary!$B$55*(0)))+((C278=TRUE)*F278*IF(AND(Inputs!$B$38&lt;&gt;"pvp",Inputs!$B$43&gt;0),(((R278-1)*(Skills!T15*(1+Inputs!$B$34/100))+MIN((Skills!T15*(1+Inputs!$B$34/100)),MAX(0,Inputs!$B$43-((R278-1)*Skills!D15))))/Inputs!$B$43),IF(Inputs!$B$38="pvp",MIN((Skills!T15*(1+Inputs!$B$34/100)),15)/15,(Skills!T15*(1+Inputs!$B$34/100))/Skills!D15)))+((C293=TRUE)*(F293-Calc!F30)))/100)</f>
        <v/>
      </c>
    </row>
    <row r="296">
      <c r="A296" t="inlineStr">
        <is>
          <t>Global Crit Rate Bonus %</t>
        </is>
      </c>
      <c r="B296">
        <f>(C279=TRUE)*20*IF(AND(Inputs!$B$38&lt;&gt;"pvp",Inputs!$B$43&gt;0),(((R279-1)*(Skills!T16*(1+Inputs!$B$34/100))+MIN((Skills!T16*(1+Inputs!$B$34/100)),MAX(0,Inputs!$B$43-((R279-1)*Skills!D16))))/Inputs!$B$43),IF(Inputs!$B$38="pvp",MIN((Skills!T16*(1+Inputs!$B$34/100)),15)/15,(Skills!T16*(1+Inputs!$B$34/100))/Skills!D16))</f>
        <v/>
      </c>
    </row>
    <row r="297">
      <c r="A297" t="inlineStr">
        <is>
          <t>Attack Speed Buff Bonus %</t>
        </is>
      </c>
      <c r="B297">
        <f>((C282=TRUE)*F282*IF(AND(Inputs!$B$38&lt;&gt;"pvp",Inputs!$B$43&gt;0),(((R282-1)*(Skills!T19*(1+Inputs!$B$34/100))+MIN((Skills!T19*(1+Inputs!$B$34/100)),MAX(0,Inputs!$B$43-((R282-1)*Skills!D19))))/Inputs!$B$43),IF(Inputs!$B$38="pvp",MIN((Skills!T19*(1+Inputs!$B$34/100)),15)/15,(Skills!T19*(1+Inputs!$B$34/100))/Skills!D19)))</f>
        <v/>
      </c>
    </row>
    <row r="298">
      <c r="A298" t="inlineStr">
        <is>
          <t>Actions Per Second</t>
        </is>
      </c>
      <c r="B298">
        <f>1+MIN(150,150*(1-(1-(Inputs!$B$11+((C284=TRUE)*(F284-Calc!F21))+((C285=TRUE)*(F285-Calc!F22)))/150)*(1-B297/150)))/100</f>
        <v/>
      </c>
    </row>
    <row r="299">
      <c r="A299" t="inlineStr">
        <is>
          <t>Skill + Buff Cast Rate</t>
        </is>
      </c>
      <c r="B299">
        <f>IF(AND(Inputs!$B$38&lt;&gt;"pvp",Inputs!$B$43&gt;0),SUMPRODUCT((Skills!E2:E30=TRUE)*(C265:C293=TRUE)*R265:R293*Skills!F2:F30)/Inputs!$B$43,SUMPRODUCT((Skills!E2:E30=TRUE)*(C265:C293=TRUE)*Q265:Q293*Skills!F2:F30))</f>
        <v/>
      </c>
    </row>
    <row r="300">
      <c r="A300" t="inlineStr">
        <is>
          <t>Arrow Stream Casts Per Second</t>
        </is>
      </c>
      <c r="B300">
        <f>MAX(0,B298-B299)</f>
        <v/>
      </c>
    </row>
    <row r="301">
      <c r="A301" t="inlineStr">
        <is>
          <t>Global Critical Damage Bonus % (Sharp Eyes + Concentration)</t>
        </is>
      </c>
      <c r="B301">
        <f>(C279=TRUE)*F279*IF(AND(Inputs!$B$38&lt;&gt;"pvp",Inputs!$B$43&gt;0),(((R279-1)*(Skills!T16*(1+Inputs!$B$34/100))+MIN((Skills!T16*(1+Inputs!$B$34/100)),MAX(0,Inputs!$B$43-((R279-1)*Skills!D16))))/Inputs!$B$43),IF(Inputs!$B$38="pvp",MIN((Skills!T16*(1+Inputs!$B$34/100)),15)/15,(Skills!T16*(1+Inputs!$B$34/100))/Skills!D16))+(C280=TRUE)*30</f>
        <v/>
      </c>
    </row>
    <row r="302">
      <c r="A302" t="inlineStr">
        <is>
          <t>Global Final Damage Bonus % (Mortal Blow)</t>
        </is>
      </c>
      <c r="B302">
        <f>(C281=TRUE)*F281</f>
        <v/>
      </c>
    </row>
    <row r="303">
      <c r="A303" t="inlineStr">
        <is>
          <t>Buff-Casting Startup Delay (s, fixed-duration only)</t>
        </is>
      </c>
      <c r="B303">
        <f>IF(AND(Inputs!$B$38&lt;&gt;"pvp",Inputs!$B$43&gt;0),SUMPRODUCT((Skills!T2:T30&gt;0)*(Skills!E2:E30=TRUE)*(C265:C293=TRUE))/B298,0)</f>
        <v/>
      </c>
    </row>
    <row r="304">
      <c r="A304" t="inlineStr">
        <is>
          <t>Boss-Only Total DPS (this block's swept value)</t>
        </is>
      </c>
      <c r="B304">
        <f>SUM(T265:T293)</f>
        <v/>
      </c>
    </row>
    <row r="305">
      <c r="A305" t="inlineStr">
        <is>
          <t>Normal-Only Total DPS (this block's swept value)</t>
        </is>
      </c>
      <c r="B305">
        <f>SUM(V265:V293)</f>
        <v/>
      </c>
    </row>
    <row r="306">
      <c r="A306" s="5" t="inlineStr">
        <is>
          <t>TOTAL DPS</t>
        </is>
      </c>
      <c r="B306" s="5">
        <f>SUM(O265:O293)</f>
        <v/>
      </c>
    </row>
    <row r="309">
      <c r="A309" s="5" t="inlineStr">
        <is>
          <t>Stat: NORMAL_DAMAGE %</t>
        </is>
      </c>
    </row>
    <row r="310">
      <c r="A310" s="9" t="inlineStr">
        <is>
          <t>Key</t>
        </is>
      </c>
      <c r="B310" s="9" t="inlineStr">
        <is>
          <t>Name</t>
        </is>
      </c>
      <c r="C310" s="9" t="inlineStr">
        <is>
          <t>Unlocked</t>
        </is>
      </c>
      <c r="D310" s="9" t="inlineStr">
        <is>
          <t>InputLevel</t>
        </is>
      </c>
      <c r="E310" s="9" t="inlineStr">
        <is>
          <t>Factor</t>
        </is>
      </c>
      <c r="F310" s="9" t="inlineStr">
        <is>
          <t>CoefficientPercent</t>
        </is>
      </c>
      <c r="G310" s="9" t="inlineStr">
        <is>
          <t>EffectiveHits</t>
        </is>
      </c>
      <c r="H310" s="9" t="inlineStr">
        <is>
          <t>ProcProbability</t>
        </is>
      </c>
      <c r="I310" s="9" t="inlineStr">
        <is>
          <t>MapleHeroMultiplier</t>
        </is>
      </c>
      <c r="J310" s="9" t="inlineStr">
        <is>
          <t>BaseDamage</t>
        </is>
      </c>
      <c r="K310" s="9" t="inlineStr">
        <is>
          <t>BaseHitDamage</t>
        </is>
      </c>
      <c r="L310" s="9" t="inlineStr">
        <is>
          <t>NonCritAvg</t>
        </is>
      </c>
      <c r="M310" s="9" t="inlineStr">
        <is>
          <t>CritAvg</t>
        </is>
      </c>
      <c r="N310" s="9" t="inlineStr">
        <is>
          <t>ExpectedDamage(perHit)</t>
        </is>
      </c>
      <c r="O310" s="9" t="inlineStr">
        <is>
          <t>DPS</t>
        </is>
      </c>
      <c r="P310" s="9" t="inlineStr">
        <is>
          <t>% of Total</t>
        </is>
      </c>
      <c r="Q310" s="9" t="inlineStr">
        <is>
          <t>InvCooldown</t>
        </is>
      </c>
      <c r="R310" s="9" t="inlineStr">
        <is>
          <t>CastsInFight</t>
        </is>
      </c>
      <c r="S310" s="9" t="inlineStr">
        <is>
          <t>HitRate(perSec)</t>
        </is>
      </c>
      <c r="U310" t="inlineStr">
        <is>
          <t>helpers</t>
        </is>
      </c>
    </row>
    <row r="311">
      <c r="A311">
        <f>Skills!A2</f>
        <v/>
      </c>
      <c r="B311">
        <f>Skills!B2</f>
        <v/>
      </c>
      <c r="C311">
        <f>Inputs!$B$3&gt;=100</f>
        <v/>
      </c>
      <c r="D311" t="inlineStr"/>
      <c r="E311" t="inlineStr"/>
      <c r="F311">
        <f>U313+Skills!O2</f>
        <v/>
      </c>
      <c r="G311">
        <f>Skills!G2*IF(Skills!H2&gt;0,Skills!I2/Skills!H2,1)</f>
        <v/>
      </c>
      <c r="H311">
        <f>1-(1-Skills!J2/100)^Skills!K2</f>
        <v/>
      </c>
      <c r="I311" t="inlineStr">
        <is>
          <t>1</t>
        </is>
      </c>
      <c r="J311">
        <f>((Inputs!$B$6*(1+Inputs!$B$7/100))+(((Inputs!$B$12*(1+Inputs!$B$13/100))-(Inputs!$B$12*(1+Inputs!$B$13/100)))+0.25*(Inputs!$B$14-Inputs!$B$14))*(1+Inputs!$B$7/100))*(F311/100)</f>
        <v/>
      </c>
      <c r="K311">
        <f>J311*(1+((Inputs!$B$12*(1+Inputs!$B$13/100))*0.01+Inputs!$B$14*0.0025)/100)*(1+Inputs!$B$15/100)*(1+Inputs!$B$16/100)*(5000/(6000+Inputs!$B$42*(1-(Inputs!$B$19+((C336=TRUE)*(F336-Calc!F27)))/100)))*(1+(Inputs!$B$24+((C334=TRUE)*(F334-Calc!F25))+((C335=TRUE)*(F335-Calc!F26))+B348)/100)*(1+(IF(Skills!A2="ARROW_STREAM",Inputs!$B$17+((C332=TRUE)*(F332-Calc!F23)),Inputs!$B$18+((C337=TRUE)*(F337-Calc!F28))))/100)*((1+(((C322=TRUE)*F322)+((C323=TRUE)*IF(Inputs!$B$38="pvp",F323,(1-Summary!$B$55)*(F323)+Summary!$B$55*(0)))+((C324=TRUE)*F324*IF(AND(Inputs!$B$38&lt;&gt;"pvp",Inputs!$B$43&gt;0),(((R324-1)*(Skills!T15*(1+Inputs!$B$34/100))+MIN((Skills!T15*(1+Inputs!$B$34/100)),MAX(0,Inputs!$B$43-((R324-1)*Skills!D15))))/Inputs!$B$43),IF(Inputs!$B$38="pvp",MIN((Skills!T15*(1+Inputs!$B$34/100)),15)/15,(Skills!T15*(1+Inputs!$B$34/100))/Skills!D15)))+((C339=TRUE)*(F339-Calc!F30)))/100)*I311)</f>
        <v/>
      </c>
      <c r="L311">
        <f>K311*(MIN(Inputs!$B$22+((C333=TRUE)*(F333-Calc!F24)),Inputs!$B$23+((C338=TRUE)*(F338-Calc!F29)))/100+(Inputs!$B$23+((C338=TRUE)*(F338-Calc!F29)))/100)/2</f>
        <v/>
      </c>
      <c r="M311">
        <f>L311*(1+(Inputs!$B$10+0+B347)/100)</f>
        <v/>
      </c>
      <c r="N311">
        <f>L311*(1-MIN((Inputs!$B$9+((C329=TRUE)*(F329-Calc!F20))+B342),100)/100)+M311*(MIN((Inputs!$B$9+((C329=TRUE)*(F329-Calc!F20))+B342),100)/100)</f>
        <v/>
      </c>
      <c r="O311">
        <f>(1-Summary!$B$55)*T311+Summary!$B$55*V311</f>
        <v/>
      </c>
      <c r="P311">
        <f>IF(B352=0,0,O311/B352)</f>
        <v/>
      </c>
      <c r="Q311" t="n">
        <v>0</v>
      </c>
      <c r="R311" t="n">
        <v>0</v>
      </c>
      <c r="S311">
        <f>IFERROR(O311/N311,0)</f>
        <v/>
      </c>
      <c r="T311">
        <f>IF(C311,(Skills!G2*N311*B346)*IF(Inputs!$B$38="pvp",1,1+(Inputs!$B$20+0+Skills!P2)/100),0)</f>
        <v/>
      </c>
      <c r="U311">
        <f>MAX(0,(Inputs!$B$3-100)*3)+Inputs!$B$28+Inputs!$B$29</f>
        <v/>
      </c>
      <c r="V311">
        <f>IF(C311,(Skills!G2*N311*B346)*IF(Inputs!$B$38="pvp",1,(1+((Inputs!$B$21+1)+Skills!Q2)/100)*(MIN((6+Inputs!$B$33),Inputs!$B$37))),0)</f>
        <v/>
      </c>
    </row>
    <row r="312">
      <c r="A312">
        <f>Skills!A3</f>
        <v/>
      </c>
      <c r="B312">
        <f>Skills!B3</f>
        <v/>
      </c>
      <c r="C312">
        <f>Inputs!$B$3&gt;=50</f>
        <v/>
      </c>
      <c r="D312">
        <f>IF(Skills!C3=1,60+Inputs!$B$25+Inputs!$B$29,IF(Skills!C3=2,90+Inputs!$B$26+Inputs!$B$29,IF(Skills!C3=3,120+Inputs!$B$27+Inputs!$B$29,MAX(0,(Inputs!$B$3-100)*3)+Inputs!$B$28+Inputs!$B$29)))</f>
        <v/>
      </c>
      <c r="E312">
        <f>INDEX(FactorTable!$B$2:$Y$301, MATCH(ROUND(MIN(300,MAX(1,D312)),0), FactorTable!$A$2:$A$301,0), Skills!M3+1)</f>
        <v/>
      </c>
      <c r="F312">
        <f>IF(Skills!N3=TRUE,(Skills!L3/10)*(E312/1000),Skills!L3/10)+Skills!O3</f>
        <v/>
      </c>
      <c r="G312" t="inlineStr"/>
      <c r="H312" t="inlineStr"/>
      <c r="I312" t="inlineStr">
        <is>
          <t>1</t>
        </is>
      </c>
      <c r="J312" t="inlineStr"/>
      <c r="K312" t="inlineStr"/>
      <c r="L312" t="inlineStr"/>
      <c r="M312" t="inlineStr"/>
      <c r="N312" t="inlineStr"/>
      <c r="O312" t="inlineStr"/>
      <c r="P312" t="inlineStr"/>
      <c r="Q312" t="inlineStr"/>
      <c r="R312" t="inlineStr"/>
      <c r="S312" t="inlineStr"/>
      <c r="T312" t="inlineStr"/>
      <c r="U312">
        <f>INDEX(FactorTable!$B$2:$Y$301, MATCH(ROUND(MIN(300,MAX(1,U311)),0), FactorTable!$A$2:$A$301,0), 22)</f>
        <v/>
      </c>
      <c r="V312" t="inlineStr"/>
    </row>
    <row r="313">
      <c r="A313">
        <f>Skills!A4</f>
        <v/>
      </c>
      <c r="B313">
        <f>Skills!B4</f>
        <v/>
      </c>
      <c r="C313">
        <f>Inputs!$B$3&gt;=105</f>
        <v/>
      </c>
      <c r="D313">
        <f>IF(Skills!C4=1,60+Inputs!$B$25+Inputs!$B$29,IF(Skills!C4=2,90+Inputs!$B$26+Inputs!$B$29,IF(Skills!C4=3,120+Inputs!$B$27+Inputs!$B$29,MAX(0,(Inputs!$B$3-100)*3)+Inputs!$B$28+Inputs!$B$29)))</f>
        <v/>
      </c>
      <c r="E313">
        <f>INDEX(FactorTable!$B$2:$Y$301, MATCH(ROUND(MIN(300,MAX(1,D313)),0), FactorTable!$A$2:$A$301,0), Skills!M4+1)</f>
        <v/>
      </c>
      <c r="F313">
        <f>IF(Skills!N4=TRUE,(Skills!L4/10)*(E313/1000),Skills!L4/10)+Skills!O4</f>
        <v/>
      </c>
      <c r="G313" t="inlineStr"/>
      <c r="H313" t="inlineStr"/>
      <c r="I313" t="inlineStr">
        <is>
          <t>1</t>
        </is>
      </c>
      <c r="J313" t="inlineStr"/>
      <c r="K313" t="inlineStr"/>
      <c r="L313" t="inlineStr"/>
      <c r="M313" t="inlineStr"/>
      <c r="N313" t="inlineStr"/>
      <c r="O313" t="inlineStr"/>
      <c r="P313" t="inlineStr"/>
      <c r="Q313" t="inlineStr"/>
      <c r="R313" t="inlineStr"/>
      <c r="S313" t="inlineStr"/>
      <c r="T313" t="inlineStr"/>
      <c r="U313">
        <f>290*U312/1000</f>
        <v/>
      </c>
      <c r="V313" t="inlineStr"/>
    </row>
    <row r="314">
      <c r="A314">
        <f>Skills!A5</f>
        <v/>
      </c>
      <c r="B314">
        <f>Skills!B5</f>
        <v/>
      </c>
      <c r="C314">
        <f>Inputs!$B$3&gt;=35</f>
        <v/>
      </c>
      <c r="D314">
        <f>IF(Skills!C5=1,60+Inputs!$B$25+Inputs!$B$29,IF(Skills!C5=2,90+Inputs!$B$26+Inputs!$B$29,IF(Skills!C5=3,120+Inputs!$B$27+Inputs!$B$29,MAX(0,(Inputs!$B$3-100)*3)+Inputs!$B$28+Inputs!$B$29)))</f>
        <v/>
      </c>
      <c r="E314">
        <f>INDEX(FactorTable!$B$2:$Y$301, MATCH(ROUND(MIN(300,MAX(1,D314)),0), FactorTable!$A$2:$A$301,0), Skills!M5+1)</f>
        <v/>
      </c>
      <c r="F314">
        <f>IF(Skills!N5=TRUE,(Skills!L5/10)*(E314/1000),Skills!L5/10)+Skills!O5</f>
        <v/>
      </c>
      <c r="G314">
        <f>Skills!G5*IF(Skills!H5&gt;0,Skills!I5/Skills!H5,1)</f>
        <v/>
      </c>
      <c r="H314">
        <f>1-(1-Skills!J5/100)^Skills!K5</f>
        <v/>
      </c>
      <c r="I314" t="inlineStr">
        <is>
          <t>1</t>
        </is>
      </c>
      <c r="J314">
        <f>((Inputs!$B$6*(1+Inputs!$B$7/100))+(((Inputs!$B$12*(1+Inputs!$B$13/100))-(Inputs!$B$12*(1+Inputs!$B$13/100)))+0.25*(Inputs!$B$14-Inputs!$B$14))*(1+Inputs!$B$7/100))*(F314/100)</f>
        <v/>
      </c>
      <c r="K314">
        <f>J314*(1+((Inputs!$B$12*(1+Inputs!$B$13/100))*0.01+Inputs!$B$14*0.0025)/100)*(1+Inputs!$B$15/100)*(1+Inputs!$B$16/100)*(5000/(6000+Inputs!$B$42*(1-(Inputs!$B$19+((C336=TRUE)*(F336-Calc!F27)))/100)))*(1+(Inputs!$B$24+((C334=TRUE)*(F334-Calc!F25))+((C335=TRUE)*(F335-Calc!F26))+B348)/100)*(1+4.0*IF(C319=TRUE,F319,0)/100)*(1+(IF(Skills!A5="ARROW_STREAM",Inputs!$B$17+((C332=TRUE)*(F332-Calc!F23)),Inputs!$B$18+((C337=TRUE)*(F337-Calc!F28))))/100)*((1+(((C322=TRUE)*F322)+((C323=TRUE)*IF(Inputs!$B$38="pvp",F323,(1-Summary!$B$55)*(F323)+Summary!$B$55*(0)))+((C324=TRUE)*F324*IF(AND(Inputs!$B$38&lt;&gt;"pvp",Inputs!$B$43&gt;0),(((R324-1)*(Skills!T15*(1+Inputs!$B$34/100))+MIN((Skills!T15*(1+Inputs!$B$34/100)),MAX(0,Inputs!$B$43-((R324-1)*Skills!D15))))/Inputs!$B$43),IF(Inputs!$B$38="pvp",MIN((Skills!T15*(1+Inputs!$B$34/100)),15)/15,(Skills!T15*(1+Inputs!$B$34/100))/Skills!D15)))+((C339=TRUE)*(F339-Calc!F30)))/100)*I314)</f>
        <v/>
      </c>
      <c r="L314">
        <f>K314*(MIN(Inputs!$B$22+((C333=TRUE)*(F333-Calc!F24)),Inputs!$B$23+((C338=TRUE)*(F338-Calc!F29)))/100+(Inputs!$B$23+((C338=TRUE)*(F338-Calc!F29)))/100)/2</f>
        <v/>
      </c>
      <c r="M314">
        <f>L314*(1+(Inputs!$B$10+0+B347)/100)</f>
        <v/>
      </c>
      <c r="N314">
        <f>L314*(1-MIN((Inputs!$B$9+((C329=TRUE)*(F329-Calc!F20))+B342),100)/100)+M314*(MIN((Inputs!$B$9+((C329=TRUE)*(F329-Calc!F20))+B342),100)/100)</f>
        <v/>
      </c>
      <c r="O314">
        <f>(1-Summary!$B$55)*T314+Summary!$B$55*V314</f>
        <v/>
      </c>
      <c r="P314">
        <f>IF(B352=0,0,O314/B352)</f>
        <v/>
      </c>
      <c r="Q314">
        <f>IFERROR(1/IF(Inputs!$B$38="pvp",15,MAX(0.1,Skills!D5-IF(Skills!E5=TRUE,Inputs!$B$32,0))),0)</f>
        <v/>
      </c>
      <c r="R314">
        <f>IF(AND(Inputs!$B$38&lt;&gt;"pvp",Inputs!$B$43&gt;0),IF(MAX(0,Inputs!$B$43-B349)&lt;=0,0,(INT(MAX(0,Inputs!$B$43-B349)/IF(Inputs!$B$38="pvp",15,MAX(0.1,Skills!D5-IF(Skills!E5=TRUE,Inputs!$B$32,0))))+1)),0)</f>
        <v/>
      </c>
      <c r="S314">
        <f>IFERROR(O314/N314,0)</f>
        <v/>
      </c>
      <c r="T314">
        <f>IF(C314,(H314*N314*IF(AND(Inputs!$B$38&lt;&gt;"pvp",Inputs!$B$43&gt;0),((Skills!G5*((R314-1)*IF(Skills!H5&gt;0,Skills!I5/Skills!H5,1)+IF(Skills!H5&gt;0,MIN(Skills!I5,MAX(0,MAX(0,Inputs!$B$43-B349)-((R314-1)*IF(Inputs!$B$38="pvp",15,MAX(0.1,Skills!D5-IF(Skills!E5=TRUE,Inputs!$B$32,0))))))/Skills!H5,1)))/Inputs!$B$43),G314*Q314))*IF(Inputs!$B$38="pvp",1,1+(Inputs!$B$20+0+Skills!P5)/100),0)</f>
        <v/>
      </c>
      <c r="V314">
        <f>IF(C314,(H314*N314*IF(AND(Inputs!$B$38&lt;&gt;"pvp",Inputs!$B$43&gt;0),((Skills!G5*((R314-1)*IF(Skills!H5&gt;0,Skills!I5/Skills!H5,1)+IF(Skills!H5&gt;0,MIN(Skills!I5,MAX(0,MAX(0,Inputs!$B$43-B349)-((R314-1)*IF(Inputs!$B$38="pvp",15,MAX(0.1,Skills!D5-IF(Skills!E5=TRUE,Inputs!$B$32,0))))))/Skills!H5,1)))/Inputs!$B$43),G314*Q314))*IF(Inputs!$B$38="pvp",1,(1+((Inputs!$B$21+1)+Skills!Q5)/100)*(MIN(Skills!R5,Inputs!$B$37))),0)</f>
        <v/>
      </c>
    </row>
    <row r="315">
      <c r="A315">
        <f>Skills!A6</f>
        <v/>
      </c>
      <c r="B315">
        <f>Skills!B6</f>
        <v/>
      </c>
      <c r="C315">
        <f>Inputs!$B$3&gt;=40</f>
        <v/>
      </c>
      <c r="D315">
        <f>IF(Skills!C6=1,60+Inputs!$B$25+Inputs!$B$29,IF(Skills!C6=2,90+Inputs!$B$26+Inputs!$B$29,IF(Skills!C6=3,120+Inputs!$B$27+Inputs!$B$29,MAX(0,(Inputs!$B$3-100)*3)+Inputs!$B$28+Inputs!$B$29)))</f>
        <v/>
      </c>
      <c r="E315">
        <f>INDEX(FactorTable!$B$2:$Y$301, MATCH(ROUND(MIN(300,MAX(1,D315)),0), FactorTable!$A$2:$A$301,0), Skills!M6+1)</f>
        <v/>
      </c>
      <c r="F315">
        <f>IF(Skills!N6=TRUE,(Skills!L6/10)*(E315/1000),Skills!L6/10)+Skills!O6</f>
        <v/>
      </c>
      <c r="G315">
        <f>Skills!G6*IF(Skills!H6&gt;0,Skills!I6/Skills!H6,1)</f>
        <v/>
      </c>
      <c r="H315">
        <f>1-(1-Skills!J6/100)^Skills!K6</f>
        <v/>
      </c>
      <c r="I315" t="inlineStr">
        <is>
          <t>1</t>
        </is>
      </c>
      <c r="J315">
        <f>((Inputs!$B$6*(1+Inputs!$B$7/100))+(((Inputs!$B$12*(1+Inputs!$B$13/100))-(Inputs!$B$12*(1+Inputs!$B$13/100)))+0.25*(Inputs!$B$14-Inputs!$B$14))*(1+Inputs!$B$7/100))*(F315/100)</f>
        <v/>
      </c>
      <c r="K315">
        <f>J315*(1+((Inputs!$B$12*(1+Inputs!$B$13/100))*0.01+Inputs!$B$14*0.0025)/100)*(1+Inputs!$B$15/100)*(1+Inputs!$B$16/100)*(5000/(6000+Inputs!$B$42*(1-(Inputs!$B$19+((C336=TRUE)*(F336-Calc!F27)))/100)))*(1+(Inputs!$B$24+((C334=TRUE)*(F334-Calc!F25))+((C335=TRUE)*(F335-Calc!F26))+B348)/100)*(1+IF(C316=TRUE,F316,0)/100)*(1+(IF(Skills!A6="ARROW_STREAM",Inputs!$B$17+((C332=TRUE)*(F332-Calc!F23)),Inputs!$B$18+((C337=TRUE)*(F337-Calc!F28))))/100)*((1+(((C322=TRUE)*F322)+((C323=TRUE)*IF(Inputs!$B$38="pvp",F323,(1-Summary!$B$55)*(F323)+Summary!$B$55*(0)))+((C324=TRUE)*F324*IF(AND(Inputs!$B$38&lt;&gt;"pvp",Inputs!$B$43&gt;0),(((R324-1)*(Skills!T15*(1+Inputs!$B$34/100))+MIN((Skills!T15*(1+Inputs!$B$34/100)),MAX(0,Inputs!$B$43-((R324-1)*Skills!D15))))/Inputs!$B$43),IF(Inputs!$B$38="pvp",MIN((Skills!T15*(1+Inputs!$B$34/100)),15)/15,(Skills!T15*(1+Inputs!$B$34/100))/Skills!D15)))+((C339=TRUE)*(F339-Calc!F30)))/100)*I315)</f>
        <v/>
      </c>
      <c r="L315">
        <f>K315*(MIN(Inputs!$B$22+((C333=TRUE)*(F333-Calc!F24)),Inputs!$B$23+((C338=TRUE)*(F338-Calc!F29)))/100+(Inputs!$B$23+((C338=TRUE)*(F338-Calc!F29)))/100)/2</f>
        <v/>
      </c>
      <c r="M315">
        <f>L315*(1+(Inputs!$B$10+0+B347)/100)</f>
        <v/>
      </c>
      <c r="N315">
        <f>L315*(1-MIN((Inputs!$B$9+((C329=TRUE)*(F329-Calc!F20))+B342),100)/100)+M315*(MIN((Inputs!$B$9+((C329=TRUE)*(F329-Calc!F20))+B342),100)/100)</f>
        <v/>
      </c>
      <c r="O315">
        <f>(1-Summary!$B$55)*T315+Summary!$B$55*V315</f>
        <v/>
      </c>
      <c r="P315">
        <f>IF(B352=0,0,O315/B352)</f>
        <v/>
      </c>
      <c r="Q315">
        <f>IFERROR(1/IF(Inputs!$B$38="pvp",15,MAX(0.1,Skills!D6-IF(Skills!E6=TRUE,Inputs!$B$32,0))),0)</f>
        <v/>
      </c>
      <c r="R315">
        <f>IF(AND(Inputs!$B$38&lt;&gt;"pvp",Inputs!$B$43&gt;0),IF(MAX(0,Inputs!$B$43-B349)&lt;=0,0,(INT(MAX(0,Inputs!$B$43-B349)/IF(Inputs!$B$38="pvp",15,MAX(0.1,Skills!D6-IF(Skills!E6=TRUE,Inputs!$B$32,0))))+1)),0)</f>
        <v/>
      </c>
      <c r="S315">
        <f>IFERROR(O315/N315,0)</f>
        <v/>
      </c>
      <c r="T315">
        <f>IF(C315,(H315*N315*IF(AND(Inputs!$B$38&lt;&gt;"pvp",Inputs!$B$43&gt;0),((Skills!G6*((R315-1)*IF(Skills!H6&gt;0,Skills!I6/Skills!H6,1)+IF(Skills!H6&gt;0,MIN(Skills!I6,MAX(0,MAX(0,Inputs!$B$43-B349)-((R315-1)*IF(Inputs!$B$38="pvp",15,MAX(0.1,Skills!D6-IF(Skills!E6=TRUE,Inputs!$B$32,0))))))/Skills!H6,1)))/Inputs!$B$43),G315*Q315))*IF(Inputs!$B$38="pvp",1,1+(Inputs!$B$20+0+Skills!P6)/100),0)</f>
        <v/>
      </c>
      <c r="V315">
        <f>IF(C315,(H315*N315*IF(AND(Inputs!$B$38&lt;&gt;"pvp",Inputs!$B$43&gt;0),((Skills!G6*((R315-1)*IF(Skills!H6&gt;0,Skills!I6/Skills!H6,1)+IF(Skills!H6&gt;0,MIN(Skills!I6,MAX(0,MAX(0,Inputs!$B$43-B349)-((R315-1)*IF(Inputs!$B$38="pvp",15,MAX(0.1,Skills!D6-IF(Skills!E6=TRUE,Inputs!$B$32,0))))))/Skills!H6,1)))/Inputs!$B$43),G315*Q315))*IF(Inputs!$B$38="pvp",1,(1+((Inputs!$B$21+1)+Skills!Q6)/100)*(MIN(Skills!R6,Inputs!$B$37))),0)</f>
        <v/>
      </c>
    </row>
    <row r="316">
      <c r="A316">
        <f>Skills!A7</f>
        <v/>
      </c>
      <c r="B316">
        <f>Skills!B7</f>
        <v/>
      </c>
      <c r="C316">
        <f>Inputs!$B$3&gt;=107</f>
        <v/>
      </c>
      <c r="D316">
        <f>IF(Skills!C7=1,60+Inputs!$B$25+Inputs!$B$29,IF(Skills!C7=2,90+Inputs!$B$26+Inputs!$B$29,IF(Skills!C7=3,120+Inputs!$B$27+Inputs!$B$29,MAX(0,(Inputs!$B$3-100)*3)+Inputs!$B$28+Inputs!$B$29)))</f>
        <v/>
      </c>
      <c r="E316">
        <f>INDEX(FactorTable!$B$2:$Y$301, MATCH(ROUND(MIN(300,MAX(1,D316)),0), FactorTable!$A$2:$A$301,0), Skills!M7+1)</f>
        <v/>
      </c>
      <c r="F316">
        <f>IF(Skills!N7=TRUE,(Skills!L7/10)*(E316/1000),Skills!L7/10)+Skills!O7</f>
        <v/>
      </c>
      <c r="G316" t="inlineStr"/>
      <c r="H316" t="inlineStr"/>
      <c r="I316" t="inlineStr">
        <is>
          <t>1</t>
        </is>
      </c>
      <c r="J316" t="inlineStr"/>
      <c r="K316" t="inlineStr"/>
      <c r="L316" t="inlineStr"/>
      <c r="M316" t="inlineStr"/>
      <c r="N316" t="inlineStr"/>
      <c r="O316" t="inlineStr"/>
      <c r="P316" t="inlineStr"/>
      <c r="Q316" t="inlineStr"/>
      <c r="R316" t="inlineStr"/>
      <c r="S316" t="inlineStr"/>
      <c r="T316" t="inlineStr"/>
      <c r="V316" t="inlineStr"/>
    </row>
    <row r="317">
      <c r="A317">
        <f>Skills!A8</f>
        <v/>
      </c>
      <c r="B317">
        <f>Skills!B8</f>
        <v/>
      </c>
      <c r="C317">
        <f>Inputs!$B$3&gt;=69</f>
        <v/>
      </c>
      <c r="D317">
        <f>IF(Skills!C8=1,60+Inputs!$B$25+Inputs!$B$29,IF(Skills!C8=2,90+Inputs!$B$26+Inputs!$B$29,IF(Skills!C8=3,120+Inputs!$B$27+Inputs!$B$29,MAX(0,(Inputs!$B$3-100)*3)+Inputs!$B$28+Inputs!$B$29)))</f>
        <v/>
      </c>
      <c r="E317">
        <f>INDEX(FactorTable!$B$2:$Y$301, MATCH(ROUND(MIN(300,MAX(1,D317)),0), FactorTable!$A$2:$A$301,0), Skills!M8+1)</f>
        <v/>
      </c>
      <c r="F317">
        <f>IF(Skills!N8=TRUE,(Skills!L8/10)*(E317/1000),Skills!L8/10)+Skills!O8</f>
        <v/>
      </c>
      <c r="G317">
        <f>Skills!G8*IF(Skills!H8&gt;0,Skills!I8/Skills!H8,1)</f>
        <v/>
      </c>
      <c r="H317">
        <f>1-(1-Skills!J8/100)^Skills!K8</f>
        <v/>
      </c>
      <c r="I317" t="inlineStr">
        <is>
          <t>1</t>
        </is>
      </c>
      <c r="J317">
        <f>((Inputs!$B$6*(1+Inputs!$B$7/100))+(((Inputs!$B$12*(1+Inputs!$B$13/100))-(Inputs!$B$12*(1+Inputs!$B$13/100)))+0.25*(Inputs!$B$14-Inputs!$B$14))*(1+Inputs!$B$7/100))*(F317/100)</f>
        <v/>
      </c>
      <c r="K317">
        <f>J317*(1+((Inputs!$B$12*(1+Inputs!$B$13/100))*0.01+Inputs!$B$14*0.0025)/100)*(1+Inputs!$B$15/100)*(1+Inputs!$B$16/100)*(5000/(6000+Inputs!$B$42*(1-(Inputs!$B$19+((C336=TRUE)*(F336-Calc!F27)))/100)))*(1+(Inputs!$B$24+((C334=TRUE)*(F334-Calc!F25))+((C335=TRUE)*(F335-Calc!F26))+B348)/100)*(1+1.2*IF(C319=TRUE,F319,0)/100)*(1+(IF(Skills!A8="ARROW_STREAM",Inputs!$B$17+((C332=TRUE)*(F332-Calc!F23)),Inputs!$B$18+((C337=TRUE)*(F337-Calc!F28))))/100)*((1+(((C322=TRUE)*F322)+((C323=TRUE)*IF(Inputs!$B$38="pvp",F323,(1-Summary!$B$55)*(F323)+Summary!$B$55*(0)))+((C324=TRUE)*F324*IF(AND(Inputs!$B$38&lt;&gt;"pvp",Inputs!$B$43&gt;0),(((R324-1)*(Skills!T15*(1+Inputs!$B$34/100))+MIN((Skills!T15*(1+Inputs!$B$34/100)),MAX(0,Inputs!$B$43-((R324-1)*Skills!D15))))/Inputs!$B$43),IF(Inputs!$B$38="pvp",MIN((Skills!T15*(1+Inputs!$B$34/100)),15)/15,(Skills!T15*(1+Inputs!$B$34/100))/Skills!D15)))+((C339=TRUE)*(F339-Calc!F30)))/100)*I317)</f>
        <v/>
      </c>
      <c r="L317">
        <f>K317*(MIN(Inputs!$B$22+((C333=TRUE)*(F333-Calc!F24)),Inputs!$B$23+((C338=TRUE)*(F338-Calc!F29)))/100+(Inputs!$B$23+((C338=TRUE)*(F338-Calc!F29)))/100)/2</f>
        <v/>
      </c>
      <c r="M317">
        <f>L317*(1+(Inputs!$B$10+0+B347)/100)</f>
        <v/>
      </c>
      <c r="N317">
        <f>L317*(1-MIN((Inputs!$B$9+((C329=TRUE)*(F329-Calc!F20))+B342),100)/100)+M317*(MIN((Inputs!$B$9+((C329=TRUE)*(F329-Calc!F20))+B342),100)/100)</f>
        <v/>
      </c>
      <c r="O317">
        <f>(1-Summary!$B$55)*T317+Summary!$B$55*V317</f>
        <v/>
      </c>
      <c r="P317">
        <f>IF(B352=0,0,O317/B352)</f>
        <v/>
      </c>
      <c r="Q317">
        <f>IFERROR(1/IF(Inputs!$B$38="pvp",15,MAX(0.1,Skills!D8-IF(Skills!E8=TRUE,Inputs!$B$32,0))),0)</f>
        <v/>
      </c>
      <c r="R317">
        <f>IF(AND(Inputs!$B$38&lt;&gt;"pvp",Inputs!$B$43&gt;0),IF(MAX(0,Inputs!$B$43-B349)&lt;=0,0,(INT(MAX(0,Inputs!$B$43-B349)/IF(Inputs!$B$38="pvp",15,MAX(0.1,Skills!D8-IF(Skills!E8=TRUE,Inputs!$B$32,0))))+1)),0)</f>
        <v/>
      </c>
      <c r="S317">
        <f>IFERROR(O317/N317,0)</f>
        <v/>
      </c>
      <c r="T317">
        <f>IF(C317,(H317*N317*IF(AND(Inputs!$B$38&lt;&gt;"pvp",Inputs!$B$43&gt;0),((Skills!G8*((R317-1)*IF(Skills!H8&gt;0,Skills!I8/Skills!H8,1)+IF(Skills!H8&gt;0,MIN(Skills!I8,MAX(0,MAX(0,Inputs!$B$43-B349)-((R317-1)*IF(Inputs!$B$38="pvp",15,MAX(0.1,Skills!D8-IF(Skills!E8=TRUE,Inputs!$B$32,0))))))/Skills!H8,1)))/Inputs!$B$43),G317*Q317))*IF(Inputs!$B$38="pvp",1,1+(Inputs!$B$20+0+Skills!P8)/100),0)</f>
        <v/>
      </c>
      <c r="V317">
        <f>IF(C317,(H317*N317*IF(AND(Inputs!$B$38&lt;&gt;"pvp",Inputs!$B$43&gt;0),((Skills!G8*((R317-1)*IF(Skills!H8&gt;0,Skills!I8/Skills!H8,1)+IF(Skills!H8&gt;0,MIN(Skills!I8,MAX(0,MAX(0,Inputs!$B$43-B349)-((R317-1)*IF(Inputs!$B$38="pvp",15,MAX(0.1,Skills!D8-IF(Skills!E8=TRUE,Inputs!$B$32,0))))))/Skills!H8,1)))/Inputs!$B$43),G317*Q317))*IF(Inputs!$B$38="pvp",1,(1+((Inputs!$B$21+1)+Skills!Q8)/100)*(MIN(Skills!R8,Inputs!$B$37))),0)</f>
        <v/>
      </c>
    </row>
    <row r="318">
      <c r="A318">
        <f>Skills!A9</f>
        <v/>
      </c>
      <c r="B318">
        <f>Skills!B9</f>
        <v/>
      </c>
      <c r="C318">
        <f>Inputs!$B$3&gt;=63</f>
        <v/>
      </c>
      <c r="D318">
        <f>IF(Skills!C9=1,60+Inputs!$B$25+Inputs!$B$29,IF(Skills!C9=2,90+Inputs!$B$26+Inputs!$B$29,IF(Skills!C9=3,120+Inputs!$B$27+Inputs!$B$29,MAX(0,(Inputs!$B$3-100)*3)+Inputs!$B$28+Inputs!$B$29)))</f>
        <v/>
      </c>
      <c r="E318">
        <f>INDEX(FactorTable!$B$2:$Y$301, MATCH(ROUND(MIN(300,MAX(1,D318)),0), FactorTable!$A$2:$A$301,0), Skills!M9+1)</f>
        <v/>
      </c>
      <c r="F318">
        <f>IF(Skills!N9=TRUE,(Skills!L9/10)*(E318/1000),Skills!L9/10)+Skills!O9</f>
        <v/>
      </c>
      <c r="G318">
        <f>Skills!G9*IF(Skills!H9&gt;0,Skills!I9/Skills!H9,1)</f>
        <v/>
      </c>
      <c r="H318">
        <f>1-(1-Skills!J9/100)^Skills!K9</f>
        <v/>
      </c>
      <c r="I318" t="inlineStr">
        <is>
          <t>1</t>
        </is>
      </c>
      <c r="J318">
        <f>((Inputs!$B$6*(1+Inputs!$B$7/100))+(((Inputs!$B$12*(1+Inputs!$B$13/100))-(Inputs!$B$12*(1+Inputs!$B$13/100)))+0.25*(Inputs!$B$14-Inputs!$B$14))*(1+Inputs!$B$7/100))*(F318/100)</f>
        <v/>
      </c>
      <c r="K318">
        <f>J318*(1+((Inputs!$B$12*(1+Inputs!$B$13/100))*0.01+Inputs!$B$14*0.0025)/100)*(1+Inputs!$B$15/100)*(1+Inputs!$B$16/100)*(5000/(6000+Inputs!$B$42*(1-(Inputs!$B$19+((C336=TRUE)*(F336-Calc!F27)))/100)))*(1+(Inputs!$B$24+((C334=TRUE)*(F334-Calc!F25))+((C335=TRUE)*(F335-Calc!F26))+B348)/100)*(1+1.0*IF(C319=TRUE,F319,0)/100)*(1+(IF(Skills!A9="ARROW_STREAM",Inputs!$B$17+((C332=TRUE)*(F332-Calc!F23)),Inputs!$B$18+((C337=TRUE)*(F337-Calc!F28))))/100)*((1+(((C322=TRUE)*F322)+((C323=TRUE)*IF(Inputs!$B$38="pvp",F323,(1-Summary!$B$55)*(F323)+Summary!$B$55*(0)))+((C324=TRUE)*F324*IF(AND(Inputs!$B$38&lt;&gt;"pvp",Inputs!$B$43&gt;0),(((R324-1)*(Skills!T15*(1+Inputs!$B$34/100))+MIN((Skills!T15*(1+Inputs!$B$34/100)),MAX(0,Inputs!$B$43-((R324-1)*Skills!D15))))/Inputs!$B$43),IF(Inputs!$B$38="pvp",MIN((Skills!T15*(1+Inputs!$B$34/100)),15)/15,(Skills!T15*(1+Inputs!$B$34/100))/Skills!D15)))+((C339=TRUE)*(F339-Calc!F30)))/100)*I318)</f>
        <v/>
      </c>
      <c r="L318">
        <f>K318*(MIN(Inputs!$B$22+((C333=TRUE)*(F333-Calc!F24)),Inputs!$B$23+((C338=TRUE)*(F338-Calc!F29)))/100+(Inputs!$B$23+((C338=TRUE)*(F338-Calc!F29)))/100)/2</f>
        <v/>
      </c>
      <c r="M318">
        <f>L318*(1+(Inputs!$B$10+0+B347)/100)</f>
        <v/>
      </c>
      <c r="N318">
        <f>L318*(1-MIN((Inputs!$B$9+((C329=TRUE)*(F329-Calc!F20))+B342),100)/100)+M318*(MIN((Inputs!$B$9+((C329=TRUE)*(F329-Calc!F20))+B342),100)/100)</f>
        <v/>
      </c>
      <c r="O318">
        <f>(1-Summary!$B$55)*T318+Summary!$B$55*V318</f>
        <v/>
      </c>
      <c r="P318">
        <f>IF(B352=0,0,O318/B352)</f>
        <v/>
      </c>
      <c r="Q318">
        <f>IFERROR(1/IF(Inputs!$B$38="pvp",15,MAX(0.1,Skills!D9-IF(Skills!E9=TRUE,Inputs!$B$32,0))),0)</f>
        <v/>
      </c>
      <c r="R318">
        <f>IF(AND(Inputs!$B$38&lt;&gt;"pvp",Inputs!$B$43&gt;0),IF(MAX(0,Inputs!$B$43-B349)&lt;=0,0,(INT(MAX(0,Inputs!$B$43-B349)/IF(Inputs!$B$38="pvp",15,MAX(0.1,Skills!D9-IF(Skills!E9=TRUE,Inputs!$B$32,0))))+1)),0)</f>
        <v/>
      </c>
      <c r="S318">
        <f>IFERROR(O318/N318,0)</f>
        <v/>
      </c>
      <c r="T318">
        <f>IF(C318,(H318*N318*IF(AND(Inputs!$B$38&lt;&gt;"pvp",Inputs!$B$43&gt;0),((Skills!G9*((R318-1)*IF(Skills!H9&gt;0,Skills!I9/Skills!H9,1)+IF(Skills!H9&gt;0,MIN(Skills!I9,MAX(0,MAX(0,Inputs!$B$43-B349)-((R318-1)*IF(Inputs!$B$38="pvp",15,MAX(0.1,Skills!D9-IF(Skills!E9=TRUE,Inputs!$B$32,0))))))/Skills!H9,1)))/Inputs!$B$43),G318*Q318))*IF(Inputs!$B$38="pvp",1,1+(Inputs!$B$20+0+Skills!P9)/100),0)</f>
        <v/>
      </c>
      <c r="V318">
        <f>IF(C318,(H318*N318*IF(AND(Inputs!$B$38&lt;&gt;"pvp",Inputs!$B$43&gt;0),((Skills!G9*((R318-1)*IF(Skills!H9&gt;0,Skills!I9/Skills!H9,1)+IF(Skills!H9&gt;0,MIN(Skills!I9,MAX(0,MAX(0,Inputs!$B$43-B349)-((R318-1)*IF(Inputs!$B$38="pvp",15,MAX(0.1,Skills!D9-IF(Skills!E9=TRUE,Inputs!$B$32,0))))))/Skills!H9,1)))/Inputs!$B$43),G318*Q318))*IF(Inputs!$B$38="pvp",1,(1+((Inputs!$B$21+1)+Skills!Q9)/100)*(MIN(Skills!R9,Inputs!$B$37))),0)</f>
        <v/>
      </c>
    </row>
    <row r="319">
      <c r="A319">
        <f>Skills!A10</f>
        <v/>
      </c>
      <c r="B319">
        <f>Skills!B10</f>
        <v/>
      </c>
      <c r="C319">
        <f>Inputs!$B$3&gt;=100</f>
        <v/>
      </c>
      <c r="D319">
        <f>IF(Skills!C10=1,60+Inputs!$B$25+Inputs!$B$29,IF(Skills!C10=2,90+Inputs!$B$26+Inputs!$B$29,IF(Skills!C10=3,120+Inputs!$B$27+Inputs!$B$29,MAX(0,(Inputs!$B$3-100)*3)+Inputs!$B$28+Inputs!$B$29)))</f>
        <v/>
      </c>
      <c r="E319">
        <f>INDEX(FactorTable!$B$2:$Y$301, MATCH(ROUND(MIN(300,MAX(1,D319)),0), FactorTable!$A$2:$A$301,0), Skills!M10+1)</f>
        <v/>
      </c>
      <c r="F319">
        <f>IF(Skills!N10=TRUE,(Skills!L10/10)*(E319/1000),Skills!L10/10)+Skills!O10</f>
        <v/>
      </c>
      <c r="G319" t="inlineStr"/>
      <c r="H319" t="inlineStr"/>
      <c r="I319" t="inlineStr">
        <is>
          <t>1</t>
        </is>
      </c>
      <c r="J319" t="inlineStr"/>
      <c r="K319" t="inlineStr"/>
      <c r="L319" t="inlineStr"/>
      <c r="M319" t="inlineStr"/>
      <c r="N319" t="inlineStr"/>
      <c r="O319" t="inlineStr"/>
      <c r="P319" t="inlineStr"/>
      <c r="Q319" t="inlineStr"/>
      <c r="R319" t="inlineStr"/>
      <c r="S319" t="inlineStr"/>
      <c r="T319" t="inlineStr"/>
      <c r="V319" t="inlineStr"/>
    </row>
    <row r="320">
      <c r="A320">
        <f>Skills!A11</f>
        <v/>
      </c>
      <c r="B320">
        <f>Skills!B11</f>
        <v/>
      </c>
      <c r="C320">
        <f>Inputs!$B$3&gt;=60</f>
        <v/>
      </c>
      <c r="D320">
        <f>IF(Skills!C11=1,60+Inputs!$B$25+Inputs!$B$29,IF(Skills!C11=2,90+Inputs!$B$26+Inputs!$B$29,IF(Skills!C11=3,120+Inputs!$B$27+Inputs!$B$29,MAX(0,(Inputs!$B$3-100)*3)+Inputs!$B$28+Inputs!$B$29)))</f>
        <v/>
      </c>
      <c r="E320">
        <f>INDEX(FactorTable!$B$2:$Y$301, MATCH(ROUND(MIN(300,MAX(1,D320)),0), FactorTable!$A$2:$A$301,0), Skills!M11+1)</f>
        <v/>
      </c>
      <c r="F320">
        <f>IF(Skills!N11=TRUE,(Skills!L11/10)*(E320/1000),Skills!L11/10)+Skills!O11</f>
        <v/>
      </c>
      <c r="G320">
        <f>Skills!G11*IF(Skills!H11&gt;0,Skills!I11/Skills!H11,1)</f>
        <v/>
      </c>
      <c r="H320">
        <f>1-(1-Skills!J11/100)^Skills!K11</f>
        <v/>
      </c>
      <c r="I320" t="inlineStr">
        <is>
          <t>1</t>
        </is>
      </c>
      <c r="J320">
        <f>((Inputs!$B$6*(1+Inputs!$B$7/100))+(((Inputs!$B$12*(1+Inputs!$B$13/100))-(Inputs!$B$12*(1+Inputs!$B$13/100)))+0.25*(Inputs!$B$14-Inputs!$B$14))*(1+Inputs!$B$7/100))*(F320/100)</f>
        <v/>
      </c>
      <c r="K320">
        <f>J320*(1+((Inputs!$B$12*(1+Inputs!$B$13/100))*0.01+Inputs!$B$14*0.0025)/100)*(1+Inputs!$B$15/100)*(1+Inputs!$B$16/100)*(5000/(6000+Inputs!$B$42*(1-(Inputs!$B$19+((C336=TRUE)*(F336-Calc!F27)))/100)))*(1+(Inputs!$B$24+((C334=TRUE)*(F334-Calc!F25))+((C335=TRUE)*(F335-Calc!F26))+B348)/100)*(1+IF(C321=TRUE,F321,0)/100)*(1+(IF(Skills!A11="ARROW_STREAM",Inputs!$B$17+((C332=TRUE)*(F332-Calc!F23)),Inputs!$B$18+((C337=TRUE)*(F337-Calc!F28))))/100)*((1+(((C322=TRUE)*F322)+((C323=TRUE)*IF(Inputs!$B$38="pvp",F323,(1-Summary!$B$55)*(F323)+Summary!$B$55*(0)))+((C324=TRUE)*F324*IF(AND(Inputs!$B$38&lt;&gt;"pvp",Inputs!$B$43&gt;0),(((R324-1)*(Skills!T15*(1+Inputs!$B$34/100))+MIN((Skills!T15*(1+Inputs!$B$34/100)),MAX(0,Inputs!$B$43-((R324-1)*Skills!D15))))/Inputs!$B$43),IF(Inputs!$B$38="pvp",MIN((Skills!T15*(1+Inputs!$B$34/100)),15)/15,(Skills!T15*(1+Inputs!$B$34/100))/Skills!D15)))+((C339=TRUE)*(F339-Calc!F30)))/100)*I320)</f>
        <v/>
      </c>
      <c r="L320">
        <f>K320*(MIN(Inputs!$B$22+((C333=TRUE)*(F333-Calc!F24)),Inputs!$B$23+((C338=TRUE)*(F338-Calc!F29)))/100+(Inputs!$B$23+((C338=TRUE)*(F338-Calc!F29)))/100)/2</f>
        <v/>
      </c>
      <c r="M320">
        <f>L320*(1+(Inputs!$B$10+0+B347)/100)</f>
        <v/>
      </c>
      <c r="N320">
        <f>L320*(1-MIN((Inputs!$B$9+((C329=TRUE)*(F329-Calc!F20))+B342),100)/100)+M320*(MIN((Inputs!$B$9+((C329=TRUE)*(F329-Calc!F20))+B342),100)/100)</f>
        <v/>
      </c>
      <c r="O320">
        <f>(1-Summary!$B$55)*T320+Summary!$B$55*V320</f>
        <v/>
      </c>
      <c r="P320">
        <f>IF(B352=0,0,O320/B352)</f>
        <v/>
      </c>
      <c r="Q320">
        <f>IFERROR(1/IF(Inputs!$B$38="pvp",15,MAX(0.1,Skills!D11-IF(Skills!E11=TRUE,Inputs!$B$32,0))),0)</f>
        <v/>
      </c>
      <c r="R320">
        <f>IF(AND(Inputs!$B$38&lt;&gt;"pvp",Inputs!$B$43&gt;0),IF(MAX(0,Inputs!$B$43-B349)&lt;=0,0,(INT(MAX(0,Inputs!$B$43-B349)/IF(Inputs!$B$38="pvp",15,MAX(0.1,Skills!D11-IF(Skills!E11=TRUE,Inputs!$B$32,0))))+1)),0)</f>
        <v/>
      </c>
      <c r="S320">
        <f>IFERROR(O320/N320,0)</f>
        <v/>
      </c>
      <c r="T320">
        <f>IF(C320,(H320*N320*IF(AND(Inputs!$B$38&lt;&gt;"pvp",Inputs!$B$43&gt;0),((Skills!G11*((R320-1)*IF(Skills!H11&gt;0,Skills!I11/Skills!H11,1)+IF(Skills!H11&gt;0,MIN(Skills!I11,MAX(0,MAX(0,Inputs!$B$43-B349)-((R320-1)*IF(Inputs!$B$38="pvp",15,MAX(0.1,Skills!D11-IF(Skills!E11=TRUE,Inputs!$B$32,0))))))/Skills!H11,1)))/Inputs!$B$43),G320*Q320))*IF(Inputs!$B$38="pvp",1,1+(Inputs!$B$20+0+Skills!P11)/100),0)</f>
        <v/>
      </c>
      <c r="V320">
        <f>IF(C320,(H320*N320*IF(AND(Inputs!$B$38&lt;&gt;"pvp",Inputs!$B$43&gt;0),((Skills!G11*((R320-1)*IF(Skills!H11&gt;0,Skills!I11/Skills!H11,1)+IF(Skills!H11&gt;0,MIN(Skills!I11,MAX(0,MAX(0,Inputs!$B$43-B349)-((R320-1)*IF(Inputs!$B$38="pvp",15,MAX(0.1,Skills!D11-IF(Skills!E11=TRUE,Inputs!$B$32,0))))))/Skills!H11,1)))/Inputs!$B$43),G320*Q320))*IF(Inputs!$B$38="pvp",1,(1+((Inputs!$B$21+1)+Skills!Q11)/100)*(MIN(Skills!R11,Inputs!$B$37))),0)</f>
        <v/>
      </c>
    </row>
    <row r="321">
      <c r="A321">
        <f>Skills!A12</f>
        <v/>
      </c>
      <c r="B321">
        <f>Skills!B12</f>
        <v/>
      </c>
      <c r="C321">
        <f>Inputs!$B$3&gt;=110</f>
        <v/>
      </c>
      <c r="D321">
        <f>IF(Skills!C12=1,60+Inputs!$B$25+Inputs!$B$29,IF(Skills!C12=2,90+Inputs!$B$26+Inputs!$B$29,IF(Skills!C12=3,120+Inputs!$B$27+Inputs!$B$29,MAX(0,(Inputs!$B$3-100)*3)+Inputs!$B$28+Inputs!$B$29)))</f>
        <v/>
      </c>
      <c r="E321">
        <f>INDEX(FactorTable!$B$2:$Y$301, MATCH(ROUND(MIN(300,MAX(1,D321)),0), FactorTable!$A$2:$A$301,0), Skills!M12+1)</f>
        <v/>
      </c>
      <c r="F321">
        <f>IF(Skills!N12=TRUE,(Skills!L12/10)*(E321/1000),Skills!L12/10)+Skills!O12</f>
        <v/>
      </c>
      <c r="G321" t="inlineStr"/>
      <c r="H321" t="inlineStr"/>
      <c r="I321" t="inlineStr">
        <is>
          <t>1</t>
        </is>
      </c>
      <c r="J321" t="inlineStr"/>
      <c r="K321" t="inlineStr"/>
      <c r="L321" t="inlineStr"/>
      <c r="M321" t="inlineStr"/>
      <c r="N321" t="inlineStr"/>
      <c r="O321" t="inlineStr"/>
      <c r="P321" t="inlineStr"/>
      <c r="Q321" t="inlineStr"/>
      <c r="R321" t="inlineStr"/>
      <c r="S321" t="inlineStr"/>
      <c r="T321" t="inlineStr"/>
      <c r="V321" t="inlineStr"/>
    </row>
    <row r="322">
      <c r="A322">
        <f>Skills!A13</f>
        <v/>
      </c>
      <c r="B322">
        <f>Skills!B13</f>
        <v/>
      </c>
      <c r="C322">
        <f>Inputs!$B$3&gt;=74</f>
        <v/>
      </c>
      <c r="D322">
        <f>IF(Skills!C13=1,60+Inputs!$B$25+Inputs!$B$29,IF(Skills!C13=2,90+Inputs!$B$26+Inputs!$B$29,IF(Skills!C13=3,120+Inputs!$B$27+Inputs!$B$29,MAX(0,(Inputs!$B$3-100)*3)+Inputs!$B$28+Inputs!$B$29)))</f>
        <v/>
      </c>
      <c r="E322">
        <f>INDEX(FactorTable!$B$2:$Y$301, MATCH(ROUND(MIN(300,MAX(1,D322)),0), FactorTable!$A$2:$A$301,0), Skills!M13+1)</f>
        <v/>
      </c>
      <c r="F322">
        <f>IF(Skills!N13=TRUE,(Skills!L13/10)*(E322/1000),Skills!L13/10)+Skills!O13</f>
        <v/>
      </c>
      <c r="G322">
        <f>Skills!G13*IF(Skills!H13&gt;0,Skills!I13/Skills!H13,1)</f>
        <v/>
      </c>
      <c r="H322">
        <f>1-(1-Skills!J13/100)^Skills!K13</f>
        <v/>
      </c>
      <c r="I322" t="inlineStr">
        <is>
          <t>1</t>
        </is>
      </c>
      <c r="J322" t="inlineStr"/>
      <c r="K322" t="inlineStr"/>
      <c r="L322" t="inlineStr"/>
      <c r="M322" t="inlineStr"/>
      <c r="N322" t="inlineStr"/>
      <c r="O322">
        <f>(1-Summary!$B$55)*T322+Summary!$B$55*V322</f>
        <v/>
      </c>
      <c r="P322">
        <f>IF(B352=0,0,O322/B352)</f>
        <v/>
      </c>
      <c r="Q322" t="n">
        <v>0</v>
      </c>
      <c r="R322" t="n">
        <v>0</v>
      </c>
      <c r="S322">
        <f>IFERROR(O322/N322,0)</f>
        <v/>
      </c>
      <c r="T322" t="n">
        <v>0</v>
      </c>
      <c r="V322" t="n">
        <v>0</v>
      </c>
    </row>
    <row r="323">
      <c r="A323">
        <f>Skills!A14</f>
        <v/>
      </c>
      <c r="B323">
        <f>Skills!B14</f>
        <v/>
      </c>
      <c r="C323">
        <f>Inputs!$B$3&gt;=74</f>
        <v/>
      </c>
      <c r="D323">
        <f>IF(Skills!C14=1,60+Inputs!$B$25+Inputs!$B$29,IF(Skills!C14=2,90+Inputs!$B$26+Inputs!$B$29,IF(Skills!C14=3,120+Inputs!$B$27+Inputs!$B$29,MAX(0,(Inputs!$B$3-100)*3)+Inputs!$B$28+Inputs!$B$29)))</f>
        <v/>
      </c>
      <c r="E323">
        <f>INDEX(FactorTable!$B$2:$Y$301, MATCH(ROUND(MIN(300,MAX(1,D323)),0), FactorTable!$A$2:$A$301,0), Skills!M14+1)</f>
        <v/>
      </c>
      <c r="F323">
        <f>IF(Skills!N14=TRUE,(Skills!L14/10)*(E323/1000),Skills!L14/10)+Skills!O14</f>
        <v/>
      </c>
      <c r="G323">
        <f>Skills!G14*IF(Skills!H14&gt;0,Skills!I14/Skills!H14,1)</f>
        <v/>
      </c>
      <c r="H323">
        <f>1-(1-Skills!J14/100)^Skills!K14</f>
        <v/>
      </c>
      <c r="I323" t="inlineStr">
        <is>
          <t>1</t>
        </is>
      </c>
      <c r="J323" t="inlineStr"/>
      <c r="K323" t="inlineStr"/>
      <c r="L323" t="inlineStr"/>
      <c r="M323" t="inlineStr"/>
      <c r="N323" t="inlineStr"/>
      <c r="O323">
        <f>(1-Summary!$B$55)*T323+Summary!$B$55*V323</f>
        <v/>
      </c>
      <c r="P323">
        <f>IF(B352=0,0,O323/B352)</f>
        <v/>
      </c>
      <c r="Q323" t="n">
        <v>0</v>
      </c>
      <c r="R323" t="n">
        <v>0</v>
      </c>
      <c r="S323">
        <f>IFERROR(O323/N323,0)</f>
        <v/>
      </c>
      <c r="T323" t="n">
        <v>0</v>
      </c>
      <c r="V323" t="n">
        <v>0</v>
      </c>
    </row>
    <row r="324">
      <c r="A324">
        <f>Skills!A15</f>
        <v/>
      </c>
      <c r="B324">
        <f>Skills!B15</f>
        <v/>
      </c>
      <c r="C324">
        <f>Inputs!$B$3&gt;=117</f>
        <v/>
      </c>
      <c r="D324">
        <f>IF(Skills!C15=1,60+Inputs!$B$25+Inputs!$B$29,IF(Skills!C15=2,90+Inputs!$B$26+Inputs!$B$29,IF(Skills!C15=3,120+Inputs!$B$27+Inputs!$B$29,MAX(0,(Inputs!$B$3-100)*3)+Inputs!$B$28+Inputs!$B$29)))</f>
        <v/>
      </c>
      <c r="E324">
        <f>INDEX(FactorTable!$B$2:$Y$301, MATCH(ROUND(MIN(300,MAX(1,D324)),0), FactorTable!$A$2:$A$301,0), Skills!M15+1)</f>
        <v/>
      </c>
      <c r="F324">
        <f>IF(Skills!N15=TRUE,(Skills!L15/10)*(E324/1000),Skills!L15/10)+Skills!O15</f>
        <v/>
      </c>
      <c r="G324">
        <f>Skills!G15*IF(Skills!H15&gt;0,Skills!I15/Skills!H15,1)</f>
        <v/>
      </c>
      <c r="H324">
        <f>1-(1-Skills!J15/100)^Skills!K15</f>
        <v/>
      </c>
      <c r="I324" t="inlineStr">
        <is>
          <t>1</t>
        </is>
      </c>
      <c r="J324" t="inlineStr"/>
      <c r="K324" t="inlineStr"/>
      <c r="L324" t="inlineStr"/>
      <c r="M324" t="inlineStr"/>
      <c r="N324" t="inlineStr"/>
      <c r="O324">
        <f>(1-Summary!$B$55)*T324+Summary!$B$55*V324</f>
        <v/>
      </c>
      <c r="P324">
        <f>IF(B352=0,0,O324/B352)</f>
        <v/>
      </c>
      <c r="Q324">
        <f>IFERROR(1/IF(Inputs!$B$38="pvp",15,MAX(0.1,Skills!D15-IF(Skills!E15=TRUE,Inputs!$B$32,0))),0)</f>
        <v/>
      </c>
      <c r="R324">
        <f>IF(AND(Inputs!$B$38&lt;&gt;"pvp",Inputs!$B$43&gt;0),IF(Inputs!$B$43&lt;=0,0,(INT(Inputs!$B$43/IF(Inputs!$B$38="pvp",15,MAX(0.1,Skills!D15-IF(Skills!E15=TRUE,Inputs!$B$32,0))))+1)),0)</f>
        <v/>
      </c>
      <c r="S324">
        <f>IFERROR(O324/N324,0)</f>
        <v/>
      </c>
      <c r="T324" t="n">
        <v>0</v>
      </c>
      <c r="V324" t="n">
        <v>0</v>
      </c>
    </row>
    <row r="325">
      <c r="A325">
        <f>Skills!A16</f>
        <v/>
      </c>
      <c r="B325">
        <f>Skills!B16</f>
        <v/>
      </c>
      <c r="C325">
        <f>Inputs!$B$3&gt;=115</f>
        <v/>
      </c>
      <c r="D325">
        <f>IF(Skills!C16=1,60+Inputs!$B$25+Inputs!$B$29,IF(Skills!C16=2,90+Inputs!$B$26+Inputs!$B$29,IF(Skills!C16=3,120+Inputs!$B$27+Inputs!$B$29,MAX(0,(Inputs!$B$3-100)*3)+Inputs!$B$28+Inputs!$B$29)))</f>
        <v/>
      </c>
      <c r="E325">
        <f>INDEX(FactorTable!$B$2:$Y$301, MATCH(ROUND(MIN(300,MAX(1,D325)),0), FactorTable!$A$2:$A$301,0), Skills!M16+1)</f>
        <v/>
      </c>
      <c r="F325">
        <f>IF(Skills!N16=TRUE,(Skills!L16/10)*(E325/1000),Skills!L16/10)+Skills!O16</f>
        <v/>
      </c>
      <c r="G325">
        <f>Skills!G16*IF(Skills!H16&gt;0,Skills!I16/Skills!H16,1)</f>
        <v/>
      </c>
      <c r="H325">
        <f>1-(1-Skills!J16/100)^Skills!K16</f>
        <v/>
      </c>
      <c r="I325" t="inlineStr">
        <is>
          <t>1</t>
        </is>
      </c>
      <c r="J325" t="inlineStr"/>
      <c r="K325" t="inlineStr"/>
      <c r="L325" t="inlineStr"/>
      <c r="M325" t="inlineStr"/>
      <c r="N325" t="inlineStr"/>
      <c r="O325">
        <f>(1-Summary!$B$55)*T325+Summary!$B$55*V325</f>
        <v/>
      </c>
      <c r="P325">
        <f>IF(B352=0,0,O325/B352)</f>
        <v/>
      </c>
      <c r="Q325">
        <f>IFERROR(1/IF(Inputs!$B$38="pvp",15,MAX(0.1,Skills!D16-IF(Skills!E16=TRUE,Inputs!$B$32,0))),0)</f>
        <v/>
      </c>
      <c r="R325">
        <f>IF(AND(Inputs!$B$38&lt;&gt;"pvp",Inputs!$B$43&gt;0),IF(Inputs!$B$43&lt;=0,0,(INT(Inputs!$B$43/IF(Inputs!$B$38="pvp",15,MAX(0.1,Skills!D16-IF(Skills!E16=TRUE,Inputs!$B$32,0))))+1)),0)</f>
        <v/>
      </c>
      <c r="S325">
        <f>IFERROR(O325/N325,0)</f>
        <v/>
      </c>
      <c r="T325" t="n">
        <v>0</v>
      </c>
      <c r="V325" t="n">
        <v>0</v>
      </c>
    </row>
    <row r="326">
      <c r="A326">
        <f>Skills!A17</f>
        <v/>
      </c>
      <c r="B326">
        <f>Skills!B17</f>
        <v/>
      </c>
      <c r="C326">
        <f>Inputs!$B$3&gt;=66</f>
        <v/>
      </c>
      <c r="D326">
        <f>IF(Skills!C17=1,60+Inputs!$B$25+Inputs!$B$29,IF(Skills!C17=2,90+Inputs!$B$26+Inputs!$B$29,IF(Skills!C17=3,120+Inputs!$B$27+Inputs!$B$29,MAX(0,(Inputs!$B$3-100)*3)+Inputs!$B$28+Inputs!$B$29)))</f>
        <v/>
      </c>
      <c r="E326">
        <f>INDEX(FactorTable!$B$2:$Y$301, MATCH(ROUND(MIN(300,MAX(1,D326)),0), FactorTable!$A$2:$A$301,0), Skills!M17+1)</f>
        <v/>
      </c>
      <c r="F326">
        <f>IF(Skills!N17=TRUE,(Skills!L17/10)*(E326/1000),Skills!L17/10)+Skills!O17</f>
        <v/>
      </c>
      <c r="G326">
        <f>Skills!G17*IF(Skills!H17&gt;0,Skills!I17/Skills!H17,1)</f>
        <v/>
      </c>
      <c r="H326">
        <f>1-(1-Skills!J17/100)^Skills!K17</f>
        <v/>
      </c>
      <c r="I326" t="inlineStr">
        <is>
          <t>1</t>
        </is>
      </c>
      <c r="J326" t="inlineStr"/>
      <c r="K326" t="inlineStr"/>
      <c r="L326" t="inlineStr"/>
      <c r="M326" t="inlineStr"/>
      <c r="N326" t="inlineStr"/>
      <c r="O326">
        <f>(1-Summary!$B$55)*T326+Summary!$B$55*V326</f>
        <v/>
      </c>
      <c r="P326">
        <f>IF(B352=0,0,O326/B352)</f>
        <v/>
      </c>
      <c r="Q326" t="n">
        <v>0</v>
      </c>
      <c r="R326" t="n">
        <v>0</v>
      </c>
      <c r="S326">
        <f>IFERROR(O326/N326,0)</f>
        <v/>
      </c>
      <c r="T326" t="n">
        <v>0</v>
      </c>
      <c r="V326" t="n">
        <v>0</v>
      </c>
    </row>
    <row r="327">
      <c r="A327">
        <f>Skills!A18</f>
        <v/>
      </c>
      <c r="B327">
        <f>Skills!B18</f>
        <v/>
      </c>
      <c r="C327">
        <f>Inputs!$B$3&gt;=72</f>
        <v/>
      </c>
      <c r="D327">
        <f>IF(Skills!C18=1,60+Inputs!$B$25+Inputs!$B$29,IF(Skills!C18=2,90+Inputs!$B$26+Inputs!$B$29,IF(Skills!C18=3,120+Inputs!$B$27+Inputs!$B$29,MAX(0,(Inputs!$B$3-100)*3)+Inputs!$B$28+Inputs!$B$29)))</f>
        <v/>
      </c>
      <c r="E327">
        <f>INDEX(FactorTable!$B$2:$Y$301, MATCH(ROUND(MIN(300,MAX(1,D327)),0), FactorTable!$A$2:$A$301,0), Skills!M18+1)</f>
        <v/>
      </c>
      <c r="F327">
        <f>IF(Skills!N18=TRUE,(Skills!L18/10)*(E327/1000),Skills!L18/10)+Skills!O18</f>
        <v/>
      </c>
      <c r="G327">
        <f>Skills!G18*IF(Skills!H18&gt;0,Skills!I18/Skills!H18,1)</f>
        <v/>
      </c>
      <c r="H327">
        <f>1-(1-Skills!J18/100)^Skills!K18</f>
        <v/>
      </c>
      <c r="I327" t="inlineStr">
        <is>
          <t>1</t>
        </is>
      </c>
      <c r="J327" t="inlineStr"/>
      <c r="K327" t="inlineStr"/>
      <c r="L327" t="inlineStr"/>
      <c r="M327" t="inlineStr"/>
      <c r="N327" t="inlineStr"/>
      <c r="O327">
        <f>(1-Summary!$B$55)*T327+Summary!$B$55*V327</f>
        <v/>
      </c>
      <c r="P327">
        <f>IF(B352=0,0,O327/B352)</f>
        <v/>
      </c>
      <c r="Q327" t="n">
        <v>0</v>
      </c>
      <c r="R327" t="n">
        <v>0</v>
      </c>
      <c r="S327">
        <f>IFERROR(O327/N327,0)</f>
        <v/>
      </c>
      <c r="T327" t="n">
        <v>0</v>
      </c>
      <c r="V327" t="n">
        <v>0</v>
      </c>
    </row>
    <row r="328">
      <c r="A328">
        <f>Skills!A19</f>
        <v/>
      </c>
      <c r="B328">
        <f>Skills!B19</f>
        <v/>
      </c>
      <c r="C328">
        <f>TRUE</f>
        <v/>
      </c>
      <c r="D328">
        <f>IF(Skills!C19=1,60+Inputs!$B$25+Inputs!$B$29,IF(Skills!C19=2,90+Inputs!$B$26+Inputs!$B$29,IF(Skills!C19=3,120+Inputs!$B$27+Inputs!$B$29,MAX(0,(Inputs!$B$3-100)*3)+Inputs!$B$28+Inputs!$B$29)))</f>
        <v/>
      </c>
      <c r="E328">
        <f>INDEX(FactorTable!$B$2:$Y$301, MATCH(ROUND(MIN(300,MAX(1,D328)),0), FactorTable!$A$2:$A$301,0), Skills!M19+1)</f>
        <v/>
      </c>
      <c r="F328">
        <f>IF(Skills!N19=TRUE,(Skills!L19/10)*(E328/1000),Skills!L19/10)+Skills!O19</f>
        <v/>
      </c>
      <c r="G328">
        <f>Skills!G19*IF(Skills!H19&gt;0,Skills!I19/Skills!H19,1)</f>
        <v/>
      </c>
      <c r="H328">
        <f>1-(1-Skills!J19/100)^Skills!K19</f>
        <v/>
      </c>
      <c r="I328" t="inlineStr">
        <is>
          <t>1</t>
        </is>
      </c>
      <c r="J328" t="inlineStr"/>
      <c r="K328" t="inlineStr"/>
      <c r="L328" t="inlineStr"/>
      <c r="M328" t="inlineStr"/>
      <c r="N328" t="inlineStr"/>
      <c r="O328">
        <f>(1-Summary!$B$55)*T328+Summary!$B$55*V328</f>
        <v/>
      </c>
      <c r="P328">
        <f>IF(B352=0,0,O328/B352)</f>
        <v/>
      </c>
      <c r="Q328">
        <f>IFERROR(1/IF(Inputs!$B$38="pvp",15,MAX(0.1,Skills!D19-IF(Skills!E19=TRUE,Inputs!$B$32,0))),0)</f>
        <v/>
      </c>
      <c r="R328">
        <f>IF(AND(Inputs!$B$38&lt;&gt;"pvp",Inputs!$B$43&gt;0),IF(Inputs!$B$43&lt;=0,0,(INT(Inputs!$B$43/IF(Inputs!$B$38="pvp",15,MAX(0.1,Skills!D19-IF(Skills!E19=TRUE,Inputs!$B$32,0))))+1)),0)</f>
        <v/>
      </c>
      <c r="S328">
        <f>IFERROR(O328/N328,0)</f>
        <v/>
      </c>
      <c r="T328" t="n">
        <v>0</v>
      </c>
      <c r="V328" t="n">
        <v>0</v>
      </c>
    </row>
    <row r="329">
      <c r="A329">
        <f>Skills!A20</f>
        <v/>
      </c>
      <c r="B329">
        <f>Skills!B20</f>
        <v/>
      </c>
      <c r="C329">
        <f>Inputs!$B$3&gt;=15</f>
        <v/>
      </c>
      <c r="D329">
        <f>IF(Skills!C20=1,60+Inputs!$B$25+Inputs!$B$29,IF(Skills!C20=2,90+Inputs!$B$26+Inputs!$B$29,IF(Skills!C20=3,120+Inputs!$B$27+Inputs!$B$29,MAX(0,(Inputs!$B$3-100)*3)+Inputs!$B$28+Inputs!$B$29)))</f>
        <v/>
      </c>
      <c r="E329">
        <f>INDEX(FactorTable!$B$2:$Y$301, MATCH(ROUND(MIN(300,MAX(1,D329)),0), FactorTable!$A$2:$A$301,0), Skills!M20+1)</f>
        <v/>
      </c>
      <c r="F329">
        <f>IF(Skills!N20=TRUE,(Skills!L20/10)*(E329/1000),Skills!L20/10)+Skills!O20</f>
        <v/>
      </c>
      <c r="G329">
        <f>Skills!G20*IF(Skills!H20&gt;0,Skills!I20/Skills!H20,1)</f>
        <v/>
      </c>
      <c r="H329">
        <f>1-(1-Skills!J20/100)^Skills!K20</f>
        <v/>
      </c>
      <c r="I329" t="inlineStr">
        <is>
          <t>1</t>
        </is>
      </c>
      <c r="J329" t="inlineStr"/>
      <c r="K329" t="inlineStr"/>
      <c r="L329" t="inlineStr"/>
      <c r="M329" t="inlineStr"/>
      <c r="N329" t="inlineStr"/>
      <c r="O329">
        <f>(1-Summary!$B$55)*T329+Summary!$B$55*V329</f>
        <v/>
      </c>
      <c r="P329">
        <f>IF(B352=0,0,O329/B352)</f>
        <v/>
      </c>
      <c r="Q329" t="n">
        <v>0</v>
      </c>
      <c r="R329" t="n">
        <v>0</v>
      </c>
      <c r="S329">
        <f>IFERROR(O329/N329,0)</f>
        <v/>
      </c>
      <c r="T329" t="n">
        <v>0</v>
      </c>
      <c r="V329" t="n">
        <v>0</v>
      </c>
    </row>
    <row r="330">
      <c r="A330">
        <f>Skills!A21</f>
        <v/>
      </c>
      <c r="B330">
        <f>Skills!B21</f>
        <v/>
      </c>
      <c r="C330">
        <f>Inputs!$B$3&gt;=10</f>
        <v/>
      </c>
      <c r="D330">
        <f>IF(Skills!C21=1,60+Inputs!$B$25+Inputs!$B$29,IF(Skills!C21=2,90+Inputs!$B$26+Inputs!$B$29,IF(Skills!C21=3,120+Inputs!$B$27+Inputs!$B$29,MAX(0,(Inputs!$B$3-100)*3)+Inputs!$B$28+Inputs!$B$29)))</f>
        <v/>
      </c>
      <c r="E330">
        <f>INDEX(FactorTable!$B$2:$Y$301, MATCH(ROUND(MIN(300,MAX(1,D330)),0), FactorTable!$A$2:$A$301,0), Skills!M21+1)</f>
        <v/>
      </c>
      <c r="F330">
        <f>IF(Skills!N21=TRUE,(Skills!L21/10)*(E330/1000),Skills!L21/10)+Skills!O21</f>
        <v/>
      </c>
      <c r="G330">
        <f>Skills!G21*IF(Skills!H21&gt;0,Skills!I21/Skills!H21,1)</f>
        <v/>
      </c>
      <c r="H330">
        <f>1-(1-Skills!J21/100)^Skills!K21</f>
        <v/>
      </c>
      <c r="I330" t="inlineStr">
        <is>
          <t>1</t>
        </is>
      </c>
      <c r="J330" t="inlineStr"/>
      <c r="K330" t="inlineStr"/>
      <c r="L330" t="inlineStr"/>
      <c r="M330" t="inlineStr"/>
      <c r="N330" t="inlineStr"/>
      <c r="O330">
        <f>(1-Summary!$B$55)*T330+Summary!$B$55*V330</f>
        <v/>
      </c>
      <c r="P330">
        <f>IF(B352=0,0,O330/B352)</f>
        <v/>
      </c>
      <c r="Q330" t="n">
        <v>0</v>
      </c>
      <c r="R330" t="n">
        <v>0</v>
      </c>
      <c r="S330">
        <f>IFERROR(O330/N330,0)</f>
        <v/>
      </c>
      <c r="T330" t="n">
        <v>0</v>
      </c>
      <c r="V330" t="n">
        <v>0</v>
      </c>
    </row>
    <row r="331">
      <c r="A331">
        <f>Skills!A22</f>
        <v/>
      </c>
      <c r="B331">
        <f>Skills!B22</f>
        <v/>
      </c>
      <c r="C331">
        <f>Inputs!$B$3&gt;=33</f>
        <v/>
      </c>
      <c r="D331">
        <f>IF(Skills!C22=1,60+Inputs!$B$25+Inputs!$B$29,IF(Skills!C22=2,90+Inputs!$B$26+Inputs!$B$29,IF(Skills!C22=3,120+Inputs!$B$27+Inputs!$B$29,MAX(0,(Inputs!$B$3-100)*3)+Inputs!$B$28+Inputs!$B$29)))</f>
        <v/>
      </c>
      <c r="E331">
        <f>INDEX(FactorTable!$B$2:$Y$301, MATCH(ROUND(MIN(300,MAX(1,D331)),0), FactorTable!$A$2:$A$301,0), Skills!M22+1)</f>
        <v/>
      </c>
      <c r="F331">
        <f>IF(Skills!N22=TRUE,(Skills!L22/10)*(E331/1000),Skills!L22/10)+Skills!O22</f>
        <v/>
      </c>
      <c r="G331">
        <f>Skills!G22*IF(Skills!H22&gt;0,Skills!I22/Skills!H22,1)</f>
        <v/>
      </c>
      <c r="H331">
        <f>1-(1-Skills!J22/100)^Skills!K22</f>
        <v/>
      </c>
      <c r="I331" t="inlineStr">
        <is>
          <t>1</t>
        </is>
      </c>
      <c r="J331" t="inlineStr"/>
      <c r="K331" t="inlineStr"/>
      <c r="L331" t="inlineStr"/>
      <c r="M331" t="inlineStr"/>
      <c r="N331" t="inlineStr"/>
      <c r="O331">
        <f>(1-Summary!$B$55)*T331+Summary!$B$55*V331</f>
        <v/>
      </c>
      <c r="P331">
        <f>IF(B352=0,0,O331/B352)</f>
        <v/>
      </c>
      <c r="Q331" t="n">
        <v>0</v>
      </c>
      <c r="R331" t="n">
        <v>0</v>
      </c>
      <c r="S331">
        <f>IFERROR(O331/N331,0)</f>
        <v/>
      </c>
      <c r="T331" t="n">
        <v>0</v>
      </c>
      <c r="V331" t="n">
        <v>0</v>
      </c>
    </row>
    <row r="332">
      <c r="A332">
        <f>Skills!A23</f>
        <v/>
      </c>
      <c r="B332">
        <f>Skills!B23</f>
        <v/>
      </c>
      <c r="C332">
        <f>Inputs!$B$3&gt;=38</f>
        <v/>
      </c>
      <c r="D332">
        <f>IF(Skills!C23=1,60+Inputs!$B$25+Inputs!$B$29,IF(Skills!C23=2,90+Inputs!$B$26+Inputs!$B$29,IF(Skills!C23=3,120+Inputs!$B$27+Inputs!$B$29,MAX(0,(Inputs!$B$3-100)*3)+Inputs!$B$28+Inputs!$B$29)))</f>
        <v/>
      </c>
      <c r="E332">
        <f>INDEX(FactorTable!$B$2:$Y$301, MATCH(ROUND(MIN(300,MAX(1,D332)),0), FactorTable!$A$2:$A$301,0), Skills!M23+1)</f>
        <v/>
      </c>
      <c r="F332">
        <f>IF(Skills!N23=TRUE,(Skills!L23/10)*(E332/1000),Skills!L23/10)+Skills!O23</f>
        <v/>
      </c>
      <c r="G332">
        <f>Skills!G23*IF(Skills!H23&gt;0,Skills!I23/Skills!H23,1)</f>
        <v/>
      </c>
      <c r="H332">
        <f>1-(1-Skills!J23/100)^Skills!K23</f>
        <v/>
      </c>
      <c r="I332" t="inlineStr">
        <is>
          <t>1</t>
        </is>
      </c>
      <c r="J332" t="inlineStr"/>
      <c r="K332" t="inlineStr"/>
      <c r="L332" t="inlineStr"/>
      <c r="M332" t="inlineStr"/>
      <c r="N332" t="inlineStr"/>
      <c r="O332">
        <f>(1-Summary!$B$55)*T332+Summary!$B$55*V332</f>
        <v/>
      </c>
      <c r="P332">
        <f>IF(B352=0,0,O332/B352)</f>
        <v/>
      </c>
      <c r="Q332" t="n">
        <v>0</v>
      </c>
      <c r="R332" t="n">
        <v>0</v>
      </c>
      <c r="S332">
        <f>IFERROR(O332/N332,0)</f>
        <v/>
      </c>
      <c r="T332" t="n">
        <v>0</v>
      </c>
      <c r="V332" t="n">
        <v>0</v>
      </c>
    </row>
    <row r="333">
      <c r="A333">
        <f>Skills!A24</f>
        <v/>
      </c>
      <c r="B333">
        <f>Skills!B24</f>
        <v/>
      </c>
      <c r="C333">
        <f>Inputs!$B$3&gt;=43</f>
        <v/>
      </c>
      <c r="D333">
        <f>IF(Skills!C24=1,60+Inputs!$B$25+Inputs!$B$29,IF(Skills!C24=2,90+Inputs!$B$26+Inputs!$B$29,IF(Skills!C24=3,120+Inputs!$B$27+Inputs!$B$29,MAX(0,(Inputs!$B$3-100)*3)+Inputs!$B$28+Inputs!$B$29)))</f>
        <v/>
      </c>
      <c r="E333">
        <f>INDEX(FactorTable!$B$2:$Y$301, MATCH(ROUND(MIN(300,MAX(1,D333)),0), FactorTable!$A$2:$A$301,0), Skills!M24+1)</f>
        <v/>
      </c>
      <c r="F333">
        <f>IF(Skills!N24=TRUE,(Skills!L24/10)*(E333/1000),Skills!L24/10)+Skills!O24</f>
        <v/>
      </c>
      <c r="G333">
        <f>Skills!G24*IF(Skills!H24&gt;0,Skills!I24/Skills!H24,1)</f>
        <v/>
      </c>
      <c r="H333">
        <f>1-(1-Skills!J24/100)^Skills!K24</f>
        <v/>
      </c>
      <c r="I333" t="inlineStr">
        <is>
          <t>1</t>
        </is>
      </c>
      <c r="J333" t="inlineStr"/>
      <c r="K333" t="inlineStr"/>
      <c r="L333" t="inlineStr"/>
      <c r="M333" t="inlineStr"/>
      <c r="N333" t="inlineStr"/>
      <c r="O333">
        <f>(1-Summary!$B$55)*T333+Summary!$B$55*V333</f>
        <v/>
      </c>
      <c r="P333">
        <f>IF(B352=0,0,O333/B352)</f>
        <v/>
      </c>
      <c r="Q333" t="n">
        <v>0</v>
      </c>
      <c r="R333" t="n">
        <v>0</v>
      </c>
      <c r="S333">
        <f>IFERROR(O333/N333,0)</f>
        <v/>
      </c>
      <c r="T333" t="n">
        <v>0</v>
      </c>
      <c r="V333" t="n">
        <v>0</v>
      </c>
    </row>
    <row r="334">
      <c r="A334">
        <f>Skills!A25</f>
        <v/>
      </c>
      <c r="B334">
        <f>Skills!B25</f>
        <v/>
      </c>
      <c r="C334">
        <f>Inputs!$B$3&gt;=75</f>
        <v/>
      </c>
      <c r="D334">
        <f>IF(Skills!C25=1,60+Inputs!$B$25+Inputs!$B$29,IF(Skills!C25=2,90+Inputs!$B$26+Inputs!$B$29,IF(Skills!C25=3,120+Inputs!$B$27+Inputs!$B$29,MAX(0,(Inputs!$B$3-100)*3)+Inputs!$B$28+Inputs!$B$29)))</f>
        <v/>
      </c>
      <c r="E334">
        <f>INDEX(FactorTable!$B$2:$Y$301, MATCH(ROUND(MIN(300,MAX(1,D334)),0), FactorTable!$A$2:$A$301,0), Skills!M25+1)</f>
        <v/>
      </c>
      <c r="F334">
        <f>IF(Skills!N25=TRUE,(Skills!L25/10)*(E334/1000),Skills!L25/10)+Skills!O25</f>
        <v/>
      </c>
      <c r="G334">
        <f>Skills!G25*IF(Skills!H25&gt;0,Skills!I25/Skills!H25,1)</f>
        <v/>
      </c>
      <c r="H334">
        <f>1-(1-Skills!J25/100)^Skills!K25</f>
        <v/>
      </c>
      <c r="I334" t="inlineStr">
        <is>
          <t>1</t>
        </is>
      </c>
      <c r="J334" t="inlineStr"/>
      <c r="K334" t="inlineStr"/>
      <c r="L334" t="inlineStr"/>
      <c r="M334" t="inlineStr"/>
      <c r="N334" t="inlineStr"/>
      <c r="O334">
        <f>(1-Summary!$B$55)*T334+Summary!$B$55*V334</f>
        <v/>
      </c>
      <c r="P334">
        <f>IF(B352=0,0,O334/B352)</f>
        <v/>
      </c>
      <c r="Q334" t="n">
        <v>0</v>
      </c>
      <c r="R334" t="n">
        <v>0</v>
      </c>
      <c r="S334">
        <f>IFERROR(O334/N334,0)</f>
        <v/>
      </c>
      <c r="T334" t="n">
        <v>0</v>
      </c>
      <c r="V334" t="n">
        <v>0</v>
      </c>
    </row>
    <row r="335">
      <c r="A335">
        <f>Skills!A26</f>
        <v/>
      </c>
      <c r="B335">
        <f>Skills!B26</f>
        <v/>
      </c>
      <c r="C335">
        <f>Inputs!$B$3&gt;=125</f>
        <v/>
      </c>
      <c r="D335">
        <f>IF(Skills!C26=1,60+Inputs!$B$25+Inputs!$B$29,IF(Skills!C26=2,90+Inputs!$B$26+Inputs!$B$29,IF(Skills!C26=3,120+Inputs!$B$27+Inputs!$B$29,MAX(0,(Inputs!$B$3-100)*3)+Inputs!$B$28+Inputs!$B$29)))</f>
        <v/>
      </c>
      <c r="E335">
        <f>INDEX(FactorTable!$B$2:$Y$301, MATCH(ROUND(MIN(300,MAX(1,D335)),0), FactorTable!$A$2:$A$301,0), Skills!M26+1)</f>
        <v/>
      </c>
      <c r="F335">
        <f>IF(Skills!N26=TRUE,(Skills!L26/10)*(E335/1000),Skills!L26/10)+Skills!O26</f>
        <v/>
      </c>
      <c r="G335">
        <f>Skills!G26*IF(Skills!H26&gt;0,Skills!I26/Skills!H26,1)</f>
        <v/>
      </c>
      <c r="H335">
        <f>1-(1-Skills!J26/100)^Skills!K26</f>
        <v/>
      </c>
      <c r="I335" t="inlineStr">
        <is>
          <t>1</t>
        </is>
      </c>
      <c r="J335" t="inlineStr"/>
      <c r="K335" t="inlineStr"/>
      <c r="L335" t="inlineStr"/>
      <c r="M335" t="inlineStr"/>
      <c r="N335" t="inlineStr"/>
      <c r="O335">
        <f>(1-Summary!$B$55)*T335+Summary!$B$55*V335</f>
        <v/>
      </c>
      <c r="P335">
        <f>IF(B352=0,0,O335/B352)</f>
        <v/>
      </c>
      <c r="Q335" t="n">
        <v>0</v>
      </c>
      <c r="R335" t="n">
        <v>0</v>
      </c>
      <c r="S335">
        <f>IFERROR(O335/N335,0)</f>
        <v/>
      </c>
      <c r="T335" t="n">
        <v>0</v>
      </c>
      <c r="V335" t="n">
        <v>0</v>
      </c>
    </row>
    <row r="336">
      <c r="A336">
        <f>Skills!A27</f>
        <v/>
      </c>
      <c r="B336">
        <f>Skills!B27</f>
        <v/>
      </c>
      <c r="C336">
        <f>Inputs!$B$3&gt;=125</f>
        <v/>
      </c>
      <c r="D336">
        <f>IF(Skills!C27=1,60+Inputs!$B$25+Inputs!$B$29,IF(Skills!C27=2,90+Inputs!$B$26+Inputs!$B$29,IF(Skills!C27=3,120+Inputs!$B$27+Inputs!$B$29,MAX(0,(Inputs!$B$3-100)*3)+Inputs!$B$28+Inputs!$B$29)))</f>
        <v/>
      </c>
      <c r="E336">
        <f>INDEX(FactorTable!$B$2:$Y$301, MATCH(ROUND(MIN(300,MAX(1,D336)),0), FactorTable!$A$2:$A$301,0), Skills!M27+1)</f>
        <v/>
      </c>
      <c r="F336">
        <f>IF(Skills!N27=TRUE,(Skills!L27/10)*(E336/1000),Skills!L27/10)+Skills!O27</f>
        <v/>
      </c>
      <c r="G336">
        <f>Skills!G27*IF(Skills!H27&gt;0,Skills!I27/Skills!H27,1)</f>
        <v/>
      </c>
      <c r="H336">
        <f>1-(1-Skills!J27/100)^Skills!K27</f>
        <v/>
      </c>
      <c r="I336" t="inlineStr">
        <is>
          <t>1</t>
        </is>
      </c>
      <c r="J336" t="inlineStr"/>
      <c r="K336" t="inlineStr"/>
      <c r="L336" t="inlineStr"/>
      <c r="M336" t="inlineStr"/>
      <c r="N336" t="inlineStr"/>
      <c r="O336">
        <f>(1-Summary!$B$55)*T336+Summary!$B$55*V336</f>
        <v/>
      </c>
      <c r="P336">
        <f>IF(B352=0,0,O336/B352)</f>
        <v/>
      </c>
      <c r="Q336" t="n">
        <v>0</v>
      </c>
      <c r="R336" t="n">
        <v>0</v>
      </c>
      <c r="S336">
        <f>IFERROR(O336/N336,0)</f>
        <v/>
      </c>
      <c r="T336" t="n">
        <v>0</v>
      </c>
      <c r="V336" t="n">
        <v>0</v>
      </c>
    </row>
    <row r="337">
      <c r="A337">
        <f>Skills!A28</f>
        <v/>
      </c>
      <c r="B337">
        <f>Skills!B28</f>
        <v/>
      </c>
      <c r="C337">
        <f>Inputs!$B$3&gt;=120</f>
        <v/>
      </c>
      <c r="D337">
        <f>IF(Skills!C28=1,60+Inputs!$B$25+Inputs!$B$29,IF(Skills!C28=2,90+Inputs!$B$26+Inputs!$B$29,IF(Skills!C28=3,120+Inputs!$B$27+Inputs!$B$29,MAX(0,(Inputs!$B$3-100)*3)+Inputs!$B$28+Inputs!$B$29)))</f>
        <v/>
      </c>
      <c r="E337">
        <f>INDEX(FactorTable!$B$2:$Y$301, MATCH(ROUND(MIN(300,MAX(1,D337)),0), FactorTable!$A$2:$A$301,0), Skills!M28+1)</f>
        <v/>
      </c>
      <c r="F337">
        <f>IF(Skills!N28=TRUE,(Skills!L28/10)*(E337/1000),Skills!L28/10)+Skills!O28</f>
        <v/>
      </c>
      <c r="G337">
        <f>Skills!G28*IF(Skills!H28&gt;0,Skills!I28/Skills!H28,1)</f>
        <v/>
      </c>
      <c r="H337">
        <f>1-(1-Skills!J28/100)^Skills!K28</f>
        <v/>
      </c>
      <c r="I337" t="inlineStr">
        <is>
          <t>1</t>
        </is>
      </c>
      <c r="J337" t="inlineStr"/>
      <c r="K337" t="inlineStr"/>
      <c r="L337" t="inlineStr"/>
      <c r="M337" t="inlineStr"/>
      <c r="N337" t="inlineStr"/>
      <c r="O337">
        <f>(1-Summary!$B$55)*T337+Summary!$B$55*V337</f>
        <v/>
      </c>
      <c r="P337">
        <f>IF(B352=0,0,O337/B352)</f>
        <v/>
      </c>
      <c r="Q337" t="n">
        <v>0</v>
      </c>
      <c r="R337" t="n">
        <v>0</v>
      </c>
      <c r="S337">
        <f>IFERROR(O337/N337,0)</f>
        <v/>
      </c>
      <c r="T337" t="n">
        <v>0</v>
      </c>
      <c r="V337" t="n">
        <v>0</v>
      </c>
    </row>
    <row r="338">
      <c r="A338">
        <f>Skills!A29</f>
        <v/>
      </c>
      <c r="B338">
        <f>Skills!B29</f>
        <v/>
      </c>
      <c r="C338">
        <f>Inputs!$B$3&gt;=120</f>
        <v/>
      </c>
      <c r="D338">
        <f>IF(Skills!C29=1,60+Inputs!$B$25+Inputs!$B$29,IF(Skills!C29=2,90+Inputs!$B$26+Inputs!$B$29,IF(Skills!C29=3,120+Inputs!$B$27+Inputs!$B$29,MAX(0,(Inputs!$B$3-100)*3)+Inputs!$B$28+Inputs!$B$29)))</f>
        <v/>
      </c>
      <c r="E338">
        <f>INDEX(FactorTable!$B$2:$Y$301, MATCH(ROUND(MIN(300,MAX(1,D338)),0), FactorTable!$A$2:$A$301,0), Skills!M29+1)</f>
        <v/>
      </c>
      <c r="F338">
        <f>IF(Skills!N29=TRUE,(Skills!L29/10)*(E338/1000),Skills!L29/10)+Skills!O29</f>
        <v/>
      </c>
      <c r="G338">
        <f>Skills!G29*IF(Skills!H29&gt;0,Skills!I29/Skills!H29,1)</f>
        <v/>
      </c>
      <c r="H338">
        <f>1-(1-Skills!J29/100)^Skills!K29</f>
        <v/>
      </c>
      <c r="I338" t="inlineStr">
        <is>
          <t>1</t>
        </is>
      </c>
      <c r="J338" t="inlineStr"/>
      <c r="K338" t="inlineStr"/>
      <c r="L338" t="inlineStr"/>
      <c r="M338" t="inlineStr"/>
      <c r="N338" t="inlineStr"/>
      <c r="O338">
        <f>(1-Summary!$B$55)*T338+Summary!$B$55*V338</f>
        <v/>
      </c>
      <c r="P338">
        <f>IF(B352=0,0,O338/B352)</f>
        <v/>
      </c>
      <c r="Q338" t="n">
        <v>0</v>
      </c>
      <c r="R338" t="n">
        <v>0</v>
      </c>
      <c r="S338">
        <f>IFERROR(O338/N338,0)</f>
        <v/>
      </c>
      <c r="T338" t="n">
        <v>0</v>
      </c>
      <c r="V338" t="n">
        <v>0</v>
      </c>
    </row>
    <row r="339">
      <c r="A339">
        <f>Skills!A30</f>
        <v/>
      </c>
      <c r="B339">
        <f>Skills!B30</f>
        <v/>
      </c>
      <c r="C339">
        <f>Inputs!$B$3&gt;=45</f>
        <v/>
      </c>
      <c r="D339">
        <f>IF(Skills!C30=1,60+Inputs!$B$25+Inputs!$B$29,IF(Skills!C30=2,90+Inputs!$B$26+Inputs!$B$29,IF(Skills!C30=3,120+Inputs!$B$27+Inputs!$B$29,MAX(0,(Inputs!$B$3-100)*3)+Inputs!$B$28+Inputs!$B$29)))</f>
        <v/>
      </c>
      <c r="E339">
        <f>INDEX(FactorTable!$B$2:$Y$301, MATCH(ROUND(MIN(300,MAX(1,D339)),0), FactorTable!$A$2:$A$301,0), Skills!M30+1)</f>
        <v/>
      </c>
      <c r="F339">
        <f>IF(Skills!N30=TRUE,(Skills!L30/10)*(E339/1000),Skills!L30/10)+Skills!O30</f>
        <v/>
      </c>
      <c r="G339">
        <f>Skills!G30*IF(Skills!H30&gt;0,Skills!I30/Skills!H30,1)</f>
        <v/>
      </c>
      <c r="H339">
        <f>1-(1-Skills!J30/100)^Skills!K30</f>
        <v/>
      </c>
      <c r="I339" t="inlineStr">
        <is>
          <t>1</t>
        </is>
      </c>
      <c r="J339" t="inlineStr"/>
      <c r="K339" t="inlineStr"/>
      <c r="L339" t="inlineStr"/>
      <c r="M339" t="inlineStr"/>
      <c r="N339" t="inlineStr"/>
      <c r="O339">
        <f>(1-Summary!$B$55)*T339+Summary!$B$55*V339</f>
        <v/>
      </c>
      <c r="P339">
        <f>IF(B352=0,0,O339/B352)</f>
        <v/>
      </c>
      <c r="Q339" t="n">
        <v>0</v>
      </c>
      <c r="R339" t="n">
        <v>0</v>
      </c>
      <c r="S339">
        <f>IFERROR(O339/N339,0)</f>
        <v/>
      </c>
      <c r="T339" t="n">
        <v>0</v>
      </c>
      <c r="V339" t="n">
        <v>0</v>
      </c>
    </row>
    <row r="341">
      <c r="A341" t="inlineStr">
        <is>
          <t>Attack% Bucket Multiplier</t>
        </is>
      </c>
      <c r="B341">
        <f>(1+(((C322=TRUE)*F322)+((C323=TRUE)*IF(Inputs!$B$38="pvp",F323,(1-Summary!$B$55)*(F323)+Summary!$B$55*(0)))+((C324=TRUE)*F324*IF(AND(Inputs!$B$38&lt;&gt;"pvp",Inputs!$B$43&gt;0),(((R324-1)*(Skills!T15*(1+Inputs!$B$34/100))+MIN((Skills!T15*(1+Inputs!$B$34/100)),MAX(0,Inputs!$B$43-((R324-1)*Skills!D15))))/Inputs!$B$43),IF(Inputs!$B$38="pvp",MIN((Skills!T15*(1+Inputs!$B$34/100)),15)/15,(Skills!T15*(1+Inputs!$B$34/100))/Skills!D15)))+((C339=TRUE)*(F339-Calc!F30)))/100)</f>
        <v/>
      </c>
    </row>
    <row r="342">
      <c r="A342" t="inlineStr">
        <is>
          <t>Global Crit Rate Bonus %</t>
        </is>
      </c>
      <c r="B342">
        <f>(C325=TRUE)*20*IF(AND(Inputs!$B$38&lt;&gt;"pvp",Inputs!$B$43&gt;0),(((R325-1)*(Skills!T16*(1+Inputs!$B$34/100))+MIN((Skills!T16*(1+Inputs!$B$34/100)),MAX(0,Inputs!$B$43-((R325-1)*Skills!D16))))/Inputs!$B$43),IF(Inputs!$B$38="pvp",MIN((Skills!T16*(1+Inputs!$B$34/100)),15)/15,(Skills!T16*(1+Inputs!$B$34/100))/Skills!D16))</f>
        <v/>
      </c>
    </row>
    <row r="343">
      <c r="A343" t="inlineStr">
        <is>
          <t>Attack Speed Buff Bonus %</t>
        </is>
      </c>
      <c r="B343">
        <f>((C328=TRUE)*F328*IF(AND(Inputs!$B$38&lt;&gt;"pvp",Inputs!$B$43&gt;0),(((R328-1)*(Skills!T19*(1+Inputs!$B$34/100))+MIN((Skills!T19*(1+Inputs!$B$34/100)),MAX(0,Inputs!$B$43-((R328-1)*Skills!D19))))/Inputs!$B$43),IF(Inputs!$B$38="pvp",MIN((Skills!T19*(1+Inputs!$B$34/100)),15)/15,(Skills!T19*(1+Inputs!$B$34/100))/Skills!D19)))</f>
        <v/>
      </c>
    </row>
    <row r="344">
      <c r="A344" t="inlineStr">
        <is>
          <t>Actions Per Second</t>
        </is>
      </c>
      <c r="B344">
        <f>1+MIN(150,150*(1-(1-(Inputs!$B$11+((C330=TRUE)*(F330-Calc!F21))+((C331=TRUE)*(F331-Calc!F22)))/150)*(1-B343/150)))/100</f>
        <v/>
      </c>
    </row>
    <row r="345">
      <c r="A345" t="inlineStr">
        <is>
          <t>Skill + Buff Cast Rate</t>
        </is>
      </c>
      <c r="B345">
        <f>IF(AND(Inputs!$B$38&lt;&gt;"pvp",Inputs!$B$43&gt;0),SUMPRODUCT((Skills!E2:E30=TRUE)*(C311:C339=TRUE)*R311:R339*Skills!F2:F30)/Inputs!$B$43,SUMPRODUCT((Skills!E2:E30=TRUE)*(C311:C339=TRUE)*Q311:Q339*Skills!F2:F30))</f>
        <v/>
      </c>
    </row>
    <row r="346">
      <c r="A346" t="inlineStr">
        <is>
          <t>Arrow Stream Casts Per Second</t>
        </is>
      </c>
      <c r="B346">
        <f>MAX(0,B344-B345)</f>
        <v/>
      </c>
    </row>
    <row r="347">
      <c r="A347" t="inlineStr">
        <is>
          <t>Global Critical Damage Bonus % (Sharp Eyes + Concentration)</t>
        </is>
      </c>
      <c r="B347">
        <f>(C325=TRUE)*F325*IF(AND(Inputs!$B$38&lt;&gt;"pvp",Inputs!$B$43&gt;0),(((R325-1)*(Skills!T16*(1+Inputs!$B$34/100))+MIN((Skills!T16*(1+Inputs!$B$34/100)),MAX(0,Inputs!$B$43-((R325-1)*Skills!D16))))/Inputs!$B$43),IF(Inputs!$B$38="pvp",MIN((Skills!T16*(1+Inputs!$B$34/100)),15)/15,(Skills!T16*(1+Inputs!$B$34/100))/Skills!D16))+(C326=TRUE)*30</f>
        <v/>
      </c>
    </row>
    <row r="348">
      <c r="A348" t="inlineStr">
        <is>
          <t>Global Final Damage Bonus % (Mortal Blow)</t>
        </is>
      </c>
      <c r="B348">
        <f>(C327=TRUE)*F327</f>
        <v/>
      </c>
    </row>
    <row r="349">
      <c r="A349" t="inlineStr">
        <is>
          <t>Buff-Casting Startup Delay (s, fixed-duration only)</t>
        </is>
      </c>
      <c r="B349">
        <f>IF(AND(Inputs!$B$38&lt;&gt;"pvp",Inputs!$B$43&gt;0),SUMPRODUCT((Skills!T2:T30&gt;0)*(Skills!E2:E30=TRUE)*(C311:C339=TRUE))/B344,0)</f>
        <v/>
      </c>
    </row>
    <row r="350">
      <c r="A350" t="inlineStr">
        <is>
          <t>Boss-Only Total DPS (this block's swept value)</t>
        </is>
      </c>
      <c r="B350">
        <f>SUM(T311:T339)</f>
        <v/>
      </c>
    </row>
    <row r="351">
      <c r="A351" t="inlineStr">
        <is>
          <t>Normal-Only Total DPS (this block's swept value)</t>
        </is>
      </c>
      <c r="B351">
        <f>SUM(V311:V339)</f>
        <v/>
      </c>
    </row>
    <row r="352">
      <c r="A352" s="5" t="inlineStr">
        <is>
          <t>TOTAL DPS</t>
        </is>
      </c>
      <c r="B352" s="5">
        <f>SUM(O311:O339)</f>
        <v/>
      </c>
    </row>
    <row r="355">
      <c r="A355" s="5" t="inlineStr">
        <is>
          <t>Stat: FINAL_DAMAGE % (multiplicative source)</t>
        </is>
      </c>
    </row>
    <row r="356">
      <c r="A356" s="9" t="inlineStr">
        <is>
          <t>Key</t>
        </is>
      </c>
      <c r="B356" s="9" t="inlineStr">
        <is>
          <t>Name</t>
        </is>
      </c>
      <c r="C356" s="9" t="inlineStr">
        <is>
          <t>Unlocked</t>
        </is>
      </c>
      <c r="D356" s="9" t="inlineStr">
        <is>
          <t>InputLevel</t>
        </is>
      </c>
      <c r="E356" s="9" t="inlineStr">
        <is>
          <t>Factor</t>
        </is>
      </c>
      <c r="F356" s="9" t="inlineStr">
        <is>
          <t>CoefficientPercent</t>
        </is>
      </c>
      <c r="G356" s="9" t="inlineStr">
        <is>
          <t>EffectiveHits</t>
        </is>
      </c>
      <c r="H356" s="9" t="inlineStr">
        <is>
          <t>ProcProbability</t>
        </is>
      </c>
      <c r="I356" s="9" t="inlineStr">
        <is>
          <t>MapleHeroMultiplier</t>
        </is>
      </c>
      <c r="J356" s="9" t="inlineStr">
        <is>
          <t>BaseDamage</t>
        </is>
      </c>
      <c r="K356" s="9" t="inlineStr">
        <is>
          <t>BaseHitDamage</t>
        </is>
      </c>
      <c r="L356" s="9" t="inlineStr">
        <is>
          <t>NonCritAvg</t>
        </is>
      </c>
      <c r="M356" s="9" t="inlineStr">
        <is>
          <t>CritAvg</t>
        </is>
      </c>
      <c r="N356" s="9" t="inlineStr">
        <is>
          <t>ExpectedDamage(perHit)</t>
        </is>
      </c>
      <c r="O356" s="9" t="inlineStr">
        <is>
          <t>DPS</t>
        </is>
      </c>
      <c r="P356" s="9" t="inlineStr">
        <is>
          <t>% of Total</t>
        </is>
      </c>
      <c r="Q356" s="9" t="inlineStr">
        <is>
          <t>InvCooldown</t>
        </is>
      </c>
      <c r="R356" s="9" t="inlineStr">
        <is>
          <t>CastsInFight</t>
        </is>
      </c>
      <c r="S356" s="9" t="inlineStr">
        <is>
          <t>HitRate(perSec)</t>
        </is>
      </c>
      <c r="U356" t="inlineStr">
        <is>
          <t>helpers</t>
        </is>
      </c>
    </row>
    <row r="357">
      <c r="A357">
        <f>Skills!A2</f>
        <v/>
      </c>
      <c r="B357">
        <f>Skills!B2</f>
        <v/>
      </c>
      <c r="C357">
        <f>Inputs!$B$3&gt;=100</f>
        <v/>
      </c>
      <c r="D357" t="inlineStr"/>
      <c r="E357" t="inlineStr"/>
      <c r="F357">
        <f>U359+Skills!O2</f>
        <v/>
      </c>
      <c r="G357">
        <f>Skills!G2*IF(Skills!H2&gt;0,Skills!I2/Skills!H2,1)</f>
        <v/>
      </c>
      <c r="H357">
        <f>1-(1-Skills!J2/100)^Skills!K2</f>
        <v/>
      </c>
      <c r="I357" t="inlineStr">
        <is>
          <t>1</t>
        </is>
      </c>
      <c r="J357">
        <f>((Inputs!$B$6*(1+Inputs!$B$7/100))+(((Inputs!$B$12*(1+Inputs!$B$13/100))-(Inputs!$B$12*(1+Inputs!$B$13/100)))+0.25*(Inputs!$B$14-Inputs!$B$14))*(1+Inputs!$B$7/100))*(F357/100)</f>
        <v/>
      </c>
      <c r="K357">
        <f>J357*(1+((Inputs!$B$12*(1+Inputs!$B$13/100))*0.01+Inputs!$B$14*0.0025)/100)*(1+Inputs!$B$15/100)*(1+Inputs!$B$16/100)*(5000/(6000+Inputs!$B$42*(1-(Inputs!$B$19+((C382=TRUE)*(F382-Calc!F27)))/100)))*(1+(((((1+Inputs!$B$24/100)*(1.01))-1)*100)+((C380=TRUE)*(F380-Calc!F25))+((C381=TRUE)*(F381-Calc!F26))+B394)/100)*(1+(IF(Skills!A2="ARROW_STREAM",Inputs!$B$17+((C378=TRUE)*(F378-Calc!F23)),Inputs!$B$18+((C383=TRUE)*(F383-Calc!F28))))/100)*((1+(((C368=TRUE)*F368)+((C369=TRUE)*IF(Inputs!$B$38="pvp",F369,(1-Summary!$B$55)*(F369)+Summary!$B$55*(0)))+((C370=TRUE)*F370*IF(AND(Inputs!$B$38&lt;&gt;"pvp",Inputs!$B$43&gt;0),(((R370-1)*(Skills!T15*(1+Inputs!$B$34/100))+MIN((Skills!T15*(1+Inputs!$B$34/100)),MAX(0,Inputs!$B$43-((R370-1)*Skills!D15))))/Inputs!$B$43),IF(Inputs!$B$38="pvp",MIN((Skills!T15*(1+Inputs!$B$34/100)),15)/15,(Skills!T15*(1+Inputs!$B$34/100))/Skills!D15)))+((C385=TRUE)*(F385-Calc!F30)))/100)*I357)</f>
        <v/>
      </c>
      <c r="L357">
        <f>K357*(MIN(Inputs!$B$22+((C379=TRUE)*(F379-Calc!F24)),Inputs!$B$23+((C384=TRUE)*(F384-Calc!F29)))/100+(Inputs!$B$23+((C384=TRUE)*(F384-Calc!F29)))/100)/2</f>
        <v/>
      </c>
      <c r="M357">
        <f>L357*(1+(Inputs!$B$10+0+B393)/100)</f>
        <v/>
      </c>
      <c r="N357">
        <f>L357*(1-MIN((Inputs!$B$9+((C375=TRUE)*(F375-Calc!F20))+B388),100)/100)+M357*(MIN((Inputs!$B$9+((C375=TRUE)*(F375-Calc!F20))+B388),100)/100)</f>
        <v/>
      </c>
      <c r="O357">
        <f>(1-Summary!$B$55)*T357+Summary!$B$55*V357</f>
        <v/>
      </c>
      <c r="P357">
        <f>IF(B398=0,0,O357/B398)</f>
        <v/>
      </c>
      <c r="Q357" t="n">
        <v>0</v>
      </c>
      <c r="R357" t="n">
        <v>0</v>
      </c>
      <c r="S357">
        <f>IFERROR(O357/N357,0)</f>
        <v/>
      </c>
      <c r="T357">
        <f>IF(C357,(Skills!G2*N357*B392)*IF(Inputs!$B$38="pvp",1,1+(Inputs!$B$20+0+Skills!P2)/100),0)</f>
        <v/>
      </c>
      <c r="U357">
        <f>MAX(0,(Inputs!$B$3-100)*3)+Inputs!$B$28+Inputs!$B$29</f>
        <v/>
      </c>
      <c r="V357">
        <f>IF(C357,(Skills!G2*N357*B392)*IF(Inputs!$B$38="pvp",1,(1+(Inputs!$B$21+Skills!Q2)/100)*(MIN((6+Inputs!$B$33),Inputs!$B$37))),0)</f>
        <v/>
      </c>
    </row>
    <row r="358">
      <c r="A358">
        <f>Skills!A3</f>
        <v/>
      </c>
      <c r="B358">
        <f>Skills!B3</f>
        <v/>
      </c>
      <c r="C358">
        <f>Inputs!$B$3&gt;=50</f>
        <v/>
      </c>
      <c r="D358">
        <f>IF(Skills!C3=1,60+Inputs!$B$25+Inputs!$B$29,IF(Skills!C3=2,90+Inputs!$B$26+Inputs!$B$29,IF(Skills!C3=3,120+Inputs!$B$27+Inputs!$B$29,MAX(0,(Inputs!$B$3-100)*3)+Inputs!$B$28+Inputs!$B$29)))</f>
        <v/>
      </c>
      <c r="E358">
        <f>INDEX(FactorTable!$B$2:$Y$301, MATCH(ROUND(MIN(300,MAX(1,D358)),0), FactorTable!$A$2:$A$301,0), Skills!M3+1)</f>
        <v/>
      </c>
      <c r="F358">
        <f>IF(Skills!N3=TRUE,(Skills!L3/10)*(E358/1000),Skills!L3/10)+Skills!O3</f>
        <v/>
      </c>
      <c r="G358" t="inlineStr"/>
      <c r="H358" t="inlineStr"/>
      <c r="I358" t="inlineStr">
        <is>
          <t>1</t>
        </is>
      </c>
      <c r="J358" t="inlineStr"/>
      <c r="K358" t="inlineStr"/>
      <c r="L358" t="inlineStr"/>
      <c r="M358" t="inlineStr"/>
      <c r="N358" t="inlineStr"/>
      <c r="O358" t="inlineStr"/>
      <c r="P358" t="inlineStr"/>
      <c r="Q358" t="inlineStr"/>
      <c r="R358" t="inlineStr"/>
      <c r="S358" t="inlineStr"/>
      <c r="T358" t="inlineStr"/>
      <c r="U358">
        <f>INDEX(FactorTable!$B$2:$Y$301, MATCH(ROUND(MIN(300,MAX(1,U357)),0), FactorTable!$A$2:$A$301,0), 22)</f>
        <v/>
      </c>
      <c r="V358" t="inlineStr"/>
    </row>
    <row r="359">
      <c r="A359">
        <f>Skills!A4</f>
        <v/>
      </c>
      <c r="B359">
        <f>Skills!B4</f>
        <v/>
      </c>
      <c r="C359">
        <f>Inputs!$B$3&gt;=105</f>
        <v/>
      </c>
      <c r="D359">
        <f>IF(Skills!C4=1,60+Inputs!$B$25+Inputs!$B$29,IF(Skills!C4=2,90+Inputs!$B$26+Inputs!$B$29,IF(Skills!C4=3,120+Inputs!$B$27+Inputs!$B$29,MAX(0,(Inputs!$B$3-100)*3)+Inputs!$B$28+Inputs!$B$29)))</f>
        <v/>
      </c>
      <c r="E359">
        <f>INDEX(FactorTable!$B$2:$Y$301, MATCH(ROUND(MIN(300,MAX(1,D359)),0), FactorTable!$A$2:$A$301,0), Skills!M4+1)</f>
        <v/>
      </c>
      <c r="F359">
        <f>IF(Skills!N4=TRUE,(Skills!L4/10)*(E359/1000),Skills!L4/10)+Skills!O4</f>
        <v/>
      </c>
      <c r="G359" t="inlineStr"/>
      <c r="H359" t="inlineStr"/>
      <c r="I359" t="inlineStr">
        <is>
          <t>1</t>
        </is>
      </c>
      <c r="J359" t="inlineStr"/>
      <c r="K359" t="inlineStr"/>
      <c r="L359" t="inlineStr"/>
      <c r="M359" t="inlineStr"/>
      <c r="N359" t="inlineStr"/>
      <c r="O359" t="inlineStr"/>
      <c r="P359" t="inlineStr"/>
      <c r="Q359" t="inlineStr"/>
      <c r="R359" t="inlineStr"/>
      <c r="S359" t="inlineStr"/>
      <c r="T359" t="inlineStr"/>
      <c r="U359">
        <f>290*U358/1000</f>
        <v/>
      </c>
      <c r="V359" t="inlineStr"/>
    </row>
    <row r="360">
      <c r="A360">
        <f>Skills!A5</f>
        <v/>
      </c>
      <c r="B360">
        <f>Skills!B5</f>
        <v/>
      </c>
      <c r="C360">
        <f>Inputs!$B$3&gt;=35</f>
        <v/>
      </c>
      <c r="D360">
        <f>IF(Skills!C5=1,60+Inputs!$B$25+Inputs!$B$29,IF(Skills!C5=2,90+Inputs!$B$26+Inputs!$B$29,IF(Skills!C5=3,120+Inputs!$B$27+Inputs!$B$29,MAX(0,(Inputs!$B$3-100)*3)+Inputs!$B$28+Inputs!$B$29)))</f>
        <v/>
      </c>
      <c r="E360">
        <f>INDEX(FactorTable!$B$2:$Y$301, MATCH(ROUND(MIN(300,MAX(1,D360)),0), FactorTable!$A$2:$A$301,0), Skills!M5+1)</f>
        <v/>
      </c>
      <c r="F360">
        <f>IF(Skills!N5=TRUE,(Skills!L5/10)*(E360/1000),Skills!L5/10)+Skills!O5</f>
        <v/>
      </c>
      <c r="G360">
        <f>Skills!G5*IF(Skills!H5&gt;0,Skills!I5/Skills!H5,1)</f>
        <v/>
      </c>
      <c r="H360">
        <f>1-(1-Skills!J5/100)^Skills!K5</f>
        <v/>
      </c>
      <c r="I360" t="inlineStr">
        <is>
          <t>1</t>
        </is>
      </c>
      <c r="J360">
        <f>((Inputs!$B$6*(1+Inputs!$B$7/100))+(((Inputs!$B$12*(1+Inputs!$B$13/100))-(Inputs!$B$12*(1+Inputs!$B$13/100)))+0.25*(Inputs!$B$14-Inputs!$B$14))*(1+Inputs!$B$7/100))*(F360/100)</f>
        <v/>
      </c>
      <c r="K360">
        <f>J360*(1+((Inputs!$B$12*(1+Inputs!$B$13/100))*0.01+Inputs!$B$14*0.0025)/100)*(1+Inputs!$B$15/100)*(1+Inputs!$B$16/100)*(5000/(6000+Inputs!$B$42*(1-(Inputs!$B$19+((C382=TRUE)*(F382-Calc!F27)))/100)))*(1+(((((1+Inputs!$B$24/100)*(1.01))-1)*100)+((C380=TRUE)*(F380-Calc!F25))+((C381=TRUE)*(F381-Calc!F26))+B394)/100)*(1+4.0*IF(C365=TRUE,F365,0)/100)*(1+(IF(Skills!A5="ARROW_STREAM",Inputs!$B$17+((C378=TRUE)*(F378-Calc!F23)),Inputs!$B$18+((C383=TRUE)*(F383-Calc!F28))))/100)*((1+(((C368=TRUE)*F368)+((C369=TRUE)*IF(Inputs!$B$38="pvp",F369,(1-Summary!$B$55)*(F369)+Summary!$B$55*(0)))+((C370=TRUE)*F370*IF(AND(Inputs!$B$38&lt;&gt;"pvp",Inputs!$B$43&gt;0),(((R370-1)*(Skills!T15*(1+Inputs!$B$34/100))+MIN((Skills!T15*(1+Inputs!$B$34/100)),MAX(0,Inputs!$B$43-((R370-1)*Skills!D15))))/Inputs!$B$43),IF(Inputs!$B$38="pvp",MIN((Skills!T15*(1+Inputs!$B$34/100)),15)/15,(Skills!T15*(1+Inputs!$B$34/100))/Skills!D15)))+((C385=TRUE)*(F385-Calc!F30)))/100)*I360)</f>
        <v/>
      </c>
      <c r="L360">
        <f>K360*(MIN(Inputs!$B$22+((C379=TRUE)*(F379-Calc!F24)),Inputs!$B$23+((C384=TRUE)*(F384-Calc!F29)))/100+(Inputs!$B$23+((C384=TRUE)*(F384-Calc!F29)))/100)/2</f>
        <v/>
      </c>
      <c r="M360">
        <f>L360*(1+(Inputs!$B$10+0+B393)/100)</f>
        <v/>
      </c>
      <c r="N360">
        <f>L360*(1-MIN((Inputs!$B$9+((C375=TRUE)*(F375-Calc!F20))+B388),100)/100)+M360*(MIN((Inputs!$B$9+((C375=TRUE)*(F375-Calc!F20))+B388),100)/100)</f>
        <v/>
      </c>
      <c r="O360">
        <f>(1-Summary!$B$55)*T360+Summary!$B$55*V360</f>
        <v/>
      </c>
      <c r="P360">
        <f>IF(B398=0,0,O360/B398)</f>
        <v/>
      </c>
      <c r="Q360">
        <f>IFERROR(1/IF(Inputs!$B$38="pvp",15,MAX(0.1,Skills!D5-IF(Skills!E5=TRUE,Inputs!$B$32,0))),0)</f>
        <v/>
      </c>
      <c r="R360">
        <f>IF(AND(Inputs!$B$38&lt;&gt;"pvp",Inputs!$B$43&gt;0),IF(MAX(0,Inputs!$B$43-B395)&lt;=0,0,(INT(MAX(0,Inputs!$B$43-B395)/IF(Inputs!$B$38="pvp",15,MAX(0.1,Skills!D5-IF(Skills!E5=TRUE,Inputs!$B$32,0))))+1)),0)</f>
        <v/>
      </c>
      <c r="S360">
        <f>IFERROR(O360/N360,0)</f>
        <v/>
      </c>
      <c r="T360">
        <f>IF(C360,(H360*N360*IF(AND(Inputs!$B$38&lt;&gt;"pvp",Inputs!$B$43&gt;0),((Skills!G5*((R360-1)*IF(Skills!H5&gt;0,Skills!I5/Skills!H5,1)+IF(Skills!H5&gt;0,MIN(Skills!I5,MAX(0,MAX(0,Inputs!$B$43-B395)-((R360-1)*IF(Inputs!$B$38="pvp",15,MAX(0.1,Skills!D5-IF(Skills!E5=TRUE,Inputs!$B$32,0))))))/Skills!H5,1)))/Inputs!$B$43),G360*Q360))*IF(Inputs!$B$38="pvp",1,1+(Inputs!$B$20+0+Skills!P5)/100),0)</f>
        <v/>
      </c>
      <c r="V360">
        <f>IF(C360,(H360*N360*IF(AND(Inputs!$B$38&lt;&gt;"pvp",Inputs!$B$43&gt;0),((Skills!G5*((R360-1)*IF(Skills!H5&gt;0,Skills!I5/Skills!H5,1)+IF(Skills!H5&gt;0,MIN(Skills!I5,MAX(0,MAX(0,Inputs!$B$43-B395)-((R360-1)*IF(Inputs!$B$38="pvp",15,MAX(0.1,Skills!D5-IF(Skills!E5=TRUE,Inputs!$B$32,0))))))/Skills!H5,1)))/Inputs!$B$43),G360*Q360))*IF(Inputs!$B$38="pvp",1,(1+(Inputs!$B$21+Skills!Q5)/100)*(MIN(Skills!R5,Inputs!$B$37))),0)</f>
        <v/>
      </c>
    </row>
    <row r="361">
      <c r="A361">
        <f>Skills!A6</f>
        <v/>
      </c>
      <c r="B361">
        <f>Skills!B6</f>
        <v/>
      </c>
      <c r="C361">
        <f>Inputs!$B$3&gt;=40</f>
        <v/>
      </c>
      <c r="D361">
        <f>IF(Skills!C6=1,60+Inputs!$B$25+Inputs!$B$29,IF(Skills!C6=2,90+Inputs!$B$26+Inputs!$B$29,IF(Skills!C6=3,120+Inputs!$B$27+Inputs!$B$29,MAX(0,(Inputs!$B$3-100)*3)+Inputs!$B$28+Inputs!$B$29)))</f>
        <v/>
      </c>
      <c r="E361">
        <f>INDEX(FactorTable!$B$2:$Y$301, MATCH(ROUND(MIN(300,MAX(1,D361)),0), FactorTable!$A$2:$A$301,0), Skills!M6+1)</f>
        <v/>
      </c>
      <c r="F361">
        <f>IF(Skills!N6=TRUE,(Skills!L6/10)*(E361/1000),Skills!L6/10)+Skills!O6</f>
        <v/>
      </c>
      <c r="G361">
        <f>Skills!G6*IF(Skills!H6&gt;0,Skills!I6/Skills!H6,1)</f>
        <v/>
      </c>
      <c r="H361">
        <f>1-(1-Skills!J6/100)^Skills!K6</f>
        <v/>
      </c>
      <c r="I361" t="inlineStr">
        <is>
          <t>1</t>
        </is>
      </c>
      <c r="J361">
        <f>((Inputs!$B$6*(1+Inputs!$B$7/100))+(((Inputs!$B$12*(1+Inputs!$B$13/100))-(Inputs!$B$12*(1+Inputs!$B$13/100)))+0.25*(Inputs!$B$14-Inputs!$B$14))*(1+Inputs!$B$7/100))*(F361/100)</f>
        <v/>
      </c>
      <c r="K361">
        <f>J361*(1+((Inputs!$B$12*(1+Inputs!$B$13/100))*0.01+Inputs!$B$14*0.0025)/100)*(1+Inputs!$B$15/100)*(1+Inputs!$B$16/100)*(5000/(6000+Inputs!$B$42*(1-(Inputs!$B$19+((C382=TRUE)*(F382-Calc!F27)))/100)))*(1+(((((1+Inputs!$B$24/100)*(1.01))-1)*100)+((C380=TRUE)*(F380-Calc!F25))+((C381=TRUE)*(F381-Calc!F26))+B394)/100)*(1+IF(C362=TRUE,F362,0)/100)*(1+(IF(Skills!A6="ARROW_STREAM",Inputs!$B$17+((C378=TRUE)*(F378-Calc!F23)),Inputs!$B$18+((C383=TRUE)*(F383-Calc!F28))))/100)*((1+(((C368=TRUE)*F368)+((C369=TRUE)*IF(Inputs!$B$38="pvp",F369,(1-Summary!$B$55)*(F369)+Summary!$B$55*(0)))+((C370=TRUE)*F370*IF(AND(Inputs!$B$38&lt;&gt;"pvp",Inputs!$B$43&gt;0),(((R370-1)*(Skills!T15*(1+Inputs!$B$34/100))+MIN((Skills!T15*(1+Inputs!$B$34/100)),MAX(0,Inputs!$B$43-((R370-1)*Skills!D15))))/Inputs!$B$43),IF(Inputs!$B$38="pvp",MIN((Skills!T15*(1+Inputs!$B$34/100)),15)/15,(Skills!T15*(1+Inputs!$B$34/100))/Skills!D15)))+((C385=TRUE)*(F385-Calc!F30)))/100)*I361)</f>
        <v/>
      </c>
      <c r="L361">
        <f>K361*(MIN(Inputs!$B$22+((C379=TRUE)*(F379-Calc!F24)),Inputs!$B$23+((C384=TRUE)*(F384-Calc!F29)))/100+(Inputs!$B$23+((C384=TRUE)*(F384-Calc!F29)))/100)/2</f>
        <v/>
      </c>
      <c r="M361">
        <f>L361*(1+(Inputs!$B$10+0+B393)/100)</f>
        <v/>
      </c>
      <c r="N361">
        <f>L361*(1-MIN((Inputs!$B$9+((C375=TRUE)*(F375-Calc!F20))+B388),100)/100)+M361*(MIN((Inputs!$B$9+((C375=TRUE)*(F375-Calc!F20))+B388),100)/100)</f>
        <v/>
      </c>
      <c r="O361">
        <f>(1-Summary!$B$55)*T361+Summary!$B$55*V361</f>
        <v/>
      </c>
      <c r="P361">
        <f>IF(B398=0,0,O361/B398)</f>
        <v/>
      </c>
      <c r="Q361">
        <f>IFERROR(1/IF(Inputs!$B$38="pvp",15,MAX(0.1,Skills!D6-IF(Skills!E6=TRUE,Inputs!$B$32,0))),0)</f>
        <v/>
      </c>
      <c r="R361">
        <f>IF(AND(Inputs!$B$38&lt;&gt;"pvp",Inputs!$B$43&gt;0),IF(MAX(0,Inputs!$B$43-B395)&lt;=0,0,(INT(MAX(0,Inputs!$B$43-B395)/IF(Inputs!$B$38="pvp",15,MAX(0.1,Skills!D6-IF(Skills!E6=TRUE,Inputs!$B$32,0))))+1)),0)</f>
        <v/>
      </c>
      <c r="S361">
        <f>IFERROR(O361/N361,0)</f>
        <v/>
      </c>
      <c r="T361">
        <f>IF(C361,(H361*N361*IF(AND(Inputs!$B$38&lt;&gt;"pvp",Inputs!$B$43&gt;0),((Skills!G6*((R361-1)*IF(Skills!H6&gt;0,Skills!I6/Skills!H6,1)+IF(Skills!H6&gt;0,MIN(Skills!I6,MAX(0,MAX(0,Inputs!$B$43-B395)-((R361-1)*IF(Inputs!$B$38="pvp",15,MAX(0.1,Skills!D6-IF(Skills!E6=TRUE,Inputs!$B$32,0))))))/Skills!H6,1)))/Inputs!$B$43),G361*Q361))*IF(Inputs!$B$38="pvp",1,1+(Inputs!$B$20+0+Skills!P6)/100),0)</f>
        <v/>
      </c>
      <c r="V361">
        <f>IF(C361,(H361*N361*IF(AND(Inputs!$B$38&lt;&gt;"pvp",Inputs!$B$43&gt;0),((Skills!G6*((R361-1)*IF(Skills!H6&gt;0,Skills!I6/Skills!H6,1)+IF(Skills!H6&gt;0,MIN(Skills!I6,MAX(0,MAX(0,Inputs!$B$43-B395)-((R361-1)*IF(Inputs!$B$38="pvp",15,MAX(0.1,Skills!D6-IF(Skills!E6=TRUE,Inputs!$B$32,0))))))/Skills!H6,1)))/Inputs!$B$43),G361*Q361))*IF(Inputs!$B$38="pvp",1,(1+(Inputs!$B$21+Skills!Q6)/100)*(MIN(Skills!R6,Inputs!$B$37))),0)</f>
        <v/>
      </c>
    </row>
    <row r="362">
      <c r="A362">
        <f>Skills!A7</f>
        <v/>
      </c>
      <c r="B362">
        <f>Skills!B7</f>
        <v/>
      </c>
      <c r="C362">
        <f>Inputs!$B$3&gt;=107</f>
        <v/>
      </c>
      <c r="D362">
        <f>IF(Skills!C7=1,60+Inputs!$B$25+Inputs!$B$29,IF(Skills!C7=2,90+Inputs!$B$26+Inputs!$B$29,IF(Skills!C7=3,120+Inputs!$B$27+Inputs!$B$29,MAX(0,(Inputs!$B$3-100)*3)+Inputs!$B$28+Inputs!$B$29)))</f>
        <v/>
      </c>
      <c r="E362">
        <f>INDEX(FactorTable!$B$2:$Y$301, MATCH(ROUND(MIN(300,MAX(1,D362)),0), FactorTable!$A$2:$A$301,0), Skills!M7+1)</f>
        <v/>
      </c>
      <c r="F362">
        <f>IF(Skills!N7=TRUE,(Skills!L7/10)*(E362/1000),Skills!L7/10)+Skills!O7</f>
        <v/>
      </c>
      <c r="G362" t="inlineStr"/>
      <c r="H362" t="inlineStr"/>
      <c r="I362" t="inlineStr">
        <is>
          <t>1</t>
        </is>
      </c>
      <c r="J362" t="inlineStr"/>
      <c r="K362" t="inlineStr"/>
      <c r="L362" t="inlineStr"/>
      <c r="M362" t="inlineStr"/>
      <c r="N362" t="inlineStr"/>
      <c r="O362" t="inlineStr"/>
      <c r="P362" t="inlineStr"/>
      <c r="Q362" t="inlineStr"/>
      <c r="R362" t="inlineStr"/>
      <c r="S362" t="inlineStr"/>
      <c r="T362" t="inlineStr"/>
      <c r="V362" t="inlineStr"/>
    </row>
    <row r="363">
      <c r="A363">
        <f>Skills!A8</f>
        <v/>
      </c>
      <c r="B363">
        <f>Skills!B8</f>
        <v/>
      </c>
      <c r="C363">
        <f>Inputs!$B$3&gt;=69</f>
        <v/>
      </c>
      <c r="D363">
        <f>IF(Skills!C8=1,60+Inputs!$B$25+Inputs!$B$29,IF(Skills!C8=2,90+Inputs!$B$26+Inputs!$B$29,IF(Skills!C8=3,120+Inputs!$B$27+Inputs!$B$29,MAX(0,(Inputs!$B$3-100)*3)+Inputs!$B$28+Inputs!$B$29)))</f>
        <v/>
      </c>
      <c r="E363">
        <f>INDEX(FactorTable!$B$2:$Y$301, MATCH(ROUND(MIN(300,MAX(1,D363)),0), FactorTable!$A$2:$A$301,0), Skills!M8+1)</f>
        <v/>
      </c>
      <c r="F363">
        <f>IF(Skills!N8=TRUE,(Skills!L8/10)*(E363/1000),Skills!L8/10)+Skills!O8</f>
        <v/>
      </c>
      <c r="G363">
        <f>Skills!G8*IF(Skills!H8&gt;0,Skills!I8/Skills!H8,1)</f>
        <v/>
      </c>
      <c r="H363">
        <f>1-(1-Skills!J8/100)^Skills!K8</f>
        <v/>
      </c>
      <c r="I363" t="inlineStr">
        <is>
          <t>1</t>
        </is>
      </c>
      <c r="J363">
        <f>((Inputs!$B$6*(1+Inputs!$B$7/100))+(((Inputs!$B$12*(1+Inputs!$B$13/100))-(Inputs!$B$12*(1+Inputs!$B$13/100)))+0.25*(Inputs!$B$14-Inputs!$B$14))*(1+Inputs!$B$7/100))*(F363/100)</f>
        <v/>
      </c>
      <c r="K363">
        <f>J363*(1+((Inputs!$B$12*(1+Inputs!$B$13/100))*0.01+Inputs!$B$14*0.0025)/100)*(1+Inputs!$B$15/100)*(1+Inputs!$B$16/100)*(5000/(6000+Inputs!$B$42*(1-(Inputs!$B$19+((C382=TRUE)*(F382-Calc!F27)))/100)))*(1+(((((1+Inputs!$B$24/100)*(1.01))-1)*100)+((C380=TRUE)*(F380-Calc!F25))+((C381=TRUE)*(F381-Calc!F26))+B394)/100)*(1+1.2*IF(C365=TRUE,F365,0)/100)*(1+(IF(Skills!A8="ARROW_STREAM",Inputs!$B$17+((C378=TRUE)*(F378-Calc!F23)),Inputs!$B$18+((C383=TRUE)*(F383-Calc!F28))))/100)*((1+(((C368=TRUE)*F368)+((C369=TRUE)*IF(Inputs!$B$38="pvp",F369,(1-Summary!$B$55)*(F369)+Summary!$B$55*(0)))+((C370=TRUE)*F370*IF(AND(Inputs!$B$38&lt;&gt;"pvp",Inputs!$B$43&gt;0),(((R370-1)*(Skills!T15*(1+Inputs!$B$34/100))+MIN((Skills!T15*(1+Inputs!$B$34/100)),MAX(0,Inputs!$B$43-((R370-1)*Skills!D15))))/Inputs!$B$43),IF(Inputs!$B$38="pvp",MIN((Skills!T15*(1+Inputs!$B$34/100)),15)/15,(Skills!T15*(1+Inputs!$B$34/100))/Skills!D15)))+((C385=TRUE)*(F385-Calc!F30)))/100)*I363)</f>
        <v/>
      </c>
      <c r="L363">
        <f>K363*(MIN(Inputs!$B$22+((C379=TRUE)*(F379-Calc!F24)),Inputs!$B$23+((C384=TRUE)*(F384-Calc!F29)))/100+(Inputs!$B$23+((C384=TRUE)*(F384-Calc!F29)))/100)/2</f>
        <v/>
      </c>
      <c r="M363">
        <f>L363*(1+(Inputs!$B$10+0+B393)/100)</f>
        <v/>
      </c>
      <c r="N363">
        <f>L363*(1-MIN((Inputs!$B$9+((C375=TRUE)*(F375-Calc!F20))+B388),100)/100)+M363*(MIN((Inputs!$B$9+((C375=TRUE)*(F375-Calc!F20))+B388),100)/100)</f>
        <v/>
      </c>
      <c r="O363">
        <f>(1-Summary!$B$55)*T363+Summary!$B$55*V363</f>
        <v/>
      </c>
      <c r="P363">
        <f>IF(B398=0,0,O363/B398)</f>
        <v/>
      </c>
      <c r="Q363">
        <f>IFERROR(1/IF(Inputs!$B$38="pvp",15,MAX(0.1,Skills!D8-IF(Skills!E8=TRUE,Inputs!$B$32,0))),0)</f>
        <v/>
      </c>
      <c r="R363">
        <f>IF(AND(Inputs!$B$38&lt;&gt;"pvp",Inputs!$B$43&gt;0),IF(MAX(0,Inputs!$B$43-B395)&lt;=0,0,(INT(MAX(0,Inputs!$B$43-B395)/IF(Inputs!$B$38="pvp",15,MAX(0.1,Skills!D8-IF(Skills!E8=TRUE,Inputs!$B$32,0))))+1)),0)</f>
        <v/>
      </c>
      <c r="S363">
        <f>IFERROR(O363/N363,0)</f>
        <v/>
      </c>
      <c r="T363">
        <f>IF(C363,(H363*N363*IF(AND(Inputs!$B$38&lt;&gt;"pvp",Inputs!$B$43&gt;0),((Skills!G8*((R363-1)*IF(Skills!H8&gt;0,Skills!I8/Skills!H8,1)+IF(Skills!H8&gt;0,MIN(Skills!I8,MAX(0,MAX(0,Inputs!$B$43-B395)-((R363-1)*IF(Inputs!$B$38="pvp",15,MAX(0.1,Skills!D8-IF(Skills!E8=TRUE,Inputs!$B$32,0))))))/Skills!H8,1)))/Inputs!$B$43),G363*Q363))*IF(Inputs!$B$38="pvp",1,1+(Inputs!$B$20+0+Skills!P8)/100),0)</f>
        <v/>
      </c>
      <c r="V363">
        <f>IF(C363,(H363*N363*IF(AND(Inputs!$B$38&lt;&gt;"pvp",Inputs!$B$43&gt;0),((Skills!G8*((R363-1)*IF(Skills!H8&gt;0,Skills!I8/Skills!H8,1)+IF(Skills!H8&gt;0,MIN(Skills!I8,MAX(0,MAX(0,Inputs!$B$43-B395)-((R363-1)*IF(Inputs!$B$38="pvp",15,MAX(0.1,Skills!D8-IF(Skills!E8=TRUE,Inputs!$B$32,0))))))/Skills!H8,1)))/Inputs!$B$43),G363*Q363))*IF(Inputs!$B$38="pvp",1,(1+(Inputs!$B$21+Skills!Q8)/100)*(MIN(Skills!R8,Inputs!$B$37))),0)</f>
        <v/>
      </c>
    </row>
    <row r="364">
      <c r="A364">
        <f>Skills!A9</f>
        <v/>
      </c>
      <c r="B364">
        <f>Skills!B9</f>
        <v/>
      </c>
      <c r="C364">
        <f>Inputs!$B$3&gt;=63</f>
        <v/>
      </c>
      <c r="D364">
        <f>IF(Skills!C9=1,60+Inputs!$B$25+Inputs!$B$29,IF(Skills!C9=2,90+Inputs!$B$26+Inputs!$B$29,IF(Skills!C9=3,120+Inputs!$B$27+Inputs!$B$29,MAX(0,(Inputs!$B$3-100)*3)+Inputs!$B$28+Inputs!$B$29)))</f>
        <v/>
      </c>
      <c r="E364">
        <f>INDEX(FactorTable!$B$2:$Y$301, MATCH(ROUND(MIN(300,MAX(1,D364)),0), FactorTable!$A$2:$A$301,0), Skills!M9+1)</f>
        <v/>
      </c>
      <c r="F364">
        <f>IF(Skills!N9=TRUE,(Skills!L9/10)*(E364/1000),Skills!L9/10)+Skills!O9</f>
        <v/>
      </c>
      <c r="G364">
        <f>Skills!G9*IF(Skills!H9&gt;0,Skills!I9/Skills!H9,1)</f>
        <v/>
      </c>
      <c r="H364">
        <f>1-(1-Skills!J9/100)^Skills!K9</f>
        <v/>
      </c>
      <c r="I364" t="inlineStr">
        <is>
          <t>1</t>
        </is>
      </c>
      <c r="J364">
        <f>((Inputs!$B$6*(1+Inputs!$B$7/100))+(((Inputs!$B$12*(1+Inputs!$B$13/100))-(Inputs!$B$12*(1+Inputs!$B$13/100)))+0.25*(Inputs!$B$14-Inputs!$B$14))*(1+Inputs!$B$7/100))*(F364/100)</f>
        <v/>
      </c>
      <c r="K364">
        <f>J364*(1+((Inputs!$B$12*(1+Inputs!$B$13/100))*0.01+Inputs!$B$14*0.0025)/100)*(1+Inputs!$B$15/100)*(1+Inputs!$B$16/100)*(5000/(6000+Inputs!$B$42*(1-(Inputs!$B$19+((C382=TRUE)*(F382-Calc!F27)))/100)))*(1+(((((1+Inputs!$B$24/100)*(1.01))-1)*100)+((C380=TRUE)*(F380-Calc!F25))+((C381=TRUE)*(F381-Calc!F26))+B394)/100)*(1+1.0*IF(C365=TRUE,F365,0)/100)*(1+(IF(Skills!A9="ARROW_STREAM",Inputs!$B$17+((C378=TRUE)*(F378-Calc!F23)),Inputs!$B$18+((C383=TRUE)*(F383-Calc!F28))))/100)*((1+(((C368=TRUE)*F368)+((C369=TRUE)*IF(Inputs!$B$38="pvp",F369,(1-Summary!$B$55)*(F369)+Summary!$B$55*(0)))+((C370=TRUE)*F370*IF(AND(Inputs!$B$38&lt;&gt;"pvp",Inputs!$B$43&gt;0),(((R370-1)*(Skills!T15*(1+Inputs!$B$34/100))+MIN((Skills!T15*(1+Inputs!$B$34/100)),MAX(0,Inputs!$B$43-((R370-1)*Skills!D15))))/Inputs!$B$43),IF(Inputs!$B$38="pvp",MIN((Skills!T15*(1+Inputs!$B$34/100)),15)/15,(Skills!T15*(1+Inputs!$B$34/100))/Skills!D15)))+((C385=TRUE)*(F385-Calc!F30)))/100)*I364)</f>
        <v/>
      </c>
      <c r="L364">
        <f>K364*(MIN(Inputs!$B$22+((C379=TRUE)*(F379-Calc!F24)),Inputs!$B$23+((C384=TRUE)*(F384-Calc!F29)))/100+(Inputs!$B$23+((C384=TRUE)*(F384-Calc!F29)))/100)/2</f>
        <v/>
      </c>
      <c r="M364">
        <f>L364*(1+(Inputs!$B$10+0+B393)/100)</f>
        <v/>
      </c>
      <c r="N364">
        <f>L364*(1-MIN((Inputs!$B$9+((C375=TRUE)*(F375-Calc!F20))+B388),100)/100)+M364*(MIN((Inputs!$B$9+((C375=TRUE)*(F375-Calc!F20))+B388),100)/100)</f>
        <v/>
      </c>
      <c r="O364">
        <f>(1-Summary!$B$55)*T364+Summary!$B$55*V364</f>
        <v/>
      </c>
      <c r="P364">
        <f>IF(B398=0,0,O364/B398)</f>
        <v/>
      </c>
      <c r="Q364">
        <f>IFERROR(1/IF(Inputs!$B$38="pvp",15,MAX(0.1,Skills!D9-IF(Skills!E9=TRUE,Inputs!$B$32,0))),0)</f>
        <v/>
      </c>
      <c r="R364">
        <f>IF(AND(Inputs!$B$38&lt;&gt;"pvp",Inputs!$B$43&gt;0),IF(MAX(0,Inputs!$B$43-B395)&lt;=0,0,(INT(MAX(0,Inputs!$B$43-B395)/IF(Inputs!$B$38="pvp",15,MAX(0.1,Skills!D9-IF(Skills!E9=TRUE,Inputs!$B$32,0))))+1)),0)</f>
        <v/>
      </c>
      <c r="S364">
        <f>IFERROR(O364/N364,0)</f>
        <v/>
      </c>
      <c r="T364">
        <f>IF(C364,(H364*N364*IF(AND(Inputs!$B$38&lt;&gt;"pvp",Inputs!$B$43&gt;0),((Skills!G9*((R364-1)*IF(Skills!H9&gt;0,Skills!I9/Skills!H9,1)+IF(Skills!H9&gt;0,MIN(Skills!I9,MAX(0,MAX(0,Inputs!$B$43-B395)-((R364-1)*IF(Inputs!$B$38="pvp",15,MAX(0.1,Skills!D9-IF(Skills!E9=TRUE,Inputs!$B$32,0))))))/Skills!H9,1)))/Inputs!$B$43),G364*Q364))*IF(Inputs!$B$38="pvp",1,1+(Inputs!$B$20+0+Skills!P9)/100),0)</f>
        <v/>
      </c>
      <c r="V364">
        <f>IF(C364,(H364*N364*IF(AND(Inputs!$B$38&lt;&gt;"pvp",Inputs!$B$43&gt;0),((Skills!G9*((R364-1)*IF(Skills!H9&gt;0,Skills!I9/Skills!H9,1)+IF(Skills!H9&gt;0,MIN(Skills!I9,MAX(0,MAX(0,Inputs!$B$43-B395)-((R364-1)*IF(Inputs!$B$38="pvp",15,MAX(0.1,Skills!D9-IF(Skills!E9=TRUE,Inputs!$B$32,0))))))/Skills!H9,1)))/Inputs!$B$43),G364*Q364))*IF(Inputs!$B$38="pvp",1,(1+(Inputs!$B$21+Skills!Q9)/100)*(MIN(Skills!R9,Inputs!$B$37))),0)</f>
        <v/>
      </c>
    </row>
    <row r="365">
      <c r="A365">
        <f>Skills!A10</f>
        <v/>
      </c>
      <c r="B365">
        <f>Skills!B10</f>
        <v/>
      </c>
      <c r="C365">
        <f>Inputs!$B$3&gt;=100</f>
        <v/>
      </c>
      <c r="D365">
        <f>IF(Skills!C10=1,60+Inputs!$B$25+Inputs!$B$29,IF(Skills!C10=2,90+Inputs!$B$26+Inputs!$B$29,IF(Skills!C10=3,120+Inputs!$B$27+Inputs!$B$29,MAX(0,(Inputs!$B$3-100)*3)+Inputs!$B$28+Inputs!$B$29)))</f>
        <v/>
      </c>
      <c r="E365">
        <f>INDEX(FactorTable!$B$2:$Y$301, MATCH(ROUND(MIN(300,MAX(1,D365)),0), FactorTable!$A$2:$A$301,0), Skills!M10+1)</f>
        <v/>
      </c>
      <c r="F365">
        <f>IF(Skills!N10=TRUE,(Skills!L10/10)*(E365/1000),Skills!L10/10)+Skills!O10</f>
        <v/>
      </c>
      <c r="G365" t="inlineStr"/>
      <c r="H365" t="inlineStr"/>
      <c r="I365" t="inlineStr">
        <is>
          <t>1</t>
        </is>
      </c>
      <c r="J365" t="inlineStr"/>
      <c r="K365" t="inlineStr"/>
      <c r="L365" t="inlineStr"/>
      <c r="M365" t="inlineStr"/>
      <c r="N365" t="inlineStr"/>
      <c r="O365" t="inlineStr"/>
      <c r="P365" t="inlineStr"/>
      <c r="Q365" t="inlineStr"/>
      <c r="R365" t="inlineStr"/>
      <c r="S365" t="inlineStr"/>
      <c r="T365" t="inlineStr"/>
      <c r="V365" t="inlineStr"/>
    </row>
    <row r="366">
      <c r="A366">
        <f>Skills!A11</f>
        <v/>
      </c>
      <c r="B366">
        <f>Skills!B11</f>
        <v/>
      </c>
      <c r="C366">
        <f>Inputs!$B$3&gt;=60</f>
        <v/>
      </c>
      <c r="D366">
        <f>IF(Skills!C11=1,60+Inputs!$B$25+Inputs!$B$29,IF(Skills!C11=2,90+Inputs!$B$26+Inputs!$B$29,IF(Skills!C11=3,120+Inputs!$B$27+Inputs!$B$29,MAX(0,(Inputs!$B$3-100)*3)+Inputs!$B$28+Inputs!$B$29)))</f>
        <v/>
      </c>
      <c r="E366">
        <f>INDEX(FactorTable!$B$2:$Y$301, MATCH(ROUND(MIN(300,MAX(1,D366)),0), FactorTable!$A$2:$A$301,0), Skills!M11+1)</f>
        <v/>
      </c>
      <c r="F366">
        <f>IF(Skills!N11=TRUE,(Skills!L11/10)*(E366/1000),Skills!L11/10)+Skills!O11</f>
        <v/>
      </c>
      <c r="G366">
        <f>Skills!G11*IF(Skills!H11&gt;0,Skills!I11/Skills!H11,1)</f>
        <v/>
      </c>
      <c r="H366">
        <f>1-(1-Skills!J11/100)^Skills!K11</f>
        <v/>
      </c>
      <c r="I366" t="inlineStr">
        <is>
          <t>1</t>
        </is>
      </c>
      <c r="J366">
        <f>((Inputs!$B$6*(1+Inputs!$B$7/100))+(((Inputs!$B$12*(1+Inputs!$B$13/100))-(Inputs!$B$12*(1+Inputs!$B$13/100)))+0.25*(Inputs!$B$14-Inputs!$B$14))*(1+Inputs!$B$7/100))*(F366/100)</f>
        <v/>
      </c>
      <c r="K366">
        <f>J366*(1+((Inputs!$B$12*(1+Inputs!$B$13/100))*0.01+Inputs!$B$14*0.0025)/100)*(1+Inputs!$B$15/100)*(1+Inputs!$B$16/100)*(5000/(6000+Inputs!$B$42*(1-(Inputs!$B$19+((C382=TRUE)*(F382-Calc!F27)))/100)))*(1+(((((1+Inputs!$B$24/100)*(1.01))-1)*100)+((C380=TRUE)*(F380-Calc!F25))+((C381=TRUE)*(F381-Calc!F26))+B394)/100)*(1+IF(C367=TRUE,F367,0)/100)*(1+(IF(Skills!A11="ARROW_STREAM",Inputs!$B$17+((C378=TRUE)*(F378-Calc!F23)),Inputs!$B$18+((C383=TRUE)*(F383-Calc!F28))))/100)*((1+(((C368=TRUE)*F368)+((C369=TRUE)*IF(Inputs!$B$38="pvp",F369,(1-Summary!$B$55)*(F369)+Summary!$B$55*(0)))+((C370=TRUE)*F370*IF(AND(Inputs!$B$38&lt;&gt;"pvp",Inputs!$B$43&gt;0),(((R370-1)*(Skills!T15*(1+Inputs!$B$34/100))+MIN((Skills!T15*(1+Inputs!$B$34/100)),MAX(0,Inputs!$B$43-((R370-1)*Skills!D15))))/Inputs!$B$43),IF(Inputs!$B$38="pvp",MIN((Skills!T15*(1+Inputs!$B$34/100)),15)/15,(Skills!T15*(1+Inputs!$B$34/100))/Skills!D15)))+((C385=TRUE)*(F385-Calc!F30)))/100)*I366)</f>
        <v/>
      </c>
      <c r="L366">
        <f>K366*(MIN(Inputs!$B$22+((C379=TRUE)*(F379-Calc!F24)),Inputs!$B$23+((C384=TRUE)*(F384-Calc!F29)))/100+(Inputs!$B$23+((C384=TRUE)*(F384-Calc!F29)))/100)/2</f>
        <v/>
      </c>
      <c r="M366">
        <f>L366*(1+(Inputs!$B$10+0+B393)/100)</f>
        <v/>
      </c>
      <c r="N366">
        <f>L366*(1-MIN((Inputs!$B$9+((C375=TRUE)*(F375-Calc!F20))+B388),100)/100)+M366*(MIN((Inputs!$B$9+((C375=TRUE)*(F375-Calc!F20))+B388),100)/100)</f>
        <v/>
      </c>
      <c r="O366">
        <f>(1-Summary!$B$55)*T366+Summary!$B$55*V366</f>
        <v/>
      </c>
      <c r="P366">
        <f>IF(B398=0,0,O366/B398)</f>
        <v/>
      </c>
      <c r="Q366">
        <f>IFERROR(1/IF(Inputs!$B$38="pvp",15,MAX(0.1,Skills!D11-IF(Skills!E11=TRUE,Inputs!$B$32,0))),0)</f>
        <v/>
      </c>
      <c r="R366">
        <f>IF(AND(Inputs!$B$38&lt;&gt;"pvp",Inputs!$B$43&gt;0),IF(MAX(0,Inputs!$B$43-B395)&lt;=0,0,(INT(MAX(0,Inputs!$B$43-B395)/IF(Inputs!$B$38="pvp",15,MAX(0.1,Skills!D11-IF(Skills!E11=TRUE,Inputs!$B$32,0))))+1)),0)</f>
        <v/>
      </c>
      <c r="S366">
        <f>IFERROR(O366/N366,0)</f>
        <v/>
      </c>
      <c r="T366">
        <f>IF(C366,(H366*N366*IF(AND(Inputs!$B$38&lt;&gt;"pvp",Inputs!$B$43&gt;0),((Skills!G11*((R366-1)*IF(Skills!H11&gt;0,Skills!I11/Skills!H11,1)+IF(Skills!H11&gt;0,MIN(Skills!I11,MAX(0,MAX(0,Inputs!$B$43-B395)-((R366-1)*IF(Inputs!$B$38="pvp",15,MAX(0.1,Skills!D11-IF(Skills!E11=TRUE,Inputs!$B$32,0))))))/Skills!H11,1)))/Inputs!$B$43),G366*Q366))*IF(Inputs!$B$38="pvp",1,1+(Inputs!$B$20+0+Skills!P11)/100),0)</f>
        <v/>
      </c>
      <c r="V366">
        <f>IF(C366,(H366*N366*IF(AND(Inputs!$B$38&lt;&gt;"pvp",Inputs!$B$43&gt;0),((Skills!G11*((R366-1)*IF(Skills!H11&gt;0,Skills!I11/Skills!H11,1)+IF(Skills!H11&gt;0,MIN(Skills!I11,MAX(0,MAX(0,Inputs!$B$43-B395)-((R366-1)*IF(Inputs!$B$38="pvp",15,MAX(0.1,Skills!D11-IF(Skills!E11=TRUE,Inputs!$B$32,0))))))/Skills!H11,1)))/Inputs!$B$43),G366*Q366))*IF(Inputs!$B$38="pvp",1,(1+(Inputs!$B$21+Skills!Q11)/100)*(MIN(Skills!R11,Inputs!$B$37))),0)</f>
        <v/>
      </c>
    </row>
    <row r="367">
      <c r="A367">
        <f>Skills!A12</f>
        <v/>
      </c>
      <c r="B367">
        <f>Skills!B12</f>
        <v/>
      </c>
      <c r="C367">
        <f>Inputs!$B$3&gt;=110</f>
        <v/>
      </c>
      <c r="D367">
        <f>IF(Skills!C12=1,60+Inputs!$B$25+Inputs!$B$29,IF(Skills!C12=2,90+Inputs!$B$26+Inputs!$B$29,IF(Skills!C12=3,120+Inputs!$B$27+Inputs!$B$29,MAX(0,(Inputs!$B$3-100)*3)+Inputs!$B$28+Inputs!$B$29)))</f>
        <v/>
      </c>
      <c r="E367">
        <f>INDEX(FactorTable!$B$2:$Y$301, MATCH(ROUND(MIN(300,MAX(1,D367)),0), FactorTable!$A$2:$A$301,0), Skills!M12+1)</f>
        <v/>
      </c>
      <c r="F367">
        <f>IF(Skills!N12=TRUE,(Skills!L12/10)*(E367/1000),Skills!L12/10)+Skills!O12</f>
        <v/>
      </c>
      <c r="G367" t="inlineStr"/>
      <c r="H367" t="inlineStr"/>
      <c r="I367" t="inlineStr">
        <is>
          <t>1</t>
        </is>
      </c>
      <c r="J367" t="inlineStr"/>
      <c r="K367" t="inlineStr"/>
      <c r="L367" t="inlineStr"/>
      <c r="M367" t="inlineStr"/>
      <c r="N367" t="inlineStr"/>
      <c r="O367" t="inlineStr"/>
      <c r="P367" t="inlineStr"/>
      <c r="Q367" t="inlineStr"/>
      <c r="R367" t="inlineStr"/>
      <c r="S367" t="inlineStr"/>
      <c r="T367" t="inlineStr"/>
      <c r="V367" t="inlineStr"/>
    </row>
    <row r="368">
      <c r="A368">
        <f>Skills!A13</f>
        <v/>
      </c>
      <c r="B368">
        <f>Skills!B13</f>
        <v/>
      </c>
      <c r="C368">
        <f>Inputs!$B$3&gt;=74</f>
        <v/>
      </c>
      <c r="D368">
        <f>IF(Skills!C13=1,60+Inputs!$B$25+Inputs!$B$29,IF(Skills!C13=2,90+Inputs!$B$26+Inputs!$B$29,IF(Skills!C13=3,120+Inputs!$B$27+Inputs!$B$29,MAX(0,(Inputs!$B$3-100)*3)+Inputs!$B$28+Inputs!$B$29)))</f>
        <v/>
      </c>
      <c r="E368">
        <f>INDEX(FactorTable!$B$2:$Y$301, MATCH(ROUND(MIN(300,MAX(1,D368)),0), FactorTable!$A$2:$A$301,0), Skills!M13+1)</f>
        <v/>
      </c>
      <c r="F368">
        <f>IF(Skills!N13=TRUE,(Skills!L13/10)*(E368/1000),Skills!L13/10)+Skills!O13</f>
        <v/>
      </c>
      <c r="G368">
        <f>Skills!G13*IF(Skills!H13&gt;0,Skills!I13/Skills!H13,1)</f>
        <v/>
      </c>
      <c r="H368">
        <f>1-(1-Skills!J13/100)^Skills!K13</f>
        <v/>
      </c>
      <c r="I368" t="inlineStr">
        <is>
          <t>1</t>
        </is>
      </c>
      <c r="J368" t="inlineStr"/>
      <c r="K368" t="inlineStr"/>
      <c r="L368" t="inlineStr"/>
      <c r="M368" t="inlineStr"/>
      <c r="N368" t="inlineStr"/>
      <c r="O368">
        <f>(1-Summary!$B$55)*T368+Summary!$B$55*V368</f>
        <v/>
      </c>
      <c r="P368">
        <f>IF(B398=0,0,O368/B398)</f>
        <v/>
      </c>
      <c r="Q368" t="n">
        <v>0</v>
      </c>
      <c r="R368" t="n">
        <v>0</v>
      </c>
      <c r="S368">
        <f>IFERROR(O368/N368,0)</f>
        <v/>
      </c>
      <c r="T368" t="n">
        <v>0</v>
      </c>
      <c r="V368" t="n">
        <v>0</v>
      </c>
    </row>
    <row r="369">
      <c r="A369">
        <f>Skills!A14</f>
        <v/>
      </c>
      <c r="B369">
        <f>Skills!B14</f>
        <v/>
      </c>
      <c r="C369">
        <f>Inputs!$B$3&gt;=74</f>
        <v/>
      </c>
      <c r="D369">
        <f>IF(Skills!C14=1,60+Inputs!$B$25+Inputs!$B$29,IF(Skills!C14=2,90+Inputs!$B$26+Inputs!$B$29,IF(Skills!C14=3,120+Inputs!$B$27+Inputs!$B$29,MAX(0,(Inputs!$B$3-100)*3)+Inputs!$B$28+Inputs!$B$29)))</f>
        <v/>
      </c>
      <c r="E369">
        <f>INDEX(FactorTable!$B$2:$Y$301, MATCH(ROUND(MIN(300,MAX(1,D369)),0), FactorTable!$A$2:$A$301,0), Skills!M14+1)</f>
        <v/>
      </c>
      <c r="F369">
        <f>IF(Skills!N14=TRUE,(Skills!L14/10)*(E369/1000),Skills!L14/10)+Skills!O14</f>
        <v/>
      </c>
      <c r="G369">
        <f>Skills!G14*IF(Skills!H14&gt;0,Skills!I14/Skills!H14,1)</f>
        <v/>
      </c>
      <c r="H369">
        <f>1-(1-Skills!J14/100)^Skills!K14</f>
        <v/>
      </c>
      <c r="I369" t="inlineStr">
        <is>
          <t>1</t>
        </is>
      </c>
      <c r="J369" t="inlineStr"/>
      <c r="K369" t="inlineStr"/>
      <c r="L369" t="inlineStr"/>
      <c r="M369" t="inlineStr"/>
      <c r="N369" t="inlineStr"/>
      <c r="O369">
        <f>(1-Summary!$B$55)*T369+Summary!$B$55*V369</f>
        <v/>
      </c>
      <c r="P369">
        <f>IF(B398=0,0,O369/B398)</f>
        <v/>
      </c>
      <c r="Q369" t="n">
        <v>0</v>
      </c>
      <c r="R369" t="n">
        <v>0</v>
      </c>
      <c r="S369">
        <f>IFERROR(O369/N369,0)</f>
        <v/>
      </c>
      <c r="T369" t="n">
        <v>0</v>
      </c>
      <c r="V369" t="n">
        <v>0</v>
      </c>
    </row>
    <row r="370">
      <c r="A370">
        <f>Skills!A15</f>
        <v/>
      </c>
      <c r="B370">
        <f>Skills!B15</f>
        <v/>
      </c>
      <c r="C370">
        <f>Inputs!$B$3&gt;=117</f>
        <v/>
      </c>
      <c r="D370">
        <f>IF(Skills!C15=1,60+Inputs!$B$25+Inputs!$B$29,IF(Skills!C15=2,90+Inputs!$B$26+Inputs!$B$29,IF(Skills!C15=3,120+Inputs!$B$27+Inputs!$B$29,MAX(0,(Inputs!$B$3-100)*3)+Inputs!$B$28+Inputs!$B$29)))</f>
        <v/>
      </c>
      <c r="E370">
        <f>INDEX(FactorTable!$B$2:$Y$301, MATCH(ROUND(MIN(300,MAX(1,D370)),0), FactorTable!$A$2:$A$301,0), Skills!M15+1)</f>
        <v/>
      </c>
      <c r="F370">
        <f>IF(Skills!N15=TRUE,(Skills!L15/10)*(E370/1000),Skills!L15/10)+Skills!O15</f>
        <v/>
      </c>
      <c r="G370">
        <f>Skills!G15*IF(Skills!H15&gt;0,Skills!I15/Skills!H15,1)</f>
        <v/>
      </c>
      <c r="H370">
        <f>1-(1-Skills!J15/100)^Skills!K15</f>
        <v/>
      </c>
      <c r="I370" t="inlineStr">
        <is>
          <t>1</t>
        </is>
      </c>
      <c r="J370" t="inlineStr"/>
      <c r="K370" t="inlineStr"/>
      <c r="L370" t="inlineStr"/>
      <c r="M370" t="inlineStr"/>
      <c r="N370" t="inlineStr"/>
      <c r="O370">
        <f>(1-Summary!$B$55)*T370+Summary!$B$55*V370</f>
        <v/>
      </c>
      <c r="P370">
        <f>IF(B398=0,0,O370/B398)</f>
        <v/>
      </c>
      <c r="Q370">
        <f>IFERROR(1/IF(Inputs!$B$38="pvp",15,MAX(0.1,Skills!D15-IF(Skills!E15=TRUE,Inputs!$B$32,0))),0)</f>
        <v/>
      </c>
      <c r="R370">
        <f>IF(AND(Inputs!$B$38&lt;&gt;"pvp",Inputs!$B$43&gt;0),IF(Inputs!$B$43&lt;=0,0,(INT(Inputs!$B$43/IF(Inputs!$B$38="pvp",15,MAX(0.1,Skills!D15-IF(Skills!E15=TRUE,Inputs!$B$32,0))))+1)),0)</f>
        <v/>
      </c>
      <c r="S370">
        <f>IFERROR(O370/N370,0)</f>
        <v/>
      </c>
      <c r="T370" t="n">
        <v>0</v>
      </c>
      <c r="V370" t="n">
        <v>0</v>
      </c>
    </row>
    <row r="371">
      <c r="A371">
        <f>Skills!A16</f>
        <v/>
      </c>
      <c r="B371">
        <f>Skills!B16</f>
        <v/>
      </c>
      <c r="C371">
        <f>Inputs!$B$3&gt;=115</f>
        <v/>
      </c>
      <c r="D371">
        <f>IF(Skills!C16=1,60+Inputs!$B$25+Inputs!$B$29,IF(Skills!C16=2,90+Inputs!$B$26+Inputs!$B$29,IF(Skills!C16=3,120+Inputs!$B$27+Inputs!$B$29,MAX(0,(Inputs!$B$3-100)*3)+Inputs!$B$28+Inputs!$B$29)))</f>
        <v/>
      </c>
      <c r="E371">
        <f>INDEX(FactorTable!$B$2:$Y$301, MATCH(ROUND(MIN(300,MAX(1,D371)),0), FactorTable!$A$2:$A$301,0), Skills!M16+1)</f>
        <v/>
      </c>
      <c r="F371">
        <f>IF(Skills!N16=TRUE,(Skills!L16/10)*(E371/1000),Skills!L16/10)+Skills!O16</f>
        <v/>
      </c>
      <c r="G371">
        <f>Skills!G16*IF(Skills!H16&gt;0,Skills!I16/Skills!H16,1)</f>
        <v/>
      </c>
      <c r="H371">
        <f>1-(1-Skills!J16/100)^Skills!K16</f>
        <v/>
      </c>
      <c r="I371" t="inlineStr">
        <is>
          <t>1</t>
        </is>
      </c>
      <c r="J371" t="inlineStr"/>
      <c r="K371" t="inlineStr"/>
      <c r="L371" t="inlineStr"/>
      <c r="M371" t="inlineStr"/>
      <c r="N371" t="inlineStr"/>
      <c r="O371">
        <f>(1-Summary!$B$55)*T371+Summary!$B$55*V371</f>
        <v/>
      </c>
      <c r="P371">
        <f>IF(B398=0,0,O371/B398)</f>
        <v/>
      </c>
      <c r="Q371">
        <f>IFERROR(1/IF(Inputs!$B$38="pvp",15,MAX(0.1,Skills!D16-IF(Skills!E16=TRUE,Inputs!$B$32,0))),0)</f>
        <v/>
      </c>
      <c r="R371">
        <f>IF(AND(Inputs!$B$38&lt;&gt;"pvp",Inputs!$B$43&gt;0),IF(Inputs!$B$43&lt;=0,0,(INT(Inputs!$B$43/IF(Inputs!$B$38="pvp",15,MAX(0.1,Skills!D16-IF(Skills!E16=TRUE,Inputs!$B$32,0))))+1)),0)</f>
        <v/>
      </c>
      <c r="S371">
        <f>IFERROR(O371/N371,0)</f>
        <v/>
      </c>
      <c r="T371" t="n">
        <v>0</v>
      </c>
      <c r="V371" t="n">
        <v>0</v>
      </c>
    </row>
    <row r="372">
      <c r="A372">
        <f>Skills!A17</f>
        <v/>
      </c>
      <c r="B372">
        <f>Skills!B17</f>
        <v/>
      </c>
      <c r="C372">
        <f>Inputs!$B$3&gt;=66</f>
        <v/>
      </c>
      <c r="D372">
        <f>IF(Skills!C17=1,60+Inputs!$B$25+Inputs!$B$29,IF(Skills!C17=2,90+Inputs!$B$26+Inputs!$B$29,IF(Skills!C17=3,120+Inputs!$B$27+Inputs!$B$29,MAX(0,(Inputs!$B$3-100)*3)+Inputs!$B$28+Inputs!$B$29)))</f>
        <v/>
      </c>
      <c r="E372">
        <f>INDEX(FactorTable!$B$2:$Y$301, MATCH(ROUND(MIN(300,MAX(1,D372)),0), FactorTable!$A$2:$A$301,0), Skills!M17+1)</f>
        <v/>
      </c>
      <c r="F372">
        <f>IF(Skills!N17=TRUE,(Skills!L17/10)*(E372/1000),Skills!L17/10)+Skills!O17</f>
        <v/>
      </c>
      <c r="G372">
        <f>Skills!G17*IF(Skills!H17&gt;0,Skills!I17/Skills!H17,1)</f>
        <v/>
      </c>
      <c r="H372">
        <f>1-(1-Skills!J17/100)^Skills!K17</f>
        <v/>
      </c>
      <c r="I372" t="inlineStr">
        <is>
          <t>1</t>
        </is>
      </c>
      <c r="J372" t="inlineStr"/>
      <c r="K372" t="inlineStr"/>
      <c r="L372" t="inlineStr"/>
      <c r="M372" t="inlineStr"/>
      <c r="N372" t="inlineStr"/>
      <c r="O372">
        <f>(1-Summary!$B$55)*T372+Summary!$B$55*V372</f>
        <v/>
      </c>
      <c r="P372">
        <f>IF(B398=0,0,O372/B398)</f>
        <v/>
      </c>
      <c r="Q372" t="n">
        <v>0</v>
      </c>
      <c r="R372" t="n">
        <v>0</v>
      </c>
      <c r="S372">
        <f>IFERROR(O372/N372,0)</f>
        <v/>
      </c>
      <c r="T372" t="n">
        <v>0</v>
      </c>
      <c r="V372" t="n">
        <v>0</v>
      </c>
    </row>
    <row r="373">
      <c r="A373">
        <f>Skills!A18</f>
        <v/>
      </c>
      <c r="B373">
        <f>Skills!B18</f>
        <v/>
      </c>
      <c r="C373">
        <f>Inputs!$B$3&gt;=72</f>
        <v/>
      </c>
      <c r="D373">
        <f>IF(Skills!C18=1,60+Inputs!$B$25+Inputs!$B$29,IF(Skills!C18=2,90+Inputs!$B$26+Inputs!$B$29,IF(Skills!C18=3,120+Inputs!$B$27+Inputs!$B$29,MAX(0,(Inputs!$B$3-100)*3)+Inputs!$B$28+Inputs!$B$29)))</f>
        <v/>
      </c>
      <c r="E373">
        <f>INDEX(FactorTable!$B$2:$Y$301, MATCH(ROUND(MIN(300,MAX(1,D373)),0), FactorTable!$A$2:$A$301,0), Skills!M18+1)</f>
        <v/>
      </c>
      <c r="F373">
        <f>IF(Skills!N18=TRUE,(Skills!L18/10)*(E373/1000),Skills!L18/10)+Skills!O18</f>
        <v/>
      </c>
      <c r="G373">
        <f>Skills!G18*IF(Skills!H18&gt;0,Skills!I18/Skills!H18,1)</f>
        <v/>
      </c>
      <c r="H373">
        <f>1-(1-Skills!J18/100)^Skills!K18</f>
        <v/>
      </c>
      <c r="I373" t="inlineStr">
        <is>
          <t>1</t>
        </is>
      </c>
      <c r="J373" t="inlineStr"/>
      <c r="K373" t="inlineStr"/>
      <c r="L373" t="inlineStr"/>
      <c r="M373" t="inlineStr"/>
      <c r="N373" t="inlineStr"/>
      <c r="O373">
        <f>(1-Summary!$B$55)*T373+Summary!$B$55*V373</f>
        <v/>
      </c>
      <c r="P373">
        <f>IF(B398=0,0,O373/B398)</f>
        <v/>
      </c>
      <c r="Q373" t="n">
        <v>0</v>
      </c>
      <c r="R373" t="n">
        <v>0</v>
      </c>
      <c r="S373">
        <f>IFERROR(O373/N373,0)</f>
        <v/>
      </c>
      <c r="T373" t="n">
        <v>0</v>
      </c>
      <c r="V373" t="n">
        <v>0</v>
      </c>
    </row>
    <row r="374">
      <c r="A374">
        <f>Skills!A19</f>
        <v/>
      </c>
      <c r="B374">
        <f>Skills!B19</f>
        <v/>
      </c>
      <c r="C374">
        <f>TRUE</f>
        <v/>
      </c>
      <c r="D374">
        <f>IF(Skills!C19=1,60+Inputs!$B$25+Inputs!$B$29,IF(Skills!C19=2,90+Inputs!$B$26+Inputs!$B$29,IF(Skills!C19=3,120+Inputs!$B$27+Inputs!$B$29,MAX(0,(Inputs!$B$3-100)*3)+Inputs!$B$28+Inputs!$B$29)))</f>
        <v/>
      </c>
      <c r="E374">
        <f>INDEX(FactorTable!$B$2:$Y$301, MATCH(ROUND(MIN(300,MAX(1,D374)),0), FactorTable!$A$2:$A$301,0), Skills!M19+1)</f>
        <v/>
      </c>
      <c r="F374">
        <f>IF(Skills!N19=TRUE,(Skills!L19/10)*(E374/1000),Skills!L19/10)+Skills!O19</f>
        <v/>
      </c>
      <c r="G374">
        <f>Skills!G19*IF(Skills!H19&gt;0,Skills!I19/Skills!H19,1)</f>
        <v/>
      </c>
      <c r="H374">
        <f>1-(1-Skills!J19/100)^Skills!K19</f>
        <v/>
      </c>
      <c r="I374" t="inlineStr">
        <is>
          <t>1</t>
        </is>
      </c>
      <c r="J374" t="inlineStr"/>
      <c r="K374" t="inlineStr"/>
      <c r="L374" t="inlineStr"/>
      <c r="M374" t="inlineStr"/>
      <c r="N374" t="inlineStr"/>
      <c r="O374">
        <f>(1-Summary!$B$55)*T374+Summary!$B$55*V374</f>
        <v/>
      </c>
      <c r="P374">
        <f>IF(B398=0,0,O374/B398)</f>
        <v/>
      </c>
      <c r="Q374">
        <f>IFERROR(1/IF(Inputs!$B$38="pvp",15,MAX(0.1,Skills!D19-IF(Skills!E19=TRUE,Inputs!$B$32,0))),0)</f>
        <v/>
      </c>
      <c r="R374">
        <f>IF(AND(Inputs!$B$38&lt;&gt;"pvp",Inputs!$B$43&gt;0),IF(Inputs!$B$43&lt;=0,0,(INT(Inputs!$B$43/IF(Inputs!$B$38="pvp",15,MAX(0.1,Skills!D19-IF(Skills!E19=TRUE,Inputs!$B$32,0))))+1)),0)</f>
        <v/>
      </c>
      <c r="S374">
        <f>IFERROR(O374/N374,0)</f>
        <v/>
      </c>
      <c r="T374" t="n">
        <v>0</v>
      </c>
      <c r="V374" t="n">
        <v>0</v>
      </c>
    </row>
    <row r="375">
      <c r="A375">
        <f>Skills!A20</f>
        <v/>
      </c>
      <c r="B375">
        <f>Skills!B20</f>
        <v/>
      </c>
      <c r="C375">
        <f>Inputs!$B$3&gt;=15</f>
        <v/>
      </c>
      <c r="D375">
        <f>IF(Skills!C20=1,60+Inputs!$B$25+Inputs!$B$29,IF(Skills!C20=2,90+Inputs!$B$26+Inputs!$B$29,IF(Skills!C20=3,120+Inputs!$B$27+Inputs!$B$29,MAX(0,(Inputs!$B$3-100)*3)+Inputs!$B$28+Inputs!$B$29)))</f>
        <v/>
      </c>
      <c r="E375">
        <f>INDEX(FactorTable!$B$2:$Y$301, MATCH(ROUND(MIN(300,MAX(1,D375)),0), FactorTable!$A$2:$A$301,0), Skills!M20+1)</f>
        <v/>
      </c>
      <c r="F375">
        <f>IF(Skills!N20=TRUE,(Skills!L20/10)*(E375/1000),Skills!L20/10)+Skills!O20</f>
        <v/>
      </c>
      <c r="G375">
        <f>Skills!G20*IF(Skills!H20&gt;0,Skills!I20/Skills!H20,1)</f>
        <v/>
      </c>
      <c r="H375">
        <f>1-(1-Skills!J20/100)^Skills!K20</f>
        <v/>
      </c>
      <c r="I375" t="inlineStr">
        <is>
          <t>1</t>
        </is>
      </c>
      <c r="J375" t="inlineStr"/>
      <c r="K375" t="inlineStr"/>
      <c r="L375" t="inlineStr"/>
      <c r="M375" t="inlineStr"/>
      <c r="N375" t="inlineStr"/>
      <c r="O375">
        <f>(1-Summary!$B$55)*T375+Summary!$B$55*V375</f>
        <v/>
      </c>
      <c r="P375">
        <f>IF(B398=0,0,O375/B398)</f>
        <v/>
      </c>
      <c r="Q375" t="n">
        <v>0</v>
      </c>
      <c r="R375" t="n">
        <v>0</v>
      </c>
      <c r="S375">
        <f>IFERROR(O375/N375,0)</f>
        <v/>
      </c>
      <c r="T375" t="n">
        <v>0</v>
      </c>
      <c r="V375" t="n">
        <v>0</v>
      </c>
    </row>
    <row r="376">
      <c r="A376">
        <f>Skills!A21</f>
        <v/>
      </c>
      <c r="B376">
        <f>Skills!B21</f>
        <v/>
      </c>
      <c r="C376">
        <f>Inputs!$B$3&gt;=10</f>
        <v/>
      </c>
      <c r="D376">
        <f>IF(Skills!C21=1,60+Inputs!$B$25+Inputs!$B$29,IF(Skills!C21=2,90+Inputs!$B$26+Inputs!$B$29,IF(Skills!C21=3,120+Inputs!$B$27+Inputs!$B$29,MAX(0,(Inputs!$B$3-100)*3)+Inputs!$B$28+Inputs!$B$29)))</f>
        <v/>
      </c>
      <c r="E376">
        <f>INDEX(FactorTable!$B$2:$Y$301, MATCH(ROUND(MIN(300,MAX(1,D376)),0), FactorTable!$A$2:$A$301,0), Skills!M21+1)</f>
        <v/>
      </c>
      <c r="F376">
        <f>IF(Skills!N21=TRUE,(Skills!L21/10)*(E376/1000),Skills!L21/10)+Skills!O21</f>
        <v/>
      </c>
      <c r="G376">
        <f>Skills!G21*IF(Skills!H21&gt;0,Skills!I21/Skills!H21,1)</f>
        <v/>
      </c>
      <c r="H376">
        <f>1-(1-Skills!J21/100)^Skills!K21</f>
        <v/>
      </c>
      <c r="I376" t="inlineStr">
        <is>
          <t>1</t>
        </is>
      </c>
      <c r="J376" t="inlineStr"/>
      <c r="K376" t="inlineStr"/>
      <c r="L376" t="inlineStr"/>
      <c r="M376" t="inlineStr"/>
      <c r="N376" t="inlineStr"/>
      <c r="O376">
        <f>(1-Summary!$B$55)*T376+Summary!$B$55*V376</f>
        <v/>
      </c>
      <c r="P376">
        <f>IF(B398=0,0,O376/B398)</f>
        <v/>
      </c>
      <c r="Q376" t="n">
        <v>0</v>
      </c>
      <c r="R376" t="n">
        <v>0</v>
      </c>
      <c r="S376">
        <f>IFERROR(O376/N376,0)</f>
        <v/>
      </c>
      <c r="T376" t="n">
        <v>0</v>
      </c>
      <c r="V376" t="n">
        <v>0</v>
      </c>
    </row>
    <row r="377">
      <c r="A377">
        <f>Skills!A22</f>
        <v/>
      </c>
      <c r="B377">
        <f>Skills!B22</f>
        <v/>
      </c>
      <c r="C377">
        <f>Inputs!$B$3&gt;=33</f>
        <v/>
      </c>
      <c r="D377">
        <f>IF(Skills!C22=1,60+Inputs!$B$25+Inputs!$B$29,IF(Skills!C22=2,90+Inputs!$B$26+Inputs!$B$29,IF(Skills!C22=3,120+Inputs!$B$27+Inputs!$B$29,MAX(0,(Inputs!$B$3-100)*3)+Inputs!$B$28+Inputs!$B$29)))</f>
        <v/>
      </c>
      <c r="E377">
        <f>INDEX(FactorTable!$B$2:$Y$301, MATCH(ROUND(MIN(300,MAX(1,D377)),0), FactorTable!$A$2:$A$301,0), Skills!M22+1)</f>
        <v/>
      </c>
      <c r="F377">
        <f>IF(Skills!N22=TRUE,(Skills!L22/10)*(E377/1000),Skills!L22/10)+Skills!O22</f>
        <v/>
      </c>
      <c r="G377">
        <f>Skills!G22*IF(Skills!H22&gt;0,Skills!I22/Skills!H22,1)</f>
        <v/>
      </c>
      <c r="H377">
        <f>1-(1-Skills!J22/100)^Skills!K22</f>
        <v/>
      </c>
      <c r="I377" t="inlineStr">
        <is>
          <t>1</t>
        </is>
      </c>
      <c r="J377" t="inlineStr"/>
      <c r="K377" t="inlineStr"/>
      <c r="L377" t="inlineStr"/>
      <c r="M377" t="inlineStr"/>
      <c r="N377" t="inlineStr"/>
      <c r="O377">
        <f>(1-Summary!$B$55)*T377+Summary!$B$55*V377</f>
        <v/>
      </c>
      <c r="P377">
        <f>IF(B398=0,0,O377/B398)</f>
        <v/>
      </c>
      <c r="Q377" t="n">
        <v>0</v>
      </c>
      <c r="R377" t="n">
        <v>0</v>
      </c>
      <c r="S377">
        <f>IFERROR(O377/N377,0)</f>
        <v/>
      </c>
      <c r="T377" t="n">
        <v>0</v>
      </c>
      <c r="V377" t="n">
        <v>0</v>
      </c>
    </row>
    <row r="378">
      <c r="A378">
        <f>Skills!A23</f>
        <v/>
      </c>
      <c r="B378">
        <f>Skills!B23</f>
        <v/>
      </c>
      <c r="C378">
        <f>Inputs!$B$3&gt;=38</f>
        <v/>
      </c>
      <c r="D378">
        <f>IF(Skills!C23=1,60+Inputs!$B$25+Inputs!$B$29,IF(Skills!C23=2,90+Inputs!$B$26+Inputs!$B$29,IF(Skills!C23=3,120+Inputs!$B$27+Inputs!$B$29,MAX(0,(Inputs!$B$3-100)*3)+Inputs!$B$28+Inputs!$B$29)))</f>
        <v/>
      </c>
      <c r="E378">
        <f>INDEX(FactorTable!$B$2:$Y$301, MATCH(ROUND(MIN(300,MAX(1,D378)),0), FactorTable!$A$2:$A$301,0), Skills!M23+1)</f>
        <v/>
      </c>
      <c r="F378">
        <f>IF(Skills!N23=TRUE,(Skills!L23/10)*(E378/1000),Skills!L23/10)+Skills!O23</f>
        <v/>
      </c>
      <c r="G378">
        <f>Skills!G23*IF(Skills!H23&gt;0,Skills!I23/Skills!H23,1)</f>
        <v/>
      </c>
      <c r="H378">
        <f>1-(1-Skills!J23/100)^Skills!K23</f>
        <v/>
      </c>
      <c r="I378" t="inlineStr">
        <is>
          <t>1</t>
        </is>
      </c>
      <c r="J378" t="inlineStr"/>
      <c r="K378" t="inlineStr"/>
      <c r="L378" t="inlineStr"/>
      <c r="M378" t="inlineStr"/>
      <c r="N378" t="inlineStr"/>
      <c r="O378">
        <f>(1-Summary!$B$55)*T378+Summary!$B$55*V378</f>
        <v/>
      </c>
      <c r="P378">
        <f>IF(B398=0,0,O378/B398)</f>
        <v/>
      </c>
      <c r="Q378" t="n">
        <v>0</v>
      </c>
      <c r="R378" t="n">
        <v>0</v>
      </c>
      <c r="S378">
        <f>IFERROR(O378/N378,0)</f>
        <v/>
      </c>
      <c r="T378" t="n">
        <v>0</v>
      </c>
      <c r="V378" t="n">
        <v>0</v>
      </c>
    </row>
    <row r="379">
      <c r="A379">
        <f>Skills!A24</f>
        <v/>
      </c>
      <c r="B379">
        <f>Skills!B24</f>
        <v/>
      </c>
      <c r="C379">
        <f>Inputs!$B$3&gt;=43</f>
        <v/>
      </c>
      <c r="D379">
        <f>IF(Skills!C24=1,60+Inputs!$B$25+Inputs!$B$29,IF(Skills!C24=2,90+Inputs!$B$26+Inputs!$B$29,IF(Skills!C24=3,120+Inputs!$B$27+Inputs!$B$29,MAX(0,(Inputs!$B$3-100)*3)+Inputs!$B$28+Inputs!$B$29)))</f>
        <v/>
      </c>
      <c r="E379">
        <f>INDEX(FactorTable!$B$2:$Y$301, MATCH(ROUND(MIN(300,MAX(1,D379)),0), FactorTable!$A$2:$A$301,0), Skills!M24+1)</f>
        <v/>
      </c>
      <c r="F379">
        <f>IF(Skills!N24=TRUE,(Skills!L24/10)*(E379/1000),Skills!L24/10)+Skills!O24</f>
        <v/>
      </c>
      <c r="G379">
        <f>Skills!G24*IF(Skills!H24&gt;0,Skills!I24/Skills!H24,1)</f>
        <v/>
      </c>
      <c r="H379">
        <f>1-(1-Skills!J24/100)^Skills!K24</f>
        <v/>
      </c>
      <c r="I379" t="inlineStr">
        <is>
          <t>1</t>
        </is>
      </c>
      <c r="J379" t="inlineStr"/>
      <c r="K379" t="inlineStr"/>
      <c r="L379" t="inlineStr"/>
      <c r="M379" t="inlineStr"/>
      <c r="N379" t="inlineStr"/>
      <c r="O379">
        <f>(1-Summary!$B$55)*T379+Summary!$B$55*V379</f>
        <v/>
      </c>
      <c r="P379">
        <f>IF(B398=0,0,O379/B398)</f>
        <v/>
      </c>
      <c r="Q379" t="n">
        <v>0</v>
      </c>
      <c r="R379" t="n">
        <v>0</v>
      </c>
      <c r="S379">
        <f>IFERROR(O379/N379,0)</f>
        <v/>
      </c>
      <c r="T379" t="n">
        <v>0</v>
      </c>
      <c r="V379" t="n">
        <v>0</v>
      </c>
    </row>
    <row r="380">
      <c r="A380">
        <f>Skills!A25</f>
        <v/>
      </c>
      <c r="B380">
        <f>Skills!B25</f>
        <v/>
      </c>
      <c r="C380">
        <f>Inputs!$B$3&gt;=75</f>
        <v/>
      </c>
      <c r="D380">
        <f>IF(Skills!C25=1,60+Inputs!$B$25+Inputs!$B$29,IF(Skills!C25=2,90+Inputs!$B$26+Inputs!$B$29,IF(Skills!C25=3,120+Inputs!$B$27+Inputs!$B$29,MAX(0,(Inputs!$B$3-100)*3)+Inputs!$B$28+Inputs!$B$29)))</f>
        <v/>
      </c>
      <c r="E380">
        <f>INDEX(FactorTable!$B$2:$Y$301, MATCH(ROUND(MIN(300,MAX(1,D380)),0), FactorTable!$A$2:$A$301,0), Skills!M25+1)</f>
        <v/>
      </c>
      <c r="F380">
        <f>IF(Skills!N25=TRUE,(Skills!L25/10)*(E380/1000),Skills!L25/10)+Skills!O25</f>
        <v/>
      </c>
      <c r="G380">
        <f>Skills!G25*IF(Skills!H25&gt;0,Skills!I25/Skills!H25,1)</f>
        <v/>
      </c>
      <c r="H380">
        <f>1-(1-Skills!J25/100)^Skills!K25</f>
        <v/>
      </c>
      <c r="I380" t="inlineStr">
        <is>
          <t>1</t>
        </is>
      </c>
      <c r="J380" t="inlineStr"/>
      <c r="K380" t="inlineStr"/>
      <c r="L380" t="inlineStr"/>
      <c r="M380" t="inlineStr"/>
      <c r="N380" t="inlineStr"/>
      <c r="O380">
        <f>(1-Summary!$B$55)*T380+Summary!$B$55*V380</f>
        <v/>
      </c>
      <c r="P380">
        <f>IF(B398=0,0,O380/B398)</f>
        <v/>
      </c>
      <c r="Q380" t="n">
        <v>0</v>
      </c>
      <c r="R380" t="n">
        <v>0</v>
      </c>
      <c r="S380">
        <f>IFERROR(O380/N380,0)</f>
        <v/>
      </c>
      <c r="T380" t="n">
        <v>0</v>
      </c>
      <c r="V380" t="n">
        <v>0</v>
      </c>
    </row>
    <row r="381">
      <c r="A381">
        <f>Skills!A26</f>
        <v/>
      </c>
      <c r="B381">
        <f>Skills!B26</f>
        <v/>
      </c>
      <c r="C381">
        <f>Inputs!$B$3&gt;=125</f>
        <v/>
      </c>
      <c r="D381">
        <f>IF(Skills!C26=1,60+Inputs!$B$25+Inputs!$B$29,IF(Skills!C26=2,90+Inputs!$B$26+Inputs!$B$29,IF(Skills!C26=3,120+Inputs!$B$27+Inputs!$B$29,MAX(0,(Inputs!$B$3-100)*3)+Inputs!$B$28+Inputs!$B$29)))</f>
        <v/>
      </c>
      <c r="E381">
        <f>INDEX(FactorTable!$B$2:$Y$301, MATCH(ROUND(MIN(300,MAX(1,D381)),0), FactorTable!$A$2:$A$301,0), Skills!M26+1)</f>
        <v/>
      </c>
      <c r="F381">
        <f>IF(Skills!N26=TRUE,(Skills!L26/10)*(E381/1000),Skills!L26/10)+Skills!O26</f>
        <v/>
      </c>
      <c r="G381">
        <f>Skills!G26*IF(Skills!H26&gt;0,Skills!I26/Skills!H26,1)</f>
        <v/>
      </c>
      <c r="H381">
        <f>1-(1-Skills!J26/100)^Skills!K26</f>
        <v/>
      </c>
      <c r="I381" t="inlineStr">
        <is>
          <t>1</t>
        </is>
      </c>
      <c r="J381" t="inlineStr"/>
      <c r="K381" t="inlineStr"/>
      <c r="L381" t="inlineStr"/>
      <c r="M381" t="inlineStr"/>
      <c r="N381" t="inlineStr"/>
      <c r="O381">
        <f>(1-Summary!$B$55)*T381+Summary!$B$55*V381</f>
        <v/>
      </c>
      <c r="P381">
        <f>IF(B398=0,0,O381/B398)</f>
        <v/>
      </c>
      <c r="Q381" t="n">
        <v>0</v>
      </c>
      <c r="R381" t="n">
        <v>0</v>
      </c>
      <c r="S381">
        <f>IFERROR(O381/N381,0)</f>
        <v/>
      </c>
      <c r="T381" t="n">
        <v>0</v>
      </c>
      <c r="V381" t="n">
        <v>0</v>
      </c>
    </row>
    <row r="382">
      <c r="A382">
        <f>Skills!A27</f>
        <v/>
      </c>
      <c r="B382">
        <f>Skills!B27</f>
        <v/>
      </c>
      <c r="C382">
        <f>Inputs!$B$3&gt;=125</f>
        <v/>
      </c>
      <c r="D382">
        <f>IF(Skills!C27=1,60+Inputs!$B$25+Inputs!$B$29,IF(Skills!C27=2,90+Inputs!$B$26+Inputs!$B$29,IF(Skills!C27=3,120+Inputs!$B$27+Inputs!$B$29,MAX(0,(Inputs!$B$3-100)*3)+Inputs!$B$28+Inputs!$B$29)))</f>
        <v/>
      </c>
      <c r="E382">
        <f>INDEX(FactorTable!$B$2:$Y$301, MATCH(ROUND(MIN(300,MAX(1,D382)),0), FactorTable!$A$2:$A$301,0), Skills!M27+1)</f>
        <v/>
      </c>
      <c r="F382">
        <f>IF(Skills!N27=TRUE,(Skills!L27/10)*(E382/1000),Skills!L27/10)+Skills!O27</f>
        <v/>
      </c>
      <c r="G382">
        <f>Skills!G27*IF(Skills!H27&gt;0,Skills!I27/Skills!H27,1)</f>
        <v/>
      </c>
      <c r="H382">
        <f>1-(1-Skills!J27/100)^Skills!K27</f>
        <v/>
      </c>
      <c r="I382" t="inlineStr">
        <is>
          <t>1</t>
        </is>
      </c>
      <c r="J382" t="inlineStr"/>
      <c r="K382" t="inlineStr"/>
      <c r="L382" t="inlineStr"/>
      <c r="M382" t="inlineStr"/>
      <c r="N382" t="inlineStr"/>
      <c r="O382">
        <f>(1-Summary!$B$55)*T382+Summary!$B$55*V382</f>
        <v/>
      </c>
      <c r="P382">
        <f>IF(B398=0,0,O382/B398)</f>
        <v/>
      </c>
      <c r="Q382" t="n">
        <v>0</v>
      </c>
      <c r="R382" t="n">
        <v>0</v>
      </c>
      <c r="S382">
        <f>IFERROR(O382/N382,0)</f>
        <v/>
      </c>
      <c r="T382" t="n">
        <v>0</v>
      </c>
      <c r="V382" t="n">
        <v>0</v>
      </c>
    </row>
    <row r="383">
      <c r="A383">
        <f>Skills!A28</f>
        <v/>
      </c>
      <c r="B383">
        <f>Skills!B28</f>
        <v/>
      </c>
      <c r="C383">
        <f>Inputs!$B$3&gt;=120</f>
        <v/>
      </c>
      <c r="D383">
        <f>IF(Skills!C28=1,60+Inputs!$B$25+Inputs!$B$29,IF(Skills!C28=2,90+Inputs!$B$26+Inputs!$B$29,IF(Skills!C28=3,120+Inputs!$B$27+Inputs!$B$29,MAX(0,(Inputs!$B$3-100)*3)+Inputs!$B$28+Inputs!$B$29)))</f>
        <v/>
      </c>
      <c r="E383">
        <f>INDEX(FactorTable!$B$2:$Y$301, MATCH(ROUND(MIN(300,MAX(1,D383)),0), FactorTable!$A$2:$A$301,0), Skills!M28+1)</f>
        <v/>
      </c>
      <c r="F383">
        <f>IF(Skills!N28=TRUE,(Skills!L28/10)*(E383/1000),Skills!L28/10)+Skills!O28</f>
        <v/>
      </c>
      <c r="G383">
        <f>Skills!G28*IF(Skills!H28&gt;0,Skills!I28/Skills!H28,1)</f>
        <v/>
      </c>
      <c r="H383">
        <f>1-(1-Skills!J28/100)^Skills!K28</f>
        <v/>
      </c>
      <c r="I383" t="inlineStr">
        <is>
          <t>1</t>
        </is>
      </c>
      <c r="J383" t="inlineStr"/>
      <c r="K383" t="inlineStr"/>
      <c r="L383" t="inlineStr"/>
      <c r="M383" t="inlineStr"/>
      <c r="N383" t="inlineStr"/>
      <c r="O383">
        <f>(1-Summary!$B$55)*T383+Summary!$B$55*V383</f>
        <v/>
      </c>
      <c r="P383">
        <f>IF(B398=0,0,O383/B398)</f>
        <v/>
      </c>
      <c r="Q383" t="n">
        <v>0</v>
      </c>
      <c r="R383" t="n">
        <v>0</v>
      </c>
      <c r="S383">
        <f>IFERROR(O383/N383,0)</f>
        <v/>
      </c>
      <c r="T383" t="n">
        <v>0</v>
      </c>
      <c r="V383" t="n">
        <v>0</v>
      </c>
    </row>
    <row r="384">
      <c r="A384">
        <f>Skills!A29</f>
        <v/>
      </c>
      <c r="B384">
        <f>Skills!B29</f>
        <v/>
      </c>
      <c r="C384">
        <f>Inputs!$B$3&gt;=120</f>
        <v/>
      </c>
      <c r="D384">
        <f>IF(Skills!C29=1,60+Inputs!$B$25+Inputs!$B$29,IF(Skills!C29=2,90+Inputs!$B$26+Inputs!$B$29,IF(Skills!C29=3,120+Inputs!$B$27+Inputs!$B$29,MAX(0,(Inputs!$B$3-100)*3)+Inputs!$B$28+Inputs!$B$29)))</f>
        <v/>
      </c>
      <c r="E384">
        <f>INDEX(FactorTable!$B$2:$Y$301, MATCH(ROUND(MIN(300,MAX(1,D384)),0), FactorTable!$A$2:$A$301,0), Skills!M29+1)</f>
        <v/>
      </c>
      <c r="F384">
        <f>IF(Skills!N29=TRUE,(Skills!L29/10)*(E384/1000),Skills!L29/10)+Skills!O29</f>
        <v/>
      </c>
      <c r="G384">
        <f>Skills!G29*IF(Skills!H29&gt;0,Skills!I29/Skills!H29,1)</f>
        <v/>
      </c>
      <c r="H384">
        <f>1-(1-Skills!J29/100)^Skills!K29</f>
        <v/>
      </c>
      <c r="I384" t="inlineStr">
        <is>
          <t>1</t>
        </is>
      </c>
      <c r="J384" t="inlineStr"/>
      <c r="K384" t="inlineStr"/>
      <c r="L384" t="inlineStr"/>
      <c r="M384" t="inlineStr"/>
      <c r="N384" t="inlineStr"/>
      <c r="O384">
        <f>(1-Summary!$B$55)*T384+Summary!$B$55*V384</f>
        <v/>
      </c>
      <c r="P384">
        <f>IF(B398=0,0,O384/B398)</f>
        <v/>
      </c>
      <c r="Q384" t="n">
        <v>0</v>
      </c>
      <c r="R384" t="n">
        <v>0</v>
      </c>
      <c r="S384">
        <f>IFERROR(O384/N384,0)</f>
        <v/>
      </c>
      <c r="T384" t="n">
        <v>0</v>
      </c>
      <c r="V384" t="n">
        <v>0</v>
      </c>
    </row>
    <row r="385">
      <c r="A385">
        <f>Skills!A30</f>
        <v/>
      </c>
      <c r="B385">
        <f>Skills!B30</f>
        <v/>
      </c>
      <c r="C385">
        <f>Inputs!$B$3&gt;=45</f>
        <v/>
      </c>
      <c r="D385">
        <f>IF(Skills!C30=1,60+Inputs!$B$25+Inputs!$B$29,IF(Skills!C30=2,90+Inputs!$B$26+Inputs!$B$29,IF(Skills!C30=3,120+Inputs!$B$27+Inputs!$B$29,MAX(0,(Inputs!$B$3-100)*3)+Inputs!$B$28+Inputs!$B$29)))</f>
        <v/>
      </c>
      <c r="E385">
        <f>INDEX(FactorTable!$B$2:$Y$301, MATCH(ROUND(MIN(300,MAX(1,D385)),0), FactorTable!$A$2:$A$301,0), Skills!M30+1)</f>
        <v/>
      </c>
      <c r="F385">
        <f>IF(Skills!N30=TRUE,(Skills!L30/10)*(E385/1000),Skills!L30/10)+Skills!O30</f>
        <v/>
      </c>
      <c r="G385">
        <f>Skills!G30*IF(Skills!H30&gt;0,Skills!I30/Skills!H30,1)</f>
        <v/>
      </c>
      <c r="H385">
        <f>1-(1-Skills!J30/100)^Skills!K30</f>
        <v/>
      </c>
      <c r="I385" t="inlineStr">
        <is>
          <t>1</t>
        </is>
      </c>
      <c r="J385" t="inlineStr"/>
      <c r="K385" t="inlineStr"/>
      <c r="L385" t="inlineStr"/>
      <c r="M385" t="inlineStr"/>
      <c r="N385" t="inlineStr"/>
      <c r="O385">
        <f>(1-Summary!$B$55)*T385+Summary!$B$55*V385</f>
        <v/>
      </c>
      <c r="P385">
        <f>IF(B398=0,0,O385/B398)</f>
        <v/>
      </c>
      <c r="Q385" t="n">
        <v>0</v>
      </c>
      <c r="R385" t="n">
        <v>0</v>
      </c>
      <c r="S385">
        <f>IFERROR(O385/N385,0)</f>
        <v/>
      </c>
      <c r="T385" t="n">
        <v>0</v>
      </c>
      <c r="V385" t="n">
        <v>0</v>
      </c>
    </row>
    <row r="387">
      <c r="A387" t="inlineStr">
        <is>
          <t>Attack% Bucket Multiplier</t>
        </is>
      </c>
      <c r="B387">
        <f>(1+(((C368=TRUE)*F368)+((C369=TRUE)*IF(Inputs!$B$38="pvp",F369,(1-Summary!$B$55)*(F369)+Summary!$B$55*(0)))+((C370=TRUE)*F370*IF(AND(Inputs!$B$38&lt;&gt;"pvp",Inputs!$B$43&gt;0),(((R370-1)*(Skills!T15*(1+Inputs!$B$34/100))+MIN((Skills!T15*(1+Inputs!$B$34/100)),MAX(0,Inputs!$B$43-((R370-1)*Skills!D15))))/Inputs!$B$43),IF(Inputs!$B$38="pvp",MIN((Skills!T15*(1+Inputs!$B$34/100)),15)/15,(Skills!T15*(1+Inputs!$B$34/100))/Skills!D15)))+((C385=TRUE)*(F385-Calc!F30)))/100)</f>
        <v/>
      </c>
    </row>
    <row r="388">
      <c r="A388" t="inlineStr">
        <is>
          <t>Global Crit Rate Bonus %</t>
        </is>
      </c>
      <c r="B388">
        <f>(C371=TRUE)*20*IF(AND(Inputs!$B$38&lt;&gt;"pvp",Inputs!$B$43&gt;0),(((R371-1)*(Skills!T16*(1+Inputs!$B$34/100))+MIN((Skills!T16*(1+Inputs!$B$34/100)),MAX(0,Inputs!$B$43-((R371-1)*Skills!D16))))/Inputs!$B$43),IF(Inputs!$B$38="pvp",MIN((Skills!T16*(1+Inputs!$B$34/100)),15)/15,(Skills!T16*(1+Inputs!$B$34/100))/Skills!D16))</f>
        <v/>
      </c>
    </row>
    <row r="389">
      <c r="A389" t="inlineStr">
        <is>
          <t>Attack Speed Buff Bonus %</t>
        </is>
      </c>
      <c r="B389">
        <f>((C374=TRUE)*F374*IF(AND(Inputs!$B$38&lt;&gt;"pvp",Inputs!$B$43&gt;0),(((R374-1)*(Skills!T19*(1+Inputs!$B$34/100))+MIN((Skills!T19*(1+Inputs!$B$34/100)),MAX(0,Inputs!$B$43-((R374-1)*Skills!D19))))/Inputs!$B$43),IF(Inputs!$B$38="pvp",MIN((Skills!T19*(1+Inputs!$B$34/100)),15)/15,(Skills!T19*(1+Inputs!$B$34/100))/Skills!D19)))</f>
        <v/>
      </c>
    </row>
    <row r="390">
      <c r="A390" t="inlineStr">
        <is>
          <t>Actions Per Second</t>
        </is>
      </c>
      <c r="B390">
        <f>1+MIN(150,150*(1-(1-(Inputs!$B$11+((C376=TRUE)*(F376-Calc!F21))+((C377=TRUE)*(F377-Calc!F22)))/150)*(1-B389/150)))/100</f>
        <v/>
      </c>
    </row>
    <row r="391">
      <c r="A391" t="inlineStr">
        <is>
          <t>Skill + Buff Cast Rate</t>
        </is>
      </c>
      <c r="B391">
        <f>IF(AND(Inputs!$B$38&lt;&gt;"pvp",Inputs!$B$43&gt;0),SUMPRODUCT((Skills!E2:E30=TRUE)*(C357:C385=TRUE)*R357:R385*Skills!F2:F30)/Inputs!$B$43,SUMPRODUCT((Skills!E2:E30=TRUE)*(C357:C385=TRUE)*Q357:Q385*Skills!F2:F30))</f>
        <v/>
      </c>
    </row>
    <row r="392">
      <c r="A392" t="inlineStr">
        <is>
          <t>Arrow Stream Casts Per Second</t>
        </is>
      </c>
      <c r="B392">
        <f>MAX(0,B390-B391)</f>
        <v/>
      </c>
    </row>
    <row r="393">
      <c r="A393" t="inlineStr">
        <is>
          <t>Global Critical Damage Bonus % (Sharp Eyes + Concentration)</t>
        </is>
      </c>
      <c r="B393">
        <f>(C371=TRUE)*F371*IF(AND(Inputs!$B$38&lt;&gt;"pvp",Inputs!$B$43&gt;0),(((R371-1)*(Skills!T16*(1+Inputs!$B$34/100))+MIN((Skills!T16*(1+Inputs!$B$34/100)),MAX(0,Inputs!$B$43-((R371-1)*Skills!D16))))/Inputs!$B$43),IF(Inputs!$B$38="pvp",MIN((Skills!T16*(1+Inputs!$B$34/100)),15)/15,(Skills!T16*(1+Inputs!$B$34/100))/Skills!D16))+(C372=TRUE)*30</f>
        <v/>
      </c>
    </row>
    <row r="394">
      <c r="A394" t="inlineStr">
        <is>
          <t>Global Final Damage Bonus % (Mortal Blow)</t>
        </is>
      </c>
      <c r="B394">
        <f>(C373=TRUE)*F373</f>
        <v/>
      </c>
    </row>
    <row r="395">
      <c r="A395" t="inlineStr">
        <is>
          <t>Buff-Casting Startup Delay (s, fixed-duration only)</t>
        </is>
      </c>
      <c r="B395">
        <f>IF(AND(Inputs!$B$38&lt;&gt;"pvp",Inputs!$B$43&gt;0),SUMPRODUCT((Skills!T2:T30&gt;0)*(Skills!E2:E30=TRUE)*(C357:C385=TRUE))/B390,0)</f>
        <v/>
      </c>
    </row>
    <row r="396">
      <c r="A396" t="inlineStr">
        <is>
          <t>Boss-Only Total DPS (this block's swept value)</t>
        </is>
      </c>
      <c r="B396">
        <f>SUM(T357:T385)</f>
        <v/>
      </c>
    </row>
    <row r="397">
      <c r="A397" t="inlineStr">
        <is>
          <t>Normal-Only Total DPS (this block's swept value)</t>
        </is>
      </c>
      <c r="B397">
        <f>SUM(V357:V385)</f>
        <v/>
      </c>
    </row>
    <row r="398">
      <c r="A398" s="5" t="inlineStr">
        <is>
          <t>TOTAL DPS</t>
        </is>
      </c>
      <c r="B398" s="5">
        <f>SUM(O357:O385)</f>
        <v/>
      </c>
    </row>
    <row r="401">
      <c r="A401" s="5" t="inlineStr">
        <is>
          <t>Stat: MIN_DAMAGE %</t>
        </is>
      </c>
    </row>
    <row r="402">
      <c r="A402" s="9" t="inlineStr">
        <is>
          <t>Key</t>
        </is>
      </c>
      <c r="B402" s="9" t="inlineStr">
        <is>
          <t>Name</t>
        </is>
      </c>
      <c r="C402" s="9" t="inlineStr">
        <is>
          <t>Unlocked</t>
        </is>
      </c>
      <c r="D402" s="9" t="inlineStr">
        <is>
          <t>InputLevel</t>
        </is>
      </c>
      <c r="E402" s="9" t="inlineStr">
        <is>
          <t>Factor</t>
        </is>
      </c>
      <c r="F402" s="9" t="inlineStr">
        <is>
          <t>CoefficientPercent</t>
        </is>
      </c>
      <c r="G402" s="9" t="inlineStr">
        <is>
          <t>EffectiveHits</t>
        </is>
      </c>
      <c r="H402" s="9" t="inlineStr">
        <is>
          <t>ProcProbability</t>
        </is>
      </c>
      <c r="I402" s="9" t="inlineStr">
        <is>
          <t>MapleHeroMultiplier</t>
        </is>
      </c>
      <c r="J402" s="9" t="inlineStr">
        <is>
          <t>BaseDamage</t>
        </is>
      </c>
      <c r="K402" s="9" t="inlineStr">
        <is>
          <t>BaseHitDamage</t>
        </is>
      </c>
      <c r="L402" s="9" t="inlineStr">
        <is>
          <t>NonCritAvg</t>
        </is>
      </c>
      <c r="M402" s="9" t="inlineStr">
        <is>
          <t>CritAvg</t>
        </is>
      </c>
      <c r="N402" s="9" t="inlineStr">
        <is>
          <t>ExpectedDamage(perHit)</t>
        </is>
      </c>
      <c r="O402" s="9" t="inlineStr">
        <is>
          <t>DPS</t>
        </is>
      </c>
      <c r="P402" s="9" t="inlineStr">
        <is>
          <t>% of Total</t>
        </is>
      </c>
      <c r="Q402" s="9" t="inlineStr">
        <is>
          <t>InvCooldown</t>
        </is>
      </c>
      <c r="R402" s="9" t="inlineStr">
        <is>
          <t>CastsInFight</t>
        </is>
      </c>
      <c r="S402" s="9" t="inlineStr">
        <is>
          <t>HitRate(perSec)</t>
        </is>
      </c>
      <c r="U402" t="inlineStr">
        <is>
          <t>helpers</t>
        </is>
      </c>
    </row>
    <row r="403">
      <c r="A403">
        <f>Skills!A2</f>
        <v/>
      </c>
      <c r="B403">
        <f>Skills!B2</f>
        <v/>
      </c>
      <c r="C403">
        <f>Inputs!$B$3&gt;=100</f>
        <v/>
      </c>
      <c r="D403" t="inlineStr"/>
      <c r="E403" t="inlineStr"/>
      <c r="F403">
        <f>U405+Skills!O2</f>
        <v/>
      </c>
      <c r="G403">
        <f>Skills!G2*IF(Skills!H2&gt;0,Skills!I2/Skills!H2,1)</f>
        <v/>
      </c>
      <c r="H403">
        <f>1-(1-Skills!J2/100)^Skills!K2</f>
        <v/>
      </c>
      <c r="I403" t="inlineStr">
        <is>
          <t>1</t>
        </is>
      </c>
      <c r="J403">
        <f>((Inputs!$B$6*(1+Inputs!$B$7/100))+(((Inputs!$B$12*(1+Inputs!$B$13/100))-(Inputs!$B$12*(1+Inputs!$B$13/100)))+0.25*(Inputs!$B$14-Inputs!$B$14))*(1+Inputs!$B$7/100))*(F403/100)</f>
        <v/>
      </c>
      <c r="K403">
        <f>J403*(1+((Inputs!$B$12*(1+Inputs!$B$13/100))*0.01+Inputs!$B$14*0.0025)/100)*(1+Inputs!$B$15/100)*(1+Inputs!$B$16/100)*(5000/(6000+Inputs!$B$42*(1-(Inputs!$B$19+((C428=TRUE)*(F428-Calc!F27)))/100)))*(1+(Inputs!$B$24+((C426=TRUE)*(F426-Calc!F25))+((C427=TRUE)*(F427-Calc!F26))+B440)/100)*(1+(IF(Skills!A2="ARROW_STREAM",Inputs!$B$17+((C424=TRUE)*(F424-Calc!F23)),Inputs!$B$18+((C429=TRUE)*(F429-Calc!F28))))/100)*((1+(((C414=TRUE)*F414)+((C415=TRUE)*IF(Inputs!$B$38="pvp",F415,(1-Summary!$B$55)*(F415)+Summary!$B$55*(0)))+((C416=TRUE)*F416*IF(AND(Inputs!$B$38&lt;&gt;"pvp",Inputs!$B$43&gt;0),(((R416-1)*(Skills!T15*(1+Inputs!$B$34/100))+MIN((Skills!T15*(1+Inputs!$B$34/100)),MAX(0,Inputs!$B$43-((R416-1)*Skills!D15))))/Inputs!$B$43),IF(Inputs!$B$38="pvp",MIN((Skills!T15*(1+Inputs!$B$34/100)),15)/15,(Skills!T15*(1+Inputs!$B$34/100))/Skills!D15)))+((C431=TRUE)*(F431-Calc!F30)))/100)*I403)</f>
        <v/>
      </c>
      <c r="L403">
        <f>K403*(MIN((Inputs!$B$22+1)+((C425=TRUE)*(F425-Calc!F24)),Inputs!$B$23+((C430=TRUE)*(F430-Calc!F29)))/100+(Inputs!$B$23+((C430=TRUE)*(F430-Calc!F29)))/100)/2</f>
        <v/>
      </c>
      <c r="M403">
        <f>L403*(1+(Inputs!$B$10+0+B439)/100)</f>
        <v/>
      </c>
      <c r="N403">
        <f>L403*(1-MIN((Inputs!$B$9+((C421=TRUE)*(F421-Calc!F20))+B434),100)/100)+M403*(MIN((Inputs!$B$9+((C421=TRUE)*(F421-Calc!F20))+B434),100)/100)</f>
        <v/>
      </c>
      <c r="O403">
        <f>(1-Summary!$B$55)*T403+Summary!$B$55*V403</f>
        <v/>
      </c>
      <c r="P403">
        <f>IF(B444=0,0,O403/B444)</f>
        <v/>
      </c>
      <c r="Q403" t="n">
        <v>0</v>
      </c>
      <c r="R403" t="n">
        <v>0</v>
      </c>
      <c r="S403">
        <f>IFERROR(O403/N403,0)</f>
        <v/>
      </c>
      <c r="T403">
        <f>IF(C403,(Skills!G2*N403*B438)*IF(Inputs!$B$38="pvp",1,1+(Inputs!$B$20+0+Skills!P2)/100),0)</f>
        <v/>
      </c>
      <c r="U403">
        <f>MAX(0,(Inputs!$B$3-100)*3)+Inputs!$B$28+Inputs!$B$29</f>
        <v/>
      </c>
      <c r="V403">
        <f>IF(C403,(Skills!G2*N403*B438)*IF(Inputs!$B$38="pvp",1,(1+(Inputs!$B$21+Skills!Q2)/100)*(MIN((6+Inputs!$B$33),Inputs!$B$37))),0)</f>
        <v/>
      </c>
    </row>
    <row r="404">
      <c r="A404">
        <f>Skills!A3</f>
        <v/>
      </c>
      <c r="B404">
        <f>Skills!B3</f>
        <v/>
      </c>
      <c r="C404">
        <f>Inputs!$B$3&gt;=50</f>
        <v/>
      </c>
      <c r="D404">
        <f>IF(Skills!C3=1,60+Inputs!$B$25+Inputs!$B$29,IF(Skills!C3=2,90+Inputs!$B$26+Inputs!$B$29,IF(Skills!C3=3,120+Inputs!$B$27+Inputs!$B$29,MAX(0,(Inputs!$B$3-100)*3)+Inputs!$B$28+Inputs!$B$29)))</f>
        <v/>
      </c>
      <c r="E404">
        <f>INDEX(FactorTable!$B$2:$Y$301, MATCH(ROUND(MIN(300,MAX(1,D404)),0), FactorTable!$A$2:$A$301,0), Skills!M3+1)</f>
        <v/>
      </c>
      <c r="F404">
        <f>IF(Skills!N3=TRUE,(Skills!L3/10)*(E404/1000),Skills!L3/10)+Skills!O3</f>
        <v/>
      </c>
      <c r="G404" t="inlineStr"/>
      <c r="H404" t="inlineStr"/>
      <c r="I404" t="inlineStr">
        <is>
          <t>1</t>
        </is>
      </c>
      <c r="J404" t="inlineStr"/>
      <c r="K404" t="inlineStr"/>
      <c r="L404" t="inlineStr"/>
      <c r="M404" t="inlineStr"/>
      <c r="N404" t="inlineStr"/>
      <c r="O404" t="inlineStr"/>
      <c r="P404" t="inlineStr"/>
      <c r="Q404" t="inlineStr"/>
      <c r="R404" t="inlineStr"/>
      <c r="S404" t="inlineStr"/>
      <c r="T404" t="inlineStr"/>
      <c r="U404">
        <f>INDEX(FactorTable!$B$2:$Y$301, MATCH(ROUND(MIN(300,MAX(1,U403)),0), FactorTable!$A$2:$A$301,0), 22)</f>
        <v/>
      </c>
      <c r="V404" t="inlineStr"/>
    </row>
    <row r="405">
      <c r="A405">
        <f>Skills!A4</f>
        <v/>
      </c>
      <c r="B405">
        <f>Skills!B4</f>
        <v/>
      </c>
      <c r="C405">
        <f>Inputs!$B$3&gt;=105</f>
        <v/>
      </c>
      <c r="D405">
        <f>IF(Skills!C4=1,60+Inputs!$B$25+Inputs!$B$29,IF(Skills!C4=2,90+Inputs!$B$26+Inputs!$B$29,IF(Skills!C4=3,120+Inputs!$B$27+Inputs!$B$29,MAX(0,(Inputs!$B$3-100)*3)+Inputs!$B$28+Inputs!$B$29)))</f>
        <v/>
      </c>
      <c r="E405">
        <f>INDEX(FactorTable!$B$2:$Y$301, MATCH(ROUND(MIN(300,MAX(1,D405)),0), FactorTable!$A$2:$A$301,0), Skills!M4+1)</f>
        <v/>
      </c>
      <c r="F405">
        <f>IF(Skills!N4=TRUE,(Skills!L4/10)*(E405/1000),Skills!L4/10)+Skills!O4</f>
        <v/>
      </c>
      <c r="G405" t="inlineStr"/>
      <c r="H405" t="inlineStr"/>
      <c r="I405" t="inlineStr">
        <is>
          <t>1</t>
        </is>
      </c>
      <c r="J405" t="inlineStr"/>
      <c r="K405" t="inlineStr"/>
      <c r="L405" t="inlineStr"/>
      <c r="M405" t="inlineStr"/>
      <c r="N405" t="inlineStr"/>
      <c r="O405" t="inlineStr"/>
      <c r="P405" t="inlineStr"/>
      <c r="Q405" t="inlineStr"/>
      <c r="R405" t="inlineStr"/>
      <c r="S405" t="inlineStr"/>
      <c r="T405" t="inlineStr"/>
      <c r="U405">
        <f>290*U404/1000</f>
        <v/>
      </c>
      <c r="V405" t="inlineStr"/>
    </row>
    <row r="406">
      <c r="A406">
        <f>Skills!A5</f>
        <v/>
      </c>
      <c r="B406">
        <f>Skills!B5</f>
        <v/>
      </c>
      <c r="C406">
        <f>Inputs!$B$3&gt;=35</f>
        <v/>
      </c>
      <c r="D406">
        <f>IF(Skills!C5=1,60+Inputs!$B$25+Inputs!$B$29,IF(Skills!C5=2,90+Inputs!$B$26+Inputs!$B$29,IF(Skills!C5=3,120+Inputs!$B$27+Inputs!$B$29,MAX(0,(Inputs!$B$3-100)*3)+Inputs!$B$28+Inputs!$B$29)))</f>
        <v/>
      </c>
      <c r="E406">
        <f>INDEX(FactorTable!$B$2:$Y$301, MATCH(ROUND(MIN(300,MAX(1,D406)),0), FactorTable!$A$2:$A$301,0), Skills!M5+1)</f>
        <v/>
      </c>
      <c r="F406">
        <f>IF(Skills!N5=TRUE,(Skills!L5/10)*(E406/1000),Skills!L5/10)+Skills!O5</f>
        <v/>
      </c>
      <c r="G406">
        <f>Skills!G5*IF(Skills!H5&gt;0,Skills!I5/Skills!H5,1)</f>
        <v/>
      </c>
      <c r="H406">
        <f>1-(1-Skills!J5/100)^Skills!K5</f>
        <v/>
      </c>
      <c r="I406" t="inlineStr">
        <is>
          <t>1</t>
        </is>
      </c>
      <c r="J406">
        <f>((Inputs!$B$6*(1+Inputs!$B$7/100))+(((Inputs!$B$12*(1+Inputs!$B$13/100))-(Inputs!$B$12*(1+Inputs!$B$13/100)))+0.25*(Inputs!$B$14-Inputs!$B$14))*(1+Inputs!$B$7/100))*(F406/100)</f>
        <v/>
      </c>
      <c r="K406">
        <f>J406*(1+((Inputs!$B$12*(1+Inputs!$B$13/100))*0.01+Inputs!$B$14*0.0025)/100)*(1+Inputs!$B$15/100)*(1+Inputs!$B$16/100)*(5000/(6000+Inputs!$B$42*(1-(Inputs!$B$19+((C428=TRUE)*(F428-Calc!F27)))/100)))*(1+(Inputs!$B$24+((C426=TRUE)*(F426-Calc!F25))+((C427=TRUE)*(F427-Calc!F26))+B440)/100)*(1+4.0*IF(C411=TRUE,F411,0)/100)*(1+(IF(Skills!A5="ARROW_STREAM",Inputs!$B$17+((C424=TRUE)*(F424-Calc!F23)),Inputs!$B$18+((C429=TRUE)*(F429-Calc!F28))))/100)*((1+(((C414=TRUE)*F414)+((C415=TRUE)*IF(Inputs!$B$38="pvp",F415,(1-Summary!$B$55)*(F415)+Summary!$B$55*(0)))+((C416=TRUE)*F416*IF(AND(Inputs!$B$38&lt;&gt;"pvp",Inputs!$B$43&gt;0),(((R416-1)*(Skills!T15*(1+Inputs!$B$34/100))+MIN((Skills!T15*(1+Inputs!$B$34/100)),MAX(0,Inputs!$B$43-((R416-1)*Skills!D15))))/Inputs!$B$43),IF(Inputs!$B$38="pvp",MIN((Skills!T15*(1+Inputs!$B$34/100)),15)/15,(Skills!T15*(1+Inputs!$B$34/100))/Skills!D15)))+((C431=TRUE)*(F431-Calc!F30)))/100)*I406)</f>
        <v/>
      </c>
      <c r="L406">
        <f>K406*(MIN((Inputs!$B$22+1)+((C425=TRUE)*(F425-Calc!F24)),Inputs!$B$23+((C430=TRUE)*(F430-Calc!F29)))/100+(Inputs!$B$23+((C430=TRUE)*(F430-Calc!F29)))/100)/2</f>
        <v/>
      </c>
      <c r="M406">
        <f>L406*(1+(Inputs!$B$10+0+B439)/100)</f>
        <v/>
      </c>
      <c r="N406">
        <f>L406*(1-MIN((Inputs!$B$9+((C421=TRUE)*(F421-Calc!F20))+B434),100)/100)+M406*(MIN((Inputs!$B$9+((C421=TRUE)*(F421-Calc!F20))+B434),100)/100)</f>
        <v/>
      </c>
      <c r="O406">
        <f>(1-Summary!$B$55)*T406+Summary!$B$55*V406</f>
        <v/>
      </c>
      <c r="P406">
        <f>IF(B444=0,0,O406/B444)</f>
        <v/>
      </c>
      <c r="Q406">
        <f>IFERROR(1/IF(Inputs!$B$38="pvp",15,MAX(0.1,Skills!D5-IF(Skills!E5=TRUE,Inputs!$B$32,0))),0)</f>
        <v/>
      </c>
      <c r="R406">
        <f>IF(AND(Inputs!$B$38&lt;&gt;"pvp",Inputs!$B$43&gt;0),IF(MAX(0,Inputs!$B$43-B441)&lt;=0,0,(INT(MAX(0,Inputs!$B$43-B441)/IF(Inputs!$B$38="pvp",15,MAX(0.1,Skills!D5-IF(Skills!E5=TRUE,Inputs!$B$32,0))))+1)),0)</f>
        <v/>
      </c>
      <c r="S406">
        <f>IFERROR(O406/N406,0)</f>
        <v/>
      </c>
      <c r="T406">
        <f>IF(C406,(H406*N406*IF(AND(Inputs!$B$38&lt;&gt;"pvp",Inputs!$B$43&gt;0),((Skills!G5*((R406-1)*IF(Skills!H5&gt;0,Skills!I5/Skills!H5,1)+IF(Skills!H5&gt;0,MIN(Skills!I5,MAX(0,MAX(0,Inputs!$B$43-B441)-((R406-1)*IF(Inputs!$B$38="pvp",15,MAX(0.1,Skills!D5-IF(Skills!E5=TRUE,Inputs!$B$32,0))))))/Skills!H5,1)))/Inputs!$B$43),G406*Q406))*IF(Inputs!$B$38="pvp",1,1+(Inputs!$B$20+0+Skills!P5)/100),0)</f>
        <v/>
      </c>
      <c r="V406">
        <f>IF(C406,(H406*N406*IF(AND(Inputs!$B$38&lt;&gt;"pvp",Inputs!$B$43&gt;0),((Skills!G5*((R406-1)*IF(Skills!H5&gt;0,Skills!I5/Skills!H5,1)+IF(Skills!H5&gt;0,MIN(Skills!I5,MAX(0,MAX(0,Inputs!$B$43-B441)-((R406-1)*IF(Inputs!$B$38="pvp",15,MAX(0.1,Skills!D5-IF(Skills!E5=TRUE,Inputs!$B$32,0))))))/Skills!H5,1)))/Inputs!$B$43),G406*Q406))*IF(Inputs!$B$38="pvp",1,(1+(Inputs!$B$21+Skills!Q5)/100)*(MIN(Skills!R5,Inputs!$B$37))),0)</f>
        <v/>
      </c>
    </row>
    <row r="407">
      <c r="A407">
        <f>Skills!A6</f>
        <v/>
      </c>
      <c r="B407">
        <f>Skills!B6</f>
        <v/>
      </c>
      <c r="C407">
        <f>Inputs!$B$3&gt;=40</f>
        <v/>
      </c>
      <c r="D407">
        <f>IF(Skills!C6=1,60+Inputs!$B$25+Inputs!$B$29,IF(Skills!C6=2,90+Inputs!$B$26+Inputs!$B$29,IF(Skills!C6=3,120+Inputs!$B$27+Inputs!$B$29,MAX(0,(Inputs!$B$3-100)*3)+Inputs!$B$28+Inputs!$B$29)))</f>
        <v/>
      </c>
      <c r="E407">
        <f>INDEX(FactorTable!$B$2:$Y$301, MATCH(ROUND(MIN(300,MAX(1,D407)),0), FactorTable!$A$2:$A$301,0), Skills!M6+1)</f>
        <v/>
      </c>
      <c r="F407">
        <f>IF(Skills!N6=TRUE,(Skills!L6/10)*(E407/1000),Skills!L6/10)+Skills!O6</f>
        <v/>
      </c>
      <c r="G407">
        <f>Skills!G6*IF(Skills!H6&gt;0,Skills!I6/Skills!H6,1)</f>
        <v/>
      </c>
      <c r="H407">
        <f>1-(1-Skills!J6/100)^Skills!K6</f>
        <v/>
      </c>
      <c r="I407" t="inlineStr">
        <is>
          <t>1</t>
        </is>
      </c>
      <c r="J407">
        <f>((Inputs!$B$6*(1+Inputs!$B$7/100))+(((Inputs!$B$12*(1+Inputs!$B$13/100))-(Inputs!$B$12*(1+Inputs!$B$13/100)))+0.25*(Inputs!$B$14-Inputs!$B$14))*(1+Inputs!$B$7/100))*(F407/100)</f>
        <v/>
      </c>
      <c r="K407">
        <f>J407*(1+((Inputs!$B$12*(1+Inputs!$B$13/100))*0.01+Inputs!$B$14*0.0025)/100)*(1+Inputs!$B$15/100)*(1+Inputs!$B$16/100)*(5000/(6000+Inputs!$B$42*(1-(Inputs!$B$19+((C428=TRUE)*(F428-Calc!F27)))/100)))*(1+(Inputs!$B$24+((C426=TRUE)*(F426-Calc!F25))+((C427=TRUE)*(F427-Calc!F26))+B440)/100)*(1+IF(C408=TRUE,F408,0)/100)*(1+(IF(Skills!A6="ARROW_STREAM",Inputs!$B$17+((C424=TRUE)*(F424-Calc!F23)),Inputs!$B$18+((C429=TRUE)*(F429-Calc!F28))))/100)*((1+(((C414=TRUE)*F414)+((C415=TRUE)*IF(Inputs!$B$38="pvp",F415,(1-Summary!$B$55)*(F415)+Summary!$B$55*(0)))+((C416=TRUE)*F416*IF(AND(Inputs!$B$38&lt;&gt;"pvp",Inputs!$B$43&gt;0),(((R416-1)*(Skills!T15*(1+Inputs!$B$34/100))+MIN((Skills!T15*(1+Inputs!$B$34/100)),MAX(0,Inputs!$B$43-((R416-1)*Skills!D15))))/Inputs!$B$43),IF(Inputs!$B$38="pvp",MIN((Skills!T15*(1+Inputs!$B$34/100)),15)/15,(Skills!T15*(1+Inputs!$B$34/100))/Skills!D15)))+((C431=TRUE)*(F431-Calc!F30)))/100)*I407)</f>
        <v/>
      </c>
      <c r="L407">
        <f>K407*(MIN((Inputs!$B$22+1)+((C425=TRUE)*(F425-Calc!F24)),Inputs!$B$23+((C430=TRUE)*(F430-Calc!F29)))/100+(Inputs!$B$23+((C430=TRUE)*(F430-Calc!F29)))/100)/2</f>
        <v/>
      </c>
      <c r="M407">
        <f>L407*(1+(Inputs!$B$10+0+B439)/100)</f>
        <v/>
      </c>
      <c r="N407">
        <f>L407*(1-MIN((Inputs!$B$9+((C421=TRUE)*(F421-Calc!F20))+B434),100)/100)+M407*(MIN((Inputs!$B$9+((C421=TRUE)*(F421-Calc!F20))+B434),100)/100)</f>
        <v/>
      </c>
      <c r="O407">
        <f>(1-Summary!$B$55)*T407+Summary!$B$55*V407</f>
        <v/>
      </c>
      <c r="P407">
        <f>IF(B444=0,0,O407/B444)</f>
        <v/>
      </c>
      <c r="Q407">
        <f>IFERROR(1/IF(Inputs!$B$38="pvp",15,MAX(0.1,Skills!D6-IF(Skills!E6=TRUE,Inputs!$B$32,0))),0)</f>
        <v/>
      </c>
      <c r="R407">
        <f>IF(AND(Inputs!$B$38&lt;&gt;"pvp",Inputs!$B$43&gt;0),IF(MAX(0,Inputs!$B$43-B441)&lt;=0,0,(INT(MAX(0,Inputs!$B$43-B441)/IF(Inputs!$B$38="pvp",15,MAX(0.1,Skills!D6-IF(Skills!E6=TRUE,Inputs!$B$32,0))))+1)),0)</f>
        <v/>
      </c>
      <c r="S407">
        <f>IFERROR(O407/N407,0)</f>
        <v/>
      </c>
      <c r="T407">
        <f>IF(C407,(H407*N407*IF(AND(Inputs!$B$38&lt;&gt;"pvp",Inputs!$B$43&gt;0),((Skills!G6*((R407-1)*IF(Skills!H6&gt;0,Skills!I6/Skills!H6,1)+IF(Skills!H6&gt;0,MIN(Skills!I6,MAX(0,MAX(0,Inputs!$B$43-B441)-((R407-1)*IF(Inputs!$B$38="pvp",15,MAX(0.1,Skills!D6-IF(Skills!E6=TRUE,Inputs!$B$32,0))))))/Skills!H6,1)))/Inputs!$B$43),G407*Q407))*IF(Inputs!$B$38="pvp",1,1+(Inputs!$B$20+0+Skills!P6)/100),0)</f>
        <v/>
      </c>
      <c r="V407">
        <f>IF(C407,(H407*N407*IF(AND(Inputs!$B$38&lt;&gt;"pvp",Inputs!$B$43&gt;0),((Skills!G6*((R407-1)*IF(Skills!H6&gt;0,Skills!I6/Skills!H6,1)+IF(Skills!H6&gt;0,MIN(Skills!I6,MAX(0,MAX(0,Inputs!$B$43-B441)-((R407-1)*IF(Inputs!$B$38="pvp",15,MAX(0.1,Skills!D6-IF(Skills!E6=TRUE,Inputs!$B$32,0))))))/Skills!H6,1)))/Inputs!$B$43),G407*Q407))*IF(Inputs!$B$38="pvp",1,(1+(Inputs!$B$21+Skills!Q6)/100)*(MIN(Skills!R6,Inputs!$B$37))),0)</f>
        <v/>
      </c>
    </row>
    <row r="408">
      <c r="A408">
        <f>Skills!A7</f>
        <v/>
      </c>
      <c r="B408">
        <f>Skills!B7</f>
        <v/>
      </c>
      <c r="C408">
        <f>Inputs!$B$3&gt;=107</f>
        <v/>
      </c>
      <c r="D408">
        <f>IF(Skills!C7=1,60+Inputs!$B$25+Inputs!$B$29,IF(Skills!C7=2,90+Inputs!$B$26+Inputs!$B$29,IF(Skills!C7=3,120+Inputs!$B$27+Inputs!$B$29,MAX(0,(Inputs!$B$3-100)*3)+Inputs!$B$28+Inputs!$B$29)))</f>
        <v/>
      </c>
      <c r="E408">
        <f>INDEX(FactorTable!$B$2:$Y$301, MATCH(ROUND(MIN(300,MAX(1,D408)),0), FactorTable!$A$2:$A$301,0), Skills!M7+1)</f>
        <v/>
      </c>
      <c r="F408">
        <f>IF(Skills!N7=TRUE,(Skills!L7/10)*(E408/1000),Skills!L7/10)+Skills!O7</f>
        <v/>
      </c>
      <c r="G408" t="inlineStr"/>
      <c r="H408" t="inlineStr"/>
      <c r="I408" t="inlineStr">
        <is>
          <t>1</t>
        </is>
      </c>
      <c r="J408" t="inlineStr"/>
      <c r="K408" t="inlineStr"/>
      <c r="L408" t="inlineStr"/>
      <c r="M408" t="inlineStr"/>
      <c r="N408" t="inlineStr"/>
      <c r="O408" t="inlineStr"/>
      <c r="P408" t="inlineStr"/>
      <c r="Q408" t="inlineStr"/>
      <c r="R408" t="inlineStr"/>
      <c r="S408" t="inlineStr"/>
      <c r="T408" t="inlineStr"/>
      <c r="V408" t="inlineStr"/>
    </row>
    <row r="409">
      <c r="A409">
        <f>Skills!A8</f>
        <v/>
      </c>
      <c r="B409">
        <f>Skills!B8</f>
        <v/>
      </c>
      <c r="C409">
        <f>Inputs!$B$3&gt;=69</f>
        <v/>
      </c>
      <c r="D409">
        <f>IF(Skills!C8=1,60+Inputs!$B$25+Inputs!$B$29,IF(Skills!C8=2,90+Inputs!$B$26+Inputs!$B$29,IF(Skills!C8=3,120+Inputs!$B$27+Inputs!$B$29,MAX(0,(Inputs!$B$3-100)*3)+Inputs!$B$28+Inputs!$B$29)))</f>
        <v/>
      </c>
      <c r="E409">
        <f>INDEX(FactorTable!$B$2:$Y$301, MATCH(ROUND(MIN(300,MAX(1,D409)),0), FactorTable!$A$2:$A$301,0), Skills!M8+1)</f>
        <v/>
      </c>
      <c r="F409">
        <f>IF(Skills!N8=TRUE,(Skills!L8/10)*(E409/1000),Skills!L8/10)+Skills!O8</f>
        <v/>
      </c>
      <c r="G409">
        <f>Skills!G8*IF(Skills!H8&gt;0,Skills!I8/Skills!H8,1)</f>
        <v/>
      </c>
      <c r="H409">
        <f>1-(1-Skills!J8/100)^Skills!K8</f>
        <v/>
      </c>
      <c r="I409" t="inlineStr">
        <is>
          <t>1</t>
        </is>
      </c>
      <c r="J409">
        <f>((Inputs!$B$6*(1+Inputs!$B$7/100))+(((Inputs!$B$12*(1+Inputs!$B$13/100))-(Inputs!$B$12*(1+Inputs!$B$13/100)))+0.25*(Inputs!$B$14-Inputs!$B$14))*(1+Inputs!$B$7/100))*(F409/100)</f>
        <v/>
      </c>
      <c r="K409">
        <f>J409*(1+((Inputs!$B$12*(1+Inputs!$B$13/100))*0.01+Inputs!$B$14*0.0025)/100)*(1+Inputs!$B$15/100)*(1+Inputs!$B$16/100)*(5000/(6000+Inputs!$B$42*(1-(Inputs!$B$19+((C428=TRUE)*(F428-Calc!F27)))/100)))*(1+(Inputs!$B$24+((C426=TRUE)*(F426-Calc!F25))+((C427=TRUE)*(F427-Calc!F26))+B440)/100)*(1+1.2*IF(C411=TRUE,F411,0)/100)*(1+(IF(Skills!A8="ARROW_STREAM",Inputs!$B$17+((C424=TRUE)*(F424-Calc!F23)),Inputs!$B$18+((C429=TRUE)*(F429-Calc!F28))))/100)*((1+(((C414=TRUE)*F414)+((C415=TRUE)*IF(Inputs!$B$38="pvp",F415,(1-Summary!$B$55)*(F415)+Summary!$B$55*(0)))+((C416=TRUE)*F416*IF(AND(Inputs!$B$38&lt;&gt;"pvp",Inputs!$B$43&gt;0),(((R416-1)*(Skills!T15*(1+Inputs!$B$34/100))+MIN((Skills!T15*(1+Inputs!$B$34/100)),MAX(0,Inputs!$B$43-((R416-1)*Skills!D15))))/Inputs!$B$43),IF(Inputs!$B$38="pvp",MIN((Skills!T15*(1+Inputs!$B$34/100)),15)/15,(Skills!T15*(1+Inputs!$B$34/100))/Skills!D15)))+((C431=TRUE)*(F431-Calc!F30)))/100)*I409)</f>
        <v/>
      </c>
      <c r="L409">
        <f>K409*(MIN((Inputs!$B$22+1)+((C425=TRUE)*(F425-Calc!F24)),Inputs!$B$23+((C430=TRUE)*(F430-Calc!F29)))/100+(Inputs!$B$23+((C430=TRUE)*(F430-Calc!F29)))/100)/2</f>
        <v/>
      </c>
      <c r="M409">
        <f>L409*(1+(Inputs!$B$10+0+B439)/100)</f>
        <v/>
      </c>
      <c r="N409">
        <f>L409*(1-MIN((Inputs!$B$9+((C421=TRUE)*(F421-Calc!F20))+B434),100)/100)+M409*(MIN((Inputs!$B$9+((C421=TRUE)*(F421-Calc!F20))+B434),100)/100)</f>
        <v/>
      </c>
      <c r="O409">
        <f>(1-Summary!$B$55)*T409+Summary!$B$55*V409</f>
        <v/>
      </c>
      <c r="P409">
        <f>IF(B444=0,0,O409/B444)</f>
        <v/>
      </c>
      <c r="Q409">
        <f>IFERROR(1/IF(Inputs!$B$38="pvp",15,MAX(0.1,Skills!D8-IF(Skills!E8=TRUE,Inputs!$B$32,0))),0)</f>
        <v/>
      </c>
      <c r="R409">
        <f>IF(AND(Inputs!$B$38&lt;&gt;"pvp",Inputs!$B$43&gt;0),IF(MAX(0,Inputs!$B$43-B441)&lt;=0,0,(INT(MAX(0,Inputs!$B$43-B441)/IF(Inputs!$B$38="pvp",15,MAX(0.1,Skills!D8-IF(Skills!E8=TRUE,Inputs!$B$32,0))))+1)),0)</f>
        <v/>
      </c>
      <c r="S409">
        <f>IFERROR(O409/N409,0)</f>
        <v/>
      </c>
      <c r="T409">
        <f>IF(C409,(H409*N409*IF(AND(Inputs!$B$38&lt;&gt;"pvp",Inputs!$B$43&gt;0),((Skills!G8*((R409-1)*IF(Skills!H8&gt;0,Skills!I8/Skills!H8,1)+IF(Skills!H8&gt;0,MIN(Skills!I8,MAX(0,MAX(0,Inputs!$B$43-B441)-((R409-1)*IF(Inputs!$B$38="pvp",15,MAX(0.1,Skills!D8-IF(Skills!E8=TRUE,Inputs!$B$32,0))))))/Skills!H8,1)))/Inputs!$B$43),G409*Q409))*IF(Inputs!$B$38="pvp",1,1+(Inputs!$B$20+0+Skills!P8)/100),0)</f>
        <v/>
      </c>
      <c r="V409">
        <f>IF(C409,(H409*N409*IF(AND(Inputs!$B$38&lt;&gt;"pvp",Inputs!$B$43&gt;0),((Skills!G8*((R409-1)*IF(Skills!H8&gt;0,Skills!I8/Skills!H8,1)+IF(Skills!H8&gt;0,MIN(Skills!I8,MAX(0,MAX(0,Inputs!$B$43-B441)-((R409-1)*IF(Inputs!$B$38="pvp",15,MAX(0.1,Skills!D8-IF(Skills!E8=TRUE,Inputs!$B$32,0))))))/Skills!H8,1)))/Inputs!$B$43),G409*Q409))*IF(Inputs!$B$38="pvp",1,(1+(Inputs!$B$21+Skills!Q8)/100)*(MIN(Skills!R8,Inputs!$B$37))),0)</f>
        <v/>
      </c>
    </row>
    <row r="410">
      <c r="A410">
        <f>Skills!A9</f>
        <v/>
      </c>
      <c r="B410">
        <f>Skills!B9</f>
        <v/>
      </c>
      <c r="C410">
        <f>Inputs!$B$3&gt;=63</f>
        <v/>
      </c>
      <c r="D410">
        <f>IF(Skills!C9=1,60+Inputs!$B$25+Inputs!$B$29,IF(Skills!C9=2,90+Inputs!$B$26+Inputs!$B$29,IF(Skills!C9=3,120+Inputs!$B$27+Inputs!$B$29,MAX(0,(Inputs!$B$3-100)*3)+Inputs!$B$28+Inputs!$B$29)))</f>
        <v/>
      </c>
      <c r="E410">
        <f>INDEX(FactorTable!$B$2:$Y$301, MATCH(ROUND(MIN(300,MAX(1,D410)),0), FactorTable!$A$2:$A$301,0), Skills!M9+1)</f>
        <v/>
      </c>
      <c r="F410">
        <f>IF(Skills!N9=TRUE,(Skills!L9/10)*(E410/1000),Skills!L9/10)+Skills!O9</f>
        <v/>
      </c>
      <c r="G410">
        <f>Skills!G9*IF(Skills!H9&gt;0,Skills!I9/Skills!H9,1)</f>
        <v/>
      </c>
      <c r="H410">
        <f>1-(1-Skills!J9/100)^Skills!K9</f>
        <v/>
      </c>
      <c r="I410" t="inlineStr">
        <is>
          <t>1</t>
        </is>
      </c>
      <c r="J410">
        <f>((Inputs!$B$6*(1+Inputs!$B$7/100))+(((Inputs!$B$12*(1+Inputs!$B$13/100))-(Inputs!$B$12*(1+Inputs!$B$13/100)))+0.25*(Inputs!$B$14-Inputs!$B$14))*(1+Inputs!$B$7/100))*(F410/100)</f>
        <v/>
      </c>
      <c r="K410">
        <f>J410*(1+((Inputs!$B$12*(1+Inputs!$B$13/100))*0.01+Inputs!$B$14*0.0025)/100)*(1+Inputs!$B$15/100)*(1+Inputs!$B$16/100)*(5000/(6000+Inputs!$B$42*(1-(Inputs!$B$19+((C428=TRUE)*(F428-Calc!F27)))/100)))*(1+(Inputs!$B$24+((C426=TRUE)*(F426-Calc!F25))+((C427=TRUE)*(F427-Calc!F26))+B440)/100)*(1+1.0*IF(C411=TRUE,F411,0)/100)*(1+(IF(Skills!A9="ARROW_STREAM",Inputs!$B$17+((C424=TRUE)*(F424-Calc!F23)),Inputs!$B$18+((C429=TRUE)*(F429-Calc!F28))))/100)*((1+(((C414=TRUE)*F414)+((C415=TRUE)*IF(Inputs!$B$38="pvp",F415,(1-Summary!$B$55)*(F415)+Summary!$B$55*(0)))+((C416=TRUE)*F416*IF(AND(Inputs!$B$38&lt;&gt;"pvp",Inputs!$B$43&gt;0),(((R416-1)*(Skills!T15*(1+Inputs!$B$34/100))+MIN((Skills!T15*(1+Inputs!$B$34/100)),MAX(0,Inputs!$B$43-((R416-1)*Skills!D15))))/Inputs!$B$43),IF(Inputs!$B$38="pvp",MIN((Skills!T15*(1+Inputs!$B$34/100)),15)/15,(Skills!T15*(1+Inputs!$B$34/100))/Skills!D15)))+((C431=TRUE)*(F431-Calc!F30)))/100)*I410)</f>
        <v/>
      </c>
      <c r="L410">
        <f>K410*(MIN((Inputs!$B$22+1)+((C425=TRUE)*(F425-Calc!F24)),Inputs!$B$23+((C430=TRUE)*(F430-Calc!F29)))/100+(Inputs!$B$23+((C430=TRUE)*(F430-Calc!F29)))/100)/2</f>
        <v/>
      </c>
      <c r="M410">
        <f>L410*(1+(Inputs!$B$10+0+B439)/100)</f>
        <v/>
      </c>
      <c r="N410">
        <f>L410*(1-MIN((Inputs!$B$9+((C421=TRUE)*(F421-Calc!F20))+B434),100)/100)+M410*(MIN((Inputs!$B$9+((C421=TRUE)*(F421-Calc!F20))+B434),100)/100)</f>
        <v/>
      </c>
      <c r="O410">
        <f>(1-Summary!$B$55)*T410+Summary!$B$55*V410</f>
        <v/>
      </c>
      <c r="P410">
        <f>IF(B444=0,0,O410/B444)</f>
        <v/>
      </c>
      <c r="Q410">
        <f>IFERROR(1/IF(Inputs!$B$38="pvp",15,MAX(0.1,Skills!D9-IF(Skills!E9=TRUE,Inputs!$B$32,0))),0)</f>
        <v/>
      </c>
      <c r="R410">
        <f>IF(AND(Inputs!$B$38&lt;&gt;"pvp",Inputs!$B$43&gt;0),IF(MAX(0,Inputs!$B$43-B441)&lt;=0,0,(INT(MAX(0,Inputs!$B$43-B441)/IF(Inputs!$B$38="pvp",15,MAX(0.1,Skills!D9-IF(Skills!E9=TRUE,Inputs!$B$32,0))))+1)),0)</f>
        <v/>
      </c>
      <c r="S410">
        <f>IFERROR(O410/N410,0)</f>
        <v/>
      </c>
      <c r="T410">
        <f>IF(C410,(H410*N410*IF(AND(Inputs!$B$38&lt;&gt;"pvp",Inputs!$B$43&gt;0),((Skills!G9*((R410-1)*IF(Skills!H9&gt;0,Skills!I9/Skills!H9,1)+IF(Skills!H9&gt;0,MIN(Skills!I9,MAX(0,MAX(0,Inputs!$B$43-B441)-((R410-1)*IF(Inputs!$B$38="pvp",15,MAX(0.1,Skills!D9-IF(Skills!E9=TRUE,Inputs!$B$32,0))))))/Skills!H9,1)))/Inputs!$B$43),G410*Q410))*IF(Inputs!$B$38="pvp",1,1+(Inputs!$B$20+0+Skills!P9)/100),0)</f>
        <v/>
      </c>
      <c r="V410">
        <f>IF(C410,(H410*N410*IF(AND(Inputs!$B$38&lt;&gt;"pvp",Inputs!$B$43&gt;0),((Skills!G9*((R410-1)*IF(Skills!H9&gt;0,Skills!I9/Skills!H9,1)+IF(Skills!H9&gt;0,MIN(Skills!I9,MAX(0,MAX(0,Inputs!$B$43-B441)-((R410-1)*IF(Inputs!$B$38="pvp",15,MAX(0.1,Skills!D9-IF(Skills!E9=TRUE,Inputs!$B$32,0))))))/Skills!H9,1)))/Inputs!$B$43),G410*Q410))*IF(Inputs!$B$38="pvp",1,(1+(Inputs!$B$21+Skills!Q9)/100)*(MIN(Skills!R9,Inputs!$B$37))),0)</f>
        <v/>
      </c>
    </row>
    <row r="411">
      <c r="A411">
        <f>Skills!A10</f>
        <v/>
      </c>
      <c r="B411">
        <f>Skills!B10</f>
        <v/>
      </c>
      <c r="C411">
        <f>Inputs!$B$3&gt;=100</f>
        <v/>
      </c>
      <c r="D411">
        <f>IF(Skills!C10=1,60+Inputs!$B$25+Inputs!$B$29,IF(Skills!C10=2,90+Inputs!$B$26+Inputs!$B$29,IF(Skills!C10=3,120+Inputs!$B$27+Inputs!$B$29,MAX(0,(Inputs!$B$3-100)*3)+Inputs!$B$28+Inputs!$B$29)))</f>
        <v/>
      </c>
      <c r="E411">
        <f>INDEX(FactorTable!$B$2:$Y$301, MATCH(ROUND(MIN(300,MAX(1,D411)),0), FactorTable!$A$2:$A$301,0), Skills!M10+1)</f>
        <v/>
      </c>
      <c r="F411">
        <f>IF(Skills!N10=TRUE,(Skills!L10/10)*(E411/1000),Skills!L10/10)+Skills!O10</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V411" t="inlineStr"/>
    </row>
    <row r="412">
      <c r="A412">
        <f>Skills!A11</f>
        <v/>
      </c>
      <c r="B412">
        <f>Skills!B11</f>
        <v/>
      </c>
      <c r="C412">
        <f>Inputs!$B$3&gt;=60</f>
        <v/>
      </c>
      <c r="D412">
        <f>IF(Skills!C11=1,60+Inputs!$B$25+Inputs!$B$29,IF(Skills!C11=2,90+Inputs!$B$26+Inputs!$B$29,IF(Skills!C11=3,120+Inputs!$B$27+Inputs!$B$29,MAX(0,(Inputs!$B$3-100)*3)+Inputs!$B$28+Inputs!$B$29)))</f>
        <v/>
      </c>
      <c r="E412">
        <f>INDEX(FactorTable!$B$2:$Y$301, MATCH(ROUND(MIN(300,MAX(1,D412)),0), FactorTable!$A$2:$A$301,0), Skills!M11+1)</f>
        <v/>
      </c>
      <c r="F412">
        <f>IF(Skills!N11=TRUE,(Skills!L11/10)*(E412/1000),Skills!L11/10)+Skills!O11</f>
        <v/>
      </c>
      <c r="G412">
        <f>Skills!G11*IF(Skills!H11&gt;0,Skills!I11/Skills!H11,1)</f>
        <v/>
      </c>
      <c r="H412">
        <f>1-(1-Skills!J11/100)^Skills!K11</f>
        <v/>
      </c>
      <c r="I412" t="inlineStr">
        <is>
          <t>1</t>
        </is>
      </c>
      <c r="J412">
        <f>((Inputs!$B$6*(1+Inputs!$B$7/100))+(((Inputs!$B$12*(1+Inputs!$B$13/100))-(Inputs!$B$12*(1+Inputs!$B$13/100)))+0.25*(Inputs!$B$14-Inputs!$B$14))*(1+Inputs!$B$7/100))*(F412/100)</f>
        <v/>
      </c>
      <c r="K412">
        <f>J412*(1+((Inputs!$B$12*(1+Inputs!$B$13/100))*0.01+Inputs!$B$14*0.0025)/100)*(1+Inputs!$B$15/100)*(1+Inputs!$B$16/100)*(5000/(6000+Inputs!$B$42*(1-(Inputs!$B$19+((C428=TRUE)*(F428-Calc!F27)))/100)))*(1+(Inputs!$B$24+((C426=TRUE)*(F426-Calc!F25))+((C427=TRUE)*(F427-Calc!F26))+B440)/100)*(1+IF(C413=TRUE,F413,0)/100)*(1+(IF(Skills!A11="ARROW_STREAM",Inputs!$B$17+((C424=TRUE)*(F424-Calc!F23)),Inputs!$B$18+((C429=TRUE)*(F429-Calc!F28))))/100)*((1+(((C414=TRUE)*F414)+((C415=TRUE)*IF(Inputs!$B$38="pvp",F415,(1-Summary!$B$55)*(F415)+Summary!$B$55*(0)))+((C416=TRUE)*F416*IF(AND(Inputs!$B$38&lt;&gt;"pvp",Inputs!$B$43&gt;0),(((R416-1)*(Skills!T15*(1+Inputs!$B$34/100))+MIN((Skills!T15*(1+Inputs!$B$34/100)),MAX(0,Inputs!$B$43-((R416-1)*Skills!D15))))/Inputs!$B$43),IF(Inputs!$B$38="pvp",MIN((Skills!T15*(1+Inputs!$B$34/100)),15)/15,(Skills!T15*(1+Inputs!$B$34/100))/Skills!D15)))+((C431=TRUE)*(F431-Calc!F30)))/100)*I412)</f>
        <v/>
      </c>
      <c r="L412">
        <f>K412*(MIN((Inputs!$B$22+1)+((C425=TRUE)*(F425-Calc!F24)),Inputs!$B$23+((C430=TRUE)*(F430-Calc!F29)))/100+(Inputs!$B$23+((C430=TRUE)*(F430-Calc!F29)))/100)/2</f>
        <v/>
      </c>
      <c r="M412">
        <f>L412*(1+(Inputs!$B$10+0+B439)/100)</f>
        <v/>
      </c>
      <c r="N412">
        <f>L412*(1-MIN((Inputs!$B$9+((C421=TRUE)*(F421-Calc!F20))+B434),100)/100)+M412*(MIN((Inputs!$B$9+((C421=TRUE)*(F421-Calc!F20))+B434),100)/100)</f>
        <v/>
      </c>
      <c r="O412">
        <f>(1-Summary!$B$55)*T412+Summary!$B$55*V412</f>
        <v/>
      </c>
      <c r="P412">
        <f>IF(B444=0,0,O412/B444)</f>
        <v/>
      </c>
      <c r="Q412">
        <f>IFERROR(1/IF(Inputs!$B$38="pvp",15,MAX(0.1,Skills!D11-IF(Skills!E11=TRUE,Inputs!$B$32,0))),0)</f>
        <v/>
      </c>
      <c r="R412">
        <f>IF(AND(Inputs!$B$38&lt;&gt;"pvp",Inputs!$B$43&gt;0),IF(MAX(0,Inputs!$B$43-B441)&lt;=0,0,(INT(MAX(0,Inputs!$B$43-B441)/IF(Inputs!$B$38="pvp",15,MAX(0.1,Skills!D11-IF(Skills!E11=TRUE,Inputs!$B$32,0))))+1)),0)</f>
        <v/>
      </c>
      <c r="S412">
        <f>IFERROR(O412/N412,0)</f>
        <v/>
      </c>
      <c r="T412">
        <f>IF(C412,(H412*N412*IF(AND(Inputs!$B$38&lt;&gt;"pvp",Inputs!$B$43&gt;0),((Skills!G11*((R412-1)*IF(Skills!H11&gt;0,Skills!I11/Skills!H11,1)+IF(Skills!H11&gt;0,MIN(Skills!I11,MAX(0,MAX(0,Inputs!$B$43-B441)-((R412-1)*IF(Inputs!$B$38="pvp",15,MAX(0.1,Skills!D11-IF(Skills!E11=TRUE,Inputs!$B$32,0))))))/Skills!H11,1)))/Inputs!$B$43),G412*Q412))*IF(Inputs!$B$38="pvp",1,1+(Inputs!$B$20+0+Skills!P11)/100),0)</f>
        <v/>
      </c>
      <c r="V412">
        <f>IF(C412,(H412*N412*IF(AND(Inputs!$B$38&lt;&gt;"pvp",Inputs!$B$43&gt;0),((Skills!G11*((R412-1)*IF(Skills!H11&gt;0,Skills!I11/Skills!H11,1)+IF(Skills!H11&gt;0,MIN(Skills!I11,MAX(0,MAX(0,Inputs!$B$43-B441)-((R412-1)*IF(Inputs!$B$38="pvp",15,MAX(0.1,Skills!D11-IF(Skills!E11=TRUE,Inputs!$B$32,0))))))/Skills!H11,1)))/Inputs!$B$43),G412*Q412))*IF(Inputs!$B$38="pvp",1,(1+(Inputs!$B$21+Skills!Q11)/100)*(MIN(Skills!R11,Inputs!$B$37))),0)</f>
        <v/>
      </c>
    </row>
    <row r="413">
      <c r="A413">
        <f>Skills!A12</f>
        <v/>
      </c>
      <c r="B413">
        <f>Skills!B12</f>
        <v/>
      </c>
      <c r="C413">
        <f>Inputs!$B$3&gt;=110</f>
        <v/>
      </c>
      <c r="D413">
        <f>IF(Skills!C12=1,60+Inputs!$B$25+Inputs!$B$29,IF(Skills!C12=2,90+Inputs!$B$26+Inputs!$B$29,IF(Skills!C12=3,120+Inputs!$B$27+Inputs!$B$29,MAX(0,(Inputs!$B$3-100)*3)+Inputs!$B$28+Inputs!$B$29)))</f>
        <v/>
      </c>
      <c r="E413">
        <f>INDEX(FactorTable!$B$2:$Y$301, MATCH(ROUND(MIN(300,MAX(1,D413)),0), FactorTable!$A$2:$A$301,0), Skills!M12+1)</f>
        <v/>
      </c>
      <c r="F413">
        <f>IF(Skills!N12=TRUE,(Skills!L12/10)*(E413/1000),Skills!L12/10)+Skills!O12</f>
        <v/>
      </c>
      <c r="G413" t="inlineStr"/>
      <c r="H413" t="inlineStr"/>
      <c r="I413" t="inlineStr">
        <is>
          <t>1</t>
        </is>
      </c>
      <c r="J413" t="inlineStr"/>
      <c r="K413" t="inlineStr"/>
      <c r="L413" t="inlineStr"/>
      <c r="M413" t="inlineStr"/>
      <c r="N413" t="inlineStr"/>
      <c r="O413" t="inlineStr"/>
      <c r="P413" t="inlineStr"/>
      <c r="Q413" t="inlineStr"/>
      <c r="R413" t="inlineStr"/>
      <c r="S413" t="inlineStr"/>
      <c r="T413" t="inlineStr"/>
      <c r="V413" t="inlineStr"/>
    </row>
    <row r="414">
      <c r="A414">
        <f>Skills!A13</f>
        <v/>
      </c>
      <c r="B414">
        <f>Skills!B13</f>
        <v/>
      </c>
      <c r="C414">
        <f>Inputs!$B$3&gt;=74</f>
        <v/>
      </c>
      <c r="D414">
        <f>IF(Skills!C13=1,60+Inputs!$B$25+Inputs!$B$29,IF(Skills!C13=2,90+Inputs!$B$26+Inputs!$B$29,IF(Skills!C13=3,120+Inputs!$B$27+Inputs!$B$29,MAX(0,(Inputs!$B$3-100)*3)+Inputs!$B$28+Inputs!$B$29)))</f>
        <v/>
      </c>
      <c r="E414">
        <f>INDEX(FactorTable!$B$2:$Y$301, MATCH(ROUND(MIN(300,MAX(1,D414)),0), FactorTable!$A$2:$A$301,0), Skills!M13+1)</f>
        <v/>
      </c>
      <c r="F414">
        <f>IF(Skills!N13=TRUE,(Skills!L13/10)*(E414/1000),Skills!L13/10)+Skills!O13</f>
        <v/>
      </c>
      <c r="G414">
        <f>Skills!G13*IF(Skills!H13&gt;0,Skills!I13/Skills!H13,1)</f>
        <v/>
      </c>
      <c r="H414">
        <f>1-(1-Skills!J13/100)^Skills!K13</f>
        <v/>
      </c>
      <c r="I414" t="inlineStr">
        <is>
          <t>1</t>
        </is>
      </c>
      <c r="J414" t="inlineStr"/>
      <c r="K414" t="inlineStr"/>
      <c r="L414" t="inlineStr"/>
      <c r="M414" t="inlineStr"/>
      <c r="N414" t="inlineStr"/>
      <c r="O414">
        <f>(1-Summary!$B$55)*T414+Summary!$B$55*V414</f>
        <v/>
      </c>
      <c r="P414">
        <f>IF(B444=0,0,O414/B444)</f>
        <v/>
      </c>
      <c r="Q414" t="n">
        <v>0</v>
      </c>
      <c r="R414" t="n">
        <v>0</v>
      </c>
      <c r="S414">
        <f>IFERROR(O414/N414,0)</f>
        <v/>
      </c>
      <c r="T414" t="n">
        <v>0</v>
      </c>
      <c r="V414" t="n">
        <v>0</v>
      </c>
    </row>
    <row r="415">
      <c r="A415">
        <f>Skills!A14</f>
        <v/>
      </c>
      <c r="B415">
        <f>Skills!B14</f>
        <v/>
      </c>
      <c r="C415">
        <f>Inputs!$B$3&gt;=74</f>
        <v/>
      </c>
      <c r="D415">
        <f>IF(Skills!C14=1,60+Inputs!$B$25+Inputs!$B$29,IF(Skills!C14=2,90+Inputs!$B$26+Inputs!$B$29,IF(Skills!C14=3,120+Inputs!$B$27+Inputs!$B$29,MAX(0,(Inputs!$B$3-100)*3)+Inputs!$B$28+Inputs!$B$29)))</f>
        <v/>
      </c>
      <c r="E415">
        <f>INDEX(FactorTable!$B$2:$Y$301, MATCH(ROUND(MIN(300,MAX(1,D415)),0), FactorTable!$A$2:$A$301,0), Skills!M14+1)</f>
        <v/>
      </c>
      <c r="F415">
        <f>IF(Skills!N14=TRUE,(Skills!L14/10)*(E415/1000),Skills!L14/10)+Skills!O14</f>
        <v/>
      </c>
      <c r="G415">
        <f>Skills!G14*IF(Skills!H14&gt;0,Skills!I14/Skills!H14,1)</f>
        <v/>
      </c>
      <c r="H415">
        <f>1-(1-Skills!J14/100)^Skills!K14</f>
        <v/>
      </c>
      <c r="I415" t="inlineStr">
        <is>
          <t>1</t>
        </is>
      </c>
      <c r="J415" t="inlineStr"/>
      <c r="K415" t="inlineStr"/>
      <c r="L415" t="inlineStr"/>
      <c r="M415" t="inlineStr"/>
      <c r="N415" t="inlineStr"/>
      <c r="O415">
        <f>(1-Summary!$B$55)*T415+Summary!$B$55*V415</f>
        <v/>
      </c>
      <c r="P415">
        <f>IF(B444=0,0,O415/B444)</f>
        <v/>
      </c>
      <c r="Q415" t="n">
        <v>0</v>
      </c>
      <c r="R415" t="n">
        <v>0</v>
      </c>
      <c r="S415">
        <f>IFERROR(O415/N415,0)</f>
        <v/>
      </c>
      <c r="T415" t="n">
        <v>0</v>
      </c>
      <c r="V415" t="n">
        <v>0</v>
      </c>
    </row>
    <row r="416">
      <c r="A416">
        <f>Skills!A15</f>
        <v/>
      </c>
      <c r="B416">
        <f>Skills!B15</f>
        <v/>
      </c>
      <c r="C416">
        <f>Inputs!$B$3&gt;=117</f>
        <v/>
      </c>
      <c r="D416">
        <f>IF(Skills!C15=1,60+Inputs!$B$25+Inputs!$B$29,IF(Skills!C15=2,90+Inputs!$B$26+Inputs!$B$29,IF(Skills!C15=3,120+Inputs!$B$27+Inputs!$B$29,MAX(0,(Inputs!$B$3-100)*3)+Inputs!$B$28+Inputs!$B$29)))</f>
        <v/>
      </c>
      <c r="E416">
        <f>INDEX(FactorTable!$B$2:$Y$301, MATCH(ROUND(MIN(300,MAX(1,D416)),0), FactorTable!$A$2:$A$301,0), Skills!M15+1)</f>
        <v/>
      </c>
      <c r="F416">
        <f>IF(Skills!N15=TRUE,(Skills!L15/10)*(E416/1000),Skills!L15/10)+Skills!O15</f>
        <v/>
      </c>
      <c r="G416">
        <f>Skills!G15*IF(Skills!H15&gt;0,Skills!I15/Skills!H15,1)</f>
        <v/>
      </c>
      <c r="H416">
        <f>1-(1-Skills!J15/100)^Skills!K15</f>
        <v/>
      </c>
      <c r="I416" t="inlineStr">
        <is>
          <t>1</t>
        </is>
      </c>
      <c r="J416" t="inlineStr"/>
      <c r="K416" t="inlineStr"/>
      <c r="L416" t="inlineStr"/>
      <c r="M416" t="inlineStr"/>
      <c r="N416" t="inlineStr"/>
      <c r="O416">
        <f>(1-Summary!$B$55)*T416+Summary!$B$55*V416</f>
        <v/>
      </c>
      <c r="P416">
        <f>IF(B444=0,0,O416/B444)</f>
        <v/>
      </c>
      <c r="Q416">
        <f>IFERROR(1/IF(Inputs!$B$38="pvp",15,MAX(0.1,Skills!D15-IF(Skills!E15=TRUE,Inputs!$B$32,0))),0)</f>
        <v/>
      </c>
      <c r="R416">
        <f>IF(AND(Inputs!$B$38&lt;&gt;"pvp",Inputs!$B$43&gt;0),IF(Inputs!$B$43&lt;=0,0,(INT(Inputs!$B$43/IF(Inputs!$B$38="pvp",15,MAX(0.1,Skills!D15-IF(Skills!E15=TRUE,Inputs!$B$32,0))))+1)),0)</f>
        <v/>
      </c>
      <c r="S416">
        <f>IFERROR(O416/N416,0)</f>
        <v/>
      </c>
      <c r="T416" t="n">
        <v>0</v>
      </c>
      <c r="V416" t="n">
        <v>0</v>
      </c>
    </row>
    <row r="417">
      <c r="A417">
        <f>Skills!A16</f>
        <v/>
      </c>
      <c r="B417">
        <f>Skills!B16</f>
        <v/>
      </c>
      <c r="C417">
        <f>Inputs!$B$3&gt;=115</f>
        <v/>
      </c>
      <c r="D417">
        <f>IF(Skills!C16=1,60+Inputs!$B$25+Inputs!$B$29,IF(Skills!C16=2,90+Inputs!$B$26+Inputs!$B$29,IF(Skills!C16=3,120+Inputs!$B$27+Inputs!$B$29,MAX(0,(Inputs!$B$3-100)*3)+Inputs!$B$28+Inputs!$B$29)))</f>
        <v/>
      </c>
      <c r="E417">
        <f>INDEX(FactorTable!$B$2:$Y$301, MATCH(ROUND(MIN(300,MAX(1,D417)),0), FactorTable!$A$2:$A$301,0), Skills!M16+1)</f>
        <v/>
      </c>
      <c r="F417">
        <f>IF(Skills!N16=TRUE,(Skills!L16/10)*(E417/1000),Skills!L16/10)+Skills!O16</f>
        <v/>
      </c>
      <c r="G417">
        <f>Skills!G16*IF(Skills!H16&gt;0,Skills!I16/Skills!H16,1)</f>
        <v/>
      </c>
      <c r="H417">
        <f>1-(1-Skills!J16/100)^Skills!K16</f>
        <v/>
      </c>
      <c r="I417" t="inlineStr">
        <is>
          <t>1</t>
        </is>
      </c>
      <c r="J417" t="inlineStr"/>
      <c r="K417" t="inlineStr"/>
      <c r="L417" t="inlineStr"/>
      <c r="M417" t="inlineStr"/>
      <c r="N417" t="inlineStr"/>
      <c r="O417">
        <f>(1-Summary!$B$55)*T417+Summary!$B$55*V417</f>
        <v/>
      </c>
      <c r="P417">
        <f>IF(B444=0,0,O417/B444)</f>
        <v/>
      </c>
      <c r="Q417">
        <f>IFERROR(1/IF(Inputs!$B$38="pvp",15,MAX(0.1,Skills!D16-IF(Skills!E16=TRUE,Inputs!$B$32,0))),0)</f>
        <v/>
      </c>
      <c r="R417">
        <f>IF(AND(Inputs!$B$38&lt;&gt;"pvp",Inputs!$B$43&gt;0),IF(Inputs!$B$43&lt;=0,0,(INT(Inputs!$B$43/IF(Inputs!$B$38="pvp",15,MAX(0.1,Skills!D16-IF(Skills!E16=TRUE,Inputs!$B$32,0))))+1)),0)</f>
        <v/>
      </c>
      <c r="S417">
        <f>IFERROR(O417/N417,0)</f>
        <v/>
      </c>
      <c r="T417" t="n">
        <v>0</v>
      </c>
      <c r="V417" t="n">
        <v>0</v>
      </c>
    </row>
    <row r="418">
      <c r="A418">
        <f>Skills!A17</f>
        <v/>
      </c>
      <c r="B418">
        <f>Skills!B17</f>
        <v/>
      </c>
      <c r="C418">
        <f>Inputs!$B$3&gt;=66</f>
        <v/>
      </c>
      <c r="D418">
        <f>IF(Skills!C17=1,60+Inputs!$B$25+Inputs!$B$29,IF(Skills!C17=2,90+Inputs!$B$26+Inputs!$B$29,IF(Skills!C17=3,120+Inputs!$B$27+Inputs!$B$29,MAX(0,(Inputs!$B$3-100)*3)+Inputs!$B$28+Inputs!$B$29)))</f>
        <v/>
      </c>
      <c r="E418">
        <f>INDEX(FactorTable!$B$2:$Y$301, MATCH(ROUND(MIN(300,MAX(1,D418)),0), FactorTable!$A$2:$A$301,0), Skills!M17+1)</f>
        <v/>
      </c>
      <c r="F418">
        <f>IF(Skills!N17=TRUE,(Skills!L17/10)*(E418/1000),Skills!L17/10)+Skills!O17</f>
        <v/>
      </c>
      <c r="G418">
        <f>Skills!G17*IF(Skills!H17&gt;0,Skills!I17/Skills!H17,1)</f>
        <v/>
      </c>
      <c r="H418">
        <f>1-(1-Skills!J17/100)^Skills!K17</f>
        <v/>
      </c>
      <c r="I418" t="inlineStr">
        <is>
          <t>1</t>
        </is>
      </c>
      <c r="J418" t="inlineStr"/>
      <c r="K418" t="inlineStr"/>
      <c r="L418" t="inlineStr"/>
      <c r="M418" t="inlineStr"/>
      <c r="N418" t="inlineStr"/>
      <c r="O418">
        <f>(1-Summary!$B$55)*T418+Summary!$B$55*V418</f>
        <v/>
      </c>
      <c r="P418">
        <f>IF(B444=0,0,O418/B444)</f>
        <v/>
      </c>
      <c r="Q418" t="n">
        <v>0</v>
      </c>
      <c r="R418" t="n">
        <v>0</v>
      </c>
      <c r="S418">
        <f>IFERROR(O418/N418,0)</f>
        <v/>
      </c>
      <c r="T418" t="n">
        <v>0</v>
      </c>
      <c r="V418" t="n">
        <v>0</v>
      </c>
    </row>
    <row r="419">
      <c r="A419">
        <f>Skills!A18</f>
        <v/>
      </c>
      <c r="B419">
        <f>Skills!B18</f>
        <v/>
      </c>
      <c r="C419">
        <f>Inputs!$B$3&gt;=72</f>
        <v/>
      </c>
      <c r="D419">
        <f>IF(Skills!C18=1,60+Inputs!$B$25+Inputs!$B$29,IF(Skills!C18=2,90+Inputs!$B$26+Inputs!$B$29,IF(Skills!C18=3,120+Inputs!$B$27+Inputs!$B$29,MAX(0,(Inputs!$B$3-100)*3)+Inputs!$B$28+Inputs!$B$29)))</f>
        <v/>
      </c>
      <c r="E419">
        <f>INDEX(FactorTable!$B$2:$Y$301, MATCH(ROUND(MIN(300,MAX(1,D419)),0), FactorTable!$A$2:$A$301,0), Skills!M18+1)</f>
        <v/>
      </c>
      <c r="F419">
        <f>IF(Skills!N18=TRUE,(Skills!L18/10)*(E419/1000),Skills!L18/10)+Skills!O18</f>
        <v/>
      </c>
      <c r="G419">
        <f>Skills!G18*IF(Skills!H18&gt;0,Skills!I18/Skills!H18,1)</f>
        <v/>
      </c>
      <c r="H419">
        <f>1-(1-Skills!J18/100)^Skills!K18</f>
        <v/>
      </c>
      <c r="I419" t="inlineStr">
        <is>
          <t>1</t>
        </is>
      </c>
      <c r="J419" t="inlineStr"/>
      <c r="K419" t="inlineStr"/>
      <c r="L419" t="inlineStr"/>
      <c r="M419" t="inlineStr"/>
      <c r="N419" t="inlineStr"/>
      <c r="O419">
        <f>(1-Summary!$B$55)*T419+Summary!$B$55*V419</f>
        <v/>
      </c>
      <c r="P419">
        <f>IF(B444=0,0,O419/B444)</f>
        <v/>
      </c>
      <c r="Q419" t="n">
        <v>0</v>
      </c>
      <c r="R419" t="n">
        <v>0</v>
      </c>
      <c r="S419">
        <f>IFERROR(O419/N419,0)</f>
        <v/>
      </c>
      <c r="T419" t="n">
        <v>0</v>
      </c>
      <c r="V419" t="n">
        <v>0</v>
      </c>
    </row>
    <row r="420">
      <c r="A420">
        <f>Skills!A19</f>
        <v/>
      </c>
      <c r="B420">
        <f>Skills!B19</f>
        <v/>
      </c>
      <c r="C420">
        <f>TRUE</f>
        <v/>
      </c>
      <c r="D420">
        <f>IF(Skills!C19=1,60+Inputs!$B$25+Inputs!$B$29,IF(Skills!C19=2,90+Inputs!$B$26+Inputs!$B$29,IF(Skills!C19=3,120+Inputs!$B$27+Inputs!$B$29,MAX(0,(Inputs!$B$3-100)*3)+Inputs!$B$28+Inputs!$B$29)))</f>
        <v/>
      </c>
      <c r="E420">
        <f>INDEX(FactorTable!$B$2:$Y$301, MATCH(ROUND(MIN(300,MAX(1,D420)),0), FactorTable!$A$2:$A$301,0), Skills!M19+1)</f>
        <v/>
      </c>
      <c r="F420">
        <f>IF(Skills!N19=TRUE,(Skills!L19/10)*(E420/1000),Skills!L19/10)+Skills!O19</f>
        <v/>
      </c>
      <c r="G420">
        <f>Skills!G19*IF(Skills!H19&gt;0,Skills!I19/Skills!H19,1)</f>
        <v/>
      </c>
      <c r="H420">
        <f>1-(1-Skills!J19/100)^Skills!K19</f>
        <v/>
      </c>
      <c r="I420" t="inlineStr">
        <is>
          <t>1</t>
        </is>
      </c>
      <c r="J420" t="inlineStr"/>
      <c r="K420" t="inlineStr"/>
      <c r="L420" t="inlineStr"/>
      <c r="M420" t="inlineStr"/>
      <c r="N420" t="inlineStr"/>
      <c r="O420">
        <f>(1-Summary!$B$55)*T420+Summary!$B$55*V420</f>
        <v/>
      </c>
      <c r="P420">
        <f>IF(B444=0,0,O420/B444)</f>
        <v/>
      </c>
      <c r="Q420">
        <f>IFERROR(1/IF(Inputs!$B$38="pvp",15,MAX(0.1,Skills!D19-IF(Skills!E19=TRUE,Inputs!$B$32,0))),0)</f>
        <v/>
      </c>
      <c r="R420">
        <f>IF(AND(Inputs!$B$38&lt;&gt;"pvp",Inputs!$B$43&gt;0),IF(Inputs!$B$43&lt;=0,0,(INT(Inputs!$B$43/IF(Inputs!$B$38="pvp",15,MAX(0.1,Skills!D19-IF(Skills!E19=TRUE,Inputs!$B$32,0))))+1)),0)</f>
        <v/>
      </c>
      <c r="S420">
        <f>IFERROR(O420/N420,0)</f>
        <v/>
      </c>
      <c r="T420" t="n">
        <v>0</v>
      </c>
      <c r="V420" t="n">
        <v>0</v>
      </c>
    </row>
    <row r="421">
      <c r="A421">
        <f>Skills!A20</f>
        <v/>
      </c>
      <c r="B421">
        <f>Skills!B20</f>
        <v/>
      </c>
      <c r="C421">
        <f>Inputs!$B$3&gt;=15</f>
        <v/>
      </c>
      <c r="D421">
        <f>IF(Skills!C20=1,60+Inputs!$B$25+Inputs!$B$29,IF(Skills!C20=2,90+Inputs!$B$26+Inputs!$B$29,IF(Skills!C20=3,120+Inputs!$B$27+Inputs!$B$29,MAX(0,(Inputs!$B$3-100)*3)+Inputs!$B$28+Inputs!$B$29)))</f>
        <v/>
      </c>
      <c r="E421">
        <f>INDEX(FactorTable!$B$2:$Y$301, MATCH(ROUND(MIN(300,MAX(1,D421)),0), FactorTable!$A$2:$A$301,0), Skills!M20+1)</f>
        <v/>
      </c>
      <c r="F421">
        <f>IF(Skills!N20=TRUE,(Skills!L20/10)*(E421/1000),Skills!L20/10)+Skills!O20</f>
        <v/>
      </c>
      <c r="G421">
        <f>Skills!G20*IF(Skills!H20&gt;0,Skills!I20/Skills!H20,1)</f>
        <v/>
      </c>
      <c r="H421">
        <f>1-(1-Skills!J20/100)^Skills!K20</f>
        <v/>
      </c>
      <c r="I421" t="inlineStr">
        <is>
          <t>1</t>
        </is>
      </c>
      <c r="J421" t="inlineStr"/>
      <c r="K421" t="inlineStr"/>
      <c r="L421" t="inlineStr"/>
      <c r="M421" t="inlineStr"/>
      <c r="N421" t="inlineStr"/>
      <c r="O421">
        <f>(1-Summary!$B$55)*T421+Summary!$B$55*V421</f>
        <v/>
      </c>
      <c r="P421">
        <f>IF(B444=0,0,O421/B444)</f>
        <v/>
      </c>
      <c r="Q421" t="n">
        <v>0</v>
      </c>
      <c r="R421" t="n">
        <v>0</v>
      </c>
      <c r="S421">
        <f>IFERROR(O421/N421,0)</f>
        <v/>
      </c>
      <c r="T421" t="n">
        <v>0</v>
      </c>
      <c r="V421" t="n">
        <v>0</v>
      </c>
    </row>
    <row r="422">
      <c r="A422">
        <f>Skills!A21</f>
        <v/>
      </c>
      <c r="B422">
        <f>Skills!B21</f>
        <v/>
      </c>
      <c r="C422">
        <f>Inputs!$B$3&gt;=10</f>
        <v/>
      </c>
      <c r="D422">
        <f>IF(Skills!C21=1,60+Inputs!$B$25+Inputs!$B$29,IF(Skills!C21=2,90+Inputs!$B$26+Inputs!$B$29,IF(Skills!C21=3,120+Inputs!$B$27+Inputs!$B$29,MAX(0,(Inputs!$B$3-100)*3)+Inputs!$B$28+Inputs!$B$29)))</f>
        <v/>
      </c>
      <c r="E422">
        <f>INDEX(FactorTable!$B$2:$Y$301, MATCH(ROUND(MIN(300,MAX(1,D422)),0), FactorTable!$A$2:$A$301,0), Skills!M21+1)</f>
        <v/>
      </c>
      <c r="F422">
        <f>IF(Skills!N21=TRUE,(Skills!L21/10)*(E422/1000),Skills!L21/10)+Skills!O21</f>
        <v/>
      </c>
      <c r="G422">
        <f>Skills!G21*IF(Skills!H21&gt;0,Skills!I21/Skills!H21,1)</f>
        <v/>
      </c>
      <c r="H422">
        <f>1-(1-Skills!J21/100)^Skills!K21</f>
        <v/>
      </c>
      <c r="I422" t="inlineStr">
        <is>
          <t>1</t>
        </is>
      </c>
      <c r="J422" t="inlineStr"/>
      <c r="K422" t="inlineStr"/>
      <c r="L422" t="inlineStr"/>
      <c r="M422" t="inlineStr"/>
      <c r="N422" t="inlineStr"/>
      <c r="O422">
        <f>(1-Summary!$B$55)*T422+Summary!$B$55*V422</f>
        <v/>
      </c>
      <c r="P422">
        <f>IF(B444=0,0,O422/B444)</f>
        <v/>
      </c>
      <c r="Q422" t="n">
        <v>0</v>
      </c>
      <c r="R422" t="n">
        <v>0</v>
      </c>
      <c r="S422">
        <f>IFERROR(O422/N422,0)</f>
        <v/>
      </c>
      <c r="T422" t="n">
        <v>0</v>
      </c>
      <c r="V422" t="n">
        <v>0</v>
      </c>
    </row>
    <row r="423">
      <c r="A423">
        <f>Skills!A22</f>
        <v/>
      </c>
      <c r="B423">
        <f>Skills!B22</f>
        <v/>
      </c>
      <c r="C423">
        <f>Inputs!$B$3&gt;=33</f>
        <v/>
      </c>
      <c r="D423">
        <f>IF(Skills!C22=1,60+Inputs!$B$25+Inputs!$B$29,IF(Skills!C22=2,90+Inputs!$B$26+Inputs!$B$29,IF(Skills!C22=3,120+Inputs!$B$27+Inputs!$B$29,MAX(0,(Inputs!$B$3-100)*3)+Inputs!$B$28+Inputs!$B$29)))</f>
        <v/>
      </c>
      <c r="E423">
        <f>INDEX(FactorTable!$B$2:$Y$301, MATCH(ROUND(MIN(300,MAX(1,D423)),0), FactorTable!$A$2:$A$301,0), Skills!M22+1)</f>
        <v/>
      </c>
      <c r="F423">
        <f>IF(Skills!N22=TRUE,(Skills!L22/10)*(E423/1000),Skills!L22/10)+Skills!O22</f>
        <v/>
      </c>
      <c r="G423">
        <f>Skills!G22*IF(Skills!H22&gt;0,Skills!I22/Skills!H22,1)</f>
        <v/>
      </c>
      <c r="H423">
        <f>1-(1-Skills!J22/100)^Skills!K22</f>
        <v/>
      </c>
      <c r="I423" t="inlineStr">
        <is>
          <t>1</t>
        </is>
      </c>
      <c r="J423" t="inlineStr"/>
      <c r="K423" t="inlineStr"/>
      <c r="L423" t="inlineStr"/>
      <c r="M423" t="inlineStr"/>
      <c r="N423" t="inlineStr"/>
      <c r="O423">
        <f>(1-Summary!$B$55)*T423+Summary!$B$55*V423</f>
        <v/>
      </c>
      <c r="P423">
        <f>IF(B444=0,0,O423/B444)</f>
        <v/>
      </c>
      <c r="Q423" t="n">
        <v>0</v>
      </c>
      <c r="R423" t="n">
        <v>0</v>
      </c>
      <c r="S423">
        <f>IFERROR(O423/N423,0)</f>
        <v/>
      </c>
      <c r="T423" t="n">
        <v>0</v>
      </c>
      <c r="V423" t="n">
        <v>0</v>
      </c>
    </row>
    <row r="424">
      <c r="A424">
        <f>Skills!A23</f>
        <v/>
      </c>
      <c r="B424">
        <f>Skills!B23</f>
        <v/>
      </c>
      <c r="C424">
        <f>Inputs!$B$3&gt;=38</f>
        <v/>
      </c>
      <c r="D424">
        <f>IF(Skills!C23=1,60+Inputs!$B$25+Inputs!$B$29,IF(Skills!C23=2,90+Inputs!$B$26+Inputs!$B$29,IF(Skills!C23=3,120+Inputs!$B$27+Inputs!$B$29,MAX(0,(Inputs!$B$3-100)*3)+Inputs!$B$28+Inputs!$B$29)))</f>
        <v/>
      </c>
      <c r="E424">
        <f>INDEX(FactorTable!$B$2:$Y$301, MATCH(ROUND(MIN(300,MAX(1,D424)),0), FactorTable!$A$2:$A$301,0), Skills!M23+1)</f>
        <v/>
      </c>
      <c r="F424">
        <f>IF(Skills!N23=TRUE,(Skills!L23/10)*(E424/1000),Skills!L23/10)+Skills!O23</f>
        <v/>
      </c>
      <c r="G424">
        <f>Skills!G23*IF(Skills!H23&gt;0,Skills!I23/Skills!H23,1)</f>
        <v/>
      </c>
      <c r="H424">
        <f>1-(1-Skills!J23/100)^Skills!K23</f>
        <v/>
      </c>
      <c r="I424" t="inlineStr">
        <is>
          <t>1</t>
        </is>
      </c>
      <c r="J424" t="inlineStr"/>
      <c r="K424" t="inlineStr"/>
      <c r="L424" t="inlineStr"/>
      <c r="M424" t="inlineStr"/>
      <c r="N424" t="inlineStr"/>
      <c r="O424">
        <f>(1-Summary!$B$55)*T424+Summary!$B$55*V424</f>
        <v/>
      </c>
      <c r="P424">
        <f>IF(B444=0,0,O424/B444)</f>
        <v/>
      </c>
      <c r="Q424" t="n">
        <v>0</v>
      </c>
      <c r="R424" t="n">
        <v>0</v>
      </c>
      <c r="S424">
        <f>IFERROR(O424/N424,0)</f>
        <v/>
      </c>
      <c r="T424" t="n">
        <v>0</v>
      </c>
      <c r="V424" t="n">
        <v>0</v>
      </c>
    </row>
    <row r="425">
      <c r="A425">
        <f>Skills!A24</f>
        <v/>
      </c>
      <c r="B425">
        <f>Skills!B24</f>
        <v/>
      </c>
      <c r="C425">
        <f>Inputs!$B$3&gt;=43</f>
        <v/>
      </c>
      <c r="D425">
        <f>IF(Skills!C24=1,60+Inputs!$B$25+Inputs!$B$29,IF(Skills!C24=2,90+Inputs!$B$26+Inputs!$B$29,IF(Skills!C24=3,120+Inputs!$B$27+Inputs!$B$29,MAX(0,(Inputs!$B$3-100)*3)+Inputs!$B$28+Inputs!$B$29)))</f>
        <v/>
      </c>
      <c r="E425">
        <f>INDEX(FactorTable!$B$2:$Y$301, MATCH(ROUND(MIN(300,MAX(1,D425)),0), FactorTable!$A$2:$A$301,0), Skills!M24+1)</f>
        <v/>
      </c>
      <c r="F425">
        <f>IF(Skills!N24=TRUE,(Skills!L24/10)*(E425/1000),Skills!L24/10)+Skills!O24</f>
        <v/>
      </c>
      <c r="G425">
        <f>Skills!G24*IF(Skills!H24&gt;0,Skills!I24/Skills!H24,1)</f>
        <v/>
      </c>
      <c r="H425">
        <f>1-(1-Skills!J24/100)^Skills!K24</f>
        <v/>
      </c>
      <c r="I425" t="inlineStr">
        <is>
          <t>1</t>
        </is>
      </c>
      <c r="J425" t="inlineStr"/>
      <c r="K425" t="inlineStr"/>
      <c r="L425" t="inlineStr"/>
      <c r="M425" t="inlineStr"/>
      <c r="N425" t="inlineStr"/>
      <c r="O425">
        <f>(1-Summary!$B$55)*T425+Summary!$B$55*V425</f>
        <v/>
      </c>
      <c r="P425">
        <f>IF(B444=0,0,O425/B444)</f>
        <v/>
      </c>
      <c r="Q425" t="n">
        <v>0</v>
      </c>
      <c r="R425" t="n">
        <v>0</v>
      </c>
      <c r="S425">
        <f>IFERROR(O425/N425,0)</f>
        <v/>
      </c>
      <c r="T425" t="n">
        <v>0</v>
      </c>
      <c r="V425" t="n">
        <v>0</v>
      </c>
    </row>
    <row r="426">
      <c r="A426">
        <f>Skills!A25</f>
        <v/>
      </c>
      <c r="B426">
        <f>Skills!B25</f>
        <v/>
      </c>
      <c r="C426">
        <f>Inputs!$B$3&gt;=75</f>
        <v/>
      </c>
      <c r="D426">
        <f>IF(Skills!C25=1,60+Inputs!$B$25+Inputs!$B$29,IF(Skills!C25=2,90+Inputs!$B$26+Inputs!$B$29,IF(Skills!C25=3,120+Inputs!$B$27+Inputs!$B$29,MAX(0,(Inputs!$B$3-100)*3)+Inputs!$B$28+Inputs!$B$29)))</f>
        <v/>
      </c>
      <c r="E426">
        <f>INDEX(FactorTable!$B$2:$Y$301, MATCH(ROUND(MIN(300,MAX(1,D426)),0), FactorTable!$A$2:$A$301,0), Skills!M25+1)</f>
        <v/>
      </c>
      <c r="F426">
        <f>IF(Skills!N25=TRUE,(Skills!L25/10)*(E426/1000),Skills!L25/10)+Skills!O25</f>
        <v/>
      </c>
      <c r="G426">
        <f>Skills!G25*IF(Skills!H25&gt;0,Skills!I25/Skills!H25,1)</f>
        <v/>
      </c>
      <c r="H426">
        <f>1-(1-Skills!J25/100)^Skills!K25</f>
        <v/>
      </c>
      <c r="I426" t="inlineStr">
        <is>
          <t>1</t>
        </is>
      </c>
      <c r="J426" t="inlineStr"/>
      <c r="K426" t="inlineStr"/>
      <c r="L426" t="inlineStr"/>
      <c r="M426" t="inlineStr"/>
      <c r="N426" t="inlineStr"/>
      <c r="O426">
        <f>(1-Summary!$B$55)*T426+Summary!$B$55*V426</f>
        <v/>
      </c>
      <c r="P426">
        <f>IF(B444=0,0,O426/B444)</f>
        <v/>
      </c>
      <c r="Q426" t="n">
        <v>0</v>
      </c>
      <c r="R426" t="n">
        <v>0</v>
      </c>
      <c r="S426">
        <f>IFERROR(O426/N426,0)</f>
        <v/>
      </c>
      <c r="T426" t="n">
        <v>0</v>
      </c>
      <c r="V426" t="n">
        <v>0</v>
      </c>
    </row>
    <row r="427">
      <c r="A427">
        <f>Skills!A26</f>
        <v/>
      </c>
      <c r="B427">
        <f>Skills!B26</f>
        <v/>
      </c>
      <c r="C427">
        <f>Inputs!$B$3&gt;=125</f>
        <v/>
      </c>
      <c r="D427">
        <f>IF(Skills!C26=1,60+Inputs!$B$25+Inputs!$B$29,IF(Skills!C26=2,90+Inputs!$B$26+Inputs!$B$29,IF(Skills!C26=3,120+Inputs!$B$27+Inputs!$B$29,MAX(0,(Inputs!$B$3-100)*3)+Inputs!$B$28+Inputs!$B$29)))</f>
        <v/>
      </c>
      <c r="E427">
        <f>INDEX(FactorTable!$B$2:$Y$301, MATCH(ROUND(MIN(300,MAX(1,D427)),0), FactorTable!$A$2:$A$301,0), Skills!M26+1)</f>
        <v/>
      </c>
      <c r="F427">
        <f>IF(Skills!N26=TRUE,(Skills!L26/10)*(E427/1000),Skills!L26/10)+Skills!O26</f>
        <v/>
      </c>
      <c r="G427">
        <f>Skills!G26*IF(Skills!H26&gt;0,Skills!I26/Skills!H26,1)</f>
        <v/>
      </c>
      <c r="H427">
        <f>1-(1-Skills!J26/100)^Skills!K26</f>
        <v/>
      </c>
      <c r="I427" t="inlineStr">
        <is>
          <t>1</t>
        </is>
      </c>
      <c r="J427" t="inlineStr"/>
      <c r="K427" t="inlineStr"/>
      <c r="L427" t="inlineStr"/>
      <c r="M427" t="inlineStr"/>
      <c r="N427" t="inlineStr"/>
      <c r="O427">
        <f>(1-Summary!$B$55)*T427+Summary!$B$55*V427</f>
        <v/>
      </c>
      <c r="P427">
        <f>IF(B444=0,0,O427/B444)</f>
        <v/>
      </c>
      <c r="Q427" t="n">
        <v>0</v>
      </c>
      <c r="R427" t="n">
        <v>0</v>
      </c>
      <c r="S427">
        <f>IFERROR(O427/N427,0)</f>
        <v/>
      </c>
      <c r="T427" t="n">
        <v>0</v>
      </c>
      <c r="V427" t="n">
        <v>0</v>
      </c>
    </row>
    <row r="428">
      <c r="A428">
        <f>Skills!A27</f>
        <v/>
      </c>
      <c r="B428">
        <f>Skills!B27</f>
        <v/>
      </c>
      <c r="C428">
        <f>Inputs!$B$3&gt;=125</f>
        <v/>
      </c>
      <c r="D428">
        <f>IF(Skills!C27=1,60+Inputs!$B$25+Inputs!$B$29,IF(Skills!C27=2,90+Inputs!$B$26+Inputs!$B$29,IF(Skills!C27=3,120+Inputs!$B$27+Inputs!$B$29,MAX(0,(Inputs!$B$3-100)*3)+Inputs!$B$28+Inputs!$B$29)))</f>
        <v/>
      </c>
      <c r="E428">
        <f>INDEX(FactorTable!$B$2:$Y$301, MATCH(ROUND(MIN(300,MAX(1,D428)),0), FactorTable!$A$2:$A$301,0), Skills!M27+1)</f>
        <v/>
      </c>
      <c r="F428">
        <f>IF(Skills!N27=TRUE,(Skills!L27/10)*(E428/1000),Skills!L27/10)+Skills!O27</f>
        <v/>
      </c>
      <c r="G428">
        <f>Skills!G27*IF(Skills!H27&gt;0,Skills!I27/Skills!H27,1)</f>
        <v/>
      </c>
      <c r="H428">
        <f>1-(1-Skills!J27/100)^Skills!K27</f>
        <v/>
      </c>
      <c r="I428" t="inlineStr">
        <is>
          <t>1</t>
        </is>
      </c>
      <c r="J428" t="inlineStr"/>
      <c r="K428" t="inlineStr"/>
      <c r="L428" t="inlineStr"/>
      <c r="M428" t="inlineStr"/>
      <c r="N428" t="inlineStr"/>
      <c r="O428">
        <f>(1-Summary!$B$55)*T428+Summary!$B$55*V428</f>
        <v/>
      </c>
      <c r="P428">
        <f>IF(B444=0,0,O428/B444)</f>
        <v/>
      </c>
      <c r="Q428" t="n">
        <v>0</v>
      </c>
      <c r="R428" t="n">
        <v>0</v>
      </c>
      <c r="S428">
        <f>IFERROR(O428/N428,0)</f>
        <v/>
      </c>
      <c r="T428" t="n">
        <v>0</v>
      </c>
      <c r="V428" t="n">
        <v>0</v>
      </c>
    </row>
    <row r="429">
      <c r="A429">
        <f>Skills!A28</f>
        <v/>
      </c>
      <c r="B429">
        <f>Skills!B28</f>
        <v/>
      </c>
      <c r="C429">
        <f>Inputs!$B$3&gt;=120</f>
        <v/>
      </c>
      <c r="D429">
        <f>IF(Skills!C28=1,60+Inputs!$B$25+Inputs!$B$29,IF(Skills!C28=2,90+Inputs!$B$26+Inputs!$B$29,IF(Skills!C28=3,120+Inputs!$B$27+Inputs!$B$29,MAX(0,(Inputs!$B$3-100)*3)+Inputs!$B$28+Inputs!$B$29)))</f>
        <v/>
      </c>
      <c r="E429">
        <f>INDEX(FactorTable!$B$2:$Y$301, MATCH(ROUND(MIN(300,MAX(1,D429)),0), FactorTable!$A$2:$A$301,0), Skills!M28+1)</f>
        <v/>
      </c>
      <c r="F429">
        <f>IF(Skills!N28=TRUE,(Skills!L28/10)*(E429/1000),Skills!L28/10)+Skills!O28</f>
        <v/>
      </c>
      <c r="G429">
        <f>Skills!G28*IF(Skills!H28&gt;0,Skills!I28/Skills!H28,1)</f>
        <v/>
      </c>
      <c r="H429">
        <f>1-(1-Skills!J28/100)^Skills!K28</f>
        <v/>
      </c>
      <c r="I429" t="inlineStr">
        <is>
          <t>1</t>
        </is>
      </c>
      <c r="J429" t="inlineStr"/>
      <c r="K429" t="inlineStr"/>
      <c r="L429" t="inlineStr"/>
      <c r="M429" t="inlineStr"/>
      <c r="N429" t="inlineStr"/>
      <c r="O429">
        <f>(1-Summary!$B$55)*T429+Summary!$B$55*V429</f>
        <v/>
      </c>
      <c r="P429">
        <f>IF(B444=0,0,O429/B444)</f>
        <v/>
      </c>
      <c r="Q429" t="n">
        <v>0</v>
      </c>
      <c r="R429" t="n">
        <v>0</v>
      </c>
      <c r="S429">
        <f>IFERROR(O429/N429,0)</f>
        <v/>
      </c>
      <c r="T429" t="n">
        <v>0</v>
      </c>
      <c r="V429" t="n">
        <v>0</v>
      </c>
    </row>
    <row r="430">
      <c r="A430">
        <f>Skills!A29</f>
        <v/>
      </c>
      <c r="B430">
        <f>Skills!B29</f>
        <v/>
      </c>
      <c r="C430">
        <f>Inputs!$B$3&gt;=120</f>
        <v/>
      </c>
      <c r="D430">
        <f>IF(Skills!C29=1,60+Inputs!$B$25+Inputs!$B$29,IF(Skills!C29=2,90+Inputs!$B$26+Inputs!$B$29,IF(Skills!C29=3,120+Inputs!$B$27+Inputs!$B$29,MAX(0,(Inputs!$B$3-100)*3)+Inputs!$B$28+Inputs!$B$29)))</f>
        <v/>
      </c>
      <c r="E430">
        <f>INDEX(FactorTable!$B$2:$Y$301, MATCH(ROUND(MIN(300,MAX(1,D430)),0), FactorTable!$A$2:$A$301,0), Skills!M29+1)</f>
        <v/>
      </c>
      <c r="F430">
        <f>IF(Skills!N29=TRUE,(Skills!L29/10)*(E430/1000),Skills!L29/10)+Skills!O29</f>
        <v/>
      </c>
      <c r="G430">
        <f>Skills!G29*IF(Skills!H29&gt;0,Skills!I29/Skills!H29,1)</f>
        <v/>
      </c>
      <c r="H430">
        <f>1-(1-Skills!J29/100)^Skills!K29</f>
        <v/>
      </c>
      <c r="I430" t="inlineStr">
        <is>
          <t>1</t>
        </is>
      </c>
      <c r="J430" t="inlineStr"/>
      <c r="K430" t="inlineStr"/>
      <c r="L430" t="inlineStr"/>
      <c r="M430" t="inlineStr"/>
      <c r="N430" t="inlineStr"/>
      <c r="O430">
        <f>(1-Summary!$B$55)*T430+Summary!$B$55*V430</f>
        <v/>
      </c>
      <c r="P430">
        <f>IF(B444=0,0,O430/B444)</f>
        <v/>
      </c>
      <c r="Q430" t="n">
        <v>0</v>
      </c>
      <c r="R430" t="n">
        <v>0</v>
      </c>
      <c r="S430">
        <f>IFERROR(O430/N430,0)</f>
        <v/>
      </c>
      <c r="T430" t="n">
        <v>0</v>
      </c>
      <c r="V430" t="n">
        <v>0</v>
      </c>
    </row>
    <row r="431">
      <c r="A431">
        <f>Skills!A30</f>
        <v/>
      </c>
      <c r="B431">
        <f>Skills!B30</f>
        <v/>
      </c>
      <c r="C431">
        <f>Inputs!$B$3&gt;=45</f>
        <v/>
      </c>
      <c r="D431">
        <f>IF(Skills!C30=1,60+Inputs!$B$25+Inputs!$B$29,IF(Skills!C30=2,90+Inputs!$B$26+Inputs!$B$29,IF(Skills!C30=3,120+Inputs!$B$27+Inputs!$B$29,MAX(0,(Inputs!$B$3-100)*3)+Inputs!$B$28+Inputs!$B$29)))</f>
        <v/>
      </c>
      <c r="E431">
        <f>INDEX(FactorTable!$B$2:$Y$301, MATCH(ROUND(MIN(300,MAX(1,D431)),0), FactorTable!$A$2:$A$301,0), Skills!M30+1)</f>
        <v/>
      </c>
      <c r="F431">
        <f>IF(Skills!N30=TRUE,(Skills!L30/10)*(E431/1000),Skills!L30/10)+Skills!O30</f>
        <v/>
      </c>
      <c r="G431">
        <f>Skills!G30*IF(Skills!H30&gt;0,Skills!I30/Skills!H30,1)</f>
        <v/>
      </c>
      <c r="H431">
        <f>1-(1-Skills!J30/100)^Skills!K30</f>
        <v/>
      </c>
      <c r="I431" t="inlineStr">
        <is>
          <t>1</t>
        </is>
      </c>
      <c r="J431" t="inlineStr"/>
      <c r="K431" t="inlineStr"/>
      <c r="L431" t="inlineStr"/>
      <c r="M431" t="inlineStr"/>
      <c r="N431" t="inlineStr"/>
      <c r="O431">
        <f>(1-Summary!$B$55)*T431+Summary!$B$55*V431</f>
        <v/>
      </c>
      <c r="P431">
        <f>IF(B444=0,0,O431/B444)</f>
        <v/>
      </c>
      <c r="Q431" t="n">
        <v>0</v>
      </c>
      <c r="R431" t="n">
        <v>0</v>
      </c>
      <c r="S431">
        <f>IFERROR(O431/N431,0)</f>
        <v/>
      </c>
      <c r="T431" t="n">
        <v>0</v>
      </c>
      <c r="V431" t="n">
        <v>0</v>
      </c>
    </row>
    <row r="433">
      <c r="A433" t="inlineStr">
        <is>
          <t>Attack% Bucket Multiplier</t>
        </is>
      </c>
      <c r="B433">
        <f>(1+(((C414=TRUE)*F414)+((C415=TRUE)*IF(Inputs!$B$38="pvp",F415,(1-Summary!$B$55)*(F415)+Summary!$B$55*(0)))+((C416=TRUE)*F416*IF(AND(Inputs!$B$38&lt;&gt;"pvp",Inputs!$B$43&gt;0),(((R416-1)*(Skills!T15*(1+Inputs!$B$34/100))+MIN((Skills!T15*(1+Inputs!$B$34/100)),MAX(0,Inputs!$B$43-((R416-1)*Skills!D15))))/Inputs!$B$43),IF(Inputs!$B$38="pvp",MIN((Skills!T15*(1+Inputs!$B$34/100)),15)/15,(Skills!T15*(1+Inputs!$B$34/100))/Skills!D15)))+((C431=TRUE)*(F431-Calc!F30)))/100)</f>
        <v/>
      </c>
    </row>
    <row r="434">
      <c r="A434" t="inlineStr">
        <is>
          <t>Global Crit Rate Bonus %</t>
        </is>
      </c>
      <c r="B434">
        <f>(C417=TRUE)*20*IF(AND(Inputs!$B$38&lt;&gt;"pvp",Inputs!$B$43&gt;0),(((R417-1)*(Skills!T16*(1+Inputs!$B$34/100))+MIN((Skills!T16*(1+Inputs!$B$34/100)),MAX(0,Inputs!$B$43-((R417-1)*Skills!D16))))/Inputs!$B$43),IF(Inputs!$B$38="pvp",MIN((Skills!T16*(1+Inputs!$B$34/100)),15)/15,(Skills!T16*(1+Inputs!$B$34/100))/Skills!D16))</f>
        <v/>
      </c>
    </row>
    <row r="435">
      <c r="A435" t="inlineStr">
        <is>
          <t>Attack Speed Buff Bonus %</t>
        </is>
      </c>
      <c r="B435">
        <f>((C420=TRUE)*F420*IF(AND(Inputs!$B$38&lt;&gt;"pvp",Inputs!$B$43&gt;0),(((R420-1)*(Skills!T19*(1+Inputs!$B$34/100))+MIN((Skills!T19*(1+Inputs!$B$34/100)),MAX(0,Inputs!$B$43-((R420-1)*Skills!D19))))/Inputs!$B$43),IF(Inputs!$B$38="pvp",MIN((Skills!T19*(1+Inputs!$B$34/100)),15)/15,(Skills!T19*(1+Inputs!$B$34/100))/Skills!D19)))</f>
        <v/>
      </c>
    </row>
    <row r="436">
      <c r="A436" t="inlineStr">
        <is>
          <t>Actions Per Second</t>
        </is>
      </c>
      <c r="B436">
        <f>1+MIN(150,150*(1-(1-(Inputs!$B$11+((C422=TRUE)*(F422-Calc!F21))+((C423=TRUE)*(F423-Calc!F22)))/150)*(1-B435/150)))/100</f>
        <v/>
      </c>
    </row>
    <row r="437">
      <c r="A437" t="inlineStr">
        <is>
          <t>Skill + Buff Cast Rate</t>
        </is>
      </c>
      <c r="B437">
        <f>IF(AND(Inputs!$B$38&lt;&gt;"pvp",Inputs!$B$43&gt;0),SUMPRODUCT((Skills!E2:E30=TRUE)*(C403:C431=TRUE)*R403:R431*Skills!F2:F30)/Inputs!$B$43,SUMPRODUCT((Skills!E2:E30=TRUE)*(C403:C431=TRUE)*Q403:Q431*Skills!F2:F30))</f>
        <v/>
      </c>
    </row>
    <row r="438">
      <c r="A438" t="inlineStr">
        <is>
          <t>Arrow Stream Casts Per Second</t>
        </is>
      </c>
      <c r="B438">
        <f>MAX(0,B436-B437)</f>
        <v/>
      </c>
    </row>
    <row r="439">
      <c r="A439" t="inlineStr">
        <is>
          <t>Global Critical Damage Bonus % (Sharp Eyes + Concentration)</t>
        </is>
      </c>
      <c r="B439">
        <f>(C417=TRUE)*F417*IF(AND(Inputs!$B$38&lt;&gt;"pvp",Inputs!$B$43&gt;0),(((R417-1)*(Skills!T16*(1+Inputs!$B$34/100))+MIN((Skills!T16*(1+Inputs!$B$34/100)),MAX(0,Inputs!$B$43-((R417-1)*Skills!D16))))/Inputs!$B$43),IF(Inputs!$B$38="pvp",MIN((Skills!T16*(1+Inputs!$B$34/100)),15)/15,(Skills!T16*(1+Inputs!$B$34/100))/Skills!D16))+(C418=TRUE)*30</f>
        <v/>
      </c>
    </row>
    <row r="440">
      <c r="A440" t="inlineStr">
        <is>
          <t>Global Final Damage Bonus % (Mortal Blow)</t>
        </is>
      </c>
      <c r="B440">
        <f>(C419=TRUE)*F419</f>
        <v/>
      </c>
    </row>
    <row r="441">
      <c r="A441" t="inlineStr">
        <is>
          <t>Buff-Casting Startup Delay (s, fixed-duration only)</t>
        </is>
      </c>
      <c r="B441">
        <f>IF(AND(Inputs!$B$38&lt;&gt;"pvp",Inputs!$B$43&gt;0),SUMPRODUCT((Skills!T2:T30&gt;0)*(Skills!E2:E30=TRUE)*(C403:C431=TRUE))/B436,0)</f>
        <v/>
      </c>
    </row>
    <row r="442">
      <c r="A442" t="inlineStr">
        <is>
          <t>Boss-Only Total DPS (this block's swept value)</t>
        </is>
      </c>
      <c r="B442">
        <f>SUM(T403:T431)</f>
        <v/>
      </c>
    </row>
    <row r="443">
      <c r="A443" t="inlineStr">
        <is>
          <t>Normal-Only Total DPS (this block's swept value)</t>
        </is>
      </c>
      <c r="B443">
        <f>SUM(V403:V431)</f>
        <v/>
      </c>
    </row>
    <row r="444">
      <c r="A444" s="5" t="inlineStr">
        <is>
          <t>TOTAL DPS</t>
        </is>
      </c>
      <c r="B444" s="5">
        <f>SUM(O403:O431)</f>
        <v/>
      </c>
    </row>
    <row r="447">
      <c r="A447" s="5" t="inlineStr">
        <is>
          <t>Stat: MAX_DAMAGE %</t>
        </is>
      </c>
    </row>
    <row r="448">
      <c r="A448" s="9" t="inlineStr">
        <is>
          <t>Key</t>
        </is>
      </c>
      <c r="B448" s="9" t="inlineStr">
        <is>
          <t>Name</t>
        </is>
      </c>
      <c r="C448" s="9" t="inlineStr">
        <is>
          <t>Unlocked</t>
        </is>
      </c>
      <c r="D448" s="9" t="inlineStr">
        <is>
          <t>InputLevel</t>
        </is>
      </c>
      <c r="E448" s="9" t="inlineStr">
        <is>
          <t>Factor</t>
        </is>
      </c>
      <c r="F448" s="9" t="inlineStr">
        <is>
          <t>CoefficientPercent</t>
        </is>
      </c>
      <c r="G448" s="9" t="inlineStr">
        <is>
          <t>EffectiveHits</t>
        </is>
      </c>
      <c r="H448" s="9" t="inlineStr">
        <is>
          <t>ProcProbability</t>
        </is>
      </c>
      <c r="I448" s="9" t="inlineStr">
        <is>
          <t>MapleHeroMultiplier</t>
        </is>
      </c>
      <c r="J448" s="9" t="inlineStr">
        <is>
          <t>BaseDamage</t>
        </is>
      </c>
      <c r="K448" s="9" t="inlineStr">
        <is>
          <t>BaseHitDamage</t>
        </is>
      </c>
      <c r="L448" s="9" t="inlineStr">
        <is>
          <t>NonCritAvg</t>
        </is>
      </c>
      <c r="M448" s="9" t="inlineStr">
        <is>
          <t>CritAvg</t>
        </is>
      </c>
      <c r="N448" s="9" t="inlineStr">
        <is>
          <t>ExpectedDamage(perHit)</t>
        </is>
      </c>
      <c r="O448" s="9" t="inlineStr">
        <is>
          <t>DPS</t>
        </is>
      </c>
      <c r="P448" s="9" t="inlineStr">
        <is>
          <t>% of Total</t>
        </is>
      </c>
      <c r="Q448" s="9" t="inlineStr">
        <is>
          <t>InvCooldown</t>
        </is>
      </c>
      <c r="R448" s="9" t="inlineStr">
        <is>
          <t>CastsInFight</t>
        </is>
      </c>
      <c r="S448" s="9" t="inlineStr">
        <is>
          <t>HitRate(perSec)</t>
        </is>
      </c>
      <c r="U448" t="inlineStr">
        <is>
          <t>helpers</t>
        </is>
      </c>
    </row>
    <row r="449">
      <c r="A449">
        <f>Skills!A2</f>
        <v/>
      </c>
      <c r="B449">
        <f>Skills!B2</f>
        <v/>
      </c>
      <c r="C449">
        <f>Inputs!$B$3&gt;=100</f>
        <v/>
      </c>
      <c r="D449" t="inlineStr"/>
      <c r="E449" t="inlineStr"/>
      <c r="F449">
        <f>U451+Skills!O2</f>
        <v/>
      </c>
      <c r="G449">
        <f>Skills!G2*IF(Skills!H2&gt;0,Skills!I2/Skills!H2,1)</f>
        <v/>
      </c>
      <c r="H449">
        <f>1-(1-Skills!J2/100)^Skills!K2</f>
        <v/>
      </c>
      <c r="I449" t="inlineStr">
        <is>
          <t>1</t>
        </is>
      </c>
      <c r="J449">
        <f>((Inputs!$B$6*(1+Inputs!$B$7/100))+(((Inputs!$B$12*(1+Inputs!$B$13/100))-(Inputs!$B$12*(1+Inputs!$B$13/100)))+0.25*(Inputs!$B$14-Inputs!$B$14))*(1+Inputs!$B$7/100))*(F449/100)</f>
        <v/>
      </c>
      <c r="K449">
        <f>J449*(1+((Inputs!$B$12*(1+Inputs!$B$13/100))*0.01+Inputs!$B$14*0.0025)/100)*(1+Inputs!$B$15/100)*(1+Inputs!$B$16/100)*(5000/(6000+Inputs!$B$42*(1-(Inputs!$B$19+((C474=TRUE)*(F474-Calc!F27)))/100)))*(1+(Inputs!$B$24+((C472=TRUE)*(F472-Calc!F25))+((C473=TRUE)*(F473-Calc!F26))+B486)/100)*(1+(IF(Skills!A2="ARROW_STREAM",Inputs!$B$17+((C470=TRUE)*(F470-Calc!F23)),Inputs!$B$18+((C475=TRUE)*(F475-Calc!F28))))/100)*((1+(((C460=TRUE)*F460)+((C461=TRUE)*IF(Inputs!$B$38="pvp",F461,(1-Summary!$B$55)*(F461)+Summary!$B$55*(0)))+((C462=TRUE)*F462*IF(AND(Inputs!$B$38&lt;&gt;"pvp",Inputs!$B$43&gt;0),(((R462-1)*(Skills!T15*(1+Inputs!$B$34/100))+MIN((Skills!T15*(1+Inputs!$B$34/100)),MAX(0,Inputs!$B$43-((R462-1)*Skills!D15))))/Inputs!$B$43),IF(Inputs!$B$38="pvp",MIN((Skills!T15*(1+Inputs!$B$34/100)),15)/15,(Skills!T15*(1+Inputs!$B$34/100))/Skills!D15)))+((C477=TRUE)*(F477-Calc!F30)))/100)*I449)</f>
        <v/>
      </c>
      <c r="L449">
        <f>K449*(MIN(Inputs!$B$22+((C471=TRUE)*(F471-Calc!F24)),(Inputs!$B$23+1)+((C476=TRUE)*(F476-Calc!F29)))/100+((Inputs!$B$23+1)+((C476=TRUE)*(F476-Calc!F29)))/100)/2</f>
        <v/>
      </c>
      <c r="M449">
        <f>L449*(1+(Inputs!$B$10+0+B485)/100)</f>
        <v/>
      </c>
      <c r="N449">
        <f>L449*(1-MIN((Inputs!$B$9+((C467=TRUE)*(F467-Calc!F20))+B480),100)/100)+M449*(MIN((Inputs!$B$9+((C467=TRUE)*(F467-Calc!F20))+B480),100)/100)</f>
        <v/>
      </c>
      <c r="O449">
        <f>(1-Summary!$B$55)*T449+Summary!$B$55*V449</f>
        <v/>
      </c>
      <c r="P449">
        <f>IF(B490=0,0,O449/B490)</f>
        <v/>
      </c>
      <c r="Q449" t="n">
        <v>0</v>
      </c>
      <c r="R449" t="n">
        <v>0</v>
      </c>
      <c r="S449">
        <f>IFERROR(O449/N449,0)</f>
        <v/>
      </c>
      <c r="T449">
        <f>IF(C449,(Skills!G2*N449*B484)*IF(Inputs!$B$38="pvp",1,1+(Inputs!$B$20+0+Skills!P2)/100),0)</f>
        <v/>
      </c>
      <c r="U449">
        <f>MAX(0,(Inputs!$B$3-100)*3)+Inputs!$B$28+Inputs!$B$29</f>
        <v/>
      </c>
      <c r="V449">
        <f>IF(C449,(Skills!G2*N449*B484)*IF(Inputs!$B$38="pvp",1,(1+(Inputs!$B$21+Skills!Q2)/100)*(MIN((6+Inputs!$B$33),Inputs!$B$37))),0)</f>
        <v/>
      </c>
    </row>
    <row r="450">
      <c r="A450">
        <f>Skills!A3</f>
        <v/>
      </c>
      <c r="B450">
        <f>Skills!B3</f>
        <v/>
      </c>
      <c r="C450">
        <f>Inputs!$B$3&gt;=50</f>
        <v/>
      </c>
      <c r="D450">
        <f>IF(Skills!C3=1,60+Inputs!$B$25+Inputs!$B$29,IF(Skills!C3=2,90+Inputs!$B$26+Inputs!$B$29,IF(Skills!C3=3,120+Inputs!$B$27+Inputs!$B$29,MAX(0,(Inputs!$B$3-100)*3)+Inputs!$B$28+Inputs!$B$29)))</f>
        <v/>
      </c>
      <c r="E450">
        <f>INDEX(FactorTable!$B$2:$Y$301, MATCH(ROUND(MIN(300,MAX(1,D450)),0), FactorTable!$A$2:$A$301,0), Skills!M3+1)</f>
        <v/>
      </c>
      <c r="F450">
        <f>IF(Skills!N3=TRUE,(Skills!L3/10)*(E450/1000),Skills!L3/10)+Skills!O3</f>
        <v/>
      </c>
      <c r="G450" t="inlineStr"/>
      <c r="H450" t="inlineStr"/>
      <c r="I450" t="inlineStr">
        <is>
          <t>1</t>
        </is>
      </c>
      <c r="J450" t="inlineStr"/>
      <c r="K450" t="inlineStr"/>
      <c r="L450" t="inlineStr"/>
      <c r="M450" t="inlineStr"/>
      <c r="N450" t="inlineStr"/>
      <c r="O450" t="inlineStr"/>
      <c r="P450" t="inlineStr"/>
      <c r="Q450" t="inlineStr"/>
      <c r="R450" t="inlineStr"/>
      <c r="S450" t="inlineStr"/>
      <c r="T450" t="inlineStr"/>
      <c r="U450">
        <f>INDEX(FactorTable!$B$2:$Y$301, MATCH(ROUND(MIN(300,MAX(1,U449)),0), FactorTable!$A$2:$A$301,0), 22)</f>
        <v/>
      </c>
      <c r="V450" t="inlineStr"/>
    </row>
    <row r="451">
      <c r="A451">
        <f>Skills!A4</f>
        <v/>
      </c>
      <c r="B451">
        <f>Skills!B4</f>
        <v/>
      </c>
      <c r="C451">
        <f>Inputs!$B$3&gt;=105</f>
        <v/>
      </c>
      <c r="D451">
        <f>IF(Skills!C4=1,60+Inputs!$B$25+Inputs!$B$29,IF(Skills!C4=2,90+Inputs!$B$26+Inputs!$B$29,IF(Skills!C4=3,120+Inputs!$B$27+Inputs!$B$29,MAX(0,(Inputs!$B$3-100)*3)+Inputs!$B$28+Inputs!$B$29)))</f>
        <v/>
      </c>
      <c r="E451">
        <f>INDEX(FactorTable!$B$2:$Y$301, MATCH(ROUND(MIN(300,MAX(1,D451)),0), FactorTable!$A$2:$A$301,0), Skills!M4+1)</f>
        <v/>
      </c>
      <c r="F451">
        <f>IF(Skills!N4=TRUE,(Skills!L4/10)*(E451/1000),Skills!L4/10)+Skills!O4</f>
        <v/>
      </c>
      <c r="G451" t="inlineStr"/>
      <c r="H451" t="inlineStr"/>
      <c r="I451" t="inlineStr">
        <is>
          <t>1</t>
        </is>
      </c>
      <c r="J451" t="inlineStr"/>
      <c r="K451" t="inlineStr"/>
      <c r="L451" t="inlineStr"/>
      <c r="M451" t="inlineStr"/>
      <c r="N451" t="inlineStr"/>
      <c r="O451" t="inlineStr"/>
      <c r="P451" t="inlineStr"/>
      <c r="Q451" t="inlineStr"/>
      <c r="R451" t="inlineStr"/>
      <c r="S451" t="inlineStr"/>
      <c r="T451" t="inlineStr"/>
      <c r="U451">
        <f>290*U450/1000</f>
        <v/>
      </c>
      <c r="V451" t="inlineStr"/>
    </row>
    <row r="452">
      <c r="A452">
        <f>Skills!A5</f>
        <v/>
      </c>
      <c r="B452">
        <f>Skills!B5</f>
        <v/>
      </c>
      <c r="C452">
        <f>Inputs!$B$3&gt;=35</f>
        <v/>
      </c>
      <c r="D452">
        <f>IF(Skills!C5=1,60+Inputs!$B$25+Inputs!$B$29,IF(Skills!C5=2,90+Inputs!$B$26+Inputs!$B$29,IF(Skills!C5=3,120+Inputs!$B$27+Inputs!$B$29,MAX(0,(Inputs!$B$3-100)*3)+Inputs!$B$28+Inputs!$B$29)))</f>
        <v/>
      </c>
      <c r="E452">
        <f>INDEX(FactorTable!$B$2:$Y$301, MATCH(ROUND(MIN(300,MAX(1,D452)),0), FactorTable!$A$2:$A$301,0), Skills!M5+1)</f>
        <v/>
      </c>
      <c r="F452">
        <f>IF(Skills!N5=TRUE,(Skills!L5/10)*(E452/1000),Skills!L5/10)+Skills!O5</f>
        <v/>
      </c>
      <c r="G452">
        <f>Skills!G5*IF(Skills!H5&gt;0,Skills!I5/Skills!H5,1)</f>
        <v/>
      </c>
      <c r="H452">
        <f>1-(1-Skills!J5/100)^Skills!K5</f>
        <v/>
      </c>
      <c r="I452" t="inlineStr">
        <is>
          <t>1</t>
        </is>
      </c>
      <c r="J452">
        <f>((Inputs!$B$6*(1+Inputs!$B$7/100))+(((Inputs!$B$12*(1+Inputs!$B$13/100))-(Inputs!$B$12*(1+Inputs!$B$13/100)))+0.25*(Inputs!$B$14-Inputs!$B$14))*(1+Inputs!$B$7/100))*(F452/100)</f>
        <v/>
      </c>
      <c r="K452">
        <f>J452*(1+((Inputs!$B$12*(1+Inputs!$B$13/100))*0.01+Inputs!$B$14*0.0025)/100)*(1+Inputs!$B$15/100)*(1+Inputs!$B$16/100)*(5000/(6000+Inputs!$B$42*(1-(Inputs!$B$19+((C474=TRUE)*(F474-Calc!F27)))/100)))*(1+(Inputs!$B$24+((C472=TRUE)*(F472-Calc!F25))+((C473=TRUE)*(F473-Calc!F26))+B486)/100)*(1+4.0*IF(C457=TRUE,F457,0)/100)*(1+(IF(Skills!A5="ARROW_STREAM",Inputs!$B$17+((C470=TRUE)*(F470-Calc!F23)),Inputs!$B$18+((C475=TRUE)*(F475-Calc!F28))))/100)*((1+(((C460=TRUE)*F460)+((C461=TRUE)*IF(Inputs!$B$38="pvp",F461,(1-Summary!$B$55)*(F461)+Summary!$B$55*(0)))+((C462=TRUE)*F462*IF(AND(Inputs!$B$38&lt;&gt;"pvp",Inputs!$B$43&gt;0),(((R462-1)*(Skills!T15*(1+Inputs!$B$34/100))+MIN((Skills!T15*(1+Inputs!$B$34/100)),MAX(0,Inputs!$B$43-((R462-1)*Skills!D15))))/Inputs!$B$43),IF(Inputs!$B$38="pvp",MIN((Skills!T15*(1+Inputs!$B$34/100)),15)/15,(Skills!T15*(1+Inputs!$B$34/100))/Skills!D15)))+((C477=TRUE)*(F477-Calc!F30)))/100)*I452)</f>
        <v/>
      </c>
      <c r="L452">
        <f>K452*(MIN(Inputs!$B$22+((C471=TRUE)*(F471-Calc!F24)),(Inputs!$B$23+1)+((C476=TRUE)*(F476-Calc!F29)))/100+((Inputs!$B$23+1)+((C476=TRUE)*(F476-Calc!F29)))/100)/2</f>
        <v/>
      </c>
      <c r="M452">
        <f>L452*(1+(Inputs!$B$10+0+B485)/100)</f>
        <v/>
      </c>
      <c r="N452">
        <f>L452*(1-MIN((Inputs!$B$9+((C467=TRUE)*(F467-Calc!F20))+B480),100)/100)+M452*(MIN((Inputs!$B$9+((C467=TRUE)*(F467-Calc!F20))+B480),100)/100)</f>
        <v/>
      </c>
      <c r="O452">
        <f>(1-Summary!$B$55)*T452+Summary!$B$55*V452</f>
        <v/>
      </c>
      <c r="P452">
        <f>IF(B490=0,0,O452/B490)</f>
        <v/>
      </c>
      <c r="Q452">
        <f>IFERROR(1/IF(Inputs!$B$38="pvp",15,MAX(0.1,Skills!D5-IF(Skills!E5=TRUE,Inputs!$B$32,0))),0)</f>
        <v/>
      </c>
      <c r="R452">
        <f>IF(AND(Inputs!$B$38&lt;&gt;"pvp",Inputs!$B$43&gt;0),IF(MAX(0,Inputs!$B$43-B487)&lt;=0,0,(INT(MAX(0,Inputs!$B$43-B487)/IF(Inputs!$B$38="pvp",15,MAX(0.1,Skills!D5-IF(Skills!E5=TRUE,Inputs!$B$32,0))))+1)),0)</f>
        <v/>
      </c>
      <c r="S452">
        <f>IFERROR(O452/N452,0)</f>
        <v/>
      </c>
      <c r="T452">
        <f>IF(C452,(H452*N452*IF(AND(Inputs!$B$38&lt;&gt;"pvp",Inputs!$B$43&gt;0),((Skills!G5*((R452-1)*IF(Skills!H5&gt;0,Skills!I5/Skills!H5,1)+IF(Skills!H5&gt;0,MIN(Skills!I5,MAX(0,MAX(0,Inputs!$B$43-B487)-((R452-1)*IF(Inputs!$B$38="pvp",15,MAX(0.1,Skills!D5-IF(Skills!E5=TRUE,Inputs!$B$32,0))))))/Skills!H5,1)))/Inputs!$B$43),G452*Q452))*IF(Inputs!$B$38="pvp",1,1+(Inputs!$B$20+0+Skills!P5)/100),0)</f>
        <v/>
      </c>
      <c r="V452">
        <f>IF(C452,(H452*N452*IF(AND(Inputs!$B$38&lt;&gt;"pvp",Inputs!$B$43&gt;0),((Skills!G5*((R452-1)*IF(Skills!H5&gt;0,Skills!I5/Skills!H5,1)+IF(Skills!H5&gt;0,MIN(Skills!I5,MAX(0,MAX(0,Inputs!$B$43-B487)-((R452-1)*IF(Inputs!$B$38="pvp",15,MAX(0.1,Skills!D5-IF(Skills!E5=TRUE,Inputs!$B$32,0))))))/Skills!H5,1)))/Inputs!$B$43),G452*Q452))*IF(Inputs!$B$38="pvp",1,(1+(Inputs!$B$21+Skills!Q5)/100)*(MIN(Skills!R5,Inputs!$B$37))),0)</f>
        <v/>
      </c>
    </row>
    <row r="453">
      <c r="A453">
        <f>Skills!A6</f>
        <v/>
      </c>
      <c r="B453">
        <f>Skills!B6</f>
        <v/>
      </c>
      <c r="C453">
        <f>Inputs!$B$3&gt;=40</f>
        <v/>
      </c>
      <c r="D453">
        <f>IF(Skills!C6=1,60+Inputs!$B$25+Inputs!$B$29,IF(Skills!C6=2,90+Inputs!$B$26+Inputs!$B$29,IF(Skills!C6=3,120+Inputs!$B$27+Inputs!$B$29,MAX(0,(Inputs!$B$3-100)*3)+Inputs!$B$28+Inputs!$B$29)))</f>
        <v/>
      </c>
      <c r="E453">
        <f>INDEX(FactorTable!$B$2:$Y$301, MATCH(ROUND(MIN(300,MAX(1,D453)),0), FactorTable!$A$2:$A$301,0), Skills!M6+1)</f>
        <v/>
      </c>
      <c r="F453">
        <f>IF(Skills!N6=TRUE,(Skills!L6/10)*(E453/1000),Skills!L6/10)+Skills!O6</f>
        <v/>
      </c>
      <c r="G453">
        <f>Skills!G6*IF(Skills!H6&gt;0,Skills!I6/Skills!H6,1)</f>
        <v/>
      </c>
      <c r="H453">
        <f>1-(1-Skills!J6/100)^Skills!K6</f>
        <v/>
      </c>
      <c r="I453" t="inlineStr">
        <is>
          <t>1</t>
        </is>
      </c>
      <c r="J453">
        <f>((Inputs!$B$6*(1+Inputs!$B$7/100))+(((Inputs!$B$12*(1+Inputs!$B$13/100))-(Inputs!$B$12*(1+Inputs!$B$13/100)))+0.25*(Inputs!$B$14-Inputs!$B$14))*(1+Inputs!$B$7/100))*(F453/100)</f>
        <v/>
      </c>
      <c r="K453">
        <f>J453*(1+((Inputs!$B$12*(1+Inputs!$B$13/100))*0.01+Inputs!$B$14*0.0025)/100)*(1+Inputs!$B$15/100)*(1+Inputs!$B$16/100)*(5000/(6000+Inputs!$B$42*(1-(Inputs!$B$19+((C474=TRUE)*(F474-Calc!F27)))/100)))*(1+(Inputs!$B$24+((C472=TRUE)*(F472-Calc!F25))+((C473=TRUE)*(F473-Calc!F26))+B486)/100)*(1+IF(C454=TRUE,F454,0)/100)*(1+(IF(Skills!A6="ARROW_STREAM",Inputs!$B$17+((C470=TRUE)*(F470-Calc!F23)),Inputs!$B$18+((C475=TRUE)*(F475-Calc!F28))))/100)*((1+(((C460=TRUE)*F460)+((C461=TRUE)*IF(Inputs!$B$38="pvp",F461,(1-Summary!$B$55)*(F461)+Summary!$B$55*(0)))+((C462=TRUE)*F462*IF(AND(Inputs!$B$38&lt;&gt;"pvp",Inputs!$B$43&gt;0),(((R462-1)*(Skills!T15*(1+Inputs!$B$34/100))+MIN((Skills!T15*(1+Inputs!$B$34/100)),MAX(0,Inputs!$B$43-((R462-1)*Skills!D15))))/Inputs!$B$43),IF(Inputs!$B$38="pvp",MIN((Skills!T15*(1+Inputs!$B$34/100)),15)/15,(Skills!T15*(1+Inputs!$B$34/100))/Skills!D15)))+((C477=TRUE)*(F477-Calc!F30)))/100)*I453)</f>
        <v/>
      </c>
      <c r="L453">
        <f>K453*(MIN(Inputs!$B$22+((C471=TRUE)*(F471-Calc!F24)),(Inputs!$B$23+1)+((C476=TRUE)*(F476-Calc!F29)))/100+((Inputs!$B$23+1)+((C476=TRUE)*(F476-Calc!F29)))/100)/2</f>
        <v/>
      </c>
      <c r="M453">
        <f>L453*(1+(Inputs!$B$10+0+B485)/100)</f>
        <v/>
      </c>
      <c r="N453">
        <f>L453*(1-MIN((Inputs!$B$9+((C467=TRUE)*(F467-Calc!F20))+B480),100)/100)+M453*(MIN((Inputs!$B$9+((C467=TRUE)*(F467-Calc!F20))+B480),100)/100)</f>
        <v/>
      </c>
      <c r="O453">
        <f>(1-Summary!$B$55)*T453+Summary!$B$55*V453</f>
        <v/>
      </c>
      <c r="P453">
        <f>IF(B490=0,0,O453/B490)</f>
        <v/>
      </c>
      <c r="Q453">
        <f>IFERROR(1/IF(Inputs!$B$38="pvp",15,MAX(0.1,Skills!D6-IF(Skills!E6=TRUE,Inputs!$B$32,0))),0)</f>
        <v/>
      </c>
      <c r="R453">
        <f>IF(AND(Inputs!$B$38&lt;&gt;"pvp",Inputs!$B$43&gt;0),IF(MAX(0,Inputs!$B$43-B487)&lt;=0,0,(INT(MAX(0,Inputs!$B$43-B487)/IF(Inputs!$B$38="pvp",15,MAX(0.1,Skills!D6-IF(Skills!E6=TRUE,Inputs!$B$32,0))))+1)),0)</f>
        <v/>
      </c>
      <c r="S453">
        <f>IFERROR(O453/N453,0)</f>
        <v/>
      </c>
      <c r="T453">
        <f>IF(C453,(H453*N453*IF(AND(Inputs!$B$38&lt;&gt;"pvp",Inputs!$B$43&gt;0),((Skills!G6*((R453-1)*IF(Skills!H6&gt;0,Skills!I6/Skills!H6,1)+IF(Skills!H6&gt;0,MIN(Skills!I6,MAX(0,MAX(0,Inputs!$B$43-B487)-((R453-1)*IF(Inputs!$B$38="pvp",15,MAX(0.1,Skills!D6-IF(Skills!E6=TRUE,Inputs!$B$32,0))))))/Skills!H6,1)))/Inputs!$B$43),G453*Q453))*IF(Inputs!$B$38="pvp",1,1+(Inputs!$B$20+0+Skills!P6)/100),0)</f>
        <v/>
      </c>
      <c r="V453">
        <f>IF(C453,(H453*N453*IF(AND(Inputs!$B$38&lt;&gt;"pvp",Inputs!$B$43&gt;0),((Skills!G6*((R453-1)*IF(Skills!H6&gt;0,Skills!I6/Skills!H6,1)+IF(Skills!H6&gt;0,MIN(Skills!I6,MAX(0,MAX(0,Inputs!$B$43-B487)-((R453-1)*IF(Inputs!$B$38="pvp",15,MAX(0.1,Skills!D6-IF(Skills!E6=TRUE,Inputs!$B$32,0))))))/Skills!H6,1)))/Inputs!$B$43),G453*Q453))*IF(Inputs!$B$38="pvp",1,(1+(Inputs!$B$21+Skills!Q6)/100)*(MIN(Skills!R6,Inputs!$B$37))),0)</f>
        <v/>
      </c>
    </row>
    <row r="454">
      <c r="A454">
        <f>Skills!A7</f>
        <v/>
      </c>
      <c r="B454">
        <f>Skills!B7</f>
        <v/>
      </c>
      <c r="C454">
        <f>Inputs!$B$3&gt;=107</f>
        <v/>
      </c>
      <c r="D454">
        <f>IF(Skills!C7=1,60+Inputs!$B$25+Inputs!$B$29,IF(Skills!C7=2,90+Inputs!$B$26+Inputs!$B$29,IF(Skills!C7=3,120+Inputs!$B$27+Inputs!$B$29,MAX(0,(Inputs!$B$3-100)*3)+Inputs!$B$28+Inputs!$B$29)))</f>
        <v/>
      </c>
      <c r="E454">
        <f>INDEX(FactorTable!$B$2:$Y$301, MATCH(ROUND(MIN(300,MAX(1,D454)),0), FactorTable!$A$2:$A$301,0), Skills!M7+1)</f>
        <v/>
      </c>
      <c r="F454">
        <f>IF(Skills!N7=TRUE,(Skills!L7/10)*(E454/1000),Skills!L7/10)+Skills!O7</f>
        <v/>
      </c>
      <c r="G454" t="inlineStr"/>
      <c r="H454" t="inlineStr"/>
      <c r="I454" t="inlineStr">
        <is>
          <t>1</t>
        </is>
      </c>
      <c r="J454" t="inlineStr"/>
      <c r="K454" t="inlineStr"/>
      <c r="L454" t="inlineStr"/>
      <c r="M454" t="inlineStr"/>
      <c r="N454" t="inlineStr"/>
      <c r="O454" t="inlineStr"/>
      <c r="P454" t="inlineStr"/>
      <c r="Q454" t="inlineStr"/>
      <c r="R454" t="inlineStr"/>
      <c r="S454" t="inlineStr"/>
      <c r="T454" t="inlineStr"/>
      <c r="V454" t="inlineStr"/>
    </row>
    <row r="455">
      <c r="A455">
        <f>Skills!A8</f>
        <v/>
      </c>
      <c r="B455">
        <f>Skills!B8</f>
        <v/>
      </c>
      <c r="C455">
        <f>Inputs!$B$3&gt;=69</f>
        <v/>
      </c>
      <c r="D455">
        <f>IF(Skills!C8=1,60+Inputs!$B$25+Inputs!$B$29,IF(Skills!C8=2,90+Inputs!$B$26+Inputs!$B$29,IF(Skills!C8=3,120+Inputs!$B$27+Inputs!$B$29,MAX(0,(Inputs!$B$3-100)*3)+Inputs!$B$28+Inputs!$B$29)))</f>
        <v/>
      </c>
      <c r="E455">
        <f>INDEX(FactorTable!$B$2:$Y$301, MATCH(ROUND(MIN(300,MAX(1,D455)),0), FactorTable!$A$2:$A$301,0), Skills!M8+1)</f>
        <v/>
      </c>
      <c r="F455">
        <f>IF(Skills!N8=TRUE,(Skills!L8/10)*(E455/1000),Skills!L8/10)+Skills!O8</f>
        <v/>
      </c>
      <c r="G455">
        <f>Skills!G8*IF(Skills!H8&gt;0,Skills!I8/Skills!H8,1)</f>
        <v/>
      </c>
      <c r="H455">
        <f>1-(1-Skills!J8/100)^Skills!K8</f>
        <v/>
      </c>
      <c r="I455" t="inlineStr">
        <is>
          <t>1</t>
        </is>
      </c>
      <c r="J455">
        <f>((Inputs!$B$6*(1+Inputs!$B$7/100))+(((Inputs!$B$12*(1+Inputs!$B$13/100))-(Inputs!$B$12*(1+Inputs!$B$13/100)))+0.25*(Inputs!$B$14-Inputs!$B$14))*(1+Inputs!$B$7/100))*(F455/100)</f>
        <v/>
      </c>
      <c r="K455">
        <f>J455*(1+((Inputs!$B$12*(1+Inputs!$B$13/100))*0.01+Inputs!$B$14*0.0025)/100)*(1+Inputs!$B$15/100)*(1+Inputs!$B$16/100)*(5000/(6000+Inputs!$B$42*(1-(Inputs!$B$19+((C474=TRUE)*(F474-Calc!F27)))/100)))*(1+(Inputs!$B$24+((C472=TRUE)*(F472-Calc!F25))+((C473=TRUE)*(F473-Calc!F26))+B486)/100)*(1+1.2*IF(C457=TRUE,F457,0)/100)*(1+(IF(Skills!A8="ARROW_STREAM",Inputs!$B$17+((C470=TRUE)*(F470-Calc!F23)),Inputs!$B$18+((C475=TRUE)*(F475-Calc!F28))))/100)*((1+(((C460=TRUE)*F460)+((C461=TRUE)*IF(Inputs!$B$38="pvp",F461,(1-Summary!$B$55)*(F461)+Summary!$B$55*(0)))+((C462=TRUE)*F462*IF(AND(Inputs!$B$38&lt;&gt;"pvp",Inputs!$B$43&gt;0),(((R462-1)*(Skills!T15*(1+Inputs!$B$34/100))+MIN((Skills!T15*(1+Inputs!$B$34/100)),MAX(0,Inputs!$B$43-((R462-1)*Skills!D15))))/Inputs!$B$43),IF(Inputs!$B$38="pvp",MIN((Skills!T15*(1+Inputs!$B$34/100)),15)/15,(Skills!T15*(1+Inputs!$B$34/100))/Skills!D15)))+((C477=TRUE)*(F477-Calc!F30)))/100)*I455)</f>
        <v/>
      </c>
      <c r="L455">
        <f>K455*(MIN(Inputs!$B$22+((C471=TRUE)*(F471-Calc!F24)),(Inputs!$B$23+1)+((C476=TRUE)*(F476-Calc!F29)))/100+((Inputs!$B$23+1)+((C476=TRUE)*(F476-Calc!F29)))/100)/2</f>
        <v/>
      </c>
      <c r="M455">
        <f>L455*(1+(Inputs!$B$10+0+B485)/100)</f>
        <v/>
      </c>
      <c r="N455">
        <f>L455*(1-MIN((Inputs!$B$9+((C467=TRUE)*(F467-Calc!F20))+B480),100)/100)+M455*(MIN((Inputs!$B$9+((C467=TRUE)*(F467-Calc!F20))+B480),100)/100)</f>
        <v/>
      </c>
      <c r="O455">
        <f>(1-Summary!$B$55)*T455+Summary!$B$55*V455</f>
        <v/>
      </c>
      <c r="P455">
        <f>IF(B490=0,0,O455/B490)</f>
        <v/>
      </c>
      <c r="Q455">
        <f>IFERROR(1/IF(Inputs!$B$38="pvp",15,MAX(0.1,Skills!D8-IF(Skills!E8=TRUE,Inputs!$B$32,0))),0)</f>
        <v/>
      </c>
      <c r="R455">
        <f>IF(AND(Inputs!$B$38&lt;&gt;"pvp",Inputs!$B$43&gt;0),IF(MAX(0,Inputs!$B$43-B487)&lt;=0,0,(INT(MAX(0,Inputs!$B$43-B487)/IF(Inputs!$B$38="pvp",15,MAX(0.1,Skills!D8-IF(Skills!E8=TRUE,Inputs!$B$32,0))))+1)),0)</f>
        <v/>
      </c>
      <c r="S455">
        <f>IFERROR(O455/N455,0)</f>
        <v/>
      </c>
      <c r="T455">
        <f>IF(C455,(H455*N455*IF(AND(Inputs!$B$38&lt;&gt;"pvp",Inputs!$B$43&gt;0),((Skills!G8*((R455-1)*IF(Skills!H8&gt;0,Skills!I8/Skills!H8,1)+IF(Skills!H8&gt;0,MIN(Skills!I8,MAX(0,MAX(0,Inputs!$B$43-B487)-((R455-1)*IF(Inputs!$B$38="pvp",15,MAX(0.1,Skills!D8-IF(Skills!E8=TRUE,Inputs!$B$32,0))))))/Skills!H8,1)))/Inputs!$B$43),G455*Q455))*IF(Inputs!$B$38="pvp",1,1+(Inputs!$B$20+0+Skills!P8)/100),0)</f>
        <v/>
      </c>
      <c r="V455">
        <f>IF(C455,(H455*N455*IF(AND(Inputs!$B$38&lt;&gt;"pvp",Inputs!$B$43&gt;0),((Skills!G8*((R455-1)*IF(Skills!H8&gt;0,Skills!I8/Skills!H8,1)+IF(Skills!H8&gt;0,MIN(Skills!I8,MAX(0,MAX(0,Inputs!$B$43-B487)-((R455-1)*IF(Inputs!$B$38="pvp",15,MAX(0.1,Skills!D8-IF(Skills!E8=TRUE,Inputs!$B$32,0))))))/Skills!H8,1)))/Inputs!$B$43),G455*Q455))*IF(Inputs!$B$38="pvp",1,(1+(Inputs!$B$21+Skills!Q8)/100)*(MIN(Skills!R8,Inputs!$B$37))),0)</f>
        <v/>
      </c>
    </row>
    <row r="456">
      <c r="A456">
        <f>Skills!A9</f>
        <v/>
      </c>
      <c r="B456">
        <f>Skills!B9</f>
        <v/>
      </c>
      <c r="C456">
        <f>Inputs!$B$3&gt;=63</f>
        <v/>
      </c>
      <c r="D456">
        <f>IF(Skills!C9=1,60+Inputs!$B$25+Inputs!$B$29,IF(Skills!C9=2,90+Inputs!$B$26+Inputs!$B$29,IF(Skills!C9=3,120+Inputs!$B$27+Inputs!$B$29,MAX(0,(Inputs!$B$3-100)*3)+Inputs!$B$28+Inputs!$B$29)))</f>
        <v/>
      </c>
      <c r="E456">
        <f>INDEX(FactorTable!$B$2:$Y$301, MATCH(ROUND(MIN(300,MAX(1,D456)),0), FactorTable!$A$2:$A$301,0), Skills!M9+1)</f>
        <v/>
      </c>
      <c r="F456">
        <f>IF(Skills!N9=TRUE,(Skills!L9/10)*(E456/1000),Skills!L9/10)+Skills!O9</f>
        <v/>
      </c>
      <c r="G456">
        <f>Skills!G9*IF(Skills!H9&gt;0,Skills!I9/Skills!H9,1)</f>
        <v/>
      </c>
      <c r="H456">
        <f>1-(1-Skills!J9/100)^Skills!K9</f>
        <v/>
      </c>
      <c r="I456" t="inlineStr">
        <is>
          <t>1</t>
        </is>
      </c>
      <c r="J456">
        <f>((Inputs!$B$6*(1+Inputs!$B$7/100))+(((Inputs!$B$12*(1+Inputs!$B$13/100))-(Inputs!$B$12*(1+Inputs!$B$13/100)))+0.25*(Inputs!$B$14-Inputs!$B$14))*(1+Inputs!$B$7/100))*(F456/100)</f>
        <v/>
      </c>
      <c r="K456">
        <f>J456*(1+((Inputs!$B$12*(1+Inputs!$B$13/100))*0.01+Inputs!$B$14*0.0025)/100)*(1+Inputs!$B$15/100)*(1+Inputs!$B$16/100)*(5000/(6000+Inputs!$B$42*(1-(Inputs!$B$19+((C474=TRUE)*(F474-Calc!F27)))/100)))*(1+(Inputs!$B$24+((C472=TRUE)*(F472-Calc!F25))+((C473=TRUE)*(F473-Calc!F26))+B486)/100)*(1+1.0*IF(C457=TRUE,F457,0)/100)*(1+(IF(Skills!A9="ARROW_STREAM",Inputs!$B$17+((C470=TRUE)*(F470-Calc!F23)),Inputs!$B$18+((C475=TRUE)*(F475-Calc!F28))))/100)*((1+(((C460=TRUE)*F460)+((C461=TRUE)*IF(Inputs!$B$38="pvp",F461,(1-Summary!$B$55)*(F461)+Summary!$B$55*(0)))+((C462=TRUE)*F462*IF(AND(Inputs!$B$38&lt;&gt;"pvp",Inputs!$B$43&gt;0),(((R462-1)*(Skills!T15*(1+Inputs!$B$34/100))+MIN((Skills!T15*(1+Inputs!$B$34/100)),MAX(0,Inputs!$B$43-((R462-1)*Skills!D15))))/Inputs!$B$43),IF(Inputs!$B$38="pvp",MIN((Skills!T15*(1+Inputs!$B$34/100)),15)/15,(Skills!T15*(1+Inputs!$B$34/100))/Skills!D15)))+((C477=TRUE)*(F477-Calc!F30)))/100)*I456)</f>
        <v/>
      </c>
      <c r="L456">
        <f>K456*(MIN(Inputs!$B$22+((C471=TRUE)*(F471-Calc!F24)),(Inputs!$B$23+1)+((C476=TRUE)*(F476-Calc!F29)))/100+((Inputs!$B$23+1)+((C476=TRUE)*(F476-Calc!F29)))/100)/2</f>
        <v/>
      </c>
      <c r="M456">
        <f>L456*(1+(Inputs!$B$10+0+B485)/100)</f>
        <v/>
      </c>
      <c r="N456">
        <f>L456*(1-MIN((Inputs!$B$9+((C467=TRUE)*(F467-Calc!F20))+B480),100)/100)+M456*(MIN((Inputs!$B$9+((C467=TRUE)*(F467-Calc!F20))+B480),100)/100)</f>
        <v/>
      </c>
      <c r="O456">
        <f>(1-Summary!$B$55)*T456+Summary!$B$55*V456</f>
        <v/>
      </c>
      <c r="P456">
        <f>IF(B490=0,0,O456/B490)</f>
        <v/>
      </c>
      <c r="Q456">
        <f>IFERROR(1/IF(Inputs!$B$38="pvp",15,MAX(0.1,Skills!D9-IF(Skills!E9=TRUE,Inputs!$B$32,0))),0)</f>
        <v/>
      </c>
      <c r="R456">
        <f>IF(AND(Inputs!$B$38&lt;&gt;"pvp",Inputs!$B$43&gt;0),IF(MAX(0,Inputs!$B$43-B487)&lt;=0,0,(INT(MAX(0,Inputs!$B$43-B487)/IF(Inputs!$B$38="pvp",15,MAX(0.1,Skills!D9-IF(Skills!E9=TRUE,Inputs!$B$32,0))))+1)),0)</f>
        <v/>
      </c>
      <c r="S456">
        <f>IFERROR(O456/N456,0)</f>
        <v/>
      </c>
      <c r="T456">
        <f>IF(C456,(H456*N456*IF(AND(Inputs!$B$38&lt;&gt;"pvp",Inputs!$B$43&gt;0),((Skills!G9*((R456-1)*IF(Skills!H9&gt;0,Skills!I9/Skills!H9,1)+IF(Skills!H9&gt;0,MIN(Skills!I9,MAX(0,MAX(0,Inputs!$B$43-B487)-((R456-1)*IF(Inputs!$B$38="pvp",15,MAX(0.1,Skills!D9-IF(Skills!E9=TRUE,Inputs!$B$32,0))))))/Skills!H9,1)))/Inputs!$B$43),G456*Q456))*IF(Inputs!$B$38="pvp",1,1+(Inputs!$B$20+0+Skills!P9)/100),0)</f>
        <v/>
      </c>
      <c r="V456">
        <f>IF(C456,(H456*N456*IF(AND(Inputs!$B$38&lt;&gt;"pvp",Inputs!$B$43&gt;0),((Skills!G9*((R456-1)*IF(Skills!H9&gt;0,Skills!I9/Skills!H9,1)+IF(Skills!H9&gt;0,MIN(Skills!I9,MAX(0,MAX(0,Inputs!$B$43-B487)-((R456-1)*IF(Inputs!$B$38="pvp",15,MAX(0.1,Skills!D9-IF(Skills!E9=TRUE,Inputs!$B$32,0))))))/Skills!H9,1)))/Inputs!$B$43),G456*Q456))*IF(Inputs!$B$38="pvp",1,(1+(Inputs!$B$21+Skills!Q9)/100)*(MIN(Skills!R9,Inputs!$B$37))),0)</f>
        <v/>
      </c>
    </row>
    <row r="457">
      <c r="A457">
        <f>Skills!A10</f>
        <v/>
      </c>
      <c r="B457">
        <f>Skills!B10</f>
        <v/>
      </c>
      <c r="C457">
        <f>Inputs!$B$3&gt;=100</f>
        <v/>
      </c>
      <c r="D457">
        <f>IF(Skills!C10=1,60+Inputs!$B$25+Inputs!$B$29,IF(Skills!C10=2,90+Inputs!$B$26+Inputs!$B$29,IF(Skills!C10=3,120+Inputs!$B$27+Inputs!$B$29,MAX(0,(Inputs!$B$3-100)*3)+Inputs!$B$28+Inputs!$B$29)))</f>
        <v/>
      </c>
      <c r="E457">
        <f>INDEX(FactorTable!$B$2:$Y$301, MATCH(ROUND(MIN(300,MAX(1,D457)),0), FactorTable!$A$2:$A$301,0), Skills!M10+1)</f>
        <v/>
      </c>
      <c r="F457">
        <f>IF(Skills!N10=TRUE,(Skills!L10/10)*(E457/1000),Skills!L10/10)+Skills!O10</f>
        <v/>
      </c>
      <c r="G457" t="inlineStr"/>
      <c r="H457" t="inlineStr"/>
      <c r="I457" t="inlineStr">
        <is>
          <t>1</t>
        </is>
      </c>
      <c r="J457" t="inlineStr"/>
      <c r="K457" t="inlineStr"/>
      <c r="L457" t="inlineStr"/>
      <c r="M457" t="inlineStr"/>
      <c r="N457" t="inlineStr"/>
      <c r="O457" t="inlineStr"/>
      <c r="P457" t="inlineStr"/>
      <c r="Q457" t="inlineStr"/>
      <c r="R457" t="inlineStr"/>
      <c r="S457" t="inlineStr"/>
      <c r="T457" t="inlineStr"/>
      <c r="V457" t="inlineStr"/>
    </row>
    <row r="458">
      <c r="A458">
        <f>Skills!A11</f>
        <v/>
      </c>
      <c r="B458">
        <f>Skills!B11</f>
        <v/>
      </c>
      <c r="C458">
        <f>Inputs!$B$3&gt;=60</f>
        <v/>
      </c>
      <c r="D458">
        <f>IF(Skills!C11=1,60+Inputs!$B$25+Inputs!$B$29,IF(Skills!C11=2,90+Inputs!$B$26+Inputs!$B$29,IF(Skills!C11=3,120+Inputs!$B$27+Inputs!$B$29,MAX(0,(Inputs!$B$3-100)*3)+Inputs!$B$28+Inputs!$B$29)))</f>
        <v/>
      </c>
      <c r="E458">
        <f>INDEX(FactorTable!$B$2:$Y$301, MATCH(ROUND(MIN(300,MAX(1,D458)),0), FactorTable!$A$2:$A$301,0), Skills!M11+1)</f>
        <v/>
      </c>
      <c r="F458">
        <f>IF(Skills!N11=TRUE,(Skills!L11/10)*(E458/1000),Skills!L11/10)+Skills!O11</f>
        <v/>
      </c>
      <c r="G458">
        <f>Skills!G11*IF(Skills!H11&gt;0,Skills!I11/Skills!H11,1)</f>
        <v/>
      </c>
      <c r="H458">
        <f>1-(1-Skills!J11/100)^Skills!K11</f>
        <v/>
      </c>
      <c r="I458" t="inlineStr">
        <is>
          <t>1</t>
        </is>
      </c>
      <c r="J458">
        <f>((Inputs!$B$6*(1+Inputs!$B$7/100))+(((Inputs!$B$12*(1+Inputs!$B$13/100))-(Inputs!$B$12*(1+Inputs!$B$13/100)))+0.25*(Inputs!$B$14-Inputs!$B$14))*(1+Inputs!$B$7/100))*(F458/100)</f>
        <v/>
      </c>
      <c r="K458">
        <f>J458*(1+((Inputs!$B$12*(1+Inputs!$B$13/100))*0.01+Inputs!$B$14*0.0025)/100)*(1+Inputs!$B$15/100)*(1+Inputs!$B$16/100)*(5000/(6000+Inputs!$B$42*(1-(Inputs!$B$19+((C474=TRUE)*(F474-Calc!F27)))/100)))*(1+(Inputs!$B$24+((C472=TRUE)*(F472-Calc!F25))+((C473=TRUE)*(F473-Calc!F26))+B486)/100)*(1+IF(C459=TRUE,F459,0)/100)*(1+(IF(Skills!A11="ARROW_STREAM",Inputs!$B$17+((C470=TRUE)*(F470-Calc!F23)),Inputs!$B$18+((C475=TRUE)*(F475-Calc!F28))))/100)*((1+(((C460=TRUE)*F460)+((C461=TRUE)*IF(Inputs!$B$38="pvp",F461,(1-Summary!$B$55)*(F461)+Summary!$B$55*(0)))+((C462=TRUE)*F462*IF(AND(Inputs!$B$38&lt;&gt;"pvp",Inputs!$B$43&gt;0),(((R462-1)*(Skills!T15*(1+Inputs!$B$34/100))+MIN((Skills!T15*(1+Inputs!$B$34/100)),MAX(0,Inputs!$B$43-((R462-1)*Skills!D15))))/Inputs!$B$43),IF(Inputs!$B$38="pvp",MIN((Skills!T15*(1+Inputs!$B$34/100)),15)/15,(Skills!T15*(1+Inputs!$B$34/100))/Skills!D15)))+((C477=TRUE)*(F477-Calc!F30)))/100)*I458)</f>
        <v/>
      </c>
      <c r="L458">
        <f>K458*(MIN(Inputs!$B$22+((C471=TRUE)*(F471-Calc!F24)),(Inputs!$B$23+1)+((C476=TRUE)*(F476-Calc!F29)))/100+((Inputs!$B$23+1)+((C476=TRUE)*(F476-Calc!F29)))/100)/2</f>
        <v/>
      </c>
      <c r="M458">
        <f>L458*(1+(Inputs!$B$10+0+B485)/100)</f>
        <v/>
      </c>
      <c r="N458">
        <f>L458*(1-MIN((Inputs!$B$9+((C467=TRUE)*(F467-Calc!F20))+B480),100)/100)+M458*(MIN((Inputs!$B$9+((C467=TRUE)*(F467-Calc!F20))+B480),100)/100)</f>
        <v/>
      </c>
      <c r="O458">
        <f>(1-Summary!$B$55)*T458+Summary!$B$55*V458</f>
        <v/>
      </c>
      <c r="P458">
        <f>IF(B490=0,0,O458/B490)</f>
        <v/>
      </c>
      <c r="Q458">
        <f>IFERROR(1/IF(Inputs!$B$38="pvp",15,MAX(0.1,Skills!D11-IF(Skills!E11=TRUE,Inputs!$B$32,0))),0)</f>
        <v/>
      </c>
      <c r="R458">
        <f>IF(AND(Inputs!$B$38&lt;&gt;"pvp",Inputs!$B$43&gt;0),IF(MAX(0,Inputs!$B$43-B487)&lt;=0,0,(INT(MAX(0,Inputs!$B$43-B487)/IF(Inputs!$B$38="pvp",15,MAX(0.1,Skills!D11-IF(Skills!E11=TRUE,Inputs!$B$32,0))))+1)),0)</f>
        <v/>
      </c>
      <c r="S458">
        <f>IFERROR(O458/N458,0)</f>
        <v/>
      </c>
      <c r="T458">
        <f>IF(C458,(H458*N458*IF(AND(Inputs!$B$38&lt;&gt;"pvp",Inputs!$B$43&gt;0),((Skills!G11*((R458-1)*IF(Skills!H11&gt;0,Skills!I11/Skills!H11,1)+IF(Skills!H11&gt;0,MIN(Skills!I11,MAX(0,MAX(0,Inputs!$B$43-B487)-((R458-1)*IF(Inputs!$B$38="pvp",15,MAX(0.1,Skills!D11-IF(Skills!E11=TRUE,Inputs!$B$32,0))))))/Skills!H11,1)))/Inputs!$B$43),G458*Q458))*IF(Inputs!$B$38="pvp",1,1+(Inputs!$B$20+0+Skills!P11)/100),0)</f>
        <v/>
      </c>
      <c r="V458">
        <f>IF(C458,(H458*N458*IF(AND(Inputs!$B$38&lt;&gt;"pvp",Inputs!$B$43&gt;0),((Skills!G11*((R458-1)*IF(Skills!H11&gt;0,Skills!I11/Skills!H11,1)+IF(Skills!H11&gt;0,MIN(Skills!I11,MAX(0,MAX(0,Inputs!$B$43-B487)-((R458-1)*IF(Inputs!$B$38="pvp",15,MAX(0.1,Skills!D11-IF(Skills!E11=TRUE,Inputs!$B$32,0))))))/Skills!H11,1)))/Inputs!$B$43),G458*Q458))*IF(Inputs!$B$38="pvp",1,(1+(Inputs!$B$21+Skills!Q11)/100)*(MIN(Skills!R11,Inputs!$B$37))),0)</f>
        <v/>
      </c>
    </row>
    <row r="459">
      <c r="A459">
        <f>Skills!A12</f>
        <v/>
      </c>
      <c r="B459">
        <f>Skills!B12</f>
        <v/>
      </c>
      <c r="C459">
        <f>Inputs!$B$3&gt;=110</f>
        <v/>
      </c>
      <c r="D459">
        <f>IF(Skills!C12=1,60+Inputs!$B$25+Inputs!$B$29,IF(Skills!C12=2,90+Inputs!$B$26+Inputs!$B$29,IF(Skills!C12=3,120+Inputs!$B$27+Inputs!$B$29,MAX(0,(Inputs!$B$3-100)*3)+Inputs!$B$28+Inputs!$B$29)))</f>
        <v/>
      </c>
      <c r="E459">
        <f>INDEX(FactorTable!$B$2:$Y$301, MATCH(ROUND(MIN(300,MAX(1,D459)),0), FactorTable!$A$2:$A$301,0), Skills!M12+1)</f>
        <v/>
      </c>
      <c r="F459">
        <f>IF(Skills!N12=TRUE,(Skills!L12/10)*(E459/1000),Skills!L12/10)+Skills!O12</f>
        <v/>
      </c>
      <c r="G459" t="inlineStr"/>
      <c r="H459" t="inlineStr"/>
      <c r="I459" t="inlineStr">
        <is>
          <t>1</t>
        </is>
      </c>
      <c r="J459" t="inlineStr"/>
      <c r="K459" t="inlineStr"/>
      <c r="L459" t="inlineStr"/>
      <c r="M459" t="inlineStr"/>
      <c r="N459" t="inlineStr"/>
      <c r="O459" t="inlineStr"/>
      <c r="P459" t="inlineStr"/>
      <c r="Q459" t="inlineStr"/>
      <c r="R459" t="inlineStr"/>
      <c r="S459" t="inlineStr"/>
      <c r="T459" t="inlineStr"/>
      <c r="V459" t="inlineStr"/>
    </row>
    <row r="460">
      <c r="A460">
        <f>Skills!A13</f>
        <v/>
      </c>
      <c r="B460">
        <f>Skills!B13</f>
        <v/>
      </c>
      <c r="C460">
        <f>Inputs!$B$3&gt;=74</f>
        <v/>
      </c>
      <c r="D460">
        <f>IF(Skills!C13=1,60+Inputs!$B$25+Inputs!$B$29,IF(Skills!C13=2,90+Inputs!$B$26+Inputs!$B$29,IF(Skills!C13=3,120+Inputs!$B$27+Inputs!$B$29,MAX(0,(Inputs!$B$3-100)*3)+Inputs!$B$28+Inputs!$B$29)))</f>
        <v/>
      </c>
      <c r="E460">
        <f>INDEX(FactorTable!$B$2:$Y$301, MATCH(ROUND(MIN(300,MAX(1,D460)),0), FactorTable!$A$2:$A$301,0), Skills!M13+1)</f>
        <v/>
      </c>
      <c r="F460">
        <f>IF(Skills!N13=TRUE,(Skills!L13/10)*(E460/1000),Skills!L13/10)+Skills!O13</f>
        <v/>
      </c>
      <c r="G460">
        <f>Skills!G13*IF(Skills!H13&gt;0,Skills!I13/Skills!H13,1)</f>
        <v/>
      </c>
      <c r="H460">
        <f>1-(1-Skills!J13/100)^Skills!K13</f>
        <v/>
      </c>
      <c r="I460" t="inlineStr">
        <is>
          <t>1</t>
        </is>
      </c>
      <c r="J460" t="inlineStr"/>
      <c r="K460" t="inlineStr"/>
      <c r="L460" t="inlineStr"/>
      <c r="M460" t="inlineStr"/>
      <c r="N460" t="inlineStr"/>
      <c r="O460">
        <f>(1-Summary!$B$55)*T460+Summary!$B$55*V460</f>
        <v/>
      </c>
      <c r="P460">
        <f>IF(B490=0,0,O460/B490)</f>
        <v/>
      </c>
      <c r="Q460" t="n">
        <v>0</v>
      </c>
      <c r="R460" t="n">
        <v>0</v>
      </c>
      <c r="S460">
        <f>IFERROR(O460/N460,0)</f>
        <v/>
      </c>
      <c r="T460" t="n">
        <v>0</v>
      </c>
      <c r="V460" t="n">
        <v>0</v>
      </c>
    </row>
    <row r="461">
      <c r="A461">
        <f>Skills!A14</f>
        <v/>
      </c>
      <c r="B461">
        <f>Skills!B14</f>
        <v/>
      </c>
      <c r="C461">
        <f>Inputs!$B$3&gt;=74</f>
        <v/>
      </c>
      <c r="D461">
        <f>IF(Skills!C14=1,60+Inputs!$B$25+Inputs!$B$29,IF(Skills!C14=2,90+Inputs!$B$26+Inputs!$B$29,IF(Skills!C14=3,120+Inputs!$B$27+Inputs!$B$29,MAX(0,(Inputs!$B$3-100)*3)+Inputs!$B$28+Inputs!$B$29)))</f>
        <v/>
      </c>
      <c r="E461">
        <f>INDEX(FactorTable!$B$2:$Y$301, MATCH(ROUND(MIN(300,MAX(1,D461)),0), FactorTable!$A$2:$A$301,0), Skills!M14+1)</f>
        <v/>
      </c>
      <c r="F461">
        <f>IF(Skills!N14=TRUE,(Skills!L14/10)*(E461/1000),Skills!L14/10)+Skills!O14</f>
        <v/>
      </c>
      <c r="G461">
        <f>Skills!G14*IF(Skills!H14&gt;0,Skills!I14/Skills!H14,1)</f>
        <v/>
      </c>
      <c r="H461">
        <f>1-(1-Skills!J14/100)^Skills!K14</f>
        <v/>
      </c>
      <c r="I461" t="inlineStr">
        <is>
          <t>1</t>
        </is>
      </c>
      <c r="J461" t="inlineStr"/>
      <c r="K461" t="inlineStr"/>
      <c r="L461" t="inlineStr"/>
      <c r="M461" t="inlineStr"/>
      <c r="N461" t="inlineStr"/>
      <c r="O461">
        <f>(1-Summary!$B$55)*T461+Summary!$B$55*V461</f>
        <v/>
      </c>
      <c r="P461">
        <f>IF(B490=0,0,O461/B490)</f>
        <v/>
      </c>
      <c r="Q461" t="n">
        <v>0</v>
      </c>
      <c r="R461" t="n">
        <v>0</v>
      </c>
      <c r="S461">
        <f>IFERROR(O461/N461,0)</f>
        <v/>
      </c>
      <c r="T461" t="n">
        <v>0</v>
      </c>
      <c r="V461" t="n">
        <v>0</v>
      </c>
    </row>
    <row r="462">
      <c r="A462">
        <f>Skills!A15</f>
        <v/>
      </c>
      <c r="B462">
        <f>Skills!B15</f>
        <v/>
      </c>
      <c r="C462">
        <f>Inputs!$B$3&gt;=117</f>
        <v/>
      </c>
      <c r="D462">
        <f>IF(Skills!C15=1,60+Inputs!$B$25+Inputs!$B$29,IF(Skills!C15=2,90+Inputs!$B$26+Inputs!$B$29,IF(Skills!C15=3,120+Inputs!$B$27+Inputs!$B$29,MAX(0,(Inputs!$B$3-100)*3)+Inputs!$B$28+Inputs!$B$29)))</f>
        <v/>
      </c>
      <c r="E462">
        <f>INDEX(FactorTable!$B$2:$Y$301, MATCH(ROUND(MIN(300,MAX(1,D462)),0), FactorTable!$A$2:$A$301,0), Skills!M15+1)</f>
        <v/>
      </c>
      <c r="F462">
        <f>IF(Skills!N15=TRUE,(Skills!L15/10)*(E462/1000),Skills!L15/10)+Skills!O15</f>
        <v/>
      </c>
      <c r="G462">
        <f>Skills!G15*IF(Skills!H15&gt;0,Skills!I15/Skills!H15,1)</f>
        <v/>
      </c>
      <c r="H462">
        <f>1-(1-Skills!J15/100)^Skills!K15</f>
        <v/>
      </c>
      <c r="I462" t="inlineStr">
        <is>
          <t>1</t>
        </is>
      </c>
      <c r="J462" t="inlineStr"/>
      <c r="K462" t="inlineStr"/>
      <c r="L462" t="inlineStr"/>
      <c r="M462" t="inlineStr"/>
      <c r="N462" t="inlineStr"/>
      <c r="O462">
        <f>(1-Summary!$B$55)*T462+Summary!$B$55*V462</f>
        <v/>
      </c>
      <c r="P462">
        <f>IF(B490=0,0,O462/B490)</f>
        <v/>
      </c>
      <c r="Q462">
        <f>IFERROR(1/IF(Inputs!$B$38="pvp",15,MAX(0.1,Skills!D15-IF(Skills!E15=TRUE,Inputs!$B$32,0))),0)</f>
        <v/>
      </c>
      <c r="R462">
        <f>IF(AND(Inputs!$B$38&lt;&gt;"pvp",Inputs!$B$43&gt;0),IF(Inputs!$B$43&lt;=0,0,(INT(Inputs!$B$43/IF(Inputs!$B$38="pvp",15,MAX(0.1,Skills!D15-IF(Skills!E15=TRUE,Inputs!$B$32,0))))+1)),0)</f>
        <v/>
      </c>
      <c r="S462">
        <f>IFERROR(O462/N462,0)</f>
        <v/>
      </c>
      <c r="T462" t="n">
        <v>0</v>
      </c>
      <c r="V462" t="n">
        <v>0</v>
      </c>
    </row>
    <row r="463">
      <c r="A463">
        <f>Skills!A16</f>
        <v/>
      </c>
      <c r="B463">
        <f>Skills!B16</f>
        <v/>
      </c>
      <c r="C463">
        <f>Inputs!$B$3&gt;=115</f>
        <v/>
      </c>
      <c r="D463">
        <f>IF(Skills!C16=1,60+Inputs!$B$25+Inputs!$B$29,IF(Skills!C16=2,90+Inputs!$B$26+Inputs!$B$29,IF(Skills!C16=3,120+Inputs!$B$27+Inputs!$B$29,MAX(0,(Inputs!$B$3-100)*3)+Inputs!$B$28+Inputs!$B$29)))</f>
        <v/>
      </c>
      <c r="E463">
        <f>INDEX(FactorTable!$B$2:$Y$301, MATCH(ROUND(MIN(300,MAX(1,D463)),0), FactorTable!$A$2:$A$301,0), Skills!M16+1)</f>
        <v/>
      </c>
      <c r="F463">
        <f>IF(Skills!N16=TRUE,(Skills!L16/10)*(E463/1000),Skills!L16/10)+Skills!O16</f>
        <v/>
      </c>
      <c r="G463">
        <f>Skills!G16*IF(Skills!H16&gt;0,Skills!I16/Skills!H16,1)</f>
        <v/>
      </c>
      <c r="H463">
        <f>1-(1-Skills!J16/100)^Skills!K16</f>
        <v/>
      </c>
      <c r="I463" t="inlineStr">
        <is>
          <t>1</t>
        </is>
      </c>
      <c r="J463" t="inlineStr"/>
      <c r="K463" t="inlineStr"/>
      <c r="L463" t="inlineStr"/>
      <c r="M463" t="inlineStr"/>
      <c r="N463" t="inlineStr"/>
      <c r="O463">
        <f>(1-Summary!$B$55)*T463+Summary!$B$55*V463</f>
        <v/>
      </c>
      <c r="P463">
        <f>IF(B490=0,0,O463/B490)</f>
        <v/>
      </c>
      <c r="Q463">
        <f>IFERROR(1/IF(Inputs!$B$38="pvp",15,MAX(0.1,Skills!D16-IF(Skills!E16=TRUE,Inputs!$B$32,0))),0)</f>
        <v/>
      </c>
      <c r="R463">
        <f>IF(AND(Inputs!$B$38&lt;&gt;"pvp",Inputs!$B$43&gt;0),IF(Inputs!$B$43&lt;=0,0,(INT(Inputs!$B$43/IF(Inputs!$B$38="pvp",15,MAX(0.1,Skills!D16-IF(Skills!E16=TRUE,Inputs!$B$32,0))))+1)),0)</f>
        <v/>
      </c>
      <c r="S463">
        <f>IFERROR(O463/N463,0)</f>
        <v/>
      </c>
      <c r="T463" t="n">
        <v>0</v>
      </c>
      <c r="V463" t="n">
        <v>0</v>
      </c>
    </row>
    <row r="464">
      <c r="A464">
        <f>Skills!A17</f>
        <v/>
      </c>
      <c r="B464">
        <f>Skills!B17</f>
        <v/>
      </c>
      <c r="C464">
        <f>Inputs!$B$3&gt;=66</f>
        <v/>
      </c>
      <c r="D464">
        <f>IF(Skills!C17=1,60+Inputs!$B$25+Inputs!$B$29,IF(Skills!C17=2,90+Inputs!$B$26+Inputs!$B$29,IF(Skills!C17=3,120+Inputs!$B$27+Inputs!$B$29,MAX(0,(Inputs!$B$3-100)*3)+Inputs!$B$28+Inputs!$B$29)))</f>
        <v/>
      </c>
      <c r="E464">
        <f>INDEX(FactorTable!$B$2:$Y$301, MATCH(ROUND(MIN(300,MAX(1,D464)),0), FactorTable!$A$2:$A$301,0), Skills!M17+1)</f>
        <v/>
      </c>
      <c r="F464">
        <f>IF(Skills!N17=TRUE,(Skills!L17/10)*(E464/1000),Skills!L17/10)+Skills!O17</f>
        <v/>
      </c>
      <c r="G464">
        <f>Skills!G17*IF(Skills!H17&gt;0,Skills!I17/Skills!H17,1)</f>
        <v/>
      </c>
      <c r="H464">
        <f>1-(1-Skills!J17/100)^Skills!K17</f>
        <v/>
      </c>
      <c r="I464" t="inlineStr">
        <is>
          <t>1</t>
        </is>
      </c>
      <c r="J464" t="inlineStr"/>
      <c r="K464" t="inlineStr"/>
      <c r="L464" t="inlineStr"/>
      <c r="M464" t="inlineStr"/>
      <c r="N464" t="inlineStr"/>
      <c r="O464">
        <f>(1-Summary!$B$55)*T464+Summary!$B$55*V464</f>
        <v/>
      </c>
      <c r="P464">
        <f>IF(B490=0,0,O464/B490)</f>
        <v/>
      </c>
      <c r="Q464" t="n">
        <v>0</v>
      </c>
      <c r="R464" t="n">
        <v>0</v>
      </c>
      <c r="S464">
        <f>IFERROR(O464/N464,0)</f>
        <v/>
      </c>
      <c r="T464" t="n">
        <v>0</v>
      </c>
      <c r="V464" t="n">
        <v>0</v>
      </c>
    </row>
    <row r="465">
      <c r="A465">
        <f>Skills!A18</f>
        <v/>
      </c>
      <c r="B465">
        <f>Skills!B18</f>
        <v/>
      </c>
      <c r="C465">
        <f>Inputs!$B$3&gt;=72</f>
        <v/>
      </c>
      <c r="D465">
        <f>IF(Skills!C18=1,60+Inputs!$B$25+Inputs!$B$29,IF(Skills!C18=2,90+Inputs!$B$26+Inputs!$B$29,IF(Skills!C18=3,120+Inputs!$B$27+Inputs!$B$29,MAX(0,(Inputs!$B$3-100)*3)+Inputs!$B$28+Inputs!$B$29)))</f>
        <v/>
      </c>
      <c r="E465">
        <f>INDEX(FactorTable!$B$2:$Y$301, MATCH(ROUND(MIN(300,MAX(1,D465)),0), FactorTable!$A$2:$A$301,0), Skills!M18+1)</f>
        <v/>
      </c>
      <c r="F465">
        <f>IF(Skills!N18=TRUE,(Skills!L18/10)*(E465/1000),Skills!L18/10)+Skills!O18</f>
        <v/>
      </c>
      <c r="G465">
        <f>Skills!G18*IF(Skills!H18&gt;0,Skills!I18/Skills!H18,1)</f>
        <v/>
      </c>
      <c r="H465">
        <f>1-(1-Skills!J18/100)^Skills!K18</f>
        <v/>
      </c>
      <c r="I465" t="inlineStr">
        <is>
          <t>1</t>
        </is>
      </c>
      <c r="J465" t="inlineStr"/>
      <c r="K465" t="inlineStr"/>
      <c r="L465" t="inlineStr"/>
      <c r="M465" t="inlineStr"/>
      <c r="N465" t="inlineStr"/>
      <c r="O465">
        <f>(1-Summary!$B$55)*T465+Summary!$B$55*V465</f>
        <v/>
      </c>
      <c r="P465">
        <f>IF(B490=0,0,O465/B490)</f>
        <v/>
      </c>
      <c r="Q465" t="n">
        <v>0</v>
      </c>
      <c r="R465" t="n">
        <v>0</v>
      </c>
      <c r="S465">
        <f>IFERROR(O465/N465,0)</f>
        <v/>
      </c>
      <c r="T465" t="n">
        <v>0</v>
      </c>
      <c r="V465" t="n">
        <v>0</v>
      </c>
    </row>
    <row r="466">
      <c r="A466">
        <f>Skills!A19</f>
        <v/>
      </c>
      <c r="B466">
        <f>Skills!B19</f>
        <v/>
      </c>
      <c r="C466">
        <f>TRUE</f>
        <v/>
      </c>
      <c r="D466">
        <f>IF(Skills!C19=1,60+Inputs!$B$25+Inputs!$B$29,IF(Skills!C19=2,90+Inputs!$B$26+Inputs!$B$29,IF(Skills!C19=3,120+Inputs!$B$27+Inputs!$B$29,MAX(0,(Inputs!$B$3-100)*3)+Inputs!$B$28+Inputs!$B$29)))</f>
        <v/>
      </c>
      <c r="E466">
        <f>INDEX(FactorTable!$B$2:$Y$301, MATCH(ROUND(MIN(300,MAX(1,D466)),0), FactorTable!$A$2:$A$301,0), Skills!M19+1)</f>
        <v/>
      </c>
      <c r="F466">
        <f>IF(Skills!N19=TRUE,(Skills!L19/10)*(E466/1000),Skills!L19/10)+Skills!O19</f>
        <v/>
      </c>
      <c r="G466">
        <f>Skills!G19*IF(Skills!H19&gt;0,Skills!I19/Skills!H19,1)</f>
        <v/>
      </c>
      <c r="H466">
        <f>1-(1-Skills!J19/100)^Skills!K19</f>
        <v/>
      </c>
      <c r="I466" t="inlineStr">
        <is>
          <t>1</t>
        </is>
      </c>
      <c r="J466" t="inlineStr"/>
      <c r="K466" t="inlineStr"/>
      <c r="L466" t="inlineStr"/>
      <c r="M466" t="inlineStr"/>
      <c r="N466" t="inlineStr"/>
      <c r="O466">
        <f>(1-Summary!$B$55)*T466+Summary!$B$55*V466</f>
        <v/>
      </c>
      <c r="P466">
        <f>IF(B490=0,0,O466/B490)</f>
        <v/>
      </c>
      <c r="Q466">
        <f>IFERROR(1/IF(Inputs!$B$38="pvp",15,MAX(0.1,Skills!D19-IF(Skills!E19=TRUE,Inputs!$B$32,0))),0)</f>
        <v/>
      </c>
      <c r="R466">
        <f>IF(AND(Inputs!$B$38&lt;&gt;"pvp",Inputs!$B$43&gt;0),IF(Inputs!$B$43&lt;=0,0,(INT(Inputs!$B$43/IF(Inputs!$B$38="pvp",15,MAX(0.1,Skills!D19-IF(Skills!E19=TRUE,Inputs!$B$32,0))))+1)),0)</f>
        <v/>
      </c>
      <c r="S466">
        <f>IFERROR(O466/N466,0)</f>
        <v/>
      </c>
      <c r="T466" t="n">
        <v>0</v>
      </c>
      <c r="V466" t="n">
        <v>0</v>
      </c>
    </row>
    <row r="467">
      <c r="A467">
        <f>Skills!A20</f>
        <v/>
      </c>
      <c r="B467">
        <f>Skills!B20</f>
        <v/>
      </c>
      <c r="C467">
        <f>Inputs!$B$3&gt;=15</f>
        <v/>
      </c>
      <c r="D467">
        <f>IF(Skills!C20=1,60+Inputs!$B$25+Inputs!$B$29,IF(Skills!C20=2,90+Inputs!$B$26+Inputs!$B$29,IF(Skills!C20=3,120+Inputs!$B$27+Inputs!$B$29,MAX(0,(Inputs!$B$3-100)*3)+Inputs!$B$28+Inputs!$B$29)))</f>
        <v/>
      </c>
      <c r="E467">
        <f>INDEX(FactorTable!$B$2:$Y$301, MATCH(ROUND(MIN(300,MAX(1,D467)),0), FactorTable!$A$2:$A$301,0), Skills!M20+1)</f>
        <v/>
      </c>
      <c r="F467">
        <f>IF(Skills!N20=TRUE,(Skills!L20/10)*(E467/1000),Skills!L20/10)+Skills!O20</f>
        <v/>
      </c>
      <c r="G467">
        <f>Skills!G20*IF(Skills!H20&gt;0,Skills!I20/Skills!H20,1)</f>
        <v/>
      </c>
      <c r="H467">
        <f>1-(1-Skills!J20/100)^Skills!K20</f>
        <v/>
      </c>
      <c r="I467" t="inlineStr">
        <is>
          <t>1</t>
        </is>
      </c>
      <c r="J467" t="inlineStr"/>
      <c r="K467" t="inlineStr"/>
      <c r="L467" t="inlineStr"/>
      <c r="M467" t="inlineStr"/>
      <c r="N467" t="inlineStr"/>
      <c r="O467">
        <f>(1-Summary!$B$55)*T467+Summary!$B$55*V467</f>
        <v/>
      </c>
      <c r="P467">
        <f>IF(B490=0,0,O467/B490)</f>
        <v/>
      </c>
      <c r="Q467" t="n">
        <v>0</v>
      </c>
      <c r="R467" t="n">
        <v>0</v>
      </c>
      <c r="S467">
        <f>IFERROR(O467/N467,0)</f>
        <v/>
      </c>
      <c r="T467" t="n">
        <v>0</v>
      </c>
      <c r="V467" t="n">
        <v>0</v>
      </c>
    </row>
    <row r="468">
      <c r="A468">
        <f>Skills!A21</f>
        <v/>
      </c>
      <c r="B468">
        <f>Skills!B21</f>
        <v/>
      </c>
      <c r="C468">
        <f>Inputs!$B$3&gt;=10</f>
        <v/>
      </c>
      <c r="D468">
        <f>IF(Skills!C21=1,60+Inputs!$B$25+Inputs!$B$29,IF(Skills!C21=2,90+Inputs!$B$26+Inputs!$B$29,IF(Skills!C21=3,120+Inputs!$B$27+Inputs!$B$29,MAX(0,(Inputs!$B$3-100)*3)+Inputs!$B$28+Inputs!$B$29)))</f>
        <v/>
      </c>
      <c r="E468">
        <f>INDEX(FactorTable!$B$2:$Y$301, MATCH(ROUND(MIN(300,MAX(1,D468)),0), FactorTable!$A$2:$A$301,0), Skills!M21+1)</f>
        <v/>
      </c>
      <c r="F468">
        <f>IF(Skills!N21=TRUE,(Skills!L21/10)*(E468/1000),Skills!L21/10)+Skills!O21</f>
        <v/>
      </c>
      <c r="G468">
        <f>Skills!G21*IF(Skills!H21&gt;0,Skills!I21/Skills!H21,1)</f>
        <v/>
      </c>
      <c r="H468">
        <f>1-(1-Skills!J21/100)^Skills!K21</f>
        <v/>
      </c>
      <c r="I468" t="inlineStr">
        <is>
          <t>1</t>
        </is>
      </c>
      <c r="J468" t="inlineStr"/>
      <c r="K468" t="inlineStr"/>
      <c r="L468" t="inlineStr"/>
      <c r="M468" t="inlineStr"/>
      <c r="N468" t="inlineStr"/>
      <c r="O468">
        <f>(1-Summary!$B$55)*T468+Summary!$B$55*V468</f>
        <v/>
      </c>
      <c r="P468">
        <f>IF(B490=0,0,O468/B490)</f>
        <v/>
      </c>
      <c r="Q468" t="n">
        <v>0</v>
      </c>
      <c r="R468" t="n">
        <v>0</v>
      </c>
      <c r="S468">
        <f>IFERROR(O468/N468,0)</f>
        <v/>
      </c>
      <c r="T468" t="n">
        <v>0</v>
      </c>
      <c r="V468" t="n">
        <v>0</v>
      </c>
    </row>
    <row r="469">
      <c r="A469">
        <f>Skills!A22</f>
        <v/>
      </c>
      <c r="B469">
        <f>Skills!B22</f>
        <v/>
      </c>
      <c r="C469">
        <f>Inputs!$B$3&gt;=33</f>
        <v/>
      </c>
      <c r="D469">
        <f>IF(Skills!C22=1,60+Inputs!$B$25+Inputs!$B$29,IF(Skills!C22=2,90+Inputs!$B$26+Inputs!$B$29,IF(Skills!C22=3,120+Inputs!$B$27+Inputs!$B$29,MAX(0,(Inputs!$B$3-100)*3)+Inputs!$B$28+Inputs!$B$29)))</f>
        <v/>
      </c>
      <c r="E469">
        <f>INDEX(FactorTable!$B$2:$Y$301, MATCH(ROUND(MIN(300,MAX(1,D469)),0), FactorTable!$A$2:$A$301,0), Skills!M22+1)</f>
        <v/>
      </c>
      <c r="F469">
        <f>IF(Skills!N22=TRUE,(Skills!L22/10)*(E469/1000),Skills!L22/10)+Skills!O22</f>
        <v/>
      </c>
      <c r="G469">
        <f>Skills!G22*IF(Skills!H22&gt;0,Skills!I22/Skills!H22,1)</f>
        <v/>
      </c>
      <c r="H469">
        <f>1-(1-Skills!J22/100)^Skills!K22</f>
        <v/>
      </c>
      <c r="I469" t="inlineStr">
        <is>
          <t>1</t>
        </is>
      </c>
      <c r="J469" t="inlineStr"/>
      <c r="K469" t="inlineStr"/>
      <c r="L469" t="inlineStr"/>
      <c r="M469" t="inlineStr"/>
      <c r="N469" t="inlineStr"/>
      <c r="O469">
        <f>(1-Summary!$B$55)*T469+Summary!$B$55*V469</f>
        <v/>
      </c>
      <c r="P469">
        <f>IF(B490=0,0,O469/B490)</f>
        <v/>
      </c>
      <c r="Q469" t="n">
        <v>0</v>
      </c>
      <c r="R469" t="n">
        <v>0</v>
      </c>
      <c r="S469">
        <f>IFERROR(O469/N469,0)</f>
        <v/>
      </c>
      <c r="T469" t="n">
        <v>0</v>
      </c>
      <c r="V469" t="n">
        <v>0</v>
      </c>
    </row>
    <row r="470">
      <c r="A470">
        <f>Skills!A23</f>
        <v/>
      </c>
      <c r="B470">
        <f>Skills!B23</f>
        <v/>
      </c>
      <c r="C470">
        <f>Inputs!$B$3&gt;=38</f>
        <v/>
      </c>
      <c r="D470">
        <f>IF(Skills!C23=1,60+Inputs!$B$25+Inputs!$B$29,IF(Skills!C23=2,90+Inputs!$B$26+Inputs!$B$29,IF(Skills!C23=3,120+Inputs!$B$27+Inputs!$B$29,MAX(0,(Inputs!$B$3-100)*3)+Inputs!$B$28+Inputs!$B$29)))</f>
        <v/>
      </c>
      <c r="E470">
        <f>INDEX(FactorTable!$B$2:$Y$301, MATCH(ROUND(MIN(300,MAX(1,D470)),0), FactorTable!$A$2:$A$301,0), Skills!M23+1)</f>
        <v/>
      </c>
      <c r="F470">
        <f>IF(Skills!N23=TRUE,(Skills!L23/10)*(E470/1000),Skills!L23/10)+Skills!O23</f>
        <v/>
      </c>
      <c r="G470">
        <f>Skills!G23*IF(Skills!H23&gt;0,Skills!I23/Skills!H23,1)</f>
        <v/>
      </c>
      <c r="H470">
        <f>1-(1-Skills!J23/100)^Skills!K23</f>
        <v/>
      </c>
      <c r="I470" t="inlineStr">
        <is>
          <t>1</t>
        </is>
      </c>
      <c r="J470" t="inlineStr"/>
      <c r="K470" t="inlineStr"/>
      <c r="L470" t="inlineStr"/>
      <c r="M470" t="inlineStr"/>
      <c r="N470" t="inlineStr"/>
      <c r="O470">
        <f>(1-Summary!$B$55)*T470+Summary!$B$55*V470</f>
        <v/>
      </c>
      <c r="P470">
        <f>IF(B490=0,0,O470/B490)</f>
        <v/>
      </c>
      <c r="Q470" t="n">
        <v>0</v>
      </c>
      <c r="R470" t="n">
        <v>0</v>
      </c>
      <c r="S470">
        <f>IFERROR(O470/N470,0)</f>
        <v/>
      </c>
      <c r="T470" t="n">
        <v>0</v>
      </c>
      <c r="V470" t="n">
        <v>0</v>
      </c>
    </row>
    <row r="471">
      <c r="A471">
        <f>Skills!A24</f>
        <v/>
      </c>
      <c r="B471">
        <f>Skills!B24</f>
        <v/>
      </c>
      <c r="C471">
        <f>Inputs!$B$3&gt;=43</f>
        <v/>
      </c>
      <c r="D471">
        <f>IF(Skills!C24=1,60+Inputs!$B$25+Inputs!$B$29,IF(Skills!C24=2,90+Inputs!$B$26+Inputs!$B$29,IF(Skills!C24=3,120+Inputs!$B$27+Inputs!$B$29,MAX(0,(Inputs!$B$3-100)*3)+Inputs!$B$28+Inputs!$B$29)))</f>
        <v/>
      </c>
      <c r="E471">
        <f>INDEX(FactorTable!$B$2:$Y$301, MATCH(ROUND(MIN(300,MAX(1,D471)),0), FactorTable!$A$2:$A$301,0), Skills!M24+1)</f>
        <v/>
      </c>
      <c r="F471">
        <f>IF(Skills!N24=TRUE,(Skills!L24/10)*(E471/1000),Skills!L24/10)+Skills!O24</f>
        <v/>
      </c>
      <c r="G471">
        <f>Skills!G24*IF(Skills!H24&gt;0,Skills!I24/Skills!H24,1)</f>
        <v/>
      </c>
      <c r="H471">
        <f>1-(1-Skills!J24/100)^Skills!K24</f>
        <v/>
      </c>
      <c r="I471" t="inlineStr">
        <is>
          <t>1</t>
        </is>
      </c>
      <c r="J471" t="inlineStr"/>
      <c r="K471" t="inlineStr"/>
      <c r="L471" t="inlineStr"/>
      <c r="M471" t="inlineStr"/>
      <c r="N471" t="inlineStr"/>
      <c r="O471">
        <f>(1-Summary!$B$55)*T471+Summary!$B$55*V471</f>
        <v/>
      </c>
      <c r="P471">
        <f>IF(B490=0,0,O471/B490)</f>
        <v/>
      </c>
      <c r="Q471" t="n">
        <v>0</v>
      </c>
      <c r="R471" t="n">
        <v>0</v>
      </c>
      <c r="S471">
        <f>IFERROR(O471/N471,0)</f>
        <v/>
      </c>
      <c r="T471" t="n">
        <v>0</v>
      </c>
      <c r="V471" t="n">
        <v>0</v>
      </c>
    </row>
    <row r="472">
      <c r="A472">
        <f>Skills!A25</f>
        <v/>
      </c>
      <c r="B472">
        <f>Skills!B25</f>
        <v/>
      </c>
      <c r="C472">
        <f>Inputs!$B$3&gt;=75</f>
        <v/>
      </c>
      <c r="D472">
        <f>IF(Skills!C25=1,60+Inputs!$B$25+Inputs!$B$29,IF(Skills!C25=2,90+Inputs!$B$26+Inputs!$B$29,IF(Skills!C25=3,120+Inputs!$B$27+Inputs!$B$29,MAX(0,(Inputs!$B$3-100)*3)+Inputs!$B$28+Inputs!$B$29)))</f>
        <v/>
      </c>
      <c r="E472">
        <f>INDEX(FactorTable!$B$2:$Y$301, MATCH(ROUND(MIN(300,MAX(1,D472)),0), FactorTable!$A$2:$A$301,0), Skills!M25+1)</f>
        <v/>
      </c>
      <c r="F472">
        <f>IF(Skills!N25=TRUE,(Skills!L25/10)*(E472/1000),Skills!L25/10)+Skills!O25</f>
        <v/>
      </c>
      <c r="G472">
        <f>Skills!G25*IF(Skills!H25&gt;0,Skills!I25/Skills!H25,1)</f>
        <v/>
      </c>
      <c r="H472">
        <f>1-(1-Skills!J25/100)^Skills!K25</f>
        <v/>
      </c>
      <c r="I472" t="inlineStr">
        <is>
          <t>1</t>
        </is>
      </c>
      <c r="J472" t="inlineStr"/>
      <c r="K472" t="inlineStr"/>
      <c r="L472" t="inlineStr"/>
      <c r="M472" t="inlineStr"/>
      <c r="N472" t="inlineStr"/>
      <c r="O472">
        <f>(1-Summary!$B$55)*T472+Summary!$B$55*V472</f>
        <v/>
      </c>
      <c r="P472">
        <f>IF(B490=0,0,O472/B490)</f>
        <v/>
      </c>
      <c r="Q472" t="n">
        <v>0</v>
      </c>
      <c r="R472" t="n">
        <v>0</v>
      </c>
      <c r="S472">
        <f>IFERROR(O472/N472,0)</f>
        <v/>
      </c>
      <c r="T472" t="n">
        <v>0</v>
      </c>
      <c r="V472" t="n">
        <v>0</v>
      </c>
    </row>
    <row r="473">
      <c r="A473">
        <f>Skills!A26</f>
        <v/>
      </c>
      <c r="B473">
        <f>Skills!B26</f>
        <v/>
      </c>
      <c r="C473">
        <f>Inputs!$B$3&gt;=125</f>
        <v/>
      </c>
      <c r="D473">
        <f>IF(Skills!C26=1,60+Inputs!$B$25+Inputs!$B$29,IF(Skills!C26=2,90+Inputs!$B$26+Inputs!$B$29,IF(Skills!C26=3,120+Inputs!$B$27+Inputs!$B$29,MAX(0,(Inputs!$B$3-100)*3)+Inputs!$B$28+Inputs!$B$29)))</f>
        <v/>
      </c>
      <c r="E473">
        <f>INDEX(FactorTable!$B$2:$Y$301, MATCH(ROUND(MIN(300,MAX(1,D473)),0), FactorTable!$A$2:$A$301,0), Skills!M26+1)</f>
        <v/>
      </c>
      <c r="F473">
        <f>IF(Skills!N26=TRUE,(Skills!L26/10)*(E473/1000),Skills!L26/10)+Skills!O26</f>
        <v/>
      </c>
      <c r="G473">
        <f>Skills!G26*IF(Skills!H26&gt;0,Skills!I26/Skills!H26,1)</f>
        <v/>
      </c>
      <c r="H473">
        <f>1-(1-Skills!J26/100)^Skills!K26</f>
        <v/>
      </c>
      <c r="I473" t="inlineStr">
        <is>
          <t>1</t>
        </is>
      </c>
      <c r="J473" t="inlineStr"/>
      <c r="K473" t="inlineStr"/>
      <c r="L473" t="inlineStr"/>
      <c r="M473" t="inlineStr"/>
      <c r="N473" t="inlineStr"/>
      <c r="O473">
        <f>(1-Summary!$B$55)*T473+Summary!$B$55*V473</f>
        <v/>
      </c>
      <c r="P473">
        <f>IF(B490=0,0,O473/B490)</f>
        <v/>
      </c>
      <c r="Q473" t="n">
        <v>0</v>
      </c>
      <c r="R473" t="n">
        <v>0</v>
      </c>
      <c r="S473">
        <f>IFERROR(O473/N473,0)</f>
        <v/>
      </c>
      <c r="T473" t="n">
        <v>0</v>
      </c>
      <c r="V473" t="n">
        <v>0</v>
      </c>
    </row>
    <row r="474">
      <c r="A474">
        <f>Skills!A27</f>
        <v/>
      </c>
      <c r="B474">
        <f>Skills!B27</f>
        <v/>
      </c>
      <c r="C474">
        <f>Inputs!$B$3&gt;=125</f>
        <v/>
      </c>
      <c r="D474">
        <f>IF(Skills!C27=1,60+Inputs!$B$25+Inputs!$B$29,IF(Skills!C27=2,90+Inputs!$B$26+Inputs!$B$29,IF(Skills!C27=3,120+Inputs!$B$27+Inputs!$B$29,MAX(0,(Inputs!$B$3-100)*3)+Inputs!$B$28+Inputs!$B$29)))</f>
        <v/>
      </c>
      <c r="E474">
        <f>INDEX(FactorTable!$B$2:$Y$301, MATCH(ROUND(MIN(300,MAX(1,D474)),0), FactorTable!$A$2:$A$301,0), Skills!M27+1)</f>
        <v/>
      </c>
      <c r="F474">
        <f>IF(Skills!N27=TRUE,(Skills!L27/10)*(E474/1000),Skills!L27/10)+Skills!O27</f>
        <v/>
      </c>
      <c r="G474">
        <f>Skills!G27*IF(Skills!H27&gt;0,Skills!I27/Skills!H27,1)</f>
        <v/>
      </c>
      <c r="H474">
        <f>1-(1-Skills!J27/100)^Skills!K27</f>
        <v/>
      </c>
      <c r="I474" t="inlineStr">
        <is>
          <t>1</t>
        </is>
      </c>
      <c r="J474" t="inlineStr"/>
      <c r="K474" t="inlineStr"/>
      <c r="L474" t="inlineStr"/>
      <c r="M474" t="inlineStr"/>
      <c r="N474" t="inlineStr"/>
      <c r="O474">
        <f>(1-Summary!$B$55)*T474+Summary!$B$55*V474</f>
        <v/>
      </c>
      <c r="P474">
        <f>IF(B490=0,0,O474/B490)</f>
        <v/>
      </c>
      <c r="Q474" t="n">
        <v>0</v>
      </c>
      <c r="R474" t="n">
        <v>0</v>
      </c>
      <c r="S474">
        <f>IFERROR(O474/N474,0)</f>
        <v/>
      </c>
      <c r="T474" t="n">
        <v>0</v>
      </c>
      <c r="V474" t="n">
        <v>0</v>
      </c>
    </row>
    <row r="475">
      <c r="A475">
        <f>Skills!A28</f>
        <v/>
      </c>
      <c r="B475">
        <f>Skills!B28</f>
        <v/>
      </c>
      <c r="C475">
        <f>Inputs!$B$3&gt;=120</f>
        <v/>
      </c>
      <c r="D475">
        <f>IF(Skills!C28=1,60+Inputs!$B$25+Inputs!$B$29,IF(Skills!C28=2,90+Inputs!$B$26+Inputs!$B$29,IF(Skills!C28=3,120+Inputs!$B$27+Inputs!$B$29,MAX(0,(Inputs!$B$3-100)*3)+Inputs!$B$28+Inputs!$B$29)))</f>
        <v/>
      </c>
      <c r="E475">
        <f>INDEX(FactorTable!$B$2:$Y$301, MATCH(ROUND(MIN(300,MAX(1,D475)),0), FactorTable!$A$2:$A$301,0), Skills!M28+1)</f>
        <v/>
      </c>
      <c r="F475">
        <f>IF(Skills!N28=TRUE,(Skills!L28/10)*(E475/1000),Skills!L28/10)+Skills!O28</f>
        <v/>
      </c>
      <c r="G475">
        <f>Skills!G28*IF(Skills!H28&gt;0,Skills!I28/Skills!H28,1)</f>
        <v/>
      </c>
      <c r="H475">
        <f>1-(1-Skills!J28/100)^Skills!K28</f>
        <v/>
      </c>
      <c r="I475" t="inlineStr">
        <is>
          <t>1</t>
        </is>
      </c>
      <c r="J475" t="inlineStr"/>
      <c r="K475" t="inlineStr"/>
      <c r="L475" t="inlineStr"/>
      <c r="M475" t="inlineStr"/>
      <c r="N475" t="inlineStr"/>
      <c r="O475">
        <f>(1-Summary!$B$55)*T475+Summary!$B$55*V475</f>
        <v/>
      </c>
      <c r="P475">
        <f>IF(B490=0,0,O475/B490)</f>
        <v/>
      </c>
      <c r="Q475" t="n">
        <v>0</v>
      </c>
      <c r="R475" t="n">
        <v>0</v>
      </c>
      <c r="S475">
        <f>IFERROR(O475/N475,0)</f>
        <v/>
      </c>
      <c r="T475" t="n">
        <v>0</v>
      </c>
      <c r="V475" t="n">
        <v>0</v>
      </c>
    </row>
    <row r="476">
      <c r="A476">
        <f>Skills!A29</f>
        <v/>
      </c>
      <c r="B476">
        <f>Skills!B29</f>
        <v/>
      </c>
      <c r="C476">
        <f>Inputs!$B$3&gt;=120</f>
        <v/>
      </c>
      <c r="D476">
        <f>IF(Skills!C29=1,60+Inputs!$B$25+Inputs!$B$29,IF(Skills!C29=2,90+Inputs!$B$26+Inputs!$B$29,IF(Skills!C29=3,120+Inputs!$B$27+Inputs!$B$29,MAX(0,(Inputs!$B$3-100)*3)+Inputs!$B$28+Inputs!$B$29)))</f>
        <v/>
      </c>
      <c r="E476">
        <f>INDEX(FactorTable!$B$2:$Y$301, MATCH(ROUND(MIN(300,MAX(1,D476)),0), FactorTable!$A$2:$A$301,0), Skills!M29+1)</f>
        <v/>
      </c>
      <c r="F476">
        <f>IF(Skills!N29=TRUE,(Skills!L29/10)*(E476/1000),Skills!L29/10)+Skills!O29</f>
        <v/>
      </c>
      <c r="G476">
        <f>Skills!G29*IF(Skills!H29&gt;0,Skills!I29/Skills!H29,1)</f>
        <v/>
      </c>
      <c r="H476">
        <f>1-(1-Skills!J29/100)^Skills!K29</f>
        <v/>
      </c>
      <c r="I476" t="inlineStr">
        <is>
          <t>1</t>
        </is>
      </c>
      <c r="J476" t="inlineStr"/>
      <c r="K476" t="inlineStr"/>
      <c r="L476" t="inlineStr"/>
      <c r="M476" t="inlineStr"/>
      <c r="N476" t="inlineStr"/>
      <c r="O476">
        <f>(1-Summary!$B$55)*T476+Summary!$B$55*V476</f>
        <v/>
      </c>
      <c r="P476">
        <f>IF(B490=0,0,O476/B490)</f>
        <v/>
      </c>
      <c r="Q476" t="n">
        <v>0</v>
      </c>
      <c r="R476" t="n">
        <v>0</v>
      </c>
      <c r="S476">
        <f>IFERROR(O476/N476,0)</f>
        <v/>
      </c>
      <c r="T476" t="n">
        <v>0</v>
      </c>
      <c r="V476" t="n">
        <v>0</v>
      </c>
    </row>
    <row r="477">
      <c r="A477">
        <f>Skills!A30</f>
        <v/>
      </c>
      <c r="B477">
        <f>Skills!B30</f>
        <v/>
      </c>
      <c r="C477">
        <f>Inputs!$B$3&gt;=45</f>
        <v/>
      </c>
      <c r="D477">
        <f>IF(Skills!C30=1,60+Inputs!$B$25+Inputs!$B$29,IF(Skills!C30=2,90+Inputs!$B$26+Inputs!$B$29,IF(Skills!C30=3,120+Inputs!$B$27+Inputs!$B$29,MAX(0,(Inputs!$B$3-100)*3)+Inputs!$B$28+Inputs!$B$29)))</f>
        <v/>
      </c>
      <c r="E477">
        <f>INDEX(FactorTable!$B$2:$Y$301, MATCH(ROUND(MIN(300,MAX(1,D477)),0), FactorTable!$A$2:$A$301,0), Skills!M30+1)</f>
        <v/>
      </c>
      <c r="F477">
        <f>IF(Skills!N30=TRUE,(Skills!L30/10)*(E477/1000),Skills!L30/10)+Skills!O30</f>
        <v/>
      </c>
      <c r="G477">
        <f>Skills!G30*IF(Skills!H30&gt;0,Skills!I30/Skills!H30,1)</f>
        <v/>
      </c>
      <c r="H477">
        <f>1-(1-Skills!J30/100)^Skills!K30</f>
        <v/>
      </c>
      <c r="I477" t="inlineStr">
        <is>
          <t>1</t>
        </is>
      </c>
      <c r="J477" t="inlineStr"/>
      <c r="K477" t="inlineStr"/>
      <c r="L477" t="inlineStr"/>
      <c r="M477" t="inlineStr"/>
      <c r="N477" t="inlineStr"/>
      <c r="O477">
        <f>(1-Summary!$B$55)*T477+Summary!$B$55*V477</f>
        <v/>
      </c>
      <c r="P477">
        <f>IF(B490=0,0,O477/B490)</f>
        <v/>
      </c>
      <c r="Q477" t="n">
        <v>0</v>
      </c>
      <c r="R477" t="n">
        <v>0</v>
      </c>
      <c r="S477">
        <f>IFERROR(O477/N477,0)</f>
        <v/>
      </c>
      <c r="T477" t="n">
        <v>0</v>
      </c>
      <c r="V477" t="n">
        <v>0</v>
      </c>
    </row>
    <row r="479">
      <c r="A479" t="inlineStr">
        <is>
          <t>Attack% Bucket Multiplier</t>
        </is>
      </c>
      <c r="B479">
        <f>(1+(((C460=TRUE)*F460)+((C461=TRUE)*IF(Inputs!$B$38="pvp",F461,(1-Summary!$B$55)*(F461)+Summary!$B$55*(0)))+((C462=TRUE)*F462*IF(AND(Inputs!$B$38&lt;&gt;"pvp",Inputs!$B$43&gt;0),(((R462-1)*(Skills!T15*(1+Inputs!$B$34/100))+MIN((Skills!T15*(1+Inputs!$B$34/100)),MAX(0,Inputs!$B$43-((R462-1)*Skills!D15))))/Inputs!$B$43),IF(Inputs!$B$38="pvp",MIN((Skills!T15*(1+Inputs!$B$34/100)),15)/15,(Skills!T15*(1+Inputs!$B$34/100))/Skills!D15)))+((C477=TRUE)*(F477-Calc!F30)))/100)</f>
        <v/>
      </c>
    </row>
    <row r="480">
      <c r="A480" t="inlineStr">
        <is>
          <t>Global Crit Rate Bonus %</t>
        </is>
      </c>
      <c r="B480">
        <f>(C463=TRUE)*20*IF(AND(Inputs!$B$38&lt;&gt;"pvp",Inputs!$B$43&gt;0),(((R463-1)*(Skills!T16*(1+Inputs!$B$34/100))+MIN((Skills!T16*(1+Inputs!$B$34/100)),MAX(0,Inputs!$B$43-((R463-1)*Skills!D16))))/Inputs!$B$43),IF(Inputs!$B$38="pvp",MIN((Skills!T16*(1+Inputs!$B$34/100)),15)/15,(Skills!T16*(1+Inputs!$B$34/100))/Skills!D16))</f>
        <v/>
      </c>
    </row>
    <row r="481">
      <c r="A481" t="inlineStr">
        <is>
          <t>Attack Speed Buff Bonus %</t>
        </is>
      </c>
      <c r="B481">
        <f>((C466=TRUE)*F466*IF(AND(Inputs!$B$38&lt;&gt;"pvp",Inputs!$B$43&gt;0),(((R466-1)*(Skills!T19*(1+Inputs!$B$34/100))+MIN((Skills!T19*(1+Inputs!$B$34/100)),MAX(0,Inputs!$B$43-((R466-1)*Skills!D19))))/Inputs!$B$43),IF(Inputs!$B$38="pvp",MIN((Skills!T19*(1+Inputs!$B$34/100)),15)/15,(Skills!T19*(1+Inputs!$B$34/100))/Skills!D19)))</f>
        <v/>
      </c>
    </row>
    <row r="482">
      <c r="A482" t="inlineStr">
        <is>
          <t>Actions Per Second</t>
        </is>
      </c>
      <c r="B482">
        <f>1+MIN(150,150*(1-(1-(Inputs!$B$11+((C468=TRUE)*(F468-Calc!F21))+((C469=TRUE)*(F469-Calc!F22)))/150)*(1-B481/150)))/100</f>
        <v/>
      </c>
    </row>
    <row r="483">
      <c r="A483" t="inlineStr">
        <is>
          <t>Skill + Buff Cast Rate</t>
        </is>
      </c>
      <c r="B483">
        <f>IF(AND(Inputs!$B$38&lt;&gt;"pvp",Inputs!$B$43&gt;0),SUMPRODUCT((Skills!E2:E30=TRUE)*(C449:C477=TRUE)*R449:R477*Skills!F2:F30)/Inputs!$B$43,SUMPRODUCT((Skills!E2:E30=TRUE)*(C449:C477=TRUE)*Q449:Q477*Skills!F2:F30))</f>
        <v/>
      </c>
    </row>
    <row r="484">
      <c r="A484" t="inlineStr">
        <is>
          <t>Arrow Stream Casts Per Second</t>
        </is>
      </c>
      <c r="B484">
        <f>MAX(0,B482-B483)</f>
        <v/>
      </c>
    </row>
    <row r="485">
      <c r="A485" t="inlineStr">
        <is>
          <t>Global Critical Damage Bonus % (Sharp Eyes + Concentration)</t>
        </is>
      </c>
      <c r="B485">
        <f>(C463=TRUE)*F463*IF(AND(Inputs!$B$38&lt;&gt;"pvp",Inputs!$B$43&gt;0),(((R463-1)*(Skills!T16*(1+Inputs!$B$34/100))+MIN((Skills!T16*(1+Inputs!$B$34/100)),MAX(0,Inputs!$B$43-((R463-1)*Skills!D16))))/Inputs!$B$43),IF(Inputs!$B$38="pvp",MIN((Skills!T16*(1+Inputs!$B$34/100)),15)/15,(Skills!T16*(1+Inputs!$B$34/100))/Skills!D16))+(C464=TRUE)*30</f>
        <v/>
      </c>
    </row>
    <row r="486">
      <c r="A486" t="inlineStr">
        <is>
          <t>Global Final Damage Bonus % (Mortal Blow)</t>
        </is>
      </c>
      <c r="B486">
        <f>(C465=TRUE)*F465</f>
        <v/>
      </c>
    </row>
    <row r="487">
      <c r="A487" t="inlineStr">
        <is>
          <t>Buff-Casting Startup Delay (s, fixed-duration only)</t>
        </is>
      </c>
      <c r="B487">
        <f>IF(AND(Inputs!$B$38&lt;&gt;"pvp",Inputs!$B$43&gt;0),SUMPRODUCT((Skills!T2:T30&gt;0)*(Skills!E2:E30=TRUE)*(C449:C477=TRUE))/B482,0)</f>
        <v/>
      </c>
    </row>
    <row r="488">
      <c r="A488" t="inlineStr">
        <is>
          <t>Boss-Only Total DPS (this block's swept value)</t>
        </is>
      </c>
      <c r="B488">
        <f>SUM(T449:T477)</f>
        <v/>
      </c>
    </row>
    <row r="489">
      <c r="A489" t="inlineStr">
        <is>
          <t>Normal-Only Total DPS (this block's swept value)</t>
        </is>
      </c>
      <c r="B489">
        <f>SUM(V449:V477)</f>
        <v/>
      </c>
    </row>
    <row r="490">
      <c r="A490" s="5" t="inlineStr">
        <is>
          <t>TOTAL DPS</t>
        </is>
      </c>
      <c r="B490" s="5">
        <f>SUM(O449:O477)</f>
        <v/>
      </c>
    </row>
    <row r="493">
      <c r="A493" s="5" t="inlineStr">
        <is>
          <t>Stat: CRIT_RATE %</t>
        </is>
      </c>
    </row>
    <row r="494">
      <c r="A494" s="9" t="inlineStr">
        <is>
          <t>Key</t>
        </is>
      </c>
      <c r="B494" s="9" t="inlineStr">
        <is>
          <t>Name</t>
        </is>
      </c>
      <c r="C494" s="9" t="inlineStr">
        <is>
          <t>Unlocked</t>
        </is>
      </c>
      <c r="D494" s="9" t="inlineStr">
        <is>
          <t>InputLevel</t>
        </is>
      </c>
      <c r="E494" s="9" t="inlineStr">
        <is>
          <t>Factor</t>
        </is>
      </c>
      <c r="F494" s="9" t="inlineStr">
        <is>
          <t>CoefficientPercent</t>
        </is>
      </c>
      <c r="G494" s="9" t="inlineStr">
        <is>
          <t>EffectiveHits</t>
        </is>
      </c>
      <c r="H494" s="9" t="inlineStr">
        <is>
          <t>ProcProbability</t>
        </is>
      </c>
      <c r="I494" s="9" t="inlineStr">
        <is>
          <t>MapleHeroMultiplier</t>
        </is>
      </c>
      <c r="J494" s="9" t="inlineStr">
        <is>
          <t>BaseDamage</t>
        </is>
      </c>
      <c r="K494" s="9" t="inlineStr">
        <is>
          <t>BaseHitDamage</t>
        </is>
      </c>
      <c r="L494" s="9" t="inlineStr">
        <is>
          <t>NonCritAvg</t>
        </is>
      </c>
      <c r="M494" s="9" t="inlineStr">
        <is>
          <t>CritAvg</t>
        </is>
      </c>
      <c r="N494" s="9" t="inlineStr">
        <is>
          <t>ExpectedDamage(perHit)</t>
        </is>
      </c>
      <c r="O494" s="9" t="inlineStr">
        <is>
          <t>DPS</t>
        </is>
      </c>
      <c r="P494" s="9" t="inlineStr">
        <is>
          <t>% of Total</t>
        </is>
      </c>
      <c r="Q494" s="9" t="inlineStr">
        <is>
          <t>InvCooldown</t>
        </is>
      </c>
      <c r="R494" s="9" t="inlineStr">
        <is>
          <t>CastsInFight</t>
        </is>
      </c>
      <c r="S494" s="9" t="inlineStr">
        <is>
          <t>HitRate(perSec)</t>
        </is>
      </c>
      <c r="U494" t="inlineStr">
        <is>
          <t>helpers</t>
        </is>
      </c>
    </row>
    <row r="495">
      <c r="A495">
        <f>Skills!A2</f>
        <v/>
      </c>
      <c r="B495">
        <f>Skills!B2</f>
        <v/>
      </c>
      <c r="C495">
        <f>Inputs!$B$3&gt;=100</f>
        <v/>
      </c>
      <c r="D495" t="inlineStr"/>
      <c r="E495" t="inlineStr"/>
      <c r="F495">
        <f>U497+Skills!O2</f>
        <v/>
      </c>
      <c r="G495">
        <f>Skills!G2*IF(Skills!H2&gt;0,Skills!I2/Skills!H2,1)</f>
        <v/>
      </c>
      <c r="H495">
        <f>1-(1-Skills!J2/100)^Skills!K2</f>
        <v/>
      </c>
      <c r="I495" t="inlineStr">
        <is>
          <t>1</t>
        </is>
      </c>
      <c r="J495">
        <f>((Inputs!$B$6*(1+Inputs!$B$7/100))+(((Inputs!$B$12*(1+Inputs!$B$13/100))-(Inputs!$B$12*(1+Inputs!$B$13/100)))+0.25*(Inputs!$B$14-Inputs!$B$14))*(1+Inputs!$B$7/100))*(F495/100)</f>
        <v/>
      </c>
      <c r="K495">
        <f>J495*(1+((Inputs!$B$12*(1+Inputs!$B$13/100))*0.01+Inputs!$B$14*0.0025)/100)*(1+Inputs!$B$15/100)*(1+Inputs!$B$16/100)*(5000/(6000+Inputs!$B$42*(1-(Inputs!$B$19+((C520=TRUE)*(F520-Calc!F27)))/100)))*(1+(Inputs!$B$24+((C518=TRUE)*(F518-Calc!F25))+((C519=TRUE)*(F519-Calc!F26))+B532)/100)*(1+(IF(Skills!A2="ARROW_STREAM",Inputs!$B$17+((C516=TRUE)*(F516-Calc!F23)),Inputs!$B$18+((C521=TRUE)*(F521-Calc!F28))))/100)*((1+(((C506=TRUE)*F506)+((C507=TRUE)*IF(Inputs!$B$38="pvp",F507,(1-Summary!$B$55)*(F507)+Summary!$B$55*(0)))+((C508=TRUE)*F508*IF(AND(Inputs!$B$38&lt;&gt;"pvp",Inputs!$B$43&gt;0),(((R508-1)*(Skills!T15*(1+Inputs!$B$34/100))+MIN((Skills!T15*(1+Inputs!$B$34/100)),MAX(0,Inputs!$B$43-((R508-1)*Skills!D15))))/Inputs!$B$43),IF(Inputs!$B$38="pvp",MIN((Skills!T15*(1+Inputs!$B$34/100)),15)/15,(Skills!T15*(1+Inputs!$B$34/100))/Skills!D15)))+((C523=TRUE)*(F523-Calc!F30)))/100)*I495)</f>
        <v/>
      </c>
      <c r="L495">
        <f>K495*(MIN(Inputs!$B$22+((C517=TRUE)*(F517-Calc!F24)),Inputs!$B$23+((C522=TRUE)*(F522-Calc!F29)))/100+(Inputs!$B$23+((C522=TRUE)*(F522-Calc!F29)))/100)/2</f>
        <v/>
      </c>
      <c r="M495">
        <f>L495*(1+(Inputs!$B$10+0+B531)/100)</f>
        <v/>
      </c>
      <c r="N495">
        <f>L495*(1-MIN(((Inputs!$B$9+1)+((C513=TRUE)*(F513-Calc!F20))+B526),100)/100)+M495*(MIN(((Inputs!$B$9+1)+((C513=TRUE)*(F513-Calc!F20))+B526),100)/100)</f>
        <v/>
      </c>
      <c r="O495">
        <f>(1-Summary!$B$55)*T495+Summary!$B$55*V495</f>
        <v/>
      </c>
      <c r="P495">
        <f>IF(B536=0,0,O495/B536)</f>
        <v/>
      </c>
      <c r="Q495" t="n">
        <v>0</v>
      </c>
      <c r="R495" t="n">
        <v>0</v>
      </c>
      <c r="S495">
        <f>IFERROR(O495/N495,0)</f>
        <v/>
      </c>
      <c r="T495">
        <f>IF(C495,(Skills!G2*N495*B530)*IF(Inputs!$B$38="pvp",1,1+(Inputs!$B$20+0+Skills!P2)/100),0)</f>
        <v/>
      </c>
      <c r="U495">
        <f>MAX(0,(Inputs!$B$3-100)*3)+Inputs!$B$28+Inputs!$B$29</f>
        <v/>
      </c>
      <c r="V495">
        <f>IF(C495,(Skills!G2*N495*B530)*IF(Inputs!$B$38="pvp",1,(1+(Inputs!$B$21+Skills!Q2)/100)*(MIN((6+Inputs!$B$33),Inputs!$B$37))),0)</f>
        <v/>
      </c>
    </row>
    <row r="496">
      <c r="A496">
        <f>Skills!A3</f>
        <v/>
      </c>
      <c r="B496">
        <f>Skills!B3</f>
        <v/>
      </c>
      <c r="C496">
        <f>Inputs!$B$3&gt;=50</f>
        <v/>
      </c>
      <c r="D496">
        <f>IF(Skills!C3=1,60+Inputs!$B$25+Inputs!$B$29,IF(Skills!C3=2,90+Inputs!$B$26+Inputs!$B$29,IF(Skills!C3=3,120+Inputs!$B$27+Inputs!$B$29,MAX(0,(Inputs!$B$3-100)*3)+Inputs!$B$28+Inputs!$B$29)))</f>
        <v/>
      </c>
      <c r="E496">
        <f>INDEX(FactorTable!$B$2:$Y$301, MATCH(ROUND(MIN(300,MAX(1,D496)),0), FactorTable!$A$2:$A$301,0), Skills!M3+1)</f>
        <v/>
      </c>
      <c r="F496">
        <f>IF(Skills!N3=TRUE,(Skills!L3/10)*(E496/1000),Skills!L3/10)+Skills!O3</f>
        <v/>
      </c>
      <c r="G496" t="inlineStr"/>
      <c r="H496" t="inlineStr"/>
      <c r="I496" t="inlineStr">
        <is>
          <t>1</t>
        </is>
      </c>
      <c r="J496" t="inlineStr"/>
      <c r="K496" t="inlineStr"/>
      <c r="L496" t="inlineStr"/>
      <c r="M496" t="inlineStr"/>
      <c r="N496" t="inlineStr"/>
      <c r="O496" t="inlineStr"/>
      <c r="P496" t="inlineStr"/>
      <c r="Q496" t="inlineStr"/>
      <c r="R496" t="inlineStr"/>
      <c r="S496" t="inlineStr"/>
      <c r="T496" t="inlineStr"/>
      <c r="U496">
        <f>INDEX(FactorTable!$B$2:$Y$301, MATCH(ROUND(MIN(300,MAX(1,U495)),0), FactorTable!$A$2:$A$301,0), 22)</f>
        <v/>
      </c>
      <c r="V496" t="inlineStr"/>
    </row>
    <row r="497">
      <c r="A497">
        <f>Skills!A4</f>
        <v/>
      </c>
      <c r="B497">
        <f>Skills!B4</f>
        <v/>
      </c>
      <c r="C497">
        <f>Inputs!$B$3&gt;=105</f>
        <v/>
      </c>
      <c r="D497">
        <f>IF(Skills!C4=1,60+Inputs!$B$25+Inputs!$B$29,IF(Skills!C4=2,90+Inputs!$B$26+Inputs!$B$29,IF(Skills!C4=3,120+Inputs!$B$27+Inputs!$B$29,MAX(0,(Inputs!$B$3-100)*3)+Inputs!$B$28+Inputs!$B$29)))</f>
        <v/>
      </c>
      <c r="E497">
        <f>INDEX(FactorTable!$B$2:$Y$301, MATCH(ROUND(MIN(300,MAX(1,D497)),0), FactorTable!$A$2:$A$301,0), Skills!M4+1)</f>
        <v/>
      </c>
      <c r="F497">
        <f>IF(Skills!N4=TRUE,(Skills!L4/10)*(E497/1000),Skills!L4/10)+Skills!O4</f>
        <v/>
      </c>
      <c r="G497" t="inlineStr"/>
      <c r="H497" t="inlineStr"/>
      <c r="I497" t="inlineStr">
        <is>
          <t>1</t>
        </is>
      </c>
      <c r="J497" t="inlineStr"/>
      <c r="K497" t="inlineStr"/>
      <c r="L497" t="inlineStr"/>
      <c r="M497" t="inlineStr"/>
      <c r="N497" t="inlineStr"/>
      <c r="O497" t="inlineStr"/>
      <c r="P497" t="inlineStr"/>
      <c r="Q497" t="inlineStr"/>
      <c r="R497" t="inlineStr"/>
      <c r="S497" t="inlineStr"/>
      <c r="T497" t="inlineStr"/>
      <c r="U497">
        <f>290*U496/1000</f>
        <v/>
      </c>
      <c r="V497" t="inlineStr"/>
    </row>
    <row r="498">
      <c r="A498">
        <f>Skills!A5</f>
        <v/>
      </c>
      <c r="B498">
        <f>Skills!B5</f>
        <v/>
      </c>
      <c r="C498">
        <f>Inputs!$B$3&gt;=35</f>
        <v/>
      </c>
      <c r="D498">
        <f>IF(Skills!C5=1,60+Inputs!$B$25+Inputs!$B$29,IF(Skills!C5=2,90+Inputs!$B$26+Inputs!$B$29,IF(Skills!C5=3,120+Inputs!$B$27+Inputs!$B$29,MAX(0,(Inputs!$B$3-100)*3)+Inputs!$B$28+Inputs!$B$29)))</f>
        <v/>
      </c>
      <c r="E498">
        <f>INDEX(FactorTable!$B$2:$Y$301, MATCH(ROUND(MIN(300,MAX(1,D498)),0), FactorTable!$A$2:$A$301,0), Skills!M5+1)</f>
        <v/>
      </c>
      <c r="F498">
        <f>IF(Skills!N5=TRUE,(Skills!L5/10)*(E498/1000),Skills!L5/10)+Skills!O5</f>
        <v/>
      </c>
      <c r="G498">
        <f>Skills!G5*IF(Skills!H5&gt;0,Skills!I5/Skills!H5,1)</f>
        <v/>
      </c>
      <c r="H498">
        <f>1-(1-Skills!J5/100)^Skills!K5</f>
        <v/>
      </c>
      <c r="I498" t="inlineStr">
        <is>
          <t>1</t>
        </is>
      </c>
      <c r="J498">
        <f>((Inputs!$B$6*(1+Inputs!$B$7/100))+(((Inputs!$B$12*(1+Inputs!$B$13/100))-(Inputs!$B$12*(1+Inputs!$B$13/100)))+0.25*(Inputs!$B$14-Inputs!$B$14))*(1+Inputs!$B$7/100))*(F498/100)</f>
        <v/>
      </c>
      <c r="K498">
        <f>J498*(1+((Inputs!$B$12*(1+Inputs!$B$13/100))*0.01+Inputs!$B$14*0.0025)/100)*(1+Inputs!$B$15/100)*(1+Inputs!$B$16/100)*(5000/(6000+Inputs!$B$42*(1-(Inputs!$B$19+((C520=TRUE)*(F520-Calc!F27)))/100)))*(1+(Inputs!$B$24+((C518=TRUE)*(F518-Calc!F25))+((C519=TRUE)*(F519-Calc!F26))+B532)/100)*(1+4.0*IF(C503=TRUE,F503,0)/100)*(1+(IF(Skills!A5="ARROW_STREAM",Inputs!$B$17+((C516=TRUE)*(F516-Calc!F23)),Inputs!$B$18+((C521=TRUE)*(F521-Calc!F28))))/100)*((1+(((C506=TRUE)*F506)+((C507=TRUE)*IF(Inputs!$B$38="pvp",F507,(1-Summary!$B$55)*(F507)+Summary!$B$55*(0)))+((C508=TRUE)*F508*IF(AND(Inputs!$B$38&lt;&gt;"pvp",Inputs!$B$43&gt;0),(((R508-1)*(Skills!T15*(1+Inputs!$B$34/100))+MIN((Skills!T15*(1+Inputs!$B$34/100)),MAX(0,Inputs!$B$43-((R508-1)*Skills!D15))))/Inputs!$B$43),IF(Inputs!$B$38="pvp",MIN((Skills!T15*(1+Inputs!$B$34/100)),15)/15,(Skills!T15*(1+Inputs!$B$34/100))/Skills!D15)))+((C523=TRUE)*(F523-Calc!F30)))/100)*I498)</f>
        <v/>
      </c>
      <c r="L498">
        <f>K498*(MIN(Inputs!$B$22+((C517=TRUE)*(F517-Calc!F24)),Inputs!$B$23+((C522=TRUE)*(F522-Calc!F29)))/100+(Inputs!$B$23+((C522=TRUE)*(F522-Calc!F29)))/100)/2</f>
        <v/>
      </c>
      <c r="M498">
        <f>L498*(1+(Inputs!$B$10+0+B531)/100)</f>
        <v/>
      </c>
      <c r="N498">
        <f>L498*(1-MIN(((Inputs!$B$9+1)+((C513=TRUE)*(F513-Calc!F20))+B526),100)/100)+M498*(MIN(((Inputs!$B$9+1)+((C513=TRUE)*(F513-Calc!F20))+B526),100)/100)</f>
        <v/>
      </c>
      <c r="O498">
        <f>(1-Summary!$B$55)*T498+Summary!$B$55*V498</f>
        <v/>
      </c>
      <c r="P498">
        <f>IF(B536=0,0,O498/B536)</f>
        <v/>
      </c>
      <c r="Q498">
        <f>IFERROR(1/IF(Inputs!$B$38="pvp",15,MAX(0.1,Skills!D5-IF(Skills!E5=TRUE,Inputs!$B$32,0))),0)</f>
        <v/>
      </c>
      <c r="R498">
        <f>IF(AND(Inputs!$B$38&lt;&gt;"pvp",Inputs!$B$43&gt;0),IF(MAX(0,Inputs!$B$43-B533)&lt;=0,0,(INT(MAX(0,Inputs!$B$43-B533)/IF(Inputs!$B$38="pvp",15,MAX(0.1,Skills!D5-IF(Skills!E5=TRUE,Inputs!$B$32,0))))+1)),0)</f>
        <v/>
      </c>
      <c r="S498">
        <f>IFERROR(O498/N498,0)</f>
        <v/>
      </c>
      <c r="T498">
        <f>IF(C498,(H498*N498*IF(AND(Inputs!$B$38&lt;&gt;"pvp",Inputs!$B$43&gt;0),((Skills!G5*((R498-1)*IF(Skills!H5&gt;0,Skills!I5/Skills!H5,1)+IF(Skills!H5&gt;0,MIN(Skills!I5,MAX(0,MAX(0,Inputs!$B$43-B533)-((R498-1)*IF(Inputs!$B$38="pvp",15,MAX(0.1,Skills!D5-IF(Skills!E5=TRUE,Inputs!$B$32,0))))))/Skills!H5,1)))/Inputs!$B$43),G498*Q498))*IF(Inputs!$B$38="pvp",1,1+(Inputs!$B$20+0+Skills!P5)/100),0)</f>
        <v/>
      </c>
      <c r="V498">
        <f>IF(C498,(H498*N498*IF(AND(Inputs!$B$38&lt;&gt;"pvp",Inputs!$B$43&gt;0),((Skills!G5*((R498-1)*IF(Skills!H5&gt;0,Skills!I5/Skills!H5,1)+IF(Skills!H5&gt;0,MIN(Skills!I5,MAX(0,MAX(0,Inputs!$B$43-B533)-((R498-1)*IF(Inputs!$B$38="pvp",15,MAX(0.1,Skills!D5-IF(Skills!E5=TRUE,Inputs!$B$32,0))))))/Skills!H5,1)))/Inputs!$B$43),G498*Q498))*IF(Inputs!$B$38="pvp",1,(1+(Inputs!$B$21+Skills!Q5)/100)*(MIN(Skills!R5,Inputs!$B$37))),0)</f>
        <v/>
      </c>
    </row>
    <row r="499">
      <c r="A499">
        <f>Skills!A6</f>
        <v/>
      </c>
      <c r="B499">
        <f>Skills!B6</f>
        <v/>
      </c>
      <c r="C499">
        <f>Inputs!$B$3&gt;=40</f>
        <v/>
      </c>
      <c r="D499">
        <f>IF(Skills!C6=1,60+Inputs!$B$25+Inputs!$B$29,IF(Skills!C6=2,90+Inputs!$B$26+Inputs!$B$29,IF(Skills!C6=3,120+Inputs!$B$27+Inputs!$B$29,MAX(0,(Inputs!$B$3-100)*3)+Inputs!$B$28+Inputs!$B$29)))</f>
        <v/>
      </c>
      <c r="E499">
        <f>INDEX(FactorTable!$B$2:$Y$301, MATCH(ROUND(MIN(300,MAX(1,D499)),0), FactorTable!$A$2:$A$301,0), Skills!M6+1)</f>
        <v/>
      </c>
      <c r="F499">
        <f>IF(Skills!N6=TRUE,(Skills!L6/10)*(E499/1000),Skills!L6/10)+Skills!O6</f>
        <v/>
      </c>
      <c r="G499">
        <f>Skills!G6*IF(Skills!H6&gt;0,Skills!I6/Skills!H6,1)</f>
        <v/>
      </c>
      <c r="H499">
        <f>1-(1-Skills!J6/100)^Skills!K6</f>
        <v/>
      </c>
      <c r="I499" t="inlineStr">
        <is>
          <t>1</t>
        </is>
      </c>
      <c r="J499">
        <f>((Inputs!$B$6*(1+Inputs!$B$7/100))+(((Inputs!$B$12*(1+Inputs!$B$13/100))-(Inputs!$B$12*(1+Inputs!$B$13/100)))+0.25*(Inputs!$B$14-Inputs!$B$14))*(1+Inputs!$B$7/100))*(F499/100)</f>
        <v/>
      </c>
      <c r="K499">
        <f>J499*(1+((Inputs!$B$12*(1+Inputs!$B$13/100))*0.01+Inputs!$B$14*0.0025)/100)*(1+Inputs!$B$15/100)*(1+Inputs!$B$16/100)*(5000/(6000+Inputs!$B$42*(1-(Inputs!$B$19+((C520=TRUE)*(F520-Calc!F27)))/100)))*(1+(Inputs!$B$24+((C518=TRUE)*(F518-Calc!F25))+((C519=TRUE)*(F519-Calc!F26))+B532)/100)*(1+IF(C500=TRUE,F500,0)/100)*(1+(IF(Skills!A6="ARROW_STREAM",Inputs!$B$17+((C516=TRUE)*(F516-Calc!F23)),Inputs!$B$18+((C521=TRUE)*(F521-Calc!F28))))/100)*((1+(((C506=TRUE)*F506)+((C507=TRUE)*IF(Inputs!$B$38="pvp",F507,(1-Summary!$B$55)*(F507)+Summary!$B$55*(0)))+((C508=TRUE)*F508*IF(AND(Inputs!$B$38&lt;&gt;"pvp",Inputs!$B$43&gt;0),(((R508-1)*(Skills!T15*(1+Inputs!$B$34/100))+MIN((Skills!T15*(1+Inputs!$B$34/100)),MAX(0,Inputs!$B$43-((R508-1)*Skills!D15))))/Inputs!$B$43),IF(Inputs!$B$38="pvp",MIN((Skills!T15*(1+Inputs!$B$34/100)),15)/15,(Skills!T15*(1+Inputs!$B$34/100))/Skills!D15)))+((C523=TRUE)*(F523-Calc!F30)))/100)*I499)</f>
        <v/>
      </c>
      <c r="L499">
        <f>K499*(MIN(Inputs!$B$22+((C517=TRUE)*(F517-Calc!F24)),Inputs!$B$23+((C522=TRUE)*(F522-Calc!F29)))/100+(Inputs!$B$23+((C522=TRUE)*(F522-Calc!F29)))/100)/2</f>
        <v/>
      </c>
      <c r="M499">
        <f>L499*(1+(Inputs!$B$10+0+B531)/100)</f>
        <v/>
      </c>
      <c r="N499">
        <f>L499*(1-MIN(((Inputs!$B$9+1)+((C513=TRUE)*(F513-Calc!F20))+B526),100)/100)+M499*(MIN(((Inputs!$B$9+1)+((C513=TRUE)*(F513-Calc!F20))+B526),100)/100)</f>
        <v/>
      </c>
      <c r="O499">
        <f>(1-Summary!$B$55)*T499+Summary!$B$55*V499</f>
        <v/>
      </c>
      <c r="P499">
        <f>IF(B536=0,0,O499/B536)</f>
        <v/>
      </c>
      <c r="Q499">
        <f>IFERROR(1/IF(Inputs!$B$38="pvp",15,MAX(0.1,Skills!D6-IF(Skills!E6=TRUE,Inputs!$B$32,0))),0)</f>
        <v/>
      </c>
      <c r="R499">
        <f>IF(AND(Inputs!$B$38&lt;&gt;"pvp",Inputs!$B$43&gt;0),IF(MAX(0,Inputs!$B$43-B533)&lt;=0,0,(INT(MAX(0,Inputs!$B$43-B533)/IF(Inputs!$B$38="pvp",15,MAX(0.1,Skills!D6-IF(Skills!E6=TRUE,Inputs!$B$32,0))))+1)),0)</f>
        <v/>
      </c>
      <c r="S499">
        <f>IFERROR(O499/N499,0)</f>
        <v/>
      </c>
      <c r="T499">
        <f>IF(C499,(H499*N499*IF(AND(Inputs!$B$38&lt;&gt;"pvp",Inputs!$B$43&gt;0),((Skills!G6*((R499-1)*IF(Skills!H6&gt;0,Skills!I6/Skills!H6,1)+IF(Skills!H6&gt;0,MIN(Skills!I6,MAX(0,MAX(0,Inputs!$B$43-B533)-((R499-1)*IF(Inputs!$B$38="pvp",15,MAX(0.1,Skills!D6-IF(Skills!E6=TRUE,Inputs!$B$32,0))))))/Skills!H6,1)))/Inputs!$B$43),G499*Q499))*IF(Inputs!$B$38="pvp",1,1+(Inputs!$B$20+0+Skills!P6)/100),0)</f>
        <v/>
      </c>
      <c r="V499">
        <f>IF(C499,(H499*N499*IF(AND(Inputs!$B$38&lt;&gt;"pvp",Inputs!$B$43&gt;0),((Skills!G6*((R499-1)*IF(Skills!H6&gt;0,Skills!I6/Skills!H6,1)+IF(Skills!H6&gt;0,MIN(Skills!I6,MAX(0,MAX(0,Inputs!$B$43-B533)-((R499-1)*IF(Inputs!$B$38="pvp",15,MAX(0.1,Skills!D6-IF(Skills!E6=TRUE,Inputs!$B$32,0))))))/Skills!H6,1)))/Inputs!$B$43),G499*Q499))*IF(Inputs!$B$38="pvp",1,(1+(Inputs!$B$21+Skills!Q6)/100)*(MIN(Skills!R6,Inputs!$B$37))),0)</f>
        <v/>
      </c>
    </row>
    <row r="500">
      <c r="A500">
        <f>Skills!A7</f>
        <v/>
      </c>
      <c r="B500">
        <f>Skills!B7</f>
        <v/>
      </c>
      <c r="C500">
        <f>Inputs!$B$3&gt;=107</f>
        <v/>
      </c>
      <c r="D500">
        <f>IF(Skills!C7=1,60+Inputs!$B$25+Inputs!$B$29,IF(Skills!C7=2,90+Inputs!$B$26+Inputs!$B$29,IF(Skills!C7=3,120+Inputs!$B$27+Inputs!$B$29,MAX(0,(Inputs!$B$3-100)*3)+Inputs!$B$28+Inputs!$B$29)))</f>
        <v/>
      </c>
      <c r="E500">
        <f>INDEX(FactorTable!$B$2:$Y$301, MATCH(ROUND(MIN(300,MAX(1,D500)),0), FactorTable!$A$2:$A$301,0), Skills!M7+1)</f>
        <v/>
      </c>
      <c r="F500">
        <f>IF(Skills!N7=TRUE,(Skills!L7/10)*(E500/1000),Skills!L7/10)+Skills!O7</f>
        <v/>
      </c>
      <c r="G500" t="inlineStr"/>
      <c r="H500" t="inlineStr"/>
      <c r="I500" t="inlineStr">
        <is>
          <t>1</t>
        </is>
      </c>
      <c r="J500" t="inlineStr"/>
      <c r="K500" t="inlineStr"/>
      <c r="L500" t="inlineStr"/>
      <c r="M500" t="inlineStr"/>
      <c r="N500" t="inlineStr"/>
      <c r="O500" t="inlineStr"/>
      <c r="P500" t="inlineStr"/>
      <c r="Q500" t="inlineStr"/>
      <c r="R500" t="inlineStr"/>
      <c r="S500" t="inlineStr"/>
      <c r="T500" t="inlineStr"/>
      <c r="V500" t="inlineStr"/>
    </row>
    <row r="501">
      <c r="A501">
        <f>Skills!A8</f>
        <v/>
      </c>
      <c r="B501">
        <f>Skills!B8</f>
        <v/>
      </c>
      <c r="C501">
        <f>Inputs!$B$3&gt;=69</f>
        <v/>
      </c>
      <c r="D501">
        <f>IF(Skills!C8=1,60+Inputs!$B$25+Inputs!$B$29,IF(Skills!C8=2,90+Inputs!$B$26+Inputs!$B$29,IF(Skills!C8=3,120+Inputs!$B$27+Inputs!$B$29,MAX(0,(Inputs!$B$3-100)*3)+Inputs!$B$28+Inputs!$B$29)))</f>
        <v/>
      </c>
      <c r="E501">
        <f>INDEX(FactorTable!$B$2:$Y$301, MATCH(ROUND(MIN(300,MAX(1,D501)),0), FactorTable!$A$2:$A$301,0), Skills!M8+1)</f>
        <v/>
      </c>
      <c r="F501">
        <f>IF(Skills!N8=TRUE,(Skills!L8/10)*(E501/1000),Skills!L8/10)+Skills!O8</f>
        <v/>
      </c>
      <c r="G501">
        <f>Skills!G8*IF(Skills!H8&gt;0,Skills!I8/Skills!H8,1)</f>
        <v/>
      </c>
      <c r="H501">
        <f>1-(1-Skills!J8/100)^Skills!K8</f>
        <v/>
      </c>
      <c r="I501" t="inlineStr">
        <is>
          <t>1</t>
        </is>
      </c>
      <c r="J501">
        <f>((Inputs!$B$6*(1+Inputs!$B$7/100))+(((Inputs!$B$12*(1+Inputs!$B$13/100))-(Inputs!$B$12*(1+Inputs!$B$13/100)))+0.25*(Inputs!$B$14-Inputs!$B$14))*(1+Inputs!$B$7/100))*(F501/100)</f>
        <v/>
      </c>
      <c r="K501">
        <f>J501*(1+((Inputs!$B$12*(1+Inputs!$B$13/100))*0.01+Inputs!$B$14*0.0025)/100)*(1+Inputs!$B$15/100)*(1+Inputs!$B$16/100)*(5000/(6000+Inputs!$B$42*(1-(Inputs!$B$19+((C520=TRUE)*(F520-Calc!F27)))/100)))*(1+(Inputs!$B$24+((C518=TRUE)*(F518-Calc!F25))+((C519=TRUE)*(F519-Calc!F26))+B532)/100)*(1+1.2*IF(C503=TRUE,F503,0)/100)*(1+(IF(Skills!A8="ARROW_STREAM",Inputs!$B$17+((C516=TRUE)*(F516-Calc!F23)),Inputs!$B$18+((C521=TRUE)*(F521-Calc!F28))))/100)*((1+(((C506=TRUE)*F506)+((C507=TRUE)*IF(Inputs!$B$38="pvp",F507,(1-Summary!$B$55)*(F507)+Summary!$B$55*(0)))+((C508=TRUE)*F508*IF(AND(Inputs!$B$38&lt;&gt;"pvp",Inputs!$B$43&gt;0),(((R508-1)*(Skills!T15*(1+Inputs!$B$34/100))+MIN((Skills!T15*(1+Inputs!$B$34/100)),MAX(0,Inputs!$B$43-((R508-1)*Skills!D15))))/Inputs!$B$43),IF(Inputs!$B$38="pvp",MIN((Skills!T15*(1+Inputs!$B$34/100)),15)/15,(Skills!T15*(1+Inputs!$B$34/100))/Skills!D15)))+((C523=TRUE)*(F523-Calc!F30)))/100)*I501)</f>
        <v/>
      </c>
      <c r="L501">
        <f>K501*(MIN(Inputs!$B$22+((C517=TRUE)*(F517-Calc!F24)),Inputs!$B$23+((C522=TRUE)*(F522-Calc!F29)))/100+(Inputs!$B$23+((C522=TRUE)*(F522-Calc!F29)))/100)/2</f>
        <v/>
      </c>
      <c r="M501">
        <f>L501*(1+(Inputs!$B$10+0+B531)/100)</f>
        <v/>
      </c>
      <c r="N501">
        <f>L501*(1-MIN(((Inputs!$B$9+1)+((C513=TRUE)*(F513-Calc!F20))+B526),100)/100)+M501*(MIN(((Inputs!$B$9+1)+((C513=TRUE)*(F513-Calc!F20))+B526),100)/100)</f>
        <v/>
      </c>
      <c r="O501">
        <f>(1-Summary!$B$55)*T501+Summary!$B$55*V501</f>
        <v/>
      </c>
      <c r="P501">
        <f>IF(B536=0,0,O501/B536)</f>
        <v/>
      </c>
      <c r="Q501">
        <f>IFERROR(1/IF(Inputs!$B$38="pvp",15,MAX(0.1,Skills!D8-IF(Skills!E8=TRUE,Inputs!$B$32,0))),0)</f>
        <v/>
      </c>
      <c r="R501">
        <f>IF(AND(Inputs!$B$38&lt;&gt;"pvp",Inputs!$B$43&gt;0),IF(MAX(0,Inputs!$B$43-B533)&lt;=0,0,(INT(MAX(0,Inputs!$B$43-B533)/IF(Inputs!$B$38="pvp",15,MAX(0.1,Skills!D8-IF(Skills!E8=TRUE,Inputs!$B$32,0))))+1)),0)</f>
        <v/>
      </c>
      <c r="S501">
        <f>IFERROR(O501/N501,0)</f>
        <v/>
      </c>
      <c r="T501">
        <f>IF(C501,(H501*N501*IF(AND(Inputs!$B$38&lt;&gt;"pvp",Inputs!$B$43&gt;0),((Skills!G8*((R501-1)*IF(Skills!H8&gt;0,Skills!I8/Skills!H8,1)+IF(Skills!H8&gt;0,MIN(Skills!I8,MAX(0,MAX(0,Inputs!$B$43-B533)-((R501-1)*IF(Inputs!$B$38="pvp",15,MAX(0.1,Skills!D8-IF(Skills!E8=TRUE,Inputs!$B$32,0))))))/Skills!H8,1)))/Inputs!$B$43),G501*Q501))*IF(Inputs!$B$38="pvp",1,1+(Inputs!$B$20+0+Skills!P8)/100),0)</f>
        <v/>
      </c>
      <c r="V501">
        <f>IF(C501,(H501*N501*IF(AND(Inputs!$B$38&lt;&gt;"pvp",Inputs!$B$43&gt;0),((Skills!G8*((R501-1)*IF(Skills!H8&gt;0,Skills!I8/Skills!H8,1)+IF(Skills!H8&gt;0,MIN(Skills!I8,MAX(0,MAX(0,Inputs!$B$43-B533)-((R501-1)*IF(Inputs!$B$38="pvp",15,MAX(0.1,Skills!D8-IF(Skills!E8=TRUE,Inputs!$B$32,0))))))/Skills!H8,1)))/Inputs!$B$43),G501*Q501))*IF(Inputs!$B$38="pvp",1,(1+(Inputs!$B$21+Skills!Q8)/100)*(MIN(Skills!R8,Inputs!$B$37))),0)</f>
        <v/>
      </c>
    </row>
    <row r="502">
      <c r="A502">
        <f>Skills!A9</f>
        <v/>
      </c>
      <c r="B502">
        <f>Skills!B9</f>
        <v/>
      </c>
      <c r="C502">
        <f>Inputs!$B$3&gt;=63</f>
        <v/>
      </c>
      <c r="D502">
        <f>IF(Skills!C9=1,60+Inputs!$B$25+Inputs!$B$29,IF(Skills!C9=2,90+Inputs!$B$26+Inputs!$B$29,IF(Skills!C9=3,120+Inputs!$B$27+Inputs!$B$29,MAX(0,(Inputs!$B$3-100)*3)+Inputs!$B$28+Inputs!$B$29)))</f>
        <v/>
      </c>
      <c r="E502">
        <f>INDEX(FactorTable!$B$2:$Y$301, MATCH(ROUND(MIN(300,MAX(1,D502)),0), FactorTable!$A$2:$A$301,0), Skills!M9+1)</f>
        <v/>
      </c>
      <c r="F502">
        <f>IF(Skills!N9=TRUE,(Skills!L9/10)*(E502/1000),Skills!L9/10)+Skills!O9</f>
        <v/>
      </c>
      <c r="G502">
        <f>Skills!G9*IF(Skills!H9&gt;0,Skills!I9/Skills!H9,1)</f>
        <v/>
      </c>
      <c r="H502">
        <f>1-(1-Skills!J9/100)^Skills!K9</f>
        <v/>
      </c>
      <c r="I502" t="inlineStr">
        <is>
          <t>1</t>
        </is>
      </c>
      <c r="J502">
        <f>((Inputs!$B$6*(1+Inputs!$B$7/100))+(((Inputs!$B$12*(1+Inputs!$B$13/100))-(Inputs!$B$12*(1+Inputs!$B$13/100)))+0.25*(Inputs!$B$14-Inputs!$B$14))*(1+Inputs!$B$7/100))*(F502/100)</f>
        <v/>
      </c>
      <c r="K502">
        <f>J502*(1+((Inputs!$B$12*(1+Inputs!$B$13/100))*0.01+Inputs!$B$14*0.0025)/100)*(1+Inputs!$B$15/100)*(1+Inputs!$B$16/100)*(5000/(6000+Inputs!$B$42*(1-(Inputs!$B$19+((C520=TRUE)*(F520-Calc!F27)))/100)))*(1+(Inputs!$B$24+((C518=TRUE)*(F518-Calc!F25))+((C519=TRUE)*(F519-Calc!F26))+B532)/100)*(1+1.0*IF(C503=TRUE,F503,0)/100)*(1+(IF(Skills!A9="ARROW_STREAM",Inputs!$B$17+((C516=TRUE)*(F516-Calc!F23)),Inputs!$B$18+((C521=TRUE)*(F521-Calc!F28))))/100)*((1+(((C506=TRUE)*F506)+((C507=TRUE)*IF(Inputs!$B$38="pvp",F507,(1-Summary!$B$55)*(F507)+Summary!$B$55*(0)))+((C508=TRUE)*F508*IF(AND(Inputs!$B$38&lt;&gt;"pvp",Inputs!$B$43&gt;0),(((R508-1)*(Skills!T15*(1+Inputs!$B$34/100))+MIN((Skills!T15*(1+Inputs!$B$34/100)),MAX(0,Inputs!$B$43-((R508-1)*Skills!D15))))/Inputs!$B$43),IF(Inputs!$B$38="pvp",MIN((Skills!T15*(1+Inputs!$B$34/100)),15)/15,(Skills!T15*(1+Inputs!$B$34/100))/Skills!D15)))+((C523=TRUE)*(F523-Calc!F30)))/100)*I502)</f>
        <v/>
      </c>
      <c r="L502">
        <f>K502*(MIN(Inputs!$B$22+((C517=TRUE)*(F517-Calc!F24)),Inputs!$B$23+((C522=TRUE)*(F522-Calc!F29)))/100+(Inputs!$B$23+((C522=TRUE)*(F522-Calc!F29)))/100)/2</f>
        <v/>
      </c>
      <c r="M502">
        <f>L502*(1+(Inputs!$B$10+0+B531)/100)</f>
        <v/>
      </c>
      <c r="N502">
        <f>L502*(1-MIN(((Inputs!$B$9+1)+((C513=TRUE)*(F513-Calc!F20))+B526),100)/100)+M502*(MIN(((Inputs!$B$9+1)+((C513=TRUE)*(F513-Calc!F20))+B526),100)/100)</f>
        <v/>
      </c>
      <c r="O502">
        <f>(1-Summary!$B$55)*T502+Summary!$B$55*V502</f>
        <v/>
      </c>
      <c r="P502">
        <f>IF(B536=0,0,O502/B536)</f>
        <v/>
      </c>
      <c r="Q502">
        <f>IFERROR(1/IF(Inputs!$B$38="pvp",15,MAX(0.1,Skills!D9-IF(Skills!E9=TRUE,Inputs!$B$32,0))),0)</f>
        <v/>
      </c>
      <c r="R502">
        <f>IF(AND(Inputs!$B$38&lt;&gt;"pvp",Inputs!$B$43&gt;0),IF(MAX(0,Inputs!$B$43-B533)&lt;=0,0,(INT(MAX(0,Inputs!$B$43-B533)/IF(Inputs!$B$38="pvp",15,MAX(0.1,Skills!D9-IF(Skills!E9=TRUE,Inputs!$B$32,0))))+1)),0)</f>
        <v/>
      </c>
      <c r="S502">
        <f>IFERROR(O502/N502,0)</f>
        <v/>
      </c>
      <c r="T502">
        <f>IF(C502,(H502*N502*IF(AND(Inputs!$B$38&lt;&gt;"pvp",Inputs!$B$43&gt;0),((Skills!G9*((R502-1)*IF(Skills!H9&gt;0,Skills!I9/Skills!H9,1)+IF(Skills!H9&gt;0,MIN(Skills!I9,MAX(0,MAX(0,Inputs!$B$43-B533)-((R502-1)*IF(Inputs!$B$38="pvp",15,MAX(0.1,Skills!D9-IF(Skills!E9=TRUE,Inputs!$B$32,0))))))/Skills!H9,1)))/Inputs!$B$43),G502*Q502))*IF(Inputs!$B$38="pvp",1,1+(Inputs!$B$20+0+Skills!P9)/100),0)</f>
        <v/>
      </c>
      <c r="V502">
        <f>IF(C502,(H502*N502*IF(AND(Inputs!$B$38&lt;&gt;"pvp",Inputs!$B$43&gt;0),((Skills!G9*((R502-1)*IF(Skills!H9&gt;0,Skills!I9/Skills!H9,1)+IF(Skills!H9&gt;0,MIN(Skills!I9,MAX(0,MAX(0,Inputs!$B$43-B533)-((R502-1)*IF(Inputs!$B$38="pvp",15,MAX(0.1,Skills!D9-IF(Skills!E9=TRUE,Inputs!$B$32,0))))))/Skills!H9,1)))/Inputs!$B$43),G502*Q502))*IF(Inputs!$B$38="pvp",1,(1+(Inputs!$B$21+Skills!Q9)/100)*(MIN(Skills!R9,Inputs!$B$37))),0)</f>
        <v/>
      </c>
    </row>
    <row r="503">
      <c r="A503">
        <f>Skills!A10</f>
        <v/>
      </c>
      <c r="B503">
        <f>Skills!B10</f>
        <v/>
      </c>
      <c r="C503">
        <f>Inputs!$B$3&gt;=100</f>
        <v/>
      </c>
      <c r="D503">
        <f>IF(Skills!C10=1,60+Inputs!$B$25+Inputs!$B$29,IF(Skills!C10=2,90+Inputs!$B$26+Inputs!$B$29,IF(Skills!C10=3,120+Inputs!$B$27+Inputs!$B$29,MAX(0,(Inputs!$B$3-100)*3)+Inputs!$B$28+Inputs!$B$29)))</f>
        <v/>
      </c>
      <c r="E503">
        <f>INDEX(FactorTable!$B$2:$Y$301, MATCH(ROUND(MIN(300,MAX(1,D503)),0), FactorTable!$A$2:$A$301,0), Skills!M10+1)</f>
        <v/>
      </c>
      <c r="F503">
        <f>IF(Skills!N10=TRUE,(Skills!L10/10)*(E503/1000),Skills!L10/10)+Skills!O10</f>
        <v/>
      </c>
      <c r="G503" t="inlineStr"/>
      <c r="H503" t="inlineStr"/>
      <c r="I503" t="inlineStr">
        <is>
          <t>1</t>
        </is>
      </c>
      <c r="J503" t="inlineStr"/>
      <c r="K503" t="inlineStr"/>
      <c r="L503" t="inlineStr"/>
      <c r="M503" t="inlineStr"/>
      <c r="N503" t="inlineStr"/>
      <c r="O503" t="inlineStr"/>
      <c r="P503" t="inlineStr"/>
      <c r="Q503" t="inlineStr"/>
      <c r="R503" t="inlineStr"/>
      <c r="S503" t="inlineStr"/>
      <c r="T503" t="inlineStr"/>
      <c r="V503" t="inlineStr"/>
    </row>
    <row r="504">
      <c r="A504">
        <f>Skills!A11</f>
        <v/>
      </c>
      <c r="B504">
        <f>Skills!B11</f>
        <v/>
      </c>
      <c r="C504">
        <f>Inputs!$B$3&gt;=60</f>
        <v/>
      </c>
      <c r="D504">
        <f>IF(Skills!C11=1,60+Inputs!$B$25+Inputs!$B$29,IF(Skills!C11=2,90+Inputs!$B$26+Inputs!$B$29,IF(Skills!C11=3,120+Inputs!$B$27+Inputs!$B$29,MAX(0,(Inputs!$B$3-100)*3)+Inputs!$B$28+Inputs!$B$29)))</f>
        <v/>
      </c>
      <c r="E504">
        <f>INDEX(FactorTable!$B$2:$Y$301, MATCH(ROUND(MIN(300,MAX(1,D504)),0), FactorTable!$A$2:$A$301,0), Skills!M11+1)</f>
        <v/>
      </c>
      <c r="F504">
        <f>IF(Skills!N11=TRUE,(Skills!L11/10)*(E504/1000),Skills!L11/10)+Skills!O11</f>
        <v/>
      </c>
      <c r="G504">
        <f>Skills!G11*IF(Skills!H11&gt;0,Skills!I11/Skills!H11,1)</f>
        <v/>
      </c>
      <c r="H504">
        <f>1-(1-Skills!J11/100)^Skills!K11</f>
        <v/>
      </c>
      <c r="I504" t="inlineStr">
        <is>
          <t>1</t>
        </is>
      </c>
      <c r="J504">
        <f>((Inputs!$B$6*(1+Inputs!$B$7/100))+(((Inputs!$B$12*(1+Inputs!$B$13/100))-(Inputs!$B$12*(1+Inputs!$B$13/100)))+0.25*(Inputs!$B$14-Inputs!$B$14))*(1+Inputs!$B$7/100))*(F504/100)</f>
        <v/>
      </c>
      <c r="K504">
        <f>J504*(1+((Inputs!$B$12*(1+Inputs!$B$13/100))*0.01+Inputs!$B$14*0.0025)/100)*(1+Inputs!$B$15/100)*(1+Inputs!$B$16/100)*(5000/(6000+Inputs!$B$42*(1-(Inputs!$B$19+((C520=TRUE)*(F520-Calc!F27)))/100)))*(1+(Inputs!$B$24+((C518=TRUE)*(F518-Calc!F25))+((C519=TRUE)*(F519-Calc!F26))+B532)/100)*(1+IF(C505=TRUE,F505,0)/100)*(1+(IF(Skills!A11="ARROW_STREAM",Inputs!$B$17+((C516=TRUE)*(F516-Calc!F23)),Inputs!$B$18+((C521=TRUE)*(F521-Calc!F28))))/100)*((1+(((C506=TRUE)*F506)+((C507=TRUE)*IF(Inputs!$B$38="pvp",F507,(1-Summary!$B$55)*(F507)+Summary!$B$55*(0)))+((C508=TRUE)*F508*IF(AND(Inputs!$B$38&lt;&gt;"pvp",Inputs!$B$43&gt;0),(((R508-1)*(Skills!T15*(1+Inputs!$B$34/100))+MIN((Skills!T15*(1+Inputs!$B$34/100)),MAX(0,Inputs!$B$43-((R508-1)*Skills!D15))))/Inputs!$B$43),IF(Inputs!$B$38="pvp",MIN((Skills!T15*(1+Inputs!$B$34/100)),15)/15,(Skills!T15*(1+Inputs!$B$34/100))/Skills!D15)))+((C523=TRUE)*(F523-Calc!F30)))/100)*I504)</f>
        <v/>
      </c>
      <c r="L504">
        <f>K504*(MIN(Inputs!$B$22+((C517=TRUE)*(F517-Calc!F24)),Inputs!$B$23+((C522=TRUE)*(F522-Calc!F29)))/100+(Inputs!$B$23+((C522=TRUE)*(F522-Calc!F29)))/100)/2</f>
        <v/>
      </c>
      <c r="M504">
        <f>L504*(1+(Inputs!$B$10+0+B531)/100)</f>
        <v/>
      </c>
      <c r="N504">
        <f>L504*(1-MIN(((Inputs!$B$9+1)+((C513=TRUE)*(F513-Calc!F20))+B526),100)/100)+M504*(MIN(((Inputs!$B$9+1)+((C513=TRUE)*(F513-Calc!F20))+B526),100)/100)</f>
        <v/>
      </c>
      <c r="O504">
        <f>(1-Summary!$B$55)*T504+Summary!$B$55*V504</f>
        <v/>
      </c>
      <c r="P504">
        <f>IF(B536=0,0,O504/B536)</f>
        <v/>
      </c>
      <c r="Q504">
        <f>IFERROR(1/IF(Inputs!$B$38="pvp",15,MAX(0.1,Skills!D11-IF(Skills!E11=TRUE,Inputs!$B$32,0))),0)</f>
        <v/>
      </c>
      <c r="R504">
        <f>IF(AND(Inputs!$B$38&lt;&gt;"pvp",Inputs!$B$43&gt;0),IF(MAX(0,Inputs!$B$43-B533)&lt;=0,0,(INT(MAX(0,Inputs!$B$43-B533)/IF(Inputs!$B$38="pvp",15,MAX(0.1,Skills!D11-IF(Skills!E11=TRUE,Inputs!$B$32,0))))+1)),0)</f>
        <v/>
      </c>
      <c r="S504">
        <f>IFERROR(O504/N504,0)</f>
        <v/>
      </c>
      <c r="T504">
        <f>IF(C504,(H504*N504*IF(AND(Inputs!$B$38&lt;&gt;"pvp",Inputs!$B$43&gt;0),((Skills!G11*((R504-1)*IF(Skills!H11&gt;0,Skills!I11/Skills!H11,1)+IF(Skills!H11&gt;0,MIN(Skills!I11,MAX(0,MAX(0,Inputs!$B$43-B533)-((R504-1)*IF(Inputs!$B$38="pvp",15,MAX(0.1,Skills!D11-IF(Skills!E11=TRUE,Inputs!$B$32,0))))))/Skills!H11,1)))/Inputs!$B$43),G504*Q504))*IF(Inputs!$B$38="pvp",1,1+(Inputs!$B$20+0+Skills!P11)/100),0)</f>
        <v/>
      </c>
      <c r="V504">
        <f>IF(C504,(H504*N504*IF(AND(Inputs!$B$38&lt;&gt;"pvp",Inputs!$B$43&gt;0),((Skills!G11*((R504-1)*IF(Skills!H11&gt;0,Skills!I11/Skills!H11,1)+IF(Skills!H11&gt;0,MIN(Skills!I11,MAX(0,MAX(0,Inputs!$B$43-B533)-((R504-1)*IF(Inputs!$B$38="pvp",15,MAX(0.1,Skills!D11-IF(Skills!E11=TRUE,Inputs!$B$32,0))))))/Skills!H11,1)))/Inputs!$B$43),G504*Q504))*IF(Inputs!$B$38="pvp",1,(1+(Inputs!$B$21+Skills!Q11)/100)*(MIN(Skills!R11,Inputs!$B$37))),0)</f>
        <v/>
      </c>
    </row>
    <row r="505">
      <c r="A505">
        <f>Skills!A12</f>
        <v/>
      </c>
      <c r="B505">
        <f>Skills!B12</f>
        <v/>
      </c>
      <c r="C505">
        <f>Inputs!$B$3&gt;=110</f>
        <v/>
      </c>
      <c r="D505">
        <f>IF(Skills!C12=1,60+Inputs!$B$25+Inputs!$B$29,IF(Skills!C12=2,90+Inputs!$B$26+Inputs!$B$29,IF(Skills!C12=3,120+Inputs!$B$27+Inputs!$B$29,MAX(0,(Inputs!$B$3-100)*3)+Inputs!$B$28+Inputs!$B$29)))</f>
        <v/>
      </c>
      <c r="E505">
        <f>INDEX(FactorTable!$B$2:$Y$301, MATCH(ROUND(MIN(300,MAX(1,D505)),0), FactorTable!$A$2:$A$301,0), Skills!M12+1)</f>
        <v/>
      </c>
      <c r="F505">
        <f>IF(Skills!N12=TRUE,(Skills!L12/10)*(E505/1000),Skills!L12/10)+Skills!O12</f>
        <v/>
      </c>
      <c r="G505" t="inlineStr"/>
      <c r="H505" t="inlineStr"/>
      <c r="I505" t="inlineStr">
        <is>
          <t>1</t>
        </is>
      </c>
      <c r="J505" t="inlineStr"/>
      <c r="K505" t="inlineStr"/>
      <c r="L505" t="inlineStr"/>
      <c r="M505" t="inlineStr"/>
      <c r="N505" t="inlineStr"/>
      <c r="O505" t="inlineStr"/>
      <c r="P505" t="inlineStr"/>
      <c r="Q505" t="inlineStr"/>
      <c r="R505" t="inlineStr"/>
      <c r="S505" t="inlineStr"/>
      <c r="T505" t="inlineStr"/>
      <c r="V505" t="inlineStr"/>
    </row>
    <row r="506">
      <c r="A506">
        <f>Skills!A13</f>
        <v/>
      </c>
      <c r="B506">
        <f>Skills!B13</f>
        <v/>
      </c>
      <c r="C506">
        <f>Inputs!$B$3&gt;=74</f>
        <v/>
      </c>
      <c r="D506">
        <f>IF(Skills!C13=1,60+Inputs!$B$25+Inputs!$B$29,IF(Skills!C13=2,90+Inputs!$B$26+Inputs!$B$29,IF(Skills!C13=3,120+Inputs!$B$27+Inputs!$B$29,MAX(0,(Inputs!$B$3-100)*3)+Inputs!$B$28+Inputs!$B$29)))</f>
        <v/>
      </c>
      <c r="E506">
        <f>INDEX(FactorTable!$B$2:$Y$301, MATCH(ROUND(MIN(300,MAX(1,D506)),0), FactorTable!$A$2:$A$301,0), Skills!M13+1)</f>
        <v/>
      </c>
      <c r="F506">
        <f>IF(Skills!N13=TRUE,(Skills!L13/10)*(E506/1000),Skills!L13/10)+Skills!O13</f>
        <v/>
      </c>
      <c r="G506">
        <f>Skills!G13*IF(Skills!H13&gt;0,Skills!I13/Skills!H13,1)</f>
        <v/>
      </c>
      <c r="H506">
        <f>1-(1-Skills!J13/100)^Skills!K13</f>
        <v/>
      </c>
      <c r="I506" t="inlineStr">
        <is>
          <t>1</t>
        </is>
      </c>
      <c r="J506" t="inlineStr"/>
      <c r="K506" t="inlineStr"/>
      <c r="L506" t="inlineStr"/>
      <c r="M506" t="inlineStr"/>
      <c r="N506" t="inlineStr"/>
      <c r="O506">
        <f>(1-Summary!$B$55)*T506+Summary!$B$55*V506</f>
        <v/>
      </c>
      <c r="P506">
        <f>IF(B536=0,0,O506/B536)</f>
        <v/>
      </c>
      <c r="Q506" t="n">
        <v>0</v>
      </c>
      <c r="R506" t="n">
        <v>0</v>
      </c>
      <c r="S506">
        <f>IFERROR(O506/N506,0)</f>
        <v/>
      </c>
      <c r="T506" t="n">
        <v>0</v>
      </c>
      <c r="V506" t="n">
        <v>0</v>
      </c>
    </row>
    <row r="507">
      <c r="A507">
        <f>Skills!A14</f>
        <v/>
      </c>
      <c r="B507">
        <f>Skills!B14</f>
        <v/>
      </c>
      <c r="C507">
        <f>Inputs!$B$3&gt;=74</f>
        <v/>
      </c>
      <c r="D507">
        <f>IF(Skills!C14=1,60+Inputs!$B$25+Inputs!$B$29,IF(Skills!C14=2,90+Inputs!$B$26+Inputs!$B$29,IF(Skills!C14=3,120+Inputs!$B$27+Inputs!$B$29,MAX(0,(Inputs!$B$3-100)*3)+Inputs!$B$28+Inputs!$B$29)))</f>
        <v/>
      </c>
      <c r="E507">
        <f>INDEX(FactorTable!$B$2:$Y$301, MATCH(ROUND(MIN(300,MAX(1,D507)),0), FactorTable!$A$2:$A$301,0), Skills!M14+1)</f>
        <v/>
      </c>
      <c r="F507">
        <f>IF(Skills!N14=TRUE,(Skills!L14/10)*(E507/1000),Skills!L14/10)+Skills!O14</f>
        <v/>
      </c>
      <c r="G507">
        <f>Skills!G14*IF(Skills!H14&gt;0,Skills!I14/Skills!H14,1)</f>
        <v/>
      </c>
      <c r="H507">
        <f>1-(1-Skills!J14/100)^Skills!K14</f>
        <v/>
      </c>
      <c r="I507" t="inlineStr">
        <is>
          <t>1</t>
        </is>
      </c>
      <c r="J507" t="inlineStr"/>
      <c r="K507" t="inlineStr"/>
      <c r="L507" t="inlineStr"/>
      <c r="M507" t="inlineStr"/>
      <c r="N507" t="inlineStr"/>
      <c r="O507">
        <f>(1-Summary!$B$55)*T507+Summary!$B$55*V507</f>
        <v/>
      </c>
      <c r="P507">
        <f>IF(B536=0,0,O507/B536)</f>
        <v/>
      </c>
      <c r="Q507" t="n">
        <v>0</v>
      </c>
      <c r="R507" t="n">
        <v>0</v>
      </c>
      <c r="S507">
        <f>IFERROR(O507/N507,0)</f>
        <v/>
      </c>
      <c r="T507" t="n">
        <v>0</v>
      </c>
      <c r="V507" t="n">
        <v>0</v>
      </c>
    </row>
    <row r="508">
      <c r="A508">
        <f>Skills!A15</f>
        <v/>
      </c>
      <c r="B508">
        <f>Skills!B15</f>
        <v/>
      </c>
      <c r="C508">
        <f>Inputs!$B$3&gt;=117</f>
        <v/>
      </c>
      <c r="D508">
        <f>IF(Skills!C15=1,60+Inputs!$B$25+Inputs!$B$29,IF(Skills!C15=2,90+Inputs!$B$26+Inputs!$B$29,IF(Skills!C15=3,120+Inputs!$B$27+Inputs!$B$29,MAX(0,(Inputs!$B$3-100)*3)+Inputs!$B$28+Inputs!$B$29)))</f>
        <v/>
      </c>
      <c r="E508">
        <f>INDEX(FactorTable!$B$2:$Y$301, MATCH(ROUND(MIN(300,MAX(1,D508)),0), FactorTable!$A$2:$A$301,0), Skills!M15+1)</f>
        <v/>
      </c>
      <c r="F508">
        <f>IF(Skills!N15=TRUE,(Skills!L15/10)*(E508/1000),Skills!L15/10)+Skills!O15</f>
        <v/>
      </c>
      <c r="G508">
        <f>Skills!G15*IF(Skills!H15&gt;0,Skills!I15/Skills!H15,1)</f>
        <v/>
      </c>
      <c r="H508">
        <f>1-(1-Skills!J15/100)^Skills!K15</f>
        <v/>
      </c>
      <c r="I508" t="inlineStr">
        <is>
          <t>1</t>
        </is>
      </c>
      <c r="J508" t="inlineStr"/>
      <c r="K508" t="inlineStr"/>
      <c r="L508" t="inlineStr"/>
      <c r="M508" t="inlineStr"/>
      <c r="N508" t="inlineStr"/>
      <c r="O508">
        <f>(1-Summary!$B$55)*T508+Summary!$B$55*V508</f>
        <v/>
      </c>
      <c r="P508">
        <f>IF(B536=0,0,O508/B536)</f>
        <v/>
      </c>
      <c r="Q508">
        <f>IFERROR(1/IF(Inputs!$B$38="pvp",15,MAX(0.1,Skills!D15-IF(Skills!E15=TRUE,Inputs!$B$32,0))),0)</f>
        <v/>
      </c>
      <c r="R508">
        <f>IF(AND(Inputs!$B$38&lt;&gt;"pvp",Inputs!$B$43&gt;0),IF(Inputs!$B$43&lt;=0,0,(INT(Inputs!$B$43/IF(Inputs!$B$38="pvp",15,MAX(0.1,Skills!D15-IF(Skills!E15=TRUE,Inputs!$B$32,0))))+1)),0)</f>
        <v/>
      </c>
      <c r="S508">
        <f>IFERROR(O508/N508,0)</f>
        <v/>
      </c>
      <c r="T508" t="n">
        <v>0</v>
      </c>
      <c r="V508" t="n">
        <v>0</v>
      </c>
    </row>
    <row r="509">
      <c r="A509">
        <f>Skills!A16</f>
        <v/>
      </c>
      <c r="B509">
        <f>Skills!B16</f>
        <v/>
      </c>
      <c r="C509">
        <f>Inputs!$B$3&gt;=115</f>
        <v/>
      </c>
      <c r="D509">
        <f>IF(Skills!C16=1,60+Inputs!$B$25+Inputs!$B$29,IF(Skills!C16=2,90+Inputs!$B$26+Inputs!$B$29,IF(Skills!C16=3,120+Inputs!$B$27+Inputs!$B$29,MAX(0,(Inputs!$B$3-100)*3)+Inputs!$B$28+Inputs!$B$29)))</f>
        <v/>
      </c>
      <c r="E509">
        <f>INDEX(FactorTable!$B$2:$Y$301, MATCH(ROUND(MIN(300,MAX(1,D509)),0), FactorTable!$A$2:$A$301,0), Skills!M16+1)</f>
        <v/>
      </c>
      <c r="F509">
        <f>IF(Skills!N16=TRUE,(Skills!L16/10)*(E509/1000),Skills!L16/10)+Skills!O16</f>
        <v/>
      </c>
      <c r="G509">
        <f>Skills!G16*IF(Skills!H16&gt;0,Skills!I16/Skills!H16,1)</f>
        <v/>
      </c>
      <c r="H509">
        <f>1-(1-Skills!J16/100)^Skills!K16</f>
        <v/>
      </c>
      <c r="I509" t="inlineStr">
        <is>
          <t>1</t>
        </is>
      </c>
      <c r="J509" t="inlineStr"/>
      <c r="K509" t="inlineStr"/>
      <c r="L509" t="inlineStr"/>
      <c r="M509" t="inlineStr"/>
      <c r="N509" t="inlineStr"/>
      <c r="O509">
        <f>(1-Summary!$B$55)*T509+Summary!$B$55*V509</f>
        <v/>
      </c>
      <c r="P509">
        <f>IF(B536=0,0,O509/B536)</f>
        <v/>
      </c>
      <c r="Q509">
        <f>IFERROR(1/IF(Inputs!$B$38="pvp",15,MAX(0.1,Skills!D16-IF(Skills!E16=TRUE,Inputs!$B$32,0))),0)</f>
        <v/>
      </c>
      <c r="R509">
        <f>IF(AND(Inputs!$B$38&lt;&gt;"pvp",Inputs!$B$43&gt;0),IF(Inputs!$B$43&lt;=0,0,(INT(Inputs!$B$43/IF(Inputs!$B$38="pvp",15,MAX(0.1,Skills!D16-IF(Skills!E16=TRUE,Inputs!$B$32,0))))+1)),0)</f>
        <v/>
      </c>
      <c r="S509">
        <f>IFERROR(O509/N509,0)</f>
        <v/>
      </c>
      <c r="T509" t="n">
        <v>0</v>
      </c>
      <c r="V509" t="n">
        <v>0</v>
      </c>
    </row>
    <row r="510">
      <c r="A510">
        <f>Skills!A17</f>
        <v/>
      </c>
      <c r="B510">
        <f>Skills!B17</f>
        <v/>
      </c>
      <c r="C510">
        <f>Inputs!$B$3&gt;=66</f>
        <v/>
      </c>
      <c r="D510">
        <f>IF(Skills!C17=1,60+Inputs!$B$25+Inputs!$B$29,IF(Skills!C17=2,90+Inputs!$B$26+Inputs!$B$29,IF(Skills!C17=3,120+Inputs!$B$27+Inputs!$B$29,MAX(0,(Inputs!$B$3-100)*3)+Inputs!$B$28+Inputs!$B$29)))</f>
        <v/>
      </c>
      <c r="E510">
        <f>INDEX(FactorTable!$B$2:$Y$301, MATCH(ROUND(MIN(300,MAX(1,D510)),0), FactorTable!$A$2:$A$301,0), Skills!M17+1)</f>
        <v/>
      </c>
      <c r="F510">
        <f>IF(Skills!N17=TRUE,(Skills!L17/10)*(E510/1000),Skills!L17/10)+Skills!O17</f>
        <v/>
      </c>
      <c r="G510">
        <f>Skills!G17*IF(Skills!H17&gt;0,Skills!I17/Skills!H17,1)</f>
        <v/>
      </c>
      <c r="H510">
        <f>1-(1-Skills!J17/100)^Skills!K17</f>
        <v/>
      </c>
      <c r="I510" t="inlineStr">
        <is>
          <t>1</t>
        </is>
      </c>
      <c r="J510" t="inlineStr"/>
      <c r="K510" t="inlineStr"/>
      <c r="L510" t="inlineStr"/>
      <c r="M510" t="inlineStr"/>
      <c r="N510" t="inlineStr"/>
      <c r="O510">
        <f>(1-Summary!$B$55)*T510+Summary!$B$55*V510</f>
        <v/>
      </c>
      <c r="P510">
        <f>IF(B536=0,0,O510/B536)</f>
        <v/>
      </c>
      <c r="Q510" t="n">
        <v>0</v>
      </c>
      <c r="R510" t="n">
        <v>0</v>
      </c>
      <c r="S510">
        <f>IFERROR(O510/N510,0)</f>
        <v/>
      </c>
      <c r="T510" t="n">
        <v>0</v>
      </c>
      <c r="V510" t="n">
        <v>0</v>
      </c>
    </row>
    <row r="511">
      <c r="A511">
        <f>Skills!A18</f>
        <v/>
      </c>
      <c r="B511">
        <f>Skills!B18</f>
        <v/>
      </c>
      <c r="C511">
        <f>Inputs!$B$3&gt;=72</f>
        <v/>
      </c>
      <c r="D511">
        <f>IF(Skills!C18=1,60+Inputs!$B$25+Inputs!$B$29,IF(Skills!C18=2,90+Inputs!$B$26+Inputs!$B$29,IF(Skills!C18=3,120+Inputs!$B$27+Inputs!$B$29,MAX(0,(Inputs!$B$3-100)*3)+Inputs!$B$28+Inputs!$B$29)))</f>
        <v/>
      </c>
      <c r="E511">
        <f>INDEX(FactorTable!$B$2:$Y$301, MATCH(ROUND(MIN(300,MAX(1,D511)),0), FactorTable!$A$2:$A$301,0), Skills!M18+1)</f>
        <v/>
      </c>
      <c r="F511">
        <f>IF(Skills!N18=TRUE,(Skills!L18/10)*(E511/1000),Skills!L18/10)+Skills!O18</f>
        <v/>
      </c>
      <c r="G511">
        <f>Skills!G18*IF(Skills!H18&gt;0,Skills!I18/Skills!H18,1)</f>
        <v/>
      </c>
      <c r="H511">
        <f>1-(1-Skills!J18/100)^Skills!K18</f>
        <v/>
      </c>
      <c r="I511" t="inlineStr">
        <is>
          <t>1</t>
        </is>
      </c>
      <c r="J511" t="inlineStr"/>
      <c r="K511" t="inlineStr"/>
      <c r="L511" t="inlineStr"/>
      <c r="M511" t="inlineStr"/>
      <c r="N511" t="inlineStr"/>
      <c r="O511">
        <f>(1-Summary!$B$55)*T511+Summary!$B$55*V511</f>
        <v/>
      </c>
      <c r="P511">
        <f>IF(B536=0,0,O511/B536)</f>
        <v/>
      </c>
      <c r="Q511" t="n">
        <v>0</v>
      </c>
      <c r="R511" t="n">
        <v>0</v>
      </c>
      <c r="S511">
        <f>IFERROR(O511/N511,0)</f>
        <v/>
      </c>
      <c r="T511" t="n">
        <v>0</v>
      </c>
      <c r="V511" t="n">
        <v>0</v>
      </c>
    </row>
    <row r="512">
      <c r="A512">
        <f>Skills!A19</f>
        <v/>
      </c>
      <c r="B512">
        <f>Skills!B19</f>
        <v/>
      </c>
      <c r="C512">
        <f>TRUE</f>
        <v/>
      </c>
      <c r="D512">
        <f>IF(Skills!C19=1,60+Inputs!$B$25+Inputs!$B$29,IF(Skills!C19=2,90+Inputs!$B$26+Inputs!$B$29,IF(Skills!C19=3,120+Inputs!$B$27+Inputs!$B$29,MAX(0,(Inputs!$B$3-100)*3)+Inputs!$B$28+Inputs!$B$29)))</f>
        <v/>
      </c>
      <c r="E512">
        <f>INDEX(FactorTable!$B$2:$Y$301, MATCH(ROUND(MIN(300,MAX(1,D512)),0), FactorTable!$A$2:$A$301,0), Skills!M19+1)</f>
        <v/>
      </c>
      <c r="F512">
        <f>IF(Skills!N19=TRUE,(Skills!L19/10)*(E512/1000),Skills!L19/10)+Skills!O19</f>
        <v/>
      </c>
      <c r="G512">
        <f>Skills!G19*IF(Skills!H19&gt;0,Skills!I19/Skills!H19,1)</f>
        <v/>
      </c>
      <c r="H512">
        <f>1-(1-Skills!J19/100)^Skills!K19</f>
        <v/>
      </c>
      <c r="I512" t="inlineStr">
        <is>
          <t>1</t>
        </is>
      </c>
      <c r="J512" t="inlineStr"/>
      <c r="K512" t="inlineStr"/>
      <c r="L512" t="inlineStr"/>
      <c r="M512" t="inlineStr"/>
      <c r="N512" t="inlineStr"/>
      <c r="O512">
        <f>(1-Summary!$B$55)*T512+Summary!$B$55*V512</f>
        <v/>
      </c>
      <c r="P512">
        <f>IF(B536=0,0,O512/B536)</f>
        <v/>
      </c>
      <c r="Q512">
        <f>IFERROR(1/IF(Inputs!$B$38="pvp",15,MAX(0.1,Skills!D19-IF(Skills!E19=TRUE,Inputs!$B$32,0))),0)</f>
        <v/>
      </c>
      <c r="R512">
        <f>IF(AND(Inputs!$B$38&lt;&gt;"pvp",Inputs!$B$43&gt;0),IF(Inputs!$B$43&lt;=0,0,(INT(Inputs!$B$43/IF(Inputs!$B$38="pvp",15,MAX(0.1,Skills!D19-IF(Skills!E19=TRUE,Inputs!$B$32,0))))+1)),0)</f>
        <v/>
      </c>
      <c r="S512">
        <f>IFERROR(O512/N512,0)</f>
        <v/>
      </c>
      <c r="T512" t="n">
        <v>0</v>
      </c>
      <c r="V512" t="n">
        <v>0</v>
      </c>
    </row>
    <row r="513">
      <c r="A513">
        <f>Skills!A20</f>
        <v/>
      </c>
      <c r="B513">
        <f>Skills!B20</f>
        <v/>
      </c>
      <c r="C513">
        <f>Inputs!$B$3&gt;=15</f>
        <v/>
      </c>
      <c r="D513">
        <f>IF(Skills!C20=1,60+Inputs!$B$25+Inputs!$B$29,IF(Skills!C20=2,90+Inputs!$B$26+Inputs!$B$29,IF(Skills!C20=3,120+Inputs!$B$27+Inputs!$B$29,MAX(0,(Inputs!$B$3-100)*3)+Inputs!$B$28+Inputs!$B$29)))</f>
        <v/>
      </c>
      <c r="E513">
        <f>INDEX(FactorTable!$B$2:$Y$301, MATCH(ROUND(MIN(300,MAX(1,D513)),0), FactorTable!$A$2:$A$301,0), Skills!M20+1)</f>
        <v/>
      </c>
      <c r="F513">
        <f>IF(Skills!N20=TRUE,(Skills!L20/10)*(E513/1000),Skills!L20/10)+Skills!O20</f>
        <v/>
      </c>
      <c r="G513">
        <f>Skills!G20*IF(Skills!H20&gt;0,Skills!I20/Skills!H20,1)</f>
        <v/>
      </c>
      <c r="H513">
        <f>1-(1-Skills!J20/100)^Skills!K20</f>
        <v/>
      </c>
      <c r="I513" t="inlineStr">
        <is>
          <t>1</t>
        </is>
      </c>
      <c r="J513" t="inlineStr"/>
      <c r="K513" t="inlineStr"/>
      <c r="L513" t="inlineStr"/>
      <c r="M513" t="inlineStr"/>
      <c r="N513" t="inlineStr"/>
      <c r="O513">
        <f>(1-Summary!$B$55)*T513+Summary!$B$55*V513</f>
        <v/>
      </c>
      <c r="P513">
        <f>IF(B536=0,0,O513/B536)</f>
        <v/>
      </c>
      <c r="Q513" t="n">
        <v>0</v>
      </c>
      <c r="R513" t="n">
        <v>0</v>
      </c>
      <c r="S513">
        <f>IFERROR(O513/N513,0)</f>
        <v/>
      </c>
      <c r="T513" t="n">
        <v>0</v>
      </c>
      <c r="V513" t="n">
        <v>0</v>
      </c>
    </row>
    <row r="514">
      <c r="A514">
        <f>Skills!A21</f>
        <v/>
      </c>
      <c r="B514">
        <f>Skills!B21</f>
        <v/>
      </c>
      <c r="C514">
        <f>Inputs!$B$3&gt;=10</f>
        <v/>
      </c>
      <c r="D514">
        <f>IF(Skills!C21=1,60+Inputs!$B$25+Inputs!$B$29,IF(Skills!C21=2,90+Inputs!$B$26+Inputs!$B$29,IF(Skills!C21=3,120+Inputs!$B$27+Inputs!$B$29,MAX(0,(Inputs!$B$3-100)*3)+Inputs!$B$28+Inputs!$B$29)))</f>
        <v/>
      </c>
      <c r="E514">
        <f>INDEX(FactorTable!$B$2:$Y$301, MATCH(ROUND(MIN(300,MAX(1,D514)),0), FactorTable!$A$2:$A$301,0), Skills!M21+1)</f>
        <v/>
      </c>
      <c r="F514">
        <f>IF(Skills!N21=TRUE,(Skills!L21/10)*(E514/1000),Skills!L21/10)+Skills!O21</f>
        <v/>
      </c>
      <c r="G514">
        <f>Skills!G21*IF(Skills!H21&gt;0,Skills!I21/Skills!H21,1)</f>
        <v/>
      </c>
      <c r="H514">
        <f>1-(1-Skills!J21/100)^Skills!K21</f>
        <v/>
      </c>
      <c r="I514" t="inlineStr">
        <is>
          <t>1</t>
        </is>
      </c>
      <c r="J514" t="inlineStr"/>
      <c r="K514" t="inlineStr"/>
      <c r="L514" t="inlineStr"/>
      <c r="M514" t="inlineStr"/>
      <c r="N514" t="inlineStr"/>
      <c r="O514">
        <f>(1-Summary!$B$55)*T514+Summary!$B$55*V514</f>
        <v/>
      </c>
      <c r="P514">
        <f>IF(B536=0,0,O514/B536)</f>
        <v/>
      </c>
      <c r="Q514" t="n">
        <v>0</v>
      </c>
      <c r="R514" t="n">
        <v>0</v>
      </c>
      <c r="S514">
        <f>IFERROR(O514/N514,0)</f>
        <v/>
      </c>
      <c r="T514" t="n">
        <v>0</v>
      </c>
      <c r="V514" t="n">
        <v>0</v>
      </c>
    </row>
    <row r="515">
      <c r="A515">
        <f>Skills!A22</f>
        <v/>
      </c>
      <c r="B515">
        <f>Skills!B22</f>
        <v/>
      </c>
      <c r="C515">
        <f>Inputs!$B$3&gt;=33</f>
        <v/>
      </c>
      <c r="D515">
        <f>IF(Skills!C22=1,60+Inputs!$B$25+Inputs!$B$29,IF(Skills!C22=2,90+Inputs!$B$26+Inputs!$B$29,IF(Skills!C22=3,120+Inputs!$B$27+Inputs!$B$29,MAX(0,(Inputs!$B$3-100)*3)+Inputs!$B$28+Inputs!$B$29)))</f>
        <v/>
      </c>
      <c r="E515">
        <f>INDEX(FactorTable!$B$2:$Y$301, MATCH(ROUND(MIN(300,MAX(1,D515)),0), FactorTable!$A$2:$A$301,0), Skills!M22+1)</f>
        <v/>
      </c>
      <c r="F515">
        <f>IF(Skills!N22=TRUE,(Skills!L22/10)*(E515/1000),Skills!L22/10)+Skills!O22</f>
        <v/>
      </c>
      <c r="G515">
        <f>Skills!G22*IF(Skills!H22&gt;0,Skills!I22/Skills!H22,1)</f>
        <v/>
      </c>
      <c r="H515">
        <f>1-(1-Skills!J22/100)^Skills!K22</f>
        <v/>
      </c>
      <c r="I515" t="inlineStr">
        <is>
          <t>1</t>
        </is>
      </c>
      <c r="J515" t="inlineStr"/>
      <c r="K515" t="inlineStr"/>
      <c r="L515" t="inlineStr"/>
      <c r="M515" t="inlineStr"/>
      <c r="N515" t="inlineStr"/>
      <c r="O515">
        <f>(1-Summary!$B$55)*T515+Summary!$B$55*V515</f>
        <v/>
      </c>
      <c r="P515">
        <f>IF(B536=0,0,O515/B536)</f>
        <v/>
      </c>
      <c r="Q515" t="n">
        <v>0</v>
      </c>
      <c r="R515" t="n">
        <v>0</v>
      </c>
      <c r="S515">
        <f>IFERROR(O515/N515,0)</f>
        <v/>
      </c>
      <c r="T515" t="n">
        <v>0</v>
      </c>
      <c r="V515" t="n">
        <v>0</v>
      </c>
    </row>
    <row r="516">
      <c r="A516">
        <f>Skills!A23</f>
        <v/>
      </c>
      <c r="B516">
        <f>Skills!B23</f>
        <v/>
      </c>
      <c r="C516">
        <f>Inputs!$B$3&gt;=38</f>
        <v/>
      </c>
      <c r="D516">
        <f>IF(Skills!C23=1,60+Inputs!$B$25+Inputs!$B$29,IF(Skills!C23=2,90+Inputs!$B$26+Inputs!$B$29,IF(Skills!C23=3,120+Inputs!$B$27+Inputs!$B$29,MAX(0,(Inputs!$B$3-100)*3)+Inputs!$B$28+Inputs!$B$29)))</f>
        <v/>
      </c>
      <c r="E516">
        <f>INDEX(FactorTable!$B$2:$Y$301, MATCH(ROUND(MIN(300,MAX(1,D516)),0), FactorTable!$A$2:$A$301,0), Skills!M23+1)</f>
        <v/>
      </c>
      <c r="F516">
        <f>IF(Skills!N23=TRUE,(Skills!L23/10)*(E516/1000),Skills!L23/10)+Skills!O23</f>
        <v/>
      </c>
      <c r="G516">
        <f>Skills!G23*IF(Skills!H23&gt;0,Skills!I23/Skills!H23,1)</f>
        <v/>
      </c>
      <c r="H516">
        <f>1-(1-Skills!J23/100)^Skills!K23</f>
        <v/>
      </c>
      <c r="I516" t="inlineStr">
        <is>
          <t>1</t>
        </is>
      </c>
      <c r="J516" t="inlineStr"/>
      <c r="K516" t="inlineStr"/>
      <c r="L516" t="inlineStr"/>
      <c r="M516" t="inlineStr"/>
      <c r="N516" t="inlineStr"/>
      <c r="O516">
        <f>(1-Summary!$B$55)*T516+Summary!$B$55*V516</f>
        <v/>
      </c>
      <c r="P516">
        <f>IF(B536=0,0,O516/B536)</f>
        <v/>
      </c>
      <c r="Q516" t="n">
        <v>0</v>
      </c>
      <c r="R516" t="n">
        <v>0</v>
      </c>
      <c r="S516">
        <f>IFERROR(O516/N516,0)</f>
        <v/>
      </c>
      <c r="T516" t="n">
        <v>0</v>
      </c>
      <c r="V516" t="n">
        <v>0</v>
      </c>
    </row>
    <row r="517">
      <c r="A517">
        <f>Skills!A24</f>
        <v/>
      </c>
      <c r="B517">
        <f>Skills!B24</f>
        <v/>
      </c>
      <c r="C517">
        <f>Inputs!$B$3&gt;=43</f>
        <v/>
      </c>
      <c r="D517">
        <f>IF(Skills!C24=1,60+Inputs!$B$25+Inputs!$B$29,IF(Skills!C24=2,90+Inputs!$B$26+Inputs!$B$29,IF(Skills!C24=3,120+Inputs!$B$27+Inputs!$B$29,MAX(0,(Inputs!$B$3-100)*3)+Inputs!$B$28+Inputs!$B$29)))</f>
        <v/>
      </c>
      <c r="E517">
        <f>INDEX(FactorTable!$B$2:$Y$301, MATCH(ROUND(MIN(300,MAX(1,D517)),0), FactorTable!$A$2:$A$301,0), Skills!M24+1)</f>
        <v/>
      </c>
      <c r="F517">
        <f>IF(Skills!N24=TRUE,(Skills!L24/10)*(E517/1000),Skills!L24/10)+Skills!O24</f>
        <v/>
      </c>
      <c r="G517">
        <f>Skills!G24*IF(Skills!H24&gt;0,Skills!I24/Skills!H24,1)</f>
        <v/>
      </c>
      <c r="H517">
        <f>1-(1-Skills!J24/100)^Skills!K24</f>
        <v/>
      </c>
      <c r="I517" t="inlineStr">
        <is>
          <t>1</t>
        </is>
      </c>
      <c r="J517" t="inlineStr"/>
      <c r="K517" t="inlineStr"/>
      <c r="L517" t="inlineStr"/>
      <c r="M517" t="inlineStr"/>
      <c r="N517" t="inlineStr"/>
      <c r="O517">
        <f>(1-Summary!$B$55)*T517+Summary!$B$55*V517</f>
        <v/>
      </c>
      <c r="P517">
        <f>IF(B536=0,0,O517/B536)</f>
        <v/>
      </c>
      <c r="Q517" t="n">
        <v>0</v>
      </c>
      <c r="R517" t="n">
        <v>0</v>
      </c>
      <c r="S517">
        <f>IFERROR(O517/N517,0)</f>
        <v/>
      </c>
      <c r="T517" t="n">
        <v>0</v>
      </c>
      <c r="V517" t="n">
        <v>0</v>
      </c>
    </row>
    <row r="518">
      <c r="A518">
        <f>Skills!A25</f>
        <v/>
      </c>
      <c r="B518">
        <f>Skills!B25</f>
        <v/>
      </c>
      <c r="C518">
        <f>Inputs!$B$3&gt;=75</f>
        <v/>
      </c>
      <c r="D518">
        <f>IF(Skills!C25=1,60+Inputs!$B$25+Inputs!$B$29,IF(Skills!C25=2,90+Inputs!$B$26+Inputs!$B$29,IF(Skills!C25=3,120+Inputs!$B$27+Inputs!$B$29,MAX(0,(Inputs!$B$3-100)*3)+Inputs!$B$28+Inputs!$B$29)))</f>
        <v/>
      </c>
      <c r="E518">
        <f>INDEX(FactorTable!$B$2:$Y$301, MATCH(ROUND(MIN(300,MAX(1,D518)),0), FactorTable!$A$2:$A$301,0), Skills!M25+1)</f>
        <v/>
      </c>
      <c r="F518">
        <f>IF(Skills!N25=TRUE,(Skills!L25/10)*(E518/1000),Skills!L25/10)+Skills!O25</f>
        <v/>
      </c>
      <c r="G518">
        <f>Skills!G25*IF(Skills!H25&gt;0,Skills!I25/Skills!H25,1)</f>
        <v/>
      </c>
      <c r="H518">
        <f>1-(1-Skills!J25/100)^Skills!K25</f>
        <v/>
      </c>
      <c r="I518" t="inlineStr">
        <is>
          <t>1</t>
        </is>
      </c>
      <c r="J518" t="inlineStr"/>
      <c r="K518" t="inlineStr"/>
      <c r="L518" t="inlineStr"/>
      <c r="M518" t="inlineStr"/>
      <c r="N518" t="inlineStr"/>
      <c r="O518">
        <f>(1-Summary!$B$55)*T518+Summary!$B$55*V518</f>
        <v/>
      </c>
      <c r="P518">
        <f>IF(B536=0,0,O518/B536)</f>
        <v/>
      </c>
      <c r="Q518" t="n">
        <v>0</v>
      </c>
      <c r="R518" t="n">
        <v>0</v>
      </c>
      <c r="S518">
        <f>IFERROR(O518/N518,0)</f>
        <v/>
      </c>
      <c r="T518" t="n">
        <v>0</v>
      </c>
      <c r="V518" t="n">
        <v>0</v>
      </c>
    </row>
    <row r="519">
      <c r="A519">
        <f>Skills!A26</f>
        <v/>
      </c>
      <c r="B519">
        <f>Skills!B26</f>
        <v/>
      </c>
      <c r="C519">
        <f>Inputs!$B$3&gt;=125</f>
        <v/>
      </c>
      <c r="D519">
        <f>IF(Skills!C26=1,60+Inputs!$B$25+Inputs!$B$29,IF(Skills!C26=2,90+Inputs!$B$26+Inputs!$B$29,IF(Skills!C26=3,120+Inputs!$B$27+Inputs!$B$29,MAX(0,(Inputs!$B$3-100)*3)+Inputs!$B$28+Inputs!$B$29)))</f>
        <v/>
      </c>
      <c r="E519">
        <f>INDEX(FactorTable!$B$2:$Y$301, MATCH(ROUND(MIN(300,MAX(1,D519)),0), FactorTable!$A$2:$A$301,0), Skills!M26+1)</f>
        <v/>
      </c>
      <c r="F519">
        <f>IF(Skills!N26=TRUE,(Skills!L26/10)*(E519/1000),Skills!L26/10)+Skills!O26</f>
        <v/>
      </c>
      <c r="G519">
        <f>Skills!G26*IF(Skills!H26&gt;0,Skills!I26/Skills!H26,1)</f>
        <v/>
      </c>
      <c r="H519">
        <f>1-(1-Skills!J26/100)^Skills!K26</f>
        <v/>
      </c>
      <c r="I519" t="inlineStr">
        <is>
          <t>1</t>
        </is>
      </c>
      <c r="J519" t="inlineStr"/>
      <c r="K519" t="inlineStr"/>
      <c r="L519" t="inlineStr"/>
      <c r="M519" t="inlineStr"/>
      <c r="N519" t="inlineStr"/>
      <c r="O519">
        <f>(1-Summary!$B$55)*T519+Summary!$B$55*V519</f>
        <v/>
      </c>
      <c r="P519">
        <f>IF(B536=0,0,O519/B536)</f>
        <v/>
      </c>
      <c r="Q519" t="n">
        <v>0</v>
      </c>
      <c r="R519" t="n">
        <v>0</v>
      </c>
      <c r="S519">
        <f>IFERROR(O519/N519,0)</f>
        <v/>
      </c>
      <c r="T519" t="n">
        <v>0</v>
      </c>
      <c r="V519" t="n">
        <v>0</v>
      </c>
    </row>
    <row r="520">
      <c r="A520">
        <f>Skills!A27</f>
        <v/>
      </c>
      <c r="B520">
        <f>Skills!B27</f>
        <v/>
      </c>
      <c r="C520">
        <f>Inputs!$B$3&gt;=125</f>
        <v/>
      </c>
      <c r="D520">
        <f>IF(Skills!C27=1,60+Inputs!$B$25+Inputs!$B$29,IF(Skills!C27=2,90+Inputs!$B$26+Inputs!$B$29,IF(Skills!C27=3,120+Inputs!$B$27+Inputs!$B$29,MAX(0,(Inputs!$B$3-100)*3)+Inputs!$B$28+Inputs!$B$29)))</f>
        <v/>
      </c>
      <c r="E520">
        <f>INDEX(FactorTable!$B$2:$Y$301, MATCH(ROUND(MIN(300,MAX(1,D520)),0), FactorTable!$A$2:$A$301,0), Skills!M27+1)</f>
        <v/>
      </c>
      <c r="F520">
        <f>IF(Skills!N27=TRUE,(Skills!L27/10)*(E520/1000),Skills!L27/10)+Skills!O27</f>
        <v/>
      </c>
      <c r="G520">
        <f>Skills!G27*IF(Skills!H27&gt;0,Skills!I27/Skills!H27,1)</f>
        <v/>
      </c>
      <c r="H520">
        <f>1-(1-Skills!J27/100)^Skills!K27</f>
        <v/>
      </c>
      <c r="I520" t="inlineStr">
        <is>
          <t>1</t>
        </is>
      </c>
      <c r="J520" t="inlineStr"/>
      <c r="K520" t="inlineStr"/>
      <c r="L520" t="inlineStr"/>
      <c r="M520" t="inlineStr"/>
      <c r="N520" t="inlineStr"/>
      <c r="O520">
        <f>(1-Summary!$B$55)*T520+Summary!$B$55*V520</f>
        <v/>
      </c>
      <c r="P520">
        <f>IF(B536=0,0,O520/B536)</f>
        <v/>
      </c>
      <c r="Q520" t="n">
        <v>0</v>
      </c>
      <c r="R520" t="n">
        <v>0</v>
      </c>
      <c r="S520">
        <f>IFERROR(O520/N520,0)</f>
        <v/>
      </c>
      <c r="T520" t="n">
        <v>0</v>
      </c>
      <c r="V520" t="n">
        <v>0</v>
      </c>
    </row>
    <row r="521">
      <c r="A521">
        <f>Skills!A28</f>
        <v/>
      </c>
      <c r="B521">
        <f>Skills!B28</f>
        <v/>
      </c>
      <c r="C521">
        <f>Inputs!$B$3&gt;=120</f>
        <v/>
      </c>
      <c r="D521">
        <f>IF(Skills!C28=1,60+Inputs!$B$25+Inputs!$B$29,IF(Skills!C28=2,90+Inputs!$B$26+Inputs!$B$29,IF(Skills!C28=3,120+Inputs!$B$27+Inputs!$B$29,MAX(0,(Inputs!$B$3-100)*3)+Inputs!$B$28+Inputs!$B$29)))</f>
        <v/>
      </c>
      <c r="E521">
        <f>INDEX(FactorTable!$B$2:$Y$301, MATCH(ROUND(MIN(300,MAX(1,D521)),0), FactorTable!$A$2:$A$301,0), Skills!M28+1)</f>
        <v/>
      </c>
      <c r="F521">
        <f>IF(Skills!N28=TRUE,(Skills!L28/10)*(E521/1000),Skills!L28/10)+Skills!O28</f>
        <v/>
      </c>
      <c r="G521">
        <f>Skills!G28*IF(Skills!H28&gt;0,Skills!I28/Skills!H28,1)</f>
        <v/>
      </c>
      <c r="H521">
        <f>1-(1-Skills!J28/100)^Skills!K28</f>
        <v/>
      </c>
      <c r="I521" t="inlineStr">
        <is>
          <t>1</t>
        </is>
      </c>
      <c r="J521" t="inlineStr"/>
      <c r="K521" t="inlineStr"/>
      <c r="L521" t="inlineStr"/>
      <c r="M521" t="inlineStr"/>
      <c r="N521" t="inlineStr"/>
      <c r="O521">
        <f>(1-Summary!$B$55)*T521+Summary!$B$55*V521</f>
        <v/>
      </c>
      <c r="P521">
        <f>IF(B536=0,0,O521/B536)</f>
        <v/>
      </c>
      <c r="Q521" t="n">
        <v>0</v>
      </c>
      <c r="R521" t="n">
        <v>0</v>
      </c>
      <c r="S521">
        <f>IFERROR(O521/N521,0)</f>
        <v/>
      </c>
      <c r="T521" t="n">
        <v>0</v>
      </c>
      <c r="V521" t="n">
        <v>0</v>
      </c>
    </row>
    <row r="522">
      <c r="A522">
        <f>Skills!A29</f>
        <v/>
      </c>
      <c r="B522">
        <f>Skills!B29</f>
        <v/>
      </c>
      <c r="C522">
        <f>Inputs!$B$3&gt;=120</f>
        <v/>
      </c>
      <c r="D522">
        <f>IF(Skills!C29=1,60+Inputs!$B$25+Inputs!$B$29,IF(Skills!C29=2,90+Inputs!$B$26+Inputs!$B$29,IF(Skills!C29=3,120+Inputs!$B$27+Inputs!$B$29,MAX(0,(Inputs!$B$3-100)*3)+Inputs!$B$28+Inputs!$B$29)))</f>
        <v/>
      </c>
      <c r="E522">
        <f>INDEX(FactorTable!$B$2:$Y$301, MATCH(ROUND(MIN(300,MAX(1,D522)),0), FactorTable!$A$2:$A$301,0), Skills!M29+1)</f>
        <v/>
      </c>
      <c r="F522">
        <f>IF(Skills!N29=TRUE,(Skills!L29/10)*(E522/1000),Skills!L29/10)+Skills!O29</f>
        <v/>
      </c>
      <c r="G522">
        <f>Skills!G29*IF(Skills!H29&gt;0,Skills!I29/Skills!H29,1)</f>
        <v/>
      </c>
      <c r="H522">
        <f>1-(1-Skills!J29/100)^Skills!K29</f>
        <v/>
      </c>
      <c r="I522" t="inlineStr">
        <is>
          <t>1</t>
        </is>
      </c>
      <c r="J522" t="inlineStr"/>
      <c r="K522" t="inlineStr"/>
      <c r="L522" t="inlineStr"/>
      <c r="M522" t="inlineStr"/>
      <c r="N522" t="inlineStr"/>
      <c r="O522">
        <f>(1-Summary!$B$55)*T522+Summary!$B$55*V522</f>
        <v/>
      </c>
      <c r="P522">
        <f>IF(B536=0,0,O522/B536)</f>
        <v/>
      </c>
      <c r="Q522" t="n">
        <v>0</v>
      </c>
      <c r="R522" t="n">
        <v>0</v>
      </c>
      <c r="S522">
        <f>IFERROR(O522/N522,0)</f>
        <v/>
      </c>
      <c r="T522" t="n">
        <v>0</v>
      </c>
      <c r="V522" t="n">
        <v>0</v>
      </c>
    </row>
    <row r="523">
      <c r="A523">
        <f>Skills!A30</f>
        <v/>
      </c>
      <c r="B523">
        <f>Skills!B30</f>
        <v/>
      </c>
      <c r="C523">
        <f>Inputs!$B$3&gt;=45</f>
        <v/>
      </c>
      <c r="D523">
        <f>IF(Skills!C30=1,60+Inputs!$B$25+Inputs!$B$29,IF(Skills!C30=2,90+Inputs!$B$26+Inputs!$B$29,IF(Skills!C30=3,120+Inputs!$B$27+Inputs!$B$29,MAX(0,(Inputs!$B$3-100)*3)+Inputs!$B$28+Inputs!$B$29)))</f>
        <v/>
      </c>
      <c r="E523">
        <f>INDEX(FactorTable!$B$2:$Y$301, MATCH(ROUND(MIN(300,MAX(1,D523)),0), FactorTable!$A$2:$A$301,0), Skills!M30+1)</f>
        <v/>
      </c>
      <c r="F523">
        <f>IF(Skills!N30=TRUE,(Skills!L30/10)*(E523/1000),Skills!L30/10)+Skills!O30</f>
        <v/>
      </c>
      <c r="G523">
        <f>Skills!G30*IF(Skills!H30&gt;0,Skills!I30/Skills!H30,1)</f>
        <v/>
      </c>
      <c r="H523">
        <f>1-(1-Skills!J30/100)^Skills!K30</f>
        <v/>
      </c>
      <c r="I523" t="inlineStr">
        <is>
          <t>1</t>
        </is>
      </c>
      <c r="J523" t="inlineStr"/>
      <c r="K523" t="inlineStr"/>
      <c r="L523" t="inlineStr"/>
      <c r="M523" t="inlineStr"/>
      <c r="N523" t="inlineStr"/>
      <c r="O523">
        <f>(1-Summary!$B$55)*T523+Summary!$B$55*V523</f>
        <v/>
      </c>
      <c r="P523">
        <f>IF(B536=0,0,O523/B536)</f>
        <v/>
      </c>
      <c r="Q523" t="n">
        <v>0</v>
      </c>
      <c r="R523" t="n">
        <v>0</v>
      </c>
      <c r="S523">
        <f>IFERROR(O523/N523,0)</f>
        <v/>
      </c>
      <c r="T523" t="n">
        <v>0</v>
      </c>
      <c r="V523" t="n">
        <v>0</v>
      </c>
    </row>
    <row r="525">
      <c r="A525" t="inlineStr">
        <is>
          <t>Attack% Bucket Multiplier</t>
        </is>
      </c>
      <c r="B525">
        <f>(1+(((C506=TRUE)*F506)+((C507=TRUE)*IF(Inputs!$B$38="pvp",F507,(1-Summary!$B$55)*(F507)+Summary!$B$55*(0)))+((C508=TRUE)*F508*IF(AND(Inputs!$B$38&lt;&gt;"pvp",Inputs!$B$43&gt;0),(((R508-1)*(Skills!T15*(1+Inputs!$B$34/100))+MIN((Skills!T15*(1+Inputs!$B$34/100)),MAX(0,Inputs!$B$43-((R508-1)*Skills!D15))))/Inputs!$B$43),IF(Inputs!$B$38="pvp",MIN((Skills!T15*(1+Inputs!$B$34/100)),15)/15,(Skills!T15*(1+Inputs!$B$34/100))/Skills!D15)))+((C523=TRUE)*(F523-Calc!F30)))/100)</f>
        <v/>
      </c>
    </row>
    <row r="526">
      <c r="A526" t="inlineStr">
        <is>
          <t>Global Crit Rate Bonus %</t>
        </is>
      </c>
      <c r="B526">
        <f>(C509=TRUE)*20*IF(AND(Inputs!$B$38&lt;&gt;"pvp",Inputs!$B$43&gt;0),(((R509-1)*(Skills!T16*(1+Inputs!$B$34/100))+MIN((Skills!T16*(1+Inputs!$B$34/100)),MAX(0,Inputs!$B$43-((R509-1)*Skills!D16))))/Inputs!$B$43),IF(Inputs!$B$38="pvp",MIN((Skills!T16*(1+Inputs!$B$34/100)),15)/15,(Skills!T16*(1+Inputs!$B$34/100))/Skills!D16))</f>
        <v/>
      </c>
    </row>
    <row r="527">
      <c r="A527" t="inlineStr">
        <is>
          <t>Attack Speed Buff Bonus %</t>
        </is>
      </c>
      <c r="B527">
        <f>((C512=TRUE)*F512*IF(AND(Inputs!$B$38&lt;&gt;"pvp",Inputs!$B$43&gt;0),(((R512-1)*(Skills!T19*(1+Inputs!$B$34/100))+MIN((Skills!T19*(1+Inputs!$B$34/100)),MAX(0,Inputs!$B$43-((R512-1)*Skills!D19))))/Inputs!$B$43),IF(Inputs!$B$38="pvp",MIN((Skills!T19*(1+Inputs!$B$34/100)),15)/15,(Skills!T19*(1+Inputs!$B$34/100))/Skills!D19)))</f>
        <v/>
      </c>
    </row>
    <row r="528">
      <c r="A528" t="inlineStr">
        <is>
          <t>Actions Per Second</t>
        </is>
      </c>
      <c r="B528">
        <f>1+MIN(150,150*(1-(1-(Inputs!$B$11+((C514=TRUE)*(F514-Calc!F21))+((C515=TRUE)*(F515-Calc!F22)))/150)*(1-B527/150)))/100</f>
        <v/>
      </c>
    </row>
    <row r="529">
      <c r="A529" t="inlineStr">
        <is>
          <t>Skill + Buff Cast Rate</t>
        </is>
      </c>
      <c r="B529">
        <f>IF(AND(Inputs!$B$38&lt;&gt;"pvp",Inputs!$B$43&gt;0),SUMPRODUCT((Skills!E2:E30=TRUE)*(C495:C523=TRUE)*R495:R523*Skills!F2:F30)/Inputs!$B$43,SUMPRODUCT((Skills!E2:E30=TRUE)*(C495:C523=TRUE)*Q495:Q523*Skills!F2:F30))</f>
        <v/>
      </c>
    </row>
    <row r="530">
      <c r="A530" t="inlineStr">
        <is>
          <t>Arrow Stream Casts Per Second</t>
        </is>
      </c>
      <c r="B530">
        <f>MAX(0,B528-B529)</f>
        <v/>
      </c>
    </row>
    <row r="531">
      <c r="A531" t="inlineStr">
        <is>
          <t>Global Critical Damage Bonus % (Sharp Eyes + Concentration)</t>
        </is>
      </c>
      <c r="B531">
        <f>(C509=TRUE)*F509*IF(AND(Inputs!$B$38&lt;&gt;"pvp",Inputs!$B$43&gt;0),(((R509-1)*(Skills!T16*(1+Inputs!$B$34/100))+MIN((Skills!T16*(1+Inputs!$B$34/100)),MAX(0,Inputs!$B$43-((R509-1)*Skills!D16))))/Inputs!$B$43),IF(Inputs!$B$38="pvp",MIN((Skills!T16*(1+Inputs!$B$34/100)),15)/15,(Skills!T16*(1+Inputs!$B$34/100))/Skills!D16))+(C510=TRUE)*30</f>
        <v/>
      </c>
    </row>
    <row r="532">
      <c r="A532" t="inlineStr">
        <is>
          <t>Global Final Damage Bonus % (Mortal Blow)</t>
        </is>
      </c>
      <c r="B532">
        <f>(C511=TRUE)*F511</f>
        <v/>
      </c>
    </row>
    <row r="533">
      <c r="A533" t="inlineStr">
        <is>
          <t>Buff-Casting Startup Delay (s, fixed-duration only)</t>
        </is>
      </c>
      <c r="B533">
        <f>IF(AND(Inputs!$B$38&lt;&gt;"pvp",Inputs!$B$43&gt;0),SUMPRODUCT((Skills!T2:T30&gt;0)*(Skills!E2:E30=TRUE)*(C495:C523=TRUE))/B528,0)</f>
        <v/>
      </c>
    </row>
    <row r="534">
      <c r="A534" t="inlineStr">
        <is>
          <t>Boss-Only Total DPS (this block's swept value)</t>
        </is>
      </c>
      <c r="B534">
        <f>SUM(T495:T523)</f>
        <v/>
      </c>
    </row>
    <row r="535">
      <c r="A535" t="inlineStr">
        <is>
          <t>Normal-Only Total DPS (this block's swept value)</t>
        </is>
      </c>
      <c r="B535">
        <f>SUM(V495:V523)</f>
        <v/>
      </c>
    </row>
    <row r="536">
      <c r="A536" s="5" t="inlineStr">
        <is>
          <t>TOTAL DPS</t>
        </is>
      </c>
      <c r="B536" s="5">
        <f>SUM(O495:O523)</f>
        <v/>
      </c>
    </row>
    <row r="539">
      <c r="A539" s="5" t="inlineStr">
        <is>
          <t>Stat: CRIT_DAMAGE %</t>
        </is>
      </c>
    </row>
    <row r="540">
      <c r="A540" s="9" t="inlineStr">
        <is>
          <t>Key</t>
        </is>
      </c>
      <c r="B540" s="9" t="inlineStr">
        <is>
          <t>Name</t>
        </is>
      </c>
      <c r="C540" s="9" t="inlineStr">
        <is>
          <t>Unlocked</t>
        </is>
      </c>
      <c r="D540" s="9" t="inlineStr">
        <is>
          <t>InputLevel</t>
        </is>
      </c>
      <c r="E540" s="9" t="inlineStr">
        <is>
          <t>Factor</t>
        </is>
      </c>
      <c r="F540" s="9" t="inlineStr">
        <is>
          <t>CoefficientPercent</t>
        </is>
      </c>
      <c r="G540" s="9" t="inlineStr">
        <is>
          <t>EffectiveHits</t>
        </is>
      </c>
      <c r="H540" s="9" t="inlineStr">
        <is>
          <t>ProcProbability</t>
        </is>
      </c>
      <c r="I540" s="9" t="inlineStr">
        <is>
          <t>MapleHeroMultiplier</t>
        </is>
      </c>
      <c r="J540" s="9" t="inlineStr">
        <is>
          <t>BaseDamage</t>
        </is>
      </c>
      <c r="K540" s="9" t="inlineStr">
        <is>
          <t>BaseHitDamage</t>
        </is>
      </c>
      <c r="L540" s="9" t="inlineStr">
        <is>
          <t>NonCritAvg</t>
        </is>
      </c>
      <c r="M540" s="9" t="inlineStr">
        <is>
          <t>CritAvg</t>
        </is>
      </c>
      <c r="N540" s="9" t="inlineStr">
        <is>
          <t>ExpectedDamage(perHit)</t>
        </is>
      </c>
      <c r="O540" s="9" t="inlineStr">
        <is>
          <t>DPS</t>
        </is>
      </c>
      <c r="P540" s="9" t="inlineStr">
        <is>
          <t>% of Total</t>
        </is>
      </c>
      <c r="Q540" s="9" t="inlineStr">
        <is>
          <t>InvCooldown</t>
        </is>
      </c>
      <c r="R540" s="9" t="inlineStr">
        <is>
          <t>CastsInFight</t>
        </is>
      </c>
      <c r="S540" s="9" t="inlineStr">
        <is>
          <t>HitRate(perSec)</t>
        </is>
      </c>
      <c r="U540" t="inlineStr">
        <is>
          <t>helpers</t>
        </is>
      </c>
    </row>
    <row r="541">
      <c r="A541">
        <f>Skills!A2</f>
        <v/>
      </c>
      <c r="B541">
        <f>Skills!B2</f>
        <v/>
      </c>
      <c r="C541">
        <f>Inputs!$B$3&gt;=100</f>
        <v/>
      </c>
      <c r="D541" t="inlineStr"/>
      <c r="E541" t="inlineStr"/>
      <c r="F541">
        <f>U543+Skills!O2</f>
        <v/>
      </c>
      <c r="G541">
        <f>Skills!G2*IF(Skills!H2&gt;0,Skills!I2/Skills!H2,1)</f>
        <v/>
      </c>
      <c r="H541">
        <f>1-(1-Skills!J2/100)^Skills!K2</f>
        <v/>
      </c>
      <c r="I541" t="inlineStr">
        <is>
          <t>1</t>
        </is>
      </c>
      <c r="J541">
        <f>((Inputs!$B$6*(1+Inputs!$B$7/100))+(((Inputs!$B$12*(1+Inputs!$B$13/100))-(Inputs!$B$12*(1+Inputs!$B$13/100)))+0.25*(Inputs!$B$14-Inputs!$B$14))*(1+Inputs!$B$7/100))*(F541/100)</f>
        <v/>
      </c>
      <c r="K541">
        <f>J541*(1+((Inputs!$B$12*(1+Inputs!$B$13/100))*0.01+Inputs!$B$14*0.0025)/100)*(1+Inputs!$B$15/100)*(1+Inputs!$B$16/100)*(5000/(6000+Inputs!$B$42*(1-(Inputs!$B$19+((C566=TRUE)*(F566-Calc!F27)))/100)))*(1+(Inputs!$B$24+((C564=TRUE)*(F564-Calc!F25))+((C565=TRUE)*(F565-Calc!F26))+B578)/100)*(1+(IF(Skills!A2="ARROW_STREAM",Inputs!$B$17+((C562=TRUE)*(F562-Calc!F23)),Inputs!$B$18+((C567=TRUE)*(F567-Calc!F28))))/100)*((1+(((C552=TRUE)*F552)+((C553=TRUE)*IF(Inputs!$B$38="pvp",F553,(1-Summary!$B$55)*(F553)+Summary!$B$55*(0)))+((C554=TRUE)*F554*IF(AND(Inputs!$B$38&lt;&gt;"pvp",Inputs!$B$43&gt;0),(((R554-1)*(Skills!T15*(1+Inputs!$B$34/100))+MIN((Skills!T15*(1+Inputs!$B$34/100)),MAX(0,Inputs!$B$43-((R554-1)*Skills!D15))))/Inputs!$B$43),IF(Inputs!$B$38="pvp",MIN((Skills!T15*(1+Inputs!$B$34/100)),15)/15,(Skills!T15*(1+Inputs!$B$34/100))/Skills!D15)))+((C569=TRUE)*(F569-Calc!F30)))/100)*I541)</f>
        <v/>
      </c>
      <c r="L541">
        <f>K541*(MIN(Inputs!$B$22+((C563=TRUE)*(F563-Calc!F24)),Inputs!$B$23+((C568=TRUE)*(F568-Calc!F29)))/100+(Inputs!$B$23+((C568=TRUE)*(F568-Calc!F29)))/100)/2</f>
        <v/>
      </c>
      <c r="M541">
        <f>L541*(1+((Inputs!$B$10+1)+0+B577)/100)</f>
        <v/>
      </c>
      <c r="N541">
        <f>L541*(1-MIN((Inputs!$B$9+((C559=TRUE)*(F559-Calc!F20))+B572),100)/100)+M541*(MIN((Inputs!$B$9+((C559=TRUE)*(F559-Calc!F20))+B572),100)/100)</f>
        <v/>
      </c>
      <c r="O541">
        <f>(1-Summary!$B$55)*T541+Summary!$B$55*V541</f>
        <v/>
      </c>
      <c r="P541">
        <f>IF(B582=0,0,O541/B582)</f>
        <v/>
      </c>
      <c r="Q541" t="n">
        <v>0</v>
      </c>
      <c r="R541" t="n">
        <v>0</v>
      </c>
      <c r="S541">
        <f>IFERROR(O541/N541,0)</f>
        <v/>
      </c>
      <c r="T541">
        <f>IF(C541,(Skills!G2*N541*B576)*IF(Inputs!$B$38="pvp",1,1+(Inputs!$B$20+0+Skills!P2)/100),0)</f>
        <v/>
      </c>
      <c r="U541">
        <f>MAX(0,(Inputs!$B$3-100)*3)+Inputs!$B$28+Inputs!$B$29</f>
        <v/>
      </c>
      <c r="V541">
        <f>IF(C541,(Skills!G2*N541*B576)*IF(Inputs!$B$38="pvp",1,(1+(Inputs!$B$21+Skills!Q2)/100)*(MIN((6+Inputs!$B$33),Inputs!$B$37))),0)</f>
        <v/>
      </c>
    </row>
    <row r="542">
      <c r="A542">
        <f>Skills!A3</f>
        <v/>
      </c>
      <c r="B542">
        <f>Skills!B3</f>
        <v/>
      </c>
      <c r="C542">
        <f>Inputs!$B$3&gt;=50</f>
        <v/>
      </c>
      <c r="D542">
        <f>IF(Skills!C3=1,60+Inputs!$B$25+Inputs!$B$29,IF(Skills!C3=2,90+Inputs!$B$26+Inputs!$B$29,IF(Skills!C3=3,120+Inputs!$B$27+Inputs!$B$29,MAX(0,(Inputs!$B$3-100)*3)+Inputs!$B$28+Inputs!$B$29)))</f>
        <v/>
      </c>
      <c r="E542">
        <f>INDEX(FactorTable!$B$2:$Y$301, MATCH(ROUND(MIN(300,MAX(1,D542)),0), FactorTable!$A$2:$A$301,0), Skills!M3+1)</f>
        <v/>
      </c>
      <c r="F542">
        <f>IF(Skills!N3=TRUE,(Skills!L3/10)*(E542/1000),Skills!L3/10)+Skills!O3</f>
        <v/>
      </c>
      <c r="G542" t="inlineStr"/>
      <c r="H542" t="inlineStr"/>
      <c r="I542" t="inlineStr">
        <is>
          <t>1</t>
        </is>
      </c>
      <c r="J542" t="inlineStr"/>
      <c r="K542" t="inlineStr"/>
      <c r="L542" t="inlineStr"/>
      <c r="M542" t="inlineStr"/>
      <c r="N542" t="inlineStr"/>
      <c r="O542" t="inlineStr"/>
      <c r="P542" t="inlineStr"/>
      <c r="Q542" t="inlineStr"/>
      <c r="R542" t="inlineStr"/>
      <c r="S542" t="inlineStr"/>
      <c r="T542" t="inlineStr"/>
      <c r="U542">
        <f>INDEX(FactorTable!$B$2:$Y$301, MATCH(ROUND(MIN(300,MAX(1,U541)),0), FactorTable!$A$2:$A$301,0), 22)</f>
        <v/>
      </c>
      <c r="V542" t="inlineStr"/>
    </row>
    <row r="543">
      <c r="A543">
        <f>Skills!A4</f>
        <v/>
      </c>
      <c r="B543">
        <f>Skills!B4</f>
        <v/>
      </c>
      <c r="C543">
        <f>Inputs!$B$3&gt;=105</f>
        <v/>
      </c>
      <c r="D543">
        <f>IF(Skills!C4=1,60+Inputs!$B$25+Inputs!$B$29,IF(Skills!C4=2,90+Inputs!$B$26+Inputs!$B$29,IF(Skills!C4=3,120+Inputs!$B$27+Inputs!$B$29,MAX(0,(Inputs!$B$3-100)*3)+Inputs!$B$28+Inputs!$B$29)))</f>
        <v/>
      </c>
      <c r="E543">
        <f>INDEX(FactorTable!$B$2:$Y$301, MATCH(ROUND(MIN(300,MAX(1,D543)),0), FactorTable!$A$2:$A$301,0), Skills!M4+1)</f>
        <v/>
      </c>
      <c r="F543">
        <f>IF(Skills!N4=TRUE,(Skills!L4/10)*(E543/1000),Skills!L4/10)+Skills!O4</f>
        <v/>
      </c>
      <c r="G543" t="inlineStr"/>
      <c r="H543" t="inlineStr"/>
      <c r="I543" t="inlineStr">
        <is>
          <t>1</t>
        </is>
      </c>
      <c r="J543" t="inlineStr"/>
      <c r="K543" t="inlineStr"/>
      <c r="L543" t="inlineStr"/>
      <c r="M543" t="inlineStr"/>
      <c r="N543" t="inlineStr"/>
      <c r="O543" t="inlineStr"/>
      <c r="P543" t="inlineStr"/>
      <c r="Q543" t="inlineStr"/>
      <c r="R543" t="inlineStr"/>
      <c r="S543" t="inlineStr"/>
      <c r="T543" t="inlineStr"/>
      <c r="U543">
        <f>290*U542/1000</f>
        <v/>
      </c>
      <c r="V543" t="inlineStr"/>
    </row>
    <row r="544">
      <c r="A544">
        <f>Skills!A5</f>
        <v/>
      </c>
      <c r="B544">
        <f>Skills!B5</f>
        <v/>
      </c>
      <c r="C544">
        <f>Inputs!$B$3&gt;=35</f>
        <v/>
      </c>
      <c r="D544">
        <f>IF(Skills!C5=1,60+Inputs!$B$25+Inputs!$B$29,IF(Skills!C5=2,90+Inputs!$B$26+Inputs!$B$29,IF(Skills!C5=3,120+Inputs!$B$27+Inputs!$B$29,MAX(0,(Inputs!$B$3-100)*3)+Inputs!$B$28+Inputs!$B$29)))</f>
        <v/>
      </c>
      <c r="E544">
        <f>INDEX(FactorTable!$B$2:$Y$301, MATCH(ROUND(MIN(300,MAX(1,D544)),0), FactorTable!$A$2:$A$301,0), Skills!M5+1)</f>
        <v/>
      </c>
      <c r="F544">
        <f>IF(Skills!N5=TRUE,(Skills!L5/10)*(E544/1000),Skills!L5/10)+Skills!O5</f>
        <v/>
      </c>
      <c r="G544">
        <f>Skills!G5*IF(Skills!H5&gt;0,Skills!I5/Skills!H5,1)</f>
        <v/>
      </c>
      <c r="H544">
        <f>1-(1-Skills!J5/100)^Skills!K5</f>
        <v/>
      </c>
      <c r="I544" t="inlineStr">
        <is>
          <t>1</t>
        </is>
      </c>
      <c r="J544">
        <f>((Inputs!$B$6*(1+Inputs!$B$7/100))+(((Inputs!$B$12*(1+Inputs!$B$13/100))-(Inputs!$B$12*(1+Inputs!$B$13/100)))+0.25*(Inputs!$B$14-Inputs!$B$14))*(1+Inputs!$B$7/100))*(F544/100)</f>
        <v/>
      </c>
      <c r="K544">
        <f>J544*(1+((Inputs!$B$12*(1+Inputs!$B$13/100))*0.01+Inputs!$B$14*0.0025)/100)*(1+Inputs!$B$15/100)*(1+Inputs!$B$16/100)*(5000/(6000+Inputs!$B$42*(1-(Inputs!$B$19+((C566=TRUE)*(F566-Calc!F27)))/100)))*(1+(Inputs!$B$24+((C564=TRUE)*(F564-Calc!F25))+((C565=TRUE)*(F565-Calc!F26))+B578)/100)*(1+4.0*IF(C549=TRUE,F549,0)/100)*(1+(IF(Skills!A5="ARROW_STREAM",Inputs!$B$17+((C562=TRUE)*(F562-Calc!F23)),Inputs!$B$18+((C567=TRUE)*(F567-Calc!F28))))/100)*((1+(((C552=TRUE)*F552)+((C553=TRUE)*IF(Inputs!$B$38="pvp",F553,(1-Summary!$B$55)*(F553)+Summary!$B$55*(0)))+((C554=TRUE)*F554*IF(AND(Inputs!$B$38&lt;&gt;"pvp",Inputs!$B$43&gt;0),(((R554-1)*(Skills!T15*(1+Inputs!$B$34/100))+MIN((Skills!T15*(1+Inputs!$B$34/100)),MAX(0,Inputs!$B$43-((R554-1)*Skills!D15))))/Inputs!$B$43),IF(Inputs!$B$38="pvp",MIN((Skills!T15*(1+Inputs!$B$34/100)),15)/15,(Skills!T15*(1+Inputs!$B$34/100))/Skills!D15)))+((C569=TRUE)*(F569-Calc!F30)))/100)*I544)</f>
        <v/>
      </c>
      <c r="L544">
        <f>K544*(MIN(Inputs!$B$22+((C563=TRUE)*(F563-Calc!F24)),Inputs!$B$23+((C568=TRUE)*(F568-Calc!F29)))/100+(Inputs!$B$23+((C568=TRUE)*(F568-Calc!F29)))/100)/2</f>
        <v/>
      </c>
      <c r="M544">
        <f>L544*(1+((Inputs!$B$10+1)+0+B577)/100)</f>
        <v/>
      </c>
      <c r="N544">
        <f>L544*(1-MIN((Inputs!$B$9+((C559=TRUE)*(F559-Calc!F20))+B572),100)/100)+M544*(MIN((Inputs!$B$9+((C559=TRUE)*(F559-Calc!F20))+B572),100)/100)</f>
        <v/>
      </c>
      <c r="O544">
        <f>(1-Summary!$B$55)*T544+Summary!$B$55*V544</f>
        <v/>
      </c>
      <c r="P544">
        <f>IF(B582=0,0,O544/B582)</f>
        <v/>
      </c>
      <c r="Q544">
        <f>IFERROR(1/IF(Inputs!$B$38="pvp",15,MAX(0.1,Skills!D5-IF(Skills!E5=TRUE,Inputs!$B$32,0))),0)</f>
        <v/>
      </c>
      <c r="R544">
        <f>IF(AND(Inputs!$B$38&lt;&gt;"pvp",Inputs!$B$43&gt;0),IF(MAX(0,Inputs!$B$43-B579)&lt;=0,0,(INT(MAX(0,Inputs!$B$43-B579)/IF(Inputs!$B$38="pvp",15,MAX(0.1,Skills!D5-IF(Skills!E5=TRUE,Inputs!$B$32,0))))+1)),0)</f>
        <v/>
      </c>
      <c r="S544">
        <f>IFERROR(O544/N544,0)</f>
        <v/>
      </c>
      <c r="T544">
        <f>IF(C544,(H544*N544*IF(AND(Inputs!$B$38&lt;&gt;"pvp",Inputs!$B$43&gt;0),((Skills!G5*((R544-1)*IF(Skills!H5&gt;0,Skills!I5/Skills!H5,1)+IF(Skills!H5&gt;0,MIN(Skills!I5,MAX(0,MAX(0,Inputs!$B$43-B579)-((R544-1)*IF(Inputs!$B$38="pvp",15,MAX(0.1,Skills!D5-IF(Skills!E5=TRUE,Inputs!$B$32,0))))))/Skills!H5,1)))/Inputs!$B$43),G544*Q544))*IF(Inputs!$B$38="pvp",1,1+(Inputs!$B$20+0+Skills!P5)/100),0)</f>
        <v/>
      </c>
      <c r="V544">
        <f>IF(C544,(H544*N544*IF(AND(Inputs!$B$38&lt;&gt;"pvp",Inputs!$B$43&gt;0),((Skills!G5*((R544-1)*IF(Skills!H5&gt;0,Skills!I5/Skills!H5,1)+IF(Skills!H5&gt;0,MIN(Skills!I5,MAX(0,MAX(0,Inputs!$B$43-B579)-((R544-1)*IF(Inputs!$B$38="pvp",15,MAX(0.1,Skills!D5-IF(Skills!E5=TRUE,Inputs!$B$32,0))))))/Skills!H5,1)))/Inputs!$B$43),G544*Q544))*IF(Inputs!$B$38="pvp",1,(1+(Inputs!$B$21+Skills!Q5)/100)*(MIN(Skills!R5,Inputs!$B$37))),0)</f>
        <v/>
      </c>
    </row>
    <row r="545">
      <c r="A545">
        <f>Skills!A6</f>
        <v/>
      </c>
      <c r="B545">
        <f>Skills!B6</f>
        <v/>
      </c>
      <c r="C545">
        <f>Inputs!$B$3&gt;=40</f>
        <v/>
      </c>
      <c r="D545">
        <f>IF(Skills!C6=1,60+Inputs!$B$25+Inputs!$B$29,IF(Skills!C6=2,90+Inputs!$B$26+Inputs!$B$29,IF(Skills!C6=3,120+Inputs!$B$27+Inputs!$B$29,MAX(0,(Inputs!$B$3-100)*3)+Inputs!$B$28+Inputs!$B$29)))</f>
        <v/>
      </c>
      <c r="E545">
        <f>INDEX(FactorTable!$B$2:$Y$301, MATCH(ROUND(MIN(300,MAX(1,D545)),0), FactorTable!$A$2:$A$301,0), Skills!M6+1)</f>
        <v/>
      </c>
      <c r="F545">
        <f>IF(Skills!N6=TRUE,(Skills!L6/10)*(E545/1000),Skills!L6/10)+Skills!O6</f>
        <v/>
      </c>
      <c r="G545">
        <f>Skills!G6*IF(Skills!H6&gt;0,Skills!I6/Skills!H6,1)</f>
        <v/>
      </c>
      <c r="H545">
        <f>1-(1-Skills!J6/100)^Skills!K6</f>
        <v/>
      </c>
      <c r="I545" t="inlineStr">
        <is>
          <t>1</t>
        </is>
      </c>
      <c r="J545">
        <f>((Inputs!$B$6*(1+Inputs!$B$7/100))+(((Inputs!$B$12*(1+Inputs!$B$13/100))-(Inputs!$B$12*(1+Inputs!$B$13/100)))+0.25*(Inputs!$B$14-Inputs!$B$14))*(1+Inputs!$B$7/100))*(F545/100)</f>
        <v/>
      </c>
      <c r="K545">
        <f>J545*(1+((Inputs!$B$12*(1+Inputs!$B$13/100))*0.01+Inputs!$B$14*0.0025)/100)*(1+Inputs!$B$15/100)*(1+Inputs!$B$16/100)*(5000/(6000+Inputs!$B$42*(1-(Inputs!$B$19+((C566=TRUE)*(F566-Calc!F27)))/100)))*(1+(Inputs!$B$24+((C564=TRUE)*(F564-Calc!F25))+((C565=TRUE)*(F565-Calc!F26))+B578)/100)*(1+IF(C546=TRUE,F546,0)/100)*(1+(IF(Skills!A6="ARROW_STREAM",Inputs!$B$17+((C562=TRUE)*(F562-Calc!F23)),Inputs!$B$18+((C567=TRUE)*(F567-Calc!F28))))/100)*((1+(((C552=TRUE)*F552)+((C553=TRUE)*IF(Inputs!$B$38="pvp",F553,(1-Summary!$B$55)*(F553)+Summary!$B$55*(0)))+((C554=TRUE)*F554*IF(AND(Inputs!$B$38&lt;&gt;"pvp",Inputs!$B$43&gt;0),(((R554-1)*(Skills!T15*(1+Inputs!$B$34/100))+MIN((Skills!T15*(1+Inputs!$B$34/100)),MAX(0,Inputs!$B$43-((R554-1)*Skills!D15))))/Inputs!$B$43),IF(Inputs!$B$38="pvp",MIN((Skills!T15*(1+Inputs!$B$34/100)),15)/15,(Skills!T15*(1+Inputs!$B$34/100))/Skills!D15)))+((C569=TRUE)*(F569-Calc!F30)))/100)*I545)</f>
        <v/>
      </c>
      <c r="L545">
        <f>K545*(MIN(Inputs!$B$22+((C563=TRUE)*(F563-Calc!F24)),Inputs!$B$23+((C568=TRUE)*(F568-Calc!F29)))/100+(Inputs!$B$23+((C568=TRUE)*(F568-Calc!F29)))/100)/2</f>
        <v/>
      </c>
      <c r="M545">
        <f>L545*(1+((Inputs!$B$10+1)+0+B577)/100)</f>
        <v/>
      </c>
      <c r="N545">
        <f>L545*(1-MIN((Inputs!$B$9+((C559=TRUE)*(F559-Calc!F20))+B572),100)/100)+M545*(MIN((Inputs!$B$9+((C559=TRUE)*(F559-Calc!F20))+B572),100)/100)</f>
        <v/>
      </c>
      <c r="O545">
        <f>(1-Summary!$B$55)*T545+Summary!$B$55*V545</f>
        <v/>
      </c>
      <c r="P545">
        <f>IF(B582=0,0,O545/B582)</f>
        <v/>
      </c>
      <c r="Q545">
        <f>IFERROR(1/IF(Inputs!$B$38="pvp",15,MAX(0.1,Skills!D6-IF(Skills!E6=TRUE,Inputs!$B$32,0))),0)</f>
        <v/>
      </c>
      <c r="R545">
        <f>IF(AND(Inputs!$B$38&lt;&gt;"pvp",Inputs!$B$43&gt;0),IF(MAX(0,Inputs!$B$43-B579)&lt;=0,0,(INT(MAX(0,Inputs!$B$43-B579)/IF(Inputs!$B$38="pvp",15,MAX(0.1,Skills!D6-IF(Skills!E6=TRUE,Inputs!$B$32,0))))+1)),0)</f>
        <v/>
      </c>
      <c r="S545">
        <f>IFERROR(O545/N545,0)</f>
        <v/>
      </c>
      <c r="T545">
        <f>IF(C545,(H545*N545*IF(AND(Inputs!$B$38&lt;&gt;"pvp",Inputs!$B$43&gt;0),((Skills!G6*((R545-1)*IF(Skills!H6&gt;0,Skills!I6/Skills!H6,1)+IF(Skills!H6&gt;0,MIN(Skills!I6,MAX(0,MAX(0,Inputs!$B$43-B579)-((R545-1)*IF(Inputs!$B$38="pvp",15,MAX(0.1,Skills!D6-IF(Skills!E6=TRUE,Inputs!$B$32,0))))))/Skills!H6,1)))/Inputs!$B$43),G545*Q545))*IF(Inputs!$B$38="pvp",1,1+(Inputs!$B$20+0+Skills!P6)/100),0)</f>
        <v/>
      </c>
      <c r="V545">
        <f>IF(C545,(H545*N545*IF(AND(Inputs!$B$38&lt;&gt;"pvp",Inputs!$B$43&gt;0),((Skills!G6*((R545-1)*IF(Skills!H6&gt;0,Skills!I6/Skills!H6,1)+IF(Skills!H6&gt;0,MIN(Skills!I6,MAX(0,MAX(0,Inputs!$B$43-B579)-((R545-1)*IF(Inputs!$B$38="pvp",15,MAX(0.1,Skills!D6-IF(Skills!E6=TRUE,Inputs!$B$32,0))))))/Skills!H6,1)))/Inputs!$B$43),G545*Q545))*IF(Inputs!$B$38="pvp",1,(1+(Inputs!$B$21+Skills!Q6)/100)*(MIN(Skills!R6,Inputs!$B$37))),0)</f>
        <v/>
      </c>
    </row>
    <row r="546">
      <c r="A546">
        <f>Skills!A7</f>
        <v/>
      </c>
      <c r="B546">
        <f>Skills!B7</f>
        <v/>
      </c>
      <c r="C546">
        <f>Inputs!$B$3&gt;=107</f>
        <v/>
      </c>
      <c r="D546">
        <f>IF(Skills!C7=1,60+Inputs!$B$25+Inputs!$B$29,IF(Skills!C7=2,90+Inputs!$B$26+Inputs!$B$29,IF(Skills!C7=3,120+Inputs!$B$27+Inputs!$B$29,MAX(0,(Inputs!$B$3-100)*3)+Inputs!$B$28+Inputs!$B$29)))</f>
        <v/>
      </c>
      <c r="E546">
        <f>INDEX(FactorTable!$B$2:$Y$301, MATCH(ROUND(MIN(300,MAX(1,D546)),0), FactorTable!$A$2:$A$301,0), Skills!M7+1)</f>
        <v/>
      </c>
      <c r="F546">
        <f>IF(Skills!N7=TRUE,(Skills!L7/10)*(E546/1000),Skills!L7/10)+Skills!O7</f>
        <v/>
      </c>
      <c r="G546" t="inlineStr"/>
      <c r="H546" t="inlineStr"/>
      <c r="I546" t="inlineStr">
        <is>
          <t>1</t>
        </is>
      </c>
      <c r="J546" t="inlineStr"/>
      <c r="K546" t="inlineStr"/>
      <c r="L546" t="inlineStr"/>
      <c r="M546" t="inlineStr"/>
      <c r="N546" t="inlineStr"/>
      <c r="O546" t="inlineStr"/>
      <c r="P546" t="inlineStr"/>
      <c r="Q546" t="inlineStr"/>
      <c r="R546" t="inlineStr"/>
      <c r="S546" t="inlineStr"/>
      <c r="T546" t="inlineStr"/>
      <c r="V546" t="inlineStr"/>
    </row>
    <row r="547">
      <c r="A547">
        <f>Skills!A8</f>
        <v/>
      </c>
      <c r="B547">
        <f>Skills!B8</f>
        <v/>
      </c>
      <c r="C547">
        <f>Inputs!$B$3&gt;=69</f>
        <v/>
      </c>
      <c r="D547">
        <f>IF(Skills!C8=1,60+Inputs!$B$25+Inputs!$B$29,IF(Skills!C8=2,90+Inputs!$B$26+Inputs!$B$29,IF(Skills!C8=3,120+Inputs!$B$27+Inputs!$B$29,MAX(0,(Inputs!$B$3-100)*3)+Inputs!$B$28+Inputs!$B$29)))</f>
        <v/>
      </c>
      <c r="E547">
        <f>INDEX(FactorTable!$B$2:$Y$301, MATCH(ROUND(MIN(300,MAX(1,D547)),0), FactorTable!$A$2:$A$301,0), Skills!M8+1)</f>
        <v/>
      </c>
      <c r="F547">
        <f>IF(Skills!N8=TRUE,(Skills!L8/10)*(E547/1000),Skills!L8/10)+Skills!O8</f>
        <v/>
      </c>
      <c r="G547">
        <f>Skills!G8*IF(Skills!H8&gt;0,Skills!I8/Skills!H8,1)</f>
        <v/>
      </c>
      <c r="H547">
        <f>1-(1-Skills!J8/100)^Skills!K8</f>
        <v/>
      </c>
      <c r="I547" t="inlineStr">
        <is>
          <t>1</t>
        </is>
      </c>
      <c r="J547">
        <f>((Inputs!$B$6*(1+Inputs!$B$7/100))+(((Inputs!$B$12*(1+Inputs!$B$13/100))-(Inputs!$B$12*(1+Inputs!$B$13/100)))+0.25*(Inputs!$B$14-Inputs!$B$14))*(1+Inputs!$B$7/100))*(F547/100)</f>
        <v/>
      </c>
      <c r="K547">
        <f>J547*(1+((Inputs!$B$12*(1+Inputs!$B$13/100))*0.01+Inputs!$B$14*0.0025)/100)*(1+Inputs!$B$15/100)*(1+Inputs!$B$16/100)*(5000/(6000+Inputs!$B$42*(1-(Inputs!$B$19+((C566=TRUE)*(F566-Calc!F27)))/100)))*(1+(Inputs!$B$24+((C564=TRUE)*(F564-Calc!F25))+((C565=TRUE)*(F565-Calc!F26))+B578)/100)*(1+1.2*IF(C549=TRUE,F549,0)/100)*(1+(IF(Skills!A8="ARROW_STREAM",Inputs!$B$17+((C562=TRUE)*(F562-Calc!F23)),Inputs!$B$18+((C567=TRUE)*(F567-Calc!F28))))/100)*((1+(((C552=TRUE)*F552)+((C553=TRUE)*IF(Inputs!$B$38="pvp",F553,(1-Summary!$B$55)*(F553)+Summary!$B$55*(0)))+((C554=TRUE)*F554*IF(AND(Inputs!$B$38&lt;&gt;"pvp",Inputs!$B$43&gt;0),(((R554-1)*(Skills!T15*(1+Inputs!$B$34/100))+MIN((Skills!T15*(1+Inputs!$B$34/100)),MAX(0,Inputs!$B$43-((R554-1)*Skills!D15))))/Inputs!$B$43),IF(Inputs!$B$38="pvp",MIN((Skills!T15*(1+Inputs!$B$34/100)),15)/15,(Skills!T15*(1+Inputs!$B$34/100))/Skills!D15)))+((C569=TRUE)*(F569-Calc!F30)))/100)*I547)</f>
        <v/>
      </c>
      <c r="L547">
        <f>K547*(MIN(Inputs!$B$22+((C563=TRUE)*(F563-Calc!F24)),Inputs!$B$23+((C568=TRUE)*(F568-Calc!F29)))/100+(Inputs!$B$23+((C568=TRUE)*(F568-Calc!F29)))/100)/2</f>
        <v/>
      </c>
      <c r="M547">
        <f>L547*(1+((Inputs!$B$10+1)+0+B577)/100)</f>
        <v/>
      </c>
      <c r="N547">
        <f>L547*(1-MIN((Inputs!$B$9+((C559=TRUE)*(F559-Calc!F20))+B572),100)/100)+M547*(MIN((Inputs!$B$9+((C559=TRUE)*(F559-Calc!F20))+B572),100)/100)</f>
        <v/>
      </c>
      <c r="O547">
        <f>(1-Summary!$B$55)*T547+Summary!$B$55*V547</f>
        <v/>
      </c>
      <c r="P547">
        <f>IF(B582=0,0,O547/B582)</f>
        <v/>
      </c>
      <c r="Q547">
        <f>IFERROR(1/IF(Inputs!$B$38="pvp",15,MAX(0.1,Skills!D8-IF(Skills!E8=TRUE,Inputs!$B$32,0))),0)</f>
        <v/>
      </c>
      <c r="R547">
        <f>IF(AND(Inputs!$B$38&lt;&gt;"pvp",Inputs!$B$43&gt;0),IF(MAX(0,Inputs!$B$43-B579)&lt;=0,0,(INT(MAX(0,Inputs!$B$43-B579)/IF(Inputs!$B$38="pvp",15,MAX(0.1,Skills!D8-IF(Skills!E8=TRUE,Inputs!$B$32,0))))+1)),0)</f>
        <v/>
      </c>
      <c r="S547">
        <f>IFERROR(O547/N547,0)</f>
        <v/>
      </c>
      <c r="T547">
        <f>IF(C547,(H547*N547*IF(AND(Inputs!$B$38&lt;&gt;"pvp",Inputs!$B$43&gt;0),((Skills!G8*((R547-1)*IF(Skills!H8&gt;0,Skills!I8/Skills!H8,1)+IF(Skills!H8&gt;0,MIN(Skills!I8,MAX(0,MAX(0,Inputs!$B$43-B579)-((R547-1)*IF(Inputs!$B$38="pvp",15,MAX(0.1,Skills!D8-IF(Skills!E8=TRUE,Inputs!$B$32,0))))))/Skills!H8,1)))/Inputs!$B$43),G547*Q547))*IF(Inputs!$B$38="pvp",1,1+(Inputs!$B$20+0+Skills!P8)/100),0)</f>
        <v/>
      </c>
      <c r="V547">
        <f>IF(C547,(H547*N547*IF(AND(Inputs!$B$38&lt;&gt;"pvp",Inputs!$B$43&gt;0),((Skills!G8*((R547-1)*IF(Skills!H8&gt;0,Skills!I8/Skills!H8,1)+IF(Skills!H8&gt;0,MIN(Skills!I8,MAX(0,MAX(0,Inputs!$B$43-B579)-((R547-1)*IF(Inputs!$B$38="pvp",15,MAX(0.1,Skills!D8-IF(Skills!E8=TRUE,Inputs!$B$32,0))))))/Skills!H8,1)))/Inputs!$B$43),G547*Q547))*IF(Inputs!$B$38="pvp",1,(1+(Inputs!$B$21+Skills!Q8)/100)*(MIN(Skills!R8,Inputs!$B$37))),0)</f>
        <v/>
      </c>
    </row>
    <row r="548">
      <c r="A548">
        <f>Skills!A9</f>
        <v/>
      </c>
      <c r="B548">
        <f>Skills!B9</f>
        <v/>
      </c>
      <c r="C548">
        <f>Inputs!$B$3&gt;=63</f>
        <v/>
      </c>
      <c r="D548">
        <f>IF(Skills!C9=1,60+Inputs!$B$25+Inputs!$B$29,IF(Skills!C9=2,90+Inputs!$B$26+Inputs!$B$29,IF(Skills!C9=3,120+Inputs!$B$27+Inputs!$B$29,MAX(0,(Inputs!$B$3-100)*3)+Inputs!$B$28+Inputs!$B$29)))</f>
        <v/>
      </c>
      <c r="E548">
        <f>INDEX(FactorTable!$B$2:$Y$301, MATCH(ROUND(MIN(300,MAX(1,D548)),0), FactorTable!$A$2:$A$301,0), Skills!M9+1)</f>
        <v/>
      </c>
      <c r="F548">
        <f>IF(Skills!N9=TRUE,(Skills!L9/10)*(E548/1000),Skills!L9/10)+Skills!O9</f>
        <v/>
      </c>
      <c r="G548">
        <f>Skills!G9*IF(Skills!H9&gt;0,Skills!I9/Skills!H9,1)</f>
        <v/>
      </c>
      <c r="H548">
        <f>1-(1-Skills!J9/100)^Skills!K9</f>
        <v/>
      </c>
      <c r="I548" t="inlineStr">
        <is>
          <t>1</t>
        </is>
      </c>
      <c r="J548">
        <f>((Inputs!$B$6*(1+Inputs!$B$7/100))+(((Inputs!$B$12*(1+Inputs!$B$13/100))-(Inputs!$B$12*(1+Inputs!$B$13/100)))+0.25*(Inputs!$B$14-Inputs!$B$14))*(1+Inputs!$B$7/100))*(F548/100)</f>
        <v/>
      </c>
      <c r="K548">
        <f>J548*(1+((Inputs!$B$12*(1+Inputs!$B$13/100))*0.01+Inputs!$B$14*0.0025)/100)*(1+Inputs!$B$15/100)*(1+Inputs!$B$16/100)*(5000/(6000+Inputs!$B$42*(1-(Inputs!$B$19+((C566=TRUE)*(F566-Calc!F27)))/100)))*(1+(Inputs!$B$24+((C564=TRUE)*(F564-Calc!F25))+((C565=TRUE)*(F565-Calc!F26))+B578)/100)*(1+1.0*IF(C549=TRUE,F549,0)/100)*(1+(IF(Skills!A9="ARROW_STREAM",Inputs!$B$17+((C562=TRUE)*(F562-Calc!F23)),Inputs!$B$18+((C567=TRUE)*(F567-Calc!F28))))/100)*((1+(((C552=TRUE)*F552)+((C553=TRUE)*IF(Inputs!$B$38="pvp",F553,(1-Summary!$B$55)*(F553)+Summary!$B$55*(0)))+((C554=TRUE)*F554*IF(AND(Inputs!$B$38&lt;&gt;"pvp",Inputs!$B$43&gt;0),(((R554-1)*(Skills!T15*(1+Inputs!$B$34/100))+MIN((Skills!T15*(1+Inputs!$B$34/100)),MAX(0,Inputs!$B$43-((R554-1)*Skills!D15))))/Inputs!$B$43),IF(Inputs!$B$38="pvp",MIN((Skills!T15*(1+Inputs!$B$34/100)),15)/15,(Skills!T15*(1+Inputs!$B$34/100))/Skills!D15)))+((C569=TRUE)*(F569-Calc!F30)))/100)*I548)</f>
        <v/>
      </c>
      <c r="L548">
        <f>K548*(MIN(Inputs!$B$22+((C563=TRUE)*(F563-Calc!F24)),Inputs!$B$23+((C568=TRUE)*(F568-Calc!F29)))/100+(Inputs!$B$23+((C568=TRUE)*(F568-Calc!F29)))/100)/2</f>
        <v/>
      </c>
      <c r="M548">
        <f>L548*(1+((Inputs!$B$10+1)+0+B577)/100)</f>
        <v/>
      </c>
      <c r="N548">
        <f>L548*(1-MIN((Inputs!$B$9+((C559=TRUE)*(F559-Calc!F20))+B572),100)/100)+M548*(MIN((Inputs!$B$9+((C559=TRUE)*(F559-Calc!F20))+B572),100)/100)</f>
        <v/>
      </c>
      <c r="O548">
        <f>(1-Summary!$B$55)*T548+Summary!$B$55*V548</f>
        <v/>
      </c>
      <c r="P548">
        <f>IF(B582=0,0,O548/B582)</f>
        <v/>
      </c>
      <c r="Q548">
        <f>IFERROR(1/IF(Inputs!$B$38="pvp",15,MAX(0.1,Skills!D9-IF(Skills!E9=TRUE,Inputs!$B$32,0))),0)</f>
        <v/>
      </c>
      <c r="R548">
        <f>IF(AND(Inputs!$B$38&lt;&gt;"pvp",Inputs!$B$43&gt;0),IF(MAX(0,Inputs!$B$43-B579)&lt;=0,0,(INT(MAX(0,Inputs!$B$43-B579)/IF(Inputs!$B$38="pvp",15,MAX(0.1,Skills!D9-IF(Skills!E9=TRUE,Inputs!$B$32,0))))+1)),0)</f>
        <v/>
      </c>
      <c r="S548">
        <f>IFERROR(O548/N548,0)</f>
        <v/>
      </c>
      <c r="T548">
        <f>IF(C548,(H548*N548*IF(AND(Inputs!$B$38&lt;&gt;"pvp",Inputs!$B$43&gt;0),((Skills!G9*((R548-1)*IF(Skills!H9&gt;0,Skills!I9/Skills!H9,1)+IF(Skills!H9&gt;0,MIN(Skills!I9,MAX(0,MAX(0,Inputs!$B$43-B579)-((R548-1)*IF(Inputs!$B$38="pvp",15,MAX(0.1,Skills!D9-IF(Skills!E9=TRUE,Inputs!$B$32,0))))))/Skills!H9,1)))/Inputs!$B$43),G548*Q548))*IF(Inputs!$B$38="pvp",1,1+(Inputs!$B$20+0+Skills!P9)/100),0)</f>
        <v/>
      </c>
      <c r="V548">
        <f>IF(C548,(H548*N548*IF(AND(Inputs!$B$38&lt;&gt;"pvp",Inputs!$B$43&gt;0),((Skills!G9*((R548-1)*IF(Skills!H9&gt;0,Skills!I9/Skills!H9,1)+IF(Skills!H9&gt;0,MIN(Skills!I9,MAX(0,MAX(0,Inputs!$B$43-B579)-((R548-1)*IF(Inputs!$B$38="pvp",15,MAX(0.1,Skills!D9-IF(Skills!E9=TRUE,Inputs!$B$32,0))))))/Skills!H9,1)))/Inputs!$B$43),G548*Q548))*IF(Inputs!$B$38="pvp",1,(1+(Inputs!$B$21+Skills!Q9)/100)*(MIN(Skills!R9,Inputs!$B$37))),0)</f>
        <v/>
      </c>
    </row>
    <row r="549">
      <c r="A549">
        <f>Skills!A10</f>
        <v/>
      </c>
      <c r="B549">
        <f>Skills!B10</f>
        <v/>
      </c>
      <c r="C549">
        <f>Inputs!$B$3&gt;=100</f>
        <v/>
      </c>
      <c r="D549">
        <f>IF(Skills!C10=1,60+Inputs!$B$25+Inputs!$B$29,IF(Skills!C10=2,90+Inputs!$B$26+Inputs!$B$29,IF(Skills!C10=3,120+Inputs!$B$27+Inputs!$B$29,MAX(0,(Inputs!$B$3-100)*3)+Inputs!$B$28+Inputs!$B$29)))</f>
        <v/>
      </c>
      <c r="E549">
        <f>INDEX(FactorTable!$B$2:$Y$301, MATCH(ROUND(MIN(300,MAX(1,D549)),0), FactorTable!$A$2:$A$301,0), Skills!M10+1)</f>
        <v/>
      </c>
      <c r="F549">
        <f>IF(Skills!N10=TRUE,(Skills!L10/10)*(E549/1000),Skills!L10/10)+Skills!O10</f>
        <v/>
      </c>
      <c r="G549" t="inlineStr"/>
      <c r="H549" t="inlineStr"/>
      <c r="I549" t="inlineStr">
        <is>
          <t>1</t>
        </is>
      </c>
      <c r="J549" t="inlineStr"/>
      <c r="K549" t="inlineStr"/>
      <c r="L549" t="inlineStr"/>
      <c r="M549" t="inlineStr"/>
      <c r="N549" t="inlineStr"/>
      <c r="O549" t="inlineStr"/>
      <c r="P549" t="inlineStr"/>
      <c r="Q549" t="inlineStr"/>
      <c r="R549" t="inlineStr"/>
      <c r="S549" t="inlineStr"/>
      <c r="T549" t="inlineStr"/>
      <c r="V549" t="inlineStr"/>
    </row>
    <row r="550">
      <c r="A550">
        <f>Skills!A11</f>
        <v/>
      </c>
      <c r="B550">
        <f>Skills!B11</f>
        <v/>
      </c>
      <c r="C550">
        <f>Inputs!$B$3&gt;=60</f>
        <v/>
      </c>
      <c r="D550">
        <f>IF(Skills!C11=1,60+Inputs!$B$25+Inputs!$B$29,IF(Skills!C11=2,90+Inputs!$B$26+Inputs!$B$29,IF(Skills!C11=3,120+Inputs!$B$27+Inputs!$B$29,MAX(0,(Inputs!$B$3-100)*3)+Inputs!$B$28+Inputs!$B$29)))</f>
        <v/>
      </c>
      <c r="E550">
        <f>INDEX(FactorTable!$B$2:$Y$301, MATCH(ROUND(MIN(300,MAX(1,D550)),0), FactorTable!$A$2:$A$301,0), Skills!M11+1)</f>
        <v/>
      </c>
      <c r="F550">
        <f>IF(Skills!N11=TRUE,(Skills!L11/10)*(E550/1000),Skills!L11/10)+Skills!O11</f>
        <v/>
      </c>
      <c r="G550">
        <f>Skills!G11*IF(Skills!H11&gt;0,Skills!I11/Skills!H11,1)</f>
        <v/>
      </c>
      <c r="H550">
        <f>1-(1-Skills!J11/100)^Skills!K11</f>
        <v/>
      </c>
      <c r="I550" t="inlineStr">
        <is>
          <t>1</t>
        </is>
      </c>
      <c r="J550">
        <f>((Inputs!$B$6*(1+Inputs!$B$7/100))+(((Inputs!$B$12*(1+Inputs!$B$13/100))-(Inputs!$B$12*(1+Inputs!$B$13/100)))+0.25*(Inputs!$B$14-Inputs!$B$14))*(1+Inputs!$B$7/100))*(F550/100)</f>
        <v/>
      </c>
      <c r="K550">
        <f>J550*(1+((Inputs!$B$12*(1+Inputs!$B$13/100))*0.01+Inputs!$B$14*0.0025)/100)*(1+Inputs!$B$15/100)*(1+Inputs!$B$16/100)*(5000/(6000+Inputs!$B$42*(1-(Inputs!$B$19+((C566=TRUE)*(F566-Calc!F27)))/100)))*(1+(Inputs!$B$24+((C564=TRUE)*(F564-Calc!F25))+((C565=TRUE)*(F565-Calc!F26))+B578)/100)*(1+IF(C551=TRUE,F551,0)/100)*(1+(IF(Skills!A11="ARROW_STREAM",Inputs!$B$17+((C562=TRUE)*(F562-Calc!F23)),Inputs!$B$18+((C567=TRUE)*(F567-Calc!F28))))/100)*((1+(((C552=TRUE)*F552)+((C553=TRUE)*IF(Inputs!$B$38="pvp",F553,(1-Summary!$B$55)*(F553)+Summary!$B$55*(0)))+((C554=TRUE)*F554*IF(AND(Inputs!$B$38&lt;&gt;"pvp",Inputs!$B$43&gt;0),(((R554-1)*(Skills!T15*(1+Inputs!$B$34/100))+MIN((Skills!T15*(1+Inputs!$B$34/100)),MAX(0,Inputs!$B$43-((R554-1)*Skills!D15))))/Inputs!$B$43),IF(Inputs!$B$38="pvp",MIN((Skills!T15*(1+Inputs!$B$34/100)),15)/15,(Skills!T15*(1+Inputs!$B$34/100))/Skills!D15)))+((C569=TRUE)*(F569-Calc!F30)))/100)*I550)</f>
        <v/>
      </c>
      <c r="L550">
        <f>K550*(MIN(Inputs!$B$22+((C563=TRUE)*(F563-Calc!F24)),Inputs!$B$23+((C568=TRUE)*(F568-Calc!F29)))/100+(Inputs!$B$23+((C568=TRUE)*(F568-Calc!F29)))/100)/2</f>
        <v/>
      </c>
      <c r="M550">
        <f>L550*(1+((Inputs!$B$10+1)+0+B577)/100)</f>
        <v/>
      </c>
      <c r="N550">
        <f>L550*(1-MIN((Inputs!$B$9+((C559=TRUE)*(F559-Calc!F20))+B572),100)/100)+M550*(MIN((Inputs!$B$9+((C559=TRUE)*(F559-Calc!F20))+B572),100)/100)</f>
        <v/>
      </c>
      <c r="O550">
        <f>(1-Summary!$B$55)*T550+Summary!$B$55*V550</f>
        <v/>
      </c>
      <c r="P550">
        <f>IF(B582=0,0,O550/B582)</f>
        <v/>
      </c>
      <c r="Q550">
        <f>IFERROR(1/IF(Inputs!$B$38="pvp",15,MAX(0.1,Skills!D11-IF(Skills!E11=TRUE,Inputs!$B$32,0))),0)</f>
        <v/>
      </c>
      <c r="R550">
        <f>IF(AND(Inputs!$B$38&lt;&gt;"pvp",Inputs!$B$43&gt;0),IF(MAX(0,Inputs!$B$43-B579)&lt;=0,0,(INT(MAX(0,Inputs!$B$43-B579)/IF(Inputs!$B$38="pvp",15,MAX(0.1,Skills!D11-IF(Skills!E11=TRUE,Inputs!$B$32,0))))+1)),0)</f>
        <v/>
      </c>
      <c r="S550">
        <f>IFERROR(O550/N550,0)</f>
        <v/>
      </c>
      <c r="T550">
        <f>IF(C550,(H550*N550*IF(AND(Inputs!$B$38&lt;&gt;"pvp",Inputs!$B$43&gt;0),((Skills!G11*((R550-1)*IF(Skills!H11&gt;0,Skills!I11/Skills!H11,1)+IF(Skills!H11&gt;0,MIN(Skills!I11,MAX(0,MAX(0,Inputs!$B$43-B579)-((R550-1)*IF(Inputs!$B$38="pvp",15,MAX(0.1,Skills!D11-IF(Skills!E11=TRUE,Inputs!$B$32,0))))))/Skills!H11,1)))/Inputs!$B$43),G550*Q550))*IF(Inputs!$B$38="pvp",1,1+(Inputs!$B$20+0+Skills!P11)/100),0)</f>
        <v/>
      </c>
      <c r="V550">
        <f>IF(C550,(H550*N550*IF(AND(Inputs!$B$38&lt;&gt;"pvp",Inputs!$B$43&gt;0),((Skills!G11*((R550-1)*IF(Skills!H11&gt;0,Skills!I11/Skills!H11,1)+IF(Skills!H11&gt;0,MIN(Skills!I11,MAX(0,MAX(0,Inputs!$B$43-B579)-((R550-1)*IF(Inputs!$B$38="pvp",15,MAX(0.1,Skills!D11-IF(Skills!E11=TRUE,Inputs!$B$32,0))))))/Skills!H11,1)))/Inputs!$B$43),G550*Q550))*IF(Inputs!$B$38="pvp",1,(1+(Inputs!$B$21+Skills!Q11)/100)*(MIN(Skills!R11,Inputs!$B$37))),0)</f>
        <v/>
      </c>
    </row>
    <row r="551">
      <c r="A551">
        <f>Skills!A12</f>
        <v/>
      </c>
      <c r="B551">
        <f>Skills!B12</f>
        <v/>
      </c>
      <c r="C551">
        <f>Inputs!$B$3&gt;=110</f>
        <v/>
      </c>
      <c r="D551">
        <f>IF(Skills!C12=1,60+Inputs!$B$25+Inputs!$B$29,IF(Skills!C12=2,90+Inputs!$B$26+Inputs!$B$29,IF(Skills!C12=3,120+Inputs!$B$27+Inputs!$B$29,MAX(0,(Inputs!$B$3-100)*3)+Inputs!$B$28+Inputs!$B$29)))</f>
        <v/>
      </c>
      <c r="E551">
        <f>INDEX(FactorTable!$B$2:$Y$301, MATCH(ROUND(MIN(300,MAX(1,D551)),0), FactorTable!$A$2:$A$301,0), Skills!M12+1)</f>
        <v/>
      </c>
      <c r="F551">
        <f>IF(Skills!N12=TRUE,(Skills!L12/10)*(E551/1000),Skills!L12/10)+Skills!O12</f>
        <v/>
      </c>
      <c r="G551" t="inlineStr"/>
      <c r="H551" t="inlineStr"/>
      <c r="I551" t="inlineStr">
        <is>
          <t>1</t>
        </is>
      </c>
      <c r="J551" t="inlineStr"/>
      <c r="K551" t="inlineStr"/>
      <c r="L551" t="inlineStr"/>
      <c r="M551" t="inlineStr"/>
      <c r="N551" t="inlineStr"/>
      <c r="O551" t="inlineStr"/>
      <c r="P551" t="inlineStr"/>
      <c r="Q551" t="inlineStr"/>
      <c r="R551" t="inlineStr"/>
      <c r="S551" t="inlineStr"/>
      <c r="T551" t="inlineStr"/>
      <c r="V551" t="inlineStr"/>
    </row>
    <row r="552">
      <c r="A552">
        <f>Skills!A13</f>
        <v/>
      </c>
      <c r="B552">
        <f>Skills!B13</f>
        <v/>
      </c>
      <c r="C552">
        <f>Inputs!$B$3&gt;=74</f>
        <v/>
      </c>
      <c r="D552">
        <f>IF(Skills!C13=1,60+Inputs!$B$25+Inputs!$B$29,IF(Skills!C13=2,90+Inputs!$B$26+Inputs!$B$29,IF(Skills!C13=3,120+Inputs!$B$27+Inputs!$B$29,MAX(0,(Inputs!$B$3-100)*3)+Inputs!$B$28+Inputs!$B$29)))</f>
        <v/>
      </c>
      <c r="E552">
        <f>INDEX(FactorTable!$B$2:$Y$301, MATCH(ROUND(MIN(300,MAX(1,D552)),0), FactorTable!$A$2:$A$301,0), Skills!M13+1)</f>
        <v/>
      </c>
      <c r="F552">
        <f>IF(Skills!N13=TRUE,(Skills!L13/10)*(E552/1000),Skills!L13/10)+Skills!O13</f>
        <v/>
      </c>
      <c r="G552">
        <f>Skills!G13*IF(Skills!H13&gt;0,Skills!I13/Skills!H13,1)</f>
        <v/>
      </c>
      <c r="H552">
        <f>1-(1-Skills!J13/100)^Skills!K13</f>
        <v/>
      </c>
      <c r="I552" t="inlineStr">
        <is>
          <t>1</t>
        </is>
      </c>
      <c r="J552" t="inlineStr"/>
      <c r="K552" t="inlineStr"/>
      <c r="L552" t="inlineStr"/>
      <c r="M552" t="inlineStr"/>
      <c r="N552" t="inlineStr"/>
      <c r="O552">
        <f>(1-Summary!$B$55)*T552+Summary!$B$55*V552</f>
        <v/>
      </c>
      <c r="P552">
        <f>IF(B582=0,0,O552/B582)</f>
        <v/>
      </c>
      <c r="Q552" t="n">
        <v>0</v>
      </c>
      <c r="R552" t="n">
        <v>0</v>
      </c>
      <c r="S552">
        <f>IFERROR(O552/N552,0)</f>
        <v/>
      </c>
      <c r="T552" t="n">
        <v>0</v>
      </c>
      <c r="V552" t="n">
        <v>0</v>
      </c>
    </row>
    <row r="553">
      <c r="A553">
        <f>Skills!A14</f>
        <v/>
      </c>
      <c r="B553">
        <f>Skills!B14</f>
        <v/>
      </c>
      <c r="C553">
        <f>Inputs!$B$3&gt;=74</f>
        <v/>
      </c>
      <c r="D553">
        <f>IF(Skills!C14=1,60+Inputs!$B$25+Inputs!$B$29,IF(Skills!C14=2,90+Inputs!$B$26+Inputs!$B$29,IF(Skills!C14=3,120+Inputs!$B$27+Inputs!$B$29,MAX(0,(Inputs!$B$3-100)*3)+Inputs!$B$28+Inputs!$B$29)))</f>
        <v/>
      </c>
      <c r="E553">
        <f>INDEX(FactorTable!$B$2:$Y$301, MATCH(ROUND(MIN(300,MAX(1,D553)),0), FactorTable!$A$2:$A$301,0), Skills!M14+1)</f>
        <v/>
      </c>
      <c r="F553">
        <f>IF(Skills!N14=TRUE,(Skills!L14/10)*(E553/1000),Skills!L14/10)+Skills!O14</f>
        <v/>
      </c>
      <c r="G553">
        <f>Skills!G14*IF(Skills!H14&gt;0,Skills!I14/Skills!H14,1)</f>
        <v/>
      </c>
      <c r="H553">
        <f>1-(1-Skills!J14/100)^Skills!K14</f>
        <v/>
      </c>
      <c r="I553" t="inlineStr">
        <is>
          <t>1</t>
        </is>
      </c>
      <c r="J553" t="inlineStr"/>
      <c r="K553" t="inlineStr"/>
      <c r="L553" t="inlineStr"/>
      <c r="M553" t="inlineStr"/>
      <c r="N553" t="inlineStr"/>
      <c r="O553">
        <f>(1-Summary!$B$55)*T553+Summary!$B$55*V553</f>
        <v/>
      </c>
      <c r="P553">
        <f>IF(B582=0,0,O553/B582)</f>
        <v/>
      </c>
      <c r="Q553" t="n">
        <v>0</v>
      </c>
      <c r="R553" t="n">
        <v>0</v>
      </c>
      <c r="S553">
        <f>IFERROR(O553/N553,0)</f>
        <v/>
      </c>
      <c r="T553" t="n">
        <v>0</v>
      </c>
      <c r="V553" t="n">
        <v>0</v>
      </c>
    </row>
    <row r="554">
      <c r="A554">
        <f>Skills!A15</f>
        <v/>
      </c>
      <c r="B554">
        <f>Skills!B15</f>
        <v/>
      </c>
      <c r="C554">
        <f>Inputs!$B$3&gt;=117</f>
        <v/>
      </c>
      <c r="D554">
        <f>IF(Skills!C15=1,60+Inputs!$B$25+Inputs!$B$29,IF(Skills!C15=2,90+Inputs!$B$26+Inputs!$B$29,IF(Skills!C15=3,120+Inputs!$B$27+Inputs!$B$29,MAX(0,(Inputs!$B$3-100)*3)+Inputs!$B$28+Inputs!$B$29)))</f>
        <v/>
      </c>
      <c r="E554">
        <f>INDEX(FactorTable!$B$2:$Y$301, MATCH(ROUND(MIN(300,MAX(1,D554)),0), FactorTable!$A$2:$A$301,0), Skills!M15+1)</f>
        <v/>
      </c>
      <c r="F554">
        <f>IF(Skills!N15=TRUE,(Skills!L15/10)*(E554/1000),Skills!L15/10)+Skills!O15</f>
        <v/>
      </c>
      <c r="G554">
        <f>Skills!G15*IF(Skills!H15&gt;0,Skills!I15/Skills!H15,1)</f>
        <v/>
      </c>
      <c r="H554">
        <f>1-(1-Skills!J15/100)^Skills!K15</f>
        <v/>
      </c>
      <c r="I554" t="inlineStr">
        <is>
          <t>1</t>
        </is>
      </c>
      <c r="J554" t="inlineStr"/>
      <c r="K554" t="inlineStr"/>
      <c r="L554" t="inlineStr"/>
      <c r="M554" t="inlineStr"/>
      <c r="N554" t="inlineStr"/>
      <c r="O554">
        <f>(1-Summary!$B$55)*T554+Summary!$B$55*V554</f>
        <v/>
      </c>
      <c r="P554">
        <f>IF(B582=0,0,O554/B582)</f>
        <v/>
      </c>
      <c r="Q554">
        <f>IFERROR(1/IF(Inputs!$B$38="pvp",15,MAX(0.1,Skills!D15-IF(Skills!E15=TRUE,Inputs!$B$32,0))),0)</f>
        <v/>
      </c>
      <c r="R554">
        <f>IF(AND(Inputs!$B$38&lt;&gt;"pvp",Inputs!$B$43&gt;0),IF(Inputs!$B$43&lt;=0,0,(INT(Inputs!$B$43/IF(Inputs!$B$38="pvp",15,MAX(0.1,Skills!D15-IF(Skills!E15=TRUE,Inputs!$B$32,0))))+1)),0)</f>
        <v/>
      </c>
      <c r="S554">
        <f>IFERROR(O554/N554,0)</f>
        <v/>
      </c>
      <c r="T554" t="n">
        <v>0</v>
      </c>
      <c r="V554" t="n">
        <v>0</v>
      </c>
    </row>
    <row r="555">
      <c r="A555">
        <f>Skills!A16</f>
        <v/>
      </c>
      <c r="B555">
        <f>Skills!B16</f>
        <v/>
      </c>
      <c r="C555">
        <f>Inputs!$B$3&gt;=115</f>
        <v/>
      </c>
      <c r="D555">
        <f>IF(Skills!C16=1,60+Inputs!$B$25+Inputs!$B$29,IF(Skills!C16=2,90+Inputs!$B$26+Inputs!$B$29,IF(Skills!C16=3,120+Inputs!$B$27+Inputs!$B$29,MAX(0,(Inputs!$B$3-100)*3)+Inputs!$B$28+Inputs!$B$29)))</f>
        <v/>
      </c>
      <c r="E555">
        <f>INDEX(FactorTable!$B$2:$Y$301, MATCH(ROUND(MIN(300,MAX(1,D555)),0), FactorTable!$A$2:$A$301,0), Skills!M16+1)</f>
        <v/>
      </c>
      <c r="F555">
        <f>IF(Skills!N16=TRUE,(Skills!L16/10)*(E555/1000),Skills!L16/10)+Skills!O16</f>
        <v/>
      </c>
      <c r="G555">
        <f>Skills!G16*IF(Skills!H16&gt;0,Skills!I16/Skills!H16,1)</f>
        <v/>
      </c>
      <c r="H555">
        <f>1-(1-Skills!J16/100)^Skills!K16</f>
        <v/>
      </c>
      <c r="I555" t="inlineStr">
        <is>
          <t>1</t>
        </is>
      </c>
      <c r="J555" t="inlineStr"/>
      <c r="K555" t="inlineStr"/>
      <c r="L555" t="inlineStr"/>
      <c r="M555" t="inlineStr"/>
      <c r="N555" t="inlineStr"/>
      <c r="O555">
        <f>(1-Summary!$B$55)*T555+Summary!$B$55*V555</f>
        <v/>
      </c>
      <c r="P555">
        <f>IF(B582=0,0,O555/B582)</f>
        <v/>
      </c>
      <c r="Q555">
        <f>IFERROR(1/IF(Inputs!$B$38="pvp",15,MAX(0.1,Skills!D16-IF(Skills!E16=TRUE,Inputs!$B$32,0))),0)</f>
        <v/>
      </c>
      <c r="R555">
        <f>IF(AND(Inputs!$B$38&lt;&gt;"pvp",Inputs!$B$43&gt;0),IF(Inputs!$B$43&lt;=0,0,(INT(Inputs!$B$43/IF(Inputs!$B$38="pvp",15,MAX(0.1,Skills!D16-IF(Skills!E16=TRUE,Inputs!$B$32,0))))+1)),0)</f>
        <v/>
      </c>
      <c r="S555">
        <f>IFERROR(O555/N555,0)</f>
        <v/>
      </c>
      <c r="T555" t="n">
        <v>0</v>
      </c>
      <c r="V555" t="n">
        <v>0</v>
      </c>
    </row>
    <row r="556">
      <c r="A556">
        <f>Skills!A17</f>
        <v/>
      </c>
      <c r="B556">
        <f>Skills!B17</f>
        <v/>
      </c>
      <c r="C556">
        <f>Inputs!$B$3&gt;=66</f>
        <v/>
      </c>
      <c r="D556">
        <f>IF(Skills!C17=1,60+Inputs!$B$25+Inputs!$B$29,IF(Skills!C17=2,90+Inputs!$B$26+Inputs!$B$29,IF(Skills!C17=3,120+Inputs!$B$27+Inputs!$B$29,MAX(0,(Inputs!$B$3-100)*3)+Inputs!$B$28+Inputs!$B$29)))</f>
        <v/>
      </c>
      <c r="E556">
        <f>INDEX(FactorTable!$B$2:$Y$301, MATCH(ROUND(MIN(300,MAX(1,D556)),0), FactorTable!$A$2:$A$301,0), Skills!M17+1)</f>
        <v/>
      </c>
      <c r="F556">
        <f>IF(Skills!N17=TRUE,(Skills!L17/10)*(E556/1000),Skills!L17/10)+Skills!O17</f>
        <v/>
      </c>
      <c r="G556">
        <f>Skills!G17*IF(Skills!H17&gt;0,Skills!I17/Skills!H17,1)</f>
        <v/>
      </c>
      <c r="H556">
        <f>1-(1-Skills!J17/100)^Skills!K17</f>
        <v/>
      </c>
      <c r="I556" t="inlineStr">
        <is>
          <t>1</t>
        </is>
      </c>
      <c r="J556" t="inlineStr"/>
      <c r="K556" t="inlineStr"/>
      <c r="L556" t="inlineStr"/>
      <c r="M556" t="inlineStr"/>
      <c r="N556" t="inlineStr"/>
      <c r="O556">
        <f>(1-Summary!$B$55)*T556+Summary!$B$55*V556</f>
        <v/>
      </c>
      <c r="P556">
        <f>IF(B582=0,0,O556/B582)</f>
        <v/>
      </c>
      <c r="Q556" t="n">
        <v>0</v>
      </c>
      <c r="R556" t="n">
        <v>0</v>
      </c>
      <c r="S556">
        <f>IFERROR(O556/N556,0)</f>
        <v/>
      </c>
      <c r="T556" t="n">
        <v>0</v>
      </c>
      <c r="V556" t="n">
        <v>0</v>
      </c>
    </row>
    <row r="557">
      <c r="A557">
        <f>Skills!A18</f>
        <v/>
      </c>
      <c r="B557">
        <f>Skills!B18</f>
        <v/>
      </c>
      <c r="C557">
        <f>Inputs!$B$3&gt;=72</f>
        <v/>
      </c>
      <c r="D557">
        <f>IF(Skills!C18=1,60+Inputs!$B$25+Inputs!$B$29,IF(Skills!C18=2,90+Inputs!$B$26+Inputs!$B$29,IF(Skills!C18=3,120+Inputs!$B$27+Inputs!$B$29,MAX(0,(Inputs!$B$3-100)*3)+Inputs!$B$28+Inputs!$B$29)))</f>
        <v/>
      </c>
      <c r="E557">
        <f>INDEX(FactorTable!$B$2:$Y$301, MATCH(ROUND(MIN(300,MAX(1,D557)),0), FactorTable!$A$2:$A$301,0), Skills!M18+1)</f>
        <v/>
      </c>
      <c r="F557">
        <f>IF(Skills!N18=TRUE,(Skills!L18/10)*(E557/1000),Skills!L18/10)+Skills!O18</f>
        <v/>
      </c>
      <c r="G557">
        <f>Skills!G18*IF(Skills!H18&gt;0,Skills!I18/Skills!H18,1)</f>
        <v/>
      </c>
      <c r="H557">
        <f>1-(1-Skills!J18/100)^Skills!K18</f>
        <v/>
      </c>
      <c r="I557" t="inlineStr">
        <is>
          <t>1</t>
        </is>
      </c>
      <c r="J557" t="inlineStr"/>
      <c r="K557" t="inlineStr"/>
      <c r="L557" t="inlineStr"/>
      <c r="M557" t="inlineStr"/>
      <c r="N557" t="inlineStr"/>
      <c r="O557">
        <f>(1-Summary!$B$55)*T557+Summary!$B$55*V557</f>
        <v/>
      </c>
      <c r="P557">
        <f>IF(B582=0,0,O557/B582)</f>
        <v/>
      </c>
      <c r="Q557" t="n">
        <v>0</v>
      </c>
      <c r="R557" t="n">
        <v>0</v>
      </c>
      <c r="S557">
        <f>IFERROR(O557/N557,0)</f>
        <v/>
      </c>
      <c r="T557" t="n">
        <v>0</v>
      </c>
      <c r="V557" t="n">
        <v>0</v>
      </c>
    </row>
    <row r="558">
      <c r="A558">
        <f>Skills!A19</f>
        <v/>
      </c>
      <c r="B558">
        <f>Skills!B19</f>
        <v/>
      </c>
      <c r="C558">
        <f>TRUE</f>
        <v/>
      </c>
      <c r="D558">
        <f>IF(Skills!C19=1,60+Inputs!$B$25+Inputs!$B$29,IF(Skills!C19=2,90+Inputs!$B$26+Inputs!$B$29,IF(Skills!C19=3,120+Inputs!$B$27+Inputs!$B$29,MAX(0,(Inputs!$B$3-100)*3)+Inputs!$B$28+Inputs!$B$29)))</f>
        <v/>
      </c>
      <c r="E558">
        <f>INDEX(FactorTable!$B$2:$Y$301, MATCH(ROUND(MIN(300,MAX(1,D558)),0), FactorTable!$A$2:$A$301,0), Skills!M19+1)</f>
        <v/>
      </c>
      <c r="F558">
        <f>IF(Skills!N19=TRUE,(Skills!L19/10)*(E558/1000),Skills!L19/10)+Skills!O19</f>
        <v/>
      </c>
      <c r="G558">
        <f>Skills!G19*IF(Skills!H19&gt;0,Skills!I19/Skills!H19,1)</f>
        <v/>
      </c>
      <c r="H558">
        <f>1-(1-Skills!J19/100)^Skills!K19</f>
        <v/>
      </c>
      <c r="I558" t="inlineStr">
        <is>
          <t>1</t>
        </is>
      </c>
      <c r="J558" t="inlineStr"/>
      <c r="K558" t="inlineStr"/>
      <c r="L558" t="inlineStr"/>
      <c r="M558" t="inlineStr"/>
      <c r="N558" t="inlineStr"/>
      <c r="O558">
        <f>(1-Summary!$B$55)*T558+Summary!$B$55*V558</f>
        <v/>
      </c>
      <c r="P558">
        <f>IF(B582=0,0,O558/B582)</f>
        <v/>
      </c>
      <c r="Q558">
        <f>IFERROR(1/IF(Inputs!$B$38="pvp",15,MAX(0.1,Skills!D19-IF(Skills!E19=TRUE,Inputs!$B$32,0))),0)</f>
        <v/>
      </c>
      <c r="R558">
        <f>IF(AND(Inputs!$B$38&lt;&gt;"pvp",Inputs!$B$43&gt;0),IF(Inputs!$B$43&lt;=0,0,(INT(Inputs!$B$43/IF(Inputs!$B$38="pvp",15,MAX(0.1,Skills!D19-IF(Skills!E19=TRUE,Inputs!$B$32,0))))+1)),0)</f>
        <v/>
      </c>
      <c r="S558">
        <f>IFERROR(O558/N558,0)</f>
        <v/>
      </c>
      <c r="T558" t="n">
        <v>0</v>
      </c>
      <c r="V558" t="n">
        <v>0</v>
      </c>
    </row>
    <row r="559">
      <c r="A559">
        <f>Skills!A20</f>
        <v/>
      </c>
      <c r="B559">
        <f>Skills!B20</f>
        <v/>
      </c>
      <c r="C559">
        <f>Inputs!$B$3&gt;=15</f>
        <v/>
      </c>
      <c r="D559">
        <f>IF(Skills!C20=1,60+Inputs!$B$25+Inputs!$B$29,IF(Skills!C20=2,90+Inputs!$B$26+Inputs!$B$29,IF(Skills!C20=3,120+Inputs!$B$27+Inputs!$B$29,MAX(0,(Inputs!$B$3-100)*3)+Inputs!$B$28+Inputs!$B$29)))</f>
        <v/>
      </c>
      <c r="E559">
        <f>INDEX(FactorTable!$B$2:$Y$301, MATCH(ROUND(MIN(300,MAX(1,D559)),0), FactorTable!$A$2:$A$301,0), Skills!M20+1)</f>
        <v/>
      </c>
      <c r="F559">
        <f>IF(Skills!N20=TRUE,(Skills!L20/10)*(E559/1000),Skills!L20/10)+Skills!O20</f>
        <v/>
      </c>
      <c r="G559">
        <f>Skills!G20*IF(Skills!H20&gt;0,Skills!I20/Skills!H20,1)</f>
        <v/>
      </c>
      <c r="H559">
        <f>1-(1-Skills!J20/100)^Skills!K20</f>
        <v/>
      </c>
      <c r="I559" t="inlineStr">
        <is>
          <t>1</t>
        </is>
      </c>
      <c r="J559" t="inlineStr"/>
      <c r="K559" t="inlineStr"/>
      <c r="L559" t="inlineStr"/>
      <c r="M559" t="inlineStr"/>
      <c r="N559" t="inlineStr"/>
      <c r="O559">
        <f>(1-Summary!$B$55)*T559+Summary!$B$55*V559</f>
        <v/>
      </c>
      <c r="P559">
        <f>IF(B582=0,0,O559/B582)</f>
        <v/>
      </c>
      <c r="Q559" t="n">
        <v>0</v>
      </c>
      <c r="R559" t="n">
        <v>0</v>
      </c>
      <c r="S559">
        <f>IFERROR(O559/N559,0)</f>
        <v/>
      </c>
      <c r="T559" t="n">
        <v>0</v>
      </c>
      <c r="V559" t="n">
        <v>0</v>
      </c>
    </row>
    <row r="560">
      <c r="A560">
        <f>Skills!A21</f>
        <v/>
      </c>
      <c r="B560">
        <f>Skills!B21</f>
        <v/>
      </c>
      <c r="C560">
        <f>Inputs!$B$3&gt;=10</f>
        <v/>
      </c>
      <c r="D560">
        <f>IF(Skills!C21=1,60+Inputs!$B$25+Inputs!$B$29,IF(Skills!C21=2,90+Inputs!$B$26+Inputs!$B$29,IF(Skills!C21=3,120+Inputs!$B$27+Inputs!$B$29,MAX(0,(Inputs!$B$3-100)*3)+Inputs!$B$28+Inputs!$B$29)))</f>
        <v/>
      </c>
      <c r="E560">
        <f>INDEX(FactorTable!$B$2:$Y$301, MATCH(ROUND(MIN(300,MAX(1,D560)),0), FactorTable!$A$2:$A$301,0), Skills!M21+1)</f>
        <v/>
      </c>
      <c r="F560">
        <f>IF(Skills!N21=TRUE,(Skills!L21/10)*(E560/1000),Skills!L21/10)+Skills!O21</f>
        <v/>
      </c>
      <c r="G560">
        <f>Skills!G21*IF(Skills!H21&gt;0,Skills!I21/Skills!H21,1)</f>
        <v/>
      </c>
      <c r="H560">
        <f>1-(1-Skills!J21/100)^Skills!K21</f>
        <v/>
      </c>
      <c r="I560" t="inlineStr">
        <is>
          <t>1</t>
        </is>
      </c>
      <c r="J560" t="inlineStr"/>
      <c r="K560" t="inlineStr"/>
      <c r="L560" t="inlineStr"/>
      <c r="M560" t="inlineStr"/>
      <c r="N560" t="inlineStr"/>
      <c r="O560">
        <f>(1-Summary!$B$55)*T560+Summary!$B$55*V560</f>
        <v/>
      </c>
      <c r="P560">
        <f>IF(B582=0,0,O560/B582)</f>
        <v/>
      </c>
      <c r="Q560" t="n">
        <v>0</v>
      </c>
      <c r="R560" t="n">
        <v>0</v>
      </c>
      <c r="S560">
        <f>IFERROR(O560/N560,0)</f>
        <v/>
      </c>
      <c r="T560" t="n">
        <v>0</v>
      </c>
      <c r="V560" t="n">
        <v>0</v>
      </c>
    </row>
    <row r="561">
      <c r="A561">
        <f>Skills!A22</f>
        <v/>
      </c>
      <c r="B561">
        <f>Skills!B22</f>
        <v/>
      </c>
      <c r="C561">
        <f>Inputs!$B$3&gt;=33</f>
        <v/>
      </c>
      <c r="D561">
        <f>IF(Skills!C22=1,60+Inputs!$B$25+Inputs!$B$29,IF(Skills!C22=2,90+Inputs!$B$26+Inputs!$B$29,IF(Skills!C22=3,120+Inputs!$B$27+Inputs!$B$29,MAX(0,(Inputs!$B$3-100)*3)+Inputs!$B$28+Inputs!$B$29)))</f>
        <v/>
      </c>
      <c r="E561">
        <f>INDEX(FactorTable!$B$2:$Y$301, MATCH(ROUND(MIN(300,MAX(1,D561)),0), FactorTable!$A$2:$A$301,0), Skills!M22+1)</f>
        <v/>
      </c>
      <c r="F561">
        <f>IF(Skills!N22=TRUE,(Skills!L22/10)*(E561/1000),Skills!L22/10)+Skills!O22</f>
        <v/>
      </c>
      <c r="G561">
        <f>Skills!G22*IF(Skills!H22&gt;0,Skills!I22/Skills!H22,1)</f>
        <v/>
      </c>
      <c r="H561">
        <f>1-(1-Skills!J22/100)^Skills!K22</f>
        <v/>
      </c>
      <c r="I561" t="inlineStr">
        <is>
          <t>1</t>
        </is>
      </c>
      <c r="J561" t="inlineStr"/>
      <c r="K561" t="inlineStr"/>
      <c r="L561" t="inlineStr"/>
      <c r="M561" t="inlineStr"/>
      <c r="N561" t="inlineStr"/>
      <c r="O561">
        <f>(1-Summary!$B$55)*T561+Summary!$B$55*V561</f>
        <v/>
      </c>
      <c r="P561">
        <f>IF(B582=0,0,O561/B582)</f>
        <v/>
      </c>
      <c r="Q561" t="n">
        <v>0</v>
      </c>
      <c r="R561" t="n">
        <v>0</v>
      </c>
      <c r="S561">
        <f>IFERROR(O561/N561,0)</f>
        <v/>
      </c>
      <c r="T561" t="n">
        <v>0</v>
      </c>
      <c r="V561" t="n">
        <v>0</v>
      </c>
    </row>
    <row r="562">
      <c r="A562">
        <f>Skills!A23</f>
        <v/>
      </c>
      <c r="B562">
        <f>Skills!B23</f>
        <v/>
      </c>
      <c r="C562">
        <f>Inputs!$B$3&gt;=38</f>
        <v/>
      </c>
      <c r="D562">
        <f>IF(Skills!C23=1,60+Inputs!$B$25+Inputs!$B$29,IF(Skills!C23=2,90+Inputs!$B$26+Inputs!$B$29,IF(Skills!C23=3,120+Inputs!$B$27+Inputs!$B$29,MAX(0,(Inputs!$B$3-100)*3)+Inputs!$B$28+Inputs!$B$29)))</f>
        <v/>
      </c>
      <c r="E562">
        <f>INDEX(FactorTable!$B$2:$Y$301, MATCH(ROUND(MIN(300,MAX(1,D562)),0), FactorTable!$A$2:$A$301,0), Skills!M23+1)</f>
        <v/>
      </c>
      <c r="F562">
        <f>IF(Skills!N23=TRUE,(Skills!L23/10)*(E562/1000),Skills!L23/10)+Skills!O23</f>
        <v/>
      </c>
      <c r="G562">
        <f>Skills!G23*IF(Skills!H23&gt;0,Skills!I23/Skills!H23,1)</f>
        <v/>
      </c>
      <c r="H562">
        <f>1-(1-Skills!J23/100)^Skills!K23</f>
        <v/>
      </c>
      <c r="I562" t="inlineStr">
        <is>
          <t>1</t>
        </is>
      </c>
      <c r="J562" t="inlineStr"/>
      <c r="K562" t="inlineStr"/>
      <c r="L562" t="inlineStr"/>
      <c r="M562" t="inlineStr"/>
      <c r="N562" t="inlineStr"/>
      <c r="O562">
        <f>(1-Summary!$B$55)*T562+Summary!$B$55*V562</f>
        <v/>
      </c>
      <c r="P562">
        <f>IF(B582=0,0,O562/B582)</f>
        <v/>
      </c>
      <c r="Q562" t="n">
        <v>0</v>
      </c>
      <c r="R562" t="n">
        <v>0</v>
      </c>
      <c r="S562">
        <f>IFERROR(O562/N562,0)</f>
        <v/>
      </c>
      <c r="T562" t="n">
        <v>0</v>
      </c>
      <c r="V562" t="n">
        <v>0</v>
      </c>
    </row>
    <row r="563">
      <c r="A563">
        <f>Skills!A24</f>
        <v/>
      </c>
      <c r="B563">
        <f>Skills!B24</f>
        <v/>
      </c>
      <c r="C563">
        <f>Inputs!$B$3&gt;=43</f>
        <v/>
      </c>
      <c r="D563">
        <f>IF(Skills!C24=1,60+Inputs!$B$25+Inputs!$B$29,IF(Skills!C24=2,90+Inputs!$B$26+Inputs!$B$29,IF(Skills!C24=3,120+Inputs!$B$27+Inputs!$B$29,MAX(0,(Inputs!$B$3-100)*3)+Inputs!$B$28+Inputs!$B$29)))</f>
        <v/>
      </c>
      <c r="E563">
        <f>INDEX(FactorTable!$B$2:$Y$301, MATCH(ROUND(MIN(300,MAX(1,D563)),0), FactorTable!$A$2:$A$301,0), Skills!M24+1)</f>
        <v/>
      </c>
      <c r="F563">
        <f>IF(Skills!N24=TRUE,(Skills!L24/10)*(E563/1000),Skills!L24/10)+Skills!O24</f>
        <v/>
      </c>
      <c r="G563">
        <f>Skills!G24*IF(Skills!H24&gt;0,Skills!I24/Skills!H24,1)</f>
        <v/>
      </c>
      <c r="H563">
        <f>1-(1-Skills!J24/100)^Skills!K24</f>
        <v/>
      </c>
      <c r="I563" t="inlineStr">
        <is>
          <t>1</t>
        </is>
      </c>
      <c r="J563" t="inlineStr"/>
      <c r="K563" t="inlineStr"/>
      <c r="L563" t="inlineStr"/>
      <c r="M563" t="inlineStr"/>
      <c r="N563" t="inlineStr"/>
      <c r="O563">
        <f>(1-Summary!$B$55)*T563+Summary!$B$55*V563</f>
        <v/>
      </c>
      <c r="P563">
        <f>IF(B582=0,0,O563/B582)</f>
        <v/>
      </c>
      <c r="Q563" t="n">
        <v>0</v>
      </c>
      <c r="R563" t="n">
        <v>0</v>
      </c>
      <c r="S563">
        <f>IFERROR(O563/N563,0)</f>
        <v/>
      </c>
      <c r="T563" t="n">
        <v>0</v>
      </c>
      <c r="V563" t="n">
        <v>0</v>
      </c>
    </row>
    <row r="564">
      <c r="A564">
        <f>Skills!A25</f>
        <v/>
      </c>
      <c r="B564">
        <f>Skills!B25</f>
        <v/>
      </c>
      <c r="C564">
        <f>Inputs!$B$3&gt;=75</f>
        <v/>
      </c>
      <c r="D564">
        <f>IF(Skills!C25=1,60+Inputs!$B$25+Inputs!$B$29,IF(Skills!C25=2,90+Inputs!$B$26+Inputs!$B$29,IF(Skills!C25=3,120+Inputs!$B$27+Inputs!$B$29,MAX(0,(Inputs!$B$3-100)*3)+Inputs!$B$28+Inputs!$B$29)))</f>
        <v/>
      </c>
      <c r="E564">
        <f>INDEX(FactorTable!$B$2:$Y$301, MATCH(ROUND(MIN(300,MAX(1,D564)),0), FactorTable!$A$2:$A$301,0), Skills!M25+1)</f>
        <v/>
      </c>
      <c r="F564">
        <f>IF(Skills!N25=TRUE,(Skills!L25/10)*(E564/1000),Skills!L25/10)+Skills!O25</f>
        <v/>
      </c>
      <c r="G564">
        <f>Skills!G25*IF(Skills!H25&gt;0,Skills!I25/Skills!H25,1)</f>
        <v/>
      </c>
      <c r="H564">
        <f>1-(1-Skills!J25/100)^Skills!K25</f>
        <v/>
      </c>
      <c r="I564" t="inlineStr">
        <is>
          <t>1</t>
        </is>
      </c>
      <c r="J564" t="inlineStr"/>
      <c r="K564" t="inlineStr"/>
      <c r="L564" t="inlineStr"/>
      <c r="M564" t="inlineStr"/>
      <c r="N564" t="inlineStr"/>
      <c r="O564">
        <f>(1-Summary!$B$55)*T564+Summary!$B$55*V564</f>
        <v/>
      </c>
      <c r="P564">
        <f>IF(B582=0,0,O564/B582)</f>
        <v/>
      </c>
      <c r="Q564" t="n">
        <v>0</v>
      </c>
      <c r="R564" t="n">
        <v>0</v>
      </c>
      <c r="S564">
        <f>IFERROR(O564/N564,0)</f>
        <v/>
      </c>
      <c r="T564" t="n">
        <v>0</v>
      </c>
      <c r="V564" t="n">
        <v>0</v>
      </c>
    </row>
    <row r="565">
      <c r="A565">
        <f>Skills!A26</f>
        <v/>
      </c>
      <c r="B565">
        <f>Skills!B26</f>
        <v/>
      </c>
      <c r="C565">
        <f>Inputs!$B$3&gt;=125</f>
        <v/>
      </c>
      <c r="D565">
        <f>IF(Skills!C26=1,60+Inputs!$B$25+Inputs!$B$29,IF(Skills!C26=2,90+Inputs!$B$26+Inputs!$B$29,IF(Skills!C26=3,120+Inputs!$B$27+Inputs!$B$29,MAX(0,(Inputs!$B$3-100)*3)+Inputs!$B$28+Inputs!$B$29)))</f>
        <v/>
      </c>
      <c r="E565">
        <f>INDEX(FactorTable!$B$2:$Y$301, MATCH(ROUND(MIN(300,MAX(1,D565)),0), FactorTable!$A$2:$A$301,0), Skills!M26+1)</f>
        <v/>
      </c>
      <c r="F565">
        <f>IF(Skills!N26=TRUE,(Skills!L26/10)*(E565/1000),Skills!L26/10)+Skills!O26</f>
        <v/>
      </c>
      <c r="G565">
        <f>Skills!G26*IF(Skills!H26&gt;0,Skills!I26/Skills!H26,1)</f>
        <v/>
      </c>
      <c r="H565">
        <f>1-(1-Skills!J26/100)^Skills!K26</f>
        <v/>
      </c>
      <c r="I565" t="inlineStr">
        <is>
          <t>1</t>
        </is>
      </c>
      <c r="J565" t="inlineStr"/>
      <c r="K565" t="inlineStr"/>
      <c r="L565" t="inlineStr"/>
      <c r="M565" t="inlineStr"/>
      <c r="N565" t="inlineStr"/>
      <c r="O565">
        <f>(1-Summary!$B$55)*T565+Summary!$B$55*V565</f>
        <v/>
      </c>
      <c r="P565">
        <f>IF(B582=0,0,O565/B582)</f>
        <v/>
      </c>
      <c r="Q565" t="n">
        <v>0</v>
      </c>
      <c r="R565" t="n">
        <v>0</v>
      </c>
      <c r="S565">
        <f>IFERROR(O565/N565,0)</f>
        <v/>
      </c>
      <c r="T565" t="n">
        <v>0</v>
      </c>
      <c r="V565" t="n">
        <v>0</v>
      </c>
    </row>
    <row r="566">
      <c r="A566">
        <f>Skills!A27</f>
        <v/>
      </c>
      <c r="B566">
        <f>Skills!B27</f>
        <v/>
      </c>
      <c r="C566">
        <f>Inputs!$B$3&gt;=125</f>
        <v/>
      </c>
      <c r="D566">
        <f>IF(Skills!C27=1,60+Inputs!$B$25+Inputs!$B$29,IF(Skills!C27=2,90+Inputs!$B$26+Inputs!$B$29,IF(Skills!C27=3,120+Inputs!$B$27+Inputs!$B$29,MAX(0,(Inputs!$B$3-100)*3)+Inputs!$B$28+Inputs!$B$29)))</f>
        <v/>
      </c>
      <c r="E566">
        <f>INDEX(FactorTable!$B$2:$Y$301, MATCH(ROUND(MIN(300,MAX(1,D566)),0), FactorTable!$A$2:$A$301,0), Skills!M27+1)</f>
        <v/>
      </c>
      <c r="F566">
        <f>IF(Skills!N27=TRUE,(Skills!L27/10)*(E566/1000),Skills!L27/10)+Skills!O27</f>
        <v/>
      </c>
      <c r="G566">
        <f>Skills!G27*IF(Skills!H27&gt;0,Skills!I27/Skills!H27,1)</f>
        <v/>
      </c>
      <c r="H566">
        <f>1-(1-Skills!J27/100)^Skills!K27</f>
        <v/>
      </c>
      <c r="I566" t="inlineStr">
        <is>
          <t>1</t>
        </is>
      </c>
      <c r="J566" t="inlineStr"/>
      <c r="K566" t="inlineStr"/>
      <c r="L566" t="inlineStr"/>
      <c r="M566" t="inlineStr"/>
      <c r="N566" t="inlineStr"/>
      <c r="O566">
        <f>(1-Summary!$B$55)*T566+Summary!$B$55*V566</f>
        <v/>
      </c>
      <c r="P566">
        <f>IF(B582=0,0,O566/B582)</f>
        <v/>
      </c>
      <c r="Q566" t="n">
        <v>0</v>
      </c>
      <c r="R566" t="n">
        <v>0</v>
      </c>
      <c r="S566">
        <f>IFERROR(O566/N566,0)</f>
        <v/>
      </c>
      <c r="T566" t="n">
        <v>0</v>
      </c>
      <c r="V566" t="n">
        <v>0</v>
      </c>
    </row>
    <row r="567">
      <c r="A567">
        <f>Skills!A28</f>
        <v/>
      </c>
      <c r="B567">
        <f>Skills!B28</f>
        <v/>
      </c>
      <c r="C567">
        <f>Inputs!$B$3&gt;=120</f>
        <v/>
      </c>
      <c r="D567">
        <f>IF(Skills!C28=1,60+Inputs!$B$25+Inputs!$B$29,IF(Skills!C28=2,90+Inputs!$B$26+Inputs!$B$29,IF(Skills!C28=3,120+Inputs!$B$27+Inputs!$B$29,MAX(0,(Inputs!$B$3-100)*3)+Inputs!$B$28+Inputs!$B$29)))</f>
        <v/>
      </c>
      <c r="E567">
        <f>INDEX(FactorTable!$B$2:$Y$301, MATCH(ROUND(MIN(300,MAX(1,D567)),0), FactorTable!$A$2:$A$301,0), Skills!M28+1)</f>
        <v/>
      </c>
      <c r="F567">
        <f>IF(Skills!N28=TRUE,(Skills!L28/10)*(E567/1000),Skills!L28/10)+Skills!O28</f>
        <v/>
      </c>
      <c r="G567">
        <f>Skills!G28*IF(Skills!H28&gt;0,Skills!I28/Skills!H28,1)</f>
        <v/>
      </c>
      <c r="H567">
        <f>1-(1-Skills!J28/100)^Skills!K28</f>
        <v/>
      </c>
      <c r="I567" t="inlineStr">
        <is>
          <t>1</t>
        </is>
      </c>
      <c r="J567" t="inlineStr"/>
      <c r="K567" t="inlineStr"/>
      <c r="L567" t="inlineStr"/>
      <c r="M567" t="inlineStr"/>
      <c r="N567" t="inlineStr"/>
      <c r="O567">
        <f>(1-Summary!$B$55)*T567+Summary!$B$55*V567</f>
        <v/>
      </c>
      <c r="P567">
        <f>IF(B582=0,0,O567/B582)</f>
        <v/>
      </c>
      <c r="Q567" t="n">
        <v>0</v>
      </c>
      <c r="R567" t="n">
        <v>0</v>
      </c>
      <c r="S567">
        <f>IFERROR(O567/N567,0)</f>
        <v/>
      </c>
      <c r="T567" t="n">
        <v>0</v>
      </c>
      <c r="V567" t="n">
        <v>0</v>
      </c>
    </row>
    <row r="568">
      <c r="A568">
        <f>Skills!A29</f>
        <v/>
      </c>
      <c r="B568">
        <f>Skills!B29</f>
        <v/>
      </c>
      <c r="C568">
        <f>Inputs!$B$3&gt;=120</f>
        <v/>
      </c>
      <c r="D568">
        <f>IF(Skills!C29=1,60+Inputs!$B$25+Inputs!$B$29,IF(Skills!C29=2,90+Inputs!$B$26+Inputs!$B$29,IF(Skills!C29=3,120+Inputs!$B$27+Inputs!$B$29,MAX(0,(Inputs!$B$3-100)*3)+Inputs!$B$28+Inputs!$B$29)))</f>
        <v/>
      </c>
      <c r="E568">
        <f>INDEX(FactorTable!$B$2:$Y$301, MATCH(ROUND(MIN(300,MAX(1,D568)),0), FactorTable!$A$2:$A$301,0), Skills!M29+1)</f>
        <v/>
      </c>
      <c r="F568">
        <f>IF(Skills!N29=TRUE,(Skills!L29/10)*(E568/1000),Skills!L29/10)+Skills!O29</f>
        <v/>
      </c>
      <c r="G568">
        <f>Skills!G29*IF(Skills!H29&gt;0,Skills!I29/Skills!H29,1)</f>
        <v/>
      </c>
      <c r="H568">
        <f>1-(1-Skills!J29/100)^Skills!K29</f>
        <v/>
      </c>
      <c r="I568" t="inlineStr">
        <is>
          <t>1</t>
        </is>
      </c>
      <c r="J568" t="inlineStr"/>
      <c r="K568" t="inlineStr"/>
      <c r="L568" t="inlineStr"/>
      <c r="M568" t="inlineStr"/>
      <c r="N568" t="inlineStr"/>
      <c r="O568">
        <f>(1-Summary!$B$55)*T568+Summary!$B$55*V568</f>
        <v/>
      </c>
      <c r="P568">
        <f>IF(B582=0,0,O568/B582)</f>
        <v/>
      </c>
      <c r="Q568" t="n">
        <v>0</v>
      </c>
      <c r="R568" t="n">
        <v>0</v>
      </c>
      <c r="S568">
        <f>IFERROR(O568/N568,0)</f>
        <v/>
      </c>
      <c r="T568" t="n">
        <v>0</v>
      </c>
      <c r="V568" t="n">
        <v>0</v>
      </c>
    </row>
    <row r="569">
      <c r="A569">
        <f>Skills!A30</f>
        <v/>
      </c>
      <c r="B569">
        <f>Skills!B30</f>
        <v/>
      </c>
      <c r="C569">
        <f>Inputs!$B$3&gt;=45</f>
        <v/>
      </c>
      <c r="D569">
        <f>IF(Skills!C30=1,60+Inputs!$B$25+Inputs!$B$29,IF(Skills!C30=2,90+Inputs!$B$26+Inputs!$B$29,IF(Skills!C30=3,120+Inputs!$B$27+Inputs!$B$29,MAX(0,(Inputs!$B$3-100)*3)+Inputs!$B$28+Inputs!$B$29)))</f>
        <v/>
      </c>
      <c r="E569">
        <f>INDEX(FactorTable!$B$2:$Y$301, MATCH(ROUND(MIN(300,MAX(1,D569)),0), FactorTable!$A$2:$A$301,0), Skills!M30+1)</f>
        <v/>
      </c>
      <c r="F569">
        <f>IF(Skills!N30=TRUE,(Skills!L30/10)*(E569/1000),Skills!L30/10)+Skills!O30</f>
        <v/>
      </c>
      <c r="G569">
        <f>Skills!G30*IF(Skills!H30&gt;0,Skills!I30/Skills!H30,1)</f>
        <v/>
      </c>
      <c r="H569">
        <f>1-(1-Skills!J30/100)^Skills!K30</f>
        <v/>
      </c>
      <c r="I569" t="inlineStr">
        <is>
          <t>1</t>
        </is>
      </c>
      <c r="J569" t="inlineStr"/>
      <c r="K569" t="inlineStr"/>
      <c r="L569" t="inlineStr"/>
      <c r="M569" t="inlineStr"/>
      <c r="N569" t="inlineStr"/>
      <c r="O569">
        <f>(1-Summary!$B$55)*T569+Summary!$B$55*V569</f>
        <v/>
      </c>
      <c r="P569">
        <f>IF(B582=0,0,O569/B582)</f>
        <v/>
      </c>
      <c r="Q569" t="n">
        <v>0</v>
      </c>
      <c r="R569" t="n">
        <v>0</v>
      </c>
      <c r="S569">
        <f>IFERROR(O569/N569,0)</f>
        <v/>
      </c>
      <c r="T569" t="n">
        <v>0</v>
      </c>
      <c r="V569" t="n">
        <v>0</v>
      </c>
    </row>
    <row r="571">
      <c r="A571" t="inlineStr">
        <is>
          <t>Attack% Bucket Multiplier</t>
        </is>
      </c>
      <c r="B571">
        <f>(1+(((C552=TRUE)*F552)+((C553=TRUE)*IF(Inputs!$B$38="pvp",F553,(1-Summary!$B$55)*(F553)+Summary!$B$55*(0)))+((C554=TRUE)*F554*IF(AND(Inputs!$B$38&lt;&gt;"pvp",Inputs!$B$43&gt;0),(((R554-1)*(Skills!T15*(1+Inputs!$B$34/100))+MIN((Skills!T15*(1+Inputs!$B$34/100)),MAX(0,Inputs!$B$43-((R554-1)*Skills!D15))))/Inputs!$B$43),IF(Inputs!$B$38="pvp",MIN((Skills!T15*(1+Inputs!$B$34/100)),15)/15,(Skills!T15*(1+Inputs!$B$34/100))/Skills!D15)))+((C569=TRUE)*(F569-Calc!F30)))/100)</f>
        <v/>
      </c>
    </row>
    <row r="572">
      <c r="A572" t="inlineStr">
        <is>
          <t>Global Crit Rate Bonus %</t>
        </is>
      </c>
      <c r="B572">
        <f>(C555=TRUE)*20*IF(AND(Inputs!$B$38&lt;&gt;"pvp",Inputs!$B$43&gt;0),(((R555-1)*(Skills!T16*(1+Inputs!$B$34/100))+MIN((Skills!T16*(1+Inputs!$B$34/100)),MAX(0,Inputs!$B$43-((R555-1)*Skills!D16))))/Inputs!$B$43),IF(Inputs!$B$38="pvp",MIN((Skills!T16*(1+Inputs!$B$34/100)),15)/15,(Skills!T16*(1+Inputs!$B$34/100))/Skills!D16))</f>
        <v/>
      </c>
    </row>
    <row r="573">
      <c r="A573" t="inlineStr">
        <is>
          <t>Attack Speed Buff Bonus %</t>
        </is>
      </c>
      <c r="B573">
        <f>((C558=TRUE)*F558*IF(AND(Inputs!$B$38&lt;&gt;"pvp",Inputs!$B$43&gt;0),(((R558-1)*(Skills!T19*(1+Inputs!$B$34/100))+MIN((Skills!T19*(1+Inputs!$B$34/100)),MAX(0,Inputs!$B$43-((R558-1)*Skills!D19))))/Inputs!$B$43),IF(Inputs!$B$38="pvp",MIN((Skills!T19*(1+Inputs!$B$34/100)),15)/15,(Skills!T19*(1+Inputs!$B$34/100))/Skills!D19)))</f>
        <v/>
      </c>
    </row>
    <row r="574">
      <c r="A574" t="inlineStr">
        <is>
          <t>Actions Per Second</t>
        </is>
      </c>
      <c r="B574">
        <f>1+MIN(150,150*(1-(1-(Inputs!$B$11+((C560=TRUE)*(F560-Calc!F21))+((C561=TRUE)*(F561-Calc!F22)))/150)*(1-B573/150)))/100</f>
        <v/>
      </c>
    </row>
    <row r="575">
      <c r="A575" t="inlineStr">
        <is>
          <t>Skill + Buff Cast Rate</t>
        </is>
      </c>
      <c r="B575">
        <f>IF(AND(Inputs!$B$38&lt;&gt;"pvp",Inputs!$B$43&gt;0),SUMPRODUCT((Skills!E2:E30=TRUE)*(C541:C569=TRUE)*R541:R569*Skills!F2:F30)/Inputs!$B$43,SUMPRODUCT((Skills!E2:E30=TRUE)*(C541:C569=TRUE)*Q541:Q569*Skills!F2:F30))</f>
        <v/>
      </c>
    </row>
    <row r="576">
      <c r="A576" t="inlineStr">
        <is>
          <t>Arrow Stream Casts Per Second</t>
        </is>
      </c>
      <c r="B576">
        <f>MAX(0,B574-B575)</f>
        <v/>
      </c>
    </row>
    <row r="577">
      <c r="A577" t="inlineStr">
        <is>
          <t>Global Critical Damage Bonus % (Sharp Eyes + Concentration)</t>
        </is>
      </c>
      <c r="B577">
        <f>(C555=TRUE)*F555*IF(AND(Inputs!$B$38&lt;&gt;"pvp",Inputs!$B$43&gt;0),(((R555-1)*(Skills!T16*(1+Inputs!$B$34/100))+MIN((Skills!T16*(1+Inputs!$B$34/100)),MAX(0,Inputs!$B$43-((R555-1)*Skills!D16))))/Inputs!$B$43),IF(Inputs!$B$38="pvp",MIN((Skills!T16*(1+Inputs!$B$34/100)),15)/15,(Skills!T16*(1+Inputs!$B$34/100))/Skills!D16))+(C556=TRUE)*30</f>
        <v/>
      </c>
    </row>
    <row r="578">
      <c r="A578" t="inlineStr">
        <is>
          <t>Global Final Damage Bonus % (Mortal Blow)</t>
        </is>
      </c>
      <c r="B578">
        <f>(C557=TRUE)*F557</f>
        <v/>
      </c>
    </row>
    <row r="579">
      <c r="A579" t="inlineStr">
        <is>
          <t>Buff-Casting Startup Delay (s, fixed-duration only)</t>
        </is>
      </c>
      <c r="B579">
        <f>IF(AND(Inputs!$B$38&lt;&gt;"pvp",Inputs!$B$43&gt;0),SUMPRODUCT((Skills!T2:T30&gt;0)*(Skills!E2:E30=TRUE)*(C541:C569=TRUE))/B574,0)</f>
        <v/>
      </c>
    </row>
    <row r="580">
      <c r="A580" t="inlineStr">
        <is>
          <t>Boss-Only Total DPS (this block's swept value)</t>
        </is>
      </c>
      <c r="B580">
        <f>SUM(T541:T569)</f>
        <v/>
      </c>
    </row>
    <row r="581">
      <c r="A581" t="inlineStr">
        <is>
          <t>Normal-Only Total DPS (this block's swept value)</t>
        </is>
      </c>
      <c r="B581">
        <f>SUM(V541:V569)</f>
        <v/>
      </c>
    </row>
    <row r="582">
      <c r="A582" s="5" t="inlineStr">
        <is>
          <t>TOTAL DPS</t>
        </is>
      </c>
      <c r="B582" s="5">
        <f>SUM(O541:O569)</f>
        <v/>
      </c>
    </row>
    <row r="585">
      <c r="A585" s="5" t="inlineStr">
        <is>
          <t>Stat: ATTACK_SPEED % (diminishing returns, factor 150)</t>
        </is>
      </c>
    </row>
    <row r="586">
      <c r="A586" s="9" t="inlineStr">
        <is>
          <t>Key</t>
        </is>
      </c>
      <c r="B586" s="9" t="inlineStr">
        <is>
          <t>Name</t>
        </is>
      </c>
      <c r="C586" s="9" t="inlineStr">
        <is>
          <t>Unlocked</t>
        </is>
      </c>
      <c r="D586" s="9" t="inlineStr">
        <is>
          <t>InputLevel</t>
        </is>
      </c>
      <c r="E586" s="9" t="inlineStr">
        <is>
          <t>Factor</t>
        </is>
      </c>
      <c r="F586" s="9" t="inlineStr">
        <is>
          <t>CoefficientPercent</t>
        </is>
      </c>
      <c r="G586" s="9" t="inlineStr">
        <is>
          <t>EffectiveHits</t>
        </is>
      </c>
      <c r="H586" s="9" t="inlineStr">
        <is>
          <t>ProcProbability</t>
        </is>
      </c>
      <c r="I586" s="9" t="inlineStr">
        <is>
          <t>MapleHeroMultiplier</t>
        </is>
      </c>
      <c r="J586" s="9" t="inlineStr">
        <is>
          <t>BaseDamage</t>
        </is>
      </c>
      <c r="K586" s="9" t="inlineStr">
        <is>
          <t>BaseHitDamage</t>
        </is>
      </c>
      <c r="L586" s="9" t="inlineStr">
        <is>
          <t>NonCritAvg</t>
        </is>
      </c>
      <c r="M586" s="9" t="inlineStr">
        <is>
          <t>CritAvg</t>
        </is>
      </c>
      <c r="N586" s="9" t="inlineStr">
        <is>
          <t>ExpectedDamage(perHit)</t>
        </is>
      </c>
      <c r="O586" s="9" t="inlineStr">
        <is>
          <t>DPS</t>
        </is>
      </c>
      <c r="P586" s="9" t="inlineStr">
        <is>
          <t>% of Total</t>
        </is>
      </c>
      <c r="Q586" s="9" t="inlineStr">
        <is>
          <t>InvCooldown</t>
        </is>
      </c>
      <c r="R586" s="9" t="inlineStr">
        <is>
          <t>CastsInFight</t>
        </is>
      </c>
      <c r="S586" s="9" t="inlineStr">
        <is>
          <t>HitRate(perSec)</t>
        </is>
      </c>
      <c r="U586" t="inlineStr">
        <is>
          <t>helpers</t>
        </is>
      </c>
    </row>
    <row r="587">
      <c r="A587">
        <f>Skills!A2</f>
        <v/>
      </c>
      <c r="B587">
        <f>Skills!B2</f>
        <v/>
      </c>
      <c r="C587">
        <f>Inputs!$B$3&gt;=100</f>
        <v/>
      </c>
      <c r="D587" t="inlineStr"/>
      <c r="E587" t="inlineStr"/>
      <c r="F587">
        <f>U589+Skills!O2</f>
        <v/>
      </c>
      <c r="G587">
        <f>Skills!G2*IF(Skills!H2&gt;0,Skills!I2/Skills!H2,1)</f>
        <v/>
      </c>
      <c r="H587">
        <f>1-(1-Skills!J2/100)^Skills!K2</f>
        <v/>
      </c>
      <c r="I587" t="inlineStr">
        <is>
          <t>1</t>
        </is>
      </c>
      <c r="J587">
        <f>((Inputs!$B$6*(1+Inputs!$B$7/100))+(((Inputs!$B$12*(1+Inputs!$B$13/100))-(Inputs!$B$12*(1+Inputs!$B$13/100)))+0.25*(Inputs!$B$14-Inputs!$B$14))*(1+Inputs!$B$7/100))*(F587/100)</f>
        <v/>
      </c>
      <c r="K587">
        <f>J587*(1+((Inputs!$B$12*(1+Inputs!$B$13/100))*0.01+Inputs!$B$14*0.0025)/100)*(1+Inputs!$B$15/100)*(1+Inputs!$B$16/100)*(5000/(6000+Inputs!$B$42*(1-(Inputs!$B$19+((C612=TRUE)*(F612-Calc!F27)))/100)))*(1+(Inputs!$B$24+((C610=TRUE)*(F610-Calc!F25))+((C611=TRUE)*(F611-Calc!F26))+B624)/100)*(1+(IF(Skills!A2="ARROW_STREAM",Inputs!$B$17+((C608=TRUE)*(F608-Calc!F23)),Inputs!$B$18+((C613=TRUE)*(F613-Calc!F28))))/100)*((1+(((C598=TRUE)*F598)+((C599=TRUE)*IF(Inputs!$B$38="pvp",F599,(1-Summary!$B$55)*(F599)+Summary!$B$55*(0)))+((C600=TRUE)*F600*IF(AND(Inputs!$B$38&lt;&gt;"pvp",Inputs!$B$43&gt;0),(((R600-1)*(Skills!T15*(1+Inputs!$B$34/100))+MIN((Skills!T15*(1+Inputs!$B$34/100)),MAX(0,Inputs!$B$43-((R600-1)*Skills!D15))))/Inputs!$B$43),IF(Inputs!$B$38="pvp",MIN((Skills!T15*(1+Inputs!$B$34/100)),15)/15,(Skills!T15*(1+Inputs!$B$34/100))/Skills!D15)))+((C615=TRUE)*(F615-Calc!F30)))/100)*I587)</f>
        <v/>
      </c>
      <c r="L587">
        <f>K587*(MIN(Inputs!$B$22+((C609=TRUE)*(F609-Calc!F24)),Inputs!$B$23+((C614=TRUE)*(F614-Calc!F29)))/100+(Inputs!$B$23+((C614=TRUE)*(F614-Calc!F29)))/100)/2</f>
        <v/>
      </c>
      <c r="M587">
        <f>L587*(1+(Inputs!$B$10+0+B623)/100)</f>
        <v/>
      </c>
      <c r="N587">
        <f>L587*(1-MIN((Inputs!$B$9+((C605=TRUE)*(F605-Calc!F20))+B618),100)/100)+M587*(MIN((Inputs!$B$9+((C605=TRUE)*(F605-Calc!F20))+B618),100)/100)</f>
        <v/>
      </c>
      <c r="O587">
        <f>(1-Summary!$B$55)*T587+Summary!$B$55*V587</f>
        <v/>
      </c>
      <c r="P587">
        <f>IF(B628=0,0,O587/B628)</f>
        <v/>
      </c>
      <c r="Q587" t="n">
        <v>0</v>
      </c>
      <c r="R587" t="n">
        <v>0</v>
      </c>
      <c r="S587">
        <f>IFERROR(O587/N587,0)</f>
        <v/>
      </c>
      <c r="T587">
        <f>IF(C587,(Skills!G2*N587*B622)*IF(Inputs!$B$38="pvp",1,1+(Inputs!$B$20+0+Skills!P2)/100),0)</f>
        <v/>
      </c>
      <c r="U587">
        <f>MAX(0,(Inputs!$B$3-100)*3)+Inputs!$B$28+Inputs!$B$29</f>
        <v/>
      </c>
      <c r="V587">
        <f>IF(C587,(Skills!G2*N587*B622)*IF(Inputs!$B$38="pvp",1,(1+(Inputs!$B$21+Skills!Q2)/100)*(MIN((6+Inputs!$B$33),Inputs!$B$37))),0)</f>
        <v/>
      </c>
    </row>
    <row r="588">
      <c r="A588">
        <f>Skills!A3</f>
        <v/>
      </c>
      <c r="B588">
        <f>Skills!B3</f>
        <v/>
      </c>
      <c r="C588">
        <f>Inputs!$B$3&gt;=50</f>
        <v/>
      </c>
      <c r="D588">
        <f>IF(Skills!C3=1,60+Inputs!$B$25+Inputs!$B$29,IF(Skills!C3=2,90+Inputs!$B$26+Inputs!$B$29,IF(Skills!C3=3,120+Inputs!$B$27+Inputs!$B$29,MAX(0,(Inputs!$B$3-100)*3)+Inputs!$B$28+Inputs!$B$29)))</f>
        <v/>
      </c>
      <c r="E588">
        <f>INDEX(FactorTable!$B$2:$Y$301, MATCH(ROUND(MIN(300,MAX(1,D588)),0), FactorTable!$A$2:$A$301,0), Skills!M3+1)</f>
        <v/>
      </c>
      <c r="F588">
        <f>IF(Skills!N3=TRUE,(Skills!L3/10)*(E588/1000),Skills!L3/10)+Skills!O3</f>
        <v/>
      </c>
      <c r="G588" t="inlineStr"/>
      <c r="H588" t="inlineStr"/>
      <c r="I588" t="inlineStr">
        <is>
          <t>1</t>
        </is>
      </c>
      <c r="J588" t="inlineStr"/>
      <c r="K588" t="inlineStr"/>
      <c r="L588" t="inlineStr"/>
      <c r="M588" t="inlineStr"/>
      <c r="N588" t="inlineStr"/>
      <c r="O588" t="inlineStr"/>
      <c r="P588" t="inlineStr"/>
      <c r="Q588" t="inlineStr"/>
      <c r="R588" t="inlineStr"/>
      <c r="S588" t="inlineStr"/>
      <c r="T588" t="inlineStr"/>
      <c r="U588">
        <f>INDEX(FactorTable!$B$2:$Y$301, MATCH(ROUND(MIN(300,MAX(1,U587)),0), FactorTable!$A$2:$A$301,0), 22)</f>
        <v/>
      </c>
      <c r="V588" t="inlineStr"/>
    </row>
    <row r="589">
      <c r="A589">
        <f>Skills!A4</f>
        <v/>
      </c>
      <c r="B589">
        <f>Skills!B4</f>
        <v/>
      </c>
      <c r="C589">
        <f>Inputs!$B$3&gt;=105</f>
        <v/>
      </c>
      <c r="D589">
        <f>IF(Skills!C4=1,60+Inputs!$B$25+Inputs!$B$29,IF(Skills!C4=2,90+Inputs!$B$26+Inputs!$B$29,IF(Skills!C4=3,120+Inputs!$B$27+Inputs!$B$29,MAX(0,(Inputs!$B$3-100)*3)+Inputs!$B$28+Inputs!$B$29)))</f>
        <v/>
      </c>
      <c r="E589">
        <f>INDEX(FactorTable!$B$2:$Y$301, MATCH(ROUND(MIN(300,MAX(1,D589)),0), FactorTable!$A$2:$A$301,0), Skills!M4+1)</f>
        <v/>
      </c>
      <c r="F589">
        <f>IF(Skills!N4=TRUE,(Skills!L4/10)*(E589/1000),Skills!L4/10)+Skills!O4</f>
        <v/>
      </c>
      <c r="G589" t="inlineStr"/>
      <c r="H589" t="inlineStr"/>
      <c r="I589" t="inlineStr">
        <is>
          <t>1</t>
        </is>
      </c>
      <c r="J589" t="inlineStr"/>
      <c r="K589" t="inlineStr"/>
      <c r="L589" t="inlineStr"/>
      <c r="M589" t="inlineStr"/>
      <c r="N589" t="inlineStr"/>
      <c r="O589" t="inlineStr"/>
      <c r="P589" t="inlineStr"/>
      <c r="Q589" t="inlineStr"/>
      <c r="R589" t="inlineStr"/>
      <c r="S589" t="inlineStr"/>
      <c r="T589" t="inlineStr"/>
      <c r="U589">
        <f>290*U588/1000</f>
        <v/>
      </c>
      <c r="V589" t="inlineStr"/>
    </row>
    <row r="590">
      <c r="A590">
        <f>Skills!A5</f>
        <v/>
      </c>
      <c r="B590">
        <f>Skills!B5</f>
        <v/>
      </c>
      <c r="C590">
        <f>Inputs!$B$3&gt;=35</f>
        <v/>
      </c>
      <c r="D590">
        <f>IF(Skills!C5=1,60+Inputs!$B$25+Inputs!$B$29,IF(Skills!C5=2,90+Inputs!$B$26+Inputs!$B$29,IF(Skills!C5=3,120+Inputs!$B$27+Inputs!$B$29,MAX(0,(Inputs!$B$3-100)*3)+Inputs!$B$28+Inputs!$B$29)))</f>
        <v/>
      </c>
      <c r="E590">
        <f>INDEX(FactorTable!$B$2:$Y$301, MATCH(ROUND(MIN(300,MAX(1,D590)),0), FactorTable!$A$2:$A$301,0), Skills!M5+1)</f>
        <v/>
      </c>
      <c r="F590">
        <f>IF(Skills!N5=TRUE,(Skills!L5/10)*(E590/1000),Skills!L5/10)+Skills!O5</f>
        <v/>
      </c>
      <c r="G590">
        <f>Skills!G5*IF(Skills!H5&gt;0,Skills!I5/Skills!H5,1)</f>
        <v/>
      </c>
      <c r="H590">
        <f>1-(1-Skills!J5/100)^Skills!K5</f>
        <v/>
      </c>
      <c r="I590" t="inlineStr">
        <is>
          <t>1</t>
        </is>
      </c>
      <c r="J590">
        <f>((Inputs!$B$6*(1+Inputs!$B$7/100))+(((Inputs!$B$12*(1+Inputs!$B$13/100))-(Inputs!$B$12*(1+Inputs!$B$13/100)))+0.25*(Inputs!$B$14-Inputs!$B$14))*(1+Inputs!$B$7/100))*(F590/100)</f>
        <v/>
      </c>
      <c r="K590">
        <f>J590*(1+((Inputs!$B$12*(1+Inputs!$B$13/100))*0.01+Inputs!$B$14*0.0025)/100)*(1+Inputs!$B$15/100)*(1+Inputs!$B$16/100)*(5000/(6000+Inputs!$B$42*(1-(Inputs!$B$19+((C612=TRUE)*(F612-Calc!F27)))/100)))*(1+(Inputs!$B$24+((C610=TRUE)*(F610-Calc!F25))+((C611=TRUE)*(F611-Calc!F26))+B624)/100)*(1+4.0*IF(C595=TRUE,F595,0)/100)*(1+(IF(Skills!A5="ARROW_STREAM",Inputs!$B$17+((C608=TRUE)*(F608-Calc!F23)),Inputs!$B$18+((C613=TRUE)*(F613-Calc!F28))))/100)*((1+(((C598=TRUE)*F598)+((C599=TRUE)*IF(Inputs!$B$38="pvp",F599,(1-Summary!$B$55)*(F599)+Summary!$B$55*(0)))+((C600=TRUE)*F600*IF(AND(Inputs!$B$38&lt;&gt;"pvp",Inputs!$B$43&gt;0),(((R600-1)*(Skills!T15*(1+Inputs!$B$34/100))+MIN((Skills!T15*(1+Inputs!$B$34/100)),MAX(0,Inputs!$B$43-((R600-1)*Skills!D15))))/Inputs!$B$43),IF(Inputs!$B$38="pvp",MIN((Skills!T15*(1+Inputs!$B$34/100)),15)/15,(Skills!T15*(1+Inputs!$B$34/100))/Skills!D15)))+((C615=TRUE)*(F615-Calc!F30)))/100)*I590)</f>
        <v/>
      </c>
      <c r="L590">
        <f>K590*(MIN(Inputs!$B$22+((C609=TRUE)*(F609-Calc!F24)),Inputs!$B$23+((C614=TRUE)*(F614-Calc!F29)))/100+(Inputs!$B$23+((C614=TRUE)*(F614-Calc!F29)))/100)/2</f>
        <v/>
      </c>
      <c r="M590">
        <f>L590*(1+(Inputs!$B$10+0+B623)/100)</f>
        <v/>
      </c>
      <c r="N590">
        <f>L590*(1-MIN((Inputs!$B$9+((C605=TRUE)*(F605-Calc!F20))+B618),100)/100)+M590*(MIN((Inputs!$B$9+((C605=TRUE)*(F605-Calc!F20))+B618),100)/100)</f>
        <v/>
      </c>
      <c r="O590">
        <f>(1-Summary!$B$55)*T590+Summary!$B$55*V590</f>
        <v/>
      </c>
      <c r="P590">
        <f>IF(B628=0,0,O590/B628)</f>
        <v/>
      </c>
      <c r="Q590">
        <f>IFERROR(1/IF(Inputs!$B$38="pvp",15,MAX(0.1,Skills!D5-IF(Skills!E5=TRUE,Inputs!$B$32,0))),0)</f>
        <v/>
      </c>
      <c r="R590">
        <f>IF(AND(Inputs!$B$38&lt;&gt;"pvp",Inputs!$B$43&gt;0),IF(MAX(0,Inputs!$B$43-B625)&lt;=0,0,(INT(MAX(0,Inputs!$B$43-B625)/IF(Inputs!$B$38="pvp",15,MAX(0.1,Skills!D5-IF(Skills!E5=TRUE,Inputs!$B$32,0))))+1)),0)</f>
        <v/>
      </c>
      <c r="S590">
        <f>IFERROR(O590/N590,0)</f>
        <v/>
      </c>
      <c r="T590">
        <f>IF(C590,(H590*N590*IF(AND(Inputs!$B$38&lt;&gt;"pvp",Inputs!$B$43&gt;0),((Skills!G5*((R590-1)*IF(Skills!H5&gt;0,Skills!I5/Skills!H5,1)+IF(Skills!H5&gt;0,MIN(Skills!I5,MAX(0,MAX(0,Inputs!$B$43-B625)-((R590-1)*IF(Inputs!$B$38="pvp",15,MAX(0.1,Skills!D5-IF(Skills!E5=TRUE,Inputs!$B$32,0))))))/Skills!H5,1)))/Inputs!$B$43),G590*Q590))*IF(Inputs!$B$38="pvp",1,1+(Inputs!$B$20+0+Skills!P5)/100),0)</f>
        <v/>
      </c>
      <c r="V590">
        <f>IF(C590,(H590*N590*IF(AND(Inputs!$B$38&lt;&gt;"pvp",Inputs!$B$43&gt;0),((Skills!G5*((R590-1)*IF(Skills!H5&gt;0,Skills!I5/Skills!H5,1)+IF(Skills!H5&gt;0,MIN(Skills!I5,MAX(0,MAX(0,Inputs!$B$43-B625)-((R590-1)*IF(Inputs!$B$38="pvp",15,MAX(0.1,Skills!D5-IF(Skills!E5=TRUE,Inputs!$B$32,0))))))/Skills!H5,1)))/Inputs!$B$43),G590*Q590))*IF(Inputs!$B$38="pvp",1,(1+(Inputs!$B$21+Skills!Q5)/100)*(MIN(Skills!R5,Inputs!$B$37))),0)</f>
        <v/>
      </c>
    </row>
    <row r="591">
      <c r="A591">
        <f>Skills!A6</f>
        <v/>
      </c>
      <c r="B591">
        <f>Skills!B6</f>
        <v/>
      </c>
      <c r="C591">
        <f>Inputs!$B$3&gt;=40</f>
        <v/>
      </c>
      <c r="D591">
        <f>IF(Skills!C6=1,60+Inputs!$B$25+Inputs!$B$29,IF(Skills!C6=2,90+Inputs!$B$26+Inputs!$B$29,IF(Skills!C6=3,120+Inputs!$B$27+Inputs!$B$29,MAX(0,(Inputs!$B$3-100)*3)+Inputs!$B$28+Inputs!$B$29)))</f>
        <v/>
      </c>
      <c r="E591">
        <f>INDEX(FactorTable!$B$2:$Y$301, MATCH(ROUND(MIN(300,MAX(1,D591)),0), FactorTable!$A$2:$A$301,0), Skills!M6+1)</f>
        <v/>
      </c>
      <c r="F591">
        <f>IF(Skills!N6=TRUE,(Skills!L6/10)*(E591/1000),Skills!L6/10)+Skills!O6</f>
        <v/>
      </c>
      <c r="G591">
        <f>Skills!G6*IF(Skills!H6&gt;0,Skills!I6/Skills!H6,1)</f>
        <v/>
      </c>
      <c r="H591">
        <f>1-(1-Skills!J6/100)^Skills!K6</f>
        <v/>
      </c>
      <c r="I591" t="inlineStr">
        <is>
          <t>1</t>
        </is>
      </c>
      <c r="J591">
        <f>((Inputs!$B$6*(1+Inputs!$B$7/100))+(((Inputs!$B$12*(1+Inputs!$B$13/100))-(Inputs!$B$12*(1+Inputs!$B$13/100)))+0.25*(Inputs!$B$14-Inputs!$B$14))*(1+Inputs!$B$7/100))*(F591/100)</f>
        <v/>
      </c>
      <c r="K591">
        <f>J591*(1+((Inputs!$B$12*(1+Inputs!$B$13/100))*0.01+Inputs!$B$14*0.0025)/100)*(1+Inputs!$B$15/100)*(1+Inputs!$B$16/100)*(5000/(6000+Inputs!$B$42*(1-(Inputs!$B$19+((C612=TRUE)*(F612-Calc!F27)))/100)))*(1+(Inputs!$B$24+((C610=TRUE)*(F610-Calc!F25))+((C611=TRUE)*(F611-Calc!F26))+B624)/100)*(1+IF(C592=TRUE,F592,0)/100)*(1+(IF(Skills!A6="ARROW_STREAM",Inputs!$B$17+((C608=TRUE)*(F608-Calc!F23)),Inputs!$B$18+((C613=TRUE)*(F613-Calc!F28))))/100)*((1+(((C598=TRUE)*F598)+((C599=TRUE)*IF(Inputs!$B$38="pvp",F599,(1-Summary!$B$55)*(F599)+Summary!$B$55*(0)))+((C600=TRUE)*F600*IF(AND(Inputs!$B$38&lt;&gt;"pvp",Inputs!$B$43&gt;0),(((R600-1)*(Skills!T15*(1+Inputs!$B$34/100))+MIN((Skills!T15*(1+Inputs!$B$34/100)),MAX(0,Inputs!$B$43-((R600-1)*Skills!D15))))/Inputs!$B$43),IF(Inputs!$B$38="pvp",MIN((Skills!T15*(1+Inputs!$B$34/100)),15)/15,(Skills!T15*(1+Inputs!$B$34/100))/Skills!D15)))+((C615=TRUE)*(F615-Calc!F30)))/100)*I591)</f>
        <v/>
      </c>
      <c r="L591">
        <f>K591*(MIN(Inputs!$B$22+((C609=TRUE)*(F609-Calc!F24)),Inputs!$B$23+((C614=TRUE)*(F614-Calc!F29)))/100+(Inputs!$B$23+((C614=TRUE)*(F614-Calc!F29)))/100)/2</f>
        <v/>
      </c>
      <c r="M591">
        <f>L591*(1+(Inputs!$B$10+0+B623)/100)</f>
        <v/>
      </c>
      <c r="N591">
        <f>L591*(1-MIN((Inputs!$B$9+((C605=TRUE)*(F605-Calc!F20))+B618),100)/100)+M591*(MIN((Inputs!$B$9+((C605=TRUE)*(F605-Calc!F20))+B618),100)/100)</f>
        <v/>
      </c>
      <c r="O591">
        <f>(1-Summary!$B$55)*T591+Summary!$B$55*V591</f>
        <v/>
      </c>
      <c r="P591">
        <f>IF(B628=0,0,O591/B628)</f>
        <v/>
      </c>
      <c r="Q591">
        <f>IFERROR(1/IF(Inputs!$B$38="pvp",15,MAX(0.1,Skills!D6-IF(Skills!E6=TRUE,Inputs!$B$32,0))),0)</f>
        <v/>
      </c>
      <c r="R591">
        <f>IF(AND(Inputs!$B$38&lt;&gt;"pvp",Inputs!$B$43&gt;0),IF(MAX(0,Inputs!$B$43-B625)&lt;=0,0,(INT(MAX(0,Inputs!$B$43-B625)/IF(Inputs!$B$38="pvp",15,MAX(0.1,Skills!D6-IF(Skills!E6=TRUE,Inputs!$B$32,0))))+1)),0)</f>
        <v/>
      </c>
      <c r="S591">
        <f>IFERROR(O591/N591,0)</f>
        <v/>
      </c>
      <c r="T591">
        <f>IF(C591,(H591*N591*IF(AND(Inputs!$B$38&lt;&gt;"pvp",Inputs!$B$43&gt;0),((Skills!G6*((R591-1)*IF(Skills!H6&gt;0,Skills!I6/Skills!H6,1)+IF(Skills!H6&gt;0,MIN(Skills!I6,MAX(0,MAX(0,Inputs!$B$43-B625)-((R591-1)*IF(Inputs!$B$38="pvp",15,MAX(0.1,Skills!D6-IF(Skills!E6=TRUE,Inputs!$B$32,0))))))/Skills!H6,1)))/Inputs!$B$43),G591*Q591))*IF(Inputs!$B$38="pvp",1,1+(Inputs!$B$20+0+Skills!P6)/100),0)</f>
        <v/>
      </c>
      <c r="V591">
        <f>IF(C591,(H591*N591*IF(AND(Inputs!$B$38&lt;&gt;"pvp",Inputs!$B$43&gt;0),((Skills!G6*((R591-1)*IF(Skills!H6&gt;0,Skills!I6/Skills!H6,1)+IF(Skills!H6&gt;0,MIN(Skills!I6,MAX(0,MAX(0,Inputs!$B$43-B625)-((R591-1)*IF(Inputs!$B$38="pvp",15,MAX(0.1,Skills!D6-IF(Skills!E6=TRUE,Inputs!$B$32,0))))))/Skills!H6,1)))/Inputs!$B$43),G591*Q591))*IF(Inputs!$B$38="pvp",1,(1+(Inputs!$B$21+Skills!Q6)/100)*(MIN(Skills!R6,Inputs!$B$37))),0)</f>
        <v/>
      </c>
    </row>
    <row r="592">
      <c r="A592">
        <f>Skills!A7</f>
        <v/>
      </c>
      <c r="B592">
        <f>Skills!B7</f>
        <v/>
      </c>
      <c r="C592">
        <f>Inputs!$B$3&gt;=107</f>
        <v/>
      </c>
      <c r="D592">
        <f>IF(Skills!C7=1,60+Inputs!$B$25+Inputs!$B$29,IF(Skills!C7=2,90+Inputs!$B$26+Inputs!$B$29,IF(Skills!C7=3,120+Inputs!$B$27+Inputs!$B$29,MAX(0,(Inputs!$B$3-100)*3)+Inputs!$B$28+Inputs!$B$29)))</f>
        <v/>
      </c>
      <c r="E592">
        <f>INDEX(FactorTable!$B$2:$Y$301, MATCH(ROUND(MIN(300,MAX(1,D592)),0), FactorTable!$A$2:$A$301,0), Skills!M7+1)</f>
        <v/>
      </c>
      <c r="F592">
        <f>IF(Skills!N7=TRUE,(Skills!L7/10)*(E592/1000),Skills!L7/10)+Skills!O7</f>
        <v/>
      </c>
      <c r="G592" t="inlineStr"/>
      <c r="H592" t="inlineStr"/>
      <c r="I592" t="inlineStr">
        <is>
          <t>1</t>
        </is>
      </c>
      <c r="J592" t="inlineStr"/>
      <c r="K592" t="inlineStr"/>
      <c r="L592" t="inlineStr"/>
      <c r="M592" t="inlineStr"/>
      <c r="N592" t="inlineStr"/>
      <c r="O592" t="inlineStr"/>
      <c r="P592" t="inlineStr"/>
      <c r="Q592" t="inlineStr"/>
      <c r="R592" t="inlineStr"/>
      <c r="S592" t="inlineStr"/>
      <c r="T592" t="inlineStr"/>
      <c r="V592" t="inlineStr"/>
    </row>
    <row r="593">
      <c r="A593">
        <f>Skills!A8</f>
        <v/>
      </c>
      <c r="B593">
        <f>Skills!B8</f>
        <v/>
      </c>
      <c r="C593">
        <f>Inputs!$B$3&gt;=69</f>
        <v/>
      </c>
      <c r="D593">
        <f>IF(Skills!C8=1,60+Inputs!$B$25+Inputs!$B$29,IF(Skills!C8=2,90+Inputs!$B$26+Inputs!$B$29,IF(Skills!C8=3,120+Inputs!$B$27+Inputs!$B$29,MAX(0,(Inputs!$B$3-100)*3)+Inputs!$B$28+Inputs!$B$29)))</f>
        <v/>
      </c>
      <c r="E593">
        <f>INDEX(FactorTable!$B$2:$Y$301, MATCH(ROUND(MIN(300,MAX(1,D593)),0), FactorTable!$A$2:$A$301,0), Skills!M8+1)</f>
        <v/>
      </c>
      <c r="F593">
        <f>IF(Skills!N8=TRUE,(Skills!L8/10)*(E593/1000),Skills!L8/10)+Skills!O8</f>
        <v/>
      </c>
      <c r="G593">
        <f>Skills!G8*IF(Skills!H8&gt;0,Skills!I8/Skills!H8,1)</f>
        <v/>
      </c>
      <c r="H593">
        <f>1-(1-Skills!J8/100)^Skills!K8</f>
        <v/>
      </c>
      <c r="I593" t="inlineStr">
        <is>
          <t>1</t>
        </is>
      </c>
      <c r="J593">
        <f>((Inputs!$B$6*(1+Inputs!$B$7/100))+(((Inputs!$B$12*(1+Inputs!$B$13/100))-(Inputs!$B$12*(1+Inputs!$B$13/100)))+0.25*(Inputs!$B$14-Inputs!$B$14))*(1+Inputs!$B$7/100))*(F593/100)</f>
        <v/>
      </c>
      <c r="K593">
        <f>J593*(1+((Inputs!$B$12*(1+Inputs!$B$13/100))*0.01+Inputs!$B$14*0.0025)/100)*(1+Inputs!$B$15/100)*(1+Inputs!$B$16/100)*(5000/(6000+Inputs!$B$42*(1-(Inputs!$B$19+((C612=TRUE)*(F612-Calc!F27)))/100)))*(1+(Inputs!$B$24+((C610=TRUE)*(F610-Calc!F25))+((C611=TRUE)*(F611-Calc!F26))+B624)/100)*(1+1.2*IF(C595=TRUE,F595,0)/100)*(1+(IF(Skills!A8="ARROW_STREAM",Inputs!$B$17+((C608=TRUE)*(F608-Calc!F23)),Inputs!$B$18+((C613=TRUE)*(F613-Calc!F28))))/100)*((1+(((C598=TRUE)*F598)+((C599=TRUE)*IF(Inputs!$B$38="pvp",F599,(1-Summary!$B$55)*(F599)+Summary!$B$55*(0)))+((C600=TRUE)*F600*IF(AND(Inputs!$B$38&lt;&gt;"pvp",Inputs!$B$43&gt;0),(((R600-1)*(Skills!T15*(1+Inputs!$B$34/100))+MIN((Skills!T15*(1+Inputs!$B$34/100)),MAX(0,Inputs!$B$43-((R600-1)*Skills!D15))))/Inputs!$B$43),IF(Inputs!$B$38="pvp",MIN((Skills!T15*(1+Inputs!$B$34/100)),15)/15,(Skills!T15*(1+Inputs!$B$34/100))/Skills!D15)))+((C615=TRUE)*(F615-Calc!F30)))/100)*I593)</f>
        <v/>
      </c>
      <c r="L593">
        <f>K593*(MIN(Inputs!$B$22+((C609=TRUE)*(F609-Calc!F24)),Inputs!$B$23+((C614=TRUE)*(F614-Calc!F29)))/100+(Inputs!$B$23+((C614=TRUE)*(F614-Calc!F29)))/100)/2</f>
        <v/>
      </c>
      <c r="M593">
        <f>L593*(1+(Inputs!$B$10+0+B623)/100)</f>
        <v/>
      </c>
      <c r="N593">
        <f>L593*(1-MIN((Inputs!$B$9+((C605=TRUE)*(F605-Calc!F20))+B618),100)/100)+M593*(MIN((Inputs!$B$9+((C605=TRUE)*(F605-Calc!F20))+B618),100)/100)</f>
        <v/>
      </c>
      <c r="O593">
        <f>(1-Summary!$B$55)*T593+Summary!$B$55*V593</f>
        <v/>
      </c>
      <c r="P593">
        <f>IF(B628=0,0,O593/B628)</f>
        <v/>
      </c>
      <c r="Q593">
        <f>IFERROR(1/IF(Inputs!$B$38="pvp",15,MAX(0.1,Skills!D8-IF(Skills!E8=TRUE,Inputs!$B$32,0))),0)</f>
        <v/>
      </c>
      <c r="R593">
        <f>IF(AND(Inputs!$B$38&lt;&gt;"pvp",Inputs!$B$43&gt;0),IF(MAX(0,Inputs!$B$43-B625)&lt;=0,0,(INT(MAX(0,Inputs!$B$43-B625)/IF(Inputs!$B$38="pvp",15,MAX(0.1,Skills!D8-IF(Skills!E8=TRUE,Inputs!$B$32,0))))+1)),0)</f>
        <v/>
      </c>
      <c r="S593">
        <f>IFERROR(O593/N593,0)</f>
        <v/>
      </c>
      <c r="T593">
        <f>IF(C593,(H593*N593*IF(AND(Inputs!$B$38&lt;&gt;"pvp",Inputs!$B$43&gt;0),((Skills!G8*((R593-1)*IF(Skills!H8&gt;0,Skills!I8/Skills!H8,1)+IF(Skills!H8&gt;0,MIN(Skills!I8,MAX(0,MAX(0,Inputs!$B$43-B625)-((R593-1)*IF(Inputs!$B$38="pvp",15,MAX(0.1,Skills!D8-IF(Skills!E8=TRUE,Inputs!$B$32,0))))))/Skills!H8,1)))/Inputs!$B$43),G593*Q593))*IF(Inputs!$B$38="pvp",1,1+(Inputs!$B$20+0+Skills!P8)/100),0)</f>
        <v/>
      </c>
      <c r="V593">
        <f>IF(C593,(H593*N593*IF(AND(Inputs!$B$38&lt;&gt;"pvp",Inputs!$B$43&gt;0),((Skills!G8*((R593-1)*IF(Skills!H8&gt;0,Skills!I8/Skills!H8,1)+IF(Skills!H8&gt;0,MIN(Skills!I8,MAX(0,MAX(0,Inputs!$B$43-B625)-((R593-1)*IF(Inputs!$B$38="pvp",15,MAX(0.1,Skills!D8-IF(Skills!E8=TRUE,Inputs!$B$32,0))))))/Skills!H8,1)))/Inputs!$B$43),G593*Q593))*IF(Inputs!$B$38="pvp",1,(1+(Inputs!$B$21+Skills!Q8)/100)*(MIN(Skills!R8,Inputs!$B$37))),0)</f>
        <v/>
      </c>
    </row>
    <row r="594">
      <c r="A594">
        <f>Skills!A9</f>
        <v/>
      </c>
      <c r="B594">
        <f>Skills!B9</f>
        <v/>
      </c>
      <c r="C594">
        <f>Inputs!$B$3&gt;=63</f>
        <v/>
      </c>
      <c r="D594">
        <f>IF(Skills!C9=1,60+Inputs!$B$25+Inputs!$B$29,IF(Skills!C9=2,90+Inputs!$B$26+Inputs!$B$29,IF(Skills!C9=3,120+Inputs!$B$27+Inputs!$B$29,MAX(0,(Inputs!$B$3-100)*3)+Inputs!$B$28+Inputs!$B$29)))</f>
        <v/>
      </c>
      <c r="E594">
        <f>INDEX(FactorTable!$B$2:$Y$301, MATCH(ROUND(MIN(300,MAX(1,D594)),0), FactorTable!$A$2:$A$301,0), Skills!M9+1)</f>
        <v/>
      </c>
      <c r="F594">
        <f>IF(Skills!N9=TRUE,(Skills!L9/10)*(E594/1000),Skills!L9/10)+Skills!O9</f>
        <v/>
      </c>
      <c r="G594">
        <f>Skills!G9*IF(Skills!H9&gt;0,Skills!I9/Skills!H9,1)</f>
        <v/>
      </c>
      <c r="H594">
        <f>1-(1-Skills!J9/100)^Skills!K9</f>
        <v/>
      </c>
      <c r="I594" t="inlineStr">
        <is>
          <t>1</t>
        </is>
      </c>
      <c r="J594">
        <f>((Inputs!$B$6*(1+Inputs!$B$7/100))+(((Inputs!$B$12*(1+Inputs!$B$13/100))-(Inputs!$B$12*(1+Inputs!$B$13/100)))+0.25*(Inputs!$B$14-Inputs!$B$14))*(1+Inputs!$B$7/100))*(F594/100)</f>
        <v/>
      </c>
      <c r="K594">
        <f>J594*(1+((Inputs!$B$12*(1+Inputs!$B$13/100))*0.01+Inputs!$B$14*0.0025)/100)*(1+Inputs!$B$15/100)*(1+Inputs!$B$16/100)*(5000/(6000+Inputs!$B$42*(1-(Inputs!$B$19+((C612=TRUE)*(F612-Calc!F27)))/100)))*(1+(Inputs!$B$24+((C610=TRUE)*(F610-Calc!F25))+((C611=TRUE)*(F611-Calc!F26))+B624)/100)*(1+1.0*IF(C595=TRUE,F595,0)/100)*(1+(IF(Skills!A9="ARROW_STREAM",Inputs!$B$17+((C608=TRUE)*(F608-Calc!F23)),Inputs!$B$18+((C613=TRUE)*(F613-Calc!F28))))/100)*((1+(((C598=TRUE)*F598)+((C599=TRUE)*IF(Inputs!$B$38="pvp",F599,(1-Summary!$B$55)*(F599)+Summary!$B$55*(0)))+((C600=TRUE)*F600*IF(AND(Inputs!$B$38&lt;&gt;"pvp",Inputs!$B$43&gt;0),(((R600-1)*(Skills!T15*(1+Inputs!$B$34/100))+MIN((Skills!T15*(1+Inputs!$B$34/100)),MAX(0,Inputs!$B$43-((R600-1)*Skills!D15))))/Inputs!$B$43),IF(Inputs!$B$38="pvp",MIN((Skills!T15*(1+Inputs!$B$34/100)),15)/15,(Skills!T15*(1+Inputs!$B$34/100))/Skills!D15)))+((C615=TRUE)*(F615-Calc!F30)))/100)*I594)</f>
        <v/>
      </c>
      <c r="L594">
        <f>K594*(MIN(Inputs!$B$22+((C609=TRUE)*(F609-Calc!F24)),Inputs!$B$23+((C614=TRUE)*(F614-Calc!F29)))/100+(Inputs!$B$23+((C614=TRUE)*(F614-Calc!F29)))/100)/2</f>
        <v/>
      </c>
      <c r="M594">
        <f>L594*(1+(Inputs!$B$10+0+B623)/100)</f>
        <v/>
      </c>
      <c r="N594">
        <f>L594*(1-MIN((Inputs!$B$9+((C605=TRUE)*(F605-Calc!F20))+B618),100)/100)+M594*(MIN((Inputs!$B$9+((C605=TRUE)*(F605-Calc!F20))+B618),100)/100)</f>
        <v/>
      </c>
      <c r="O594">
        <f>(1-Summary!$B$55)*T594+Summary!$B$55*V594</f>
        <v/>
      </c>
      <c r="P594">
        <f>IF(B628=0,0,O594/B628)</f>
        <v/>
      </c>
      <c r="Q594">
        <f>IFERROR(1/IF(Inputs!$B$38="pvp",15,MAX(0.1,Skills!D9-IF(Skills!E9=TRUE,Inputs!$B$32,0))),0)</f>
        <v/>
      </c>
      <c r="R594">
        <f>IF(AND(Inputs!$B$38&lt;&gt;"pvp",Inputs!$B$43&gt;0),IF(MAX(0,Inputs!$B$43-B625)&lt;=0,0,(INT(MAX(0,Inputs!$B$43-B625)/IF(Inputs!$B$38="pvp",15,MAX(0.1,Skills!D9-IF(Skills!E9=TRUE,Inputs!$B$32,0))))+1)),0)</f>
        <v/>
      </c>
      <c r="S594">
        <f>IFERROR(O594/N594,0)</f>
        <v/>
      </c>
      <c r="T594">
        <f>IF(C594,(H594*N594*IF(AND(Inputs!$B$38&lt;&gt;"pvp",Inputs!$B$43&gt;0),((Skills!G9*((R594-1)*IF(Skills!H9&gt;0,Skills!I9/Skills!H9,1)+IF(Skills!H9&gt;0,MIN(Skills!I9,MAX(0,MAX(0,Inputs!$B$43-B625)-((R594-1)*IF(Inputs!$B$38="pvp",15,MAX(0.1,Skills!D9-IF(Skills!E9=TRUE,Inputs!$B$32,0))))))/Skills!H9,1)))/Inputs!$B$43),G594*Q594))*IF(Inputs!$B$38="pvp",1,1+(Inputs!$B$20+0+Skills!P9)/100),0)</f>
        <v/>
      </c>
      <c r="V594">
        <f>IF(C594,(H594*N594*IF(AND(Inputs!$B$38&lt;&gt;"pvp",Inputs!$B$43&gt;0),((Skills!G9*((R594-1)*IF(Skills!H9&gt;0,Skills!I9/Skills!H9,1)+IF(Skills!H9&gt;0,MIN(Skills!I9,MAX(0,MAX(0,Inputs!$B$43-B625)-((R594-1)*IF(Inputs!$B$38="pvp",15,MAX(0.1,Skills!D9-IF(Skills!E9=TRUE,Inputs!$B$32,0))))))/Skills!H9,1)))/Inputs!$B$43),G594*Q594))*IF(Inputs!$B$38="pvp",1,(1+(Inputs!$B$21+Skills!Q9)/100)*(MIN(Skills!R9,Inputs!$B$37))),0)</f>
        <v/>
      </c>
    </row>
    <row r="595">
      <c r="A595">
        <f>Skills!A10</f>
        <v/>
      </c>
      <c r="B595">
        <f>Skills!B10</f>
        <v/>
      </c>
      <c r="C595">
        <f>Inputs!$B$3&gt;=100</f>
        <v/>
      </c>
      <c r="D595">
        <f>IF(Skills!C10=1,60+Inputs!$B$25+Inputs!$B$29,IF(Skills!C10=2,90+Inputs!$B$26+Inputs!$B$29,IF(Skills!C10=3,120+Inputs!$B$27+Inputs!$B$29,MAX(0,(Inputs!$B$3-100)*3)+Inputs!$B$28+Inputs!$B$29)))</f>
        <v/>
      </c>
      <c r="E595">
        <f>INDEX(FactorTable!$B$2:$Y$301, MATCH(ROUND(MIN(300,MAX(1,D595)),0), FactorTable!$A$2:$A$301,0), Skills!M10+1)</f>
        <v/>
      </c>
      <c r="F595">
        <f>IF(Skills!N10=TRUE,(Skills!L10/10)*(E595/1000),Skills!L10/10)+Skills!O10</f>
        <v/>
      </c>
      <c r="G595" t="inlineStr"/>
      <c r="H595" t="inlineStr"/>
      <c r="I595" t="inlineStr">
        <is>
          <t>1</t>
        </is>
      </c>
      <c r="J595" t="inlineStr"/>
      <c r="K595" t="inlineStr"/>
      <c r="L595" t="inlineStr"/>
      <c r="M595" t="inlineStr"/>
      <c r="N595" t="inlineStr"/>
      <c r="O595" t="inlineStr"/>
      <c r="P595" t="inlineStr"/>
      <c r="Q595" t="inlineStr"/>
      <c r="R595" t="inlineStr"/>
      <c r="S595" t="inlineStr"/>
      <c r="T595" t="inlineStr"/>
      <c r="V595" t="inlineStr"/>
    </row>
    <row r="596">
      <c r="A596">
        <f>Skills!A11</f>
        <v/>
      </c>
      <c r="B596">
        <f>Skills!B11</f>
        <v/>
      </c>
      <c r="C596">
        <f>Inputs!$B$3&gt;=60</f>
        <v/>
      </c>
      <c r="D596">
        <f>IF(Skills!C11=1,60+Inputs!$B$25+Inputs!$B$29,IF(Skills!C11=2,90+Inputs!$B$26+Inputs!$B$29,IF(Skills!C11=3,120+Inputs!$B$27+Inputs!$B$29,MAX(0,(Inputs!$B$3-100)*3)+Inputs!$B$28+Inputs!$B$29)))</f>
        <v/>
      </c>
      <c r="E596">
        <f>INDEX(FactorTable!$B$2:$Y$301, MATCH(ROUND(MIN(300,MAX(1,D596)),0), FactorTable!$A$2:$A$301,0), Skills!M11+1)</f>
        <v/>
      </c>
      <c r="F596">
        <f>IF(Skills!N11=TRUE,(Skills!L11/10)*(E596/1000),Skills!L11/10)+Skills!O11</f>
        <v/>
      </c>
      <c r="G596">
        <f>Skills!G11*IF(Skills!H11&gt;0,Skills!I11/Skills!H11,1)</f>
        <v/>
      </c>
      <c r="H596">
        <f>1-(1-Skills!J11/100)^Skills!K11</f>
        <v/>
      </c>
      <c r="I596" t="inlineStr">
        <is>
          <t>1</t>
        </is>
      </c>
      <c r="J596">
        <f>((Inputs!$B$6*(1+Inputs!$B$7/100))+(((Inputs!$B$12*(1+Inputs!$B$13/100))-(Inputs!$B$12*(1+Inputs!$B$13/100)))+0.25*(Inputs!$B$14-Inputs!$B$14))*(1+Inputs!$B$7/100))*(F596/100)</f>
        <v/>
      </c>
      <c r="K596">
        <f>J596*(1+((Inputs!$B$12*(1+Inputs!$B$13/100))*0.01+Inputs!$B$14*0.0025)/100)*(1+Inputs!$B$15/100)*(1+Inputs!$B$16/100)*(5000/(6000+Inputs!$B$42*(1-(Inputs!$B$19+((C612=TRUE)*(F612-Calc!F27)))/100)))*(1+(Inputs!$B$24+((C610=TRUE)*(F610-Calc!F25))+((C611=TRUE)*(F611-Calc!F26))+B624)/100)*(1+IF(C597=TRUE,F597,0)/100)*(1+(IF(Skills!A11="ARROW_STREAM",Inputs!$B$17+((C608=TRUE)*(F608-Calc!F23)),Inputs!$B$18+((C613=TRUE)*(F613-Calc!F28))))/100)*((1+(((C598=TRUE)*F598)+((C599=TRUE)*IF(Inputs!$B$38="pvp",F599,(1-Summary!$B$55)*(F599)+Summary!$B$55*(0)))+((C600=TRUE)*F600*IF(AND(Inputs!$B$38&lt;&gt;"pvp",Inputs!$B$43&gt;0),(((R600-1)*(Skills!T15*(1+Inputs!$B$34/100))+MIN((Skills!T15*(1+Inputs!$B$34/100)),MAX(0,Inputs!$B$43-((R600-1)*Skills!D15))))/Inputs!$B$43),IF(Inputs!$B$38="pvp",MIN((Skills!T15*(1+Inputs!$B$34/100)),15)/15,(Skills!T15*(1+Inputs!$B$34/100))/Skills!D15)))+((C615=TRUE)*(F615-Calc!F30)))/100)*I596)</f>
        <v/>
      </c>
      <c r="L596">
        <f>K596*(MIN(Inputs!$B$22+((C609=TRUE)*(F609-Calc!F24)),Inputs!$B$23+((C614=TRUE)*(F614-Calc!F29)))/100+(Inputs!$B$23+((C614=TRUE)*(F614-Calc!F29)))/100)/2</f>
        <v/>
      </c>
      <c r="M596">
        <f>L596*(1+(Inputs!$B$10+0+B623)/100)</f>
        <v/>
      </c>
      <c r="N596">
        <f>L596*(1-MIN((Inputs!$B$9+((C605=TRUE)*(F605-Calc!F20))+B618),100)/100)+M596*(MIN((Inputs!$B$9+((C605=TRUE)*(F605-Calc!F20))+B618),100)/100)</f>
        <v/>
      </c>
      <c r="O596">
        <f>(1-Summary!$B$55)*T596+Summary!$B$55*V596</f>
        <v/>
      </c>
      <c r="P596">
        <f>IF(B628=0,0,O596/B628)</f>
        <v/>
      </c>
      <c r="Q596">
        <f>IFERROR(1/IF(Inputs!$B$38="pvp",15,MAX(0.1,Skills!D11-IF(Skills!E11=TRUE,Inputs!$B$32,0))),0)</f>
        <v/>
      </c>
      <c r="R596">
        <f>IF(AND(Inputs!$B$38&lt;&gt;"pvp",Inputs!$B$43&gt;0),IF(MAX(0,Inputs!$B$43-B625)&lt;=0,0,(INT(MAX(0,Inputs!$B$43-B625)/IF(Inputs!$B$38="pvp",15,MAX(0.1,Skills!D11-IF(Skills!E11=TRUE,Inputs!$B$32,0))))+1)),0)</f>
        <v/>
      </c>
      <c r="S596">
        <f>IFERROR(O596/N596,0)</f>
        <v/>
      </c>
      <c r="T596">
        <f>IF(C596,(H596*N596*IF(AND(Inputs!$B$38&lt;&gt;"pvp",Inputs!$B$43&gt;0),((Skills!G11*((R596-1)*IF(Skills!H11&gt;0,Skills!I11/Skills!H11,1)+IF(Skills!H11&gt;0,MIN(Skills!I11,MAX(0,MAX(0,Inputs!$B$43-B625)-((R596-1)*IF(Inputs!$B$38="pvp",15,MAX(0.1,Skills!D11-IF(Skills!E11=TRUE,Inputs!$B$32,0))))))/Skills!H11,1)))/Inputs!$B$43),G596*Q596))*IF(Inputs!$B$38="pvp",1,1+(Inputs!$B$20+0+Skills!P11)/100),0)</f>
        <v/>
      </c>
      <c r="V596">
        <f>IF(C596,(H596*N596*IF(AND(Inputs!$B$38&lt;&gt;"pvp",Inputs!$B$43&gt;0),((Skills!G11*((R596-1)*IF(Skills!H11&gt;0,Skills!I11/Skills!H11,1)+IF(Skills!H11&gt;0,MIN(Skills!I11,MAX(0,MAX(0,Inputs!$B$43-B625)-((R596-1)*IF(Inputs!$B$38="pvp",15,MAX(0.1,Skills!D11-IF(Skills!E11=TRUE,Inputs!$B$32,0))))))/Skills!H11,1)))/Inputs!$B$43),G596*Q596))*IF(Inputs!$B$38="pvp",1,(1+(Inputs!$B$21+Skills!Q11)/100)*(MIN(Skills!R11,Inputs!$B$37))),0)</f>
        <v/>
      </c>
    </row>
    <row r="597">
      <c r="A597">
        <f>Skills!A12</f>
        <v/>
      </c>
      <c r="B597">
        <f>Skills!B12</f>
        <v/>
      </c>
      <c r="C597">
        <f>Inputs!$B$3&gt;=110</f>
        <v/>
      </c>
      <c r="D597">
        <f>IF(Skills!C12=1,60+Inputs!$B$25+Inputs!$B$29,IF(Skills!C12=2,90+Inputs!$B$26+Inputs!$B$29,IF(Skills!C12=3,120+Inputs!$B$27+Inputs!$B$29,MAX(0,(Inputs!$B$3-100)*3)+Inputs!$B$28+Inputs!$B$29)))</f>
        <v/>
      </c>
      <c r="E597">
        <f>INDEX(FactorTable!$B$2:$Y$301, MATCH(ROUND(MIN(300,MAX(1,D597)),0), FactorTable!$A$2:$A$301,0), Skills!M12+1)</f>
        <v/>
      </c>
      <c r="F597">
        <f>IF(Skills!N12=TRUE,(Skills!L12/10)*(E597/1000),Skills!L12/10)+Skills!O12</f>
        <v/>
      </c>
      <c r="G597" t="inlineStr"/>
      <c r="H597" t="inlineStr"/>
      <c r="I597" t="inlineStr">
        <is>
          <t>1</t>
        </is>
      </c>
      <c r="J597" t="inlineStr"/>
      <c r="K597" t="inlineStr"/>
      <c r="L597" t="inlineStr"/>
      <c r="M597" t="inlineStr"/>
      <c r="N597" t="inlineStr"/>
      <c r="O597" t="inlineStr"/>
      <c r="P597" t="inlineStr"/>
      <c r="Q597" t="inlineStr"/>
      <c r="R597" t="inlineStr"/>
      <c r="S597" t="inlineStr"/>
      <c r="T597" t="inlineStr"/>
      <c r="V597" t="inlineStr"/>
    </row>
    <row r="598">
      <c r="A598">
        <f>Skills!A13</f>
        <v/>
      </c>
      <c r="B598">
        <f>Skills!B13</f>
        <v/>
      </c>
      <c r="C598">
        <f>Inputs!$B$3&gt;=74</f>
        <v/>
      </c>
      <c r="D598">
        <f>IF(Skills!C13=1,60+Inputs!$B$25+Inputs!$B$29,IF(Skills!C13=2,90+Inputs!$B$26+Inputs!$B$29,IF(Skills!C13=3,120+Inputs!$B$27+Inputs!$B$29,MAX(0,(Inputs!$B$3-100)*3)+Inputs!$B$28+Inputs!$B$29)))</f>
        <v/>
      </c>
      <c r="E598">
        <f>INDEX(FactorTable!$B$2:$Y$301, MATCH(ROUND(MIN(300,MAX(1,D598)),0), FactorTable!$A$2:$A$301,0), Skills!M13+1)</f>
        <v/>
      </c>
      <c r="F598">
        <f>IF(Skills!N13=TRUE,(Skills!L13/10)*(E598/1000),Skills!L13/10)+Skills!O13</f>
        <v/>
      </c>
      <c r="G598">
        <f>Skills!G13*IF(Skills!H13&gt;0,Skills!I13/Skills!H13,1)</f>
        <v/>
      </c>
      <c r="H598">
        <f>1-(1-Skills!J13/100)^Skills!K13</f>
        <v/>
      </c>
      <c r="I598" t="inlineStr">
        <is>
          <t>1</t>
        </is>
      </c>
      <c r="J598" t="inlineStr"/>
      <c r="K598" t="inlineStr"/>
      <c r="L598" t="inlineStr"/>
      <c r="M598" t="inlineStr"/>
      <c r="N598" t="inlineStr"/>
      <c r="O598">
        <f>(1-Summary!$B$55)*T598+Summary!$B$55*V598</f>
        <v/>
      </c>
      <c r="P598">
        <f>IF(B628=0,0,O598/B628)</f>
        <v/>
      </c>
      <c r="Q598" t="n">
        <v>0</v>
      </c>
      <c r="R598" t="n">
        <v>0</v>
      </c>
      <c r="S598">
        <f>IFERROR(O598/N598,0)</f>
        <v/>
      </c>
      <c r="T598" t="n">
        <v>0</v>
      </c>
      <c r="V598" t="n">
        <v>0</v>
      </c>
    </row>
    <row r="599">
      <c r="A599">
        <f>Skills!A14</f>
        <v/>
      </c>
      <c r="B599">
        <f>Skills!B14</f>
        <v/>
      </c>
      <c r="C599">
        <f>Inputs!$B$3&gt;=74</f>
        <v/>
      </c>
      <c r="D599">
        <f>IF(Skills!C14=1,60+Inputs!$B$25+Inputs!$B$29,IF(Skills!C14=2,90+Inputs!$B$26+Inputs!$B$29,IF(Skills!C14=3,120+Inputs!$B$27+Inputs!$B$29,MAX(0,(Inputs!$B$3-100)*3)+Inputs!$B$28+Inputs!$B$29)))</f>
        <v/>
      </c>
      <c r="E599">
        <f>INDEX(FactorTable!$B$2:$Y$301, MATCH(ROUND(MIN(300,MAX(1,D599)),0), FactorTable!$A$2:$A$301,0), Skills!M14+1)</f>
        <v/>
      </c>
      <c r="F599">
        <f>IF(Skills!N14=TRUE,(Skills!L14/10)*(E599/1000),Skills!L14/10)+Skills!O14</f>
        <v/>
      </c>
      <c r="G599">
        <f>Skills!G14*IF(Skills!H14&gt;0,Skills!I14/Skills!H14,1)</f>
        <v/>
      </c>
      <c r="H599">
        <f>1-(1-Skills!J14/100)^Skills!K14</f>
        <v/>
      </c>
      <c r="I599" t="inlineStr">
        <is>
          <t>1</t>
        </is>
      </c>
      <c r="J599" t="inlineStr"/>
      <c r="K599" t="inlineStr"/>
      <c r="L599" t="inlineStr"/>
      <c r="M599" t="inlineStr"/>
      <c r="N599" t="inlineStr"/>
      <c r="O599">
        <f>(1-Summary!$B$55)*T599+Summary!$B$55*V599</f>
        <v/>
      </c>
      <c r="P599">
        <f>IF(B628=0,0,O599/B628)</f>
        <v/>
      </c>
      <c r="Q599" t="n">
        <v>0</v>
      </c>
      <c r="R599" t="n">
        <v>0</v>
      </c>
      <c r="S599">
        <f>IFERROR(O599/N599,0)</f>
        <v/>
      </c>
      <c r="T599" t="n">
        <v>0</v>
      </c>
      <c r="V599" t="n">
        <v>0</v>
      </c>
    </row>
    <row r="600">
      <c r="A600">
        <f>Skills!A15</f>
        <v/>
      </c>
      <c r="B600">
        <f>Skills!B15</f>
        <v/>
      </c>
      <c r="C600">
        <f>Inputs!$B$3&gt;=117</f>
        <v/>
      </c>
      <c r="D600">
        <f>IF(Skills!C15=1,60+Inputs!$B$25+Inputs!$B$29,IF(Skills!C15=2,90+Inputs!$B$26+Inputs!$B$29,IF(Skills!C15=3,120+Inputs!$B$27+Inputs!$B$29,MAX(0,(Inputs!$B$3-100)*3)+Inputs!$B$28+Inputs!$B$29)))</f>
        <v/>
      </c>
      <c r="E600">
        <f>INDEX(FactorTable!$B$2:$Y$301, MATCH(ROUND(MIN(300,MAX(1,D600)),0), FactorTable!$A$2:$A$301,0), Skills!M15+1)</f>
        <v/>
      </c>
      <c r="F600">
        <f>IF(Skills!N15=TRUE,(Skills!L15/10)*(E600/1000),Skills!L15/10)+Skills!O15</f>
        <v/>
      </c>
      <c r="G600">
        <f>Skills!G15*IF(Skills!H15&gt;0,Skills!I15/Skills!H15,1)</f>
        <v/>
      </c>
      <c r="H600">
        <f>1-(1-Skills!J15/100)^Skills!K15</f>
        <v/>
      </c>
      <c r="I600" t="inlineStr">
        <is>
          <t>1</t>
        </is>
      </c>
      <c r="J600" t="inlineStr"/>
      <c r="K600" t="inlineStr"/>
      <c r="L600" t="inlineStr"/>
      <c r="M600" t="inlineStr"/>
      <c r="N600" t="inlineStr"/>
      <c r="O600">
        <f>(1-Summary!$B$55)*T600+Summary!$B$55*V600</f>
        <v/>
      </c>
      <c r="P600">
        <f>IF(B628=0,0,O600/B628)</f>
        <v/>
      </c>
      <c r="Q600">
        <f>IFERROR(1/IF(Inputs!$B$38="pvp",15,MAX(0.1,Skills!D15-IF(Skills!E15=TRUE,Inputs!$B$32,0))),0)</f>
        <v/>
      </c>
      <c r="R600">
        <f>IF(AND(Inputs!$B$38&lt;&gt;"pvp",Inputs!$B$43&gt;0),IF(Inputs!$B$43&lt;=0,0,(INT(Inputs!$B$43/IF(Inputs!$B$38="pvp",15,MAX(0.1,Skills!D15-IF(Skills!E15=TRUE,Inputs!$B$32,0))))+1)),0)</f>
        <v/>
      </c>
      <c r="S600">
        <f>IFERROR(O600/N600,0)</f>
        <v/>
      </c>
      <c r="T600" t="n">
        <v>0</v>
      </c>
      <c r="V600" t="n">
        <v>0</v>
      </c>
    </row>
    <row r="601">
      <c r="A601">
        <f>Skills!A16</f>
        <v/>
      </c>
      <c r="B601">
        <f>Skills!B16</f>
        <v/>
      </c>
      <c r="C601">
        <f>Inputs!$B$3&gt;=115</f>
        <v/>
      </c>
      <c r="D601">
        <f>IF(Skills!C16=1,60+Inputs!$B$25+Inputs!$B$29,IF(Skills!C16=2,90+Inputs!$B$26+Inputs!$B$29,IF(Skills!C16=3,120+Inputs!$B$27+Inputs!$B$29,MAX(0,(Inputs!$B$3-100)*3)+Inputs!$B$28+Inputs!$B$29)))</f>
        <v/>
      </c>
      <c r="E601">
        <f>INDEX(FactorTable!$B$2:$Y$301, MATCH(ROUND(MIN(300,MAX(1,D601)),0), FactorTable!$A$2:$A$301,0), Skills!M16+1)</f>
        <v/>
      </c>
      <c r="F601">
        <f>IF(Skills!N16=TRUE,(Skills!L16/10)*(E601/1000),Skills!L16/10)+Skills!O16</f>
        <v/>
      </c>
      <c r="G601">
        <f>Skills!G16*IF(Skills!H16&gt;0,Skills!I16/Skills!H16,1)</f>
        <v/>
      </c>
      <c r="H601">
        <f>1-(1-Skills!J16/100)^Skills!K16</f>
        <v/>
      </c>
      <c r="I601" t="inlineStr">
        <is>
          <t>1</t>
        </is>
      </c>
      <c r="J601" t="inlineStr"/>
      <c r="K601" t="inlineStr"/>
      <c r="L601" t="inlineStr"/>
      <c r="M601" t="inlineStr"/>
      <c r="N601" t="inlineStr"/>
      <c r="O601">
        <f>(1-Summary!$B$55)*T601+Summary!$B$55*V601</f>
        <v/>
      </c>
      <c r="P601">
        <f>IF(B628=0,0,O601/B628)</f>
        <v/>
      </c>
      <c r="Q601">
        <f>IFERROR(1/IF(Inputs!$B$38="pvp",15,MAX(0.1,Skills!D16-IF(Skills!E16=TRUE,Inputs!$B$32,0))),0)</f>
        <v/>
      </c>
      <c r="R601">
        <f>IF(AND(Inputs!$B$38&lt;&gt;"pvp",Inputs!$B$43&gt;0),IF(Inputs!$B$43&lt;=0,0,(INT(Inputs!$B$43/IF(Inputs!$B$38="pvp",15,MAX(0.1,Skills!D16-IF(Skills!E16=TRUE,Inputs!$B$32,0))))+1)),0)</f>
        <v/>
      </c>
      <c r="S601">
        <f>IFERROR(O601/N601,0)</f>
        <v/>
      </c>
      <c r="T601" t="n">
        <v>0</v>
      </c>
      <c r="V601" t="n">
        <v>0</v>
      </c>
    </row>
    <row r="602">
      <c r="A602">
        <f>Skills!A17</f>
        <v/>
      </c>
      <c r="B602">
        <f>Skills!B17</f>
        <v/>
      </c>
      <c r="C602">
        <f>Inputs!$B$3&gt;=66</f>
        <v/>
      </c>
      <c r="D602">
        <f>IF(Skills!C17=1,60+Inputs!$B$25+Inputs!$B$29,IF(Skills!C17=2,90+Inputs!$B$26+Inputs!$B$29,IF(Skills!C17=3,120+Inputs!$B$27+Inputs!$B$29,MAX(0,(Inputs!$B$3-100)*3)+Inputs!$B$28+Inputs!$B$29)))</f>
        <v/>
      </c>
      <c r="E602">
        <f>INDEX(FactorTable!$B$2:$Y$301, MATCH(ROUND(MIN(300,MAX(1,D602)),0), FactorTable!$A$2:$A$301,0), Skills!M17+1)</f>
        <v/>
      </c>
      <c r="F602">
        <f>IF(Skills!N17=TRUE,(Skills!L17/10)*(E602/1000),Skills!L17/10)+Skills!O17</f>
        <v/>
      </c>
      <c r="G602">
        <f>Skills!G17*IF(Skills!H17&gt;0,Skills!I17/Skills!H17,1)</f>
        <v/>
      </c>
      <c r="H602">
        <f>1-(1-Skills!J17/100)^Skills!K17</f>
        <v/>
      </c>
      <c r="I602" t="inlineStr">
        <is>
          <t>1</t>
        </is>
      </c>
      <c r="J602" t="inlineStr"/>
      <c r="K602" t="inlineStr"/>
      <c r="L602" t="inlineStr"/>
      <c r="M602" t="inlineStr"/>
      <c r="N602" t="inlineStr"/>
      <c r="O602">
        <f>(1-Summary!$B$55)*T602+Summary!$B$55*V602</f>
        <v/>
      </c>
      <c r="P602">
        <f>IF(B628=0,0,O602/B628)</f>
        <v/>
      </c>
      <c r="Q602" t="n">
        <v>0</v>
      </c>
      <c r="R602" t="n">
        <v>0</v>
      </c>
      <c r="S602">
        <f>IFERROR(O602/N602,0)</f>
        <v/>
      </c>
      <c r="T602" t="n">
        <v>0</v>
      </c>
      <c r="V602" t="n">
        <v>0</v>
      </c>
    </row>
    <row r="603">
      <c r="A603">
        <f>Skills!A18</f>
        <v/>
      </c>
      <c r="B603">
        <f>Skills!B18</f>
        <v/>
      </c>
      <c r="C603">
        <f>Inputs!$B$3&gt;=72</f>
        <v/>
      </c>
      <c r="D603">
        <f>IF(Skills!C18=1,60+Inputs!$B$25+Inputs!$B$29,IF(Skills!C18=2,90+Inputs!$B$26+Inputs!$B$29,IF(Skills!C18=3,120+Inputs!$B$27+Inputs!$B$29,MAX(0,(Inputs!$B$3-100)*3)+Inputs!$B$28+Inputs!$B$29)))</f>
        <v/>
      </c>
      <c r="E603">
        <f>INDEX(FactorTable!$B$2:$Y$301, MATCH(ROUND(MIN(300,MAX(1,D603)),0), FactorTable!$A$2:$A$301,0), Skills!M18+1)</f>
        <v/>
      </c>
      <c r="F603">
        <f>IF(Skills!N18=TRUE,(Skills!L18/10)*(E603/1000),Skills!L18/10)+Skills!O18</f>
        <v/>
      </c>
      <c r="G603">
        <f>Skills!G18*IF(Skills!H18&gt;0,Skills!I18/Skills!H18,1)</f>
        <v/>
      </c>
      <c r="H603">
        <f>1-(1-Skills!J18/100)^Skills!K18</f>
        <v/>
      </c>
      <c r="I603" t="inlineStr">
        <is>
          <t>1</t>
        </is>
      </c>
      <c r="J603" t="inlineStr"/>
      <c r="K603" t="inlineStr"/>
      <c r="L603" t="inlineStr"/>
      <c r="M603" t="inlineStr"/>
      <c r="N603" t="inlineStr"/>
      <c r="O603">
        <f>(1-Summary!$B$55)*T603+Summary!$B$55*V603</f>
        <v/>
      </c>
      <c r="P603">
        <f>IF(B628=0,0,O603/B628)</f>
        <v/>
      </c>
      <c r="Q603" t="n">
        <v>0</v>
      </c>
      <c r="R603" t="n">
        <v>0</v>
      </c>
      <c r="S603">
        <f>IFERROR(O603/N603,0)</f>
        <v/>
      </c>
      <c r="T603" t="n">
        <v>0</v>
      </c>
      <c r="V603" t="n">
        <v>0</v>
      </c>
    </row>
    <row r="604">
      <c r="A604">
        <f>Skills!A19</f>
        <v/>
      </c>
      <c r="B604">
        <f>Skills!B19</f>
        <v/>
      </c>
      <c r="C604">
        <f>TRUE</f>
        <v/>
      </c>
      <c r="D604">
        <f>IF(Skills!C19=1,60+Inputs!$B$25+Inputs!$B$29,IF(Skills!C19=2,90+Inputs!$B$26+Inputs!$B$29,IF(Skills!C19=3,120+Inputs!$B$27+Inputs!$B$29,MAX(0,(Inputs!$B$3-100)*3)+Inputs!$B$28+Inputs!$B$29)))</f>
        <v/>
      </c>
      <c r="E604">
        <f>INDEX(FactorTable!$B$2:$Y$301, MATCH(ROUND(MIN(300,MAX(1,D604)),0), FactorTable!$A$2:$A$301,0), Skills!M19+1)</f>
        <v/>
      </c>
      <c r="F604">
        <f>IF(Skills!N19=TRUE,(Skills!L19/10)*(E604/1000),Skills!L19/10)+Skills!O19</f>
        <v/>
      </c>
      <c r="G604">
        <f>Skills!G19*IF(Skills!H19&gt;0,Skills!I19/Skills!H19,1)</f>
        <v/>
      </c>
      <c r="H604">
        <f>1-(1-Skills!J19/100)^Skills!K19</f>
        <v/>
      </c>
      <c r="I604" t="inlineStr">
        <is>
          <t>1</t>
        </is>
      </c>
      <c r="J604" t="inlineStr"/>
      <c r="K604" t="inlineStr"/>
      <c r="L604" t="inlineStr"/>
      <c r="M604" t="inlineStr"/>
      <c r="N604" t="inlineStr"/>
      <c r="O604">
        <f>(1-Summary!$B$55)*T604+Summary!$B$55*V604</f>
        <v/>
      </c>
      <c r="P604">
        <f>IF(B628=0,0,O604/B628)</f>
        <v/>
      </c>
      <c r="Q604">
        <f>IFERROR(1/IF(Inputs!$B$38="pvp",15,MAX(0.1,Skills!D19-IF(Skills!E19=TRUE,Inputs!$B$32,0))),0)</f>
        <v/>
      </c>
      <c r="R604">
        <f>IF(AND(Inputs!$B$38&lt;&gt;"pvp",Inputs!$B$43&gt;0),IF(Inputs!$B$43&lt;=0,0,(INT(Inputs!$B$43/IF(Inputs!$B$38="pvp",15,MAX(0.1,Skills!D19-IF(Skills!E19=TRUE,Inputs!$B$32,0))))+1)),0)</f>
        <v/>
      </c>
      <c r="S604">
        <f>IFERROR(O604/N604,0)</f>
        <v/>
      </c>
      <c r="T604" t="n">
        <v>0</v>
      </c>
      <c r="V604" t="n">
        <v>0</v>
      </c>
    </row>
    <row r="605">
      <c r="A605">
        <f>Skills!A20</f>
        <v/>
      </c>
      <c r="B605">
        <f>Skills!B20</f>
        <v/>
      </c>
      <c r="C605">
        <f>Inputs!$B$3&gt;=15</f>
        <v/>
      </c>
      <c r="D605">
        <f>IF(Skills!C20=1,60+Inputs!$B$25+Inputs!$B$29,IF(Skills!C20=2,90+Inputs!$B$26+Inputs!$B$29,IF(Skills!C20=3,120+Inputs!$B$27+Inputs!$B$29,MAX(0,(Inputs!$B$3-100)*3)+Inputs!$B$28+Inputs!$B$29)))</f>
        <v/>
      </c>
      <c r="E605">
        <f>INDEX(FactorTable!$B$2:$Y$301, MATCH(ROUND(MIN(300,MAX(1,D605)),0), FactorTable!$A$2:$A$301,0), Skills!M20+1)</f>
        <v/>
      </c>
      <c r="F605">
        <f>IF(Skills!N20=TRUE,(Skills!L20/10)*(E605/1000),Skills!L20/10)+Skills!O20</f>
        <v/>
      </c>
      <c r="G605">
        <f>Skills!G20*IF(Skills!H20&gt;0,Skills!I20/Skills!H20,1)</f>
        <v/>
      </c>
      <c r="H605">
        <f>1-(1-Skills!J20/100)^Skills!K20</f>
        <v/>
      </c>
      <c r="I605" t="inlineStr">
        <is>
          <t>1</t>
        </is>
      </c>
      <c r="J605" t="inlineStr"/>
      <c r="K605" t="inlineStr"/>
      <c r="L605" t="inlineStr"/>
      <c r="M605" t="inlineStr"/>
      <c r="N605" t="inlineStr"/>
      <c r="O605">
        <f>(1-Summary!$B$55)*T605+Summary!$B$55*V605</f>
        <v/>
      </c>
      <c r="P605">
        <f>IF(B628=0,0,O605/B628)</f>
        <v/>
      </c>
      <c r="Q605" t="n">
        <v>0</v>
      </c>
      <c r="R605" t="n">
        <v>0</v>
      </c>
      <c r="S605">
        <f>IFERROR(O605/N605,0)</f>
        <v/>
      </c>
      <c r="T605" t="n">
        <v>0</v>
      </c>
      <c r="V605" t="n">
        <v>0</v>
      </c>
    </row>
    <row r="606">
      <c r="A606">
        <f>Skills!A21</f>
        <v/>
      </c>
      <c r="B606">
        <f>Skills!B21</f>
        <v/>
      </c>
      <c r="C606">
        <f>Inputs!$B$3&gt;=10</f>
        <v/>
      </c>
      <c r="D606">
        <f>IF(Skills!C21=1,60+Inputs!$B$25+Inputs!$B$29,IF(Skills!C21=2,90+Inputs!$B$26+Inputs!$B$29,IF(Skills!C21=3,120+Inputs!$B$27+Inputs!$B$29,MAX(0,(Inputs!$B$3-100)*3)+Inputs!$B$28+Inputs!$B$29)))</f>
        <v/>
      </c>
      <c r="E606">
        <f>INDEX(FactorTable!$B$2:$Y$301, MATCH(ROUND(MIN(300,MAX(1,D606)),0), FactorTable!$A$2:$A$301,0), Skills!M21+1)</f>
        <v/>
      </c>
      <c r="F606">
        <f>IF(Skills!N21=TRUE,(Skills!L21/10)*(E606/1000),Skills!L21/10)+Skills!O21</f>
        <v/>
      </c>
      <c r="G606">
        <f>Skills!G21*IF(Skills!H21&gt;0,Skills!I21/Skills!H21,1)</f>
        <v/>
      </c>
      <c r="H606">
        <f>1-(1-Skills!J21/100)^Skills!K21</f>
        <v/>
      </c>
      <c r="I606" t="inlineStr">
        <is>
          <t>1</t>
        </is>
      </c>
      <c r="J606" t="inlineStr"/>
      <c r="K606" t="inlineStr"/>
      <c r="L606" t="inlineStr"/>
      <c r="M606" t="inlineStr"/>
      <c r="N606" t="inlineStr"/>
      <c r="O606">
        <f>(1-Summary!$B$55)*T606+Summary!$B$55*V606</f>
        <v/>
      </c>
      <c r="P606">
        <f>IF(B628=0,0,O606/B628)</f>
        <v/>
      </c>
      <c r="Q606" t="n">
        <v>0</v>
      </c>
      <c r="R606" t="n">
        <v>0</v>
      </c>
      <c r="S606">
        <f>IFERROR(O606/N606,0)</f>
        <v/>
      </c>
      <c r="T606" t="n">
        <v>0</v>
      </c>
      <c r="V606" t="n">
        <v>0</v>
      </c>
    </row>
    <row r="607">
      <c r="A607">
        <f>Skills!A22</f>
        <v/>
      </c>
      <c r="B607">
        <f>Skills!B22</f>
        <v/>
      </c>
      <c r="C607">
        <f>Inputs!$B$3&gt;=33</f>
        <v/>
      </c>
      <c r="D607">
        <f>IF(Skills!C22=1,60+Inputs!$B$25+Inputs!$B$29,IF(Skills!C22=2,90+Inputs!$B$26+Inputs!$B$29,IF(Skills!C22=3,120+Inputs!$B$27+Inputs!$B$29,MAX(0,(Inputs!$B$3-100)*3)+Inputs!$B$28+Inputs!$B$29)))</f>
        <v/>
      </c>
      <c r="E607">
        <f>INDEX(FactorTable!$B$2:$Y$301, MATCH(ROUND(MIN(300,MAX(1,D607)),0), FactorTable!$A$2:$A$301,0), Skills!M22+1)</f>
        <v/>
      </c>
      <c r="F607">
        <f>IF(Skills!N22=TRUE,(Skills!L22/10)*(E607/1000),Skills!L22/10)+Skills!O22</f>
        <v/>
      </c>
      <c r="G607">
        <f>Skills!G22*IF(Skills!H22&gt;0,Skills!I22/Skills!H22,1)</f>
        <v/>
      </c>
      <c r="H607">
        <f>1-(1-Skills!J22/100)^Skills!K22</f>
        <v/>
      </c>
      <c r="I607" t="inlineStr">
        <is>
          <t>1</t>
        </is>
      </c>
      <c r="J607" t="inlineStr"/>
      <c r="K607" t="inlineStr"/>
      <c r="L607" t="inlineStr"/>
      <c r="M607" t="inlineStr"/>
      <c r="N607" t="inlineStr"/>
      <c r="O607">
        <f>(1-Summary!$B$55)*T607+Summary!$B$55*V607</f>
        <v/>
      </c>
      <c r="P607">
        <f>IF(B628=0,0,O607/B628)</f>
        <v/>
      </c>
      <c r="Q607" t="n">
        <v>0</v>
      </c>
      <c r="R607" t="n">
        <v>0</v>
      </c>
      <c r="S607">
        <f>IFERROR(O607/N607,0)</f>
        <v/>
      </c>
      <c r="T607" t="n">
        <v>0</v>
      </c>
      <c r="V607" t="n">
        <v>0</v>
      </c>
    </row>
    <row r="608">
      <c r="A608">
        <f>Skills!A23</f>
        <v/>
      </c>
      <c r="B608">
        <f>Skills!B23</f>
        <v/>
      </c>
      <c r="C608">
        <f>Inputs!$B$3&gt;=38</f>
        <v/>
      </c>
      <c r="D608">
        <f>IF(Skills!C23=1,60+Inputs!$B$25+Inputs!$B$29,IF(Skills!C23=2,90+Inputs!$B$26+Inputs!$B$29,IF(Skills!C23=3,120+Inputs!$B$27+Inputs!$B$29,MAX(0,(Inputs!$B$3-100)*3)+Inputs!$B$28+Inputs!$B$29)))</f>
        <v/>
      </c>
      <c r="E608">
        <f>INDEX(FactorTable!$B$2:$Y$301, MATCH(ROUND(MIN(300,MAX(1,D608)),0), FactorTable!$A$2:$A$301,0), Skills!M23+1)</f>
        <v/>
      </c>
      <c r="F608">
        <f>IF(Skills!N23=TRUE,(Skills!L23/10)*(E608/1000),Skills!L23/10)+Skills!O23</f>
        <v/>
      </c>
      <c r="G608">
        <f>Skills!G23*IF(Skills!H23&gt;0,Skills!I23/Skills!H23,1)</f>
        <v/>
      </c>
      <c r="H608">
        <f>1-(1-Skills!J23/100)^Skills!K23</f>
        <v/>
      </c>
      <c r="I608" t="inlineStr">
        <is>
          <t>1</t>
        </is>
      </c>
      <c r="J608" t="inlineStr"/>
      <c r="K608" t="inlineStr"/>
      <c r="L608" t="inlineStr"/>
      <c r="M608" t="inlineStr"/>
      <c r="N608" t="inlineStr"/>
      <c r="O608">
        <f>(1-Summary!$B$55)*T608+Summary!$B$55*V608</f>
        <v/>
      </c>
      <c r="P608">
        <f>IF(B628=0,0,O608/B628)</f>
        <v/>
      </c>
      <c r="Q608" t="n">
        <v>0</v>
      </c>
      <c r="R608" t="n">
        <v>0</v>
      </c>
      <c r="S608">
        <f>IFERROR(O608/N608,0)</f>
        <v/>
      </c>
      <c r="T608" t="n">
        <v>0</v>
      </c>
      <c r="V608" t="n">
        <v>0</v>
      </c>
    </row>
    <row r="609">
      <c r="A609">
        <f>Skills!A24</f>
        <v/>
      </c>
      <c r="B609">
        <f>Skills!B24</f>
        <v/>
      </c>
      <c r="C609">
        <f>Inputs!$B$3&gt;=43</f>
        <v/>
      </c>
      <c r="D609">
        <f>IF(Skills!C24=1,60+Inputs!$B$25+Inputs!$B$29,IF(Skills!C24=2,90+Inputs!$B$26+Inputs!$B$29,IF(Skills!C24=3,120+Inputs!$B$27+Inputs!$B$29,MAX(0,(Inputs!$B$3-100)*3)+Inputs!$B$28+Inputs!$B$29)))</f>
        <v/>
      </c>
      <c r="E609">
        <f>INDEX(FactorTable!$B$2:$Y$301, MATCH(ROUND(MIN(300,MAX(1,D609)),0), FactorTable!$A$2:$A$301,0), Skills!M24+1)</f>
        <v/>
      </c>
      <c r="F609">
        <f>IF(Skills!N24=TRUE,(Skills!L24/10)*(E609/1000),Skills!L24/10)+Skills!O24</f>
        <v/>
      </c>
      <c r="G609">
        <f>Skills!G24*IF(Skills!H24&gt;0,Skills!I24/Skills!H24,1)</f>
        <v/>
      </c>
      <c r="H609">
        <f>1-(1-Skills!J24/100)^Skills!K24</f>
        <v/>
      </c>
      <c r="I609" t="inlineStr">
        <is>
          <t>1</t>
        </is>
      </c>
      <c r="J609" t="inlineStr"/>
      <c r="K609" t="inlineStr"/>
      <c r="L609" t="inlineStr"/>
      <c r="M609" t="inlineStr"/>
      <c r="N609" t="inlineStr"/>
      <c r="O609">
        <f>(1-Summary!$B$55)*T609+Summary!$B$55*V609</f>
        <v/>
      </c>
      <c r="P609">
        <f>IF(B628=0,0,O609/B628)</f>
        <v/>
      </c>
      <c r="Q609" t="n">
        <v>0</v>
      </c>
      <c r="R609" t="n">
        <v>0</v>
      </c>
      <c r="S609">
        <f>IFERROR(O609/N609,0)</f>
        <v/>
      </c>
      <c r="T609" t="n">
        <v>0</v>
      </c>
      <c r="V609" t="n">
        <v>0</v>
      </c>
    </row>
    <row r="610">
      <c r="A610">
        <f>Skills!A25</f>
        <v/>
      </c>
      <c r="B610">
        <f>Skills!B25</f>
        <v/>
      </c>
      <c r="C610">
        <f>Inputs!$B$3&gt;=75</f>
        <v/>
      </c>
      <c r="D610">
        <f>IF(Skills!C25=1,60+Inputs!$B$25+Inputs!$B$29,IF(Skills!C25=2,90+Inputs!$B$26+Inputs!$B$29,IF(Skills!C25=3,120+Inputs!$B$27+Inputs!$B$29,MAX(0,(Inputs!$B$3-100)*3)+Inputs!$B$28+Inputs!$B$29)))</f>
        <v/>
      </c>
      <c r="E610">
        <f>INDEX(FactorTable!$B$2:$Y$301, MATCH(ROUND(MIN(300,MAX(1,D610)),0), FactorTable!$A$2:$A$301,0), Skills!M25+1)</f>
        <v/>
      </c>
      <c r="F610">
        <f>IF(Skills!N25=TRUE,(Skills!L25/10)*(E610/1000),Skills!L25/10)+Skills!O25</f>
        <v/>
      </c>
      <c r="G610">
        <f>Skills!G25*IF(Skills!H25&gt;0,Skills!I25/Skills!H25,1)</f>
        <v/>
      </c>
      <c r="H610">
        <f>1-(1-Skills!J25/100)^Skills!K25</f>
        <v/>
      </c>
      <c r="I610" t="inlineStr">
        <is>
          <t>1</t>
        </is>
      </c>
      <c r="J610" t="inlineStr"/>
      <c r="K610" t="inlineStr"/>
      <c r="L610" t="inlineStr"/>
      <c r="M610" t="inlineStr"/>
      <c r="N610" t="inlineStr"/>
      <c r="O610">
        <f>(1-Summary!$B$55)*T610+Summary!$B$55*V610</f>
        <v/>
      </c>
      <c r="P610">
        <f>IF(B628=0,0,O610/B628)</f>
        <v/>
      </c>
      <c r="Q610" t="n">
        <v>0</v>
      </c>
      <c r="R610" t="n">
        <v>0</v>
      </c>
      <c r="S610">
        <f>IFERROR(O610/N610,0)</f>
        <v/>
      </c>
      <c r="T610" t="n">
        <v>0</v>
      </c>
      <c r="V610" t="n">
        <v>0</v>
      </c>
    </row>
    <row r="611">
      <c r="A611">
        <f>Skills!A26</f>
        <v/>
      </c>
      <c r="B611">
        <f>Skills!B26</f>
        <v/>
      </c>
      <c r="C611">
        <f>Inputs!$B$3&gt;=125</f>
        <v/>
      </c>
      <c r="D611">
        <f>IF(Skills!C26=1,60+Inputs!$B$25+Inputs!$B$29,IF(Skills!C26=2,90+Inputs!$B$26+Inputs!$B$29,IF(Skills!C26=3,120+Inputs!$B$27+Inputs!$B$29,MAX(0,(Inputs!$B$3-100)*3)+Inputs!$B$28+Inputs!$B$29)))</f>
        <v/>
      </c>
      <c r="E611">
        <f>INDEX(FactorTable!$B$2:$Y$301, MATCH(ROUND(MIN(300,MAX(1,D611)),0), FactorTable!$A$2:$A$301,0), Skills!M26+1)</f>
        <v/>
      </c>
      <c r="F611">
        <f>IF(Skills!N26=TRUE,(Skills!L26/10)*(E611/1000),Skills!L26/10)+Skills!O26</f>
        <v/>
      </c>
      <c r="G611">
        <f>Skills!G26*IF(Skills!H26&gt;0,Skills!I26/Skills!H26,1)</f>
        <v/>
      </c>
      <c r="H611">
        <f>1-(1-Skills!J26/100)^Skills!K26</f>
        <v/>
      </c>
      <c r="I611" t="inlineStr">
        <is>
          <t>1</t>
        </is>
      </c>
      <c r="J611" t="inlineStr"/>
      <c r="K611" t="inlineStr"/>
      <c r="L611" t="inlineStr"/>
      <c r="M611" t="inlineStr"/>
      <c r="N611" t="inlineStr"/>
      <c r="O611">
        <f>(1-Summary!$B$55)*T611+Summary!$B$55*V611</f>
        <v/>
      </c>
      <c r="P611">
        <f>IF(B628=0,0,O611/B628)</f>
        <v/>
      </c>
      <c r="Q611" t="n">
        <v>0</v>
      </c>
      <c r="R611" t="n">
        <v>0</v>
      </c>
      <c r="S611">
        <f>IFERROR(O611/N611,0)</f>
        <v/>
      </c>
      <c r="T611" t="n">
        <v>0</v>
      </c>
      <c r="V611" t="n">
        <v>0</v>
      </c>
    </row>
    <row r="612">
      <c r="A612">
        <f>Skills!A27</f>
        <v/>
      </c>
      <c r="B612">
        <f>Skills!B27</f>
        <v/>
      </c>
      <c r="C612">
        <f>Inputs!$B$3&gt;=125</f>
        <v/>
      </c>
      <c r="D612">
        <f>IF(Skills!C27=1,60+Inputs!$B$25+Inputs!$B$29,IF(Skills!C27=2,90+Inputs!$B$26+Inputs!$B$29,IF(Skills!C27=3,120+Inputs!$B$27+Inputs!$B$29,MAX(0,(Inputs!$B$3-100)*3)+Inputs!$B$28+Inputs!$B$29)))</f>
        <v/>
      </c>
      <c r="E612">
        <f>INDEX(FactorTable!$B$2:$Y$301, MATCH(ROUND(MIN(300,MAX(1,D612)),0), FactorTable!$A$2:$A$301,0), Skills!M27+1)</f>
        <v/>
      </c>
      <c r="F612">
        <f>IF(Skills!N27=TRUE,(Skills!L27/10)*(E612/1000),Skills!L27/10)+Skills!O27</f>
        <v/>
      </c>
      <c r="G612">
        <f>Skills!G27*IF(Skills!H27&gt;0,Skills!I27/Skills!H27,1)</f>
        <v/>
      </c>
      <c r="H612">
        <f>1-(1-Skills!J27/100)^Skills!K27</f>
        <v/>
      </c>
      <c r="I612" t="inlineStr">
        <is>
          <t>1</t>
        </is>
      </c>
      <c r="J612" t="inlineStr"/>
      <c r="K612" t="inlineStr"/>
      <c r="L612" t="inlineStr"/>
      <c r="M612" t="inlineStr"/>
      <c r="N612" t="inlineStr"/>
      <c r="O612">
        <f>(1-Summary!$B$55)*T612+Summary!$B$55*V612</f>
        <v/>
      </c>
      <c r="P612">
        <f>IF(B628=0,0,O612/B628)</f>
        <v/>
      </c>
      <c r="Q612" t="n">
        <v>0</v>
      </c>
      <c r="R612" t="n">
        <v>0</v>
      </c>
      <c r="S612">
        <f>IFERROR(O612/N612,0)</f>
        <v/>
      </c>
      <c r="T612" t="n">
        <v>0</v>
      </c>
      <c r="V612" t="n">
        <v>0</v>
      </c>
    </row>
    <row r="613">
      <c r="A613">
        <f>Skills!A28</f>
        <v/>
      </c>
      <c r="B613">
        <f>Skills!B28</f>
        <v/>
      </c>
      <c r="C613">
        <f>Inputs!$B$3&gt;=120</f>
        <v/>
      </c>
      <c r="D613">
        <f>IF(Skills!C28=1,60+Inputs!$B$25+Inputs!$B$29,IF(Skills!C28=2,90+Inputs!$B$26+Inputs!$B$29,IF(Skills!C28=3,120+Inputs!$B$27+Inputs!$B$29,MAX(0,(Inputs!$B$3-100)*3)+Inputs!$B$28+Inputs!$B$29)))</f>
        <v/>
      </c>
      <c r="E613">
        <f>INDEX(FactorTable!$B$2:$Y$301, MATCH(ROUND(MIN(300,MAX(1,D613)),0), FactorTable!$A$2:$A$301,0), Skills!M28+1)</f>
        <v/>
      </c>
      <c r="F613">
        <f>IF(Skills!N28=TRUE,(Skills!L28/10)*(E613/1000),Skills!L28/10)+Skills!O28</f>
        <v/>
      </c>
      <c r="G613">
        <f>Skills!G28*IF(Skills!H28&gt;0,Skills!I28/Skills!H28,1)</f>
        <v/>
      </c>
      <c r="H613">
        <f>1-(1-Skills!J28/100)^Skills!K28</f>
        <v/>
      </c>
      <c r="I613" t="inlineStr">
        <is>
          <t>1</t>
        </is>
      </c>
      <c r="J613" t="inlineStr"/>
      <c r="K613" t="inlineStr"/>
      <c r="L613" t="inlineStr"/>
      <c r="M613" t="inlineStr"/>
      <c r="N613" t="inlineStr"/>
      <c r="O613">
        <f>(1-Summary!$B$55)*T613+Summary!$B$55*V613</f>
        <v/>
      </c>
      <c r="P613">
        <f>IF(B628=0,0,O613/B628)</f>
        <v/>
      </c>
      <c r="Q613" t="n">
        <v>0</v>
      </c>
      <c r="R613" t="n">
        <v>0</v>
      </c>
      <c r="S613">
        <f>IFERROR(O613/N613,0)</f>
        <v/>
      </c>
      <c r="T613" t="n">
        <v>0</v>
      </c>
      <c r="V613" t="n">
        <v>0</v>
      </c>
    </row>
    <row r="614">
      <c r="A614">
        <f>Skills!A29</f>
        <v/>
      </c>
      <c r="B614">
        <f>Skills!B29</f>
        <v/>
      </c>
      <c r="C614">
        <f>Inputs!$B$3&gt;=120</f>
        <v/>
      </c>
      <c r="D614">
        <f>IF(Skills!C29=1,60+Inputs!$B$25+Inputs!$B$29,IF(Skills!C29=2,90+Inputs!$B$26+Inputs!$B$29,IF(Skills!C29=3,120+Inputs!$B$27+Inputs!$B$29,MAX(0,(Inputs!$B$3-100)*3)+Inputs!$B$28+Inputs!$B$29)))</f>
        <v/>
      </c>
      <c r="E614">
        <f>INDEX(FactorTable!$B$2:$Y$301, MATCH(ROUND(MIN(300,MAX(1,D614)),0), FactorTable!$A$2:$A$301,0), Skills!M29+1)</f>
        <v/>
      </c>
      <c r="F614">
        <f>IF(Skills!N29=TRUE,(Skills!L29/10)*(E614/1000),Skills!L29/10)+Skills!O29</f>
        <v/>
      </c>
      <c r="G614">
        <f>Skills!G29*IF(Skills!H29&gt;0,Skills!I29/Skills!H29,1)</f>
        <v/>
      </c>
      <c r="H614">
        <f>1-(1-Skills!J29/100)^Skills!K29</f>
        <v/>
      </c>
      <c r="I614" t="inlineStr">
        <is>
          <t>1</t>
        </is>
      </c>
      <c r="J614" t="inlineStr"/>
      <c r="K614" t="inlineStr"/>
      <c r="L614" t="inlineStr"/>
      <c r="M614" t="inlineStr"/>
      <c r="N614" t="inlineStr"/>
      <c r="O614">
        <f>(1-Summary!$B$55)*T614+Summary!$B$55*V614</f>
        <v/>
      </c>
      <c r="P614">
        <f>IF(B628=0,0,O614/B628)</f>
        <v/>
      </c>
      <c r="Q614" t="n">
        <v>0</v>
      </c>
      <c r="R614" t="n">
        <v>0</v>
      </c>
      <c r="S614">
        <f>IFERROR(O614/N614,0)</f>
        <v/>
      </c>
      <c r="T614" t="n">
        <v>0</v>
      </c>
      <c r="V614" t="n">
        <v>0</v>
      </c>
    </row>
    <row r="615">
      <c r="A615">
        <f>Skills!A30</f>
        <v/>
      </c>
      <c r="B615">
        <f>Skills!B30</f>
        <v/>
      </c>
      <c r="C615">
        <f>Inputs!$B$3&gt;=45</f>
        <v/>
      </c>
      <c r="D615">
        <f>IF(Skills!C30=1,60+Inputs!$B$25+Inputs!$B$29,IF(Skills!C30=2,90+Inputs!$B$26+Inputs!$B$29,IF(Skills!C30=3,120+Inputs!$B$27+Inputs!$B$29,MAX(0,(Inputs!$B$3-100)*3)+Inputs!$B$28+Inputs!$B$29)))</f>
        <v/>
      </c>
      <c r="E615">
        <f>INDEX(FactorTable!$B$2:$Y$301, MATCH(ROUND(MIN(300,MAX(1,D615)),0), FactorTable!$A$2:$A$301,0), Skills!M30+1)</f>
        <v/>
      </c>
      <c r="F615">
        <f>IF(Skills!N30=TRUE,(Skills!L30/10)*(E615/1000),Skills!L30/10)+Skills!O30</f>
        <v/>
      </c>
      <c r="G615">
        <f>Skills!G30*IF(Skills!H30&gt;0,Skills!I30/Skills!H30,1)</f>
        <v/>
      </c>
      <c r="H615">
        <f>1-(1-Skills!J30/100)^Skills!K30</f>
        <v/>
      </c>
      <c r="I615" t="inlineStr">
        <is>
          <t>1</t>
        </is>
      </c>
      <c r="J615" t="inlineStr"/>
      <c r="K615" t="inlineStr"/>
      <c r="L615" t="inlineStr"/>
      <c r="M615" t="inlineStr"/>
      <c r="N615" t="inlineStr"/>
      <c r="O615">
        <f>(1-Summary!$B$55)*T615+Summary!$B$55*V615</f>
        <v/>
      </c>
      <c r="P615">
        <f>IF(B628=0,0,O615/B628)</f>
        <v/>
      </c>
      <c r="Q615" t="n">
        <v>0</v>
      </c>
      <c r="R615" t="n">
        <v>0</v>
      </c>
      <c r="S615">
        <f>IFERROR(O615/N615,0)</f>
        <v/>
      </c>
      <c r="T615" t="n">
        <v>0</v>
      </c>
      <c r="V615" t="n">
        <v>0</v>
      </c>
    </row>
    <row r="617">
      <c r="A617" t="inlineStr">
        <is>
          <t>Attack% Bucket Multiplier</t>
        </is>
      </c>
      <c r="B617">
        <f>(1+(((C598=TRUE)*F598)+((C599=TRUE)*IF(Inputs!$B$38="pvp",F599,(1-Summary!$B$55)*(F599)+Summary!$B$55*(0)))+((C600=TRUE)*F600*IF(AND(Inputs!$B$38&lt;&gt;"pvp",Inputs!$B$43&gt;0),(((R600-1)*(Skills!T15*(1+Inputs!$B$34/100))+MIN((Skills!T15*(1+Inputs!$B$34/100)),MAX(0,Inputs!$B$43-((R600-1)*Skills!D15))))/Inputs!$B$43),IF(Inputs!$B$38="pvp",MIN((Skills!T15*(1+Inputs!$B$34/100)),15)/15,(Skills!T15*(1+Inputs!$B$34/100))/Skills!D15)))+((C615=TRUE)*(F615-Calc!F30)))/100)</f>
        <v/>
      </c>
    </row>
    <row r="618">
      <c r="A618" t="inlineStr">
        <is>
          <t>Global Crit Rate Bonus %</t>
        </is>
      </c>
      <c r="B618">
        <f>(C601=TRUE)*20*IF(AND(Inputs!$B$38&lt;&gt;"pvp",Inputs!$B$43&gt;0),(((R601-1)*(Skills!T16*(1+Inputs!$B$34/100))+MIN((Skills!T16*(1+Inputs!$B$34/100)),MAX(0,Inputs!$B$43-((R601-1)*Skills!D16))))/Inputs!$B$43),IF(Inputs!$B$38="pvp",MIN((Skills!T16*(1+Inputs!$B$34/100)),15)/15,(Skills!T16*(1+Inputs!$B$34/100))/Skills!D16))</f>
        <v/>
      </c>
    </row>
    <row r="619">
      <c r="A619" t="inlineStr">
        <is>
          <t>Attack Speed Buff Bonus %</t>
        </is>
      </c>
      <c r="B619">
        <f>((C604=TRUE)*F604*IF(AND(Inputs!$B$38&lt;&gt;"pvp",Inputs!$B$43&gt;0),(((R604-1)*(Skills!T19*(1+Inputs!$B$34/100))+MIN((Skills!T19*(1+Inputs!$B$34/100)),MAX(0,Inputs!$B$43-((R604-1)*Skills!D19))))/Inputs!$B$43),IF(Inputs!$B$38="pvp",MIN((Skills!T19*(1+Inputs!$B$34/100)),15)/15,(Skills!T19*(1+Inputs!$B$34/100))/Skills!D19)))</f>
        <v/>
      </c>
    </row>
    <row r="620">
      <c r="A620" t="inlineStr">
        <is>
          <t>Actions Per Second</t>
        </is>
      </c>
      <c r="B620">
        <f>1+MIN(150,150*(1-(1-(((1-(1-Inputs!$B$11/150)*(1-1/150))*150)+((C606=TRUE)*(F606-Calc!F21))+((C607=TRUE)*(F607-Calc!F22)))/150)*(1-B619/150)))/100</f>
        <v/>
      </c>
    </row>
    <row r="621">
      <c r="A621" t="inlineStr">
        <is>
          <t>Skill + Buff Cast Rate</t>
        </is>
      </c>
      <c r="B621">
        <f>IF(AND(Inputs!$B$38&lt;&gt;"pvp",Inputs!$B$43&gt;0),SUMPRODUCT((Skills!E2:E30=TRUE)*(C587:C615=TRUE)*R587:R615*Skills!F2:F30)/Inputs!$B$43,SUMPRODUCT((Skills!E2:E30=TRUE)*(C587:C615=TRUE)*Q587:Q615*Skills!F2:F30))</f>
        <v/>
      </c>
    </row>
    <row r="622">
      <c r="A622" t="inlineStr">
        <is>
          <t>Arrow Stream Casts Per Second</t>
        </is>
      </c>
      <c r="B622">
        <f>MAX(0,B620-B621)</f>
        <v/>
      </c>
    </row>
    <row r="623">
      <c r="A623" t="inlineStr">
        <is>
          <t>Global Critical Damage Bonus % (Sharp Eyes + Concentration)</t>
        </is>
      </c>
      <c r="B623">
        <f>(C601=TRUE)*F601*IF(AND(Inputs!$B$38&lt;&gt;"pvp",Inputs!$B$43&gt;0),(((R601-1)*(Skills!T16*(1+Inputs!$B$34/100))+MIN((Skills!T16*(1+Inputs!$B$34/100)),MAX(0,Inputs!$B$43-((R601-1)*Skills!D16))))/Inputs!$B$43),IF(Inputs!$B$38="pvp",MIN((Skills!T16*(1+Inputs!$B$34/100)),15)/15,(Skills!T16*(1+Inputs!$B$34/100))/Skills!D16))+(C602=TRUE)*30</f>
        <v/>
      </c>
    </row>
    <row r="624">
      <c r="A624" t="inlineStr">
        <is>
          <t>Global Final Damage Bonus % (Mortal Blow)</t>
        </is>
      </c>
      <c r="B624">
        <f>(C603=TRUE)*F603</f>
        <v/>
      </c>
    </row>
    <row r="625">
      <c r="A625" t="inlineStr">
        <is>
          <t>Buff-Casting Startup Delay (s, fixed-duration only)</t>
        </is>
      </c>
      <c r="B625">
        <f>IF(AND(Inputs!$B$38&lt;&gt;"pvp",Inputs!$B$43&gt;0),SUMPRODUCT((Skills!T2:T30&gt;0)*(Skills!E2:E30=TRUE)*(C587:C615=TRUE))/B620,0)</f>
        <v/>
      </c>
    </row>
    <row r="626">
      <c r="A626" t="inlineStr">
        <is>
          <t>Boss-Only Total DPS (this block's swept value)</t>
        </is>
      </c>
      <c r="B626">
        <f>SUM(T587:T615)</f>
        <v/>
      </c>
    </row>
    <row r="627">
      <c r="A627" t="inlineStr">
        <is>
          <t>Normal-Only Total DPS (this block's swept value)</t>
        </is>
      </c>
      <c r="B627">
        <f>SUM(V587:V615)</f>
        <v/>
      </c>
    </row>
    <row r="628">
      <c r="A628" s="5" t="inlineStr">
        <is>
          <t>TOTAL DPS</t>
        </is>
      </c>
      <c r="B628" s="5">
        <f>SUM(O587:O615)</f>
        <v/>
      </c>
    </row>
    <row r="631">
      <c r="A631" s="5" t="inlineStr">
        <is>
          <t>Stat: DEF_PEN % (diminishing returns, factor 100)</t>
        </is>
      </c>
    </row>
    <row r="632">
      <c r="A632" s="9" t="inlineStr">
        <is>
          <t>Key</t>
        </is>
      </c>
      <c r="B632" s="9" t="inlineStr">
        <is>
          <t>Name</t>
        </is>
      </c>
      <c r="C632" s="9" t="inlineStr">
        <is>
          <t>Unlocked</t>
        </is>
      </c>
      <c r="D632" s="9" t="inlineStr">
        <is>
          <t>InputLevel</t>
        </is>
      </c>
      <c r="E632" s="9" t="inlineStr">
        <is>
          <t>Factor</t>
        </is>
      </c>
      <c r="F632" s="9" t="inlineStr">
        <is>
          <t>CoefficientPercent</t>
        </is>
      </c>
      <c r="G632" s="9" t="inlineStr">
        <is>
          <t>EffectiveHits</t>
        </is>
      </c>
      <c r="H632" s="9" t="inlineStr">
        <is>
          <t>ProcProbability</t>
        </is>
      </c>
      <c r="I632" s="9" t="inlineStr">
        <is>
          <t>MapleHeroMultiplier</t>
        </is>
      </c>
      <c r="J632" s="9" t="inlineStr">
        <is>
          <t>BaseDamage</t>
        </is>
      </c>
      <c r="K632" s="9" t="inlineStr">
        <is>
          <t>BaseHitDamage</t>
        </is>
      </c>
      <c r="L632" s="9" t="inlineStr">
        <is>
          <t>NonCritAvg</t>
        </is>
      </c>
      <c r="M632" s="9" t="inlineStr">
        <is>
          <t>CritAvg</t>
        </is>
      </c>
      <c r="N632" s="9" t="inlineStr">
        <is>
          <t>ExpectedDamage(perHit)</t>
        </is>
      </c>
      <c r="O632" s="9" t="inlineStr">
        <is>
          <t>DPS</t>
        </is>
      </c>
      <c r="P632" s="9" t="inlineStr">
        <is>
          <t>% of Total</t>
        </is>
      </c>
      <c r="Q632" s="9" t="inlineStr">
        <is>
          <t>InvCooldown</t>
        </is>
      </c>
      <c r="R632" s="9" t="inlineStr">
        <is>
          <t>CastsInFight</t>
        </is>
      </c>
      <c r="S632" s="9" t="inlineStr">
        <is>
          <t>HitRate(perSec)</t>
        </is>
      </c>
      <c r="U632" t="inlineStr">
        <is>
          <t>helpers</t>
        </is>
      </c>
    </row>
    <row r="633">
      <c r="A633">
        <f>Skills!A2</f>
        <v/>
      </c>
      <c r="B633">
        <f>Skills!B2</f>
        <v/>
      </c>
      <c r="C633">
        <f>Inputs!$B$3&gt;=100</f>
        <v/>
      </c>
      <c r="D633" t="inlineStr"/>
      <c r="E633" t="inlineStr"/>
      <c r="F633">
        <f>U635+Skills!O2</f>
        <v/>
      </c>
      <c r="G633">
        <f>Skills!G2*IF(Skills!H2&gt;0,Skills!I2/Skills!H2,1)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$42*(1-(((1-(1-Inputs!$B$19/100)*(1-1/100))*100)+((C658=TRUE)*(F658-Calc!F27)))/100)))*(1+(Inputs!$B$24+((C656=TRUE)*(F656-Calc!F25))+((C657=TRUE)*(F657-Calc!F26))+B670)/100)*(1+(IF(Skills!A2="ARROW_STREAM",Inputs!$B$17+((C654=TRUE)*(F654-Calc!F23)),Inputs!$B$18+((C659=TRUE)*(F659-Calc!F28))))/100)*((1+(((C644=TRUE)*F644)+((C645=TRUE)*IF(Inputs!$B$38="pvp",F645,(1-Summary!$B$55)*(F645)+Summary!$B$55*(0)))+((C646=TRUE)*F646*IF(AND(Inputs!$B$38&lt;&gt;"pvp",Inputs!$B$43&gt;0),(((R646-1)*(Skills!T15*(1+Inputs!$B$34/100))+MIN((Skills!T15*(1+Inputs!$B$34/100)),MAX(0,Inputs!$B$43-((R646-1)*Skills!D15))))/Inputs!$B$43),IF(Inputs!$B$38="pvp",MIN((Skills!T15*(1+Inputs!$B$34/100)),15)/15,(Skills!T15*(1+Inputs!$B$34/100))/Skills!D15)))+((C661=TRUE)*(F661-Calc!F30)))/100)*I633)</f>
        <v/>
      </c>
      <c r="L633">
        <f>K633*(MIN(Inputs!$B$22+((C655=TRUE)*(F655-Calc!F24)),Inputs!$B$23+((C660=TRUE)*(F660-Calc!F29)))/100+(Inputs!$B$23+((C660=TRUE)*(F660-Calc!F29)))/100)/2</f>
        <v/>
      </c>
      <c r="M633">
        <f>L633*(1+(Inputs!$B$10+0+B669)/100)</f>
        <v/>
      </c>
      <c r="N633">
        <f>L633*(1-MIN((Inputs!$B$9+((C651=TRUE)*(F651-Calc!F20))+B664),100)/100)+M633*(MIN((Inputs!$B$9+((C651=TRUE)*(F651-Calc!F20))+B664),100)/100)</f>
        <v/>
      </c>
      <c r="O633">
        <f>(1-Summary!$B$55)*T633+Summary!$B$55*V633</f>
        <v/>
      </c>
      <c r="P633">
        <f>IF(B674=0,0,O633/B674)</f>
        <v/>
      </c>
      <c r="Q633" t="n">
        <v>0</v>
      </c>
      <c r="R633" t="n">
        <v>0</v>
      </c>
      <c r="S633">
        <f>IFERROR(O633/N633,0)</f>
        <v/>
      </c>
      <c r="T633">
        <f>IF(C633,(Skills!G2*N633*B668)*IF(Inputs!$B$38="pvp",1,1+(Inputs!$B$20+0+Skills!P2)/100),0)</f>
        <v/>
      </c>
      <c r="U633">
        <f>MAX(0,(Inputs!$B$3-100)*3)+Inputs!$B$28+Inputs!$B$29</f>
        <v/>
      </c>
      <c r="V633">
        <f>IF(C633,(Skills!G2*N633*B668)*IF(Inputs!$B$38="pvp",1,(1+(Inputs!$B$21+Skills!Q2)/100)*(MIN((6+Inputs!$B$33),Inputs!$B$37))),0)</f>
        <v/>
      </c>
    </row>
    <row r="634">
      <c r="A634">
        <f>Skills!A3</f>
        <v/>
      </c>
      <c r="B634">
        <f>Skills!B3</f>
        <v/>
      </c>
      <c r="C634">
        <f>Inputs!$B$3&gt;=50</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t="inlineStr"/>
      <c r="H634" t="inlineStr"/>
      <c r="I634" t="inlineStr">
        <is>
          <t>1</t>
        </is>
      </c>
      <c r="J634" t="inlineStr"/>
      <c r="K634" t="inlineStr"/>
      <c r="L634" t="inlineStr"/>
      <c r="M634" t="inlineStr"/>
      <c r="N634" t="inlineStr"/>
      <c r="O634" t="inlineStr"/>
      <c r="P634" t="inlineStr"/>
      <c r="Q634" t="inlineStr"/>
      <c r="R634" t="inlineStr"/>
      <c r="S634" t="inlineStr"/>
      <c r="T634" t="inlineStr"/>
      <c r="U634">
        <f>INDEX(FactorTable!$B$2:$Y$301, MATCH(ROUND(MIN(300,MAX(1,U633)),0), FactorTable!$A$2:$A$301,0), 22)</f>
        <v/>
      </c>
      <c r="V634" t="inlineStr"/>
    </row>
    <row r="635">
      <c r="A635">
        <f>Skills!A4</f>
        <v/>
      </c>
      <c r="B635">
        <f>Skills!B4</f>
        <v/>
      </c>
      <c r="C635">
        <f>Inputs!$B$3&gt;=105</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t="inlineStr"/>
      <c r="H635" t="inlineStr"/>
      <c r="I635" t="inlineStr">
        <is>
          <t>1</t>
        </is>
      </c>
      <c r="J635" t="inlineStr"/>
      <c r="K635" t="inlineStr"/>
      <c r="L635" t="inlineStr"/>
      <c r="M635" t="inlineStr"/>
      <c r="N635" t="inlineStr"/>
      <c r="O635" t="inlineStr"/>
      <c r="P635" t="inlineStr"/>
      <c r="Q635" t="inlineStr"/>
      <c r="R635" t="inlineStr"/>
      <c r="S635" t="inlineStr"/>
      <c r="T635" t="inlineStr"/>
      <c r="U635">
        <f>290*U634/1000</f>
        <v/>
      </c>
      <c r="V635" t="inlineStr"/>
    </row>
    <row r="636">
      <c r="A636">
        <f>Skills!A5</f>
        <v/>
      </c>
      <c r="B636">
        <f>Skills!B5</f>
        <v/>
      </c>
      <c r="C636">
        <f>Inputs!$B$3&gt;=35</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Skills!G5*IF(Skills!H5&gt;0,Skills!I5/Skills!H5,1)</f>
        <v/>
      </c>
      <c r="H636">
        <f>1-(1-Skills!J5/100)^Skills!K5</f>
        <v/>
      </c>
      <c r="I636" t="inlineStr">
        <is>
          <t>1</t>
        </is>
      </c>
      <c r="J636">
        <f>((Inputs!$B$6*(1+Inputs!$B$7/100))+(((Inputs!$B$12*(1+Inputs!$B$13/100))-(Inputs!$B$12*(1+Inputs!$B$13/100)))+0.25*(Inputs!$B$14-Inputs!$B$14))*(1+Inputs!$B$7/100))*(F636/100)</f>
        <v/>
      </c>
      <c r="K636">
        <f>J636*(1+((Inputs!$B$12*(1+Inputs!$B$13/100))*0.01+Inputs!$B$14*0.0025)/100)*(1+Inputs!$B$15/100)*(1+Inputs!$B$16/100)*(5000/(6000+Inputs!$B$42*(1-(((1-(1-Inputs!$B$19/100)*(1-1/100))*100)+((C658=TRUE)*(F658-Calc!F27)))/100)))*(1+(Inputs!$B$24+((C656=TRUE)*(F656-Calc!F25))+((C657=TRUE)*(F657-Calc!F26))+B670)/100)*(1+4.0*IF(C641=TRUE,F641,0)/100)*(1+(IF(Skills!A5="ARROW_STREAM",Inputs!$B$17+((C654=TRUE)*(F654-Calc!F23)),Inputs!$B$18+((C659=TRUE)*(F659-Calc!F28))))/100)*((1+(((C644=TRUE)*F644)+((C645=TRUE)*IF(Inputs!$B$38="pvp",F645,(1-Summary!$B$55)*(F645)+Summary!$B$55*(0)))+((C646=TRUE)*F646*IF(AND(Inputs!$B$38&lt;&gt;"pvp",Inputs!$B$43&gt;0),(((R646-1)*(Skills!T15*(1+Inputs!$B$34/100))+MIN((Skills!T15*(1+Inputs!$B$34/100)),MAX(0,Inputs!$B$43-((R646-1)*Skills!D15))))/Inputs!$B$43),IF(Inputs!$B$38="pvp",MIN((Skills!T15*(1+Inputs!$B$34/100)),15)/15,(Skills!T15*(1+Inputs!$B$34/100))/Skills!D15)))+((C661=TRUE)*(F661-Calc!F30)))/100)*I636)</f>
        <v/>
      </c>
      <c r="L636">
        <f>K636*(MIN(Inputs!$B$22+((C655=TRUE)*(F655-Calc!F24)),Inputs!$B$23+((C660=TRUE)*(F660-Calc!F29)))/100+(Inputs!$B$23+((C660=TRUE)*(F660-Calc!F29)))/100)/2</f>
        <v/>
      </c>
      <c r="M636">
        <f>L636*(1+(Inputs!$B$10+0+B669)/100)</f>
        <v/>
      </c>
      <c r="N636">
        <f>L636*(1-MIN((Inputs!$B$9+((C651=TRUE)*(F651-Calc!F20))+B664),100)/100)+M636*(MIN((Inputs!$B$9+((C651=TRUE)*(F651-Calc!F20))+B664),100)/100)</f>
        <v/>
      </c>
      <c r="O636">
        <f>(1-Summary!$B$55)*T636+Summary!$B$55*V636</f>
        <v/>
      </c>
      <c r="P636">
        <f>IF(B674=0,0,O636/B674)</f>
        <v/>
      </c>
      <c r="Q636">
        <f>IFERROR(1/IF(Inputs!$B$38="pvp",15,MAX(0.1,Skills!D5-IF(Skills!E5=TRUE,Inputs!$B$32,0))),0)</f>
        <v/>
      </c>
      <c r="R636">
        <f>IF(AND(Inputs!$B$38&lt;&gt;"pvp",Inputs!$B$43&gt;0),IF(MAX(0,Inputs!$B$43-B671)&lt;=0,0,(INT(MAX(0,Inputs!$B$43-B671)/IF(Inputs!$B$38="pvp",15,MAX(0.1,Skills!D5-IF(Skills!E5=TRUE,Inputs!$B$32,0))))+1)),0)</f>
        <v/>
      </c>
      <c r="S636">
        <f>IFERROR(O636/N636,0)</f>
        <v/>
      </c>
      <c r="T636">
        <f>IF(C636,(H636*N636*IF(AND(Inputs!$B$38&lt;&gt;"pvp",Inputs!$B$43&gt;0),((Skills!G5*((R636-1)*IF(Skills!H5&gt;0,Skills!I5/Skills!H5,1)+IF(Skills!H5&gt;0,MIN(Skills!I5,MAX(0,MAX(0,Inputs!$B$43-B671)-((R636-1)*IF(Inputs!$B$38="pvp",15,MAX(0.1,Skills!D5-IF(Skills!E5=TRUE,Inputs!$B$32,0))))))/Skills!H5,1)))/Inputs!$B$43),G636*Q636))*IF(Inputs!$B$38="pvp",1,1+(Inputs!$B$20+0+Skills!P5)/100),0)</f>
        <v/>
      </c>
      <c r="V636">
        <f>IF(C636,(H636*N636*IF(AND(Inputs!$B$38&lt;&gt;"pvp",Inputs!$B$43&gt;0),((Skills!G5*((R636-1)*IF(Skills!H5&gt;0,Skills!I5/Skills!H5,1)+IF(Skills!H5&gt;0,MIN(Skills!I5,MAX(0,MAX(0,Inputs!$B$43-B671)-((R636-1)*IF(Inputs!$B$38="pvp",15,MAX(0.1,Skills!D5-IF(Skills!E5=TRUE,Inputs!$B$32,0))))))/Skills!H5,1)))/Inputs!$B$43),G636*Q636))*IF(Inputs!$B$38="pvp",1,(1+(Inputs!$B$21+Skills!Q5)/100)*(MIN(Skills!R5,Inputs!$B$37))),0)</f>
        <v/>
      </c>
    </row>
    <row r="637">
      <c r="A637">
        <f>Skills!A6</f>
        <v/>
      </c>
      <c r="B637">
        <f>Skills!B6</f>
        <v/>
      </c>
      <c r="C637">
        <f>Inputs!$B$3&gt;=40</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Skills!G6*IF(Skills!H6&gt;0,Skills!I6/Skills!H6,1)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$42*(1-(((1-(1-Inputs!$B$19/100)*(1-1/100))*100)+((C658=TRUE)*(F658-Calc!F27)))/100)))*(1+(Inputs!$B$24+((C656=TRUE)*(F656-Calc!F25))+((C657=TRUE)*(F657-Calc!F26))+B670)/100)*(1+IF(C638=TRUE,F638,0)/100)*(1+(IF(Skills!A6="ARROW_STREAM",Inputs!$B$17+((C654=TRUE)*(F654-Calc!F23)),Inputs!$B$18+((C659=TRUE)*(F659-Calc!F28))))/100)*((1+(((C644=TRUE)*F644)+((C645=TRUE)*IF(Inputs!$B$38="pvp",F645,(1-Summary!$B$55)*(F645)+Summary!$B$55*(0)))+((C646=TRUE)*F646*IF(AND(Inputs!$B$38&lt;&gt;"pvp",Inputs!$B$43&gt;0),(((R646-1)*(Skills!T15*(1+Inputs!$B$34/100))+MIN((Skills!T15*(1+Inputs!$B$34/100)),MAX(0,Inputs!$B$43-((R646-1)*Skills!D15))))/Inputs!$B$43),IF(Inputs!$B$38="pvp",MIN((Skills!T15*(1+Inputs!$B$34/100)),15)/15,(Skills!T15*(1+Inputs!$B$34/100))/Skills!D15)))+((C661=TRUE)*(F661-Calc!F30)))/100)*I637)</f>
        <v/>
      </c>
      <c r="L637">
        <f>K637*(MIN(Inputs!$B$22+((C655=TRUE)*(F655-Calc!F24)),Inputs!$B$23+((C660=TRUE)*(F660-Calc!F29)))/100+(Inputs!$B$23+((C660=TRUE)*(F660-Calc!F29)))/100)/2</f>
        <v/>
      </c>
      <c r="M637">
        <f>L637*(1+(Inputs!$B$10+0+B669)/100)</f>
        <v/>
      </c>
      <c r="N637">
        <f>L637*(1-MIN((Inputs!$B$9+((C651=TRUE)*(F651-Calc!F20))+B664),100)/100)+M637*(MIN((Inputs!$B$9+((C651=TRUE)*(F651-Calc!F20))+B664),100)/100)</f>
        <v/>
      </c>
      <c r="O637">
        <f>(1-Summary!$B$55)*T637+Summary!$B$55*V637</f>
        <v/>
      </c>
      <c r="P637">
        <f>IF(B674=0,0,O637/B674)</f>
        <v/>
      </c>
      <c r="Q637">
        <f>IFERROR(1/IF(Inputs!$B$38="pvp",15,MAX(0.1,Skills!D6-IF(Skills!E6=TRUE,Inputs!$B$32,0))),0)</f>
        <v/>
      </c>
      <c r="R637">
        <f>IF(AND(Inputs!$B$38&lt;&gt;"pvp",Inputs!$B$43&gt;0),IF(MAX(0,Inputs!$B$43-B671)&lt;=0,0,(INT(MAX(0,Inputs!$B$43-B671)/IF(Inputs!$B$38="pvp",15,MAX(0.1,Skills!D6-IF(Skills!E6=TRUE,Inputs!$B$32,0))))+1)),0)</f>
        <v/>
      </c>
      <c r="S637">
        <f>IFERROR(O637/N637,0)</f>
        <v/>
      </c>
      <c r="T637">
        <f>IF(C637,(H637*N637*IF(AND(Inputs!$B$38&lt;&gt;"pvp",Inputs!$B$43&gt;0),((Skills!G6*((R637-1)*IF(Skills!H6&gt;0,Skills!I6/Skills!H6,1)+IF(Skills!H6&gt;0,MIN(Skills!I6,MAX(0,MAX(0,Inputs!$B$43-B671)-((R637-1)*IF(Inputs!$B$38="pvp",15,MAX(0.1,Skills!D6-IF(Skills!E6=TRUE,Inputs!$B$32,0))))))/Skills!H6,1)))/Inputs!$B$43),G637*Q637))*IF(Inputs!$B$38="pvp",1,1+(Inputs!$B$20+0+Skills!P6)/100),0)</f>
        <v/>
      </c>
      <c r="V637">
        <f>IF(C637,(H637*N637*IF(AND(Inputs!$B$38&lt;&gt;"pvp",Inputs!$B$43&gt;0),((Skills!G6*((R637-1)*IF(Skills!H6&gt;0,Skills!I6/Skills!H6,1)+IF(Skills!H6&gt;0,MIN(Skills!I6,MAX(0,MAX(0,Inputs!$B$43-B671)-((R637-1)*IF(Inputs!$B$38="pvp",15,MAX(0.1,Skills!D6-IF(Skills!E6=TRUE,Inputs!$B$32,0))))))/Skills!H6,1)))/Inputs!$B$43),G637*Q637))*IF(Inputs!$B$38="pvp",1,(1+(Inputs!$B$21+Skills!Q6)/100)*(MIN(Skills!R6,Inputs!$B$37))),0)</f>
        <v/>
      </c>
    </row>
    <row r="638">
      <c r="A638">
        <f>Skills!A7</f>
        <v/>
      </c>
      <c r="B638">
        <f>Skills!B7</f>
        <v/>
      </c>
      <c r="C638">
        <f>Inputs!$B$3&gt;=107</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t="inlineStr"/>
      <c r="H638" t="inlineStr"/>
      <c r="I638" t="inlineStr">
        <is>
          <t>1</t>
        </is>
      </c>
      <c r="J638" t="inlineStr"/>
      <c r="K638" t="inlineStr"/>
      <c r="L638" t="inlineStr"/>
      <c r="M638" t="inlineStr"/>
      <c r="N638" t="inlineStr"/>
      <c r="O638" t="inlineStr"/>
      <c r="P638" t="inlineStr"/>
      <c r="Q638" t="inlineStr"/>
      <c r="R638" t="inlineStr"/>
      <c r="S638" t="inlineStr"/>
      <c r="T638" t="inlineStr"/>
      <c r="V638" t="inlineStr"/>
    </row>
    <row r="639">
      <c r="A639">
        <f>Skills!A8</f>
        <v/>
      </c>
      <c r="B639">
        <f>Skills!B8</f>
        <v/>
      </c>
      <c r="C639">
        <f>Inputs!$B$3&gt;=69</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Skills!G8*IF(Skills!H8&gt;0,Skills!I8/Skills!H8,1)</f>
        <v/>
      </c>
      <c r="H639">
        <f>1-(1-Skills!J8/100)^Skills!K8</f>
        <v/>
      </c>
      <c r="I639" t="inlineStr">
        <is>
          <t>1</t>
        </is>
      </c>
      <c r="J639">
        <f>((Inputs!$B$6*(1+Inputs!$B$7/100))+(((Inputs!$B$12*(1+Inputs!$B$13/100))-(Inputs!$B$12*(1+Inputs!$B$13/100)))+0.25*(Inputs!$B$14-Inputs!$B$14))*(1+Inputs!$B$7/100))*(F639/100)</f>
        <v/>
      </c>
      <c r="K639">
        <f>J639*(1+((Inputs!$B$12*(1+Inputs!$B$13/100))*0.01+Inputs!$B$14*0.0025)/100)*(1+Inputs!$B$15/100)*(1+Inputs!$B$16/100)*(5000/(6000+Inputs!$B$42*(1-(((1-(1-Inputs!$B$19/100)*(1-1/100))*100)+((C658=TRUE)*(F658-Calc!F27)))/100)))*(1+(Inputs!$B$24+((C656=TRUE)*(F656-Calc!F25))+((C657=TRUE)*(F657-Calc!F26))+B670)/100)*(1+1.2*IF(C641=TRUE,F641,0)/100)*(1+(IF(Skills!A8="ARROW_STREAM",Inputs!$B$17+((C654=TRUE)*(F654-Calc!F23)),Inputs!$B$18+((C659=TRUE)*(F659-Calc!F28))))/100)*((1+(((C644=TRUE)*F644)+((C645=TRUE)*IF(Inputs!$B$38="pvp",F645,(1-Summary!$B$55)*(F645)+Summary!$B$55*(0)))+((C646=TRUE)*F646*IF(AND(Inputs!$B$38&lt;&gt;"pvp",Inputs!$B$43&gt;0),(((R646-1)*(Skills!T15*(1+Inputs!$B$34/100))+MIN((Skills!T15*(1+Inputs!$B$34/100)),MAX(0,Inputs!$B$43-((R646-1)*Skills!D15))))/Inputs!$B$43),IF(Inputs!$B$38="pvp",MIN((Skills!T15*(1+Inputs!$B$34/100)),15)/15,(Skills!T15*(1+Inputs!$B$34/100))/Skills!D15)))+((C661=TRUE)*(F661-Calc!F30)))/100)*I639)</f>
        <v/>
      </c>
      <c r="L639">
        <f>K639*(MIN(Inputs!$B$22+((C655=TRUE)*(F655-Calc!F24)),Inputs!$B$23+((C660=TRUE)*(F660-Calc!F29)))/100+(Inputs!$B$23+((C660=TRUE)*(F660-Calc!F29)))/100)/2</f>
        <v/>
      </c>
      <c r="M639">
        <f>L639*(1+(Inputs!$B$10+0+B669)/100)</f>
        <v/>
      </c>
      <c r="N639">
        <f>L639*(1-MIN((Inputs!$B$9+((C651=TRUE)*(F651-Calc!F20))+B664),100)/100)+M639*(MIN((Inputs!$B$9+((C651=TRUE)*(F651-Calc!F20))+B664),100)/100)</f>
        <v/>
      </c>
      <c r="O639">
        <f>(1-Summary!$B$55)*T639+Summary!$B$55*V639</f>
        <v/>
      </c>
      <c r="P639">
        <f>IF(B674=0,0,O639/B674)</f>
        <v/>
      </c>
      <c r="Q639">
        <f>IFERROR(1/IF(Inputs!$B$38="pvp",15,MAX(0.1,Skills!D8-IF(Skills!E8=TRUE,Inputs!$B$32,0))),0)</f>
        <v/>
      </c>
      <c r="R639">
        <f>IF(AND(Inputs!$B$38&lt;&gt;"pvp",Inputs!$B$43&gt;0),IF(MAX(0,Inputs!$B$43-B671)&lt;=0,0,(INT(MAX(0,Inputs!$B$43-B671)/IF(Inputs!$B$38="pvp",15,MAX(0.1,Skills!D8-IF(Skills!E8=TRUE,Inputs!$B$32,0))))+1)),0)</f>
        <v/>
      </c>
      <c r="S639">
        <f>IFERROR(O639/N639,0)</f>
        <v/>
      </c>
      <c r="T639">
        <f>IF(C639,(H639*N639*IF(AND(Inputs!$B$38&lt;&gt;"pvp",Inputs!$B$43&gt;0),((Skills!G8*((R639-1)*IF(Skills!H8&gt;0,Skills!I8/Skills!H8,1)+IF(Skills!H8&gt;0,MIN(Skills!I8,MAX(0,MAX(0,Inputs!$B$43-B671)-((R639-1)*IF(Inputs!$B$38="pvp",15,MAX(0.1,Skills!D8-IF(Skills!E8=TRUE,Inputs!$B$32,0))))))/Skills!H8,1)))/Inputs!$B$43),G639*Q639))*IF(Inputs!$B$38="pvp",1,1+(Inputs!$B$20+0+Skills!P8)/100),0)</f>
        <v/>
      </c>
      <c r="V639">
        <f>IF(C639,(H639*N639*IF(AND(Inputs!$B$38&lt;&gt;"pvp",Inputs!$B$43&gt;0),((Skills!G8*((R639-1)*IF(Skills!H8&gt;0,Skills!I8/Skills!H8,1)+IF(Skills!H8&gt;0,MIN(Skills!I8,MAX(0,MAX(0,Inputs!$B$43-B671)-((R639-1)*IF(Inputs!$B$38="pvp",15,MAX(0.1,Skills!D8-IF(Skills!E8=TRUE,Inputs!$B$32,0))))))/Skills!H8,1)))/Inputs!$B$43),G639*Q639))*IF(Inputs!$B$38="pvp",1,(1+(Inputs!$B$21+Skills!Q8)/100)*(MIN(Skills!R8,Inputs!$B$37))),0)</f>
        <v/>
      </c>
    </row>
    <row r="640">
      <c r="A640">
        <f>Skills!A9</f>
        <v/>
      </c>
      <c r="B640">
        <f>Skills!B9</f>
        <v/>
      </c>
      <c r="C640">
        <f>Inputs!$B$3&gt;=63</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Skills!G9*IF(Skills!H9&gt;0,Skills!I9/Skills!H9,1)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$42*(1-(((1-(1-Inputs!$B$19/100)*(1-1/100))*100)+((C658=TRUE)*(F658-Calc!F27)))/100)))*(1+(Inputs!$B$24+((C656=TRUE)*(F656-Calc!F25))+((C657=TRUE)*(F657-Calc!F26))+B670)/100)*(1+1.0*IF(C641=TRUE,F641,0)/100)*(1+(IF(Skills!A9="ARROW_STREAM",Inputs!$B$17+((C654=TRUE)*(F654-Calc!F23)),Inputs!$B$18+((C659=TRUE)*(F659-Calc!F28))))/100)*((1+(((C644=TRUE)*F644)+((C645=TRUE)*IF(Inputs!$B$38="pvp",F645,(1-Summary!$B$55)*(F645)+Summary!$B$55*(0)))+((C646=TRUE)*F646*IF(AND(Inputs!$B$38&lt;&gt;"pvp",Inputs!$B$43&gt;0),(((R646-1)*(Skills!T15*(1+Inputs!$B$34/100))+MIN((Skills!T15*(1+Inputs!$B$34/100)),MAX(0,Inputs!$B$43-((R646-1)*Skills!D15))))/Inputs!$B$43),IF(Inputs!$B$38="pvp",MIN((Skills!T15*(1+Inputs!$B$34/100)),15)/15,(Skills!T15*(1+Inputs!$B$34/100))/Skills!D15)))+((C661=TRUE)*(F661-Calc!F30)))/100)*I640)</f>
        <v/>
      </c>
      <c r="L640">
        <f>K640*(MIN(Inputs!$B$22+((C655=TRUE)*(F655-Calc!F24)),Inputs!$B$23+((C660=TRUE)*(F660-Calc!F29)))/100+(Inputs!$B$23+((C660=TRUE)*(F660-Calc!F29)))/100)/2</f>
        <v/>
      </c>
      <c r="M640">
        <f>L640*(1+(Inputs!$B$10+0+B669)/100)</f>
        <v/>
      </c>
      <c r="N640">
        <f>L640*(1-MIN((Inputs!$B$9+((C651=TRUE)*(F651-Calc!F20))+B664),100)/100)+M640*(MIN((Inputs!$B$9+((C651=TRUE)*(F651-Calc!F20))+B664),100)/100)</f>
        <v/>
      </c>
      <c r="O640">
        <f>(1-Summary!$B$55)*T640+Summary!$B$55*V640</f>
        <v/>
      </c>
      <c r="P640">
        <f>IF(B674=0,0,O640/B674)</f>
        <v/>
      </c>
      <c r="Q640">
        <f>IFERROR(1/IF(Inputs!$B$38="pvp",15,MAX(0.1,Skills!D9-IF(Skills!E9=TRUE,Inputs!$B$32,0))),0)</f>
        <v/>
      </c>
      <c r="R640">
        <f>IF(AND(Inputs!$B$38&lt;&gt;"pvp",Inputs!$B$43&gt;0),IF(MAX(0,Inputs!$B$43-B671)&lt;=0,0,(INT(MAX(0,Inputs!$B$43-B671)/IF(Inputs!$B$38="pvp",15,MAX(0.1,Skills!D9-IF(Skills!E9=TRUE,Inputs!$B$32,0))))+1)),0)</f>
        <v/>
      </c>
      <c r="S640">
        <f>IFERROR(O640/N640,0)</f>
        <v/>
      </c>
      <c r="T640">
        <f>IF(C640,(H640*N640*IF(AND(Inputs!$B$38&lt;&gt;"pvp",Inputs!$B$43&gt;0),((Skills!G9*((R640-1)*IF(Skills!H9&gt;0,Skills!I9/Skills!H9,1)+IF(Skills!H9&gt;0,MIN(Skills!I9,MAX(0,MAX(0,Inputs!$B$43-B671)-((R640-1)*IF(Inputs!$B$38="pvp",15,MAX(0.1,Skills!D9-IF(Skills!E9=TRUE,Inputs!$B$32,0))))))/Skills!H9,1)))/Inputs!$B$43),G640*Q640))*IF(Inputs!$B$38="pvp",1,1+(Inputs!$B$20+0+Skills!P9)/100),0)</f>
        <v/>
      </c>
      <c r="V640">
        <f>IF(C640,(H640*N640*IF(AND(Inputs!$B$38&lt;&gt;"pvp",Inputs!$B$43&gt;0),((Skills!G9*((R640-1)*IF(Skills!H9&gt;0,Skills!I9/Skills!H9,1)+IF(Skills!H9&gt;0,MIN(Skills!I9,MAX(0,MAX(0,Inputs!$B$43-B671)-((R640-1)*IF(Inputs!$B$38="pvp",15,MAX(0.1,Skills!D9-IF(Skills!E9=TRUE,Inputs!$B$32,0))))))/Skills!H9,1)))/Inputs!$B$43),G640*Q640))*IF(Inputs!$B$38="pvp",1,(1+(Inputs!$B$21+Skills!Q9)/100)*(MIN(Skills!R9,Inputs!$B$37))),0)</f>
        <v/>
      </c>
    </row>
    <row r="641">
      <c r="A641">
        <f>Skills!A10</f>
        <v/>
      </c>
      <c r="B641">
        <f>Skills!B10</f>
        <v/>
      </c>
      <c r="C641">
        <f>Inputs!$B$3&gt;=100</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t="inlineStr"/>
      <c r="H641" t="inlineStr"/>
      <c r="I641" t="inlineStr">
        <is>
          <t>1</t>
        </is>
      </c>
      <c r="J641" t="inlineStr"/>
      <c r="K641" t="inlineStr"/>
      <c r="L641" t="inlineStr"/>
      <c r="M641" t="inlineStr"/>
      <c r="N641" t="inlineStr"/>
      <c r="O641" t="inlineStr"/>
      <c r="P641" t="inlineStr"/>
      <c r="Q641" t="inlineStr"/>
      <c r="R641" t="inlineStr"/>
      <c r="S641" t="inlineStr"/>
      <c r="T641" t="inlineStr"/>
      <c r="V641" t="inlineStr"/>
    </row>
    <row r="642">
      <c r="A642">
        <f>Skills!A11</f>
        <v/>
      </c>
      <c r="B642">
        <f>Skills!B11</f>
        <v/>
      </c>
      <c r="C642">
        <f>Inputs!$B$3&gt;=60</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Skills!G11*IF(Skills!H11&gt;0,Skills!I11/Skills!H11,1)</f>
        <v/>
      </c>
      <c r="H642">
        <f>1-(1-Skills!J11/100)^Skills!K11</f>
        <v/>
      </c>
      <c r="I642" t="inlineStr">
        <is>
          <t>1</t>
        </is>
      </c>
      <c r="J642">
        <f>((Inputs!$B$6*(1+Inputs!$B$7/100))+(((Inputs!$B$12*(1+Inputs!$B$13/100))-(Inputs!$B$12*(1+Inputs!$B$13/100)))+0.25*(Inputs!$B$14-Inputs!$B$14))*(1+Inputs!$B$7/100))*(F642/100)</f>
        <v/>
      </c>
      <c r="K642">
        <f>J642*(1+((Inputs!$B$12*(1+Inputs!$B$13/100))*0.01+Inputs!$B$14*0.0025)/100)*(1+Inputs!$B$15/100)*(1+Inputs!$B$16/100)*(5000/(6000+Inputs!$B$42*(1-(((1-(1-Inputs!$B$19/100)*(1-1/100))*100)+((C658=TRUE)*(F658-Calc!F27)))/100)))*(1+(Inputs!$B$24+((C656=TRUE)*(F656-Calc!F25))+((C657=TRUE)*(F657-Calc!F26))+B670)/100)*(1+IF(C643=TRUE,F643,0)/100)*(1+(IF(Skills!A11="ARROW_STREAM",Inputs!$B$17+((C654=TRUE)*(F654-Calc!F23)),Inputs!$B$18+((C659=TRUE)*(F659-Calc!F28))))/100)*((1+(((C644=TRUE)*F644)+((C645=TRUE)*IF(Inputs!$B$38="pvp",F645,(1-Summary!$B$55)*(F645)+Summary!$B$55*(0)))+((C646=TRUE)*F646*IF(AND(Inputs!$B$38&lt;&gt;"pvp",Inputs!$B$43&gt;0),(((R646-1)*(Skills!T15*(1+Inputs!$B$34/100))+MIN((Skills!T15*(1+Inputs!$B$34/100)),MAX(0,Inputs!$B$43-((R646-1)*Skills!D15))))/Inputs!$B$43),IF(Inputs!$B$38="pvp",MIN((Skills!T15*(1+Inputs!$B$34/100)),15)/15,(Skills!T15*(1+Inputs!$B$34/100))/Skills!D15)))+((C661=TRUE)*(F661-Calc!F30)))/100)*I642)</f>
        <v/>
      </c>
      <c r="L642">
        <f>K642*(MIN(Inputs!$B$22+((C655=TRUE)*(F655-Calc!F24)),Inputs!$B$23+((C660=TRUE)*(F660-Calc!F29)))/100+(Inputs!$B$23+((C660=TRUE)*(F660-Calc!F29)))/100)/2</f>
        <v/>
      </c>
      <c r="M642">
        <f>L642*(1+(Inputs!$B$10+0+B669)/100)</f>
        <v/>
      </c>
      <c r="N642">
        <f>L642*(1-MIN((Inputs!$B$9+((C651=TRUE)*(F651-Calc!F20))+B664),100)/100)+M642*(MIN((Inputs!$B$9+((C651=TRUE)*(F651-Calc!F20))+B664),100)/100)</f>
        <v/>
      </c>
      <c r="O642">
        <f>(1-Summary!$B$55)*T642+Summary!$B$55*V642</f>
        <v/>
      </c>
      <c r="P642">
        <f>IF(B674=0,0,O642/B674)</f>
        <v/>
      </c>
      <c r="Q642">
        <f>IFERROR(1/IF(Inputs!$B$38="pvp",15,MAX(0.1,Skills!D11-IF(Skills!E11=TRUE,Inputs!$B$32,0))),0)</f>
        <v/>
      </c>
      <c r="R642">
        <f>IF(AND(Inputs!$B$38&lt;&gt;"pvp",Inputs!$B$43&gt;0),IF(MAX(0,Inputs!$B$43-B671)&lt;=0,0,(INT(MAX(0,Inputs!$B$43-B671)/IF(Inputs!$B$38="pvp",15,MAX(0.1,Skills!D11-IF(Skills!E11=TRUE,Inputs!$B$32,0))))+1)),0)</f>
        <v/>
      </c>
      <c r="S642">
        <f>IFERROR(O642/N642,0)</f>
        <v/>
      </c>
      <c r="T642">
        <f>IF(C642,(H642*N642*IF(AND(Inputs!$B$38&lt;&gt;"pvp",Inputs!$B$43&gt;0),((Skills!G11*((R642-1)*IF(Skills!H11&gt;0,Skills!I11/Skills!H11,1)+IF(Skills!H11&gt;0,MIN(Skills!I11,MAX(0,MAX(0,Inputs!$B$43-B671)-((R642-1)*IF(Inputs!$B$38="pvp",15,MAX(0.1,Skills!D11-IF(Skills!E11=TRUE,Inputs!$B$32,0))))))/Skills!H11,1)))/Inputs!$B$43),G642*Q642))*IF(Inputs!$B$38="pvp",1,1+(Inputs!$B$20+0+Skills!P11)/100),0)</f>
        <v/>
      </c>
      <c r="V642">
        <f>IF(C642,(H642*N642*IF(AND(Inputs!$B$38&lt;&gt;"pvp",Inputs!$B$43&gt;0),((Skills!G11*((R642-1)*IF(Skills!H11&gt;0,Skills!I11/Skills!H11,1)+IF(Skills!H11&gt;0,MIN(Skills!I11,MAX(0,MAX(0,Inputs!$B$43-B671)-((R642-1)*IF(Inputs!$B$38="pvp",15,MAX(0.1,Skills!D11-IF(Skills!E11=TRUE,Inputs!$B$32,0))))))/Skills!H11,1)))/Inputs!$B$43),G642*Q642))*IF(Inputs!$B$38="pvp",1,(1+(Inputs!$B$21+Skills!Q11)/100)*(MIN(Skills!R11,Inputs!$B$37))),0)</f>
        <v/>
      </c>
    </row>
    <row r="643">
      <c r="A643">
        <f>Skills!A12</f>
        <v/>
      </c>
      <c r="B643">
        <f>Skills!B12</f>
        <v/>
      </c>
      <c r="C643">
        <f>Inputs!$B$3&gt;=110</f>
        <v/>
      </c>
      <c r="D643">
        <f>IF(Skills!C12=1,60+Inputs!$B$25+Inputs!$B$29,IF(Skills!C12=2,90+Inputs!$B$26+Inputs!$B$29,IF(Skills!C12=3,120+Inputs!$B$27+Inputs!$B$29,MAX(0,(Inputs!$B$3-100)*3)+Inputs!$B$28+Inputs!$B$29)))</f>
        <v/>
      </c>
      <c r="E643">
        <f>INDEX(FactorTable!$B$2:$Y$301, MATCH(ROUND(MIN(300,MAX(1,D643)),0), FactorTable!$A$2:$A$301,0), Skills!M12+1)</f>
        <v/>
      </c>
      <c r="F643">
        <f>IF(Skills!N12=TRUE,(Skills!L12/10)*(E643/1000),Skills!L12/10)+Skills!O12</f>
        <v/>
      </c>
      <c r="G643" t="inlineStr"/>
      <c r="H643" t="inlineStr"/>
      <c r="I643" t="inlineStr">
        <is>
          <t>1</t>
        </is>
      </c>
      <c r="J643" t="inlineStr"/>
      <c r="K643" t="inlineStr"/>
      <c r="L643" t="inlineStr"/>
      <c r="M643" t="inlineStr"/>
      <c r="N643" t="inlineStr"/>
      <c r="O643" t="inlineStr"/>
      <c r="P643" t="inlineStr"/>
      <c r="Q643" t="inlineStr"/>
      <c r="R643" t="inlineStr"/>
      <c r="S643" t="inlineStr"/>
      <c r="T643" t="inlineStr"/>
      <c r="V643" t="inlineStr"/>
    </row>
    <row r="644">
      <c r="A644">
        <f>Skills!A13</f>
        <v/>
      </c>
      <c r="B644">
        <f>Skills!B13</f>
        <v/>
      </c>
      <c r="C644">
        <f>Inputs!$B$3&gt;=74</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Skills!G13*IF(Skills!H13&gt;0,Skills!I13/Skills!H13,1)</f>
        <v/>
      </c>
      <c r="H644">
        <f>1-(1-Skills!J13/100)^Skills!K13</f>
        <v/>
      </c>
      <c r="I644" t="inlineStr">
        <is>
          <t>1</t>
        </is>
      </c>
      <c r="J644" t="inlineStr"/>
      <c r="K644" t="inlineStr"/>
      <c r="L644" t="inlineStr"/>
      <c r="M644" t="inlineStr"/>
      <c r="N644" t="inlineStr"/>
      <c r="O644">
        <f>(1-Summary!$B$55)*T644+Summary!$B$55*V644</f>
        <v/>
      </c>
      <c r="P644">
        <f>IF(B674=0,0,O644/B674)</f>
        <v/>
      </c>
      <c r="Q644" t="n">
        <v>0</v>
      </c>
      <c r="R644" t="n">
        <v>0</v>
      </c>
      <c r="S644">
        <f>IFERROR(O644/N644,0)</f>
        <v/>
      </c>
      <c r="T644" t="n">
        <v>0</v>
      </c>
      <c r="V644" t="n">
        <v>0</v>
      </c>
    </row>
    <row r="645">
      <c r="A645">
        <f>Skills!A14</f>
        <v/>
      </c>
      <c r="B645">
        <f>Skills!B14</f>
        <v/>
      </c>
      <c r="C645">
        <f>Inputs!$B$3&gt;=74</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Skills!G14*IF(Skills!H14&gt;0,Skills!I14/Skills!H14,1)</f>
        <v/>
      </c>
      <c r="H645">
        <f>1-(1-Skills!J14/100)^Skills!K14</f>
        <v/>
      </c>
      <c r="I645" t="inlineStr">
        <is>
          <t>1</t>
        </is>
      </c>
      <c r="J645" t="inlineStr"/>
      <c r="K645" t="inlineStr"/>
      <c r="L645" t="inlineStr"/>
      <c r="M645" t="inlineStr"/>
      <c r="N645" t="inlineStr"/>
      <c r="O645">
        <f>(1-Summary!$B$55)*T645+Summary!$B$55*V645</f>
        <v/>
      </c>
      <c r="P645">
        <f>IF(B674=0,0,O645/B674)</f>
        <v/>
      </c>
      <c r="Q645" t="n">
        <v>0</v>
      </c>
      <c r="R645" t="n">
        <v>0</v>
      </c>
      <c r="S645">
        <f>IFERROR(O645/N645,0)</f>
        <v/>
      </c>
      <c r="T645" t="n">
        <v>0</v>
      </c>
      <c r="V645" t="n">
        <v>0</v>
      </c>
    </row>
    <row r="646">
      <c r="A646">
        <f>Skills!A15</f>
        <v/>
      </c>
      <c r="B646">
        <f>Skills!B15</f>
        <v/>
      </c>
      <c r="C646">
        <f>Inputs!$B$3&gt;=117</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Skills!G15*IF(Skills!H15&gt;0,Skills!I15/Skills!H15,1)</f>
        <v/>
      </c>
      <c r="H646">
        <f>1-(1-Skills!J15/100)^Skills!K15</f>
        <v/>
      </c>
      <c r="I646" t="inlineStr">
        <is>
          <t>1</t>
        </is>
      </c>
      <c r="J646" t="inlineStr"/>
      <c r="K646" t="inlineStr"/>
      <c r="L646" t="inlineStr"/>
      <c r="M646" t="inlineStr"/>
      <c r="N646" t="inlineStr"/>
      <c r="O646">
        <f>(1-Summary!$B$55)*T646+Summary!$B$55*V646</f>
        <v/>
      </c>
      <c r="P646">
        <f>IF(B674=0,0,O646/B674)</f>
        <v/>
      </c>
      <c r="Q646">
        <f>IFERROR(1/IF(Inputs!$B$38="pvp",15,MAX(0.1,Skills!D15-IF(Skills!E15=TRUE,Inputs!$B$32,0))),0)</f>
        <v/>
      </c>
      <c r="R646">
        <f>IF(AND(Inputs!$B$38&lt;&gt;"pvp",Inputs!$B$43&gt;0),IF(Inputs!$B$43&lt;=0,0,(INT(Inputs!$B$43/IF(Inputs!$B$38="pvp",15,MAX(0.1,Skills!D15-IF(Skills!E15=TRUE,Inputs!$B$32,0))))+1)),0)</f>
        <v/>
      </c>
      <c r="S646">
        <f>IFERROR(O646/N646,0)</f>
        <v/>
      </c>
      <c r="T646" t="n">
        <v>0</v>
      </c>
      <c r="V646" t="n">
        <v>0</v>
      </c>
    </row>
    <row r="647">
      <c r="A647">
        <f>Skills!A16</f>
        <v/>
      </c>
      <c r="B647">
        <f>Skills!B16</f>
        <v/>
      </c>
      <c r="C647">
        <f>Inputs!$B$3&gt;=115</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Skills!G16*IF(Skills!H16&gt;0,Skills!I16/Skills!H16,1)</f>
        <v/>
      </c>
      <c r="H647">
        <f>1-(1-Skills!J16/100)^Skills!K16</f>
        <v/>
      </c>
      <c r="I647" t="inlineStr">
        <is>
          <t>1</t>
        </is>
      </c>
      <c r="J647" t="inlineStr"/>
      <c r="K647" t="inlineStr"/>
      <c r="L647" t="inlineStr"/>
      <c r="M647" t="inlineStr"/>
      <c r="N647" t="inlineStr"/>
      <c r="O647">
        <f>(1-Summary!$B$55)*T647+Summary!$B$55*V647</f>
        <v/>
      </c>
      <c r="P647">
        <f>IF(B674=0,0,O647/B674)</f>
        <v/>
      </c>
      <c r="Q647">
        <f>IFERROR(1/IF(Inputs!$B$38="pvp",15,MAX(0.1,Skills!D16-IF(Skills!E16=TRUE,Inputs!$B$32,0))),0)</f>
        <v/>
      </c>
      <c r="R647">
        <f>IF(AND(Inputs!$B$38&lt;&gt;"pvp",Inputs!$B$43&gt;0),IF(Inputs!$B$43&lt;=0,0,(INT(Inputs!$B$43/IF(Inputs!$B$38="pvp",15,MAX(0.1,Skills!D16-IF(Skills!E16=TRUE,Inputs!$B$32,0))))+1)),0)</f>
        <v/>
      </c>
      <c r="S647">
        <f>IFERROR(O647/N647,0)</f>
        <v/>
      </c>
      <c r="T647" t="n">
        <v>0</v>
      </c>
      <c r="V647" t="n">
        <v>0</v>
      </c>
    </row>
    <row r="648">
      <c r="A648">
        <f>Skills!A17</f>
        <v/>
      </c>
      <c r="B648">
        <f>Skills!B17</f>
        <v/>
      </c>
      <c r="C648">
        <f>Inputs!$B$3&gt;=66</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Skills!G17*IF(Skills!H17&gt;0,Skills!I17/Skills!H17,1)</f>
        <v/>
      </c>
      <c r="H648">
        <f>1-(1-Skills!J17/100)^Skills!K17</f>
        <v/>
      </c>
      <c r="I648" t="inlineStr">
        <is>
          <t>1</t>
        </is>
      </c>
      <c r="J648" t="inlineStr"/>
      <c r="K648" t="inlineStr"/>
      <c r="L648" t="inlineStr"/>
      <c r="M648" t="inlineStr"/>
      <c r="N648" t="inlineStr"/>
      <c r="O648">
        <f>(1-Summary!$B$55)*T648+Summary!$B$55*V648</f>
        <v/>
      </c>
      <c r="P648">
        <f>IF(B674=0,0,O648/B674)</f>
        <v/>
      </c>
      <c r="Q648" t="n">
        <v>0</v>
      </c>
      <c r="R648" t="n">
        <v>0</v>
      </c>
      <c r="S648">
        <f>IFERROR(O648/N648,0)</f>
        <v/>
      </c>
      <c r="T648" t="n">
        <v>0</v>
      </c>
      <c r="V648" t="n">
        <v>0</v>
      </c>
    </row>
    <row r="649">
      <c r="A649">
        <f>Skills!A18</f>
        <v/>
      </c>
      <c r="B649">
        <f>Skills!B18</f>
        <v/>
      </c>
      <c r="C649">
        <f>Inputs!$B$3&gt;=72</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Skills!G18*IF(Skills!H18&gt;0,Skills!I18/Skills!H18,1)</f>
        <v/>
      </c>
      <c r="H649">
        <f>1-(1-Skills!J18/100)^Skills!K18</f>
        <v/>
      </c>
      <c r="I649" t="inlineStr">
        <is>
          <t>1</t>
        </is>
      </c>
      <c r="J649" t="inlineStr"/>
      <c r="K649" t="inlineStr"/>
      <c r="L649" t="inlineStr"/>
      <c r="M649" t="inlineStr"/>
      <c r="N649" t="inlineStr"/>
      <c r="O649">
        <f>(1-Summary!$B$55)*T649+Summary!$B$55*V649</f>
        <v/>
      </c>
      <c r="P649">
        <f>IF(B674=0,0,O649/B674)</f>
        <v/>
      </c>
      <c r="Q649" t="n">
        <v>0</v>
      </c>
      <c r="R649" t="n">
        <v>0</v>
      </c>
      <c r="S649">
        <f>IFERROR(O649/N649,0)</f>
        <v/>
      </c>
      <c r="T649" t="n">
        <v>0</v>
      </c>
      <c r="V649" t="n">
        <v>0</v>
      </c>
    </row>
    <row r="650">
      <c r="A650">
        <f>Skills!A19</f>
        <v/>
      </c>
      <c r="B650">
        <f>Skills!B19</f>
        <v/>
      </c>
      <c r="C650">
        <f>TRUE</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Skills!G19*IF(Skills!H19&gt;0,Skills!I19/Skills!H19,1)</f>
        <v/>
      </c>
      <c r="H650">
        <f>1-(1-Skills!J19/100)^Skills!K19</f>
        <v/>
      </c>
      <c r="I650" t="inlineStr">
        <is>
          <t>1</t>
        </is>
      </c>
      <c r="J650" t="inlineStr"/>
      <c r="K650" t="inlineStr"/>
      <c r="L650" t="inlineStr"/>
      <c r="M650" t="inlineStr"/>
      <c r="N650" t="inlineStr"/>
      <c r="O650">
        <f>(1-Summary!$B$55)*T650+Summary!$B$55*V650</f>
        <v/>
      </c>
      <c r="P650">
        <f>IF(B674=0,0,O650/B674)</f>
        <v/>
      </c>
      <c r="Q650">
        <f>IFERROR(1/IF(Inputs!$B$38="pvp",15,MAX(0.1,Skills!D19-IF(Skills!E19=TRUE,Inputs!$B$32,0))),0)</f>
        <v/>
      </c>
      <c r="R650">
        <f>IF(AND(Inputs!$B$38&lt;&gt;"pvp",Inputs!$B$43&gt;0),IF(Inputs!$B$43&lt;=0,0,(INT(Inputs!$B$43/IF(Inputs!$B$38="pvp",15,MAX(0.1,Skills!D19-IF(Skills!E19=TRUE,Inputs!$B$32,0))))+1)),0)</f>
        <v/>
      </c>
      <c r="S650">
        <f>IFERROR(O650/N650,0)</f>
        <v/>
      </c>
      <c r="T650" t="n">
        <v>0</v>
      </c>
      <c r="V650" t="n">
        <v>0</v>
      </c>
    </row>
    <row r="651">
      <c r="A651">
        <f>Skills!A20</f>
        <v/>
      </c>
      <c r="B651">
        <f>Skills!B20</f>
        <v/>
      </c>
      <c r="C651">
        <f>Inputs!$B$3&gt;=15</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Skills!G20*IF(Skills!H20&gt;0,Skills!I20/Skills!H20,1)</f>
        <v/>
      </c>
      <c r="H651">
        <f>1-(1-Skills!J20/100)^Skills!K20</f>
        <v/>
      </c>
      <c r="I651" t="inlineStr">
        <is>
          <t>1</t>
        </is>
      </c>
      <c r="J651" t="inlineStr"/>
      <c r="K651" t="inlineStr"/>
      <c r="L651" t="inlineStr"/>
      <c r="M651" t="inlineStr"/>
      <c r="N651" t="inlineStr"/>
      <c r="O651">
        <f>(1-Summary!$B$55)*T651+Summary!$B$55*V651</f>
        <v/>
      </c>
      <c r="P651">
        <f>IF(B674=0,0,O651/B674)</f>
        <v/>
      </c>
      <c r="Q651" t="n">
        <v>0</v>
      </c>
      <c r="R651" t="n">
        <v>0</v>
      </c>
      <c r="S651">
        <f>IFERROR(O651/N651,0)</f>
        <v/>
      </c>
      <c r="T651" t="n">
        <v>0</v>
      </c>
      <c r="V651" t="n">
        <v>0</v>
      </c>
    </row>
    <row r="652">
      <c r="A652">
        <f>Skills!A21</f>
        <v/>
      </c>
      <c r="B652">
        <f>Skills!B21</f>
        <v/>
      </c>
      <c r="C652">
        <f>Inputs!$B$3&gt;=10</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Skills!G21*IF(Skills!H21&gt;0,Skills!I21/Skills!H21,1)</f>
        <v/>
      </c>
      <c r="H652">
        <f>1-(1-Skills!J21/100)^Skills!K21</f>
        <v/>
      </c>
      <c r="I652" t="inlineStr">
        <is>
          <t>1</t>
        </is>
      </c>
      <c r="J652" t="inlineStr"/>
      <c r="K652" t="inlineStr"/>
      <c r="L652" t="inlineStr"/>
      <c r="M652" t="inlineStr"/>
      <c r="N652" t="inlineStr"/>
      <c r="O652">
        <f>(1-Summary!$B$55)*T652+Summary!$B$55*V652</f>
        <v/>
      </c>
      <c r="P652">
        <f>IF(B674=0,0,O652/B674)</f>
        <v/>
      </c>
      <c r="Q652" t="n">
        <v>0</v>
      </c>
      <c r="R652" t="n">
        <v>0</v>
      </c>
      <c r="S652">
        <f>IFERROR(O652/N652,0)</f>
        <v/>
      </c>
      <c r="T652" t="n">
        <v>0</v>
      </c>
      <c r="V652" t="n">
        <v>0</v>
      </c>
    </row>
    <row r="653">
      <c r="A653">
        <f>Skills!A22</f>
        <v/>
      </c>
      <c r="B653">
        <f>Skills!B22</f>
        <v/>
      </c>
      <c r="C653">
        <f>Inputs!$B$3&gt;=33</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Skills!G22*IF(Skills!H22&gt;0,Skills!I22/Skills!H22,1)</f>
        <v/>
      </c>
      <c r="H653">
        <f>1-(1-Skills!J22/100)^Skills!K22</f>
        <v/>
      </c>
      <c r="I653" t="inlineStr">
        <is>
          <t>1</t>
        </is>
      </c>
      <c r="J653" t="inlineStr"/>
      <c r="K653" t="inlineStr"/>
      <c r="L653" t="inlineStr"/>
      <c r="M653" t="inlineStr"/>
      <c r="N653" t="inlineStr"/>
      <c r="O653">
        <f>(1-Summary!$B$55)*T653+Summary!$B$55*V653</f>
        <v/>
      </c>
      <c r="P653">
        <f>IF(B674=0,0,O653/B674)</f>
        <v/>
      </c>
      <c r="Q653" t="n">
        <v>0</v>
      </c>
      <c r="R653" t="n">
        <v>0</v>
      </c>
      <c r="S653">
        <f>IFERROR(O653/N653,0)</f>
        <v/>
      </c>
      <c r="T653" t="n">
        <v>0</v>
      </c>
      <c r="V653" t="n">
        <v>0</v>
      </c>
    </row>
    <row r="654">
      <c r="A654">
        <f>Skills!A23</f>
        <v/>
      </c>
      <c r="B654">
        <f>Skills!B23</f>
        <v/>
      </c>
      <c r="C654">
        <f>Inputs!$B$3&gt;=38</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Skills!G23*IF(Skills!H23&gt;0,Skills!I23/Skills!H23,1)</f>
        <v/>
      </c>
      <c r="H654">
        <f>1-(1-Skills!J23/100)^Skills!K23</f>
        <v/>
      </c>
      <c r="I654" t="inlineStr">
        <is>
          <t>1</t>
        </is>
      </c>
      <c r="J654" t="inlineStr"/>
      <c r="K654" t="inlineStr"/>
      <c r="L654" t="inlineStr"/>
      <c r="M654" t="inlineStr"/>
      <c r="N654" t="inlineStr"/>
      <c r="O654">
        <f>(1-Summary!$B$55)*T654+Summary!$B$55*V654</f>
        <v/>
      </c>
      <c r="P654">
        <f>IF(B674=0,0,O654/B674)</f>
        <v/>
      </c>
      <c r="Q654" t="n">
        <v>0</v>
      </c>
      <c r="R654" t="n">
        <v>0</v>
      </c>
      <c r="S654">
        <f>IFERROR(O654/N654,0)</f>
        <v/>
      </c>
      <c r="T654" t="n">
        <v>0</v>
      </c>
      <c r="V654" t="n">
        <v>0</v>
      </c>
    </row>
    <row r="655">
      <c r="A655">
        <f>Skills!A24</f>
        <v/>
      </c>
      <c r="B655">
        <f>Skills!B24</f>
        <v/>
      </c>
      <c r="C655">
        <f>Inputs!$B$3&gt;=43</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Skills!G24*IF(Skills!H24&gt;0,Skills!I24/Skills!H24,1)</f>
        <v/>
      </c>
      <c r="H655">
        <f>1-(1-Skills!J24/100)^Skills!K24</f>
        <v/>
      </c>
      <c r="I655" t="inlineStr">
        <is>
          <t>1</t>
        </is>
      </c>
      <c r="J655" t="inlineStr"/>
      <c r="K655" t="inlineStr"/>
      <c r="L655" t="inlineStr"/>
      <c r="M655" t="inlineStr"/>
      <c r="N655" t="inlineStr"/>
      <c r="O655">
        <f>(1-Summary!$B$55)*T655+Summary!$B$55*V655</f>
        <v/>
      </c>
      <c r="P655">
        <f>IF(B674=0,0,O655/B674)</f>
        <v/>
      </c>
      <c r="Q655" t="n">
        <v>0</v>
      </c>
      <c r="R655" t="n">
        <v>0</v>
      </c>
      <c r="S655">
        <f>IFERROR(O655/N655,0)</f>
        <v/>
      </c>
      <c r="T655" t="n">
        <v>0</v>
      </c>
      <c r="V655" t="n">
        <v>0</v>
      </c>
    </row>
    <row r="656">
      <c r="A656">
        <f>Skills!A25</f>
        <v/>
      </c>
      <c r="B656">
        <f>Skills!B25</f>
        <v/>
      </c>
      <c r="C656">
        <f>Inputs!$B$3&gt;=75</f>
        <v/>
      </c>
      <c r="D656">
        <f>IF(Skills!C25=1,60+Inputs!$B$25+Inputs!$B$29,IF(Skills!C25=2,90+Inputs!$B$26+Inputs!$B$29,IF(Skills!C25=3,120+Inputs!$B$27+Inputs!$B$29,MAX(0,(Inputs!$B$3-100)*3)+Inputs!$B$28+Inputs!$B$29)))</f>
        <v/>
      </c>
      <c r="E656">
        <f>INDEX(FactorTable!$B$2:$Y$301, MATCH(ROUND(MIN(300,MAX(1,D656)),0), FactorTable!$A$2:$A$301,0), Skills!M25+1)</f>
        <v/>
      </c>
      <c r="F656">
        <f>IF(Skills!N25=TRUE,(Skills!L25/10)*(E656/1000),Skills!L25/10)+Skills!O25</f>
        <v/>
      </c>
      <c r="G656">
        <f>Skills!G25*IF(Skills!H25&gt;0,Skills!I25/Skills!H25,1)</f>
        <v/>
      </c>
      <c r="H656">
        <f>1-(1-Skills!J25/100)^Skills!K25</f>
        <v/>
      </c>
      <c r="I656" t="inlineStr">
        <is>
          <t>1</t>
        </is>
      </c>
      <c r="J656" t="inlineStr"/>
      <c r="K656" t="inlineStr"/>
      <c r="L656" t="inlineStr"/>
      <c r="M656" t="inlineStr"/>
      <c r="N656" t="inlineStr"/>
      <c r="O656">
        <f>(1-Summary!$B$55)*T656+Summary!$B$55*V656</f>
        <v/>
      </c>
      <c r="P656">
        <f>IF(B674=0,0,O656/B674)</f>
        <v/>
      </c>
      <c r="Q656" t="n">
        <v>0</v>
      </c>
      <c r="R656" t="n">
        <v>0</v>
      </c>
      <c r="S656">
        <f>IFERROR(O656/N656,0)</f>
        <v/>
      </c>
      <c r="T656" t="n">
        <v>0</v>
      </c>
      <c r="V656" t="n">
        <v>0</v>
      </c>
    </row>
    <row r="657">
      <c r="A657">
        <f>Skills!A26</f>
        <v/>
      </c>
      <c r="B657">
        <f>Skills!B26</f>
        <v/>
      </c>
      <c r="C657">
        <f>Inputs!$B$3&gt;=125</f>
        <v/>
      </c>
      <c r="D657">
        <f>IF(Skills!C26=1,60+Inputs!$B$25+Inputs!$B$29,IF(Skills!C26=2,90+Inputs!$B$26+Inputs!$B$29,IF(Skills!C26=3,120+Inputs!$B$27+Inputs!$B$29,MAX(0,(Inputs!$B$3-100)*3)+Inputs!$B$28+Inputs!$B$29)))</f>
        <v/>
      </c>
      <c r="E657">
        <f>INDEX(FactorTable!$B$2:$Y$301, MATCH(ROUND(MIN(300,MAX(1,D657)),0), FactorTable!$A$2:$A$301,0), Skills!M26+1)</f>
        <v/>
      </c>
      <c r="F657">
        <f>IF(Skills!N26=TRUE,(Skills!L26/10)*(E657/1000),Skills!L26/10)+Skills!O26</f>
        <v/>
      </c>
      <c r="G657">
        <f>Skills!G26*IF(Skills!H26&gt;0,Skills!I26/Skills!H26,1)</f>
        <v/>
      </c>
      <c r="H657">
        <f>1-(1-Skills!J26/100)^Skills!K26</f>
        <v/>
      </c>
      <c r="I657" t="inlineStr">
        <is>
          <t>1</t>
        </is>
      </c>
      <c r="J657" t="inlineStr"/>
      <c r="K657" t="inlineStr"/>
      <c r="L657" t="inlineStr"/>
      <c r="M657" t="inlineStr"/>
      <c r="N657" t="inlineStr"/>
      <c r="O657">
        <f>(1-Summary!$B$55)*T657+Summary!$B$55*V657</f>
        <v/>
      </c>
      <c r="P657">
        <f>IF(B674=0,0,O657/B674)</f>
        <v/>
      </c>
      <c r="Q657" t="n">
        <v>0</v>
      </c>
      <c r="R657" t="n">
        <v>0</v>
      </c>
      <c r="S657">
        <f>IFERROR(O657/N657,0)</f>
        <v/>
      </c>
      <c r="T657" t="n">
        <v>0</v>
      </c>
      <c r="V657" t="n">
        <v>0</v>
      </c>
    </row>
    <row r="658">
      <c r="A658">
        <f>Skills!A27</f>
        <v/>
      </c>
      <c r="B658">
        <f>Skills!B27</f>
        <v/>
      </c>
      <c r="C658">
        <f>Inputs!$B$3&gt;=125</f>
        <v/>
      </c>
      <c r="D658">
        <f>IF(Skills!C27=1,60+Inputs!$B$25+Inputs!$B$29,IF(Skills!C27=2,90+Inputs!$B$26+Inputs!$B$29,IF(Skills!C27=3,120+Inputs!$B$27+Inputs!$B$29,MAX(0,(Inputs!$B$3-100)*3)+Inputs!$B$28+Inputs!$B$29)))</f>
        <v/>
      </c>
      <c r="E658">
        <f>INDEX(FactorTable!$B$2:$Y$301, MATCH(ROUND(MIN(300,MAX(1,D658)),0), FactorTable!$A$2:$A$301,0), Skills!M27+1)</f>
        <v/>
      </c>
      <c r="F658">
        <f>IF(Skills!N27=TRUE,(Skills!L27/10)*(E658/1000),Skills!L27/10)+Skills!O27</f>
        <v/>
      </c>
      <c r="G658">
        <f>Skills!G27*IF(Skills!H27&gt;0,Skills!I27/Skills!H27,1)</f>
        <v/>
      </c>
      <c r="H658">
        <f>1-(1-Skills!J27/100)^Skills!K27</f>
        <v/>
      </c>
      <c r="I658" t="inlineStr">
        <is>
          <t>1</t>
        </is>
      </c>
      <c r="J658" t="inlineStr"/>
      <c r="K658" t="inlineStr"/>
      <c r="L658" t="inlineStr"/>
      <c r="M658" t="inlineStr"/>
      <c r="N658" t="inlineStr"/>
      <c r="O658">
        <f>(1-Summary!$B$55)*T658+Summary!$B$55*V658</f>
        <v/>
      </c>
      <c r="P658">
        <f>IF(B674=0,0,O658/B674)</f>
        <v/>
      </c>
      <c r="Q658" t="n">
        <v>0</v>
      </c>
      <c r="R658" t="n">
        <v>0</v>
      </c>
      <c r="S658">
        <f>IFERROR(O658/N658,0)</f>
        <v/>
      </c>
      <c r="T658" t="n">
        <v>0</v>
      </c>
      <c r="V658" t="n">
        <v>0</v>
      </c>
    </row>
    <row r="659">
      <c r="A659">
        <f>Skills!A28</f>
        <v/>
      </c>
      <c r="B659">
        <f>Skills!B28</f>
        <v/>
      </c>
      <c r="C659">
        <f>Inputs!$B$3&gt;=120</f>
        <v/>
      </c>
      <c r="D659">
        <f>IF(Skills!C28=1,60+Inputs!$B$25+Inputs!$B$29,IF(Skills!C28=2,90+Inputs!$B$26+Inputs!$B$29,IF(Skills!C28=3,120+Inputs!$B$27+Inputs!$B$29,MAX(0,(Inputs!$B$3-100)*3)+Inputs!$B$28+Inputs!$B$29)))</f>
        <v/>
      </c>
      <c r="E659">
        <f>INDEX(FactorTable!$B$2:$Y$301, MATCH(ROUND(MIN(300,MAX(1,D659)),0), FactorTable!$A$2:$A$301,0), Skills!M28+1)</f>
        <v/>
      </c>
      <c r="F659">
        <f>IF(Skills!N28=TRUE,(Skills!L28/10)*(E659/1000),Skills!L28/10)+Skills!O28</f>
        <v/>
      </c>
      <c r="G659">
        <f>Skills!G28*IF(Skills!H28&gt;0,Skills!I28/Skills!H28,1)</f>
        <v/>
      </c>
      <c r="H659">
        <f>1-(1-Skills!J28/100)^Skills!K28</f>
        <v/>
      </c>
      <c r="I659" t="inlineStr">
        <is>
          <t>1</t>
        </is>
      </c>
      <c r="J659" t="inlineStr"/>
      <c r="K659" t="inlineStr"/>
      <c r="L659" t="inlineStr"/>
      <c r="M659" t="inlineStr"/>
      <c r="N659" t="inlineStr"/>
      <c r="O659">
        <f>(1-Summary!$B$55)*T659+Summary!$B$55*V659</f>
        <v/>
      </c>
      <c r="P659">
        <f>IF(B674=0,0,O659/B674)</f>
        <v/>
      </c>
      <c r="Q659" t="n">
        <v>0</v>
      </c>
      <c r="R659" t="n">
        <v>0</v>
      </c>
      <c r="S659">
        <f>IFERROR(O659/N659,0)</f>
        <v/>
      </c>
      <c r="T659" t="n">
        <v>0</v>
      </c>
      <c r="V659" t="n">
        <v>0</v>
      </c>
    </row>
    <row r="660">
      <c r="A660">
        <f>Skills!A29</f>
        <v/>
      </c>
      <c r="B660">
        <f>Skills!B29</f>
        <v/>
      </c>
      <c r="C660">
        <f>Inputs!$B$3&gt;=120</f>
        <v/>
      </c>
      <c r="D660">
        <f>IF(Skills!C29=1,60+Inputs!$B$25+Inputs!$B$29,IF(Skills!C29=2,90+Inputs!$B$26+Inputs!$B$29,IF(Skills!C29=3,120+Inputs!$B$27+Inputs!$B$29,MAX(0,(Inputs!$B$3-100)*3)+Inputs!$B$28+Inputs!$B$29)))</f>
        <v/>
      </c>
      <c r="E660">
        <f>INDEX(FactorTable!$B$2:$Y$301, MATCH(ROUND(MIN(300,MAX(1,D660)),0), FactorTable!$A$2:$A$301,0), Skills!M29+1)</f>
        <v/>
      </c>
      <c r="F660">
        <f>IF(Skills!N29=TRUE,(Skills!L29/10)*(E660/1000),Skills!L29/10)+Skills!O29</f>
        <v/>
      </c>
      <c r="G660">
        <f>Skills!G29*IF(Skills!H29&gt;0,Skills!I29/Skills!H29,1)</f>
        <v/>
      </c>
      <c r="H660">
        <f>1-(1-Skills!J29/100)^Skills!K29</f>
        <v/>
      </c>
      <c r="I660" t="inlineStr">
        <is>
          <t>1</t>
        </is>
      </c>
      <c r="J660" t="inlineStr"/>
      <c r="K660" t="inlineStr"/>
      <c r="L660" t="inlineStr"/>
      <c r="M660" t="inlineStr"/>
      <c r="N660" t="inlineStr"/>
      <c r="O660">
        <f>(1-Summary!$B$55)*T660+Summary!$B$55*V660</f>
        <v/>
      </c>
      <c r="P660">
        <f>IF(B674=0,0,O660/B674)</f>
        <v/>
      </c>
      <c r="Q660" t="n">
        <v>0</v>
      </c>
      <c r="R660" t="n">
        <v>0</v>
      </c>
      <c r="S660">
        <f>IFERROR(O660/N660,0)</f>
        <v/>
      </c>
      <c r="T660" t="n">
        <v>0</v>
      </c>
      <c r="V660" t="n">
        <v>0</v>
      </c>
    </row>
    <row r="661">
      <c r="A661">
        <f>Skills!A30</f>
        <v/>
      </c>
      <c r="B661">
        <f>Skills!B30</f>
        <v/>
      </c>
      <c r="C661">
        <f>Inputs!$B$3&gt;=45</f>
        <v/>
      </c>
      <c r="D661">
        <f>IF(Skills!C30=1,60+Inputs!$B$25+Inputs!$B$29,IF(Skills!C30=2,90+Inputs!$B$26+Inputs!$B$29,IF(Skills!C30=3,120+Inputs!$B$27+Inputs!$B$29,MAX(0,(Inputs!$B$3-100)*3)+Inputs!$B$28+Inputs!$B$29)))</f>
        <v/>
      </c>
      <c r="E661">
        <f>INDEX(FactorTable!$B$2:$Y$301, MATCH(ROUND(MIN(300,MAX(1,D661)),0), FactorTable!$A$2:$A$301,0), Skills!M30+1)</f>
        <v/>
      </c>
      <c r="F661">
        <f>IF(Skills!N30=TRUE,(Skills!L30/10)*(E661/1000),Skills!L30/10)+Skills!O30</f>
        <v/>
      </c>
      <c r="G661">
        <f>Skills!G30*IF(Skills!H30&gt;0,Skills!I30/Skills!H30,1)</f>
        <v/>
      </c>
      <c r="H661">
        <f>1-(1-Skills!J30/100)^Skills!K30</f>
        <v/>
      </c>
      <c r="I661" t="inlineStr">
        <is>
          <t>1</t>
        </is>
      </c>
      <c r="J661" t="inlineStr"/>
      <c r="K661" t="inlineStr"/>
      <c r="L661" t="inlineStr"/>
      <c r="M661" t="inlineStr"/>
      <c r="N661" t="inlineStr"/>
      <c r="O661">
        <f>(1-Summary!$B$55)*T661+Summary!$B$55*V661</f>
        <v/>
      </c>
      <c r="P661">
        <f>IF(B674=0,0,O661/B674)</f>
        <v/>
      </c>
      <c r="Q661" t="n">
        <v>0</v>
      </c>
      <c r="R661" t="n">
        <v>0</v>
      </c>
      <c r="S661">
        <f>IFERROR(O661/N661,0)</f>
        <v/>
      </c>
      <c r="T661" t="n">
        <v>0</v>
      </c>
      <c r="V661" t="n">
        <v>0</v>
      </c>
    </row>
    <row r="663">
      <c r="A663" t="inlineStr">
        <is>
          <t>Attack% Bucket Multiplier</t>
        </is>
      </c>
      <c r="B663">
        <f>(1+(((C644=TRUE)*F644)+((C645=TRUE)*IF(Inputs!$B$38="pvp",F645,(1-Summary!$B$55)*(F645)+Summary!$B$55*(0)))+((C646=TRUE)*F646*IF(AND(Inputs!$B$38&lt;&gt;"pvp",Inputs!$B$43&gt;0),(((R646-1)*(Skills!T15*(1+Inputs!$B$34/100))+MIN((Skills!T15*(1+Inputs!$B$34/100)),MAX(0,Inputs!$B$43-((R646-1)*Skills!D15))))/Inputs!$B$43),IF(Inputs!$B$38="pvp",MIN((Skills!T15*(1+Inputs!$B$34/100)),15)/15,(Skills!T15*(1+Inputs!$B$34/100))/Skills!D15)))+((C661=TRUE)*(F661-Calc!F30)))/100)</f>
        <v/>
      </c>
    </row>
    <row r="664">
      <c r="A664" t="inlineStr">
        <is>
          <t>Global Crit Rate Bonus %</t>
        </is>
      </c>
      <c r="B664">
        <f>(C647=TRUE)*20*IF(AND(Inputs!$B$38&lt;&gt;"pvp",Inputs!$B$43&gt;0),(((R647-1)*(Skills!T16*(1+Inputs!$B$34/100))+MIN((Skills!T16*(1+Inputs!$B$34/100)),MAX(0,Inputs!$B$43-((R647-1)*Skills!D16))))/Inputs!$B$43),IF(Inputs!$B$38="pvp",MIN((Skills!T16*(1+Inputs!$B$34/100)),15)/15,(Skills!T16*(1+Inputs!$B$34/100))/Skills!D16))</f>
        <v/>
      </c>
    </row>
    <row r="665">
      <c r="A665" t="inlineStr">
        <is>
          <t>Attack Speed Buff Bonus %</t>
        </is>
      </c>
      <c r="B665">
        <f>((C650=TRUE)*F650*IF(AND(Inputs!$B$38&lt;&gt;"pvp",Inputs!$B$43&gt;0),(((R650-1)*(Skills!T19*(1+Inputs!$B$34/100))+MIN((Skills!T19*(1+Inputs!$B$34/100)),MAX(0,Inputs!$B$43-((R650-1)*Skills!D19))))/Inputs!$B$43),IF(Inputs!$B$38="pvp",MIN((Skills!T19*(1+Inputs!$B$34/100)),15)/15,(Skills!T19*(1+Inputs!$B$34/100))/Skills!D19)))</f>
        <v/>
      </c>
    </row>
    <row r="666">
      <c r="A666" t="inlineStr">
        <is>
          <t>Actions Per Second</t>
        </is>
      </c>
      <c r="B666">
        <f>1+MIN(150,150*(1-(1-(Inputs!$B$11+((C652=TRUE)*(F652-Calc!F21))+((C653=TRUE)*(F653-Calc!F22)))/150)*(1-B665/150)))/100</f>
        <v/>
      </c>
    </row>
    <row r="667">
      <c r="A667" t="inlineStr">
        <is>
          <t>Skill + Buff Cast Rate</t>
        </is>
      </c>
      <c r="B667">
        <f>IF(AND(Inputs!$B$38&lt;&gt;"pvp",Inputs!$B$43&gt;0),SUMPRODUCT((Skills!E2:E30=TRUE)*(C633:C661=TRUE)*R633:R661*Skills!F2:F30)/Inputs!$B$43,SUMPRODUCT((Skills!E2:E30=TRUE)*(C633:C661=TRUE)*Q633:Q661*Skills!F2:F30))</f>
        <v/>
      </c>
    </row>
    <row r="668">
      <c r="A668" t="inlineStr">
        <is>
          <t>Arrow Stream Casts Per Second</t>
        </is>
      </c>
      <c r="B668">
        <f>MAX(0,B666-B667)</f>
        <v/>
      </c>
    </row>
    <row r="669">
      <c r="A669" t="inlineStr">
        <is>
          <t>Global Critical Damage Bonus % (Sharp Eyes + Concentration)</t>
        </is>
      </c>
      <c r="B669">
        <f>(C647=TRUE)*F647*IF(AND(Inputs!$B$38&lt;&gt;"pvp",Inputs!$B$43&gt;0),(((R647-1)*(Skills!T16*(1+Inputs!$B$34/100))+MIN((Skills!T16*(1+Inputs!$B$34/100)),MAX(0,Inputs!$B$43-((R647-1)*Skills!D16))))/Inputs!$B$43),IF(Inputs!$B$38="pvp",MIN((Skills!T16*(1+Inputs!$B$34/100)),15)/15,(Skills!T16*(1+Inputs!$B$34/100))/Skills!D16))+(C648=TRUE)*30</f>
        <v/>
      </c>
    </row>
    <row r="670">
      <c r="A670" t="inlineStr">
        <is>
          <t>Global Final Damage Bonus % (Mortal Blow)</t>
        </is>
      </c>
      <c r="B670">
        <f>(C649=TRUE)*F649</f>
        <v/>
      </c>
    </row>
    <row r="671">
      <c r="A671" t="inlineStr">
        <is>
          <t>Buff-Casting Startup Delay (s, fixed-duration only)</t>
        </is>
      </c>
      <c r="B671">
        <f>IF(AND(Inputs!$B$38&lt;&gt;"pvp",Inputs!$B$43&gt;0),SUMPRODUCT((Skills!T2:T30&gt;0)*(Skills!E2:E30=TRUE)*(C633:C661=TRUE))/B666,0)</f>
        <v/>
      </c>
    </row>
    <row r="672">
      <c r="A672" t="inlineStr">
        <is>
          <t>Boss-Only Total DPS (this block's swept value)</t>
        </is>
      </c>
      <c r="B672">
        <f>SUM(T633:T661)</f>
        <v/>
      </c>
    </row>
    <row r="673">
      <c r="A673" t="inlineStr">
        <is>
          <t>Normal-Only Total DPS (this block's swept value)</t>
        </is>
      </c>
      <c r="B673">
        <f>SUM(V633:V661)</f>
        <v/>
      </c>
    </row>
    <row r="674">
      <c r="A674" s="5" t="inlineStr">
        <is>
          <t>TOTAL DPS</t>
        </is>
      </c>
      <c r="B674" s="5">
        <f>SUM(O633:O661)</f>
        <v/>
      </c>
    </row>
    <row r="677">
      <c r="A677" s="5" t="inlineStr">
        <is>
          <t>Stat: BASIC_ATTACK_DAMAGE %</t>
        </is>
      </c>
    </row>
    <row r="678">
      <c r="A678" s="9" t="inlineStr">
        <is>
          <t>Key</t>
        </is>
      </c>
      <c r="B678" s="9" t="inlineStr">
        <is>
          <t>Name</t>
        </is>
      </c>
      <c r="C678" s="9" t="inlineStr">
        <is>
          <t>Unlocked</t>
        </is>
      </c>
      <c r="D678" s="9" t="inlineStr">
        <is>
          <t>InputLevel</t>
        </is>
      </c>
      <c r="E678" s="9" t="inlineStr">
        <is>
          <t>Factor</t>
        </is>
      </c>
      <c r="F678" s="9" t="inlineStr">
        <is>
          <t>CoefficientPercent</t>
        </is>
      </c>
      <c r="G678" s="9" t="inlineStr">
        <is>
          <t>EffectiveHits</t>
        </is>
      </c>
      <c r="H678" s="9" t="inlineStr">
        <is>
          <t>ProcProbability</t>
        </is>
      </c>
      <c r="I678" s="9" t="inlineStr">
        <is>
          <t>MapleHeroMultiplier</t>
        </is>
      </c>
      <c r="J678" s="9" t="inlineStr">
        <is>
          <t>BaseDamage</t>
        </is>
      </c>
      <c r="K678" s="9" t="inlineStr">
        <is>
          <t>BaseHitDamage</t>
        </is>
      </c>
      <c r="L678" s="9" t="inlineStr">
        <is>
          <t>NonCritAvg</t>
        </is>
      </c>
      <c r="M678" s="9" t="inlineStr">
        <is>
          <t>CritAvg</t>
        </is>
      </c>
      <c r="N678" s="9" t="inlineStr">
        <is>
          <t>ExpectedDamage(perHit)</t>
        </is>
      </c>
      <c r="O678" s="9" t="inlineStr">
        <is>
          <t>DPS</t>
        </is>
      </c>
      <c r="P678" s="9" t="inlineStr">
        <is>
          <t>% of Total</t>
        </is>
      </c>
      <c r="Q678" s="9" t="inlineStr">
        <is>
          <t>InvCooldown</t>
        </is>
      </c>
      <c r="R678" s="9" t="inlineStr">
        <is>
          <t>CastsInFight</t>
        </is>
      </c>
      <c r="S678" s="9" t="inlineStr">
        <is>
          <t>HitRate(perSec)</t>
        </is>
      </c>
      <c r="U678" t="inlineStr">
        <is>
          <t>helpers</t>
        </is>
      </c>
    </row>
    <row r="679">
      <c r="A679">
        <f>Skills!A2</f>
        <v/>
      </c>
      <c r="B679">
        <f>Skills!B2</f>
        <v/>
      </c>
      <c r="C679">
        <f>Inputs!$B$3&gt;=100</f>
        <v/>
      </c>
      <c r="D679" t="inlineStr"/>
      <c r="E679" t="inlineStr"/>
      <c r="F679">
        <f>U681+Skills!O2</f>
        <v/>
      </c>
      <c r="G679">
        <f>Skills!G2*IF(Skills!H2&gt;0,Skills!I2/Skills!H2,1)</f>
        <v/>
      </c>
      <c r="H679">
        <f>1-(1-Skills!J2/100)^Skills!K2</f>
        <v/>
      </c>
      <c r="I679" t="inlineStr">
        <is>
          <t>1</t>
        </is>
      </c>
      <c r="J679">
        <f>((Inputs!$B$6*(1+Inputs!$B$7/100))+(((Inputs!$B$12*(1+Inputs!$B$13/100))-(Inputs!$B$12*(1+Inputs!$B$13/100)))+0.25*(Inputs!$B$14-Inputs!$B$14))*(1+Inputs!$B$7/100))*(F679/100)</f>
        <v/>
      </c>
      <c r="K679">
        <f>J679*(1+((Inputs!$B$12*(1+Inputs!$B$13/100))*0.01+Inputs!$B$14*0.0025)/100)*(1+Inputs!$B$15/100)*(1+Inputs!$B$16/100)*(5000/(6000+Inputs!$B$42*(1-(Inputs!$B$19+((C704=TRUE)*(F704-Calc!F27)))/100)))*(1+(Inputs!$B$24+((C702=TRUE)*(F702-Calc!F25))+((C703=TRUE)*(F703-Calc!F26))+B716)/100)*(1+(IF(Skills!A2="ARROW_STREAM",(Inputs!$B$17+1)+((C700=TRUE)*(F700-Calc!F23)),Inputs!$B$18+((C705=TRUE)*(F705-Calc!F28))))/100)*((1+(((C690=TRUE)*F690)+((C691=TRUE)*IF(Inputs!$B$38="pvp",F691,(1-Summary!$B$55)*(F691)+Summary!$B$55*(0)))+((C692=TRUE)*F692*IF(AND(Inputs!$B$38&lt;&gt;"pvp",Inputs!$B$43&gt;0),(((R692-1)*(Skills!T15*(1+Inputs!$B$34/100))+MIN((Skills!T15*(1+Inputs!$B$34/100)),MAX(0,Inputs!$B$43-((R692-1)*Skills!D15))))/Inputs!$B$43),IF(Inputs!$B$38="pvp",MIN((Skills!T15*(1+Inputs!$B$34/100)),15)/15,(Skills!T15*(1+Inputs!$B$34/100))/Skills!D15)))+((C707=TRUE)*(F707-Calc!F30)))/100)*I679)</f>
        <v/>
      </c>
      <c r="L679">
        <f>K679*(MIN(Inputs!$B$22+((C701=TRUE)*(F701-Calc!F24)),Inputs!$B$23+((C706=TRUE)*(F706-Calc!F29)))/100+(Inputs!$B$23+((C706=TRUE)*(F706-Calc!F29)))/100)/2</f>
        <v/>
      </c>
      <c r="M679">
        <f>L679*(1+(Inputs!$B$10+0+B715)/100)</f>
        <v/>
      </c>
      <c r="N679">
        <f>L679*(1-MIN((Inputs!$B$9+((C697=TRUE)*(F697-Calc!F20))+B710),100)/100)+M679*(MIN((Inputs!$B$9+((C697=TRUE)*(F697-Calc!F20))+B710),100)/100)</f>
        <v/>
      </c>
      <c r="O679">
        <f>(1-Summary!$B$55)*T679+Summary!$B$55*V679</f>
        <v/>
      </c>
      <c r="P679">
        <f>IF(B720=0,0,O679/B720)</f>
        <v/>
      </c>
      <c r="Q679" t="n">
        <v>0</v>
      </c>
      <c r="R679" t="n">
        <v>0</v>
      </c>
      <c r="S679">
        <f>IFERROR(O679/N679,0)</f>
        <v/>
      </c>
      <c r="T679">
        <f>IF(C679,(Skills!G2*N679*B714)*IF(Inputs!$B$38="pvp",1,1+(Inputs!$B$20+0+Skills!P2)/100),0)</f>
        <v/>
      </c>
      <c r="U679">
        <f>MAX(0,(Inputs!$B$3-100)*3)+Inputs!$B$28+Inputs!$B$29</f>
        <v/>
      </c>
      <c r="V679">
        <f>IF(C679,(Skills!G2*N679*B714)*IF(Inputs!$B$38="pvp",1,(1+(Inputs!$B$21+Skills!Q2)/100)*(MIN((6+Inputs!$B$33),Inputs!$B$37))),0)</f>
        <v/>
      </c>
    </row>
    <row r="680">
      <c r="A680">
        <f>Skills!A3</f>
        <v/>
      </c>
      <c r="B680">
        <f>Skills!B3</f>
        <v/>
      </c>
      <c r="C680">
        <f>Inputs!$B$3&gt;=50</f>
        <v/>
      </c>
      <c r="D680">
        <f>IF(Skills!C3=1,60+Inputs!$B$25+Inputs!$B$29,IF(Skills!C3=2,90+Inputs!$B$26+Inputs!$B$29,IF(Skills!C3=3,120+Inputs!$B$27+Inputs!$B$29,MAX(0,(Inputs!$B$3-100)*3)+Inputs!$B$28+Inputs!$B$29)))</f>
        <v/>
      </c>
      <c r="E680">
        <f>INDEX(FactorTable!$B$2:$Y$301, MATCH(ROUND(MIN(300,MAX(1,D680)),0), FactorTable!$A$2:$A$301,0), Skills!M3+1)</f>
        <v/>
      </c>
      <c r="F680">
        <f>IF(Skills!N3=TRUE,(Skills!L3/10)*(E680/1000),Skills!L3/10)+Skills!O3</f>
        <v/>
      </c>
      <c r="G680" t="inlineStr"/>
      <c r="H680" t="inlineStr"/>
      <c r="I680" t="inlineStr">
        <is>
          <t>1</t>
        </is>
      </c>
      <c r="J680" t="inlineStr"/>
      <c r="K680" t="inlineStr"/>
      <c r="L680" t="inlineStr"/>
      <c r="M680" t="inlineStr"/>
      <c r="N680" t="inlineStr"/>
      <c r="O680" t="inlineStr"/>
      <c r="P680" t="inlineStr"/>
      <c r="Q680" t="inlineStr"/>
      <c r="R680" t="inlineStr"/>
      <c r="S680" t="inlineStr"/>
      <c r="T680" t="inlineStr"/>
      <c r="U680">
        <f>INDEX(FactorTable!$B$2:$Y$301, MATCH(ROUND(MIN(300,MAX(1,U679)),0), FactorTable!$A$2:$A$301,0), 22)</f>
        <v/>
      </c>
      <c r="V680" t="inlineStr"/>
    </row>
    <row r="681">
      <c r="A681">
        <f>Skills!A4</f>
        <v/>
      </c>
      <c r="B681">
        <f>Skills!B4</f>
        <v/>
      </c>
      <c r="C681">
        <f>Inputs!$B$3&gt;=105</f>
        <v/>
      </c>
      <c r="D681">
        <f>IF(Skills!C4=1,60+Inputs!$B$25+Inputs!$B$29,IF(Skills!C4=2,90+Inputs!$B$26+Inputs!$B$29,IF(Skills!C4=3,120+Inputs!$B$27+Inputs!$B$29,MAX(0,(Inputs!$B$3-100)*3)+Inputs!$B$28+Inputs!$B$29)))</f>
        <v/>
      </c>
      <c r="E681">
        <f>INDEX(FactorTable!$B$2:$Y$301, MATCH(ROUND(MIN(300,MAX(1,D681)),0), FactorTable!$A$2:$A$301,0), Skills!M4+1)</f>
        <v/>
      </c>
      <c r="F681">
        <f>IF(Skills!N4=TRUE,(Skills!L4/10)*(E681/1000),Skills!L4/10)+Skills!O4</f>
        <v/>
      </c>
      <c r="G681" t="inlineStr"/>
      <c r="H681" t="inlineStr"/>
      <c r="I681" t="inlineStr">
        <is>
          <t>1</t>
        </is>
      </c>
      <c r="J681" t="inlineStr"/>
      <c r="K681" t="inlineStr"/>
      <c r="L681" t="inlineStr"/>
      <c r="M681" t="inlineStr"/>
      <c r="N681" t="inlineStr"/>
      <c r="O681" t="inlineStr"/>
      <c r="P681" t="inlineStr"/>
      <c r="Q681" t="inlineStr"/>
      <c r="R681" t="inlineStr"/>
      <c r="S681" t="inlineStr"/>
      <c r="T681" t="inlineStr"/>
      <c r="U681">
        <f>290*U680/1000</f>
        <v/>
      </c>
      <c r="V681" t="inlineStr"/>
    </row>
    <row r="682">
      <c r="A682">
        <f>Skills!A5</f>
        <v/>
      </c>
      <c r="B682">
        <f>Skills!B5</f>
        <v/>
      </c>
      <c r="C682">
        <f>Inputs!$B$3&gt;=35</f>
        <v/>
      </c>
      <c r="D682">
        <f>IF(Skills!C5=1,60+Inputs!$B$25+Inputs!$B$29,IF(Skills!C5=2,90+Inputs!$B$26+Inputs!$B$29,IF(Skills!C5=3,120+Inputs!$B$27+Inputs!$B$29,MAX(0,(Inputs!$B$3-100)*3)+Inputs!$B$28+Inputs!$B$29)))</f>
        <v/>
      </c>
      <c r="E682">
        <f>INDEX(FactorTable!$B$2:$Y$301, MATCH(ROUND(MIN(300,MAX(1,D682)),0), FactorTable!$A$2:$A$301,0), Skills!M5+1)</f>
        <v/>
      </c>
      <c r="F682">
        <f>IF(Skills!N5=TRUE,(Skills!L5/10)*(E682/1000),Skills!L5/10)+Skills!O5</f>
        <v/>
      </c>
      <c r="G682">
        <f>Skills!G5*IF(Skills!H5&gt;0,Skills!I5/Skills!H5,1)</f>
        <v/>
      </c>
      <c r="H682">
        <f>1-(1-Skills!J5/100)^Skills!K5</f>
        <v/>
      </c>
      <c r="I682" t="inlineStr">
        <is>
          <t>1</t>
        </is>
      </c>
      <c r="J682">
        <f>((Inputs!$B$6*(1+Inputs!$B$7/100))+(((Inputs!$B$12*(1+Inputs!$B$13/100))-(Inputs!$B$12*(1+Inputs!$B$13/100)))+0.25*(Inputs!$B$14-Inputs!$B$14))*(1+Inputs!$B$7/100))*(F682/100)</f>
        <v/>
      </c>
      <c r="K682">
        <f>J682*(1+((Inputs!$B$12*(1+Inputs!$B$13/100))*0.01+Inputs!$B$14*0.0025)/100)*(1+Inputs!$B$15/100)*(1+Inputs!$B$16/100)*(5000/(6000+Inputs!$B$42*(1-(Inputs!$B$19+((C704=TRUE)*(F704-Calc!F27)))/100)))*(1+(Inputs!$B$24+((C702=TRUE)*(F702-Calc!F25))+((C703=TRUE)*(F703-Calc!F26))+B716)/100)*(1+4.0*IF(C687=TRUE,F687,0)/100)*(1+(IF(Skills!A5="ARROW_STREAM",(Inputs!$B$17+1)+((C700=TRUE)*(F700-Calc!F23)),Inputs!$B$18+((C705=TRUE)*(F705-Calc!F28))))/100)*((1+(((C690=TRUE)*F690)+((C691=TRUE)*IF(Inputs!$B$38="pvp",F691,(1-Summary!$B$55)*(F691)+Summary!$B$55*(0)))+((C692=TRUE)*F692*IF(AND(Inputs!$B$38&lt;&gt;"pvp",Inputs!$B$43&gt;0),(((R692-1)*(Skills!T15*(1+Inputs!$B$34/100))+MIN((Skills!T15*(1+Inputs!$B$34/100)),MAX(0,Inputs!$B$43-((R692-1)*Skills!D15))))/Inputs!$B$43),IF(Inputs!$B$38="pvp",MIN((Skills!T15*(1+Inputs!$B$34/100)),15)/15,(Skills!T15*(1+Inputs!$B$34/100))/Skills!D15)))+((C707=TRUE)*(F707-Calc!F30)))/100)*I682)</f>
        <v/>
      </c>
      <c r="L682">
        <f>K682*(MIN(Inputs!$B$22+((C701=TRUE)*(F701-Calc!F24)),Inputs!$B$23+((C706=TRUE)*(F706-Calc!F29)))/100+(Inputs!$B$23+((C706=TRUE)*(F706-Calc!F29)))/100)/2</f>
        <v/>
      </c>
      <c r="M682">
        <f>L682*(1+(Inputs!$B$10+0+B715)/100)</f>
        <v/>
      </c>
      <c r="N682">
        <f>L682*(1-MIN((Inputs!$B$9+((C697=TRUE)*(F697-Calc!F20))+B710),100)/100)+M682*(MIN((Inputs!$B$9+((C697=TRUE)*(F697-Calc!F20))+B710),100)/100)</f>
        <v/>
      </c>
      <c r="O682">
        <f>(1-Summary!$B$55)*T682+Summary!$B$55*V682</f>
        <v/>
      </c>
      <c r="P682">
        <f>IF(B720=0,0,O682/B720)</f>
        <v/>
      </c>
      <c r="Q682">
        <f>IFERROR(1/IF(Inputs!$B$38="pvp",15,MAX(0.1,Skills!D5-IF(Skills!E5=TRUE,Inputs!$B$32,0))),0)</f>
        <v/>
      </c>
      <c r="R682">
        <f>IF(AND(Inputs!$B$38&lt;&gt;"pvp",Inputs!$B$43&gt;0),IF(MAX(0,Inputs!$B$43-B717)&lt;=0,0,(INT(MAX(0,Inputs!$B$43-B717)/IF(Inputs!$B$38="pvp",15,MAX(0.1,Skills!D5-IF(Skills!E5=TRUE,Inputs!$B$32,0))))+1)),0)</f>
        <v/>
      </c>
      <c r="S682">
        <f>IFERROR(O682/N682,0)</f>
        <v/>
      </c>
      <c r="T682">
        <f>IF(C682,(H682*N682*IF(AND(Inputs!$B$38&lt;&gt;"pvp",Inputs!$B$43&gt;0),((Skills!G5*((R682-1)*IF(Skills!H5&gt;0,Skills!I5/Skills!H5,1)+IF(Skills!H5&gt;0,MIN(Skills!I5,MAX(0,MAX(0,Inputs!$B$43-B717)-((R682-1)*IF(Inputs!$B$38="pvp",15,MAX(0.1,Skills!D5-IF(Skills!E5=TRUE,Inputs!$B$32,0))))))/Skills!H5,1)))/Inputs!$B$43),G682*Q682))*IF(Inputs!$B$38="pvp",1,1+(Inputs!$B$20+0+Skills!P5)/100),0)</f>
        <v/>
      </c>
      <c r="V682">
        <f>IF(C682,(H682*N682*IF(AND(Inputs!$B$38&lt;&gt;"pvp",Inputs!$B$43&gt;0),((Skills!G5*((R682-1)*IF(Skills!H5&gt;0,Skills!I5/Skills!H5,1)+IF(Skills!H5&gt;0,MIN(Skills!I5,MAX(0,MAX(0,Inputs!$B$43-B717)-((R682-1)*IF(Inputs!$B$38="pvp",15,MAX(0.1,Skills!D5-IF(Skills!E5=TRUE,Inputs!$B$32,0))))))/Skills!H5,1)))/Inputs!$B$43),G682*Q682))*IF(Inputs!$B$38="pvp",1,(1+(Inputs!$B$21+Skills!Q5)/100)*(MIN(Skills!R5,Inputs!$B$37))),0)</f>
        <v/>
      </c>
    </row>
    <row r="683">
      <c r="A683">
        <f>Skills!A6</f>
        <v/>
      </c>
      <c r="B683">
        <f>Skills!B6</f>
        <v/>
      </c>
      <c r="C683">
        <f>Inputs!$B$3&gt;=40</f>
        <v/>
      </c>
      <c r="D683">
        <f>IF(Skills!C6=1,60+Inputs!$B$25+Inputs!$B$29,IF(Skills!C6=2,90+Inputs!$B$26+Inputs!$B$29,IF(Skills!C6=3,120+Inputs!$B$27+Inputs!$B$29,MAX(0,(Inputs!$B$3-100)*3)+Inputs!$B$28+Inputs!$B$29)))</f>
        <v/>
      </c>
      <c r="E683">
        <f>INDEX(FactorTable!$B$2:$Y$301, MATCH(ROUND(MIN(300,MAX(1,D683)),0), FactorTable!$A$2:$A$301,0), Skills!M6+1)</f>
        <v/>
      </c>
      <c r="F683">
        <f>IF(Skills!N6=TRUE,(Skills!L6/10)*(E683/1000),Skills!L6/10)+Skills!O6</f>
        <v/>
      </c>
      <c r="G683">
        <f>Skills!G6*IF(Skills!H6&gt;0,Skills!I6/Skills!H6,1)</f>
        <v/>
      </c>
      <c r="H683">
        <f>1-(1-Skills!J6/100)^Skills!K6</f>
        <v/>
      </c>
      <c r="I683" t="inlineStr">
        <is>
          <t>1</t>
        </is>
      </c>
      <c r="J683">
        <f>((Inputs!$B$6*(1+Inputs!$B$7/100))+(((Inputs!$B$12*(1+Inputs!$B$13/100))-(Inputs!$B$12*(1+Inputs!$B$13/100)))+0.25*(Inputs!$B$14-Inputs!$B$14))*(1+Inputs!$B$7/100))*(F683/100)</f>
        <v/>
      </c>
      <c r="K683">
        <f>J683*(1+((Inputs!$B$12*(1+Inputs!$B$13/100))*0.01+Inputs!$B$14*0.0025)/100)*(1+Inputs!$B$15/100)*(1+Inputs!$B$16/100)*(5000/(6000+Inputs!$B$42*(1-(Inputs!$B$19+((C704=TRUE)*(F704-Calc!F27)))/100)))*(1+(Inputs!$B$24+((C702=TRUE)*(F702-Calc!F25))+((C703=TRUE)*(F703-Calc!F26))+B716)/100)*(1+IF(C684=TRUE,F684,0)/100)*(1+(IF(Skills!A6="ARROW_STREAM",(Inputs!$B$17+1)+((C700=TRUE)*(F700-Calc!F23)),Inputs!$B$18+((C705=TRUE)*(F705-Calc!F28))))/100)*((1+(((C690=TRUE)*F690)+((C691=TRUE)*IF(Inputs!$B$38="pvp",F691,(1-Summary!$B$55)*(F691)+Summary!$B$55*(0)))+((C692=TRUE)*F692*IF(AND(Inputs!$B$38&lt;&gt;"pvp",Inputs!$B$43&gt;0),(((R692-1)*(Skills!T15*(1+Inputs!$B$34/100))+MIN((Skills!T15*(1+Inputs!$B$34/100)),MAX(0,Inputs!$B$43-((R692-1)*Skills!D15))))/Inputs!$B$43),IF(Inputs!$B$38="pvp",MIN((Skills!T15*(1+Inputs!$B$34/100)),15)/15,(Skills!T15*(1+Inputs!$B$34/100))/Skills!D15)))+((C707=TRUE)*(F707-Calc!F30)))/100)*I683)</f>
        <v/>
      </c>
      <c r="L683">
        <f>K683*(MIN(Inputs!$B$22+((C701=TRUE)*(F701-Calc!F24)),Inputs!$B$23+((C706=TRUE)*(F706-Calc!F29)))/100+(Inputs!$B$23+((C706=TRUE)*(F706-Calc!F29)))/100)/2</f>
        <v/>
      </c>
      <c r="M683">
        <f>L683*(1+(Inputs!$B$10+0+B715)/100)</f>
        <v/>
      </c>
      <c r="N683">
        <f>L683*(1-MIN((Inputs!$B$9+((C697=TRUE)*(F697-Calc!F20))+B710),100)/100)+M683*(MIN((Inputs!$B$9+((C697=TRUE)*(F697-Calc!F20))+B710),100)/100)</f>
        <v/>
      </c>
      <c r="O683">
        <f>(1-Summary!$B$55)*T683+Summary!$B$55*V683</f>
        <v/>
      </c>
      <c r="P683">
        <f>IF(B720=0,0,O683/B720)</f>
        <v/>
      </c>
      <c r="Q683">
        <f>IFERROR(1/IF(Inputs!$B$38="pvp",15,MAX(0.1,Skills!D6-IF(Skills!E6=TRUE,Inputs!$B$32,0))),0)</f>
        <v/>
      </c>
      <c r="R683">
        <f>IF(AND(Inputs!$B$38&lt;&gt;"pvp",Inputs!$B$43&gt;0),IF(MAX(0,Inputs!$B$43-B717)&lt;=0,0,(INT(MAX(0,Inputs!$B$43-B717)/IF(Inputs!$B$38="pvp",15,MAX(0.1,Skills!D6-IF(Skills!E6=TRUE,Inputs!$B$32,0))))+1)),0)</f>
        <v/>
      </c>
      <c r="S683">
        <f>IFERROR(O683/N683,0)</f>
        <v/>
      </c>
      <c r="T683">
        <f>IF(C683,(H683*N683*IF(AND(Inputs!$B$38&lt;&gt;"pvp",Inputs!$B$43&gt;0),((Skills!G6*((R683-1)*IF(Skills!H6&gt;0,Skills!I6/Skills!H6,1)+IF(Skills!H6&gt;0,MIN(Skills!I6,MAX(0,MAX(0,Inputs!$B$43-B717)-((R683-1)*IF(Inputs!$B$38="pvp",15,MAX(0.1,Skills!D6-IF(Skills!E6=TRUE,Inputs!$B$32,0))))))/Skills!H6,1)))/Inputs!$B$43),G683*Q683))*IF(Inputs!$B$38="pvp",1,1+(Inputs!$B$20+0+Skills!P6)/100),0)</f>
        <v/>
      </c>
      <c r="V683">
        <f>IF(C683,(H683*N683*IF(AND(Inputs!$B$38&lt;&gt;"pvp",Inputs!$B$43&gt;0),((Skills!G6*((R683-1)*IF(Skills!H6&gt;0,Skills!I6/Skills!H6,1)+IF(Skills!H6&gt;0,MIN(Skills!I6,MAX(0,MAX(0,Inputs!$B$43-B717)-((R683-1)*IF(Inputs!$B$38="pvp",15,MAX(0.1,Skills!D6-IF(Skills!E6=TRUE,Inputs!$B$32,0))))))/Skills!H6,1)))/Inputs!$B$43),G683*Q683))*IF(Inputs!$B$38="pvp",1,(1+(Inputs!$B$21+Skills!Q6)/100)*(MIN(Skills!R6,Inputs!$B$37))),0)</f>
        <v/>
      </c>
    </row>
    <row r="684">
      <c r="A684">
        <f>Skills!A7</f>
        <v/>
      </c>
      <c r="B684">
        <f>Skills!B7</f>
        <v/>
      </c>
      <c r="C684">
        <f>Inputs!$B$3&gt;=107</f>
        <v/>
      </c>
      <c r="D684">
        <f>IF(Skills!C7=1,60+Inputs!$B$25+Inputs!$B$29,IF(Skills!C7=2,90+Inputs!$B$26+Inputs!$B$29,IF(Skills!C7=3,120+Inputs!$B$27+Inputs!$B$29,MAX(0,(Inputs!$B$3-100)*3)+Inputs!$B$28+Inputs!$B$29)))</f>
        <v/>
      </c>
      <c r="E684">
        <f>INDEX(FactorTable!$B$2:$Y$301, MATCH(ROUND(MIN(300,MAX(1,D684)),0), FactorTable!$A$2:$A$301,0), Skills!M7+1)</f>
        <v/>
      </c>
      <c r="F684">
        <f>IF(Skills!N7=TRUE,(Skills!L7/10)*(E684/1000),Skills!L7/10)+Skills!O7</f>
        <v/>
      </c>
      <c r="G684" t="inlineStr"/>
      <c r="H684" t="inlineStr"/>
      <c r="I684" t="inlineStr">
        <is>
          <t>1</t>
        </is>
      </c>
      <c r="J684" t="inlineStr"/>
      <c r="K684" t="inlineStr"/>
      <c r="L684" t="inlineStr"/>
      <c r="M684" t="inlineStr"/>
      <c r="N684" t="inlineStr"/>
      <c r="O684" t="inlineStr"/>
      <c r="P684" t="inlineStr"/>
      <c r="Q684" t="inlineStr"/>
      <c r="R684" t="inlineStr"/>
      <c r="S684" t="inlineStr"/>
      <c r="T684" t="inlineStr"/>
      <c r="V684" t="inlineStr"/>
    </row>
    <row r="685">
      <c r="A685">
        <f>Skills!A8</f>
        <v/>
      </c>
      <c r="B685">
        <f>Skills!B8</f>
        <v/>
      </c>
      <c r="C685">
        <f>Inputs!$B$3&gt;=69</f>
        <v/>
      </c>
      <c r="D685">
        <f>IF(Skills!C8=1,60+Inputs!$B$25+Inputs!$B$29,IF(Skills!C8=2,90+Inputs!$B$26+Inputs!$B$29,IF(Skills!C8=3,120+Inputs!$B$27+Inputs!$B$29,MAX(0,(Inputs!$B$3-100)*3)+Inputs!$B$28+Inputs!$B$29)))</f>
        <v/>
      </c>
      <c r="E685">
        <f>INDEX(FactorTable!$B$2:$Y$301, MATCH(ROUND(MIN(300,MAX(1,D685)),0), FactorTable!$A$2:$A$301,0), Skills!M8+1)</f>
        <v/>
      </c>
      <c r="F685">
        <f>IF(Skills!N8=TRUE,(Skills!L8/10)*(E685/1000),Skills!L8/10)+Skills!O8</f>
        <v/>
      </c>
      <c r="G685">
        <f>Skills!G8*IF(Skills!H8&gt;0,Skills!I8/Skills!H8,1)</f>
        <v/>
      </c>
      <c r="H685">
        <f>1-(1-Skills!J8/100)^Skills!K8</f>
        <v/>
      </c>
      <c r="I685" t="inlineStr">
        <is>
          <t>1</t>
        </is>
      </c>
      <c r="J685">
        <f>((Inputs!$B$6*(1+Inputs!$B$7/100))+(((Inputs!$B$12*(1+Inputs!$B$13/100))-(Inputs!$B$12*(1+Inputs!$B$13/100)))+0.25*(Inputs!$B$14-Inputs!$B$14))*(1+Inputs!$B$7/100))*(F685/100)</f>
        <v/>
      </c>
      <c r="K685">
        <f>J685*(1+((Inputs!$B$12*(1+Inputs!$B$13/100))*0.01+Inputs!$B$14*0.0025)/100)*(1+Inputs!$B$15/100)*(1+Inputs!$B$16/100)*(5000/(6000+Inputs!$B$42*(1-(Inputs!$B$19+((C704=TRUE)*(F704-Calc!F27)))/100)))*(1+(Inputs!$B$24+((C702=TRUE)*(F702-Calc!F25))+((C703=TRUE)*(F703-Calc!F26))+B716)/100)*(1+1.2*IF(C687=TRUE,F687,0)/100)*(1+(IF(Skills!A8="ARROW_STREAM",(Inputs!$B$17+1)+((C700=TRUE)*(F700-Calc!F23)),Inputs!$B$18+((C705=TRUE)*(F705-Calc!F28))))/100)*((1+(((C690=TRUE)*F690)+((C691=TRUE)*IF(Inputs!$B$38="pvp",F691,(1-Summary!$B$55)*(F691)+Summary!$B$55*(0)))+((C692=TRUE)*F692*IF(AND(Inputs!$B$38&lt;&gt;"pvp",Inputs!$B$43&gt;0),(((R692-1)*(Skills!T15*(1+Inputs!$B$34/100))+MIN((Skills!T15*(1+Inputs!$B$34/100)),MAX(0,Inputs!$B$43-((R692-1)*Skills!D15))))/Inputs!$B$43),IF(Inputs!$B$38="pvp",MIN((Skills!T15*(1+Inputs!$B$34/100)),15)/15,(Skills!T15*(1+Inputs!$B$34/100))/Skills!D15)))+((C707=TRUE)*(F707-Calc!F30)))/100)*I685)</f>
        <v/>
      </c>
      <c r="L685">
        <f>K685*(MIN(Inputs!$B$22+((C701=TRUE)*(F701-Calc!F24)),Inputs!$B$23+((C706=TRUE)*(F706-Calc!F29)))/100+(Inputs!$B$23+((C706=TRUE)*(F706-Calc!F29)))/100)/2</f>
        <v/>
      </c>
      <c r="M685">
        <f>L685*(1+(Inputs!$B$10+0+B715)/100)</f>
        <v/>
      </c>
      <c r="N685">
        <f>L685*(1-MIN((Inputs!$B$9+((C697=TRUE)*(F697-Calc!F20))+B710),100)/100)+M685*(MIN((Inputs!$B$9+((C697=TRUE)*(F697-Calc!F20))+B710),100)/100)</f>
        <v/>
      </c>
      <c r="O685">
        <f>(1-Summary!$B$55)*T685+Summary!$B$55*V685</f>
        <v/>
      </c>
      <c r="P685">
        <f>IF(B720=0,0,O685/B720)</f>
        <v/>
      </c>
      <c r="Q685">
        <f>IFERROR(1/IF(Inputs!$B$38="pvp",15,MAX(0.1,Skills!D8-IF(Skills!E8=TRUE,Inputs!$B$32,0))),0)</f>
        <v/>
      </c>
      <c r="R685">
        <f>IF(AND(Inputs!$B$38&lt;&gt;"pvp",Inputs!$B$43&gt;0),IF(MAX(0,Inputs!$B$43-B717)&lt;=0,0,(INT(MAX(0,Inputs!$B$43-B717)/IF(Inputs!$B$38="pvp",15,MAX(0.1,Skills!D8-IF(Skills!E8=TRUE,Inputs!$B$32,0))))+1)),0)</f>
        <v/>
      </c>
      <c r="S685">
        <f>IFERROR(O685/N685,0)</f>
        <v/>
      </c>
      <c r="T685">
        <f>IF(C685,(H685*N685*IF(AND(Inputs!$B$38&lt;&gt;"pvp",Inputs!$B$43&gt;0),((Skills!G8*((R685-1)*IF(Skills!H8&gt;0,Skills!I8/Skills!H8,1)+IF(Skills!H8&gt;0,MIN(Skills!I8,MAX(0,MAX(0,Inputs!$B$43-B717)-((R685-1)*IF(Inputs!$B$38="pvp",15,MAX(0.1,Skills!D8-IF(Skills!E8=TRUE,Inputs!$B$32,0))))))/Skills!H8,1)))/Inputs!$B$43),G685*Q685))*IF(Inputs!$B$38="pvp",1,1+(Inputs!$B$20+0+Skills!P8)/100),0)</f>
        <v/>
      </c>
      <c r="V685">
        <f>IF(C685,(H685*N685*IF(AND(Inputs!$B$38&lt;&gt;"pvp",Inputs!$B$43&gt;0),((Skills!G8*((R685-1)*IF(Skills!H8&gt;0,Skills!I8/Skills!H8,1)+IF(Skills!H8&gt;0,MIN(Skills!I8,MAX(0,MAX(0,Inputs!$B$43-B717)-((R685-1)*IF(Inputs!$B$38="pvp",15,MAX(0.1,Skills!D8-IF(Skills!E8=TRUE,Inputs!$B$32,0))))))/Skills!H8,1)))/Inputs!$B$43),G685*Q685))*IF(Inputs!$B$38="pvp",1,(1+(Inputs!$B$21+Skills!Q8)/100)*(MIN(Skills!R8,Inputs!$B$37))),0)</f>
        <v/>
      </c>
    </row>
    <row r="686">
      <c r="A686">
        <f>Skills!A9</f>
        <v/>
      </c>
      <c r="B686">
        <f>Skills!B9</f>
        <v/>
      </c>
      <c r="C686">
        <f>Inputs!$B$3&gt;=63</f>
        <v/>
      </c>
      <c r="D686">
        <f>IF(Skills!C9=1,60+Inputs!$B$25+Inputs!$B$29,IF(Skills!C9=2,90+Inputs!$B$26+Inputs!$B$29,IF(Skills!C9=3,120+Inputs!$B$27+Inputs!$B$29,MAX(0,(Inputs!$B$3-100)*3)+Inputs!$B$28+Inputs!$B$29)))</f>
        <v/>
      </c>
      <c r="E686">
        <f>INDEX(FactorTable!$B$2:$Y$301, MATCH(ROUND(MIN(300,MAX(1,D686)),0), FactorTable!$A$2:$A$301,0), Skills!M9+1)</f>
        <v/>
      </c>
      <c r="F686">
        <f>IF(Skills!N9=TRUE,(Skills!L9/10)*(E686/1000),Skills!L9/10)+Skills!O9</f>
        <v/>
      </c>
      <c r="G686">
        <f>Skills!G9*IF(Skills!H9&gt;0,Skills!I9/Skills!H9,1)</f>
        <v/>
      </c>
      <c r="H686">
        <f>1-(1-Skills!J9/100)^Skills!K9</f>
        <v/>
      </c>
      <c r="I686" t="inlineStr">
        <is>
          <t>1</t>
        </is>
      </c>
      <c r="J686">
        <f>((Inputs!$B$6*(1+Inputs!$B$7/100))+(((Inputs!$B$12*(1+Inputs!$B$13/100))-(Inputs!$B$12*(1+Inputs!$B$13/100)))+0.25*(Inputs!$B$14-Inputs!$B$14))*(1+Inputs!$B$7/100))*(F686/100)</f>
        <v/>
      </c>
      <c r="K686">
        <f>J686*(1+((Inputs!$B$12*(1+Inputs!$B$13/100))*0.01+Inputs!$B$14*0.0025)/100)*(1+Inputs!$B$15/100)*(1+Inputs!$B$16/100)*(5000/(6000+Inputs!$B$42*(1-(Inputs!$B$19+((C704=TRUE)*(F704-Calc!F27)))/100)))*(1+(Inputs!$B$24+((C702=TRUE)*(F702-Calc!F25))+((C703=TRUE)*(F703-Calc!F26))+B716)/100)*(1+1.0*IF(C687=TRUE,F687,0)/100)*(1+(IF(Skills!A9="ARROW_STREAM",(Inputs!$B$17+1)+((C700=TRUE)*(F700-Calc!F23)),Inputs!$B$18+((C705=TRUE)*(F705-Calc!F28))))/100)*((1+(((C690=TRUE)*F690)+((C691=TRUE)*IF(Inputs!$B$38="pvp",F691,(1-Summary!$B$55)*(F691)+Summary!$B$55*(0)))+((C692=TRUE)*F692*IF(AND(Inputs!$B$38&lt;&gt;"pvp",Inputs!$B$43&gt;0),(((R692-1)*(Skills!T15*(1+Inputs!$B$34/100))+MIN((Skills!T15*(1+Inputs!$B$34/100)),MAX(0,Inputs!$B$43-((R692-1)*Skills!D15))))/Inputs!$B$43),IF(Inputs!$B$38="pvp",MIN((Skills!T15*(1+Inputs!$B$34/100)),15)/15,(Skills!T15*(1+Inputs!$B$34/100))/Skills!D15)))+((C707=TRUE)*(F707-Calc!F30)))/100)*I686)</f>
        <v/>
      </c>
      <c r="L686">
        <f>K686*(MIN(Inputs!$B$22+((C701=TRUE)*(F701-Calc!F24)),Inputs!$B$23+((C706=TRUE)*(F706-Calc!F29)))/100+(Inputs!$B$23+((C706=TRUE)*(F706-Calc!F29)))/100)/2</f>
        <v/>
      </c>
      <c r="M686">
        <f>L686*(1+(Inputs!$B$10+0+B715)/100)</f>
        <v/>
      </c>
      <c r="N686">
        <f>L686*(1-MIN((Inputs!$B$9+((C697=TRUE)*(F697-Calc!F20))+B710),100)/100)+M686*(MIN((Inputs!$B$9+((C697=TRUE)*(F697-Calc!F20))+B710),100)/100)</f>
        <v/>
      </c>
      <c r="O686">
        <f>(1-Summary!$B$55)*T686+Summary!$B$55*V686</f>
        <v/>
      </c>
      <c r="P686">
        <f>IF(B720=0,0,O686/B720)</f>
        <v/>
      </c>
      <c r="Q686">
        <f>IFERROR(1/IF(Inputs!$B$38="pvp",15,MAX(0.1,Skills!D9-IF(Skills!E9=TRUE,Inputs!$B$32,0))),0)</f>
        <v/>
      </c>
      <c r="R686">
        <f>IF(AND(Inputs!$B$38&lt;&gt;"pvp",Inputs!$B$43&gt;0),IF(MAX(0,Inputs!$B$43-B717)&lt;=0,0,(INT(MAX(0,Inputs!$B$43-B717)/IF(Inputs!$B$38="pvp",15,MAX(0.1,Skills!D9-IF(Skills!E9=TRUE,Inputs!$B$32,0))))+1)),0)</f>
        <v/>
      </c>
      <c r="S686">
        <f>IFERROR(O686/N686,0)</f>
        <v/>
      </c>
      <c r="T686">
        <f>IF(C686,(H686*N686*IF(AND(Inputs!$B$38&lt;&gt;"pvp",Inputs!$B$43&gt;0),((Skills!G9*((R686-1)*IF(Skills!H9&gt;0,Skills!I9/Skills!H9,1)+IF(Skills!H9&gt;0,MIN(Skills!I9,MAX(0,MAX(0,Inputs!$B$43-B717)-((R686-1)*IF(Inputs!$B$38="pvp",15,MAX(0.1,Skills!D9-IF(Skills!E9=TRUE,Inputs!$B$32,0))))))/Skills!H9,1)))/Inputs!$B$43),G686*Q686))*IF(Inputs!$B$38="pvp",1,1+(Inputs!$B$20+0+Skills!P9)/100),0)</f>
        <v/>
      </c>
      <c r="V686">
        <f>IF(C686,(H686*N686*IF(AND(Inputs!$B$38&lt;&gt;"pvp",Inputs!$B$43&gt;0),((Skills!G9*((R686-1)*IF(Skills!H9&gt;0,Skills!I9/Skills!H9,1)+IF(Skills!H9&gt;0,MIN(Skills!I9,MAX(0,MAX(0,Inputs!$B$43-B717)-((R686-1)*IF(Inputs!$B$38="pvp",15,MAX(0.1,Skills!D9-IF(Skills!E9=TRUE,Inputs!$B$32,0))))))/Skills!H9,1)))/Inputs!$B$43),G686*Q686))*IF(Inputs!$B$38="pvp",1,(1+(Inputs!$B$21+Skills!Q9)/100)*(MIN(Skills!R9,Inputs!$B$37))),0)</f>
        <v/>
      </c>
    </row>
    <row r="687">
      <c r="A687">
        <f>Skills!A10</f>
        <v/>
      </c>
      <c r="B687">
        <f>Skills!B10</f>
        <v/>
      </c>
      <c r="C687">
        <f>Inputs!$B$3&gt;=100</f>
        <v/>
      </c>
      <c r="D687">
        <f>IF(Skills!C10=1,60+Inputs!$B$25+Inputs!$B$29,IF(Skills!C10=2,90+Inputs!$B$26+Inputs!$B$29,IF(Skills!C10=3,120+Inputs!$B$27+Inputs!$B$29,MAX(0,(Inputs!$B$3-100)*3)+Inputs!$B$28+Inputs!$B$29)))</f>
        <v/>
      </c>
      <c r="E687">
        <f>INDEX(FactorTable!$B$2:$Y$301, MATCH(ROUND(MIN(300,MAX(1,D687)),0), FactorTable!$A$2:$A$301,0), Skills!M10+1)</f>
        <v/>
      </c>
      <c r="F687">
        <f>IF(Skills!N10=TRUE,(Skills!L10/10)*(E687/1000),Skills!L10/10)+Skills!O10</f>
        <v/>
      </c>
      <c r="G687" t="inlineStr"/>
      <c r="H687" t="inlineStr"/>
      <c r="I687" t="inlineStr">
        <is>
          <t>1</t>
        </is>
      </c>
      <c r="J687" t="inlineStr"/>
      <c r="K687" t="inlineStr"/>
      <c r="L687" t="inlineStr"/>
      <c r="M687" t="inlineStr"/>
      <c r="N687" t="inlineStr"/>
      <c r="O687" t="inlineStr"/>
      <c r="P687" t="inlineStr"/>
      <c r="Q687" t="inlineStr"/>
      <c r="R687" t="inlineStr"/>
      <c r="S687" t="inlineStr"/>
      <c r="T687" t="inlineStr"/>
      <c r="V687" t="inlineStr"/>
    </row>
    <row r="688">
      <c r="A688">
        <f>Skills!A11</f>
        <v/>
      </c>
      <c r="B688">
        <f>Skills!B11</f>
        <v/>
      </c>
      <c r="C688">
        <f>Inputs!$B$3&gt;=60</f>
        <v/>
      </c>
      <c r="D688">
        <f>IF(Skills!C11=1,60+Inputs!$B$25+Inputs!$B$29,IF(Skills!C11=2,90+Inputs!$B$26+Inputs!$B$29,IF(Skills!C11=3,120+Inputs!$B$27+Inputs!$B$29,MAX(0,(Inputs!$B$3-100)*3)+Inputs!$B$28+Inputs!$B$29)))</f>
        <v/>
      </c>
      <c r="E688">
        <f>INDEX(FactorTable!$B$2:$Y$301, MATCH(ROUND(MIN(300,MAX(1,D688)),0), FactorTable!$A$2:$A$301,0), Skills!M11+1)</f>
        <v/>
      </c>
      <c r="F688">
        <f>IF(Skills!N11=TRUE,(Skills!L11/10)*(E688/1000),Skills!L11/10)+Skills!O11</f>
        <v/>
      </c>
      <c r="G688">
        <f>Skills!G11*IF(Skills!H11&gt;0,Skills!I11/Skills!H11,1)</f>
        <v/>
      </c>
      <c r="H688">
        <f>1-(1-Skills!J11/100)^Skills!K11</f>
        <v/>
      </c>
      <c r="I688" t="inlineStr">
        <is>
          <t>1</t>
        </is>
      </c>
      <c r="J688">
        <f>((Inputs!$B$6*(1+Inputs!$B$7/100))+(((Inputs!$B$12*(1+Inputs!$B$13/100))-(Inputs!$B$12*(1+Inputs!$B$13/100)))+0.25*(Inputs!$B$14-Inputs!$B$14))*(1+Inputs!$B$7/100))*(F688/100)</f>
        <v/>
      </c>
      <c r="K688">
        <f>J688*(1+((Inputs!$B$12*(1+Inputs!$B$13/100))*0.01+Inputs!$B$14*0.0025)/100)*(1+Inputs!$B$15/100)*(1+Inputs!$B$16/100)*(5000/(6000+Inputs!$B$42*(1-(Inputs!$B$19+((C704=TRUE)*(F704-Calc!F27)))/100)))*(1+(Inputs!$B$24+((C702=TRUE)*(F702-Calc!F25))+((C703=TRUE)*(F703-Calc!F26))+B716)/100)*(1+IF(C689=TRUE,F689,0)/100)*(1+(IF(Skills!A11="ARROW_STREAM",(Inputs!$B$17+1)+((C700=TRUE)*(F700-Calc!F23)),Inputs!$B$18+((C705=TRUE)*(F705-Calc!F28))))/100)*((1+(((C690=TRUE)*F690)+((C691=TRUE)*IF(Inputs!$B$38="pvp",F691,(1-Summary!$B$55)*(F691)+Summary!$B$55*(0)))+((C692=TRUE)*F692*IF(AND(Inputs!$B$38&lt;&gt;"pvp",Inputs!$B$43&gt;0),(((R692-1)*(Skills!T15*(1+Inputs!$B$34/100))+MIN((Skills!T15*(1+Inputs!$B$34/100)),MAX(0,Inputs!$B$43-((R692-1)*Skills!D15))))/Inputs!$B$43),IF(Inputs!$B$38="pvp",MIN((Skills!T15*(1+Inputs!$B$34/100)),15)/15,(Skills!T15*(1+Inputs!$B$34/100))/Skills!D15)))+((C707=TRUE)*(F707-Calc!F30)))/100)*I688)</f>
        <v/>
      </c>
      <c r="L688">
        <f>K688*(MIN(Inputs!$B$22+((C701=TRUE)*(F701-Calc!F24)),Inputs!$B$23+((C706=TRUE)*(F706-Calc!F29)))/100+(Inputs!$B$23+((C706=TRUE)*(F706-Calc!F29)))/100)/2</f>
        <v/>
      </c>
      <c r="M688">
        <f>L688*(1+(Inputs!$B$10+0+B715)/100)</f>
        <v/>
      </c>
      <c r="N688">
        <f>L688*(1-MIN((Inputs!$B$9+((C697=TRUE)*(F697-Calc!F20))+B710),100)/100)+M688*(MIN((Inputs!$B$9+((C697=TRUE)*(F697-Calc!F20))+B710),100)/100)</f>
        <v/>
      </c>
      <c r="O688">
        <f>(1-Summary!$B$55)*T688+Summary!$B$55*V688</f>
        <v/>
      </c>
      <c r="P688">
        <f>IF(B720=0,0,O688/B720)</f>
        <v/>
      </c>
      <c r="Q688">
        <f>IFERROR(1/IF(Inputs!$B$38="pvp",15,MAX(0.1,Skills!D11-IF(Skills!E11=TRUE,Inputs!$B$32,0))),0)</f>
        <v/>
      </c>
      <c r="R688">
        <f>IF(AND(Inputs!$B$38&lt;&gt;"pvp",Inputs!$B$43&gt;0),IF(MAX(0,Inputs!$B$43-B717)&lt;=0,0,(INT(MAX(0,Inputs!$B$43-B717)/IF(Inputs!$B$38="pvp",15,MAX(0.1,Skills!D11-IF(Skills!E11=TRUE,Inputs!$B$32,0))))+1)),0)</f>
        <v/>
      </c>
      <c r="S688">
        <f>IFERROR(O688/N688,0)</f>
        <v/>
      </c>
      <c r="T688">
        <f>IF(C688,(H688*N688*IF(AND(Inputs!$B$38&lt;&gt;"pvp",Inputs!$B$43&gt;0),((Skills!G11*((R688-1)*IF(Skills!H11&gt;0,Skills!I11/Skills!H11,1)+IF(Skills!H11&gt;0,MIN(Skills!I11,MAX(0,MAX(0,Inputs!$B$43-B717)-((R688-1)*IF(Inputs!$B$38="pvp",15,MAX(0.1,Skills!D11-IF(Skills!E11=TRUE,Inputs!$B$32,0))))))/Skills!H11,1)))/Inputs!$B$43),G688*Q688))*IF(Inputs!$B$38="pvp",1,1+(Inputs!$B$20+0+Skills!P11)/100),0)</f>
        <v/>
      </c>
      <c r="V688">
        <f>IF(C688,(H688*N688*IF(AND(Inputs!$B$38&lt;&gt;"pvp",Inputs!$B$43&gt;0),((Skills!G11*((R688-1)*IF(Skills!H11&gt;0,Skills!I11/Skills!H11,1)+IF(Skills!H11&gt;0,MIN(Skills!I11,MAX(0,MAX(0,Inputs!$B$43-B717)-((R688-1)*IF(Inputs!$B$38="pvp",15,MAX(0.1,Skills!D11-IF(Skills!E11=TRUE,Inputs!$B$32,0))))))/Skills!H11,1)))/Inputs!$B$43),G688*Q688))*IF(Inputs!$B$38="pvp",1,(1+(Inputs!$B$21+Skills!Q11)/100)*(MIN(Skills!R11,Inputs!$B$37))),0)</f>
        <v/>
      </c>
    </row>
    <row r="689">
      <c r="A689">
        <f>Skills!A12</f>
        <v/>
      </c>
      <c r="B689">
        <f>Skills!B12</f>
        <v/>
      </c>
      <c r="C689">
        <f>Inputs!$B$3&gt;=110</f>
        <v/>
      </c>
      <c r="D689">
        <f>IF(Skills!C12=1,60+Inputs!$B$25+Inputs!$B$29,IF(Skills!C12=2,90+Inputs!$B$26+Inputs!$B$29,IF(Skills!C12=3,120+Inputs!$B$27+Inputs!$B$29,MAX(0,(Inputs!$B$3-100)*3)+Inputs!$B$28+Inputs!$B$29)))</f>
        <v/>
      </c>
      <c r="E689">
        <f>INDEX(FactorTable!$B$2:$Y$301, MATCH(ROUND(MIN(300,MAX(1,D689)),0), FactorTable!$A$2:$A$301,0), Skills!M12+1)</f>
        <v/>
      </c>
      <c r="F689">
        <f>IF(Skills!N12=TRUE,(Skills!L12/10)*(E689/1000),Skills!L12/10)+Skills!O12</f>
        <v/>
      </c>
      <c r="G689" t="inlineStr"/>
      <c r="H689" t="inlineStr"/>
      <c r="I689" t="inlineStr">
        <is>
          <t>1</t>
        </is>
      </c>
      <c r="J689" t="inlineStr"/>
      <c r="K689" t="inlineStr"/>
      <c r="L689" t="inlineStr"/>
      <c r="M689" t="inlineStr"/>
      <c r="N689" t="inlineStr"/>
      <c r="O689" t="inlineStr"/>
      <c r="P689" t="inlineStr"/>
      <c r="Q689" t="inlineStr"/>
      <c r="R689" t="inlineStr"/>
      <c r="S689" t="inlineStr"/>
      <c r="T689" t="inlineStr"/>
      <c r="V689" t="inlineStr"/>
    </row>
    <row r="690">
      <c r="A690">
        <f>Skills!A13</f>
        <v/>
      </c>
      <c r="B690">
        <f>Skills!B13</f>
        <v/>
      </c>
      <c r="C690">
        <f>Inputs!$B$3&gt;=74</f>
        <v/>
      </c>
      <c r="D690">
        <f>IF(Skills!C13=1,60+Inputs!$B$25+Inputs!$B$29,IF(Skills!C13=2,90+Inputs!$B$26+Inputs!$B$29,IF(Skills!C13=3,120+Inputs!$B$27+Inputs!$B$29,MAX(0,(Inputs!$B$3-100)*3)+Inputs!$B$28+Inputs!$B$29)))</f>
        <v/>
      </c>
      <c r="E690">
        <f>INDEX(FactorTable!$B$2:$Y$301, MATCH(ROUND(MIN(300,MAX(1,D690)),0), FactorTable!$A$2:$A$301,0), Skills!M13+1)</f>
        <v/>
      </c>
      <c r="F690">
        <f>IF(Skills!N13=TRUE,(Skills!L13/10)*(E690/1000),Skills!L13/10)+Skills!O13</f>
        <v/>
      </c>
      <c r="G690">
        <f>Skills!G13*IF(Skills!H13&gt;0,Skills!I13/Skills!H13,1)</f>
        <v/>
      </c>
      <c r="H690">
        <f>1-(1-Skills!J13/100)^Skills!K13</f>
        <v/>
      </c>
      <c r="I690" t="inlineStr">
        <is>
          <t>1</t>
        </is>
      </c>
      <c r="J690" t="inlineStr"/>
      <c r="K690" t="inlineStr"/>
      <c r="L690" t="inlineStr"/>
      <c r="M690" t="inlineStr"/>
      <c r="N690" t="inlineStr"/>
      <c r="O690">
        <f>(1-Summary!$B$55)*T690+Summary!$B$55*V690</f>
        <v/>
      </c>
      <c r="P690">
        <f>IF(B720=0,0,O690/B720)</f>
        <v/>
      </c>
      <c r="Q690" t="n">
        <v>0</v>
      </c>
      <c r="R690" t="n">
        <v>0</v>
      </c>
      <c r="S690">
        <f>IFERROR(O690/N690,0)</f>
        <v/>
      </c>
      <c r="T690" t="n">
        <v>0</v>
      </c>
      <c r="V690" t="n">
        <v>0</v>
      </c>
    </row>
    <row r="691">
      <c r="A691">
        <f>Skills!A14</f>
        <v/>
      </c>
      <c r="B691">
        <f>Skills!B14</f>
        <v/>
      </c>
      <c r="C691">
        <f>Inputs!$B$3&gt;=74</f>
        <v/>
      </c>
      <c r="D691">
        <f>IF(Skills!C14=1,60+Inputs!$B$25+Inputs!$B$29,IF(Skills!C14=2,90+Inputs!$B$26+Inputs!$B$29,IF(Skills!C14=3,120+Inputs!$B$27+Inputs!$B$29,MAX(0,(Inputs!$B$3-100)*3)+Inputs!$B$28+Inputs!$B$29)))</f>
        <v/>
      </c>
      <c r="E691">
        <f>INDEX(FactorTable!$B$2:$Y$301, MATCH(ROUND(MIN(300,MAX(1,D691)),0), FactorTable!$A$2:$A$301,0), Skills!M14+1)</f>
        <v/>
      </c>
      <c r="F691">
        <f>IF(Skills!N14=TRUE,(Skills!L14/10)*(E691/1000),Skills!L14/10)+Skills!O14</f>
        <v/>
      </c>
      <c r="G691">
        <f>Skills!G14*IF(Skills!H14&gt;0,Skills!I14/Skills!H14,1)</f>
        <v/>
      </c>
      <c r="H691">
        <f>1-(1-Skills!J14/100)^Skills!K14</f>
        <v/>
      </c>
      <c r="I691" t="inlineStr">
        <is>
          <t>1</t>
        </is>
      </c>
      <c r="J691" t="inlineStr"/>
      <c r="K691" t="inlineStr"/>
      <c r="L691" t="inlineStr"/>
      <c r="M691" t="inlineStr"/>
      <c r="N691" t="inlineStr"/>
      <c r="O691">
        <f>(1-Summary!$B$55)*T691+Summary!$B$55*V691</f>
        <v/>
      </c>
      <c r="P691">
        <f>IF(B720=0,0,O691/B720)</f>
        <v/>
      </c>
      <c r="Q691" t="n">
        <v>0</v>
      </c>
      <c r="R691" t="n">
        <v>0</v>
      </c>
      <c r="S691">
        <f>IFERROR(O691/N691,0)</f>
        <v/>
      </c>
      <c r="T691" t="n">
        <v>0</v>
      </c>
      <c r="V691" t="n">
        <v>0</v>
      </c>
    </row>
    <row r="692">
      <c r="A692">
        <f>Skills!A15</f>
        <v/>
      </c>
      <c r="B692">
        <f>Skills!B15</f>
        <v/>
      </c>
      <c r="C692">
        <f>Inputs!$B$3&gt;=117</f>
        <v/>
      </c>
      <c r="D692">
        <f>IF(Skills!C15=1,60+Inputs!$B$25+Inputs!$B$29,IF(Skills!C15=2,90+Inputs!$B$26+Inputs!$B$29,IF(Skills!C15=3,120+Inputs!$B$27+Inputs!$B$29,MAX(0,(Inputs!$B$3-100)*3)+Inputs!$B$28+Inputs!$B$29)))</f>
        <v/>
      </c>
      <c r="E692">
        <f>INDEX(FactorTable!$B$2:$Y$301, MATCH(ROUND(MIN(300,MAX(1,D692)),0), FactorTable!$A$2:$A$301,0), Skills!M15+1)</f>
        <v/>
      </c>
      <c r="F692">
        <f>IF(Skills!N15=TRUE,(Skills!L15/10)*(E692/1000),Skills!L15/10)+Skills!O15</f>
        <v/>
      </c>
      <c r="G692">
        <f>Skills!G15*IF(Skills!H15&gt;0,Skills!I15/Skills!H15,1)</f>
        <v/>
      </c>
      <c r="H692">
        <f>1-(1-Skills!J15/100)^Skills!K15</f>
        <v/>
      </c>
      <c r="I692" t="inlineStr">
        <is>
          <t>1</t>
        </is>
      </c>
      <c r="J692" t="inlineStr"/>
      <c r="K692" t="inlineStr"/>
      <c r="L692" t="inlineStr"/>
      <c r="M692" t="inlineStr"/>
      <c r="N692" t="inlineStr"/>
      <c r="O692">
        <f>(1-Summary!$B$55)*T692+Summary!$B$55*V692</f>
        <v/>
      </c>
      <c r="P692">
        <f>IF(B720=0,0,O692/B720)</f>
        <v/>
      </c>
      <c r="Q692">
        <f>IFERROR(1/IF(Inputs!$B$38="pvp",15,MAX(0.1,Skills!D15-IF(Skills!E15=TRUE,Inputs!$B$32,0))),0)</f>
        <v/>
      </c>
      <c r="R692">
        <f>IF(AND(Inputs!$B$38&lt;&gt;"pvp",Inputs!$B$43&gt;0),IF(Inputs!$B$43&lt;=0,0,(INT(Inputs!$B$43/IF(Inputs!$B$38="pvp",15,MAX(0.1,Skills!D15-IF(Skills!E15=TRUE,Inputs!$B$32,0))))+1)),0)</f>
        <v/>
      </c>
      <c r="S692">
        <f>IFERROR(O692/N692,0)</f>
        <v/>
      </c>
      <c r="T692" t="n">
        <v>0</v>
      </c>
      <c r="V692" t="n">
        <v>0</v>
      </c>
    </row>
    <row r="693">
      <c r="A693">
        <f>Skills!A16</f>
        <v/>
      </c>
      <c r="B693">
        <f>Skills!B16</f>
        <v/>
      </c>
      <c r="C693">
        <f>Inputs!$B$3&gt;=115</f>
        <v/>
      </c>
      <c r="D693">
        <f>IF(Skills!C16=1,60+Inputs!$B$25+Inputs!$B$29,IF(Skills!C16=2,90+Inputs!$B$26+Inputs!$B$29,IF(Skills!C16=3,120+Inputs!$B$27+Inputs!$B$29,MAX(0,(Inputs!$B$3-100)*3)+Inputs!$B$28+Inputs!$B$29)))</f>
        <v/>
      </c>
      <c r="E693">
        <f>INDEX(FactorTable!$B$2:$Y$301, MATCH(ROUND(MIN(300,MAX(1,D693)),0), FactorTable!$A$2:$A$301,0), Skills!M16+1)</f>
        <v/>
      </c>
      <c r="F693">
        <f>IF(Skills!N16=TRUE,(Skills!L16/10)*(E693/1000),Skills!L16/10)+Skills!O16</f>
        <v/>
      </c>
      <c r="G693">
        <f>Skills!G16*IF(Skills!H16&gt;0,Skills!I16/Skills!H16,1)</f>
        <v/>
      </c>
      <c r="H693">
        <f>1-(1-Skills!J16/100)^Skills!K16</f>
        <v/>
      </c>
      <c r="I693" t="inlineStr">
        <is>
          <t>1</t>
        </is>
      </c>
      <c r="J693" t="inlineStr"/>
      <c r="K693" t="inlineStr"/>
      <c r="L693" t="inlineStr"/>
      <c r="M693" t="inlineStr"/>
      <c r="N693" t="inlineStr"/>
      <c r="O693">
        <f>(1-Summary!$B$55)*T693+Summary!$B$55*V693</f>
        <v/>
      </c>
      <c r="P693">
        <f>IF(B720=0,0,O693/B720)</f>
        <v/>
      </c>
      <c r="Q693">
        <f>IFERROR(1/IF(Inputs!$B$38="pvp",15,MAX(0.1,Skills!D16-IF(Skills!E16=TRUE,Inputs!$B$32,0))),0)</f>
        <v/>
      </c>
      <c r="R693">
        <f>IF(AND(Inputs!$B$38&lt;&gt;"pvp",Inputs!$B$43&gt;0),IF(Inputs!$B$43&lt;=0,0,(INT(Inputs!$B$43/IF(Inputs!$B$38="pvp",15,MAX(0.1,Skills!D16-IF(Skills!E16=TRUE,Inputs!$B$32,0))))+1)),0)</f>
        <v/>
      </c>
      <c r="S693">
        <f>IFERROR(O693/N693,0)</f>
        <v/>
      </c>
      <c r="T693" t="n">
        <v>0</v>
      </c>
      <c r="V693" t="n">
        <v>0</v>
      </c>
    </row>
    <row r="694">
      <c r="A694">
        <f>Skills!A17</f>
        <v/>
      </c>
      <c r="B694">
        <f>Skills!B17</f>
        <v/>
      </c>
      <c r="C694">
        <f>Inputs!$B$3&gt;=66</f>
        <v/>
      </c>
      <c r="D694">
        <f>IF(Skills!C17=1,60+Inputs!$B$25+Inputs!$B$29,IF(Skills!C17=2,90+Inputs!$B$26+Inputs!$B$29,IF(Skills!C17=3,120+Inputs!$B$27+Inputs!$B$29,MAX(0,(Inputs!$B$3-100)*3)+Inputs!$B$28+Inputs!$B$29)))</f>
        <v/>
      </c>
      <c r="E694">
        <f>INDEX(FactorTable!$B$2:$Y$301, MATCH(ROUND(MIN(300,MAX(1,D694)),0), FactorTable!$A$2:$A$301,0), Skills!M17+1)</f>
        <v/>
      </c>
      <c r="F694">
        <f>IF(Skills!N17=TRUE,(Skills!L17/10)*(E694/1000),Skills!L17/10)+Skills!O17</f>
        <v/>
      </c>
      <c r="G694">
        <f>Skills!G17*IF(Skills!H17&gt;0,Skills!I17/Skills!H17,1)</f>
        <v/>
      </c>
      <c r="H694">
        <f>1-(1-Skills!J17/100)^Skills!K17</f>
        <v/>
      </c>
      <c r="I694" t="inlineStr">
        <is>
          <t>1</t>
        </is>
      </c>
      <c r="J694" t="inlineStr"/>
      <c r="K694" t="inlineStr"/>
      <c r="L694" t="inlineStr"/>
      <c r="M694" t="inlineStr"/>
      <c r="N694" t="inlineStr"/>
      <c r="O694">
        <f>(1-Summary!$B$55)*T694+Summary!$B$55*V694</f>
        <v/>
      </c>
      <c r="P694">
        <f>IF(B720=0,0,O694/B720)</f>
        <v/>
      </c>
      <c r="Q694" t="n">
        <v>0</v>
      </c>
      <c r="R694" t="n">
        <v>0</v>
      </c>
      <c r="S694">
        <f>IFERROR(O694/N694,0)</f>
        <v/>
      </c>
      <c r="T694" t="n">
        <v>0</v>
      </c>
      <c r="V694" t="n">
        <v>0</v>
      </c>
    </row>
    <row r="695">
      <c r="A695">
        <f>Skills!A18</f>
        <v/>
      </c>
      <c r="B695">
        <f>Skills!B18</f>
        <v/>
      </c>
      <c r="C695">
        <f>Inputs!$B$3&gt;=72</f>
        <v/>
      </c>
      <c r="D695">
        <f>IF(Skills!C18=1,60+Inputs!$B$25+Inputs!$B$29,IF(Skills!C18=2,90+Inputs!$B$26+Inputs!$B$29,IF(Skills!C18=3,120+Inputs!$B$27+Inputs!$B$29,MAX(0,(Inputs!$B$3-100)*3)+Inputs!$B$28+Inputs!$B$29)))</f>
        <v/>
      </c>
      <c r="E695">
        <f>INDEX(FactorTable!$B$2:$Y$301, MATCH(ROUND(MIN(300,MAX(1,D695)),0), FactorTable!$A$2:$A$301,0), Skills!M18+1)</f>
        <v/>
      </c>
      <c r="F695">
        <f>IF(Skills!N18=TRUE,(Skills!L18/10)*(E695/1000),Skills!L18/10)+Skills!O18</f>
        <v/>
      </c>
      <c r="G695">
        <f>Skills!G18*IF(Skills!H18&gt;0,Skills!I18/Skills!H18,1)</f>
        <v/>
      </c>
      <c r="H695">
        <f>1-(1-Skills!J18/100)^Skills!K18</f>
        <v/>
      </c>
      <c r="I695" t="inlineStr">
        <is>
          <t>1</t>
        </is>
      </c>
      <c r="J695" t="inlineStr"/>
      <c r="K695" t="inlineStr"/>
      <c r="L695" t="inlineStr"/>
      <c r="M695" t="inlineStr"/>
      <c r="N695" t="inlineStr"/>
      <c r="O695">
        <f>(1-Summary!$B$55)*T695+Summary!$B$55*V695</f>
        <v/>
      </c>
      <c r="P695">
        <f>IF(B720=0,0,O695/B720)</f>
        <v/>
      </c>
      <c r="Q695" t="n">
        <v>0</v>
      </c>
      <c r="R695" t="n">
        <v>0</v>
      </c>
      <c r="S695">
        <f>IFERROR(O695/N695,0)</f>
        <v/>
      </c>
      <c r="T695" t="n">
        <v>0</v>
      </c>
      <c r="V695" t="n">
        <v>0</v>
      </c>
    </row>
    <row r="696">
      <c r="A696">
        <f>Skills!A19</f>
        <v/>
      </c>
      <c r="B696">
        <f>Skills!B19</f>
        <v/>
      </c>
      <c r="C696">
        <f>TRUE</f>
        <v/>
      </c>
      <c r="D696">
        <f>IF(Skills!C19=1,60+Inputs!$B$25+Inputs!$B$29,IF(Skills!C19=2,90+Inputs!$B$26+Inputs!$B$29,IF(Skills!C19=3,120+Inputs!$B$27+Inputs!$B$29,MAX(0,(Inputs!$B$3-100)*3)+Inputs!$B$28+Inputs!$B$29)))</f>
        <v/>
      </c>
      <c r="E696">
        <f>INDEX(FactorTable!$B$2:$Y$301, MATCH(ROUND(MIN(300,MAX(1,D696)),0), FactorTable!$A$2:$A$301,0), Skills!M19+1)</f>
        <v/>
      </c>
      <c r="F696">
        <f>IF(Skills!N19=TRUE,(Skills!L19/10)*(E696/1000),Skills!L19/10)+Skills!O19</f>
        <v/>
      </c>
      <c r="G696">
        <f>Skills!G19*IF(Skills!H19&gt;0,Skills!I19/Skills!H19,1)</f>
        <v/>
      </c>
      <c r="H696">
        <f>1-(1-Skills!J19/100)^Skills!K19</f>
        <v/>
      </c>
      <c r="I696" t="inlineStr">
        <is>
          <t>1</t>
        </is>
      </c>
      <c r="J696" t="inlineStr"/>
      <c r="K696" t="inlineStr"/>
      <c r="L696" t="inlineStr"/>
      <c r="M696" t="inlineStr"/>
      <c r="N696" t="inlineStr"/>
      <c r="O696">
        <f>(1-Summary!$B$55)*T696+Summary!$B$55*V696</f>
        <v/>
      </c>
      <c r="P696">
        <f>IF(B720=0,0,O696/B720)</f>
        <v/>
      </c>
      <c r="Q696">
        <f>IFERROR(1/IF(Inputs!$B$38="pvp",15,MAX(0.1,Skills!D19-IF(Skills!E19=TRUE,Inputs!$B$32,0))),0)</f>
        <v/>
      </c>
      <c r="R696">
        <f>IF(AND(Inputs!$B$38&lt;&gt;"pvp",Inputs!$B$43&gt;0),IF(Inputs!$B$43&lt;=0,0,(INT(Inputs!$B$43/IF(Inputs!$B$38="pvp",15,MAX(0.1,Skills!D19-IF(Skills!E19=TRUE,Inputs!$B$32,0))))+1)),0)</f>
        <v/>
      </c>
      <c r="S696">
        <f>IFERROR(O696/N696,0)</f>
        <v/>
      </c>
      <c r="T696" t="n">
        <v>0</v>
      </c>
      <c r="V696" t="n">
        <v>0</v>
      </c>
    </row>
    <row r="697">
      <c r="A697">
        <f>Skills!A20</f>
        <v/>
      </c>
      <c r="B697">
        <f>Skills!B20</f>
        <v/>
      </c>
      <c r="C697">
        <f>Inputs!$B$3&gt;=15</f>
        <v/>
      </c>
      <c r="D697">
        <f>IF(Skills!C20=1,60+Inputs!$B$25+Inputs!$B$29,IF(Skills!C20=2,90+Inputs!$B$26+Inputs!$B$29,IF(Skills!C20=3,120+Inputs!$B$27+Inputs!$B$29,MAX(0,(Inputs!$B$3-100)*3)+Inputs!$B$28+Inputs!$B$29)))</f>
        <v/>
      </c>
      <c r="E697">
        <f>INDEX(FactorTable!$B$2:$Y$301, MATCH(ROUND(MIN(300,MAX(1,D697)),0), FactorTable!$A$2:$A$301,0), Skills!M20+1)</f>
        <v/>
      </c>
      <c r="F697">
        <f>IF(Skills!N20=TRUE,(Skills!L20/10)*(E697/1000),Skills!L20/10)+Skills!O20</f>
        <v/>
      </c>
      <c r="G697">
        <f>Skills!G20*IF(Skills!H20&gt;0,Skills!I20/Skills!H20,1)</f>
        <v/>
      </c>
      <c r="H697">
        <f>1-(1-Skills!J20/100)^Skills!K20</f>
        <v/>
      </c>
      <c r="I697" t="inlineStr">
        <is>
          <t>1</t>
        </is>
      </c>
      <c r="J697" t="inlineStr"/>
      <c r="K697" t="inlineStr"/>
      <c r="L697" t="inlineStr"/>
      <c r="M697" t="inlineStr"/>
      <c r="N697" t="inlineStr"/>
      <c r="O697">
        <f>(1-Summary!$B$55)*T697+Summary!$B$55*V697</f>
        <v/>
      </c>
      <c r="P697">
        <f>IF(B720=0,0,O697/B720)</f>
        <v/>
      </c>
      <c r="Q697" t="n">
        <v>0</v>
      </c>
      <c r="R697" t="n">
        <v>0</v>
      </c>
      <c r="S697">
        <f>IFERROR(O697/N697,0)</f>
        <v/>
      </c>
      <c r="T697" t="n">
        <v>0</v>
      </c>
      <c r="V697" t="n">
        <v>0</v>
      </c>
    </row>
    <row r="698">
      <c r="A698">
        <f>Skills!A21</f>
        <v/>
      </c>
      <c r="B698">
        <f>Skills!B21</f>
        <v/>
      </c>
      <c r="C698">
        <f>Inputs!$B$3&gt;=10</f>
        <v/>
      </c>
      <c r="D698">
        <f>IF(Skills!C21=1,60+Inputs!$B$25+Inputs!$B$29,IF(Skills!C21=2,90+Inputs!$B$26+Inputs!$B$29,IF(Skills!C21=3,120+Inputs!$B$27+Inputs!$B$29,MAX(0,(Inputs!$B$3-100)*3)+Inputs!$B$28+Inputs!$B$29)))</f>
        <v/>
      </c>
      <c r="E698">
        <f>INDEX(FactorTable!$B$2:$Y$301, MATCH(ROUND(MIN(300,MAX(1,D698)),0), FactorTable!$A$2:$A$301,0), Skills!M21+1)</f>
        <v/>
      </c>
      <c r="F698">
        <f>IF(Skills!N21=TRUE,(Skills!L21/10)*(E698/1000),Skills!L21/10)+Skills!O21</f>
        <v/>
      </c>
      <c r="G698">
        <f>Skills!G21*IF(Skills!H21&gt;0,Skills!I21/Skills!H21,1)</f>
        <v/>
      </c>
      <c r="H698">
        <f>1-(1-Skills!J21/100)^Skills!K21</f>
        <v/>
      </c>
      <c r="I698" t="inlineStr">
        <is>
          <t>1</t>
        </is>
      </c>
      <c r="J698" t="inlineStr"/>
      <c r="K698" t="inlineStr"/>
      <c r="L698" t="inlineStr"/>
      <c r="M698" t="inlineStr"/>
      <c r="N698" t="inlineStr"/>
      <c r="O698">
        <f>(1-Summary!$B$55)*T698+Summary!$B$55*V698</f>
        <v/>
      </c>
      <c r="P698">
        <f>IF(B720=0,0,O698/B720)</f>
        <v/>
      </c>
      <c r="Q698" t="n">
        <v>0</v>
      </c>
      <c r="R698" t="n">
        <v>0</v>
      </c>
      <c r="S698">
        <f>IFERROR(O698/N698,0)</f>
        <v/>
      </c>
      <c r="T698" t="n">
        <v>0</v>
      </c>
      <c r="V698" t="n">
        <v>0</v>
      </c>
    </row>
    <row r="699">
      <c r="A699">
        <f>Skills!A22</f>
        <v/>
      </c>
      <c r="B699">
        <f>Skills!B22</f>
        <v/>
      </c>
      <c r="C699">
        <f>Inputs!$B$3&gt;=33</f>
        <v/>
      </c>
      <c r="D699">
        <f>IF(Skills!C22=1,60+Inputs!$B$25+Inputs!$B$29,IF(Skills!C22=2,90+Inputs!$B$26+Inputs!$B$29,IF(Skills!C22=3,120+Inputs!$B$27+Inputs!$B$29,MAX(0,(Inputs!$B$3-100)*3)+Inputs!$B$28+Inputs!$B$29)))</f>
        <v/>
      </c>
      <c r="E699">
        <f>INDEX(FactorTable!$B$2:$Y$301, MATCH(ROUND(MIN(300,MAX(1,D699)),0), FactorTable!$A$2:$A$301,0), Skills!M22+1)</f>
        <v/>
      </c>
      <c r="F699">
        <f>IF(Skills!N22=TRUE,(Skills!L22/10)*(E699/1000),Skills!L22/10)+Skills!O22</f>
        <v/>
      </c>
      <c r="G699">
        <f>Skills!G22*IF(Skills!H22&gt;0,Skills!I22/Skills!H22,1)</f>
        <v/>
      </c>
      <c r="H699">
        <f>1-(1-Skills!J22/100)^Skills!K22</f>
        <v/>
      </c>
      <c r="I699" t="inlineStr">
        <is>
          <t>1</t>
        </is>
      </c>
      <c r="J699" t="inlineStr"/>
      <c r="K699" t="inlineStr"/>
      <c r="L699" t="inlineStr"/>
      <c r="M699" t="inlineStr"/>
      <c r="N699" t="inlineStr"/>
      <c r="O699">
        <f>(1-Summary!$B$55)*T699+Summary!$B$55*V699</f>
        <v/>
      </c>
      <c r="P699">
        <f>IF(B720=0,0,O699/B720)</f>
        <v/>
      </c>
      <c r="Q699" t="n">
        <v>0</v>
      </c>
      <c r="R699" t="n">
        <v>0</v>
      </c>
      <c r="S699">
        <f>IFERROR(O699/N699,0)</f>
        <v/>
      </c>
      <c r="T699" t="n">
        <v>0</v>
      </c>
      <c r="V699" t="n">
        <v>0</v>
      </c>
    </row>
    <row r="700">
      <c r="A700">
        <f>Skills!A23</f>
        <v/>
      </c>
      <c r="B700">
        <f>Skills!B23</f>
        <v/>
      </c>
      <c r="C700">
        <f>Inputs!$B$3&gt;=38</f>
        <v/>
      </c>
      <c r="D700">
        <f>IF(Skills!C23=1,60+Inputs!$B$25+Inputs!$B$29,IF(Skills!C23=2,90+Inputs!$B$26+Inputs!$B$29,IF(Skills!C23=3,120+Inputs!$B$27+Inputs!$B$29,MAX(0,(Inputs!$B$3-100)*3)+Inputs!$B$28+Inputs!$B$29)))</f>
        <v/>
      </c>
      <c r="E700">
        <f>INDEX(FactorTable!$B$2:$Y$301, MATCH(ROUND(MIN(300,MAX(1,D700)),0), FactorTable!$A$2:$A$301,0), Skills!M23+1)</f>
        <v/>
      </c>
      <c r="F700">
        <f>IF(Skills!N23=TRUE,(Skills!L23/10)*(E700/1000),Skills!L23/10)+Skills!O23</f>
        <v/>
      </c>
      <c r="G700">
        <f>Skills!G23*IF(Skills!H23&gt;0,Skills!I23/Skills!H23,1)</f>
        <v/>
      </c>
      <c r="H700">
        <f>1-(1-Skills!J23/100)^Skills!K23</f>
        <v/>
      </c>
      <c r="I700" t="inlineStr">
        <is>
          <t>1</t>
        </is>
      </c>
      <c r="J700" t="inlineStr"/>
      <c r="K700" t="inlineStr"/>
      <c r="L700" t="inlineStr"/>
      <c r="M700" t="inlineStr"/>
      <c r="N700" t="inlineStr"/>
      <c r="O700">
        <f>(1-Summary!$B$55)*T700+Summary!$B$55*V700</f>
        <v/>
      </c>
      <c r="P700">
        <f>IF(B720=0,0,O700/B720)</f>
        <v/>
      </c>
      <c r="Q700" t="n">
        <v>0</v>
      </c>
      <c r="R700" t="n">
        <v>0</v>
      </c>
      <c r="S700">
        <f>IFERROR(O700/N700,0)</f>
        <v/>
      </c>
      <c r="T700" t="n">
        <v>0</v>
      </c>
      <c r="V700" t="n">
        <v>0</v>
      </c>
    </row>
    <row r="701">
      <c r="A701">
        <f>Skills!A24</f>
        <v/>
      </c>
      <c r="B701">
        <f>Skills!B24</f>
        <v/>
      </c>
      <c r="C701">
        <f>Inputs!$B$3&gt;=43</f>
        <v/>
      </c>
      <c r="D701">
        <f>IF(Skills!C24=1,60+Inputs!$B$25+Inputs!$B$29,IF(Skills!C24=2,90+Inputs!$B$26+Inputs!$B$29,IF(Skills!C24=3,120+Inputs!$B$27+Inputs!$B$29,MAX(0,(Inputs!$B$3-100)*3)+Inputs!$B$28+Inputs!$B$29)))</f>
        <v/>
      </c>
      <c r="E701">
        <f>INDEX(FactorTable!$B$2:$Y$301, MATCH(ROUND(MIN(300,MAX(1,D701)),0), FactorTable!$A$2:$A$301,0), Skills!M24+1)</f>
        <v/>
      </c>
      <c r="F701">
        <f>IF(Skills!N24=TRUE,(Skills!L24/10)*(E701/1000),Skills!L24/10)+Skills!O24</f>
        <v/>
      </c>
      <c r="G701">
        <f>Skills!G24*IF(Skills!H24&gt;0,Skills!I24/Skills!H24,1)</f>
        <v/>
      </c>
      <c r="H701">
        <f>1-(1-Skills!J24/100)^Skills!K24</f>
        <v/>
      </c>
      <c r="I701" t="inlineStr">
        <is>
          <t>1</t>
        </is>
      </c>
      <c r="J701" t="inlineStr"/>
      <c r="K701" t="inlineStr"/>
      <c r="L701" t="inlineStr"/>
      <c r="M701" t="inlineStr"/>
      <c r="N701" t="inlineStr"/>
      <c r="O701">
        <f>(1-Summary!$B$55)*T701+Summary!$B$55*V701</f>
        <v/>
      </c>
      <c r="P701">
        <f>IF(B720=0,0,O701/B720)</f>
        <v/>
      </c>
      <c r="Q701" t="n">
        <v>0</v>
      </c>
      <c r="R701" t="n">
        <v>0</v>
      </c>
      <c r="S701">
        <f>IFERROR(O701/N701,0)</f>
        <v/>
      </c>
      <c r="T701" t="n">
        <v>0</v>
      </c>
      <c r="V701" t="n">
        <v>0</v>
      </c>
    </row>
    <row r="702">
      <c r="A702">
        <f>Skills!A25</f>
        <v/>
      </c>
      <c r="B702">
        <f>Skills!B25</f>
        <v/>
      </c>
      <c r="C702">
        <f>Inputs!$B$3&gt;=75</f>
        <v/>
      </c>
      <c r="D702">
        <f>IF(Skills!C25=1,60+Inputs!$B$25+Inputs!$B$29,IF(Skills!C25=2,90+Inputs!$B$26+Inputs!$B$29,IF(Skills!C25=3,120+Inputs!$B$27+Inputs!$B$29,MAX(0,(Inputs!$B$3-100)*3)+Inputs!$B$28+Inputs!$B$29)))</f>
        <v/>
      </c>
      <c r="E702">
        <f>INDEX(FactorTable!$B$2:$Y$301, MATCH(ROUND(MIN(300,MAX(1,D702)),0), FactorTable!$A$2:$A$301,0), Skills!M25+1)</f>
        <v/>
      </c>
      <c r="F702">
        <f>IF(Skills!N25=TRUE,(Skills!L25/10)*(E702/1000),Skills!L25/10)+Skills!O25</f>
        <v/>
      </c>
      <c r="G702">
        <f>Skills!G25*IF(Skills!H25&gt;0,Skills!I25/Skills!H25,1)</f>
        <v/>
      </c>
      <c r="H702">
        <f>1-(1-Skills!J25/100)^Skills!K25</f>
        <v/>
      </c>
      <c r="I702" t="inlineStr">
        <is>
          <t>1</t>
        </is>
      </c>
      <c r="J702" t="inlineStr"/>
      <c r="K702" t="inlineStr"/>
      <c r="L702" t="inlineStr"/>
      <c r="M702" t="inlineStr"/>
      <c r="N702" t="inlineStr"/>
      <c r="O702">
        <f>(1-Summary!$B$55)*T702+Summary!$B$55*V702</f>
        <v/>
      </c>
      <c r="P702">
        <f>IF(B720=0,0,O702/B720)</f>
        <v/>
      </c>
      <c r="Q702" t="n">
        <v>0</v>
      </c>
      <c r="R702" t="n">
        <v>0</v>
      </c>
      <c r="S702">
        <f>IFERROR(O702/N702,0)</f>
        <v/>
      </c>
      <c r="T702" t="n">
        <v>0</v>
      </c>
      <c r="V702" t="n">
        <v>0</v>
      </c>
    </row>
    <row r="703">
      <c r="A703">
        <f>Skills!A26</f>
        <v/>
      </c>
      <c r="B703">
        <f>Skills!B26</f>
        <v/>
      </c>
      <c r="C703">
        <f>Inputs!$B$3&gt;=125</f>
        <v/>
      </c>
      <c r="D703">
        <f>IF(Skills!C26=1,60+Inputs!$B$25+Inputs!$B$29,IF(Skills!C26=2,90+Inputs!$B$26+Inputs!$B$29,IF(Skills!C26=3,120+Inputs!$B$27+Inputs!$B$29,MAX(0,(Inputs!$B$3-100)*3)+Inputs!$B$28+Inputs!$B$29)))</f>
        <v/>
      </c>
      <c r="E703">
        <f>INDEX(FactorTable!$B$2:$Y$301, MATCH(ROUND(MIN(300,MAX(1,D703)),0), FactorTable!$A$2:$A$301,0), Skills!M26+1)</f>
        <v/>
      </c>
      <c r="F703">
        <f>IF(Skills!N26=TRUE,(Skills!L26/10)*(E703/1000),Skills!L26/10)+Skills!O26</f>
        <v/>
      </c>
      <c r="G703">
        <f>Skills!G26*IF(Skills!H26&gt;0,Skills!I26/Skills!H26,1)</f>
        <v/>
      </c>
      <c r="H703">
        <f>1-(1-Skills!J26/100)^Skills!K26</f>
        <v/>
      </c>
      <c r="I703" t="inlineStr">
        <is>
          <t>1</t>
        </is>
      </c>
      <c r="J703" t="inlineStr"/>
      <c r="K703" t="inlineStr"/>
      <c r="L703" t="inlineStr"/>
      <c r="M703" t="inlineStr"/>
      <c r="N703" t="inlineStr"/>
      <c r="O703">
        <f>(1-Summary!$B$55)*T703+Summary!$B$55*V703</f>
        <v/>
      </c>
      <c r="P703">
        <f>IF(B720=0,0,O703/B720)</f>
        <v/>
      </c>
      <c r="Q703" t="n">
        <v>0</v>
      </c>
      <c r="R703" t="n">
        <v>0</v>
      </c>
      <c r="S703">
        <f>IFERROR(O703/N703,0)</f>
        <v/>
      </c>
      <c r="T703" t="n">
        <v>0</v>
      </c>
      <c r="V703" t="n">
        <v>0</v>
      </c>
    </row>
    <row r="704">
      <c r="A704">
        <f>Skills!A27</f>
        <v/>
      </c>
      <c r="B704">
        <f>Skills!B27</f>
        <v/>
      </c>
      <c r="C704">
        <f>Inputs!$B$3&gt;=125</f>
        <v/>
      </c>
      <c r="D704">
        <f>IF(Skills!C27=1,60+Inputs!$B$25+Inputs!$B$29,IF(Skills!C27=2,90+Inputs!$B$26+Inputs!$B$29,IF(Skills!C27=3,120+Inputs!$B$27+Inputs!$B$29,MAX(0,(Inputs!$B$3-100)*3)+Inputs!$B$28+Inputs!$B$29)))</f>
        <v/>
      </c>
      <c r="E704">
        <f>INDEX(FactorTable!$B$2:$Y$301, MATCH(ROUND(MIN(300,MAX(1,D704)),0), FactorTable!$A$2:$A$301,0), Skills!M27+1)</f>
        <v/>
      </c>
      <c r="F704">
        <f>IF(Skills!N27=TRUE,(Skills!L27/10)*(E704/1000),Skills!L27/10)+Skills!O27</f>
        <v/>
      </c>
      <c r="G704">
        <f>Skills!G27*IF(Skills!H27&gt;0,Skills!I27/Skills!H27,1)</f>
        <v/>
      </c>
      <c r="H704">
        <f>1-(1-Skills!J27/100)^Skills!K27</f>
        <v/>
      </c>
      <c r="I704" t="inlineStr">
        <is>
          <t>1</t>
        </is>
      </c>
      <c r="J704" t="inlineStr"/>
      <c r="K704" t="inlineStr"/>
      <c r="L704" t="inlineStr"/>
      <c r="M704" t="inlineStr"/>
      <c r="N704" t="inlineStr"/>
      <c r="O704">
        <f>(1-Summary!$B$55)*T704+Summary!$B$55*V704</f>
        <v/>
      </c>
      <c r="P704">
        <f>IF(B720=0,0,O704/B720)</f>
        <v/>
      </c>
      <c r="Q704" t="n">
        <v>0</v>
      </c>
      <c r="R704" t="n">
        <v>0</v>
      </c>
      <c r="S704">
        <f>IFERROR(O704/N704,0)</f>
        <v/>
      </c>
      <c r="T704" t="n">
        <v>0</v>
      </c>
      <c r="V704" t="n">
        <v>0</v>
      </c>
    </row>
    <row r="705">
      <c r="A705">
        <f>Skills!A28</f>
        <v/>
      </c>
      <c r="B705">
        <f>Skills!B28</f>
        <v/>
      </c>
      <c r="C705">
        <f>Inputs!$B$3&gt;=120</f>
        <v/>
      </c>
      <c r="D705">
        <f>IF(Skills!C28=1,60+Inputs!$B$25+Inputs!$B$29,IF(Skills!C28=2,90+Inputs!$B$26+Inputs!$B$29,IF(Skills!C28=3,120+Inputs!$B$27+Inputs!$B$29,MAX(0,(Inputs!$B$3-100)*3)+Inputs!$B$28+Inputs!$B$29)))</f>
        <v/>
      </c>
      <c r="E705">
        <f>INDEX(FactorTable!$B$2:$Y$301, MATCH(ROUND(MIN(300,MAX(1,D705)),0), FactorTable!$A$2:$A$301,0), Skills!M28+1)</f>
        <v/>
      </c>
      <c r="F705">
        <f>IF(Skills!N28=TRUE,(Skills!L28/10)*(E705/1000),Skills!L28/10)+Skills!O28</f>
        <v/>
      </c>
      <c r="G705">
        <f>Skills!G28*IF(Skills!H28&gt;0,Skills!I28/Skills!H28,1)</f>
        <v/>
      </c>
      <c r="H705">
        <f>1-(1-Skills!J28/100)^Skills!K28</f>
        <v/>
      </c>
      <c r="I705" t="inlineStr">
        <is>
          <t>1</t>
        </is>
      </c>
      <c r="J705" t="inlineStr"/>
      <c r="K705" t="inlineStr"/>
      <c r="L705" t="inlineStr"/>
      <c r="M705" t="inlineStr"/>
      <c r="N705" t="inlineStr"/>
      <c r="O705">
        <f>(1-Summary!$B$55)*T705+Summary!$B$55*V705</f>
        <v/>
      </c>
      <c r="P705">
        <f>IF(B720=0,0,O705/B720)</f>
        <v/>
      </c>
      <c r="Q705" t="n">
        <v>0</v>
      </c>
      <c r="R705" t="n">
        <v>0</v>
      </c>
      <c r="S705">
        <f>IFERROR(O705/N705,0)</f>
        <v/>
      </c>
      <c r="T705" t="n">
        <v>0</v>
      </c>
      <c r="V705" t="n">
        <v>0</v>
      </c>
    </row>
    <row r="706">
      <c r="A706">
        <f>Skills!A29</f>
        <v/>
      </c>
      <c r="B706">
        <f>Skills!B29</f>
        <v/>
      </c>
      <c r="C706">
        <f>Inputs!$B$3&gt;=120</f>
        <v/>
      </c>
      <c r="D706">
        <f>IF(Skills!C29=1,60+Inputs!$B$25+Inputs!$B$29,IF(Skills!C29=2,90+Inputs!$B$26+Inputs!$B$29,IF(Skills!C29=3,120+Inputs!$B$27+Inputs!$B$29,MAX(0,(Inputs!$B$3-100)*3)+Inputs!$B$28+Inputs!$B$29)))</f>
        <v/>
      </c>
      <c r="E706">
        <f>INDEX(FactorTable!$B$2:$Y$301, MATCH(ROUND(MIN(300,MAX(1,D706)),0), FactorTable!$A$2:$A$301,0), Skills!M29+1)</f>
        <v/>
      </c>
      <c r="F706">
        <f>IF(Skills!N29=TRUE,(Skills!L29/10)*(E706/1000),Skills!L29/10)+Skills!O29</f>
        <v/>
      </c>
      <c r="G706">
        <f>Skills!G29*IF(Skills!H29&gt;0,Skills!I29/Skills!H29,1)</f>
        <v/>
      </c>
      <c r="H706">
        <f>1-(1-Skills!J29/100)^Skills!K29</f>
        <v/>
      </c>
      <c r="I706" t="inlineStr">
        <is>
          <t>1</t>
        </is>
      </c>
      <c r="J706" t="inlineStr"/>
      <c r="K706" t="inlineStr"/>
      <c r="L706" t="inlineStr"/>
      <c r="M706" t="inlineStr"/>
      <c r="N706" t="inlineStr"/>
      <c r="O706">
        <f>(1-Summary!$B$55)*T706+Summary!$B$55*V706</f>
        <v/>
      </c>
      <c r="P706">
        <f>IF(B720=0,0,O706/B720)</f>
        <v/>
      </c>
      <c r="Q706" t="n">
        <v>0</v>
      </c>
      <c r="R706" t="n">
        <v>0</v>
      </c>
      <c r="S706">
        <f>IFERROR(O706/N706,0)</f>
        <v/>
      </c>
      <c r="T706" t="n">
        <v>0</v>
      </c>
      <c r="V706" t="n">
        <v>0</v>
      </c>
    </row>
    <row r="707">
      <c r="A707">
        <f>Skills!A30</f>
        <v/>
      </c>
      <c r="B707">
        <f>Skills!B30</f>
        <v/>
      </c>
      <c r="C707">
        <f>Inputs!$B$3&gt;=45</f>
        <v/>
      </c>
      <c r="D707">
        <f>IF(Skills!C30=1,60+Inputs!$B$25+Inputs!$B$29,IF(Skills!C30=2,90+Inputs!$B$26+Inputs!$B$29,IF(Skills!C30=3,120+Inputs!$B$27+Inputs!$B$29,MAX(0,(Inputs!$B$3-100)*3)+Inputs!$B$28+Inputs!$B$29)))</f>
        <v/>
      </c>
      <c r="E707">
        <f>INDEX(FactorTable!$B$2:$Y$301, MATCH(ROUND(MIN(300,MAX(1,D707)),0), FactorTable!$A$2:$A$301,0), Skills!M30+1)</f>
        <v/>
      </c>
      <c r="F707">
        <f>IF(Skills!N30=TRUE,(Skills!L30/10)*(E707/1000),Skills!L30/10)+Skills!O30</f>
        <v/>
      </c>
      <c r="G707">
        <f>Skills!G30*IF(Skills!H30&gt;0,Skills!I30/Skills!H30,1)</f>
        <v/>
      </c>
      <c r="H707">
        <f>1-(1-Skills!J30/100)^Skills!K30</f>
        <v/>
      </c>
      <c r="I707" t="inlineStr">
        <is>
          <t>1</t>
        </is>
      </c>
      <c r="J707" t="inlineStr"/>
      <c r="K707" t="inlineStr"/>
      <c r="L707" t="inlineStr"/>
      <c r="M707" t="inlineStr"/>
      <c r="N707" t="inlineStr"/>
      <c r="O707">
        <f>(1-Summary!$B$55)*T707+Summary!$B$55*V707</f>
        <v/>
      </c>
      <c r="P707">
        <f>IF(B720=0,0,O707/B720)</f>
        <v/>
      </c>
      <c r="Q707" t="n">
        <v>0</v>
      </c>
      <c r="R707" t="n">
        <v>0</v>
      </c>
      <c r="S707">
        <f>IFERROR(O707/N707,0)</f>
        <v/>
      </c>
      <c r="T707" t="n">
        <v>0</v>
      </c>
      <c r="V707" t="n">
        <v>0</v>
      </c>
    </row>
    <row r="709">
      <c r="A709" t="inlineStr">
        <is>
          <t>Attack% Bucket Multiplier</t>
        </is>
      </c>
      <c r="B709">
        <f>(1+(((C690=TRUE)*F690)+((C691=TRUE)*IF(Inputs!$B$38="pvp",F691,(1-Summary!$B$55)*(F691)+Summary!$B$55*(0)))+((C692=TRUE)*F692*IF(AND(Inputs!$B$38&lt;&gt;"pvp",Inputs!$B$43&gt;0),(((R692-1)*(Skills!T15*(1+Inputs!$B$34/100))+MIN((Skills!T15*(1+Inputs!$B$34/100)),MAX(0,Inputs!$B$43-((R692-1)*Skills!D15))))/Inputs!$B$43),IF(Inputs!$B$38="pvp",MIN((Skills!T15*(1+Inputs!$B$34/100)),15)/15,(Skills!T15*(1+Inputs!$B$34/100))/Skills!D15)))+((C707=TRUE)*(F707-Calc!F30)))/100)</f>
        <v/>
      </c>
    </row>
    <row r="710">
      <c r="A710" t="inlineStr">
        <is>
          <t>Global Crit Rate Bonus %</t>
        </is>
      </c>
      <c r="B710">
        <f>(C693=TRUE)*20*IF(AND(Inputs!$B$38&lt;&gt;"pvp",Inputs!$B$43&gt;0),(((R693-1)*(Skills!T16*(1+Inputs!$B$34/100))+MIN((Skills!T16*(1+Inputs!$B$34/100)),MAX(0,Inputs!$B$43-((R693-1)*Skills!D16))))/Inputs!$B$43),IF(Inputs!$B$38="pvp",MIN((Skills!T16*(1+Inputs!$B$34/100)),15)/15,(Skills!T16*(1+Inputs!$B$34/100))/Skills!D16))</f>
        <v/>
      </c>
    </row>
    <row r="711">
      <c r="A711" t="inlineStr">
        <is>
          <t>Attack Speed Buff Bonus %</t>
        </is>
      </c>
      <c r="B711">
        <f>((C696=TRUE)*F696*IF(AND(Inputs!$B$38&lt;&gt;"pvp",Inputs!$B$43&gt;0),(((R696-1)*(Skills!T19*(1+Inputs!$B$34/100))+MIN((Skills!T19*(1+Inputs!$B$34/100)),MAX(0,Inputs!$B$43-((R696-1)*Skills!D19))))/Inputs!$B$43),IF(Inputs!$B$38="pvp",MIN((Skills!T19*(1+Inputs!$B$34/100)),15)/15,(Skills!T19*(1+Inputs!$B$34/100))/Skills!D19)))</f>
        <v/>
      </c>
    </row>
    <row r="712">
      <c r="A712" t="inlineStr">
        <is>
          <t>Actions Per Second</t>
        </is>
      </c>
      <c r="B712">
        <f>1+MIN(150,150*(1-(1-(Inputs!$B$11+((C698=TRUE)*(F698-Calc!F21))+((C699=TRUE)*(F699-Calc!F22)))/150)*(1-B711/150)))/100</f>
        <v/>
      </c>
    </row>
    <row r="713">
      <c r="A713" t="inlineStr">
        <is>
          <t>Skill + Buff Cast Rate</t>
        </is>
      </c>
      <c r="B713">
        <f>IF(AND(Inputs!$B$38&lt;&gt;"pvp",Inputs!$B$43&gt;0),SUMPRODUCT((Skills!E2:E30=TRUE)*(C679:C707=TRUE)*R679:R707*Skills!F2:F30)/Inputs!$B$43,SUMPRODUCT((Skills!E2:E30=TRUE)*(C679:C707=TRUE)*Q679:Q707*Skills!F2:F30))</f>
        <v/>
      </c>
    </row>
    <row r="714">
      <c r="A714" t="inlineStr">
        <is>
          <t>Arrow Stream Casts Per Second</t>
        </is>
      </c>
      <c r="B714">
        <f>MAX(0,B712-B713)</f>
        <v/>
      </c>
    </row>
    <row r="715">
      <c r="A715" t="inlineStr">
        <is>
          <t>Global Critical Damage Bonus % (Sharp Eyes + Concentration)</t>
        </is>
      </c>
      <c r="B715">
        <f>(C693=TRUE)*F693*IF(AND(Inputs!$B$38&lt;&gt;"pvp",Inputs!$B$43&gt;0),(((R693-1)*(Skills!T16*(1+Inputs!$B$34/100))+MIN((Skills!T16*(1+Inputs!$B$34/100)),MAX(0,Inputs!$B$43-((R693-1)*Skills!D16))))/Inputs!$B$43),IF(Inputs!$B$38="pvp",MIN((Skills!T16*(1+Inputs!$B$34/100)),15)/15,(Skills!T16*(1+Inputs!$B$34/100))/Skills!D16))+(C694=TRUE)*30</f>
        <v/>
      </c>
    </row>
    <row r="716">
      <c r="A716" t="inlineStr">
        <is>
          <t>Global Final Damage Bonus % (Mortal Blow)</t>
        </is>
      </c>
      <c r="B716">
        <f>(C695=TRUE)*F695</f>
        <v/>
      </c>
    </row>
    <row r="717">
      <c r="A717" t="inlineStr">
        <is>
          <t>Buff-Casting Startup Delay (s, fixed-duration only)</t>
        </is>
      </c>
      <c r="B717">
        <f>IF(AND(Inputs!$B$38&lt;&gt;"pvp",Inputs!$B$43&gt;0),SUMPRODUCT((Skills!T2:T30&gt;0)*(Skills!E2:E30=TRUE)*(C679:C707=TRUE))/B712,0)</f>
        <v/>
      </c>
    </row>
    <row r="718">
      <c r="A718" t="inlineStr">
        <is>
          <t>Boss-Only Total DPS (this block's swept value)</t>
        </is>
      </c>
      <c r="B718">
        <f>SUM(T679:T707)</f>
        <v/>
      </c>
    </row>
    <row r="719">
      <c r="A719" t="inlineStr">
        <is>
          <t>Normal-Only Total DPS (this block's swept value)</t>
        </is>
      </c>
      <c r="B719">
        <f>SUM(V679:V707)</f>
        <v/>
      </c>
    </row>
    <row r="720">
      <c r="A720" s="5" t="inlineStr">
        <is>
          <t>TOTAL DPS</t>
        </is>
      </c>
      <c r="B720" s="5">
        <f>SUM(O679:O707)</f>
        <v/>
      </c>
    </row>
    <row r="723">
      <c r="A723" s="5" t="inlineStr">
        <is>
          <t>Stat: SKILL_DAMAGE %</t>
        </is>
      </c>
    </row>
    <row r="724">
      <c r="A724" s="9" t="inlineStr">
        <is>
          <t>Key</t>
        </is>
      </c>
      <c r="B724" s="9" t="inlineStr">
        <is>
          <t>Name</t>
        </is>
      </c>
      <c r="C724" s="9" t="inlineStr">
        <is>
          <t>Unlocked</t>
        </is>
      </c>
      <c r="D724" s="9" t="inlineStr">
        <is>
          <t>InputLevel</t>
        </is>
      </c>
      <c r="E724" s="9" t="inlineStr">
        <is>
          <t>Factor</t>
        </is>
      </c>
      <c r="F724" s="9" t="inlineStr">
        <is>
          <t>CoefficientPercent</t>
        </is>
      </c>
      <c r="G724" s="9" t="inlineStr">
        <is>
          <t>EffectiveHits</t>
        </is>
      </c>
      <c r="H724" s="9" t="inlineStr">
        <is>
          <t>ProcProbability</t>
        </is>
      </c>
      <c r="I724" s="9" t="inlineStr">
        <is>
          <t>MapleHeroMultiplier</t>
        </is>
      </c>
      <c r="J724" s="9" t="inlineStr">
        <is>
          <t>BaseDamage</t>
        </is>
      </c>
      <c r="K724" s="9" t="inlineStr">
        <is>
          <t>BaseHitDamage</t>
        </is>
      </c>
      <c r="L724" s="9" t="inlineStr">
        <is>
          <t>NonCritAvg</t>
        </is>
      </c>
      <c r="M724" s="9" t="inlineStr">
        <is>
          <t>CritAvg</t>
        </is>
      </c>
      <c r="N724" s="9" t="inlineStr">
        <is>
          <t>ExpectedDamage(perHit)</t>
        </is>
      </c>
      <c r="O724" s="9" t="inlineStr">
        <is>
          <t>DPS</t>
        </is>
      </c>
      <c r="P724" s="9" t="inlineStr">
        <is>
          <t>% of Total</t>
        </is>
      </c>
      <c r="Q724" s="9" t="inlineStr">
        <is>
          <t>InvCooldown</t>
        </is>
      </c>
      <c r="R724" s="9" t="inlineStr">
        <is>
          <t>CastsInFight</t>
        </is>
      </c>
      <c r="S724" s="9" t="inlineStr">
        <is>
          <t>HitRate(perSec)</t>
        </is>
      </c>
      <c r="U724" t="inlineStr">
        <is>
          <t>helpers</t>
        </is>
      </c>
    </row>
    <row r="725">
      <c r="A725">
        <f>Skills!A2</f>
        <v/>
      </c>
      <c r="B725">
        <f>Skills!B2</f>
        <v/>
      </c>
      <c r="C725">
        <f>Inputs!$B$3&gt;=100</f>
        <v/>
      </c>
      <c r="D725" t="inlineStr"/>
      <c r="E725" t="inlineStr"/>
      <c r="F725">
        <f>U727+Skills!O2</f>
        <v/>
      </c>
      <c r="G725">
        <f>Skills!G2*IF(Skills!H2&gt;0,Skills!I2/Skills!H2,1)</f>
        <v/>
      </c>
      <c r="H725">
        <f>1-(1-Skills!J2/100)^Skills!K2</f>
        <v/>
      </c>
      <c r="I725" t="inlineStr">
        <is>
          <t>1</t>
        </is>
      </c>
      <c r="J725">
        <f>((Inputs!$B$6*(1+Inputs!$B$7/100))+(((Inputs!$B$12*(1+Inputs!$B$13/100))-(Inputs!$B$12*(1+Inputs!$B$13/100)))+0.25*(Inputs!$B$14-Inputs!$B$14))*(1+Inputs!$B$7/100))*(F725/100)</f>
        <v/>
      </c>
      <c r="K725">
        <f>J725*(1+((Inputs!$B$12*(1+Inputs!$B$13/100))*0.01+Inputs!$B$14*0.0025)/100)*(1+Inputs!$B$15/100)*(1+Inputs!$B$16/100)*(5000/(6000+Inputs!$B$42*(1-(Inputs!$B$19+((C750=TRUE)*(F750-Calc!F27)))/100)))*(1+(Inputs!$B$24+((C748=TRUE)*(F748-Calc!F25))+((C749=TRUE)*(F749-Calc!F26))+B762)/100)*(1+(IF(Skills!A2="ARROW_STREAM",Inputs!$B$17+((C746=TRUE)*(F746-Calc!F23)),(Inputs!$B$18+1)+((C751=TRUE)*(F751-Calc!F28))))/100)*((1+(((C736=TRUE)*F736)+((C737=TRUE)*IF(Inputs!$B$38="pvp",F737,(1-Summary!$B$55)*(F737)+Summary!$B$55*(0)))+((C738=TRUE)*F738*IF(AND(Inputs!$B$38&lt;&gt;"pvp",Inputs!$B$43&gt;0),(((R738-1)*(Skills!T15*(1+Inputs!$B$34/100))+MIN((Skills!T15*(1+Inputs!$B$34/100)),MAX(0,Inputs!$B$43-((R738-1)*Skills!D15))))/Inputs!$B$43),IF(Inputs!$B$38="pvp",MIN((Skills!T15*(1+Inputs!$B$34/100)),15)/15,(Skills!T15*(1+Inputs!$B$34/100))/Skills!D15)))+((C753=TRUE)*(F753-Calc!F30)))/100)*I725)</f>
        <v/>
      </c>
      <c r="L725">
        <f>K725*(MIN(Inputs!$B$22+((C747=TRUE)*(F747-Calc!F24)),Inputs!$B$23+((C752=TRUE)*(F752-Calc!F29)))/100+(Inputs!$B$23+((C752=TRUE)*(F752-Calc!F29)))/100)/2</f>
        <v/>
      </c>
      <c r="M725">
        <f>L725*(1+(Inputs!$B$10+0+B761)/100)</f>
        <v/>
      </c>
      <c r="N725">
        <f>L725*(1-MIN((Inputs!$B$9+((C743=TRUE)*(F743-Calc!F20))+B756),100)/100)+M725*(MIN((Inputs!$B$9+((C743=TRUE)*(F743-Calc!F20))+B756),100)/100)</f>
        <v/>
      </c>
      <c r="O725">
        <f>(1-Summary!$B$55)*T725+Summary!$B$55*V725</f>
        <v/>
      </c>
      <c r="P725">
        <f>IF(B766=0,0,O725/B766)</f>
        <v/>
      </c>
      <c r="Q725" t="n">
        <v>0</v>
      </c>
      <c r="R725" t="n">
        <v>0</v>
      </c>
      <c r="S725">
        <f>IFERROR(O725/N725,0)</f>
        <v/>
      </c>
      <c r="T725">
        <f>IF(C725,(Skills!G2*N725*B760)*IF(Inputs!$B$38="pvp",1,1+(Inputs!$B$20+0+Skills!P2)/100),0)</f>
        <v/>
      </c>
      <c r="U725">
        <f>MAX(0,(Inputs!$B$3-100)*3)+Inputs!$B$28+Inputs!$B$29</f>
        <v/>
      </c>
      <c r="V725">
        <f>IF(C725,(Skills!G2*N725*B760)*IF(Inputs!$B$38="pvp",1,(1+(Inputs!$B$21+Skills!Q2)/100)*(MIN((6+Inputs!$B$33),Inputs!$B$37))),0)</f>
        <v/>
      </c>
    </row>
    <row r="726">
      <c r="A726">
        <f>Skills!A3</f>
        <v/>
      </c>
      <c r="B726">
        <f>Skills!B3</f>
        <v/>
      </c>
      <c r="C726">
        <f>Inputs!$B$3&gt;=50</f>
        <v/>
      </c>
      <c r="D726">
        <f>IF(Skills!C3=1,60+Inputs!$B$25+Inputs!$B$29,IF(Skills!C3=2,90+Inputs!$B$26+Inputs!$B$29,IF(Skills!C3=3,120+Inputs!$B$27+Inputs!$B$29,MAX(0,(Inputs!$B$3-100)*3)+Inputs!$B$28+Inputs!$B$29)))</f>
        <v/>
      </c>
      <c r="E726">
        <f>INDEX(FactorTable!$B$2:$Y$301, MATCH(ROUND(MIN(300,MAX(1,D726)),0), FactorTable!$A$2:$A$301,0), Skills!M3+1)</f>
        <v/>
      </c>
      <c r="F726">
        <f>IF(Skills!N3=TRUE,(Skills!L3/10)*(E726/1000),Skills!L3/10)+Skills!O3</f>
        <v/>
      </c>
      <c r="G726" t="inlineStr"/>
      <c r="H726" t="inlineStr"/>
      <c r="I726" t="inlineStr">
        <is>
          <t>1</t>
        </is>
      </c>
      <c r="J726" t="inlineStr"/>
      <c r="K726" t="inlineStr"/>
      <c r="L726" t="inlineStr"/>
      <c r="M726" t="inlineStr"/>
      <c r="N726" t="inlineStr"/>
      <c r="O726" t="inlineStr"/>
      <c r="P726" t="inlineStr"/>
      <c r="Q726" t="inlineStr"/>
      <c r="R726" t="inlineStr"/>
      <c r="S726" t="inlineStr"/>
      <c r="T726" t="inlineStr"/>
      <c r="U726">
        <f>INDEX(FactorTable!$B$2:$Y$301, MATCH(ROUND(MIN(300,MAX(1,U725)),0), FactorTable!$A$2:$A$301,0), 22)</f>
        <v/>
      </c>
      <c r="V726" t="inlineStr"/>
    </row>
    <row r="727">
      <c r="A727">
        <f>Skills!A4</f>
        <v/>
      </c>
      <c r="B727">
        <f>Skills!B4</f>
        <v/>
      </c>
      <c r="C727">
        <f>Inputs!$B$3&gt;=105</f>
        <v/>
      </c>
      <c r="D727">
        <f>IF(Skills!C4=1,60+Inputs!$B$25+Inputs!$B$29,IF(Skills!C4=2,90+Inputs!$B$26+Inputs!$B$29,IF(Skills!C4=3,120+Inputs!$B$27+Inputs!$B$29,MAX(0,(Inputs!$B$3-100)*3)+Inputs!$B$28+Inputs!$B$29)))</f>
        <v/>
      </c>
      <c r="E727">
        <f>INDEX(FactorTable!$B$2:$Y$301, MATCH(ROUND(MIN(300,MAX(1,D727)),0), FactorTable!$A$2:$A$301,0), Skills!M4+1)</f>
        <v/>
      </c>
      <c r="F727">
        <f>IF(Skills!N4=TRUE,(Skills!L4/10)*(E727/1000),Skills!L4/10)+Skills!O4</f>
        <v/>
      </c>
      <c r="G727" t="inlineStr"/>
      <c r="H727" t="inlineStr"/>
      <c r="I727" t="inlineStr">
        <is>
          <t>1</t>
        </is>
      </c>
      <c r="J727" t="inlineStr"/>
      <c r="K727" t="inlineStr"/>
      <c r="L727" t="inlineStr"/>
      <c r="M727" t="inlineStr"/>
      <c r="N727" t="inlineStr"/>
      <c r="O727" t="inlineStr"/>
      <c r="P727" t="inlineStr"/>
      <c r="Q727" t="inlineStr"/>
      <c r="R727" t="inlineStr"/>
      <c r="S727" t="inlineStr"/>
      <c r="T727" t="inlineStr"/>
      <c r="U727">
        <f>290*U726/1000</f>
        <v/>
      </c>
      <c r="V727" t="inlineStr"/>
    </row>
    <row r="728">
      <c r="A728">
        <f>Skills!A5</f>
        <v/>
      </c>
      <c r="B728">
        <f>Skills!B5</f>
        <v/>
      </c>
      <c r="C728">
        <f>Inputs!$B$3&gt;=35</f>
        <v/>
      </c>
      <c r="D728">
        <f>IF(Skills!C5=1,60+Inputs!$B$25+Inputs!$B$29,IF(Skills!C5=2,90+Inputs!$B$26+Inputs!$B$29,IF(Skills!C5=3,120+Inputs!$B$27+Inputs!$B$29,MAX(0,(Inputs!$B$3-100)*3)+Inputs!$B$28+Inputs!$B$29)))</f>
        <v/>
      </c>
      <c r="E728">
        <f>INDEX(FactorTable!$B$2:$Y$301, MATCH(ROUND(MIN(300,MAX(1,D728)),0), FactorTable!$A$2:$A$301,0), Skills!M5+1)</f>
        <v/>
      </c>
      <c r="F728">
        <f>IF(Skills!N5=TRUE,(Skills!L5/10)*(E728/1000),Skills!L5/10)+Skills!O5</f>
        <v/>
      </c>
      <c r="G728">
        <f>Skills!G5*IF(Skills!H5&gt;0,Skills!I5/Skills!H5,1)</f>
        <v/>
      </c>
      <c r="H728">
        <f>1-(1-Skills!J5/100)^Skills!K5</f>
        <v/>
      </c>
      <c r="I728" t="inlineStr">
        <is>
          <t>1</t>
        </is>
      </c>
      <c r="J728">
        <f>((Inputs!$B$6*(1+Inputs!$B$7/100))+(((Inputs!$B$12*(1+Inputs!$B$13/100))-(Inputs!$B$12*(1+Inputs!$B$13/100)))+0.25*(Inputs!$B$14-Inputs!$B$14))*(1+Inputs!$B$7/100))*(F728/100)</f>
        <v/>
      </c>
      <c r="K728">
        <f>J728*(1+((Inputs!$B$12*(1+Inputs!$B$13/100))*0.01+Inputs!$B$14*0.0025)/100)*(1+Inputs!$B$15/100)*(1+Inputs!$B$16/100)*(5000/(6000+Inputs!$B$42*(1-(Inputs!$B$19+((C750=TRUE)*(F750-Calc!F27)))/100)))*(1+(Inputs!$B$24+((C748=TRUE)*(F748-Calc!F25))+((C749=TRUE)*(F749-Calc!F26))+B762)/100)*(1+4.0*IF(C733=TRUE,F733,0)/100)*(1+(IF(Skills!A5="ARROW_STREAM",Inputs!$B$17+((C746=TRUE)*(F746-Calc!F23)),(Inputs!$B$18+1)+((C751=TRUE)*(F751-Calc!F28))))/100)*((1+(((C736=TRUE)*F736)+((C737=TRUE)*IF(Inputs!$B$38="pvp",F737,(1-Summary!$B$55)*(F737)+Summary!$B$55*(0)))+((C738=TRUE)*F738*IF(AND(Inputs!$B$38&lt;&gt;"pvp",Inputs!$B$43&gt;0),(((R738-1)*(Skills!T15*(1+Inputs!$B$34/100))+MIN((Skills!T15*(1+Inputs!$B$34/100)),MAX(0,Inputs!$B$43-((R738-1)*Skills!D15))))/Inputs!$B$43),IF(Inputs!$B$38="pvp",MIN((Skills!T15*(1+Inputs!$B$34/100)),15)/15,(Skills!T15*(1+Inputs!$B$34/100))/Skills!D15)))+((C753=TRUE)*(F753-Calc!F30)))/100)*I728)</f>
        <v/>
      </c>
      <c r="L728">
        <f>K728*(MIN(Inputs!$B$22+((C747=TRUE)*(F747-Calc!F24)),Inputs!$B$23+((C752=TRUE)*(F752-Calc!F29)))/100+(Inputs!$B$23+((C752=TRUE)*(F752-Calc!F29)))/100)/2</f>
        <v/>
      </c>
      <c r="M728">
        <f>L728*(1+(Inputs!$B$10+0+B761)/100)</f>
        <v/>
      </c>
      <c r="N728">
        <f>L728*(1-MIN((Inputs!$B$9+((C743=TRUE)*(F743-Calc!F20))+B756),100)/100)+M728*(MIN((Inputs!$B$9+((C743=TRUE)*(F743-Calc!F20))+B756),100)/100)</f>
        <v/>
      </c>
      <c r="O728">
        <f>(1-Summary!$B$55)*T728+Summary!$B$55*V728</f>
        <v/>
      </c>
      <c r="P728">
        <f>IF(B766=0,0,O728/B766)</f>
        <v/>
      </c>
      <c r="Q728">
        <f>IFERROR(1/IF(Inputs!$B$38="pvp",15,MAX(0.1,Skills!D5-IF(Skills!E5=TRUE,Inputs!$B$32,0))),0)</f>
        <v/>
      </c>
      <c r="R728">
        <f>IF(AND(Inputs!$B$38&lt;&gt;"pvp",Inputs!$B$43&gt;0),IF(MAX(0,Inputs!$B$43-B763)&lt;=0,0,(INT(MAX(0,Inputs!$B$43-B763)/IF(Inputs!$B$38="pvp",15,MAX(0.1,Skills!D5-IF(Skills!E5=TRUE,Inputs!$B$32,0))))+1)),0)</f>
        <v/>
      </c>
      <c r="S728">
        <f>IFERROR(O728/N728,0)</f>
        <v/>
      </c>
      <c r="T728">
        <f>IF(C728,(H728*N728*IF(AND(Inputs!$B$38&lt;&gt;"pvp",Inputs!$B$43&gt;0),((Skills!G5*((R728-1)*IF(Skills!H5&gt;0,Skills!I5/Skills!H5,1)+IF(Skills!H5&gt;0,MIN(Skills!I5,MAX(0,MAX(0,Inputs!$B$43-B763)-((R728-1)*IF(Inputs!$B$38="pvp",15,MAX(0.1,Skills!D5-IF(Skills!E5=TRUE,Inputs!$B$32,0))))))/Skills!H5,1)))/Inputs!$B$43),G728*Q728))*IF(Inputs!$B$38="pvp",1,1+(Inputs!$B$20+0+Skills!P5)/100),0)</f>
        <v/>
      </c>
      <c r="V728">
        <f>IF(C728,(H728*N728*IF(AND(Inputs!$B$38&lt;&gt;"pvp",Inputs!$B$43&gt;0),((Skills!G5*((R728-1)*IF(Skills!H5&gt;0,Skills!I5/Skills!H5,1)+IF(Skills!H5&gt;0,MIN(Skills!I5,MAX(0,MAX(0,Inputs!$B$43-B763)-((R728-1)*IF(Inputs!$B$38="pvp",15,MAX(0.1,Skills!D5-IF(Skills!E5=TRUE,Inputs!$B$32,0))))))/Skills!H5,1)))/Inputs!$B$43),G728*Q728))*IF(Inputs!$B$38="pvp",1,(1+(Inputs!$B$21+Skills!Q5)/100)*(MIN(Skills!R5,Inputs!$B$37))),0)</f>
        <v/>
      </c>
    </row>
    <row r="729">
      <c r="A729">
        <f>Skills!A6</f>
        <v/>
      </c>
      <c r="B729">
        <f>Skills!B6</f>
        <v/>
      </c>
      <c r="C729">
        <f>Inputs!$B$3&gt;=40</f>
        <v/>
      </c>
      <c r="D729">
        <f>IF(Skills!C6=1,60+Inputs!$B$25+Inputs!$B$29,IF(Skills!C6=2,90+Inputs!$B$26+Inputs!$B$29,IF(Skills!C6=3,120+Inputs!$B$27+Inputs!$B$29,MAX(0,(Inputs!$B$3-100)*3)+Inputs!$B$28+Inputs!$B$29)))</f>
        <v/>
      </c>
      <c r="E729">
        <f>INDEX(FactorTable!$B$2:$Y$301, MATCH(ROUND(MIN(300,MAX(1,D729)),0), FactorTable!$A$2:$A$301,0), Skills!M6+1)</f>
        <v/>
      </c>
      <c r="F729">
        <f>IF(Skills!N6=TRUE,(Skills!L6/10)*(E729/1000),Skills!L6/10)+Skills!O6</f>
        <v/>
      </c>
      <c r="G729">
        <f>Skills!G6*IF(Skills!H6&gt;0,Skills!I6/Skills!H6,1)</f>
        <v/>
      </c>
      <c r="H729">
        <f>1-(1-Skills!J6/100)^Skills!K6</f>
        <v/>
      </c>
      <c r="I729" t="inlineStr">
        <is>
          <t>1</t>
        </is>
      </c>
      <c r="J729">
        <f>((Inputs!$B$6*(1+Inputs!$B$7/100))+(((Inputs!$B$12*(1+Inputs!$B$13/100))-(Inputs!$B$12*(1+Inputs!$B$13/100)))+0.25*(Inputs!$B$14-Inputs!$B$14))*(1+Inputs!$B$7/100))*(F729/100)</f>
        <v/>
      </c>
      <c r="K729">
        <f>J729*(1+((Inputs!$B$12*(1+Inputs!$B$13/100))*0.01+Inputs!$B$14*0.0025)/100)*(1+Inputs!$B$15/100)*(1+Inputs!$B$16/100)*(5000/(6000+Inputs!$B$42*(1-(Inputs!$B$19+((C750=TRUE)*(F750-Calc!F27)))/100)))*(1+(Inputs!$B$24+((C748=TRUE)*(F748-Calc!F25))+((C749=TRUE)*(F749-Calc!F26))+B762)/100)*(1+IF(C730=TRUE,F730,0)/100)*(1+(IF(Skills!A6="ARROW_STREAM",Inputs!$B$17+((C746=TRUE)*(F746-Calc!F23)),(Inputs!$B$18+1)+((C751=TRUE)*(F751-Calc!F28))))/100)*((1+(((C736=TRUE)*F736)+((C737=TRUE)*IF(Inputs!$B$38="pvp",F737,(1-Summary!$B$55)*(F737)+Summary!$B$55*(0)))+((C738=TRUE)*F738*IF(AND(Inputs!$B$38&lt;&gt;"pvp",Inputs!$B$43&gt;0),(((R738-1)*(Skills!T15*(1+Inputs!$B$34/100))+MIN((Skills!T15*(1+Inputs!$B$34/100)),MAX(0,Inputs!$B$43-((R738-1)*Skills!D15))))/Inputs!$B$43),IF(Inputs!$B$38="pvp",MIN((Skills!T15*(1+Inputs!$B$34/100)),15)/15,(Skills!T15*(1+Inputs!$B$34/100))/Skills!D15)))+((C753=TRUE)*(F753-Calc!F30)))/100)*I729)</f>
        <v/>
      </c>
      <c r="L729">
        <f>K729*(MIN(Inputs!$B$22+((C747=TRUE)*(F747-Calc!F24)),Inputs!$B$23+((C752=TRUE)*(F752-Calc!F29)))/100+(Inputs!$B$23+((C752=TRUE)*(F752-Calc!F29)))/100)/2</f>
        <v/>
      </c>
      <c r="M729">
        <f>L729*(1+(Inputs!$B$10+0+B761)/100)</f>
        <v/>
      </c>
      <c r="N729">
        <f>L729*(1-MIN((Inputs!$B$9+((C743=TRUE)*(F743-Calc!F20))+B756),100)/100)+M729*(MIN((Inputs!$B$9+((C743=TRUE)*(F743-Calc!F20))+B756),100)/100)</f>
        <v/>
      </c>
      <c r="O729">
        <f>(1-Summary!$B$55)*T729+Summary!$B$55*V729</f>
        <v/>
      </c>
      <c r="P729">
        <f>IF(B766=0,0,O729/B766)</f>
        <v/>
      </c>
      <c r="Q729">
        <f>IFERROR(1/IF(Inputs!$B$38="pvp",15,MAX(0.1,Skills!D6-IF(Skills!E6=TRUE,Inputs!$B$32,0))),0)</f>
        <v/>
      </c>
      <c r="R729">
        <f>IF(AND(Inputs!$B$38&lt;&gt;"pvp",Inputs!$B$43&gt;0),IF(MAX(0,Inputs!$B$43-B763)&lt;=0,0,(INT(MAX(0,Inputs!$B$43-B763)/IF(Inputs!$B$38="pvp",15,MAX(0.1,Skills!D6-IF(Skills!E6=TRUE,Inputs!$B$32,0))))+1)),0)</f>
        <v/>
      </c>
      <c r="S729">
        <f>IFERROR(O729/N729,0)</f>
        <v/>
      </c>
      <c r="T729">
        <f>IF(C729,(H729*N729*IF(AND(Inputs!$B$38&lt;&gt;"pvp",Inputs!$B$43&gt;0),((Skills!G6*((R729-1)*IF(Skills!H6&gt;0,Skills!I6/Skills!H6,1)+IF(Skills!H6&gt;0,MIN(Skills!I6,MAX(0,MAX(0,Inputs!$B$43-B763)-((R729-1)*IF(Inputs!$B$38="pvp",15,MAX(0.1,Skills!D6-IF(Skills!E6=TRUE,Inputs!$B$32,0))))))/Skills!H6,1)))/Inputs!$B$43),G729*Q729))*IF(Inputs!$B$38="pvp",1,1+(Inputs!$B$20+0+Skills!P6)/100),0)</f>
        <v/>
      </c>
      <c r="V729">
        <f>IF(C729,(H729*N729*IF(AND(Inputs!$B$38&lt;&gt;"pvp",Inputs!$B$43&gt;0),((Skills!G6*((R729-1)*IF(Skills!H6&gt;0,Skills!I6/Skills!H6,1)+IF(Skills!H6&gt;0,MIN(Skills!I6,MAX(0,MAX(0,Inputs!$B$43-B763)-((R729-1)*IF(Inputs!$B$38="pvp",15,MAX(0.1,Skills!D6-IF(Skills!E6=TRUE,Inputs!$B$32,0))))))/Skills!H6,1)))/Inputs!$B$43),G729*Q729))*IF(Inputs!$B$38="pvp",1,(1+(Inputs!$B$21+Skills!Q6)/100)*(MIN(Skills!R6,Inputs!$B$37))),0)</f>
        <v/>
      </c>
    </row>
    <row r="730">
      <c r="A730">
        <f>Skills!A7</f>
        <v/>
      </c>
      <c r="B730">
        <f>Skills!B7</f>
        <v/>
      </c>
      <c r="C730">
        <f>Inputs!$B$3&gt;=107</f>
        <v/>
      </c>
      <c r="D730">
        <f>IF(Skills!C7=1,60+Inputs!$B$25+Inputs!$B$29,IF(Skills!C7=2,90+Inputs!$B$26+Inputs!$B$29,IF(Skills!C7=3,120+Inputs!$B$27+Inputs!$B$29,MAX(0,(Inputs!$B$3-100)*3)+Inputs!$B$28+Inputs!$B$29)))</f>
        <v/>
      </c>
      <c r="E730">
        <f>INDEX(FactorTable!$B$2:$Y$301, MATCH(ROUND(MIN(300,MAX(1,D730)),0), FactorTable!$A$2:$A$301,0), Skills!M7+1)</f>
        <v/>
      </c>
      <c r="F730">
        <f>IF(Skills!N7=TRUE,(Skills!L7/10)*(E730/1000),Skills!L7/10)+Skills!O7</f>
        <v/>
      </c>
      <c r="G730" t="inlineStr"/>
      <c r="H730" t="inlineStr"/>
      <c r="I730" t="inlineStr">
        <is>
          <t>1</t>
        </is>
      </c>
      <c r="J730" t="inlineStr"/>
      <c r="K730" t="inlineStr"/>
      <c r="L730" t="inlineStr"/>
      <c r="M730" t="inlineStr"/>
      <c r="N730" t="inlineStr"/>
      <c r="O730" t="inlineStr"/>
      <c r="P730" t="inlineStr"/>
      <c r="Q730" t="inlineStr"/>
      <c r="R730" t="inlineStr"/>
      <c r="S730" t="inlineStr"/>
      <c r="T730" t="inlineStr"/>
      <c r="V730" t="inlineStr"/>
    </row>
    <row r="731">
      <c r="A731">
        <f>Skills!A8</f>
        <v/>
      </c>
      <c r="B731">
        <f>Skills!B8</f>
        <v/>
      </c>
      <c r="C731">
        <f>Inputs!$B$3&gt;=69</f>
        <v/>
      </c>
      <c r="D731">
        <f>IF(Skills!C8=1,60+Inputs!$B$25+Inputs!$B$29,IF(Skills!C8=2,90+Inputs!$B$26+Inputs!$B$29,IF(Skills!C8=3,120+Inputs!$B$27+Inputs!$B$29,MAX(0,(Inputs!$B$3-100)*3)+Inputs!$B$28+Inputs!$B$29)))</f>
        <v/>
      </c>
      <c r="E731">
        <f>INDEX(FactorTable!$B$2:$Y$301, MATCH(ROUND(MIN(300,MAX(1,D731)),0), FactorTable!$A$2:$A$301,0), Skills!M8+1)</f>
        <v/>
      </c>
      <c r="F731">
        <f>IF(Skills!N8=TRUE,(Skills!L8/10)*(E731/1000),Skills!L8/10)+Skills!O8</f>
        <v/>
      </c>
      <c r="G731">
        <f>Skills!G8*IF(Skills!H8&gt;0,Skills!I8/Skills!H8,1)</f>
        <v/>
      </c>
      <c r="H731">
        <f>1-(1-Skills!J8/100)^Skills!K8</f>
        <v/>
      </c>
      <c r="I731" t="inlineStr">
        <is>
          <t>1</t>
        </is>
      </c>
      <c r="J731">
        <f>((Inputs!$B$6*(1+Inputs!$B$7/100))+(((Inputs!$B$12*(1+Inputs!$B$13/100))-(Inputs!$B$12*(1+Inputs!$B$13/100)))+0.25*(Inputs!$B$14-Inputs!$B$14))*(1+Inputs!$B$7/100))*(F731/100)</f>
        <v/>
      </c>
      <c r="K731">
        <f>J731*(1+((Inputs!$B$12*(1+Inputs!$B$13/100))*0.01+Inputs!$B$14*0.0025)/100)*(1+Inputs!$B$15/100)*(1+Inputs!$B$16/100)*(5000/(6000+Inputs!$B$42*(1-(Inputs!$B$19+((C750=TRUE)*(F750-Calc!F27)))/100)))*(1+(Inputs!$B$24+((C748=TRUE)*(F748-Calc!F25))+((C749=TRUE)*(F749-Calc!F26))+B762)/100)*(1+1.2*IF(C733=TRUE,F733,0)/100)*(1+(IF(Skills!A8="ARROW_STREAM",Inputs!$B$17+((C746=TRUE)*(F746-Calc!F23)),(Inputs!$B$18+1)+((C751=TRUE)*(F751-Calc!F28))))/100)*((1+(((C736=TRUE)*F736)+((C737=TRUE)*IF(Inputs!$B$38="pvp",F737,(1-Summary!$B$55)*(F737)+Summary!$B$55*(0)))+((C738=TRUE)*F738*IF(AND(Inputs!$B$38&lt;&gt;"pvp",Inputs!$B$43&gt;0),(((R738-1)*(Skills!T15*(1+Inputs!$B$34/100))+MIN((Skills!T15*(1+Inputs!$B$34/100)),MAX(0,Inputs!$B$43-((R738-1)*Skills!D15))))/Inputs!$B$43),IF(Inputs!$B$38="pvp",MIN((Skills!T15*(1+Inputs!$B$34/100)),15)/15,(Skills!T15*(1+Inputs!$B$34/100))/Skills!D15)))+((C753=TRUE)*(F753-Calc!F30)))/100)*I731)</f>
        <v/>
      </c>
      <c r="L731">
        <f>K731*(MIN(Inputs!$B$22+((C747=TRUE)*(F747-Calc!F24)),Inputs!$B$23+((C752=TRUE)*(F752-Calc!F29)))/100+(Inputs!$B$23+((C752=TRUE)*(F752-Calc!F29)))/100)/2</f>
        <v/>
      </c>
      <c r="M731">
        <f>L731*(1+(Inputs!$B$10+0+B761)/100)</f>
        <v/>
      </c>
      <c r="N731">
        <f>L731*(1-MIN((Inputs!$B$9+((C743=TRUE)*(F743-Calc!F20))+B756),100)/100)+M731*(MIN((Inputs!$B$9+((C743=TRUE)*(F743-Calc!F20))+B756),100)/100)</f>
        <v/>
      </c>
      <c r="O731">
        <f>(1-Summary!$B$55)*T731+Summary!$B$55*V731</f>
        <v/>
      </c>
      <c r="P731">
        <f>IF(B766=0,0,O731/B766)</f>
        <v/>
      </c>
      <c r="Q731">
        <f>IFERROR(1/IF(Inputs!$B$38="pvp",15,MAX(0.1,Skills!D8-IF(Skills!E8=TRUE,Inputs!$B$32,0))),0)</f>
        <v/>
      </c>
      <c r="R731">
        <f>IF(AND(Inputs!$B$38&lt;&gt;"pvp",Inputs!$B$43&gt;0),IF(MAX(0,Inputs!$B$43-B763)&lt;=0,0,(INT(MAX(0,Inputs!$B$43-B763)/IF(Inputs!$B$38="pvp",15,MAX(0.1,Skills!D8-IF(Skills!E8=TRUE,Inputs!$B$32,0))))+1)),0)</f>
        <v/>
      </c>
      <c r="S731">
        <f>IFERROR(O731/N731,0)</f>
        <v/>
      </c>
      <c r="T731">
        <f>IF(C731,(H731*N731*IF(AND(Inputs!$B$38&lt;&gt;"pvp",Inputs!$B$43&gt;0),((Skills!G8*((R731-1)*IF(Skills!H8&gt;0,Skills!I8/Skills!H8,1)+IF(Skills!H8&gt;0,MIN(Skills!I8,MAX(0,MAX(0,Inputs!$B$43-B763)-((R731-1)*IF(Inputs!$B$38="pvp",15,MAX(0.1,Skills!D8-IF(Skills!E8=TRUE,Inputs!$B$32,0))))))/Skills!H8,1)))/Inputs!$B$43),G731*Q731))*IF(Inputs!$B$38="pvp",1,1+(Inputs!$B$20+0+Skills!P8)/100),0)</f>
        <v/>
      </c>
      <c r="V731">
        <f>IF(C731,(H731*N731*IF(AND(Inputs!$B$38&lt;&gt;"pvp",Inputs!$B$43&gt;0),((Skills!G8*((R731-1)*IF(Skills!H8&gt;0,Skills!I8/Skills!H8,1)+IF(Skills!H8&gt;0,MIN(Skills!I8,MAX(0,MAX(0,Inputs!$B$43-B763)-((R731-1)*IF(Inputs!$B$38="pvp",15,MAX(0.1,Skills!D8-IF(Skills!E8=TRUE,Inputs!$B$32,0))))))/Skills!H8,1)))/Inputs!$B$43),G731*Q731))*IF(Inputs!$B$38="pvp",1,(1+(Inputs!$B$21+Skills!Q8)/100)*(MIN(Skills!R8,Inputs!$B$37))),0)</f>
        <v/>
      </c>
    </row>
    <row r="732">
      <c r="A732">
        <f>Skills!A9</f>
        <v/>
      </c>
      <c r="B732">
        <f>Skills!B9</f>
        <v/>
      </c>
      <c r="C732">
        <f>Inputs!$B$3&gt;=63</f>
        <v/>
      </c>
      <c r="D732">
        <f>IF(Skills!C9=1,60+Inputs!$B$25+Inputs!$B$29,IF(Skills!C9=2,90+Inputs!$B$26+Inputs!$B$29,IF(Skills!C9=3,120+Inputs!$B$27+Inputs!$B$29,MAX(0,(Inputs!$B$3-100)*3)+Inputs!$B$28+Inputs!$B$29)))</f>
        <v/>
      </c>
      <c r="E732">
        <f>INDEX(FactorTable!$B$2:$Y$301, MATCH(ROUND(MIN(300,MAX(1,D732)),0), FactorTable!$A$2:$A$301,0), Skills!M9+1)</f>
        <v/>
      </c>
      <c r="F732">
        <f>IF(Skills!N9=TRUE,(Skills!L9/10)*(E732/1000),Skills!L9/10)+Skills!O9</f>
        <v/>
      </c>
      <c r="G732">
        <f>Skills!G9*IF(Skills!H9&gt;0,Skills!I9/Skills!H9,1)</f>
        <v/>
      </c>
      <c r="H732">
        <f>1-(1-Skills!J9/100)^Skills!K9</f>
        <v/>
      </c>
      <c r="I732" t="inlineStr">
        <is>
          <t>1</t>
        </is>
      </c>
      <c r="J732">
        <f>((Inputs!$B$6*(1+Inputs!$B$7/100))+(((Inputs!$B$12*(1+Inputs!$B$13/100))-(Inputs!$B$12*(1+Inputs!$B$13/100)))+0.25*(Inputs!$B$14-Inputs!$B$14))*(1+Inputs!$B$7/100))*(F732/100)</f>
        <v/>
      </c>
      <c r="K732">
        <f>J732*(1+((Inputs!$B$12*(1+Inputs!$B$13/100))*0.01+Inputs!$B$14*0.0025)/100)*(1+Inputs!$B$15/100)*(1+Inputs!$B$16/100)*(5000/(6000+Inputs!$B$42*(1-(Inputs!$B$19+((C750=TRUE)*(F750-Calc!F27)))/100)))*(1+(Inputs!$B$24+((C748=TRUE)*(F748-Calc!F25))+((C749=TRUE)*(F749-Calc!F26))+B762)/100)*(1+1.0*IF(C733=TRUE,F733,0)/100)*(1+(IF(Skills!A9="ARROW_STREAM",Inputs!$B$17+((C746=TRUE)*(F746-Calc!F23)),(Inputs!$B$18+1)+((C751=TRUE)*(F751-Calc!F28))))/100)*((1+(((C736=TRUE)*F736)+((C737=TRUE)*IF(Inputs!$B$38="pvp",F737,(1-Summary!$B$55)*(F737)+Summary!$B$55*(0)))+((C738=TRUE)*F738*IF(AND(Inputs!$B$38&lt;&gt;"pvp",Inputs!$B$43&gt;0),(((R738-1)*(Skills!T15*(1+Inputs!$B$34/100))+MIN((Skills!T15*(1+Inputs!$B$34/100)),MAX(0,Inputs!$B$43-((R738-1)*Skills!D15))))/Inputs!$B$43),IF(Inputs!$B$38="pvp",MIN((Skills!T15*(1+Inputs!$B$34/100)),15)/15,(Skills!T15*(1+Inputs!$B$34/100))/Skills!D15)))+((C753=TRUE)*(F753-Calc!F30)))/100)*I732)</f>
        <v/>
      </c>
      <c r="L732">
        <f>K732*(MIN(Inputs!$B$22+((C747=TRUE)*(F747-Calc!F24)),Inputs!$B$23+((C752=TRUE)*(F752-Calc!F29)))/100+(Inputs!$B$23+((C752=TRUE)*(F752-Calc!F29)))/100)/2</f>
        <v/>
      </c>
      <c r="M732">
        <f>L732*(1+(Inputs!$B$10+0+B761)/100)</f>
        <v/>
      </c>
      <c r="N732">
        <f>L732*(1-MIN((Inputs!$B$9+((C743=TRUE)*(F743-Calc!F20))+B756),100)/100)+M732*(MIN((Inputs!$B$9+((C743=TRUE)*(F743-Calc!F20))+B756),100)/100)</f>
        <v/>
      </c>
      <c r="O732">
        <f>(1-Summary!$B$55)*T732+Summary!$B$55*V732</f>
        <v/>
      </c>
      <c r="P732">
        <f>IF(B766=0,0,O732/B766)</f>
        <v/>
      </c>
      <c r="Q732">
        <f>IFERROR(1/IF(Inputs!$B$38="pvp",15,MAX(0.1,Skills!D9-IF(Skills!E9=TRUE,Inputs!$B$32,0))),0)</f>
        <v/>
      </c>
      <c r="R732">
        <f>IF(AND(Inputs!$B$38&lt;&gt;"pvp",Inputs!$B$43&gt;0),IF(MAX(0,Inputs!$B$43-B763)&lt;=0,0,(INT(MAX(0,Inputs!$B$43-B763)/IF(Inputs!$B$38="pvp",15,MAX(0.1,Skills!D9-IF(Skills!E9=TRUE,Inputs!$B$32,0))))+1)),0)</f>
        <v/>
      </c>
      <c r="S732">
        <f>IFERROR(O732/N732,0)</f>
        <v/>
      </c>
      <c r="T732">
        <f>IF(C732,(H732*N732*IF(AND(Inputs!$B$38&lt;&gt;"pvp",Inputs!$B$43&gt;0),((Skills!G9*((R732-1)*IF(Skills!H9&gt;0,Skills!I9/Skills!H9,1)+IF(Skills!H9&gt;0,MIN(Skills!I9,MAX(0,MAX(0,Inputs!$B$43-B763)-((R732-1)*IF(Inputs!$B$38="pvp",15,MAX(0.1,Skills!D9-IF(Skills!E9=TRUE,Inputs!$B$32,0))))))/Skills!H9,1)))/Inputs!$B$43),G732*Q732))*IF(Inputs!$B$38="pvp",1,1+(Inputs!$B$20+0+Skills!P9)/100),0)</f>
        <v/>
      </c>
      <c r="V732">
        <f>IF(C732,(H732*N732*IF(AND(Inputs!$B$38&lt;&gt;"pvp",Inputs!$B$43&gt;0),((Skills!G9*((R732-1)*IF(Skills!H9&gt;0,Skills!I9/Skills!H9,1)+IF(Skills!H9&gt;0,MIN(Skills!I9,MAX(0,MAX(0,Inputs!$B$43-B763)-((R732-1)*IF(Inputs!$B$38="pvp",15,MAX(0.1,Skills!D9-IF(Skills!E9=TRUE,Inputs!$B$32,0))))))/Skills!H9,1)))/Inputs!$B$43),G732*Q732))*IF(Inputs!$B$38="pvp",1,(1+(Inputs!$B$21+Skills!Q9)/100)*(MIN(Skills!R9,Inputs!$B$37))),0)</f>
        <v/>
      </c>
    </row>
    <row r="733">
      <c r="A733">
        <f>Skills!A10</f>
        <v/>
      </c>
      <c r="B733">
        <f>Skills!B10</f>
        <v/>
      </c>
      <c r="C733">
        <f>Inputs!$B$3&gt;=100</f>
        <v/>
      </c>
      <c r="D733">
        <f>IF(Skills!C10=1,60+Inputs!$B$25+Inputs!$B$29,IF(Skills!C10=2,90+Inputs!$B$26+Inputs!$B$29,IF(Skills!C10=3,120+Inputs!$B$27+Inputs!$B$29,MAX(0,(Inputs!$B$3-100)*3)+Inputs!$B$28+Inputs!$B$29)))</f>
        <v/>
      </c>
      <c r="E733">
        <f>INDEX(FactorTable!$B$2:$Y$301, MATCH(ROUND(MIN(300,MAX(1,D733)),0), FactorTable!$A$2:$A$301,0), Skills!M10+1)</f>
        <v/>
      </c>
      <c r="F733">
        <f>IF(Skills!N10=TRUE,(Skills!L10/10)*(E733/1000),Skills!L10/10)+Skills!O10</f>
        <v/>
      </c>
      <c r="G733" t="inlineStr"/>
      <c r="H733" t="inlineStr"/>
      <c r="I733" t="inlineStr">
        <is>
          <t>1</t>
        </is>
      </c>
      <c r="J733" t="inlineStr"/>
      <c r="K733" t="inlineStr"/>
      <c r="L733" t="inlineStr"/>
      <c r="M733" t="inlineStr"/>
      <c r="N733" t="inlineStr"/>
      <c r="O733" t="inlineStr"/>
      <c r="P733" t="inlineStr"/>
      <c r="Q733" t="inlineStr"/>
      <c r="R733" t="inlineStr"/>
      <c r="S733" t="inlineStr"/>
      <c r="T733" t="inlineStr"/>
      <c r="V733" t="inlineStr"/>
    </row>
    <row r="734">
      <c r="A734">
        <f>Skills!A11</f>
        <v/>
      </c>
      <c r="B734">
        <f>Skills!B11</f>
        <v/>
      </c>
      <c r="C734">
        <f>Inputs!$B$3&gt;=60</f>
        <v/>
      </c>
      <c r="D734">
        <f>IF(Skills!C11=1,60+Inputs!$B$25+Inputs!$B$29,IF(Skills!C11=2,90+Inputs!$B$26+Inputs!$B$29,IF(Skills!C11=3,120+Inputs!$B$27+Inputs!$B$29,MAX(0,(Inputs!$B$3-100)*3)+Inputs!$B$28+Inputs!$B$29)))</f>
        <v/>
      </c>
      <c r="E734">
        <f>INDEX(FactorTable!$B$2:$Y$301, MATCH(ROUND(MIN(300,MAX(1,D734)),0), FactorTable!$A$2:$A$301,0), Skills!M11+1)</f>
        <v/>
      </c>
      <c r="F734">
        <f>IF(Skills!N11=TRUE,(Skills!L11/10)*(E734/1000),Skills!L11/10)+Skills!O11</f>
        <v/>
      </c>
      <c r="G734">
        <f>Skills!G11*IF(Skills!H11&gt;0,Skills!I11/Skills!H11,1)</f>
        <v/>
      </c>
      <c r="H734">
        <f>1-(1-Skills!J11/100)^Skills!K11</f>
        <v/>
      </c>
      <c r="I734" t="inlineStr">
        <is>
          <t>1</t>
        </is>
      </c>
      <c r="J734">
        <f>((Inputs!$B$6*(1+Inputs!$B$7/100))+(((Inputs!$B$12*(1+Inputs!$B$13/100))-(Inputs!$B$12*(1+Inputs!$B$13/100)))+0.25*(Inputs!$B$14-Inputs!$B$14))*(1+Inputs!$B$7/100))*(F734/100)</f>
        <v/>
      </c>
      <c r="K734">
        <f>J734*(1+((Inputs!$B$12*(1+Inputs!$B$13/100))*0.01+Inputs!$B$14*0.0025)/100)*(1+Inputs!$B$15/100)*(1+Inputs!$B$16/100)*(5000/(6000+Inputs!$B$42*(1-(Inputs!$B$19+((C750=TRUE)*(F750-Calc!F27)))/100)))*(1+(Inputs!$B$24+((C748=TRUE)*(F748-Calc!F25))+((C749=TRUE)*(F749-Calc!F26))+B762)/100)*(1+IF(C735=TRUE,F735,0)/100)*(1+(IF(Skills!A11="ARROW_STREAM",Inputs!$B$17+((C746=TRUE)*(F746-Calc!F23)),(Inputs!$B$18+1)+((C751=TRUE)*(F751-Calc!F28))))/100)*((1+(((C736=TRUE)*F736)+((C737=TRUE)*IF(Inputs!$B$38="pvp",F737,(1-Summary!$B$55)*(F737)+Summary!$B$55*(0)))+((C738=TRUE)*F738*IF(AND(Inputs!$B$38&lt;&gt;"pvp",Inputs!$B$43&gt;0),(((R738-1)*(Skills!T15*(1+Inputs!$B$34/100))+MIN((Skills!T15*(1+Inputs!$B$34/100)),MAX(0,Inputs!$B$43-((R738-1)*Skills!D15))))/Inputs!$B$43),IF(Inputs!$B$38="pvp",MIN((Skills!T15*(1+Inputs!$B$34/100)),15)/15,(Skills!T15*(1+Inputs!$B$34/100))/Skills!D15)))+((C753=TRUE)*(F753-Calc!F30)))/100)*I734)</f>
        <v/>
      </c>
      <c r="L734">
        <f>K734*(MIN(Inputs!$B$22+((C747=TRUE)*(F747-Calc!F24)),Inputs!$B$23+((C752=TRUE)*(F752-Calc!F29)))/100+(Inputs!$B$23+((C752=TRUE)*(F752-Calc!F29)))/100)/2</f>
        <v/>
      </c>
      <c r="M734">
        <f>L734*(1+(Inputs!$B$10+0+B761)/100)</f>
        <v/>
      </c>
      <c r="N734">
        <f>L734*(1-MIN((Inputs!$B$9+((C743=TRUE)*(F743-Calc!F20))+B756),100)/100)+M734*(MIN((Inputs!$B$9+((C743=TRUE)*(F743-Calc!F20))+B756),100)/100)</f>
        <v/>
      </c>
      <c r="O734">
        <f>(1-Summary!$B$55)*T734+Summary!$B$55*V734</f>
        <v/>
      </c>
      <c r="P734">
        <f>IF(B766=0,0,O734/B766)</f>
        <v/>
      </c>
      <c r="Q734">
        <f>IFERROR(1/IF(Inputs!$B$38="pvp",15,MAX(0.1,Skills!D11-IF(Skills!E11=TRUE,Inputs!$B$32,0))),0)</f>
        <v/>
      </c>
      <c r="R734">
        <f>IF(AND(Inputs!$B$38&lt;&gt;"pvp",Inputs!$B$43&gt;0),IF(MAX(0,Inputs!$B$43-B763)&lt;=0,0,(INT(MAX(0,Inputs!$B$43-B763)/IF(Inputs!$B$38="pvp",15,MAX(0.1,Skills!D11-IF(Skills!E11=TRUE,Inputs!$B$32,0))))+1)),0)</f>
        <v/>
      </c>
      <c r="S734">
        <f>IFERROR(O734/N734,0)</f>
        <v/>
      </c>
      <c r="T734">
        <f>IF(C734,(H734*N734*IF(AND(Inputs!$B$38&lt;&gt;"pvp",Inputs!$B$43&gt;0),((Skills!G11*((R734-1)*IF(Skills!H11&gt;0,Skills!I11/Skills!H11,1)+IF(Skills!H11&gt;0,MIN(Skills!I11,MAX(0,MAX(0,Inputs!$B$43-B763)-((R734-1)*IF(Inputs!$B$38="pvp",15,MAX(0.1,Skills!D11-IF(Skills!E11=TRUE,Inputs!$B$32,0))))))/Skills!H11,1)))/Inputs!$B$43),G734*Q734))*IF(Inputs!$B$38="pvp",1,1+(Inputs!$B$20+0+Skills!P11)/100),0)</f>
        <v/>
      </c>
      <c r="V734">
        <f>IF(C734,(H734*N734*IF(AND(Inputs!$B$38&lt;&gt;"pvp",Inputs!$B$43&gt;0),((Skills!G11*((R734-1)*IF(Skills!H11&gt;0,Skills!I11/Skills!H11,1)+IF(Skills!H11&gt;0,MIN(Skills!I11,MAX(0,MAX(0,Inputs!$B$43-B763)-((R734-1)*IF(Inputs!$B$38="pvp",15,MAX(0.1,Skills!D11-IF(Skills!E11=TRUE,Inputs!$B$32,0))))))/Skills!H11,1)))/Inputs!$B$43),G734*Q734))*IF(Inputs!$B$38="pvp",1,(1+(Inputs!$B$21+Skills!Q11)/100)*(MIN(Skills!R11,Inputs!$B$37))),0)</f>
        <v/>
      </c>
    </row>
    <row r="735">
      <c r="A735">
        <f>Skills!A12</f>
        <v/>
      </c>
      <c r="B735">
        <f>Skills!B12</f>
        <v/>
      </c>
      <c r="C735">
        <f>Inputs!$B$3&gt;=110</f>
        <v/>
      </c>
      <c r="D735">
        <f>IF(Skills!C12=1,60+Inputs!$B$25+Inputs!$B$29,IF(Skills!C12=2,90+Inputs!$B$26+Inputs!$B$29,IF(Skills!C12=3,120+Inputs!$B$27+Inputs!$B$29,MAX(0,(Inputs!$B$3-100)*3)+Inputs!$B$28+Inputs!$B$29)))</f>
        <v/>
      </c>
      <c r="E735">
        <f>INDEX(FactorTable!$B$2:$Y$301, MATCH(ROUND(MIN(300,MAX(1,D735)),0), FactorTable!$A$2:$A$301,0), Skills!M12+1)</f>
        <v/>
      </c>
      <c r="F735">
        <f>IF(Skills!N12=TRUE,(Skills!L12/10)*(E735/1000),Skills!L12/10)+Skills!O12</f>
        <v/>
      </c>
      <c r="G735" t="inlineStr"/>
      <c r="H735" t="inlineStr"/>
      <c r="I735" t="inlineStr">
        <is>
          <t>1</t>
        </is>
      </c>
      <c r="J735" t="inlineStr"/>
      <c r="K735" t="inlineStr"/>
      <c r="L735" t="inlineStr"/>
      <c r="M735" t="inlineStr"/>
      <c r="N735" t="inlineStr"/>
      <c r="O735" t="inlineStr"/>
      <c r="P735" t="inlineStr"/>
      <c r="Q735" t="inlineStr"/>
      <c r="R735" t="inlineStr"/>
      <c r="S735" t="inlineStr"/>
      <c r="T735" t="inlineStr"/>
      <c r="V735" t="inlineStr"/>
    </row>
    <row r="736">
      <c r="A736">
        <f>Skills!A13</f>
        <v/>
      </c>
      <c r="B736">
        <f>Skills!B13</f>
        <v/>
      </c>
      <c r="C736">
        <f>Inputs!$B$3&gt;=74</f>
        <v/>
      </c>
      <c r="D736">
        <f>IF(Skills!C13=1,60+Inputs!$B$25+Inputs!$B$29,IF(Skills!C13=2,90+Inputs!$B$26+Inputs!$B$29,IF(Skills!C13=3,120+Inputs!$B$27+Inputs!$B$29,MAX(0,(Inputs!$B$3-100)*3)+Inputs!$B$28+Inputs!$B$29)))</f>
        <v/>
      </c>
      <c r="E736">
        <f>INDEX(FactorTable!$B$2:$Y$301, MATCH(ROUND(MIN(300,MAX(1,D736)),0), FactorTable!$A$2:$A$301,0), Skills!M13+1)</f>
        <v/>
      </c>
      <c r="F736">
        <f>IF(Skills!N13=TRUE,(Skills!L13/10)*(E736/1000),Skills!L13/10)+Skills!O13</f>
        <v/>
      </c>
      <c r="G736">
        <f>Skills!G13*IF(Skills!H13&gt;0,Skills!I13/Skills!H13,1)</f>
        <v/>
      </c>
      <c r="H736">
        <f>1-(1-Skills!J13/100)^Skills!K13</f>
        <v/>
      </c>
      <c r="I736" t="inlineStr">
        <is>
          <t>1</t>
        </is>
      </c>
      <c r="J736" t="inlineStr"/>
      <c r="K736" t="inlineStr"/>
      <c r="L736" t="inlineStr"/>
      <c r="M736" t="inlineStr"/>
      <c r="N736" t="inlineStr"/>
      <c r="O736">
        <f>(1-Summary!$B$55)*T736+Summary!$B$55*V736</f>
        <v/>
      </c>
      <c r="P736">
        <f>IF(B766=0,0,O736/B766)</f>
        <v/>
      </c>
      <c r="Q736" t="n">
        <v>0</v>
      </c>
      <c r="R736" t="n">
        <v>0</v>
      </c>
      <c r="S736">
        <f>IFERROR(O736/N736,0)</f>
        <v/>
      </c>
      <c r="T736" t="n">
        <v>0</v>
      </c>
      <c r="V736" t="n">
        <v>0</v>
      </c>
    </row>
    <row r="737">
      <c r="A737">
        <f>Skills!A14</f>
        <v/>
      </c>
      <c r="B737">
        <f>Skills!B14</f>
        <v/>
      </c>
      <c r="C737">
        <f>Inputs!$B$3&gt;=74</f>
        <v/>
      </c>
      <c r="D737">
        <f>IF(Skills!C14=1,60+Inputs!$B$25+Inputs!$B$29,IF(Skills!C14=2,90+Inputs!$B$26+Inputs!$B$29,IF(Skills!C14=3,120+Inputs!$B$27+Inputs!$B$29,MAX(0,(Inputs!$B$3-100)*3)+Inputs!$B$28+Inputs!$B$29)))</f>
        <v/>
      </c>
      <c r="E737">
        <f>INDEX(FactorTable!$B$2:$Y$301, MATCH(ROUND(MIN(300,MAX(1,D737)),0), FactorTable!$A$2:$A$301,0), Skills!M14+1)</f>
        <v/>
      </c>
      <c r="F737">
        <f>IF(Skills!N14=TRUE,(Skills!L14/10)*(E737/1000),Skills!L14/10)+Skills!O14</f>
        <v/>
      </c>
      <c r="G737">
        <f>Skills!G14*IF(Skills!H14&gt;0,Skills!I14/Skills!H14,1)</f>
        <v/>
      </c>
      <c r="H737">
        <f>1-(1-Skills!J14/100)^Skills!K14</f>
        <v/>
      </c>
      <c r="I737" t="inlineStr">
        <is>
          <t>1</t>
        </is>
      </c>
      <c r="J737" t="inlineStr"/>
      <c r="K737" t="inlineStr"/>
      <c r="L737" t="inlineStr"/>
      <c r="M737" t="inlineStr"/>
      <c r="N737" t="inlineStr"/>
      <c r="O737">
        <f>(1-Summary!$B$55)*T737+Summary!$B$55*V737</f>
        <v/>
      </c>
      <c r="P737">
        <f>IF(B766=0,0,O737/B766)</f>
        <v/>
      </c>
      <c r="Q737" t="n">
        <v>0</v>
      </c>
      <c r="R737" t="n">
        <v>0</v>
      </c>
      <c r="S737">
        <f>IFERROR(O737/N737,0)</f>
        <v/>
      </c>
      <c r="T737" t="n">
        <v>0</v>
      </c>
      <c r="V737" t="n">
        <v>0</v>
      </c>
    </row>
    <row r="738">
      <c r="A738">
        <f>Skills!A15</f>
        <v/>
      </c>
      <c r="B738">
        <f>Skills!B15</f>
        <v/>
      </c>
      <c r="C738">
        <f>Inputs!$B$3&gt;=117</f>
        <v/>
      </c>
      <c r="D738">
        <f>IF(Skills!C15=1,60+Inputs!$B$25+Inputs!$B$29,IF(Skills!C15=2,90+Inputs!$B$26+Inputs!$B$29,IF(Skills!C15=3,120+Inputs!$B$27+Inputs!$B$29,MAX(0,(Inputs!$B$3-100)*3)+Inputs!$B$28+Inputs!$B$29)))</f>
        <v/>
      </c>
      <c r="E738">
        <f>INDEX(FactorTable!$B$2:$Y$301, MATCH(ROUND(MIN(300,MAX(1,D738)),0), FactorTable!$A$2:$A$301,0), Skills!M15+1)</f>
        <v/>
      </c>
      <c r="F738">
        <f>IF(Skills!N15=TRUE,(Skills!L15/10)*(E738/1000),Skills!L15/10)+Skills!O15</f>
        <v/>
      </c>
      <c r="G738">
        <f>Skills!G15*IF(Skills!H15&gt;0,Skills!I15/Skills!H15,1)</f>
        <v/>
      </c>
      <c r="H738">
        <f>1-(1-Skills!J15/100)^Skills!K15</f>
        <v/>
      </c>
      <c r="I738" t="inlineStr">
        <is>
          <t>1</t>
        </is>
      </c>
      <c r="J738" t="inlineStr"/>
      <c r="K738" t="inlineStr"/>
      <c r="L738" t="inlineStr"/>
      <c r="M738" t="inlineStr"/>
      <c r="N738" t="inlineStr"/>
      <c r="O738">
        <f>(1-Summary!$B$55)*T738+Summary!$B$55*V738</f>
        <v/>
      </c>
      <c r="P738">
        <f>IF(B766=0,0,O738/B766)</f>
        <v/>
      </c>
      <c r="Q738">
        <f>IFERROR(1/IF(Inputs!$B$38="pvp",15,MAX(0.1,Skills!D15-IF(Skills!E15=TRUE,Inputs!$B$32,0))),0)</f>
        <v/>
      </c>
      <c r="R738">
        <f>IF(AND(Inputs!$B$38&lt;&gt;"pvp",Inputs!$B$43&gt;0),IF(Inputs!$B$43&lt;=0,0,(INT(Inputs!$B$43/IF(Inputs!$B$38="pvp",15,MAX(0.1,Skills!D15-IF(Skills!E15=TRUE,Inputs!$B$32,0))))+1)),0)</f>
        <v/>
      </c>
      <c r="S738">
        <f>IFERROR(O738/N738,0)</f>
        <v/>
      </c>
      <c r="T738" t="n">
        <v>0</v>
      </c>
      <c r="V738" t="n">
        <v>0</v>
      </c>
    </row>
    <row r="739">
      <c r="A739">
        <f>Skills!A16</f>
        <v/>
      </c>
      <c r="B739">
        <f>Skills!B16</f>
        <v/>
      </c>
      <c r="C739">
        <f>Inputs!$B$3&gt;=115</f>
        <v/>
      </c>
      <c r="D739">
        <f>IF(Skills!C16=1,60+Inputs!$B$25+Inputs!$B$29,IF(Skills!C16=2,90+Inputs!$B$26+Inputs!$B$29,IF(Skills!C16=3,120+Inputs!$B$27+Inputs!$B$29,MAX(0,(Inputs!$B$3-100)*3)+Inputs!$B$28+Inputs!$B$29)))</f>
        <v/>
      </c>
      <c r="E739">
        <f>INDEX(FactorTable!$B$2:$Y$301, MATCH(ROUND(MIN(300,MAX(1,D739)),0), FactorTable!$A$2:$A$301,0), Skills!M16+1)</f>
        <v/>
      </c>
      <c r="F739">
        <f>IF(Skills!N16=TRUE,(Skills!L16/10)*(E739/1000),Skills!L16/10)+Skills!O16</f>
        <v/>
      </c>
      <c r="G739">
        <f>Skills!G16*IF(Skills!H16&gt;0,Skills!I16/Skills!H16,1)</f>
        <v/>
      </c>
      <c r="H739">
        <f>1-(1-Skills!J16/100)^Skills!K16</f>
        <v/>
      </c>
      <c r="I739" t="inlineStr">
        <is>
          <t>1</t>
        </is>
      </c>
      <c r="J739" t="inlineStr"/>
      <c r="K739" t="inlineStr"/>
      <c r="L739" t="inlineStr"/>
      <c r="M739" t="inlineStr"/>
      <c r="N739" t="inlineStr"/>
      <c r="O739">
        <f>(1-Summary!$B$55)*T739+Summary!$B$55*V739</f>
        <v/>
      </c>
      <c r="P739">
        <f>IF(B766=0,0,O739/B766)</f>
        <v/>
      </c>
      <c r="Q739">
        <f>IFERROR(1/IF(Inputs!$B$38="pvp",15,MAX(0.1,Skills!D16-IF(Skills!E16=TRUE,Inputs!$B$32,0))),0)</f>
        <v/>
      </c>
      <c r="R739">
        <f>IF(AND(Inputs!$B$38&lt;&gt;"pvp",Inputs!$B$43&gt;0),IF(Inputs!$B$43&lt;=0,0,(INT(Inputs!$B$43/IF(Inputs!$B$38="pvp",15,MAX(0.1,Skills!D16-IF(Skills!E16=TRUE,Inputs!$B$32,0))))+1)),0)</f>
        <v/>
      </c>
      <c r="S739">
        <f>IFERROR(O739/N739,0)</f>
        <v/>
      </c>
      <c r="T739" t="n">
        <v>0</v>
      </c>
      <c r="V739" t="n">
        <v>0</v>
      </c>
    </row>
    <row r="740">
      <c r="A740">
        <f>Skills!A17</f>
        <v/>
      </c>
      <c r="B740">
        <f>Skills!B17</f>
        <v/>
      </c>
      <c r="C740">
        <f>Inputs!$B$3&gt;=66</f>
        <v/>
      </c>
      <c r="D740">
        <f>IF(Skills!C17=1,60+Inputs!$B$25+Inputs!$B$29,IF(Skills!C17=2,90+Inputs!$B$26+Inputs!$B$29,IF(Skills!C17=3,120+Inputs!$B$27+Inputs!$B$29,MAX(0,(Inputs!$B$3-100)*3)+Inputs!$B$28+Inputs!$B$29)))</f>
        <v/>
      </c>
      <c r="E740">
        <f>INDEX(FactorTable!$B$2:$Y$301, MATCH(ROUND(MIN(300,MAX(1,D740)),0), FactorTable!$A$2:$A$301,0), Skills!M17+1)</f>
        <v/>
      </c>
      <c r="F740">
        <f>IF(Skills!N17=TRUE,(Skills!L17/10)*(E740/1000),Skills!L17/10)+Skills!O17</f>
        <v/>
      </c>
      <c r="G740">
        <f>Skills!G17*IF(Skills!H17&gt;0,Skills!I17/Skills!H17,1)</f>
        <v/>
      </c>
      <c r="H740">
        <f>1-(1-Skills!J17/100)^Skills!K17</f>
        <v/>
      </c>
      <c r="I740" t="inlineStr">
        <is>
          <t>1</t>
        </is>
      </c>
      <c r="J740" t="inlineStr"/>
      <c r="K740" t="inlineStr"/>
      <c r="L740" t="inlineStr"/>
      <c r="M740" t="inlineStr"/>
      <c r="N740" t="inlineStr"/>
      <c r="O740">
        <f>(1-Summary!$B$55)*T740+Summary!$B$55*V740</f>
        <v/>
      </c>
      <c r="P740">
        <f>IF(B766=0,0,O740/B766)</f>
        <v/>
      </c>
      <c r="Q740" t="n">
        <v>0</v>
      </c>
      <c r="R740" t="n">
        <v>0</v>
      </c>
      <c r="S740">
        <f>IFERROR(O740/N740,0)</f>
        <v/>
      </c>
      <c r="T740" t="n">
        <v>0</v>
      </c>
      <c r="V740" t="n">
        <v>0</v>
      </c>
    </row>
    <row r="741">
      <c r="A741">
        <f>Skills!A18</f>
        <v/>
      </c>
      <c r="B741">
        <f>Skills!B18</f>
        <v/>
      </c>
      <c r="C741">
        <f>Inputs!$B$3&gt;=72</f>
        <v/>
      </c>
      <c r="D741">
        <f>IF(Skills!C18=1,60+Inputs!$B$25+Inputs!$B$29,IF(Skills!C18=2,90+Inputs!$B$26+Inputs!$B$29,IF(Skills!C18=3,120+Inputs!$B$27+Inputs!$B$29,MAX(0,(Inputs!$B$3-100)*3)+Inputs!$B$28+Inputs!$B$29)))</f>
        <v/>
      </c>
      <c r="E741">
        <f>INDEX(FactorTable!$B$2:$Y$301, MATCH(ROUND(MIN(300,MAX(1,D741)),0), FactorTable!$A$2:$A$301,0), Skills!M18+1)</f>
        <v/>
      </c>
      <c r="F741">
        <f>IF(Skills!N18=TRUE,(Skills!L18/10)*(E741/1000),Skills!L18/10)+Skills!O18</f>
        <v/>
      </c>
      <c r="G741">
        <f>Skills!G18*IF(Skills!H18&gt;0,Skills!I18/Skills!H18,1)</f>
        <v/>
      </c>
      <c r="H741">
        <f>1-(1-Skills!J18/100)^Skills!K18</f>
        <v/>
      </c>
      <c r="I741" t="inlineStr">
        <is>
          <t>1</t>
        </is>
      </c>
      <c r="J741" t="inlineStr"/>
      <c r="K741" t="inlineStr"/>
      <c r="L741" t="inlineStr"/>
      <c r="M741" t="inlineStr"/>
      <c r="N741" t="inlineStr"/>
      <c r="O741">
        <f>(1-Summary!$B$55)*T741+Summary!$B$55*V741</f>
        <v/>
      </c>
      <c r="P741">
        <f>IF(B766=0,0,O741/B766)</f>
        <v/>
      </c>
      <c r="Q741" t="n">
        <v>0</v>
      </c>
      <c r="R741" t="n">
        <v>0</v>
      </c>
      <c r="S741">
        <f>IFERROR(O741/N741,0)</f>
        <v/>
      </c>
      <c r="T741" t="n">
        <v>0</v>
      </c>
      <c r="V741" t="n">
        <v>0</v>
      </c>
    </row>
    <row r="742">
      <c r="A742">
        <f>Skills!A19</f>
        <v/>
      </c>
      <c r="B742">
        <f>Skills!B19</f>
        <v/>
      </c>
      <c r="C742">
        <f>TRUE</f>
        <v/>
      </c>
      <c r="D742">
        <f>IF(Skills!C19=1,60+Inputs!$B$25+Inputs!$B$29,IF(Skills!C19=2,90+Inputs!$B$26+Inputs!$B$29,IF(Skills!C19=3,120+Inputs!$B$27+Inputs!$B$29,MAX(0,(Inputs!$B$3-100)*3)+Inputs!$B$28+Inputs!$B$29)))</f>
        <v/>
      </c>
      <c r="E742">
        <f>INDEX(FactorTable!$B$2:$Y$301, MATCH(ROUND(MIN(300,MAX(1,D742)),0), FactorTable!$A$2:$A$301,0), Skills!M19+1)</f>
        <v/>
      </c>
      <c r="F742">
        <f>IF(Skills!N19=TRUE,(Skills!L19/10)*(E742/1000),Skills!L19/10)+Skills!O19</f>
        <v/>
      </c>
      <c r="G742">
        <f>Skills!G19*IF(Skills!H19&gt;0,Skills!I19/Skills!H19,1)</f>
        <v/>
      </c>
      <c r="H742">
        <f>1-(1-Skills!J19/100)^Skills!K19</f>
        <v/>
      </c>
      <c r="I742" t="inlineStr">
        <is>
          <t>1</t>
        </is>
      </c>
      <c r="J742" t="inlineStr"/>
      <c r="K742" t="inlineStr"/>
      <c r="L742" t="inlineStr"/>
      <c r="M742" t="inlineStr"/>
      <c r="N742" t="inlineStr"/>
      <c r="O742">
        <f>(1-Summary!$B$55)*T742+Summary!$B$55*V742</f>
        <v/>
      </c>
      <c r="P742">
        <f>IF(B766=0,0,O742/B766)</f>
        <v/>
      </c>
      <c r="Q742">
        <f>IFERROR(1/IF(Inputs!$B$38="pvp",15,MAX(0.1,Skills!D19-IF(Skills!E19=TRUE,Inputs!$B$32,0))),0)</f>
        <v/>
      </c>
      <c r="R742">
        <f>IF(AND(Inputs!$B$38&lt;&gt;"pvp",Inputs!$B$43&gt;0),IF(Inputs!$B$43&lt;=0,0,(INT(Inputs!$B$43/IF(Inputs!$B$38="pvp",15,MAX(0.1,Skills!D19-IF(Skills!E19=TRUE,Inputs!$B$32,0))))+1)),0)</f>
        <v/>
      </c>
      <c r="S742">
        <f>IFERROR(O742/N742,0)</f>
        <v/>
      </c>
      <c r="T742" t="n">
        <v>0</v>
      </c>
      <c r="V742" t="n">
        <v>0</v>
      </c>
    </row>
    <row r="743">
      <c r="A743">
        <f>Skills!A20</f>
        <v/>
      </c>
      <c r="B743">
        <f>Skills!B20</f>
        <v/>
      </c>
      <c r="C743">
        <f>Inputs!$B$3&gt;=15</f>
        <v/>
      </c>
      <c r="D743">
        <f>IF(Skills!C20=1,60+Inputs!$B$25+Inputs!$B$29,IF(Skills!C20=2,90+Inputs!$B$26+Inputs!$B$29,IF(Skills!C20=3,120+Inputs!$B$27+Inputs!$B$29,MAX(0,(Inputs!$B$3-100)*3)+Inputs!$B$28+Inputs!$B$29)))</f>
        <v/>
      </c>
      <c r="E743">
        <f>INDEX(FactorTable!$B$2:$Y$301, MATCH(ROUND(MIN(300,MAX(1,D743)),0), FactorTable!$A$2:$A$301,0), Skills!M20+1)</f>
        <v/>
      </c>
      <c r="F743">
        <f>IF(Skills!N20=TRUE,(Skills!L20/10)*(E743/1000),Skills!L20/10)+Skills!O20</f>
        <v/>
      </c>
      <c r="G743">
        <f>Skills!G20*IF(Skills!H20&gt;0,Skills!I20/Skills!H20,1)</f>
        <v/>
      </c>
      <c r="H743">
        <f>1-(1-Skills!J20/100)^Skills!K20</f>
        <v/>
      </c>
      <c r="I743" t="inlineStr">
        <is>
          <t>1</t>
        </is>
      </c>
      <c r="J743" t="inlineStr"/>
      <c r="K743" t="inlineStr"/>
      <c r="L743" t="inlineStr"/>
      <c r="M743" t="inlineStr"/>
      <c r="N743" t="inlineStr"/>
      <c r="O743">
        <f>(1-Summary!$B$55)*T743+Summary!$B$55*V743</f>
        <v/>
      </c>
      <c r="P743">
        <f>IF(B766=0,0,O743/B766)</f>
        <v/>
      </c>
      <c r="Q743" t="n">
        <v>0</v>
      </c>
      <c r="R743" t="n">
        <v>0</v>
      </c>
      <c r="S743">
        <f>IFERROR(O743/N743,0)</f>
        <v/>
      </c>
      <c r="T743" t="n">
        <v>0</v>
      </c>
      <c r="V743" t="n">
        <v>0</v>
      </c>
    </row>
    <row r="744">
      <c r="A744">
        <f>Skills!A21</f>
        <v/>
      </c>
      <c r="B744">
        <f>Skills!B21</f>
        <v/>
      </c>
      <c r="C744">
        <f>Inputs!$B$3&gt;=10</f>
        <v/>
      </c>
      <c r="D744">
        <f>IF(Skills!C21=1,60+Inputs!$B$25+Inputs!$B$29,IF(Skills!C21=2,90+Inputs!$B$26+Inputs!$B$29,IF(Skills!C21=3,120+Inputs!$B$27+Inputs!$B$29,MAX(0,(Inputs!$B$3-100)*3)+Inputs!$B$28+Inputs!$B$29)))</f>
        <v/>
      </c>
      <c r="E744">
        <f>INDEX(FactorTable!$B$2:$Y$301, MATCH(ROUND(MIN(300,MAX(1,D744)),0), FactorTable!$A$2:$A$301,0), Skills!M21+1)</f>
        <v/>
      </c>
      <c r="F744">
        <f>IF(Skills!N21=TRUE,(Skills!L21/10)*(E744/1000),Skills!L21/10)+Skills!O21</f>
        <v/>
      </c>
      <c r="G744">
        <f>Skills!G21*IF(Skills!H21&gt;0,Skills!I21/Skills!H21,1)</f>
        <v/>
      </c>
      <c r="H744">
        <f>1-(1-Skills!J21/100)^Skills!K21</f>
        <v/>
      </c>
      <c r="I744" t="inlineStr">
        <is>
          <t>1</t>
        </is>
      </c>
      <c r="J744" t="inlineStr"/>
      <c r="K744" t="inlineStr"/>
      <c r="L744" t="inlineStr"/>
      <c r="M744" t="inlineStr"/>
      <c r="N744" t="inlineStr"/>
      <c r="O744">
        <f>(1-Summary!$B$55)*T744+Summary!$B$55*V744</f>
        <v/>
      </c>
      <c r="P744">
        <f>IF(B766=0,0,O744/B766)</f>
        <v/>
      </c>
      <c r="Q744" t="n">
        <v>0</v>
      </c>
      <c r="R744" t="n">
        <v>0</v>
      </c>
      <c r="S744">
        <f>IFERROR(O744/N744,0)</f>
        <v/>
      </c>
      <c r="T744" t="n">
        <v>0</v>
      </c>
      <c r="V744" t="n">
        <v>0</v>
      </c>
    </row>
    <row r="745">
      <c r="A745">
        <f>Skills!A22</f>
        <v/>
      </c>
      <c r="B745">
        <f>Skills!B22</f>
        <v/>
      </c>
      <c r="C745">
        <f>Inputs!$B$3&gt;=33</f>
        <v/>
      </c>
      <c r="D745">
        <f>IF(Skills!C22=1,60+Inputs!$B$25+Inputs!$B$29,IF(Skills!C22=2,90+Inputs!$B$26+Inputs!$B$29,IF(Skills!C22=3,120+Inputs!$B$27+Inputs!$B$29,MAX(0,(Inputs!$B$3-100)*3)+Inputs!$B$28+Inputs!$B$29)))</f>
        <v/>
      </c>
      <c r="E745">
        <f>INDEX(FactorTable!$B$2:$Y$301, MATCH(ROUND(MIN(300,MAX(1,D745)),0), FactorTable!$A$2:$A$301,0), Skills!M22+1)</f>
        <v/>
      </c>
      <c r="F745">
        <f>IF(Skills!N22=TRUE,(Skills!L22/10)*(E745/1000),Skills!L22/10)+Skills!O22</f>
        <v/>
      </c>
      <c r="G745">
        <f>Skills!G22*IF(Skills!H22&gt;0,Skills!I22/Skills!H22,1)</f>
        <v/>
      </c>
      <c r="H745">
        <f>1-(1-Skills!J22/100)^Skills!K22</f>
        <v/>
      </c>
      <c r="I745" t="inlineStr">
        <is>
          <t>1</t>
        </is>
      </c>
      <c r="J745" t="inlineStr"/>
      <c r="K745" t="inlineStr"/>
      <c r="L745" t="inlineStr"/>
      <c r="M745" t="inlineStr"/>
      <c r="N745" t="inlineStr"/>
      <c r="O745">
        <f>(1-Summary!$B$55)*T745+Summary!$B$55*V745</f>
        <v/>
      </c>
      <c r="P745">
        <f>IF(B766=0,0,O745/B766)</f>
        <v/>
      </c>
      <c r="Q745" t="n">
        <v>0</v>
      </c>
      <c r="R745" t="n">
        <v>0</v>
      </c>
      <c r="S745">
        <f>IFERROR(O745/N745,0)</f>
        <v/>
      </c>
      <c r="T745" t="n">
        <v>0</v>
      </c>
      <c r="V745" t="n">
        <v>0</v>
      </c>
    </row>
    <row r="746">
      <c r="A746">
        <f>Skills!A23</f>
        <v/>
      </c>
      <c r="B746">
        <f>Skills!B23</f>
        <v/>
      </c>
      <c r="C746">
        <f>Inputs!$B$3&gt;=38</f>
        <v/>
      </c>
      <c r="D746">
        <f>IF(Skills!C23=1,60+Inputs!$B$25+Inputs!$B$29,IF(Skills!C23=2,90+Inputs!$B$26+Inputs!$B$29,IF(Skills!C23=3,120+Inputs!$B$27+Inputs!$B$29,MAX(0,(Inputs!$B$3-100)*3)+Inputs!$B$28+Inputs!$B$29)))</f>
        <v/>
      </c>
      <c r="E746">
        <f>INDEX(FactorTable!$B$2:$Y$301, MATCH(ROUND(MIN(300,MAX(1,D746)),0), FactorTable!$A$2:$A$301,0), Skills!M23+1)</f>
        <v/>
      </c>
      <c r="F746">
        <f>IF(Skills!N23=TRUE,(Skills!L23/10)*(E746/1000),Skills!L23/10)+Skills!O23</f>
        <v/>
      </c>
      <c r="G746">
        <f>Skills!G23*IF(Skills!H23&gt;0,Skills!I23/Skills!H23,1)</f>
        <v/>
      </c>
      <c r="H746">
        <f>1-(1-Skills!J23/100)^Skills!K23</f>
        <v/>
      </c>
      <c r="I746" t="inlineStr">
        <is>
          <t>1</t>
        </is>
      </c>
      <c r="J746" t="inlineStr"/>
      <c r="K746" t="inlineStr"/>
      <c r="L746" t="inlineStr"/>
      <c r="M746" t="inlineStr"/>
      <c r="N746" t="inlineStr"/>
      <c r="O746">
        <f>(1-Summary!$B$55)*T746+Summary!$B$55*V746</f>
        <v/>
      </c>
      <c r="P746">
        <f>IF(B766=0,0,O746/B766)</f>
        <v/>
      </c>
      <c r="Q746" t="n">
        <v>0</v>
      </c>
      <c r="R746" t="n">
        <v>0</v>
      </c>
      <c r="S746">
        <f>IFERROR(O746/N746,0)</f>
        <v/>
      </c>
      <c r="T746" t="n">
        <v>0</v>
      </c>
      <c r="V746" t="n">
        <v>0</v>
      </c>
    </row>
    <row r="747">
      <c r="A747">
        <f>Skills!A24</f>
        <v/>
      </c>
      <c r="B747">
        <f>Skills!B24</f>
        <v/>
      </c>
      <c r="C747">
        <f>Inputs!$B$3&gt;=43</f>
        <v/>
      </c>
      <c r="D747">
        <f>IF(Skills!C24=1,60+Inputs!$B$25+Inputs!$B$29,IF(Skills!C24=2,90+Inputs!$B$26+Inputs!$B$29,IF(Skills!C24=3,120+Inputs!$B$27+Inputs!$B$29,MAX(0,(Inputs!$B$3-100)*3)+Inputs!$B$28+Inputs!$B$29)))</f>
        <v/>
      </c>
      <c r="E747">
        <f>INDEX(FactorTable!$B$2:$Y$301, MATCH(ROUND(MIN(300,MAX(1,D747)),0), FactorTable!$A$2:$A$301,0), Skills!M24+1)</f>
        <v/>
      </c>
      <c r="F747">
        <f>IF(Skills!N24=TRUE,(Skills!L24/10)*(E747/1000),Skills!L24/10)+Skills!O24</f>
        <v/>
      </c>
      <c r="G747">
        <f>Skills!G24*IF(Skills!H24&gt;0,Skills!I24/Skills!H24,1)</f>
        <v/>
      </c>
      <c r="H747">
        <f>1-(1-Skills!J24/100)^Skills!K24</f>
        <v/>
      </c>
      <c r="I747" t="inlineStr">
        <is>
          <t>1</t>
        </is>
      </c>
      <c r="J747" t="inlineStr"/>
      <c r="K747" t="inlineStr"/>
      <c r="L747" t="inlineStr"/>
      <c r="M747" t="inlineStr"/>
      <c r="N747" t="inlineStr"/>
      <c r="O747">
        <f>(1-Summary!$B$55)*T747+Summary!$B$55*V747</f>
        <v/>
      </c>
      <c r="P747">
        <f>IF(B766=0,0,O747/B766)</f>
        <v/>
      </c>
      <c r="Q747" t="n">
        <v>0</v>
      </c>
      <c r="R747" t="n">
        <v>0</v>
      </c>
      <c r="S747">
        <f>IFERROR(O747/N747,0)</f>
        <v/>
      </c>
      <c r="T747" t="n">
        <v>0</v>
      </c>
      <c r="V747" t="n">
        <v>0</v>
      </c>
    </row>
    <row r="748">
      <c r="A748">
        <f>Skills!A25</f>
        <v/>
      </c>
      <c r="B748">
        <f>Skills!B25</f>
        <v/>
      </c>
      <c r="C748">
        <f>Inputs!$B$3&gt;=75</f>
        <v/>
      </c>
      <c r="D748">
        <f>IF(Skills!C25=1,60+Inputs!$B$25+Inputs!$B$29,IF(Skills!C25=2,90+Inputs!$B$26+Inputs!$B$29,IF(Skills!C25=3,120+Inputs!$B$27+Inputs!$B$29,MAX(0,(Inputs!$B$3-100)*3)+Inputs!$B$28+Inputs!$B$29)))</f>
        <v/>
      </c>
      <c r="E748">
        <f>INDEX(FactorTable!$B$2:$Y$301, MATCH(ROUND(MIN(300,MAX(1,D748)),0), FactorTable!$A$2:$A$301,0), Skills!M25+1)</f>
        <v/>
      </c>
      <c r="F748">
        <f>IF(Skills!N25=TRUE,(Skills!L25/10)*(E748/1000),Skills!L25/10)+Skills!O25</f>
        <v/>
      </c>
      <c r="G748">
        <f>Skills!G25*IF(Skills!H25&gt;0,Skills!I25/Skills!H25,1)</f>
        <v/>
      </c>
      <c r="H748">
        <f>1-(1-Skills!J25/100)^Skills!K25</f>
        <v/>
      </c>
      <c r="I748" t="inlineStr">
        <is>
          <t>1</t>
        </is>
      </c>
      <c r="J748" t="inlineStr"/>
      <c r="K748" t="inlineStr"/>
      <c r="L748" t="inlineStr"/>
      <c r="M748" t="inlineStr"/>
      <c r="N748" t="inlineStr"/>
      <c r="O748">
        <f>(1-Summary!$B$55)*T748+Summary!$B$55*V748</f>
        <v/>
      </c>
      <c r="P748">
        <f>IF(B766=0,0,O748/B766)</f>
        <v/>
      </c>
      <c r="Q748" t="n">
        <v>0</v>
      </c>
      <c r="R748" t="n">
        <v>0</v>
      </c>
      <c r="S748">
        <f>IFERROR(O748/N748,0)</f>
        <v/>
      </c>
      <c r="T748" t="n">
        <v>0</v>
      </c>
      <c r="V748" t="n">
        <v>0</v>
      </c>
    </row>
    <row r="749">
      <c r="A749">
        <f>Skills!A26</f>
        <v/>
      </c>
      <c r="B749">
        <f>Skills!B26</f>
        <v/>
      </c>
      <c r="C749">
        <f>Inputs!$B$3&gt;=125</f>
        <v/>
      </c>
      <c r="D749">
        <f>IF(Skills!C26=1,60+Inputs!$B$25+Inputs!$B$29,IF(Skills!C26=2,90+Inputs!$B$26+Inputs!$B$29,IF(Skills!C26=3,120+Inputs!$B$27+Inputs!$B$29,MAX(0,(Inputs!$B$3-100)*3)+Inputs!$B$28+Inputs!$B$29)))</f>
        <v/>
      </c>
      <c r="E749">
        <f>INDEX(FactorTable!$B$2:$Y$301, MATCH(ROUND(MIN(300,MAX(1,D749)),0), FactorTable!$A$2:$A$301,0), Skills!M26+1)</f>
        <v/>
      </c>
      <c r="F749">
        <f>IF(Skills!N26=TRUE,(Skills!L26/10)*(E749/1000),Skills!L26/10)+Skills!O26</f>
        <v/>
      </c>
      <c r="G749">
        <f>Skills!G26*IF(Skills!H26&gt;0,Skills!I26/Skills!H26,1)</f>
        <v/>
      </c>
      <c r="H749">
        <f>1-(1-Skills!J26/100)^Skills!K26</f>
        <v/>
      </c>
      <c r="I749" t="inlineStr">
        <is>
          <t>1</t>
        </is>
      </c>
      <c r="J749" t="inlineStr"/>
      <c r="K749" t="inlineStr"/>
      <c r="L749" t="inlineStr"/>
      <c r="M749" t="inlineStr"/>
      <c r="N749" t="inlineStr"/>
      <c r="O749">
        <f>(1-Summary!$B$55)*T749+Summary!$B$55*V749</f>
        <v/>
      </c>
      <c r="P749">
        <f>IF(B766=0,0,O749/B766)</f>
        <v/>
      </c>
      <c r="Q749" t="n">
        <v>0</v>
      </c>
      <c r="R749" t="n">
        <v>0</v>
      </c>
      <c r="S749">
        <f>IFERROR(O749/N749,0)</f>
        <v/>
      </c>
      <c r="T749" t="n">
        <v>0</v>
      </c>
      <c r="V749" t="n">
        <v>0</v>
      </c>
    </row>
    <row r="750">
      <c r="A750">
        <f>Skills!A27</f>
        <v/>
      </c>
      <c r="B750">
        <f>Skills!B27</f>
        <v/>
      </c>
      <c r="C750">
        <f>Inputs!$B$3&gt;=125</f>
        <v/>
      </c>
      <c r="D750">
        <f>IF(Skills!C27=1,60+Inputs!$B$25+Inputs!$B$29,IF(Skills!C27=2,90+Inputs!$B$26+Inputs!$B$29,IF(Skills!C27=3,120+Inputs!$B$27+Inputs!$B$29,MAX(0,(Inputs!$B$3-100)*3)+Inputs!$B$28+Inputs!$B$29)))</f>
        <v/>
      </c>
      <c r="E750">
        <f>INDEX(FactorTable!$B$2:$Y$301, MATCH(ROUND(MIN(300,MAX(1,D750)),0), FactorTable!$A$2:$A$301,0), Skills!M27+1)</f>
        <v/>
      </c>
      <c r="F750">
        <f>IF(Skills!N27=TRUE,(Skills!L27/10)*(E750/1000),Skills!L27/10)+Skills!O27</f>
        <v/>
      </c>
      <c r="G750">
        <f>Skills!G27*IF(Skills!H27&gt;0,Skills!I27/Skills!H27,1)</f>
        <v/>
      </c>
      <c r="H750">
        <f>1-(1-Skills!J27/100)^Skills!K27</f>
        <v/>
      </c>
      <c r="I750" t="inlineStr">
        <is>
          <t>1</t>
        </is>
      </c>
      <c r="J750" t="inlineStr"/>
      <c r="K750" t="inlineStr"/>
      <c r="L750" t="inlineStr"/>
      <c r="M750" t="inlineStr"/>
      <c r="N750" t="inlineStr"/>
      <c r="O750">
        <f>(1-Summary!$B$55)*T750+Summary!$B$55*V750</f>
        <v/>
      </c>
      <c r="P750">
        <f>IF(B766=0,0,O750/B766)</f>
        <v/>
      </c>
      <c r="Q750" t="n">
        <v>0</v>
      </c>
      <c r="R750" t="n">
        <v>0</v>
      </c>
      <c r="S750">
        <f>IFERROR(O750/N750,0)</f>
        <v/>
      </c>
      <c r="T750" t="n">
        <v>0</v>
      </c>
      <c r="V750" t="n">
        <v>0</v>
      </c>
    </row>
    <row r="751">
      <c r="A751">
        <f>Skills!A28</f>
        <v/>
      </c>
      <c r="B751">
        <f>Skills!B28</f>
        <v/>
      </c>
      <c r="C751">
        <f>Inputs!$B$3&gt;=120</f>
        <v/>
      </c>
      <c r="D751">
        <f>IF(Skills!C28=1,60+Inputs!$B$25+Inputs!$B$29,IF(Skills!C28=2,90+Inputs!$B$26+Inputs!$B$29,IF(Skills!C28=3,120+Inputs!$B$27+Inputs!$B$29,MAX(0,(Inputs!$B$3-100)*3)+Inputs!$B$28+Inputs!$B$29)))</f>
        <v/>
      </c>
      <c r="E751">
        <f>INDEX(FactorTable!$B$2:$Y$301, MATCH(ROUND(MIN(300,MAX(1,D751)),0), FactorTable!$A$2:$A$301,0), Skills!M28+1)</f>
        <v/>
      </c>
      <c r="F751">
        <f>IF(Skills!N28=TRUE,(Skills!L28/10)*(E751/1000),Skills!L28/10)+Skills!O28</f>
        <v/>
      </c>
      <c r="G751">
        <f>Skills!G28*IF(Skills!H28&gt;0,Skills!I28/Skills!H28,1)</f>
        <v/>
      </c>
      <c r="H751">
        <f>1-(1-Skills!J28/100)^Skills!K28</f>
        <v/>
      </c>
      <c r="I751" t="inlineStr">
        <is>
          <t>1</t>
        </is>
      </c>
      <c r="J751" t="inlineStr"/>
      <c r="K751" t="inlineStr"/>
      <c r="L751" t="inlineStr"/>
      <c r="M751" t="inlineStr"/>
      <c r="N751" t="inlineStr"/>
      <c r="O751">
        <f>(1-Summary!$B$55)*T751+Summary!$B$55*V751</f>
        <v/>
      </c>
      <c r="P751">
        <f>IF(B766=0,0,O751/B766)</f>
        <v/>
      </c>
      <c r="Q751" t="n">
        <v>0</v>
      </c>
      <c r="R751" t="n">
        <v>0</v>
      </c>
      <c r="S751">
        <f>IFERROR(O751/N751,0)</f>
        <v/>
      </c>
      <c r="T751" t="n">
        <v>0</v>
      </c>
      <c r="V751" t="n">
        <v>0</v>
      </c>
    </row>
    <row r="752">
      <c r="A752">
        <f>Skills!A29</f>
        <v/>
      </c>
      <c r="B752">
        <f>Skills!B29</f>
        <v/>
      </c>
      <c r="C752">
        <f>Inputs!$B$3&gt;=120</f>
        <v/>
      </c>
      <c r="D752">
        <f>IF(Skills!C29=1,60+Inputs!$B$25+Inputs!$B$29,IF(Skills!C29=2,90+Inputs!$B$26+Inputs!$B$29,IF(Skills!C29=3,120+Inputs!$B$27+Inputs!$B$29,MAX(0,(Inputs!$B$3-100)*3)+Inputs!$B$28+Inputs!$B$29)))</f>
        <v/>
      </c>
      <c r="E752">
        <f>INDEX(FactorTable!$B$2:$Y$301, MATCH(ROUND(MIN(300,MAX(1,D752)),0), FactorTable!$A$2:$A$301,0), Skills!M29+1)</f>
        <v/>
      </c>
      <c r="F752">
        <f>IF(Skills!N29=TRUE,(Skills!L29/10)*(E752/1000),Skills!L29/10)+Skills!O29</f>
        <v/>
      </c>
      <c r="G752">
        <f>Skills!G29*IF(Skills!H29&gt;0,Skills!I29/Skills!H29,1)</f>
        <v/>
      </c>
      <c r="H752">
        <f>1-(1-Skills!J29/100)^Skills!K29</f>
        <v/>
      </c>
      <c r="I752" t="inlineStr">
        <is>
          <t>1</t>
        </is>
      </c>
      <c r="J752" t="inlineStr"/>
      <c r="K752" t="inlineStr"/>
      <c r="L752" t="inlineStr"/>
      <c r="M752" t="inlineStr"/>
      <c r="N752" t="inlineStr"/>
      <c r="O752">
        <f>(1-Summary!$B$55)*T752+Summary!$B$55*V752</f>
        <v/>
      </c>
      <c r="P752">
        <f>IF(B766=0,0,O752/B766)</f>
        <v/>
      </c>
      <c r="Q752" t="n">
        <v>0</v>
      </c>
      <c r="R752" t="n">
        <v>0</v>
      </c>
      <c r="S752">
        <f>IFERROR(O752/N752,0)</f>
        <v/>
      </c>
      <c r="T752" t="n">
        <v>0</v>
      </c>
      <c r="V752" t="n">
        <v>0</v>
      </c>
    </row>
    <row r="753">
      <c r="A753">
        <f>Skills!A30</f>
        <v/>
      </c>
      <c r="B753">
        <f>Skills!B30</f>
        <v/>
      </c>
      <c r="C753">
        <f>Inputs!$B$3&gt;=45</f>
        <v/>
      </c>
      <c r="D753">
        <f>IF(Skills!C30=1,60+Inputs!$B$25+Inputs!$B$29,IF(Skills!C30=2,90+Inputs!$B$26+Inputs!$B$29,IF(Skills!C30=3,120+Inputs!$B$27+Inputs!$B$29,MAX(0,(Inputs!$B$3-100)*3)+Inputs!$B$28+Inputs!$B$29)))</f>
        <v/>
      </c>
      <c r="E753">
        <f>INDEX(FactorTable!$B$2:$Y$301, MATCH(ROUND(MIN(300,MAX(1,D753)),0), FactorTable!$A$2:$A$301,0), Skills!M30+1)</f>
        <v/>
      </c>
      <c r="F753">
        <f>IF(Skills!N30=TRUE,(Skills!L30/10)*(E753/1000),Skills!L30/10)+Skills!O30</f>
        <v/>
      </c>
      <c r="G753">
        <f>Skills!G30*IF(Skills!H30&gt;0,Skills!I30/Skills!H30,1)</f>
        <v/>
      </c>
      <c r="H753">
        <f>1-(1-Skills!J30/100)^Skills!K30</f>
        <v/>
      </c>
      <c r="I753" t="inlineStr">
        <is>
          <t>1</t>
        </is>
      </c>
      <c r="J753" t="inlineStr"/>
      <c r="K753" t="inlineStr"/>
      <c r="L753" t="inlineStr"/>
      <c r="M753" t="inlineStr"/>
      <c r="N753" t="inlineStr"/>
      <c r="O753">
        <f>(1-Summary!$B$55)*T753+Summary!$B$55*V753</f>
        <v/>
      </c>
      <c r="P753">
        <f>IF(B766=0,0,O753/B766)</f>
        <v/>
      </c>
      <c r="Q753" t="n">
        <v>0</v>
      </c>
      <c r="R753" t="n">
        <v>0</v>
      </c>
      <c r="S753">
        <f>IFERROR(O753/N753,0)</f>
        <v/>
      </c>
      <c r="T753" t="n">
        <v>0</v>
      </c>
      <c r="V753" t="n">
        <v>0</v>
      </c>
    </row>
    <row r="755">
      <c r="A755" t="inlineStr">
        <is>
          <t>Attack% Bucket Multiplier</t>
        </is>
      </c>
      <c r="B755">
        <f>(1+(((C736=TRUE)*F736)+((C737=TRUE)*IF(Inputs!$B$38="pvp",F737,(1-Summary!$B$55)*(F737)+Summary!$B$55*(0)))+((C738=TRUE)*F738*IF(AND(Inputs!$B$38&lt;&gt;"pvp",Inputs!$B$43&gt;0),(((R738-1)*(Skills!T15*(1+Inputs!$B$34/100))+MIN((Skills!T15*(1+Inputs!$B$34/100)),MAX(0,Inputs!$B$43-((R738-1)*Skills!D15))))/Inputs!$B$43),IF(Inputs!$B$38="pvp",MIN((Skills!T15*(1+Inputs!$B$34/100)),15)/15,(Skills!T15*(1+Inputs!$B$34/100))/Skills!D15)))+((C753=TRUE)*(F753-Calc!F30)))/100)</f>
        <v/>
      </c>
    </row>
    <row r="756">
      <c r="A756" t="inlineStr">
        <is>
          <t>Global Crit Rate Bonus %</t>
        </is>
      </c>
      <c r="B756">
        <f>(C739=TRUE)*20*IF(AND(Inputs!$B$38&lt;&gt;"pvp",Inputs!$B$43&gt;0),(((R739-1)*(Skills!T16*(1+Inputs!$B$34/100))+MIN((Skills!T16*(1+Inputs!$B$34/100)),MAX(0,Inputs!$B$43-((R739-1)*Skills!D16))))/Inputs!$B$43),IF(Inputs!$B$38="pvp",MIN((Skills!T16*(1+Inputs!$B$34/100)),15)/15,(Skills!T16*(1+Inputs!$B$34/100))/Skills!D16))</f>
        <v/>
      </c>
    </row>
    <row r="757">
      <c r="A757" t="inlineStr">
        <is>
          <t>Attack Speed Buff Bonus %</t>
        </is>
      </c>
      <c r="B757">
        <f>((C742=TRUE)*F742*IF(AND(Inputs!$B$38&lt;&gt;"pvp",Inputs!$B$43&gt;0),(((R742-1)*(Skills!T19*(1+Inputs!$B$34/100))+MIN((Skills!T19*(1+Inputs!$B$34/100)),MAX(0,Inputs!$B$43-((R742-1)*Skills!D19))))/Inputs!$B$43),IF(Inputs!$B$38="pvp",MIN((Skills!T19*(1+Inputs!$B$34/100)),15)/15,(Skills!T19*(1+Inputs!$B$34/100))/Skills!D19)))</f>
        <v/>
      </c>
    </row>
    <row r="758">
      <c r="A758" t="inlineStr">
        <is>
          <t>Actions Per Second</t>
        </is>
      </c>
      <c r="B758">
        <f>1+MIN(150,150*(1-(1-(Inputs!$B$11+((C744=TRUE)*(F744-Calc!F21))+((C745=TRUE)*(F745-Calc!F22)))/150)*(1-B757/150)))/100</f>
        <v/>
      </c>
    </row>
    <row r="759">
      <c r="A759" t="inlineStr">
        <is>
          <t>Skill + Buff Cast Rate</t>
        </is>
      </c>
      <c r="B759">
        <f>IF(AND(Inputs!$B$38&lt;&gt;"pvp",Inputs!$B$43&gt;0),SUMPRODUCT((Skills!E2:E30=TRUE)*(C725:C753=TRUE)*R725:R753*Skills!F2:F30)/Inputs!$B$43,SUMPRODUCT((Skills!E2:E30=TRUE)*(C725:C753=TRUE)*Q725:Q753*Skills!F2:F30))</f>
        <v/>
      </c>
    </row>
    <row r="760">
      <c r="A760" t="inlineStr">
        <is>
          <t>Arrow Stream Casts Per Second</t>
        </is>
      </c>
      <c r="B760">
        <f>MAX(0,B758-B759)</f>
        <v/>
      </c>
    </row>
    <row r="761">
      <c r="A761" t="inlineStr">
        <is>
          <t>Global Critical Damage Bonus % (Sharp Eyes + Concentration)</t>
        </is>
      </c>
      <c r="B761">
        <f>(C739=TRUE)*F739*IF(AND(Inputs!$B$38&lt;&gt;"pvp",Inputs!$B$43&gt;0),(((R739-1)*(Skills!T16*(1+Inputs!$B$34/100))+MIN((Skills!T16*(1+Inputs!$B$34/100)),MAX(0,Inputs!$B$43-((R739-1)*Skills!D16))))/Inputs!$B$43),IF(Inputs!$B$38="pvp",MIN((Skills!T16*(1+Inputs!$B$34/100)),15)/15,(Skills!T16*(1+Inputs!$B$34/100))/Skills!D16))+(C740=TRUE)*30</f>
        <v/>
      </c>
    </row>
    <row r="762">
      <c r="A762" t="inlineStr">
        <is>
          <t>Global Final Damage Bonus % (Mortal Blow)</t>
        </is>
      </c>
      <c r="B762">
        <f>(C741=TRUE)*F741</f>
        <v/>
      </c>
    </row>
    <row r="763">
      <c r="A763" t="inlineStr">
        <is>
          <t>Buff-Casting Startup Delay (s, fixed-duration only)</t>
        </is>
      </c>
      <c r="B763">
        <f>IF(AND(Inputs!$B$38&lt;&gt;"pvp",Inputs!$B$43&gt;0),SUMPRODUCT((Skills!T2:T30&gt;0)*(Skills!E2:E30=TRUE)*(C725:C753=TRUE))/B758,0)</f>
        <v/>
      </c>
    </row>
    <row r="764">
      <c r="A764" t="inlineStr">
        <is>
          <t>Boss-Only Total DPS (this block's swept value)</t>
        </is>
      </c>
      <c r="B764">
        <f>SUM(T725:T753)</f>
        <v/>
      </c>
    </row>
    <row r="765">
      <c r="A765" t="inlineStr">
        <is>
          <t>Normal-Only Total DPS (this block's swept value)</t>
        </is>
      </c>
      <c r="B765">
        <f>SUM(V725:V753)</f>
        <v/>
      </c>
    </row>
    <row r="766">
      <c r="A766" s="5" t="inlineStr">
        <is>
          <t>TOTAL DPS</t>
        </is>
      </c>
      <c r="B766" s="5">
        <f>SUM(O725:O753)</f>
        <v/>
      </c>
    </row>
    <row r="769">
      <c r="A769" s="5" t="inlineStr">
        <is>
          <t>Stat: Skill Level Bonus — 1st Job</t>
        </is>
      </c>
    </row>
    <row r="770">
      <c r="A770" s="9" t="inlineStr">
        <is>
          <t>Key</t>
        </is>
      </c>
      <c r="B770" s="9" t="inlineStr">
        <is>
          <t>Name</t>
        </is>
      </c>
      <c r="C770" s="9" t="inlineStr">
        <is>
          <t>Unlocked</t>
        </is>
      </c>
      <c r="D770" s="9" t="inlineStr">
        <is>
          <t>InputLevel</t>
        </is>
      </c>
      <c r="E770" s="9" t="inlineStr">
        <is>
          <t>Factor</t>
        </is>
      </c>
      <c r="F770" s="9" t="inlineStr">
        <is>
          <t>CoefficientPercent</t>
        </is>
      </c>
      <c r="G770" s="9" t="inlineStr">
        <is>
          <t>EffectiveHits</t>
        </is>
      </c>
      <c r="H770" s="9" t="inlineStr">
        <is>
          <t>ProcProbability</t>
        </is>
      </c>
      <c r="I770" s="9" t="inlineStr">
        <is>
          <t>MapleHeroMultiplier</t>
        </is>
      </c>
      <c r="J770" s="9" t="inlineStr">
        <is>
          <t>BaseDamage</t>
        </is>
      </c>
      <c r="K770" s="9" t="inlineStr">
        <is>
          <t>BaseHitDamage</t>
        </is>
      </c>
      <c r="L770" s="9" t="inlineStr">
        <is>
          <t>NonCritAvg</t>
        </is>
      </c>
      <c r="M770" s="9" t="inlineStr">
        <is>
          <t>CritAvg</t>
        </is>
      </c>
      <c r="N770" s="9" t="inlineStr">
        <is>
          <t>ExpectedDamage(perHit)</t>
        </is>
      </c>
      <c r="O770" s="9" t="inlineStr">
        <is>
          <t>DPS</t>
        </is>
      </c>
      <c r="P770" s="9" t="inlineStr">
        <is>
          <t>% of Total</t>
        </is>
      </c>
      <c r="Q770" s="9" t="inlineStr">
        <is>
          <t>InvCooldown</t>
        </is>
      </c>
      <c r="R770" s="9" t="inlineStr">
        <is>
          <t>CastsInFight</t>
        </is>
      </c>
      <c r="S770" s="9" t="inlineStr">
        <is>
          <t>HitRate(perSec)</t>
        </is>
      </c>
      <c r="U770" t="inlineStr">
        <is>
          <t>helpers</t>
        </is>
      </c>
    </row>
    <row r="771">
      <c r="A771">
        <f>Skills!A2</f>
        <v/>
      </c>
      <c r="B771">
        <f>Skills!B2</f>
        <v/>
      </c>
      <c r="C771">
        <f>Inputs!$B$3&gt;=100</f>
        <v/>
      </c>
      <c r="D771" t="inlineStr"/>
      <c r="E771" t="inlineStr"/>
      <c r="F771">
        <f>U773+Skills!O2</f>
        <v/>
      </c>
      <c r="G771">
        <f>Skills!G2*IF(Skills!H2&gt;0,Skills!I2/Skills!H2,1)</f>
        <v/>
      </c>
      <c r="H771">
        <f>1-(1-Skills!J2/100)^Skills!K2</f>
        <v/>
      </c>
      <c r="I771" t="inlineStr">
        <is>
          <t>1</t>
        </is>
      </c>
      <c r="J771">
        <f>((Inputs!$B$6*(1+Inputs!$B$7/100))+(((Inputs!$B$12*(1+Inputs!$B$13/100))-(Inputs!$B$12*(1+Inputs!$B$13/100)))+0.25*(Inputs!$B$14-Inputs!$B$14))*(1+Inputs!$B$7/100))*(F771/100)</f>
        <v/>
      </c>
      <c r="K771">
        <f>J771*(1+((Inputs!$B$12*(1+Inputs!$B$13/100))*0.01+Inputs!$B$14*0.0025)/100)*(1+Inputs!$B$15/100)*(1+Inputs!$B$16/100)*(5000/(6000+Inputs!$B$42*(1-(Inputs!$B$19+((C796=TRUE)*(F796-Calc!F27)))/100)))*(1+(Inputs!$B$24+((C794=TRUE)*(F794-Calc!F25))+((C795=TRUE)*(F795-Calc!F26))+B808)/100)*(1+(IF(Skills!A2="ARROW_STREAM",Inputs!$B$17+((C792=TRUE)*(F792-Calc!F23)),Inputs!$B$18+((C797=TRUE)*(F797-Calc!F28))))/100)*((1+(((C782=TRUE)*F782)+((C783=TRUE)*IF(Inputs!$B$38="pvp",F783,(1-Summary!$B$55)*(F783)+Summary!$B$55*(0)))+((C784=TRUE)*F784*IF(AND(Inputs!$B$38&lt;&gt;"pvp",Inputs!$B$43&gt;0),(((R784-1)*(Skills!T15*(1+Inputs!$B$34/100))+MIN((Skills!T15*(1+Inputs!$B$34/100)),MAX(0,Inputs!$B$43-((R784-1)*Skills!D15))))/Inputs!$B$43),IF(Inputs!$B$38="pvp",MIN((Skills!T15*(1+Inputs!$B$34/100)),15)/15,(Skills!T15*(1+Inputs!$B$34/100))/Skills!D15)))+((C799=TRUE)*(F799-Calc!F30)))/100)*I771)</f>
        <v/>
      </c>
      <c r="L771">
        <f>K771*(MIN(Inputs!$B$22+((C793=TRUE)*(F793-Calc!F24)),Inputs!$B$23+((C798=TRUE)*(F798-Calc!F29)))/100+(Inputs!$B$23+((C798=TRUE)*(F798-Calc!F29)))/100)/2</f>
        <v/>
      </c>
      <c r="M771">
        <f>L771*(1+(Inputs!$B$10+0+B807)/100)</f>
        <v/>
      </c>
      <c r="N771">
        <f>L771*(1-MIN((Inputs!$B$9+((C789=TRUE)*(F789-Calc!F20))+B802),100)/100)+M771*(MIN((Inputs!$B$9+((C789=TRUE)*(F789-Calc!F20))+B802),100)/100)</f>
        <v/>
      </c>
      <c r="O771">
        <f>(1-Summary!$B$55)*T771+Summary!$B$55*V771</f>
        <v/>
      </c>
      <c r="P771">
        <f>IF(B812=0,0,O771/B812)</f>
        <v/>
      </c>
      <c r="Q771" t="n">
        <v>0</v>
      </c>
      <c r="R771" t="n">
        <v>0</v>
      </c>
      <c r="S771">
        <f>IFERROR(O771/N771,0)</f>
        <v/>
      </c>
      <c r="T771">
        <f>IF(C771,(Skills!G2*N771*B806)*IF(Inputs!$B$38="pvp",1,1+(Inputs!$B$20+0+Skills!P2)/100),0)</f>
        <v/>
      </c>
      <c r="U771">
        <f>MAX(0,(Inputs!$B$3-100)*3)+Inputs!$B$28+Inputs!$B$29</f>
        <v/>
      </c>
      <c r="V771">
        <f>IF(C771,(Skills!G2*N771*B806)*IF(Inputs!$B$38="pvp",1,(1+(Inputs!$B$21+Skills!Q2)/100)*(MIN((6+Inputs!$B$33),Inputs!$B$37))),0)</f>
        <v/>
      </c>
    </row>
    <row r="772">
      <c r="A772">
        <f>Skills!A3</f>
        <v/>
      </c>
      <c r="B772">
        <f>Skills!B3</f>
        <v/>
      </c>
      <c r="C772">
        <f>Inputs!$B$3&gt;=50</f>
        <v/>
      </c>
      <c r="D772">
        <f>IF(Skills!C3=1,60+(Inputs!$B$25+1)+Inputs!$B$29,IF(Skills!C3=2,90+Inputs!$B$26+Inputs!$B$29,IF(Skills!C3=3,120+Inputs!$B$27+Inputs!$B$29,MAX(0,(Inputs!$B$3-100)*3)+Inputs!$B$28+Inputs!$B$29)))</f>
        <v/>
      </c>
      <c r="E772">
        <f>INDEX(FactorTable!$B$2:$Y$301, MATCH(ROUND(MIN(300,MAX(1,D772)),0), FactorTable!$A$2:$A$301,0), Skills!M3+1)</f>
        <v/>
      </c>
      <c r="F772">
        <f>IF(Skills!N3=TRUE,(Skills!L3/10)*(E772/1000),Skills!L3/10)+Skills!O3</f>
        <v/>
      </c>
      <c r="G772" t="inlineStr"/>
      <c r="H772" t="inlineStr"/>
      <c r="I772" t="inlineStr">
        <is>
          <t>1</t>
        </is>
      </c>
      <c r="J772" t="inlineStr"/>
      <c r="K772" t="inlineStr"/>
      <c r="L772" t="inlineStr"/>
      <c r="M772" t="inlineStr"/>
      <c r="N772" t="inlineStr"/>
      <c r="O772" t="inlineStr"/>
      <c r="P772" t="inlineStr"/>
      <c r="Q772" t="inlineStr"/>
      <c r="R772" t="inlineStr"/>
      <c r="S772" t="inlineStr"/>
      <c r="T772" t="inlineStr"/>
      <c r="U772">
        <f>INDEX(FactorTable!$B$2:$Y$301, MATCH(ROUND(MIN(300,MAX(1,U771)),0), FactorTable!$A$2:$A$301,0), 22)</f>
        <v/>
      </c>
      <c r="V772" t="inlineStr"/>
    </row>
    <row r="773">
      <c r="A773">
        <f>Skills!A4</f>
        <v/>
      </c>
      <c r="B773">
        <f>Skills!B4</f>
        <v/>
      </c>
      <c r="C773">
        <f>Inputs!$B$3&gt;=105</f>
        <v/>
      </c>
      <c r="D773">
        <f>IF(Skills!C4=1,60+(Inputs!$B$25+1)+Inputs!$B$29,IF(Skills!C4=2,90+Inputs!$B$26+Inputs!$B$29,IF(Skills!C4=3,120+Inputs!$B$27+Inputs!$B$29,MAX(0,(Inputs!$B$3-100)*3)+Inputs!$B$28+Inputs!$B$29)))</f>
        <v/>
      </c>
      <c r="E773">
        <f>INDEX(FactorTable!$B$2:$Y$301, MATCH(ROUND(MIN(300,MAX(1,D773)),0), FactorTable!$A$2:$A$301,0), Skills!M4+1)</f>
        <v/>
      </c>
      <c r="F773">
        <f>IF(Skills!N4=TRUE,(Skills!L4/10)*(E773/1000),Skills!L4/10)+Skills!O4</f>
        <v/>
      </c>
      <c r="G773" t="inlineStr"/>
      <c r="H773" t="inlineStr"/>
      <c r="I773" t="inlineStr">
        <is>
          <t>1</t>
        </is>
      </c>
      <c r="J773" t="inlineStr"/>
      <c r="K773" t="inlineStr"/>
      <c r="L773" t="inlineStr"/>
      <c r="M773" t="inlineStr"/>
      <c r="N773" t="inlineStr"/>
      <c r="O773" t="inlineStr"/>
      <c r="P773" t="inlineStr"/>
      <c r="Q773" t="inlineStr"/>
      <c r="R773" t="inlineStr"/>
      <c r="S773" t="inlineStr"/>
      <c r="T773" t="inlineStr"/>
      <c r="U773">
        <f>290*U772/1000</f>
        <v/>
      </c>
      <c r="V773" t="inlineStr"/>
    </row>
    <row r="774">
      <c r="A774">
        <f>Skills!A5</f>
        <v/>
      </c>
      <c r="B774">
        <f>Skills!B5</f>
        <v/>
      </c>
      <c r="C774">
        <f>Inputs!$B$3&gt;=35</f>
        <v/>
      </c>
      <c r="D774">
        <f>IF(Skills!C5=1,60+(Inputs!$B$25+1)+Inputs!$B$29,IF(Skills!C5=2,90+Inputs!$B$26+Inputs!$B$29,IF(Skills!C5=3,120+Inputs!$B$27+Inputs!$B$29,MAX(0,(Inputs!$B$3-100)*3)+Inputs!$B$28+Inputs!$B$29)))</f>
        <v/>
      </c>
      <c r="E774">
        <f>INDEX(FactorTable!$B$2:$Y$301, MATCH(ROUND(MIN(300,MAX(1,D774)),0), FactorTable!$A$2:$A$301,0), Skills!M5+1)</f>
        <v/>
      </c>
      <c r="F774">
        <f>IF(Skills!N5=TRUE,(Skills!L5/10)*(E774/1000),Skills!L5/10)+Skills!O5</f>
        <v/>
      </c>
      <c r="G774">
        <f>Skills!G5*IF(Skills!H5&gt;0,Skills!I5/Skills!H5,1)</f>
        <v/>
      </c>
      <c r="H774">
        <f>1-(1-Skills!J5/100)^Skills!K5</f>
        <v/>
      </c>
      <c r="I774" t="inlineStr">
        <is>
          <t>1</t>
        </is>
      </c>
      <c r="J774">
        <f>((Inputs!$B$6*(1+Inputs!$B$7/100))+(((Inputs!$B$12*(1+Inputs!$B$13/100))-(Inputs!$B$12*(1+Inputs!$B$13/100)))+0.25*(Inputs!$B$14-Inputs!$B$14))*(1+Inputs!$B$7/100))*(F774/100)</f>
        <v/>
      </c>
      <c r="K774">
        <f>J774*(1+((Inputs!$B$12*(1+Inputs!$B$13/100))*0.01+Inputs!$B$14*0.0025)/100)*(1+Inputs!$B$15/100)*(1+Inputs!$B$16/100)*(5000/(6000+Inputs!$B$42*(1-(Inputs!$B$19+((C796=TRUE)*(F796-Calc!F27)))/100)))*(1+(Inputs!$B$24+((C794=TRUE)*(F794-Calc!F25))+((C795=TRUE)*(F795-Calc!F26))+B808)/100)*(1+4.0*IF(C779=TRUE,F779,0)/100)*(1+(IF(Skills!A5="ARROW_STREAM",Inputs!$B$17+((C792=TRUE)*(F792-Calc!F23)),Inputs!$B$18+((C797=TRUE)*(F797-Calc!F28))))/100)*((1+(((C782=TRUE)*F782)+((C783=TRUE)*IF(Inputs!$B$38="pvp",F783,(1-Summary!$B$55)*(F783)+Summary!$B$55*(0)))+((C784=TRUE)*F784*IF(AND(Inputs!$B$38&lt;&gt;"pvp",Inputs!$B$43&gt;0),(((R784-1)*(Skills!T15*(1+Inputs!$B$34/100))+MIN((Skills!T15*(1+Inputs!$B$34/100)),MAX(0,Inputs!$B$43-((R784-1)*Skills!D15))))/Inputs!$B$43),IF(Inputs!$B$38="pvp",MIN((Skills!T15*(1+Inputs!$B$34/100)),15)/15,(Skills!T15*(1+Inputs!$B$34/100))/Skills!D15)))+((C799=TRUE)*(F799-Calc!F30)))/100)*I774)</f>
        <v/>
      </c>
      <c r="L774">
        <f>K774*(MIN(Inputs!$B$22+((C793=TRUE)*(F793-Calc!F24)),Inputs!$B$23+((C798=TRUE)*(F798-Calc!F29)))/100+(Inputs!$B$23+((C798=TRUE)*(F798-Calc!F29)))/100)/2</f>
        <v/>
      </c>
      <c r="M774">
        <f>L774*(1+(Inputs!$B$10+0+B807)/100)</f>
        <v/>
      </c>
      <c r="N774">
        <f>L774*(1-MIN((Inputs!$B$9+((C789=TRUE)*(F789-Calc!F20))+B802),100)/100)+M774*(MIN((Inputs!$B$9+((C789=TRUE)*(F789-Calc!F20))+B802),100)/100)</f>
        <v/>
      </c>
      <c r="O774">
        <f>(1-Summary!$B$55)*T774+Summary!$B$55*V774</f>
        <v/>
      </c>
      <c r="P774">
        <f>IF(B812=0,0,O774/B812)</f>
        <v/>
      </c>
      <c r="Q774">
        <f>IFERROR(1/IF(Inputs!$B$38="pvp",15,MAX(0.1,Skills!D5-IF(Skills!E5=TRUE,Inputs!$B$32,0))),0)</f>
        <v/>
      </c>
      <c r="R774">
        <f>IF(AND(Inputs!$B$38&lt;&gt;"pvp",Inputs!$B$43&gt;0),IF(MAX(0,Inputs!$B$43-B809)&lt;=0,0,(INT(MAX(0,Inputs!$B$43-B809)/IF(Inputs!$B$38="pvp",15,MAX(0.1,Skills!D5-IF(Skills!E5=TRUE,Inputs!$B$32,0))))+1)),0)</f>
        <v/>
      </c>
      <c r="S774">
        <f>IFERROR(O774/N774,0)</f>
        <v/>
      </c>
      <c r="T774">
        <f>IF(C774,(H774*N774*IF(AND(Inputs!$B$38&lt;&gt;"pvp",Inputs!$B$43&gt;0),((Skills!G5*((R774-1)*IF(Skills!H5&gt;0,Skills!I5/Skills!H5,1)+IF(Skills!H5&gt;0,MIN(Skills!I5,MAX(0,MAX(0,Inputs!$B$43-B809)-((R774-1)*IF(Inputs!$B$38="pvp",15,MAX(0.1,Skills!D5-IF(Skills!E5=TRUE,Inputs!$B$32,0))))))/Skills!H5,1)))/Inputs!$B$43),G774*Q774))*IF(Inputs!$B$38="pvp",1,1+(Inputs!$B$20+0+Skills!P5)/100),0)</f>
        <v/>
      </c>
      <c r="V774">
        <f>IF(C774,(H774*N774*IF(AND(Inputs!$B$38&lt;&gt;"pvp",Inputs!$B$43&gt;0),((Skills!G5*((R774-1)*IF(Skills!H5&gt;0,Skills!I5/Skills!H5,1)+IF(Skills!H5&gt;0,MIN(Skills!I5,MAX(0,MAX(0,Inputs!$B$43-B809)-((R774-1)*IF(Inputs!$B$38="pvp",15,MAX(0.1,Skills!D5-IF(Skills!E5=TRUE,Inputs!$B$32,0))))))/Skills!H5,1)))/Inputs!$B$43),G774*Q774))*IF(Inputs!$B$38="pvp",1,(1+(Inputs!$B$21+Skills!Q5)/100)*(MIN(Skills!R5,Inputs!$B$37))),0)</f>
        <v/>
      </c>
    </row>
    <row r="775">
      <c r="A775">
        <f>Skills!A6</f>
        <v/>
      </c>
      <c r="B775">
        <f>Skills!B6</f>
        <v/>
      </c>
      <c r="C775">
        <f>Inputs!$B$3&gt;=40</f>
        <v/>
      </c>
      <c r="D775">
        <f>IF(Skills!C6=1,60+(Inputs!$B$25+1)+Inputs!$B$29,IF(Skills!C6=2,90+Inputs!$B$26+Inputs!$B$29,IF(Skills!C6=3,120+Inputs!$B$27+Inputs!$B$29,MAX(0,(Inputs!$B$3-100)*3)+Inputs!$B$28+Inputs!$B$29)))</f>
        <v/>
      </c>
      <c r="E775">
        <f>INDEX(FactorTable!$B$2:$Y$301, MATCH(ROUND(MIN(300,MAX(1,D775)),0), FactorTable!$A$2:$A$301,0), Skills!M6+1)</f>
        <v/>
      </c>
      <c r="F775">
        <f>IF(Skills!N6=TRUE,(Skills!L6/10)*(E775/1000),Skills!L6/10)+Skills!O6</f>
        <v/>
      </c>
      <c r="G775">
        <f>Skills!G6*IF(Skills!H6&gt;0,Skills!I6/Skills!H6,1)</f>
        <v/>
      </c>
      <c r="H775">
        <f>1-(1-Skills!J6/100)^Skills!K6</f>
        <v/>
      </c>
      <c r="I775" t="inlineStr">
        <is>
          <t>1</t>
        </is>
      </c>
      <c r="J775">
        <f>((Inputs!$B$6*(1+Inputs!$B$7/100))+(((Inputs!$B$12*(1+Inputs!$B$13/100))-(Inputs!$B$12*(1+Inputs!$B$13/100)))+0.25*(Inputs!$B$14-Inputs!$B$14))*(1+Inputs!$B$7/100))*(F775/100)</f>
        <v/>
      </c>
      <c r="K775">
        <f>J775*(1+((Inputs!$B$12*(1+Inputs!$B$13/100))*0.01+Inputs!$B$14*0.0025)/100)*(1+Inputs!$B$15/100)*(1+Inputs!$B$16/100)*(5000/(6000+Inputs!$B$42*(1-(Inputs!$B$19+((C796=TRUE)*(F796-Calc!F27)))/100)))*(1+(Inputs!$B$24+((C794=TRUE)*(F794-Calc!F25))+((C795=TRUE)*(F795-Calc!F26))+B808)/100)*(1+IF(C776=TRUE,F776,0)/100)*(1+(IF(Skills!A6="ARROW_STREAM",Inputs!$B$17+((C792=TRUE)*(F792-Calc!F23)),Inputs!$B$18+((C797=TRUE)*(F797-Calc!F28))))/100)*((1+(((C782=TRUE)*F782)+((C783=TRUE)*IF(Inputs!$B$38="pvp",F783,(1-Summary!$B$55)*(F783)+Summary!$B$55*(0)))+((C784=TRUE)*F784*IF(AND(Inputs!$B$38&lt;&gt;"pvp",Inputs!$B$43&gt;0),(((R784-1)*(Skills!T15*(1+Inputs!$B$34/100))+MIN((Skills!T15*(1+Inputs!$B$34/100)),MAX(0,Inputs!$B$43-((R784-1)*Skills!D15))))/Inputs!$B$43),IF(Inputs!$B$38="pvp",MIN((Skills!T15*(1+Inputs!$B$34/100)),15)/15,(Skills!T15*(1+Inputs!$B$34/100))/Skills!D15)))+((C799=TRUE)*(F799-Calc!F30)))/100)*I775)</f>
        <v/>
      </c>
      <c r="L775">
        <f>K775*(MIN(Inputs!$B$22+((C793=TRUE)*(F793-Calc!F24)),Inputs!$B$23+((C798=TRUE)*(F798-Calc!F29)))/100+(Inputs!$B$23+((C798=TRUE)*(F798-Calc!F29)))/100)/2</f>
        <v/>
      </c>
      <c r="M775">
        <f>L775*(1+(Inputs!$B$10+0+B807)/100)</f>
        <v/>
      </c>
      <c r="N775">
        <f>L775*(1-MIN((Inputs!$B$9+((C789=TRUE)*(F789-Calc!F20))+B802),100)/100)+M775*(MIN((Inputs!$B$9+((C789=TRUE)*(F789-Calc!F20))+B802),100)/100)</f>
        <v/>
      </c>
      <c r="O775">
        <f>(1-Summary!$B$55)*T775+Summary!$B$55*V775</f>
        <v/>
      </c>
      <c r="P775">
        <f>IF(B812=0,0,O775/B812)</f>
        <v/>
      </c>
      <c r="Q775">
        <f>IFERROR(1/IF(Inputs!$B$38="pvp",15,MAX(0.1,Skills!D6-IF(Skills!E6=TRUE,Inputs!$B$32,0))),0)</f>
        <v/>
      </c>
      <c r="R775">
        <f>IF(AND(Inputs!$B$38&lt;&gt;"pvp",Inputs!$B$43&gt;0),IF(MAX(0,Inputs!$B$43-B809)&lt;=0,0,(INT(MAX(0,Inputs!$B$43-B809)/IF(Inputs!$B$38="pvp",15,MAX(0.1,Skills!D6-IF(Skills!E6=TRUE,Inputs!$B$32,0))))+1)),0)</f>
        <v/>
      </c>
      <c r="S775">
        <f>IFERROR(O775/N775,0)</f>
        <v/>
      </c>
      <c r="T775">
        <f>IF(C775,(H775*N775*IF(AND(Inputs!$B$38&lt;&gt;"pvp",Inputs!$B$43&gt;0),((Skills!G6*((R775-1)*IF(Skills!H6&gt;0,Skills!I6/Skills!H6,1)+IF(Skills!H6&gt;0,MIN(Skills!I6,MAX(0,MAX(0,Inputs!$B$43-B809)-((R775-1)*IF(Inputs!$B$38="pvp",15,MAX(0.1,Skills!D6-IF(Skills!E6=TRUE,Inputs!$B$32,0))))))/Skills!H6,1)))/Inputs!$B$43),G775*Q775))*IF(Inputs!$B$38="pvp",1,1+(Inputs!$B$20+0+Skills!P6)/100),0)</f>
        <v/>
      </c>
      <c r="V775">
        <f>IF(C775,(H775*N775*IF(AND(Inputs!$B$38&lt;&gt;"pvp",Inputs!$B$43&gt;0),((Skills!G6*((R775-1)*IF(Skills!H6&gt;0,Skills!I6/Skills!H6,1)+IF(Skills!H6&gt;0,MIN(Skills!I6,MAX(0,MAX(0,Inputs!$B$43-B809)-((R775-1)*IF(Inputs!$B$38="pvp",15,MAX(0.1,Skills!D6-IF(Skills!E6=TRUE,Inputs!$B$32,0))))))/Skills!H6,1)))/Inputs!$B$43),G775*Q775))*IF(Inputs!$B$38="pvp",1,(1+(Inputs!$B$21+Skills!Q6)/100)*(MIN(Skills!R6,Inputs!$B$37))),0)</f>
        <v/>
      </c>
    </row>
    <row r="776">
      <c r="A776">
        <f>Skills!A7</f>
        <v/>
      </c>
      <c r="B776">
        <f>Skills!B7</f>
        <v/>
      </c>
      <c r="C776">
        <f>Inputs!$B$3&gt;=107</f>
        <v/>
      </c>
      <c r="D776">
        <f>IF(Skills!C7=1,60+(Inputs!$B$25+1)+Inputs!$B$29,IF(Skills!C7=2,90+Inputs!$B$26+Inputs!$B$29,IF(Skills!C7=3,120+Inputs!$B$27+Inputs!$B$29,MAX(0,(Inputs!$B$3-100)*3)+Inputs!$B$28+Inputs!$B$29)))</f>
        <v/>
      </c>
      <c r="E776">
        <f>INDEX(FactorTable!$B$2:$Y$301, MATCH(ROUND(MIN(300,MAX(1,D776)),0), FactorTable!$A$2:$A$301,0), Skills!M7+1)</f>
        <v/>
      </c>
      <c r="F776">
        <f>IF(Skills!N7=TRUE,(Skills!L7/10)*(E776/1000),Skills!L7/10)+Skills!O7</f>
        <v/>
      </c>
      <c r="G776" t="inlineStr"/>
      <c r="H776" t="inlineStr"/>
      <c r="I776" t="inlineStr">
        <is>
          <t>1</t>
        </is>
      </c>
      <c r="J776" t="inlineStr"/>
      <c r="K776" t="inlineStr"/>
      <c r="L776" t="inlineStr"/>
      <c r="M776" t="inlineStr"/>
      <c r="N776" t="inlineStr"/>
      <c r="O776" t="inlineStr"/>
      <c r="P776" t="inlineStr"/>
      <c r="Q776" t="inlineStr"/>
      <c r="R776" t="inlineStr"/>
      <c r="S776" t="inlineStr"/>
      <c r="T776" t="inlineStr"/>
      <c r="V776" t="inlineStr"/>
    </row>
    <row r="777">
      <c r="A777">
        <f>Skills!A8</f>
        <v/>
      </c>
      <c r="B777">
        <f>Skills!B8</f>
        <v/>
      </c>
      <c r="C777">
        <f>Inputs!$B$3&gt;=69</f>
        <v/>
      </c>
      <c r="D777">
        <f>IF(Skills!C8=1,60+(Inputs!$B$25+1)+Inputs!$B$29,IF(Skills!C8=2,90+Inputs!$B$26+Inputs!$B$29,IF(Skills!C8=3,120+Inputs!$B$27+Inputs!$B$29,MAX(0,(Inputs!$B$3-100)*3)+Inputs!$B$28+Inputs!$B$29)))</f>
        <v/>
      </c>
      <c r="E777">
        <f>INDEX(FactorTable!$B$2:$Y$301, MATCH(ROUND(MIN(300,MAX(1,D777)),0), FactorTable!$A$2:$A$301,0), Skills!M8+1)</f>
        <v/>
      </c>
      <c r="F777">
        <f>IF(Skills!N8=TRUE,(Skills!L8/10)*(E777/1000),Skills!L8/10)+Skills!O8</f>
        <v/>
      </c>
      <c r="G777">
        <f>Skills!G8*IF(Skills!H8&gt;0,Skills!I8/Skills!H8,1)</f>
        <v/>
      </c>
      <c r="H777">
        <f>1-(1-Skills!J8/100)^Skills!K8</f>
        <v/>
      </c>
      <c r="I777" t="inlineStr">
        <is>
          <t>1</t>
        </is>
      </c>
      <c r="J777">
        <f>((Inputs!$B$6*(1+Inputs!$B$7/100))+(((Inputs!$B$12*(1+Inputs!$B$13/100))-(Inputs!$B$12*(1+Inputs!$B$13/100)))+0.25*(Inputs!$B$14-Inputs!$B$14))*(1+Inputs!$B$7/100))*(F777/100)</f>
        <v/>
      </c>
      <c r="K777">
        <f>J777*(1+((Inputs!$B$12*(1+Inputs!$B$13/100))*0.01+Inputs!$B$14*0.0025)/100)*(1+Inputs!$B$15/100)*(1+Inputs!$B$16/100)*(5000/(6000+Inputs!$B$42*(1-(Inputs!$B$19+((C796=TRUE)*(F796-Calc!F27)))/100)))*(1+(Inputs!$B$24+((C794=TRUE)*(F794-Calc!F25))+((C795=TRUE)*(F795-Calc!F26))+B808)/100)*(1+1.2*IF(C779=TRUE,F779,0)/100)*(1+(IF(Skills!A8="ARROW_STREAM",Inputs!$B$17+((C792=TRUE)*(F792-Calc!F23)),Inputs!$B$18+((C797=TRUE)*(F797-Calc!F28))))/100)*((1+(((C782=TRUE)*F782)+((C783=TRUE)*IF(Inputs!$B$38="pvp",F783,(1-Summary!$B$55)*(F783)+Summary!$B$55*(0)))+((C784=TRUE)*F784*IF(AND(Inputs!$B$38&lt;&gt;"pvp",Inputs!$B$43&gt;0),(((R784-1)*(Skills!T15*(1+Inputs!$B$34/100))+MIN((Skills!T15*(1+Inputs!$B$34/100)),MAX(0,Inputs!$B$43-((R784-1)*Skills!D15))))/Inputs!$B$43),IF(Inputs!$B$38="pvp",MIN((Skills!T15*(1+Inputs!$B$34/100)),15)/15,(Skills!T15*(1+Inputs!$B$34/100))/Skills!D15)))+((C799=TRUE)*(F799-Calc!F30)))/100)*I777)</f>
        <v/>
      </c>
      <c r="L777">
        <f>K777*(MIN(Inputs!$B$22+((C793=TRUE)*(F793-Calc!F24)),Inputs!$B$23+((C798=TRUE)*(F798-Calc!F29)))/100+(Inputs!$B$23+((C798=TRUE)*(F798-Calc!F29)))/100)/2</f>
        <v/>
      </c>
      <c r="M777">
        <f>L777*(1+(Inputs!$B$10+0+B807)/100)</f>
        <v/>
      </c>
      <c r="N777">
        <f>L777*(1-MIN((Inputs!$B$9+((C789=TRUE)*(F789-Calc!F20))+B802),100)/100)+M777*(MIN((Inputs!$B$9+((C789=TRUE)*(F789-Calc!F20))+B802),100)/100)</f>
        <v/>
      </c>
      <c r="O777">
        <f>(1-Summary!$B$55)*T777+Summary!$B$55*V777</f>
        <v/>
      </c>
      <c r="P777">
        <f>IF(B812=0,0,O777/B812)</f>
        <v/>
      </c>
      <c r="Q777">
        <f>IFERROR(1/IF(Inputs!$B$38="pvp",15,MAX(0.1,Skills!D8-IF(Skills!E8=TRUE,Inputs!$B$32,0))),0)</f>
        <v/>
      </c>
      <c r="R777">
        <f>IF(AND(Inputs!$B$38&lt;&gt;"pvp",Inputs!$B$43&gt;0),IF(MAX(0,Inputs!$B$43-B809)&lt;=0,0,(INT(MAX(0,Inputs!$B$43-B809)/IF(Inputs!$B$38="pvp",15,MAX(0.1,Skills!D8-IF(Skills!E8=TRUE,Inputs!$B$32,0))))+1)),0)</f>
        <v/>
      </c>
      <c r="S777">
        <f>IFERROR(O777/N777,0)</f>
        <v/>
      </c>
      <c r="T777">
        <f>IF(C777,(H777*N777*IF(AND(Inputs!$B$38&lt;&gt;"pvp",Inputs!$B$43&gt;0),((Skills!G8*((R777-1)*IF(Skills!H8&gt;0,Skills!I8/Skills!H8,1)+IF(Skills!H8&gt;0,MIN(Skills!I8,MAX(0,MAX(0,Inputs!$B$43-B809)-((R777-1)*IF(Inputs!$B$38="pvp",15,MAX(0.1,Skills!D8-IF(Skills!E8=TRUE,Inputs!$B$32,0))))))/Skills!H8,1)))/Inputs!$B$43),G777*Q777))*IF(Inputs!$B$38="pvp",1,1+(Inputs!$B$20+0+Skills!P8)/100),0)</f>
        <v/>
      </c>
      <c r="V777">
        <f>IF(C777,(H777*N777*IF(AND(Inputs!$B$38&lt;&gt;"pvp",Inputs!$B$43&gt;0),((Skills!G8*((R777-1)*IF(Skills!H8&gt;0,Skills!I8/Skills!H8,1)+IF(Skills!H8&gt;0,MIN(Skills!I8,MAX(0,MAX(0,Inputs!$B$43-B809)-((R777-1)*IF(Inputs!$B$38="pvp",15,MAX(0.1,Skills!D8-IF(Skills!E8=TRUE,Inputs!$B$32,0))))))/Skills!H8,1)))/Inputs!$B$43),G777*Q777))*IF(Inputs!$B$38="pvp",1,(1+(Inputs!$B$21+Skills!Q8)/100)*(MIN(Skills!R8,Inputs!$B$37))),0)</f>
        <v/>
      </c>
    </row>
    <row r="778">
      <c r="A778">
        <f>Skills!A9</f>
        <v/>
      </c>
      <c r="B778">
        <f>Skills!B9</f>
        <v/>
      </c>
      <c r="C778">
        <f>Inputs!$B$3&gt;=63</f>
        <v/>
      </c>
      <c r="D778">
        <f>IF(Skills!C9=1,60+(Inputs!$B$25+1)+Inputs!$B$29,IF(Skills!C9=2,90+Inputs!$B$26+Inputs!$B$29,IF(Skills!C9=3,120+Inputs!$B$27+Inputs!$B$29,MAX(0,(Inputs!$B$3-100)*3)+Inputs!$B$28+Inputs!$B$29)))</f>
        <v/>
      </c>
      <c r="E778">
        <f>INDEX(FactorTable!$B$2:$Y$301, MATCH(ROUND(MIN(300,MAX(1,D778)),0), FactorTable!$A$2:$A$301,0), Skills!M9+1)</f>
        <v/>
      </c>
      <c r="F778">
        <f>IF(Skills!N9=TRUE,(Skills!L9/10)*(E778/1000),Skills!L9/10)+Skills!O9</f>
        <v/>
      </c>
      <c r="G778">
        <f>Skills!G9*IF(Skills!H9&gt;0,Skills!I9/Skills!H9,1)</f>
        <v/>
      </c>
      <c r="H778">
        <f>1-(1-Skills!J9/100)^Skills!K9</f>
        <v/>
      </c>
      <c r="I778" t="inlineStr">
        <is>
          <t>1</t>
        </is>
      </c>
      <c r="J778">
        <f>((Inputs!$B$6*(1+Inputs!$B$7/100))+(((Inputs!$B$12*(1+Inputs!$B$13/100))-(Inputs!$B$12*(1+Inputs!$B$13/100)))+0.25*(Inputs!$B$14-Inputs!$B$14))*(1+Inputs!$B$7/100))*(F778/100)</f>
        <v/>
      </c>
      <c r="K778">
        <f>J778*(1+((Inputs!$B$12*(1+Inputs!$B$13/100))*0.01+Inputs!$B$14*0.0025)/100)*(1+Inputs!$B$15/100)*(1+Inputs!$B$16/100)*(5000/(6000+Inputs!$B$42*(1-(Inputs!$B$19+((C796=TRUE)*(F796-Calc!F27)))/100)))*(1+(Inputs!$B$24+((C794=TRUE)*(F794-Calc!F25))+((C795=TRUE)*(F795-Calc!F26))+B808)/100)*(1+1.0*IF(C779=TRUE,F779,0)/100)*(1+(IF(Skills!A9="ARROW_STREAM",Inputs!$B$17+((C792=TRUE)*(F792-Calc!F23)),Inputs!$B$18+((C797=TRUE)*(F797-Calc!F28))))/100)*((1+(((C782=TRUE)*F782)+((C783=TRUE)*IF(Inputs!$B$38="pvp",F783,(1-Summary!$B$55)*(F783)+Summary!$B$55*(0)))+((C784=TRUE)*F784*IF(AND(Inputs!$B$38&lt;&gt;"pvp",Inputs!$B$43&gt;0),(((R784-1)*(Skills!T15*(1+Inputs!$B$34/100))+MIN((Skills!T15*(1+Inputs!$B$34/100)),MAX(0,Inputs!$B$43-((R784-1)*Skills!D15))))/Inputs!$B$43),IF(Inputs!$B$38="pvp",MIN((Skills!T15*(1+Inputs!$B$34/100)),15)/15,(Skills!T15*(1+Inputs!$B$34/100))/Skills!D15)))+((C799=TRUE)*(F799-Calc!F30)))/100)*I778)</f>
        <v/>
      </c>
      <c r="L778">
        <f>K778*(MIN(Inputs!$B$22+((C793=TRUE)*(F793-Calc!F24)),Inputs!$B$23+((C798=TRUE)*(F798-Calc!F29)))/100+(Inputs!$B$23+((C798=TRUE)*(F798-Calc!F29)))/100)/2</f>
        <v/>
      </c>
      <c r="M778">
        <f>L778*(1+(Inputs!$B$10+0+B807)/100)</f>
        <v/>
      </c>
      <c r="N778">
        <f>L778*(1-MIN((Inputs!$B$9+((C789=TRUE)*(F789-Calc!F20))+B802),100)/100)+M778*(MIN((Inputs!$B$9+((C789=TRUE)*(F789-Calc!F20))+B802),100)/100)</f>
        <v/>
      </c>
      <c r="O778">
        <f>(1-Summary!$B$55)*T778+Summary!$B$55*V778</f>
        <v/>
      </c>
      <c r="P778">
        <f>IF(B812=0,0,O778/B812)</f>
        <v/>
      </c>
      <c r="Q778">
        <f>IFERROR(1/IF(Inputs!$B$38="pvp",15,MAX(0.1,Skills!D9-IF(Skills!E9=TRUE,Inputs!$B$32,0))),0)</f>
        <v/>
      </c>
      <c r="R778">
        <f>IF(AND(Inputs!$B$38&lt;&gt;"pvp",Inputs!$B$43&gt;0),IF(MAX(0,Inputs!$B$43-B809)&lt;=0,0,(INT(MAX(0,Inputs!$B$43-B809)/IF(Inputs!$B$38="pvp",15,MAX(0.1,Skills!D9-IF(Skills!E9=TRUE,Inputs!$B$32,0))))+1)),0)</f>
        <v/>
      </c>
      <c r="S778">
        <f>IFERROR(O778/N778,0)</f>
        <v/>
      </c>
      <c r="T778">
        <f>IF(C778,(H778*N778*IF(AND(Inputs!$B$38&lt;&gt;"pvp",Inputs!$B$43&gt;0),((Skills!G9*((R778-1)*IF(Skills!H9&gt;0,Skills!I9/Skills!H9,1)+IF(Skills!H9&gt;0,MIN(Skills!I9,MAX(0,MAX(0,Inputs!$B$43-B809)-((R778-1)*IF(Inputs!$B$38="pvp",15,MAX(0.1,Skills!D9-IF(Skills!E9=TRUE,Inputs!$B$32,0))))))/Skills!H9,1)))/Inputs!$B$43),G778*Q778))*IF(Inputs!$B$38="pvp",1,1+(Inputs!$B$20+0+Skills!P9)/100),0)</f>
        <v/>
      </c>
      <c r="V778">
        <f>IF(C778,(H778*N778*IF(AND(Inputs!$B$38&lt;&gt;"pvp",Inputs!$B$43&gt;0),((Skills!G9*((R778-1)*IF(Skills!H9&gt;0,Skills!I9/Skills!H9,1)+IF(Skills!H9&gt;0,MIN(Skills!I9,MAX(0,MAX(0,Inputs!$B$43-B809)-((R778-1)*IF(Inputs!$B$38="pvp",15,MAX(0.1,Skills!D9-IF(Skills!E9=TRUE,Inputs!$B$32,0))))))/Skills!H9,1)))/Inputs!$B$43),G778*Q778))*IF(Inputs!$B$38="pvp",1,(1+(Inputs!$B$21+Skills!Q9)/100)*(MIN(Skills!R9,Inputs!$B$37))),0)</f>
        <v/>
      </c>
    </row>
    <row r="779">
      <c r="A779">
        <f>Skills!A10</f>
        <v/>
      </c>
      <c r="B779">
        <f>Skills!B10</f>
        <v/>
      </c>
      <c r="C779">
        <f>Inputs!$B$3&gt;=100</f>
        <v/>
      </c>
      <c r="D779">
        <f>IF(Skills!C10=1,60+(Inputs!$B$25+1)+Inputs!$B$29,IF(Skills!C10=2,90+Inputs!$B$26+Inputs!$B$29,IF(Skills!C10=3,120+Inputs!$B$27+Inputs!$B$29,MAX(0,(Inputs!$B$3-100)*3)+Inputs!$B$28+Inputs!$B$29)))</f>
        <v/>
      </c>
      <c r="E779">
        <f>INDEX(FactorTable!$B$2:$Y$301, MATCH(ROUND(MIN(300,MAX(1,D779)),0), FactorTable!$A$2:$A$301,0), Skills!M10+1)</f>
        <v/>
      </c>
      <c r="F779">
        <f>IF(Skills!N10=TRUE,(Skills!L10/10)*(E779/1000),Skills!L10/10)+Skills!O10</f>
        <v/>
      </c>
      <c r="G779" t="inlineStr"/>
      <c r="H779" t="inlineStr"/>
      <c r="I779" t="inlineStr">
        <is>
          <t>1</t>
        </is>
      </c>
      <c r="J779" t="inlineStr"/>
      <c r="K779" t="inlineStr"/>
      <c r="L779" t="inlineStr"/>
      <c r="M779" t="inlineStr"/>
      <c r="N779" t="inlineStr"/>
      <c r="O779" t="inlineStr"/>
      <c r="P779" t="inlineStr"/>
      <c r="Q779" t="inlineStr"/>
      <c r="R779" t="inlineStr"/>
      <c r="S779" t="inlineStr"/>
      <c r="T779" t="inlineStr"/>
      <c r="V779" t="inlineStr"/>
    </row>
    <row r="780">
      <c r="A780">
        <f>Skills!A11</f>
        <v/>
      </c>
      <c r="B780">
        <f>Skills!B11</f>
        <v/>
      </c>
      <c r="C780">
        <f>Inputs!$B$3&gt;=60</f>
        <v/>
      </c>
      <c r="D780">
        <f>IF(Skills!C11=1,60+(Inputs!$B$25+1)+Inputs!$B$29,IF(Skills!C11=2,90+Inputs!$B$26+Inputs!$B$29,IF(Skills!C11=3,120+Inputs!$B$27+Inputs!$B$29,MAX(0,(Inputs!$B$3-100)*3)+Inputs!$B$28+Inputs!$B$29)))</f>
        <v/>
      </c>
      <c r="E780">
        <f>INDEX(FactorTable!$B$2:$Y$301, MATCH(ROUND(MIN(300,MAX(1,D780)),0), FactorTable!$A$2:$A$301,0), Skills!M11+1)</f>
        <v/>
      </c>
      <c r="F780">
        <f>IF(Skills!N11=TRUE,(Skills!L11/10)*(E780/1000),Skills!L11/10)+Skills!O11</f>
        <v/>
      </c>
      <c r="G780">
        <f>Skills!G11*IF(Skills!H11&gt;0,Skills!I11/Skills!H11,1)</f>
        <v/>
      </c>
      <c r="H780">
        <f>1-(1-Skills!J11/100)^Skills!K11</f>
        <v/>
      </c>
      <c r="I780" t="inlineStr">
        <is>
          <t>1</t>
        </is>
      </c>
      <c r="J780">
        <f>((Inputs!$B$6*(1+Inputs!$B$7/100))+(((Inputs!$B$12*(1+Inputs!$B$13/100))-(Inputs!$B$12*(1+Inputs!$B$13/100)))+0.25*(Inputs!$B$14-Inputs!$B$14))*(1+Inputs!$B$7/100))*(F780/100)</f>
        <v/>
      </c>
      <c r="K780">
        <f>J780*(1+((Inputs!$B$12*(1+Inputs!$B$13/100))*0.01+Inputs!$B$14*0.0025)/100)*(1+Inputs!$B$15/100)*(1+Inputs!$B$16/100)*(5000/(6000+Inputs!$B$42*(1-(Inputs!$B$19+((C796=TRUE)*(F796-Calc!F27)))/100)))*(1+(Inputs!$B$24+((C794=TRUE)*(F794-Calc!F25))+((C795=TRUE)*(F795-Calc!F26))+B808)/100)*(1+IF(C781=TRUE,F781,0)/100)*(1+(IF(Skills!A11="ARROW_STREAM",Inputs!$B$17+((C792=TRUE)*(F792-Calc!F23)),Inputs!$B$18+((C797=TRUE)*(F797-Calc!F28))))/100)*((1+(((C782=TRUE)*F782)+((C783=TRUE)*IF(Inputs!$B$38="pvp",F783,(1-Summary!$B$55)*(F783)+Summary!$B$55*(0)))+((C784=TRUE)*F784*IF(AND(Inputs!$B$38&lt;&gt;"pvp",Inputs!$B$43&gt;0),(((R784-1)*(Skills!T15*(1+Inputs!$B$34/100))+MIN((Skills!T15*(1+Inputs!$B$34/100)),MAX(0,Inputs!$B$43-((R784-1)*Skills!D15))))/Inputs!$B$43),IF(Inputs!$B$38="pvp",MIN((Skills!T15*(1+Inputs!$B$34/100)),15)/15,(Skills!T15*(1+Inputs!$B$34/100))/Skills!D15)))+((C799=TRUE)*(F799-Calc!F30)))/100)*I780)</f>
        <v/>
      </c>
      <c r="L780">
        <f>K780*(MIN(Inputs!$B$22+((C793=TRUE)*(F793-Calc!F24)),Inputs!$B$23+((C798=TRUE)*(F798-Calc!F29)))/100+(Inputs!$B$23+((C798=TRUE)*(F798-Calc!F29)))/100)/2</f>
        <v/>
      </c>
      <c r="M780">
        <f>L780*(1+(Inputs!$B$10+0+B807)/100)</f>
        <v/>
      </c>
      <c r="N780">
        <f>L780*(1-MIN((Inputs!$B$9+((C789=TRUE)*(F789-Calc!F20))+B802),100)/100)+M780*(MIN((Inputs!$B$9+((C789=TRUE)*(F789-Calc!F20))+B802),100)/100)</f>
        <v/>
      </c>
      <c r="O780">
        <f>(1-Summary!$B$55)*T780+Summary!$B$55*V780</f>
        <v/>
      </c>
      <c r="P780">
        <f>IF(B812=0,0,O780/B812)</f>
        <v/>
      </c>
      <c r="Q780">
        <f>IFERROR(1/IF(Inputs!$B$38="pvp",15,MAX(0.1,Skills!D11-IF(Skills!E11=TRUE,Inputs!$B$32,0))),0)</f>
        <v/>
      </c>
      <c r="R780">
        <f>IF(AND(Inputs!$B$38&lt;&gt;"pvp",Inputs!$B$43&gt;0),IF(MAX(0,Inputs!$B$43-B809)&lt;=0,0,(INT(MAX(0,Inputs!$B$43-B809)/IF(Inputs!$B$38="pvp",15,MAX(0.1,Skills!D11-IF(Skills!E11=TRUE,Inputs!$B$32,0))))+1)),0)</f>
        <v/>
      </c>
      <c r="S780">
        <f>IFERROR(O780/N780,0)</f>
        <v/>
      </c>
      <c r="T780">
        <f>IF(C780,(H780*N780*IF(AND(Inputs!$B$38&lt;&gt;"pvp",Inputs!$B$43&gt;0),((Skills!G11*((R780-1)*IF(Skills!H11&gt;0,Skills!I11/Skills!H11,1)+IF(Skills!H11&gt;0,MIN(Skills!I11,MAX(0,MAX(0,Inputs!$B$43-B809)-((R780-1)*IF(Inputs!$B$38="pvp",15,MAX(0.1,Skills!D11-IF(Skills!E11=TRUE,Inputs!$B$32,0))))))/Skills!H11,1)))/Inputs!$B$43),G780*Q780))*IF(Inputs!$B$38="pvp",1,1+(Inputs!$B$20+0+Skills!P11)/100),0)</f>
        <v/>
      </c>
      <c r="V780">
        <f>IF(C780,(H780*N780*IF(AND(Inputs!$B$38&lt;&gt;"pvp",Inputs!$B$43&gt;0),((Skills!G11*((R780-1)*IF(Skills!H11&gt;0,Skills!I11/Skills!H11,1)+IF(Skills!H11&gt;0,MIN(Skills!I11,MAX(0,MAX(0,Inputs!$B$43-B809)-((R780-1)*IF(Inputs!$B$38="pvp",15,MAX(0.1,Skills!D11-IF(Skills!E11=TRUE,Inputs!$B$32,0))))))/Skills!H11,1)))/Inputs!$B$43),G780*Q780))*IF(Inputs!$B$38="pvp",1,(1+(Inputs!$B$21+Skills!Q11)/100)*(MIN(Skills!R11,Inputs!$B$37))),0)</f>
        <v/>
      </c>
    </row>
    <row r="781">
      <c r="A781">
        <f>Skills!A12</f>
        <v/>
      </c>
      <c r="B781">
        <f>Skills!B12</f>
        <v/>
      </c>
      <c r="C781">
        <f>Inputs!$B$3&gt;=110</f>
        <v/>
      </c>
      <c r="D781">
        <f>IF(Skills!C12=1,60+(Inputs!$B$25+1)+Inputs!$B$29,IF(Skills!C12=2,90+Inputs!$B$26+Inputs!$B$29,IF(Skills!C12=3,120+Inputs!$B$27+Inputs!$B$29,MAX(0,(Inputs!$B$3-100)*3)+Inputs!$B$28+Inputs!$B$29)))</f>
        <v/>
      </c>
      <c r="E781">
        <f>INDEX(FactorTable!$B$2:$Y$301, MATCH(ROUND(MIN(300,MAX(1,D781)),0), FactorTable!$A$2:$A$301,0), Skills!M12+1)</f>
        <v/>
      </c>
      <c r="F781">
        <f>IF(Skills!N12=TRUE,(Skills!L12/10)*(E781/1000),Skills!L12/10)+Skills!O12</f>
        <v/>
      </c>
      <c r="G781" t="inlineStr"/>
      <c r="H781" t="inlineStr"/>
      <c r="I781" t="inlineStr">
        <is>
          <t>1</t>
        </is>
      </c>
      <c r="J781" t="inlineStr"/>
      <c r="K781" t="inlineStr"/>
      <c r="L781" t="inlineStr"/>
      <c r="M781" t="inlineStr"/>
      <c r="N781" t="inlineStr"/>
      <c r="O781" t="inlineStr"/>
      <c r="P781" t="inlineStr"/>
      <c r="Q781" t="inlineStr"/>
      <c r="R781" t="inlineStr"/>
      <c r="S781" t="inlineStr"/>
      <c r="T781" t="inlineStr"/>
      <c r="V781" t="inlineStr"/>
    </row>
    <row r="782">
      <c r="A782">
        <f>Skills!A13</f>
        <v/>
      </c>
      <c r="B782">
        <f>Skills!B13</f>
        <v/>
      </c>
      <c r="C782">
        <f>Inputs!$B$3&gt;=74</f>
        <v/>
      </c>
      <c r="D782">
        <f>IF(Skills!C13=1,60+(Inputs!$B$25+1)+Inputs!$B$29,IF(Skills!C13=2,90+Inputs!$B$26+Inputs!$B$29,IF(Skills!C13=3,120+Inputs!$B$27+Inputs!$B$29,MAX(0,(Inputs!$B$3-100)*3)+Inputs!$B$28+Inputs!$B$29)))</f>
        <v/>
      </c>
      <c r="E782">
        <f>INDEX(FactorTable!$B$2:$Y$301, MATCH(ROUND(MIN(300,MAX(1,D782)),0), FactorTable!$A$2:$A$301,0), Skills!M13+1)</f>
        <v/>
      </c>
      <c r="F782">
        <f>IF(Skills!N13=TRUE,(Skills!L13/10)*(E782/1000),Skills!L13/10)+Skills!O13</f>
        <v/>
      </c>
      <c r="G782">
        <f>Skills!G13*IF(Skills!H13&gt;0,Skills!I13/Skills!H13,1)</f>
        <v/>
      </c>
      <c r="H782">
        <f>1-(1-Skills!J13/100)^Skills!K13</f>
        <v/>
      </c>
      <c r="I782" t="inlineStr">
        <is>
          <t>1</t>
        </is>
      </c>
      <c r="J782" t="inlineStr"/>
      <c r="K782" t="inlineStr"/>
      <c r="L782" t="inlineStr"/>
      <c r="M782" t="inlineStr"/>
      <c r="N782" t="inlineStr"/>
      <c r="O782">
        <f>(1-Summary!$B$55)*T782+Summary!$B$55*V782</f>
        <v/>
      </c>
      <c r="P782">
        <f>IF(B812=0,0,O782/B812)</f>
        <v/>
      </c>
      <c r="Q782" t="n">
        <v>0</v>
      </c>
      <c r="R782" t="n">
        <v>0</v>
      </c>
      <c r="S782">
        <f>IFERROR(O782/N782,0)</f>
        <v/>
      </c>
      <c r="T782" t="n">
        <v>0</v>
      </c>
      <c r="V782" t="n">
        <v>0</v>
      </c>
    </row>
    <row r="783">
      <c r="A783">
        <f>Skills!A14</f>
        <v/>
      </c>
      <c r="B783">
        <f>Skills!B14</f>
        <v/>
      </c>
      <c r="C783">
        <f>Inputs!$B$3&gt;=74</f>
        <v/>
      </c>
      <c r="D783">
        <f>IF(Skills!C14=1,60+(Inputs!$B$25+1)+Inputs!$B$29,IF(Skills!C14=2,90+Inputs!$B$26+Inputs!$B$29,IF(Skills!C14=3,120+Inputs!$B$27+Inputs!$B$29,MAX(0,(Inputs!$B$3-100)*3)+Inputs!$B$28+Inputs!$B$29)))</f>
        <v/>
      </c>
      <c r="E783">
        <f>INDEX(FactorTable!$B$2:$Y$301, MATCH(ROUND(MIN(300,MAX(1,D783)),0), FactorTable!$A$2:$A$301,0), Skills!M14+1)</f>
        <v/>
      </c>
      <c r="F783">
        <f>IF(Skills!N14=TRUE,(Skills!L14/10)*(E783/1000),Skills!L14/10)+Skills!O14</f>
        <v/>
      </c>
      <c r="G783">
        <f>Skills!G14*IF(Skills!H14&gt;0,Skills!I14/Skills!H14,1)</f>
        <v/>
      </c>
      <c r="H783">
        <f>1-(1-Skills!J14/100)^Skills!K14</f>
        <v/>
      </c>
      <c r="I783" t="inlineStr">
        <is>
          <t>1</t>
        </is>
      </c>
      <c r="J783" t="inlineStr"/>
      <c r="K783" t="inlineStr"/>
      <c r="L783" t="inlineStr"/>
      <c r="M783" t="inlineStr"/>
      <c r="N783" t="inlineStr"/>
      <c r="O783">
        <f>(1-Summary!$B$55)*T783+Summary!$B$55*V783</f>
        <v/>
      </c>
      <c r="P783">
        <f>IF(B812=0,0,O783/B812)</f>
        <v/>
      </c>
      <c r="Q783" t="n">
        <v>0</v>
      </c>
      <c r="R783" t="n">
        <v>0</v>
      </c>
      <c r="S783">
        <f>IFERROR(O783/N783,0)</f>
        <v/>
      </c>
      <c r="T783" t="n">
        <v>0</v>
      </c>
      <c r="V783" t="n">
        <v>0</v>
      </c>
    </row>
    <row r="784">
      <c r="A784">
        <f>Skills!A15</f>
        <v/>
      </c>
      <c r="B784">
        <f>Skills!B15</f>
        <v/>
      </c>
      <c r="C784">
        <f>Inputs!$B$3&gt;=117</f>
        <v/>
      </c>
      <c r="D784">
        <f>IF(Skills!C15=1,60+(Inputs!$B$25+1)+Inputs!$B$29,IF(Skills!C15=2,90+Inputs!$B$26+Inputs!$B$29,IF(Skills!C15=3,120+Inputs!$B$27+Inputs!$B$29,MAX(0,(Inputs!$B$3-100)*3)+Inputs!$B$28+Inputs!$B$29)))</f>
        <v/>
      </c>
      <c r="E784">
        <f>INDEX(FactorTable!$B$2:$Y$301, MATCH(ROUND(MIN(300,MAX(1,D784)),0), FactorTable!$A$2:$A$301,0), Skills!M15+1)</f>
        <v/>
      </c>
      <c r="F784">
        <f>IF(Skills!N15=TRUE,(Skills!L15/10)*(E784/1000),Skills!L15/10)+Skills!O15</f>
        <v/>
      </c>
      <c r="G784">
        <f>Skills!G15*IF(Skills!H15&gt;0,Skills!I15/Skills!H15,1)</f>
        <v/>
      </c>
      <c r="H784">
        <f>1-(1-Skills!J15/100)^Skills!K15</f>
        <v/>
      </c>
      <c r="I784" t="inlineStr">
        <is>
          <t>1</t>
        </is>
      </c>
      <c r="J784" t="inlineStr"/>
      <c r="K784" t="inlineStr"/>
      <c r="L784" t="inlineStr"/>
      <c r="M784" t="inlineStr"/>
      <c r="N784" t="inlineStr"/>
      <c r="O784">
        <f>(1-Summary!$B$55)*T784+Summary!$B$55*V784</f>
        <v/>
      </c>
      <c r="P784">
        <f>IF(B812=0,0,O784/B812)</f>
        <v/>
      </c>
      <c r="Q784">
        <f>IFERROR(1/IF(Inputs!$B$38="pvp",15,MAX(0.1,Skills!D15-IF(Skills!E15=TRUE,Inputs!$B$32,0))),0)</f>
        <v/>
      </c>
      <c r="R784">
        <f>IF(AND(Inputs!$B$38&lt;&gt;"pvp",Inputs!$B$43&gt;0),IF(Inputs!$B$43&lt;=0,0,(INT(Inputs!$B$43/IF(Inputs!$B$38="pvp",15,MAX(0.1,Skills!D15-IF(Skills!E15=TRUE,Inputs!$B$32,0))))+1)),0)</f>
        <v/>
      </c>
      <c r="S784">
        <f>IFERROR(O784/N784,0)</f>
        <v/>
      </c>
      <c r="T784" t="n">
        <v>0</v>
      </c>
      <c r="V784" t="n">
        <v>0</v>
      </c>
    </row>
    <row r="785">
      <c r="A785">
        <f>Skills!A16</f>
        <v/>
      </c>
      <c r="B785">
        <f>Skills!B16</f>
        <v/>
      </c>
      <c r="C785">
        <f>Inputs!$B$3&gt;=115</f>
        <v/>
      </c>
      <c r="D785">
        <f>IF(Skills!C16=1,60+(Inputs!$B$25+1)+Inputs!$B$29,IF(Skills!C16=2,90+Inputs!$B$26+Inputs!$B$29,IF(Skills!C16=3,120+Inputs!$B$27+Inputs!$B$29,MAX(0,(Inputs!$B$3-100)*3)+Inputs!$B$28+Inputs!$B$29)))</f>
        <v/>
      </c>
      <c r="E785">
        <f>INDEX(FactorTable!$B$2:$Y$301, MATCH(ROUND(MIN(300,MAX(1,D785)),0), FactorTable!$A$2:$A$301,0), Skills!M16+1)</f>
        <v/>
      </c>
      <c r="F785">
        <f>IF(Skills!N16=TRUE,(Skills!L16/10)*(E785/1000),Skills!L16/10)+Skills!O16</f>
        <v/>
      </c>
      <c r="G785">
        <f>Skills!G16*IF(Skills!H16&gt;0,Skills!I16/Skills!H16,1)</f>
        <v/>
      </c>
      <c r="H785">
        <f>1-(1-Skills!J16/100)^Skills!K16</f>
        <v/>
      </c>
      <c r="I785" t="inlineStr">
        <is>
          <t>1</t>
        </is>
      </c>
      <c r="J785" t="inlineStr"/>
      <c r="K785" t="inlineStr"/>
      <c r="L785" t="inlineStr"/>
      <c r="M785" t="inlineStr"/>
      <c r="N785" t="inlineStr"/>
      <c r="O785">
        <f>(1-Summary!$B$55)*T785+Summary!$B$55*V785</f>
        <v/>
      </c>
      <c r="P785">
        <f>IF(B812=0,0,O785/B812)</f>
        <v/>
      </c>
      <c r="Q785">
        <f>IFERROR(1/IF(Inputs!$B$38="pvp",15,MAX(0.1,Skills!D16-IF(Skills!E16=TRUE,Inputs!$B$32,0))),0)</f>
        <v/>
      </c>
      <c r="R785">
        <f>IF(AND(Inputs!$B$38&lt;&gt;"pvp",Inputs!$B$43&gt;0),IF(Inputs!$B$43&lt;=0,0,(INT(Inputs!$B$43/IF(Inputs!$B$38="pvp",15,MAX(0.1,Skills!D16-IF(Skills!E16=TRUE,Inputs!$B$32,0))))+1)),0)</f>
        <v/>
      </c>
      <c r="S785">
        <f>IFERROR(O785/N785,0)</f>
        <v/>
      </c>
      <c r="T785" t="n">
        <v>0</v>
      </c>
      <c r="V785" t="n">
        <v>0</v>
      </c>
    </row>
    <row r="786">
      <c r="A786">
        <f>Skills!A17</f>
        <v/>
      </c>
      <c r="B786">
        <f>Skills!B17</f>
        <v/>
      </c>
      <c r="C786">
        <f>Inputs!$B$3&gt;=66</f>
        <v/>
      </c>
      <c r="D786">
        <f>IF(Skills!C17=1,60+(Inputs!$B$25+1)+Inputs!$B$29,IF(Skills!C17=2,90+Inputs!$B$26+Inputs!$B$29,IF(Skills!C17=3,120+Inputs!$B$27+Inputs!$B$29,MAX(0,(Inputs!$B$3-100)*3)+Inputs!$B$28+Inputs!$B$29)))</f>
        <v/>
      </c>
      <c r="E786">
        <f>INDEX(FactorTable!$B$2:$Y$301, MATCH(ROUND(MIN(300,MAX(1,D786)),0), FactorTable!$A$2:$A$301,0), Skills!M17+1)</f>
        <v/>
      </c>
      <c r="F786">
        <f>IF(Skills!N17=TRUE,(Skills!L17/10)*(E786/1000),Skills!L17/10)+Skills!O17</f>
        <v/>
      </c>
      <c r="G786">
        <f>Skills!G17*IF(Skills!H17&gt;0,Skills!I17/Skills!H17,1)</f>
        <v/>
      </c>
      <c r="H786">
        <f>1-(1-Skills!J17/100)^Skills!K17</f>
        <v/>
      </c>
      <c r="I786" t="inlineStr">
        <is>
          <t>1</t>
        </is>
      </c>
      <c r="J786" t="inlineStr"/>
      <c r="K786" t="inlineStr"/>
      <c r="L786" t="inlineStr"/>
      <c r="M786" t="inlineStr"/>
      <c r="N786" t="inlineStr"/>
      <c r="O786">
        <f>(1-Summary!$B$55)*T786+Summary!$B$55*V786</f>
        <v/>
      </c>
      <c r="P786">
        <f>IF(B812=0,0,O786/B812)</f>
        <v/>
      </c>
      <c r="Q786" t="n">
        <v>0</v>
      </c>
      <c r="R786" t="n">
        <v>0</v>
      </c>
      <c r="S786">
        <f>IFERROR(O786/N786,0)</f>
        <v/>
      </c>
      <c r="T786" t="n">
        <v>0</v>
      </c>
      <c r="V786" t="n">
        <v>0</v>
      </c>
    </row>
    <row r="787">
      <c r="A787">
        <f>Skills!A18</f>
        <v/>
      </c>
      <c r="B787">
        <f>Skills!B18</f>
        <v/>
      </c>
      <c r="C787">
        <f>Inputs!$B$3&gt;=72</f>
        <v/>
      </c>
      <c r="D787">
        <f>IF(Skills!C18=1,60+(Inputs!$B$25+1)+Inputs!$B$29,IF(Skills!C18=2,90+Inputs!$B$26+Inputs!$B$29,IF(Skills!C18=3,120+Inputs!$B$27+Inputs!$B$29,MAX(0,(Inputs!$B$3-100)*3)+Inputs!$B$28+Inputs!$B$29)))</f>
        <v/>
      </c>
      <c r="E787">
        <f>INDEX(FactorTable!$B$2:$Y$301, MATCH(ROUND(MIN(300,MAX(1,D787)),0), FactorTable!$A$2:$A$301,0), Skills!M18+1)</f>
        <v/>
      </c>
      <c r="F787">
        <f>IF(Skills!N18=TRUE,(Skills!L18/10)*(E787/1000),Skills!L18/10)+Skills!O18</f>
        <v/>
      </c>
      <c r="G787">
        <f>Skills!G18*IF(Skills!H18&gt;0,Skills!I18/Skills!H18,1)</f>
        <v/>
      </c>
      <c r="H787">
        <f>1-(1-Skills!J18/100)^Skills!K18</f>
        <v/>
      </c>
      <c r="I787" t="inlineStr">
        <is>
          <t>1</t>
        </is>
      </c>
      <c r="J787" t="inlineStr"/>
      <c r="K787" t="inlineStr"/>
      <c r="L787" t="inlineStr"/>
      <c r="M787" t="inlineStr"/>
      <c r="N787" t="inlineStr"/>
      <c r="O787">
        <f>(1-Summary!$B$55)*T787+Summary!$B$55*V787</f>
        <v/>
      </c>
      <c r="P787">
        <f>IF(B812=0,0,O787/B812)</f>
        <v/>
      </c>
      <c r="Q787" t="n">
        <v>0</v>
      </c>
      <c r="R787" t="n">
        <v>0</v>
      </c>
      <c r="S787">
        <f>IFERROR(O787/N787,0)</f>
        <v/>
      </c>
      <c r="T787" t="n">
        <v>0</v>
      </c>
      <c r="V787" t="n">
        <v>0</v>
      </c>
    </row>
    <row r="788">
      <c r="A788">
        <f>Skills!A19</f>
        <v/>
      </c>
      <c r="B788">
        <f>Skills!B19</f>
        <v/>
      </c>
      <c r="C788">
        <f>TRUE</f>
        <v/>
      </c>
      <c r="D788">
        <f>IF(Skills!C19=1,60+(Inputs!$B$25+1)+Inputs!$B$29,IF(Skills!C19=2,90+Inputs!$B$26+Inputs!$B$29,IF(Skills!C19=3,120+Inputs!$B$27+Inputs!$B$29,MAX(0,(Inputs!$B$3-100)*3)+Inputs!$B$28+Inputs!$B$29)))</f>
        <v/>
      </c>
      <c r="E788">
        <f>INDEX(FactorTable!$B$2:$Y$301, MATCH(ROUND(MIN(300,MAX(1,D788)),0), FactorTable!$A$2:$A$301,0), Skills!M19+1)</f>
        <v/>
      </c>
      <c r="F788">
        <f>IF(Skills!N19=TRUE,(Skills!L19/10)*(E788/1000),Skills!L19/10)+Skills!O19</f>
        <v/>
      </c>
      <c r="G788">
        <f>Skills!G19*IF(Skills!H19&gt;0,Skills!I19/Skills!H19,1)</f>
        <v/>
      </c>
      <c r="H788">
        <f>1-(1-Skills!J19/100)^Skills!K19</f>
        <v/>
      </c>
      <c r="I788" t="inlineStr">
        <is>
          <t>1</t>
        </is>
      </c>
      <c r="J788" t="inlineStr"/>
      <c r="K788" t="inlineStr"/>
      <c r="L788" t="inlineStr"/>
      <c r="M788" t="inlineStr"/>
      <c r="N788" t="inlineStr"/>
      <c r="O788">
        <f>(1-Summary!$B$55)*T788+Summary!$B$55*V788</f>
        <v/>
      </c>
      <c r="P788">
        <f>IF(B812=0,0,O788/B812)</f>
        <v/>
      </c>
      <c r="Q788">
        <f>IFERROR(1/IF(Inputs!$B$38="pvp",15,MAX(0.1,Skills!D19-IF(Skills!E19=TRUE,Inputs!$B$32,0))),0)</f>
        <v/>
      </c>
      <c r="R788">
        <f>IF(AND(Inputs!$B$38&lt;&gt;"pvp",Inputs!$B$43&gt;0),IF(Inputs!$B$43&lt;=0,0,(INT(Inputs!$B$43/IF(Inputs!$B$38="pvp",15,MAX(0.1,Skills!D19-IF(Skills!E19=TRUE,Inputs!$B$32,0))))+1)),0)</f>
        <v/>
      </c>
      <c r="S788">
        <f>IFERROR(O788/N788,0)</f>
        <v/>
      </c>
      <c r="T788" t="n">
        <v>0</v>
      </c>
      <c r="V788" t="n">
        <v>0</v>
      </c>
    </row>
    <row r="789">
      <c r="A789">
        <f>Skills!A20</f>
        <v/>
      </c>
      <c r="B789">
        <f>Skills!B20</f>
        <v/>
      </c>
      <c r="C789">
        <f>Inputs!$B$3&gt;=15</f>
        <v/>
      </c>
      <c r="D789">
        <f>IF(Skills!C20=1,60+(Inputs!$B$25+1)+Inputs!$B$29,IF(Skills!C20=2,90+Inputs!$B$26+Inputs!$B$29,IF(Skills!C20=3,120+Inputs!$B$27+Inputs!$B$29,MAX(0,(Inputs!$B$3-100)*3)+Inputs!$B$28+Inputs!$B$29)))</f>
        <v/>
      </c>
      <c r="E789">
        <f>INDEX(FactorTable!$B$2:$Y$301, MATCH(ROUND(MIN(300,MAX(1,D789)),0), FactorTable!$A$2:$A$301,0), Skills!M20+1)</f>
        <v/>
      </c>
      <c r="F789">
        <f>IF(Skills!N20=TRUE,(Skills!L20/10)*(E789/1000),Skills!L20/10)+Skills!O20</f>
        <v/>
      </c>
      <c r="G789">
        <f>Skills!G20*IF(Skills!H20&gt;0,Skills!I20/Skills!H20,1)</f>
        <v/>
      </c>
      <c r="H789">
        <f>1-(1-Skills!J20/100)^Skills!K20</f>
        <v/>
      </c>
      <c r="I789" t="inlineStr">
        <is>
          <t>1</t>
        </is>
      </c>
      <c r="J789" t="inlineStr"/>
      <c r="K789" t="inlineStr"/>
      <c r="L789" t="inlineStr"/>
      <c r="M789" t="inlineStr"/>
      <c r="N789" t="inlineStr"/>
      <c r="O789">
        <f>(1-Summary!$B$55)*T789+Summary!$B$55*V789</f>
        <v/>
      </c>
      <c r="P789">
        <f>IF(B812=0,0,O789/B812)</f>
        <v/>
      </c>
      <c r="Q789" t="n">
        <v>0</v>
      </c>
      <c r="R789" t="n">
        <v>0</v>
      </c>
      <c r="S789">
        <f>IFERROR(O789/N789,0)</f>
        <v/>
      </c>
      <c r="T789" t="n">
        <v>0</v>
      </c>
      <c r="V789" t="n">
        <v>0</v>
      </c>
    </row>
    <row r="790">
      <c r="A790">
        <f>Skills!A21</f>
        <v/>
      </c>
      <c r="B790">
        <f>Skills!B21</f>
        <v/>
      </c>
      <c r="C790">
        <f>Inputs!$B$3&gt;=10</f>
        <v/>
      </c>
      <c r="D790">
        <f>IF(Skills!C21=1,60+(Inputs!$B$25+1)+Inputs!$B$29,IF(Skills!C21=2,90+Inputs!$B$26+Inputs!$B$29,IF(Skills!C21=3,120+Inputs!$B$27+Inputs!$B$29,MAX(0,(Inputs!$B$3-100)*3)+Inputs!$B$28+Inputs!$B$29)))</f>
        <v/>
      </c>
      <c r="E790">
        <f>INDEX(FactorTable!$B$2:$Y$301, MATCH(ROUND(MIN(300,MAX(1,D790)),0), FactorTable!$A$2:$A$301,0), Skills!M21+1)</f>
        <v/>
      </c>
      <c r="F790">
        <f>IF(Skills!N21=TRUE,(Skills!L21/10)*(E790/1000),Skills!L21/10)+Skills!O21</f>
        <v/>
      </c>
      <c r="G790">
        <f>Skills!G21*IF(Skills!H21&gt;0,Skills!I21/Skills!H21,1)</f>
        <v/>
      </c>
      <c r="H790">
        <f>1-(1-Skills!J21/100)^Skills!K21</f>
        <v/>
      </c>
      <c r="I790" t="inlineStr">
        <is>
          <t>1</t>
        </is>
      </c>
      <c r="J790" t="inlineStr"/>
      <c r="K790" t="inlineStr"/>
      <c r="L790" t="inlineStr"/>
      <c r="M790" t="inlineStr"/>
      <c r="N790" t="inlineStr"/>
      <c r="O790">
        <f>(1-Summary!$B$55)*T790+Summary!$B$55*V790</f>
        <v/>
      </c>
      <c r="P790">
        <f>IF(B812=0,0,O790/B812)</f>
        <v/>
      </c>
      <c r="Q790" t="n">
        <v>0</v>
      </c>
      <c r="R790" t="n">
        <v>0</v>
      </c>
      <c r="S790">
        <f>IFERROR(O790/N790,0)</f>
        <v/>
      </c>
      <c r="T790" t="n">
        <v>0</v>
      </c>
      <c r="V790" t="n">
        <v>0</v>
      </c>
    </row>
    <row r="791">
      <c r="A791">
        <f>Skills!A22</f>
        <v/>
      </c>
      <c r="B791">
        <f>Skills!B22</f>
        <v/>
      </c>
      <c r="C791">
        <f>Inputs!$B$3&gt;=33</f>
        <v/>
      </c>
      <c r="D791">
        <f>IF(Skills!C22=1,60+(Inputs!$B$25+1)+Inputs!$B$29,IF(Skills!C22=2,90+Inputs!$B$26+Inputs!$B$29,IF(Skills!C22=3,120+Inputs!$B$27+Inputs!$B$29,MAX(0,(Inputs!$B$3-100)*3)+Inputs!$B$28+Inputs!$B$29)))</f>
        <v/>
      </c>
      <c r="E791">
        <f>INDEX(FactorTable!$B$2:$Y$301, MATCH(ROUND(MIN(300,MAX(1,D791)),0), FactorTable!$A$2:$A$301,0), Skills!M22+1)</f>
        <v/>
      </c>
      <c r="F791">
        <f>IF(Skills!N22=TRUE,(Skills!L22/10)*(E791/1000),Skills!L22/10)+Skills!O22</f>
        <v/>
      </c>
      <c r="G791">
        <f>Skills!G22*IF(Skills!H22&gt;0,Skills!I22/Skills!H22,1)</f>
        <v/>
      </c>
      <c r="H791">
        <f>1-(1-Skills!J22/100)^Skills!K22</f>
        <v/>
      </c>
      <c r="I791" t="inlineStr">
        <is>
          <t>1</t>
        </is>
      </c>
      <c r="J791" t="inlineStr"/>
      <c r="K791" t="inlineStr"/>
      <c r="L791" t="inlineStr"/>
      <c r="M791" t="inlineStr"/>
      <c r="N791" t="inlineStr"/>
      <c r="O791">
        <f>(1-Summary!$B$55)*T791+Summary!$B$55*V791</f>
        <v/>
      </c>
      <c r="P791">
        <f>IF(B812=0,0,O791/B812)</f>
        <v/>
      </c>
      <c r="Q791" t="n">
        <v>0</v>
      </c>
      <c r="R791" t="n">
        <v>0</v>
      </c>
      <c r="S791">
        <f>IFERROR(O791/N791,0)</f>
        <v/>
      </c>
      <c r="T791" t="n">
        <v>0</v>
      </c>
      <c r="V791" t="n">
        <v>0</v>
      </c>
    </row>
    <row r="792">
      <c r="A792">
        <f>Skills!A23</f>
        <v/>
      </c>
      <c r="B792">
        <f>Skills!B23</f>
        <v/>
      </c>
      <c r="C792">
        <f>Inputs!$B$3&gt;=38</f>
        <v/>
      </c>
      <c r="D792">
        <f>IF(Skills!C23=1,60+(Inputs!$B$25+1)+Inputs!$B$29,IF(Skills!C23=2,90+Inputs!$B$26+Inputs!$B$29,IF(Skills!C23=3,120+Inputs!$B$27+Inputs!$B$29,MAX(0,(Inputs!$B$3-100)*3)+Inputs!$B$28+Inputs!$B$29)))</f>
        <v/>
      </c>
      <c r="E792">
        <f>INDEX(FactorTable!$B$2:$Y$301, MATCH(ROUND(MIN(300,MAX(1,D792)),0), FactorTable!$A$2:$A$301,0), Skills!M23+1)</f>
        <v/>
      </c>
      <c r="F792">
        <f>IF(Skills!N23=TRUE,(Skills!L23/10)*(E792/1000),Skills!L23/10)+Skills!O23</f>
        <v/>
      </c>
      <c r="G792">
        <f>Skills!G23*IF(Skills!H23&gt;0,Skills!I23/Skills!H23,1)</f>
        <v/>
      </c>
      <c r="H792">
        <f>1-(1-Skills!J23/100)^Skills!K23</f>
        <v/>
      </c>
      <c r="I792" t="inlineStr">
        <is>
          <t>1</t>
        </is>
      </c>
      <c r="J792" t="inlineStr"/>
      <c r="K792" t="inlineStr"/>
      <c r="L792" t="inlineStr"/>
      <c r="M792" t="inlineStr"/>
      <c r="N792" t="inlineStr"/>
      <c r="O792">
        <f>(1-Summary!$B$55)*T792+Summary!$B$55*V792</f>
        <v/>
      </c>
      <c r="P792">
        <f>IF(B812=0,0,O792/B812)</f>
        <v/>
      </c>
      <c r="Q792" t="n">
        <v>0</v>
      </c>
      <c r="R792" t="n">
        <v>0</v>
      </c>
      <c r="S792">
        <f>IFERROR(O792/N792,0)</f>
        <v/>
      </c>
      <c r="T792" t="n">
        <v>0</v>
      </c>
      <c r="V792" t="n">
        <v>0</v>
      </c>
    </row>
    <row r="793">
      <c r="A793">
        <f>Skills!A24</f>
        <v/>
      </c>
      <c r="B793">
        <f>Skills!B24</f>
        <v/>
      </c>
      <c r="C793">
        <f>Inputs!$B$3&gt;=43</f>
        <v/>
      </c>
      <c r="D793">
        <f>IF(Skills!C24=1,60+(Inputs!$B$25+1)+Inputs!$B$29,IF(Skills!C24=2,90+Inputs!$B$26+Inputs!$B$29,IF(Skills!C24=3,120+Inputs!$B$27+Inputs!$B$29,MAX(0,(Inputs!$B$3-100)*3)+Inputs!$B$28+Inputs!$B$29)))</f>
        <v/>
      </c>
      <c r="E793">
        <f>INDEX(FactorTable!$B$2:$Y$301, MATCH(ROUND(MIN(300,MAX(1,D793)),0), FactorTable!$A$2:$A$301,0), Skills!M24+1)</f>
        <v/>
      </c>
      <c r="F793">
        <f>IF(Skills!N24=TRUE,(Skills!L24/10)*(E793/1000),Skills!L24/10)+Skills!O24</f>
        <v/>
      </c>
      <c r="G793">
        <f>Skills!G24*IF(Skills!H24&gt;0,Skills!I24/Skills!H24,1)</f>
        <v/>
      </c>
      <c r="H793">
        <f>1-(1-Skills!J24/100)^Skills!K24</f>
        <v/>
      </c>
      <c r="I793" t="inlineStr">
        <is>
          <t>1</t>
        </is>
      </c>
      <c r="J793" t="inlineStr"/>
      <c r="K793" t="inlineStr"/>
      <c r="L793" t="inlineStr"/>
      <c r="M793" t="inlineStr"/>
      <c r="N793" t="inlineStr"/>
      <c r="O793">
        <f>(1-Summary!$B$55)*T793+Summary!$B$55*V793</f>
        <v/>
      </c>
      <c r="P793">
        <f>IF(B812=0,0,O793/B812)</f>
        <v/>
      </c>
      <c r="Q793" t="n">
        <v>0</v>
      </c>
      <c r="R793" t="n">
        <v>0</v>
      </c>
      <c r="S793">
        <f>IFERROR(O793/N793,0)</f>
        <v/>
      </c>
      <c r="T793" t="n">
        <v>0</v>
      </c>
      <c r="V793" t="n">
        <v>0</v>
      </c>
    </row>
    <row r="794">
      <c r="A794">
        <f>Skills!A25</f>
        <v/>
      </c>
      <c r="B794">
        <f>Skills!B25</f>
        <v/>
      </c>
      <c r="C794">
        <f>Inputs!$B$3&gt;=75</f>
        <v/>
      </c>
      <c r="D794">
        <f>IF(Skills!C25=1,60+(Inputs!$B$25+1)+Inputs!$B$29,IF(Skills!C25=2,90+Inputs!$B$26+Inputs!$B$29,IF(Skills!C25=3,120+Inputs!$B$27+Inputs!$B$29,MAX(0,(Inputs!$B$3-100)*3)+Inputs!$B$28+Inputs!$B$29)))</f>
        <v/>
      </c>
      <c r="E794">
        <f>INDEX(FactorTable!$B$2:$Y$301, MATCH(ROUND(MIN(300,MAX(1,D794)),0), FactorTable!$A$2:$A$301,0), Skills!M25+1)</f>
        <v/>
      </c>
      <c r="F794">
        <f>IF(Skills!N25=TRUE,(Skills!L25/10)*(E794/1000),Skills!L25/10)+Skills!O25</f>
        <v/>
      </c>
      <c r="G794">
        <f>Skills!G25*IF(Skills!H25&gt;0,Skills!I25/Skills!H25,1)</f>
        <v/>
      </c>
      <c r="H794">
        <f>1-(1-Skills!J25/100)^Skills!K25</f>
        <v/>
      </c>
      <c r="I794" t="inlineStr">
        <is>
          <t>1</t>
        </is>
      </c>
      <c r="J794" t="inlineStr"/>
      <c r="K794" t="inlineStr"/>
      <c r="L794" t="inlineStr"/>
      <c r="M794" t="inlineStr"/>
      <c r="N794" t="inlineStr"/>
      <c r="O794">
        <f>(1-Summary!$B$55)*T794+Summary!$B$55*V794</f>
        <v/>
      </c>
      <c r="P794">
        <f>IF(B812=0,0,O794/B812)</f>
        <v/>
      </c>
      <c r="Q794" t="n">
        <v>0</v>
      </c>
      <c r="R794" t="n">
        <v>0</v>
      </c>
      <c r="S794">
        <f>IFERROR(O794/N794,0)</f>
        <v/>
      </c>
      <c r="T794" t="n">
        <v>0</v>
      </c>
      <c r="V794" t="n">
        <v>0</v>
      </c>
    </row>
    <row r="795">
      <c r="A795">
        <f>Skills!A26</f>
        <v/>
      </c>
      <c r="B795">
        <f>Skills!B26</f>
        <v/>
      </c>
      <c r="C795">
        <f>Inputs!$B$3&gt;=125</f>
        <v/>
      </c>
      <c r="D795">
        <f>IF(Skills!C26=1,60+(Inputs!$B$25+1)+Inputs!$B$29,IF(Skills!C26=2,90+Inputs!$B$26+Inputs!$B$29,IF(Skills!C26=3,120+Inputs!$B$27+Inputs!$B$29,MAX(0,(Inputs!$B$3-100)*3)+Inputs!$B$28+Inputs!$B$29)))</f>
        <v/>
      </c>
      <c r="E795">
        <f>INDEX(FactorTable!$B$2:$Y$301, MATCH(ROUND(MIN(300,MAX(1,D795)),0), FactorTable!$A$2:$A$301,0), Skills!M26+1)</f>
        <v/>
      </c>
      <c r="F795">
        <f>IF(Skills!N26=TRUE,(Skills!L26/10)*(E795/1000),Skills!L26/10)+Skills!O26</f>
        <v/>
      </c>
      <c r="G795">
        <f>Skills!G26*IF(Skills!H26&gt;0,Skills!I26/Skills!H26,1)</f>
        <v/>
      </c>
      <c r="H795">
        <f>1-(1-Skills!J26/100)^Skills!K26</f>
        <v/>
      </c>
      <c r="I795" t="inlineStr">
        <is>
          <t>1</t>
        </is>
      </c>
      <c r="J795" t="inlineStr"/>
      <c r="K795" t="inlineStr"/>
      <c r="L795" t="inlineStr"/>
      <c r="M795" t="inlineStr"/>
      <c r="N795" t="inlineStr"/>
      <c r="O795">
        <f>(1-Summary!$B$55)*T795+Summary!$B$55*V795</f>
        <v/>
      </c>
      <c r="P795">
        <f>IF(B812=0,0,O795/B812)</f>
        <v/>
      </c>
      <c r="Q795" t="n">
        <v>0</v>
      </c>
      <c r="R795" t="n">
        <v>0</v>
      </c>
      <c r="S795">
        <f>IFERROR(O795/N795,0)</f>
        <v/>
      </c>
      <c r="T795" t="n">
        <v>0</v>
      </c>
      <c r="V795" t="n">
        <v>0</v>
      </c>
    </row>
    <row r="796">
      <c r="A796">
        <f>Skills!A27</f>
        <v/>
      </c>
      <c r="B796">
        <f>Skills!B27</f>
        <v/>
      </c>
      <c r="C796">
        <f>Inputs!$B$3&gt;=125</f>
        <v/>
      </c>
      <c r="D796">
        <f>IF(Skills!C27=1,60+(Inputs!$B$25+1)+Inputs!$B$29,IF(Skills!C27=2,90+Inputs!$B$26+Inputs!$B$29,IF(Skills!C27=3,120+Inputs!$B$27+Inputs!$B$29,MAX(0,(Inputs!$B$3-100)*3)+Inputs!$B$28+Inputs!$B$29)))</f>
        <v/>
      </c>
      <c r="E796">
        <f>INDEX(FactorTable!$B$2:$Y$301, MATCH(ROUND(MIN(300,MAX(1,D796)),0), FactorTable!$A$2:$A$301,0), Skills!M27+1)</f>
        <v/>
      </c>
      <c r="F796">
        <f>IF(Skills!N27=TRUE,(Skills!L27/10)*(E796/1000),Skills!L27/10)+Skills!O27</f>
        <v/>
      </c>
      <c r="G796">
        <f>Skills!G27*IF(Skills!H27&gt;0,Skills!I27/Skills!H27,1)</f>
        <v/>
      </c>
      <c r="H796">
        <f>1-(1-Skills!J27/100)^Skills!K27</f>
        <v/>
      </c>
      <c r="I796" t="inlineStr">
        <is>
          <t>1</t>
        </is>
      </c>
      <c r="J796" t="inlineStr"/>
      <c r="K796" t="inlineStr"/>
      <c r="L796" t="inlineStr"/>
      <c r="M796" t="inlineStr"/>
      <c r="N796" t="inlineStr"/>
      <c r="O796">
        <f>(1-Summary!$B$55)*T796+Summary!$B$55*V796</f>
        <v/>
      </c>
      <c r="P796">
        <f>IF(B812=0,0,O796/B812)</f>
        <v/>
      </c>
      <c r="Q796" t="n">
        <v>0</v>
      </c>
      <c r="R796" t="n">
        <v>0</v>
      </c>
      <c r="S796">
        <f>IFERROR(O796/N796,0)</f>
        <v/>
      </c>
      <c r="T796" t="n">
        <v>0</v>
      </c>
      <c r="V796" t="n">
        <v>0</v>
      </c>
    </row>
    <row r="797">
      <c r="A797">
        <f>Skills!A28</f>
        <v/>
      </c>
      <c r="B797">
        <f>Skills!B28</f>
        <v/>
      </c>
      <c r="C797">
        <f>Inputs!$B$3&gt;=120</f>
        <v/>
      </c>
      <c r="D797">
        <f>IF(Skills!C28=1,60+(Inputs!$B$25+1)+Inputs!$B$29,IF(Skills!C28=2,90+Inputs!$B$26+Inputs!$B$29,IF(Skills!C28=3,120+Inputs!$B$27+Inputs!$B$29,MAX(0,(Inputs!$B$3-100)*3)+Inputs!$B$28+Inputs!$B$29)))</f>
        <v/>
      </c>
      <c r="E797">
        <f>INDEX(FactorTable!$B$2:$Y$301, MATCH(ROUND(MIN(300,MAX(1,D797)),0), FactorTable!$A$2:$A$301,0), Skills!M28+1)</f>
        <v/>
      </c>
      <c r="F797">
        <f>IF(Skills!N28=TRUE,(Skills!L28/10)*(E797/1000),Skills!L28/10)+Skills!O28</f>
        <v/>
      </c>
      <c r="G797">
        <f>Skills!G28*IF(Skills!H28&gt;0,Skills!I28/Skills!H28,1)</f>
        <v/>
      </c>
      <c r="H797">
        <f>1-(1-Skills!J28/100)^Skills!K28</f>
        <v/>
      </c>
      <c r="I797" t="inlineStr">
        <is>
          <t>1</t>
        </is>
      </c>
      <c r="J797" t="inlineStr"/>
      <c r="K797" t="inlineStr"/>
      <c r="L797" t="inlineStr"/>
      <c r="M797" t="inlineStr"/>
      <c r="N797" t="inlineStr"/>
      <c r="O797">
        <f>(1-Summary!$B$55)*T797+Summary!$B$55*V797</f>
        <v/>
      </c>
      <c r="P797">
        <f>IF(B812=0,0,O797/B812)</f>
        <v/>
      </c>
      <c r="Q797" t="n">
        <v>0</v>
      </c>
      <c r="R797" t="n">
        <v>0</v>
      </c>
      <c r="S797">
        <f>IFERROR(O797/N797,0)</f>
        <v/>
      </c>
      <c r="T797" t="n">
        <v>0</v>
      </c>
      <c r="V797" t="n">
        <v>0</v>
      </c>
    </row>
    <row r="798">
      <c r="A798">
        <f>Skills!A29</f>
        <v/>
      </c>
      <c r="B798">
        <f>Skills!B29</f>
        <v/>
      </c>
      <c r="C798">
        <f>Inputs!$B$3&gt;=120</f>
        <v/>
      </c>
      <c r="D798">
        <f>IF(Skills!C29=1,60+(Inputs!$B$25+1)+Inputs!$B$29,IF(Skills!C29=2,90+Inputs!$B$26+Inputs!$B$29,IF(Skills!C29=3,120+Inputs!$B$27+Inputs!$B$29,MAX(0,(Inputs!$B$3-100)*3)+Inputs!$B$28+Inputs!$B$29)))</f>
        <v/>
      </c>
      <c r="E798">
        <f>INDEX(FactorTable!$B$2:$Y$301, MATCH(ROUND(MIN(300,MAX(1,D798)),0), FactorTable!$A$2:$A$301,0), Skills!M29+1)</f>
        <v/>
      </c>
      <c r="F798">
        <f>IF(Skills!N29=TRUE,(Skills!L29/10)*(E798/1000),Skills!L29/10)+Skills!O29</f>
        <v/>
      </c>
      <c r="G798">
        <f>Skills!G29*IF(Skills!H29&gt;0,Skills!I29/Skills!H29,1)</f>
        <v/>
      </c>
      <c r="H798">
        <f>1-(1-Skills!J29/100)^Skills!K29</f>
        <v/>
      </c>
      <c r="I798" t="inlineStr">
        <is>
          <t>1</t>
        </is>
      </c>
      <c r="J798" t="inlineStr"/>
      <c r="K798" t="inlineStr"/>
      <c r="L798" t="inlineStr"/>
      <c r="M798" t="inlineStr"/>
      <c r="N798" t="inlineStr"/>
      <c r="O798">
        <f>(1-Summary!$B$55)*T798+Summary!$B$55*V798</f>
        <v/>
      </c>
      <c r="P798">
        <f>IF(B812=0,0,O798/B812)</f>
        <v/>
      </c>
      <c r="Q798" t="n">
        <v>0</v>
      </c>
      <c r="R798" t="n">
        <v>0</v>
      </c>
      <c r="S798">
        <f>IFERROR(O798/N798,0)</f>
        <v/>
      </c>
      <c r="T798" t="n">
        <v>0</v>
      </c>
      <c r="V798" t="n">
        <v>0</v>
      </c>
    </row>
    <row r="799">
      <c r="A799">
        <f>Skills!A30</f>
        <v/>
      </c>
      <c r="B799">
        <f>Skills!B30</f>
        <v/>
      </c>
      <c r="C799">
        <f>Inputs!$B$3&gt;=45</f>
        <v/>
      </c>
      <c r="D799">
        <f>IF(Skills!C30=1,60+(Inputs!$B$25+1)+Inputs!$B$29,IF(Skills!C30=2,90+Inputs!$B$26+Inputs!$B$29,IF(Skills!C30=3,120+Inputs!$B$27+Inputs!$B$29,MAX(0,(Inputs!$B$3-100)*3)+Inputs!$B$28+Inputs!$B$29)))</f>
        <v/>
      </c>
      <c r="E799">
        <f>INDEX(FactorTable!$B$2:$Y$301, MATCH(ROUND(MIN(300,MAX(1,D799)),0), FactorTable!$A$2:$A$301,0), Skills!M30+1)</f>
        <v/>
      </c>
      <c r="F799">
        <f>IF(Skills!N30=TRUE,(Skills!L30/10)*(E799/1000),Skills!L30/10)+Skills!O30</f>
        <v/>
      </c>
      <c r="G799">
        <f>Skills!G30*IF(Skills!H30&gt;0,Skills!I30/Skills!H30,1)</f>
        <v/>
      </c>
      <c r="H799">
        <f>1-(1-Skills!J30/100)^Skills!K30</f>
        <v/>
      </c>
      <c r="I799" t="inlineStr">
        <is>
          <t>1</t>
        </is>
      </c>
      <c r="J799" t="inlineStr"/>
      <c r="K799" t="inlineStr"/>
      <c r="L799" t="inlineStr"/>
      <c r="M799" t="inlineStr"/>
      <c r="N799" t="inlineStr"/>
      <c r="O799">
        <f>(1-Summary!$B$55)*T799+Summary!$B$55*V799</f>
        <v/>
      </c>
      <c r="P799">
        <f>IF(B812=0,0,O799/B812)</f>
        <v/>
      </c>
      <c r="Q799" t="n">
        <v>0</v>
      </c>
      <c r="R799" t="n">
        <v>0</v>
      </c>
      <c r="S799">
        <f>IFERROR(O799/N799,0)</f>
        <v/>
      </c>
      <c r="T799" t="n">
        <v>0</v>
      </c>
      <c r="V799" t="n">
        <v>0</v>
      </c>
    </row>
    <row r="801">
      <c r="A801" t="inlineStr">
        <is>
          <t>Attack% Bucket Multiplier</t>
        </is>
      </c>
      <c r="B801">
        <f>(1+(((C782=TRUE)*F782)+((C783=TRUE)*IF(Inputs!$B$38="pvp",F783,(1-Summary!$B$55)*(F783)+Summary!$B$55*(0)))+((C784=TRUE)*F784*IF(AND(Inputs!$B$38&lt;&gt;"pvp",Inputs!$B$43&gt;0),(((R784-1)*(Skills!T15*(1+Inputs!$B$34/100))+MIN((Skills!T15*(1+Inputs!$B$34/100)),MAX(0,Inputs!$B$43-((R784-1)*Skills!D15))))/Inputs!$B$43),IF(Inputs!$B$38="pvp",MIN((Skills!T15*(1+Inputs!$B$34/100)),15)/15,(Skills!T15*(1+Inputs!$B$34/100))/Skills!D15)))+((C799=TRUE)*(F799-Calc!F30)))/100)</f>
        <v/>
      </c>
    </row>
    <row r="802">
      <c r="A802" t="inlineStr">
        <is>
          <t>Global Crit Rate Bonus %</t>
        </is>
      </c>
      <c r="B802">
        <f>(C785=TRUE)*20*IF(AND(Inputs!$B$38&lt;&gt;"pvp",Inputs!$B$43&gt;0),(((R785-1)*(Skills!T16*(1+Inputs!$B$34/100))+MIN((Skills!T16*(1+Inputs!$B$34/100)),MAX(0,Inputs!$B$43-((R785-1)*Skills!D16))))/Inputs!$B$43),IF(Inputs!$B$38="pvp",MIN((Skills!T16*(1+Inputs!$B$34/100)),15)/15,(Skills!T16*(1+Inputs!$B$34/100))/Skills!D16))</f>
        <v/>
      </c>
    </row>
    <row r="803">
      <c r="A803" t="inlineStr">
        <is>
          <t>Attack Speed Buff Bonus %</t>
        </is>
      </c>
      <c r="B803">
        <f>((C788=TRUE)*F788*IF(AND(Inputs!$B$38&lt;&gt;"pvp",Inputs!$B$43&gt;0),(((R788-1)*(Skills!T19*(1+Inputs!$B$34/100))+MIN((Skills!T19*(1+Inputs!$B$34/100)),MAX(0,Inputs!$B$43-((R788-1)*Skills!D19))))/Inputs!$B$43),IF(Inputs!$B$38="pvp",MIN((Skills!T19*(1+Inputs!$B$34/100)),15)/15,(Skills!T19*(1+Inputs!$B$34/100))/Skills!D19)))</f>
        <v/>
      </c>
    </row>
    <row r="804">
      <c r="A804" t="inlineStr">
        <is>
          <t>Actions Per Second</t>
        </is>
      </c>
      <c r="B804">
        <f>1+MIN(150,150*(1-(1-(Inputs!$B$11+((C790=TRUE)*(F790-Calc!F21))+((C791=TRUE)*(F791-Calc!F22)))/150)*(1-B803/150)))/100</f>
        <v/>
      </c>
    </row>
    <row r="805">
      <c r="A805" t="inlineStr">
        <is>
          <t>Skill + Buff Cast Rate</t>
        </is>
      </c>
      <c r="B805">
        <f>IF(AND(Inputs!$B$38&lt;&gt;"pvp",Inputs!$B$43&gt;0),SUMPRODUCT((Skills!E2:E30=TRUE)*(C771:C799=TRUE)*R771:R799*Skills!F2:F30)/Inputs!$B$43,SUMPRODUCT((Skills!E2:E30=TRUE)*(C771:C799=TRUE)*Q771:Q799*Skills!F2:F30))</f>
        <v/>
      </c>
    </row>
    <row r="806">
      <c r="A806" t="inlineStr">
        <is>
          <t>Arrow Stream Casts Per Second</t>
        </is>
      </c>
      <c r="B806">
        <f>MAX(0,B804-B805)</f>
        <v/>
      </c>
    </row>
    <row r="807">
      <c r="A807" t="inlineStr">
        <is>
          <t>Global Critical Damage Bonus % (Sharp Eyes + Concentration)</t>
        </is>
      </c>
      <c r="B807">
        <f>(C785=TRUE)*F785*IF(AND(Inputs!$B$38&lt;&gt;"pvp",Inputs!$B$43&gt;0),(((R785-1)*(Skills!T16*(1+Inputs!$B$34/100))+MIN((Skills!T16*(1+Inputs!$B$34/100)),MAX(0,Inputs!$B$43-((R785-1)*Skills!D16))))/Inputs!$B$43),IF(Inputs!$B$38="pvp",MIN((Skills!T16*(1+Inputs!$B$34/100)),15)/15,(Skills!T16*(1+Inputs!$B$34/100))/Skills!D16))+(C786=TRUE)*30</f>
        <v/>
      </c>
    </row>
    <row r="808">
      <c r="A808" t="inlineStr">
        <is>
          <t>Global Final Damage Bonus % (Mortal Blow)</t>
        </is>
      </c>
      <c r="B808">
        <f>(C787=TRUE)*F787</f>
        <v/>
      </c>
    </row>
    <row r="809">
      <c r="A809" t="inlineStr">
        <is>
          <t>Buff-Casting Startup Delay (s, fixed-duration only)</t>
        </is>
      </c>
      <c r="B809">
        <f>IF(AND(Inputs!$B$38&lt;&gt;"pvp",Inputs!$B$43&gt;0),SUMPRODUCT((Skills!T2:T30&gt;0)*(Skills!E2:E30=TRUE)*(C771:C799=TRUE))/B804,0)</f>
        <v/>
      </c>
    </row>
    <row r="810">
      <c r="A810" t="inlineStr">
        <is>
          <t>Boss-Only Total DPS (this block's swept value)</t>
        </is>
      </c>
      <c r="B810">
        <f>SUM(T771:T799)</f>
        <v/>
      </c>
    </row>
    <row r="811">
      <c r="A811" t="inlineStr">
        <is>
          <t>Normal-Only Total DPS (this block's swept value)</t>
        </is>
      </c>
      <c r="B811">
        <f>SUM(V771:V799)</f>
        <v/>
      </c>
    </row>
    <row r="812">
      <c r="A812" s="5" t="inlineStr">
        <is>
          <t>TOTAL DPS</t>
        </is>
      </c>
      <c r="B812" s="5">
        <f>SUM(O771:O799)</f>
        <v/>
      </c>
    </row>
    <row r="815">
      <c r="A815" s="5" t="inlineStr">
        <is>
          <t>Stat: Skill Level Bonus — 2nd Job</t>
        </is>
      </c>
    </row>
    <row r="816">
      <c r="A816" s="9" t="inlineStr">
        <is>
          <t>Key</t>
        </is>
      </c>
      <c r="B816" s="9" t="inlineStr">
        <is>
          <t>Name</t>
        </is>
      </c>
      <c r="C816" s="9" t="inlineStr">
        <is>
          <t>Unlocked</t>
        </is>
      </c>
      <c r="D816" s="9" t="inlineStr">
        <is>
          <t>InputLevel</t>
        </is>
      </c>
      <c r="E816" s="9" t="inlineStr">
        <is>
          <t>Factor</t>
        </is>
      </c>
      <c r="F816" s="9" t="inlineStr">
        <is>
          <t>CoefficientPercent</t>
        </is>
      </c>
      <c r="G816" s="9" t="inlineStr">
        <is>
          <t>EffectiveHits</t>
        </is>
      </c>
      <c r="H816" s="9" t="inlineStr">
        <is>
          <t>ProcProbability</t>
        </is>
      </c>
      <c r="I816" s="9" t="inlineStr">
        <is>
          <t>MapleHeroMultiplier</t>
        </is>
      </c>
      <c r="J816" s="9" t="inlineStr">
        <is>
          <t>BaseDamage</t>
        </is>
      </c>
      <c r="K816" s="9" t="inlineStr">
        <is>
          <t>BaseHitDamage</t>
        </is>
      </c>
      <c r="L816" s="9" t="inlineStr">
        <is>
          <t>NonCritAvg</t>
        </is>
      </c>
      <c r="M816" s="9" t="inlineStr">
        <is>
          <t>CritAvg</t>
        </is>
      </c>
      <c r="N816" s="9" t="inlineStr">
        <is>
          <t>ExpectedDamage(perHit)</t>
        </is>
      </c>
      <c r="O816" s="9" t="inlineStr">
        <is>
          <t>DPS</t>
        </is>
      </c>
      <c r="P816" s="9" t="inlineStr">
        <is>
          <t>% of Total</t>
        </is>
      </c>
      <c r="Q816" s="9" t="inlineStr">
        <is>
          <t>InvCooldown</t>
        </is>
      </c>
      <c r="R816" s="9" t="inlineStr">
        <is>
          <t>CastsInFight</t>
        </is>
      </c>
      <c r="S816" s="9" t="inlineStr">
        <is>
          <t>HitRate(perSec)</t>
        </is>
      </c>
      <c r="U816" t="inlineStr">
        <is>
          <t>helpers</t>
        </is>
      </c>
    </row>
    <row r="817">
      <c r="A817">
        <f>Skills!A2</f>
        <v/>
      </c>
      <c r="B817">
        <f>Skills!B2</f>
        <v/>
      </c>
      <c r="C817">
        <f>Inputs!$B$3&gt;=100</f>
        <v/>
      </c>
      <c r="D817" t="inlineStr"/>
      <c r="E817" t="inlineStr"/>
      <c r="F817">
        <f>U819+Skills!O2</f>
        <v/>
      </c>
      <c r="G817">
        <f>Skills!G2*IF(Skills!H2&gt;0,Skills!I2/Skills!H2,1)</f>
        <v/>
      </c>
      <c r="H817">
        <f>1-(1-Skills!J2/100)^Skills!K2</f>
        <v/>
      </c>
      <c r="I817" t="inlineStr">
        <is>
          <t>1</t>
        </is>
      </c>
      <c r="J817">
        <f>((Inputs!$B$6*(1+Inputs!$B$7/100))+(((Inputs!$B$12*(1+Inputs!$B$13/100))-(Inputs!$B$12*(1+Inputs!$B$13/100)))+0.25*(Inputs!$B$14-Inputs!$B$14))*(1+Inputs!$B$7/100))*(F817/100)</f>
        <v/>
      </c>
      <c r="K817">
        <f>J817*(1+((Inputs!$B$12*(1+Inputs!$B$13/100))*0.01+Inputs!$B$14*0.0025)/100)*(1+Inputs!$B$15/100)*(1+Inputs!$B$16/100)*(5000/(6000+Inputs!$B$42*(1-(Inputs!$B$19+((C842=TRUE)*(F842-Calc!F27)))/100)))*(1+(Inputs!$B$24+((C840=TRUE)*(F840-Calc!F25))+((C841=TRUE)*(F841-Calc!F26))+B854)/100)*(1+(IF(Skills!A2="ARROW_STREAM",Inputs!$B$17+((C838=TRUE)*(F838-Calc!F23)),Inputs!$B$18+((C843=TRUE)*(F843-Calc!F28))))/100)*((1+(((C828=TRUE)*F828)+((C829=TRUE)*IF(Inputs!$B$38="pvp",F829,(1-Summary!$B$55)*(F829)+Summary!$B$55*(0)))+((C830=TRUE)*F830*IF(AND(Inputs!$B$38&lt;&gt;"pvp",Inputs!$B$43&gt;0),(((R830-1)*(Skills!T15*(1+Inputs!$B$34/100))+MIN((Skills!T15*(1+Inputs!$B$34/100)),MAX(0,Inputs!$B$43-((R830-1)*Skills!D15))))/Inputs!$B$43),IF(Inputs!$B$38="pvp",MIN((Skills!T15*(1+Inputs!$B$34/100)),15)/15,(Skills!T15*(1+Inputs!$B$34/100))/Skills!D15)))+((C845=TRUE)*(F845-Calc!F30)))/100)*I817)</f>
        <v/>
      </c>
      <c r="L817">
        <f>K817*(MIN(Inputs!$B$22+((C839=TRUE)*(F839-Calc!F24)),Inputs!$B$23+((C844=TRUE)*(F844-Calc!F29)))/100+(Inputs!$B$23+((C844=TRUE)*(F844-Calc!F29)))/100)/2</f>
        <v/>
      </c>
      <c r="M817">
        <f>L817*(1+(Inputs!$B$10+0+B853)/100)</f>
        <v/>
      </c>
      <c r="N817">
        <f>L817*(1-MIN((Inputs!$B$9+((C835=TRUE)*(F835-Calc!F20))+B848),100)/100)+M817*(MIN((Inputs!$B$9+((C835=TRUE)*(F835-Calc!F20))+B848),100)/100)</f>
        <v/>
      </c>
      <c r="O817">
        <f>(1-Summary!$B$55)*T817+Summary!$B$55*V817</f>
        <v/>
      </c>
      <c r="P817">
        <f>IF(B858=0,0,O817/B858)</f>
        <v/>
      </c>
      <c r="Q817" t="n">
        <v>0</v>
      </c>
      <c r="R817" t="n">
        <v>0</v>
      </c>
      <c r="S817">
        <f>IFERROR(O817/N817,0)</f>
        <v/>
      </c>
      <c r="T817">
        <f>IF(C817,(Skills!G2*N817*B852)*IF(Inputs!$B$38="pvp",1,1+(Inputs!$B$20+0+Skills!P2)/100),0)</f>
        <v/>
      </c>
      <c r="U817">
        <f>MAX(0,(Inputs!$B$3-100)*3)+Inputs!$B$28+Inputs!$B$29</f>
        <v/>
      </c>
      <c r="V817">
        <f>IF(C817,(Skills!G2*N817*B852)*IF(Inputs!$B$38="pvp",1,(1+(Inputs!$B$21+Skills!Q2)/100)*(MIN((6+Inputs!$B$33),Inputs!$B$37))),0)</f>
        <v/>
      </c>
    </row>
    <row r="818">
      <c r="A818">
        <f>Skills!A3</f>
        <v/>
      </c>
      <c r="B818">
        <f>Skills!B3</f>
        <v/>
      </c>
      <c r="C818">
        <f>Inputs!$B$3&gt;=50</f>
        <v/>
      </c>
      <c r="D818">
        <f>IF(Skills!C3=1,60+Inputs!$B$25+Inputs!$B$29,IF(Skills!C3=2,90+(Inputs!$B$26+1)+Inputs!$B$29,IF(Skills!C3=3,120+Inputs!$B$27+Inputs!$B$29,MAX(0,(Inputs!$B$3-100)*3)+Inputs!$B$28+Inputs!$B$29)))</f>
        <v/>
      </c>
      <c r="E818">
        <f>INDEX(FactorTable!$B$2:$Y$301, MATCH(ROUND(MIN(300,MAX(1,D818)),0), FactorTable!$A$2:$A$301,0), Skills!M3+1)</f>
        <v/>
      </c>
      <c r="F818">
        <f>IF(Skills!N3=TRUE,(Skills!L3/10)*(E818/1000),Skills!L3/10)+Skills!O3</f>
        <v/>
      </c>
      <c r="G818" t="inlineStr"/>
      <c r="H818" t="inlineStr"/>
      <c r="I818" t="inlineStr">
        <is>
          <t>1</t>
        </is>
      </c>
      <c r="J818" t="inlineStr"/>
      <c r="K818" t="inlineStr"/>
      <c r="L818" t="inlineStr"/>
      <c r="M818" t="inlineStr"/>
      <c r="N818" t="inlineStr"/>
      <c r="O818" t="inlineStr"/>
      <c r="P818" t="inlineStr"/>
      <c r="Q818" t="inlineStr"/>
      <c r="R818" t="inlineStr"/>
      <c r="S818" t="inlineStr"/>
      <c r="T818" t="inlineStr"/>
      <c r="U818">
        <f>INDEX(FactorTable!$B$2:$Y$301, MATCH(ROUND(MIN(300,MAX(1,U817)),0), FactorTable!$A$2:$A$301,0), 22)</f>
        <v/>
      </c>
      <c r="V818" t="inlineStr"/>
    </row>
    <row r="819">
      <c r="A819">
        <f>Skills!A4</f>
        <v/>
      </c>
      <c r="B819">
        <f>Skills!B4</f>
        <v/>
      </c>
      <c r="C819">
        <f>Inputs!$B$3&gt;=105</f>
        <v/>
      </c>
      <c r="D819">
        <f>IF(Skills!C4=1,60+Inputs!$B$25+Inputs!$B$29,IF(Skills!C4=2,90+(Inputs!$B$26+1)+Inputs!$B$29,IF(Skills!C4=3,120+Inputs!$B$27+Inputs!$B$29,MAX(0,(Inputs!$B$3-100)*3)+Inputs!$B$28+Inputs!$B$29)))</f>
        <v/>
      </c>
      <c r="E819">
        <f>INDEX(FactorTable!$B$2:$Y$301, MATCH(ROUND(MIN(300,MAX(1,D819)),0), FactorTable!$A$2:$A$301,0), Skills!M4+1)</f>
        <v/>
      </c>
      <c r="F819">
        <f>IF(Skills!N4=TRUE,(Skills!L4/10)*(E819/1000),Skills!L4/10)+Skills!O4</f>
        <v/>
      </c>
      <c r="G819" t="inlineStr"/>
      <c r="H819" t="inlineStr"/>
      <c r="I819" t="inlineStr">
        <is>
          <t>1</t>
        </is>
      </c>
      <c r="J819" t="inlineStr"/>
      <c r="K819" t="inlineStr"/>
      <c r="L819" t="inlineStr"/>
      <c r="M819" t="inlineStr"/>
      <c r="N819" t="inlineStr"/>
      <c r="O819" t="inlineStr"/>
      <c r="P819" t="inlineStr"/>
      <c r="Q819" t="inlineStr"/>
      <c r="R819" t="inlineStr"/>
      <c r="S819" t="inlineStr"/>
      <c r="T819" t="inlineStr"/>
      <c r="U819">
        <f>290*U818/1000</f>
        <v/>
      </c>
      <c r="V819" t="inlineStr"/>
    </row>
    <row r="820">
      <c r="A820">
        <f>Skills!A5</f>
        <v/>
      </c>
      <c r="B820">
        <f>Skills!B5</f>
        <v/>
      </c>
      <c r="C820">
        <f>Inputs!$B$3&gt;=35</f>
        <v/>
      </c>
      <c r="D820">
        <f>IF(Skills!C5=1,60+Inputs!$B$25+Inputs!$B$29,IF(Skills!C5=2,90+(Inputs!$B$26+1)+Inputs!$B$29,IF(Skills!C5=3,120+Inputs!$B$27+Inputs!$B$29,MAX(0,(Inputs!$B$3-100)*3)+Inputs!$B$28+Inputs!$B$29)))</f>
        <v/>
      </c>
      <c r="E820">
        <f>INDEX(FactorTable!$B$2:$Y$301, MATCH(ROUND(MIN(300,MAX(1,D820)),0), FactorTable!$A$2:$A$301,0), Skills!M5+1)</f>
        <v/>
      </c>
      <c r="F820">
        <f>IF(Skills!N5=TRUE,(Skills!L5/10)*(E820/1000),Skills!L5/10)+Skills!O5</f>
        <v/>
      </c>
      <c r="G820">
        <f>Skills!G5*IF(Skills!H5&gt;0,Skills!I5/Skills!H5,1)</f>
        <v/>
      </c>
      <c r="H820">
        <f>1-(1-Skills!J5/100)^Skills!K5</f>
        <v/>
      </c>
      <c r="I820" t="inlineStr">
        <is>
          <t>1</t>
        </is>
      </c>
      <c r="J820">
        <f>((Inputs!$B$6*(1+Inputs!$B$7/100))+(((Inputs!$B$12*(1+Inputs!$B$13/100))-(Inputs!$B$12*(1+Inputs!$B$13/100)))+0.25*(Inputs!$B$14-Inputs!$B$14))*(1+Inputs!$B$7/100))*(F820/100)</f>
        <v/>
      </c>
      <c r="K820">
        <f>J820*(1+((Inputs!$B$12*(1+Inputs!$B$13/100))*0.01+Inputs!$B$14*0.0025)/100)*(1+Inputs!$B$15/100)*(1+Inputs!$B$16/100)*(5000/(6000+Inputs!$B$42*(1-(Inputs!$B$19+((C842=TRUE)*(F842-Calc!F27)))/100)))*(1+(Inputs!$B$24+((C840=TRUE)*(F840-Calc!F25))+((C841=TRUE)*(F841-Calc!F26))+B854)/100)*(1+4.0*IF(C825=TRUE,F825,0)/100)*(1+(IF(Skills!A5="ARROW_STREAM",Inputs!$B$17+((C838=TRUE)*(F838-Calc!F23)),Inputs!$B$18+((C843=TRUE)*(F843-Calc!F28))))/100)*((1+(((C828=TRUE)*F828)+((C829=TRUE)*IF(Inputs!$B$38="pvp",F829,(1-Summary!$B$55)*(F829)+Summary!$B$55*(0)))+((C830=TRUE)*F830*IF(AND(Inputs!$B$38&lt;&gt;"pvp",Inputs!$B$43&gt;0),(((R830-1)*(Skills!T15*(1+Inputs!$B$34/100))+MIN((Skills!T15*(1+Inputs!$B$34/100)),MAX(0,Inputs!$B$43-((R830-1)*Skills!D15))))/Inputs!$B$43),IF(Inputs!$B$38="pvp",MIN((Skills!T15*(1+Inputs!$B$34/100)),15)/15,(Skills!T15*(1+Inputs!$B$34/100))/Skills!D15)))+((C845=TRUE)*(F845-Calc!F30)))/100)*I820)</f>
        <v/>
      </c>
      <c r="L820">
        <f>K820*(MIN(Inputs!$B$22+((C839=TRUE)*(F839-Calc!F24)),Inputs!$B$23+((C844=TRUE)*(F844-Calc!F29)))/100+(Inputs!$B$23+((C844=TRUE)*(F844-Calc!F29)))/100)/2</f>
        <v/>
      </c>
      <c r="M820">
        <f>L820*(1+(Inputs!$B$10+0+B853)/100)</f>
        <v/>
      </c>
      <c r="N820">
        <f>L820*(1-MIN((Inputs!$B$9+((C835=TRUE)*(F835-Calc!F20))+B848),100)/100)+M820*(MIN((Inputs!$B$9+((C835=TRUE)*(F835-Calc!F20))+B848),100)/100)</f>
        <v/>
      </c>
      <c r="O820">
        <f>(1-Summary!$B$55)*T820+Summary!$B$55*V820</f>
        <v/>
      </c>
      <c r="P820">
        <f>IF(B858=0,0,O820/B858)</f>
        <v/>
      </c>
      <c r="Q820">
        <f>IFERROR(1/IF(Inputs!$B$38="pvp",15,MAX(0.1,Skills!D5-IF(Skills!E5=TRUE,Inputs!$B$32,0))),0)</f>
        <v/>
      </c>
      <c r="R820">
        <f>IF(AND(Inputs!$B$38&lt;&gt;"pvp",Inputs!$B$43&gt;0),IF(MAX(0,Inputs!$B$43-B855)&lt;=0,0,(INT(MAX(0,Inputs!$B$43-B855)/IF(Inputs!$B$38="pvp",15,MAX(0.1,Skills!D5-IF(Skills!E5=TRUE,Inputs!$B$32,0))))+1)),0)</f>
        <v/>
      </c>
      <c r="S820">
        <f>IFERROR(O820/N820,0)</f>
        <v/>
      </c>
      <c r="T820">
        <f>IF(C820,(H820*N820*IF(AND(Inputs!$B$38&lt;&gt;"pvp",Inputs!$B$43&gt;0),((Skills!G5*((R820-1)*IF(Skills!H5&gt;0,Skills!I5/Skills!H5,1)+IF(Skills!H5&gt;0,MIN(Skills!I5,MAX(0,MAX(0,Inputs!$B$43-B855)-((R820-1)*IF(Inputs!$B$38="pvp",15,MAX(0.1,Skills!D5-IF(Skills!E5=TRUE,Inputs!$B$32,0))))))/Skills!H5,1)))/Inputs!$B$43),G820*Q820))*IF(Inputs!$B$38="pvp",1,1+(Inputs!$B$20+0+Skills!P5)/100),0)</f>
        <v/>
      </c>
      <c r="V820">
        <f>IF(C820,(H820*N820*IF(AND(Inputs!$B$38&lt;&gt;"pvp",Inputs!$B$43&gt;0),((Skills!G5*((R820-1)*IF(Skills!H5&gt;0,Skills!I5/Skills!H5,1)+IF(Skills!H5&gt;0,MIN(Skills!I5,MAX(0,MAX(0,Inputs!$B$43-B855)-((R820-1)*IF(Inputs!$B$38="pvp",15,MAX(0.1,Skills!D5-IF(Skills!E5=TRUE,Inputs!$B$32,0))))))/Skills!H5,1)))/Inputs!$B$43),G820*Q820))*IF(Inputs!$B$38="pvp",1,(1+(Inputs!$B$21+Skills!Q5)/100)*(MIN(Skills!R5,Inputs!$B$37))),0)</f>
        <v/>
      </c>
    </row>
    <row r="821">
      <c r="A821">
        <f>Skills!A6</f>
        <v/>
      </c>
      <c r="B821">
        <f>Skills!B6</f>
        <v/>
      </c>
      <c r="C821">
        <f>Inputs!$B$3&gt;=40</f>
        <v/>
      </c>
      <c r="D821">
        <f>IF(Skills!C6=1,60+Inputs!$B$25+Inputs!$B$29,IF(Skills!C6=2,90+(Inputs!$B$26+1)+Inputs!$B$29,IF(Skills!C6=3,120+Inputs!$B$27+Inputs!$B$29,MAX(0,(Inputs!$B$3-100)*3)+Inputs!$B$28+Inputs!$B$29)))</f>
        <v/>
      </c>
      <c r="E821">
        <f>INDEX(FactorTable!$B$2:$Y$301, MATCH(ROUND(MIN(300,MAX(1,D821)),0), FactorTable!$A$2:$A$301,0), Skills!M6+1)</f>
        <v/>
      </c>
      <c r="F821">
        <f>IF(Skills!N6=TRUE,(Skills!L6/10)*(E821/1000),Skills!L6/10)+Skills!O6</f>
        <v/>
      </c>
      <c r="G821">
        <f>Skills!G6*IF(Skills!H6&gt;0,Skills!I6/Skills!H6,1)</f>
        <v/>
      </c>
      <c r="H821">
        <f>1-(1-Skills!J6/100)^Skills!K6</f>
        <v/>
      </c>
      <c r="I821" t="inlineStr">
        <is>
          <t>1</t>
        </is>
      </c>
      <c r="J821">
        <f>((Inputs!$B$6*(1+Inputs!$B$7/100))+(((Inputs!$B$12*(1+Inputs!$B$13/100))-(Inputs!$B$12*(1+Inputs!$B$13/100)))+0.25*(Inputs!$B$14-Inputs!$B$14))*(1+Inputs!$B$7/100))*(F821/100)</f>
        <v/>
      </c>
      <c r="K821">
        <f>J821*(1+((Inputs!$B$12*(1+Inputs!$B$13/100))*0.01+Inputs!$B$14*0.0025)/100)*(1+Inputs!$B$15/100)*(1+Inputs!$B$16/100)*(5000/(6000+Inputs!$B$42*(1-(Inputs!$B$19+((C842=TRUE)*(F842-Calc!F27)))/100)))*(1+(Inputs!$B$24+((C840=TRUE)*(F840-Calc!F25))+((C841=TRUE)*(F841-Calc!F26))+B854)/100)*(1+IF(C822=TRUE,F822,0)/100)*(1+(IF(Skills!A6="ARROW_STREAM",Inputs!$B$17+((C838=TRUE)*(F838-Calc!F23)),Inputs!$B$18+((C843=TRUE)*(F843-Calc!F28))))/100)*((1+(((C828=TRUE)*F828)+((C829=TRUE)*IF(Inputs!$B$38="pvp",F829,(1-Summary!$B$55)*(F829)+Summary!$B$55*(0)))+((C830=TRUE)*F830*IF(AND(Inputs!$B$38&lt;&gt;"pvp",Inputs!$B$43&gt;0),(((R830-1)*(Skills!T15*(1+Inputs!$B$34/100))+MIN((Skills!T15*(1+Inputs!$B$34/100)),MAX(0,Inputs!$B$43-((R830-1)*Skills!D15))))/Inputs!$B$43),IF(Inputs!$B$38="pvp",MIN((Skills!T15*(1+Inputs!$B$34/100)),15)/15,(Skills!T15*(1+Inputs!$B$34/100))/Skills!D15)))+((C845=TRUE)*(F845-Calc!F30)))/100)*I821)</f>
        <v/>
      </c>
      <c r="L821">
        <f>K821*(MIN(Inputs!$B$22+((C839=TRUE)*(F839-Calc!F24)),Inputs!$B$23+((C844=TRUE)*(F844-Calc!F29)))/100+(Inputs!$B$23+((C844=TRUE)*(F844-Calc!F29)))/100)/2</f>
        <v/>
      </c>
      <c r="M821">
        <f>L821*(1+(Inputs!$B$10+0+B853)/100)</f>
        <v/>
      </c>
      <c r="N821">
        <f>L821*(1-MIN((Inputs!$B$9+((C835=TRUE)*(F835-Calc!F20))+B848),100)/100)+M821*(MIN((Inputs!$B$9+((C835=TRUE)*(F835-Calc!F20))+B848),100)/100)</f>
        <v/>
      </c>
      <c r="O821">
        <f>(1-Summary!$B$55)*T821+Summary!$B$55*V821</f>
        <v/>
      </c>
      <c r="P821">
        <f>IF(B858=0,0,O821/B858)</f>
        <v/>
      </c>
      <c r="Q821">
        <f>IFERROR(1/IF(Inputs!$B$38="pvp",15,MAX(0.1,Skills!D6-IF(Skills!E6=TRUE,Inputs!$B$32,0))),0)</f>
        <v/>
      </c>
      <c r="R821">
        <f>IF(AND(Inputs!$B$38&lt;&gt;"pvp",Inputs!$B$43&gt;0),IF(MAX(0,Inputs!$B$43-B855)&lt;=0,0,(INT(MAX(0,Inputs!$B$43-B855)/IF(Inputs!$B$38="pvp",15,MAX(0.1,Skills!D6-IF(Skills!E6=TRUE,Inputs!$B$32,0))))+1)),0)</f>
        <v/>
      </c>
      <c r="S821">
        <f>IFERROR(O821/N821,0)</f>
        <v/>
      </c>
      <c r="T821">
        <f>IF(C821,(H821*N821*IF(AND(Inputs!$B$38&lt;&gt;"pvp",Inputs!$B$43&gt;0),((Skills!G6*((R821-1)*IF(Skills!H6&gt;0,Skills!I6/Skills!H6,1)+IF(Skills!H6&gt;0,MIN(Skills!I6,MAX(0,MAX(0,Inputs!$B$43-B855)-((R821-1)*IF(Inputs!$B$38="pvp",15,MAX(0.1,Skills!D6-IF(Skills!E6=TRUE,Inputs!$B$32,0))))))/Skills!H6,1)))/Inputs!$B$43),G821*Q821))*IF(Inputs!$B$38="pvp",1,1+(Inputs!$B$20+0+Skills!P6)/100),0)</f>
        <v/>
      </c>
      <c r="V821">
        <f>IF(C821,(H821*N821*IF(AND(Inputs!$B$38&lt;&gt;"pvp",Inputs!$B$43&gt;0),((Skills!G6*((R821-1)*IF(Skills!H6&gt;0,Skills!I6/Skills!H6,1)+IF(Skills!H6&gt;0,MIN(Skills!I6,MAX(0,MAX(0,Inputs!$B$43-B855)-((R821-1)*IF(Inputs!$B$38="pvp",15,MAX(0.1,Skills!D6-IF(Skills!E6=TRUE,Inputs!$B$32,0))))))/Skills!H6,1)))/Inputs!$B$43),G821*Q821))*IF(Inputs!$B$38="pvp",1,(1+(Inputs!$B$21+Skills!Q6)/100)*(MIN(Skills!R6,Inputs!$B$37))),0)</f>
        <v/>
      </c>
    </row>
    <row r="822">
      <c r="A822">
        <f>Skills!A7</f>
        <v/>
      </c>
      <c r="B822">
        <f>Skills!B7</f>
        <v/>
      </c>
      <c r="C822">
        <f>Inputs!$B$3&gt;=107</f>
        <v/>
      </c>
      <c r="D822">
        <f>IF(Skills!C7=1,60+Inputs!$B$25+Inputs!$B$29,IF(Skills!C7=2,90+(Inputs!$B$26+1)+Inputs!$B$29,IF(Skills!C7=3,120+Inputs!$B$27+Inputs!$B$29,MAX(0,(Inputs!$B$3-100)*3)+Inputs!$B$28+Inputs!$B$29)))</f>
        <v/>
      </c>
      <c r="E822">
        <f>INDEX(FactorTable!$B$2:$Y$301, MATCH(ROUND(MIN(300,MAX(1,D822)),0), FactorTable!$A$2:$A$301,0), Skills!M7+1)</f>
        <v/>
      </c>
      <c r="F822">
        <f>IF(Skills!N7=TRUE,(Skills!L7/10)*(E822/1000),Skills!L7/10)+Skills!O7</f>
        <v/>
      </c>
      <c r="G822" t="inlineStr"/>
      <c r="H822" t="inlineStr"/>
      <c r="I822" t="inlineStr">
        <is>
          <t>1</t>
        </is>
      </c>
      <c r="J822" t="inlineStr"/>
      <c r="K822" t="inlineStr"/>
      <c r="L822" t="inlineStr"/>
      <c r="M822" t="inlineStr"/>
      <c r="N822" t="inlineStr"/>
      <c r="O822" t="inlineStr"/>
      <c r="P822" t="inlineStr"/>
      <c r="Q822" t="inlineStr"/>
      <c r="R822" t="inlineStr"/>
      <c r="S822" t="inlineStr"/>
      <c r="T822" t="inlineStr"/>
      <c r="V822" t="inlineStr"/>
    </row>
    <row r="823">
      <c r="A823">
        <f>Skills!A8</f>
        <v/>
      </c>
      <c r="B823">
        <f>Skills!B8</f>
        <v/>
      </c>
      <c r="C823">
        <f>Inputs!$B$3&gt;=69</f>
        <v/>
      </c>
      <c r="D823">
        <f>IF(Skills!C8=1,60+Inputs!$B$25+Inputs!$B$29,IF(Skills!C8=2,90+(Inputs!$B$26+1)+Inputs!$B$29,IF(Skills!C8=3,120+Inputs!$B$27+Inputs!$B$29,MAX(0,(Inputs!$B$3-100)*3)+Inputs!$B$28+Inputs!$B$29)))</f>
        <v/>
      </c>
      <c r="E823">
        <f>INDEX(FactorTable!$B$2:$Y$301, MATCH(ROUND(MIN(300,MAX(1,D823)),0), FactorTable!$A$2:$A$301,0), Skills!M8+1)</f>
        <v/>
      </c>
      <c r="F823">
        <f>IF(Skills!N8=TRUE,(Skills!L8/10)*(E823/1000),Skills!L8/10)+Skills!O8</f>
        <v/>
      </c>
      <c r="G823">
        <f>Skills!G8*IF(Skills!H8&gt;0,Skills!I8/Skills!H8,1)</f>
        <v/>
      </c>
      <c r="H823">
        <f>1-(1-Skills!J8/100)^Skills!K8</f>
        <v/>
      </c>
      <c r="I823" t="inlineStr">
        <is>
          <t>1</t>
        </is>
      </c>
      <c r="J823">
        <f>((Inputs!$B$6*(1+Inputs!$B$7/100))+(((Inputs!$B$12*(1+Inputs!$B$13/100))-(Inputs!$B$12*(1+Inputs!$B$13/100)))+0.25*(Inputs!$B$14-Inputs!$B$14))*(1+Inputs!$B$7/100))*(F823/100)</f>
        <v/>
      </c>
      <c r="K823">
        <f>J823*(1+((Inputs!$B$12*(1+Inputs!$B$13/100))*0.01+Inputs!$B$14*0.0025)/100)*(1+Inputs!$B$15/100)*(1+Inputs!$B$16/100)*(5000/(6000+Inputs!$B$42*(1-(Inputs!$B$19+((C842=TRUE)*(F842-Calc!F27)))/100)))*(1+(Inputs!$B$24+((C840=TRUE)*(F840-Calc!F25))+((C841=TRUE)*(F841-Calc!F26))+B854)/100)*(1+1.2*IF(C825=TRUE,F825,0)/100)*(1+(IF(Skills!A8="ARROW_STREAM",Inputs!$B$17+((C838=TRUE)*(F838-Calc!F23)),Inputs!$B$18+((C843=TRUE)*(F843-Calc!F28))))/100)*((1+(((C828=TRUE)*F828)+((C829=TRUE)*IF(Inputs!$B$38="pvp",F829,(1-Summary!$B$55)*(F829)+Summary!$B$55*(0)))+((C830=TRUE)*F830*IF(AND(Inputs!$B$38&lt;&gt;"pvp",Inputs!$B$43&gt;0),(((R830-1)*(Skills!T15*(1+Inputs!$B$34/100))+MIN((Skills!T15*(1+Inputs!$B$34/100)),MAX(0,Inputs!$B$43-((R830-1)*Skills!D15))))/Inputs!$B$43),IF(Inputs!$B$38="pvp",MIN((Skills!T15*(1+Inputs!$B$34/100)),15)/15,(Skills!T15*(1+Inputs!$B$34/100))/Skills!D15)))+((C845=TRUE)*(F845-Calc!F30)))/100)*I823)</f>
        <v/>
      </c>
      <c r="L823">
        <f>K823*(MIN(Inputs!$B$22+((C839=TRUE)*(F839-Calc!F24)),Inputs!$B$23+((C844=TRUE)*(F844-Calc!F29)))/100+(Inputs!$B$23+((C844=TRUE)*(F844-Calc!F29)))/100)/2</f>
        <v/>
      </c>
      <c r="M823">
        <f>L823*(1+(Inputs!$B$10+0+B853)/100)</f>
        <v/>
      </c>
      <c r="N823">
        <f>L823*(1-MIN((Inputs!$B$9+((C835=TRUE)*(F835-Calc!F20))+B848),100)/100)+M823*(MIN((Inputs!$B$9+((C835=TRUE)*(F835-Calc!F20))+B848),100)/100)</f>
        <v/>
      </c>
      <c r="O823">
        <f>(1-Summary!$B$55)*T823+Summary!$B$55*V823</f>
        <v/>
      </c>
      <c r="P823">
        <f>IF(B858=0,0,O823/B858)</f>
        <v/>
      </c>
      <c r="Q823">
        <f>IFERROR(1/IF(Inputs!$B$38="pvp",15,MAX(0.1,Skills!D8-IF(Skills!E8=TRUE,Inputs!$B$32,0))),0)</f>
        <v/>
      </c>
      <c r="R823">
        <f>IF(AND(Inputs!$B$38&lt;&gt;"pvp",Inputs!$B$43&gt;0),IF(MAX(0,Inputs!$B$43-B855)&lt;=0,0,(INT(MAX(0,Inputs!$B$43-B855)/IF(Inputs!$B$38="pvp",15,MAX(0.1,Skills!D8-IF(Skills!E8=TRUE,Inputs!$B$32,0))))+1)),0)</f>
        <v/>
      </c>
      <c r="S823">
        <f>IFERROR(O823/N823,0)</f>
        <v/>
      </c>
      <c r="T823">
        <f>IF(C823,(H823*N823*IF(AND(Inputs!$B$38&lt;&gt;"pvp",Inputs!$B$43&gt;0),((Skills!G8*((R823-1)*IF(Skills!H8&gt;0,Skills!I8/Skills!H8,1)+IF(Skills!H8&gt;0,MIN(Skills!I8,MAX(0,MAX(0,Inputs!$B$43-B855)-((R823-1)*IF(Inputs!$B$38="pvp",15,MAX(0.1,Skills!D8-IF(Skills!E8=TRUE,Inputs!$B$32,0))))))/Skills!H8,1)))/Inputs!$B$43),G823*Q823))*IF(Inputs!$B$38="pvp",1,1+(Inputs!$B$20+0+Skills!P8)/100),0)</f>
        <v/>
      </c>
      <c r="V823">
        <f>IF(C823,(H823*N823*IF(AND(Inputs!$B$38&lt;&gt;"pvp",Inputs!$B$43&gt;0),((Skills!G8*((R823-1)*IF(Skills!H8&gt;0,Skills!I8/Skills!H8,1)+IF(Skills!H8&gt;0,MIN(Skills!I8,MAX(0,MAX(0,Inputs!$B$43-B855)-((R823-1)*IF(Inputs!$B$38="pvp",15,MAX(0.1,Skills!D8-IF(Skills!E8=TRUE,Inputs!$B$32,0))))))/Skills!H8,1)))/Inputs!$B$43),G823*Q823))*IF(Inputs!$B$38="pvp",1,(1+(Inputs!$B$21+Skills!Q8)/100)*(MIN(Skills!R8,Inputs!$B$37))),0)</f>
        <v/>
      </c>
    </row>
    <row r="824">
      <c r="A824">
        <f>Skills!A9</f>
        <v/>
      </c>
      <c r="B824">
        <f>Skills!B9</f>
        <v/>
      </c>
      <c r="C824">
        <f>Inputs!$B$3&gt;=63</f>
        <v/>
      </c>
      <c r="D824">
        <f>IF(Skills!C9=1,60+Inputs!$B$25+Inputs!$B$29,IF(Skills!C9=2,90+(Inputs!$B$26+1)+Inputs!$B$29,IF(Skills!C9=3,120+Inputs!$B$27+Inputs!$B$29,MAX(0,(Inputs!$B$3-100)*3)+Inputs!$B$28+Inputs!$B$29)))</f>
        <v/>
      </c>
      <c r="E824">
        <f>INDEX(FactorTable!$B$2:$Y$301, MATCH(ROUND(MIN(300,MAX(1,D824)),0), FactorTable!$A$2:$A$301,0), Skills!M9+1)</f>
        <v/>
      </c>
      <c r="F824">
        <f>IF(Skills!N9=TRUE,(Skills!L9/10)*(E824/1000),Skills!L9/10)+Skills!O9</f>
        <v/>
      </c>
      <c r="G824">
        <f>Skills!G9*IF(Skills!H9&gt;0,Skills!I9/Skills!H9,1)</f>
        <v/>
      </c>
      <c r="H824">
        <f>1-(1-Skills!J9/100)^Skills!K9</f>
        <v/>
      </c>
      <c r="I824" t="inlineStr">
        <is>
          <t>1</t>
        </is>
      </c>
      <c r="J824">
        <f>((Inputs!$B$6*(1+Inputs!$B$7/100))+(((Inputs!$B$12*(1+Inputs!$B$13/100))-(Inputs!$B$12*(1+Inputs!$B$13/100)))+0.25*(Inputs!$B$14-Inputs!$B$14))*(1+Inputs!$B$7/100))*(F824/100)</f>
        <v/>
      </c>
      <c r="K824">
        <f>J824*(1+((Inputs!$B$12*(1+Inputs!$B$13/100))*0.01+Inputs!$B$14*0.0025)/100)*(1+Inputs!$B$15/100)*(1+Inputs!$B$16/100)*(5000/(6000+Inputs!$B$42*(1-(Inputs!$B$19+((C842=TRUE)*(F842-Calc!F27)))/100)))*(1+(Inputs!$B$24+((C840=TRUE)*(F840-Calc!F25))+((C841=TRUE)*(F841-Calc!F26))+B854)/100)*(1+1.0*IF(C825=TRUE,F825,0)/100)*(1+(IF(Skills!A9="ARROW_STREAM",Inputs!$B$17+((C838=TRUE)*(F838-Calc!F23)),Inputs!$B$18+((C843=TRUE)*(F843-Calc!F28))))/100)*((1+(((C828=TRUE)*F828)+((C829=TRUE)*IF(Inputs!$B$38="pvp",F829,(1-Summary!$B$55)*(F829)+Summary!$B$55*(0)))+((C830=TRUE)*F830*IF(AND(Inputs!$B$38&lt;&gt;"pvp",Inputs!$B$43&gt;0),(((R830-1)*(Skills!T15*(1+Inputs!$B$34/100))+MIN((Skills!T15*(1+Inputs!$B$34/100)),MAX(0,Inputs!$B$43-((R830-1)*Skills!D15))))/Inputs!$B$43),IF(Inputs!$B$38="pvp",MIN((Skills!T15*(1+Inputs!$B$34/100)),15)/15,(Skills!T15*(1+Inputs!$B$34/100))/Skills!D15)))+((C845=TRUE)*(F845-Calc!F30)))/100)*I824)</f>
        <v/>
      </c>
      <c r="L824">
        <f>K824*(MIN(Inputs!$B$22+((C839=TRUE)*(F839-Calc!F24)),Inputs!$B$23+((C844=TRUE)*(F844-Calc!F29)))/100+(Inputs!$B$23+((C844=TRUE)*(F844-Calc!F29)))/100)/2</f>
        <v/>
      </c>
      <c r="M824">
        <f>L824*(1+(Inputs!$B$10+0+B853)/100)</f>
        <v/>
      </c>
      <c r="N824">
        <f>L824*(1-MIN((Inputs!$B$9+((C835=TRUE)*(F835-Calc!F20))+B848),100)/100)+M824*(MIN((Inputs!$B$9+((C835=TRUE)*(F835-Calc!F20))+B848),100)/100)</f>
        <v/>
      </c>
      <c r="O824">
        <f>(1-Summary!$B$55)*T824+Summary!$B$55*V824</f>
        <v/>
      </c>
      <c r="P824">
        <f>IF(B858=0,0,O824/B858)</f>
        <v/>
      </c>
      <c r="Q824">
        <f>IFERROR(1/IF(Inputs!$B$38="pvp",15,MAX(0.1,Skills!D9-IF(Skills!E9=TRUE,Inputs!$B$32,0))),0)</f>
        <v/>
      </c>
      <c r="R824">
        <f>IF(AND(Inputs!$B$38&lt;&gt;"pvp",Inputs!$B$43&gt;0),IF(MAX(0,Inputs!$B$43-B855)&lt;=0,0,(INT(MAX(0,Inputs!$B$43-B855)/IF(Inputs!$B$38="pvp",15,MAX(0.1,Skills!D9-IF(Skills!E9=TRUE,Inputs!$B$32,0))))+1)),0)</f>
        <v/>
      </c>
      <c r="S824">
        <f>IFERROR(O824/N824,0)</f>
        <v/>
      </c>
      <c r="T824">
        <f>IF(C824,(H824*N824*IF(AND(Inputs!$B$38&lt;&gt;"pvp",Inputs!$B$43&gt;0),((Skills!G9*((R824-1)*IF(Skills!H9&gt;0,Skills!I9/Skills!H9,1)+IF(Skills!H9&gt;0,MIN(Skills!I9,MAX(0,MAX(0,Inputs!$B$43-B855)-((R824-1)*IF(Inputs!$B$38="pvp",15,MAX(0.1,Skills!D9-IF(Skills!E9=TRUE,Inputs!$B$32,0))))))/Skills!H9,1)))/Inputs!$B$43),G824*Q824))*IF(Inputs!$B$38="pvp",1,1+(Inputs!$B$20+0+Skills!P9)/100),0)</f>
        <v/>
      </c>
      <c r="V824">
        <f>IF(C824,(H824*N824*IF(AND(Inputs!$B$38&lt;&gt;"pvp",Inputs!$B$43&gt;0),((Skills!G9*((R824-1)*IF(Skills!H9&gt;0,Skills!I9/Skills!H9,1)+IF(Skills!H9&gt;0,MIN(Skills!I9,MAX(0,MAX(0,Inputs!$B$43-B855)-((R824-1)*IF(Inputs!$B$38="pvp",15,MAX(0.1,Skills!D9-IF(Skills!E9=TRUE,Inputs!$B$32,0))))))/Skills!H9,1)))/Inputs!$B$43),G824*Q824))*IF(Inputs!$B$38="pvp",1,(1+(Inputs!$B$21+Skills!Q9)/100)*(MIN(Skills!R9,Inputs!$B$37))),0)</f>
        <v/>
      </c>
    </row>
    <row r="825">
      <c r="A825">
        <f>Skills!A10</f>
        <v/>
      </c>
      <c r="B825">
        <f>Skills!B10</f>
        <v/>
      </c>
      <c r="C825">
        <f>Inputs!$B$3&gt;=100</f>
        <v/>
      </c>
      <c r="D825">
        <f>IF(Skills!C10=1,60+Inputs!$B$25+Inputs!$B$29,IF(Skills!C10=2,90+(Inputs!$B$26+1)+Inputs!$B$29,IF(Skills!C10=3,120+Inputs!$B$27+Inputs!$B$29,MAX(0,(Inputs!$B$3-100)*3)+Inputs!$B$28+Inputs!$B$29)))</f>
        <v/>
      </c>
      <c r="E825">
        <f>INDEX(FactorTable!$B$2:$Y$301, MATCH(ROUND(MIN(300,MAX(1,D825)),0), FactorTable!$A$2:$A$301,0), Skills!M10+1)</f>
        <v/>
      </c>
      <c r="F825">
        <f>IF(Skills!N10=TRUE,(Skills!L10/10)*(E825/1000),Skills!L10/10)+Skills!O10</f>
        <v/>
      </c>
      <c r="G825" t="inlineStr"/>
      <c r="H825" t="inlineStr"/>
      <c r="I825" t="inlineStr">
        <is>
          <t>1</t>
        </is>
      </c>
      <c r="J825" t="inlineStr"/>
      <c r="K825" t="inlineStr"/>
      <c r="L825" t="inlineStr"/>
      <c r="M825" t="inlineStr"/>
      <c r="N825" t="inlineStr"/>
      <c r="O825" t="inlineStr"/>
      <c r="P825" t="inlineStr"/>
      <c r="Q825" t="inlineStr"/>
      <c r="R825" t="inlineStr"/>
      <c r="S825" t="inlineStr"/>
      <c r="T825" t="inlineStr"/>
      <c r="V825" t="inlineStr"/>
    </row>
    <row r="826">
      <c r="A826">
        <f>Skills!A11</f>
        <v/>
      </c>
      <c r="B826">
        <f>Skills!B11</f>
        <v/>
      </c>
      <c r="C826">
        <f>Inputs!$B$3&gt;=60</f>
        <v/>
      </c>
      <c r="D826">
        <f>IF(Skills!C11=1,60+Inputs!$B$25+Inputs!$B$29,IF(Skills!C11=2,90+(Inputs!$B$26+1)+Inputs!$B$29,IF(Skills!C11=3,120+Inputs!$B$27+Inputs!$B$29,MAX(0,(Inputs!$B$3-100)*3)+Inputs!$B$28+Inputs!$B$29)))</f>
        <v/>
      </c>
      <c r="E826">
        <f>INDEX(FactorTable!$B$2:$Y$301, MATCH(ROUND(MIN(300,MAX(1,D826)),0), FactorTable!$A$2:$A$301,0), Skills!M11+1)</f>
        <v/>
      </c>
      <c r="F826">
        <f>IF(Skills!N11=TRUE,(Skills!L11/10)*(E826/1000),Skills!L11/10)+Skills!O11</f>
        <v/>
      </c>
      <c r="G826">
        <f>Skills!G11*IF(Skills!H11&gt;0,Skills!I11/Skills!H11,1)</f>
        <v/>
      </c>
      <c r="H826">
        <f>1-(1-Skills!J11/100)^Skills!K11</f>
        <v/>
      </c>
      <c r="I826" t="inlineStr">
        <is>
          <t>1</t>
        </is>
      </c>
      <c r="J826">
        <f>((Inputs!$B$6*(1+Inputs!$B$7/100))+(((Inputs!$B$12*(1+Inputs!$B$13/100))-(Inputs!$B$12*(1+Inputs!$B$13/100)))+0.25*(Inputs!$B$14-Inputs!$B$14))*(1+Inputs!$B$7/100))*(F826/100)</f>
        <v/>
      </c>
      <c r="K826">
        <f>J826*(1+((Inputs!$B$12*(1+Inputs!$B$13/100))*0.01+Inputs!$B$14*0.0025)/100)*(1+Inputs!$B$15/100)*(1+Inputs!$B$16/100)*(5000/(6000+Inputs!$B$42*(1-(Inputs!$B$19+((C842=TRUE)*(F842-Calc!F27)))/100)))*(1+(Inputs!$B$24+((C840=TRUE)*(F840-Calc!F25))+((C841=TRUE)*(F841-Calc!F26))+B854)/100)*(1+IF(C827=TRUE,F827,0)/100)*(1+(IF(Skills!A11="ARROW_STREAM",Inputs!$B$17+((C838=TRUE)*(F838-Calc!F23)),Inputs!$B$18+((C843=TRUE)*(F843-Calc!F28))))/100)*((1+(((C828=TRUE)*F828)+((C829=TRUE)*IF(Inputs!$B$38="pvp",F829,(1-Summary!$B$55)*(F829)+Summary!$B$55*(0)))+((C830=TRUE)*F830*IF(AND(Inputs!$B$38&lt;&gt;"pvp",Inputs!$B$43&gt;0),(((R830-1)*(Skills!T15*(1+Inputs!$B$34/100))+MIN((Skills!T15*(1+Inputs!$B$34/100)),MAX(0,Inputs!$B$43-((R830-1)*Skills!D15))))/Inputs!$B$43),IF(Inputs!$B$38="pvp",MIN((Skills!T15*(1+Inputs!$B$34/100)),15)/15,(Skills!T15*(1+Inputs!$B$34/100))/Skills!D15)))+((C845=TRUE)*(F845-Calc!F30)))/100)*I826)</f>
        <v/>
      </c>
      <c r="L826">
        <f>K826*(MIN(Inputs!$B$22+((C839=TRUE)*(F839-Calc!F24)),Inputs!$B$23+((C844=TRUE)*(F844-Calc!F29)))/100+(Inputs!$B$23+((C844=TRUE)*(F844-Calc!F29)))/100)/2</f>
        <v/>
      </c>
      <c r="M826">
        <f>L826*(1+(Inputs!$B$10+0+B853)/100)</f>
        <v/>
      </c>
      <c r="N826">
        <f>L826*(1-MIN((Inputs!$B$9+((C835=TRUE)*(F835-Calc!F20))+B848),100)/100)+M826*(MIN((Inputs!$B$9+((C835=TRUE)*(F835-Calc!F20))+B848),100)/100)</f>
        <v/>
      </c>
      <c r="O826">
        <f>(1-Summary!$B$55)*T826+Summary!$B$55*V826</f>
        <v/>
      </c>
      <c r="P826">
        <f>IF(B858=0,0,O826/B858)</f>
        <v/>
      </c>
      <c r="Q826">
        <f>IFERROR(1/IF(Inputs!$B$38="pvp",15,MAX(0.1,Skills!D11-IF(Skills!E11=TRUE,Inputs!$B$32,0))),0)</f>
        <v/>
      </c>
      <c r="R826">
        <f>IF(AND(Inputs!$B$38&lt;&gt;"pvp",Inputs!$B$43&gt;0),IF(MAX(0,Inputs!$B$43-B855)&lt;=0,0,(INT(MAX(0,Inputs!$B$43-B855)/IF(Inputs!$B$38="pvp",15,MAX(0.1,Skills!D11-IF(Skills!E11=TRUE,Inputs!$B$32,0))))+1)),0)</f>
        <v/>
      </c>
      <c r="S826">
        <f>IFERROR(O826/N826,0)</f>
        <v/>
      </c>
      <c r="T826">
        <f>IF(C826,(H826*N826*IF(AND(Inputs!$B$38&lt;&gt;"pvp",Inputs!$B$43&gt;0),((Skills!G11*((R826-1)*IF(Skills!H11&gt;0,Skills!I11/Skills!H11,1)+IF(Skills!H11&gt;0,MIN(Skills!I11,MAX(0,MAX(0,Inputs!$B$43-B855)-((R826-1)*IF(Inputs!$B$38="pvp",15,MAX(0.1,Skills!D11-IF(Skills!E11=TRUE,Inputs!$B$32,0))))))/Skills!H11,1)))/Inputs!$B$43),G826*Q826))*IF(Inputs!$B$38="pvp",1,1+(Inputs!$B$20+0+Skills!P11)/100),0)</f>
        <v/>
      </c>
      <c r="V826">
        <f>IF(C826,(H826*N826*IF(AND(Inputs!$B$38&lt;&gt;"pvp",Inputs!$B$43&gt;0),((Skills!G11*((R826-1)*IF(Skills!H11&gt;0,Skills!I11/Skills!H11,1)+IF(Skills!H11&gt;0,MIN(Skills!I11,MAX(0,MAX(0,Inputs!$B$43-B855)-((R826-1)*IF(Inputs!$B$38="pvp",15,MAX(0.1,Skills!D11-IF(Skills!E11=TRUE,Inputs!$B$32,0))))))/Skills!H11,1)))/Inputs!$B$43),G826*Q826))*IF(Inputs!$B$38="pvp",1,(1+(Inputs!$B$21+Skills!Q11)/100)*(MIN(Skills!R11,Inputs!$B$37))),0)</f>
        <v/>
      </c>
    </row>
    <row r="827">
      <c r="A827">
        <f>Skills!A12</f>
        <v/>
      </c>
      <c r="B827">
        <f>Skills!B12</f>
        <v/>
      </c>
      <c r="C827">
        <f>Inputs!$B$3&gt;=110</f>
        <v/>
      </c>
      <c r="D827">
        <f>IF(Skills!C12=1,60+Inputs!$B$25+Inputs!$B$29,IF(Skills!C12=2,90+(Inputs!$B$26+1)+Inputs!$B$29,IF(Skills!C12=3,120+Inputs!$B$27+Inputs!$B$29,MAX(0,(Inputs!$B$3-100)*3)+Inputs!$B$28+Inputs!$B$29)))</f>
        <v/>
      </c>
      <c r="E827">
        <f>INDEX(FactorTable!$B$2:$Y$301, MATCH(ROUND(MIN(300,MAX(1,D827)),0), FactorTable!$A$2:$A$301,0), Skills!M12+1)</f>
        <v/>
      </c>
      <c r="F827">
        <f>IF(Skills!N12=TRUE,(Skills!L12/10)*(E827/1000),Skills!L12/10)+Skills!O12</f>
        <v/>
      </c>
      <c r="G827" t="inlineStr"/>
      <c r="H827" t="inlineStr"/>
      <c r="I827" t="inlineStr">
        <is>
          <t>1</t>
        </is>
      </c>
      <c r="J827" t="inlineStr"/>
      <c r="K827" t="inlineStr"/>
      <c r="L827" t="inlineStr"/>
      <c r="M827" t="inlineStr"/>
      <c r="N827" t="inlineStr"/>
      <c r="O827" t="inlineStr"/>
      <c r="P827" t="inlineStr"/>
      <c r="Q827" t="inlineStr"/>
      <c r="R827" t="inlineStr"/>
      <c r="S827" t="inlineStr"/>
      <c r="T827" t="inlineStr"/>
      <c r="V827" t="inlineStr"/>
    </row>
    <row r="828">
      <c r="A828">
        <f>Skills!A13</f>
        <v/>
      </c>
      <c r="B828">
        <f>Skills!B13</f>
        <v/>
      </c>
      <c r="C828">
        <f>Inputs!$B$3&gt;=74</f>
        <v/>
      </c>
      <c r="D828">
        <f>IF(Skills!C13=1,60+Inputs!$B$25+Inputs!$B$29,IF(Skills!C13=2,90+(Inputs!$B$26+1)+Inputs!$B$29,IF(Skills!C13=3,120+Inputs!$B$27+Inputs!$B$29,MAX(0,(Inputs!$B$3-100)*3)+Inputs!$B$28+Inputs!$B$29)))</f>
        <v/>
      </c>
      <c r="E828">
        <f>INDEX(FactorTable!$B$2:$Y$301, MATCH(ROUND(MIN(300,MAX(1,D828)),0), FactorTable!$A$2:$A$301,0), Skills!M13+1)</f>
        <v/>
      </c>
      <c r="F828">
        <f>IF(Skills!N13=TRUE,(Skills!L13/10)*(E828/1000),Skills!L13/10)+Skills!O13</f>
        <v/>
      </c>
      <c r="G828">
        <f>Skills!G13*IF(Skills!H13&gt;0,Skills!I13/Skills!H13,1)</f>
        <v/>
      </c>
      <c r="H828">
        <f>1-(1-Skills!J13/100)^Skills!K13</f>
        <v/>
      </c>
      <c r="I828" t="inlineStr">
        <is>
          <t>1</t>
        </is>
      </c>
      <c r="J828" t="inlineStr"/>
      <c r="K828" t="inlineStr"/>
      <c r="L828" t="inlineStr"/>
      <c r="M828" t="inlineStr"/>
      <c r="N828" t="inlineStr"/>
      <c r="O828">
        <f>(1-Summary!$B$55)*T828+Summary!$B$55*V828</f>
        <v/>
      </c>
      <c r="P828">
        <f>IF(B858=0,0,O828/B858)</f>
        <v/>
      </c>
      <c r="Q828" t="n">
        <v>0</v>
      </c>
      <c r="R828" t="n">
        <v>0</v>
      </c>
      <c r="S828">
        <f>IFERROR(O828/N828,0)</f>
        <v/>
      </c>
      <c r="T828" t="n">
        <v>0</v>
      </c>
      <c r="V828" t="n">
        <v>0</v>
      </c>
    </row>
    <row r="829">
      <c r="A829">
        <f>Skills!A14</f>
        <v/>
      </c>
      <c r="B829">
        <f>Skills!B14</f>
        <v/>
      </c>
      <c r="C829">
        <f>Inputs!$B$3&gt;=74</f>
        <v/>
      </c>
      <c r="D829">
        <f>IF(Skills!C14=1,60+Inputs!$B$25+Inputs!$B$29,IF(Skills!C14=2,90+(Inputs!$B$26+1)+Inputs!$B$29,IF(Skills!C14=3,120+Inputs!$B$27+Inputs!$B$29,MAX(0,(Inputs!$B$3-100)*3)+Inputs!$B$28+Inputs!$B$29)))</f>
        <v/>
      </c>
      <c r="E829">
        <f>INDEX(FactorTable!$B$2:$Y$301, MATCH(ROUND(MIN(300,MAX(1,D829)),0), FactorTable!$A$2:$A$301,0), Skills!M14+1)</f>
        <v/>
      </c>
      <c r="F829">
        <f>IF(Skills!N14=TRUE,(Skills!L14/10)*(E829/1000),Skills!L14/10)+Skills!O14</f>
        <v/>
      </c>
      <c r="G829">
        <f>Skills!G14*IF(Skills!H14&gt;0,Skills!I14/Skills!H14,1)</f>
        <v/>
      </c>
      <c r="H829">
        <f>1-(1-Skills!J14/100)^Skills!K14</f>
        <v/>
      </c>
      <c r="I829" t="inlineStr">
        <is>
          <t>1</t>
        </is>
      </c>
      <c r="J829" t="inlineStr"/>
      <c r="K829" t="inlineStr"/>
      <c r="L829" t="inlineStr"/>
      <c r="M829" t="inlineStr"/>
      <c r="N829" t="inlineStr"/>
      <c r="O829">
        <f>(1-Summary!$B$55)*T829+Summary!$B$55*V829</f>
        <v/>
      </c>
      <c r="P829">
        <f>IF(B858=0,0,O829/B858)</f>
        <v/>
      </c>
      <c r="Q829" t="n">
        <v>0</v>
      </c>
      <c r="R829" t="n">
        <v>0</v>
      </c>
      <c r="S829">
        <f>IFERROR(O829/N829,0)</f>
        <v/>
      </c>
      <c r="T829" t="n">
        <v>0</v>
      </c>
      <c r="V829" t="n">
        <v>0</v>
      </c>
    </row>
    <row r="830">
      <c r="A830">
        <f>Skills!A15</f>
        <v/>
      </c>
      <c r="B830">
        <f>Skills!B15</f>
        <v/>
      </c>
      <c r="C830">
        <f>Inputs!$B$3&gt;=117</f>
        <v/>
      </c>
      <c r="D830">
        <f>IF(Skills!C15=1,60+Inputs!$B$25+Inputs!$B$29,IF(Skills!C15=2,90+(Inputs!$B$26+1)+Inputs!$B$29,IF(Skills!C15=3,120+Inputs!$B$27+Inputs!$B$29,MAX(0,(Inputs!$B$3-100)*3)+Inputs!$B$28+Inputs!$B$29)))</f>
        <v/>
      </c>
      <c r="E830">
        <f>INDEX(FactorTable!$B$2:$Y$301, MATCH(ROUND(MIN(300,MAX(1,D830)),0), FactorTable!$A$2:$A$301,0), Skills!M15+1)</f>
        <v/>
      </c>
      <c r="F830">
        <f>IF(Skills!N15=TRUE,(Skills!L15/10)*(E830/1000),Skills!L15/10)+Skills!O15</f>
        <v/>
      </c>
      <c r="G830">
        <f>Skills!G15*IF(Skills!H15&gt;0,Skills!I15/Skills!H15,1)</f>
        <v/>
      </c>
      <c r="H830">
        <f>1-(1-Skills!J15/100)^Skills!K15</f>
        <v/>
      </c>
      <c r="I830" t="inlineStr">
        <is>
          <t>1</t>
        </is>
      </c>
      <c r="J830" t="inlineStr"/>
      <c r="K830" t="inlineStr"/>
      <c r="L830" t="inlineStr"/>
      <c r="M830" t="inlineStr"/>
      <c r="N830" t="inlineStr"/>
      <c r="O830">
        <f>(1-Summary!$B$55)*T830+Summary!$B$55*V830</f>
        <v/>
      </c>
      <c r="P830">
        <f>IF(B858=0,0,O830/B858)</f>
        <v/>
      </c>
      <c r="Q830">
        <f>IFERROR(1/IF(Inputs!$B$38="pvp",15,MAX(0.1,Skills!D15-IF(Skills!E15=TRUE,Inputs!$B$32,0))),0)</f>
        <v/>
      </c>
      <c r="R830">
        <f>IF(AND(Inputs!$B$38&lt;&gt;"pvp",Inputs!$B$43&gt;0),IF(Inputs!$B$43&lt;=0,0,(INT(Inputs!$B$43/IF(Inputs!$B$38="pvp",15,MAX(0.1,Skills!D15-IF(Skills!E15=TRUE,Inputs!$B$32,0))))+1)),0)</f>
        <v/>
      </c>
      <c r="S830">
        <f>IFERROR(O830/N830,0)</f>
        <v/>
      </c>
      <c r="T830" t="n">
        <v>0</v>
      </c>
      <c r="V830" t="n">
        <v>0</v>
      </c>
    </row>
    <row r="831">
      <c r="A831">
        <f>Skills!A16</f>
        <v/>
      </c>
      <c r="B831">
        <f>Skills!B16</f>
        <v/>
      </c>
      <c r="C831">
        <f>Inputs!$B$3&gt;=115</f>
        <v/>
      </c>
      <c r="D831">
        <f>IF(Skills!C16=1,60+Inputs!$B$25+Inputs!$B$29,IF(Skills!C16=2,90+(Inputs!$B$26+1)+Inputs!$B$29,IF(Skills!C16=3,120+Inputs!$B$27+Inputs!$B$29,MAX(0,(Inputs!$B$3-100)*3)+Inputs!$B$28+Inputs!$B$29)))</f>
        <v/>
      </c>
      <c r="E831">
        <f>INDEX(FactorTable!$B$2:$Y$301, MATCH(ROUND(MIN(300,MAX(1,D831)),0), FactorTable!$A$2:$A$301,0), Skills!M16+1)</f>
        <v/>
      </c>
      <c r="F831">
        <f>IF(Skills!N16=TRUE,(Skills!L16/10)*(E831/1000),Skills!L16/10)+Skills!O16</f>
        <v/>
      </c>
      <c r="G831">
        <f>Skills!G16*IF(Skills!H16&gt;0,Skills!I16/Skills!H16,1)</f>
        <v/>
      </c>
      <c r="H831">
        <f>1-(1-Skills!J16/100)^Skills!K16</f>
        <v/>
      </c>
      <c r="I831" t="inlineStr">
        <is>
          <t>1</t>
        </is>
      </c>
      <c r="J831" t="inlineStr"/>
      <c r="K831" t="inlineStr"/>
      <c r="L831" t="inlineStr"/>
      <c r="M831" t="inlineStr"/>
      <c r="N831" t="inlineStr"/>
      <c r="O831">
        <f>(1-Summary!$B$55)*T831+Summary!$B$55*V831</f>
        <v/>
      </c>
      <c r="P831">
        <f>IF(B858=0,0,O831/B858)</f>
        <v/>
      </c>
      <c r="Q831">
        <f>IFERROR(1/IF(Inputs!$B$38="pvp",15,MAX(0.1,Skills!D16-IF(Skills!E16=TRUE,Inputs!$B$32,0))),0)</f>
        <v/>
      </c>
      <c r="R831">
        <f>IF(AND(Inputs!$B$38&lt;&gt;"pvp",Inputs!$B$43&gt;0),IF(Inputs!$B$43&lt;=0,0,(INT(Inputs!$B$43/IF(Inputs!$B$38="pvp",15,MAX(0.1,Skills!D16-IF(Skills!E16=TRUE,Inputs!$B$32,0))))+1)),0)</f>
        <v/>
      </c>
      <c r="S831">
        <f>IFERROR(O831/N831,0)</f>
        <v/>
      </c>
      <c r="T831" t="n">
        <v>0</v>
      </c>
      <c r="V831" t="n">
        <v>0</v>
      </c>
    </row>
    <row r="832">
      <c r="A832">
        <f>Skills!A17</f>
        <v/>
      </c>
      <c r="B832">
        <f>Skills!B17</f>
        <v/>
      </c>
      <c r="C832">
        <f>Inputs!$B$3&gt;=66</f>
        <v/>
      </c>
      <c r="D832">
        <f>IF(Skills!C17=1,60+Inputs!$B$25+Inputs!$B$29,IF(Skills!C17=2,90+(Inputs!$B$26+1)+Inputs!$B$29,IF(Skills!C17=3,120+Inputs!$B$27+Inputs!$B$29,MAX(0,(Inputs!$B$3-100)*3)+Inputs!$B$28+Inputs!$B$29)))</f>
        <v/>
      </c>
      <c r="E832">
        <f>INDEX(FactorTable!$B$2:$Y$301, MATCH(ROUND(MIN(300,MAX(1,D832)),0), FactorTable!$A$2:$A$301,0), Skills!M17+1)</f>
        <v/>
      </c>
      <c r="F832">
        <f>IF(Skills!N17=TRUE,(Skills!L17/10)*(E832/1000),Skills!L17/10)+Skills!O17</f>
        <v/>
      </c>
      <c r="G832">
        <f>Skills!G17*IF(Skills!H17&gt;0,Skills!I17/Skills!H17,1)</f>
        <v/>
      </c>
      <c r="H832">
        <f>1-(1-Skills!J17/100)^Skills!K17</f>
        <v/>
      </c>
      <c r="I832" t="inlineStr">
        <is>
          <t>1</t>
        </is>
      </c>
      <c r="J832" t="inlineStr"/>
      <c r="K832" t="inlineStr"/>
      <c r="L832" t="inlineStr"/>
      <c r="M832" t="inlineStr"/>
      <c r="N832" t="inlineStr"/>
      <c r="O832">
        <f>(1-Summary!$B$55)*T832+Summary!$B$55*V832</f>
        <v/>
      </c>
      <c r="P832">
        <f>IF(B858=0,0,O832/B858)</f>
        <v/>
      </c>
      <c r="Q832" t="n">
        <v>0</v>
      </c>
      <c r="R832" t="n">
        <v>0</v>
      </c>
      <c r="S832">
        <f>IFERROR(O832/N832,0)</f>
        <v/>
      </c>
      <c r="T832" t="n">
        <v>0</v>
      </c>
      <c r="V832" t="n">
        <v>0</v>
      </c>
    </row>
    <row r="833">
      <c r="A833">
        <f>Skills!A18</f>
        <v/>
      </c>
      <c r="B833">
        <f>Skills!B18</f>
        <v/>
      </c>
      <c r="C833">
        <f>Inputs!$B$3&gt;=72</f>
        <v/>
      </c>
      <c r="D833">
        <f>IF(Skills!C18=1,60+Inputs!$B$25+Inputs!$B$29,IF(Skills!C18=2,90+(Inputs!$B$26+1)+Inputs!$B$29,IF(Skills!C18=3,120+Inputs!$B$27+Inputs!$B$29,MAX(0,(Inputs!$B$3-100)*3)+Inputs!$B$28+Inputs!$B$29)))</f>
        <v/>
      </c>
      <c r="E833">
        <f>INDEX(FactorTable!$B$2:$Y$301, MATCH(ROUND(MIN(300,MAX(1,D833)),0), FactorTable!$A$2:$A$301,0), Skills!M18+1)</f>
        <v/>
      </c>
      <c r="F833">
        <f>IF(Skills!N18=TRUE,(Skills!L18/10)*(E833/1000),Skills!L18/10)+Skills!O18</f>
        <v/>
      </c>
      <c r="G833">
        <f>Skills!G18*IF(Skills!H18&gt;0,Skills!I18/Skills!H18,1)</f>
        <v/>
      </c>
      <c r="H833">
        <f>1-(1-Skills!J18/100)^Skills!K18</f>
        <v/>
      </c>
      <c r="I833" t="inlineStr">
        <is>
          <t>1</t>
        </is>
      </c>
      <c r="J833" t="inlineStr"/>
      <c r="K833" t="inlineStr"/>
      <c r="L833" t="inlineStr"/>
      <c r="M833" t="inlineStr"/>
      <c r="N833" t="inlineStr"/>
      <c r="O833">
        <f>(1-Summary!$B$55)*T833+Summary!$B$55*V833</f>
        <v/>
      </c>
      <c r="P833">
        <f>IF(B858=0,0,O833/B858)</f>
        <v/>
      </c>
      <c r="Q833" t="n">
        <v>0</v>
      </c>
      <c r="R833" t="n">
        <v>0</v>
      </c>
      <c r="S833">
        <f>IFERROR(O833/N833,0)</f>
        <v/>
      </c>
      <c r="T833" t="n">
        <v>0</v>
      </c>
      <c r="V833" t="n">
        <v>0</v>
      </c>
    </row>
    <row r="834">
      <c r="A834">
        <f>Skills!A19</f>
        <v/>
      </c>
      <c r="B834">
        <f>Skills!B19</f>
        <v/>
      </c>
      <c r="C834">
        <f>TRUE</f>
        <v/>
      </c>
      <c r="D834">
        <f>IF(Skills!C19=1,60+Inputs!$B$25+Inputs!$B$29,IF(Skills!C19=2,90+(Inputs!$B$26+1)+Inputs!$B$29,IF(Skills!C19=3,120+Inputs!$B$27+Inputs!$B$29,MAX(0,(Inputs!$B$3-100)*3)+Inputs!$B$28+Inputs!$B$29)))</f>
        <v/>
      </c>
      <c r="E834">
        <f>INDEX(FactorTable!$B$2:$Y$301, MATCH(ROUND(MIN(300,MAX(1,D834)),0), FactorTable!$A$2:$A$301,0), Skills!M19+1)</f>
        <v/>
      </c>
      <c r="F834">
        <f>IF(Skills!N19=TRUE,(Skills!L19/10)*(E834/1000),Skills!L19/10)+Skills!O19</f>
        <v/>
      </c>
      <c r="G834">
        <f>Skills!G19*IF(Skills!H19&gt;0,Skills!I19/Skills!H19,1)</f>
        <v/>
      </c>
      <c r="H834">
        <f>1-(1-Skills!J19/100)^Skills!K19</f>
        <v/>
      </c>
      <c r="I834" t="inlineStr">
        <is>
          <t>1</t>
        </is>
      </c>
      <c r="J834" t="inlineStr"/>
      <c r="K834" t="inlineStr"/>
      <c r="L834" t="inlineStr"/>
      <c r="M834" t="inlineStr"/>
      <c r="N834" t="inlineStr"/>
      <c r="O834">
        <f>(1-Summary!$B$55)*T834+Summary!$B$55*V834</f>
        <v/>
      </c>
      <c r="P834">
        <f>IF(B858=0,0,O834/B858)</f>
        <v/>
      </c>
      <c r="Q834">
        <f>IFERROR(1/IF(Inputs!$B$38="pvp",15,MAX(0.1,Skills!D19-IF(Skills!E19=TRUE,Inputs!$B$32,0))),0)</f>
        <v/>
      </c>
      <c r="R834">
        <f>IF(AND(Inputs!$B$38&lt;&gt;"pvp",Inputs!$B$43&gt;0),IF(Inputs!$B$43&lt;=0,0,(INT(Inputs!$B$43/IF(Inputs!$B$38="pvp",15,MAX(0.1,Skills!D19-IF(Skills!E19=TRUE,Inputs!$B$32,0))))+1)),0)</f>
        <v/>
      </c>
      <c r="S834">
        <f>IFERROR(O834/N834,0)</f>
        <v/>
      </c>
      <c r="T834" t="n">
        <v>0</v>
      </c>
      <c r="V834" t="n">
        <v>0</v>
      </c>
    </row>
    <row r="835">
      <c r="A835">
        <f>Skills!A20</f>
        <v/>
      </c>
      <c r="B835">
        <f>Skills!B20</f>
        <v/>
      </c>
      <c r="C835">
        <f>Inputs!$B$3&gt;=15</f>
        <v/>
      </c>
      <c r="D835">
        <f>IF(Skills!C20=1,60+Inputs!$B$25+Inputs!$B$29,IF(Skills!C20=2,90+(Inputs!$B$26+1)+Inputs!$B$29,IF(Skills!C20=3,120+Inputs!$B$27+Inputs!$B$29,MAX(0,(Inputs!$B$3-100)*3)+Inputs!$B$28+Inputs!$B$29)))</f>
        <v/>
      </c>
      <c r="E835">
        <f>INDEX(FactorTable!$B$2:$Y$301, MATCH(ROUND(MIN(300,MAX(1,D835)),0), FactorTable!$A$2:$A$301,0), Skills!M20+1)</f>
        <v/>
      </c>
      <c r="F835">
        <f>IF(Skills!N20=TRUE,(Skills!L20/10)*(E835/1000),Skills!L20/10)+Skills!O20</f>
        <v/>
      </c>
      <c r="G835">
        <f>Skills!G20*IF(Skills!H20&gt;0,Skills!I20/Skills!H20,1)</f>
        <v/>
      </c>
      <c r="H835">
        <f>1-(1-Skills!J20/100)^Skills!K20</f>
        <v/>
      </c>
      <c r="I835" t="inlineStr">
        <is>
          <t>1</t>
        </is>
      </c>
      <c r="J835" t="inlineStr"/>
      <c r="K835" t="inlineStr"/>
      <c r="L835" t="inlineStr"/>
      <c r="M835" t="inlineStr"/>
      <c r="N835" t="inlineStr"/>
      <c r="O835">
        <f>(1-Summary!$B$55)*T835+Summary!$B$55*V835</f>
        <v/>
      </c>
      <c r="P835">
        <f>IF(B858=0,0,O835/B858)</f>
        <v/>
      </c>
      <c r="Q835" t="n">
        <v>0</v>
      </c>
      <c r="R835" t="n">
        <v>0</v>
      </c>
      <c r="S835">
        <f>IFERROR(O835/N835,0)</f>
        <v/>
      </c>
      <c r="T835" t="n">
        <v>0</v>
      </c>
      <c r="V835" t="n">
        <v>0</v>
      </c>
    </row>
    <row r="836">
      <c r="A836">
        <f>Skills!A21</f>
        <v/>
      </c>
      <c r="B836">
        <f>Skills!B21</f>
        <v/>
      </c>
      <c r="C836">
        <f>Inputs!$B$3&gt;=10</f>
        <v/>
      </c>
      <c r="D836">
        <f>IF(Skills!C21=1,60+Inputs!$B$25+Inputs!$B$29,IF(Skills!C21=2,90+(Inputs!$B$26+1)+Inputs!$B$29,IF(Skills!C21=3,120+Inputs!$B$27+Inputs!$B$29,MAX(0,(Inputs!$B$3-100)*3)+Inputs!$B$28+Inputs!$B$29)))</f>
        <v/>
      </c>
      <c r="E836">
        <f>INDEX(FactorTable!$B$2:$Y$301, MATCH(ROUND(MIN(300,MAX(1,D836)),0), FactorTable!$A$2:$A$301,0), Skills!M21+1)</f>
        <v/>
      </c>
      <c r="F836">
        <f>IF(Skills!N21=TRUE,(Skills!L21/10)*(E836/1000),Skills!L21/10)+Skills!O21</f>
        <v/>
      </c>
      <c r="G836">
        <f>Skills!G21*IF(Skills!H21&gt;0,Skills!I21/Skills!H21,1)</f>
        <v/>
      </c>
      <c r="H836">
        <f>1-(1-Skills!J21/100)^Skills!K21</f>
        <v/>
      </c>
      <c r="I836" t="inlineStr">
        <is>
          <t>1</t>
        </is>
      </c>
      <c r="J836" t="inlineStr"/>
      <c r="K836" t="inlineStr"/>
      <c r="L836" t="inlineStr"/>
      <c r="M836" t="inlineStr"/>
      <c r="N836" t="inlineStr"/>
      <c r="O836">
        <f>(1-Summary!$B$55)*T836+Summary!$B$55*V836</f>
        <v/>
      </c>
      <c r="P836">
        <f>IF(B858=0,0,O836/B858)</f>
        <v/>
      </c>
      <c r="Q836" t="n">
        <v>0</v>
      </c>
      <c r="R836" t="n">
        <v>0</v>
      </c>
      <c r="S836">
        <f>IFERROR(O836/N836,0)</f>
        <v/>
      </c>
      <c r="T836" t="n">
        <v>0</v>
      </c>
      <c r="V836" t="n">
        <v>0</v>
      </c>
    </row>
    <row r="837">
      <c r="A837">
        <f>Skills!A22</f>
        <v/>
      </c>
      <c r="B837">
        <f>Skills!B22</f>
        <v/>
      </c>
      <c r="C837">
        <f>Inputs!$B$3&gt;=33</f>
        <v/>
      </c>
      <c r="D837">
        <f>IF(Skills!C22=1,60+Inputs!$B$25+Inputs!$B$29,IF(Skills!C22=2,90+(Inputs!$B$26+1)+Inputs!$B$29,IF(Skills!C22=3,120+Inputs!$B$27+Inputs!$B$29,MAX(0,(Inputs!$B$3-100)*3)+Inputs!$B$28+Inputs!$B$29)))</f>
        <v/>
      </c>
      <c r="E837">
        <f>INDEX(FactorTable!$B$2:$Y$301, MATCH(ROUND(MIN(300,MAX(1,D837)),0), FactorTable!$A$2:$A$301,0), Skills!M22+1)</f>
        <v/>
      </c>
      <c r="F837">
        <f>IF(Skills!N22=TRUE,(Skills!L22/10)*(E837/1000),Skills!L22/10)+Skills!O22</f>
        <v/>
      </c>
      <c r="G837">
        <f>Skills!G22*IF(Skills!H22&gt;0,Skills!I22/Skills!H22,1)</f>
        <v/>
      </c>
      <c r="H837">
        <f>1-(1-Skills!J22/100)^Skills!K22</f>
        <v/>
      </c>
      <c r="I837" t="inlineStr">
        <is>
          <t>1</t>
        </is>
      </c>
      <c r="J837" t="inlineStr"/>
      <c r="K837" t="inlineStr"/>
      <c r="L837" t="inlineStr"/>
      <c r="M837" t="inlineStr"/>
      <c r="N837" t="inlineStr"/>
      <c r="O837">
        <f>(1-Summary!$B$55)*T837+Summary!$B$55*V837</f>
        <v/>
      </c>
      <c r="P837">
        <f>IF(B858=0,0,O837/B858)</f>
        <v/>
      </c>
      <c r="Q837" t="n">
        <v>0</v>
      </c>
      <c r="R837" t="n">
        <v>0</v>
      </c>
      <c r="S837">
        <f>IFERROR(O837/N837,0)</f>
        <v/>
      </c>
      <c r="T837" t="n">
        <v>0</v>
      </c>
      <c r="V837" t="n">
        <v>0</v>
      </c>
    </row>
    <row r="838">
      <c r="A838">
        <f>Skills!A23</f>
        <v/>
      </c>
      <c r="B838">
        <f>Skills!B23</f>
        <v/>
      </c>
      <c r="C838">
        <f>Inputs!$B$3&gt;=38</f>
        <v/>
      </c>
      <c r="D838">
        <f>IF(Skills!C23=1,60+Inputs!$B$25+Inputs!$B$29,IF(Skills!C23=2,90+(Inputs!$B$26+1)+Inputs!$B$29,IF(Skills!C23=3,120+Inputs!$B$27+Inputs!$B$29,MAX(0,(Inputs!$B$3-100)*3)+Inputs!$B$28+Inputs!$B$29)))</f>
        <v/>
      </c>
      <c r="E838">
        <f>INDEX(FactorTable!$B$2:$Y$301, MATCH(ROUND(MIN(300,MAX(1,D838)),0), FactorTable!$A$2:$A$301,0), Skills!M23+1)</f>
        <v/>
      </c>
      <c r="F838">
        <f>IF(Skills!N23=TRUE,(Skills!L23/10)*(E838/1000),Skills!L23/10)+Skills!O23</f>
        <v/>
      </c>
      <c r="G838">
        <f>Skills!G23*IF(Skills!H23&gt;0,Skills!I23/Skills!H23,1)</f>
        <v/>
      </c>
      <c r="H838">
        <f>1-(1-Skills!J23/100)^Skills!K23</f>
        <v/>
      </c>
      <c r="I838" t="inlineStr">
        <is>
          <t>1</t>
        </is>
      </c>
      <c r="J838" t="inlineStr"/>
      <c r="K838" t="inlineStr"/>
      <c r="L838" t="inlineStr"/>
      <c r="M838" t="inlineStr"/>
      <c r="N838" t="inlineStr"/>
      <c r="O838">
        <f>(1-Summary!$B$55)*T838+Summary!$B$55*V838</f>
        <v/>
      </c>
      <c r="P838">
        <f>IF(B858=0,0,O838/B858)</f>
        <v/>
      </c>
      <c r="Q838" t="n">
        <v>0</v>
      </c>
      <c r="R838" t="n">
        <v>0</v>
      </c>
      <c r="S838">
        <f>IFERROR(O838/N838,0)</f>
        <v/>
      </c>
      <c r="T838" t="n">
        <v>0</v>
      </c>
      <c r="V838" t="n">
        <v>0</v>
      </c>
    </row>
    <row r="839">
      <c r="A839">
        <f>Skills!A24</f>
        <v/>
      </c>
      <c r="B839">
        <f>Skills!B24</f>
        <v/>
      </c>
      <c r="C839">
        <f>Inputs!$B$3&gt;=43</f>
        <v/>
      </c>
      <c r="D839">
        <f>IF(Skills!C24=1,60+Inputs!$B$25+Inputs!$B$29,IF(Skills!C24=2,90+(Inputs!$B$26+1)+Inputs!$B$29,IF(Skills!C24=3,120+Inputs!$B$27+Inputs!$B$29,MAX(0,(Inputs!$B$3-100)*3)+Inputs!$B$28+Inputs!$B$29)))</f>
        <v/>
      </c>
      <c r="E839">
        <f>INDEX(FactorTable!$B$2:$Y$301, MATCH(ROUND(MIN(300,MAX(1,D839)),0), FactorTable!$A$2:$A$301,0), Skills!M24+1)</f>
        <v/>
      </c>
      <c r="F839">
        <f>IF(Skills!N24=TRUE,(Skills!L24/10)*(E839/1000),Skills!L24/10)+Skills!O24</f>
        <v/>
      </c>
      <c r="G839">
        <f>Skills!G24*IF(Skills!H24&gt;0,Skills!I24/Skills!H24,1)</f>
        <v/>
      </c>
      <c r="H839">
        <f>1-(1-Skills!J24/100)^Skills!K24</f>
        <v/>
      </c>
      <c r="I839" t="inlineStr">
        <is>
          <t>1</t>
        </is>
      </c>
      <c r="J839" t="inlineStr"/>
      <c r="K839" t="inlineStr"/>
      <c r="L839" t="inlineStr"/>
      <c r="M839" t="inlineStr"/>
      <c r="N839" t="inlineStr"/>
      <c r="O839">
        <f>(1-Summary!$B$55)*T839+Summary!$B$55*V839</f>
        <v/>
      </c>
      <c r="P839">
        <f>IF(B858=0,0,O839/B858)</f>
        <v/>
      </c>
      <c r="Q839" t="n">
        <v>0</v>
      </c>
      <c r="R839" t="n">
        <v>0</v>
      </c>
      <c r="S839">
        <f>IFERROR(O839/N839,0)</f>
        <v/>
      </c>
      <c r="T839" t="n">
        <v>0</v>
      </c>
      <c r="V839" t="n">
        <v>0</v>
      </c>
    </row>
    <row r="840">
      <c r="A840">
        <f>Skills!A25</f>
        <v/>
      </c>
      <c r="B840">
        <f>Skills!B25</f>
        <v/>
      </c>
      <c r="C840">
        <f>Inputs!$B$3&gt;=75</f>
        <v/>
      </c>
      <c r="D840">
        <f>IF(Skills!C25=1,60+Inputs!$B$25+Inputs!$B$29,IF(Skills!C25=2,90+(Inputs!$B$26+1)+Inputs!$B$29,IF(Skills!C25=3,120+Inputs!$B$27+Inputs!$B$29,MAX(0,(Inputs!$B$3-100)*3)+Inputs!$B$28+Inputs!$B$29)))</f>
        <v/>
      </c>
      <c r="E840">
        <f>INDEX(FactorTable!$B$2:$Y$301, MATCH(ROUND(MIN(300,MAX(1,D840)),0), FactorTable!$A$2:$A$301,0), Skills!M25+1)</f>
        <v/>
      </c>
      <c r="F840">
        <f>IF(Skills!N25=TRUE,(Skills!L25/10)*(E840/1000),Skills!L25/10)+Skills!O25</f>
        <v/>
      </c>
      <c r="G840">
        <f>Skills!G25*IF(Skills!H25&gt;0,Skills!I25/Skills!H25,1)</f>
        <v/>
      </c>
      <c r="H840">
        <f>1-(1-Skills!J25/100)^Skills!K25</f>
        <v/>
      </c>
      <c r="I840" t="inlineStr">
        <is>
          <t>1</t>
        </is>
      </c>
      <c r="J840" t="inlineStr"/>
      <c r="K840" t="inlineStr"/>
      <c r="L840" t="inlineStr"/>
      <c r="M840" t="inlineStr"/>
      <c r="N840" t="inlineStr"/>
      <c r="O840">
        <f>(1-Summary!$B$55)*T840+Summary!$B$55*V840</f>
        <v/>
      </c>
      <c r="P840">
        <f>IF(B858=0,0,O840/B858)</f>
        <v/>
      </c>
      <c r="Q840" t="n">
        <v>0</v>
      </c>
      <c r="R840" t="n">
        <v>0</v>
      </c>
      <c r="S840">
        <f>IFERROR(O840/N840,0)</f>
        <v/>
      </c>
      <c r="T840" t="n">
        <v>0</v>
      </c>
      <c r="V840" t="n">
        <v>0</v>
      </c>
    </row>
    <row r="841">
      <c r="A841">
        <f>Skills!A26</f>
        <v/>
      </c>
      <c r="B841">
        <f>Skills!B26</f>
        <v/>
      </c>
      <c r="C841">
        <f>Inputs!$B$3&gt;=125</f>
        <v/>
      </c>
      <c r="D841">
        <f>IF(Skills!C26=1,60+Inputs!$B$25+Inputs!$B$29,IF(Skills!C26=2,90+(Inputs!$B$26+1)+Inputs!$B$29,IF(Skills!C26=3,120+Inputs!$B$27+Inputs!$B$29,MAX(0,(Inputs!$B$3-100)*3)+Inputs!$B$28+Inputs!$B$29)))</f>
        <v/>
      </c>
      <c r="E841">
        <f>INDEX(FactorTable!$B$2:$Y$301, MATCH(ROUND(MIN(300,MAX(1,D841)),0), FactorTable!$A$2:$A$301,0), Skills!M26+1)</f>
        <v/>
      </c>
      <c r="F841">
        <f>IF(Skills!N26=TRUE,(Skills!L26/10)*(E841/1000),Skills!L26/10)+Skills!O26</f>
        <v/>
      </c>
      <c r="G841">
        <f>Skills!G26*IF(Skills!H26&gt;0,Skills!I26/Skills!H26,1)</f>
        <v/>
      </c>
      <c r="H841">
        <f>1-(1-Skills!J26/100)^Skills!K26</f>
        <v/>
      </c>
      <c r="I841" t="inlineStr">
        <is>
          <t>1</t>
        </is>
      </c>
      <c r="J841" t="inlineStr"/>
      <c r="K841" t="inlineStr"/>
      <c r="L841" t="inlineStr"/>
      <c r="M841" t="inlineStr"/>
      <c r="N841" t="inlineStr"/>
      <c r="O841">
        <f>(1-Summary!$B$55)*T841+Summary!$B$55*V841</f>
        <v/>
      </c>
      <c r="P841">
        <f>IF(B858=0,0,O841/B858)</f>
        <v/>
      </c>
      <c r="Q841" t="n">
        <v>0</v>
      </c>
      <c r="R841" t="n">
        <v>0</v>
      </c>
      <c r="S841">
        <f>IFERROR(O841/N841,0)</f>
        <v/>
      </c>
      <c r="T841" t="n">
        <v>0</v>
      </c>
      <c r="V841" t="n">
        <v>0</v>
      </c>
    </row>
    <row r="842">
      <c r="A842">
        <f>Skills!A27</f>
        <v/>
      </c>
      <c r="B842">
        <f>Skills!B27</f>
        <v/>
      </c>
      <c r="C842">
        <f>Inputs!$B$3&gt;=125</f>
        <v/>
      </c>
      <c r="D842">
        <f>IF(Skills!C27=1,60+Inputs!$B$25+Inputs!$B$29,IF(Skills!C27=2,90+(Inputs!$B$26+1)+Inputs!$B$29,IF(Skills!C27=3,120+Inputs!$B$27+Inputs!$B$29,MAX(0,(Inputs!$B$3-100)*3)+Inputs!$B$28+Inputs!$B$29)))</f>
        <v/>
      </c>
      <c r="E842">
        <f>INDEX(FactorTable!$B$2:$Y$301, MATCH(ROUND(MIN(300,MAX(1,D842)),0), FactorTable!$A$2:$A$301,0), Skills!M27+1)</f>
        <v/>
      </c>
      <c r="F842">
        <f>IF(Skills!N27=TRUE,(Skills!L27/10)*(E842/1000),Skills!L27/10)+Skills!O27</f>
        <v/>
      </c>
      <c r="G842">
        <f>Skills!G27*IF(Skills!H27&gt;0,Skills!I27/Skills!H27,1)</f>
        <v/>
      </c>
      <c r="H842">
        <f>1-(1-Skills!J27/100)^Skills!K27</f>
        <v/>
      </c>
      <c r="I842" t="inlineStr">
        <is>
          <t>1</t>
        </is>
      </c>
      <c r="J842" t="inlineStr"/>
      <c r="K842" t="inlineStr"/>
      <c r="L842" t="inlineStr"/>
      <c r="M842" t="inlineStr"/>
      <c r="N842" t="inlineStr"/>
      <c r="O842">
        <f>(1-Summary!$B$55)*T842+Summary!$B$55*V842</f>
        <v/>
      </c>
      <c r="P842">
        <f>IF(B858=0,0,O842/B858)</f>
        <v/>
      </c>
      <c r="Q842" t="n">
        <v>0</v>
      </c>
      <c r="R842" t="n">
        <v>0</v>
      </c>
      <c r="S842">
        <f>IFERROR(O842/N842,0)</f>
        <v/>
      </c>
      <c r="T842" t="n">
        <v>0</v>
      </c>
      <c r="V842" t="n">
        <v>0</v>
      </c>
    </row>
    <row r="843">
      <c r="A843">
        <f>Skills!A28</f>
        <v/>
      </c>
      <c r="B843">
        <f>Skills!B28</f>
        <v/>
      </c>
      <c r="C843">
        <f>Inputs!$B$3&gt;=120</f>
        <v/>
      </c>
      <c r="D843">
        <f>IF(Skills!C28=1,60+Inputs!$B$25+Inputs!$B$29,IF(Skills!C28=2,90+(Inputs!$B$26+1)+Inputs!$B$29,IF(Skills!C28=3,120+Inputs!$B$27+Inputs!$B$29,MAX(0,(Inputs!$B$3-100)*3)+Inputs!$B$28+Inputs!$B$29)))</f>
        <v/>
      </c>
      <c r="E843">
        <f>INDEX(FactorTable!$B$2:$Y$301, MATCH(ROUND(MIN(300,MAX(1,D843)),0), FactorTable!$A$2:$A$301,0), Skills!M28+1)</f>
        <v/>
      </c>
      <c r="F843">
        <f>IF(Skills!N28=TRUE,(Skills!L28/10)*(E843/1000),Skills!L28/10)+Skills!O28</f>
        <v/>
      </c>
      <c r="G843">
        <f>Skills!G28*IF(Skills!H28&gt;0,Skills!I28/Skills!H28,1)</f>
        <v/>
      </c>
      <c r="H843">
        <f>1-(1-Skills!J28/100)^Skills!K28</f>
        <v/>
      </c>
      <c r="I843" t="inlineStr">
        <is>
          <t>1</t>
        </is>
      </c>
      <c r="J843" t="inlineStr"/>
      <c r="K843" t="inlineStr"/>
      <c r="L843" t="inlineStr"/>
      <c r="M843" t="inlineStr"/>
      <c r="N843" t="inlineStr"/>
      <c r="O843">
        <f>(1-Summary!$B$55)*T843+Summary!$B$55*V843</f>
        <v/>
      </c>
      <c r="P843">
        <f>IF(B858=0,0,O843/B858)</f>
        <v/>
      </c>
      <c r="Q843" t="n">
        <v>0</v>
      </c>
      <c r="R843" t="n">
        <v>0</v>
      </c>
      <c r="S843">
        <f>IFERROR(O843/N843,0)</f>
        <v/>
      </c>
      <c r="T843" t="n">
        <v>0</v>
      </c>
      <c r="V843" t="n">
        <v>0</v>
      </c>
    </row>
    <row r="844">
      <c r="A844">
        <f>Skills!A29</f>
        <v/>
      </c>
      <c r="B844">
        <f>Skills!B29</f>
        <v/>
      </c>
      <c r="C844">
        <f>Inputs!$B$3&gt;=120</f>
        <v/>
      </c>
      <c r="D844">
        <f>IF(Skills!C29=1,60+Inputs!$B$25+Inputs!$B$29,IF(Skills!C29=2,90+(Inputs!$B$26+1)+Inputs!$B$29,IF(Skills!C29=3,120+Inputs!$B$27+Inputs!$B$29,MAX(0,(Inputs!$B$3-100)*3)+Inputs!$B$28+Inputs!$B$29)))</f>
        <v/>
      </c>
      <c r="E844">
        <f>INDEX(FactorTable!$B$2:$Y$301, MATCH(ROUND(MIN(300,MAX(1,D844)),0), FactorTable!$A$2:$A$301,0), Skills!M29+1)</f>
        <v/>
      </c>
      <c r="F844">
        <f>IF(Skills!N29=TRUE,(Skills!L29/10)*(E844/1000),Skills!L29/10)+Skills!O29</f>
        <v/>
      </c>
      <c r="G844">
        <f>Skills!G29*IF(Skills!H29&gt;0,Skills!I29/Skills!H29,1)</f>
        <v/>
      </c>
      <c r="H844">
        <f>1-(1-Skills!J29/100)^Skills!K29</f>
        <v/>
      </c>
      <c r="I844" t="inlineStr">
        <is>
          <t>1</t>
        </is>
      </c>
      <c r="J844" t="inlineStr"/>
      <c r="K844" t="inlineStr"/>
      <c r="L844" t="inlineStr"/>
      <c r="M844" t="inlineStr"/>
      <c r="N844" t="inlineStr"/>
      <c r="O844">
        <f>(1-Summary!$B$55)*T844+Summary!$B$55*V844</f>
        <v/>
      </c>
      <c r="P844">
        <f>IF(B858=0,0,O844/B858)</f>
        <v/>
      </c>
      <c r="Q844" t="n">
        <v>0</v>
      </c>
      <c r="R844" t="n">
        <v>0</v>
      </c>
      <c r="S844">
        <f>IFERROR(O844/N844,0)</f>
        <v/>
      </c>
      <c r="T844" t="n">
        <v>0</v>
      </c>
      <c r="V844" t="n">
        <v>0</v>
      </c>
    </row>
    <row r="845">
      <c r="A845">
        <f>Skills!A30</f>
        <v/>
      </c>
      <c r="B845">
        <f>Skills!B30</f>
        <v/>
      </c>
      <c r="C845">
        <f>Inputs!$B$3&gt;=45</f>
        <v/>
      </c>
      <c r="D845">
        <f>IF(Skills!C30=1,60+Inputs!$B$25+Inputs!$B$29,IF(Skills!C30=2,90+(Inputs!$B$26+1)+Inputs!$B$29,IF(Skills!C30=3,120+Inputs!$B$27+Inputs!$B$29,MAX(0,(Inputs!$B$3-100)*3)+Inputs!$B$28+Inputs!$B$29)))</f>
        <v/>
      </c>
      <c r="E845">
        <f>INDEX(FactorTable!$B$2:$Y$301, MATCH(ROUND(MIN(300,MAX(1,D845)),0), FactorTable!$A$2:$A$301,0), Skills!M30+1)</f>
        <v/>
      </c>
      <c r="F845">
        <f>IF(Skills!N30=TRUE,(Skills!L30/10)*(E845/1000),Skills!L30/10)+Skills!O30</f>
        <v/>
      </c>
      <c r="G845">
        <f>Skills!G30*IF(Skills!H30&gt;0,Skills!I30/Skills!H30,1)</f>
        <v/>
      </c>
      <c r="H845">
        <f>1-(1-Skills!J30/100)^Skills!K30</f>
        <v/>
      </c>
      <c r="I845" t="inlineStr">
        <is>
          <t>1</t>
        </is>
      </c>
      <c r="J845" t="inlineStr"/>
      <c r="K845" t="inlineStr"/>
      <c r="L845" t="inlineStr"/>
      <c r="M845" t="inlineStr"/>
      <c r="N845" t="inlineStr"/>
      <c r="O845">
        <f>(1-Summary!$B$55)*T845+Summary!$B$55*V845</f>
        <v/>
      </c>
      <c r="P845">
        <f>IF(B858=0,0,O845/B858)</f>
        <v/>
      </c>
      <c r="Q845" t="n">
        <v>0</v>
      </c>
      <c r="R845" t="n">
        <v>0</v>
      </c>
      <c r="S845">
        <f>IFERROR(O845/N845,0)</f>
        <v/>
      </c>
      <c r="T845" t="n">
        <v>0</v>
      </c>
      <c r="V845" t="n">
        <v>0</v>
      </c>
    </row>
    <row r="847">
      <c r="A847" t="inlineStr">
        <is>
          <t>Attack% Bucket Multiplier</t>
        </is>
      </c>
      <c r="B847">
        <f>(1+(((C828=TRUE)*F828)+((C829=TRUE)*IF(Inputs!$B$38="pvp",F829,(1-Summary!$B$55)*(F829)+Summary!$B$55*(0)))+((C830=TRUE)*F830*IF(AND(Inputs!$B$38&lt;&gt;"pvp",Inputs!$B$43&gt;0),(((R830-1)*(Skills!T15*(1+Inputs!$B$34/100))+MIN((Skills!T15*(1+Inputs!$B$34/100)),MAX(0,Inputs!$B$43-((R830-1)*Skills!D15))))/Inputs!$B$43),IF(Inputs!$B$38="pvp",MIN((Skills!T15*(1+Inputs!$B$34/100)),15)/15,(Skills!T15*(1+Inputs!$B$34/100))/Skills!D15)))+((C845=TRUE)*(F845-Calc!F30)))/100)</f>
        <v/>
      </c>
    </row>
    <row r="848">
      <c r="A848" t="inlineStr">
        <is>
          <t>Global Crit Rate Bonus %</t>
        </is>
      </c>
      <c r="B848">
        <f>(C831=TRUE)*20*IF(AND(Inputs!$B$38&lt;&gt;"pvp",Inputs!$B$43&gt;0),(((R831-1)*(Skills!T16*(1+Inputs!$B$34/100))+MIN((Skills!T16*(1+Inputs!$B$34/100)),MAX(0,Inputs!$B$43-((R831-1)*Skills!D16))))/Inputs!$B$43),IF(Inputs!$B$38="pvp",MIN((Skills!T16*(1+Inputs!$B$34/100)),15)/15,(Skills!T16*(1+Inputs!$B$34/100))/Skills!D16))</f>
        <v/>
      </c>
    </row>
    <row r="849">
      <c r="A849" t="inlineStr">
        <is>
          <t>Attack Speed Buff Bonus %</t>
        </is>
      </c>
      <c r="B849">
        <f>((C834=TRUE)*F834*IF(AND(Inputs!$B$38&lt;&gt;"pvp",Inputs!$B$43&gt;0),(((R834-1)*(Skills!T19*(1+Inputs!$B$34/100))+MIN((Skills!T19*(1+Inputs!$B$34/100)),MAX(0,Inputs!$B$43-((R834-1)*Skills!D19))))/Inputs!$B$43),IF(Inputs!$B$38="pvp",MIN((Skills!T19*(1+Inputs!$B$34/100)),15)/15,(Skills!T19*(1+Inputs!$B$34/100))/Skills!D19)))</f>
        <v/>
      </c>
    </row>
    <row r="850">
      <c r="A850" t="inlineStr">
        <is>
          <t>Actions Per Second</t>
        </is>
      </c>
      <c r="B850">
        <f>1+MIN(150,150*(1-(1-(Inputs!$B$11+((C836=TRUE)*(F836-Calc!F21))+((C837=TRUE)*(F837-Calc!F22)))/150)*(1-B849/150)))/100</f>
        <v/>
      </c>
    </row>
    <row r="851">
      <c r="A851" t="inlineStr">
        <is>
          <t>Skill + Buff Cast Rate</t>
        </is>
      </c>
      <c r="B851">
        <f>IF(AND(Inputs!$B$38&lt;&gt;"pvp",Inputs!$B$43&gt;0),SUMPRODUCT((Skills!E2:E30=TRUE)*(C817:C845=TRUE)*R817:R845*Skills!F2:F30)/Inputs!$B$43,SUMPRODUCT((Skills!E2:E30=TRUE)*(C817:C845=TRUE)*Q817:Q845*Skills!F2:F30))</f>
        <v/>
      </c>
    </row>
    <row r="852">
      <c r="A852" t="inlineStr">
        <is>
          <t>Arrow Stream Casts Per Second</t>
        </is>
      </c>
      <c r="B852">
        <f>MAX(0,B850-B851)</f>
        <v/>
      </c>
    </row>
    <row r="853">
      <c r="A853" t="inlineStr">
        <is>
          <t>Global Critical Damage Bonus % (Sharp Eyes + Concentration)</t>
        </is>
      </c>
      <c r="B853">
        <f>(C831=TRUE)*F831*IF(AND(Inputs!$B$38&lt;&gt;"pvp",Inputs!$B$43&gt;0),(((R831-1)*(Skills!T16*(1+Inputs!$B$34/100))+MIN((Skills!T16*(1+Inputs!$B$34/100)),MAX(0,Inputs!$B$43-((R831-1)*Skills!D16))))/Inputs!$B$43),IF(Inputs!$B$38="pvp",MIN((Skills!T16*(1+Inputs!$B$34/100)),15)/15,(Skills!T16*(1+Inputs!$B$34/100))/Skills!D16))+(C832=TRUE)*30</f>
        <v/>
      </c>
    </row>
    <row r="854">
      <c r="A854" t="inlineStr">
        <is>
          <t>Global Final Damage Bonus % (Mortal Blow)</t>
        </is>
      </c>
      <c r="B854">
        <f>(C833=TRUE)*F833</f>
        <v/>
      </c>
    </row>
    <row r="855">
      <c r="A855" t="inlineStr">
        <is>
          <t>Buff-Casting Startup Delay (s, fixed-duration only)</t>
        </is>
      </c>
      <c r="B855">
        <f>IF(AND(Inputs!$B$38&lt;&gt;"pvp",Inputs!$B$43&gt;0),SUMPRODUCT((Skills!T2:T30&gt;0)*(Skills!E2:E30=TRUE)*(C817:C845=TRUE))/B850,0)</f>
        <v/>
      </c>
    </row>
    <row r="856">
      <c r="A856" t="inlineStr">
        <is>
          <t>Boss-Only Total DPS (this block's swept value)</t>
        </is>
      </c>
      <c r="B856">
        <f>SUM(T817:T845)</f>
        <v/>
      </c>
    </row>
    <row r="857">
      <c r="A857" t="inlineStr">
        <is>
          <t>Normal-Only Total DPS (this block's swept value)</t>
        </is>
      </c>
      <c r="B857">
        <f>SUM(V817:V845)</f>
        <v/>
      </c>
    </row>
    <row r="858">
      <c r="A858" s="5" t="inlineStr">
        <is>
          <t>TOTAL DPS</t>
        </is>
      </c>
      <c r="B858" s="5">
        <f>SUM(O817:O845)</f>
        <v/>
      </c>
    </row>
    <row r="861">
      <c r="A861" s="5" t="inlineStr">
        <is>
          <t>Stat: Skill Level Bonus — 3rd Job</t>
        </is>
      </c>
    </row>
    <row r="862">
      <c r="A862" s="9" t="inlineStr">
        <is>
          <t>Key</t>
        </is>
      </c>
      <c r="B862" s="9" t="inlineStr">
        <is>
          <t>Name</t>
        </is>
      </c>
      <c r="C862" s="9" t="inlineStr">
        <is>
          <t>Unlocked</t>
        </is>
      </c>
      <c r="D862" s="9" t="inlineStr">
        <is>
          <t>InputLevel</t>
        </is>
      </c>
      <c r="E862" s="9" t="inlineStr">
        <is>
          <t>Factor</t>
        </is>
      </c>
      <c r="F862" s="9" t="inlineStr">
        <is>
          <t>CoefficientPercent</t>
        </is>
      </c>
      <c r="G862" s="9" t="inlineStr">
        <is>
          <t>EffectiveHits</t>
        </is>
      </c>
      <c r="H862" s="9" t="inlineStr">
        <is>
          <t>ProcProbability</t>
        </is>
      </c>
      <c r="I862" s="9" t="inlineStr">
        <is>
          <t>MapleHeroMultiplier</t>
        </is>
      </c>
      <c r="J862" s="9" t="inlineStr">
        <is>
          <t>BaseDamage</t>
        </is>
      </c>
      <c r="K862" s="9" t="inlineStr">
        <is>
          <t>BaseHitDamage</t>
        </is>
      </c>
      <c r="L862" s="9" t="inlineStr">
        <is>
          <t>NonCritAvg</t>
        </is>
      </c>
      <c r="M862" s="9" t="inlineStr">
        <is>
          <t>CritAvg</t>
        </is>
      </c>
      <c r="N862" s="9" t="inlineStr">
        <is>
          <t>ExpectedDamage(perHit)</t>
        </is>
      </c>
      <c r="O862" s="9" t="inlineStr">
        <is>
          <t>DPS</t>
        </is>
      </c>
      <c r="P862" s="9" t="inlineStr">
        <is>
          <t>% of Total</t>
        </is>
      </c>
      <c r="Q862" s="9" t="inlineStr">
        <is>
          <t>InvCooldown</t>
        </is>
      </c>
      <c r="R862" s="9" t="inlineStr">
        <is>
          <t>CastsInFight</t>
        </is>
      </c>
      <c r="S862" s="9" t="inlineStr">
        <is>
          <t>HitRate(perSec)</t>
        </is>
      </c>
      <c r="U862" t="inlineStr">
        <is>
          <t>helpers</t>
        </is>
      </c>
    </row>
    <row r="863">
      <c r="A863">
        <f>Skills!A2</f>
        <v/>
      </c>
      <c r="B863">
        <f>Skills!B2</f>
        <v/>
      </c>
      <c r="C863">
        <f>Inputs!$B$3&gt;=100</f>
        <v/>
      </c>
      <c r="D863" t="inlineStr"/>
      <c r="E863" t="inlineStr"/>
      <c r="F863">
        <f>U865+Skills!O2</f>
        <v/>
      </c>
      <c r="G863">
        <f>Skills!G2*IF(Skills!H2&gt;0,Skills!I2/Skills!H2,1)</f>
        <v/>
      </c>
      <c r="H863">
        <f>1-(1-Skills!J2/100)^Skills!K2</f>
        <v/>
      </c>
      <c r="I863" t="inlineStr">
        <is>
          <t>1</t>
        </is>
      </c>
      <c r="J863">
        <f>((Inputs!$B$6*(1+Inputs!$B$7/100))+(((Inputs!$B$12*(1+Inputs!$B$13/100))-(Inputs!$B$12*(1+Inputs!$B$13/100)))+0.25*(Inputs!$B$14-Inputs!$B$14))*(1+Inputs!$B$7/100))*(F863/100)</f>
        <v/>
      </c>
      <c r="K863">
        <f>J863*(1+((Inputs!$B$12*(1+Inputs!$B$13/100))*0.01+Inputs!$B$14*0.0025)/100)*(1+Inputs!$B$15/100)*(1+Inputs!$B$16/100)*(5000/(6000+Inputs!$B$42*(1-(Inputs!$B$19+((C888=TRUE)*(F888-Calc!F27)))/100)))*(1+(Inputs!$B$24+((C886=TRUE)*(F886-Calc!F25))+((C887=TRUE)*(F887-Calc!F26))+B900)/100)*(1+(IF(Skills!A2="ARROW_STREAM",Inputs!$B$17+((C884=TRUE)*(F884-Calc!F23)),Inputs!$B$18+((C889=TRUE)*(F889-Calc!F28))))/100)*((1+(((C874=TRUE)*F874)+((C875=TRUE)*IF(Inputs!$B$38="pvp",F875,(1-Summary!$B$55)*(F875)+Summary!$B$55*(0)))+((C876=TRUE)*F876*IF(AND(Inputs!$B$38&lt;&gt;"pvp",Inputs!$B$43&gt;0),(((R876-1)*(Skills!T15*(1+Inputs!$B$34/100))+MIN((Skills!T15*(1+Inputs!$B$34/100)),MAX(0,Inputs!$B$43-((R876-1)*Skills!D15))))/Inputs!$B$43),IF(Inputs!$B$38="pvp",MIN((Skills!T15*(1+Inputs!$B$34/100)),15)/15,(Skills!T15*(1+Inputs!$B$34/100))/Skills!D15)))+((C891=TRUE)*(F891-Calc!F30)))/100)*I863)</f>
        <v/>
      </c>
      <c r="L863">
        <f>K863*(MIN(Inputs!$B$22+((C885=TRUE)*(F885-Calc!F24)),Inputs!$B$23+((C890=TRUE)*(F890-Calc!F29)))/100+(Inputs!$B$23+((C890=TRUE)*(F890-Calc!F29)))/100)/2</f>
        <v/>
      </c>
      <c r="M863">
        <f>L863*(1+(Inputs!$B$10+0+B899)/100)</f>
        <v/>
      </c>
      <c r="N863">
        <f>L863*(1-MIN((Inputs!$B$9+((C881=TRUE)*(F881-Calc!F20))+B894),100)/100)+M863*(MIN((Inputs!$B$9+((C881=TRUE)*(F881-Calc!F20))+B894),100)/100)</f>
        <v/>
      </c>
      <c r="O863">
        <f>(1-Summary!$B$55)*T863+Summary!$B$55*V863</f>
        <v/>
      </c>
      <c r="P863">
        <f>IF(B904=0,0,O863/B904)</f>
        <v/>
      </c>
      <c r="Q863" t="n">
        <v>0</v>
      </c>
      <c r="R863" t="n">
        <v>0</v>
      </c>
      <c r="S863">
        <f>IFERROR(O863/N863,0)</f>
        <v/>
      </c>
      <c r="T863">
        <f>IF(C863,(Skills!G2*N863*B898)*IF(Inputs!$B$38="pvp",1,1+(Inputs!$B$20+0+Skills!P2)/100),0)</f>
        <v/>
      </c>
      <c r="U863">
        <f>MAX(0,(Inputs!$B$3-100)*3)+Inputs!$B$28+Inputs!$B$29</f>
        <v/>
      </c>
      <c r="V863">
        <f>IF(C863,(Skills!G2*N863*B898)*IF(Inputs!$B$38="pvp",1,(1+(Inputs!$B$21+Skills!Q2)/100)*(MIN((6+Inputs!$B$33),Inputs!$B$37))),0)</f>
        <v/>
      </c>
    </row>
    <row r="864">
      <c r="A864">
        <f>Skills!A3</f>
        <v/>
      </c>
      <c r="B864">
        <f>Skills!B3</f>
        <v/>
      </c>
      <c r="C864">
        <f>Inputs!$B$3&gt;=50</f>
        <v/>
      </c>
      <c r="D864">
        <f>IF(Skills!C3=1,60+Inputs!$B$25+Inputs!$B$29,IF(Skills!C3=2,90+Inputs!$B$26+Inputs!$B$29,IF(Skills!C3=3,120+(Inputs!$B$27+1)+Inputs!$B$29,MAX(0,(Inputs!$B$3-100)*3)+Inputs!$B$28+Inputs!$B$29)))</f>
        <v/>
      </c>
      <c r="E864">
        <f>INDEX(FactorTable!$B$2:$Y$301, MATCH(ROUND(MIN(300,MAX(1,D864)),0), FactorTable!$A$2:$A$301,0), Skills!M3+1)</f>
        <v/>
      </c>
      <c r="F864">
        <f>IF(Skills!N3=TRUE,(Skills!L3/10)*(E864/1000),Skills!L3/10)+Skills!O3</f>
        <v/>
      </c>
      <c r="G864" t="inlineStr"/>
      <c r="H864" t="inlineStr"/>
      <c r="I864" t="inlineStr">
        <is>
          <t>1</t>
        </is>
      </c>
      <c r="J864" t="inlineStr"/>
      <c r="K864" t="inlineStr"/>
      <c r="L864" t="inlineStr"/>
      <c r="M864" t="inlineStr"/>
      <c r="N864" t="inlineStr"/>
      <c r="O864" t="inlineStr"/>
      <c r="P864" t="inlineStr"/>
      <c r="Q864" t="inlineStr"/>
      <c r="R864" t="inlineStr"/>
      <c r="S864" t="inlineStr"/>
      <c r="T864" t="inlineStr"/>
      <c r="U864">
        <f>INDEX(FactorTable!$B$2:$Y$301, MATCH(ROUND(MIN(300,MAX(1,U863)),0), FactorTable!$A$2:$A$301,0), 22)</f>
        <v/>
      </c>
      <c r="V864" t="inlineStr"/>
    </row>
    <row r="865">
      <c r="A865">
        <f>Skills!A4</f>
        <v/>
      </c>
      <c r="B865">
        <f>Skills!B4</f>
        <v/>
      </c>
      <c r="C865">
        <f>Inputs!$B$3&gt;=105</f>
        <v/>
      </c>
      <c r="D865">
        <f>IF(Skills!C4=1,60+Inputs!$B$25+Inputs!$B$29,IF(Skills!C4=2,90+Inputs!$B$26+Inputs!$B$29,IF(Skills!C4=3,120+(Inputs!$B$27+1)+Inputs!$B$29,MAX(0,(Inputs!$B$3-100)*3)+Inputs!$B$28+Inputs!$B$29)))</f>
        <v/>
      </c>
      <c r="E865">
        <f>INDEX(FactorTable!$B$2:$Y$301, MATCH(ROUND(MIN(300,MAX(1,D865)),0), FactorTable!$A$2:$A$301,0), Skills!M4+1)</f>
        <v/>
      </c>
      <c r="F865">
        <f>IF(Skills!N4=TRUE,(Skills!L4/10)*(E865/1000),Skills!L4/10)+Skills!O4</f>
        <v/>
      </c>
      <c r="G865" t="inlineStr"/>
      <c r="H865" t="inlineStr"/>
      <c r="I865" t="inlineStr">
        <is>
          <t>1</t>
        </is>
      </c>
      <c r="J865" t="inlineStr"/>
      <c r="K865" t="inlineStr"/>
      <c r="L865" t="inlineStr"/>
      <c r="M865" t="inlineStr"/>
      <c r="N865" t="inlineStr"/>
      <c r="O865" t="inlineStr"/>
      <c r="P865" t="inlineStr"/>
      <c r="Q865" t="inlineStr"/>
      <c r="R865" t="inlineStr"/>
      <c r="S865" t="inlineStr"/>
      <c r="T865" t="inlineStr"/>
      <c r="U865">
        <f>290*U864/1000</f>
        <v/>
      </c>
      <c r="V865" t="inlineStr"/>
    </row>
    <row r="866">
      <c r="A866">
        <f>Skills!A5</f>
        <v/>
      </c>
      <c r="B866">
        <f>Skills!B5</f>
        <v/>
      </c>
      <c r="C866">
        <f>Inputs!$B$3&gt;=35</f>
        <v/>
      </c>
      <c r="D866">
        <f>IF(Skills!C5=1,60+Inputs!$B$25+Inputs!$B$29,IF(Skills!C5=2,90+Inputs!$B$26+Inputs!$B$29,IF(Skills!C5=3,120+(Inputs!$B$27+1)+Inputs!$B$29,MAX(0,(Inputs!$B$3-100)*3)+Inputs!$B$28+Inputs!$B$29)))</f>
        <v/>
      </c>
      <c r="E866">
        <f>INDEX(FactorTable!$B$2:$Y$301, MATCH(ROUND(MIN(300,MAX(1,D866)),0), FactorTable!$A$2:$A$301,0), Skills!M5+1)</f>
        <v/>
      </c>
      <c r="F866">
        <f>IF(Skills!N5=TRUE,(Skills!L5/10)*(E866/1000),Skills!L5/10)+Skills!O5</f>
        <v/>
      </c>
      <c r="G866">
        <f>Skills!G5*IF(Skills!H5&gt;0,Skills!I5/Skills!H5,1)</f>
        <v/>
      </c>
      <c r="H866">
        <f>1-(1-Skills!J5/100)^Skills!K5</f>
        <v/>
      </c>
      <c r="I866" t="inlineStr">
        <is>
          <t>1</t>
        </is>
      </c>
      <c r="J866">
        <f>((Inputs!$B$6*(1+Inputs!$B$7/100))+(((Inputs!$B$12*(1+Inputs!$B$13/100))-(Inputs!$B$12*(1+Inputs!$B$13/100)))+0.25*(Inputs!$B$14-Inputs!$B$14))*(1+Inputs!$B$7/100))*(F866/100)</f>
        <v/>
      </c>
      <c r="K866">
        <f>J866*(1+((Inputs!$B$12*(1+Inputs!$B$13/100))*0.01+Inputs!$B$14*0.0025)/100)*(1+Inputs!$B$15/100)*(1+Inputs!$B$16/100)*(5000/(6000+Inputs!$B$42*(1-(Inputs!$B$19+((C888=TRUE)*(F888-Calc!F27)))/100)))*(1+(Inputs!$B$24+((C886=TRUE)*(F886-Calc!F25))+((C887=TRUE)*(F887-Calc!F26))+B900)/100)*(1+4.0*IF(C871=TRUE,F871,0)/100)*(1+(IF(Skills!A5="ARROW_STREAM",Inputs!$B$17+((C884=TRUE)*(F884-Calc!F23)),Inputs!$B$18+((C889=TRUE)*(F889-Calc!F28))))/100)*((1+(((C874=TRUE)*F874)+((C875=TRUE)*IF(Inputs!$B$38="pvp",F875,(1-Summary!$B$55)*(F875)+Summary!$B$55*(0)))+((C876=TRUE)*F876*IF(AND(Inputs!$B$38&lt;&gt;"pvp",Inputs!$B$43&gt;0),(((R876-1)*(Skills!T15*(1+Inputs!$B$34/100))+MIN((Skills!T15*(1+Inputs!$B$34/100)),MAX(0,Inputs!$B$43-((R876-1)*Skills!D15))))/Inputs!$B$43),IF(Inputs!$B$38="pvp",MIN((Skills!T15*(1+Inputs!$B$34/100)),15)/15,(Skills!T15*(1+Inputs!$B$34/100))/Skills!D15)))+((C891=TRUE)*(F891-Calc!F30)))/100)*I866)</f>
        <v/>
      </c>
      <c r="L866">
        <f>K866*(MIN(Inputs!$B$22+((C885=TRUE)*(F885-Calc!F24)),Inputs!$B$23+((C890=TRUE)*(F890-Calc!F29)))/100+(Inputs!$B$23+((C890=TRUE)*(F890-Calc!F29)))/100)/2</f>
        <v/>
      </c>
      <c r="M866">
        <f>L866*(1+(Inputs!$B$10+0+B899)/100)</f>
        <v/>
      </c>
      <c r="N866">
        <f>L866*(1-MIN((Inputs!$B$9+((C881=TRUE)*(F881-Calc!F20))+B894),100)/100)+M866*(MIN((Inputs!$B$9+((C881=TRUE)*(F881-Calc!F20))+B894),100)/100)</f>
        <v/>
      </c>
      <c r="O866">
        <f>(1-Summary!$B$55)*T866+Summary!$B$55*V866</f>
        <v/>
      </c>
      <c r="P866">
        <f>IF(B904=0,0,O866/B904)</f>
        <v/>
      </c>
      <c r="Q866">
        <f>IFERROR(1/IF(Inputs!$B$38="pvp",15,MAX(0.1,Skills!D5-IF(Skills!E5=TRUE,Inputs!$B$32,0))),0)</f>
        <v/>
      </c>
      <c r="R866">
        <f>IF(AND(Inputs!$B$38&lt;&gt;"pvp",Inputs!$B$43&gt;0),IF(MAX(0,Inputs!$B$43-B901)&lt;=0,0,(INT(MAX(0,Inputs!$B$43-B901)/IF(Inputs!$B$38="pvp",15,MAX(0.1,Skills!D5-IF(Skills!E5=TRUE,Inputs!$B$32,0))))+1)),0)</f>
        <v/>
      </c>
      <c r="S866">
        <f>IFERROR(O866/N866,0)</f>
        <v/>
      </c>
      <c r="T866">
        <f>IF(C866,(H866*N866*IF(AND(Inputs!$B$38&lt;&gt;"pvp",Inputs!$B$43&gt;0),((Skills!G5*((R866-1)*IF(Skills!H5&gt;0,Skills!I5/Skills!H5,1)+IF(Skills!H5&gt;0,MIN(Skills!I5,MAX(0,MAX(0,Inputs!$B$43-B901)-((R866-1)*IF(Inputs!$B$38="pvp",15,MAX(0.1,Skills!D5-IF(Skills!E5=TRUE,Inputs!$B$32,0))))))/Skills!H5,1)))/Inputs!$B$43),G866*Q866))*IF(Inputs!$B$38="pvp",1,1+(Inputs!$B$20+0+Skills!P5)/100),0)</f>
        <v/>
      </c>
      <c r="V866">
        <f>IF(C866,(H866*N866*IF(AND(Inputs!$B$38&lt;&gt;"pvp",Inputs!$B$43&gt;0),((Skills!G5*((R866-1)*IF(Skills!H5&gt;0,Skills!I5/Skills!H5,1)+IF(Skills!H5&gt;0,MIN(Skills!I5,MAX(0,MAX(0,Inputs!$B$43-B901)-((R866-1)*IF(Inputs!$B$38="pvp",15,MAX(0.1,Skills!D5-IF(Skills!E5=TRUE,Inputs!$B$32,0))))))/Skills!H5,1)))/Inputs!$B$43),G866*Q866))*IF(Inputs!$B$38="pvp",1,(1+(Inputs!$B$21+Skills!Q5)/100)*(MIN(Skills!R5,Inputs!$B$37))),0)</f>
        <v/>
      </c>
    </row>
    <row r="867">
      <c r="A867">
        <f>Skills!A6</f>
        <v/>
      </c>
      <c r="B867">
        <f>Skills!B6</f>
        <v/>
      </c>
      <c r="C867">
        <f>Inputs!$B$3&gt;=40</f>
        <v/>
      </c>
      <c r="D867">
        <f>IF(Skills!C6=1,60+Inputs!$B$25+Inputs!$B$29,IF(Skills!C6=2,90+Inputs!$B$26+Inputs!$B$29,IF(Skills!C6=3,120+(Inputs!$B$27+1)+Inputs!$B$29,MAX(0,(Inputs!$B$3-100)*3)+Inputs!$B$28+Inputs!$B$29)))</f>
        <v/>
      </c>
      <c r="E867">
        <f>INDEX(FactorTable!$B$2:$Y$301, MATCH(ROUND(MIN(300,MAX(1,D867)),0), FactorTable!$A$2:$A$301,0), Skills!M6+1)</f>
        <v/>
      </c>
      <c r="F867">
        <f>IF(Skills!N6=TRUE,(Skills!L6/10)*(E867/1000),Skills!L6/10)+Skills!O6</f>
        <v/>
      </c>
      <c r="G867">
        <f>Skills!G6*IF(Skills!H6&gt;0,Skills!I6/Skills!H6,1)</f>
        <v/>
      </c>
      <c r="H867">
        <f>1-(1-Skills!J6/100)^Skills!K6</f>
        <v/>
      </c>
      <c r="I867" t="inlineStr">
        <is>
          <t>1</t>
        </is>
      </c>
      <c r="J867">
        <f>((Inputs!$B$6*(1+Inputs!$B$7/100))+(((Inputs!$B$12*(1+Inputs!$B$13/100))-(Inputs!$B$12*(1+Inputs!$B$13/100)))+0.25*(Inputs!$B$14-Inputs!$B$14))*(1+Inputs!$B$7/100))*(F867/100)</f>
        <v/>
      </c>
      <c r="K867">
        <f>J867*(1+((Inputs!$B$12*(1+Inputs!$B$13/100))*0.01+Inputs!$B$14*0.0025)/100)*(1+Inputs!$B$15/100)*(1+Inputs!$B$16/100)*(5000/(6000+Inputs!$B$42*(1-(Inputs!$B$19+((C888=TRUE)*(F888-Calc!F27)))/100)))*(1+(Inputs!$B$24+((C886=TRUE)*(F886-Calc!F25))+((C887=TRUE)*(F887-Calc!F26))+B900)/100)*(1+IF(C868=TRUE,F868,0)/100)*(1+(IF(Skills!A6="ARROW_STREAM",Inputs!$B$17+((C884=TRUE)*(F884-Calc!F23)),Inputs!$B$18+((C889=TRUE)*(F889-Calc!F28))))/100)*((1+(((C874=TRUE)*F874)+((C875=TRUE)*IF(Inputs!$B$38="pvp",F875,(1-Summary!$B$55)*(F875)+Summary!$B$55*(0)))+((C876=TRUE)*F876*IF(AND(Inputs!$B$38&lt;&gt;"pvp",Inputs!$B$43&gt;0),(((R876-1)*(Skills!T15*(1+Inputs!$B$34/100))+MIN((Skills!T15*(1+Inputs!$B$34/100)),MAX(0,Inputs!$B$43-((R876-1)*Skills!D15))))/Inputs!$B$43),IF(Inputs!$B$38="pvp",MIN((Skills!T15*(1+Inputs!$B$34/100)),15)/15,(Skills!T15*(1+Inputs!$B$34/100))/Skills!D15)))+((C891=TRUE)*(F891-Calc!F30)))/100)*I867)</f>
        <v/>
      </c>
      <c r="L867">
        <f>K867*(MIN(Inputs!$B$22+((C885=TRUE)*(F885-Calc!F24)),Inputs!$B$23+((C890=TRUE)*(F890-Calc!F29)))/100+(Inputs!$B$23+((C890=TRUE)*(F890-Calc!F29)))/100)/2</f>
        <v/>
      </c>
      <c r="M867">
        <f>L867*(1+(Inputs!$B$10+0+B899)/100)</f>
        <v/>
      </c>
      <c r="N867">
        <f>L867*(1-MIN((Inputs!$B$9+((C881=TRUE)*(F881-Calc!F20))+B894),100)/100)+M867*(MIN((Inputs!$B$9+((C881=TRUE)*(F881-Calc!F20))+B894),100)/100)</f>
        <v/>
      </c>
      <c r="O867">
        <f>(1-Summary!$B$55)*T867+Summary!$B$55*V867</f>
        <v/>
      </c>
      <c r="P867">
        <f>IF(B904=0,0,O867/B904)</f>
        <v/>
      </c>
      <c r="Q867">
        <f>IFERROR(1/IF(Inputs!$B$38="pvp",15,MAX(0.1,Skills!D6-IF(Skills!E6=TRUE,Inputs!$B$32,0))),0)</f>
        <v/>
      </c>
      <c r="R867">
        <f>IF(AND(Inputs!$B$38&lt;&gt;"pvp",Inputs!$B$43&gt;0),IF(MAX(0,Inputs!$B$43-B901)&lt;=0,0,(INT(MAX(0,Inputs!$B$43-B901)/IF(Inputs!$B$38="pvp",15,MAX(0.1,Skills!D6-IF(Skills!E6=TRUE,Inputs!$B$32,0))))+1)),0)</f>
        <v/>
      </c>
      <c r="S867">
        <f>IFERROR(O867/N867,0)</f>
        <v/>
      </c>
      <c r="T867">
        <f>IF(C867,(H867*N867*IF(AND(Inputs!$B$38&lt;&gt;"pvp",Inputs!$B$43&gt;0),((Skills!G6*((R867-1)*IF(Skills!H6&gt;0,Skills!I6/Skills!H6,1)+IF(Skills!H6&gt;0,MIN(Skills!I6,MAX(0,MAX(0,Inputs!$B$43-B901)-((R867-1)*IF(Inputs!$B$38="pvp",15,MAX(0.1,Skills!D6-IF(Skills!E6=TRUE,Inputs!$B$32,0))))))/Skills!H6,1)))/Inputs!$B$43),G867*Q867))*IF(Inputs!$B$38="pvp",1,1+(Inputs!$B$20+0+Skills!P6)/100),0)</f>
        <v/>
      </c>
      <c r="V867">
        <f>IF(C867,(H867*N867*IF(AND(Inputs!$B$38&lt;&gt;"pvp",Inputs!$B$43&gt;0),((Skills!G6*((R867-1)*IF(Skills!H6&gt;0,Skills!I6/Skills!H6,1)+IF(Skills!H6&gt;0,MIN(Skills!I6,MAX(0,MAX(0,Inputs!$B$43-B901)-((R867-1)*IF(Inputs!$B$38="pvp",15,MAX(0.1,Skills!D6-IF(Skills!E6=TRUE,Inputs!$B$32,0))))))/Skills!H6,1)))/Inputs!$B$43),G867*Q867))*IF(Inputs!$B$38="pvp",1,(1+(Inputs!$B$21+Skills!Q6)/100)*(MIN(Skills!R6,Inputs!$B$37))),0)</f>
        <v/>
      </c>
    </row>
    <row r="868">
      <c r="A868">
        <f>Skills!A7</f>
        <v/>
      </c>
      <c r="B868">
        <f>Skills!B7</f>
        <v/>
      </c>
      <c r="C868">
        <f>Inputs!$B$3&gt;=107</f>
        <v/>
      </c>
      <c r="D868">
        <f>IF(Skills!C7=1,60+Inputs!$B$25+Inputs!$B$29,IF(Skills!C7=2,90+Inputs!$B$26+Inputs!$B$29,IF(Skills!C7=3,120+(Inputs!$B$27+1)+Inputs!$B$29,MAX(0,(Inputs!$B$3-100)*3)+Inputs!$B$28+Inputs!$B$29)))</f>
        <v/>
      </c>
      <c r="E868">
        <f>INDEX(FactorTable!$B$2:$Y$301, MATCH(ROUND(MIN(300,MAX(1,D868)),0), FactorTable!$A$2:$A$301,0), Skills!M7+1)</f>
        <v/>
      </c>
      <c r="F868">
        <f>IF(Skills!N7=TRUE,(Skills!L7/10)*(E868/1000),Skills!L7/10)+Skills!O7</f>
        <v/>
      </c>
      <c r="G868" t="inlineStr"/>
      <c r="H868" t="inlineStr"/>
      <c r="I868" t="inlineStr">
        <is>
          <t>1</t>
        </is>
      </c>
      <c r="J868" t="inlineStr"/>
      <c r="K868" t="inlineStr"/>
      <c r="L868" t="inlineStr"/>
      <c r="M868" t="inlineStr"/>
      <c r="N868" t="inlineStr"/>
      <c r="O868" t="inlineStr"/>
      <c r="P868" t="inlineStr"/>
      <c r="Q868" t="inlineStr"/>
      <c r="R868" t="inlineStr"/>
      <c r="S868" t="inlineStr"/>
      <c r="T868" t="inlineStr"/>
      <c r="V868" t="inlineStr"/>
    </row>
    <row r="869">
      <c r="A869">
        <f>Skills!A8</f>
        <v/>
      </c>
      <c r="B869">
        <f>Skills!B8</f>
        <v/>
      </c>
      <c r="C869">
        <f>Inputs!$B$3&gt;=69</f>
        <v/>
      </c>
      <c r="D869">
        <f>IF(Skills!C8=1,60+Inputs!$B$25+Inputs!$B$29,IF(Skills!C8=2,90+Inputs!$B$26+Inputs!$B$29,IF(Skills!C8=3,120+(Inputs!$B$27+1)+Inputs!$B$29,MAX(0,(Inputs!$B$3-100)*3)+Inputs!$B$28+Inputs!$B$29)))</f>
        <v/>
      </c>
      <c r="E869">
        <f>INDEX(FactorTable!$B$2:$Y$301, MATCH(ROUND(MIN(300,MAX(1,D869)),0), FactorTable!$A$2:$A$301,0), Skills!M8+1)</f>
        <v/>
      </c>
      <c r="F869">
        <f>IF(Skills!N8=TRUE,(Skills!L8/10)*(E869/1000),Skills!L8/10)+Skills!O8</f>
        <v/>
      </c>
      <c r="G869">
        <f>Skills!G8*IF(Skills!H8&gt;0,Skills!I8/Skills!H8,1)</f>
        <v/>
      </c>
      <c r="H869">
        <f>1-(1-Skills!J8/100)^Skills!K8</f>
        <v/>
      </c>
      <c r="I869" t="inlineStr">
        <is>
          <t>1</t>
        </is>
      </c>
      <c r="J869">
        <f>((Inputs!$B$6*(1+Inputs!$B$7/100))+(((Inputs!$B$12*(1+Inputs!$B$13/100))-(Inputs!$B$12*(1+Inputs!$B$13/100)))+0.25*(Inputs!$B$14-Inputs!$B$14))*(1+Inputs!$B$7/100))*(F869/100)</f>
        <v/>
      </c>
      <c r="K869">
        <f>J869*(1+((Inputs!$B$12*(1+Inputs!$B$13/100))*0.01+Inputs!$B$14*0.0025)/100)*(1+Inputs!$B$15/100)*(1+Inputs!$B$16/100)*(5000/(6000+Inputs!$B$42*(1-(Inputs!$B$19+((C888=TRUE)*(F888-Calc!F27)))/100)))*(1+(Inputs!$B$24+((C886=TRUE)*(F886-Calc!F25))+((C887=TRUE)*(F887-Calc!F26))+B900)/100)*(1+1.2*IF(C871=TRUE,F871,0)/100)*(1+(IF(Skills!A8="ARROW_STREAM",Inputs!$B$17+((C884=TRUE)*(F884-Calc!F23)),Inputs!$B$18+((C889=TRUE)*(F889-Calc!F28))))/100)*((1+(((C874=TRUE)*F874)+((C875=TRUE)*IF(Inputs!$B$38="pvp",F875,(1-Summary!$B$55)*(F875)+Summary!$B$55*(0)))+((C876=TRUE)*F876*IF(AND(Inputs!$B$38&lt;&gt;"pvp",Inputs!$B$43&gt;0),(((R876-1)*(Skills!T15*(1+Inputs!$B$34/100))+MIN((Skills!T15*(1+Inputs!$B$34/100)),MAX(0,Inputs!$B$43-((R876-1)*Skills!D15))))/Inputs!$B$43),IF(Inputs!$B$38="pvp",MIN((Skills!T15*(1+Inputs!$B$34/100)),15)/15,(Skills!T15*(1+Inputs!$B$34/100))/Skills!D15)))+((C891=TRUE)*(F891-Calc!F30)))/100)*I869)</f>
        <v/>
      </c>
      <c r="L869">
        <f>K869*(MIN(Inputs!$B$22+((C885=TRUE)*(F885-Calc!F24)),Inputs!$B$23+((C890=TRUE)*(F890-Calc!F29)))/100+(Inputs!$B$23+((C890=TRUE)*(F890-Calc!F29)))/100)/2</f>
        <v/>
      </c>
      <c r="M869">
        <f>L869*(1+(Inputs!$B$10+0+B899)/100)</f>
        <v/>
      </c>
      <c r="N869">
        <f>L869*(1-MIN((Inputs!$B$9+((C881=TRUE)*(F881-Calc!F20))+B894),100)/100)+M869*(MIN((Inputs!$B$9+((C881=TRUE)*(F881-Calc!F20))+B894),100)/100)</f>
        <v/>
      </c>
      <c r="O869">
        <f>(1-Summary!$B$55)*T869+Summary!$B$55*V869</f>
        <v/>
      </c>
      <c r="P869">
        <f>IF(B904=0,0,O869/B904)</f>
        <v/>
      </c>
      <c r="Q869">
        <f>IFERROR(1/IF(Inputs!$B$38="pvp",15,MAX(0.1,Skills!D8-IF(Skills!E8=TRUE,Inputs!$B$32,0))),0)</f>
        <v/>
      </c>
      <c r="R869">
        <f>IF(AND(Inputs!$B$38&lt;&gt;"pvp",Inputs!$B$43&gt;0),IF(MAX(0,Inputs!$B$43-B901)&lt;=0,0,(INT(MAX(0,Inputs!$B$43-B901)/IF(Inputs!$B$38="pvp",15,MAX(0.1,Skills!D8-IF(Skills!E8=TRUE,Inputs!$B$32,0))))+1)),0)</f>
        <v/>
      </c>
      <c r="S869">
        <f>IFERROR(O869/N869,0)</f>
        <v/>
      </c>
      <c r="T869">
        <f>IF(C869,(H869*N869*IF(AND(Inputs!$B$38&lt;&gt;"pvp",Inputs!$B$43&gt;0),((Skills!G8*((R869-1)*IF(Skills!H8&gt;0,Skills!I8/Skills!H8,1)+IF(Skills!H8&gt;0,MIN(Skills!I8,MAX(0,MAX(0,Inputs!$B$43-B901)-((R869-1)*IF(Inputs!$B$38="pvp",15,MAX(0.1,Skills!D8-IF(Skills!E8=TRUE,Inputs!$B$32,0))))))/Skills!H8,1)))/Inputs!$B$43),G869*Q869))*IF(Inputs!$B$38="pvp",1,1+(Inputs!$B$20+0+Skills!P8)/100),0)</f>
        <v/>
      </c>
      <c r="V869">
        <f>IF(C869,(H869*N869*IF(AND(Inputs!$B$38&lt;&gt;"pvp",Inputs!$B$43&gt;0),((Skills!G8*((R869-1)*IF(Skills!H8&gt;0,Skills!I8/Skills!H8,1)+IF(Skills!H8&gt;0,MIN(Skills!I8,MAX(0,MAX(0,Inputs!$B$43-B901)-((R869-1)*IF(Inputs!$B$38="pvp",15,MAX(0.1,Skills!D8-IF(Skills!E8=TRUE,Inputs!$B$32,0))))))/Skills!H8,1)))/Inputs!$B$43),G869*Q869))*IF(Inputs!$B$38="pvp",1,(1+(Inputs!$B$21+Skills!Q8)/100)*(MIN(Skills!R8,Inputs!$B$37))),0)</f>
        <v/>
      </c>
    </row>
    <row r="870">
      <c r="A870">
        <f>Skills!A9</f>
        <v/>
      </c>
      <c r="B870">
        <f>Skills!B9</f>
        <v/>
      </c>
      <c r="C870">
        <f>Inputs!$B$3&gt;=63</f>
        <v/>
      </c>
      <c r="D870">
        <f>IF(Skills!C9=1,60+Inputs!$B$25+Inputs!$B$29,IF(Skills!C9=2,90+Inputs!$B$26+Inputs!$B$29,IF(Skills!C9=3,120+(Inputs!$B$27+1)+Inputs!$B$29,MAX(0,(Inputs!$B$3-100)*3)+Inputs!$B$28+Inputs!$B$29)))</f>
        <v/>
      </c>
      <c r="E870">
        <f>INDEX(FactorTable!$B$2:$Y$301, MATCH(ROUND(MIN(300,MAX(1,D870)),0), FactorTable!$A$2:$A$301,0), Skills!M9+1)</f>
        <v/>
      </c>
      <c r="F870">
        <f>IF(Skills!N9=TRUE,(Skills!L9/10)*(E870/1000),Skills!L9/10)+Skills!O9</f>
        <v/>
      </c>
      <c r="G870">
        <f>Skills!G9*IF(Skills!H9&gt;0,Skills!I9/Skills!H9,1)</f>
        <v/>
      </c>
      <c r="H870">
        <f>1-(1-Skills!J9/100)^Skills!K9</f>
        <v/>
      </c>
      <c r="I870" t="inlineStr">
        <is>
          <t>1</t>
        </is>
      </c>
      <c r="J870">
        <f>((Inputs!$B$6*(1+Inputs!$B$7/100))+(((Inputs!$B$12*(1+Inputs!$B$13/100))-(Inputs!$B$12*(1+Inputs!$B$13/100)))+0.25*(Inputs!$B$14-Inputs!$B$14))*(1+Inputs!$B$7/100))*(F870/100)</f>
        <v/>
      </c>
      <c r="K870">
        <f>J870*(1+((Inputs!$B$12*(1+Inputs!$B$13/100))*0.01+Inputs!$B$14*0.0025)/100)*(1+Inputs!$B$15/100)*(1+Inputs!$B$16/100)*(5000/(6000+Inputs!$B$42*(1-(Inputs!$B$19+((C888=TRUE)*(F888-Calc!F27)))/100)))*(1+(Inputs!$B$24+((C886=TRUE)*(F886-Calc!F25))+((C887=TRUE)*(F887-Calc!F26))+B900)/100)*(1+1.0*IF(C871=TRUE,F871,0)/100)*(1+(IF(Skills!A9="ARROW_STREAM",Inputs!$B$17+((C884=TRUE)*(F884-Calc!F23)),Inputs!$B$18+((C889=TRUE)*(F889-Calc!F28))))/100)*((1+(((C874=TRUE)*F874)+((C875=TRUE)*IF(Inputs!$B$38="pvp",F875,(1-Summary!$B$55)*(F875)+Summary!$B$55*(0)))+((C876=TRUE)*F876*IF(AND(Inputs!$B$38&lt;&gt;"pvp",Inputs!$B$43&gt;0),(((R876-1)*(Skills!T15*(1+Inputs!$B$34/100))+MIN((Skills!T15*(1+Inputs!$B$34/100)),MAX(0,Inputs!$B$43-((R876-1)*Skills!D15))))/Inputs!$B$43),IF(Inputs!$B$38="pvp",MIN((Skills!T15*(1+Inputs!$B$34/100)),15)/15,(Skills!T15*(1+Inputs!$B$34/100))/Skills!D15)))+((C891=TRUE)*(F891-Calc!F30)))/100)*I870)</f>
        <v/>
      </c>
      <c r="L870">
        <f>K870*(MIN(Inputs!$B$22+((C885=TRUE)*(F885-Calc!F24)),Inputs!$B$23+((C890=TRUE)*(F890-Calc!F29)))/100+(Inputs!$B$23+((C890=TRUE)*(F890-Calc!F29)))/100)/2</f>
        <v/>
      </c>
      <c r="M870">
        <f>L870*(1+(Inputs!$B$10+0+B899)/100)</f>
        <v/>
      </c>
      <c r="N870">
        <f>L870*(1-MIN((Inputs!$B$9+((C881=TRUE)*(F881-Calc!F20))+B894),100)/100)+M870*(MIN((Inputs!$B$9+((C881=TRUE)*(F881-Calc!F20))+B894),100)/100)</f>
        <v/>
      </c>
      <c r="O870">
        <f>(1-Summary!$B$55)*T870+Summary!$B$55*V870</f>
        <v/>
      </c>
      <c r="P870">
        <f>IF(B904=0,0,O870/B904)</f>
        <v/>
      </c>
      <c r="Q870">
        <f>IFERROR(1/IF(Inputs!$B$38="pvp",15,MAX(0.1,Skills!D9-IF(Skills!E9=TRUE,Inputs!$B$32,0))),0)</f>
        <v/>
      </c>
      <c r="R870">
        <f>IF(AND(Inputs!$B$38&lt;&gt;"pvp",Inputs!$B$43&gt;0),IF(MAX(0,Inputs!$B$43-B901)&lt;=0,0,(INT(MAX(0,Inputs!$B$43-B901)/IF(Inputs!$B$38="pvp",15,MAX(0.1,Skills!D9-IF(Skills!E9=TRUE,Inputs!$B$32,0))))+1)),0)</f>
        <v/>
      </c>
      <c r="S870">
        <f>IFERROR(O870/N870,0)</f>
        <v/>
      </c>
      <c r="T870">
        <f>IF(C870,(H870*N870*IF(AND(Inputs!$B$38&lt;&gt;"pvp",Inputs!$B$43&gt;0),((Skills!G9*((R870-1)*IF(Skills!H9&gt;0,Skills!I9/Skills!H9,1)+IF(Skills!H9&gt;0,MIN(Skills!I9,MAX(0,MAX(0,Inputs!$B$43-B901)-((R870-1)*IF(Inputs!$B$38="pvp",15,MAX(0.1,Skills!D9-IF(Skills!E9=TRUE,Inputs!$B$32,0))))))/Skills!H9,1)))/Inputs!$B$43),G870*Q870))*IF(Inputs!$B$38="pvp",1,1+(Inputs!$B$20+0+Skills!P9)/100),0)</f>
        <v/>
      </c>
      <c r="V870">
        <f>IF(C870,(H870*N870*IF(AND(Inputs!$B$38&lt;&gt;"pvp",Inputs!$B$43&gt;0),((Skills!G9*((R870-1)*IF(Skills!H9&gt;0,Skills!I9/Skills!H9,1)+IF(Skills!H9&gt;0,MIN(Skills!I9,MAX(0,MAX(0,Inputs!$B$43-B901)-((R870-1)*IF(Inputs!$B$38="pvp",15,MAX(0.1,Skills!D9-IF(Skills!E9=TRUE,Inputs!$B$32,0))))))/Skills!H9,1)))/Inputs!$B$43),G870*Q870))*IF(Inputs!$B$38="pvp",1,(1+(Inputs!$B$21+Skills!Q9)/100)*(MIN(Skills!R9,Inputs!$B$37))),0)</f>
        <v/>
      </c>
    </row>
    <row r="871">
      <c r="A871">
        <f>Skills!A10</f>
        <v/>
      </c>
      <c r="B871">
        <f>Skills!B10</f>
        <v/>
      </c>
      <c r="C871">
        <f>Inputs!$B$3&gt;=100</f>
        <v/>
      </c>
      <c r="D871">
        <f>IF(Skills!C10=1,60+Inputs!$B$25+Inputs!$B$29,IF(Skills!C10=2,90+Inputs!$B$26+Inputs!$B$29,IF(Skills!C10=3,120+(Inputs!$B$27+1)+Inputs!$B$29,MAX(0,(Inputs!$B$3-100)*3)+Inputs!$B$28+Inputs!$B$29)))</f>
        <v/>
      </c>
      <c r="E871">
        <f>INDEX(FactorTable!$B$2:$Y$301, MATCH(ROUND(MIN(300,MAX(1,D871)),0), FactorTable!$A$2:$A$301,0), Skills!M10+1)</f>
        <v/>
      </c>
      <c r="F871">
        <f>IF(Skills!N10=TRUE,(Skills!L10/10)*(E871/1000),Skills!L10/10)+Skills!O10</f>
        <v/>
      </c>
      <c r="G871" t="inlineStr"/>
      <c r="H871" t="inlineStr"/>
      <c r="I871" t="inlineStr">
        <is>
          <t>1</t>
        </is>
      </c>
      <c r="J871" t="inlineStr"/>
      <c r="K871" t="inlineStr"/>
      <c r="L871" t="inlineStr"/>
      <c r="M871" t="inlineStr"/>
      <c r="N871" t="inlineStr"/>
      <c r="O871" t="inlineStr"/>
      <c r="P871" t="inlineStr"/>
      <c r="Q871" t="inlineStr"/>
      <c r="R871" t="inlineStr"/>
      <c r="S871" t="inlineStr"/>
      <c r="T871" t="inlineStr"/>
      <c r="V871" t="inlineStr"/>
    </row>
    <row r="872">
      <c r="A872">
        <f>Skills!A11</f>
        <v/>
      </c>
      <c r="B872">
        <f>Skills!B11</f>
        <v/>
      </c>
      <c r="C872">
        <f>Inputs!$B$3&gt;=60</f>
        <v/>
      </c>
      <c r="D872">
        <f>IF(Skills!C11=1,60+Inputs!$B$25+Inputs!$B$29,IF(Skills!C11=2,90+Inputs!$B$26+Inputs!$B$29,IF(Skills!C11=3,120+(Inputs!$B$27+1)+Inputs!$B$29,MAX(0,(Inputs!$B$3-100)*3)+Inputs!$B$28+Inputs!$B$29)))</f>
        <v/>
      </c>
      <c r="E872">
        <f>INDEX(FactorTable!$B$2:$Y$301, MATCH(ROUND(MIN(300,MAX(1,D872)),0), FactorTable!$A$2:$A$301,0), Skills!M11+1)</f>
        <v/>
      </c>
      <c r="F872">
        <f>IF(Skills!N11=TRUE,(Skills!L11/10)*(E872/1000),Skills!L11/10)+Skills!O11</f>
        <v/>
      </c>
      <c r="G872">
        <f>Skills!G11*IF(Skills!H11&gt;0,Skills!I11/Skills!H11,1)</f>
        <v/>
      </c>
      <c r="H872">
        <f>1-(1-Skills!J11/100)^Skills!K11</f>
        <v/>
      </c>
      <c r="I872" t="inlineStr">
        <is>
          <t>1</t>
        </is>
      </c>
      <c r="J872">
        <f>((Inputs!$B$6*(1+Inputs!$B$7/100))+(((Inputs!$B$12*(1+Inputs!$B$13/100))-(Inputs!$B$12*(1+Inputs!$B$13/100)))+0.25*(Inputs!$B$14-Inputs!$B$14))*(1+Inputs!$B$7/100))*(F872/100)</f>
        <v/>
      </c>
      <c r="K872">
        <f>J872*(1+((Inputs!$B$12*(1+Inputs!$B$13/100))*0.01+Inputs!$B$14*0.0025)/100)*(1+Inputs!$B$15/100)*(1+Inputs!$B$16/100)*(5000/(6000+Inputs!$B$42*(1-(Inputs!$B$19+((C888=TRUE)*(F888-Calc!F27)))/100)))*(1+(Inputs!$B$24+((C886=TRUE)*(F886-Calc!F25))+((C887=TRUE)*(F887-Calc!F26))+B900)/100)*(1+IF(C873=TRUE,F873,0)/100)*(1+(IF(Skills!A11="ARROW_STREAM",Inputs!$B$17+((C884=TRUE)*(F884-Calc!F23)),Inputs!$B$18+((C889=TRUE)*(F889-Calc!F28))))/100)*((1+(((C874=TRUE)*F874)+((C875=TRUE)*IF(Inputs!$B$38="pvp",F875,(1-Summary!$B$55)*(F875)+Summary!$B$55*(0)))+((C876=TRUE)*F876*IF(AND(Inputs!$B$38&lt;&gt;"pvp",Inputs!$B$43&gt;0),(((R876-1)*(Skills!T15*(1+Inputs!$B$34/100))+MIN((Skills!T15*(1+Inputs!$B$34/100)),MAX(0,Inputs!$B$43-((R876-1)*Skills!D15))))/Inputs!$B$43),IF(Inputs!$B$38="pvp",MIN((Skills!T15*(1+Inputs!$B$34/100)),15)/15,(Skills!T15*(1+Inputs!$B$34/100))/Skills!D15)))+((C891=TRUE)*(F891-Calc!F30)))/100)*I872)</f>
        <v/>
      </c>
      <c r="L872">
        <f>K872*(MIN(Inputs!$B$22+((C885=TRUE)*(F885-Calc!F24)),Inputs!$B$23+((C890=TRUE)*(F890-Calc!F29)))/100+(Inputs!$B$23+((C890=TRUE)*(F890-Calc!F29)))/100)/2</f>
        <v/>
      </c>
      <c r="M872">
        <f>L872*(1+(Inputs!$B$10+0+B899)/100)</f>
        <v/>
      </c>
      <c r="N872">
        <f>L872*(1-MIN((Inputs!$B$9+((C881=TRUE)*(F881-Calc!F20))+B894),100)/100)+M872*(MIN((Inputs!$B$9+((C881=TRUE)*(F881-Calc!F20))+B894),100)/100)</f>
        <v/>
      </c>
      <c r="O872">
        <f>(1-Summary!$B$55)*T872+Summary!$B$55*V872</f>
        <v/>
      </c>
      <c r="P872">
        <f>IF(B904=0,0,O872/B904)</f>
        <v/>
      </c>
      <c r="Q872">
        <f>IFERROR(1/IF(Inputs!$B$38="pvp",15,MAX(0.1,Skills!D11-IF(Skills!E11=TRUE,Inputs!$B$32,0))),0)</f>
        <v/>
      </c>
      <c r="R872">
        <f>IF(AND(Inputs!$B$38&lt;&gt;"pvp",Inputs!$B$43&gt;0),IF(MAX(0,Inputs!$B$43-B901)&lt;=0,0,(INT(MAX(0,Inputs!$B$43-B901)/IF(Inputs!$B$38="pvp",15,MAX(0.1,Skills!D11-IF(Skills!E11=TRUE,Inputs!$B$32,0))))+1)),0)</f>
        <v/>
      </c>
      <c r="S872">
        <f>IFERROR(O872/N872,0)</f>
        <v/>
      </c>
      <c r="T872">
        <f>IF(C872,(H872*N872*IF(AND(Inputs!$B$38&lt;&gt;"pvp",Inputs!$B$43&gt;0),((Skills!G11*((R872-1)*IF(Skills!H11&gt;0,Skills!I11/Skills!H11,1)+IF(Skills!H11&gt;0,MIN(Skills!I11,MAX(0,MAX(0,Inputs!$B$43-B901)-((R872-1)*IF(Inputs!$B$38="pvp",15,MAX(0.1,Skills!D11-IF(Skills!E11=TRUE,Inputs!$B$32,0))))))/Skills!H11,1)))/Inputs!$B$43),G872*Q872))*IF(Inputs!$B$38="pvp",1,1+(Inputs!$B$20+0+Skills!P11)/100),0)</f>
        <v/>
      </c>
      <c r="V872">
        <f>IF(C872,(H872*N872*IF(AND(Inputs!$B$38&lt;&gt;"pvp",Inputs!$B$43&gt;0),((Skills!G11*((R872-1)*IF(Skills!H11&gt;0,Skills!I11/Skills!H11,1)+IF(Skills!H11&gt;0,MIN(Skills!I11,MAX(0,MAX(0,Inputs!$B$43-B901)-((R872-1)*IF(Inputs!$B$38="pvp",15,MAX(0.1,Skills!D11-IF(Skills!E11=TRUE,Inputs!$B$32,0))))))/Skills!H11,1)))/Inputs!$B$43),G872*Q872))*IF(Inputs!$B$38="pvp",1,(1+(Inputs!$B$21+Skills!Q11)/100)*(MIN(Skills!R11,Inputs!$B$37))),0)</f>
        <v/>
      </c>
    </row>
    <row r="873">
      <c r="A873">
        <f>Skills!A12</f>
        <v/>
      </c>
      <c r="B873">
        <f>Skills!B12</f>
        <v/>
      </c>
      <c r="C873">
        <f>Inputs!$B$3&gt;=110</f>
        <v/>
      </c>
      <c r="D873">
        <f>IF(Skills!C12=1,60+Inputs!$B$25+Inputs!$B$29,IF(Skills!C12=2,90+Inputs!$B$26+Inputs!$B$29,IF(Skills!C12=3,120+(Inputs!$B$27+1)+Inputs!$B$29,MAX(0,(Inputs!$B$3-100)*3)+Inputs!$B$28+Inputs!$B$29)))</f>
        <v/>
      </c>
      <c r="E873">
        <f>INDEX(FactorTable!$B$2:$Y$301, MATCH(ROUND(MIN(300,MAX(1,D873)),0), FactorTable!$A$2:$A$301,0), Skills!M12+1)</f>
        <v/>
      </c>
      <c r="F873">
        <f>IF(Skills!N12=TRUE,(Skills!L12/10)*(E873/1000),Skills!L12/10)+Skills!O12</f>
        <v/>
      </c>
      <c r="G873" t="inlineStr"/>
      <c r="H873" t="inlineStr"/>
      <c r="I873" t="inlineStr">
        <is>
          <t>1</t>
        </is>
      </c>
      <c r="J873" t="inlineStr"/>
      <c r="K873" t="inlineStr"/>
      <c r="L873" t="inlineStr"/>
      <c r="M873" t="inlineStr"/>
      <c r="N873" t="inlineStr"/>
      <c r="O873" t="inlineStr"/>
      <c r="P873" t="inlineStr"/>
      <c r="Q873" t="inlineStr"/>
      <c r="R873" t="inlineStr"/>
      <c r="S873" t="inlineStr"/>
      <c r="T873" t="inlineStr"/>
      <c r="V873" t="inlineStr"/>
    </row>
    <row r="874">
      <c r="A874">
        <f>Skills!A13</f>
        <v/>
      </c>
      <c r="B874">
        <f>Skills!B13</f>
        <v/>
      </c>
      <c r="C874">
        <f>Inputs!$B$3&gt;=74</f>
        <v/>
      </c>
      <c r="D874">
        <f>IF(Skills!C13=1,60+Inputs!$B$25+Inputs!$B$29,IF(Skills!C13=2,90+Inputs!$B$26+Inputs!$B$29,IF(Skills!C13=3,120+(Inputs!$B$27+1)+Inputs!$B$29,MAX(0,(Inputs!$B$3-100)*3)+Inputs!$B$28+Inputs!$B$29)))</f>
        <v/>
      </c>
      <c r="E874">
        <f>INDEX(FactorTable!$B$2:$Y$301, MATCH(ROUND(MIN(300,MAX(1,D874)),0), FactorTable!$A$2:$A$301,0), Skills!M13+1)</f>
        <v/>
      </c>
      <c r="F874">
        <f>IF(Skills!N13=TRUE,(Skills!L13/10)*(E874/1000),Skills!L13/10)+Skills!O13</f>
        <v/>
      </c>
      <c r="G874">
        <f>Skills!G13*IF(Skills!H13&gt;0,Skills!I13/Skills!H13,1)</f>
        <v/>
      </c>
      <c r="H874">
        <f>1-(1-Skills!J13/100)^Skills!K13</f>
        <v/>
      </c>
      <c r="I874" t="inlineStr">
        <is>
          <t>1</t>
        </is>
      </c>
      <c r="J874" t="inlineStr"/>
      <c r="K874" t="inlineStr"/>
      <c r="L874" t="inlineStr"/>
      <c r="M874" t="inlineStr"/>
      <c r="N874" t="inlineStr"/>
      <c r="O874">
        <f>(1-Summary!$B$55)*T874+Summary!$B$55*V874</f>
        <v/>
      </c>
      <c r="P874">
        <f>IF(B904=0,0,O874/B904)</f>
        <v/>
      </c>
      <c r="Q874" t="n">
        <v>0</v>
      </c>
      <c r="R874" t="n">
        <v>0</v>
      </c>
      <c r="S874">
        <f>IFERROR(O874/N874,0)</f>
        <v/>
      </c>
      <c r="T874" t="n">
        <v>0</v>
      </c>
      <c r="V874" t="n">
        <v>0</v>
      </c>
    </row>
    <row r="875">
      <c r="A875">
        <f>Skills!A14</f>
        <v/>
      </c>
      <c r="B875">
        <f>Skills!B14</f>
        <v/>
      </c>
      <c r="C875">
        <f>Inputs!$B$3&gt;=74</f>
        <v/>
      </c>
      <c r="D875">
        <f>IF(Skills!C14=1,60+Inputs!$B$25+Inputs!$B$29,IF(Skills!C14=2,90+Inputs!$B$26+Inputs!$B$29,IF(Skills!C14=3,120+(Inputs!$B$27+1)+Inputs!$B$29,MAX(0,(Inputs!$B$3-100)*3)+Inputs!$B$28+Inputs!$B$29)))</f>
        <v/>
      </c>
      <c r="E875">
        <f>INDEX(FactorTable!$B$2:$Y$301, MATCH(ROUND(MIN(300,MAX(1,D875)),0), FactorTable!$A$2:$A$301,0), Skills!M14+1)</f>
        <v/>
      </c>
      <c r="F875">
        <f>IF(Skills!N14=TRUE,(Skills!L14/10)*(E875/1000),Skills!L14/10)+Skills!O14</f>
        <v/>
      </c>
      <c r="G875">
        <f>Skills!G14*IF(Skills!H14&gt;0,Skills!I14/Skills!H14,1)</f>
        <v/>
      </c>
      <c r="H875">
        <f>1-(1-Skills!J14/100)^Skills!K14</f>
        <v/>
      </c>
      <c r="I875" t="inlineStr">
        <is>
          <t>1</t>
        </is>
      </c>
      <c r="J875" t="inlineStr"/>
      <c r="K875" t="inlineStr"/>
      <c r="L875" t="inlineStr"/>
      <c r="M875" t="inlineStr"/>
      <c r="N875" t="inlineStr"/>
      <c r="O875">
        <f>(1-Summary!$B$55)*T875+Summary!$B$55*V875</f>
        <v/>
      </c>
      <c r="P875">
        <f>IF(B904=0,0,O875/B904)</f>
        <v/>
      </c>
      <c r="Q875" t="n">
        <v>0</v>
      </c>
      <c r="R875" t="n">
        <v>0</v>
      </c>
      <c r="S875">
        <f>IFERROR(O875/N875,0)</f>
        <v/>
      </c>
      <c r="T875" t="n">
        <v>0</v>
      </c>
      <c r="V875" t="n">
        <v>0</v>
      </c>
    </row>
    <row r="876">
      <c r="A876">
        <f>Skills!A15</f>
        <v/>
      </c>
      <c r="B876">
        <f>Skills!B15</f>
        <v/>
      </c>
      <c r="C876">
        <f>Inputs!$B$3&gt;=117</f>
        <v/>
      </c>
      <c r="D876">
        <f>IF(Skills!C15=1,60+Inputs!$B$25+Inputs!$B$29,IF(Skills!C15=2,90+Inputs!$B$26+Inputs!$B$29,IF(Skills!C15=3,120+(Inputs!$B$27+1)+Inputs!$B$29,MAX(0,(Inputs!$B$3-100)*3)+Inputs!$B$28+Inputs!$B$29)))</f>
        <v/>
      </c>
      <c r="E876">
        <f>INDEX(FactorTable!$B$2:$Y$301, MATCH(ROUND(MIN(300,MAX(1,D876)),0), FactorTable!$A$2:$A$301,0), Skills!M15+1)</f>
        <v/>
      </c>
      <c r="F876">
        <f>IF(Skills!N15=TRUE,(Skills!L15/10)*(E876/1000),Skills!L15/10)+Skills!O15</f>
        <v/>
      </c>
      <c r="G876">
        <f>Skills!G15*IF(Skills!H15&gt;0,Skills!I15/Skills!H15,1)</f>
        <v/>
      </c>
      <c r="H876">
        <f>1-(1-Skills!J15/100)^Skills!K15</f>
        <v/>
      </c>
      <c r="I876" t="inlineStr">
        <is>
          <t>1</t>
        </is>
      </c>
      <c r="J876" t="inlineStr"/>
      <c r="K876" t="inlineStr"/>
      <c r="L876" t="inlineStr"/>
      <c r="M876" t="inlineStr"/>
      <c r="N876" t="inlineStr"/>
      <c r="O876">
        <f>(1-Summary!$B$55)*T876+Summary!$B$55*V876</f>
        <v/>
      </c>
      <c r="P876">
        <f>IF(B904=0,0,O876/B904)</f>
        <v/>
      </c>
      <c r="Q876">
        <f>IFERROR(1/IF(Inputs!$B$38="pvp",15,MAX(0.1,Skills!D15-IF(Skills!E15=TRUE,Inputs!$B$32,0))),0)</f>
        <v/>
      </c>
      <c r="R876">
        <f>IF(AND(Inputs!$B$38&lt;&gt;"pvp",Inputs!$B$43&gt;0),IF(Inputs!$B$43&lt;=0,0,(INT(Inputs!$B$43/IF(Inputs!$B$38="pvp",15,MAX(0.1,Skills!D15-IF(Skills!E15=TRUE,Inputs!$B$32,0))))+1)),0)</f>
        <v/>
      </c>
      <c r="S876">
        <f>IFERROR(O876/N876,0)</f>
        <v/>
      </c>
      <c r="T876" t="n">
        <v>0</v>
      </c>
      <c r="V876" t="n">
        <v>0</v>
      </c>
    </row>
    <row r="877">
      <c r="A877">
        <f>Skills!A16</f>
        <v/>
      </c>
      <c r="B877">
        <f>Skills!B16</f>
        <v/>
      </c>
      <c r="C877">
        <f>Inputs!$B$3&gt;=115</f>
        <v/>
      </c>
      <c r="D877">
        <f>IF(Skills!C16=1,60+Inputs!$B$25+Inputs!$B$29,IF(Skills!C16=2,90+Inputs!$B$26+Inputs!$B$29,IF(Skills!C16=3,120+(Inputs!$B$27+1)+Inputs!$B$29,MAX(0,(Inputs!$B$3-100)*3)+Inputs!$B$28+Inputs!$B$29)))</f>
        <v/>
      </c>
      <c r="E877">
        <f>INDEX(FactorTable!$B$2:$Y$301, MATCH(ROUND(MIN(300,MAX(1,D877)),0), FactorTable!$A$2:$A$301,0), Skills!M16+1)</f>
        <v/>
      </c>
      <c r="F877">
        <f>IF(Skills!N16=TRUE,(Skills!L16/10)*(E877/1000),Skills!L16/10)+Skills!O16</f>
        <v/>
      </c>
      <c r="G877">
        <f>Skills!G16*IF(Skills!H16&gt;0,Skills!I16/Skills!H16,1)</f>
        <v/>
      </c>
      <c r="H877">
        <f>1-(1-Skills!J16/100)^Skills!K16</f>
        <v/>
      </c>
      <c r="I877" t="inlineStr">
        <is>
          <t>1</t>
        </is>
      </c>
      <c r="J877" t="inlineStr"/>
      <c r="K877" t="inlineStr"/>
      <c r="L877" t="inlineStr"/>
      <c r="M877" t="inlineStr"/>
      <c r="N877" t="inlineStr"/>
      <c r="O877">
        <f>(1-Summary!$B$55)*T877+Summary!$B$55*V877</f>
        <v/>
      </c>
      <c r="P877">
        <f>IF(B904=0,0,O877/B904)</f>
        <v/>
      </c>
      <c r="Q877">
        <f>IFERROR(1/IF(Inputs!$B$38="pvp",15,MAX(0.1,Skills!D16-IF(Skills!E16=TRUE,Inputs!$B$32,0))),0)</f>
        <v/>
      </c>
      <c r="R877">
        <f>IF(AND(Inputs!$B$38&lt;&gt;"pvp",Inputs!$B$43&gt;0),IF(Inputs!$B$43&lt;=0,0,(INT(Inputs!$B$43/IF(Inputs!$B$38="pvp",15,MAX(0.1,Skills!D16-IF(Skills!E16=TRUE,Inputs!$B$32,0))))+1)),0)</f>
        <v/>
      </c>
      <c r="S877">
        <f>IFERROR(O877/N877,0)</f>
        <v/>
      </c>
      <c r="T877" t="n">
        <v>0</v>
      </c>
      <c r="V877" t="n">
        <v>0</v>
      </c>
    </row>
    <row r="878">
      <c r="A878">
        <f>Skills!A17</f>
        <v/>
      </c>
      <c r="B878">
        <f>Skills!B17</f>
        <v/>
      </c>
      <c r="C878">
        <f>Inputs!$B$3&gt;=66</f>
        <v/>
      </c>
      <c r="D878">
        <f>IF(Skills!C17=1,60+Inputs!$B$25+Inputs!$B$29,IF(Skills!C17=2,90+Inputs!$B$26+Inputs!$B$29,IF(Skills!C17=3,120+(Inputs!$B$27+1)+Inputs!$B$29,MAX(0,(Inputs!$B$3-100)*3)+Inputs!$B$28+Inputs!$B$29)))</f>
        <v/>
      </c>
      <c r="E878">
        <f>INDEX(FactorTable!$B$2:$Y$301, MATCH(ROUND(MIN(300,MAX(1,D878)),0), FactorTable!$A$2:$A$301,0), Skills!M17+1)</f>
        <v/>
      </c>
      <c r="F878">
        <f>IF(Skills!N17=TRUE,(Skills!L17/10)*(E878/1000),Skills!L17/10)+Skills!O17</f>
        <v/>
      </c>
      <c r="G878">
        <f>Skills!G17*IF(Skills!H17&gt;0,Skills!I17/Skills!H17,1)</f>
        <v/>
      </c>
      <c r="H878">
        <f>1-(1-Skills!J17/100)^Skills!K17</f>
        <v/>
      </c>
      <c r="I878" t="inlineStr">
        <is>
          <t>1</t>
        </is>
      </c>
      <c r="J878" t="inlineStr"/>
      <c r="K878" t="inlineStr"/>
      <c r="L878" t="inlineStr"/>
      <c r="M878" t="inlineStr"/>
      <c r="N878" t="inlineStr"/>
      <c r="O878">
        <f>(1-Summary!$B$55)*T878+Summary!$B$55*V878</f>
        <v/>
      </c>
      <c r="P878">
        <f>IF(B904=0,0,O878/B904)</f>
        <v/>
      </c>
      <c r="Q878" t="n">
        <v>0</v>
      </c>
      <c r="R878" t="n">
        <v>0</v>
      </c>
      <c r="S878">
        <f>IFERROR(O878/N878,0)</f>
        <v/>
      </c>
      <c r="T878" t="n">
        <v>0</v>
      </c>
      <c r="V878" t="n">
        <v>0</v>
      </c>
    </row>
    <row r="879">
      <c r="A879">
        <f>Skills!A18</f>
        <v/>
      </c>
      <c r="B879">
        <f>Skills!B18</f>
        <v/>
      </c>
      <c r="C879">
        <f>Inputs!$B$3&gt;=72</f>
        <v/>
      </c>
      <c r="D879">
        <f>IF(Skills!C18=1,60+Inputs!$B$25+Inputs!$B$29,IF(Skills!C18=2,90+Inputs!$B$26+Inputs!$B$29,IF(Skills!C18=3,120+(Inputs!$B$27+1)+Inputs!$B$29,MAX(0,(Inputs!$B$3-100)*3)+Inputs!$B$28+Inputs!$B$29)))</f>
        <v/>
      </c>
      <c r="E879">
        <f>INDEX(FactorTable!$B$2:$Y$301, MATCH(ROUND(MIN(300,MAX(1,D879)),0), FactorTable!$A$2:$A$301,0), Skills!M18+1)</f>
        <v/>
      </c>
      <c r="F879">
        <f>IF(Skills!N18=TRUE,(Skills!L18/10)*(E879/1000),Skills!L18/10)+Skills!O18</f>
        <v/>
      </c>
      <c r="G879">
        <f>Skills!G18*IF(Skills!H18&gt;0,Skills!I18/Skills!H18,1)</f>
        <v/>
      </c>
      <c r="H879">
        <f>1-(1-Skills!J18/100)^Skills!K18</f>
        <v/>
      </c>
      <c r="I879" t="inlineStr">
        <is>
          <t>1</t>
        </is>
      </c>
      <c r="J879" t="inlineStr"/>
      <c r="K879" t="inlineStr"/>
      <c r="L879" t="inlineStr"/>
      <c r="M879" t="inlineStr"/>
      <c r="N879" t="inlineStr"/>
      <c r="O879">
        <f>(1-Summary!$B$55)*T879+Summary!$B$55*V879</f>
        <v/>
      </c>
      <c r="P879">
        <f>IF(B904=0,0,O879/B904)</f>
        <v/>
      </c>
      <c r="Q879" t="n">
        <v>0</v>
      </c>
      <c r="R879" t="n">
        <v>0</v>
      </c>
      <c r="S879">
        <f>IFERROR(O879/N879,0)</f>
        <v/>
      </c>
      <c r="T879" t="n">
        <v>0</v>
      </c>
      <c r="V879" t="n">
        <v>0</v>
      </c>
    </row>
    <row r="880">
      <c r="A880">
        <f>Skills!A19</f>
        <v/>
      </c>
      <c r="B880">
        <f>Skills!B19</f>
        <v/>
      </c>
      <c r="C880">
        <f>TRUE</f>
        <v/>
      </c>
      <c r="D880">
        <f>IF(Skills!C19=1,60+Inputs!$B$25+Inputs!$B$29,IF(Skills!C19=2,90+Inputs!$B$26+Inputs!$B$29,IF(Skills!C19=3,120+(Inputs!$B$27+1)+Inputs!$B$29,MAX(0,(Inputs!$B$3-100)*3)+Inputs!$B$28+Inputs!$B$29)))</f>
        <v/>
      </c>
      <c r="E880">
        <f>INDEX(FactorTable!$B$2:$Y$301, MATCH(ROUND(MIN(300,MAX(1,D880)),0), FactorTable!$A$2:$A$301,0), Skills!M19+1)</f>
        <v/>
      </c>
      <c r="F880">
        <f>IF(Skills!N19=TRUE,(Skills!L19/10)*(E880/1000),Skills!L19/10)+Skills!O19</f>
        <v/>
      </c>
      <c r="G880">
        <f>Skills!G19*IF(Skills!H19&gt;0,Skills!I19/Skills!H19,1)</f>
        <v/>
      </c>
      <c r="H880">
        <f>1-(1-Skills!J19/100)^Skills!K19</f>
        <v/>
      </c>
      <c r="I880" t="inlineStr">
        <is>
          <t>1</t>
        </is>
      </c>
      <c r="J880" t="inlineStr"/>
      <c r="K880" t="inlineStr"/>
      <c r="L880" t="inlineStr"/>
      <c r="M880" t="inlineStr"/>
      <c r="N880" t="inlineStr"/>
      <c r="O880">
        <f>(1-Summary!$B$55)*T880+Summary!$B$55*V880</f>
        <v/>
      </c>
      <c r="P880">
        <f>IF(B904=0,0,O880/B904)</f>
        <v/>
      </c>
      <c r="Q880">
        <f>IFERROR(1/IF(Inputs!$B$38="pvp",15,MAX(0.1,Skills!D19-IF(Skills!E19=TRUE,Inputs!$B$32,0))),0)</f>
        <v/>
      </c>
      <c r="R880">
        <f>IF(AND(Inputs!$B$38&lt;&gt;"pvp",Inputs!$B$43&gt;0),IF(Inputs!$B$43&lt;=0,0,(INT(Inputs!$B$43/IF(Inputs!$B$38="pvp",15,MAX(0.1,Skills!D19-IF(Skills!E19=TRUE,Inputs!$B$32,0))))+1)),0)</f>
        <v/>
      </c>
      <c r="S880">
        <f>IFERROR(O880/N880,0)</f>
        <v/>
      </c>
      <c r="T880" t="n">
        <v>0</v>
      </c>
      <c r="V880" t="n">
        <v>0</v>
      </c>
    </row>
    <row r="881">
      <c r="A881">
        <f>Skills!A20</f>
        <v/>
      </c>
      <c r="B881">
        <f>Skills!B20</f>
        <v/>
      </c>
      <c r="C881">
        <f>Inputs!$B$3&gt;=15</f>
        <v/>
      </c>
      <c r="D881">
        <f>IF(Skills!C20=1,60+Inputs!$B$25+Inputs!$B$29,IF(Skills!C20=2,90+Inputs!$B$26+Inputs!$B$29,IF(Skills!C20=3,120+(Inputs!$B$27+1)+Inputs!$B$29,MAX(0,(Inputs!$B$3-100)*3)+Inputs!$B$28+Inputs!$B$29)))</f>
        <v/>
      </c>
      <c r="E881">
        <f>INDEX(FactorTable!$B$2:$Y$301, MATCH(ROUND(MIN(300,MAX(1,D881)),0), FactorTable!$A$2:$A$301,0), Skills!M20+1)</f>
        <v/>
      </c>
      <c r="F881">
        <f>IF(Skills!N20=TRUE,(Skills!L20/10)*(E881/1000),Skills!L20/10)+Skills!O20</f>
        <v/>
      </c>
      <c r="G881">
        <f>Skills!G20*IF(Skills!H20&gt;0,Skills!I20/Skills!H20,1)</f>
        <v/>
      </c>
      <c r="H881">
        <f>1-(1-Skills!J20/100)^Skills!K20</f>
        <v/>
      </c>
      <c r="I881" t="inlineStr">
        <is>
          <t>1</t>
        </is>
      </c>
      <c r="J881" t="inlineStr"/>
      <c r="K881" t="inlineStr"/>
      <c r="L881" t="inlineStr"/>
      <c r="M881" t="inlineStr"/>
      <c r="N881" t="inlineStr"/>
      <c r="O881">
        <f>(1-Summary!$B$55)*T881+Summary!$B$55*V881</f>
        <v/>
      </c>
      <c r="P881">
        <f>IF(B904=0,0,O881/B904)</f>
        <v/>
      </c>
      <c r="Q881" t="n">
        <v>0</v>
      </c>
      <c r="R881" t="n">
        <v>0</v>
      </c>
      <c r="S881">
        <f>IFERROR(O881/N881,0)</f>
        <v/>
      </c>
      <c r="T881" t="n">
        <v>0</v>
      </c>
      <c r="V881" t="n">
        <v>0</v>
      </c>
    </row>
    <row r="882">
      <c r="A882">
        <f>Skills!A21</f>
        <v/>
      </c>
      <c r="B882">
        <f>Skills!B21</f>
        <v/>
      </c>
      <c r="C882">
        <f>Inputs!$B$3&gt;=10</f>
        <v/>
      </c>
      <c r="D882">
        <f>IF(Skills!C21=1,60+Inputs!$B$25+Inputs!$B$29,IF(Skills!C21=2,90+Inputs!$B$26+Inputs!$B$29,IF(Skills!C21=3,120+(Inputs!$B$27+1)+Inputs!$B$29,MAX(0,(Inputs!$B$3-100)*3)+Inputs!$B$28+Inputs!$B$29)))</f>
        <v/>
      </c>
      <c r="E882">
        <f>INDEX(FactorTable!$B$2:$Y$301, MATCH(ROUND(MIN(300,MAX(1,D882)),0), FactorTable!$A$2:$A$301,0), Skills!M21+1)</f>
        <v/>
      </c>
      <c r="F882">
        <f>IF(Skills!N21=TRUE,(Skills!L21/10)*(E882/1000),Skills!L21/10)+Skills!O21</f>
        <v/>
      </c>
      <c r="G882">
        <f>Skills!G21*IF(Skills!H21&gt;0,Skills!I21/Skills!H21,1)</f>
        <v/>
      </c>
      <c r="H882">
        <f>1-(1-Skills!J21/100)^Skills!K21</f>
        <v/>
      </c>
      <c r="I882" t="inlineStr">
        <is>
          <t>1</t>
        </is>
      </c>
      <c r="J882" t="inlineStr"/>
      <c r="K882" t="inlineStr"/>
      <c r="L882" t="inlineStr"/>
      <c r="M882" t="inlineStr"/>
      <c r="N882" t="inlineStr"/>
      <c r="O882">
        <f>(1-Summary!$B$55)*T882+Summary!$B$55*V882</f>
        <v/>
      </c>
      <c r="P882">
        <f>IF(B904=0,0,O882/B904)</f>
        <v/>
      </c>
      <c r="Q882" t="n">
        <v>0</v>
      </c>
      <c r="R882" t="n">
        <v>0</v>
      </c>
      <c r="S882">
        <f>IFERROR(O882/N882,0)</f>
        <v/>
      </c>
      <c r="T882" t="n">
        <v>0</v>
      </c>
      <c r="V882" t="n">
        <v>0</v>
      </c>
    </row>
    <row r="883">
      <c r="A883">
        <f>Skills!A22</f>
        <v/>
      </c>
      <c r="B883">
        <f>Skills!B22</f>
        <v/>
      </c>
      <c r="C883">
        <f>Inputs!$B$3&gt;=33</f>
        <v/>
      </c>
      <c r="D883">
        <f>IF(Skills!C22=1,60+Inputs!$B$25+Inputs!$B$29,IF(Skills!C22=2,90+Inputs!$B$26+Inputs!$B$29,IF(Skills!C22=3,120+(Inputs!$B$27+1)+Inputs!$B$29,MAX(0,(Inputs!$B$3-100)*3)+Inputs!$B$28+Inputs!$B$29)))</f>
        <v/>
      </c>
      <c r="E883">
        <f>INDEX(FactorTable!$B$2:$Y$301, MATCH(ROUND(MIN(300,MAX(1,D883)),0), FactorTable!$A$2:$A$301,0), Skills!M22+1)</f>
        <v/>
      </c>
      <c r="F883">
        <f>IF(Skills!N22=TRUE,(Skills!L22/10)*(E883/1000),Skills!L22/10)+Skills!O22</f>
        <v/>
      </c>
      <c r="G883">
        <f>Skills!G22*IF(Skills!H22&gt;0,Skills!I22/Skills!H22,1)</f>
        <v/>
      </c>
      <c r="H883">
        <f>1-(1-Skills!J22/100)^Skills!K22</f>
        <v/>
      </c>
      <c r="I883" t="inlineStr">
        <is>
          <t>1</t>
        </is>
      </c>
      <c r="J883" t="inlineStr"/>
      <c r="K883" t="inlineStr"/>
      <c r="L883" t="inlineStr"/>
      <c r="M883" t="inlineStr"/>
      <c r="N883" t="inlineStr"/>
      <c r="O883">
        <f>(1-Summary!$B$55)*T883+Summary!$B$55*V883</f>
        <v/>
      </c>
      <c r="P883">
        <f>IF(B904=0,0,O883/B904)</f>
        <v/>
      </c>
      <c r="Q883" t="n">
        <v>0</v>
      </c>
      <c r="R883" t="n">
        <v>0</v>
      </c>
      <c r="S883">
        <f>IFERROR(O883/N883,0)</f>
        <v/>
      </c>
      <c r="T883" t="n">
        <v>0</v>
      </c>
      <c r="V883" t="n">
        <v>0</v>
      </c>
    </row>
    <row r="884">
      <c r="A884">
        <f>Skills!A23</f>
        <v/>
      </c>
      <c r="B884">
        <f>Skills!B23</f>
        <v/>
      </c>
      <c r="C884">
        <f>Inputs!$B$3&gt;=38</f>
        <v/>
      </c>
      <c r="D884">
        <f>IF(Skills!C23=1,60+Inputs!$B$25+Inputs!$B$29,IF(Skills!C23=2,90+Inputs!$B$26+Inputs!$B$29,IF(Skills!C23=3,120+(Inputs!$B$27+1)+Inputs!$B$29,MAX(0,(Inputs!$B$3-100)*3)+Inputs!$B$28+Inputs!$B$29)))</f>
        <v/>
      </c>
      <c r="E884">
        <f>INDEX(FactorTable!$B$2:$Y$301, MATCH(ROUND(MIN(300,MAX(1,D884)),0), FactorTable!$A$2:$A$301,0), Skills!M23+1)</f>
        <v/>
      </c>
      <c r="F884">
        <f>IF(Skills!N23=TRUE,(Skills!L23/10)*(E884/1000),Skills!L23/10)+Skills!O23</f>
        <v/>
      </c>
      <c r="G884">
        <f>Skills!G23*IF(Skills!H23&gt;0,Skills!I23/Skills!H23,1)</f>
        <v/>
      </c>
      <c r="H884">
        <f>1-(1-Skills!J23/100)^Skills!K23</f>
        <v/>
      </c>
      <c r="I884" t="inlineStr">
        <is>
          <t>1</t>
        </is>
      </c>
      <c r="J884" t="inlineStr"/>
      <c r="K884" t="inlineStr"/>
      <c r="L884" t="inlineStr"/>
      <c r="M884" t="inlineStr"/>
      <c r="N884" t="inlineStr"/>
      <c r="O884">
        <f>(1-Summary!$B$55)*T884+Summary!$B$55*V884</f>
        <v/>
      </c>
      <c r="P884">
        <f>IF(B904=0,0,O884/B904)</f>
        <v/>
      </c>
      <c r="Q884" t="n">
        <v>0</v>
      </c>
      <c r="R884" t="n">
        <v>0</v>
      </c>
      <c r="S884">
        <f>IFERROR(O884/N884,0)</f>
        <v/>
      </c>
      <c r="T884" t="n">
        <v>0</v>
      </c>
      <c r="V884" t="n">
        <v>0</v>
      </c>
    </row>
    <row r="885">
      <c r="A885">
        <f>Skills!A24</f>
        <v/>
      </c>
      <c r="B885">
        <f>Skills!B24</f>
        <v/>
      </c>
      <c r="C885">
        <f>Inputs!$B$3&gt;=43</f>
        <v/>
      </c>
      <c r="D885">
        <f>IF(Skills!C24=1,60+Inputs!$B$25+Inputs!$B$29,IF(Skills!C24=2,90+Inputs!$B$26+Inputs!$B$29,IF(Skills!C24=3,120+(Inputs!$B$27+1)+Inputs!$B$29,MAX(0,(Inputs!$B$3-100)*3)+Inputs!$B$28+Inputs!$B$29)))</f>
        <v/>
      </c>
      <c r="E885">
        <f>INDEX(FactorTable!$B$2:$Y$301, MATCH(ROUND(MIN(300,MAX(1,D885)),0), FactorTable!$A$2:$A$301,0), Skills!M24+1)</f>
        <v/>
      </c>
      <c r="F885">
        <f>IF(Skills!N24=TRUE,(Skills!L24/10)*(E885/1000),Skills!L24/10)+Skills!O24</f>
        <v/>
      </c>
      <c r="G885">
        <f>Skills!G24*IF(Skills!H24&gt;0,Skills!I24/Skills!H24,1)</f>
        <v/>
      </c>
      <c r="H885">
        <f>1-(1-Skills!J24/100)^Skills!K24</f>
        <v/>
      </c>
      <c r="I885" t="inlineStr">
        <is>
          <t>1</t>
        </is>
      </c>
      <c r="J885" t="inlineStr"/>
      <c r="K885" t="inlineStr"/>
      <c r="L885" t="inlineStr"/>
      <c r="M885" t="inlineStr"/>
      <c r="N885" t="inlineStr"/>
      <c r="O885">
        <f>(1-Summary!$B$55)*T885+Summary!$B$55*V885</f>
        <v/>
      </c>
      <c r="P885">
        <f>IF(B904=0,0,O885/B904)</f>
        <v/>
      </c>
      <c r="Q885" t="n">
        <v>0</v>
      </c>
      <c r="R885" t="n">
        <v>0</v>
      </c>
      <c r="S885">
        <f>IFERROR(O885/N885,0)</f>
        <v/>
      </c>
      <c r="T885" t="n">
        <v>0</v>
      </c>
      <c r="V885" t="n">
        <v>0</v>
      </c>
    </row>
    <row r="886">
      <c r="A886">
        <f>Skills!A25</f>
        <v/>
      </c>
      <c r="B886">
        <f>Skills!B25</f>
        <v/>
      </c>
      <c r="C886">
        <f>Inputs!$B$3&gt;=75</f>
        <v/>
      </c>
      <c r="D886">
        <f>IF(Skills!C25=1,60+Inputs!$B$25+Inputs!$B$29,IF(Skills!C25=2,90+Inputs!$B$26+Inputs!$B$29,IF(Skills!C25=3,120+(Inputs!$B$27+1)+Inputs!$B$29,MAX(0,(Inputs!$B$3-100)*3)+Inputs!$B$28+Inputs!$B$29)))</f>
        <v/>
      </c>
      <c r="E886">
        <f>INDEX(FactorTable!$B$2:$Y$301, MATCH(ROUND(MIN(300,MAX(1,D886)),0), FactorTable!$A$2:$A$301,0), Skills!M25+1)</f>
        <v/>
      </c>
      <c r="F886">
        <f>IF(Skills!N25=TRUE,(Skills!L25/10)*(E886/1000),Skills!L25/10)+Skills!O25</f>
        <v/>
      </c>
      <c r="G886">
        <f>Skills!G25*IF(Skills!H25&gt;0,Skills!I25/Skills!H25,1)</f>
        <v/>
      </c>
      <c r="H886">
        <f>1-(1-Skills!J25/100)^Skills!K25</f>
        <v/>
      </c>
      <c r="I886" t="inlineStr">
        <is>
          <t>1</t>
        </is>
      </c>
      <c r="J886" t="inlineStr"/>
      <c r="K886" t="inlineStr"/>
      <c r="L886" t="inlineStr"/>
      <c r="M886" t="inlineStr"/>
      <c r="N886" t="inlineStr"/>
      <c r="O886">
        <f>(1-Summary!$B$55)*T886+Summary!$B$55*V886</f>
        <v/>
      </c>
      <c r="P886">
        <f>IF(B904=0,0,O886/B904)</f>
        <v/>
      </c>
      <c r="Q886" t="n">
        <v>0</v>
      </c>
      <c r="R886" t="n">
        <v>0</v>
      </c>
      <c r="S886">
        <f>IFERROR(O886/N886,0)</f>
        <v/>
      </c>
      <c r="T886" t="n">
        <v>0</v>
      </c>
      <c r="V886" t="n">
        <v>0</v>
      </c>
    </row>
    <row r="887">
      <c r="A887">
        <f>Skills!A26</f>
        <v/>
      </c>
      <c r="B887">
        <f>Skills!B26</f>
        <v/>
      </c>
      <c r="C887">
        <f>Inputs!$B$3&gt;=125</f>
        <v/>
      </c>
      <c r="D887">
        <f>IF(Skills!C26=1,60+Inputs!$B$25+Inputs!$B$29,IF(Skills!C26=2,90+Inputs!$B$26+Inputs!$B$29,IF(Skills!C26=3,120+(Inputs!$B$27+1)+Inputs!$B$29,MAX(0,(Inputs!$B$3-100)*3)+Inputs!$B$28+Inputs!$B$29)))</f>
        <v/>
      </c>
      <c r="E887">
        <f>INDEX(FactorTable!$B$2:$Y$301, MATCH(ROUND(MIN(300,MAX(1,D887)),0), FactorTable!$A$2:$A$301,0), Skills!M26+1)</f>
        <v/>
      </c>
      <c r="F887">
        <f>IF(Skills!N26=TRUE,(Skills!L26/10)*(E887/1000),Skills!L26/10)+Skills!O26</f>
        <v/>
      </c>
      <c r="G887">
        <f>Skills!G26*IF(Skills!H26&gt;0,Skills!I26/Skills!H26,1)</f>
        <v/>
      </c>
      <c r="H887">
        <f>1-(1-Skills!J26/100)^Skills!K26</f>
        <v/>
      </c>
      <c r="I887" t="inlineStr">
        <is>
          <t>1</t>
        </is>
      </c>
      <c r="J887" t="inlineStr"/>
      <c r="K887" t="inlineStr"/>
      <c r="L887" t="inlineStr"/>
      <c r="M887" t="inlineStr"/>
      <c r="N887" t="inlineStr"/>
      <c r="O887">
        <f>(1-Summary!$B$55)*T887+Summary!$B$55*V887</f>
        <v/>
      </c>
      <c r="P887">
        <f>IF(B904=0,0,O887/B904)</f>
        <v/>
      </c>
      <c r="Q887" t="n">
        <v>0</v>
      </c>
      <c r="R887" t="n">
        <v>0</v>
      </c>
      <c r="S887">
        <f>IFERROR(O887/N887,0)</f>
        <v/>
      </c>
      <c r="T887" t="n">
        <v>0</v>
      </c>
      <c r="V887" t="n">
        <v>0</v>
      </c>
    </row>
    <row r="888">
      <c r="A888">
        <f>Skills!A27</f>
        <v/>
      </c>
      <c r="B888">
        <f>Skills!B27</f>
        <v/>
      </c>
      <c r="C888">
        <f>Inputs!$B$3&gt;=125</f>
        <v/>
      </c>
      <c r="D888">
        <f>IF(Skills!C27=1,60+Inputs!$B$25+Inputs!$B$29,IF(Skills!C27=2,90+Inputs!$B$26+Inputs!$B$29,IF(Skills!C27=3,120+(Inputs!$B$27+1)+Inputs!$B$29,MAX(0,(Inputs!$B$3-100)*3)+Inputs!$B$28+Inputs!$B$29)))</f>
        <v/>
      </c>
      <c r="E888">
        <f>INDEX(FactorTable!$B$2:$Y$301, MATCH(ROUND(MIN(300,MAX(1,D888)),0), FactorTable!$A$2:$A$301,0), Skills!M27+1)</f>
        <v/>
      </c>
      <c r="F888">
        <f>IF(Skills!N27=TRUE,(Skills!L27/10)*(E888/1000),Skills!L27/10)+Skills!O27</f>
        <v/>
      </c>
      <c r="G888">
        <f>Skills!G27*IF(Skills!H27&gt;0,Skills!I27/Skills!H27,1)</f>
        <v/>
      </c>
      <c r="H888">
        <f>1-(1-Skills!J27/100)^Skills!K27</f>
        <v/>
      </c>
      <c r="I888" t="inlineStr">
        <is>
          <t>1</t>
        </is>
      </c>
      <c r="J888" t="inlineStr"/>
      <c r="K888" t="inlineStr"/>
      <c r="L888" t="inlineStr"/>
      <c r="M888" t="inlineStr"/>
      <c r="N888" t="inlineStr"/>
      <c r="O888">
        <f>(1-Summary!$B$55)*T888+Summary!$B$55*V888</f>
        <v/>
      </c>
      <c r="P888">
        <f>IF(B904=0,0,O888/B904)</f>
        <v/>
      </c>
      <c r="Q888" t="n">
        <v>0</v>
      </c>
      <c r="R888" t="n">
        <v>0</v>
      </c>
      <c r="S888">
        <f>IFERROR(O888/N888,0)</f>
        <v/>
      </c>
      <c r="T888" t="n">
        <v>0</v>
      </c>
      <c r="V888" t="n">
        <v>0</v>
      </c>
    </row>
    <row r="889">
      <c r="A889">
        <f>Skills!A28</f>
        <v/>
      </c>
      <c r="B889">
        <f>Skills!B28</f>
        <v/>
      </c>
      <c r="C889">
        <f>Inputs!$B$3&gt;=120</f>
        <v/>
      </c>
      <c r="D889">
        <f>IF(Skills!C28=1,60+Inputs!$B$25+Inputs!$B$29,IF(Skills!C28=2,90+Inputs!$B$26+Inputs!$B$29,IF(Skills!C28=3,120+(Inputs!$B$27+1)+Inputs!$B$29,MAX(0,(Inputs!$B$3-100)*3)+Inputs!$B$28+Inputs!$B$29)))</f>
        <v/>
      </c>
      <c r="E889">
        <f>INDEX(FactorTable!$B$2:$Y$301, MATCH(ROUND(MIN(300,MAX(1,D889)),0), FactorTable!$A$2:$A$301,0), Skills!M28+1)</f>
        <v/>
      </c>
      <c r="F889">
        <f>IF(Skills!N28=TRUE,(Skills!L28/10)*(E889/1000),Skills!L28/10)+Skills!O28</f>
        <v/>
      </c>
      <c r="G889">
        <f>Skills!G28*IF(Skills!H28&gt;0,Skills!I28/Skills!H28,1)</f>
        <v/>
      </c>
      <c r="H889">
        <f>1-(1-Skills!J28/100)^Skills!K28</f>
        <v/>
      </c>
      <c r="I889" t="inlineStr">
        <is>
          <t>1</t>
        </is>
      </c>
      <c r="J889" t="inlineStr"/>
      <c r="K889" t="inlineStr"/>
      <c r="L889" t="inlineStr"/>
      <c r="M889" t="inlineStr"/>
      <c r="N889" t="inlineStr"/>
      <c r="O889">
        <f>(1-Summary!$B$55)*T889+Summary!$B$55*V889</f>
        <v/>
      </c>
      <c r="P889">
        <f>IF(B904=0,0,O889/B904)</f>
        <v/>
      </c>
      <c r="Q889" t="n">
        <v>0</v>
      </c>
      <c r="R889" t="n">
        <v>0</v>
      </c>
      <c r="S889">
        <f>IFERROR(O889/N889,0)</f>
        <v/>
      </c>
      <c r="T889" t="n">
        <v>0</v>
      </c>
      <c r="V889" t="n">
        <v>0</v>
      </c>
    </row>
    <row r="890">
      <c r="A890">
        <f>Skills!A29</f>
        <v/>
      </c>
      <c r="B890">
        <f>Skills!B29</f>
        <v/>
      </c>
      <c r="C890">
        <f>Inputs!$B$3&gt;=120</f>
        <v/>
      </c>
      <c r="D890">
        <f>IF(Skills!C29=1,60+Inputs!$B$25+Inputs!$B$29,IF(Skills!C29=2,90+Inputs!$B$26+Inputs!$B$29,IF(Skills!C29=3,120+(Inputs!$B$27+1)+Inputs!$B$29,MAX(0,(Inputs!$B$3-100)*3)+Inputs!$B$28+Inputs!$B$29)))</f>
        <v/>
      </c>
      <c r="E890">
        <f>INDEX(FactorTable!$B$2:$Y$301, MATCH(ROUND(MIN(300,MAX(1,D890)),0), FactorTable!$A$2:$A$301,0), Skills!M29+1)</f>
        <v/>
      </c>
      <c r="F890">
        <f>IF(Skills!N29=TRUE,(Skills!L29/10)*(E890/1000),Skills!L29/10)+Skills!O29</f>
        <v/>
      </c>
      <c r="G890">
        <f>Skills!G29*IF(Skills!H29&gt;0,Skills!I29/Skills!H29,1)</f>
        <v/>
      </c>
      <c r="H890">
        <f>1-(1-Skills!J29/100)^Skills!K29</f>
        <v/>
      </c>
      <c r="I890" t="inlineStr">
        <is>
          <t>1</t>
        </is>
      </c>
      <c r="J890" t="inlineStr"/>
      <c r="K890" t="inlineStr"/>
      <c r="L890" t="inlineStr"/>
      <c r="M890" t="inlineStr"/>
      <c r="N890" t="inlineStr"/>
      <c r="O890">
        <f>(1-Summary!$B$55)*T890+Summary!$B$55*V890</f>
        <v/>
      </c>
      <c r="P890">
        <f>IF(B904=0,0,O890/B904)</f>
        <v/>
      </c>
      <c r="Q890" t="n">
        <v>0</v>
      </c>
      <c r="R890" t="n">
        <v>0</v>
      </c>
      <c r="S890">
        <f>IFERROR(O890/N890,0)</f>
        <v/>
      </c>
      <c r="T890" t="n">
        <v>0</v>
      </c>
      <c r="V890" t="n">
        <v>0</v>
      </c>
    </row>
    <row r="891">
      <c r="A891">
        <f>Skills!A30</f>
        <v/>
      </c>
      <c r="B891">
        <f>Skills!B30</f>
        <v/>
      </c>
      <c r="C891">
        <f>Inputs!$B$3&gt;=45</f>
        <v/>
      </c>
      <c r="D891">
        <f>IF(Skills!C30=1,60+Inputs!$B$25+Inputs!$B$29,IF(Skills!C30=2,90+Inputs!$B$26+Inputs!$B$29,IF(Skills!C30=3,120+(Inputs!$B$27+1)+Inputs!$B$29,MAX(0,(Inputs!$B$3-100)*3)+Inputs!$B$28+Inputs!$B$29)))</f>
        <v/>
      </c>
      <c r="E891">
        <f>INDEX(FactorTable!$B$2:$Y$301, MATCH(ROUND(MIN(300,MAX(1,D891)),0), FactorTable!$A$2:$A$301,0), Skills!M30+1)</f>
        <v/>
      </c>
      <c r="F891">
        <f>IF(Skills!N30=TRUE,(Skills!L30/10)*(E891/1000),Skills!L30/10)+Skills!O30</f>
        <v/>
      </c>
      <c r="G891">
        <f>Skills!G30*IF(Skills!H30&gt;0,Skills!I30/Skills!H30,1)</f>
        <v/>
      </c>
      <c r="H891">
        <f>1-(1-Skills!J30/100)^Skills!K30</f>
        <v/>
      </c>
      <c r="I891" t="inlineStr">
        <is>
          <t>1</t>
        </is>
      </c>
      <c r="J891" t="inlineStr"/>
      <c r="K891" t="inlineStr"/>
      <c r="L891" t="inlineStr"/>
      <c r="M891" t="inlineStr"/>
      <c r="N891" t="inlineStr"/>
      <c r="O891">
        <f>(1-Summary!$B$55)*T891+Summary!$B$55*V891</f>
        <v/>
      </c>
      <c r="P891">
        <f>IF(B904=0,0,O891/B904)</f>
        <v/>
      </c>
      <c r="Q891" t="n">
        <v>0</v>
      </c>
      <c r="R891" t="n">
        <v>0</v>
      </c>
      <c r="S891">
        <f>IFERROR(O891/N891,0)</f>
        <v/>
      </c>
      <c r="T891" t="n">
        <v>0</v>
      </c>
      <c r="V891" t="n">
        <v>0</v>
      </c>
    </row>
    <row r="893">
      <c r="A893" t="inlineStr">
        <is>
          <t>Attack% Bucket Multiplier</t>
        </is>
      </c>
      <c r="B893">
        <f>(1+(((C874=TRUE)*F874)+((C875=TRUE)*IF(Inputs!$B$38="pvp",F875,(1-Summary!$B$55)*(F875)+Summary!$B$55*(0)))+((C876=TRUE)*F876*IF(AND(Inputs!$B$38&lt;&gt;"pvp",Inputs!$B$43&gt;0),(((R876-1)*(Skills!T15*(1+Inputs!$B$34/100))+MIN((Skills!T15*(1+Inputs!$B$34/100)),MAX(0,Inputs!$B$43-((R876-1)*Skills!D15))))/Inputs!$B$43),IF(Inputs!$B$38="pvp",MIN((Skills!T15*(1+Inputs!$B$34/100)),15)/15,(Skills!T15*(1+Inputs!$B$34/100))/Skills!D15)))+((C891=TRUE)*(F891-Calc!F30)))/100)</f>
        <v/>
      </c>
    </row>
    <row r="894">
      <c r="A894" t="inlineStr">
        <is>
          <t>Global Crit Rate Bonus %</t>
        </is>
      </c>
      <c r="B894">
        <f>(C877=TRUE)*20*IF(AND(Inputs!$B$38&lt;&gt;"pvp",Inputs!$B$43&gt;0),(((R877-1)*(Skills!T16*(1+Inputs!$B$34/100))+MIN((Skills!T16*(1+Inputs!$B$34/100)),MAX(0,Inputs!$B$43-((R877-1)*Skills!D16))))/Inputs!$B$43),IF(Inputs!$B$38="pvp",MIN((Skills!T16*(1+Inputs!$B$34/100)),15)/15,(Skills!T16*(1+Inputs!$B$34/100))/Skills!D16))</f>
        <v/>
      </c>
    </row>
    <row r="895">
      <c r="A895" t="inlineStr">
        <is>
          <t>Attack Speed Buff Bonus %</t>
        </is>
      </c>
      <c r="B895">
        <f>((C880=TRUE)*F880*IF(AND(Inputs!$B$38&lt;&gt;"pvp",Inputs!$B$43&gt;0),(((R880-1)*(Skills!T19*(1+Inputs!$B$34/100))+MIN((Skills!T19*(1+Inputs!$B$34/100)),MAX(0,Inputs!$B$43-((R880-1)*Skills!D19))))/Inputs!$B$43),IF(Inputs!$B$38="pvp",MIN((Skills!T19*(1+Inputs!$B$34/100)),15)/15,(Skills!T19*(1+Inputs!$B$34/100))/Skills!D19)))</f>
        <v/>
      </c>
    </row>
    <row r="896">
      <c r="A896" t="inlineStr">
        <is>
          <t>Actions Per Second</t>
        </is>
      </c>
      <c r="B896">
        <f>1+MIN(150,150*(1-(1-(Inputs!$B$11+((C882=TRUE)*(F882-Calc!F21))+((C883=TRUE)*(F883-Calc!F22)))/150)*(1-B895/150)))/100</f>
        <v/>
      </c>
    </row>
    <row r="897">
      <c r="A897" t="inlineStr">
        <is>
          <t>Skill + Buff Cast Rate</t>
        </is>
      </c>
      <c r="B897">
        <f>IF(AND(Inputs!$B$38&lt;&gt;"pvp",Inputs!$B$43&gt;0),SUMPRODUCT((Skills!E2:E30=TRUE)*(C863:C891=TRUE)*R863:R891*Skills!F2:F30)/Inputs!$B$43,SUMPRODUCT((Skills!E2:E30=TRUE)*(C863:C891=TRUE)*Q863:Q891*Skills!F2:F30))</f>
        <v/>
      </c>
    </row>
    <row r="898">
      <c r="A898" t="inlineStr">
        <is>
          <t>Arrow Stream Casts Per Second</t>
        </is>
      </c>
      <c r="B898">
        <f>MAX(0,B896-B897)</f>
        <v/>
      </c>
    </row>
    <row r="899">
      <c r="A899" t="inlineStr">
        <is>
          <t>Global Critical Damage Bonus % (Sharp Eyes + Concentration)</t>
        </is>
      </c>
      <c r="B899">
        <f>(C877=TRUE)*F877*IF(AND(Inputs!$B$38&lt;&gt;"pvp",Inputs!$B$43&gt;0),(((R877-1)*(Skills!T16*(1+Inputs!$B$34/100))+MIN((Skills!T16*(1+Inputs!$B$34/100)),MAX(0,Inputs!$B$43-((R877-1)*Skills!D16))))/Inputs!$B$43),IF(Inputs!$B$38="pvp",MIN((Skills!T16*(1+Inputs!$B$34/100)),15)/15,(Skills!T16*(1+Inputs!$B$34/100))/Skills!D16))+(C878=TRUE)*30</f>
        <v/>
      </c>
    </row>
    <row r="900">
      <c r="A900" t="inlineStr">
        <is>
          <t>Global Final Damage Bonus % (Mortal Blow)</t>
        </is>
      </c>
      <c r="B900">
        <f>(C879=TRUE)*F879</f>
        <v/>
      </c>
    </row>
    <row r="901">
      <c r="A901" t="inlineStr">
        <is>
          <t>Buff-Casting Startup Delay (s, fixed-duration only)</t>
        </is>
      </c>
      <c r="B901">
        <f>IF(AND(Inputs!$B$38&lt;&gt;"pvp",Inputs!$B$43&gt;0),SUMPRODUCT((Skills!T2:T30&gt;0)*(Skills!E2:E30=TRUE)*(C863:C891=TRUE))/B896,0)</f>
        <v/>
      </c>
    </row>
    <row r="902">
      <c r="A902" t="inlineStr">
        <is>
          <t>Boss-Only Total DPS (this block's swept value)</t>
        </is>
      </c>
      <c r="B902">
        <f>SUM(T863:T891)</f>
        <v/>
      </c>
    </row>
    <row r="903">
      <c r="A903" t="inlineStr">
        <is>
          <t>Normal-Only Total DPS (this block's swept value)</t>
        </is>
      </c>
      <c r="B903">
        <f>SUM(V863:V891)</f>
        <v/>
      </c>
    </row>
    <row r="904">
      <c r="A904" s="5" t="inlineStr">
        <is>
          <t>TOTAL DPS</t>
        </is>
      </c>
      <c r="B904" s="5">
        <f>SUM(O863:O891)</f>
        <v/>
      </c>
    </row>
    <row r="907">
      <c r="A907" s="5" t="inlineStr">
        <is>
          <t>Stat: Skill Level Bonus — 4th Job</t>
        </is>
      </c>
    </row>
    <row r="908">
      <c r="A908" s="9" t="inlineStr">
        <is>
          <t>Key</t>
        </is>
      </c>
      <c r="B908" s="9" t="inlineStr">
        <is>
          <t>Name</t>
        </is>
      </c>
      <c r="C908" s="9" t="inlineStr">
        <is>
          <t>Unlocked</t>
        </is>
      </c>
      <c r="D908" s="9" t="inlineStr">
        <is>
          <t>InputLevel</t>
        </is>
      </c>
      <c r="E908" s="9" t="inlineStr">
        <is>
          <t>Factor</t>
        </is>
      </c>
      <c r="F908" s="9" t="inlineStr">
        <is>
          <t>CoefficientPercent</t>
        </is>
      </c>
      <c r="G908" s="9" t="inlineStr">
        <is>
          <t>EffectiveHits</t>
        </is>
      </c>
      <c r="H908" s="9" t="inlineStr">
        <is>
          <t>ProcProbability</t>
        </is>
      </c>
      <c r="I908" s="9" t="inlineStr">
        <is>
          <t>MapleHeroMultiplier</t>
        </is>
      </c>
      <c r="J908" s="9" t="inlineStr">
        <is>
          <t>BaseDamage</t>
        </is>
      </c>
      <c r="K908" s="9" t="inlineStr">
        <is>
          <t>BaseHitDamage</t>
        </is>
      </c>
      <c r="L908" s="9" t="inlineStr">
        <is>
          <t>NonCritAvg</t>
        </is>
      </c>
      <c r="M908" s="9" t="inlineStr">
        <is>
          <t>CritAvg</t>
        </is>
      </c>
      <c r="N908" s="9" t="inlineStr">
        <is>
          <t>ExpectedDamage(perHit)</t>
        </is>
      </c>
      <c r="O908" s="9" t="inlineStr">
        <is>
          <t>DPS</t>
        </is>
      </c>
      <c r="P908" s="9" t="inlineStr">
        <is>
          <t>% of Total</t>
        </is>
      </c>
      <c r="Q908" s="9" t="inlineStr">
        <is>
          <t>InvCooldown</t>
        </is>
      </c>
      <c r="R908" s="9" t="inlineStr">
        <is>
          <t>CastsInFight</t>
        </is>
      </c>
      <c r="S908" s="9"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nputs!$B$16/100)*(5000/(6000+Inputs!$B$42*(1-(Inputs!$B$19+((C934=TRUE)*(F934-Calc!F27)))/100)))*(1+(Inputs!$B$24+((C932=TRUE)*(F932-Calc!F25))+((C933=TRUE)*(F933-Calc!F26))+B946)/100)*(1+(IF(Skills!A2="ARROW_STREAM",Inputs!$B$17+((C930=TRUE)*(F930-Calc!F23)),Inputs!$B$18+((C935=TRUE)*(F935-Calc!F28))))/100)*((1+(((C920=TRUE)*F920)+((C921=TRUE)*IF(Inputs!$B$38="pvp",F921,(1-Summary!$B$55)*(F921)+Summary!$B$55*(0)))+((C922=TRUE)*F922*IF(AND(Inputs!$B$38&lt;&gt;"pvp",Inputs!$B$43&gt;0),(((R922-1)*(Skills!T15*(1+Inputs!$B$34/100))+MIN((Skills!T15*(1+Inputs!$B$34/100)),MAX(0,Inputs!$B$43-((R922-1)*Skills!D15))))/Inputs!$B$43),IF(Inputs!$B$38="pvp",MIN((Skills!T15*(1+Inputs!$B$34/100)),15)/15,(Skills!T15*(1+Inputs!$B$34/100))/Skills!D15)))+((C937=TRUE)*(F937-Calc!F30)))/100)*I909)</f>
        <v/>
      </c>
      <c r="L909">
        <f>K909*(MIN(Inputs!$B$22+((C931=TRUE)*(F931-Calc!F24)),Inputs!$B$23+((C936=TRUE)*(F936-Calc!F29)))/100+(Inputs!$B$23+((C936=TRUE)*(F936-Calc!F29)))/100)/2</f>
        <v/>
      </c>
      <c r="M909">
        <f>L909*(1+(Inputs!$B$10+0+B945)/100)</f>
        <v/>
      </c>
      <c r="N909">
        <f>L909*(1-MIN((Inputs!$B$9+((C927=TRUE)*(F927-Calc!F20))+B940),100)/100)+M909*(MIN((Inputs!$B$9+((C927=TRUE)*(F927-Calc!F20))+B940),100)/100)</f>
        <v/>
      </c>
      <c r="O909">
        <f>(1-Summary!$B$55)*T909+Summary!$B$55*V909</f>
        <v/>
      </c>
      <c r="P909">
        <f>IF(B950=0,0,O909/B950)</f>
        <v/>
      </c>
      <c r="Q909" t="n">
        <v>0</v>
      </c>
      <c r="R909" t="n">
        <v>0</v>
      </c>
      <c r="S909">
        <f>IFERROR(O909/N909,0)</f>
        <v/>
      </c>
      <c r="T909">
        <f>IF(C909,(Skills!G2*N909*B944)*IF(Inputs!$B$38="pvp",1,1+(Inputs!$B$20+0+Skills!P2)/100),0)</f>
        <v/>
      </c>
      <c r="U909">
        <f>MAX(0,(Inputs!$B$3-100)*3)+(Inputs!$B$28+1)+Inputs!$B$29</f>
        <v/>
      </c>
      <c r="V909">
        <f>IF(C909,(Skills!G2*N909*B944)*IF(Inputs!$B$38="pvp",1,(1+(Inputs!$B$21+Skills!Q2)/100)*(MIN((6+Inputs!$B$33),Inputs!$B$37))),0)</f>
        <v/>
      </c>
    </row>
    <row r="910">
      <c r="A910">
        <f>Skills!A3</f>
        <v/>
      </c>
      <c r="B910">
        <f>Skills!B3</f>
        <v/>
      </c>
      <c r="C910">
        <f>Inputs!$B$3&gt;=50</f>
        <v/>
      </c>
      <c r="D910">
        <f>IF(Skills!C3=1,60+Inputs!$B$25+Inputs!$B$29,IF(Skills!C3=2,90+Inputs!$B$26+Inputs!$B$29,IF(Skills!C3=3,120+Inputs!$B$27+Inputs!$B$29,MAX(0,(Inputs!$B$3-100)*3)+(Inputs!$B$28+1)+Inputs!$B$29)))</f>
        <v/>
      </c>
      <c r="E910">
        <f>INDEX(FactorTable!$B$2:$Y$301, MATCH(ROUND(MIN(300,MAX(1,D910)),0), FactorTable!$A$2:$A$301,0), Skills!M3+1)</f>
        <v/>
      </c>
      <c r="F910">
        <f>IF(Skills!N3=TRUE,(Skills!L3/10)*(E910/1000),Skills!L3/10)+Skills!O3</f>
        <v/>
      </c>
      <c r="G910" t="inlineStr"/>
      <c r="H910" t="inlineStr"/>
      <c r="I910" t="inlineStr">
        <is>
          <t>1</t>
        </is>
      </c>
      <c r="J910" t="inlineStr"/>
      <c r="K910" t="inlineStr"/>
      <c r="L910" t="inlineStr"/>
      <c r="M910" t="inlineStr"/>
      <c r="N910" t="inlineStr"/>
      <c r="O910" t="inlineStr"/>
      <c r="P910" t="inlineStr"/>
      <c r="Q910" t="inlineStr"/>
      <c r="R910" t="inlineStr"/>
      <c r="S910" t="inlineStr"/>
      <c r="T910" t="inlineStr"/>
      <c r="U910">
        <f>INDEX(FactorTable!$B$2:$Y$301, MATCH(ROUND(MIN(300,MAX(1,U909)),0), FactorTable!$A$2:$A$301,0), 22)</f>
        <v/>
      </c>
      <c r="V910" t="inlineStr"/>
    </row>
    <row r="911">
      <c r="A911">
        <f>Skills!A4</f>
        <v/>
      </c>
      <c r="B911">
        <f>Skills!B4</f>
        <v/>
      </c>
      <c r="C911">
        <f>Inputs!$B$3&gt;=105</f>
        <v/>
      </c>
      <c r="D911">
        <f>IF(Skills!C4=1,60+Inputs!$B$25+Inputs!$B$29,IF(Skills!C4=2,90+Inputs!$B$26+Inputs!$B$29,IF(Skills!C4=3,120+Inputs!$B$27+Inputs!$B$29,MAX(0,(Inputs!$B$3-100)*3)+(Inputs!$B$28+1)+Inputs!$B$29)))</f>
        <v/>
      </c>
      <c r="E911">
        <f>INDEX(FactorTable!$B$2:$Y$301, MATCH(ROUND(MIN(300,MAX(1,D911)),0), FactorTable!$A$2:$A$301,0), Skills!M4+1)</f>
        <v/>
      </c>
      <c r="F911">
        <f>IF(Skills!N4=TRUE,(Skills!L4/10)*(E911/1000),Skills!L4/10)+Skills!O4</f>
        <v/>
      </c>
      <c r="G911" t="inlineStr"/>
      <c r="H911" t="inlineStr"/>
      <c r="I911" t="inlineStr">
        <is>
          <t>1</t>
        </is>
      </c>
      <c r="J911" t="inlineStr"/>
      <c r="K911" t="inlineStr"/>
      <c r="L911" t="inlineStr"/>
      <c r="M911" t="inlineStr"/>
      <c r="N911" t="inlineStr"/>
      <c r="O911" t="inlineStr"/>
      <c r="P911" t="inlineStr"/>
      <c r="Q911" t="inlineStr"/>
      <c r="R911" t="inlineStr"/>
      <c r="S911" t="inlineStr"/>
      <c r="T911" t="inlineStr"/>
      <c r="U911">
        <f>290*U910/1000</f>
        <v/>
      </c>
      <c r="V911" t="inlineStr"/>
    </row>
    <row r="912">
      <c r="A912">
        <f>Skills!A5</f>
        <v/>
      </c>
      <c r="B912">
        <f>Skills!B5</f>
        <v/>
      </c>
      <c r="C912">
        <f>Inputs!$B$3&gt;=35</f>
        <v/>
      </c>
      <c r="D912">
        <f>IF(Skills!C5=1,60+Inputs!$B$25+Inputs!$B$29,IF(Skills!C5=2,90+Inputs!$B$26+Inputs!$B$29,IF(Skills!C5=3,120+Inputs!$B$27+Inputs!$B$29,MAX(0,(Inputs!$B$3-100)*3)+(Inputs!$B$28+1)+Inputs!$B$29)))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((Inputs!$B$6*(1+Inputs!$B$7/100))+(((Inputs!$B$12*(1+Inputs!$B$13/100))-(Inputs!$B$12*(1+Inputs!$B$13/100)))+0.25*(Inputs!$B$14-Inputs!$B$14))*(1+Inputs!$B$7/100))*(F912/100)</f>
        <v/>
      </c>
      <c r="K912">
        <f>J912*(1+((Inputs!$B$12*(1+Inputs!$B$13/100))*0.01+Inputs!$B$14*0.0025)/100)*(1+Inputs!$B$15/100)*(1+Inputs!$B$16/100)*(5000/(6000+Inputs!$B$42*(1-(Inputs!$B$19+((C934=TRUE)*(F934-Calc!F27)))/100)))*(1+(Inputs!$B$24+((C932=TRUE)*(F932-Calc!F25))+((C933=TRUE)*(F933-Calc!F26))+B946)/100)*(1+4.0*IF(C917=TRUE,F917,0)/100)*(1+(IF(Skills!A5="ARROW_STREAM",Inputs!$B$17+((C930=TRUE)*(F930-Calc!F23)),Inputs!$B$18+((C935=TRUE)*(F935-Calc!F28))))/100)*((1+(((C920=TRUE)*F920)+((C921=TRUE)*IF(Inputs!$B$38="pvp",F921,(1-Summary!$B$55)*(F921)+Summary!$B$55*(0)))+((C922=TRUE)*F922*IF(AND(Inputs!$B$38&lt;&gt;"pvp",Inputs!$B$43&gt;0),(((R922-1)*(Skills!T15*(1+Inputs!$B$34/100))+MIN((Skills!T15*(1+Inputs!$B$34/100)),MAX(0,Inputs!$B$43-((R922-1)*Skills!D15))))/Inputs!$B$43),IF(Inputs!$B$38="pvp",MIN((Skills!T15*(1+Inputs!$B$34/100)),15)/15,(Skills!T15*(1+Inputs!$B$34/100))/Skills!D15)))+((C937=TRUE)*(F937-Calc!F30)))/100)*I912)</f>
        <v/>
      </c>
      <c r="L912">
        <f>K912*(MIN(Inputs!$B$22+((C931=TRUE)*(F931-Calc!F24)),Inputs!$B$23+((C936=TRUE)*(F936-Calc!F29)))/100+(Inputs!$B$23+((C936=TRUE)*(F936-Calc!F29)))/100)/2</f>
        <v/>
      </c>
      <c r="M912">
        <f>L912*(1+(Inputs!$B$10+0+B945)/100)</f>
        <v/>
      </c>
      <c r="N912">
        <f>L912*(1-MIN((Inputs!$B$9+((C927=TRUE)*(F927-Calc!F20))+B940),100)/100)+M912*(MIN((Inputs!$B$9+((C927=TRUE)*(F927-Calc!F20))+B940),100)/100)</f>
        <v/>
      </c>
      <c r="O912">
        <f>(1-Summary!$B$55)*T912+Summary!$B$55*V912</f>
        <v/>
      </c>
      <c r="P912">
        <f>IF(B950=0,0,O912/B950)</f>
        <v/>
      </c>
      <c r="Q912">
        <f>IFERROR(1/IF(Inputs!$B$38="pvp",15,MAX(0.1,Skills!D5-IF(Skills!E5=TRUE,Inputs!$B$32,0))),0)</f>
        <v/>
      </c>
      <c r="R912">
        <f>IF(AND(Inputs!$B$38&lt;&gt;"pvp",Inputs!$B$43&gt;0),IF(MAX(0,Inputs!$B$43-B947)&lt;=0,0,(INT(MAX(0,Inputs!$B$43-B947)/IF(Inputs!$B$38="pvp",15,MAX(0.1,Skills!D5-IF(Skills!E5=TRUE,Inputs!$B$32,0))))+1)),0)</f>
        <v/>
      </c>
      <c r="S912">
        <f>IFERROR(O912/N912,0)</f>
        <v/>
      </c>
      <c r="T912">
        <f>IF(C912,(H912*N912*IF(AND(Inputs!$B$38&lt;&gt;"pvp",Inputs!$B$43&gt;0),((Skills!G5*((R912-1)*IF(Skills!H5&gt;0,Skills!I5/Skills!H5,1)+IF(Skills!H5&gt;0,MIN(Skills!I5,MAX(0,MAX(0,Inputs!$B$43-B947)-((R912-1)*IF(Inputs!$B$38="pvp",15,MAX(0.1,Skills!D5-IF(Skills!E5=TRUE,Inputs!$B$32,0))))))/Skills!H5,1)))/Inputs!$B$43),G912*Q912))*IF(Inputs!$B$38="pvp",1,1+(Inputs!$B$20+0+Skills!P5)/100),0)</f>
        <v/>
      </c>
      <c r="V912">
        <f>IF(C912,(H912*N912*IF(AND(Inputs!$B$38&lt;&gt;"pvp",Inputs!$B$43&gt;0),((Skills!G5*((R912-1)*IF(Skills!H5&gt;0,Skills!I5/Skills!H5,1)+IF(Skills!H5&gt;0,MIN(Skills!I5,MAX(0,MAX(0,Inputs!$B$43-B947)-((R912-1)*IF(Inputs!$B$38="pvp",15,MAX(0.1,Skills!D5-IF(Skills!E5=TRUE,Inputs!$B$32,0))))))/Skills!H5,1)))/Inputs!$B$43),G912*Q912))*IF(Inputs!$B$38="pvp",1,(1+(Inputs!$B$21+Skills!Q5)/100)*(MIN(Skills!R5,Inputs!$B$37))),0)</f>
        <v/>
      </c>
    </row>
    <row r="913">
      <c r="A913">
        <f>Skills!A6</f>
        <v/>
      </c>
      <c r="B913">
        <f>Skills!B6</f>
        <v/>
      </c>
      <c r="C913">
        <f>Inputs!$B$3&gt;=40</f>
        <v/>
      </c>
      <c r="D913">
        <f>IF(Skills!C6=1,60+Inputs!$B$25+Inputs!$B$29,IF(Skills!C6=2,90+Inputs!$B$26+Inputs!$B$29,IF(Skills!C6=3,120+Inputs!$B$27+Inputs!$B$29,MAX(0,(Inputs!$B$3-100)*3)+(Inputs!$B$28+1)+Inputs!$B$29)))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nputs!$B$16/100)*(5000/(6000+Inputs!$B$42*(1-(Inputs!$B$19+((C934=TRUE)*(F934-Calc!F27)))/100)))*(1+(Inputs!$B$24+((C932=TRUE)*(F932-Calc!F25))+((C933=TRUE)*(F933-Calc!F26))+B946)/100)*(1+IF(C914=TRUE,F914,0)/100)*(1+(IF(Skills!A6="ARROW_STREAM",Inputs!$B$17+((C930=TRUE)*(F930-Calc!F23)),Inputs!$B$18+((C935=TRUE)*(F935-Calc!F28))))/100)*((1+(((C920=TRUE)*F920)+((C921=TRUE)*IF(Inputs!$B$38="pvp",F921,(1-Summary!$B$55)*(F921)+Summary!$B$55*(0)))+((C922=TRUE)*F922*IF(AND(Inputs!$B$38&lt;&gt;"pvp",Inputs!$B$43&gt;0),(((R922-1)*(Skills!T15*(1+Inputs!$B$34/100))+MIN((Skills!T15*(1+Inputs!$B$34/100)),MAX(0,Inputs!$B$43-((R922-1)*Skills!D15))))/Inputs!$B$43),IF(Inputs!$B$38="pvp",MIN((Skills!T15*(1+Inputs!$B$34/100)),15)/15,(Skills!T15*(1+Inputs!$B$34/100))/Skills!D15)))+((C937=TRUE)*(F937-Calc!F30)))/100)*I913)</f>
        <v/>
      </c>
      <c r="L913">
        <f>K913*(MIN(Inputs!$B$22+((C931=TRUE)*(F931-Calc!F24)),Inputs!$B$23+((C936=TRUE)*(F936-Calc!F29)))/100+(Inputs!$B$23+((C936=TRUE)*(F936-Calc!F29)))/100)/2</f>
        <v/>
      </c>
      <c r="M913">
        <f>L913*(1+(Inputs!$B$10+0+B945)/100)</f>
        <v/>
      </c>
      <c r="N913">
        <f>L913*(1-MIN((Inputs!$B$9+((C927=TRUE)*(F927-Calc!F20))+B940),100)/100)+M913*(MIN((Inputs!$B$9+((C927=TRUE)*(F927-Calc!F20))+B940),100)/100)</f>
        <v/>
      </c>
      <c r="O913">
        <f>(1-Summary!$B$55)*T913+Summary!$B$55*V913</f>
        <v/>
      </c>
      <c r="P913">
        <f>IF(B950=0,0,O913/B950)</f>
        <v/>
      </c>
      <c r="Q913">
        <f>IFERROR(1/IF(Inputs!$B$38="pvp",15,MAX(0.1,Skills!D6-IF(Skills!E6=TRUE,Inputs!$B$32,0))),0)</f>
        <v/>
      </c>
      <c r="R913">
        <f>IF(AND(Inputs!$B$38&lt;&gt;"pvp",Inputs!$B$43&gt;0),IF(MAX(0,Inputs!$B$43-B947)&lt;=0,0,(INT(MAX(0,Inputs!$B$43-B947)/IF(Inputs!$B$38="pvp",15,MAX(0.1,Skills!D6-IF(Skills!E6=TRUE,Inputs!$B$32,0))))+1)),0)</f>
        <v/>
      </c>
      <c r="S913">
        <f>IFERROR(O913/N913,0)</f>
        <v/>
      </c>
      <c r="T913">
        <f>IF(C913,(H913*N913*IF(AND(Inputs!$B$38&lt;&gt;"pvp",Inputs!$B$43&gt;0),((Skills!G6*((R913-1)*IF(Skills!H6&gt;0,Skills!I6/Skills!H6,1)+IF(Skills!H6&gt;0,MIN(Skills!I6,MAX(0,MAX(0,Inputs!$B$43-B947)-((R913-1)*IF(Inputs!$B$38="pvp",15,MAX(0.1,Skills!D6-IF(Skills!E6=TRUE,Inputs!$B$32,0))))))/Skills!H6,1)))/Inputs!$B$43),G913*Q913))*IF(Inputs!$B$38="pvp",1,1+(Inputs!$B$20+0+Skills!P6)/100),0)</f>
        <v/>
      </c>
      <c r="V913">
        <f>IF(C913,(H913*N913*IF(AND(Inputs!$B$38&lt;&gt;"pvp",Inputs!$B$43&gt;0),((Skills!G6*((R913-1)*IF(Skills!H6&gt;0,Skills!I6/Skills!H6,1)+IF(Skills!H6&gt;0,MIN(Skills!I6,MAX(0,MAX(0,Inputs!$B$43-B947)-((R913-1)*IF(Inputs!$B$38="pvp",15,MAX(0.1,Skills!D6-IF(Skills!E6=TRUE,Inputs!$B$32,0))))))/Skills!H6,1)))/Inputs!$B$43),G913*Q913))*IF(Inputs!$B$38="pvp",1,(1+(Inputs!$B$21+Skills!Q6)/100)*(MIN(Skills!R6,Inputs!$B$37))),0)</f>
        <v/>
      </c>
    </row>
    <row r="914">
      <c r="A914">
        <f>Skills!A7</f>
        <v/>
      </c>
      <c r="B914">
        <f>Skills!B7</f>
        <v/>
      </c>
      <c r="C914">
        <f>Inputs!$B$3&gt;=107</f>
        <v/>
      </c>
      <c r="D914">
        <f>IF(Skills!C7=1,60+Inputs!$B$25+Inputs!$B$29,IF(Skills!C7=2,90+Inputs!$B$26+Inputs!$B$29,IF(Skills!C7=3,120+Inputs!$B$27+Inputs!$B$29,MAX(0,(Inputs!$B$3-100)*3)+(Inputs!$B$28+1)+Inputs!$B$29)))</f>
        <v/>
      </c>
      <c r="E914">
        <f>INDEX(FactorTable!$B$2:$Y$301, MATCH(ROUND(MIN(300,MAX(1,D914)),0), FactorTable!$A$2:$A$301,0), Skills!M7+1)</f>
        <v/>
      </c>
      <c r="F914">
        <f>IF(Skills!N7=TRUE,(Skills!L7/10)*(E914/1000),Skills!L7/10)+Skills!O7</f>
        <v/>
      </c>
      <c r="G914" t="inlineStr"/>
      <c r="H914" t="inlineStr"/>
      <c r="I914" t="inlineStr">
        <is>
          <t>1</t>
        </is>
      </c>
      <c r="J914" t="inlineStr"/>
      <c r="K914" t="inlineStr"/>
      <c r="L914" t="inlineStr"/>
      <c r="M914" t="inlineStr"/>
      <c r="N914" t="inlineStr"/>
      <c r="O914" t="inlineStr"/>
      <c r="P914" t="inlineStr"/>
      <c r="Q914" t="inlineStr"/>
      <c r="R914" t="inlineStr"/>
      <c r="S914" t="inlineStr"/>
      <c r="T914" t="inlineStr"/>
      <c r="V914" t="inlineStr"/>
    </row>
    <row r="915">
      <c r="A915">
        <f>Skills!A8</f>
        <v/>
      </c>
      <c r="B915">
        <f>Skills!B8</f>
        <v/>
      </c>
      <c r="C915">
        <f>Inputs!$B$3&gt;=69</f>
        <v/>
      </c>
      <c r="D915">
        <f>IF(Skills!C8=1,60+Inputs!$B$25+Inputs!$B$29,IF(Skills!C8=2,90+Inputs!$B$26+Inputs!$B$29,IF(Skills!C8=3,120+Inputs!$B$27+Inputs!$B$29,MAX(0,(Inputs!$B$3-100)*3)+(Inputs!$B$28+1)+Inputs!$B$29)))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nputs!$B$16/100)*(5000/(6000+Inputs!$B$42*(1-(Inputs!$B$19+((C934=TRUE)*(F934-Calc!F27)))/100)))*(1+(Inputs!$B$24+((C932=TRUE)*(F932-Calc!F25))+((C933=TRUE)*(F933-Calc!F26))+B946)/100)*(1+1.2*IF(C917=TRUE,F917,0)/100)*(1+(IF(Skills!A8="ARROW_STREAM",Inputs!$B$17+((C930=TRUE)*(F930-Calc!F23)),Inputs!$B$18+((C935=TRUE)*(F935-Calc!F28))))/100)*((1+(((C920=TRUE)*F920)+((C921=TRUE)*IF(Inputs!$B$38="pvp",F921,(1-Summary!$B$55)*(F921)+Summary!$B$55*(0)))+((C922=TRUE)*F922*IF(AND(Inputs!$B$38&lt;&gt;"pvp",Inputs!$B$43&gt;0),(((R922-1)*(Skills!T15*(1+Inputs!$B$34/100))+MIN((Skills!T15*(1+Inputs!$B$34/100)),MAX(0,Inputs!$B$43-((R922-1)*Skills!D15))))/Inputs!$B$43),IF(Inputs!$B$38="pvp",MIN((Skills!T15*(1+Inputs!$B$34/100)),15)/15,(Skills!T15*(1+Inputs!$B$34/100))/Skills!D15)))+((C937=TRUE)*(F937-Calc!F30)))/100)*I915)</f>
        <v/>
      </c>
      <c r="L915">
        <f>K915*(MIN(Inputs!$B$22+((C931=TRUE)*(F931-Calc!F24)),Inputs!$B$23+((C936=TRUE)*(F936-Calc!F29)))/100+(Inputs!$B$23+((C936=TRUE)*(F936-Calc!F29)))/100)/2</f>
        <v/>
      </c>
      <c r="M915">
        <f>L915*(1+(Inputs!$B$10+0+B945)/100)</f>
        <v/>
      </c>
      <c r="N915">
        <f>L915*(1-MIN((Inputs!$B$9+((C927=TRUE)*(F927-Calc!F20))+B940),100)/100)+M915*(MIN((Inputs!$B$9+((C927=TRUE)*(F927-Calc!F20))+B940),100)/100)</f>
        <v/>
      </c>
      <c r="O915">
        <f>(1-Summary!$B$55)*T915+Summary!$B$55*V915</f>
        <v/>
      </c>
      <c r="P915">
        <f>IF(B950=0,0,O915/B950)</f>
        <v/>
      </c>
      <c r="Q915">
        <f>IFERROR(1/IF(Inputs!$B$38="pvp",15,MAX(0.1,Skills!D8-IF(Skills!E8=TRUE,Inputs!$B$32,0))),0)</f>
        <v/>
      </c>
      <c r="R915">
        <f>IF(AND(Inputs!$B$38&lt;&gt;"pvp",Inputs!$B$43&gt;0),IF(MAX(0,Inputs!$B$43-B947)&lt;=0,0,(INT(MAX(0,Inputs!$B$43-B947)/IF(Inputs!$B$38="pvp",15,MAX(0.1,Skills!D8-IF(Skills!E8=TRUE,Inputs!$B$32,0))))+1)),0)</f>
        <v/>
      </c>
      <c r="S915">
        <f>IFERROR(O915/N915,0)</f>
        <v/>
      </c>
      <c r="T915">
        <f>IF(C915,(H915*N915*IF(AND(Inputs!$B$38&lt;&gt;"pvp",Inputs!$B$43&gt;0),((Skills!G8*((R915-1)*IF(Skills!H8&gt;0,Skills!I8/Skills!H8,1)+IF(Skills!H8&gt;0,MIN(Skills!I8,MAX(0,MAX(0,Inputs!$B$43-B947)-((R915-1)*IF(Inputs!$B$38="pvp",15,MAX(0.1,Skills!D8-IF(Skills!E8=TRUE,Inputs!$B$32,0))))))/Skills!H8,1)))/Inputs!$B$43),G915*Q915))*IF(Inputs!$B$38="pvp",1,1+(Inputs!$B$20+0+Skills!P8)/100),0)</f>
        <v/>
      </c>
      <c r="V915">
        <f>IF(C915,(H915*N915*IF(AND(Inputs!$B$38&lt;&gt;"pvp",Inputs!$B$43&gt;0),((Skills!G8*((R915-1)*IF(Skills!H8&gt;0,Skills!I8/Skills!H8,1)+IF(Skills!H8&gt;0,MIN(Skills!I8,MAX(0,MAX(0,Inputs!$B$43-B947)-((R915-1)*IF(Inputs!$B$38="pvp",15,MAX(0.1,Skills!D8-IF(Skills!E8=TRUE,Inputs!$B$32,0))))))/Skills!H8,1)))/Inputs!$B$43),G915*Q915))*IF(Inputs!$B$38="pvp",1,(1+(Inputs!$B$21+Skills!Q8)/100)*(MIN(Skills!R8,Inputs!$B$37))),0)</f>
        <v/>
      </c>
    </row>
    <row r="916">
      <c r="A916">
        <f>Skills!A9</f>
        <v/>
      </c>
      <c r="B916">
        <f>Skills!B9</f>
        <v/>
      </c>
      <c r="C916">
        <f>Inputs!$B$3&gt;=63</f>
        <v/>
      </c>
      <c r="D916">
        <f>IF(Skills!C9=1,60+Inputs!$B$25+Inputs!$B$29,IF(Skills!C9=2,90+Inputs!$B$26+Inputs!$B$29,IF(Skills!C9=3,120+Inputs!$B$27+Inputs!$B$29,MAX(0,(Inputs!$B$3-100)*3)+(Inputs!$B$28+1)+Inputs!$B$29)))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nputs!$B$16/100)*(5000/(6000+Inputs!$B$42*(1-(Inputs!$B$19+((C934=TRUE)*(F934-Calc!F27)))/100)))*(1+(Inputs!$B$24+((C932=TRUE)*(F932-Calc!F25))+((C933=TRUE)*(F933-Calc!F26))+B946)/100)*(1+1.0*IF(C917=TRUE,F917,0)/100)*(1+(IF(Skills!A9="ARROW_STREAM",Inputs!$B$17+((C930=TRUE)*(F930-Calc!F23)),Inputs!$B$18+((C935=TRUE)*(F935-Calc!F28))))/100)*((1+(((C920=TRUE)*F920)+((C921=TRUE)*IF(Inputs!$B$38="pvp",F921,(1-Summary!$B$55)*(F921)+Summary!$B$55*(0)))+((C922=TRUE)*F922*IF(AND(Inputs!$B$38&lt;&gt;"pvp",Inputs!$B$43&gt;0),(((R922-1)*(Skills!T15*(1+Inputs!$B$34/100))+MIN((Skills!T15*(1+Inputs!$B$34/100)),MAX(0,Inputs!$B$43-((R922-1)*Skills!D15))))/Inputs!$B$43),IF(Inputs!$B$38="pvp",MIN((Skills!T15*(1+Inputs!$B$34/100)),15)/15,(Skills!T15*(1+Inputs!$B$34/100))/Skills!D15)))+((C937=TRUE)*(F937-Calc!F30)))/100)*I916)</f>
        <v/>
      </c>
      <c r="L916">
        <f>K916*(MIN(Inputs!$B$22+((C931=TRUE)*(F931-Calc!F24)),Inputs!$B$23+((C936=TRUE)*(F936-Calc!F29)))/100+(Inputs!$B$23+((C936=TRUE)*(F936-Calc!F29)))/100)/2</f>
        <v/>
      </c>
      <c r="M916">
        <f>L916*(1+(Inputs!$B$10+0+B945)/100)</f>
        <v/>
      </c>
      <c r="N916">
        <f>L916*(1-MIN((Inputs!$B$9+((C927=TRUE)*(F927-Calc!F20))+B940),100)/100)+M916*(MIN((Inputs!$B$9+((C927=TRUE)*(F927-Calc!F20))+B940),100)/100)</f>
        <v/>
      </c>
      <c r="O916">
        <f>(1-Summary!$B$55)*T916+Summary!$B$55*V916</f>
        <v/>
      </c>
      <c r="P916">
        <f>IF(B950=0,0,O916/B950)</f>
        <v/>
      </c>
      <c r="Q916">
        <f>IFERROR(1/IF(Inputs!$B$38="pvp",15,MAX(0.1,Skills!D9-IF(Skills!E9=TRUE,Inputs!$B$32,0))),0)</f>
        <v/>
      </c>
      <c r="R916">
        <f>IF(AND(Inputs!$B$38&lt;&gt;"pvp",Inputs!$B$43&gt;0),IF(MAX(0,Inputs!$B$43-B947)&lt;=0,0,(INT(MAX(0,Inputs!$B$43-B947)/IF(Inputs!$B$38="pvp",15,MAX(0.1,Skills!D9-IF(Skills!E9=TRUE,Inputs!$B$32,0))))+1)),0)</f>
        <v/>
      </c>
      <c r="S916">
        <f>IFERROR(O916/N916,0)</f>
        <v/>
      </c>
      <c r="T916">
        <f>IF(C916,(H916*N916*IF(AND(Inputs!$B$38&lt;&gt;"pvp",Inputs!$B$43&gt;0),((Skills!G9*((R916-1)*IF(Skills!H9&gt;0,Skills!I9/Skills!H9,1)+IF(Skills!H9&gt;0,MIN(Skills!I9,MAX(0,MAX(0,Inputs!$B$43-B947)-((R916-1)*IF(Inputs!$B$38="pvp",15,MAX(0.1,Skills!D9-IF(Skills!E9=TRUE,Inputs!$B$32,0))))))/Skills!H9,1)))/Inputs!$B$43),G916*Q916))*IF(Inputs!$B$38="pvp",1,1+(Inputs!$B$20+0+Skills!P9)/100),0)</f>
        <v/>
      </c>
      <c r="V916">
        <f>IF(C916,(H916*N916*IF(AND(Inputs!$B$38&lt;&gt;"pvp",Inputs!$B$43&gt;0),((Skills!G9*((R916-1)*IF(Skills!H9&gt;0,Skills!I9/Skills!H9,1)+IF(Skills!H9&gt;0,MIN(Skills!I9,MAX(0,MAX(0,Inputs!$B$43-B947)-((R916-1)*IF(Inputs!$B$38="pvp",15,MAX(0.1,Skills!D9-IF(Skills!E9=TRUE,Inputs!$B$32,0))))))/Skills!H9,1)))/Inputs!$B$43),G916*Q916))*IF(Inputs!$B$38="pvp",1,(1+(Inputs!$B$21+Skills!Q9)/100)*(MIN(Skills!R9,Inputs!$B$37))),0)</f>
        <v/>
      </c>
    </row>
    <row r="917">
      <c r="A917">
        <f>Skills!A10</f>
        <v/>
      </c>
      <c r="B917">
        <f>Skills!B10</f>
        <v/>
      </c>
      <c r="C917">
        <f>Inputs!$B$3&gt;=100</f>
        <v/>
      </c>
      <c r="D917">
        <f>IF(Skills!C10=1,60+Inputs!$B$25+Inputs!$B$29,IF(Skills!C10=2,90+Inputs!$B$26+Inputs!$B$29,IF(Skills!C10=3,120+Inputs!$B$27+Inputs!$B$29,MAX(0,(Inputs!$B$3-100)*3)+(Inputs!$B$28+1)+Inputs!$B$29)))</f>
        <v/>
      </c>
      <c r="E917">
        <f>INDEX(FactorTable!$B$2:$Y$301, MATCH(ROUND(MIN(300,MAX(1,D917)),0), FactorTable!$A$2:$A$301,0), Skills!M10+1)</f>
        <v/>
      </c>
      <c r="F917">
        <f>IF(Skills!N10=TRUE,(Skills!L10/10)*(E917/1000),Skills!L10/10)+Skills!O10</f>
        <v/>
      </c>
      <c r="G917" t="inlineStr"/>
      <c r="H917" t="inlineStr"/>
      <c r="I917" t="inlineStr">
        <is>
          <t>1</t>
        </is>
      </c>
      <c r="J917" t="inlineStr"/>
      <c r="K917" t="inlineStr"/>
      <c r="L917" t="inlineStr"/>
      <c r="M917" t="inlineStr"/>
      <c r="N917" t="inlineStr"/>
      <c r="O917" t="inlineStr"/>
      <c r="P917" t="inlineStr"/>
      <c r="Q917" t="inlineStr"/>
      <c r="R917" t="inlineStr"/>
      <c r="S917" t="inlineStr"/>
      <c r="T917" t="inlineStr"/>
      <c r="V917" t="inlineStr"/>
    </row>
    <row r="918">
      <c r="A918">
        <f>Skills!A11</f>
        <v/>
      </c>
      <c r="B918">
        <f>Skills!B11</f>
        <v/>
      </c>
      <c r="C918">
        <f>Inputs!$B$3&gt;=60</f>
        <v/>
      </c>
      <c r="D918">
        <f>IF(Skills!C11=1,60+Inputs!$B$25+Inputs!$B$29,IF(Skills!C11=2,90+Inputs!$B$26+Inputs!$B$29,IF(Skills!C11=3,120+Inputs!$B$27+Inputs!$B$29,MAX(0,(Inputs!$B$3-100)*3)+(Inputs!$B$28+1)+Inputs!$B$29)))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nputs!$B$16/100)*(5000/(6000+Inputs!$B$42*(1-(Inputs!$B$19+((C934=TRUE)*(F934-Calc!F27)))/100)))*(1+(Inputs!$B$24+((C932=TRUE)*(F932-Calc!F25))+((C933=TRUE)*(F933-Calc!F26))+B946)/100)*(1+IF(C919=TRUE,F919,0)/100)*(1+(IF(Skills!A11="ARROW_STREAM",Inputs!$B$17+((C930=TRUE)*(F930-Calc!F23)),Inputs!$B$18+((C935=TRUE)*(F935-Calc!F28))))/100)*((1+(((C920=TRUE)*F920)+((C921=TRUE)*IF(Inputs!$B$38="pvp",F921,(1-Summary!$B$55)*(F921)+Summary!$B$55*(0)))+((C922=TRUE)*F922*IF(AND(Inputs!$B$38&lt;&gt;"pvp",Inputs!$B$43&gt;0),(((R922-1)*(Skills!T15*(1+Inputs!$B$34/100))+MIN((Skills!T15*(1+Inputs!$B$34/100)),MAX(0,Inputs!$B$43-((R922-1)*Skills!D15))))/Inputs!$B$43),IF(Inputs!$B$38="pvp",MIN((Skills!T15*(1+Inputs!$B$34/100)),15)/15,(Skills!T15*(1+Inputs!$B$34/100))/Skills!D15)))+((C937=TRUE)*(F937-Calc!F30)))/100)*I918)</f>
        <v/>
      </c>
      <c r="L918">
        <f>K918*(MIN(Inputs!$B$22+((C931=TRUE)*(F931-Calc!F24)),Inputs!$B$23+((C936=TRUE)*(F936-Calc!F29)))/100+(Inputs!$B$23+((C936=TRUE)*(F936-Calc!F29)))/100)/2</f>
        <v/>
      </c>
      <c r="M918">
        <f>L918*(1+(Inputs!$B$10+0+B945)/100)</f>
        <v/>
      </c>
      <c r="N918">
        <f>L918*(1-MIN((Inputs!$B$9+((C927=TRUE)*(F927-Calc!F20))+B940),100)/100)+M918*(MIN((Inputs!$B$9+((C927=TRUE)*(F927-Calc!F20))+B940),100)/100)</f>
        <v/>
      </c>
      <c r="O918">
        <f>(1-Summary!$B$55)*T918+Summary!$B$55*V918</f>
        <v/>
      </c>
      <c r="P918">
        <f>IF(B950=0,0,O918/B950)</f>
        <v/>
      </c>
      <c r="Q918">
        <f>IFERROR(1/IF(Inputs!$B$38="pvp",15,MAX(0.1,Skills!D11-IF(Skills!E11=TRUE,Inputs!$B$32,0))),0)</f>
        <v/>
      </c>
      <c r="R918">
        <f>IF(AND(Inputs!$B$38&lt;&gt;"pvp",Inputs!$B$43&gt;0),IF(MAX(0,Inputs!$B$43-B947)&lt;=0,0,(INT(MAX(0,Inputs!$B$43-B947)/IF(Inputs!$B$38="pvp",15,MAX(0.1,Skills!D11-IF(Skills!E11=TRUE,Inputs!$B$32,0))))+1)),0)</f>
        <v/>
      </c>
      <c r="S918">
        <f>IFERROR(O918/N918,0)</f>
        <v/>
      </c>
      <c r="T918">
        <f>IF(C918,(H918*N918*IF(AND(Inputs!$B$38&lt;&gt;"pvp",Inputs!$B$43&gt;0),((Skills!G11*((R918-1)*IF(Skills!H11&gt;0,Skills!I11/Skills!H11,1)+IF(Skills!H11&gt;0,MIN(Skills!I11,MAX(0,MAX(0,Inputs!$B$43-B947)-((R918-1)*IF(Inputs!$B$38="pvp",15,MAX(0.1,Skills!D11-IF(Skills!E11=TRUE,Inputs!$B$32,0))))))/Skills!H11,1)))/Inputs!$B$43),G918*Q918))*IF(Inputs!$B$38="pvp",1,1+(Inputs!$B$20+0+Skills!P11)/100),0)</f>
        <v/>
      </c>
      <c r="V918">
        <f>IF(C918,(H918*N918*IF(AND(Inputs!$B$38&lt;&gt;"pvp",Inputs!$B$43&gt;0),((Skills!G11*((R918-1)*IF(Skills!H11&gt;0,Skills!I11/Skills!H11,1)+IF(Skills!H11&gt;0,MIN(Skills!I11,MAX(0,MAX(0,Inputs!$B$43-B947)-((R918-1)*IF(Inputs!$B$38="pvp",15,MAX(0.1,Skills!D11-IF(Skills!E11=TRUE,Inputs!$B$32,0))))))/Skills!H11,1)))/Inputs!$B$43),G918*Q918))*IF(Inputs!$B$38="pvp",1,(1+(Inputs!$B$21+Skills!Q11)/100)*(MIN(Skills!R11,Inputs!$B$37))),0)</f>
        <v/>
      </c>
    </row>
    <row r="919">
      <c r="A919">
        <f>Skills!A12</f>
        <v/>
      </c>
      <c r="B919">
        <f>Skills!B12</f>
        <v/>
      </c>
      <c r="C919">
        <f>Inputs!$B$3&gt;=110</f>
        <v/>
      </c>
      <c r="D919">
        <f>IF(Skills!C12=1,60+Inputs!$B$25+Inputs!$B$29,IF(Skills!C12=2,90+Inputs!$B$26+Inputs!$B$29,IF(Skills!C12=3,120+Inputs!$B$27+Inputs!$B$29,MAX(0,(Inputs!$B$3-100)*3)+(Inputs!$B$28+1)+Inputs!$B$29)))</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c r="T919" t="inlineStr"/>
      <c r="V919" t="inlineStr"/>
    </row>
    <row r="920">
      <c r="A920">
        <f>Skills!A13</f>
        <v/>
      </c>
      <c r="B920">
        <f>Skills!B13</f>
        <v/>
      </c>
      <c r="C920">
        <f>Inputs!$B$3&gt;=74</f>
        <v/>
      </c>
      <c r="D920">
        <f>IF(Skills!C13=1,60+Inputs!$B$25+Inputs!$B$29,IF(Skills!C13=2,90+Inputs!$B$26+Inputs!$B$29,IF(Skills!C13=3,120+Inputs!$B$27+Inputs!$B$29,MAX(0,(Inputs!$B$3-100)*3)+(Inputs!$B$28+1)+Inputs!$B$29)))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f>(1-Summary!$B$55)*T920+Summary!$B$55*V920</f>
        <v/>
      </c>
      <c r="P920">
        <f>IF(B950=0,0,O920/B950)</f>
        <v/>
      </c>
      <c r="Q920" t="n">
        <v>0</v>
      </c>
      <c r="R920" t="n">
        <v>0</v>
      </c>
      <c r="S920">
        <f>IFERROR(O920/N920,0)</f>
        <v/>
      </c>
      <c r="T920" t="n">
        <v>0</v>
      </c>
      <c r="V920" t="n">
        <v>0</v>
      </c>
    </row>
    <row r="921">
      <c r="A921">
        <f>Skills!A14</f>
        <v/>
      </c>
      <c r="B921">
        <f>Skills!B14</f>
        <v/>
      </c>
      <c r="C921">
        <f>Inputs!$B$3&gt;=74</f>
        <v/>
      </c>
      <c r="D921">
        <f>IF(Skills!C14=1,60+Inputs!$B$25+Inputs!$B$29,IF(Skills!C14=2,90+Inputs!$B$26+Inputs!$B$29,IF(Skills!C14=3,120+Inputs!$B$27+Inputs!$B$29,MAX(0,(Inputs!$B$3-100)*3)+(Inputs!$B$28+1)+Inputs!$B$29)))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f>(1-Summary!$B$55)*T921+Summary!$B$55*V921</f>
        <v/>
      </c>
      <c r="P921">
        <f>IF(B950=0,0,O921/B950)</f>
        <v/>
      </c>
      <c r="Q921" t="n">
        <v>0</v>
      </c>
      <c r="R921" t="n">
        <v>0</v>
      </c>
      <c r="S921">
        <f>IFERROR(O921/N921,0)</f>
        <v/>
      </c>
      <c r="T921" t="n">
        <v>0</v>
      </c>
      <c r="V921" t="n">
        <v>0</v>
      </c>
    </row>
    <row r="922">
      <c r="A922">
        <f>Skills!A15</f>
        <v/>
      </c>
      <c r="B922">
        <f>Skills!B15</f>
        <v/>
      </c>
      <c r="C922">
        <f>Inputs!$B$3&gt;=117</f>
        <v/>
      </c>
      <c r="D922">
        <f>IF(Skills!C15=1,60+Inputs!$B$25+Inputs!$B$29,IF(Skills!C15=2,90+Inputs!$B$26+Inputs!$B$29,IF(Skills!C15=3,120+Inputs!$B$27+Inputs!$B$29,MAX(0,(Inputs!$B$3-100)*3)+(Inputs!$B$28+1)+Inputs!$B$29)))</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f>(1-Summary!$B$55)*T922+Summary!$B$55*V922</f>
        <v/>
      </c>
      <c r="P922">
        <f>IF(B950=0,0,O922/B950)</f>
        <v/>
      </c>
      <c r="Q922">
        <f>IFERROR(1/IF(Inputs!$B$38="pvp",15,MAX(0.1,Skills!D15-IF(Skills!E15=TRUE,Inputs!$B$32,0))),0)</f>
        <v/>
      </c>
      <c r="R922">
        <f>IF(AND(Inputs!$B$38&lt;&gt;"pvp",Inputs!$B$43&gt;0),IF(Inputs!$B$43&lt;=0,0,(INT(Inputs!$B$43/IF(Inputs!$B$38="pvp",15,MAX(0.1,Skills!D15-IF(Skills!E15=TRUE,Inputs!$B$32,0))))+1)),0)</f>
        <v/>
      </c>
      <c r="S922">
        <f>IFERROR(O922/N922,0)</f>
        <v/>
      </c>
      <c r="T922" t="n">
        <v>0</v>
      </c>
      <c r="V922" t="n">
        <v>0</v>
      </c>
    </row>
    <row r="923">
      <c r="A923">
        <f>Skills!A16</f>
        <v/>
      </c>
      <c r="B923">
        <f>Skills!B16</f>
        <v/>
      </c>
      <c r="C923">
        <f>Inputs!$B$3&gt;=115</f>
        <v/>
      </c>
      <c r="D923">
        <f>IF(Skills!C16=1,60+Inputs!$B$25+Inputs!$B$29,IF(Skills!C16=2,90+Inputs!$B$26+Inputs!$B$29,IF(Skills!C16=3,120+Inputs!$B$27+Inputs!$B$29,MAX(0,(Inputs!$B$3-100)*3)+(Inputs!$B$28+1)+Inputs!$B$29)))</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f>(1-Summary!$B$55)*T923+Summary!$B$55*V923</f>
        <v/>
      </c>
      <c r="P923">
        <f>IF(B950=0,0,O923/B950)</f>
        <v/>
      </c>
      <c r="Q923">
        <f>IFERROR(1/IF(Inputs!$B$38="pvp",15,MAX(0.1,Skills!D16-IF(Skills!E16=TRUE,Inputs!$B$32,0))),0)</f>
        <v/>
      </c>
      <c r="R923">
        <f>IF(AND(Inputs!$B$38&lt;&gt;"pvp",Inputs!$B$43&gt;0),IF(Inputs!$B$43&lt;=0,0,(INT(Inputs!$B$43/IF(Inputs!$B$38="pvp",15,MAX(0.1,Skills!D16-IF(Skills!E16=TRUE,Inputs!$B$32,0))))+1)),0)</f>
        <v/>
      </c>
      <c r="S923">
        <f>IFERROR(O923/N923,0)</f>
        <v/>
      </c>
      <c r="T923" t="n">
        <v>0</v>
      </c>
      <c r="V923" t="n">
        <v>0</v>
      </c>
    </row>
    <row r="924">
      <c r="A924">
        <f>Skills!A17</f>
        <v/>
      </c>
      <c r="B924">
        <f>Skills!B17</f>
        <v/>
      </c>
      <c r="C924">
        <f>Inputs!$B$3&gt;=66</f>
        <v/>
      </c>
      <c r="D924">
        <f>IF(Skills!C17=1,60+Inputs!$B$25+Inputs!$B$29,IF(Skills!C17=2,90+Inputs!$B$26+Inputs!$B$29,IF(Skills!C17=3,120+Inputs!$B$27+Inputs!$B$29,MAX(0,(Inputs!$B$3-100)*3)+(Inputs!$B$28+1)+Inputs!$B$29)))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(1-Summary!$B$55)*T924+Summary!$B$55*V924</f>
        <v/>
      </c>
      <c r="P924">
        <f>IF(B950=0,0,O924/B950)</f>
        <v/>
      </c>
      <c r="Q924" t="n">
        <v>0</v>
      </c>
      <c r="R924" t="n">
        <v>0</v>
      </c>
      <c r="S924">
        <f>IFERROR(O924/N924,0)</f>
        <v/>
      </c>
      <c r="T924" t="n">
        <v>0</v>
      </c>
      <c r="V924" t="n">
        <v>0</v>
      </c>
    </row>
    <row r="925">
      <c r="A925">
        <f>Skills!A18</f>
        <v/>
      </c>
      <c r="B925">
        <f>Skills!B18</f>
        <v/>
      </c>
      <c r="C925">
        <f>Inputs!$B$3&gt;=72</f>
        <v/>
      </c>
      <c r="D925">
        <f>IF(Skills!C18=1,60+Inputs!$B$25+Inputs!$B$29,IF(Skills!C18=2,90+Inputs!$B$26+Inputs!$B$29,IF(Skills!C18=3,120+Inputs!$B$27+Inputs!$B$29,MAX(0,(Inputs!$B$3-100)*3)+(Inputs!$B$28+1)+Inputs!$B$29)))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(1-Summary!$B$55)*T925+Summary!$B$55*V925</f>
        <v/>
      </c>
      <c r="P925">
        <f>IF(B950=0,0,O925/B950)</f>
        <v/>
      </c>
      <c r="Q925" t="n">
        <v>0</v>
      </c>
      <c r="R925" t="n">
        <v>0</v>
      </c>
      <c r="S925">
        <f>IFERROR(O925/N925,0)</f>
        <v/>
      </c>
      <c r="T925" t="n">
        <v>0</v>
      </c>
      <c r="V925" t="n">
        <v>0</v>
      </c>
    </row>
    <row r="926">
      <c r="A926">
        <f>Skills!A19</f>
        <v/>
      </c>
      <c r="B926">
        <f>Skills!B19</f>
        <v/>
      </c>
      <c r="C926">
        <f>TRUE</f>
        <v/>
      </c>
      <c r="D926">
        <f>IF(Skills!C19=1,60+Inputs!$B$25+Inputs!$B$29,IF(Skills!C19=2,90+Inputs!$B$26+Inputs!$B$29,IF(Skills!C19=3,120+Inputs!$B$27+Inputs!$B$29,MAX(0,(Inputs!$B$3-100)*3)+(Inputs!$B$28+1)+Inputs!$B$29)))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(1-Summary!$B$55)*T926+Summary!$B$55*V926</f>
        <v/>
      </c>
      <c r="P926">
        <f>IF(B950=0,0,O926/B950)</f>
        <v/>
      </c>
      <c r="Q926">
        <f>IFERROR(1/IF(Inputs!$B$38="pvp",15,MAX(0.1,Skills!D19-IF(Skills!E19=TRUE,Inputs!$B$32,0))),0)</f>
        <v/>
      </c>
      <c r="R926">
        <f>IF(AND(Inputs!$B$38&lt;&gt;"pvp",Inputs!$B$43&gt;0),IF(Inputs!$B$43&lt;=0,0,(INT(Inputs!$B$43/IF(Inputs!$B$38="pvp",15,MAX(0.1,Skills!D19-IF(Skills!E19=TRUE,Inputs!$B$32,0))))+1)),0)</f>
        <v/>
      </c>
      <c r="S926">
        <f>IFERROR(O926/N926,0)</f>
        <v/>
      </c>
      <c r="T926" t="n">
        <v>0</v>
      </c>
      <c r="V926" t="n">
        <v>0</v>
      </c>
    </row>
    <row r="927">
      <c r="A927">
        <f>Skills!A20</f>
        <v/>
      </c>
      <c r="B927">
        <f>Skills!B20</f>
        <v/>
      </c>
      <c r="C927">
        <f>Inputs!$B$3&gt;=15</f>
        <v/>
      </c>
      <c r="D927">
        <f>IF(Skills!C20=1,60+Inputs!$B$25+Inputs!$B$29,IF(Skills!C20=2,90+Inputs!$B$26+Inputs!$B$29,IF(Skills!C20=3,120+Inputs!$B$27+Inputs!$B$29,MAX(0,(Inputs!$B$3-100)*3)+(Inputs!$B$28+1)+Inputs!$B$29)))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(1-Summary!$B$55)*T927+Summary!$B$55*V927</f>
        <v/>
      </c>
      <c r="P927">
        <f>IF(B950=0,0,O927/B950)</f>
        <v/>
      </c>
      <c r="Q927" t="n">
        <v>0</v>
      </c>
      <c r="R927" t="n">
        <v>0</v>
      </c>
      <c r="S927">
        <f>IFERROR(O927/N927,0)</f>
        <v/>
      </c>
      <c r="T927" t="n">
        <v>0</v>
      </c>
      <c r="V927" t="n">
        <v>0</v>
      </c>
    </row>
    <row r="928">
      <c r="A928">
        <f>Skills!A21</f>
        <v/>
      </c>
      <c r="B928">
        <f>Skills!B21</f>
        <v/>
      </c>
      <c r="C928">
        <f>Inputs!$B$3&gt;=10</f>
        <v/>
      </c>
      <c r="D928">
        <f>IF(Skills!C21=1,60+Inputs!$B$25+Inputs!$B$29,IF(Skills!C21=2,90+Inputs!$B$26+Inputs!$B$29,IF(Skills!C21=3,120+Inputs!$B$27+Inputs!$B$29,MAX(0,(Inputs!$B$3-100)*3)+(Inputs!$B$28+1)+Inputs!$B$29)))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(1-Summary!$B$55)*T928+Summary!$B$55*V928</f>
        <v/>
      </c>
      <c r="P928">
        <f>IF(B950=0,0,O928/B950)</f>
        <v/>
      </c>
      <c r="Q928" t="n">
        <v>0</v>
      </c>
      <c r="R928" t="n">
        <v>0</v>
      </c>
      <c r="S928">
        <f>IFERROR(O928/N928,0)</f>
        <v/>
      </c>
      <c r="T928" t="n">
        <v>0</v>
      </c>
      <c r="V928" t="n">
        <v>0</v>
      </c>
    </row>
    <row r="929">
      <c r="A929">
        <f>Skills!A22</f>
        <v/>
      </c>
      <c r="B929">
        <f>Skills!B22</f>
        <v/>
      </c>
      <c r="C929">
        <f>Inputs!$B$3&gt;=33</f>
        <v/>
      </c>
      <c r="D929">
        <f>IF(Skills!C22=1,60+Inputs!$B$25+Inputs!$B$29,IF(Skills!C22=2,90+Inputs!$B$26+Inputs!$B$29,IF(Skills!C22=3,120+Inputs!$B$27+Inputs!$B$29,MAX(0,(Inputs!$B$3-100)*3)+(Inputs!$B$28+1)+Inputs!$B$29)))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(1-Summary!$B$55)*T929+Summary!$B$55*V929</f>
        <v/>
      </c>
      <c r="P929">
        <f>IF(B950=0,0,O929/B950)</f>
        <v/>
      </c>
      <c r="Q929" t="n">
        <v>0</v>
      </c>
      <c r="R929" t="n">
        <v>0</v>
      </c>
      <c r="S929">
        <f>IFERROR(O929/N929,0)</f>
        <v/>
      </c>
      <c r="T929" t="n">
        <v>0</v>
      </c>
      <c r="V929" t="n">
        <v>0</v>
      </c>
    </row>
    <row r="930">
      <c r="A930">
        <f>Skills!A23</f>
        <v/>
      </c>
      <c r="B930">
        <f>Skills!B23</f>
        <v/>
      </c>
      <c r="C930">
        <f>Inputs!$B$3&gt;=38</f>
        <v/>
      </c>
      <c r="D930">
        <f>IF(Skills!C23=1,60+Inputs!$B$25+Inputs!$B$29,IF(Skills!C23=2,90+Inputs!$B$26+Inputs!$B$29,IF(Skills!C23=3,120+Inputs!$B$27+Inputs!$B$29,MAX(0,(Inputs!$B$3-100)*3)+(Inputs!$B$28+1)+Inputs!$B$29)))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f>(1-Summary!$B$55)*T930+Summary!$B$55*V930</f>
        <v/>
      </c>
      <c r="P930">
        <f>IF(B950=0,0,O930/B950)</f>
        <v/>
      </c>
      <c r="Q930" t="n">
        <v>0</v>
      </c>
      <c r="R930" t="n">
        <v>0</v>
      </c>
      <c r="S930">
        <f>IFERROR(O930/N930,0)</f>
        <v/>
      </c>
      <c r="T930" t="n">
        <v>0</v>
      </c>
      <c r="V930" t="n">
        <v>0</v>
      </c>
    </row>
    <row r="931">
      <c r="A931">
        <f>Skills!A24</f>
        <v/>
      </c>
      <c r="B931">
        <f>Skills!B24</f>
        <v/>
      </c>
      <c r="C931">
        <f>Inputs!$B$3&gt;=43</f>
        <v/>
      </c>
      <c r="D931">
        <f>IF(Skills!C24=1,60+Inputs!$B$25+Inputs!$B$29,IF(Skills!C24=2,90+Inputs!$B$26+Inputs!$B$29,IF(Skills!C24=3,120+Inputs!$B$27+Inputs!$B$29,MAX(0,(Inputs!$B$3-100)*3)+(Inputs!$B$28+1)+Inputs!$B$29)))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f>(1-Summary!$B$55)*T931+Summary!$B$55*V931</f>
        <v/>
      </c>
      <c r="P931">
        <f>IF(B950=0,0,O931/B950)</f>
        <v/>
      </c>
      <c r="Q931" t="n">
        <v>0</v>
      </c>
      <c r="R931" t="n">
        <v>0</v>
      </c>
      <c r="S931">
        <f>IFERROR(O931/N931,0)</f>
        <v/>
      </c>
      <c r="T931" t="n">
        <v>0</v>
      </c>
      <c r="V931" t="n">
        <v>0</v>
      </c>
    </row>
    <row r="932">
      <c r="A932">
        <f>Skills!A25</f>
        <v/>
      </c>
      <c r="B932">
        <f>Skills!B25</f>
        <v/>
      </c>
      <c r="C932">
        <f>Inputs!$B$3&gt;=75</f>
        <v/>
      </c>
      <c r="D932">
        <f>IF(Skills!C25=1,60+Inputs!$B$25+Inputs!$B$29,IF(Skills!C25=2,90+Inputs!$B$26+Inputs!$B$29,IF(Skills!C25=3,120+Inputs!$B$27+Inputs!$B$29,MAX(0,(Inputs!$B$3-100)*3)+(Inputs!$B$28+1)+Inputs!$B$29)))</f>
        <v/>
      </c>
      <c r="E932">
        <f>INDEX(FactorTable!$B$2:$Y$301, MATCH(ROUND(MIN(300,MAX(1,D932)),0), FactorTable!$A$2:$A$301,0), Skills!M25+1)</f>
        <v/>
      </c>
      <c r="F932">
        <f>IF(Skills!N25=TRUE,(Skills!L25/10)*(E932/1000),Skills!L25/10)+Skills!O25</f>
        <v/>
      </c>
      <c r="G932">
        <f>Skills!G25*IF(Skills!H25&gt;0,Skills!I25/Skills!H25,1)</f>
        <v/>
      </c>
      <c r="H932">
        <f>1-(1-Skills!J25/100)^Skills!K25</f>
        <v/>
      </c>
      <c r="I932" t="inlineStr">
        <is>
          <t>1</t>
        </is>
      </c>
      <c r="J932" t="inlineStr"/>
      <c r="K932" t="inlineStr"/>
      <c r="L932" t="inlineStr"/>
      <c r="M932" t="inlineStr"/>
      <c r="N932" t="inlineStr"/>
      <c r="O932">
        <f>(1-Summary!$B$55)*T932+Summary!$B$55*V932</f>
        <v/>
      </c>
      <c r="P932">
        <f>IF(B950=0,0,O932/B950)</f>
        <v/>
      </c>
      <c r="Q932" t="n">
        <v>0</v>
      </c>
      <c r="R932" t="n">
        <v>0</v>
      </c>
      <c r="S932">
        <f>IFERROR(O932/N932,0)</f>
        <v/>
      </c>
      <c r="T932" t="n">
        <v>0</v>
      </c>
      <c r="V932" t="n">
        <v>0</v>
      </c>
    </row>
    <row r="933">
      <c r="A933">
        <f>Skills!A26</f>
        <v/>
      </c>
      <c r="B933">
        <f>Skills!B26</f>
        <v/>
      </c>
      <c r="C933">
        <f>Inputs!$B$3&gt;=125</f>
        <v/>
      </c>
      <c r="D933">
        <f>IF(Skills!C26=1,60+Inputs!$B$25+Inputs!$B$29,IF(Skills!C26=2,90+Inputs!$B$26+Inputs!$B$29,IF(Skills!C26=3,120+Inputs!$B$27+Inputs!$B$29,MAX(0,(Inputs!$B$3-100)*3)+(Inputs!$B$28+1)+Inputs!$B$29)))</f>
        <v/>
      </c>
      <c r="E933">
        <f>INDEX(FactorTable!$B$2:$Y$301, MATCH(ROUND(MIN(300,MAX(1,D933)),0), FactorTable!$A$2:$A$301,0), Skills!M26+1)</f>
        <v/>
      </c>
      <c r="F933">
        <f>IF(Skills!N26=TRUE,(Skills!L26/10)*(E933/1000),Skills!L26/10)+Skills!O26</f>
        <v/>
      </c>
      <c r="G933">
        <f>Skills!G26*IF(Skills!H26&gt;0,Skills!I26/Skills!H26,1)</f>
        <v/>
      </c>
      <c r="H933">
        <f>1-(1-Skills!J26/100)^Skills!K26</f>
        <v/>
      </c>
      <c r="I933" t="inlineStr">
        <is>
          <t>1</t>
        </is>
      </c>
      <c r="J933" t="inlineStr"/>
      <c r="K933" t="inlineStr"/>
      <c r="L933" t="inlineStr"/>
      <c r="M933" t="inlineStr"/>
      <c r="N933" t="inlineStr"/>
      <c r="O933">
        <f>(1-Summary!$B$55)*T933+Summary!$B$55*V933</f>
        <v/>
      </c>
      <c r="P933">
        <f>IF(B950=0,0,O933/B950)</f>
        <v/>
      </c>
      <c r="Q933" t="n">
        <v>0</v>
      </c>
      <c r="R933" t="n">
        <v>0</v>
      </c>
      <c r="S933">
        <f>IFERROR(O933/N933,0)</f>
        <v/>
      </c>
      <c r="T933" t="n">
        <v>0</v>
      </c>
      <c r="V933" t="n">
        <v>0</v>
      </c>
    </row>
    <row r="934">
      <c r="A934">
        <f>Skills!A27</f>
        <v/>
      </c>
      <c r="B934">
        <f>Skills!B27</f>
        <v/>
      </c>
      <c r="C934">
        <f>Inputs!$B$3&gt;=125</f>
        <v/>
      </c>
      <c r="D934">
        <f>IF(Skills!C27=1,60+Inputs!$B$25+Inputs!$B$29,IF(Skills!C27=2,90+Inputs!$B$26+Inputs!$B$29,IF(Skills!C27=3,120+Inputs!$B$27+Inputs!$B$29,MAX(0,(Inputs!$B$3-100)*3)+(Inputs!$B$28+1)+Inputs!$B$29)))</f>
        <v/>
      </c>
      <c r="E934">
        <f>INDEX(FactorTable!$B$2:$Y$301, MATCH(ROUND(MIN(300,MAX(1,D934)),0), FactorTable!$A$2:$A$301,0), Skills!M27+1)</f>
        <v/>
      </c>
      <c r="F934">
        <f>IF(Skills!N27=TRUE,(Skills!L27/10)*(E934/1000),Skills!L27/10)+Skills!O27</f>
        <v/>
      </c>
      <c r="G934">
        <f>Skills!G27*IF(Skills!H27&gt;0,Skills!I27/Skills!H27,1)</f>
        <v/>
      </c>
      <c r="H934">
        <f>1-(1-Skills!J27/100)^Skills!K27</f>
        <v/>
      </c>
      <c r="I934" t="inlineStr">
        <is>
          <t>1</t>
        </is>
      </c>
      <c r="J934" t="inlineStr"/>
      <c r="K934" t="inlineStr"/>
      <c r="L934" t="inlineStr"/>
      <c r="M934" t="inlineStr"/>
      <c r="N934" t="inlineStr"/>
      <c r="O934">
        <f>(1-Summary!$B$55)*T934+Summary!$B$55*V934</f>
        <v/>
      </c>
      <c r="P934">
        <f>IF(B950=0,0,O934/B950)</f>
        <v/>
      </c>
      <c r="Q934" t="n">
        <v>0</v>
      </c>
      <c r="R934" t="n">
        <v>0</v>
      </c>
      <c r="S934">
        <f>IFERROR(O934/N934,0)</f>
        <v/>
      </c>
      <c r="T934" t="n">
        <v>0</v>
      </c>
      <c r="V934" t="n">
        <v>0</v>
      </c>
    </row>
    <row r="935">
      <c r="A935">
        <f>Skills!A28</f>
        <v/>
      </c>
      <c r="B935">
        <f>Skills!B28</f>
        <v/>
      </c>
      <c r="C935">
        <f>Inputs!$B$3&gt;=120</f>
        <v/>
      </c>
      <c r="D935">
        <f>IF(Skills!C28=1,60+Inputs!$B$25+Inputs!$B$29,IF(Skills!C28=2,90+Inputs!$B$26+Inputs!$B$29,IF(Skills!C28=3,120+Inputs!$B$27+Inputs!$B$29,MAX(0,(Inputs!$B$3-100)*3)+(Inputs!$B$28+1)+Inputs!$B$29)))</f>
        <v/>
      </c>
      <c r="E935">
        <f>INDEX(FactorTable!$B$2:$Y$301, MATCH(ROUND(MIN(300,MAX(1,D935)),0), FactorTable!$A$2:$A$301,0), Skills!M28+1)</f>
        <v/>
      </c>
      <c r="F935">
        <f>IF(Skills!N28=TRUE,(Skills!L28/10)*(E935/1000),Skills!L28/10)+Skills!O28</f>
        <v/>
      </c>
      <c r="G935">
        <f>Skills!G28*IF(Skills!H28&gt;0,Skills!I28/Skills!H28,1)</f>
        <v/>
      </c>
      <c r="H935">
        <f>1-(1-Skills!J28/100)^Skills!K28</f>
        <v/>
      </c>
      <c r="I935" t="inlineStr">
        <is>
          <t>1</t>
        </is>
      </c>
      <c r="J935" t="inlineStr"/>
      <c r="K935" t="inlineStr"/>
      <c r="L935" t="inlineStr"/>
      <c r="M935" t="inlineStr"/>
      <c r="N935" t="inlineStr"/>
      <c r="O935">
        <f>(1-Summary!$B$55)*T935+Summary!$B$55*V935</f>
        <v/>
      </c>
      <c r="P935">
        <f>IF(B950=0,0,O935/B950)</f>
        <v/>
      </c>
      <c r="Q935" t="n">
        <v>0</v>
      </c>
      <c r="R935" t="n">
        <v>0</v>
      </c>
      <c r="S935">
        <f>IFERROR(O935/N935,0)</f>
        <v/>
      </c>
      <c r="T935" t="n">
        <v>0</v>
      </c>
      <c r="V935" t="n">
        <v>0</v>
      </c>
    </row>
    <row r="936">
      <c r="A936">
        <f>Skills!A29</f>
        <v/>
      </c>
      <c r="B936">
        <f>Skills!B29</f>
        <v/>
      </c>
      <c r="C936">
        <f>Inputs!$B$3&gt;=120</f>
        <v/>
      </c>
      <c r="D936">
        <f>IF(Skills!C29=1,60+Inputs!$B$25+Inputs!$B$29,IF(Skills!C29=2,90+Inputs!$B$26+Inputs!$B$29,IF(Skills!C29=3,120+Inputs!$B$27+Inputs!$B$29,MAX(0,(Inputs!$B$3-100)*3)+(Inputs!$B$28+1)+Inputs!$B$29)))</f>
        <v/>
      </c>
      <c r="E936">
        <f>INDEX(FactorTable!$B$2:$Y$301, MATCH(ROUND(MIN(300,MAX(1,D936)),0), FactorTable!$A$2:$A$301,0), Skills!M29+1)</f>
        <v/>
      </c>
      <c r="F936">
        <f>IF(Skills!N29=TRUE,(Skills!L29/10)*(E936/1000),Skills!L29/10)+Skills!O29</f>
        <v/>
      </c>
      <c r="G936">
        <f>Skills!G29*IF(Skills!H29&gt;0,Skills!I29/Skills!H29,1)</f>
        <v/>
      </c>
      <c r="H936">
        <f>1-(1-Skills!J29/100)^Skills!K29</f>
        <v/>
      </c>
      <c r="I936" t="inlineStr">
        <is>
          <t>1</t>
        </is>
      </c>
      <c r="J936" t="inlineStr"/>
      <c r="K936" t="inlineStr"/>
      <c r="L936" t="inlineStr"/>
      <c r="M936" t="inlineStr"/>
      <c r="N936" t="inlineStr"/>
      <c r="O936">
        <f>(1-Summary!$B$55)*T936+Summary!$B$55*V936</f>
        <v/>
      </c>
      <c r="P936">
        <f>IF(B950=0,0,O936/B950)</f>
        <v/>
      </c>
      <c r="Q936" t="n">
        <v>0</v>
      </c>
      <c r="R936" t="n">
        <v>0</v>
      </c>
      <c r="S936">
        <f>IFERROR(O936/N936,0)</f>
        <v/>
      </c>
      <c r="T936" t="n">
        <v>0</v>
      </c>
      <c r="V936" t="n">
        <v>0</v>
      </c>
    </row>
    <row r="937">
      <c r="A937">
        <f>Skills!A30</f>
        <v/>
      </c>
      <c r="B937">
        <f>Skills!B30</f>
        <v/>
      </c>
      <c r="C937">
        <f>Inputs!$B$3&gt;=45</f>
        <v/>
      </c>
      <c r="D937">
        <f>IF(Skills!C30=1,60+Inputs!$B$25+Inputs!$B$29,IF(Skills!C30=2,90+Inputs!$B$26+Inputs!$B$29,IF(Skills!C30=3,120+Inputs!$B$27+Inputs!$B$29,MAX(0,(Inputs!$B$3-100)*3)+(Inputs!$B$28+1)+Inputs!$B$29)))</f>
        <v/>
      </c>
      <c r="E937">
        <f>INDEX(FactorTable!$B$2:$Y$301, MATCH(ROUND(MIN(300,MAX(1,D937)),0), FactorTable!$A$2:$A$301,0), Skills!M30+1)</f>
        <v/>
      </c>
      <c r="F937">
        <f>IF(Skills!N30=TRUE,(Skills!L30/10)*(E937/1000),Skills!L30/10)+Skills!O30</f>
        <v/>
      </c>
      <c r="G937">
        <f>Skills!G30*IF(Skills!H30&gt;0,Skills!I30/Skills!H30,1)</f>
        <v/>
      </c>
      <c r="H937">
        <f>1-(1-Skills!J30/100)^Skills!K30</f>
        <v/>
      </c>
      <c r="I937" t="inlineStr">
        <is>
          <t>1</t>
        </is>
      </c>
      <c r="J937" t="inlineStr"/>
      <c r="K937" t="inlineStr"/>
      <c r="L937" t="inlineStr"/>
      <c r="M937" t="inlineStr"/>
      <c r="N937" t="inlineStr"/>
      <c r="O937">
        <f>(1-Summary!$B$55)*T937+Summary!$B$55*V937</f>
        <v/>
      </c>
      <c r="P937">
        <f>IF(B950=0,0,O937/B950)</f>
        <v/>
      </c>
      <c r="Q937" t="n">
        <v>0</v>
      </c>
      <c r="R937" t="n">
        <v>0</v>
      </c>
      <c r="S937">
        <f>IFERROR(O937/N937,0)</f>
        <v/>
      </c>
      <c r="T937" t="n">
        <v>0</v>
      </c>
      <c r="V937" t="n">
        <v>0</v>
      </c>
    </row>
    <row r="939">
      <c r="A939" t="inlineStr">
        <is>
          <t>Attack% Bucket Multiplier</t>
        </is>
      </c>
      <c r="B939">
        <f>(1+(((C920=TRUE)*F920)+((C921=TRUE)*IF(Inputs!$B$38="pvp",F921,(1-Summary!$B$55)*(F921)+Summary!$B$55*(0)))+((C922=TRUE)*F922*IF(AND(Inputs!$B$38&lt;&gt;"pvp",Inputs!$B$43&gt;0),(((R922-1)*(Skills!T15*(1+Inputs!$B$34/100))+MIN((Skills!T15*(1+Inputs!$B$34/100)),MAX(0,Inputs!$B$43-((R922-1)*Skills!D15))))/Inputs!$B$43),IF(Inputs!$B$38="pvp",MIN((Skills!T15*(1+Inputs!$B$34/100)),15)/15,(Skills!T15*(1+Inputs!$B$34/100))/Skills!D15)))+((C937=TRUE)*(F937-Calc!F30)))/100)</f>
        <v/>
      </c>
    </row>
    <row r="940">
      <c r="A940" t="inlineStr">
        <is>
          <t>Global Crit Rate Bonus %</t>
        </is>
      </c>
      <c r="B940">
        <f>(C923=TRUE)*20*IF(AND(Inputs!$B$38&lt;&gt;"pvp",Inputs!$B$43&gt;0),(((R923-1)*(Skills!T16*(1+Inputs!$B$34/100))+MIN((Skills!T16*(1+Inputs!$B$34/100)),MAX(0,Inputs!$B$43-((R923-1)*Skills!D16))))/Inputs!$B$43),IF(Inputs!$B$38="pvp",MIN((Skills!T16*(1+Inputs!$B$34/100)),15)/15,(Skills!T16*(1+Inputs!$B$34/100))/Skills!D16))</f>
        <v/>
      </c>
    </row>
    <row r="941">
      <c r="A941" t="inlineStr">
        <is>
          <t>Attack Speed Buff Bonus %</t>
        </is>
      </c>
      <c r="B941">
        <f>((C926=TRUE)*F926*IF(AND(Inputs!$B$38&lt;&gt;"pvp",Inputs!$B$43&gt;0),(((R926-1)*(Skills!T19*(1+Inputs!$B$34/100))+MIN((Skills!T19*(1+Inputs!$B$34/100)),MAX(0,Inputs!$B$43-((R926-1)*Skills!D19))))/Inputs!$B$43),IF(Inputs!$B$38="pvp",MIN((Skills!T19*(1+Inputs!$B$34/100)),15)/15,(Skills!T19*(1+Inputs!$B$34/100))/Skills!D19)))</f>
        <v/>
      </c>
    </row>
    <row r="942">
      <c r="A942" t="inlineStr">
        <is>
          <t>Actions Per Second</t>
        </is>
      </c>
      <c r="B942">
        <f>1+MIN(150,150*(1-(1-(Inputs!$B$11+((C928=TRUE)*(F928-Calc!F21))+((C929=TRUE)*(F929-Calc!F22)))/150)*(1-B941/150)))/100</f>
        <v/>
      </c>
    </row>
    <row r="943">
      <c r="A943" t="inlineStr">
        <is>
          <t>Skill + Buff Cast Rate</t>
        </is>
      </c>
      <c r="B943">
        <f>IF(AND(Inputs!$B$38&lt;&gt;"pvp",Inputs!$B$43&gt;0),SUMPRODUCT((Skills!E2:E30=TRUE)*(C909:C937=TRUE)*R909:R937*Skills!F2:F30)/Inputs!$B$43,SUMPRODUCT((Skills!E2:E30=TRUE)*(C909:C937=TRUE)*Q909:Q937*Skills!F2:F30))</f>
        <v/>
      </c>
    </row>
    <row r="944">
      <c r="A944" t="inlineStr">
        <is>
          <t>Arrow Stream Casts Per Second</t>
        </is>
      </c>
      <c r="B944">
        <f>MAX(0,B942-B943)</f>
        <v/>
      </c>
    </row>
    <row r="945">
      <c r="A945" t="inlineStr">
        <is>
          <t>Global Critical Damage Bonus % (Sharp Eyes + Concentration)</t>
        </is>
      </c>
      <c r="B945">
        <f>(C923=TRUE)*F923*IF(AND(Inputs!$B$38&lt;&gt;"pvp",Inputs!$B$43&gt;0),(((R923-1)*(Skills!T16*(1+Inputs!$B$34/100))+MIN((Skills!T16*(1+Inputs!$B$34/100)),MAX(0,Inputs!$B$43-((R923-1)*Skills!D16))))/Inputs!$B$43),IF(Inputs!$B$38="pvp",MIN((Skills!T16*(1+Inputs!$B$34/100)),15)/15,(Skills!T16*(1+Inputs!$B$34/100))/Skills!D16))+(C924=TRUE)*30</f>
        <v/>
      </c>
    </row>
    <row r="946">
      <c r="A946" t="inlineStr">
        <is>
          <t>Global Final Damage Bonus % (Mortal Blow)</t>
        </is>
      </c>
      <c r="B946">
        <f>(C925=TRUE)*F925</f>
        <v/>
      </c>
    </row>
    <row r="947">
      <c r="A947" t="inlineStr">
        <is>
          <t>Buff-Casting Startup Delay (s, fixed-duration only)</t>
        </is>
      </c>
      <c r="B947">
        <f>IF(AND(Inputs!$B$38&lt;&gt;"pvp",Inputs!$B$43&gt;0),SUMPRODUCT((Skills!T2:T30&gt;0)*(Skills!E2:E30=TRUE)*(C909:C937=TRUE))/B942,0)</f>
        <v/>
      </c>
    </row>
    <row r="948">
      <c r="A948" t="inlineStr">
        <is>
          <t>Boss-Only Total DPS (this block's swept value)</t>
        </is>
      </c>
      <c r="B948">
        <f>SUM(T909:T937)</f>
        <v/>
      </c>
    </row>
    <row r="949">
      <c r="A949" t="inlineStr">
        <is>
          <t>Normal-Only Total DPS (this block's swept value)</t>
        </is>
      </c>
      <c r="B949">
        <f>SUM(V909:V937)</f>
        <v/>
      </c>
    </row>
    <row r="950">
      <c r="A950" s="5" t="inlineStr">
        <is>
          <t>TOTAL DPS</t>
        </is>
      </c>
      <c r="B950" s="5">
        <f>SUM(O909:O937)</f>
        <v/>
      </c>
    </row>
    <row r="953">
      <c r="A953" s="5" t="inlineStr">
        <is>
          <t>Stat: Skill Level Bonus — All Skills</t>
        </is>
      </c>
    </row>
    <row r="954">
      <c r="A954" s="9" t="inlineStr">
        <is>
          <t>Key</t>
        </is>
      </c>
      <c r="B954" s="9" t="inlineStr">
        <is>
          <t>Name</t>
        </is>
      </c>
      <c r="C954" s="9" t="inlineStr">
        <is>
          <t>Unlocked</t>
        </is>
      </c>
      <c r="D954" s="9" t="inlineStr">
        <is>
          <t>InputLevel</t>
        </is>
      </c>
      <c r="E954" s="9" t="inlineStr">
        <is>
          <t>Factor</t>
        </is>
      </c>
      <c r="F954" s="9" t="inlineStr">
        <is>
          <t>CoefficientPercent</t>
        </is>
      </c>
      <c r="G954" s="9" t="inlineStr">
        <is>
          <t>EffectiveHits</t>
        </is>
      </c>
      <c r="H954" s="9" t="inlineStr">
        <is>
          <t>ProcProbability</t>
        </is>
      </c>
      <c r="I954" s="9" t="inlineStr">
        <is>
          <t>MapleHeroMultiplier</t>
        </is>
      </c>
      <c r="J954" s="9" t="inlineStr">
        <is>
          <t>BaseDamage</t>
        </is>
      </c>
      <c r="K954" s="9" t="inlineStr">
        <is>
          <t>BaseHitDamage</t>
        </is>
      </c>
      <c r="L954" s="9" t="inlineStr">
        <is>
          <t>NonCritAvg</t>
        </is>
      </c>
      <c r="M954" s="9" t="inlineStr">
        <is>
          <t>CritAvg</t>
        </is>
      </c>
      <c r="N954" s="9" t="inlineStr">
        <is>
          <t>ExpectedDamage(perHit)</t>
        </is>
      </c>
      <c r="O954" s="9" t="inlineStr">
        <is>
          <t>DPS</t>
        </is>
      </c>
      <c r="P954" s="9" t="inlineStr">
        <is>
          <t>% of Total</t>
        </is>
      </c>
      <c r="Q954" s="9" t="inlineStr">
        <is>
          <t>InvCooldown</t>
        </is>
      </c>
      <c r="R954" s="9" t="inlineStr">
        <is>
          <t>CastsInFight</t>
        </is>
      </c>
      <c r="S954" s="9"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((Inputs!$B$6*(1+Inputs!$B$7/100))+(((Inputs!$B$12*(1+Inputs!$B$13/100))-(Inputs!$B$12*(1+Inputs!$B$13/100)))+0.25*(Inputs!$B$14-Inputs!$B$14))*(1+Inputs!$B$7/100))*(F955/100)</f>
        <v/>
      </c>
      <c r="K955">
        <f>J955*(1+((Inputs!$B$12*(1+Inputs!$B$13/100))*0.01+Inputs!$B$14*0.0025)/100)*(1+Inputs!$B$15/100)*(1+Inputs!$B$16/100)*(5000/(6000+Inputs!$B$42*(1-(Inputs!$B$19+((C980=TRUE)*(F980-Calc!F27)))/100)))*(1+(Inputs!$B$24+((C978=TRUE)*(F978-Calc!F25))+((C979=TRUE)*(F979-Calc!F26))+B992)/100)*(1+(IF(Skills!A2="ARROW_STREAM",Inputs!$B$17+((C976=TRUE)*(F976-Calc!F23)),Inputs!$B$18+((C981=TRUE)*(F981-Calc!F28))))/100)*((1+(((C966=TRUE)*F966)+((C967=TRUE)*IF(Inputs!$B$38="pvp",F967,(1-Summary!$B$55)*(F967)+Summary!$B$55*(0)))+((C968=TRUE)*F968*IF(AND(Inputs!$B$38&lt;&gt;"pvp",Inputs!$B$43&gt;0),(((R968-1)*(Skills!T15*(1+Inputs!$B$34/100))+MIN((Skills!T15*(1+Inputs!$B$34/100)),MAX(0,Inputs!$B$43-((R968-1)*Skills!D15))))/Inputs!$B$43),IF(Inputs!$B$38="pvp",MIN((Skills!T15*(1+Inputs!$B$34/100)),15)/15,(Skills!T15*(1+Inputs!$B$34/100))/Skills!D15)))+((C983=TRUE)*(F983-Calc!F30)))/100)*I955)</f>
        <v/>
      </c>
      <c r="L955">
        <f>K955*(MIN(Inputs!$B$22+((C977=TRUE)*(F977-Calc!F24)),Inputs!$B$23+((C982=TRUE)*(F982-Calc!F29)))/100+(Inputs!$B$23+((C982=TRUE)*(F982-Calc!F29)))/100)/2</f>
        <v/>
      </c>
      <c r="M955">
        <f>L955*(1+(Inputs!$B$10+0+B991)/100)</f>
        <v/>
      </c>
      <c r="N955">
        <f>L955*(1-MIN((Inputs!$B$9+((C973=TRUE)*(F973-Calc!F20))+B986),100)/100)+M955*(MIN((Inputs!$B$9+((C973=TRUE)*(F973-Calc!F20))+B986),100)/100)</f>
        <v/>
      </c>
      <c r="O955">
        <f>(1-Summary!$B$55)*T955+Summary!$B$55*V955</f>
        <v/>
      </c>
      <c r="P955">
        <f>IF(B996=0,0,O955/B996)</f>
        <v/>
      </c>
      <c r="Q955" t="n">
        <v>0</v>
      </c>
      <c r="R955" t="n">
        <v>0</v>
      </c>
      <c r="S955">
        <f>IFERROR(O955/N955,0)</f>
        <v/>
      </c>
      <c r="T955">
        <f>IF(C955,(Skills!G2*N955*B990)*IF(Inputs!$B$38="pvp",1,1+(Inputs!$B$20+0+Skills!P2)/100),0)</f>
        <v/>
      </c>
      <c r="U955">
        <f>MAX(0,(Inputs!$B$3-100)*3)+Inputs!$B$28+(Inputs!$B$29+1)</f>
        <v/>
      </c>
      <c r="V955">
        <f>IF(C955,(Skills!G2*N955*B990)*IF(Inputs!$B$38="pvp",1,(1+(Inputs!$B$21+Skills!Q2)/100)*(MIN((6+Inputs!$B$33),Inputs!$B$37))),0)</f>
        <v/>
      </c>
    </row>
    <row r="956">
      <c r="A956">
        <f>Skills!A3</f>
        <v/>
      </c>
      <c r="B956">
        <f>Skills!B3</f>
        <v/>
      </c>
      <c r="C956">
        <f>Inputs!$B$3&gt;=50</f>
        <v/>
      </c>
      <c r="D956">
        <f>IF(Skills!C3=1,60+Inputs!$B$25+(Inputs!$B$29+1),IF(Skills!C3=2,90+Inputs!$B$26+(Inputs!$B$29+1),IF(Skills!C3=3,120+Inputs!$B$27+(Inputs!$B$29+1),MAX(0,(Inputs!$B$3-100)*3)+Inputs!$B$28+(Inputs!$B$29+1))))</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T956" t="inlineStr"/>
      <c r="U956">
        <f>INDEX(FactorTable!$B$2:$Y$301, MATCH(ROUND(MIN(300,MAX(1,U955)),0), FactorTable!$A$2:$A$301,0), 22)</f>
        <v/>
      </c>
      <c r="V956" t="inlineStr"/>
    </row>
    <row r="957">
      <c r="A957">
        <f>Skills!A4</f>
        <v/>
      </c>
      <c r="B957">
        <f>Skills!B4</f>
        <v/>
      </c>
      <c r="C957">
        <f>Inputs!$B$3&gt;=105</f>
        <v/>
      </c>
      <c r="D957">
        <f>IF(Skills!C4=1,60+Inputs!$B$25+(Inputs!$B$29+1),IF(Skills!C4=2,90+Inputs!$B$26+(Inputs!$B$29+1),IF(Skills!C4=3,120+Inputs!$B$27+(Inputs!$B$29+1),MAX(0,(Inputs!$B$3-100)*3)+Inputs!$B$28+(Inputs!$B$29+1))))</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T957" t="inlineStr"/>
      <c r="U957">
        <f>290*U956/1000</f>
        <v/>
      </c>
      <c r="V957" t="inlineStr"/>
    </row>
    <row r="958">
      <c r="A958">
        <f>Skills!A5</f>
        <v/>
      </c>
      <c r="B958">
        <f>Skills!B5</f>
        <v/>
      </c>
      <c r="C958">
        <f>Inputs!$B$3&gt;=35</f>
        <v/>
      </c>
      <c r="D958">
        <f>IF(Skills!C5=1,60+Inputs!$B$25+(Inputs!$B$29+1),IF(Skills!C5=2,90+Inputs!$B$26+(Inputs!$B$29+1),IF(Skills!C5=3,120+Inputs!$B$27+(Inputs!$B$29+1),MAX(0,(Inputs!$B$3-100)*3)+Inputs!$B$28+(Inputs!$B$29+1))))</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((Inputs!$B$6*(1+Inputs!$B$7/100))+(((Inputs!$B$12*(1+Inputs!$B$13/100))-(Inputs!$B$12*(1+Inputs!$B$13/100)))+0.25*(Inputs!$B$14-Inputs!$B$14))*(1+Inputs!$B$7/100))*(F958/100)</f>
        <v/>
      </c>
      <c r="K958">
        <f>J958*(1+((Inputs!$B$12*(1+Inputs!$B$13/100))*0.01+Inputs!$B$14*0.0025)/100)*(1+Inputs!$B$15/100)*(1+Inputs!$B$16/100)*(5000/(6000+Inputs!$B$42*(1-(Inputs!$B$19+((C980=TRUE)*(F980-Calc!F27)))/100)))*(1+(Inputs!$B$24+((C978=TRUE)*(F978-Calc!F25))+((C979=TRUE)*(F979-Calc!F26))+B992)/100)*(1+4.0*IF(C963=TRUE,F963,0)/100)*(1+(IF(Skills!A5="ARROW_STREAM",Inputs!$B$17+((C976=TRUE)*(F976-Calc!F23)),Inputs!$B$18+((C981=TRUE)*(F981-Calc!F28))))/100)*((1+(((C966=TRUE)*F966)+((C967=TRUE)*IF(Inputs!$B$38="pvp",F967,(1-Summary!$B$55)*(F967)+Summary!$B$55*(0)))+((C968=TRUE)*F968*IF(AND(Inputs!$B$38&lt;&gt;"pvp",Inputs!$B$43&gt;0),(((R968-1)*(Skills!T15*(1+Inputs!$B$34/100))+MIN((Skills!T15*(1+Inputs!$B$34/100)),MAX(0,Inputs!$B$43-((R968-1)*Skills!D15))))/Inputs!$B$43),IF(Inputs!$B$38="pvp",MIN((Skills!T15*(1+Inputs!$B$34/100)),15)/15,(Skills!T15*(1+Inputs!$B$34/100))/Skills!D15)))+((C983=TRUE)*(F983-Calc!F30)))/100)*I958)</f>
        <v/>
      </c>
      <c r="L958">
        <f>K958*(MIN(Inputs!$B$22+((C977=TRUE)*(F977-Calc!F24)),Inputs!$B$23+((C982=TRUE)*(F982-Calc!F29)))/100+(Inputs!$B$23+((C982=TRUE)*(F982-Calc!F29)))/100)/2</f>
        <v/>
      </c>
      <c r="M958">
        <f>L958*(1+(Inputs!$B$10+0+B991)/100)</f>
        <v/>
      </c>
      <c r="N958">
        <f>L958*(1-MIN((Inputs!$B$9+((C973=TRUE)*(F973-Calc!F20))+B986),100)/100)+M958*(MIN((Inputs!$B$9+((C973=TRUE)*(F973-Calc!F20))+B986),100)/100)</f>
        <v/>
      </c>
      <c r="O958">
        <f>(1-Summary!$B$55)*T958+Summary!$B$55*V958</f>
        <v/>
      </c>
      <c r="P958">
        <f>IF(B996=0,0,O958/B996)</f>
        <v/>
      </c>
      <c r="Q958">
        <f>IFERROR(1/IF(Inputs!$B$38="pvp",15,MAX(0.1,Skills!D5-IF(Skills!E5=TRUE,Inputs!$B$32,0))),0)</f>
        <v/>
      </c>
      <c r="R958">
        <f>IF(AND(Inputs!$B$38&lt;&gt;"pvp",Inputs!$B$43&gt;0),IF(MAX(0,Inputs!$B$43-B993)&lt;=0,0,(INT(MAX(0,Inputs!$B$43-B993)/IF(Inputs!$B$38="pvp",15,MAX(0.1,Skills!D5-IF(Skills!E5=TRUE,Inputs!$B$32,0))))+1)),0)</f>
        <v/>
      </c>
      <c r="S958">
        <f>IFERROR(O958/N958,0)</f>
        <v/>
      </c>
      <c r="T958">
        <f>IF(C958,(H958*N958*IF(AND(Inputs!$B$38&lt;&gt;"pvp",Inputs!$B$43&gt;0),((Skills!G5*((R958-1)*IF(Skills!H5&gt;0,Skills!I5/Skills!H5,1)+IF(Skills!H5&gt;0,MIN(Skills!I5,MAX(0,MAX(0,Inputs!$B$43-B993)-((R958-1)*IF(Inputs!$B$38="pvp",15,MAX(0.1,Skills!D5-IF(Skills!E5=TRUE,Inputs!$B$32,0))))))/Skills!H5,1)))/Inputs!$B$43),G958*Q958))*IF(Inputs!$B$38="pvp",1,1+(Inputs!$B$20+0+Skills!P5)/100),0)</f>
        <v/>
      </c>
      <c r="V958">
        <f>IF(C958,(H958*N958*IF(AND(Inputs!$B$38&lt;&gt;"pvp",Inputs!$B$43&gt;0),((Skills!G5*((R958-1)*IF(Skills!H5&gt;0,Skills!I5/Skills!H5,1)+IF(Skills!H5&gt;0,MIN(Skills!I5,MAX(0,MAX(0,Inputs!$B$43-B993)-((R958-1)*IF(Inputs!$B$38="pvp",15,MAX(0.1,Skills!D5-IF(Skills!E5=TRUE,Inputs!$B$32,0))))))/Skills!H5,1)))/Inputs!$B$43),G958*Q958))*IF(Inputs!$B$38="pvp",1,(1+(Inputs!$B$21+Skills!Q5)/100)*(MIN(Skills!R5,Inputs!$B$37))),0)</f>
        <v/>
      </c>
    </row>
    <row r="959">
      <c r="A959">
        <f>Skills!A6</f>
        <v/>
      </c>
      <c r="B959">
        <f>Skills!B6</f>
        <v/>
      </c>
      <c r="C959">
        <f>Inputs!$B$3&gt;=40</f>
        <v/>
      </c>
      <c r="D959">
        <f>IF(Skills!C6=1,60+Inputs!$B$25+(Inputs!$B$29+1),IF(Skills!C6=2,90+Inputs!$B$26+(Inputs!$B$29+1),IF(Skills!C6=3,120+Inputs!$B$27+(Inputs!$B$29+1),MAX(0,(Inputs!$B$3-100)*3)+Inputs!$B$28+(Inputs!$B$29+1))))</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((Inputs!$B$6*(1+Inputs!$B$7/100))+(((Inputs!$B$12*(1+Inputs!$B$13/100))-(Inputs!$B$12*(1+Inputs!$B$13/100)))+0.25*(Inputs!$B$14-Inputs!$B$14))*(1+Inputs!$B$7/100))*(F959/100)</f>
        <v/>
      </c>
      <c r="K959">
        <f>J959*(1+((Inputs!$B$12*(1+Inputs!$B$13/100))*0.01+Inputs!$B$14*0.0025)/100)*(1+Inputs!$B$15/100)*(1+Inputs!$B$16/100)*(5000/(6000+Inputs!$B$42*(1-(Inputs!$B$19+((C980=TRUE)*(F980-Calc!F27)))/100)))*(1+(Inputs!$B$24+((C978=TRUE)*(F978-Calc!F25))+((C979=TRUE)*(F979-Calc!F26))+B992)/100)*(1+IF(C960=TRUE,F960,0)/100)*(1+(IF(Skills!A6="ARROW_STREAM",Inputs!$B$17+((C976=TRUE)*(F976-Calc!F23)),Inputs!$B$18+((C981=TRUE)*(F981-Calc!F28))))/100)*((1+(((C966=TRUE)*F966)+((C967=TRUE)*IF(Inputs!$B$38="pvp",F967,(1-Summary!$B$55)*(F967)+Summary!$B$55*(0)))+((C968=TRUE)*F968*IF(AND(Inputs!$B$38&lt;&gt;"pvp",Inputs!$B$43&gt;0),(((R968-1)*(Skills!T15*(1+Inputs!$B$34/100))+MIN((Skills!T15*(1+Inputs!$B$34/100)),MAX(0,Inputs!$B$43-((R968-1)*Skills!D15))))/Inputs!$B$43),IF(Inputs!$B$38="pvp",MIN((Skills!T15*(1+Inputs!$B$34/100)),15)/15,(Skills!T15*(1+Inputs!$B$34/100))/Skills!D15)))+((C983=TRUE)*(F983-Calc!F30)))/100)*I959)</f>
        <v/>
      </c>
      <c r="L959">
        <f>K959*(MIN(Inputs!$B$22+((C977=TRUE)*(F977-Calc!F24)),Inputs!$B$23+((C982=TRUE)*(F982-Calc!F29)))/100+(Inputs!$B$23+((C982=TRUE)*(F982-Calc!F29)))/100)/2</f>
        <v/>
      </c>
      <c r="M959">
        <f>L959*(1+(Inputs!$B$10+0+B991)/100)</f>
        <v/>
      </c>
      <c r="N959">
        <f>L959*(1-MIN((Inputs!$B$9+((C973=TRUE)*(F973-Calc!F20))+B986),100)/100)+M959*(MIN((Inputs!$B$9+((C973=TRUE)*(F973-Calc!F20))+B986),100)/100)</f>
        <v/>
      </c>
      <c r="O959">
        <f>(1-Summary!$B$55)*T959+Summary!$B$55*V959</f>
        <v/>
      </c>
      <c r="P959">
        <f>IF(B996=0,0,O959/B996)</f>
        <v/>
      </c>
      <c r="Q959">
        <f>IFERROR(1/IF(Inputs!$B$38="pvp",15,MAX(0.1,Skills!D6-IF(Skills!E6=TRUE,Inputs!$B$32,0))),0)</f>
        <v/>
      </c>
      <c r="R959">
        <f>IF(AND(Inputs!$B$38&lt;&gt;"pvp",Inputs!$B$43&gt;0),IF(MAX(0,Inputs!$B$43-B993)&lt;=0,0,(INT(MAX(0,Inputs!$B$43-B993)/IF(Inputs!$B$38="pvp",15,MAX(0.1,Skills!D6-IF(Skills!E6=TRUE,Inputs!$B$32,0))))+1)),0)</f>
        <v/>
      </c>
      <c r="S959">
        <f>IFERROR(O959/N959,0)</f>
        <v/>
      </c>
      <c r="T959">
        <f>IF(C959,(H959*N959*IF(AND(Inputs!$B$38&lt;&gt;"pvp",Inputs!$B$43&gt;0),((Skills!G6*((R959-1)*IF(Skills!H6&gt;0,Skills!I6/Skills!H6,1)+IF(Skills!H6&gt;0,MIN(Skills!I6,MAX(0,MAX(0,Inputs!$B$43-B993)-((R959-1)*IF(Inputs!$B$38="pvp",15,MAX(0.1,Skills!D6-IF(Skills!E6=TRUE,Inputs!$B$32,0))))))/Skills!H6,1)))/Inputs!$B$43),G959*Q959))*IF(Inputs!$B$38="pvp",1,1+(Inputs!$B$20+0+Skills!P6)/100),0)</f>
        <v/>
      </c>
      <c r="V959">
        <f>IF(C959,(H959*N959*IF(AND(Inputs!$B$38&lt;&gt;"pvp",Inputs!$B$43&gt;0),((Skills!G6*((R959-1)*IF(Skills!H6&gt;0,Skills!I6/Skills!H6,1)+IF(Skills!H6&gt;0,MIN(Skills!I6,MAX(0,MAX(0,Inputs!$B$43-B993)-((R959-1)*IF(Inputs!$B$38="pvp",15,MAX(0.1,Skills!D6-IF(Skills!E6=TRUE,Inputs!$B$32,0))))))/Skills!H6,1)))/Inputs!$B$43),G959*Q959))*IF(Inputs!$B$38="pvp",1,(1+(Inputs!$B$21+Skills!Q6)/100)*(MIN(Skills!R6,Inputs!$B$37))),0)</f>
        <v/>
      </c>
    </row>
    <row r="960">
      <c r="A960">
        <f>Skills!A7</f>
        <v/>
      </c>
      <c r="B960">
        <f>Skills!B7</f>
        <v/>
      </c>
      <c r="C960">
        <f>Inputs!$B$3&gt;=107</f>
        <v/>
      </c>
      <c r="D960">
        <f>IF(Skills!C7=1,60+Inputs!$B$25+(Inputs!$B$29+1),IF(Skills!C7=2,90+Inputs!$B$26+(Inputs!$B$29+1),IF(Skills!C7=3,120+Inputs!$B$27+(Inputs!$B$29+1),MAX(0,(Inputs!$B$3-100)*3)+Inputs!$B$28+(Inputs!$B$29+1))))</f>
        <v/>
      </c>
      <c r="E960">
        <f>INDEX(FactorTable!$B$2:$Y$301, MATCH(ROUND(MIN(300,MAX(1,D960)),0), FactorTable!$A$2:$A$301,0), Skills!M7+1)</f>
        <v/>
      </c>
      <c r="F960">
        <f>IF(Skills!N7=TRUE,(Skills!L7/10)*(E960/1000),Skills!L7/10)+Skills!O7</f>
        <v/>
      </c>
      <c r="G960" t="inlineStr"/>
      <c r="H960" t="inlineStr"/>
      <c r="I960" t="inlineStr">
        <is>
          <t>1</t>
        </is>
      </c>
      <c r="J960" t="inlineStr"/>
      <c r="K960" t="inlineStr"/>
      <c r="L960" t="inlineStr"/>
      <c r="M960" t="inlineStr"/>
      <c r="N960" t="inlineStr"/>
      <c r="O960" t="inlineStr"/>
      <c r="P960" t="inlineStr"/>
      <c r="Q960" t="inlineStr"/>
      <c r="R960" t="inlineStr"/>
      <c r="S960" t="inlineStr"/>
      <c r="T960" t="inlineStr"/>
      <c r="V960" t="inlineStr"/>
    </row>
    <row r="961">
      <c r="A961">
        <f>Skills!A8</f>
        <v/>
      </c>
      <c r="B961">
        <f>Skills!B8</f>
        <v/>
      </c>
      <c r="C961">
        <f>Inputs!$B$3&gt;=69</f>
        <v/>
      </c>
      <c r="D961">
        <f>IF(Skills!C8=1,60+Inputs!$B$25+(Inputs!$B$29+1),IF(Skills!C8=2,90+Inputs!$B$26+(Inputs!$B$29+1),IF(Skills!C8=3,120+Inputs!$B$27+(Inputs!$B$29+1),MAX(0,(Inputs!$B$3-100)*3)+Inputs!$B$28+(Inputs!$B$29+1))))</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((Inputs!$B$6*(1+Inputs!$B$7/100))+(((Inputs!$B$12*(1+Inputs!$B$13/100))-(Inputs!$B$12*(1+Inputs!$B$13/100)))+0.25*(Inputs!$B$14-Inputs!$B$14))*(1+Inputs!$B$7/100))*(F961/100)</f>
        <v/>
      </c>
      <c r="K961">
        <f>J961*(1+((Inputs!$B$12*(1+Inputs!$B$13/100))*0.01+Inputs!$B$14*0.0025)/100)*(1+Inputs!$B$15/100)*(1+Inputs!$B$16/100)*(5000/(6000+Inputs!$B$42*(1-(Inputs!$B$19+((C980=TRUE)*(F980-Calc!F27)))/100)))*(1+(Inputs!$B$24+((C978=TRUE)*(F978-Calc!F25))+((C979=TRUE)*(F979-Calc!F26))+B992)/100)*(1+1.2*IF(C963=TRUE,F963,0)/100)*(1+(IF(Skills!A8="ARROW_STREAM",Inputs!$B$17+((C976=TRUE)*(F976-Calc!F23)),Inputs!$B$18+((C981=TRUE)*(F981-Calc!F28))))/100)*((1+(((C966=TRUE)*F966)+((C967=TRUE)*IF(Inputs!$B$38="pvp",F967,(1-Summary!$B$55)*(F967)+Summary!$B$55*(0)))+((C968=TRUE)*F968*IF(AND(Inputs!$B$38&lt;&gt;"pvp",Inputs!$B$43&gt;0),(((R968-1)*(Skills!T15*(1+Inputs!$B$34/100))+MIN((Skills!T15*(1+Inputs!$B$34/100)),MAX(0,Inputs!$B$43-((R968-1)*Skills!D15))))/Inputs!$B$43),IF(Inputs!$B$38="pvp",MIN((Skills!T15*(1+Inputs!$B$34/100)),15)/15,(Skills!T15*(1+Inputs!$B$34/100))/Skills!D15)))+((C983=TRUE)*(F983-Calc!F30)))/100)*I961)</f>
        <v/>
      </c>
      <c r="L961">
        <f>K961*(MIN(Inputs!$B$22+((C977=TRUE)*(F977-Calc!F24)),Inputs!$B$23+((C982=TRUE)*(F982-Calc!F29)))/100+(Inputs!$B$23+((C982=TRUE)*(F982-Calc!F29)))/100)/2</f>
        <v/>
      </c>
      <c r="M961">
        <f>L961*(1+(Inputs!$B$10+0+B991)/100)</f>
        <v/>
      </c>
      <c r="N961">
        <f>L961*(1-MIN((Inputs!$B$9+((C973=TRUE)*(F973-Calc!F20))+B986),100)/100)+M961*(MIN((Inputs!$B$9+((C973=TRUE)*(F973-Calc!F20))+B986),100)/100)</f>
        <v/>
      </c>
      <c r="O961">
        <f>(1-Summary!$B$55)*T961+Summary!$B$55*V961</f>
        <v/>
      </c>
      <c r="P961">
        <f>IF(B996=0,0,O961/B996)</f>
        <v/>
      </c>
      <c r="Q961">
        <f>IFERROR(1/IF(Inputs!$B$38="pvp",15,MAX(0.1,Skills!D8-IF(Skills!E8=TRUE,Inputs!$B$32,0))),0)</f>
        <v/>
      </c>
      <c r="R961">
        <f>IF(AND(Inputs!$B$38&lt;&gt;"pvp",Inputs!$B$43&gt;0),IF(MAX(0,Inputs!$B$43-B993)&lt;=0,0,(INT(MAX(0,Inputs!$B$43-B993)/IF(Inputs!$B$38="pvp",15,MAX(0.1,Skills!D8-IF(Skills!E8=TRUE,Inputs!$B$32,0))))+1)),0)</f>
        <v/>
      </c>
      <c r="S961">
        <f>IFERROR(O961/N961,0)</f>
        <v/>
      </c>
      <c r="T961">
        <f>IF(C961,(H961*N961*IF(AND(Inputs!$B$38&lt;&gt;"pvp",Inputs!$B$43&gt;0),((Skills!G8*((R961-1)*IF(Skills!H8&gt;0,Skills!I8/Skills!H8,1)+IF(Skills!H8&gt;0,MIN(Skills!I8,MAX(0,MAX(0,Inputs!$B$43-B993)-((R961-1)*IF(Inputs!$B$38="pvp",15,MAX(0.1,Skills!D8-IF(Skills!E8=TRUE,Inputs!$B$32,0))))))/Skills!H8,1)))/Inputs!$B$43),G961*Q961))*IF(Inputs!$B$38="pvp",1,1+(Inputs!$B$20+0+Skills!P8)/100),0)</f>
        <v/>
      </c>
      <c r="V961">
        <f>IF(C961,(H961*N961*IF(AND(Inputs!$B$38&lt;&gt;"pvp",Inputs!$B$43&gt;0),((Skills!G8*((R961-1)*IF(Skills!H8&gt;0,Skills!I8/Skills!H8,1)+IF(Skills!H8&gt;0,MIN(Skills!I8,MAX(0,MAX(0,Inputs!$B$43-B993)-((R961-1)*IF(Inputs!$B$38="pvp",15,MAX(0.1,Skills!D8-IF(Skills!E8=TRUE,Inputs!$B$32,0))))))/Skills!H8,1)))/Inputs!$B$43),G961*Q961))*IF(Inputs!$B$38="pvp",1,(1+(Inputs!$B$21+Skills!Q8)/100)*(MIN(Skills!R8,Inputs!$B$37))),0)</f>
        <v/>
      </c>
    </row>
    <row r="962">
      <c r="A962">
        <f>Skills!A9</f>
        <v/>
      </c>
      <c r="B962">
        <f>Skills!B9</f>
        <v/>
      </c>
      <c r="C962">
        <f>Inputs!$B$3&gt;=63</f>
        <v/>
      </c>
      <c r="D962">
        <f>IF(Skills!C9=1,60+Inputs!$B$25+(Inputs!$B$29+1),IF(Skills!C9=2,90+Inputs!$B$26+(Inputs!$B$29+1),IF(Skills!C9=3,120+Inputs!$B$27+(Inputs!$B$29+1),MAX(0,(Inputs!$B$3-100)*3)+Inputs!$B$28+(Inputs!$B$29+1))))</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((Inputs!$B$6*(1+Inputs!$B$7/100))+(((Inputs!$B$12*(1+Inputs!$B$13/100))-(Inputs!$B$12*(1+Inputs!$B$13/100)))+0.25*(Inputs!$B$14-Inputs!$B$14))*(1+Inputs!$B$7/100))*(F962/100)</f>
        <v/>
      </c>
      <c r="K962">
        <f>J962*(1+((Inputs!$B$12*(1+Inputs!$B$13/100))*0.01+Inputs!$B$14*0.0025)/100)*(1+Inputs!$B$15/100)*(1+Inputs!$B$16/100)*(5000/(6000+Inputs!$B$42*(1-(Inputs!$B$19+((C980=TRUE)*(F980-Calc!F27)))/100)))*(1+(Inputs!$B$24+((C978=TRUE)*(F978-Calc!F25))+((C979=TRUE)*(F979-Calc!F26))+B992)/100)*(1+1.0*IF(C963=TRUE,F963,0)/100)*(1+(IF(Skills!A9="ARROW_STREAM",Inputs!$B$17+((C976=TRUE)*(F976-Calc!F23)),Inputs!$B$18+((C981=TRUE)*(F981-Calc!F28))))/100)*((1+(((C966=TRUE)*F966)+((C967=TRUE)*IF(Inputs!$B$38="pvp",F967,(1-Summary!$B$55)*(F967)+Summary!$B$55*(0)))+((C968=TRUE)*F968*IF(AND(Inputs!$B$38&lt;&gt;"pvp",Inputs!$B$43&gt;0),(((R968-1)*(Skills!T15*(1+Inputs!$B$34/100))+MIN((Skills!T15*(1+Inputs!$B$34/100)),MAX(0,Inputs!$B$43-((R968-1)*Skills!D15))))/Inputs!$B$43),IF(Inputs!$B$38="pvp",MIN((Skills!T15*(1+Inputs!$B$34/100)),15)/15,(Skills!T15*(1+Inputs!$B$34/100))/Skills!D15)))+((C983=TRUE)*(F983-Calc!F30)))/100)*I962)</f>
        <v/>
      </c>
      <c r="L962">
        <f>K962*(MIN(Inputs!$B$22+((C977=TRUE)*(F977-Calc!F24)),Inputs!$B$23+((C982=TRUE)*(F982-Calc!F29)))/100+(Inputs!$B$23+((C982=TRUE)*(F982-Calc!F29)))/100)/2</f>
        <v/>
      </c>
      <c r="M962">
        <f>L962*(1+(Inputs!$B$10+0+B991)/100)</f>
        <v/>
      </c>
      <c r="N962">
        <f>L962*(1-MIN((Inputs!$B$9+((C973=TRUE)*(F973-Calc!F20))+B986),100)/100)+M962*(MIN((Inputs!$B$9+((C973=TRUE)*(F973-Calc!F20))+B986),100)/100)</f>
        <v/>
      </c>
      <c r="O962">
        <f>(1-Summary!$B$55)*T962+Summary!$B$55*V962</f>
        <v/>
      </c>
      <c r="P962">
        <f>IF(B996=0,0,O962/B996)</f>
        <v/>
      </c>
      <c r="Q962">
        <f>IFERROR(1/IF(Inputs!$B$38="pvp",15,MAX(0.1,Skills!D9-IF(Skills!E9=TRUE,Inputs!$B$32,0))),0)</f>
        <v/>
      </c>
      <c r="R962">
        <f>IF(AND(Inputs!$B$38&lt;&gt;"pvp",Inputs!$B$43&gt;0),IF(MAX(0,Inputs!$B$43-B993)&lt;=0,0,(INT(MAX(0,Inputs!$B$43-B993)/IF(Inputs!$B$38="pvp",15,MAX(0.1,Skills!D9-IF(Skills!E9=TRUE,Inputs!$B$32,0))))+1)),0)</f>
        <v/>
      </c>
      <c r="S962">
        <f>IFERROR(O962/N962,0)</f>
        <v/>
      </c>
      <c r="T962">
        <f>IF(C962,(H962*N962*IF(AND(Inputs!$B$38&lt;&gt;"pvp",Inputs!$B$43&gt;0),((Skills!G9*((R962-1)*IF(Skills!H9&gt;0,Skills!I9/Skills!H9,1)+IF(Skills!H9&gt;0,MIN(Skills!I9,MAX(0,MAX(0,Inputs!$B$43-B993)-((R962-1)*IF(Inputs!$B$38="pvp",15,MAX(0.1,Skills!D9-IF(Skills!E9=TRUE,Inputs!$B$32,0))))))/Skills!H9,1)))/Inputs!$B$43),G962*Q962))*IF(Inputs!$B$38="pvp",1,1+(Inputs!$B$20+0+Skills!P9)/100),0)</f>
        <v/>
      </c>
      <c r="V962">
        <f>IF(C962,(H962*N962*IF(AND(Inputs!$B$38&lt;&gt;"pvp",Inputs!$B$43&gt;0),((Skills!G9*((R962-1)*IF(Skills!H9&gt;0,Skills!I9/Skills!H9,1)+IF(Skills!H9&gt;0,MIN(Skills!I9,MAX(0,MAX(0,Inputs!$B$43-B993)-((R962-1)*IF(Inputs!$B$38="pvp",15,MAX(0.1,Skills!D9-IF(Skills!E9=TRUE,Inputs!$B$32,0))))))/Skills!H9,1)))/Inputs!$B$43),G962*Q962))*IF(Inputs!$B$38="pvp",1,(1+(Inputs!$B$21+Skills!Q9)/100)*(MIN(Skills!R9,Inputs!$B$37))),0)</f>
        <v/>
      </c>
    </row>
    <row r="963">
      <c r="A963">
        <f>Skills!A10</f>
        <v/>
      </c>
      <c r="B963">
        <f>Skills!B10</f>
        <v/>
      </c>
      <c r="C963">
        <f>Inputs!$B$3&gt;=100</f>
        <v/>
      </c>
      <c r="D963">
        <f>IF(Skills!C10=1,60+Inputs!$B$25+(Inputs!$B$29+1),IF(Skills!C10=2,90+Inputs!$B$26+(Inputs!$B$29+1),IF(Skills!C10=3,120+Inputs!$B$27+(Inputs!$B$29+1),MAX(0,(Inputs!$B$3-100)*3)+Inputs!$B$28+(Inputs!$B$29+1))))</f>
        <v/>
      </c>
      <c r="E963">
        <f>INDEX(FactorTable!$B$2:$Y$301, MATCH(ROUND(MIN(300,MAX(1,D963)),0), FactorTable!$A$2:$A$301,0), Skills!M10+1)</f>
        <v/>
      </c>
      <c r="F963">
        <f>IF(Skills!N10=TRUE,(Skills!L10/10)*(E963/1000),Skills!L10/10)+Skills!O10</f>
        <v/>
      </c>
      <c r="G963" t="inlineStr"/>
      <c r="H963" t="inlineStr"/>
      <c r="I963" t="inlineStr">
        <is>
          <t>1</t>
        </is>
      </c>
      <c r="J963" t="inlineStr"/>
      <c r="K963" t="inlineStr"/>
      <c r="L963" t="inlineStr"/>
      <c r="M963" t="inlineStr"/>
      <c r="N963" t="inlineStr"/>
      <c r="O963" t="inlineStr"/>
      <c r="P963" t="inlineStr"/>
      <c r="Q963" t="inlineStr"/>
      <c r="R963" t="inlineStr"/>
      <c r="S963" t="inlineStr"/>
      <c r="T963" t="inlineStr"/>
      <c r="V963" t="inlineStr"/>
    </row>
    <row r="964">
      <c r="A964">
        <f>Skills!A11</f>
        <v/>
      </c>
      <c r="B964">
        <f>Skills!B11</f>
        <v/>
      </c>
      <c r="C964">
        <f>Inputs!$B$3&gt;=60</f>
        <v/>
      </c>
      <c r="D964">
        <f>IF(Skills!C11=1,60+Inputs!$B$25+(Inputs!$B$29+1),IF(Skills!C11=2,90+Inputs!$B$26+(Inputs!$B$29+1),IF(Skills!C11=3,120+Inputs!$B$27+(Inputs!$B$29+1),MAX(0,(Inputs!$B$3-100)*3)+Inputs!$B$28+(Inputs!$B$29+1))))</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((Inputs!$B$6*(1+Inputs!$B$7/100))+(((Inputs!$B$12*(1+Inputs!$B$13/100))-(Inputs!$B$12*(1+Inputs!$B$13/100)))+0.25*(Inputs!$B$14-Inputs!$B$14))*(1+Inputs!$B$7/100))*(F964/100)</f>
        <v/>
      </c>
      <c r="K964">
        <f>J964*(1+((Inputs!$B$12*(1+Inputs!$B$13/100))*0.01+Inputs!$B$14*0.0025)/100)*(1+Inputs!$B$15/100)*(1+Inputs!$B$16/100)*(5000/(6000+Inputs!$B$42*(1-(Inputs!$B$19+((C980=TRUE)*(F980-Calc!F27)))/100)))*(1+(Inputs!$B$24+((C978=TRUE)*(F978-Calc!F25))+((C979=TRUE)*(F979-Calc!F26))+B992)/100)*(1+IF(C965=TRUE,F965,0)/100)*(1+(IF(Skills!A11="ARROW_STREAM",Inputs!$B$17+((C976=TRUE)*(F976-Calc!F23)),Inputs!$B$18+((C981=TRUE)*(F981-Calc!F28))))/100)*((1+(((C966=TRUE)*F966)+((C967=TRUE)*IF(Inputs!$B$38="pvp",F967,(1-Summary!$B$55)*(F967)+Summary!$B$55*(0)))+((C968=TRUE)*F968*IF(AND(Inputs!$B$38&lt;&gt;"pvp",Inputs!$B$43&gt;0),(((R968-1)*(Skills!T15*(1+Inputs!$B$34/100))+MIN((Skills!T15*(1+Inputs!$B$34/100)),MAX(0,Inputs!$B$43-((R968-1)*Skills!D15))))/Inputs!$B$43),IF(Inputs!$B$38="pvp",MIN((Skills!T15*(1+Inputs!$B$34/100)),15)/15,(Skills!T15*(1+Inputs!$B$34/100))/Skills!D15)))+((C983=TRUE)*(F983-Calc!F30)))/100)*I964)</f>
        <v/>
      </c>
      <c r="L964">
        <f>K964*(MIN(Inputs!$B$22+((C977=TRUE)*(F977-Calc!F24)),Inputs!$B$23+((C982=TRUE)*(F982-Calc!F29)))/100+(Inputs!$B$23+((C982=TRUE)*(F982-Calc!F29)))/100)/2</f>
        <v/>
      </c>
      <c r="M964">
        <f>L964*(1+(Inputs!$B$10+0+B991)/100)</f>
        <v/>
      </c>
      <c r="N964">
        <f>L964*(1-MIN((Inputs!$B$9+((C973=TRUE)*(F973-Calc!F20))+B986),100)/100)+M964*(MIN((Inputs!$B$9+((C973=TRUE)*(F973-Calc!F20))+B986),100)/100)</f>
        <v/>
      </c>
      <c r="O964">
        <f>(1-Summary!$B$55)*T964+Summary!$B$55*V964</f>
        <v/>
      </c>
      <c r="P964">
        <f>IF(B996=0,0,O964/B996)</f>
        <v/>
      </c>
      <c r="Q964">
        <f>IFERROR(1/IF(Inputs!$B$38="pvp",15,MAX(0.1,Skills!D11-IF(Skills!E11=TRUE,Inputs!$B$32,0))),0)</f>
        <v/>
      </c>
      <c r="R964">
        <f>IF(AND(Inputs!$B$38&lt;&gt;"pvp",Inputs!$B$43&gt;0),IF(MAX(0,Inputs!$B$43-B993)&lt;=0,0,(INT(MAX(0,Inputs!$B$43-B993)/IF(Inputs!$B$38="pvp",15,MAX(0.1,Skills!D11-IF(Skills!E11=TRUE,Inputs!$B$32,0))))+1)),0)</f>
        <v/>
      </c>
      <c r="S964">
        <f>IFERROR(O964/N964,0)</f>
        <v/>
      </c>
      <c r="T964">
        <f>IF(C964,(H964*N964*IF(AND(Inputs!$B$38&lt;&gt;"pvp",Inputs!$B$43&gt;0),((Skills!G11*((R964-1)*IF(Skills!H11&gt;0,Skills!I11/Skills!H11,1)+IF(Skills!H11&gt;0,MIN(Skills!I11,MAX(0,MAX(0,Inputs!$B$43-B993)-((R964-1)*IF(Inputs!$B$38="pvp",15,MAX(0.1,Skills!D11-IF(Skills!E11=TRUE,Inputs!$B$32,0))))))/Skills!H11,1)))/Inputs!$B$43),G964*Q964))*IF(Inputs!$B$38="pvp",1,1+(Inputs!$B$20+0+Skills!P11)/100),0)</f>
        <v/>
      </c>
      <c r="V964">
        <f>IF(C964,(H964*N964*IF(AND(Inputs!$B$38&lt;&gt;"pvp",Inputs!$B$43&gt;0),((Skills!G11*((R964-1)*IF(Skills!H11&gt;0,Skills!I11/Skills!H11,1)+IF(Skills!H11&gt;0,MIN(Skills!I11,MAX(0,MAX(0,Inputs!$B$43-B993)-((R964-1)*IF(Inputs!$B$38="pvp",15,MAX(0.1,Skills!D11-IF(Skills!E11=TRUE,Inputs!$B$32,0))))))/Skills!H11,1)))/Inputs!$B$43),G964*Q964))*IF(Inputs!$B$38="pvp",1,(1+(Inputs!$B$21+Skills!Q11)/100)*(MIN(Skills!R11,Inputs!$B$37))),0)</f>
        <v/>
      </c>
    </row>
    <row r="965">
      <c r="A965">
        <f>Skills!A12</f>
        <v/>
      </c>
      <c r="B965">
        <f>Skills!B12</f>
        <v/>
      </c>
      <c r="C965">
        <f>Inputs!$B$3&gt;=110</f>
        <v/>
      </c>
      <c r="D965">
        <f>IF(Skills!C12=1,60+Inputs!$B$25+(Inputs!$B$29+1),IF(Skills!C12=2,90+Inputs!$B$26+(Inputs!$B$29+1),IF(Skills!C12=3,120+Inputs!$B$27+(Inputs!$B$29+1),MAX(0,(Inputs!$B$3-100)*3)+Inputs!$B$28+(Inputs!$B$29+1))))</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c r="T965" t="inlineStr"/>
      <c r="V965" t="inlineStr"/>
    </row>
    <row r="966">
      <c r="A966">
        <f>Skills!A13</f>
        <v/>
      </c>
      <c r="B966">
        <f>Skills!B13</f>
        <v/>
      </c>
      <c r="C966">
        <f>Inputs!$B$3&gt;=74</f>
        <v/>
      </c>
      <c r="D966">
        <f>IF(Skills!C13=1,60+Inputs!$B$25+(Inputs!$B$29+1),IF(Skills!C13=2,90+Inputs!$B$26+(Inputs!$B$29+1),IF(Skills!C13=3,120+Inputs!$B$27+(Inputs!$B$29+1),MAX(0,(Inputs!$B$3-100)*3)+Inputs!$B$28+(Inputs!$B$29+1))))</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(1-Summary!$B$55)*T966+Summary!$B$55*V966</f>
        <v/>
      </c>
      <c r="P966">
        <f>IF(B996=0,0,O966/B996)</f>
        <v/>
      </c>
      <c r="Q966" t="n">
        <v>0</v>
      </c>
      <c r="R966" t="n">
        <v>0</v>
      </c>
      <c r="S966">
        <f>IFERROR(O966/N966,0)</f>
        <v/>
      </c>
      <c r="T966" t="n">
        <v>0</v>
      </c>
      <c r="V966" t="n">
        <v>0</v>
      </c>
    </row>
    <row r="967">
      <c r="A967">
        <f>Skills!A14</f>
        <v/>
      </c>
      <c r="B967">
        <f>Skills!B14</f>
        <v/>
      </c>
      <c r="C967">
        <f>Inputs!$B$3&gt;=74</f>
        <v/>
      </c>
      <c r="D967">
        <f>IF(Skills!C14=1,60+Inputs!$B$25+(Inputs!$B$29+1),IF(Skills!C14=2,90+Inputs!$B$26+(Inputs!$B$29+1),IF(Skills!C14=3,120+Inputs!$B$27+(Inputs!$B$29+1),MAX(0,(Inputs!$B$3-100)*3)+Inputs!$B$28+(Inputs!$B$29+1))))</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(1-Summary!$B$55)*T967+Summary!$B$55*V967</f>
        <v/>
      </c>
      <c r="P967">
        <f>IF(B996=0,0,O967/B996)</f>
        <v/>
      </c>
      <c r="Q967" t="n">
        <v>0</v>
      </c>
      <c r="R967" t="n">
        <v>0</v>
      </c>
      <c r="S967">
        <f>IFERROR(O967/N967,0)</f>
        <v/>
      </c>
      <c r="T967" t="n">
        <v>0</v>
      </c>
      <c r="V967" t="n">
        <v>0</v>
      </c>
    </row>
    <row r="968">
      <c r="A968">
        <f>Skills!A15</f>
        <v/>
      </c>
      <c r="B968">
        <f>Skills!B15</f>
        <v/>
      </c>
      <c r="C968">
        <f>Inputs!$B$3&gt;=117</f>
        <v/>
      </c>
      <c r="D968">
        <f>IF(Skills!C15=1,60+Inputs!$B$25+(Inputs!$B$29+1),IF(Skills!C15=2,90+Inputs!$B$26+(Inputs!$B$29+1),IF(Skills!C15=3,120+Inputs!$B$27+(Inputs!$B$29+1),MAX(0,(Inputs!$B$3-100)*3)+Inputs!$B$28+(Inputs!$B$29+1))))</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(1-Summary!$B$55)*T968+Summary!$B$55*V968</f>
        <v/>
      </c>
      <c r="P968">
        <f>IF(B996=0,0,O968/B996)</f>
        <v/>
      </c>
      <c r="Q968">
        <f>IFERROR(1/IF(Inputs!$B$38="pvp",15,MAX(0.1,Skills!D15-IF(Skills!E15=TRUE,Inputs!$B$32,0))),0)</f>
        <v/>
      </c>
      <c r="R968">
        <f>IF(AND(Inputs!$B$38&lt;&gt;"pvp",Inputs!$B$43&gt;0),IF(Inputs!$B$43&lt;=0,0,(INT(Inputs!$B$43/IF(Inputs!$B$38="pvp",15,MAX(0.1,Skills!D15-IF(Skills!E15=TRUE,Inputs!$B$32,0))))+1)),0)</f>
        <v/>
      </c>
      <c r="S968">
        <f>IFERROR(O968/N968,0)</f>
        <v/>
      </c>
      <c r="T968" t="n">
        <v>0</v>
      </c>
      <c r="V968" t="n">
        <v>0</v>
      </c>
    </row>
    <row r="969">
      <c r="A969">
        <f>Skills!A16</f>
        <v/>
      </c>
      <c r="B969">
        <f>Skills!B16</f>
        <v/>
      </c>
      <c r="C969">
        <f>Inputs!$B$3&gt;=115</f>
        <v/>
      </c>
      <c r="D969">
        <f>IF(Skills!C16=1,60+Inputs!$B$25+(Inputs!$B$29+1),IF(Skills!C16=2,90+Inputs!$B$26+(Inputs!$B$29+1),IF(Skills!C16=3,120+Inputs!$B$27+(Inputs!$B$29+1),MAX(0,(Inputs!$B$3-100)*3)+Inputs!$B$28+(Inputs!$B$29+1))))</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(1-Summary!$B$55)*T969+Summary!$B$55*V969</f>
        <v/>
      </c>
      <c r="P969">
        <f>IF(B996=0,0,O969/B996)</f>
        <v/>
      </c>
      <c r="Q969">
        <f>IFERROR(1/IF(Inputs!$B$38="pvp",15,MAX(0.1,Skills!D16-IF(Skills!E16=TRUE,Inputs!$B$32,0))),0)</f>
        <v/>
      </c>
      <c r="R969">
        <f>IF(AND(Inputs!$B$38&lt;&gt;"pvp",Inputs!$B$43&gt;0),IF(Inputs!$B$43&lt;=0,0,(INT(Inputs!$B$43/IF(Inputs!$B$38="pvp",15,MAX(0.1,Skills!D16-IF(Skills!E16=TRUE,Inputs!$B$32,0))))+1)),0)</f>
        <v/>
      </c>
      <c r="S969">
        <f>IFERROR(O969/N969,0)</f>
        <v/>
      </c>
      <c r="T969" t="n">
        <v>0</v>
      </c>
      <c r="V969" t="n">
        <v>0</v>
      </c>
    </row>
    <row r="970">
      <c r="A970">
        <f>Skills!A17</f>
        <v/>
      </c>
      <c r="B970">
        <f>Skills!B17</f>
        <v/>
      </c>
      <c r="C970">
        <f>Inputs!$B$3&gt;=66</f>
        <v/>
      </c>
      <c r="D970">
        <f>IF(Skills!C17=1,60+Inputs!$B$25+(Inputs!$B$29+1),IF(Skills!C17=2,90+Inputs!$B$26+(Inputs!$B$29+1),IF(Skills!C17=3,120+Inputs!$B$27+(Inputs!$B$29+1),MAX(0,(Inputs!$B$3-100)*3)+Inputs!$B$28+(Inputs!$B$29+1))))</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(1-Summary!$B$55)*T970+Summary!$B$55*V970</f>
        <v/>
      </c>
      <c r="P970">
        <f>IF(B996=0,0,O970/B996)</f>
        <v/>
      </c>
      <c r="Q970" t="n">
        <v>0</v>
      </c>
      <c r="R970" t="n">
        <v>0</v>
      </c>
      <c r="S970">
        <f>IFERROR(O970/N970,0)</f>
        <v/>
      </c>
      <c r="T970" t="n">
        <v>0</v>
      </c>
      <c r="V970" t="n">
        <v>0</v>
      </c>
    </row>
    <row r="971">
      <c r="A971">
        <f>Skills!A18</f>
        <v/>
      </c>
      <c r="B971">
        <f>Skills!B18</f>
        <v/>
      </c>
      <c r="C971">
        <f>Inputs!$B$3&gt;=72</f>
        <v/>
      </c>
      <c r="D971">
        <f>IF(Skills!C18=1,60+Inputs!$B$25+(Inputs!$B$29+1),IF(Skills!C18=2,90+Inputs!$B$26+(Inputs!$B$29+1),IF(Skills!C18=3,120+Inputs!$B$27+(Inputs!$B$29+1),MAX(0,(Inputs!$B$3-100)*3)+Inputs!$B$28+(Inputs!$B$29+1))))</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(1-Summary!$B$55)*T971+Summary!$B$55*V971</f>
        <v/>
      </c>
      <c r="P971">
        <f>IF(B996=0,0,O971/B996)</f>
        <v/>
      </c>
      <c r="Q971" t="n">
        <v>0</v>
      </c>
      <c r="R971" t="n">
        <v>0</v>
      </c>
      <c r="S971">
        <f>IFERROR(O971/N971,0)</f>
        <v/>
      </c>
      <c r="T971" t="n">
        <v>0</v>
      </c>
      <c r="V971" t="n">
        <v>0</v>
      </c>
    </row>
    <row r="972">
      <c r="A972">
        <f>Skills!A19</f>
        <v/>
      </c>
      <c r="B972">
        <f>Skills!B19</f>
        <v/>
      </c>
      <c r="C972">
        <f>TRUE</f>
        <v/>
      </c>
      <c r="D972">
        <f>IF(Skills!C19=1,60+Inputs!$B$25+(Inputs!$B$29+1),IF(Skills!C19=2,90+Inputs!$B$26+(Inputs!$B$29+1),IF(Skills!C19=3,120+Inputs!$B$27+(Inputs!$B$29+1),MAX(0,(Inputs!$B$3-100)*3)+Inputs!$B$28+(Inputs!$B$29+1))))</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(1-Summary!$B$55)*T972+Summary!$B$55*V972</f>
        <v/>
      </c>
      <c r="P972">
        <f>IF(B996=0,0,O972/B996)</f>
        <v/>
      </c>
      <c r="Q972">
        <f>IFERROR(1/IF(Inputs!$B$38="pvp",15,MAX(0.1,Skills!D19-IF(Skills!E19=TRUE,Inputs!$B$32,0))),0)</f>
        <v/>
      </c>
      <c r="R972">
        <f>IF(AND(Inputs!$B$38&lt;&gt;"pvp",Inputs!$B$43&gt;0),IF(Inputs!$B$43&lt;=0,0,(INT(Inputs!$B$43/IF(Inputs!$B$38="pvp",15,MAX(0.1,Skills!D19-IF(Skills!E19=TRUE,Inputs!$B$32,0))))+1)),0)</f>
        <v/>
      </c>
      <c r="S972">
        <f>IFERROR(O972/N972,0)</f>
        <v/>
      </c>
      <c r="T972" t="n">
        <v>0</v>
      </c>
      <c r="V972" t="n">
        <v>0</v>
      </c>
    </row>
    <row r="973">
      <c r="A973">
        <f>Skills!A20</f>
        <v/>
      </c>
      <c r="B973">
        <f>Skills!B20</f>
        <v/>
      </c>
      <c r="C973">
        <f>Inputs!$B$3&gt;=15</f>
        <v/>
      </c>
      <c r="D973">
        <f>IF(Skills!C20=1,60+Inputs!$B$25+(Inputs!$B$29+1),IF(Skills!C20=2,90+Inputs!$B$26+(Inputs!$B$29+1),IF(Skills!C20=3,120+Inputs!$B$27+(Inputs!$B$29+1),MAX(0,(Inputs!$B$3-100)*3)+Inputs!$B$28+(Inputs!$B$29+1))))</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(1-Summary!$B$55)*T973+Summary!$B$55*V973</f>
        <v/>
      </c>
      <c r="P973">
        <f>IF(B996=0,0,O973/B996)</f>
        <v/>
      </c>
      <c r="Q973" t="n">
        <v>0</v>
      </c>
      <c r="R973" t="n">
        <v>0</v>
      </c>
      <c r="S973">
        <f>IFERROR(O973/N973,0)</f>
        <v/>
      </c>
      <c r="T973" t="n">
        <v>0</v>
      </c>
      <c r="V973" t="n">
        <v>0</v>
      </c>
    </row>
    <row r="974">
      <c r="A974">
        <f>Skills!A21</f>
        <v/>
      </c>
      <c r="B974">
        <f>Skills!B21</f>
        <v/>
      </c>
      <c r="C974">
        <f>Inputs!$B$3&gt;=10</f>
        <v/>
      </c>
      <c r="D974">
        <f>IF(Skills!C21=1,60+Inputs!$B$25+(Inputs!$B$29+1),IF(Skills!C21=2,90+Inputs!$B$26+(Inputs!$B$29+1),IF(Skills!C21=3,120+Inputs!$B$27+(Inputs!$B$29+1),MAX(0,(Inputs!$B$3-100)*3)+Inputs!$B$28+(Inputs!$B$29+1))))</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(1-Summary!$B$55)*T974+Summary!$B$55*V974</f>
        <v/>
      </c>
      <c r="P974">
        <f>IF(B996=0,0,O974/B996)</f>
        <v/>
      </c>
      <c r="Q974" t="n">
        <v>0</v>
      </c>
      <c r="R974" t="n">
        <v>0</v>
      </c>
      <c r="S974">
        <f>IFERROR(O974/N974,0)</f>
        <v/>
      </c>
      <c r="T974" t="n">
        <v>0</v>
      </c>
      <c r="V974" t="n">
        <v>0</v>
      </c>
    </row>
    <row r="975">
      <c r="A975">
        <f>Skills!A22</f>
        <v/>
      </c>
      <c r="B975">
        <f>Skills!B22</f>
        <v/>
      </c>
      <c r="C975">
        <f>Inputs!$B$3&gt;=33</f>
        <v/>
      </c>
      <c r="D975">
        <f>IF(Skills!C22=1,60+Inputs!$B$25+(Inputs!$B$29+1),IF(Skills!C22=2,90+Inputs!$B$26+(Inputs!$B$29+1),IF(Skills!C22=3,120+Inputs!$B$27+(Inputs!$B$29+1),MAX(0,(Inputs!$B$3-100)*3)+Inputs!$B$28+(Inputs!$B$29+1))))</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(1-Summary!$B$55)*T975+Summary!$B$55*V975</f>
        <v/>
      </c>
      <c r="P975">
        <f>IF(B996=0,0,O975/B996)</f>
        <v/>
      </c>
      <c r="Q975" t="n">
        <v>0</v>
      </c>
      <c r="R975" t="n">
        <v>0</v>
      </c>
      <c r="S975">
        <f>IFERROR(O975/N975,0)</f>
        <v/>
      </c>
      <c r="T975" t="n">
        <v>0</v>
      </c>
      <c r="V975" t="n">
        <v>0</v>
      </c>
    </row>
    <row r="976">
      <c r="A976">
        <f>Skills!A23</f>
        <v/>
      </c>
      <c r="B976">
        <f>Skills!B23</f>
        <v/>
      </c>
      <c r="C976">
        <f>Inputs!$B$3&gt;=38</f>
        <v/>
      </c>
      <c r="D976">
        <f>IF(Skills!C23=1,60+Inputs!$B$25+(Inputs!$B$29+1),IF(Skills!C23=2,90+Inputs!$B$26+(Inputs!$B$29+1),IF(Skills!C23=3,120+Inputs!$B$27+(Inputs!$B$29+1),MAX(0,(Inputs!$B$3-100)*3)+Inputs!$B$28+(Inputs!$B$29+1))))</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(1-Summary!$B$55)*T976+Summary!$B$55*V976</f>
        <v/>
      </c>
      <c r="P976">
        <f>IF(B996=0,0,O976/B996)</f>
        <v/>
      </c>
      <c r="Q976" t="n">
        <v>0</v>
      </c>
      <c r="R976" t="n">
        <v>0</v>
      </c>
      <c r="S976">
        <f>IFERROR(O976/N976,0)</f>
        <v/>
      </c>
      <c r="T976" t="n">
        <v>0</v>
      </c>
      <c r="V976" t="n">
        <v>0</v>
      </c>
    </row>
    <row r="977">
      <c r="A977">
        <f>Skills!A24</f>
        <v/>
      </c>
      <c r="B977">
        <f>Skills!B24</f>
        <v/>
      </c>
      <c r="C977">
        <f>Inputs!$B$3&gt;=43</f>
        <v/>
      </c>
      <c r="D977">
        <f>IF(Skills!C24=1,60+Inputs!$B$25+(Inputs!$B$29+1),IF(Skills!C24=2,90+Inputs!$B$26+(Inputs!$B$29+1),IF(Skills!C24=3,120+Inputs!$B$27+(Inputs!$B$29+1),MAX(0,(Inputs!$B$3-100)*3)+Inputs!$B$28+(Inputs!$B$29+1))))</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(1-Summary!$B$55)*T977+Summary!$B$55*V977</f>
        <v/>
      </c>
      <c r="P977">
        <f>IF(B996=0,0,O977/B996)</f>
        <v/>
      </c>
      <c r="Q977" t="n">
        <v>0</v>
      </c>
      <c r="R977" t="n">
        <v>0</v>
      </c>
      <c r="S977">
        <f>IFERROR(O977/N977,0)</f>
        <v/>
      </c>
      <c r="T977" t="n">
        <v>0</v>
      </c>
      <c r="V977" t="n">
        <v>0</v>
      </c>
    </row>
    <row r="978">
      <c r="A978">
        <f>Skills!A25</f>
        <v/>
      </c>
      <c r="B978">
        <f>Skills!B25</f>
        <v/>
      </c>
      <c r="C978">
        <f>Inputs!$B$3&gt;=75</f>
        <v/>
      </c>
      <c r="D978">
        <f>IF(Skills!C25=1,60+Inputs!$B$25+(Inputs!$B$29+1),IF(Skills!C25=2,90+Inputs!$B$26+(Inputs!$B$29+1),IF(Skills!C25=3,120+Inputs!$B$27+(Inputs!$B$29+1),MAX(0,(Inputs!$B$3-100)*3)+Inputs!$B$28+(Inputs!$B$29+1))))</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(1-Summary!$B$55)*T978+Summary!$B$55*V978</f>
        <v/>
      </c>
      <c r="P978">
        <f>IF(B996=0,0,O978/B996)</f>
        <v/>
      </c>
      <c r="Q978" t="n">
        <v>0</v>
      </c>
      <c r="R978" t="n">
        <v>0</v>
      </c>
      <c r="S978">
        <f>IFERROR(O978/N978,0)</f>
        <v/>
      </c>
      <c r="T978" t="n">
        <v>0</v>
      </c>
      <c r="V978" t="n">
        <v>0</v>
      </c>
    </row>
    <row r="979">
      <c r="A979">
        <f>Skills!A26</f>
        <v/>
      </c>
      <c r="B979">
        <f>Skills!B26</f>
        <v/>
      </c>
      <c r="C979">
        <f>Inputs!$B$3&gt;=125</f>
        <v/>
      </c>
      <c r="D979">
        <f>IF(Skills!C26=1,60+Inputs!$B$25+(Inputs!$B$29+1),IF(Skills!C26=2,90+Inputs!$B$26+(Inputs!$B$29+1),IF(Skills!C26=3,120+Inputs!$B$27+(Inputs!$B$29+1),MAX(0,(Inputs!$B$3-100)*3)+Inputs!$B$28+(Inputs!$B$29+1))))</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(1-Summary!$B$55)*T979+Summary!$B$55*V979</f>
        <v/>
      </c>
      <c r="P979">
        <f>IF(B996=0,0,O979/B996)</f>
        <v/>
      </c>
      <c r="Q979" t="n">
        <v>0</v>
      </c>
      <c r="R979" t="n">
        <v>0</v>
      </c>
      <c r="S979">
        <f>IFERROR(O979/N979,0)</f>
        <v/>
      </c>
      <c r="T979" t="n">
        <v>0</v>
      </c>
      <c r="V979" t="n">
        <v>0</v>
      </c>
    </row>
    <row r="980">
      <c r="A980">
        <f>Skills!A27</f>
        <v/>
      </c>
      <c r="B980">
        <f>Skills!B27</f>
        <v/>
      </c>
      <c r="C980">
        <f>Inputs!$B$3&gt;=125</f>
        <v/>
      </c>
      <c r="D980">
        <f>IF(Skills!C27=1,60+Inputs!$B$25+(Inputs!$B$29+1),IF(Skills!C27=2,90+Inputs!$B$26+(Inputs!$B$29+1),IF(Skills!C27=3,120+Inputs!$B$27+(Inputs!$B$29+1),MAX(0,(Inputs!$B$3-100)*3)+Inputs!$B$28+(Inputs!$B$29+1))))</f>
        <v/>
      </c>
      <c r="E980">
        <f>INDEX(FactorTable!$B$2:$Y$301, MATCH(ROUND(MIN(300,MAX(1,D980)),0), FactorTable!$A$2:$A$301,0), Skills!M27+1)</f>
        <v/>
      </c>
      <c r="F980">
        <f>IF(Skills!N27=TRUE,(Skills!L27/10)*(E980/1000),Skills!L27/10)+Skills!O27</f>
        <v/>
      </c>
      <c r="G980">
        <f>Skills!G27*IF(Skills!H27&gt;0,Skills!I27/Skills!H27,1)</f>
        <v/>
      </c>
      <c r="H980">
        <f>1-(1-Skills!J27/100)^Skills!K27</f>
        <v/>
      </c>
      <c r="I980" t="inlineStr">
        <is>
          <t>1</t>
        </is>
      </c>
      <c r="J980" t="inlineStr"/>
      <c r="K980" t="inlineStr"/>
      <c r="L980" t="inlineStr"/>
      <c r="M980" t="inlineStr"/>
      <c r="N980" t="inlineStr"/>
      <c r="O980">
        <f>(1-Summary!$B$55)*T980+Summary!$B$55*V980</f>
        <v/>
      </c>
      <c r="P980">
        <f>IF(B996=0,0,O980/B996)</f>
        <v/>
      </c>
      <c r="Q980" t="n">
        <v>0</v>
      </c>
      <c r="R980" t="n">
        <v>0</v>
      </c>
      <c r="S980">
        <f>IFERROR(O980/N980,0)</f>
        <v/>
      </c>
      <c r="T980" t="n">
        <v>0</v>
      </c>
      <c r="V980" t="n">
        <v>0</v>
      </c>
    </row>
    <row r="981">
      <c r="A981">
        <f>Skills!A28</f>
        <v/>
      </c>
      <c r="B981">
        <f>Skills!B28</f>
        <v/>
      </c>
      <c r="C981">
        <f>Inputs!$B$3&gt;=120</f>
        <v/>
      </c>
      <c r="D981">
        <f>IF(Skills!C28=1,60+Inputs!$B$25+(Inputs!$B$29+1),IF(Skills!C28=2,90+Inputs!$B$26+(Inputs!$B$29+1),IF(Skills!C28=3,120+Inputs!$B$27+(Inputs!$B$29+1),MAX(0,(Inputs!$B$3-100)*3)+Inputs!$B$28+(Inputs!$B$29+1))))</f>
        <v/>
      </c>
      <c r="E981">
        <f>INDEX(FactorTable!$B$2:$Y$301, MATCH(ROUND(MIN(300,MAX(1,D981)),0), FactorTable!$A$2:$A$301,0), Skills!M28+1)</f>
        <v/>
      </c>
      <c r="F981">
        <f>IF(Skills!N28=TRUE,(Skills!L28/10)*(E981/1000),Skills!L28/10)+Skills!O28</f>
        <v/>
      </c>
      <c r="G981">
        <f>Skills!G28*IF(Skills!H28&gt;0,Skills!I28/Skills!H28,1)</f>
        <v/>
      </c>
      <c r="H981">
        <f>1-(1-Skills!J28/100)^Skills!K28</f>
        <v/>
      </c>
      <c r="I981" t="inlineStr">
        <is>
          <t>1</t>
        </is>
      </c>
      <c r="J981" t="inlineStr"/>
      <c r="K981" t="inlineStr"/>
      <c r="L981" t="inlineStr"/>
      <c r="M981" t="inlineStr"/>
      <c r="N981" t="inlineStr"/>
      <c r="O981">
        <f>(1-Summary!$B$55)*T981+Summary!$B$55*V981</f>
        <v/>
      </c>
      <c r="P981">
        <f>IF(B996=0,0,O981/B996)</f>
        <v/>
      </c>
      <c r="Q981" t="n">
        <v>0</v>
      </c>
      <c r="R981" t="n">
        <v>0</v>
      </c>
      <c r="S981">
        <f>IFERROR(O981/N981,0)</f>
        <v/>
      </c>
      <c r="T981" t="n">
        <v>0</v>
      </c>
      <c r="V981" t="n">
        <v>0</v>
      </c>
    </row>
    <row r="982">
      <c r="A982">
        <f>Skills!A29</f>
        <v/>
      </c>
      <c r="B982">
        <f>Skills!B29</f>
        <v/>
      </c>
      <c r="C982">
        <f>Inputs!$B$3&gt;=120</f>
        <v/>
      </c>
      <c r="D982">
        <f>IF(Skills!C29=1,60+Inputs!$B$25+(Inputs!$B$29+1),IF(Skills!C29=2,90+Inputs!$B$26+(Inputs!$B$29+1),IF(Skills!C29=3,120+Inputs!$B$27+(Inputs!$B$29+1),MAX(0,(Inputs!$B$3-100)*3)+Inputs!$B$28+(Inputs!$B$29+1))))</f>
        <v/>
      </c>
      <c r="E982">
        <f>INDEX(FactorTable!$B$2:$Y$301, MATCH(ROUND(MIN(300,MAX(1,D982)),0), FactorTable!$A$2:$A$301,0), Skills!M29+1)</f>
        <v/>
      </c>
      <c r="F982">
        <f>IF(Skills!N29=TRUE,(Skills!L29/10)*(E982/1000),Skills!L29/10)+Skills!O29</f>
        <v/>
      </c>
      <c r="G982">
        <f>Skills!G29*IF(Skills!H29&gt;0,Skills!I29/Skills!H29,1)</f>
        <v/>
      </c>
      <c r="H982">
        <f>1-(1-Skills!J29/100)^Skills!K29</f>
        <v/>
      </c>
      <c r="I982" t="inlineStr">
        <is>
          <t>1</t>
        </is>
      </c>
      <c r="J982" t="inlineStr"/>
      <c r="K982" t="inlineStr"/>
      <c r="L982" t="inlineStr"/>
      <c r="M982" t="inlineStr"/>
      <c r="N982" t="inlineStr"/>
      <c r="O982">
        <f>(1-Summary!$B$55)*T982+Summary!$B$55*V982</f>
        <v/>
      </c>
      <c r="P982">
        <f>IF(B996=0,0,O982/B996)</f>
        <v/>
      </c>
      <c r="Q982" t="n">
        <v>0</v>
      </c>
      <c r="R982" t="n">
        <v>0</v>
      </c>
      <c r="S982">
        <f>IFERROR(O982/N982,0)</f>
        <v/>
      </c>
      <c r="T982" t="n">
        <v>0</v>
      </c>
      <c r="V982" t="n">
        <v>0</v>
      </c>
    </row>
    <row r="983">
      <c r="A983">
        <f>Skills!A30</f>
        <v/>
      </c>
      <c r="B983">
        <f>Skills!B30</f>
        <v/>
      </c>
      <c r="C983">
        <f>Inputs!$B$3&gt;=45</f>
        <v/>
      </c>
      <c r="D983">
        <f>IF(Skills!C30=1,60+Inputs!$B$25+(Inputs!$B$29+1),IF(Skills!C30=2,90+Inputs!$B$26+(Inputs!$B$29+1),IF(Skills!C30=3,120+Inputs!$B$27+(Inputs!$B$29+1),MAX(0,(Inputs!$B$3-100)*3)+Inputs!$B$28+(Inputs!$B$29+1))))</f>
        <v/>
      </c>
      <c r="E983">
        <f>INDEX(FactorTable!$B$2:$Y$301, MATCH(ROUND(MIN(300,MAX(1,D983)),0), FactorTable!$A$2:$A$301,0), Skills!M30+1)</f>
        <v/>
      </c>
      <c r="F983">
        <f>IF(Skills!N30=TRUE,(Skills!L30/10)*(E983/1000),Skills!L30/10)+Skills!O30</f>
        <v/>
      </c>
      <c r="G983">
        <f>Skills!G30*IF(Skills!H30&gt;0,Skills!I30/Skills!H30,1)</f>
        <v/>
      </c>
      <c r="H983">
        <f>1-(1-Skills!J30/100)^Skills!K30</f>
        <v/>
      </c>
      <c r="I983" t="inlineStr">
        <is>
          <t>1</t>
        </is>
      </c>
      <c r="J983" t="inlineStr"/>
      <c r="K983" t="inlineStr"/>
      <c r="L983" t="inlineStr"/>
      <c r="M983" t="inlineStr"/>
      <c r="N983" t="inlineStr"/>
      <c r="O983">
        <f>(1-Summary!$B$55)*T983+Summary!$B$55*V983</f>
        <v/>
      </c>
      <c r="P983">
        <f>IF(B996=0,0,O983/B996)</f>
        <v/>
      </c>
      <c r="Q983" t="n">
        <v>0</v>
      </c>
      <c r="R983" t="n">
        <v>0</v>
      </c>
      <c r="S983">
        <f>IFERROR(O983/N983,0)</f>
        <v/>
      </c>
      <c r="T983" t="n">
        <v>0</v>
      </c>
      <c r="V983" t="n">
        <v>0</v>
      </c>
    </row>
    <row r="985">
      <c r="A985" t="inlineStr">
        <is>
          <t>Attack% Bucket Multiplier</t>
        </is>
      </c>
      <c r="B985">
        <f>(1+(((C966=TRUE)*F966)+((C967=TRUE)*IF(Inputs!$B$38="pvp",F967,(1-Summary!$B$55)*(F967)+Summary!$B$55*(0)))+((C968=TRUE)*F968*IF(AND(Inputs!$B$38&lt;&gt;"pvp",Inputs!$B$43&gt;0),(((R968-1)*(Skills!T15*(1+Inputs!$B$34/100))+MIN((Skills!T15*(1+Inputs!$B$34/100)),MAX(0,Inputs!$B$43-((R968-1)*Skills!D15))))/Inputs!$B$43),IF(Inputs!$B$38="pvp",MIN((Skills!T15*(1+Inputs!$B$34/100)),15)/15,(Skills!T15*(1+Inputs!$B$34/100))/Skills!D15)))+((C983=TRUE)*(F983-Calc!F30)))/100)</f>
        <v/>
      </c>
    </row>
    <row r="986">
      <c r="A986" t="inlineStr">
        <is>
          <t>Global Crit Rate Bonus %</t>
        </is>
      </c>
      <c r="B986">
        <f>(C969=TRUE)*20*IF(AND(Inputs!$B$38&lt;&gt;"pvp",Inputs!$B$43&gt;0),(((R969-1)*(Skills!T16*(1+Inputs!$B$34/100))+MIN((Skills!T16*(1+Inputs!$B$34/100)),MAX(0,Inputs!$B$43-((R969-1)*Skills!D16))))/Inputs!$B$43),IF(Inputs!$B$38="pvp",MIN((Skills!T16*(1+Inputs!$B$34/100)),15)/15,(Skills!T16*(1+Inputs!$B$34/100))/Skills!D16))</f>
        <v/>
      </c>
    </row>
    <row r="987">
      <c r="A987" t="inlineStr">
        <is>
          <t>Attack Speed Buff Bonus %</t>
        </is>
      </c>
      <c r="B987">
        <f>((C972=TRUE)*F972*IF(AND(Inputs!$B$38&lt;&gt;"pvp",Inputs!$B$43&gt;0),(((R972-1)*(Skills!T19*(1+Inputs!$B$34/100))+MIN((Skills!T19*(1+Inputs!$B$34/100)),MAX(0,Inputs!$B$43-((R972-1)*Skills!D19))))/Inputs!$B$43),IF(Inputs!$B$38="pvp",MIN((Skills!T19*(1+Inputs!$B$34/100)),15)/15,(Skills!T19*(1+Inputs!$B$34/100))/Skills!D19)))</f>
        <v/>
      </c>
    </row>
    <row r="988">
      <c r="A988" t="inlineStr">
        <is>
          <t>Actions Per Second</t>
        </is>
      </c>
      <c r="B988">
        <f>1+MIN(150,150*(1-(1-(Inputs!$B$11+((C974=TRUE)*(F974-Calc!F21))+((C975=TRUE)*(F975-Calc!F22)))/150)*(1-B987/150)))/100</f>
        <v/>
      </c>
    </row>
    <row r="989">
      <c r="A989" t="inlineStr">
        <is>
          <t>Skill + Buff Cast Rate</t>
        </is>
      </c>
      <c r="B989">
        <f>IF(AND(Inputs!$B$38&lt;&gt;"pvp",Inputs!$B$43&gt;0),SUMPRODUCT((Skills!E2:E30=TRUE)*(C955:C983=TRUE)*R955:R983*Skills!F2:F30)/Inputs!$B$43,SUMPRODUCT((Skills!E2:E30=TRUE)*(C955:C983=TRUE)*Q955:Q983*Skills!F2:F30))</f>
        <v/>
      </c>
    </row>
    <row r="990">
      <c r="A990" t="inlineStr">
        <is>
          <t>Arrow Stream Casts Per Second</t>
        </is>
      </c>
      <c r="B990">
        <f>MAX(0,B988-B989)</f>
        <v/>
      </c>
    </row>
    <row r="991">
      <c r="A991" t="inlineStr">
        <is>
          <t>Global Critical Damage Bonus % (Sharp Eyes + Concentration)</t>
        </is>
      </c>
      <c r="B991">
        <f>(C969=TRUE)*F969*IF(AND(Inputs!$B$38&lt;&gt;"pvp",Inputs!$B$43&gt;0),(((R969-1)*(Skills!T16*(1+Inputs!$B$34/100))+MIN((Skills!T16*(1+Inputs!$B$34/100)),MAX(0,Inputs!$B$43-((R969-1)*Skills!D16))))/Inputs!$B$43),IF(Inputs!$B$38="pvp",MIN((Skills!T16*(1+Inputs!$B$34/100)),15)/15,(Skills!T16*(1+Inputs!$B$34/100))/Skills!D16))+(C970=TRUE)*30</f>
        <v/>
      </c>
    </row>
    <row r="992">
      <c r="A992" t="inlineStr">
        <is>
          <t>Global Final Damage Bonus % (Mortal Blow)</t>
        </is>
      </c>
      <c r="B992">
        <f>(C971=TRUE)*F971</f>
        <v/>
      </c>
    </row>
    <row r="993">
      <c r="A993" t="inlineStr">
        <is>
          <t>Buff-Casting Startup Delay (s, fixed-duration only)</t>
        </is>
      </c>
      <c r="B993">
        <f>IF(AND(Inputs!$B$38&lt;&gt;"pvp",Inputs!$B$43&gt;0),SUMPRODUCT((Skills!T2:T30&gt;0)*(Skills!E2:E30=TRUE)*(C955:C983=TRUE))/B988,0)</f>
        <v/>
      </c>
    </row>
    <row r="994">
      <c r="A994" t="inlineStr">
        <is>
          <t>Boss-Only Total DPS (this block's swept value)</t>
        </is>
      </c>
      <c r="B994">
        <f>SUM(T955:T983)</f>
        <v/>
      </c>
    </row>
    <row r="995">
      <c r="A995" t="inlineStr">
        <is>
          <t>Normal-Only Total DPS (this block's swept value)</t>
        </is>
      </c>
      <c r="B995">
        <f>SUM(V955:V983)</f>
        <v/>
      </c>
    </row>
    <row r="996">
      <c r="A996" s="5" t="inlineStr">
        <is>
          <t>TOTAL DPS</t>
        </is>
      </c>
      <c r="B996" s="5">
        <f>SUM(O955:O983)</f>
        <v/>
      </c>
    </row>
    <row r="999">
      <c r="A999" s="5" t="inlineStr">
        <is>
          <t>Stat: Flat ATTACK</t>
        </is>
      </c>
    </row>
    <row r="1000">
      <c r="A1000" s="9" t="inlineStr">
        <is>
          <t>Key</t>
        </is>
      </c>
      <c r="B1000" s="9" t="inlineStr">
        <is>
          <t>Name</t>
        </is>
      </c>
      <c r="C1000" s="9" t="inlineStr">
        <is>
          <t>Unlocked</t>
        </is>
      </c>
      <c r="D1000" s="9" t="inlineStr">
        <is>
          <t>InputLevel</t>
        </is>
      </c>
      <c r="E1000" s="9" t="inlineStr">
        <is>
          <t>Factor</t>
        </is>
      </c>
      <c r="F1000" s="9" t="inlineStr">
        <is>
          <t>CoefficientPercent</t>
        </is>
      </c>
      <c r="G1000" s="9" t="inlineStr">
        <is>
          <t>EffectiveHits</t>
        </is>
      </c>
      <c r="H1000" s="9" t="inlineStr">
        <is>
          <t>ProcProbability</t>
        </is>
      </c>
      <c r="I1000" s="9" t="inlineStr">
        <is>
          <t>MapleHeroMultiplier</t>
        </is>
      </c>
      <c r="J1000" s="9" t="inlineStr">
        <is>
          <t>BaseDamage</t>
        </is>
      </c>
      <c r="K1000" s="9" t="inlineStr">
        <is>
          <t>BaseHitDamage</t>
        </is>
      </c>
      <c r="L1000" s="9" t="inlineStr">
        <is>
          <t>NonCritAvg</t>
        </is>
      </c>
      <c r="M1000" s="9" t="inlineStr">
        <is>
          <t>CritAvg</t>
        </is>
      </c>
      <c r="N1000" s="9" t="inlineStr">
        <is>
          <t>ExpectedDamage(perHit)</t>
        </is>
      </c>
      <c r="O1000" s="9" t="inlineStr">
        <is>
          <t>DPS</t>
        </is>
      </c>
      <c r="P1000" s="9" t="inlineStr">
        <is>
          <t>% of Total</t>
        </is>
      </c>
      <c r="Q1000" s="9" t="inlineStr">
        <is>
          <t>InvCooldown</t>
        </is>
      </c>
      <c r="R1000" s="9" t="inlineStr">
        <is>
          <t>CastsInFight</t>
        </is>
      </c>
      <c r="S1000" s="9" t="inlineStr">
        <is>
          <t>HitRate(perSec)</t>
        </is>
      </c>
      <c r="U1000" t="inlineStr">
        <is>
          <t>helpers</t>
        </is>
      </c>
    </row>
    <row r="1001">
      <c r="A1001">
        <f>Skills!A2</f>
        <v/>
      </c>
      <c r="B1001">
        <f>Skills!B2</f>
        <v/>
      </c>
      <c r="C1001">
        <f>Inputs!$B$3&gt;=100</f>
        <v/>
      </c>
      <c r="D1001" t="inlineStr"/>
      <c r="E1001" t="inlineStr"/>
      <c r="F1001">
        <f>U1003+Skills!O2</f>
        <v/>
      </c>
      <c r="G1001">
        <f>Skills!G2*IF(Skills!H2&gt;0,Skills!I2/Skills!H2,1)</f>
        <v/>
      </c>
      <c r="H1001">
        <f>1-(1-Skills!J2/100)^Skills!K2</f>
        <v/>
      </c>
      <c r="I1001" t="inlineStr">
        <is>
          <t>1</t>
        </is>
      </c>
      <c r="J1001">
        <f>(((Inputs!$B$6+1)*(1+Inputs!$B$7/100))+(((Inputs!$B$12*(1+Inputs!$B$13/100))-(Inputs!$B$12*(1+Inputs!$B$13/100)))+0.25*(Inputs!$B$14-Inputs!$B$14))*(1+Inputs!$B$7/100))*(F1001/100)</f>
        <v/>
      </c>
      <c r="K1001">
        <f>J1001*(1+((Inputs!$B$12*(1+Inputs!$B$13/100))*0.01+Inputs!$B$14*0.0025)/100)*(1+Inputs!$B$15/100)*(1+Inputs!$B$16/100)*(5000/(6000+Inputs!$B$42*(1-(Inputs!$B$19+((C1026=TRUE)*(F1026-Calc!F27)))/100)))*(1+(Inputs!$B$24+((C1024=TRUE)*(F1024-Calc!F25))+((C1025=TRUE)*(F1025-Calc!F26))+B1038)/100)*(1+(IF(Skills!A2="ARROW_STREAM",Inputs!$B$17+((C1022=TRUE)*(F1022-Calc!F23)),Inputs!$B$18+((C1027=TRUE)*(F1027-Calc!F28))))/100)*((1+(((C1012=TRUE)*F1012)+((C1013=TRUE)*IF(Inputs!$B$38="pvp",F1013,(1-Summary!$B$55)*(F1013)+Summary!$B$55*(0)))+((C1014=TRUE)*F1014*IF(AND(Inputs!$B$38&lt;&gt;"pvp",Inputs!$B$43&gt;0),(((R1014-1)*(Skills!T15*(1+Inputs!$B$34/100))+MIN((Skills!T15*(1+Inputs!$B$34/100)),MAX(0,Inputs!$B$43-((R1014-1)*Skills!D15))))/Inputs!$B$43),IF(Inputs!$B$38="pvp",MIN((Skills!T15*(1+Inputs!$B$34/100)),15)/15,(Skills!T15*(1+Inputs!$B$34/100))/Skills!D15)))+((C1029=TRUE)*(F1029-Calc!F30)))/100)*I1001)</f>
        <v/>
      </c>
      <c r="L1001">
        <f>K1001*(MIN(Inputs!$B$22+((C1023=TRUE)*(F1023-Calc!F24)),Inputs!$B$23+((C1028=TRUE)*(F1028-Calc!F29)))/100+(Inputs!$B$23+((C1028=TRUE)*(F1028-Calc!F29)))/100)/2</f>
        <v/>
      </c>
      <c r="M1001">
        <f>L1001*(1+(Inputs!$B$10+0+B1037)/100)</f>
        <v/>
      </c>
      <c r="N1001">
        <f>L1001*(1-MIN((Inputs!$B$9+((C1019=TRUE)*(F1019-Calc!F20))+B1032),100)/100)+M1001*(MIN((Inputs!$B$9+((C1019=TRUE)*(F1019-Calc!F20))+B1032),100)/100)</f>
        <v/>
      </c>
      <c r="O1001">
        <f>(1-Summary!$B$55)*T1001+Summary!$B$55*V1001</f>
        <v/>
      </c>
      <c r="P1001">
        <f>IF(B1042=0,0,O1001/B1042)</f>
        <v/>
      </c>
      <c r="Q1001" t="n">
        <v>0</v>
      </c>
      <c r="R1001" t="n">
        <v>0</v>
      </c>
      <c r="S1001">
        <f>IFERROR(O1001/N1001,0)</f>
        <v/>
      </c>
      <c r="T1001">
        <f>IF(C1001,(Skills!G2*N1001*B1036)*IF(Inputs!$B$38="pvp",1,1+(Inputs!$B$20+0+Skills!P2)/100),0)</f>
        <v/>
      </c>
      <c r="U1001">
        <f>MAX(0,(Inputs!$B$3-100)*3)+Inputs!$B$28+Inputs!$B$29</f>
        <v/>
      </c>
      <c r="V1001">
        <f>IF(C1001,(Skills!G2*N1001*B1036)*IF(Inputs!$B$38="pvp",1,(1+(Inputs!$B$21+Skills!Q2)/100)*(MIN((6+Inputs!$B$33),Inputs!$B$37))),0)</f>
        <v/>
      </c>
    </row>
    <row r="1002">
      <c r="A1002">
        <f>Skills!A3</f>
        <v/>
      </c>
      <c r="B1002">
        <f>Skills!B3</f>
        <v/>
      </c>
      <c r="C1002">
        <f>Inputs!$B$3&gt;=50</f>
        <v/>
      </c>
      <c r="D1002">
        <f>IF(Skills!C3=1,60+Inputs!$B$25+Inputs!$B$29,IF(Skills!C3=2,90+Inputs!$B$26+Inputs!$B$29,IF(Skills!C3=3,120+Inputs!$B$27+Inputs!$B$29,MAX(0,(Inputs!$B$3-100)*3)+Inputs!$B$28+Inputs!$B$29)))</f>
        <v/>
      </c>
      <c r="E1002">
        <f>INDEX(FactorTable!$B$2:$Y$301, MATCH(ROUND(MIN(300,MAX(1,D1002)),0), FactorTable!$A$2:$A$301,0), Skills!M3+1)</f>
        <v/>
      </c>
      <c r="F1002">
        <f>IF(Skills!N3=TRUE,(Skills!L3/10)*(E1002/1000),Skills!L3/10)+Skills!O3</f>
        <v/>
      </c>
      <c r="G1002" t="inlineStr"/>
      <c r="H1002" t="inlineStr"/>
      <c r="I1002" t="inlineStr">
        <is>
          <t>1</t>
        </is>
      </c>
      <c r="J1002" t="inlineStr"/>
      <c r="K1002" t="inlineStr"/>
      <c r="L1002" t="inlineStr"/>
      <c r="M1002" t="inlineStr"/>
      <c r="N1002" t="inlineStr"/>
      <c r="O1002" t="inlineStr"/>
      <c r="P1002" t="inlineStr"/>
      <c r="Q1002" t="inlineStr"/>
      <c r="R1002" t="inlineStr"/>
      <c r="S1002" t="inlineStr"/>
      <c r="T1002" t="inlineStr"/>
      <c r="U1002">
        <f>INDEX(FactorTable!$B$2:$Y$301, MATCH(ROUND(MIN(300,MAX(1,U1001)),0), FactorTable!$A$2:$A$301,0), 22)</f>
        <v/>
      </c>
      <c r="V1002" t="inlineStr"/>
    </row>
    <row r="1003">
      <c r="A1003">
        <f>Skills!A4</f>
        <v/>
      </c>
      <c r="B1003">
        <f>Skills!B4</f>
        <v/>
      </c>
      <c r="C1003">
        <f>Inputs!$B$3&gt;=105</f>
        <v/>
      </c>
      <c r="D1003">
        <f>IF(Skills!C4=1,60+Inputs!$B$25+Inputs!$B$29,IF(Skills!C4=2,90+Inputs!$B$26+Inputs!$B$29,IF(Skills!C4=3,120+Inputs!$B$27+Inputs!$B$29,MAX(0,(Inputs!$B$3-100)*3)+Inputs!$B$28+Inputs!$B$29)))</f>
        <v/>
      </c>
      <c r="E1003">
        <f>INDEX(FactorTable!$B$2:$Y$301, MATCH(ROUND(MIN(300,MAX(1,D1003)),0), FactorTable!$A$2:$A$301,0), Skills!M4+1)</f>
        <v/>
      </c>
      <c r="F1003">
        <f>IF(Skills!N4=TRUE,(Skills!L4/10)*(E1003/1000),Skills!L4/10)+Skills!O4</f>
        <v/>
      </c>
      <c r="G1003" t="inlineStr"/>
      <c r="H1003" t="inlineStr"/>
      <c r="I1003" t="inlineStr">
        <is>
          <t>1</t>
        </is>
      </c>
      <c r="J1003" t="inlineStr"/>
      <c r="K1003" t="inlineStr"/>
      <c r="L1003" t="inlineStr"/>
      <c r="M1003" t="inlineStr"/>
      <c r="N1003" t="inlineStr"/>
      <c r="O1003" t="inlineStr"/>
      <c r="P1003" t="inlineStr"/>
      <c r="Q1003" t="inlineStr"/>
      <c r="R1003" t="inlineStr"/>
      <c r="S1003" t="inlineStr"/>
      <c r="T1003" t="inlineStr"/>
      <c r="U1003">
        <f>290*U1002/1000</f>
        <v/>
      </c>
      <c r="V1003" t="inlineStr"/>
    </row>
    <row r="1004">
      <c r="A1004">
        <f>Skills!A5</f>
        <v/>
      </c>
      <c r="B1004">
        <f>Skills!B5</f>
        <v/>
      </c>
      <c r="C1004">
        <f>Inputs!$B$3&gt;=35</f>
        <v/>
      </c>
      <c r="D1004">
        <f>IF(Skills!C5=1,60+Inputs!$B$25+Inputs!$B$29,IF(Skills!C5=2,90+Inputs!$B$26+Inputs!$B$29,IF(Skills!C5=3,120+Inputs!$B$27+Inputs!$B$29,MAX(0,(Inputs!$B$3-100)*3)+Inputs!$B$28+Inputs!$B$29)))</f>
        <v/>
      </c>
      <c r="E1004">
        <f>INDEX(FactorTable!$B$2:$Y$301, MATCH(ROUND(MIN(300,MAX(1,D1004)),0), FactorTable!$A$2:$A$301,0), Skills!M5+1)</f>
        <v/>
      </c>
      <c r="F1004">
        <f>IF(Skills!N5=TRUE,(Skills!L5/10)*(E1004/1000),Skills!L5/10)+Skills!O5</f>
        <v/>
      </c>
      <c r="G1004">
        <f>Skills!G5*IF(Skills!H5&gt;0,Skills!I5/Skills!H5,1)</f>
        <v/>
      </c>
      <c r="H1004">
        <f>1-(1-Skills!J5/100)^Skills!K5</f>
        <v/>
      </c>
      <c r="I1004" t="inlineStr">
        <is>
          <t>1</t>
        </is>
      </c>
      <c r="J1004">
        <f>(((Inputs!$B$6+1)*(1+Inputs!$B$7/100))+(((Inputs!$B$12*(1+Inputs!$B$13/100))-(Inputs!$B$12*(1+Inputs!$B$13/100)))+0.25*(Inputs!$B$14-Inputs!$B$14))*(1+Inputs!$B$7/100))*(F1004/100)</f>
        <v/>
      </c>
      <c r="K1004">
        <f>J1004*(1+((Inputs!$B$12*(1+Inputs!$B$13/100))*0.01+Inputs!$B$14*0.0025)/100)*(1+Inputs!$B$15/100)*(1+Inputs!$B$16/100)*(5000/(6000+Inputs!$B$42*(1-(Inputs!$B$19+((C1026=TRUE)*(F1026-Calc!F27)))/100)))*(1+(Inputs!$B$24+((C1024=TRUE)*(F1024-Calc!F25))+((C1025=TRUE)*(F1025-Calc!F26))+B1038)/100)*(1+4.0*IF(C1009=TRUE,F1009,0)/100)*(1+(IF(Skills!A5="ARROW_STREAM",Inputs!$B$17+((C1022=TRUE)*(F1022-Calc!F23)),Inputs!$B$18+((C1027=TRUE)*(F1027-Calc!F28))))/100)*((1+(((C1012=TRUE)*F1012)+((C1013=TRUE)*IF(Inputs!$B$38="pvp",F1013,(1-Summary!$B$55)*(F1013)+Summary!$B$55*(0)))+((C1014=TRUE)*F1014*IF(AND(Inputs!$B$38&lt;&gt;"pvp",Inputs!$B$43&gt;0),(((R1014-1)*(Skills!T15*(1+Inputs!$B$34/100))+MIN((Skills!T15*(1+Inputs!$B$34/100)),MAX(0,Inputs!$B$43-((R1014-1)*Skills!D15))))/Inputs!$B$43),IF(Inputs!$B$38="pvp",MIN((Skills!T15*(1+Inputs!$B$34/100)),15)/15,(Skills!T15*(1+Inputs!$B$34/100))/Skills!D15)))+((C1029=TRUE)*(F1029-Calc!F30)))/100)*I1004)</f>
        <v/>
      </c>
      <c r="L1004">
        <f>K1004*(MIN(Inputs!$B$22+((C1023=TRUE)*(F1023-Calc!F24)),Inputs!$B$23+((C1028=TRUE)*(F1028-Calc!F29)))/100+(Inputs!$B$23+((C1028=TRUE)*(F1028-Calc!F29)))/100)/2</f>
        <v/>
      </c>
      <c r="M1004">
        <f>L1004*(1+(Inputs!$B$10+0+B1037)/100)</f>
        <v/>
      </c>
      <c r="N1004">
        <f>L1004*(1-MIN((Inputs!$B$9+((C1019=TRUE)*(F1019-Calc!F20))+B1032),100)/100)+M1004*(MIN((Inputs!$B$9+((C1019=TRUE)*(F1019-Calc!F20))+B1032),100)/100)</f>
        <v/>
      </c>
      <c r="O1004">
        <f>(1-Summary!$B$55)*T1004+Summary!$B$55*V1004</f>
        <v/>
      </c>
      <c r="P1004">
        <f>IF(B1042=0,0,O1004/B1042)</f>
        <v/>
      </c>
      <c r="Q1004">
        <f>IFERROR(1/IF(Inputs!$B$38="pvp",15,MAX(0.1,Skills!D5-IF(Skills!E5=TRUE,Inputs!$B$32,0))),0)</f>
        <v/>
      </c>
      <c r="R1004">
        <f>IF(AND(Inputs!$B$38&lt;&gt;"pvp",Inputs!$B$43&gt;0),IF(MAX(0,Inputs!$B$43-B1039)&lt;=0,0,(INT(MAX(0,Inputs!$B$43-B1039)/IF(Inputs!$B$38="pvp",15,MAX(0.1,Skills!D5-IF(Skills!E5=TRUE,Inputs!$B$32,0))))+1)),0)</f>
        <v/>
      </c>
      <c r="S1004">
        <f>IFERROR(O1004/N1004,0)</f>
        <v/>
      </c>
      <c r="T1004">
        <f>IF(C1004,(H1004*N1004*IF(AND(Inputs!$B$38&lt;&gt;"pvp",Inputs!$B$43&gt;0),((Skills!G5*((R1004-1)*IF(Skills!H5&gt;0,Skills!I5/Skills!H5,1)+IF(Skills!H5&gt;0,MIN(Skills!I5,MAX(0,MAX(0,Inputs!$B$43-B1039)-((R1004-1)*IF(Inputs!$B$38="pvp",15,MAX(0.1,Skills!D5-IF(Skills!E5=TRUE,Inputs!$B$32,0))))))/Skills!H5,1)))/Inputs!$B$43),G1004*Q1004))*IF(Inputs!$B$38="pvp",1,1+(Inputs!$B$20+0+Skills!P5)/100),0)</f>
        <v/>
      </c>
      <c r="V1004">
        <f>IF(C1004,(H1004*N1004*IF(AND(Inputs!$B$38&lt;&gt;"pvp",Inputs!$B$43&gt;0),((Skills!G5*((R1004-1)*IF(Skills!H5&gt;0,Skills!I5/Skills!H5,1)+IF(Skills!H5&gt;0,MIN(Skills!I5,MAX(0,MAX(0,Inputs!$B$43-B1039)-((R1004-1)*IF(Inputs!$B$38="pvp",15,MAX(0.1,Skills!D5-IF(Skills!E5=TRUE,Inputs!$B$32,0))))))/Skills!H5,1)))/Inputs!$B$43),G1004*Q1004))*IF(Inputs!$B$38="pvp",1,(1+(Inputs!$B$21+Skills!Q5)/100)*(MIN(Skills!R5,Inputs!$B$37))),0)</f>
        <v/>
      </c>
    </row>
    <row r="1005">
      <c r="A1005">
        <f>Skills!A6</f>
        <v/>
      </c>
      <c r="B1005">
        <f>Skills!B6</f>
        <v/>
      </c>
      <c r="C1005">
        <f>Inputs!$B$3&gt;=40</f>
        <v/>
      </c>
      <c r="D1005">
        <f>IF(Skills!C6=1,60+Inputs!$B$25+Inputs!$B$29,IF(Skills!C6=2,90+Inputs!$B$26+Inputs!$B$29,IF(Skills!C6=3,120+Inputs!$B$27+Inputs!$B$29,MAX(0,(Inputs!$B$3-100)*3)+Inputs!$B$28+Inputs!$B$29)))</f>
        <v/>
      </c>
      <c r="E1005">
        <f>INDEX(FactorTable!$B$2:$Y$301, MATCH(ROUND(MIN(300,MAX(1,D1005)),0), FactorTable!$A$2:$A$301,0), Skills!M6+1)</f>
        <v/>
      </c>
      <c r="F1005">
        <f>IF(Skills!N6=TRUE,(Skills!L6/10)*(E1005/1000),Skills!L6/10)+Skills!O6</f>
        <v/>
      </c>
      <c r="G1005">
        <f>Skills!G6*IF(Skills!H6&gt;0,Skills!I6/Skills!H6,1)</f>
        <v/>
      </c>
      <c r="H1005">
        <f>1-(1-Skills!J6/100)^Skills!K6</f>
        <v/>
      </c>
      <c r="I1005" t="inlineStr">
        <is>
          <t>1</t>
        </is>
      </c>
      <c r="J1005">
        <f>(((Inputs!$B$6+1)*(1+Inputs!$B$7/100))+(((Inputs!$B$12*(1+Inputs!$B$13/100))-(Inputs!$B$12*(1+Inputs!$B$13/100)))+0.25*(Inputs!$B$14-Inputs!$B$14))*(1+Inputs!$B$7/100))*(F1005/100)</f>
        <v/>
      </c>
      <c r="K1005">
        <f>J1005*(1+((Inputs!$B$12*(1+Inputs!$B$13/100))*0.01+Inputs!$B$14*0.0025)/100)*(1+Inputs!$B$15/100)*(1+Inputs!$B$16/100)*(5000/(6000+Inputs!$B$42*(1-(Inputs!$B$19+((C1026=TRUE)*(F1026-Calc!F27)))/100)))*(1+(Inputs!$B$24+((C1024=TRUE)*(F1024-Calc!F25))+((C1025=TRUE)*(F1025-Calc!F26))+B1038)/100)*(1+IF(C1006=TRUE,F1006,0)/100)*(1+(IF(Skills!A6="ARROW_STREAM",Inputs!$B$17+((C1022=TRUE)*(F1022-Calc!F23)),Inputs!$B$18+((C1027=TRUE)*(F1027-Calc!F28))))/100)*((1+(((C1012=TRUE)*F1012)+((C1013=TRUE)*IF(Inputs!$B$38="pvp",F1013,(1-Summary!$B$55)*(F1013)+Summary!$B$55*(0)))+((C1014=TRUE)*F1014*IF(AND(Inputs!$B$38&lt;&gt;"pvp",Inputs!$B$43&gt;0),(((R1014-1)*(Skills!T15*(1+Inputs!$B$34/100))+MIN((Skills!T15*(1+Inputs!$B$34/100)),MAX(0,Inputs!$B$43-((R1014-1)*Skills!D15))))/Inputs!$B$43),IF(Inputs!$B$38="pvp",MIN((Skills!T15*(1+Inputs!$B$34/100)),15)/15,(Skills!T15*(1+Inputs!$B$34/100))/Skills!D15)))+((C1029=TRUE)*(F1029-Calc!F30)))/100)*I1005)</f>
        <v/>
      </c>
      <c r="L1005">
        <f>K1005*(MIN(Inputs!$B$22+((C1023=TRUE)*(F1023-Calc!F24)),Inputs!$B$23+((C1028=TRUE)*(F1028-Calc!F29)))/100+(Inputs!$B$23+((C1028=TRUE)*(F1028-Calc!F29)))/100)/2</f>
        <v/>
      </c>
      <c r="M1005">
        <f>L1005*(1+(Inputs!$B$10+0+B1037)/100)</f>
        <v/>
      </c>
      <c r="N1005">
        <f>L1005*(1-MIN((Inputs!$B$9+((C1019=TRUE)*(F1019-Calc!F20))+B1032),100)/100)+M1005*(MIN((Inputs!$B$9+((C1019=TRUE)*(F1019-Calc!F20))+B1032),100)/100)</f>
        <v/>
      </c>
      <c r="O1005">
        <f>(1-Summary!$B$55)*T1005+Summary!$B$55*V1005</f>
        <v/>
      </c>
      <c r="P1005">
        <f>IF(B1042=0,0,O1005/B1042)</f>
        <v/>
      </c>
      <c r="Q1005">
        <f>IFERROR(1/IF(Inputs!$B$38="pvp",15,MAX(0.1,Skills!D6-IF(Skills!E6=TRUE,Inputs!$B$32,0))),0)</f>
        <v/>
      </c>
      <c r="R1005">
        <f>IF(AND(Inputs!$B$38&lt;&gt;"pvp",Inputs!$B$43&gt;0),IF(MAX(0,Inputs!$B$43-B1039)&lt;=0,0,(INT(MAX(0,Inputs!$B$43-B1039)/IF(Inputs!$B$38="pvp",15,MAX(0.1,Skills!D6-IF(Skills!E6=TRUE,Inputs!$B$32,0))))+1)),0)</f>
        <v/>
      </c>
      <c r="S1005">
        <f>IFERROR(O1005/N1005,0)</f>
        <v/>
      </c>
      <c r="T1005">
        <f>IF(C1005,(H1005*N1005*IF(AND(Inputs!$B$38&lt;&gt;"pvp",Inputs!$B$43&gt;0),((Skills!G6*((R1005-1)*IF(Skills!H6&gt;0,Skills!I6/Skills!H6,1)+IF(Skills!H6&gt;0,MIN(Skills!I6,MAX(0,MAX(0,Inputs!$B$43-B1039)-((R1005-1)*IF(Inputs!$B$38="pvp",15,MAX(0.1,Skills!D6-IF(Skills!E6=TRUE,Inputs!$B$32,0))))))/Skills!H6,1)))/Inputs!$B$43),G1005*Q1005))*IF(Inputs!$B$38="pvp",1,1+(Inputs!$B$20+0+Skills!P6)/100),0)</f>
        <v/>
      </c>
      <c r="V1005">
        <f>IF(C1005,(H1005*N1005*IF(AND(Inputs!$B$38&lt;&gt;"pvp",Inputs!$B$43&gt;0),((Skills!G6*((R1005-1)*IF(Skills!H6&gt;0,Skills!I6/Skills!H6,1)+IF(Skills!H6&gt;0,MIN(Skills!I6,MAX(0,MAX(0,Inputs!$B$43-B1039)-((R1005-1)*IF(Inputs!$B$38="pvp",15,MAX(0.1,Skills!D6-IF(Skills!E6=TRUE,Inputs!$B$32,0))))))/Skills!H6,1)))/Inputs!$B$43),G1005*Q1005))*IF(Inputs!$B$38="pvp",1,(1+(Inputs!$B$21+Skills!Q6)/100)*(MIN(Skills!R6,Inputs!$B$37))),0)</f>
        <v/>
      </c>
    </row>
    <row r="1006">
      <c r="A1006">
        <f>Skills!A7</f>
        <v/>
      </c>
      <c r="B1006">
        <f>Skills!B7</f>
        <v/>
      </c>
      <c r="C1006">
        <f>Inputs!$B$3&gt;=107</f>
        <v/>
      </c>
      <c r="D1006">
        <f>IF(Skills!C7=1,60+Inputs!$B$25+Inputs!$B$29,IF(Skills!C7=2,90+Inputs!$B$26+Inputs!$B$29,IF(Skills!C7=3,120+Inputs!$B$27+Inputs!$B$29,MAX(0,(Inputs!$B$3-100)*3)+Inputs!$B$28+Inputs!$B$29)))</f>
        <v/>
      </c>
      <c r="E1006">
        <f>INDEX(FactorTable!$B$2:$Y$301, MATCH(ROUND(MIN(300,MAX(1,D1006)),0), FactorTable!$A$2:$A$301,0), Skills!M7+1)</f>
        <v/>
      </c>
      <c r="F1006">
        <f>IF(Skills!N7=TRUE,(Skills!L7/10)*(E1006/1000),Skills!L7/10)+Skills!O7</f>
        <v/>
      </c>
      <c r="G1006" t="inlineStr"/>
      <c r="H1006" t="inlineStr"/>
      <c r="I1006" t="inlineStr">
        <is>
          <t>1</t>
        </is>
      </c>
      <c r="J1006" t="inlineStr"/>
      <c r="K1006" t="inlineStr"/>
      <c r="L1006" t="inlineStr"/>
      <c r="M1006" t="inlineStr"/>
      <c r="N1006" t="inlineStr"/>
      <c r="O1006" t="inlineStr"/>
      <c r="P1006" t="inlineStr"/>
      <c r="Q1006" t="inlineStr"/>
      <c r="R1006" t="inlineStr"/>
      <c r="S1006" t="inlineStr"/>
      <c r="T1006" t="inlineStr"/>
      <c r="V1006" t="inlineStr"/>
    </row>
    <row r="1007">
      <c r="A1007">
        <f>Skills!A8</f>
        <v/>
      </c>
      <c r="B1007">
        <f>Skills!B8</f>
        <v/>
      </c>
      <c r="C1007">
        <f>Inputs!$B$3&gt;=69</f>
        <v/>
      </c>
      <c r="D1007">
        <f>IF(Skills!C8=1,60+Inputs!$B$25+Inputs!$B$29,IF(Skills!C8=2,90+Inputs!$B$26+Inputs!$B$29,IF(Skills!C8=3,120+Inputs!$B$27+Inputs!$B$29,MAX(0,(Inputs!$B$3-100)*3)+Inputs!$B$28+Inputs!$B$29)))</f>
        <v/>
      </c>
      <c r="E1007">
        <f>INDEX(FactorTable!$B$2:$Y$301, MATCH(ROUND(MIN(300,MAX(1,D1007)),0), FactorTable!$A$2:$A$301,0), Skills!M8+1)</f>
        <v/>
      </c>
      <c r="F1007">
        <f>IF(Skills!N8=TRUE,(Skills!L8/10)*(E1007/1000),Skills!L8/10)+Skills!O8</f>
        <v/>
      </c>
      <c r="G1007">
        <f>Skills!G8*IF(Skills!H8&gt;0,Skills!I8/Skills!H8,1)</f>
        <v/>
      </c>
      <c r="H1007">
        <f>1-(1-Skills!J8/100)^Skills!K8</f>
        <v/>
      </c>
      <c r="I1007" t="inlineStr">
        <is>
          <t>1</t>
        </is>
      </c>
      <c r="J1007">
        <f>(((Inputs!$B$6+1)*(1+Inputs!$B$7/100))+(((Inputs!$B$12*(1+Inputs!$B$13/100))-(Inputs!$B$12*(1+Inputs!$B$13/100)))+0.25*(Inputs!$B$14-Inputs!$B$14))*(1+Inputs!$B$7/100))*(F1007/100)</f>
        <v/>
      </c>
      <c r="K1007">
        <f>J1007*(1+((Inputs!$B$12*(1+Inputs!$B$13/100))*0.01+Inputs!$B$14*0.0025)/100)*(1+Inputs!$B$15/100)*(1+Inputs!$B$16/100)*(5000/(6000+Inputs!$B$42*(1-(Inputs!$B$19+((C1026=TRUE)*(F1026-Calc!F27)))/100)))*(1+(Inputs!$B$24+((C1024=TRUE)*(F1024-Calc!F25))+((C1025=TRUE)*(F1025-Calc!F26))+B1038)/100)*(1+1.2*IF(C1009=TRUE,F1009,0)/100)*(1+(IF(Skills!A8="ARROW_STREAM",Inputs!$B$17+((C1022=TRUE)*(F1022-Calc!F23)),Inputs!$B$18+((C1027=TRUE)*(F1027-Calc!F28))))/100)*((1+(((C1012=TRUE)*F1012)+((C1013=TRUE)*IF(Inputs!$B$38="pvp",F1013,(1-Summary!$B$55)*(F1013)+Summary!$B$55*(0)))+((C1014=TRUE)*F1014*IF(AND(Inputs!$B$38&lt;&gt;"pvp",Inputs!$B$43&gt;0),(((R1014-1)*(Skills!T15*(1+Inputs!$B$34/100))+MIN((Skills!T15*(1+Inputs!$B$34/100)),MAX(0,Inputs!$B$43-((R1014-1)*Skills!D15))))/Inputs!$B$43),IF(Inputs!$B$38="pvp",MIN((Skills!T15*(1+Inputs!$B$34/100)),15)/15,(Skills!T15*(1+Inputs!$B$34/100))/Skills!D15)))+((C1029=TRUE)*(F1029-Calc!F30)))/100)*I1007)</f>
        <v/>
      </c>
      <c r="L1007">
        <f>K1007*(MIN(Inputs!$B$22+((C1023=TRUE)*(F1023-Calc!F24)),Inputs!$B$23+((C1028=TRUE)*(F1028-Calc!F29)))/100+(Inputs!$B$23+((C1028=TRUE)*(F1028-Calc!F29)))/100)/2</f>
        <v/>
      </c>
      <c r="M1007">
        <f>L1007*(1+(Inputs!$B$10+0+B1037)/100)</f>
        <v/>
      </c>
      <c r="N1007">
        <f>L1007*(1-MIN((Inputs!$B$9+((C1019=TRUE)*(F1019-Calc!F20))+B1032),100)/100)+M1007*(MIN((Inputs!$B$9+((C1019=TRUE)*(F1019-Calc!F20))+B1032),100)/100)</f>
        <v/>
      </c>
      <c r="O1007">
        <f>(1-Summary!$B$55)*T1007+Summary!$B$55*V1007</f>
        <v/>
      </c>
      <c r="P1007">
        <f>IF(B1042=0,0,O1007/B1042)</f>
        <v/>
      </c>
      <c r="Q1007">
        <f>IFERROR(1/IF(Inputs!$B$38="pvp",15,MAX(0.1,Skills!D8-IF(Skills!E8=TRUE,Inputs!$B$32,0))),0)</f>
        <v/>
      </c>
      <c r="R1007">
        <f>IF(AND(Inputs!$B$38&lt;&gt;"pvp",Inputs!$B$43&gt;0),IF(MAX(0,Inputs!$B$43-B1039)&lt;=0,0,(INT(MAX(0,Inputs!$B$43-B1039)/IF(Inputs!$B$38="pvp",15,MAX(0.1,Skills!D8-IF(Skills!E8=TRUE,Inputs!$B$32,0))))+1)),0)</f>
        <v/>
      </c>
      <c r="S1007">
        <f>IFERROR(O1007/N1007,0)</f>
        <v/>
      </c>
      <c r="T1007">
        <f>IF(C1007,(H1007*N1007*IF(AND(Inputs!$B$38&lt;&gt;"pvp",Inputs!$B$43&gt;0),((Skills!G8*((R1007-1)*IF(Skills!H8&gt;0,Skills!I8/Skills!H8,1)+IF(Skills!H8&gt;0,MIN(Skills!I8,MAX(0,MAX(0,Inputs!$B$43-B1039)-((R1007-1)*IF(Inputs!$B$38="pvp",15,MAX(0.1,Skills!D8-IF(Skills!E8=TRUE,Inputs!$B$32,0))))))/Skills!H8,1)))/Inputs!$B$43),G1007*Q1007))*IF(Inputs!$B$38="pvp",1,1+(Inputs!$B$20+0+Skills!P8)/100),0)</f>
        <v/>
      </c>
      <c r="V1007">
        <f>IF(C1007,(H1007*N1007*IF(AND(Inputs!$B$38&lt;&gt;"pvp",Inputs!$B$43&gt;0),((Skills!G8*((R1007-1)*IF(Skills!H8&gt;0,Skills!I8/Skills!H8,1)+IF(Skills!H8&gt;0,MIN(Skills!I8,MAX(0,MAX(0,Inputs!$B$43-B1039)-((R1007-1)*IF(Inputs!$B$38="pvp",15,MAX(0.1,Skills!D8-IF(Skills!E8=TRUE,Inputs!$B$32,0))))))/Skills!H8,1)))/Inputs!$B$43),G1007*Q1007))*IF(Inputs!$B$38="pvp",1,(1+(Inputs!$B$21+Skills!Q8)/100)*(MIN(Skills!R8,Inputs!$B$37))),0)</f>
        <v/>
      </c>
    </row>
    <row r="1008">
      <c r="A1008">
        <f>Skills!A9</f>
        <v/>
      </c>
      <c r="B1008">
        <f>Skills!B9</f>
        <v/>
      </c>
      <c r="C1008">
        <f>Inputs!$B$3&gt;=63</f>
        <v/>
      </c>
      <c r="D1008">
        <f>IF(Skills!C9=1,60+Inputs!$B$25+Inputs!$B$29,IF(Skills!C9=2,90+Inputs!$B$26+Inputs!$B$29,IF(Skills!C9=3,120+Inputs!$B$27+Inputs!$B$29,MAX(0,(Inputs!$B$3-100)*3)+Inputs!$B$28+Inputs!$B$29)))</f>
        <v/>
      </c>
      <c r="E1008">
        <f>INDEX(FactorTable!$B$2:$Y$301, MATCH(ROUND(MIN(300,MAX(1,D1008)),0), FactorTable!$A$2:$A$301,0), Skills!M9+1)</f>
        <v/>
      </c>
      <c r="F1008">
        <f>IF(Skills!N9=TRUE,(Skills!L9/10)*(E1008/1000),Skills!L9/10)+Skills!O9</f>
        <v/>
      </c>
      <c r="G1008">
        <f>Skills!G9*IF(Skills!H9&gt;0,Skills!I9/Skills!H9,1)</f>
        <v/>
      </c>
      <c r="H1008">
        <f>1-(1-Skills!J9/100)^Skills!K9</f>
        <v/>
      </c>
      <c r="I1008" t="inlineStr">
        <is>
          <t>1</t>
        </is>
      </c>
      <c r="J1008">
        <f>(((Inputs!$B$6+1)*(1+Inputs!$B$7/100))+(((Inputs!$B$12*(1+Inputs!$B$13/100))-(Inputs!$B$12*(1+Inputs!$B$13/100)))+0.25*(Inputs!$B$14-Inputs!$B$14))*(1+Inputs!$B$7/100))*(F1008/100)</f>
        <v/>
      </c>
      <c r="K1008">
        <f>J1008*(1+((Inputs!$B$12*(1+Inputs!$B$13/100))*0.01+Inputs!$B$14*0.0025)/100)*(1+Inputs!$B$15/100)*(1+Inputs!$B$16/100)*(5000/(6000+Inputs!$B$42*(1-(Inputs!$B$19+((C1026=TRUE)*(F1026-Calc!F27)))/100)))*(1+(Inputs!$B$24+((C1024=TRUE)*(F1024-Calc!F25))+((C1025=TRUE)*(F1025-Calc!F26))+B1038)/100)*(1+1.0*IF(C1009=TRUE,F1009,0)/100)*(1+(IF(Skills!A9="ARROW_STREAM",Inputs!$B$17+((C1022=TRUE)*(F1022-Calc!F23)),Inputs!$B$18+((C1027=TRUE)*(F1027-Calc!F28))))/100)*((1+(((C1012=TRUE)*F1012)+((C1013=TRUE)*IF(Inputs!$B$38="pvp",F1013,(1-Summary!$B$55)*(F1013)+Summary!$B$55*(0)))+((C1014=TRUE)*F1014*IF(AND(Inputs!$B$38&lt;&gt;"pvp",Inputs!$B$43&gt;0),(((R1014-1)*(Skills!T15*(1+Inputs!$B$34/100))+MIN((Skills!T15*(1+Inputs!$B$34/100)),MAX(0,Inputs!$B$43-((R1014-1)*Skills!D15))))/Inputs!$B$43),IF(Inputs!$B$38="pvp",MIN((Skills!T15*(1+Inputs!$B$34/100)),15)/15,(Skills!T15*(1+Inputs!$B$34/100))/Skills!D15)))+((C1029=TRUE)*(F1029-Calc!F30)))/100)*I1008)</f>
        <v/>
      </c>
      <c r="L1008">
        <f>K1008*(MIN(Inputs!$B$22+((C1023=TRUE)*(F1023-Calc!F24)),Inputs!$B$23+((C1028=TRUE)*(F1028-Calc!F29)))/100+(Inputs!$B$23+((C1028=TRUE)*(F1028-Calc!F29)))/100)/2</f>
        <v/>
      </c>
      <c r="M1008">
        <f>L1008*(1+(Inputs!$B$10+0+B1037)/100)</f>
        <v/>
      </c>
      <c r="N1008">
        <f>L1008*(1-MIN((Inputs!$B$9+((C1019=TRUE)*(F1019-Calc!F20))+B1032),100)/100)+M1008*(MIN((Inputs!$B$9+((C1019=TRUE)*(F1019-Calc!F20))+B1032),100)/100)</f>
        <v/>
      </c>
      <c r="O1008">
        <f>(1-Summary!$B$55)*T1008+Summary!$B$55*V1008</f>
        <v/>
      </c>
      <c r="P1008">
        <f>IF(B1042=0,0,O1008/B1042)</f>
        <v/>
      </c>
      <c r="Q1008">
        <f>IFERROR(1/IF(Inputs!$B$38="pvp",15,MAX(0.1,Skills!D9-IF(Skills!E9=TRUE,Inputs!$B$32,0))),0)</f>
        <v/>
      </c>
      <c r="R1008">
        <f>IF(AND(Inputs!$B$38&lt;&gt;"pvp",Inputs!$B$43&gt;0),IF(MAX(0,Inputs!$B$43-B1039)&lt;=0,0,(INT(MAX(0,Inputs!$B$43-B1039)/IF(Inputs!$B$38="pvp",15,MAX(0.1,Skills!D9-IF(Skills!E9=TRUE,Inputs!$B$32,0))))+1)),0)</f>
        <v/>
      </c>
      <c r="S1008">
        <f>IFERROR(O1008/N1008,0)</f>
        <v/>
      </c>
      <c r="T1008">
        <f>IF(C1008,(H1008*N1008*IF(AND(Inputs!$B$38&lt;&gt;"pvp",Inputs!$B$43&gt;0),((Skills!G9*((R1008-1)*IF(Skills!H9&gt;0,Skills!I9/Skills!H9,1)+IF(Skills!H9&gt;0,MIN(Skills!I9,MAX(0,MAX(0,Inputs!$B$43-B1039)-((R1008-1)*IF(Inputs!$B$38="pvp",15,MAX(0.1,Skills!D9-IF(Skills!E9=TRUE,Inputs!$B$32,0))))))/Skills!H9,1)))/Inputs!$B$43),G1008*Q1008))*IF(Inputs!$B$38="pvp",1,1+(Inputs!$B$20+0+Skills!P9)/100),0)</f>
        <v/>
      </c>
      <c r="V1008">
        <f>IF(C1008,(H1008*N1008*IF(AND(Inputs!$B$38&lt;&gt;"pvp",Inputs!$B$43&gt;0),((Skills!G9*((R1008-1)*IF(Skills!H9&gt;0,Skills!I9/Skills!H9,1)+IF(Skills!H9&gt;0,MIN(Skills!I9,MAX(0,MAX(0,Inputs!$B$43-B1039)-((R1008-1)*IF(Inputs!$B$38="pvp",15,MAX(0.1,Skills!D9-IF(Skills!E9=TRUE,Inputs!$B$32,0))))))/Skills!H9,1)))/Inputs!$B$43),G1008*Q1008))*IF(Inputs!$B$38="pvp",1,(1+(Inputs!$B$21+Skills!Q9)/100)*(MIN(Skills!R9,Inputs!$B$37))),0)</f>
        <v/>
      </c>
    </row>
    <row r="1009">
      <c r="A1009">
        <f>Skills!A10</f>
        <v/>
      </c>
      <c r="B1009">
        <f>Skills!B10</f>
        <v/>
      </c>
      <c r="C1009">
        <f>Inputs!$B$3&gt;=100</f>
        <v/>
      </c>
      <c r="D1009">
        <f>IF(Skills!C10=1,60+Inputs!$B$25+Inputs!$B$29,IF(Skills!C10=2,90+Inputs!$B$26+Inputs!$B$29,IF(Skills!C10=3,120+Inputs!$B$27+Inputs!$B$29,MAX(0,(Inputs!$B$3-100)*3)+Inputs!$B$28+Inputs!$B$29)))</f>
        <v/>
      </c>
      <c r="E1009">
        <f>INDEX(FactorTable!$B$2:$Y$301, MATCH(ROUND(MIN(300,MAX(1,D1009)),0), FactorTable!$A$2:$A$301,0), Skills!M10+1)</f>
        <v/>
      </c>
      <c r="F1009">
        <f>IF(Skills!N10=TRUE,(Skills!L10/10)*(E1009/1000),Skills!L10/10)+Skills!O10</f>
        <v/>
      </c>
      <c r="G1009" t="inlineStr"/>
      <c r="H1009" t="inlineStr"/>
      <c r="I1009" t="inlineStr">
        <is>
          <t>1</t>
        </is>
      </c>
      <c r="J1009" t="inlineStr"/>
      <c r="K1009" t="inlineStr"/>
      <c r="L1009" t="inlineStr"/>
      <c r="M1009" t="inlineStr"/>
      <c r="N1009" t="inlineStr"/>
      <c r="O1009" t="inlineStr"/>
      <c r="P1009" t="inlineStr"/>
      <c r="Q1009" t="inlineStr"/>
      <c r="R1009" t="inlineStr"/>
      <c r="S1009" t="inlineStr"/>
      <c r="T1009" t="inlineStr"/>
      <c r="V1009" t="inlineStr"/>
    </row>
    <row r="1010">
      <c r="A1010">
        <f>Skills!A11</f>
        <v/>
      </c>
      <c r="B1010">
        <f>Skills!B11</f>
        <v/>
      </c>
      <c r="C1010">
        <f>Inputs!$B$3&gt;=60</f>
        <v/>
      </c>
      <c r="D1010">
        <f>IF(Skills!C11=1,60+Inputs!$B$25+Inputs!$B$29,IF(Skills!C11=2,90+Inputs!$B$26+Inputs!$B$29,IF(Skills!C11=3,120+Inputs!$B$27+Inputs!$B$29,MAX(0,(Inputs!$B$3-100)*3)+Inputs!$B$28+Inputs!$B$29)))</f>
        <v/>
      </c>
      <c r="E1010">
        <f>INDEX(FactorTable!$B$2:$Y$301, MATCH(ROUND(MIN(300,MAX(1,D1010)),0), FactorTable!$A$2:$A$301,0), Skills!M11+1)</f>
        <v/>
      </c>
      <c r="F1010">
        <f>IF(Skills!N11=TRUE,(Skills!L11/10)*(E1010/1000),Skills!L11/10)+Skills!O11</f>
        <v/>
      </c>
      <c r="G1010">
        <f>Skills!G11*IF(Skills!H11&gt;0,Skills!I11/Skills!H11,1)</f>
        <v/>
      </c>
      <c r="H1010">
        <f>1-(1-Skills!J11/100)^Skills!K11</f>
        <v/>
      </c>
      <c r="I1010" t="inlineStr">
        <is>
          <t>1</t>
        </is>
      </c>
      <c r="J1010">
        <f>(((Inputs!$B$6+1)*(1+Inputs!$B$7/100))+(((Inputs!$B$12*(1+Inputs!$B$13/100))-(Inputs!$B$12*(1+Inputs!$B$13/100)))+0.25*(Inputs!$B$14-Inputs!$B$14))*(1+Inputs!$B$7/100))*(F1010/100)</f>
        <v/>
      </c>
      <c r="K1010">
        <f>J1010*(1+((Inputs!$B$12*(1+Inputs!$B$13/100))*0.01+Inputs!$B$14*0.0025)/100)*(1+Inputs!$B$15/100)*(1+Inputs!$B$16/100)*(5000/(6000+Inputs!$B$42*(1-(Inputs!$B$19+((C1026=TRUE)*(F1026-Calc!F27)))/100)))*(1+(Inputs!$B$24+((C1024=TRUE)*(F1024-Calc!F25))+((C1025=TRUE)*(F1025-Calc!F26))+B1038)/100)*(1+IF(C1011=TRUE,F1011,0)/100)*(1+(IF(Skills!A11="ARROW_STREAM",Inputs!$B$17+((C1022=TRUE)*(F1022-Calc!F23)),Inputs!$B$18+((C1027=TRUE)*(F1027-Calc!F28))))/100)*((1+(((C1012=TRUE)*F1012)+((C1013=TRUE)*IF(Inputs!$B$38="pvp",F1013,(1-Summary!$B$55)*(F1013)+Summary!$B$55*(0)))+((C1014=TRUE)*F1014*IF(AND(Inputs!$B$38&lt;&gt;"pvp",Inputs!$B$43&gt;0),(((R1014-1)*(Skills!T15*(1+Inputs!$B$34/100))+MIN((Skills!T15*(1+Inputs!$B$34/100)),MAX(0,Inputs!$B$43-((R1014-1)*Skills!D15))))/Inputs!$B$43),IF(Inputs!$B$38="pvp",MIN((Skills!T15*(1+Inputs!$B$34/100)),15)/15,(Skills!T15*(1+Inputs!$B$34/100))/Skills!D15)))+((C1029=TRUE)*(F1029-Calc!F30)))/100)*I1010)</f>
        <v/>
      </c>
      <c r="L1010">
        <f>K1010*(MIN(Inputs!$B$22+((C1023=TRUE)*(F1023-Calc!F24)),Inputs!$B$23+((C1028=TRUE)*(F1028-Calc!F29)))/100+(Inputs!$B$23+((C1028=TRUE)*(F1028-Calc!F29)))/100)/2</f>
        <v/>
      </c>
      <c r="M1010">
        <f>L1010*(1+(Inputs!$B$10+0+B1037)/100)</f>
        <v/>
      </c>
      <c r="N1010">
        <f>L1010*(1-MIN((Inputs!$B$9+((C1019=TRUE)*(F1019-Calc!F20))+B1032),100)/100)+M1010*(MIN((Inputs!$B$9+((C1019=TRUE)*(F1019-Calc!F20))+B1032),100)/100)</f>
        <v/>
      </c>
      <c r="O1010">
        <f>(1-Summary!$B$55)*T1010+Summary!$B$55*V1010</f>
        <v/>
      </c>
      <c r="P1010">
        <f>IF(B1042=0,0,O1010/B1042)</f>
        <v/>
      </c>
      <c r="Q1010">
        <f>IFERROR(1/IF(Inputs!$B$38="pvp",15,MAX(0.1,Skills!D11-IF(Skills!E11=TRUE,Inputs!$B$32,0))),0)</f>
        <v/>
      </c>
      <c r="R1010">
        <f>IF(AND(Inputs!$B$38&lt;&gt;"pvp",Inputs!$B$43&gt;0),IF(MAX(0,Inputs!$B$43-B1039)&lt;=0,0,(INT(MAX(0,Inputs!$B$43-B1039)/IF(Inputs!$B$38="pvp",15,MAX(0.1,Skills!D11-IF(Skills!E11=TRUE,Inputs!$B$32,0))))+1)),0)</f>
        <v/>
      </c>
      <c r="S1010">
        <f>IFERROR(O1010/N1010,0)</f>
        <v/>
      </c>
      <c r="T1010">
        <f>IF(C1010,(H1010*N1010*IF(AND(Inputs!$B$38&lt;&gt;"pvp",Inputs!$B$43&gt;0),((Skills!G11*((R1010-1)*IF(Skills!H11&gt;0,Skills!I11/Skills!H11,1)+IF(Skills!H11&gt;0,MIN(Skills!I11,MAX(0,MAX(0,Inputs!$B$43-B1039)-((R1010-1)*IF(Inputs!$B$38="pvp",15,MAX(0.1,Skills!D11-IF(Skills!E11=TRUE,Inputs!$B$32,0))))))/Skills!H11,1)))/Inputs!$B$43),G1010*Q1010))*IF(Inputs!$B$38="pvp",1,1+(Inputs!$B$20+0+Skills!P11)/100),0)</f>
        <v/>
      </c>
      <c r="V1010">
        <f>IF(C1010,(H1010*N1010*IF(AND(Inputs!$B$38&lt;&gt;"pvp",Inputs!$B$43&gt;0),((Skills!G11*((R1010-1)*IF(Skills!H11&gt;0,Skills!I11/Skills!H11,1)+IF(Skills!H11&gt;0,MIN(Skills!I11,MAX(0,MAX(0,Inputs!$B$43-B1039)-((R1010-1)*IF(Inputs!$B$38="pvp",15,MAX(0.1,Skills!D11-IF(Skills!E11=TRUE,Inputs!$B$32,0))))))/Skills!H11,1)))/Inputs!$B$43),G1010*Q1010))*IF(Inputs!$B$38="pvp",1,(1+(Inputs!$B$21+Skills!Q11)/100)*(MIN(Skills!R11,Inputs!$B$37))),0)</f>
        <v/>
      </c>
    </row>
    <row r="1011">
      <c r="A1011">
        <f>Skills!A12</f>
        <v/>
      </c>
      <c r="B1011">
        <f>Skills!B12</f>
        <v/>
      </c>
      <c r="C1011">
        <f>Inputs!$B$3&gt;=110</f>
        <v/>
      </c>
      <c r="D1011">
        <f>IF(Skills!C12=1,60+Inputs!$B$25+Inputs!$B$29,IF(Skills!C12=2,90+Inputs!$B$26+Inputs!$B$29,IF(Skills!C12=3,120+Inputs!$B$27+Inputs!$B$29,MAX(0,(Inputs!$B$3-100)*3)+Inputs!$B$28+Inputs!$B$29)))</f>
        <v/>
      </c>
      <c r="E1011">
        <f>INDEX(FactorTable!$B$2:$Y$301, MATCH(ROUND(MIN(300,MAX(1,D1011)),0), FactorTable!$A$2:$A$301,0), Skills!M12+1)</f>
        <v/>
      </c>
      <c r="F1011">
        <f>IF(Skills!N12=TRUE,(Skills!L12/10)*(E1011/1000),Skills!L12/10)+Skills!O12</f>
        <v/>
      </c>
      <c r="G1011" t="inlineStr"/>
      <c r="H1011" t="inlineStr"/>
      <c r="I1011" t="inlineStr">
        <is>
          <t>1</t>
        </is>
      </c>
      <c r="J1011" t="inlineStr"/>
      <c r="K1011" t="inlineStr"/>
      <c r="L1011" t="inlineStr"/>
      <c r="M1011" t="inlineStr"/>
      <c r="N1011" t="inlineStr"/>
      <c r="O1011" t="inlineStr"/>
      <c r="P1011" t="inlineStr"/>
      <c r="Q1011" t="inlineStr"/>
      <c r="R1011" t="inlineStr"/>
      <c r="S1011" t="inlineStr"/>
      <c r="T1011" t="inlineStr"/>
      <c r="V1011" t="inlineStr"/>
    </row>
    <row r="1012">
      <c r="A1012">
        <f>Skills!A13</f>
        <v/>
      </c>
      <c r="B1012">
        <f>Skills!B13</f>
        <v/>
      </c>
      <c r="C1012">
        <f>Inputs!$B$3&gt;=74</f>
        <v/>
      </c>
      <c r="D1012">
        <f>IF(Skills!C13=1,60+Inputs!$B$25+Inputs!$B$29,IF(Skills!C13=2,90+Inputs!$B$26+Inputs!$B$29,IF(Skills!C13=3,120+Inputs!$B$27+Inputs!$B$29,MAX(0,(Inputs!$B$3-100)*3)+Inputs!$B$28+Inputs!$B$29)))</f>
        <v/>
      </c>
      <c r="E1012">
        <f>INDEX(FactorTable!$B$2:$Y$301, MATCH(ROUND(MIN(300,MAX(1,D1012)),0), FactorTable!$A$2:$A$301,0), Skills!M13+1)</f>
        <v/>
      </c>
      <c r="F1012">
        <f>IF(Skills!N13=TRUE,(Skills!L13/10)*(E1012/1000),Skills!L13/10)+Skills!O13</f>
        <v/>
      </c>
      <c r="G1012">
        <f>Skills!G13*IF(Skills!H13&gt;0,Skills!I13/Skills!H13,1)</f>
        <v/>
      </c>
      <c r="H1012">
        <f>1-(1-Skills!J13/100)^Skills!K13</f>
        <v/>
      </c>
      <c r="I1012" t="inlineStr">
        <is>
          <t>1</t>
        </is>
      </c>
      <c r="J1012" t="inlineStr"/>
      <c r="K1012" t="inlineStr"/>
      <c r="L1012" t="inlineStr"/>
      <c r="M1012" t="inlineStr"/>
      <c r="N1012" t="inlineStr"/>
      <c r="O1012">
        <f>(1-Summary!$B$55)*T1012+Summary!$B$55*V1012</f>
        <v/>
      </c>
      <c r="P1012">
        <f>IF(B1042=0,0,O1012/B1042)</f>
        <v/>
      </c>
      <c r="Q1012" t="n">
        <v>0</v>
      </c>
      <c r="R1012" t="n">
        <v>0</v>
      </c>
      <c r="S1012">
        <f>IFERROR(O1012/N1012,0)</f>
        <v/>
      </c>
      <c r="T1012" t="n">
        <v>0</v>
      </c>
      <c r="V1012" t="n">
        <v>0</v>
      </c>
    </row>
    <row r="1013">
      <c r="A1013">
        <f>Skills!A14</f>
        <v/>
      </c>
      <c r="B1013">
        <f>Skills!B14</f>
        <v/>
      </c>
      <c r="C1013">
        <f>Inputs!$B$3&gt;=74</f>
        <v/>
      </c>
      <c r="D1013">
        <f>IF(Skills!C14=1,60+Inputs!$B$25+Inputs!$B$29,IF(Skills!C14=2,90+Inputs!$B$26+Inputs!$B$29,IF(Skills!C14=3,120+Inputs!$B$27+Inputs!$B$29,MAX(0,(Inputs!$B$3-100)*3)+Inputs!$B$28+Inputs!$B$29)))</f>
        <v/>
      </c>
      <c r="E1013">
        <f>INDEX(FactorTable!$B$2:$Y$301, MATCH(ROUND(MIN(300,MAX(1,D1013)),0), FactorTable!$A$2:$A$301,0), Skills!M14+1)</f>
        <v/>
      </c>
      <c r="F1013">
        <f>IF(Skills!N14=TRUE,(Skills!L14/10)*(E1013/1000),Skills!L14/10)+Skills!O14</f>
        <v/>
      </c>
      <c r="G1013">
        <f>Skills!G14*IF(Skills!H14&gt;0,Skills!I14/Skills!H14,1)</f>
        <v/>
      </c>
      <c r="H1013">
        <f>1-(1-Skills!J14/100)^Skills!K14</f>
        <v/>
      </c>
      <c r="I1013" t="inlineStr">
        <is>
          <t>1</t>
        </is>
      </c>
      <c r="J1013" t="inlineStr"/>
      <c r="K1013" t="inlineStr"/>
      <c r="L1013" t="inlineStr"/>
      <c r="M1013" t="inlineStr"/>
      <c r="N1013" t="inlineStr"/>
      <c r="O1013">
        <f>(1-Summary!$B$55)*T1013+Summary!$B$55*V1013</f>
        <v/>
      </c>
      <c r="P1013">
        <f>IF(B1042=0,0,O1013/B1042)</f>
        <v/>
      </c>
      <c r="Q1013" t="n">
        <v>0</v>
      </c>
      <c r="R1013" t="n">
        <v>0</v>
      </c>
      <c r="S1013">
        <f>IFERROR(O1013/N1013,0)</f>
        <v/>
      </c>
      <c r="T1013" t="n">
        <v>0</v>
      </c>
      <c r="V1013" t="n">
        <v>0</v>
      </c>
    </row>
    <row r="1014">
      <c r="A1014">
        <f>Skills!A15</f>
        <v/>
      </c>
      <c r="B1014">
        <f>Skills!B15</f>
        <v/>
      </c>
      <c r="C1014">
        <f>Inputs!$B$3&gt;=117</f>
        <v/>
      </c>
      <c r="D1014">
        <f>IF(Skills!C15=1,60+Inputs!$B$25+Inputs!$B$29,IF(Skills!C15=2,90+Inputs!$B$26+Inputs!$B$29,IF(Skills!C15=3,120+Inputs!$B$27+Inputs!$B$29,MAX(0,(Inputs!$B$3-100)*3)+Inputs!$B$28+Inputs!$B$29)))</f>
        <v/>
      </c>
      <c r="E1014">
        <f>INDEX(FactorTable!$B$2:$Y$301, MATCH(ROUND(MIN(300,MAX(1,D1014)),0), FactorTable!$A$2:$A$301,0), Skills!M15+1)</f>
        <v/>
      </c>
      <c r="F1014">
        <f>IF(Skills!N15=TRUE,(Skills!L15/10)*(E1014/1000),Skills!L15/10)+Skills!O15</f>
        <v/>
      </c>
      <c r="G1014">
        <f>Skills!G15*IF(Skills!H15&gt;0,Skills!I15/Skills!H15,1)</f>
        <v/>
      </c>
      <c r="H1014">
        <f>1-(1-Skills!J15/100)^Skills!K15</f>
        <v/>
      </c>
      <c r="I1014" t="inlineStr">
        <is>
          <t>1</t>
        </is>
      </c>
      <c r="J1014" t="inlineStr"/>
      <c r="K1014" t="inlineStr"/>
      <c r="L1014" t="inlineStr"/>
      <c r="M1014" t="inlineStr"/>
      <c r="N1014" t="inlineStr"/>
      <c r="O1014">
        <f>(1-Summary!$B$55)*T1014+Summary!$B$55*V1014</f>
        <v/>
      </c>
      <c r="P1014">
        <f>IF(B1042=0,0,O1014/B1042)</f>
        <v/>
      </c>
      <c r="Q1014">
        <f>IFERROR(1/IF(Inputs!$B$38="pvp",15,MAX(0.1,Skills!D15-IF(Skills!E15=TRUE,Inputs!$B$32,0))),0)</f>
        <v/>
      </c>
      <c r="R1014">
        <f>IF(AND(Inputs!$B$38&lt;&gt;"pvp",Inputs!$B$43&gt;0),IF(Inputs!$B$43&lt;=0,0,(INT(Inputs!$B$43/IF(Inputs!$B$38="pvp",15,MAX(0.1,Skills!D15-IF(Skills!E15=TRUE,Inputs!$B$32,0))))+1)),0)</f>
        <v/>
      </c>
      <c r="S1014">
        <f>IFERROR(O1014/N1014,0)</f>
        <v/>
      </c>
      <c r="T1014" t="n">
        <v>0</v>
      </c>
      <c r="V1014" t="n">
        <v>0</v>
      </c>
    </row>
    <row r="1015">
      <c r="A1015">
        <f>Skills!A16</f>
        <v/>
      </c>
      <c r="B1015">
        <f>Skills!B16</f>
        <v/>
      </c>
      <c r="C1015">
        <f>Inputs!$B$3&gt;=115</f>
        <v/>
      </c>
      <c r="D1015">
        <f>IF(Skills!C16=1,60+Inputs!$B$25+Inputs!$B$29,IF(Skills!C16=2,90+Inputs!$B$26+Inputs!$B$29,IF(Skills!C16=3,120+Inputs!$B$27+Inputs!$B$29,MAX(0,(Inputs!$B$3-100)*3)+Inputs!$B$28+Inputs!$B$29)))</f>
        <v/>
      </c>
      <c r="E1015">
        <f>INDEX(FactorTable!$B$2:$Y$301, MATCH(ROUND(MIN(300,MAX(1,D1015)),0), FactorTable!$A$2:$A$301,0), Skills!M16+1)</f>
        <v/>
      </c>
      <c r="F1015">
        <f>IF(Skills!N16=TRUE,(Skills!L16/10)*(E1015/1000),Skills!L16/10)+Skills!O16</f>
        <v/>
      </c>
      <c r="G1015">
        <f>Skills!G16*IF(Skills!H16&gt;0,Skills!I16/Skills!H16,1)</f>
        <v/>
      </c>
      <c r="H1015">
        <f>1-(1-Skills!J16/100)^Skills!K16</f>
        <v/>
      </c>
      <c r="I1015" t="inlineStr">
        <is>
          <t>1</t>
        </is>
      </c>
      <c r="J1015" t="inlineStr"/>
      <c r="K1015" t="inlineStr"/>
      <c r="L1015" t="inlineStr"/>
      <c r="M1015" t="inlineStr"/>
      <c r="N1015" t="inlineStr"/>
      <c r="O1015">
        <f>(1-Summary!$B$55)*T1015+Summary!$B$55*V1015</f>
        <v/>
      </c>
      <c r="P1015">
        <f>IF(B1042=0,0,O1015/B1042)</f>
        <v/>
      </c>
      <c r="Q1015">
        <f>IFERROR(1/IF(Inputs!$B$38="pvp",15,MAX(0.1,Skills!D16-IF(Skills!E16=TRUE,Inputs!$B$32,0))),0)</f>
        <v/>
      </c>
      <c r="R1015">
        <f>IF(AND(Inputs!$B$38&lt;&gt;"pvp",Inputs!$B$43&gt;0),IF(Inputs!$B$43&lt;=0,0,(INT(Inputs!$B$43/IF(Inputs!$B$38="pvp",15,MAX(0.1,Skills!D16-IF(Skills!E16=TRUE,Inputs!$B$32,0))))+1)),0)</f>
        <v/>
      </c>
      <c r="S1015">
        <f>IFERROR(O1015/N1015,0)</f>
        <v/>
      </c>
      <c r="T1015" t="n">
        <v>0</v>
      </c>
      <c r="V1015" t="n">
        <v>0</v>
      </c>
    </row>
    <row r="1016">
      <c r="A1016">
        <f>Skills!A17</f>
        <v/>
      </c>
      <c r="B1016">
        <f>Skills!B17</f>
        <v/>
      </c>
      <c r="C1016">
        <f>Inputs!$B$3&gt;=66</f>
        <v/>
      </c>
      <c r="D1016">
        <f>IF(Skills!C17=1,60+Inputs!$B$25+Inputs!$B$29,IF(Skills!C17=2,90+Inputs!$B$26+Inputs!$B$29,IF(Skills!C17=3,120+Inputs!$B$27+Inputs!$B$29,MAX(0,(Inputs!$B$3-100)*3)+Inputs!$B$28+Inputs!$B$29)))</f>
        <v/>
      </c>
      <c r="E1016">
        <f>INDEX(FactorTable!$B$2:$Y$301, MATCH(ROUND(MIN(300,MAX(1,D1016)),0), FactorTable!$A$2:$A$301,0), Skills!M17+1)</f>
        <v/>
      </c>
      <c r="F1016">
        <f>IF(Skills!N17=TRUE,(Skills!L17/10)*(E1016/1000),Skills!L17/10)+Skills!O17</f>
        <v/>
      </c>
      <c r="G1016">
        <f>Skills!G17*IF(Skills!H17&gt;0,Skills!I17/Skills!H17,1)</f>
        <v/>
      </c>
      <c r="H1016">
        <f>1-(1-Skills!J17/100)^Skills!K17</f>
        <v/>
      </c>
      <c r="I1016" t="inlineStr">
        <is>
          <t>1</t>
        </is>
      </c>
      <c r="J1016" t="inlineStr"/>
      <c r="K1016" t="inlineStr"/>
      <c r="L1016" t="inlineStr"/>
      <c r="M1016" t="inlineStr"/>
      <c r="N1016" t="inlineStr"/>
      <c r="O1016">
        <f>(1-Summary!$B$55)*T1016+Summary!$B$55*V1016</f>
        <v/>
      </c>
      <c r="P1016">
        <f>IF(B1042=0,0,O1016/B1042)</f>
        <v/>
      </c>
      <c r="Q1016" t="n">
        <v>0</v>
      </c>
      <c r="R1016" t="n">
        <v>0</v>
      </c>
      <c r="S1016">
        <f>IFERROR(O1016/N1016,0)</f>
        <v/>
      </c>
      <c r="T1016" t="n">
        <v>0</v>
      </c>
      <c r="V1016" t="n">
        <v>0</v>
      </c>
    </row>
    <row r="1017">
      <c r="A1017">
        <f>Skills!A18</f>
        <v/>
      </c>
      <c r="B1017">
        <f>Skills!B18</f>
        <v/>
      </c>
      <c r="C1017">
        <f>Inputs!$B$3&gt;=72</f>
        <v/>
      </c>
      <c r="D1017">
        <f>IF(Skills!C18=1,60+Inputs!$B$25+Inputs!$B$29,IF(Skills!C18=2,90+Inputs!$B$26+Inputs!$B$29,IF(Skills!C18=3,120+Inputs!$B$27+Inputs!$B$29,MAX(0,(Inputs!$B$3-100)*3)+Inputs!$B$28+Inputs!$B$29)))</f>
        <v/>
      </c>
      <c r="E1017">
        <f>INDEX(FactorTable!$B$2:$Y$301, MATCH(ROUND(MIN(300,MAX(1,D1017)),0), FactorTable!$A$2:$A$301,0), Skills!M18+1)</f>
        <v/>
      </c>
      <c r="F1017">
        <f>IF(Skills!N18=TRUE,(Skills!L18/10)*(E1017/1000),Skills!L18/10)+Skills!O18</f>
        <v/>
      </c>
      <c r="G1017">
        <f>Skills!G18*IF(Skills!H18&gt;0,Skills!I18/Skills!H18,1)</f>
        <v/>
      </c>
      <c r="H1017">
        <f>1-(1-Skills!J18/100)^Skills!K18</f>
        <v/>
      </c>
      <c r="I1017" t="inlineStr">
        <is>
          <t>1</t>
        </is>
      </c>
      <c r="J1017" t="inlineStr"/>
      <c r="K1017" t="inlineStr"/>
      <c r="L1017" t="inlineStr"/>
      <c r="M1017" t="inlineStr"/>
      <c r="N1017" t="inlineStr"/>
      <c r="O1017">
        <f>(1-Summary!$B$55)*T1017+Summary!$B$55*V1017</f>
        <v/>
      </c>
      <c r="P1017">
        <f>IF(B1042=0,0,O1017/B1042)</f>
        <v/>
      </c>
      <c r="Q1017" t="n">
        <v>0</v>
      </c>
      <c r="R1017" t="n">
        <v>0</v>
      </c>
      <c r="S1017">
        <f>IFERROR(O1017/N1017,0)</f>
        <v/>
      </c>
      <c r="T1017" t="n">
        <v>0</v>
      </c>
      <c r="V1017" t="n">
        <v>0</v>
      </c>
    </row>
    <row r="1018">
      <c r="A1018">
        <f>Skills!A19</f>
        <v/>
      </c>
      <c r="B1018">
        <f>Skills!B19</f>
        <v/>
      </c>
      <c r="C1018">
        <f>TRUE</f>
        <v/>
      </c>
      <c r="D1018">
        <f>IF(Skills!C19=1,60+Inputs!$B$25+Inputs!$B$29,IF(Skills!C19=2,90+Inputs!$B$26+Inputs!$B$29,IF(Skills!C19=3,120+Inputs!$B$27+Inputs!$B$29,MAX(0,(Inputs!$B$3-100)*3)+Inputs!$B$28+Inputs!$B$29)))</f>
        <v/>
      </c>
      <c r="E1018">
        <f>INDEX(FactorTable!$B$2:$Y$301, MATCH(ROUND(MIN(300,MAX(1,D1018)),0), FactorTable!$A$2:$A$301,0), Skills!M19+1)</f>
        <v/>
      </c>
      <c r="F1018">
        <f>IF(Skills!N19=TRUE,(Skills!L19/10)*(E1018/1000),Skills!L19/10)+Skills!O19</f>
        <v/>
      </c>
      <c r="G1018">
        <f>Skills!G19*IF(Skills!H19&gt;0,Skills!I19/Skills!H19,1)</f>
        <v/>
      </c>
      <c r="H1018">
        <f>1-(1-Skills!J19/100)^Skills!K19</f>
        <v/>
      </c>
      <c r="I1018" t="inlineStr">
        <is>
          <t>1</t>
        </is>
      </c>
      <c r="J1018" t="inlineStr"/>
      <c r="K1018" t="inlineStr"/>
      <c r="L1018" t="inlineStr"/>
      <c r="M1018" t="inlineStr"/>
      <c r="N1018" t="inlineStr"/>
      <c r="O1018">
        <f>(1-Summary!$B$55)*T1018+Summary!$B$55*V1018</f>
        <v/>
      </c>
      <c r="P1018">
        <f>IF(B1042=0,0,O1018/B1042)</f>
        <v/>
      </c>
      <c r="Q1018">
        <f>IFERROR(1/IF(Inputs!$B$38="pvp",15,MAX(0.1,Skills!D19-IF(Skills!E19=TRUE,Inputs!$B$32,0))),0)</f>
        <v/>
      </c>
      <c r="R1018">
        <f>IF(AND(Inputs!$B$38&lt;&gt;"pvp",Inputs!$B$43&gt;0),IF(Inputs!$B$43&lt;=0,0,(INT(Inputs!$B$43/IF(Inputs!$B$38="pvp",15,MAX(0.1,Skills!D19-IF(Skills!E19=TRUE,Inputs!$B$32,0))))+1)),0)</f>
        <v/>
      </c>
      <c r="S1018">
        <f>IFERROR(O1018/N1018,0)</f>
        <v/>
      </c>
      <c r="T1018" t="n">
        <v>0</v>
      </c>
      <c r="V1018" t="n">
        <v>0</v>
      </c>
    </row>
    <row r="1019">
      <c r="A1019">
        <f>Skills!A20</f>
        <v/>
      </c>
      <c r="B1019">
        <f>Skills!B20</f>
        <v/>
      </c>
      <c r="C1019">
        <f>Inputs!$B$3&gt;=15</f>
        <v/>
      </c>
      <c r="D1019">
        <f>IF(Skills!C20=1,60+Inputs!$B$25+Inputs!$B$29,IF(Skills!C20=2,90+Inputs!$B$26+Inputs!$B$29,IF(Skills!C20=3,120+Inputs!$B$27+Inputs!$B$29,MAX(0,(Inputs!$B$3-100)*3)+Inputs!$B$28+Inputs!$B$29)))</f>
        <v/>
      </c>
      <c r="E1019">
        <f>INDEX(FactorTable!$B$2:$Y$301, MATCH(ROUND(MIN(300,MAX(1,D1019)),0), FactorTable!$A$2:$A$301,0), Skills!M20+1)</f>
        <v/>
      </c>
      <c r="F1019">
        <f>IF(Skills!N20=TRUE,(Skills!L20/10)*(E1019/1000),Skills!L20/10)+Skills!O20</f>
        <v/>
      </c>
      <c r="G1019">
        <f>Skills!G20*IF(Skills!H20&gt;0,Skills!I20/Skills!H20,1)</f>
        <v/>
      </c>
      <c r="H1019">
        <f>1-(1-Skills!J20/100)^Skills!K20</f>
        <v/>
      </c>
      <c r="I1019" t="inlineStr">
        <is>
          <t>1</t>
        </is>
      </c>
      <c r="J1019" t="inlineStr"/>
      <c r="K1019" t="inlineStr"/>
      <c r="L1019" t="inlineStr"/>
      <c r="M1019" t="inlineStr"/>
      <c r="N1019" t="inlineStr"/>
      <c r="O1019">
        <f>(1-Summary!$B$55)*T1019+Summary!$B$55*V1019</f>
        <v/>
      </c>
      <c r="P1019">
        <f>IF(B1042=0,0,O1019/B1042)</f>
        <v/>
      </c>
      <c r="Q1019" t="n">
        <v>0</v>
      </c>
      <c r="R1019" t="n">
        <v>0</v>
      </c>
      <c r="S1019">
        <f>IFERROR(O1019/N1019,0)</f>
        <v/>
      </c>
      <c r="T1019" t="n">
        <v>0</v>
      </c>
      <c r="V1019" t="n">
        <v>0</v>
      </c>
    </row>
    <row r="1020">
      <c r="A1020">
        <f>Skills!A21</f>
        <v/>
      </c>
      <c r="B1020">
        <f>Skills!B21</f>
        <v/>
      </c>
      <c r="C1020">
        <f>Inputs!$B$3&gt;=10</f>
        <v/>
      </c>
      <c r="D1020">
        <f>IF(Skills!C21=1,60+Inputs!$B$25+Inputs!$B$29,IF(Skills!C21=2,90+Inputs!$B$26+Inputs!$B$29,IF(Skills!C21=3,120+Inputs!$B$27+Inputs!$B$29,MAX(0,(Inputs!$B$3-100)*3)+Inputs!$B$28+Inputs!$B$29)))</f>
        <v/>
      </c>
      <c r="E1020">
        <f>INDEX(FactorTable!$B$2:$Y$301, MATCH(ROUND(MIN(300,MAX(1,D1020)),0), FactorTable!$A$2:$A$301,0), Skills!M21+1)</f>
        <v/>
      </c>
      <c r="F1020">
        <f>IF(Skills!N21=TRUE,(Skills!L21/10)*(E1020/1000),Skills!L21/10)+Skills!O21</f>
        <v/>
      </c>
      <c r="G1020">
        <f>Skills!G21*IF(Skills!H21&gt;0,Skills!I21/Skills!H21,1)</f>
        <v/>
      </c>
      <c r="H1020">
        <f>1-(1-Skills!J21/100)^Skills!K21</f>
        <v/>
      </c>
      <c r="I1020" t="inlineStr">
        <is>
          <t>1</t>
        </is>
      </c>
      <c r="J1020" t="inlineStr"/>
      <c r="K1020" t="inlineStr"/>
      <c r="L1020" t="inlineStr"/>
      <c r="M1020" t="inlineStr"/>
      <c r="N1020" t="inlineStr"/>
      <c r="O1020">
        <f>(1-Summary!$B$55)*T1020+Summary!$B$55*V1020</f>
        <v/>
      </c>
      <c r="P1020">
        <f>IF(B1042=0,0,O1020/B1042)</f>
        <v/>
      </c>
      <c r="Q1020" t="n">
        <v>0</v>
      </c>
      <c r="R1020" t="n">
        <v>0</v>
      </c>
      <c r="S1020">
        <f>IFERROR(O1020/N1020,0)</f>
        <v/>
      </c>
      <c r="T1020" t="n">
        <v>0</v>
      </c>
      <c r="V1020" t="n">
        <v>0</v>
      </c>
    </row>
    <row r="1021">
      <c r="A1021">
        <f>Skills!A22</f>
        <v/>
      </c>
      <c r="B1021">
        <f>Skills!B22</f>
        <v/>
      </c>
      <c r="C1021">
        <f>Inputs!$B$3&gt;=33</f>
        <v/>
      </c>
      <c r="D1021">
        <f>IF(Skills!C22=1,60+Inputs!$B$25+Inputs!$B$29,IF(Skills!C22=2,90+Inputs!$B$26+Inputs!$B$29,IF(Skills!C22=3,120+Inputs!$B$27+Inputs!$B$29,MAX(0,(Inputs!$B$3-100)*3)+Inputs!$B$28+Inputs!$B$29)))</f>
        <v/>
      </c>
      <c r="E1021">
        <f>INDEX(FactorTable!$B$2:$Y$301, MATCH(ROUND(MIN(300,MAX(1,D1021)),0), FactorTable!$A$2:$A$301,0), Skills!M22+1)</f>
        <v/>
      </c>
      <c r="F1021">
        <f>IF(Skills!N22=TRUE,(Skills!L22/10)*(E1021/1000),Skills!L22/10)+Skills!O22</f>
        <v/>
      </c>
      <c r="G1021">
        <f>Skills!G22*IF(Skills!H22&gt;0,Skills!I22/Skills!H22,1)</f>
        <v/>
      </c>
      <c r="H1021">
        <f>1-(1-Skills!J22/100)^Skills!K22</f>
        <v/>
      </c>
      <c r="I1021" t="inlineStr">
        <is>
          <t>1</t>
        </is>
      </c>
      <c r="J1021" t="inlineStr"/>
      <c r="K1021" t="inlineStr"/>
      <c r="L1021" t="inlineStr"/>
      <c r="M1021" t="inlineStr"/>
      <c r="N1021" t="inlineStr"/>
      <c r="O1021">
        <f>(1-Summary!$B$55)*T1021+Summary!$B$55*V1021</f>
        <v/>
      </c>
      <c r="P1021">
        <f>IF(B1042=0,0,O1021/B1042)</f>
        <v/>
      </c>
      <c r="Q1021" t="n">
        <v>0</v>
      </c>
      <c r="R1021" t="n">
        <v>0</v>
      </c>
      <c r="S1021">
        <f>IFERROR(O1021/N1021,0)</f>
        <v/>
      </c>
      <c r="T1021" t="n">
        <v>0</v>
      </c>
      <c r="V1021" t="n">
        <v>0</v>
      </c>
    </row>
    <row r="1022">
      <c r="A1022">
        <f>Skills!A23</f>
        <v/>
      </c>
      <c r="B1022">
        <f>Skills!B23</f>
        <v/>
      </c>
      <c r="C1022">
        <f>Inputs!$B$3&gt;=38</f>
        <v/>
      </c>
      <c r="D1022">
        <f>IF(Skills!C23=1,60+Inputs!$B$25+Inputs!$B$29,IF(Skills!C23=2,90+Inputs!$B$26+Inputs!$B$29,IF(Skills!C23=3,120+Inputs!$B$27+Inputs!$B$29,MAX(0,(Inputs!$B$3-100)*3)+Inputs!$B$28+Inputs!$B$29)))</f>
        <v/>
      </c>
      <c r="E1022">
        <f>INDEX(FactorTable!$B$2:$Y$301, MATCH(ROUND(MIN(300,MAX(1,D1022)),0), FactorTable!$A$2:$A$301,0), Skills!M23+1)</f>
        <v/>
      </c>
      <c r="F1022">
        <f>IF(Skills!N23=TRUE,(Skills!L23/10)*(E1022/1000),Skills!L23/10)+Skills!O23</f>
        <v/>
      </c>
      <c r="G1022">
        <f>Skills!G23*IF(Skills!H23&gt;0,Skills!I23/Skills!H23,1)</f>
        <v/>
      </c>
      <c r="H1022">
        <f>1-(1-Skills!J23/100)^Skills!K23</f>
        <v/>
      </c>
      <c r="I1022" t="inlineStr">
        <is>
          <t>1</t>
        </is>
      </c>
      <c r="J1022" t="inlineStr"/>
      <c r="K1022" t="inlineStr"/>
      <c r="L1022" t="inlineStr"/>
      <c r="M1022" t="inlineStr"/>
      <c r="N1022" t="inlineStr"/>
      <c r="O1022">
        <f>(1-Summary!$B$55)*T1022+Summary!$B$55*V1022</f>
        <v/>
      </c>
      <c r="P1022">
        <f>IF(B1042=0,0,O1022/B1042)</f>
        <v/>
      </c>
      <c r="Q1022" t="n">
        <v>0</v>
      </c>
      <c r="R1022" t="n">
        <v>0</v>
      </c>
      <c r="S1022">
        <f>IFERROR(O1022/N1022,0)</f>
        <v/>
      </c>
      <c r="T1022" t="n">
        <v>0</v>
      </c>
      <c r="V1022" t="n">
        <v>0</v>
      </c>
    </row>
    <row r="1023">
      <c r="A1023">
        <f>Skills!A24</f>
        <v/>
      </c>
      <c r="B1023">
        <f>Skills!B24</f>
        <v/>
      </c>
      <c r="C1023">
        <f>Inputs!$B$3&gt;=43</f>
        <v/>
      </c>
      <c r="D1023">
        <f>IF(Skills!C24=1,60+Inputs!$B$25+Inputs!$B$29,IF(Skills!C24=2,90+Inputs!$B$26+Inputs!$B$29,IF(Skills!C24=3,120+Inputs!$B$27+Inputs!$B$29,MAX(0,(Inputs!$B$3-100)*3)+Inputs!$B$28+Inputs!$B$29)))</f>
        <v/>
      </c>
      <c r="E1023">
        <f>INDEX(FactorTable!$B$2:$Y$301, MATCH(ROUND(MIN(300,MAX(1,D1023)),0), FactorTable!$A$2:$A$301,0), Skills!M24+1)</f>
        <v/>
      </c>
      <c r="F1023">
        <f>IF(Skills!N24=TRUE,(Skills!L24/10)*(E1023/1000),Skills!L24/10)+Skills!O24</f>
        <v/>
      </c>
      <c r="G1023">
        <f>Skills!G24*IF(Skills!H24&gt;0,Skills!I24/Skills!H24,1)</f>
        <v/>
      </c>
      <c r="H1023">
        <f>1-(1-Skills!J24/100)^Skills!K24</f>
        <v/>
      </c>
      <c r="I1023" t="inlineStr">
        <is>
          <t>1</t>
        </is>
      </c>
      <c r="J1023" t="inlineStr"/>
      <c r="K1023" t="inlineStr"/>
      <c r="L1023" t="inlineStr"/>
      <c r="M1023" t="inlineStr"/>
      <c r="N1023" t="inlineStr"/>
      <c r="O1023">
        <f>(1-Summary!$B$55)*T1023+Summary!$B$55*V1023</f>
        <v/>
      </c>
      <c r="P1023">
        <f>IF(B1042=0,0,O1023/B1042)</f>
        <v/>
      </c>
      <c r="Q1023" t="n">
        <v>0</v>
      </c>
      <c r="R1023" t="n">
        <v>0</v>
      </c>
      <c r="S1023">
        <f>IFERROR(O1023/N1023,0)</f>
        <v/>
      </c>
      <c r="T1023" t="n">
        <v>0</v>
      </c>
      <c r="V1023" t="n">
        <v>0</v>
      </c>
    </row>
    <row r="1024">
      <c r="A1024">
        <f>Skills!A25</f>
        <v/>
      </c>
      <c r="B1024">
        <f>Skills!B25</f>
        <v/>
      </c>
      <c r="C1024">
        <f>Inputs!$B$3&gt;=75</f>
        <v/>
      </c>
      <c r="D1024">
        <f>IF(Skills!C25=1,60+Inputs!$B$25+Inputs!$B$29,IF(Skills!C25=2,90+Inputs!$B$26+Inputs!$B$29,IF(Skills!C25=3,120+Inputs!$B$27+Inputs!$B$29,MAX(0,(Inputs!$B$3-100)*3)+Inputs!$B$28+Inputs!$B$29)))</f>
        <v/>
      </c>
      <c r="E1024">
        <f>INDEX(FactorTable!$B$2:$Y$301, MATCH(ROUND(MIN(300,MAX(1,D1024)),0), FactorTable!$A$2:$A$301,0), Skills!M25+1)</f>
        <v/>
      </c>
      <c r="F1024">
        <f>IF(Skills!N25=TRUE,(Skills!L25/10)*(E1024/1000),Skills!L25/10)+Skills!O25</f>
        <v/>
      </c>
      <c r="G1024">
        <f>Skills!G25*IF(Skills!H25&gt;0,Skills!I25/Skills!H25,1)</f>
        <v/>
      </c>
      <c r="H1024">
        <f>1-(1-Skills!J25/100)^Skills!K25</f>
        <v/>
      </c>
      <c r="I1024" t="inlineStr">
        <is>
          <t>1</t>
        </is>
      </c>
      <c r="J1024" t="inlineStr"/>
      <c r="K1024" t="inlineStr"/>
      <c r="L1024" t="inlineStr"/>
      <c r="M1024" t="inlineStr"/>
      <c r="N1024" t="inlineStr"/>
      <c r="O1024">
        <f>(1-Summary!$B$55)*T1024+Summary!$B$55*V1024</f>
        <v/>
      </c>
      <c r="P1024">
        <f>IF(B1042=0,0,O1024/B1042)</f>
        <v/>
      </c>
      <c r="Q1024" t="n">
        <v>0</v>
      </c>
      <c r="R1024" t="n">
        <v>0</v>
      </c>
      <c r="S1024">
        <f>IFERROR(O1024/N1024,0)</f>
        <v/>
      </c>
      <c r="T1024" t="n">
        <v>0</v>
      </c>
      <c r="V1024" t="n">
        <v>0</v>
      </c>
    </row>
    <row r="1025">
      <c r="A1025">
        <f>Skills!A26</f>
        <v/>
      </c>
      <c r="B1025">
        <f>Skills!B26</f>
        <v/>
      </c>
      <c r="C1025">
        <f>Inputs!$B$3&gt;=125</f>
        <v/>
      </c>
      <c r="D1025">
        <f>IF(Skills!C26=1,60+Inputs!$B$25+Inputs!$B$29,IF(Skills!C26=2,90+Inputs!$B$26+Inputs!$B$29,IF(Skills!C26=3,120+Inputs!$B$27+Inputs!$B$29,MAX(0,(Inputs!$B$3-100)*3)+Inputs!$B$28+Inputs!$B$29)))</f>
        <v/>
      </c>
      <c r="E1025">
        <f>INDEX(FactorTable!$B$2:$Y$301, MATCH(ROUND(MIN(300,MAX(1,D1025)),0), FactorTable!$A$2:$A$301,0), Skills!M26+1)</f>
        <v/>
      </c>
      <c r="F1025">
        <f>IF(Skills!N26=TRUE,(Skills!L26/10)*(E1025/1000),Skills!L26/10)+Skills!O26</f>
        <v/>
      </c>
      <c r="G1025">
        <f>Skills!G26*IF(Skills!H26&gt;0,Skills!I26/Skills!H26,1)</f>
        <v/>
      </c>
      <c r="H1025">
        <f>1-(1-Skills!J26/100)^Skills!K26</f>
        <v/>
      </c>
      <c r="I1025" t="inlineStr">
        <is>
          <t>1</t>
        </is>
      </c>
      <c r="J1025" t="inlineStr"/>
      <c r="K1025" t="inlineStr"/>
      <c r="L1025" t="inlineStr"/>
      <c r="M1025" t="inlineStr"/>
      <c r="N1025" t="inlineStr"/>
      <c r="O1025">
        <f>(1-Summary!$B$55)*T1025+Summary!$B$55*V1025</f>
        <v/>
      </c>
      <c r="P1025">
        <f>IF(B1042=0,0,O1025/B1042)</f>
        <v/>
      </c>
      <c r="Q1025" t="n">
        <v>0</v>
      </c>
      <c r="R1025" t="n">
        <v>0</v>
      </c>
      <c r="S1025">
        <f>IFERROR(O1025/N1025,0)</f>
        <v/>
      </c>
      <c r="T1025" t="n">
        <v>0</v>
      </c>
      <c r="V1025" t="n">
        <v>0</v>
      </c>
    </row>
    <row r="1026">
      <c r="A1026">
        <f>Skills!A27</f>
        <v/>
      </c>
      <c r="B1026">
        <f>Skills!B27</f>
        <v/>
      </c>
      <c r="C1026">
        <f>Inputs!$B$3&gt;=125</f>
        <v/>
      </c>
      <c r="D1026">
        <f>IF(Skills!C27=1,60+Inputs!$B$25+Inputs!$B$29,IF(Skills!C27=2,90+Inputs!$B$26+Inputs!$B$29,IF(Skills!C27=3,120+Inputs!$B$27+Inputs!$B$29,MAX(0,(Inputs!$B$3-100)*3)+Inputs!$B$28+Inputs!$B$29)))</f>
        <v/>
      </c>
      <c r="E1026">
        <f>INDEX(FactorTable!$B$2:$Y$301, MATCH(ROUND(MIN(300,MAX(1,D1026)),0), FactorTable!$A$2:$A$301,0), Skills!M27+1)</f>
        <v/>
      </c>
      <c r="F1026">
        <f>IF(Skills!N27=TRUE,(Skills!L27/10)*(E1026/1000),Skills!L27/10)+Skills!O27</f>
        <v/>
      </c>
      <c r="G1026">
        <f>Skills!G27*IF(Skills!H27&gt;0,Skills!I27/Skills!H27,1)</f>
        <v/>
      </c>
      <c r="H1026">
        <f>1-(1-Skills!J27/100)^Skills!K27</f>
        <v/>
      </c>
      <c r="I1026" t="inlineStr">
        <is>
          <t>1</t>
        </is>
      </c>
      <c r="J1026" t="inlineStr"/>
      <c r="K1026" t="inlineStr"/>
      <c r="L1026" t="inlineStr"/>
      <c r="M1026" t="inlineStr"/>
      <c r="N1026" t="inlineStr"/>
      <c r="O1026">
        <f>(1-Summary!$B$55)*T1026+Summary!$B$55*V1026</f>
        <v/>
      </c>
      <c r="P1026">
        <f>IF(B1042=0,0,O1026/B1042)</f>
        <v/>
      </c>
      <c r="Q1026" t="n">
        <v>0</v>
      </c>
      <c r="R1026" t="n">
        <v>0</v>
      </c>
      <c r="S1026">
        <f>IFERROR(O1026/N1026,0)</f>
        <v/>
      </c>
      <c r="T1026" t="n">
        <v>0</v>
      </c>
      <c r="V1026" t="n">
        <v>0</v>
      </c>
    </row>
    <row r="1027">
      <c r="A1027">
        <f>Skills!A28</f>
        <v/>
      </c>
      <c r="B1027">
        <f>Skills!B28</f>
        <v/>
      </c>
      <c r="C1027">
        <f>Inputs!$B$3&gt;=120</f>
        <v/>
      </c>
      <c r="D1027">
        <f>IF(Skills!C28=1,60+Inputs!$B$25+Inputs!$B$29,IF(Skills!C28=2,90+Inputs!$B$26+Inputs!$B$29,IF(Skills!C28=3,120+Inputs!$B$27+Inputs!$B$29,MAX(0,(Inputs!$B$3-100)*3)+Inputs!$B$28+Inputs!$B$29)))</f>
        <v/>
      </c>
      <c r="E1027">
        <f>INDEX(FactorTable!$B$2:$Y$301, MATCH(ROUND(MIN(300,MAX(1,D1027)),0), FactorTable!$A$2:$A$301,0), Skills!M28+1)</f>
        <v/>
      </c>
      <c r="F1027">
        <f>IF(Skills!N28=TRUE,(Skills!L28/10)*(E1027/1000),Skills!L28/10)+Skills!O28</f>
        <v/>
      </c>
      <c r="G1027">
        <f>Skills!G28*IF(Skills!H28&gt;0,Skills!I28/Skills!H28,1)</f>
        <v/>
      </c>
      <c r="H1027">
        <f>1-(1-Skills!J28/100)^Skills!K28</f>
        <v/>
      </c>
      <c r="I1027" t="inlineStr">
        <is>
          <t>1</t>
        </is>
      </c>
      <c r="J1027" t="inlineStr"/>
      <c r="K1027" t="inlineStr"/>
      <c r="L1027" t="inlineStr"/>
      <c r="M1027" t="inlineStr"/>
      <c r="N1027" t="inlineStr"/>
      <c r="O1027">
        <f>(1-Summary!$B$55)*T1027+Summary!$B$55*V1027</f>
        <v/>
      </c>
      <c r="P1027">
        <f>IF(B1042=0,0,O1027/B1042)</f>
        <v/>
      </c>
      <c r="Q1027" t="n">
        <v>0</v>
      </c>
      <c r="R1027" t="n">
        <v>0</v>
      </c>
      <c r="S1027">
        <f>IFERROR(O1027/N1027,0)</f>
        <v/>
      </c>
      <c r="T1027" t="n">
        <v>0</v>
      </c>
      <c r="V1027" t="n">
        <v>0</v>
      </c>
    </row>
    <row r="1028">
      <c r="A1028">
        <f>Skills!A29</f>
        <v/>
      </c>
      <c r="B1028">
        <f>Skills!B29</f>
        <v/>
      </c>
      <c r="C1028">
        <f>Inputs!$B$3&gt;=120</f>
        <v/>
      </c>
      <c r="D1028">
        <f>IF(Skills!C29=1,60+Inputs!$B$25+Inputs!$B$29,IF(Skills!C29=2,90+Inputs!$B$26+Inputs!$B$29,IF(Skills!C29=3,120+Inputs!$B$27+Inputs!$B$29,MAX(0,(Inputs!$B$3-100)*3)+Inputs!$B$28+Inputs!$B$29)))</f>
        <v/>
      </c>
      <c r="E1028">
        <f>INDEX(FactorTable!$B$2:$Y$301, MATCH(ROUND(MIN(300,MAX(1,D1028)),0), FactorTable!$A$2:$A$301,0), Skills!M29+1)</f>
        <v/>
      </c>
      <c r="F1028">
        <f>IF(Skills!N29=TRUE,(Skills!L29/10)*(E1028/1000),Skills!L29/10)+Skills!O29</f>
        <v/>
      </c>
      <c r="G1028">
        <f>Skills!G29*IF(Skills!H29&gt;0,Skills!I29/Skills!H29,1)</f>
        <v/>
      </c>
      <c r="H1028">
        <f>1-(1-Skills!J29/100)^Skills!K29</f>
        <v/>
      </c>
      <c r="I1028" t="inlineStr">
        <is>
          <t>1</t>
        </is>
      </c>
      <c r="J1028" t="inlineStr"/>
      <c r="K1028" t="inlineStr"/>
      <c r="L1028" t="inlineStr"/>
      <c r="M1028" t="inlineStr"/>
      <c r="N1028" t="inlineStr"/>
      <c r="O1028">
        <f>(1-Summary!$B$55)*T1028+Summary!$B$55*V1028</f>
        <v/>
      </c>
      <c r="P1028">
        <f>IF(B1042=0,0,O1028/B1042)</f>
        <v/>
      </c>
      <c r="Q1028" t="n">
        <v>0</v>
      </c>
      <c r="R1028" t="n">
        <v>0</v>
      </c>
      <c r="S1028">
        <f>IFERROR(O1028/N1028,0)</f>
        <v/>
      </c>
      <c r="T1028" t="n">
        <v>0</v>
      </c>
      <c r="V1028" t="n">
        <v>0</v>
      </c>
    </row>
    <row r="1029">
      <c r="A1029">
        <f>Skills!A30</f>
        <v/>
      </c>
      <c r="B1029">
        <f>Skills!B30</f>
        <v/>
      </c>
      <c r="C1029">
        <f>Inputs!$B$3&gt;=45</f>
        <v/>
      </c>
      <c r="D1029">
        <f>IF(Skills!C30=1,60+Inputs!$B$25+Inputs!$B$29,IF(Skills!C30=2,90+Inputs!$B$26+Inputs!$B$29,IF(Skills!C30=3,120+Inputs!$B$27+Inputs!$B$29,MAX(0,(Inputs!$B$3-100)*3)+Inputs!$B$28+Inputs!$B$29)))</f>
        <v/>
      </c>
      <c r="E1029">
        <f>INDEX(FactorTable!$B$2:$Y$301, MATCH(ROUND(MIN(300,MAX(1,D1029)),0), FactorTable!$A$2:$A$301,0), Skills!M30+1)</f>
        <v/>
      </c>
      <c r="F1029">
        <f>IF(Skills!N30=TRUE,(Skills!L30/10)*(E1029/1000),Skills!L30/10)+Skills!O30</f>
        <v/>
      </c>
      <c r="G1029">
        <f>Skills!G30*IF(Skills!H30&gt;0,Skills!I30/Skills!H30,1)</f>
        <v/>
      </c>
      <c r="H1029">
        <f>1-(1-Skills!J30/100)^Skills!K30</f>
        <v/>
      </c>
      <c r="I1029" t="inlineStr">
        <is>
          <t>1</t>
        </is>
      </c>
      <c r="J1029" t="inlineStr"/>
      <c r="K1029" t="inlineStr"/>
      <c r="L1029" t="inlineStr"/>
      <c r="M1029" t="inlineStr"/>
      <c r="N1029" t="inlineStr"/>
      <c r="O1029">
        <f>(1-Summary!$B$55)*T1029+Summary!$B$55*V1029</f>
        <v/>
      </c>
      <c r="P1029">
        <f>IF(B1042=0,0,O1029/B1042)</f>
        <v/>
      </c>
      <c r="Q1029" t="n">
        <v>0</v>
      </c>
      <c r="R1029" t="n">
        <v>0</v>
      </c>
      <c r="S1029">
        <f>IFERROR(O1029/N1029,0)</f>
        <v/>
      </c>
      <c r="T1029" t="n">
        <v>0</v>
      </c>
      <c r="V1029" t="n">
        <v>0</v>
      </c>
    </row>
    <row r="1031">
      <c r="A1031" t="inlineStr">
        <is>
          <t>Attack% Bucket Multiplier</t>
        </is>
      </c>
      <c r="B1031">
        <f>(1+(((C1012=TRUE)*F1012)+((C1013=TRUE)*IF(Inputs!$B$38="pvp",F1013,(1-Summary!$B$55)*(F1013)+Summary!$B$55*(0)))+((C1014=TRUE)*F1014*IF(AND(Inputs!$B$38&lt;&gt;"pvp",Inputs!$B$43&gt;0),(((R1014-1)*(Skills!T15*(1+Inputs!$B$34/100))+MIN((Skills!T15*(1+Inputs!$B$34/100)),MAX(0,Inputs!$B$43-((R1014-1)*Skills!D15))))/Inputs!$B$43),IF(Inputs!$B$38="pvp",MIN((Skills!T15*(1+Inputs!$B$34/100)),15)/15,(Skills!T15*(1+Inputs!$B$34/100))/Skills!D15)))+((C1029=TRUE)*(F1029-Calc!F30)))/100)</f>
        <v/>
      </c>
    </row>
    <row r="1032">
      <c r="A1032" t="inlineStr">
        <is>
          <t>Global Crit Rate Bonus %</t>
        </is>
      </c>
      <c r="B1032">
        <f>(C1015=TRUE)*20*IF(AND(Inputs!$B$38&lt;&gt;"pvp",Inputs!$B$43&gt;0),(((R1015-1)*(Skills!T16*(1+Inputs!$B$34/100))+MIN((Skills!T16*(1+Inputs!$B$34/100)),MAX(0,Inputs!$B$43-((R1015-1)*Skills!D16))))/Inputs!$B$43),IF(Inputs!$B$38="pvp",MIN((Skills!T16*(1+Inputs!$B$34/100)),15)/15,(Skills!T16*(1+Inputs!$B$34/100))/Skills!D16))</f>
        <v/>
      </c>
    </row>
    <row r="1033">
      <c r="A1033" t="inlineStr">
        <is>
          <t>Attack Speed Buff Bonus %</t>
        </is>
      </c>
      <c r="B1033">
        <f>((C1018=TRUE)*F1018*IF(AND(Inputs!$B$38&lt;&gt;"pvp",Inputs!$B$43&gt;0),(((R1018-1)*(Skills!T19*(1+Inputs!$B$34/100))+MIN((Skills!T19*(1+Inputs!$B$34/100)),MAX(0,Inputs!$B$43-((R1018-1)*Skills!D19))))/Inputs!$B$43),IF(Inputs!$B$38="pvp",MIN((Skills!T19*(1+Inputs!$B$34/100)),15)/15,(Skills!T19*(1+Inputs!$B$34/100))/Skills!D19)))</f>
        <v/>
      </c>
    </row>
    <row r="1034">
      <c r="A1034" t="inlineStr">
        <is>
          <t>Actions Per Second</t>
        </is>
      </c>
      <c r="B1034">
        <f>1+MIN(150,150*(1-(1-(Inputs!$B$11+((C1020=TRUE)*(F1020-Calc!F21))+((C1021=TRUE)*(F1021-Calc!F22)))/150)*(1-B1033/150)))/100</f>
        <v/>
      </c>
    </row>
    <row r="1035">
      <c r="A1035" t="inlineStr">
        <is>
          <t>Skill + Buff Cast Rate</t>
        </is>
      </c>
      <c r="B1035">
        <f>IF(AND(Inputs!$B$38&lt;&gt;"pvp",Inputs!$B$43&gt;0),SUMPRODUCT((Skills!E2:E30=TRUE)*(C1001:C1029=TRUE)*R1001:R1029*Skills!F2:F30)/Inputs!$B$43,SUMPRODUCT((Skills!E2:E30=TRUE)*(C1001:C1029=TRUE)*Q1001:Q1029*Skills!F2:F30))</f>
        <v/>
      </c>
    </row>
    <row r="1036">
      <c r="A1036" t="inlineStr">
        <is>
          <t>Arrow Stream Casts Per Second</t>
        </is>
      </c>
      <c r="B1036">
        <f>MAX(0,B1034-B1035)</f>
        <v/>
      </c>
    </row>
    <row r="1037">
      <c r="A1037" t="inlineStr">
        <is>
          <t>Global Critical Damage Bonus % (Sharp Eyes + Concentration)</t>
        </is>
      </c>
      <c r="B1037">
        <f>(C1015=TRUE)*F1015*IF(AND(Inputs!$B$38&lt;&gt;"pvp",Inputs!$B$43&gt;0),(((R1015-1)*(Skills!T16*(1+Inputs!$B$34/100))+MIN((Skills!T16*(1+Inputs!$B$34/100)),MAX(0,Inputs!$B$43-((R1015-1)*Skills!D16))))/Inputs!$B$43),IF(Inputs!$B$38="pvp",MIN((Skills!T16*(1+Inputs!$B$34/100)),15)/15,(Skills!T16*(1+Inputs!$B$34/100))/Skills!D16))+(C1016=TRUE)*30</f>
        <v/>
      </c>
    </row>
    <row r="1038">
      <c r="A1038" t="inlineStr">
        <is>
          <t>Global Final Damage Bonus % (Mortal Blow)</t>
        </is>
      </c>
      <c r="B1038">
        <f>(C1017=TRUE)*F1017</f>
        <v/>
      </c>
    </row>
    <row r="1039">
      <c r="A1039" t="inlineStr">
        <is>
          <t>Buff-Casting Startup Delay (s, fixed-duration only)</t>
        </is>
      </c>
      <c r="B1039">
        <f>IF(AND(Inputs!$B$38&lt;&gt;"pvp",Inputs!$B$43&gt;0),SUMPRODUCT((Skills!T2:T30&gt;0)*(Skills!E2:E30=TRUE)*(C1001:C1029=TRUE))/B1034,0)</f>
        <v/>
      </c>
    </row>
    <row r="1040">
      <c r="A1040" t="inlineStr">
        <is>
          <t>Boss-Only Total DPS (this block's swept value)</t>
        </is>
      </c>
      <c r="B1040">
        <f>SUM(T1001:T1029)</f>
        <v/>
      </c>
    </row>
    <row r="1041">
      <c r="A1041" t="inlineStr">
        <is>
          <t>Normal-Only Total DPS (this block's swept value)</t>
        </is>
      </c>
      <c r="B1041">
        <f>SUM(V1001:V1029)</f>
        <v/>
      </c>
    </row>
    <row r="1042">
      <c r="A1042" s="5" t="inlineStr">
        <is>
          <t>TOTAL DPS</t>
        </is>
      </c>
      <c r="B1042" s="5">
        <f>SUM(O1001:O1029)</f>
        <v/>
      </c>
    </row>
    <row r="1045">
      <c r="A1045" s="5" t="inlineStr">
        <is>
          <t>Stat: ATTACK %</t>
        </is>
      </c>
    </row>
    <row r="1046">
      <c r="A1046" s="9" t="inlineStr">
        <is>
          <t>Key</t>
        </is>
      </c>
      <c r="B1046" s="9" t="inlineStr">
        <is>
          <t>Name</t>
        </is>
      </c>
      <c r="C1046" s="9" t="inlineStr">
        <is>
          <t>Unlocked</t>
        </is>
      </c>
      <c r="D1046" s="9" t="inlineStr">
        <is>
          <t>InputLevel</t>
        </is>
      </c>
      <c r="E1046" s="9" t="inlineStr">
        <is>
          <t>Factor</t>
        </is>
      </c>
      <c r="F1046" s="9" t="inlineStr">
        <is>
          <t>CoefficientPercent</t>
        </is>
      </c>
      <c r="G1046" s="9" t="inlineStr">
        <is>
          <t>EffectiveHits</t>
        </is>
      </c>
      <c r="H1046" s="9" t="inlineStr">
        <is>
          <t>ProcProbability</t>
        </is>
      </c>
      <c r="I1046" s="9" t="inlineStr">
        <is>
          <t>MapleHeroMultiplier</t>
        </is>
      </c>
      <c r="J1046" s="9" t="inlineStr">
        <is>
          <t>BaseDamage</t>
        </is>
      </c>
      <c r="K1046" s="9" t="inlineStr">
        <is>
          <t>BaseHitDamage</t>
        </is>
      </c>
      <c r="L1046" s="9" t="inlineStr">
        <is>
          <t>NonCritAvg</t>
        </is>
      </c>
      <c r="M1046" s="9" t="inlineStr">
        <is>
          <t>CritAvg</t>
        </is>
      </c>
      <c r="N1046" s="9" t="inlineStr">
        <is>
          <t>ExpectedDamage(perHit)</t>
        </is>
      </c>
      <c r="O1046" s="9" t="inlineStr">
        <is>
          <t>DPS</t>
        </is>
      </c>
      <c r="P1046" s="9" t="inlineStr">
        <is>
          <t>% of Total</t>
        </is>
      </c>
      <c r="Q1046" s="9" t="inlineStr">
        <is>
          <t>InvCooldown</t>
        </is>
      </c>
      <c r="R1046" s="9" t="inlineStr">
        <is>
          <t>CastsInFight</t>
        </is>
      </c>
      <c r="S1046" s="9" t="inlineStr">
        <is>
          <t>HitRate(perSec)</t>
        </is>
      </c>
      <c r="U1046" t="inlineStr">
        <is>
          <t>helpers</t>
        </is>
      </c>
    </row>
    <row r="1047">
      <c r="A1047">
        <f>Skills!A2</f>
        <v/>
      </c>
      <c r="B1047">
        <f>Skills!B2</f>
        <v/>
      </c>
      <c r="C1047">
        <f>Inputs!$B$3&gt;=100</f>
        <v/>
      </c>
      <c r="D1047" t="inlineStr"/>
      <c r="E1047" t="inlineStr"/>
      <c r="F1047">
        <f>U1049+Skills!O2</f>
        <v/>
      </c>
      <c r="G1047">
        <f>Skills!G2*IF(Skills!H2&gt;0,Skills!I2/Skills!H2,1)</f>
        <v/>
      </c>
      <c r="H1047">
        <f>1-(1-Skills!J2/100)^Skills!K2</f>
        <v/>
      </c>
      <c r="I1047" t="inlineStr">
        <is>
          <t>1</t>
        </is>
      </c>
      <c r="J1047">
        <f>((Inputs!$B$6*(1+(Inputs!$B$7+1)/100))+(((Inputs!$B$12*(1+Inputs!$B$13/100))-(Inputs!$B$12*(1+Inputs!$B$13/100)))+0.25*(Inputs!$B$14-Inputs!$B$14))*(1+(Inputs!$B$7+1)/100))*(F1047/100)</f>
        <v/>
      </c>
      <c r="K1047">
        <f>J1047*(1+((Inputs!$B$12*(1+Inputs!$B$13/100))*0.01+Inputs!$B$14*0.0025)/100)*(1+Inputs!$B$15/100)*(1+Inputs!$B$16/100)*(5000/(6000+Inputs!$B$42*(1-(Inputs!$B$19+((C1072=TRUE)*(F1072-Calc!F27)))/100)))*(1+(Inputs!$B$24+((C1070=TRUE)*(F1070-Calc!F25))+((C1071=TRUE)*(F1071-Calc!F26))+B1084)/100)*(1+(IF(Skills!A2="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1047)</f>
        <v/>
      </c>
      <c r="L1047">
        <f>K1047*(MIN(Inputs!$B$22+((C1069=TRUE)*(F1069-Calc!F24)),Inputs!$B$23+((C1074=TRUE)*(F1074-Calc!F29)))/100+(Inputs!$B$23+((C1074=TRUE)*(F1074-Calc!F29)))/100)/2</f>
        <v/>
      </c>
      <c r="M1047">
        <f>L1047*(1+(Inputs!$B$10+0+B1083)/100)</f>
        <v/>
      </c>
      <c r="N1047">
        <f>L1047*(1-MIN((Inputs!$B$9+((C1065=TRUE)*(F1065-Calc!F20))+B1078),100)/100)+M1047*(MIN((Inputs!$B$9+((C1065=TRUE)*(F1065-Calc!F20))+B1078),100)/100)</f>
        <v/>
      </c>
      <c r="O1047">
        <f>(1-Summary!$B$55)*T1047+Summary!$B$55*V1047</f>
        <v/>
      </c>
      <c r="P1047">
        <f>IF(B1088=0,0,O1047/B1088)</f>
        <v/>
      </c>
      <c r="Q1047" t="n">
        <v>0</v>
      </c>
      <c r="R1047" t="n">
        <v>0</v>
      </c>
      <c r="S1047">
        <f>IFERROR(O1047/N1047,0)</f>
        <v/>
      </c>
      <c r="T1047">
        <f>IF(C1047,(Skills!G2*N1047*B1082)*IF(Inputs!$B$38="pvp",1,1+(Inputs!$B$20+0+Skills!P2)/100),0)</f>
        <v/>
      </c>
      <c r="U1047">
        <f>MAX(0,(Inputs!$B$3-100)*3)+Inputs!$B$28+Inputs!$B$29</f>
        <v/>
      </c>
      <c r="V1047">
        <f>IF(C1047,(Skills!G2*N1047*B1082)*IF(Inputs!$B$38="pvp",1,(1+(Inputs!$B$21+Skills!Q2)/100)*(MIN((6+Inputs!$B$33),Inputs!$B$37))),0)</f>
        <v/>
      </c>
    </row>
    <row r="1048">
      <c r="A1048">
        <f>Skills!A3</f>
        <v/>
      </c>
      <c r="B1048">
        <f>Skills!B3</f>
        <v/>
      </c>
      <c r="C1048">
        <f>Inputs!$B$3&gt;=50</f>
        <v/>
      </c>
      <c r="D1048">
        <f>IF(Skills!C3=1,60+Inputs!$B$25+Inputs!$B$29,IF(Skills!C3=2,90+Inputs!$B$26+Inputs!$B$29,IF(Skills!C3=3,120+Inputs!$B$27+Inputs!$B$29,MAX(0,(Inputs!$B$3-100)*3)+Inputs!$B$28+Inputs!$B$29)))</f>
        <v/>
      </c>
      <c r="E1048">
        <f>INDEX(FactorTable!$B$2:$Y$301, MATCH(ROUND(MIN(300,MAX(1,D1048)),0), FactorTable!$A$2:$A$301,0), Skills!M3+1)</f>
        <v/>
      </c>
      <c r="F1048">
        <f>IF(Skills!N3=TRUE,(Skills!L3/10)*(E1048/1000),Skills!L3/10)+Skills!O3</f>
        <v/>
      </c>
      <c r="G1048" t="inlineStr"/>
      <c r="H1048" t="inlineStr"/>
      <c r="I1048" t="inlineStr">
        <is>
          <t>1</t>
        </is>
      </c>
      <c r="J1048" t="inlineStr"/>
      <c r="K1048" t="inlineStr"/>
      <c r="L1048" t="inlineStr"/>
      <c r="M1048" t="inlineStr"/>
      <c r="N1048" t="inlineStr"/>
      <c r="O1048" t="inlineStr"/>
      <c r="P1048" t="inlineStr"/>
      <c r="Q1048" t="inlineStr"/>
      <c r="R1048" t="inlineStr"/>
      <c r="S1048" t="inlineStr"/>
      <c r="T1048" t="inlineStr"/>
      <c r="U1048">
        <f>INDEX(FactorTable!$B$2:$Y$301, MATCH(ROUND(MIN(300,MAX(1,U1047)),0), FactorTable!$A$2:$A$301,0), 22)</f>
        <v/>
      </c>
      <c r="V1048" t="inlineStr"/>
    </row>
    <row r="1049">
      <c r="A1049">
        <f>Skills!A4</f>
        <v/>
      </c>
      <c r="B1049">
        <f>Skills!B4</f>
        <v/>
      </c>
      <c r="C1049">
        <f>Inputs!$B$3&gt;=105</f>
        <v/>
      </c>
      <c r="D1049">
        <f>IF(Skills!C4=1,60+Inputs!$B$25+Inputs!$B$29,IF(Skills!C4=2,90+Inputs!$B$26+Inputs!$B$29,IF(Skills!C4=3,120+Inputs!$B$27+Inputs!$B$29,MAX(0,(Inputs!$B$3-100)*3)+Inputs!$B$28+Inputs!$B$29)))</f>
        <v/>
      </c>
      <c r="E1049">
        <f>INDEX(FactorTable!$B$2:$Y$301, MATCH(ROUND(MIN(300,MAX(1,D1049)),0), FactorTable!$A$2:$A$301,0), Skills!M4+1)</f>
        <v/>
      </c>
      <c r="F1049">
        <f>IF(Skills!N4=TRUE,(Skills!L4/10)*(E1049/1000),Skills!L4/10)+Skills!O4</f>
        <v/>
      </c>
      <c r="G1049" t="inlineStr"/>
      <c r="H1049" t="inlineStr"/>
      <c r="I1049" t="inlineStr">
        <is>
          <t>1</t>
        </is>
      </c>
      <c r="J1049" t="inlineStr"/>
      <c r="K1049" t="inlineStr"/>
      <c r="L1049" t="inlineStr"/>
      <c r="M1049" t="inlineStr"/>
      <c r="N1049" t="inlineStr"/>
      <c r="O1049" t="inlineStr"/>
      <c r="P1049" t="inlineStr"/>
      <c r="Q1049" t="inlineStr"/>
      <c r="R1049" t="inlineStr"/>
      <c r="S1049" t="inlineStr"/>
      <c r="T1049" t="inlineStr"/>
      <c r="U1049">
        <f>290*U1048/1000</f>
        <v/>
      </c>
      <c r="V1049" t="inlineStr"/>
    </row>
    <row r="1050">
      <c r="A1050">
        <f>Skills!A5</f>
        <v/>
      </c>
      <c r="B1050">
        <f>Skills!B5</f>
        <v/>
      </c>
      <c r="C1050">
        <f>Inputs!$B$3&gt;=35</f>
        <v/>
      </c>
      <c r="D1050">
        <f>IF(Skills!C5=1,60+Inputs!$B$25+Inputs!$B$29,IF(Skills!C5=2,90+Inputs!$B$26+Inputs!$B$29,IF(Skills!C5=3,120+Inputs!$B$27+Inputs!$B$29,MAX(0,(Inputs!$B$3-100)*3)+Inputs!$B$28+Inputs!$B$29)))</f>
        <v/>
      </c>
      <c r="E1050">
        <f>INDEX(FactorTable!$B$2:$Y$301, MATCH(ROUND(MIN(300,MAX(1,D1050)),0), FactorTable!$A$2:$A$301,0), Skills!M5+1)</f>
        <v/>
      </c>
      <c r="F1050">
        <f>IF(Skills!N5=TRUE,(Skills!L5/10)*(E1050/1000),Skills!L5/10)+Skills!O5</f>
        <v/>
      </c>
      <c r="G1050">
        <f>Skills!G5*IF(Skills!H5&gt;0,Skills!I5/Skills!H5,1)</f>
        <v/>
      </c>
      <c r="H1050">
        <f>1-(1-Skills!J5/100)^Skills!K5</f>
        <v/>
      </c>
      <c r="I1050" t="inlineStr">
        <is>
          <t>1</t>
        </is>
      </c>
      <c r="J1050">
        <f>((Inputs!$B$6*(1+(Inputs!$B$7+1)/100))+(((Inputs!$B$12*(1+Inputs!$B$13/100))-(Inputs!$B$12*(1+Inputs!$B$13/100)))+0.25*(Inputs!$B$14-Inputs!$B$14))*(1+(Inputs!$B$7+1)/100))*(F1050/100)</f>
        <v/>
      </c>
      <c r="K1050">
        <f>J1050*(1+((Inputs!$B$12*(1+Inputs!$B$13/100))*0.01+Inputs!$B$14*0.0025)/100)*(1+Inputs!$B$15/100)*(1+Inputs!$B$16/100)*(5000/(6000+Inputs!$B$42*(1-(Inputs!$B$19+((C1072=TRUE)*(F1072-Calc!F27)))/100)))*(1+(Inputs!$B$24+((C1070=TRUE)*(F1070-Calc!F25))+((C1071=TRUE)*(F1071-Calc!F26))+B1084)/100)*(1+4.0*IF(C1055=TRUE,F1055,0)/100)*(1+(IF(Skills!A5="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1050)</f>
        <v/>
      </c>
      <c r="L1050">
        <f>K1050*(MIN(Inputs!$B$22+((C1069=TRUE)*(F1069-Calc!F24)),Inputs!$B$23+((C1074=TRUE)*(F1074-Calc!F29)))/100+(Inputs!$B$23+((C1074=TRUE)*(F1074-Calc!F29)))/100)/2</f>
        <v/>
      </c>
      <c r="M1050">
        <f>L1050*(1+(Inputs!$B$10+0+B1083)/100)</f>
        <v/>
      </c>
      <c r="N1050">
        <f>L1050*(1-MIN((Inputs!$B$9+((C1065=TRUE)*(F1065-Calc!F20))+B1078),100)/100)+M1050*(MIN((Inputs!$B$9+((C1065=TRUE)*(F1065-Calc!F20))+B1078),100)/100)</f>
        <v/>
      </c>
      <c r="O1050">
        <f>(1-Summary!$B$55)*T1050+Summary!$B$55*V1050</f>
        <v/>
      </c>
      <c r="P1050">
        <f>IF(B1088=0,0,O1050/B1088)</f>
        <v/>
      </c>
      <c r="Q1050">
        <f>IFERROR(1/IF(Inputs!$B$38="pvp",15,MAX(0.1,Skills!D5-IF(Skills!E5=TRUE,Inputs!$B$32,0))),0)</f>
        <v/>
      </c>
      <c r="R1050">
        <f>IF(AND(Inputs!$B$38&lt;&gt;"pvp",Inputs!$B$43&gt;0),IF(MAX(0,Inputs!$B$43-B1085)&lt;=0,0,(INT(MAX(0,Inputs!$B$43-B1085)/IF(Inputs!$B$38="pvp",15,MAX(0.1,Skills!D5-IF(Skills!E5=TRUE,Inputs!$B$32,0))))+1)),0)</f>
        <v/>
      </c>
      <c r="S1050">
        <f>IFERROR(O1050/N1050,0)</f>
        <v/>
      </c>
      <c r="T1050">
        <f>IF(C1050,(H1050*N1050*IF(AND(Inputs!$B$38&lt;&gt;"pvp",Inputs!$B$43&gt;0),((Skills!G5*((R1050-1)*IF(Skills!H5&gt;0,Skills!I5/Skills!H5,1)+IF(Skills!H5&gt;0,MIN(Skills!I5,MAX(0,MAX(0,Inputs!$B$43-B1085)-((R1050-1)*IF(Inputs!$B$38="pvp",15,MAX(0.1,Skills!D5-IF(Skills!E5=TRUE,Inputs!$B$32,0))))))/Skills!H5,1)))/Inputs!$B$43),G1050*Q1050))*IF(Inputs!$B$38="pvp",1,1+(Inputs!$B$20+0+Skills!P5)/100),0)</f>
        <v/>
      </c>
      <c r="V1050">
        <f>IF(C1050,(H1050*N1050*IF(AND(Inputs!$B$38&lt;&gt;"pvp",Inputs!$B$43&gt;0),((Skills!G5*((R1050-1)*IF(Skills!H5&gt;0,Skills!I5/Skills!H5,1)+IF(Skills!H5&gt;0,MIN(Skills!I5,MAX(0,MAX(0,Inputs!$B$43-B1085)-((R1050-1)*IF(Inputs!$B$38="pvp",15,MAX(0.1,Skills!D5-IF(Skills!E5=TRUE,Inputs!$B$32,0))))))/Skills!H5,1)))/Inputs!$B$43),G1050*Q1050))*IF(Inputs!$B$38="pvp",1,(1+(Inputs!$B$21+Skills!Q5)/100)*(MIN(Skills!R5,Inputs!$B$37))),0)</f>
        <v/>
      </c>
    </row>
    <row r="1051">
      <c r="A1051">
        <f>Skills!A6</f>
        <v/>
      </c>
      <c r="B1051">
        <f>Skills!B6</f>
        <v/>
      </c>
      <c r="C1051">
        <f>Inputs!$B$3&gt;=40</f>
        <v/>
      </c>
      <c r="D1051">
        <f>IF(Skills!C6=1,60+Inputs!$B$25+Inputs!$B$29,IF(Skills!C6=2,90+Inputs!$B$26+Inputs!$B$29,IF(Skills!C6=3,120+Inputs!$B$27+Inputs!$B$29,MAX(0,(Inputs!$B$3-100)*3)+Inputs!$B$28+Inputs!$B$29)))</f>
        <v/>
      </c>
      <c r="E1051">
        <f>INDEX(FactorTable!$B$2:$Y$301, MATCH(ROUND(MIN(300,MAX(1,D1051)),0), FactorTable!$A$2:$A$301,0), Skills!M6+1)</f>
        <v/>
      </c>
      <c r="F1051">
        <f>IF(Skills!N6=TRUE,(Skills!L6/10)*(E1051/1000),Skills!L6/10)+Skills!O6</f>
        <v/>
      </c>
      <c r="G1051">
        <f>Skills!G6*IF(Skills!H6&gt;0,Skills!I6/Skills!H6,1)</f>
        <v/>
      </c>
      <c r="H1051">
        <f>1-(1-Skills!J6/100)^Skills!K6</f>
        <v/>
      </c>
      <c r="I1051" t="inlineStr">
        <is>
          <t>1</t>
        </is>
      </c>
      <c r="J1051">
        <f>((Inputs!$B$6*(1+(Inputs!$B$7+1)/100))+(((Inputs!$B$12*(1+Inputs!$B$13/100))-(Inputs!$B$12*(1+Inputs!$B$13/100)))+0.25*(Inputs!$B$14-Inputs!$B$14))*(1+(Inputs!$B$7+1)/100))*(F1051/100)</f>
        <v/>
      </c>
      <c r="K1051">
        <f>J1051*(1+((Inputs!$B$12*(1+Inputs!$B$13/100))*0.01+Inputs!$B$14*0.0025)/100)*(1+Inputs!$B$15/100)*(1+Inputs!$B$16/100)*(5000/(6000+Inputs!$B$42*(1-(Inputs!$B$19+((C1072=TRUE)*(F1072-Calc!F27)))/100)))*(1+(Inputs!$B$24+((C1070=TRUE)*(F1070-Calc!F25))+((C1071=TRUE)*(F1071-Calc!F26))+B1084)/100)*(1+IF(C1052=TRUE,F1052,0)/100)*(1+(IF(Skills!A6="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1051)</f>
        <v/>
      </c>
      <c r="L1051">
        <f>K1051*(MIN(Inputs!$B$22+((C1069=TRUE)*(F1069-Calc!F24)),Inputs!$B$23+((C1074=TRUE)*(F1074-Calc!F29)))/100+(Inputs!$B$23+((C1074=TRUE)*(F1074-Calc!F29)))/100)/2</f>
        <v/>
      </c>
      <c r="M1051">
        <f>L1051*(1+(Inputs!$B$10+0+B1083)/100)</f>
        <v/>
      </c>
      <c r="N1051">
        <f>L1051*(1-MIN((Inputs!$B$9+((C1065=TRUE)*(F1065-Calc!F20))+B1078),100)/100)+M1051*(MIN((Inputs!$B$9+((C1065=TRUE)*(F1065-Calc!F20))+B1078),100)/100)</f>
        <v/>
      </c>
      <c r="O1051">
        <f>(1-Summary!$B$55)*T1051+Summary!$B$55*V1051</f>
        <v/>
      </c>
      <c r="P1051">
        <f>IF(B1088=0,0,O1051/B1088)</f>
        <v/>
      </c>
      <c r="Q1051">
        <f>IFERROR(1/IF(Inputs!$B$38="pvp",15,MAX(0.1,Skills!D6-IF(Skills!E6=TRUE,Inputs!$B$32,0))),0)</f>
        <v/>
      </c>
      <c r="R1051">
        <f>IF(AND(Inputs!$B$38&lt;&gt;"pvp",Inputs!$B$43&gt;0),IF(MAX(0,Inputs!$B$43-B1085)&lt;=0,0,(INT(MAX(0,Inputs!$B$43-B1085)/IF(Inputs!$B$38="pvp",15,MAX(0.1,Skills!D6-IF(Skills!E6=TRUE,Inputs!$B$32,0))))+1)),0)</f>
        <v/>
      </c>
      <c r="S1051">
        <f>IFERROR(O1051/N1051,0)</f>
        <v/>
      </c>
      <c r="T1051">
        <f>IF(C1051,(H1051*N1051*IF(AND(Inputs!$B$38&lt;&gt;"pvp",Inputs!$B$43&gt;0),((Skills!G6*((R1051-1)*IF(Skills!H6&gt;0,Skills!I6/Skills!H6,1)+IF(Skills!H6&gt;0,MIN(Skills!I6,MAX(0,MAX(0,Inputs!$B$43-B1085)-((R1051-1)*IF(Inputs!$B$38="pvp",15,MAX(0.1,Skills!D6-IF(Skills!E6=TRUE,Inputs!$B$32,0))))))/Skills!H6,1)))/Inputs!$B$43),G1051*Q1051))*IF(Inputs!$B$38="pvp",1,1+(Inputs!$B$20+0+Skills!P6)/100),0)</f>
        <v/>
      </c>
      <c r="V1051">
        <f>IF(C1051,(H1051*N1051*IF(AND(Inputs!$B$38&lt;&gt;"pvp",Inputs!$B$43&gt;0),((Skills!G6*((R1051-1)*IF(Skills!H6&gt;0,Skills!I6/Skills!H6,1)+IF(Skills!H6&gt;0,MIN(Skills!I6,MAX(0,MAX(0,Inputs!$B$43-B1085)-((R1051-1)*IF(Inputs!$B$38="pvp",15,MAX(0.1,Skills!D6-IF(Skills!E6=TRUE,Inputs!$B$32,0))))))/Skills!H6,1)))/Inputs!$B$43),G1051*Q1051))*IF(Inputs!$B$38="pvp",1,(1+(Inputs!$B$21+Skills!Q6)/100)*(MIN(Skills!R6,Inputs!$B$37))),0)</f>
        <v/>
      </c>
    </row>
    <row r="1052">
      <c r="A1052">
        <f>Skills!A7</f>
        <v/>
      </c>
      <c r="B1052">
        <f>Skills!B7</f>
        <v/>
      </c>
      <c r="C1052">
        <f>Inputs!$B$3&gt;=107</f>
        <v/>
      </c>
      <c r="D1052">
        <f>IF(Skills!C7=1,60+Inputs!$B$25+Inputs!$B$29,IF(Skills!C7=2,90+Inputs!$B$26+Inputs!$B$29,IF(Skills!C7=3,120+Inputs!$B$27+Inputs!$B$29,MAX(0,(Inputs!$B$3-100)*3)+Inputs!$B$28+Inputs!$B$29)))</f>
        <v/>
      </c>
      <c r="E1052">
        <f>INDEX(FactorTable!$B$2:$Y$301, MATCH(ROUND(MIN(300,MAX(1,D1052)),0), FactorTable!$A$2:$A$301,0), Skills!M7+1)</f>
        <v/>
      </c>
      <c r="F1052">
        <f>IF(Skills!N7=TRUE,(Skills!L7/10)*(E1052/1000),Skills!L7/10)+Skills!O7</f>
        <v/>
      </c>
      <c r="G1052" t="inlineStr"/>
      <c r="H1052" t="inlineStr"/>
      <c r="I1052" t="inlineStr">
        <is>
          <t>1</t>
        </is>
      </c>
      <c r="J1052" t="inlineStr"/>
      <c r="K1052" t="inlineStr"/>
      <c r="L1052" t="inlineStr"/>
      <c r="M1052" t="inlineStr"/>
      <c r="N1052" t="inlineStr"/>
      <c r="O1052" t="inlineStr"/>
      <c r="P1052" t="inlineStr"/>
      <c r="Q1052" t="inlineStr"/>
      <c r="R1052" t="inlineStr"/>
      <c r="S1052" t="inlineStr"/>
      <c r="T1052" t="inlineStr"/>
      <c r="V1052" t="inlineStr"/>
    </row>
    <row r="1053">
      <c r="A1053">
        <f>Skills!A8</f>
        <v/>
      </c>
      <c r="B1053">
        <f>Skills!B8</f>
        <v/>
      </c>
      <c r="C1053">
        <f>Inputs!$B$3&gt;=69</f>
        <v/>
      </c>
      <c r="D1053">
        <f>IF(Skills!C8=1,60+Inputs!$B$25+Inputs!$B$29,IF(Skills!C8=2,90+Inputs!$B$26+Inputs!$B$29,IF(Skills!C8=3,120+Inputs!$B$27+Inputs!$B$29,MAX(0,(Inputs!$B$3-100)*3)+Inputs!$B$28+Inputs!$B$29)))</f>
        <v/>
      </c>
      <c r="E1053">
        <f>INDEX(FactorTable!$B$2:$Y$301, MATCH(ROUND(MIN(300,MAX(1,D1053)),0), FactorTable!$A$2:$A$301,0), Skills!M8+1)</f>
        <v/>
      </c>
      <c r="F1053">
        <f>IF(Skills!N8=TRUE,(Skills!L8/10)*(E1053/1000),Skills!L8/10)+Skills!O8</f>
        <v/>
      </c>
      <c r="G1053">
        <f>Skills!G8*IF(Skills!H8&gt;0,Skills!I8/Skills!H8,1)</f>
        <v/>
      </c>
      <c r="H1053">
        <f>1-(1-Skills!J8/100)^Skills!K8</f>
        <v/>
      </c>
      <c r="I1053" t="inlineStr">
        <is>
          <t>1</t>
        </is>
      </c>
      <c r="J1053">
        <f>((Inputs!$B$6*(1+(Inputs!$B$7+1)/100))+(((Inputs!$B$12*(1+Inputs!$B$13/100))-(Inputs!$B$12*(1+Inputs!$B$13/100)))+0.25*(Inputs!$B$14-Inputs!$B$14))*(1+(Inputs!$B$7+1)/100))*(F1053/100)</f>
        <v/>
      </c>
      <c r="K1053">
        <f>J1053*(1+((Inputs!$B$12*(1+Inputs!$B$13/100))*0.01+Inputs!$B$14*0.0025)/100)*(1+Inputs!$B$15/100)*(1+Inputs!$B$16/100)*(5000/(6000+Inputs!$B$42*(1-(Inputs!$B$19+((C1072=TRUE)*(F1072-Calc!F27)))/100)))*(1+(Inputs!$B$24+((C1070=TRUE)*(F1070-Calc!F25))+((C1071=TRUE)*(F1071-Calc!F26))+B1084)/100)*(1+1.2*IF(C1055=TRUE,F1055,0)/100)*(1+(IF(Skills!A8="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1053)</f>
        <v/>
      </c>
      <c r="L1053">
        <f>K1053*(MIN(Inputs!$B$22+((C1069=TRUE)*(F1069-Calc!F24)),Inputs!$B$23+((C1074=TRUE)*(F1074-Calc!F29)))/100+(Inputs!$B$23+((C1074=TRUE)*(F1074-Calc!F29)))/100)/2</f>
        <v/>
      </c>
      <c r="M1053">
        <f>L1053*(1+(Inputs!$B$10+0+B1083)/100)</f>
        <v/>
      </c>
      <c r="N1053">
        <f>L1053*(1-MIN((Inputs!$B$9+((C1065=TRUE)*(F1065-Calc!F20))+B1078),100)/100)+M1053*(MIN((Inputs!$B$9+((C1065=TRUE)*(F1065-Calc!F20))+B1078),100)/100)</f>
        <v/>
      </c>
      <c r="O1053">
        <f>(1-Summary!$B$55)*T1053+Summary!$B$55*V1053</f>
        <v/>
      </c>
      <c r="P1053">
        <f>IF(B1088=0,0,O1053/B1088)</f>
        <v/>
      </c>
      <c r="Q1053">
        <f>IFERROR(1/IF(Inputs!$B$38="pvp",15,MAX(0.1,Skills!D8-IF(Skills!E8=TRUE,Inputs!$B$32,0))),0)</f>
        <v/>
      </c>
      <c r="R1053">
        <f>IF(AND(Inputs!$B$38&lt;&gt;"pvp",Inputs!$B$43&gt;0),IF(MAX(0,Inputs!$B$43-B1085)&lt;=0,0,(INT(MAX(0,Inputs!$B$43-B1085)/IF(Inputs!$B$38="pvp",15,MAX(0.1,Skills!D8-IF(Skills!E8=TRUE,Inputs!$B$32,0))))+1)),0)</f>
        <v/>
      </c>
      <c r="S1053">
        <f>IFERROR(O1053/N1053,0)</f>
        <v/>
      </c>
      <c r="T1053">
        <f>IF(C1053,(H1053*N1053*IF(AND(Inputs!$B$38&lt;&gt;"pvp",Inputs!$B$43&gt;0),((Skills!G8*((R1053-1)*IF(Skills!H8&gt;0,Skills!I8/Skills!H8,1)+IF(Skills!H8&gt;0,MIN(Skills!I8,MAX(0,MAX(0,Inputs!$B$43-B1085)-((R1053-1)*IF(Inputs!$B$38="pvp",15,MAX(0.1,Skills!D8-IF(Skills!E8=TRUE,Inputs!$B$32,0))))))/Skills!H8,1)))/Inputs!$B$43),G1053*Q1053))*IF(Inputs!$B$38="pvp",1,1+(Inputs!$B$20+0+Skills!P8)/100),0)</f>
        <v/>
      </c>
      <c r="V1053">
        <f>IF(C1053,(H1053*N1053*IF(AND(Inputs!$B$38&lt;&gt;"pvp",Inputs!$B$43&gt;0),((Skills!G8*((R1053-1)*IF(Skills!H8&gt;0,Skills!I8/Skills!H8,1)+IF(Skills!H8&gt;0,MIN(Skills!I8,MAX(0,MAX(0,Inputs!$B$43-B1085)-((R1053-1)*IF(Inputs!$B$38="pvp",15,MAX(0.1,Skills!D8-IF(Skills!E8=TRUE,Inputs!$B$32,0))))))/Skills!H8,1)))/Inputs!$B$43),G1053*Q1053))*IF(Inputs!$B$38="pvp",1,(1+(Inputs!$B$21+Skills!Q8)/100)*(MIN(Skills!R8,Inputs!$B$37))),0)</f>
        <v/>
      </c>
    </row>
    <row r="1054">
      <c r="A1054">
        <f>Skills!A9</f>
        <v/>
      </c>
      <c r="B1054">
        <f>Skills!B9</f>
        <v/>
      </c>
      <c r="C1054">
        <f>Inputs!$B$3&gt;=63</f>
        <v/>
      </c>
      <c r="D1054">
        <f>IF(Skills!C9=1,60+Inputs!$B$25+Inputs!$B$29,IF(Skills!C9=2,90+Inputs!$B$26+Inputs!$B$29,IF(Skills!C9=3,120+Inputs!$B$27+Inputs!$B$29,MAX(0,(Inputs!$B$3-100)*3)+Inputs!$B$28+Inputs!$B$29)))</f>
        <v/>
      </c>
      <c r="E1054">
        <f>INDEX(FactorTable!$B$2:$Y$301, MATCH(ROUND(MIN(300,MAX(1,D1054)),0), FactorTable!$A$2:$A$301,0), Skills!M9+1)</f>
        <v/>
      </c>
      <c r="F1054">
        <f>IF(Skills!N9=TRUE,(Skills!L9/10)*(E1054/1000),Skills!L9/10)+Skills!O9</f>
        <v/>
      </c>
      <c r="G1054">
        <f>Skills!G9*IF(Skills!H9&gt;0,Skills!I9/Skills!H9,1)</f>
        <v/>
      </c>
      <c r="H1054">
        <f>1-(1-Skills!J9/100)^Skills!K9</f>
        <v/>
      </c>
      <c r="I1054" t="inlineStr">
        <is>
          <t>1</t>
        </is>
      </c>
      <c r="J1054">
        <f>((Inputs!$B$6*(1+(Inputs!$B$7+1)/100))+(((Inputs!$B$12*(1+Inputs!$B$13/100))-(Inputs!$B$12*(1+Inputs!$B$13/100)))+0.25*(Inputs!$B$14-Inputs!$B$14))*(1+(Inputs!$B$7+1)/100))*(F1054/100)</f>
        <v/>
      </c>
      <c r="K1054">
        <f>J1054*(1+((Inputs!$B$12*(1+Inputs!$B$13/100))*0.01+Inputs!$B$14*0.0025)/100)*(1+Inputs!$B$15/100)*(1+Inputs!$B$16/100)*(5000/(6000+Inputs!$B$42*(1-(Inputs!$B$19+((C1072=TRUE)*(F1072-Calc!F27)))/100)))*(1+(Inputs!$B$24+((C1070=TRUE)*(F1070-Calc!F25))+((C1071=TRUE)*(F1071-Calc!F26))+B1084)/100)*(1+1.0*IF(C1055=TRUE,F1055,0)/100)*(1+(IF(Skills!A9="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1054)</f>
        <v/>
      </c>
      <c r="L1054">
        <f>K1054*(MIN(Inputs!$B$22+((C1069=TRUE)*(F1069-Calc!F24)),Inputs!$B$23+((C1074=TRUE)*(F1074-Calc!F29)))/100+(Inputs!$B$23+((C1074=TRUE)*(F1074-Calc!F29)))/100)/2</f>
        <v/>
      </c>
      <c r="M1054">
        <f>L1054*(1+(Inputs!$B$10+0+B1083)/100)</f>
        <v/>
      </c>
      <c r="N1054">
        <f>L1054*(1-MIN((Inputs!$B$9+((C1065=TRUE)*(F1065-Calc!F20))+B1078),100)/100)+M1054*(MIN((Inputs!$B$9+((C1065=TRUE)*(F1065-Calc!F20))+B1078),100)/100)</f>
        <v/>
      </c>
      <c r="O1054">
        <f>(1-Summary!$B$55)*T1054+Summary!$B$55*V1054</f>
        <v/>
      </c>
      <c r="P1054">
        <f>IF(B1088=0,0,O1054/B1088)</f>
        <v/>
      </c>
      <c r="Q1054">
        <f>IFERROR(1/IF(Inputs!$B$38="pvp",15,MAX(0.1,Skills!D9-IF(Skills!E9=TRUE,Inputs!$B$32,0))),0)</f>
        <v/>
      </c>
      <c r="R1054">
        <f>IF(AND(Inputs!$B$38&lt;&gt;"pvp",Inputs!$B$43&gt;0),IF(MAX(0,Inputs!$B$43-B1085)&lt;=0,0,(INT(MAX(0,Inputs!$B$43-B1085)/IF(Inputs!$B$38="pvp",15,MAX(0.1,Skills!D9-IF(Skills!E9=TRUE,Inputs!$B$32,0))))+1)),0)</f>
        <v/>
      </c>
      <c r="S1054">
        <f>IFERROR(O1054/N1054,0)</f>
        <v/>
      </c>
      <c r="T1054">
        <f>IF(C1054,(H1054*N1054*IF(AND(Inputs!$B$38&lt;&gt;"pvp",Inputs!$B$43&gt;0),((Skills!G9*((R1054-1)*IF(Skills!H9&gt;0,Skills!I9/Skills!H9,1)+IF(Skills!H9&gt;0,MIN(Skills!I9,MAX(0,MAX(0,Inputs!$B$43-B1085)-((R1054-1)*IF(Inputs!$B$38="pvp",15,MAX(0.1,Skills!D9-IF(Skills!E9=TRUE,Inputs!$B$32,0))))))/Skills!H9,1)))/Inputs!$B$43),G1054*Q1054))*IF(Inputs!$B$38="pvp",1,1+(Inputs!$B$20+0+Skills!P9)/100),0)</f>
        <v/>
      </c>
      <c r="V1054">
        <f>IF(C1054,(H1054*N1054*IF(AND(Inputs!$B$38&lt;&gt;"pvp",Inputs!$B$43&gt;0),((Skills!G9*((R1054-1)*IF(Skills!H9&gt;0,Skills!I9/Skills!H9,1)+IF(Skills!H9&gt;0,MIN(Skills!I9,MAX(0,MAX(0,Inputs!$B$43-B1085)-((R1054-1)*IF(Inputs!$B$38="pvp",15,MAX(0.1,Skills!D9-IF(Skills!E9=TRUE,Inputs!$B$32,0))))))/Skills!H9,1)))/Inputs!$B$43),G1054*Q1054))*IF(Inputs!$B$38="pvp",1,(1+(Inputs!$B$21+Skills!Q9)/100)*(MIN(Skills!R9,Inputs!$B$37))),0)</f>
        <v/>
      </c>
    </row>
    <row r="1055">
      <c r="A1055">
        <f>Skills!A10</f>
        <v/>
      </c>
      <c r="B1055">
        <f>Skills!B10</f>
        <v/>
      </c>
      <c r="C1055">
        <f>Inputs!$B$3&gt;=100</f>
        <v/>
      </c>
      <c r="D1055">
        <f>IF(Skills!C10=1,60+Inputs!$B$25+Inputs!$B$29,IF(Skills!C10=2,90+Inputs!$B$26+Inputs!$B$29,IF(Skills!C10=3,120+Inputs!$B$27+Inputs!$B$29,MAX(0,(Inputs!$B$3-100)*3)+Inputs!$B$28+Inputs!$B$29)))</f>
        <v/>
      </c>
      <c r="E1055">
        <f>INDEX(FactorTable!$B$2:$Y$301, MATCH(ROUND(MIN(300,MAX(1,D1055)),0), FactorTable!$A$2:$A$301,0), Skills!M10+1)</f>
        <v/>
      </c>
      <c r="F1055">
        <f>IF(Skills!N10=TRUE,(Skills!L10/10)*(E1055/1000),Skills!L10/10)+Skills!O10</f>
        <v/>
      </c>
      <c r="G1055" t="inlineStr"/>
      <c r="H1055" t="inlineStr"/>
      <c r="I1055" t="inlineStr">
        <is>
          <t>1</t>
        </is>
      </c>
      <c r="J1055" t="inlineStr"/>
      <c r="K1055" t="inlineStr"/>
      <c r="L1055" t="inlineStr"/>
      <c r="M1055" t="inlineStr"/>
      <c r="N1055" t="inlineStr"/>
      <c r="O1055" t="inlineStr"/>
      <c r="P1055" t="inlineStr"/>
      <c r="Q1055" t="inlineStr"/>
      <c r="R1055" t="inlineStr"/>
      <c r="S1055" t="inlineStr"/>
      <c r="T1055" t="inlineStr"/>
      <c r="V1055" t="inlineStr"/>
    </row>
    <row r="1056">
      <c r="A1056">
        <f>Skills!A11</f>
        <v/>
      </c>
      <c r="B1056">
        <f>Skills!B11</f>
        <v/>
      </c>
      <c r="C1056">
        <f>Inputs!$B$3&gt;=60</f>
        <v/>
      </c>
      <c r="D1056">
        <f>IF(Skills!C11=1,60+Inputs!$B$25+Inputs!$B$29,IF(Skills!C11=2,90+Inputs!$B$26+Inputs!$B$29,IF(Skills!C11=3,120+Inputs!$B$27+Inputs!$B$29,MAX(0,(Inputs!$B$3-100)*3)+Inputs!$B$28+Inputs!$B$29)))</f>
        <v/>
      </c>
      <c r="E1056">
        <f>INDEX(FactorTable!$B$2:$Y$301, MATCH(ROUND(MIN(300,MAX(1,D1056)),0), FactorTable!$A$2:$A$301,0), Skills!M11+1)</f>
        <v/>
      </c>
      <c r="F1056">
        <f>IF(Skills!N11=TRUE,(Skills!L11/10)*(E1056/1000),Skills!L11/10)+Skills!O11</f>
        <v/>
      </c>
      <c r="G1056">
        <f>Skills!G11*IF(Skills!H11&gt;0,Skills!I11/Skills!H11,1)</f>
        <v/>
      </c>
      <c r="H1056">
        <f>1-(1-Skills!J11/100)^Skills!K11</f>
        <v/>
      </c>
      <c r="I1056" t="inlineStr">
        <is>
          <t>1</t>
        </is>
      </c>
      <c r="J1056">
        <f>((Inputs!$B$6*(1+(Inputs!$B$7+1)/100))+(((Inputs!$B$12*(1+Inputs!$B$13/100))-(Inputs!$B$12*(1+Inputs!$B$13/100)))+0.25*(Inputs!$B$14-Inputs!$B$14))*(1+(Inputs!$B$7+1)/100))*(F1056/100)</f>
        <v/>
      </c>
      <c r="K1056">
        <f>J1056*(1+((Inputs!$B$12*(1+Inputs!$B$13/100))*0.01+Inputs!$B$14*0.0025)/100)*(1+Inputs!$B$15/100)*(1+Inputs!$B$16/100)*(5000/(6000+Inputs!$B$42*(1-(Inputs!$B$19+((C1072=TRUE)*(F1072-Calc!F27)))/100)))*(1+(Inputs!$B$24+((C1070=TRUE)*(F1070-Calc!F25))+((C1071=TRUE)*(F1071-Calc!F26))+B1084)/100)*(1+IF(C1057=TRUE,F1057,0)/100)*(1+(IF(Skills!A11="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1056)</f>
        <v/>
      </c>
      <c r="L1056">
        <f>K1056*(MIN(Inputs!$B$22+((C1069=TRUE)*(F1069-Calc!F24)),Inputs!$B$23+((C1074=TRUE)*(F1074-Calc!F29)))/100+(Inputs!$B$23+((C1074=TRUE)*(F1074-Calc!F29)))/100)/2</f>
        <v/>
      </c>
      <c r="M1056">
        <f>L1056*(1+(Inputs!$B$10+0+B1083)/100)</f>
        <v/>
      </c>
      <c r="N1056">
        <f>L1056*(1-MIN((Inputs!$B$9+((C1065=TRUE)*(F1065-Calc!F20))+B1078),100)/100)+M1056*(MIN((Inputs!$B$9+((C1065=TRUE)*(F1065-Calc!F20))+B1078),100)/100)</f>
        <v/>
      </c>
      <c r="O1056">
        <f>(1-Summary!$B$55)*T1056+Summary!$B$55*V1056</f>
        <v/>
      </c>
      <c r="P1056">
        <f>IF(B1088=0,0,O1056/B1088)</f>
        <v/>
      </c>
      <c r="Q1056">
        <f>IFERROR(1/IF(Inputs!$B$38="pvp",15,MAX(0.1,Skills!D11-IF(Skills!E11=TRUE,Inputs!$B$32,0))),0)</f>
        <v/>
      </c>
      <c r="R1056">
        <f>IF(AND(Inputs!$B$38&lt;&gt;"pvp",Inputs!$B$43&gt;0),IF(MAX(0,Inputs!$B$43-B1085)&lt;=0,0,(INT(MAX(0,Inputs!$B$43-B1085)/IF(Inputs!$B$38="pvp",15,MAX(0.1,Skills!D11-IF(Skills!E11=TRUE,Inputs!$B$32,0))))+1)),0)</f>
        <v/>
      </c>
      <c r="S1056">
        <f>IFERROR(O1056/N1056,0)</f>
        <v/>
      </c>
      <c r="T1056">
        <f>IF(C1056,(H1056*N1056*IF(AND(Inputs!$B$38&lt;&gt;"pvp",Inputs!$B$43&gt;0),((Skills!G11*((R1056-1)*IF(Skills!H11&gt;0,Skills!I11/Skills!H11,1)+IF(Skills!H11&gt;0,MIN(Skills!I11,MAX(0,MAX(0,Inputs!$B$43-B1085)-((R1056-1)*IF(Inputs!$B$38="pvp",15,MAX(0.1,Skills!D11-IF(Skills!E11=TRUE,Inputs!$B$32,0))))))/Skills!H11,1)))/Inputs!$B$43),G1056*Q1056))*IF(Inputs!$B$38="pvp",1,1+(Inputs!$B$20+0+Skills!P11)/100),0)</f>
        <v/>
      </c>
      <c r="V1056">
        <f>IF(C1056,(H1056*N1056*IF(AND(Inputs!$B$38&lt;&gt;"pvp",Inputs!$B$43&gt;0),((Skills!G11*((R1056-1)*IF(Skills!H11&gt;0,Skills!I11/Skills!H11,1)+IF(Skills!H11&gt;0,MIN(Skills!I11,MAX(0,MAX(0,Inputs!$B$43-B1085)-((R1056-1)*IF(Inputs!$B$38="pvp",15,MAX(0.1,Skills!D11-IF(Skills!E11=TRUE,Inputs!$B$32,0))))))/Skills!H11,1)))/Inputs!$B$43),G1056*Q1056))*IF(Inputs!$B$38="pvp",1,(1+(Inputs!$B$21+Skills!Q11)/100)*(MIN(Skills!R11,Inputs!$B$37))),0)</f>
        <v/>
      </c>
    </row>
    <row r="1057">
      <c r="A1057">
        <f>Skills!A12</f>
        <v/>
      </c>
      <c r="B1057">
        <f>Skills!B12</f>
        <v/>
      </c>
      <c r="C1057">
        <f>Inputs!$B$3&gt;=110</f>
        <v/>
      </c>
      <c r="D1057">
        <f>IF(Skills!C12=1,60+Inputs!$B$25+Inputs!$B$29,IF(Skills!C12=2,90+Inputs!$B$26+Inputs!$B$29,IF(Skills!C12=3,120+Inputs!$B$27+Inputs!$B$29,MAX(0,(Inputs!$B$3-100)*3)+Inputs!$B$28+Inputs!$B$29)))</f>
        <v/>
      </c>
      <c r="E1057">
        <f>INDEX(FactorTable!$B$2:$Y$301, MATCH(ROUND(MIN(300,MAX(1,D1057)),0), FactorTable!$A$2:$A$301,0), Skills!M12+1)</f>
        <v/>
      </c>
      <c r="F1057">
        <f>IF(Skills!N12=TRUE,(Skills!L12/10)*(E1057/1000),Skills!L12/10)+Skills!O12</f>
        <v/>
      </c>
      <c r="G1057" t="inlineStr"/>
      <c r="H1057" t="inlineStr"/>
      <c r="I1057" t="inlineStr">
        <is>
          <t>1</t>
        </is>
      </c>
      <c r="J1057" t="inlineStr"/>
      <c r="K1057" t="inlineStr"/>
      <c r="L1057" t="inlineStr"/>
      <c r="M1057" t="inlineStr"/>
      <c r="N1057" t="inlineStr"/>
      <c r="O1057" t="inlineStr"/>
      <c r="P1057" t="inlineStr"/>
      <c r="Q1057" t="inlineStr"/>
      <c r="R1057" t="inlineStr"/>
      <c r="S1057" t="inlineStr"/>
      <c r="T1057" t="inlineStr"/>
      <c r="V1057" t="inlineStr"/>
    </row>
    <row r="1058">
      <c r="A1058">
        <f>Skills!A13</f>
        <v/>
      </c>
      <c r="B1058">
        <f>Skills!B13</f>
        <v/>
      </c>
      <c r="C1058">
        <f>Inputs!$B$3&gt;=74</f>
        <v/>
      </c>
      <c r="D1058">
        <f>IF(Skills!C13=1,60+Inputs!$B$25+Inputs!$B$29,IF(Skills!C13=2,90+Inputs!$B$26+Inputs!$B$29,IF(Skills!C13=3,120+Inputs!$B$27+Inputs!$B$29,MAX(0,(Inputs!$B$3-100)*3)+Inputs!$B$28+Inputs!$B$29)))</f>
        <v/>
      </c>
      <c r="E1058">
        <f>INDEX(FactorTable!$B$2:$Y$301, MATCH(ROUND(MIN(300,MAX(1,D1058)),0), FactorTable!$A$2:$A$301,0), Skills!M13+1)</f>
        <v/>
      </c>
      <c r="F1058">
        <f>IF(Skills!N13=TRUE,(Skills!L13/10)*(E1058/1000),Skills!L13/10)+Skills!O13</f>
        <v/>
      </c>
      <c r="G1058">
        <f>Skills!G13*IF(Skills!H13&gt;0,Skills!I13/Skills!H13,1)</f>
        <v/>
      </c>
      <c r="H1058">
        <f>1-(1-Skills!J13/100)^Skills!K13</f>
        <v/>
      </c>
      <c r="I1058" t="inlineStr">
        <is>
          <t>1</t>
        </is>
      </c>
      <c r="J1058" t="inlineStr"/>
      <c r="K1058" t="inlineStr"/>
      <c r="L1058" t="inlineStr"/>
      <c r="M1058" t="inlineStr"/>
      <c r="N1058" t="inlineStr"/>
      <c r="O1058">
        <f>(1-Summary!$B$55)*T1058+Summary!$B$55*V1058</f>
        <v/>
      </c>
      <c r="P1058">
        <f>IF(B1088=0,0,O1058/B1088)</f>
        <v/>
      </c>
      <c r="Q1058" t="n">
        <v>0</v>
      </c>
      <c r="R1058" t="n">
        <v>0</v>
      </c>
      <c r="S1058">
        <f>IFERROR(O1058/N1058,0)</f>
        <v/>
      </c>
      <c r="T1058" t="n">
        <v>0</v>
      </c>
      <c r="V1058" t="n">
        <v>0</v>
      </c>
    </row>
    <row r="1059">
      <c r="A1059">
        <f>Skills!A14</f>
        <v/>
      </c>
      <c r="B1059">
        <f>Skills!B14</f>
        <v/>
      </c>
      <c r="C1059">
        <f>Inputs!$B$3&gt;=74</f>
        <v/>
      </c>
      <c r="D1059">
        <f>IF(Skills!C14=1,60+Inputs!$B$25+Inputs!$B$29,IF(Skills!C14=2,90+Inputs!$B$26+Inputs!$B$29,IF(Skills!C14=3,120+Inputs!$B$27+Inputs!$B$29,MAX(0,(Inputs!$B$3-100)*3)+Inputs!$B$28+Inputs!$B$29)))</f>
        <v/>
      </c>
      <c r="E1059">
        <f>INDEX(FactorTable!$B$2:$Y$301, MATCH(ROUND(MIN(300,MAX(1,D1059)),0), FactorTable!$A$2:$A$301,0), Skills!M14+1)</f>
        <v/>
      </c>
      <c r="F1059">
        <f>IF(Skills!N14=TRUE,(Skills!L14/10)*(E1059/1000),Skills!L14/10)+Skills!O14</f>
        <v/>
      </c>
      <c r="G1059">
        <f>Skills!G14*IF(Skills!H14&gt;0,Skills!I14/Skills!H14,1)</f>
        <v/>
      </c>
      <c r="H1059">
        <f>1-(1-Skills!J14/100)^Skills!K14</f>
        <v/>
      </c>
      <c r="I1059" t="inlineStr">
        <is>
          <t>1</t>
        </is>
      </c>
      <c r="J1059" t="inlineStr"/>
      <c r="K1059" t="inlineStr"/>
      <c r="L1059" t="inlineStr"/>
      <c r="M1059" t="inlineStr"/>
      <c r="N1059" t="inlineStr"/>
      <c r="O1059">
        <f>(1-Summary!$B$55)*T1059+Summary!$B$55*V1059</f>
        <v/>
      </c>
      <c r="P1059">
        <f>IF(B1088=0,0,O1059/B1088)</f>
        <v/>
      </c>
      <c r="Q1059" t="n">
        <v>0</v>
      </c>
      <c r="R1059" t="n">
        <v>0</v>
      </c>
      <c r="S1059">
        <f>IFERROR(O1059/N1059,0)</f>
        <v/>
      </c>
      <c r="T1059" t="n">
        <v>0</v>
      </c>
      <c r="V1059" t="n">
        <v>0</v>
      </c>
    </row>
    <row r="1060">
      <c r="A1060">
        <f>Skills!A15</f>
        <v/>
      </c>
      <c r="B1060">
        <f>Skills!B15</f>
        <v/>
      </c>
      <c r="C1060">
        <f>Inputs!$B$3&gt;=117</f>
        <v/>
      </c>
      <c r="D1060">
        <f>IF(Skills!C15=1,60+Inputs!$B$25+Inputs!$B$29,IF(Skills!C15=2,90+Inputs!$B$26+Inputs!$B$29,IF(Skills!C15=3,120+Inputs!$B$27+Inputs!$B$29,MAX(0,(Inputs!$B$3-100)*3)+Inputs!$B$28+Inputs!$B$29)))</f>
        <v/>
      </c>
      <c r="E1060">
        <f>INDEX(FactorTable!$B$2:$Y$301, MATCH(ROUND(MIN(300,MAX(1,D1060)),0), FactorTable!$A$2:$A$301,0), Skills!M15+1)</f>
        <v/>
      </c>
      <c r="F1060">
        <f>IF(Skills!N15=TRUE,(Skills!L15/10)*(E1060/1000),Skills!L15/10)+Skills!O15</f>
        <v/>
      </c>
      <c r="G1060">
        <f>Skills!G15*IF(Skills!H15&gt;0,Skills!I15/Skills!H15,1)</f>
        <v/>
      </c>
      <c r="H1060">
        <f>1-(1-Skills!J15/100)^Skills!K15</f>
        <v/>
      </c>
      <c r="I1060" t="inlineStr">
        <is>
          <t>1</t>
        </is>
      </c>
      <c r="J1060" t="inlineStr"/>
      <c r="K1060" t="inlineStr"/>
      <c r="L1060" t="inlineStr"/>
      <c r="M1060" t="inlineStr"/>
      <c r="N1060" t="inlineStr"/>
      <c r="O1060">
        <f>(1-Summary!$B$55)*T1060+Summary!$B$55*V1060</f>
        <v/>
      </c>
      <c r="P1060">
        <f>IF(B1088=0,0,O1060/B1088)</f>
        <v/>
      </c>
      <c r="Q1060">
        <f>IFERROR(1/IF(Inputs!$B$38="pvp",15,MAX(0.1,Skills!D15-IF(Skills!E15=TRUE,Inputs!$B$32,0))),0)</f>
        <v/>
      </c>
      <c r="R1060">
        <f>IF(AND(Inputs!$B$38&lt;&gt;"pvp",Inputs!$B$43&gt;0),IF(Inputs!$B$43&lt;=0,0,(INT(Inputs!$B$43/IF(Inputs!$B$38="pvp",15,MAX(0.1,Skills!D15-IF(Skills!E15=TRUE,Inputs!$B$32,0))))+1)),0)</f>
        <v/>
      </c>
      <c r="S1060">
        <f>IFERROR(O1060/N1060,0)</f>
        <v/>
      </c>
      <c r="T1060" t="n">
        <v>0</v>
      </c>
      <c r="V1060" t="n">
        <v>0</v>
      </c>
    </row>
    <row r="1061">
      <c r="A1061">
        <f>Skills!A16</f>
        <v/>
      </c>
      <c r="B1061">
        <f>Skills!B16</f>
        <v/>
      </c>
      <c r="C1061">
        <f>Inputs!$B$3&gt;=115</f>
        <v/>
      </c>
      <c r="D1061">
        <f>IF(Skills!C16=1,60+Inputs!$B$25+Inputs!$B$29,IF(Skills!C16=2,90+Inputs!$B$26+Inputs!$B$29,IF(Skills!C16=3,120+Inputs!$B$27+Inputs!$B$29,MAX(0,(Inputs!$B$3-100)*3)+Inputs!$B$28+Inputs!$B$29)))</f>
        <v/>
      </c>
      <c r="E1061">
        <f>INDEX(FactorTable!$B$2:$Y$301, MATCH(ROUND(MIN(300,MAX(1,D1061)),0), FactorTable!$A$2:$A$301,0), Skills!M16+1)</f>
        <v/>
      </c>
      <c r="F1061">
        <f>IF(Skills!N16=TRUE,(Skills!L16/10)*(E1061/1000),Skills!L16/10)+Skills!O16</f>
        <v/>
      </c>
      <c r="G1061">
        <f>Skills!G16*IF(Skills!H16&gt;0,Skills!I16/Skills!H16,1)</f>
        <v/>
      </c>
      <c r="H1061">
        <f>1-(1-Skills!J16/100)^Skills!K16</f>
        <v/>
      </c>
      <c r="I1061" t="inlineStr">
        <is>
          <t>1</t>
        </is>
      </c>
      <c r="J1061" t="inlineStr"/>
      <c r="K1061" t="inlineStr"/>
      <c r="L1061" t="inlineStr"/>
      <c r="M1061" t="inlineStr"/>
      <c r="N1061" t="inlineStr"/>
      <c r="O1061">
        <f>(1-Summary!$B$55)*T1061+Summary!$B$55*V1061</f>
        <v/>
      </c>
      <c r="P1061">
        <f>IF(B1088=0,0,O1061/B1088)</f>
        <v/>
      </c>
      <c r="Q1061">
        <f>IFERROR(1/IF(Inputs!$B$38="pvp",15,MAX(0.1,Skills!D16-IF(Skills!E16=TRUE,Inputs!$B$32,0))),0)</f>
        <v/>
      </c>
      <c r="R1061">
        <f>IF(AND(Inputs!$B$38&lt;&gt;"pvp",Inputs!$B$43&gt;0),IF(Inputs!$B$43&lt;=0,0,(INT(Inputs!$B$43/IF(Inputs!$B$38="pvp",15,MAX(0.1,Skills!D16-IF(Skills!E16=TRUE,Inputs!$B$32,0))))+1)),0)</f>
        <v/>
      </c>
      <c r="S1061">
        <f>IFERROR(O1061/N1061,0)</f>
        <v/>
      </c>
      <c r="T1061" t="n">
        <v>0</v>
      </c>
      <c r="V1061" t="n">
        <v>0</v>
      </c>
    </row>
    <row r="1062">
      <c r="A1062">
        <f>Skills!A17</f>
        <v/>
      </c>
      <c r="B1062">
        <f>Skills!B17</f>
        <v/>
      </c>
      <c r="C1062">
        <f>Inputs!$B$3&gt;=66</f>
        <v/>
      </c>
      <c r="D1062">
        <f>IF(Skills!C17=1,60+Inputs!$B$25+Inputs!$B$29,IF(Skills!C17=2,90+Inputs!$B$26+Inputs!$B$29,IF(Skills!C17=3,120+Inputs!$B$27+Inputs!$B$29,MAX(0,(Inputs!$B$3-100)*3)+Inputs!$B$28+Inputs!$B$29)))</f>
        <v/>
      </c>
      <c r="E1062">
        <f>INDEX(FactorTable!$B$2:$Y$301, MATCH(ROUND(MIN(300,MAX(1,D1062)),0), FactorTable!$A$2:$A$301,0), Skills!M17+1)</f>
        <v/>
      </c>
      <c r="F1062">
        <f>IF(Skills!N17=TRUE,(Skills!L17/10)*(E1062/1000),Skills!L17/10)+Skills!O17</f>
        <v/>
      </c>
      <c r="G1062">
        <f>Skills!G17*IF(Skills!H17&gt;0,Skills!I17/Skills!H17,1)</f>
        <v/>
      </c>
      <c r="H1062">
        <f>1-(1-Skills!J17/100)^Skills!K17</f>
        <v/>
      </c>
      <c r="I1062" t="inlineStr">
        <is>
          <t>1</t>
        </is>
      </c>
      <c r="J1062" t="inlineStr"/>
      <c r="K1062" t="inlineStr"/>
      <c r="L1062" t="inlineStr"/>
      <c r="M1062" t="inlineStr"/>
      <c r="N1062" t="inlineStr"/>
      <c r="O1062">
        <f>(1-Summary!$B$55)*T1062+Summary!$B$55*V1062</f>
        <v/>
      </c>
      <c r="P1062">
        <f>IF(B1088=0,0,O1062/B1088)</f>
        <v/>
      </c>
      <c r="Q1062" t="n">
        <v>0</v>
      </c>
      <c r="R1062" t="n">
        <v>0</v>
      </c>
      <c r="S1062">
        <f>IFERROR(O1062/N1062,0)</f>
        <v/>
      </c>
      <c r="T1062" t="n">
        <v>0</v>
      </c>
      <c r="V1062" t="n">
        <v>0</v>
      </c>
    </row>
    <row r="1063">
      <c r="A1063">
        <f>Skills!A18</f>
        <v/>
      </c>
      <c r="B1063">
        <f>Skills!B18</f>
        <v/>
      </c>
      <c r="C1063">
        <f>Inputs!$B$3&gt;=72</f>
        <v/>
      </c>
      <c r="D1063">
        <f>IF(Skills!C18=1,60+Inputs!$B$25+Inputs!$B$29,IF(Skills!C18=2,90+Inputs!$B$26+Inputs!$B$29,IF(Skills!C18=3,120+Inputs!$B$27+Inputs!$B$29,MAX(0,(Inputs!$B$3-100)*3)+Inputs!$B$28+Inputs!$B$29)))</f>
        <v/>
      </c>
      <c r="E1063">
        <f>INDEX(FactorTable!$B$2:$Y$301, MATCH(ROUND(MIN(300,MAX(1,D1063)),0), FactorTable!$A$2:$A$301,0), Skills!M18+1)</f>
        <v/>
      </c>
      <c r="F1063">
        <f>IF(Skills!N18=TRUE,(Skills!L18/10)*(E1063/1000),Skills!L18/10)+Skills!O18</f>
        <v/>
      </c>
      <c r="G1063">
        <f>Skills!G18*IF(Skills!H18&gt;0,Skills!I18/Skills!H18,1)</f>
        <v/>
      </c>
      <c r="H1063">
        <f>1-(1-Skills!J18/100)^Skills!K18</f>
        <v/>
      </c>
      <c r="I1063" t="inlineStr">
        <is>
          <t>1</t>
        </is>
      </c>
      <c r="J1063" t="inlineStr"/>
      <c r="K1063" t="inlineStr"/>
      <c r="L1063" t="inlineStr"/>
      <c r="M1063" t="inlineStr"/>
      <c r="N1063" t="inlineStr"/>
      <c r="O1063">
        <f>(1-Summary!$B$55)*T1063+Summary!$B$55*V1063</f>
        <v/>
      </c>
      <c r="P1063">
        <f>IF(B1088=0,0,O1063/B1088)</f>
        <v/>
      </c>
      <c r="Q1063" t="n">
        <v>0</v>
      </c>
      <c r="R1063" t="n">
        <v>0</v>
      </c>
      <c r="S1063">
        <f>IFERROR(O1063/N1063,0)</f>
        <v/>
      </c>
      <c r="T1063" t="n">
        <v>0</v>
      </c>
      <c r="V1063" t="n">
        <v>0</v>
      </c>
    </row>
    <row r="1064">
      <c r="A1064">
        <f>Skills!A19</f>
        <v/>
      </c>
      <c r="B1064">
        <f>Skills!B19</f>
        <v/>
      </c>
      <c r="C1064">
        <f>TRUE</f>
        <v/>
      </c>
      <c r="D1064">
        <f>IF(Skills!C19=1,60+Inputs!$B$25+Inputs!$B$29,IF(Skills!C19=2,90+Inputs!$B$26+Inputs!$B$29,IF(Skills!C19=3,120+Inputs!$B$27+Inputs!$B$29,MAX(0,(Inputs!$B$3-100)*3)+Inputs!$B$28+Inputs!$B$29)))</f>
        <v/>
      </c>
      <c r="E1064">
        <f>INDEX(FactorTable!$B$2:$Y$301, MATCH(ROUND(MIN(300,MAX(1,D1064)),0), FactorTable!$A$2:$A$301,0), Skills!M19+1)</f>
        <v/>
      </c>
      <c r="F1064">
        <f>IF(Skills!N19=TRUE,(Skills!L19/10)*(E1064/1000),Skills!L19/10)+Skills!O19</f>
        <v/>
      </c>
      <c r="G1064">
        <f>Skills!G19*IF(Skills!H19&gt;0,Skills!I19/Skills!H19,1)</f>
        <v/>
      </c>
      <c r="H1064">
        <f>1-(1-Skills!J19/100)^Skills!K19</f>
        <v/>
      </c>
      <c r="I1064" t="inlineStr">
        <is>
          <t>1</t>
        </is>
      </c>
      <c r="J1064" t="inlineStr"/>
      <c r="K1064" t="inlineStr"/>
      <c r="L1064" t="inlineStr"/>
      <c r="M1064" t="inlineStr"/>
      <c r="N1064" t="inlineStr"/>
      <c r="O1064">
        <f>(1-Summary!$B$55)*T1064+Summary!$B$55*V1064</f>
        <v/>
      </c>
      <c r="P1064">
        <f>IF(B1088=0,0,O1064/B1088)</f>
        <v/>
      </c>
      <c r="Q1064">
        <f>IFERROR(1/IF(Inputs!$B$38="pvp",15,MAX(0.1,Skills!D19-IF(Skills!E19=TRUE,Inputs!$B$32,0))),0)</f>
        <v/>
      </c>
      <c r="R1064">
        <f>IF(AND(Inputs!$B$38&lt;&gt;"pvp",Inputs!$B$43&gt;0),IF(Inputs!$B$43&lt;=0,0,(INT(Inputs!$B$43/IF(Inputs!$B$38="pvp",15,MAX(0.1,Skills!D19-IF(Skills!E19=TRUE,Inputs!$B$32,0))))+1)),0)</f>
        <v/>
      </c>
      <c r="S1064">
        <f>IFERROR(O1064/N1064,0)</f>
        <v/>
      </c>
      <c r="T1064" t="n">
        <v>0</v>
      </c>
      <c r="V1064" t="n">
        <v>0</v>
      </c>
    </row>
    <row r="1065">
      <c r="A1065">
        <f>Skills!A20</f>
        <v/>
      </c>
      <c r="B1065">
        <f>Skills!B20</f>
        <v/>
      </c>
      <c r="C1065">
        <f>Inputs!$B$3&gt;=15</f>
        <v/>
      </c>
      <c r="D1065">
        <f>IF(Skills!C20=1,60+Inputs!$B$25+Inputs!$B$29,IF(Skills!C20=2,90+Inputs!$B$26+Inputs!$B$29,IF(Skills!C20=3,120+Inputs!$B$27+Inputs!$B$29,MAX(0,(Inputs!$B$3-100)*3)+Inputs!$B$28+Inputs!$B$29)))</f>
        <v/>
      </c>
      <c r="E1065">
        <f>INDEX(FactorTable!$B$2:$Y$301, MATCH(ROUND(MIN(300,MAX(1,D1065)),0), FactorTable!$A$2:$A$301,0), Skills!M20+1)</f>
        <v/>
      </c>
      <c r="F1065">
        <f>IF(Skills!N20=TRUE,(Skills!L20/10)*(E1065/1000),Skills!L20/10)+Skills!O20</f>
        <v/>
      </c>
      <c r="G1065">
        <f>Skills!G20*IF(Skills!H20&gt;0,Skills!I20/Skills!H20,1)</f>
        <v/>
      </c>
      <c r="H1065">
        <f>1-(1-Skills!J20/100)^Skills!K20</f>
        <v/>
      </c>
      <c r="I1065" t="inlineStr">
        <is>
          <t>1</t>
        </is>
      </c>
      <c r="J1065" t="inlineStr"/>
      <c r="K1065" t="inlineStr"/>
      <c r="L1065" t="inlineStr"/>
      <c r="M1065" t="inlineStr"/>
      <c r="N1065" t="inlineStr"/>
      <c r="O1065">
        <f>(1-Summary!$B$55)*T1065+Summary!$B$55*V1065</f>
        <v/>
      </c>
      <c r="P1065">
        <f>IF(B1088=0,0,O1065/B1088)</f>
        <v/>
      </c>
      <c r="Q1065" t="n">
        <v>0</v>
      </c>
      <c r="R1065" t="n">
        <v>0</v>
      </c>
      <c r="S1065">
        <f>IFERROR(O1065/N1065,0)</f>
        <v/>
      </c>
      <c r="T1065" t="n">
        <v>0</v>
      </c>
      <c r="V1065" t="n">
        <v>0</v>
      </c>
    </row>
    <row r="1066">
      <c r="A1066">
        <f>Skills!A21</f>
        <v/>
      </c>
      <c r="B1066">
        <f>Skills!B21</f>
        <v/>
      </c>
      <c r="C1066">
        <f>Inputs!$B$3&gt;=10</f>
        <v/>
      </c>
      <c r="D1066">
        <f>IF(Skills!C21=1,60+Inputs!$B$25+Inputs!$B$29,IF(Skills!C21=2,90+Inputs!$B$26+Inputs!$B$29,IF(Skills!C21=3,120+Inputs!$B$27+Inputs!$B$29,MAX(0,(Inputs!$B$3-100)*3)+Inputs!$B$28+Inputs!$B$29)))</f>
        <v/>
      </c>
      <c r="E1066">
        <f>INDEX(FactorTable!$B$2:$Y$301, MATCH(ROUND(MIN(300,MAX(1,D1066)),0), FactorTable!$A$2:$A$301,0), Skills!M21+1)</f>
        <v/>
      </c>
      <c r="F1066">
        <f>IF(Skills!N21=TRUE,(Skills!L21/10)*(E1066/1000),Skills!L21/10)+Skills!O21</f>
        <v/>
      </c>
      <c r="G1066">
        <f>Skills!G21*IF(Skills!H21&gt;0,Skills!I21/Skills!H21,1)</f>
        <v/>
      </c>
      <c r="H1066">
        <f>1-(1-Skills!J21/100)^Skills!K21</f>
        <v/>
      </c>
      <c r="I1066" t="inlineStr">
        <is>
          <t>1</t>
        </is>
      </c>
      <c r="J1066" t="inlineStr"/>
      <c r="K1066" t="inlineStr"/>
      <c r="L1066" t="inlineStr"/>
      <c r="M1066" t="inlineStr"/>
      <c r="N1066" t="inlineStr"/>
      <c r="O1066">
        <f>(1-Summary!$B$55)*T1066+Summary!$B$55*V1066</f>
        <v/>
      </c>
      <c r="P1066">
        <f>IF(B1088=0,0,O1066/B1088)</f>
        <v/>
      </c>
      <c r="Q1066" t="n">
        <v>0</v>
      </c>
      <c r="R1066" t="n">
        <v>0</v>
      </c>
      <c r="S1066">
        <f>IFERROR(O1066/N1066,0)</f>
        <v/>
      </c>
      <c r="T1066" t="n">
        <v>0</v>
      </c>
      <c r="V1066" t="n">
        <v>0</v>
      </c>
    </row>
    <row r="1067">
      <c r="A1067">
        <f>Skills!A22</f>
        <v/>
      </c>
      <c r="B1067">
        <f>Skills!B22</f>
        <v/>
      </c>
      <c r="C1067">
        <f>Inputs!$B$3&gt;=33</f>
        <v/>
      </c>
      <c r="D1067">
        <f>IF(Skills!C22=1,60+Inputs!$B$25+Inputs!$B$29,IF(Skills!C22=2,90+Inputs!$B$26+Inputs!$B$29,IF(Skills!C22=3,120+Inputs!$B$27+Inputs!$B$29,MAX(0,(Inputs!$B$3-100)*3)+Inputs!$B$28+Inputs!$B$29)))</f>
        <v/>
      </c>
      <c r="E1067">
        <f>INDEX(FactorTable!$B$2:$Y$301, MATCH(ROUND(MIN(300,MAX(1,D1067)),0), FactorTable!$A$2:$A$301,0), Skills!M22+1)</f>
        <v/>
      </c>
      <c r="F1067">
        <f>IF(Skills!N22=TRUE,(Skills!L22/10)*(E1067/1000),Skills!L22/10)+Skills!O22</f>
        <v/>
      </c>
      <c r="G1067">
        <f>Skills!G22*IF(Skills!H22&gt;0,Skills!I22/Skills!H22,1)</f>
        <v/>
      </c>
      <c r="H1067">
        <f>1-(1-Skills!J22/100)^Skills!K22</f>
        <v/>
      </c>
      <c r="I1067" t="inlineStr">
        <is>
          <t>1</t>
        </is>
      </c>
      <c r="J1067" t="inlineStr"/>
      <c r="K1067" t="inlineStr"/>
      <c r="L1067" t="inlineStr"/>
      <c r="M1067" t="inlineStr"/>
      <c r="N1067" t="inlineStr"/>
      <c r="O1067">
        <f>(1-Summary!$B$55)*T1067+Summary!$B$55*V1067</f>
        <v/>
      </c>
      <c r="P1067">
        <f>IF(B1088=0,0,O1067/B1088)</f>
        <v/>
      </c>
      <c r="Q1067" t="n">
        <v>0</v>
      </c>
      <c r="R1067" t="n">
        <v>0</v>
      </c>
      <c r="S1067">
        <f>IFERROR(O1067/N1067,0)</f>
        <v/>
      </c>
      <c r="T1067" t="n">
        <v>0</v>
      </c>
      <c r="V1067" t="n">
        <v>0</v>
      </c>
    </row>
    <row r="1068">
      <c r="A1068">
        <f>Skills!A23</f>
        <v/>
      </c>
      <c r="B1068">
        <f>Skills!B23</f>
        <v/>
      </c>
      <c r="C1068">
        <f>Inputs!$B$3&gt;=38</f>
        <v/>
      </c>
      <c r="D1068">
        <f>IF(Skills!C23=1,60+Inputs!$B$25+Inputs!$B$29,IF(Skills!C23=2,90+Inputs!$B$26+Inputs!$B$29,IF(Skills!C23=3,120+Inputs!$B$27+Inputs!$B$29,MAX(0,(Inputs!$B$3-100)*3)+Inputs!$B$28+Inputs!$B$29)))</f>
        <v/>
      </c>
      <c r="E1068">
        <f>INDEX(FactorTable!$B$2:$Y$301, MATCH(ROUND(MIN(300,MAX(1,D1068)),0), FactorTable!$A$2:$A$301,0), Skills!M23+1)</f>
        <v/>
      </c>
      <c r="F1068">
        <f>IF(Skills!N23=TRUE,(Skills!L23/10)*(E1068/1000),Skills!L23/10)+Skills!O23</f>
        <v/>
      </c>
      <c r="G1068">
        <f>Skills!G23*IF(Skills!H23&gt;0,Skills!I23/Skills!H23,1)</f>
        <v/>
      </c>
      <c r="H1068">
        <f>1-(1-Skills!J23/100)^Skills!K23</f>
        <v/>
      </c>
      <c r="I1068" t="inlineStr">
        <is>
          <t>1</t>
        </is>
      </c>
      <c r="J1068" t="inlineStr"/>
      <c r="K1068" t="inlineStr"/>
      <c r="L1068" t="inlineStr"/>
      <c r="M1068" t="inlineStr"/>
      <c r="N1068" t="inlineStr"/>
      <c r="O1068">
        <f>(1-Summary!$B$55)*T1068+Summary!$B$55*V1068</f>
        <v/>
      </c>
      <c r="P1068">
        <f>IF(B1088=0,0,O1068/B1088)</f>
        <v/>
      </c>
      <c r="Q1068" t="n">
        <v>0</v>
      </c>
      <c r="R1068" t="n">
        <v>0</v>
      </c>
      <c r="S1068">
        <f>IFERROR(O1068/N1068,0)</f>
        <v/>
      </c>
      <c r="T1068" t="n">
        <v>0</v>
      </c>
      <c r="V1068" t="n">
        <v>0</v>
      </c>
    </row>
    <row r="1069">
      <c r="A1069">
        <f>Skills!A24</f>
        <v/>
      </c>
      <c r="B1069">
        <f>Skills!B24</f>
        <v/>
      </c>
      <c r="C1069">
        <f>Inputs!$B$3&gt;=43</f>
        <v/>
      </c>
      <c r="D1069">
        <f>IF(Skills!C24=1,60+Inputs!$B$25+Inputs!$B$29,IF(Skills!C24=2,90+Inputs!$B$26+Inputs!$B$29,IF(Skills!C24=3,120+Inputs!$B$27+Inputs!$B$29,MAX(0,(Inputs!$B$3-100)*3)+Inputs!$B$28+Inputs!$B$29)))</f>
        <v/>
      </c>
      <c r="E1069">
        <f>INDEX(FactorTable!$B$2:$Y$301, MATCH(ROUND(MIN(300,MAX(1,D1069)),0), FactorTable!$A$2:$A$301,0), Skills!M24+1)</f>
        <v/>
      </c>
      <c r="F1069">
        <f>IF(Skills!N24=TRUE,(Skills!L24/10)*(E1069/1000),Skills!L24/10)+Skills!O24</f>
        <v/>
      </c>
      <c r="G1069">
        <f>Skills!G24*IF(Skills!H24&gt;0,Skills!I24/Skills!H24,1)</f>
        <v/>
      </c>
      <c r="H1069">
        <f>1-(1-Skills!J24/100)^Skills!K24</f>
        <v/>
      </c>
      <c r="I1069" t="inlineStr">
        <is>
          <t>1</t>
        </is>
      </c>
      <c r="J1069" t="inlineStr"/>
      <c r="K1069" t="inlineStr"/>
      <c r="L1069" t="inlineStr"/>
      <c r="M1069" t="inlineStr"/>
      <c r="N1069" t="inlineStr"/>
      <c r="O1069">
        <f>(1-Summary!$B$55)*T1069+Summary!$B$55*V1069</f>
        <v/>
      </c>
      <c r="P1069">
        <f>IF(B1088=0,0,O1069/B1088)</f>
        <v/>
      </c>
      <c r="Q1069" t="n">
        <v>0</v>
      </c>
      <c r="R1069" t="n">
        <v>0</v>
      </c>
      <c r="S1069">
        <f>IFERROR(O1069/N1069,0)</f>
        <v/>
      </c>
      <c r="T1069" t="n">
        <v>0</v>
      </c>
      <c r="V1069" t="n">
        <v>0</v>
      </c>
    </row>
    <row r="1070">
      <c r="A1070">
        <f>Skills!A25</f>
        <v/>
      </c>
      <c r="B1070">
        <f>Skills!B25</f>
        <v/>
      </c>
      <c r="C1070">
        <f>Inputs!$B$3&gt;=75</f>
        <v/>
      </c>
      <c r="D1070">
        <f>IF(Skills!C25=1,60+Inputs!$B$25+Inputs!$B$29,IF(Skills!C25=2,90+Inputs!$B$26+Inputs!$B$29,IF(Skills!C25=3,120+Inputs!$B$27+Inputs!$B$29,MAX(0,(Inputs!$B$3-100)*3)+Inputs!$B$28+Inputs!$B$29)))</f>
        <v/>
      </c>
      <c r="E1070">
        <f>INDEX(FactorTable!$B$2:$Y$301, MATCH(ROUND(MIN(300,MAX(1,D1070)),0), FactorTable!$A$2:$A$301,0), Skills!M25+1)</f>
        <v/>
      </c>
      <c r="F1070">
        <f>IF(Skills!N25=TRUE,(Skills!L25/10)*(E1070/1000),Skills!L25/10)+Skills!O25</f>
        <v/>
      </c>
      <c r="G1070">
        <f>Skills!G25*IF(Skills!H25&gt;0,Skills!I25/Skills!H25,1)</f>
        <v/>
      </c>
      <c r="H1070">
        <f>1-(1-Skills!J25/100)^Skills!K25</f>
        <v/>
      </c>
      <c r="I1070" t="inlineStr">
        <is>
          <t>1</t>
        </is>
      </c>
      <c r="J1070" t="inlineStr"/>
      <c r="K1070" t="inlineStr"/>
      <c r="L1070" t="inlineStr"/>
      <c r="M1070" t="inlineStr"/>
      <c r="N1070" t="inlineStr"/>
      <c r="O1070">
        <f>(1-Summary!$B$55)*T1070+Summary!$B$55*V1070</f>
        <v/>
      </c>
      <c r="P1070">
        <f>IF(B1088=0,0,O1070/B1088)</f>
        <v/>
      </c>
      <c r="Q1070" t="n">
        <v>0</v>
      </c>
      <c r="R1070" t="n">
        <v>0</v>
      </c>
      <c r="S1070">
        <f>IFERROR(O1070/N1070,0)</f>
        <v/>
      </c>
      <c r="T1070" t="n">
        <v>0</v>
      </c>
      <c r="V1070" t="n">
        <v>0</v>
      </c>
    </row>
    <row r="1071">
      <c r="A1071">
        <f>Skills!A26</f>
        <v/>
      </c>
      <c r="B1071">
        <f>Skills!B26</f>
        <v/>
      </c>
      <c r="C1071">
        <f>Inputs!$B$3&gt;=125</f>
        <v/>
      </c>
      <c r="D1071">
        <f>IF(Skills!C26=1,60+Inputs!$B$25+Inputs!$B$29,IF(Skills!C26=2,90+Inputs!$B$26+Inputs!$B$29,IF(Skills!C26=3,120+Inputs!$B$27+Inputs!$B$29,MAX(0,(Inputs!$B$3-100)*3)+Inputs!$B$28+Inputs!$B$29)))</f>
        <v/>
      </c>
      <c r="E1071">
        <f>INDEX(FactorTable!$B$2:$Y$301, MATCH(ROUND(MIN(300,MAX(1,D1071)),0), FactorTable!$A$2:$A$301,0), Skills!M26+1)</f>
        <v/>
      </c>
      <c r="F1071">
        <f>IF(Skills!N26=TRUE,(Skills!L26/10)*(E1071/1000),Skills!L26/10)+Skills!O26</f>
        <v/>
      </c>
      <c r="G1071">
        <f>Skills!G26*IF(Skills!H26&gt;0,Skills!I26/Skills!H26,1)</f>
        <v/>
      </c>
      <c r="H1071">
        <f>1-(1-Skills!J26/100)^Skills!K26</f>
        <v/>
      </c>
      <c r="I1071" t="inlineStr">
        <is>
          <t>1</t>
        </is>
      </c>
      <c r="J1071" t="inlineStr"/>
      <c r="K1071" t="inlineStr"/>
      <c r="L1071" t="inlineStr"/>
      <c r="M1071" t="inlineStr"/>
      <c r="N1071" t="inlineStr"/>
      <c r="O1071">
        <f>(1-Summary!$B$55)*T1071+Summary!$B$55*V1071</f>
        <v/>
      </c>
      <c r="P1071">
        <f>IF(B1088=0,0,O1071/B1088)</f>
        <v/>
      </c>
      <c r="Q1071" t="n">
        <v>0</v>
      </c>
      <c r="R1071" t="n">
        <v>0</v>
      </c>
      <c r="S1071">
        <f>IFERROR(O1071/N1071,0)</f>
        <v/>
      </c>
      <c r="T1071" t="n">
        <v>0</v>
      </c>
      <c r="V1071" t="n">
        <v>0</v>
      </c>
    </row>
    <row r="1072">
      <c r="A1072">
        <f>Skills!A27</f>
        <v/>
      </c>
      <c r="B1072">
        <f>Skills!B27</f>
        <v/>
      </c>
      <c r="C1072">
        <f>Inputs!$B$3&gt;=125</f>
        <v/>
      </c>
      <c r="D1072">
        <f>IF(Skills!C27=1,60+Inputs!$B$25+Inputs!$B$29,IF(Skills!C27=2,90+Inputs!$B$26+Inputs!$B$29,IF(Skills!C27=3,120+Inputs!$B$27+Inputs!$B$29,MAX(0,(Inputs!$B$3-100)*3)+Inputs!$B$28+Inputs!$B$29)))</f>
        <v/>
      </c>
      <c r="E1072">
        <f>INDEX(FactorTable!$B$2:$Y$301, MATCH(ROUND(MIN(300,MAX(1,D1072)),0), FactorTable!$A$2:$A$301,0), Skills!M27+1)</f>
        <v/>
      </c>
      <c r="F1072">
        <f>IF(Skills!N27=TRUE,(Skills!L27/10)*(E1072/1000),Skills!L27/10)+Skills!O27</f>
        <v/>
      </c>
      <c r="G1072">
        <f>Skills!G27*IF(Skills!H27&gt;0,Skills!I27/Skills!H27,1)</f>
        <v/>
      </c>
      <c r="H1072">
        <f>1-(1-Skills!J27/100)^Skills!K27</f>
        <v/>
      </c>
      <c r="I1072" t="inlineStr">
        <is>
          <t>1</t>
        </is>
      </c>
      <c r="J1072" t="inlineStr"/>
      <c r="K1072" t="inlineStr"/>
      <c r="L1072" t="inlineStr"/>
      <c r="M1072" t="inlineStr"/>
      <c r="N1072" t="inlineStr"/>
      <c r="O1072">
        <f>(1-Summary!$B$55)*T1072+Summary!$B$55*V1072</f>
        <v/>
      </c>
      <c r="P1072">
        <f>IF(B1088=0,0,O1072/B1088)</f>
        <v/>
      </c>
      <c r="Q1072" t="n">
        <v>0</v>
      </c>
      <c r="R1072" t="n">
        <v>0</v>
      </c>
      <c r="S1072">
        <f>IFERROR(O1072/N1072,0)</f>
        <v/>
      </c>
      <c r="T1072" t="n">
        <v>0</v>
      </c>
      <c r="V1072" t="n">
        <v>0</v>
      </c>
    </row>
    <row r="1073">
      <c r="A1073">
        <f>Skills!A28</f>
        <v/>
      </c>
      <c r="B1073">
        <f>Skills!B28</f>
        <v/>
      </c>
      <c r="C1073">
        <f>Inputs!$B$3&gt;=120</f>
        <v/>
      </c>
      <c r="D1073">
        <f>IF(Skills!C28=1,60+Inputs!$B$25+Inputs!$B$29,IF(Skills!C28=2,90+Inputs!$B$26+Inputs!$B$29,IF(Skills!C28=3,120+Inputs!$B$27+Inputs!$B$29,MAX(0,(Inputs!$B$3-100)*3)+Inputs!$B$28+Inputs!$B$29)))</f>
        <v/>
      </c>
      <c r="E1073">
        <f>INDEX(FactorTable!$B$2:$Y$301, MATCH(ROUND(MIN(300,MAX(1,D1073)),0), FactorTable!$A$2:$A$301,0), Skills!M28+1)</f>
        <v/>
      </c>
      <c r="F1073">
        <f>IF(Skills!N28=TRUE,(Skills!L28/10)*(E1073/1000),Skills!L28/10)+Skills!O28</f>
        <v/>
      </c>
      <c r="G1073">
        <f>Skills!G28*IF(Skills!H28&gt;0,Skills!I28/Skills!H28,1)</f>
        <v/>
      </c>
      <c r="H1073">
        <f>1-(1-Skills!J28/100)^Skills!K28</f>
        <v/>
      </c>
      <c r="I1073" t="inlineStr">
        <is>
          <t>1</t>
        </is>
      </c>
      <c r="J1073" t="inlineStr"/>
      <c r="K1073" t="inlineStr"/>
      <c r="L1073" t="inlineStr"/>
      <c r="M1073" t="inlineStr"/>
      <c r="N1073" t="inlineStr"/>
      <c r="O1073">
        <f>(1-Summary!$B$55)*T1073+Summary!$B$55*V1073</f>
        <v/>
      </c>
      <c r="P1073">
        <f>IF(B1088=0,0,O1073/B1088)</f>
        <v/>
      </c>
      <c r="Q1073" t="n">
        <v>0</v>
      </c>
      <c r="R1073" t="n">
        <v>0</v>
      </c>
      <c r="S1073">
        <f>IFERROR(O1073/N1073,0)</f>
        <v/>
      </c>
      <c r="T1073" t="n">
        <v>0</v>
      </c>
      <c r="V1073" t="n">
        <v>0</v>
      </c>
    </row>
    <row r="1074">
      <c r="A1074">
        <f>Skills!A29</f>
        <v/>
      </c>
      <c r="B1074">
        <f>Skills!B29</f>
        <v/>
      </c>
      <c r="C1074">
        <f>Inputs!$B$3&gt;=120</f>
        <v/>
      </c>
      <c r="D1074">
        <f>IF(Skills!C29=1,60+Inputs!$B$25+Inputs!$B$29,IF(Skills!C29=2,90+Inputs!$B$26+Inputs!$B$29,IF(Skills!C29=3,120+Inputs!$B$27+Inputs!$B$29,MAX(0,(Inputs!$B$3-100)*3)+Inputs!$B$28+Inputs!$B$29)))</f>
        <v/>
      </c>
      <c r="E1074">
        <f>INDEX(FactorTable!$B$2:$Y$301, MATCH(ROUND(MIN(300,MAX(1,D1074)),0), FactorTable!$A$2:$A$301,0), Skills!M29+1)</f>
        <v/>
      </c>
      <c r="F1074">
        <f>IF(Skills!N29=TRUE,(Skills!L29/10)*(E1074/1000),Skills!L29/10)+Skills!O29</f>
        <v/>
      </c>
      <c r="G1074">
        <f>Skills!G29*IF(Skills!H29&gt;0,Skills!I29/Skills!H29,1)</f>
        <v/>
      </c>
      <c r="H1074">
        <f>1-(1-Skills!J29/100)^Skills!K29</f>
        <v/>
      </c>
      <c r="I1074" t="inlineStr">
        <is>
          <t>1</t>
        </is>
      </c>
      <c r="J1074" t="inlineStr"/>
      <c r="K1074" t="inlineStr"/>
      <c r="L1074" t="inlineStr"/>
      <c r="M1074" t="inlineStr"/>
      <c r="N1074" t="inlineStr"/>
      <c r="O1074">
        <f>(1-Summary!$B$55)*T1074+Summary!$B$55*V1074</f>
        <v/>
      </c>
      <c r="P1074">
        <f>IF(B1088=0,0,O1074/B1088)</f>
        <v/>
      </c>
      <c r="Q1074" t="n">
        <v>0</v>
      </c>
      <c r="R1074" t="n">
        <v>0</v>
      </c>
      <c r="S1074">
        <f>IFERROR(O1074/N1074,0)</f>
        <v/>
      </c>
      <c r="T1074" t="n">
        <v>0</v>
      </c>
      <c r="V1074" t="n">
        <v>0</v>
      </c>
    </row>
    <row r="1075">
      <c r="A1075">
        <f>Skills!A30</f>
        <v/>
      </c>
      <c r="B1075">
        <f>Skills!B30</f>
        <v/>
      </c>
      <c r="C1075">
        <f>Inputs!$B$3&gt;=45</f>
        <v/>
      </c>
      <c r="D1075">
        <f>IF(Skills!C30=1,60+Inputs!$B$25+Inputs!$B$29,IF(Skills!C30=2,90+Inputs!$B$26+Inputs!$B$29,IF(Skills!C30=3,120+Inputs!$B$27+Inputs!$B$29,MAX(0,(Inputs!$B$3-100)*3)+Inputs!$B$28+Inputs!$B$29)))</f>
        <v/>
      </c>
      <c r="E1075">
        <f>INDEX(FactorTable!$B$2:$Y$301, MATCH(ROUND(MIN(300,MAX(1,D1075)),0), FactorTable!$A$2:$A$301,0), Skills!M30+1)</f>
        <v/>
      </c>
      <c r="F1075">
        <f>IF(Skills!N30=TRUE,(Skills!L30/10)*(E1075/1000),Skills!L30/10)+Skills!O30</f>
        <v/>
      </c>
      <c r="G1075">
        <f>Skills!G30*IF(Skills!H30&gt;0,Skills!I30/Skills!H30,1)</f>
        <v/>
      </c>
      <c r="H1075">
        <f>1-(1-Skills!J30/100)^Skills!K30</f>
        <v/>
      </c>
      <c r="I1075" t="inlineStr">
        <is>
          <t>1</t>
        </is>
      </c>
      <c r="J1075" t="inlineStr"/>
      <c r="K1075" t="inlineStr"/>
      <c r="L1075" t="inlineStr"/>
      <c r="M1075" t="inlineStr"/>
      <c r="N1075" t="inlineStr"/>
      <c r="O1075">
        <f>(1-Summary!$B$55)*T1075+Summary!$B$55*V1075</f>
        <v/>
      </c>
      <c r="P1075">
        <f>IF(B1088=0,0,O1075/B1088)</f>
        <v/>
      </c>
      <c r="Q1075" t="n">
        <v>0</v>
      </c>
      <c r="R1075" t="n">
        <v>0</v>
      </c>
      <c r="S1075">
        <f>IFERROR(O1075/N1075,0)</f>
        <v/>
      </c>
      <c r="T1075" t="n">
        <v>0</v>
      </c>
      <c r="V1075" t="n">
        <v>0</v>
      </c>
    </row>
    <row r="1077">
      <c r="A1077" t="inlineStr">
        <is>
          <t>Attack% Bucket Multiplier</t>
        </is>
      </c>
      <c r="B1077">
        <f>(1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f>
        <v/>
      </c>
    </row>
    <row r="1078">
      <c r="A1078" t="inlineStr">
        <is>
          <t>Global Crit Rate Bonus %</t>
        </is>
      </c>
      <c r="B1078">
        <f>(C1061=TRUE)*20*IF(AND(Inputs!$B$38&lt;&gt;"pvp",Inputs!$B$43&gt;0),(((R1061-1)*(Skills!T16*(1+Inputs!$B$34/100))+MIN((Skills!T16*(1+Inputs!$B$34/100)),MAX(0,Inputs!$B$43-((R1061-1)*Skills!D16))))/Inputs!$B$43),IF(Inputs!$B$38="pvp",MIN((Skills!T16*(1+Inputs!$B$34/100)),15)/15,(Skills!T16*(1+Inputs!$B$34/100))/Skills!D16))</f>
        <v/>
      </c>
    </row>
    <row r="1079">
      <c r="A1079" t="inlineStr">
        <is>
          <t>Attack Speed Buff Bonus %</t>
        </is>
      </c>
      <c r="B1079">
        <f>((C1064=TRUE)*F1064*IF(AND(Inputs!$B$38&lt;&gt;"pvp",Inputs!$B$43&gt;0),(((R1064-1)*(Skills!T19*(1+Inputs!$B$34/100))+MIN((Skills!T19*(1+Inputs!$B$34/100)),MAX(0,Inputs!$B$43-((R1064-1)*Skills!D19))))/Inputs!$B$43),IF(Inputs!$B$38="pvp",MIN((Skills!T19*(1+Inputs!$B$34/100)),15)/15,(Skills!T19*(1+Inputs!$B$34/100))/Skills!D19)))</f>
        <v/>
      </c>
    </row>
    <row r="1080">
      <c r="A1080" t="inlineStr">
        <is>
          <t>Actions Per Second</t>
        </is>
      </c>
      <c r="B1080">
        <f>1+MIN(150,150*(1-(1-(Inputs!$B$11+((C1066=TRUE)*(F1066-Calc!F21))+((C1067=TRUE)*(F1067-Calc!F22)))/150)*(1-B1079/150)))/100</f>
        <v/>
      </c>
    </row>
    <row r="1081">
      <c r="A1081" t="inlineStr">
        <is>
          <t>Skill + Buff Cast Rate</t>
        </is>
      </c>
      <c r="B1081">
        <f>IF(AND(Inputs!$B$38&lt;&gt;"pvp",Inputs!$B$43&gt;0),SUMPRODUCT((Skills!E2:E30=TRUE)*(C1047:C1075=TRUE)*R1047:R1075*Skills!F2:F30)/Inputs!$B$43,SUMPRODUCT((Skills!E2:E30=TRUE)*(C1047:C1075=TRUE)*Q1047:Q1075*Skills!F2:F30))</f>
        <v/>
      </c>
    </row>
    <row r="1082">
      <c r="A1082" t="inlineStr">
        <is>
          <t>Arrow Stream Casts Per Second</t>
        </is>
      </c>
      <c r="B1082">
        <f>MAX(0,B1080-B1081)</f>
        <v/>
      </c>
    </row>
    <row r="1083">
      <c r="A1083" t="inlineStr">
        <is>
          <t>Global Critical Damage Bonus % (Sharp Eyes + Concentration)</t>
        </is>
      </c>
      <c r="B1083">
        <f>(C1061=TRUE)*F1061*IF(AND(Inputs!$B$38&lt;&gt;"pvp",Inputs!$B$43&gt;0),(((R1061-1)*(Skills!T16*(1+Inputs!$B$34/100))+MIN((Skills!T16*(1+Inputs!$B$34/100)),MAX(0,Inputs!$B$43-((R1061-1)*Skills!D16))))/Inputs!$B$43),IF(Inputs!$B$38="pvp",MIN((Skills!T16*(1+Inputs!$B$34/100)),15)/15,(Skills!T16*(1+Inputs!$B$34/100))/Skills!D16))+(C1062=TRUE)*30</f>
        <v/>
      </c>
    </row>
    <row r="1084">
      <c r="A1084" t="inlineStr">
        <is>
          <t>Global Final Damage Bonus % (Mortal Blow)</t>
        </is>
      </c>
      <c r="B1084">
        <f>(C1063=TRUE)*F1063</f>
        <v/>
      </c>
    </row>
    <row r="1085">
      <c r="A1085" t="inlineStr">
        <is>
          <t>Buff-Casting Startup Delay (s, fixed-duration only)</t>
        </is>
      </c>
      <c r="B1085">
        <f>IF(AND(Inputs!$B$38&lt;&gt;"pvp",Inputs!$B$43&gt;0),SUMPRODUCT((Skills!T2:T30&gt;0)*(Skills!E2:E30=TRUE)*(C1047:C1075=TRUE))/B1080,0)</f>
        <v/>
      </c>
    </row>
    <row r="1086">
      <c r="A1086" t="inlineStr">
        <is>
          <t>Boss-Only Total DPS (this block's swept value)</t>
        </is>
      </c>
      <c r="B1086">
        <f>SUM(T1047:T1075)</f>
        <v/>
      </c>
    </row>
    <row r="1087">
      <c r="A1087" t="inlineStr">
        <is>
          <t>Normal-Only Total DPS (this block's swept value)</t>
        </is>
      </c>
      <c r="B1087">
        <f>SUM(V1047:V1075)</f>
        <v/>
      </c>
    </row>
    <row r="1088">
      <c r="A1088" s="5" t="inlineStr">
        <is>
          <t>TOTAL DPS</t>
        </is>
      </c>
      <c r="B1088" s="5">
        <f>SUM(O1047:O1075)</f>
        <v/>
      </c>
    </row>
    <row r="1091">
      <c r="A1091" s="5" t="inlineStr">
        <is>
          <t>Stat: Skill Cooldown Decrease (seconds)</t>
        </is>
      </c>
    </row>
    <row r="1092">
      <c r="A1092" s="9" t="inlineStr">
        <is>
          <t>Key</t>
        </is>
      </c>
      <c r="B1092" s="9" t="inlineStr">
        <is>
          <t>Name</t>
        </is>
      </c>
      <c r="C1092" s="9" t="inlineStr">
        <is>
          <t>Unlocked</t>
        </is>
      </c>
      <c r="D1092" s="9" t="inlineStr">
        <is>
          <t>InputLevel</t>
        </is>
      </c>
      <c r="E1092" s="9" t="inlineStr">
        <is>
          <t>Factor</t>
        </is>
      </c>
      <c r="F1092" s="9" t="inlineStr">
        <is>
          <t>CoefficientPercent</t>
        </is>
      </c>
      <c r="G1092" s="9" t="inlineStr">
        <is>
          <t>EffectiveHits</t>
        </is>
      </c>
      <c r="H1092" s="9" t="inlineStr">
        <is>
          <t>ProcProbability</t>
        </is>
      </c>
      <c r="I1092" s="9" t="inlineStr">
        <is>
          <t>MapleHeroMultiplier</t>
        </is>
      </c>
      <c r="J1092" s="9" t="inlineStr">
        <is>
          <t>BaseDamage</t>
        </is>
      </c>
      <c r="K1092" s="9" t="inlineStr">
        <is>
          <t>BaseHitDamage</t>
        </is>
      </c>
      <c r="L1092" s="9" t="inlineStr">
        <is>
          <t>NonCritAvg</t>
        </is>
      </c>
      <c r="M1092" s="9" t="inlineStr">
        <is>
          <t>CritAvg</t>
        </is>
      </c>
      <c r="N1092" s="9" t="inlineStr">
        <is>
          <t>ExpectedDamage(perHit)</t>
        </is>
      </c>
      <c r="O1092" s="9" t="inlineStr">
        <is>
          <t>DPS</t>
        </is>
      </c>
      <c r="P1092" s="9" t="inlineStr">
        <is>
          <t>% of Total</t>
        </is>
      </c>
      <c r="Q1092" s="9" t="inlineStr">
        <is>
          <t>InvCooldown</t>
        </is>
      </c>
      <c r="R1092" s="9" t="inlineStr">
        <is>
          <t>CastsInFight</t>
        </is>
      </c>
      <c r="S1092" s="9" t="inlineStr">
        <is>
          <t>HitRate(perSec)</t>
        </is>
      </c>
      <c r="U1092" t="inlineStr">
        <is>
          <t>helpers</t>
        </is>
      </c>
    </row>
    <row r="1093">
      <c r="A1093">
        <f>Skills!A2</f>
        <v/>
      </c>
      <c r="B1093">
        <f>Skills!B2</f>
        <v/>
      </c>
      <c r="C1093">
        <f>Inputs!$B$3&gt;=100</f>
        <v/>
      </c>
      <c r="D1093" t="inlineStr"/>
      <c r="E1093" t="inlineStr"/>
      <c r="F1093">
        <f>U1095+Skills!O2</f>
        <v/>
      </c>
      <c r="G1093">
        <f>Skills!G2*IF(Skills!H2&gt;0,Skills!I2/Skills!H2,1)</f>
        <v/>
      </c>
      <c r="H1093">
        <f>1-(1-Skills!J2/100)^Skills!K2</f>
        <v/>
      </c>
      <c r="I1093" t="inlineStr">
        <is>
          <t>1</t>
        </is>
      </c>
      <c r="J1093">
        <f>((Inputs!$B$6*(1+Inputs!$B$7/100))+(((Inputs!$B$12*(1+Inputs!$B$13/100))-(Inputs!$B$12*(1+Inputs!$B$13/100)))+0.25*(Inputs!$B$14-Inputs!$B$14))*(1+Inputs!$B$7/100))*(F1093/100)</f>
        <v/>
      </c>
      <c r="K1093">
        <f>J1093*(1+((Inputs!$B$12*(1+Inputs!$B$13/100))*0.01+Inputs!$B$14*0.0025)/100)*(1+Inputs!$B$15/100)*(1+Inputs!$B$16/100)*(5000/(6000+Inputs!$B$42*(1-(Inputs!$B$19+((C1118=TRUE)*(F1118-Calc!F27)))/100)))*(1+(Inputs!$B$24+((C1116=TRUE)*(F1116-Calc!F25))+((C1117=TRUE)*(F1117-Calc!F26))+B1130)/100)*(1+(IF(Skills!A2="ARROW_STREAM",Inputs!$B$17+((C1114=TRUE)*(F1114-Calc!F23)),Inputs!$B$18+((C1119=TRUE)*(F1119-Calc!F28))))/100)*((1+(((C1104=TRUE)*F1104)+((C1105=TRUE)*IF(Inputs!$B$38="pvp",F1105,(1-Summary!$B$55)*(F1105)+Summary!$B$55*(0)))+((C1106=TRUE)*F1106*IF(AND(Inputs!$B$38&lt;&gt;"pvp",Inputs!$B$43&gt;0),(((R1106-1)*(Skills!T15*(1+Inputs!$B$34/100))+MIN((Skills!T15*(1+Inputs!$B$34/100)),MAX(0,Inputs!$B$43-((R1106-1)*Skills!D15))))/Inputs!$B$43),IF(Inputs!$B$38="pvp",MIN((Skills!T15*(1+Inputs!$B$34/100)),15)/15,(Skills!T15*(1+Inputs!$B$34/100))/Skills!D15)))+((C1121=TRUE)*(F1121-Calc!F30)))/100)*I1093)</f>
        <v/>
      </c>
      <c r="L1093">
        <f>K1093*(MIN(Inputs!$B$22+((C1115=TRUE)*(F1115-Calc!F24)),Inputs!$B$23+((C1120=TRUE)*(F1120-Calc!F29)))/100+(Inputs!$B$23+((C1120=TRUE)*(F1120-Calc!F29)))/100)/2</f>
        <v/>
      </c>
      <c r="M1093">
        <f>L1093*(1+(Inputs!$B$10+0+B1129)/100)</f>
        <v/>
      </c>
      <c r="N1093">
        <f>L1093*(1-MIN((Inputs!$B$9+((C1111=TRUE)*(F1111-Calc!F20))+B1124),100)/100)+M1093*(MIN((Inputs!$B$9+((C1111=TRUE)*(F1111-Calc!F20))+B1124),100)/100)</f>
        <v/>
      </c>
      <c r="O1093">
        <f>(1-Summary!$B$55)*T1093+Summary!$B$55*V1093</f>
        <v/>
      </c>
      <c r="P1093">
        <f>IF(B1134=0,0,O1093/B1134)</f>
        <v/>
      </c>
      <c r="Q1093" t="n">
        <v>0</v>
      </c>
      <c r="R1093" t="n">
        <v>0</v>
      </c>
      <c r="S1093">
        <f>IFERROR(O1093/N1093,0)</f>
        <v/>
      </c>
      <c r="T1093">
        <f>IF(C1093,(Skills!G2*N1093*B1128)*IF(Inputs!$B$38="pvp",1,1+(Inputs!$B$20+0+Skills!P2)/100),0)</f>
        <v/>
      </c>
      <c r="U1093">
        <f>MAX(0,(Inputs!$B$3-100)*3)+Inputs!$B$28+Inputs!$B$29</f>
        <v/>
      </c>
      <c r="V1093">
        <f>IF(C1093,(Skills!G2*N1093*B1128)*IF(Inputs!$B$38="pvp",1,(1+(Inputs!$B$21+Skills!Q2)/100)*(MIN((6+Inputs!$B$33),Inputs!$B$37))),0)</f>
        <v/>
      </c>
    </row>
    <row r="1094">
      <c r="A1094">
        <f>Skills!A3</f>
        <v/>
      </c>
      <c r="B1094">
        <f>Skills!B3</f>
        <v/>
      </c>
      <c r="C1094">
        <f>Inputs!$B$3&gt;=50</f>
        <v/>
      </c>
      <c r="D1094">
        <f>IF(Skills!C3=1,60+Inputs!$B$25+Inputs!$B$29,IF(Skills!C3=2,90+Inputs!$B$26+Inputs!$B$29,IF(Skills!C3=3,120+Inputs!$B$27+Inputs!$B$29,MAX(0,(Inputs!$B$3-100)*3)+Inputs!$B$28+Inputs!$B$29)))</f>
        <v/>
      </c>
      <c r="E1094">
        <f>INDEX(FactorTable!$B$2:$Y$301, MATCH(ROUND(MIN(300,MAX(1,D1094)),0), FactorTable!$A$2:$A$301,0), Skills!M3+1)</f>
        <v/>
      </c>
      <c r="F1094">
        <f>IF(Skills!N3=TRUE,(Skills!L3/10)*(E1094/1000),Skills!L3/10)+Skills!O3</f>
        <v/>
      </c>
      <c r="G1094" t="inlineStr"/>
      <c r="H1094" t="inlineStr"/>
      <c r="I1094" t="inlineStr">
        <is>
          <t>1</t>
        </is>
      </c>
      <c r="J1094" t="inlineStr"/>
      <c r="K1094" t="inlineStr"/>
      <c r="L1094" t="inlineStr"/>
      <c r="M1094" t="inlineStr"/>
      <c r="N1094" t="inlineStr"/>
      <c r="O1094" t="inlineStr"/>
      <c r="P1094" t="inlineStr"/>
      <c r="Q1094" t="inlineStr"/>
      <c r="R1094" t="inlineStr"/>
      <c r="S1094" t="inlineStr"/>
      <c r="T1094" t="inlineStr"/>
      <c r="U1094">
        <f>INDEX(FactorTable!$B$2:$Y$301, MATCH(ROUND(MIN(300,MAX(1,U1093)),0), FactorTable!$A$2:$A$301,0), 22)</f>
        <v/>
      </c>
      <c r="V1094" t="inlineStr"/>
    </row>
    <row r="1095">
      <c r="A1095">
        <f>Skills!A4</f>
        <v/>
      </c>
      <c r="B1095">
        <f>Skills!B4</f>
        <v/>
      </c>
      <c r="C1095">
        <f>Inputs!$B$3&gt;=105</f>
        <v/>
      </c>
      <c r="D1095">
        <f>IF(Skills!C4=1,60+Inputs!$B$25+Inputs!$B$29,IF(Skills!C4=2,90+Inputs!$B$26+Inputs!$B$29,IF(Skills!C4=3,120+Inputs!$B$27+Inputs!$B$29,MAX(0,(Inputs!$B$3-100)*3)+Inputs!$B$28+Inputs!$B$29)))</f>
        <v/>
      </c>
      <c r="E1095">
        <f>INDEX(FactorTable!$B$2:$Y$301, MATCH(ROUND(MIN(300,MAX(1,D1095)),0), FactorTable!$A$2:$A$301,0), Skills!M4+1)</f>
        <v/>
      </c>
      <c r="F1095">
        <f>IF(Skills!N4=TRUE,(Skills!L4/10)*(E1095/1000),Skills!L4/10)+Skills!O4</f>
        <v/>
      </c>
      <c r="G1095" t="inlineStr"/>
      <c r="H1095" t="inlineStr"/>
      <c r="I1095" t="inlineStr">
        <is>
          <t>1</t>
        </is>
      </c>
      <c r="J1095" t="inlineStr"/>
      <c r="K1095" t="inlineStr"/>
      <c r="L1095" t="inlineStr"/>
      <c r="M1095" t="inlineStr"/>
      <c r="N1095" t="inlineStr"/>
      <c r="O1095" t="inlineStr"/>
      <c r="P1095" t="inlineStr"/>
      <c r="Q1095" t="inlineStr"/>
      <c r="R1095" t="inlineStr"/>
      <c r="S1095" t="inlineStr"/>
      <c r="T1095" t="inlineStr"/>
      <c r="U1095">
        <f>290*U1094/1000</f>
        <v/>
      </c>
      <c r="V1095" t="inlineStr"/>
    </row>
    <row r="1096">
      <c r="A1096">
        <f>Skills!A5</f>
        <v/>
      </c>
      <c r="B1096">
        <f>Skills!B5</f>
        <v/>
      </c>
      <c r="C1096">
        <f>Inputs!$B$3&gt;=35</f>
        <v/>
      </c>
      <c r="D1096">
        <f>IF(Skills!C5=1,60+Inputs!$B$25+Inputs!$B$29,IF(Skills!C5=2,90+Inputs!$B$26+Inputs!$B$29,IF(Skills!C5=3,120+Inputs!$B$27+Inputs!$B$29,MAX(0,(Inputs!$B$3-100)*3)+Inputs!$B$28+Inputs!$B$29)))</f>
        <v/>
      </c>
      <c r="E1096">
        <f>INDEX(FactorTable!$B$2:$Y$301, MATCH(ROUND(MIN(300,MAX(1,D1096)),0), FactorTable!$A$2:$A$301,0), Skills!M5+1)</f>
        <v/>
      </c>
      <c r="F1096">
        <f>IF(Skills!N5=TRUE,(Skills!L5/10)*(E1096/1000),Skills!L5/10)+Skills!O5</f>
        <v/>
      </c>
      <c r="G1096">
        <f>Skills!G5*IF(Skills!H5&gt;0,Skills!I5/Skills!H5,1)</f>
        <v/>
      </c>
      <c r="H1096">
        <f>1-(1-Skills!J5/100)^Skills!K5</f>
        <v/>
      </c>
      <c r="I1096" t="inlineStr">
        <is>
          <t>1</t>
        </is>
      </c>
      <c r="J1096">
        <f>((Inputs!$B$6*(1+Inputs!$B$7/100))+(((Inputs!$B$12*(1+Inputs!$B$13/100))-(Inputs!$B$12*(1+Inputs!$B$13/100)))+0.25*(Inputs!$B$14-Inputs!$B$14))*(1+Inputs!$B$7/100))*(F1096/100)</f>
        <v/>
      </c>
      <c r="K1096">
        <f>J1096*(1+((Inputs!$B$12*(1+Inputs!$B$13/100))*0.01+Inputs!$B$14*0.0025)/100)*(1+Inputs!$B$15/100)*(1+Inputs!$B$16/100)*(5000/(6000+Inputs!$B$42*(1-(Inputs!$B$19+((C1118=TRUE)*(F1118-Calc!F27)))/100)))*(1+(Inputs!$B$24+((C1116=TRUE)*(F1116-Calc!F25))+((C1117=TRUE)*(F1117-Calc!F26))+B1130)/100)*(1+4.0*IF(C1101=TRUE,F1101,0)/100)*(1+(IF(Skills!A5="ARROW_STREAM",Inputs!$B$17+((C1114=TRUE)*(F1114-Calc!F23)),Inputs!$B$18+((C1119=TRUE)*(F1119-Calc!F28))))/100)*((1+(((C1104=TRUE)*F1104)+((C1105=TRUE)*IF(Inputs!$B$38="pvp",F1105,(1-Summary!$B$55)*(F1105)+Summary!$B$55*(0)))+((C1106=TRUE)*F1106*IF(AND(Inputs!$B$38&lt;&gt;"pvp",Inputs!$B$43&gt;0),(((R1106-1)*(Skills!T15*(1+Inputs!$B$34/100))+MIN((Skills!T15*(1+Inputs!$B$34/100)),MAX(0,Inputs!$B$43-((R1106-1)*Skills!D15))))/Inputs!$B$43),IF(Inputs!$B$38="pvp",MIN((Skills!T15*(1+Inputs!$B$34/100)),15)/15,(Skills!T15*(1+Inputs!$B$34/100))/Skills!D15)))+((C1121=TRUE)*(F1121-Calc!F30)))/100)*I1096)</f>
        <v/>
      </c>
      <c r="L1096">
        <f>K1096*(MIN(Inputs!$B$22+((C1115=TRUE)*(F1115-Calc!F24)),Inputs!$B$23+((C1120=TRUE)*(F1120-Calc!F29)))/100+(Inputs!$B$23+((C1120=TRUE)*(F1120-Calc!F29)))/100)/2</f>
        <v/>
      </c>
      <c r="M1096">
        <f>L1096*(1+(Inputs!$B$10+0+B1129)/100)</f>
        <v/>
      </c>
      <c r="N1096">
        <f>L1096*(1-MIN((Inputs!$B$9+((C1111=TRUE)*(F1111-Calc!F20))+B1124),100)/100)+M1096*(MIN((Inputs!$B$9+((C1111=TRUE)*(F1111-Calc!F20))+B1124),100)/100)</f>
        <v/>
      </c>
      <c r="O1096">
        <f>(1-Summary!$B$55)*T1096+Summary!$B$55*V1096</f>
        <v/>
      </c>
      <c r="P1096">
        <f>IF(B1134=0,0,O1096/B1134)</f>
        <v/>
      </c>
      <c r="Q1096">
        <f>IFERROR(1/IF(Inputs!$B$38="pvp",15,MAX(0.1,Skills!D5-IF(Skills!E5=TRUE,(Inputs!$B$32+1),0))),0)</f>
        <v/>
      </c>
      <c r="R1096">
        <f>IF(AND(Inputs!$B$38&lt;&gt;"pvp",Inputs!$B$43&gt;0),IF(MAX(0,Inputs!$B$43-B1131)&lt;=0,0,(INT(MAX(0,Inputs!$B$43-B1131)/IF(Inputs!$B$38="pvp",15,MAX(0.1,Skills!D5-IF(Skills!E5=TRUE,(Inputs!$B$32+1),0))))+1)),0)</f>
        <v/>
      </c>
      <c r="S1096">
        <f>IFERROR(O1096/N1096,0)</f>
        <v/>
      </c>
      <c r="T1096">
        <f>IF(C1096,(H1096*N1096*IF(AND(Inputs!$B$38&lt;&gt;"pvp",Inputs!$B$43&gt;0),((Skills!G5*((R1096-1)*IF(Skills!H5&gt;0,Skills!I5/Skills!H5,1)+IF(Skills!H5&gt;0,MIN(Skills!I5,MAX(0,MAX(0,Inputs!$B$43-B1131)-((R1096-1)*IF(Inputs!$B$38="pvp",15,MAX(0.1,Skills!D5-IF(Skills!E5=TRUE,(Inputs!$B$32+1),0))))))/Skills!H5,1)))/Inputs!$B$43),G1096*Q1096))*IF(Inputs!$B$38="pvp",1,1+(Inputs!$B$20+0+Skills!P5)/100),0)</f>
        <v/>
      </c>
      <c r="V1096">
        <f>IF(C1096,(H1096*N1096*IF(AND(Inputs!$B$38&lt;&gt;"pvp",Inputs!$B$43&gt;0),((Skills!G5*((R1096-1)*IF(Skills!H5&gt;0,Skills!I5/Skills!H5,1)+IF(Skills!H5&gt;0,MIN(Skills!I5,MAX(0,MAX(0,Inputs!$B$43-B1131)-((R1096-1)*IF(Inputs!$B$38="pvp",15,MAX(0.1,Skills!D5-IF(Skills!E5=TRUE,(Inputs!$B$32+1),0))))))/Skills!H5,1)))/Inputs!$B$43),G1096*Q1096))*IF(Inputs!$B$38="pvp",1,(1+(Inputs!$B$21+Skills!Q5)/100)*(MIN(Skills!R5,Inputs!$B$37))),0)</f>
        <v/>
      </c>
    </row>
    <row r="1097">
      <c r="A1097">
        <f>Skills!A6</f>
        <v/>
      </c>
      <c r="B1097">
        <f>Skills!B6</f>
        <v/>
      </c>
      <c r="C1097">
        <f>Inputs!$B$3&gt;=40</f>
        <v/>
      </c>
      <c r="D1097">
        <f>IF(Skills!C6=1,60+Inputs!$B$25+Inputs!$B$29,IF(Skills!C6=2,90+Inputs!$B$26+Inputs!$B$29,IF(Skills!C6=3,120+Inputs!$B$27+Inputs!$B$29,MAX(0,(Inputs!$B$3-100)*3)+Inputs!$B$28+Inputs!$B$29)))</f>
        <v/>
      </c>
      <c r="E1097">
        <f>INDEX(FactorTable!$B$2:$Y$301, MATCH(ROUND(MIN(300,MAX(1,D1097)),0), FactorTable!$A$2:$A$301,0), Skills!M6+1)</f>
        <v/>
      </c>
      <c r="F1097">
        <f>IF(Skills!N6=TRUE,(Skills!L6/10)*(E1097/1000),Skills!L6/10)+Skills!O6</f>
        <v/>
      </c>
      <c r="G1097">
        <f>Skills!G6*IF(Skills!H6&gt;0,Skills!I6/Skills!H6,1)</f>
        <v/>
      </c>
      <c r="H1097">
        <f>1-(1-Skills!J6/100)^Skills!K6</f>
        <v/>
      </c>
      <c r="I1097" t="inlineStr">
        <is>
          <t>1</t>
        </is>
      </c>
      <c r="J1097">
        <f>((Inputs!$B$6*(1+Inputs!$B$7/100))+(((Inputs!$B$12*(1+Inputs!$B$13/100))-(Inputs!$B$12*(1+Inputs!$B$13/100)))+0.25*(Inputs!$B$14-Inputs!$B$14))*(1+Inputs!$B$7/100))*(F1097/100)</f>
        <v/>
      </c>
      <c r="K1097">
        <f>J1097*(1+((Inputs!$B$12*(1+Inputs!$B$13/100))*0.01+Inputs!$B$14*0.0025)/100)*(1+Inputs!$B$15/100)*(1+Inputs!$B$16/100)*(5000/(6000+Inputs!$B$42*(1-(Inputs!$B$19+((C1118=TRUE)*(F1118-Calc!F27)))/100)))*(1+(Inputs!$B$24+((C1116=TRUE)*(F1116-Calc!F25))+((C1117=TRUE)*(F1117-Calc!F26))+B1130)/100)*(1+IF(C1098=TRUE,F1098,0)/100)*(1+(IF(Skills!A6="ARROW_STREAM",Inputs!$B$17+((C1114=TRUE)*(F1114-Calc!F23)),Inputs!$B$18+((C1119=TRUE)*(F1119-Calc!F28))))/100)*((1+(((C1104=TRUE)*F1104)+((C1105=TRUE)*IF(Inputs!$B$38="pvp",F1105,(1-Summary!$B$55)*(F1105)+Summary!$B$55*(0)))+((C1106=TRUE)*F1106*IF(AND(Inputs!$B$38&lt;&gt;"pvp",Inputs!$B$43&gt;0),(((R1106-1)*(Skills!T15*(1+Inputs!$B$34/100))+MIN((Skills!T15*(1+Inputs!$B$34/100)),MAX(0,Inputs!$B$43-((R1106-1)*Skills!D15))))/Inputs!$B$43),IF(Inputs!$B$38="pvp",MIN((Skills!T15*(1+Inputs!$B$34/100)),15)/15,(Skills!T15*(1+Inputs!$B$34/100))/Skills!D15)))+((C1121=TRUE)*(F1121-Calc!F30)))/100)*I1097)</f>
        <v/>
      </c>
      <c r="L1097">
        <f>K1097*(MIN(Inputs!$B$22+((C1115=TRUE)*(F1115-Calc!F24)),Inputs!$B$23+((C1120=TRUE)*(F1120-Calc!F29)))/100+(Inputs!$B$23+((C1120=TRUE)*(F1120-Calc!F29)))/100)/2</f>
        <v/>
      </c>
      <c r="M1097">
        <f>L1097*(1+(Inputs!$B$10+0+B1129)/100)</f>
        <v/>
      </c>
      <c r="N1097">
        <f>L1097*(1-MIN((Inputs!$B$9+((C1111=TRUE)*(F1111-Calc!F20))+B1124),100)/100)+M1097*(MIN((Inputs!$B$9+((C1111=TRUE)*(F1111-Calc!F20))+B1124),100)/100)</f>
        <v/>
      </c>
      <c r="O1097">
        <f>(1-Summary!$B$55)*T1097+Summary!$B$55*V1097</f>
        <v/>
      </c>
      <c r="P1097">
        <f>IF(B1134=0,0,O1097/B1134)</f>
        <v/>
      </c>
      <c r="Q1097">
        <f>IFERROR(1/IF(Inputs!$B$38="pvp",15,MAX(0.1,Skills!D6-IF(Skills!E6=TRUE,(Inputs!$B$32+1),0))),0)</f>
        <v/>
      </c>
      <c r="R1097">
        <f>IF(AND(Inputs!$B$38&lt;&gt;"pvp",Inputs!$B$43&gt;0),IF(MAX(0,Inputs!$B$43-B1131)&lt;=0,0,(INT(MAX(0,Inputs!$B$43-B1131)/IF(Inputs!$B$38="pvp",15,MAX(0.1,Skills!D6-IF(Skills!E6=TRUE,(Inputs!$B$32+1),0))))+1)),0)</f>
        <v/>
      </c>
      <c r="S1097">
        <f>IFERROR(O1097/N1097,0)</f>
        <v/>
      </c>
      <c r="T1097">
        <f>IF(C1097,(H1097*N1097*IF(AND(Inputs!$B$38&lt;&gt;"pvp",Inputs!$B$43&gt;0),((Skills!G6*((R1097-1)*IF(Skills!H6&gt;0,Skills!I6/Skills!H6,1)+IF(Skills!H6&gt;0,MIN(Skills!I6,MAX(0,MAX(0,Inputs!$B$43-B1131)-((R1097-1)*IF(Inputs!$B$38="pvp",15,MAX(0.1,Skills!D6-IF(Skills!E6=TRUE,(Inputs!$B$32+1),0))))))/Skills!H6,1)))/Inputs!$B$43),G1097*Q1097))*IF(Inputs!$B$38="pvp",1,1+(Inputs!$B$20+0+Skills!P6)/100),0)</f>
        <v/>
      </c>
      <c r="V1097">
        <f>IF(C1097,(H1097*N1097*IF(AND(Inputs!$B$38&lt;&gt;"pvp",Inputs!$B$43&gt;0),((Skills!G6*((R1097-1)*IF(Skills!H6&gt;0,Skills!I6/Skills!H6,1)+IF(Skills!H6&gt;0,MIN(Skills!I6,MAX(0,MAX(0,Inputs!$B$43-B1131)-((R1097-1)*IF(Inputs!$B$38="pvp",15,MAX(0.1,Skills!D6-IF(Skills!E6=TRUE,(Inputs!$B$32+1),0))))))/Skills!H6,1)))/Inputs!$B$43),G1097*Q1097))*IF(Inputs!$B$38="pvp",1,(1+(Inputs!$B$21+Skills!Q6)/100)*(MIN(Skills!R6,Inputs!$B$37))),0)</f>
        <v/>
      </c>
    </row>
    <row r="1098">
      <c r="A1098">
        <f>Skills!A7</f>
        <v/>
      </c>
      <c r="B1098">
        <f>Skills!B7</f>
        <v/>
      </c>
      <c r="C1098">
        <f>Inputs!$B$3&gt;=107</f>
        <v/>
      </c>
      <c r="D1098">
        <f>IF(Skills!C7=1,60+Inputs!$B$25+Inputs!$B$29,IF(Skills!C7=2,90+Inputs!$B$26+Inputs!$B$29,IF(Skills!C7=3,120+Inputs!$B$27+Inputs!$B$29,MAX(0,(Inputs!$B$3-100)*3)+Inputs!$B$28+Inputs!$B$29)))</f>
        <v/>
      </c>
      <c r="E1098">
        <f>INDEX(FactorTable!$B$2:$Y$301, MATCH(ROUND(MIN(300,MAX(1,D1098)),0), FactorTable!$A$2:$A$301,0), Skills!M7+1)</f>
        <v/>
      </c>
      <c r="F1098">
        <f>IF(Skills!N7=TRUE,(Skills!L7/10)*(E1098/1000),Skills!L7/10)+Skills!O7</f>
        <v/>
      </c>
      <c r="G1098" t="inlineStr"/>
      <c r="H1098" t="inlineStr"/>
      <c r="I1098" t="inlineStr">
        <is>
          <t>1</t>
        </is>
      </c>
      <c r="J1098" t="inlineStr"/>
      <c r="K1098" t="inlineStr"/>
      <c r="L1098" t="inlineStr"/>
      <c r="M1098" t="inlineStr"/>
      <c r="N1098" t="inlineStr"/>
      <c r="O1098" t="inlineStr"/>
      <c r="P1098" t="inlineStr"/>
      <c r="Q1098" t="inlineStr"/>
      <c r="R1098" t="inlineStr"/>
      <c r="S1098" t="inlineStr"/>
      <c r="T1098" t="inlineStr"/>
      <c r="V1098" t="inlineStr"/>
    </row>
    <row r="1099">
      <c r="A1099">
        <f>Skills!A8</f>
        <v/>
      </c>
      <c r="B1099">
        <f>Skills!B8</f>
        <v/>
      </c>
      <c r="C1099">
        <f>Inputs!$B$3&gt;=69</f>
        <v/>
      </c>
      <c r="D1099">
        <f>IF(Skills!C8=1,60+Inputs!$B$25+Inputs!$B$29,IF(Skills!C8=2,90+Inputs!$B$26+Inputs!$B$29,IF(Skills!C8=3,120+Inputs!$B$27+Inputs!$B$29,MAX(0,(Inputs!$B$3-100)*3)+Inputs!$B$28+Inputs!$B$29)))</f>
        <v/>
      </c>
      <c r="E1099">
        <f>INDEX(FactorTable!$B$2:$Y$301, MATCH(ROUND(MIN(300,MAX(1,D1099)),0), FactorTable!$A$2:$A$301,0), Skills!M8+1)</f>
        <v/>
      </c>
      <c r="F1099">
        <f>IF(Skills!N8=TRUE,(Skills!L8/10)*(E1099/1000),Skills!L8/10)+Skills!O8</f>
        <v/>
      </c>
      <c r="G1099">
        <f>Skills!G8*IF(Skills!H8&gt;0,Skills!I8/Skills!H8,1)</f>
        <v/>
      </c>
      <c r="H1099">
        <f>1-(1-Skills!J8/100)^Skills!K8</f>
        <v/>
      </c>
      <c r="I1099" t="inlineStr">
        <is>
          <t>1</t>
        </is>
      </c>
      <c r="J1099">
        <f>((Inputs!$B$6*(1+Inputs!$B$7/100))+(((Inputs!$B$12*(1+Inputs!$B$13/100))-(Inputs!$B$12*(1+Inputs!$B$13/100)))+0.25*(Inputs!$B$14-Inputs!$B$14))*(1+Inputs!$B$7/100))*(F1099/100)</f>
        <v/>
      </c>
      <c r="K1099">
        <f>J1099*(1+((Inputs!$B$12*(1+Inputs!$B$13/100))*0.01+Inputs!$B$14*0.0025)/100)*(1+Inputs!$B$15/100)*(1+Inputs!$B$16/100)*(5000/(6000+Inputs!$B$42*(1-(Inputs!$B$19+((C1118=TRUE)*(F1118-Calc!F27)))/100)))*(1+(Inputs!$B$24+((C1116=TRUE)*(F1116-Calc!F25))+((C1117=TRUE)*(F1117-Calc!F26))+B1130)/100)*(1+1.2*IF(C1101=TRUE,F1101,0)/100)*(1+(IF(Skills!A8="ARROW_STREAM",Inputs!$B$17+((C1114=TRUE)*(F1114-Calc!F23)),Inputs!$B$18+((C1119=TRUE)*(F1119-Calc!F28))))/100)*((1+(((C1104=TRUE)*F1104)+((C1105=TRUE)*IF(Inputs!$B$38="pvp",F1105,(1-Summary!$B$55)*(F1105)+Summary!$B$55*(0)))+((C1106=TRUE)*F1106*IF(AND(Inputs!$B$38&lt;&gt;"pvp",Inputs!$B$43&gt;0),(((R1106-1)*(Skills!T15*(1+Inputs!$B$34/100))+MIN((Skills!T15*(1+Inputs!$B$34/100)),MAX(0,Inputs!$B$43-((R1106-1)*Skills!D15))))/Inputs!$B$43),IF(Inputs!$B$38="pvp",MIN((Skills!T15*(1+Inputs!$B$34/100)),15)/15,(Skills!T15*(1+Inputs!$B$34/100))/Skills!D15)))+((C1121=TRUE)*(F1121-Calc!F30)))/100)*I1099)</f>
        <v/>
      </c>
      <c r="L1099">
        <f>K1099*(MIN(Inputs!$B$22+((C1115=TRUE)*(F1115-Calc!F24)),Inputs!$B$23+((C1120=TRUE)*(F1120-Calc!F29)))/100+(Inputs!$B$23+((C1120=TRUE)*(F1120-Calc!F29)))/100)/2</f>
        <v/>
      </c>
      <c r="M1099">
        <f>L1099*(1+(Inputs!$B$10+0+B1129)/100)</f>
        <v/>
      </c>
      <c r="N1099">
        <f>L1099*(1-MIN((Inputs!$B$9+((C1111=TRUE)*(F1111-Calc!F20))+B1124),100)/100)+M1099*(MIN((Inputs!$B$9+((C1111=TRUE)*(F1111-Calc!F20))+B1124),100)/100)</f>
        <v/>
      </c>
      <c r="O1099">
        <f>(1-Summary!$B$55)*T1099+Summary!$B$55*V1099</f>
        <v/>
      </c>
      <c r="P1099">
        <f>IF(B1134=0,0,O1099/B1134)</f>
        <v/>
      </c>
      <c r="Q1099">
        <f>IFERROR(1/IF(Inputs!$B$38="pvp",15,MAX(0.1,Skills!D8-IF(Skills!E8=TRUE,(Inputs!$B$32+1),0))),0)</f>
        <v/>
      </c>
      <c r="R1099">
        <f>IF(AND(Inputs!$B$38&lt;&gt;"pvp",Inputs!$B$43&gt;0),IF(MAX(0,Inputs!$B$43-B1131)&lt;=0,0,(INT(MAX(0,Inputs!$B$43-B1131)/IF(Inputs!$B$38="pvp",15,MAX(0.1,Skills!D8-IF(Skills!E8=TRUE,(Inputs!$B$32+1),0))))+1)),0)</f>
        <v/>
      </c>
      <c r="S1099">
        <f>IFERROR(O1099/N1099,0)</f>
        <v/>
      </c>
      <c r="T1099">
        <f>IF(C1099,(H1099*N1099*IF(AND(Inputs!$B$38&lt;&gt;"pvp",Inputs!$B$43&gt;0),((Skills!G8*((R1099-1)*IF(Skills!H8&gt;0,Skills!I8/Skills!H8,1)+IF(Skills!H8&gt;0,MIN(Skills!I8,MAX(0,MAX(0,Inputs!$B$43-B1131)-((R1099-1)*IF(Inputs!$B$38="pvp",15,MAX(0.1,Skills!D8-IF(Skills!E8=TRUE,(Inputs!$B$32+1),0))))))/Skills!H8,1)))/Inputs!$B$43),G1099*Q1099))*IF(Inputs!$B$38="pvp",1,1+(Inputs!$B$20+0+Skills!P8)/100),0)</f>
        <v/>
      </c>
      <c r="V1099">
        <f>IF(C1099,(H1099*N1099*IF(AND(Inputs!$B$38&lt;&gt;"pvp",Inputs!$B$43&gt;0),((Skills!G8*((R1099-1)*IF(Skills!H8&gt;0,Skills!I8/Skills!H8,1)+IF(Skills!H8&gt;0,MIN(Skills!I8,MAX(0,MAX(0,Inputs!$B$43-B1131)-((R1099-1)*IF(Inputs!$B$38="pvp",15,MAX(0.1,Skills!D8-IF(Skills!E8=TRUE,(Inputs!$B$32+1),0))))))/Skills!H8,1)))/Inputs!$B$43),G1099*Q1099))*IF(Inputs!$B$38="pvp",1,(1+(Inputs!$B$21+Skills!Q8)/100)*(MIN(Skills!R8,Inputs!$B$37))),0)</f>
        <v/>
      </c>
    </row>
    <row r="1100">
      <c r="A1100">
        <f>Skills!A9</f>
        <v/>
      </c>
      <c r="B1100">
        <f>Skills!B9</f>
        <v/>
      </c>
      <c r="C1100">
        <f>Inputs!$B$3&gt;=63</f>
        <v/>
      </c>
      <c r="D1100">
        <f>IF(Skills!C9=1,60+Inputs!$B$25+Inputs!$B$29,IF(Skills!C9=2,90+Inputs!$B$26+Inputs!$B$29,IF(Skills!C9=3,120+Inputs!$B$27+Inputs!$B$29,MAX(0,(Inputs!$B$3-100)*3)+Inputs!$B$28+Inputs!$B$29)))</f>
        <v/>
      </c>
      <c r="E1100">
        <f>INDEX(FactorTable!$B$2:$Y$301, MATCH(ROUND(MIN(300,MAX(1,D1100)),0), FactorTable!$A$2:$A$301,0), Skills!M9+1)</f>
        <v/>
      </c>
      <c r="F1100">
        <f>IF(Skills!N9=TRUE,(Skills!L9/10)*(E1100/1000),Skills!L9/10)+Skills!O9</f>
        <v/>
      </c>
      <c r="G1100">
        <f>Skills!G9*IF(Skills!H9&gt;0,Skills!I9/Skills!H9,1)</f>
        <v/>
      </c>
      <c r="H1100">
        <f>1-(1-Skills!J9/100)^Skills!K9</f>
        <v/>
      </c>
      <c r="I1100" t="inlineStr">
        <is>
          <t>1</t>
        </is>
      </c>
      <c r="J1100">
        <f>((Inputs!$B$6*(1+Inputs!$B$7/100))+(((Inputs!$B$12*(1+Inputs!$B$13/100))-(Inputs!$B$12*(1+Inputs!$B$13/100)))+0.25*(Inputs!$B$14-Inputs!$B$14))*(1+Inputs!$B$7/100))*(F1100/100)</f>
        <v/>
      </c>
      <c r="K1100">
        <f>J1100*(1+((Inputs!$B$12*(1+Inputs!$B$13/100))*0.01+Inputs!$B$14*0.0025)/100)*(1+Inputs!$B$15/100)*(1+Inputs!$B$16/100)*(5000/(6000+Inputs!$B$42*(1-(Inputs!$B$19+((C1118=TRUE)*(F1118-Calc!F27)))/100)))*(1+(Inputs!$B$24+((C1116=TRUE)*(F1116-Calc!F25))+((C1117=TRUE)*(F1117-Calc!F26))+B1130)/100)*(1+1.0*IF(C1101=TRUE,F1101,0)/100)*(1+(IF(Skills!A9="ARROW_STREAM",Inputs!$B$17+((C1114=TRUE)*(F1114-Calc!F23)),Inputs!$B$18+((C1119=TRUE)*(F1119-Calc!F28))))/100)*((1+(((C1104=TRUE)*F1104)+((C1105=TRUE)*IF(Inputs!$B$38="pvp",F1105,(1-Summary!$B$55)*(F1105)+Summary!$B$55*(0)))+((C1106=TRUE)*F1106*IF(AND(Inputs!$B$38&lt;&gt;"pvp",Inputs!$B$43&gt;0),(((R1106-1)*(Skills!T15*(1+Inputs!$B$34/100))+MIN((Skills!T15*(1+Inputs!$B$34/100)),MAX(0,Inputs!$B$43-((R1106-1)*Skills!D15))))/Inputs!$B$43),IF(Inputs!$B$38="pvp",MIN((Skills!T15*(1+Inputs!$B$34/100)),15)/15,(Skills!T15*(1+Inputs!$B$34/100))/Skills!D15)))+((C1121=TRUE)*(F1121-Calc!F30)))/100)*I1100)</f>
        <v/>
      </c>
      <c r="L1100">
        <f>K1100*(MIN(Inputs!$B$22+((C1115=TRUE)*(F1115-Calc!F24)),Inputs!$B$23+((C1120=TRUE)*(F1120-Calc!F29)))/100+(Inputs!$B$23+((C1120=TRUE)*(F1120-Calc!F29)))/100)/2</f>
        <v/>
      </c>
      <c r="M1100">
        <f>L1100*(1+(Inputs!$B$10+0+B1129)/100)</f>
        <v/>
      </c>
      <c r="N1100">
        <f>L1100*(1-MIN((Inputs!$B$9+((C1111=TRUE)*(F1111-Calc!F20))+B1124),100)/100)+M1100*(MIN((Inputs!$B$9+((C1111=TRUE)*(F1111-Calc!F20))+B1124),100)/100)</f>
        <v/>
      </c>
      <c r="O1100">
        <f>(1-Summary!$B$55)*T1100+Summary!$B$55*V1100</f>
        <v/>
      </c>
      <c r="P1100">
        <f>IF(B1134=0,0,O1100/B1134)</f>
        <v/>
      </c>
      <c r="Q1100">
        <f>IFERROR(1/IF(Inputs!$B$38="pvp",15,MAX(0.1,Skills!D9-IF(Skills!E9=TRUE,(Inputs!$B$32+1),0))),0)</f>
        <v/>
      </c>
      <c r="R1100">
        <f>IF(AND(Inputs!$B$38&lt;&gt;"pvp",Inputs!$B$43&gt;0),IF(MAX(0,Inputs!$B$43-B1131)&lt;=0,0,(INT(MAX(0,Inputs!$B$43-B1131)/IF(Inputs!$B$38="pvp",15,MAX(0.1,Skills!D9-IF(Skills!E9=TRUE,(Inputs!$B$32+1),0))))+1)),0)</f>
        <v/>
      </c>
      <c r="S1100">
        <f>IFERROR(O1100/N1100,0)</f>
        <v/>
      </c>
      <c r="T1100">
        <f>IF(C1100,(H1100*N1100*IF(AND(Inputs!$B$38&lt;&gt;"pvp",Inputs!$B$43&gt;0),((Skills!G9*((R1100-1)*IF(Skills!H9&gt;0,Skills!I9/Skills!H9,1)+IF(Skills!H9&gt;0,MIN(Skills!I9,MAX(0,MAX(0,Inputs!$B$43-B1131)-((R1100-1)*IF(Inputs!$B$38="pvp",15,MAX(0.1,Skills!D9-IF(Skills!E9=TRUE,(Inputs!$B$32+1),0))))))/Skills!H9,1)))/Inputs!$B$43),G1100*Q1100))*IF(Inputs!$B$38="pvp",1,1+(Inputs!$B$20+0+Skills!P9)/100),0)</f>
        <v/>
      </c>
      <c r="V1100">
        <f>IF(C1100,(H1100*N1100*IF(AND(Inputs!$B$38&lt;&gt;"pvp",Inputs!$B$43&gt;0),((Skills!G9*((R1100-1)*IF(Skills!H9&gt;0,Skills!I9/Skills!H9,1)+IF(Skills!H9&gt;0,MIN(Skills!I9,MAX(0,MAX(0,Inputs!$B$43-B1131)-((R1100-1)*IF(Inputs!$B$38="pvp",15,MAX(0.1,Skills!D9-IF(Skills!E9=TRUE,(Inputs!$B$32+1),0))))))/Skills!H9,1)))/Inputs!$B$43),G1100*Q1100))*IF(Inputs!$B$38="pvp",1,(1+(Inputs!$B$21+Skills!Q9)/100)*(MIN(Skills!R9,Inputs!$B$37))),0)</f>
        <v/>
      </c>
    </row>
    <row r="1101">
      <c r="A1101">
        <f>Skills!A10</f>
        <v/>
      </c>
      <c r="B1101">
        <f>Skills!B10</f>
        <v/>
      </c>
      <c r="C1101">
        <f>Inputs!$B$3&gt;=100</f>
        <v/>
      </c>
      <c r="D1101">
        <f>IF(Skills!C10=1,60+Inputs!$B$25+Inputs!$B$29,IF(Skills!C10=2,90+Inputs!$B$26+Inputs!$B$29,IF(Skills!C10=3,120+Inputs!$B$27+Inputs!$B$29,MAX(0,(Inputs!$B$3-100)*3)+Inputs!$B$28+Inputs!$B$29)))</f>
        <v/>
      </c>
      <c r="E1101">
        <f>INDEX(FactorTable!$B$2:$Y$301, MATCH(ROUND(MIN(300,MAX(1,D1101)),0), FactorTable!$A$2:$A$301,0), Skills!M10+1)</f>
        <v/>
      </c>
      <c r="F1101">
        <f>IF(Skills!N10=TRUE,(Skills!L10/10)*(E1101/1000),Skills!L10/10)+Skills!O10</f>
        <v/>
      </c>
      <c r="G1101" t="inlineStr"/>
      <c r="H1101" t="inlineStr"/>
      <c r="I1101" t="inlineStr">
        <is>
          <t>1</t>
        </is>
      </c>
      <c r="J1101" t="inlineStr"/>
      <c r="K1101" t="inlineStr"/>
      <c r="L1101" t="inlineStr"/>
      <c r="M1101" t="inlineStr"/>
      <c r="N1101" t="inlineStr"/>
      <c r="O1101" t="inlineStr"/>
      <c r="P1101" t="inlineStr"/>
      <c r="Q1101" t="inlineStr"/>
      <c r="R1101" t="inlineStr"/>
      <c r="S1101" t="inlineStr"/>
      <c r="T1101" t="inlineStr"/>
      <c r="V1101" t="inlineStr"/>
    </row>
    <row r="1102">
      <c r="A1102">
        <f>Skills!A11</f>
        <v/>
      </c>
      <c r="B1102">
        <f>Skills!B11</f>
        <v/>
      </c>
      <c r="C1102">
        <f>Inputs!$B$3&gt;=60</f>
        <v/>
      </c>
      <c r="D1102">
        <f>IF(Skills!C11=1,60+Inputs!$B$25+Inputs!$B$29,IF(Skills!C11=2,90+Inputs!$B$26+Inputs!$B$29,IF(Skills!C11=3,120+Inputs!$B$27+Inputs!$B$29,MAX(0,(Inputs!$B$3-100)*3)+Inputs!$B$28+Inputs!$B$29)))</f>
        <v/>
      </c>
      <c r="E1102">
        <f>INDEX(FactorTable!$B$2:$Y$301, MATCH(ROUND(MIN(300,MAX(1,D1102)),0), FactorTable!$A$2:$A$301,0), Skills!M11+1)</f>
        <v/>
      </c>
      <c r="F1102">
        <f>IF(Skills!N11=TRUE,(Skills!L11/10)*(E1102/1000),Skills!L11/10)+Skills!O11</f>
        <v/>
      </c>
      <c r="G1102">
        <f>Skills!G11*IF(Skills!H11&gt;0,Skills!I11/Skills!H11,1)</f>
        <v/>
      </c>
      <c r="H1102">
        <f>1-(1-Skills!J11/100)^Skills!K11</f>
        <v/>
      </c>
      <c r="I1102" t="inlineStr">
        <is>
          <t>1</t>
        </is>
      </c>
      <c r="J1102">
        <f>((Inputs!$B$6*(1+Inputs!$B$7/100))+(((Inputs!$B$12*(1+Inputs!$B$13/100))-(Inputs!$B$12*(1+Inputs!$B$13/100)))+0.25*(Inputs!$B$14-Inputs!$B$14))*(1+Inputs!$B$7/100))*(F1102/100)</f>
        <v/>
      </c>
      <c r="K1102">
        <f>J1102*(1+((Inputs!$B$12*(1+Inputs!$B$13/100))*0.01+Inputs!$B$14*0.0025)/100)*(1+Inputs!$B$15/100)*(1+Inputs!$B$16/100)*(5000/(6000+Inputs!$B$42*(1-(Inputs!$B$19+((C1118=TRUE)*(F1118-Calc!F27)))/100)))*(1+(Inputs!$B$24+((C1116=TRUE)*(F1116-Calc!F25))+((C1117=TRUE)*(F1117-Calc!F26))+B1130)/100)*(1+IF(C1103=TRUE,F1103,0)/100)*(1+(IF(Skills!A11="ARROW_STREAM",Inputs!$B$17+((C1114=TRUE)*(F1114-Calc!F23)),Inputs!$B$18+((C1119=TRUE)*(F1119-Calc!F28))))/100)*((1+(((C1104=TRUE)*F1104)+((C1105=TRUE)*IF(Inputs!$B$38="pvp",F1105,(1-Summary!$B$55)*(F1105)+Summary!$B$55*(0)))+((C1106=TRUE)*F1106*IF(AND(Inputs!$B$38&lt;&gt;"pvp",Inputs!$B$43&gt;0),(((R1106-1)*(Skills!T15*(1+Inputs!$B$34/100))+MIN((Skills!T15*(1+Inputs!$B$34/100)),MAX(0,Inputs!$B$43-((R1106-1)*Skills!D15))))/Inputs!$B$43),IF(Inputs!$B$38="pvp",MIN((Skills!T15*(1+Inputs!$B$34/100)),15)/15,(Skills!T15*(1+Inputs!$B$34/100))/Skills!D15)))+((C1121=TRUE)*(F1121-Calc!F30)))/100)*I1102)</f>
        <v/>
      </c>
      <c r="L1102">
        <f>K1102*(MIN(Inputs!$B$22+((C1115=TRUE)*(F1115-Calc!F24)),Inputs!$B$23+((C1120=TRUE)*(F1120-Calc!F29)))/100+(Inputs!$B$23+((C1120=TRUE)*(F1120-Calc!F29)))/100)/2</f>
        <v/>
      </c>
      <c r="M1102">
        <f>L1102*(1+(Inputs!$B$10+0+B1129)/100)</f>
        <v/>
      </c>
      <c r="N1102">
        <f>L1102*(1-MIN((Inputs!$B$9+((C1111=TRUE)*(F1111-Calc!F20))+B1124),100)/100)+M1102*(MIN((Inputs!$B$9+((C1111=TRUE)*(F1111-Calc!F20))+B1124),100)/100)</f>
        <v/>
      </c>
      <c r="O1102">
        <f>(1-Summary!$B$55)*T1102+Summary!$B$55*V1102</f>
        <v/>
      </c>
      <c r="P1102">
        <f>IF(B1134=0,0,O1102/B1134)</f>
        <v/>
      </c>
      <c r="Q1102">
        <f>IFERROR(1/IF(Inputs!$B$38="pvp",15,MAX(0.1,Skills!D11-IF(Skills!E11=TRUE,(Inputs!$B$32+1),0))),0)</f>
        <v/>
      </c>
      <c r="R1102">
        <f>IF(AND(Inputs!$B$38&lt;&gt;"pvp",Inputs!$B$43&gt;0),IF(MAX(0,Inputs!$B$43-B1131)&lt;=0,0,(INT(MAX(0,Inputs!$B$43-B1131)/IF(Inputs!$B$38="pvp",15,MAX(0.1,Skills!D11-IF(Skills!E11=TRUE,(Inputs!$B$32+1),0))))+1)),0)</f>
        <v/>
      </c>
      <c r="S1102">
        <f>IFERROR(O1102/N1102,0)</f>
        <v/>
      </c>
      <c r="T1102">
        <f>IF(C1102,(H1102*N1102*IF(AND(Inputs!$B$38&lt;&gt;"pvp",Inputs!$B$43&gt;0),((Skills!G11*((R1102-1)*IF(Skills!H11&gt;0,Skills!I11/Skills!H11,1)+IF(Skills!H11&gt;0,MIN(Skills!I11,MAX(0,MAX(0,Inputs!$B$43-B1131)-((R1102-1)*IF(Inputs!$B$38="pvp",15,MAX(0.1,Skills!D11-IF(Skills!E11=TRUE,(Inputs!$B$32+1),0))))))/Skills!H11,1)))/Inputs!$B$43),G1102*Q1102))*IF(Inputs!$B$38="pvp",1,1+(Inputs!$B$20+0+Skills!P11)/100),0)</f>
        <v/>
      </c>
      <c r="V1102">
        <f>IF(C1102,(H1102*N1102*IF(AND(Inputs!$B$38&lt;&gt;"pvp",Inputs!$B$43&gt;0),((Skills!G11*((R1102-1)*IF(Skills!H11&gt;0,Skills!I11/Skills!H11,1)+IF(Skills!H11&gt;0,MIN(Skills!I11,MAX(0,MAX(0,Inputs!$B$43-B1131)-((R1102-1)*IF(Inputs!$B$38="pvp",15,MAX(0.1,Skills!D11-IF(Skills!E11=TRUE,(Inputs!$B$32+1),0))))))/Skills!H11,1)))/Inputs!$B$43),G1102*Q1102))*IF(Inputs!$B$38="pvp",1,(1+(Inputs!$B$21+Skills!Q11)/100)*(MIN(Skills!R11,Inputs!$B$37))),0)</f>
        <v/>
      </c>
    </row>
    <row r="1103">
      <c r="A1103">
        <f>Skills!A12</f>
        <v/>
      </c>
      <c r="B1103">
        <f>Skills!B12</f>
        <v/>
      </c>
      <c r="C1103">
        <f>Inputs!$B$3&gt;=110</f>
        <v/>
      </c>
      <c r="D1103">
        <f>IF(Skills!C12=1,60+Inputs!$B$25+Inputs!$B$29,IF(Skills!C12=2,90+Inputs!$B$26+Inputs!$B$29,IF(Skills!C12=3,120+Inputs!$B$27+Inputs!$B$29,MAX(0,(Inputs!$B$3-100)*3)+Inputs!$B$28+Inputs!$B$29)))</f>
        <v/>
      </c>
      <c r="E1103">
        <f>INDEX(FactorTable!$B$2:$Y$301, MATCH(ROUND(MIN(300,MAX(1,D1103)),0), FactorTable!$A$2:$A$301,0), Skills!M12+1)</f>
        <v/>
      </c>
      <c r="F1103">
        <f>IF(Skills!N12=TRUE,(Skills!L12/10)*(E1103/1000),Skills!L12/10)+Skills!O12</f>
        <v/>
      </c>
      <c r="G1103" t="inlineStr"/>
      <c r="H1103" t="inlineStr"/>
      <c r="I1103" t="inlineStr">
        <is>
          <t>1</t>
        </is>
      </c>
      <c r="J1103" t="inlineStr"/>
      <c r="K1103" t="inlineStr"/>
      <c r="L1103" t="inlineStr"/>
      <c r="M1103" t="inlineStr"/>
      <c r="N1103" t="inlineStr"/>
      <c r="O1103" t="inlineStr"/>
      <c r="P1103" t="inlineStr"/>
      <c r="Q1103" t="inlineStr"/>
      <c r="R1103" t="inlineStr"/>
      <c r="S1103" t="inlineStr"/>
      <c r="T1103" t="inlineStr"/>
      <c r="V1103" t="inlineStr"/>
    </row>
    <row r="1104">
      <c r="A1104">
        <f>Skills!A13</f>
        <v/>
      </c>
      <c r="B1104">
        <f>Skills!B13</f>
        <v/>
      </c>
      <c r="C1104">
        <f>Inputs!$B$3&gt;=74</f>
        <v/>
      </c>
      <c r="D1104">
        <f>IF(Skills!C13=1,60+Inputs!$B$25+Inputs!$B$29,IF(Skills!C13=2,90+Inputs!$B$26+Inputs!$B$29,IF(Skills!C13=3,120+Inputs!$B$27+Inputs!$B$29,MAX(0,(Inputs!$B$3-100)*3)+Inputs!$B$28+Inputs!$B$29)))</f>
        <v/>
      </c>
      <c r="E1104">
        <f>INDEX(FactorTable!$B$2:$Y$301, MATCH(ROUND(MIN(300,MAX(1,D1104)),0), FactorTable!$A$2:$A$301,0), Skills!M13+1)</f>
        <v/>
      </c>
      <c r="F1104">
        <f>IF(Skills!N13=TRUE,(Skills!L13/10)*(E1104/1000),Skills!L13/10)+Skills!O13</f>
        <v/>
      </c>
      <c r="G1104">
        <f>Skills!G13*IF(Skills!H13&gt;0,Skills!I13/Skills!H13,1)</f>
        <v/>
      </c>
      <c r="H1104">
        <f>1-(1-Skills!J13/100)^Skills!K13</f>
        <v/>
      </c>
      <c r="I1104" t="inlineStr">
        <is>
          <t>1</t>
        </is>
      </c>
      <c r="J1104" t="inlineStr"/>
      <c r="K1104" t="inlineStr"/>
      <c r="L1104" t="inlineStr"/>
      <c r="M1104" t="inlineStr"/>
      <c r="N1104" t="inlineStr"/>
      <c r="O1104">
        <f>(1-Summary!$B$55)*T1104+Summary!$B$55*V1104</f>
        <v/>
      </c>
      <c r="P1104">
        <f>IF(B1134=0,0,O1104/B1134)</f>
        <v/>
      </c>
      <c r="Q1104" t="n">
        <v>0</v>
      </c>
      <c r="R1104" t="n">
        <v>0</v>
      </c>
      <c r="S1104">
        <f>IFERROR(O1104/N1104,0)</f>
        <v/>
      </c>
      <c r="T1104" t="n">
        <v>0</v>
      </c>
      <c r="V1104" t="n">
        <v>0</v>
      </c>
    </row>
    <row r="1105">
      <c r="A1105">
        <f>Skills!A14</f>
        <v/>
      </c>
      <c r="B1105">
        <f>Skills!B14</f>
        <v/>
      </c>
      <c r="C1105">
        <f>Inputs!$B$3&gt;=74</f>
        <v/>
      </c>
      <c r="D1105">
        <f>IF(Skills!C14=1,60+Inputs!$B$25+Inputs!$B$29,IF(Skills!C14=2,90+Inputs!$B$26+Inputs!$B$29,IF(Skills!C14=3,120+Inputs!$B$27+Inputs!$B$29,MAX(0,(Inputs!$B$3-100)*3)+Inputs!$B$28+Inputs!$B$29)))</f>
        <v/>
      </c>
      <c r="E1105">
        <f>INDEX(FactorTable!$B$2:$Y$301, MATCH(ROUND(MIN(300,MAX(1,D1105)),0), FactorTable!$A$2:$A$301,0), Skills!M14+1)</f>
        <v/>
      </c>
      <c r="F1105">
        <f>IF(Skills!N14=TRUE,(Skills!L14/10)*(E1105/1000),Skills!L14/10)+Skills!O14</f>
        <v/>
      </c>
      <c r="G1105">
        <f>Skills!G14*IF(Skills!H14&gt;0,Skills!I14/Skills!H14,1)</f>
        <v/>
      </c>
      <c r="H1105">
        <f>1-(1-Skills!J14/100)^Skills!K14</f>
        <v/>
      </c>
      <c r="I1105" t="inlineStr">
        <is>
          <t>1</t>
        </is>
      </c>
      <c r="J1105" t="inlineStr"/>
      <c r="K1105" t="inlineStr"/>
      <c r="L1105" t="inlineStr"/>
      <c r="M1105" t="inlineStr"/>
      <c r="N1105" t="inlineStr"/>
      <c r="O1105">
        <f>(1-Summary!$B$55)*T1105+Summary!$B$55*V1105</f>
        <v/>
      </c>
      <c r="P1105">
        <f>IF(B1134=0,0,O1105/B1134)</f>
        <v/>
      </c>
      <c r="Q1105" t="n">
        <v>0</v>
      </c>
      <c r="R1105" t="n">
        <v>0</v>
      </c>
      <c r="S1105">
        <f>IFERROR(O1105/N1105,0)</f>
        <v/>
      </c>
      <c r="T1105" t="n">
        <v>0</v>
      </c>
      <c r="V1105" t="n">
        <v>0</v>
      </c>
    </row>
    <row r="1106">
      <c r="A1106">
        <f>Skills!A15</f>
        <v/>
      </c>
      <c r="B1106">
        <f>Skills!B15</f>
        <v/>
      </c>
      <c r="C1106">
        <f>Inputs!$B$3&gt;=117</f>
        <v/>
      </c>
      <c r="D1106">
        <f>IF(Skills!C15=1,60+Inputs!$B$25+Inputs!$B$29,IF(Skills!C15=2,90+Inputs!$B$26+Inputs!$B$29,IF(Skills!C15=3,120+Inputs!$B$27+Inputs!$B$29,MAX(0,(Inputs!$B$3-100)*3)+Inputs!$B$28+Inputs!$B$29)))</f>
        <v/>
      </c>
      <c r="E1106">
        <f>INDEX(FactorTable!$B$2:$Y$301, MATCH(ROUND(MIN(300,MAX(1,D1106)),0), FactorTable!$A$2:$A$301,0), Skills!M15+1)</f>
        <v/>
      </c>
      <c r="F1106">
        <f>IF(Skills!N15=TRUE,(Skills!L15/10)*(E1106/1000),Skills!L15/10)+Skills!O15</f>
        <v/>
      </c>
      <c r="G1106">
        <f>Skills!G15*IF(Skills!H15&gt;0,Skills!I15/Skills!H15,1)</f>
        <v/>
      </c>
      <c r="H1106">
        <f>1-(1-Skills!J15/100)^Skills!K15</f>
        <v/>
      </c>
      <c r="I1106" t="inlineStr">
        <is>
          <t>1</t>
        </is>
      </c>
      <c r="J1106" t="inlineStr"/>
      <c r="K1106" t="inlineStr"/>
      <c r="L1106" t="inlineStr"/>
      <c r="M1106" t="inlineStr"/>
      <c r="N1106" t="inlineStr"/>
      <c r="O1106">
        <f>(1-Summary!$B$55)*T1106+Summary!$B$55*V1106</f>
        <v/>
      </c>
      <c r="P1106">
        <f>IF(B1134=0,0,O1106/B1134)</f>
        <v/>
      </c>
      <c r="Q1106">
        <f>IFERROR(1/IF(Inputs!$B$38="pvp",15,MAX(0.1,Skills!D15-IF(Skills!E15=TRUE,(Inputs!$B$32+1),0))),0)</f>
        <v/>
      </c>
      <c r="R1106">
        <f>IF(AND(Inputs!$B$38&lt;&gt;"pvp",Inputs!$B$43&gt;0),IF(Inputs!$B$43&lt;=0,0,(INT(Inputs!$B$43/IF(Inputs!$B$38="pvp",15,MAX(0.1,Skills!D15-IF(Skills!E15=TRUE,(Inputs!$B$32+1),0))))+1)),0)</f>
        <v/>
      </c>
      <c r="S1106">
        <f>IFERROR(O1106/N1106,0)</f>
        <v/>
      </c>
      <c r="T1106" t="n">
        <v>0</v>
      </c>
      <c r="V1106" t="n">
        <v>0</v>
      </c>
    </row>
    <row r="1107">
      <c r="A1107">
        <f>Skills!A16</f>
        <v/>
      </c>
      <c r="B1107">
        <f>Skills!B16</f>
        <v/>
      </c>
      <c r="C1107">
        <f>Inputs!$B$3&gt;=115</f>
        <v/>
      </c>
      <c r="D1107">
        <f>IF(Skills!C16=1,60+Inputs!$B$25+Inputs!$B$29,IF(Skills!C16=2,90+Inputs!$B$26+Inputs!$B$29,IF(Skills!C16=3,120+Inputs!$B$27+Inputs!$B$29,MAX(0,(Inputs!$B$3-100)*3)+Inputs!$B$28+Inputs!$B$29)))</f>
        <v/>
      </c>
      <c r="E1107">
        <f>INDEX(FactorTable!$B$2:$Y$301, MATCH(ROUND(MIN(300,MAX(1,D1107)),0), FactorTable!$A$2:$A$301,0), Skills!M16+1)</f>
        <v/>
      </c>
      <c r="F1107">
        <f>IF(Skills!N16=TRUE,(Skills!L16/10)*(E1107/1000),Skills!L16/10)+Skills!O16</f>
        <v/>
      </c>
      <c r="G1107">
        <f>Skills!G16*IF(Skills!H16&gt;0,Skills!I16/Skills!H16,1)</f>
        <v/>
      </c>
      <c r="H1107">
        <f>1-(1-Skills!J16/100)^Skills!K16</f>
        <v/>
      </c>
      <c r="I1107" t="inlineStr">
        <is>
          <t>1</t>
        </is>
      </c>
      <c r="J1107" t="inlineStr"/>
      <c r="K1107" t="inlineStr"/>
      <c r="L1107" t="inlineStr"/>
      <c r="M1107" t="inlineStr"/>
      <c r="N1107" t="inlineStr"/>
      <c r="O1107">
        <f>(1-Summary!$B$55)*T1107+Summary!$B$55*V1107</f>
        <v/>
      </c>
      <c r="P1107">
        <f>IF(B1134=0,0,O1107/B1134)</f>
        <v/>
      </c>
      <c r="Q1107">
        <f>IFERROR(1/IF(Inputs!$B$38="pvp",15,MAX(0.1,Skills!D16-IF(Skills!E16=TRUE,(Inputs!$B$32+1),0))),0)</f>
        <v/>
      </c>
      <c r="R1107">
        <f>IF(AND(Inputs!$B$38&lt;&gt;"pvp",Inputs!$B$43&gt;0),IF(Inputs!$B$43&lt;=0,0,(INT(Inputs!$B$43/IF(Inputs!$B$38="pvp",15,MAX(0.1,Skills!D16-IF(Skills!E16=TRUE,(Inputs!$B$32+1),0))))+1)),0)</f>
        <v/>
      </c>
      <c r="S1107">
        <f>IFERROR(O1107/N1107,0)</f>
        <v/>
      </c>
      <c r="T1107" t="n">
        <v>0</v>
      </c>
      <c r="V1107" t="n">
        <v>0</v>
      </c>
    </row>
    <row r="1108">
      <c r="A1108">
        <f>Skills!A17</f>
        <v/>
      </c>
      <c r="B1108">
        <f>Skills!B17</f>
        <v/>
      </c>
      <c r="C1108">
        <f>Inputs!$B$3&gt;=66</f>
        <v/>
      </c>
      <c r="D1108">
        <f>IF(Skills!C17=1,60+Inputs!$B$25+Inputs!$B$29,IF(Skills!C17=2,90+Inputs!$B$26+Inputs!$B$29,IF(Skills!C17=3,120+Inputs!$B$27+Inputs!$B$29,MAX(0,(Inputs!$B$3-100)*3)+Inputs!$B$28+Inputs!$B$29)))</f>
        <v/>
      </c>
      <c r="E1108">
        <f>INDEX(FactorTable!$B$2:$Y$301, MATCH(ROUND(MIN(300,MAX(1,D1108)),0), FactorTable!$A$2:$A$301,0), Skills!M17+1)</f>
        <v/>
      </c>
      <c r="F1108">
        <f>IF(Skills!N17=TRUE,(Skills!L17/10)*(E1108/1000),Skills!L17/10)+Skills!O17</f>
        <v/>
      </c>
      <c r="G1108">
        <f>Skills!G17*IF(Skills!H17&gt;0,Skills!I17/Skills!H17,1)</f>
        <v/>
      </c>
      <c r="H1108">
        <f>1-(1-Skills!J17/100)^Skills!K17</f>
        <v/>
      </c>
      <c r="I1108" t="inlineStr">
        <is>
          <t>1</t>
        </is>
      </c>
      <c r="J1108" t="inlineStr"/>
      <c r="K1108" t="inlineStr"/>
      <c r="L1108" t="inlineStr"/>
      <c r="M1108" t="inlineStr"/>
      <c r="N1108" t="inlineStr"/>
      <c r="O1108">
        <f>(1-Summary!$B$55)*T1108+Summary!$B$55*V1108</f>
        <v/>
      </c>
      <c r="P1108">
        <f>IF(B1134=0,0,O1108/B1134)</f>
        <v/>
      </c>
      <c r="Q1108" t="n">
        <v>0</v>
      </c>
      <c r="R1108" t="n">
        <v>0</v>
      </c>
      <c r="S1108">
        <f>IFERROR(O1108/N1108,0)</f>
        <v/>
      </c>
      <c r="T1108" t="n">
        <v>0</v>
      </c>
      <c r="V1108" t="n">
        <v>0</v>
      </c>
    </row>
    <row r="1109">
      <c r="A1109">
        <f>Skills!A18</f>
        <v/>
      </c>
      <c r="B1109">
        <f>Skills!B18</f>
        <v/>
      </c>
      <c r="C1109">
        <f>Inputs!$B$3&gt;=72</f>
        <v/>
      </c>
      <c r="D1109">
        <f>IF(Skills!C18=1,60+Inputs!$B$25+Inputs!$B$29,IF(Skills!C18=2,90+Inputs!$B$26+Inputs!$B$29,IF(Skills!C18=3,120+Inputs!$B$27+Inputs!$B$29,MAX(0,(Inputs!$B$3-100)*3)+Inputs!$B$28+Inputs!$B$29)))</f>
        <v/>
      </c>
      <c r="E1109">
        <f>INDEX(FactorTable!$B$2:$Y$301, MATCH(ROUND(MIN(300,MAX(1,D1109)),0), FactorTable!$A$2:$A$301,0), Skills!M18+1)</f>
        <v/>
      </c>
      <c r="F1109">
        <f>IF(Skills!N18=TRUE,(Skills!L18/10)*(E1109/1000),Skills!L18/10)+Skills!O18</f>
        <v/>
      </c>
      <c r="G1109">
        <f>Skills!G18*IF(Skills!H18&gt;0,Skills!I18/Skills!H18,1)</f>
        <v/>
      </c>
      <c r="H1109">
        <f>1-(1-Skills!J18/100)^Skills!K18</f>
        <v/>
      </c>
      <c r="I1109" t="inlineStr">
        <is>
          <t>1</t>
        </is>
      </c>
      <c r="J1109" t="inlineStr"/>
      <c r="K1109" t="inlineStr"/>
      <c r="L1109" t="inlineStr"/>
      <c r="M1109" t="inlineStr"/>
      <c r="N1109" t="inlineStr"/>
      <c r="O1109">
        <f>(1-Summary!$B$55)*T1109+Summary!$B$55*V1109</f>
        <v/>
      </c>
      <c r="P1109">
        <f>IF(B1134=0,0,O1109/B1134)</f>
        <v/>
      </c>
      <c r="Q1109" t="n">
        <v>0</v>
      </c>
      <c r="R1109" t="n">
        <v>0</v>
      </c>
      <c r="S1109">
        <f>IFERROR(O1109/N1109,0)</f>
        <v/>
      </c>
      <c r="T1109" t="n">
        <v>0</v>
      </c>
      <c r="V1109" t="n">
        <v>0</v>
      </c>
    </row>
    <row r="1110">
      <c r="A1110">
        <f>Skills!A19</f>
        <v/>
      </c>
      <c r="B1110">
        <f>Skills!B19</f>
        <v/>
      </c>
      <c r="C1110">
        <f>TRUE</f>
        <v/>
      </c>
      <c r="D1110">
        <f>IF(Skills!C19=1,60+Inputs!$B$25+Inputs!$B$29,IF(Skills!C19=2,90+Inputs!$B$26+Inputs!$B$29,IF(Skills!C19=3,120+Inputs!$B$27+Inputs!$B$29,MAX(0,(Inputs!$B$3-100)*3)+Inputs!$B$28+Inputs!$B$29)))</f>
        <v/>
      </c>
      <c r="E1110">
        <f>INDEX(FactorTable!$B$2:$Y$301, MATCH(ROUND(MIN(300,MAX(1,D1110)),0), FactorTable!$A$2:$A$301,0), Skills!M19+1)</f>
        <v/>
      </c>
      <c r="F1110">
        <f>IF(Skills!N19=TRUE,(Skills!L19/10)*(E1110/1000),Skills!L19/10)+Skills!O19</f>
        <v/>
      </c>
      <c r="G1110">
        <f>Skills!G19*IF(Skills!H19&gt;0,Skills!I19/Skills!H19,1)</f>
        <v/>
      </c>
      <c r="H1110">
        <f>1-(1-Skills!J19/100)^Skills!K19</f>
        <v/>
      </c>
      <c r="I1110" t="inlineStr">
        <is>
          <t>1</t>
        </is>
      </c>
      <c r="J1110" t="inlineStr"/>
      <c r="K1110" t="inlineStr"/>
      <c r="L1110" t="inlineStr"/>
      <c r="M1110" t="inlineStr"/>
      <c r="N1110" t="inlineStr"/>
      <c r="O1110">
        <f>(1-Summary!$B$55)*T1110+Summary!$B$55*V1110</f>
        <v/>
      </c>
      <c r="P1110">
        <f>IF(B1134=0,0,O1110/B1134)</f>
        <v/>
      </c>
      <c r="Q1110">
        <f>IFERROR(1/IF(Inputs!$B$38="pvp",15,MAX(0.1,Skills!D19-IF(Skills!E19=TRUE,(Inputs!$B$32+1),0))),0)</f>
        <v/>
      </c>
      <c r="R1110">
        <f>IF(AND(Inputs!$B$38&lt;&gt;"pvp",Inputs!$B$43&gt;0),IF(Inputs!$B$43&lt;=0,0,(INT(Inputs!$B$43/IF(Inputs!$B$38="pvp",15,MAX(0.1,Skills!D19-IF(Skills!E19=TRUE,(Inputs!$B$32+1),0))))+1)),0)</f>
        <v/>
      </c>
      <c r="S1110">
        <f>IFERROR(O1110/N1110,0)</f>
        <v/>
      </c>
      <c r="T1110" t="n">
        <v>0</v>
      </c>
      <c r="V1110" t="n">
        <v>0</v>
      </c>
    </row>
    <row r="1111">
      <c r="A1111">
        <f>Skills!A20</f>
        <v/>
      </c>
      <c r="B1111">
        <f>Skills!B20</f>
        <v/>
      </c>
      <c r="C1111">
        <f>Inputs!$B$3&gt;=15</f>
        <v/>
      </c>
      <c r="D1111">
        <f>IF(Skills!C20=1,60+Inputs!$B$25+Inputs!$B$29,IF(Skills!C20=2,90+Inputs!$B$26+Inputs!$B$29,IF(Skills!C20=3,120+Inputs!$B$27+Inputs!$B$29,MAX(0,(Inputs!$B$3-100)*3)+Inputs!$B$28+Inputs!$B$29)))</f>
        <v/>
      </c>
      <c r="E1111">
        <f>INDEX(FactorTable!$B$2:$Y$301, MATCH(ROUND(MIN(300,MAX(1,D1111)),0), FactorTable!$A$2:$A$301,0), Skills!M20+1)</f>
        <v/>
      </c>
      <c r="F1111">
        <f>IF(Skills!N20=TRUE,(Skills!L20/10)*(E1111/1000),Skills!L20/10)+Skills!O20</f>
        <v/>
      </c>
      <c r="G1111">
        <f>Skills!G20*IF(Skills!H20&gt;0,Skills!I20/Skills!H20,1)</f>
        <v/>
      </c>
      <c r="H1111">
        <f>1-(1-Skills!J20/100)^Skills!K20</f>
        <v/>
      </c>
      <c r="I1111" t="inlineStr">
        <is>
          <t>1</t>
        </is>
      </c>
      <c r="J1111" t="inlineStr"/>
      <c r="K1111" t="inlineStr"/>
      <c r="L1111" t="inlineStr"/>
      <c r="M1111" t="inlineStr"/>
      <c r="N1111" t="inlineStr"/>
      <c r="O1111">
        <f>(1-Summary!$B$55)*T1111+Summary!$B$55*V1111</f>
        <v/>
      </c>
      <c r="P1111">
        <f>IF(B1134=0,0,O1111/B1134)</f>
        <v/>
      </c>
      <c r="Q1111" t="n">
        <v>0</v>
      </c>
      <c r="R1111" t="n">
        <v>0</v>
      </c>
      <c r="S1111">
        <f>IFERROR(O1111/N1111,0)</f>
        <v/>
      </c>
      <c r="T1111" t="n">
        <v>0</v>
      </c>
      <c r="V1111" t="n">
        <v>0</v>
      </c>
    </row>
    <row r="1112">
      <c r="A1112">
        <f>Skills!A21</f>
        <v/>
      </c>
      <c r="B1112">
        <f>Skills!B21</f>
        <v/>
      </c>
      <c r="C1112">
        <f>Inputs!$B$3&gt;=10</f>
        <v/>
      </c>
      <c r="D1112">
        <f>IF(Skills!C21=1,60+Inputs!$B$25+Inputs!$B$29,IF(Skills!C21=2,90+Inputs!$B$26+Inputs!$B$29,IF(Skills!C21=3,120+Inputs!$B$27+Inputs!$B$29,MAX(0,(Inputs!$B$3-100)*3)+Inputs!$B$28+Inputs!$B$29)))</f>
        <v/>
      </c>
      <c r="E1112">
        <f>INDEX(FactorTable!$B$2:$Y$301, MATCH(ROUND(MIN(300,MAX(1,D1112)),0), FactorTable!$A$2:$A$301,0), Skills!M21+1)</f>
        <v/>
      </c>
      <c r="F1112">
        <f>IF(Skills!N21=TRUE,(Skills!L21/10)*(E1112/1000),Skills!L21/10)+Skills!O21</f>
        <v/>
      </c>
      <c r="G1112">
        <f>Skills!G21*IF(Skills!H21&gt;0,Skills!I21/Skills!H21,1)</f>
        <v/>
      </c>
      <c r="H1112">
        <f>1-(1-Skills!J21/100)^Skills!K21</f>
        <v/>
      </c>
      <c r="I1112" t="inlineStr">
        <is>
          <t>1</t>
        </is>
      </c>
      <c r="J1112" t="inlineStr"/>
      <c r="K1112" t="inlineStr"/>
      <c r="L1112" t="inlineStr"/>
      <c r="M1112" t="inlineStr"/>
      <c r="N1112" t="inlineStr"/>
      <c r="O1112">
        <f>(1-Summary!$B$55)*T1112+Summary!$B$55*V1112</f>
        <v/>
      </c>
      <c r="P1112">
        <f>IF(B1134=0,0,O1112/B1134)</f>
        <v/>
      </c>
      <c r="Q1112" t="n">
        <v>0</v>
      </c>
      <c r="R1112" t="n">
        <v>0</v>
      </c>
      <c r="S1112">
        <f>IFERROR(O1112/N1112,0)</f>
        <v/>
      </c>
      <c r="T1112" t="n">
        <v>0</v>
      </c>
      <c r="V1112" t="n">
        <v>0</v>
      </c>
    </row>
    <row r="1113">
      <c r="A1113">
        <f>Skills!A22</f>
        <v/>
      </c>
      <c r="B1113">
        <f>Skills!B22</f>
        <v/>
      </c>
      <c r="C1113">
        <f>Inputs!$B$3&gt;=33</f>
        <v/>
      </c>
      <c r="D1113">
        <f>IF(Skills!C22=1,60+Inputs!$B$25+Inputs!$B$29,IF(Skills!C22=2,90+Inputs!$B$26+Inputs!$B$29,IF(Skills!C22=3,120+Inputs!$B$27+Inputs!$B$29,MAX(0,(Inputs!$B$3-100)*3)+Inputs!$B$28+Inputs!$B$29)))</f>
        <v/>
      </c>
      <c r="E1113">
        <f>INDEX(FactorTable!$B$2:$Y$301, MATCH(ROUND(MIN(300,MAX(1,D1113)),0), FactorTable!$A$2:$A$301,0), Skills!M22+1)</f>
        <v/>
      </c>
      <c r="F1113">
        <f>IF(Skills!N22=TRUE,(Skills!L22/10)*(E1113/1000),Skills!L22/10)+Skills!O22</f>
        <v/>
      </c>
      <c r="G1113">
        <f>Skills!G22*IF(Skills!H22&gt;0,Skills!I22/Skills!H22,1)</f>
        <v/>
      </c>
      <c r="H1113">
        <f>1-(1-Skills!J22/100)^Skills!K22</f>
        <v/>
      </c>
      <c r="I1113" t="inlineStr">
        <is>
          <t>1</t>
        </is>
      </c>
      <c r="J1113" t="inlineStr"/>
      <c r="K1113" t="inlineStr"/>
      <c r="L1113" t="inlineStr"/>
      <c r="M1113" t="inlineStr"/>
      <c r="N1113" t="inlineStr"/>
      <c r="O1113">
        <f>(1-Summary!$B$55)*T1113+Summary!$B$55*V1113</f>
        <v/>
      </c>
      <c r="P1113">
        <f>IF(B1134=0,0,O1113/B1134)</f>
        <v/>
      </c>
      <c r="Q1113" t="n">
        <v>0</v>
      </c>
      <c r="R1113" t="n">
        <v>0</v>
      </c>
      <c r="S1113">
        <f>IFERROR(O1113/N1113,0)</f>
        <v/>
      </c>
      <c r="T1113" t="n">
        <v>0</v>
      </c>
      <c r="V1113" t="n">
        <v>0</v>
      </c>
    </row>
    <row r="1114">
      <c r="A1114">
        <f>Skills!A23</f>
        <v/>
      </c>
      <c r="B1114">
        <f>Skills!B23</f>
        <v/>
      </c>
      <c r="C1114">
        <f>Inputs!$B$3&gt;=38</f>
        <v/>
      </c>
      <c r="D1114">
        <f>IF(Skills!C23=1,60+Inputs!$B$25+Inputs!$B$29,IF(Skills!C23=2,90+Inputs!$B$26+Inputs!$B$29,IF(Skills!C23=3,120+Inputs!$B$27+Inputs!$B$29,MAX(0,(Inputs!$B$3-100)*3)+Inputs!$B$28+Inputs!$B$29)))</f>
        <v/>
      </c>
      <c r="E1114">
        <f>INDEX(FactorTable!$B$2:$Y$301, MATCH(ROUND(MIN(300,MAX(1,D1114)),0), FactorTable!$A$2:$A$301,0), Skills!M23+1)</f>
        <v/>
      </c>
      <c r="F1114">
        <f>IF(Skills!N23=TRUE,(Skills!L23/10)*(E1114/1000),Skills!L23/10)+Skills!O23</f>
        <v/>
      </c>
      <c r="G1114">
        <f>Skills!G23*IF(Skills!H23&gt;0,Skills!I23/Skills!H23,1)</f>
        <v/>
      </c>
      <c r="H1114">
        <f>1-(1-Skills!J23/100)^Skills!K23</f>
        <v/>
      </c>
      <c r="I1114" t="inlineStr">
        <is>
          <t>1</t>
        </is>
      </c>
      <c r="J1114" t="inlineStr"/>
      <c r="K1114" t="inlineStr"/>
      <c r="L1114" t="inlineStr"/>
      <c r="M1114" t="inlineStr"/>
      <c r="N1114" t="inlineStr"/>
      <c r="O1114">
        <f>(1-Summary!$B$55)*T1114+Summary!$B$55*V1114</f>
        <v/>
      </c>
      <c r="P1114">
        <f>IF(B1134=0,0,O1114/B1134)</f>
        <v/>
      </c>
      <c r="Q1114" t="n">
        <v>0</v>
      </c>
      <c r="R1114" t="n">
        <v>0</v>
      </c>
      <c r="S1114">
        <f>IFERROR(O1114/N1114,0)</f>
        <v/>
      </c>
      <c r="T1114" t="n">
        <v>0</v>
      </c>
      <c r="V1114" t="n">
        <v>0</v>
      </c>
    </row>
    <row r="1115">
      <c r="A1115">
        <f>Skills!A24</f>
        <v/>
      </c>
      <c r="B1115">
        <f>Skills!B24</f>
        <v/>
      </c>
      <c r="C1115">
        <f>Inputs!$B$3&gt;=43</f>
        <v/>
      </c>
      <c r="D1115">
        <f>IF(Skills!C24=1,60+Inputs!$B$25+Inputs!$B$29,IF(Skills!C24=2,90+Inputs!$B$26+Inputs!$B$29,IF(Skills!C24=3,120+Inputs!$B$27+Inputs!$B$29,MAX(0,(Inputs!$B$3-100)*3)+Inputs!$B$28+Inputs!$B$29)))</f>
        <v/>
      </c>
      <c r="E1115">
        <f>INDEX(FactorTable!$B$2:$Y$301, MATCH(ROUND(MIN(300,MAX(1,D1115)),0), FactorTable!$A$2:$A$301,0), Skills!M24+1)</f>
        <v/>
      </c>
      <c r="F1115">
        <f>IF(Skills!N24=TRUE,(Skills!L24/10)*(E1115/1000),Skills!L24/10)+Skills!O24</f>
        <v/>
      </c>
      <c r="G1115">
        <f>Skills!G24*IF(Skills!H24&gt;0,Skills!I24/Skills!H24,1)</f>
        <v/>
      </c>
      <c r="H1115">
        <f>1-(1-Skills!J24/100)^Skills!K24</f>
        <v/>
      </c>
      <c r="I1115" t="inlineStr">
        <is>
          <t>1</t>
        </is>
      </c>
      <c r="J1115" t="inlineStr"/>
      <c r="K1115" t="inlineStr"/>
      <c r="L1115" t="inlineStr"/>
      <c r="M1115" t="inlineStr"/>
      <c r="N1115" t="inlineStr"/>
      <c r="O1115">
        <f>(1-Summary!$B$55)*T1115+Summary!$B$55*V1115</f>
        <v/>
      </c>
      <c r="P1115">
        <f>IF(B1134=0,0,O1115/B1134)</f>
        <v/>
      </c>
      <c r="Q1115" t="n">
        <v>0</v>
      </c>
      <c r="R1115" t="n">
        <v>0</v>
      </c>
      <c r="S1115">
        <f>IFERROR(O1115/N1115,0)</f>
        <v/>
      </c>
      <c r="T1115" t="n">
        <v>0</v>
      </c>
      <c r="V1115" t="n">
        <v>0</v>
      </c>
    </row>
    <row r="1116">
      <c r="A1116">
        <f>Skills!A25</f>
        <v/>
      </c>
      <c r="B1116">
        <f>Skills!B25</f>
        <v/>
      </c>
      <c r="C1116">
        <f>Inputs!$B$3&gt;=75</f>
        <v/>
      </c>
      <c r="D1116">
        <f>IF(Skills!C25=1,60+Inputs!$B$25+Inputs!$B$29,IF(Skills!C25=2,90+Inputs!$B$26+Inputs!$B$29,IF(Skills!C25=3,120+Inputs!$B$27+Inputs!$B$29,MAX(0,(Inputs!$B$3-100)*3)+Inputs!$B$28+Inputs!$B$29)))</f>
        <v/>
      </c>
      <c r="E1116">
        <f>INDEX(FactorTable!$B$2:$Y$301, MATCH(ROUND(MIN(300,MAX(1,D1116)),0), FactorTable!$A$2:$A$301,0), Skills!M25+1)</f>
        <v/>
      </c>
      <c r="F1116">
        <f>IF(Skills!N25=TRUE,(Skills!L25/10)*(E1116/1000),Skills!L25/10)+Skills!O25</f>
        <v/>
      </c>
      <c r="G1116">
        <f>Skills!G25*IF(Skills!H25&gt;0,Skills!I25/Skills!H25,1)</f>
        <v/>
      </c>
      <c r="H1116">
        <f>1-(1-Skills!J25/100)^Skills!K25</f>
        <v/>
      </c>
      <c r="I1116" t="inlineStr">
        <is>
          <t>1</t>
        </is>
      </c>
      <c r="J1116" t="inlineStr"/>
      <c r="K1116" t="inlineStr"/>
      <c r="L1116" t="inlineStr"/>
      <c r="M1116" t="inlineStr"/>
      <c r="N1116" t="inlineStr"/>
      <c r="O1116">
        <f>(1-Summary!$B$55)*T1116+Summary!$B$55*V1116</f>
        <v/>
      </c>
      <c r="P1116">
        <f>IF(B1134=0,0,O1116/B1134)</f>
        <v/>
      </c>
      <c r="Q1116" t="n">
        <v>0</v>
      </c>
      <c r="R1116" t="n">
        <v>0</v>
      </c>
      <c r="S1116">
        <f>IFERROR(O1116/N1116,0)</f>
        <v/>
      </c>
      <c r="T1116" t="n">
        <v>0</v>
      </c>
      <c r="V1116" t="n">
        <v>0</v>
      </c>
    </row>
    <row r="1117">
      <c r="A1117">
        <f>Skills!A26</f>
        <v/>
      </c>
      <c r="B1117">
        <f>Skills!B26</f>
        <v/>
      </c>
      <c r="C1117">
        <f>Inputs!$B$3&gt;=125</f>
        <v/>
      </c>
      <c r="D1117">
        <f>IF(Skills!C26=1,60+Inputs!$B$25+Inputs!$B$29,IF(Skills!C26=2,90+Inputs!$B$26+Inputs!$B$29,IF(Skills!C26=3,120+Inputs!$B$27+Inputs!$B$29,MAX(0,(Inputs!$B$3-100)*3)+Inputs!$B$28+Inputs!$B$29)))</f>
        <v/>
      </c>
      <c r="E1117">
        <f>INDEX(FactorTable!$B$2:$Y$301, MATCH(ROUND(MIN(300,MAX(1,D1117)),0), FactorTable!$A$2:$A$301,0), Skills!M26+1)</f>
        <v/>
      </c>
      <c r="F1117">
        <f>IF(Skills!N26=TRUE,(Skills!L26/10)*(E1117/1000),Skills!L26/10)+Skills!O26</f>
        <v/>
      </c>
      <c r="G1117">
        <f>Skills!G26*IF(Skills!H26&gt;0,Skills!I26/Skills!H26,1)</f>
        <v/>
      </c>
      <c r="H1117">
        <f>1-(1-Skills!J26/100)^Skills!K26</f>
        <v/>
      </c>
      <c r="I1117" t="inlineStr">
        <is>
          <t>1</t>
        </is>
      </c>
      <c r="J1117" t="inlineStr"/>
      <c r="K1117" t="inlineStr"/>
      <c r="L1117" t="inlineStr"/>
      <c r="M1117" t="inlineStr"/>
      <c r="N1117" t="inlineStr"/>
      <c r="O1117">
        <f>(1-Summary!$B$55)*T1117+Summary!$B$55*V1117</f>
        <v/>
      </c>
      <c r="P1117">
        <f>IF(B1134=0,0,O1117/B1134)</f>
        <v/>
      </c>
      <c r="Q1117" t="n">
        <v>0</v>
      </c>
      <c r="R1117" t="n">
        <v>0</v>
      </c>
      <c r="S1117">
        <f>IFERROR(O1117/N1117,0)</f>
        <v/>
      </c>
      <c r="T1117" t="n">
        <v>0</v>
      </c>
      <c r="V1117" t="n">
        <v>0</v>
      </c>
    </row>
    <row r="1118">
      <c r="A1118">
        <f>Skills!A27</f>
        <v/>
      </c>
      <c r="B1118">
        <f>Skills!B27</f>
        <v/>
      </c>
      <c r="C1118">
        <f>Inputs!$B$3&gt;=125</f>
        <v/>
      </c>
      <c r="D1118">
        <f>IF(Skills!C27=1,60+Inputs!$B$25+Inputs!$B$29,IF(Skills!C27=2,90+Inputs!$B$26+Inputs!$B$29,IF(Skills!C27=3,120+Inputs!$B$27+Inputs!$B$29,MAX(0,(Inputs!$B$3-100)*3)+Inputs!$B$28+Inputs!$B$29)))</f>
        <v/>
      </c>
      <c r="E1118">
        <f>INDEX(FactorTable!$B$2:$Y$301, MATCH(ROUND(MIN(300,MAX(1,D1118)),0), FactorTable!$A$2:$A$301,0), Skills!M27+1)</f>
        <v/>
      </c>
      <c r="F1118">
        <f>IF(Skills!N27=TRUE,(Skills!L27/10)*(E1118/1000),Skills!L27/10)+Skills!O27</f>
        <v/>
      </c>
      <c r="G1118">
        <f>Skills!G27*IF(Skills!H27&gt;0,Skills!I27/Skills!H27,1)</f>
        <v/>
      </c>
      <c r="H1118">
        <f>1-(1-Skills!J27/100)^Skills!K27</f>
        <v/>
      </c>
      <c r="I1118" t="inlineStr">
        <is>
          <t>1</t>
        </is>
      </c>
      <c r="J1118" t="inlineStr"/>
      <c r="K1118" t="inlineStr"/>
      <c r="L1118" t="inlineStr"/>
      <c r="M1118" t="inlineStr"/>
      <c r="N1118" t="inlineStr"/>
      <c r="O1118">
        <f>(1-Summary!$B$55)*T1118+Summary!$B$55*V1118</f>
        <v/>
      </c>
      <c r="P1118">
        <f>IF(B1134=0,0,O1118/B1134)</f>
        <v/>
      </c>
      <c r="Q1118" t="n">
        <v>0</v>
      </c>
      <c r="R1118" t="n">
        <v>0</v>
      </c>
      <c r="S1118">
        <f>IFERROR(O1118/N1118,0)</f>
        <v/>
      </c>
      <c r="T1118" t="n">
        <v>0</v>
      </c>
      <c r="V1118" t="n">
        <v>0</v>
      </c>
    </row>
    <row r="1119">
      <c r="A1119">
        <f>Skills!A28</f>
        <v/>
      </c>
      <c r="B1119">
        <f>Skills!B28</f>
        <v/>
      </c>
      <c r="C1119">
        <f>Inputs!$B$3&gt;=120</f>
        <v/>
      </c>
      <c r="D1119">
        <f>IF(Skills!C28=1,60+Inputs!$B$25+Inputs!$B$29,IF(Skills!C28=2,90+Inputs!$B$26+Inputs!$B$29,IF(Skills!C28=3,120+Inputs!$B$27+Inputs!$B$29,MAX(0,(Inputs!$B$3-100)*3)+Inputs!$B$28+Inputs!$B$29)))</f>
        <v/>
      </c>
      <c r="E1119">
        <f>INDEX(FactorTable!$B$2:$Y$301, MATCH(ROUND(MIN(300,MAX(1,D1119)),0), FactorTable!$A$2:$A$301,0), Skills!M28+1)</f>
        <v/>
      </c>
      <c r="F1119">
        <f>IF(Skills!N28=TRUE,(Skills!L28/10)*(E1119/1000),Skills!L28/10)+Skills!O28</f>
        <v/>
      </c>
      <c r="G1119">
        <f>Skills!G28*IF(Skills!H28&gt;0,Skills!I28/Skills!H28,1)</f>
        <v/>
      </c>
      <c r="H1119">
        <f>1-(1-Skills!J28/100)^Skills!K28</f>
        <v/>
      </c>
      <c r="I1119" t="inlineStr">
        <is>
          <t>1</t>
        </is>
      </c>
      <c r="J1119" t="inlineStr"/>
      <c r="K1119" t="inlineStr"/>
      <c r="L1119" t="inlineStr"/>
      <c r="M1119" t="inlineStr"/>
      <c r="N1119" t="inlineStr"/>
      <c r="O1119">
        <f>(1-Summary!$B$55)*T1119+Summary!$B$55*V1119</f>
        <v/>
      </c>
      <c r="P1119">
        <f>IF(B1134=0,0,O1119/B1134)</f>
        <v/>
      </c>
      <c r="Q1119" t="n">
        <v>0</v>
      </c>
      <c r="R1119" t="n">
        <v>0</v>
      </c>
      <c r="S1119">
        <f>IFERROR(O1119/N1119,0)</f>
        <v/>
      </c>
      <c r="T1119" t="n">
        <v>0</v>
      </c>
      <c r="V1119" t="n">
        <v>0</v>
      </c>
    </row>
    <row r="1120">
      <c r="A1120">
        <f>Skills!A29</f>
        <v/>
      </c>
      <c r="B1120">
        <f>Skills!B29</f>
        <v/>
      </c>
      <c r="C1120">
        <f>Inputs!$B$3&gt;=120</f>
        <v/>
      </c>
      <c r="D1120">
        <f>IF(Skills!C29=1,60+Inputs!$B$25+Inputs!$B$29,IF(Skills!C29=2,90+Inputs!$B$26+Inputs!$B$29,IF(Skills!C29=3,120+Inputs!$B$27+Inputs!$B$29,MAX(0,(Inputs!$B$3-100)*3)+Inputs!$B$28+Inputs!$B$29)))</f>
        <v/>
      </c>
      <c r="E1120">
        <f>INDEX(FactorTable!$B$2:$Y$301, MATCH(ROUND(MIN(300,MAX(1,D1120)),0), FactorTable!$A$2:$A$301,0), Skills!M29+1)</f>
        <v/>
      </c>
      <c r="F1120">
        <f>IF(Skills!N29=TRUE,(Skills!L29/10)*(E1120/1000),Skills!L29/10)+Skills!O29</f>
        <v/>
      </c>
      <c r="G1120">
        <f>Skills!G29*IF(Skills!H29&gt;0,Skills!I29/Skills!H29,1)</f>
        <v/>
      </c>
      <c r="H1120">
        <f>1-(1-Skills!J29/100)^Skills!K29</f>
        <v/>
      </c>
      <c r="I1120" t="inlineStr">
        <is>
          <t>1</t>
        </is>
      </c>
      <c r="J1120" t="inlineStr"/>
      <c r="K1120" t="inlineStr"/>
      <c r="L1120" t="inlineStr"/>
      <c r="M1120" t="inlineStr"/>
      <c r="N1120" t="inlineStr"/>
      <c r="O1120">
        <f>(1-Summary!$B$55)*T1120+Summary!$B$55*V1120</f>
        <v/>
      </c>
      <c r="P1120">
        <f>IF(B1134=0,0,O1120/B1134)</f>
        <v/>
      </c>
      <c r="Q1120" t="n">
        <v>0</v>
      </c>
      <c r="R1120" t="n">
        <v>0</v>
      </c>
      <c r="S1120">
        <f>IFERROR(O1120/N1120,0)</f>
        <v/>
      </c>
      <c r="T1120" t="n">
        <v>0</v>
      </c>
      <c r="V1120" t="n">
        <v>0</v>
      </c>
    </row>
    <row r="1121">
      <c r="A1121">
        <f>Skills!A30</f>
        <v/>
      </c>
      <c r="B1121">
        <f>Skills!B30</f>
        <v/>
      </c>
      <c r="C1121">
        <f>Inputs!$B$3&gt;=45</f>
        <v/>
      </c>
      <c r="D1121">
        <f>IF(Skills!C30=1,60+Inputs!$B$25+Inputs!$B$29,IF(Skills!C30=2,90+Inputs!$B$26+Inputs!$B$29,IF(Skills!C30=3,120+Inputs!$B$27+Inputs!$B$29,MAX(0,(Inputs!$B$3-100)*3)+Inputs!$B$28+Inputs!$B$29)))</f>
        <v/>
      </c>
      <c r="E1121">
        <f>INDEX(FactorTable!$B$2:$Y$301, MATCH(ROUND(MIN(300,MAX(1,D1121)),0), FactorTable!$A$2:$A$301,0), Skills!M30+1)</f>
        <v/>
      </c>
      <c r="F1121">
        <f>IF(Skills!N30=TRUE,(Skills!L30/10)*(E1121/1000),Skills!L30/10)+Skills!O30</f>
        <v/>
      </c>
      <c r="G1121">
        <f>Skills!G30*IF(Skills!H30&gt;0,Skills!I30/Skills!H30,1)</f>
        <v/>
      </c>
      <c r="H1121">
        <f>1-(1-Skills!J30/100)^Skills!K30</f>
        <v/>
      </c>
      <c r="I1121" t="inlineStr">
        <is>
          <t>1</t>
        </is>
      </c>
      <c r="J1121" t="inlineStr"/>
      <c r="K1121" t="inlineStr"/>
      <c r="L1121" t="inlineStr"/>
      <c r="M1121" t="inlineStr"/>
      <c r="N1121" t="inlineStr"/>
      <c r="O1121">
        <f>(1-Summary!$B$55)*T1121+Summary!$B$55*V1121</f>
        <v/>
      </c>
      <c r="P1121">
        <f>IF(B1134=0,0,O1121/B1134)</f>
        <v/>
      </c>
      <c r="Q1121" t="n">
        <v>0</v>
      </c>
      <c r="R1121" t="n">
        <v>0</v>
      </c>
      <c r="S1121">
        <f>IFERROR(O1121/N1121,0)</f>
        <v/>
      </c>
      <c r="T1121" t="n">
        <v>0</v>
      </c>
      <c r="V1121" t="n">
        <v>0</v>
      </c>
    </row>
    <row r="1123">
      <c r="A1123" t="inlineStr">
        <is>
          <t>Attack% Bucket Multiplier</t>
        </is>
      </c>
      <c r="B1123">
        <f>(1+(((C1104=TRUE)*F1104)+((C1105=TRUE)*IF(Inputs!$B$38="pvp",F1105,(1-Summary!$B$55)*(F1105)+Summary!$B$55*(0)))+((C1106=TRUE)*F1106*IF(AND(Inputs!$B$38&lt;&gt;"pvp",Inputs!$B$43&gt;0),(((R1106-1)*(Skills!T15*(1+Inputs!$B$34/100))+MIN((Skills!T15*(1+Inputs!$B$34/100)),MAX(0,Inputs!$B$43-((R1106-1)*Skills!D15))))/Inputs!$B$43),IF(Inputs!$B$38="pvp",MIN((Skills!T15*(1+Inputs!$B$34/100)),15)/15,(Skills!T15*(1+Inputs!$B$34/100))/Skills!D15)))+((C1121=TRUE)*(F1121-Calc!F30)))/100)</f>
        <v/>
      </c>
    </row>
    <row r="1124">
      <c r="A1124" t="inlineStr">
        <is>
          <t>Global Crit Rate Bonus %</t>
        </is>
      </c>
      <c r="B1124">
        <f>(C1107=TRUE)*20*IF(AND(Inputs!$B$38&lt;&gt;"pvp",Inputs!$B$43&gt;0),(((R1107-1)*(Skills!T16*(1+Inputs!$B$34/100))+MIN((Skills!T16*(1+Inputs!$B$34/100)),MAX(0,Inputs!$B$43-((R1107-1)*Skills!D16))))/Inputs!$B$43),IF(Inputs!$B$38="pvp",MIN((Skills!T16*(1+Inputs!$B$34/100)),15)/15,(Skills!T16*(1+Inputs!$B$34/100))/Skills!D16))</f>
        <v/>
      </c>
    </row>
    <row r="1125">
      <c r="A1125" t="inlineStr">
        <is>
          <t>Attack Speed Buff Bonus %</t>
        </is>
      </c>
      <c r="B1125">
        <f>((C1110=TRUE)*F1110*IF(AND(Inputs!$B$38&lt;&gt;"pvp",Inputs!$B$43&gt;0),(((R1110-1)*(Skills!T19*(1+Inputs!$B$34/100))+MIN((Skills!T19*(1+Inputs!$B$34/100)),MAX(0,Inputs!$B$43-((R1110-1)*Skills!D19))))/Inputs!$B$43),IF(Inputs!$B$38="pvp",MIN((Skills!T19*(1+Inputs!$B$34/100)),15)/15,(Skills!T19*(1+Inputs!$B$34/100))/Skills!D19)))</f>
        <v/>
      </c>
    </row>
    <row r="1126">
      <c r="A1126" t="inlineStr">
        <is>
          <t>Actions Per Second</t>
        </is>
      </c>
      <c r="B1126">
        <f>1+MIN(150,150*(1-(1-(Inputs!$B$11+((C1112=TRUE)*(F1112-Calc!F21))+((C1113=TRUE)*(F1113-Calc!F22)))/150)*(1-B1125/150)))/100</f>
        <v/>
      </c>
    </row>
    <row r="1127">
      <c r="A1127" t="inlineStr">
        <is>
          <t>Skill + Buff Cast Rate</t>
        </is>
      </c>
      <c r="B1127">
        <f>IF(AND(Inputs!$B$38&lt;&gt;"pvp",Inputs!$B$43&gt;0),SUMPRODUCT((Skills!E2:E30=TRUE)*(C1093:C1121=TRUE)*R1093:R1121*Skills!F2:F30)/Inputs!$B$43,SUMPRODUCT((Skills!E2:E30=TRUE)*(C1093:C1121=TRUE)*Q1093:Q1121*Skills!F2:F30))</f>
        <v/>
      </c>
    </row>
    <row r="1128">
      <c r="A1128" t="inlineStr">
        <is>
          <t>Arrow Stream Casts Per Second</t>
        </is>
      </c>
      <c r="B1128">
        <f>MAX(0,B1126-B1127)</f>
        <v/>
      </c>
    </row>
    <row r="1129">
      <c r="A1129" t="inlineStr">
        <is>
          <t>Global Critical Damage Bonus % (Sharp Eyes + Concentration)</t>
        </is>
      </c>
      <c r="B1129">
        <f>(C1107=TRUE)*F1107*IF(AND(Inputs!$B$38&lt;&gt;"pvp",Inputs!$B$43&gt;0),(((R1107-1)*(Skills!T16*(1+Inputs!$B$34/100))+MIN((Skills!T16*(1+Inputs!$B$34/100)),MAX(0,Inputs!$B$43-((R1107-1)*Skills!D16))))/Inputs!$B$43),IF(Inputs!$B$38="pvp",MIN((Skills!T16*(1+Inputs!$B$34/100)),15)/15,(Skills!T16*(1+Inputs!$B$34/100))/Skills!D16))+(C1108=TRUE)*30</f>
        <v/>
      </c>
    </row>
    <row r="1130">
      <c r="A1130" t="inlineStr">
        <is>
          <t>Global Final Damage Bonus % (Mortal Blow)</t>
        </is>
      </c>
      <c r="B1130">
        <f>(C1109=TRUE)*F1109</f>
        <v/>
      </c>
    </row>
    <row r="1131">
      <c r="A1131" t="inlineStr">
        <is>
          <t>Buff-Casting Startup Delay (s, fixed-duration only)</t>
        </is>
      </c>
      <c r="B1131">
        <f>IF(AND(Inputs!$B$38&lt;&gt;"pvp",Inputs!$B$43&gt;0),SUMPRODUCT((Skills!T2:T30&gt;0)*(Skills!E2:E30=TRUE)*(C1093:C1121=TRUE))/B1126,0)</f>
        <v/>
      </c>
    </row>
    <row r="1132">
      <c r="A1132" t="inlineStr">
        <is>
          <t>Boss-Only Total DPS (this block's swept value)</t>
        </is>
      </c>
      <c r="B1132">
        <f>SUM(T1093:T1121)</f>
        <v/>
      </c>
    </row>
    <row r="1133">
      <c r="A1133" t="inlineStr">
        <is>
          <t>Normal-Only Total DPS (this block's swept value)</t>
        </is>
      </c>
      <c r="B1133">
        <f>SUM(V1093:V1121)</f>
        <v/>
      </c>
    </row>
    <row r="1134">
      <c r="A1134" s="5" t="inlineStr">
        <is>
          <t>TOTAL DPS</t>
        </is>
      </c>
      <c r="B1134" s="5">
        <f>SUM(O1093:O1121)</f>
        <v/>
      </c>
    </row>
    <row r="1137">
      <c r="A1137" s="5" t="inlineStr">
        <is>
          <t>Stat: Basic Attack Target Increase (flat)</t>
        </is>
      </c>
    </row>
    <row r="1138">
      <c r="A1138" s="9" t="inlineStr">
        <is>
          <t>Key</t>
        </is>
      </c>
      <c r="B1138" s="9" t="inlineStr">
        <is>
          <t>Name</t>
        </is>
      </c>
      <c r="C1138" s="9" t="inlineStr">
        <is>
          <t>Unlocked</t>
        </is>
      </c>
      <c r="D1138" s="9" t="inlineStr">
        <is>
          <t>InputLevel</t>
        </is>
      </c>
      <c r="E1138" s="9" t="inlineStr">
        <is>
          <t>Factor</t>
        </is>
      </c>
      <c r="F1138" s="9" t="inlineStr">
        <is>
          <t>CoefficientPercent</t>
        </is>
      </c>
      <c r="G1138" s="9" t="inlineStr">
        <is>
          <t>EffectiveHits</t>
        </is>
      </c>
      <c r="H1138" s="9" t="inlineStr">
        <is>
          <t>ProcProbability</t>
        </is>
      </c>
      <c r="I1138" s="9" t="inlineStr">
        <is>
          <t>MapleHeroMultiplier</t>
        </is>
      </c>
      <c r="J1138" s="9" t="inlineStr">
        <is>
          <t>BaseDamage</t>
        </is>
      </c>
      <c r="K1138" s="9" t="inlineStr">
        <is>
          <t>BaseHitDamage</t>
        </is>
      </c>
      <c r="L1138" s="9" t="inlineStr">
        <is>
          <t>NonCritAvg</t>
        </is>
      </c>
      <c r="M1138" s="9" t="inlineStr">
        <is>
          <t>CritAvg</t>
        </is>
      </c>
      <c r="N1138" s="9" t="inlineStr">
        <is>
          <t>ExpectedDamage(perHit)</t>
        </is>
      </c>
      <c r="O1138" s="9" t="inlineStr">
        <is>
          <t>DPS</t>
        </is>
      </c>
      <c r="P1138" s="9" t="inlineStr">
        <is>
          <t>% of Total</t>
        </is>
      </c>
      <c r="Q1138" s="9" t="inlineStr">
        <is>
          <t>InvCooldown</t>
        </is>
      </c>
      <c r="R1138" s="9" t="inlineStr">
        <is>
          <t>CastsInFight</t>
        </is>
      </c>
      <c r="S1138" s="9" t="inlineStr">
        <is>
          <t>HitRate(perSec)</t>
        </is>
      </c>
      <c r="U1138" t="inlineStr">
        <is>
          <t>helpers</t>
        </is>
      </c>
    </row>
    <row r="1139">
      <c r="A1139">
        <f>Skills!A2</f>
        <v/>
      </c>
      <c r="B1139">
        <f>Skills!B2</f>
        <v/>
      </c>
      <c r="C1139">
        <f>Inputs!$B$3&gt;=100</f>
        <v/>
      </c>
      <c r="D1139" t="inlineStr"/>
      <c r="E1139" t="inlineStr"/>
      <c r="F1139">
        <f>U1141+Skills!O2</f>
        <v/>
      </c>
      <c r="G1139">
        <f>Skills!G2*IF(Skills!H2&gt;0,Skills!I2/Skills!H2,1)</f>
        <v/>
      </c>
      <c r="H1139">
        <f>1-(1-Skills!J2/100)^Skills!K2</f>
        <v/>
      </c>
      <c r="I1139" t="inlineStr">
        <is>
          <t>1</t>
        </is>
      </c>
      <c r="J1139">
        <f>((Inputs!$B$6*(1+Inputs!$B$7/100))+(((Inputs!$B$12*(1+Inputs!$B$13/100))-(Inputs!$B$12*(1+Inputs!$B$13/100)))+0.25*(Inputs!$B$14-Inputs!$B$14))*(1+Inputs!$B$7/100))*(F1139/100)</f>
        <v/>
      </c>
      <c r="K1139">
        <f>J1139*(1+((Inputs!$B$12*(1+Inputs!$B$13/100))*0.01+Inputs!$B$14*0.0025)/100)*(1+Inputs!$B$15/100)*(1+Inputs!$B$16/100)*(5000/(6000+Inputs!$B$42*(1-(Inputs!$B$19+((C1164=TRUE)*(F1164-Calc!F27)))/100)))*(1+(Inputs!$B$24+((C1162=TRUE)*(F1162-Calc!F25))+((C1163=TRUE)*(F1163-Calc!F26))+B1176)/100)*(1+(IF(Skills!A2="ARROW_STREAM",Inputs!$B$17+((C1160=TRUE)*(F1160-Calc!F23)),Inputs!$B$18+((C1165=TRUE)*(F1165-Calc!F28))))/100)*((1+(((C1150=TRUE)*F1150)+((C1151=TRUE)*IF(Inputs!$B$38="pvp",F1151,(1-Summary!$B$55)*(F1151)+Summary!$B$55*(0)))+((C1152=TRUE)*F1152*IF(AND(Inputs!$B$38&lt;&gt;"pvp",Inputs!$B$43&gt;0),(((R1152-1)*(Skills!T15*(1+Inputs!$B$34/100))+MIN((Skills!T15*(1+Inputs!$B$34/100)),MAX(0,Inputs!$B$43-((R1152-1)*Skills!D15))))/Inputs!$B$43),IF(Inputs!$B$38="pvp",MIN((Skills!T15*(1+Inputs!$B$34/100)),15)/15,(Skills!T15*(1+Inputs!$B$34/100))/Skills!D15)))+((C1167=TRUE)*(F1167-Calc!F30)))/100)*I1139)</f>
        <v/>
      </c>
      <c r="L1139">
        <f>K1139*(MIN(Inputs!$B$22+((C1161=TRUE)*(F1161-Calc!F24)),Inputs!$B$23+((C1166=TRUE)*(F1166-Calc!F29)))/100+(Inputs!$B$23+((C1166=TRUE)*(F1166-Calc!F29)))/100)/2</f>
        <v/>
      </c>
      <c r="M1139">
        <f>L1139*(1+(Inputs!$B$10+0+B1175)/100)</f>
        <v/>
      </c>
      <c r="N1139">
        <f>L1139*(1-MIN((Inputs!$B$9+((C1157=TRUE)*(F1157-Calc!F20))+B1170),100)/100)+M1139*(MIN((Inputs!$B$9+((C1157=TRUE)*(F1157-Calc!F20))+B1170),100)/100)</f>
        <v/>
      </c>
      <c r="O1139">
        <f>(1-Summary!$B$55)*T1139+Summary!$B$55*V1139</f>
        <v/>
      </c>
      <c r="P1139">
        <f>IF(B1180=0,0,O1139/B1180)</f>
        <v/>
      </c>
      <c r="Q1139" t="n">
        <v>0</v>
      </c>
      <c r="R1139" t="n">
        <v>0</v>
      </c>
      <c r="S1139">
        <f>IFERROR(O1139/N1139,0)</f>
        <v/>
      </c>
      <c r="T1139">
        <f>IF(C1139,(Skills!G2*N1139*B1174)*IF(Inputs!$B$38="pvp",1,1+(Inputs!$B$20+0+Skills!P2)/100),0)</f>
        <v/>
      </c>
      <c r="U1139">
        <f>MAX(0,(Inputs!$B$3-100)*3)+Inputs!$B$28+Inputs!$B$29</f>
        <v/>
      </c>
      <c r="V1139">
        <f>IF(C1139,(Skills!G2*N1139*B1174)*IF(Inputs!$B$38="pvp",1,(1+(Inputs!$B$21+Skills!Q2)/100)*(MIN((6+(Inputs!$B$33+1)),Inputs!$B$37))),0)</f>
        <v/>
      </c>
    </row>
    <row r="1140">
      <c r="A1140">
        <f>Skills!A3</f>
        <v/>
      </c>
      <c r="B1140">
        <f>Skills!B3</f>
        <v/>
      </c>
      <c r="C1140">
        <f>Inputs!$B$3&gt;=50</f>
        <v/>
      </c>
      <c r="D1140">
        <f>IF(Skills!C3=1,60+Inputs!$B$25+Inputs!$B$29,IF(Skills!C3=2,90+Inputs!$B$26+Inputs!$B$29,IF(Skills!C3=3,120+Inputs!$B$27+Inputs!$B$29,MAX(0,(Inputs!$B$3-100)*3)+Inputs!$B$28+Inputs!$B$29)))</f>
        <v/>
      </c>
      <c r="E1140">
        <f>INDEX(FactorTable!$B$2:$Y$301, MATCH(ROUND(MIN(300,MAX(1,D1140)),0), FactorTable!$A$2:$A$301,0), Skills!M3+1)</f>
        <v/>
      </c>
      <c r="F1140">
        <f>IF(Skills!N3=TRUE,(Skills!L3/10)*(E1140/1000),Skills!L3/10)+Skills!O3</f>
        <v/>
      </c>
      <c r="G1140" t="inlineStr"/>
      <c r="H1140" t="inlineStr"/>
      <c r="I1140" t="inlineStr">
        <is>
          <t>1</t>
        </is>
      </c>
      <c r="J1140" t="inlineStr"/>
      <c r="K1140" t="inlineStr"/>
      <c r="L1140" t="inlineStr"/>
      <c r="M1140" t="inlineStr"/>
      <c r="N1140" t="inlineStr"/>
      <c r="O1140" t="inlineStr"/>
      <c r="P1140" t="inlineStr"/>
      <c r="Q1140" t="inlineStr"/>
      <c r="R1140" t="inlineStr"/>
      <c r="S1140" t="inlineStr"/>
      <c r="T1140" t="inlineStr"/>
      <c r="U1140">
        <f>INDEX(FactorTable!$B$2:$Y$301, MATCH(ROUND(MIN(300,MAX(1,U1139)),0), FactorTable!$A$2:$A$301,0), 22)</f>
        <v/>
      </c>
      <c r="V1140" t="inlineStr"/>
    </row>
    <row r="1141">
      <c r="A1141">
        <f>Skills!A4</f>
        <v/>
      </c>
      <c r="B1141">
        <f>Skills!B4</f>
        <v/>
      </c>
      <c r="C1141">
        <f>Inputs!$B$3&gt;=105</f>
        <v/>
      </c>
      <c r="D1141">
        <f>IF(Skills!C4=1,60+Inputs!$B$25+Inputs!$B$29,IF(Skills!C4=2,90+Inputs!$B$26+Inputs!$B$29,IF(Skills!C4=3,120+Inputs!$B$27+Inputs!$B$29,MAX(0,(Inputs!$B$3-100)*3)+Inputs!$B$28+Inputs!$B$29)))</f>
        <v/>
      </c>
      <c r="E1141">
        <f>INDEX(FactorTable!$B$2:$Y$301, MATCH(ROUND(MIN(300,MAX(1,D1141)),0), FactorTable!$A$2:$A$301,0), Skills!M4+1)</f>
        <v/>
      </c>
      <c r="F1141">
        <f>IF(Skills!N4=TRUE,(Skills!L4/10)*(E1141/1000),Skills!L4/10)+Skills!O4</f>
        <v/>
      </c>
      <c r="G1141" t="inlineStr"/>
      <c r="H1141" t="inlineStr"/>
      <c r="I1141" t="inlineStr">
        <is>
          <t>1</t>
        </is>
      </c>
      <c r="J1141" t="inlineStr"/>
      <c r="K1141" t="inlineStr"/>
      <c r="L1141" t="inlineStr"/>
      <c r="M1141" t="inlineStr"/>
      <c r="N1141" t="inlineStr"/>
      <c r="O1141" t="inlineStr"/>
      <c r="P1141" t="inlineStr"/>
      <c r="Q1141" t="inlineStr"/>
      <c r="R1141" t="inlineStr"/>
      <c r="S1141" t="inlineStr"/>
      <c r="T1141" t="inlineStr"/>
      <c r="U1141">
        <f>290*U1140/1000</f>
        <v/>
      </c>
      <c r="V1141" t="inlineStr"/>
    </row>
    <row r="1142">
      <c r="A1142">
        <f>Skills!A5</f>
        <v/>
      </c>
      <c r="B1142">
        <f>Skills!B5</f>
        <v/>
      </c>
      <c r="C1142">
        <f>Inputs!$B$3&gt;=35</f>
        <v/>
      </c>
      <c r="D1142">
        <f>IF(Skills!C5=1,60+Inputs!$B$25+Inputs!$B$29,IF(Skills!C5=2,90+Inputs!$B$26+Inputs!$B$29,IF(Skills!C5=3,120+Inputs!$B$27+Inputs!$B$29,MAX(0,(Inputs!$B$3-100)*3)+Inputs!$B$28+Inputs!$B$29)))</f>
        <v/>
      </c>
      <c r="E1142">
        <f>INDEX(FactorTable!$B$2:$Y$301, MATCH(ROUND(MIN(300,MAX(1,D1142)),0), FactorTable!$A$2:$A$301,0), Skills!M5+1)</f>
        <v/>
      </c>
      <c r="F1142">
        <f>IF(Skills!N5=TRUE,(Skills!L5/10)*(E1142/1000),Skills!L5/10)+Skills!O5</f>
        <v/>
      </c>
      <c r="G1142">
        <f>Skills!G5*IF(Skills!H5&gt;0,Skills!I5/Skills!H5,1)</f>
        <v/>
      </c>
      <c r="H1142">
        <f>1-(1-Skills!J5/100)^Skills!K5</f>
        <v/>
      </c>
      <c r="I1142" t="inlineStr">
        <is>
          <t>1</t>
        </is>
      </c>
      <c r="J1142">
        <f>((Inputs!$B$6*(1+Inputs!$B$7/100))+(((Inputs!$B$12*(1+Inputs!$B$13/100))-(Inputs!$B$12*(1+Inputs!$B$13/100)))+0.25*(Inputs!$B$14-Inputs!$B$14))*(1+Inputs!$B$7/100))*(F1142/100)</f>
        <v/>
      </c>
      <c r="K1142">
        <f>J1142*(1+((Inputs!$B$12*(1+Inputs!$B$13/100))*0.01+Inputs!$B$14*0.0025)/100)*(1+Inputs!$B$15/100)*(1+Inputs!$B$16/100)*(5000/(6000+Inputs!$B$42*(1-(Inputs!$B$19+((C1164=TRUE)*(F1164-Calc!F27)))/100)))*(1+(Inputs!$B$24+((C1162=TRUE)*(F1162-Calc!F25))+((C1163=TRUE)*(F1163-Calc!F26))+B1176)/100)*(1+4.0*IF(C1147=TRUE,F1147,0)/100)*(1+(IF(Skills!A5="ARROW_STREAM",Inputs!$B$17+((C1160=TRUE)*(F1160-Calc!F23)),Inputs!$B$18+((C1165=TRUE)*(F1165-Calc!F28))))/100)*((1+(((C1150=TRUE)*F1150)+((C1151=TRUE)*IF(Inputs!$B$38="pvp",F1151,(1-Summary!$B$55)*(F1151)+Summary!$B$55*(0)))+((C1152=TRUE)*F1152*IF(AND(Inputs!$B$38&lt;&gt;"pvp",Inputs!$B$43&gt;0),(((R1152-1)*(Skills!T15*(1+Inputs!$B$34/100))+MIN((Skills!T15*(1+Inputs!$B$34/100)),MAX(0,Inputs!$B$43-((R1152-1)*Skills!D15))))/Inputs!$B$43),IF(Inputs!$B$38="pvp",MIN((Skills!T15*(1+Inputs!$B$34/100)),15)/15,(Skills!T15*(1+Inputs!$B$34/100))/Skills!D15)))+((C1167=TRUE)*(F1167-Calc!F30)))/100)*I1142)</f>
        <v/>
      </c>
      <c r="L1142">
        <f>K1142*(MIN(Inputs!$B$22+((C1161=TRUE)*(F1161-Calc!F24)),Inputs!$B$23+((C1166=TRUE)*(F1166-Calc!F29)))/100+(Inputs!$B$23+((C1166=TRUE)*(F1166-Calc!F29)))/100)/2</f>
        <v/>
      </c>
      <c r="M1142">
        <f>L1142*(1+(Inputs!$B$10+0+B1175)/100)</f>
        <v/>
      </c>
      <c r="N1142">
        <f>L1142*(1-MIN((Inputs!$B$9+((C1157=TRUE)*(F1157-Calc!F20))+B1170),100)/100)+M1142*(MIN((Inputs!$B$9+((C1157=TRUE)*(F1157-Calc!F20))+B1170),100)/100)</f>
        <v/>
      </c>
      <c r="O1142">
        <f>(1-Summary!$B$55)*T1142+Summary!$B$55*V1142</f>
        <v/>
      </c>
      <c r="P1142">
        <f>IF(B1180=0,0,O1142/B1180)</f>
        <v/>
      </c>
      <c r="Q1142">
        <f>IFERROR(1/IF(Inputs!$B$38="pvp",15,MAX(0.1,Skills!D5-IF(Skills!E5=TRUE,Inputs!$B$32,0))),0)</f>
        <v/>
      </c>
      <c r="R1142">
        <f>IF(AND(Inputs!$B$38&lt;&gt;"pvp",Inputs!$B$43&gt;0),IF(MAX(0,Inputs!$B$43-B1177)&lt;=0,0,(INT(MAX(0,Inputs!$B$43-B1177)/IF(Inputs!$B$38="pvp",15,MAX(0.1,Skills!D5-IF(Skills!E5=TRUE,Inputs!$B$32,0))))+1)),0)</f>
        <v/>
      </c>
      <c r="S1142">
        <f>IFERROR(O1142/N1142,0)</f>
        <v/>
      </c>
      <c r="T1142">
        <f>IF(C1142,(H1142*N1142*IF(AND(Inputs!$B$38&lt;&gt;"pvp",Inputs!$B$43&gt;0),((Skills!G5*((R1142-1)*IF(Skills!H5&gt;0,Skills!I5/Skills!H5,1)+IF(Skills!H5&gt;0,MIN(Skills!I5,MAX(0,MAX(0,Inputs!$B$43-B1177)-((R1142-1)*IF(Inputs!$B$38="pvp",15,MAX(0.1,Skills!D5-IF(Skills!E5=TRUE,Inputs!$B$32,0))))))/Skills!H5,1)))/Inputs!$B$43),G1142*Q1142))*IF(Inputs!$B$38="pvp",1,1+(Inputs!$B$20+0+Skills!P5)/100),0)</f>
        <v/>
      </c>
      <c r="V1142">
        <f>IF(C1142,(H1142*N1142*IF(AND(Inputs!$B$38&lt;&gt;"pvp",Inputs!$B$43&gt;0),((Skills!G5*((R1142-1)*IF(Skills!H5&gt;0,Skills!I5/Skills!H5,1)+IF(Skills!H5&gt;0,MIN(Skills!I5,MAX(0,MAX(0,Inputs!$B$43-B1177)-((R1142-1)*IF(Inputs!$B$38="pvp",15,MAX(0.1,Skills!D5-IF(Skills!E5=TRUE,Inputs!$B$32,0))))))/Skills!H5,1)))/Inputs!$B$43),G1142*Q1142))*IF(Inputs!$B$38="pvp",1,(1+(Inputs!$B$21+Skills!Q5)/100)*(MIN(Skills!R5,Inputs!$B$37))),0)</f>
        <v/>
      </c>
    </row>
    <row r="1143">
      <c r="A1143">
        <f>Skills!A6</f>
        <v/>
      </c>
      <c r="B1143">
        <f>Skills!B6</f>
        <v/>
      </c>
      <c r="C1143">
        <f>Inputs!$B$3&gt;=40</f>
        <v/>
      </c>
      <c r="D1143">
        <f>IF(Skills!C6=1,60+Inputs!$B$25+Inputs!$B$29,IF(Skills!C6=2,90+Inputs!$B$26+Inputs!$B$29,IF(Skills!C6=3,120+Inputs!$B$27+Inputs!$B$29,MAX(0,(Inputs!$B$3-100)*3)+Inputs!$B$28+Inputs!$B$29)))</f>
        <v/>
      </c>
      <c r="E1143">
        <f>INDEX(FactorTable!$B$2:$Y$301, MATCH(ROUND(MIN(300,MAX(1,D1143)),0), FactorTable!$A$2:$A$301,0), Skills!M6+1)</f>
        <v/>
      </c>
      <c r="F1143">
        <f>IF(Skills!N6=TRUE,(Skills!L6/10)*(E1143/1000),Skills!L6/10)+Skills!O6</f>
        <v/>
      </c>
      <c r="G1143">
        <f>Skills!G6*IF(Skills!H6&gt;0,Skills!I6/Skills!H6,1)</f>
        <v/>
      </c>
      <c r="H1143">
        <f>1-(1-Skills!J6/100)^Skills!K6</f>
        <v/>
      </c>
      <c r="I1143" t="inlineStr">
        <is>
          <t>1</t>
        </is>
      </c>
      <c r="J1143">
        <f>((Inputs!$B$6*(1+Inputs!$B$7/100))+(((Inputs!$B$12*(1+Inputs!$B$13/100))-(Inputs!$B$12*(1+Inputs!$B$13/100)))+0.25*(Inputs!$B$14-Inputs!$B$14))*(1+Inputs!$B$7/100))*(F1143/100)</f>
        <v/>
      </c>
      <c r="K1143">
        <f>J1143*(1+((Inputs!$B$12*(1+Inputs!$B$13/100))*0.01+Inputs!$B$14*0.0025)/100)*(1+Inputs!$B$15/100)*(1+Inputs!$B$16/100)*(5000/(6000+Inputs!$B$42*(1-(Inputs!$B$19+((C1164=TRUE)*(F1164-Calc!F27)))/100)))*(1+(Inputs!$B$24+((C1162=TRUE)*(F1162-Calc!F25))+((C1163=TRUE)*(F1163-Calc!F26))+B1176)/100)*(1+IF(C1144=TRUE,F1144,0)/100)*(1+(IF(Skills!A6="ARROW_STREAM",Inputs!$B$17+((C1160=TRUE)*(F1160-Calc!F23)),Inputs!$B$18+((C1165=TRUE)*(F1165-Calc!F28))))/100)*((1+(((C1150=TRUE)*F1150)+((C1151=TRUE)*IF(Inputs!$B$38="pvp",F1151,(1-Summary!$B$55)*(F1151)+Summary!$B$55*(0)))+((C1152=TRUE)*F1152*IF(AND(Inputs!$B$38&lt;&gt;"pvp",Inputs!$B$43&gt;0),(((R1152-1)*(Skills!T15*(1+Inputs!$B$34/100))+MIN((Skills!T15*(1+Inputs!$B$34/100)),MAX(0,Inputs!$B$43-((R1152-1)*Skills!D15))))/Inputs!$B$43),IF(Inputs!$B$38="pvp",MIN((Skills!T15*(1+Inputs!$B$34/100)),15)/15,(Skills!T15*(1+Inputs!$B$34/100))/Skills!D15)))+((C1167=TRUE)*(F1167-Calc!F30)))/100)*I1143)</f>
        <v/>
      </c>
      <c r="L1143">
        <f>K1143*(MIN(Inputs!$B$22+((C1161=TRUE)*(F1161-Calc!F24)),Inputs!$B$23+((C1166=TRUE)*(F1166-Calc!F29)))/100+(Inputs!$B$23+((C1166=TRUE)*(F1166-Calc!F29)))/100)/2</f>
        <v/>
      </c>
      <c r="M1143">
        <f>L1143*(1+(Inputs!$B$10+0+B1175)/100)</f>
        <v/>
      </c>
      <c r="N1143">
        <f>L1143*(1-MIN((Inputs!$B$9+((C1157=TRUE)*(F1157-Calc!F20))+B1170),100)/100)+M1143*(MIN((Inputs!$B$9+((C1157=TRUE)*(F1157-Calc!F20))+B1170),100)/100)</f>
        <v/>
      </c>
      <c r="O1143">
        <f>(1-Summary!$B$55)*T1143+Summary!$B$55*V1143</f>
        <v/>
      </c>
      <c r="P1143">
        <f>IF(B1180=0,0,O1143/B1180)</f>
        <v/>
      </c>
      <c r="Q1143">
        <f>IFERROR(1/IF(Inputs!$B$38="pvp",15,MAX(0.1,Skills!D6-IF(Skills!E6=TRUE,Inputs!$B$32,0))),0)</f>
        <v/>
      </c>
      <c r="R1143">
        <f>IF(AND(Inputs!$B$38&lt;&gt;"pvp",Inputs!$B$43&gt;0),IF(MAX(0,Inputs!$B$43-B1177)&lt;=0,0,(INT(MAX(0,Inputs!$B$43-B1177)/IF(Inputs!$B$38="pvp",15,MAX(0.1,Skills!D6-IF(Skills!E6=TRUE,Inputs!$B$32,0))))+1)),0)</f>
        <v/>
      </c>
      <c r="S1143">
        <f>IFERROR(O1143/N1143,0)</f>
        <v/>
      </c>
      <c r="T1143">
        <f>IF(C1143,(H1143*N1143*IF(AND(Inputs!$B$38&lt;&gt;"pvp",Inputs!$B$43&gt;0),((Skills!G6*((R1143-1)*IF(Skills!H6&gt;0,Skills!I6/Skills!H6,1)+IF(Skills!H6&gt;0,MIN(Skills!I6,MAX(0,MAX(0,Inputs!$B$43-B1177)-((R1143-1)*IF(Inputs!$B$38="pvp",15,MAX(0.1,Skills!D6-IF(Skills!E6=TRUE,Inputs!$B$32,0))))))/Skills!H6,1)))/Inputs!$B$43),G1143*Q1143))*IF(Inputs!$B$38="pvp",1,1+(Inputs!$B$20+0+Skills!P6)/100),0)</f>
        <v/>
      </c>
      <c r="V1143">
        <f>IF(C1143,(H1143*N1143*IF(AND(Inputs!$B$38&lt;&gt;"pvp",Inputs!$B$43&gt;0),((Skills!G6*((R1143-1)*IF(Skills!H6&gt;0,Skills!I6/Skills!H6,1)+IF(Skills!H6&gt;0,MIN(Skills!I6,MAX(0,MAX(0,Inputs!$B$43-B1177)-((R1143-1)*IF(Inputs!$B$38="pvp",15,MAX(0.1,Skills!D6-IF(Skills!E6=TRUE,Inputs!$B$32,0))))))/Skills!H6,1)))/Inputs!$B$43),G1143*Q1143))*IF(Inputs!$B$38="pvp",1,(1+(Inputs!$B$21+Skills!Q6)/100)*(MIN(Skills!R6,Inputs!$B$37))),0)</f>
        <v/>
      </c>
    </row>
    <row r="1144">
      <c r="A1144">
        <f>Skills!A7</f>
        <v/>
      </c>
      <c r="B1144">
        <f>Skills!B7</f>
        <v/>
      </c>
      <c r="C1144">
        <f>Inputs!$B$3&gt;=107</f>
        <v/>
      </c>
      <c r="D1144">
        <f>IF(Skills!C7=1,60+Inputs!$B$25+Inputs!$B$29,IF(Skills!C7=2,90+Inputs!$B$26+Inputs!$B$29,IF(Skills!C7=3,120+Inputs!$B$27+Inputs!$B$29,MAX(0,(Inputs!$B$3-100)*3)+Inputs!$B$28+Inputs!$B$29)))</f>
        <v/>
      </c>
      <c r="E1144">
        <f>INDEX(FactorTable!$B$2:$Y$301, MATCH(ROUND(MIN(300,MAX(1,D1144)),0), FactorTable!$A$2:$A$301,0), Skills!M7+1)</f>
        <v/>
      </c>
      <c r="F1144">
        <f>IF(Skills!N7=TRUE,(Skills!L7/10)*(E1144/1000),Skills!L7/10)+Skills!O7</f>
        <v/>
      </c>
      <c r="G1144" t="inlineStr"/>
      <c r="H1144" t="inlineStr"/>
      <c r="I1144" t="inlineStr">
        <is>
          <t>1</t>
        </is>
      </c>
      <c r="J1144" t="inlineStr"/>
      <c r="K1144" t="inlineStr"/>
      <c r="L1144" t="inlineStr"/>
      <c r="M1144" t="inlineStr"/>
      <c r="N1144" t="inlineStr"/>
      <c r="O1144" t="inlineStr"/>
      <c r="P1144" t="inlineStr"/>
      <c r="Q1144" t="inlineStr"/>
      <c r="R1144" t="inlineStr"/>
      <c r="S1144" t="inlineStr"/>
      <c r="T1144" t="inlineStr"/>
      <c r="V1144" t="inlineStr"/>
    </row>
    <row r="1145">
      <c r="A1145">
        <f>Skills!A8</f>
        <v/>
      </c>
      <c r="B1145">
        <f>Skills!B8</f>
        <v/>
      </c>
      <c r="C1145">
        <f>Inputs!$B$3&gt;=69</f>
        <v/>
      </c>
      <c r="D1145">
        <f>IF(Skills!C8=1,60+Inputs!$B$25+Inputs!$B$29,IF(Skills!C8=2,90+Inputs!$B$26+Inputs!$B$29,IF(Skills!C8=3,120+Inputs!$B$27+Inputs!$B$29,MAX(0,(Inputs!$B$3-100)*3)+Inputs!$B$28+Inputs!$B$29)))</f>
        <v/>
      </c>
      <c r="E1145">
        <f>INDEX(FactorTable!$B$2:$Y$301, MATCH(ROUND(MIN(300,MAX(1,D1145)),0), FactorTable!$A$2:$A$301,0), Skills!M8+1)</f>
        <v/>
      </c>
      <c r="F1145">
        <f>IF(Skills!N8=TRUE,(Skills!L8/10)*(E1145/1000),Skills!L8/10)+Skills!O8</f>
        <v/>
      </c>
      <c r="G1145">
        <f>Skills!G8*IF(Skills!H8&gt;0,Skills!I8/Skills!H8,1)</f>
        <v/>
      </c>
      <c r="H1145">
        <f>1-(1-Skills!J8/100)^Skills!K8</f>
        <v/>
      </c>
      <c r="I1145" t="inlineStr">
        <is>
          <t>1</t>
        </is>
      </c>
      <c r="J1145">
        <f>((Inputs!$B$6*(1+Inputs!$B$7/100))+(((Inputs!$B$12*(1+Inputs!$B$13/100))-(Inputs!$B$12*(1+Inputs!$B$13/100)))+0.25*(Inputs!$B$14-Inputs!$B$14))*(1+Inputs!$B$7/100))*(F1145/100)</f>
        <v/>
      </c>
      <c r="K1145">
        <f>J1145*(1+((Inputs!$B$12*(1+Inputs!$B$13/100))*0.01+Inputs!$B$14*0.0025)/100)*(1+Inputs!$B$15/100)*(1+Inputs!$B$16/100)*(5000/(6000+Inputs!$B$42*(1-(Inputs!$B$19+((C1164=TRUE)*(F1164-Calc!F27)))/100)))*(1+(Inputs!$B$24+((C1162=TRUE)*(F1162-Calc!F25))+((C1163=TRUE)*(F1163-Calc!F26))+B1176)/100)*(1+1.2*IF(C1147=TRUE,F1147,0)/100)*(1+(IF(Skills!A8="ARROW_STREAM",Inputs!$B$17+((C1160=TRUE)*(F1160-Calc!F23)),Inputs!$B$18+((C1165=TRUE)*(F1165-Calc!F28))))/100)*((1+(((C1150=TRUE)*F1150)+((C1151=TRUE)*IF(Inputs!$B$38="pvp",F1151,(1-Summary!$B$55)*(F1151)+Summary!$B$55*(0)))+((C1152=TRUE)*F1152*IF(AND(Inputs!$B$38&lt;&gt;"pvp",Inputs!$B$43&gt;0),(((R1152-1)*(Skills!T15*(1+Inputs!$B$34/100))+MIN((Skills!T15*(1+Inputs!$B$34/100)),MAX(0,Inputs!$B$43-((R1152-1)*Skills!D15))))/Inputs!$B$43),IF(Inputs!$B$38="pvp",MIN((Skills!T15*(1+Inputs!$B$34/100)),15)/15,(Skills!T15*(1+Inputs!$B$34/100))/Skills!D15)))+((C1167=TRUE)*(F1167-Calc!F30)))/100)*I1145)</f>
        <v/>
      </c>
      <c r="L1145">
        <f>K1145*(MIN(Inputs!$B$22+((C1161=TRUE)*(F1161-Calc!F24)),Inputs!$B$23+((C1166=TRUE)*(F1166-Calc!F29)))/100+(Inputs!$B$23+((C1166=TRUE)*(F1166-Calc!F29)))/100)/2</f>
        <v/>
      </c>
      <c r="M1145">
        <f>L1145*(1+(Inputs!$B$10+0+B1175)/100)</f>
        <v/>
      </c>
      <c r="N1145">
        <f>L1145*(1-MIN((Inputs!$B$9+((C1157=TRUE)*(F1157-Calc!F20))+B1170),100)/100)+M1145*(MIN((Inputs!$B$9+((C1157=TRUE)*(F1157-Calc!F20))+B1170),100)/100)</f>
        <v/>
      </c>
      <c r="O1145">
        <f>(1-Summary!$B$55)*T1145+Summary!$B$55*V1145</f>
        <v/>
      </c>
      <c r="P1145">
        <f>IF(B1180=0,0,O1145/B1180)</f>
        <v/>
      </c>
      <c r="Q1145">
        <f>IFERROR(1/IF(Inputs!$B$38="pvp",15,MAX(0.1,Skills!D8-IF(Skills!E8=TRUE,Inputs!$B$32,0))),0)</f>
        <v/>
      </c>
      <c r="R1145">
        <f>IF(AND(Inputs!$B$38&lt;&gt;"pvp",Inputs!$B$43&gt;0),IF(MAX(0,Inputs!$B$43-B1177)&lt;=0,0,(INT(MAX(0,Inputs!$B$43-B1177)/IF(Inputs!$B$38="pvp",15,MAX(0.1,Skills!D8-IF(Skills!E8=TRUE,Inputs!$B$32,0))))+1)),0)</f>
        <v/>
      </c>
      <c r="S1145">
        <f>IFERROR(O1145/N1145,0)</f>
        <v/>
      </c>
      <c r="T1145">
        <f>IF(C1145,(H1145*N1145*IF(AND(Inputs!$B$38&lt;&gt;"pvp",Inputs!$B$43&gt;0),((Skills!G8*((R1145-1)*IF(Skills!H8&gt;0,Skills!I8/Skills!H8,1)+IF(Skills!H8&gt;0,MIN(Skills!I8,MAX(0,MAX(0,Inputs!$B$43-B1177)-((R1145-1)*IF(Inputs!$B$38="pvp",15,MAX(0.1,Skills!D8-IF(Skills!E8=TRUE,Inputs!$B$32,0))))))/Skills!H8,1)))/Inputs!$B$43),G1145*Q1145))*IF(Inputs!$B$38="pvp",1,1+(Inputs!$B$20+0+Skills!P8)/100),0)</f>
        <v/>
      </c>
      <c r="V1145">
        <f>IF(C1145,(H1145*N1145*IF(AND(Inputs!$B$38&lt;&gt;"pvp",Inputs!$B$43&gt;0),((Skills!G8*((R1145-1)*IF(Skills!H8&gt;0,Skills!I8/Skills!H8,1)+IF(Skills!H8&gt;0,MIN(Skills!I8,MAX(0,MAX(0,Inputs!$B$43-B1177)-((R1145-1)*IF(Inputs!$B$38="pvp",15,MAX(0.1,Skills!D8-IF(Skills!E8=TRUE,Inputs!$B$32,0))))))/Skills!H8,1)))/Inputs!$B$43),G1145*Q1145))*IF(Inputs!$B$38="pvp",1,(1+(Inputs!$B$21+Skills!Q8)/100)*(MIN(Skills!R8,Inputs!$B$37))),0)</f>
        <v/>
      </c>
    </row>
    <row r="1146">
      <c r="A1146">
        <f>Skills!A9</f>
        <v/>
      </c>
      <c r="B1146">
        <f>Skills!B9</f>
        <v/>
      </c>
      <c r="C1146">
        <f>Inputs!$B$3&gt;=63</f>
        <v/>
      </c>
      <c r="D1146">
        <f>IF(Skills!C9=1,60+Inputs!$B$25+Inputs!$B$29,IF(Skills!C9=2,90+Inputs!$B$26+Inputs!$B$29,IF(Skills!C9=3,120+Inputs!$B$27+Inputs!$B$29,MAX(0,(Inputs!$B$3-100)*3)+Inputs!$B$28+Inputs!$B$29)))</f>
        <v/>
      </c>
      <c r="E1146">
        <f>INDEX(FactorTable!$B$2:$Y$301, MATCH(ROUND(MIN(300,MAX(1,D1146)),0), FactorTable!$A$2:$A$301,0), Skills!M9+1)</f>
        <v/>
      </c>
      <c r="F1146">
        <f>IF(Skills!N9=TRUE,(Skills!L9/10)*(E1146/1000),Skills!L9/10)+Skills!O9</f>
        <v/>
      </c>
      <c r="G1146">
        <f>Skills!G9*IF(Skills!H9&gt;0,Skills!I9/Skills!H9,1)</f>
        <v/>
      </c>
      <c r="H1146">
        <f>1-(1-Skills!J9/100)^Skills!K9</f>
        <v/>
      </c>
      <c r="I1146" t="inlineStr">
        <is>
          <t>1</t>
        </is>
      </c>
      <c r="J1146">
        <f>((Inputs!$B$6*(1+Inputs!$B$7/100))+(((Inputs!$B$12*(1+Inputs!$B$13/100))-(Inputs!$B$12*(1+Inputs!$B$13/100)))+0.25*(Inputs!$B$14-Inputs!$B$14))*(1+Inputs!$B$7/100))*(F1146/100)</f>
        <v/>
      </c>
      <c r="K1146">
        <f>J1146*(1+((Inputs!$B$12*(1+Inputs!$B$13/100))*0.01+Inputs!$B$14*0.0025)/100)*(1+Inputs!$B$15/100)*(1+Inputs!$B$16/100)*(5000/(6000+Inputs!$B$42*(1-(Inputs!$B$19+((C1164=TRUE)*(F1164-Calc!F27)))/100)))*(1+(Inputs!$B$24+((C1162=TRUE)*(F1162-Calc!F25))+((C1163=TRUE)*(F1163-Calc!F26))+B1176)/100)*(1+1.0*IF(C1147=TRUE,F1147,0)/100)*(1+(IF(Skills!A9="ARROW_STREAM",Inputs!$B$17+((C1160=TRUE)*(F1160-Calc!F23)),Inputs!$B$18+((C1165=TRUE)*(F1165-Calc!F28))))/100)*((1+(((C1150=TRUE)*F1150)+((C1151=TRUE)*IF(Inputs!$B$38="pvp",F1151,(1-Summary!$B$55)*(F1151)+Summary!$B$55*(0)))+((C1152=TRUE)*F1152*IF(AND(Inputs!$B$38&lt;&gt;"pvp",Inputs!$B$43&gt;0),(((R1152-1)*(Skills!T15*(1+Inputs!$B$34/100))+MIN((Skills!T15*(1+Inputs!$B$34/100)),MAX(0,Inputs!$B$43-((R1152-1)*Skills!D15))))/Inputs!$B$43),IF(Inputs!$B$38="pvp",MIN((Skills!T15*(1+Inputs!$B$34/100)),15)/15,(Skills!T15*(1+Inputs!$B$34/100))/Skills!D15)))+((C1167=TRUE)*(F1167-Calc!F30)))/100)*I1146)</f>
        <v/>
      </c>
      <c r="L1146">
        <f>K1146*(MIN(Inputs!$B$22+((C1161=TRUE)*(F1161-Calc!F24)),Inputs!$B$23+((C1166=TRUE)*(F1166-Calc!F29)))/100+(Inputs!$B$23+((C1166=TRUE)*(F1166-Calc!F29)))/100)/2</f>
        <v/>
      </c>
      <c r="M1146">
        <f>L1146*(1+(Inputs!$B$10+0+B1175)/100)</f>
        <v/>
      </c>
      <c r="N1146">
        <f>L1146*(1-MIN((Inputs!$B$9+((C1157=TRUE)*(F1157-Calc!F20))+B1170),100)/100)+M1146*(MIN((Inputs!$B$9+((C1157=TRUE)*(F1157-Calc!F20))+B1170),100)/100)</f>
        <v/>
      </c>
      <c r="O1146">
        <f>(1-Summary!$B$55)*T1146+Summary!$B$55*V1146</f>
        <v/>
      </c>
      <c r="P1146">
        <f>IF(B1180=0,0,O1146/B1180)</f>
        <v/>
      </c>
      <c r="Q1146">
        <f>IFERROR(1/IF(Inputs!$B$38="pvp",15,MAX(0.1,Skills!D9-IF(Skills!E9=TRUE,Inputs!$B$32,0))),0)</f>
        <v/>
      </c>
      <c r="R1146">
        <f>IF(AND(Inputs!$B$38&lt;&gt;"pvp",Inputs!$B$43&gt;0),IF(MAX(0,Inputs!$B$43-B1177)&lt;=0,0,(INT(MAX(0,Inputs!$B$43-B1177)/IF(Inputs!$B$38="pvp",15,MAX(0.1,Skills!D9-IF(Skills!E9=TRUE,Inputs!$B$32,0))))+1)),0)</f>
        <v/>
      </c>
      <c r="S1146">
        <f>IFERROR(O1146/N1146,0)</f>
        <v/>
      </c>
      <c r="T1146">
        <f>IF(C1146,(H1146*N1146*IF(AND(Inputs!$B$38&lt;&gt;"pvp",Inputs!$B$43&gt;0),((Skills!G9*((R1146-1)*IF(Skills!H9&gt;0,Skills!I9/Skills!H9,1)+IF(Skills!H9&gt;0,MIN(Skills!I9,MAX(0,MAX(0,Inputs!$B$43-B1177)-((R1146-1)*IF(Inputs!$B$38="pvp",15,MAX(0.1,Skills!D9-IF(Skills!E9=TRUE,Inputs!$B$32,0))))))/Skills!H9,1)))/Inputs!$B$43),G1146*Q1146))*IF(Inputs!$B$38="pvp",1,1+(Inputs!$B$20+0+Skills!P9)/100),0)</f>
        <v/>
      </c>
      <c r="V1146">
        <f>IF(C1146,(H1146*N1146*IF(AND(Inputs!$B$38&lt;&gt;"pvp",Inputs!$B$43&gt;0),((Skills!G9*((R1146-1)*IF(Skills!H9&gt;0,Skills!I9/Skills!H9,1)+IF(Skills!H9&gt;0,MIN(Skills!I9,MAX(0,MAX(0,Inputs!$B$43-B1177)-((R1146-1)*IF(Inputs!$B$38="pvp",15,MAX(0.1,Skills!D9-IF(Skills!E9=TRUE,Inputs!$B$32,0))))))/Skills!H9,1)))/Inputs!$B$43),G1146*Q1146))*IF(Inputs!$B$38="pvp",1,(1+(Inputs!$B$21+Skills!Q9)/100)*(MIN(Skills!R9,Inputs!$B$37))),0)</f>
        <v/>
      </c>
    </row>
    <row r="1147">
      <c r="A1147">
        <f>Skills!A10</f>
        <v/>
      </c>
      <c r="B1147">
        <f>Skills!B10</f>
        <v/>
      </c>
      <c r="C1147">
        <f>Inputs!$B$3&gt;=100</f>
        <v/>
      </c>
      <c r="D1147">
        <f>IF(Skills!C10=1,60+Inputs!$B$25+Inputs!$B$29,IF(Skills!C10=2,90+Inputs!$B$26+Inputs!$B$29,IF(Skills!C10=3,120+Inputs!$B$27+Inputs!$B$29,MAX(0,(Inputs!$B$3-100)*3)+Inputs!$B$28+Inputs!$B$29)))</f>
        <v/>
      </c>
      <c r="E1147">
        <f>INDEX(FactorTable!$B$2:$Y$301, MATCH(ROUND(MIN(300,MAX(1,D1147)),0), FactorTable!$A$2:$A$301,0), Skills!M10+1)</f>
        <v/>
      </c>
      <c r="F1147">
        <f>IF(Skills!N10=TRUE,(Skills!L10/10)*(E1147/1000),Skills!L10/10)+Skills!O10</f>
        <v/>
      </c>
      <c r="G1147" t="inlineStr"/>
      <c r="H1147" t="inlineStr"/>
      <c r="I1147" t="inlineStr">
        <is>
          <t>1</t>
        </is>
      </c>
      <c r="J1147" t="inlineStr"/>
      <c r="K1147" t="inlineStr"/>
      <c r="L1147" t="inlineStr"/>
      <c r="M1147" t="inlineStr"/>
      <c r="N1147" t="inlineStr"/>
      <c r="O1147" t="inlineStr"/>
      <c r="P1147" t="inlineStr"/>
      <c r="Q1147" t="inlineStr"/>
      <c r="R1147" t="inlineStr"/>
      <c r="S1147" t="inlineStr"/>
      <c r="T1147" t="inlineStr"/>
      <c r="V1147" t="inlineStr"/>
    </row>
    <row r="1148">
      <c r="A1148">
        <f>Skills!A11</f>
        <v/>
      </c>
      <c r="B1148">
        <f>Skills!B11</f>
        <v/>
      </c>
      <c r="C1148">
        <f>Inputs!$B$3&gt;=60</f>
        <v/>
      </c>
      <c r="D1148">
        <f>IF(Skills!C11=1,60+Inputs!$B$25+Inputs!$B$29,IF(Skills!C11=2,90+Inputs!$B$26+Inputs!$B$29,IF(Skills!C11=3,120+Inputs!$B$27+Inputs!$B$29,MAX(0,(Inputs!$B$3-100)*3)+Inputs!$B$28+Inputs!$B$29)))</f>
        <v/>
      </c>
      <c r="E1148">
        <f>INDEX(FactorTable!$B$2:$Y$301, MATCH(ROUND(MIN(300,MAX(1,D1148)),0), FactorTable!$A$2:$A$301,0), Skills!M11+1)</f>
        <v/>
      </c>
      <c r="F1148">
        <f>IF(Skills!N11=TRUE,(Skills!L11/10)*(E1148/1000),Skills!L11/10)+Skills!O11</f>
        <v/>
      </c>
      <c r="G1148">
        <f>Skills!G11*IF(Skills!H11&gt;0,Skills!I11/Skills!H11,1)</f>
        <v/>
      </c>
      <c r="H1148">
        <f>1-(1-Skills!J11/100)^Skills!K11</f>
        <v/>
      </c>
      <c r="I1148" t="inlineStr">
        <is>
          <t>1</t>
        </is>
      </c>
      <c r="J1148">
        <f>((Inputs!$B$6*(1+Inputs!$B$7/100))+(((Inputs!$B$12*(1+Inputs!$B$13/100))-(Inputs!$B$12*(1+Inputs!$B$13/100)))+0.25*(Inputs!$B$14-Inputs!$B$14))*(1+Inputs!$B$7/100))*(F1148/100)</f>
        <v/>
      </c>
      <c r="K1148">
        <f>J1148*(1+((Inputs!$B$12*(1+Inputs!$B$13/100))*0.01+Inputs!$B$14*0.0025)/100)*(1+Inputs!$B$15/100)*(1+Inputs!$B$16/100)*(5000/(6000+Inputs!$B$42*(1-(Inputs!$B$19+((C1164=TRUE)*(F1164-Calc!F27)))/100)))*(1+(Inputs!$B$24+((C1162=TRUE)*(F1162-Calc!F25))+((C1163=TRUE)*(F1163-Calc!F26))+B1176)/100)*(1+IF(C1149=TRUE,F1149,0)/100)*(1+(IF(Skills!A11="ARROW_STREAM",Inputs!$B$17+((C1160=TRUE)*(F1160-Calc!F23)),Inputs!$B$18+((C1165=TRUE)*(F1165-Calc!F28))))/100)*((1+(((C1150=TRUE)*F1150)+((C1151=TRUE)*IF(Inputs!$B$38="pvp",F1151,(1-Summary!$B$55)*(F1151)+Summary!$B$55*(0)))+((C1152=TRUE)*F1152*IF(AND(Inputs!$B$38&lt;&gt;"pvp",Inputs!$B$43&gt;0),(((R1152-1)*(Skills!T15*(1+Inputs!$B$34/100))+MIN((Skills!T15*(1+Inputs!$B$34/100)),MAX(0,Inputs!$B$43-((R1152-1)*Skills!D15))))/Inputs!$B$43),IF(Inputs!$B$38="pvp",MIN((Skills!T15*(1+Inputs!$B$34/100)),15)/15,(Skills!T15*(1+Inputs!$B$34/100))/Skills!D15)))+((C1167=TRUE)*(F1167-Calc!F30)))/100)*I1148)</f>
        <v/>
      </c>
      <c r="L1148">
        <f>K1148*(MIN(Inputs!$B$22+((C1161=TRUE)*(F1161-Calc!F24)),Inputs!$B$23+((C1166=TRUE)*(F1166-Calc!F29)))/100+(Inputs!$B$23+((C1166=TRUE)*(F1166-Calc!F29)))/100)/2</f>
        <v/>
      </c>
      <c r="M1148">
        <f>L1148*(1+(Inputs!$B$10+0+B1175)/100)</f>
        <v/>
      </c>
      <c r="N1148">
        <f>L1148*(1-MIN((Inputs!$B$9+((C1157=TRUE)*(F1157-Calc!F20))+B1170),100)/100)+M1148*(MIN((Inputs!$B$9+((C1157=TRUE)*(F1157-Calc!F20))+B1170),100)/100)</f>
        <v/>
      </c>
      <c r="O1148">
        <f>(1-Summary!$B$55)*T1148+Summary!$B$55*V1148</f>
        <v/>
      </c>
      <c r="P1148">
        <f>IF(B1180=0,0,O1148/B1180)</f>
        <v/>
      </c>
      <c r="Q1148">
        <f>IFERROR(1/IF(Inputs!$B$38="pvp",15,MAX(0.1,Skills!D11-IF(Skills!E11=TRUE,Inputs!$B$32,0))),0)</f>
        <v/>
      </c>
      <c r="R1148">
        <f>IF(AND(Inputs!$B$38&lt;&gt;"pvp",Inputs!$B$43&gt;0),IF(MAX(0,Inputs!$B$43-B1177)&lt;=0,0,(INT(MAX(0,Inputs!$B$43-B1177)/IF(Inputs!$B$38="pvp",15,MAX(0.1,Skills!D11-IF(Skills!E11=TRUE,Inputs!$B$32,0))))+1)),0)</f>
        <v/>
      </c>
      <c r="S1148">
        <f>IFERROR(O1148/N1148,0)</f>
        <v/>
      </c>
      <c r="T1148">
        <f>IF(C1148,(H1148*N1148*IF(AND(Inputs!$B$38&lt;&gt;"pvp",Inputs!$B$43&gt;0),((Skills!G11*((R1148-1)*IF(Skills!H11&gt;0,Skills!I11/Skills!H11,1)+IF(Skills!H11&gt;0,MIN(Skills!I11,MAX(0,MAX(0,Inputs!$B$43-B1177)-((R1148-1)*IF(Inputs!$B$38="pvp",15,MAX(0.1,Skills!D11-IF(Skills!E11=TRUE,Inputs!$B$32,0))))))/Skills!H11,1)))/Inputs!$B$43),G1148*Q1148))*IF(Inputs!$B$38="pvp",1,1+(Inputs!$B$20+0+Skills!P11)/100),0)</f>
        <v/>
      </c>
      <c r="V1148">
        <f>IF(C1148,(H1148*N1148*IF(AND(Inputs!$B$38&lt;&gt;"pvp",Inputs!$B$43&gt;0),((Skills!G11*((R1148-1)*IF(Skills!H11&gt;0,Skills!I11/Skills!H11,1)+IF(Skills!H11&gt;0,MIN(Skills!I11,MAX(0,MAX(0,Inputs!$B$43-B1177)-((R1148-1)*IF(Inputs!$B$38="pvp",15,MAX(0.1,Skills!D11-IF(Skills!E11=TRUE,Inputs!$B$32,0))))))/Skills!H11,1)))/Inputs!$B$43),G1148*Q1148))*IF(Inputs!$B$38="pvp",1,(1+(Inputs!$B$21+Skills!Q11)/100)*(MIN(Skills!R11,Inputs!$B$37))),0)</f>
        <v/>
      </c>
    </row>
    <row r="1149">
      <c r="A1149">
        <f>Skills!A12</f>
        <v/>
      </c>
      <c r="B1149">
        <f>Skills!B12</f>
        <v/>
      </c>
      <c r="C1149">
        <f>Inputs!$B$3&gt;=110</f>
        <v/>
      </c>
      <c r="D1149">
        <f>IF(Skills!C12=1,60+Inputs!$B$25+Inputs!$B$29,IF(Skills!C12=2,90+Inputs!$B$26+Inputs!$B$29,IF(Skills!C12=3,120+Inputs!$B$27+Inputs!$B$29,MAX(0,(Inputs!$B$3-100)*3)+Inputs!$B$28+Inputs!$B$29)))</f>
        <v/>
      </c>
      <c r="E1149">
        <f>INDEX(FactorTable!$B$2:$Y$301, MATCH(ROUND(MIN(300,MAX(1,D1149)),0), FactorTable!$A$2:$A$301,0), Skills!M12+1)</f>
        <v/>
      </c>
      <c r="F1149">
        <f>IF(Skills!N12=TRUE,(Skills!L12/10)*(E1149/1000),Skills!L12/10)+Skills!O12</f>
        <v/>
      </c>
      <c r="G1149" t="inlineStr"/>
      <c r="H1149" t="inlineStr"/>
      <c r="I1149" t="inlineStr">
        <is>
          <t>1</t>
        </is>
      </c>
      <c r="J1149" t="inlineStr"/>
      <c r="K1149" t="inlineStr"/>
      <c r="L1149" t="inlineStr"/>
      <c r="M1149" t="inlineStr"/>
      <c r="N1149" t="inlineStr"/>
      <c r="O1149" t="inlineStr"/>
      <c r="P1149" t="inlineStr"/>
      <c r="Q1149" t="inlineStr"/>
      <c r="R1149" t="inlineStr"/>
      <c r="S1149" t="inlineStr"/>
      <c r="T1149" t="inlineStr"/>
      <c r="V1149" t="inlineStr"/>
    </row>
    <row r="1150">
      <c r="A1150">
        <f>Skills!A13</f>
        <v/>
      </c>
      <c r="B1150">
        <f>Skills!B13</f>
        <v/>
      </c>
      <c r="C1150">
        <f>Inputs!$B$3&gt;=74</f>
        <v/>
      </c>
      <c r="D1150">
        <f>IF(Skills!C13=1,60+Inputs!$B$25+Inputs!$B$29,IF(Skills!C13=2,90+Inputs!$B$26+Inputs!$B$29,IF(Skills!C13=3,120+Inputs!$B$27+Inputs!$B$29,MAX(0,(Inputs!$B$3-100)*3)+Inputs!$B$28+Inputs!$B$29)))</f>
        <v/>
      </c>
      <c r="E1150">
        <f>INDEX(FactorTable!$B$2:$Y$301, MATCH(ROUND(MIN(300,MAX(1,D1150)),0), FactorTable!$A$2:$A$301,0), Skills!M13+1)</f>
        <v/>
      </c>
      <c r="F1150">
        <f>IF(Skills!N13=TRUE,(Skills!L13/10)*(E1150/1000),Skills!L13/10)+Skills!O13</f>
        <v/>
      </c>
      <c r="G1150">
        <f>Skills!G13*IF(Skills!H13&gt;0,Skills!I13/Skills!H13,1)</f>
        <v/>
      </c>
      <c r="H1150">
        <f>1-(1-Skills!J13/100)^Skills!K13</f>
        <v/>
      </c>
      <c r="I1150" t="inlineStr">
        <is>
          <t>1</t>
        </is>
      </c>
      <c r="J1150" t="inlineStr"/>
      <c r="K1150" t="inlineStr"/>
      <c r="L1150" t="inlineStr"/>
      <c r="M1150" t="inlineStr"/>
      <c r="N1150" t="inlineStr"/>
      <c r="O1150">
        <f>(1-Summary!$B$55)*T1150+Summary!$B$55*V1150</f>
        <v/>
      </c>
      <c r="P1150">
        <f>IF(B1180=0,0,O1150/B1180)</f>
        <v/>
      </c>
      <c r="Q1150" t="n">
        <v>0</v>
      </c>
      <c r="R1150" t="n">
        <v>0</v>
      </c>
      <c r="S1150">
        <f>IFERROR(O1150/N1150,0)</f>
        <v/>
      </c>
      <c r="T1150" t="n">
        <v>0</v>
      </c>
      <c r="V1150" t="n">
        <v>0</v>
      </c>
    </row>
    <row r="1151">
      <c r="A1151">
        <f>Skills!A14</f>
        <v/>
      </c>
      <c r="B1151">
        <f>Skills!B14</f>
        <v/>
      </c>
      <c r="C1151">
        <f>Inputs!$B$3&gt;=74</f>
        <v/>
      </c>
      <c r="D1151">
        <f>IF(Skills!C14=1,60+Inputs!$B$25+Inputs!$B$29,IF(Skills!C14=2,90+Inputs!$B$26+Inputs!$B$29,IF(Skills!C14=3,120+Inputs!$B$27+Inputs!$B$29,MAX(0,(Inputs!$B$3-100)*3)+Inputs!$B$28+Inputs!$B$29)))</f>
        <v/>
      </c>
      <c r="E1151">
        <f>INDEX(FactorTable!$B$2:$Y$301, MATCH(ROUND(MIN(300,MAX(1,D1151)),0), FactorTable!$A$2:$A$301,0), Skills!M14+1)</f>
        <v/>
      </c>
      <c r="F1151">
        <f>IF(Skills!N14=TRUE,(Skills!L14/10)*(E1151/1000),Skills!L14/10)+Skills!O14</f>
        <v/>
      </c>
      <c r="G1151">
        <f>Skills!G14*IF(Skills!H14&gt;0,Skills!I14/Skills!H14,1)</f>
        <v/>
      </c>
      <c r="H1151">
        <f>1-(1-Skills!J14/100)^Skills!K14</f>
        <v/>
      </c>
      <c r="I1151" t="inlineStr">
        <is>
          <t>1</t>
        </is>
      </c>
      <c r="J1151" t="inlineStr"/>
      <c r="K1151" t="inlineStr"/>
      <c r="L1151" t="inlineStr"/>
      <c r="M1151" t="inlineStr"/>
      <c r="N1151" t="inlineStr"/>
      <c r="O1151">
        <f>(1-Summary!$B$55)*T1151+Summary!$B$55*V1151</f>
        <v/>
      </c>
      <c r="P1151">
        <f>IF(B1180=0,0,O1151/B1180)</f>
        <v/>
      </c>
      <c r="Q1151" t="n">
        <v>0</v>
      </c>
      <c r="R1151" t="n">
        <v>0</v>
      </c>
      <c r="S1151">
        <f>IFERROR(O1151/N1151,0)</f>
        <v/>
      </c>
      <c r="T1151" t="n">
        <v>0</v>
      </c>
      <c r="V1151" t="n">
        <v>0</v>
      </c>
    </row>
    <row r="1152">
      <c r="A1152">
        <f>Skills!A15</f>
        <v/>
      </c>
      <c r="B1152">
        <f>Skills!B15</f>
        <v/>
      </c>
      <c r="C1152">
        <f>Inputs!$B$3&gt;=117</f>
        <v/>
      </c>
      <c r="D1152">
        <f>IF(Skills!C15=1,60+Inputs!$B$25+Inputs!$B$29,IF(Skills!C15=2,90+Inputs!$B$26+Inputs!$B$29,IF(Skills!C15=3,120+Inputs!$B$27+Inputs!$B$29,MAX(0,(Inputs!$B$3-100)*3)+Inputs!$B$28+Inputs!$B$29)))</f>
        <v/>
      </c>
      <c r="E1152">
        <f>INDEX(FactorTable!$B$2:$Y$301, MATCH(ROUND(MIN(300,MAX(1,D1152)),0), FactorTable!$A$2:$A$301,0), Skills!M15+1)</f>
        <v/>
      </c>
      <c r="F1152">
        <f>IF(Skills!N15=TRUE,(Skills!L15/10)*(E1152/1000),Skills!L15/10)+Skills!O15</f>
        <v/>
      </c>
      <c r="G1152">
        <f>Skills!G15*IF(Skills!H15&gt;0,Skills!I15/Skills!H15,1)</f>
        <v/>
      </c>
      <c r="H1152">
        <f>1-(1-Skills!J15/100)^Skills!K15</f>
        <v/>
      </c>
      <c r="I1152" t="inlineStr">
        <is>
          <t>1</t>
        </is>
      </c>
      <c r="J1152" t="inlineStr"/>
      <c r="K1152" t="inlineStr"/>
      <c r="L1152" t="inlineStr"/>
      <c r="M1152" t="inlineStr"/>
      <c r="N1152" t="inlineStr"/>
      <c r="O1152">
        <f>(1-Summary!$B$55)*T1152+Summary!$B$55*V1152</f>
        <v/>
      </c>
      <c r="P1152">
        <f>IF(B1180=0,0,O1152/B1180)</f>
        <v/>
      </c>
      <c r="Q1152">
        <f>IFERROR(1/IF(Inputs!$B$38="pvp",15,MAX(0.1,Skills!D15-IF(Skills!E15=TRUE,Inputs!$B$32,0))),0)</f>
        <v/>
      </c>
      <c r="R1152">
        <f>IF(AND(Inputs!$B$38&lt;&gt;"pvp",Inputs!$B$43&gt;0),IF(Inputs!$B$43&lt;=0,0,(INT(Inputs!$B$43/IF(Inputs!$B$38="pvp",15,MAX(0.1,Skills!D15-IF(Skills!E15=TRUE,Inputs!$B$32,0))))+1)),0)</f>
        <v/>
      </c>
      <c r="S1152">
        <f>IFERROR(O1152/N1152,0)</f>
        <v/>
      </c>
      <c r="T1152" t="n">
        <v>0</v>
      </c>
      <c r="V1152" t="n">
        <v>0</v>
      </c>
    </row>
    <row r="1153">
      <c r="A1153">
        <f>Skills!A16</f>
        <v/>
      </c>
      <c r="B1153">
        <f>Skills!B16</f>
        <v/>
      </c>
      <c r="C1153">
        <f>Inputs!$B$3&gt;=115</f>
        <v/>
      </c>
      <c r="D1153">
        <f>IF(Skills!C16=1,60+Inputs!$B$25+Inputs!$B$29,IF(Skills!C16=2,90+Inputs!$B$26+Inputs!$B$29,IF(Skills!C16=3,120+Inputs!$B$27+Inputs!$B$29,MAX(0,(Inputs!$B$3-100)*3)+Inputs!$B$28+Inputs!$B$29)))</f>
        <v/>
      </c>
      <c r="E1153">
        <f>INDEX(FactorTable!$B$2:$Y$301, MATCH(ROUND(MIN(300,MAX(1,D1153)),0), FactorTable!$A$2:$A$301,0), Skills!M16+1)</f>
        <v/>
      </c>
      <c r="F1153">
        <f>IF(Skills!N16=TRUE,(Skills!L16/10)*(E1153/1000),Skills!L16/10)+Skills!O16</f>
        <v/>
      </c>
      <c r="G1153">
        <f>Skills!G16*IF(Skills!H16&gt;0,Skills!I16/Skills!H16,1)</f>
        <v/>
      </c>
      <c r="H1153">
        <f>1-(1-Skills!J16/100)^Skills!K16</f>
        <v/>
      </c>
      <c r="I1153" t="inlineStr">
        <is>
          <t>1</t>
        </is>
      </c>
      <c r="J1153" t="inlineStr"/>
      <c r="K1153" t="inlineStr"/>
      <c r="L1153" t="inlineStr"/>
      <c r="M1153" t="inlineStr"/>
      <c r="N1153" t="inlineStr"/>
      <c r="O1153">
        <f>(1-Summary!$B$55)*T1153+Summary!$B$55*V1153</f>
        <v/>
      </c>
      <c r="P1153">
        <f>IF(B1180=0,0,O1153/B1180)</f>
        <v/>
      </c>
      <c r="Q1153">
        <f>IFERROR(1/IF(Inputs!$B$38="pvp",15,MAX(0.1,Skills!D16-IF(Skills!E16=TRUE,Inputs!$B$32,0))),0)</f>
        <v/>
      </c>
      <c r="R1153">
        <f>IF(AND(Inputs!$B$38&lt;&gt;"pvp",Inputs!$B$43&gt;0),IF(Inputs!$B$43&lt;=0,0,(INT(Inputs!$B$43/IF(Inputs!$B$38="pvp",15,MAX(0.1,Skills!D16-IF(Skills!E16=TRUE,Inputs!$B$32,0))))+1)),0)</f>
        <v/>
      </c>
      <c r="S1153">
        <f>IFERROR(O1153/N1153,0)</f>
        <v/>
      </c>
      <c r="T1153" t="n">
        <v>0</v>
      </c>
      <c r="V1153" t="n">
        <v>0</v>
      </c>
    </row>
    <row r="1154">
      <c r="A1154">
        <f>Skills!A17</f>
        <v/>
      </c>
      <c r="B1154">
        <f>Skills!B17</f>
        <v/>
      </c>
      <c r="C1154">
        <f>Inputs!$B$3&gt;=66</f>
        <v/>
      </c>
      <c r="D1154">
        <f>IF(Skills!C17=1,60+Inputs!$B$25+Inputs!$B$29,IF(Skills!C17=2,90+Inputs!$B$26+Inputs!$B$29,IF(Skills!C17=3,120+Inputs!$B$27+Inputs!$B$29,MAX(0,(Inputs!$B$3-100)*3)+Inputs!$B$28+Inputs!$B$29)))</f>
        <v/>
      </c>
      <c r="E1154">
        <f>INDEX(FactorTable!$B$2:$Y$301, MATCH(ROUND(MIN(300,MAX(1,D1154)),0), FactorTable!$A$2:$A$301,0), Skills!M17+1)</f>
        <v/>
      </c>
      <c r="F1154">
        <f>IF(Skills!N17=TRUE,(Skills!L17/10)*(E1154/1000),Skills!L17/10)+Skills!O17</f>
        <v/>
      </c>
      <c r="G1154">
        <f>Skills!G17*IF(Skills!H17&gt;0,Skills!I17/Skills!H17,1)</f>
        <v/>
      </c>
      <c r="H1154">
        <f>1-(1-Skills!J17/100)^Skills!K17</f>
        <v/>
      </c>
      <c r="I1154" t="inlineStr">
        <is>
          <t>1</t>
        </is>
      </c>
      <c r="J1154" t="inlineStr"/>
      <c r="K1154" t="inlineStr"/>
      <c r="L1154" t="inlineStr"/>
      <c r="M1154" t="inlineStr"/>
      <c r="N1154" t="inlineStr"/>
      <c r="O1154">
        <f>(1-Summary!$B$55)*T1154+Summary!$B$55*V1154</f>
        <v/>
      </c>
      <c r="P1154">
        <f>IF(B1180=0,0,O1154/B1180)</f>
        <v/>
      </c>
      <c r="Q1154" t="n">
        <v>0</v>
      </c>
      <c r="R1154" t="n">
        <v>0</v>
      </c>
      <c r="S1154">
        <f>IFERROR(O1154/N1154,0)</f>
        <v/>
      </c>
      <c r="T1154" t="n">
        <v>0</v>
      </c>
      <c r="V1154" t="n">
        <v>0</v>
      </c>
    </row>
    <row r="1155">
      <c r="A1155">
        <f>Skills!A18</f>
        <v/>
      </c>
      <c r="B1155">
        <f>Skills!B18</f>
        <v/>
      </c>
      <c r="C1155">
        <f>Inputs!$B$3&gt;=72</f>
        <v/>
      </c>
      <c r="D1155">
        <f>IF(Skills!C18=1,60+Inputs!$B$25+Inputs!$B$29,IF(Skills!C18=2,90+Inputs!$B$26+Inputs!$B$29,IF(Skills!C18=3,120+Inputs!$B$27+Inputs!$B$29,MAX(0,(Inputs!$B$3-100)*3)+Inputs!$B$28+Inputs!$B$29)))</f>
        <v/>
      </c>
      <c r="E1155">
        <f>INDEX(FactorTable!$B$2:$Y$301, MATCH(ROUND(MIN(300,MAX(1,D1155)),0), FactorTable!$A$2:$A$301,0), Skills!M18+1)</f>
        <v/>
      </c>
      <c r="F1155">
        <f>IF(Skills!N18=TRUE,(Skills!L18/10)*(E1155/1000),Skills!L18/10)+Skills!O18</f>
        <v/>
      </c>
      <c r="G1155">
        <f>Skills!G18*IF(Skills!H18&gt;0,Skills!I18/Skills!H18,1)</f>
        <v/>
      </c>
      <c r="H1155">
        <f>1-(1-Skills!J18/100)^Skills!K18</f>
        <v/>
      </c>
      <c r="I1155" t="inlineStr">
        <is>
          <t>1</t>
        </is>
      </c>
      <c r="J1155" t="inlineStr"/>
      <c r="K1155" t="inlineStr"/>
      <c r="L1155" t="inlineStr"/>
      <c r="M1155" t="inlineStr"/>
      <c r="N1155" t="inlineStr"/>
      <c r="O1155">
        <f>(1-Summary!$B$55)*T1155+Summary!$B$55*V1155</f>
        <v/>
      </c>
      <c r="P1155">
        <f>IF(B1180=0,0,O1155/B1180)</f>
        <v/>
      </c>
      <c r="Q1155" t="n">
        <v>0</v>
      </c>
      <c r="R1155" t="n">
        <v>0</v>
      </c>
      <c r="S1155">
        <f>IFERROR(O1155/N1155,0)</f>
        <v/>
      </c>
      <c r="T1155" t="n">
        <v>0</v>
      </c>
      <c r="V1155" t="n">
        <v>0</v>
      </c>
    </row>
    <row r="1156">
      <c r="A1156">
        <f>Skills!A19</f>
        <v/>
      </c>
      <c r="B1156">
        <f>Skills!B19</f>
        <v/>
      </c>
      <c r="C1156">
        <f>TRUE</f>
        <v/>
      </c>
      <c r="D1156">
        <f>IF(Skills!C19=1,60+Inputs!$B$25+Inputs!$B$29,IF(Skills!C19=2,90+Inputs!$B$26+Inputs!$B$29,IF(Skills!C19=3,120+Inputs!$B$27+Inputs!$B$29,MAX(0,(Inputs!$B$3-100)*3)+Inputs!$B$28+Inputs!$B$29)))</f>
        <v/>
      </c>
      <c r="E1156">
        <f>INDEX(FactorTable!$B$2:$Y$301, MATCH(ROUND(MIN(300,MAX(1,D1156)),0), FactorTable!$A$2:$A$301,0), Skills!M19+1)</f>
        <v/>
      </c>
      <c r="F1156">
        <f>IF(Skills!N19=TRUE,(Skills!L19/10)*(E1156/1000),Skills!L19/10)+Skills!O19</f>
        <v/>
      </c>
      <c r="G1156">
        <f>Skills!G19*IF(Skills!H19&gt;0,Skills!I19/Skills!H19,1)</f>
        <v/>
      </c>
      <c r="H1156">
        <f>1-(1-Skills!J19/100)^Skills!K19</f>
        <v/>
      </c>
      <c r="I1156" t="inlineStr">
        <is>
          <t>1</t>
        </is>
      </c>
      <c r="J1156" t="inlineStr"/>
      <c r="K1156" t="inlineStr"/>
      <c r="L1156" t="inlineStr"/>
      <c r="M1156" t="inlineStr"/>
      <c r="N1156" t="inlineStr"/>
      <c r="O1156">
        <f>(1-Summary!$B$55)*T1156+Summary!$B$55*V1156</f>
        <v/>
      </c>
      <c r="P1156">
        <f>IF(B1180=0,0,O1156/B1180)</f>
        <v/>
      </c>
      <c r="Q1156">
        <f>IFERROR(1/IF(Inputs!$B$38="pvp",15,MAX(0.1,Skills!D19-IF(Skills!E19=TRUE,Inputs!$B$32,0))),0)</f>
        <v/>
      </c>
      <c r="R1156">
        <f>IF(AND(Inputs!$B$38&lt;&gt;"pvp",Inputs!$B$43&gt;0),IF(Inputs!$B$43&lt;=0,0,(INT(Inputs!$B$43/IF(Inputs!$B$38="pvp",15,MAX(0.1,Skills!D19-IF(Skills!E19=TRUE,Inputs!$B$32,0))))+1)),0)</f>
        <v/>
      </c>
      <c r="S1156">
        <f>IFERROR(O1156/N1156,0)</f>
        <v/>
      </c>
      <c r="T1156" t="n">
        <v>0</v>
      </c>
      <c r="V1156" t="n">
        <v>0</v>
      </c>
    </row>
    <row r="1157">
      <c r="A1157">
        <f>Skills!A20</f>
        <v/>
      </c>
      <c r="B1157">
        <f>Skills!B20</f>
        <v/>
      </c>
      <c r="C1157">
        <f>Inputs!$B$3&gt;=15</f>
        <v/>
      </c>
      <c r="D1157">
        <f>IF(Skills!C20=1,60+Inputs!$B$25+Inputs!$B$29,IF(Skills!C20=2,90+Inputs!$B$26+Inputs!$B$29,IF(Skills!C20=3,120+Inputs!$B$27+Inputs!$B$29,MAX(0,(Inputs!$B$3-100)*3)+Inputs!$B$28+Inputs!$B$29)))</f>
        <v/>
      </c>
      <c r="E1157">
        <f>INDEX(FactorTable!$B$2:$Y$301, MATCH(ROUND(MIN(300,MAX(1,D1157)),0), FactorTable!$A$2:$A$301,0), Skills!M20+1)</f>
        <v/>
      </c>
      <c r="F1157">
        <f>IF(Skills!N20=TRUE,(Skills!L20/10)*(E1157/1000),Skills!L20/10)+Skills!O20</f>
        <v/>
      </c>
      <c r="G1157">
        <f>Skills!G20*IF(Skills!H20&gt;0,Skills!I20/Skills!H20,1)</f>
        <v/>
      </c>
      <c r="H1157">
        <f>1-(1-Skills!J20/100)^Skills!K20</f>
        <v/>
      </c>
      <c r="I1157" t="inlineStr">
        <is>
          <t>1</t>
        </is>
      </c>
      <c r="J1157" t="inlineStr"/>
      <c r="K1157" t="inlineStr"/>
      <c r="L1157" t="inlineStr"/>
      <c r="M1157" t="inlineStr"/>
      <c r="N1157" t="inlineStr"/>
      <c r="O1157">
        <f>(1-Summary!$B$55)*T1157+Summary!$B$55*V1157</f>
        <v/>
      </c>
      <c r="P1157">
        <f>IF(B1180=0,0,O1157/B1180)</f>
        <v/>
      </c>
      <c r="Q1157" t="n">
        <v>0</v>
      </c>
      <c r="R1157" t="n">
        <v>0</v>
      </c>
      <c r="S1157">
        <f>IFERROR(O1157/N1157,0)</f>
        <v/>
      </c>
      <c r="T1157" t="n">
        <v>0</v>
      </c>
      <c r="V1157" t="n">
        <v>0</v>
      </c>
    </row>
    <row r="1158">
      <c r="A1158">
        <f>Skills!A21</f>
        <v/>
      </c>
      <c r="B1158">
        <f>Skills!B21</f>
        <v/>
      </c>
      <c r="C1158">
        <f>Inputs!$B$3&gt;=10</f>
        <v/>
      </c>
      <c r="D1158">
        <f>IF(Skills!C21=1,60+Inputs!$B$25+Inputs!$B$29,IF(Skills!C21=2,90+Inputs!$B$26+Inputs!$B$29,IF(Skills!C21=3,120+Inputs!$B$27+Inputs!$B$29,MAX(0,(Inputs!$B$3-100)*3)+Inputs!$B$28+Inputs!$B$29)))</f>
        <v/>
      </c>
      <c r="E1158">
        <f>INDEX(FactorTable!$B$2:$Y$301, MATCH(ROUND(MIN(300,MAX(1,D1158)),0), FactorTable!$A$2:$A$301,0), Skills!M21+1)</f>
        <v/>
      </c>
      <c r="F1158">
        <f>IF(Skills!N21=TRUE,(Skills!L21/10)*(E1158/1000),Skills!L21/10)+Skills!O21</f>
        <v/>
      </c>
      <c r="G1158">
        <f>Skills!G21*IF(Skills!H21&gt;0,Skills!I21/Skills!H21,1)</f>
        <v/>
      </c>
      <c r="H1158">
        <f>1-(1-Skills!J21/100)^Skills!K21</f>
        <v/>
      </c>
      <c r="I1158" t="inlineStr">
        <is>
          <t>1</t>
        </is>
      </c>
      <c r="J1158" t="inlineStr"/>
      <c r="K1158" t="inlineStr"/>
      <c r="L1158" t="inlineStr"/>
      <c r="M1158" t="inlineStr"/>
      <c r="N1158" t="inlineStr"/>
      <c r="O1158">
        <f>(1-Summary!$B$55)*T1158+Summary!$B$55*V1158</f>
        <v/>
      </c>
      <c r="P1158">
        <f>IF(B1180=0,0,O1158/B1180)</f>
        <v/>
      </c>
      <c r="Q1158" t="n">
        <v>0</v>
      </c>
      <c r="R1158" t="n">
        <v>0</v>
      </c>
      <c r="S1158">
        <f>IFERROR(O1158/N1158,0)</f>
        <v/>
      </c>
      <c r="T1158" t="n">
        <v>0</v>
      </c>
      <c r="V1158" t="n">
        <v>0</v>
      </c>
    </row>
    <row r="1159">
      <c r="A1159">
        <f>Skills!A22</f>
        <v/>
      </c>
      <c r="B1159">
        <f>Skills!B22</f>
        <v/>
      </c>
      <c r="C1159">
        <f>Inputs!$B$3&gt;=33</f>
        <v/>
      </c>
      <c r="D1159">
        <f>IF(Skills!C22=1,60+Inputs!$B$25+Inputs!$B$29,IF(Skills!C22=2,90+Inputs!$B$26+Inputs!$B$29,IF(Skills!C22=3,120+Inputs!$B$27+Inputs!$B$29,MAX(0,(Inputs!$B$3-100)*3)+Inputs!$B$28+Inputs!$B$29)))</f>
        <v/>
      </c>
      <c r="E1159">
        <f>INDEX(FactorTable!$B$2:$Y$301, MATCH(ROUND(MIN(300,MAX(1,D1159)),0), FactorTable!$A$2:$A$301,0), Skills!M22+1)</f>
        <v/>
      </c>
      <c r="F1159">
        <f>IF(Skills!N22=TRUE,(Skills!L22/10)*(E1159/1000),Skills!L22/10)+Skills!O22</f>
        <v/>
      </c>
      <c r="G1159">
        <f>Skills!G22*IF(Skills!H22&gt;0,Skills!I22/Skills!H22,1)</f>
        <v/>
      </c>
      <c r="H1159">
        <f>1-(1-Skills!J22/100)^Skills!K22</f>
        <v/>
      </c>
      <c r="I1159" t="inlineStr">
        <is>
          <t>1</t>
        </is>
      </c>
      <c r="J1159" t="inlineStr"/>
      <c r="K1159" t="inlineStr"/>
      <c r="L1159" t="inlineStr"/>
      <c r="M1159" t="inlineStr"/>
      <c r="N1159" t="inlineStr"/>
      <c r="O1159">
        <f>(1-Summary!$B$55)*T1159+Summary!$B$55*V1159</f>
        <v/>
      </c>
      <c r="P1159">
        <f>IF(B1180=0,0,O1159/B1180)</f>
        <v/>
      </c>
      <c r="Q1159" t="n">
        <v>0</v>
      </c>
      <c r="R1159" t="n">
        <v>0</v>
      </c>
      <c r="S1159">
        <f>IFERROR(O1159/N1159,0)</f>
        <v/>
      </c>
      <c r="T1159" t="n">
        <v>0</v>
      </c>
      <c r="V1159" t="n">
        <v>0</v>
      </c>
    </row>
    <row r="1160">
      <c r="A1160">
        <f>Skills!A23</f>
        <v/>
      </c>
      <c r="B1160">
        <f>Skills!B23</f>
        <v/>
      </c>
      <c r="C1160">
        <f>Inputs!$B$3&gt;=38</f>
        <v/>
      </c>
      <c r="D1160">
        <f>IF(Skills!C23=1,60+Inputs!$B$25+Inputs!$B$29,IF(Skills!C23=2,90+Inputs!$B$26+Inputs!$B$29,IF(Skills!C23=3,120+Inputs!$B$27+Inputs!$B$29,MAX(0,(Inputs!$B$3-100)*3)+Inputs!$B$28+Inputs!$B$29)))</f>
        <v/>
      </c>
      <c r="E1160">
        <f>INDEX(FactorTable!$B$2:$Y$301, MATCH(ROUND(MIN(300,MAX(1,D1160)),0), FactorTable!$A$2:$A$301,0), Skills!M23+1)</f>
        <v/>
      </c>
      <c r="F1160">
        <f>IF(Skills!N23=TRUE,(Skills!L23/10)*(E1160/1000),Skills!L23/10)+Skills!O23</f>
        <v/>
      </c>
      <c r="G1160">
        <f>Skills!G23*IF(Skills!H23&gt;0,Skills!I23/Skills!H23,1)</f>
        <v/>
      </c>
      <c r="H1160">
        <f>1-(1-Skills!J23/100)^Skills!K23</f>
        <v/>
      </c>
      <c r="I1160" t="inlineStr">
        <is>
          <t>1</t>
        </is>
      </c>
      <c r="J1160" t="inlineStr"/>
      <c r="K1160" t="inlineStr"/>
      <c r="L1160" t="inlineStr"/>
      <c r="M1160" t="inlineStr"/>
      <c r="N1160" t="inlineStr"/>
      <c r="O1160">
        <f>(1-Summary!$B$55)*T1160+Summary!$B$55*V1160</f>
        <v/>
      </c>
      <c r="P1160">
        <f>IF(B1180=0,0,O1160/B1180)</f>
        <v/>
      </c>
      <c r="Q1160" t="n">
        <v>0</v>
      </c>
      <c r="R1160" t="n">
        <v>0</v>
      </c>
      <c r="S1160">
        <f>IFERROR(O1160/N1160,0)</f>
        <v/>
      </c>
      <c r="T1160" t="n">
        <v>0</v>
      </c>
      <c r="V1160" t="n">
        <v>0</v>
      </c>
    </row>
    <row r="1161">
      <c r="A1161">
        <f>Skills!A24</f>
        <v/>
      </c>
      <c r="B1161">
        <f>Skills!B24</f>
        <v/>
      </c>
      <c r="C1161">
        <f>Inputs!$B$3&gt;=43</f>
        <v/>
      </c>
      <c r="D1161">
        <f>IF(Skills!C24=1,60+Inputs!$B$25+Inputs!$B$29,IF(Skills!C24=2,90+Inputs!$B$26+Inputs!$B$29,IF(Skills!C24=3,120+Inputs!$B$27+Inputs!$B$29,MAX(0,(Inputs!$B$3-100)*3)+Inputs!$B$28+Inputs!$B$29)))</f>
        <v/>
      </c>
      <c r="E1161">
        <f>INDEX(FactorTable!$B$2:$Y$301, MATCH(ROUND(MIN(300,MAX(1,D1161)),0), FactorTable!$A$2:$A$301,0), Skills!M24+1)</f>
        <v/>
      </c>
      <c r="F1161">
        <f>IF(Skills!N24=TRUE,(Skills!L24/10)*(E1161/1000),Skills!L24/10)+Skills!O24</f>
        <v/>
      </c>
      <c r="G1161">
        <f>Skills!G24*IF(Skills!H24&gt;0,Skills!I24/Skills!H24,1)</f>
        <v/>
      </c>
      <c r="H1161">
        <f>1-(1-Skills!J24/100)^Skills!K24</f>
        <v/>
      </c>
      <c r="I1161" t="inlineStr">
        <is>
          <t>1</t>
        </is>
      </c>
      <c r="J1161" t="inlineStr"/>
      <c r="K1161" t="inlineStr"/>
      <c r="L1161" t="inlineStr"/>
      <c r="M1161" t="inlineStr"/>
      <c r="N1161" t="inlineStr"/>
      <c r="O1161">
        <f>(1-Summary!$B$55)*T1161+Summary!$B$55*V1161</f>
        <v/>
      </c>
      <c r="P1161">
        <f>IF(B1180=0,0,O1161/B1180)</f>
        <v/>
      </c>
      <c r="Q1161" t="n">
        <v>0</v>
      </c>
      <c r="R1161" t="n">
        <v>0</v>
      </c>
      <c r="S1161">
        <f>IFERROR(O1161/N1161,0)</f>
        <v/>
      </c>
      <c r="T1161" t="n">
        <v>0</v>
      </c>
      <c r="V1161" t="n">
        <v>0</v>
      </c>
    </row>
    <row r="1162">
      <c r="A1162">
        <f>Skills!A25</f>
        <v/>
      </c>
      <c r="B1162">
        <f>Skills!B25</f>
        <v/>
      </c>
      <c r="C1162">
        <f>Inputs!$B$3&gt;=75</f>
        <v/>
      </c>
      <c r="D1162">
        <f>IF(Skills!C25=1,60+Inputs!$B$25+Inputs!$B$29,IF(Skills!C25=2,90+Inputs!$B$26+Inputs!$B$29,IF(Skills!C25=3,120+Inputs!$B$27+Inputs!$B$29,MAX(0,(Inputs!$B$3-100)*3)+Inputs!$B$28+Inputs!$B$29)))</f>
        <v/>
      </c>
      <c r="E1162">
        <f>INDEX(FactorTable!$B$2:$Y$301, MATCH(ROUND(MIN(300,MAX(1,D1162)),0), FactorTable!$A$2:$A$301,0), Skills!M25+1)</f>
        <v/>
      </c>
      <c r="F1162">
        <f>IF(Skills!N25=TRUE,(Skills!L25/10)*(E1162/1000),Skills!L25/10)+Skills!O25</f>
        <v/>
      </c>
      <c r="G1162">
        <f>Skills!G25*IF(Skills!H25&gt;0,Skills!I25/Skills!H25,1)</f>
        <v/>
      </c>
      <c r="H1162">
        <f>1-(1-Skills!J25/100)^Skills!K25</f>
        <v/>
      </c>
      <c r="I1162" t="inlineStr">
        <is>
          <t>1</t>
        </is>
      </c>
      <c r="J1162" t="inlineStr"/>
      <c r="K1162" t="inlineStr"/>
      <c r="L1162" t="inlineStr"/>
      <c r="M1162" t="inlineStr"/>
      <c r="N1162" t="inlineStr"/>
      <c r="O1162">
        <f>(1-Summary!$B$55)*T1162+Summary!$B$55*V1162</f>
        <v/>
      </c>
      <c r="P1162">
        <f>IF(B1180=0,0,O1162/B1180)</f>
        <v/>
      </c>
      <c r="Q1162" t="n">
        <v>0</v>
      </c>
      <c r="R1162" t="n">
        <v>0</v>
      </c>
      <c r="S1162">
        <f>IFERROR(O1162/N1162,0)</f>
        <v/>
      </c>
      <c r="T1162" t="n">
        <v>0</v>
      </c>
      <c r="V1162" t="n">
        <v>0</v>
      </c>
    </row>
    <row r="1163">
      <c r="A1163">
        <f>Skills!A26</f>
        <v/>
      </c>
      <c r="B1163">
        <f>Skills!B26</f>
        <v/>
      </c>
      <c r="C1163">
        <f>Inputs!$B$3&gt;=125</f>
        <v/>
      </c>
      <c r="D1163">
        <f>IF(Skills!C26=1,60+Inputs!$B$25+Inputs!$B$29,IF(Skills!C26=2,90+Inputs!$B$26+Inputs!$B$29,IF(Skills!C26=3,120+Inputs!$B$27+Inputs!$B$29,MAX(0,(Inputs!$B$3-100)*3)+Inputs!$B$28+Inputs!$B$29)))</f>
        <v/>
      </c>
      <c r="E1163">
        <f>INDEX(FactorTable!$B$2:$Y$301, MATCH(ROUND(MIN(300,MAX(1,D1163)),0), FactorTable!$A$2:$A$301,0), Skills!M26+1)</f>
        <v/>
      </c>
      <c r="F1163">
        <f>IF(Skills!N26=TRUE,(Skills!L26/10)*(E1163/1000),Skills!L26/10)+Skills!O26</f>
        <v/>
      </c>
      <c r="G1163">
        <f>Skills!G26*IF(Skills!H26&gt;0,Skills!I26/Skills!H26,1)</f>
        <v/>
      </c>
      <c r="H1163">
        <f>1-(1-Skills!J26/100)^Skills!K26</f>
        <v/>
      </c>
      <c r="I1163" t="inlineStr">
        <is>
          <t>1</t>
        </is>
      </c>
      <c r="J1163" t="inlineStr"/>
      <c r="K1163" t="inlineStr"/>
      <c r="L1163" t="inlineStr"/>
      <c r="M1163" t="inlineStr"/>
      <c r="N1163" t="inlineStr"/>
      <c r="O1163">
        <f>(1-Summary!$B$55)*T1163+Summary!$B$55*V1163</f>
        <v/>
      </c>
      <c r="P1163">
        <f>IF(B1180=0,0,O1163/B1180)</f>
        <v/>
      </c>
      <c r="Q1163" t="n">
        <v>0</v>
      </c>
      <c r="R1163" t="n">
        <v>0</v>
      </c>
      <c r="S1163">
        <f>IFERROR(O1163/N1163,0)</f>
        <v/>
      </c>
      <c r="T1163" t="n">
        <v>0</v>
      </c>
      <c r="V1163" t="n">
        <v>0</v>
      </c>
    </row>
    <row r="1164">
      <c r="A1164">
        <f>Skills!A27</f>
        <v/>
      </c>
      <c r="B1164">
        <f>Skills!B27</f>
        <v/>
      </c>
      <c r="C1164">
        <f>Inputs!$B$3&gt;=125</f>
        <v/>
      </c>
      <c r="D1164">
        <f>IF(Skills!C27=1,60+Inputs!$B$25+Inputs!$B$29,IF(Skills!C27=2,90+Inputs!$B$26+Inputs!$B$29,IF(Skills!C27=3,120+Inputs!$B$27+Inputs!$B$29,MAX(0,(Inputs!$B$3-100)*3)+Inputs!$B$28+Inputs!$B$29)))</f>
        <v/>
      </c>
      <c r="E1164">
        <f>INDEX(FactorTable!$B$2:$Y$301, MATCH(ROUND(MIN(300,MAX(1,D1164)),0), FactorTable!$A$2:$A$301,0), Skills!M27+1)</f>
        <v/>
      </c>
      <c r="F1164">
        <f>IF(Skills!N27=TRUE,(Skills!L27/10)*(E1164/1000),Skills!L27/10)+Skills!O27</f>
        <v/>
      </c>
      <c r="G1164">
        <f>Skills!G27*IF(Skills!H27&gt;0,Skills!I27/Skills!H27,1)</f>
        <v/>
      </c>
      <c r="H1164">
        <f>1-(1-Skills!J27/100)^Skills!K27</f>
        <v/>
      </c>
      <c r="I1164" t="inlineStr">
        <is>
          <t>1</t>
        </is>
      </c>
      <c r="J1164" t="inlineStr"/>
      <c r="K1164" t="inlineStr"/>
      <c r="L1164" t="inlineStr"/>
      <c r="M1164" t="inlineStr"/>
      <c r="N1164" t="inlineStr"/>
      <c r="O1164">
        <f>(1-Summary!$B$55)*T1164+Summary!$B$55*V1164</f>
        <v/>
      </c>
      <c r="P1164">
        <f>IF(B1180=0,0,O1164/B1180)</f>
        <v/>
      </c>
      <c r="Q1164" t="n">
        <v>0</v>
      </c>
      <c r="R1164" t="n">
        <v>0</v>
      </c>
      <c r="S1164">
        <f>IFERROR(O1164/N1164,0)</f>
        <v/>
      </c>
      <c r="T1164" t="n">
        <v>0</v>
      </c>
      <c r="V1164" t="n">
        <v>0</v>
      </c>
    </row>
    <row r="1165">
      <c r="A1165">
        <f>Skills!A28</f>
        <v/>
      </c>
      <c r="B1165">
        <f>Skills!B28</f>
        <v/>
      </c>
      <c r="C1165">
        <f>Inputs!$B$3&gt;=120</f>
        <v/>
      </c>
      <c r="D1165">
        <f>IF(Skills!C28=1,60+Inputs!$B$25+Inputs!$B$29,IF(Skills!C28=2,90+Inputs!$B$26+Inputs!$B$29,IF(Skills!C28=3,120+Inputs!$B$27+Inputs!$B$29,MAX(0,(Inputs!$B$3-100)*3)+Inputs!$B$28+Inputs!$B$29)))</f>
        <v/>
      </c>
      <c r="E1165">
        <f>INDEX(FactorTable!$B$2:$Y$301, MATCH(ROUND(MIN(300,MAX(1,D1165)),0), FactorTable!$A$2:$A$301,0), Skills!M28+1)</f>
        <v/>
      </c>
      <c r="F1165">
        <f>IF(Skills!N28=TRUE,(Skills!L28/10)*(E1165/1000),Skills!L28/10)+Skills!O28</f>
        <v/>
      </c>
      <c r="G1165">
        <f>Skills!G28*IF(Skills!H28&gt;0,Skills!I28/Skills!H28,1)</f>
        <v/>
      </c>
      <c r="H1165">
        <f>1-(1-Skills!J28/100)^Skills!K28</f>
        <v/>
      </c>
      <c r="I1165" t="inlineStr">
        <is>
          <t>1</t>
        </is>
      </c>
      <c r="J1165" t="inlineStr"/>
      <c r="K1165" t="inlineStr"/>
      <c r="L1165" t="inlineStr"/>
      <c r="M1165" t="inlineStr"/>
      <c r="N1165" t="inlineStr"/>
      <c r="O1165">
        <f>(1-Summary!$B$55)*T1165+Summary!$B$55*V1165</f>
        <v/>
      </c>
      <c r="P1165">
        <f>IF(B1180=0,0,O1165/B1180)</f>
        <v/>
      </c>
      <c r="Q1165" t="n">
        <v>0</v>
      </c>
      <c r="R1165" t="n">
        <v>0</v>
      </c>
      <c r="S1165">
        <f>IFERROR(O1165/N1165,0)</f>
        <v/>
      </c>
      <c r="T1165" t="n">
        <v>0</v>
      </c>
      <c r="V1165" t="n">
        <v>0</v>
      </c>
    </row>
    <row r="1166">
      <c r="A1166">
        <f>Skills!A29</f>
        <v/>
      </c>
      <c r="B1166">
        <f>Skills!B29</f>
        <v/>
      </c>
      <c r="C1166">
        <f>Inputs!$B$3&gt;=120</f>
        <v/>
      </c>
      <c r="D1166">
        <f>IF(Skills!C29=1,60+Inputs!$B$25+Inputs!$B$29,IF(Skills!C29=2,90+Inputs!$B$26+Inputs!$B$29,IF(Skills!C29=3,120+Inputs!$B$27+Inputs!$B$29,MAX(0,(Inputs!$B$3-100)*3)+Inputs!$B$28+Inputs!$B$29)))</f>
        <v/>
      </c>
      <c r="E1166">
        <f>INDEX(FactorTable!$B$2:$Y$301, MATCH(ROUND(MIN(300,MAX(1,D1166)),0), FactorTable!$A$2:$A$301,0), Skills!M29+1)</f>
        <v/>
      </c>
      <c r="F1166">
        <f>IF(Skills!N29=TRUE,(Skills!L29/10)*(E1166/1000),Skills!L29/10)+Skills!O29</f>
        <v/>
      </c>
      <c r="G1166">
        <f>Skills!G29*IF(Skills!H29&gt;0,Skills!I29/Skills!H29,1)</f>
        <v/>
      </c>
      <c r="H1166">
        <f>1-(1-Skills!J29/100)^Skills!K29</f>
        <v/>
      </c>
      <c r="I1166" t="inlineStr">
        <is>
          <t>1</t>
        </is>
      </c>
      <c r="J1166" t="inlineStr"/>
      <c r="K1166" t="inlineStr"/>
      <c r="L1166" t="inlineStr"/>
      <c r="M1166" t="inlineStr"/>
      <c r="N1166" t="inlineStr"/>
      <c r="O1166">
        <f>(1-Summary!$B$55)*T1166+Summary!$B$55*V1166</f>
        <v/>
      </c>
      <c r="P1166">
        <f>IF(B1180=0,0,O1166/B1180)</f>
        <v/>
      </c>
      <c r="Q1166" t="n">
        <v>0</v>
      </c>
      <c r="R1166" t="n">
        <v>0</v>
      </c>
      <c r="S1166">
        <f>IFERROR(O1166/N1166,0)</f>
        <v/>
      </c>
      <c r="T1166" t="n">
        <v>0</v>
      </c>
      <c r="V1166" t="n">
        <v>0</v>
      </c>
    </row>
    <row r="1167">
      <c r="A1167">
        <f>Skills!A30</f>
        <v/>
      </c>
      <c r="B1167">
        <f>Skills!B30</f>
        <v/>
      </c>
      <c r="C1167">
        <f>Inputs!$B$3&gt;=45</f>
        <v/>
      </c>
      <c r="D1167">
        <f>IF(Skills!C30=1,60+Inputs!$B$25+Inputs!$B$29,IF(Skills!C30=2,90+Inputs!$B$26+Inputs!$B$29,IF(Skills!C30=3,120+Inputs!$B$27+Inputs!$B$29,MAX(0,(Inputs!$B$3-100)*3)+Inputs!$B$28+Inputs!$B$29)))</f>
        <v/>
      </c>
      <c r="E1167">
        <f>INDEX(FactorTable!$B$2:$Y$301, MATCH(ROUND(MIN(300,MAX(1,D1167)),0), FactorTable!$A$2:$A$301,0), Skills!M30+1)</f>
        <v/>
      </c>
      <c r="F1167">
        <f>IF(Skills!N30=TRUE,(Skills!L30/10)*(E1167/1000),Skills!L30/10)+Skills!O30</f>
        <v/>
      </c>
      <c r="G1167">
        <f>Skills!G30*IF(Skills!H30&gt;0,Skills!I30/Skills!H30,1)</f>
        <v/>
      </c>
      <c r="H1167">
        <f>1-(1-Skills!J30/100)^Skills!K30</f>
        <v/>
      </c>
      <c r="I1167" t="inlineStr">
        <is>
          <t>1</t>
        </is>
      </c>
      <c r="J1167" t="inlineStr"/>
      <c r="K1167" t="inlineStr"/>
      <c r="L1167" t="inlineStr"/>
      <c r="M1167" t="inlineStr"/>
      <c r="N1167" t="inlineStr"/>
      <c r="O1167">
        <f>(1-Summary!$B$55)*T1167+Summary!$B$55*V1167</f>
        <v/>
      </c>
      <c r="P1167">
        <f>IF(B1180=0,0,O1167/B1180)</f>
        <v/>
      </c>
      <c r="Q1167" t="n">
        <v>0</v>
      </c>
      <c r="R1167" t="n">
        <v>0</v>
      </c>
      <c r="S1167">
        <f>IFERROR(O1167/N1167,0)</f>
        <v/>
      </c>
      <c r="T1167" t="n">
        <v>0</v>
      </c>
      <c r="V1167" t="n">
        <v>0</v>
      </c>
    </row>
    <row r="1169">
      <c r="A1169" t="inlineStr">
        <is>
          <t>Attack% Bucket Multiplier</t>
        </is>
      </c>
      <c r="B1169">
        <f>(1+(((C1150=TRUE)*F1150)+((C1151=TRUE)*IF(Inputs!$B$38="pvp",F1151,(1-Summary!$B$55)*(F1151)+Summary!$B$55*(0)))+((C1152=TRUE)*F1152*IF(AND(Inputs!$B$38&lt;&gt;"pvp",Inputs!$B$43&gt;0),(((R1152-1)*(Skills!T15*(1+Inputs!$B$34/100))+MIN((Skills!T15*(1+Inputs!$B$34/100)),MAX(0,Inputs!$B$43-((R1152-1)*Skills!D15))))/Inputs!$B$43),IF(Inputs!$B$38="pvp",MIN((Skills!T15*(1+Inputs!$B$34/100)),15)/15,(Skills!T15*(1+Inputs!$B$34/100))/Skills!D15)))+((C1167=TRUE)*(F1167-Calc!F30)))/100)</f>
        <v/>
      </c>
    </row>
    <row r="1170">
      <c r="A1170" t="inlineStr">
        <is>
          <t>Global Crit Rate Bonus %</t>
        </is>
      </c>
      <c r="B1170">
        <f>(C1153=TRUE)*20*IF(AND(Inputs!$B$38&lt;&gt;"pvp",Inputs!$B$43&gt;0),(((R1153-1)*(Skills!T16*(1+Inputs!$B$34/100))+MIN((Skills!T16*(1+Inputs!$B$34/100)),MAX(0,Inputs!$B$43-((R1153-1)*Skills!D16))))/Inputs!$B$43),IF(Inputs!$B$38="pvp",MIN((Skills!T16*(1+Inputs!$B$34/100)),15)/15,(Skills!T16*(1+Inputs!$B$34/100))/Skills!D16))</f>
        <v/>
      </c>
    </row>
    <row r="1171">
      <c r="A1171" t="inlineStr">
        <is>
          <t>Attack Speed Buff Bonus %</t>
        </is>
      </c>
      <c r="B1171">
        <f>((C1156=TRUE)*F1156*IF(AND(Inputs!$B$38&lt;&gt;"pvp",Inputs!$B$43&gt;0),(((R1156-1)*(Skills!T19*(1+Inputs!$B$34/100))+MIN((Skills!T19*(1+Inputs!$B$34/100)),MAX(0,Inputs!$B$43-((R1156-1)*Skills!D19))))/Inputs!$B$43),IF(Inputs!$B$38="pvp",MIN((Skills!T19*(1+Inputs!$B$34/100)),15)/15,(Skills!T19*(1+Inputs!$B$34/100))/Skills!D19)))</f>
        <v/>
      </c>
    </row>
    <row r="1172">
      <c r="A1172" t="inlineStr">
        <is>
          <t>Actions Per Second</t>
        </is>
      </c>
      <c r="B1172">
        <f>1+MIN(150,150*(1-(1-(Inputs!$B$11+((C1158=TRUE)*(F1158-Calc!F21))+((C1159=TRUE)*(F1159-Calc!F22)))/150)*(1-B1171/150)))/100</f>
        <v/>
      </c>
    </row>
    <row r="1173">
      <c r="A1173" t="inlineStr">
        <is>
          <t>Skill + Buff Cast Rate</t>
        </is>
      </c>
      <c r="B1173">
        <f>IF(AND(Inputs!$B$38&lt;&gt;"pvp",Inputs!$B$43&gt;0),SUMPRODUCT((Skills!E2:E30=TRUE)*(C1139:C1167=TRUE)*R1139:R1167*Skills!F2:F30)/Inputs!$B$43,SUMPRODUCT((Skills!E2:E30=TRUE)*(C1139:C1167=TRUE)*Q1139:Q1167*Skills!F2:F30))</f>
        <v/>
      </c>
    </row>
    <row r="1174">
      <c r="A1174" t="inlineStr">
        <is>
          <t>Arrow Stream Casts Per Second</t>
        </is>
      </c>
      <c r="B1174">
        <f>MAX(0,B1172-B1173)</f>
        <v/>
      </c>
    </row>
    <row r="1175">
      <c r="A1175" t="inlineStr">
        <is>
          <t>Global Critical Damage Bonus % (Sharp Eyes + Concentration)</t>
        </is>
      </c>
      <c r="B1175">
        <f>(C1153=TRUE)*F1153*IF(AND(Inputs!$B$38&lt;&gt;"pvp",Inputs!$B$43&gt;0),(((R1153-1)*(Skills!T16*(1+Inputs!$B$34/100))+MIN((Skills!T16*(1+Inputs!$B$34/100)),MAX(0,Inputs!$B$43-((R1153-1)*Skills!D16))))/Inputs!$B$43),IF(Inputs!$B$38="pvp",MIN((Skills!T16*(1+Inputs!$B$34/100)),15)/15,(Skills!T16*(1+Inputs!$B$34/100))/Skills!D16))+(C1154=TRUE)*30</f>
        <v/>
      </c>
    </row>
    <row r="1176">
      <c r="A1176" t="inlineStr">
        <is>
          <t>Global Final Damage Bonus % (Mortal Blow)</t>
        </is>
      </c>
      <c r="B1176">
        <f>(C1155=TRUE)*F1155</f>
        <v/>
      </c>
    </row>
    <row r="1177">
      <c r="A1177" t="inlineStr">
        <is>
          <t>Buff-Casting Startup Delay (s, fixed-duration only)</t>
        </is>
      </c>
      <c r="B1177">
        <f>IF(AND(Inputs!$B$38&lt;&gt;"pvp",Inputs!$B$43&gt;0),SUMPRODUCT((Skills!T2:T30&gt;0)*(Skills!E2:E30=TRUE)*(C1139:C1167=TRUE))/B1172,0)</f>
        <v/>
      </c>
    </row>
    <row r="1178">
      <c r="A1178" t="inlineStr">
        <is>
          <t>Boss-Only Total DPS (this block's swept value)</t>
        </is>
      </c>
      <c r="B1178">
        <f>SUM(T1139:T1167)</f>
        <v/>
      </c>
    </row>
    <row r="1179">
      <c r="A1179" t="inlineStr">
        <is>
          <t>Normal-Only Total DPS (this block's swept value)</t>
        </is>
      </c>
      <c r="B1179">
        <f>SUM(V1139:V1167)</f>
        <v/>
      </c>
    </row>
    <row r="1180">
      <c r="A1180" s="5" t="inlineStr">
        <is>
          <t>TOTAL DPS</t>
        </is>
      </c>
      <c r="B1180" s="5">
        <f>SUM(O1139:O1167)</f>
        <v/>
      </c>
    </row>
    <row r="1183">
      <c r="A1183" s="5" t="inlineStr">
        <is>
          <t>Stat: Buff Duration Increase %</t>
        </is>
      </c>
    </row>
    <row r="1184">
      <c r="A1184" s="9" t="inlineStr">
        <is>
          <t>Key</t>
        </is>
      </c>
      <c r="B1184" s="9" t="inlineStr">
        <is>
          <t>Name</t>
        </is>
      </c>
      <c r="C1184" s="9" t="inlineStr">
        <is>
          <t>Unlocked</t>
        </is>
      </c>
      <c r="D1184" s="9" t="inlineStr">
        <is>
          <t>InputLevel</t>
        </is>
      </c>
      <c r="E1184" s="9" t="inlineStr">
        <is>
          <t>Factor</t>
        </is>
      </c>
      <c r="F1184" s="9" t="inlineStr">
        <is>
          <t>CoefficientPercent</t>
        </is>
      </c>
      <c r="G1184" s="9" t="inlineStr">
        <is>
          <t>EffectiveHits</t>
        </is>
      </c>
      <c r="H1184" s="9" t="inlineStr">
        <is>
          <t>ProcProbability</t>
        </is>
      </c>
      <c r="I1184" s="9" t="inlineStr">
        <is>
          <t>MapleHeroMultiplier</t>
        </is>
      </c>
      <c r="J1184" s="9" t="inlineStr">
        <is>
          <t>BaseDamage</t>
        </is>
      </c>
      <c r="K1184" s="9" t="inlineStr">
        <is>
          <t>BaseHitDamage</t>
        </is>
      </c>
      <c r="L1184" s="9" t="inlineStr">
        <is>
          <t>NonCritAvg</t>
        </is>
      </c>
      <c r="M1184" s="9" t="inlineStr">
        <is>
          <t>CritAvg</t>
        </is>
      </c>
      <c r="N1184" s="9" t="inlineStr">
        <is>
          <t>ExpectedDamage(perHit)</t>
        </is>
      </c>
      <c r="O1184" s="9" t="inlineStr">
        <is>
          <t>DPS</t>
        </is>
      </c>
      <c r="P1184" s="9" t="inlineStr">
        <is>
          <t>% of Total</t>
        </is>
      </c>
      <c r="Q1184" s="9" t="inlineStr">
        <is>
          <t>InvCooldown</t>
        </is>
      </c>
      <c r="R1184" s="9" t="inlineStr">
        <is>
          <t>CastsInFight</t>
        </is>
      </c>
      <c r="S1184" s="9" t="inlineStr">
        <is>
          <t>HitRate(perSec)</t>
        </is>
      </c>
      <c r="U1184" t="inlineStr">
        <is>
          <t>helpers</t>
        </is>
      </c>
    </row>
    <row r="1185">
      <c r="A1185">
        <f>Skills!A2</f>
        <v/>
      </c>
      <c r="B1185">
        <f>Skills!B2</f>
        <v/>
      </c>
      <c r="C1185">
        <f>Inputs!$B$3&gt;=100</f>
        <v/>
      </c>
      <c r="D1185" t="inlineStr"/>
      <c r="E1185" t="inlineStr"/>
      <c r="F1185">
        <f>U1187+Skills!O2</f>
        <v/>
      </c>
      <c r="G1185">
        <f>Skills!G2*IF(Skills!H2&gt;0,Skills!I2/Skills!H2,1)</f>
        <v/>
      </c>
      <c r="H1185">
        <f>1-(1-Skills!J2/100)^Skills!K2</f>
        <v/>
      </c>
      <c r="I1185" t="inlineStr">
        <is>
          <t>1</t>
        </is>
      </c>
      <c r="J1185">
        <f>((Inputs!$B$6*(1+Inputs!$B$7/100))+(((Inputs!$B$12*(1+Inputs!$B$13/100))-(Inputs!$B$12*(1+Inputs!$B$13/100)))+0.25*(Inputs!$B$14-Inputs!$B$14))*(1+Inputs!$B$7/100))*(F1185/100)</f>
        <v/>
      </c>
      <c r="K1185">
        <f>J1185*(1+((Inputs!$B$12*(1+Inputs!$B$13/100))*0.01+Inputs!$B$14*0.0025)/100)*(1+Inputs!$B$15/100)*(1+Inputs!$B$16/100)*(5000/(6000+Inputs!$B$42*(1-(Inputs!$B$19+((C1210=TRUE)*(F1210-Calc!F27)))/100)))*(1+(Inputs!$B$24+((C1208=TRUE)*(F1208-Calc!F25))+((C1209=TRUE)*(F1209-Calc!F26))+B1222)/100)*(1+(IF(Skills!A2="ARROW_STREAM",Inputs!$B$17+((C1206=TRUE)*(F1206-Calc!F23)),Inputs!$B$18+((C1211=TRUE)*(F1211-Calc!F28))))/100)*((1+(((C1196=TRUE)*F1196)+((C1197=TRUE)*IF(Inputs!$B$38="pvp",F1197,(1-Summary!$B$55)*(F1197)+Summary!$B$55*(0)))+((C1198=TRUE)*F1198*IF(AND(Inputs!$B$38&lt;&gt;"pvp",Inputs!$B$43&gt;0),(((R1198-1)*(Skills!T15*(1+(Inputs!$B$34+1)/100))+MIN((Skills!T15*(1+(Inputs!$B$34+1)/100)),MAX(0,Inputs!$B$43-((R1198-1)*Skills!D15))))/Inputs!$B$43),IF(Inputs!$B$38="pvp",MIN((Skills!T15*(1+(Inputs!$B$34+1)/100)),15)/15,(Skills!T15*(1+(Inputs!$B$34+1)/100))/Skills!D15)))+((C1213=TRUE)*(F1213-Calc!F30)))/100)*I1185)</f>
        <v/>
      </c>
      <c r="L1185">
        <f>K1185*(MIN(Inputs!$B$22+((C1207=TRUE)*(F1207-Calc!F24)),Inputs!$B$23+((C1212=TRUE)*(F1212-Calc!F29)))/100+(Inputs!$B$23+((C1212=TRUE)*(F1212-Calc!F29)))/100)/2</f>
        <v/>
      </c>
      <c r="M1185">
        <f>L1185*(1+(Inputs!$B$10+0+B1221)/100)</f>
        <v/>
      </c>
      <c r="N1185">
        <f>L1185*(1-MIN((Inputs!$B$9+((C1203=TRUE)*(F1203-Calc!F20))+B1216),100)/100)+M1185*(MIN((Inputs!$B$9+((C1203=TRUE)*(F1203-Calc!F20))+B1216),100)/100)</f>
        <v/>
      </c>
      <c r="O1185">
        <f>(1-Summary!$B$55)*T1185+Summary!$B$55*V1185</f>
        <v/>
      </c>
      <c r="P1185">
        <f>IF(B1226=0,0,O1185/B1226)</f>
        <v/>
      </c>
      <c r="Q1185" t="n">
        <v>0</v>
      </c>
      <c r="R1185" t="n">
        <v>0</v>
      </c>
      <c r="S1185">
        <f>IFERROR(O1185/N1185,0)</f>
        <v/>
      </c>
      <c r="T1185">
        <f>IF(C1185,(Skills!G2*N1185*B1220)*IF(Inputs!$B$38="pvp",1,1+(Inputs!$B$20+0+Skills!P2)/100),0)</f>
        <v/>
      </c>
      <c r="U1185">
        <f>MAX(0,(Inputs!$B$3-100)*3)+Inputs!$B$28+Inputs!$B$29</f>
        <v/>
      </c>
      <c r="V1185">
        <f>IF(C1185,(Skills!G2*N1185*B1220)*IF(Inputs!$B$38="pvp",1,(1+(Inputs!$B$21+Skills!Q2)/100)*(MIN((6+Inputs!$B$33),Inputs!$B$37))),0)</f>
        <v/>
      </c>
    </row>
    <row r="1186">
      <c r="A1186">
        <f>Skills!A3</f>
        <v/>
      </c>
      <c r="B1186">
        <f>Skills!B3</f>
        <v/>
      </c>
      <c r="C1186">
        <f>Inputs!$B$3&gt;=50</f>
        <v/>
      </c>
      <c r="D1186">
        <f>IF(Skills!C3=1,60+Inputs!$B$25+Inputs!$B$29,IF(Skills!C3=2,90+Inputs!$B$26+Inputs!$B$29,IF(Skills!C3=3,120+Inputs!$B$27+Inputs!$B$29,MAX(0,(Inputs!$B$3-100)*3)+Inputs!$B$28+Inputs!$B$29)))</f>
        <v/>
      </c>
      <c r="E1186">
        <f>INDEX(FactorTable!$B$2:$Y$301, MATCH(ROUND(MIN(300,MAX(1,D1186)),0), FactorTable!$A$2:$A$301,0), Skills!M3+1)</f>
        <v/>
      </c>
      <c r="F1186">
        <f>IF(Skills!N3=TRUE,(Skills!L3/10)*(E1186/1000),Skills!L3/10)+Skills!O3</f>
        <v/>
      </c>
      <c r="G1186" t="inlineStr"/>
      <c r="H1186" t="inlineStr"/>
      <c r="I1186" t="inlineStr">
        <is>
          <t>1</t>
        </is>
      </c>
      <c r="J1186" t="inlineStr"/>
      <c r="K1186" t="inlineStr"/>
      <c r="L1186" t="inlineStr"/>
      <c r="M1186" t="inlineStr"/>
      <c r="N1186" t="inlineStr"/>
      <c r="O1186" t="inlineStr"/>
      <c r="P1186" t="inlineStr"/>
      <c r="Q1186" t="inlineStr"/>
      <c r="R1186" t="inlineStr"/>
      <c r="S1186" t="inlineStr"/>
      <c r="T1186" t="inlineStr"/>
      <c r="U1186">
        <f>INDEX(FactorTable!$B$2:$Y$301, MATCH(ROUND(MIN(300,MAX(1,U1185)),0), FactorTable!$A$2:$A$301,0), 22)</f>
        <v/>
      </c>
      <c r="V1186" t="inlineStr"/>
    </row>
    <row r="1187">
      <c r="A1187">
        <f>Skills!A4</f>
        <v/>
      </c>
      <c r="B1187">
        <f>Skills!B4</f>
        <v/>
      </c>
      <c r="C1187">
        <f>Inputs!$B$3&gt;=105</f>
        <v/>
      </c>
      <c r="D1187">
        <f>IF(Skills!C4=1,60+Inputs!$B$25+Inputs!$B$29,IF(Skills!C4=2,90+Inputs!$B$26+Inputs!$B$29,IF(Skills!C4=3,120+Inputs!$B$27+Inputs!$B$29,MAX(0,(Inputs!$B$3-100)*3)+Inputs!$B$28+Inputs!$B$29)))</f>
        <v/>
      </c>
      <c r="E1187">
        <f>INDEX(FactorTable!$B$2:$Y$301, MATCH(ROUND(MIN(300,MAX(1,D1187)),0), FactorTable!$A$2:$A$301,0), Skills!M4+1)</f>
        <v/>
      </c>
      <c r="F1187">
        <f>IF(Skills!N4=TRUE,(Skills!L4/10)*(E1187/1000),Skills!L4/10)+Skills!O4</f>
        <v/>
      </c>
      <c r="G1187" t="inlineStr"/>
      <c r="H1187" t="inlineStr"/>
      <c r="I1187" t="inlineStr">
        <is>
          <t>1</t>
        </is>
      </c>
      <c r="J1187" t="inlineStr"/>
      <c r="K1187" t="inlineStr"/>
      <c r="L1187" t="inlineStr"/>
      <c r="M1187" t="inlineStr"/>
      <c r="N1187" t="inlineStr"/>
      <c r="O1187" t="inlineStr"/>
      <c r="P1187" t="inlineStr"/>
      <c r="Q1187" t="inlineStr"/>
      <c r="R1187" t="inlineStr"/>
      <c r="S1187" t="inlineStr"/>
      <c r="T1187" t="inlineStr"/>
      <c r="U1187">
        <f>290*U1186/1000</f>
        <v/>
      </c>
      <c r="V1187" t="inlineStr"/>
    </row>
    <row r="1188">
      <c r="A1188">
        <f>Skills!A5</f>
        <v/>
      </c>
      <c r="B1188">
        <f>Skills!B5</f>
        <v/>
      </c>
      <c r="C1188">
        <f>Inputs!$B$3&gt;=35</f>
        <v/>
      </c>
      <c r="D1188">
        <f>IF(Skills!C5=1,60+Inputs!$B$25+Inputs!$B$29,IF(Skills!C5=2,90+Inputs!$B$26+Inputs!$B$29,IF(Skills!C5=3,120+Inputs!$B$27+Inputs!$B$29,MAX(0,(Inputs!$B$3-100)*3)+Inputs!$B$28+Inputs!$B$29)))</f>
        <v/>
      </c>
      <c r="E1188">
        <f>INDEX(FactorTable!$B$2:$Y$301, MATCH(ROUND(MIN(300,MAX(1,D1188)),0), FactorTable!$A$2:$A$301,0), Skills!M5+1)</f>
        <v/>
      </c>
      <c r="F1188">
        <f>IF(Skills!N5=TRUE,(Skills!L5/10)*(E1188/1000),Skills!L5/10)+Skills!O5</f>
        <v/>
      </c>
      <c r="G1188">
        <f>Skills!G5*IF(Skills!H5&gt;0,Skills!I5/Skills!H5,1)</f>
        <v/>
      </c>
      <c r="H1188">
        <f>1-(1-Skills!J5/100)^Skills!K5</f>
        <v/>
      </c>
      <c r="I1188" t="inlineStr">
        <is>
          <t>1</t>
        </is>
      </c>
      <c r="J1188">
        <f>((Inputs!$B$6*(1+Inputs!$B$7/100))+(((Inputs!$B$12*(1+Inputs!$B$13/100))-(Inputs!$B$12*(1+Inputs!$B$13/100)))+0.25*(Inputs!$B$14-Inputs!$B$14))*(1+Inputs!$B$7/100))*(F1188/100)</f>
        <v/>
      </c>
      <c r="K1188">
        <f>J1188*(1+((Inputs!$B$12*(1+Inputs!$B$13/100))*0.01+Inputs!$B$14*0.0025)/100)*(1+Inputs!$B$15/100)*(1+Inputs!$B$16/100)*(5000/(6000+Inputs!$B$42*(1-(Inputs!$B$19+((C1210=TRUE)*(F1210-Calc!F27)))/100)))*(1+(Inputs!$B$24+((C1208=TRUE)*(F1208-Calc!F25))+((C1209=TRUE)*(F1209-Calc!F26))+B1222)/100)*(1+4.0*IF(C1193=TRUE,F1193,0)/100)*(1+(IF(Skills!A5="ARROW_STREAM",Inputs!$B$17+((C1206=TRUE)*(F1206-Calc!F23)),Inputs!$B$18+((C1211=TRUE)*(F1211-Calc!F28))))/100)*((1+(((C1196=TRUE)*F1196)+((C1197=TRUE)*IF(Inputs!$B$38="pvp",F1197,(1-Summary!$B$55)*(F1197)+Summary!$B$55*(0)))+((C1198=TRUE)*F1198*IF(AND(Inputs!$B$38&lt;&gt;"pvp",Inputs!$B$43&gt;0),(((R1198-1)*(Skills!T15*(1+(Inputs!$B$34+1)/100))+MIN((Skills!T15*(1+(Inputs!$B$34+1)/100)),MAX(0,Inputs!$B$43-((R1198-1)*Skills!D15))))/Inputs!$B$43),IF(Inputs!$B$38="pvp",MIN((Skills!T15*(1+(Inputs!$B$34+1)/100)),15)/15,(Skills!T15*(1+(Inputs!$B$34+1)/100))/Skills!D15)))+((C1213=TRUE)*(F1213-Calc!F30)))/100)*I1188)</f>
        <v/>
      </c>
      <c r="L1188">
        <f>K1188*(MIN(Inputs!$B$22+((C1207=TRUE)*(F1207-Calc!F24)),Inputs!$B$23+((C1212=TRUE)*(F1212-Calc!F29)))/100+(Inputs!$B$23+((C1212=TRUE)*(F1212-Calc!F29)))/100)/2</f>
        <v/>
      </c>
      <c r="M1188">
        <f>L1188*(1+(Inputs!$B$10+0+B1221)/100)</f>
        <v/>
      </c>
      <c r="N1188">
        <f>L1188*(1-MIN((Inputs!$B$9+((C1203=TRUE)*(F1203-Calc!F20))+B1216),100)/100)+M1188*(MIN((Inputs!$B$9+((C1203=TRUE)*(F1203-Calc!F20))+B1216),100)/100)</f>
        <v/>
      </c>
      <c r="O1188">
        <f>(1-Summary!$B$55)*T1188+Summary!$B$55*V1188</f>
        <v/>
      </c>
      <c r="P1188">
        <f>IF(B1226=0,0,O1188/B1226)</f>
        <v/>
      </c>
      <c r="Q1188">
        <f>IFERROR(1/IF(Inputs!$B$38="pvp",15,MAX(0.1,Skills!D5-IF(Skills!E5=TRUE,Inputs!$B$32,0))),0)</f>
        <v/>
      </c>
      <c r="R1188">
        <f>IF(AND(Inputs!$B$38&lt;&gt;"pvp",Inputs!$B$43&gt;0),IF(MAX(0,Inputs!$B$43-B1223)&lt;=0,0,(INT(MAX(0,Inputs!$B$43-B1223)/IF(Inputs!$B$38="pvp",15,MAX(0.1,Skills!D5-IF(Skills!E5=TRUE,Inputs!$B$32,0))))+1)),0)</f>
        <v/>
      </c>
      <c r="S1188">
        <f>IFERROR(O1188/N1188,0)</f>
        <v/>
      </c>
      <c r="T1188">
        <f>IF(C1188,(H1188*N1188*IF(AND(Inputs!$B$38&lt;&gt;"pvp",Inputs!$B$43&gt;0),((Skills!G5*((R1188-1)*IF(Skills!H5&gt;0,Skills!I5/Skills!H5,1)+IF(Skills!H5&gt;0,MIN(Skills!I5,MAX(0,MAX(0,Inputs!$B$43-B1223)-((R1188-1)*IF(Inputs!$B$38="pvp",15,MAX(0.1,Skills!D5-IF(Skills!E5=TRUE,Inputs!$B$32,0))))))/Skills!H5,1)))/Inputs!$B$43),G1188*Q1188))*IF(Inputs!$B$38="pvp",1,1+(Inputs!$B$20+0+Skills!P5)/100),0)</f>
        <v/>
      </c>
      <c r="V1188">
        <f>IF(C1188,(H1188*N1188*IF(AND(Inputs!$B$38&lt;&gt;"pvp",Inputs!$B$43&gt;0),((Skills!G5*((R1188-1)*IF(Skills!H5&gt;0,Skills!I5/Skills!H5,1)+IF(Skills!H5&gt;0,MIN(Skills!I5,MAX(0,MAX(0,Inputs!$B$43-B1223)-((R1188-1)*IF(Inputs!$B$38="pvp",15,MAX(0.1,Skills!D5-IF(Skills!E5=TRUE,Inputs!$B$32,0))))))/Skills!H5,1)))/Inputs!$B$43),G1188*Q1188))*IF(Inputs!$B$38="pvp",1,(1+(Inputs!$B$21+Skills!Q5)/100)*(MIN(Skills!R5,Inputs!$B$37))),0)</f>
        <v/>
      </c>
    </row>
    <row r="1189">
      <c r="A1189">
        <f>Skills!A6</f>
        <v/>
      </c>
      <c r="B1189">
        <f>Skills!B6</f>
        <v/>
      </c>
      <c r="C1189">
        <f>Inputs!$B$3&gt;=40</f>
        <v/>
      </c>
      <c r="D1189">
        <f>IF(Skills!C6=1,60+Inputs!$B$25+Inputs!$B$29,IF(Skills!C6=2,90+Inputs!$B$26+Inputs!$B$29,IF(Skills!C6=3,120+Inputs!$B$27+Inputs!$B$29,MAX(0,(Inputs!$B$3-100)*3)+Inputs!$B$28+Inputs!$B$29)))</f>
        <v/>
      </c>
      <c r="E1189">
        <f>INDEX(FactorTable!$B$2:$Y$301, MATCH(ROUND(MIN(300,MAX(1,D1189)),0), FactorTable!$A$2:$A$301,0), Skills!M6+1)</f>
        <v/>
      </c>
      <c r="F1189">
        <f>IF(Skills!N6=TRUE,(Skills!L6/10)*(E1189/1000),Skills!L6/10)+Skills!O6</f>
        <v/>
      </c>
      <c r="G1189">
        <f>Skills!G6*IF(Skills!H6&gt;0,Skills!I6/Skills!H6,1)</f>
        <v/>
      </c>
      <c r="H1189">
        <f>1-(1-Skills!J6/100)^Skills!K6</f>
        <v/>
      </c>
      <c r="I1189" t="inlineStr">
        <is>
          <t>1</t>
        </is>
      </c>
      <c r="J1189">
        <f>((Inputs!$B$6*(1+Inputs!$B$7/100))+(((Inputs!$B$12*(1+Inputs!$B$13/100))-(Inputs!$B$12*(1+Inputs!$B$13/100)))+0.25*(Inputs!$B$14-Inputs!$B$14))*(1+Inputs!$B$7/100))*(F1189/100)</f>
        <v/>
      </c>
      <c r="K1189">
        <f>J1189*(1+((Inputs!$B$12*(1+Inputs!$B$13/100))*0.01+Inputs!$B$14*0.0025)/100)*(1+Inputs!$B$15/100)*(1+Inputs!$B$16/100)*(5000/(6000+Inputs!$B$42*(1-(Inputs!$B$19+((C1210=TRUE)*(F1210-Calc!F27)))/100)))*(1+(Inputs!$B$24+((C1208=TRUE)*(F1208-Calc!F25))+((C1209=TRUE)*(F1209-Calc!F26))+B1222)/100)*(1+IF(C1190=TRUE,F1190,0)/100)*(1+(IF(Skills!A6="ARROW_STREAM",Inputs!$B$17+((C1206=TRUE)*(F1206-Calc!F23)),Inputs!$B$18+((C1211=TRUE)*(F1211-Calc!F28))))/100)*((1+(((C1196=TRUE)*F1196)+((C1197=TRUE)*IF(Inputs!$B$38="pvp",F1197,(1-Summary!$B$55)*(F1197)+Summary!$B$55*(0)))+((C1198=TRUE)*F1198*IF(AND(Inputs!$B$38&lt;&gt;"pvp",Inputs!$B$43&gt;0),(((R1198-1)*(Skills!T15*(1+(Inputs!$B$34+1)/100))+MIN((Skills!T15*(1+(Inputs!$B$34+1)/100)),MAX(0,Inputs!$B$43-((R1198-1)*Skills!D15))))/Inputs!$B$43),IF(Inputs!$B$38="pvp",MIN((Skills!T15*(1+(Inputs!$B$34+1)/100)),15)/15,(Skills!T15*(1+(Inputs!$B$34+1)/100))/Skills!D15)))+((C1213=TRUE)*(F1213-Calc!F30)))/100)*I1189)</f>
        <v/>
      </c>
      <c r="L1189">
        <f>K1189*(MIN(Inputs!$B$22+((C1207=TRUE)*(F1207-Calc!F24)),Inputs!$B$23+((C1212=TRUE)*(F1212-Calc!F29)))/100+(Inputs!$B$23+((C1212=TRUE)*(F1212-Calc!F29)))/100)/2</f>
        <v/>
      </c>
      <c r="M1189">
        <f>L1189*(1+(Inputs!$B$10+0+B1221)/100)</f>
        <v/>
      </c>
      <c r="N1189">
        <f>L1189*(1-MIN((Inputs!$B$9+((C1203=TRUE)*(F1203-Calc!F20))+B1216),100)/100)+M1189*(MIN((Inputs!$B$9+((C1203=TRUE)*(F1203-Calc!F20))+B1216),100)/100)</f>
        <v/>
      </c>
      <c r="O1189">
        <f>(1-Summary!$B$55)*T1189+Summary!$B$55*V1189</f>
        <v/>
      </c>
      <c r="P1189">
        <f>IF(B1226=0,0,O1189/B1226)</f>
        <v/>
      </c>
      <c r="Q1189">
        <f>IFERROR(1/IF(Inputs!$B$38="pvp",15,MAX(0.1,Skills!D6-IF(Skills!E6=TRUE,Inputs!$B$32,0))),0)</f>
        <v/>
      </c>
      <c r="R1189">
        <f>IF(AND(Inputs!$B$38&lt;&gt;"pvp",Inputs!$B$43&gt;0),IF(MAX(0,Inputs!$B$43-B1223)&lt;=0,0,(INT(MAX(0,Inputs!$B$43-B1223)/IF(Inputs!$B$38="pvp",15,MAX(0.1,Skills!D6-IF(Skills!E6=TRUE,Inputs!$B$32,0))))+1)),0)</f>
        <v/>
      </c>
      <c r="S1189">
        <f>IFERROR(O1189/N1189,0)</f>
        <v/>
      </c>
      <c r="T1189">
        <f>IF(C1189,(H1189*N1189*IF(AND(Inputs!$B$38&lt;&gt;"pvp",Inputs!$B$43&gt;0),((Skills!G6*((R1189-1)*IF(Skills!H6&gt;0,Skills!I6/Skills!H6,1)+IF(Skills!H6&gt;0,MIN(Skills!I6,MAX(0,MAX(0,Inputs!$B$43-B1223)-((R1189-1)*IF(Inputs!$B$38="pvp",15,MAX(0.1,Skills!D6-IF(Skills!E6=TRUE,Inputs!$B$32,0))))))/Skills!H6,1)))/Inputs!$B$43),G1189*Q1189))*IF(Inputs!$B$38="pvp",1,1+(Inputs!$B$20+0+Skills!P6)/100),0)</f>
        <v/>
      </c>
      <c r="V1189">
        <f>IF(C1189,(H1189*N1189*IF(AND(Inputs!$B$38&lt;&gt;"pvp",Inputs!$B$43&gt;0),((Skills!G6*((R1189-1)*IF(Skills!H6&gt;0,Skills!I6/Skills!H6,1)+IF(Skills!H6&gt;0,MIN(Skills!I6,MAX(0,MAX(0,Inputs!$B$43-B1223)-((R1189-1)*IF(Inputs!$B$38="pvp",15,MAX(0.1,Skills!D6-IF(Skills!E6=TRUE,Inputs!$B$32,0))))))/Skills!H6,1)))/Inputs!$B$43),G1189*Q1189))*IF(Inputs!$B$38="pvp",1,(1+(Inputs!$B$21+Skills!Q6)/100)*(MIN(Skills!R6,Inputs!$B$37))),0)</f>
        <v/>
      </c>
    </row>
    <row r="1190">
      <c r="A1190">
        <f>Skills!A7</f>
        <v/>
      </c>
      <c r="B1190">
        <f>Skills!B7</f>
        <v/>
      </c>
      <c r="C1190">
        <f>Inputs!$B$3&gt;=107</f>
        <v/>
      </c>
      <c r="D1190">
        <f>IF(Skills!C7=1,60+Inputs!$B$25+Inputs!$B$29,IF(Skills!C7=2,90+Inputs!$B$26+Inputs!$B$29,IF(Skills!C7=3,120+Inputs!$B$27+Inputs!$B$29,MAX(0,(Inputs!$B$3-100)*3)+Inputs!$B$28+Inputs!$B$29)))</f>
        <v/>
      </c>
      <c r="E1190">
        <f>INDEX(FactorTable!$B$2:$Y$301, MATCH(ROUND(MIN(300,MAX(1,D1190)),0), FactorTable!$A$2:$A$301,0), Skills!M7+1)</f>
        <v/>
      </c>
      <c r="F1190">
        <f>IF(Skills!N7=TRUE,(Skills!L7/10)*(E1190/1000),Skills!L7/10)+Skills!O7</f>
        <v/>
      </c>
      <c r="G1190" t="inlineStr"/>
      <c r="H1190" t="inlineStr"/>
      <c r="I1190" t="inlineStr">
        <is>
          <t>1</t>
        </is>
      </c>
      <c r="J1190" t="inlineStr"/>
      <c r="K1190" t="inlineStr"/>
      <c r="L1190" t="inlineStr"/>
      <c r="M1190" t="inlineStr"/>
      <c r="N1190" t="inlineStr"/>
      <c r="O1190" t="inlineStr"/>
      <c r="P1190" t="inlineStr"/>
      <c r="Q1190" t="inlineStr"/>
      <c r="R1190" t="inlineStr"/>
      <c r="S1190" t="inlineStr"/>
      <c r="T1190" t="inlineStr"/>
      <c r="V1190" t="inlineStr"/>
    </row>
    <row r="1191">
      <c r="A1191">
        <f>Skills!A8</f>
        <v/>
      </c>
      <c r="B1191">
        <f>Skills!B8</f>
        <v/>
      </c>
      <c r="C1191">
        <f>Inputs!$B$3&gt;=69</f>
        <v/>
      </c>
      <c r="D1191">
        <f>IF(Skills!C8=1,60+Inputs!$B$25+Inputs!$B$29,IF(Skills!C8=2,90+Inputs!$B$26+Inputs!$B$29,IF(Skills!C8=3,120+Inputs!$B$27+Inputs!$B$29,MAX(0,(Inputs!$B$3-100)*3)+Inputs!$B$28+Inputs!$B$29)))</f>
        <v/>
      </c>
      <c r="E1191">
        <f>INDEX(FactorTable!$B$2:$Y$301, MATCH(ROUND(MIN(300,MAX(1,D1191)),0), FactorTable!$A$2:$A$301,0), Skills!M8+1)</f>
        <v/>
      </c>
      <c r="F1191">
        <f>IF(Skills!N8=TRUE,(Skills!L8/10)*(E1191/1000),Skills!L8/10)+Skills!O8</f>
        <v/>
      </c>
      <c r="G1191">
        <f>Skills!G8*IF(Skills!H8&gt;0,Skills!I8/Skills!H8,1)</f>
        <v/>
      </c>
      <c r="H1191">
        <f>1-(1-Skills!J8/100)^Skills!K8</f>
        <v/>
      </c>
      <c r="I1191" t="inlineStr">
        <is>
          <t>1</t>
        </is>
      </c>
      <c r="J1191">
        <f>((Inputs!$B$6*(1+Inputs!$B$7/100))+(((Inputs!$B$12*(1+Inputs!$B$13/100))-(Inputs!$B$12*(1+Inputs!$B$13/100)))+0.25*(Inputs!$B$14-Inputs!$B$14))*(1+Inputs!$B$7/100))*(F1191/100)</f>
        <v/>
      </c>
      <c r="K1191">
        <f>J1191*(1+((Inputs!$B$12*(1+Inputs!$B$13/100))*0.01+Inputs!$B$14*0.0025)/100)*(1+Inputs!$B$15/100)*(1+Inputs!$B$16/100)*(5000/(6000+Inputs!$B$42*(1-(Inputs!$B$19+((C1210=TRUE)*(F1210-Calc!F27)))/100)))*(1+(Inputs!$B$24+((C1208=TRUE)*(F1208-Calc!F25))+((C1209=TRUE)*(F1209-Calc!F26))+B1222)/100)*(1+1.2*IF(C1193=TRUE,F1193,0)/100)*(1+(IF(Skills!A8="ARROW_STREAM",Inputs!$B$17+((C1206=TRUE)*(F1206-Calc!F23)),Inputs!$B$18+((C1211=TRUE)*(F1211-Calc!F28))))/100)*((1+(((C1196=TRUE)*F1196)+((C1197=TRUE)*IF(Inputs!$B$38="pvp",F1197,(1-Summary!$B$55)*(F1197)+Summary!$B$55*(0)))+((C1198=TRUE)*F1198*IF(AND(Inputs!$B$38&lt;&gt;"pvp",Inputs!$B$43&gt;0),(((R1198-1)*(Skills!T15*(1+(Inputs!$B$34+1)/100))+MIN((Skills!T15*(1+(Inputs!$B$34+1)/100)),MAX(0,Inputs!$B$43-((R1198-1)*Skills!D15))))/Inputs!$B$43),IF(Inputs!$B$38="pvp",MIN((Skills!T15*(1+(Inputs!$B$34+1)/100)),15)/15,(Skills!T15*(1+(Inputs!$B$34+1)/100))/Skills!D15)))+((C1213=TRUE)*(F1213-Calc!F30)))/100)*I1191)</f>
        <v/>
      </c>
      <c r="L1191">
        <f>K1191*(MIN(Inputs!$B$22+((C1207=TRUE)*(F1207-Calc!F24)),Inputs!$B$23+((C1212=TRUE)*(F1212-Calc!F29)))/100+(Inputs!$B$23+((C1212=TRUE)*(F1212-Calc!F29)))/100)/2</f>
        <v/>
      </c>
      <c r="M1191">
        <f>L1191*(1+(Inputs!$B$10+0+B1221)/100)</f>
        <v/>
      </c>
      <c r="N1191">
        <f>L1191*(1-MIN((Inputs!$B$9+((C1203=TRUE)*(F1203-Calc!F20))+B1216),100)/100)+M1191*(MIN((Inputs!$B$9+((C1203=TRUE)*(F1203-Calc!F20))+B1216),100)/100)</f>
        <v/>
      </c>
      <c r="O1191">
        <f>(1-Summary!$B$55)*T1191+Summary!$B$55*V1191</f>
        <v/>
      </c>
      <c r="P1191">
        <f>IF(B1226=0,0,O1191/B1226)</f>
        <v/>
      </c>
      <c r="Q1191">
        <f>IFERROR(1/IF(Inputs!$B$38="pvp",15,MAX(0.1,Skills!D8-IF(Skills!E8=TRUE,Inputs!$B$32,0))),0)</f>
        <v/>
      </c>
      <c r="R1191">
        <f>IF(AND(Inputs!$B$38&lt;&gt;"pvp",Inputs!$B$43&gt;0),IF(MAX(0,Inputs!$B$43-B1223)&lt;=0,0,(INT(MAX(0,Inputs!$B$43-B1223)/IF(Inputs!$B$38="pvp",15,MAX(0.1,Skills!D8-IF(Skills!E8=TRUE,Inputs!$B$32,0))))+1)),0)</f>
        <v/>
      </c>
      <c r="S1191">
        <f>IFERROR(O1191/N1191,0)</f>
        <v/>
      </c>
      <c r="T1191">
        <f>IF(C1191,(H1191*N1191*IF(AND(Inputs!$B$38&lt;&gt;"pvp",Inputs!$B$43&gt;0),((Skills!G8*((R1191-1)*IF(Skills!H8&gt;0,Skills!I8/Skills!H8,1)+IF(Skills!H8&gt;0,MIN(Skills!I8,MAX(0,MAX(0,Inputs!$B$43-B1223)-((R1191-1)*IF(Inputs!$B$38="pvp",15,MAX(0.1,Skills!D8-IF(Skills!E8=TRUE,Inputs!$B$32,0))))))/Skills!H8,1)))/Inputs!$B$43),G1191*Q1191))*IF(Inputs!$B$38="pvp",1,1+(Inputs!$B$20+0+Skills!P8)/100),0)</f>
        <v/>
      </c>
      <c r="V1191">
        <f>IF(C1191,(H1191*N1191*IF(AND(Inputs!$B$38&lt;&gt;"pvp",Inputs!$B$43&gt;0),((Skills!G8*((R1191-1)*IF(Skills!H8&gt;0,Skills!I8/Skills!H8,1)+IF(Skills!H8&gt;0,MIN(Skills!I8,MAX(0,MAX(0,Inputs!$B$43-B1223)-((R1191-1)*IF(Inputs!$B$38="pvp",15,MAX(0.1,Skills!D8-IF(Skills!E8=TRUE,Inputs!$B$32,0))))))/Skills!H8,1)))/Inputs!$B$43),G1191*Q1191))*IF(Inputs!$B$38="pvp",1,(1+(Inputs!$B$21+Skills!Q8)/100)*(MIN(Skills!R8,Inputs!$B$37))),0)</f>
        <v/>
      </c>
    </row>
    <row r="1192">
      <c r="A1192">
        <f>Skills!A9</f>
        <v/>
      </c>
      <c r="B1192">
        <f>Skills!B9</f>
        <v/>
      </c>
      <c r="C1192">
        <f>Inputs!$B$3&gt;=63</f>
        <v/>
      </c>
      <c r="D1192">
        <f>IF(Skills!C9=1,60+Inputs!$B$25+Inputs!$B$29,IF(Skills!C9=2,90+Inputs!$B$26+Inputs!$B$29,IF(Skills!C9=3,120+Inputs!$B$27+Inputs!$B$29,MAX(0,(Inputs!$B$3-100)*3)+Inputs!$B$28+Inputs!$B$29)))</f>
        <v/>
      </c>
      <c r="E1192">
        <f>INDEX(FactorTable!$B$2:$Y$301, MATCH(ROUND(MIN(300,MAX(1,D1192)),0), FactorTable!$A$2:$A$301,0), Skills!M9+1)</f>
        <v/>
      </c>
      <c r="F1192">
        <f>IF(Skills!N9=TRUE,(Skills!L9/10)*(E1192/1000),Skills!L9/10)+Skills!O9</f>
        <v/>
      </c>
      <c r="G1192">
        <f>Skills!G9*IF(Skills!H9&gt;0,Skills!I9/Skills!H9,1)</f>
        <v/>
      </c>
      <c r="H1192">
        <f>1-(1-Skills!J9/100)^Skills!K9</f>
        <v/>
      </c>
      <c r="I1192" t="inlineStr">
        <is>
          <t>1</t>
        </is>
      </c>
      <c r="J1192">
        <f>((Inputs!$B$6*(1+Inputs!$B$7/100))+(((Inputs!$B$12*(1+Inputs!$B$13/100))-(Inputs!$B$12*(1+Inputs!$B$13/100)))+0.25*(Inputs!$B$14-Inputs!$B$14))*(1+Inputs!$B$7/100))*(F1192/100)</f>
        <v/>
      </c>
      <c r="K1192">
        <f>J1192*(1+((Inputs!$B$12*(1+Inputs!$B$13/100))*0.01+Inputs!$B$14*0.0025)/100)*(1+Inputs!$B$15/100)*(1+Inputs!$B$16/100)*(5000/(6000+Inputs!$B$42*(1-(Inputs!$B$19+((C1210=TRUE)*(F1210-Calc!F27)))/100)))*(1+(Inputs!$B$24+((C1208=TRUE)*(F1208-Calc!F25))+((C1209=TRUE)*(F1209-Calc!F26))+B1222)/100)*(1+1.0*IF(C1193=TRUE,F1193,0)/100)*(1+(IF(Skills!A9="ARROW_STREAM",Inputs!$B$17+((C1206=TRUE)*(F1206-Calc!F23)),Inputs!$B$18+((C1211=TRUE)*(F1211-Calc!F28))))/100)*((1+(((C1196=TRUE)*F1196)+((C1197=TRUE)*IF(Inputs!$B$38="pvp",F1197,(1-Summary!$B$55)*(F1197)+Summary!$B$55*(0)))+((C1198=TRUE)*F1198*IF(AND(Inputs!$B$38&lt;&gt;"pvp",Inputs!$B$43&gt;0),(((R1198-1)*(Skills!T15*(1+(Inputs!$B$34+1)/100))+MIN((Skills!T15*(1+(Inputs!$B$34+1)/100)),MAX(0,Inputs!$B$43-((R1198-1)*Skills!D15))))/Inputs!$B$43),IF(Inputs!$B$38="pvp",MIN((Skills!T15*(1+(Inputs!$B$34+1)/100)),15)/15,(Skills!T15*(1+(Inputs!$B$34+1)/100))/Skills!D15)))+((C1213=TRUE)*(F1213-Calc!F30)))/100)*I1192)</f>
        <v/>
      </c>
      <c r="L1192">
        <f>K1192*(MIN(Inputs!$B$22+((C1207=TRUE)*(F1207-Calc!F24)),Inputs!$B$23+((C1212=TRUE)*(F1212-Calc!F29)))/100+(Inputs!$B$23+((C1212=TRUE)*(F1212-Calc!F29)))/100)/2</f>
        <v/>
      </c>
      <c r="M1192">
        <f>L1192*(1+(Inputs!$B$10+0+B1221)/100)</f>
        <v/>
      </c>
      <c r="N1192">
        <f>L1192*(1-MIN((Inputs!$B$9+((C1203=TRUE)*(F1203-Calc!F20))+B1216),100)/100)+M1192*(MIN((Inputs!$B$9+((C1203=TRUE)*(F1203-Calc!F20))+B1216),100)/100)</f>
        <v/>
      </c>
      <c r="O1192">
        <f>(1-Summary!$B$55)*T1192+Summary!$B$55*V1192</f>
        <v/>
      </c>
      <c r="P1192">
        <f>IF(B1226=0,0,O1192/B1226)</f>
        <v/>
      </c>
      <c r="Q1192">
        <f>IFERROR(1/IF(Inputs!$B$38="pvp",15,MAX(0.1,Skills!D9-IF(Skills!E9=TRUE,Inputs!$B$32,0))),0)</f>
        <v/>
      </c>
      <c r="R1192">
        <f>IF(AND(Inputs!$B$38&lt;&gt;"pvp",Inputs!$B$43&gt;0),IF(MAX(0,Inputs!$B$43-B1223)&lt;=0,0,(INT(MAX(0,Inputs!$B$43-B1223)/IF(Inputs!$B$38="pvp",15,MAX(0.1,Skills!D9-IF(Skills!E9=TRUE,Inputs!$B$32,0))))+1)),0)</f>
        <v/>
      </c>
      <c r="S1192">
        <f>IFERROR(O1192/N1192,0)</f>
        <v/>
      </c>
      <c r="T1192">
        <f>IF(C1192,(H1192*N1192*IF(AND(Inputs!$B$38&lt;&gt;"pvp",Inputs!$B$43&gt;0),((Skills!G9*((R1192-1)*IF(Skills!H9&gt;0,Skills!I9/Skills!H9,1)+IF(Skills!H9&gt;0,MIN(Skills!I9,MAX(0,MAX(0,Inputs!$B$43-B1223)-((R1192-1)*IF(Inputs!$B$38="pvp",15,MAX(0.1,Skills!D9-IF(Skills!E9=TRUE,Inputs!$B$32,0))))))/Skills!H9,1)))/Inputs!$B$43),G1192*Q1192))*IF(Inputs!$B$38="pvp",1,1+(Inputs!$B$20+0+Skills!P9)/100),0)</f>
        <v/>
      </c>
      <c r="V1192">
        <f>IF(C1192,(H1192*N1192*IF(AND(Inputs!$B$38&lt;&gt;"pvp",Inputs!$B$43&gt;0),((Skills!G9*((R1192-1)*IF(Skills!H9&gt;0,Skills!I9/Skills!H9,1)+IF(Skills!H9&gt;0,MIN(Skills!I9,MAX(0,MAX(0,Inputs!$B$43-B1223)-((R1192-1)*IF(Inputs!$B$38="pvp",15,MAX(0.1,Skills!D9-IF(Skills!E9=TRUE,Inputs!$B$32,0))))))/Skills!H9,1)))/Inputs!$B$43),G1192*Q1192))*IF(Inputs!$B$38="pvp",1,(1+(Inputs!$B$21+Skills!Q9)/100)*(MIN(Skills!R9,Inputs!$B$37))),0)</f>
        <v/>
      </c>
    </row>
    <row r="1193">
      <c r="A1193">
        <f>Skills!A10</f>
        <v/>
      </c>
      <c r="B1193">
        <f>Skills!B10</f>
        <v/>
      </c>
      <c r="C1193">
        <f>Inputs!$B$3&gt;=100</f>
        <v/>
      </c>
      <c r="D1193">
        <f>IF(Skills!C10=1,60+Inputs!$B$25+Inputs!$B$29,IF(Skills!C10=2,90+Inputs!$B$26+Inputs!$B$29,IF(Skills!C10=3,120+Inputs!$B$27+Inputs!$B$29,MAX(0,(Inputs!$B$3-100)*3)+Inputs!$B$28+Inputs!$B$29)))</f>
        <v/>
      </c>
      <c r="E1193">
        <f>INDEX(FactorTable!$B$2:$Y$301, MATCH(ROUND(MIN(300,MAX(1,D1193)),0), FactorTable!$A$2:$A$301,0), Skills!M10+1)</f>
        <v/>
      </c>
      <c r="F1193">
        <f>IF(Skills!N10=TRUE,(Skills!L10/10)*(E1193/1000),Skills!L10/10)+Skills!O10</f>
        <v/>
      </c>
      <c r="G1193" t="inlineStr"/>
      <c r="H1193" t="inlineStr"/>
      <c r="I1193" t="inlineStr">
        <is>
          <t>1</t>
        </is>
      </c>
      <c r="J1193" t="inlineStr"/>
      <c r="K1193" t="inlineStr"/>
      <c r="L1193" t="inlineStr"/>
      <c r="M1193" t="inlineStr"/>
      <c r="N1193" t="inlineStr"/>
      <c r="O1193" t="inlineStr"/>
      <c r="P1193" t="inlineStr"/>
      <c r="Q1193" t="inlineStr"/>
      <c r="R1193" t="inlineStr"/>
      <c r="S1193" t="inlineStr"/>
      <c r="T1193" t="inlineStr"/>
      <c r="V1193" t="inlineStr"/>
    </row>
    <row r="1194">
      <c r="A1194">
        <f>Skills!A11</f>
        <v/>
      </c>
      <c r="B1194">
        <f>Skills!B11</f>
        <v/>
      </c>
      <c r="C1194">
        <f>Inputs!$B$3&gt;=60</f>
        <v/>
      </c>
      <c r="D1194">
        <f>IF(Skills!C11=1,60+Inputs!$B$25+Inputs!$B$29,IF(Skills!C11=2,90+Inputs!$B$26+Inputs!$B$29,IF(Skills!C11=3,120+Inputs!$B$27+Inputs!$B$29,MAX(0,(Inputs!$B$3-100)*3)+Inputs!$B$28+Inputs!$B$29)))</f>
        <v/>
      </c>
      <c r="E1194">
        <f>INDEX(FactorTable!$B$2:$Y$301, MATCH(ROUND(MIN(300,MAX(1,D1194)),0), FactorTable!$A$2:$A$301,0), Skills!M11+1)</f>
        <v/>
      </c>
      <c r="F1194">
        <f>IF(Skills!N11=TRUE,(Skills!L11/10)*(E1194/1000),Skills!L11/10)+Skills!O11</f>
        <v/>
      </c>
      <c r="G1194">
        <f>Skills!G11*IF(Skills!H11&gt;0,Skills!I11/Skills!H11,1)</f>
        <v/>
      </c>
      <c r="H1194">
        <f>1-(1-Skills!J11/100)^Skills!K11</f>
        <v/>
      </c>
      <c r="I1194" t="inlineStr">
        <is>
          <t>1</t>
        </is>
      </c>
      <c r="J1194">
        <f>((Inputs!$B$6*(1+Inputs!$B$7/100))+(((Inputs!$B$12*(1+Inputs!$B$13/100))-(Inputs!$B$12*(1+Inputs!$B$13/100)))+0.25*(Inputs!$B$14-Inputs!$B$14))*(1+Inputs!$B$7/100))*(F1194/100)</f>
        <v/>
      </c>
      <c r="K1194">
        <f>J1194*(1+((Inputs!$B$12*(1+Inputs!$B$13/100))*0.01+Inputs!$B$14*0.0025)/100)*(1+Inputs!$B$15/100)*(1+Inputs!$B$16/100)*(5000/(6000+Inputs!$B$42*(1-(Inputs!$B$19+((C1210=TRUE)*(F1210-Calc!F27)))/100)))*(1+(Inputs!$B$24+((C1208=TRUE)*(F1208-Calc!F25))+((C1209=TRUE)*(F1209-Calc!F26))+B1222)/100)*(1+IF(C1195=TRUE,F1195,0)/100)*(1+(IF(Skills!A11="ARROW_STREAM",Inputs!$B$17+((C1206=TRUE)*(F1206-Calc!F23)),Inputs!$B$18+((C1211=TRUE)*(F1211-Calc!F28))))/100)*((1+(((C1196=TRUE)*F1196)+((C1197=TRUE)*IF(Inputs!$B$38="pvp",F1197,(1-Summary!$B$55)*(F1197)+Summary!$B$55*(0)))+((C1198=TRUE)*F1198*IF(AND(Inputs!$B$38&lt;&gt;"pvp",Inputs!$B$43&gt;0),(((R1198-1)*(Skills!T15*(1+(Inputs!$B$34+1)/100))+MIN((Skills!T15*(1+(Inputs!$B$34+1)/100)),MAX(0,Inputs!$B$43-((R1198-1)*Skills!D15))))/Inputs!$B$43),IF(Inputs!$B$38="pvp",MIN((Skills!T15*(1+(Inputs!$B$34+1)/100)),15)/15,(Skills!T15*(1+(Inputs!$B$34+1)/100))/Skills!D15)))+((C1213=TRUE)*(F1213-Calc!F30)))/100)*I1194)</f>
        <v/>
      </c>
      <c r="L1194">
        <f>K1194*(MIN(Inputs!$B$22+((C1207=TRUE)*(F1207-Calc!F24)),Inputs!$B$23+((C1212=TRUE)*(F1212-Calc!F29)))/100+(Inputs!$B$23+((C1212=TRUE)*(F1212-Calc!F29)))/100)/2</f>
        <v/>
      </c>
      <c r="M1194">
        <f>L1194*(1+(Inputs!$B$10+0+B1221)/100)</f>
        <v/>
      </c>
      <c r="N1194">
        <f>L1194*(1-MIN((Inputs!$B$9+((C1203=TRUE)*(F1203-Calc!F20))+B1216),100)/100)+M1194*(MIN((Inputs!$B$9+((C1203=TRUE)*(F1203-Calc!F20))+B1216),100)/100)</f>
        <v/>
      </c>
      <c r="O1194">
        <f>(1-Summary!$B$55)*T1194+Summary!$B$55*V1194</f>
        <v/>
      </c>
      <c r="P1194">
        <f>IF(B1226=0,0,O1194/B1226)</f>
        <v/>
      </c>
      <c r="Q1194">
        <f>IFERROR(1/IF(Inputs!$B$38="pvp",15,MAX(0.1,Skills!D11-IF(Skills!E11=TRUE,Inputs!$B$32,0))),0)</f>
        <v/>
      </c>
      <c r="R1194">
        <f>IF(AND(Inputs!$B$38&lt;&gt;"pvp",Inputs!$B$43&gt;0),IF(MAX(0,Inputs!$B$43-B1223)&lt;=0,0,(INT(MAX(0,Inputs!$B$43-B1223)/IF(Inputs!$B$38="pvp",15,MAX(0.1,Skills!D11-IF(Skills!E11=TRUE,Inputs!$B$32,0))))+1)),0)</f>
        <v/>
      </c>
      <c r="S1194">
        <f>IFERROR(O1194/N1194,0)</f>
        <v/>
      </c>
      <c r="T1194">
        <f>IF(C1194,(H1194*N1194*IF(AND(Inputs!$B$38&lt;&gt;"pvp",Inputs!$B$43&gt;0),((Skills!G11*((R1194-1)*IF(Skills!H11&gt;0,Skills!I11/Skills!H11,1)+IF(Skills!H11&gt;0,MIN(Skills!I11,MAX(0,MAX(0,Inputs!$B$43-B1223)-((R1194-1)*IF(Inputs!$B$38="pvp",15,MAX(0.1,Skills!D11-IF(Skills!E11=TRUE,Inputs!$B$32,0))))))/Skills!H11,1)))/Inputs!$B$43),G1194*Q1194))*IF(Inputs!$B$38="pvp",1,1+(Inputs!$B$20+0+Skills!P11)/100),0)</f>
        <v/>
      </c>
      <c r="V1194">
        <f>IF(C1194,(H1194*N1194*IF(AND(Inputs!$B$38&lt;&gt;"pvp",Inputs!$B$43&gt;0),((Skills!G11*((R1194-1)*IF(Skills!H11&gt;0,Skills!I11/Skills!H11,1)+IF(Skills!H11&gt;0,MIN(Skills!I11,MAX(0,MAX(0,Inputs!$B$43-B1223)-((R1194-1)*IF(Inputs!$B$38="pvp",15,MAX(0.1,Skills!D11-IF(Skills!E11=TRUE,Inputs!$B$32,0))))))/Skills!H11,1)))/Inputs!$B$43),G1194*Q1194))*IF(Inputs!$B$38="pvp",1,(1+(Inputs!$B$21+Skills!Q11)/100)*(MIN(Skills!R11,Inputs!$B$37))),0)</f>
        <v/>
      </c>
    </row>
    <row r="1195">
      <c r="A1195">
        <f>Skills!A12</f>
        <v/>
      </c>
      <c r="B1195">
        <f>Skills!B12</f>
        <v/>
      </c>
      <c r="C1195">
        <f>Inputs!$B$3&gt;=110</f>
        <v/>
      </c>
      <c r="D1195">
        <f>IF(Skills!C12=1,60+Inputs!$B$25+Inputs!$B$29,IF(Skills!C12=2,90+Inputs!$B$26+Inputs!$B$29,IF(Skills!C12=3,120+Inputs!$B$27+Inputs!$B$29,MAX(0,(Inputs!$B$3-100)*3)+Inputs!$B$28+Inputs!$B$29)))</f>
        <v/>
      </c>
      <c r="E1195">
        <f>INDEX(FactorTable!$B$2:$Y$301, MATCH(ROUND(MIN(300,MAX(1,D1195)),0), FactorTable!$A$2:$A$301,0), Skills!M12+1)</f>
        <v/>
      </c>
      <c r="F1195">
        <f>IF(Skills!N12=TRUE,(Skills!L12/10)*(E1195/1000),Skills!L12/10)+Skills!O12</f>
        <v/>
      </c>
      <c r="G1195" t="inlineStr"/>
      <c r="H1195" t="inlineStr"/>
      <c r="I1195" t="inlineStr">
        <is>
          <t>1</t>
        </is>
      </c>
      <c r="J1195" t="inlineStr"/>
      <c r="K1195" t="inlineStr"/>
      <c r="L1195" t="inlineStr"/>
      <c r="M1195" t="inlineStr"/>
      <c r="N1195" t="inlineStr"/>
      <c r="O1195" t="inlineStr"/>
      <c r="P1195" t="inlineStr"/>
      <c r="Q1195" t="inlineStr"/>
      <c r="R1195" t="inlineStr"/>
      <c r="S1195" t="inlineStr"/>
      <c r="T1195" t="inlineStr"/>
      <c r="V1195" t="inlineStr"/>
    </row>
    <row r="1196">
      <c r="A1196">
        <f>Skills!A13</f>
        <v/>
      </c>
      <c r="B1196">
        <f>Skills!B13</f>
        <v/>
      </c>
      <c r="C1196">
        <f>Inputs!$B$3&gt;=74</f>
        <v/>
      </c>
      <c r="D1196">
        <f>IF(Skills!C13=1,60+Inputs!$B$25+Inputs!$B$29,IF(Skills!C13=2,90+Inputs!$B$26+Inputs!$B$29,IF(Skills!C13=3,120+Inputs!$B$27+Inputs!$B$29,MAX(0,(Inputs!$B$3-100)*3)+Inputs!$B$28+Inputs!$B$29)))</f>
        <v/>
      </c>
      <c r="E1196">
        <f>INDEX(FactorTable!$B$2:$Y$301, MATCH(ROUND(MIN(300,MAX(1,D1196)),0), FactorTable!$A$2:$A$301,0), Skills!M13+1)</f>
        <v/>
      </c>
      <c r="F1196">
        <f>IF(Skills!N13=TRUE,(Skills!L13/10)*(E1196/1000),Skills!L13/10)+Skills!O13</f>
        <v/>
      </c>
      <c r="G1196">
        <f>Skills!G13*IF(Skills!H13&gt;0,Skills!I13/Skills!H13,1)</f>
        <v/>
      </c>
      <c r="H1196">
        <f>1-(1-Skills!J13/100)^Skills!K13</f>
        <v/>
      </c>
      <c r="I1196" t="inlineStr">
        <is>
          <t>1</t>
        </is>
      </c>
      <c r="J1196" t="inlineStr"/>
      <c r="K1196" t="inlineStr"/>
      <c r="L1196" t="inlineStr"/>
      <c r="M1196" t="inlineStr"/>
      <c r="N1196" t="inlineStr"/>
      <c r="O1196">
        <f>(1-Summary!$B$55)*T1196+Summary!$B$55*V1196</f>
        <v/>
      </c>
      <c r="P1196">
        <f>IF(B1226=0,0,O1196/B1226)</f>
        <v/>
      </c>
      <c r="Q1196" t="n">
        <v>0</v>
      </c>
      <c r="R1196" t="n">
        <v>0</v>
      </c>
      <c r="S1196">
        <f>IFERROR(O1196/N1196,0)</f>
        <v/>
      </c>
      <c r="T1196" t="n">
        <v>0</v>
      </c>
      <c r="V1196" t="n">
        <v>0</v>
      </c>
    </row>
    <row r="1197">
      <c r="A1197">
        <f>Skills!A14</f>
        <v/>
      </c>
      <c r="B1197">
        <f>Skills!B14</f>
        <v/>
      </c>
      <c r="C1197">
        <f>Inputs!$B$3&gt;=74</f>
        <v/>
      </c>
      <c r="D1197">
        <f>IF(Skills!C14=1,60+Inputs!$B$25+Inputs!$B$29,IF(Skills!C14=2,90+Inputs!$B$26+Inputs!$B$29,IF(Skills!C14=3,120+Inputs!$B$27+Inputs!$B$29,MAX(0,(Inputs!$B$3-100)*3)+Inputs!$B$28+Inputs!$B$29)))</f>
        <v/>
      </c>
      <c r="E1197">
        <f>INDEX(FactorTable!$B$2:$Y$301, MATCH(ROUND(MIN(300,MAX(1,D1197)),0), FactorTable!$A$2:$A$301,0), Skills!M14+1)</f>
        <v/>
      </c>
      <c r="F1197">
        <f>IF(Skills!N14=TRUE,(Skills!L14/10)*(E1197/1000),Skills!L14/10)+Skills!O14</f>
        <v/>
      </c>
      <c r="G1197">
        <f>Skills!G14*IF(Skills!H14&gt;0,Skills!I14/Skills!H14,1)</f>
        <v/>
      </c>
      <c r="H1197">
        <f>1-(1-Skills!J14/100)^Skills!K14</f>
        <v/>
      </c>
      <c r="I1197" t="inlineStr">
        <is>
          <t>1</t>
        </is>
      </c>
      <c r="J1197" t="inlineStr"/>
      <c r="K1197" t="inlineStr"/>
      <c r="L1197" t="inlineStr"/>
      <c r="M1197" t="inlineStr"/>
      <c r="N1197" t="inlineStr"/>
      <c r="O1197">
        <f>(1-Summary!$B$55)*T1197+Summary!$B$55*V1197</f>
        <v/>
      </c>
      <c r="P1197">
        <f>IF(B1226=0,0,O1197/B1226)</f>
        <v/>
      </c>
      <c r="Q1197" t="n">
        <v>0</v>
      </c>
      <c r="R1197" t="n">
        <v>0</v>
      </c>
      <c r="S1197">
        <f>IFERROR(O1197/N1197,0)</f>
        <v/>
      </c>
      <c r="T1197" t="n">
        <v>0</v>
      </c>
      <c r="V1197" t="n">
        <v>0</v>
      </c>
    </row>
    <row r="1198">
      <c r="A1198">
        <f>Skills!A15</f>
        <v/>
      </c>
      <c r="B1198">
        <f>Skills!B15</f>
        <v/>
      </c>
      <c r="C1198">
        <f>Inputs!$B$3&gt;=117</f>
        <v/>
      </c>
      <c r="D1198">
        <f>IF(Skills!C15=1,60+Inputs!$B$25+Inputs!$B$29,IF(Skills!C15=2,90+Inputs!$B$26+Inputs!$B$29,IF(Skills!C15=3,120+Inputs!$B$27+Inputs!$B$29,MAX(0,(Inputs!$B$3-100)*3)+Inputs!$B$28+Inputs!$B$29)))</f>
        <v/>
      </c>
      <c r="E1198">
        <f>INDEX(FactorTable!$B$2:$Y$301, MATCH(ROUND(MIN(300,MAX(1,D1198)),0), FactorTable!$A$2:$A$301,0), Skills!M15+1)</f>
        <v/>
      </c>
      <c r="F1198">
        <f>IF(Skills!N15=TRUE,(Skills!L15/10)*(E1198/1000),Skills!L15/10)+Skills!O15</f>
        <v/>
      </c>
      <c r="G1198">
        <f>Skills!G15*IF(Skills!H15&gt;0,Skills!I15/Skills!H15,1)</f>
        <v/>
      </c>
      <c r="H1198">
        <f>1-(1-Skills!J15/100)^Skills!K15</f>
        <v/>
      </c>
      <c r="I1198" t="inlineStr">
        <is>
          <t>1</t>
        </is>
      </c>
      <c r="J1198" t="inlineStr"/>
      <c r="K1198" t="inlineStr"/>
      <c r="L1198" t="inlineStr"/>
      <c r="M1198" t="inlineStr"/>
      <c r="N1198" t="inlineStr"/>
      <c r="O1198">
        <f>(1-Summary!$B$55)*T1198+Summary!$B$55*V1198</f>
        <v/>
      </c>
      <c r="P1198">
        <f>IF(B1226=0,0,O1198/B1226)</f>
        <v/>
      </c>
      <c r="Q1198">
        <f>IFERROR(1/IF(Inputs!$B$38="pvp",15,MAX(0.1,Skills!D15-IF(Skills!E15=TRUE,Inputs!$B$32,0))),0)</f>
        <v/>
      </c>
      <c r="R1198">
        <f>IF(AND(Inputs!$B$38&lt;&gt;"pvp",Inputs!$B$43&gt;0),IF(Inputs!$B$43&lt;=0,0,(INT(Inputs!$B$43/IF(Inputs!$B$38="pvp",15,MAX(0.1,Skills!D15-IF(Skills!E15=TRUE,Inputs!$B$32,0))))+1)),0)</f>
        <v/>
      </c>
      <c r="S1198">
        <f>IFERROR(O1198/N1198,0)</f>
        <v/>
      </c>
      <c r="T1198" t="n">
        <v>0</v>
      </c>
      <c r="V1198" t="n">
        <v>0</v>
      </c>
    </row>
    <row r="1199">
      <c r="A1199">
        <f>Skills!A16</f>
        <v/>
      </c>
      <c r="B1199">
        <f>Skills!B16</f>
        <v/>
      </c>
      <c r="C1199">
        <f>Inputs!$B$3&gt;=115</f>
        <v/>
      </c>
      <c r="D1199">
        <f>IF(Skills!C16=1,60+Inputs!$B$25+Inputs!$B$29,IF(Skills!C16=2,90+Inputs!$B$26+Inputs!$B$29,IF(Skills!C16=3,120+Inputs!$B$27+Inputs!$B$29,MAX(0,(Inputs!$B$3-100)*3)+Inputs!$B$28+Inputs!$B$29)))</f>
        <v/>
      </c>
      <c r="E1199">
        <f>INDEX(FactorTable!$B$2:$Y$301, MATCH(ROUND(MIN(300,MAX(1,D1199)),0), FactorTable!$A$2:$A$301,0), Skills!M16+1)</f>
        <v/>
      </c>
      <c r="F1199">
        <f>IF(Skills!N16=TRUE,(Skills!L16/10)*(E1199/1000),Skills!L16/10)+Skills!O16</f>
        <v/>
      </c>
      <c r="G1199">
        <f>Skills!G16*IF(Skills!H16&gt;0,Skills!I16/Skills!H16,1)</f>
        <v/>
      </c>
      <c r="H1199">
        <f>1-(1-Skills!J16/100)^Skills!K16</f>
        <v/>
      </c>
      <c r="I1199" t="inlineStr">
        <is>
          <t>1</t>
        </is>
      </c>
      <c r="J1199" t="inlineStr"/>
      <c r="K1199" t="inlineStr"/>
      <c r="L1199" t="inlineStr"/>
      <c r="M1199" t="inlineStr"/>
      <c r="N1199" t="inlineStr"/>
      <c r="O1199">
        <f>(1-Summary!$B$55)*T1199+Summary!$B$55*V1199</f>
        <v/>
      </c>
      <c r="P1199">
        <f>IF(B1226=0,0,O1199/B1226)</f>
        <v/>
      </c>
      <c r="Q1199">
        <f>IFERROR(1/IF(Inputs!$B$38="pvp",15,MAX(0.1,Skills!D16-IF(Skills!E16=TRUE,Inputs!$B$32,0))),0)</f>
        <v/>
      </c>
      <c r="R1199">
        <f>IF(AND(Inputs!$B$38&lt;&gt;"pvp",Inputs!$B$43&gt;0),IF(Inputs!$B$43&lt;=0,0,(INT(Inputs!$B$43/IF(Inputs!$B$38="pvp",15,MAX(0.1,Skills!D16-IF(Skills!E16=TRUE,Inputs!$B$32,0))))+1)),0)</f>
        <v/>
      </c>
      <c r="S1199">
        <f>IFERROR(O1199/N1199,0)</f>
        <v/>
      </c>
      <c r="T1199" t="n">
        <v>0</v>
      </c>
      <c r="V1199" t="n">
        <v>0</v>
      </c>
    </row>
    <row r="1200">
      <c r="A1200">
        <f>Skills!A17</f>
        <v/>
      </c>
      <c r="B1200">
        <f>Skills!B17</f>
        <v/>
      </c>
      <c r="C1200">
        <f>Inputs!$B$3&gt;=66</f>
        <v/>
      </c>
      <c r="D1200">
        <f>IF(Skills!C17=1,60+Inputs!$B$25+Inputs!$B$29,IF(Skills!C17=2,90+Inputs!$B$26+Inputs!$B$29,IF(Skills!C17=3,120+Inputs!$B$27+Inputs!$B$29,MAX(0,(Inputs!$B$3-100)*3)+Inputs!$B$28+Inputs!$B$29)))</f>
        <v/>
      </c>
      <c r="E1200">
        <f>INDEX(FactorTable!$B$2:$Y$301, MATCH(ROUND(MIN(300,MAX(1,D1200)),0), FactorTable!$A$2:$A$301,0), Skills!M17+1)</f>
        <v/>
      </c>
      <c r="F1200">
        <f>IF(Skills!N17=TRUE,(Skills!L17/10)*(E1200/1000),Skills!L17/10)+Skills!O17</f>
        <v/>
      </c>
      <c r="G1200">
        <f>Skills!G17*IF(Skills!H17&gt;0,Skills!I17/Skills!H17,1)</f>
        <v/>
      </c>
      <c r="H1200">
        <f>1-(1-Skills!J17/100)^Skills!K17</f>
        <v/>
      </c>
      <c r="I1200" t="inlineStr">
        <is>
          <t>1</t>
        </is>
      </c>
      <c r="J1200" t="inlineStr"/>
      <c r="K1200" t="inlineStr"/>
      <c r="L1200" t="inlineStr"/>
      <c r="M1200" t="inlineStr"/>
      <c r="N1200" t="inlineStr"/>
      <c r="O1200">
        <f>(1-Summary!$B$55)*T1200+Summary!$B$55*V1200</f>
        <v/>
      </c>
      <c r="P1200">
        <f>IF(B1226=0,0,O1200/B1226)</f>
        <v/>
      </c>
      <c r="Q1200" t="n">
        <v>0</v>
      </c>
      <c r="R1200" t="n">
        <v>0</v>
      </c>
      <c r="S1200">
        <f>IFERROR(O1200/N1200,0)</f>
        <v/>
      </c>
      <c r="T1200" t="n">
        <v>0</v>
      </c>
      <c r="V1200" t="n">
        <v>0</v>
      </c>
    </row>
    <row r="1201">
      <c r="A1201">
        <f>Skills!A18</f>
        <v/>
      </c>
      <c r="B1201">
        <f>Skills!B18</f>
        <v/>
      </c>
      <c r="C1201">
        <f>Inputs!$B$3&gt;=72</f>
        <v/>
      </c>
      <c r="D1201">
        <f>IF(Skills!C18=1,60+Inputs!$B$25+Inputs!$B$29,IF(Skills!C18=2,90+Inputs!$B$26+Inputs!$B$29,IF(Skills!C18=3,120+Inputs!$B$27+Inputs!$B$29,MAX(0,(Inputs!$B$3-100)*3)+Inputs!$B$28+Inputs!$B$29)))</f>
        <v/>
      </c>
      <c r="E1201">
        <f>INDEX(FactorTable!$B$2:$Y$301, MATCH(ROUND(MIN(300,MAX(1,D1201)),0), FactorTable!$A$2:$A$301,0), Skills!M18+1)</f>
        <v/>
      </c>
      <c r="F1201">
        <f>IF(Skills!N18=TRUE,(Skills!L18/10)*(E1201/1000),Skills!L18/10)+Skills!O18</f>
        <v/>
      </c>
      <c r="G1201">
        <f>Skills!G18*IF(Skills!H18&gt;0,Skills!I18/Skills!H18,1)</f>
        <v/>
      </c>
      <c r="H1201">
        <f>1-(1-Skills!J18/100)^Skills!K18</f>
        <v/>
      </c>
      <c r="I1201" t="inlineStr">
        <is>
          <t>1</t>
        </is>
      </c>
      <c r="J1201" t="inlineStr"/>
      <c r="K1201" t="inlineStr"/>
      <c r="L1201" t="inlineStr"/>
      <c r="M1201" t="inlineStr"/>
      <c r="N1201" t="inlineStr"/>
      <c r="O1201">
        <f>(1-Summary!$B$55)*T1201+Summary!$B$55*V1201</f>
        <v/>
      </c>
      <c r="P1201">
        <f>IF(B1226=0,0,O1201/B1226)</f>
        <v/>
      </c>
      <c r="Q1201" t="n">
        <v>0</v>
      </c>
      <c r="R1201" t="n">
        <v>0</v>
      </c>
      <c r="S1201">
        <f>IFERROR(O1201/N1201,0)</f>
        <v/>
      </c>
      <c r="T1201" t="n">
        <v>0</v>
      </c>
      <c r="V1201" t="n">
        <v>0</v>
      </c>
    </row>
    <row r="1202">
      <c r="A1202">
        <f>Skills!A19</f>
        <v/>
      </c>
      <c r="B1202">
        <f>Skills!B19</f>
        <v/>
      </c>
      <c r="C1202">
        <f>TRUE</f>
        <v/>
      </c>
      <c r="D1202">
        <f>IF(Skills!C19=1,60+Inputs!$B$25+Inputs!$B$29,IF(Skills!C19=2,90+Inputs!$B$26+Inputs!$B$29,IF(Skills!C19=3,120+Inputs!$B$27+Inputs!$B$29,MAX(0,(Inputs!$B$3-100)*3)+Inputs!$B$28+Inputs!$B$29)))</f>
        <v/>
      </c>
      <c r="E1202">
        <f>INDEX(FactorTable!$B$2:$Y$301, MATCH(ROUND(MIN(300,MAX(1,D1202)),0), FactorTable!$A$2:$A$301,0), Skills!M19+1)</f>
        <v/>
      </c>
      <c r="F1202">
        <f>IF(Skills!N19=TRUE,(Skills!L19/10)*(E1202/1000),Skills!L19/10)+Skills!O19</f>
        <v/>
      </c>
      <c r="G1202">
        <f>Skills!G19*IF(Skills!H19&gt;0,Skills!I19/Skills!H19,1)</f>
        <v/>
      </c>
      <c r="H1202">
        <f>1-(1-Skills!J19/100)^Skills!K19</f>
        <v/>
      </c>
      <c r="I1202" t="inlineStr">
        <is>
          <t>1</t>
        </is>
      </c>
      <c r="J1202" t="inlineStr"/>
      <c r="K1202" t="inlineStr"/>
      <c r="L1202" t="inlineStr"/>
      <c r="M1202" t="inlineStr"/>
      <c r="N1202" t="inlineStr"/>
      <c r="O1202">
        <f>(1-Summary!$B$55)*T1202+Summary!$B$55*V1202</f>
        <v/>
      </c>
      <c r="P1202">
        <f>IF(B1226=0,0,O1202/B1226)</f>
        <v/>
      </c>
      <c r="Q1202">
        <f>IFERROR(1/IF(Inputs!$B$38="pvp",15,MAX(0.1,Skills!D19-IF(Skills!E19=TRUE,Inputs!$B$32,0))),0)</f>
        <v/>
      </c>
      <c r="R1202">
        <f>IF(AND(Inputs!$B$38&lt;&gt;"pvp",Inputs!$B$43&gt;0),IF(Inputs!$B$43&lt;=0,0,(INT(Inputs!$B$43/IF(Inputs!$B$38="pvp",15,MAX(0.1,Skills!D19-IF(Skills!E19=TRUE,Inputs!$B$32,0))))+1)),0)</f>
        <v/>
      </c>
      <c r="S1202">
        <f>IFERROR(O1202/N1202,0)</f>
        <v/>
      </c>
      <c r="T1202" t="n">
        <v>0</v>
      </c>
      <c r="V1202" t="n">
        <v>0</v>
      </c>
    </row>
    <row r="1203">
      <c r="A1203">
        <f>Skills!A20</f>
        <v/>
      </c>
      <c r="B1203">
        <f>Skills!B20</f>
        <v/>
      </c>
      <c r="C1203">
        <f>Inputs!$B$3&gt;=15</f>
        <v/>
      </c>
      <c r="D1203">
        <f>IF(Skills!C20=1,60+Inputs!$B$25+Inputs!$B$29,IF(Skills!C20=2,90+Inputs!$B$26+Inputs!$B$29,IF(Skills!C20=3,120+Inputs!$B$27+Inputs!$B$29,MAX(0,(Inputs!$B$3-100)*3)+Inputs!$B$28+Inputs!$B$29)))</f>
        <v/>
      </c>
      <c r="E1203">
        <f>INDEX(FactorTable!$B$2:$Y$301, MATCH(ROUND(MIN(300,MAX(1,D1203)),0), FactorTable!$A$2:$A$301,0), Skills!M20+1)</f>
        <v/>
      </c>
      <c r="F1203">
        <f>IF(Skills!N20=TRUE,(Skills!L20/10)*(E1203/1000),Skills!L20/10)+Skills!O20</f>
        <v/>
      </c>
      <c r="G1203">
        <f>Skills!G20*IF(Skills!H20&gt;0,Skills!I20/Skills!H20,1)</f>
        <v/>
      </c>
      <c r="H1203">
        <f>1-(1-Skills!J20/100)^Skills!K20</f>
        <v/>
      </c>
      <c r="I1203" t="inlineStr">
        <is>
          <t>1</t>
        </is>
      </c>
      <c r="J1203" t="inlineStr"/>
      <c r="K1203" t="inlineStr"/>
      <c r="L1203" t="inlineStr"/>
      <c r="M1203" t="inlineStr"/>
      <c r="N1203" t="inlineStr"/>
      <c r="O1203">
        <f>(1-Summary!$B$55)*T1203+Summary!$B$55*V1203</f>
        <v/>
      </c>
      <c r="P1203">
        <f>IF(B1226=0,0,O1203/B1226)</f>
        <v/>
      </c>
      <c r="Q1203" t="n">
        <v>0</v>
      </c>
      <c r="R1203" t="n">
        <v>0</v>
      </c>
      <c r="S1203">
        <f>IFERROR(O1203/N1203,0)</f>
        <v/>
      </c>
      <c r="T1203" t="n">
        <v>0</v>
      </c>
      <c r="V1203" t="n">
        <v>0</v>
      </c>
    </row>
    <row r="1204">
      <c r="A1204">
        <f>Skills!A21</f>
        <v/>
      </c>
      <c r="B1204">
        <f>Skills!B21</f>
        <v/>
      </c>
      <c r="C1204">
        <f>Inputs!$B$3&gt;=10</f>
        <v/>
      </c>
      <c r="D1204">
        <f>IF(Skills!C21=1,60+Inputs!$B$25+Inputs!$B$29,IF(Skills!C21=2,90+Inputs!$B$26+Inputs!$B$29,IF(Skills!C21=3,120+Inputs!$B$27+Inputs!$B$29,MAX(0,(Inputs!$B$3-100)*3)+Inputs!$B$28+Inputs!$B$29)))</f>
        <v/>
      </c>
      <c r="E1204">
        <f>INDEX(FactorTable!$B$2:$Y$301, MATCH(ROUND(MIN(300,MAX(1,D1204)),0), FactorTable!$A$2:$A$301,0), Skills!M21+1)</f>
        <v/>
      </c>
      <c r="F1204">
        <f>IF(Skills!N21=TRUE,(Skills!L21/10)*(E1204/1000),Skills!L21/10)+Skills!O21</f>
        <v/>
      </c>
      <c r="G1204">
        <f>Skills!G21*IF(Skills!H21&gt;0,Skills!I21/Skills!H21,1)</f>
        <v/>
      </c>
      <c r="H1204">
        <f>1-(1-Skills!J21/100)^Skills!K21</f>
        <v/>
      </c>
      <c r="I1204" t="inlineStr">
        <is>
          <t>1</t>
        </is>
      </c>
      <c r="J1204" t="inlineStr"/>
      <c r="K1204" t="inlineStr"/>
      <c r="L1204" t="inlineStr"/>
      <c r="M1204" t="inlineStr"/>
      <c r="N1204" t="inlineStr"/>
      <c r="O1204">
        <f>(1-Summary!$B$55)*T1204+Summary!$B$55*V1204</f>
        <v/>
      </c>
      <c r="P1204">
        <f>IF(B1226=0,0,O1204/B1226)</f>
        <v/>
      </c>
      <c r="Q1204" t="n">
        <v>0</v>
      </c>
      <c r="R1204" t="n">
        <v>0</v>
      </c>
      <c r="S1204">
        <f>IFERROR(O1204/N1204,0)</f>
        <v/>
      </c>
      <c r="T1204" t="n">
        <v>0</v>
      </c>
      <c r="V1204" t="n">
        <v>0</v>
      </c>
    </row>
    <row r="1205">
      <c r="A1205">
        <f>Skills!A22</f>
        <v/>
      </c>
      <c r="B1205">
        <f>Skills!B22</f>
        <v/>
      </c>
      <c r="C1205">
        <f>Inputs!$B$3&gt;=33</f>
        <v/>
      </c>
      <c r="D1205">
        <f>IF(Skills!C22=1,60+Inputs!$B$25+Inputs!$B$29,IF(Skills!C22=2,90+Inputs!$B$26+Inputs!$B$29,IF(Skills!C22=3,120+Inputs!$B$27+Inputs!$B$29,MAX(0,(Inputs!$B$3-100)*3)+Inputs!$B$28+Inputs!$B$29)))</f>
        <v/>
      </c>
      <c r="E1205">
        <f>INDEX(FactorTable!$B$2:$Y$301, MATCH(ROUND(MIN(300,MAX(1,D1205)),0), FactorTable!$A$2:$A$301,0), Skills!M22+1)</f>
        <v/>
      </c>
      <c r="F1205">
        <f>IF(Skills!N22=TRUE,(Skills!L22/10)*(E1205/1000),Skills!L22/10)+Skills!O22</f>
        <v/>
      </c>
      <c r="G1205">
        <f>Skills!G22*IF(Skills!H22&gt;0,Skills!I22/Skills!H22,1)</f>
        <v/>
      </c>
      <c r="H1205">
        <f>1-(1-Skills!J22/100)^Skills!K22</f>
        <v/>
      </c>
      <c r="I1205" t="inlineStr">
        <is>
          <t>1</t>
        </is>
      </c>
      <c r="J1205" t="inlineStr"/>
      <c r="K1205" t="inlineStr"/>
      <c r="L1205" t="inlineStr"/>
      <c r="M1205" t="inlineStr"/>
      <c r="N1205" t="inlineStr"/>
      <c r="O1205">
        <f>(1-Summary!$B$55)*T1205+Summary!$B$55*V1205</f>
        <v/>
      </c>
      <c r="P1205">
        <f>IF(B1226=0,0,O1205/B1226)</f>
        <v/>
      </c>
      <c r="Q1205" t="n">
        <v>0</v>
      </c>
      <c r="R1205" t="n">
        <v>0</v>
      </c>
      <c r="S1205">
        <f>IFERROR(O1205/N1205,0)</f>
        <v/>
      </c>
      <c r="T1205" t="n">
        <v>0</v>
      </c>
      <c r="V1205" t="n">
        <v>0</v>
      </c>
    </row>
    <row r="1206">
      <c r="A1206">
        <f>Skills!A23</f>
        <v/>
      </c>
      <c r="B1206">
        <f>Skills!B23</f>
        <v/>
      </c>
      <c r="C1206">
        <f>Inputs!$B$3&gt;=38</f>
        <v/>
      </c>
      <c r="D1206">
        <f>IF(Skills!C23=1,60+Inputs!$B$25+Inputs!$B$29,IF(Skills!C23=2,90+Inputs!$B$26+Inputs!$B$29,IF(Skills!C23=3,120+Inputs!$B$27+Inputs!$B$29,MAX(0,(Inputs!$B$3-100)*3)+Inputs!$B$28+Inputs!$B$29)))</f>
        <v/>
      </c>
      <c r="E1206">
        <f>INDEX(FactorTable!$B$2:$Y$301, MATCH(ROUND(MIN(300,MAX(1,D1206)),0), FactorTable!$A$2:$A$301,0), Skills!M23+1)</f>
        <v/>
      </c>
      <c r="F1206">
        <f>IF(Skills!N23=TRUE,(Skills!L23/10)*(E1206/1000),Skills!L23/10)+Skills!O23</f>
        <v/>
      </c>
      <c r="G1206">
        <f>Skills!G23*IF(Skills!H23&gt;0,Skills!I23/Skills!H23,1)</f>
        <v/>
      </c>
      <c r="H1206">
        <f>1-(1-Skills!J23/100)^Skills!K23</f>
        <v/>
      </c>
      <c r="I1206" t="inlineStr">
        <is>
          <t>1</t>
        </is>
      </c>
      <c r="J1206" t="inlineStr"/>
      <c r="K1206" t="inlineStr"/>
      <c r="L1206" t="inlineStr"/>
      <c r="M1206" t="inlineStr"/>
      <c r="N1206" t="inlineStr"/>
      <c r="O1206">
        <f>(1-Summary!$B$55)*T1206+Summary!$B$55*V1206</f>
        <v/>
      </c>
      <c r="P1206">
        <f>IF(B1226=0,0,O1206/B1226)</f>
        <v/>
      </c>
      <c r="Q1206" t="n">
        <v>0</v>
      </c>
      <c r="R1206" t="n">
        <v>0</v>
      </c>
      <c r="S1206">
        <f>IFERROR(O1206/N1206,0)</f>
        <v/>
      </c>
      <c r="T1206" t="n">
        <v>0</v>
      </c>
      <c r="V1206" t="n">
        <v>0</v>
      </c>
    </row>
    <row r="1207">
      <c r="A1207">
        <f>Skills!A24</f>
        <v/>
      </c>
      <c r="B1207">
        <f>Skills!B24</f>
        <v/>
      </c>
      <c r="C1207">
        <f>Inputs!$B$3&gt;=43</f>
        <v/>
      </c>
      <c r="D1207">
        <f>IF(Skills!C24=1,60+Inputs!$B$25+Inputs!$B$29,IF(Skills!C24=2,90+Inputs!$B$26+Inputs!$B$29,IF(Skills!C24=3,120+Inputs!$B$27+Inputs!$B$29,MAX(0,(Inputs!$B$3-100)*3)+Inputs!$B$28+Inputs!$B$29)))</f>
        <v/>
      </c>
      <c r="E1207">
        <f>INDEX(FactorTable!$B$2:$Y$301, MATCH(ROUND(MIN(300,MAX(1,D1207)),0), FactorTable!$A$2:$A$301,0), Skills!M24+1)</f>
        <v/>
      </c>
      <c r="F1207">
        <f>IF(Skills!N24=TRUE,(Skills!L24/10)*(E1207/1000),Skills!L24/10)+Skills!O24</f>
        <v/>
      </c>
      <c r="G1207">
        <f>Skills!G24*IF(Skills!H24&gt;0,Skills!I24/Skills!H24,1)</f>
        <v/>
      </c>
      <c r="H1207">
        <f>1-(1-Skills!J24/100)^Skills!K24</f>
        <v/>
      </c>
      <c r="I1207" t="inlineStr">
        <is>
          <t>1</t>
        </is>
      </c>
      <c r="J1207" t="inlineStr"/>
      <c r="K1207" t="inlineStr"/>
      <c r="L1207" t="inlineStr"/>
      <c r="M1207" t="inlineStr"/>
      <c r="N1207" t="inlineStr"/>
      <c r="O1207">
        <f>(1-Summary!$B$55)*T1207+Summary!$B$55*V1207</f>
        <v/>
      </c>
      <c r="P1207">
        <f>IF(B1226=0,0,O1207/B1226)</f>
        <v/>
      </c>
      <c r="Q1207" t="n">
        <v>0</v>
      </c>
      <c r="R1207" t="n">
        <v>0</v>
      </c>
      <c r="S1207">
        <f>IFERROR(O1207/N1207,0)</f>
        <v/>
      </c>
      <c r="T1207" t="n">
        <v>0</v>
      </c>
      <c r="V1207" t="n">
        <v>0</v>
      </c>
    </row>
    <row r="1208">
      <c r="A1208">
        <f>Skills!A25</f>
        <v/>
      </c>
      <c r="B1208">
        <f>Skills!B25</f>
        <v/>
      </c>
      <c r="C1208">
        <f>Inputs!$B$3&gt;=75</f>
        <v/>
      </c>
      <c r="D1208">
        <f>IF(Skills!C25=1,60+Inputs!$B$25+Inputs!$B$29,IF(Skills!C25=2,90+Inputs!$B$26+Inputs!$B$29,IF(Skills!C25=3,120+Inputs!$B$27+Inputs!$B$29,MAX(0,(Inputs!$B$3-100)*3)+Inputs!$B$28+Inputs!$B$29)))</f>
        <v/>
      </c>
      <c r="E1208">
        <f>INDEX(FactorTable!$B$2:$Y$301, MATCH(ROUND(MIN(300,MAX(1,D1208)),0), FactorTable!$A$2:$A$301,0), Skills!M25+1)</f>
        <v/>
      </c>
      <c r="F1208">
        <f>IF(Skills!N25=TRUE,(Skills!L25/10)*(E1208/1000),Skills!L25/10)+Skills!O25</f>
        <v/>
      </c>
      <c r="G1208">
        <f>Skills!G25*IF(Skills!H25&gt;0,Skills!I25/Skills!H25,1)</f>
        <v/>
      </c>
      <c r="H1208">
        <f>1-(1-Skills!J25/100)^Skills!K25</f>
        <v/>
      </c>
      <c r="I1208" t="inlineStr">
        <is>
          <t>1</t>
        </is>
      </c>
      <c r="J1208" t="inlineStr"/>
      <c r="K1208" t="inlineStr"/>
      <c r="L1208" t="inlineStr"/>
      <c r="M1208" t="inlineStr"/>
      <c r="N1208" t="inlineStr"/>
      <c r="O1208">
        <f>(1-Summary!$B$55)*T1208+Summary!$B$55*V1208</f>
        <v/>
      </c>
      <c r="P1208">
        <f>IF(B1226=0,0,O1208/B1226)</f>
        <v/>
      </c>
      <c r="Q1208" t="n">
        <v>0</v>
      </c>
      <c r="R1208" t="n">
        <v>0</v>
      </c>
      <c r="S1208">
        <f>IFERROR(O1208/N1208,0)</f>
        <v/>
      </c>
      <c r="T1208" t="n">
        <v>0</v>
      </c>
      <c r="V1208" t="n">
        <v>0</v>
      </c>
    </row>
    <row r="1209">
      <c r="A1209">
        <f>Skills!A26</f>
        <v/>
      </c>
      <c r="B1209">
        <f>Skills!B26</f>
        <v/>
      </c>
      <c r="C1209">
        <f>Inputs!$B$3&gt;=125</f>
        <v/>
      </c>
      <c r="D1209">
        <f>IF(Skills!C26=1,60+Inputs!$B$25+Inputs!$B$29,IF(Skills!C26=2,90+Inputs!$B$26+Inputs!$B$29,IF(Skills!C26=3,120+Inputs!$B$27+Inputs!$B$29,MAX(0,(Inputs!$B$3-100)*3)+Inputs!$B$28+Inputs!$B$29)))</f>
        <v/>
      </c>
      <c r="E1209">
        <f>INDEX(FactorTable!$B$2:$Y$301, MATCH(ROUND(MIN(300,MAX(1,D1209)),0), FactorTable!$A$2:$A$301,0), Skills!M26+1)</f>
        <v/>
      </c>
      <c r="F1209">
        <f>IF(Skills!N26=TRUE,(Skills!L26/10)*(E1209/1000),Skills!L26/10)+Skills!O26</f>
        <v/>
      </c>
      <c r="G1209">
        <f>Skills!G26*IF(Skills!H26&gt;0,Skills!I26/Skills!H26,1)</f>
        <v/>
      </c>
      <c r="H1209">
        <f>1-(1-Skills!J26/100)^Skills!K26</f>
        <v/>
      </c>
      <c r="I1209" t="inlineStr">
        <is>
          <t>1</t>
        </is>
      </c>
      <c r="J1209" t="inlineStr"/>
      <c r="K1209" t="inlineStr"/>
      <c r="L1209" t="inlineStr"/>
      <c r="M1209" t="inlineStr"/>
      <c r="N1209" t="inlineStr"/>
      <c r="O1209">
        <f>(1-Summary!$B$55)*T1209+Summary!$B$55*V1209</f>
        <v/>
      </c>
      <c r="P1209">
        <f>IF(B1226=0,0,O1209/B1226)</f>
        <v/>
      </c>
      <c r="Q1209" t="n">
        <v>0</v>
      </c>
      <c r="R1209" t="n">
        <v>0</v>
      </c>
      <c r="S1209">
        <f>IFERROR(O1209/N1209,0)</f>
        <v/>
      </c>
      <c r="T1209" t="n">
        <v>0</v>
      </c>
      <c r="V1209" t="n">
        <v>0</v>
      </c>
    </row>
    <row r="1210">
      <c r="A1210">
        <f>Skills!A27</f>
        <v/>
      </c>
      <c r="B1210">
        <f>Skills!B27</f>
        <v/>
      </c>
      <c r="C1210">
        <f>Inputs!$B$3&gt;=125</f>
        <v/>
      </c>
      <c r="D1210">
        <f>IF(Skills!C27=1,60+Inputs!$B$25+Inputs!$B$29,IF(Skills!C27=2,90+Inputs!$B$26+Inputs!$B$29,IF(Skills!C27=3,120+Inputs!$B$27+Inputs!$B$29,MAX(0,(Inputs!$B$3-100)*3)+Inputs!$B$28+Inputs!$B$29)))</f>
        <v/>
      </c>
      <c r="E1210">
        <f>INDEX(FactorTable!$B$2:$Y$301, MATCH(ROUND(MIN(300,MAX(1,D1210)),0), FactorTable!$A$2:$A$301,0), Skills!M27+1)</f>
        <v/>
      </c>
      <c r="F1210">
        <f>IF(Skills!N27=TRUE,(Skills!L27/10)*(E1210/1000),Skills!L27/10)+Skills!O27</f>
        <v/>
      </c>
      <c r="G1210">
        <f>Skills!G27*IF(Skills!H27&gt;0,Skills!I27/Skills!H27,1)</f>
        <v/>
      </c>
      <c r="H1210">
        <f>1-(1-Skills!J27/100)^Skills!K27</f>
        <v/>
      </c>
      <c r="I1210" t="inlineStr">
        <is>
          <t>1</t>
        </is>
      </c>
      <c r="J1210" t="inlineStr"/>
      <c r="K1210" t="inlineStr"/>
      <c r="L1210" t="inlineStr"/>
      <c r="M1210" t="inlineStr"/>
      <c r="N1210" t="inlineStr"/>
      <c r="O1210">
        <f>(1-Summary!$B$55)*T1210+Summary!$B$55*V1210</f>
        <v/>
      </c>
      <c r="P1210">
        <f>IF(B1226=0,0,O1210/B1226)</f>
        <v/>
      </c>
      <c r="Q1210" t="n">
        <v>0</v>
      </c>
      <c r="R1210" t="n">
        <v>0</v>
      </c>
      <c r="S1210">
        <f>IFERROR(O1210/N1210,0)</f>
        <v/>
      </c>
      <c r="T1210" t="n">
        <v>0</v>
      </c>
      <c r="V1210" t="n">
        <v>0</v>
      </c>
    </row>
    <row r="1211">
      <c r="A1211">
        <f>Skills!A28</f>
        <v/>
      </c>
      <c r="B1211">
        <f>Skills!B28</f>
        <v/>
      </c>
      <c r="C1211">
        <f>Inputs!$B$3&gt;=120</f>
        <v/>
      </c>
      <c r="D1211">
        <f>IF(Skills!C28=1,60+Inputs!$B$25+Inputs!$B$29,IF(Skills!C28=2,90+Inputs!$B$26+Inputs!$B$29,IF(Skills!C28=3,120+Inputs!$B$27+Inputs!$B$29,MAX(0,(Inputs!$B$3-100)*3)+Inputs!$B$28+Inputs!$B$29)))</f>
        <v/>
      </c>
      <c r="E1211">
        <f>INDEX(FactorTable!$B$2:$Y$301, MATCH(ROUND(MIN(300,MAX(1,D1211)),0), FactorTable!$A$2:$A$301,0), Skills!M28+1)</f>
        <v/>
      </c>
      <c r="F1211">
        <f>IF(Skills!N28=TRUE,(Skills!L28/10)*(E1211/1000),Skills!L28/10)+Skills!O28</f>
        <v/>
      </c>
      <c r="G1211">
        <f>Skills!G28*IF(Skills!H28&gt;0,Skills!I28/Skills!H28,1)</f>
        <v/>
      </c>
      <c r="H1211">
        <f>1-(1-Skills!J28/100)^Skills!K28</f>
        <v/>
      </c>
      <c r="I1211" t="inlineStr">
        <is>
          <t>1</t>
        </is>
      </c>
      <c r="J1211" t="inlineStr"/>
      <c r="K1211" t="inlineStr"/>
      <c r="L1211" t="inlineStr"/>
      <c r="M1211" t="inlineStr"/>
      <c r="N1211" t="inlineStr"/>
      <c r="O1211">
        <f>(1-Summary!$B$55)*T1211+Summary!$B$55*V1211</f>
        <v/>
      </c>
      <c r="P1211">
        <f>IF(B1226=0,0,O1211/B1226)</f>
        <v/>
      </c>
      <c r="Q1211" t="n">
        <v>0</v>
      </c>
      <c r="R1211" t="n">
        <v>0</v>
      </c>
      <c r="S1211">
        <f>IFERROR(O1211/N1211,0)</f>
        <v/>
      </c>
      <c r="T1211" t="n">
        <v>0</v>
      </c>
      <c r="V1211" t="n">
        <v>0</v>
      </c>
    </row>
    <row r="1212">
      <c r="A1212">
        <f>Skills!A29</f>
        <v/>
      </c>
      <c r="B1212">
        <f>Skills!B29</f>
        <v/>
      </c>
      <c r="C1212">
        <f>Inputs!$B$3&gt;=120</f>
        <v/>
      </c>
      <c r="D1212">
        <f>IF(Skills!C29=1,60+Inputs!$B$25+Inputs!$B$29,IF(Skills!C29=2,90+Inputs!$B$26+Inputs!$B$29,IF(Skills!C29=3,120+Inputs!$B$27+Inputs!$B$29,MAX(0,(Inputs!$B$3-100)*3)+Inputs!$B$28+Inputs!$B$29)))</f>
        <v/>
      </c>
      <c r="E1212">
        <f>INDEX(FactorTable!$B$2:$Y$301, MATCH(ROUND(MIN(300,MAX(1,D1212)),0), FactorTable!$A$2:$A$301,0), Skills!M29+1)</f>
        <v/>
      </c>
      <c r="F1212">
        <f>IF(Skills!N29=TRUE,(Skills!L29/10)*(E1212/1000),Skills!L29/10)+Skills!O29</f>
        <v/>
      </c>
      <c r="G1212">
        <f>Skills!G29*IF(Skills!H29&gt;0,Skills!I29/Skills!H29,1)</f>
        <v/>
      </c>
      <c r="H1212">
        <f>1-(1-Skills!J29/100)^Skills!K29</f>
        <v/>
      </c>
      <c r="I1212" t="inlineStr">
        <is>
          <t>1</t>
        </is>
      </c>
      <c r="J1212" t="inlineStr"/>
      <c r="K1212" t="inlineStr"/>
      <c r="L1212" t="inlineStr"/>
      <c r="M1212" t="inlineStr"/>
      <c r="N1212" t="inlineStr"/>
      <c r="O1212">
        <f>(1-Summary!$B$55)*T1212+Summary!$B$55*V1212</f>
        <v/>
      </c>
      <c r="P1212">
        <f>IF(B1226=0,0,O1212/B1226)</f>
        <v/>
      </c>
      <c r="Q1212" t="n">
        <v>0</v>
      </c>
      <c r="R1212" t="n">
        <v>0</v>
      </c>
      <c r="S1212">
        <f>IFERROR(O1212/N1212,0)</f>
        <v/>
      </c>
      <c r="T1212" t="n">
        <v>0</v>
      </c>
      <c r="V1212" t="n">
        <v>0</v>
      </c>
    </row>
    <row r="1213">
      <c r="A1213">
        <f>Skills!A30</f>
        <v/>
      </c>
      <c r="B1213">
        <f>Skills!B30</f>
        <v/>
      </c>
      <c r="C1213">
        <f>Inputs!$B$3&gt;=45</f>
        <v/>
      </c>
      <c r="D1213">
        <f>IF(Skills!C30=1,60+Inputs!$B$25+Inputs!$B$29,IF(Skills!C30=2,90+Inputs!$B$26+Inputs!$B$29,IF(Skills!C30=3,120+Inputs!$B$27+Inputs!$B$29,MAX(0,(Inputs!$B$3-100)*3)+Inputs!$B$28+Inputs!$B$29)))</f>
        <v/>
      </c>
      <c r="E1213">
        <f>INDEX(FactorTable!$B$2:$Y$301, MATCH(ROUND(MIN(300,MAX(1,D1213)),0), FactorTable!$A$2:$A$301,0), Skills!M30+1)</f>
        <v/>
      </c>
      <c r="F1213">
        <f>IF(Skills!N30=TRUE,(Skills!L30/10)*(E1213/1000),Skills!L30/10)+Skills!O30</f>
        <v/>
      </c>
      <c r="G1213">
        <f>Skills!G30*IF(Skills!H30&gt;0,Skills!I30/Skills!H30,1)</f>
        <v/>
      </c>
      <c r="H1213">
        <f>1-(1-Skills!J30/100)^Skills!K30</f>
        <v/>
      </c>
      <c r="I1213" t="inlineStr">
        <is>
          <t>1</t>
        </is>
      </c>
      <c r="J1213" t="inlineStr"/>
      <c r="K1213" t="inlineStr"/>
      <c r="L1213" t="inlineStr"/>
      <c r="M1213" t="inlineStr"/>
      <c r="N1213" t="inlineStr"/>
      <c r="O1213">
        <f>(1-Summary!$B$55)*T1213+Summary!$B$55*V1213</f>
        <v/>
      </c>
      <c r="P1213">
        <f>IF(B1226=0,0,O1213/B1226)</f>
        <v/>
      </c>
      <c r="Q1213" t="n">
        <v>0</v>
      </c>
      <c r="R1213" t="n">
        <v>0</v>
      </c>
      <c r="S1213">
        <f>IFERROR(O1213/N1213,0)</f>
        <v/>
      </c>
      <c r="T1213" t="n">
        <v>0</v>
      </c>
      <c r="V1213" t="n">
        <v>0</v>
      </c>
    </row>
    <row r="1215">
      <c r="A1215" t="inlineStr">
        <is>
          <t>Attack% Bucket Multiplier</t>
        </is>
      </c>
      <c r="B1215">
        <f>(1+(((C1196=TRUE)*F1196)+((C1197=TRUE)*IF(Inputs!$B$38="pvp",F1197,(1-Summary!$B$55)*(F1197)+Summary!$B$55*(0)))+((C1198=TRUE)*F1198*IF(AND(Inputs!$B$38&lt;&gt;"pvp",Inputs!$B$43&gt;0),(((R1198-1)*(Skills!T15*(1+(Inputs!$B$34+1)/100))+MIN((Skills!T15*(1+(Inputs!$B$34+1)/100)),MAX(0,Inputs!$B$43-((R1198-1)*Skills!D15))))/Inputs!$B$43),IF(Inputs!$B$38="pvp",MIN((Skills!T15*(1+(Inputs!$B$34+1)/100)),15)/15,(Skills!T15*(1+(Inputs!$B$34+1)/100))/Skills!D15)))+((C1213=TRUE)*(F1213-Calc!F30)))/100)</f>
        <v/>
      </c>
    </row>
    <row r="1216">
      <c r="A1216" t="inlineStr">
        <is>
          <t>Global Crit Rate Bonus %</t>
        </is>
      </c>
      <c r="B1216">
        <f>(C1199=TRUE)*20*IF(AND(Inputs!$B$38&lt;&gt;"pvp",Inputs!$B$43&gt;0),(((R1199-1)*(Skills!T16*(1+(Inputs!$B$34+1)/100))+MIN((Skills!T16*(1+(Inputs!$B$34+1)/100)),MAX(0,Inputs!$B$43-((R1199-1)*Skills!D16))))/Inputs!$B$43),IF(Inputs!$B$38="pvp",MIN((Skills!T16*(1+(Inputs!$B$34+1)/100)),15)/15,(Skills!T16*(1+(Inputs!$B$34+1)/100))/Skills!D16))</f>
        <v/>
      </c>
    </row>
    <row r="1217">
      <c r="A1217" t="inlineStr">
        <is>
          <t>Attack Speed Buff Bonus %</t>
        </is>
      </c>
      <c r="B1217">
        <f>((C1202=TRUE)*F1202*IF(AND(Inputs!$B$38&lt;&gt;"pvp",Inputs!$B$43&gt;0),(((R1202-1)*(Skills!T19*(1+(Inputs!$B$34+1)/100))+MIN((Skills!T19*(1+(Inputs!$B$34+1)/100)),MAX(0,Inputs!$B$43-((R1202-1)*Skills!D19))))/Inputs!$B$43),IF(Inputs!$B$38="pvp",MIN((Skills!T19*(1+(Inputs!$B$34+1)/100)),15)/15,(Skills!T19*(1+(Inputs!$B$34+1)/100))/Skills!D19)))</f>
        <v/>
      </c>
    </row>
    <row r="1218">
      <c r="A1218" t="inlineStr">
        <is>
          <t>Actions Per Second</t>
        </is>
      </c>
      <c r="B1218">
        <f>1+MIN(150,150*(1-(1-(Inputs!$B$11+((C1204=TRUE)*(F1204-Calc!F21))+((C1205=TRUE)*(F1205-Calc!F22)))/150)*(1-B1217/150)))/100</f>
        <v/>
      </c>
    </row>
    <row r="1219">
      <c r="A1219" t="inlineStr">
        <is>
          <t>Skill + Buff Cast Rate</t>
        </is>
      </c>
      <c r="B1219">
        <f>IF(AND(Inputs!$B$38&lt;&gt;"pvp",Inputs!$B$43&gt;0),SUMPRODUCT((Skills!E2:E30=TRUE)*(C1185:C1213=TRUE)*R1185:R1213*Skills!F2:F30)/Inputs!$B$43,SUMPRODUCT((Skills!E2:E30=TRUE)*(C1185:C1213=TRUE)*Q1185:Q1213*Skills!F2:F30))</f>
        <v/>
      </c>
    </row>
    <row r="1220">
      <c r="A1220" t="inlineStr">
        <is>
          <t>Arrow Stream Casts Per Second</t>
        </is>
      </c>
      <c r="B1220">
        <f>MAX(0,B1218-B1219)</f>
        <v/>
      </c>
    </row>
    <row r="1221">
      <c r="A1221" t="inlineStr">
        <is>
          <t>Global Critical Damage Bonus % (Sharp Eyes + Concentration)</t>
        </is>
      </c>
      <c r="B1221">
        <f>(C1199=TRUE)*F1199*IF(AND(Inputs!$B$38&lt;&gt;"pvp",Inputs!$B$43&gt;0),(((R1199-1)*(Skills!T16*(1+(Inputs!$B$34+1)/100))+MIN((Skills!T16*(1+(Inputs!$B$34+1)/100)),MAX(0,Inputs!$B$43-((R1199-1)*Skills!D16))))/Inputs!$B$43),IF(Inputs!$B$38="pvp",MIN((Skills!T16*(1+(Inputs!$B$34+1)/100)),15)/15,(Skills!T16*(1+(Inputs!$B$34+1)/100))/Skills!D16))+(C1200=TRUE)*30</f>
        <v/>
      </c>
    </row>
    <row r="1222">
      <c r="A1222" t="inlineStr">
        <is>
          <t>Global Final Damage Bonus % (Mortal Blow)</t>
        </is>
      </c>
      <c r="B1222">
        <f>(C1201=TRUE)*F1201</f>
        <v/>
      </c>
    </row>
    <row r="1223">
      <c r="A1223" t="inlineStr">
        <is>
          <t>Buff-Casting Startup Delay (s, fixed-duration only)</t>
        </is>
      </c>
      <c r="B1223">
        <f>IF(AND(Inputs!$B$38&lt;&gt;"pvp",Inputs!$B$43&gt;0),SUMPRODUCT((Skills!T2:T30&gt;0)*(Skills!E2:E30=TRUE)*(C1185:C1213=TRUE))/B1218,0)</f>
        <v/>
      </c>
    </row>
    <row r="1224">
      <c r="A1224" t="inlineStr">
        <is>
          <t>Boss-Only Total DPS (this block's swept value)</t>
        </is>
      </c>
      <c r="B1224">
        <f>SUM(T1185:T1213)</f>
        <v/>
      </c>
    </row>
    <row r="1225">
      <c r="A1225" t="inlineStr">
        <is>
          <t>Normal-Only Total DPS (this block's swept value)</t>
        </is>
      </c>
      <c r="B1225">
        <f>SUM(V1185:V1213)</f>
        <v/>
      </c>
    </row>
    <row r="1226">
      <c r="A1226" s="5" t="inlineStr">
        <is>
          <t>TOTAL DPS</t>
        </is>
      </c>
      <c r="B1226" s="5">
        <f>SUM(O1185:O1213)</f>
        <v/>
      </c>
    </row>
    <row r="1229">
      <c r="A1229" s="7" t="inlineStr">
        <is>
          <t>Cooldown Reduction Milestone Sweep (absolute CDR seconds, fixed-duration content only)</t>
        </is>
      </c>
    </row>
    <row r="1230">
      <c r="A1230" s="9" t="inlineStr">
        <is>
          <t>CDR (s)</t>
        </is>
      </c>
      <c r="B1230" s="9" t="inlineStr">
        <is>
          <t>Total DPS</t>
        </is>
      </c>
      <c r="C1230" s="9" t="inlineStr">
        <is>
          <t>DPS Gain (vs prior step)</t>
        </is>
      </c>
      <c r="D1230" s="9" t="inlineStr">
        <is>
          <t>% Gain (vs current CDR)</t>
        </is>
      </c>
    </row>
    <row r="1231">
      <c r="A1231" t="n">
        <v>0.5</v>
      </c>
      <c r="B1231">
        <f>B1286</f>
        <v/>
      </c>
      <c r="C1231" t="n">
        <v>0</v>
      </c>
      <c r="D1231">
        <f>IF(Summary!$B$3=0,0,(B1231-Summary!$B$3)/Summary!$B$3*100)</f>
        <v/>
      </c>
    </row>
    <row r="1232">
      <c r="A1232" t="n">
        <v>1</v>
      </c>
      <c r="B1232">
        <f>B1332</f>
        <v/>
      </c>
      <c r="C1232">
        <f>B1232-B1231</f>
        <v/>
      </c>
      <c r="D1232">
        <f>IF(Summary!$B$3=0,0,(B1232-Summary!$B$3)/Summary!$B$3*100)</f>
        <v/>
      </c>
    </row>
    <row r="1233">
      <c r="A1233" t="n">
        <v>1.5</v>
      </c>
      <c r="B1233">
        <f>B1378</f>
        <v/>
      </c>
      <c r="C1233">
        <f>B1233-B1232</f>
        <v/>
      </c>
      <c r="D1233">
        <f>IF(Summary!$B$3=0,0,(B1233-Summary!$B$3)/Summary!$B$3*100)</f>
        <v/>
      </c>
    </row>
    <row r="1234">
      <c r="A1234" t="n">
        <v>2</v>
      </c>
      <c r="B1234">
        <f>B1424</f>
        <v/>
      </c>
      <c r="C1234">
        <f>B1234-B1233</f>
        <v/>
      </c>
      <c r="D1234">
        <f>IF(Summary!$B$3=0,0,(B1234-Summary!$B$3)/Summary!$B$3*100)</f>
        <v/>
      </c>
    </row>
    <row r="1235">
      <c r="A1235" t="n">
        <v>2.5</v>
      </c>
      <c r="B1235">
        <f>B1470</f>
        <v/>
      </c>
      <c r="C1235">
        <f>B1235-B1234</f>
        <v/>
      </c>
      <c r="D1235">
        <f>IF(Summary!$B$3=0,0,(B1235-Summary!$B$3)/Summary!$B$3*100)</f>
        <v/>
      </c>
    </row>
    <row r="1236">
      <c r="A1236" t="n">
        <v>3</v>
      </c>
      <c r="B1236">
        <f>B1516</f>
        <v/>
      </c>
      <c r="C1236">
        <f>B1236-B1235</f>
        <v/>
      </c>
      <c r="D1236">
        <f>IF(Summary!$B$3=0,0,(B1236-Summary!$B$3)/Summary!$B$3*100)</f>
        <v/>
      </c>
    </row>
    <row r="1237">
      <c r="A1237" t="n">
        <v>3.5</v>
      </c>
      <c r="B1237">
        <f>B1562</f>
        <v/>
      </c>
      <c r="C1237">
        <f>B1237-B1236</f>
        <v/>
      </c>
      <c r="D1237">
        <f>IF(Summary!$B$3=0,0,(B1237-Summary!$B$3)/Summary!$B$3*100)</f>
        <v/>
      </c>
    </row>
    <row r="1238">
      <c r="A1238" t="n">
        <v>4</v>
      </c>
      <c r="B1238">
        <f>B1608</f>
        <v/>
      </c>
      <c r="C1238">
        <f>B1238-B1237</f>
        <v/>
      </c>
      <c r="D1238">
        <f>IF(Summary!$B$3=0,0,(B1238-Summary!$B$3)/Summary!$B$3*100)</f>
        <v/>
      </c>
    </row>
    <row r="1239">
      <c r="A1239" t="n">
        <v>4.5</v>
      </c>
      <c r="B1239">
        <f>B1654</f>
        <v/>
      </c>
      <c r="C1239">
        <f>B1239-B1238</f>
        <v/>
      </c>
      <c r="D1239">
        <f>IF(Summary!$B$3=0,0,(B1239-Summary!$B$3)/Summary!$B$3*100)</f>
        <v/>
      </c>
    </row>
    <row r="1240">
      <c r="A1240" t="n">
        <v>5</v>
      </c>
      <c r="B1240">
        <f>B1700</f>
        <v/>
      </c>
      <c r="C1240">
        <f>B1240-B1239</f>
        <v/>
      </c>
      <c r="D1240">
        <f>IF(Summary!$B$3=0,0,(B1240-Summary!$B$3)/Summary!$B$3*100)</f>
        <v/>
      </c>
    </row>
    <row r="1243">
      <c r="A1243" s="5" t="inlineStr">
        <is>
          <t>Stat: CDR = 0.5s</t>
        </is>
      </c>
    </row>
    <row r="1244">
      <c r="A1244" s="9" t="inlineStr">
        <is>
          <t>Key</t>
        </is>
      </c>
      <c r="B1244" s="9" t="inlineStr">
        <is>
          <t>Name</t>
        </is>
      </c>
      <c r="C1244" s="9" t="inlineStr">
        <is>
          <t>Unlocked</t>
        </is>
      </c>
      <c r="D1244" s="9" t="inlineStr">
        <is>
          <t>InputLevel</t>
        </is>
      </c>
      <c r="E1244" s="9" t="inlineStr">
        <is>
          <t>Factor</t>
        </is>
      </c>
      <c r="F1244" s="9" t="inlineStr">
        <is>
          <t>CoefficientPercent</t>
        </is>
      </c>
      <c r="G1244" s="9" t="inlineStr">
        <is>
          <t>EffectiveHits</t>
        </is>
      </c>
      <c r="H1244" s="9" t="inlineStr">
        <is>
          <t>ProcProbability</t>
        </is>
      </c>
      <c r="I1244" s="9" t="inlineStr">
        <is>
          <t>MapleHeroMultiplier</t>
        </is>
      </c>
      <c r="J1244" s="9" t="inlineStr">
        <is>
          <t>BaseDamage</t>
        </is>
      </c>
      <c r="K1244" s="9" t="inlineStr">
        <is>
          <t>BaseHitDamage</t>
        </is>
      </c>
      <c r="L1244" s="9" t="inlineStr">
        <is>
          <t>NonCritAvg</t>
        </is>
      </c>
      <c r="M1244" s="9" t="inlineStr">
        <is>
          <t>CritAvg</t>
        </is>
      </c>
      <c r="N1244" s="9" t="inlineStr">
        <is>
          <t>ExpectedDamage(perHit)</t>
        </is>
      </c>
      <c r="O1244" s="9" t="inlineStr">
        <is>
          <t>DPS</t>
        </is>
      </c>
      <c r="P1244" s="9" t="inlineStr">
        <is>
          <t>% of Total</t>
        </is>
      </c>
      <c r="Q1244" s="9" t="inlineStr">
        <is>
          <t>InvCooldown</t>
        </is>
      </c>
      <c r="R1244" s="9" t="inlineStr">
        <is>
          <t>CastsInFight</t>
        </is>
      </c>
      <c r="S1244" s="9" t="inlineStr">
        <is>
          <t>HitRate(perSec)</t>
        </is>
      </c>
      <c r="U1244" t="inlineStr">
        <is>
          <t>helpers</t>
        </is>
      </c>
    </row>
    <row r="1245">
      <c r="A1245">
        <f>Skills!A2</f>
        <v/>
      </c>
      <c r="B1245">
        <f>Skills!B2</f>
        <v/>
      </c>
      <c r="C1245">
        <f>Inputs!$B$3&gt;=100</f>
        <v/>
      </c>
      <c r="D1245" t="inlineStr"/>
      <c r="E1245" t="inlineStr"/>
      <c r="F1245">
        <f>U1247+Skills!O2</f>
        <v/>
      </c>
      <c r="G1245">
        <f>Skills!G2*IF(Skills!H2&gt;0,Skills!I2/Skills!H2,1)</f>
        <v/>
      </c>
      <c r="H1245">
        <f>1-(1-Skills!J2/100)^Skills!K2</f>
        <v/>
      </c>
      <c r="I1245" t="inlineStr">
        <is>
          <t>1</t>
        </is>
      </c>
      <c r="J1245">
        <f>((Inputs!$B$6*(1+Inputs!$B$7/100))+(((Inputs!$B$12*(1+Inputs!$B$13/100))-(Inputs!$B$12*(1+Inputs!$B$13/100)))+0.25*(Inputs!$B$14-Inputs!$B$14))*(1+Inputs!$B$7/100))*(F1245/100)</f>
        <v/>
      </c>
      <c r="K1245">
        <f>J1245*(1+((Inputs!$B$12*(1+Inputs!$B$13/100))*0.01+Inputs!$B$14*0.0025)/100)*(1+Inputs!$B$15/100)*(1+Inputs!$B$16/100)*(5000/(6000+Inputs!$B$42*(1-(Inputs!$B$19+((C1270=TRUE)*(F1270-Calc!F27)))/100)))*(1+(Inputs!$B$24+((C1268=TRUE)*(F1268-Calc!F25))+((C1269=TRUE)*(F1269-Calc!F26))+B1282)/100)*(1+(IF(Skills!A2="ARROW_STREAM",Inputs!$B$17+((C1266=TRUE)*(F1266-Calc!F23)),Inputs!$B$18+((C1271=TRUE)*(F1271-Calc!F28))))/100)*((1+(((C1256=TRUE)*F1256)+((C1257=TRUE)*IF(Inputs!$B$38="pvp",F1257,(1-Summary!$B$55)*(F1257)+Summary!$B$55*(0)))+((C1258=TRUE)*F1258*IF(AND(Inputs!$B$38&lt;&gt;"pvp",Inputs!$B$43&gt;0),(((R1258-1)*(Skills!T15*(1+Inputs!$B$34/100))+MIN((Skills!T15*(1+Inputs!$B$34/100)),MAX(0,Inputs!$B$43-((R1258-1)*Skills!D15))))/Inputs!$B$43),IF(Inputs!$B$38="pvp",MIN((Skills!T15*(1+Inputs!$B$34/100)),15)/15,(Skills!T15*(1+Inputs!$B$34/100))/Skills!D15)))+((C1273=TRUE)*(F1273-Calc!F30)))/100)*I1245)</f>
        <v/>
      </c>
      <c r="L1245">
        <f>K1245*(MIN(Inputs!$B$22+((C1267=TRUE)*(F1267-Calc!F24)),Inputs!$B$23+((C1272=TRUE)*(F1272-Calc!F29)))/100+(Inputs!$B$23+((C1272=TRUE)*(F1272-Calc!F29)))/100)/2</f>
        <v/>
      </c>
      <c r="M1245">
        <f>L1245*(1+(Inputs!$B$10+0+B1281)/100)</f>
        <v/>
      </c>
      <c r="N1245">
        <f>L1245*(1-MIN((Inputs!$B$9+((C1263=TRUE)*(F1263-Calc!F20))+B1276),100)/100)+M1245*(MIN((Inputs!$B$9+((C1263=TRUE)*(F1263-Calc!F20))+B1276),100)/100)</f>
        <v/>
      </c>
      <c r="O1245">
        <f>(1-Summary!$B$55)*T1245+Summary!$B$55*V1245</f>
        <v/>
      </c>
      <c r="P1245">
        <f>IF(B1286=0,0,O1245/B1286)</f>
        <v/>
      </c>
      <c r="Q1245" t="n">
        <v>0</v>
      </c>
      <c r="R1245" t="n">
        <v>0</v>
      </c>
      <c r="S1245">
        <f>IFERROR(O1245/N1245,0)</f>
        <v/>
      </c>
      <c r="T1245">
        <f>IF(C1245,(Skills!G2*N1245*B1280)*IF(Inputs!$B$38="pvp",1,1+(Inputs!$B$20+0+Skills!P2)/100),0)</f>
        <v/>
      </c>
      <c r="U1245">
        <f>MAX(0,(Inputs!$B$3-100)*3)+Inputs!$B$28+Inputs!$B$29</f>
        <v/>
      </c>
      <c r="V1245">
        <f>IF(C1245,(Skills!G2*N1245*B1280)*IF(Inputs!$B$38="pvp",1,(1+(Inputs!$B$21+Skills!Q2)/100)*(MIN((6+Inputs!$B$33),Inputs!$B$37))),0)</f>
        <v/>
      </c>
    </row>
    <row r="1246">
      <c r="A1246">
        <f>Skills!A3</f>
        <v/>
      </c>
      <c r="B1246">
        <f>Skills!B3</f>
        <v/>
      </c>
      <c r="C1246">
        <f>Inputs!$B$3&gt;=50</f>
        <v/>
      </c>
      <c r="D1246">
        <f>IF(Skills!C3=1,60+Inputs!$B$25+Inputs!$B$29,IF(Skills!C3=2,90+Inputs!$B$26+Inputs!$B$29,IF(Skills!C3=3,120+Inputs!$B$27+Inputs!$B$29,MAX(0,(Inputs!$B$3-100)*3)+Inputs!$B$28+Inputs!$B$29)))</f>
        <v/>
      </c>
      <c r="E1246">
        <f>INDEX(FactorTable!$B$2:$Y$301, MATCH(ROUND(MIN(300,MAX(1,D1246)),0), FactorTable!$A$2:$A$301,0), Skills!M3+1)</f>
        <v/>
      </c>
      <c r="F1246">
        <f>IF(Skills!N3=TRUE,(Skills!L3/10)*(E1246/1000),Skills!L3/10)+Skills!O3</f>
        <v/>
      </c>
      <c r="G1246" t="inlineStr"/>
      <c r="H1246" t="inlineStr"/>
      <c r="I1246" t="inlineStr">
        <is>
          <t>1</t>
        </is>
      </c>
      <c r="J1246" t="inlineStr"/>
      <c r="K1246" t="inlineStr"/>
      <c r="L1246" t="inlineStr"/>
      <c r="M1246" t="inlineStr"/>
      <c r="N1246" t="inlineStr"/>
      <c r="O1246" t="inlineStr"/>
      <c r="P1246" t="inlineStr"/>
      <c r="Q1246" t="inlineStr"/>
      <c r="R1246" t="inlineStr"/>
      <c r="S1246" t="inlineStr"/>
      <c r="T1246" t="inlineStr"/>
      <c r="U1246">
        <f>INDEX(FactorTable!$B$2:$Y$301, MATCH(ROUND(MIN(300,MAX(1,U1245)),0), FactorTable!$A$2:$A$301,0), 22)</f>
        <v/>
      </c>
      <c r="V1246" t="inlineStr"/>
    </row>
    <row r="1247">
      <c r="A1247">
        <f>Skills!A4</f>
        <v/>
      </c>
      <c r="B1247">
        <f>Skills!B4</f>
        <v/>
      </c>
      <c r="C1247">
        <f>Inputs!$B$3&gt;=105</f>
        <v/>
      </c>
      <c r="D1247">
        <f>IF(Skills!C4=1,60+Inputs!$B$25+Inputs!$B$29,IF(Skills!C4=2,90+Inputs!$B$26+Inputs!$B$29,IF(Skills!C4=3,120+Inputs!$B$27+Inputs!$B$29,MAX(0,(Inputs!$B$3-100)*3)+Inputs!$B$28+Inputs!$B$29)))</f>
        <v/>
      </c>
      <c r="E1247">
        <f>INDEX(FactorTable!$B$2:$Y$301, MATCH(ROUND(MIN(300,MAX(1,D1247)),0), FactorTable!$A$2:$A$301,0), Skills!M4+1)</f>
        <v/>
      </c>
      <c r="F1247">
        <f>IF(Skills!N4=TRUE,(Skills!L4/10)*(E1247/1000),Skills!L4/10)+Skills!O4</f>
        <v/>
      </c>
      <c r="G1247" t="inlineStr"/>
      <c r="H1247" t="inlineStr"/>
      <c r="I1247" t="inlineStr">
        <is>
          <t>1</t>
        </is>
      </c>
      <c r="J1247" t="inlineStr"/>
      <c r="K1247" t="inlineStr"/>
      <c r="L1247" t="inlineStr"/>
      <c r="M1247" t="inlineStr"/>
      <c r="N1247" t="inlineStr"/>
      <c r="O1247" t="inlineStr"/>
      <c r="P1247" t="inlineStr"/>
      <c r="Q1247" t="inlineStr"/>
      <c r="R1247" t="inlineStr"/>
      <c r="S1247" t="inlineStr"/>
      <c r="T1247" t="inlineStr"/>
      <c r="U1247">
        <f>290*U1246/1000</f>
        <v/>
      </c>
      <c r="V1247" t="inlineStr"/>
    </row>
    <row r="1248">
      <c r="A1248">
        <f>Skills!A5</f>
        <v/>
      </c>
      <c r="B1248">
        <f>Skills!B5</f>
        <v/>
      </c>
      <c r="C1248">
        <f>Inputs!$B$3&gt;=35</f>
        <v/>
      </c>
      <c r="D1248">
        <f>IF(Skills!C5=1,60+Inputs!$B$25+Inputs!$B$29,IF(Skills!C5=2,90+Inputs!$B$26+Inputs!$B$29,IF(Skills!C5=3,120+Inputs!$B$27+Inputs!$B$29,MAX(0,(Inputs!$B$3-100)*3)+Inputs!$B$28+Inputs!$B$29)))</f>
        <v/>
      </c>
      <c r="E1248">
        <f>INDEX(FactorTable!$B$2:$Y$301, MATCH(ROUND(MIN(300,MAX(1,D1248)),0), FactorTable!$A$2:$A$301,0), Skills!M5+1)</f>
        <v/>
      </c>
      <c r="F1248">
        <f>IF(Skills!N5=TRUE,(Skills!L5/10)*(E1248/1000),Skills!L5/10)+Skills!O5</f>
        <v/>
      </c>
      <c r="G1248">
        <f>Skills!G5*IF(Skills!H5&gt;0,Skills!I5/Skills!H5,1)</f>
        <v/>
      </c>
      <c r="H1248">
        <f>1-(1-Skills!J5/100)^Skills!K5</f>
        <v/>
      </c>
      <c r="I1248" t="inlineStr">
        <is>
          <t>1</t>
        </is>
      </c>
      <c r="J1248">
        <f>((Inputs!$B$6*(1+Inputs!$B$7/100))+(((Inputs!$B$12*(1+Inputs!$B$13/100))-(Inputs!$B$12*(1+Inputs!$B$13/100)))+0.25*(Inputs!$B$14-Inputs!$B$14))*(1+Inputs!$B$7/100))*(F1248/100)</f>
        <v/>
      </c>
      <c r="K1248">
        <f>J1248*(1+((Inputs!$B$12*(1+Inputs!$B$13/100))*0.01+Inputs!$B$14*0.0025)/100)*(1+Inputs!$B$15/100)*(1+Inputs!$B$16/100)*(5000/(6000+Inputs!$B$42*(1-(Inputs!$B$19+((C1270=TRUE)*(F1270-Calc!F27)))/100)))*(1+(Inputs!$B$24+((C1268=TRUE)*(F1268-Calc!F25))+((C1269=TRUE)*(F1269-Calc!F26))+B1282)/100)*(1+4.0*IF(C1253=TRUE,F1253,0)/100)*(1+(IF(Skills!A5="ARROW_STREAM",Inputs!$B$17+((C1266=TRUE)*(F1266-Calc!F23)),Inputs!$B$18+((C1271=TRUE)*(F1271-Calc!F28))))/100)*((1+(((C1256=TRUE)*F1256)+((C1257=TRUE)*IF(Inputs!$B$38="pvp",F1257,(1-Summary!$B$55)*(F1257)+Summary!$B$55*(0)))+((C1258=TRUE)*F1258*IF(AND(Inputs!$B$38&lt;&gt;"pvp",Inputs!$B$43&gt;0),(((R1258-1)*(Skills!T15*(1+Inputs!$B$34/100))+MIN((Skills!T15*(1+Inputs!$B$34/100)),MAX(0,Inputs!$B$43-((R1258-1)*Skills!D15))))/Inputs!$B$43),IF(Inputs!$B$38="pvp",MIN((Skills!T15*(1+Inputs!$B$34/100)),15)/15,(Skills!T15*(1+Inputs!$B$34/100))/Skills!D15)))+((C1273=TRUE)*(F1273-Calc!F30)))/100)*I1248)</f>
        <v/>
      </c>
      <c r="L1248">
        <f>K1248*(MIN(Inputs!$B$22+((C1267=TRUE)*(F1267-Calc!F24)),Inputs!$B$23+((C1272=TRUE)*(F1272-Calc!F29)))/100+(Inputs!$B$23+((C1272=TRUE)*(F1272-Calc!F29)))/100)/2</f>
        <v/>
      </c>
      <c r="M1248">
        <f>L1248*(1+(Inputs!$B$10+0+B1281)/100)</f>
        <v/>
      </c>
      <c r="N1248">
        <f>L1248*(1-MIN((Inputs!$B$9+((C1263=TRUE)*(F1263-Calc!F20))+B1276),100)/100)+M1248*(MIN((Inputs!$B$9+((C1263=TRUE)*(F1263-Calc!F20))+B1276),100)/100)</f>
        <v/>
      </c>
      <c r="O1248">
        <f>(1-Summary!$B$55)*T1248+Summary!$B$55*V1248</f>
        <v/>
      </c>
      <c r="P1248">
        <f>IF(B1286=0,0,O1248/B1286)</f>
        <v/>
      </c>
      <c r="Q1248">
        <f>IFERROR(1/IF(Inputs!$B$38="pvp",15,MAX(0.1,Skills!D5-IF(Skills!E5=TRUE,0.5,0))),0)</f>
        <v/>
      </c>
      <c r="R1248">
        <f>IF(AND(Inputs!$B$38&lt;&gt;"pvp",Inputs!$B$43&gt;0),IF(MAX(0,Inputs!$B$43-B1283)&lt;=0,0,(INT(MAX(0,Inputs!$B$43-B1283)/IF(Inputs!$B$38="pvp",15,MAX(0.1,Skills!D5-IF(Skills!E5=TRUE,0.5,0))))+1)),0)</f>
        <v/>
      </c>
      <c r="S1248">
        <f>IFERROR(O1248/N1248,0)</f>
        <v/>
      </c>
      <c r="T1248">
        <f>IF(C1248,(H1248*N1248*IF(AND(Inputs!$B$38&lt;&gt;"pvp",Inputs!$B$43&gt;0),((Skills!G5*((R1248-1)*IF(Skills!H5&gt;0,Skills!I5/Skills!H5,1)+IF(Skills!H5&gt;0,MIN(Skills!I5,MAX(0,MAX(0,Inputs!$B$43-B1283)-((R1248-1)*IF(Inputs!$B$38="pvp",15,MAX(0.1,Skills!D5-IF(Skills!E5=TRUE,0.5,0))))))/Skills!H5,1)))/Inputs!$B$43),G1248*Q1248))*IF(Inputs!$B$38="pvp",1,1+(Inputs!$B$20+0+Skills!P5)/100),0)</f>
        <v/>
      </c>
      <c r="V1248">
        <f>IF(C1248,(H1248*N1248*IF(AND(Inputs!$B$38&lt;&gt;"pvp",Inputs!$B$43&gt;0),((Skills!G5*((R1248-1)*IF(Skills!H5&gt;0,Skills!I5/Skills!H5,1)+IF(Skills!H5&gt;0,MIN(Skills!I5,MAX(0,MAX(0,Inputs!$B$43-B1283)-((R1248-1)*IF(Inputs!$B$38="pvp",15,MAX(0.1,Skills!D5-IF(Skills!E5=TRUE,0.5,0))))))/Skills!H5,1)))/Inputs!$B$43),G1248*Q1248))*IF(Inputs!$B$38="pvp",1,(1+(Inputs!$B$21+Skills!Q5)/100)*(MIN(Skills!R5,Inputs!$B$37))),0)</f>
        <v/>
      </c>
    </row>
    <row r="1249">
      <c r="A1249">
        <f>Skills!A6</f>
        <v/>
      </c>
      <c r="B1249">
        <f>Skills!B6</f>
        <v/>
      </c>
      <c r="C1249">
        <f>Inputs!$B$3&gt;=40</f>
        <v/>
      </c>
      <c r="D1249">
        <f>IF(Skills!C6=1,60+Inputs!$B$25+Inputs!$B$29,IF(Skills!C6=2,90+Inputs!$B$26+Inputs!$B$29,IF(Skills!C6=3,120+Inputs!$B$27+Inputs!$B$29,MAX(0,(Inputs!$B$3-100)*3)+Inputs!$B$28+Inputs!$B$29)))</f>
        <v/>
      </c>
      <c r="E1249">
        <f>INDEX(FactorTable!$B$2:$Y$301, MATCH(ROUND(MIN(300,MAX(1,D1249)),0), FactorTable!$A$2:$A$301,0), Skills!M6+1)</f>
        <v/>
      </c>
      <c r="F1249">
        <f>IF(Skills!N6=TRUE,(Skills!L6/10)*(E1249/1000),Skills!L6/10)+Skills!O6</f>
        <v/>
      </c>
      <c r="G1249">
        <f>Skills!G6*IF(Skills!H6&gt;0,Skills!I6/Skills!H6,1)</f>
        <v/>
      </c>
      <c r="H1249">
        <f>1-(1-Skills!J6/100)^Skills!K6</f>
        <v/>
      </c>
      <c r="I1249" t="inlineStr">
        <is>
          <t>1</t>
        </is>
      </c>
      <c r="J1249">
        <f>((Inputs!$B$6*(1+Inputs!$B$7/100))+(((Inputs!$B$12*(1+Inputs!$B$13/100))-(Inputs!$B$12*(1+Inputs!$B$13/100)))+0.25*(Inputs!$B$14-Inputs!$B$14))*(1+Inputs!$B$7/100))*(F1249/100)</f>
        <v/>
      </c>
      <c r="K1249">
        <f>J1249*(1+((Inputs!$B$12*(1+Inputs!$B$13/100))*0.01+Inputs!$B$14*0.0025)/100)*(1+Inputs!$B$15/100)*(1+Inputs!$B$16/100)*(5000/(6000+Inputs!$B$42*(1-(Inputs!$B$19+((C1270=TRUE)*(F1270-Calc!F27)))/100)))*(1+(Inputs!$B$24+((C1268=TRUE)*(F1268-Calc!F25))+((C1269=TRUE)*(F1269-Calc!F26))+B1282)/100)*(1+IF(C1250=TRUE,F1250,0)/100)*(1+(IF(Skills!A6="ARROW_STREAM",Inputs!$B$17+((C1266=TRUE)*(F1266-Calc!F23)),Inputs!$B$18+((C1271=TRUE)*(F1271-Calc!F28))))/100)*((1+(((C1256=TRUE)*F1256)+((C1257=TRUE)*IF(Inputs!$B$38="pvp",F1257,(1-Summary!$B$55)*(F1257)+Summary!$B$55*(0)))+((C1258=TRUE)*F1258*IF(AND(Inputs!$B$38&lt;&gt;"pvp",Inputs!$B$43&gt;0),(((R1258-1)*(Skills!T15*(1+Inputs!$B$34/100))+MIN((Skills!T15*(1+Inputs!$B$34/100)),MAX(0,Inputs!$B$43-((R1258-1)*Skills!D15))))/Inputs!$B$43),IF(Inputs!$B$38="pvp",MIN((Skills!T15*(1+Inputs!$B$34/100)),15)/15,(Skills!T15*(1+Inputs!$B$34/100))/Skills!D15)))+((C1273=TRUE)*(F1273-Calc!F30)))/100)*I1249)</f>
        <v/>
      </c>
      <c r="L1249">
        <f>K1249*(MIN(Inputs!$B$22+((C1267=TRUE)*(F1267-Calc!F24)),Inputs!$B$23+((C1272=TRUE)*(F1272-Calc!F29)))/100+(Inputs!$B$23+((C1272=TRUE)*(F1272-Calc!F29)))/100)/2</f>
        <v/>
      </c>
      <c r="M1249">
        <f>L1249*(1+(Inputs!$B$10+0+B1281)/100)</f>
        <v/>
      </c>
      <c r="N1249">
        <f>L1249*(1-MIN((Inputs!$B$9+((C1263=TRUE)*(F1263-Calc!F20))+B1276),100)/100)+M1249*(MIN((Inputs!$B$9+((C1263=TRUE)*(F1263-Calc!F20))+B1276),100)/100)</f>
        <v/>
      </c>
      <c r="O1249">
        <f>(1-Summary!$B$55)*T1249+Summary!$B$55*V1249</f>
        <v/>
      </c>
      <c r="P1249">
        <f>IF(B1286=0,0,O1249/B1286)</f>
        <v/>
      </c>
      <c r="Q1249">
        <f>IFERROR(1/IF(Inputs!$B$38="pvp",15,MAX(0.1,Skills!D6-IF(Skills!E6=TRUE,0.5,0))),0)</f>
        <v/>
      </c>
      <c r="R1249">
        <f>IF(AND(Inputs!$B$38&lt;&gt;"pvp",Inputs!$B$43&gt;0),IF(MAX(0,Inputs!$B$43-B1283)&lt;=0,0,(INT(MAX(0,Inputs!$B$43-B1283)/IF(Inputs!$B$38="pvp",15,MAX(0.1,Skills!D6-IF(Skills!E6=TRUE,0.5,0))))+1)),0)</f>
        <v/>
      </c>
      <c r="S1249">
        <f>IFERROR(O1249/N1249,0)</f>
        <v/>
      </c>
      <c r="T1249">
        <f>IF(C1249,(H1249*N1249*IF(AND(Inputs!$B$38&lt;&gt;"pvp",Inputs!$B$43&gt;0),((Skills!G6*((R1249-1)*IF(Skills!H6&gt;0,Skills!I6/Skills!H6,1)+IF(Skills!H6&gt;0,MIN(Skills!I6,MAX(0,MAX(0,Inputs!$B$43-B1283)-((R1249-1)*IF(Inputs!$B$38="pvp",15,MAX(0.1,Skills!D6-IF(Skills!E6=TRUE,0.5,0))))))/Skills!H6,1)))/Inputs!$B$43),G1249*Q1249))*IF(Inputs!$B$38="pvp",1,1+(Inputs!$B$20+0+Skills!P6)/100),0)</f>
        <v/>
      </c>
      <c r="V1249">
        <f>IF(C1249,(H1249*N1249*IF(AND(Inputs!$B$38&lt;&gt;"pvp",Inputs!$B$43&gt;0),((Skills!G6*((R1249-1)*IF(Skills!H6&gt;0,Skills!I6/Skills!H6,1)+IF(Skills!H6&gt;0,MIN(Skills!I6,MAX(0,MAX(0,Inputs!$B$43-B1283)-((R1249-1)*IF(Inputs!$B$38="pvp",15,MAX(0.1,Skills!D6-IF(Skills!E6=TRUE,0.5,0))))))/Skills!H6,1)))/Inputs!$B$43),G1249*Q1249))*IF(Inputs!$B$38="pvp",1,(1+(Inputs!$B$21+Skills!Q6)/100)*(MIN(Skills!R6,Inputs!$B$37))),0)</f>
        <v/>
      </c>
    </row>
    <row r="1250">
      <c r="A1250">
        <f>Skills!A7</f>
        <v/>
      </c>
      <c r="B1250">
        <f>Skills!B7</f>
        <v/>
      </c>
      <c r="C1250">
        <f>Inputs!$B$3&gt;=107</f>
        <v/>
      </c>
      <c r="D1250">
        <f>IF(Skills!C7=1,60+Inputs!$B$25+Inputs!$B$29,IF(Skills!C7=2,90+Inputs!$B$26+Inputs!$B$29,IF(Skills!C7=3,120+Inputs!$B$27+Inputs!$B$29,MAX(0,(Inputs!$B$3-100)*3)+Inputs!$B$28+Inputs!$B$29)))</f>
        <v/>
      </c>
      <c r="E1250">
        <f>INDEX(FactorTable!$B$2:$Y$301, MATCH(ROUND(MIN(300,MAX(1,D1250)),0), FactorTable!$A$2:$A$301,0), Skills!M7+1)</f>
        <v/>
      </c>
      <c r="F1250">
        <f>IF(Skills!N7=TRUE,(Skills!L7/10)*(E1250/1000),Skills!L7/10)+Skills!O7</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T1250" t="inlineStr"/>
      <c r="V1250" t="inlineStr"/>
    </row>
    <row r="1251">
      <c r="A1251">
        <f>Skills!A8</f>
        <v/>
      </c>
      <c r="B1251">
        <f>Skills!B8</f>
        <v/>
      </c>
      <c r="C1251">
        <f>Inputs!$B$3&gt;=69</f>
        <v/>
      </c>
      <c r="D1251">
        <f>IF(Skills!C8=1,60+Inputs!$B$25+Inputs!$B$29,IF(Skills!C8=2,90+Inputs!$B$26+Inputs!$B$29,IF(Skills!C8=3,120+Inputs!$B$27+Inputs!$B$29,MAX(0,(Inputs!$B$3-100)*3)+Inputs!$B$28+Inputs!$B$29)))</f>
        <v/>
      </c>
      <c r="E1251">
        <f>INDEX(FactorTable!$B$2:$Y$301, MATCH(ROUND(MIN(300,MAX(1,D1251)),0), FactorTable!$A$2:$A$301,0), Skills!M8+1)</f>
        <v/>
      </c>
      <c r="F1251">
        <f>IF(Skills!N8=TRUE,(Skills!L8/10)*(E1251/1000),Skills!L8/10)+Skills!O8</f>
        <v/>
      </c>
      <c r="G1251">
        <f>Skills!G8*IF(Skills!H8&gt;0,Skills!I8/Skills!H8,1)</f>
        <v/>
      </c>
      <c r="H1251">
        <f>1-(1-Skills!J8/100)^Skills!K8</f>
        <v/>
      </c>
      <c r="I1251" t="inlineStr">
        <is>
          <t>1</t>
        </is>
      </c>
      <c r="J1251">
        <f>((Inputs!$B$6*(1+Inputs!$B$7/100))+(((Inputs!$B$12*(1+Inputs!$B$13/100))-(Inputs!$B$12*(1+Inputs!$B$13/100)))+0.25*(Inputs!$B$14-Inputs!$B$14))*(1+Inputs!$B$7/100))*(F1251/100)</f>
        <v/>
      </c>
      <c r="K1251">
        <f>J1251*(1+((Inputs!$B$12*(1+Inputs!$B$13/100))*0.01+Inputs!$B$14*0.0025)/100)*(1+Inputs!$B$15/100)*(1+Inputs!$B$16/100)*(5000/(6000+Inputs!$B$42*(1-(Inputs!$B$19+((C1270=TRUE)*(F1270-Calc!F27)))/100)))*(1+(Inputs!$B$24+((C1268=TRUE)*(F1268-Calc!F25))+((C1269=TRUE)*(F1269-Calc!F26))+B1282)/100)*(1+1.2*IF(C1253=TRUE,F1253,0)/100)*(1+(IF(Skills!A8="ARROW_STREAM",Inputs!$B$17+((C1266=TRUE)*(F1266-Calc!F23)),Inputs!$B$18+((C1271=TRUE)*(F1271-Calc!F28))))/100)*((1+(((C1256=TRUE)*F1256)+((C1257=TRUE)*IF(Inputs!$B$38="pvp",F1257,(1-Summary!$B$55)*(F1257)+Summary!$B$55*(0)))+((C1258=TRUE)*F1258*IF(AND(Inputs!$B$38&lt;&gt;"pvp",Inputs!$B$43&gt;0),(((R1258-1)*(Skills!T15*(1+Inputs!$B$34/100))+MIN((Skills!T15*(1+Inputs!$B$34/100)),MAX(0,Inputs!$B$43-((R1258-1)*Skills!D15))))/Inputs!$B$43),IF(Inputs!$B$38="pvp",MIN((Skills!T15*(1+Inputs!$B$34/100)),15)/15,(Skills!T15*(1+Inputs!$B$34/100))/Skills!D15)))+((C1273=TRUE)*(F1273-Calc!F30)))/100)*I1251)</f>
        <v/>
      </c>
      <c r="L1251">
        <f>K1251*(MIN(Inputs!$B$22+((C1267=TRUE)*(F1267-Calc!F24)),Inputs!$B$23+((C1272=TRUE)*(F1272-Calc!F29)))/100+(Inputs!$B$23+((C1272=TRUE)*(F1272-Calc!F29)))/100)/2</f>
        <v/>
      </c>
      <c r="M1251">
        <f>L1251*(1+(Inputs!$B$10+0+B1281)/100)</f>
        <v/>
      </c>
      <c r="N1251">
        <f>L1251*(1-MIN((Inputs!$B$9+((C1263=TRUE)*(F1263-Calc!F20))+B1276),100)/100)+M1251*(MIN((Inputs!$B$9+((C1263=TRUE)*(F1263-Calc!F20))+B1276),100)/100)</f>
        <v/>
      </c>
      <c r="O1251">
        <f>(1-Summary!$B$55)*T1251+Summary!$B$55*V1251</f>
        <v/>
      </c>
      <c r="P1251">
        <f>IF(B1286=0,0,O1251/B1286)</f>
        <v/>
      </c>
      <c r="Q1251">
        <f>IFERROR(1/IF(Inputs!$B$38="pvp",15,MAX(0.1,Skills!D8-IF(Skills!E8=TRUE,0.5,0))),0)</f>
        <v/>
      </c>
      <c r="R1251">
        <f>IF(AND(Inputs!$B$38&lt;&gt;"pvp",Inputs!$B$43&gt;0),IF(MAX(0,Inputs!$B$43-B1283)&lt;=0,0,(INT(MAX(0,Inputs!$B$43-B1283)/IF(Inputs!$B$38="pvp",15,MAX(0.1,Skills!D8-IF(Skills!E8=TRUE,0.5,0))))+1)),0)</f>
        <v/>
      </c>
      <c r="S1251">
        <f>IFERROR(O1251/N1251,0)</f>
        <v/>
      </c>
      <c r="T1251">
        <f>IF(C1251,(H1251*N1251*IF(AND(Inputs!$B$38&lt;&gt;"pvp",Inputs!$B$43&gt;0),((Skills!G8*((R1251-1)*IF(Skills!H8&gt;0,Skills!I8/Skills!H8,1)+IF(Skills!H8&gt;0,MIN(Skills!I8,MAX(0,MAX(0,Inputs!$B$43-B1283)-((R1251-1)*IF(Inputs!$B$38="pvp",15,MAX(0.1,Skills!D8-IF(Skills!E8=TRUE,0.5,0))))))/Skills!H8,1)))/Inputs!$B$43),G1251*Q1251))*IF(Inputs!$B$38="pvp",1,1+(Inputs!$B$20+0+Skills!P8)/100),0)</f>
        <v/>
      </c>
      <c r="V1251">
        <f>IF(C1251,(H1251*N1251*IF(AND(Inputs!$B$38&lt;&gt;"pvp",Inputs!$B$43&gt;0),((Skills!G8*((R1251-1)*IF(Skills!H8&gt;0,Skills!I8/Skills!H8,1)+IF(Skills!H8&gt;0,MIN(Skills!I8,MAX(0,MAX(0,Inputs!$B$43-B1283)-((R1251-1)*IF(Inputs!$B$38="pvp",15,MAX(0.1,Skills!D8-IF(Skills!E8=TRUE,0.5,0))))))/Skills!H8,1)))/Inputs!$B$43),G1251*Q1251))*IF(Inputs!$B$38="pvp",1,(1+(Inputs!$B$21+Skills!Q8)/100)*(MIN(Skills!R8,Inputs!$B$37))),0)</f>
        <v/>
      </c>
    </row>
    <row r="1252">
      <c r="A1252">
        <f>Skills!A9</f>
        <v/>
      </c>
      <c r="B1252">
        <f>Skills!B9</f>
        <v/>
      </c>
      <c r="C1252">
        <f>Inputs!$B$3&gt;=63</f>
        <v/>
      </c>
      <c r="D1252">
        <f>IF(Skills!C9=1,60+Inputs!$B$25+Inputs!$B$29,IF(Skills!C9=2,90+Inputs!$B$26+Inputs!$B$29,IF(Skills!C9=3,120+Inputs!$B$27+Inputs!$B$29,MAX(0,(Inputs!$B$3-100)*3)+Inputs!$B$28+Inputs!$B$29)))</f>
        <v/>
      </c>
      <c r="E1252">
        <f>INDEX(FactorTable!$B$2:$Y$301, MATCH(ROUND(MIN(300,MAX(1,D1252)),0), FactorTable!$A$2:$A$301,0), Skills!M9+1)</f>
        <v/>
      </c>
      <c r="F1252">
        <f>IF(Skills!N9=TRUE,(Skills!L9/10)*(E1252/1000),Skills!L9/10)+Skills!O9</f>
        <v/>
      </c>
      <c r="G1252">
        <f>Skills!G9*IF(Skills!H9&gt;0,Skills!I9/Skills!H9,1)</f>
        <v/>
      </c>
      <c r="H1252">
        <f>1-(1-Skills!J9/100)^Skills!K9</f>
        <v/>
      </c>
      <c r="I1252" t="inlineStr">
        <is>
          <t>1</t>
        </is>
      </c>
      <c r="J1252">
        <f>((Inputs!$B$6*(1+Inputs!$B$7/100))+(((Inputs!$B$12*(1+Inputs!$B$13/100))-(Inputs!$B$12*(1+Inputs!$B$13/100)))+0.25*(Inputs!$B$14-Inputs!$B$14))*(1+Inputs!$B$7/100))*(F1252/100)</f>
        <v/>
      </c>
      <c r="K1252">
        <f>J1252*(1+((Inputs!$B$12*(1+Inputs!$B$13/100))*0.01+Inputs!$B$14*0.0025)/100)*(1+Inputs!$B$15/100)*(1+Inputs!$B$16/100)*(5000/(6000+Inputs!$B$42*(1-(Inputs!$B$19+((C1270=TRUE)*(F1270-Calc!F27)))/100)))*(1+(Inputs!$B$24+((C1268=TRUE)*(F1268-Calc!F25))+((C1269=TRUE)*(F1269-Calc!F26))+B1282)/100)*(1+1.0*IF(C1253=TRUE,F1253,0)/100)*(1+(IF(Skills!A9="ARROW_STREAM",Inputs!$B$17+((C1266=TRUE)*(F1266-Calc!F23)),Inputs!$B$18+((C1271=TRUE)*(F1271-Calc!F28))))/100)*((1+(((C1256=TRUE)*F1256)+((C1257=TRUE)*IF(Inputs!$B$38="pvp",F1257,(1-Summary!$B$55)*(F1257)+Summary!$B$55*(0)))+((C1258=TRUE)*F1258*IF(AND(Inputs!$B$38&lt;&gt;"pvp",Inputs!$B$43&gt;0),(((R1258-1)*(Skills!T15*(1+Inputs!$B$34/100))+MIN((Skills!T15*(1+Inputs!$B$34/100)),MAX(0,Inputs!$B$43-((R1258-1)*Skills!D15))))/Inputs!$B$43),IF(Inputs!$B$38="pvp",MIN((Skills!T15*(1+Inputs!$B$34/100)),15)/15,(Skills!T15*(1+Inputs!$B$34/100))/Skills!D15)))+((C1273=TRUE)*(F1273-Calc!F30)))/100)*I1252)</f>
        <v/>
      </c>
      <c r="L1252">
        <f>K1252*(MIN(Inputs!$B$22+((C1267=TRUE)*(F1267-Calc!F24)),Inputs!$B$23+((C1272=TRUE)*(F1272-Calc!F29)))/100+(Inputs!$B$23+((C1272=TRUE)*(F1272-Calc!F29)))/100)/2</f>
        <v/>
      </c>
      <c r="M1252">
        <f>L1252*(1+(Inputs!$B$10+0+B1281)/100)</f>
        <v/>
      </c>
      <c r="N1252">
        <f>L1252*(1-MIN((Inputs!$B$9+((C1263=TRUE)*(F1263-Calc!F20))+B1276),100)/100)+M1252*(MIN((Inputs!$B$9+((C1263=TRUE)*(F1263-Calc!F20))+B1276),100)/100)</f>
        <v/>
      </c>
      <c r="O1252">
        <f>(1-Summary!$B$55)*T1252+Summary!$B$55*V1252</f>
        <v/>
      </c>
      <c r="P1252">
        <f>IF(B1286=0,0,O1252/B1286)</f>
        <v/>
      </c>
      <c r="Q1252">
        <f>IFERROR(1/IF(Inputs!$B$38="pvp",15,MAX(0.1,Skills!D9-IF(Skills!E9=TRUE,0.5,0))),0)</f>
        <v/>
      </c>
      <c r="R1252">
        <f>IF(AND(Inputs!$B$38&lt;&gt;"pvp",Inputs!$B$43&gt;0),IF(MAX(0,Inputs!$B$43-B1283)&lt;=0,0,(INT(MAX(0,Inputs!$B$43-B1283)/IF(Inputs!$B$38="pvp",15,MAX(0.1,Skills!D9-IF(Skills!E9=TRUE,0.5,0))))+1)),0)</f>
        <v/>
      </c>
      <c r="S1252">
        <f>IFERROR(O1252/N1252,0)</f>
        <v/>
      </c>
      <c r="T1252">
        <f>IF(C1252,(H1252*N1252*IF(AND(Inputs!$B$38&lt;&gt;"pvp",Inputs!$B$43&gt;0),((Skills!G9*((R1252-1)*IF(Skills!H9&gt;0,Skills!I9/Skills!H9,1)+IF(Skills!H9&gt;0,MIN(Skills!I9,MAX(0,MAX(0,Inputs!$B$43-B1283)-((R1252-1)*IF(Inputs!$B$38="pvp",15,MAX(0.1,Skills!D9-IF(Skills!E9=TRUE,0.5,0))))))/Skills!H9,1)))/Inputs!$B$43),G1252*Q1252))*IF(Inputs!$B$38="pvp",1,1+(Inputs!$B$20+0+Skills!P9)/100),0)</f>
        <v/>
      </c>
      <c r="V1252">
        <f>IF(C1252,(H1252*N1252*IF(AND(Inputs!$B$38&lt;&gt;"pvp",Inputs!$B$43&gt;0),((Skills!G9*((R1252-1)*IF(Skills!H9&gt;0,Skills!I9/Skills!H9,1)+IF(Skills!H9&gt;0,MIN(Skills!I9,MAX(0,MAX(0,Inputs!$B$43-B1283)-((R1252-1)*IF(Inputs!$B$38="pvp",15,MAX(0.1,Skills!D9-IF(Skills!E9=TRUE,0.5,0))))))/Skills!H9,1)))/Inputs!$B$43),G1252*Q1252))*IF(Inputs!$B$38="pvp",1,(1+(Inputs!$B$21+Skills!Q9)/100)*(MIN(Skills!R9,Inputs!$B$37))),0)</f>
        <v/>
      </c>
    </row>
    <row r="1253">
      <c r="A1253">
        <f>Skills!A10</f>
        <v/>
      </c>
      <c r="B1253">
        <f>Skills!B10</f>
        <v/>
      </c>
      <c r="C1253">
        <f>Inputs!$B$3&gt;=100</f>
        <v/>
      </c>
      <c r="D1253">
        <f>IF(Skills!C10=1,60+Inputs!$B$25+Inputs!$B$29,IF(Skills!C10=2,90+Inputs!$B$26+Inputs!$B$29,IF(Skills!C10=3,120+Inputs!$B$27+Inputs!$B$29,MAX(0,(Inputs!$B$3-100)*3)+Inputs!$B$28+Inputs!$B$29)))</f>
        <v/>
      </c>
      <c r="E1253">
        <f>INDEX(FactorTable!$B$2:$Y$301, MATCH(ROUND(MIN(300,MAX(1,D1253)),0), FactorTable!$A$2:$A$301,0), Skills!M10+1)</f>
        <v/>
      </c>
      <c r="F1253">
        <f>IF(Skills!N10=TRUE,(Skills!L10/10)*(E1253/1000),Skills!L10/10)+Skills!O10</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Skills!A11</f>
        <v/>
      </c>
      <c r="B1254">
        <f>Skills!B11</f>
        <v/>
      </c>
      <c r="C1254">
        <f>Inputs!$B$3&gt;=60</f>
        <v/>
      </c>
      <c r="D1254">
        <f>IF(Skills!C11=1,60+Inputs!$B$25+Inputs!$B$29,IF(Skills!C11=2,90+Inputs!$B$26+Inputs!$B$29,IF(Skills!C11=3,120+Inputs!$B$27+Inputs!$B$29,MAX(0,(Inputs!$B$3-100)*3)+Inputs!$B$28+Inputs!$B$29)))</f>
        <v/>
      </c>
      <c r="E1254">
        <f>INDEX(FactorTable!$B$2:$Y$301, MATCH(ROUND(MIN(300,MAX(1,D1254)),0), FactorTable!$A$2:$A$301,0), Skills!M11+1)</f>
        <v/>
      </c>
      <c r="F1254">
        <f>IF(Skills!N11=TRUE,(Skills!L11/10)*(E1254/1000),Skills!L11/10)+Skills!O11</f>
        <v/>
      </c>
      <c r="G1254">
        <f>Skills!G11*IF(Skills!H11&gt;0,Skills!I11/Skills!H11,1)</f>
        <v/>
      </c>
      <c r="H1254">
        <f>1-(1-Skills!J11/100)^Skills!K11</f>
        <v/>
      </c>
      <c r="I1254" t="inlineStr">
        <is>
          <t>1</t>
        </is>
      </c>
      <c r="J1254">
        <f>((Inputs!$B$6*(1+Inputs!$B$7/100))+(((Inputs!$B$12*(1+Inputs!$B$13/100))-(Inputs!$B$12*(1+Inputs!$B$13/100)))+0.25*(Inputs!$B$14-Inputs!$B$14))*(1+Inputs!$B$7/100))*(F1254/100)</f>
        <v/>
      </c>
      <c r="K1254">
        <f>J1254*(1+((Inputs!$B$12*(1+Inputs!$B$13/100))*0.01+Inputs!$B$14*0.0025)/100)*(1+Inputs!$B$15/100)*(1+Inputs!$B$16/100)*(5000/(6000+Inputs!$B$42*(1-(Inputs!$B$19+((C1270=TRUE)*(F1270-Calc!F27)))/100)))*(1+(Inputs!$B$24+((C1268=TRUE)*(F1268-Calc!F25))+((C1269=TRUE)*(F1269-Calc!F26))+B1282)/100)*(1+IF(C1255=TRUE,F1255,0)/100)*(1+(IF(Skills!A11="ARROW_STREAM",Inputs!$B$17+((C1266=TRUE)*(F1266-Calc!F23)),Inputs!$B$18+((C1271=TRUE)*(F1271-Calc!F28))))/100)*((1+(((C1256=TRUE)*F1256)+((C1257=TRUE)*IF(Inputs!$B$38="pvp",F1257,(1-Summary!$B$55)*(F1257)+Summary!$B$55*(0)))+((C1258=TRUE)*F1258*IF(AND(Inputs!$B$38&lt;&gt;"pvp",Inputs!$B$43&gt;0),(((R1258-1)*(Skills!T15*(1+Inputs!$B$34/100))+MIN((Skills!T15*(1+Inputs!$B$34/100)),MAX(0,Inputs!$B$43-((R1258-1)*Skills!D15))))/Inputs!$B$43),IF(Inputs!$B$38="pvp",MIN((Skills!T15*(1+Inputs!$B$34/100)),15)/15,(Skills!T15*(1+Inputs!$B$34/100))/Skills!D15)))+((C1273=TRUE)*(F1273-Calc!F30)))/100)*I1254)</f>
        <v/>
      </c>
      <c r="L1254">
        <f>K1254*(MIN(Inputs!$B$22+((C1267=TRUE)*(F1267-Calc!F24)),Inputs!$B$23+((C1272=TRUE)*(F1272-Calc!F29)))/100+(Inputs!$B$23+((C1272=TRUE)*(F1272-Calc!F29)))/100)/2</f>
        <v/>
      </c>
      <c r="M1254">
        <f>L1254*(1+(Inputs!$B$10+0+B1281)/100)</f>
        <v/>
      </c>
      <c r="N1254">
        <f>L1254*(1-MIN((Inputs!$B$9+((C1263=TRUE)*(F1263-Calc!F20))+B1276),100)/100)+M1254*(MIN((Inputs!$B$9+((C1263=TRUE)*(F1263-Calc!F20))+B1276),100)/100)</f>
        <v/>
      </c>
      <c r="O1254">
        <f>(1-Summary!$B$55)*T1254+Summary!$B$55*V1254</f>
        <v/>
      </c>
      <c r="P1254">
        <f>IF(B1286=0,0,O1254/B1286)</f>
        <v/>
      </c>
      <c r="Q1254">
        <f>IFERROR(1/IF(Inputs!$B$38="pvp",15,MAX(0.1,Skills!D11-IF(Skills!E11=TRUE,0.5,0))),0)</f>
        <v/>
      </c>
      <c r="R1254">
        <f>IF(AND(Inputs!$B$38&lt;&gt;"pvp",Inputs!$B$43&gt;0),IF(MAX(0,Inputs!$B$43-B1283)&lt;=0,0,(INT(MAX(0,Inputs!$B$43-B1283)/IF(Inputs!$B$38="pvp",15,MAX(0.1,Skills!D11-IF(Skills!E11=TRUE,0.5,0))))+1)),0)</f>
        <v/>
      </c>
      <c r="S1254">
        <f>IFERROR(O1254/N1254,0)</f>
        <v/>
      </c>
      <c r="T1254">
        <f>IF(C1254,(H1254*N1254*IF(AND(Inputs!$B$38&lt;&gt;"pvp",Inputs!$B$43&gt;0),((Skills!G11*((R1254-1)*IF(Skills!H11&gt;0,Skills!I11/Skills!H11,1)+IF(Skills!H11&gt;0,MIN(Skills!I11,MAX(0,MAX(0,Inputs!$B$43-B1283)-((R1254-1)*IF(Inputs!$B$38="pvp",15,MAX(0.1,Skills!D11-IF(Skills!E11=TRUE,0.5,0))))))/Skills!H11,1)))/Inputs!$B$43),G1254*Q1254))*IF(Inputs!$B$38="pvp",1,1+(Inputs!$B$20+0+Skills!P11)/100),0)</f>
        <v/>
      </c>
      <c r="V1254">
        <f>IF(C1254,(H1254*N1254*IF(AND(Inputs!$B$38&lt;&gt;"pvp",Inputs!$B$43&gt;0),((Skills!G11*((R1254-1)*IF(Skills!H11&gt;0,Skills!I11/Skills!H11,1)+IF(Skills!H11&gt;0,MIN(Skills!I11,MAX(0,MAX(0,Inputs!$B$43-B1283)-((R1254-1)*IF(Inputs!$B$38="pvp",15,MAX(0.1,Skills!D11-IF(Skills!E11=TRUE,0.5,0))))))/Skills!H11,1)))/Inputs!$B$43),G1254*Q1254))*IF(Inputs!$B$38="pvp",1,(1+(Inputs!$B$21+Skills!Q11)/100)*(MIN(Skills!R11,Inputs!$B$37))),0)</f>
        <v/>
      </c>
    </row>
    <row r="1255">
      <c r="A1255">
        <f>Skills!A12</f>
        <v/>
      </c>
      <c r="B1255">
        <f>Skills!B12</f>
        <v/>
      </c>
      <c r="C1255">
        <f>Inputs!$B$3&gt;=110</f>
        <v/>
      </c>
      <c r="D1255">
        <f>IF(Skills!C12=1,60+Inputs!$B$25+Inputs!$B$29,IF(Skills!C12=2,90+Inputs!$B$26+Inputs!$B$29,IF(Skills!C12=3,120+Inputs!$B$27+Inputs!$B$29,MAX(0,(Inputs!$B$3-100)*3)+Inputs!$B$28+Inputs!$B$29)))</f>
        <v/>
      </c>
      <c r="E1255">
        <f>INDEX(FactorTable!$B$2:$Y$301, MATCH(ROUND(MIN(300,MAX(1,D1255)),0), FactorTable!$A$2:$A$301,0), Skills!M12+1)</f>
        <v/>
      </c>
      <c r="F1255">
        <f>IF(Skills!N12=TRUE,(Skills!L12/10)*(E1255/1000),Skills!L12/10)+Skills!O12</f>
        <v/>
      </c>
      <c r="G1255" t="inlineStr"/>
      <c r="H1255" t="inlineStr"/>
      <c r="I1255" t="inlineStr">
        <is>
          <t>1</t>
        </is>
      </c>
      <c r="J1255" t="inlineStr"/>
      <c r="K1255" t="inlineStr"/>
      <c r="L1255" t="inlineStr"/>
      <c r="M1255" t="inlineStr"/>
      <c r="N1255" t="inlineStr"/>
      <c r="O1255" t="inlineStr"/>
      <c r="P1255" t="inlineStr"/>
      <c r="Q1255" t="inlineStr"/>
      <c r="R1255" t="inlineStr"/>
      <c r="S1255" t="inlineStr"/>
      <c r="T1255" t="inlineStr"/>
      <c r="V1255" t="inlineStr"/>
    </row>
    <row r="1256">
      <c r="A1256">
        <f>Skills!A13</f>
        <v/>
      </c>
      <c r="B1256">
        <f>Skills!B13</f>
        <v/>
      </c>
      <c r="C1256">
        <f>Inputs!$B$3&gt;=74</f>
        <v/>
      </c>
      <c r="D1256">
        <f>IF(Skills!C13=1,60+Inputs!$B$25+Inputs!$B$29,IF(Skills!C13=2,90+Inputs!$B$26+Inputs!$B$29,IF(Skills!C13=3,120+Inputs!$B$27+Inputs!$B$29,MAX(0,(Inputs!$B$3-100)*3)+Inputs!$B$28+Inputs!$B$29)))</f>
        <v/>
      </c>
      <c r="E1256">
        <f>INDEX(FactorTable!$B$2:$Y$301, MATCH(ROUND(MIN(300,MAX(1,D1256)),0), FactorTable!$A$2:$A$301,0), Skills!M13+1)</f>
        <v/>
      </c>
      <c r="F1256">
        <f>IF(Skills!N13=TRUE,(Skills!L13/10)*(E1256/1000),Skills!L13/10)+Skills!O13</f>
        <v/>
      </c>
      <c r="G1256">
        <f>Skills!G13*IF(Skills!H13&gt;0,Skills!I13/Skills!H13,1)</f>
        <v/>
      </c>
      <c r="H1256">
        <f>1-(1-Skills!J13/100)^Skills!K13</f>
        <v/>
      </c>
      <c r="I1256" t="inlineStr">
        <is>
          <t>1</t>
        </is>
      </c>
      <c r="J1256" t="inlineStr"/>
      <c r="K1256" t="inlineStr"/>
      <c r="L1256" t="inlineStr"/>
      <c r="M1256" t="inlineStr"/>
      <c r="N1256" t="inlineStr"/>
      <c r="O1256">
        <f>(1-Summary!$B$55)*T1256+Summary!$B$55*V1256</f>
        <v/>
      </c>
      <c r="P1256">
        <f>IF(B1286=0,0,O1256/B1286)</f>
        <v/>
      </c>
      <c r="Q1256" t="n">
        <v>0</v>
      </c>
      <c r="R1256" t="n">
        <v>0</v>
      </c>
      <c r="S1256">
        <f>IFERROR(O1256/N1256,0)</f>
        <v/>
      </c>
      <c r="T1256" t="n">
        <v>0</v>
      </c>
      <c r="V1256" t="n">
        <v>0</v>
      </c>
    </row>
    <row r="1257">
      <c r="A1257">
        <f>Skills!A14</f>
        <v/>
      </c>
      <c r="B1257">
        <f>Skills!B14</f>
        <v/>
      </c>
      <c r="C1257">
        <f>Inputs!$B$3&gt;=74</f>
        <v/>
      </c>
      <c r="D1257">
        <f>IF(Skills!C14=1,60+Inputs!$B$25+Inputs!$B$29,IF(Skills!C14=2,90+Inputs!$B$26+Inputs!$B$29,IF(Skills!C14=3,120+Inputs!$B$27+Inputs!$B$29,MAX(0,(Inputs!$B$3-100)*3)+Inputs!$B$28+Inputs!$B$29)))</f>
        <v/>
      </c>
      <c r="E1257">
        <f>INDEX(FactorTable!$B$2:$Y$301, MATCH(ROUND(MIN(300,MAX(1,D1257)),0), FactorTable!$A$2:$A$301,0), Skills!M14+1)</f>
        <v/>
      </c>
      <c r="F1257">
        <f>IF(Skills!N14=TRUE,(Skills!L14/10)*(E1257/1000),Skills!L14/10)+Skills!O14</f>
        <v/>
      </c>
      <c r="G1257">
        <f>Skills!G14*IF(Skills!H14&gt;0,Skills!I14/Skills!H14,1)</f>
        <v/>
      </c>
      <c r="H1257">
        <f>1-(1-Skills!J14/100)^Skills!K14</f>
        <v/>
      </c>
      <c r="I1257" t="inlineStr">
        <is>
          <t>1</t>
        </is>
      </c>
      <c r="J1257" t="inlineStr"/>
      <c r="K1257" t="inlineStr"/>
      <c r="L1257" t="inlineStr"/>
      <c r="M1257" t="inlineStr"/>
      <c r="N1257" t="inlineStr"/>
      <c r="O1257">
        <f>(1-Summary!$B$55)*T1257+Summary!$B$55*V1257</f>
        <v/>
      </c>
      <c r="P1257">
        <f>IF(B1286=0,0,O1257/B1286)</f>
        <v/>
      </c>
      <c r="Q1257" t="n">
        <v>0</v>
      </c>
      <c r="R1257" t="n">
        <v>0</v>
      </c>
      <c r="S1257">
        <f>IFERROR(O1257/N1257,0)</f>
        <v/>
      </c>
      <c r="T1257" t="n">
        <v>0</v>
      </c>
      <c r="V1257" t="n">
        <v>0</v>
      </c>
    </row>
    <row r="1258">
      <c r="A1258">
        <f>Skills!A15</f>
        <v/>
      </c>
      <c r="B1258">
        <f>Skills!B15</f>
        <v/>
      </c>
      <c r="C1258">
        <f>Inputs!$B$3&gt;=117</f>
        <v/>
      </c>
      <c r="D1258">
        <f>IF(Skills!C15=1,60+Inputs!$B$25+Inputs!$B$29,IF(Skills!C15=2,90+Inputs!$B$26+Inputs!$B$29,IF(Skills!C15=3,120+Inputs!$B$27+Inputs!$B$29,MAX(0,(Inputs!$B$3-100)*3)+Inputs!$B$28+Inputs!$B$29)))</f>
        <v/>
      </c>
      <c r="E1258">
        <f>INDEX(FactorTable!$B$2:$Y$301, MATCH(ROUND(MIN(300,MAX(1,D1258)),0), FactorTable!$A$2:$A$301,0), Skills!M15+1)</f>
        <v/>
      </c>
      <c r="F1258">
        <f>IF(Skills!N15=TRUE,(Skills!L15/10)*(E1258/1000),Skills!L15/10)+Skills!O15</f>
        <v/>
      </c>
      <c r="G1258">
        <f>Skills!G15*IF(Skills!H15&gt;0,Skills!I15/Skills!H15,1)</f>
        <v/>
      </c>
      <c r="H1258">
        <f>1-(1-Skills!J15/100)^Skills!K15</f>
        <v/>
      </c>
      <c r="I1258" t="inlineStr">
        <is>
          <t>1</t>
        </is>
      </c>
      <c r="J1258" t="inlineStr"/>
      <c r="K1258" t="inlineStr"/>
      <c r="L1258" t="inlineStr"/>
      <c r="M1258" t="inlineStr"/>
      <c r="N1258" t="inlineStr"/>
      <c r="O1258">
        <f>(1-Summary!$B$55)*T1258+Summary!$B$55*V1258</f>
        <v/>
      </c>
      <c r="P1258">
        <f>IF(B1286=0,0,O1258/B1286)</f>
        <v/>
      </c>
      <c r="Q1258">
        <f>IFERROR(1/IF(Inputs!$B$38="pvp",15,MAX(0.1,Skills!D15-IF(Skills!E15=TRUE,0.5,0))),0)</f>
        <v/>
      </c>
      <c r="R1258">
        <f>IF(AND(Inputs!$B$38&lt;&gt;"pvp",Inputs!$B$43&gt;0),IF(Inputs!$B$43&lt;=0,0,(INT(Inputs!$B$43/IF(Inputs!$B$38="pvp",15,MAX(0.1,Skills!D15-IF(Skills!E15=TRUE,0.5,0))))+1)),0)</f>
        <v/>
      </c>
      <c r="S1258">
        <f>IFERROR(O1258/N1258,0)</f>
        <v/>
      </c>
      <c r="T1258" t="n">
        <v>0</v>
      </c>
      <c r="V1258" t="n">
        <v>0</v>
      </c>
    </row>
    <row r="1259">
      <c r="A1259">
        <f>Skills!A16</f>
        <v/>
      </c>
      <c r="B1259">
        <f>Skills!B16</f>
        <v/>
      </c>
      <c r="C1259">
        <f>Inputs!$B$3&gt;=115</f>
        <v/>
      </c>
      <c r="D1259">
        <f>IF(Skills!C16=1,60+Inputs!$B$25+Inputs!$B$29,IF(Skills!C16=2,90+Inputs!$B$26+Inputs!$B$29,IF(Skills!C16=3,120+Inputs!$B$27+Inputs!$B$29,MAX(0,(Inputs!$B$3-100)*3)+Inputs!$B$28+Inputs!$B$29)))</f>
        <v/>
      </c>
      <c r="E1259">
        <f>INDEX(FactorTable!$B$2:$Y$301, MATCH(ROUND(MIN(300,MAX(1,D1259)),0), FactorTable!$A$2:$A$301,0), Skills!M16+1)</f>
        <v/>
      </c>
      <c r="F1259">
        <f>IF(Skills!N16=TRUE,(Skills!L16/10)*(E1259/1000),Skills!L16/10)+Skills!O16</f>
        <v/>
      </c>
      <c r="G1259">
        <f>Skills!G16*IF(Skills!H16&gt;0,Skills!I16/Skills!H16,1)</f>
        <v/>
      </c>
      <c r="H1259">
        <f>1-(1-Skills!J16/100)^Skills!K16</f>
        <v/>
      </c>
      <c r="I1259" t="inlineStr">
        <is>
          <t>1</t>
        </is>
      </c>
      <c r="J1259" t="inlineStr"/>
      <c r="K1259" t="inlineStr"/>
      <c r="L1259" t="inlineStr"/>
      <c r="M1259" t="inlineStr"/>
      <c r="N1259" t="inlineStr"/>
      <c r="O1259">
        <f>(1-Summary!$B$55)*T1259+Summary!$B$55*V1259</f>
        <v/>
      </c>
      <c r="P1259">
        <f>IF(B1286=0,0,O1259/B1286)</f>
        <v/>
      </c>
      <c r="Q1259">
        <f>IFERROR(1/IF(Inputs!$B$38="pvp",15,MAX(0.1,Skills!D16-IF(Skills!E16=TRUE,0.5,0))),0)</f>
        <v/>
      </c>
      <c r="R1259">
        <f>IF(AND(Inputs!$B$38&lt;&gt;"pvp",Inputs!$B$43&gt;0),IF(Inputs!$B$43&lt;=0,0,(INT(Inputs!$B$43/IF(Inputs!$B$38="pvp",15,MAX(0.1,Skills!D16-IF(Skills!E16=TRUE,0.5,0))))+1)),0)</f>
        <v/>
      </c>
      <c r="S1259">
        <f>IFERROR(O1259/N1259,0)</f>
        <v/>
      </c>
      <c r="T1259" t="n">
        <v>0</v>
      </c>
      <c r="V1259" t="n">
        <v>0</v>
      </c>
    </row>
    <row r="1260">
      <c r="A1260">
        <f>Skills!A17</f>
        <v/>
      </c>
      <c r="B1260">
        <f>Skills!B17</f>
        <v/>
      </c>
      <c r="C1260">
        <f>Inputs!$B$3&gt;=66</f>
        <v/>
      </c>
      <c r="D1260">
        <f>IF(Skills!C17=1,60+Inputs!$B$25+Inputs!$B$29,IF(Skills!C17=2,90+Inputs!$B$26+Inputs!$B$29,IF(Skills!C17=3,120+Inputs!$B$27+Inputs!$B$29,MAX(0,(Inputs!$B$3-100)*3)+Inputs!$B$28+Inputs!$B$29)))</f>
        <v/>
      </c>
      <c r="E1260">
        <f>INDEX(FactorTable!$B$2:$Y$301, MATCH(ROUND(MIN(300,MAX(1,D1260)),0), FactorTable!$A$2:$A$301,0), Skills!M17+1)</f>
        <v/>
      </c>
      <c r="F1260">
        <f>IF(Skills!N17=TRUE,(Skills!L17/10)*(E1260/1000),Skills!L17/10)+Skills!O17</f>
        <v/>
      </c>
      <c r="G1260">
        <f>Skills!G17*IF(Skills!H17&gt;0,Skills!I17/Skills!H17,1)</f>
        <v/>
      </c>
      <c r="H1260">
        <f>1-(1-Skills!J17/100)^Skills!K17</f>
        <v/>
      </c>
      <c r="I1260" t="inlineStr">
        <is>
          <t>1</t>
        </is>
      </c>
      <c r="J1260" t="inlineStr"/>
      <c r="K1260" t="inlineStr"/>
      <c r="L1260" t="inlineStr"/>
      <c r="M1260" t="inlineStr"/>
      <c r="N1260" t="inlineStr"/>
      <c r="O1260">
        <f>(1-Summary!$B$55)*T1260+Summary!$B$55*V1260</f>
        <v/>
      </c>
      <c r="P1260">
        <f>IF(B1286=0,0,O1260/B1286)</f>
        <v/>
      </c>
      <c r="Q1260" t="n">
        <v>0</v>
      </c>
      <c r="R1260" t="n">
        <v>0</v>
      </c>
      <c r="S1260">
        <f>IFERROR(O1260/N1260,0)</f>
        <v/>
      </c>
      <c r="T1260" t="n">
        <v>0</v>
      </c>
      <c r="V1260" t="n">
        <v>0</v>
      </c>
    </row>
    <row r="1261">
      <c r="A1261">
        <f>Skills!A18</f>
        <v/>
      </c>
      <c r="B1261">
        <f>Skills!B18</f>
        <v/>
      </c>
      <c r="C1261">
        <f>Inputs!$B$3&gt;=72</f>
        <v/>
      </c>
      <c r="D1261">
        <f>IF(Skills!C18=1,60+Inputs!$B$25+Inputs!$B$29,IF(Skills!C18=2,90+Inputs!$B$26+Inputs!$B$29,IF(Skills!C18=3,120+Inputs!$B$27+Inputs!$B$29,MAX(0,(Inputs!$B$3-100)*3)+Inputs!$B$28+Inputs!$B$29)))</f>
        <v/>
      </c>
      <c r="E1261">
        <f>INDEX(FactorTable!$B$2:$Y$301, MATCH(ROUND(MIN(300,MAX(1,D1261)),0), FactorTable!$A$2:$A$301,0), Skills!M18+1)</f>
        <v/>
      </c>
      <c r="F1261">
        <f>IF(Skills!N18=TRUE,(Skills!L18/10)*(E1261/1000),Skills!L18/10)+Skills!O18</f>
        <v/>
      </c>
      <c r="G1261">
        <f>Skills!G18*IF(Skills!H18&gt;0,Skills!I18/Skills!H18,1)</f>
        <v/>
      </c>
      <c r="H1261">
        <f>1-(1-Skills!J18/100)^Skills!K18</f>
        <v/>
      </c>
      <c r="I1261" t="inlineStr">
        <is>
          <t>1</t>
        </is>
      </c>
      <c r="J1261" t="inlineStr"/>
      <c r="K1261" t="inlineStr"/>
      <c r="L1261" t="inlineStr"/>
      <c r="M1261" t="inlineStr"/>
      <c r="N1261" t="inlineStr"/>
      <c r="O1261">
        <f>(1-Summary!$B$55)*T1261+Summary!$B$55*V1261</f>
        <v/>
      </c>
      <c r="P1261">
        <f>IF(B1286=0,0,O1261/B1286)</f>
        <v/>
      </c>
      <c r="Q1261" t="n">
        <v>0</v>
      </c>
      <c r="R1261" t="n">
        <v>0</v>
      </c>
      <c r="S1261">
        <f>IFERROR(O1261/N1261,0)</f>
        <v/>
      </c>
      <c r="T1261" t="n">
        <v>0</v>
      </c>
      <c r="V1261" t="n">
        <v>0</v>
      </c>
    </row>
    <row r="1262">
      <c r="A1262">
        <f>Skills!A19</f>
        <v/>
      </c>
      <c r="B1262">
        <f>Skills!B19</f>
        <v/>
      </c>
      <c r="C1262">
        <f>TRUE</f>
        <v/>
      </c>
      <c r="D1262">
        <f>IF(Skills!C19=1,60+Inputs!$B$25+Inputs!$B$29,IF(Skills!C19=2,90+Inputs!$B$26+Inputs!$B$29,IF(Skills!C19=3,120+Inputs!$B$27+Inputs!$B$29,MAX(0,(Inputs!$B$3-100)*3)+Inputs!$B$28+Inputs!$B$29)))</f>
        <v/>
      </c>
      <c r="E1262">
        <f>INDEX(FactorTable!$B$2:$Y$301, MATCH(ROUND(MIN(300,MAX(1,D1262)),0), FactorTable!$A$2:$A$301,0), Skills!M19+1)</f>
        <v/>
      </c>
      <c r="F1262">
        <f>IF(Skills!N19=TRUE,(Skills!L19/10)*(E1262/1000),Skills!L19/10)+Skills!O19</f>
        <v/>
      </c>
      <c r="G1262">
        <f>Skills!G19*IF(Skills!H19&gt;0,Skills!I19/Skills!H19,1)</f>
        <v/>
      </c>
      <c r="H1262">
        <f>1-(1-Skills!J19/100)^Skills!K19</f>
        <v/>
      </c>
      <c r="I1262" t="inlineStr">
        <is>
          <t>1</t>
        </is>
      </c>
      <c r="J1262" t="inlineStr"/>
      <c r="K1262" t="inlineStr"/>
      <c r="L1262" t="inlineStr"/>
      <c r="M1262" t="inlineStr"/>
      <c r="N1262" t="inlineStr"/>
      <c r="O1262">
        <f>(1-Summary!$B$55)*T1262+Summary!$B$55*V1262</f>
        <v/>
      </c>
      <c r="P1262">
        <f>IF(B1286=0,0,O1262/B1286)</f>
        <v/>
      </c>
      <c r="Q1262">
        <f>IFERROR(1/IF(Inputs!$B$38="pvp",15,MAX(0.1,Skills!D19-IF(Skills!E19=TRUE,0.5,0))),0)</f>
        <v/>
      </c>
      <c r="R1262">
        <f>IF(AND(Inputs!$B$38&lt;&gt;"pvp",Inputs!$B$43&gt;0),IF(Inputs!$B$43&lt;=0,0,(INT(Inputs!$B$43/IF(Inputs!$B$38="pvp",15,MAX(0.1,Skills!D19-IF(Skills!E19=TRUE,0.5,0))))+1)),0)</f>
        <v/>
      </c>
      <c r="S1262">
        <f>IFERROR(O1262/N1262,0)</f>
        <v/>
      </c>
      <c r="T1262" t="n">
        <v>0</v>
      </c>
      <c r="V1262" t="n">
        <v>0</v>
      </c>
    </row>
    <row r="1263">
      <c r="A1263">
        <f>Skills!A20</f>
        <v/>
      </c>
      <c r="B1263">
        <f>Skills!B20</f>
        <v/>
      </c>
      <c r="C1263">
        <f>Inputs!$B$3&gt;=15</f>
        <v/>
      </c>
      <c r="D1263">
        <f>IF(Skills!C20=1,60+Inputs!$B$25+Inputs!$B$29,IF(Skills!C20=2,90+Inputs!$B$26+Inputs!$B$29,IF(Skills!C20=3,120+Inputs!$B$27+Inputs!$B$29,MAX(0,(Inputs!$B$3-100)*3)+Inputs!$B$28+Inputs!$B$29)))</f>
        <v/>
      </c>
      <c r="E1263">
        <f>INDEX(FactorTable!$B$2:$Y$301, MATCH(ROUND(MIN(300,MAX(1,D1263)),0), FactorTable!$A$2:$A$301,0), Skills!M20+1)</f>
        <v/>
      </c>
      <c r="F1263">
        <f>IF(Skills!N20=TRUE,(Skills!L20/10)*(E1263/1000),Skills!L20/10)+Skills!O20</f>
        <v/>
      </c>
      <c r="G1263">
        <f>Skills!G20*IF(Skills!H20&gt;0,Skills!I20/Skills!H20,1)</f>
        <v/>
      </c>
      <c r="H1263">
        <f>1-(1-Skills!J20/100)^Skills!K20</f>
        <v/>
      </c>
      <c r="I1263" t="inlineStr">
        <is>
          <t>1</t>
        </is>
      </c>
      <c r="J1263" t="inlineStr"/>
      <c r="K1263" t="inlineStr"/>
      <c r="L1263" t="inlineStr"/>
      <c r="M1263" t="inlineStr"/>
      <c r="N1263" t="inlineStr"/>
      <c r="O1263">
        <f>(1-Summary!$B$55)*T1263+Summary!$B$55*V1263</f>
        <v/>
      </c>
      <c r="P1263">
        <f>IF(B1286=0,0,O1263/B1286)</f>
        <v/>
      </c>
      <c r="Q1263" t="n">
        <v>0</v>
      </c>
      <c r="R1263" t="n">
        <v>0</v>
      </c>
      <c r="S1263">
        <f>IFERROR(O1263/N1263,0)</f>
        <v/>
      </c>
      <c r="T1263" t="n">
        <v>0</v>
      </c>
      <c r="V1263" t="n">
        <v>0</v>
      </c>
    </row>
    <row r="1264">
      <c r="A1264">
        <f>Skills!A21</f>
        <v/>
      </c>
      <c r="B1264">
        <f>Skills!B21</f>
        <v/>
      </c>
      <c r="C1264">
        <f>Inputs!$B$3&gt;=10</f>
        <v/>
      </c>
      <c r="D1264">
        <f>IF(Skills!C21=1,60+Inputs!$B$25+Inputs!$B$29,IF(Skills!C21=2,90+Inputs!$B$26+Inputs!$B$29,IF(Skills!C21=3,120+Inputs!$B$27+Inputs!$B$29,MAX(0,(Inputs!$B$3-100)*3)+Inputs!$B$28+Inputs!$B$29)))</f>
        <v/>
      </c>
      <c r="E1264">
        <f>INDEX(FactorTable!$B$2:$Y$301, MATCH(ROUND(MIN(300,MAX(1,D1264)),0), FactorTable!$A$2:$A$301,0), Skills!M21+1)</f>
        <v/>
      </c>
      <c r="F1264">
        <f>IF(Skills!N21=TRUE,(Skills!L21/10)*(E1264/1000),Skills!L21/10)+Skills!O21</f>
        <v/>
      </c>
      <c r="G1264">
        <f>Skills!G21*IF(Skills!H21&gt;0,Skills!I21/Skills!H21,1)</f>
        <v/>
      </c>
      <c r="H1264">
        <f>1-(1-Skills!J21/100)^Skills!K21</f>
        <v/>
      </c>
      <c r="I1264" t="inlineStr">
        <is>
          <t>1</t>
        </is>
      </c>
      <c r="J1264" t="inlineStr"/>
      <c r="K1264" t="inlineStr"/>
      <c r="L1264" t="inlineStr"/>
      <c r="M1264" t="inlineStr"/>
      <c r="N1264" t="inlineStr"/>
      <c r="O1264">
        <f>(1-Summary!$B$55)*T1264+Summary!$B$55*V1264</f>
        <v/>
      </c>
      <c r="P1264">
        <f>IF(B1286=0,0,O1264/B1286)</f>
        <v/>
      </c>
      <c r="Q1264" t="n">
        <v>0</v>
      </c>
      <c r="R1264" t="n">
        <v>0</v>
      </c>
      <c r="S1264">
        <f>IFERROR(O1264/N1264,0)</f>
        <v/>
      </c>
      <c r="T1264" t="n">
        <v>0</v>
      </c>
      <c r="V1264" t="n">
        <v>0</v>
      </c>
    </row>
    <row r="1265">
      <c r="A1265">
        <f>Skills!A22</f>
        <v/>
      </c>
      <c r="B1265">
        <f>Skills!B22</f>
        <v/>
      </c>
      <c r="C1265">
        <f>Inputs!$B$3&gt;=33</f>
        <v/>
      </c>
      <c r="D1265">
        <f>IF(Skills!C22=1,60+Inputs!$B$25+Inputs!$B$29,IF(Skills!C22=2,90+Inputs!$B$26+Inputs!$B$29,IF(Skills!C22=3,120+Inputs!$B$27+Inputs!$B$29,MAX(0,(Inputs!$B$3-100)*3)+Inputs!$B$28+Inputs!$B$29)))</f>
        <v/>
      </c>
      <c r="E1265">
        <f>INDEX(FactorTable!$B$2:$Y$301, MATCH(ROUND(MIN(300,MAX(1,D1265)),0), FactorTable!$A$2:$A$301,0), Skills!M22+1)</f>
        <v/>
      </c>
      <c r="F1265">
        <f>IF(Skills!N22=TRUE,(Skills!L22/10)*(E1265/1000),Skills!L22/10)+Skills!O22</f>
        <v/>
      </c>
      <c r="G1265">
        <f>Skills!G22*IF(Skills!H22&gt;0,Skills!I22/Skills!H22,1)</f>
        <v/>
      </c>
      <c r="H1265">
        <f>1-(1-Skills!J22/100)^Skills!K22</f>
        <v/>
      </c>
      <c r="I1265" t="inlineStr">
        <is>
          <t>1</t>
        </is>
      </c>
      <c r="J1265" t="inlineStr"/>
      <c r="K1265" t="inlineStr"/>
      <c r="L1265" t="inlineStr"/>
      <c r="M1265" t="inlineStr"/>
      <c r="N1265" t="inlineStr"/>
      <c r="O1265">
        <f>(1-Summary!$B$55)*T1265+Summary!$B$55*V1265</f>
        <v/>
      </c>
      <c r="P1265">
        <f>IF(B1286=0,0,O1265/B1286)</f>
        <v/>
      </c>
      <c r="Q1265" t="n">
        <v>0</v>
      </c>
      <c r="R1265" t="n">
        <v>0</v>
      </c>
      <c r="S1265">
        <f>IFERROR(O1265/N1265,0)</f>
        <v/>
      </c>
      <c r="T1265" t="n">
        <v>0</v>
      </c>
      <c r="V1265" t="n">
        <v>0</v>
      </c>
    </row>
    <row r="1266">
      <c r="A1266">
        <f>Skills!A23</f>
        <v/>
      </c>
      <c r="B1266">
        <f>Skills!B23</f>
        <v/>
      </c>
      <c r="C1266">
        <f>Inputs!$B$3&gt;=38</f>
        <v/>
      </c>
      <c r="D1266">
        <f>IF(Skills!C23=1,60+Inputs!$B$25+Inputs!$B$29,IF(Skills!C23=2,90+Inputs!$B$26+Inputs!$B$29,IF(Skills!C23=3,120+Inputs!$B$27+Inputs!$B$29,MAX(0,(Inputs!$B$3-100)*3)+Inputs!$B$28+Inputs!$B$29)))</f>
        <v/>
      </c>
      <c r="E1266">
        <f>INDEX(FactorTable!$B$2:$Y$301, MATCH(ROUND(MIN(300,MAX(1,D1266)),0), FactorTable!$A$2:$A$301,0), Skills!M23+1)</f>
        <v/>
      </c>
      <c r="F1266">
        <f>IF(Skills!N23=TRUE,(Skills!L23/10)*(E1266/1000),Skills!L23/10)+Skills!O23</f>
        <v/>
      </c>
      <c r="G1266">
        <f>Skills!G23*IF(Skills!H23&gt;0,Skills!I23/Skills!H23,1)</f>
        <v/>
      </c>
      <c r="H1266">
        <f>1-(1-Skills!J23/100)^Skills!K23</f>
        <v/>
      </c>
      <c r="I1266" t="inlineStr">
        <is>
          <t>1</t>
        </is>
      </c>
      <c r="J1266" t="inlineStr"/>
      <c r="K1266" t="inlineStr"/>
      <c r="L1266" t="inlineStr"/>
      <c r="M1266" t="inlineStr"/>
      <c r="N1266" t="inlineStr"/>
      <c r="O1266">
        <f>(1-Summary!$B$55)*T1266+Summary!$B$55*V1266</f>
        <v/>
      </c>
      <c r="P1266">
        <f>IF(B1286=0,0,O1266/B1286)</f>
        <v/>
      </c>
      <c r="Q1266" t="n">
        <v>0</v>
      </c>
      <c r="R1266" t="n">
        <v>0</v>
      </c>
      <c r="S1266">
        <f>IFERROR(O1266/N1266,0)</f>
        <v/>
      </c>
      <c r="T1266" t="n">
        <v>0</v>
      </c>
      <c r="V1266" t="n">
        <v>0</v>
      </c>
    </row>
    <row r="1267">
      <c r="A1267">
        <f>Skills!A24</f>
        <v/>
      </c>
      <c r="B1267">
        <f>Skills!B24</f>
        <v/>
      </c>
      <c r="C1267">
        <f>Inputs!$B$3&gt;=43</f>
        <v/>
      </c>
      <c r="D1267">
        <f>IF(Skills!C24=1,60+Inputs!$B$25+Inputs!$B$29,IF(Skills!C24=2,90+Inputs!$B$26+Inputs!$B$29,IF(Skills!C24=3,120+Inputs!$B$27+Inputs!$B$29,MAX(0,(Inputs!$B$3-100)*3)+Inputs!$B$28+Inputs!$B$29)))</f>
        <v/>
      </c>
      <c r="E1267">
        <f>INDEX(FactorTable!$B$2:$Y$301, MATCH(ROUND(MIN(300,MAX(1,D1267)),0), FactorTable!$A$2:$A$301,0), Skills!M24+1)</f>
        <v/>
      </c>
      <c r="F1267">
        <f>IF(Skills!N24=TRUE,(Skills!L24/10)*(E1267/1000),Skills!L24/10)+Skills!O24</f>
        <v/>
      </c>
      <c r="G1267">
        <f>Skills!G24*IF(Skills!H24&gt;0,Skills!I24/Skills!H24,1)</f>
        <v/>
      </c>
      <c r="H1267">
        <f>1-(1-Skills!J24/100)^Skills!K24</f>
        <v/>
      </c>
      <c r="I1267" t="inlineStr">
        <is>
          <t>1</t>
        </is>
      </c>
      <c r="J1267" t="inlineStr"/>
      <c r="K1267" t="inlineStr"/>
      <c r="L1267" t="inlineStr"/>
      <c r="M1267" t="inlineStr"/>
      <c r="N1267" t="inlineStr"/>
      <c r="O1267">
        <f>(1-Summary!$B$55)*T1267+Summary!$B$55*V1267</f>
        <v/>
      </c>
      <c r="P1267">
        <f>IF(B1286=0,0,O1267/B1286)</f>
        <v/>
      </c>
      <c r="Q1267" t="n">
        <v>0</v>
      </c>
      <c r="R1267" t="n">
        <v>0</v>
      </c>
      <c r="S1267">
        <f>IFERROR(O1267/N1267,0)</f>
        <v/>
      </c>
      <c r="T1267" t="n">
        <v>0</v>
      </c>
      <c r="V1267" t="n">
        <v>0</v>
      </c>
    </row>
    <row r="1268">
      <c r="A1268">
        <f>Skills!A25</f>
        <v/>
      </c>
      <c r="B1268">
        <f>Skills!B25</f>
        <v/>
      </c>
      <c r="C1268">
        <f>Inputs!$B$3&gt;=75</f>
        <v/>
      </c>
      <c r="D1268">
        <f>IF(Skills!C25=1,60+Inputs!$B$25+Inputs!$B$29,IF(Skills!C25=2,90+Inputs!$B$26+Inputs!$B$29,IF(Skills!C25=3,120+Inputs!$B$27+Inputs!$B$29,MAX(0,(Inputs!$B$3-100)*3)+Inputs!$B$28+Inputs!$B$29)))</f>
        <v/>
      </c>
      <c r="E1268">
        <f>INDEX(FactorTable!$B$2:$Y$301, MATCH(ROUND(MIN(300,MAX(1,D1268)),0), FactorTable!$A$2:$A$301,0), Skills!M25+1)</f>
        <v/>
      </c>
      <c r="F1268">
        <f>IF(Skills!N25=TRUE,(Skills!L25/10)*(E1268/1000),Skills!L25/10)+Skills!O25</f>
        <v/>
      </c>
      <c r="G1268">
        <f>Skills!G25*IF(Skills!H25&gt;0,Skills!I25/Skills!H25,1)</f>
        <v/>
      </c>
      <c r="H1268">
        <f>1-(1-Skills!J25/100)^Skills!K25</f>
        <v/>
      </c>
      <c r="I1268" t="inlineStr">
        <is>
          <t>1</t>
        </is>
      </c>
      <c r="J1268" t="inlineStr"/>
      <c r="K1268" t="inlineStr"/>
      <c r="L1268" t="inlineStr"/>
      <c r="M1268" t="inlineStr"/>
      <c r="N1268" t="inlineStr"/>
      <c r="O1268">
        <f>(1-Summary!$B$55)*T1268+Summary!$B$55*V1268</f>
        <v/>
      </c>
      <c r="P1268">
        <f>IF(B1286=0,0,O1268/B1286)</f>
        <v/>
      </c>
      <c r="Q1268" t="n">
        <v>0</v>
      </c>
      <c r="R1268" t="n">
        <v>0</v>
      </c>
      <c r="S1268">
        <f>IFERROR(O1268/N1268,0)</f>
        <v/>
      </c>
      <c r="T1268" t="n">
        <v>0</v>
      </c>
      <c r="V1268" t="n">
        <v>0</v>
      </c>
    </row>
    <row r="1269">
      <c r="A1269">
        <f>Skills!A26</f>
        <v/>
      </c>
      <c r="B1269">
        <f>Skills!B26</f>
        <v/>
      </c>
      <c r="C1269">
        <f>Inputs!$B$3&gt;=125</f>
        <v/>
      </c>
      <c r="D1269">
        <f>IF(Skills!C26=1,60+Inputs!$B$25+Inputs!$B$29,IF(Skills!C26=2,90+Inputs!$B$26+Inputs!$B$29,IF(Skills!C26=3,120+Inputs!$B$27+Inputs!$B$29,MAX(0,(Inputs!$B$3-100)*3)+Inputs!$B$28+Inputs!$B$29)))</f>
        <v/>
      </c>
      <c r="E1269">
        <f>INDEX(FactorTable!$B$2:$Y$301, MATCH(ROUND(MIN(300,MAX(1,D1269)),0), FactorTable!$A$2:$A$301,0), Skills!M26+1)</f>
        <v/>
      </c>
      <c r="F1269">
        <f>IF(Skills!N26=TRUE,(Skills!L26/10)*(E1269/1000),Skills!L26/10)+Skills!O26</f>
        <v/>
      </c>
      <c r="G1269">
        <f>Skills!G26*IF(Skills!H26&gt;0,Skills!I26/Skills!H26,1)</f>
        <v/>
      </c>
      <c r="H1269">
        <f>1-(1-Skills!J26/100)^Skills!K26</f>
        <v/>
      </c>
      <c r="I1269" t="inlineStr">
        <is>
          <t>1</t>
        </is>
      </c>
      <c r="J1269" t="inlineStr"/>
      <c r="K1269" t="inlineStr"/>
      <c r="L1269" t="inlineStr"/>
      <c r="M1269" t="inlineStr"/>
      <c r="N1269" t="inlineStr"/>
      <c r="O1269">
        <f>(1-Summary!$B$55)*T1269+Summary!$B$55*V1269</f>
        <v/>
      </c>
      <c r="P1269">
        <f>IF(B1286=0,0,O1269/B1286)</f>
        <v/>
      </c>
      <c r="Q1269" t="n">
        <v>0</v>
      </c>
      <c r="R1269" t="n">
        <v>0</v>
      </c>
      <c r="S1269">
        <f>IFERROR(O1269/N1269,0)</f>
        <v/>
      </c>
      <c r="T1269" t="n">
        <v>0</v>
      </c>
      <c r="V1269" t="n">
        <v>0</v>
      </c>
    </row>
    <row r="1270">
      <c r="A1270">
        <f>Skills!A27</f>
        <v/>
      </c>
      <c r="B1270">
        <f>Skills!B27</f>
        <v/>
      </c>
      <c r="C1270">
        <f>Inputs!$B$3&gt;=125</f>
        <v/>
      </c>
      <c r="D1270">
        <f>IF(Skills!C27=1,60+Inputs!$B$25+Inputs!$B$29,IF(Skills!C27=2,90+Inputs!$B$26+Inputs!$B$29,IF(Skills!C27=3,120+Inputs!$B$27+Inputs!$B$29,MAX(0,(Inputs!$B$3-100)*3)+Inputs!$B$28+Inputs!$B$29)))</f>
        <v/>
      </c>
      <c r="E1270">
        <f>INDEX(FactorTable!$B$2:$Y$301, MATCH(ROUND(MIN(300,MAX(1,D1270)),0), FactorTable!$A$2:$A$301,0), Skills!M27+1)</f>
        <v/>
      </c>
      <c r="F1270">
        <f>IF(Skills!N27=TRUE,(Skills!L27/10)*(E1270/1000),Skills!L27/10)+Skills!O27</f>
        <v/>
      </c>
      <c r="G1270">
        <f>Skills!G27*IF(Skills!H27&gt;0,Skills!I27/Skills!H27,1)</f>
        <v/>
      </c>
      <c r="H1270">
        <f>1-(1-Skills!J27/100)^Skills!K27</f>
        <v/>
      </c>
      <c r="I1270" t="inlineStr">
        <is>
          <t>1</t>
        </is>
      </c>
      <c r="J1270" t="inlineStr"/>
      <c r="K1270" t="inlineStr"/>
      <c r="L1270" t="inlineStr"/>
      <c r="M1270" t="inlineStr"/>
      <c r="N1270" t="inlineStr"/>
      <c r="O1270">
        <f>(1-Summary!$B$55)*T1270+Summary!$B$55*V1270</f>
        <v/>
      </c>
      <c r="P1270">
        <f>IF(B1286=0,0,O1270/B1286)</f>
        <v/>
      </c>
      <c r="Q1270" t="n">
        <v>0</v>
      </c>
      <c r="R1270" t="n">
        <v>0</v>
      </c>
      <c r="S1270">
        <f>IFERROR(O1270/N1270,0)</f>
        <v/>
      </c>
      <c r="T1270" t="n">
        <v>0</v>
      </c>
      <c r="V1270" t="n">
        <v>0</v>
      </c>
    </row>
    <row r="1271">
      <c r="A1271">
        <f>Skills!A28</f>
        <v/>
      </c>
      <c r="B1271">
        <f>Skills!B28</f>
        <v/>
      </c>
      <c r="C1271">
        <f>Inputs!$B$3&gt;=120</f>
        <v/>
      </c>
      <c r="D1271">
        <f>IF(Skills!C28=1,60+Inputs!$B$25+Inputs!$B$29,IF(Skills!C28=2,90+Inputs!$B$26+Inputs!$B$29,IF(Skills!C28=3,120+Inputs!$B$27+Inputs!$B$29,MAX(0,(Inputs!$B$3-100)*3)+Inputs!$B$28+Inputs!$B$29)))</f>
        <v/>
      </c>
      <c r="E1271">
        <f>INDEX(FactorTable!$B$2:$Y$301, MATCH(ROUND(MIN(300,MAX(1,D1271)),0), FactorTable!$A$2:$A$301,0), Skills!M28+1)</f>
        <v/>
      </c>
      <c r="F1271">
        <f>IF(Skills!N28=TRUE,(Skills!L28/10)*(E1271/1000),Skills!L28/10)+Skills!O28</f>
        <v/>
      </c>
      <c r="G1271">
        <f>Skills!G28*IF(Skills!H28&gt;0,Skills!I28/Skills!H28,1)</f>
        <v/>
      </c>
      <c r="H1271">
        <f>1-(1-Skills!J28/100)^Skills!K28</f>
        <v/>
      </c>
      <c r="I1271" t="inlineStr">
        <is>
          <t>1</t>
        </is>
      </c>
      <c r="J1271" t="inlineStr"/>
      <c r="K1271" t="inlineStr"/>
      <c r="L1271" t="inlineStr"/>
      <c r="M1271" t="inlineStr"/>
      <c r="N1271" t="inlineStr"/>
      <c r="O1271">
        <f>(1-Summary!$B$55)*T1271+Summary!$B$55*V1271</f>
        <v/>
      </c>
      <c r="P1271">
        <f>IF(B1286=0,0,O1271/B1286)</f>
        <v/>
      </c>
      <c r="Q1271" t="n">
        <v>0</v>
      </c>
      <c r="R1271" t="n">
        <v>0</v>
      </c>
      <c r="S1271">
        <f>IFERROR(O1271/N1271,0)</f>
        <v/>
      </c>
      <c r="T1271" t="n">
        <v>0</v>
      </c>
      <c r="V1271" t="n">
        <v>0</v>
      </c>
    </row>
    <row r="1272">
      <c r="A1272">
        <f>Skills!A29</f>
        <v/>
      </c>
      <c r="B1272">
        <f>Skills!B29</f>
        <v/>
      </c>
      <c r="C1272">
        <f>Inputs!$B$3&gt;=120</f>
        <v/>
      </c>
      <c r="D1272">
        <f>IF(Skills!C29=1,60+Inputs!$B$25+Inputs!$B$29,IF(Skills!C29=2,90+Inputs!$B$26+Inputs!$B$29,IF(Skills!C29=3,120+Inputs!$B$27+Inputs!$B$29,MAX(0,(Inputs!$B$3-100)*3)+Inputs!$B$28+Inputs!$B$29)))</f>
        <v/>
      </c>
      <c r="E1272">
        <f>INDEX(FactorTable!$B$2:$Y$301, MATCH(ROUND(MIN(300,MAX(1,D1272)),0), FactorTable!$A$2:$A$301,0), Skills!M29+1)</f>
        <v/>
      </c>
      <c r="F1272">
        <f>IF(Skills!N29=TRUE,(Skills!L29/10)*(E1272/1000),Skills!L29/10)+Skills!O29</f>
        <v/>
      </c>
      <c r="G1272">
        <f>Skills!G29*IF(Skills!H29&gt;0,Skills!I29/Skills!H29,1)</f>
        <v/>
      </c>
      <c r="H1272">
        <f>1-(1-Skills!J29/100)^Skills!K29</f>
        <v/>
      </c>
      <c r="I1272" t="inlineStr">
        <is>
          <t>1</t>
        </is>
      </c>
      <c r="J1272" t="inlineStr"/>
      <c r="K1272" t="inlineStr"/>
      <c r="L1272" t="inlineStr"/>
      <c r="M1272" t="inlineStr"/>
      <c r="N1272" t="inlineStr"/>
      <c r="O1272">
        <f>(1-Summary!$B$55)*T1272+Summary!$B$55*V1272</f>
        <v/>
      </c>
      <c r="P1272">
        <f>IF(B1286=0,0,O1272/B1286)</f>
        <v/>
      </c>
      <c r="Q1272" t="n">
        <v>0</v>
      </c>
      <c r="R1272" t="n">
        <v>0</v>
      </c>
      <c r="S1272">
        <f>IFERROR(O1272/N1272,0)</f>
        <v/>
      </c>
      <c r="T1272" t="n">
        <v>0</v>
      </c>
      <c r="V1272" t="n">
        <v>0</v>
      </c>
    </row>
    <row r="1273">
      <c r="A1273">
        <f>Skills!A30</f>
        <v/>
      </c>
      <c r="B1273">
        <f>Skills!B30</f>
        <v/>
      </c>
      <c r="C1273">
        <f>Inputs!$B$3&gt;=45</f>
        <v/>
      </c>
      <c r="D1273">
        <f>IF(Skills!C30=1,60+Inputs!$B$25+Inputs!$B$29,IF(Skills!C30=2,90+Inputs!$B$26+Inputs!$B$29,IF(Skills!C30=3,120+Inputs!$B$27+Inputs!$B$29,MAX(0,(Inputs!$B$3-100)*3)+Inputs!$B$28+Inputs!$B$29)))</f>
        <v/>
      </c>
      <c r="E1273">
        <f>INDEX(FactorTable!$B$2:$Y$301, MATCH(ROUND(MIN(300,MAX(1,D1273)),0), FactorTable!$A$2:$A$301,0), Skills!M30+1)</f>
        <v/>
      </c>
      <c r="F1273">
        <f>IF(Skills!N30=TRUE,(Skills!L30/10)*(E1273/1000),Skills!L30/10)+Skills!O30</f>
        <v/>
      </c>
      <c r="G1273">
        <f>Skills!G30*IF(Skills!H30&gt;0,Skills!I30/Skills!H30,1)</f>
        <v/>
      </c>
      <c r="H1273">
        <f>1-(1-Skills!J30/100)^Skills!K30</f>
        <v/>
      </c>
      <c r="I1273" t="inlineStr">
        <is>
          <t>1</t>
        </is>
      </c>
      <c r="J1273" t="inlineStr"/>
      <c r="K1273" t="inlineStr"/>
      <c r="L1273" t="inlineStr"/>
      <c r="M1273" t="inlineStr"/>
      <c r="N1273" t="inlineStr"/>
      <c r="O1273">
        <f>(1-Summary!$B$55)*T1273+Summary!$B$55*V1273</f>
        <v/>
      </c>
      <c r="P1273">
        <f>IF(B1286=0,0,O1273/B1286)</f>
        <v/>
      </c>
      <c r="Q1273" t="n">
        <v>0</v>
      </c>
      <c r="R1273" t="n">
        <v>0</v>
      </c>
      <c r="S1273">
        <f>IFERROR(O1273/N1273,0)</f>
        <v/>
      </c>
      <c r="T1273" t="n">
        <v>0</v>
      </c>
      <c r="V1273" t="n">
        <v>0</v>
      </c>
    </row>
    <row r="1275">
      <c r="A1275" t="inlineStr">
        <is>
          <t>Attack% Bucket Multiplier</t>
        </is>
      </c>
      <c r="B1275">
        <f>(1+(((C1256=TRUE)*F1256)+((C1257=TRUE)*IF(Inputs!$B$38="pvp",F1257,(1-Summary!$B$55)*(F1257)+Summary!$B$55*(0)))+((C1258=TRUE)*F1258*IF(AND(Inputs!$B$38&lt;&gt;"pvp",Inputs!$B$43&gt;0),(((R1258-1)*(Skills!T15*(1+Inputs!$B$34/100))+MIN((Skills!T15*(1+Inputs!$B$34/100)),MAX(0,Inputs!$B$43-((R1258-1)*Skills!D15))))/Inputs!$B$43),IF(Inputs!$B$38="pvp",MIN((Skills!T15*(1+Inputs!$B$34/100)),15)/15,(Skills!T15*(1+Inputs!$B$34/100))/Skills!D15)))+((C1273=TRUE)*(F1273-Calc!F30)))/100)</f>
        <v/>
      </c>
    </row>
    <row r="1276">
      <c r="A1276" t="inlineStr">
        <is>
          <t>Global Crit Rate Bonus %</t>
        </is>
      </c>
      <c r="B1276">
        <f>(C1259=TRUE)*20*IF(AND(Inputs!$B$38&lt;&gt;"pvp",Inputs!$B$43&gt;0),(((R1259-1)*(Skills!T16*(1+Inputs!$B$34/100))+MIN((Skills!T16*(1+Inputs!$B$34/100)),MAX(0,Inputs!$B$43-((R1259-1)*Skills!D16))))/Inputs!$B$43),IF(Inputs!$B$38="pvp",MIN((Skills!T16*(1+Inputs!$B$34/100)),15)/15,(Skills!T16*(1+Inputs!$B$34/100))/Skills!D16))</f>
        <v/>
      </c>
    </row>
    <row r="1277">
      <c r="A1277" t="inlineStr">
        <is>
          <t>Attack Speed Buff Bonus %</t>
        </is>
      </c>
      <c r="B1277">
        <f>((C1262=TRUE)*F1262*IF(AND(Inputs!$B$38&lt;&gt;"pvp",Inputs!$B$43&gt;0),(((R1262-1)*(Skills!T19*(1+Inputs!$B$34/100))+MIN((Skills!T19*(1+Inputs!$B$34/100)),MAX(0,Inputs!$B$43-((R1262-1)*Skills!D19))))/Inputs!$B$43),IF(Inputs!$B$38="pvp",MIN((Skills!T19*(1+Inputs!$B$34/100)),15)/15,(Skills!T19*(1+Inputs!$B$34/100))/Skills!D19)))</f>
        <v/>
      </c>
    </row>
    <row r="1278">
      <c r="A1278" t="inlineStr">
        <is>
          <t>Actions Per Second</t>
        </is>
      </c>
      <c r="B1278">
        <f>1+MIN(150,150*(1-(1-(Inputs!$B$11+((C1264=TRUE)*(F1264-Calc!F21))+((C1265=TRUE)*(F1265-Calc!F22)))/150)*(1-B1277/150)))/100</f>
        <v/>
      </c>
    </row>
    <row r="1279">
      <c r="A1279" t="inlineStr">
        <is>
          <t>Skill + Buff Cast Rate</t>
        </is>
      </c>
      <c r="B1279">
        <f>IF(AND(Inputs!$B$38&lt;&gt;"pvp",Inputs!$B$43&gt;0),SUMPRODUCT((Skills!E2:E30=TRUE)*(C1245:C1273=TRUE)*R1245:R1273*Skills!F2:F30)/Inputs!$B$43,SUMPRODUCT((Skills!E2:E30=TRUE)*(C1245:C1273=TRUE)*Q1245:Q1273*Skills!F2:F30))</f>
        <v/>
      </c>
    </row>
    <row r="1280">
      <c r="A1280" t="inlineStr">
        <is>
          <t>Arrow Stream Casts Per Second</t>
        </is>
      </c>
      <c r="B1280">
        <f>MAX(0,B1278-B1279)</f>
        <v/>
      </c>
    </row>
    <row r="1281">
      <c r="A1281" t="inlineStr">
        <is>
          <t>Global Critical Damage Bonus % (Sharp Eyes + Concentration)</t>
        </is>
      </c>
      <c r="B1281">
        <f>(C1259=TRUE)*F1259*IF(AND(Inputs!$B$38&lt;&gt;"pvp",Inputs!$B$43&gt;0),(((R1259-1)*(Skills!T16*(1+Inputs!$B$34/100))+MIN((Skills!T16*(1+Inputs!$B$34/100)),MAX(0,Inputs!$B$43-((R1259-1)*Skills!D16))))/Inputs!$B$43),IF(Inputs!$B$38="pvp",MIN((Skills!T16*(1+Inputs!$B$34/100)),15)/15,(Skills!T16*(1+Inputs!$B$34/100))/Skills!D16))+(C1260=TRUE)*30</f>
        <v/>
      </c>
    </row>
    <row r="1282">
      <c r="A1282" t="inlineStr">
        <is>
          <t>Global Final Damage Bonus % (Mortal Blow)</t>
        </is>
      </c>
      <c r="B1282">
        <f>(C1261=TRUE)*F1261</f>
        <v/>
      </c>
    </row>
    <row r="1283">
      <c r="A1283" t="inlineStr">
        <is>
          <t>Buff-Casting Startup Delay (s, fixed-duration only)</t>
        </is>
      </c>
      <c r="B1283">
        <f>IF(AND(Inputs!$B$38&lt;&gt;"pvp",Inputs!$B$43&gt;0),SUMPRODUCT((Skills!T2:T30&gt;0)*(Skills!E2:E30=TRUE)*(C1245:C1273=TRUE))/B1278,0)</f>
        <v/>
      </c>
    </row>
    <row r="1284">
      <c r="A1284" t="inlineStr">
        <is>
          <t>Boss-Only Total DPS (this block's swept value)</t>
        </is>
      </c>
      <c r="B1284">
        <f>SUM(T1245:T1273)</f>
        <v/>
      </c>
    </row>
    <row r="1285">
      <c r="A1285" t="inlineStr">
        <is>
          <t>Normal-Only Total DPS (this block's swept value)</t>
        </is>
      </c>
      <c r="B1285">
        <f>SUM(V1245:V1273)</f>
        <v/>
      </c>
    </row>
    <row r="1286">
      <c r="A1286" s="5" t="inlineStr">
        <is>
          <t>TOTAL DPS</t>
        </is>
      </c>
      <c r="B1286" s="5">
        <f>SUM(O1245:O1273)</f>
        <v/>
      </c>
    </row>
    <row r="1289">
      <c r="A1289" s="5" t="inlineStr">
        <is>
          <t>Stat: CDR = 1.0s</t>
        </is>
      </c>
    </row>
    <row r="1290">
      <c r="A1290" s="9" t="inlineStr">
        <is>
          <t>Key</t>
        </is>
      </c>
      <c r="B1290" s="9" t="inlineStr">
        <is>
          <t>Name</t>
        </is>
      </c>
      <c r="C1290" s="9" t="inlineStr">
        <is>
          <t>Unlocked</t>
        </is>
      </c>
      <c r="D1290" s="9" t="inlineStr">
        <is>
          <t>InputLevel</t>
        </is>
      </c>
      <c r="E1290" s="9" t="inlineStr">
        <is>
          <t>Factor</t>
        </is>
      </c>
      <c r="F1290" s="9" t="inlineStr">
        <is>
          <t>CoefficientPercent</t>
        </is>
      </c>
      <c r="G1290" s="9" t="inlineStr">
        <is>
          <t>EffectiveHits</t>
        </is>
      </c>
      <c r="H1290" s="9" t="inlineStr">
        <is>
          <t>ProcProbability</t>
        </is>
      </c>
      <c r="I1290" s="9" t="inlineStr">
        <is>
          <t>MapleHeroMultiplier</t>
        </is>
      </c>
      <c r="J1290" s="9" t="inlineStr">
        <is>
          <t>BaseDamage</t>
        </is>
      </c>
      <c r="K1290" s="9" t="inlineStr">
        <is>
          <t>BaseHitDamage</t>
        </is>
      </c>
      <c r="L1290" s="9" t="inlineStr">
        <is>
          <t>NonCritAvg</t>
        </is>
      </c>
      <c r="M1290" s="9" t="inlineStr">
        <is>
          <t>CritAvg</t>
        </is>
      </c>
      <c r="N1290" s="9" t="inlineStr">
        <is>
          <t>ExpectedDamage(perHit)</t>
        </is>
      </c>
      <c r="O1290" s="9" t="inlineStr">
        <is>
          <t>DPS</t>
        </is>
      </c>
      <c r="P1290" s="9" t="inlineStr">
        <is>
          <t>% of Total</t>
        </is>
      </c>
      <c r="Q1290" s="9" t="inlineStr">
        <is>
          <t>InvCooldown</t>
        </is>
      </c>
      <c r="R1290" s="9" t="inlineStr">
        <is>
          <t>CastsInFight</t>
        </is>
      </c>
      <c r="S1290" s="9"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Inputs!$B$19+((C1316=TRUE)*(F1316-Calc!F27)))/100)))*(1+(Inputs!$B$24+((C1314=TRUE)*(F1314-Calc!F25))+((C1315=TRUE)*(F1315-Calc!F26))+B1328)/100)*(1+(IF(Skills!A2="ARROW_STREAM",Inputs!$B$17+((C1312=TRUE)*(F1312-Calc!F23)),Inputs!$B$18+((C1317=TRUE)*(F1317-Calc!F28))))/100)*((1+(((C1302=TRUE)*F1302)+((C1303=TRUE)*IF(Inputs!$B$38="pvp",F1303,(1-Summary!$B$55)*(F1303)+Summary!$B$55*(0)))+((C1304=TRUE)*F1304*IF(AND(Inputs!$B$38&lt;&gt;"pvp",Inputs!$B$43&gt;0),(((R1304-1)*(Skills!T15*(1+Inputs!$B$34/100))+MIN((Skills!T15*(1+Inputs!$B$34/100)),MAX(0,Inputs!$B$43-((R1304-1)*Skills!D15))))/Inputs!$B$43),IF(Inputs!$B$38="pvp",MIN((Skills!T15*(1+Inputs!$B$34/100)),15)/15,(Skills!T15*(1+Inputs!$B$34/100))/Skills!D15)))+((C1319=TRUE)*(F1319-Calc!F30)))/100)*I1291)</f>
        <v/>
      </c>
      <c r="L1291">
        <f>K1291*(MIN(Inputs!$B$22+((C1313=TRUE)*(F1313-Calc!F24)),Inputs!$B$23+((C1318=TRUE)*(F1318-Calc!F29)))/100+(Inputs!$B$23+((C1318=TRUE)*(F1318-Calc!F29)))/100)/2</f>
        <v/>
      </c>
      <c r="M1291">
        <f>L1291*(1+(Inputs!$B$10+0+B1327)/100)</f>
        <v/>
      </c>
      <c r="N1291">
        <f>L1291*(1-MIN((Inputs!$B$9+((C1309=TRUE)*(F1309-Calc!F20))+B1322),100)/100)+M1291*(MIN((Inputs!$B$9+((C1309=TRUE)*(F1309-Calc!F20))+B1322),100)/100)</f>
        <v/>
      </c>
      <c r="O1291">
        <f>(1-Summary!$B$55)*T1291+Summary!$B$55*V1291</f>
        <v/>
      </c>
      <c r="P1291">
        <f>IF(B1332=0,0,O1291/B1332)</f>
        <v/>
      </c>
      <c r="Q1291" t="n">
        <v>0</v>
      </c>
      <c r="R1291" t="n">
        <v>0</v>
      </c>
      <c r="S1291">
        <f>IFERROR(O1291/N1291,0)</f>
        <v/>
      </c>
      <c r="T1291">
        <f>IF(C1291,(Skills!G2*N1291*B1326)*IF(Inputs!$B$38="pvp",1,1+(Inputs!$B$20+0+Skills!P2)/100),0)</f>
        <v/>
      </c>
      <c r="U1291">
        <f>MAX(0,(Inputs!$B$3-100)*3)+Inputs!$B$28+Inputs!$B$29</f>
        <v/>
      </c>
      <c r="V1291">
        <f>IF(C1291,(Skills!G2*N1291*B1326)*IF(Inputs!$B$38="pvp",1,(1+(Inputs!$B$21+Skills!Q2)/100)*(MIN((6+Inputs!$B$33),Inputs!$B$37))),0)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T1292" t="inlineStr"/>
      <c r="U1292">
        <f>INDEX(FactorTable!$B$2:$Y$301, MATCH(ROUND(MIN(300,MAX(1,U1291)),0), FactorTable!$A$2:$A$301,0), 22)</f>
        <v/>
      </c>
      <c r="V1292" t="inlineStr"/>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T1293" t="inlineStr"/>
      <c r="U1293">
        <f>290*U1292/1000</f>
        <v/>
      </c>
      <c r="V1293" t="inlineStr"/>
    </row>
    <row r="1294">
      <c r="A1294">
        <f>Skills!A5</f>
        <v/>
      </c>
      <c r="B1294">
        <f>Skills!B5</f>
        <v/>
      </c>
      <c r="C1294">
        <f>Inputs!$B$3&gt;=35</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Inputs!$B$19+((C1316=TRUE)*(F1316-Calc!F27)))/100)))*(1+(Inputs!$B$24+((C1314=TRUE)*(F1314-Calc!F25))+((C1315=TRUE)*(F1315-Calc!F26))+B1328)/100)*(1+4.0*IF(C1299=TRUE,F1299,0)/100)*(1+(IF(Skills!A5="ARROW_STREAM",Inputs!$B$17+((C1312=TRUE)*(F1312-Calc!F23)),Inputs!$B$18+((C1317=TRUE)*(F1317-Calc!F28))))/100)*((1+(((C1302=TRUE)*F1302)+((C1303=TRUE)*IF(Inputs!$B$38="pvp",F1303,(1-Summary!$B$55)*(F1303)+Summary!$B$55*(0)))+((C1304=TRUE)*F1304*IF(AND(Inputs!$B$38&lt;&gt;"pvp",Inputs!$B$43&gt;0),(((R1304-1)*(Skills!T15*(1+Inputs!$B$34/100))+MIN((Skills!T15*(1+Inputs!$B$34/100)),MAX(0,Inputs!$B$43-((R1304-1)*Skills!D15))))/Inputs!$B$43),IF(Inputs!$B$38="pvp",MIN((Skills!T15*(1+Inputs!$B$34/100)),15)/15,(Skills!T15*(1+Inputs!$B$34/100))/Skills!D15)))+((C1319=TRUE)*(F1319-Calc!F30)))/100)*I1294)</f>
        <v/>
      </c>
      <c r="L1294">
        <f>K1294*(MIN(Inputs!$B$22+((C1313=TRUE)*(F1313-Calc!F24)),Inputs!$B$23+((C1318=TRUE)*(F1318-Calc!F29)))/100+(Inputs!$B$23+((C1318=TRUE)*(F1318-Calc!F29)))/100)/2</f>
        <v/>
      </c>
      <c r="M1294">
        <f>L1294*(1+(Inputs!$B$10+0+B1327)/100)</f>
        <v/>
      </c>
      <c r="N1294">
        <f>L1294*(1-MIN((Inputs!$B$9+((C1309=TRUE)*(F1309-Calc!F20))+B1322),100)/100)+M1294*(MIN((Inputs!$B$9+((C1309=TRUE)*(F1309-Calc!F20))+B1322),100)/100)</f>
        <v/>
      </c>
      <c r="O1294">
        <f>(1-Summary!$B$55)*T1294+Summary!$B$55*V1294</f>
        <v/>
      </c>
      <c r="P1294">
        <f>IF(B1332=0,0,O1294/B1332)</f>
        <v/>
      </c>
      <c r="Q1294">
        <f>IFERROR(1/IF(Inputs!$B$38="pvp",15,MAX(0.1,Skills!D5-IF(Skills!E5=TRUE,1.0,0))),0)</f>
        <v/>
      </c>
      <c r="R1294">
        <f>IF(AND(Inputs!$B$38&lt;&gt;"pvp",Inputs!$B$43&gt;0),IF(MAX(0,Inputs!$B$43-B1329)&lt;=0,0,(INT(MAX(0,Inputs!$B$43-B1329)/IF(Inputs!$B$38="pvp",15,MAX(0.1,Skills!D5-IF(Skills!E5=TRUE,1.0,0))))+1)),0)</f>
        <v/>
      </c>
      <c r="S1294">
        <f>IFERROR(O1294/N1294,0)</f>
        <v/>
      </c>
      <c r="T1294">
        <f>IF(C1294,(H1294*N1294*IF(AND(Inputs!$B$38&lt;&gt;"pvp",Inputs!$B$43&gt;0),((Skills!G5*((R1294-1)*IF(Skills!H5&gt;0,Skills!I5/Skills!H5,1)+IF(Skills!H5&gt;0,MIN(Skills!I5,MAX(0,MAX(0,Inputs!$B$43-B1329)-((R1294-1)*IF(Inputs!$B$38="pvp",15,MAX(0.1,Skills!D5-IF(Skills!E5=TRUE,1.0,0))))))/Skills!H5,1)))/Inputs!$B$43),G1294*Q1294))*IF(Inputs!$B$38="pvp",1,1+(Inputs!$B$20+0+Skills!P5)/100),0)</f>
        <v/>
      </c>
      <c r="V1294">
        <f>IF(C1294,(H1294*N1294*IF(AND(Inputs!$B$38&lt;&gt;"pvp",Inputs!$B$43&gt;0),((Skills!G5*((R1294-1)*IF(Skills!H5&gt;0,Skills!I5/Skills!H5,1)+IF(Skills!H5&gt;0,MIN(Skills!I5,MAX(0,MAX(0,Inputs!$B$43-B1329)-((R1294-1)*IF(Inputs!$B$38="pvp",15,MAX(0.1,Skills!D5-IF(Skills!E5=TRUE,1.0,0))))))/Skills!H5,1)))/Inputs!$B$43),G1294*Q1294))*IF(Inputs!$B$38="pvp",1,(1+(Inputs!$B$21+Skills!Q5)/100)*(MIN(Skills!R5,Inputs!$B$37))),0)</f>
        <v/>
      </c>
    </row>
    <row r="1295">
      <c r="A1295">
        <f>Skills!A6</f>
        <v/>
      </c>
      <c r="B1295">
        <f>Skills!B6</f>
        <v/>
      </c>
      <c r="C1295">
        <f>Inputs!$B$3&gt;=40</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Inputs!$B$19+((C1316=TRUE)*(F1316-Calc!F27)))/100)))*(1+(Inputs!$B$24+((C1314=TRUE)*(F1314-Calc!F25))+((C1315=TRUE)*(F1315-Calc!F26))+B1328)/100)*(1+IF(C1296=TRUE,F1296,0)/100)*(1+(IF(Skills!A6="ARROW_STREAM",Inputs!$B$17+((C1312=TRUE)*(F1312-Calc!F23)),Inputs!$B$18+((C1317=TRUE)*(F1317-Calc!F28))))/100)*((1+(((C1302=TRUE)*F1302)+((C1303=TRUE)*IF(Inputs!$B$38="pvp",F1303,(1-Summary!$B$55)*(F1303)+Summary!$B$55*(0)))+((C1304=TRUE)*F1304*IF(AND(Inputs!$B$38&lt;&gt;"pvp",Inputs!$B$43&gt;0),(((R1304-1)*(Skills!T15*(1+Inputs!$B$34/100))+MIN((Skills!T15*(1+Inputs!$B$34/100)),MAX(0,Inputs!$B$43-((R1304-1)*Skills!D15))))/Inputs!$B$43),IF(Inputs!$B$38="pvp",MIN((Skills!T15*(1+Inputs!$B$34/100)),15)/15,(Skills!T15*(1+Inputs!$B$34/100))/Skills!D15)))+((C1319=TRUE)*(F1319-Calc!F30)))/100)*I1295)</f>
        <v/>
      </c>
      <c r="L1295">
        <f>K1295*(MIN(Inputs!$B$22+((C1313=TRUE)*(F1313-Calc!F24)),Inputs!$B$23+((C1318=TRUE)*(F1318-Calc!F29)))/100+(Inputs!$B$23+((C1318=TRUE)*(F1318-Calc!F29)))/100)/2</f>
        <v/>
      </c>
      <c r="M1295">
        <f>L1295*(1+(Inputs!$B$10+0+B1327)/100)</f>
        <v/>
      </c>
      <c r="N1295">
        <f>L1295*(1-MIN((Inputs!$B$9+((C1309=TRUE)*(F1309-Calc!F20))+B1322),100)/100)+M1295*(MIN((Inputs!$B$9+((C1309=TRUE)*(F1309-Calc!F20))+B1322),100)/100)</f>
        <v/>
      </c>
      <c r="O1295">
        <f>(1-Summary!$B$55)*T1295+Summary!$B$55*V1295</f>
        <v/>
      </c>
      <c r="P1295">
        <f>IF(B1332=0,0,O1295/B1332)</f>
        <v/>
      </c>
      <c r="Q1295">
        <f>IFERROR(1/IF(Inputs!$B$38="pvp",15,MAX(0.1,Skills!D6-IF(Skills!E6=TRUE,1.0,0))),0)</f>
        <v/>
      </c>
      <c r="R1295">
        <f>IF(AND(Inputs!$B$38&lt;&gt;"pvp",Inputs!$B$43&gt;0),IF(MAX(0,Inputs!$B$43-B1329)&lt;=0,0,(INT(MAX(0,Inputs!$B$43-B1329)/IF(Inputs!$B$38="pvp",15,MAX(0.1,Skills!D6-IF(Skills!E6=TRUE,1.0,0))))+1)),0)</f>
        <v/>
      </c>
      <c r="S1295">
        <f>IFERROR(O1295/N1295,0)</f>
        <v/>
      </c>
      <c r="T1295">
        <f>IF(C1295,(H1295*N1295*IF(AND(Inputs!$B$38&lt;&gt;"pvp",Inputs!$B$43&gt;0),((Skills!G6*((R1295-1)*IF(Skills!H6&gt;0,Skills!I6/Skills!H6,1)+IF(Skills!H6&gt;0,MIN(Skills!I6,MAX(0,MAX(0,Inputs!$B$43-B1329)-((R1295-1)*IF(Inputs!$B$38="pvp",15,MAX(0.1,Skills!D6-IF(Skills!E6=TRUE,1.0,0))))))/Skills!H6,1)))/Inputs!$B$43),G1295*Q1295))*IF(Inputs!$B$38="pvp",1,1+(Inputs!$B$20+0+Skills!P6)/100),0)</f>
        <v/>
      </c>
      <c r="V1295">
        <f>IF(C1295,(H1295*N1295*IF(AND(Inputs!$B$38&lt;&gt;"pvp",Inputs!$B$43&gt;0),((Skills!G6*((R1295-1)*IF(Skills!H6&gt;0,Skills!I6/Skills!H6,1)+IF(Skills!H6&gt;0,MIN(Skills!I6,MAX(0,MAX(0,Inputs!$B$43-B1329)-((R1295-1)*IF(Inputs!$B$38="pvp",15,MAX(0.1,Skills!D6-IF(Skills!E6=TRUE,1.0,0))))))/Skills!H6,1)))/Inputs!$B$43),G1295*Q1295))*IF(Inputs!$B$38="pvp",1,(1+(Inputs!$B$21+Skills!Q6)/100)*(MIN(Skills!R6,Inputs!$B$37))),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t="inlineStr"/>
      <c r="H1296" t="inlineStr"/>
      <c r="I1296" t="inlineStr">
        <is>
          <t>1</t>
        </is>
      </c>
      <c r="J1296" t="inlineStr"/>
      <c r="K1296" t="inlineStr"/>
      <c r="L1296" t="inlineStr"/>
      <c r="M1296" t="inlineStr"/>
      <c r="N1296" t="inlineStr"/>
      <c r="O1296" t="inlineStr"/>
      <c r="P1296" t="inlineStr"/>
      <c r="Q1296" t="inlineStr"/>
      <c r="R1296" t="inlineStr"/>
      <c r="S1296" t="inlineStr"/>
      <c r="T1296" t="inlineStr"/>
      <c r="V1296" t="inlineStr"/>
    </row>
    <row r="1297">
      <c r="A1297">
        <f>Skills!A8</f>
        <v/>
      </c>
      <c r="B1297">
        <f>Skills!B8</f>
        <v/>
      </c>
      <c r="C1297">
        <f>Inputs!$B$3&gt;=69</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Inputs!$B$19+((C1316=TRUE)*(F1316-Calc!F27)))/100)))*(1+(Inputs!$B$24+((C1314=TRUE)*(F1314-Calc!F25))+((C1315=TRUE)*(F1315-Calc!F26))+B1328)/100)*(1+1.2*IF(C1299=TRUE,F1299,0)/100)*(1+(IF(Skills!A8="ARROW_STREAM",Inputs!$B$17+((C1312=TRUE)*(F1312-Calc!F23)),Inputs!$B$18+((C1317=TRUE)*(F1317-Calc!F28))))/100)*((1+(((C1302=TRUE)*F1302)+((C1303=TRUE)*IF(Inputs!$B$38="pvp",F1303,(1-Summary!$B$55)*(F1303)+Summary!$B$55*(0)))+((C1304=TRUE)*F1304*IF(AND(Inputs!$B$38&lt;&gt;"pvp",Inputs!$B$43&gt;0),(((R1304-1)*(Skills!T15*(1+Inputs!$B$34/100))+MIN((Skills!T15*(1+Inputs!$B$34/100)),MAX(0,Inputs!$B$43-((R1304-1)*Skills!D15))))/Inputs!$B$43),IF(Inputs!$B$38="pvp",MIN((Skills!T15*(1+Inputs!$B$34/100)),15)/15,(Skills!T15*(1+Inputs!$B$34/100))/Skills!D15)))+((C1319=TRUE)*(F1319-Calc!F30)))/100)*I1297)</f>
        <v/>
      </c>
      <c r="L1297">
        <f>K1297*(MIN(Inputs!$B$22+((C1313=TRUE)*(F1313-Calc!F24)),Inputs!$B$23+((C1318=TRUE)*(F1318-Calc!F29)))/100+(Inputs!$B$23+((C1318=TRUE)*(F1318-Calc!F29)))/100)/2</f>
        <v/>
      </c>
      <c r="M1297">
        <f>L1297*(1+(Inputs!$B$10+0+B1327)/100)</f>
        <v/>
      </c>
      <c r="N1297">
        <f>L1297*(1-MIN((Inputs!$B$9+((C1309=TRUE)*(F1309-Calc!F20))+B1322),100)/100)+M1297*(MIN((Inputs!$B$9+((C1309=TRUE)*(F1309-Calc!F20))+B1322),100)/100)</f>
        <v/>
      </c>
      <c r="O1297">
        <f>(1-Summary!$B$55)*T1297+Summary!$B$55*V1297</f>
        <v/>
      </c>
      <c r="P1297">
        <f>IF(B1332=0,0,O1297/B1332)</f>
        <v/>
      </c>
      <c r="Q1297">
        <f>IFERROR(1/IF(Inputs!$B$38="pvp",15,MAX(0.1,Skills!D8-IF(Skills!E8=TRUE,1.0,0))),0)</f>
        <v/>
      </c>
      <c r="R1297">
        <f>IF(AND(Inputs!$B$38&lt;&gt;"pvp",Inputs!$B$43&gt;0),IF(MAX(0,Inputs!$B$43-B1329)&lt;=0,0,(INT(MAX(0,Inputs!$B$43-B1329)/IF(Inputs!$B$38="pvp",15,MAX(0.1,Skills!D8-IF(Skills!E8=TRUE,1.0,0))))+1)),0)</f>
        <v/>
      </c>
      <c r="S1297">
        <f>IFERROR(O1297/N1297,0)</f>
        <v/>
      </c>
      <c r="T1297">
        <f>IF(C1297,(H1297*N1297*IF(AND(Inputs!$B$38&lt;&gt;"pvp",Inputs!$B$43&gt;0),((Skills!G8*((R1297-1)*IF(Skills!H8&gt;0,Skills!I8/Skills!H8,1)+IF(Skills!H8&gt;0,MIN(Skills!I8,MAX(0,MAX(0,Inputs!$B$43-B1329)-((R1297-1)*IF(Inputs!$B$38="pvp",15,MAX(0.1,Skills!D8-IF(Skills!E8=TRUE,1.0,0))))))/Skills!H8,1)))/Inputs!$B$43),G1297*Q1297))*IF(Inputs!$B$38="pvp",1,1+(Inputs!$B$20+0+Skills!P8)/100),0)</f>
        <v/>
      </c>
      <c r="V1297">
        <f>IF(C1297,(H1297*N1297*IF(AND(Inputs!$B$38&lt;&gt;"pvp",Inputs!$B$43&gt;0),((Skills!G8*((R1297-1)*IF(Skills!H8&gt;0,Skills!I8/Skills!H8,1)+IF(Skills!H8&gt;0,MIN(Skills!I8,MAX(0,MAX(0,Inputs!$B$43-B1329)-((R1297-1)*IF(Inputs!$B$38="pvp",15,MAX(0.1,Skills!D8-IF(Skills!E8=TRUE,1.0,0))))))/Skills!H8,1)))/Inputs!$B$43),G1297*Q1297))*IF(Inputs!$B$38="pvp",1,(1+(Inputs!$B$21+Skills!Q8)/100)*(MIN(Skills!R8,Inputs!$B$37))),0)</f>
        <v/>
      </c>
    </row>
    <row r="1298">
      <c r="A1298">
        <f>Skills!A9</f>
        <v/>
      </c>
      <c r="B1298">
        <f>Skills!B9</f>
        <v/>
      </c>
      <c r="C1298">
        <f>Inputs!$B$3&gt;=63</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Inputs!$B$19+((C1316=TRUE)*(F1316-Calc!F27)))/100)))*(1+(Inputs!$B$24+((C1314=TRUE)*(F1314-Calc!F25))+((C1315=TRUE)*(F1315-Calc!F26))+B1328)/100)*(1+1.0*IF(C1299=TRUE,F1299,0)/100)*(1+(IF(Skills!A9="ARROW_STREAM",Inputs!$B$17+((C1312=TRUE)*(F1312-Calc!F23)),Inputs!$B$18+((C1317=TRUE)*(F1317-Calc!F28))))/100)*((1+(((C1302=TRUE)*F1302)+((C1303=TRUE)*IF(Inputs!$B$38="pvp",F1303,(1-Summary!$B$55)*(F1303)+Summary!$B$55*(0)))+((C1304=TRUE)*F1304*IF(AND(Inputs!$B$38&lt;&gt;"pvp",Inputs!$B$43&gt;0),(((R1304-1)*(Skills!T15*(1+Inputs!$B$34/100))+MIN((Skills!T15*(1+Inputs!$B$34/100)),MAX(0,Inputs!$B$43-((R1304-1)*Skills!D15))))/Inputs!$B$43),IF(Inputs!$B$38="pvp",MIN((Skills!T15*(1+Inputs!$B$34/100)),15)/15,(Skills!T15*(1+Inputs!$B$34/100))/Skills!D15)))+((C1319=TRUE)*(F1319-Calc!F30)))/100)*I1298)</f>
        <v/>
      </c>
      <c r="L1298">
        <f>K1298*(MIN(Inputs!$B$22+((C1313=TRUE)*(F1313-Calc!F24)),Inputs!$B$23+((C1318=TRUE)*(F1318-Calc!F29)))/100+(Inputs!$B$23+((C1318=TRUE)*(F1318-Calc!F29)))/100)/2</f>
        <v/>
      </c>
      <c r="M1298">
        <f>L1298*(1+(Inputs!$B$10+0+B1327)/100)</f>
        <v/>
      </c>
      <c r="N1298">
        <f>L1298*(1-MIN((Inputs!$B$9+((C1309=TRUE)*(F1309-Calc!F20))+B1322),100)/100)+M1298*(MIN((Inputs!$B$9+((C1309=TRUE)*(F1309-Calc!F20))+B1322),100)/100)</f>
        <v/>
      </c>
      <c r="O1298">
        <f>(1-Summary!$B$55)*T1298+Summary!$B$55*V1298</f>
        <v/>
      </c>
      <c r="P1298">
        <f>IF(B1332=0,0,O1298/B1332)</f>
        <v/>
      </c>
      <c r="Q1298">
        <f>IFERROR(1/IF(Inputs!$B$38="pvp",15,MAX(0.1,Skills!D9-IF(Skills!E9=TRUE,1.0,0))),0)</f>
        <v/>
      </c>
      <c r="R1298">
        <f>IF(AND(Inputs!$B$38&lt;&gt;"pvp",Inputs!$B$43&gt;0),IF(MAX(0,Inputs!$B$43-B1329)&lt;=0,0,(INT(MAX(0,Inputs!$B$43-B1329)/IF(Inputs!$B$38="pvp",15,MAX(0.1,Skills!D9-IF(Skills!E9=TRUE,1.0,0))))+1)),0)</f>
        <v/>
      </c>
      <c r="S1298">
        <f>IFERROR(O1298/N1298,0)</f>
        <v/>
      </c>
      <c r="T1298">
        <f>IF(C1298,(H1298*N1298*IF(AND(Inputs!$B$38&lt;&gt;"pvp",Inputs!$B$43&gt;0),((Skills!G9*((R1298-1)*IF(Skills!H9&gt;0,Skills!I9/Skills!H9,1)+IF(Skills!H9&gt;0,MIN(Skills!I9,MAX(0,MAX(0,Inputs!$B$43-B1329)-((R1298-1)*IF(Inputs!$B$38="pvp",15,MAX(0.1,Skills!D9-IF(Skills!E9=TRUE,1.0,0))))))/Skills!H9,1)))/Inputs!$B$43),G1298*Q1298))*IF(Inputs!$B$38="pvp",1,1+(Inputs!$B$20+0+Skills!P9)/100),0)</f>
        <v/>
      </c>
      <c r="V1298">
        <f>IF(C1298,(H1298*N1298*IF(AND(Inputs!$B$38&lt;&gt;"pvp",Inputs!$B$43&gt;0),((Skills!G9*((R1298-1)*IF(Skills!H9&gt;0,Skills!I9/Skills!H9,1)+IF(Skills!H9&gt;0,MIN(Skills!I9,MAX(0,MAX(0,Inputs!$B$43-B1329)-((R1298-1)*IF(Inputs!$B$38="pvp",15,MAX(0.1,Skills!D9-IF(Skills!E9=TRUE,1.0,0))))))/Skills!H9,1)))/Inputs!$B$43),G1298*Q1298))*IF(Inputs!$B$38="pvp",1,(1+(Inputs!$B$21+Skills!Q9)/100)*(MIN(Skills!R9,Inputs!$B$37))),0)</f>
        <v/>
      </c>
    </row>
    <row r="1299">
      <c r="A1299">
        <f>Skills!A10</f>
        <v/>
      </c>
      <c r="B1299">
        <f>Skills!B10</f>
        <v/>
      </c>
      <c r="C1299">
        <f>Inputs!$B$3&gt;=100</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t="inlineStr"/>
      <c r="H1299" t="inlineStr"/>
      <c r="I1299" t="inlineStr">
        <is>
          <t>1</t>
        </is>
      </c>
      <c r="J1299" t="inlineStr"/>
      <c r="K1299" t="inlineStr"/>
      <c r="L1299" t="inlineStr"/>
      <c r="M1299" t="inlineStr"/>
      <c r="N1299" t="inlineStr"/>
      <c r="O1299" t="inlineStr"/>
      <c r="P1299" t="inlineStr"/>
      <c r="Q1299" t="inlineStr"/>
      <c r="R1299" t="inlineStr"/>
      <c r="S1299" t="inlineStr"/>
      <c r="T1299" t="inlineStr"/>
      <c r="V1299" t="inlineStr"/>
    </row>
    <row r="1300">
      <c r="A1300">
        <f>Skills!A11</f>
        <v/>
      </c>
      <c r="B1300">
        <f>Skills!B11</f>
        <v/>
      </c>
      <c r="C1300">
        <f>Inputs!$B$3&gt;=60</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Inputs!$B$19+((C1316=TRUE)*(F1316-Calc!F27)))/100)))*(1+(Inputs!$B$24+((C1314=TRUE)*(F1314-Calc!F25))+((C1315=TRUE)*(F1315-Calc!F26))+B1328)/100)*(1+IF(C1301=TRUE,F1301,0)/100)*(1+(IF(Skills!A11="ARROW_STREAM",Inputs!$B$17+((C1312=TRUE)*(F1312-Calc!F23)),Inputs!$B$18+((C1317=TRUE)*(F1317-Calc!F28))))/100)*((1+(((C1302=TRUE)*F1302)+((C1303=TRUE)*IF(Inputs!$B$38="pvp",F1303,(1-Summary!$B$55)*(F1303)+Summary!$B$55*(0)))+((C1304=TRUE)*F1304*IF(AND(Inputs!$B$38&lt;&gt;"pvp",Inputs!$B$43&gt;0),(((R1304-1)*(Skills!T15*(1+Inputs!$B$34/100))+MIN((Skills!T15*(1+Inputs!$B$34/100)),MAX(0,Inputs!$B$43-((R1304-1)*Skills!D15))))/Inputs!$B$43),IF(Inputs!$B$38="pvp",MIN((Skills!T15*(1+Inputs!$B$34/100)),15)/15,(Skills!T15*(1+Inputs!$B$34/100))/Skills!D15)))+((C1319=TRUE)*(F1319-Calc!F30)))/100)*I1300)</f>
        <v/>
      </c>
      <c r="L1300">
        <f>K1300*(MIN(Inputs!$B$22+((C1313=TRUE)*(F1313-Calc!F24)),Inputs!$B$23+((C1318=TRUE)*(F1318-Calc!F29)))/100+(Inputs!$B$23+((C1318=TRUE)*(F1318-Calc!F29)))/100)/2</f>
        <v/>
      </c>
      <c r="M1300">
        <f>L1300*(1+(Inputs!$B$10+0+B1327)/100)</f>
        <v/>
      </c>
      <c r="N1300">
        <f>L1300*(1-MIN((Inputs!$B$9+((C1309=TRUE)*(F1309-Calc!F20))+B1322),100)/100)+M1300*(MIN((Inputs!$B$9+((C1309=TRUE)*(F1309-Calc!F20))+B1322),100)/100)</f>
        <v/>
      </c>
      <c r="O1300">
        <f>(1-Summary!$B$55)*T1300+Summary!$B$55*V1300</f>
        <v/>
      </c>
      <c r="P1300">
        <f>IF(B1332=0,0,O1300/B1332)</f>
        <v/>
      </c>
      <c r="Q1300">
        <f>IFERROR(1/IF(Inputs!$B$38="pvp",15,MAX(0.1,Skills!D11-IF(Skills!E11=TRUE,1.0,0))),0)</f>
        <v/>
      </c>
      <c r="R1300">
        <f>IF(AND(Inputs!$B$38&lt;&gt;"pvp",Inputs!$B$43&gt;0),IF(MAX(0,Inputs!$B$43-B1329)&lt;=0,0,(INT(MAX(0,Inputs!$B$43-B1329)/IF(Inputs!$B$38="pvp",15,MAX(0.1,Skills!D11-IF(Skills!E11=TRUE,1.0,0))))+1)),0)</f>
        <v/>
      </c>
      <c r="S1300">
        <f>IFERROR(O1300/N1300,0)</f>
        <v/>
      </c>
      <c r="T1300">
        <f>IF(C1300,(H1300*N1300*IF(AND(Inputs!$B$38&lt;&gt;"pvp",Inputs!$B$43&gt;0),((Skills!G11*((R1300-1)*IF(Skills!H11&gt;0,Skills!I11/Skills!H11,1)+IF(Skills!H11&gt;0,MIN(Skills!I11,MAX(0,MAX(0,Inputs!$B$43-B1329)-((R1300-1)*IF(Inputs!$B$38="pvp",15,MAX(0.1,Skills!D11-IF(Skills!E11=TRUE,1.0,0))))))/Skills!H11,1)))/Inputs!$B$43),G1300*Q1300))*IF(Inputs!$B$38="pvp",1,1+(Inputs!$B$20+0+Skills!P11)/100),0)</f>
        <v/>
      </c>
      <c r="V1300">
        <f>IF(C1300,(H1300*N1300*IF(AND(Inputs!$B$38&lt;&gt;"pvp",Inputs!$B$43&gt;0),((Skills!G11*((R1300-1)*IF(Skills!H11&gt;0,Skills!I11/Skills!H11,1)+IF(Skills!H11&gt;0,MIN(Skills!I11,MAX(0,MAX(0,Inputs!$B$43-B1329)-((R1300-1)*IF(Inputs!$B$38="pvp",15,MAX(0.1,Skills!D11-IF(Skills!E11=TRUE,1.0,0))))))/Skills!H11,1)))/Inputs!$B$43),G1300*Q1300))*IF(Inputs!$B$38="pvp",1,(1+(Inputs!$B$21+Skills!Q11)/100)*(MIN(Skills!R11,Inputs!$B$37))),0)</f>
        <v/>
      </c>
    </row>
    <row r="1301">
      <c r="A1301">
        <f>Skills!A12</f>
        <v/>
      </c>
      <c r="B1301">
        <f>Skills!B12</f>
        <v/>
      </c>
      <c r="C1301">
        <f>Inputs!$B$3&gt;=110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c r="T1301" t="inlineStr"/>
      <c r="V1301" t="inlineStr"/>
    </row>
    <row r="1302">
      <c r="A1302">
        <f>Skills!A13</f>
        <v/>
      </c>
      <c r="B1302">
        <f>Skills!B13</f>
        <v/>
      </c>
      <c r="C1302">
        <f>Inputs!$B$3&gt;=74</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(1-Summary!$B$55)*T1302+Summary!$B$55*V1302</f>
        <v/>
      </c>
      <c r="P1302">
        <f>IF(B1332=0,0,O1302/B1332)</f>
        <v/>
      </c>
      <c r="Q1302" t="n">
        <v>0</v>
      </c>
      <c r="R1302" t="n">
        <v>0</v>
      </c>
      <c r="S1302">
        <f>IFERROR(O1302/N1302,0)</f>
        <v/>
      </c>
      <c r="T1302" t="n">
        <v>0</v>
      </c>
      <c r="V1302" t="n">
        <v>0</v>
      </c>
    </row>
    <row r="1303">
      <c r="A1303">
        <f>Skills!A14</f>
        <v/>
      </c>
      <c r="B1303">
        <f>Skills!B14</f>
        <v/>
      </c>
      <c r="C1303">
        <f>Inputs!$B$3&gt;=74</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(1-Summary!$B$55)*T1303+Summary!$B$55*V1303</f>
        <v/>
      </c>
      <c r="P1303">
        <f>IF(B1332=0,0,O1303/B1332)</f>
        <v/>
      </c>
      <c r="Q1303" t="n">
        <v>0</v>
      </c>
      <c r="R1303" t="n">
        <v>0</v>
      </c>
      <c r="S1303">
        <f>IFERROR(O1303/N1303,0)</f>
        <v/>
      </c>
      <c r="T1303" t="n">
        <v>0</v>
      </c>
      <c r="V1303" t="n">
        <v>0</v>
      </c>
    </row>
    <row r="1304">
      <c r="A1304">
        <f>Skills!A15</f>
        <v/>
      </c>
      <c r="B1304">
        <f>Skills!B15</f>
        <v/>
      </c>
      <c r="C1304">
        <f>Inputs!$B$3&gt;=117</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(1-Summary!$B$55)*T1304+Summary!$B$55*V1304</f>
        <v/>
      </c>
      <c r="P1304">
        <f>IF(B1332=0,0,O1304/B1332)</f>
        <v/>
      </c>
      <c r="Q1304">
        <f>IFERROR(1/IF(Inputs!$B$38="pvp",15,MAX(0.1,Skills!D15-IF(Skills!E15=TRUE,1.0,0))),0)</f>
        <v/>
      </c>
      <c r="R1304">
        <f>IF(AND(Inputs!$B$38&lt;&gt;"pvp",Inputs!$B$43&gt;0),IF(Inputs!$B$43&lt;=0,0,(INT(Inputs!$B$43/IF(Inputs!$B$38="pvp",15,MAX(0.1,Skills!D15-IF(Skills!E15=TRUE,1.0,0))))+1)),0)</f>
        <v/>
      </c>
      <c r="S1304">
        <f>IFERROR(O1304/N1304,0)</f>
        <v/>
      </c>
      <c r="T1304" t="n">
        <v>0</v>
      </c>
      <c r="V1304" t="n">
        <v>0</v>
      </c>
    </row>
    <row r="1305">
      <c r="A1305">
        <f>Skills!A16</f>
        <v/>
      </c>
      <c r="B1305">
        <f>Skills!B16</f>
        <v/>
      </c>
      <c r="C1305">
        <f>Inputs!$B$3&gt;=115</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(1-Summary!$B$55)*T1305+Summary!$B$55*V1305</f>
        <v/>
      </c>
      <c r="P1305">
        <f>IF(B1332=0,0,O1305/B1332)</f>
        <v/>
      </c>
      <c r="Q1305">
        <f>IFERROR(1/IF(Inputs!$B$38="pvp",15,MAX(0.1,Skills!D16-IF(Skills!E16=TRUE,1.0,0))),0)</f>
        <v/>
      </c>
      <c r="R1305">
        <f>IF(AND(Inputs!$B$38&lt;&gt;"pvp",Inputs!$B$43&gt;0),IF(Inputs!$B$43&lt;=0,0,(INT(Inputs!$B$43/IF(Inputs!$B$38="pvp",15,MAX(0.1,Skills!D16-IF(Skills!E16=TRUE,1.0,0))))+1)),0)</f>
        <v/>
      </c>
      <c r="S1305">
        <f>IFERROR(O1305/N1305,0)</f>
        <v/>
      </c>
      <c r="T1305" t="n">
        <v>0</v>
      </c>
      <c r="V1305" t="n">
        <v>0</v>
      </c>
    </row>
    <row r="1306">
      <c r="A1306">
        <f>Skills!A17</f>
        <v/>
      </c>
      <c r="B1306">
        <f>Skills!B17</f>
        <v/>
      </c>
      <c r="C1306">
        <f>Inputs!$B$3&gt;=66</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(1-Summary!$B$55)*T1306+Summary!$B$55*V1306</f>
        <v/>
      </c>
      <c r="P1306">
        <f>IF(B1332=0,0,O1306/B1332)</f>
        <v/>
      </c>
      <c r="Q1306" t="n">
        <v>0</v>
      </c>
      <c r="R1306" t="n">
        <v>0</v>
      </c>
      <c r="S1306">
        <f>IFERROR(O1306/N1306,0)</f>
        <v/>
      </c>
      <c r="T1306" t="n">
        <v>0</v>
      </c>
      <c r="V1306" t="n">
        <v>0</v>
      </c>
    </row>
    <row r="1307">
      <c r="A1307">
        <f>Skills!A18</f>
        <v/>
      </c>
      <c r="B1307">
        <f>Skills!B18</f>
        <v/>
      </c>
      <c r="C1307">
        <f>Inputs!$B$3&gt;=72</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(1-Summary!$B$55)*T1307+Summary!$B$55*V1307</f>
        <v/>
      </c>
      <c r="P1307">
        <f>IF(B1332=0,0,O1307/B1332)</f>
        <v/>
      </c>
      <c r="Q1307" t="n">
        <v>0</v>
      </c>
      <c r="R1307" t="n">
        <v>0</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(1-Summary!$B$55)*T1308+Summary!$B$55*V1308</f>
        <v/>
      </c>
      <c r="P1308">
        <f>IF(B1332=0,0,O1308/B1332)</f>
        <v/>
      </c>
      <c r="Q1308">
        <f>IFERROR(1/IF(Inputs!$B$38="pvp",15,MAX(0.1,Skills!D19-IF(Skills!E19=TRUE,1.0,0))),0)</f>
        <v/>
      </c>
      <c r="R1308">
        <f>IF(AND(Inputs!$B$38&lt;&gt;"pvp",Inputs!$B$43&gt;0),IF(Inputs!$B$43&lt;=0,0,(INT(Inputs!$B$43/IF(Inputs!$B$38="pvp",15,MAX(0.1,Skills!D19-IF(Skills!E19=TRUE,1.0,0))))+1)),0)</f>
        <v/>
      </c>
      <c r="S1308">
        <f>IFERROR(O1308/N1308,0)</f>
        <v/>
      </c>
      <c r="T1308" t="n">
        <v>0</v>
      </c>
      <c r="V1308" t="n">
        <v>0</v>
      </c>
    </row>
    <row r="1309">
      <c r="A1309">
        <f>Skills!A20</f>
        <v/>
      </c>
      <c r="B1309">
        <f>Skills!B20</f>
        <v/>
      </c>
      <c r="C1309">
        <f>Inputs!$B$3&gt;=15</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(1-Summary!$B$55)*T1309+Summary!$B$55*V1309</f>
        <v/>
      </c>
      <c r="P1309">
        <f>IF(B1332=0,0,O1309/B1332)</f>
        <v/>
      </c>
      <c r="Q1309" t="n">
        <v>0</v>
      </c>
      <c r="R1309" t="n">
        <v>0</v>
      </c>
      <c r="S1309">
        <f>IFERROR(O1309/N1309,0)</f>
        <v/>
      </c>
      <c r="T1309" t="n">
        <v>0</v>
      </c>
      <c r="V1309" t="n">
        <v>0</v>
      </c>
    </row>
    <row r="1310">
      <c r="A1310">
        <f>Skills!A21</f>
        <v/>
      </c>
      <c r="B1310">
        <f>Skills!B21</f>
        <v/>
      </c>
      <c r="C1310">
        <f>Inputs!$B$3&gt;=10</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(1-Summary!$B$55)*T1310+Summary!$B$55*V1310</f>
        <v/>
      </c>
      <c r="P1310">
        <f>IF(B1332=0,0,O1310/B1332)</f>
        <v/>
      </c>
      <c r="Q1310" t="n">
        <v>0</v>
      </c>
      <c r="R1310" t="n">
        <v>0</v>
      </c>
      <c r="S1310">
        <f>IFERROR(O1310/N1310,0)</f>
        <v/>
      </c>
      <c r="T1310" t="n">
        <v>0</v>
      </c>
      <c r="V1310" t="n">
        <v>0</v>
      </c>
    </row>
    <row r="1311">
      <c r="A1311">
        <f>Skills!A22</f>
        <v/>
      </c>
      <c r="B1311">
        <f>Skills!B22</f>
        <v/>
      </c>
      <c r="C1311">
        <f>Inputs!$B$3&gt;=33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(1-Summary!$B$55)*T1311+Summary!$B$55*V1311</f>
        <v/>
      </c>
      <c r="P1311">
        <f>IF(B1332=0,0,O1311/B1332)</f>
        <v/>
      </c>
      <c r="Q1311" t="n">
        <v>0</v>
      </c>
      <c r="R1311" t="n">
        <v>0</v>
      </c>
      <c r="S1311">
        <f>IFERROR(O1311/N1311,0)</f>
        <v/>
      </c>
      <c r="T1311" t="n">
        <v>0</v>
      </c>
      <c r="V1311" t="n">
        <v>0</v>
      </c>
    </row>
    <row r="1312">
      <c r="A1312">
        <f>Skills!A23</f>
        <v/>
      </c>
      <c r="B1312">
        <f>Skills!B23</f>
        <v/>
      </c>
      <c r="C1312">
        <f>Inputs!$B$3&gt;=38</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(1-Summary!$B$55)*T1312+Summary!$B$55*V1312</f>
        <v/>
      </c>
      <c r="P1312">
        <f>IF(B1332=0,0,O1312/B1332)</f>
        <v/>
      </c>
      <c r="Q1312" t="n">
        <v>0</v>
      </c>
      <c r="R1312" t="n">
        <v>0</v>
      </c>
      <c r="S1312">
        <f>IFERROR(O1312/N1312,0)</f>
        <v/>
      </c>
      <c r="T1312" t="n">
        <v>0</v>
      </c>
      <c r="V1312" t="n">
        <v>0</v>
      </c>
    </row>
    <row r="1313">
      <c r="A1313">
        <f>Skills!A24</f>
        <v/>
      </c>
      <c r="B1313">
        <f>Skills!B24</f>
        <v/>
      </c>
      <c r="C1313">
        <f>Inputs!$B$3&gt;=43</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(1-Summary!$B$55)*T1313+Summary!$B$55*V1313</f>
        <v/>
      </c>
      <c r="P1313">
        <f>IF(B1332=0,0,O1313/B1332)</f>
        <v/>
      </c>
      <c r="Q1313" t="n">
        <v>0</v>
      </c>
      <c r="R1313" t="n">
        <v>0</v>
      </c>
      <c r="S1313">
        <f>IFERROR(O1313/N1313,0)</f>
        <v/>
      </c>
      <c r="T1313" t="n">
        <v>0</v>
      </c>
      <c r="V1313" t="n">
        <v>0</v>
      </c>
    </row>
    <row r="1314">
      <c r="A1314">
        <f>Skills!A25</f>
        <v/>
      </c>
      <c r="B1314">
        <f>Skills!B25</f>
        <v/>
      </c>
      <c r="C1314">
        <f>Inputs!$B$3&gt;=75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(1-Summary!$B$55)*T1314+Summary!$B$55*V1314</f>
        <v/>
      </c>
      <c r="P1314">
        <f>IF(B1332=0,0,O1314/B1332)</f>
        <v/>
      </c>
      <c r="Q1314" t="n">
        <v>0</v>
      </c>
      <c r="R1314" t="n">
        <v>0</v>
      </c>
      <c r="S1314">
        <f>IFERROR(O1314/N1314,0)</f>
        <v/>
      </c>
      <c r="T1314" t="n">
        <v>0</v>
      </c>
      <c r="V1314" t="n">
        <v>0</v>
      </c>
    </row>
    <row r="1315">
      <c r="A1315">
        <f>Skills!A26</f>
        <v/>
      </c>
      <c r="B1315">
        <f>Skills!B26</f>
        <v/>
      </c>
      <c r="C1315">
        <f>Inputs!$B$3&gt;=125</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(1-Summary!$B$55)*T1315+Summary!$B$55*V1315</f>
        <v/>
      </c>
      <c r="P1315">
        <f>IF(B1332=0,0,O1315/B1332)</f>
        <v/>
      </c>
      <c r="Q1315" t="n">
        <v>0</v>
      </c>
      <c r="R1315" t="n">
        <v>0</v>
      </c>
      <c r="S1315">
        <f>IFERROR(O1315/N1315,0)</f>
        <v/>
      </c>
      <c r="T1315" t="n">
        <v>0</v>
      </c>
      <c r="V1315" t="n">
        <v>0</v>
      </c>
    </row>
    <row r="1316">
      <c r="A1316">
        <f>Skills!A27</f>
        <v/>
      </c>
      <c r="B1316">
        <f>Skills!B27</f>
        <v/>
      </c>
      <c r="C1316">
        <f>Inputs!$B$3&gt;=125</f>
        <v/>
      </c>
      <c r="D1316">
        <f>IF(Skills!C27=1,60+Inputs!$B$25+Inputs!$B$29,IF(Skills!C27=2,90+Inputs!$B$26+Inputs!$B$29,IF(Skills!C27=3,120+Inputs!$B$27+Inputs!$B$29,MAX(0,(Inputs!$B$3-100)*3)+Inputs!$B$28+Inputs!$B$29)))</f>
        <v/>
      </c>
      <c r="E1316">
        <f>INDEX(FactorTable!$B$2:$Y$301, MATCH(ROUND(MIN(300,MAX(1,D1316)),0), FactorTable!$A$2:$A$301,0), Skills!M27+1)</f>
        <v/>
      </c>
      <c r="F1316">
        <f>IF(Skills!N27=TRUE,(Skills!L27/10)*(E1316/1000),Skills!L27/10)+Skills!O27</f>
        <v/>
      </c>
      <c r="G1316">
        <f>Skills!G27*IF(Skills!H27&gt;0,Skills!I27/Skills!H27,1)</f>
        <v/>
      </c>
      <c r="H1316">
        <f>1-(1-Skills!J27/100)^Skills!K27</f>
        <v/>
      </c>
      <c r="I1316" t="inlineStr">
        <is>
          <t>1</t>
        </is>
      </c>
      <c r="J1316" t="inlineStr"/>
      <c r="K1316" t="inlineStr"/>
      <c r="L1316" t="inlineStr"/>
      <c r="M1316" t="inlineStr"/>
      <c r="N1316" t="inlineStr"/>
      <c r="O1316">
        <f>(1-Summary!$B$55)*T1316+Summary!$B$55*V1316</f>
        <v/>
      </c>
      <c r="P1316">
        <f>IF(B1332=0,0,O1316/B1332)</f>
        <v/>
      </c>
      <c r="Q1316" t="n">
        <v>0</v>
      </c>
      <c r="R1316" t="n">
        <v>0</v>
      </c>
      <c r="S1316">
        <f>IFERROR(O1316/N1316,0)</f>
        <v/>
      </c>
      <c r="T1316" t="n">
        <v>0</v>
      </c>
      <c r="V1316" t="n">
        <v>0</v>
      </c>
    </row>
    <row r="1317">
      <c r="A1317">
        <f>Skills!A28</f>
        <v/>
      </c>
      <c r="B1317">
        <f>Skills!B28</f>
        <v/>
      </c>
      <c r="C1317">
        <f>Inputs!$B$3&gt;=120</f>
        <v/>
      </c>
      <c r="D1317">
        <f>IF(Skills!C28=1,60+Inputs!$B$25+Inputs!$B$29,IF(Skills!C28=2,90+Inputs!$B$26+Inputs!$B$29,IF(Skills!C28=3,120+Inputs!$B$27+Inputs!$B$29,MAX(0,(Inputs!$B$3-100)*3)+Inputs!$B$28+Inputs!$B$29)))</f>
        <v/>
      </c>
      <c r="E1317">
        <f>INDEX(FactorTable!$B$2:$Y$301, MATCH(ROUND(MIN(300,MAX(1,D1317)),0), FactorTable!$A$2:$A$301,0), Skills!M28+1)</f>
        <v/>
      </c>
      <c r="F1317">
        <f>IF(Skills!N28=TRUE,(Skills!L28/10)*(E1317/1000),Skills!L28/10)+Skills!O28</f>
        <v/>
      </c>
      <c r="G1317">
        <f>Skills!G28*IF(Skills!H28&gt;0,Skills!I28/Skills!H28,1)</f>
        <v/>
      </c>
      <c r="H1317">
        <f>1-(1-Skills!J28/100)^Skills!K28</f>
        <v/>
      </c>
      <c r="I1317" t="inlineStr">
        <is>
          <t>1</t>
        </is>
      </c>
      <c r="J1317" t="inlineStr"/>
      <c r="K1317" t="inlineStr"/>
      <c r="L1317" t="inlineStr"/>
      <c r="M1317" t="inlineStr"/>
      <c r="N1317" t="inlineStr"/>
      <c r="O1317">
        <f>(1-Summary!$B$55)*T1317+Summary!$B$55*V1317</f>
        <v/>
      </c>
      <c r="P1317">
        <f>IF(B1332=0,0,O1317/B1332)</f>
        <v/>
      </c>
      <c r="Q1317" t="n">
        <v>0</v>
      </c>
      <c r="R1317" t="n">
        <v>0</v>
      </c>
      <c r="S1317">
        <f>IFERROR(O1317/N1317,0)</f>
        <v/>
      </c>
      <c r="T1317" t="n">
        <v>0</v>
      </c>
      <c r="V1317" t="n">
        <v>0</v>
      </c>
    </row>
    <row r="1318">
      <c r="A1318">
        <f>Skills!A29</f>
        <v/>
      </c>
      <c r="B1318">
        <f>Skills!B29</f>
        <v/>
      </c>
      <c r="C1318">
        <f>Inputs!$B$3&gt;=120</f>
        <v/>
      </c>
      <c r="D1318">
        <f>IF(Skills!C29=1,60+Inputs!$B$25+Inputs!$B$29,IF(Skills!C29=2,90+Inputs!$B$26+Inputs!$B$29,IF(Skills!C29=3,120+Inputs!$B$27+Inputs!$B$29,MAX(0,(Inputs!$B$3-100)*3)+Inputs!$B$28+Inputs!$B$29)))</f>
        <v/>
      </c>
      <c r="E1318">
        <f>INDEX(FactorTable!$B$2:$Y$301, MATCH(ROUND(MIN(300,MAX(1,D1318)),0), FactorTable!$A$2:$A$301,0), Skills!M29+1)</f>
        <v/>
      </c>
      <c r="F1318">
        <f>IF(Skills!N29=TRUE,(Skills!L29/10)*(E1318/1000),Skills!L29/10)+Skills!O29</f>
        <v/>
      </c>
      <c r="G1318">
        <f>Skills!G29*IF(Skills!H29&gt;0,Skills!I29/Skills!H29,1)</f>
        <v/>
      </c>
      <c r="H1318">
        <f>1-(1-Skills!J29/100)^Skills!K29</f>
        <v/>
      </c>
      <c r="I1318" t="inlineStr">
        <is>
          <t>1</t>
        </is>
      </c>
      <c r="J1318" t="inlineStr"/>
      <c r="K1318" t="inlineStr"/>
      <c r="L1318" t="inlineStr"/>
      <c r="M1318" t="inlineStr"/>
      <c r="N1318" t="inlineStr"/>
      <c r="O1318">
        <f>(1-Summary!$B$55)*T1318+Summary!$B$55*V1318</f>
        <v/>
      </c>
      <c r="P1318">
        <f>IF(B1332=0,0,O1318/B1332)</f>
        <v/>
      </c>
      <c r="Q1318" t="n">
        <v>0</v>
      </c>
      <c r="R1318" t="n">
        <v>0</v>
      </c>
      <c r="S1318">
        <f>IFERROR(O1318/N1318,0)</f>
        <v/>
      </c>
      <c r="T1318" t="n">
        <v>0</v>
      </c>
      <c r="V1318" t="n">
        <v>0</v>
      </c>
    </row>
    <row r="1319">
      <c r="A1319">
        <f>Skills!A30</f>
        <v/>
      </c>
      <c r="B1319">
        <f>Skills!B30</f>
        <v/>
      </c>
      <c r="C1319">
        <f>Inputs!$B$3&gt;=45</f>
        <v/>
      </c>
      <c r="D1319">
        <f>IF(Skills!C30=1,60+Inputs!$B$25+Inputs!$B$29,IF(Skills!C30=2,90+Inputs!$B$26+Inputs!$B$29,IF(Skills!C30=3,120+Inputs!$B$27+Inputs!$B$29,MAX(0,(Inputs!$B$3-100)*3)+Inputs!$B$28+Inputs!$B$29)))</f>
        <v/>
      </c>
      <c r="E1319">
        <f>INDEX(FactorTable!$B$2:$Y$301, MATCH(ROUND(MIN(300,MAX(1,D1319)),0), FactorTable!$A$2:$A$301,0), Skills!M30+1)</f>
        <v/>
      </c>
      <c r="F1319">
        <f>IF(Skills!N30=TRUE,(Skills!L30/10)*(E1319/1000),Skills!L30/10)+Skills!O30</f>
        <v/>
      </c>
      <c r="G1319">
        <f>Skills!G30*IF(Skills!H30&gt;0,Skills!I30/Skills!H30,1)</f>
        <v/>
      </c>
      <c r="H1319">
        <f>1-(1-Skills!J30/100)^Skills!K30</f>
        <v/>
      </c>
      <c r="I1319" t="inlineStr">
        <is>
          <t>1</t>
        </is>
      </c>
      <c r="J1319" t="inlineStr"/>
      <c r="K1319" t="inlineStr"/>
      <c r="L1319" t="inlineStr"/>
      <c r="M1319" t="inlineStr"/>
      <c r="N1319" t="inlineStr"/>
      <c r="O1319">
        <f>(1-Summary!$B$55)*T1319+Summary!$B$55*V1319</f>
        <v/>
      </c>
      <c r="P1319">
        <f>IF(B1332=0,0,O1319/B1332)</f>
        <v/>
      </c>
      <c r="Q1319" t="n">
        <v>0</v>
      </c>
      <c r="R1319" t="n">
        <v>0</v>
      </c>
      <c r="S1319">
        <f>IFERROR(O1319/N1319,0)</f>
        <v/>
      </c>
      <c r="T1319" t="n">
        <v>0</v>
      </c>
      <c r="V1319" t="n">
        <v>0</v>
      </c>
    </row>
    <row r="1321">
      <c r="A1321" t="inlineStr">
        <is>
          <t>Attack% Bucket Multiplier</t>
        </is>
      </c>
      <c r="B1321">
        <f>(1+(((C1302=TRUE)*F1302)+((C1303=TRUE)*IF(Inputs!$B$38="pvp",F1303,(1-Summary!$B$55)*(F1303)+Summary!$B$55*(0)))+((C1304=TRUE)*F1304*IF(AND(Inputs!$B$38&lt;&gt;"pvp",Inputs!$B$43&gt;0),(((R1304-1)*(Skills!T15*(1+Inputs!$B$34/100))+MIN((Skills!T15*(1+Inputs!$B$34/100)),MAX(0,Inputs!$B$43-((R1304-1)*Skills!D15))))/Inputs!$B$43),IF(Inputs!$B$38="pvp",MIN((Skills!T15*(1+Inputs!$B$34/100)),15)/15,(Skills!T15*(1+Inputs!$B$34/100))/Skills!D15)))+((C1319=TRUE)*(F1319-Calc!F30)))/100)</f>
        <v/>
      </c>
    </row>
    <row r="1322">
      <c r="A1322" t="inlineStr">
        <is>
          <t>Global Crit Rate Bonus %</t>
        </is>
      </c>
      <c r="B1322">
        <f>(C1305=TRUE)*20*IF(AND(Inputs!$B$38&lt;&gt;"pvp",Inputs!$B$43&gt;0),(((R1305-1)*(Skills!T16*(1+Inputs!$B$34/100))+MIN((Skills!T16*(1+Inputs!$B$34/100)),MAX(0,Inputs!$B$43-((R1305-1)*Skills!D16))))/Inputs!$B$43),IF(Inputs!$B$38="pvp",MIN((Skills!T16*(1+Inputs!$B$34/100)),15)/15,(Skills!T16*(1+Inputs!$B$34/100))/Skills!D16))</f>
        <v/>
      </c>
    </row>
    <row r="1323">
      <c r="A1323" t="inlineStr">
        <is>
          <t>Attack Speed Buff Bonus %</t>
        </is>
      </c>
      <c r="B1323">
        <f>((C1308=TRUE)*F1308*IF(AND(Inputs!$B$38&lt;&gt;"pvp",Inputs!$B$43&gt;0),(((R1308-1)*(Skills!T19*(1+Inputs!$B$34/100))+MIN((Skills!T19*(1+Inputs!$B$34/100)),MAX(0,Inputs!$B$43-((R1308-1)*Skills!D19))))/Inputs!$B$43),IF(Inputs!$B$38="pvp",MIN((Skills!T19*(1+Inputs!$B$34/100)),15)/15,(Skills!T19*(1+Inputs!$B$34/100))/Skills!D19)))</f>
        <v/>
      </c>
    </row>
    <row r="1324">
      <c r="A1324" t="inlineStr">
        <is>
          <t>Actions Per Second</t>
        </is>
      </c>
      <c r="B1324">
        <f>1+MIN(150,150*(1-(1-(Inputs!$B$11+((C1310=TRUE)*(F1310-Calc!F21))+((C1311=TRUE)*(F1311-Calc!F22)))/150)*(1-B1323/150)))/100</f>
        <v/>
      </c>
    </row>
    <row r="1325">
      <c r="A1325" t="inlineStr">
        <is>
          <t>Skill + Buff Cast Rate</t>
        </is>
      </c>
      <c r="B1325">
        <f>IF(AND(Inputs!$B$38&lt;&gt;"pvp",Inputs!$B$43&gt;0),SUMPRODUCT((Skills!E2:E30=TRUE)*(C1291:C1319=TRUE)*R1291:R1319*Skills!F2:F30)/Inputs!$B$43,SUMPRODUCT((Skills!E2:E30=TRUE)*(C1291:C1319=TRUE)*Q1291:Q1319*Skills!F2:F30))</f>
        <v/>
      </c>
    </row>
    <row r="1326">
      <c r="A1326" t="inlineStr">
        <is>
          <t>Arrow Stream Casts Per Second</t>
        </is>
      </c>
      <c r="B1326">
        <f>MAX(0,B1324-B1325)</f>
        <v/>
      </c>
    </row>
    <row r="1327">
      <c r="A1327" t="inlineStr">
        <is>
          <t>Global Critical Damage Bonus % (Sharp Eyes + Concentration)</t>
        </is>
      </c>
      <c r="B1327">
        <f>(C1305=TRUE)*F1305*IF(AND(Inputs!$B$38&lt;&gt;"pvp",Inputs!$B$43&gt;0),(((R1305-1)*(Skills!T16*(1+Inputs!$B$34/100))+MIN((Skills!T16*(1+Inputs!$B$34/100)),MAX(0,Inputs!$B$43-((R1305-1)*Skills!D16))))/Inputs!$B$43),IF(Inputs!$B$38="pvp",MIN((Skills!T16*(1+Inputs!$B$34/100)),15)/15,(Skills!T16*(1+Inputs!$B$34/100))/Skills!D16))+(C1306=TRUE)*30</f>
        <v/>
      </c>
    </row>
    <row r="1328">
      <c r="A1328" t="inlineStr">
        <is>
          <t>Global Final Damage Bonus % (Mortal Blow)</t>
        </is>
      </c>
      <c r="B1328">
        <f>(C1307=TRUE)*F1307</f>
        <v/>
      </c>
    </row>
    <row r="1329">
      <c r="A1329" t="inlineStr">
        <is>
          <t>Buff-Casting Startup Delay (s, fixed-duration only)</t>
        </is>
      </c>
      <c r="B1329">
        <f>IF(AND(Inputs!$B$38&lt;&gt;"pvp",Inputs!$B$43&gt;0),SUMPRODUCT((Skills!T2:T30&gt;0)*(Skills!E2:E30=TRUE)*(C1291:C1319=TRUE))/B1324,0)</f>
        <v/>
      </c>
    </row>
    <row r="1330">
      <c r="A1330" t="inlineStr">
        <is>
          <t>Boss-Only Total DPS (this block's swept value)</t>
        </is>
      </c>
      <c r="B1330">
        <f>SUM(T1291:T1319)</f>
        <v/>
      </c>
    </row>
    <row r="1331">
      <c r="A1331" t="inlineStr">
        <is>
          <t>Normal-Only Total DPS (this block's swept value)</t>
        </is>
      </c>
      <c r="B1331">
        <f>SUM(V1291:V1319)</f>
        <v/>
      </c>
    </row>
    <row r="1332">
      <c r="A1332" s="5" t="inlineStr">
        <is>
          <t>TOTAL DPS</t>
        </is>
      </c>
      <c r="B1332" s="5">
        <f>SUM(O1291:O1319)</f>
        <v/>
      </c>
    </row>
    <row r="1335">
      <c r="A1335" s="5" t="inlineStr">
        <is>
          <t>Stat: CDR = 1.5s</t>
        </is>
      </c>
    </row>
    <row r="1336">
      <c r="A1336" s="9" t="inlineStr">
        <is>
          <t>Key</t>
        </is>
      </c>
      <c r="B1336" s="9" t="inlineStr">
        <is>
          <t>Name</t>
        </is>
      </c>
      <c r="C1336" s="9" t="inlineStr">
        <is>
          <t>Unlocked</t>
        </is>
      </c>
      <c r="D1336" s="9" t="inlineStr">
        <is>
          <t>InputLevel</t>
        </is>
      </c>
      <c r="E1336" s="9" t="inlineStr">
        <is>
          <t>Factor</t>
        </is>
      </c>
      <c r="F1336" s="9" t="inlineStr">
        <is>
          <t>CoefficientPercent</t>
        </is>
      </c>
      <c r="G1336" s="9" t="inlineStr">
        <is>
          <t>EffectiveHits</t>
        </is>
      </c>
      <c r="H1336" s="9" t="inlineStr">
        <is>
          <t>ProcProbability</t>
        </is>
      </c>
      <c r="I1336" s="9" t="inlineStr">
        <is>
          <t>MapleHeroMultiplier</t>
        </is>
      </c>
      <c r="J1336" s="9" t="inlineStr">
        <is>
          <t>BaseDamage</t>
        </is>
      </c>
      <c r="K1336" s="9" t="inlineStr">
        <is>
          <t>BaseHitDamage</t>
        </is>
      </c>
      <c r="L1336" s="9" t="inlineStr">
        <is>
          <t>NonCritAvg</t>
        </is>
      </c>
      <c r="M1336" s="9" t="inlineStr">
        <is>
          <t>CritAvg</t>
        </is>
      </c>
      <c r="N1336" s="9" t="inlineStr">
        <is>
          <t>ExpectedDamage(perHit)</t>
        </is>
      </c>
      <c r="O1336" s="9" t="inlineStr">
        <is>
          <t>DPS</t>
        </is>
      </c>
      <c r="P1336" s="9" t="inlineStr">
        <is>
          <t>% of Total</t>
        </is>
      </c>
      <c r="Q1336" s="9" t="inlineStr">
        <is>
          <t>InvCooldown</t>
        </is>
      </c>
      <c r="R1336" s="9" t="inlineStr">
        <is>
          <t>CastsInFight</t>
        </is>
      </c>
      <c r="S1336" s="9" t="inlineStr">
        <is>
          <t>HitRate(perSec)</t>
        </is>
      </c>
      <c r="U1336" t="inlineStr">
        <is>
          <t>helpers</t>
        </is>
      </c>
    </row>
    <row r="1337">
      <c r="A1337">
        <f>Skills!A2</f>
        <v/>
      </c>
      <c r="B1337">
        <f>Skills!B2</f>
        <v/>
      </c>
      <c r="C1337">
        <f>Inputs!$B$3&gt;=100</f>
        <v/>
      </c>
      <c r="D1337" t="inlineStr"/>
      <c r="E1337" t="inlineStr"/>
      <c r="F1337">
        <f>U1339+Skills!O2</f>
        <v/>
      </c>
      <c r="G1337">
        <f>Skills!G2*IF(Skills!H2&gt;0,Skills!I2/Skills!H2,1)</f>
        <v/>
      </c>
      <c r="H1337">
        <f>1-(1-Skills!J2/100)^Skills!K2</f>
        <v/>
      </c>
      <c r="I1337" t="inlineStr">
        <is>
          <t>1</t>
        </is>
      </c>
      <c r="J1337">
        <f>((Inputs!$B$6*(1+Inputs!$B$7/100))+(((Inputs!$B$12*(1+Inputs!$B$13/100))-(Inputs!$B$12*(1+Inputs!$B$13/100)))+0.25*(Inputs!$B$14-Inputs!$B$14))*(1+Inputs!$B$7/100))*(F1337/100)</f>
        <v/>
      </c>
      <c r="K1337">
        <f>J1337*(1+((Inputs!$B$12*(1+Inputs!$B$13/100))*0.01+Inputs!$B$14*0.0025)/100)*(1+Inputs!$B$15/100)*(1+Inputs!$B$16/100)*(5000/(6000+Inputs!$B$42*(1-(Inputs!$B$19+((C1362=TRUE)*(F1362-Calc!F27)))/100)))*(1+(Inputs!$B$24+((C1360=TRUE)*(F1360-Calc!F25))+((C1361=TRUE)*(F1361-Calc!F26))+B1374)/100)*(1+(IF(Skills!A2="ARROW_STREAM",Inputs!$B$17+((C1358=TRUE)*(F1358-Calc!F23)),Inputs!$B$18+((C1363=TRUE)*(F1363-Calc!F28))))/100)*((1+(((C1348=TRUE)*F1348)+((C1349=TRUE)*IF(Inputs!$B$38="pvp",F1349,(1-Summary!$B$55)*(F1349)+Summary!$B$55*(0)))+((C1350=TRUE)*F1350*IF(AND(Inputs!$B$38&lt;&gt;"pvp",Inputs!$B$43&gt;0),(((R1350-1)*(Skills!T15*(1+Inputs!$B$34/100))+MIN((Skills!T15*(1+Inputs!$B$34/100)),MAX(0,Inputs!$B$43-((R1350-1)*Skills!D15))))/Inputs!$B$43),IF(Inputs!$B$38="pvp",MIN((Skills!T15*(1+Inputs!$B$34/100)),15)/15,(Skills!T15*(1+Inputs!$B$34/100))/Skills!D15)))+((C1365=TRUE)*(F1365-Calc!F30)))/100)*I1337)</f>
        <v/>
      </c>
      <c r="L1337">
        <f>K1337*(MIN(Inputs!$B$22+((C1359=TRUE)*(F1359-Calc!F24)),Inputs!$B$23+((C1364=TRUE)*(F1364-Calc!F29)))/100+(Inputs!$B$23+((C1364=TRUE)*(F1364-Calc!F29)))/100)/2</f>
        <v/>
      </c>
      <c r="M1337">
        <f>L1337*(1+(Inputs!$B$10+0+B1373)/100)</f>
        <v/>
      </c>
      <c r="N1337">
        <f>L1337*(1-MIN((Inputs!$B$9+((C1355=TRUE)*(F1355-Calc!F20))+B1368),100)/100)+M1337*(MIN((Inputs!$B$9+((C1355=TRUE)*(F1355-Calc!F20))+B1368),100)/100)</f>
        <v/>
      </c>
      <c r="O1337">
        <f>(1-Summary!$B$55)*T1337+Summary!$B$55*V1337</f>
        <v/>
      </c>
      <c r="P1337">
        <f>IF(B1378=0,0,O1337/B1378)</f>
        <v/>
      </c>
      <c r="Q1337" t="n">
        <v>0</v>
      </c>
      <c r="R1337" t="n">
        <v>0</v>
      </c>
      <c r="S1337">
        <f>IFERROR(O1337/N1337,0)</f>
        <v/>
      </c>
      <c r="T1337">
        <f>IF(C1337,(Skills!G2*N1337*B1372)*IF(Inputs!$B$38="pvp",1,1+(Inputs!$B$20+0+Skills!P2)/100),0)</f>
        <v/>
      </c>
      <c r="U1337">
        <f>MAX(0,(Inputs!$B$3-100)*3)+Inputs!$B$28+Inputs!$B$29</f>
        <v/>
      </c>
      <c r="V1337">
        <f>IF(C1337,(Skills!G2*N1337*B1372)*IF(Inputs!$B$38="pvp",1,(1+(Inputs!$B$21+Skills!Q2)/100)*(MIN((6+Inputs!$B$33),Inputs!$B$37))),0)</f>
        <v/>
      </c>
    </row>
    <row r="1338">
      <c r="A1338">
        <f>Skills!A3</f>
        <v/>
      </c>
      <c r="B1338">
        <f>Skills!B3</f>
        <v/>
      </c>
      <c r="C1338">
        <f>Inputs!$B$3&gt;=50</f>
        <v/>
      </c>
      <c r="D1338">
        <f>IF(Skills!C3=1,60+Inputs!$B$25+Inputs!$B$29,IF(Skills!C3=2,90+Inputs!$B$26+Inputs!$B$29,IF(Skills!C3=3,120+Inputs!$B$27+Inputs!$B$29,MAX(0,(Inputs!$B$3-100)*3)+Inputs!$B$28+Inputs!$B$29)))</f>
        <v/>
      </c>
      <c r="E1338">
        <f>INDEX(FactorTable!$B$2:$Y$301, MATCH(ROUND(MIN(300,MAX(1,D1338)),0), FactorTable!$A$2:$A$301,0), Skills!M3+1)</f>
        <v/>
      </c>
      <c r="F1338">
        <f>IF(Skills!N3=TRUE,(Skills!L3/10)*(E1338/1000),Skills!L3/10)+Skills!O3</f>
        <v/>
      </c>
      <c r="G1338" t="inlineStr"/>
      <c r="H1338" t="inlineStr"/>
      <c r="I1338" t="inlineStr">
        <is>
          <t>1</t>
        </is>
      </c>
      <c r="J1338" t="inlineStr"/>
      <c r="K1338" t="inlineStr"/>
      <c r="L1338" t="inlineStr"/>
      <c r="M1338" t="inlineStr"/>
      <c r="N1338" t="inlineStr"/>
      <c r="O1338" t="inlineStr"/>
      <c r="P1338" t="inlineStr"/>
      <c r="Q1338" t="inlineStr"/>
      <c r="R1338" t="inlineStr"/>
      <c r="S1338" t="inlineStr"/>
      <c r="T1338" t="inlineStr"/>
      <c r="U1338">
        <f>INDEX(FactorTable!$B$2:$Y$301, MATCH(ROUND(MIN(300,MAX(1,U1337)),0), FactorTable!$A$2:$A$301,0), 22)</f>
        <v/>
      </c>
      <c r="V1338" t="inlineStr"/>
    </row>
    <row r="1339">
      <c r="A1339">
        <f>Skills!A4</f>
        <v/>
      </c>
      <c r="B1339">
        <f>Skills!B4</f>
        <v/>
      </c>
      <c r="C1339">
        <f>Inputs!$B$3&gt;=105</f>
        <v/>
      </c>
      <c r="D1339">
        <f>IF(Skills!C4=1,60+Inputs!$B$25+Inputs!$B$29,IF(Skills!C4=2,90+Inputs!$B$26+Inputs!$B$29,IF(Skills!C4=3,120+Inputs!$B$27+Inputs!$B$29,MAX(0,(Inputs!$B$3-100)*3)+Inputs!$B$28+Inputs!$B$29)))</f>
        <v/>
      </c>
      <c r="E1339">
        <f>INDEX(FactorTable!$B$2:$Y$301, MATCH(ROUND(MIN(300,MAX(1,D1339)),0), FactorTable!$A$2:$A$301,0), Skills!M4+1)</f>
        <v/>
      </c>
      <c r="F1339">
        <f>IF(Skills!N4=TRUE,(Skills!L4/10)*(E1339/1000),Skills!L4/10)+Skills!O4</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U1339">
        <f>290*U1338/1000</f>
        <v/>
      </c>
      <c r="V1339" t="inlineStr"/>
    </row>
    <row r="1340">
      <c r="A1340">
        <f>Skills!A5</f>
        <v/>
      </c>
      <c r="B1340">
        <f>Skills!B5</f>
        <v/>
      </c>
      <c r="C1340">
        <f>Inputs!$B$3&gt;=35</f>
        <v/>
      </c>
      <c r="D1340">
        <f>IF(Skills!C5=1,60+Inputs!$B$25+Inputs!$B$29,IF(Skills!C5=2,90+Inputs!$B$26+Inputs!$B$29,IF(Skills!C5=3,120+Inputs!$B$27+Inputs!$B$29,MAX(0,(Inputs!$B$3-100)*3)+Inputs!$B$28+Inputs!$B$29)))</f>
        <v/>
      </c>
      <c r="E1340">
        <f>INDEX(FactorTable!$B$2:$Y$301, MATCH(ROUND(MIN(300,MAX(1,D1340)),0), FactorTable!$A$2:$A$301,0), Skills!M5+1)</f>
        <v/>
      </c>
      <c r="F1340">
        <f>IF(Skills!N5=TRUE,(Skills!L5/10)*(E1340/1000),Skills!L5/10)+Skills!O5</f>
        <v/>
      </c>
      <c r="G1340">
        <f>Skills!G5*IF(Skills!H5&gt;0,Skills!I5/Skills!H5,1)</f>
        <v/>
      </c>
      <c r="H1340">
        <f>1-(1-Skills!J5/100)^Skills!K5</f>
        <v/>
      </c>
      <c r="I1340" t="inlineStr">
        <is>
          <t>1</t>
        </is>
      </c>
      <c r="J1340">
        <f>((Inputs!$B$6*(1+Inputs!$B$7/100))+(((Inputs!$B$12*(1+Inputs!$B$13/100))-(Inputs!$B$12*(1+Inputs!$B$13/100)))+0.25*(Inputs!$B$14-Inputs!$B$14))*(1+Inputs!$B$7/100))*(F1340/100)</f>
        <v/>
      </c>
      <c r="K1340">
        <f>J1340*(1+((Inputs!$B$12*(1+Inputs!$B$13/100))*0.01+Inputs!$B$14*0.0025)/100)*(1+Inputs!$B$15/100)*(1+Inputs!$B$16/100)*(5000/(6000+Inputs!$B$42*(1-(Inputs!$B$19+((C1362=TRUE)*(F1362-Calc!F27)))/100)))*(1+(Inputs!$B$24+((C1360=TRUE)*(F1360-Calc!F25))+((C1361=TRUE)*(F1361-Calc!F26))+B1374)/100)*(1+4.0*IF(C1345=TRUE,F1345,0)/100)*(1+(IF(Skills!A5="ARROW_STREAM",Inputs!$B$17+((C1358=TRUE)*(F1358-Calc!F23)),Inputs!$B$18+((C1363=TRUE)*(F1363-Calc!F28))))/100)*((1+(((C1348=TRUE)*F1348)+((C1349=TRUE)*IF(Inputs!$B$38="pvp",F1349,(1-Summary!$B$55)*(F1349)+Summary!$B$55*(0)))+((C1350=TRUE)*F1350*IF(AND(Inputs!$B$38&lt;&gt;"pvp",Inputs!$B$43&gt;0),(((R1350-1)*(Skills!T15*(1+Inputs!$B$34/100))+MIN((Skills!T15*(1+Inputs!$B$34/100)),MAX(0,Inputs!$B$43-((R1350-1)*Skills!D15))))/Inputs!$B$43),IF(Inputs!$B$38="pvp",MIN((Skills!T15*(1+Inputs!$B$34/100)),15)/15,(Skills!T15*(1+Inputs!$B$34/100))/Skills!D15)))+((C1365=TRUE)*(F1365-Calc!F30)))/100)*I1340)</f>
        <v/>
      </c>
      <c r="L1340">
        <f>K1340*(MIN(Inputs!$B$22+((C1359=TRUE)*(F1359-Calc!F24)),Inputs!$B$23+((C1364=TRUE)*(F1364-Calc!F29)))/100+(Inputs!$B$23+((C1364=TRUE)*(F1364-Calc!F29)))/100)/2</f>
        <v/>
      </c>
      <c r="M1340">
        <f>L1340*(1+(Inputs!$B$10+0+B1373)/100)</f>
        <v/>
      </c>
      <c r="N1340">
        <f>L1340*(1-MIN((Inputs!$B$9+((C1355=TRUE)*(F1355-Calc!F20))+B1368),100)/100)+M1340*(MIN((Inputs!$B$9+((C1355=TRUE)*(F1355-Calc!F20))+B1368),100)/100)</f>
        <v/>
      </c>
      <c r="O1340">
        <f>(1-Summary!$B$55)*T1340+Summary!$B$55*V1340</f>
        <v/>
      </c>
      <c r="P1340">
        <f>IF(B1378=0,0,O1340/B1378)</f>
        <v/>
      </c>
      <c r="Q1340">
        <f>IFERROR(1/IF(Inputs!$B$38="pvp",15,MAX(0.1,Skills!D5-IF(Skills!E5=TRUE,1.5,0))),0)</f>
        <v/>
      </c>
      <c r="R1340">
        <f>IF(AND(Inputs!$B$38&lt;&gt;"pvp",Inputs!$B$43&gt;0),IF(MAX(0,Inputs!$B$43-B1375)&lt;=0,0,(INT(MAX(0,Inputs!$B$43-B1375)/IF(Inputs!$B$38="pvp",15,MAX(0.1,Skills!D5-IF(Skills!E5=TRUE,1.5,0))))+1)),0)</f>
        <v/>
      </c>
      <c r="S1340">
        <f>IFERROR(O1340/N1340,0)</f>
        <v/>
      </c>
      <c r="T1340">
        <f>IF(C1340,(H1340*N1340*IF(AND(Inputs!$B$38&lt;&gt;"pvp",Inputs!$B$43&gt;0),((Skills!G5*((R1340-1)*IF(Skills!H5&gt;0,Skills!I5/Skills!H5,1)+IF(Skills!H5&gt;0,MIN(Skills!I5,MAX(0,MAX(0,Inputs!$B$43-B1375)-((R1340-1)*IF(Inputs!$B$38="pvp",15,MAX(0.1,Skills!D5-IF(Skills!E5=TRUE,1.5,0))))))/Skills!H5,1)))/Inputs!$B$43),G1340*Q1340))*IF(Inputs!$B$38="pvp",1,1+(Inputs!$B$20+0+Skills!P5)/100),0)</f>
        <v/>
      </c>
      <c r="V1340">
        <f>IF(C1340,(H1340*N1340*IF(AND(Inputs!$B$38&lt;&gt;"pvp",Inputs!$B$43&gt;0),((Skills!G5*((R1340-1)*IF(Skills!H5&gt;0,Skills!I5/Skills!H5,1)+IF(Skills!H5&gt;0,MIN(Skills!I5,MAX(0,MAX(0,Inputs!$B$43-B1375)-((R1340-1)*IF(Inputs!$B$38="pvp",15,MAX(0.1,Skills!D5-IF(Skills!E5=TRUE,1.5,0))))))/Skills!H5,1)))/Inputs!$B$43),G1340*Q1340))*IF(Inputs!$B$38="pvp",1,(1+(Inputs!$B$21+Skills!Q5)/100)*(MIN(Skills!R5,Inputs!$B$37))),0)</f>
        <v/>
      </c>
    </row>
    <row r="1341">
      <c r="A1341">
        <f>Skills!A6</f>
        <v/>
      </c>
      <c r="B1341">
        <f>Skills!B6</f>
        <v/>
      </c>
      <c r="C1341">
        <f>Inputs!$B$3&gt;=40</f>
        <v/>
      </c>
      <c r="D1341">
        <f>IF(Skills!C6=1,60+Inputs!$B$25+Inputs!$B$29,IF(Skills!C6=2,90+Inputs!$B$26+Inputs!$B$29,IF(Skills!C6=3,120+Inputs!$B$27+Inputs!$B$29,MAX(0,(Inputs!$B$3-100)*3)+Inputs!$B$28+Inputs!$B$29)))</f>
        <v/>
      </c>
      <c r="E1341">
        <f>INDEX(FactorTable!$B$2:$Y$301, MATCH(ROUND(MIN(300,MAX(1,D1341)),0), FactorTable!$A$2:$A$301,0), Skills!M6+1)</f>
        <v/>
      </c>
      <c r="F1341">
        <f>IF(Skills!N6=TRUE,(Skills!L6/10)*(E1341/1000),Skills!L6/10)+Skills!O6</f>
        <v/>
      </c>
      <c r="G1341">
        <f>Skills!G6*IF(Skills!H6&gt;0,Skills!I6/Skills!H6,1)</f>
        <v/>
      </c>
      <c r="H1341">
        <f>1-(1-Skills!J6/100)^Skills!K6</f>
        <v/>
      </c>
      <c r="I1341" t="inlineStr">
        <is>
          <t>1</t>
        </is>
      </c>
      <c r="J1341">
        <f>((Inputs!$B$6*(1+Inputs!$B$7/100))+(((Inputs!$B$12*(1+Inputs!$B$13/100))-(Inputs!$B$12*(1+Inputs!$B$13/100)))+0.25*(Inputs!$B$14-Inputs!$B$14))*(1+Inputs!$B$7/100))*(F1341/100)</f>
        <v/>
      </c>
      <c r="K1341">
        <f>J1341*(1+((Inputs!$B$12*(1+Inputs!$B$13/100))*0.01+Inputs!$B$14*0.0025)/100)*(1+Inputs!$B$15/100)*(1+Inputs!$B$16/100)*(5000/(6000+Inputs!$B$42*(1-(Inputs!$B$19+((C1362=TRUE)*(F1362-Calc!F27)))/100)))*(1+(Inputs!$B$24+((C1360=TRUE)*(F1360-Calc!F25))+((C1361=TRUE)*(F1361-Calc!F26))+B1374)/100)*(1+IF(C1342=TRUE,F1342,0)/100)*(1+(IF(Skills!A6="ARROW_STREAM",Inputs!$B$17+((C1358=TRUE)*(F1358-Calc!F23)),Inputs!$B$18+((C1363=TRUE)*(F1363-Calc!F28))))/100)*((1+(((C1348=TRUE)*F1348)+((C1349=TRUE)*IF(Inputs!$B$38="pvp",F1349,(1-Summary!$B$55)*(F1349)+Summary!$B$55*(0)))+((C1350=TRUE)*F1350*IF(AND(Inputs!$B$38&lt;&gt;"pvp",Inputs!$B$43&gt;0),(((R1350-1)*(Skills!T15*(1+Inputs!$B$34/100))+MIN((Skills!T15*(1+Inputs!$B$34/100)),MAX(0,Inputs!$B$43-((R1350-1)*Skills!D15))))/Inputs!$B$43),IF(Inputs!$B$38="pvp",MIN((Skills!T15*(1+Inputs!$B$34/100)),15)/15,(Skills!T15*(1+Inputs!$B$34/100))/Skills!D15)))+((C1365=TRUE)*(F1365-Calc!F30)))/100)*I1341)</f>
        <v/>
      </c>
      <c r="L1341">
        <f>K1341*(MIN(Inputs!$B$22+((C1359=TRUE)*(F1359-Calc!F24)),Inputs!$B$23+((C1364=TRUE)*(F1364-Calc!F29)))/100+(Inputs!$B$23+((C1364=TRUE)*(F1364-Calc!F29)))/100)/2</f>
        <v/>
      </c>
      <c r="M1341">
        <f>L1341*(1+(Inputs!$B$10+0+B1373)/100)</f>
        <v/>
      </c>
      <c r="N1341">
        <f>L1341*(1-MIN((Inputs!$B$9+((C1355=TRUE)*(F1355-Calc!F20))+B1368),100)/100)+M1341*(MIN((Inputs!$B$9+((C1355=TRUE)*(F1355-Calc!F20))+B1368),100)/100)</f>
        <v/>
      </c>
      <c r="O1341">
        <f>(1-Summary!$B$55)*T1341+Summary!$B$55*V1341</f>
        <v/>
      </c>
      <c r="P1341">
        <f>IF(B1378=0,0,O1341/B1378)</f>
        <v/>
      </c>
      <c r="Q1341">
        <f>IFERROR(1/IF(Inputs!$B$38="pvp",15,MAX(0.1,Skills!D6-IF(Skills!E6=TRUE,1.5,0))),0)</f>
        <v/>
      </c>
      <c r="R1341">
        <f>IF(AND(Inputs!$B$38&lt;&gt;"pvp",Inputs!$B$43&gt;0),IF(MAX(0,Inputs!$B$43-B1375)&lt;=0,0,(INT(MAX(0,Inputs!$B$43-B1375)/IF(Inputs!$B$38="pvp",15,MAX(0.1,Skills!D6-IF(Skills!E6=TRUE,1.5,0))))+1)),0)</f>
        <v/>
      </c>
      <c r="S1341">
        <f>IFERROR(O1341/N1341,0)</f>
        <v/>
      </c>
      <c r="T1341">
        <f>IF(C1341,(H1341*N1341*IF(AND(Inputs!$B$38&lt;&gt;"pvp",Inputs!$B$43&gt;0),((Skills!G6*((R1341-1)*IF(Skills!H6&gt;0,Skills!I6/Skills!H6,1)+IF(Skills!H6&gt;0,MIN(Skills!I6,MAX(0,MAX(0,Inputs!$B$43-B1375)-((R1341-1)*IF(Inputs!$B$38="pvp",15,MAX(0.1,Skills!D6-IF(Skills!E6=TRUE,1.5,0))))))/Skills!H6,1)))/Inputs!$B$43),G1341*Q1341))*IF(Inputs!$B$38="pvp",1,1+(Inputs!$B$20+0+Skills!P6)/100),0)</f>
        <v/>
      </c>
      <c r="V1341">
        <f>IF(C1341,(H1341*N1341*IF(AND(Inputs!$B$38&lt;&gt;"pvp",Inputs!$B$43&gt;0),((Skills!G6*((R1341-1)*IF(Skills!H6&gt;0,Skills!I6/Skills!H6,1)+IF(Skills!H6&gt;0,MIN(Skills!I6,MAX(0,MAX(0,Inputs!$B$43-B1375)-((R1341-1)*IF(Inputs!$B$38="pvp",15,MAX(0.1,Skills!D6-IF(Skills!E6=TRUE,1.5,0))))))/Skills!H6,1)))/Inputs!$B$43),G1341*Q1341))*IF(Inputs!$B$38="pvp",1,(1+(Inputs!$B$21+Skills!Q6)/100)*(MIN(Skills!R6,Inputs!$B$37))),0)</f>
        <v/>
      </c>
    </row>
    <row r="1342">
      <c r="A1342">
        <f>Skills!A7</f>
        <v/>
      </c>
      <c r="B1342">
        <f>Skills!B7</f>
        <v/>
      </c>
      <c r="C1342">
        <f>Inputs!$B$3&gt;=107</f>
        <v/>
      </c>
      <c r="D1342">
        <f>IF(Skills!C7=1,60+Inputs!$B$25+Inputs!$B$29,IF(Skills!C7=2,90+Inputs!$B$26+Inputs!$B$29,IF(Skills!C7=3,120+Inputs!$B$27+Inputs!$B$29,MAX(0,(Inputs!$B$3-100)*3)+Inputs!$B$28+Inputs!$B$29)))</f>
        <v/>
      </c>
      <c r="E1342">
        <f>INDEX(FactorTable!$B$2:$Y$301, MATCH(ROUND(MIN(300,MAX(1,D1342)),0), FactorTable!$A$2:$A$301,0), Skills!M7+1)</f>
        <v/>
      </c>
      <c r="F1342">
        <f>IF(Skills!N7=TRUE,(Skills!L7/10)*(E1342/1000),Skills!L7/10)+Skills!O7</f>
        <v/>
      </c>
      <c r="G1342" t="inlineStr"/>
      <c r="H1342" t="inlineStr"/>
      <c r="I1342" t="inlineStr">
        <is>
          <t>1</t>
        </is>
      </c>
      <c r="J1342" t="inlineStr"/>
      <c r="K1342" t="inlineStr"/>
      <c r="L1342" t="inlineStr"/>
      <c r="M1342" t="inlineStr"/>
      <c r="N1342" t="inlineStr"/>
      <c r="O1342" t="inlineStr"/>
      <c r="P1342" t="inlineStr"/>
      <c r="Q1342" t="inlineStr"/>
      <c r="R1342" t="inlineStr"/>
      <c r="S1342" t="inlineStr"/>
      <c r="T1342" t="inlineStr"/>
      <c r="V1342" t="inlineStr"/>
    </row>
    <row r="1343">
      <c r="A1343">
        <f>Skills!A8</f>
        <v/>
      </c>
      <c r="B1343">
        <f>Skills!B8</f>
        <v/>
      </c>
      <c r="C1343">
        <f>Inputs!$B$3&gt;=69</f>
        <v/>
      </c>
      <c r="D1343">
        <f>IF(Skills!C8=1,60+Inputs!$B$25+Inputs!$B$29,IF(Skills!C8=2,90+Inputs!$B$26+Inputs!$B$29,IF(Skills!C8=3,120+Inputs!$B$27+Inputs!$B$29,MAX(0,(Inputs!$B$3-100)*3)+Inputs!$B$28+Inputs!$B$29)))</f>
        <v/>
      </c>
      <c r="E1343">
        <f>INDEX(FactorTable!$B$2:$Y$301, MATCH(ROUND(MIN(300,MAX(1,D1343)),0), FactorTable!$A$2:$A$301,0), Skills!M8+1)</f>
        <v/>
      </c>
      <c r="F1343">
        <f>IF(Skills!N8=TRUE,(Skills!L8/10)*(E1343/1000),Skills!L8/10)+Skills!O8</f>
        <v/>
      </c>
      <c r="G1343">
        <f>Skills!G8*IF(Skills!H8&gt;0,Skills!I8/Skills!H8,1)</f>
        <v/>
      </c>
      <c r="H1343">
        <f>1-(1-Skills!J8/100)^Skills!K8</f>
        <v/>
      </c>
      <c r="I1343" t="inlineStr">
        <is>
          <t>1</t>
        </is>
      </c>
      <c r="J1343">
        <f>((Inputs!$B$6*(1+Inputs!$B$7/100))+(((Inputs!$B$12*(1+Inputs!$B$13/100))-(Inputs!$B$12*(1+Inputs!$B$13/100)))+0.25*(Inputs!$B$14-Inputs!$B$14))*(1+Inputs!$B$7/100))*(F1343/100)</f>
        <v/>
      </c>
      <c r="K1343">
        <f>J1343*(1+((Inputs!$B$12*(1+Inputs!$B$13/100))*0.01+Inputs!$B$14*0.0025)/100)*(1+Inputs!$B$15/100)*(1+Inputs!$B$16/100)*(5000/(6000+Inputs!$B$42*(1-(Inputs!$B$19+((C1362=TRUE)*(F1362-Calc!F27)))/100)))*(1+(Inputs!$B$24+((C1360=TRUE)*(F1360-Calc!F25))+((C1361=TRUE)*(F1361-Calc!F26))+B1374)/100)*(1+1.2*IF(C1345=TRUE,F1345,0)/100)*(1+(IF(Skills!A8="ARROW_STREAM",Inputs!$B$17+((C1358=TRUE)*(F1358-Calc!F23)),Inputs!$B$18+((C1363=TRUE)*(F1363-Calc!F28))))/100)*((1+(((C1348=TRUE)*F1348)+((C1349=TRUE)*IF(Inputs!$B$38="pvp",F1349,(1-Summary!$B$55)*(F1349)+Summary!$B$55*(0)))+((C1350=TRUE)*F1350*IF(AND(Inputs!$B$38&lt;&gt;"pvp",Inputs!$B$43&gt;0),(((R1350-1)*(Skills!T15*(1+Inputs!$B$34/100))+MIN((Skills!T15*(1+Inputs!$B$34/100)),MAX(0,Inputs!$B$43-((R1350-1)*Skills!D15))))/Inputs!$B$43),IF(Inputs!$B$38="pvp",MIN((Skills!T15*(1+Inputs!$B$34/100)),15)/15,(Skills!T15*(1+Inputs!$B$34/100))/Skills!D15)))+((C1365=TRUE)*(F1365-Calc!F30)))/100)*I1343)</f>
        <v/>
      </c>
      <c r="L1343">
        <f>K1343*(MIN(Inputs!$B$22+((C1359=TRUE)*(F1359-Calc!F24)),Inputs!$B$23+((C1364=TRUE)*(F1364-Calc!F29)))/100+(Inputs!$B$23+((C1364=TRUE)*(F1364-Calc!F29)))/100)/2</f>
        <v/>
      </c>
      <c r="M1343">
        <f>L1343*(1+(Inputs!$B$10+0+B1373)/100)</f>
        <v/>
      </c>
      <c r="N1343">
        <f>L1343*(1-MIN((Inputs!$B$9+((C1355=TRUE)*(F1355-Calc!F20))+B1368),100)/100)+M1343*(MIN((Inputs!$B$9+((C1355=TRUE)*(F1355-Calc!F20))+B1368),100)/100)</f>
        <v/>
      </c>
      <c r="O1343">
        <f>(1-Summary!$B$55)*T1343+Summary!$B$55*V1343</f>
        <v/>
      </c>
      <c r="P1343">
        <f>IF(B1378=0,0,O1343/B1378)</f>
        <v/>
      </c>
      <c r="Q1343">
        <f>IFERROR(1/IF(Inputs!$B$38="pvp",15,MAX(0.1,Skills!D8-IF(Skills!E8=TRUE,1.5,0))),0)</f>
        <v/>
      </c>
      <c r="R1343">
        <f>IF(AND(Inputs!$B$38&lt;&gt;"pvp",Inputs!$B$43&gt;0),IF(MAX(0,Inputs!$B$43-B1375)&lt;=0,0,(INT(MAX(0,Inputs!$B$43-B1375)/IF(Inputs!$B$38="pvp",15,MAX(0.1,Skills!D8-IF(Skills!E8=TRUE,1.5,0))))+1)),0)</f>
        <v/>
      </c>
      <c r="S1343">
        <f>IFERROR(O1343/N1343,0)</f>
        <v/>
      </c>
      <c r="T1343">
        <f>IF(C1343,(H1343*N1343*IF(AND(Inputs!$B$38&lt;&gt;"pvp",Inputs!$B$43&gt;0),((Skills!G8*((R1343-1)*IF(Skills!H8&gt;0,Skills!I8/Skills!H8,1)+IF(Skills!H8&gt;0,MIN(Skills!I8,MAX(0,MAX(0,Inputs!$B$43-B1375)-((R1343-1)*IF(Inputs!$B$38="pvp",15,MAX(0.1,Skills!D8-IF(Skills!E8=TRUE,1.5,0))))))/Skills!H8,1)))/Inputs!$B$43),G1343*Q1343))*IF(Inputs!$B$38="pvp",1,1+(Inputs!$B$20+0+Skills!P8)/100),0)</f>
        <v/>
      </c>
      <c r="V1343">
        <f>IF(C1343,(H1343*N1343*IF(AND(Inputs!$B$38&lt;&gt;"pvp",Inputs!$B$43&gt;0),((Skills!G8*((R1343-1)*IF(Skills!H8&gt;0,Skills!I8/Skills!H8,1)+IF(Skills!H8&gt;0,MIN(Skills!I8,MAX(0,MAX(0,Inputs!$B$43-B1375)-((R1343-1)*IF(Inputs!$B$38="pvp",15,MAX(0.1,Skills!D8-IF(Skills!E8=TRUE,1.5,0))))))/Skills!H8,1)))/Inputs!$B$43),G1343*Q1343))*IF(Inputs!$B$38="pvp",1,(1+(Inputs!$B$21+Skills!Q8)/100)*(MIN(Skills!R8,Inputs!$B$37))),0)</f>
        <v/>
      </c>
    </row>
    <row r="1344">
      <c r="A1344">
        <f>Skills!A9</f>
        <v/>
      </c>
      <c r="B1344">
        <f>Skills!B9</f>
        <v/>
      </c>
      <c r="C1344">
        <f>Inputs!$B$3&gt;=63</f>
        <v/>
      </c>
      <c r="D1344">
        <f>IF(Skills!C9=1,60+Inputs!$B$25+Inputs!$B$29,IF(Skills!C9=2,90+Inputs!$B$26+Inputs!$B$29,IF(Skills!C9=3,120+Inputs!$B$27+Inputs!$B$29,MAX(0,(Inputs!$B$3-100)*3)+Inputs!$B$28+Inputs!$B$29)))</f>
        <v/>
      </c>
      <c r="E1344">
        <f>INDEX(FactorTable!$B$2:$Y$301, MATCH(ROUND(MIN(300,MAX(1,D1344)),0), FactorTable!$A$2:$A$301,0), Skills!M9+1)</f>
        <v/>
      </c>
      <c r="F1344">
        <f>IF(Skills!N9=TRUE,(Skills!L9/10)*(E1344/1000),Skills!L9/10)+Skills!O9</f>
        <v/>
      </c>
      <c r="G1344">
        <f>Skills!G9*IF(Skills!H9&gt;0,Skills!I9/Skills!H9,1)</f>
        <v/>
      </c>
      <c r="H1344">
        <f>1-(1-Skills!J9/100)^Skills!K9</f>
        <v/>
      </c>
      <c r="I1344" t="inlineStr">
        <is>
          <t>1</t>
        </is>
      </c>
      <c r="J1344">
        <f>((Inputs!$B$6*(1+Inputs!$B$7/100))+(((Inputs!$B$12*(1+Inputs!$B$13/100))-(Inputs!$B$12*(1+Inputs!$B$13/100)))+0.25*(Inputs!$B$14-Inputs!$B$14))*(1+Inputs!$B$7/100))*(F1344/100)</f>
        <v/>
      </c>
      <c r="K1344">
        <f>J1344*(1+((Inputs!$B$12*(1+Inputs!$B$13/100))*0.01+Inputs!$B$14*0.0025)/100)*(1+Inputs!$B$15/100)*(1+Inputs!$B$16/100)*(5000/(6000+Inputs!$B$42*(1-(Inputs!$B$19+((C1362=TRUE)*(F1362-Calc!F27)))/100)))*(1+(Inputs!$B$24+((C1360=TRUE)*(F1360-Calc!F25))+((C1361=TRUE)*(F1361-Calc!F26))+B1374)/100)*(1+1.0*IF(C1345=TRUE,F1345,0)/100)*(1+(IF(Skills!A9="ARROW_STREAM",Inputs!$B$17+((C1358=TRUE)*(F1358-Calc!F23)),Inputs!$B$18+((C1363=TRUE)*(F1363-Calc!F28))))/100)*((1+(((C1348=TRUE)*F1348)+((C1349=TRUE)*IF(Inputs!$B$38="pvp",F1349,(1-Summary!$B$55)*(F1349)+Summary!$B$55*(0)))+((C1350=TRUE)*F1350*IF(AND(Inputs!$B$38&lt;&gt;"pvp",Inputs!$B$43&gt;0),(((R1350-1)*(Skills!T15*(1+Inputs!$B$34/100))+MIN((Skills!T15*(1+Inputs!$B$34/100)),MAX(0,Inputs!$B$43-((R1350-1)*Skills!D15))))/Inputs!$B$43),IF(Inputs!$B$38="pvp",MIN((Skills!T15*(1+Inputs!$B$34/100)),15)/15,(Skills!T15*(1+Inputs!$B$34/100))/Skills!D15)))+((C1365=TRUE)*(F1365-Calc!F30)))/100)*I1344)</f>
        <v/>
      </c>
      <c r="L1344">
        <f>K1344*(MIN(Inputs!$B$22+((C1359=TRUE)*(F1359-Calc!F24)),Inputs!$B$23+((C1364=TRUE)*(F1364-Calc!F29)))/100+(Inputs!$B$23+((C1364=TRUE)*(F1364-Calc!F29)))/100)/2</f>
        <v/>
      </c>
      <c r="M1344">
        <f>L1344*(1+(Inputs!$B$10+0+B1373)/100)</f>
        <v/>
      </c>
      <c r="N1344">
        <f>L1344*(1-MIN((Inputs!$B$9+((C1355=TRUE)*(F1355-Calc!F20))+B1368),100)/100)+M1344*(MIN((Inputs!$B$9+((C1355=TRUE)*(F1355-Calc!F20))+B1368),100)/100)</f>
        <v/>
      </c>
      <c r="O1344">
        <f>(1-Summary!$B$55)*T1344+Summary!$B$55*V1344</f>
        <v/>
      </c>
      <c r="P1344">
        <f>IF(B1378=0,0,O1344/B1378)</f>
        <v/>
      </c>
      <c r="Q1344">
        <f>IFERROR(1/IF(Inputs!$B$38="pvp",15,MAX(0.1,Skills!D9-IF(Skills!E9=TRUE,1.5,0))),0)</f>
        <v/>
      </c>
      <c r="R1344">
        <f>IF(AND(Inputs!$B$38&lt;&gt;"pvp",Inputs!$B$43&gt;0),IF(MAX(0,Inputs!$B$43-B1375)&lt;=0,0,(INT(MAX(0,Inputs!$B$43-B1375)/IF(Inputs!$B$38="pvp",15,MAX(0.1,Skills!D9-IF(Skills!E9=TRUE,1.5,0))))+1)),0)</f>
        <v/>
      </c>
      <c r="S1344">
        <f>IFERROR(O1344/N1344,0)</f>
        <v/>
      </c>
      <c r="T1344">
        <f>IF(C1344,(H1344*N1344*IF(AND(Inputs!$B$38&lt;&gt;"pvp",Inputs!$B$43&gt;0),((Skills!G9*((R1344-1)*IF(Skills!H9&gt;0,Skills!I9/Skills!H9,1)+IF(Skills!H9&gt;0,MIN(Skills!I9,MAX(0,MAX(0,Inputs!$B$43-B1375)-((R1344-1)*IF(Inputs!$B$38="pvp",15,MAX(0.1,Skills!D9-IF(Skills!E9=TRUE,1.5,0))))))/Skills!H9,1)))/Inputs!$B$43),G1344*Q1344))*IF(Inputs!$B$38="pvp",1,1+(Inputs!$B$20+0+Skills!P9)/100),0)</f>
        <v/>
      </c>
      <c r="V1344">
        <f>IF(C1344,(H1344*N1344*IF(AND(Inputs!$B$38&lt;&gt;"pvp",Inputs!$B$43&gt;0),((Skills!G9*((R1344-1)*IF(Skills!H9&gt;0,Skills!I9/Skills!H9,1)+IF(Skills!H9&gt;0,MIN(Skills!I9,MAX(0,MAX(0,Inputs!$B$43-B1375)-((R1344-1)*IF(Inputs!$B$38="pvp",15,MAX(0.1,Skills!D9-IF(Skills!E9=TRUE,1.5,0))))))/Skills!H9,1)))/Inputs!$B$43),G1344*Q1344))*IF(Inputs!$B$38="pvp",1,(1+(Inputs!$B$21+Skills!Q9)/100)*(MIN(Skills!R9,Inputs!$B$37))),0)</f>
        <v/>
      </c>
    </row>
    <row r="1345">
      <c r="A1345">
        <f>Skills!A10</f>
        <v/>
      </c>
      <c r="B1345">
        <f>Skills!B10</f>
        <v/>
      </c>
      <c r="C1345">
        <f>Inputs!$B$3&gt;=100</f>
        <v/>
      </c>
      <c r="D1345">
        <f>IF(Skills!C10=1,60+Inputs!$B$25+Inputs!$B$29,IF(Skills!C10=2,90+Inputs!$B$26+Inputs!$B$29,IF(Skills!C10=3,120+Inputs!$B$27+Inputs!$B$29,MAX(0,(Inputs!$B$3-100)*3)+Inputs!$B$28+Inputs!$B$29)))</f>
        <v/>
      </c>
      <c r="E1345">
        <f>INDEX(FactorTable!$B$2:$Y$301, MATCH(ROUND(MIN(300,MAX(1,D1345)),0), FactorTable!$A$2:$A$301,0), Skills!M10+1)</f>
        <v/>
      </c>
      <c r="F1345">
        <f>IF(Skills!N10=TRUE,(Skills!L10/10)*(E1345/1000),Skills!L10/10)+Skills!O10</f>
        <v/>
      </c>
      <c r="G1345" t="inlineStr"/>
      <c r="H1345" t="inlineStr"/>
      <c r="I1345" t="inlineStr">
        <is>
          <t>1</t>
        </is>
      </c>
      <c r="J1345" t="inlineStr"/>
      <c r="K1345" t="inlineStr"/>
      <c r="L1345" t="inlineStr"/>
      <c r="M1345" t="inlineStr"/>
      <c r="N1345" t="inlineStr"/>
      <c r="O1345" t="inlineStr"/>
      <c r="P1345" t="inlineStr"/>
      <c r="Q1345" t="inlineStr"/>
      <c r="R1345" t="inlineStr"/>
      <c r="S1345" t="inlineStr"/>
      <c r="T1345" t="inlineStr"/>
      <c r="V1345" t="inlineStr"/>
    </row>
    <row r="1346">
      <c r="A1346">
        <f>Skills!A11</f>
        <v/>
      </c>
      <c r="B1346">
        <f>Skills!B11</f>
        <v/>
      </c>
      <c r="C1346">
        <f>Inputs!$B$3&gt;=60</f>
        <v/>
      </c>
      <c r="D1346">
        <f>IF(Skills!C11=1,60+Inputs!$B$25+Inputs!$B$29,IF(Skills!C11=2,90+Inputs!$B$26+Inputs!$B$29,IF(Skills!C11=3,120+Inputs!$B$27+Inputs!$B$29,MAX(0,(Inputs!$B$3-100)*3)+Inputs!$B$28+Inputs!$B$29)))</f>
        <v/>
      </c>
      <c r="E1346">
        <f>INDEX(FactorTable!$B$2:$Y$301, MATCH(ROUND(MIN(300,MAX(1,D1346)),0), FactorTable!$A$2:$A$301,0), Skills!M11+1)</f>
        <v/>
      </c>
      <c r="F1346">
        <f>IF(Skills!N11=TRUE,(Skills!L11/10)*(E1346/1000),Skills!L11/10)+Skills!O11</f>
        <v/>
      </c>
      <c r="G1346">
        <f>Skills!G11*IF(Skills!H11&gt;0,Skills!I11/Skills!H11,1)</f>
        <v/>
      </c>
      <c r="H1346">
        <f>1-(1-Skills!J11/100)^Skills!K11</f>
        <v/>
      </c>
      <c r="I1346" t="inlineStr">
        <is>
          <t>1</t>
        </is>
      </c>
      <c r="J1346">
        <f>((Inputs!$B$6*(1+Inputs!$B$7/100))+(((Inputs!$B$12*(1+Inputs!$B$13/100))-(Inputs!$B$12*(1+Inputs!$B$13/100)))+0.25*(Inputs!$B$14-Inputs!$B$14))*(1+Inputs!$B$7/100))*(F1346/100)</f>
        <v/>
      </c>
      <c r="K1346">
        <f>J1346*(1+((Inputs!$B$12*(1+Inputs!$B$13/100))*0.01+Inputs!$B$14*0.0025)/100)*(1+Inputs!$B$15/100)*(1+Inputs!$B$16/100)*(5000/(6000+Inputs!$B$42*(1-(Inputs!$B$19+((C1362=TRUE)*(F1362-Calc!F27)))/100)))*(1+(Inputs!$B$24+((C1360=TRUE)*(F1360-Calc!F25))+((C1361=TRUE)*(F1361-Calc!F26))+B1374)/100)*(1+IF(C1347=TRUE,F1347,0)/100)*(1+(IF(Skills!A11="ARROW_STREAM",Inputs!$B$17+((C1358=TRUE)*(F1358-Calc!F23)),Inputs!$B$18+((C1363=TRUE)*(F1363-Calc!F28))))/100)*((1+(((C1348=TRUE)*F1348)+((C1349=TRUE)*IF(Inputs!$B$38="pvp",F1349,(1-Summary!$B$55)*(F1349)+Summary!$B$55*(0)))+((C1350=TRUE)*F1350*IF(AND(Inputs!$B$38&lt;&gt;"pvp",Inputs!$B$43&gt;0),(((R1350-1)*(Skills!T15*(1+Inputs!$B$34/100))+MIN((Skills!T15*(1+Inputs!$B$34/100)),MAX(0,Inputs!$B$43-((R1350-1)*Skills!D15))))/Inputs!$B$43),IF(Inputs!$B$38="pvp",MIN((Skills!T15*(1+Inputs!$B$34/100)),15)/15,(Skills!T15*(1+Inputs!$B$34/100))/Skills!D15)))+((C1365=TRUE)*(F1365-Calc!F30)))/100)*I1346)</f>
        <v/>
      </c>
      <c r="L1346">
        <f>K1346*(MIN(Inputs!$B$22+((C1359=TRUE)*(F1359-Calc!F24)),Inputs!$B$23+((C1364=TRUE)*(F1364-Calc!F29)))/100+(Inputs!$B$23+((C1364=TRUE)*(F1364-Calc!F29)))/100)/2</f>
        <v/>
      </c>
      <c r="M1346">
        <f>L1346*(1+(Inputs!$B$10+0+B1373)/100)</f>
        <v/>
      </c>
      <c r="N1346">
        <f>L1346*(1-MIN((Inputs!$B$9+((C1355=TRUE)*(F1355-Calc!F20))+B1368),100)/100)+M1346*(MIN((Inputs!$B$9+((C1355=TRUE)*(F1355-Calc!F20))+B1368),100)/100)</f>
        <v/>
      </c>
      <c r="O1346">
        <f>(1-Summary!$B$55)*T1346+Summary!$B$55*V1346</f>
        <v/>
      </c>
      <c r="P1346">
        <f>IF(B1378=0,0,O1346/B1378)</f>
        <v/>
      </c>
      <c r="Q1346">
        <f>IFERROR(1/IF(Inputs!$B$38="pvp",15,MAX(0.1,Skills!D11-IF(Skills!E11=TRUE,1.5,0))),0)</f>
        <v/>
      </c>
      <c r="R1346">
        <f>IF(AND(Inputs!$B$38&lt;&gt;"pvp",Inputs!$B$43&gt;0),IF(MAX(0,Inputs!$B$43-B1375)&lt;=0,0,(INT(MAX(0,Inputs!$B$43-B1375)/IF(Inputs!$B$38="pvp",15,MAX(0.1,Skills!D11-IF(Skills!E11=TRUE,1.5,0))))+1)),0)</f>
        <v/>
      </c>
      <c r="S1346">
        <f>IFERROR(O1346/N1346,0)</f>
        <v/>
      </c>
      <c r="T1346">
        <f>IF(C1346,(H1346*N1346*IF(AND(Inputs!$B$38&lt;&gt;"pvp",Inputs!$B$43&gt;0),((Skills!G11*((R1346-1)*IF(Skills!H11&gt;0,Skills!I11/Skills!H11,1)+IF(Skills!H11&gt;0,MIN(Skills!I11,MAX(0,MAX(0,Inputs!$B$43-B1375)-((R1346-1)*IF(Inputs!$B$38="pvp",15,MAX(0.1,Skills!D11-IF(Skills!E11=TRUE,1.5,0))))))/Skills!H11,1)))/Inputs!$B$43),G1346*Q1346))*IF(Inputs!$B$38="pvp",1,1+(Inputs!$B$20+0+Skills!P11)/100),0)</f>
        <v/>
      </c>
      <c r="V1346">
        <f>IF(C1346,(H1346*N1346*IF(AND(Inputs!$B$38&lt;&gt;"pvp",Inputs!$B$43&gt;0),((Skills!G11*((R1346-1)*IF(Skills!H11&gt;0,Skills!I11/Skills!H11,1)+IF(Skills!H11&gt;0,MIN(Skills!I11,MAX(0,MAX(0,Inputs!$B$43-B1375)-((R1346-1)*IF(Inputs!$B$38="pvp",15,MAX(0.1,Skills!D11-IF(Skills!E11=TRUE,1.5,0))))))/Skills!H11,1)))/Inputs!$B$43),G1346*Q1346))*IF(Inputs!$B$38="pvp",1,(1+(Inputs!$B$21+Skills!Q11)/100)*(MIN(Skills!R11,Inputs!$B$37))),0)</f>
        <v/>
      </c>
    </row>
    <row r="1347">
      <c r="A1347">
        <f>Skills!A12</f>
        <v/>
      </c>
      <c r="B1347">
        <f>Skills!B12</f>
        <v/>
      </c>
      <c r="C1347">
        <f>Inputs!$B$3&gt;=110</f>
        <v/>
      </c>
      <c r="D1347">
        <f>IF(Skills!C12=1,60+Inputs!$B$25+Inputs!$B$29,IF(Skills!C12=2,90+Inputs!$B$26+Inputs!$B$29,IF(Skills!C12=3,120+Inputs!$B$27+Inputs!$B$29,MAX(0,(Inputs!$B$3-100)*3)+Inputs!$B$28+Inputs!$B$29)))</f>
        <v/>
      </c>
      <c r="E1347">
        <f>INDEX(FactorTable!$B$2:$Y$301, MATCH(ROUND(MIN(300,MAX(1,D1347)),0), FactorTable!$A$2:$A$301,0), Skills!M12+1)</f>
        <v/>
      </c>
      <c r="F1347">
        <f>IF(Skills!N12=TRUE,(Skills!L12/10)*(E1347/1000),Skills!L12/10)+Skills!O12</f>
        <v/>
      </c>
      <c r="G1347" t="inlineStr"/>
      <c r="H1347" t="inlineStr"/>
      <c r="I1347" t="inlineStr">
        <is>
          <t>1</t>
        </is>
      </c>
      <c r="J1347" t="inlineStr"/>
      <c r="K1347" t="inlineStr"/>
      <c r="L1347" t="inlineStr"/>
      <c r="M1347" t="inlineStr"/>
      <c r="N1347" t="inlineStr"/>
      <c r="O1347" t="inlineStr"/>
      <c r="P1347" t="inlineStr"/>
      <c r="Q1347" t="inlineStr"/>
      <c r="R1347" t="inlineStr"/>
      <c r="S1347" t="inlineStr"/>
      <c r="T1347" t="inlineStr"/>
      <c r="V1347" t="inlineStr"/>
    </row>
    <row r="1348">
      <c r="A1348">
        <f>Skills!A13</f>
        <v/>
      </c>
      <c r="B1348">
        <f>Skills!B13</f>
        <v/>
      </c>
      <c r="C1348">
        <f>Inputs!$B$3&gt;=74</f>
        <v/>
      </c>
      <c r="D1348">
        <f>IF(Skills!C13=1,60+Inputs!$B$25+Inputs!$B$29,IF(Skills!C13=2,90+Inputs!$B$26+Inputs!$B$29,IF(Skills!C13=3,120+Inputs!$B$27+Inputs!$B$29,MAX(0,(Inputs!$B$3-100)*3)+Inputs!$B$28+Inputs!$B$29)))</f>
        <v/>
      </c>
      <c r="E1348">
        <f>INDEX(FactorTable!$B$2:$Y$301, MATCH(ROUND(MIN(300,MAX(1,D1348)),0), FactorTable!$A$2:$A$301,0), Skills!M13+1)</f>
        <v/>
      </c>
      <c r="F1348">
        <f>IF(Skills!N13=TRUE,(Skills!L13/10)*(E1348/1000),Skills!L13/10)+Skills!O13</f>
        <v/>
      </c>
      <c r="G1348">
        <f>Skills!G13*IF(Skills!H13&gt;0,Skills!I13/Skills!H13,1)</f>
        <v/>
      </c>
      <c r="H1348">
        <f>1-(1-Skills!J13/100)^Skills!K13</f>
        <v/>
      </c>
      <c r="I1348" t="inlineStr">
        <is>
          <t>1</t>
        </is>
      </c>
      <c r="J1348" t="inlineStr"/>
      <c r="K1348" t="inlineStr"/>
      <c r="L1348" t="inlineStr"/>
      <c r="M1348" t="inlineStr"/>
      <c r="N1348" t="inlineStr"/>
      <c r="O1348">
        <f>(1-Summary!$B$55)*T1348+Summary!$B$55*V1348</f>
        <v/>
      </c>
      <c r="P1348">
        <f>IF(B1378=0,0,O1348/B1378)</f>
        <v/>
      </c>
      <c r="Q1348" t="n">
        <v>0</v>
      </c>
      <c r="R1348" t="n">
        <v>0</v>
      </c>
      <c r="S1348">
        <f>IFERROR(O1348/N1348,0)</f>
        <v/>
      </c>
      <c r="T1348" t="n">
        <v>0</v>
      </c>
      <c r="V1348" t="n">
        <v>0</v>
      </c>
    </row>
    <row r="1349">
      <c r="A1349">
        <f>Skills!A14</f>
        <v/>
      </c>
      <c r="B1349">
        <f>Skills!B14</f>
        <v/>
      </c>
      <c r="C1349">
        <f>Inputs!$B$3&gt;=74</f>
        <v/>
      </c>
      <c r="D1349">
        <f>IF(Skills!C14=1,60+Inputs!$B$25+Inputs!$B$29,IF(Skills!C14=2,90+Inputs!$B$26+Inputs!$B$29,IF(Skills!C14=3,120+Inputs!$B$27+Inputs!$B$29,MAX(0,(Inputs!$B$3-100)*3)+Inputs!$B$28+Inputs!$B$29)))</f>
        <v/>
      </c>
      <c r="E1349">
        <f>INDEX(FactorTable!$B$2:$Y$301, MATCH(ROUND(MIN(300,MAX(1,D1349)),0), FactorTable!$A$2:$A$301,0), Skills!M14+1)</f>
        <v/>
      </c>
      <c r="F1349">
        <f>IF(Skills!N14=TRUE,(Skills!L14/10)*(E1349/1000),Skills!L14/10)+Skills!O14</f>
        <v/>
      </c>
      <c r="G1349">
        <f>Skills!G14*IF(Skills!H14&gt;0,Skills!I14/Skills!H14,1)</f>
        <v/>
      </c>
      <c r="H1349">
        <f>1-(1-Skills!J14/100)^Skills!K14</f>
        <v/>
      </c>
      <c r="I1349" t="inlineStr">
        <is>
          <t>1</t>
        </is>
      </c>
      <c r="J1349" t="inlineStr"/>
      <c r="K1349" t="inlineStr"/>
      <c r="L1349" t="inlineStr"/>
      <c r="M1349" t="inlineStr"/>
      <c r="N1349" t="inlineStr"/>
      <c r="O1349">
        <f>(1-Summary!$B$55)*T1349+Summary!$B$55*V1349</f>
        <v/>
      </c>
      <c r="P1349">
        <f>IF(B1378=0,0,O1349/B1378)</f>
        <v/>
      </c>
      <c r="Q1349" t="n">
        <v>0</v>
      </c>
      <c r="R1349" t="n">
        <v>0</v>
      </c>
      <c r="S1349">
        <f>IFERROR(O1349/N1349,0)</f>
        <v/>
      </c>
      <c r="T1349" t="n">
        <v>0</v>
      </c>
      <c r="V1349" t="n">
        <v>0</v>
      </c>
    </row>
    <row r="1350">
      <c r="A1350">
        <f>Skills!A15</f>
        <v/>
      </c>
      <c r="B1350">
        <f>Skills!B15</f>
        <v/>
      </c>
      <c r="C1350">
        <f>Inputs!$B$3&gt;=117</f>
        <v/>
      </c>
      <c r="D1350">
        <f>IF(Skills!C15=1,60+Inputs!$B$25+Inputs!$B$29,IF(Skills!C15=2,90+Inputs!$B$26+Inputs!$B$29,IF(Skills!C15=3,120+Inputs!$B$27+Inputs!$B$29,MAX(0,(Inputs!$B$3-100)*3)+Inputs!$B$28+Inputs!$B$29)))</f>
        <v/>
      </c>
      <c r="E1350">
        <f>INDEX(FactorTable!$B$2:$Y$301, MATCH(ROUND(MIN(300,MAX(1,D1350)),0), FactorTable!$A$2:$A$301,0), Skills!M15+1)</f>
        <v/>
      </c>
      <c r="F1350">
        <f>IF(Skills!N15=TRUE,(Skills!L15/10)*(E1350/1000),Skills!L15/10)+Skills!O15</f>
        <v/>
      </c>
      <c r="G1350">
        <f>Skills!G15*IF(Skills!H15&gt;0,Skills!I15/Skills!H15,1)</f>
        <v/>
      </c>
      <c r="H1350">
        <f>1-(1-Skills!J15/100)^Skills!K15</f>
        <v/>
      </c>
      <c r="I1350" t="inlineStr">
        <is>
          <t>1</t>
        </is>
      </c>
      <c r="J1350" t="inlineStr"/>
      <c r="K1350" t="inlineStr"/>
      <c r="L1350" t="inlineStr"/>
      <c r="M1350" t="inlineStr"/>
      <c r="N1350" t="inlineStr"/>
      <c r="O1350">
        <f>(1-Summary!$B$55)*T1350+Summary!$B$55*V1350</f>
        <v/>
      </c>
      <c r="P1350">
        <f>IF(B1378=0,0,O1350/B1378)</f>
        <v/>
      </c>
      <c r="Q1350">
        <f>IFERROR(1/IF(Inputs!$B$38="pvp",15,MAX(0.1,Skills!D15-IF(Skills!E15=TRUE,1.5,0))),0)</f>
        <v/>
      </c>
      <c r="R1350">
        <f>IF(AND(Inputs!$B$38&lt;&gt;"pvp",Inputs!$B$43&gt;0),IF(Inputs!$B$43&lt;=0,0,(INT(Inputs!$B$43/IF(Inputs!$B$38="pvp",15,MAX(0.1,Skills!D15-IF(Skills!E15=TRUE,1.5,0))))+1)),0)</f>
        <v/>
      </c>
      <c r="S1350">
        <f>IFERROR(O1350/N1350,0)</f>
        <v/>
      </c>
      <c r="T1350" t="n">
        <v>0</v>
      </c>
      <c r="V1350" t="n">
        <v>0</v>
      </c>
    </row>
    <row r="1351">
      <c r="A1351">
        <f>Skills!A16</f>
        <v/>
      </c>
      <c r="B1351">
        <f>Skills!B16</f>
        <v/>
      </c>
      <c r="C1351">
        <f>Inputs!$B$3&gt;=115</f>
        <v/>
      </c>
      <c r="D1351">
        <f>IF(Skills!C16=1,60+Inputs!$B$25+Inputs!$B$29,IF(Skills!C16=2,90+Inputs!$B$26+Inputs!$B$29,IF(Skills!C16=3,120+Inputs!$B$27+Inputs!$B$29,MAX(0,(Inputs!$B$3-100)*3)+Inputs!$B$28+Inputs!$B$29)))</f>
        <v/>
      </c>
      <c r="E1351">
        <f>INDEX(FactorTable!$B$2:$Y$301, MATCH(ROUND(MIN(300,MAX(1,D1351)),0), FactorTable!$A$2:$A$301,0), Skills!M16+1)</f>
        <v/>
      </c>
      <c r="F1351">
        <f>IF(Skills!N16=TRUE,(Skills!L16/10)*(E1351/1000),Skills!L16/10)+Skills!O16</f>
        <v/>
      </c>
      <c r="G1351">
        <f>Skills!G16*IF(Skills!H16&gt;0,Skills!I16/Skills!H16,1)</f>
        <v/>
      </c>
      <c r="H1351">
        <f>1-(1-Skills!J16/100)^Skills!K16</f>
        <v/>
      </c>
      <c r="I1351" t="inlineStr">
        <is>
          <t>1</t>
        </is>
      </c>
      <c r="J1351" t="inlineStr"/>
      <c r="K1351" t="inlineStr"/>
      <c r="L1351" t="inlineStr"/>
      <c r="M1351" t="inlineStr"/>
      <c r="N1351" t="inlineStr"/>
      <c r="O1351">
        <f>(1-Summary!$B$55)*T1351+Summary!$B$55*V1351</f>
        <v/>
      </c>
      <c r="P1351">
        <f>IF(B1378=0,0,O1351/B1378)</f>
        <v/>
      </c>
      <c r="Q1351">
        <f>IFERROR(1/IF(Inputs!$B$38="pvp",15,MAX(0.1,Skills!D16-IF(Skills!E16=TRUE,1.5,0))),0)</f>
        <v/>
      </c>
      <c r="R1351">
        <f>IF(AND(Inputs!$B$38&lt;&gt;"pvp",Inputs!$B$43&gt;0),IF(Inputs!$B$43&lt;=0,0,(INT(Inputs!$B$43/IF(Inputs!$B$38="pvp",15,MAX(0.1,Skills!D16-IF(Skills!E16=TRUE,1.5,0))))+1)),0)</f>
        <v/>
      </c>
      <c r="S1351">
        <f>IFERROR(O1351/N1351,0)</f>
        <v/>
      </c>
      <c r="T1351" t="n">
        <v>0</v>
      </c>
      <c r="V1351" t="n">
        <v>0</v>
      </c>
    </row>
    <row r="1352">
      <c r="A1352">
        <f>Skills!A17</f>
        <v/>
      </c>
      <c r="B1352">
        <f>Skills!B17</f>
        <v/>
      </c>
      <c r="C1352">
        <f>Inputs!$B$3&gt;=66</f>
        <v/>
      </c>
      <c r="D1352">
        <f>IF(Skills!C17=1,60+Inputs!$B$25+Inputs!$B$29,IF(Skills!C17=2,90+Inputs!$B$26+Inputs!$B$29,IF(Skills!C17=3,120+Inputs!$B$27+Inputs!$B$29,MAX(0,(Inputs!$B$3-100)*3)+Inputs!$B$28+Inputs!$B$29)))</f>
        <v/>
      </c>
      <c r="E1352">
        <f>INDEX(FactorTable!$B$2:$Y$301, MATCH(ROUND(MIN(300,MAX(1,D1352)),0), FactorTable!$A$2:$A$301,0), Skills!M17+1)</f>
        <v/>
      </c>
      <c r="F1352">
        <f>IF(Skills!N17=TRUE,(Skills!L17/10)*(E1352/1000),Skills!L17/10)+Skills!O17</f>
        <v/>
      </c>
      <c r="G1352">
        <f>Skills!G17*IF(Skills!H17&gt;0,Skills!I17/Skills!H17,1)</f>
        <v/>
      </c>
      <c r="H1352">
        <f>1-(1-Skills!J17/100)^Skills!K17</f>
        <v/>
      </c>
      <c r="I1352" t="inlineStr">
        <is>
          <t>1</t>
        </is>
      </c>
      <c r="J1352" t="inlineStr"/>
      <c r="K1352" t="inlineStr"/>
      <c r="L1352" t="inlineStr"/>
      <c r="M1352" t="inlineStr"/>
      <c r="N1352" t="inlineStr"/>
      <c r="O1352">
        <f>(1-Summary!$B$55)*T1352+Summary!$B$55*V1352</f>
        <v/>
      </c>
      <c r="P1352">
        <f>IF(B1378=0,0,O1352/B1378)</f>
        <v/>
      </c>
      <c r="Q1352" t="n">
        <v>0</v>
      </c>
      <c r="R1352" t="n">
        <v>0</v>
      </c>
      <c r="S1352">
        <f>IFERROR(O1352/N1352,0)</f>
        <v/>
      </c>
      <c r="T1352" t="n">
        <v>0</v>
      </c>
      <c r="V1352" t="n">
        <v>0</v>
      </c>
    </row>
    <row r="1353">
      <c r="A1353">
        <f>Skills!A18</f>
        <v/>
      </c>
      <c r="B1353">
        <f>Skills!B18</f>
        <v/>
      </c>
      <c r="C1353">
        <f>Inputs!$B$3&gt;=72</f>
        <v/>
      </c>
      <c r="D1353">
        <f>IF(Skills!C18=1,60+Inputs!$B$25+Inputs!$B$29,IF(Skills!C18=2,90+Inputs!$B$26+Inputs!$B$29,IF(Skills!C18=3,120+Inputs!$B$27+Inputs!$B$29,MAX(0,(Inputs!$B$3-100)*3)+Inputs!$B$28+Inputs!$B$29)))</f>
        <v/>
      </c>
      <c r="E1353">
        <f>INDEX(FactorTable!$B$2:$Y$301, MATCH(ROUND(MIN(300,MAX(1,D1353)),0), FactorTable!$A$2:$A$301,0), Skills!M18+1)</f>
        <v/>
      </c>
      <c r="F1353">
        <f>IF(Skills!N18=TRUE,(Skills!L18/10)*(E1353/1000),Skills!L18/10)+Skills!O18</f>
        <v/>
      </c>
      <c r="G1353">
        <f>Skills!G18*IF(Skills!H18&gt;0,Skills!I18/Skills!H18,1)</f>
        <v/>
      </c>
      <c r="H1353">
        <f>1-(1-Skills!J18/100)^Skills!K18</f>
        <v/>
      </c>
      <c r="I1353" t="inlineStr">
        <is>
          <t>1</t>
        </is>
      </c>
      <c r="J1353" t="inlineStr"/>
      <c r="K1353" t="inlineStr"/>
      <c r="L1353" t="inlineStr"/>
      <c r="M1353" t="inlineStr"/>
      <c r="N1353" t="inlineStr"/>
      <c r="O1353">
        <f>(1-Summary!$B$55)*T1353+Summary!$B$55*V1353</f>
        <v/>
      </c>
      <c r="P1353">
        <f>IF(B1378=0,0,O1353/B1378)</f>
        <v/>
      </c>
      <c r="Q1353" t="n">
        <v>0</v>
      </c>
      <c r="R1353" t="n">
        <v>0</v>
      </c>
      <c r="S1353">
        <f>IFERROR(O1353/N1353,0)</f>
        <v/>
      </c>
      <c r="T1353" t="n">
        <v>0</v>
      </c>
      <c r="V1353" t="n">
        <v>0</v>
      </c>
    </row>
    <row r="1354">
      <c r="A1354">
        <f>Skills!A19</f>
        <v/>
      </c>
      <c r="B1354">
        <f>Skills!B19</f>
        <v/>
      </c>
      <c r="C1354">
        <f>TRUE</f>
        <v/>
      </c>
      <c r="D1354">
        <f>IF(Skills!C19=1,60+Inputs!$B$25+Inputs!$B$29,IF(Skills!C19=2,90+Inputs!$B$26+Inputs!$B$29,IF(Skills!C19=3,120+Inputs!$B$27+Inputs!$B$29,MAX(0,(Inputs!$B$3-100)*3)+Inputs!$B$28+Inputs!$B$29)))</f>
        <v/>
      </c>
      <c r="E1354">
        <f>INDEX(FactorTable!$B$2:$Y$301, MATCH(ROUND(MIN(300,MAX(1,D1354)),0), FactorTable!$A$2:$A$301,0), Skills!M19+1)</f>
        <v/>
      </c>
      <c r="F1354">
        <f>IF(Skills!N19=TRUE,(Skills!L19/10)*(E1354/1000),Skills!L19/10)+Skills!O19</f>
        <v/>
      </c>
      <c r="G1354">
        <f>Skills!G19*IF(Skills!H19&gt;0,Skills!I19/Skills!H19,1)</f>
        <v/>
      </c>
      <c r="H1354">
        <f>1-(1-Skills!J19/100)^Skills!K19</f>
        <v/>
      </c>
      <c r="I1354" t="inlineStr">
        <is>
          <t>1</t>
        </is>
      </c>
      <c r="J1354" t="inlineStr"/>
      <c r="K1354" t="inlineStr"/>
      <c r="L1354" t="inlineStr"/>
      <c r="M1354" t="inlineStr"/>
      <c r="N1354" t="inlineStr"/>
      <c r="O1354">
        <f>(1-Summary!$B$55)*T1354+Summary!$B$55*V1354</f>
        <v/>
      </c>
      <c r="P1354">
        <f>IF(B1378=0,0,O1354/B1378)</f>
        <v/>
      </c>
      <c r="Q1354">
        <f>IFERROR(1/IF(Inputs!$B$38="pvp",15,MAX(0.1,Skills!D19-IF(Skills!E19=TRUE,1.5,0))),0)</f>
        <v/>
      </c>
      <c r="R1354">
        <f>IF(AND(Inputs!$B$38&lt;&gt;"pvp",Inputs!$B$43&gt;0),IF(Inputs!$B$43&lt;=0,0,(INT(Inputs!$B$43/IF(Inputs!$B$38="pvp",15,MAX(0.1,Skills!D19-IF(Skills!E19=TRUE,1.5,0))))+1)),0)</f>
        <v/>
      </c>
      <c r="S1354">
        <f>IFERROR(O1354/N1354,0)</f>
        <v/>
      </c>
      <c r="T1354" t="n">
        <v>0</v>
      </c>
      <c r="V1354" t="n">
        <v>0</v>
      </c>
    </row>
    <row r="1355">
      <c r="A1355">
        <f>Skills!A20</f>
        <v/>
      </c>
      <c r="B1355">
        <f>Skills!B20</f>
        <v/>
      </c>
      <c r="C1355">
        <f>Inputs!$B$3&gt;=15</f>
        <v/>
      </c>
      <c r="D1355">
        <f>IF(Skills!C20=1,60+Inputs!$B$25+Inputs!$B$29,IF(Skills!C20=2,90+Inputs!$B$26+Inputs!$B$29,IF(Skills!C20=3,120+Inputs!$B$27+Inputs!$B$29,MAX(0,(Inputs!$B$3-100)*3)+Inputs!$B$28+Inputs!$B$29)))</f>
        <v/>
      </c>
      <c r="E1355">
        <f>INDEX(FactorTable!$B$2:$Y$301, MATCH(ROUND(MIN(300,MAX(1,D1355)),0), FactorTable!$A$2:$A$301,0), Skills!M20+1)</f>
        <v/>
      </c>
      <c r="F1355">
        <f>IF(Skills!N20=TRUE,(Skills!L20/10)*(E1355/1000),Skills!L20/10)+Skills!O20</f>
        <v/>
      </c>
      <c r="G1355">
        <f>Skills!G20*IF(Skills!H20&gt;0,Skills!I20/Skills!H20,1)</f>
        <v/>
      </c>
      <c r="H1355">
        <f>1-(1-Skills!J20/100)^Skills!K20</f>
        <v/>
      </c>
      <c r="I1355" t="inlineStr">
        <is>
          <t>1</t>
        </is>
      </c>
      <c r="J1355" t="inlineStr"/>
      <c r="K1355" t="inlineStr"/>
      <c r="L1355" t="inlineStr"/>
      <c r="M1355" t="inlineStr"/>
      <c r="N1355" t="inlineStr"/>
      <c r="O1355">
        <f>(1-Summary!$B$55)*T1355+Summary!$B$55*V1355</f>
        <v/>
      </c>
      <c r="P1355">
        <f>IF(B1378=0,0,O1355/B1378)</f>
        <v/>
      </c>
      <c r="Q1355" t="n">
        <v>0</v>
      </c>
      <c r="R1355" t="n">
        <v>0</v>
      </c>
      <c r="S1355">
        <f>IFERROR(O1355/N1355,0)</f>
        <v/>
      </c>
      <c r="T1355" t="n">
        <v>0</v>
      </c>
      <c r="V1355" t="n">
        <v>0</v>
      </c>
    </row>
    <row r="1356">
      <c r="A1356">
        <f>Skills!A21</f>
        <v/>
      </c>
      <c r="B1356">
        <f>Skills!B21</f>
        <v/>
      </c>
      <c r="C1356">
        <f>Inputs!$B$3&gt;=10</f>
        <v/>
      </c>
      <c r="D1356">
        <f>IF(Skills!C21=1,60+Inputs!$B$25+Inputs!$B$29,IF(Skills!C21=2,90+Inputs!$B$26+Inputs!$B$29,IF(Skills!C21=3,120+Inputs!$B$27+Inputs!$B$29,MAX(0,(Inputs!$B$3-100)*3)+Inputs!$B$28+Inputs!$B$29)))</f>
        <v/>
      </c>
      <c r="E1356">
        <f>INDEX(FactorTable!$B$2:$Y$301, MATCH(ROUND(MIN(300,MAX(1,D1356)),0), FactorTable!$A$2:$A$301,0), Skills!M21+1)</f>
        <v/>
      </c>
      <c r="F1356">
        <f>IF(Skills!N21=TRUE,(Skills!L21/10)*(E1356/1000),Skills!L21/10)+Skills!O21</f>
        <v/>
      </c>
      <c r="G1356">
        <f>Skills!G21*IF(Skills!H21&gt;0,Skills!I21/Skills!H21,1)</f>
        <v/>
      </c>
      <c r="H1356">
        <f>1-(1-Skills!J21/100)^Skills!K21</f>
        <v/>
      </c>
      <c r="I1356" t="inlineStr">
        <is>
          <t>1</t>
        </is>
      </c>
      <c r="J1356" t="inlineStr"/>
      <c r="K1356" t="inlineStr"/>
      <c r="L1356" t="inlineStr"/>
      <c r="M1356" t="inlineStr"/>
      <c r="N1356" t="inlineStr"/>
      <c r="O1356">
        <f>(1-Summary!$B$55)*T1356+Summary!$B$55*V1356</f>
        <v/>
      </c>
      <c r="P1356">
        <f>IF(B1378=0,0,O1356/B1378)</f>
        <v/>
      </c>
      <c r="Q1356" t="n">
        <v>0</v>
      </c>
      <c r="R1356" t="n">
        <v>0</v>
      </c>
      <c r="S1356">
        <f>IFERROR(O1356/N1356,0)</f>
        <v/>
      </c>
      <c r="T1356" t="n">
        <v>0</v>
      </c>
      <c r="V1356" t="n">
        <v>0</v>
      </c>
    </row>
    <row r="1357">
      <c r="A1357">
        <f>Skills!A22</f>
        <v/>
      </c>
      <c r="B1357">
        <f>Skills!B22</f>
        <v/>
      </c>
      <c r="C1357">
        <f>Inputs!$B$3&gt;=33</f>
        <v/>
      </c>
      <c r="D1357">
        <f>IF(Skills!C22=1,60+Inputs!$B$25+Inputs!$B$29,IF(Skills!C22=2,90+Inputs!$B$26+Inputs!$B$29,IF(Skills!C22=3,120+Inputs!$B$27+Inputs!$B$29,MAX(0,(Inputs!$B$3-100)*3)+Inputs!$B$28+Inputs!$B$29)))</f>
        <v/>
      </c>
      <c r="E1357">
        <f>INDEX(FactorTable!$B$2:$Y$301, MATCH(ROUND(MIN(300,MAX(1,D1357)),0), FactorTable!$A$2:$A$301,0), Skills!M22+1)</f>
        <v/>
      </c>
      <c r="F1357">
        <f>IF(Skills!N22=TRUE,(Skills!L22/10)*(E1357/1000),Skills!L22/10)+Skills!O22</f>
        <v/>
      </c>
      <c r="G1357">
        <f>Skills!G22*IF(Skills!H22&gt;0,Skills!I22/Skills!H22,1)</f>
        <v/>
      </c>
      <c r="H1357">
        <f>1-(1-Skills!J22/100)^Skills!K22</f>
        <v/>
      </c>
      <c r="I1357" t="inlineStr">
        <is>
          <t>1</t>
        </is>
      </c>
      <c r="J1357" t="inlineStr"/>
      <c r="K1357" t="inlineStr"/>
      <c r="L1357" t="inlineStr"/>
      <c r="M1357" t="inlineStr"/>
      <c r="N1357" t="inlineStr"/>
      <c r="O1357">
        <f>(1-Summary!$B$55)*T1357+Summary!$B$55*V1357</f>
        <v/>
      </c>
      <c r="P1357">
        <f>IF(B1378=0,0,O1357/B1378)</f>
        <v/>
      </c>
      <c r="Q1357" t="n">
        <v>0</v>
      </c>
      <c r="R1357" t="n">
        <v>0</v>
      </c>
      <c r="S1357">
        <f>IFERROR(O1357/N1357,0)</f>
        <v/>
      </c>
      <c r="T1357" t="n">
        <v>0</v>
      </c>
      <c r="V1357" t="n">
        <v>0</v>
      </c>
    </row>
    <row r="1358">
      <c r="A1358">
        <f>Skills!A23</f>
        <v/>
      </c>
      <c r="B1358">
        <f>Skills!B23</f>
        <v/>
      </c>
      <c r="C1358">
        <f>Inputs!$B$3&gt;=38</f>
        <v/>
      </c>
      <c r="D1358">
        <f>IF(Skills!C23=1,60+Inputs!$B$25+Inputs!$B$29,IF(Skills!C23=2,90+Inputs!$B$26+Inputs!$B$29,IF(Skills!C23=3,120+Inputs!$B$27+Inputs!$B$29,MAX(0,(Inputs!$B$3-100)*3)+Inputs!$B$28+Inputs!$B$29)))</f>
        <v/>
      </c>
      <c r="E1358">
        <f>INDEX(FactorTable!$B$2:$Y$301, MATCH(ROUND(MIN(300,MAX(1,D1358)),0), FactorTable!$A$2:$A$301,0), Skills!M23+1)</f>
        <v/>
      </c>
      <c r="F1358">
        <f>IF(Skills!N23=TRUE,(Skills!L23/10)*(E1358/1000),Skills!L23/10)+Skills!O23</f>
        <v/>
      </c>
      <c r="G1358">
        <f>Skills!G23*IF(Skills!H23&gt;0,Skills!I23/Skills!H23,1)</f>
        <v/>
      </c>
      <c r="H1358">
        <f>1-(1-Skills!J23/100)^Skills!K23</f>
        <v/>
      </c>
      <c r="I1358" t="inlineStr">
        <is>
          <t>1</t>
        </is>
      </c>
      <c r="J1358" t="inlineStr"/>
      <c r="K1358" t="inlineStr"/>
      <c r="L1358" t="inlineStr"/>
      <c r="M1358" t="inlineStr"/>
      <c r="N1358" t="inlineStr"/>
      <c r="O1358">
        <f>(1-Summary!$B$55)*T1358+Summary!$B$55*V1358</f>
        <v/>
      </c>
      <c r="P1358">
        <f>IF(B1378=0,0,O1358/B1378)</f>
        <v/>
      </c>
      <c r="Q1358" t="n">
        <v>0</v>
      </c>
      <c r="R1358" t="n">
        <v>0</v>
      </c>
      <c r="S1358">
        <f>IFERROR(O1358/N1358,0)</f>
        <v/>
      </c>
      <c r="T1358" t="n">
        <v>0</v>
      </c>
      <c r="V1358" t="n">
        <v>0</v>
      </c>
    </row>
    <row r="1359">
      <c r="A1359">
        <f>Skills!A24</f>
        <v/>
      </c>
      <c r="B1359">
        <f>Skills!B24</f>
        <v/>
      </c>
      <c r="C1359">
        <f>Inputs!$B$3&gt;=43</f>
        <v/>
      </c>
      <c r="D1359">
        <f>IF(Skills!C24=1,60+Inputs!$B$25+Inputs!$B$29,IF(Skills!C24=2,90+Inputs!$B$26+Inputs!$B$29,IF(Skills!C24=3,120+Inputs!$B$27+Inputs!$B$29,MAX(0,(Inputs!$B$3-100)*3)+Inputs!$B$28+Inputs!$B$29)))</f>
        <v/>
      </c>
      <c r="E1359">
        <f>INDEX(FactorTable!$B$2:$Y$301, MATCH(ROUND(MIN(300,MAX(1,D1359)),0), FactorTable!$A$2:$A$301,0), Skills!M24+1)</f>
        <v/>
      </c>
      <c r="F1359">
        <f>IF(Skills!N24=TRUE,(Skills!L24/10)*(E1359/1000),Skills!L24/10)+Skills!O24</f>
        <v/>
      </c>
      <c r="G1359">
        <f>Skills!G24*IF(Skills!H24&gt;0,Skills!I24/Skills!H24,1)</f>
        <v/>
      </c>
      <c r="H1359">
        <f>1-(1-Skills!J24/100)^Skills!K24</f>
        <v/>
      </c>
      <c r="I1359" t="inlineStr">
        <is>
          <t>1</t>
        </is>
      </c>
      <c r="J1359" t="inlineStr"/>
      <c r="K1359" t="inlineStr"/>
      <c r="L1359" t="inlineStr"/>
      <c r="M1359" t="inlineStr"/>
      <c r="N1359" t="inlineStr"/>
      <c r="O1359">
        <f>(1-Summary!$B$55)*T1359+Summary!$B$55*V1359</f>
        <v/>
      </c>
      <c r="P1359">
        <f>IF(B1378=0,0,O1359/B1378)</f>
        <v/>
      </c>
      <c r="Q1359" t="n">
        <v>0</v>
      </c>
      <c r="R1359" t="n">
        <v>0</v>
      </c>
      <c r="S1359">
        <f>IFERROR(O1359/N1359,0)</f>
        <v/>
      </c>
      <c r="T1359" t="n">
        <v>0</v>
      </c>
      <c r="V1359" t="n">
        <v>0</v>
      </c>
    </row>
    <row r="1360">
      <c r="A1360">
        <f>Skills!A25</f>
        <v/>
      </c>
      <c r="B1360">
        <f>Skills!B25</f>
        <v/>
      </c>
      <c r="C1360">
        <f>Inputs!$B$3&gt;=75</f>
        <v/>
      </c>
      <c r="D1360">
        <f>IF(Skills!C25=1,60+Inputs!$B$25+Inputs!$B$29,IF(Skills!C25=2,90+Inputs!$B$26+Inputs!$B$29,IF(Skills!C25=3,120+Inputs!$B$27+Inputs!$B$29,MAX(0,(Inputs!$B$3-100)*3)+Inputs!$B$28+Inputs!$B$29)))</f>
        <v/>
      </c>
      <c r="E1360">
        <f>INDEX(FactorTable!$B$2:$Y$301, MATCH(ROUND(MIN(300,MAX(1,D1360)),0), FactorTable!$A$2:$A$301,0), Skills!M25+1)</f>
        <v/>
      </c>
      <c r="F1360">
        <f>IF(Skills!N25=TRUE,(Skills!L25/10)*(E1360/1000),Skills!L25/10)+Skills!O25</f>
        <v/>
      </c>
      <c r="G1360">
        <f>Skills!G25*IF(Skills!H25&gt;0,Skills!I25/Skills!H25,1)</f>
        <v/>
      </c>
      <c r="H1360">
        <f>1-(1-Skills!J25/100)^Skills!K25</f>
        <v/>
      </c>
      <c r="I1360" t="inlineStr">
        <is>
          <t>1</t>
        </is>
      </c>
      <c r="J1360" t="inlineStr"/>
      <c r="K1360" t="inlineStr"/>
      <c r="L1360" t="inlineStr"/>
      <c r="M1360" t="inlineStr"/>
      <c r="N1360" t="inlineStr"/>
      <c r="O1360">
        <f>(1-Summary!$B$55)*T1360+Summary!$B$55*V1360</f>
        <v/>
      </c>
      <c r="P1360">
        <f>IF(B1378=0,0,O1360/B1378)</f>
        <v/>
      </c>
      <c r="Q1360" t="n">
        <v>0</v>
      </c>
      <c r="R1360" t="n">
        <v>0</v>
      </c>
      <c r="S1360">
        <f>IFERROR(O1360/N1360,0)</f>
        <v/>
      </c>
      <c r="T1360" t="n">
        <v>0</v>
      </c>
      <c r="V1360" t="n">
        <v>0</v>
      </c>
    </row>
    <row r="1361">
      <c r="A1361">
        <f>Skills!A26</f>
        <v/>
      </c>
      <c r="B1361">
        <f>Skills!B26</f>
        <v/>
      </c>
      <c r="C1361">
        <f>Inputs!$B$3&gt;=125</f>
        <v/>
      </c>
      <c r="D1361">
        <f>IF(Skills!C26=1,60+Inputs!$B$25+Inputs!$B$29,IF(Skills!C26=2,90+Inputs!$B$26+Inputs!$B$29,IF(Skills!C26=3,120+Inputs!$B$27+Inputs!$B$29,MAX(0,(Inputs!$B$3-100)*3)+Inputs!$B$28+Inputs!$B$29)))</f>
        <v/>
      </c>
      <c r="E1361">
        <f>INDEX(FactorTable!$B$2:$Y$301, MATCH(ROUND(MIN(300,MAX(1,D1361)),0), FactorTable!$A$2:$A$301,0), Skills!M26+1)</f>
        <v/>
      </c>
      <c r="F1361">
        <f>IF(Skills!N26=TRUE,(Skills!L26/10)*(E1361/1000),Skills!L26/10)+Skills!O26</f>
        <v/>
      </c>
      <c r="G1361">
        <f>Skills!G26*IF(Skills!H26&gt;0,Skills!I26/Skills!H26,1)</f>
        <v/>
      </c>
      <c r="H1361">
        <f>1-(1-Skills!J26/100)^Skills!K26</f>
        <v/>
      </c>
      <c r="I1361" t="inlineStr">
        <is>
          <t>1</t>
        </is>
      </c>
      <c r="J1361" t="inlineStr"/>
      <c r="K1361" t="inlineStr"/>
      <c r="L1361" t="inlineStr"/>
      <c r="M1361" t="inlineStr"/>
      <c r="N1361" t="inlineStr"/>
      <c r="O1361">
        <f>(1-Summary!$B$55)*T1361+Summary!$B$55*V1361</f>
        <v/>
      </c>
      <c r="P1361">
        <f>IF(B1378=0,0,O1361/B1378)</f>
        <v/>
      </c>
      <c r="Q1361" t="n">
        <v>0</v>
      </c>
      <c r="R1361" t="n">
        <v>0</v>
      </c>
      <c r="S1361">
        <f>IFERROR(O1361/N1361,0)</f>
        <v/>
      </c>
      <c r="T1361" t="n">
        <v>0</v>
      </c>
      <c r="V1361" t="n">
        <v>0</v>
      </c>
    </row>
    <row r="1362">
      <c r="A1362">
        <f>Skills!A27</f>
        <v/>
      </c>
      <c r="B1362">
        <f>Skills!B27</f>
        <v/>
      </c>
      <c r="C1362">
        <f>Inputs!$B$3&gt;=125</f>
        <v/>
      </c>
      <c r="D1362">
        <f>IF(Skills!C27=1,60+Inputs!$B$25+Inputs!$B$29,IF(Skills!C27=2,90+Inputs!$B$26+Inputs!$B$29,IF(Skills!C27=3,120+Inputs!$B$27+Inputs!$B$29,MAX(0,(Inputs!$B$3-100)*3)+Inputs!$B$28+Inputs!$B$29)))</f>
        <v/>
      </c>
      <c r="E1362">
        <f>INDEX(FactorTable!$B$2:$Y$301, MATCH(ROUND(MIN(300,MAX(1,D1362)),0), FactorTable!$A$2:$A$301,0), Skills!M27+1)</f>
        <v/>
      </c>
      <c r="F1362">
        <f>IF(Skills!N27=TRUE,(Skills!L27/10)*(E1362/1000),Skills!L27/10)+Skills!O27</f>
        <v/>
      </c>
      <c r="G1362">
        <f>Skills!G27*IF(Skills!H27&gt;0,Skills!I27/Skills!H27,1)</f>
        <v/>
      </c>
      <c r="H1362">
        <f>1-(1-Skills!J27/100)^Skills!K27</f>
        <v/>
      </c>
      <c r="I1362" t="inlineStr">
        <is>
          <t>1</t>
        </is>
      </c>
      <c r="J1362" t="inlineStr"/>
      <c r="K1362" t="inlineStr"/>
      <c r="L1362" t="inlineStr"/>
      <c r="M1362" t="inlineStr"/>
      <c r="N1362" t="inlineStr"/>
      <c r="O1362">
        <f>(1-Summary!$B$55)*T1362+Summary!$B$55*V1362</f>
        <v/>
      </c>
      <c r="P1362">
        <f>IF(B1378=0,0,O1362/B1378)</f>
        <v/>
      </c>
      <c r="Q1362" t="n">
        <v>0</v>
      </c>
      <c r="R1362" t="n">
        <v>0</v>
      </c>
      <c r="S1362">
        <f>IFERROR(O1362/N1362,0)</f>
        <v/>
      </c>
      <c r="T1362" t="n">
        <v>0</v>
      </c>
      <c r="V1362" t="n">
        <v>0</v>
      </c>
    </row>
    <row r="1363">
      <c r="A1363">
        <f>Skills!A28</f>
        <v/>
      </c>
      <c r="B1363">
        <f>Skills!B28</f>
        <v/>
      </c>
      <c r="C1363">
        <f>Inputs!$B$3&gt;=120</f>
        <v/>
      </c>
      <c r="D1363">
        <f>IF(Skills!C28=1,60+Inputs!$B$25+Inputs!$B$29,IF(Skills!C28=2,90+Inputs!$B$26+Inputs!$B$29,IF(Skills!C28=3,120+Inputs!$B$27+Inputs!$B$29,MAX(0,(Inputs!$B$3-100)*3)+Inputs!$B$28+Inputs!$B$29)))</f>
        <v/>
      </c>
      <c r="E1363">
        <f>INDEX(FactorTable!$B$2:$Y$301, MATCH(ROUND(MIN(300,MAX(1,D1363)),0), FactorTable!$A$2:$A$301,0), Skills!M28+1)</f>
        <v/>
      </c>
      <c r="F1363">
        <f>IF(Skills!N28=TRUE,(Skills!L28/10)*(E1363/1000),Skills!L28/10)+Skills!O28</f>
        <v/>
      </c>
      <c r="G1363">
        <f>Skills!G28*IF(Skills!H28&gt;0,Skills!I28/Skills!H28,1)</f>
        <v/>
      </c>
      <c r="H1363">
        <f>1-(1-Skills!J28/100)^Skills!K28</f>
        <v/>
      </c>
      <c r="I1363" t="inlineStr">
        <is>
          <t>1</t>
        </is>
      </c>
      <c r="J1363" t="inlineStr"/>
      <c r="K1363" t="inlineStr"/>
      <c r="L1363" t="inlineStr"/>
      <c r="M1363" t="inlineStr"/>
      <c r="N1363" t="inlineStr"/>
      <c r="O1363">
        <f>(1-Summary!$B$55)*T1363+Summary!$B$55*V1363</f>
        <v/>
      </c>
      <c r="P1363">
        <f>IF(B1378=0,0,O1363/B1378)</f>
        <v/>
      </c>
      <c r="Q1363" t="n">
        <v>0</v>
      </c>
      <c r="R1363" t="n">
        <v>0</v>
      </c>
      <c r="S1363">
        <f>IFERROR(O1363/N1363,0)</f>
        <v/>
      </c>
      <c r="T1363" t="n">
        <v>0</v>
      </c>
      <c r="V1363" t="n">
        <v>0</v>
      </c>
    </row>
    <row r="1364">
      <c r="A1364">
        <f>Skills!A29</f>
        <v/>
      </c>
      <c r="B1364">
        <f>Skills!B29</f>
        <v/>
      </c>
      <c r="C1364">
        <f>Inputs!$B$3&gt;=120</f>
        <v/>
      </c>
      <c r="D1364">
        <f>IF(Skills!C29=1,60+Inputs!$B$25+Inputs!$B$29,IF(Skills!C29=2,90+Inputs!$B$26+Inputs!$B$29,IF(Skills!C29=3,120+Inputs!$B$27+Inputs!$B$29,MAX(0,(Inputs!$B$3-100)*3)+Inputs!$B$28+Inputs!$B$29)))</f>
        <v/>
      </c>
      <c r="E1364">
        <f>INDEX(FactorTable!$B$2:$Y$301, MATCH(ROUND(MIN(300,MAX(1,D1364)),0), FactorTable!$A$2:$A$301,0), Skills!M29+1)</f>
        <v/>
      </c>
      <c r="F1364">
        <f>IF(Skills!N29=TRUE,(Skills!L29/10)*(E1364/1000),Skills!L29/10)+Skills!O29</f>
        <v/>
      </c>
      <c r="G1364">
        <f>Skills!G29*IF(Skills!H29&gt;0,Skills!I29/Skills!H29,1)</f>
        <v/>
      </c>
      <c r="H1364">
        <f>1-(1-Skills!J29/100)^Skills!K29</f>
        <v/>
      </c>
      <c r="I1364" t="inlineStr">
        <is>
          <t>1</t>
        </is>
      </c>
      <c r="J1364" t="inlineStr"/>
      <c r="K1364" t="inlineStr"/>
      <c r="L1364" t="inlineStr"/>
      <c r="M1364" t="inlineStr"/>
      <c r="N1364" t="inlineStr"/>
      <c r="O1364">
        <f>(1-Summary!$B$55)*T1364+Summary!$B$55*V1364</f>
        <v/>
      </c>
      <c r="P1364">
        <f>IF(B1378=0,0,O1364/B1378)</f>
        <v/>
      </c>
      <c r="Q1364" t="n">
        <v>0</v>
      </c>
      <c r="R1364" t="n">
        <v>0</v>
      </c>
      <c r="S1364">
        <f>IFERROR(O1364/N1364,0)</f>
        <v/>
      </c>
      <c r="T1364" t="n">
        <v>0</v>
      </c>
      <c r="V1364" t="n">
        <v>0</v>
      </c>
    </row>
    <row r="1365">
      <c r="A1365">
        <f>Skills!A30</f>
        <v/>
      </c>
      <c r="B1365">
        <f>Skills!B30</f>
        <v/>
      </c>
      <c r="C1365">
        <f>Inputs!$B$3&gt;=45</f>
        <v/>
      </c>
      <c r="D1365">
        <f>IF(Skills!C30=1,60+Inputs!$B$25+Inputs!$B$29,IF(Skills!C30=2,90+Inputs!$B$26+Inputs!$B$29,IF(Skills!C30=3,120+Inputs!$B$27+Inputs!$B$29,MAX(0,(Inputs!$B$3-100)*3)+Inputs!$B$28+Inputs!$B$29)))</f>
        <v/>
      </c>
      <c r="E1365">
        <f>INDEX(FactorTable!$B$2:$Y$301, MATCH(ROUND(MIN(300,MAX(1,D1365)),0), FactorTable!$A$2:$A$301,0), Skills!M30+1)</f>
        <v/>
      </c>
      <c r="F1365">
        <f>IF(Skills!N30=TRUE,(Skills!L30/10)*(E1365/1000),Skills!L30/10)+Skills!O30</f>
        <v/>
      </c>
      <c r="G1365">
        <f>Skills!G30*IF(Skills!H30&gt;0,Skills!I30/Skills!H30,1)</f>
        <v/>
      </c>
      <c r="H1365">
        <f>1-(1-Skills!J30/100)^Skills!K30</f>
        <v/>
      </c>
      <c r="I1365" t="inlineStr">
        <is>
          <t>1</t>
        </is>
      </c>
      <c r="J1365" t="inlineStr"/>
      <c r="K1365" t="inlineStr"/>
      <c r="L1365" t="inlineStr"/>
      <c r="M1365" t="inlineStr"/>
      <c r="N1365" t="inlineStr"/>
      <c r="O1365">
        <f>(1-Summary!$B$55)*T1365+Summary!$B$55*V1365</f>
        <v/>
      </c>
      <c r="P1365">
        <f>IF(B1378=0,0,O1365/B1378)</f>
        <v/>
      </c>
      <c r="Q1365" t="n">
        <v>0</v>
      </c>
      <c r="R1365" t="n">
        <v>0</v>
      </c>
      <c r="S1365">
        <f>IFERROR(O1365/N1365,0)</f>
        <v/>
      </c>
      <c r="T1365" t="n">
        <v>0</v>
      </c>
      <c r="V1365" t="n">
        <v>0</v>
      </c>
    </row>
    <row r="1367">
      <c r="A1367" t="inlineStr">
        <is>
          <t>Attack% Bucket Multiplier</t>
        </is>
      </c>
      <c r="B1367">
        <f>(1+(((C1348=TRUE)*F1348)+((C1349=TRUE)*IF(Inputs!$B$38="pvp",F1349,(1-Summary!$B$55)*(F1349)+Summary!$B$55*(0)))+((C1350=TRUE)*F1350*IF(AND(Inputs!$B$38&lt;&gt;"pvp",Inputs!$B$43&gt;0),(((R1350-1)*(Skills!T15*(1+Inputs!$B$34/100))+MIN((Skills!T15*(1+Inputs!$B$34/100)),MAX(0,Inputs!$B$43-((R1350-1)*Skills!D15))))/Inputs!$B$43),IF(Inputs!$B$38="pvp",MIN((Skills!T15*(1+Inputs!$B$34/100)),15)/15,(Skills!T15*(1+Inputs!$B$34/100))/Skills!D15)))+((C1365=TRUE)*(F1365-Calc!F30)))/100)</f>
        <v/>
      </c>
    </row>
    <row r="1368">
      <c r="A1368" t="inlineStr">
        <is>
          <t>Global Crit Rate Bonus %</t>
        </is>
      </c>
      <c r="B1368">
        <f>(C1351=TRUE)*20*IF(AND(Inputs!$B$38&lt;&gt;"pvp",Inputs!$B$43&gt;0),(((R1351-1)*(Skills!T16*(1+Inputs!$B$34/100))+MIN((Skills!T16*(1+Inputs!$B$34/100)),MAX(0,Inputs!$B$43-((R1351-1)*Skills!D16))))/Inputs!$B$43),IF(Inputs!$B$38="pvp",MIN((Skills!T16*(1+Inputs!$B$34/100)),15)/15,(Skills!T16*(1+Inputs!$B$34/100))/Skills!D16))</f>
        <v/>
      </c>
    </row>
    <row r="1369">
      <c r="A1369" t="inlineStr">
        <is>
          <t>Attack Speed Buff Bonus %</t>
        </is>
      </c>
      <c r="B1369">
        <f>((C1354=TRUE)*F1354*IF(AND(Inputs!$B$38&lt;&gt;"pvp",Inputs!$B$43&gt;0),(((R1354-1)*(Skills!T19*(1+Inputs!$B$34/100))+MIN((Skills!T19*(1+Inputs!$B$34/100)),MAX(0,Inputs!$B$43-((R1354-1)*Skills!D19))))/Inputs!$B$43),IF(Inputs!$B$38="pvp",MIN((Skills!T19*(1+Inputs!$B$34/100)),15)/15,(Skills!T19*(1+Inputs!$B$34/100))/Skills!D19)))</f>
        <v/>
      </c>
    </row>
    <row r="1370">
      <c r="A1370" t="inlineStr">
        <is>
          <t>Actions Per Second</t>
        </is>
      </c>
      <c r="B1370">
        <f>1+MIN(150,150*(1-(1-(Inputs!$B$11+((C1356=TRUE)*(F1356-Calc!F21))+((C1357=TRUE)*(F1357-Calc!F22)))/150)*(1-B1369/150)))/100</f>
        <v/>
      </c>
    </row>
    <row r="1371">
      <c r="A1371" t="inlineStr">
        <is>
          <t>Skill + Buff Cast Rate</t>
        </is>
      </c>
      <c r="B1371">
        <f>IF(AND(Inputs!$B$38&lt;&gt;"pvp",Inputs!$B$43&gt;0),SUMPRODUCT((Skills!E2:E30=TRUE)*(C1337:C1365=TRUE)*R1337:R1365*Skills!F2:F30)/Inputs!$B$43,SUMPRODUCT((Skills!E2:E30=TRUE)*(C1337:C1365=TRUE)*Q1337:Q1365*Skills!F2:F30))</f>
        <v/>
      </c>
    </row>
    <row r="1372">
      <c r="A1372" t="inlineStr">
        <is>
          <t>Arrow Stream Casts Per Second</t>
        </is>
      </c>
      <c r="B1372">
        <f>MAX(0,B1370-B1371)</f>
        <v/>
      </c>
    </row>
    <row r="1373">
      <c r="A1373" t="inlineStr">
        <is>
          <t>Global Critical Damage Bonus % (Sharp Eyes + Concentration)</t>
        </is>
      </c>
      <c r="B1373">
        <f>(C1351=TRUE)*F1351*IF(AND(Inputs!$B$38&lt;&gt;"pvp",Inputs!$B$43&gt;0),(((R1351-1)*(Skills!T16*(1+Inputs!$B$34/100))+MIN((Skills!T16*(1+Inputs!$B$34/100)),MAX(0,Inputs!$B$43-((R1351-1)*Skills!D16))))/Inputs!$B$43),IF(Inputs!$B$38="pvp",MIN((Skills!T16*(1+Inputs!$B$34/100)),15)/15,(Skills!T16*(1+Inputs!$B$34/100))/Skills!D16))+(C1352=TRUE)*30</f>
        <v/>
      </c>
    </row>
    <row r="1374">
      <c r="A1374" t="inlineStr">
        <is>
          <t>Global Final Damage Bonus % (Mortal Blow)</t>
        </is>
      </c>
      <c r="B1374">
        <f>(C1353=TRUE)*F1353</f>
        <v/>
      </c>
    </row>
    <row r="1375">
      <c r="A1375" t="inlineStr">
        <is>
          <t>Buff-Casting Startup Delay (s, fixed-duration only)</t>
        </is>
      </c>
      <c r="B1375">
        <f>IF(AND(Inputs!$B$38&lt;&gt;"pvp",Inputs!$B$43&gt;0),SUMPRODUCT((Skills!T2:T30&gt;0)*(Skills!E2:E30=TRUE)*(C1337:C1365=TRUE))/B1370,0)</f>
        <v/>
      </c>
    </row>
    <row r="1376">
      <c r="A1376" t="inlineStr">
        <is>
          <t>Boss-Only Total DPS (this block's swept value)</t>
        </is>
      </c>
      <c r="B1376">
        <f>SUM(T1337:T1365)</f>
        <v/>
      </c>
    </row>
    <row r="1377">
      <c r="A1377" t="inlineStr">
        <is>
          <t>Normal-Only Total DPS (this block's swept value)</t>
        </is>
      </c>
      <c r="B1377">
        <f>SUM(V1337:V1365)</f>
        <v/>
      </c>
    </row>
    <row r="1378">
      <c r="A1378" s="5" t="inlineStr">
        <is>
          <t>TOTAL DPS</t>
        </is>
      </c>
      <c r="B1378" s="5">
        <f>SUM(O1337:O1365)</f>
        <v/>
      </c>
    </row>
    <row r="1381">
      <c r="A1381" s="5" t="inlineStr">
        <is>
          <t>Stat: CDR = 2.0s</t>
        </is>
      </c>
    </row>
    <row r="1382">
      <c r="A1382" s="9" t="inlineStr">
        <is>
          <t>Key</t>
        </is>
      </c>
      <c r="B1382" s="9" t="inlineStr">
        <is>
          <t>Name</t>
        </is>
      </c>
      <c r="C1382" s="9" t="inlineStr">
        <is>
          <t>Unlocked</t>
        </is>
      </c>
      <c r="D1382" s="9" t="inlineStr">
        <is>
          <t>InputLevel</t>
        </is>
      </c>
      <c r="E1382" s="9" t="inlineStr">
        <is>
          <t>Factor</t>
        </is>
      </c>
      <c r="F1382" s="9" t="inlineStr">
        <is>
          <t>CoefficientPercent</t>
        </is>
      </c>
      <c r="G1382" s="9" t="inlineStr">
        <is>
          <t>EffectiveHits</t>
        </is>
      </c>
      <c r="H1382" s="9" t="inlineStr">
        <is>
          <t>ProcProbability</t>
        </is>
      </c>
      <c r="I1382" s="9" t="inlineStr">
        <is>
          <t>MapleHeroMultiplier</t>
        </is>
      </c>
      <c r="J1382" s="9" t="inlineStr">
        <is>
          <t>BaseDamage</t>
        </is>
      </c>
      <c r="K1382" s="9" t="inlineStr">
        <is>
          <t>BaseHitDamage</t>
        </is>
      </c>
      <c r="L1382" s="9" t="inlineStr">
        <is>
          <t>NonCritAvg</t>
        </is>
      </c>
      <c r="M1382" s="9" t="inlineStr">
        <is>
          <t>CritAvg</t>
        </is>
      </c>
      <c r="N1382" s="9" t="inlineStr">
        <is>
          <t>ExpectedDamage(perHit)</t>
        </is>
      </c>
      <c r="O1382" s="9" t="inlineStr">
        <is>
          <t>DPS</t>
        </is>
      </c>
      <c r="P1382" s="9" t="inlineStr">
        <is>
          <t>% of Total</t>
        </is>
      </c>
      <c r="Q1382" s="9" t="inlineStr">
        <is>
          <t>InvCooldown</t>
        </is>
      </c>
      <c r="R1382" s="9" t="inlineStr">
        <is>
          <t>CastsInFight</t>
        </is>
      </c>
      <c r="S1382" s="9" t="inlineStr">
        <is>
          <t>HitRate(perSec)</t>
        </is>
      </c>
      <c r="U1382" t="inlineStr">
        <is>
          <t>helpers</t>
        </is>
      </c>
    </row>
    <row r="1383">
      <c r="A1383">
        <f>Skills!A2</f>
        <v/>
      </c>
      <c r="B1383">
        <f>Skills!B2</f>
        <v/>
      </c>
      <c r="C1383">
        <f>Inputs!$B$3&gt;=100</f>
        <v/>
      </c>
      <c r="D1383" t="inlineStr"/>
      <c r="E1383" t="inlineStr"/>
      <c r="F1383">
        <f>U1385+Skills!O2</f>
        <v/>
      </c>
      <c r="G1383">
        <f>Skills!G2*IF(Skills!H2&gt;0,Skills!I2/Skills!H2,1)</f>
        <v/>
      </c>
      <c r="H1383">
        <f>1-(1-Skills!J2/100)^Skills!K2</f>
        <v/>
      </c>
      <c r="I1383" t="inlineStr">
        <is>
          <t>1</t>
        </is>
      </c>
      <c r="J1383">
        <f>((Inputs!$B$6*(1+Inputs!$B$7/100))+(((Inputs!$B$12*(1+Inputs!$B$13/100))-(Inputs!$B$12*(1+Inputs!$B$13/100)))+0.25*(Inputs!$B$14-Inputs!$B$14))*(1+Inputs!$B$7/100))*(F1383/100)</f>
        <v/>
      </c>
      <c r="K1383">
        <f>J1383*(1+((Inputs!$B$12*(1+Inputs!$B$13/100))*0.01+Inputs!$B$14*0.0025)/100)*(1+Inputs!$B$15/100)*(1+Inputs!$B$16/100)*(5000/(6000+Inputs!$B$42*(1-(Inputs!$B$19+((C1408=TRUE)*(F1408-Calc!F27)))/100)))*(1+(Inputs!$B$24+((C1406=TRUE)*(F1406-Calc!F25))+((C1407=TRUE)*(F1407-Calc!F26))+B1420)/100)*(1+(IF(Skills!A2="ARROW_STREAM",Inputs!$B$17+((C1404=TRUE)*(F1404-Calc!F23)),Inputs!$B$18+((C1409=TRUE)*(F1409-Calc!F28))))/100)*((1+(((C1394=TRUE)*F1394)+((C1395=TRUE)*IF(Inputs!$B$38="pvp",F1395,(1-Summary!$B$55)*(F1395)+Summary!$B$55*(0)))+((C1396=TRUE)*F1396*IF(AND(Inputs!$B$38&lt;&gt;"pvp",Inputs!$B$43&gt;0),(((R1396-1)*(Skills!T15*(1+Inputs!$B$34/100))+MIN((Skills!T15*(1+Inputs!$B$34/100)),MAX(0,Inputs!$B$43-((R1396-1)*Skills!D15))))/Inputs!$B$43),IF(Inputs!$B$38="pvp",MIN((Skills!T15*(1+Inputs!$B$34/100)),15)/15,(Skills!T15*(1+Inputs!$B$34/100))/Skills!D15)))+((C1411=TRUE)*(F1411-Calc!F30)))/100)*I1383)</f>
        <v/>
      </c>
      <c r="L1383">
        <f>K1383*(MIN(Inputs!$B$22+((C1405=TRUE)*(F1405-Calc!F24)),Inputs!$B$23+((C1410=TRUE)*(F1410-Calc!F29)))/100+(Inputs!$B$23+((C1410=TRUE)*(F1410-Calc!F29)))/100)/2</f>
        <v/>
      </c>
      <c r="M1383">
        <f>L1383*(1+(Inputs!$B$10+0+B1419)/100)</f>
        <v/>
      </c>
      <c r="N1383">
        <f>L1383*(1-MIN((Inputs!$B$9+((C1401=TRUE)*(F1401-Calc!F20))+B1414),100)/100)+M1383*(MIN((Inputs!$B$9+((C1401=TRUE)*(F1401-Calc!F20))+B1414),100)/100)</f>
        <v/>
      </c>
      <c r="O1383">
        <f>(1-Summary!$B$55)*T1383+Summary!$B$55*V1383</f>
        <v/>
      </c>
      <c r="P1383">
        <f>IF(B1424=0,0,O1383/B1424)</f>
        <v/>
      </c>
      <c r="Q1383" t="n">
        <v>0</v>
      </c>
      <c r="R1383" t="n">
        <v>0</v>
      </c>
      <c r="S1383">
        <f>IFERROR(O1383/N1383,0)</f>
        <v/>
      </c>
      <c r="T1383">
        <f>IF(C1383,(Skills!G2*N1383*B1418)*IF(Inputs!$B$38="pvp",1,1+(Inputs!$B$20+0+Skills!P2)/100),0)</f>
        <v/>
      </c>
      <c r="U1383">
        <f>MAX(0,(Inputs!$B$3-100)*3)+Inputs!$B$28+Inputs!$B$29</f>
        <v/>
      </c>
      <c r="V1383">
        <f>IF(C1383,(Skills!G2*N1383*B1418)*IF(Inputs!$B$38="pvp",1,(1+(Inputs!$B$21+Skills!Q2)/100)*(MIN((6+Inputs!$B$33),Inputs!$B$37))),0)</f>
        <v/>
      </c>
    </row>
    <row r="1384">
      <c r="A1384">
        <f>Skills!A3</f>
        <v/>
      </c>
      <c r="B1384">
        <f>Skills!B3</f>
        <v/>
      </c>
      <c r="C1384">
        <f>Inputs!$B$3&gt;=50</f>
        <v/>
      </c>
      <c r="D1384">
        <f>IF(Skills!C3=1,60+Inputs!$B$25+Inputs!$B$29,IF(Skills!C3=2,90+Inputs!$B$26+Inputs!$B$29,IF(Skills!C3=3,120+Inputs!$B$27+Inputs!$B$29,MAX(0,(Inputs!$B$3-100)*3)+Inputs!$B$28+Inputs!$B$29)))</f>
        <v/>
      </c>
      <c r="E1384">
        <f>INDEX(FactorTable!$B$2:$Y$301, MATCH(ROUND(MIN(300,MAX(1,D1384)),0), FactorTable!$A$2:$A$301,0), Skills!M3+1)</f>
        <v/>
      </c>
      <c r="F1384">
        <f>IF(Skills!N3=TRUE,(Skills!L3/10)*(E1384/1000),Skills!L3/10)+Skills!O3</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U1384">
        <f>INDEX(FactorTable!$B$2:$Y$301, MATCH(ROUND(MIN(300,MAX(1,U1383)),0), FactorTable!$A$2:$A$301,0), 22)</f>
        <v/>
      </c>
      <c r="V1384" t="inlineStr"/>
    </row>
    <row r="1385">
      <c r="A1385">
        <f>Skills!A4</f>
        <v/>
      </c>
      <c r="B1385">
        <f>Skills!B4</f>
        <v/>
      </c>
      <c r="C1385">
        <f>Inputs!$B$3&gt;=105</f>
        <v/>
      </c>
      <c r="D1385">
        <f>IF(Skills!C4=1,60+Inputs!$B$25+Inputs!$B$29,IF(Skills!C4=2,90+Inputs!$B$26+Inputs!$B$29,IF(Skills!C4=3,120+Inputs!$B$27+Inputs!$B$29,MAX(0,(Inputs!$B$3-100)*3)+Inputs!$B$28+Inputs!$B$29)))</f>
        <v/>
      </c>
      <c r="E1385">
        <f>INDEX(FactorTable!$B$2:$Y$301, MATCH(ROUND(MIN(300,MAX(1,D1385)),0), FactorTable!$A$2:$A$301,0), Skills!M4+1)</f>
        <v/>
      </c>
      <c r="F1385">
        <f>IF(Skills!N4=TRUE,(Skills!L4/10)*(E1385/1000),Skills!L4/10)+Skills!O4</f>
        <v/>
      </c>
      <c r="G1385" t="inlineStr"/>
      <c r="H1385" t="inlineStr"/>
      <c r="I1385" t="inlineStr">
        <is>
          <t>1</t>
        </is>
      </c>
      <c r="J1385" t="inlineStr"/>
      <c r="K1385" t="inlineStr"/>
      <c r="L1385" t="inlineStr"/>
      <c r="M1385" t="inlineStr"/>
      <c r="N1385" t="inlineStr"/>
      <c r="O1385" t="inlineStr"/>
      <c r="P1385" t="inlineStr"/>
      <c r="Q1385" t="inlineStr"/>
      <c r="R1385" t="inlineStr"/>
      <c r="S1385" t="inlineStr"/>
      <c r="T1385" t="inlineStr"/>
      <c r="U1385">
        <f>290*U1384/1000</f>
        <v/>
      </c>
      <c r="V1385" t="inlineStr"/>
    </row>
    <row r="1386">
      <c r="A1386">
        <f>Skills!A5</f>
        <v/>
      </c>
      <c r="B1386">
        <f>Skills!B5</f>
        <v/>
      </c>
      <c r="C1386">
        <f>Inputs!$B$3&gt;=35</f>
        <v/>
      </c>
      <c r="D1386">
        <f>IF(Skills!C5=1,60+Inputs!$B$25+Inputs!$B$29,IF(Skills!C5=2,90+Inputs!$B$26+Inputs!$B$29,IF(Skills!C5=3,120+Inputs!$B$27+Inputs!$B$29,MAX(0,(Inputs!$B$3-100)*3)+Inputs!$B$28+Inputs!$B$29)))</f>
        <v/>
      </c>
      <c r="E1386">
        <f>INDEX(FactorTable!$B$2:$Y$301, MATCH(ROUND(MIN(300,MAX(1,D1386)),0), FactorTable!$A$2:$A$301,0), Skills!M5+1)</f>
        <v/>
      </c>
      <c r="F1386">
        <f>IF(Skills!N5=TRUE,(Skills!L5/10)*(E1386/1000),Skills!L5/10)+Skills!O5</f>
        <v/>
      </c>
      <c r="G1386">
        <f>Skills!G5*IF(Skills!H5&gt;0,Skills!I5/Skills!H5,1)</f>
        <v/>
      </c>
      <c r="H1386">
        <f>1-(1-Skills!J5/100)^Skills!K5</f>
        <v/>
      </c>
      <c r="I1386" t="inlineStr">
        <is>
          <t>1</t>
        </is>
      </c>
      <c r="J1386">
        <f>((Inputs!$B$6*(1+Inputs!$B$7/100))+(((Inputs!$B$12*(1+Inputs!$B$13/100))-(Inputs!$B$12*(1+Inputs!$B$13/100)))+0.25*(Inputs!$B$14-Inputs!$B$14))*(1+Inputs!$B$7/100))*(F1386/100)</f>
        <v/>
      </c>
      <c r="K1386">
        <f>J1386*(1+((Inputs!$B$12*(1+Inputs!$B$13/100))*0.01+Inputs!$B$14*0.0025)/100)*(1+Inputs!$B$15/100)*(1+Inputs!$B$16/100)*(5000/(6000+Inputs!$B$42*(1-(Inputs!$B$19+((C1408=TRUE)*(F1408-Calc!F27)))/100)))*(1+(Inputs!$B$24+((C1406=TRUE)*(F1406-Calc!F25))+((C1407=TRUE)*(F1407-Calc!F26))+B1420)/100)*(1+4.0*IF(C1391=TRUE,F1391,0)/100)*(1+(IF(Skills!A5="ARROW_STREAM",Inputs!$B$17+((C1404=TRUE)*(F1404-Calc!F23)),Inputs!$B$18+((C1409=TRUE)*(F1409-Calc!F28))))/100)*((1+(((C1394=TRUE)*F1394)+((C1395=TRUE)*IF(Inputs!$B$38="pvp",F1395,(1-Summary!$B$55)*(F1395)+Summary!$B$55*(0)))+((C1396=TRUE)*F1396*IF(AND(Inputs!$B$38&lt;&gt;"pvp",Inputs!$B$43&gt;0),(((R1396-1)*(Skills!T15*(1+Inputs!$B$34/100))+MIN((Skills!T15*(1+Inputs!$B$34/100)),MAX(0,Inputs!$B$43-((R1396-1)*Skills!D15))))/Inputs!$B$43),IF(Inputs!$B$38="pvp",MIN((Skills!T15*(1+Inputs!$B$34/100)),15)/15,(Skills!T15*(1+Inputs!$B$34/100))/Skills!D15)))+((C1411=TRUE)*(F1411-Calc!F30)))/100)*I1386)</f>
        <v/>
      </c>
      <c r="L1386">
        <f>K1386*(MIN(Inputs!$B$22+((C1405=TRUE)*(F1405-Calc!F24)),Inputs!$B$23+((C1410=TRUE)*(F1410-Calc!F29)))/100+(Inputs!$B$23+((C1410=TRUE)*(F1410-Calc!F29)))/100)/2</f>
        <v/>
      </c>
      <c r="M1386">
        <f>L1386*(1+(Inputs!$B$10+0+B1419)/100)</f>
        <v/>
      </c>
      <c r="N1386">
        <f>L1386*(1-MIN((Inputs!$B$9+((C1401=TRUE)*(F1401-Calc!F20))+B1414),100)/100)+M1386*(MIN((Inputs!$B$9+((C1401=TRUE)*(F1401-Calc!F20))+B1414),100)/100)</f>
        <v/>
      </c>
      <c r="O1386">
        <f>(1-Summary!$B$55)*T1386+Summary!$B$55*V1386</f>
        <v/>
      </c>
      <c r="P1386">
        <f>IF(B1424=0,0,O1386/B1424)</f>
        <v/>
      </c>
      <c r="Q1386">
        <f>IFERROR(1/IF(Inputs!$B$38="pvp",15,MAX(0.1,Skills!D5-IF(Skills!E5=TRUE,2.0,0))),0)</f>
        <v/>
      </c>
      <c r="R1386">
        <f>IF(AND(Inputs!$B$38&lt;&gt;"pvp",Inputs!$B$43&gt;0),IF(MAX(0,Inputs!$B$43-B1421)&lt;=0,0,(INT(MAX(0,Inputs!$B$43-B1421)/IF(Inputs!$B$38="pvp",15,MAX(0.1,Skills!D5-IF(Skills!E5=TRUE,2.0,0))))+1)),0)</f>
        <v/>
      </c>
      <c r="S1386">
        <f>IFERROR(O1386/N1386,0)</f>
        <v/>
      </c>
      <c r="T1386">
        <f>IF(C1386,(H1386*N1386*IF(AND(Inputs!$B$38&lt;&gt;"pvp",Inputs!$B$43&gt;0),((Skills!G5*((R1386-1)*IF(Skills!H5&gt;0,Skills!I5/Skills!H5,1)+IF(Skills!H5&gt;0,MIN(Skills!I5,MAX(0,MAX(0,Inputs!$B$43-B1421)-((R1386-1)*IF(Inputs!$B$38="pvp",15,MAX(0.1,Skills!D5-IF(Skills!E5=TRUE,2.0,0))))))/Skills!H5,1)))/Inputs!$B$43),G1386*Q1386))*IF(Inputs!$B$38="pvp",1,1+(Inputs!$B$20+0+Skills!P5)/100),0)</f>
        <v/>
      </c>
      <c r="V1386">
        <f>IF(C1386,(H1386*N1386*IF(AND(Inputs!$B$38&lt;&gt;"pvp",Inputs!$B$43&gt;0),((Skills!G5*((R1386-1)*IF(Skills!H5&gt;0,Skills!I5/Skills!H5,1)+IF(Skills!H5&gt;0,MIN(Skills!I5,MAX(0,MAX(0,Inputs!$B$43-B1421)-((R1386-1)*IF(Inputs!$B$38="pvp",15,MAX(0.1,Skills!D5-IF(Skills!E5=TRUE,2.0,0))))))/Skills!H5,1)))/Inputs!$B$43),G1386*Q1386))*IF(Inputs!$B$38="pvp",1,(1+(Inputs!$B$21+Skills!Q5)/100)*(MIN(Skills!R5,Inputs!$B$37))),0)</f>
        <v/>
      </c>
    </row>
    <row r="1387">
      <c r="A1387">
        <f>Skills!A6</f>
        <v/>
      </c>
      <c r="B1387">
        <f>Skills!B6</f>
        <v/>
      </c>
      <c r="C1387">
        <f>Inputs!$B$3&gt;=40</f>
        <v/>
      </c>
      <c r="D1387">
        <f>IF(Skills!C6=1,60+Inputs!$B$25+Inputs!$B$29,IF(Skills!C6=2,90+Inputs!$B$26+Inputs!$B$29,IF(Skills!C6=3,120+Inputs!$B$27+Inputs!$B$29,MAX(0,(Inputs!$B$3-100)*3)+Inputs!$B$28+Inputs!$B$29)))</f>
        <v/>
      </c>
      <c r="E1387">
        <f>INDEX(FactorTable!$B$2:$Y$301, MATCH(ROUND(MIN(300,MAX(1,D1387)),0), FactorTable!$A$2:$A$301,0), Skills!M6+1)</f>
        <v/>
      </c>
      <c r="F1387">
        <f>IF(Skills!N6=TRUE,(Skills!L6/10)*(E1387/1000),Skills!L6/10)+Skills!O6</f>
        <v/>
      </c>
      <c r="G1387">
        <f>Skills!G6*IF(Skills!H6&gt;0,Skills!I6/Skills!H6,1)</f>
        <v/>
      </c>
      <c r="H1387">
        <f>1-(1-Skills!J6/100)^Skills!K6</f>
        <v/>
      </c>
      <c r="I1387" t="inlineStr">
        <is>
          <t>1</t>
        </is>
      </c>
      <c r="J1387">
        <f>((Inputs!$B$6*(1+Inputs!$B$7/100))+(((Inputs!$B$12*(1+Inputs!$B$13/100))-(Inputs!$B$12*(1+Inputs!$B$13/100)))+0.25*(Inputs!$B$14-Inputs!$B$14))*(1+Inputs!$B$7/100))*(F1387/100)</f>
        <v/>
      </c>
      <c r="K1387">
        <f>J1387*(1+((Inputs!$B$12*(1+Inputs!$B$13/100))*0.01+Inputs!$B$14*0.0025)/100)*(1+Inputs!$B$15/100)*(1+Inputs!$B$16/100)*(5000/(6000+Inputs!$B$42*(1-(Inputs!$B$19+((C1408=TRUE)*(F1408-Calc!F27)))/100)))*(1+(Inputs!$B$24+((C1406=TRUE)*(F1406-Calc!F25))+((C1407=TRUE)*(F1407-Calc!F26))+B1420)/100)*(1+IF(C1388=TRUE,F1388,0)/100)*(1+(IF(Skills!A6="ARROW_STREAM",Inputs!$B$17+((C1404=TRUE)*(F1404-Calc!F23)),Inputs!$B$18+((C1409=TRUE)*(F1409-Calc!F28))))/100)*((1+(((C1394=TRUE)*F1394)+((C1395=TRUE)*IF(Inputs!$B$38="pvp",F1395,(1-Summary!$B$55)*(F1395)+Summary!$B$55*(0)))+((C1396=TRUE)*F1396*IF(AND(Inputs!$B$38&lt;&gt;"pvp",Inputs!$B$43&gt;0),(((R1396-1)*(Skills!T15*(1+Inputs!$B$34/100))+MIN((Skills!T15*(1+Inputs!$B$34/100)),MAX(0,Inputs!$B$43-((R1396-1)*Skills!D15))))/Inputs!$B$43),IF(Inputs!$B$38="pvp",MIN((Skills!T15*(1+Inputs!$B$34/100)),15)/15,(Skills!T15*(1+Inputs!$B$34/100))/Skills!D15)))+((C1411=TRUE)*(F1411-Calc!F30)))/100)*I1387)</f>
        <v/>
      </c>
      <c r="L1387">
        <f>K1387*(MIN(Inputs!$B$22+((C1405=TRUE)*(F1405-Calc!F24)),Inputs!$B$23+((C1410=TRUE)*(F1410-Calc!F29)))/100+(Inputs!$B$23+((C1410=TRUE)*(F1410-Calc!F29)))/100)/2</f>
        <v/>
      </c>
      <c r="M1387">
        <f>L1387*(1+(Inputs!$B$10+0+B1419)/100)</f>
        <v/>
      </c>
      <c r="N1387">
        <f>L1387*(1-MIN((Inputs!$B$9+((C1401=TRUE)*(F1401-Calc!F20))+B1414),100)/100)+M1387*(MIN((Inputs!$B$9+((C1401=TRUE)*(F1401-Calc!F20))+B1414),100)/100)</f>
        <v/>
      </c>
      <c r="O1387">
        <f>(1-Summary!$B$55)*T1387+Summary!$B$55*V1387</f>
        <v/>
      </c>
      <c r="P1387">
        <f>IF(B1424=0,0,O1387/B1424)</f>
        <v/>
      </c>
      <c r="Q1387">
        <f>IFERROR(1/IF(Inputs!$B$38="pvp",15,MAX(0.1,Skills!D6-IF(Skills!E6=TRUE,2.0,0))),0)</f>
        <v/>
      </c>
      <c r="R1387">
        <f>IF(AND(Inputs!$B$38&lt;&gt;"pvp",Inputs!$B$43&gt;0),IF(MAX(0,Inputs!$B$43-B1421)&lt;=0,0,(INT(MAX(0,Inputs!$B$43-B1421)/IF(Inputs!$B$38="pvp",15,MAX(0.1,Skills!D6-IF(Skills!E6=TRUE,2.0,0))))+1)),0)</f>
        <v/>
      </c>
      <c r="S1387">
        <f>IFERROR(O1387/N1387,0)</f>
        <v/>
      </c>
      <c r="T1387">
        <f>IF(C1387,(H1387*N1387*IF(AND(Inputs!$B$38&lt;&gt;"pvp",Inputs!$B$43&gt;0),((Skills!G6*((R1387-1)*IF(Skills!H6&gt;0,Skills!I6/Skills!H6,1)+IF(Skills!H6&gt;0,MIN(Skills!I6,MAX(0,MAX(0,Inputs!$B$43-B1421)-((R1387-1)*IF(Inputs!$B$38="pvp",15,MAX(0.1,Skills!D6-IF(Skills!E6=TRUE,2.0,0))))))/Skills!H6,1)))/Inputs!$B$43),G1387*Q1387))*IF(Inputs!$B$38="pvp",1,1+(Inputs!$B$20+0+Skills!P6)/100),0)</f>
        <v/>
      </c>
      <c r="V1387">
        <f>IF(C1387,(H1387*N1387*IF(AND(Inputs!$B$38&lt;&gt;"pvp",Inputs!$B$43&gt;0),((Skills!G6*((R1387-1)*IF(Skills!H6&gt;0,Skills!I6/Skills!H6,1)+IF(Skills!H6&gt;0,MIN(Skills!I6,MAX(0,MAX(0,Inputs!$B$43-B1421)-((R1387-1)*IF(Inputs!$B$38="pvp",15,MAX(0.1,Skills!D6-IF(Skills!E6=TRUE,2.0,0))))))/Skills!H6,1)))/Inputs!$B$43),G1387*Q1387))*IF(Inputs!$B$38="pvp",1,(1+(Inputs!$B$21+Skills!Q6)/100)*(MIN(Skills!R6,Inputs!$B$37))),0)</f>
        <v/>
      </c>
    </row>
    <row r="1388">
      <c r="A1388">
        <f>Skills!A7</f>
        <v/>
      </c>
      <c r="B1388">
        <f>Skills!B7</f>
        <v/>
      </c>
      <c r="C1388">
        <f>Inputs!$B$3&gt;=107</f>
        <v/>
      </c>
      <c r="D1388">
        <f>IF(Skills!C7=1,60+Inputs!$B$25+Inputs!$B$29,IF(Skills!C7=2,90+Inputs!$B$26+Inputs!$B$29,IF(Skills!C7=3,120+Inputs!$B$27+Inputs!$B$29,MAX(0,(Inputs!$B$3-100)*3)+Inputs!$B$28+Inputs!$B$29)))</f>
        <v/>
      </c>
      <c r="E1388">
        <f>INDEX(FactorTable!$B$2:$Y$301, MATCH(ROUND(MIN(300,MAX(1,D1388)),0), FactorTable!$A$2:$A$301,0), Skills!M7+1)</f>
        <v/>
      </c>
      <c r="F1388">
        <f>IF(Skills!N7=TRUE,(Skills!L7/10)*(E1388/1000),Skills!L7/10)+Skills!O7</f>
        <v/>
      </c>
      <c r="G1388" t="inlineStr"/>
      <c r="H1388" t="inlineStr"/>
      <c r="I1388" t="inlineStr">
        <is>
          <t>1</t>
        </is>
      </c>
      <c r="J1388" t="inlineStr"/>
      <c r="K1388" t="inlineStr"/>
      <c r="L1388" t="inlineStr"/>
      <c r="M1388" t="inlineStr"/>
      <c r="N1388" t="inlineStr"/>
      <c r="O1388" t="inlineStr"/>
      <c r="P1388" t="inlineStr"/>
      <c r="Q1388" t="inlineStr"/>
      <c r="R1388" t="inlineStr"/>
      <c r="S1388" t="inlineStr"/>
      <c r="T1388" t="inlineStr"/>
      <c r="V1388" t="inlineStr"/>
    </row>
    <row r="1389">
      <c r="A1389">
        <f>Skills!A8</f>
        <v/>
      </c>
      <c r="B1389">
        <f>Skills!B8</f>
        <v/>
      </c>
      <c r="C1389">
        <f>Inputs!$B$3&gt;=69</f>
        <v/>
      </c>
      <c r="D1389">
        <f>IF(Skills!C8=1,60+Inputs!$B$25+Inputs!$B$29,IF(Skills!C8=2,90+Inputs!$B$26+Inputs!$B$29,IF(Skills!C8=3,120+Inputs!$B$27+Inputs!$B$29,MAX(0,(Inputs!$B$3-100)*3)+Inputs!$B$28+Inputs!$B$29)))</f>
        <v/>
      </c>
      <c r="E1389">
        <f>INDEX(FactorTable!$B$2:$Y$301, MATCH(ROUND(MIN(300,MAX(1,D1389)),0), FactorTable!$A$2:$A$301,0), Skills!M8+1)</f>
        <v/>
      </c>
      <c r="F1389">
        <f>IF(Skills!N8=TRUE,(Skills!L8/10)*(E1389/1000),Skills!L8/10)+Skills!O8</f>
        <v/>
      </c>
      <c r="G1389">
        <f>Skills!G8*IF(Skills!H8&gt;0,Skills!I8/Skills!H8,1)</f>
        <v/>
      </c>
      <c r="H1389">
        <f>1-(1-Skills!J8/100)^Skills!K8</f>
        <v/>
      </c>
      <c r="I1389" t="inlineStr">
        <is>
          <t>1</t>
        </is>
      </c>
      <c r="J1389">
        <f>((Inputs!$B$6*(1+Inputs!$B$7/100))+(((Inputs!$B$12*(1+Inputs!$B$13/100))-(Inputs!$B$12*(1+Inputs!$B$13/100)))+0.25*(Inputs!$B$14-Inputs!$B$14))*(1+Inputs!$B$7/100))*(F1389/100)</f>
        <v/>
      </c>
      <c r="K1389">
        <f>J1389*(1+((Inputs!$B$12*(1+Inputs!$B$13/100))*0.01+Inputs!$B$14*0.0025)/100)*(1+Inputs!$B$15/100)*(1+Inputs!$B$16/100)*(5000/(6000+Inputs!$B$42*(1-(Inputs!$B$19+((C1408=TRUE)*(F1408-Calc!F27)))/100)))*(1+(Inputs!$B$24+((C1406=TRUE)*(F1406-Calc!F25))+((C1407=TRUE)*(F1407-Calc!F26))+B1420)/100)*(1+1.2*IF(C1391=TRUE,F1391,0)/100)*(1+(IF(Skills!A8="ARROW_STREAM",Inputs!$B$17+((C1404=TRUE)*(F1404-Calc!F23)),Inputs!$B$18+((C1409=TRUE)*(F1409-Calc!F28))))/100)*((1+(((C1394=TRUE)*F1394)+((C1395=TRUE)*IF(Inputs!$B$38="pvp",F1395,(1-Summary!$B$55)*(F1395)+Summary!$B$55*(0)))+((C1396=TRUE)*F1396*IF(AND(Inputs!$B$38&lt;&gt;"pvp",Inputs!$B$43&gt;0),(((R1396-1)*(Skills!T15*(1+Inputs!$B$34/100))+MIN((Skills!T15*(1+Inputs!$B$34/100)),MAX(0,Inputs!$B$43-((R1396-1)*Skills!D15))))/Inputs!$B$43),IF(Inputs!$B$38="pvp",MIN((Skills!T15*(1+Inputs!$B$34/100)),15)/15,(Skills!T15*(1+Inputs!$B$34/100))/Skills!D15)))+((C1411=TRUE)*(F1411-Calc!F30)))/100)*I1389)</f>
        <v/>
      </c>
      <c r="L1389">
        <f>K1389*(MIN(Inputs!$B$22+((C1405=TRUE)*(F1405-Calc!F24)),Inputs!$B$23+((C1410=TRUE)*(F1410-Calc!F29)))/100+(Inputs!$B$23+((C1410=TRUE)*(F1410-Calc!F29)))/100)/2</f>
        <v/>
      </c>
      <c r="M1389">
        <f>L1389*(1+(Inputs!$B$10+0+B1419)/100)</f>
        <v/>
      </c>
      <c r="N1389">
        <f>L1389*(1-MIN((Inputs!$B$9+((C1401=TRUE)*(F1401-Calc!F20))+B1414),100)/100)+M1389*(MIN((Inputs!$B$9+((C1401=TRUE)*(F1401-Calc!F20))+B1414),100)/100)</f>
        <v/>
      </c>
      <c r="O1389">
        <f>(1-Summary!$B$55)*T1389+Summary!$B$55*V1389</f>
        <v/>
      </c>
      <c r="P1389">
        <f>IF(B1424=0,0,O1389/B1424)</f>
        <v/>
      </c>
      <c r="Q1389">
        <f>IFERROR(1/IF(Inputs!$B$38="pvp",15,MAX(0.1,Skills!D8-IF(Skills!E8=TRUE,2.0,0))),0)</f>
        <v/>
      </c>
      <c r="R1389">
        <f>IF(AND(Inputs!$B$38&lt;&gt;"pvp",Inputs!$B$43&gt;0),IF(MAX(0,Inputs!$B$43-B1421)&lt;=0,0,(INT(MAX(0,Inputs!$B$43-B1421)/IF(Inputs!$B$38="pvp",15,MAX(0.1,Skills!D8-IF(Skills!E8=TRUE,2.0,0))))+1)),0)</f>
        <v/>
      </c>
      <c r="S1389">
        <f>IFERROR(O1389/N1389,0)</f>
        <v/>
      </c>
      <c r="T1389">
        <f>IF(C1389,(H1389*N1389*IF(AND(Inputs!$B$38&lt;&gt;"pvp",Inputs!$B$43&gt;0),((Skills!G8*((R1389-1)*IF(Skills!H8&gt;0,Skills!I8/Skills!H8,1)+IF(Skills!H8&gt;0,MIN(Skills!I8,MAX(0,MAX(0,Inputs!$B$43-B1421)-((R1389-1)*IF(Inputs!$B$38="pvp",15,MAX(0.1,Skills!D8-IF(Skills!E8=TRUE,2.0,0))))))/Skills!H8,1)))/Inputs!$B$43),G1389*Q1389))*IF(Inputs!$B$38="pvp",1,1+(Inputs!$B$20+0+Skills!P8)/100),0)</f>
        <v/>
      </c>
      <c r="V1389">
        <f>IF(C1389,(H1389*N1389*IF(AND(Inputs!$B$38&lt;&gt;"pvp",Inputs!$B$43&gt;0),((Skills!G8*((R1389-1)*IF(Skills!H8&gt;0,Skills!I8/Skills!H8,1)+IF(Skills!H8&gt;0,MIN(Skills!I8,MAX(0,MAX(0,Inputs!$B$43-B1421)-((R1389-1)*IF(Inputs!$B$38="pvp",15,MAX(0.1,Skills!D8-IF(Skills!E8=TRUE,2.0,0))))))/Skills!H8,1)))/Inputs!$B$43),G1389*Q1389))*IF(Inputs!$B$38="pvp",1,(1+(Inputs!$B$21+Skills!Q8)/100)*(MIN(Skills!R8,Inputs!$B$37))),0)</f>
        <v/>
      </c>
    </row>
    <row r="1390">
      <c r="A1390">
        <f>Skills!A9</f>
        <v/>
      </c>
      <c r="B1390">
        <f>Skills!B9</f>
        <v/>
      </c>
      <c r="C1390">
        <f>Inputs!$B$3&gt;=63</f>
        <v/>
      </c>
      <c r="D1390">
        <f>IF(Skills!C9=1,60+Inputs!$B$25+Inputs!$B$29,IF(Skills!C9=2,90+Inputs!$B$26+Inputs!$B$29,IF(Skills!C9=3,120+Inputs!$B$27+Inputs!$B$29,MAX(0,(Inputs!$B$3-100)*3)+Inputs!$B$28+Inputs!$B$29)))</f>
        <v/>
      </c>
      <c r="E1390">
        <f>INDEX(FactorTable!$B$2:$Y$301, MATCH(ROUND(MIN(300,MAX(1,D1390)),0), FactorTable!$A$2:$A$301,0), Skills!M9+1)</f>
        <v/>
      </c>
      <c r="F1390">
        <f>IF(Skills!N9=TRUE,(Skills!L9/10)*(E1390/1000),Skills!L9/10)+Skills!O9</f>
        <v/>
      </c>
      <c r="G1390">
        <f>Skills!G9*IF(Skills!H9&gt;0,Skills!I9/Skills!H9,1)</f>
        <v/>
      </c>
      <c r="H1390">
        <f>1-(1-Skills!J9/100)^Skills!K9</f>
        <v/>
      </c>
      <c r="I1390" t="inlineStr">
        <is>
          <t>1</t>
        </is>
      </c>
      <c r="J1390">
        <f>((Inputs!$B$6*(1+Inputs!$B$7/100))+(((Inputs!$B$12*(1+Inputs!$B$13/100))-(Inputs!$B$12*(1+Inputs!$B$13/100)))+0.25*(Inputs!$B$14-Inputs!$B$14))*(1+Inputs!$B$7/100))*(F1390/100)</f>
        <v/>
      </c>
      <c r="K1390">
        <f>J1390*(1+((Inputs!$B$12*(1+Inputs!$B$13/100))*0.01+Inputs!$B$14*0.0025)/100)*(1+Inputs!$B$15/100)*(1+Inputs!$B$16/100)*(5000/(6000+Inputs!$B$42*(1-(Inputs!$B$19+((C1408=TRUE)*(F1408-Calc!F27)))/100)))*(1+(Inputs!$B$24+((C1406=TRUE)*(F1406-Calc!F25))+((C1407=TRUE)*(F1407-Calc!F26))+B1420)/100)*(1+1.0*IF(C1391=TRUE,F1391,0)/100)*(1+(IF(Skills!A9="ARROW_STREAM",Inputs!$B$17+((C1404=TRUE)*(F1404-Calc!F23)),Inputs!$B$18+((C1409=TRUE)*(F1409-Calc!F28))))/100)*((1+(((C1394=TRUE)*F1394)+((C1395=TRUE)*IF(Inputs!$B$38="pvp",F1395,(1-Summary!$B$55)*(F1395)+Summary!$B$55*(0)))+((C1396=TRUE)*F1396*IF(AND(Inputs!$B$38&lt;&gt;"pvp",Inputs!$B$43&gt;0),(((R1396-1)*(Skills!T15*(1+Inputs!$B$34/100))+MIN((Skills!T15*(1+Inputs!$B$34/100)),MAX(0,Inputs!$B$43-((R1396-1)*Skills!D15))))/Inputs!$B$43),IF(Inputs!$B$38="pvp",MIN((Skills!T15*(1+Inputs!$B$34/100)),15)/15,(Skills!T15*(1+Inputs!$B$34/100))/Skills!D15)))+((C1411=TRUE)*(F1411-Calc!F30)))/100)*I1390)</f>
        <v/>
      </c>
      <c r="L1390">
        <f>K1390*(MIN(Inputs!$B$22+((C1405=TRUE)*(F1405-Calc!F24)),Inputs!$B$23+((C1410=TRUE)*(F1410-Calc!F29)))/100+(Inputs!$B$23+((C1410=TRUE)*(F1410-Calc!F29)))/100)/2</f>
        <v/>
      </c>
      <c r="M1390">
        <f>L1390*(1+(Inputs!$B$10+0+B1419)/100)</f>
        <v/>
      </c>
      <c r="N1390">
        <f>L1390*(1-MIN((Inputs!$B$9+((C1401=TRUE)*(F1401-Calc!F20))+B1414),100)/100)+M1390*(MIN((Inputs!$B$9+((C1401=TRUE)*(F1401-Calc!F20))+B1414),100)/100)</f>
        <v/>
      </c>
      <c r="O1390">
        <f>(1-Summary!$B$55)*T1390+Summary!$B$55*V1390</f>
        <v/>
      </c>
      <c r="P1390">
        <f>IF(B1424=0,0,O1390/B1424)</f>
        <v/>
      </c>
      <c r="Q1390">
        <f>IFERROR(1/IF(Inputs!$B$38="pvp",15,MAX(0.1,Skills!D9-IF(Skills!E9=TRUE,2.0,0))),0)</f>
        <v/>
      </c>
      <c r="R1390">
        <f>IF(AND(Inputs!$B$38&lt;&gt;"pvp",Inputs!$B$43&gt;0),IF(MAX(0,Inputs!$B$43-B1421)&lt;=0,0,(INT(MAX(0,Inputs!$B$43-B1421)/IF(Inputs!$B$38="pvp",15,MAX(0.1,Skills!D9-IF(Skills!E9=TRUE,2.0,0))))+1)),0)</f>
        <v/>
      </c>
      <c r="S1390">
        <f>IFERROR(O1390/N1390,0)</f>
        <v/>
      </c>
      <c r="T1390">
        <f>IF(C1390,(H1390*N1390*IF(AND(Inputs!$B$38&lt;&gt;"pvp",Inputs!$B$43&gt;0),((Skills!G9*((R1390-1)*IF(Skills!H9&gt;0,Skills!I9/Skills!H9,1)+IF(Skills!H9&gt;0,MIN(Skills!I9,MAX(0,MAX(0,Inputs!$B$43-B1421)-((R1390-1)*IF(Inputs!$B$38="pvp",15,MAX(0.1,Skills!D9-IF(Skills!E9=TRUE,2.0,0))))))/Skills!H9,1)))/Inputs!$B$43),G1390*Q1390))*IF(Inputs!$B$38="pvp",1,1+(Inputs!$B$20+0+Skills!P9)/100),0)</f>
        <v/>
      </c>
      <c r="V1390">
        <f>IF(C1390,(H1390*N1390*IF(AND(Inputs!$B$38&lt;&gt;"pvp",Inputs!$B$43&gt;0),((Skills!G9*((R1390-1)*IF(Skills!H9&gt;0,Skills!I9/Skills!H9,1)+IF(Skills!H9&gt;0,MIN(Skills!I9,MAX(0,MAX(0,Inputs!$B$43-B1421)-((R1390-1)*IF(Inputs!$B$38="pvp",15,MAX(0.1,Skills!D9-IF(Skills!E9=TRUE,2.0,0))))))/Skills!H9,1)))/Inputs!$B$43),G1390*Q1390))*IF(Inputs!$B$38="pvp",1,(1+(Inputs!$B$21+Skills!Q9)/100)*(MIN(Skills!R9,Inputs!$B$37))),0)</f>
        <v/>
      </c>
    </row>
    <row r="1391">
      <c r="A1391">
        <f>Skills!A10</f>
        <v/>
      </c>
      <c r="B1391">
        <f>Skills!B10</f>
        <v/>
      </c>
      <c r="C1391">
        <f>Inputs!$B$3&gt;=100</f>
        <v/>
      </c>
      <c r="D1391">
        <f>IF(Skills!C10=1,60+Inputs!$B$25+Inputs!$B$29,IF(Skills!C10=2,90+Inputs!$B$26+Inputs!$B$29,IF(Skills!C10=3,120+Inputs!$B$27+Inputs!$B$29,MAX(0,(Inputs!$B$3-100)*3)+Inputs!$B$28+Inputs!$B$29)))</f>
        <v/>
      </c>
      <c r="E1391">
        <f>INDEX(FactorTable!$B$2:$Y$301, MATCH(ROUND(MIN(300,MAX(1,D1391)),0), FactorTable!$A$2:$A$301,0), Skills!M10+1)</f>
        <v/>
      </c>
      <c r="F1391">
        <f>IF(Skills!N10=TRUE,(Skills!L10/10)*(E1391/1000),Skills!L10/10)+Skills!O10</f>
        <v/>
      </c>
      <c r="G1391" t="inlineStr"/>
      <c r="H1391" t="inlineStr"/>
      <c r="I1391" t="inlineStr">
        <is>
          <t>1</t>
        </is>
      </c>
      <c r="J1391" t="inlineStr"/>
      <c r="K1391" t="inlineStr"/>
      <c r="L1391" t="inlineStr"/>
      <c r="M1391" t="inlineStr"/>
      <c r="N1391" t="inlineStr"/>
      <c r="O1391" t="inlineStr"/>
      <c r="P1391" t="inlineStr"/>
      <c r="Q1391" t="inlineStr"/>
      <c r="R1391" t="inlineStr"/>
      <c r="S1391" t="inlineStr"/>
      <c r="T1391" t="inlineStr"/>
      <c r="V1391" t="inlineStr"/>
    </row>
    <row r="1392">
      <c r="A1392">
        <f>Skills!A11</f>
        <v/>
      </c>
      <c r="B1392">
        <f>Skills!B11</f>
        <v/>
      </c>
      <c r="C1392">
        <f>Inputs!$B$3&gt;=60</f>
        <v/>
      </c>
      <c r="D1392">
        <f>IF(Skills!C11=1,60+Inputs!$B$25+Inputs!$B$29,IF(Skills!C11=2,90+Inputs!$B$26+Inputs!$B$29,IF(Skills!C11=3,120+Inputs!$B$27+Inputs!$B$29,MAX(0,(Inputs!$B$3-100)*3)+Inputs!$B$28+Inputs!$B$29)))</f>
        <v/>
      </c>
      <c r="E1392">
        <f>INDEX(FactorTable!$B$2:$Y$301, MATCH(ROUND(MIN(300,MAX(1,D1392)),0), FactorTable!$A$2:$A$301,0), Skills!M11+1)</f>
        <v/>
      </c>
      <c r="F1392">
        <f>IF(Skills!N11=TRUE,(Skills!L11/10)*(E1392/1000),Skills!L11/10)+Skills!O11</f>
        <v/>
      </c>
      <c r="G1392">
        <f>Skills!G11*IF(Skills!H11&gt;0,Skills!I11/Skills!H11,1)</f>
        <v/>
      </c>
      <c r="H1392">
        <f>1-(1-Skills!J11/100)^Skills!K11</f>
        <v/>
      </c>
      <c r="I1392" t="inlineStr">
        <is>
          <t>1</t>
        </is>
      </c>
      <c r="J1392">
        <f>((Inputs!$B$6*(1+Inputs!$B$7/100))+(((Inputs!$B$12*(1+Inputs!$B$13/100))-(Inputs!$B$12*(1+Inputs!$B$13/100)))+0.25*(Inputs!$B$14-Inputs!$B$14))*(1+Inputs!$B$7/100))*(F1392/100)</f>
        <v/>
      </c>
      <c r="K1392">
        <f>J1392*(1+((Inputs!$B$12*(1+Inputs!$B$13/100))*0.01+Inputs!$B$14*0.0025)/100)*(1+Inputs!$B$15/100)*(1+Inputs!$B$16/100)*(5000/(6000+Inputs!$B$42*(1-(Inputs!$B$19+((C1408=TRUE)*(F1408-Calc!F27)))/100)))*(1+(Inputs!$B$24+((C1406=TRUE)*(F1406-Calc!F25))+((C1407=TRUE)*(F1407-Calc!F26))+B1420)/100)*(1+IF(C1393=TRUE,F1393,0)/100)*(1+(IF(Skills!A11="ARROW_STREAM",Inputs!$B$17+((C1404=TRUE)*(F1404-Calc!F23)),Inputs!$B$18+((C1409=TRUE)*(F1409-Calc!F28))))/100)*((1+(((C1394=TRUE)*F1394)+((C1395=TRUE)*IF(Inputs!$B$38="pvp",F1395,(1-Summary!$B$55)*(F1395)+Summary!$B$55*(0)))+((C1396=TRUE)*F1396*IF(AND(Inputs!$B$38&lt;&gt;"pvp",Inputs!$B$43&gt;0),(((R1396-1)*(Skills!T15*(1+Inputs!$B$34/100))+MIN((Skills!T15*(1+Inputs!$B$34/100)),MAX(0,Inputs!$B$43-((R1396-1)*Skills!D15))))/Inputs!$B$43),IF(Inputs!$B$38="pvp",MIN((Skills!T15*(1+Inputs!$B$34/100)),15)/15,(Skills!T15*(1+Inputs!$B$34/100))/Skills!D15)))+((C1411=TRUE)*(F1411-Calc!F30)))/100)*I1392)</f>
        <v/>
      </c>
      <c r="L1392">
        <f>K1392*(MIN(Inputs!$B$22+((C1405=TRUE)*(F1405-Calc!F24)),Inputs!$B$23+((C1410=TRUE)*(F1410-Calc!F29)))/100+(Inputs!$B$23+((C1410=TRUE)*(F1410-Calc!F29)))/100)/2</f>
        <v/>
      </c>
      <c r="M1392">
        <f>L1392*(1+(Inputs!$B$10+0+B1419)/100)</f>
        <v/>
      </c>
      <c r="N1392">
        <f>L1392*(1-MIN((Inputs!$B$9+((C1401=TRUE)*(F1401-Calc!F20))+B1414),100)/100)+M1392*(MIN((Inputs!$B$9+((C1401=TRUE)*(F1401-Calc!F20))+B1414),100)/100)</f>
        <v/>
      </c>
      <c r="O1392">
        <f>(1-Summary!$B$55)*T1392+Summary!$B$55*V1392</f>
        <v/>
      </c>
      <c r="P1392">
        <f>IF(B1424=0,0,O1392/B1424)</f>
        <v/>
      </c>
      <c r="Q1392">
        <f>IFERROR(1/IF(Inputs!$B$38="pvp",15,MAX(0.1,Skills!D11-IF(Skills!E11=TRUE,2.0,0))),0)</f>
        <v/>
      </c>
      <c r="R1392">
        <f>IF(AND(Inputs!$B$38&lt;&gt;"pvp",Inputs!$B$43&gt;0),IF(MAX(0,Inputs!$B$43-B1421)&lt;=0,0,(INT(MAX(0,Inputs!$B$43-B1421)/IF(Inputs!$B$38="pvp",15,MAX(0.1,Skills!D11-IF(Skills!E11=TRUE,2.0,0))))+1)),0)</f>
        <v/>
      </c>
      <c r="S1392">
        <f>IFERROR(O1392/N1392,0)</f>
        <v/>
      </c>
      <c r="T1392">
        <f>IF(C1392,(H1392*N1392*IF(AND(Inputs!$B$38&lt;&gt;"pvp",Inputs!$B$43&gt;0),((Skills!G11*((R1392-1)*IF(Skills!H11&gt;0,Skills!I11/Skills!H11,1)+IF(Skills!H11&gt;0,MIN(Skills!I11,MAX(0,MAX(0,Inputs!$B$43-B1421)-((R1392-1)*IF(Inputs!$B$38="pvp",15,MAX(0.1,Skills!D11-IF(Skills!E11=TRUE,2.0,0))))))/Skills!H11,1)))/Inputs!$B$43),G1392*Q1392))*IF(Inputs!$B$38="pvp",1,1+(Inputs!$B$20+0+Skills!P11)/100),0)</f>
        <v/>
      </c>
      <c r="V1392">
        <f>IF(C1392,(H1392*N1392*IF(AND(Inputs!$B$38&lt;&gt;"pvp",Inputs!$B$43&gt;0),((Skills!G11*((R1392-1)*IF(Skills!H11&gt;0,Skills!I11/Skills!H11,1)+IF(Skills!H11&gt;0,MIN(Skills!I11,MAX(0,MAX(0,Inputs!$B$43-B1421)-((R1392-1)*IF(Inputs!$B$38="pvp",15,MAX(0.1,Skills!D11-IF(Skills!E11=TRUE,2.0,0))))))/Skills!H11,1)))/Inputs!$B$43),G1392*Q1392))*IF(Inputs!$B$38="pvp",1,(1+(Inputs!$B$21+Skills!Q11)/100)*(MIN(Skills!R11,Inputs!$B$37))),0)</f>
        <v/>
      </c>
    </row>
    <row r="1393">
      <c r="A1393">
        <f>Skills!A12</f>
        <v/>
      </c>
      <c r="B1393">
        <f>Skills!B12</f>
        <v/>
      </c>
      <c r="C1393">
        <f>Inputs!$B$3&gt;=110</f>
        <v/>
      </c>
      <c r="D1393">
        <f>IF(Skills!C12=1,60+Inputs!$B$25+Inputs!$B$29,IF(Skills!C12=2,90+Inputs!$B$26+Inputs!$B$29,IF(Skills!C12=3,120+Inputs!$B$27+Inputs!$B$29,MAX(0,(Inputs!$B$3-100)*3)+Inputs!$B$28+Inputs!$B$29)))</f>
        <v/>
      </c>
      <c r="E1393">
        <f>INDEX(FactorTable!$B$2:$Y$301, MATCH(ROUND(MIN(300,MAX(1,D1393)),0), FactorTable!$A$2:$A$301,0), Skills!M12+1)</f>
        <v/>
      </c>
      <c r="F1393">
        <f>IF(Skills!N12=TRUE,(Skills!L12/10)*(E1393/1000),Skills!L12/10)+Skills!O12</f>
        <v/>
      </c>
      <c r="G1393" t="inlineStr"/>
      <c r="H1393" t="inlineStr"/>
      <c r="I1393" t="inlineStr">
        <is>
          <t>1</t>
        </is>
      </c>
      <c r="J1393" t="inlineStr"/>
      <c r="K1393" t="inlineStr"/>
      <c r="L1393" t="inlineStr"/>
      <c r="M1393" t="inlineStr"/>
      <c r="N1393" t="inlineStr"/>
      <c r="O1393" t="inlineStr"/>
      <c r="P1393" t="inlineStr"/>
      <c r="Q1393" t="inlineStr"/>
      <c r="R1393" t="inlineStr"/>
      <c r="S1393" t="inlineStr"/>
      <c r="T1393" t="inlineStr"/>
      <c r="V1393" t="inlineStr"/>
    </row>
    <row r="1394">
      <c r="A1394">
        <f>Skills!A13</f>
        <v/>
      </c>
      <c r="B1394">
        <f>Skills!B13</f>
        <v/>
      </c>
      <c r="C1394">
        <f>Inputs!$B$3&gt;=74</f>
        <v/>
      </c>
      <c r="D1394">
        <f>IF(Skills!C13=1,60+Inputs!$B$25+Inputs!$B$29,IF(Skills!C13=2,90+Inputs!$B$26+Inputs!$B$29,IF(Skills!C13=3,120+Inputs!$B$27+Inputs!$B$29,MAX(0,(Inputs!$B$3-100)*3)+Inputs!$B$28+Inputs!$B$29)))</f>
        <v/>
      </c>
      <c r="E1394">
        <f>INDEX(FactorTable!$B$2:$Y$301, MATCH(ROUND(MIN(300,MAX(1,D1394)),0), FactorTable!$A$2:$A$301,0), Skills!M13+1)</f>
        <v/>
      </c>
      <c r="F1394">
        <f>IF(Skills!N13=TRUE,(Skills!L13/10)*(E1394/1000),Skills!L13/10)+Skills!O13</f>
        <v/>
      </c>
      <c r="G1394">
        <f>Skills!G13*IF(Skills!H13&gt;0,Skills!I13/Skills!H13,1)</f>
        <v/>
      </c>
      <c r="H1394">
        <f>1-(1-Skills!J13/100)^Skills!K13</f>
        <v/>
      </c>
      <c r="I1394" t="inlineStr">
        <is>
          <t>1</t>
        </is>
      </c>
      <c r="J1394" t="inlineStr"/>
      <c r="K1394" t="inlineStr"/>
      <c r="L1394" t="inlineStr"/>
      <c r="M1394" t="inlineStr"/>
      <c r="N1394" t="inlineStr"/>
      <c r="O1394">
        <f>(1-Summary!$B$55)*T1394+Summary!$B$55*V1394</f>
        <v/>
      </c>
      <c r="P1394">
        <f>IF(B1424=0,0,O1394/B1424)</f>
        <v/>
      </c>
      <c r="Q1394" t="n">
        <v>0</v>
      </c>
      <c r="R1394" t="n">
        <v>0</v>
      </c>
      <c r="S1394">
        <f>IFERROR(O1394/N1394,0)</f>
        <v/>
      </c>
      <c r="T1394" t="n">
        <v>0</v>
      </c>
      <c r="V1394" t="n">
        <v>0</v>
      </c>
    </row>
    <row r="1395">
      <c r="A1395">
        <f>Skills!A14</f>
        <v/>
      </c>
      <c r="B1395">
        <f>Skills!B14</f>
        <v/>
      </c>
      <c r="C1395">
        <f>Inputs!$B$3&gt;=74</f>
        <v/>
      </c>
      <c r="D1395">
        <f>IF(Skills!C14=1,60+Inputs!$B$25+Inputs!$B$29,IF(Skills!C14=2,90+Inputs!$B$26+Inputs!$B$29,IF(Skills!C14=3,120+Inputs!$B$27+Inputs!$B$29,MAX(0,(Inputs!$B$3-100)*3)+Inputs!$B$28+Inputs!$B$29)))</f>
        <v/>
      </c>
      <c r="E1395">
        <f>INDEX(FactorTable!$B$2:$Y$301, MATCH(ROUND(MIN(300,MAX(1,D1395)),0), FactorTable!$A$2:$A$301,0), Skills!M14+1)</f>
        <v/>
      </c>
      <c r="F1395">
        <f>IF(Skills!N14=TRUE,(Skills!L14/10)*(E1395/1000),Skills!L14/10)+Skills!O14</f>
        <v/>
      </c>
      <c r="G1395">
        <f>Skills!G14*IF(Skills!H14&gt;0,Skills!I14/Skills!H14,1)</f>
        <v/>
      </c>
      <c r="H1395">
        <f>1-(1-Skills!J14/100)^Skills!K14</f>
        <v/>
      </c>
      <c r="I1395" t="inlineStr">
        <is>
          <t>1</t>
        </is>
      </c>
      <c r="J1395" t="inlineStr"/>
      <c r="K1395" t="inlineStr"/>
      <c r="L1395" t="inlineStr"/>
      <c r="M1395" t="inlineStr"/>
      <c r="N1395" t="inlineStr"/>
      <c r="O1395">
        <f>(1-Summary!$B$55)*T1395+Summary!$B$55*V1395</f>
        <v/>
      </c>
      <c r="P1395">
        <f>IF(B1424=0,0,O1395/B1424)</f>
        <v/>
      </c>
      <c r="Q1395" t="n">
        <v>0</v>
      </c>
      <c r="R1395" t="n">
        <v>0</v>
      </c>
      <c r="S1395">
        <f>IFERROR(O1395/N1395,0)</f>
        <v/>
      </c>
      <c r="T1395" t="n">
        <v>0</v>
      </c>
      <c r="V1395" t="n">
        <v>0</v>
      </c>
    </row>
    <row r="1396">
      <c r="A1396">
        <f>Skills!A15</f>
        <v/>
      </c>
      <c r="B1396">
        <f>Skills!B15</f>
        <v/>
      </c>
      <c r="C1396">
        <f>Inputs!$B$3&gt;=117</f>
        <v/>
      </c>
      <c r="D1396">
        <f>IF(Skills!C15=1,60+Inputs!$B$25+Inputs!$B$29,IF(Skills!C15=2,90+Inputs!$B$26+Inputs!$B$29,IF(Skills!C15=3,120+Inputs!$B$27+Inputs!$B$29,MAX(0,(Inputs!$B$3-100)*3)+Inputs!$B$28+Inputs!$B$29)))</f>
        <v/>
      </c>
      <c r="E1396">
        <f>INDEX(FactorTable!$B$2:$Y$301, MATCH(ROUND(MIN(300,MAX(1,D1396)),0), FactorTable!$A$2:$A$301,0), Skills!M15+1)</f>
        <v/>
      </c>
      <c r="F1396">
        <f>IF(Skills!N15=TRUE,(Skills!L15/10)*(E1396/1000),Skills!L15/10)+Skills!O15</f>
        <v/>
      </c>
      <c r="G1396">
        <f>Skills!G15*IF(Skills!H15&gt;0,Skills!I15/Skills!H15,1)</f>
        <v/>
      </c>
      <c r="H1396">
        <f>1-(1-Skills!J15/100)^Skills!K15</f>
        <v/>
      </c>
      <c r="I1396" t="inlineStr">
        <is>
          <t>1</t>
        </is>
      </c>
      <c r="J1396" t="inlineStr"/>
      <c r="K1396" t="inlineStr"/>
      <c r="L1396" t="inlineStr"/>
      <c r="M1396" t="inlineStr"/>
      <c r="N1396" t="inlineStr"/>
      <c r="O1396">
        <f>(1-Summary!$B$55)*T1396+Summary!$B$55*V1396</f>
        <v/>
      </c>
      <c r="P1396">
        <f>IF(B1424=0,0,O1396/B1424)</f>
        <v/>
      </c>
      <c r="Q1396">
        <f>IFERROR(1/IF(Inputs!$B$38="pvp",15,MAX(0.1,Skills!D15-IF(Skills!E15=TRUE,2.0,0))),0)</f>
        <v/>
      </c>
      <c r="R1396">
        <f>IF(AND(Inputs!$B$38&lt;&gt;"pvp",Inputs!$B$43&gt;0),IF(Inputs!$B$43&lt;=0,0,(INT(Inputs!$B$43/IF(Inputs!$B$38="pvp",15,MAX(0.1,Skills!D15-IF(Skills!E15=TRUE,2.0,0))))+1)),0)</f>
        <v/>
      </c>
      <c r="S1396">
        <f>IFERROR(O1396/N1396,0)</f>
        <v/>
      </c>
      <c r="T1396" t="n">
        <v>0</v>
      </c>
      <c r="V1396" t="n">
        <v>0</v>
      </c>
    </row>
    <row r="1397">
      <c r="A1397">
        <f>Skills!A16</f>
        <v/>
      </c>
      <c r="B1397">
        <f>Skills!B16</f>
        <v/>
      </c>
      <c r="C1397">
        <f>Inputs!$B$3&gt;=115</f>
        <v/>
      </c>
      <c r="D1397">
        <f>IF(Skills!C16=1,60+Inputs!$B$25+Inputs!$B$29,IF(Skills!C16=2,90+Inputs!$B$26+Inputs!$B$29,IF(Skills!C16=3,120+Inputs!$B$27+Inputs!$B$29,MAX(0,(Inputs!$B$3-100)*3)+Inputs!$B$28+Inputs!$B$29)))</f>
        <v/>
      </c>
      <c r="E1397">
        <f>INDEX(FactorTable!$B$2:$Y$301, MATCH(ROUND(MIN(300,MAX(1,D1397)),0), FactorTable!$A$2:$A$301,0), Skills!M16+1)</f>
        <v/>
      </c>
      <c r="F1397">
        <f>IF(Skills!N16=TRUE,(Skills!L16/10)*(E1397/1000),Skills!L16/10)+Skills!O16</f>
        <v/>
      </c>
      <c r="G1397">
        <f>Skills!G16*IF(Skills!H16&gt;0,Skills!I16/Skills!H16,1)</f>
        <v/>
      </c>
      <c r="H1397">
        <f>1-(1-Skills!J16/100)^Skills!K16</f>
        <v/>
      </c>
      <c r="I1397" t="inlineStr">
        <is>
          <t>1</t>
        </is>
      </c>
      <c r="J1397" t="inlineStr"/>
      <c r="K1397" t="inlineStr"/>
      <c r="L1397" t="inlineStr"/>
      <c r="M1397" t="inlineStr"/>
      <c r="N1397" t="inlineStr"/>
      <c r="O1397">
        <f>(1-Summary!$B$55)*T1397+Summary!$B$55*V1397</f>
        <v/>
      </c>
      <c r="P1397">
        <f>IF(B1424=0,0,O1397/B1424)</f>
        <v/>
      </c>
      <c r="Q1397">
        <f>IFERROR(1/IF(Inputs!$B$38="pvp",15,MAX(0.1,Skills!D16-IF(Skills!E16=TRUE,2.0,0))),0)</f>
        <v/>
      </c>
      <c r="R1397">
        <f>IF(AND(Inputs!$B$38&lt;&gt;"pvp",Inputs!$B$43&gt;0),IF(Inputs!$B$43&lt;=0,0,(INT(Inputs!$B$43/IF(Inputs!$B$38="pvp",15,MAX(0.1,Skills!D16-IF(Skills!E16=TRUE,2.0,0))))+1)),0)</f>
        <v/>
      </c>
      <c r="S1397">
        <f>IFERROR(O1397/N1397,0)</f>
        <v/>
      </c>
      <c r="T1397" t="n">
        <v>0</v>
      </c>
      <c r="V1397" t="n">
        <v>0</v>
      </c>
    </row>
    <row r="1398">
      <c r="A1398">
        <f>Skills!A17</f>
        <v/>
      </c>
      <c r="B1398">
        <f>Skills!B17</f>
        <v/>
      </c>
      <c r="C1398">
        <f>Inputs!$B$3&gt;=66</f>
        <v/>
      </c>
      <c r="D1398">
        <f>IF(Skills!C17=1,60+Inputs!$B$25+Inputs!$B$29,IF(Skills!C17=2,90+Inputs!$B$26+Inputs!$B$29,IF(Skills!C17=3,120+Inputs!$B$27+Inputs!$B$29,MAX(0,(Inputs!$B$3-100)*3)+Inputs!$B$28+Inputs!$B$29)))</f>
        <v/>
      </c>
      <c r="E1398">
        <f>INDEX(FactorTable!$B$2:$Y$301, MATCH(ROUND(MIN(300,MAX(1,D1398)),0), FactorTable!$A$2:$A$301,0), Skills!M17+1)</f>
        <v/>
      </c>
      <c r="F1398">
        <f>IF(Skills!N17=TRUE,(Skills!L17/10)*(E1398/1000),Skills!L17/10)+Skills!O17</f>
        <v/>
      </c>
      <c r="G1398">
        <f>Skills!G17*IF(Skills!H17&gt;0,Skills!I17/Skills!H17,1)</f>
        <v/>
      </c>
      <c r="H1398">
        <f>1-(1-Skills!J17/100)^Skills!K17</f>
        <v/>
      </c>
      <c r="I1398" t="inlineStr">
        <is>
          <t>1</t>
        </is>
      </c>
      <c r="J1398" t="inlineStr"/>
      <c r="K1398" t="inlineStr"/>
      <c r="L1398" t="inlineStr"/>
      <c r="M1398" t="inlineStr"/>
      <c r="N1398" t="inlineStr"/>
      <c r="O1398">
        <f>(1-Summary!$B$55)*T1398+Summary!$B$55*V1398</f>
        <v/>
      </c>
      <c r="P1398">
        <f>IF(B1424=0,0,O1398/B1424)</f>
        <v/>
      </c>
      <c r="Q1398" t="n">
        <v>0</v>
      </c>
      <c r="R1398" t="n">
        <v>0</v>
      </c>
      <c r="S1398">
        <f>IFERROR(O1398/N1398,0)</f>
        <v/>
      </c>
      <c r="T1398" t="n">
        <v>0</v>
      </c>
      <c r="V1398" t="n">
        <v>0</v>
      </c>
    </row>
    <row r="1399">
      <c r="A1399">
        <f>Skills!A18</f>
        <v/>
      </c>
      <c r="B1399">
        <f>Skills!B18</f>
        <v/>
      </c>
      <c r="C1399">
        <f>Inputs!$B$3&gt;=72</f>
        <v/>
      </c>
      <c r="D1399">
        <f>IF(Skills!C18=1,60+Inputs!$B$25+Inputs!$B$29,IF(Skills!C18=2,90+Inputs!$B$26+Inputs!$B$29,IF(Skills!C18=3,120+Inputs!$B$27+Inputs!$B$29,MAX(0,(Inputs!$B$3-100)*3)+Inputs!$B$28+Inputs!$B$29)))</f>
        <v/>
      </c>
      <c r="E1399">
        <f>INDEX(FactorTable!$B$2:$Y$301, MATCH(ROUND(MIN(300,MAX(1,D1399)),0), FactorTable!$A$2:$A$301,0), Skills!M18+1)</f>
        <v/>
      </c>
      <c r="F1399">
        <f>IF(Skills!N18=TRUE,(Skills!L18/10)*(E1399/1000),Skills!L18/10)+Skills!O18</f>
        <v/>
      </c>
      <c r="G1399">
        <f>Skills!G18*IF(Skills!H18&gt;0,Skills!I18/Skills!H18,1)</f>
        <v/>
      </c>
      <c r="H1399">
        <f>1-(1-Skills!J18/100)^Skills!K18</f>
        <v/>
      </c>
      <c r="I1399" t="inlineStr">
        <is>
          <t>1</t>
        </is>
      </c>
      <c r="J1399" t="inlineStr"/>
      <c r="K1399" t="inlineStr"/>
      <c r="L1399" t="inlineStr"/>
      <c r="M1399" t="inlineStr"/>
      <c r="N1399" t="inlineStr"/>
      <c r="O1399">
        <f>(1-Summary!$B$55)*T1399+Summary!$B$55*V1399</f>
        <v/>
      </c>
      <c r="P1399">
        <f>IF(B1424=0,0,O1399/B1424)</f>
        <v/>
      </c>
      <c r="Q1399" t="n">
        <v>0</v>
      </c>
      <c r="R1399" t="n">
        <v>0</v>
      </c>
      <c r="S1399">
        <f>IFERROR(O1399/N1399,0)</f>
        <v/>
      </c>
      <c r="T1399" t="n">
        <v>0</v>
      </c>
      <c r="V1399" t="n">
        <v>0</v>
      </c>
    </row>
    <row r="1400">
      <c r="A1400">
        <f>Skills!A19</f>
        <v/>
      </c>
      <c r="B1400">
        <f>Skills!B19</f>
        <v/>
      </c>
      <c r="C1400">
        <f>TRUE</f>
        <v/>
      </c>
      <c r="D1400">
        <f>IF(Skills!C19=1,60+Inputs!$B$25+Inputs!$B$29,IF(Skills!C19=2,90+Inputs!$B$26+Inputs!$B$29,IF(Skills!C19=3,120+Inputs!$B$27+Inputs!$B$29,MAX(0,(Inputs!$B$3-100)*3)+Inputs!$B$28+Inputs!$B$29)))</f>
        <v/>
      </c>
      <c r="E1400">
        <f>INDEX(FactorTable!$B$2:$Y$301, MATCH(ROUND(MIN(300,MAX(1,D1400)),0), FactorTable!$A$2:$A$301,0), Skills!M19+1)</f>
        <v/>
      </c>
      <c r="F1400">
        <f>IF(Skills!N19=TRUE,(Skills!L19/10)*(E1400/1000),Skills!L19/10)+Skills!O19</f>
        <v/>
      </c>
      <c r="G1400">
        <f>Skills!G19*IF(Skills!H19&gt;0,Skills!I19/Skills!H19,1)</f>
        <v/>
      </c>
      <c r="H1400">
        <f>1-(1-Skills!J19/100)^Skills!K19</f>
        <v/>
      </c>
      <c r="I1400" t="inlineStr">
        <is>
          <t>1</t>
        </is>
      </c>
      <c r="J1400" t="inlineStr"/>
      <c r="K1400" t="inlineStr"/>
      <c r="L1400" t="inlineStr"/>
      <c r="M1400" t="inlineStr"/>
      <c r="N1400" t="inlineStr"/>
      <c r="O1400">
        <f>(1-Summary!$B$55)*T1400+Summary!$B$55*V1400</f>
        <v/>
      </c>
      <c r="P1400">
        <f>IF(B1424=0,0,O1400/B1424)</f>
        <v/>
      </c>
      <c r="Q1400">
        <f>IFERROR(1/IF(Inputs!$B$38="pvp",15,MAX(0.1,Skills!D19-IF(Skills!E19=TRUE,2.0,0))),0)</f>
        <v/>
      </c>
      <c r="R1400">
        <f>IF(AND(Inputs!$B$38&lt;&gt;"pvp",Inputs!$B$43&gt;0),IF(Inputs!$B$43&lt;=0,0,(INT(Inputs!$B$43/IF(Inputs!$B$38="pvp",15,MAX(0.1,Skills!D19-IF(Skills!E19=TRUE,2.0,0))))+1)),0)</f>
        <v/>
      </c>
      <c r="S1400">
        <f>IFERROR(O1400/N1400,0)</f>
        <v/>
      </c>
      <c r="T1400" t="n">
        <v>0</v>
      </c>
      <c r="V1400" t="n">
        <v>0</v>
      </c>
    </row>
    <row r="1401">
      <c r="A1401">
        <f>Skills!A20</f>
        <v/>
      </c>
      <c r="B1401">
        <f>Skills!B20</f>
        <v/>
      </c>
      <c r="C1401">
        <f>Inputs!$B$3&gt;=15</f>
        <v/>
      </c>
      <c r="D1401">
        <f>IF(Skills!C20=1,60+Inputs!$B$25+Inputs!$B$29,IF(Skills!C20=2,90+Inputs!$B$26+Inputs!$B$29,IF(Skills!C20=3,120+Inputs!$B$27+Inputs!$B$29,MAX(0,(Inputs!$B$3-100)*3)+Inputs!$B$28+Inputs!$B$29)))</f>
        <v/>
      </c>
      <c r="E1401">
        <f>INDEX(FactorTable!$B$2:$Y$301, MATCH(ROUND(MIN(300,MAX(1,D1401)),0), FactorTable!$A$2:$A$301,0), Skills!M20+1)</f>
        <v/>
      </c>
      <c r="F1401">
        <f>IF(Skills!N20=TRUE,(Skills!L20/10)*(E1401/1000),Skills!L20/10)+Skills!O20</f>
        <v/>
      </c>
      <c r="G1401">
        <f>Skills!G20*IF(Skills!H20&gt;0,Skills!I20/Skills!H20,1)</f>
        <v/>
      </c>
      <c r="H1401">
        <f>1-(1-Skills!J20/100)^Skills!K20</f>
        <v/>
      </c>
      <c r="I1401" t="inlineStr">
        <is>
          <t>1</t>
        </is>
      </c>
      <c r="J1401" t="inlineStr"/>
      <c r="K1401" t="inlineStr"/>
      <c r="L1401" t="inlineStr"/>
      <c r="M1401" t="inlineStr"/>
      <c r="N1401" t="inlineStr"/>
      <c r="O1401">
        <f>(1-Summary!$B$55)*T1401+Summary!$B$55*V1401</f>
        <v/>
      </c>
      <c r="P1401">
        <f>IF(B1424=0,0,O1401/B1424)</f>
        <v/>
      </c>
      <c r="Q1401" t="n">
        <v>0</v>
      </c>
      <c r="R1401" t="n">
        <v>0</v>
      </c>
      <c r="S1401">
        <f>IFERROR(O1401/N1401,0)</f>
        <v/>
      </c>
      <c r="T1401" t="n">
        <v>0</v>
      </c>
      <c r="V1401" t="n">
        <v>0</v>
      </c>
    </row>
    <row r="1402">
      <c r="A1402">
        <f>Skills!A21</f>
        <v/>
      </c>
      <c r="B1402">
        <f>Skills!B21</f>
        <v/>
      </c>
      <c r="C1402">
        <f>Inputs!$B$3&gt;=10</f>
        <v/>
      </c>
      <c r="D1402">
        <f>IF(Skills!C21=1,60+Inputs!$B$25+Inputs!$B$29,IF(Skills!C21=2,90+Inputs!$B$26+Inputs!$B$29,IF(Skills!C21=3,120+Inputs!$B$27+Inputs!$B$29,MAX(0,(Inputs!$B$3-100)*3)+Inputs!$B$28+Inputs!$B$29)))</f>
        <v/>
      </c>
      <c r="E1402">
        <f>INDEX(FactorTable!$B$2:$Y$301, MATCH(ROUND(MIN(300,MAX(1,D1402)),0), FactorTable!$A$2:$A$301,0), Skills!M21+1)</f>
        <v/>
      </c>
      <c r="F1402">
        <f>IF(Skills!N21=TRUE,(Skills!L21/10)*(E1402/1000),Skills!L21/10)+Skills!O21</f>
        <v/>
      </c>
      <c r="G1402">
        <f>Skills!G21*IF(Skills!H21&gt;0,Skills!I21/Skills!H21,1)</f>
        <v/>
      </c>
      <c r="H1402">
        <f>1-(1-Skills!J21/100)^Skills!K21</f>
        <v/>
      </c>
      <c r="I1402" t="inlineStr">
        <is>
          <t>1</t>
        </is>
      </c>
      <c r="J1402" t="inlineStr"/>
      <c r="K1402" t="inlineStr"/>
      <c r="L1402" t="inlineStr"/>
      <c r="M1402" t="inlineStr"/>
      <c r="N1402" t="inlineStr"/>
      <c r="O1402">
        <f>(1-Summary!$B$55)*T1402+Summary!$B$55*V1402</f>
        <v/>
      </c>
      <c r="P1402">
        <f>IF(B1424=0,0,O1402/B1424)</f>
        <v/>
      </c>
      <c r="Q1402" t="n">
        <v>0</v>
      </c>
      <c r="R1402" t="n">
        <v>0</v>
      </c>
      <c r="S1402">
        <f>IFERROR(O1402/N1402,0)</f>
        <v/>
      </c>
      <c r="T1402" t="n">
        <v>0</v>
      </c>
      <c r="V1402" t="n">
        <v>0</v>
      </c>
    </row>
    <row r="1403">
      <c r="A1403">
        <f>Skills!A22</f>
        <v/>
      </c>
      <c r="B1403">
        <f>Skills!B22</f>
        <v/>
      </c>
      <c r="C1403">
        <f>Inputs!$B$3&gt;=33</f>
        <v/>
      </c>
      <c r="D1403">
        <f>IF(Skills!C22=1,60+Inputs!$B$25+Inputs!$B$29,IF(Skills!C22=2,90+Inputs!$B$26+Inputs!$B$29,IF(Skills!C22=3,120+Inputs!$B$27+Inputs!$B$29,MAX(0,(Inputs!$B$3-100)*3)+Inputs!$B$28+Inputs!$B$29)))</f>
        <v/>
      </c>
      <c r="E1403">
        <f>INDEX(FactorTable!$B$2:$Y$301, MATCH(ROUND(MIN(300,MAX(1,D1403)),0), FactorTable!$A$2:$A$301,0), Skills!M22+1)</f>
        <v/>
      </c>
      <c r="F1403">
        <f>IF(Skills!N22=TRUE,(Skills!L22/10)*(E1403/1000),Skills!L22/10)+Skills!O22</f>
        <v/>
      </c>
      <c r="G1403">
        <f>Skills!G22*IF(Skills!H22&gt;0,Skills!I22/Skills!H22,1)</f>
        <v/>
      </c>
      <c r="H1403">
        <f>1-(1-Skills!J22/100)^Skills!K22</f>
        <v/>
      </c>
      <c r="I1403" t="inlineStr">
        <is>
          <t>1</t>
        </is>
      </c>
      <c r="J1403" t="inlineStr"/>
      <c r="K1403" t="inlineStr"/>
      <c r="L1403" t="inlineStr"/>
      <c r="M1403" t="inlineStr"/>
      <c r="N1403" t="inlineStr"/>
      <c r="O1403">
        <f>(1-Summary!$B$55)*T1403+Summary!$B$55*V1403</f>
        <v/>
      </c>
      <c r="P1403">
        <f>IF(B1424=0,0,O1403/B1424)</f>
        <v/>
      </c>
      <c r="Q1403" t="n">
        <v>0</v>
      </c>
      <c r="R1403" t="n">
        <v>0</v>
      </c>
      <c r="S1403">
        <f>IFERROR(O1403/N1403,0)</f>
        <v/>
      </c>
      <c r="T1403" t="n">
        <v>0</v>
      </c>
      <c r="V1403" t="n">
        <v>0</v>
      </c>
    </row>
    <row r="1404">
      <c r="A1404">
        <f>Skills!A23</f>
        <v/>
      </c>
      <c r="B1404">
        <f>Skills!B23</f>
        <v/>
      </c>
      <c r="C1404">
        <f>Inputs!$B$3&gt;=38</f>
        <v/>
      </c>
      <c r="D1404">
        <f>IF(Skills!C23=1,60+Inputs!$B$25+Inputs!$B$29,IF(Skills!C23=2,90+Inputs!$B$26+Inputs!$B$29,IF(Skills!C23=3,120+Inputs!$B$27+Inputs!$B$29,MAX(0,(Inputs!$B$3-100)*3)+Inputs!$B$28+Inputs!$B$29)))</f>
        <v/>
      </c>
      <c r="E1404">
        <f>INDEX(FactorTable!$B$2:$Y$301, MATCH(ROUND(MIN(300,MAX(1,D1404)),0), FactorTable!$A$2:$A$301,0), Skills!M23+1)</f>
        <v/>
      </c>
      <c r="F1404">
        <f>IF(Skills!N23=TRUE,(Skills!L23/10)*(E1404/1000),Skills!L23/10)+Skills!O23</f>
        <v/>
      </c>
      <c r="G1404">
        <f>Skills!G23*IF(Skills!H23&gt;0,Skills!I23/Skills!H23,1)</f>
        <v/>
      </c>
      <c r="H1404">
        <f>1-(1-Skills!J23/100)^Skills!K23</f>
        <v/>
      </c>
      <c r="I1404" t="inlineStr">
        <is>
          <t>1</t>
        </is>
      </c>
      <c r="J1404" t="inlineStr"/>
      <c r="K1404" t="inlineStr"/>
      <c r="L1404" t="inlineStr"/>
      <c r="M1404" t="inlineStr"/>
      <c r="N1404" t="inlineStr"/>
      <c r="O1404">
        <f>(1-Summary!$B$55)*T1404+Summary!$B$55*V1404</f>
        <v/>
      </c>
      <c r="P1404">
        <f>IF(B1424=0,0,O1404/B1424)</f>
        <v/>
      </c>
      <c r="Q1404" t="n">
        <v>0</v>
      </c>
      <c r="R1404" t="n">
        <v>0</v>
      </c>
      <c r="S1404">
        <f>IFERROR(O1404/N1404,0)</f>
        <v/>
      </c>
      <c r="T1404" t="n">
        <v>0</v>
      </c>
      <c r="V1404" t="n">
        <v>0</v>
      </c>
    </row>
    <row r="1405">
      <c r="A1405">
        <f>Skills!A24</f>
        <v/>
      </c>
      <c r="B1405">
        <f>Skills!B24</f>
        <v/>
      </c>
      <c r="C1405">
        <f>Inputs!$B$3&gt;=43</f>
        <v/>
      </c>
      <c r="D1405">
        <f>IF(Skills!C24=1,60+Inputs!$B$25+Inputs!$B$29,IF(Skills!C24=2,90+Inputs!$B$26+Inputs!$B$29,IF(Skills!C24=3,120+Inputs!$B$27+Inputs!$B$29,MAX(0,(Inputs!$B$3-100)*3)+Inputs!$B$28+Inputs!$B$29)))</f>
        <v/>
      </c>
      <c r="E1405">
        <f>INDEX(FactorTable!$B$2:$Y$301, MATCH(ROUND(MIN(300,MAX(1,D1405)),0), FactorTable!$A$2:$A$301,0), Skills!M24+1)</f>
        <v/>
      </c>
      <c r="F1405">
        <f>IF(Skills!N24=TRUE,(Skills!L24/10)*(E1405/1000),Skills!L24/10)+Skills!O24</f>
        <v/>
      </c>
      <c r="G1405">
        <f>Skills!G24*IF(Skills!H24&gt;0,Skills!I24/Skills!H24,1)</f>
        <v/>
      </c>
      <c r="H1405">
        <f>1-(1-Skills!J24/100)^Skills!K24</f>
        <v/>
      </c>
      <c r="I1405" t="inlineStr">
        <is>
          <t>1</t>
        </is>
      </c>
      <c r="J1405" t="inlineStr"/>
      <c r="K1405" t="inlineStr"/>
      <c r="L1405" t="inlineStr"/>
      <c r="M1405" t="inlineStr"/>
      <c r="N1405" t="inlineStr"/>
      <c r="O1405">
        <f>(1-Summary!$B$55)*T1405+Summary!$B$55*V1405</f>
        <v/>
      </c>
      <c r="P1405">
        <f>IF(B1424=0,0,O1405/B1424)</f>
        <v/>
      </c>
      <c r="Q1405" t="n">
        <v>0</v>
      </c>
      <c r="R1405" t="n">
        <v>0</v>
      </c>
      <c r="S1405">
        <f>IFERROR(O1405/N1405,0)</f>
        <v/>
      </c>
      <c r="T1405" t="n">
        <v>0</v>
      </c>
      <c r="V1405" t="n">
        <v>0</v>
      </c>
    </row>
    <row r="1406">
      <c r="A1406">
        <f>Skills!A25</f>
        <v/>
      </c>
      <c r="B1406">
        <f>Skills!B25</f>
        <v/>
      </c>
      <c r="C1406">
        <f>Inputs!$B$3&gt;=75</f>
        <v/>
      </c>
      <c r="D1406">
        <f>IF(Skills!C25=1,60+Inputs!$B$25+Inputs!$B$29,IF(Skills!C25=2,90+Inputs!$B$26+Inputs!$B$29,IF(Skills!C25=3,120+Inputs!$B$27+Inputs!$B$29,MAX(0,(Inputs!$B$3-100)*3)+Inputs!$B$28+Inputs!$B$29)))</f>
        <v/>
      </c>
      <c r="E1406">
        <f>INDEX(FactorTable!$B$2:$Y$301, MATCH(ROUND(MIN(300,MAX(1,D1406)),0), FactorTable!$A$2:$A$301,0), Skills!M25+1)</f>
        <v/>
      </c>
      <c r="F1406">
        <f>IF(Skills!N25=TRUE,(Skills!L25/10)*(E1406/1000),Skills!L25/10)+Skills!O25</f>
        <v/>
      </c>
      <c r="G1406">
        <f>Skills!G25*IF(Skills!H25&gt;0,Skills!I25/Skills!H25,1)</f>
        <v/>
      </c>
      <c r="H1406">
        <f>1-(1-Skills!J25/100)^Skills!K25</f>
        <v/>
      </c>
      <c r="I1406" t="inlineStr">
        <is>
          <t>1</t>
        </is>
      </c>
      <c r="J1406" t="inlineStr"/>
      <c r="K1406" t="inlineStr"/>
      <c r="L1406" t="inlineStr"/>
      <c r="M1406" t="inlineStr"/>
      <c r="N1406" t="inlineStr"/>
      <c r="O1406">
        <f>(1-Summary!$B$55)*T1406+Summary!$B$55*V1406</f>
        <v/>
      </c>
      <c r="P1406">
        <f>IF(B1424=0,0,O1406/B1424)</f>
        <v/>
      </c>
      <c r="Q1406" t="n">
        <v>0</v>
      </c>
      <c r="R1406" t="n">
        <v>0</v>
      </c>
      <c r="S1406">
        <f>IFERROR(O1406/N1406,0)</f>
        <v/>
      </c>
      <c r="T1406" t="n">
        <v>0</v>
      </c>
      <c r="V1406" t="n">
        <v>0</v>
      </c>
    </row>
    <row r="1407">
      <c r="A1407">
        <f>Skills!A26</f>
        <v/>
      </c>
      <c r="B1407">
        <f>Skills!B26</f>
        <v/>
      </c>
      <c r="C1407">
        <f>Inputs!$B$3&gt;=125</f>
        <v/>
      </c>
      <c r="D1407">
        <f>IF(Skills!C26=1,60+Inputs!$B$25+Inputs!$B$29,IF(Skills!C26=2,90+Inputs!$B$26+Inputs!$B$29,IF(Skills!C26=3,120+Inputs!$B$27+Inputs!$B$29,MAX(0,(Inputs!$B$3-100)*3)+Inputs!$B$28+Inputs!$B$29)))</f>
        <v/>
      </c>
      <c r="E1407">
        <f>INDEX(FactorTable!$B$2:$Y$301, MATCH(ROUND(MIN(300,MAX(1,D1407)),0), FactorTable!$A$2:$A$301,0), Skills!M26+1)</f>
        <v/>
      </c>
      <c r="F1407">
        <f>IF(Skills!N26=TRUE,(Skills!L26/10)*(E1407/1000),Skills!L26/10)+Skills!O26</f>
        <v/>
      </c>
      <c r="G1407">
        <f>Skills!G26*IF(Skills!H26&gt;0,Skills!I26/Skills!H26,1)</f>
        <v/>
      </c>
      <c r="H1407">
        <f>1-(1-Skills!J26/100)^Skills!K26</f>
        <v/>
      </c>
      <c r="I1407" t="inlineStr">
        <is>
          <t>1</t>
        </is>
      </c>
      <c r="J1407" t="inlineStr"/>
      <c r="K1407" t="inlineStr"/>
      <c r="L1407" t="inlineStr"/>
      <c r="M1407" t="inlineStr"/>
      <c r="N1407" t="inlineStr"/>
      <c r="O1407">
        <f>(1-Summary!$B$55)*T1407+Summary!$B$55*V1407</f>
        <v/>
      </c>
      <c r="P1407">
        <f>IF(B1424=0,0,O1407/B1424)</f>
        <v/>
      </c>
      <c r="Q1407" t="n">
        <v>0</v>
      </c>
      <c r="R1407" t="n">
        <v>0</v>
      </c>
      <c r="S1407">
        <f>IFERROR(O1407/N1407,0)</f>
        <v/>
      </c>
      <c r="T1407" t="n">
        <v>0</v>
      </c>
      <c r="V1407" t="n">
        <v>0</v>
      </c>
    </row>
    <row r="1408">
      <c r="A1408">
        <f>Skills!A27</f>
        <v/>
      </c>
      <c r="B1408">
        <f>Skills!B27</f>
        <v/>
      </c>
      <c r="C1408">
        <f>Inputs!$B$3&gt;=125</f>
        <v/>
      </c>
      <c r="D1408">
        <f>IF(Skills!C27=1,60+Inputs!$B$25+Inputs!$B$29,IF(Skills!C27=2,90+Inputs!$B$26+Inputs!$B$29,IF(Skills!C27=3,120+Inputs!$B$27+Inputs!$B$29,MAX(0,(Inputs!$B$3-100)*3)+Inputs!$B$28+Inputs!$B$29)))</f>
        <v/>
      </c>
      <c r="E1408">
        <f>INDEX(FactorTable!$B$2:$Y$301, MATCH(ROUND(MIN(300,MAX(1,D1408)),0), FactorTable!$A$2:$A$301,0), Skills!M27+1)</f>
        <v/>
      </c>
      <c r="F1408">
        <f>IF(Skills!N27=TRUE,(Skills!L27/10)*(E1408/1000),Skills!L27/10)+Skills!O27</f>
        <v/>
      </c>
      <c r="G1408">
        <f>Skills!G27*IF(Skills!H27&gt;0,Skills!I27/Skills!H27,1)</f>
        <v/>
      </c>
      <c r="H1408">
        <f>1-(1-Skills!J27/100)^Skills!K27</f>
        <v/>
      </c>
      <c r="I1408" t="inlineStr">
        <is>
          <t>1</t>
        </is>
      </c>
      <c r="J1408" t="inlineStr"/>
      <c r="K1408" t="inlineStr"/>
      <c r="L1408" t="inlineStr"/>
      <c r="M1408" t="inlineStr"/>
      <c r="N1408" t="inlineStr"/>
      <c r="O1408">
        <f>(1-Summary!$B$55)*T1408+Summary!$B$55*V1408</f>
        <v/>
      </c>
      <c r="P1408">
        <f>IF(B1424=0,0,O1408/B1424)</f>
        <v/>
      </c>
      <c r="Q1408" t="n">
        <v>0</v>
      </c>
      <c r="R1408" t="n">
        <v>0</v>
      </c>
      <c r="S1408">
        <f>IFERROR(O1408/N1408,0)</f>
        <v/>
      </c>
      <c r="T1408" t="n">
        <v>0</v>
      </c>
      <c r="V1408" t="n">
        <v>0</v>
      </c>
    </row>
    <row r="1409">
      <c r="A1409">
        <f>Skills!A28</f>
        <v/>
      </c>
      <c r="B1409">
        <f>Skills!B28</f>
        <v/>
      </c>
      <c r="C1409">
        <f>Inputs!$B$3&gt;=120</f>
        <v/>
      </c>
      <c r="D1409">
        <f>IF(Skills!C28=1,60+Inputs!$B$25+Inputs!$B$29,IF(Skills!C28=2,90+Inputs!$B$26+Inputs!$B$29,IF(Skills!C28=3,120+Inputs!$B$27+Inputs!$B$29,MAX(0,(Inputs!$B$3-100)*3)+Inputs!$B$28+Inputs!$B$29)))</f>
        <v/>
      </c>
      <c r="E1409">
        <f>INDEX(FactorTable!$B$2:$Y$301, MATCH(ROUND(MIN(300,MAX(1,D1409)),0), FactorTable!$A$2:$A$301,0), Skills!M28+1)</f>
        <v/>
      </c>
      <c r="F1409">
        <f>IF(Skills!N28=TRUE,(Skills!L28/10)*(E1409/1000),Skills!L28/10)+Skills!O28</f>
        <v/>
      </c>
      <c r="G1409">
        <f>Skills!G28*IF(Skills!H28&gt;0,Skills!I28/Skills!H28,1)</f>
        <v/>
      </c>
      <c r="H1409">
        <f>1-(1-Skills!J28/100)^Skills!K28</f>
        <v/>
      </c>
      <c r="I1409" t="inlineStr">
        <is>
          <t>1</t>
        </is>
      </c>
      <c r="J1409" t="inlineStr"/>
      <c r="K1409" t="inlineStr"/>
      <c r="L1409" t="inlineStr"/>
      <c r="M1409" t="inlineStr"/>
      <c r="N1409" t="inlineStr"/>
      <c r="O1409">
        <f>(1-Summary!$B$55)*T1409+Summary!$B$55*V1409</f>
        <v/>
      </c>
      <c r="P1409">
        <f>IF(B1424=0,0,O1409/B1424)</f>
        <v/>
      </c>
      <c r="Q1409" t="n">
        <v>0</v>
      </c>
      <c r="R1409" t="n">
        <v>0</v>
      </c>
      <c r="S1409">
        <f>IFERROR(O1409/N1409,0)</f>
        <v/>
      </c>
      <c r="T1409" t="n">
        <v>0</v>
      </c>
      <c r="V1409" t="n">
        <v>0</v>
      </c>
    </row>
    <row r="1410">
      <c r="A1410">
        <f>Skills!A29</f>
        <v/>
      </c>
      <c r="B1410">
        <f>Skills!B29</f>
        <v/>
      </c>
      <c r="C1410">
        <f>Inputs!$B$3&gt;=120</f>
        <v/>
      </c>
      <c r="D1410">
        <f>IF(Skills!C29=1,60+Inputs!$B$25+Inputs!$B$29,IF(Skills!C29=2,90+Inputs!$B$26+Inputs!$B$29,IF(Skills!C29=3,120+Inputs!$B$27+Inputs!$B$29,MAX(0,(Inputs!$B$3-100)*3)+Inputs!$B$28+Inputs!$B$29)))</f>
        <v/>
      </c>
      <c r="E1410">
        <f>INDEX(FactorTable!$B$2:$Y$301, MATCH(ROUND(MIN(300,MAX(1,D1410)),0), FactorTable!$A$2:$A$301,0), Skills!M29+1)</f>
        <v/>
      </c>
      <c r="F1410">
        <f>IF(Skills!N29=TRUE,(Skills!L29/10)*(E1410/1000),Skills!L29/10)+Skills!O29</f>
        <v/>
      </c>
      <c r="G1410">
        <f>Skills!G29*IF(Skills!H29&gt;0,Skills!I29/Skills!H29,1)</f>
        <v/>
      </c>
      <c r="H1410">
        <f>1-(1-Skills!J29/100)^Skills!K29</f>
        <v/>
      </c>
      <c r="I1410" t="inlineStr">
        <is>
          <t>1</t>
        </is>
      </c>
      <c r="J1410" t="inlineStr"/>
      <c r="K1410" t="inlineStr"/>
      <c r="L1410" t="inlineStr"/>
      <c r="M1410" t="inlineStr"/>
      <c r="N1410" t="inlineStr"/>
      <c r="O1410">
        <f>(1-Summary!$B$55)*T1410+Summary!$B$55*V1410</f>
        <v/>
      </c>
      <c r="P1410">
        <f>IF(B1424=0,0,O1410/B1424)</f>
        <v/>
      </c>
      <c r="Q1410" t="n">
        <v>0</v>
      </c>
      <c r="R1410" t="n">
        <v>0</v>
      </c>
      <c r="S1410">
        <f>IFERROR(O1410/N1410,0)</f>
        <v/>
      </c>
      <c r="T1410" t="n">
        <v>0</v>
      </c>
      <c r="V1410" t="n">
        <v>0</v>
      </c>
    </row>
    <row r="1411">
      <c r="A1411">
        <f>Skills!A30</f>
        <v/>
      </c>
      <c r="B1411">
        <f>Skills!B30</f>
        <v/>
      </c>
      <c r="C1411">
        <f>Inputs!$B$3&gt;=45</f>
        <v/>
      </c>
      <c r="D1411">
        <f>IF(Skills!C30=1,60+Inputs!$B$25+Inputs!$B$29,IF(Skills!C30=2,90+Inputs!$B$26+Inputs!$B$29,IF(Skills!C30=3,120+Inputs!$B$27+Inputs!$B$29,MAX(0,(Inputs!$B$3-100)*3)+Inputs!$B$28+Inputs!$B$29)))</f>
        <v/>
      </c>
      <c r="E1411">
        <f>INDEX(FactorTable!$B$2:$Y$301, MATCH(ROUND(MIN(300,MAX(1,D1411)),0), FactorTable!$A$2:$A$301,0), Skills!M30+1)</f>
        <v/>
      </c>
      <c r="F1411">
        <f>IF(Skills!N30=TRUE,(Skills!L30/10)*(E1411/1000),Skills!L30/10)+Skills!O30</f>
        <v/>
      </c>
      <c r="G1411">
        <f>Skills!G30*IF(Skills!H30&gt;0,Skills!I30/Skills!H30,1)</f>
        <v/>
      </c>
      <c r="H1411">
        <f>1-(1-Skills!J30/100)^Skills!K30</f>
        <v/>
      </c>
      <c r="I1411" t="inlineStr">
        <is>
          <t>1</t>
        </is>
      </c>
      <c r="J1411" t="inlineStr"/>
      <c r="K1411" t="inlineStr"/>
      <c r="L1411" t="inlineStr"/>
      <c r="M1411" t="inlineStr"/>
      <c r="N1411" t="inlineStr"/>
      <c r="O1411">
        <f>(1-Summary!$B$55)*T1411+Summary!$B$55*V1411</f>
        <v/>
      </c>
      <c r="P1411">
        <f>IF(B1424=0,0,O1411/B1424)</f>
        <v/>
      </c>
      <c r="Q1411" t="n">
        <v>0</v>
      </c>
      <c r="R1411" t="n">
        <v>0</v>
      </c>
      <c r="S1411">
        <f>IFERROR(O1411/N1411,0)</f>
        <v/>
      </c>
      <c r="T1411" t="n">
        <v>0</v>
      </c>
      <c r="V1411" t="n">
        <v>0</v>
      </c>
    </row>
    <row r="1413">
      <c r="A1413" t="inlineStr">
        <is>
          <t>Attack% Bucket Multiplier</t>
        </is>
      </c>
      <c r="B1413">
        <f>(1+(((C1394=TRUE)*F1394)+((C1395=TRUE)*IF(Inputs!$B$38="pvp",F1395,(1-Summary!$B$55)*(F1395)+Summary!$B$55*(0)))+((C1396=TRUE)*F1396*IF(AND(Inputs!$B$38&lt;&gt;"pvp",Inputs!$B$43&gt;0),(((R1396-1)*(Skills!T15*(1+Inputs!$B$34/100))+MIN((Skills!T15*(1+Inputs!$B$34/100)),MAX(0,Inputs!$B$43-((R1396-1)*Skills!D15))))/Inputs!$B$43),IF(Inputs!$B$38="pvp",MIN((Skills!T15*(1+Inputs!$B$34/100)),15)/15,(Skills!T15*(1+Inputs!$B$34/100))/Skills!D15)))+((C1411=TRUE)*(F1411-Calc!F30)))/100)</f>
        <v/>
      </c>
    </row>
    <row r="1414">
      <c r="A1414" t="inlineStr">
        <is>
          <t>Global Crit Rate Bonus %</t>
        </is>
      </c>
      <c r="B1414">
        <f>(C1397=TRUE)*20*IF(AND(Inputs!$B$38&lt;&gt;"pvp",Inputs!$B$43&gt;0),(((R1397-1)*(Skills!T16*(1+Inputs!$B$34/100))+MIN((Skills!T16*(1+Inputs!$B$34/100)),MAX(0,Inputs!$B$43-((R1397-1)*Skills!D16))))/Inputs!$B$43),IF(Inputs!$B$38="pvp",MIN((Skills!T16*(1+Inputs!$B$34/100)),15)/15,(Skills!T16*(1+Inputs!$B$34/100))/Skills!D16))</f>
        <v/>
      </c>
    </row>
    <row r="1415">
      <c r="A1415" t="inlineStr">
        <is>
          <t>Attack Speed Buff Bonus %</t>
        </is>
      </c>
      <c r="B1415">
        <f>((C1400=TRUE)*F1400*IF(AND(Inputs!$B$38&lt;&gt;"pvp",Inputs!$B$43&gt;0),(((R1400-1)*(Skills!T19*(1+Inputs!$B$34/100))+MIN((Skills!T19*(1+Inputs!$B$34/100)),MAX(0,Inputs!$B$43-((R1400-1)*Skills!D19))))/Inputs!$B$43),IF(Inputs!$B$38="pvp",MIN((Skills!T19*(1+Inputs!$B$34/100)),15)/15,(Skills!T19*(1+Inputs!$B$34/100))/Skills!D19)))</f>
        <v/>
      </c>
    </row>
    <row r="1416">
      <c r="A1416" t="inlineStr">
        <is>
          <t>Actions Per Second</t>
        </is>
      </c>
      <c r="B1416">
        <f>1+MIN(150,150*(1-(1-(Inputs!$B$11+((C1402=TRUE)*(F1402-Calc!F21))+((C1403=TRUE)*(F1403-Calc!F22)))/150)*(1-B1415/150)))/100</f>
        <v/>
      </c>
    </row>
    <row r="1417">
      <c r="A1417" t="inlineStr">
        <is>
          <t>Skill + Buff Cast Rate</t>
        </is>
      </c>
      <c r="B1417">
        <f>IF(AND(Inputs!$B$38&lt;&gt;"pvp",Inputs!$B$43&gt;0),SUMPRODUCT((Skills!E2:E30=TRUE)*(C1383:C1411=TRUE)*R1383:R1411*Skills!F2:F30)/Inputs!$B$43,SUMPRODUCT((Skills!E2:E30=TRUE)*(C1383:C1411=TRUE)*Q1383:Q1411*Skills!F2:F30))</f>
        <v/>
      </c>
    </row>
    <row r="1418">
      <c r="A1418" t="inlineStr">
        <is>
          <t>Arrow Stream Casts Per Second</t>
        </is>
      </c>
      <c r="B1418">
        <f>MAX(0,B1416-B1417)</f>
        <v/>
      </c>
    </row>
    <row r="1419">
      <c r="A1419" t="inlineStr">
        <is>
          <t>Global Critical Damage Bonus % (Sharp Eyes + Concentration)</t>
        </is>
      </c>
      <c r="B1419">
        <f>(C1397=TRUE)*F1397*IF(AND(Inputs!$B$38&lt;&gt;"pvp",Inputs!$B$43&gt;0),(((R1397-1)*(Skills!T16*(1+Inputs!$B$34/100))+MIN((Skills!T16*(1+Inputs!$B$34/100)),MAX(0,Inputs!$B$43-((R1397-1)*Skills!D16))))/Inputs!$B$43),IF(Inputs!$B$38="pvp",MIN((Skills!T16*(1+Inputs!$B$34/100)),15)/15,(Skills!T16*(1+Inputs!$B$34/100))/Skills!D16))+(C1398=TRUE)*30</f>
        <v/>
      </c>
    </row>
    <row r="1420">
      <c r="A1420" t="inlineStr">
        <is>
          <t>Global Final Damage Bonus % (Mortal Blow)</t>
        </is>
      </c>
      <c r="B1420">
        <f>(C1399=TRUE)*F1399</f>
        <v/>
      </c>
    </row>
    <row r="1421">
      <c r="A1421" t="inlineStr">
        <is>
          <t>Buff-Casting Startup Delay (s, fixed-duration only)</t>
        </is>
      </c>
      <c r="B1421">
        <f>IF(AND(Inputs!$B$38&lt;&gt;"pvp",Inputs!$B$43&gt;0),SUMPRODUCT((Skills!T2:T30&gt;0)*(Skills!E2:E30=TRUE)*(C1383:C1411=TRUE))/B1416,0)</f>
        <v/>
      </c>
    </row>
    <row r="1422">
      <c r="A1422" t="inlineStr">
        <is>
          <t>Boss-Only Total DPS (this block's swept value)</t>
        </is>
      </c>
      <c r="B1422">
        <f>SUM(T1383:T1411)</f>
        <v/>
      </c>
    </row>
    <row r="1423">
      <c r="A1423" t="inlineStr">
        <is>
          <t>Normal-Only Total DPS (this block's swept value)</t>
        </is>
      </c>
      <c r="B1423">
        <f>SUM(V1383:V1411)</f>
        <v/>
      </c>
    </row>
    <row r="1424">
      <c r="A1424" s="5" t="inlineStr">
        <is>
          <t>TOTAL DPS</t>
        </is>
      </c>
      <c r="B1424" s="5">
        <f>SUM(O1383:O1411)</f>
        <v/>
      </c>
    </row>
    <row r="1427">
      <c r="A1427" s="5" t="inlineStr">
        <is>
          <t>Stat: CDR = 2.5s</t>
        </is>
      </c>
    </row>
    <row r="1428">
      <c r="A1428" s="9" t="inlineStr">
        <is>
          <t>Key</t>
        </is>
      </c>
      <c r="B1428" s="9" t="inlineStr">
        <is>
          <t>Name</t>
        </is>
      </c>
      <c r="C1428" s="9" t="inlineStr">
        <is>
          <t>Unlocked</t>
        </is>
      </c>
      <c r="D1428" s="9" t="inlineStr">
        <is>
          <t>InputLevel</t>
        </is>
      </c>
      <c r="E1428" s="9" t="inlineStr">
        <is>
          <t>Factor</t>
        </is>
      </c>
      <c r="F1428" s="9" t="inlineStr">
        <is>
          <t>CoefficientPercent</t>
        </is>
      </c>
      <c r="G1428" s="9" t="inlineStr">
        <is>
          <t>EffectiveHits</t>
        </is>
      </c>
      <c r="H1428" s="9" t="inlineStr">
        <is>
          <t>ProcProbability</t>
        </is>
      </c>
      <c r="I1428" s="9" t="inlineStr">
        <is>
          <t>MapleHeroMultiplier</t>
        </is>
      </c>
      <c r="J1428" s="9" t="inlineStr">
        <is>
          <t>BaseDamage</t>
        </is>
      </c>
      <c r="K1428" s="9" t="inlineStr">
        <is>
          <t>BaseHitDamage</t>
        </is>
      </c>
      <c r="L1428" s="9" t="inlineStr">
        <is>
          <t>NonCritAvg</t>
        </is>
      </c>
      <c r="M1428" s="9" t="inlineStr">
        <is>
          <t>CritAvg</t>
        </is>
      </c>
      <c r="N1428" s="9" t="inlineStr">
        <is>
          <t>ExpectedDamage(perHit)</t>
        </is>
      </c>
      <c r="O1428" s="9" t="inlineStr">
        <is>
          <t>DPS</t>
        </is>
      </c>
      <c r="P1428" s="9" t="inlineStr">
        <is>
          <t>% of Total</t>
        </is>
      </c>
      <c r="Q1428" s="9" t="inlineStr">
        <is>
          <t>InvCooldown</t>
        </is>
      </c>
      <c r="R1428" s="9" t="inlineStr">
        <is>
          <t>CastsInFight</t>
        </is>
      </c>
      <c r="S1428" s="9" t="inlineStr">
        <is>
          <t>HitRate(perSec)</t>
        </is>
      </c>
      <c r="U1428" t="inlineStr">
        <is>
          <t>helpers</t>
        </is>
      </c>
    </row>
    <row r="1429">
      <c r="A1429">
        <f>Skills!A2</f>
        <v/>
      </c>
      <c r="B1429">
        <f>Skills!B2</f>
        <v/>
      </c>
      <c r="C1429">
        <f>Inputs!$B$3&gt;=100</f>
        <v/>
      </c>
      <c r="D1429" t="inlineStr"/>
      <c r="E1429" t="inlineStr"/>
      <c r="F1429">
        <f>U1431+Skills!O2</f>
        <v/>
      </c>
      <c r="G1429">
        <f>Skills!G2*IF(Skills!H2&gt;0,Skills!I2/Skills!H2,1)</f>
        <v/>
      </c>
      <c r="H1429">
        <f>1-(1-Skills!J2/100)^Skills!K2</f>
        <v/>
      </c>
      <c r="I1429" t="inlineStr">
        <is>
          <t>1</t>
        </is>
      </c>
      <c r="J1429">
        <f>((Inputs!$B$6*(1+Inputs!$B$7/100))+(((Inputs!$B$12*(1+Inputs!$B$13/100))-(Inputs!$B$12*(1+Inputs!$B$13/100)))+0.25*(Inputs!$B$14-Inputs!$B$14))*(1+Inputs!$B$7/100))*(F1429/100)</f>
        <v/>
      </c>
      <c r="K1429">
        <f>J1429*(1+((Inputs!$B$12*(1+Inputs!$B$13/100))*0.01+Inputs!$B$14*0.0025)/100)*(1+Inputs!$B$15/100)*(1+Inputs!$B$16/100)*(5000/(6000+Inputs!$B$42*(1-(Inputs!$B$19+((C1454=TRUE)*(F1454-Calc!F27)))/100)))*(1+(Inputs!$B$24+((C1452=TRUE)*(F1452-Calc!F25))+((C1453=TRUE)*(F1453-Calc!F26))+B1466)/100)*(1+(IF(Skills!A2="ARROW_STREAM",Inputs!$B$17+((C1450=TRUE)*(F1450-Calc!F23)),Inputs!$B$18+((C1455=TRUE)*(F1455-Calc!F28))))/100)*((1+(((C1440=TRUE)*F1440)+((C1441=TRUE)*IF(Inputs!$B$38="pvp",F1441,(1-Summary!$B$55)*(F1441)+Summary!$B$55*(0)))+((C1442=TRUE)*F1442*IF(AND(Inputs!$B$38&lt;&gt;"pvp",Inputs!$B$43&gt;0),(((R1442-1)*(Skills!T15*(1+Inputs!$B$34/100))+MIN((Skills!T15*(1+Inputs!$B$34/100)),MAX(0,Inputs!$B$43-((R1442-1)*Skills!D15))))/Inputs!$B$43),IF(Inputs!$B$38="pvp",MIN((Skills!T15*(1+Inputs!$B$34/100)),15)/15,(Skills!T15*(1+Inputs!$B$34/100))/Skills!D15)))+((C1457=TRUE)*(F1457-Calc!F30)))/100)*I1429)</f>
        <v/>
      </c>
      <c r="L1429">
        <f>K1429*(MIN(Inputs!$B$22+((C1451=TRUE)*(F1451-Calc!F24)),Inputs!$B$23+((C1456=TRUE)*(F1456-Calc!F29)))/100+(Inputs!$B$23+((C1456=TRUE)*(F1456-Calc!F29)))/100)/2</f>
        <v/>
      </c>
      <c r="M1429">
        <f>L1429*(1+(Inputs!$B$10+0+B1465)/100)</f>
        <v/>
      </c>
      <c r="N1429">
        <f>L1429*(1-MIN((Inputs!$B$9+((C1447=TRUE)*(F1447-Calc!F20))+B1460),100)/100)+M1429*(MIN((Inputs!$B$9+((C1447=TRUE)*(F1447-Calc!F20))+B1460),100)/100)</f>
        <v/>
      </c>
      <c r="O1429">
        <f>(1-Summary!$B$55)*T1429+Summary!$B$55*V1429</f>
        <v/>
      </c>
      <c r="P1429">
        <f>IF(B1470=0,0,O1429/B1470)</f>
        <v/>
      </c>
      <c r="Q1429" t="n">
        <v>0</v>
      </c>
      <c r="R1429" t="n">
        <v>0</v>
      </c>
      <c r="S1429">
        <f>IFERROR(O1429/N1429,0)</f>
        <v/>
      </c>
      <c r="T1429">
        <f>IF(C1429,(Skills!G2*N1429*B1464)*IF(Inputs!$B$38="pvp",1,1+(Inputs!$B$20+0+Skills!P2)/100),0)</f>
        <v/>
      </c>
      <c r="U1429">
        <f>MAX(0,(Inputs!$B$3-100)*3)+Inputs!$B$28+Inputs!$B$29</f>
        <v/>
      </c>
      <c r="V1429">
        <f>IF(C1429,(Skills!G2*N1429*B1464)*IF(Inputs!$B$38="pvp",1,(1+(Inputs!$B$21+Skills!Q2)/100)*(MIN((6+Inputs!$B$33),Inputs!$B$37))),0)</f>
        <v/>
      </c>
    </row>
    <row r="1430">
      <c r="A1430">
        <f>Skills!A3</f>
        <v/>
      </c>
      <c r="B1430">
        <f>Skills!B3</f>
        <v/>
      </c>
      <c r="C1430">
        <f>Inputs!$B$3&gt;=50</f>
        <v/>
      </c>
      <c r="D1430">
        <f>IF(Skills!C3=1,60+Inputs!$B$25+Inputs!$B$29,IF(Skills!C3=2,90+Inputs!$B$26+Inputs!$B$29,IF(Skills!C3=3,120+Inputs!$B$27+Inputs!$B$29,MAX(0,(Inputs!$B$3-100)*3)+Inputs!$B$28+Inputs!$B$29)))</f>
        <v/>
      </c>
      <c r="E1430">
        <f>INDEX(FactorTable!$B$2:$Y$301, MATCH(ROUND(MIN(300,MAX(1,D1430)),0), FactorTable!$A$2:$A$301,0), Skills!M3+1)</f>
        <v/>
      </c>
      <c r="F1430">
        <f>IF(Skills!N3=TRUE,(Skills!L3/10)*(E1430/1000),Skills!L3/10)+Skills!O3</f>
        <v/>
      </c>
      <c r="G1430" t="inlineStr"/>
      <c r="H1430" t="inlineStr"/>
      <c r="I1430" t="inlineStr">
        <is>
          <t>1</t>
        </is>
      </c>
      <c r="J1430" t="inlineStr"/>
      <c r="K1430" t="inlineStr"/>
      <c r="L1430" t="inlineStr"/>
      <c r="M1430" t="inlineStr"/>
      <c r="N1430" t="inlineStr"/>
      <c r="O1430" t="inlineStr"/>
      <c r="P1430" t="inlineStr"/>
      <c r="Q1430" t="inlineStr"/>
      <c r="R1430" t="inlineStr"/>
      <c r="S1430" t="inlineStr"/>
      <c r="T1430" t="inlineStr"/>
      <c r="U1430">
        <f>INDEX(FactorTable!$B$2:$Y$301, MATCH(ROUND(MIN(300,MAX(1,U1429)),0), FactorTable!$A$2:$A$301,0), 22)</f>
        <v/>
      </c>
      <c r="V1430" t="inlineStr"/>
    </row>
    <row r="1431">
      <c r="A1431">
        <f>Skills!A4</f>
        <v/>
      </c>
      <c r="B1431">
        <f>Skills!B4</f>
        <v/>
      </c>
      <c r="C1431">
        <f>Inputs!$B$3&gt;=105</f>
        <v/>
      </c>
      <c r="D1431">
        <f>IF(Skills!C4=1,60+Inputs!$B$25+Inputs!$B$29,IF(Skills!C4=2,90+Inputs!$B$26+Inputs!$B$29,IF(Skills!C4=3,120+Inputs!$B$27+Inputs!$B$29,MAX(0,(Inputs!$B$3-100)*3)+Inputs!$B$28+Inputs!$B$29)))</f>
        <v/>
      </c>
      <c r="E1431">
        <f>INDEX(FactorTable!$B$2:$Y$301, MATCH(ROUND(MIN(300,MAX(1,D1431)),0), FactorTable!$A$2:$A$301,0), Skills!M4+1)</f>
        <v/>
      </c>
      <c r="F1431">
        <f>IF(Skills!N4=TRUE,(Skills!L4/10)*(E1431/1000),Skills!L4/10)+Skills!O4</f>
        <v/>
      </c>
      <c r="G1431" t="inlineStr"/>
      <c r="H1431" t="inlineStr"/>
      <c r="I1431" t="inlineStr">
        <is>
          <t>1</t>
        </is>
      </c>
      <c r="J1431" t="inlineStr"/>
      <c r="K1431" t="inlineStr"/>
      <c r="L1431" t="inlineStr"/>
      <c r="M1431" t="inlineStr"/>
      <c r="N1431" t="inlineStr"/>
      <c r="O1431" t="inlineStr"/>
      <c r="P1431" t="inlineStr"/>
      <c r="Q1431" t="inlineStr"/>
      <c r="R1431" t="inlineStr"/>
      <c r="S1431" t="inlineStr"/>
      <c r="T1431" t="inlineStr"/>
      <c r="U1431">
        <f>290*U1430/1000</f>
        <v/>
      </c>
      <c r="V1431" t="inlineStr"/>
    </row>
    <row r="1432">
      <c r="A1432">
        <f>Skills!A5</f>
        <v/>
      </c>
      <c r="B1432">
        <f>Skills!B5</f>
        <v/>
      </c>
      <c r="C1432">
        <f>Inputs!$B$3&gt;=35</f>
        <v/>
      </c>
      <c r="D1432">
        <f>IF(Skills!C5=1,60+Inputs!$B$25+Inputs!$B$29,IF(Skills!C5=2,90+Inputs!$B$26+Inputs!$B$29,IF(Skills!C5=3,120+Inputs!$B$27+Inputs!$B$29,MAX(0,(Inputs!$B$3-100)*3)+Inputs!$B$28+Inputs!$B$29)))</f>
        <v/>
      </c>
      <c r="E1432">
        <f>INDEX(FactorTable!$B$2:$Y$301, MATCH(ROUND(MIN(300,MAX(1,D1432)),0), FactorTable!$A$2:$A$301,0), Skills!M5+1)</f>
        <v/>
      </c>
      <c r="F1432">
        <f>IF(Skills!N5=TRUE,(Skills!L5/10)*(E1432/1000),Skills!L5/10)+Skills!O5</f>
        <v/>
      </c>
      <c r="G1432">
        <f>Skills!G5*IF(Skills!H5&gt;0,Skills!I5/Skills!H5,1)</f>
        <v/>
      </c>
      <c r="H1432">
        <f>1-(1-Skills!J5/100)^Skills!K5</f>
        <v/>
      </c>
      <c r="I1432" t="inlineStr">
        <is>
          <t>1</t>
        </is>
      </c>
      <c r="J1432">
        <f>((Inputs!$B$6*(1+Inputs!$B$7/100))+(((Inputs!$B$12*(1+Inputs!$B$13/100))-(Inputs!$B$12*(1+Inputs!$B$13/100)))+0.25*(Inputs!$B$14-Inputs!$B$14))*(1+Inputs!$B$7/100))*(F1432/100)</f>
        <v/>
      </c>
      <c r="K1432">
        <f>J1432*(1+((Inputs!$B$12*(1+Inputs!$B$13/100))*0.01+Inputs!$B$14*0.0025)/100)*(1+Inputs!$B$15/100)*(1+Inputs!$B$16/100)*(5000/(6000+Inputs!$B$42*(1-(Inputs!$B$19+((C1454=TRUE)*(F1454-Calc!F27)))/100)))*(1+(Inputs!$B$24+((C1452=TRUE)*(F1452-Calc!F25))+((C1453=TRUE)*(F1453-Calc!F26))+B1466)/100)*(1+4.0*IF(C1437=TRUE,F1437,0)/100)*(1+(IF(Skills!A5="ARROW_STREAM",Inputs!$B$17+((C1450=TRUE)*(F1450-Calc!F23)),Inputs!$B$18+((C1455=TRUE)*(F1455-Calc!F28))))/100)*((1+(((C1440=TRUE)*F1440)+((C1441=TRUE)*IF(Inputs!$B$38="pvp",F1441,(1-Summary!$B$55)*(F1441)+Summary!$B$55*(0)))+((C1442=TRUE)*F1442*IF(AND(Inputs!$B$38&lt;&gt;"pvp",Inputs!$B$43&gt;0),(((R1442-1)*(Skills!T15*(1+Inputs!$B$34/100))+MIN((Skills!T15*(1+Inputs!$B$34/100)),MAX(0,Inputs!$B$43-((R1442-1)*Skills!D15))))/Inputs!$B$43),IF(Inputs!$B$38="pvp",MIN((Skills!T15*(1+Inputs!$B$34/100)),15)/15,(Skills!T15*(1+Inputs!$B$34/100))/Skills!D15)))+((C1457=TRUE)*(F1457-Calc!F30)))/100)*I1432)</f>
        <v/>
      </c>
      <c r="L1432">
        <f>K1432*(MIN(Inputs!$B$22+((C1451=TRUE)*(F1451-Calc!F24)),Inputs!$B$23+((C1456=TRUE)*(F1456-Calc!F29)))/100+(Inputs!$B$23+((C1456=TRUE)*(F1456-Calc!F29)))/100)/2</f>
        <v/>
      </c>
      <c r="M1432">
        <f>L1432*(1+(Inputs!$B$10+0+B1465)/100)</f>
        <v/>
      </c>
      <c r="N1432">
        <f>L1432*(1-MIN((Inputs!$B$9+((C1447=TRUE)*(F1447-Calc!F20))+B1460),100)/100)+M1432*(MIN((Inputs!$B$9+((C1447=TRUE)*(F1447-Calc!F20))+B1460),100)/100)</f>
        <v/>
      </c>
      <c r="O1432">
        <f>(1-Summary!$B$55)*T1432+Summary!$B$55*V1432</f>
        <v/>
      </c>
      <c r="P1432">
        <f>IF(B1470=0,0,O1432/B1470)</f>
        <v/>
      </c>
      <c r="Q1432">
        <f>IFERROR(1/IF(Inputs!$B$38="pvp",15,MAX(0.1,Skills!D5-IF(Skills!E5=TRUE,2.5,0))),0)</f>
        <v/>
      </c>
      <c r="R1432">
        <f>IF(AND(Inputs!$B$38&lt;&gt;"pvp",Inputs!$B$43&gt;0),IF(MAX(0,Inputs!$B$43-B1467)&lt;=0,0,(INT(MAX(0,Inputs!$B$43-B1467)/IF(Inputs!$B$38="pvp",15,MAX(0.1,Skills!D5-IF(Skills!E5=TRUE,2.5,0))))+1)),0)</f>
        <v/>
      </c>
      <c r="S1432">
        <f>IFERROR(O1432/N1432,0)</f>
        <v/>
      </c>
      <c r="T1432">
        <f>IF(C1432,(H1432*N1432*IF(AND(Inputs!$B$38&lt;&gt;"pvp",Inputs!$B$43&gt;0),((Skills!G5*((R1432-1)*IF(Skills!H5&gt;0,Skills!I5/Skills!H5,1)+IF(Skills!H5&gt;0,MIN(Skills!I5,MAX(0,MAX(0,Inputs!$B$43-B1467)-((R1432-1)*IF(Inputs!$B$38="pvp",15,MAX(0.1,Skills!D5-IF(Skills!E5=TRUE,2.5,0))))))/Skills!H5,1)))/Inputs!$B$43),G1432*Q1432))*IF(Inputs!$B$38="pvp",1,1+(Inputs!$B$20+0+Skills!P5)/100),0)</f>
        <v/>
      </c>
      <c r="V1432">
        <f>IF(C1432,(H1432*N1432*IF(AND(Inputs!$B$38&lt;&gt;"pvp",Inputs!$B$43&gt;0),((Skills!G5*((R1432-1)*IF(Skills!H5&gt;0,Skills!I5/Skills!H5,1)+IF(Skills!H5&gt;0,MIN(Skills!I5,MAX(0,MAX(0,Inputs!$B$43-B1467)-((R1432-1)*IF(Inputs!$B$38="pvp",15,MAX(0.1,Skills!D5-IF(Skills!E5=TRUE,2.5,0))))))/Skills!H5,1)))/Inputs!$B$43),G1432*Q1432))*IF(Inputs!$B$38="pvp",1,(1+(Inputs!$B$21+Skills!Q5)/100)*(MIN(Skills!R5,Inputs!$B$37))),0)</f>
        <v/>
      </c>
    </row>
    <row r="1433">
      <c r="A1433">
        <f>Skills!A6</f>
        <v/>
      </c>
      <c r="B1433">
        <f>Skills!B6</f>
        <v/>
      </c>
      <c r="C1433">
        <f>Inputs!$B$3&gt;=40</f>
        <v/>
      </c>
      <c r="D1433">
        <f>IF(Skills!C6=1,60+Inputs!$B$25+Inputs!$B$29,IF(Skills!C6=2,90+Inputs!$B$26+Inputs!$B$29,IF(Skills!C6=3,120+Inputs!$B$27+Inputs!$B$29,MAX(0,(Inputs!$B$3-100)*3)+Inputs!$B$28+Inputs!$B$29)))</f>
        <v/>
      </c>
      <c r="E1433">
        <f>INDEX(FactorTable!$B$2:$Y$301, MATCH(ROUND(MIN(300,MAX(1,D1433)),0), FactorTable!$A$2:$A$301,0), Skills!M6+1)</f>
        <v/>
      </c>
      <c r="F1433">
        <f>IF(Skills!N6=TRUE,(Skills!L6/10)*(E1433/1000),Skills!L6/10)+Skills!O6</f>
        <v/>
      </c>
      <c r="G1433">
        <f>Skills!G6*IF(Skills!H6&gt;0,Skills!I6/Skills!H6,1)</f>
        <v/>
      </c>
      <c r="H1433">
        <f>1-(1-Skills!J6/100)^Skills!K6</f>
        <v/>
      </c>
      <c r="I1433" t="inlineStr">
        <is>
          <t>1</t>
        </is>
      </c>
      <c r="J1433">
        <f>((Inputs!$B$6*(1+Inputs!$B$7/100))+(((Inputs!$B$12*(1+Inputs!$B$13/100))-(Inputs!$B$12*(1+Inputs!$B$13/100)))+0.25*(Inputs!$B$14-Inputs!$B$14))*(1+Inputs!$B$7/100))*(F1433/100)</f>
        <v/>
      </c>
      <c r="K1433">
        <f>J1433*(1+((Inputs!$B$12*(1+Inputs!$B$13/100))*0.01+Inputs!$B$14*0.0025)/100)*(1+Inputs!$B$15/100)*(1+Inputs!$B$16/100)*(5000/(6000+Inputs!$B$42*(1-(Inputs!$B$19+((C1454=TRUE)*(F1454-Calc!F27)))/100)))*(1+(Inputs!$B$24+((C1452=TRUE)*(F1452-Calc!F25))+((C1453=TRUE)*(F1453-Calc!F26))+B1466)/100)*(1+IF(C1434=TRUE,F1434,0)/100)*(1+(IF(Skills!A6="ARROW_STREAM",Inputs!$B$17+((C1450=TRUE)*(F1450-Calc!F23)),Inputs!$B$18+((C1455=TRUE)*(F1455-Calc!F28))))/100)*((1+(((C1440=TRUE)*F1440)+((C1441=TRUE)*IF(Inputs!$B$38="pvp",F1441,(1-Summary!$B$55)*(F1441)+Summary!$B$55*(0)))+((C1442=TRUE)*F1442*IF(AND(Inputs!$B$38&lt;&gt;"pvp",Inputs!$B$43&gt;0),(((R1442-1)*(Skills!T15*(1+Inputs!$B$34/100))+MIN((Skills!T15*(1+Inputs!$B$34/100)),MAX(0,Inputs!$B$43-((R1442-1)*Skills!D15))))/Inputs!$B$43),IF(Inputs!$B$38="pvp",MIN((Skills!T15*(1+Inputs!$B$34/100)),15)/15,(Skills!T15*(1+Inputs!$B$34/100))/Skills!D15)))+((C1457=TRUE)*(F1457-Calc!F30)))/100)*I1433)</f>
        <v/>
      </c>
      <c r="L1433">
        <f>K1433*(MIN(Inputs!$B$22+((C1451=TRUE)*(F1451-Calc!F24)),Inputs!$B$23+((C1456=TRUE)*(F1456-Calc!F29)))/100+(Inputs!$B$23+((C1456=TRUE)*(F1456-Calc!F29)))/100)/2</f>
        <v/>
      </c>
      <c r="M1433">
        <f>L1433*(1+(Inputs!$B$10+0+B1465)/100)</f>
        <v/>
      </c>
      <c r="N1433">
        <f>L1433*(1-MIN((Inputs!$B$9+((C1447=TRUE)*(F1447-Calc!F20))+B1460),100)/100)+M1433*(MIN((Inputs!$B$9+((C1447=TRUE)*(F1447-Calc!F20))+B1460),100)/100)</f>
        <v/>
      </c>
      <c r="O1433">
        <f>(1-Summary!$B$55)*T1433+Summary!$B$55*V1433</f>
        <v/>
      </c>
      <c r="P1433">
        <f>IF(B1470=0,0,O1433/B1470)</f>
        <v/>
      </c>
      <c r="Q1433">
        <f>IFERROR(1/IF(Inputs!$B$38="pvp",15,MAX(0.1,Skills!D6-IF(Skills!E6=TRUE,2.5,0))),0)</f>
        <v/>
      </c>
      <c r="R1433">
        <f>IF(AND(Inputs!$B$38&lt;&gt;"pvp",Inputs!$B$43&gt;0),IF(MAX(0,Inputs!$B$43-B1467)&lt;=0,0,(INT(MAX(0,Inputs!$B$43-B1467)/IF(Inputs!$B$38="pvp",15,MAX(0.1,Skills!D6-IF(Skills!E6=TRUE,2.5,0))))+1)),0)</f>
        <v/>
      </c>
      <c r="S1433">
        <f>IFERROR(O1433/N1433,0)</f>
        <v/>
      </c>
      <c r="T1433">
        <f>IF(C1433,(H1433*N1433*IF(AND(Inputs!$B$38&lt;&gt;"pvp",Inputs!$B$43&gt;0),((Skills!G6*((R1433-1)*IF(Skills!H6&gt;0,Skills!I6/Skills!H6,1)+IF(Skills!H6&gt;0,MIN(Skills!I6,MAX(0,MAX(0,Inputs!$B$43-B1467)-((R1433-1)*IF(Inputs!$B$38="pvp",15,MAX(0.1,Skills!D6-IF(Skills!E6=TRUE,2.5,0))))))/Skills!H6,1)))/Inputs!$B$43),G1433*Q1433))*IF(Inputs!$B$38="pvp",1,1+(Inputs!$B$20+0+Skills!P6)/100),0)</f>
        <v/>
      </c>
      <c r="V1433">
        <f>IF(C1433,(H1433*N1433*IF(AND(Inputs!$B$38&lt;&gt;"pvp",Inputs!$B$43&gt;0),((Skills!G6*((R1433-1)*IF(Skills!H6&gt;0,Skills!I6/Skills!H6,1)+IF(Skills!H6&gt;0,MIN(Skills!I6,MAX(0,MAX(0,Inputs!$B$43-B1467)-((R1433-1)*IF(Inputs!$B$38="pvp",15,MAX(0.1,Skills!D6-IF(Skills!E6=TRUE,2.5,0))))))/Skills!H6,1)))/Inputs!$B$43),G1433*Q1433))*IF(Inputs!$B$38="pvp",1,(1+(Inputs!$B$21+Skills!Q6)/100)*(MIN(Skills!R6,Inputs!$B$37))),0)</f>
        <v/>
      </c>
    </row>
    <row r="1434">
      <c r="A1434">
        <f>Skills!A7</f>
        <v/>
      </c>
      <c r="B1434">
        <f>Skills!B7</f>
        <v/>
      </c>
      <c r="C1434">
        <f>Inputs!$B$3&gt;=107</f>
        <v/>
      </c>
      <c r="D1434">
        <f>IF(Skills!C7=1,60+Inputs!$B$25+Inputs!$B$29,IF(Skills!C7=2,90+Inputs!$B$26+Inputs!$B$29,IF(Skills!C7=3,120+Inputs!$B$27+Inputs!$B$29,MAX(0,(Inputs!$B$3-100)*3)+Inputs!$B$28+Inputs!$B$29)))</f>
        <v/>
      </c>
      <c r="E1434">
        <f>INDEX(FactorTable!$B$2:$Y$301, MATCH(ROUND(MIN(300,MAX(1,D1434)),0), FactorTable!$A$2:$A$301,0), Skills!M7+1)</f>
        <v/>
      </c>
      <c r="F1434">
        <f>IF(Skills!N7=TRUE,(Skills!L7/10)*(E1434/1000),Skills!L7/10)+Skills!O7</f>
        <v/>
      </c>
      <c r="G1434" t="inlineStr"/>
      <c r="H1434" t="inlineStr"/>
      <c r="I1434" t="inlineStr">
        <is>
          <t>1</t>
        </is>
      </c>
      <c r="J1434" t="inlineStr"/>
      <c r="K1434" t="inlineStr"/>
      <c r="L1434" t="inlineStr"/>
      <c r="M1434" t="inlineStr"/>
      <c r="N1434" t="inlineStr"/>
      <c r="O1434" t="inlineStr"/>
      <c r="P1434" t="inlineStr"/>
      <c r="Q1434" t="inlineStr"/>
      <c r="R1434" t="inlineStr"/>
      <c r="S1434" t="inlineStr"/>
      <c r="T1434" t="inlineStr"/>
      <c r="V1434" t="inlineStr"/>
    </row>
    <row r="1435">
      <c r="A1435">
        <f>Skills!A8</f>
        <v/>
      </c>
      <c r="B1435">
        <f>Skills!B8</f>
        <v/>
      </c>
      <c r="C1435">
        <f>Inputs!$B$3&gt;=69</f>
        <v/>
      </c>
      <c r="D1435">
        <f>IF(Skills!C8=1,60+Inputs!$B$25+Inputs!$B$29,IF(Skills!C8=2,90+Inputs!$B$26+Inputs!$B$29,IF(Skills!C8=3,120+Inputs!$B$27+Inputs!$B$29,MAX(0,(Inputs!$B$3-100)*3)+Inputs!$B$28+Inputs!$B$29)))</f>
        <v/>
      </c>
      <c r="E1435">
        <f>INDEX(FactorTable!$B$2:$Y$301, MATCH(ROUND(MIN(300,MAX(1,D1435)),0), FactorTable!$A$2:$A$301,0), Skills!M8+1)</f>
        <v/>
      </c>
      <c r="F1435">
        <f>IF(Skills!N8=TRUE,(Skills!L8/10)*(E1435/1000),Skills!L8/10)+Skills!O8</f>
        <v/>
      </c>
      <c r="G1435">
        <f>Skills!G8*IF(Skills!H8&gt;0,Skills!I8/Skills!H8,1)</f>
        <v/>
      </c>
      <c r="H1435">
        <f>1-(1-Skills!J8/100)^Skills!K8</f>
        <v/>
      </c>
      <c r="I1435" t="inlineStr">
        <is>
          <t>1</t>
        </is>
      </c>
      <c r="J1435">
        <f>((Inputs!$B$6*(1+Inputs!$B$7/100))+(((Inputs!$B$12*(1+Inputs!$B$13/100))-(Inputs!$B$12*(1+Inputs!$B$13/100)))+0.25*(Inputs!$B$14-Inputs!$B$14))*(1+Inputs!$B$7/100))*(F1435/100)</f>
        <v/>
      </c>
      <c r="K1435">
        <f>J1435*(1+((Inputs!$B$12*(1+Inputs!$B$13/100))*0.01+Inputs!$B$14*0.0025)/100)*(1+Inputs!$B$15/100)*(1+Inputs!$B$16/100)*(5000/(6000+Inputs!$B$42*(1-(Inputs!$B$19+((C1454=TRUE)*(F1454-Calc!F27)))/100)))*(1+(Inputs!$B$24+((C1452=TRUE)*(F1452-Calc!F25))+((C1453=TRUE)*(F1453-Calc!F26))+B1466)/100)*(1+1.2*IF(C1437=TRUE,F1437,0)/100)*(1+(IF(Skills!A8="ARROW_STREAM",Inputs!$B$17+((C1450=TRUE)*(F1450-Calc!F23)),Inputs!$B$18+((C1455=TRUE)*(F1455-Calc!F28))))/100)*((1+(((C1440=TRUE)*F1440)+((C1441=TRUE)*IF(Inputs!$B$38="pvp",F1441,(1-Summary!$B$55)*(F1441)+Summary!$B$55*(0)))+((C1442=TRUE)*F1442*IF(AND(Inputs!$B$38&lt;&gt;"pvp",Inputs!$B$43&gt;0),(((R1442-1)*(Skills!T15*(1+Inputs!$B$34/100))+MIN((Skills!T15*(1+Inputs!$B$34/100)),MAX(0,Inputs!$B$43-((R1442-1)*Skills!D15))))/Inputs!$B$43),IF(Inputs!$B$38="pvp",MIN((Skills!T15*(1+Inputs!$B$34/100)),15)/15,(Skills!T15*(1+Inputs!$B$34/100))/Skills!D15)))+((C1457=TRUE)*(F1457-Calc!F30)))/100)*I1435)</f>
        <v/>
      </c>
      <c r="L1435">
        <f>K1435*(MIN(Inputs!$B$22+((C1451=TRUE)*(F1451-Calc!F24)),Inputs!$B$23+((C1456=TRUE)*(F1456-Calc!F29)))/100+(Inputs!$B$23+((C1456=TRUE)*(F1456-Calc!F29)))/100)/2</f>
        <v/>
      </c>
      <c r="M1435">
        <f>L1435*(1+(Inputs!$B$10+0+B1465)/100)</f>
        <v/>
      </c>
      <c r="N1435">
        <f>L1435*(1-MIN((Inputs!$B$9+((C1447=TRUE)*(F1447-Calc!F20))+B1460),100)/100)+M1435*(MIN((Inputs!$B$9+((C1447=TRUE)*(F1447-Calc!F20))+B1460),100)/100)</f>
        <v/>
      </c>
      <c r="O1435">
        <f>(1-Summary!$B$55)*T1435+Summary!$B$55*V1435</f>
        <v/>
      </c>
      <c r="P1435">
        <f>IF(B1470=0,0,O1435/B1470)</f>
        <v/>
      </c>
      <c r="Q1435">
        <f>IFERROR(1/IF(Inputs!$B$38="pvp",15,MAX(0.1,Skills!D8-IF(Skills!E8=TRUE,2.5,0))),0)</f>
        <v/>
      </c>
      <c r="R1435">
        <f>IF(AND(Inputs!$B$38&lt;&gt;"pvp",Inputs!$B$43&gt;0),IF(MAX(0,Inputs!$B$43-B1467)&lt;=0,0,(INT(MAX(0,Inputs!$B$43-B1467)/IF(Inputs!$B$38="pvp",15,MAX(0.1,Skills!D8-IF(Skills!E8=TRUE,2.5,0))))+1)),0)</f>
        <v/>
      </c>
      <c r="S1435">
        <f>IFERROR(O1435/N1435,0)</f>
        <v/>
      </c>
      <c r="T1435">
        <f>IF(C1435,(H1435*N1435*IF(AND(Inputs!$B$38&lt;&gt;"pvp",Inputs!$B$43&gt;0),((Skills!G8*((R1435-1)*IF(Skills!H8&gt;0,Skills!I8/Skills!H8,1)+IF(Skills!H8&gt;0,MIN(Skills!I8,MAX(0,MAX(0,Inputs!$B$43-B1467)-((R1435-1)*IF(Inputs!$B$38="pvp",15,MAX(0.1,Skills!D8-IF(Skills!E8=TRUE,2.5,0))))))/Skills!H8,1)))/Inputs!$B$43),G1435*Q1435))*IF(Inputs!$B$38="pvp",1,1+(Inputs!$B$20+0+Skills!P8)/100),0)</f>
        <v/>
      </c>
      <c r="V1435">
        <f>IF(C1435,(H1435*N1435*IF(AND(Inputs!$B$38&lt;&gt;"pvp",Inputs!$B$43&gt;0),((Skills!G8*((R1435-1)*IF(Skills!H8&gt;0,Skills!I8/Skills!H8,1)+IF(Skills!H8&gt;0,MIN(Skills!I8,MAX(0,MAX(0,Inputs!$B$43-B1467)-((R1435-1)*IF(Inputs!$B$38="pvp",15,MAX(0.1,Skills!D8-IF(Skills!E8=TRUE,2.5,0))))))/Skills!H8,1)))/Inputs!$B$43),G1435*Q1435))*IF(Inputs!$B$38="pvp",1,(1+(Inputs!$B$21+Skills!Q8)/100)*(MIN(Skills!R8,Inputs!$B$37))),0)</f>
        <v/>
      </c>
    </row>
    <row r="1436">
      <c r="A1436">
        <f>Skills!A9</f>
        <v/>
      </c>
      <c r="B1436">
        <f>Skills!B9</f>
        <v/>
      </c>
      <c r="C1436">
        <f>Inputs!$B$3&gt;=63</f>
        <v/>
      </c>
      <c r="D1436">
        <f>IF(Skills!C9=1,60+Inputs!$B$25+Inputs!$B$29,IF(Skills!C9=2,90+Inputs!$B$26+Inputs!$B$29,IF(Skills!C9=3,120+Inputs!$B$27+Inputs!$B$29,MAX(0,(Inputs!$B$3-100)*3)+Inputs!$B$28+Inputs!$B$29)))</f>
        <v/>
      </c>
      <c r="E1436">
        <f>INDEX(FactorTable!$B$2:$Y$301, MATCH(ROUND(MIN(300,MAX(1,D1436)),0), FactorTable!$A$2:$A$301,0), Skills!M9+1)</f>
        <v/>
      </c>
      <c r="F1436">
        <f>IF(Skills!N9=TRUE,(Skills!L9/10)*(E1436/1000),Skills!L9/10)+Skills!O9</f>
        <v/>
      </c>
      <c r="G1436">
        <f>Skills!G9*IF(Skills!H9&gt;0,Skills!I9/Skills!H9,1)</f>
        <v/>
      </c>
      <c r="H1436">
        <f>1-(1-Skills!J9/100)^Skills!K9</f>
        <v/>
      </c>
      <c r="I1436" t="inlineStr">
        <is>
          <t>1</t>
        </is>
      </c>
      <c r="J1436">
        <f>((Inputs!$B$6*(1+Inputs!$B$7/100))+(((Inputs!$B$12*(1+Inputs!$B$13/100))-(Inputs!$B$12*(1+Inputs!$B$13/100)))+0.25*(Inputs!$B$14-Inputs!$B$14))*(1+Inputs!$B$7/100))*(F1436/100)</f>
        <v/>
      </c>
      <c r="K1436">
        <f>J1436*(1+((Inputs!$B$12*(1+Inputs!$B$13/100))*0.01+Inputs!$B$14*0.0025)/100)*(1+Inputs!$B$15/100)*(1+Inputs!$B$16/100)*(5000/(6000+Inputs!$B$42*(1-(Inputs!$B$19+((C1454=TRUE)*(F1454-Calc!F27)))/100)))*(1+(Inputs!$B$24+((C1452=TRUE)*(F1452-Calc!F25))+((C1453=TRUE)*(F1453-Calc!F26))+B1466)/100)*(1+1.0*IF(C1437=TRUE,F1437,0)/100)*(1+(IF(Skills!A9="ARROW_STREAM",Inputs!$B$17+((C1450=TRUE)*(F1450-Calc!F23)),Inputs!$B$18+((C1455=TRUE)*(F1455-Calc!F28))))/100)*((1+(((C1440=TRUE)*F1440)+((C1441=TRUE)*IF(Inputs!$B$38="pvp",F1441,(1-Summary!$B$55)*(F1441)+Summary!$B$55*(0)))+((C1442=TRUE)*F1442*IF(AND(Inputs!$B$38&lt;&gt;"pvp",Inputs!$B$43&gt;0),(((R1442-1)*(Skills!T15*(1+Inputs!$B$34/100))+MIN((Skills!T15*(1+Inputs!$B$34/100)),MAX(0,Inputs!$B$43-((R1442-1)*Skills!D15))))/Inputs!$B$43),IF(Inputs!$B$38="pvp",MIN((Skills!T15*(1+Inputs!$B$34/100)),15)/15,(Skills!T15*(1+Inputs!$B$34/100))/Skills!D15)))+((C1457=TRUE)*(F1457-Calc!F30)))/100)*I1436)</f>
        <v/>
      </c>
      <c r="L1436">
        <f>K1436*(MIN(Inputs!$B$22+((C1451=TRUE)*(F1451-Calc!F24)),Inputs!$B$23+((C1456=TRUE)*(F1456-Calc!F29)))/100+(Inputs!$B$23+((C1456=TRUE)*(F1456-Calc!F29)))/100)/2</f>
        <v/>
      </c>
      <c r="M1436">
        <f>L1436*(1+(Inputs!$B$10+0+B1465)/100)</f>
        <v/>
      </c>
      <c r="N1436">
        <f>L1436*(1-MIN((Inputs!$B$9+((C1447=TRUE)*(F1447-Calc!F20))+B1460),100)/100)+M1436*(MIN((Inputs!$B$9+((C1447=TRUE)*(F1447-Calc!F20))+B1460),100)/100)</f>
        <v/>
      </c>
      <c r="O1436">
        <f>(1-Summary!$B$55)*T1436+Summary!$B$55*V1436</f>
        <v/>
      </c>
      <c r="P1436">
        <f>IF(B1470=0,0,O1436/B1470)</f>
        <v/>
      </c>
      <c r="Q1436">
        <f>IFERROR(1/IF(Inputs!$B$38="pvp",15,MAX(0.1,Skills!D9-IF(Skills!E9=TRUE,2.5,0))),0)</f>
        <v/>
      </c>
      <c r="R1436">
        <f>IF(AND(Inputs!$B$38&lt;&gt;"pvp",Inputs!$B$43&gt;0),IF(MAX(0,Inputs!$B$43-B1467)&lt;=0,0,(INT(MAX(0,Inputs!$B$43-B1467)/IF(Inputs!$B$38="pvp",15,MAX(0.1,Skills!D9-IF(Skills!E9=TRUE,2.5,0))))+1)),0)</f>
        <v/>
      </c>
      <c r="S1436">
        <f>IFERROR(O1436/N1436,0)</f>
        <v/>
      </c>
      <c r="T1436">
        <f>IF(C1436,(H1436*N1436*IF(AND(Inputs!$B$38&lt;&gt;"pvp",Inputs!$B$43&gt;0),((Skills!G9*((R1436-1)*IF(Skills!H9&gt;0,Skills!I9/Skills!H9,1)+IF(Skills!H9&gt;0,MIN(Skills!I9,MAX(0,MAX(0,Inputs!$B$43-B1467)-((R1436-1)*IF(Inputs!$B$38="pvp",15,MAX(0.1,Skills!D9-IF(Skills!E9=TRUE,2.5,0))))))/Skills!H9,1)))/Inputs!$B$43),G1436*Q1436))*IF(Inputs!$B$38="pvp",1,1+(Inputs!$B$20+0+Skills!P9)/100),0)</f>
        <v/>
      </c>
      <c r="V1436">
        <f>IF(C1436,(H1436*N1436*IF(AND(Inputs!$B$38&lt;&gt;"pvp",Inputs!$B$43&gt;0),((Skills!G9*((R1436-1)*IF(Skills!H9&gt;0,Skills!I9/Skills!H9,1)+IF(Skills!H9&gt;0,MIN(Skills!I9,MAX(0,MAX(0,Inputs!$B$43-B1467)-((R1436-1)*IF(Inputs!$B$38="pvp",15,MAX(0.1,Skills!D9-IF(Skills!E9=TRUE,2.5,0))))))/Skills!H9,1)))/Inputs!$B$43),G1436*Q1436))*IF(Inputs!$B$38="pvp",1,(1+(Inputs!$B$21+Skills!Q9)/100)*(MIN(Skills!R9,Inputs!$B$37))),0)</f>
        <v/>
      </c>
    </row>
    <row r="1437">
      <c r="A1437">
        <f>Skills!A10</f>
        <v/>
      </c>
      <c r="B1437">
        <f>Skills!B10</f>
        <v/>
      </c>
      <c r="C1437">
        <f>Inputs!$B$3&gt;=100</f>
        <v/>
      </c>
      <c r="D1437">
        <f>IF(Skills!C10=1,60+Inputs!$B$25+Inputs!$B$29,IF(Skills!C10=2,90+Inputs!$B$26+Inputs!$B$29,IF(Skills!C10=3,120+Inputs!$B$27+Inputs!$B$29,MAX(0,(Inputs!$B$3-100)*3)+Inputs!$B$28+Inputs!$B$29)))</f>
        <v/>
      </c>
      <c r="E1437">
        <f>INDEX(FactorTable!$B$2:$Y$301, MATCH(ROUND(MIN(300,MAX(1,D1437)),0), FactorTable!$A$2:$A$301,0), Skills!M10+1)</f>
        <v/>
      </c>
      <c r="F1437">
        <f>IF(Skills!N10=TRUE,(Skills!L10/10)*(E1437/1000),Skills!L10/10)+Skills!O10</f>
        <v/>
      </c>
      <c r="G1437" t="inlineStr"/>
      <c r="H1437" t="inlineStr"/>
      <c r="I1437" t="inlineStr">
        <is>
          <t>1</t>
        </is>
      </c>
      <c r="J1437" t="inlineStr"/>
      <c r="K1437" t="inlineStr"/>
      <c r="L1437" t="inlineStr"/>
      <c r="M1437" t="inlineStr"/>
      <c r="N1437" t="inlineStr"/>
      <c r="O1437" t="inlineStr"/>
      <c r="P1437" t="inlineStr"/>
      <c r="Q1437" t="inlineStr"/>
      <c r="R1437" t="inlineStr"/>
      <c r="S1437" t="inlineStr"/>
      <c r="T1437" t="inlineStr"/>
      <c r="V1437" t="inlineStr"/>
    </row>
    <row r="1438">
      <c r="A1438">
        <f>Skills!A11</f>
        <v/>
      </c>
      <c r="B1438">
        <f>Skills!B11</f>
        <v/>
      </c>
      <c r="C1438">
        <f>Inputs!$B$3&gt;=60</f>
        <v/>
      </c>
      <c r="D1438">
        <f>IF(Skills!C11=1,60+Inputs!$B$25+Inputs!$B$29,IF(Skills!C11=2,90+Inputs!$B$26+Inputs!$B$29,IF(Skills!C11=3,120+Inputs!$B$27+Inputs!$B$29,MAX(0,(Inputs!$B$3-100)*3)+Inputs!$B$28+Inputs!$B$29)))</f>
        <v/>
      </c>
      <c r="E1438">
        <f>INDEX(FactorTable!$B$2:$Y$301, MATCH(ROUND(MIN(300,MAX(1,D1438)),0), FactorTable!$A$2:$A$301,0), Skills!M11+1)</f>
        <v/>
      </c>
      <c r="F1438">
        <f>IF(Skills!N11=TRUE,(Skills!L11/10)*(E1438/1000),Skills!L11/10)+Skills!O11</f>
        <v/>
      </c>
      <c r="G1438">
        <f>Skills!G11*IF(Skills!H11&gt;0,Skills!I11/Skills!H11,1)</f>
        <v/>
      </c>
      <c r="H1438">
        <f>1-(1-Skills!J11/100)^Skills!K11</f>
        <v/>
      </c>
      <c r="I1438" t="inlineStr">
        <is>
          <t>1</t>
        </is>
      </c>
      <c r="J1438">
        <f>((Inputs!$B$6*(1+Inputs!$B$7/100))+(((Inputs!$B$12*(1+Inputs!$B$13/100))-(Inputs!$B$12*(1+Inputs!$B$13/100)))+0.25*(Inputs!$B$14-Inputs!$B$14))*(1+Inputs!$B$7/100))*(F1438/100)</f>
        <v/>
      </c>
      <c r="K1438">
        <f>J1438*(1+((Inputs!$B$12*(1+Inputs!$B$13/100))*0.01+Inputs!$B$14*0.0025)/100)*(1+Inputs!$B$15/100)*(1+Inputs!$B$16/100)*(5000/(6000+Inputs!$B$42*(1-(Inputs!$B$19+((C1454=TRUE)*(F1454-Calc!F27)))/100)))*(1+(Inputs!$B$24+((C1452=TRUE)*(F1452-Calc!F25))+((C1453=TRUE)*(F1453-Calc!F26))+B1466)/100)*(1+IF(C1439=TRUE,F1439,0)/100)*(1+(IF(Skills!A11="ARROW_STREAM",Inputs!$B$17+((C1450=TRUE)*(F1450-Calc!F23)),Inputs!$B$18+((C1455=TRUE)*(F1455-Calc!F28))))/100)*((1+(((C1440=TRUE)*F1440)+((C1441=TRUE)*IF(Inputs!$B$38="pvp",F1441,(1-Summary!$B$55)*(F1441)+Summary!$B$55*(0)))+((C1442=TRUE)*F1442*IF(AND(Inputs!$B$38&lt;&gt;"pvp",Inputs!$B$43&gt;0),(((R1442-1)*(Skills!T15*(1+Inputs!$B$34/100))+MIN((Skills!T15*(1+Inputs!$B$34/100)),MAX(0,Inputs!$B$43-((R1442-1)*Skills!D15))))/Inputs!$B$43),IF(Inputs!$B$38="pvp",MIN((Skills!T15*(1+Inputs!$B$34/100)),15)/15,(Skills!T15*(1+Inputs!$B$34/100))/Skills!D15)))+((C1457=TRUE)*(F1457-Calc!F30)))/100)*I1438)</f>
        <v/>
      </c>
      <c r="L1438">
        <f>K1438*(MIN(Inputs!$B$22+((C1451=TRUE)*(F1451-Calc!F24)),Inputs!$B$23+((C1456=TRUE)*(F1456-Calc!F29)))/100+(Inputs!$B$23+((C1456=TRUE)*(F1456-Calc!F29)))/100)/2</f>
        <v/>
      </c>
      <c r="M1438">
        <f>L1438*(1+(Inputs!$B$10+0+B1465)/100)</f>
        <v/>
      </c>
      <c r="N1438">
        <f>L1438*(1-MIN((Inputs!$B$9+((C1447=TRUE)*(F1447-Calc!F20))+B1460),100)/100)+M1438*(MIN((Inputs!$B$9+((C1447=TRUE)*(F1447-Calc!F20))+B1460),100)/100)</f>
        <v/>
      </c>
      <c r="O1438">
        <f>(1-Summary!$B$55)*T1438+Summary!$B$55*V1438</f>
        <v/>
      </c>
      <c r="P1438">
        <f>IF(B1470=0,0,O1438/B1470)</f>
        <v/>
      </c>
      <c r="Q1438">
        <f>IFERROR(1/IF(Inputs!$B$38="pvp",15,MAX(0.1,Skills!D11-IF(Skills!E11=TRUE,2.5,0))),0)</f>
        <v/>
      </c>
      <c r="R1438">
        <f>IF(AND(Inputs!$B$38&lt;&gt;"pvp",Inputs!$B$43&gt;0),IF(MAX(0,Inputs!$B$43-B1467)&lt;=0,0,(INT(MAX(0,Inputs!$B$43-B1467)/IF(Inputs!$B$38="pvp",15,MAX(0.1,Skills!D11-IF(Skills!E11=TRUE,2.5,0))))+1)),0)</f>
        <v/>
      </c>
      <c r="S1438">
        <f>IFERROR(O1438/N1438,0)</f>
        <v/>
      </c>
      <c r="T1438">
        <f>IF(C1438,(H1438*N1438*IF(AND(Inputs!$B$38&lt;&gt;"pvp",Inputs!$B$43&gt;0),((Skills!G11*((R1438-1)*IF(Skills!H11&gt;0,Skills!I11/Skills!H11,1)+IF(Skills!H11&gt;0,MIN(Skills!I11,MAX(0,MAX(0,Inputs!$B$43-B1467)-((R1438-1)*IF(Inputs!$B$38="pvp",15,MAX(0.1,Skills!D11-IF(Skills!E11=TRUE,2.5,0))))))/Skills!H11,1)))/Inputs!$B$43),G1438*Q1438))*IF(Inputs!$B$38="pvp",1,1+(Inputs!$B$20+0+Skills!P11)/100),0)</f>
        <v/>
      </c>
      <c r="V1438">
        <f>IF(C1438,(H1438*N1438*IF(AND(Inputs!$B$38&lt;&gt;"pvp",Inputs!$B$43&gt;0),((Skills!G11*((R1438-1)*IF(Skills!H11&gt;0,Skills!I11/Skills!H11,1)+IF(Skills!H11&gt;0,MIN(Skills!I11,MAX(0,MAX(0,Inputs!$B$43-B1467)-((R1438-1)*IF(Inputs!$B$38="pvp",15,MAX(0.1,Skills!D11-IF(Skills!E11=TRUE,2.5,0))))))/Skills!H11,1)))/Inputs!$B$43),G1438*Q1438))*IF(Inputs!$B$38="pvp",1,(1+(Inputs!$B$21+Skills!Q11)/100)*(MIN(Skills!R11,Inputs!$B$37))),0)</f>
        <v/>
      </c>
    </row>
    <row r="1439">
      <c r="A1439">
        <f>Skills!A12</f>
        <v/>
      </c>
      <c r="B1439">
        <f>Skills!B12</f>
        <v/>
      </c>
      <c r="C1439">
        <f>Inputs!$B$3&gt;=110</f>
        <v/>
      </c>
      <c r="D1439">
        <f>IF(Skills!C12=1,60+Inputs!$B$25+Inputs!$B$29,IF(Skills!C12=2,90+Inputs!$B$26+Inputs!$B$29,IF(Skills!C12=3,120+Inputs!$B$27+Inputs!$B$29,MAX(0,(Inputs!$B$3-100)*3)+Inputs!$B$28+Inputs!$B$29)))</f>
        <v/>
      </c>
      <c r="E1439">
        <f>INDEX(FactorTable!$B$2:$Y$301, MATCH(ROUND(MIN(300,MAX(1,D1439)),0), FactorTable!$A$2:$A$301,0), Skills!M12+1)</f>
        <v/>
      </c>
      <c r="F1439">
        <f>IF(Skills!N12=TRUE,(Skills!L12/10)*(E1439/1000),Skills!L12/10)+Skills!O12</f>
        <v/>
      </c>
      <c r="G1439" t="inlineStr"/>
      <c r="H1439" t="inlineStr"/>
      <c r="I1439" t="inlineStr">
        <is>
          <t>1</t>
        </is>
      </c>
      <c r="J1439" t="inlineStr"/>
      <c r="K1439" t="inlineStr"/>
      <c r="L1439" t="inlineStr"/>
      <c r="M1439" t="inlineStr"/>
      <c r="N1439" t="inlineStr"/>
      <c r="O1439" t="inlineStr"/>
      <c r="P1439" t="inlineStr"/>
      <c r="Q1439" t="inlineStr"/>
      <c r="R1439" t="inlineStr"/>
      <c r="S1439" t="inlineStr"/>
      <c r="T1439" t="inlineStr"/>
      <c r="V1439" t="inlineStr"/>
    </row>
    <row r="1440">
      <c r="A1440">
        <f>Skills!A13</f>
        <v/>
      </c>
      <c r="B1440">
        <f>Skills!B13</f>
        <v/>
      </c>
      <c r="C1440">
        <f>Inputs!$B$3&gt;=74</f>
        <v/>
      </c>
      <c r="D1440">
        <f>IF(Skills!C13=1,60+Inputs!$B$25+Inputs!$B$29,IF(Skills!C13=2,90+Inputs!$B$26+Inputs!$B$29,IF(Skills!C13=3,120+Inputs!$B$27+Inputs!$B$29,MAX(0,(Inputs!$B$3-100)*3)+Inputs!$B$28+Inputs!$B$29)))</f>
        <v/>
      </c>
      <c r="E1440">
        <f>INDEX(FactorTable!$B$2:$Y$301, MATCH(ROUND(MIN(300,MAX(1,D1440)),0), FactorTable!$A$2:$A$301,0), Skills!M13+1)</f>
        <v/>
      </c>
      <c r="F1440">
        <f>IF(Skills!N13=TRUE,(Skills!L13/10)*(E1440/1000),Skills!L13/10)+Skills!O13</f>
        <v/>
      </c>
      <c r="G1440">
        <f>Skills!G13*IF(Skills!H13&gt;0,Skills!I13/Skills!H13,1)</f>
        <v/>
      </c>
      <c r="H1440">
        <f>1-(1-Skills!J13/100)^Skills!K13</f>
        <v/>
      </c>
      <c r="I1440" t="inlineStr">
        <is>
          <t>1</t>
        </is>
      </c>
      <c r="J1440" t="inlineStr"/>
      <c r="K1440" t="inlineStr"/>
      <c r="L1440" t="inlineStr"/>
      <c r="M1440" t="inlineStr"/>
      <c r="N1440" t="inlineStr"/>
      <c r="O1440">
        <f>(1-Summary!$B$55)*T1440+Summary!$B$55*V1440</f>
        <v/>
      </c>
      <c r="P1440">
        <f>IF(B1470=0,0,O1440/B1470)</f>
        <v/>
      </c>
      <c r="Q1440" t="n">
        <v>0</v>
      </c>
      <c r="R1440" t="n">
        <v>0</v>
      </c>
      <c r="S1440">
        <f>IFERROR(O1440/N1440,0)</f>
        <v/>
      </c>
      <c r="T1440" t="n">
        <v>0</v>
      </c>
      <c r="V1440" t="n">
        <v>0</v>
      </c>
    </row>
    <row r="1441">
      <c r="A1441">
        <f>Skills!A14</f>
        <v/>
      </c>
      <c r="B1441">
        <f>Skills!B14</f>
        <v/>
      </c>
      <c r="C1441">
        <f>Inputs!$B$3&gt;=74</f>
        <v/>
      </c>
      <c r="D1441">
        <f>IF(Skills!C14=1,60+Inputs!$B$25+Inputs!$B$29,IF(Skills!C14=2,90+Inputs!$B$26+Inputs!$B$29,IF(Skills!C14=3,120+Inputs!$B$27+Inputs!$B$29,MAX(0,(Inputs!$B$3-100)*3)+Inputs!$B$28+Inputs!$B$29)))</f>
        <v/>
      </c>
      <c r="E1441">
        <f>INDEX(FactorTable!$B$2:$Y$301, MATCH(ROUND(MIN(300,MAX(1,D1441)),0), FactorTable!$A$2:$A$301,0), Skills!M14+1)</f>
        <v/>
      </c>
      <c r="F1441">
        <f>IF(Skills!N14=TRUE,(Skills!L14/10)*(E1441/1000),Skills!L14/10)+Skills!O14</f>
        <v/>
      </c>
      <c r="G1441">
        <f>Skills!G14*IF(Skills!H14&gt;0,Skills!I14/Skills!H14,1)</f>
        <v/>
      </c>
      <c r="H1441">
        <f>1-(1-Skills!J14/100)^Skills!K14</f>
        <v/>
      </c>
      <c r="I1441" t="inlineStr">
        <is>
          <t>1</t>
        </is>
      </c>
      <c r="J1441" t="inlineStr"/>
      <c r="K1441" t="inlineStr"/>
      <c r="L1441" t="inlineStr"/>
      <c r="M1441" t="inlineStr"/>
      <c r="N1441" t="inlineStr"/>
      <c r="O1441">
        <f>(1-Summary!$B$55)*T1441+Summary!$B$55*V1441</f>
        <v/>
      </c>
      <c r="P1441">
        <f>IF(B1470=0,0,O1441/B1470)</f>
        <v/>
      </c>
      <c r="Q1441" t="n">
        <v>0</v>
      </c>
      <c r="R1441" t="n">
        <v>0</v>
      </c>
      <c r="S1441">
        <f>IFERROR(O1441/N1441,0)</f>
        <v/>
      </c>
      <c r="T1441" t="n">
        <v>0</v>
      </c>
      <c r="V1441" t="n">
        <v>0</v>
      </c>
    </row>
    <row r="1442">
      <c r="A1442">
        <f>Skills!A15</f>
        <v/>
      </c>
      <c r="B1442">
        <f>Skills!B15</f>
        <v/>
      </c>
      <c r="C1442">
        <f>Inputs!$B$3&gt;=117</f>
        <v/>
      </c>
      <c r="D1442">
        <f>IF(Skills!C15=1,60+Inputs!$B$25+Inputs!$B$29,IF(Skills!C15=2,90+Inputs!$B$26+Inputs!$B$29,IF(Skills!C15=3,120+Inputs!$B$27+Inputs!$B$29,MAX(0,(Inputs!$B$3-100)*3)+Inputs!$B$28+Inputs!$B$29)))</f>
        <v/>
      </c>
      <c r="E1442">
        <f>INDEX(FactorTable!$B$2:$Y$301, MATCH(ROUND(MIN(300,MAX(1,D1442)),0), FactorTable!$A$2:$A$301,0), Skills!M15+1)</f>
        <v/>
      </c>
      <c r="F1442">
        <f>IF(Skills!N15=TRUE,(Skills!L15/10)*(E1442/1000),Skills!L15/10)+Skills!O15</f>
        <v/>
      </c>
      <c r="G1442">
        <f>Skills!G15*IF(Skills!H15&gt;0,Skills!I15/Skills!H15,1)</f>
        <v/>
      </c>
      <c r="H1442">
        <f>1-(1-Skills!J15/100)^Skills!K15</f>
        <v/>
      </c>
      <c r="I1442" t="inlineStr">
        <is>
          <t>1</t>
        </is>
      </c>
      <c r="J1442" t="inlineStr"/>
      <c r="K1442" t="inlineStr"/>
      <c r="L1442" t="inlineStr"/>
      <c r="M1442" t="inlineStr"/>
      <c r="N1442" t="inlineStr"/>
      <c r="O1442">
        <f>(1-Summary!$B$55)*T1442+Summary!$B$55*V1442</f>
        <v/>
      </c>
      <c r="P1442">
        <f>IF(B1470=0,0,O1442/B1470)</f>
        <v/>
      </c>
      <c r="Q1442">
        <f>IFERROR(1/IF(Inputs!$B$38="pvp",15,MAX(0.1,Skills!D15-IF(Skills!E15=TRUE,2.5,0))),0)</f>
        <v/>
      </c>
      <c r="R1442">
        <f>IF(AND(Inputs!$B$38&lt;&gt;"pvp",Inputs!$B$43&gt;0),IF(Inputs!$B$43&lt;=0,0,(INT(Inputs!$B$43/IF(Inputs!$B$38="pvp",15,MAX(0.1,Skills!D15-IF(Skills!E15=TRUE,2.5,0))))+1)),0)</f>
        <v/>
      </c>
      <c r="S1442">
        <f>IFERROR(O1442/N1442,0)</f>
        <v/>
      </c>
      <c r="T1442" t="n">
        <v>0</v>
      </c>
      <c r="V1442" t="n">
        <v>0</v>
      </c>
    </row>
    <row r="1443">
      <c r="A1443">
        <f>Skills!A16</f>
        <v/>
      </c>
      <c r="B1443">
        <f>Skills!B16</f>
        <v/>
      </c>
      <c r="C1443">
        <f>Inputs!$B$3&gt;=115</f>
        <v/>
      </c>
      <c r="D1443">
        <f>IF(Skills!C16=1,60+Inputs!$B$25+Inputs!$B$29,IF(Skills!C16=2,90+Inputs!$B$26+Inputs!$B$29,IF(Skills!C16=3,120+Inputs!$B$27+Inputs!$B$29,MAX(0,(Inputs!$B$3-100)*3)+Inputs!$B$28+Inputs!$B$29)))</f>
        <v/>
      </c>
      <c r="E1443">
        <f>INDEX(FactorTable!$B$2:$Y$301, MATCH(ROUND(MIN(300,MAX(1,D1443)),0), FactorTable!$A$2:$A$301,0), Skills!M16+1)</f>
        <v/>
      </c>
      <c r="F1443">
        <f>IF(Skills!N16=TRUE,(Skills!L16/10)*(E1443/1000),Skills!L16/10)+Skills!O16</f>
        <v/>
      </c>
      <c r="G1443">
        <f>Skills!G16*IF(Skills!H16&gt;0,Skills!I16/Skills!H16,1)</f>
        <v/>
      </c>
      <c r="H1443">
        <f>1-(1-Skills!J16/100)^Skills!K16</f>
        <v/>
      </c>
      <c r="I1443" t="inlineStr">
        <is>
          <t>1</t>
        </is>
      </c>
      <c r="J1443" t="inlineStr"/>
      <c r="K1443" t="inlineStr"/>
      <c r="L1443" t="inlineStr"/>
      <c r="M1443" t="inlineStr"/>
      <c r="N1443" t="inlineStr"/>
      <c r="O1443">
        <f>(1-Summary!$B$55)*T1443+Summary!$B$55*V1443</f>
        <v/>
      </c>
      <c r="P1443">
        <f>IF(B1470=0,0,O1443/B1470)</f>
        <v/>
      </c>
      <c r="Q1443">
        <f>IFERROR(1/IF(Inputs!$B$38="pvp",15,MAX(0.1,Skills!D16-IF(Skills!E16=TRUE,2.5,0))),0)</f>
        <v/>
      </c>
      <c r="R1443">
        <f>IF(AND(Inputs!$B$38&lt;&gt;"pvp",Inputs!$B$43&gt;0),IF(Inputs!$B$43&lt;=0,0,(INT(Inputs!$B$43/IF(Inputs!$B$38="pvp",15,MAX(0.1,Skills!D16-IF(Skills!E16=TRUE,2.5,0))))+1)),0)</f>
        <v/>
      </c>
      <c r="S1443">
        <f>IFERROR(O1443/N1443,0)</f>
        <v/>
      </c>
      <c r="T1443" t="n">
        <v>0</v>
      </c>
      <c r="V1443" t="n">
        <v>0</v>
      </c>
    </row>
    <row r="1444">
      <c r="A1444">
        <f>Skills!A17</f>
        <v/>
      </c>
      <c r="B1444">
        <f>Skills!B17</f>
        <v/>
      </c>
      <c r="C1444">
        <f>Inputs!$B$3&gt;=66</f>
        <v/>
      </c>
      <c r="D1444">
        <f>IF(Skills!C17=1,60+Inputs!$B$25+Inputs!$B$29,IF(Skills!C17=2,90+Inputs!$B$26+Inputs!$B$29,IF(Skills!C17=3,120+Inputs!$B$27+Inputs!$B$29,MAX(0,(Inputs!$B$3-100)*3)+Inputs!$B$28+Inputs!$B$29)))</f>
        <v/>
      </c>
      <c r="E1444">
        <f>INDEX(FactorTable!$B$2:$Y$301, MATCH(ROUND(MIN(300,MAX(1,D1444)),0), FactorTable!$A$2:$A$301,0), Skills!M17+1)</f>
        <v/>
      </c>
      <c r="F1444">
        <f>IF(Skills!N17=TRUE,(Skills!L17/10)*(E1444/1000),Skills!L17/10)+Skills!O17</f>
        <v/>
      </c>
      <c r="G1444">
        <f>Skills!G17*IF(Skills!H17&gt;0,Skills!I17/Skills!H17,1)</f>
        <v/>
      </c>
      <c r="H1444">
        <f>1-(1-Skills!J17/100)^Skills!K17</f>
        <v/>
      </c>
      <c r="I1444" t="inlineStr">
        <is>
          <t>1</t>
        </is>
      </c>
      <c r="J1444" t="inlineStr"/>
      <c r="K1444" t="inlineStr"/>
      <c r="L1444" t="inlineStr"/>
      <c r="M1444" t="inlineStr"/>
      <c r="N1444" t="inlineStr"/>
      <c r="O1444">
        <f>(1-Summary!$B$55)*T1444+Summary!$B$55*V1444</f>
        <v/>
      </c>
      <c r="P1444">
        <f>IF(B1470=0,0,O1444/B1470)</f>
        <v/>
      </c>
      <c r="Q1444" t="n">
        <v>0</v>
      </c>
      <c r="R1444" t="n">
        <v>0</v>
      </c>
      <c r="S1444">
        <f>IFERROR(O1444/N1444,0)</f>
        <v/>
      </c>
      <c r="T1444" t="n">
        <v>0</v>
      </c>
      <c r="V1444" t="n">
        <v>0</v>
      </c>
    </row>
    <row r="1445">
      <c r="A1445">
        <f>Skills!A18</f>
        <v/>
      </c>
      <c r="B1445">
        <f>Skills!B18</f>
        <v/>
      </c>
      <c r="C1445">
        <f>Inputs!$B$3&gt;=72</f>
        <v/>
      </c>
      <c r="D1445">
        <f>IF(Skills!C18=1,60+Inputs!$B$25+Inputs!$B$29,IF(Skills!C18=2,90+Inputs!$B$26+Inputs!$B$29,IF(Skills!C18=3,120+Inputs!$B$27+Inputs!$B$29,MAX(0,(Inputs!$B$3-100)*3)+Inputs!$B$28+Inputs!$B$29)))</f>
        <v/>
      </c>
      <c r="E1445">
        <f>INDEX(FactorTable!$B$2:$Y$301, MATCH(ROUND(MIN(300,MAX(1,D1445)),0), FactorTable!$A$2:$A$301,0), Skills!M18+1)</f>
        <v/>
      </c>
      <c r="F1445">
        <f>IF(Skills!N18=TRUE,(Skills!L18/10)*(E1445/1000),Skills!L18/10)+Skills!O18</f>
        <v/>
      </c>
      <c r="G1445">
        <f>Skills!G18*IF(Skills!H18&gt;0,Skills!I18/Skills!H18,1)</f>
        <v/>
      </c>
      <c r="H1445">
        <f>1-(1-Skills!J18/100)^Skills!K18</f>
        <v/>
      </c>
      <c r="I1445" t="inlineStr">
        <is>
          <t>1</t>
        </is>
      </c>
      <c r="J1445" t="inlineStr"/>
      <c r="K1445" t="inlineStr"/>
      <c r="L1445" t="inlineStr"/>
      <c r="M1445" t="inlineStr"/>
      <c r="N1445" t="inlineStr"/>
      <c r="O1445">
        <f>(1-Summary!$B$55)*T1445+Summary!$B$55*V1445</f>
        <v/>
      </c>
      <c r="P1445">
        <f>IF(B1470=0,0,O1445/B1470)</f>
        <v/>
      </c>
      <c r="Q1445" t="n">
        <v>0</v>
      </c>
      <c r="R1445" t="n">
        <v>0</v>
      </c>
      <c r="S1445">
        <f>IFERROR(O1445/N1445,0)</f>
        <v/>
      </c>
      <c r="T1445" t="n">
        <v>0</v>
      </c>
      <c r="V1445" t="n">
        <v>0</v>
      </c>
    </row>
    <row r="1446">
      <c r="A1446">
        <f>Skills!A19</f>
        <v/>
      </c>
      <c r="B1446">
        <f>Skills!B19</f>
        <v/>
      </c>
      <c r="C1446">
        <f>TRUE</f>
        <v/>
      </c>
      <c r="D1446">
        <f>IF(Skills!C19=1,60+Inputs!$B$25+Inputs!$B$29,IF(Skills!C19=2,90+Inputs!$B$26+Inputs!$B$29,IF(Skills!C19=3,120+Inputs!$B$27+Inputs!$B$29,MAX(0,(Inputs!$B$3-100)*3)+Inputs!$B$28+Inputs!$B$29)))</f>
        <v/>
      </c>
      <c r="E1446">
        <f>INDEX(FactorTable!$B$2:$Y$301, MATCH(ROUND(MIN(300,MAX(1,D1446)),0), FactorTable!$A$2:$A$301,0), Skills!M19+1)</f>
        <v/>
      </c>
      <c r="F1446">
        <f>IF(Skills!N19=TRUE,(Skills!L19/10)*(E1446/1000),Skills!L19/10)+Skills!O19</f>
        <v/>
      </c>
      <c r="G1446">
        <f>Skills!G19*IF(Skills!H19&gt;0,Skills!I19/Skills!H19,1)</f>
        <v/>
      </c>
      <c r="H1446">
        <f>1-(1-Skills!J19/100)^Skills!K19</f>
        <v/>
      </c>
      <c r="I1446" t="inlineStr">
        <is>
          <t>1</t>
        </is>
      </c>
      <c r="J1446" t="inlineStr"/>
      <c r="K1446" t="inlineStr"/>
      <c r="L1446" t="inlineStr"/>
      <c r="M1446" t="inlineStr"/>
      <c r="N1446" t="inlineStr"/>
      <c r="O1446">
        <f>(1-Summary!$B$55)*T1446+Summary!$B$55*V1446</f>
        <v/>
      </c>
      <c r="P1446">
        <f>IF(B1470=0,0,O1446/B1470)</f>
        <v/>
      </c>
      <c r="Q1446">
        <f>IFERROR(1/IF(Inputs!$B$38="pvp",15,MAX(0.1,Skills!D19-IF(Skills!E19=TRUE,2.5,0))),0)</f>
        <v/>
      </c>
      <c r="R1446">
        <f>IF(AND(Inputs!$B$38&lt;&gt;"pvp",Inputs!$B$43&gt;0),IF(Inputs!$B$43&lt;=0,0,(INT(Inputs!$B$43/IF(Inputs!$B$38="pvp",15,MAX(0.1,Skills!D19-IF(Skills!E19=TRUE,2.5,0))))+1)),0)</f>
        <v/>
      </c>
      <c r="S1446">
        <f>IFERROR(O1446/N1446,0)</f>
        <v/>
      </c>
      <c r="T1446" t="n">
        <v>0</v>
      </c>
      <c r="V1446" t="n">
        <v>0</v>
      </c>
    </row>
    <row r="1447">
      <c r="A1447">
        <f>Skills!A20</f>
        <v/>
      </c>
      <c r="B1447">
        <f>Skills!B20</f>
        <v/>
      </c>
      <c r="C1447">
        <f>Inputs!$B$3&gt;=15</f>
        <v/>
      </c>
      <c r="D1447">
        <f>IF(Skills!C20=1,60+Inputs!$B$25+Inputs!$B$29,IF(Skills!C20=2,90+Inputs!$B$26+Inputs!$B$29,IF(Skills!C20=3,120+Inputs!$B$27+Inputs!$B$29,MAX(0,(Inputs!$B$3-100)*3)+Inputs!$B$28+Inputs!$B$29)))</f>
        <v/>
      </c>
      <c r="E1447">
        <f>INDEX(FactorTable!$B$2:$Y$301, MATCH(ROUND(MIN(300,MAX(1,D1447)),0), FactorTable!$A$2:$A$301,0), Skills!M20+1)</f>
        <v/>
      </c>
      <c r="F1447">
        <f>IF(Skills!N20=TRUE,(Skills!L20/10)*(E1447/1000),Skills!L20/10)+Skills!O20</f>
        <v/>
      </c>
      <c r="G1447">
        <f>Skills!G20*IF(Skills!H20&gt;0,Skills!I20/Skills!H20,1)</f>
        <v/>
      </c>
      <c r="H1447">
        <f>1-(1-Skills!J20/100)^Skills!K20</f>
        <v/>
      </c>
      <c r="I1447" t="inlineStr">
        <is>
          <t>1</t>
        </is>
      </c>
      <c r="J1447" t="inlineStr"/>
      <c r="K1447" t="inlineStr"/>
      <c r="L1447" t="inlineStr"/>
      <c r="M1447" t="inlineStr"/>
      <c r="N1447" t="inlineStr"/>
      <c r="O1447">
        <f>(1-Summary!$B$55)*T1447+Summary!$B$55*V1447</f>
        <v/>
      </c>
      <c r="P1447">
        <f>IF(B1470=0,0,O1447/B1470)</f>
        <v/>
      </c>
      <c r="Q1447" t="n">
        <v>0</v>
      </c>
      <c r="R1447" t="n">
        <v>0</v>
      </c>
      <c r="S1447">
        <f>IFERROR(O1447/N1447,0)</f>
        <v/>
      </c>
      <c r="T1447" t="n">
        <v>0</v>
      </c>
      <c r="V1447" t="n">
        <v>0</v>
      </c>
    </row>
    <row r="1448">
      <c r="A1448">
        <f>Skills!A21</f>
        <v/>
      </c>
      <c r="B1448">
        <f>Skills!B21</f>
        <v/>
      </c>
      <c r="C1448">
        <f>Inputs!$B$3&gt;=10</f>
        <v/>
      </c>
      <c r="D1448">
        <f>IF(Skills!C21=1,60+Inputs!$B$25+Inputs!$B$29,IF(Skills!C21=2,90+Inputs!$B$26+Inputs!$B$29,IF(Skills!C21=3,120+Inputs!$B$27+Inputs!$B$29,MAX(0,(Inputs!$B$3-100)*3)+Inputs!$B$28+Inputs!$B$29)))</f>
        <v/>
      </c>
      <c r="E1448">
        <f>INDEX(FactorTable!$B$2:$Y$301, MATCH(ROUND(MIN(300,MAX(1,D1448)),0), FactorTable!$A$2:$A$301,0), Skills!M21+1)</f>
        <v/>
      </c>
      <c r="F1448">
        <f>IF(Skills!N21=TRUE,(Skills!L21/10)*(E1448/1000),Skills!L21/10)+Skills!O21</f>
        <v/>
      </c>
      <c r="G1448">
        <f>Skills!G21*IF(Skills!H21&gt;0,Skills!I21/Skills!H21,1)</f>
        <v/>
      </c>
      <c r="H1448">
        <f>1-(1-Skills!J21/100)^Skills!K21</f>
        <v/>
      </c>
      <c r="I1448" t="inlineStr">
        <is>
          <t>1</t>
        </is>
      </c>
      <c r="J1448" t="inlineStr"/>
      <c r="K1448" t="inlineStr"/>
      <c r="L1448" t="inlineStr"/>
      <c r="M1448" t="inlineStr"/>
      <c r="N1448" t="inlineStr"/>
      <c r="O1448">
        <f>(1-Summary!$B$55)*T1448+Summary!$B$55*V1448</f>
        <v/>
      </c>
      <c r="P1448">
        <f>IF(B1470=0,0,O1448/B1470)</f>
        <v/>
      </c>
      <c r="Q1448" t="n">
        <v>0</v>
      </c>
      <c r="R1448" t="n">
        <v>0</v>
      </c>
      <c r="S1448">
        <f>IFERROR(O1448/N1448,0)</f>
        <v/>
      </c>
      <c r="T1448" t="n">
        <v>0</v>
      </c>
      <c r="V1448" t="n">
        <v>0</v>
      </c>
    </row>
    <row r="1449">
      <c r="A1449">
        <f>Skills!A22</f>
        <v/>
      </c>
      <c r="B1449">
        <f>Skills!B22</f>
        <v/>
      </c>
      <c r="C1449">
        <f>Inputs!$B$3&gt;=33</f>
        <v/>
      </c>
      <c r="D1449">
        <f>IF(Skills!C22=1,60+Inputs!$B$25+Inputs!$B$29,IF(Skills!C22=2,90+Inputs!$B$26+Inputs!$B$29,IF(Skills!C22=3,120+Inputs!$B$27+Inputs!$B$29,MAX(0,(Inputs!$B$3-100)*3)+Inputs!$B$28+Inputs!$B$29)))</f>
        <v/>
      </c>
      <c r="E1449">
        <f>INDEX(FactorTable!$B$2:$Y$301, MATCH(ROUND(MIN(300,MAX(1,D1449)),0), FactorTable!$A$2:$A$301,0), Skills!M22+1)</f>
        <v/>
      </c>
      <c r="F1449">
        <f>IF(Skills!N22=TRUE,(Skills!L22/10)*(E1449/1000),Skills!L22/10)+Skills!O22</f>
        <v/>
      </c>
      <c r="G1449">
        <f>Skills!G22*IF(Skills!H22&gt;0,Skills!I22/Skills!H22,1)</f>
        <v/>
      </c>
      <c r="H1449">
        <f>1-(1-Skills!J22/100)^Skills!K22</f>
        <v/>
      </c>
      <c r="I1449" t="inlineStr">
        <is>
          <t>1</t>
        </is>
      </c>
      <c r="J1449" t="inlineStr"/>
      <c r="K1449" t="inlineStr"/>
      <c r="L1449" t="inlineStr"/>
      <c r="M1449" t="inlineStr"/>
      <c r="N1449" t="inlineStr"/>
      <c r="O1449">
        <f>(1-Summary!$B$55)*T1449+Summary!$B$55*V1449</f>
        <v/>
      </c>
      <c r="P1449">
        <f>IF(B1470=0,0,O1449/B1470)</f>
        <v/>
      </c>
      <c r="Q1449" t="n">
        <v>0</v>
      </c>
      <c r="R1449" t="n">
        <v>0</v>
      </c>
      <c r="S1449">
        <f>IFERROR(O1449/N1449,0)</f>
        <v/>
      </c>
      <c r="T1449" t="n">
        <v>0</v>
      </c>
      <c r="V1449" t="n">
        <v>0</v>
      </c>
    </row>
    <row r="1450">
      <c r="A1450">
        <f>Skills!A23</f>
        <v/>
      </c>
      <c r="B1450">
        <f>Skills!B23</f>
        <v/>
      </c>
      <c r="C1450">
        <f>Inputs!$B$3&gt;=38</f>
        <v/>
      </c>
      <c r="D1450">
        <f>IF(Skills!C23=1,60+Inputs!$B$25+Inputs!$B$29,IF(Skills!C23=2,90+Inputs!$B$26+Inputs!$B$29,IF(Skills!C23=3,120+Inputs!$B$27+Inputs!$B$29,MAX(0,(Inputs!$B$3-100)*3)+Inputs!$B$28+Inputs!$B$29)))</f>
        <v/>
      </c>
      <c r="E1450">
        <f>INDEX(FactorTable!$B$2:$Y$301, MATCH(ROUND(MIN(300,MAX(1,D1450)),0), FactorTable!$A$2:$A$301,0), Skills!M23+1)</f>
        <v/>
      </c>
      <c r="F1450">
        <f>IF(Skills!N23=TRUE,(Skills!L23/10)*(E1450/1000),Skills!L23/10)+Skills!O23</f>
        <v/>
      </c>
      <c r="G1450">
        <f>Skills!G23*IF(Skills!H23&gt;0,Skills!I23/Skills!H23,1)</f>
        <v/>
      </c>
      <c r="H1450">
        <f>1-(1-Skills!J23/100)^Skills!K23</f>
        <v/>
      </c>
      <c r="I1450" t="inlineStr">
        <is>
          <t>1</t>
        </is>
      </c>
      <c r="J1450" t="inlineStr"/>
      <c r="K1450" t="inlineStr"/>
      <c r="L1450" t="inlineStr"/>
      <c r="M1450" t="inlineStr"/>
      <c r="N1450" t="inlineStr"/>
      <c r="O1450">
        <f>(1-Summary!$B$55)*T1450+Summary!$B$55*V1450</f>
        <v/>
      </c>
      <c r="P1450">
        <f>IF(B1470=0,0,O1450/B1470)</f>
        <v/>
      </c>
      <c r="Q1450" t="n">
        <v>0</v>
      </c>
      <c r="R1450" t="n">
        <v>0</v>
      </c>
      <c r="S1450">
        <f>IFERROR(O1450/N1450,0)</f>
        <v/>
      </c>
      <c r="T1450" t="n">
        <v>0</v>
      </c>
      <c r="V1450" t="n">
        <v>0</v>
      </c>
    </row>
    <row r="1451">
      <c r="A1451">
        <f>Skills!A24</f>
        <v/>
      </c>
      <c r="B1451">
        <f>Skills!B24</f>
        <v/>
      </c>
      <c r="C1451">
        <f>Inputs!$B$3&gt;=43</f>
        <v/>
      </c>
      <c r="D1451">
        <f>IF(Skills!C24=1,60+Inputs!$B$25+Inputs!$B$29,IF(Skills!C24=2,90+Inputs!$B$26+Inputs!$B$29,IF(Skills!C24=3,120+Inputs!$B$27+Inputs!$B$29,MAX(0,(Inputs!$B$3-100)*3)+Inputs!$B$28+Inputs!$B$29)))</f>
        <v/>
      </c>
      <c r="E1451">
        <f>INDEX(FactorTable!$B$2:$Y$301, MATCH(ROUND(MIN(300,MAX(1,D1451)),0), FactorTable!$A$2:$A$301,0), Skills!M24+1)</f>
        <v/>
      </c>
      <c r="F1451">
        <f>IF(Skills!N24=TRUE,(Skills!L24/10)*(E1451/1000),Skills!L24/10)+Skills!O24</f>
        <v/>
      </c>
      <c r="G1451">
        <f>Skills!G24*IF(Skills!H24&gt;0,Skills!I24/Skills!H24,1)</f>
        <v/>
      </c>
      <c r="H1451">
        <f>1-(1-Skills!J24/100)^Skills!K24</f>
        <v/>
      </c>
      <c r="I1451" t="inlineStr">
        <is>
          <t>1</t>
        </is>
      </c>
      <c r="J1451" t="inlineStr"/>
      <c r="K1451" t="inlineStr"/>
      <c r="L1451" t="inlineStr"/>
      <c r="M1451" t="inlineStr"/>
      <c r="N1451" t="inlineStr"/>
      <c r="O1451">
        <f>(1-Summary!$B$55)*T1451+Summary!$B$55*V1451</f>
        <v/>
      </c>
      <c r="P1451">
        <f>IF(B1470=0,0,O1451/B1470)</f>
        <v/>
      </c>
      <c r="Q1451" t="n">
        <v>0</v>
      </c>
      <c r="R1451" t="n">
        <v>0</v>
      </c>
      <c r="S1451">
        <f>IFERROR(O1451/N1451,0)</f>
        <v/>
      </c>
      <c r="T1451" t="n">
        <v>0</v>
      </c>
      <c r="V1451" t="n">
        <v>0</v>
      </c>
    </row>
    <row r="1452">
      <c r="A1452">
        <f>Skills!A25</f>
        <v/>
      </c>
      <c r="B1452">
        <f>Skills!B25</f>
        <v/>
      </c>
      <c r="C1452">
        <f>Inputs!$B$3&gt;=75</f>
        <v/>
      </c>
      <c r="D1452">
        <f>IF(Skills!C25=1,60+Inputs!$B$25+Inputs!$B$29,IF(Skills!C25=2,90+Inputs!$B$26+Inputs!$B$29,IF(Skills!C25=3,120+Inputs!$B$27+Inputs!$B$29,MAX(0,(Inputs!$B$3-100)*3)+Inputs!$B$28+Inputs!$B$29)))</f>
        <v/>
      </c>
      <c r="E1452">
        <f>INDEX(FactorTable!$B$2:$Y$301, MATCH(ROUND(MIN(300,MAX(1,D1452)),0), FactorTable!$A$2:$A$301,0), Skills!M25+1)</f>
        <v/>
      </c>
      <c r="F1452">
        <f>IF(Skills!N25=TRUE,(Skills!L25/10)*(E1452/1000),Skills!L25/10)+Skills!O25</f>
        <v/>
      </c>
      <c r="G1452">
        <f>Skills!G25*IF(Skills!H25&gt;0,Skills!I25/Skills!H25,1)</f>
        <v/>
      </c>
      <c r="H1452">
        <f>1-(1-Skills!J25/100)^Skills!K25</f>
        <v/>
      </c>
      <c r="I1452" t="inlineStr">
        <is>
          <t>1</t>
        </is>
      </c>
      <c r="J1452" t="inlineStr"/>
      <c r="K1452" t="inlineStr"/>
      <c r="L1452" t="inlineStr"/>
      <c r="M1452" t="inlineStr"/>
      <c r="N1452" t="inlineStr"/>
      <c r="O1452">
        <f>(1-Summary!$B$55)*T1452+Summary!$B$55*V1452</f>
        <v/>
      </c>
      <c r="P1452">
        <f>IF(B1470=0,0,O1452/B1470)</f>
        <v/>
      </c>
      <c r="Q1452" t="n">
        <v>0</v>
      </c>
      <c r="R1452" t="n">
        <v>0</v>
      </c>
      <c r="S1452">
        <f>IFERROR(O1452/N1452,0)</f>
        <v/>
      </c>
      <c r="T1452" t="n">
        <v>0</v>
      </c>
      <c r="V1452" t="n">
        <v>0</v>
      </c>
    </row>
    <row r="1453">
      <c r="A1453">
        <f>Skills!A26</f>
        <v/>
      </c>
      <c r="B1453">
        <f>Skills!B26</f>
        <v/>
      </c>
      <c r="C1453">
        <f>Inputs!$B$3&gt;=125</f>
        <v/>
      </c>
      <c r="D1453">
        <f>IF(Skills!C26=1,60+Inputs!$B$25+Inputs!$B$29,IF(Skills!C26=2,90+Inputs!$B$26+Inputs!$B$29,IF(Skills!C26=3,120+Inputs!$B$27+Inputs!$B$29,MAX(0,(Inputs!$B$3-100)*3)+Inputs!$B$28+Inputs!$B$29)))</f>
        <v/>
      </c>
      <c r="E1453">
        <f>INDEX(FactorTable!$B$2:$Y$301, MATCH(ROUND(MIN(300,MAX(1,D1453)),0), FactorTable!$A$2:$A$301,0), Skills!M26+1)</f>
        <v/>
      </c>
      <c r="F1453">
        <f>IF(Skills!N26=TRUE,(Skills!L26/10)*(E1453/1000),Skills!L26/10)+Skills!O26</f>
        <v/>
      </c>
      <c r="G1453">
        <f>Skills!G26*IF(Skills!H26&gt;0,Skills!I26/Skills!H26,1)</f>
        <v/>
      </c>
      <c r="H1453">
        <f>1-(1-Skills!J26/100)^Skills!K26</f>
        <v/>
      </c>
      <c r="I1453" t="inlineStr">
        <is>
          <t>1</t>
        </is>
      </c>
      <c r="J1453" t="inlineStr"/>
      <c r="K1453" t="inlineStr"/>
      <c r="L1453" t="inlineStr"/>
      <c r="M1453" t="inlineStr"/>
      <c r="N1453" t="inlineStr"/>
      <c r="O1453">
        <f>(1-Summary!$B$55)*T1453+Summary!$B$55*V1453</f>
        <v/>
      </c>
      <c r="P1453">
        <f>IF(B1470=0,0,O1453/B1470)</f>
        <v/>
      </c>
      <c r="Q1453" t="n">
        <v>0</v>
      </c>
      <c r="R1453" t="n">
        <v>0</v>
      </c>
      <c r="S1453">
        <f>IFERROR(O1453/N1453,0)</f>
        <v/>
      </c>
      <c r="T1453" t="n">
        <v>0</v>
      </c>
      <c r="V1453" t="n">
        <v>0</v>
      </c>
    </row>
    <row r="1454">
      <c r="A1454">
        <f>Skills!A27</f>
        <v/>
      </c>
      <c r="B1454">
        <f>Skills!B27</f>
        <v/>
      </c>
      <c r="C1454">
        <f>Inputs!$B$3&gt;=125</f>
        <v/>
      </c>
      <c r="D1454">
        <f>IF(Skills!C27=1,60+Inputs!$B$25+Inputs!$B$29,IF(Skills!C27=2,90+Inputs!$B$26+Inputs!$B$29,IF(Skills!C27=3,120+Inputs!$B$27+Inputs!$B$29,MAX(0,(Inputs!$B$3-100)*3)+Inputs!$B$28+Inputs!$B$29)))</f>
        <v/>
      </c>
      <c r="E1454">
        <f>INDEX(FactorTable!$B$2:$Y$301, MATCH(ROUND(MIN(300,MAX(1,D1454)),0), FactorTable!$A$2:$A$301,0), Skills!M27+1)</f>
        <v/>
      </c>
      <c r="F1454">
        <f>IF(Skills!N27=TRUE,(Skills!L27/10)*(E1454/1000),Skills!L27/10)+Skills!O27</f>
        <v/>
      </c>
      <c r="G1454">
        <f>Skills!G27*IF(Skills!H27&gt;0,Skills!I27/Skills!H27,1)</f>
        <v/>
      </c>
      <c r="H1454">
        <f>1-(1-Skills!J27/100)^Skills!K27</f>
        <v/>
      </c>
      <c r="I1454" t="inlineStr">
        <is>
          <t>1</t>
        </is>
      </c>
      <c r="J1454" t="inlineStr"/>
      <c r="K1454" t="inlineStr"/>
      <c r="L1454" t="inlineStr"/>
      <c r="M1454" t="inlineStr"/>
      <c r="N1454" t="inlineStr"/>
      <c r="O1454">
        <f>(1-Summary!$B$55)*T1454+Summary!$B$55*V1454</f>
        <v/>
      </c>
      <c r="P1454">
        <f>IF(B1470=0,0,O1454/B1470)</f>
        <v/>
      </c>
      <c r="Q1454" t="n">
        <v>0</v>
      </c>
      <c r="R1454" t="n">
        <v>0</v>
      </c>
      <c r="S1454">
        <f>IFERROR(O1454/N1454,0)</f>
        <v/>
      </c>
      <c r="T1454" t="n">
        <v>0</v>
      </c>
      <c r="V1454" t="n">
        <v>0</v>
      </c>
    </row>
    <row r="1455">
      <c r="A1455">
        <f>Skills!A28</f>
        <v/>
      </c>
      <c r="B1455">
        <f>Skills!B28</f>
        <v/>
      </c>
      <c r="C1455">
        <f>Inputs!$B$3&gt;=120</f>
        <v/>
      </c>
      <c r="D1455">
        <f>IF(Skills!C28=1,60+Inputs!$B$25+Inputs!$B$29,IF(Skills!C28=2,90+Inputs!$B$26+Inputs!$B$29,IF(Skills!C28=3,120+Inputs!$B$27+Inputs!$B$29,MAX(0,(Inputs!$B$3-100)*3)+Inputs!$B$28+Inputs!$B$29)))</f>
        <v/>
      </c>
      <c r="E1455">
        <f>INDEX(FactorTable!$B$2:$Y$301, MATCH(ROUND(MIN(300,MAX(1,D1455)),0), FactorTable!$A$2:$A$301,0), Skills!M28+1)</f>
        <v/>
      </c>
      <c r="F1455">
        <f>IF(Skills!N28=TRUE,(Skills!L28/10)*(E1455/1000),Skills!L28/10)+Skills!O28</f>
        <v/>
      </c>
      <c r="G1455">
        <f>Skills!G28*IF(Skills!H28&gt;0,Skills!I28/Skills!H28,1)</f>
        <v/>
      </c>
      <c r="H1455">
        <f>1-(1-Skills!J28/100)^Skills!K28</f>
        <v/>
      </c>
      <c r="I1455" t="inlineStr">
        <is>
          <t>1</t>
        </is>
      </c>
      <c r="J1455" t="inlineStr"/>
      <c r="K1455" t="inlineStr"/>
      <c r="L1455" t="inlineStr"/>
      <c r="M1455" t="inlineStr"/>
      <c r="N1455" t="inlineStr"/>
      <c r="O1455">
        <f>(1-Summary!$B$55)*T1455+Summary!$B$55*V1455</f>
        <v/>
      </c>
      <c r="P1455">
        <f>IF(B1470=0,0,O1455/B1470)</f>
        <v/>
      </c>
      <c r="Q1455" t="n">
        <v>0</v>
      </c>
      <c r="R1455" t="n">
        <v>0</v>
      </c>
      <c r="S1455">
        <f>IFERROR(O1455/N1455,0)</f>
        <v/>
      </c>
      <c r="T1455" t="n">
        <v>0</v>
      </c>
      <c r="V1455" t="n">
        <v>0</v>
      </c>
    </row>
    <row r="1456">
      <c r="A1456">
        <f>Skills!A29</f>
        <v/>
      </c>
      <c r="B1456">
        <f>Skills!B29</f>
        <v/>
      </c>
      <c r="C1456">
        <f>Inputs!$B$3&gt;=120</f>
        <v/>
      </c>
      <c r="D1456">
        <f>IF(Skills!C29=1,60+Inputs!$B$25+Inputs!$B$29,IF(Skills!C29=2,90+Inputs!$B$26+Inputs!$B$29,IF(Skills!C29=3,120+Inputs!$B$27+Inputs!$B$29,MAX(0,(Inputs!$B$3-100)*3)+Inputs!$B$28+Inputs!$B$29)))</f>
        <v/>
      </c>
      <c r="E1456">
        <f>INDEX(FactorTable!$B$2:$Y$301, MATCH(ROUND(MIN(300,MAX(1,D1456)),0), FactorTable!$A$2:$A$301,0), Skills!M29+1)</f>
        <v/>
      </c>
      <c r="F1456">
        <f>IF(Skills!N29=TRUE,(Skills!L29/10)*(E1456/1000),Skills!L29/10)+Skills!O29</f>
        <v/>
      </c>
      <c r="G1456">
        <f>Skills!G29*IF(Skills!H29&gt;0,Skills!I29/Skills!H29,1)</f>
        <v/>
      </c>
      <c r="H1456">
        <f>1-(1-Skills!J29/100)^Skills!K29</f>
        <v/>
      </c>
      <c r="I1456" t="inlineStr">
        <is>
          <t>1</t>
        </is>
      </c>
      <c r="J1456" t="inlineStr"/>
      <c r="K1456" t="inlineStr"/>
      <c r="L1456" t="inlineStr"/>
      <c r="M1456" t="inlineStr"/>
      <c r="N1456" t="inlineStr"/>
      <c r="O1456">
        <f>(1-Summary!$B$55)*T1456+Summary!$B$55*V1456</f>
        <v/>
      </c>
      <c r="P1456">
        <f>IF(B1470=0,0,O1456/B1470)</f>
        <v/>
      </c>
      <c r="Q1456" t="n">
        <v>0</v>
      </c>
      <c r="R1456" t="n">
        <v>0</v>
      </c>
      <c r="S1456">
        <f>IFERROR(O1456/N1456,0)</f>
        <v/>
      </c>
      <c r="T1456" t="n">
        <v>0</v>
      </c>
      <c r="V1456" t="n">
        <v>0</v>
      </c>
    </row>
    <row r="1457">
      <c r="A1457">
        <f>Skills!A30</f>
        <v/>
      </c>
      <c r="B1457">
        <f>Skills!B30</f>
        <v/>
      </c>
      <c r="C1457">
        <f>Inputs!$B$3&gt;=45</f>
        <v/>
      </c>
      <c r="D1457">
        <f>IF(Skills!C30=1,60+Inputs!$B$25+Inputs!$B$29,IF(Skills!C30=2,90+Inputs!$B$26+Inputs!$B$29,IF(Skills!C30=3,120+Inputs!$B$27+Inputs!$B$29,MAX(0,(Inputs!$B$3-100)*3)+Inputs!$B$28+Inputs!$B$29)))</f>
        <v/>
      </c>
      <c r="E1457">
        <f>INDEX(FactorTable!$B$2:$Y$301, MATCH(ROUND(MIN(300,MAX(1,D1457)),0), FactorTable!$A$2:$A$301,0), Skills!M30+1)</f>
        <v/>
      </c>
      <c r="F1457">
        <f>IF(Skills!N30=TRUE,(Skills!L30/10)*(E1457/1000),Skills!L30/10)+Skills!O30</f>
        <v/>
      </c>
      <c r="G1457">
        <f>Skills!G30*IF(Skills!H30&gt;0,Skills!I30/Skills!H30,1)</f>
        <v/>
      </c>
      <c r="H1457">
        <f>1-(1-Skills!J30/100)^Skills!K30</f>
        <v/>
      </c>
      <c r="I1457" t="inlineStr">
        <is>
          <t>1</t>
        </is>
      </c>
      <c r="J1457" t="inlineStr"/>
      <c r="K1457" t="inlineStr"/>
      <c r="L1457" t="inlineStr"/>
      <c r="M1457" t="inlineStr"/>
      <c r="N1457" t="inlineStr"/>
      <c r="O1457">
        <f>(1-Summary!$B$55)*T1457+Summary!$B$55*V1457</f>
        <v/>
      </c>
      <c r="P1457">
        <f>IF(B1470=0,0,O1457/B1470)</f>
        <v/>
      </c>
      <c r="Q1457" t="n">
        <v>0</v>
      </c>
      <c r="R1457" t="n">
        <v>0</v>
      </c>
      <c r="S1457">
        <f>IFERROR(O1457/N1457,0)</f>
        <v/>
      </c>
      <c r="T1457" t="n">
        <v>0</v>
      </c>
      <c r="V1457" t="n">
        <v>0</v>
      </c>
    </row>
    <row r="1459">
      <c r="A1459" t="inlineStr">
        <is>
          <t>Attack% Bucket Multiplier</t>
        </is>
      </c>
      <c r="B1459">
        <f>(1+(((C1440=TRUE)*F1440)+((C1441=TRUE)*IF(Inputs!$B$38="pvp",F1441,(1-Summary!$B$55)*(F1441)+Summary!$B$55*(0)))+((C1442=TRUE)*F1442*IF(AND(Inputs!$B$38&lt;&gt;"pvp",Inputs!$B$43&gt;0),(((R1442-1)*(Skills!T15*(1+Inputs!$B$34/100))+MIN((Skills!T15*(1+Inputs!$B$34/100)),MAX(0,Inputs!$B$43-((R1442-1)*Skills!D15))))/Inputs!$B$43),IF(Inputs!$B$38="pvp",MIN((Skills!T15*(1+Inputs!$B$34/100)),15)/15,(Skills!T15*(1+Inputs!$B$34/100))/Skills!D15)))+((C1457=TRUE)*(F1457-Calc!F30)))/100)</f>
        <v/>
      </c>
    </row>
    <row r="1460">
      <c r="A1460" t="inlineStr">
        <is>
          <t>Global Crit Rate Bonus %</t>
        </is>
      </c>
      <c r="B1460">
        <f>(C1443=TRUE)*20*IF(AND(Inputs!$B$38&lt;&gt;"pvp",Inputs!$B$43&gt;0),(((R1443-1)*(Skills!T16*(1+Inputs!$B$34/100))+MIN((Skills!T16*(1+Inputs!$B$34/100)),MAX(0,Inputs!$B$43-((R1443-1)*Skills!D16))))/Inputs!$B$43),IF(Inputs!$B$38="pvp",MIN((Skills!T16*(1+Inputs!$B$34/100)),15)/15,(Skills!T16*(1+Inputs!$B$34/100))/Skills!D16))</f>
        <v/>
      </c>
    </row>
    <row r="1461">
      <c r="A1461" t="inlineStr">
        <is>
          <t>Attack Speed Buff Bonus %</t>
        </is>
      </c>
      <c r="B1461">
        <f>((C1446=TRUE)*F1446*IF(AND(Inputs!$B$38&lt;&gt;"pvp",Inputs!$B$43&gt;0),(((R1446-1)*(Skills!T19*(1+Inputs!$B$34/100))+MIN((Skills!T19*(1+Inputs!$B$34/100)),MAX(0,Inputs!$B$43-((R1446-1)*Skills!D19))))/Inputs!$B$43),IF(Inputs!$B$38="pvp",MIN((Skills!T19*(1+Inputs!$B$34/100)),15)/15,(Skills!T19*(1+Inputs!$B$34/100))/Skills!D19)))</f>
        <v/>
      </c>
    </row>
    <row r="1462">
      <c r="A1462" t="inlineStr">
        <is>
          <t>Actions Per Second</t>
        </is>
      </c>
      <c r="B1462">
        <f>1+MIN(150,150*(1-(1-(Inputs!$B$11+((C1448=TRUE)*(F1448-Calc!F21))+((C1449=TRUE)*(F1449-Calc!F22)))/150)*(1-B1461/150)))/100</f>
        <v/>
      </c>
    </row>
    <row r="1463">
      <c r="A1463" t="inlineStr">
        <is>
          <t>Skill + Buff Cast Rate</t>
        </is>
      </c>
      <c r="B1463">
        <f>IF(AND(Inputs!$B$38&lt;&gt;"pvp",Inputs!$B$43&gt;0),SUMPRODUCT((Skills!E2:E30=TRUE)*(C1429:C1457=TRUE)*R1429:R1457*Skills!F2:F30)/Inputs!$B$43,SUMPRODUCT((Skills!E2:E30=TRUE)*(C1429:C1457=TRUE)*Q1429:Q1457*Skills!F2:F30))</f>
        <v/>
      </c>
    </row>
    <row r="1464">
      <c r="A1464" t="inlineStr">
        <is>
          <t>Arrow Stream Casts Per Second</t>
        </is>
      </c>
      <c r="B1464">
        <f>MAX(0,B1462-B1463)</f>
        <v/>
      </c>
    </row>
    <row r="1465">
      <c r="A1465" t="inlineStr">
        <is>
          <t>Global Critical Damage Bonus % (Sharp Eyes + Concentration)</t>
        </is>
      </c>
      <c r="B1465">
        <f>(C1443=TRUE)*F1443*IF(AND(Inputs!$B$38&lt;&gt;"pvp",Inputs!$B$43&gt;0),(((R1443-1)*(Skills!T16*(1+Inputs!$B$34/100))+MIN((Skills!T16*(1+Inputs!$B$34/100)),MAX(0,Inputs!$B$43-((R1443-1)*Skills!D16))))/Inputs!$B$43),IF(Inputs!$B$38="pvp",MIN((Skills!T16*(1+Inputs!$B$34/100)),15)/15,(Skills!T16*(1+Inputs!$B$34/100))/Skills!D16))+(C1444=TRUE)*30</f>
        <v/>
      </c>
    </row>
    <row r="1466">
      <c r="A1466" t="inlineStr">
        <is>
          <t>Global Final Damage Bonus % (Mortal Blow)</t>
        </is>
      </c>
      <c r="B1466">
        <f>(C1445=TRUE)*F1445</f>
        <v/>
      </c>
    </row>
    <row r="1467">
      <c r="A1467" t="inlineStr">
        <is>
          <t>Buff-Casting Startup Delay (s, fixed-duration only)</t>
        </is>
      </c>
      <c r="B1467">
        <f>IF(AND(Inputs!$B$38&lt;&gt;"pvp",Inputs!$B$43&gt;0),SUMPRODUCT((Skills!T2:T30&gt;0)*(Skills!E2:E30=TRUE)*(C1429:C1457=TRUE))/B1462,0)</f>
        <v/>
      </c>
    </row>
    <row r="1468">
      <c r="A1468" t="inlineStr">
        <is>
          <t>Boss-Only Total DPS (this block's swept value)</t>
        </is>
      </c>
      <c r="B1468">
        <f>SUM(T1429:T1457)</f>
        <v/>
      </c>
    </row>
    <row r="1469">
      <c r="A1469" t="inlineStr">
        <is>
          <t>Normal-Only Total DPS (this block's swept value)</t>
        </is>
      </c>
      <c r="B1469">
        <f>SUM(V1429:V1457)</f>
        <v/>
      </c>
    </row>
    <row r="1470">
      <c r="A1470" s="5" t="inlineStr">
        <is>
          <t>TOTAL DPS</t>
        </is>
      </c>
      <c r="B1470" s="5">
        <f>SUM(O1429:O1457)</f>
        <v/>
      </c>
    </row>
    <row r="1473">
      <c r="A1473" s="5" t="inlineStr">
        <is>
          <t>Stat: CDR = 3.0s</t>
        </is>
      </c>
    </row>
    <row r="1474">
      <c r="A1474" s="9" t="inlineStr">
        <is>
          <t>Key</t>
        </is>
      </c>
      <c r="B1474" s="9" t="inlineStr">
        <is>
          <t>Name</t>
        </is>
      </c>
      <c r="C1474" s="9" t="inlineStr">
        <is>
          <t>Unlocked</t>
        </is>
      </c>
      <c r="D1474" s="9" t="inlineStr">
        <is>
          <t>InputLevel</t>
        </is>
      </c>
      <c r="E1474" s="9" t="inlineStr">
        <is>
          <t>Factor</t>
        </is>
      </c>
      <c r="F1474" s="9" t="inlineStr">
        <is>
          <t>CoefficientPercent</t>
        </is>
      </c>
      <c r="G1474" s="9" t="inlineStr">
        <is>
          <t>EffectiveHits</t>
        </is>
      </c>
      <c r="H1474" s="9" t="inlineStr">
        <is>
          <t>ProcProbability</t>
        </is>
      </c>
      <c r="I1474" s="9" t="inlineStr">
        <is>
          <t>MapleHeroMultiplier</t>
        </is>
      </c>
      <c r="J1474" s="9" t="inlineStr">
        <is>
          <t>BaseDamage</t>
        </is>
      </c>
      <c r="K1474" s="9" t="inlineStr">
        <is>
          <t>BaseHitDamage</t>
        </is>
      </c>
      <c r="L1474" s="9" t="inlineStr">
        <is>
          <t>NonCritAvg</t>
        </is>
      </c>
      <c r="M1474" s="9" t="inlineStr">
        <is>
          <t>CritAvg</t>
        </is>
      </c>
      <c r="N1474" s="9" t="inlineStr">
        <is>
          <t>ExpectedDamage(perHit)</t>
        </is>
      </c>
      <c r="O1474" s="9" t="inlineStr">
        <is>
          <t>DPS</t>
        </is>
      </c>
      <c r="P1474" s="9" t="inlineStr">
        <is>
          <t>% of Total</t>
        </is>
      </c>
      <c r="Q1474" s="9" t="inlineStr">
        <is>
          <t>InvCooldown</t>
        </is>
      </c>
      <c r="R1474" s="9" t="inlineStr">
        <is>
          <t>CastsInFight</t>
        </is>
      </c>
      <c r="S1474" s="9" t="inlineStr">
        <is>
          <t>HitRate(perSec)</t>
        </is>
      </c>
      <c r="U1474" t="inlineStr">
        <is>
          <t>helpers</t>
        </is>
      </c>
    </row>
    <row r="1475">
      <c r="A1475">
        <f>Skills!A2</f>
        <v/>
      </c>
      <c r="B1475">
        <f>Skills!B2</f>
        <v/>
      </c>
      <c r="C1475">
        <f>Inputs!$B$3&gt;=100</f>
        <v/>
      </c>
      <c r="D1475" t="inlineStr"/>
      <c r="E1475" t="inlineStr"/>
      <c r="F1475">
        <f>U1477+Skills!O2</f>
        <v/>
      </c>
      <c r="G1475">
        <f>Skills!G2*IF(Skills!H2&gt;0,Skills!I2/Skills!H2,1)</f>
        <v/>
      </c>
      <c r="H1475">
        <f>1-(1-Skills!J2/100)^Skills!K2</f>
        <v/>
      </c>
      <c r="I1475" t="inlineStr">
        <is>
          <t>1</t>
        </is>
      </c>
      <c r="J1475">
        <f>((Inputs!$B$6*(1+Inputs!$B$7/100))+(((Inputs!$B$12*(1+Inputs!$B$13/100))-(Inputs!$B$12*(1+Inputs!$B$13/100)))+0.25*(Inputs!$B$14-Inputs!$B$14))*(1+Inputs!$B$7/100))*(F1475/100)</f>
        <v/>
      </c>
      <c r="K1475">
        <f>J1475*(1+((Inputs!$B$12*(1+Inputs!$B$13/100))*0.01+Inputs!$B$14*0.0025)/100)*(1+Inputs!$B$15/100)*(1+Inputs!$B$16/100)*(5000/(6000+Inputs!$B$42*(1-(Inputs!$B$19+((C1500=TRUE)*(F1500-Calc!F27)))/100)))*(1+(Inputs!$B$24+((C1498=TRUE)*(F1498-Calc!F25))+((C1499=TRUE)*(F1499-Calc!F26))+B1512)/100)*(1+(IF(Skills!A2="ARROW_STREAM",Inputs!$B$17+((C1496=TRUE)*(F1496-Calc!F23)),Inputs!$B$18+((C1501=TRUE)*(F1501-Calc!F28))))/100)*((1+(((C1486=TRUE)*F1486)+((C1487=TRUE)*IF(Inputs!$B$38="pvp",F1487,(1-Summary!$B$55)*(F1487)+Summary!$B$55*(0)))+((C1488=TRUE)*F1488*IF(AND(Inputs!$B$38&lt;&gt;"pvp",Inputs!$B$43&gt;0),(((R1488-1)*(Skills!T15*(1+Inputs!$B$34/100))+MIN((Skills!T15*(1+Inputs!$B$34/100)),MAX(0,Inputs!$B$43-((R1488-1)*Skills!D15))))/Inputs!$B$43),IF(Inputs!$B$38="pvp",MIN((Skills!T15*(1+Inputs!$B$34/100)),15)/15,(Skills!T15*(1+Inputs!$B$34/100))/Skills!D15)))+((C1503=TRUE)*(F1503-Calc!F30)))/100)*I1475)</f>
        <v/>
      </c>
      <c r="L1475">
        <f>K1475*(MIN(Inputs!$B$22+((C1497=TRUE)*(F1497-Calc!F24)),Inputs!$B$23+((C1502=TRUE)*(F1502-Calc!F29)))/100+(Inputs!$B$23+((C1502=TRUE)*(F1502-Calc!F29)))/100)/2</f>
        <v/>
      </c>
      <c r="M1475">
        <f>L1475*(1+(Inputs!$B$10+0+B1511)/100)</f>
        <v/>
      </c>
      <c r="N1475">
        <f>L1475*(1-MIN((Inputs!$B$9+((C1493=TRUE)*(F1493-Calc!F20))+B1506),100)/100)+M1475*(MIN((Inputs!$B$9+((C1493=TRUE)*(F1493-Calc!F20))+B1506),100)/100)</f>
        <v/>
      </c>
      <c r="O1475">
        <f>(1-Summary!$B$55)*T1475+Summary!$B$55*V1475</f>
        <v/>
      </c>
      <c r="P1475">
        <f>IF(B1516=0,0,O1475/B1516)</f>
        <v/>
      </c>
      <c r="Q1475" t="n">
        <v>0</v>
      </c>
      <c r="R1475" t="n">
        <v>0</v>
      </c>
      <c r="S1475">
        <f>IFERROR(O1475/N1475,0)</f>
        <v/>
      </c>
      <c r="T1475">
        <f>IF(C1475,(Skills!G2*N1475*B1510)*IF(Inputs!$B$38="pvp",1,1+(Inputs!$B$20+0+Skills!P2)/100),0)</f>
        <v/>
      </c>
      <c r="U1475">
        <f>MAX(0,(Inputs!$B$3-100)*3)+Inputs!$B$28+Inputs!$B$29</f>
        <v/>
      </c>
      <c r="V1475">
        <f>IF(C1475,(Skills!G2*N1475*B1510)*IF(Inputs!$B$38="pvp",1,(1+(Inputs!$B$21+Skills!Q2)/100)*(MIN((6+Inputs!$B$33),Inputs!$B$37))),0)</f>
        <v/>
      </c>
    </row>
    <row r="1476">
      <c r="A1476">
        <f>Skills!A3</f>
        <v/>
      </c>
      <c r="B1476">
        <f>Skills!B3</f>
        <v/>
      </c>
      <c r="C1476">
        <f>Inputs!$B$3&gt;=50</f>
        <v/>
      </c>
      <c r="D1476">
        <f>IF(Skills!C3=1,60+Inputs!$B$25+Inputs!$B$29,IF(Skills!C3=2,90+Inputs!$B$26+Inputs!$B$29,IF(Skills!C3=3,120+Inputs!$B$27+Inputs!$B$29,MAX(0,(Inputs!$B$3-100)*3)+Inputs!$B$28+Inputs!$B$29)))</f>
        <v/>
      </c>
      <c r="E1476">
        <f>INDEX(FactorTable!$B$2:$Y$301, MATCH(ROUND(MIN(300,MAX(1,D1476)),0), FactorTable!$A$2:$A$301,0), Skills!M3+1)</f>
        <v/>
      </c>
      <c r="F1476">
        <f>IF(Skills!N3=TRUE,(Skills!L3/10)*(E1476/1000),Skills!L3/10)+Skills!O3</f>
        <v/>
      </c>
      <c r="G1476" t="inlineStr"/>
      <c r="H1476" t="inlineStr"/>
      <c r="I1476" t="inlineStr">
        <is>
          <t>1</t>
        </is>
      </c>
      <c r="J1476" t="inlineStr"/>
      <c r="K1476" t="inlineStr"/>
      <c r="L1476" t="inlineStr"/>
      <c r="M1476" t="inlineStr"/>
      <c r="N1476" t="inlineStr"/>
      <c r="O1476" t="inlineStr"/>
      <c r="P1476" t="inlineStr"/>
      <c r="Q1476" t="inlineStr"/>
      <c r="R1476" t="inlineStr"/>
      <c r="S1476" t="inlineStr"/>
      <c r="T1476" t="inlineStr"/>
      <c r="U1476">
        <f>INDEX(FactorTable!$B$2:$Y$301, MATCH(ROUND(MIN(300,MAX(1,U1475)),0), FactorTable!$A$2:$A$301,0), 22)</f>
        <v/>
      </c>
      <c r="V1476" t="inlineStr"/>
    </row>
    <row r="1477">
      <c r="A1477">
        <f>Skills!A4</f>
        <v/>
      </c>
      <c r="B1477">
        <f>Skills!B4</f>
        <v/>
      </c>
      <c r="C1477">
        <f>Inputs!$B$3&gt;=105</f>
        <v/>
      </c>
      <c r="D1477">
        <f>IF(Skills!C4=1,60+Inputs!$B$25+Inputs!$B$29,IF(Skills!C4=2,90+Inputs!$B$26+Inputs!$B$29,IF(Skills!C4=3,120+Inputs!$B$27+Inputs!$B$29,MAX(0,(Inputs!$B$3-100)*3)+Inputs!$B$28+Inputs!$B$29)))</f>
        <v/>
      </c>
      <c r="E1477">
        <f>INDEX(FactorTable!$B$2:$Y$301, MATCH(ROUND(MIN(300,MAX(1,D1477)),0), FactorTable!$A$2:$A$301,0), Skills!M4+1)</f>
        <v/>
      </c>
      <c r="F1477">
        <f>IF(Skills!N4=TRUE,(Skills!L4/10)*(E1477/1000),Skills!L4/10)+Skills!O4</f>
        <v/>
      </c>
      <c r="G1477" t="inlineStr"/>
      <c r="H1477" t="inlineStr"/>
      <c r="I1477" t="inlineStr">
        <is>
          <t>1</t>
        </is>
      </c>
      <c r="J1477" t="inlineStr"/>
      <c r="K1477" t="inlineStr"/>
      <c r="L1477" t="inlineStr"/>
      <c r="M1477" t="inlineStr"/>
      <c r="N1477" t="inlineStr"/>
      <c r="O1477" t="inlineStr"/>
      <c r="P1477" t="inlineStr"/>
      <c r="Q1477" t="inlineStr"/>
      <c r="R1477" t="inlineStr"/>
      <c r="S1477" t="inlineStr"/>
      <c r="T1477" t="inlineStr"/>
      <c r="U1477">
        <f>290*U1476/1000</f>
        <v/>
      </c>
      <c r="V1477" t="inlineStr"/>
    </row>
    <row r="1478">
      <c r="A1478">
        <f>Skills!A5</f>
        <v/>
      </c>
      <c r="B1478">
        <f>Skills!B5</f>
        <v/>
      </c>
      <c r="C1478">
        <f>Inputs!$B$3&gt;=35</f>
        <v/>
      </c>
      <c r="D1478">
        <f>IF(Skills!C5=1,60+Inputs!$B$25+Inputs!$B$29,IF(Skills!C5=2,90+Inputs!$B$26+Inputs!$B$29,IF(Skills!C5=3,120+Inputs!$B$27+Inputs!$B$29,MAX(0,(Inputs!$B$3-100)*3)+Inputs!$B$28+Inputs!$B$29)))</f>
        <v/>
      </c>
      <c r="E1478">
        <f>INDEX(FactorTable!$B$2:$Y$301, MATCH(ROUND(MIN(300,MAX(1,D1478)),0), FactorTable!$A$2:$A$301,0), Skills!M5+1)</f>
        <v/>
      </c>
      <c r="F1478">
        <f>IF(Skills!N5=TRUE,(Skills!L5/10)*(E1478/1000),Skills!L5/10)+Skills!O5</f>
        <v/>
      </c>
      <c r="G1478">
        <f>Skills!G5*IF(Skills!H5&gt;0,Skills!I5/Skills!H5,1)</f>
        <v/>
      </c>
      <c r="H1478">
        <f>1-(1-Skills!J5/100)^Skills!K5</f>
        <v/>
      </c>
      <c r="I1478" t="inlineStr">
        <is>
          <t>1</t>
        </is>
      </c>
      <c r="J1478">
        <f>((Inputs!$B$6*(1+Inputs!$B$7/100))+(((Inputs!$B$12*(1+Inputs!$B$13/100))-(Inputs!$B$12*(1+Inputs!$B$13/100)))+0.25*(Inputs!$B$14-Inputs!$B$14))*(1+Inputs!$B$7/100))*(F1478/100)</f>
        <v/>
      </c>
      <c r="K1478">
        <f>J1478*(1+((Inputs!$B$12*(1+Inputs!$B$13/100))*0.01+Inputs!$B$14*0.0025)/100)*(1+Inputs!$B$15/100)*(1+Inputs!$B$16/100)*(5000/(6000+Inputs!$B$42*(1-(Inputs!$B$19+((C1500=TRUE)*(F1500-Calc!F27)))/100)))*(1+(Inputs!$B$24+((C1498=TRUE)*(F1498-Calc!F25))+((C1499=TRUE)*(F1499-Calc!F26))+B1512)/100)*(1+4.0*IF(C1483=TRUE,F1483,0)/100)*(1+(IF(Skills!A5="ARROW_STREAM",Inputs!$B$17+((C1496=TRUE)*(F1496-Calc!F23)),Inputs!$B$18+((C1501=TRUE)*(F1501-Calc!F28))))/100)*((1+(((C1486=TRUE)*F1486)+((C1487=TRUE)*IF(Inputs!$B$38="pvp",F1487,(1-Summary!$B$55)*(F1487)+Summary!$B$55*(0)))+((C1488=TRUE)*F1488*IF(AND(Inputs!$B$38&lt;&gt;"pvp",Inputs!$B$43&gt;0),(((R1488-1)*(Skills!T15*(1+Inputs!$B$34/100))+MIN((Skills!T15*(1+Inputs!$B$34/100)),MAX(0,Inputs!$B$43-((R1488-1)*Skills!D15))))/Inputs!$B$43),IF(Inputs!$B$38="pvp",MIN((Skills!T15*(1+Inputs!$B$34/100)),15)/15,(Skills!T15*(1+Inputs!$B$34/100))/Skills!D15)))+((C1503=TRUE)*(F1503-Calc!F30)))/100)*I1478)</f>
        <v/>
      </c>
      <c r="L1478">
        <f>K1478*(MIN(Inputs!$B$22+((C1497=TRUE)*(F1497-Calc!F24)),Inputs!$B$23+((C1502=TRUE)*(F1502-Calc!F29)))/100+(Inputs!$B$23+((C1502=TRUE)*(F1502-Calc!F29)))/100)/2</f>
        <v/>
      </c>
      <c r="M1478">
        <f>L1478*(1+(Inputs!$B$10+0+B1511)/100)</f>
        <v/>
      </c>
      <c r="N1478">
        <f>L1478*(1-MIN((Inputs!$B$9+((C1493=TRUE)*(F1493-Calc!F20))+B1506),100)/100)+M1478*(MIN((Inputs!$B$9+((C1493=TRUE)*(F1493-Calc!F20))+B1506),100)/100)</f>
        <v/>
      </c>
      <c r="O1478">
        <f>(1-Summary!$B$55)*T1478+Summary!$B$55*V1478</f>
        <v/>
      </c>
      <c r="P1478">
        <f>IF(B1516=0,0,O1478/B1516)</f>
        <v/>
      </c>
      <c r="Q1478">
        <f>IFERROR(1/IF(Inputs!$B$38="pvp",15,MAX(0.1,Skills!D5-IF(Skills!E5=TRUE,3.0,0))),0)</f>
        <v/>
      </c>
      <c r="R1478">
        <f>IF(AND(Inputs!$B$38&lt;&gt;"pvp",Inputs!$B$43&gt;0),IF(MAX(0,Inputs!$B$43-B1513)&lt;=0,0,(INT(MAX(0,Inputs!$B$43-B1513)/IF(Inputs!$B$38="pvp",15,MAX(0.1,Skills!D5-IF(Skills!E5=TRUE,3.0,0))))+1)),0)</f>
        <v/>
      </c>
      <c r="S1478">
        <f>IFERROR(O1478/N1478,0)</f>
        <v/>
      </c>
      <c r="T1478">
        <f>IF(C1478,(H1478*N1478*IF(AND(Inputs!$B$38&lt;&gt;"pvp",Inputs!$B$43&gt;0),((Skills!G5*((R1478-1)*IF(Skills!H5&gt;0,Skills!I5/Skills!H5,1)+IF(Skills!H5&gt;0,MIN(Skills!I5,MAX(0,MAX(0,Inputs!$B$43-B1513)-((R1478-1)*IF(Inputs!$B$38="pvp",15,MAX(0.1,Skills!D5-IF(Skills!E5=TRUE,3.0,0))))))/Skills!H5,1)))/Inputs!$B$43),G1478*Q1478))*IF(Inputs!$B$38="pvp",1,1+(Inputs!$B$20+0+Skills!P5)/100),0)</f>
        <v/>
      </c>
      <c r="V1478">
        <f>IF(C1478,(H1478*N1478*IF(AND(Inputs!$B$38&lt;&gt;"pvp",Inputs!$B$43&gt;0),((Skills!G5*((R1478-1)*IF(Skills!H5&gt;0,Skills!I5/Skills!H5,1)+IF(Skills!H5&gt;0,MIN(Skills!I5,MAX(0,MAX(0,Inputs!$B$43-B1513)-((R1478-1)*IF(Inputs!$B$38="pvp",15,MAX(0.1,Skills!D5-IF(Skills!E5=TRUE,3.0,0))))))/Skills!H5,1)))/Inputs!$B$43),G1478*Q1478))*IF(Inputs!$B$38="pvp",1,(1+(Inputs!$B$21+Skills!Q5)/100)*(MIN(Skills!R5,Inputs!$B$37))),0)</f>
        <v/>
      </c>
    </row>
    <row r="1479">
      <c r="A1479">
        <f>Skills!A6</f>
        <v/>
      </c>
      <c r="B1479">
        <f>Skills!B6</f>
        <v/>
      </c>
      <c r="C1479">
        <f>Inputs!$B$3&gt;=40</f>
        <v/>
      </c>
      <c r="D1479">
        <f>IF(Skills!C6=1,60+Inputs!$B$25+Inputs!$B$29,IF(Skills!C6=2,90+Inputs!$B$26+Inputs!$B$29,IF(Skills!C6=3,120+Inputs!$B$27+Inputs!$B$29,MAX(0,(Inputs!$B$3-100)*3)+Inputs!$B$28+Inputs!$B$29)))</f>
        <v/>
      </c>
      <c r="E1479">
        <f>INDEX(FactorTable!$B$2:$Y$301, MATCH(ROUND(MIN(300,MAX(1,D1479)),0), FactorTable!$A$2:$A$301,0), Skills!M6+1)</f>
        <v/>
      </c>
      <c r="F1479">
        <f>IF(Skills!N6=TRUE,(Skills!L6/10)*(E1479/1000),Skills!L6/10)+Skills!O6</f>
        <v/>
      </c>
      <c r="G1479">
        <f>Skills!G6*IF(Skills!H6&gt;0,Skills!I6/Skills!H6,1)</f>
        <v/>
      </c>
      <c r="H1479">
        <f>1-(1-Skills!J6/100)^Skills!K6</f>
        <v/>
      </c>
      <c r="I1479" t="inlineStr">
        <is>
          <t>1</t>
        </is>
      </c>
      <c r="J1479">
        <f>((Inputs!$B$6*(1+Inputs!$B$7/100))+(((Inputs!$B$12*(1+Inputs!$B$13/100))-(Inputs!$B$12*(1+Inputs!$B$13/100)))+0.25*(Inputs!$B$14-Inputs!$B$14))*(1+Inputs!$B$7/100))*(F1479/100)</f>
        <v/>
      </c>
      <c r="K1479">
        <f>J1479*(1+((Inputs!$B$12*(1+Inputs!$B$13/100))*0.01+Inputs!$B$14*0.0025)/100)*(1+Inputs!$B$15/100)*(1+Inputs!$B$16/100)*(5000/(6000+Inputs!$B$42*(1-(Inputs!$B$19+((C1500=TRUE)*(F1500-Calc!F27)))/100)))*(1+(Inputs!$B$24+((C1498=TRUE)*(F1498-Calc!F25))+((C1499=TRUE)*(F1499-Calc!F26))+B1512)/100)*(1+IF(C1480=TRUE,F1480,0)/100)*(1+(IF(Skills!A6="ARROW_STREAM",Inputs!$B$17+((C1496=TRUE)*(F1496-Calc!F23)),Inputs!$B$18+((C1501=TRUE)*(F1501-Calc!F28))))/100)*((1+(((C1486=TRUE)*F1486)+((C1487=TRUE)*IF(Inputs!$B$38="pvp",F1487,(1-Summary!$B$55)*(F1487)+Summary!$B$55*(0)))+((C1488=TRUE)*F1488*IF(AND(Inputs!$B$38&lt;&gt;"pvp",Inputs!$B$43&gt;0),(((R1488-1)*(Skills!T15*(1+Inputs!$B$34/100))+MIN((Skills!T15*(1+Inputs!$B$34/100)),MAX(0,Inputs!$B$43-((R1488-1)*Skills!D15))))/Inputs!$B$43),IF(Inputs!$B$38="pvp",MIN((Skills!T15*(1+Inputs!$B$34/100)),15)/15,(Skills!T15*(1+Inputs!$B$34/100))/Skills!D15)))+((C1503=TRUE)*(F1503-Calc!F30)))/100)*I1479)</f>
        <v/>
      </c>
      <c r="L1479">
        <f>K1479*(MIN(Inputs!$B$22+((C1497=TRUE)*(F1497-Calc!F24)),Inputs!$B$23+((C1502=TRUE)*(F1502-Calc!F29)))/100+(Inputs!$B$23+((C1502=TRUE)*(F1502-Calc!F29)))/100)/2</f>
        <v/>
      </c>
      <c r="M1479">
        <f>L1479*(1+(Inputs!$B$10+0+B1511)/100)</f>
        <v/>
      </c>
      <c r="N1479">
        <f>L1479*(1-MIN((Inputs!$B$9+((C1493=TRUE)*(F1493-Calc!F20))+B1506),100)/100)+M1479*(MIN((Inputs!$B$9+((C1493=TRUE)*(F1493-Calc!F20))+B1506),100)/100)</f>
        <v/>
      </c>
      <c r="O1479">
        <f>(1-Summary!$B$55)*T1479+Summary!$B$55*V1479</f>
        <v/>
      </c>
      <c r="P1479">
        <f>IF(B1516=0,0,O1479/B1516)</f>
        <v/>
      </c>
      <c r="Q1479">
        <f>IFERROR(1/IF(Inputs!$B$38="pvp",15,MAX(0.1,Skills!D6-IF(Skills!E6=TRUE,3.0,0))),0)</f>
        <v/>
      </c>
      <c r="R1479">
        <f>IF(AND(Inputs!$B$38&lt;&gt;"pvp",Inputs!$B$43&gt;0),IF(MAX(0,Inputs!$B$43-B1513)&lt;=0,0,(INT(MAX(0,Inputs!$B$43-B1513)/IF(Inputs!$B$38="pvp",15,MAX(0.1,Skills!D6-IF(Skills!E6=TRUE,3.0,0))))+1)),0)</f>
        <v/>
      </c>
      <c r="S1479">
        <f>IFERROR(O1479/N1479,0)</f>
        <v/>
      </c>
      <c r="T1479">
        <f>IF(C1479,(H1479*N1479*IF(AND(Inputs!$B$38&lt;&gt;"pvp",Inputs!$B$43&gt;0),((Skills!G6*((R1479-1)*IF(Skills!H6&gt;0,Skills!I6/Skills!H6,1)+IF(Skills!H6&gt;0,MIN(Skills!I6,MAX(0,MAX(0,Inputs!$B$43-B1513)-((R1479-1)*IF(Inputs!$B$38="pvp",15,MAX(0.1,Skills!D6-IF(Skills!E6=TRUE,3.0,0))))))/Skills!H6,1)))/Inputs!$B$43),G1479*Q1479))*IF(Inputs!$B$38="pvp",1,1+(Inputs!$B$20+0+Skills!P6)/100),0)</f>
        <v/>
      </c>
      <c r="V1479">
        <f>IF(C1479,(H1479*N1479*IF(AND(Inputs!$B$38&lt;&gt;"pvp",Inputs!$B$43&gt;0),((Skills!G6*((R1479-1)*IF(Skills!H6&gt;0,Skills!I6/Skills!H6,1)+IF(Skills!H6&gt;0,MIN(Skills!I6,MAX(0,MAX(0,Inputs!$B$43-B1513)-((R1479-1)*IF(Inputs!$B$38="pvp",15,MAX(0.1,Skills!D6-IF(Skills!E6=TRUE,3.0,0))))))/Skills!H6,1)))/Inputs!$B$43),G1479*Q1479))*IF(Inputs!$B$38="pvp",1,(1+(Inputs!$B$21+Skills!Q6)/100)*(MIN(Skills!R6,Inputs!$B$37))),0)</f>
        <v/>
      </c>
    </row>
    <row r="1480">
      <c r="A1480">
        <f>Skills!A7</f>
        <v/>
      </c>
      <c r="B1480">
        <f>Skills!B7</f>
        <v/>
      </c>
      <c r="C1480">
        <f>Inputs!$B$3&gt;=107</f>
        <v/>
      </c>
      <c r="D1480">
        <f>IF(Skills!C7=1,60+Inputs!$B$25+Inputs!$B$29,IF(Skills!C7=2,90+Inputs!$B$26+Inputs!$B$29,IF(Skills!C7=3,120+Inputs!$B$27+Inputs!$B$29,MAX(0,(Inputs!$B$3-100)*3)+Inputs!$B$28+Inputs!$B$29)))</f>
        <v/>
      </c>
      <c r="E1480">
        <f>INDEX(FactorTable!$B$2:$Y$301, MATCH(ROUND(MIN(300,MAX(1,D1480)),0), FactorTable!$A$2:$A$301,0), Skills!M7+1)</f>
        <v/>
      </c>
      <c r="F1480">
        <f>IF(Skills!N7=TRUE,(Skills!L7/10)*(E1480/1000),Skills!L7/10)+Skills!O7</f>
        <v/>
      </c>
      <c r="G1480" t="inlineStr"/>
      <c r="H1480" t="inlineStr"/>
      <c r="I1480" t="inlineStr">
        <is>
          <t>1</t>
        </is>
      </c>
      <c r="J1480" t="inlineStr"/>
      <c r="K1480" t="inlineStr"/>
      <c r="L1480" t="inlineStr"/>
      <c r="M1480" t="inlineStr"/>
      <c r="N1480" t="inlineStr"/>
      <c r="O1480" t="inlineStr"/>
      <c r="P1480" t="inlineStr"/>
      <c r="Q1480" t="inlineStr"/>
      <c r="R1480" t="inlineStr"/>
      <c r="S1480" t="inlineStr"/>
      <c r="T1480" t="inlineStr"/>
      <c r="V1480" t="inlineStr"/>
    </row>
    <row r="1481">
      <c r="A1481">
        <f>Skills!A8</f>
        <v/>
      </c>
      <c r="B1481">
        <f>Skills!B8</f>
        <v/>
      </c>
      <c r="C1481">
        <f>Inputs!$B$3&gt;=69</f>
        <v/>
      </c>
      <c r="D1481">
        <f>IF(Skills!C8=1,60+Inputs!$B$25+Inputs!$B$29,IF(Skills!C8=2,90+Inputs!$B$26+Inputs!$B$29,IF(Skills!C8=3,120+Inputs!$B$27+Inputs!$B$29,MAX(0,(Inputs!$B$3-100)*3)+Inputs!$B$28+Inputs!$B$29)))</f>
        <v/>
      </c>
      <c r="E1481">
        <f>INDEX(FactorTable!$B$2:$Y$301, MATCH(ROUND(MIN(300,MAX(1,D1481)),0), FactorTable!$A$2:$A$301,0), Skills!M8+1)</f>
        <v/>
      </c>
      <c r="F1481">
        <f>IF(Skills!N8=TRUE,(Skills!L8/10)*(E1481/1000),Skills!L8/10)+Skills!O8</f>
        <v/>
      </c>
      <c r="G1481">
        <f>Skills!G8*IF(Skills!H8&gt;0,Skills!I8/Skills!H8,1)</f>
        <v/>
      </c>
      <c r="H1481">
        <f>1-(1-Skills!J8/100)^Skills!K8</f>
        <v/>
      </c>
      <c r="I1481" t="inlineStr">
        <is>
          <t>1</t>
        </is>
      </c>
      <c r="J1481">
        <f>((Inputs!$B$6*(1+Inputs!$B$7/100))+(((Inputs!$B$12*(1+Inputs!$B$13/100))-(Inputs!$B$12*(1+Inputs!$B$13/100)))+0.25*(Inputs!$B$14-Inputs!$B$14))*(1+Inputs!$B$7/100))*(F1481/100)</f>
        <v/>
      </c>
      <c r="K1481">
        <f>J1481*(1+((Inputs!$B$12*(1+Inputs!$B$13/100))*0.01+Inputs!$B$14*0.0025)/100)*(1+Inputs!$B$15/100)*(1+Inputs!$B$16/100)*(5000/(6000+Inputs!$B$42*(1-(Inputs!$B$19+((C1500=TRUE)*(F1500-Calc!F27)))/100)))*(1+(Inputs!$B$24+((C1498=TRUE)*(F1498-Calc!F25))+((C1499=TRUE)*(F1499-Calc!F26))+B1512)/100)*(1+1.2*IF(C1483=TRUE,F1483,0)/100)*(1+(IF(Skills!A8="ARROW_STREAM",Inputs!$B$17+((C1496=TRUE)*(F1496-Calc!F23)),Inputs!$B$18+((C1501=TRUE)*(F1501-Calc!F28))))/100)*((1+(((C1486=TRUE)*F1486)+((C1487=TRUE)*IF(Inputs!$B$38="pvp",F1487,(1-Summary!$B$55)*(F1487)+Summary!$B$55*(0)))+((C1488=TRUE)*F1488*IF(AND(Inputs!$B$38&lt;&gt;"pvp",Inputs!$B$43&gt;0),(((R1488-1)*(Skills!T15*(1+Inputs!$B$34/100))+MIN((Skills!T15*(1+Inputs!$B$34/100)),MAX(0,Inputs!$B$43-((R1488-1)*Skills!D15))))/Inputs!$B$43),IF(Inputs!$B$38="pvp",MIN((Skills!T15*(1+Inputs!$B$34/100)),15)/15,(Skills!T15*(1+Inputs!$B$34/100))/Skills!D15)))+((C1503=TRUE)*(F1503-Calc!F30)))/100)*I1481)</f>
        <v/>
      </c>
      <c r="L1481">
        <f>K1481*(MIN(Inputs!$B$22+((C1497=TRUE)*(F1497-Calc!F24)),Inputs!$B$23+((C1502=TRUE)*(F1502-Calc!F29)))/100+(Inputs!$B$23+((C1502=TRUE)*(F1502-Calc!F29)))/100)/2</f>
        <v/>
      </c>
      <c r="M1481">
        <f>L1481*(1+(Inputs!$B$10+0+B1511)/100)</f>
        <v/>
      </c>
      <c r="N1481">
        <f>L1481*(1-MIN((Inputs!$B$9+((C1493=TRUE)*(F1493-Calc!F20))+B1506),100)/100)+M1481*(MIN((Inputs!$B$9+((C1493=TRUE)*(F1493-Calc!F20))+B1506),100)/100)</f>
        <v/>
      </c>
      <c r="O1481">
        <f>(1-Summary!$B$55)*T1481+Summary!$B$55*V1481</f>
        <v/>
      </c>
      <c r="P1481">
        <f>IF(B1516=0,0,O1481/B1516)</f>
        <v/>
      </c>
      <c r="Q1481">
        <f>IFERROR(1/IF(Inputs!$B$38="pvp",15,MAX(0.1,Skills!D8-IF(Skills!E8=TRUE,3.0,0))),0)</f>
        <v/>
      </c>
      <c r="R1481">
        <f>IF(AND(Inputs!$B$38&lt;&gt;"pvp",Inputs!$B$43&gt;0),IF(MAX(0,Inputs!$B$43-B1513)&lt;=0,0,(INT(MAX(0,Inputs!$B$43-B1513)/IF(Inputs!$B$38="pvp",15,MAX(0.1,Skills!D8-IF(Skills!E8=TRUE,3.0,0))))+1)),0)</f>
        <v/>
      </c>
      <c r="S1481">
        <f>IFERROR(O1481/N1481,0)</f>
        <v/>
      </c>
      <c r="T1481">
        <f>IF(C1481,(H1481*N1481*IF(AND(Inputs!$B$38&lt;&gt;"pvp",Inputs!$B$43&gt;0),((Skills!G8*((R1481-1)*IF(Skills!H8&gt;0,Skills!I8/Skills!H8,1)+IF(Skills!H8&gt;0,MIN(Skills!I8,MAX(0,MAX(0,Inputs!$B$43-B1513)-((R1481-1)*IF(Inputs!$B$38="pvp",15,MAX(0.1,Skills!D8-IF(Skills!E8=TRUE,3.0,0))))))/Skills!H8,1)))/Inputs!$B$43),G1481*Q1481))*IF(Inputs!$B$38="pvp",1,1+(Inputs!$B$20+0+Skills!P8)/100),0)</f>
        <v/>
      </c>
      <c r="V1481">
        <f>IF(C1481,(H1481*N1481*IF(AND(Inputs!$B$38&lt;&gt;"pvp",Inputs!$B$43&gt;0),((Skills!G8*((R1481-1)*IF(Skills!H8&gt;0,Skills!I8/Skills!H8,1)+IF(Skills!H8&gt;0,MIN(Skills!I8,MAX(0,MAX(0,Inputs!$B$43-B1513)-((R1481-1)*IF(Inputs!$B$38="pvp",15,MAX(0.1,Skills!D8-IF(Skills!E8=TRUE,3.0,0))))))/Skills!H8,1)))/Inputs!$B$43),G1481*Q1481))*IF(Inputs!$B$38="pvp",1,(1+(Inputs!$B$21+Skills!Q8)/100)*(MIN(Skills!R8,Inputs!$B$37))),0)</f>
        <v/>
      </c>
    </row>
    <row r="1482">
      <c r="A1482">
        <f>Skills!A9</f>
        <v/>
      </c>
      <c r="B1482">
        <f>Skills!B9</f>
        <v/>
      </c>
      <c r="C1482">
        <f>Inputs!$B$3&gt;=63</f>
        <v/>
      </c>
      <c r="D1482">
        <f>IF(Skills!C9=1,60+Inputs!$B$25+Inputs!$B$29,IF(Skills!C9=2,90+Inputs!$B$26+Inputs!$B$29,IF(Skills!C9=3,120+Inputs!$B$27+Inputs!$B$29,MAX(0,(Inputs!$B$3-100)*3)+Inputs!$B$28+Inputs!$B$29)))</f>
        <v/>
      </c>
      <c r="E1482">
        <f>INDEX(FactorTable!$B$2:$Y$301, MATCH(ROUND(MIN(300,MAX(1,D1482)),0), FactorTable!$A$2:$A$301,0), Skills!M9+1)</f>
        <v/>
      </c>
      <c r="F1482">
        <f>IF(Skills!N9=TRUE,(Skills!L9/10)*(E1482/1000),Skills!L9/10)+Skills!O9</f>
        <v/>
      </c>
      <c r="G1482">
        <f>Skills!G9*IF(Skills!H9&gt;0,Skills!I9/Skills!H9,1)</f>
        <v/>
      </c>
      <c r="H1482">
        <f>1-(1-Skills!J9/100)^Skills!K9</f>
        <v/>
      </c>
      <c r="I1482" t="inlineStr">
        <is>
          <t>1</t>
        </is>
      </c>
      <c r="J1482">
        <f>((Inputs!$B$6*(1+Inputs!$B$7/100))+(((Inputs!$B$12*(1+Inputs!$B$13/100))-(Inputs!$B$12*(1+Inputs!$B$13/100)))+0.25*(Inputs!$B$14-Inputs!$B$14))*(1+Inputs!$B$7/100))*(F1482/100)</f>
        <v/>
      </c>
      <c r="K1482">
        <f>J1482*(1+((Inputs!$B$12*(1+Inputs!$B$13/100))*0.01+Inputs!$B$14*0.0025)/100)*(1+Inputs!$B$15/100)*(1+Inputs!$B$16/100)*(5000/(6000+Inputs!$B$42*(1-(Inputs!$B$19+((C1500=TRUE)*(F1500-Calc!F27)))/100)))*(1+(Inputs!$B$24+((C1498=TRUE)*(F1498-Calc!F25))+((C1499=TRUE)*(F1499-Calc!F26))+B1512)/100)*(1+1.0*IF(C1483=TRUE,F1483,0)/100)*(1+(IF(Skills!A9="ARROW_STREAM",Inputs!$B$17+((C1496=TRUE)*(F1496-Calc!F23)),Inputs!$B$18+((C1501=TRUE)*(F1501-Calc!F28))))/100)*((1+(((C1486=TRUE)*F1486)+((C1487=TRUE)*IF(Inputs!$B$38="pvp",F1487,(1-Summary!$B$55)*(F1487)+Summary!$B$55*(0)))+((C1488=TRUE)*F1488*IF(AND(Inputs!$B$38&lt;&gt;"pvp",Inputs!$B$43&gt;0),(((R1488-1)*(Skills!T15*(1+Inputs!$B$34/100))+MIN((Skills!T15*(1+Inputs!$B$34/100)),MAX(0,Inputs!$B$43-((R1488-1)*Skills!D15))))/Inputs!$B$43),IF(Inputs!$B$38="pvp",MIN((Skills!T15*(1+Inputs!$B$34/100)),15)/15,(Skills!T15*(1+Inputs!$B$34/100))/Skills!D15)))+((C1503=TRUE)*(F1503-Calc!F30)))/100)*I1482)</f>
        <v/>
      </c>
      <c r="L1482">
        <f>K1482*(MIN(Inputs!$B$22+((C1497=TRUE)*(F1497-Calc!F24)),Inputs!$B$23+((C1502=TRUE)*(F1502-Calc!F29)))/100+(Inputs!$B$23+((C1502=TRUE)*(F1502-Calc!F29)))/100)/2</f>
        <v/>
      </c>
      <c r="M1482">
        <f>L1482*(1+(Inputs!$B$10+0+B1511)/100)</f>
        <v/>
      </c>
      <c r="N1482">
        <f>L1482*(1-MIN((Inputs!$B$9+((C1493=TRUE)*(F1493-Calc!F20))+B1506),100)/100)+M1482*(MIN((Inputs!$B$9+((C1493=TRUE)*(F1493-Calc!F20))+B1506),100)/100)</f>
        <v/>
      </c>
      <c r="O1482">
        <f>(1-Summary!$B$55)*T1482+Summary!$B$55*V1482</f>
        <v/>
      </c>
      <c r="P1482">
        <f>IF(B1516=0,0,O1482/B1516)</f>
        <v/>
      </c>
      <c r="Q1482">
        <f>IFERROR(1/IF(Inputs!$B$38="pvp",15,MAX(0.1,Skills!D9-IF(Skills!E9=TRUE,3.0,0))),0)</f>
        <v/>
      </c>
      <c r="R1482">
        <f>IF(AND(Inputs!$B$38&lt;&gt;"pvp",Inputs!$B$43&gt;0),IF(MAX(0,Inputs!$B$43-B1513)&lt;=0,0,(INT(MAX(0,Inputs!$B$43-B1513)/IF(Inputs!$B$38="pvp",15,MAX(0.1,Skills!D9-IF(Skills!E9=TRUE,3.0,0))))+1)),0)</f>
        <v/>
      </c>
      <c r="S1482">
        <f>IFERROR(O1482/N1482,0)</f>
        <v/>
      </c>
      <c r="T1482">
        <f>IF(C1482,(H1482*N1482*IF(AND(Inputs!$B$38&lt;&gt;"pvp",Inputs!$B$43&gt;0),((Skills!G9*((R1482-1)*IF(Skills!H9&gt;0,Skills!I9/Skills!H9,1)+IF(Skills!H9&gt;0,MIN(Skills!I9,MAX(0,MAX(0,Inputs!$B$43-B1513)-((R1482-1)*IF(Inputs!$B$38="pvp",15,MAX(0.1,Skills!D9-IF(Skills!E9=TRUE,3.0,0))))))/Skills!H9,1)))/Inputs!$B$43),G1482*Q1482))*IF(Inputs!$B$38="pvp",1,1+(Inputs!$B$20+0+Skills!P9)/100),0)</f>
        <v/>
      </c>
      <c r="V1482">
        <f>IF(C1482,(H1482*N1482*IF(AND(Inputs!$B$38&lt;&gt;"pvp",Inputs!$B$43&gt;0),((Skills!G9*((R1482-1)*IF(Skills!H9&gt;0,Skills!I9/Skills!H9,1)+IF(Skills!H9&gt;0,MIN(Skills!I9,MAX(0,MAX(0,Inputs!$B$43-B1513)-((R1482-1)*IF(Inputs!$B$38="pvp",15,MAX(0.1,Skills!D9-IF(Skills!E9=TRUE,3.0,0))))))/Skills!H9,1)))/Inputs!$B$43),G1482*Q1482))*IF(Inputs!$B$38="pvp",1,(1+(Inputs!$B$21+Skills!Q9)/100)*(MIN(Skills!R9,Inputs!$B$37))),0)</f>
        <v/>
      </c>
    </row>
    <row r="1483">
      <c r="A1483">
        <f>Skills!A10</f>
        <v/>
      </c>
      <c r="B1483">
        <f>Skills!B10</f>
        <v/>
      </c>
      <c r="C1483">
        <f>Inputs!$B$3&gt;=100</f>
        <v/>
      </c>
      <c r="D1483">
        <f>IF(Skills!C10=1,60+Inputs!$B$25+Inputs!$B$29,IF(Skills!C10=2,90+Inputs!$B$26+Inputs!$B$29,IF(Skills!C10=3,120+Inputs!$B$27+Inputs!$B$29,MAX(0,(Inputs!$B$3-100)*3)+Inputs!$B$28+Inputs!$B$29)))</f>
        <v/>
      </c>
      <c r="E1483">
        <f>INDEX(FactorTable!$B$2:$Y$301, MATCH(ROUND(MIN(300,MAX(1,D1483)),0), FactorTable!$A$2:$A$301,0), Skills!M10+1)</f>
        <v/>
      </c>
      <c r="F1483">
        <f>IF(Skills!N10=TRUE,(Skills!L10/10)*(E1483/1000),Skills!L10/10)+Skills!O10</f>
        <v/>
      </c>
      <c r="G1483" t="inlineStr"/>
      <c r="H1483" t="inlineStr"/>
      <c r="I1483" t="inlineStr">
        <is>
          <t>1</t>
        </is>
      </c>
      <c r="J1483" t="inlineStr"/>
      <c r="K1483" t="inlineStr"/>
      <c r="L1483" t="inlineStr"/>
      <c r="M1483" t="inlineStr"/>
      <c r="N1483" t="inlineStr"/>
      <c r="O1483" t="inlineStr"/>
      <c r="P1483" t="inlineStr"/>
      <c r="Q1483" t="inlineStr"/>
      <c r="R1483" t="inlineStr"/>
      <c r="S1483" t="inlineStr"/>
      <c r="T1483" t="inlineStr"/>
      <c r="V1483" t="inlineStr"/>
    </row>
    <row r="1484">
      <c r="A1484">
        <f>Skills!A11</f>
        <v/>
      </c>
      <c r="B1484">
        <f>Skills!B11</f>
        <v/>
      </c>
      <c r="C1484">
        <f>Inputs!$B$3&gt;=60</f>
        <v/>
      </c>
      <c r="D1484">
        <f>IF(Skills!C11=1,60+Inputs!$B$25+Inputs!$B$29,IF(Skills!C11=2,90+Inputs!$B$26+Inputs!$B$29,IF(Skills!C11=3,120+Inputs!$B$27+Inputs!$B$29,MAX(0,(Inputs!$B$3-100)*3)+Inputs!$B$28+Inputs!$B$29)))</f>
        <v/>
      </c>
      <c r="E1484">
        <f>INDEX(FactorTable!$B$2:$Y$301, MATCH(ROUND(MIN(300,MAX(1,D1484)),0), FactorTable!$A$2:$A$301,0), Skills!M11+1)</f>
        <v/>
      </c>
      <c r="F1484">
        <f>IF(Skills!N11=TRUE,(Skills!L11/10)*(E1484/1000),Skills!L11/10)+Skills!O11</f>
        <v/>
      </c>
      <c r="G1484">
        <f>Skills!G11*IF(Skills!H11&gt;0,Skills!I11/Skills!H11,1)</f>
        <v/>
      </c>
      <c r="H1484">
        <f>1-(1-Skills!J11/100)^Skills!K11</f>
        <v/>
      </c>
      <c r="I1484" t="inlineStr">
        <is>
          <t>1</t>
        </is>
      </c>
      <c r="J1484">
        <f>((Inputs!$B$6*(1+Inputs!$B$7/100))+(((Inputs!$B$12*(1+Inputs!$B$13/100))-(Inputs!$B$12*(1+Inputs!$B$13/100)))+0.25*(Inputs!$B$14-Inputs!$B$14))*(1+Inputs!$B$7/100))*(F1484/100)</f>
        <v/>
      </c>
      <c r="K1484">
        <f>J1484*(1+((Inputs!$B$12*(1+Inputs!$B$13/100))*0.01+Inputs!$B$14*0.0025)/100)*(1+Inputs!$B$15/100)*(1+Inputs!$B$16/100)*(5000/(6000+Inputs!$B$42*(1-(Inputs!$B$19+((C1500=TRUE)*(F1500-Calc!F27)))/100)))*(1+(Inputs!$B$24+((C1498=TRUE)*(F1498-Calc!F25))+((C1499=TRUE)*(F1499-Calc!F26))+B1512)/100)*(1+IF(C1485=TRUE,F1485,0)/100)*(1+(IF(Skills!A11="ARROW_STREAM",Inputs!$B$17+((C1496=TRUE)*(F1496-Calc!F23)),Inputs!$B$18+((C1501=TRUE)*(F1501-Calc!F28))))/100)*((1+(((C1486=TRUE)*F1486)+((C1487=TRUE)*IF(Inputs!$B$38="pvp",F1487,(1-Summary!$B$55)*(F1487)+Summary!$B$55*(0)))+((C1488=TRUE)*F1488*IF(AND(Inputs!$B$38&lt;&gt;"pvp",Inputs!$B$43&gt;0),(((R1488-1)*(Skills!T15*(1+Inputs!$B$34/100))+MIN((Skills!T15*(1+Inputs!$B$34/100)),MAX(0,Inputs!$B$43-((R1488-1)*Skills!D15))))/Inputs!$B$43),IF(Inputs!$B$38="pvp",MIN((Skills!T15*(1+Inputs!$B$34/100)),15)/15,(Skills!T15*(1+Inputs!$B$34/100))/Skills!D15)))+((C1503=TRUE)*(F1503-Calc!F30)))/100)*I1484)</f>
        <v/>
      </c>
      <c r="L1484">
        <f>K1484*(MIN(Inputs!$B$22+((C1497=TRUE)*(F1497-Calc!F24)),Inputs!$B$23+((C1502=TRUE)*(F1502-Calc!F29)))/100+(Inputs!$B$23+((C1502=TRUE)*(F1502-Calc!F29)))/100)/2</f>
        <v/>
      </c>
      <c r="M1484">
        <f>L1484*(1+(Inputs!$B$10+0+B1511)/100)</f>
        <v/>
      </c>
      <c r="N1484">
        <f>L1484*(1-MIN((Inputs!$B$9+((C1493=TRUE)*(F1493-Calc!F20))+B1506),100)/100)+M1484*(MIN((Inputs!$B$9+((C1493=TRUE)*(F1493-Calc!F20))+B1506),100)/100)</f>
        <v/>
      </c>
      <c r="O1484">
        <f>(1-Summary!$B$55)*T1484+Summary!$B$55*V1484</f>
        <v/>
      </c>
      <c r="P1484">
        <f>IF(B1516=0,0,O1484/B1516)</f>
        <v/>
      </c>
      <c r="Q1484">
        <f>IFERROR(1/IF(Inputs!$B$38="pvp",15,MAX(0.1,Skills!D11-IF(Skills!E11=TRUE,3.0,0))),0)</f>
        <v/>
      </c>
      <c r="R1484">
        <f>IF(AND(Inputs!$B$38&lt;&gt;"pvp",Inputs!$B$43&gt;0),IF(MAX(0,Inputs!$B$43-B1513)&lt;=0,0,(INT(MAX(0,Inputs!$B$43-B1513)/IF(Inputs!$B$38="pvp",15,MAX(0.1,Skills!D11-IF(Skills!E11=TRUE,3.0,0))))+1)),0)</f>
        <v/>
      </c>
      <c r="S1484">
        <f>IFERROR(O1484/N1484,0)</f>
        <v/>
      </c>
      <c r="T1484">
        <f>IF(C1484,(H1484*N1484*IF(AND(Inputs!$B$38&lt;&gt;"pvp",Inputs!$B$43&gt;0),((Skills!G11*((R1484-1)*IF(Skills!H11&gt;0,Skills!I11/Skills!H11,1)+IF(Skills!H11&gt;0,MIN(Skills!I11,MAX(0,MAX(0,Inputs!$B$43-B1513)-((R1484-1)*IF(Inputs!$B$38="pvp",15,MAX(0.1,Skills!D11-IF(Skills!E11=TRUE,3.0,0))))))/Skills!H11,1)))/Inputs!$B$43),G1484*Q1484))*IF(Inputs!$B$38="pvp",1,1+(Inputs!$B$20+0+Skills!P11)/100),0)</f>
        <v/>
      </c>
      <c r="V1484">
        <f>IF(C1484,(H1484*N1484*IF(AND(Inputs!$B$38&lt;&gt;"pvp",Inputs!$B$43&gt;0),((Skills!G11*((R1484-1)*IF(Skills!H11&gt;0,Skills!I11/Skills!H11,1)+IF(Skills!H11&gt;0,MIN(Skills!I11,MAX(0,MAX(0,Inputs!$B$43-B1513)-((R1484-1)*IF(Inputs!$B$38="pvp",15,MAX(0.1,Skills!D11-IF(Skills!E11=TRUE,3.0,0))))))/Skills!H11,1)))/Inputs!$B$43),G1484*Q1484))*IF(Inputs!$B$38="pvp",1,(1+(Inputs!$B$21+Skills!Q11)/100)*(MIN(Skills!R11,Inputs!$B$37))),0)</f>
        <v/>
      </c>
    </row>
    <row r="1485">
      <c r="A1485">
        <f>Skills!A12</f>
        <v/>
      </c>
      <c r="B1485">
        <f>Skills!B12</f>
        <v/>
      </c>
      <c r="C1485">
        <f>Inputs!$B$3&gt;=110</f>
        <v/>
      </c>
      <c r="D1485">
        <f>IF(Skills!C12=1,60+Inputs!$B$25+Inputs!$B$29,IF(Skills!C12=2,90+Inputs!$B$26+Inputs!$B$29,IF(Skills!C12=3,120+Inputs!$B$27+Inputs!$B$29,MAX(0,(Inputs!$B$3-100)*3)+Inputs!$B$28+Inputs!$B$29)))</f>
        <v/>
      </c>
      <c r="E1485">
        <f>INDEX(FactorTable!$B$2:$Y$301, MATCH(ROUND(MIN(300,MAX(1,D1485)),0), FactorTable!$A$2:$A$301,0), Skills!M12+1)</f>
        <v/>
      </c>
      <c r="F1485">
        <f>IF(Skills!N12=TRUE,(Skills!L12/10)*(E1485/1000),Skills!L12/10)+Skills!O12</f>
        <v/>
      </c>
      <c r="G1485" t="inlineStr"/>
      <c r="H1485" t="inlineStr"/>
      <c r="I1485" t="inlineStr">
        <is>
          <t>1</t>
        </is>
      </c>
      <c r="J1485" t="inlineStr"/>
      <c r="K1485" t="inlineStr"/>
      <c r="L1485" t="inlineStr"/>
      <c r="M1485" t="inlineStr"/>
      <c r="N1485" t="inlineStr"/>
      <c r="O1485" t="inlineStr"/>
      <c r="P1485" t="inlineStr"/>
      <c r="Q1485" t="inlineStr"/>
      <c r="R1485" t="inlineStr"/>
      <c r="S1485" t="inlineStr"/>
      <c r="T1485" t="inlineStr"/>
      <c r="V1485" t="inlineStr"/>
    </row>
    <row r="1486">
      <c r="A1486">
        <f>Skills!A13</f>
        <v/>
      </c>
      <c r="B1486">
        <f>Skills!B13</f>
        <v/>
      </c>
      <c r="C1486">
        <f>Inputs!$B$3&gt;=74</f>
        <v/>
      </c>
      <c r="D1486">
        <f>IF(Skills!C13=1,60+Inputs!$B$25+Inputs!$B$29,IF(Skills!C13=2,90+Inputs!$B$26+Inputs!$B$29,IF(Skills!C13=3,120+Inputs!$B$27+Inputs!$B$29,MAX(0,(Inputs!$B$3-100)*3)+Inputs!$B$28+Inputs!$B$29)))</f>
        <v/>
      </c>
      <c r="E1486">
        <f>INDEX(FactorTable!$B$2:$Y$301, MATCH(ROUND(MIN(300,MAX(1,D1486)),0), FactorTable!$A$2:$A$301,0), Skills!M13+1)</f>
        <v/>
      </c>
      <c r="F1486">
        <f>IF(Skills!N13=TRUE,(Skills!L13/10)*(E1486/1000),Skills!L13/10)+Skills!O13</f>
        <v/>
      </c>
      <c r="G1486">
        <f>Skills!G13*IF(Skills!H13&gt;0,Skills!I13/Skills!H13,1)</f>
        <v/>
      </c>
      <c r="H1486">
        <f>1-(1-Skills!J13/100)^Skills!K13</f>
        <v/>
      </c>
      <c r="I1486" t="inlineStr">
        <is>
          <t>1</t>
        </is>
      </c>
      <c r="J1486" t="inlineStr"/>
      <c r="K1486" t="inlineStr"/>
      <c r="L1486" t="inlineStr"/>
      <c r="M1486" t="inlineStr"/>
      <c r="N1486" t="inlineStr"/>
      <c r="O1486">
        <f>(1-Summary!$B$55)*T1486+Summary!$B$55*V1486</f>
        <v/>
      </c>
      <c r="P1486">
        <f>IF(B1516=0,0,O1486/B1516)</f>
        <v/>
      </c>
      <c r="Q1486" t="n">
        <v>0</v>
      </c>
      <c r="R1486" t="n">
        <v>0</v>
      </c>
      <c r="S1486">
        <f>IFERROR(O1486/N1486,0)</f>
        <v/>
      </c>
      <c r="T1486" t="n">
        <v>0</v>
      </c>
      <c r="V1486" t="n">
        <v>0</v>
      </c>
    </row>
    <row r="1487">
      <c r="A1487">
        <f>Skills!A14</f>
        <v/>
      </c>
      <c r="B1487">
        <f>Skills!B14</f>
        <v/>
      </c>
      <c r="C1487">
        <f>Inputs!$B$3&gt;=74</f>
        <v/>
      </c>
      <c r="D1487">
        <f>IF(Skills!C14=1,60+Inputs!$B$25+Inputs!$B$29,IF(Skills!C14=2,90+Inputs!$B$26+Inputs!$B$29,IF(Skills!C14=3,120+Inputs!$B$27+Inputs!$B$29,MAX(0,(Inputs!$B$3-100)*3)+Inputs!$B$28+Inputs!$B$29)))</f>
        <v/>
      </c>
      <c r="E1487">
        <f>INDEX(FactorTable!$B$2:$Y$301, MATCH(ROUND(MIN(300,MAX(1,D1487)),0), FactorTable!$A$2:$A$301,0), Skills!M14+1)</f>
        <v/>
      </c>
      <c r="F1487">
        <f>IF(Skills!N14=TRUE,(Skills!L14/10)*(E1487/1000),Skills!L14/10)+Skills!O14</f>
        <v/>
      </c>
      <c r="G1487">
        <f>Skills!G14*IF(Skills!H14&gt;0,Skills!I14/Skills!H14,1)</f>
        <v/>
      </c>
      <c r="H1487">
        <f>1-(1-Skills!J14/100)^Skills!K14</f>
        <v/>
      </c>
      <c r="I1487" t="inlineStr">
        <is>
          <t>1</t>
        </is>
      </c>
      <c r="J1487" t="inlineStr"/>
      <c r="K1487" t="inlineStr"/>
      <c r="L1487" t="inlineStr"/>
      <c r="M1487" t="inlineStr"/>
      <c r="N1487" t="inlineStr"/>
      <c r="O1487">
        <f>(1-Summary!$B$55)*T1487+Summary!$B$55*V1487</f>
        <v/>
      </c>
      <c r="P1487">
        <f>IF(B1516=0,0,O1487/B1516)</f>
        <v/>
      </c>
      <c r="Q1487" t="n">
        <v>0</v>
      </c>
      <c r="R1487" t="n">
        <v>0</v>
      </c>
      <c r="S1487">
        <f>IFERROR(O1487/N1487,0)</f>
        <v/>
      </c>
      <c r="T1487" t="n">
        <v>0</v>
      </c>
      <c r="V1487" t="n">
        <v>0</v>
      </c>
    </row>
    <row r="1488">
      <c r="A1488">
        <f>Skills!A15</f>
        <v/>
      </c>
      <c r="B1488">
        <f>Skills!B15</f>
        <v/>
      </c>
      <c r="C1488">
        <f>Inputs!$B$3&gt;=117</f>
        <v/>
      </c>
      <c r="D1488">
        <f>IF(Skills!C15=1,60+Inputs!$B$25+Inputs!$B$29,IF(Skills!C15=2,90+Inputs!$B$26+Inputs!$B$29,IF(Skills!C15=3,120+Inputs!$B$27+Inputs!$B$29,MAX(0,(Inputs!$B$3-100)*3)+Inputs!$B$28+Inputs!$B$29)))</f>
        <v/>
      </c>
      <c r="E1488">
        <f>INDEX(FactorTable!$B$2:$Y$301, MATCH(ROUND(MIN(300,MAX(1,D1488)),0), FactorTable!$A$2:$A$301,0), Skills!M15+1)</f>
        <v/>
      </c>
      <c r="F1488">
        <f>IF(Skills!N15=TRUE,(Skills!L15/10)*(E1488/1000),Skills!L15/10)+Skills!O15</f>
        <v/>
      </c>
      <c r="G1488">
        <f>Skills!G15*IF(Skills!H15&gt;0,Skills!I15/Skills!H15,1)</f>
        <v/>
      </c>
      <c r="H1488">
        <f>1-(1-Skills!J15/100)^Skills!K15</f>
        <v/>
      </c>
      <c r="I1488" t="inlineStr">
        <is>
          <t>1</t>
        </is>
      </c>
      <c r="J1488" t="inlineStr"/>
      <c r="K1488" t="inlineStr"/>
      <c r="L1488" t="inlineStr"/>
      <c r="M1488" t="inlineStr"/>
      <c r="N1488" t="inlineStr"/>
      <c r="O1488">
        <f>(1-Summary!$B$55)*T1488+Summary!$B$55*V1488</f>
        <v/>
      </c>
      <c r="P1488">
        <f>IF(B1516=0,0,O1488/B1516)</f>
        <v/>
      </c>
      <c r="Q1488">
        <f>IFERROR(1/IF(Inputs!$B$38="pvp",15,MAX(0.1,Skills!D15-IF(Skills!E15=TRUE,3.0,0))),0)</f>
        <v/>
      </c>
      <c r="R1488">
        <f>IF(AND(Inputs!$B$38&lt;&gt;"pvp",Inputs!$B$43&gt;0),IF(Inputs!$B$43&lt;=0,0,(INT(Inputs!$B$43/IF(Inputs!$B$38="pvp",15,MAX(0.1,Skills!D15-IF(Skills!E15=TRUE,3.0,0))))+1)),0)</f>
        <v/>
      </c>
      <c r="S1488">
        <f>IFERROR(O1488/N1488,0)</f>
        <v/>
      </c>
      <c r="T1488" t="n">
        <v>0</v>
      </c>
      <c r="V1488" t="n">
        <v>0</v>
      </c>
    </row>
    <row r="1489">
      <c r="A1489">
        <f>Skills!A16</f>
        <v/>
      </c>
      <c r="B1489">
        <f>Skills!B16</f>
        <v/>
      </c>
      <c r="C1489">
        <f>Inputs!$B$3&gt;=115</f>
        <v/>
      </c>
      <c r="D1489">
        <f>IF(Skills!C16=1,60+Inputs!$B$25+Inputs!$B$29,IF(Skills!C16=2,90+Inputs!$B$26+Inputs!$B$29,IF(Skills!C16=3,120+Inputs!$B$27+Inputs!$B$29,MAX(0,(Inputs!$B$3-100)*3)+Inputs!$B$28+Inputs!$B$29)))</f>
        <v/>
      </c>
      <c r="E1489">
        <f>INDEX(FactorTable!$B$2:$Y$301, MATCH(ROUND(MIN(300,MAX(1,D1489)),0), FactorTable!$A$2:$A$301,0), Skills!M16+1)</f>
        <v/>
      </c>
      <c r="F1489">
        <f>IF(Skills!N16=TRUE,(Skills!L16/10)*(E1489/1000),Skills!L16/10)+Skills!O16</f>
        <v/>
      </c>
      <c r="G1489">
        <f>Skills!G16*IF(Skills!H16&gt;0,Skills!I16/Skills!H16,1)</f>
        <v/>
      </c>
      <c r="H1489">
        <f>1-(1-Skills!J16/100)^Skills!K16</f>
        <v/>
      </c>
      <c r="I1489" t="inlineStr">
        <is>
          <t>1</t>
        </is>
      </c>
      <c r="J1489" t="inlineStr"/>
      <c r="K1489" t="inlineStr"/>
      <c r="L1489" t="inlineStr"/>
      <c r="M1489" t="inlineStr"/>
      <c r="N1489" t="inlineStr"/>
      <c r="O1489">
        <f>(1-Summary!$B$55)*T1489+Summary!$B$55*V1489</f>
        <v/>
      </c>
      <c r="P1489">
        <f>IF(B1516=0,0,O1489/B1516)</f>
        <v/>
      </c>
      <c r="Q1489">
        <f>IFERROR(1/IF(Inputs!$B$38="pvp",15,MAX(0.1,Skills!D16-IF(Skills!E16=TRUE,3.0,0))),0)</f>
        <v/>
      </c>
      <c r="R1489">
        <f>IF(AND(Inputs!$B$38&lt;&gt;"pvp",Inputs!$B$43&gt;0),IF(Inputs!$B$43&lt;=0,0,(INT(Inputs!$B$43/IF(Inputs!$B$38="pvp",15,MAX(0.1,Skills!D16-IF(Skills!E16=TRUE,3.0,0))))+1)),0)</f>
        <v/>
      </c>
      <c r="S1489">
        <f>IFERROR(O1489/N1489,0)</f>
        <v/>
      </c>
      <c r="T1489" t="n">
        <v>0</v>
      </c>
      <c r="V1489" t="n">
        <v>0</v>
      </c>
    </row>
    <row r="1490">
      <c r="A1490">
        <f>Skills!A17</f>
        <v/>
      </c>
      <c r="B1490">
        <f>Skills!B17</f>
        <v/>
      </c>
      <c r="C1490">
        <f>Inputs!$B$3&gt;=66</f>
        <v/>
      </c>
      <c r="D1490">
        <f>IF(Skills!C17=1,60+Inputs!$B$25+Inputs!$B$29,IF(Skills!C17=2,90+Inputs!$B$26+Inputs!$B$29,IF(Skills!C17=3,120+Inputs!$B$27+Inputs!$B$29,MAX(0,(Inputs!$B$3-100)*3)+Inputs!$B$28+Inputs!$B$29)))</f>
        <v/>
      </c>
      <c r="E1490">
        <f>INDEX(FactorTable!$B$2:$Y$301, MATCH(ROUND(MIN(300,MAX(1,D1490)),0), FactorTable!$A$2:$A$301,0), Skills!M17+1)</f>
        <v/>
      </c>
      <c r="F1490">
        <f>IF(Skills!N17=TRUE,(Skills!L17/10)*(E1490/1000),Skills!L17/10)+Skills!O17</f>
        <v/>
      </c>
      <c r="G1490">
        <f>Skills!G17*IF(Skills!H17&gt;0,Skills!I17/Skills!H17,1)</f>
        <v/>
      </c>
      <c r="H1490">
        <f>1-(1-Skills!J17/100)^Skills!K17</f>
        <v/>
      </c>
      <c r="I1490" t="inlineStr">
        <is>
          <t>1</t>
        </is>
      </c>
      <c r="J1490" t="inlineStr"/>
      <c r="K1490" t="inlineStr"/>
      <c r="L1490" t="inlineStr"/>
      <c r="M1490" t="inlineStr"/>
      <c r="N1490" t="inlineStr"/>
      <c r="O1490">
        <f>(1-Summary!$B$55)*T1490+Summary!$B$55*V1490</f>
        <v/>
      </c>
      <c r="P1490">
        <f>IF(B1516=0,0,O1490/B1516)</f>
        <v/>
      </c>
      <c r="Q1490" t="n">
        <v>0</v>
      </c>
      <c r="R1490" t="n">
        <v>0</v>
      </c>
      <c r="S1490">
        <f>IFERROR(O1490/N1490,0)</f>
        <v/>
      </c>
      <c r="T1490" t="n">
        <v>0</v>
      </c>
      <c r="V1490" t="n">
        <v>0</v>
      </c>
    </row>
    <row r="1491">
      <c r="A1491">
        <f>Skills!A18</f>
        <v/>
      </c>
      <c r="B1491">
        <f>Skills!B18</f>
        <v/>
      </c>
      <c r="C1491">
        <f>Inputs!$B$3&gt;=72</f>
        <v/>
      </c>
      <c r="D1491">
        <f>IF(Skills!C18=1,60+Inputs!$B$25+Inputs!$B$29,IF(Skills!C18=2,90+Inputs!$B$26+Inputs!$B$29,IF(Skills!C18=3,120+Inputs!$B$27+Inputs!$B$29,MAX(0,(Inputs!$B$3-100)*3)+Inputs!$B$28+Inputs!$B$29)))</f>
        <v/>
      </c>
      <c r="E1491">
        <f>INDEX(FactorTable!$B$2:$Y$301, MATCH(ROUND(MIN(300,MAX(1,D1491)),0), FactorTable!$A$2:$A$301,0), Skills!M18+1)</f>
        <v/>
      </c>
      <c r="F1491">
        <f>IF(Skills!N18=TRUE,(Skills!L18/10)*(E1491/1000),Skills!L18/10)+Skills!O18</f>
        <v/>
      </c>
      <c r="G1491">
        <f>Skills!G18*IF(Skills!H18&gt;0,Skills!I18/Skills!H18,1)</f>
        <v/>
      </c>
      <c r="H1491">
        <f>1-(1-Skills!J18/100)^Skills!K18</f>
        <v/>
      </c>
      <c r="I1491" t="inlineStr">
        <is>
          <t>1</t>
        </is>
      </c>
      <c r="J1491" t="inlineStr"/>
      <c r="K1491" t="inlineStr"/>
      <c r="L1491" t="inlineStr"/>
      <c r="M1491" t="inlineStr"/>
      <c r="N1491" t="inlineStr"/>
      <c r="O1491">
        <f>(1-Summary!$B$55)*T1491+Summary!$B$55*V1491</f>
        <v/>
      </c>
      <c r="P1491">
        <f>IF(B1516=0,0,O1491/B1516)</f>
        <v/>
      </c>
      <c r="Q1491" t="n">
        <v>0</v>
      </c>
      <c r="R1491" t="n">
        <v>0</v>
      </c>
      <c r="S1491">
        <f>IFERROR(O1491/N1491,0)</f>
        <v/>
      </c>
      <c r="T1491" t="n">
        <v>0</v>
      </c>
      <c r="V1491" t="n">
        <v>0</v>
      </c>
    </row>
    <row r="1492">
      <c r="A1492">
        <f>Skills!A19</f>
        <v/>
      </c>
      <c r="B1492">
        <f>Skills!B19</f>
        <v/>
      </c>
      <c r="C1492">
        <f>TRUE</f>
        <v/>
      </c>
      <c r="D1492">
        <f>IF(Skills!C19=1,60+Inputs!$B$25+Inputs!$B$29,IF(Skills!C19=2,90+Inputs!$B$26+Inputs!$B$29,IF(Skills!C19=3,120+Inputs!$B$27+Inputs!$B$29,MAX(0,(Inputs!$B$3-100)*3)+Inputs!$B$28+Inputs!$B$29)))</f>
        <v/>
      </c>
      <c r="E1492">
        <f>INDEX(FactorTable!$B$2:$Y$301, MATCH(ROUND(MIN(300,MAX(1,D1492)),0), FactorTable!$A$2:$A$301,0), Skills!M19+1)</f>
        <v/>
      </c>
      <c r="F1492">
        <f>IF(Skills!N19=TRUE,(Skills!L19/10)*(E1492/1000),Skills!L19/10)+Skills!O19</f>
        <v/>
      </c>
      <c r="G1492">
        <f>Skills!G19*IF(Skills!H19&gt;0,Skills!I19/Skills!H19,1)</f>
        <v/>
      </c>
      <c r="H1492">
        <f>1-(1-Skills!J19/100)^Skills!K19</f>
        <v/>
      </c>
      <c r="I1492" t="inlineStr">
        <is>
          <t>1</t>
        </is>
      </c>
      <c r="J1492" t="inlineStr"/>
      <c r="K1492" t="inlineStr"/>
      <c r="L1492" t="inlineStr"/>
      <c r="M1492" t="inlineStr"/>
      <c r="N1492" t="inlineStr"/>
      <c r="O1492">
        <f>(1-Summary!$B$55)*T1492+Summary!$B$55*V1492</f>
        <v/>
      </c>
      <c r="P1492">
        <f>IF(B1516=0,0,O1492/B1516)</f>
        <v/>
      </c>
      <c r="Q1492">
        <f>IFERROR(1/IF(Inputs!$B$38="pvp",15,MAX(0.1,Skills!D19-IF(Skills!E19=TRUE,3.0,0))),0)</f>
        <v/>
      </c>
      <c r="R1492">
        <f>IF(AND(Inputs!$B$38&lt;&gt;"pvp",Inputs!$B$43&gt;0),IF(Inputs!$B$43&lt;=0,0,(INT(Inputs!$B$43/IF(Inputs!$B$38="pvp",15,MAX(0.1,Skills!D19-IF(Skills!E19=TRUE,3.0,0))))+1)),0)</f>
        <v/>
      </c>
      <c r="S1492">
        <f>IFERROR(O1492/N1492,0)</f>
        <v/>
      </c>
      <c r="T1492" t="n">
        <v>0</v>
      </c>
      <c r="V1492" t="n">
        <v>0</v>
      </c>
    </row>
    <row r="1493">
      <c r="A1493">
        <f>Skills!A20</f>
        <v/>
      </c>
      <c r="B1493">
        <f>Skills!B20</f>
        <v/>
      </c>
      <c r="C1493">
        <f>Inputs!$B$3&gt;=15</f>
        <v/>
      </c>
      <c r="D1493">
        <f>IF(Skills!C20=1,60+Inputs!$B$25+Inputs!$B$29,IF(Skills!C20=2,90+Inputs!$B$26+Inputs!$B$29,IF(Skills!C20=3,120+Inputs!$B$27+Inputs!$B$29,MAX(0,(Inputs!$B$3-100)*3)+Inputs!$B$28+Inputs!$B$29)))</f>
        <v/>
      </c>
      <c r="E1493">
        <f>INDEX(FactorTable!$B$2:$Y$301, MATCH(ROUND(MIN(300,MAX(1,D1493)),0), FactorTable!$A$2:$A$301,0), Skills!M20+1)</f>
        <v/>
      </c>
      <c r="F1493">
        <f>IF(Skills!N20=TRUE,(Skills!L20/10)*(E1493/1000),Skills!L20/10)+Skills!O20</f>
        <v/>
      </c>
      <c r="G1493">
        <f>Skills!G20*IF(Skills!H20&gt;0,Skills!I20/Skills!H20,1)</f>
        <v/>
      </c>
      <c r="H1493">
        <f>1-(1-Skills!J20/100)^Skills!K20</f>
        <v/>
      </c>
      <c r="I1493" t="inlineStr">
        <is>
          <t>1</t>
        </is>
      </c>
      <c r="J1493" t="inlineStr"/>
      <c r="K1493" t="inlineStr"/>
      <c r="L1493" t="inlineStr"/>
      <c r="M1493" t="inlineStr"/>
      <c r="N1493" t="inlineStr"/>
      <c r="O1493">
        <f>(1-Summary!$B$55)*T1493+Summary!$B$55*V1493</f>
        <v/>
      </c>
      <c r="P1493">
        <f>IF(B1516=0,0,O1493/B1516)</f>
        <v/>
      </c>
      <c r="Q1493" t="n">
        <v>0</v>
      </c>
      <c r="R1493" t="n">
        <v>0</v>
      </c>
      <c r="S1493">
        <f>IFERROR(O1493/N1493,0)</f>
        <v/>
      </c>
      <c r="T1493" t="n">
        <v>0</v>
      </c>
      <c r="V1493" t="n">
        <v>0</v>
      </c>
    </row>
    <row r="1494">
      <c r="A1494">
        <f>Skills!A21</f>
        <v/>
      </c>
      <c r="B1494">
        <f>Skills!B21</f>
        <v/>
      </c>
      <c r="C1494">
        <f>Inputs!$B$3&gt;=10</f>
        <v/>
      </c>
      <c r="D1494">
        <f>IF(Skills!C21=1,60+Inputs!$B$25+Inputs!$B$29,IF(Skills!C21=2,90+Inputs!$B$26+Inputs!$B$29,IF(Skills!C21=3,120+Inputs!$B$27+Inputs!$B$29,MAX(0,(Inputs!$B$3-100)*3)+Inputs!$B$28+Inputs!$B$29)))</f>
        <v/>
      </c>
      <c r="E1494">
        <f>INDEX(FactorTable!$B$2:$Y$301, MATCH(ROUND(MIN(300,MAX(1,D1494)),0), FactorTable!$A$2:$A$301,0), Skills!M21+1)</f>
        <v/>
      </c>
      <c r="F1494">
        <f>IF(Skills!N21=TRUE,(Skills!L21/10)*(E1494/1000),Skills!L21/10)+Skills!O21</f>
        <v/>
      </c>
      <c r="G1494">
        <f>Skills!G21*IF(Skills!H21&gt;0,Skills!I21/Skills!H21,1)</f>
        <v/>
      </c>
      <c r="H1494">
        <f>1-(1-Skills!J21/100)^Skills!K21</f>
        <v/>
      </c>
      <c r="I1494" t="inlineStr">
        <is>
          <t>1</t>
        </is>
      </c>
      <c r="J1494" t="inlineStr"/>
      <c r="K1494" t="inlineStr"/>
      <c r="L1494" t="inlineStr"/>
      <c r="M1494" t="inlineStr"/>
      <c r="N1494" t="inlineStr"/>
      <c r="O1494">
        <f>(1-Summary!$B$55)*T1494+Summary!$B$55*V1494</f>
        <v/>
      </c>
      <c r="P1494">
        <f>IF(B1516=0,0,O1494/B1516)</f>
        <v/>
      </c>
      <c r="Q1494" t="n">
        <v>0</v>
      </c>
      <c r="R1494" t="n">
        <v>0</v>
      </c>
      <c r="S1494">
        <f>IFERROR(O1494/N1494,0)</f>
        <v/>
      </c>
      <c r="T1494" t="n">
        <v>0</v>
      </c>
      <c r="V1494" t="n">
        <v>0</v>
      </c>
    </row>
    <row r="1495">
      <c r="A1495">
        <f>Skills!A22</f>
        <v/>
      </c>
      <c r="B1495">
        <f>Skills!B22</f>
        <v/>
      </c>
      <c r="C1495">
        <f>Inputs!$B$3&gt;=33</f>
        <v/>
      </c>
      <c r="D1495">
        <f>IF(Skills!C22=1,60+Inputs!$B$25+Inputs!$B$29,IF(Skills!C22=2,90+Inputs!$B$26+Inputs!$B$29,IF(Skills!C22=3,120+Inputs!$B$27+Inputs!$B$29,MAX(0,(Inputs!$B$3-100)*3)+Inputs!$B$28+Inputs!$B$29)))</f>
        <v/>
      </c>
      <c r="E1495">
        <f>INDEX(FactorTable!$B$2:$Y$301, MATCH(ROUND(MIN(300,MAX(1,D1495)),0), FactorTable!$A$2:$A$301,0), Skills!M22+1)</f>
        <v/>
      </c>
      <c r="F1495">
        <f>IF(Skills!N22=TRUE,(Skills!L22/10)*(E1495/1000),Skills!L22/10)+Skills!O22</f>
        <v/>
      </c>
      <c r="G1495">
        <f>Skills!G22*IF(Skills!H22&gt;0,Skills!I22/Skills!H22,1)</f>
        <v/>
      </c>
      <c r="H1495">
        <f>1-(1-Skills!J22/100)^Skills!K22</f>
        <v/>
      </c>
      <c r="I1495" t="inlineStr">
        <is>
          <t>1</t>
        </is>
      </c>
      <c r="J1495" t="inlineStr"/>
      <c r="K1495" t="inlineStr"/>
      <c r="L1495" t="inlineStr"/>
      <c r="M1495" t="inlineStr"/>
      <c r="N1495" t="inlineStr"/>
      <c r="O1495">
        <f>(1-Summary!$B$55)*T1495+Summary!$B$55*V1495</f>
        <v/>
      </c>
      <c r="P1495">
        <f>IF(B1516=0,0,O1495/B1516)</f>
        <v/>
      </c>
      <c r="Q1495" t="n">
        <v>0</v>
      </c>
      <c r="R1495" t="n">
        <v>0</v>
      </c>
      <c r="S1495">
        <f>IFERROR(O1495/N1495,0)</f>
        <v/>
      </c>
      <c r="T1495" t="n">
        <v>0</v>
      </c>
      <c r="V1495" t="n">
        <v>0</v>
      </c>
    </row>
    <row r="1496">
      <c r="A1496">
        <f>Skills!A23</f>
        <v/>
      </c>
      <c r="B1496">
        <f>Skills!B23</f>
        <v/>
      </c>
      <c r="C1496">
        <f>Inputs!$B$3&gt;=38</f>
        <v/>
      </c>
      <c r="D1496">
        <f>IF(Skills!C23=1,60+Inputs!$B$25+Inputs!$B$29,IF(Skills!C23=2,90+Inputs!$B$26+Inputs!$B$29,IF(Skills!C23=3,120+Inputs!$B$27+Inputs!$B$29,MAX(0,(Inputs!$B$3-100)*3)+Inputs!$B$28+Inputs!$B$29)))</f>
        <v/>
      </c>
      <c r="E1496">
        <f>INDEX(FactorTable!$B$2:$Y$301, MATCH(ROUND(MIN(300,MAX(1,D1496)),0), FactorTable!$A$2:$A$301,0), Skills!M23+1)</f>
        <v/>
      </c>
      <c r="F1496">
        <f>IF(Skills!N23=TRUE,(Skills!L23/10)*(E1496/1000),Skills!L23/10)+Skills!O23</f>
        <v/>
      </c>
      <c r="G1496">
        <f>Skills!G23*IF(Skills!H23&gt;0,Skills!I23/Skills!H23,1)</f>
        <v/>
      </c>
      <c r="H1496">
        <f>1-(1-Skills!J23/100)^Skills!K23</f>
        <v/>
      </c>
      <c r="I1496" t="inlineStr">
        <is>
          <t>1</t>
        </is>
      </c>
      <c r="J1496" t="inlineStr"/>
      <c r="K1496" t="inlineStr"/>
      <c r="L1496" t="inlineStr"/>
      <c r="M1496" t="inlineStr"/>
      <c r="N1496" t="inlineStr"/>
      <c r="O1496">
        <f>(1-Summary!$B$55)*T1496+Summary!$B$55*V1496</f>
        <v/>
      </c>
      <c r="P1496">
        <f>IF(B1516=0,0,O1496/B1516)</f>
        <v/>
      </c>
      <c r="Q1496" t="n">
        <v>0</v>
      </c>
      <c r="R1496" t="n">
        <v>0</v>
      </c>
      <c r="S1496">
        <f>IFERROR(O1496/N1496,0)</f>
        <v/>
      </c>
      <c r="T1496" t="n">
        <v>0</v>
      </c>
      <c r="V1496" t="n">
        <v>0</v>
      </c>
    </row>
    <row r="1497">
      <c r="A1497">
        <f>Skills!A24</f>
        <v/>
      </c>
      <c r="B1497">
        <f>Skills!B24</f>
        <v/>
      </c>
      <c r="C1497">
        <f>Inputs!$B$3&gt;=43</f>
        <v/>
      </c>
      <c r="D1497">
        <f>IF(Skills!C24=1,60+Inputs!$B$25+Inputs!$B$29,IF(Skills!C24=2,90+Inputs!$B$26+Inputs!$B$29,IF(Skills!C24=3,120+Inputs!$B$27+Inputs!$B$29,MAX(0,(Inputs!$B$3-100)*3)+Inputs!$B$28+Inputs!$B$29)))</f>
        <v/>
      </c>
      <c r="E1497">
        <f>INDEX(FactorTable!$B$2:$Y$301, MATCH(ROUND(MIN(300,MAX(1,D1497)),0), FactorTable!$A$2:$A$301,0), Skills!M24+1)</f>
        <v/>
      </c>
      <c r="F1497">
        <f>IF(Skills!N24=TRUE,(Skills!L24/10)*(E1497/1000),Skills!L24/10)+Skills!O24</f>
        <v/>
      </c>
      <c r="G1497">
        <f>Skills!G24*IF(Skills!H24&gt;0,Skills!I24/Skills!H24,1)</f>
        <v/>
      </c>
      <c r="H1497">
        <f>1-(1-Skills!J24/100)^Skills!K24</f>
        <v/>
      </c>
      <c r="I1497" t="inlineStr">
        <is>
          <t>1</t>
        </is>
      </c>
      <c r="J1497" t="inlineStr"/>
      <c r="K1497" t="inlineStr"/>
      <c r="L1497" t="inlineStr"/>
      <c r="M1497" t="inlineStr"/>
      <c r="N1497" t="inlineStr"/>
      <c r="O1497">
        <f>(1-Summary!$B$55)*T1497+Summary!$B$55*V1497</f>
        <v/>
      </c>
      <c r="P1497">
        <f>IF(B1516=0,0,O1497/B1516)</f>
        <v/>
      </c>
      <c r="Q1497" t="n">
        <v>0</v>
      </c>
      <c r="R1497" t="n">
        <v>0</v>
      </c>
      <c r="S1497">
        <f>IFERROR(O1497/N1497,0)</f>
        <v/>
      </c>
      <c r="T1497" t="n">
        <v>0</v>
      </c>
      <c r="V1497" t="n">
        <v>0</v>
      </c>
    </row>
    <row r="1498">
      <c r="A1498">
        <f>Skills!A25</f>
        <v/>
      </c>
      <c r="B1498">
        <f>Skills!B25</f>
        <v/>
      </c>
      <c r="C1498">
        <f>Inputs!$B$3&gt;=75</f>
        <v/>
      </c>
      <c r="D1498">
        <f>IF(Skills!C25=1,60+Inputs!$B$25+Inputs!$B$29,IF(Skills!C25=2,90+Inputs!$B$26+Inputs!$B$29,IF(Skills!C25=3,120+Inputs!$B$27+Inputs!$B$29,MAX(0,(Inputs!$B$3-100)*3)+Inputs!$B$28+Inputs!$B$29)))</f>
        <v/>
      </c>
      <c r="E1498">
        <f>INDEX(FactorTable!$B$2:$Y$301, MATCH(ROUND(MIN(300,MAX(1,D1498)),0), FactorTable!$A$2:$A$301,0), Skills!M25+1)</f>
        <v/>
      </c>
      <c r="F1498">
        <f>IF(Skills!N25=TRUE,(Skills!L25/10)*(E1498/1000),Skills!L25/10)+Skills!O25</f>
        <v/>
      </c>
      <c r="G1498">
        <f>Skills!G25*IF(Skills!H25&gt;0,Skills!I25/Skills!H25,1)</f>
        <v/>
      </c>
      <c r="H1498">
        <f>1-(1-Skills!J25/100)^Skills!K25</f>
        <v/>
      </c>
      <c r="I1498" t="inlineStr">
        <is>
          <t>1</t>
        </is>
      </c>
      <c r="J1498" t="inlineStr"/>
      <c r="K1498" t="inlineStr"/>
      <c r="L1498" t="inlineStr"/>
      <c r="M1498" t="inlineStr"/>
      <c r="N1498" t="inlineStr"/>
      <c r="O1498">
        <f>(1-Summary!$B$55)*T1498+Summary!$B$55*V1498</f>
        <v/>
      </c>
      <c r="P1498">
        <f>IF(B1516=0,0,O1498/B1516)</f>
        <v/>
      </c>
      <c r="Q1498" t="n">
        <v>0</v>
      </c>
      <c r="R1498" t="n">
        <v>0</v>
      </c>
      <c r="S1498">
        <f>IFERROR(O1498/N1498,0)</f>
        <v/>
      </c>
      <c r="T1498" t="n">
        <v>0</v>
      </c>
      <c r="V1498" t="n">
        <v>0</v>
      </c>
    </row>
    <row r="1499">
      <c r="A1499">
        <f>Skills!A26</f>
        <v/>
      </c>
      <c r="B1499">
        <f>Skills!B26</f>
        <v/>
      </c>
      <c r="C1499">
        <f>Inputs!$B$3&gt;=125</f>
        <v/>
      </c>
      <c r="D1499">
        <f>IF(Skills!C26=1,60+Inputs!$B$25+Inputs!$B$29,IF(Skills!C26=2,90+Inputs!$B$26+Inputs!$B$29,IF(Skills!C26=3,120+Inputs!$B$27+Inputs!$B$29,MAX(0,(Inputs!$B$3-100)*3)+Inputs!$B$28+Inputs!$B$29)))</f>
        <v/>
      </c>
      <c r="E1499">
        <f>INDEX(FactorTable!$B$2:$Y$301, MATCH(ROUND(MIN(300,MAX(1,D1499)),0), FactorTable!$A$2:$A$301,0), Skills!M26+1)</f>
        <v/>
      </c>
      <c r="F1499">
        <f>IF(Skills!N26=TRUE,(Skills!L26/10)*(E1499/1000),Skills!L26/10)+Skills!O26</f>
        <v/>
      </c>
      <c r="G1499">
        <f>Skills!G26*IF(Skills!H26&gt;0,Skills!I26/Skills!H26,1)</f>
        <v/>
      </c>
      <c r="H1499">
        <f>1-(1-Skills!J26/100)^Skills!K26</f>
        <v/>
      </c>
      <c r="I1499" t="inlineStr">
        <is>
          <t>1</t>
        </is>
      </c>
      <c r="J1499" t="inlineStr"/>
      <c r="K1499" t="inlineStr"/>
      <c r="L1499" t="inlineStr"/>
      <c r="M1499" t="inlineStr"/>
      <c r="N1499" t="inlineStr"/>
      <c r="O1499">
        <f>(1-Summary!$B$55)*T1499+Summary!$B$55*V1499</f>
        <v/>
      </c>
      <c r="P1499">
        <f>IF(B1516=0,0,O1499/B1516)</f>
        <v/>
      </c>
      <c r="Q1499" t="n">
        <v>0</v>
      </c>
      <c r="R1499" t="n">
        <v>0</v>
      </c>
      <c r="S1499">
        <f>IFERROR(O1499/N1499,0)</f>
        <v/>
      </c>
      <c r="T1499" t="n">
        <v>0</v>
      </c>
      <c r="V1499" t="n">
        <v>0</v>
      </c>
    </row>
    <row r="1500">
      <c r="A1500">
        <f>Skills!A27</f>
        <v/>
      </c>
      <c r="B1500">
        <f>Skills!B27</f>
        <v/>
      </c>
      <c r="C1500">
        <f>Inputs!$B$3&gt;=125</f>
        <v/>
      </c>
      <c r="D1500">
        <f>IF(Skills!C27=1,60+Inputs!$B$25+Inputs!$B$29,IF(Skills!C27=2,90+Inputs!$B$26+Inputs!$B$29,IF(Skills!C27=3,120+Inputs!$B$27+Inputs!$B$29,MAX(0,(Inputs!$B$3-100)*3)+Inputs!$B$28+Inputs!$B$29)))</f>
        <v/>
      </c>
      <c r="E1500">
        <f>INDEX(FactorTable!$B$2:$Y$301, MATCH(ROUND(MIN(300,MAX(1,D1500)),0), FactorTable!$A$2:$A$301,0), Skills!M27+1)</f>
        <v/>
      </c>
      <c r="F1500">
        <f>IF(Skills!N27=TRUE,(Skills!L27/10)*(E1500/1000),Skills!L27/10)+Skills!O27</f>
        <v/>
      </c>
      <c r="G1500">
        <f>Skills!G27*IF(Skills!H27&gt;0,Skills!I27/Skills!H27,1)</f>
        <v/>
      </c>
      <c r="H1500">
        <f>1-(1-Skills!J27/100)^Skills!K27</f>
        <v/>
      </c>
      <c r="I1500" t="inlineStr">
        <is>
          <t>1</t>
        </is>
      </c>
      <c r="J1500" t="inlineStr"/>
      <c r="K1500" t="inlineStr"/>
      <c r="L1500" t="inlineStr"/>
      <c r="M1500" t="inlineStr"/>
      <c r="N1500" t="inlineStr"/>
      <c r="O1500">
        <f>(1-Summary!$B$55)*T1500+Summary!$B$55*V1500</f>
        <v/>
      </c>
      <c r="P1500">
        <f>IF(B1516=0,0,O1500/B1516)</f>
        <v/>
      </c>
      <c r="Q1500" t="n">
        <v>0</v>
      </c>
      <c r="R1500" t="n">
        <v>0</v>
      </c>
      <c r="S1500">
        <f>IFERROR(O1500/N1500,0)</f>
        <v/>
      </c>
      <c r="T1500" t="n">
        <v>0</v>
      </c>
      <c r="V1500" t="n">
        <v>0</v>
      </c>
    </row>
    <row r="1501">
      <c r="A1501">
        <f>Skills!A28</f>
        <v/>
      </c>
      <c r="B1501">
        <f>Skills!B28</f>
        <v/>
      </c>
      <c r="C1501">
        <f>Inputs!$B$3&gt;=120</f>
        <v/>
      </c>
      <c r="D1501">
        <f>IF(Skills!C28=1,60+Inputs!$B$25+Inputs!$B$29,IF(Skills!C28=2,90+Inputs!$B$26+Inputs!$B$29,IF(Skills!C28=3,120+Inputs!$B$27+Inputs!$B$29,MAX(0,(Inputs!$B$3-100)*3)+Inputs!$B$28+Inputs!$B$29)))</f>
        <v/>
      </c>
      <c r="E1501">
        <f>INDEX(FactorTable!$B$2:$Y$301, MATCH(ROUND(MIN(300,MAX(1,D1501)),0), FactorTable!$A$2:$A$301,0), Skills!M28+1)</f>
        <v/>
      </c>
      <c r="F1501">
        <f>IF(Skills!N28=TRUE,(Skills!L28/10)*(E1501/1000),Skills!L28/10)+Skills!O28</f>
        <v/>
      </c>
      <c r="G1501">
        <f>Skills!G28*IF(Skills!H28&gt;0,Skills!I28/Skills!H28,1)</f>
        <v/>
      </c>
      <c r="H1501">
        <f>1-(1-Skills!J28/100)^Skills!K28</f>
        <v/>
      </c>
      <c r="I1501" t="inlineStr">
        <is>
          <t>1</t>
        </is>
      </c>
      <c r="J1501" t="inlineStr"/>
      <c r="K1501" t="inlineStr"/>
      <c r="L1501" t="inlineStr"/>
      <c r="M1501" t="inlineStr"/>
      <c r="N1501" t="inlineStr"/>
      <c r="O1501">
        <f>(1-Summary!$B$55)*T1501+Summary!$B$55*V1501</f>
        <v/>
      </c>
      <c r="P1501">
        <f>IF(B1516=0,0,O1501/B1516)</f>
        <v/>
      </c>
      <c r="Q1501" t="n">
        <v>0</v>
      </c>
      <c r="R1501" t="n">
        <v>0</v>
      </c>
      <c r="S1501">
        <f>IFERROR(O1501/N1501,0)</f>
        <v/>
      </c>
      <c r="T1501" t="n">
        <v>0</v>
      </c>
      <c r="V1501" t="n">
        <v>0</v>
      </c>
    </row>
    <row r="1502">
      <c r="A1502">
        <f>Skills!A29</f>
        <v/>
      </c>
      <c r="B1502">
        <f>Skills!B29</f>
        <v/>
      </c>
      <c r="C1502">
        <f>Inputs!$B$3&gt;=120</f>
        <v/>
      </c>
      <c r="D1502">
        <f>IF(Skills!C29=1,60+Inputs!$B$25+Inputs!$B$29,IF(Skills!C29=2,90+Inputs!$B$26+Inputs!$B$29,IF(Skills!C29=3,120+Inputs!$B$27+Inputs!$B$29,MAX(0,(Inputs!$B$3-100)*3)+Inputs!$B$28+Inputs!$B$29)))</f>
        <v/>
      </c>
      <c r="E1502">
        <f>INDEX(FactorTable!$B$2:$Y$301, MATCH(ROUND(MIN(300,MAX(1,D1502)),0), FactorTable!$A$2:$A$301,0), Skills!M29+1)</f>
        <v/>
      </c>
      <c r="F1502">
        <f>IF(Skills!N29=TRUE,(Skills!L29/10)*(E1502/1000),Skills!L29/10)+Skills!O29</f>
        <v/>
      </c>
      <c r="G1502">
        <f>Skills!G29*IF(Skills!H29&gt;0,Skills!I29/Skills!H29,1)</f>
        <v/>
      </c>
      <c r="H1502">
        <f>1-(1-Skills!J29/100)^Skills!K29</f>
        <v/>
      </c>
      <c r="I1502" t="inlineStr">
        <is>
          <t>1</t>
        </is>
      </c>
      <c r="J1502" t="inlineStr"/>
      <c r="K1502" t="inlineStr"/>
      <c r="L1502" t="inlineStr"/>
      <c r="M1502" t="inlineStr"/>
      <c r="N1502" t="inlineStr"/>
      <c r="O1502">
        <f>(1-Summary!$B$55)*T1502+Summary!$B$55*V1502</f>
        <v/>
      </c>
      <c r="P1502">
        <f>IF(B1516=0,0,O1502/B1516)</f>
        <v/>
      </c>
      <c r="Q1502" t="n">
        <v>0</v>
      </c>
      <c r="R1502" t="n">
        <v>0</v>
      </c>
      <c r="S1502">
        <f>IFERROR(O1502/N1502,0)</f>
        <v/>
      </c>
      <c r="T1502" t="n">
        <v>0</v>
      </c>
      <c r="V1502" t="n">
        <v>0</v>
      </c>
    </row>
    <row r="1503">
      <c r="A1503">
        <f>Skills!A30</f>
        <v/>
      </c>
      <c r="B1503">
        <f>Skills!B30</f>
        <v/>
      </c>
      <c r="C1503">
        <f>Inputs!$B$3&gt;=45</f>
        <v/>
      </c>
      <c r="D1503">
        <f>IF(Skills!C30=1,60+Inputs!$B$25+Inputs!$B$29,IF(Skills!C30=2,90+Inputs!$B$26+Inputs!$B$29,IF(Skills!C30=3,120+Inputs!$B$27+Inputs!$B$29,MAX(0,(Inputs!$B$3-100)*3)+Inputs!$B$28+Inputs!$B$29)))</f>
        <v/>
      </c>
      <c r="E1503">
        <f>INDEX(FactorTable!$B$2:$Y$301, MATCH(ROUND(MIN(300,MAX(1,D1503)),0), FactorTable!$A$2:$A$301,0), Skills!M30+1)</f>
        <v/>
      </c>
      <c r="F1503">
        <f>IF(Skills!N30=TRUE,(Skills!L30/10)*(E1503/1000),Skills!L30/10)+Skills!O30</f>
        <v/>
      </c>
      <c r="G1503">
        <f>Skills!G30*IF(Skills!H30&gt;0,Skills!I30/Skills!H30,1)</f>
        <v/>
      </c>
      <c r="H1503">
        <f>1-(1-Skills!J30/100)^Skills!K30</f>
        <v/>
      </c>
      <c r="I1503" t="inlineStr">
        <is>
          <t>1</t>
        </is>
      </c>
      <c r="J1503" t="inlineStr"/>
      <c r="K1503" t="inlineStr"/>
      <c r="L1503" t="inlineStr"/>
      <c r="M1503" t="inlineStr"/>
      <c r="N1503" t="inlineStr"/>
      <c r="O1503">
        <f>(1-Summary!$B$55)*T1503+Summary!$B$55*V1503</f>
        <v/>
      </c>
      <c r="P1503">
        <f>IF(B1516=0,0,O1503/B1516)</f>
        <v/>
      </c>
      <c r="Q1503" t="n">
        <v>0</v>
      </c>
      <c r="R1503" t="n">
        <v>0</v>
      </c>
      <c r="S1503">
        <f>IFERROR(O1503/N1503,0)</f>
        <v/>
      </c>
      <c r="T1503" t="n">
        <v>0</v>
      </c>
      <c r="V1503" t="n">
        <v>0</v>
      </c>
    </row>
    <row r="1505">
      <c r="A1505" t="inlineStr">
        <is>
          <t>Attack% Bucket Multiplier</t>
        </is>
      </c>
      <c r="B1505">
        <f>(1+(((C1486=TRUE)*F1486)+((C1487=TRUE)*IF(Inputs!$B$38="pvp",F1487,(1-Summary!$B$55)*(F1487)+Summary!$B$55*(0)))+((C1488=TRUE)*F1488*IF(AND(Inputs!$B$38&lt;&gt;"pvp",Inputs!$B$43&gt;0),(((R1488-1)*(Skills!T15*(1+Inputs!$B$34/100))+MIN((Skills!T15*(1+Inputs!$B$34/100)),MAX(0,Inputs!$B$43-((R1488-1)*Skills!D15))))/Inputs!$B$43),IF(Inputs!$B$38="pvp",MIN((Skills!T15*(1+Inputs!$B$34/100)),15)/15,(Skills!T15*(1+Inputs!$B$34/100))/Skills!D15)))+((C1503=TRUE)*(F1503-Calc!F30)))/100)</f>
        <v/>
      </c>
    </row>
    <row r="1506">
      <c r="A1506" t="inlineStr">
        <is>
          <t>Global Crit Rate Bonus %</t>
        </is>
      </c>
      <c r="B1506">
        <f>(C1489=TRUE)*20*IF(AND(Inputs!$B$38&lt;&gt;"pvp",Inputs!$B$43&gt;0),(((R1489-1)*(Skills!T16*(1+Inputs!$B$34/100))+MIN((Skills!T16*(1+Inputs!$B$34/100)),MAX(0,Inputs!$B$43-((R1489-1)*Skills!D16))))/Inputs!$B$43),IF(Inputs!$B$38="pvp",MIN((Skills!T16*(1+Inputs!$B$34/100)),15)/15,(Skills!T16*(1+Inputs!$B$34/100))/Skills!D16))</f>
        <v/>
      </c>
    </row>
    <row r="1507">
      <c r="A1507" t="inlineStr">
        <is>
          <t>Attack Speed Buff Bonus %</t>
        </is>
      </c>
      <c r="B1507">
        <f>((C1492=TRUE)*F1492*IF(AND(Inputs!$B$38&lt;&gt;"pvp",Inputs!$B$43&gt;0),(((R1492-1)*(Skills!T19*(1+Inputs!$B$34/100))+MIN((Skills!T19*(1+Inputs!$B$34/100)),MAX(0,Inputs!$B$43-((R1492-1)*Skills!D19))))/Inputs!$B$43),IF(Inputs!$B$38="pvp",MIN((Skills!T19*(1+Inputs!$B$34/100)),15)/15,(Skills!T19*(1+Inputs!$B$34/100))/Skills!D19)))</f>
        <v/>
      </c>
    </row>
    <row r="1508">
      <c r="A1508" t="inlineStr">
        <is>
          <t>Actions Per Second</t>
        </is>
      </c>
      <c r="B1508">
        <f>1+MIN(150,150*(1-(1-(Inputs!$B$11+((C1494=TRUE)*(F1494-Calc!F21))+((C1495=TRUE)*(F1495-Calc!F22)))/150)*(1-B1507/150)))/100</f>
        <v/>
      </c>
    </row>
    <row r="1509">
      <c r="A1509" t="inlineStr">
        <is>
          <t>Skill + Buff Cast Rate</t>
        </is>
      </c>
      <c r="B1509">
        <f>IF(AND(Inputs!$B$38&lt;&gt;"pvp",Inputs!$B$43&gt;0),SUMPRODUCT((Skills!E2:E30=TRUE)*(C1475:C1503=TRUE)*R1475:R1503*Skills!F2:F30)/Inputs!$B$43,SUMPRODUCT((Skills!E2:E30=TRUE)*(C1475:C1503=TRUE)*Q1475:Q1503*Skills!F2:F30))</f>
        <v/>
      </c>
    </row>
    <row r="1510">
      <c r="A1510" t="inlineStr">
        <is>
          <t>Arrow Stream Casts Per Second</t>
        </is>
      </c>
      <c r="B1510">
        <f>MAX(0,B1508-B1509)</f>
        <v/>
      </c>
    </row>
    <row r="1511">
      <c r="A1511" t="inlineStr">
        <is>
          <t>Global Critical Damage Bonus % (Sharp Eyes + Concentration)</t>
        </is>
      </c>
      <c r="B1511">
        <f>(C1489=TRUE)*F1489*IF(AND(Inputs!$B$38&lt;&gt;"pvp",Inputs!$B$43&gt;0),(((R1489-1)*(Skills!T16*(1+Inputs!$B$34/100))+MIN((Skills!T16*(1+Inputs!$B$34/100)),MAX(0,Inputs!$B$43-((R1489-1)*Skills!D16))))/Inputs!$B$43),IF(Inputs!$B$38="pvp",MIN((Skills!T16*(1+Inputs!$B$34/100)),15)/15,(Skills!T16*(1+Inputs!$B$34/100))/Skills!D16))+(C1490=TRUE)*30</f>
        <v/>
      </c>
    </row>
    <row r="1512">
      <c r="A1512" t="inlineStr">
        <is>
          <t>Global Final Damage Bonus % (Mortal Blow)</t>
        </is>
      </c>
      <c r="B1512">
        <f>(C1491=TRUE)*F1491</f>
        <v/>
      </c>
    </row>
    <row r="1513">
      <c r="A1513" t="inlineStr">
        <is>
          <t>Buff-Casting Startup Delay (s, fixed-duration only)</t>
        </is>
      </c>
      <c r="B1513">
        <f>IF(AND(Inputs!$B$38&lt;&gt;"pvp",Inputs!$B$43&gt;0),SUMPRODUCT((Skills!T2:T30&gt;0)*(Skills!E2:E30=TRUE)*(C1475:C1503=TRUE))/B1508,0)</f>
        <v/>
      </c>
    </row>
    <row r="1514">
      <c r="A1514" t="inlineStr">
        <is>
          <t>Boss-Only Total DPS (this block's swept value)</t>
        </is>
      </c>
      <c r="B1514">
        <f>SUM(T1475:T1503)</f>
        <v/>
      </c>
    </row>
    <row r="1515">
      <c r="A1515" t="inlineStr">
        <is>
          <t>Normal-Only Total DPS (this block's swept value)</t>
        </is>
      </c>
      <c r="B1515">
        <f>SUM(V1475:V1503)</f>
        <v/>
      </c>
    </row>
    <row r="1516">
      <c r="A1516" s="5" t="inlineStr">
        <is>
          <t>TOTAL DPS</t>
        </is>
      </c>
      <c r="B1516" s="5">
        <f>SUM(O1475:O1503)</f>
        <v/>
      </c>
    </row>
    <row r="1519">
      <c r="A1519" s="5" t="inlineStr">
        <is>
          <t>Stat: CDR = 3.5s</t>
        </is>
      </c>
    </row>
    <row r="1520">
      <c r="A1520" s="9" t="inlineStr">
        <is>
          <t>Key</t>
        </is>
      </c>
      <c r="B1520" s="9" t="inlineStr">
        <is>
          <t>Name</t>
        </is>
      </c>
      <c r="C1520" s="9" t="inlineStr">
        <is>
          <t>Unlocked</t>
        </is>
      </c>
      <c r="D1520" s="9" t="inlineStr">
        <is>
          <t>InputLevel</t>
        </is>
      </c>
      <c r="E1520" s="9" t="inlineStr">
        <is>
          <t>Factor</t>
        </is>
      </c>
      <c r="F1520" s="9" t="inlineStr">
        <is>
          <t>CoefficientPercent</t>
        </is>
      </c>
      <c r="G1520" s="9" t="inlineStr">
        <is>
          <t>EffectiveHits</t>
        </is>
      </c>
      <c r="H1520" s="9" t="inlineStr">
        <is>
          <t>ProcProbability</t>
        </is>
      </c>
      <c r="I1520" s="9" t="inlineStr">
        <is>
          <t>MapleHeroMultiplier</t>
        </is>
      </c>
      <c r="J1520" s="9" t="inlineStr">
        <is>
          <t>BaseDamage</t>
        </is>
      </c>
      <c r="K1520" s="9" t="inlineStr">
        <is>
          <t>BaseHitDamage</t>
        </is>
      </c>
      <c r="L1520" s="9" t="inlineStr">
        <is>
          <t>NonCritAvg</t>
        </is>
      </c>
      <c r="M1520" s="9" t="inlineStr">
        <is>
          <t>CritAvg</t>
        </is>
      </c>
      <c r="N1520" s="9" t="inlineStr">
        <is>
          <t>ExpectedDamage(perHit)</t>
        </is>
      </c>
      <c r="O1520" s="9" t="inlineStr">
        <is>
          <t>DPS</t>
        </is>
      </c>
      <c r="P1520" s="9" t="inlineStr">
        <is>
          <t>% of Total</t>
        </is>
      </c>
      <c r="Q1520" s="9" t="inlineStr">
        <is>
          <t>InvCooldown</t>
        </is>
      </c>
      <c r="R1520" s="9" t="inlineStr">
        <is>
          <t>CastsInFight</t>
        </is>
      </c>
      <c r="S1520" s="9" t="inlineStr">
        <is>
          <t>HitRate(perSec)</t>
        </is>
      </c>
      <c r="U1520" t="inlineStr">
        <is>
          <t>helpers</t>
        </is>
      </c>
    </row>
    <row r="1521">
      <c r="A1521">
        <f>Skills!A2</f>
        <v/>
      </c>
      <c r="B1521">
        <f>Skills!B2</f>
        <v/>
      </c>
      <c r="C1521">
        <f>Inputs!$B$3&gt;=100</f>
        <v/>
      </c>
      <c r="D1521" t="inlineStr"/>
      <c r="E1521" t="inlineStr"/>
      <c r="F1521">
        <f>U1523+Skills!O2</f>
        <v/>
      </c>
      <c r="G1521">
        <f>Skills!G2*IF(Skills!H2&gt;0,Skills!I2/Skills!H2,1)</f>
        <v/>
      </c>
      <c r="H1521">
        <f>1-(1-Skills!J2/100)^Skills!K2</f>
        <v/>
      </c>
      <c r="I1521" t="inlineStr">
        <is>
          <t>1</t>
        </is>
      </c>
      <c r="J1521">
        <f>((Inputs!$B$6*(1+Inputs!$B$7/100))+(((Inputs!$B$12*(1+Inputs!$B$13/100))-(Inputs!$B$12*(1+Inputs!$B$13/100)))+0.25*(Inputs!$B$14-Inputs!$B$14))*(1+Inputs!$B$7/100))*(F1521/100)</f>
        <v/>
      </c>
      <c r="K1521">
        <f>J1521*(1+((Inputs!$B$12*(1+Inputs!$B$13/100))*0.01+Inputs!$B$14*0.0025)/100)*(1+Inputs!$B$15/100)*(1+Inputs!$B$16/100)*(5000/(6000+Inputs!$B$42*(1-(Inputs!$B$19+((C1546=TRUE)*(F1546-Calc!F27)))/100)))*(1+(Inputs!$B$24+((C1544=TRUE)*(F1544-Calc!F25))+((C1545=TRUE)*(F1545-Calc!F26))+B1558)/100)*(1+(IF(Skills!A2="ARROW_STREAM",Inputs!$B$17+((C1542=TRUE)*(F1542-Calc!F23)),Inputs!$B$18+((C1547=TRUE)*(F1547-Calc!F28))))/100)*((1+(((C1532=TRUE)*F1532)+((C1533=TRUE)*IF(Inputs!$B$38="pvp",F1533,(1-Summary!$B$55)*(F1533)+Summary!$B$55*(0)))+((C1534=TRUE)*F1534*IF(AND(Inputs!$B$38&lt;&gt;"pvp",Inputs!$B$43&gt;0),(((R1534-1)*(Skills!T15*(1+Inputs!$B$34/100))+MIN((Skills!T15*(1+Inputs!$B$34/100)),MAX(0,Inputs!$B$43-((R1534-1)*Skills!D15))))/Inputs!$B$43),IF(Inputs!$B$38="pvp",MIN((Skills!T15*(1+Inputs!$B$34/100)),15)/15,(Skills!T15*(1+Inputs!$B$34/100))/Skills!D15)))+((C1549=TRUE)*(F1549-Calc!F30)))/100)*I1521)</f>
        <v/>
      </c>
      <c r="L1521">
        <f>K1521*(MIN(Inputs!$B$22+((C1543=TRUE)*(F1543-Calc!F24)),Inputs!$B$23+((C1548=TRUE)*(F1548-Calc!F29)))/100+(Inputs!$B$23+((C1548=TRUE)*(F1548-Calc!F29)))/100)/2</f>
        <v/>
      </c>
      <c r="M1521">
        <f>L1521*(1+(Inputs!$B$10+0+B1557)/100)</f>
        <v/>
      </c>
      <c r="N1521">
        <f>L1521*(1-MIN((Inputs!$B$9+((C1539=TRUE)*(F1539-Calc!F20))+B1552),100)/100)+M1521*(MIN((Inputs!$B$9+((C1539=TRUE)*(F1539-Calc!F20))+B1552),100)/100)</f>
        <v/>
      </c>
      <c r="O1521">
        <f>(1-Summary!$B$55)*T1521+Summary!$B$55*V1521</f>
        <v/>
      </c>
      <c r="P1521">
        <f>IF(B1562=0,0,O1521/B1562)</f>
        <v/>
      </c>
      <c r="Q1521" t="n">
        <v>0</v>
      </c>
      <c r="R1521" t="n">
        <v>0</v>
      </c>
      <c r="S1521">
        <f>IFERROR(O1521/N1521,0)</f>
        <v/>
      </c>
      <c r="T1521">
        <f>IF(C1521,(Skills!G2*N1521*B1556)*IF(Inputs!$B$38="pvp",1,1+(Inputs!$B$20+0+Skills!P2)/100),0)</f>
        <v/>
      </c>
      <c r="U1521">
        <f>MAX(0,(Inputs!$B$3-100)*3)+Inputs!$B$28+Inputs!$B$29</f>
        <v/>
      </c>
      <c r="V1521">
        <f>IF(C1521,(Skills!G2*N1521*B1556)*IF(Inputs!$B$38="pvp",1,(1+(Inputs!$B$21+Skills!Q2)/100)*(MIN((6+Inputs!$B$33),Inputs!$B$37))),0)</f>
        <v/>
      </c>
    </row>
    <row r="1522">
      <c r="A1522">
        <f>Skills!A3</f>
        <v/>
      </c>
      <c r="B1522">
        <f>Skills!B3</f>
        <v/>
      </c>
      <c r="C1522">
        <f>Inputs!$B$3&gt;=50</f>
        <v/>
      </c>
      <c r="D1522">
        <f>IF(Skills!C3=1,60+Inputs!$B$25+Inputs!$B$29,IF(Skills!C3=2,90+Inputs!$B$26+Inputs!$B$29,IF(Skills!C3=3,120+Inputs!$B$27+Inputs!$B$29,MAX(0,(Inputs!$B$3-100)*3)+Inputs!$B$28+Inputs!$B$29)))</f>
        <v/>
      </c>
      <c r="E1522">
        <f>INDEX(FactorTable!$B$2:$Y$301, MATCH(ROUND(MIN(300,MAX(1,D1522)),0), FactorTable!$A$2:$A$301,0), Skills!M3+1)</f>
        <v/>
      </c>
      <c r="F1522">
        <f>IF(Skills!N3=TRUE,(Skills!L3/10)*(E1522/1000),Skills!L3/10)+Skills!O3</f>
        <v/>
      </c>
      <c r="G1522" t="inlineStr"/>
      <c r="H1522" t="inlineStr"/>
      <c r="I1522" t="inlineStr">
        <is>
          <t>1</t>
        </is>
      </c>
      <c r="J1522" t="inlineStr"/>
      <c r="K1522" t="inlineStr"/>
      <c r="L1522" t="inlineStr"/>
      <c r="M1522" t="inlineStr"/>
      <c r="N1522" t="inlineStr"/>
      <c r="O1522" t="inlineStr"/>
      <c r="P1522" t="inlineStr"/>
      <c r="Q1522" t="inlineStr"/>
      <c r="R1522" t="inlineStr"/>
      <c r="S1522" t="inlineStr"/>
      <c r="T1522" t="inlineStr"/>
      <c r="U1522">
        <f>INDEX(FactorTable!$B$2:$Y$301, MATCH(ROUND(MIN(300,MAX(1,U1521)),0), FactorTable!$A$2:$A$301,0), 22)</f>
        <v/>
      </c>
      <c r="V1522" t="inlineStr"/>
    </row>
    <row r="1523">
      <c r="A1523">
        <f>Skills!A4</f>
        <v/>
      </c>
      <c r="B1523">
        <f>Skills!B4</f>
        <v/>
      </c>
      <c r="C1523">
        <f>Inputs!$B$3&gt;=105</f>
        <v/>
      </c>
      <c r="D1523">
        <f>IF(Skills!C4=1,60+Inputs!$B$25+Inputs!$B$29,IF(Skills!C4=2,90+Inputs!$B$26+Inputs!$B$29,IF(Skills!C4=3,120+Inputs!$B$27+Inputs!$B$29,MAX(0,(Inputs!$B$3-100)*3)+Inputs!$B$28+Inputs!$B$29)))</f>
        <v/>
      </c>
      <c r="E1523">
        <f>INDEX(FactorTable!$B$2:$Y$301, MATCH(ROUND(MIN(300,MAX(1,D1523)),0), FactorTable!$A$2:$A$301,0), Skills!M4+1)</f>
        <v/>
      </c>
      <c r="F1523">
        <f>IF(Skills!N4=TRUE,(Skills!L4/10)*(E1523/1000),Skills!L4/10)+Skills!O4</f>
        <v/>
      </c>
      <c r="G1523" t="inlineStr"/>
      <c r="H1523" t="inlineStr"/>
      <c r="I1523" t="inlineStr">
        <is>
          <t>1</t>
        </is>
      </c>
      <c r="J1523" t="inlineStr"/>
      <c r="K1523" t="inlineStr"/>
      <c r="L1523" t="inlineStr"/>
      <c r="M1523" t="inlineStr"/>
      <c r="N1523" t="inlineStr"/>
      <c r="O1523" t="inlineStr"/>
      <c r="P1523" t="inlineStr"/>
      <c r="Q1523" t="inlineStr"/>
      <c r="R1523" t="inlineStr"/>
      <c r="S1523" t="inlineStr"/>
      <c r="T1523" t="inlineStr"/>
      <c r="U1523">
        <f>290*U1522/1000</f>
        <v/>
      </c>
      <c r="V1523" t="inlineStr"/>
    </row>
    <row r="1524">
      <c r="A1524">
        <f>Skills!A5</f>
        <v/>
      </c>
      <c r="B1524">
        <f>Skills!B5</f>
        <v/>
      </c>
      <c r="C1524">
        <f>Inputs!$B$3&gt;=35</f>
        <v/>
      </c>
      <c r="D1524">
        <f>IF(Skills!C5=1,60+Inputs!$B$25+Inputs!$B$29,IF(Skills!C5=2,90+Inputs!$B$26+Inputs!$B$29,IF(Skills!C5=3,120+Inputs!$B$27+Inputs!$B$29,MAX(0,(Inputs!$B$3-100)*3)+Inputs!$B$28+Inputs!$B$29)))</f>
        <v/>
      </c>
      <c r="E1524">
        <f>INDEX(FactorTable!$B$2:$Y$301, MATCH(ROUND(MIN(300,MAX(1,D1524)),0), FactorTable!$A$2:$A$301,0), Skills!M5+1)</f>
        <v/>
      </c>
      <c r="F1524">
        <f>IF(Skills!N5=TRUE,(Skills!L5/10)*(E1524/1000),Skills!L5/10)+Skills!O5</f>
        <v/>
      </c>
      <c r="G1524">
        <f>Skills!G5*IF(Skills!H5&gt;0,Skills!I5/Skills!H5,1)</f>
        <v/>
      </c>
      <c r="H1524">
        <f>1-(1-Skills!J5/100)^Skills!K5</f>
        <v/>
      </c>
      <c r="I1524" t="inlineStr">
        <is>
          <t>1</t>
        </is>
      </c>
      <c r="J1524">
        <f>((Inputs!$B$6*(1+Inputs!$B$7/100))+(((Inputs!$B$12*(1+Inputs!$B$13/100))-(Inputs!$B$12*(1+Inputs!$B$13/100)))+0.25*(Inputs!$B$14-Inputs!$B$14))*(1+Inputs!$B$7/100))*(F1524/100)</f>
        <v/>
      </c>
      <c r="K1524">
        <f>J1524*(1+((Inputs!$B$12*(1+Inputs!$B$13/100))*0.01+Inputs!$B$14*0.0025)/100)*(1+Inputs!$B$15/100)*(1+Inputs!$B$16/100)*(5000/(6000+Inputs!$B$42*(1-(Inputs!$B$19+((C1546=TRUE)*(F1546-Calc!F27)))/100)))*(1+(Inputs!$B$24+((C1544=TRUE)*(F1544-Calc!F25))+((C1545=TRUE)*(F1545-Calc!F26))+B1558)/100)*(1+4.0*IF(C1529=TRUE,F1529,0)/100)*(1+(IF(Skills!A5="ARROW_STREAM",Inputs!$B$17+((C1542=TRUE)*(F1542-Calc!F23)),Inputs!$B$18+((C1547=TRUE)*(F1547-Calc!F28))))/100)*((1+(((C1532=TRUE)*F1532)+((C1533=TRUE)*IF(Inputs!$B$38="pvp",F1533,(1-Summary!$B$55)*(F1533)+Summary!$B$55*(0)))+((C1534=TRUE)*F1534*IF(AND(Inputs!$B$38&lt;&gt;"pvp",Inputs!$B$43&gt;0),(((R1534-1)*(Skills!T15*(1+Inputs!$B$34/100))+MIN((Skills!T15*(1+Inputs!$B$34/100)),MAX(0,Inputs!$B$43-((R1534-1)*Skills!D15))))/Inputs!$B$43),IF(Inputs!$B$38="pvp",MIN((Skills!T15*(1+Inputs!$B$34/100)),15)/15,(Skills!T15*(1+Inputs!$B$34/100))/Skills!D15)))+((C1549=TRUE)*(F1549-Calc!F30)))/100)*I1524)</f>
        <v/>
      </c>
      <c r="L1524">
        <f>K1524*(MIN(Inputs!$B$22+((C1543=TRUE)*(F1543-Calc!F24)),Inputs!$B$23+((C1548=TRUE)*(F1548-Calc!F29)))/100+(Inputs!$B$23+((C1548=TRUE)*(F1548-Calc!F29)))/100)/2</f>
        <v/>
      </c>
      <c r="M1524">
        <f>L1524*(1+(Inputs!$B$10+0+B1557)/100)</f>
        <v/>
      </c>
      <c r="N1524">
        <f>L1524*(1-MIN((Inputs!$B$9+((C1539=TRUE)*(F1539-Calc!F20))+B1552),100)/100)+M1524*(MIN((Inputs!$B$9+((C1539=TRUE)*(F1539-Calc!F20))+B1552),100)/100)</f>
        <v/>
      </c>
      <c r="O1524">
        <f>(1-Summary!$B$55)*T1524+Summary!$B$55*V1524</f>
        <v/>
      </c>
      <c r="P1524">
        <f>IF(B1562=0,0,O1524/B1562)</f>
        <v/>
      </c>
      <c r="Q1524">
        <f>IFERROR(1/IF(Inputs!$B$38="pvp",15,MAX(0.1,Skills!D5-IF(Skills!E5=TRUE,3.5,0))),0)</f>
        <v/>
      </c>
      <c r="R1524">
        <f>IF(AND(Inputs!$B$38&lt;&gt;"pvp",Inputs!$B$43&gt;0),IF(MAX(0,Inputs!$B$43-B1559)&lt;=0,0,(INT(MAX(0,Inputs!$B$43-B1559)/IF(Inputs!$B$38="pvp",15,MAX(0.1,Skills!D5-IF(Skills!E5=TRUE,3.5,0))))+1)),0)</f>
        <v/>
      </c>
      <c r="S1524">
        <f>IFERROR(O1524/N1524,0)</f>
        <v/>
      </c>
      <c r="T1524">
        <f>IF(C1524,(H1524*N1524*IF(AND(Inputs!$B$38&lt;&gt;"pvp",Inputs!$B$43&gt;0),((Skills!G5*((R1524-1)*IF(Skills!H5&gt;0,Skills!I5/Skills!H5,1)+IF(Skills!H5&gt;0,MIN(Skills!I5,MAX(0,MAX(0,Inputs!$B$43-B1559)-((R1524-1)*IF(Inputs!$B$38="pvp",15,MAX(0.1,Skills!D5-IF(Skills!E5=TRUE,3.5,0))))))/Skills!H5,1)))/Inputs!$B$43),G1524*Q1524))*IF(Inputs!$B$38="pvp",1,1+(Inputs!$B$20+0+Skills!P5)/100),0)</f>
        <v/>
      </c>
      <c r="V1524">
        <f>IF(C1524,(H1524*N1524*IF(AND(Inputs!$B$38&lt;&gt;"pvp",Inputs!$B$43&gt;0),((Skills!G5*((R1524-1)*IF(Skills!H5&gt;0,Skills!I5/Skills!H5,1)+IF(Skills!H5&gt;0,MIN(Skills!I5,MAX(0,MAX(0,Inputs!$B$43-B1559)-((R1524-1)*IF(Inputs!$B$38="pvp",15,MAX(0.1,Skills!D5-IF(Skills!E5=TRUE,3.5,0))))))/Skills!H5,1)))/Inputs!$B$43),G1524*Q1524))*IF(Inputs!$B$38="pvp",1,(1+(Inputs!$B$21+Skills!Q5)/100)*(MIN(Skills!R5,Inputs!$B$37))),0)</f>
        <v/>
      </c>
    </row>
    <row r="1525">
      <c r="A1525">
        <f>Skills!A6</f>
        <v/>
      </c>
      <c r="B1525">
        <f>Skills!B6</f>
        <v/>
      </c>
      <c r="C1525">
        <f>Inputs!$B$3&gt;=40</f>
        <v/>
      </c>
      <c r="D1525">
        <f>IF(Skills!C6=1,60+Inputs!$B$25+Inputs!$B$29,IF(Skills!C6=2,90+Inputs!$B$26+Inputs!$B$29,IF(Skills!C6=3,120+Inputs!$B$27+Inputs!$B$29,MAX(0,(Inputs!$B$3-100)*3)+Inputs!$B$28+Inputs!$B$29)))</f>
        <v/>
      </c>
      <c r="E1525">
        <f>INDEX(FactorTable!$B$2:$Y$301, MATCH(ROUND(MIN(300,MAX(1,D1525)),0), FactorTable!$A$2:$A$301,0), Skills!M6+1)</f>
        <v/>
      </c>
      <c r="F1525">
        <f>IF(Skills!N6=TRUE,(Skills!L6/10)*(E1525/1000),Skills!L6/10)+Skills!O6</f>
        <v/>
      </c>
      <c r="G1525">
        <f>Skills!G6*IF(Skills!H6&gt;0,Skills!I6/Skills!H6,1)</f>
        <v/>
      </c>
      <c r="H1525">
        <f>1-(1-Skills!J6/100)^Skills!K6</f>
        <v/>
      </c>
      <c r="I1525" t="inlineStr">
        <is>
          <t>1</t>
        </is>
      </c>
      <c r="J1525">
        <f>((Inputs!$B$6*(1+Inputs!$B$7/100))+(((Inputs!$B$12*(1+Inputs!$B$13/100))-(Inputs!$B$12*(1+Inputs!$B$13/100)))+0.25*(Inputs!$B$14-Inputs!$B$14))*(1+Inputs!$B$7/100))*(F1525/100)</f>
        <v/>
      </c>
      <c r="K1525">
        <f>J1525*(1+((Inputs!$B$12*(1+Inputs!$B$13/100))*0.01+Inputs!$B$14*0.0025)/100)*(1+Inputs!$B$15/100)*(1+Inputs!$B$16/100)*(5000/(6000+Inputs!$B$42*(1-(Inputs!$B$19+((C1546=TRUE)*(F1546-Calc!F27)))/100)))*(1+(Inputs!$B$24+((C1544=TRUE)*(F1544-Calc!F25))+((C1545=TRUE)*(F1545-Calc!F26))+B1558)/100)*(1+IF(C1526=TRUE,F1526,0)/100)*(1+(IF(Skills!A6="ARROW_STREAM",Inputs!$B$17+((C1542=TRUE)*(F1542-Calc!F23)),Inputs!$B$18+((C1547=TRUE)*(F1547-Calc!F28))))/100)*((1+(((C1532=TRUE)*F1532)+((C1533=TRUE)*IF(Inputs!$B$38="pvp",F1533,(1-Summary!$B$55)*(F1533)+Summary!$B$55*(0)))+((C1534=TRUE)*F1534*IF(AND(Inputs!$B$38&lt;&gt;"pvp",Inputs!$B$43&gt;0),(((R1534-1)*(Skills!T15*(1+Inputs!$B$34/100))+MIN((Skills!T15*(1+Inputs!$B$34/100)),MAX(0,Inputs!$B$43-((R1534-1)*Skills!D15))))/Inputs!$B$43),IF(Inputs!$B$38="pvp",MIN((Skills!T15*(1+Inputs!$B$34/100)),15)/15,(Skills!T15*(1+Inputs!$B$34/100))/Skills!D15)))+((C1549=TRUE)*(F1549-Calc!F30)))/100)*I1525)</f>
        <v/>
      </c>
      <c r="L1525">
        <f>K1525*(MIN(Inputs!$B$22+((C1543=TRUE)*(F1543-Calc!F24)),Inputs!$B$23+((C1548=TRUE)*(F1548-Calc!F29)))/100+(Inputs!$B$23+((C1548=TRUE)*(F1548-Calc!F29)))/100)/2</f>
        <v/>
      </c>
      <c r="M1525">
        <f>L1525*(1+(Inputs!$B$10+0+B1557)/100)</f>
        <v/>
      </c>
      <c r="N1525">
        <f>L1525*(1-MIN((Inputs!$B$9+((C1539=TRUE)*(F1539-Calc!F20))+B1552),100)/100)+M1525*(MIN((Inputs!$B$9+((C1539=TRUE)*(F1539-Calc!F20))+B1552),100)/100)</f>
        <v/>
      </c>
      <c r="O1525">
        <f>(1-Summary!$B$55)*T1525+Summary!$B$55*V1525</f>
        <v/>
      </c>
      <c r="P1525">
        <f>IF(B1562=0,0,O1525/B1562)</f>
        <v/>
      </c>
      <c r="Q1525">
        <f>IFERROR(1/IF(Inputs!$B$38="pvp",15,MAX(0.1,Skills!D6-IF(Skills!E6=TRUE,3.5,0))),0)</f>
        <v/>
      </c>
      <c r="R1525">
        <f>IF(AND(Inputs!$B$38&lt;&gt;"pvp",Inputs!$B$43&gt;0),IF(MAX(0,Inputs!$B$43-B1559)&lt;=0,0,(INT(MAX(0,Inputs!$B$43-B1559)/IF(Inputs!$B$38="pvp",15,MAX(0.1,Skills!D6-IF(Skills!E6=TRUE,3.5,0))))+1)),0)</f>
        <v/>
      </c>
      <c r="S1525">
        <f>IFERROR(O1525/N1525,0)</f>
        <v/>
      </c>
      <c r="T1525">
        <f>IF(C1525,(H1525*N1525*IF(AND(Inputs!$B$38&lt;&gt;"pvp",Inputs!$B$43&gt;0),((Skills!G6*((R1525-1)*IF(Skills!H6&gt;0,Skills!I6/Skills!H6,1)+IF(Skills!H6&gt;0,MIN(Skills!I6,MAX(0,MAX(0,Inputs!$B$43-B1559)-((R1525-1)*IF(Inputs!$B$38="pvp",15,MAX(0.1,Skills!D6-IF(Skills!E6=TRUE,3.5,0))))))/Skills!H6,1)))/Inputs!$B$43),G1525*Q1525))*IF(Inputs!$B$38="pvp",1,1+(Inputs!$B$20+0+Skills!P6)/100),0)</f>
        <v/>
      </c>
      <c r="V1525">
        <f>IF(C1525,(H1525*N1525*IF(AND(Inputs!$B$38&lt;&gt;"pvp",Inputs!$B$43&gt;0),((Skills!G6*((R1525-1)*IF(Skills!H6&gt;0,Skills!I6/Skills!H6,1)+IF(Skills!H6&gt;0,MIN(Skills!I6,MAX(0,MAX(0,Inputs!$B$43-B1559)-((R1525-1)*IF(Inputs!$B$38="pvp",15,MAX(0.1,Skills!D6-IF(Skills!E6=TRUE,3.5,0))))))/Skills!H6,1)))/Inputs!$B$43),G1525*Q1525))*IF(Inputs!$B$38="pvp",1,(1+(Inputs!$B$21+Skills!Q6)/100)*(MIN(Skills!R6,Inputs!$B$37))),0)</f>
        <v/>
      </c>
    </row>
    <row r="1526">
      <c r="A1526">
        <f>Skills!A7</f>
        <v/>
      </c>
      <c r="B1526">
        <f>Skills!B7</f>
        <v/>
      </c>
      <c r="C1526">
        <f>Inputs!$B$3&gt;=107</f>
        <v/>
      </c>
      <c r="D1526">
        <f>IF(Skills!C7=1,60+Inputs!$B$25+Inputs!$B$29,IF(Skills!C7=2,90+Inputs!$B$26+Inputs!$B$29,IF(Skills!C7=3,120+Inputs!$B$27+Inputs!$B$29,MAX(0,(Inputs!$B$3-100)*3)+Inputs!$B$28+Inputs!$B$29)))</f>
        <v/>
      </c>
      <c r="E1526">
        <f>INDEX(FactorTable!$B$2:$Y$301, MATCH(ROUND(MIN(300,MAX(1,D1526)),0), FactorTable!$A$2:$A$301,0), Skills!M7+1)</f>
        <v/>
      </c>
      <c r="F1526">
        <f>IF(Skills!N7=TRUE,(Skills!L7/10)*(E1526/1000),Skills!L7/10)+Skills!O7</f>
        <v/>
      </c>
      <c r="G1526" t="inlineStr"/>
      <c r="H1526" t="inlineStr"/>
      <c r="I1526" t="inlineStr">
        <is>
          <t>1</t>
        </is>
      </c>
      <c r="J1526" t="inlineStr"/>
      <c r="K1526" t="inlineStr"/>
      <c r="L1526" t="inlineStr"/>
      <c r="M1526" t="inlineStr"/>
      <c r="N1526" t="inlineStr"/>
      <c r="O1526" t="inlineStr"/>
      <c r="P1526" t="inlineStr"/>
      <c r="Q1526" t="inlineStr"/>
      <c r="R1526" t="inlineStr"/>
      <c r="S1526" t="inlineStr"/>
      <c r="T1526" t="inlineStr"/>
      <c r="V1526" t="inlineStr"/>
    </row>
    <row r="1527">
      <c r="A1527">
        <f>Skills!A8</f>
        <v/>
      </c>
      <c r="B1527">
        <f>Skills!B8</f>
        <v/>
      </c>
      <c r="C1527">
        <f>Inputs!$B$3&gt;=69</f>
        <v/>
      </c>
      <c r="D1527">
        <f>IF(Skills!C8=1,60+Inputs!$B$25+Inputs!$B$29,IF(Skills!C8=2,90+Inputs!$B$26+Inputs!$B$29,IF(Skills!C8=3,120+Inputs!$B$27+Inputs!$B$29,MAX(0,(Inputs!$B$3-100)*3)+Inputs!$B$28+Inputs!$B$29)))</f>
        <v/>
      </c>
      <c r="E1527">
        <f>INDEX(FactorTable!$B$2:$Y$301, MATCH(ROUND(MIN(300,MAX(1,D1527)),0), FactorTable!$A$2:$A$301,0), Skills!M8+1)</f>
        <v/>
      </c>
      <c r="F1527">
        <f>IF(Skills!N8=TRUE,(Skills!L8/10)*(E1527/1000),Skills!L8/10)+Skills!O8</f>
        <v/>
      </c>
      <c r="G1527">
        <f>Skills!G8*IF(Skills!H8&gt;0,Skills!I8/Skills!H8,1)</f>
        <v/>
      </c>
      <c r="H1527">
        <f>1-(1-Skills!J8/100)^Skills!K8</f>
        <v/>
      </c>
      <c r="I1527" t="inlineStr">
        <is>
          <t>1</t>
        </is>
      </c>
      <c r="J1527">
        <f>((Inputs!$B$6*(1+Inputs!$B$7/100))+(((Inputs!$B$12*(1+Inputs!$B$13/100))-(Inputs!$B$12*(1+Inputs!$B$13/100)))+0.25*(Inputs!$B$14-Inputs!$B$14))*(1+Inputs!$B$7/100))*(F1527/100)</f>
        <v/>
      </c>
      <c r="K1527">
        <f>J1527*(1+((Inputs!$B$12*(1+Inputs!$B$13/100))*0.01+Inputs!$B$14*0.0025)/100)*(1+Inputs!$B$15/100)*(1+Inputs!$B$16/100)*(5000/(6000+Inputs!$B$42*(1-(Inputs!$B$19+((C1546=TRUE)*(F1546-Calc!F27)))/100)))*(1+(Inputs!$B$24+((C1544=TRUE)*(F1544-Calc!F25))+((C1545=TRUE)*(F1545-Calc!F26))+B1558)/100)*(1+1.2*IF(C1529=TRUE,F1529,0)/100)*(1+(IF(Skills!A8="ARROW_STREAM",Inputs!$B$17+((C1542=TRUE)*(F1542-Calc!F23)),Inputs!$B$18+((C1547=TRUE)*(F1547-Calc!F28))))/100)*((1+(((C1532=TRUE)*F1532)+((C1533=TRUE)*IF(Inputs!$B$38="pvp",F1533,(1-Summary!$B$55)*(F1533)+Summary!$B$55*(0)))+((C1534=TRUE)*F1534*IF(AND(Inputs!$B$38&lt;&gt;"pvp",Inputs!$B$43&gt;0),(((R1534-1)*(Skills!T15*(1+Inputs!$B$34/100))+MIN((Skills!T15*(1+Inputs!$B$34/100)),MAX(0,Inputs!$B$43-((R1534-1)*Skills!D15))))/Inputs!$B$43),IF(Inputs!$B$38="pvp",MIN((Skills!T15*(1+Inputs!$B$34/100)),15)/15,(Skills!T15*(1+Inputs!$B$34/100))/Skills!D15)))+((C1549=TRUE)*(F1549-Calc!F30)))/100)*I1527)</f>
        <v/>
      </c>
      <c r="L1527">
        <f>K1527*(MIN(Inputs!$B$22+((C1543=TRUE)*(F1543-Calc!F24)),Inputs!$B$23+((C1548=TRUE)*(F1548-Calc!F29)))/100+(Inputs!$B$23+((C1548=TRUE)*(F1548-Calc!F29)))/100)/2</f>
        <v/>
      </c>
      <c r="M1527">
        <f>L1527*(1+(Inputs!$B$10+0+B1557)/100)</f>
        <v/>
      </c>
      <c r="N1527">
        <f>L1527*(1-MIN((Inputs!$B$9+((C1539=TRUE)*(F1539-Calc!F20))+B1552),100)/100)+M1527*(MIN((Inputs!$B$9+((C1539=TRUE)*(F1539-Calc!F20))+B1552),100)/100)</f>
        <v/>
      </c>
      <c r="O1527">
        <f>(1-Summary!$B$55)*T1527+Summary!$B$55*V1527</f>
        <v/>
      </c>
      <c r="P1527">
        <f>IF(B1562=0,0,O1527/B1562)</f>
        <v/>
      </c>
      <c r="Q1527">
        <f>IFERROR(1/IF(Inputs!$B$38="pvp",15,MAX(0.1,Skills!D8-IF(Skills!E8=TRUE,3.5,0))),0)</f>
        <v/>
      </c>
      <c r="R1527">
        <f>IF(AND(Inputs!$B$38&lt;&gt;"pvp",Inputs!$B$43&gt;0),IF(MAX(0,Inputs!$B$43-B1559)&lt;=0,0,(INT(MAX(0,Inputs!$B$43-B1559)/IF(Inputs!$B$38="pvp",15,MAX(0.1,Skills!D8-IF(Skills!E8=TRUE,3.5,0))))+1)),0)</f>
        <v/>
      </c>
      <c r="S1527">
        <f>IFERROR(O1527/N1527,0)</f>
        <v/>
      </c>
      <c r="T1527">
        <f>IF(C1527,(H1527*N1527*IF(AND(Inputs!$B$38&lt;&gt;"pvp",Inputs!$B$43&gt;0),((Skills!G8*((R1527-1)*IF(Skills!H8&gt;0,Skills!I8/Skills!H8,1)+IF(Skills!H8&gt;0,MIN(Skills!I8,MAX(0,MAX(0,Inputs!$B$43-B1559)-((R1527-1)*IF(Inputs!$B$38="pvp",15,MAX(0.1,Skills!D8-IF(Skills!E8=TRUE,3.5,0))))))/Skills!H8,1)))/Inputs!$B$43),G1527*Q1527))*IF(Inputs!$B$38="pvp",1,1+(Inputs!$B$20+0+Skills!P8)/100),0)</f>
        <v/>
      </c>
      <c r="V1527">
        <f>IF(C1527,(H1527*N1527*IF(AND(Inputs!$B$38&lt;&gt;"pvp",Inputs!$B$43&gt;0),((Skills!G8*((R1527-1)*IF(Skills!H8&gt;0,Skills!I8/Skills!H8,1)+IF(Skills!H8&gt;0,MIN(Skills!I8,MAX(0,MAX(0,Inputs!$B$43-B1559)-((R1527-1)*IF(Inputs!$B$38="pvp",15,MAX(0.1,Skills!D8-IF(Skills!E8=TRUE,3.5,0))))))/Skills!H8,1)))/Inputs!$B$43),G1527*Q1527))*IF(Inputs!$B$38="pvp",1,(1+(Inputs!$B$21+Skills!Q8)/100)*(MIN(Skills!R8,Inputs!$B$37))),0)</f>
        <v/>
      </c>
    </row>
    <row r="1528">
      <c r="A1528">
        <f>Skills!A9</f>
        <v/>
      </c>
      <c r="B1528">
        <f>Skills!B9</f>
        <v/>
      </c>
      <c r="C1528">
        <f>Inputs!$B$3&gt;=63</f>
        <v/>
      </c>
      <c r="D1528">
        <f>IF(Skills!C9=1,60+Inputs!$B$25+Inputs!$B$29,IF(Skills!C9=2,90+Inputs!$B$26+Inputs!$B$29,IF(Skills!C9=3,120+Inputs!$B$27+Inputs!$B$29,MAX(0,(Inputs!$B$3-100)*3)+Inputs!$B$28+Inputs!$B$29)))</f>
        <v/>
      </c>
      <c r="E1528">
        <f>INDEX(FactorTable!$B$2:$Y$301, MATCH(ROUND(MIN(300,MAX(1,D1528)),0), FactorTable!$A$2:$A$301,0), Skills!M9+1)</f>
        <v/>
      </c>
      <c r="F1528">
        <f>IF(Skills!N9=TRUE,(Skills!L9/10)*(E1528/1000),Skills!L9/10)+Skills!O9</f>
        <v/>
      </c>
      <c r="G1528">
        <f>Skills!G9*IF(Skills!H9&gt;0,Skills!I9/Skills!H9,1)</f>
        <v/>
      </c>
      <c r="H1528">
        <f>1-(1-Skills!J9/100)^Skills!K9</f>
        <v/>
      </c>
      <c r="I1528" t="inlineStr">
        <is>
          <t>1</t>
        </is>
      </c>
      <c r="J1528">
        <f>((Inputs!$B$6*(1+Inputs!$B$7/100))+(((Inputs!$B$12*(1+Inputs!$B$13/100))-(Inputs!$B$12*(1+Inputs!$B$13/100)))+0.25*(Inputs!$B$14-Inputs!$B$14))*(1+Inputs!$B$7/100))*(F1528/100)</f>
        <v/>
      </c>
      <c r="K1528">
        <f>J1528*(1+((Inputs!$B$12*(1+Inputs!$B$13/100))*0.01+Inputs!$B$14*0.0025)/100)*(1+Inputs!$B$15/100)*(1+Inputs!$B$16/100)*(5000/(6000+Inputs!$B$42*(1-(Inputs!$B$19+((C1546=TRUE)*(F1546-Calc!F27)))/100)))*(1+(Inputs!$B$24+((C1544=TRUE)*(F1544-Calc!F25))+((C1545=TRUE)*(F1545-Calc!F26))+B1558)/100)*(1+1.0*IF(C1529=TRUE,F1529,0)/100)*(1+(IF(Skills!A9="ARROW_STREAM",Inputs!$B$17+((C1542=TRUE)*(F1542-Calc!F23)),Inputs!$B$18+((C1547=TRUE)*(F1547-Calc!F28))))/100)*((1+(((C1532=TRUE)*F1532)+((C1533=TRUE)*IF(Inputs!$B$38="pvp",F1533,(1-Summary!$B$55)*(F1533)+Summary!$B$55*(0)))+((C1534=TRUE)*F1534*IF(AND(Inputs!$B$38&lt;&gt;"pvp",Inputs!$B$43&gt;0),(((R1534-1)*(Skills!T15*(1+Inputs!$B$34/100))+MIN((Skills!T15*(1+Inputs!$B$34/100)),MAX(0,Inputs!$B$43-((R1534-1)*Skills!D15))))/Inputs!$B$43),IF(Inputs!$B$38="pvp",MIN((Skills!T15*(1+Inputs!$B$34/100)),15)/15,(Skills!T15*(1+Inputs!$B$34/100))/Skills!D15)))+((C1549=TRUE)*(F1549-Calc!F30)))/100)*I1528)</f>
        <v/>
      </c>
      <c r="L1528">
        <f>K1528*(MIN(Inputs!$B$22+((C1543=TRUE)*(F1543-Calc!F24)),Inputs!$B$23+((C1548=TRUE)*(F1548-Calc!F29)))/100+(Inputs!$B$23+((C1548=TRUE)*(F1548-Calc!F29)))/100)/2</f>
        <v/>
      </c>
      <c r="M1528">
        <f>L1528*(1+(Inputs!$B$10+0+B1557)/100)</f>
        <v/>
      </c>
      <c r="N1528">
        <f>L1528*(1-MIN((Inputs!$B$9+((C1539=TRUE)*(F1539-Calc!F20))+B1552),100)/100)+M1528*(MIN((Inputs!$B$9+((C1539=TRUE)*(F1539-Calc!F20))+B1552),100)/100)</f>
        <v/>
      </c>
      <c r="O1528">
        <f>(1-Summary!$B$55)*T1528+Summary!$B$55*V1528</f>
        <v/>
      </c>
      <c r="P1528">
        <f>IF(B1562=0,0,O1528/B1562)</f>
        <v/>
      </c>
      <c r="Q1528">
        <f>IFERROR(1/IF(Inputs!$B$38="pvp",15,MAX(0.1,Skills!D9-IF(Skills!E9=TRUE,3.5,0))),0)</f>
        <v/>
      </c>
      <c r="R1528">
        <f>IF(AND(Inputs!$B$38&lt;&gt;"pvp",Inputs!$B$43&gt;0),IF(MAX(0,Inputs!$B$43-B1559)&lt;=0,0,(INT(MAX(0,Inputs!$B$43-B1559)/IF(Inputs!$B$38="pvp",15,MAX(0.1,Skills!D9-IF(Skills!E9=TRUE,3.5,0))))+1)),0)</f>
        <v/>
      </c>
      <c r="S1528">
        <f>IFERROR(O1528/N1528,0)</f>
        <v/>
      </c>
      <c r="T1528">
        <f>IF(C1528,(H1528*N1528*IF(AND(Inputs!$B$38&lt;&gt;"pvp",Inputs!$B$43&gt;0),((Skills!G9*((R1528-1)*IF(Skills!H9&gt;0,Skills!I9/Skills!H9,1)+IF(Skills!H9&gt;0,MIN(Skills!I9,MAX(0,MAX(0,Inputs!$B$43-B1559)-((R1528-1)*IF(Inputs!$B$38="pvp",15,MAX(0.1,Skills!D9-IF(Skills!E9=TRUE,3.5,0))))))/Skills!H9,1)))/Inputs!$B$43),G1528*Q1528))*IF(Inputs!$B$38="pvp",1,1+(Inputs!$B$20+0+Skills!P9)/100),0)</f>
        <v/>
      </c>
      <c r="V1528">
        <f>IF(C1528,(H1528*N1528*IF(AND(Inputs!$B$38&lt;&gt;"pvp",Inputs!$B$43&gt;0),((Skills!G9*((R1528-1)*IF(Skills!H9&gt;0,Skills!I9/Skills!H9,1)+IF(Skills!H9&gt;0,MIN(Skills!I9,MAX(0,MAX(0,Inputs!$B$43-B1559)-((R1528-1)*IF(Inputs!$B$38="pvp",15,MAX(0.1,Skills!D9-IF(Skills!E9=TRUE,3.5,0))))))/Skills!H9,1)))/Inputs!$B$43),G1528*Q1528))*IF(Inputs!$B$38="pvp",1,(1+(Inputs!$B$21+Skills!Q9)/100)*(MIN(Skills!R9,Inputs!$B$37))),0)</f>
        <v/>
      </c>
    </row>
    <row r="1529">
      <c r="A1529">
        <f>Skills!A10</f>
        <v/>
      </c>
      <c r="B1529">
        <f>Skills!B10</f>
        <v/>
      </c>
      <c r="C1529">
        <f>Inputs!$B$3&gt;=100</f>
        <v/>
      </c>
      <c r="D1529">
        <f>IF(Skills!C10=1,60+Inputs!$B$25+Inputs!$B$29,IF(Skills!C10=2,90+Inputs!$B$26+Inputs!$B$29,IF(Skills!C10=3,120+Inputs!$B$27+Inputs!$B$29,MAX(0,(Inputs!$B$3-100)*3)+Inputs!$B$28+Inputs!$B$29)))</f>
        <v/>
      </c>
      <c r="E1529">
        <f>INDEX(FactorTable!$B$2:$Y$301, MATCH(ROUND(MIN(300,MAX(1,D1529)),0), FactorTable!$A$2:$A$301,0), Skills!M10+1)</f>
        <v/>
      </c>
      <c r="F1529">
        <f>IF(Skills!N10=TRUE,(Skills!L10/10)*(E1529/1000),Skills!L10/10)+Skills!O10</f>
        <v/>
      </c>
      <c r="G1529" t="inlineStr"/>
      <c r="H1529" t="inlineStr"/>
      <c r="I1529" t="inlineStr">
        <is>
          <t>1</t>
        </is>
      </c>
      <c r="J1529" t="inlineStr"/>
      <c r="K1529" t="inlineStr"/>
      <c r="L1529" t="inlineStr"/>
      <c r="M1529" t="inlineStr"/>
      <c r="N1529" t="inlineStr"/>
      <c r="O1529" t="inlineStr"/>
      <c r="P1529" t="inlineStr"/>
      <c r="Q1529" t="inlineStr"/>
      <c r="R1529" t="inlineStr"/>
      <c r="S1529" t="inlineStr"/>
      <c r="T1529" t="inlineStr"/>
      <c r="V1529" t="inlineStr"/>
    </row>
    <row r="1530">
      <c r="A1530">
        <f>Skills!A11</f>
        <v/>
      </c>
      <c r="B1530">
        <f>Skills!B11</f>
        <v/>
      </c>
      <c r="C1530">
        <f>Inputs!$B$3&gt;=60</f>
        <v/>
      </c>
      <c r="D1530">
        <f>IF(Skills!C11=1,60+Inputs!$B$25+Inputs!$B$29,IF(Skills!C11=2,90+Inputs!$B$26+Inputs!$B$29,IF(Skills!C11=3,120+Inputs!$B$27+Inputs!$B$29,MAX(0,(Inputs!$B$3-100)*3)+Inputs!$B$28+Inputs!$B$29)))</f>
        <v/>
      </c>
      <c r="E1530">
        <f>INDEX(FactorTable!$B$2:$Y$301, MATCH(ROUND(MIN(300,MAX(1,D1530)),0), FactorTable!$A$2:$A$301,0), Skills!M11+1)</f>
        <v/>
      </c>
      <c r="F1530">
        <f>IF(Skills!N11=TRUE,(Skills!L11/10)*(E1530/1000),Skills!L11/10)+Skills!O11</f>
        <v/>
      </c>
      <c r="G1530">
        <f>Skills!G11*IF(Skills!H11&gt;0,Skills!I11/Skills!H11,1)</f>
        <v/>
      </c>
      <c r="H1530">
        <f>1-(1-Skills!J11/100)^Skills!K11</f>
        <v/>
      </c>
      <c r="I1530" t="inlineStr">
        <is>
          <t>1</t>
        </is>
      </c>
      <c r="J1530">
        <f>((Inputs!$B$6*(1+Inputs!$B$7/100))+(((Inputs!$B$12*(1+Inputs!$B$13/100))-(Inputs!$B$12*(1+Inputs!$B$13/100)))+0.25*(Inputs!$B$14-Inputs!$B$14))*(1+Inputs!$B$7/100))*(F1530/100)</f>
        <v/>
      </c>
      <c r="K1530">
        <f>J1530*(1+((Inputs!$B$12*(1+Inputs!$B$13/100))*0.01+Inputs!$B$14*0.0025)/100)*(1+Inputs!$B$15/100)*(1+Inputs!$B$16/100)*(5000/(6000+Inputs!$B$42*(1-(Inputs!$B$19+((C1546=TRUE)*(F1546-Calc!F27)))/100)))*(1+(Inputs!$B$24+((C1544=TRUE)*(F1544-Calc!F25))+((C1545=TRUE)*(F1545-Calc!F26))+B1558)/100)*(1+IF(C1531=TRUE,F1531,0)/100)*(1+(IF(Skills!A11="ARROW_STREAM",Inputs!$B$17+((C1542=TRUE)*(F1542-Calc!F23)),Inputs!$B$18+((C1547=TRUE)*(F1547-Calc!F28))))/100)*((1+(((C1532=TRUE)*F1532)+((C1533=TRUE)*IF(Inputs!$B$38="pvp",F1533,(1-Summary!$B$55)*(F1533)+Summary!$B$55*(0)))+((C1534=TRUE)*F1534*IF(AND(Inputs!$B$38&lt;&gt;"pvp",Inputs!$B$43&gt;0),(((R1534-1)*(Skills!T15*(1+Inputs!$B$34/100))+MIN((Skills!T15*(1+Inputs!$B$34/100)),MAX(0,Inputs!$B$43-((R1534-1)*Skills!D15))))/Inputs!$B$43),IF(Inputs!$B$38="pvp",MIN((Skills!T15*(1+Inputs!$B$34/100)),15)/15,(Skills!T15*(1+Inputs!$B$34/100))/Skills!D15)))+((C1549=TRUE)*(F1549-Calc!F30)))/100)*I1530)</f>
        <v/>
      </c>
      <c r="L1530">
        <f>K1530*(MIN(Inputs!$B$22+((C1543=TRUE)*(F1543-Calc!F24)),Inputs!$B$23+((C1548=TRUE)*(F1548-Calc!F29)))/100+(Inputs!$B$23+((C1548=TRUE)*(F1548-Calc!F29)))/100)/2</f>
        <v/>
      </c>
      <c r="M1530">
        <f>L1530*(1+(Inputs!$B$10+0+B1557)/100)</f>
        <v/>
      </c>
      <c r="N1530">
        <f>L1530*(1-MIN((Inputs!$B$9+((C1539=TRUE)*(F1539-Calc!F20))+B1552),100)/100)+M1530*(MIN((Inputs!$B$9+((C1539=TRUE)*(F1539-Calc!F20))+B1552),100)/100)</f>
        <v/>
      </c>
      <c r="O1530">
        <f>(1-Summary!$B$55)*T1530+Summary!$B$55*V1530</f>
        <v/>
      </c>
      <c r="P1530">
        <f>IF(B1562=0,0,O1530/B1562)</f>
        <v/>
      </c>
      <c r="Q1530">
        <f>IFERROR(1/IF(Inputs!$B$38="pvp",15,MAX(0.1,Skills!D11-IF(Skills!E11=TRUE,3.5,0))),0)</f>
        <v/>
      </c>
      <c r="R1530">
        <f>IF(AND(Inputs!$B$38&lt;&gt;"pvp",Inputs!$B$43&gt;0),IF(MAX(0,Inputs!$B$43-B1559)&lt;=0,0,(INT(MAX(0,Inputs!$B$43-B1559)/IF(Inputs!$B$38="pvp",15,MAX(0.1,Skills!D11-IF(Skills!E11=TRUE,3.5,0))))+1)),0)</f>
        <v/>
      </c>
      <c r="S1530">
        <f>IFERROR(O1530/N1530,0)</f>
        <v/>
      </c>
      <c r="T1530">
        <f>IF(C1530,(H1530*N1530*IF(AND(Inputs!$B$38&lt;&gt;"pvp",Inputs!$B$43&gt;0),((Skills!G11*((R1530-1)*IF(Skills!H11&gt;0,Skills!I11/Skills!H11,1)+IF(Skills!H11&gt;0,MIN(Skills!I11,MAX(0,MAX(0,Inputs!$B$43-B1559)-((R1530-1)*IF(Inputs!$B$38="pvp",15,MAX(0.1,Skills!D11-IF(Skills!E11=TRUE,3.5,0))))))/Skills!H11,1)))/Inputs!$B$43),G1530*Q1530))*IF(Inputs!$B$38="pvp",1,1+(Inputs!$B$20+0+Skills!P11)/100),0)</f>
        <v/>
      </c>
      <c r="V1530">
        <f>IF(C1530,(H1530*N1530*IF(AND(Inputs!$B$38&lt;&gt;"pvp",Inputs!$B$43&gt;0),((Skills!G11*((R1530-1)*IF(Skills!H11&gt;0,Skills!I11/Skills!H11,1)+IF(Skills!H11&gt;0,MIN(Skills!I11,MAX(0,MAX(0,Inputs!$B$43-B1559)-((R1530-1)*IF(Inputs!$B$38="pvp",15,MAX(0.1,Skills!D11-IF(Skills!E11=TRUE,3.5,0))))))/Skills!H11,1)))/Inputs!$B$43),G1530*Q1530))*IF(Inputs!$B$38="pvp",1,(1+(Inputs!$B$21+Skills!Q11)/100)*(MIN(Skills!R11,Inputs!$B$37))),0)</f>
        <v/>
      </c>
    </row>
    <row r="1531">
      <c r="A1531">
        <f>Skills!A12</f>
        <v/>
      </c>
      <c r="B1531">
        <f>Skills!B12</f>
        <v/>
      </c>
      <c r="C1531">
        <f>Inputs!$B$3&gt;=110</f>
        <v/>
      </c>
      <c r="D1531">
        <f>IF(Skills!C12=1,60+Inputs!$B$25+Inputs!$B$29,IF(Skills!C12=2,90+Inputs!$B$26+Inputs!$B$29,IF(Skills!C12=3,120+Inputs!$B$27+Inputs!$B$29,MAX(0,(Inputs!$B$3-100)*3)+Inputs!$B$28+Inputs!$B$29)))</f>
        <v/>
      </c>
      <c r="E1531">
        <f>INDEX(FactorTable!$B$2:$Y$301, MATCH(ROUND(MIN(300,MAX(1,D1531)),0), FactorTable!$A$2:$A$301,0), Skills!M12+1)</f>
        <v/>
      </c>
      <c r="F1531">
        <f>IF(Skills!N12=TRUE,(Skills!L12/10)*(E1531/1000),Skills!L12/10)+Skills!O12</f>
        <v/>
      </c>
      <c r="G1531" t="inlineStr"/>
      <c r="H1531" t="inlineStr"/>
      <c r="I1531" t="inlineStr">
        <is>
          <t>1</t>
        </is>
      </c>
      <c r="J1531" t="inlineStr"/>
      <c r="K1531" t="inlineStr"/>
      <c r="L1531" t="inlineStr"/>
      <c r="M1531" t="inlineStr"/>
      <c r="N1531" t="inlineStr"/>
      <c r="O1531" t="inlineStr"/>
      <c r="P1531" t="inlineStr"/>
      <c r="Q1531" t="inlineStr"/>
      <c r="R1531" t="inlineStr"/>
      <c r="S1531" t="inlineStr"/>
      <c r="T1531" t="inlineStr"/>
      <c r="V1531" t="inlineStr"/>
    </row>
    <row r="1532">
      <c r="A1532">
        <f>Skills!A13</f>
        <v/>
      </c>
      <c r="B1532">
        <f>Skills!B13</f>
        <v/>
      </c>
      <c r="C1532">
        <f>Inputs!$B$3&gt;=74</f>
        <v/>
      </c>
      <c r="D1532">
        <f>IF(Skills!C13=1,60+Inputs!$B$25+Inputs!$B$29,IF(Skills!C13=2,90+Inputs!$B$26+Inputs!$B$29,IF(Skills!C13=3,120+Inputs!$B$27+Inputs!$B$29,MAX(0,(Inputs!$B$3-100)*3)+Inputs!$B$28+Inputs!$B$29)))</f>
        <v/>
      </c>
      <c r="E1532">
        <f>INDEX(FactorTable!$B$2:$Y$301, MATCH(ROUND(MIN(300,MAX(1,D1532)),0), FactorTable!$A$2:$A$301,0), Skills!M13+1)</f>
        <v/>
      </c>
      <c r="F1532">
        <f>IF(Skills!N13=TRUE,(Skills!L13/10)*(E1532/1000),Skills!L13/10)+Skills!O13</f>
        <v/>
      </c>
      <c r="G1532">
        <f>Skills!G13*IF(Skills!H13&gt;0,Skills!I13/Skills!H13,1)</f>
        <v/>
      </c>
      <c r="H1532">
        <f>1-(1-Skills!J13/100)^Skills!K13</f>
        <v/>
      </c>
      <c r="I1532" t="inlineStr">
        <is>
          <t>1</t>
        </is>
      </c>
      <c r="J1532" t="inlineStr"/>
      <c r="K1532" t="inlineStr"/>
      <c r="L1532" t="inlineStr"/>
      <c r="M1532" t="inlineStr"/>
      <c r="N1532" t="inlineStr"/>
      <c r="O1532">
        <f>(1-Summary!$B$55)*T1532+Summary!$B$55*V1532</f>
        <v/>
      </c>
      <c r="P1532">
        <f>IF(B1562=0,0,O1532/B1562)</f>
        <v/>
      </c>
      <c r="Q1532" t="n">
        <v>0</v>
      </c>
      <c r="R1532" t="n">
        <v>0</v>
      </c>
      <c r="S1532">
        <f>IFERROR(O1532/N1532,0)</f>
        <v/>
      </c>
      <c r="T1532" t="n">
        <v>0</v>
      </c>
      <c r="V1532" t="n">
        <v>0</v>
      </c>
    </row>
    <row r="1533">
      <c r="A1533">
        <f>Skills!A14</f>
        <v/>
      </c>
      <c r="B1533">
        <f>Skills!B14</f>
        <v/>
      </c>
      <c r="C1533">
        <f>Inputs!$B$3&gt;=74</f>
        <v/>
      </c>
      <c r="D1533">
        <f>IF(Skills!C14=1,60+Inputs!$B$25+Inputs!$B$29,IF(Skills!C14=2,90+Inputs!$B$26+Inputs!$B$29,IF(Skills!C14=3,120+Inputs!$B$27+Inputs!$B$29,MAX(0,(Inputs!$B$3-100)*3)+Inputs!$B$28+Inputs!$B$29)))</f>
        <v/>
      </c>
      <c r="E1533">
        <f>INDEX(FactorTable!$B$2:$Y$301, MATCH(ROUND(MIN(300,MAX(1,D1533)),0), FactorTable!$A$2:$A$301,0), Skills!M14+1)</f>
        <v/>
      </c>
      <c r="F1533">
        <f>IF(Skills!N14=TRUE,(Skills!L14/10)*(E1533/1000),Skills!L14/10)+Skills!O14</f>
        <v/>
      </c>
      <c r="G1533">
        <f>Skills!G14*IF(Skills!H14&gt;0,Skills!I14/Skills!H14,1)</f>
        <v/>
      </c>
      <c r="H1533">
        <f>1-(1-Skills!J14/100)^Skills!K14</f>
        <v/>
      </c>
      <c r="I1533" t="inlineStr">
        <is>
          <t>1</t>
        </is>
      </c>
      <c r="J1533" t="inlineStr"/>
      <c r="K1533" t="inlineStr"/>
      <c r="L1533" t="inlineStr"/>
      <c r="M1533" t="inlineStr"/>
      <c r="N1533" t="inlineStr"/>
      <c r="O1533">
        <f>(1-Summary!$B$55)*T1533+Summary!$B$55*V1533</f>
        <v/>
      </c>
      <c r="P1533">
        <f>IF(B1562=0,0,O1533/B1562)</f>
        <v/>
      </c>
      <c r="Q1533" t="n">
        <v>0</v>
      </c>
      <c r="R1533" t="n">
        <v>0</v>
      </c>
      <c r="S1533">
        <f>IFERROR(O1533/N1533,0)</f>
        <v/>
      </c>
      <c r="T1533" t="n">
        <v>0</v>
      </c>
      <c r="V1533" t="n">
        <v>0</v>
      </c>
    </row>
    <row r="1534">
      <c r="A1534">
        <f>Skills!A15</f>
        <v/>
      </c>
      <c r="B1534">
        <f>Skills!B15</f>
        <v/>
      </c>
      <c r="C1534">
        <f>Inputs!$B$3&gt;=117</f>
        <v/>
      </c>
      <c r="D1534">
        <f>IF(Skills!C15=1,60+Inputs!$B$25+Inputs!$B$29,IF(Skills!C15=2,90+Inputs!$B$26+Inputs!$B$29,IF(Skills!C15=3,120+Inputs!$B$27+Inputs!$B$29,MAX(0,(Inputs!$B$3-100)*3)+Inputs!$B$28+Inputs!$B$29)))</f>
        <v/>
      </c>
      <c r="E1534">
        <f>INDEX(FactorTable!$B$2:$Y$301, MATCH(ROUND(MIN(300,MAX(1,D1534)),0), FactorTable!$A$2:$A$301,0), Skills!M15+1)</f>
        <v/>
      </c>
      <c r="F1534">
        <f>IF(Skills!N15=TRUE,(Skills!L15/10)*(E1534/1000),Skills!L15/10)+Skills!O15</f>
        <v/>
      </c>
      <c r="G1534">
        <f>Skills!G15*IF(Skills!H15&gt;0,Skills!I15/Skills!H15,1)</f>
        <v/>
      </c>
      <c r="H1534">
        <f>1-(1-Skills!J15/100)^Skills!K15</f>
        <v/>
      </c>
      <c r="I1534" t="inlineStr">
        <is>
          <t>1</t>
        </is>
      </c>
      <c r="J1534" t="inlineStr"/>
      <c r="K1534" t="inlineStr"/>
      <c r="L1534" t="inlineStr"/>
      <c r="M1534" t="inlineStr"/>
      <c r="N1534" t="inlineStr"/>
      <c r="O1534">
        <f>(1-Summary!$B$55)*T1534+Summary!$B$55*V1534</f>
        <v/>
      </c>
      <c r="P1534">
        <f>IF(B1562=0,0,O1534/B1562)</f>
        <v/>
      </c>
      <c r="Q1534">
        <f>IFERROR(1/IF(Inputs!$B$38="pvp",15,MAX(0.1,Skills!D15-IF(Skills!E15=TRUE,3.5,0))),0)</f>
        <v/>
      </c>
      <c r="R1534">
        <f>IF(AND(Inputs!$B$38&lt;&gt;"pvp",Inputs!$B$43&gt;0),IF(Inputs!$B$43&lt;=0,0,(INT(Inputs!$B$43/IF(Inputs!$B$38="pvp",15,MAX(0.1,Skills!D15-IF(Skills!E15=TRUE,3.5,0))))+1)),0)</f>
        <v/>
      </c>
      <c r="S1534">
        <f>IFERROR(O1534/N1534,0)</f>
        <v/>
      </c>
      <c r="T1534" t="n">
        <v>0</v>
      </c>
      <c r="V1534" t="n">
        <v>0</v>
      </c>
    </row>
    <row r="1535">
      <c r="A1535">
        <f>Skills!A16</f>
        <v/>
      </c>
      <c r="B1535">
        <f>Skills!B16</f>
        <v/>
      </c>
      <c r="C1535">
        <f>Inputs!$B$3&gt;=115</f>
        <v/>
      </c>
      <c r="D1535">
        <f>IF(Skills!C16=1,60+Inputs!$B$25+Inputs!$B$29,IF(Skills!C16=2,90+Inputs!$B$26+Inputs!$B$29,IF(Skills!C16=3,120+Inputs!$B$27+Inputs!$B$29,MAX(0,(Inputs!$B$3-100)*3)+Inputs!$B$28+Inputs!$B$29)))</f>
        <v/>
      </c>
      <c r="E1535">
        <f>INDEX(FactorTable!$B$2:$Y$301, MATCH(ROUND(MIN(300,MAX(1,D1535)),0), FactorTable!$A$2:$A$301,0), Skills!M16+1)</f>
        <v/>
      </c>
      <c r="F1535">
        <f>IF(Skills!N16=TRUE,(Skills!L16/10)*(E1535/1000),Skills!L16/10)+Skills!O16</f>
        <v/>
      </c>
      <c r="G1535">
        <f>Skills!G16*IF(Skills!H16&gt;0,Skills!I16/Skills!H16,1)</f>
        <v/>
      </c>
      <c r="H1535">
        <f>1-(1-Skills!J16/100)^Skills!K16</f>
        <v/>
      </c>
      <c r="I1535" t="inlineStr">
        <is>
          <t>1</t>
        </is>
      </c>
      <c r="J1535" t="inlineStr"/>
      <c r="K1535" t="inlineStr"/>
      <c r="L1535" t="inlineStr"/>
      <c r="M1535" t="inlineStr"/>
      <c r="N1535" t="inlineStr"/>
      <c r="O1535">
        <f>(1-Summary!$B$55)*T1535+Summary!$B$55*V1535</f>
        <v/>
      </c>
      <c r="P1535">
        <f>IF(B1562=0,0,O1535/B1562)</f>
        <v/>
      </c>
      <c r="Q1535">
        <f>IFERROR(1/IF(Inputs!$B$38="pvp",15,MAX(0.1,Skills!D16-IF(Skills!E16=TRUE,3.5,0))),0)</f>
        <v/>
      </c>
      <c r="R1535">
        <f>IF(AND(Inputs!$B$38&lt;&gt;"pvp",Inputs!$B$43&gt;0),IF(Inputs!$B$43&lt;=0,0,(INT(Inputs!$B$43/IF(Inputs!$B$38="pvp",15,MAX(0.1,Skills!D16-IF(Skills!E16=TRUE,3.5,0))))+1)),0)</f>
        <v/>
      </c>
      <c r="S1535">
        <f>IFERROR(O1535/N1535,0)</f>
        <v/>
      </c>
      <c r="T1535" t="n">
        <v>0</v>
      </c>
      <c r="V1535" t="n">
        <v>0</v>
      </c>
    </row>
    <row r="1536">
      <c r="A1536">
        <f>Skills!A17</f>
        <v/>
      </c>
      <c r="B1536">
        <f>Skills!B17</f>
        <v/>
      </c>
      <c r="C1536">
        <f>Inputs!$B$3&gt;=66</f>
        <v/>
      </c>
      <c r="D1536">
        <f>IF(Skills!C17=1,60+Inputs!$B$25+Inputs!$B$29,IF(Skills!C17=2,90+Inputs!$B$26+Inputs!$B$29,IF(Skills!C17=3,120+Inputs!$B$27+Inputs!$B$29,MAX(0,(Inputs!$B$3-100)*3)+Inputs!$B$28+Inputs!$B$29)))</f>
        <v/>
      </c>
      <c r="E1536">
        <f>INDEX(FactorTable!$B$2:$Y$301, MATCH(ROUND(MIN(300,MAX(1,D1536)),0), FactorTable!$A$2:$A$301,0), Skills!M17+1)</f>
        <v/>
      </c>
      <c r="F1536">
        <f>IF(Skills!N17=TRUE,(Skills!L17/10)*(E1536/1000),Skills!L17/10)+Skills!O17</f>
        <v/>
      </c>
      <c r="G1536">
        <f>Skills!G17*IF(Skills!H17&gt;0,Skills!I17/Skills!H17,1)</f>
        <v/>
      </c>
      <c r="H1536">
        <f>1-(1-Skills!J17/100)^Skills!K17</f>
        <v/>
      </c>
      <c r="I1536" t="inlineStr">
        <is>
          <t>1</t>
        </is>
      </c>
      <c r="J1536" t="inlineStr"/>
      <c r="K1536" t="inlineStr"/>
      <c r="L1536" t="inlineStr"/>
      <c r="M1536" t="inlineStr"/>
      <c r="N1536" t="inlineStr"/>
      <c r="O1536">
        <f>(1-Summary!$B$55)*T1536+Summary!$B$55*V1536</f>
        <v/>
      </c>
      <c r="P1536">
        <f>IF(B1562=0,0,O1536/B1562)</f>
        <v/>
      </c>
      <c r="Q1536" t="n">
        <v>0</v>
      </c>
      <c r="R1536" t="n">
        <v>0</v>
      </c>
      <c r="S1536">
        <f>IFERROR(O1536/N1536,0)</f>
        <v/>
      </c>
      <c r="T1536" t="n">
        <v>0</v>
      </c>
      <c r="V1536" t="n">
        <v>0</v>
      </c>
    </row>
    <row r="1537">
      <c r="A1537">
        <f>Skills!A18</f>
        <v/>
      </c>
      <c r="B1537">
        <f>Skills!B18</f>
        <v/>
      </c>
      <c r="C1537">
        <f>Inputs!$B$3&gt;=72</f>
        <v/>
      </c>
      <c r="D1537">
        <f>IF(Skills!C18=1,60+Inputs!$B$25+Inputs!$B$29,IF(Skills!C18=2,90+Inputs!$B$26+Inputs!$B$29,IF(Skills!C18=3,120+Inputs!$B$27+Inputs!$B$29,MAX(0,(Inputs!$B$3-100)*3)+Inputs!$B$28+Inputs!$B$29)))</f>
        <v/>
      </c>
      <c r="E1537">
        <f>INDEX(FactorTable!$B$2:$Y$301, MATCH(ROUND(MIN(300,MAX(1,D1537)),0), FactorTable!$A$2:$A$301,0), Skills!M18+1)</f>
        <v/>
      </c>
      <c r="F1537">
        <f>IF(Skills!N18=TRUE,(Skills!L18/10)*(E1537/1000),Skills!L18/10)+Skills!O18</f>
        <v/>
      </c>
      <c r="G1537">
        <f>Skills!G18*IF(Skills!H18&gt;0,Skills!I18/Skills!H18,1)</f>
        <v/>
      </c>
      <c r="H1537">
        <f>1-(1-Skills!J18/100)^Skills!K18</f>
        <v/>
      </c>
      <c r="I1537" t="inlineStr">
        <is>
          <t>1</t>
        </is>
      </c>
      <c r="J1537" t="inlineStr"/>
      <c r="K1537" t="inlineStr"/>
      <c r="L1537" t="inlineStr"/>
      <c r="M1537" t="inlineStr"/>
      <c r="N1537" t="inlineStr"/>
      <c r="O1537">
        <f>(1-Summary!$B$55)*T1537+Summary!$B$55*V1537</f>
        <v/>
      </c>
      <c r="P1537">
        <f>IF(B1562=0,0,O1537/B1562)</f>
        <v/>
      </c>
      <c r="Q1537" t="n">
        <v>0</v>
      </c>
      <c r="R1537" t="n">
        <v>0</v>
      </c>
      <c r="S1537">
        <f>IFERROR(O1537/N1537,0)</f>
        <v/>
      </c>
      <c r="T1537" t="n">
        <v>0</v>
      </c>
      <c r="V1537" t="n">
        <v>0</v>
      </c>
    </row>
    <row r="1538">
      <c r="A1538">
        <f>Skills!A19</f>
        <v/>
      </c>
      <c r="B1538">
        <f>Skills!B19</f>
        <v/>
      </c>
      <c r="C1538">
        <f>TRUE</f>
        <v/>
      </c>
      <c r="D1538">
        <f>IF(Skills!C19=1,60+Inputs!$B$25+Inputs!$B$29,IF(Skills!C19=2,90+Inputs!$B$26+Inputs!$B$29,IF(Skills!C19=3,120+Inputs!$B$27+Inputs!$B$29,MAX(0,(Inputs!$B$3-100)*3)+Inputs!$B$28+Inputs!$B$29)))</f>
        <v/>
      </c>
      <c r="E1538">
        <f>INDEX(FactorTable!$B$2:$Y$301, MATCH(ROUND(MIN(300,MAX(1,D1538)),0), FactorTable!$A$2:$A$301,0), Skills!M19+1)</f>
        <v/>
      </c>
      <c r="F1538">
        <f>IF(Skills!N19=TRUE,(Skills!L19/10)*(E1538/1000),Skills!L19/10)+Skills!O19</f>
        <v/>
      </c>
      <c r="G1538">
        <f>Skills!G19*IF(Skills!H19&gt;0,Skills!I19/Skills!H19,1)</f>
        <v/>
      </c>
      <c r="H1538">
        <f>1-(1-Skills!J19/100)^Skills!K19</f>
        <v/>
      </c>
      <c r="I1538" t="inlineStr">
        <is>
          <t>1</t>
        </is>
      </c>
      <c r="J1538" t="inlineStr"/>
      <c r="K1538" t="inlineStr"/>
      <c r="L1538" t="inlineStr"/>
      <c r="M1538" t="inlineStr"/>
      <c r="N1538" t="inlineStr"/>
      <c r="O1538">
        <f>(1-Summary!$B$55)*T1538+Summary!$B$55*V1538</f>
        <v/>
      </c>
      <c r="P1538">
        <f>IF(B1562=0,0,O1538/B1562)</f>
        <v/>
      </c>
      <c r="Q1538">
        <f>IFERROR(1/IF(Inputs!$B$38="pvp",15,MAX(0.1,Skills!D19-IF(Skills!E19=TRUE,3.5,0))),0)</f>
        <v/>
      </c>
      <c r="R1538">
        <f>IF(AND(Inputs!$B$38&lt;&gt;"pvp",Inputs!$B$43&gt;0),IF(Inputs!$B$43&lt;=0,0,(INT(Inputs!$B$43/IF(Inputs!$B$38="pvp",15,MAX(0.1,Skills!D19-IF(Skills!E19=TRUE,3.5,0))))+1)),0)</f>
        <v/>
      </c>
      <c r="S1538">
        <f>IFERROR(O1538/N1538,0)</f>
        <v/>
      </c>
      <c r="T1538" t="n">
        <v>0</v>
      </c>
      <c r="V1538" t="n">
        <v>0</v>
      </c>
    </row>
    <row r="1539">
      <c r="A1539">
        <f>Skills!A20</f>
        <v/>
      </c>
      <c r="B1539">
        <f>Skills!B20</f>
        <v/>
      </c>
      <c r="C1539">
        <f>Inputs!$B$3&gt;=15</f>
        <v/>
      </c>
      <c r="D1539">
        <f>IF(Skills!C20=1,60+Inputs!$B$25+Inputs!$B$29,IF(Skills!C20=2,90+Inputs!$B$26+Inputs!$B$29,IF(Skills!C20=3,120+Inputs!$B$27+Inputs!$B$29,MAX(0,(Inputs!$B$3-100)*3)+Inputs!$B$28+Inputs!$B$29)))</f>
        <v/>
      </c>
      <c r="E1539">
        <f>INDEX(FactorTable!$B$2:$Y$301, MATCH(ROUND(MIN(300,MAX(1,D1539)),0), FactorTable!$A$2:$A$301,0), Skills!M20+1)</f>
        <v/>
      </c>
      <c r="F1539">
        <f>IF(Skills!N20=TRUE,(Skills!L20/10)*(E1539/1000),Skills!L20/10)+Skills!O20</f>
        <v/>
      </c>
      <c r="G1539">
        <f>Skills!G20*IF(Skills!H20&gt;0,Skills!I20/Skills!H20,1)</f>
        <v/>
      </c>
      <c r="H1539">
        <f>1-(1-Skills!J20/100)^Skills!K20</f>
        <v/>
      </c>
      <c r="I1539" t="inlineStr">
        <is>
          <t>1</t>
        </is>
      </c>
      <c r="J1539" t="inlineStr"/>
      <c r="K1539" t="inlineStr"/>
      <c r="L1539" t="inlineStr"/>
      <c r="M1539" t="inlineStr"/>
      <c r="N1539" t="inlineStr"/>
      <c r="O1539">
        <f>(1-Summary!$B$55)*T1539+Summary!$B$55*V1539</f>
        <v/>
      </c>
      <c r="P1539">
        <f>IF(B1562=0,0,O1539/B1562)</f>
        <v/>
      </c>
      <c r="Q1539" t="n">
        <v>0</v>
      </c>
      <c r="R1539" t="n">
        <v>0</v>
      </c>
      <c r="S1539">
        <f>IFERROR(O1539/N1539,0)</f>
        <v/>
      </c>
      <c r="T1539" t="n">
        <v>0</v>
      </c>
      <c r="V1539" t="n">
        <v>0</v>
      </c>
    </row>
    <row r="1540">
      <c r="A1540">
        <f>Skills!A21</f>
        <v/>
      </c>
      <c r="B1540">
        <f>Skills!B21</f>
        <v/>
      </c>
      <c r="C1540">
        <f>Inputs!$B$3&gt;=10</f>
        <v/>
      </c>
      <c r="D1540">
        <f>IF(Skills!C21=1,60+Inputs!$B$25+Inputs!$B$29,IF(Skills!C21=2,90+Inputs!$B$26+Inputs!$B$29,IF(Skills!C21=3,120+Inputs!$B$27+Inputs!$B$29,MAX(0,(Inputs!$B$3-100)*3)+Inputs!$B$28+Inputs!$B$29)))</f>
        <v/>
      </c>
      <c r="E1540">
        <f>INDEX(FactorTable!$B$2:$Y$301, MATCH(ROUND(MIN(300,MAX(1,D1540)),0), FactorTable!$A$2:$A$301,0), Skills!M21+1)</f>
        <v/>
      </c>
      <c r="F1540">
        <f>IF(Skills!N21=TRUE,(Skills!L21/10)*(E1540/1000),Skills!L21/10)+Skills!O21</f>
        <v/>
      </c>
      <c r="G1540">
        <f>Skills!G21*IF(Skills!H21&gt;0,Skills!I21/Skills!H21,1)</f>
        <v/>
      </c>
      <c r="H1540">
        <f>1-(1-Skills!J21/100)^Skills!K21</f>
        <v/>
      </c>
      <c r="I1540" t="inlineStr">
        <is>
          <t>1</t>
        </is>
      </c>
      <c r="J1540" t="inlineStr"/>
      <c r="K1540" t="inlineStr"/>
      <c r="L1540" t="inlineStr"/>
      <c r="M1540" t="inlineStr"/>
      <c r="N1540" t="inlineStr"/>
      <c r="O1540">
        <f>(1-Summary!$B$55)*T1540+Summary!$B$55*V1540</f>
        <v/>
      </c>
      <c r="P1540">
        <f>IF(B1562=0,0,O1540/B1562)</f>
        <v/>
      </c>
      <c r="Q1540" t="n">
        <v>0</v>
      </c>
      <c r="R1540" t="n">
        <v>0</v>
      </c>
      <c r="S1540">
        <f>IFERROR(O1540/N1540,0)</f>
        <v/>
      </c>
      <c r="T1540" t="n">
        <v>0</v>
      </c>
      <c r="V1540" t="n">
        <v>0</v>
      </c>
    </row>
    <row r="1541">
      <c r="A1541">
        <f>Skills!A22</f>
        <v/>
      </c>
      <c r="B1541">
        <f>Skills!B22</f>
        <v/>
      </c>
      <c r="C1541">
        <f>Inputs!$B$3&gt;=33</f>
        <v/>
      </c>
      <c r="D1541">
        <f>IF(Skills!C22=1,60+Inputs!$B$25+Inputs!$B$29,IF(Skills!C22=2,90+Inputs!$B$26+Inputs!$B$29,IF(Skills!C22=3,120+Inputs!$B$27+Inputs!$B$29,MAX(0,(Inputs!$B$3-100)*3)+Inputs!$B$28+Inputs!$B$29)))</f>
        <v/>
      </c>
      <c r="E1541">
        <f>INDEX(FactorTable!$B$2:$Y$301, MATCH(ROUND(MIN(300,MAX(1,D1541)),0), FactorTable!$A$2:$A$301,0), Skills!M22+1)</f>
        <v/>
      </c>
      <c r="F1541">
        <f>IF(Skills!N22=TRUE,(Skills!L22/10)*(E1541/1000),Skills!L22/10)+Skills!O22</f>
        <v/>
      </c>
      <c r="G1541">
        <f>Skills!G22*IF(Skills!H22&gt;0,Skills!I22/Skills!H22,1)</f>
        <v/>
      </c>
      <c r="H1541">
        <f>1-(1-Skills!J22/100)^Skills!K22</f>
        <v/>
      </c>
      <c r="I1541" t="inlineStr">
        <is>
          <t>1</t>
        </is>
      </c>
      <c r="J1541" t="inlineStr"/>
      <c r="K1541" t="inlineStr"/>
      <c r="L1541" t="inlineStr"/>
      <c r="M1541" t="inlineStr"/>
      <c r="N1541" t="inlineStr"/>
      <c r="O1541">
        <f>(1-Summary!$B$55)*T1541+Summary!$B$55*V1541</f>
        <v/>
      </c>
      <c r="P1541">
        <f>IF(B1562=0,0,O1541/B1562)</f>
        <v/>
      </c>
      <c r="Q1541" t="n">
        <v>0</v>
      </c>
      <c r="R1541" t="n">
        <v>0</v>
      </c>
      <c r="S1541">
        <f>IFERROR(O1541/N1541,0)</f>
        <v/>
      </c>
      <c r="T1541" t="n">
        <v>0</v>
      </c>
      <c r="V1541" t="n">
        <v>0</v>
      </c>
    </row>
    <row r="1542">
      <c r="A1542">
        <f>Skills!A23</f>
        <v/>
      </c>
      <c r="B1542">
        <f>Skills!B23</f>
        <v/>
      </c>
      <c r="C1542">
        <f>Inputs!$B$3&gt;=38</f>
        <v/>
      </c>
      <c r="D1542">
        <f>IF(Skills!C23=1,60+Inputs!$B$25+Inputs!$B$29,IF(Skills!C23=2,90+Inputs!$B$26+Inputs!$B$29,IF(Skills!C23=3,120+Inputs!$B$27+Inputs!$B$29,MAX(0,(Inputs!$B$3-100)*3)+Inputs!$B$28+Inputs!$B$29)))</f>
        <v/>
      </c>
      <c r="E1542">
        <f>INDEX(FactorTable!$B$2:$Y$301, MATCH(ROUND(MIN(300,MAX(1,D1542)),0), FactorTable!$A$2:$A$301,0), Skills!M23+1)</f>
        <v/>
      </c>
      <c r="F1542">
        <f>IF(Skills!N23=TRUE,(Skills!L23/10)*(E1542/1000),Skills!L23/10)+Skills!O23</f>
        <v/>
      </c>
      <c r="G1542">
        <f>Skills!G23*IF(Skills!H23&gt;0,Skills!I23/Skills!H23,1)</f>
        <v/>
      </c>
      <c r="H1542">
        <f>1-(1-Skills!J23/100)^Skills!K23</f>
        <v/>
      </c>
      <c r="I1542" t="inlineStr">
        <is>
          <t>1</t>
        </is>
      </c>
      <c r="J1542" t="inlineStr"/>
      <c r="K1542" t="inlineStr"/>
      <c r="L1542" t="inlineStr"/>
      <c r="M1542" t="inlineStr"/>
      <c r="N1542" t="inlineStr"/>
      <c r="O1542">
        <f>(1-Summary!$B$55)*T1542+Summary!$B$55*V1542</f>
        <v/>
      </c>
      <c r="P1542">
        <f>IF(B1562=0,0,O1542/B1562)</f>
        <v/>
      </c>
      <c r="Q1542" t="n">
        <v>0</v>
      </c>
      <c r="R1542" t="n">
        <v>0</v>
      </c>
      <c r="S1542">
        <f>IFERROR(O1542/N1542,0)</f>
        <v/>
      </c>
      <c r="T1542" t="n">
        <v>0</v>
      </c>
      <c r="V1542" t="n">
        <v>0</v>
      </c>
    </row>
    <row r="1543">
      <c r="A1543">
        <f>Skills!A24</f>
        <v/>
      </c>
      <c r="B1543">
        <f>Skills!B24</f>
        <v/>
      </c>
      <c r="C1543">
        <f>Inputs!$B$3&gt;=43</f>
        <v/>
      </c>
      <c r="D1543">
        <f>IF(Skills!C24=1,60+Inputs!$B$25+Inputs!$B$29,IF(Skills!C24=2,90+Inputs!$B$26+Inputs!$B$29,IF(Skills!C24=3,120+Inputs!$B$27+Inputs!$B$29,MAX(0,(Inputs!$B$3-100)*3)+Inputs!$B$28+Inputs!$B$29)))</f>
        <v/>
      </c>
      <c r="E1543">
        <f>INDEX(FactorTable!$B$2:$Y$301, MATCH(ROUND(MIN(300,MAX(1,D1543)),0), FactorTable!$A$2:$A$301,0), Skills!M24+1)</f>
        <v/>
      </c>
      <c r="F1543">
        <f>IF(Skills!N24=TRUE,(Skills!L24/10)*(E1543/1000),Skills!L24/10)+Skills!O24</f>
        <v/>
      </c>
      <c r="G1543">
        <f>Skills!G24*IF(Skills!H24&gt;0,Skills!I24/Skills!H24,1)</f>
        <v/>
      </c>
      <c r="H1543">
        <f>1-(1-Skills!J24/100)^Skills!K24</f>
        <v/>
      </c>
      <c r="I1543" t="inlineStr">
        <is>
          <t>1</t>
        </is>
      </c>
      <c r="J1543" t="inlineStr"/>
      <c r="K1543" t="inlineStr"/>
      <c r="L1543" t="inlineStr"/>
      <c r="M1543" t="inlineStr"/>
      <c r="N1543" t="inlineStr"/>
      <c r="O1543">
        <f>(1-Summary!$B$55)*T1543+Summary!$B$55*V1543</f>
        <v/>
      </c>
      <c r="P1543">
        <f>IF(B1562=0,0,O1543/B1562)</f>
        <v/>
      </c>
      <c r="Q1543" t="n">
        <v>0</v>
      </c>
      <c r="R1543" t="n">
        <v>0</v>
      </c>
      <c r="S1543">
        <f>IFERROR(O1543/N1543,0)</f>
        <v/>
      </c>
      <c r="T1543" t="n">
        <v>0</v>
      </c>
      <c r="V1543" t="n">
        <v>0</v>
      </c>
    </row>
    <row r="1544">
      <c r="A1544">
        <f>Skills!A25</f>
        <v/>
      </c>
      <c r="B1544">
        <f>Skills!B25</f>
        <v/>
      </c>
      <c r="C1544">
        <f>Inputs!$B$3&gt;=75</f>
        <v/>
      </c>
      <c r="D1544">
        <f>IF(Skills!C25=1,60+Inputs!$B$25+Inputs!$B$29,IF(Skills!C25=2,90+Inputs!$B$26+Inputs!$B$29,IF(Skills!C25=3,120+Inputs!$B$27+Inputs!$B$29,MAX(0,(Inputs!$B$3-100)*3)+Inputs!$B$28+Inputs!$B$29)))</f>
        <v/>
      </c>
      <c r="E1544">
        <f>INDEX(FactorTable!$B$2:$Y$301, MATCH(ROUND(MIN(300,MAX(1,D1544)),0), FactorTable!$A$2:$A$301,0), Skills!M25+1)</f>
        <v/>
      </c>
      <c r="F1544">
        <f>IF(Skills!N25=TRUE,(Skills!L25/10)*(E1544/1000),Skills!L25/10)+Skills!O25</f>
        <v/>
      </c>
      <c r="G1544">
        <f>Skills!G25*IF(Skills!H25&gt;0,Skills!I25/Skills!H25,1)</f>
        <v/>
      </c>
      <c r="H1544">
        <f>1-(1-Skills!J25/100)^Skills!K25</f>
        <v/>
      </c>
      <c r="I1544" t="inlineStr">
        <is>
          <t>1</t>
        </is>
      </c>
      <c r="J1544" t="inlineStr"/>
      <c r="K1544" t="inlineStr"/>
      <c r="L1544" t="inlineStr"/>
      <c r="M1544" t="inlineStr"/>
      <c r="N1544" t="inlineStr"/>
      <c r="O1544">
        <f>(1-Summary!$B$55)*T1544+Summary!$B$55*V1544</f>
        <v/>
      </c>
      <c r="P1544">
        <f>IF(B1562=0,0,O1544/B1562)</f>
        <v/>
      </c>
      <c r="Q1544" t="n">
        <v>0</v>
      </c>
      <c r="R1544" t="n">
        <v>0</v>
      </c>
      <c r="S1544">
        <f>IFERROR(O1544/N1544,0)</f>
        <v/>
      </c>
      <c r="T1544" t="n">
        <v>0</v>
      </c>
      <c r="V1544" t="n">
        <v>0</v>
      </c>
    </row>
    <row r="1545">
      <c r="A1545">
        <f>Skills!A26</f>
        <v/>
      </c>
      <c r="B1545">
        <f>Skills!B26</f>
        <v/>
      </c>
      <c r="C1545">
        <f>Inputs!$B$3&gt;=125</f>
        <v/>
      </c>
      <c r="D1545">
        <f>IF(Skills!C26=1,60+Inputs!$B$25+Inputs!$B$29,IF(Skills!C26=2,90+Inputs!$B$26+Inputs!$B$29,IF(Skills!C26=3,120+Inputs!$B$27+Inputs!$B$29,MAX(0,(Inputs!$B$3-100)*3)+Inputs!$B$28+Inputs!$B$29)))</f>
        <v/>
      </c>
      <c r="E1545">
        <f>INDEX(FactorTable!$B$2:$Y$301, MATCH(ROUND(MIN(300,MAX(1,D1545)),0), FactorTable!$A$2:$A$301,0), Skills!M26+1)</f>
        <v/>
      </c>
      <c r="F1545">
        <f>IF(Skills!N26=TRUE,(Skills!L26/10)*(E1545/1000),Skills!L26/10)+Skills!O26</f>
        <v/>
      </c>
      <c r="G1545">
        <f>Skills!G26*IF(Skills!H26&gt;0,Skills!I26/Skills!H26,1)</f>
        <v/>
      </c>
      <c r="H1545">
        <f>1-(1-Skills!J26/100)^Skills!K26</f>
        <v/>
      </c>
      <c r="I1545" t="inlineStr">
        <is>
          <t>1</t>
        </is>
      </c>
      <c r="J1545" t="inlineStr"/>
      <c r="K1545" t="inlineStr"/>
      <c r="L1545" t="inlineStr"/>
      <c r="M1545" t="inlineStr"/>
      <c r="N1545" t="inlineStr"/>
      <c r="O1545">
        <f>(1-Summary!$B$55)*T1545+Summary!$B$55*V1545</f>
        <v/>
      </c>
      <c r="P1545">
        <f>IF(B1562=0,0,O1545/B1562)</f>
        <v/>
      </c>
      <c r="Q1545" t="n">
        <v>0</v>
      </c>
      <c r="R1545" t="n">
        <v>0</v>
      </c>
      <c r="S1545">
        <f>IFERROR(O1545/N1545,0)</f>
        <v/>
      </c>
      <c r="T1545" t="n">
        <v>0</v>
      </c>
      <c r="V1545" t="n">
        <v>0</v>
      </c>
    </row>
    <row r="1546">
      <c r="A1546">
        <f>Skills!A27</f>
        <v/>
      </c>
      <c r="B1546">
        <f>Skills!B27</f>
        <v/>
      </c>
      <c r="C1546">
        <f>Inputs!$B$3&gt;=125</f>
        <v/>
      </c>
      <c r="D1546">
        <f>IF(Skills!C27=1,60+Inputs!$B$25+Inputs!$B$29,IF(Skills!C27=2,90+Inputs!$B$26+Inputs!$B$29,IF(Skills!C27=3,120+Inputs!$B$27+Inputs!$B$29,MAX(0,(Inputs!$B$3-100)*3)+Inputs!$B$28+Inputs!$B$29)))</f>
        <v/>
      </c>
      <c r="E1546">
        <f>INDEX(FactorTable!$B$2:$Y$301, MATCH(ROUND(MIN(300,MAX(1,D1546)),0), FactorTable!$A$2:$A$301,0), Skills!M27+1)</f>
        <v/>
      </c>
      <c r="F1546">
        <f>IF(Skills!N27=TRUE,(Skills!L27/10)*(E1546/1000),Skills!L27/10)+Skills!O27</f>
        <v/>
      </c>
      <c r="G1546">
        <f>Skills!G27*IF(Skills!H27&gt;0,Skills!I27/Skills!H27,1)</f>
        <v/>
      </c>
      <c r="H1546">
        <f>1-(1-Skills!J27/100)^Skills!K27</f>
        <v/>
      </c>
      <c r="I1546" t="inlineStr">
        <is>
          <t>1</t>
        </is>
      </c>
      <c r="J1546" t="inlineStr"/>
      <c r="K1546" t="inlineStr"/>
      <c r="L1546" t="inlineStr"/>
      <c r="M1546" t="inlineStr"/>
      <c r="N1546" t="inlineStr"/>
      <c r="O1546">
        <f>(1-Summary!$B$55)*T1546+Summary!$B$55*V1546</f>
        <v/>
      </c>
      <c r="P1546">
        <f>IF(B1562=0,0,O1546/B1562)</f>
        <v/>
      </c>
      <c r="Q1546" t="n">
        <v>0</v>
      </c>
      <c r="R1546" t="n">
        <v>0</v>
      </c>
      <c r="S1546">
        <f>IFERROR(O1546/N1546,0)</f>
        <v/>
      </c>
      <c r="T1546" t="n">
        <v>0</v>
      </c>
      <c r="V1546" t="n">
        <v>0</v>
      </c>
    </row>
    <row r="1547">
      <c r="A1547">
        <f>Skills!A28</f>
        <v/>
      </c>
      <c r="B1547">
        <f>Skills!B28</f>
        <v/>
      </c>
      <c r="C1547">
        <f>Inputs!$B$3&gt;=120</f>
        <v/>
      </c>
      <c r="D1547">
        <f>IF(Skills!C28=1,60+Inputs!$B$25+Inputs!$B$29,IF(Skills!C28=2,90+Inputs!$B$26+Inputs!$B$29,IF(Skills!C28=3,120+Inputs!$B$27+Inputs!$B$29,MAX(0,(Inputs!$B$3-100)*3)+Inputs!$B$28+Inputs!$B$29)))</f>
        <v/>
      </c>
      <c r="E1547">
        <f>INDEX(FactorTable!$B$2:$Y$301, MATCH(ROUND(MIN(300,MAX(1,D1547)),0), FactorTable!$A$2:$A$301,0), Skills!M28+1)</f>
        <v/>
      </c>
      <c r="F1547">
        <f>IF(Skills!N28=TRUE,(Skills!L28/10)*(E1547/1000),Skills!L28/10)+Skills!O28</f>
        <v/>
      </c>
      <c r="G1547">
        <f>Skills!G28*IF(Skills!H28&gt;0,Skills!I28/Skills!H28,1)</f>
        <v/>
      </c>
      <c r="H1547">
        <f>1-(1-Skills!J28/100)^Skills!K28</f>
        <v/>
      </c>
      <c r="I1547" t="inlineStr">
        <is>
          <t>1</t>
        </is>
      </c>
      <c r="J1547" t="inlineStr"/>
      <c r="K1547" t="inlineStr"/>
      <c r="L1547" t="inlineStr"/>
      <c r="M1547" t="inlineStr"/>
      <c r="N1547" t="inlineStr"/>
      <c r="O1547">
        <f>(1-Summary!$B$55)*T1547+Summary!$B$55*V1547</f>
        <v/>
      </c>
      <c r="P1547">
        <f>IF(B1562=0,0,O1547/B1562)</f>
        <v/>
      </c>
      <c r="Q1547" t="n">
        <v>0</v>
      </c>
      <c r="R1547" t="n">
        <v>0</v>
      </c>
      <c r="S1547">
        <f>IFERROR(O1547/N1547,0)</f>
        <v/>
      </c>
      <c r="T1547" t="n">
        <v>0</v>
      </c>
      <c r="V1547" t="n">
        <v>0</v>
      </c>
    </row>
    <row r="1548">
      <c r="A1548">
        <f>Skills!A29</f>
        <v/>
      </c>
      <c r="B1548">
        <f>Skills!B29</f>
        <v/>
      </c>
      <c r="C1548">
        <f>Inputs!$B$3&gt;=120</f>
        <v/>
      </c>
      <c r="D1548">
        <f>IF(Skills!C29=1,60+Inputs!$B$25+Inputs!$B$29,IF(Skills!C29=2,90+Inputs!$B$26+Inputs!$B$29,IF(Skills!C29=3,120+Inputs!$B$27+Inputs!$B$29,MAX(0,(Inputs!$B$3-100)*3)+Inputs!$B$28+Inputs!$B$29)))</f>
        <v/>
      </c>
      <c r="E1548">
        <f>INDEX(FactorTable!$B$2:$Y$301, MATCH(ROUND(MIN(300,MAX(1,D1548)),0), FactorTable!$A$2:$A$301,0), Skills!M29+1)</f>
        <v/>
      </c>
      <c r="F1548">
        <f>IF(Skills!N29=TRUE,(Skills!L29/10)*(E1548/1000),Skills!L29/10)+Skills!O29</f>
        <v/>
      </c>
      <c r="G1548">
        <f>Skills!G29*IF(Skills!H29&gt;0,Skills!I29/Skills!H29,1)</f>
        <v/>
      </c>
      <c r="H1548">
        <f>1-(1-Skills!J29/100)^Skills!K29</f>
        <v/>
      </c>
      <c r="I1548" t="inlineStr">
        <is>
          <t>1</t>
        </is>
      </c>
      <c r="J1548" t="inlineStr"/>
      <c r="K1548" t="inlineStr"/>
      <c r="L1548" t="inlineStr"/>
      <c r="M1548" t="inlineStr"/>
      <c r="N1548" t="inlineStr"/>
      <c r="O1548">
        <f>(1-Summary!$B$55)*T1548+Summary!$B$55*V1548</f>
        <v/>
      </c>
      <c r="P1548">
        <f>IF(B1562=0,0,O1548/B1562)</f>
        <v/>
      </c>
      <c r="Q1548" t="n">
        <v>0</v>
      </c>
      <c r="R1548" t="n">
        <v>0</v>
      </c>
      <c r="S1548">
        <f>IFERROR(O1548/N1548,0)</f>
        <v/>
      </c>
      <c r="T1548" t="n">
        <v>0</v>
      </c>
      <c r="V1548" t="n">
        <v>0</v>
      </c>
    </row>
    <row r="1549">
      <c r="A1549">
        <f>Skills!A30</f>
        <v/>
      </c>
      <c r="B1549">
        <f>Skills!B30</f>
        <v/>
      </c>
      <c r="C1549">
        <f>Inputs!$B$3&gt;=45</f>
        <v/>
      </c>
      <c r="D1549">
        <f>IF(Skills!C30=1,60+Inputs!$B$25+Inputs!$B$29,IF(Skills!C30=2,90+Inputs!$B$26+Inputs!$B$29,IF(Skills!C30=3,120+Inputs!$B$27+Inputs!$B$29,MAX(0,(Inputs!$B$3-100)*3)+Inputs!$B$28+Inputs!$B$29)))</f>
        <v/>
      </c>
      <c r="E1549">
        <f>INDEX(FactorTable!$B$2:$Y$301, MATCH(ROUND(MIN(300,MAX(1,D1549)),0), FactorTable!$A$2:$A$301,0), Skills!M30+1)</f>
        <v/>
      </c>
      <c r="F1549">
        <f>IF(Skills!N30=TRUE,(Skills!L30/10)*(E1549/1000),Skills!L30/10)+Skills!O30</f>
        <v/>
      </c>
      <c r="G1549">
        <f>Skills!G30*IF(Skills!H30&gt;0,Skills!I30/Skills!H30,1)</f>
        <v/>
      </c>
      <c r="H1549">
        <f>1-(1-Skills!J30/100)^Skills!K30</f>
        <v/>
      </c>
      <c r="I1549" t="inlineStr">
        <is>
          <t>1</t>
        </is>
      </c>
      <c r="J1549" t="inlineStr"/>
      <c r="K1549" t="inlineStr"/>
      <c r="L1549" t="inlineStr"/>
      <c r="M1549" t="inlineStr"/>
      <c r="N1549" t="inlineStr"/>
      <c r="O1549">
        <f>(1-Summary!$B$55)*T1549+Summary!$B$55*V1549</f>
        <v/>
      </c>
      <c r="P1549">
        <f>IF(B1562=0,0,O1549/B1562)</f>
        <v/>
      </c>
      <c r="Q1549" t="n">
        <v>0</v>
      </c>
      <c r="R1549" t="n">
        <v>0</v>
      </c>
      <c r="S1549">
        <f>IFERROR(O1549/N1549,0)</f>
        <v/>
      </c>
      <c r="T1549" t="n">
        <v>0</v>
      </c>
      <c r="V1549" t="n">
        <v>0</v>
      </c>
    </row>
    <row r="1551">
      <c r="A1551" t="inlineStr">
        <is>
          <t>Attack% Bucket Multiplier</t>
        </is>
      </c>
      <c r="B1551">
        <f>(1+(((C1532=TRUE)*F1532)+((C1533=TRUE)*IF(Inputs!$B$38="pvp",F1533,(1-Summary!$B$55)*(F1533)+Summary!$B$55*(0)))+((C1534=TRUE)*F1534*IF(AND(Inputs!$B$38&lt;&gt;"pvp",Inputs!$B$43&gt;0),(((R1534-1)*(Skills!T15*(1+Inputs!$B$34/100))+MIN((Skills!T15*(1+Inputs!$B$34/100)),MAX(0,Inputs!$B$43-((R1534-1)*Skills!D15))))/Inputs!$B$43),IF(Inputs!$B$38="pvp",MIN((Skills!T15*(1+Inputs!$B$34/100)),15)/15,(Skills!T15*(1+Inputs!$B$34/100))/Skills!D15)))+((C1549=TRUE)*(F1549-Calc!F30)))/100)</f>
        <v/>
      </c>
    </row>
    <row r="1552">
      <c r="A1552" t="inlineStr">
        <is>
          <t>Global Crit Rate Bonus %</t>
        </is>
      </c>
      <c r="B1552">
        <f>(C1535=TRUE)*20*IF(AND(Inputs!$B$38&lt;&gt;"pvp",Inputs!$B$43&gt;0),(((R1535-1)*(Skills!T16*(1+Inputs!$B$34/100))+MIN((Skills!T16*(1+Inputs!$B$34/100)),MAX(0,Inputs!$B$43-((R1535-1)*Skills!D16))))/Inputs!$B$43),IF(Inputs!$B$38="pvp",MIN((Skills!T16*(1+Inputs!$B$34/100)),15)/15,(Skills!T16*(1+Inputs!$B$34/100))/Skills!D16))</f>
        <v/>
      </c>
    </row>
    <row r="1553">
      <c r="A1553" t="inlineStr">
        <is>
          <t>Attack Speed Buff Bonus %</t>
        </is>
      </c>
      <c r="B1553">
        <f>((C1538=TRUE)*F1538*IF(AND(Inputs!$B$38&lt;&gt;"pvp",Inputs!$B$43&gt;0),(((R1538-1)*(Skills!T19*(1+Inputs!$B$34/100))+MIN((Skills!T19*(1+Inputs!$B$34/100)),MAX(0,Inputs!$B$43-((R1538-1)*Skills!D19))))/Inputs!$B$43),IF(Inputs!$B$38="pvp",MIN((Skills!T19*(1+Inputs!$B$34/100)),15)/15,(Skills!T19*(1+Inputs!$B$34/100))/Skills!D19)))</f>
        <v/>
      </c>
    </row>
    <row r="1554">
      <c r="A1554" t="inlineStr">
        <is>
          <t>Actions Per Second</t>
        </is>
      </c>
      <c r="B1554">
        <f>1+MIN(150,150*(1-(1-(Inputs!$B$11+((C1540=TRUE)*(F1540-Calc!F21))+((C1541=TRUE)*(F1541-Calc!F22)))/150)*(1-B1553/150)))/100</f>
        <v/>
      </c>
    </row>
    <row r="1555">
      <c r="A1555" t="inlineStr">
        <is>
          <t>Skill + Buff Cast Rate</t>
        </is>
      </c>
      <c r="B1555">
        <f>IF(AND(Inputs!$B$38&lt;&gt;"pvp",Inputs!$B$43&gt;0),SUMPRODUCT((Skills!E2:E30=TRUE)*(C1521:C1549=TRUE)*R1521:R1549*Skills!F2:F30)/Inputs!$B$43,SUMPRODUCT((Skills!E2:E30=TRUE)*(C1521:C1549=TRUE)*Q1521:Q1549*Skills!F2:F30))</f>
        <v/>
      </c>
    </row>
    <row r="1556">
      <c r="A1556" t="inlineStr">
        <is>
          <t>Arrow Stream Casts Per Second</t>
        </is>
      </c>
      <c r="B1556">
        <f>MAX(0,B1554-B1555)</f>
        <v/>
      </c>
    </row>
    <row r="1557">
      <c r="A1557" t="inlineStr">
        <is>
          <t>Global Critical Damage Bonus % (Sharp Eyes + Concentration)</t>
        </is>
      </c>
      <c r="B1557">
        <f>(C1535=TRUE)*F1535*IF(AND(Inputs!$B$38&lt;&gt;"pvp",Inputs!$B$43&gt;0),(((R1535-1)*(Skills!T16*(1+Inputs!$B$34/100))+MIN((Skills!T16*(1+Inputs!$B$34/100)),MAX(0,Inputs!$B$43-((R1535-1)*Skills!D16))))/Inputs!$B$43),IF(Inputs!$B$38="pvp",MIN((Skills!T16*(1+Inputs!$B$34/100)),15)/15,(Skills!T16*(1+Inputs!$B$34/100))/Skills!D16))+(C1536=TRUE)*30</f>
        <v/>
      </c>
    </row>
    <row r="1558">
      <c r="A1558" t="inlineStr">
        <is>
          <t>Global Final Damage Bonus % (Mortal Blow)</t>
        </is>
      </c>
      <c r="B1558">
        <f>(C1537=TRUE)*F1537</f>
        <v/>
      </c>
    </row>
    <row r="1559">
      <c r="A1559" t="inlineStr">
        <is>
          <t>Buff-Casting Startup Delay (s, fixed-duration only)</t>
        </is>
      </c>
      <c r="B1559">
        <f>IF(AND(Inputs!$B$38&lt;&gt;"pvp",Inputs!$B$43&gt;0),SUMPRODUCT((Skills!T2:T30&gt;0)*(Skills!E2:E30=TRUE)*(C1521:C1549=TRUE))/B1554,0)</f>
        <v/>
      </c>
    </row>
    <row r="1560">
      <c r="A1560" t="inlineStr">
        <is>
          <t>Boss-Only Total DPS (this block's swept value)</t>
        </is>
      </c>
      <c r="B1560">
        <f>SUM(T1521:T1549)</f>
        <v/>
      </c>
    </row>
    <row r="1561">
      <c r="A1561" t="inlineStr">
        <is>
          <t>Normal-Only Total DPS (this block's swept value)</t>
        </is>
      </c>
      <c r="B1561">
        <f>SUM(V1521:V1549)</f>
        <v/>
      </c>
    </row>
    <row r="1562">
      <c r="A1562" s="5" t="inlineStr">
        <is>
          <t>TOTAL DPS</t>
        </is>
      </c>
      <c r="B1562" s="5">
        <f>SUM(O1521:O1549)</f>
        <v/>
      </c>
    </row>
    <row r="1565">
      <c r="A1565" s="5" t="inlineStr">
        <is>
          <t>Stat: CDR = 4.0s</t>
        </is>
      </c>
    </row>
    <row r="1566">
      <c r="A1566" s="9" t="inlineStr">
        <is>
          <t>Key</t>
        </is>
      </c>
      <c r="B1566" s="9" t="inlineStr">
        <is>
          <t>Name</t>
        </is>
      </c>
      <c r="C1566" s="9" t="inlineStr">
        <is>
          <t>Unlocked</t>
        </is>
      </c>
      <c r="D1566" s="9" t="inlineStr">
        <is>
          <t>InputLevel</t>
        </is>
      </c>
      <c r="E1566" s="9" t="inlineStr">
        <is>
          <t>Factor</t>
        </is>
      </c>
      <c r="F1566" s="9" t="inlineStr">
        <is>
          <t>CoefficientPercent</t>
        </is>
      </c>
      <c r="G1566" s="9" t="inlineStr">
        <is>
          <t>EffectiveHits</t>
        </is>
      </c>
      <c r="H1566" s="9" t="inlineStr">
        <is>
          <t>ProcProbability</t>
        </is>
      </c>
      <c r="I1566" s="9" t="inlineStr">
        <is>
          <t>MapleHeroMultiplier</t>
        </is>
      </c>
      <c r="J1566" s="9" t="inlineStr">
        <is>
          <t>BaseDamage</t>
        </is>
      </c>
      <c r="K1566" s="9" t="inlineStr">
        <is>
          <t>BaseHitDamage</t>
        </is>
      </c>
      <c r="L1566" s="9" t="inlineStr">
        <is>
          <t>NonCritAvg</t>
        </is>
      </c>
      <c r="M1566" s="9" t="inlineStr">
        <is>
          <t>CritAvg</t>
        </is>
      </c>
      <c r="N1566" s="9" t="inlineStr">
        <is>
          <t>ExpectedDamage(perHit)</t>
        </is>
      </c>
      <c r="O1566" s="9" t="inlineStr">
        <is>
          <t>DPS</t>
        </is>
      </c>
      <c r="P1566" s="9" t="inlineStr">
        <is>
          <t>% of Total</t>
        </is>
      </c>
      <c r="Q1566" s="9" t="inlineStr">
        <is>
          <t>InvCooldown</t>
        </is>
      </c>
      <c r="R1566" s="9" t="inlineStr">
        <is>
          <t>CastsInFight</t>
        </is>
      </c>
      <c r="S1566" s="9" t="inlineStr">
        <is>
          <t>HitRate(perSec)</t>
        </is>
      </c>
      <c r="U1566" t="inlineStr">
        <is>
          <t>helpers</t>
        </is>
      </c>
    </row>
    <row r="1567">
      <c r="A1567">
        <f>Skills!A2</f>
        <v/>
      </c>
      <c r="B1567">
        <f>Skills!B2</f>
        <v/>
      </c>
      <c r="C1567">
        <f>Inputs!$B$3&gt;=100</f>
        <v/>
      </c>
      <c r="D1567" t="inlineStr"/>
      <c r="E1567" t="inlineStr"/>
      <c r="F1567">
        <f>U1569+Skills!O2</f>
        <v/>
      </c>
      <c r="G1567">
        <f>Skills!G2*IF(Skills!H2&gt;0,Skills!I2/Skills!H2,1)</f>
        <v/>
      </c>
      <c r="H1567">
        <f>1-(1-Skills!J2/100)^Skills!K2</f>
        <v/>
      </c>
      <c r="I1567" t="inlineStr">
        <is>
          <t>1</t>
        </is>
      </c>
      <c r="J1567">
        <f>((Inputs!$B$6*(1+Inputs!$B$7/100))+(((Inputs!$B$12*(1+Inputs!$B$13/100))-(Inputs!$B$12*(1+Inputs!$B$13/100)))+0.25*(Inputs!$B$14-Inputs!$B$14))*(1+Inputs!$B$7/100))*(F1567/100)</f>
        <v/>
      </c>
      <c r="K1567">
        <f>J1567*(1+((Inputs!$B$12*(1+Inputs!$B$13/100))*0.01+Inputs!$B$14*0.0025)/100)*(1+Inputs!$B$15/100)*(1+Inputs!$B$16/100)*(5000/(6000+Inputs!$B$42*(1-(Inputs!$B$19+((C1592=TRUE)*(F1592-Calc!F27)))/100)))*(1+(Inputs!$B$24+((C1590=TRUE)*(F1590-Calc!F25))+((C1591=TRUE)*(F1591-Calc!F26))+B1604)/100)*(1+(IF(Skills!A2="ARROW_STREAM",Inputs!$B$17+((C1588=TRUE)*(F1588-Calc!F23)),Inputs!$B$18+((C1593=TRUE)*(F1593-Calc!F28))))/100)*((1+(((C1578=TRUE)*F1578)+((C1579=TRUE)*IF(Inputs!$B$38="pvp",F1579,(1-Summary!$B$55)*(F1579)+Summary!$B$55*(0)))+((C1580=TRUE)*F1580*IF(AND(Inputs!$B$38&lt;&gt;"pvp",Inputs!$B$43&gt;0),(((R1580-1)*(Skills!T15*(1+Inputs!$B$34/100))+MIN((Skills!T15*(1+Inputs!$B$34/100)),MAX(0,Inputs!$B$43-((R1580-1)*Skills!D15))))/Inputs!$B$43),IF(Inputs!$B$38="pvp",MIN((Skills!T15*(1+Inputs!$B$34/100)),15)/15,(Skills!T15*(1+Inputs!$B$34/100))/Skills!D15)))+((C1595=TRUE)*(F1595-Calc!F30)))/100)*I1567)</f>
        <v/>
      </c>
      <c r="L1567">
        <f>K1567*(MIN(Inputs!$B$22+((C1589=TRUE)*(F1589-Calc!F24)),Inputs!$B$23+((C1594=TRUE)*(F1594-Calc!F29)))/100+(Inputs!$B$23+((C1594=TRUE)*(F1594-Calc!F29)))/100)/2</f>
        <v/>
      </c>
      <c r="M1567">
        <f>L1567*(1+(Inputs!$B$10+0+B1603)/100)</f>
        <v/>
      </c>
      <c r="N1567">
        <f>L1567*(1-MIN((Inputs!$B$9+((C1585=TRUE)*(F1585-Calc!F20))+B1598),100)/100)+M1567*(MIN((Inputs!$B$9+((C1585=TRUE)*(F1585-Calc!F20))+B1598),100)/100)</f>
        <v/>
      </c>
      <c r="O1567">
        <f>(1-Summary!$B$55)*T1567+Summary!$B$55*V1567</f>
        <v/>
      </c>
      <c r="P1567">
        <f>IF(B1608=0,0,O1567/B1608)</f>
        <v/>
      </c>
      <c r="Q1567" t="n">
        <v>0</v>
      </c>
      <c r="R1567" t="n">
        <v>0</v>
      </c>
      <c r="S1567">
        <f>IFERROR(O1567/N1567,0)</f>
        <v/>
      </c>
      <c r="T1567">
        <f>IF(C1567,(Skills!G2*N1567*B1602)*IF(Inputs!$B$38="pvp",1,1+(Inputs!$B$20+0+Skills!P2)/100),0)</f>
        <v/>
      </c>
      <c r="U1567">
        <f>MAX(0,(Inputs!$B$3-100)*3)+Inputs!$B$28+Inputs!$B$29</f>
        <v/>
      </c>
      <c r="V1567">
        <f>IF(C1567,(Skills!G2*N1567*B1602)*IF(Inputs!$B$38="pvp",1,(1+(Inputs!$B$21+Skills!Q2)/100)*(MIN((6+Inputs!$B$33),Inputs!$B$37))),0)</f>
        <v/>
      </c>
    </row>
    <row r="1568">
      <c r="A1568">
        <f>Skills!A3</f>
        <v/>
      </c>
      <c r="B1568">
        <f>Skills!B3</f>
        <v/>
      </c>
      <c r="C1568">
        <f>Inputs!$B$3&gt;=50</f>
        <v/>
      </c>
      <c r="D1568">
        <f>IF(Skills!C3=1,60+Inputs!$B$25+Inputs!$B$29,IF(Skills!C3=2,90+Inputs!$B$26+Inputs!$B$29,IF(Skills!C3=3,120+Inputs!$B$27+Inputs!$B$29,MAX(0,(Inputs!$B$3-100)*3)+Inputs!$B$28+Inputs!$B$29)))</f>
        <v/>
      </c>
      <c r="E1568">
        <f>INDEX(FactorTable!$B$2:$Y$301, MATCH(ROUND(MIN(300,MAX(1,D1568)),0), FactorTable!$A$2:$A$301,0), Skills!M3+1)</f>
        <v/>
      </c>
      <c r="F1568">
        <f>IF(Skills!N3=TRUE,(Skills!L3/10)*(E1568/1000),Skills!L3/10)+Skills!O3</f>
        <v/>
      </c>
      <c r="G1568" t="inlineStr"/>
      <c r="H1568" t="inlineStr"/>
      <c r="I1568" t="inlineStr">
        <is>
          <t>1</t>
        </is>
      </c>
      <c r="J1568" t="inlineStr"/>
      <c r="K1568" t="inlineStr"/>
      <c r="L1568" t="inlineStr"/>
      <c r="M1568" t="inlineStr"/>
      <c r="N1568" t="inlineStr"/>
      <c r="O1568" t="inlineStr"/>
      <c r="P1568" t="inlineStr"/>
      <c r="Q1568" t="inlineStr"/>
      <c r="R1568" t="inlineStr"/>
      <c r="S1568" t="inlineStr"/>
      <c r="T1568" t="inlineStr"/>
      <c r="U1568">
        <f>INDEX(FactorTable!$B$2:$Y$301, MATCH(ROUND(MIN(300,MAX(1,U1567)),0), FactorTable!$A$2:$A$301,0), 22)</f>
        <v/>
      </c>
      <c r="V1568" t="inlineStr"/>
    </row>
    <row r="1569">
      <c r="A1569">
        <f>Skills!A4</f>
        <v/>
      </c>
      <c r="B1569">
        <f>Skills!B4</f>
        <v/>
      </c>
      <c r="C1569">
        <f>Inputs!$B$3&gt;=105</f>
        <v/>
      </c>
      <c r="D1569">
        <f>IF(Skills!C4=1,60+Inputs!$B$25+Inputs!$B$29,IF(Skills!C4=2,90+Inputs!$B$26+Inputs!$B$29,IF(Skills!C4=3,120+Inputs!$B$27+Inputs!$B$29,MAX(0,(Inputs!$B$3-100)*3)+Inputs!$B$28+Inputs!$B$29)))</f>
        <v/>
      </c>
      <c r="E1569">
        <f>INDEX(FactorTable!$B$2:$Y$301, MATCH(ROUND(MIN(300,MAX(1,D1569)),0), FactorTable!$A$2:$A$301,0), Skills!M4+1)</f>
        <v/>
      </c>
      <c r="F1569">
        <f>IF(Skills!N4=TRUE,(Skills!L4/10)*(E1569/1000),Skills!L4/10)+Skills!O4</f>
        <v/>
      </c>
      <c r="G1569" t="inlineStr"/>
      <c r="H1569" t="inlineStr"/>
      <c r="I1569" t="inlineStr">
        <is>
          <t>1</t>
        </is>
      </c>
      <c r="J1569" t="inlineStr"/>
      <c r="K1569" t="inlineStr"/>
      <c r="L1569" t="inlineStr"/>
      <c r="M1569" t="inlineStr"/>
      <c r="N1569" t="inlineStr"/>
      <c r="O1569" t="inlineStr"/>
      <c r="P1569" t="inlineStr"/>
      <c r="Q1569" t="inlineStr"/>
      <c r="R1569" t="inlineStr"/>
      <c r="S1569" t="inlineStr"/>
      <c r="T1569" t="inlineStr"/>
      <c r="U1569">
        <f>290*U1568/1000</f>
        <v/>
      </c>
      <c r="V1569" t="inlineStr"/>
    </row>
    <row r="1570">
      <c r="A1570">
        <f>Skills!A5</f>
        <v/>
      </c>
      <c r="B1570">
        <f>Skills!B5</f>
        <v/>
      </c>
      <c r="C1570">
        <f>Inputs!$B$3&gt;=35</f>
        <v/>
      </c>
      <c r="D1570">
        <f>IF(Skills!C5=1,60+Inputs!$B$25+Inputs!$B$29,IF(Skills!C5=2,90+Inputs!$B$26+Inputs!$B$29,IF(Skills!C5=3,120+Inputs!$B$27+Inputs!$B$29,MAX(0,(Inputs!$B$3-100)*3)+Inputs!$B$28+Inputs!$B$29)))</f>
        <v/>
      </c>
      <c r="E1570">
        <f>INDEX(FactorTable!$B$2:$Y$301, MATCH(ROUND(MIN(300,MAX(1,D1570)),0), FactorTable!$A$2:$A$301,0), Skills!M5+1)</f>
        <v/>
      </c>
      <c r="F1570">
        <f>IF(Skills!N5=TRUE,(Skills!L5/10)*(E1570/1000),Skills!L5/10)+Skills!O5</f>
        <v/>
      </c>
      <c r="G1570">
        <f>Skills!G5*IF(Skills!H5&gt;0,Skills!I5/Skills!H5,1)</f>
        <v/>
      </c>
      <c r="H1570">
        <f>1-(1-Skills!J5/100)^Skills!K5</f>
        <v/>
      </c>
      <c r="I1570" t="inlineStr">
        <is>
          <t>1</t>
        </is>
      </c>
      <c r="J1570">
        <f>((Inputs!$B$6*(1+Inputs!$B$7/100))+(((Inputs!$B$12*(1+Inputs!$B$13/100))-(Inputs!$B$12*(1+Inputs!$B$13/100)))+0.25*(Inputs!$B$14-Inputs!$B$14))*(1+Inputs!$B$7/100))*(F1570/100)</f>
        <v/>
      </c>
      <c r="K1570">
        <f>J1570*(1+((Inputs!$B$12*(1+Inputs!$B$13/100))*0.01+Inputs!$B$14*0.0025)/100)*(1+Inputs!$B$15/100)*(1+Inputs!$B$16/100)*(5000/(6000+Inputs!$B$42*(1-(Inputs!$B$19+((C1592=TRUE)*(F1592-Calc!F27)))/100)))*(1+(Inputs!$B$24+((C1590=TRUE)*(F1590-Calc!F25))+((C1591=TRUE)*(F1591-Calc!F26))+B1604)/100)*(1+4.0*IF(C1575=TRUE,F1575,0)/100)*(1+(IF(Skills!A5="ARROW_STREAM",Inputs!$B$17+((C1588=TRUE)*(F1588-Calc!F23)),Inputs!$B$18+((C1593=TRUE)*(F1593-Calc!F28))))/100)*((1+(((C1578=TRUE)*F1578)+((C1579=TRUE)*IF(Inputs!$B$38="pvp",F1579,(1-Summary!$B$55)*(F1579)+Summary!$B$55*(0)))+((C1580=TRUE)*F1580*IF(AND(Inputs!$B$38&lt;&gt;"pvp",Inputs!$B$43&gt;0),(((R1580-1)*(Skills!T15*(1+Inputs!$B$34/100))+MIN((Skills!T15*(1+Inputs!$B$34/100)),MAX(0,Inputs!$B$43-((R1580-1)*Skills!D15))))/Inputs!$B$43),IF(Inputs!$B$38="pvp",MIN((Skills!T15*(1+Inputs!$B$34/100)),15)/15,(Skills!T15*(1+Inputs!$B$34/100))/Skills!D15)))+((C1595=TRUE)*(F1595-Calc!F30)))/100)*I1570)</f>
        <v/>
      </c>
      <c r="L1570">
        <f>K1570*(MIN(Inputs!$B$22+((C1589=TRUE)*(F1589-Calc!F24)),Inputs!$B$23+((C1594=TRUE)*(F1594-Calc!F29)))/100+(Inputs!$B$23+((C1594=TRUE)*(F1594-Calc!F29)))/100)/2</f>
        <v/>
      </c>
      <c r="M1570">
        <f>L1570*(1+(Inputs!$B$10+0+B1603)/100)</f>
        <v/>
      </c>
      <c r="N1570">
        <f>L1570*(1-MIN((Inputs!$B$9+((C1585=TRUE)*(F1585-Calc!F20))+B1598),100)/100)+M1570*(MIN((Inputs!$B$9+((C1585=TRUE)*(F1585-Calc!F20))+B1598),100)/100)</f>
        <v/>
      </c>
      <c r="O1570">
        <f>(1-Summary!$B$55)*T1570+Summary!$B$55*V1570</f>
        <v/>
      </c>
      <c r="P1570">
        <f>IF(B1608=0,0,O1570/B1608)</f>
        <v/>
      </c>
      <c r="Q1570">
        <f>IFERROR(1/IF(Inputs!$B$38="pvp",15,MAX(0.1,Skills!D5-IF(Skills!E5=TRUE,4.0,0))),0)</f>
        <v/>
      </c>
      <c r="R1570">
        <f>IF(AND(Inputs!$B$38&lt;&gt;"pvp",Inputs!$B$43&gt;0),IF(MAX(0,Inputs!$B$43-B1605)&lt;=0,0,(INT(MAX(0,Inputs!$B$43-B1605)/IF(Inputs!$B$38="pvp",15,MAX(0.1,Skills!D5-IF(Skills!E5=TRUE,4.0,0))))+1)),0)</f>
        <v/>
      </c>
      <c r="S1570">
        <f>IFERROR(O1570/N1570,0)</f>
        <v/>
      </c>
      <c r="T1570">
        <f>IF(C1570,(H1570*N1570*IF(AND(Inputs!$B$38&lt;&gt;"pvp",Inputs!$B$43&gt;0),((Skills!G5*((R1570-1)*IF(Skills!H5&gt;0,Skills!I5/Skills!H5,1)+IF(Skills!H5&gt;0,MIN(Skills!I5,MAX(0,MAX(0,Inputs!$B$43-B1605)-((R1570-1)*IF(Inputs!$B$38="pvp",15,MAX(0.1,Skills!D5-IF(Skills!E5=TRUE,4.0,0))))))/Skills!H5,1)))/Inputs!$B$43),G1570*Q1570))*IF(Inputs!$B$38="pvp",1,1+(Inputs!$B$20+0+Skills!P5)/100),0)</f>
        <v/>
      </c>
      <c r="V1570">
        <f>IF(C1570,(H1570*N1570*IF(AND(Inputs!$B$38&lt;&gt;"pvp",Inputs!$B$43&gt;0),((Skills!G5*((R1570-1)*IF(Skills!H5&gt;0,Skills!I5/Skills!H5,1)+IF(Skills!H5&gt;0,MIN(Skills!I5,MAX(0,MAX(0,Inputs!$B$43-B1605)-((R1570-1)*IF(Inputs!$B$38="pvp",15,MAX(0.1,Skills!D5-IF(Skills!E5=TRUE,4.0,0))))))/Skills!H5,1)))/Inputs!$B$43),G1570*Q1570))*IF(Inputs!$B$38="pvp",1,(1+(Inputs!$B$21+Skills!Q5)/100)*(MIN(Skills!R5,Inputs!$B$37))),0)</f>
        <v/>
      </c>
    </row>
    <row r="1571">
      <c r="A1571">
        <f>Skills!A6</f>
        <v/>
      </c>
      <c r="B1571">
        <f>Skills!B6</f>
        <v/>
      </c>
      <c r="C1571">
        <f>Inputs!$B$3&gt;=40</f>
        <v/>
      </c>
      <c r="D1571">
        <f>IF(Skills!C6=1,60+Inputs!$B$25+Inputs!$B$29,IF(Skills!C6=2,90+Inputs!$B$26+Inputs!$B$29,IF(Skills!C6=3,120+Inputs!$B$27+Inputs!$B$29,MAX(0,(Inputs!$B$3-100)*3)+Inputs!$B$28+Inputs!$B$29)))</f>
        <v/>
      </c>
      <c r="E1571">
        <f>INDEX(FactorTable!$B$2:$Y$301, MATCH(ROUND(MIN(300,MAX(1,D1571)),0), FactorTable!$A$2:$A$301,0), Skills!M6+1)</f>
        <v/>
      </c>
      <c r="F1571">
        <f>IF(Skills!N6=TRUE,(Skills!L6/10)*(E1571/1000),Skills!L6/10)+Skills!O6</f>
        <v/>
      </c>
      <c r="G1571">
        <f>Skills!G6*IF(Skills!H6&gt;0,Skills!I6/Skills!H6,1)</f>
        <v/>
      </c>
      <c r="H1571">
        <f>1-(1-Skills!J6/100)^Skills!K6</f>
        <v/>
      </c>
      <c r="I1571" t="inlineStr">
        <is>
          <t>1</t>
        </is>
      </c>
      <c r="J1571">
        <f>((Inputs!$B$6*(1+Inputs!$B$7/100))+(((Inputs!$B$12*(1+Inputs!$B$13/100))-(Inputs!$B$12*(1+Inputs!$B$13/100)))+0.25*(Inputs!$B$14-Inputs!$B$14))*(1+Inputs!$B$7/100))*(F1571/100)</f>
        <v/>
      </c>
      <c r="K1571">
        <f>J1571*(1+((Inputs!$B$12*(1+Inputs!$B$13/100))*0.01+Inputs!$B$14*0.0025)/100)*(1+Inputs!$B$15/100)*(1+Inputs!$B$16/100)*(5000/(6000+Inputs!$B$42*(1-(Inputs!$B$19+((C1592=TRUE)*(F1592-Calc!F27)))/100)))*(1+(Inputs!$B$24+((C1590=TRUE)*(F1590-Calc!F25))+((C1591=TRUE)*(F1591-Calc!F26))+B1604)/100)*(1+IF(C1572=TRUE,F1572,0)/100)*(1+(IF(Skills!A6="ARROW_STREAM",Inputs!$B$17+((C1588=TRUE)*(F1588-Calc!F23)),Inputs!$B$18+((C1593=TRUE)*(F1593-Calc!F28))))/100)*((1+(((C1578=TRUE)*F1578)+((C1579=TRUE)*IF(Inputs!$B$38="pvp",F1579,(1-Summary!$B$55)*(F1579)+Summary!$B$55*(0)))+((C1580=TRUE)*F1580*IF(AND(Inputs!$B$38&lt;&gt;"pvp",Inputs!$B$43&gt;0),(((R1580-1)*(Skills!T15*(1+Inputs!$B$34/100))+MIN((Skills!T15*(1+Inputs!$B$34/100)),MAX(0,Inputs!$B$43-((R1580-1)*Skills!D15))))/Inputs!$B$43),IF(Inputs!$B$38="pvp",MIN((Skills!T15*(1+Inputs!$B$34/100)),15)/15,(Skills!T15*(1+Inputs!$B$34/100))/Skills!D15)))+((C1595=TRUE)*(F1595-Calc!F30)))/100)*I1571)</f>
        <v/>
      </c>
      <c r="L1571">
        <f>K1571*(MIN(Inputs!$B$22+((C1589=TRUE)*(F1589-Calc!F24)),Inputs!$B$23+((C1594=TRUE)*(F1594-Calc!F29)))/100+(Inputs!$B$23+((C1594=TRUE)*(F1594-Calc!F29)))/100)/2</f>
        <v/>
      </c>
      <c r="M1571">
        <f>L1571*(1+(Inputs!$B$10+0+B1603)/100)</f>
        <v/>
      </c>
      <c r="N1571">
        <f>L1571*(1-MIN((Inputs!$B$9+((C1585=TRUE)*(F1585-Calc!F20))+B1598),100)/100)+M1571*(MIN((Inputs!$B$9+((C1585=TRUE)*(F1585-Calc!F20))+B1598),100)/100)</f>
        <v/>
      </c>
      <c r="O1571">
        <f>(1-Summary!$B$55)*T1571+Summary!$B$55*V1571</f>
        <v/>
      </c>
      <c r="P1571">
        <f>IF(B1608=0,0,O1571/B1608)</f>
        <v/>
      </c>
      <c r="Q1571">
        <f>IFERROR(1/IF(Inputs!$B$38="pvp",15,MAX(0.1,Skills!D6-IF(Skills!E6=TRUE,4.0,0))),0)</f>
        <v/>
      </c>
      <c r="R1571">
        <f>IF(AND(Inputs!$B$38&lt;&gt;"pvp",Inputs!$B$43&gt;0),IF(MAX(0,Inputs!$B$43-B1605)&lt;=0,0,(INT(MAX(0,Inputs!$B$43-B1605)/IF(Inputs!$B$38="pvp",15,MAX(0.1,Skills!D6-IF(Skills!E6=TRUE,4.0,0))))+1)),0)</f>
        <v/>
      </c>
      <c r="S1571">
        <f>IFERROR(O1571/N1571,0)</f>
        <v/>
      </c>
      <c r="T1571">
        <f>IF(C1571,(H1571*N1571*IF(AND(Inputs!$B$38&lt;&gt;"pvp",Inputs!$B$43&gt;0),((Skills!G6*((R1571-1)*IF(Skills!H6&gt;0,Skills!I6/Skills!H6,1)+IF(Skills!H6&gt;0,MIN(Skills!I6,MAX(0,MAX(0,Inputs!$B$43-B1605)-((R1571-1)*IF(Inputs!$B$38="pvp",15,MAX(0.1,Skills!D6-IF(Skills!E6=TRUE,4.0,0))))))/Skills!H6,1)))/Inputs!$B$43),G1571*Q1571))*IF(Inputs!$B$38="pvp",1,1+(Inputs!$B$20+0+Skills!P6)/100),0)</f>
        <v/>
      </c>
      <c r="V1571">
        <f>IF(C1571,(H1571*N1571*IF(AND(Inputs!$B$38&lt;&gt;"pvp",Inputs!$B$43&gt;0),((Skills!G6*((R1571-1)*IF(Skills!H6&gt;0,Skills!I6/Skills!H6,1)+IF(Skills!H6&gt;0,MIN(Skills!I6,MAX(0,MAX(0,Inputs!$B$43-B1605)-((R1571-1)*IF(Inputs!$B$38="pvp",15,MAX(0.1,Skills!D6-IF(Skills!E6=TRUE,4.0,0))))))/Skills!H6,1)))/Inputs!$B$43),G1571*Q1571))*IF(Inputs!$B$38="pvp",1,(1+(Inputs!$B$21+Skills!Q6)/100)*(MIN(Skills!R6,Inputs!$B$37))),0)</f>
        <v/>
      </c>
    </row>
    <row r="1572">
      <c r="A1572">
        <f>Skills!A7</f>
        <v/>
      </c>
      <c r="B1572">
        <f>Skills!B7</f>
        <v/>
      </c>
      <c r="C1572">
        <f>Inputs!$B$3&gt;=107</f>
        <v/>
      </c>
      <c r="D1572">
        <f>IF(Skills!C7=1,60+Inputs!$B$25+Inputs!$B$29,IF(Skills!C7=2,90+Inputs!$B$26+Inputs!$B$29,IF(Skills!C7=3,120+Inputs!$B$27+Inputs!$B$29,MAX(0,(Inputs!$B$3-100)*3)+Inputs!$B$28+Inputs!$B$29)))</f>
        <v/>
      </c>
      <c r="E1572">
        <f>INDEX(FactorTable!$B$2:$Y$301, MATCH(ROUND(MIN(300,MAX(1,D1572)),0), FactorTable!$A$2:$A$301,0), Skills!M7+1)</f>
        <v/>
      </c>
      <c r="F1572">
        <f>IF(Skills!N7=TRUE,(Skills!L7/10)*(E1572/1000),Skills!L7/10)+Skills!O7</f>
        <v/>
      </c>
      <c r="G1572" t="inlineStr"/>
      <c r="H1572" t="inlineStr"/>
      <c r="I1572" t="inlineStr">
        <is>
          <t>1</t>
        </is>
      </c>
      <c r="J1572" t="inlineStr"/>
      <c r="K1572" t="inlineStr"/>
      <c r="L1572" t="inlineStr"/>
      <c r="M1572" t="inlineStr"/>
      <c r="N1572" t="inlineStr"/>
      <c r="O1572" t="inlineStr"/>
      <c r="P1572" t="inlineStr"/>
      <c r="Q1572" t="inlineStr"/>
      <c r="R1572" t="inlineStr"/>
      <c r="S1572" t="inlineStr"/>
      <c r="T1572" t="inlineStr"/>
      <c r="V1572" t="inlineStr"/>
    </row>
    <row r="1573">
      <c r="A1573">
        <f>Skills!A8</f>
        <v/>
      </c>
      <c r="B1573">
        <f>Skills!B8</f>
        <v/>
      </c>
      <c r="C1573">
        <f>Inputs!$B$3&gt;=69</f>
        <v/>
      </c>
      <c r="D1573">
        <f>IF(Skills!C8=1,60+Inputs!$B$25+Inputs!$B$29,IF(Skills!C8=2,90+Inputs!$B$26+Inputs!$B$29,IF(Skills!C8=3,120+Inputs!$B$27+Inputs!$B$29,MAX(0,(Inputs!$B$3-100)*3)+Inputs!$B$28+Inputs!$B$29)))</f>
        <v/>
      </c>
      <c r="E1573">
        <f>INDEX(FactorTable!$B$2:$Y$301, MATCH(ROUND(MIN(300,MAX(1,D1573)),0), FactorTable!$A$2:$A$301,0), Skills!M8+1)</f>
        <v/>
      </c>
      <c r="F1573">
        <f>IF(Skills!N8=TRUE,(Skills!L8/10)*(E1573/1000),Skills!L8/10)+Skills!O8</f>
        <v/>
      </c>
      <c r="G1573">
        <f>Skills!G8*IF(Skills!H8&gt;0,Skills!I8/Skills!H8,1)</f>
        <v/>
      </c>
      <c r="H1573">
        <f>1-(1-Skills!J8/100)^Skills!K8</f>
        <v/>
      </c>
      <c r="I1573" t="inlineStr">
        <is>
          <t>1</t>
        </is>
      </c>
      <c r="J1573">
        <f>((Inputs!$B$6*(1+Inputs!$B$7/100))+(((Inputs!$B$12*(1+Inputs!$B$13/100))-(Inputs!$B$12*(1+Inputs!$B$13/100)))+0.25*(Inputs!$B$14-Inputs!$B$14))*(1+Inputs!$B$7/100))*(F1573/100)</f>
        <v/>
      </c>
      <c r="K1573">
        <f>J1573*(1+((Inputs!$B$12*(1+Inputs!$B$13/100))*0.01+Inputs!$B$14*0.0025)/100)*(1+Inputs!$B$15/100)*(1+Inputs!$B$16/100)*(5000/(6000+Inputs!$B$42*(1-(Inputs!$B$19+((C1592=TRUE)*(F1592-Calc!F27)))/100)))*(1+(Inputs!$B$24+((C1590=TRUE)*(F1590-Calc!F25))+((C1591=TRUE)*(F1591-Calc!F26))+B1604)/100)*(1+1.2*IF(C1575=TRUE,F1575,0)/100)*(1+(IF(Skills!A8="ARROW_STREAM",Inputs!$B$17+((C1588=TRUE)*(F1588-Calc!F23)),Inputs!$B$18+((C1593=TRUE)*(F1593-Calc!F28))))/100)*((1+(((C1578=TRUE)*F1578)+((C1579=TRUE)*IF(Inputs!$B$38="pvp",F1579,(1-Summary!$B$55)*(F1579)+Summary!$B$55*(0)))+((C1580=TRUE)*F1580*IF(AND(Inputs!$B$38&lt;&gt;"pvp",Inputs!$B$43&gt;0),(((R1580-1)*(Skills!T15*(1+Inputs!$B$34/100))+MIN((Skills!T15*(1+Inputs!$B$34/100)),MAX(0,Inputs!$B$43-((R1580-1)*Skills!D15))))/Inputs!$B$43),IF(Inputs!$B$38="pvp",MIN((Skills!T15*(1+Inputs!$B$34/100)),15)/15,(Skills!T15*(1+Inputs!$B$34/100))/Skills!D15)))+((C1595=TRUE)*(F1595-Calc!F30)))/100)*I1573)</f>
        <v/>
      </c>
      <c r="L1573">
        <f>K1573*(MIN(Inputs!$B$22+((C1589=TRUE)*(F1589-Calc!F24)),Inputs!$B$23+((C1594=TRUE)*(F1594-Calc!F29)))/100+(Inputs!$B$23+((C1594=TRUE)*(F1594-Calc!F29)))/100)/2</f>
        <v/>
      </c>
      <c r="M1573">
        <f>L1573*(1+(Inputs!$B$10+0+B1603)/100)</f>
        <v/>
      </c>
      <c r="N1573">
        <f>L1573*(1-MIN((Inputs!$B$9+((C1585=TRUE)*(F1585-Calc!F20))+B1598),100)/100)+M1573*(MIN((Inputs!$B$9+((C1585=TRUE)*(F1585-Calc!F20))+B1598),100)/100)</f>
        <v/>
      </c>
      <c r="O1573">
        <f>(1-Summary!$B$55)*T1573+Summary!$B$55*V1573</f>
        <v/>
      </c>
      <c r="P1573">
        <f>IF(B1608=0,0,O1573/B1608)</f>
        <v/>
      </c>
      <c r="Q1573">
        <f>IFERROR(1/IF(Inputs!$B$38="pvp",15,MAX(0.1,Skills!D8-IF(Skills!E8=TRUE,4.0,0))),0)</f>
        <v/>
      </c>
      <c r="R1573">
        <f>IF(AND(Inputs!$B$38&lt;&gt;"pvp",Inputs!$B$43&gt;0),IF(MAX(0,Inputs!$B$43-B1605)&lt;=0,0,(INT(MAX(0,Inputs!$B$43-B1605)/IF(Inputs!$B$38="pvp",15,MAX(0.1,Skills!D8-IF(Skills!E8=TRUE,4.0,0))))+1)),0)</f>
        <v/>
      </c>
      <c r="S1573">
        <f>IFERROR(O1573/N1573,0)</f>
        <v/>
      </c>
      <c r="T1573">
        <f>IF(C1573,(H1573*N1573*IF(AND(Inputs!$B$38&lt;&gt;"pvp",Inputs!$B$43&gt;0),((Skills!G8*((R1573-1)*IF(Skills!H8&gt;0,Skills!I8/Skills!H8,1)+IF(Skills!H8&gt;0,MIN(Skills!I8,MAX(0,MAX(0,Inputs!$B$43-B1605)-((R1573-1)*IF(Inputs!$B$38="pvp",15,MAX(0.1,Skills!D8-IF(Skills!E8=TRUE,4.0,0))))))/Skills!H8,1)))/Inputs!$B$43),G1573*Q1573))*IF(Inputs!$B$38="pvp",1,1+(Inputs!$B$20+0+Skills!P8)/100),0)</f>
        <v/>
      </c>
      <c r="V1573">
        <f>IF(C1573,(H1573*N1573*IF(AND(Inputs!$B$38&lt;&gt;"pvp",Inputs!$B$43&gt;0),((Skills!G8*((R1573-1)*IF(Skills!H8&gt;0,Skills!I8/Skills!H8,1)+IF(Skills!H8&gt;0,MIN(Skills!I8,MAX(0,MAX(0,Inputs!$B$43-B1605)-((R1573-1)*IF(Inputs!$B$38="pvp",15,MAX(0.1,Skills!D8-IF(Skills!E8=TRUE,4.0,0))))))/Skills!H8,1)))/Inputs!$B$43),G1573*Q1573))*IF(Inputs!$B$38="pvp",1,(1+(Inputs!$B$21+Skills!Q8)/100)*(MIN(Skills!R8,Inputs!$B$37))),0)</f>
        <v/>
      </c>
    </row>
    <row r="1574">
      <c r="A1574">
        <f>Skills!A9</f>
        <v/>
      </c>
      <c r="B1574">
        <f>Skills!B9</f>
        <v/>
      </c>
      <c r="C1574">
        <f>Inputs!$B$3&gt;=63</f>
        <v/>
      </c>
      <c r="D1574">
        <f>IF(Skills!C9=1,60+Inputs!$B$25+Inputs!$B$29,IF(Skills!C9=2,90+Inputs!$B$26+Inputs!$B$29,IF(Skills!C9=3,120+Inputs!$B$27+Inputs!$B$29,MAX(0,(Inputs!$B$3-100)*3)+Inputs!$B$28+Inputs!$B$29)))</f>
        <v/>
      </c>
      <c r="E1574">
        <f>INDEX(FactorTable!$B$2:$Y$301, MATCH(ROUND(MIN(300,MAX(1,D1574)),0), FactorTable!$A$2:$A$301,0), Skills!M9+1)</f>
        <v/>
      </c>
      <c r="F1574">
        <f>IF(Skills!N9=TRUE,(Skills!L9/10)*(E1574/1000),Skills!L9/10)+Skills!O9</f>
        <v/>
      </c>
      <c r="G1574">
        <f>Skills!G9*IF(Skills!H9&gt;0,Skills!I9/Skills!H9,1)</f>
        <v/>
      </c>
      <c r="H1574">
        <f>1-(1-Skills!J9/100)^Skills!K9</f>
        <v/>
      </c>
      <c r="I1574" t="inlineStr">
        <is>
          <t>1</t>
        </is>
      </c>
      <c r="J1574">
        <f>((Inputs!$B$6*(1+Inputs!$B$7/100))+(((Inputs!$B$12*(1+Inputs!$B$13/100))-(Inputs!$B$12*(1+Inputs!$B$13/100)))+0.25*(Inputs!$B$14-Inputs!$B$14))*(1+Inputs!$B$7/100))*(F1574/100)</f>
        <v/>
      </c>
      <c r="K1574">
        <f>J1574*(1+((Inputs!$B$12*(1+Inputs!$B$13/100))*0.01+Inputs!$B$14*0.0025)/100)*(1+Inputs!$B$15/100)*(1+Inputs!$B$16/100)*(5000/(6000+Inputs!$B$42*(1-(Inputs!$B$19+((C1592=TRUE)*(F1592-Calc!F27)))/100)))*(1+(Inputs!$B$24+((C1590=TRUE)*(F1590-Calc!F25))+((C1591=TRUE)*(F1591-Calc!F26))+B1604)/100)*(1+1.0*IF(C1575=TRUE,F1575,0)/100)*(1+(IF(Skills!A9="ARROW_STREAM",Inputs!$B$17+((C1588=TRUE)*(F1588-Calc!F23)),Inputs!$B$18+((C1593=TRUE)*(F1593-Calc!F28))))/100)*((1+(((C1578=TRUE)*F1578)+((C1579=TRUE)*IF(Inputs!$B$38="pvp",F1579,(1-Summary!$B$55)*(F1579)+Summary!$B$55*(0)))+((C1580=TRUE)*F1580*IF(AND(Inputs!$B$38&lt;&gt;"pvp",Inputs!$B$43&gt;0),(((R1580-1)*(Skills!T15*(1+Inputs!$B$34/100))+MIN((Skills!T15*(1+Inputs!$B$34/100)),MAX(0,Inputs!$B$43-((R1580-1)*Skills!D15))))/Inputs!$B$43),IF(Inputs!$B$38="pvp",MIN((Skills!T15*(1+Inputs!$B$34/100)),15)/15,(Skills!T15*(1+Inputs!$B$34/100))/Skills!D15)))+((C1595=TRUE)*(F1595-Calc!F30)))/100)*I1574)</f>
        <v/>
      </c>
      <c r="L1574">
        <f>K1574*(MIN(Inputs!$B$22+((C1589=TRUE)*(F1589-Calc!F24)),Inputs!$B$23+((C1594=TRUE)*(F1594-Calc!F29)))/100+(Inputs!$B$23+((C1594=TRUE)*(F1594-Calc!F29)))/100)/2</f>
        <v/>
      </c>
      <c r="M1574">
        <f>L1574*(1+(Inputs!$B$10+0+B1603)/100)</f>
        <v/>
      </c>
      <c r="N1574">
        <f>L1574*(1-MIN((Inputs!$B$9+((C1585=TRUE)*(F1585-Calc!F20))+B1598),100)/100)+M1574*(MIN((Inputs!$B$9+((C1585=TRUE)*(F1585-Calc!F20))+B1598),100)/100)</f>
        <v/>
      </c>
      <c r="O1574">
        <f>(1-Summary!$B$55)*T1574+Summary!$B$55*V1574</f>
        <v/>
      </c>
      <c r="P1574">
        <f>IF(B1608=0,0,O1574/B1608)</f>
        <v/>
      </c>
      <c r="Q1574">
        <f>IFERROR(1/IF(Inputs!$B$38="pvp",15,MAX(0.1,Skills!D9-IF(Skills!E9=TRUE,4.0,0))),0)</f>
        <v/>
      </c>
      <c r="R1574">
        <f>IF(AND(Inputs!$B$38&lt;&gt;"pvp",Inputs!$B$43&gt;0),IF(MAX(0,Inputs!$B$43-B1605)&lt;=0,0,(INT(MAX(0,Inputs!$B$43-B1605)/IF(Inputs!$B$38="pvp",15,MAX(0.1,Skills!D9-IF(Skills!E9=TRUE,4.0,0))))+1)),0)</f>
        <v/>
      </c>
      <c r="S1574">
        <f>IFERROR(O1574/N1574,0)</f>
        <v/>
      </c>
      <c r="T1574">
        <f>IF(C1574,(H1574*N1574*IF(AND(Inputs!$B$38&lt;&gt;"pvp",Inputs!$B$43&gt;0),((Skills!G9*((R1574-1)*IF(Skills!H9&gt;0,Skills!I9/Skills!H9,1)+IF(Skills!H9&gt;0,MIN(Skills!I9,MAX(0,MAX(0,Inputs!$B$43-B1605)-((R1574-1)*IF(Inputs!$B$38="pvp",15,MAX(0.1,Skills!D9-IF(Skills!E9=TRUE,4.0,0))))))/Skills!H9,1)))/Inputs!$B$43),G1574*Q1574))*IF(Inputs!$B$38="pvp",1,1+(Inputs!$B$20+0+Skills!P9)/100),0)</f>
        <v/>
      </c>
      <c r="V1574">
        <f>IF(C1574,(H1574*N1574*IF(AND(Inputs!$B$38&lt;&gt;"pvp",Inputs!$B$43&gt;0),((Skills!G9*((R1574-1)*IF(Skills!H9&gt;0,Skills!I9/Skills!H9,1)+IF(Skills!H9&gt;0,MIN(Skills!I9,MAX(0,MAX(0,Inputs!$B$43-B1605)-((R1574-1)*IF(Inputs!$B$38="pvp",15,MAX(0.1,Skills!D9-IF(Skills!E9=TRUE,4.0,0))))))/Skills!H9,1)))/Inputs!$B$43),G1574*Q1574))*IF(Inputs!$B$38="pvp",1,(1+(Inputs!$B$21+Skills!Q9)/100)*(MIN(Skills!R9,Inputs!$B$37))),0)</f>
        <v/>
      </c>
    </row>
    <row r="1575">
      <c r="A1575">
        <f>Skills!A10</f>
        <v/>
      </c>
      <c r="B1575">
        <f>Skills!B10</f>
        <v/>
      </c>
      <c r="C1575">
        <f>Inputs!$B$3&gt;=100</f>
        <v/>
      </c>
      <c r="D1575">
        <f>IF(Skills!C10=1,60+Inputs!$B$25+Inputs!$B$29,IF(Skills!C10=2,90+Inputs!$B$26+Inputs!$B$29,IF(Skills!C10=3,120+Inputs!$B$27+Inputs!$B$29,MAX(0,(Inputs!$B$3-100)*3)+Inputs!$B$28+Inputs!$B$29)))</f>
        <v/>
      </c>
      <c r="E1575">
        <f>INDEX(FactorTable!$B$2:$Y$301, MATCH(ROUND(MIN(300,MAX(1,D1575)),0), FactorTable!$A$2:$A$301,0), Skills!M10+1)</f>
        <v/>
      </c>
      <c r="F1575">
        <f>IF(Skills!N10=TRUE,(Skills!L10/10)*(E1575/1000),Skills!L10/10)+Skills!O10</f>
        <v/>
      </c>
      <c r="G1575" t="inlineStr"/>
      <c r="H1575" t="inlineStr"/>
      <c r="I1575" t="inlineStr">
        <is>
          <t>1</t>
        </is>
      </c>
      <c r="J1575" t="inlineStr"/>
      <c r="K1575" t="inlineStr"/>
      <c r="L1575" t="inlineStr"/>
      <c r="M1575" t="inlineStr"/>
      <c r="N1575" t="inlineStr"/>
      <c r="O1575" t="inlineStr"/>
      <c r="P1575" t="inlineStr"/>
      <c r="Q1575" t="inlineStr"/>
      <c r="R1575" t="inlineStr"/>
      <c r="S1575" t="inlineStr"/>
      <c r="T1575" t="inlineStr"/>
      <c r="V1575" t="inlineStr"/>
    </row>
    <row r="1576">
      <c r="A1576">
        <f>Skills!A11</f>
        <v/>
      </c>
      <c r="B1576">
        <f>Skills!B11</f>
        <v/>
      </c>
      <c r="C1576">
        <f>Inputs!$B$3&gt;=60</f>
        <v/>
      </c>
      <c r="D1576">
        <f>IF(Skills!C11=1,60+Inputs!$B$25+Inputs!$B$29,IF(Skills!C11=2,90+Inputs!$B$26+Inputs!$B$29,IF(Skills!C11=3,120+Inputs!$B$27+Inputs!$B$29,MAX(0,(Inputs!$B$3-100)*3)+Inputs!$B$28+Inputs!$B$29)))</f>
        <v/>
      </c>
      <c r="E1576">
        <f>INDEX(FactorTable!$B$2:$Y$301, MATCH(ROUND(MIN(300,MAX(1,D1576)),0), FactorTable!$A$2:$A$301,0), Skills!M11+1)</f>
        <v/>
      </c>
      <c r="F1576">
        <f>IF(Skills!N11=TRUE,(Skills!L11/10)*(E1576/1000),Skills!L11/10)+Skills!O11</f>
        <v/>
      </c>
      <c r="G1576">
        <f>Skills!G11*IF(Skills!H11&gt;0,Skills!I11/Skills!H11,1)</f>
        <v/>
      </c>
      <c r="H1576">
        <f>1-(1-Skills!J11/100)^Skills!K11</f>
        <v/>
      </c>
      <c r="I1576" t="inlineStr">
        <is>
          <t>1</t>
        </is>
      </c>
      <c r="J1576">
        <f>((Inputs!$B$6*(1+Inputs!$B$7/100))+(((Inputs!$B$12*(1+Inputs!$B$13/100))-(Inputs!$B$12*(1+Inputs!$B$13/100)))+0.25*(Inputs!$B$14-Inputs!$B$14))*(1+Inputs!$B$7/100))*(F1576/100)</f>
        <v/>
      </c>
      <c r="K1576">
        <f>J1576*(1+((Inputs!$B$12*(1+Inputs!$B$13/100))*0.01+Inputs!$B$14*0.0025)/100)*(1+Inputs!$B$15/100)*(1+Inputs!$B$16/100)*(5000/(6000+Inputs!$B$42*(1-(Inputs!$B$19+((C1592=TRUE)*(F1592-Calc!F27)))/100)))*(1+(Inputs!$B$24+((C1590=TRUE)*(F1590-Calc!F25))+((C1591=TRUE)*(F1591-Calc!F26))+B1604)/100)*(1+IF(C1577=TRUE,F1577,0)/100)*(1+(IF(Skills!A11="ARROW_STREAM",Inputs!$B$17+((C1588=TRUE)*(F1588-Calc!F23)),Inputs!$B$18+((C1593=TRUE)*(F1593-Calc!F28))))/100)*((1+(((C1578=TRUE)*F1578)+((C1579=TRUE)*IF(Inputs!$B$38="pvp",F1579,(1-Summary!$B$55)*(F1579)+Summary!$B$55*(0)))+((C1580=TRUE)*F1580*IF(AND(Inputs!$B$38&lt;&gt;"pvp",Inputs!$B$43&gt;0),(((R1580-1)*(Skills!T15*(1+Inputs!$B$34/100))+MIN((Skills!T15*(1+Inputs!$B$34/100)),MAX(0,Inputs!$B$43-((R1580-1)*Skills!D15))))/Inputs!$B$43),IF(Inputs!$B$38="pvp",MIN((Skills!T15*(1+Inputs!$B$34/100)),15)/15,(Skills!T15*(1+Inputs!$B$34/100))/Skills!D15)))+((C1595=TRUE)*(F1595-Calc!F30)))/100)*I1576)</f>
        <v/>
      </c>
      <c r="L1576">
        <f>K1576*(MIN(Inputs!$B$22+((C1589=TRUE)*(F1589-Calc!F24)),Inputs!$B$23+((C1594=TRUE)*(F1594-Calc!F29)))/100+(Inputs!$B$23+((C1594=TRUE)*(F1594-Calc!F29)))/100)/2</f>
        <v/>
      </c>
      <c r="M1576">
        <f>L1576*(1+(Inputs!$B$10+0+B1603)/100)</f>
        <v/>
      </c>
      <c r="N1576">
        <f>L1576*(1-MIN((Inputs!$B$9+((C1585=TRUE)*(F1585-Calc!F20))+B1598),100)/100)+M1576*(MIN((Inputs!$B$9+((C1585=TRUE)*(F1585-Calc!F20))+B1598),100)/100)</f>
        <v/>
      </c>
      <c r="O1576">
        <f>(1-Summary!$B$55)*T1576+Summary!$B$55*V1576</f>
        <v/>
      </c>
      <c r="P1576">
        <f>IF(B1608=0,0,O1576/B1608)</f>
        <v/>
      </c>
      <c r="Q1576">
        <f>IFERROR(1/IF(Inputs!$B$38="pvp",15,MAX(0.1,Skills!D11-IF(Skills!E11=TRUE,4.0,0))),0)</f>
        <v/>
      </c>
      <c r="R1576">
        <f>IF(AND(Inputs!$B$38&lt;&gt;"pvp",Inputs!$B$43&gt;0),IF(MAX(0,Inputs!$B$43-B1605)&lt;=0,0,(INT(MAX(0,Inputs!$B$43-B1605)/IF(Inputs!$B$38="pvp",15,MAX(0.1,Skills!D11-IF(Skills!E11=TRUE,4.0,0))))+1)),0)</f>
        <v/>
      </c>
      <c r="S1576">
        <f>IFERROR(O1576/N1576,0)</f>
        <v/>
      </c>
      <c r="T1576">
        <f>IF(C1576,(H1576*N1576*IF(AND(Inputs!$B$38&lt;&gt;"pvp",Inputs!$B$43&gt;0),((Skills!G11*((R1576-1)*IF(Skills!H11&gt;0,Skills!I11/Skills!H11,1)+IF(Skills!H11&gt;0,MIN(Skills!I11,MAX(0,MAX(0,Inputs!$B$43-B1605)-((R1576-1)*IF(Inputs!$B$38="pvp",15,MAX(0.1,Skills!D11-IF(Skills!E11=TRUE,4.0,0))))))/Skills!H11,1)))/Inputs!$B$43),G1576*Q1576))*IF(Inputs!$B$38="pvp",1,1+(Inputs!$B$20+0+Skills!P11)/100),0)</f>
        <v/>
      </c>
      <c r="V1576">
        <f>IF(C1576,(H1576*N1576*IF(AND(Inputs!$B$38&lt;&gt;"pvp",Inputs!$B$43&gt;0),((Skills!G11*((R1576-1)*IF(Skills!H11&gt;0,Skills!I11/Skills!H11,1)+IF(Skills!H11&gt;0,MIN(Skills!I11,MAX(0,MAX(0,Inputs!$B$43-B1605)-((R1576-1)*IF(Inputs!$B$38="pvp",15,MAX(0.1,Skills!D11-IF(Skills!E11=TRUE,4.0,0))))))/Skills!H11,1)))/Inputs!$B$43),G1576*Q1576))*IF(Inputs!$B$38="pvp",1,(1+(Inputs!$B$21+Skills!Q11)/100)*(MIN(Skills!R11,Inputs!$B$37))),0)</f>
        <v/>
      </c>
    </row>
    <row r="1577">
      <c r="A1577">
        <f>Skills!A12</f>
        <v/>
      </c>
      <c r="B1577">
        <f>Skills!B12</f>
        <v/>
      </c>
      <c r="C1577">
        <f>Inputs!$B$3&gt;=110</f>
        <v/>
      </c>
      <c r="D1577">
        <f>IF(Skills!C12=1,60+Inputs!$B$25+Inputs!$B$29,IF(Skills!C12=2,90+Inputs!$B$26+Inputs!$B$29,IF(Skills!C12=3,120+Inputs!$B$27+Inputs!$B$29,MAX(0,(Inputs!$B$3-100)*3)+Inputs!$B$28+Inputs!$B$29)))</f>
        <v/>
      </c>
      <c r="E1577">
        <f>INDEX(FactorTable!$B$2:$Y$301, MATCH(ROUND(MIN(300,MAX(1,D1577)),0), FactorTable!$A$2:$A$301,0), Skills!M12+1)</f>
        <v/>
      </c>
      <c r="F1577">
        <f>IF(Skills!N12=TRUE,(Skills!L12/10)*(E1577/1000),Skills!L12/10)+Skills!O12</f>
        <v/>
      </c>
      <c r="G1577" t="inlineStr"/>
      <c r="H1577" t="inlineStr"/>
      <c r="I1577" t="inlineStr">
        <is>
          <t>1</t>
        </is>
      </c>
      <c r="J1577" t="inlineStr"/>
      <c r="K1577" t="inlineStr"/>
      <c r="L1577" t="inlineStr"/>
      <c r="M1577" t="inlineStr"/>
      <c r="N1577" t="inlineStr"/>
      <c r="O1577" t="inlineStr"/>
      <c r="P1577" t="inlineStr"/>
      <c r="Q1577" t="inlineStr"/>
      <c r="R1577" t="inlineStr"/>
      <c r="S1577" t="inlineStr"/>
      <c r="T1577" t="inlineStr"/>
      <c r="V1577" t="inlineStr"/>
    </row>
    <row r="1578">
      <c r="A1578">
        <f>Skills!A13</f>
        <v/>
      </c>
      <c r="B1578">
        <f>Skills!B13</f>
        <v/>
      </c>
      <c r="C1578">
        <f>Inputs!$B$3&gt;=74</f>
        <v/>
      </c>
      <c r="D1578">
        <f>IF(Skills!C13=1,60+Inputs!$B$25+Inputs!$B$29,IF(Skills!C13=2,90+Inputs!$B$26+Inputs!$B$29,IF(Skills!C13=3,120+Inputs!$B$27+Inputs!$B$29,MAX(0,(Inputs!$B$3-100)*3)+Inputs!$B$28+Inputs!$B$29)))</f>
        <v/>
      </c>
      <c r="E1578">
        <f>INDEX(FactorTable!$B$2:$Y$301, MATCH(ROUND(MIN(300,MAX(1,D1578)),0), FactorTable!$A$2:$A$301,0), Skills!M13+1)</f>
        <v/>
      </c>
      <c r="F1578">
        <f>IF(Skills!N13=TRUE,(Skills!L13/10)*(E1578/1000),Skills!L13/10)+Skills!O13</f>
        <v/>
      </c>
      <c r="G1578">
        <f>Skills!G13*IF(Skills!H13&gt;0,Skills!I13/Skills!H13,1)</f>
        <v/>
      </c>
      <c r="H1578">
        <f>1-(1-Skills!J13/100)^Skills!K13</f>
        <v/>
      </c>
      <c r="I1578" t="inlineStr">
        <is>
          <t>1</t>
        </is>
      </c>
      <c r="J1578" t="inlineStr"/>
      <c r="K1578" t="inlineStr"/>
      <c r="L1578" t="inlineStr"/>
      <c r="M1578" t="inlineStr"/>
      <c r="N1578" t="inlineStr"/>
      <c r="O1578">
        <f>(1-Summary!$B$55)*T1578+Summary!$B$55*V1578</f>
        <v/>
      </c>
      <c r="P1578">
        <f>IF(B1608=0,0,O1578/B1608)</f>
        <v/>
      </c>
      <c r="Q1578" t="n">
        <v>0</v>
      </c>
      <c r="R1578" t="n">
        <v>0</v>
      </c>
      <c r="S1578">
        <f>IFERROR(O1578/N1578,0)</f>
        <v/>
      </c>
      <c r="T1578" t="n">
        <v>0</v>
      </c>
      <c r="V1578" t="n">
        <v>0</v>
      </c>
    </row>
    <row r="1579">
      <c r="A1579">
        <f>Skills!A14</f>
        <v/>
      </c>
      <c r="B1579">
        <f>Skills!B14</f>
        <v/>
      </c>
      <c r="C1579">
        <f>Inputs!$B$3&gt;=74</f>
        <v/>
      </c>
      <c r="D1579">
        <f>IF(Skills!C14=1,60+Inputs!$B$25+Inputs!$B$29,IF(Skills!C14=2,90+Inputs!$B$26+Inputs!$B$29,IF(Skills!C14=3,120+Inputs!$B$27+Inputs!$B$29,MAX(0,(Inputs!$B$3-100)*3)+Inputs!$B$28+Inputs!$B$29)))</f>
        <v/>
      </c>
      <c r="E1579">
        <f>INDEX(FactorTable!$B$2:$Y$301, MATCH(ROUND(MIN(300,MAX(1,D1579)),0), FactorTable!$A$2:$A$301,0), Skills!M14+1)</f>
        <v/>
      </c>
      <c r="F1579">
        <f>IF(Skills!N14=TRUE,(Skills!L14/10)*(E1579/1000),Skills!L14/10)+Skills!O14</f>
        <v/>
      </c>
      <c r="G1579">
        <f>Skills!G14*IF(Skills!H14&gt;0,Skills!I14/Skills!H14,1)</f>
        <v/>
      </c>
      <c r="H1579">
        <f>1-(1-Skills!J14/100)^Skills!K14</f>
        <v/>
      </c>
      <c r="I1579" t="inlineStr">
        <is>
          <t>1</t>
        </is>
      </c>
      <c r="J1579" t="inlineStr"/>
      <c r="K1579" t="inlineStr"/>
      <c r="L1579" t="inlineStr"/>
      <c r="M1579" t="inlineStr"/>
      <c r="N1579" t="inlineStr"/>
      <c r="O1579">
        <f>(1-Summary!$B$55)*T1579+Summary!$B$55*V1579</f>
        <v/>
      </c>
      <c r="P1579">
        <f>IF(B1608=0,0,O1579/B1608)</f>
        <v/>
      </c>
      <c r="Q1579" t="n">
        <v>0</v>
      </c>
      <c r="R1579" t="n">
        <v>0</v>
      </c>
      <c r="S1579">
        <f>IFERROR(O1579/N1579,0)</f>
        <v/>
      </c>
      <c r="T1579" t="n">
        <v>0</v>
      </c>
      <c r="V1579" t="n">
        <v>0</v>
      </c>
    </row>
    <row r="1580">
      <c r="A1580">
        <f>Skills!A15</f>
        <v/>
      </c>
      <c r="B1580">
        <f>Skills!B15</f>
        <v/>
      </c>
      <c r="C1580">
        <f>Inputs!$B$3&gt;=117</f>
        <v/>
      </c>
      <c r="D1580">
        <f>IF(Skills!C15=1,60+Inputs!$B$25+Inputs!$B$29,IF(Skills!C15=2,90+Inputs!$B$26+Inputs!$B$29,IF(Skills!C15=3,120+Inputs!$B$27+Inputs!$B$29,MAX(0,(Inputs!$B$3-100)*3)+Inputs!$B$28+Inputs!$B$29)))</f>
        <v/>
      </c>
      <c r="E1580">
        <f>INDEX(FactorTable!$B$2:$Y$301, MATCH(ROUND(MIN(300,MAX(1,D1580)),0), FactorTable!$A$2:$A$301,0), Skills!M15+1)</f>
        <v/>
      </c>
      <c r="F1580">
        <f>IF(Skills!N15=TRUE,(Skills!L15/10)*(E1580/1000),Skills!L15/10)+Skills!O15</f>
        <v/>
      </c>
      <c r="G1580">
        <f>Skills!G15*IF(Skills!H15&gt;0,Skills!I15/Skills!H15,1)</f>
        <v/>
      </c>
      <c r="H1580">
        <f>1-(1-Skills!J15/100)^Skills!K15</f>
        <v/>
      </c>
      <c r="I1580" t="inlineStr">
        <is>
          <t>1</t>
        </is>
      </c>
      <c r="J1580" t="inlineStr"/>
      <c r="K1580" t="inlineStr"/>
      <c r="L1580" t="inlineStr"/>
      <c r="M1580" t="inlineStr"/>
      <c r="N1580" t="inlineStr"/>
      <c r="O1580">
        <f>(1-Summary!$B$55)*T1580+Summary!$B$55*V1580</f>
        <v/>
      </c>
      <c r="P1580">
        <f>IF(B1608=0,0,O1580/B1608)</f>
        <v/>
      </c>
      <c r="Q1580">
        <f>IFERROR(1/IF(Inputs!$B$38="pvp",15,MAX(0.1,Skills!D15-IF(Skills!E15=TRUE,4.0,0))),0)</f>
        <v/>
      </c>
      <c r="R1580">
        <f>IF(AND(Inputs!$B$38&lt;&gt;"pvp",Inputs!$B$43&gt;0),IF(Inputs!$B$43&lt;=0,0,(INT(Inputs!$B$43/IF(Inputs!$B$38="pvp",15,MAX(0.1,Skills!D15-IF(Skills!E15=TRUE,4.0,0))))+1)),0)</f>
        <v/>
      </c>
      <c r="S1580">
        <f>IFERROR(O1580/N1580,0)</f>
        <v/>
      </c>
      <c r="T1580" t="n">
        <v>0</v>
      </c>
      <c r="V1580" t="n">
        <v>0</v>
      </c>
    </row>
    <row r="1581">
      <c r="A1581">
        <f>Skills!A16</f>
        <v/>
      </c>
      <c r="B1581">
        <f>Skills!B16</f>
        <v/>
      </c>
      <c r="C1581">
        <f>Inputs!$B$3&gt;=115</f>
        <v/>
      </c>
      <c r="D1581">
        <f>IF(Skills!C16=1,60+Inputs!$B$25+Inputs!$B$29,IF(Skills!C16=2,90+Inputs!$B$26+Inputs!$B$29,IF(Skills!C16=3,120+Inputs!$B$27+Inputs!$B$29,MAX(0,(Inputs!$B$3-100)*3)+Inputs!$B$28+Inputs!$B$29)))</f>
        <v/>
      </c>
      <c r="E1581">
        <f>INDEX(FactorTable!$B$2:$Y$301, MATCH(ROUND(MIN(300,MAX(1,D1581)),0), FactorTable!$A$2:$A$301,0), Skills!M16+1)</f>
        <v/>
      </c>
      <c r="F1581">
        <f>IF(Skills!N16=TRUE,(Skills!L16/10)*(E1581/1000),Skills!L16/10)+Skills!O16</f>
        <v/>
      </c>
      <c r="G1581">
        <f>Skills!G16*IF(Skills!H16&gt;0,Skills!I16/Skills!H16,1)</f>
        <v/>
      </c>
      <c r="H1581">
        <f>1-(1-Skills!J16/100)^Skills!K16</f>
        <v/>
      </c>
      <c r="I1581" t="inlineStr">
        <is>
          <t>1</t>
        </is>
      </c>
      <c r="J1581" t="inlineStr"/>
      <c r="K1581" t="inlineStr"/>
      <c r="L1581" t="inlineStr"/>
      <c r="M1581" t="inlineStr"/>
      <c r="N1581" t="inlineStr"/>
      <c r="O1581">
        <f>(1-Summary!$B$55)*T1581+Summary!$B$55*V1581</f>
        <v/>
      </c>
      <c r="P1581">
        <f>IF(B1608=0,0,O1581/B1608)</f>
        <v/>
      </c>
      <c r="Q1581">
        <f>IFERROR(1/IF(Inputs!$B$38="pvp",15,MAX(0.1,Skills!D16-IF(Skills!E16=TRUE,4.0,0))),0)</f>
        <v/>
      </c>
      <c r="R1581">
        <f>IF(AND(Inputs!$B$38&lt;&gt;"pvp",Inputs!$B$43&gt;0),IF(Inputs!$B$43&lt;=0,0,(INT(Inputs!$B$43/IF(Inputs!$B$38="pvp",15,MAX(0.1,Skills!D16-IF(Skills!E16=TRUE,4.0,0))))+1)),0)</f>
        <v/>
      </c>
      <c r="S1581">
        <f>IFERROR(O1581/N1581,0)</f>
        <v/>
      </c>
      <c r="T1581" t="n">
        <v>0</v>
      </c>
      <c r="V1581" t="n">
        <v>0</v>
      </c>
    </row>
    <row r="1582">
      <c r="A1582">
        <f>Skills!A17</f>
        <v/>
      </c>
      <c r="B1582">
        <f>Skills!B17</f>
        <v/>
      </c>
      <c r="C1582">
        <f>Inputs!$B$3&gt;=66</f>
        <v/>
      </c>
      <c r="D1582">
        <f>IF(Skills!C17=1,60+Inputs!$B$25+Inputs!$B$29,IF(Skills!C17=2,90+Inputs!$B$26+Inputs!$B$29,IF(Skills!C17=3,120+Inputs!$B$27+Inputs!$B$29,MAX(0,(Inputs!$B$3-100)*3)+Inputs!$B$28+Inputs!$B$29)))</f>
        <v/>
      </c>
      <c r="E1582">
        <f>INDEX(FactorTable!$B$2:$Y$301, MATCH(ROUND(MIN(300,MAX(1,D1582)),0), FactorTable!$A$2:$A$301,0), Skills!M17+1)</f>
        <v/>
      </c>
      <c r="F1582">
        <f>IF(Skills!N17=TRUE,(Skills!L17/10)*(E1582/1000),Skills!L17/10)+Skills!O17</f>
        <v/>
      </c>
      <c r="G1582">
        <f>Skills!G17*IF(Skills!H17&gt;0,Skills!I17/Skills!H17,1)</f>
        <v/>
      </c>
      <c r="H1582">
        <f>1-(1-Skills!J17/100)^Skills!K17</f>
        <v/>
      </c>
      <c r="I1582" t="inlineStr">
        <is>
          <t>1</t>
        </is>
      </c>
      <c r="J1582" t="inlineStr"/>
      <c r="K1582" t="inlineStr"/>
      <c r="L1582" t="inlineStr"/>
      <c r="M1582" t="inlineStr"/>
      <c r="N1582" t="inlineStr"/>
      <c r="O1582">
        <f>(1-Summary!$B$55)*T1582+Summary!$B$55*V1582</f>
        <v/>
      </c>
      <c r="P1582">
        <f>IF(B1608=0,0,O1582/B1608)</f>
        <v/>
      </c>
      <c r="Q1582" t="n">
        <v>0</v>
      </c>
      <c r="R1582" t="n">
        <v>0</v>
      </c>
      <c r="S1582">
        <f>IFERROR(O1582/N1582,0)</f>
        <v/>
      </c>
      <c r="T1582" t="n">
        <v>0</v>
      </c>
      <c r="V1582" t="n">
        <v>0</v>
      </c>
    </row>
    <row r="1583">
      <c r="A1583">
        <f>Skills!A18</f>
        <v/>
      </c>
      <c r="B1583">
        <f>Skills!B18</f>
        <v/>
      </c>
      <c r="C1583">
        <f>Inputs!$B$3&gt;=72</f>
        <v/>
      </c>
      <c r="D1583">
        <f>IF(Skills!C18=1,60+Inputs!$B$25+Inputs!$B$29,IF(Skills!C18=2,90+Inputs!$B$26+Inputs!$B$29,IF(Skills!C18=3,120+Inputs!$B$27+Inputs!$B$29,MAX(0,(Inputs!$B$3-100)*3)+Inputs!$B$28+Inputs!$B$29)))</f>
        <v/>
      </c>
      <c r="E1583">
        <f>INDEX(FactorTable!$B$2:$Y$301, MATCH(ROUND(MIN(300,MAX(1,D1583)),0), FactorTable!$A$2:$A$301,0), Skills!M18+1)</f>
        <v/>
      </c>
      <c r="F1583">
        <f>IF(Skills!N18=TRUE,(Skills!L18/10)*(E1583/1000),Skills!L18/10)+Skills!O18</f>
        <v/>
      </c>
      <c r="G1583">
        <f>Skills!G18*IF(Skills!H18&gt;0,Skills!I18/Skills!H18,1)</f>
        <v/>
      </c>
      <c r="H1583">
        <f>1-(1-Skills!J18/100)^Skills!K18</f>
        <v/>
      </c>
      <c r="I1583" t="inlineStr">
        <is>
          <t>1</t>
        </is>
      </c>
      <c r="J1583" t="inlineStr"/>
      <c r="K1583" t="inlineStr"/>
      <c r="L1583" t="inlineStr"/>
      <c r="M1583" t="inlineStr"/>
      <c r="N1583" t="inlineStr"/>
      <c r="O1583">
        <f>(1-Summary!$B$55)*T1583+Summary!$B$55*V1583</f>
        <v/>
      </c>
      <c r="P1583">
        <f>IF(B1608=0,0,O1583/B1608)</f>
        <v/>
      </c>
      <c r="Q1583" t="n">
        <v>0</v>
      </c>
      <c r="R1583" t="n">
        <v>0</v>
      </c>
      <c r="S1583">
        <f>IFERROR(O1583/N1583,0)</f>
        <v/>
      </c>
      <c r="T1583" t="n">
        <v>0</v>
      </c>
      <c r="V1583" t="n">
        <v>0</v>
      </c>
    </row>
    <row r="1584">
      <c r="A1584">
        <f>Skills!A19</f>
        <v/>
      </c>
      <c r="B1584">
        <f>Skills!B19</f>
        <v/>
      </c>
      <c r="C1584">
        <f>TRUE</f>
        <v/>
      </c>
      <c r="D1584">
        <f>IF(Skills!C19=1,60+Inputs!$B$25+Inputs!$B$29,IF(Skills!C19=2,90+Inputs!$B$26+Inputs!$B$29,IF(Skills!C19=3,120+Inputs!$B$27+Inputs!$B$29,MAX(0,(Inputs!$B$3-100)*3)+Inputs!$B$28+Inputs!$B$29)))</f>
        <v/>
      </c>
      <c r="E1584">
        <f>INDEX(FactorTable!$B$2:$Y$301, MATCH(ROUND(MIN(300,MAX(1,D1584)),0), FactorTable!$A$2:$A$301,0), Skills!M19+1)</f>
        <v/>
      </c>
      <c r="F1584">
        <f>IF(Skills!N19=TRUE,(Skills!L19/10)*(E1584/1000),Skills!L19/10)+Skills!O19</f>
        <v/>
      </c>
      <c r="G1584">
        <f>Skills!G19*IF(Skills!H19&gt;0,Skills!I19/Skills!H19,1)</f>
        <v/>
      </c>
      <c r="H1584">
        <f>1-(1-Skills!J19/100)^Skills!K19</f>
        <v/>
      </c>
      <c r="I1584" t="inlineStr">
        <is>
          <t>1</t>
        </is>
      </c>
      <c r="J1584" t="inlineStr"/>
      <c r="K1584" t="inlineStr"/>
      <c r="L1584" t="inlineStr"/>
      <c r="M1584" t="inlineStr"/>
      <c r="N1584" t="inlineStr"/>
      <c r="O1584">
        <f>(1-Summary!$B$55)*T1584+Summary!$B$55*V1584</f>
        <v/>
      </c>
      <c r="P1584">
        <f>IF(B1608=0,0,O1584/B1608)</f>
        <v/>
      </c>
      <c r="Q1584">
        <f>IFERROR(1/IF(Inputs!$B$38="pvp",15,MAX(0.1,Skills!D19-IF(Skills!E19=TRUE,4.0,0))),0)</f>
        <v/>
      </c>
      <c r="R1584">
        <f>IF(AND(Inputs!$B$38&lt;&gt;"pvp",Inputs!$B$43&gt;0),IF(Inputs!$B$43&lt;=0,0,(INT(Inputs!$B$43/IF(Inputs!$B$38="pvp",15,MAX(0.1,Skills!D19-IF(Skills!E19=TRUE,4.0,0))))+1)),0)</f>
        <v/>
      </c>
      <c r="S1584">
        <f>IFERROR(O1584/N1584,0)</f>
        <v/>
      </c>
      <c r="T1584" t="n">
        <v>0</v>
      </c>
      <c r="V1584" t="n">
        <v>0</v>
      </c>
    </row>
    <row r="1585">
      <c r="A1585">
        <f>Skills!A20</f>
        <v/>
      </c>
      <c r="B1585">
        <f>Skills!B20</f>
        <v/>
      </c>
      <c r="C1585">
        <f>Inputs!$B$3&gt;=15</f>
        <v/>
      </c>
      <c r="D1585">
        <f>IF(Skills!C20=1,60+Inputs!$B$25+Inputs!$B$29,IF(Skills!C20=2,90+Inputs!$B$26+Inputs!$B$29,IF(Skills!C20=3,120+Inputs!$B$27+Inputs!$B$29,MAX(0,(Inputs!$B$3-100)*3)+Inputs!$B$28+Inputs!$B$29)))</f>
        <v/>
      </c>
      <c r="E1585">
        <f>INDEX(FactorTable!$B$2:$Y$301, MATCH(ROUND(MIN(300,MAX(1,D1585)),0), FactorTable!$A$2:$A$301,0), Skills!M20+1)</f>
        <v/>
      </c>
      <c r="F1585">
        <f>IF(Skills!N20=TRUE,(Skills!L20/10)*(E1585/1000),Skills!L20/10)+Skills!O20</f>
        <v/>
      </c>
      <c r="G1585">
        <f>Skills!G20*IF(Skills!H20&gt;0,Skills!I20/Skills!H20,1)</f>
        <v/>
      </c>
      <c r="H1585">
        <f>1-(1-Skills!J20/100)^Skills!K20</f>
        <v/>
      </c>
      <c r="I1585" t="inlineStr">
        <is>
          <t>1</t>
        </is>
      </c>
      <c r="J1585" t="inlineStr"/>
      <c r="K1585" t="inlineStr"/>
      <c r="L1585" t="inlineStr"/>
      <c r="M1585" t="inlineStr"/>
      <c r="N1585" t="inlineStr"/>
      <c r="O1585">
        <f>(1-Summary!$B$55)*T1585+Summary!$B$55*V1585</f>
        <v/>
      </c>
      <c r="P1585">
        <f>IF(B1608=0,0,O1585/B1608)</f>
        <v/>
      </c>
      <c r="Q1585" t="n">
        <v>0</v>
      </c>
      <c r="R1585" t="n">
        <v>0</v>
      </c>
      <c r="S1585">
        <f>IFERROR(O1585/N1585,0)</f>
        <v/>
      </c>
      <c r="T1585" t="n">
        <v>0</v>
      </c>
      <c r="V1585" t="n">
        <v>0</v>
      </c>
    </row>
    <row r="1586">
      <c r="A1586">
        <f>Skills!A21</f>
        <v/>
      </c>
      <c r="B1586">
        <f>Skills!B21</f>
        <v/>
      </c>
      <c r="C1586">
        <f>Inputs!$B$3&gt;=10</f>
        <v/>
      </c>
      <c r="D1586">
        <f>IF(Skills!C21=1,60+Inputs!$B$25+Inputs!$B$29,IF(Skills!C21=2,90+Inputs!$B$26+Inputs!$B$29,IF(Skills!C21=3,120+Inputs!$B$27+Inputs!$B$29,MAX(0,(Inputs!$B$3-100)*3)+Inputs!$B$28+Inputs!$B$29)))</f>
        <v/>
      </c>
      <c r="E1586">
        <f>INDEX(FactorTable!$B$2:$Y$301, MATCH(ROUND(MIN(300,MAX(1,D1586)),0), FactorTable!$A$2:$A$301,0), Skills!M21+1)</f>
        <v/>
      </c>
      <c r="F1586">
        <f>IF(Skills!N21=TRUE,(Skills!L21/10)*(E1586/1000),Skills!L21/10)+Skills!O21</f>
        <v/>
      </c>
      <c r="G1586">
        <f>Skills!G21*IF(Skills!H21&gt;0,Skills!I21/Skills!H21,1)</f>
        <v/>
      </c>
      <c r="H1586">
        <f>1-(1-Skills!J21/100)^Skills!K21</f>
        <v/>
      </c>
      <c r="I1586" t="inlineStr">
        <is>
          <t>1</t>
        </is>
      </c>
      <c r="J1586" t="inlineStr"/>
      <c r="K1586" t="inlineStr"/>
      <c r="L1586" t="inlineStr"/>
      <c r="M1586" t="inlineStr"/>
      <c r="N1586" t="inlineStr"/>
      <c r="O1586">
        <f>(1-Summary!$B$55)*T1586+Summary!$B$55*V1586</f>
        <v/>
      </c>
      <c r="P1586">
        <f>IF(B1608=0,0,O1586/B1608)</f>
        <v/>
      </c>
      <c r="Q1586" t="n">
        <v>0</v>
      </c>
      <c r="R1586" t="n">
        <v>0</v>
      </c>
      <c r="S1586">
        <f>IFERROR(O1586/N1586,0)</f>
        <v/>
      </c>
      <c r="T1586" t="n">
        <v>0</v>
      </c>
      <c r="V1586" t="n">
        <v>0</v>
      </c>
    </row>
    <row r="1587">
      <c r="A1587">
        <f>Skills!A22</f>
        <v/>
      </c>
      <c r="B1587">
        <f>Skills!B22</f>
        <v/>
      </c>
      <c r="C1587">
        <f>Inputs!$B$3&gt;=33</f>
        <v/>
      </c>
      <c r="D1587">
        <f>IF(Skills!C22=1,60+Inputs!$B$25+Inputs!$B$29,IF(Skills!C22=2,90+Inputs!$B$26+Inputs!$B$29,IF(Skills!C22=3,120+Inputs!$B$27+Inputs!$B$29,MAX(0,(Inputs!$B$3-100)*3)+Inputs!$B$28+Inputs!$B$29)))</f>
        <v/>
      </c>
      <c r="E1587">
        <f>INDEX(FactorTable!$B$2:$Y$301, MATCH(ROUND(MIN(300,MAX(1,D1587)),0), FactorTable!$A$2:$A$301,0), Skills!M22+1)</f>
        <v/>
      </c>
      <c r="F1587">
        <f>IF(Skills!N22=TRUE,(Skills!L22/10)*(E1587/1000),Skills!L22/10)+Skills!O22</f>
        <v/>
      </c>
      <c r="G1587">
        <f>Skills!G22*IF(Skills!H22&gt;0,Skills!I22/Skills!H22,1)</f>
        <v/>
      </c>
      <c r="H1587">
        <f>1-(1-Skills!J22/100)^Skills!K22</f>
        <v/>
      </c>
      <c r="I1587" t="inlineStr">
        <is>
          <t>1</t>
        </is>
      </c>
      <c r="J1587" t="inlineStr"/>
      <c r="K1587" t="inlineStr"/>
      <c r="L1587" t="inlineStr"/>
      <c r="M1587" t="inlineStr"/>
      <c r="N1587" t="inlineStr"/>
      <c r="O1587">
        <f>(1-Summary!$B$55)*T1587+Summary!$B$55*V1587</f>
        <v/>
      </c>
      <c r="P1587">
        <f>IF(B1608=0,0,O1587/B1608)</f>
        <v/>
      </c>
      <c r="Q1587" t="n">
        <v>0</v>
      </c>
      <c r="R1587" t="n">
        <v>0</v>
      </c>
      <c r="S1587">
        <f>IFERROR(O1587/N1587,0)</f>
        <v/>
      </c>
      <c r="T1587" t="n">
        <v>0</v>
      </c>
      <c r="V1587" t="n">
        <v>0</v>
      </c>
    </row>
    <row r="1588">
      <c r="A1588">
        <f>Skills!A23</f>
        <v/>
      </c>
      <c r="B1588">
        <f>Skills!B23</f>
        <v/>
      </c>
      <c r="C1588">
        <f>Inputs!$B$3&gt;=38</f>
        <v/>
      </c>
      <c r="D1588">
        <f>IF(Skills!C23=1,60+Inputs!$B$25+Inputs!$B$29,IF(Skills!C23=2,90+Inputs!$B$26+Inputs!$B$29,IF(Skills!C23=3,120+Inputs!$B$27+Inputs!$B$29,MAX(0,(Inputs!$B$3-100)*3)+Inputs!$B$28+Inputs!$B$29)))</f>
        <v/>
      </c>
      <c r="E1588">
        <f>INDEX(FactorTable!$B$2:$Y$301, MATCH(ROUND(MIN(300,MAX(1,D1588)),0), FactorTable!$A$2:$A$301,0), Skills!M23+1)</f>
        <v/>
      </c>
      <c r="F1588">
        <f>IF(Skills!N23=TRUE,(Skills!L23/10)*(E1588/1000),Skills!L23/10)+Skills!O23</f>
        <v/>
      </c>
      <c r="G1588">
        <f>Skills!G23*IF(Skills!H23&gt;0,Skills!I23/Skills!H23,1)</f>
        <v/>
      </c>
      <c r="H1588">
        <f>1-(1-Skills!J23/100)^Skills!K23</f>
        <v/>
      </c>
      <c r="I1588" t="inlineStr">
        <is>
          <t>1</t>
        </is>
      </c>
      <c r="J1588" t="inlineStr"/>
      <c r="K1588" t="inlineStr"/>
      <c r="L1588" t="inlineStr"/>
      <c r="M1588" t="inlineStr"/>
      <c r="N1588" t="inlineStr"/>
      <c r="O1588">
        <f>(1-Summary!$B$55)*T1588+Summary!$B$55*V1588</f>
        <v/>
      </c>
      <c r="P1588">
        <f>IF(B1608=0,0,O1588/B1608)</f>
        <v/>
      </c>
      <c r="Q1588" t="n">
        <v>0</v>
      </c>
      <c r="R1588" t="n">
        <v>0</v>
      </c>
      <c r="S1588">
        <f>IFERROR(O1588/N1588,0)</f>
        <v/>
      </c>
      <c r="T1588" t="n">
        <v>0</v>
      </c>
      <c r="V1588" t="n">
        <v>0</v>
      </c>
    </row>
    <row r="1589">
      <c r="A1589">
        <f>Skills!A24</f>
        <v/>
      </c>
      <c r="B1589">
        <f>Skills!B24</f>
        <v/>
      </c>
      <c r="C1589">
        <f>Inputs!$B$3&gt;=43</f>
        <v/>
      </c>
      <c r="D1589">
        <f>IF(Skills!C24=1,60+Inputs!$B$25+Inputs!$B$29,IF(Skills!C24=2,90+Inputs!$B$26+Inputs!$B$29,IF(Skills!C24=3,120+Inputs!$B$27+Inputs!$B$29,MAX(0,(Inputs!$B$3-100)*3)+Inputs!$B$28+Inputs!$B$29)))</f>
        <v/>
      </c>
      <c r="E1589">
        <f>INDEX(FactorTable!$B$2:$Y$301, MATCH(ROUND(MIN(300,MAX(1,D1589)),0), FactorTable!$A$2:$A$301,0), Skills!M24+1)</f>
        <v/>
      </c>
      <c r="F1589">
        <f>IF(Skills!N24=TRUE,(Skills!L24/10)*(E1589/1000),Skills!L24/10)+Skills!O24</f>
        <v/>
      </c>
      <c r="G1589">
        <f>Skills!G24*IF(Skills!H24&gt;0,Skills!I24/Skills!H24,1)</f>
        <v/>
      </c>
      <c r="H1589">
        <f>1-(1-Skills!J24/100)^Skills!K24</f>
        <v/>
      </c>
      <c r="I1589" t="inlineStr">
        <is>
          <t>1</t>
        </is>
      </c>
      <c r="J1589" t="inlineStr"/>
      <c r="K1589" t="inlineStr"/>
      <c r="L1589" t="inlineStr"/>
      <c r="M1589" t="inlineStr"/>
      <c r="N1589" t="inlineStr"/>
      <c r="O1589">
        <f>(1-Summary!$B$55)*T1589+Summary!$B$55*V1589</f>
        <v/>
      </c>
      <c r="P1589">
        <f>IF(B1608=0,0,O1589/B1608)</f>
        <v/>
      </c>
      <c r="Q1589" t="n">
        <v>0</v>
      </c>
      <c r="R1589" t="n">
        <v>0</v>
      </c>
      <c r="S1589">
        <f>IFERROR(O1589/N1589,0)</f>
        <v/>
      </c>
      <c r="T1589" t="n">
        <v>0</v>
      </c>
      <c r="V1589" t="n">
        <v>0</v>
      </c>
    </row>
    <row r="1590">
      <c r="A1590">
        <f>Skills!A25</f>
        <v/>
      </c>
      <c r="B1590">
        <f>Skills!B25</f>
        <v/>
      </c>
      <c r="C1590">
        <f>Inputs!$B$3&gt;=75</f>
        <v/>
      </c>
      <c r="D1590">
        <f>IF(Skills!C25=1,60+Inputs!$B$25+Inputs!$B$29,IF(Skills!C25=2,90+Inputs!$B$26+Inputs!$B$29,IF(Skills!C25=3,120+Inputs!$B$27+Inputs!$B$29,MAX(0,(Inputs!$B$3-100)*3)+Inputs!$B$28+Inputs!$B$29)))</f>
        <v/>
      </c>
      <c r="E1590">
        <f>INDEX(FactorTable!$B$2:$Y$301, MATCH(ROUND(MIN(300,MAX(1,D1590)),0), FactorTable!$A$2:$A$301,0), Skills!M25+1)</f>
        <v/>
      </c>
      <c r="F1590">
        <f>IF(Skills!N25=TRUE,(Skills!L25/10)*(E1590/1000),Skills!L25/10)+Skills!O25</f>
        <v/>
      </c>
      <c r="G1590">
        <f>Skills!G25*IF(Skills!H25&gt;0,Skills!I25/Skills!H25,1)</f>
        <v/>
      </c>
      <c r="H1590">
        <f>1-(1-Skills!J25/100)^Skills!K25</f>
        <v/>
      </c>
      <c r="I1590" t="inlineStr">
        <is>
          <t>1</t>
        </is>
      </c>
      <c r="J1590" t="inlineStr"/>
      <c r="K1590" t="inlineStr"/>
      <c r="L1590" t="inlineStr"/>
      <c r="M1590" t="inlineStr"/>
      <c r="N1590" t="inlineStr"/>
      <c r="O1590">
        <f>(1-Summary!$B$55)*T1590+Summary!$B$55*V1590</f>
        <v/>
      </c>
      <c r="P1590">
        <f>IF(B1608=0,0,O1590/B1608)</f>
        <v/>
      </c>
      <c r="Q1590" t="n">
        <v>0</v>
      </c>
      <c r="R1590" t="n">
        <v>0</v>
      </c>
      <c r="S1590">
        <f>IFERROR(O1590/N1590,0)</f>
        <v/>
      </c>
      <c r="T1590" t="n">
        <v>0</v>
      </c>
      <c r="V1590" t="n">
        <v>0</v>
      </c>
    </row>
    <row r="1591">
      <c r="A1591">
        <f>Skills!A26</f>
        <v/>
      </c>
      <c r="B1591">
        <f>Skills!B26</f>
        <v/>
      </c>
      <c r="C1591">
        <f>Inputs!$B$3&gt;=125</f>
        <v/>
      </c>
      <c r="D1591">
        <f>IF(Skills!C26=1,60+Inputs!$B$25+Inputs!$B$29,IF(Skills!C26=2,90+Inputs!$B$26+Inputs!$B$29,IF(Skills!C26=3,120+Inputs!$B$27+Inputs!$B$29,MAX(0,(Inputs!$B$3-100)*3)+Inputs!$B$28+Inputs!$B$29)))</f>
        <v/>
      </c>
      <c r="E1591">
        <f>INDEX(FactorTable!$B$2:$Y$301, MATCH(ROUND(MIN(300,MAX(1,D1591)),0), FactorTable!$A$2:$A$301,0), Skills!M26+1)</f>
        <v/>
      </c>
      <c r="F1591">
        <f>IF(Skills!N26=TRUE,(Skills!L26/10)*(E1591/1000),Skills!L26/10)+Skills!O26</f>
        <v/>
      </c>
      <c r="G1591">
        <f>Skills!G26*IF(Skills!H26&gt;0,Skills!I26/Skills!H26,1)</f>
        <v/>
      </c>
      <c r="H1591">
        <f>1-(1-Skills!J26/100)^Skills!K26</f>
        <v/>
      </c>
      <c r="I1591" t="inlineStr">
        <is>
          <t>1</t>
        </is>
      </c>
      <c r="J1591" t="inlineStr"/>
      <c r="K1591" t="inlineStr"/>
      <c r="L1591" t="inlineStr"/>
      <c r="M1591" t="inlineStr"/>
      <c r="N1591" t="inlineStr"/>
      <c r="O1591">
        <f>(1-Summary!$B$55)*T1591+Summary!$B$55*V1591</f>
        <v/>
      </c>
      <c r="P1591">
        <f>IF(B1608=0,0,O1591/B1608)</f>
        <v/>
      </c>
      <c r="Q1591" t="n">
        <v>0</v>
      </c>
      <c r="R1591" t="n">
        <v>0</v>
      </c>
      <c r="S1591">
        <f>IFERROR(O1591/N1591,0)</f>
        <v/>
      </c>
      <c r="T1591" t="n">
        <v>0</v>
      </c>
      <c r="V1591" t="n">
        <v>0</v>
      </c>
    </row>
    <row r="1592">
      <c r="A1592">
        <f>Skills!A27</f>
        <v/>
      </c>
      <c r="B1592">
        <f>Skills!B27</f>
        <v/>
      </c>
      <c r="C1592">
        <f>Inputs!$B$3&gt;=125</f>
        <v/>
      </c>
      <c r="D1592">
        <f>IF(Skills!C27=1,60+Inputs!$B$25+Inputs!$B$29,IF(Skills!C27=2,90+Inputs!$B$26+Inputs!$B$29,IF(Skills!C27=3,120+Inputs!$B$27+Inputs!$B$29,MAX(0,(Inputs!$B$3-100)*3)+Inputs!$B$28+Inputs!$B$29)))</f>
        <v/>
      </c>
      <c r="E1592">
        <f>INDEX(FactorTable!$B$2:$Y$301, MATCH(ROUND(MIN(300,MAX(1,D1592)),0), FactorTable!$A$2:$A$301,0), Skills!M27+1)</f>
        <v/>
      </c>
      <c r="F1592">
        <f>IF(Skills!N27=TRUE,(Skills!L27/10)*(E1592/1000),Skills!L27/10)+Skills!O27</f>
        <v/>
      </c>
      <c r="G1592">
        <f>Skills!G27*IF(Skills!H27&gt;0,Skills!I27/Skills!H27,1)</f>
        <v/>
      </c>
      <c r="H1592">
        <f>1-(1-Skills!J27/100)^Skills!K27</f>
        <v/>
      </c>
      <c r="I1592" t="inlineStr">
        <is>
          <t>1</t>
        </is>
      </c>
      <c r="J1592" t="inlineStr"/>
      <c r="K1592" t="inlineStr"/>
      <c r="L1592" t="inlineStr"/>
      <c r="M1592" t="inlineStr"/>
      <c r="N1592" t="inlineStr"/>
      <c r="O1592">
        <f>(1-Summary!$B$55)*T1592+Summary!$B$55*V1592</f>
        <v/>
      </c>
      <c r="P1592">
        <f>IF(B1608=0,0,O1592/B1608)</f>
        <v/>
      </c>
      <c r="Q1592" t="n">
        <v>0</v>
      </c>
      <c r="R1592" t="n">
        <v>0</v>
      </c>
      <c r="S1592">
        <f>IFERROR(O1592/N1592,0)</f>
        <v/>
      </c>
      <c r="T1592" t="n">
        <v>0</v>
      </c>
      <c r="V1592" t="n">
        <v>0</v>
      </c>
    </row>
    <row r="1593">
      <c r="A1593">
        <f>Skills!A28</f>
        <v/>
      </c>
      <c r="B1593">
        <f>Skills!B28</f>
        <v/>
      </c>
      <c r="C1593">
        <f>Inputs!$B$3&gt;=120</f>
        <v/>
      </c>
      <c r="D1593">
        <f>IF(Skills!C28=1,60+Inputs!$B$25+Inputs!$B$29,IF(Skills!C28=2,90+Inputs!$B$26+Inputs!$B$29,IF(Skills!C28=3,120+Inputs!$B$27+Inputs!$B$29,MAX(0,(Inputs!$B$3-100)*3)+Inputs!$B$28+Inputs!$B$29)))</f>
        <v/>
      </c>
      <c r="E1593">
        <f>INDEX(FactorTable!$B$2:$Y$301, MATCH(ROUND(MIN(300,MAX(1,D1593)),0), FactorTable!$A$2:$A$301,0), Skills!M28+1)</f>
        <v/>
      </c>
      <c r="F1593">
        <f>IF(Skills!N28=TRUE,(Skills!L28/10)*(E1593/1000),Skills!L28/10)+Skills!O28</f>
        <v/>
      </c>
      <c r="G1593">
        <f>Skills!G28*IF(Skills!H28&gt;0,Skills!I28/Skills!H28,1)</f>
        <v/>
      </c>
      <c r="H1593">
        <f>1-(1-Skills!J28/100)^Skills!K28</f>
        <v/>
      </c>
      <c r="I1593" t="inlineStr">
        <is>
          <t>1</t>
        </is>
      </c>
      <c r="J1593" t="inlineStr"/>
      <c r="K1593" t="inlineStr"/>
      <c r="L1593" t="inlineStr"/>
      <c r="M1593" t="inlineStr"/>
      <c r="N1593" t="inlineStr"/>
      <c r="O1593">
        <f>(1-Summary!$B$55)*T1593+Summary!$B$55*V1593</f>
        <v/>
      </c>
      <c r="P1593">
        <f>IF(B1608=0,0,O1593/B1608)</f>
        <v/>
      </c>
      <c r="Q1593" t="n">
        <v>0</v>
      </c>
      <c r="R1593" t="n">
        <v>0</v>
      </c>
      <c r="S1593">
        <f>IFERROR(O1593/N1593,0)</f>
        <v/>
      </c>
      <c r="T1593" t="n">
        <v>0</v>
      </c>
      <c r="V1593" t="n">
        <v>0</v>
      </c>
    </row>
    <row r="1594">
      <c r="A1594">
        <f>Skills!A29</f>
        <v/>
      </c>
      <c r="B1594">
        <f>Skills!B29</f>
        <v/>
      </c>
      <c r="C1594">
        <f>Inputs!$B$3&gt;=120</f>
        <v/>
      </c>
      <c r="D1594">
        <f>IF(Skills!C29=1,60+Inputs!$B$25+Inputs!$B$29,IF(Skills!C29=2,90+Inputs!$B$26+Inputs!$B$29,IF(Skills!C29=3,120+Inputs!$B$27+Inputs!$B$29,MAX(0,(Inputs!$B$3-100)*3)+Inputs!$B$28+Inputs!$B$29)))</f>
        <v/>
      </c>
      <c r="E1594">
        <f>INDEX(FactorTable!$B$2:$Y$301, MATCH(ROUND(MIN(300,MAX(1,D1594)),0), FactorTable!$A$2:$A$301,0), Skills!M29+1)</f>
        <v/>
      </c>
      <c r="F1594">
        <f>IF(Skills!N29=TRUE,(Skills!L29/10)*(E1594/1000),Skills!L29/10)+Skills!O29</f>
        <v/>
      </c>
      <c r="G1594">
        <f>Skills!G29*IF(Skills!H29&gt;0,Skills!I29/Skills!H29,1)</f>
        <v/>
      </c>
      <c r="H1594">
        <f>1-(1-Skills!J29/100)^Skills!K29</f>
        <v/>
      </c>
      <c r="I1594" t="inlineStr">
        <is>
          <t>1</t>
        </is>
      </c>
      <c r="J1594" t="inlineStr"/>
      <c r="K1594" t="inlineStr"/>
      <c r="L1594" t="inlineStr"/>
      <c r="M1594" t="inlineStr"/>
      <c r="N1594" t="inlineStr"/>
      <c r="O1594">
        <f>(1-Summary!$B$55)*T1594+Summary!$B$55*V1594</f>
        <v/>
      </c>
      <c r="P1594">
        <f>IF(B1608=0,0,O1594/B1608)</f>
        <v/>
      </c>
      <c r="Q1594" t="n">
        <v>0</v>
      </c>
      <c r="R1594" t="n">
        <v>0</v>
      </c>
      <c r="S1594">
        <f>IFERROR(O1594/N1594,0)</f>
        <v/>
      </c>
      <c r="T1594" t="n">
        <v>0</v>
      </c>
      <c r="V1594" t="n">
        <v>0</v>
      </c>
    </row>
    <row r="1595">
      <c r="A1595">
        <f>Skills!A30</f>
        <v/>
      </c>
      <c r="B1595">
        <f>Skills!B30</f>
        <v/>
      </c>
      <c r="C1595">
        <f>Inputs!$B$3&gt;=45</f>
        <v/>
      </c>
      <c r="D1595">
        <f>IF(Skills!C30=1,60+Inputs!$B$25+Inputs!$B$29,IF(Skills!C30=2,90+Inputs!$B$26+Inputs!$B$29,IF(Skills!C30=3,120+Inputs!$B$27+Inputs!$B$29,MAX(0,(Inputs!$B$3-100)*3)+Inputs!$B$28+Inputs!$B$29)))</f>
        <v/>
      </c>
      <c r="E1595">
        <f>INDEX(FactorTable!$B$2:$Y$301, MATCH(ROUND(MIN(300,MAX(1,D1595)),0), FactorTable!$A$2:$A$301,0), Skills!M30+1)</f>
        <v/>
      </c>
      <c r="F1595">
        <f>IF(Skills!N30=TRUE,(Skills!L30/10)*(E1595/1000),Skills!L30/10)+Skills!O30</f>
        <v/>
      </c>
      <c r="G1595">
        <f>Skills!G30*IF(Skills!H30&gt;0,Skills!I30/Skills!H30,1)</f>
        <v/>
      </c>
      <c r="H1595">
        <f>1-(1-Skills!J30/100)^Skills!K30</f>
        <v/>
      </c>
      <c r="I1595" t="inlineStr">
        <is>
          <t>1</t>
        </is>
      </c>
      <c r="J1595" t="inlineStr"/>
      <c r="K1595" t="inlineStr"/>
      <c r="L1595" t="inlineStr"/>
      <c r="M1595" t="inlineStr"/>
      <c r="N1595" t="inlineStr"/>
      <c r="O1595">
        <f>(1-Summary!$B$55)*T1595+Summary!$B$55*V1595</f>
        <v/>
      </c>
      <c r="P1595">
        <f>IF(B1608=0,0,O1595/B1608)</f>
        <v/>
      </c>
      <c r="Q1595" t="n">
        <v>0</v>
      </c>
      <c r="R1595" t="n">
        <v>0</v>
      </c>
      <c r="S1595">
        <f>IFERROR(O1595/N1595,0)</f>
        <v/>
      </c>
      <c r="T1595" t="n">
        <v>0</v>
      </c>
      <c r="V1595" t="n">
        <v>0</v>
      </c>
    </row>
    <row r="1597">
      <c r="A1597" t="inlineStr">
        <is>
          <t>Attack% Bucket Multiplier</t>
        </is>
      </c>
      <c r="B1597">
        <f>(1+(((C1578=TRUE)*F1578)+((C1579=TRUE)*IF(Inputs!$B$38="pvp",F1579,(1-Summary!$B$55)*(F1579)+Summary!$B$55*(0)))+((C1580=TRUE)*F1580*IF(AND(Inputs!$B$38&lt;&gt;"pvp",Inputs!$B$43&gt;0),(((R1580-1)*(Skills!T15*(1+Inputs!$B$34/100))+MIN((Skills!T15*(1+Inputs!$B$34/100)),MAX(0,Inputs!$B$43-((R1580-1)*Skills!D15))))/Inputs!$B$43),IF(Inputs!$B$38="pvp",MIN((Skills!T15*(1+Inputs!$B$34/100)),15)/15,(Skills!T15*(1+Inputs!$B$34/100))/Skills!D15)))+((C1595=TRUE)*(F1595-Calc!F30)))/100)</f>
        <v/>
      </c>
    </row>
    <row r="1598">
      <c r="A1598" t="inlineStr">
        <is>
          <t>Global Crit Rate Bonus %</t>
        </is>
      </c>
      <c r="B1598">
        <f>(C1581=TRUE)*20*IF(AND(Inputs!$B$38&lt;&gt;"pvp",Inputs!$B$43&gt;0),(((R1581-1)*(Skills!T16*(1+Inputs!$B$34/100))+MIN((Skills!T16*(1+Inputs!$B$34/100)),MAX(0,Inputs!$B$43-((R1581-1)*Skills!D16))))/Inputs!$B$43),IF(Inputs!$B$38="pvp",MIN((Skills!T16*(1+Inputs!$B$34/100)),15)/15,(Skills!T16*(1+Inputs!$B$34/100))/Skills!D16))</f>
        <v/>
      </c>
    </row>
    <row r="1599">
      <c r="A1599" t="inlineStr">
        <is>
          <t>Attack Speed Buff Bonus %</t>
        </is>
      </c>
      <c r="B1599">
        <f>((C1584=TRUE)*F1584*IF(AND(Inputs!$B$38&lt;&gt;"pvp",Inputs!$B$43&gt;0),(((R1584-1)*(Skills!T19*(1+Inputs!$B$34/100))+MIN((Skills!T19*(1+Inputs!$B$34/100)),MAX(0,Inputs!$B$43-((R1584-1)*Skills!D19))))/Inputs!$B$43),IF(Inputs!$B$38="pvp",MIN((Skills!T19*(1+Inputs!$B$34/100)),15)/15,(Skills!T19*(1+Inputs!$B$34/100))/Skills!D19)))</f>
        <v/>
      </c>
    </row>
    <row r="1600">
      <c r="A1600" t="inlineStr">
        <is>
          <t>Actions Per Second</t>
        </is>
      </c>
      <c r="B1600">
        <f>1+MIN(150,150*(1-(1-(Inputs!$B$11+((C1586=TRUE)*(F1586-Calc!F21))+((C1587=TRUE)*(F1587-Calc!F22)))/150)*(1-B1599/150)))/100</f>
        <v/>
      </c>
    </row>
    <row r="1601">
      <c r="A1601" t="inlineStr">
        <is>
          <t>Skill + Buff Cast Rate</t>
        </is>
      </c>
      <c r="B1601">
        <f>IF(AND(Inputs!$B$38&lt;&gt;"pvp",Inputs!$B$43&gt;0),SUMPRODUCT((Skills!E2:E30=TRUE)*(C1567:C1595=TRUE)*R1567:R1595*Skills!F2:F30)/Inputs!$B$43,SUMPRODUCT((Skills!E2:E30=TRUE)*(C1567:C1595=TRUE)*Q1567:Q1595*Skills!F2:F30))</f>
        <v/>
      </c>
    </row>
    <row r="1602">
      <c r="A1602" t="inlineStr">
        <is>
          <t>Arrow Stream Casts Per Second</t>
        </is>
      </c>
      <c r="B1602">
        <f>MAX(0,B1600-B1601)</f>
        <v/>
      </c>
    </row>
    <row r="1603">
      <c r="A1603" t="inlineStr">
        <is>
          <t>Global Critical Damage Bonus % (Sharp Eyes + Concentration)</t>
        </is>
      </c>
      <c r="B1603">
        <f>(C1581=TRUE)*F1581*IF(AND(Inputs!$B$38&lt;&gt;"pvp",Inputs!$B$43&gt;0),(((R1581-1)*(Skills!T16*(1+Inputs!$B$34/100))+MIN((Skills!T16*(1+Inputs!$B$34/100)),MAX(0,Inputs!$B$43-((R1581-1)*Skills!D16))))/Inputs!$B$43),IF(Inputs!$B$38="pvp",MIN((Skills!T16*(1+Inputs!$B$34/100)),15)/15,(Skills!T16*(1+Inputs!$B$34/100))/Skills!D16))+(C1582=TRUE)*30</f>
        <v/>
      </c>
    </row>
    <row r="1604">
      <c r="A1604" t="inlineStr">
        <is>
          <t>Global Final Damage Bonus % (Mortal Blow)</t>
        </is>
      </c>
      <c r="B1604">
        <f>(C1583=TRUE)*F1583</f>
        <v/>
      </c>
    </row>
    <row r="1605">
      <c r="A1605" t="inlineStr">
        <is>
          <t>Buff-Casting Startup Delay (s, fixed-duration only)</t>
        </is>
      </c>
      <c r="B1605">
        <f>IF(AND(Inputs!$B$38&lt;&gt;"pvp",Inputs!$B$43&gt;0),SUMPRODUCT((Skills!T2:T30&gt;0)*(Skills!E2:E30=TRUE)*(C1567:C1595=TRUE))/B1600,0)</f>
        <v/>
      </c>
    </row>
    <row r="1606">
      <c r="A1606" t="inlineStr">
        <is>
          <t>Boss-Only Total DPS (this block's swept value)</t>
        </is>
      </c>
      <c r="B1606">
        <f>SUM(T1567:T1595)</f>
        <v/>
      </c>
    </row>
    <row r="1607">
      <c r="A1607" t="inlineStr">
        <is>
          <t>Normal-Only Total DPS (this block's swept value)</t>
        </is>
      </c>
      <c r="B1607">
        <f>SUM(V1567:V1595)</f>
        <v/>
      </c>
    </row>
    <row r="1608">
      <c r="A1608" s="5" t="inlineStr">
        <is>
          <t>TOTAL DPS</t>
        </is>
      </c>
      <c r="B1608" s="5">
        <f>SUM(O1567:O1595)</f>
        <v/>
      </c>
    </row>
    <row r="1611">
      <c r="A1611" s="5" t="inlineStr">
        <is>
          <t>Stat: CDR = 4.5s</t>
        </is>
      </c>
    </row>
    <row r="1612">
      <c r="A1612" s="9" t="inlineStr">
        <is>
          <t>Key</t>
        </is>
      </c>
      <c r="B1612" s="9" t="inlineStr">
        <is>
          <t>Name</t>
        </is>
      </c>
      <c r="C1612" s="9" t="inlineStr">
        <is>
          <t>Unlocked</t>
        </is>
      </c>
      <c r="D1612" s="9" t="inlineStr">
        <is>
          <t>InputLevel</t>
        </is>
      </c>
      <c r="E1612" s="9" t="inlineStr">
        <is>
          <t>Factor</t>
        </is>
      </c>
      <c r="F1612" s="9" t="inlineStr">
        <is>
          <t>CoefficientPercent</t>
        </is>
      </c>
      <c r="G1612" s="9" t="inlineStr">
        <is>
          <t>EffectiveHits</t>
        </is>
      </c>
      <c r="H1612" s="9" t="inlineStr">
        <is>
          <t>ProcProbability</t>
        </is>
      </c>
      <c r="I1612" s="9" t="inlineStr">
        <is>
          <t>MapleHeroMultiplier</t>
        </is>
      </c>
      <c r="J1612" s="9" t="inlineStr">
        <is>
          <t>BaseDamage</t>
        </is>
      </c>
      <c r="K1612" s="9" t="inlineStr">
        <is>
          <t>BaseHitDamage</t>
        </is>
      </c>
      <c r="L1612" s="9" t="inlineStr">
        <is>
          <t>NonCritAvg</t>
        </is>
      </c>
      <c r="M1612" s="9" t="inlineStr">
        <is>
          <t>CritAvg</t>
        </is>
      </c>
      <c r="N1612" s="9" t="inlineStr">
        <is>
          <t>ExpectedDamage(perHit)</t>
        </is>
      </c>
      <c r="O1612" s="9" t="inlineStr">
        <is>
          <t>DPS</t>
        </is>
      </c>
      <c r="P1612" s="9" t="inlineStr">
        <is>
          <t>% of Total</t>
        </is>
      </c>
      <c r="Q1612" s="9" t="inlineStr">
        <is>
          <t>InvCooldown</t>
        </is>
      </c>
      <c r="R1612" s="9" t="inlineStr">
        <is>
          <t>CastsInFight</t>
        </is>
      </c>
      <c r="S1612" s="9" t="inlineStr">
        <is>
          <t>HitRate(perSec)</t>
        </is>
      </c>
      <c r="U1612" t="inlineStr">
        <is>
          <t>helpers</t>
        </is>
      </c>
    </row>
    <row r="1613">
      <c r="A1613">
        <f>Skills!A2</f>
        <v/>
      </c>
      <c r="B1613">
        <f>Skills!B2</f>
        <v/>
      </c>
      <c r="C1613">
        <f>Inputs!$B$3&gt;=100</f>
        <v/>
      </c>
      <c r="D1613" t="inlineStr"/>
      <c r="E1613" t="inlineStr"/>
      <c r="F1613">
        <f>U1615+Skills!O2</f>
        <v/>
      </c>
      <c r="G1613">
        <f>Skills!G2*IF(Skills!H2&gt;0,Skills!I2/Skills!H2,1)</f>
        <v/>
      </c>
      <c r="H1613">
        <f>1-(1-Skills!J2/100)^Skills!K2</f>
        <v/>
      </c>
      <c r="I1613" t="inlineStr">
        <is>
          <t>1</t>
        </is>
      </c>
      <c r="J1613">
        <f>((Inputs!$B$6*(1+Inputs!$B$7/100))+(((Inputs!$B$12*(1+Inputs!$B$13/100))-(Inputs!$B$12*(1+Inputs!$B$13/100)))+0.25*(Inputs!$B$14-Inputs!$B$14))*(1+Inputs!$B$7/100))*(F1613/100)</f>
        <v/>
      </c>
      <c r="K1613">
        <f>J1613*(1+((Inputs!$B$12*(1+Inputs!$B$13/100))*0.01+Inputs!$B$14*0.0025)/100)*(1+Inputs!$B$15/100)*(1+Inputs!$B$16/100)*(5000/(6000+Inputs!$B$42*(1-(Inputs!$B$19+((C1638=TRUE)*(F1638-Calc!F27)))/100)))*(1+(Inputs!$B$24+((C1636=TRUE)*(F1636-Calc!F25))+((C1637=TRUE)*(F1637-Calc!F26))+B1650)/100)*(1+(IF(Skills!A2="ARROW_STREAM",Inputs!$B$17+((C1634=TRUE)*(F1634-Calc!F23)),Inputs!$B$18+((C1639=TRUE)*(F1639-Calc!F28))))/100)*((1+(((C1624=TRUE)*F1624)+((C1625=TRUE)*IF(Inputs!$B$38="pvp",F1625,(1-Summary!$B$55)*(F1625)+Summary!$B$55*(0)))+((C1626=TRUE)*F1626*IF(AND(Inputs!$B$38&lt;&gt;"pvp",Inputs!$B$43&gt;0),(((R1626-1)*(Skills!T15*(1+Inputs!$B$34/100))+MIN((Skills!T15*(1+Inputs!$B$34/100)),MAX(0,Inputs!$B$43-((R1626-1)*Skills!D15))))/Inputs!$B$43),IF(Inputs!$B$38="pvp",MIN((Skills!T15*(1+Inputs!$B$34/100)),15)/15,(Skills!T15*(1+Inputs!$B$34/100))/Skills!D15)))+((C1641=TRUE)*(F1641-Calc!F30)))/100)*I1613)</f>
        <v/>
      </c>
      <c r="L1613">
        <f>K1613*(MIN(Inputs!$B$22+((C1635=TRUE)*(F1635-Calc!F24)),Inputs!$B$23+((C1640=TRUE)*(F1640-Calc!F29)))/100+(Inputs!$B$23+((C1640=TRUE)*(F1640-Calc!F29)))/100)/2</f>
        <v/>
      </c>
      <c r="M1613">
        <f>L1613*(1+(Inputs!$B$10+0+B1649)/100)</f>
        <v/>
      </c>
      <c r="N1613">
        <f>L1613*(1-MIN((Inputs!$B$9+((C1631=TRUE)*(F1631-Calc!F20))+B1644),100)/100)+M1613*(MIN((Inputs!$B$9+((C1631=TRUE)*(F1631-Calc!F20))+B1644),100)/100)</f>
        <v/>
      </c>
      <c r="O1613">
        <f>(1-Summary!$B$55)*T1613+Summary!$B$55*V1613</f>
        <v/>
      </c>
      <c r="P1613">
        <f>IF(B1654=0,0,O1613/B1654)</f>
        <v/>
      </c>
      <c r="Q1613" t="n">
        <v>0</v>
      </c>
      <c r="R1613" t="n">
        <v>0</v>
      </c>
      <c r="S1613">
        <f>IFERROR(O1613/N1613,0)</f>
        <v/>
      </c>
      <c r="T1613">
        <f>IF(C1613,(Skills!G2*N1613*B1648)*IF(Inputs!$B$38="pvp",1,1+(Inputs!$B$20+0+Skills!P2)/100),0)</f>
        <v/>
      </c>
      <c r="U1613">
        <f>MAX(0,(Inputs!$B$3-100)*3)+Inputs!$B$28+Inputs!$B$29</f>
        <v/>
      </c>
      <c r="V1613">
        <f>IF(C1613,(Skills!G2*N1613*B1648)*IF(Inputs!$B$38="pvp",1,(1+(Inputs!$B$21+Skills!Q2)/100)*(MIN((6+Inputs!$B$33),Inputs!$B$37))),0)</f>
        <v/>
      </c>
    </row>
    <row r="1614">
      <c r="A1614">
        <f>Skills!A3</f>
        <v/>
      </c>
      <c r="B1614">
        <f>Skills!B3</f>
        <v/>
      </c>
      <c r="C1614">
        <f>Inputs!$B$3&gt;=50</f>
        <v/>
      </c>
      <c r="D1614">
        <f>IF(Skills!C3=1,60+Inputs!$B$25+Inputs!$B$29,IF(Skills!C3=2,90+Inputs!$B$26+Inputs!$B$29,IF(Skills!C3=3,120+Inputs!$B$27+Inputs!$B$29,MAX(0,(Inputs!$B$3-100)*3)+Inputs!$B$28+Inputs!$B$29)))</f>
        <v/>
      </c>
      <c r="E1614">
        <f>INDEX(FactorTable!$B$2:$Y$301, MATCH(ROUND(MIN(300,MAX(1,D1614)),0), FactorTable!$A$2:$A$301,0), Skills!M3+1)</f>
        <v/>
      </c>
      <c r="F1614">
        <f>IF(Skills!N3=TRUE,(Skills!L3/10)*(E1614/1000),Skills!L3/10)+Skills!O3</f>
        <v/>
      </c>
      <c r="G1614" t="inlineStr"/>
      <c r="H1614" t="inlineStr"/>
      <c r="I1614" t="inlineStr">
        <is>
          <t>1</t>
        </is>
      </c>
      <c r="J1614" t="inlineStr"/>
      <c r="K1614" t="inlineStr"/>
      <c r="L1614" t="inlineStr"/>
      <c r="M1614" t="inlineStr"/>
      <c r="N1614" t="inlineStr"/>
      <c r="O1614" t="inlineStr"/>
      <c r="P1614" t="inlineStr"/>
      <c r="Q1614" t="inlineStr"/>
      <c r="R1614" t="inlineStr"/>
      <c r="S1614" t="inlineStr"/>
      <c r="T1614" t="inlineStr"/>
      <c r="U1614">
        <f>INDEX(FactorTable!$B$2:$Y$301, MATCH(ROUND(MIN(300,MAX(1,U1613)),0), FactorTable!$A$2:$A$301,0), 22)</f>
        <v/>
      </c>
      <c r="V1614" t="inlineStr"/>
    </row>
    <row r="1615">
      <c r="A1615">
        <f>Skills!A4</f>
        <v/>
      </c>
      <c r="B1615">
        <f>Skills!B4</f>
        <v/>
      </c>
      <c r="C1615">
        <f>Inputs!$B$3&gt;=105</f>
        <v/>
      </c>
      <c r="D1615">
        <f>IF(Skills!C4=1,60+Inputs!$B$25+Inputs!$B$29,IF(Skills!C4=2,90+Inputs!$B$26+Inputs!$B$29,IF(Skills!C4=3,120+Inputs!$B$27+Inputs!$B$29,MAX(0,(Inputs!$B$3-100)*3)+Inputs!$B$28+Inputs!$B$29)))</f>
        <v/>
      </c>
      <c r="E1615">
        <f>INDEX(FactorTable!$B$2:$Y$301, MATCH(ROUND(MIN(300,MAX(1,D1615)),0), FactorTable!$A$2:$A$301,0), Skills!M4+1)</f>
        <v/>
      </c>
      <c r="F1615">
        <f>IF(Skills!N4=TRUE,(Skills!L4/10)*(E1615/1000),Skills!L4/10)+Skills!O4</f>
        <v/>
      </c>
      <c r="G1615" t="inlineStr"/>
      <c r="H1615" t="inlineStr"/>
      <c r="I1615" t="inlineStr">
        <is>
          <t>1</t>
        </is>
      </c>
      <c r="J1615" t="inlineStr"/>
      <c r="K1615" t="inlineStr"/>
      <c r="L1615" t="inlineStr"/>
      <c r="M1615" t="inlineStr"/>
      <c r="N1615" t="inlineStr"/>
      <c r="O1615" t="inlineStr"/>
      <c r="P1615" t="inlineStr"/>
      <c r="Q1615" t="inlineStr"/>
      <c r="R1615" t="inlineStr"/>
      <c r="S1615" t="inlineStr"/>
      <c r="T1615" t="inlineStr"/>
      <c r="U1615">
        <f>290*U1614/1000</f>
        <v/>
      </c>
      <c r="V1615" t="inlineStr"/>
    </row>
    <row r="1616">
      <c r="A1616">
        <f>Skills!A5</f>
        <v/>
      </c>
      <c r="B1616">
        <f>Skills!B5</f>
        <v/>
      </c>
      <c r="C1616">
        <f>Inputs!$B$3&gt;=35</f>
        <v/>
      </c>
      <c r="D1616">
        <f>IF(Skills!C5=1,60+Inputs!$B$25+Inputs!$B$29,IF(Skills!C5=2,90+Inputs!$B$26+Inputs!$B$29,IF(Skills!C5=3,120+Inputs!$B$27+Inputs!$B$29,MAX(0,(Inputs!$B$3-100)*3)+Inputs!$B$28+Inputs!$B$29)))</f>
        <v/>
      </c>
      <c r="E1616">
        <f>INDEX(FactorTable!$B$2:$Y$301, MATCH(ROUND(MIN(300,MAX(1,D1616)),0), FactorTable!$A$2:$A$301,0), Skills!M5+1)</f>
        <v/>
      </c>
      <c r="F1616">
        <f>IF(Skills!N5=TRUE,(Skills!L5/10)*(E1616/1000),Skills!L5/10)+Skills!O5</f>
        <v/>
      </c>
      <c r="G1616">
        <f>Skills!G5*IF(Skills!H5&gt;0,Skills!I5/Skills!H5,1)</f>
        <v/>
      </c>
      <c r="H1616">
        <f>1-(1-Skills!J5/100)^Skills!K5</f>
        <v/>
      </c>
      <c r="I1616" t="inlineStr">
        <is>
          <t>1</t>
        </is>
      </c>
      <c r="J1616">
        <f>((Inputs!$B$6*(1+Inputs!$B$7/100))+(((Inputs!$B$12*(1+Inputs!$B$13/100))-(Inputs!$B$12*(1+Inputs!$B$13/100)))+0.25*(Inputs!$B$14-Inputs!$B$14))*(1+Inputs!$B$7/100))*(F1616/100)</f>
        <v/>
      </c>
      <c r="K1616">
        <f>J1616*(1+((Inputs!$B$12*(1+Inputs!$B$13/100))*0.01+Inputs!$B$14*0.0025)/100)*(1+Inputs!$B$15/100)*(1+Inputs!$B$16/100)*(5000/(6000+Inputs!$B$42*(1-(Inputs!$B$19+((C1638=TRUE)*(F1638-Calc!F27)))/100)))*(1+(Inputs!$B$24+((C1636=TRUE)*(F1636-Calc!F25))+((C1637=TRUE)*(F1637-Calc!F26))+B1650)/100)*(1+4.0*IF(C1621=TRUE,F1621,0)/100)*(1+(IF(Skills!A5="ARROW_STREAM",Inputs!$B$17+((C1634=TRUE)*(F1634-Calc!F23)),Inputs!$B$18+((C1639=TRUE)*(F1639-Calc!F28))))/100)*((1+(((C1624=TRUE)*F1624)+((C1625=TRUE)*IF(Inputs!$B$38="pvp",F1625,(1-Summary!$B$55)*(F1625)+Summary!$B$55*(0)))+((C1626=TRUE)*F1626*IF(AND(Inputs!$B$38&lt;&gt;"pvp",Inputs!$B$43&gt;0),(((R1626-1)*(Skills!T15*(1+Inputs!$B$34/100))+MIN((Skills!T15*(1+Inputs!$B$34/100)),MAX(0,Inputs!$B$43-((R1626-1)*Skills!D15))))/Inputs!$B$43),IF(Inputs!$B$38="pvp",MIN((Skills!T15*(1+Inputs!$B$34/100)),15)/15,(Skills!T15*(1+Inputs!$B$34/100))/Skills!D15)))+((C1641=TRUE)*(F1641-Calc!F30)))/100)*I1616)</f>
        <v/>
      </c>
      <c r="L1616">
        <f>K1616*(MIN(Inputs!$B$22+((C1635=TRUE)*(F1635-Calc!F24)),Inputs!$B$23+((C1640=TRUE)*(F1640-Calc!F29)))/100+(Inputs!$B$23+((C1640=TRUE)*(F1640-Calc!F29)))/100)/2</f>
        <v/>
      </c>
      <c r="M1616">
        <f>L1616*(1+(Inputs!$B$10+0+B1649)/100)</f>
        <v/>
      </c>
      <c r="N1616">
        <f>L1616*(1-MIN((Inputs!$B$9+((C1631=TRUE)*(F1631-Calc!F20))+B1644),100)/100)+M1616*(MIN((Inputs!$B$9+((C1631=TRUE)*(F1631-Calc!F20))+B1644),100)/100)</f>
        <v/>
      </c>
      <c r="O1616">
        <f>(1-Summary!$B$55)*T1616+Summary!$B$55*V1616</f>
        <v/>
      </c>
      <c r="P1616">
        <f>IF(B1654=0,0,O1616/B1654)</f>
        <v/>
      </c>
      <c r="Q1616">
        <f>IFERROR(1/IF(Inputs!$B$38="pvp",15,MAX(0.1,Skills!D5-IF(Skills!E5=TRUE,4.5,0))),0)</f>
        <v/>
      </c>
      <c r="R1616">
        <f>IF(AND(Inputs!$B$38&lt;&gt;"pvp",Inputs!$B$43&gt;0),IF(MAX(0,Inputs!$B$43-B1651)&lt;=0,0,(INT(MAX(0,Inputs!$B$43-B1651)/IF(Inputs!$B$38="pvp",15,MAX(0.1,Skills!D5-IF(Skills!E5=TRUE,4.5,0))))+1)),0)</f>
        <v/>
      </c>
      <c r="S1616">
        <f>IFERROR(O1616/N1616,0)</f>
        <v/>
      </c>
      <c r="T1616">
        <f>IF(C1616,(H1616*N1616*IF(AND(Inputs!$B$38&lt;&gt;"pvp",Inputs!$B$43&gt;0),((Skills!G5*((R1616-1)*IF(Skills!H5&gt;0,Skills!I5/Skills!H5,1)+IF(Skills!H5&gt;0,MIN(Skills!I5,MAX(0,MAX(0,Inputs!$B$43-B1651)-((R1616-1)*IF(Inputs!$B$38="pvp",15,MAX(0.1,Skills!D5-IF(Skills!E5=TRUE,4.5,0))))))/Skills!H5,1)))/Inputs!$B$43),G1616*Q1616))*IF(Inputs!$B$38="pvp",1,1+(Inputs!$B$20+0+Skills!P5)/100),0)</f>
        <v/>
      </c>
      <c r="V1616">
        <f>IF(C1616,(H1616*N1616*IF(AND(Inputs!$B$38&lt;&gt;"pvp",Inputs!$B$43&gt;0),((Skills!G5*((R1616-1)*IF(Skills!H5&gt;0,Skills!I5/Skills!H5,1)+IF(Skills!H5&gt;0,MIN(Skills!I5,MAX(0,MAX(0,Inputs!$B$43-B1651)-((R1616-1)*IF(Inputs!$B$38="pvp",15,MAX(0.1,Skills!D5-IF(Skills!E5=TRUE,4.5,0))))))/Skills!H5,1)))/Inputs!$B$43),G1616*Q1616))*IF(Inputs!$B$38="pvp",1,(1+(Inputs!$B$21+Skills!Q5)/100)*(MIN(Skills!R5,Inputs!$B$37))),0)</f>
        <v/>
      </c>
    </row>
    <row r="1617">
      <c r="A1617">
        <f>Skills!A6</f>
        <v/>
      </c>
      <c r="B1617">
        <f>Skills!B6</f>
        <v/>
      </c>
      <c r="C1617">
        <f>Inputs!$B$3&gt;=40</f>
        <v/>
      </c>
      <c r="D1617">
        <f>IF(Skills!C6=1,60+Inputs!$B$25+Inputs!$B$29,IF(Skills!C6=2,90+Inputs!$B$26+Inputs!$B$29,IF(Skills!C6=3,120+Inputs!$B$27+Inputs!$B$29,MAX(0,(Inputs!$B$3-100)*3)+Inputs!$B$28+Inputs!$B$29)))</f>
        <v/>
      </c>
      <c r="E1617">
        <f>INDEX(FactorTable!$B$2:$Y$301, MATCH(ROUND(MIN(300,MAX(1,D1617)),0), FactorTable!$A$2:$A$301,0), Skills!M6+1)</f>
        <v/>
      </c>
      <c r="F1617">
        <f>IF(Skills!N6=TRUE,(Skills!L6/10)*(E1617/1000),Skills!L6/10)+Skills!O6</f>
        <v/>
      </c>
      <c r="G1617">
        <f>Skills!G6*IF(Skills!H6&gt;0,Skills!I6/Skills!H6,1)</f>
        <v/>
      </c>
      <c r="H1617">
        <f>1-(1-Skills!J6/100)^Skills!K6</f>
        <v/>
      </c>
      <c r="I1617" t="inlineStr">
        <is>
          <t>1</t>
        </is>
      </c>
      <c r="J1617">
        <f>((Inputs!$B$6*(1+Inputs!$B$7/100))+(((Inputs!$B$12*(1+Inputs!$B$13/100))-(Inputs!$B$12*(1+Inputs!$B$13/100)))+0.25*(Inputs!$B$14-Inputs!$B$14))*(1+Inputs!$B$7/100))*(F1617/100)</f>
        <v/>
      </c>
      <c r="K1617">
        <f>J1617*(1+((Inputs!$B$12*(1+Inputs!$B$13/100))*0.01+Inputs!$B$14*0.0025)/100)*(1+Inputs!$B$15/100)*(1+Inputs!$B$16/100)*(5000/(6000+Inputs!$B$42*(1-(Inputs!$B$19+((C1638=TRUE)*(F1638-Calc!F27)))/100)))*(1+(Inputs!$B$24+((C1636=TRUE)*(F1636-Calc!F25))+((C1637=TRUE)*(F1637-Calc!F26))+B1650)/100)*(1+IF(C1618=TRUE,F1618,0)/100)*(1+(IF(Skills!A6="ARROW_STREAM",Inputs!$B$17+((C1634=TRUE)*(F1634-Calc!F23)),Inputs!$B$18+((C1639=TRUE)*(F1639-Calc!F28))))/100)*((1+(((C1624=TRUE)*F1624)+((C1625=TRUE)*IF(Inputs!$B$38="pvp",F1625,(1-Summary!$B$55)*(F1625)+Summary!$B$55*(0)))+((C1626=TRUE)*F1626*IF(AND(Inputs!$B$38&lt;&gt;"pvp",Inputs!$B$43&gt;0),(((R1626-1)*(Skills!T15*(1+Inputs!$B$34/100))+MIN((Skills!T15*(1+Inputs!$B$34/100)),MAX(0,Inputs!$B$43-((R1626-1)*Skills!D15))))/Inputs!$B$43),IF(Inputs!$B$38="pvp",MIN((Skills!T15*(1+Inputs!$B$34/100)),15)/15,(Skills!T15*(1+Inputs!$B$34/100))/Skills!D15)))+((C1641=TRUE)*(F1641-Calc!F30)))/100)*I1617)</f>
        <v/>
      </c>
      <c r="L1617">
        <f>K1617*(MIN(Inputs!$B$22+((C1635=TRUE)*(F1635-Calc!F24)),Inputs!$B$23+((C1640=TRUE)*(F1640-Calc!F29)))/100+(Inputs!$B$23+((C1640=TRUE)*(F1640-Calc!F29)))/100)/2</f>
        <v/>
      </c>
      <c r="M1617">
        <f>L1617*(1+(Inputs!$B$10+0+B1649)/100)</f>
        <v/>
      </c>
      <c r="N1617">
        <f>L1617*(1-MIN((Inputs!$B$9+((C1631=TRUE)*(F1631-Calc!F20))+B1644),100)/100)+M1617*(MIN((Inputs!$B$9+((C1631=TRUE)*(F1631-Calc!F20))+B1644),100)/100)</f>
        <v/>
      </c>
      <c r="O1617">
        <f>(1-Summary!$B$55)*T1617+Summary!$B$55*V1617</f>
        <v/>
      </c>
      <c r="P1617">
        <f>IF(B1654=0,0,O1617/B1654)</f>
        <v/>
      </c>
      <c r="Q1617">
        <f>IFERROR(1/IF(Inputs!$B$38="pvp",15,MAX(0.1,Skills!D6-IF(Skills!E6=TRUE,4.5,0))),0)</f>
        <v/>
      </c>
      <c r="R1617">
        <f>IF(AND(Inputs!$B$38&lt;&gt;"pvp",Inputs!$B$43&gt;0),IF(MAX(0,Inputs!$B$43-B1651)&lt;=0,0,(INT(MAX(0,Inputs!$B$43-B1651)/IF(Inputs!$B$38="pvp",15,MAX(0.1,Skills!D6-IF(Skills!E6=TRUE,4.5,0))))+1)),0)</f>
        <v/>
      </c>
      <c r="S1617">
        <f>IFERROR(O1617/N1617,0)</f>
        <v/>
      </c>
      <c r="T1617">
        <f>IF(C1617,(H1617*N1617*IF(AND(Inputs!$B$38&lt;&gt;"pvp",Inputs!$B$43&gt;0),((Skills!G6*((R1617-1)*IF(Skills!H6&gt;0,Skills!I6/Skills!H6,1)+IF(Skills!H6&gt;0,MIN(Skills!I6,MAX(0,MAX(0,Inputs!$B$43-B1651)-((R1617-1)*IF(Inputs!$B$38="pvp",15,MAX(0.1,Skills!D6-IF(Skills!E6=TRUE,4.5,0))))))/Skills!H6,1)))/Inputs!$B$43),G1617*Q1617))*IF(Inputs!$B$38="pvp",1,1+(Inputs!$B$20+0+Skills!P6)/100),0)</f>
        <v/>
      </c>
      <c r="V1617">
        <f>IF(C1617,(H1617*N1617*IF(AND(Inputs!$B$38&lt;&gt;"pvp",Inputs!$B$43&gt;0),((Skills!G6*((R1617-1)*IF(Skills!H6&gt;0,Skills!I6/Skills!H6,1)+IF(Skills!H6&gt;0,MIN(Skills!I6,MAX(0,MAX(0,Inputs!$B$43-B1651)-((R1617-1)*IF(Inputs!$B$38="pvp",15,MAX(0.1,Skills!D6-IF(Skills!E6=TRUE,4.5,0))))))/Skills!H6,1)))/Inputs!$B$43),G1617*Q1617))*IF(Inputs!$B$38="pvp",1,(1+(Inputs!$B$21+Skills!Q6)/100)*(MIN(Skills!R6,Inputs!$B$37))),0)</f>
        <v/>
      </c>
    </row>
    <row r="1618">
      <c r="A1618">
        <f>Skills!A7</f>
        <v/>
      </c>
      <c r="B1618">
        <f>Skills!B7</f>
        <v/>
      </c>
      <c r="C1618">
        <f>Inputs!$B$3&gt;=107</f>
        <v/>
      </c>
      <c r="D1618">
        <f>IF(Skills!C7=1,60+Inputs!$B$25+Inputs!$B$29,IF(Skills!C7=2,90+Inputs!$B$26+Inputs!$B$29,IF(Skills!C7=3,120+Inputs!$B$27+Inputs!$B$29,MAX(0,(Inputs!$B$3-100)*3)+Inputs!$B$28+Inputs!$B$29)))</f>
        <v/>
      </c>
      <c r="E1618">
        <f>INDEX(FactorTable!$B$2:$Y$301, MATCH(ROUND(MIN(300,MAX(1,D1618)),0), FactorTable!$A$2:$A$301,0), Skills!M7+1)</f>
        <v/>
      </c>
      <c r="F1618">
        <f>IF(Skills!N7=TRUE,(Skills!L7/10)*(E1618/1000),Skills!L7/10)+Skills!O7</f>
        <v/>
      </c>
      <c r="G1618" t="inlineStr"/>
      <c r="H1618" t="inlineStr"/>
      <c r="I1618" t="inlineStr">
        <is>
          <t>1</t>
        </is>
      </c>
      <c r="J1618" t="inlineStr"/>
      <c r="K1618" t="inlineStr"/>
      <c r="L1618" t="inlineStr"/>
      <c r="M1618" t="inlineStr"/>
      <c r="N1618" t="inlineStr"/>
      <c r="O1618" t="inlineStr"/>
      <c r="P1618" t="inlineStr"/>
      <c r="Q1618" t="inlineStr"/>
      <c r="R1618" t="inlineStr"/>
      <c r="S1618" t="inlineStr"/>
      <c r="T1618" t="inlineStr"/>
      <c r="V1618" t="inlineStr"/>
    </row>
    <row r="1619">
      <c r="A1619">
        <f>Skills!A8</f>
        <v/>
      </c>
      <c r="B1619">
        <f>Skills!B8</f>
        <v/>
      </c>
      <c r="C1619">
        <f>Inputs!$B$3&gt;=69</f>
        <v/>
      </c>
      <c r="D1619">
        <f>IF(Skills!C8=1,60+Inputs!$B$25+Inputs!$B$29,IF(Skills!C8=2,90+Inputs!$B$26+Inputs!$B$29,IF(Skills!C8=3,120+Inputs!$B$27+Inputs!$B$29,MAX(0,(Inputs!$B$3-100)*3)+Inputs!$B$28+Inputs!$B$29)))</f>
        <v/>
      </c>
      <c r="E1619">
        <f>INDEX(FactorTable!$B$2:$Y$301, MATCH(ROUND(MIN(300,MAX(1,D1619)),0), FactorTable!$A$2:$A$301,0), Skills!M8+1)</f>
        <v/>
      </c>
      <c r="F1619">
        <f>IF(Skills!N8=TRUE,(Skills!L8/10)*(E1619/1000),Skills!L8/10)+Skills!O8</f>
        <v/>
      </c>
      <c r="G1619">
        <f>Skills!G8*IF(Skills!H8&gt;0,Skills!I8/Skills!H8,1)</f>
        <v/>
      </c>
      <c r="H1619">
        <f>1-(1-Skills!J8/100)^Skills!K8</f>
        <v/>
      </c>
      <c r="I1619" t="inlineStr">
        <is>
          <t>1</t>
        </is>
      </c>
      <c r="J1619">
        <f>((Inputs!$B$6*(1+Inputs!$B$7/100))+(((Inputs!$B$12*(1+Inputs!$B$13/100))-(Inputs!$B$12*(1+Inputs!$B$13/100)))+0.25*(Inputs!$B$14-Inputs!$B$14))*(1+Inputs!$B$7/100))*(F1619/100)</f>
        <v/>
      </c>
      <c r="K1619">
        <f>J1619*(1+((Inputs!$B$12*(1+Inputs!$B$13/100))*0.01+Inputs!$B$14*0.0025)/100)*(1+Inputs!$B$15/100)*(1+Inputs!$B$16/100)*(5000/(6000+Inputs!$B$42*(1-(Inputs!$B$19+((C1638=TRUE)*(F1638-Calc!F27)))/100)))*(1+(Inputs!$B$24+((C1636=TRUE)*(F1636-Calc!F25))+((C1637=TRUE)*(F1637-Calc!F26))+B1650)/100)*(1+1.2*IF(C1621=TRUE,F1621,0)/100)*(1+(IF(Skills!A8="ARROW_STREAM",Inputs!$B$17+((C1634=TRUE)*(F1634-Calc!F23)),Inputs!$B$18+((C1639=TRUE)*(F1639-Calc!F28))))/100)*((1+(((C1624=TRUE)*F1624)+((C1625=TRUE)*IF(Inputs!$B$38="pvp",F1625,(1-Summary!$B$55)*(F1625)+Summary!$B$55*(0)))+((C1626=TRUE)*F1626*IF(AND(Inputs!$B$38&lt;&gt;"pvp",Inputs!$B$43&gt;0),(((R1626-1)*(Skills!T15*(1+Inputs!$B$34/100))+MIN((Skills!T15*(1+Inputs!$B$34/100)),MAX(0,Inputs!$B$43-((R1626-1)*Skills!D15))))/Inputs!$B$43),IF(Inputs!$B$38="pvp",MIN((Skills!T15*(1+Inputs!$B$34/100)),15)/15,(Skills!T15*(1+Inputs!$B$34/100))/Skills!D15)))+((C1641=TRUE)*(F1641-Calc!F30)))/100)*I1619)</f>
        <v/>
      </c>
      <c r="L1619">
        <f>K1619*(MIN(Inputs!$B$22+((C1635=TRUE)*(F1635-Calc!F24)),Inputs!$B$23+((C1640=TRUE)*(F1640-Calc!F29)))/100+(Inputs!$B$23+((C1640=TRUE)*(F1640-Calc!F29)))/100)/2</f>
        <v/>
      </c>
      <c r="M1619">
        <f>L1619*(1+(Inputs!$B$10+0+B1649)/100)</f>
        <v/>
      </c>
      <c r="N1619">
        <f>L1619*(1-MIN((Inputs!$B$9+((C1631=TRUE)*(F1631-Calc!F20))+B1644),100)/100)+M1619*(MIN((Inputs!$B$9+((C1631=TRUE)*(F1631-Calc!F20))+B1644),100)/100)</f>
        <v/>
      </c>
      <c r="O1619">
        <f>(1-Summary!$B$55)*T1619+Summary!$B$55*V1619</f>
        <v/>
      </c>
      <c r="P1619">
        <f>IF(B1654=0,0,O1619/B1654)</f>
        <v/>
      </c>
      <c r="Q1619">
        <f>IFERROR(1/IF(Inputs!$B$38="pvp",15,MAX(0.1,Skills!D8-IF(Skills!E8=TRUE,4.5,0))),0)</f>
        <v/>
      </c>
      <c r="R1619">
        <f>IF(AND(Inputs!$B$38&lt;&gt;"pvp",Inputs!$B$43&gt;0),IF(MAX(0,Inputs!$B$43-B1651)&lt;=0,0,(INT(MAX(0,Inputs!$B$43-B1651)/IF(Inputs!$B$38="pvp",15,MAX(0.1,Skills!D8-IF(Skills!E8=TRUE,4.5,0))))+1)),0)</f>
        <v/>
      </c>
      <c r="S1619">
        <f>IFERROR(O1619/N1619,0)</f>
        <v/>
      </c>
      <c r="T1619">
        <f>IF(C1619,(H1619*N1619*IF(AND(Inputs!$B$38&lt;&gt;"pvp",Inputs!$B$43&gt;0),((Skills!G8*((R1619-1)*IF(Skills!H8&gt;0,Skills!I8/Skills!H8,1)+IF(Skills!H8&gt;0,MIN(Skills!I8,MAX(0,MAX(0,Inputs!$B$43-B1651)-((R1619-1)*IF(Inputs!$B$38="pvp",15,MAX(0.1,Skills!D8-IF(Skills!E8=TRUE,4.5,0))))))/Skills!H8,1)))/Inputs!$B$43),G1619*Q1619))*IF(Inputs!$B$38="pvp",1,1+(Inputs!$B$20+0+Skills!P8)/100),0)</f>
        <v/>
      </c>
      <c r="V1619">
        <f>IF(C1619,(H1619*N1619*IF(AND(Inputs!$B$38&lt;&gt;"pvp",Inputs!$B$43&gt;0),((Skills!G8*((R1619-1)*IF(Skills!H8&gt;0,Skills!I8/Skills!H8,1)+IF(Skills!H8&gt;0,MIN(Skills!I8,MAX(0,MAX(0,Inputs!$B$43-B1651)-((R1619-1)*IF(Inputs!$B$38="pvp",15,MAX(0.1,Skills!D8-IF(Skills!E8=TRUE,4.5,0))))))/Skills!H8,1)))/Inputs!$B$43),G1619*Q1619))*IF(Inputs!$B$38="pvp",1,(1+(Inputs!$B$21+Skills!Q8)/100)*(MIN(Skills!R8,Inputs!$B$37))),0)</f>
        <v/>
      </c>
    </row>
    <row r="1620">
      <c r="A1620">
        <f>Skills!A9</f>
        <v/>
      </c>
      <c r="B1620">
        <f>Skills!B9</f>
        <v/>
      </c>
      <c r="C1620">
        <f>Inputs!$B$3&gt;=63</f>
        <v/>
      </c>
      <c r="D1620">
        <f>IF(Skills!C9=1,60+Inputs!$B$25+Inputs!$B$29,IF(Skills!C9=2,90+Inputs!$B$26+Inputs!$B$29,IF(Skills!C9=3,120+Inputs!$B$27+Inputs!$B$29,MAX(0,(Inputs!$B$3-100)*3)+Inputs!$B$28+Inputs!$B$29)))</f>
        <v/>
      </c>
      <c r="E1620">
        <f>INDEX(FactorTable!$B$2:$Y$301, MATCH(ROUND(MIN(300,MAX(1,D1620)),0), FactorTable!$A$2:$A$301,0), Skills!M9+1)</f>
        <v/>
      </c>
      <c r="F1620">
        <f>IF(Skills!N9=TRUE,(Skills!L9/10)*(E1620/1000),Skills!L9/10)+Skills!O9</f>
        <v/>
      </c>
      <c r="G1620">
        <f>Skills!G9*IF(Skills!H9&gt;0,Skills!I9/Skills!H9,1)</f>
        <v/>
      </c>
      <c r="H1620">
        <f>1-(1-Skills!J9/100)^Skills!K9</f>
        <v/>
      </c>
      <c r="I1620" t="inlineStr">
        <is>
          <t>1</t>
        </is>
      </c>
      <c r="J1620">
        <f>((Inputs!$B$6*(1+Inputs!$B$7/100))+(((Inputs!$B$12*(1+Inputs!$B$13/100))-(Inputs!$B$12*(1+Inputs!$B$13/100)))+0.25*(Inputs!$B$14-Inputs!$B$14))*(1+Inputs!$B$7/100))*(F1620/100)</f>
        <v/>
      </c>
      <c r="K1620">
        <f>J1620*(1+((Inputs!$B$12*(1+Inputs!$B$13/100))*0.01+Inputs!$B$14*0.0025)/100)*(1+Inputs!$B$15/100)*(1+Inputs!$B$16/100)*(5000/(6000+Inputs!$B$42*(1-(Inputs!$B$19+((C1638=TRUE)*(F1638-Calc!F27)))/100)))*(1+(Inputs!$B$24+((C1636=TRUE)*(F1636-Calc!F25))+((C1637=TRUE)*(F1637-Calc!F26))+B1650)/100)*(1+1.0*IF(C1621=TRUE,F1621,0)/100)*(1+(IF(Skills!A9="ARROW_STREAM",Inputs!$B$17+((C1634=TRUE)*(F1634-Calc!F23)),Inputs!$B$18+((C1639=TRUE)*(F1639-Calc!F28))))/100)*((1+(((C1624=TRUE)*F1624)+((C1625=TRUE)*IF(Inputs!$B$38="pvp",F1625,(1-Summary!$B$55)*(F1625)+Summary!$B$55*(0)))+((C1626=TRUE)*F1626*IF(AND(Inputs!$B$38&lt;&gt;"pvp",Inputs!$B$43&gt;0),(((R1626-1)*(Skills!T15*(1+Inputs!$B$34/100))+MIN((Skills!T15*(1+Inputs!$B$34/100)),MAX(0,Inputs!$B$43-((R1626-1)*Skills!D15))))/Inputs!$B$43),IF(Inputs!$B$38="pvp",MIN((Skills!T15*(1+Inputs!$B$34/100)),15)/15,(Skills!T15*(1+Inputs!$B$34/100))/Skills!D15)))+((C1641=TRUE)*(F1641-Calc!F30)))/100)*I1620)</f>
        <v/>
      </c>
      <c r="L1620">
        <f>K1620*(MIN(Inputs!$B$22+((C1635=TRUE)*(F1635-Calc!F24)),Inputs!$B$23+((C1640=TRUE)*(F1640-Calc!F29)))/100+(Inputs!$B$23+((C1640=TRUE)*(F1640-Calc!F29)))/100)/2</f>
        <v/>
      </c>
      <c r="M1620">
        <f>L1620*(1+(Inputs!$B$10+0+B1649)/100)</f>
        <v/>
      </c>
      <c r="N1620">
        <f>L1620*(1-MIN((Inputs!$B$9+((C1631=TRUE)*(F1631-Calc!F20))+B1644),100)/100)+M1620*(MIN((Inputs!$B$9+((C1631=TRUE)*(F1631-Calc!F20))+B1644),100)/100)</f>
        <v/>
      </c>
      <c r="O1620">
        <f>(1-Summary!$B$55)*T1620+Summary!$B$55*V1620</f>
        <v/>
      </c>
      <c r="P1620">
        <f>IF(B1654=0,0,O1620/B1654)</f>
        <v/>
      </c>
      <c r="Q1620">
        <f>IFERROR(1/IF(Inputs!$B$38="pvp",15,MAX(0.1,Skills!D9-IF(Skills!E9=TRUE,4.5,0))),0)</f>
        <v/>
      </c>
      <c r="R1620">
        <f>IF(AND(Inputs!$B$38&lt;&gt;"pvp",Inputs!$B$43&gt;0),IF(MAX(0,Inputs!$B$43-B1651)&lt;=0,0,(INT(MAX(0,Inputs!$B$43-B1651)/IF(Inputs!$B$38="pvp",15,MAX(0.1,Skills!D9-IF(Skills!E9=TRUE,4.5,0))))+1)),0)</f>
        <v/>
      </c>
      <c r="S1620">
        <f>IFERROR(O1620/N1620,0)</f>
        <v/>
      </c>
      <c r="T1620">
        <f>IF(C1620,(H1620*N1620*IF(AND(Inputs!$B$38&lt;&gt;"pvp",Inputs!$B$43&gt;0),((Skills!G9*((R1620-1)*IF(Skills!H9&gt;0,Skills!I9/Skills!H9,1)+IF(Skills!H9&gt;0,MIN(Skills!I9,MAX(0,MAX(0,Inputs!$B$43-B1651)-((R1620-1)*IF(Inputs!$B$38="pvp",15,MAX(0.1,Skills!D9-IF(Skills!E9=TRUE,4.5,0))))))/Skills!H9,1)))/Inputs!$B$43),G1620*Q1620))*IF(Inputs!$B$38="pvp",1,1+(Inputs!$B$20+0+Skills!P9)/100),0)</f>
        <v/>
      </c>
      <c r="V1620">
        <f>IF(C1620,(H1620*N1620*IF(AND(Inputs!$B$38&lt;&gt;"pvp",Inputs!$B$43&gt;0),((Skills!G9*((R1620-1)*IF(Skills!H9&gt;0,Skills!I9/Skills!H9,1)+IF(Skills!H9&gt;0,MIN(Skills!I9,MAX(0,MAX(0,Inputs!$B$43-B1651)-((R1620-1)*IF(Inputs!$B$38="pvp",15,MAX(0.1,Skills!D9-IF(Skills!E9=TRUE,4.5,0))))))/Skills!H9,1)))/Inputs!$B$43),G1620*Q1620))*IF(Inputs!$B$38="pvp",1,(1+(Inputs!$B$21+Skills!Q9)/100)*(MIN(Skills!R9,Inputs!$B$37))),0)</f>
        <v/>
      </c>
    </row>
    <row r="1621">
      <c r="A1621">
        <f>Skills!A10</f>
        <v/>
      </c>
      <c r="B1621">
        <f>Skills!B10</f>
        <v/>
      </c>
      <c r="C1621">
        <f>Inputs!$B$3&gt;=100</f>
        <v/>
      </c>
      <c r="D1621">
        <f>IF(Skills!C10=1,60+Inputs!$B$25+Inputs!$B$29,IF(Skills!C10=2,90+Inputs!$B$26+Inputs!$B$29,IF(Skills!C10=3,120+Inputs!$B$27+Inputs!$B$29,MAX(0,(Inputs!$B$3-100)*3)+Inputs!$B$28+Inputs!$B$29)))</f>
        <v/>
      </c>
      <c r="E1621">
        <f>INDEX(FactorTable!$B$2:$Y$301, MATCH(ROUND(MIN(300,MAX(1,D1621)),0), FactorTable!$A$2:$A$301,0), Skills!M10+1)</f>
        <v/>
      </c>
      <c r="F1621">
        <f>IF(Skills!N10=TRUE,(Skills!L10/10)*(E1621/1000),Skills!L10/10)+Skills!O10</f>
        <v/>
      </c>
      <c r="G1621" t="inlineStr"/>
      <c r="H1621" t="inlineStr"/>
      <c r="I1621" t="inlineStr">
        <is>
          <t>1</t>
        </is>
      </c>
      <c r="J1621" t="inlineStr"/>
      <c r="K1621" t="inlineStr"/>
      <c r="L1621" t="inlineStr"/>
      <c r="M1621" t="inlineStr"/>
      <c r="N1621" t="inlineStr"/>
      <c r="O1621" t="inlineStr"/>
      <c r="P1621" t="inlineStr"/>
      <c r="Q1621" t="inlineStr"/>
      <c r="R1621" t="inlineStr"/>
      <c r="S1621" t="inlineStr"/>
      <c r="T1621" t="inlineStr"/>
      <c r="V1621" t="inlineStr"/>
    </row>
    <row r="1622">
      <c r="A1622">
        <f>Skills!A11</f>
        <v/>
      </c>
      <c r="B1622">
        <f>Skills!B11</f>
        <v/>
      </c>
      <c r="C1622">
        <f>Inputs!$B$3&gt;=60</f>
        <v/>
      </c>
      <c r="D1622">
        <f>IF(Skills!C11=1,60+Inputs!$B$25+Inputs!$B$29,IF(Skills!C11=2,90+Inputs!$B$26+Inputs!$B$29,IF(Skills!C11=3,120+Inputs!$B$27+Inputs!$B$29,MAX(0,(Inputs!$B$3-100)*3)+Inputs!$B$28+Inputs!$B$29)))</f>
        <v/>
      </c>
      <c r="E1622">
        <f>INDEX(FactorTable!$B$2:$Y$301, MATCH(ROUND(MIN(300,MAX(1,D1622)),0), FactorTable!$A$2:$A$301,0), Skills!M11+1)</f>
        <v/>
      </c>
      <c r="F1622">
        <f>IF(Skills!N11=TRUE,(Skills!L11/10)*(E1622/1000),Skills!L11/10)+Skills!O11</f>
        <v/>
      </c>
      <c r="G1622">
        <f>Skills!G11*IF(Skills!H11&gt;0,Skills!I11/Skills!H11,1)</f>
        <v/>
      </c>
      <c r="H1622">
        <f>1-(1-Skills!J11/100)^Skills!K11</f>
        <v/>
      </c>
      <c r="I1622" t="inlineStr">
        <is>
          <t>1</t>
        </is>
      </c>
      <c r="J1622">
        <f>((Inputs!$B$6*(1+Inputs!$B$7/100))+(((Inputs!$B$12*(1+Inputs!$B$13/100))-(Inputs!$B$12*(1+Inputs!$B$13/100)))+0.25*(Inputs!$B$14-Inputs!$B$14))*(1+Inputs!$B$7/100))*(F1622/100)</f>
        <v/>
      </c>
      <c r="K1622">
        <f>J1622*(1+((Inputs!$B$12*(1+Inputs!$B$13/100))*0.01+Inputs!$B$14*0.0025)/100)*(1+Inputs!$B$15/100)*(1+Inputs!$B$16/100)*(5000/(6000+Inputs!$B$42*(1-(Inputs!$B$19+((C1638=TRUE)*(F1638-Calc!F27)))/100)))*(1+(Inputs!$B$24+((C1636=TRUE)*(F1636-Calc!F25))+((C1637=TRUE)*(F1637-Calc!F26))+B1650)/100)*(1+IF(C1623=TRUE,F1623,0)/100)*(1+(IF(Skills!A11="ARROW_STREAM",Inputs!$B$17+((C1634=TRUE)*(F1634-Calc!F23)),Inputs!$B$18+((C1639=TRUE)*(F1639-Calc!F28))))/100)*((1+(((C1624=TRUE)*F1624)+((C1625=TRUE)*IF(Inputs!$B$38="pvp",F1625,(1-Summary!$B$55)*(F1625)+Summary!$B$55*(0)))+((C1626=TRUE)*F1626*IF(AND(Inputs!$B$38&lt;&gt;"pvp",Inputs!$B$43&gt;0),(((R1626-1)*(Skills!T15*(1+Inputs!$B$34/100))+MIN((Skills!T15*(1+Inputs!$B$34/100)),MAX(0,Inputs!$B$43-((R1626-1)*Skills!D15))))/Inputs!$B$43),IF(Inputs!$B$38="pvp",MIN((Skills!T15*(1+Inputs!$B$34/100)),15)/15,(Skills!T15*(1+Inputs!$B$34/100))/Skills!D15)))+((C1641=TRUE)*(F1641-Calc!F30)))/100)*I1622)</f>
        <v/>
      </c>
      <c r="L1622">
        <f>K1622*(MIN(Inputs!$B$22+((C1635=TRUE)*(F1635-Calc!F24)),Inputs!$B$23+((C1640=TRUE)*(F1640-Calc!F29)))/100+(Inputs!$B$23+((C1640=TRUE)*(F1640-Calc!F29)))/100)/2</f>
        <v/>
      </c>
      <c r="M1622">
        <f>L1622*(1+(Inputs!$B$10+0+B1649)/100)</f>
        <v/>
      </c>
      <c r="N1622">
        <f>L1622*(1-MIN((Inputs!$B$9+((C1631=TRUE)*(F1631-Calc!F20))+B1644),100)/100)+M1622*(MIN((Inputs!$B$9+((C1631=TRUE)*(F1631-Calc!F20))+B1644),100)/100)</f>
        <v/>
      </c>
      <c r="O1622">
        <f>(1-Summary!$B$55)*T1622+Summary!$B$55*V1622</f>
        <v/>
      </c>
      <c r="P1622">
        <f>IF(B1654=0,0,O1622/B1654)</f>
        <v/>
      </c>
      <c r="Q1622">
        <f>IFERROR(1/IF(Inputs!$B$38="pvp",15,MAX(0.1,Skills!D11-IF(Skills!E11=TRUE,4.5,0))),0)</f>
        <v/>
      </c>
      <c r="R1622">
        <f>IF(AND(Inputs!$B$38&lt;&gt;"pvp",Inputs!$B$43&gt;0),IF(MAX(0,Inputs!$B$43-B1651)&lt;=0,0,(INT(MAX(0,Inputs!$B$43-B1651)/IF(Inputs!$B$38="pvp",15,MAX(0.1,Skills!D11-IF(Skills!E11=TRUE,4.5,0))))+1)),0)</f>
        <v/>
      </c>
      <c r="S1622">
        <f>IFERROR(O1622/N1622,0)</f>
        <v/>
      </c>
      <c r="T1622">
        <f>IF(C1622,(H1622*N1622*IF(AND(Inputs!$B$38&lt;&gt;"pvp",Inputs!$B$43&gt;0),((Skills!G11*((R1622-1)*IF(Skills!H11&gt;0,Skills!I11/Skills!H11,1)+IF(Skills!H11&gt;0,MIN(Skills!I11,MAX(0,MAX(0,Inputs!$B$43-B1651)-((R1622-1)*IF(Inputs!$B$38="pvp",15,MAX(0.1,Skills!D11-IF(Skills!E11=TRUE,4.5,0))))))/Skills!H11,1)))/Inputs!$B$43),G1622*Q1622))*IF(Inputs!$B$38="pvp",1,1+(Inputs!$B$20+0+Skills!P11)/100),0)</f>
        <v/>
      </c>
      <c r="V1622">
        <f>IF(C1622,(H1622*N1622*IF(AND(Inputs!$B$38&lt;&gt;"pvp",Inputs!$B$43&gt;0),((Skills!G11*((R1622-1)*IF(Skills!H11&gt;0,Skills!I11/Skills!H11,1)+IF(Skills!H11&gt;0,MIN(Skills!I11,MAX(0,MAX(0,Inputs!$B$43-B1651)-((R1622-1)*IF(Inputs!$B$38="pvp",15,MAX(0.1,Skills!D11-IF(Skills!E11=TRUE,4.5,0))))))/Skills!H11,1)))/Inputs!$B$43),G1622*Q1622))*IF(Inputs!$B$38="pvp",1,(1+(Inputs!$B$21+Skills!Q11)/100)*(MIN(Skills!R11,Inputs!$B$37))),0)</f>
        <v/>
      </c>
    </row>
    <row r="1623">
      <c r="A1623">
        <f>Skills!A12</f>
        <v/>
      </c>
      <c r="B1623">
        <f>Skills!B12</f>
        <v/>
      </c>
      <c r="C1623">
        <f>Inputs!$B$3&gt;=110</f>
        <v/>
      </c>
      <c r="D1623">
        <f>IF(Skills!C12=1,60+Inputs!$B$25+Inputs!$B$29,IF(Skills!C12=2,90+Inputs!$B$26+Inputs!$B$29,IF(Skills!C12=3,120+Inputs!$B$27+Inputs!$B$29,MAX(0,(Inputs!$B$3-100)*3)+Inputs!$B$28+Inputs!$B$29)))</f>
        <v/>
      </c>
      <c r="E1623">
        <f>INDEX(FactorTable!$B$2:$Y$301, MATCH(ROUND(MIN(300,MAX(1,D1623)),0), FactorTable!$A$2:$A$301,0), Skills!M12+1)</f>
        <v/>
      </c>
      <c r="F1623">
        <f>IF(Skills!N12=TRUE,(Skills!L12/10)*(E1623/1000),Skills!L12/10)+Skills!O12</f>
        <v/>
      </c>
      <c r="G1623" t="inlineStr"/>
      <c r="H1623" t="inlineStr"/>
      <c r="I1623" t="inlineStr">
        <is>
          <t>1</t>
        </is>
      </c>
      <c r="J1623" t="inlineStr"/>
      <c r="K1623" t="inlineStr"/>
      <c r="L1623" t="inlineStr"/>
      <c r="M1623" t="inlineStr"/>
      <c r="N1623" t="inlineStr"/>
      <c r="O1623" t="inlineStr"/>
      <c r="P1623" t="inlineStr"/>
      <c r="Q1623" t="inlineStr"/>
      <c r="R1623" t="inlineStr"/>
      <c r="S1623" t="inlineStr"/>
      <c r="T1623" t="inlineStr"/>
      <c r="V1623" t="inlineStr"/>
    </row>
    <row r="1624">
      <c r="A1624">
        <f>Skills!A13</f>
        <v/>
      </c>
      <c r="B1624">
        <f>Skills!B13</f>
        <v/>
      </c>
      <c r="C1624">
        <f>Inputs!$B$3&gt;=74</f>
        <v/>
      </c>
      <c r="D1624">
        <f>IF(Skills!C13=1,60+Inputs!$B$25+Inputs!$B$29,IF(Skills!C13=2,90+Inputs!$B$26+Inputs!$B$29,IF(Skills!C13=3,120+Inputs!$B$27+Inputs!$B$29,MAX(0,(Inputs!$B$3-100)*3)+Inputs!$B$28+Inputs!$B$29)))</f>
        <v/>
      </c>
      <c r="E1624">
        <f>INDEX(FactorTable!$B$2:$Y$301, MATCH(ROUND(MIN(300,MAX(1,D1624)),0), FactorTable!$A$2:$A$301,0), Skills!M13+1)</f>
        <v/>
      </c>
      <c r="F1624">
        <f>IF(Skills!N13=TRUE,(Skills!L13/10)*(E1624/1000),Skills!L13/10)+Skills!O13</f>
        <v/>
      </c>
      <c r="G1624">
        <f>Skills!G13*IF(Skills!H13&gt;0,Skills!I13/Skills!H13,1)</f>
        <v/>
      </c>
      <c r="H1624">
        <f>1-(1-Skills!J13/100)^Skills!K13</f>
        <v/>
      </c>
      <c r="I1624" t="inlineStr">
        <is>
          <t>1</t>
        </is>
      </c>
      <c r="J1624" t="inlineStr"/>
      <c r="K1624" t="inlineStr"/>
      <c r="L1624" t="inlineStr"/>
      <c r="M1624" t="inlineStr"/>
      <c r="N1624" t="inlineStr"/>
      <c r="O1624">
        <f>(1-Summary!$B$55)*T1624+Summary!$B$55*V1624</f>
        <v/>
      </c>
      <c r="P1624">
        <f>IF(B1654=0,0,O1624/B1654)</f>
        <v/>
      </c>
      <c r="Q1624" t="n">
        <v>0</v>
      </c>
      <c r="R1624" t="n">
        <v>0</v>
      </c>
      <c r="S1624">
        <f>IFERROR(O1624/N1624,0)</f>
        <v/>
      </c>
      <c r="T1624" t="n">
        <v>0</v>
      </c>
      <c r="V1624" t="n">
        <v>0</v>
      </c>
    </row>
    <row r="1625">
      <c r="A1625">
        <f>Skills!A14</f>
        <v/>
      </c>
      <c r="B1625">
        <f>Skills!B14</f>
        <v/>
      </c>
      <c r="C1625">
        <f>Inputs!$B$3&gt;=74</f>
        <v/>
      </c>
      <c r="D1625">
        <f>IF(Skills!C14=1,60+Inputs!$B$25+Inputs!$B$29,IF(Skills!C14=2,90+Inputs!$B$26+Inputs!$B$29,IF(Skills!C14=3,120+Inputs!$B$27+Inputs!$B$29,MAX(0,(Inputs!$B$3-100)*3)+Inputs!$B$28+Inputs!$B$29)))</f>
        <v/>
      </c>
      <c r="E1625">
        <f>INDEX(FactorTable!$B$2:$Y$301, MATCH(ROUND(MIN(300,MAX(1,D1625)),0), FactorTable!$A$2:$A$301,0), Skills!M14+1)</f>
        <v/>
      </c>
      <c r="F1625">
        <f>IF(Skills!N14=TRUE,(Skills!L14/10)*(E1625/1000),Skills!L14/10)+Skills!O14</f>
        <v/>
      </c>
      <c r="G1625">
        <f>Skills!G14*IF(Skills!H14&gt;0,Skills!I14/Skills!H14,1)</f>
        <v/>
      </c>
      <c r="H1625">
        <f>1-(1-Skills!J14/100)^Skills!K14</f>
        <v/>
      </c>
      <c r="I1625" t="inlineStr">
        <is>
          <t>1</t>
        </is>
      </c>
      <c r="J1625" t="inlineStr"/>
      <c r="K1625" t="inlineStr"/>
      <c r="L1625" t="inlineStr"/>
      <c r="M1625" t="inlineStr"/>
      <c r="N1625" t="inlineStr"/>
      <c r="O1625">
        <f>(1-Summary!$B$55)*T1625+Summary!$B$55*V1625</f>
        <v/>
      </c>
      <c r="P1625">
        <f>IF(B1654=0,0,O1625/B1654)</f>
        <v/>
      </c>
      <c r="Q1625" t="n">
        <v>0</v>
      </c>
      <c r="R1625" t="n">
        <v>0</v>
      </c>
      <c r="S1625">
        <f>IFERROR(O1625/N1625,0)</f>
        <v/>
      </c>
      <c r="T1625" t="n">
        <v>0</v>
      </c>
      <c r="V1625" t="n">
        <v>0</v>
      </c>
    </row>
    <row r="1626">
      <c r="A1626">
        <f>Skills!A15</f>
        <v/>
      </c>
      <c r="B1626">
        <f>Skills!B15</f>
        <v/>
      </c>
      <c r="C1626">
        <f>Inputs!$B$3&gt;=117</f>
        <v/>
      </c>
      <c r="D1626">
        <f>IF(Skills!C15=1,60+Inputs!$B$25+Inputs!$B$29,IF(Skills!C15=2,90+Inputs!$B$26+Inputs!$B$29,IF(Skills!C15=3,120+Inputs!$B$27+Inputs!$B$29,MAX(0,(Inputs!$B$3-100)*3)+Inputs!$B$28+Inputs!$B$29)))</f>
        <v/>
      </c>
      <c r="E1626">
        <f>INDEX(FactorTable!$B$2:$Y$301, MATCH(ROUND(MIN(300,MAX(1,D1626)),0), FactorTable!$A$2:$A$301,0), Skills!M15+1)</f>
        <v/>
      </c>
      <c r="F1626">
        <f>IF(Skills!N15=TRUE,(Skills!L15/10)*(E1626/1000),Skills!L15/10)+Skills!O15</f>
        <v/>
      </c>
      <c r="G1626">
        <f>Skills!G15*IF(Skills!H15&gt;0,Skills!I15/Skills!H15,1)</f>
        <v/>
      </c>
      <c r="H1626">
        <f>1-(1-Skills!J15/100)^Skills!K15</f>
        <v/>
      </c>
      <c r="I1626" t="inlineStr">
        <is>
          <t>1</t>
        </is>
      </c>
      <c r="J1626" t="inlineStr"/>
      <c r="K1626" t="inlineStr"/>
      <c r="L1626" t="inlineStr"/>
      <c r="M1626" t="inlineStr"/>
      <c r="N1626" t="inlineStr"/>
      <c r="O1626">
        <f>(1-Summary!$B$55)*T1626+Summary!$B$55*V1626</f>
        <v/>
      </c>
      <c r="P1626">
        <f>IF(B1654=0,0,O1626/B1654)</f>
        <v/>
      </c>
      <c r="Q1626">
        <f>IFERROR(1/IF(Inputs!$B$38="pvp",15,MAX(0.1,Skills!D15-IF(Skills!E15=TRUE,4.5,0))),0)</f>
        <v/>
      </c>
      <c r="R1626">
        <f>IF(AND(Inputs!$B$38&lt;&gt;"pvp",Inputs!$B$43&gt;0),IF(Inputs!$B$43&lt;=0,0,(INT(Inputs!$B$43/IF(Inputs!$B$38="pvp",15,MAX(0.1,Skills!D15-IF(Skills!E15=TRUE,4.5,0))))+1)),0)</f>
        <v/>
      </c>
      <c r="S1626">
        <f>IFERROR(O1626/N1626,0)</f>
        <v/>
      </c>
      <c r="T1626" t="n">
        <v>0</v>
      </c>
      <c r="V1626" t="n">
        <v>0</v>
      </c>
    </row>
    <row r="1627">
      <c r="A1627">
        <f>Skills!A16</f>
        <v/>
      </c>
      <c r="B1627">
        <f>Skills!B16</f>
        <v/>
      </c>
      <c r="C1627">
        <f>Inputs!$B$3&gt;=115</f>
        <v/>
      </c>
      <c r="D1627">
        <f>IF(Skills!C16=1,60+Inputs!$B$25+Inputs!$B$29,IF(Skills!C16=2,90+Inputs!$B$26+Inputs!$B$29,IF(Skills!C16=3,120+Inputs!$B$27+Inputs!$B$29,MAX(0,(Inputs!$B$3-100)*3)+Inputs!$B$28+Inputs!$B$29)))</f>
        <v/>
      </c>
      <c r="E1627">
        <f>INDEX(FactorTable!$B$2:$Y$301, MATCH(ROUND(MIN(300,MAX(1,D1627)),0), FactorTable!$A$2:$A$301,0), Skills!M16+1)</f>
        <v/>
      </c>
      <c r="F1627">
        <f>IF(Skills!N16=TRUE,(Skills!L16/10)*(E1627/1000),Skills!L16/10)+Skills!O16</f>
        <v/>
      </c>
      <c r="G1627">
        <f>Skills!G16*IF(Skills!H16&gt;0,Skills!I16/Skills!H16,1)</f>
        <v/>
      </c>
      <c r="H1627">
        <f>1-(1-Skills!J16/100)^Skills!K16</f>
        <v/>
      </c>
      <c r="I1627" t="inlineStr">
        <is>
          <t>1</t>
        </is>
      </c>
      <c r="J1627" t="inlineStr"/>
      <c r="K1627" t="inlineStr"/>
      <c r="L1627" t="inlineStr"/>
      <c r="M1627" t="inlineStr"/>
      <c r="N1627" t="inlineStr"/>
      <c r="O1627">
        <f>(1-Summary!$B$55)*T1627+Summary!$B$55*V1627</f>
        <v/>
      </c>
      <c r="P1627">
        <f>IF(B1654=0,0,O1627/B1654)</f>
        <v/>
      </c>
      <c r="Q1627">
        <f>IFERROR(1/IF(Inputs!$B$38="pvp",15,MAX(0.1,Skills!D16-IF(Skills!E16=TRUE,4.5,0))),0)</f>
        <v/>
      </c>
      <c r="R1627">
        <f>IF(AND(Inputs!$B$38&lt;&gt;"pvp",Inputs!$B$43&gt;0),IF(Inputs!$B$43&lt;=0,0,(INT(Inputs!$B$43/IF(Inputs!$B$38="pvp",15,MAX(0.1,Skills!D16-IF(Skills!E16=TRUE,4.5,0))))+1)),0)</f>
        <v/>
      </c>
      <c r="S1627">
        <f>IFERROR(O1627/N1627,0)</f>
        <v/>
      </c>
      <c r="T1627" t="n">
        <v>0</v>
      </c>
      <c r="V1627" t="n">
        <v>0</v>
      </c>
    </row>
    <row r="1628">
      <c r="A1628">
        <f>Skills!A17</f>
        <v/>
      </c>
      <c r="B1628">
        <f>Skills!B17</f>
        <v/>
      </c>
      <c r="C1628">
        <f>Inputs!$B$3&gt;=66</f>
        <v/>
      </c>
      <c r="D1628">
        <f>IF(Skills!C17=1,60+Inputs!$B$25+Inputs!$B$29,IF(Skills!C17=2,90+Inputs!$B$26+Inputs!$B$29,IF(Skills!C17=3,120+Inputs!$B$27+Inputs!$B$29,MAX(0,(Inputs!$B$3-100)*3)+Inputs!$B$28+Inputs!$B$29)))</f>
        <v/>
      </c>
      <c r="E1628">
        <f>INDEX(FactorTable!$B$2:$Y$301, MATCH(ROUND(MIN(300,MAX(1,D1628)),0), FactorTable!$A$2:$A$301,0), Skills!M17+1)</f>
        <v/>
      </c>
      <c r="F1628">
        <f>IF(Skills!N17=TRUE,(Skills!L17/10)*(E1628/1000),Skills!L17/10)+Skills!O17</f>
        <v/>
      </c>
      <c r="G1628">
        <f>Skills!G17*IF(Skills!H17&gt;0,Skills!I17/Skills!H17,1)</f>
        <v/>
      </c>
      <c r="H1628">
        <f>1-(1-Skills!J17/100)^Skills!K17</f>
        <v/>
      </c>
      <c r="I1628" t="inlineStr">
        <is>
          <t>1</t>
        </is>
      </c>
      <c r="J1628" t="inlineStr"/>
      <c r="K1628" t="inlineStr"/>
      <c r="L1628" t="inlineStr"/>
      <c r="M1628" t="inlineStr"/>
      <c r="N1628" t="inlineStr"/>
      <c r="O1628">
        <f>(1-Summary!$B$55)*T1628+Summary!$B$55*V1628</f>
        <v/>
      </c>
      <c r="P1628">
        <f>IF(B1654=0,0,O1628/B1654)</f>
        <v/>
      </c>
      <c r="Q1628" t="n">
        <v>0</v>
      </c>
      <c r="R1628" t="n">
        <v>0</v>
      </c>
      <c r="S1628">
        <f>IFERROR(O1628/N1628,0)</f>
        <v/>
      </c>
      <c r="T1628" t="n">
        <v>0</v>
      </c>
      <c r="V1628" t="n">
        <v>0</v>
      </c>
    </row>
    <row r="1629">
      <c r="A1629">
        <f>Skills!A18</f>
        <v/>
      </c>
      <c r="B1629">
        <f>Skills!B18</f>
        <v/>
      </c>
      <c r="C1629">
        <f>Inputs!$B$3&gt;=72</f>
        <v/>
      </c>
      <c r="D1629">
        <f>IF(Skills!C18=1,60+Inputs!$B$25+Inputs!$B$29,IF(Skills!C18=2,90+Inputs!$B$26+Inputs!$B$29,IF(Skills!C18=3,120+Inputs!$B$27+Inputs!$B$29,MAX(0,(Inputs!$B$3-100)*3)+Inputs!$B$28+Inputs!$B$29)))</f>
        <v/>
      </c>
      <c r="E1629">
        <f>INDEX(FactorTable!$B$2:$Y$301, MATCH(ROUND(MIN(300,MAX(1,D1629)),0), FactorTable!$A$2:$A$301,0), Skills!M18+1)</f>
        <v/>
      </c>
      <c r="F1629">
        <f>IF(Skills!N18=TRUE,(Skills!L18/10)*(E1629/1000),Skills!L18/10)+Skills!O18</f>
        <v/>
      </c>
      <c r="G1629">
        <f>Skills!G18*IF(Skills!H18&gt;0,Skills!I18/Skills!H18,1)</f>
        <v/>
      </c>
      <c r="H1629">
        <f>1-(1-Skills!J18/100)^Skills!K18</f>
        <v/>
      </c>
      <c r="I1629" t="inlineStr">
        <is>
          <t>1</t>
        </is>
      </c>
      <c r="J1629" t="inlineStr"/>
      <c r="K1629" t="inlineStr"/>
      <c r="L1629" t="inlineStr"/>
      <c r="M1629" t="inlineStr"/>
      <c r="N1629" t="inlineStr"/>
      <c r="O1629">
        <f>(1-Summary!$B$55)*T1629+Summary!$B$55*V1629</f>
        <v/>
      </c>
      <c r="P1629">
        <f>IF(B1654=0,0,O1629/B1654)</f>
        <v/>
      </c>
      <c r="Q1629" t="n">
        <v>0</v>
      </c>
      <c r="R1629" t="n">
        <v>0</v>
      </c>
      <c r="S1629">
        <f>IFERROR(O1629/N1629,0)</f>
        <v/>
      </c>
      <c r="T1629" t="n">
        <v>0</v>
      </c>
      <c r="V1629" t="n">
        <v>0</v>
      </c>
    </row>
    <row r="1630">
      <c r="A1630">
        <f>Skills!A19</f>
        <v/>
      </c>
      <c r="B1630">
        <f>Skills!B19</f>
        <v/>
      </c>
      <c r="C1630">
        <f>TRUE</f>
        <v/>
      </c>
      <c r="D1630">
        <f>IF(Skills!C19=1,60+Inputs!$B$25+Inputs!$B$29,IF(Skills!C19=2,90+Inputs!$B$26+Inputs!$B$29,IF(Skills!C19=3,120+Inputs!$B$27+Inputs!$B$29,MAX(0,(Inputs!$B$3-100)*3)+Inputs!$B$28+Inputs!$B$29)))</f>
        <v/>
      </c>
      <c r="E1630">
        <f>INDEX(FactorTable!$B$2:$Y$301, MATCH(ROUND(MIN(300,MAX(1,D1630)),0), FactorTable!$A$2:$A$301,0), Skills!M19+1)</f>
        <v/>
      </c>
      <c r="F1630">
        <f>IF(Skills!N19=TRUE,(Skills!L19/10)*(E1630/1000),Skills!L19/10)+Skills!O19</f>
        <v/>
      </c>
      <c r="G1630">
        <f>Skills!G19*IF(Skills!H19&gt;0,Skills!I19/Skills!H19,1)</f>
        <v/>
      </c>
      <c r="H1630">
        <f>1-(1-Skills!J19/100)^Skills!K19</f>
        <v/>
      </c>
      <c r="I1630" t="inlineStr">
        <is>
          <t>1</t>
        </is>
      </c>
      <c r="J1630" t="inlineStr"/>
      <c r="K1630" t="inlineStr"/>
      <c r="L1630" t="inlineStr"/>
      <c r="M1630" t="inlineStr"/>
      <c r="N1630" t="inlineStr"/>
      <c r="O1630">
        <f>(1-Summary!$B$55)*T1630+Summary!$B$55*V1630</f>
        <v/>
      </c>
      <c r="P1630">
        <f>IF(B1654=0,0,O1630/B1654)</f>
        <v/>
      </c>
      <c r="Q1630">
        <f>IFERROR(1/IF(Inputs!$B$38="pvp",15,MAX(0.1,Skills!D19-IF(Skills!E19=TRUE,4.5,0))),0)</f>
        <v/>
      </c>
      <c r="R1630">
        <f>IF(AND(Inputs!$B$38&lt;&gt;"pvp",Inputs!$B$43&gt;0),IF(Inputs!$B$43&lt;=0,0,(INT(Inputs!$B$43/IF(Inputs!$B$38="pvp",15,MAX(0.1,Skills!D19-IF(Skills!E19=TRUE,4.5,0))))+1)),0)</f>
        <v/>
      </c>
      <c r="S1630">
        <f>IFERROR(O1630/N1630,0)</f>
        <v/>
      </c>
      <c r="T1630" t="n">
        <v>0</v>
      </c>
      <c r="V1630" t="n">
        <v>0</v>
      </c>
    </row>
    <row r="1631">
      <c r="A1631">
        <f>Skills!A20</f>
        <v/>
      </c>
      <c r="B1631">
        <f>Skills!B20</f>
        <v/>
      </c>
      <c r="C1631">
        <f>Inputs!$B$3&gt;=15</f>
        <v/>
      </c>
      <c r="D1631">
        <f>IF(Skills!C20=1,60+Inputs!$B$25+Inputs!$B$29,IF(Skills!C20=2,90+Inputs!$B$26+Inputs!$B$29,IF(Skills!C20=3,120+Inputs!$B$27+Inputs!$B$29,MAX(0,(Inputs!$B$3-100)*3)+Inputs!$B$28+Inputs!$B$29)))</f>
        <v/>
      </c>
      <c r="E1631">
        <f>INDEX(FactorTable!$B$2:$Y$301, MATCH(ROUND(MIN(300,MAX(1,D1631)),0), FactorTable!$A$2:$A$301,0), Skills!M20+1)</f>
        <v/>
      </c>
      <c r="F1631">
        <f>IF(Skills!N20=TRUE,(Skills!L20/10)*(E1631/1000),Skills!L20/10)+Skills!O20</f>
        <v/>
      </c>
      <c r="G1631">
        <f>Skills!G20*IF(Skills!H20&gt;0,Skills!I20/Skills!H20,1)</f>
        <v/>
      </c>
      <c r="H1631">
        <f>1-(1-Skills!J20/100)^Skills!K20</f>
        <v/>
      </c>
      <c r="I1631" t="inlineStr">
        <is>
          <t>1</t>
        </is>
      </c>
      <c r="J1631" t="inlineStr"/>
      <c r="K1631" t="inlineStr"/>
      <c r="L1631" t="inlineStr"/>
      <c r="M1631" t="inlineStr"/>
      <c r="N1631" t="inlineStr"/>
      <c r="O1631">
        <f>(1-Summary!$B$55)*T1631+Summary!$B$55*V1631</f>
        <v/>
      </c>
      <c r="P1631">
        <f>IF(B1654=0,0,O1631/B1654)</f>
        <v/>
      </c>
      <c r="Q1631" t="n">
        <v>0</v>
      </c>
      <c r="R1631" t="n">
        <v>0</v>
      </c>
      <c r="S1631">
        <f>IFERROR(O1631/N1631,0)</f>
        <v/>
      </c>
      <c r="T1631" t="n">
        <v>0</v>
      </c>
      <c r="V1631" t="n">
        <v>0</v>
      </c>
    </row>
    <row r="1632">
      <c r="A1632">
        <f>Skills!A21</f>
        <v/>
      </c>
      <c r="B1632">
        <f>Skills!B21</f>
        <v/>
      </c>
      <c r="C1632">
        <f>Inputs!$B$3&gt;=10</f>
        <v/>
      </c>
      <c r="D1632">
        <f>IF(Skills!C21=1,60+Inputs!$B$25+Inputs!$B$29,IF(Skills!C21=2,90+Inputs!$B$26+Inputs!$B$29,IF(Skills!C21=3,120+Inputs!$B$27+Inputs!$B$29,MAX(0,(Inputs!$B$3-100)*3)+Inputs!$B$28+Inputs!$B$29)))</f>
        <v/>
      </c>
      <c r="E1632">
        <f>INDEX(FactorTable!$B$2:$Y$301, MATCH(ROUND(MIN(300,MAX(1,D1632)),0), FactorTable!$A$2:$A$301,0), Skills!M21+1)</f>
        <v/>
      </c>
      <c r="F1632">
        <f>IF(Skills!N21=TRUE,(Skills!L21/10)*(E1632/1000),Skills!L21/10)+Skills!O21</f>
        <v/>
      </c>
      <c r="G1632">
        <f>Skills!G21*IF(Skills!H21&gt;0,Skills!I21/Skills!H21,1)</f>
        <v/>
      </c>
      <c r="H1632">
        <f>1-(1-Skills!J21/100)^Skills!K21</f>
        <v/>
      </c>
      <c r="I1632" t="inlineStr">
        <is>
          <t>1</t>
        </is>
      </c>
      <c r="J1632" t="inlineStr"/>
      <c r="K1632" t="inlineStr"/>
      <c r="L1632" t="inlineStr"/>
      <c r="M1632" t="inlineStr"/>
      <c r="N1632" t="inlineStr"/>
      <c r="O1632">
        <f>(1-Summary!$B$55)*T1632+Summary!$B$55*V1632</f>
        <v/>
      </c>
      <c r="P1632">
        <f>IF(B1654=0,0,O1632/B1654)</f>
        <v/>
      </c>
      <c r="Q1632" t="n">
        <v>0</v>
      </c>
      <c r="R1632" t="n">
        <v>0</v>
      </c>
      <c r="S1632">
        <f>IFERROR(O1632/N1632,0)</f>
        <v/>
      </c>
      <c r="T1632" t="n">
        <v>0</v>
      </c>
      <c r="V1632" t="n">
        <v>0</v>
      </c>
    </row>
    <row r="1633">
      <c r="A1633">
        <f>Skills!A22</f>
        <v/>
      </c>
      <c r="B1633">
        <f>Skills!B22</f>
        <v/>
      </c>
      <c r="C1633">
        <f>Inputs!$B$3&gt;=33</f>
        <v/>
      </c>
      <c r="D1633">
        <f>IF(Skills!C22=1,60+Inputs!$B$25+Inputs!$B$29,IF(Skills!C22=2,90+Inputs!$B$26+Inputs!$B$29,IF(Skills!C22=3,120+Inputs!$B$27+Inputs!$B$29,MAX(0,(Inputs!$B$3-100)*3)+Inputs!$B$28+Inputs!$B$29)))</f>
        <v/>
      </c>
      <c r="E1633">
        <f>INDEX(FactorTable!$B$2:$Y$301, MATCH(ROUND(MIN(300,MAX(1,D1633)),0), FactorTable!$A$2:$A$301,0), Skills!M22+1)</f>
        <v/>
      </c>
      <c r="F1633">
        <f>IF(Skills!N22=TRUE,(Skills!L22/10)*(E1633/1000),Skills!L22/10)+Skills!O22</f>
        <v/>
      </c>
      <c r="G1633">
        <f>Skills!G22*IF(Skills!H22&gt;0,Skills!I22/Skills!H22,1)</f>
        <v/>
      </c>
      <c r="H1633">
        <f>1-(1-Skills!J22/100)^Skills!K22</f>
        <v/>
      </c>
      <c r="I1633" t="inlineStr">
        <is>
          <t>1</t>
        </is>
      </c>
      <c r="J1633" t="inlineStr"/>
      <c r="K1633" t="inlineStr"/>
      <c r="L1633" t="inlineStr"/>
      <c r="M1633" t="inlineStr"/>
      <c r="N1633" t="inlineStr"/>
      <c r="O1633">
        <f>(1-Summary!$B$55)*T1633+Summary!$B$55*V1633</f>
        <v/>
      </c>
      <c r="P1633">
        <f>IF(B1654=0,0,O1633/B1654)</f>
        <v/>
      </c>
      <c r="Q1633" t="n">
        <v>0</v>
      </c>
      <c r="R1633" t="n">
        <v>0</v>
      </c>
      <c r="S1633">
        <f>IFERROR(O1633/N1633,0)</f>
        <v/>
      </c>
      <c r="T1633" t="n">
        <v>0</v>
      </c>
      <c r="V1633" t="n">
        <v>0</v>
      </c>
    </row>
    <row r="1634">
      <c r="A1634">
        <f>Skills!A23</f>
        <v/>
      </c>
      <c r="B1634">
        <f>Skills!B23</f>
        <v/>
      </c>
      <c r="C1634">
        <f>Inputs!$B$3&gt;=38</f>
        <v/>
      </c>
      <c r="D1634">
        <f>IF(Skills!C23=1,60+Inputs!$B$25+Inputs!$B$29,IF(Skills!C23=2,90+Inputs!$B$26+Inputs!$B$29,IF(Skills!C23=3,120+Inputs!$B$27+Inputs!$B$29,MAX(0,(Inputs!$B$3-100)*3)+Inputs!$B$28+Inputs!$B$29)))</f>
        <v/>
      </c>
      <c r="E1634">
        <f>INDEX(FactorTable!$B$2:$Y$301, MATCH(ROUND(MIN(300,MAX(1,D1634)),0), FactorTable!$A$2:$A$301,0), Skills!M23+1)</f>
        <v/>
      </c>
      <c r="F1634">
        <f>IF(Skills!N23=TRUE,(Skills!L23/10)*(E1634/1000),Skills!L23/10)+Skills!O23</f>
        <v/>
      </c>
      <c r="G1634">
        <f>Skills!G23*IF(Skills!H23&gt;0,Skills!I23/Skills!H23,1)</f>
        <v/>
      </c>
      <c r="H1634">
        <f>1-(1-Skills!J23/100)^Skills!K23</f>
        <v/>
      </c>
      <c r="I1634" t="inlineStr">
        <is>
          <t>1</t>
        </is>
      </c>
      <c r="J1634" t="inlineStr"/>
      <c r="K1634" t="inlineStr"/>
      <c r="L1634" t="inlineStr"/>
      <c r="M1634" t="inlineStr"/>
      <c r="N1634" t="inlineStr"/>
      <c r="O1634">
        <f>(1-Summary!$B$55)*T1634+Summary!$B$55*V1634</f>
        <v/>
      </c>
      <c r="P1634">
        <f>IF(B1654=0,0,O1634/B1654)</f>
        <v/>
      </c>
      <c r="Q1634" t="n">
        <v>0</v>
      </c>
      <c r="R1634" t="n">
        <v>0</v>
      </c>
      <c r="S1634">
        <f>IFERROR(O1634/N1634,0)</f>
        <v/>
      </c>
      <c r="T1634" t="n">
        <v>0</v>
      </c>
      <c r="V1634" t="n">
        <v>0</v>
      </c>
    </row>
    <row r="1635">
      <c r="A1635">
        <f>Skills!A24</f>
        <v/>
      </c>
      <c r="B1635">
        <f>Skills!B24</f>
        <v/>
      </c>
      <c r="C1635">
        <f>Inputs!$B$3&gt;=43</f>
        <v/>
      </c>
      <c r="D1635">
        <f>IF(Skills!C24=1,60+Inputs!$B$25+Inputs!$B$29,IF(Skills!C24=2,90+Inputs!$B$26+Inputs!$B$29,IF(Skills!C24=3,120+Inputs!$B$27+Inputs!$B$29,MAX(0,(Inputs!$B$3-100)*3)+Inputs!$B$28+Inputs!$B$29)))</f>
        <v/>
      </c>
      <c r="E1635">
        <f>INDEX(FactorTable!$B$2:$Y$301, MATCH(ROUND(MIN(300,MAX(1,D1635)),0), FactorTable!$A$2:$A$301,0), Skills!M24+1)</f>
        <v/>
      </c>
      <c r="F1635">
        <f>IF(Skills!N24=TRUE,(Skills!L24/10)*(E1635/1000),Skills!L24/10)+Skills!O24</f>
        <v/>
      </c>
      <c r="G1635">
        <f>Skills!G24*IF(Skills!H24&gt;0,Skills!I24/Skills!H24,1)</f>
        <v/>
      </c>
      <c r="H1635">
        <f>1-(1-Skills!J24/100)^Skills!K24</f>
        <v/>
      </c>
      <c r="I1635" t="inlineStr">
        <is>
          <t>1</t>
        </is>
      </c>
      <c r="J1635" t="inlineStr"/>
      <c r="K1635" t="inlineStr"/>
      <c r="L1635" t="inlineStr"/>
      <c r="M1635" t="inlineStr"/>
      <c r="N1635" t="inlineStr"/>
      <c r="O1635">
        <f>(1-Summary!$B$55)*T1635+Summary!$B$55*V1635</f>
        <v/>
      </c>
      <c r="P1635">
        <f>IF(B1654=0,0,O1635/B1654)</f>
        <v/>
      </c>
      <c r="Q1635" t="n">
        <v>0</v>
      </c>
      <c r="R1635" t="n">
        <v>0</v>
      </c>
      <c r="S1635">
        <f>IFERROR(O1635/N1635,0)</f>
        <v/>
      </c>
      <c r="T1635" t="n">
        <v>0</v>
      </c>
      <c r="V1635" t="n">
        <v>0</v>
      </c>
    </row>
    <row r="1636">
      <c r="A1636">
        <f>Skills!A25</f>
        <v/>
      </c>
      <c r="B1636">
        <f>Skills!B25</f>
        <v/>
      </c>
      <c r="C1636">
        <f>Inputs!$B$3&gt;=75</f>
        <v/>
      </c>
      <c r="D1636">
        <f>IF(Skills!C25=1,60+Inputs!$B$25+Inputs!$B$29,IF(Skills!C25=2,90+Inputs!$B$26+Inputs!$B$29,IF(Skills!C25=3,120+Inputs!$B$27+Inputs!$B$29,MAX(0,(Inputs!$B$3-100)*3)+Inputs!$B$28+Inputs!$B$29)))</f>
        <v/>
      </c>
      <c r="E1636">
        <f>INDEX(FactorTable!$B$2:$Y$301, MATCH(ROUND(MIN(300,MAX(1,D1636)),0), FactorTable!$A$2:$A$301,0), Skills!M25+1)</f>
        <v/>
      </c>
      <c r="F1636">
        <f>IF(Skills!N25=TRUE,(Skills!L25/10)*(E1636/1000),Skills!L25/10)+Skills!O25</f>
        <v/>
      </c>
      <c r="G1636">
        <f>Skills!G25*IF(Skills!H25&gt;0,Skills!I25/Skills!H25,1)</f>
        <v/>
      </c>
      <c r="H1636">
        <f>1-(1-Skills!J25/100)^Skills!K25</f>
        <v/>
      </c>
      <c r="I1636" t="inlineStr">
        <is>
          <t>1</t>
        </is>
      </c>
      <c r="J1636" t="inlineStr"/>
      <c r="K1636" t="inlineStr"/>
      <c r="L1636" t="inlineStr"/>
      <c r="M1636" t="inlineStr"/>
      <c r="N1636" t="inlineStr"/>
      <c r="O1636">
        <f>(1-Summary!$B$55)*T1636+Summary!$B$55*V1636</f>
        <v/>
      </c>
      <c r="P1636">
        <f>IF(B1654=0,0,O1636/B1654)</f>
        <v/>
      </c>
      <c r="Q1636" t="n">
        <v>0</v>
      </c>
      <c r="R1636" t="n">
        <v>0</v>
      </c>
      <c r="S1636">
        <f>IFERROR(O1636/N1636,0)</f>
        <v/>
      </c>
      <c r="T1636" t="n">
        <v>0</v>
      </c>
      <c r="V1636" t="n">
        <v>0</v>
      </c>
    </row>
    <row r="1637">
      <c r="A1637">
        <f>Skills!A26</f>
        <v/>
      </c>
      <c r="B1637">
        <f>Skills!B26</f>
        <v/>
      </c>
      <c r="C1637">
        <f>Inputs!$B$3&gt;=125</f>
        <v/>
      </c>
      <c r="D1637">
        <f>IF(Skills!C26=1,60+Inputs!$B$25+Inputs!$B$29,IF(Skills!C26=2,90+Inputs!$B$26+Inputs!$B$29,IF(Skills!C26=3,120+Inputs!$B$27+Inputs!$B$29,MAX(0,(Inputs!$B$3-100)*3)+Inputs!$B$28+Inputs!$B$29)))</f>
        <v/>
      </c>
      <c r="E1637">
        <f>INDEX(FactorTable!$B$2:$Y$301, MATCH(ROUND(MIN(300,MAX(1,D1637)),0), FactorTable!$A$2:$A$301,0), Skills!M26+1)</f>
        <v/>
      </c>
      <c r="F1637">
        <f>IF(Skills!N26=TRUE,(Skills!L26/10)*(E1637/1000),Skills!L26/10)+Skills!O26</f>
        <v/>
      </c>
      <c r="G1637">
        <f>Skills!G26*IF(Skills!H26&gt;0,Skills!I26/Skills!H26,1)</f>
        <v/>
      </c>
      <c r="H1637">
        <f>1-(1-Skills!J26/100)^Skills!K26</f>
        <v/>
      </c>
      <c r="I1637" t="inlineStr">
        <is>
          <t>1</t>
        </is>
      </c>
      <c r="J1637" t="inlineStr"/>
      <c r="K1637" t="inlineStr"/>
      <c r="L1637" t="inlineStr"/>
      <c r="M1637" t="inlineStr"/>
      <c r="N1637" t="inlineStr"/>
      <c r="O1637">
        <f>(1-Summary!$B$55)*T1637+Summary!$B$55*V1637</f>
        <v/>
      </c>
      <c r="P1637">
        <f>IF(B1654=0,0,O1637/B1654)</f>
        <v/>
      </c>
      <c r="Q1637" t="n">
        <v>0</v>
      </c>
      <c r="R1637" t="n">
        <v>0</v>
      </c>
      <c r="S1637">
        <f>IFERROR(O1637/N1637,0)</f>
        <v/>
      </c>
      <c r="T1637" t="n">
        <v>0</v>
      </c>
      <c r="V1637" t="n">
        <v>0</v>
      </c>
    </row>
    <row r="1638">
      <c r="A1638">
        <f>Skills!A27</f>
        <v/>
      </c>
      <c r="B1638">
        <f>Skills!B27</f>
        <v/>
      </c>
      <c r="C1638">
        <f>Inputs!$B$3&gt;=125</f>
        <v/>
      </c>
      <c r="D1638">
        <f>IF(Skills!C27=1,60+Inputs!$B$25+Inputs!$B$29,IF(Skills!C27=2,90+Inputs!$B$26+Inputs!$B$29,IF(Skills!C27=3,120+Inputs!$B$27+Inputs!$B$29,MAX(0,(Inputs!$B$3-100)*3)+Inputs!$B$28+Inputs!$B$29)))</f>
        <v/>
      </c>
      <c r="E1638">
        <f>INDEX(FactorTable!$B$2:$Y$301, MATCH(ROUND(MIN(300,MAX(1,D1638)),0), FactorTable!$A$2:$A$301,0), Skills!M27+1)</f>
        <v/>
      </c>
      <c r="F1638">
        <f>IF(Skills!N27=TRUE,(Skills!L27/10)*(E1638/1000),Skills!L27/10)+Skills!O27</f>
        <v/>
      </c>
      <c r="G1638">
        <f>Skills!G27*IF(Skills!H27&gt;0,Skills!I27/Skills!H27,1)</f>
        <v/>
      </c>
      <c r="H1638">
        <f>1-(1-Skills!J27/100)^Skills!K27</f>
        <v/>
      </c>
      <c r="I1638" t="inlineStr">
        <is>
          <t>1</t>
        </is>
      </c>
      <c r="J1638" t="inlineStr"/>
      <c r="K1638" t="inlineStr"/>
      <c r="L1638" t="inlineStr"/>
      <c r="M1638" t="inlineStr"/>
      <c r="N1638" t="inlineStr"/>
      <c r="O1638">
        <f>(1-Summary!$B$55)*T1638+Summary!$B$55*V1638</f>
        <v/>
      </c>
      <c r="P1638">
        <f>IF(B1654=0,0,O1638/B1654)</f>
        <v/>
      </c>
      <c r="Q1638" t="n">
        <v>0</v>
      </c>
      <c r="R1638" t="n">
        <v>0</v>
      </c>
      <c r="S1638">
        <f>IFERROR(O1638/N1638,0)</f>
        <v/>
      </c>
      <c r="T1638" t="n">
        <v>0</v>
      </c>
      <c r="V1638" t="n">
        <v>0</v>
      </c>
    </row>
    <row r="1639">
      <c r="A1639">
        <f>Skills!A28</f>
        <v/>
      </c>
      <c r="B1639">
        <f>Skills!B28</f>
        <v/>
      </c>
      <c r="C1639">
        <f>Inputs!$B$3&gt;=120</f>
        <v/>
      </c>
      <c r="D1639">
        <f>IF(Skills!C28=1,60+Inputs!$B$25+Inputs!$B$29,IF(Skills!C28=2,90+Inputs!$B$26+Inputs!$B$29,IF(Skills!C28=3,120+Inputs!$B$27+Inputs!$B$29,MAX(0,(Inputs!$B$3-100)*3)+Inputs!$B$28+Inputs!$B$29)))</f>
        <v/>
      </c>
      <c r="E1639">
        <f>INDEX(FactorTable!$B$2:$Y$301, MATCH(ROUND(MIN(300,MAX(1,D1639)),0), FactorTable!$A$2:$A$301,0), Skills!M28+1)</f>
        <v/>
      </c>
      <c r="F1639">
        <f>IF(Skills!N28=TRUE,(Skills!L28/10)*(E1639/1000),Skills!L28/10)+Skills!O28</f>
        <v/>
      </c>
      <c r="G1639">
        <f>Skills!G28*IF(Skills!H28&gt;0,Skills!I28/Skills!H28,1)</f>
        <v/>
      </c>
      <c r="H1639">
        <f>1-(1-Skills!J28/100)^Skills!K28</f>
        <v/>
      </c>
      <c r="I1639" t="inlineStr">
        <is>
          <t>1</t>
        </is>
      </c>
      <c r="J1639" t="inlineStr"/>
      <c r="K1639" t="inlineStr"/>
      <c r="L1639" t="inlineStr"/>
      <c r="M1639" t="inlineStr"/>
      <c r="N1639" t="inlineStr"/>
      <c r="O1639">
        <f>(1-Summary!$B$55)*T1639+Summary!$B$55*V1639</f>
        <v/>
      </c>
      <c r="P1639">
        <f>IF(B1654=0,0,O1639/B1654)</f>
        <v/>
      </c>
      <c r="Q1639" t="n">
        <v>0</v>
      </c>
      <c r="R1639" t="n">
        <v>0</v>
      </c>
      <c r="S1639">
        <f>IFERROR(O1639/N1639,0)</f>
        <v/>
      </c>
      <c r="T1639" t="n">
        <v>0</v>
      </c>
      <c r="V1639" t="n">
        <v>0</v>
      </c>
    </row>
    <row r="1640">
      <c r="A1640">
        <f>Skills!A29</f>
        <v/>
      </c>
      <c r="B1640">
        <f>Skills!B29</f>
        <v/>
      </c>
      <c r="C1640">
        <f>Inputs!$B$3&gt;=120</f>
        <v/>
      </c>
      <c r="D1640">
        <f>IF(Skills!C29=1,60+Inputs!$B$25+Inputs!$B$29,IF(Skills!C29=2,90+Inputs!$B$26+Inputs!$B$29,IF(Skills!C29=3,120+Inputs!$B$27+Inputs!$B$29,MAX(0,(Inputs!$B$3-100)*3)+Inputs!$B$28+Inputs!$B$29)))</f>
        <v/>
      </c>
      <c r="E1640">
        <f>INDEX(FactorTable!$B$2:$Y$301, MATCH(ROUND(MIN(300,MAX(1,D1640)),0), FactorTable!$A$2:$A$301,0), Skills!M29+1)</f>
        <v/>
      </c>
      <c r="F1640">
        <f>IF(Skills!N29=TRUE,(Skills!L29/10)*(E1640/1000),Skills!L29/10)+Skills!O29</f>
        <v/>
      </c>
      <c r="G1640">
        <f>Skills!G29*IF(Skills!H29&gt;0,Skills!I29/Skills!H29,1)</f>
        <v/>
      </c>
      <c r="H1640">
        <f>1-(1-Skills!J29/100)^Skills!K29</f>
        <v/>
      </c>
      <c r="I1640" t="inlineStr">
        <is>
          <t>1</t>
        </is>
      </c>
      <c r="J1640" t="inlineStr"/>
      <c r="K1640" t="inlineStr"/>
      <c r="L1640" t="inlineStr"/>
      <c r="M1640" t="inlineStr"/>
      <c r="N1640" t="inlineStr"/>
      <c r="O1640">
        <f>(1-Summary!$B$55)*T1640+Summary!$B$55*V1640</f>
        <v/>
      </c>
      <c r="P1640">
        <f>IF(B1654=0,0,O1640/B1654)</f>
        <v/>
      </c>
      <c r="Q1640" t="n">
        <v>0</v>
      </c>
      <c r="R1640" t="n">
        <v>0</v>
      </c>
      <c r="S1640">
        <f>IFERROR(O1640/N1640,0)</f>
        <v/>
      </c>
      <c r="T1640" t="n">
        <v>0</v>
      </c>
      <c r="V1640" t="n">
        <v>0</v>
      </c>
    </row>
    <row r="1641">
      <c r="A1641">
        <f>Skills!A30</f>
        <v/>
      </c>
      <c r="B1641">
        <f>Skills!B30</f>
        <v/>
      </c>
      <c r="C1641">
        <f>Inputs!$B$3&gt;=45</f>
        <v/>
      </c>
      <c r="D1641">
        <f>IF(Skills!C30=1,60+Inputs!$B$25+Inputs!$B$29,IF(Skills!C30=2,90+Inputs!$B$26+Inputs!$B$29,IF(Skills!C30=3,120+Inputs!$B$27+Inputs!$B$29,MAX(0,(Inputs!$B$3-100)*3)+Inputs!$B$28+Inputs!$B$29)))</f>
        <v/>
      </c>
      <c r="E1641">
        <f>INDEX(FactorTable!$B$2:$Y$301, MATCH(ROUND(MIN(300,MAX(1,D1641)),0), FactorTable!$A$2:$A$301,0), Skills!M30+1)</f>
        <v/>
      </c>
      <c r="F1641">
        <f>IF(Skills!N30=TRUE,(Skills!L30/10)*(E1641/1000),Skills!L30/10)+Skills!O30</f>
        <v/>
      </c>
      <c r="G1641">
        <f>Skills!G30*IF(Skills!H30&gt;0,Skills!I30/Skills!H30,1)</f>
        <v/>
      </c>
      <c r="H1641">
        <f>1-(1-Skills!J30/100)^Skills!K30</f>
        <v/>
      </c>
      <c r="I1641" t="inlineStr">
        <is>
          <t>1</t>
        </is>
      </c>
      <c r="J1641" t="inlineStr"/>
      <c r="K1641" t="inlineStr"/>
      <c r="L1641" t="inlineStr"/>
      <c r="M1641" t="inlineStr"/>
      <c r="N1641" t="inlineStr"/>
      <c r="O1641">
        <f>(1-Summary!$B$55)*T1641+Summary!$B$55*V1641</f>
        <v/>
      </c>
      <c r="P1641">
        <f>IF(B1654=0,0,O1641/B1654)</f>
        <v/>
      </c>
      <c r="Q1641" t="n">
        <v>0</v>
      </c>
      <c r="R1641" t="n">
        <v>0</v>
      </c>
      <c r="S1641">
        <f>IFERROR(O1641/N1641,0)</f>
        <v/>
      </c>
      <c r="T1641" t="n">
        <v>0</v>
      </c>
      <c r="V1641" t="n">
        <v>0</v>
      </c>
    </row>
    <row r="1643">
      <c r="A1643" t="inlineStr">
        <is>
          <t>Attack% Bucket Multiplier</t>
        </is>
      </c>
      <c r="B1643">
        <f>(1+(((C1624=TRUE)*F1624)+((C1625=TRUE)*IF(Inputs!$B$38="pvp",F1625,(1-Summary!$B$55)*(F1625)+Summary!$B$55*(0)))+((C1626=TRUE)*F1626*IF(AND(Inputs!$B$38&lt;&gt;"pvp",Inputs!$B$43&gt;0),(((R1626-1)*(Skills!T15*(1+Inputs!$B$34/100))+MIN((Skills!T15*(1+Inputs!$B$34/100)),MAX(0,Inputs!$B$43-((R1626-1)*Skills!D15))))/Inputs!$B$43),IF(Inputs!$B$38="pvp",MIN((Skills!T15*(1+Inputs!$B$34/100)),15)/15,(Skills!T15*(1+Inputs!$B$34/100))/Skills!D15)))+((C1641=TRUE)*(F1641-Calc!F30)))/100)</f>
        <v/>
      </c>
    </row>
    <row r="1644">
      <c r="A1644" t="inlineStr">
        <is>
          <t>Global Crit Rate Bonus %</t>
        </is>
      </c>
      <c r="B1644">
        <f>(C1627=TRUE)*20*IF(AND(Inputs!$B$38&lt;&gt;"pvp",Inputs!$B$43&gt;0),(((R1627-1)*(Skills!T16*(1+Inputs!$B$34/100))+MIN((Skills!T16*(1+Inputs!$B$34/100)),MAX(0,Inputs!$B$43-((R1627-1)*Skills!D16))))/Inputs!$B$43),IF(Inputs!$B$38="pvp",MIN((Skills!T16*(1+Inputs!$B$34/100)),15)/15,(Skills!T16*(1+Inputs!$B$34/100))/Skills!D16))</f>
        <v/>
      </c>
    </row>
    <row r="1645">
      <c r="A1645" t="inlineStr">
        <is>
          <t>Attack Speed Buff Bonus %</t>
        </is>
      </c>
      <c r="B1645">
        <f>((C1630=TRUE)*F1630*IF(AND(Inputs!$B$38&lt;&gt;"pvp",Inputs!$B$43&gt;0),(((R1630-1)*(Skills!T19*(1+Inputs!$B$34/100))+MIN((Skills!T19*(1+Inputs!$B$34/100)),MAX(0,Inputs!$B$43-((R1630-1)*Skills!D19))))/Inputs!$B$43),IF(Inputs!$B$38="pvp",MIN((Skills!T19*(1+Inputs!$B$34/100)),15)/15,(Skills!T19*(1+Inputs!$B$34/100))/Skills!D19)))</f>
        <v/>
      </c>
    </row>
    <row r="1646">
      <c r="A1646" t="inlineStr">
        <is>
          <t>Actions Per Second</t>
        </is>
      </c>
      <c r="B1646">
        <f>1+MIN(150,150*(1-(1-(Inputs!$B$11+((C1632=TRUE)*(F1632-Calc!F21))+((C1633=TRUE)*(F1633-Calc!F22)))/150)*(1-B1645/150)))/100</f>
        <v/>
      </c>
    </row>
    <row r="1647">
      <c r="A1647" t="inlineStr">
        <is>
          <t>Skill + Buff Cast Rate</t>
        </is>
      </c>
      <c r="B1647">
        <f>IF(AND(Inputs!$B$38&lt;&gt;"pvp",Inputs!$B$43&gt;0),SUMPRODUCT((Skills!E2:E30=TRUE)*(C1613:C1641=TRUE)*R1613:R1641*Skills!F2:F30)/Inputs!$B$43,SUMPRODUCT((Skills!E2:E30=TRUE)*(C1613:C1641=TRUE)*Q1613:Q1641*Skills!F2:F30))</f>
        <v/>
      </c>
    </row>
    <row r="1648">
      <c r="A1648" t="inlineStr">
        <is>
          <t>Arrow Stream Casts Per Second</t>
        </is>
      </c>
      <c r="B1648">
        <f>MAX(0,B1646-B1647)</f>
        <v/>
      </c>
    </row>
    <row r="1649">
      <c r="A1649" t="inlineStr">
        <is>
          <t>Global Critical Damage Bonus % (Sharp Eyes + Concentration)</t>
        </is>
      </c>
      <c r="B1649">
        <f>(C1627=TRUE)*F1627*IF(AND(Inputs!$B$38&lt;&gt;"pvp",Inputs!$B$43&gt;0),(((R1627-1)*(Skills!T16*(1+Inputs!$B$34/100))+MIN((Skills!T16*(1+Inputs!$B$34/100)),MAX(0,Inputs!$B$43-((R1627-1)*Skills!D16))))/Inputs!$B$43),IF(Inputs!$B$38="pvp",MIN((Skills!T16*(1+Inputs!$B$34/100)),15)/15,(Skills!T16*(1+Inputs!$B$34/100))/Skills!D16))+(C1628=TRUE)*30</f>
        <v/>
      </c>
    </row>
    <row r="1650">
      <c r="A1650" t="inlineStr">
        <is>
          <t>Global Final Damage Bonus % (Mortal Blow)</t>
        </is>
      </c>
      <c r="B1650">
        <f>(C1629=TRUE)*F1629</f>
        <v/>
      </c>
    </row>
    <row r="1651">
      <c r="A1651" t="inlineStr">
        <is>
          <t>Buff-Casting Startup Delay (s, fixed-duration only)</t>
        </is>
      </c>
      <c r="B1651">
        <f>IF(AND(Inputs!$B$38&lt;&gt;"pvp",Inputs!$B$43&gt;0),SUMPRODUCT((Skills!T2:T30&gt;0)*(Skills!E2:E30=TRUE)*(C1613:C1641=TRUE))/B1646,0)</f>
        <v/>
      </c>
    </row>
    <row r="1652">
      <c r="A1652" t="inlineStr">
        <is>
          <t>Boss-Only Total DPS (this block's swept value)</t>
        </is>
      </c>
      <c r="B1652">
        <f>SUM(T1613:T1641)</f>
        <v/>
      </c>
    </row>
    <row r="1653">
      <c r="A1653" t="inlineStr">
        <is>
          <t>Normal-Only Total DPS (this block's swept value)</t>
        </is>
      </c>
      <c r="B1653">
        <f>SUM(V1613:V1641)</f>
        <v/>
      </c>
    </row>
    <row r="1654">
      <c r="A1654" s="5" t="inlineStr">
        <is>
          <t>TOTAL DPS</t>
        </is>
      </c>
      <c r="B1654" s="5">
        <f>SUM(O1613:O1641)</f>
        <v/>
      </c>
    </row>
    <row r="1657">
      <c r="A1657" s="5" t="inlineStr">
        <is>
          <t>Stat: CDR = 5.0s</t>
        </is>
      </c>
    </row>
    <row r="1658">
      <c r="A1658" s="9" t="inlineStr">
        <is>
          <t>Key</t>
        </is>
      </c>
      <c r="B1658" s="9" t="inlineStr">
        <is>
          <t>Name</t>
        </is>
      </c>
      <c r="C1658" s="9" t="inlineStr">
        <is>
          <t>Unlocked</t>
        </is>
      </c>
      <c r="D1658" s="9" t="inlineStr">
        <is>
          <t>InputLevel</t>
        </is>
      </c>
      <c r="E1658" s="9" t="inlineStr">
        <is>
          <t>Factor</t>
        </is>
      </c>
      <c r="F1658" s="9" t="inlineStr">
        <is>
          <t>CoefficientPercent</t>
        </is>
      </c>
      <c r="G1658" s="9" t="inlineStr">
        <is>
          <t>EffectiveHits</t>
        </is>
      </c>
      <c r="H1658" s="9" t="inlineStr">
        <is>
          <t>ProcProbability</t>
        </is>
      </c>
      <c r="I1658" s="9" t="inlineStr">
        <is>
          <t>MapleHeroMultiplier</t>
        </is>
      </c>
      <c r="J1658" s="9" t="inlineStr">
        <is>
          <t>BaseDamage</t>
        </is>
      </c>
      <c r="K1658" s="9" t="inlineStr">
        <is>
          <t>BaseHitDamage</t>
        </is>
      </c>
      <c r="L1658" s="9" t="inlineStr">
        <is>
          <t>NonCritAvg</t>
        </is>
      </c>
      <c r="M1658" s="9" t="inlineStr">
        <is>
          <t>CritAvg</t>
        </is>
      </c>
      <c r="N1658" s="9" t="inlineStr">
        <is>
          <t>ExpectedDamage(perHit)</t>
        </is>
      </c>
      <c r="O1658" s="9" t="inlineStr">
        <is>
          <t>DPS</t>
        </is>
      </c>
      <c r="P1658" s="9" t="inlineStr">
        <is>
          <t>% of Total</t>
        </is>
      </c>
      <c r="Q1658" s="9" t="inlineStr">
        <is>
          <t>InvCooldown</t>
        </is>
      </c>
      <c r="R1658" s="9" t="inlineStr">
        <is>
          <t>CastsInFight</t>
        </is>
      </c>
      <c r="S1658" s="9" t="inlineStr">
        <is>
          <t>HitRate(perSec)</t>
        </is>
      </c>
      <c r="U1658" t="inlineStr">
        <is>
          <t>helpers</t>
        </is>
      </c>
    </row>
    <row r="1659">
      <c r="A1659">
        <f>Skills!A2</f>
        <v/>
      </c>
      <c r="B1659">
        <f>Skills!B2</f>
        <v/>
      </c>
      <c r="C1659">
        <f>Inputs!$B$3&gt;=100</f>
        <v/>
      </c>
      <c r="D1659" t="inlineStr"/>
      <c r="E1659" t="inlineStr"/>
      <c r="F1659">
        <f>U1661+Skills!O2</f>
        <v/>
      </c>
      <c r="G1659">
        <f>Skills!G2*IF(Skills!H2&gt;0,Skills!I2/Skills!H2,1)</f>
        <v/>
      </c>
      <c r="H1659">
        <f>1-(1-Skills!J2/100)^Skills!K2</f>
        <v/>
      </c>
      <c r="I1659" t="inlineStr">
        <is>
          <t>1</t>
        </is>
      </c>
      <c r="J1659">
        <f>((Inputs!$B$6*(1+Inputs!$B$7/100))+(((Inputs!$B$12*(1+Inputs!$B$13/100))-(Inputs!$B$12*(1+Inputs!$B$13/100)))+0.25*(Inputs!$B$14-Inputs!$B$14))*(1+Inputs!$B$7/100))*(F1659/100)</f>
        <v/>
      </c>
      <c r="K1659">
        <f>J1659*(1+((Inputs!$B$12*(1+Inputs!$B$13/100))*0.01+Inputs!$B$14*0.0025)/100)*(1+Inputs!$B$15/100)*(1+Inputs!$B$16/100)*(5000/(6000+Inputs!$B$42*(1-(Inputs!$B$19+((C1684=TRUE)*(F1684-Calc!F27)))/100)))*(1+(Inputs!$B$24+((C1682=TRUE)*(F1682-Calc!F25))+((C1683=TRUE)*(F1683-Calc!F26))+B1696)/100)*(1+(IF(Skills!A2="ARROW_STREAM",Inputs!$B$17+((C1680=TRUE)*(F1680-Calc!F23)),Inputs!$B$18+((C1685=TRUE)*(F1685-Calc!F28))))/100)*((1+(((C1670=TRUE)*F1670)+((C1671=TRUE)*IF(Inputs!$B$38="pvp",F1671,(1-Summary!$B$55)*(F1671)+Summary!$B$55*(0)))+((C1672=TRUE)*F1672*IF(AND(Inputs!$B$38&lt;&gt;"pvp",Inputs!$B$43&gt;0),(((R1672-1)*(Skills!T15*(1+Inputs!$B$34/100))+MIN((Skills!T15*(1+Inputs!$B$34/100)),MAX(0,Inputs!$B$43-((R1672-1)*Skills!D15))))/Inputs!$B$43),IF(Inputs!$B$38="pvp",MIN((Skills!T15*(1+Inputs!$B$34/100)),15)/15,(Skills!T15*(1+Inputs!$B$34/100))/Skills!D15)))+((C1687=TRUE)*(F1687-Calc!F30)))/100)*I1659)</f>
        <v/>
      </c>
      <c r="L1659">
        <f>K1659*(MIN(Inputs!$B$22+((C1681=TRUE)*(F1681-Calc!F24)),Inputs!$B$23+((C1686=TRUE)*(F1686-Calc!F29)))/100+(Inputs!$B$23+((C1686=TRUE)*(F1686-Calc!F29)))/100)/2</f>
        <v/>
      </c>
      <c r="M1659">
        <f>L1659*(1+(Inputs!$B$10+0+B1695)/100)</f>
        <v/>
      </c>
      <c r="N1659">
        <f>L1659*(1-MIN((Inputs!$B$9+((C1677=TRUE)*(F1677-Calc!F20))+B1690),100)/100)+M1659*(MIN((Inputs!$B$9+((C1677=TRUE)*(F1677-Calc!F20))+B1690),100)/100)</f>
        <v/>
      </c>
      <c r="O1659">
        <f>(1-Summary!$B$55)*T1659+Summary!$B$55*V1659</f>
        <v/>
      </c>
      <c r="P1659">
        <f>IF(B1700=0,0,O1659/B1700)</f>
        <v/>
      </c>
      <c r="Q1659" t="n">
        <v>0</v>
      </c>
      <c r="R1659" t="n">
        <v>0</v>
      </c>
      <c r="S1659">
        <f>IFERROR(O1659/N1659,0)</f>
        <v/>
      </c>
      <c r="T1659">
        <f>IF(C1659,(Skills!G2*N1659*B1694)*IF(Inputs!$B$38="pvp",1,1+(Inputs!$B$20+0+Skills!P2)/100),0)</f>
        <v/>
      </c>
      <c r="U1659">
        <f>MAX(0,(Inputs!$B$3-100)*3)+Inputs!$B$28+Inputs!$B$29</f>
        <v/>
      </c>
      <c r="V1659">
        <f>IF(C1659,(Skills!G2*N1659*B1694)*IF(Inputs!$B$38="pvp",1,(1+(Inputs!$B$21+Skills!Q2)/100)*(MIN((6+Inputs!$B$33),Inputs!$B$37))),0)</f>
        <v/>
      </c>
    </row>
    <row r="1660">
      <c r="A1660">
        <f>Skills!A3</f>
        <v/>
      </c>
      <c r="B1660">
        <f>Skills!B3</f>
        <v/>
      </c>
      <c r="C1660">
        <f>Inputs!$B$3&gt;=50</f>
        <v/>
      </c>
      <c r="D1660">
        <f>IF(Skills!C3=1,60+Inputs!$B$25+Inputs!$B$29,IF(Skills!C3=2,90+Inputs!$B$26+Inputs!$B$29,IF(Skills!C3=3,120+Inputs!$B$27+Inputs!$B$29,MAX(0,(Inputs!$B$3-100)*3)+Inputs!$B$28+Inputs!$B$29)))</f>
        <v/>
      </c>
      <c r="E1660">
        <f>INDEX(FactorTable!$B$2:$Y$301, MATCH(ROUND(MIN(300,MAX(1,D1660)),0), FactorTable!$A$2:$A$301,0), Skills!M3+1)</f>
        <v/>
      </c>
      <c r="F1660">
        <f>IF(Skills!N3=TRUE,(Skills!L3/10)*(E1660/1000),Skills!L3/10)+Skills!O3</f>
        <v/>
      </c>
      <c r="G1660" t="inlineStr"/>
      <c r="H1660" t="inlineStr"/>
      <c r="I1660" t="inlineStr">
        <is>
          <t>1</t>
        </is>
      </c>
      <c r="J1660" t="inlineStr"/>
      <c r="K1660" t="inlineStr"/>
      <c r="L1660" t="inlineStr"/>
      <c r="M1660" t="inlineStr"/>
      <c r="N1660" t="inlineStr"/>
      <c r="O1660" t="inlineStr"/>
      <c r="P1660" t="inlineStr"/>
      <c r="Q1660" t="inlineStr"/>
      <c r="R1660" t="inlineStr"/>
      <c r="S1660" t="inlineStr"/>
      <c r="T1660" t="inlineStr"/>
      <c r="U1660">
        <f>INDEX(FactorTable!$B$2:$Y$301, MATCH(ROUND(MIN(300,MAX(1,U1659)),0), FactorTable!$A$2:$A$301,0), 22)</f>
        <v/>
      </c>
      <c r="V1660" t="inlineStr"/>
    </row>
    <row r="1661">
      <c r="A1661">
        <f>Skills!A4</f>
        <v/>
      </c>
      <c r="B1661">
        <f>Skills!B4</f>
        <v/>
      </c>
      <c r="C1661">
        <f>Inputs!$B$3&gt;=105</f>
        <v/>
      </c>
      <c r="D1661">
        <f>IF(Skills!C4=1,60+Inputs!$B$25+Inputs!$B$29,IF(Skills!C4=2,90+Inputs!$B$26+Inputs!$B$29,IF(Skills!C4=3,120+Inputs!$B$27+Inputs!$B$29,MAX(0,(Inputs!$B$3-100)*3)+Inputs!$B$28+Inputs!$B$29)))</f>
        <v/>
      </c>
      <c r="E1661">
        <f>INDEX(FactorTable!$B$2:$Y$301, MATCH(ROUND(MIN(300,MAX(1,D1661)),0), FactorTable!$A$2:$A$301,0), Skills!M4+1)</f>
        <v/>
      </c>
      <c r="F1661">
        <f>IF(Skills!N4=TRUE,(Skills!L4/10)*(E1661/1000),Skills!L4/10)+Skills!O4</f>
        <v/>
      </c>
      <c r="G1661" t="inlineStr"/>
      <c r="H1661" t="inlineStr"/>
      <c r="I1661" t="inlineStr">
        <is>
          <t>1</t>
        </is>
      </c>
      <c r="J1661" t="inlineStr"/>
      <c r="K1661" t="inlineStr"/>
      <c r="L1661" t="inlineStr"/>
      <c r="M1661" t="inlineStr"/>
      <c r="N1661" t="inlineStr"/>
      <c r="O1661" t="inlineStr"/>
      <c r="P1661" t="inlineStr"/>
      <c r="Q1661" t="inlineStr"/>
      <c r="R1661" t="inlineStr"/>
      <c r="S1661" t="inlineStr"/>
      <c r="T1661" t="inlineStr"/>
      <c r="U1661">
        <f>290*U1660/1000</f>
        <v/>
      </c>
      <c r="V1661" t="inlineStr"/>
    </row>
    <row r="1662">
      <c r="A1662">
        <f>Skills!A5</f>
        <v/>
      </c>
      <c r="B1662">
        <f>Skills!B5</f>
        <v/>
      </c>
      <c r="C1662">
        <f>Inputs!$B$3&gt;=35</f>
        <v/>
      </c>
      <c r="D1662">
        <f>IF(Skills!C5=1,60+Inputs!$B$25+Inputs!$B$29,IF(Skills!C5=2,90+Inputs!$B$26+Inputs!$B$29,IF(Skills!C5=3,120+Inputs!$B$27+Inputs!$B$29,MAX(0,(Inputs!$B$3-100)*3)+Inputs!$B$28+Inputs!$B$29)))</f>
        <v/>
      </c>
      <c r="E1662">
        <f>INDEX(FactorTable!$B$2:$Y$301, MATCH(ROUND(MIN(300,MAX(1,D1662)),0), FactorTable!$A$2:$A$301,0), Skills!M5+1)</f>
        <v/>
      </c>
      <c r="F1662">
        <f>IF(Skills!N5=TRUE,(Skills!L5/10)*(E1662/1000),Skills!L5/10)+Skills!O5</f>
        <v/>
      </c>
      <c r="G1662">
        <f>Skills!G5*IF(Skills!H5&gt;0,Skills!I5/Skills!H5,1)</f>
        <v/>
      </c>
      <c r="H1662">
        <f>1-(1-Skills!J5/100)^Skills!K5</f>
        <v/>
      </c>
      <c r="I1662" t="inlineStr">
        <is>
          <t>1</t>
        </is>
      </c>
      <c r="J1662">
        <f>((Inputs!$B$6*(1+Inputs!$B$7/100))+(((Inputs!$B$12*(1+Inputs!$B$13/100))-(Inputs!$B$12*(1+Inputs!$B$13/100)))+0.25*(Inputs!$B$14-Inputs!$B$14))*(1+Inputs!$B$7/100))*(F1662/100)</f>
        <v/>
      </c>
      <c r="K1662">
        <f>J1662*(1+((Inputs!$B$12*(1+Inputs!$B$13/100))*0.01+Inputs!$B$14*0.0025)/100)*(1+Inputs!$B$15/100)*(1+Inputs!$B$16/100)*(5000/(6000+Inputs!$B$42*(1-(Inputs!$B$19+((C1684=TRUE)*(F1684-Calc!F27)))/100)))*(1+(Inputs!$B$24+((C1682=TRUE)*(F1682-Calc!F25))+((C1683=TRUE)*(F1683-Calc!F26))+B1696)/100)*(1+4.0*IF(C1667=TRUE,F1667,0)/100)*(1+(IF(Skills!A5="ARROW_STREAM",Inputs!$B$17+((C1680=TRUE)*(F1680-Calc!F23)),Inputs!$B$18+((C1685=TRUE)*(F1685-Calc!F28))))/100)*((1+(((C1670=TRUE)*F1670)+((C1671=TRUE)*IF(Inputs!$B$38="pvp",F1671,(1-Summary!$B$55)*(F1671)+Summary!$B$55*(0)))+((C1672=TRUE)*F1672*IF(AND(Inputs!$B$38&lt;&gt;"pvp",Inputs!$B$43&gt;0),(((R1672-1)*(Skills!T15*(1+Inputs!$B$34/100))+MIN((Skills!T15*(1+Inputs!$B$34/100)),MAX(0,Inputs!$B$43-((R1672-1)*Skills!D15))))/Inputs!$B$43),IF(Inputs!$B$38="pvp",MIN((Skills!T15*(1+Inputs!$B$34/100)),15)/15,(Skills!T15*(1+Inputs!$B$34/100))/Skills!D15)))+((C1687=TRUE)*(F1687-Calc!F30)))/100)*I1662)</f>
        <v/>
      </c>
      <c r="L1662">
        <f>K1662*(MIN(Inputs!$B$22+((C1681=TRUE)*(F1681-Calc!F24)),Inputs!$B$23+((C1686=TRUE)*(F1686-Calc!F29)))/100+(Inputs!$B$23+((C1686=TRUE)*(F1686-Calc!F29)))/100)/2</f>
        <v/>
      </c>
      <c r="M1662">
        <f>L1662*(1+(Inputs!$B$10+0+B1695)/100)</f>
        <v/>
      </c>
      <c r="N1662">
        <f>L1662*(1-MIN((Inputs!$B$9+((C1677=TRUE)*(F1677-Calc!F20))+B1690),100)/100)+M1662*(MIN((Inputs!$B$9+((C1677=TRUE)*(F1677-Calc!F20))+B1690),100)/100)</f>
        <v/>
      </c>
      <c r="O1662">
        <f>(1-Summary!$B$55)*T1662+Summary!$B$55*V1662</f>
        <v/>
      </c>
      <c r="P1662">
        <f>IF(B1700=0,0,O1662/B1700)</f>
        <v/>
      </c>
      <c r="Q1662">
        <f>IFERROR(1/IF(Inputs!$B$38="pvp",15,MAX(0.1,Skills!D5-IF(Skills!E5=TRUE,5.0,0))),0)</f>
        <v/>
      </c>
      <c r="R1662">
        <f>IF(AND(Inputs!$B$38&lt;&gt;"pvp",Inputs!$B$43&gt;0),IF(MAX(0,Inputs!$B$43-B1697)&lt;=0,0,(INT(MAX(0,Inputs!$B$43-B1697)/IF(Inputs!$B$38="pvp",15,MAX(0.1,Skills!D5-IF(Skills!E5=TRUE,5.0,0))))+1)),0)</f>
        <v/>
      </c>
      <c r="S1662">
        <f>IFERROR(O1662/N1662,0)</f>
        <v/>
      </c>
      <c r="T1662">
        <f>IF(C1662,(H1662*N1662*IF(AND(Inputs!$B$38&lt;&gt;"pvp",Inputs!$B$43&gt;0),((Skills!G5*((R1662-1)*IF(Skills!H5&gt;0,Skills!I5/Skills!H5,1)+IF(Skills!H5&gt;0,MIN(Skills!I5,MAX(0,MAX(0,Inputs!$B$43-B1697)-((R1662-1)*IF(Inputs!$B$38="pvp",15,MAX(0.1,Skills!D5-IF(Skills!E5=TRUE,5.0,0))))))/Skills!H5,1)))/Inputs!$B$43),G1662*Q1662))*IF(Inputs!$B$38="pvp",1,1+(Inputs!$B$20+0+Skills!P5)/100),0)</f>
        <v/>
      </c>
      <c r="V1662">
        <f>IF(C1662,(H1662*N1662*IF(AND(Inputs!$B$38&lt;&gt;"pvp",Inputs!$B$43&gt;0),((Skills!G5*((R1662-1)*IF(Skills!H5&gt;0,Skills!I5/Skills!H5,1)+IF(Skills!H5&gt;0,MIN(Skills!I5,MAX(0,MAX(0,Inputs!$B$43-B1697)-((R1662-1)*IF(Inputs!$B$38="pvp",15,MAX(0.1,Skills!D5-IF(Skills!E5=TRUE,5.0,0))))))/Skills!H5,1)))/Inputs!$B$43),G1662*Q1662))*IF(Inputs!$B$38="pvp",1,(1+(Inputs!$B$21+Skills!Q5)/100)*(MIN(Skills!R5,Inputs!$B$37))),0)</f>
        <v/>
      </c>
    </row>
    <row r="1663">
      <c r="A1663">
        <f>Skills!A6</f>
        <v/>
      </c>
      <c r="B1663">
        <f>Skills!B6</f>
        <v/>
      </c>
      <c r="C1663">
        <f>Inputs!$B$3&gt;=40</f>
        <v/>
      </c>
      <c r="D1663">
        <f>IF(Skills!C6=1,60+Inputs!$B$25+Inputs!$B$29,IF(Skills!C6=2,90+Inputs!$B$26+Inputs!$B$29,IF(Skills!C6=3,120+Inputs!$B$27+Inputs!$B$29,MAX(0,(Inputs!$B$3-100)*3)+Inputs!$B$28+Inputs!$B$29)))</f>
        <v/>
      </c>
      <c r="E1663">
        <f>INDEX(FactorTable!$B$2:$Y$301, MATCH(ROUND(MIN(300,MAX(1,D1663)),0), FactorTable!$A$2:$A$301,0), Skills!M6+1)</f>
        <v/>
      </c>
      <c r="F1663">
        <f>IF(Skills!N6=TRUE,(Skills!L6/10)*(E1663/1000),Skills!L6/10)+Skills!O6</f>
        <v/>
      </c>
      <c r="G1663">
        <f>Skills!G6*IF(Skills!H6&gt;0,Skills!I6/Skills!H6,1)</f>
        <v/>
      </c>
      <c r="H1663">
        <f>1-(1-Skills!J6/100)^Skills!K6</f>
        <v/>
      </c>
      <c r="I1663" t="inlineStr">
        <is>
          <t>1</t>
        </is>
      </c>
      <c r="J1663">
        <f>((Inputs!$B$6*(1+Inputs!$B$7/100))+(((Inputs!$B$12*(1+Inputs!$B$13/100))-(Inputs!$B$12*(1+Inputs!$B$13/100)))+0.25*(Inputs!$B$14-Inputs!$B$14))*(1+Inputs!$B$7/100))*(F1663/100)</f>
        <v/>
      </c>
      <c r="K1663">
        <f>J1663*(1+((Inputs!$B$12*(1+Inputs!$B$13/100))*0.01+Inputs!$B$14*0.0025)/100)*(1+Inputs!$B$15/100)*(1+Inputs!$B$16/100)*(5000/(6000+Inputs!$B$42*(1-(Inputs!$B$19+((C1684=TRUE)*(F1684-Calc!F27)))/100)))*(1+(Inputs!$B$24+((C1682=TRUE)*(F1682-Calc!F25))+((C1683=TRUE)*(F1683-Calc!F26))+B1696)/100)*(1+IF(C1664=TRUE,F1664,0)/100)*(1+(IF(Skills!A6="ARROW_STREAM",Inputs!$B$17+((C1680=TRUE)*(F1680-Calc!F23)),Inputs!$B$18+((C1685=TRUE)*(F1685-Calc!F28))))/100)*((1+(((C1670=TRUE)*F1670)+((C1671=TRUE)*IF(Inputs!$B$38="pvp",F1671,(1-Summary!$B$55)*(F1671)+Summary!$B$55*(0)))+((C1672=TRUE)*F1672*IF(AND(Inputs!$B$38&lt;&gt;"pvp",Inputs!$B$43&gt;0),(((R1672-1)*(Skills!T15*(1+Inputs!$B$34/100))+MIN((Skills!T15*(1+Inputs!$B$34/100)),MAX(0,Inputs!$B$43-((R1672-1)*Skills!D15))))/Inputs!$B$43),IF(Inputs!$B$38="pvp",MIN((Skills!T15*(1+Inputs!$B$34/100)),15)/15,(Skills!T15*(1+Inputs!$B$34/100))/Skills!D15)))+((C1687=TRUE)*(F1687-Calc!F30)))/100)*I1663)</f>
        <v/>
      </c>
      <c r="L1663">
        <f>K1663*(MIN(Inputs!$B$22+((C1681=TRUE)*(F1681-Calc!F24)),Inputs!$B$23+((C1686=TRUE)*(F1686-Calc!F29)))/100+(Inputs!$B$23+((C1686=TRUE)*(F1686-Calc!F29)))/100)/2</f>
        <v/>
      </c>
      <c r="M1663">
        <f>L1663*(1+(Inputs!$B$10+0+B1695)/100)</f>
        <v/>
      </c>
      <c r="N1663">
        <f>L1663*(1-MIN((Inputs!$B$9+((C1677=TRUE)*(F1677-Calc!F20))+B1690),100)/100)+M1663*(MIN((Inputs!$B$9+((C1677=TRUE)*(F1677-Calc!F20))+B1690),100)/100)</f>
        <v/>
      </c>
      <c r="O1663">
        <f>(1-Summary!$B$55)*T1663+Summary!$B$55*V1663</f>
        <v/>
      </c>
      <c r="P1663">
        <f>IF(B1700=0,0,O1663/B1700)</f>
        <v/>
      </c>
      <c r="Q1663">
        <f>IFERROR(1/IF(Inputs!$B$38="pvp",15,MAX(0.1,Skills!D6-IF(Skills!E6=TRUE,5.0,0))),0)</f>
        <v/>
      </c>
      <c r="R1663">
        <f>IF(AND(Inputs!$B$38&lt;&gt;"pvp",Inputs!$B$43&gt;0),IF(MAX(0,Inputs!$B$43-B1697)&lt;=0,0,(INT(MAX(0,Inputs!$B$43-B1697)/IF(Inputs!$B$38="pvp",15,MAX(0.1,Skills!D6-IF(Skills!E6=TRUE,5.0,0))))+1)),0)</f>
        <v/>
      </c>
      <c r="S1663">
        <f>IFERROR(O1663/N1663,0)</f>
        <v/>
      </c>
      <c r="T1663">
        <f>IF(C1663,(H1663*N1663*IF(AND(Inputs!$B$38&lt;&gt;"pvp",Inputs!$B$43&gt;0),((Skills!G6*((R1663-1)*IF(Skills!H6&gt;0,Skills!I6/Skills!H6,1)+IF(Skills!H6&gt;0,MIN(Skills!I6,MAX(0,MAX(0,Inputs!$B$43-B1697)-((R1663-1)*IF(Inputs!$B$38="pvp",15,MAX(0.1,Skills!D6-IF(Skills!E6=TRUE,5.0,0))))))/Skills!H6,1)))/Inputs!$B$43),G1663*Q1663))*IF(Inputs!$B$38="pvp",1,1+(Inputs!$B$20+0+Skills!P6)/100),0)</f>
        <v/>
      </c>
      <c r="V1663">
        <f>IF(C1663,(H1663*N1663*IF(AND(Inputs!$B$38&lt;&gt;"pvp",Inputs!$B$43&gt;0),((Skills!G6*((R1663-1)*IF(Skills!H6&gt;0,Skills!I6/Skills!H6,1)+IF(Skills!H6&gt;0,MIN(Skills!I6,MAX(0,MAX(0,Inputs!$B$43-B1697)-((R1663-1)*IF(Inputs!$B$38="pvp",15,MAX(0.1,Skills!D6-IF(Skills!E6=TRUE,5.0,0))))))/Skills!H6,1)))/Inputs!$B$43),G1663*Q1663))*IF(Inputs!$B$38="pvp",1,(1+(Inputs!$B$21+Skills!Q6)/100)*(MIN(Skills!R6,Inputs!$B$37))),0)</f>
        <v/>
      </c>
    </row>
    <row r="1664">
      <c r="A1664">
        <f>Skills!A7</f>
        <v/>
      </c>
      <c r="B1664">
        <f>Skills!B7</f>
        <v/>
      </c>
      <c r="C1664">
        <f>Inputs!$B$3&gt;=107</f>
        <v/>
      </c>
      <c r="D1664">
        <f>IF(Skills!C7=1,60+Inputs!$B$25+Inputs!$B$29,IF(Skills!C7=2,90+Inputs!$B$26+Inputs!$B$29,IF(Skills!C7=3,120+Inputs!$B$27+Inputs!$B$29,MAX(0,(Inputs!$B$3-100)*3)+Inputs!$B$28+Inputs!$B$29)))</f>
        <v/>
      </c>
      <c r="E1664">
        <f>INDEX(FactorTable!$B$2:$Y$301, MATCH(ROUND(MIN(300,MAX(1,D1664)),0), FactorTable!$A$2:$A$301,0), Skills!M7+1)</f>
        <v/>
      </c>
      <c r="F1664">
        <f>IF(Skills!N7=TRUE,(Skills!L7/10)*(E1664/1000),Skills!L7/10)+Skills!O7</f>
        <v/>
      </c>
      <c r="G1664" t="inlineStr"/>
      <c r="H1664" t="inlineStr"/>
      <c r="I1664" t="inlineStr">
        <is>
          <t>1</t>
        </is>
      </c>
      <c r="J1664" t="inlineStr"/>
      <c r="K1664" t="inlineStr"/>
      <c r="L1664" t="inlineStr"/>
      <c r="M1664" t="inlineStr"/>
      <c r="N1664" t="inlineStr"/>
      <c r="O1664" t="inlineStr"/>
      <c r="P1664" t="inlineStr"/>
      <c r="Q1664" t="inlineStr"/>
      <c r="R1664" t="inlineStr"/>
      <c r="S1664" t="inlineStr"/>
      <c r="T1664" t="inlineStr"/>
      <c r="V1664" t="inlineStr"/>
    </row>
    <row r="1665">
      <c r="A1665">
        <f>Skills!A8</f>
        <v/>
      </c>
      <c r="B1665">
        <f>Skills!B8</f>
        <v/>
      </c>
      <c r="C1665">
        <f>Inputs!$B$3&gt;=69</f>
        <v/>
      </c>
      <c r="D1665">
        <f>IF(Skills!C8=1,60+Inputs!$B$25+Inputs!$B$29,IF(Skills!C8=2,90+Inputs!$B$26+Inputs!$B$29,IF(Skills!C8=3,120+Inputs!$B$27+Inputs!$B$29,MAX(0,(Inputs!$B$3-100)*3)+Inputs!$B$28+Inputs!$B$29)))</f>
        <v/>
      </c>
      <c r="E1665">
        <f>INDEX(FactorTable!$B$2:$Y$301, MATCH(ROUND(MIN(300,MAX(1,D1665)),0), FactorTable!$A$2:$A$301,0), Skills!M8+1)</f>
        <v/>
      </c>
      <c r="F1665">
        <f>IF(Skills!N8=TRUE,(Skills!L8/10)*(E1665/1000),Skills!L8/10)+Skills!O8</f>
        <v/>
      </c>
      <c r="G1665">
        <f>Skills!G8*IF(Skills!H8&gt;0,Skills!I8/Skills!H8,1)</f>
        <v/>
      </c>
      <c r="H1665">
        <f>1-(1-Skills!J8/100)^Skills!K8</f>
        <v/>
      </c>
      <c r="I1665" t="inlineStr">
        <is>
          <t>1</t>
        </is>
      </c>
      <c r="J1665">
        <f>((Inputs!$B$6*(1+Inputs!$B$7/100))+(((Inputs!$B$12*(1+Inputs!$B$13/100))-(Inputs!$B$12*(1+Inputs!$B$13/100)))+0.25*(Inputs!$B$14-Inputs!$B$14))*(1+Inputs!$B$7/100))*(F1665/100)</f>
        <v/>
      </c>
      <c r="K1665">
        <f>J1665*(1+((Inputs!$B$12*(1+Inputs!$B$13/100))*0.01+Inputs!$B$14*0.0025)/100)*(1+Inputs!$B$15/100)*(1+Inputs!$B$16/100)*(5000/(6000+Inputs!$B$42*(1-(Inputs!$B$19+((C1684=TRUE)*(F1684-Calc!F27)))/100)))*(1+(Inputs!$B$24+((C1682=TRUE)*(F1682-Calc!F25))+((C1683=TRUE)*(F1683-Calc!F26))+B1696)/100)*(1+1.2*IF(C1667=TRUE,F1667,0)/100)*(1+(IF(Skills!A8="ARROW_STREAM",Inputs!$B$17+((C1680=TRUE)*(F1680-Calc!F23)),Inputs!$B$18+((C1685=TRUE)*(F1685-Calc!F28))))/100)*((1+(((C1670=TRUE)*F1670)+((C1671=TRUE)*IF(Inputs!$B$38="pvp",F1671,(1-Summary!$B$55)*(F1671)+Summary!$B$55*(0)))+((C1672=TRUE)*F1672*IF(AND(Inputs!$B$38&lt;&gt;"pvp",Inputs!$B$43&gt;0),(((R1672-1)*(Skills!T15*(1+Inputs!$B$34/100))+MIN((Skills!T15*(1+Inputs!$B$34/100)),MAX(0,Inputs!$B$43-((R1672-1)*Skills!D15))))/Inputs!$B$43),IF(Inputs!$B$38="pvp",MIN((Skills!T15*(1+Inputs!$B$34/100)),15)/15,(Skills!T15*(1+Inputs!$B$34/100))/Skills!D15)))+((C1687=TRUE)*(F1687-Calc!F30)))/100)*I1665)</f>
        <v/>
      </c>
      <c r="L1665">
        <f>K1665*(MIN(Inputs!$B$22+((C1681=TRUE)*(F1681-Calc!F24)),Inputs!$B$23+((C1686=TRUE)*(F1686-Calc!F29)))/100+(Inputs!$B$23+((C1686=TRUE)*(F1686-Calc!F29)))/100)/2</f>
        <v/>
      </c>
      <c r="M1665">
        <f>L1665*(1+(Inputs!$B$10+0+B1695)/100)</f>
        <v/>
      </c>
      <c r="N1665">
        <f>L1665*(1-MIN((Inputs!$B$9+((C1677=TRUE)*(F1677-Calc!F20))+B1690),100)/100)+M1665*(MIN((Inputs!$B$9+((C1677=TRUE)*(F1677-Calc!F20))+B1690),100)/100)</f>
        <v/>
      </c>
      <c r="O1665">
        <f>(1-Summary!$B$55)*T1665+Summary!$B$55*V1665</f>
        <v/>
      </c>
      <c r="P1665">
        <f>IF(B1700=0,0,O1665/B1700)</f>
        <v/>
      </c>
      <c r="Q1665">
        <f>IFERROR(1/IF(Inputs!$B$38="pvp",15,MAX(0.1,Skills!D8-IF(Skills!E8=TRUE,5.0,0))),0)</f>
        <v/>
      </c>
      <c r="R1665">
        <f>IF(AND(Inputs!$B$38&lt;&gt;"pvp",Inputs!$B$43&gt;0),IF(MAX(0,Inputs!$B$43-B1697)&lt;=0,0,(INT(MAX(0,Inputs!$B$43-B1697)/IF(Inputs!$B$38="pvp",15,MAX(0.1,Skills!D8-IF(Skills!E8=TRUE,5.0,0))))+1)),0)</f>
        <v/>
      </c>
      <c r="S1665">
        <f>IFERROR(O1665/N1665,0)</f>
        <v/>
      </c>
      <c r="T1665">
        <f>IF(C1665,(H1665*N1665*IF(AND(Inputs!$B$38&lt;&gt;"pvp",Inputs!$B$43&gt;0),((Skills!G8*((R1665-1)*IF(Skills!H8&gt;0,Skills!I8/Skills!H8,1)+IF(Skills!H8&gt;0,MIN(Skills!I8,MAX(0,MAX(0,Inputs!$B$43-B1697)-((R1665-1)*IF(Inputs!$B$38="pvp",15,MAX(0.1,Skills!D8-IF(Skills!E8=TRUE,5.0,0))))))/Skills!H8,1)))/Inputs!$B$43),G1665*Q1665))*IF(Inputs!$B$38="pvp",1,1+(Inputs!$B$20+0+Skills!P8)/100),0)</f>
        <v/>
      </c>
      <c r="V1665">
        <f>IF(C1665,(H1665*N1665*IF(AND(Inputs!$B$38&lt;&gt;"pvp",Inputs!$B$43&gt;0),((Skills!G8*((R1665-1)*IF(Skills!H8&gt;0,Skills!I8/Skills!H8,1)+IF(Skills!H8&gt;0,MIN(Skills!I8,MAX(0,MAX(0,Inputs!$B$43-B1697)-((R1665-1)*IF(Inputs!$B$38="pvp",15,MAX(0.1,Skills!D8-IF(Skills!E8=TRUE,5.0,0))))))/Skills!H8,1)))/Inputs!$B$43),G1665*Q1665))*IF(Inputs!$B$38="pvp",1,(1+(Inputs!$B$21+Skills!Q8)/100)*(MIN(Skills!R8,Inputs!$B$37))),0)</f>
        <v/>
      </c>
    </row>
    <row r="1666">
      <c r="A1666">
        <f>Skills!A9</f>
        <v/>
      </c>
      <c r="B1666">
        <f>Skills!B9</f>
        <v/>
      </c>
      <c r="C1666">
        <f>Inputs!$B$3&gt;=63</f>
        <v/>
      </c>
      <c r="D1666">
        <f>IF(Skills!C9=1,60+Inputs!$B$25+Inputs!$B$29,IF(Skills!C9=2,90+Inputs!$B$26+Inputs!$B$29,IF(Skills!C9=3,120+Inputs!$B$27+Inputs!$B$29,MAX(0,(Inputs!$B$3-100)*3)+Inputs!$B$28+Inputs!$B$29)))</f>
        <v/>
      </c>
      <c r="E1666">
        <f>INDEX(FactorTable!$B$2:$Y$301, MATCH(ROUND(MIN(300,MAX(1,D1666)),0), FactorTable!$A$2:$A$301,0), Skills!M9+1)</f>
        <v/>
      </c>
      <c r="F1666">
        <f>IF(Skills!N9=TRUE,(Skills!L9/10)*(E1666/1000),Skills!L9/10)+Skills!O9</f>
        <v/>
      </c>
      <c r="G1666">
        <f>Skills!G9*IF(Skills!H9&gt;0,Skills!I9/Skills!H9,1)</f>
        <v/>
      </c>
      <c r="H1666">
        <f>1-(1-Skills!J9/100)^Skills!K9</f>
        <v/>
      </c>
      <c r="I1666" t="inlineStr">
        <is>
          <t>1</t>
        </is>
      </c>
      <c r="J1666">
        <f>((Inputs!$B$6*(1+Inputs!$B$7/100))+(((Inputs!$B$12*(1+Inputs!$B$13/100))-(Inputs!$B$12*(1+Inputs!$B$13/100)))+0.25*(Inputs!$B$14-Inputs!$B$14))*(1+Inputs!$B$7/100))*(F1666/100)</f>
        <v/>
      </c>
      <c r="K1666">
        <f>J1666*(1+((Inputs!$B$12*(1+Inputs!$B$13/100))*0.01+Inputs!$B$14*0.0025)/100)*(1+Inputs!$B$15/100)*(1+Inputs!$B$16/100)*(5000/(6000+Inputs!$B$42*(1-(Inputs!$B$19+((C1684=TRUE)*(F1684-Calc!F27)))/100)))*(1+(Inputs!$B$24+((C1682=TRUE)*(F1682-Calc!F25))+((C1683=TRUE)*(F1683-Calc!F26))+B1696)/100)*(1+1.0*IF(C1667=TRUE,F1667,0)/100)*(1+(IF(Skills!A9="ARROW_STREAM",Inputs!$B$17+((C1680=TRUE)*(F1680-Calc!F23)),Inputs!$B$18+((C1685=TRUE)*(F1685-Calc!F28))))/100)*((1+(((C1670=TRUE)*F1670)+((C1671=TRUE)*IF(Inputs!$B$38="pvp",F1671,(1-Summary!$B$55)*(F1671)+Summary!$B$55*(0)))+((C1672=TRUE)*F1672*IF(AND(Inputs!$B$38&lt;&gt;"pvp",Inputs!$B$43&gt;0),(((R1672-1)*(Skills!T15*(1+Inputs!$B$34/100))+MIN((Skills!T15*(1+Inputs!$B$34/100)),MAX(0,Inputs!$B$43-((R1672-1)*Skills!D15))))/Inputs!$B$43),IF(Inputs!$B$38="pvp",MIN((Skills!T15*(1+Inputs!$B$34/100)),15)/15,(Skills!T15*(1+Inputs!$B$34/100))/Skills!D15)))+((C1687=TRUE)*(F1687-Calc!F30)))/100)*I1666)</f>
        <v/>
      </c>
      <c r="L1666">
        <f>K1666*(MIN(Inputs!$B$22+((C1681=TRUE)*(F1681-Calc!F24)),Inputs!$B$23+((C1686=TRUE)*(F1686-Calc!F29)))/100+(Inputs!$B$23+((C1686=TRUE)*(F1686-Calc!F29)))/100)/2</f>
        <v/>
      </c>
      <c r="M1666">
        <f>L1666*(1+(Inputs!$B$10+0+B1695)/100)</f>
        <v/>
      </c>
      <c r="N1666">
        <f>L1666*(1-MIN((Inputs!$B$9+((C1677=TRUE)*(F1677-Calc!F20))+B1690),100)/100)+M1666*(MIN((Inputs!$B$9+((C1677=TRUE)*(F1677-Calc!F20))+B1690),100)/100)</f>
        <v/>
      </c>
      <c r="O1666">
        <f>(1-Summary!$B$55)*T1666+Summary!$B$55*V1666</f>
        <v/>
      </c>
      <c r="P1666">
        <f>IF(B1700=0,0,O1666/B1700)</f>
        <v/>
      </c>
      <c r="Q1666">
        <f>IFERROR(1/IF(Inputs!$B$38="pvp",15,MAX(0.1,Skills!D9-IF(Skills!E9=TRUE,5.0,0))),0)</f>
        <v/>
      </c>
      <c r="R1666">
        <f>IF(AND(Inputs!$B$38&lt;&gt;"pvp",Inputs!$B$43&gt;0),IF(MAX(0,Inputs!$B$43-B1697)&lt;=0,0,(INT(MAX(0,Inputs!$B$43-B1697)/IF(Inputs!$B$38="pvp",15,MAX(0.1,Skills!D9-IF(Skills!E9=TRUE,5.0,0))))+1)),0)</f>
        <v/>
      </c>
      <c r="S1666">
        <f>IFERROR(O1666/N1666,0)</f>
        <v/>
      </c>
      <c r="T1666">
        <f>IF(C1666,(H1666*N1666*IF(AND(Inputs!$B$38&lt;&gt;"pvp",Inputs!$B$43&gt;0),((Skills!G9*((R1666-1)*IF(Skills!H9&gt;0,Skills!I9/Skills!H9,1)+IF(Skills!H9&gt;0,MIN(Skills!I9,MAX(0,MAX(0,Inputs!$B$43-B1697)-((R1666-1)*IF(Inputs!$B$38="pvp",15,MAX(0.1,Skills!D9-IF(Skills!E9=TRUE,5.0,0))))))/Skills!H9,1)))/Inputs!$B$43),G1666*Q1666))*IF(Inputs!$B$38="pvp",1,1+(Inputs!$B$20+0+Skills!P9)/100),0)</f>
        <v/>
      </c>
      <c r="V1666">
        <f>IF(C1666,(H1666*N1666*IF(AND(Inputs!$B$38&lt;&gt;"pvp",Inputs!$B$43&gt;0),((Skills!G9*((R1666-1)*IF(Skills!H9&gt;0,Skills!I9/Skills!H9,1)+IF(Skills!H9&gt;0,MIN(Skills!I9,MAX(0,MAX(0,Inputs!$B$43-B1697)-((R1666-1)*IF(Inputs!$B$38="pvp",15,MAX(0.1,Skills!D9-IF(Skills!E9=TRUE,5.0,0))))))/Skills!H9,1)))/Inputs!$B$43),G1666*Q1666))*IF(Inputs!$B$38="pvp",1,(1+(Inputs!$B$21+Skills!Q9)/100)*(MIN(Skills!R9,Inputs!$B$37))),0)</f>
        <v/>
      </c>
    </row>
    <row r="1667">
      <c r="A1667">
        <f>Skills!A10</f>
        <v/>
      </c>
      <c r="B1667">
        <f>Skills!B10</f>
        <v/>
      </c>
      <c r="C1667">
        <f>Inputs!$B$3&gt;=100</f>
        <v/>
      </c>
      <c r="D1667">
        <f>IF(Skills!C10=1,60+Inputs!$B$25+Inputs!$B$29,IF(Skills!C10=2,90+Inputs!$B$26+Inputs!$B$29,IF(Skills!C10=3,120+Inputs!$B$27+Inputs!$B$29,MAX(0,(Inputs!$B$3-100)*3)+Inputs!$B$28+Inputs!$B$29)))</f>
        <v/>
      </c>
      <c r="E1667">
        <f>INDEX(FactorTable!$B$2:$Y$301, MATCH(ROUND(MIN(300,MAX(1,D1667)),0), FactorTable!$A$2:$A$301,0), Skills!M10+1)</f>
        <v/>
      </c>
      <c r="F1667">
        <f>IF(Skills!N10=TRUE,(Skills!L10/10)*(E1667/1000),Skills!L10/10)+Skills!O10</f>
        <v/>
      </c>
      <c r="G1667" t="inlineStr"/>
      <c r="H1667" t="inlineStr"/>
      <c r="I1667" t="inlineStr">
        <is>
          <t>1</t>
        </is>
      </c>
      <c r="J1667" t="inlineStr"/>
      <c r="K1667" t="inlineStr"/>
      <c r="L1667" t="inlineStr"/>
      <c r="M1667" t="inlineStr"/>
      <c r="N1667" t="inlineStr"/>
      <c r="O1667" t="inlineStr"/>
      <c r="P1667" t="inlineStr"/>
      <c r="Q1667" t="inlineStr"/>
      <c r="R1667" t="inlineStr"/>
      <c r="S1667" t="inlineStr"/>
      <c r="T1667" t="inlineStr"/>
      <c r="V1667" t="inlineStr"/>
    </row>
    <row r="1668">
      <c r="A1668">
        <f>Skills!A11</f>
        <v/>
      </c>
      <c r="B1668">
        <f>Skills!B11</f>
        <v/>
      </c>
      <c r="C1668">
        <f>Inputs!$B$3&gt;=60</f>
        <v/>
      </c>
      <c r="D1668">
        <f>IF(Skills!C11=1,60+Inputs!$B$25+Inputs!$B$29,IF(Skills!C11=2,90+Inputs!$B$26+Inputs!$B$29,IF(Skills!C11=3,120+Inputs!$B$27+Inputs!$B$29,MAX(0,(Inputs!$B$3-100)*3)+Inputs!$B$28+Inputs!$B$29)))</f>
        <v/>
      </c>
      <c r="E1668">
        <f>INDEX(FactorTable!$B$2:$Y$301, MATCH(ROUND(MIN(300,MAX(1,D1668)),0), FactorTable!$A$2:$A$301,0), Skills!M11+1)</f>
        <v/>
      </c>
      <c r="F1668">
        <f>IF(Skills!N11=TRUE,(Skills!L11/10)*(E1668/1000),Skills!L11/10)+Skills!O11</f>
        <v/>
      </c>
      <c r="G1668">
        <f>Skills!G11*IF(Skills!H11&gt;0,Skills!I11/Skills!H11,1)</f>
        <v/>
      </c>
      <c r="H1668">
        <f>1-(1-Skills!J11/100)^Skills!K11</f>
        <v/>
      </c>
      <c r="I1668" t="inlineStr">
        <is>
          <t>1</t>
        </is>
      </c>
      <c r="J1668">
        <f>((Inputs!$B$6*(1+Inputs!$B$7/100))+(((Inputs!$B$12*(1+Inputs!$B$13/100))-(Inputs!$B$12*(1+Inputs!$B$13/100)))+0.25*(Inputs!$B$14-Inputs!$B$14))*(1+Inputs!$B$7/100))*(F1668/100)</f>
        <v/>
      </c>
      <c r="K1668">
        <f>J1668*(1+((Inputs!$B$12*(1+Inputs!$B$13/100))*0.01+Inputs!$B$14*0.0025)/100)*(1+Inputs!$B$15/100)*(1+Inputs!$B$16/100)*(5000/(6000+Inputs!$B$42*(1-(Inputs!$B$19+((C1684=TRUE)*(F1684-Calc!F27)))/100)))*(1+(Inputs!$B$24+((C1682=TRUE)*(F1682-Calc!F25))+((C1683=TRUE)*(F1683-Calc!F26))+B1696)/100)*(1+IF(C1669=TRUE,F1669,0)/100)*(1+(IF(Skills!A11="ARROW_STREAM",Inputs!$B$17+((C1680=TRUE)*(F1680-Calc!F23)),Inputs!$B$18+((C1685=TRUE)*(F1685-Calc!F28))))/100)*((1+(((C1670=TRUE)*F1670)+((C1671=TRUE)*IF(Inputs!$B$38="pvp",F1671,(1-Summary!$B$55)*(F1671)+Summary!$B$55*(0)))+((C1672=TRUE)*F1672*IF(AND(Inputs!$B$38&lt;&gt;"pvp",Inputs!$B$43&gt;0),(((R1672-1)*(Skills!T15*(1+Inputs!$B$34/100))+MIN((Skills!T15*(1+Inputs!$B$34/100)),MAX(0,Inputs!$B$43-((R1672-1)*Skills!D15))))/Inputs!$B$43),IF(Inputs!$B$38="pvp",MIN((Skills!T15*(1+Inputs!$B$34/100)),15)/15,(Skills!T15*(1+Inputs!$B$34/100))/Skills!D15)))+((C1687=TRUE)*(F1687-Calc!F30)))/100)*I1668)</f>
        <v/>
      </c>
      <c r="L1668">
        <f>K1668*(MIN(Inputs!$B$22+((C1681=TRUE)*(F1681-Calc!F24)),Inputs!$B$23+((C1686=TRUE)*(F1686-Calc!F29)))/100+(Inputs!$B$23+((C1686=TRUE)*(F1686-Calc!F29)))/100)/2</f>
        <v/>
      </c>
      <c r="M1668">
        <f>L1668*(1+(Inputs!$B$10+0+B1695)/100)</f>
        <v/>
      </c>
      <c r="N1668">
        <f>L1668*(1-MIN((Inputs!$B$9+((C1677=TRUE)*(F1677-Calc!F20))+B1690),100)/100)+M1668*(MIN((Inputs!$B$9+((C1677=TRUE)*(F1677-Calc!F20))+B1690),100)/100)</f>
        <v/>
      </c>
      <c r="O1668">
        <f>(1-Summary!$B$55)*T1668+Summary!$B$55*V1668</f>
        <v/>
      </c>
      <c r="P1668">
        <f>IF(B1700=0,0,O1668/B1700)</f>
        <v/>
      </c>
      <c r="Q1668">
        <f>IFERROR(1/IF(Inputs!$B$38="pvp",15,MAX(0.1,Skills!D11-IF(Skills!E11=TRUE,5.0,0))),0)</f>
        <v/>
      </c>
      <c r="R1668">
        <f>IF(AND(Inputs!$B$38&lt;&gt;"pvp",Inputs!$B$43&gt;0),IF(MAX(0,Inputs!$B$43-B1697)&lt;=0,0,(INT(MAX(0,Inputs!$B$43-B1697)/IF(Inputs!$B$38="pvp",15,MAX(0.1,Skills!D11-IF(Skills!E11=TRUE,5.0,0))))+1)),0)</f>
        <v/>
      </c>
      <c r="S1668">
        <f>IFERROR(O1668/N1668,0)</f>
        <v/>
      </c>
      <c r="T1668">
        <f>IF(C1668,(H1668*N1668*IF(AND(Inputs!$B$38&lt;&gt;"pvp",Inputs!$B$43&gt;0),((Skills!G11*((R1668-1)*IF(Skills!H11&gt;0,Skills!I11/Skills!H11,1)+IF(Skills!H11&gt;0,MIN(Skills!I11,MAX(0,MAX(0,Inputs!$B$43-B1697)-((R1668-1)*IF(Inputs!$B$38="pvp",15,MAX(0.1,Skills!D11-IF(Skills!E11=TRUE,5.0,0))))))/Skills!H11,1)))/Inputs!$B$43),G1668*Q1668))*IF(Inputs!$B$38="pvp",1,1+(Inputs!$B$20+0+Skills!P11)/100),0)</f>
        <v/>
      </c>
      <c r="V1668">
        <f>IF(C1668,(H1668*N1668*IF(AND(Inputs!$B$38&lt;&gt;"pvp",Inputs!$B$43&gt;0),((Skills!G11*((R1668-1)*IF(Skills!H11&gt;0,Skills!I11/Skills!H11,1)+IF(Skills!H11&gt;0,MIN(Skills!I11,MAX(0,MAX(0,Inputs!$B$43-B1697)-((R1668-1)*IF(Inputs!$B$38="pvp",15,MAX(0.1,Skills!D11-IF(Skills!E11=TRUE,5.0,0))))))/Skills!H11,1)))/Inputs!$B$43),G1668*Q1668))*IF(Inputs!$B$38="pvp",1,(1+(Inputs!$B$21+Skills!Q11)/100)*(MIN(Skills!R11,Inputs!$B$37))),0)</f>
        <v/>
      </c>
    </row>
    <row r="1669">
      <c r="A1669">
        <f>Skills!A12</f>
        <v/>
      </c>
      <c r="B1669">
        <f>Skills!B12</f>
        <v/>
      </c>
      <c r="C1669">
        <f>Inputs!$B$3&gt;=110</f>
        <v/>
      </c>
      <c r="D1669">
        <f>IF(Skills!C12=1,60+Inputs!$B$25+Inputs!$B$29,IF(Skills!C12=2,90+Inputs!$B$26+Inputs!$B$29,IF(Skills!C12=3,120+Inputs!$B$27+Inputs!$B$29,MAX(0,(Inputs!$B$3-100)*3)+Inputs!$B$28+Inputs!$B$29)))</f>
        <v/>
      </c>
      <c r="E1669">
        <f>INDEX(FactorTable!$B$2:$Y$301, MATCH(ROUND(MIN(300,MAX(1,D1669)),0), FactorTable!$A$2:$A$301,0), Skills!M12+1)</f>
        <v/>
      </c>
      <c r="F1669">
        <f>IF(Skills!N12=TRUE,(Skills!L12/10)*(E1669/1000),Skills!L12/10)+Skills!O12</f>
        <v/>
      </c>
      <c r="G1669" t="inlineStr"/>
      <c r="H1669" t="inlineStr"/>
      <c r="I1669" t="inlineStr">
        <is>
          <t>1</t>
        </is>
      </c>
      <c r="J1669" t="inlineStr"/>
      <c r="K1669" t="inlineStr"/>
      <c r="L1669" t="inlineStr"/>
      <c r="M1669" t="inlineStr"/>
      <c r="N1669" t="inlineStr"/>
      <c r="O1669" t="inlineStr"/>
      <c r="P1669" t="inlineStr"/>
      <c r="Q1669" t="inlineStr"/>
      <c r="R1669" t="inlineStr"/>
      <c r="S1669" t="inlineStr"/>
      <c r="T1669" t="inlineStr"/>
      <c r="V1669" t="inlineStr"/>
    </row>
    <row r="1670">
      <c r="A1670">
        <f>Skills!A13</f>
        <v/>
      </c>
      <c r="B1670">
        <f>Skills!B13</f>
        <v/>
      </c>
      <c r="C1670">
        <f>Inputs!$B$3&gt;=74</f>
        <v/>
      </c>
      <c r="D1670">
        <f>IF(Skills!C13=1,60+Inputs!$B$25+Inputs!$B$29,IF(Skills!C13=2,90+Inputs!$B$26+Inputs!$B$29,IF(Skills!C13=3,120+Inputs!$B$27+Inputs!$B$29,MAX(0,(Inputs!$B$3-100)*3)+Inputs!$B$28+Inputs!$B$29)))</f>
        <v/>
      </c>
      <c r="E1670">
        <f>INDEX(FactorTable!$B$2:$Y$301, MATCH(ROUND(MIN(300,MAX(1,D1670)),0), FactorTable!$A$2:$A$301,0), Skills!M13+1)</f>
        <v/>
      </c>
      <c r="F1670">
        <f>IF(Skills!N13=TRUE,(Skills!L13/10)*(E1670/1000),Skills!L13/10)+Skills!O13</f>
        <v/>
      </c>
      <c r="G1670">
        <f>Skills!G13*IF(Skills!H13&gt;0,Skills!I13/Skills!H13,1)</f>
        <v/>
      </c>
      <c r="H1670">
        <f>1-(1-Skills!J13/100)^Skills!K13</f>
        <v/>
      </c>
      <c r="I1670" t="inlineStr">
        <is>
          <t>1</t>
        </is>
      </c>
      <c r="J1670" t="inlineStr"/>
      <c r="K1670" t="inlineStr"/>
      <c r="L1670" t="inlineStr"/>
      <c r="M1670" t="inlineStr"/>
      <c r="N1670" t="inlineStr"/>
      <c r="O1670">
        <f>(1-Summary!$B$55)*T1670+Summary!$B$55*V1670</f>
        <v/>
      </c>
      <c r="P1670">
        <f>IF(B1700=0,0,O1670/B1700)</f>
        <v/>
      </c>
      <c r="Q1670" t="n">
        <v>0</v>
      </c>
      <c r="R1670" t="n">
        <v>0</v>
      </c>
      <c r="S1670">
        <f>IFERROR(O1670/N1670,0)</f>
        <v/>
      </c>
      <c r="T1670" t="n">
        <v>0</v>
      </c>
      <c r="V1670" t="n">
        <v>0</v>
      </c>
    </row>
    <row r="1671">
      <c r="A1671">
        <f>Skills!A14</f>
        <v/>
      </c>
      <c r="B1671">
        <f>Skills!B14</f>
        <v/>
      </c>
      <c r="C1671">
        <f>Inputs!$B$3&gt;=74</f>
        <v/>
      </c>
      <c r="D1671">
        <f>IF(Skills!C14=1,60+Inputs!$B$25+Inputs!$B$29,IF(Skills!C14=2,90+Inputs!$B$26+Inputs!$B$29,IF(Skills!C14=3,120+Inputs!$B$27+Inputs!$B$29,MAX(0,(Inputs!$B$3-100)*3)+Inputs!$B$28+Inputs!$B$29)))</f>
        <v/>
      </c>
      <c r="E1671">
        <f>INDEX(FactorTable!$B$2:$Y$301, MATCH(ROUND(MIN(300,MAX(1,D1671)),0), FactorTable!$A$2:$A$301,0), Skills!M14+1)</f>
        <v/>
      </c>
      <c r="F1671">
        <f>IF(Skills!N14=TRUE,(Skills!L14/10)*(E1671/1000),Skills!L14/10)+Skills!O14</f>
        <v/>
      </c>
      <c r="G1671">
        <f>Skills!G14*IF(Skills!H14&gt;0,Skills!I14/Skills!H14,1)</f>
        <v/>
      </c>
      <c r="H1671">
        <f>1-(1-Skills!J14/100)^Skills!K14</f>
        <v/>
      </c>
      <c r="I1671" t="inlineStr">
        <is>
          <t>1</t>
        </is>
      </c>
      <c r="J1671" t="inlineStr"/>
      <c r="K1671" t="inlineStr"/>
      <c r="L1671" t="inlineStr"/>
      <c r="M1671" t="inlineStr"/>
      <c r="N1671" t="inlineStr"/>
      <c r="O1671">
        <f>(1-Summary!$B$55)*T1671+Summary!$B$55*V1671</f>
        <v/>
      </c>
      <c r="P1671">
        <f>IF(B1700=0,0,O1671/B1700)</f>
        <v/>
      </c>
      <c r="Q1671" t="n">
        <v>0</v>
      </c>
      <c r="R1671" t="n">
        <v>0</v>
      </c>
      <c r="S1671">
        <f>IFERROR(O1671/N1671,0)</f>
        <v/>
      </c>
      <c r="T1671" t="n">
        <v>0</v>
      </c>
      <c r="V1671" t="n">
        <v>0</v>
      </c>
    </row>
    <row r="1672">
      <c r="A1672">
        <f>Skills!A15</f>
        <v/>
      </c>
      <c r="B1672">
        <f>Skills!B15</f>
        <v/>
      </c>
      <c r="C1672">
        <f>Inputs!$B$3&gt;=117</f>
        <v/>
      </c>
      <c r="D1672">
        <f>IF(Skills!C15=1,60+Inputs!$B$25+Inputs!$B$29,IF(Skills!C15=2,90+Inputs!$B$26+Inputs!$B$29,IF(Skills!C15=3,120+Inputs!$B$27+Inputs!$B$29,MAX(0,(Inputs!$B$3-100)*3)+Inputs!$B$28+Inputs!$B$29)))</f>
        <v/>
      </c>
      <c r="E1672">
        <f>INDEX(FactorTable!$B$2:$Y$301, MATCH(ROUND(MIN(300,MAX(1,D1672)),0), FactorTable!$A$2:$A$301,0), Skills!M15+1)</f>
        <v/>
      </c>
      <c r="F1672">
        <f>IF(Skills!N15=TRUE,(Skills!L15/10)*(E1672/1000),Skills!L15/10)+Skills!O15</f>
        <v/>
      </c>
      <c r="G1672">
        <f>Skills!G15*IF(Skills!H15&gt;0,Skills!I15/Skills!H15,1)</f>
        <v/>
      </c>
      <c r="H1672">
        <f>1-(1-Skills!J15/100)^Skills!K15</f>
        <v/>
      </c>
      <c r="I1672" t="inlineStr">
        <is>
          <t>1</t>
        </is>
      </c>
      <c r="J1672" t="inlineStr"/>
      <c r="K1672" t="inlineStr"/>
      <c r="L1672" t="inlineStr"/>
      <c r="M1672" t="inlineStr"/>
      <c r="N1672" t="inlineStr"/>
      <c r="O1672">
        <f>(1-Summary!$B$55)*T1672+Summary!$B$55*V1672</f>
        <v/>
      </c>
      <c r="P1672">
        <f>IF(B1700=0,0,O1672/B1700)</f>
        <v/>
      </c>
      <c r="Q1672">
        <f>IFERROR(1/IF(Inputs!$B$38="pvp",15,MAX(0.1,Skills!D15-IF(Skills!E15=TRUE,5.0,0))),0)</f>
        <v/>
      </c>
      <c r="R1672">
        <f>IF(AND(Inputs!$B$38&lt;&gt;"pvp",Inputs!$B$43&gt;0),IF(Inputs!$B$43&lt;=0,0,(INT(Inputs!$B$43/IF(Inputs!$B$38="pvp",15,MAX(0.1,Skills!D15-IF(Skills!E15=TRUE,5.0,0))))+1)),0)</f>
        <v/>
      </c>
      <c r="S1672">
        <f>IFERROR(O1672/N1672,0)</f>
        <v/>
      </c>
      <c r="T1672" t="n">
        <v>0</v>
      </c>
      <c r="V1672" t="n">
        <v>0</v>
      </c>
    </row>
    <row r="1673">
      <c r="A1673">
        <f>Skills!A16</f>
        <v/>
      </c>
      <c r="B1673">
        <f>Skills!B16</f>
        <v/>
      </c>
      <c r="C1673">
        <f>Inputs!$B$3&gt;=115</f>
        <v/>
      </c>
      <c r="D1673">
        <f>IF(Skills!C16=1,60+Inputs!$B$25+Inputs!$B$29,IF(Skills!C16=2,90+Inputs!$B$26+Inputs!$B$29,IF(Skills!C16=3,120+Inputs!$B$27+Inputs!$B$29,MAX(0,(Inputs!$B$3-100)*3)+Inputs!$B$28+Inputs!$B$29)))</f>
        <v/>
      </c>
      <c r="E1673">
        <f>INDEX(FactorTable!$B$2:$Y$301, MATCH(ROUND(MIN(300,MAX(1,D1673)),0), FactorTable!$A$2:$A$301,0), Skills!M16+1)</f>
        <v/>
      </c>
      <c r="F1673">
        <f>IF(Skills!N16=TRUE,(Skills!L16/10)*(E1673/1000),Skills!L16/10)+Skills!O16</f>
        <v/>
      </c>
      <c r="G1673">
        <f>Skills!G16*IF(Skills!H16&gt;0,Skills!I16/Skills!H16,1)</f>
        <v/>
      </c>
      <c r="H1673">
        <f>1-(1-Skills!J16/100)^Skills!K16</f>
        <v/>
      </c>
      <c r="I1673" t="inlineStr">
        <is>
          <t>1</t>
        </is>
      </c>
      <c r="J1673" t="inlineStr"/>
      <c r="K1673" t="inlineStr"/>
      <c r="L1673" t="inlineStr"/>
      <c r="M1673" t="inlineStr"/>
      <c r="N1673" t="inlineStr"/>
      <c r="O1673">
        <f>(1-Summary!$B$55)*T1673+Summary!$B$55*V1673</f>
        <v/>
      </c>
      <c r="P1673">
        <f>IF(B1700=0,0,O1673/B1700)</f>
        <v/>
      </c>
      <c r="Q1673">
        <f>IFERROR(1/IF(Inputs!$B$38="pvp",15,MAX(0.1,Skills!D16-IF(Skills!E16=TRUE,5.0,0))),0)</f>
        <v/>
      </c>
      <c r="R1673">
        <f>IF(AND(Inputs!$B$38&lt;&gt;"pvp",Inputs!$B$43&gt;0),IF(Inputs!$B$43&lt;=0,0,(INT(Inputs!$B$43/IF(Inputs!$B$38="pvp",15,MAX(0.1,Skills!D16-IF(Skills!E16=TRUE,5.0,0))))+1)),0)</f>
        <v/>
      </c>
      <c r="S1673">
        <f>IFERROR(O1673/N1673,0)</f>
        <v/>
      </c>
      <c r="T1673" t="n">
        <v>0</v>
      </c>
      <c r="V1673" t="n">
        <v>0</v>
      </c>
    </row>
    <row r="1674">
      <c r="A1674">
        <f>Skills!A17</f>
        <v/>
      </c>
      <c r="B1674">
        <f>Skills!B17</f>
        <v/>
      </c>
      <c r="C1674">
        <f>Inputs!$B$3&gt;=66</f>
        <v/>
      </c>
      <c r="D1674">
        <f>IF(Skills!C17=1,60+Inputs!$B$25+Inputs!$B$29,IF(Skills!C17=2,90+Inputs!$B$26+Inputs!$B$29,IF(Skills!C17=3,120+Inputs!$B$27+Inputs!$B$29,MAX(0,(Inputs!$B$3-100)*3)+Inputs!$B$28+Inputs!$B$29)))</f>
        <v/>
      </c>
      <c r="E1674">
        <f>INDEX(FactorTable!$B$2:$Y$301, MATCH(ROUND(MIN(300,MAX(1,D1674)),0), FactorTable!$A$2:$A$301,0), Skills!M17+1)</f>
        <v/>
      </c>
      <c r="F1674">
        <f>IF(Skills!N17=TRUE,(Skills!L17/10)*(E1674/1000),Skills!L17/10)+Skills!O17</f>
        <v/>
      </c>
      <c r="G1674">
        <f>Skills!G17*IF(Skills!H17&gt;0,Skills!I17/Skills!H17,1)</f>
        <v/>
      </c>
      <c r="H1674">
        <f>1-(1-Skills!J17/100)^Skills!K17</f>
        <v/>
      </c>
      <c r="I1674" t="inlineStr">
        <is>
          <t>1</t>
        </is>
      </c>
      <c r="J1674" t="inlineStr"/>
      <c r="K1674" t="inlineStr"/>
      <c r="L1674" t="inlineStr"/>
      <c r="M1674" t="inlineStr"/>
      <c r="N1674" t="inlineStr"/>
      <c r="O1674">
        <f>(1-Summary!$B$55)*T1674+Summary!$B$55*V1674</f>
        <v/>
      </c>
      <c r="P1674">
        <f>IF(B1700=0,0,O1674/B1700)</f>
        <v/>
      </c>
      <c r="Q1674" t="n">
        <v>0</v>
      </c>
      <c r="R1674" t="n">
        <v>0</v>
      </c>
      <c r="S1674">
        <f>IFERROR(O1674/N1674,0)</f>
        <v/>
      </c>
      <c r="T1674" t="n">
        <v>0</v>
      </c>
      <c r="V1674" t="n">
        <v>0</v>
      </c>
    </row>
    <row r="1675">
      <c r="A1675">
        <f>Skills!A18</f>
        <v/>
      </c>
      <c r="B1675">
        <f>Skills!B18</f>
        <v/>
      </c>
      <c r="C1675">
        <f>Inputs!$B$3&gt;=72</f>
        <v/>
      </c>
      <c r="D1675">
        <f>IF(Skills!C18=1,60+Inputs!$B$25+Inputs!$B$29,IF(Skills!C18=2,90+Inputs!$B$26+Inputs!$B$29,IF(Skills!C18=3,120+Inputs!$B$27+Inputs!$B$29,MAX(0,(Inputs!$B$3-100)*3)+Inputs!$B$28+Inputs!$B$29)))</f>
        <v/>
      </c>
      <c r="E1675">
        <f>INDEX(FactorTable!$B$2:$Y$301, MATCH(ROUND(MIN(300,MAX(1,D1675)),0), FactorTable!$A$2:$A$301,0), Skills!M18+1)</f>
        <v/>
      </c>
      <c r="F1675">
        <f>IF(Skills!N18=TRUE,(Skills!L18/10)*(E1675/1000),Skills!L18/10)+Skills!O18</f>
        <v/>
      </c>
      <c r="G1675">
        <f>Skills!G18*IF(Skills!H18&gt;0,Skills!I18/Skills!H18,1)</f>
        <v/>
      </c>
      <c r="H1675">
        <f>1-(1-Skills!J18/100)^Skills!K18</f>
        <v/>
      </c>
      <c r="I1675" t="inlineStr">
        <is>
          <t>1</t>
        </is>
      </c>
      <c r="J1675" t="inlineStr"/>
      <c r="K1675" t="inlineStr"/>
      <c r="L1675" t="inlineStr"/>
      <c r="M1675" t="inlineStr"/>
      <c r="N1675" t="inlineStr"/>
      <c r="O1675">
        <f>(1-Summary!$B$55)*T1675+Summary!$B$55*V1675</f>
        <v/>
      </c>
      <c r="P1675">
        <f>IF(B1700=0,0,O1675/B1700)</f>
        <v/>
      </c>
      <c r="Q1675" t="n">
        <v>0</v>
      </c>
      <c r="R1675" t="n">
        <v>0</v>
      </c>
      <c r="S1675">
        <f>IFERROR(O1675/N1675,0)</f>
        <v/>
      </c>
      <c r="T1675" t="n">
        <v>0</v>
      </c>
      <c r="V1675" t="n">
        <v>0</v>
      </c>
    </row>
    <row r="1676">
      <c r="A1676">
        <f>Skills!A19</f>
        <v/>
      </c>
      <c r="B1676">
        <f>Skills!B19</f>
        <v/>
      </c>
      <c r="C1676">
        <f>TRUE</f>
        <v/>
      </c>
      <c r="D1676">
        <f>IF(Skills!C19=1,60+Inputs!$B$25+Inputs!$B$29,IF(Skills!C19=2,90+Inputs!$B$26+Inputs!$B$29,IF(Skills!C19=3,120+Inputs!$B$27+Inputs!$B$29,MAX(0,(Inputs!$B$3-100)*3)+Inputs!$B$28+Inputs!$B$29)))</f>
        <v/>
      </c>
      <c r="E1676">
        <f>INDEX(FactorTable!$B$2:$Y$301, MATCH(ROUND(MIN(300,MAX(1,D1676)),0), FactorTable!$A$2:$A$301,0), Skills!M19+1)</f>
        <v/>
      </c>
      <c r="F1676">
        <f>IF(Skills!N19=TRUE,(Skills!L19/10)*(E1676/1000),Skills!L19/10)+Skills!O19</f>
        <v/>
      </c>
      <c r="G1676">
        <f>Skills!G19*IF(Skills!H19&gt;0,Skills!I19/Skills!H19,1)</f>
        <v/>
      </c>
      <c r="H1676">
        <f>1-(1-Skills!J19/100)^Skills!K19</f>
        <v/>
      </c>
      <c r="I1676" t="inlineStr">
        <is>
          <t>1</t>
        </is>
      </c>
      <c r="J1676" t="inlineStr"/>
      <c r="K1676" t="inlineStr"/>
      <c r="L1676" t="inlineStr"/>
      <c r="M1676" t="inlineStr"/>
      <c r="N1676" t="inlineStr"/>
      <c r="O1676">
        <f>(1-Summary!$B$55)*T1676+Summary!$B$55*V1676</f>
        <v/>
      </c>
      <c r="P1676">
        <f>IF(B1700=0,0,O1676/B1700)</f>
        <v/>
      </c>
      <c r="Q1676">
        <f>IFERROR(1/IF(Inputs!$B$38="pvp",15,MAX(0.1,Skills!D19-IF(Skills!E19=TRUE,5.0,0))),0)</f>
        <v/>
      </c>
      <c r="R1676">
        <f>IF(AND(Inputs!$B$38&lt;&gt;"pvp",Inputs!$B$43&gt;0),IF(Inputs!$B$43&lt;=0,0,(INT(Inputs!$B$43/IF(Inputs!$B$38="pvp",15,MAX(0.1,Skills!D19-IF(Skills!E19=TRUE,5.0,0))))+1)),0)</f>
        <v/>
      </c>
      <c r="S1676">
        <f>IFERROR(O1676/N1676,0)</f>
        <v/>
      </c>
      <c r="T1676" t="n">
        <v>0</v>
      </c>
      <c r="V1676" t="n">
        <v>0</v>
      </c>
    </row>
    <row r="1677">
      <c r="A1677">
        <f>Skills!A20</f>
        <v/>
      </c>
      <c r="B1677">
        <f>Skills!B20</f>
        <v/>
      </c>
      <c r="C1677">
        <f>Inputs!$B$3&gt;=15</f>
        <v/>
      </c>
      <c r="D1677">
        <f>IF(Skills!C20=1,60+Inputs!$B$25+Inputs!$B$29,IF(Skills!C20=2,90+Inputs!$B$26+Inputs!$B$29,IF(Skills!C20=3,120+Inputs!$B$27+Inputs!$B$29,MAX(0,(Inputs!$B$3-100)*3)+Inputs!$B$28+Inputs!$B$29)))</f>
        <v/>
      </c>
      <c r="E1677">
        <f>INDEX(FactorTable!$B$2:$Y$301, MATCH(ROUND(MIN(300,MAX(1,D1677)),0), FactorTable!$A$2:$A$301,0), Skills!M20+1)</f>
        <v/>
      </c>
      <c r="F1677">
        <f>IF(Skills!N20=TRUE,(Skills!L20/10)*(E1677/1000),Skills!L20/10)+Skills!O20</f>
        <v/>
      </c>
      <c r="G1677">
        <f>Skills!G20*IF(Skills!H20&gt;0,Skills!I20/Skills!H20,1)</f>
        <v/>
      </c>
      <c r="H1677">
        <f>1-(1-Skills!J20/100)^Skills!K20</f>
        <v/>
      </c>
      <c r="I1677" t="inlineStr">
        <is>
          <t>1</t>
        </is>
      </c>
      <c r="J1677" t="inlineStr"/>
      <c r="K1677" t="inlineStr"/>
      <c r="L1677" t="inlineStr"/>
      <c r="M1677" t="inlineStr"/>
      <c r="N1677" t="inlineStr"/>
      <c r="O1677">
        <f>(1-Summary!$B$55)*T1677+Summary!$B$55*V1677</f>
        <v/>
      </c>
      <c r="P1677">
        <f>IF(B1700=0,0,O1677/B1700)</f>
        <v/>
      </c>
      <c r="Q1677" t="n">
        <v>0</v>
      </c>
      <c r="R1677" t="n">
        <v>0</v>
      </c>
      <c r="S1677">
        <f>IFERROR(O1677/N1677,0)</f>
        <v/>
      </c>
      <c r="T1677" t="n">
        <v>0</v>
      </c>
      <c r="V1677" t="n">
        <v>0</v>
      </c>
    </row>
    <row r="1678">
      <c r="A1678">
        <f>Skills!A21</f>
        <v/>
      </c>
      <c r="B1678">
        <f>Skills!B21</f>
        <v/>
      </c>
      <c r="C1678">
        <f>Inputs!$B$3&gt;=10</f>
        <v/>
      </c>
      <c r="D1678">
        <f>IF(Skills!C21=1,60+Inputs!$B$25+Inputs!$B$29,IF(Skills!C21=2,90+Inputs!$B$26+Inputs!$B$29,IF(Skills!C21=3,120+Inputs!$B$27+Inputs!$B$29,MAX(0,(Inputs!$B$3-100)*3)+Inputs!$B$28+Inputs!$B$29)))</f>
        <v/>
      </c>
      <c r="E1678">
        <f>INDEX(FactorTable!$B$2:$Y$301, MATCH(ROUND(MIN(300,MAX(1,D1678)),0), FactorTable!$A$2:$A$301,0), Skills!M21+1)</f>
        <v/>
      </c>
      <c r="F1678">
        <f>IF(Skills!N21=TRUE,(Skills!L21/10)*(E1678/1000),Skills!L21/10)+Skills!O21</f>
        <v/>
      </c>
      <c r="G1678">
        <f>Skills!G21*IF(Skills!H21&gt;0,Skills!I21/Skills!H21,1)</f>
        <v/>
      </c>
      <c r="H1678">
        <f>1-(1-Skills!J21/100)^Skills!K21</f>
        <v/>
      </c>
      <c r="I1678" t="inlineStr">
        <is>
          <t>1</t>
        </is>
      </c>
      <c r="J1678" t="inlineStr"/>
      <c r="K1678" t="inlineStr"/>
      <c r="L1678" t="inlineStr"/>
      <c r="M1678" t="inlineStr"/>
      <c r="N1678" t="inlineStr"/>
      <c r="O1678">
        <f>(1-Summary!$B$55)*T1678+Summary!$B$55*V1678</f>
        <v/>
      </c>
      <c r="P1678">
        <f>IF(B1700=0,0,O1678/B1700)</f>
        <v/>
      </c>
      <c r="Q1678" t="n">
        <v>0</v>
      </c>
      <c r="R1678" t="n">
        <v>0</v>
      </c>
      <c r="S1678">
        <f>IFERROR(O1678/N1678,0)</f>
        <v/>
      </c>
      <c r="T1678" t="n">
        <v>0</v>
      </c>
      <c r="V1678" t="n">
        <v>0</v>
      </c>
    </row>
    <row r="1679">
      <c r="A1679">
        <f>Skills!A22</f>
        <v/>
      </c>
      <c r="B1679">
        <f>Skills!B22</f>
        <v/>
      </c>
      <c r="C1679">
        <f>Inputs!$B$3&gt;=33</f>
        <v/>
      </c>
      <c r="D1679">
        <f>IF(Skills!C22=1,60+Inputs!$B$25+Inputs!$B$29,IF(Skills!C22=2,90+Inputs!$B$26+Inputs!$B$29,IF(Skills!C22=3,120+Inputs!$B$27+Inputs!$B$29,MAX(0,(Inputs!$B$3-100)*3)+Inputs!$B$28+Inputs!$B$29)))</f>
        <v/>
      </c>
      <c r="E1679">
        <f>INDEX(FactorTable!$B$2:$Y$301, MATCH(ROUND(MIN(300,MAX(1,D1679)),0), FactorTable!$A$2:$A$301,0), Skills!M22+1)</f>
        <v/>
      </c>
      <c r="F1679">
        <f>IF(Skills!N22=TRUE,(Skills!L22/10)*(E1679/1000),Skills!L22/10)+Skills!O22</f>
        <v/>
      </c>
      <c r="G1679">
        <f>Skills!G22*IF(Skills!H22&gt;0,Skills!I22/Skills!H22,1)</f>
        <v/>
      </c>
      <c r="H1679">
        <f>1-(1-Skills!J22/100)^Skills!K22</f>
        <v/>
      </c>
      <c r="I1679" t="inlineStr">
        <is>
          <t>1</t>
        </is>
      </c>
      <c r="J1679" t="inlineStr"/>
      <c r="K1679" t="inlineStr"/>
      <c r="L1679" t="inlineStr"/>
      <c r="M1679" t="inlineStr"/>
      <c r="N1679" t="inlineStr"/>
      <c r="O1679">
        <f>(1-Summary!$B$55)*T1679+Summary!$B$55*V1679</f>
        <v/>
      </c>
      <c r="P1679">
        <f>IF(B1700=0,0,O1679/B1700)</f>
        <v/>
      </c>
      <c r="Q1679" t="n">
        <v>0</v>
      </c>
      <c r="R1679" t="n">
        <v>0</v>
      </c>
      <c r="S1679">
        <f>IFERROR(O1679/N1679,0)</f>
        <v/>
      </c>
      <c r="T1679" t="n">
        <v>0</v>
      </c>
      <c r="V1679" t="n">
        <v>0</v>
      </c>
    </row>
    <row r="1680">
      <c r="A1680">
        <f>Skills!A23</f>
        <v/>
      </c>
      <c r="B1680">
        <f>Skills!B23</f>
        <v/>
      </c>
      <c r="C1680">
        <f>Inputs!$B$3&gt;=38</f>
        <v/>
      </c>
      <c r="D1680">
        <f>IF(Skills!C23=1,60+Inputs!$B$25+Inputs!$B$29,IF(Skills!C23=2,90+Inputs!$B$26+Inputs!$B$29,IF(Skills!C23=3,120+Inputs!$B$27+Inputs!$B$29,MAX(0,(Inputs!$B$3-100)*3)+Inputs!$B$28+Inputs!$B$29)))</f>
        <v/>
      </c>
      <c r="E1680">
        <f>INDEX(FactorTable!$B$2:$Y$301, MATCH(ROUND(MIN(300,MAX(1,D1680)),0), FactorTable!$A$2:$A$301,0), Skills!M23+1)</f>
        <v/>
      </c>
      <c r="F1680">
        <f>IF(Skills!N23=TRUE,(Skills!L23/10)*(E1680/1000),Skills!L23/10)+Skills!O23</f>
        <v/>
      </c>
      <c r="G1680">
        <f>Skills!G23*IF(Skills!H23&gt;0,Skills!I23/Skills!H23,1)</f>
        <v/>
      </c>
      <c r="H1680">
        <f>1-(1-Skills!J23/100)^Skills!K23</f>
        <v/>
      </c>
      <c r="I1680" t="inlineStr">
        <is>
          <t>1</t>
        </is>
      </c>
      <c r="J1680" t="inlineStr"/>
      <c r="K1680" t="inlineStr"/>
      <c r="L1680" t="inlineStr"/>
      <c r="M1680" t="inlineStr"/>
      <c r="N1680" t="inlineStr"/>
      <c r="O1680">
        <f>(1-Summary!$B$55)*T1680+Summary!$B$55*V1680</f>
        <v/>
      </c>
      <c r="P1680">
        <f>IF(B1700=0,0,O1680/B1700)</f>
        <v/>
      </c>
      <c r="Q1680" t="n">
        <v>0</v>
      </c>
      <c r="R1680" t="n">
        <v>0</v>
      </c>
      <c r="S1680">
        <f>IFERROR(O1680/N1680,0)</f>
        <v/>
      </c>
      <c r="T1680" t="n">
        <v>0</v>
      </c>
      <c r="V1680" t="n">
        <v>0</v>
      </c>
    </row>
    <row r="1681">
      <c r="A1681">
        <f>Skills!A24</f>
        <v/>
      </c>
      <c r="B1681">
        <f>Skills!B24</f>
        <v/>
      </c>
      <c r="C1681">
        <f>Inputs!$B$3&gt;=43</f>
        <v/>
      </c>
      <c r="D1681">
        <f>IF(Skills!C24=1,60+Inputs!$B$25+Inputs!$B$29,IF(Skills!C24=2,90+Inputs!$B$26+Inputs!$B$29,IF(Skills!C24=3,120+Inputs!$B$27+Inputs!$B$29,MAX(0,(Inputs!$B$3-100)*3)+Inputs!$B$28+Inputs!$B$29)))</f>
        <v/>
      </c>
      <c r="E1681">
        <f>INDEX(FactorTable!$B$2:$Y$301, MATCH(ROUND(MIN(300,MAX(1,D1681)),0), FactorTable!$A$2:$A$301,0), Skills!M24+1)</f>
        <v/>
      </c>
      <c r="F1681">
        <f>IF(Skills!N24=TRUE,(Skills!L24/10)*(E1681/1000),Skills!L24/10)+Skills!O24</f>
        <v/>
      </c>
      <c r="G1681">
        <f>Skills!G24*IF(Skills!H24&gt;0,Skills!I24/Skills!H24,1)</f>
        <v/>
      </c>
      <c r="H1681">
        <f>1-(1-Skills!J24/100)^Skills!K24</f>
        <v/>
      </c>
      <c r="I1681" t="inlineStr">
        <is>
          <t>1</t>
        </is>
      </c>
      <c r="J1681" t="inlineStr"/>
      <c r="K1681" t="inlineStr"/>
      <c r="L1681" t="inlineStr"/>
      <c r="M1681" t="inlineStr"/>
      <c r="N1681" t="inlineStr"/>
      <c r="O1681">
        <f>(1-Summary!$B$55)*T1681+Summary!$B$55*V1681</f>
        <v/>
      </c>
      <c r="P1681">
        <f>IF(B1700=0,0,O1681/B1700)</f>
        <v/>
      </c>
      <c r="Q1681" t="n">
        <v>0</v>
      </c>
      <c r="R1681" t="n">
        <v>0</v>
      </c>
      <c r="S1681">
        <f>IFERROR(O1681/N1681,0)</f>
        <v/>
      </c>
      <c r="T1681" t="n">
        <v>0</v>
      </c>
      <c r="V1681" t="n">
        <v>0</v>
      </c>
    </row>
    <row r="1682">
      <c r="A1682">
        <f>Skills!A25</f>
        <v/>
      </c>
      <c r="B1682">
        <f>Skills!B25</f>
        <v/>
      </c>
      <c r="C1682">
        <f>Inputs!$B$3&gt;=75</f>
        <v/>
      </c>
      <c r="D1682">
        <f>IF(Skills!C25=1,60+Inputs!$B$25+Inputs!$B$29,IF(Skills!C25=2,90+Inputs!$B$26+Inputs!$B$29,IF(Skills!C25=3,120+Inputs!$B$27+Inputs!$B$29,MAX(0,(Inputs!$B$3-100)*3)+Inputs!$B$28+Inputs!$B$29)))</f>
        <v/>
      </c>
      <c r="E1682">
        <f>INDEX(FactorTable!$B$2:$Y$301, MATCH(ROUND(MIN(300,MAX(1,D1682)),0), FactorTable!$A$2:$A$301,0), Skills!M25+1)</f>
        <v/>
      </c>
      <c r="F1682">
        <f>IF(Skills!N25=TRUE,(Skills!L25/10)*(E1682/1000),Skills!L25/10)+Skills!O25</f>
        <v/>
      </c>
      <c r="G1682">
        <f>Skills!G25*IF(Skills!H25&gt;0,Skills!I25/Skills!H25,1)</f>
        <v/>
      </c>
      <c r="H1682">
        <f>1-(1-Skills!J25/100)^Skills!K25</f>
        <v/>
      </c>
      <c r="I1682" t="inlineStr">
        <is>
          <t>1</t>
        </is>
      </c>
      <c r="J1682" t="inlineStr"/>
      <c r="K1682" t="inlineStr"/>
      <c r="L1682" t="inlineStr"/>
      <c r="M1682" t="inlineStr"/>
      <c r="N1682" t="inlineStr"/>
      <c r="O1682">
        <f>(1-Summary!$B$55)*T1682+Summary!$B$55*V1682</f>
        <v/>
      </c>
      <c r="P1682">
        <f>IF(B1700=0,0,O1682/B1700)</f>
        <v/>
      </c>
      <c r="Q1682" t="n">
        <v>0</v>
      </c>
      <c r="R1682" t="n">
        <v>0</v>
      </c>
      <c r="S1682">
        <f>IFERROR(O1682/N1682,0)</f>
        <v/>
      </c>
      <c r="T1682" t="n">
        <v>0</v>
      </c>
      <c r="V1682" t="n">
        <v>0</v>
      </c>
    </row>
    <row r="1683">
      <c r="A1683">
        <f>Skills!A26</f>
        <v/>
      </c>
      <c r="B1683">
        <f>Skills!B26</f>
        <v/>
      </c>
      <c r="C1683">
        <f>Inputs!$B$3&gt;=125</f>
        <v/>
      </c>
      <c r="D1683">
        <f>IF(Skills!C26=1,60+Inputs!$B$25+Inputs!$B$29,IF(Skills!C26=2,90+Inputs!$B$26+Inputs!$B$29,IF(Skills!C26=3,120+Inputs!$B$27+Inputs!$B$29,MAX(0,(Inputs!$B$3-100)*3)+Inputs!$B$28+Inputs!$B$29)))</f>
        <v/>
      </c>
      <c r="E1683">
        <f>INDEX(FactorTable!$B$2:$Y$301, MATCH(ROUND(MIN(300,MAX(1,D1683)),0), FactorTable!$A$2:$A$301,0), Skills!M26+1)</f>
        <v/>
      </c>
      <c r="F1683">
        <f>IF(Skills!N26=TRUE,(Skills!L26/10)*(E1683/1000),Skills!L26/10)+Skills!O26</f>
        <v/>
      </c>
      <c r="G1683">
        <f>Skills!G26*IF(Skills!H26&gt;0,Skills!I26/Skills!H26,1)</f>
        <v/>
      </c>
      <c r="H1683">
        <f>1-(1-Skills!J26/100)^Skills!K26</f>
        <v/>
      </c>
      <c r="I1683" t="inlineStr">
        <is>
          <t>1</t>
        </is>
      </c>
      <c r="J1683" t="inlineStr"/>
      <c r="K1683" t="inlineStr"/>
      <c r="L1683" t="inlineStr"/>
      <c r="M1683" t="inlineStr"/>
      <c r="N1683" t="inlineStr"/>
      <c r="O1683">
        <f>(1-Summary!$B$55)*T1683+Summary!$B$55*V1683</f>
        <v/>
      </c>
      <c r="P1683">
        <f>IF(B1700=0,0,O1683/B1700)</f>
        <v/>
      </c>
      <c r="Q1683" t="n">
        <v>0</v>
      </c>
      <c r="R1683" t="n">
        <v>0</v>
      </c>
      <c r="S1683">
        <f>IFERROR(O1683/N1683,0)</f>
        <v/>
      </c>
      <c r="T1683" t="n">
        <v>0</v>
      </c>
      <c r="V1683" t="n">
        <v>0</v>
      </c>
    </row>
    <row r="1684">
      <c r="A1684">
        <f>Skills!A27</f>
        <v/>
      </c>
      <c r="B1684">
        <f>Skills!B27</f>
        <v/>
      </c>
      <c r="C1684">
        <f>Inputs!$B$3&gt;=125</f>
        <v/>
      </c>
      <c r="D1684">
        <f>IF(Skills!C27=1,60+Inputs!$B$25+Inputs!$B$29,IF(Skills!C27=2,90+Inputs!$B$26+Inputs!$B$29,IF(Skills!C27=3,120+Inputs!$B$27+Inputs!$B$29,MAX(0,(Inputs!$B$3-100)*3)+Inputs!$B$28+Inputs!$B$29)))</f>
        <v/>
      </c>
      <c r="E1684">
        <f>INDEX(FactorTable!$B$2:$Y$301, MATCH(ROUND(MIN(300,MAX(1,D1684)),0), FactorTable!$A$2:$A$301,0), Skills!M27+1)</f>
        <v/>
      </c>
      <c r="F1684">
        <f>IF(Skills!N27=TRUE,(Skills!L27/10)*(E1684/1000),Skills!L27/10)+Skills!O27</f>
        <v/>
      </c>
      <c r="G1684">
        <f>Skills!G27*IF(Skills!H27&gt;0,Skills!I27/Skills!H27,1)</f>
        <v/>
      </c>
      <c r="H1684">
        <f>1-(1-Skills!J27/100)^Skills!K27</f>
        <v/>
      </c>
      <c r="I1684" t="inlineStr">
        <is>
          <t>1</t>
        </is>
      </c>
      <c r="J1684" t="inlineStr"/>
      <c r="K1684" t="inlineStr"/>
      <c r="L1684" t="inlineStr"/>
      <c r="M1684" t="inlineStr"/>
      <c r="N1684" t="inlineStr"/>
      <c r="O1684">
        <f>(1-Summary!$B$55)*T1684+Summary!$B$55*V1684</f>
        <v/>
      </c>
      <c r="P1684">
        <f>IF(B1700=0,0,O1684/B1700)</f>
        <v/>
      </c>
      <c r="Q1684" t="n">
        <v>0</v>
      </c>
      <c r="R1684" t="n">
        <v>0</v>
      </c>
      <c r="S1684">
        <f>IFERROR(O1684/N1684,0)</f>
        <v/>
      </c>
      <c r="T1684" t="n">
        <v>0</v>
      </c>
      <c r="V1684" t="n">
        <v>0</v>
      </c>
    </row>
    <row r="1685">
      <c r="A1685">
        <f>Skills!A28</f>
        <v/>
      </c>
      <c r="B1685">
        <f>Skills!B28</f>
        <v/>
      </c>
      <c r="C1685">
        <f>Inputs!$B$3&gt;=120</f>
        <v/>
      </c>
      <c r="D1685">
        <f>IF(Skills!C28=1,60+Inputs!$B$25+Inputs!$B$29,IF(Skills!C28=2,90+Inputs!$B$26+Inputs!$B$29,IF(Skills!C28=3,120+Inputs!$B$27+Inputs!$B$29,MAX(0,(Inputs!$B$3-100)*3)+Inputs!$B$28+Inputs!$B$29)))</f>
        <v/>
      </c>
      <c r="E1685">
        <f>INDEX(FactorTable!$B$2:$Y$301, MATCH(ROUND(MIN(300,MAX(1,D1685)),0), FactorTable!$A$2:$A$301,0), Skills!M28+1)</f>
        <v/>
      </c>
      <c r="F1685">
        <f>IF(Skills!N28=TRUE,(Skills!L28/10)*(E1685/1000),Skills!L28/10)+Skills!O28</f>
        <v/>
      </c>
      <c r="G1685">
        <f>Skills!G28*IF(Skills!H28&gt;0,Skills!I28/Skills!H28,1)</f>
        <v/>
      </c>
      <c r="H1685">
        <f>1-(1-Skills!J28/100)^Skills!K28</f>
        <v/>
      </c>
      <c r="I1685" t="inlineStr">
        <is>
          <t>1</t>
        </is>
      </c>
      <c r="J1685" t="inlineStr"/>
      <c r="K1685" t="inlineStr"/>
      <c r="L1685" t="inlineStr"/>
      <c r="M1685" t="inlineStr"/>
      <c r="N1685" t="inlineStr"/>
      <c r="O1685">
        <f>(1-Summary!$B$55)*T1685+Summary!$B$55*V1685</f>
        <v/>
      </c>
      <c r="P1685">
        <f>IF(B1700=0,0,O1685/B1700)</f>
        <v/>
      </c>
      <c r="Q1685" t="n">
        <v>0</v>
      </c>
      <c r="R1685" t="n">
        <v>0</v>
      </c>
      <c r="S1685">
        <f>IFERROR(O1685/N1685,0)</f>
        <v/>
      </c>
      <c r="T1685" t="n">
        <v>0</v>
      </c>
      <c r="V1685" t="n">
        <v>0</v>
      </c>
    </row>
    <row r="1686">
      <c r="A1686">
        <f>Skills!A29</f>
        <v/>
      </c>
      <c r="B1686">
        <f>Skills!B29</f>
        <v/>
      </c>
      <c r="C1686">
        <f>Inputs!$B$3&gt;=120</f>
        <v/>
      </c>
      <c r="D1686">
        <f>IF(Skills!C29=1,60+Inputs!$B$25+Inputs!$B$29,IF(Skills!C29=2,90+Inputs!$B$26+Inputs!$B$29,IF(Skills!C29=3,120+Inputs!$B$27+Inputs!$B$29,MAX(0,(Inputs!$B$3-100)*3)+Inputs!$B$28+Inputs!$B$29)))</f>
        <v/>
      </c>
      <c r="E1686">
        <f>INDEX(FactorTable!$B$2:$Y$301, MATCH(ROUND(MIN(300,MAX(1,D1686)),0), FactorTable!$A$2:$A$301,0), Skills!M29+1)</f>
        <v/>
      </c>
      <c r="F1686">
        <f>IF(Skills!N29=TRUE,(Skills!L29/10)*(E1686/1000),Skills!L29/10)+Skills!O29</f>
        <v/>
      </c>
      <c r="G1686">
        <f>Skills!G29*IF(Skills!H29&gt;0,Skills!I29/Skills!H29,1)</f>
        <v/>
      </c>
      <c r="H1686">
        <f>1-(1-Skills!J29/100)^Skills!K29</f>
        <v/>
      </c>
      <c r="I1686" t="inlineStr">
        <is>
          <t>1</t>
        </is>
      </c>
      <c r="J1686" t="inlineStr"/>
      <c r="K1686" t="inlineStr"/>
      <c r="L1686" t="inlineStr"/>
      <c r="M1686" t="inlineStr"/>
      <c r="N1686" t="inlineStr"/>
      <c r="O1686">
        <f>(1-Summary!$B$55)*T1686+Summary!$B$55*V1686</f>
        <v/>
      </c>
      <c r="P1686">
        <f>IF(B1700=0,0,O1686/B1700)</f>
        <v/>
      </c>
      <c r="Q1686" t="n">
        <v>0</v>
      </c>
      <c r="R1686" t="n">
        <v>0</v>
      </c>
      <c r="S1686">
        <f>IFERROR(O1686/N1686,0)</f>
        <v/>
      </c>
      <c r="T1686" t="n">
        <v>0</v>
      </c>
      <c r="V1686" t="n">
        <v>0</v>
      </c>
    </row>
    <row r="1687">
      <c r="A1687">
        <f>Skills!A30</f>
        <v/>
      </c>
      <c r="B1687">
        <f>Skills!B30</f>
        <v/>
      </c>
      <c r="C1687">
        <f>Inputs!$B$3&gt;=45</f>
        <v/>
      </c>
      <c r="D1687">
        <f>IF(Skills!C30=1,60+Inputs!$B$25+Inputs!$B$29,IF(Skills!C30=2,90+Inputs!$B$26+Inputs!$B$29,IF(Skills!C30=3,120+Inputs!$B$27+Inputs!$B$29,MAX(0,(Inputs!$B$3-100)*3)+Inputs!$B$28+Inputs!$B$29)))</f>
        <v/>
      </c>
      <c r="E1687">
        <f>INDEX(FactorTable!$B$2:$Y$301, MATCH(ROUND(MIN(300,MAX(1,D1687)),0), FactorTable!$A$2:$A$301,0), Skills!M30+1)</f>
        <v/>
      </c>
      <c r="F1687">
        <f>IF(Skills!N30=TRUE,(Skills!L30/10)*(E1687/1000),Skills!L30/10)+Skills!O30</f>
        <v/>
      </c>
      <c r="G1687">
        <f>Skills!G30*IF(Skills!H30&gt;0,Skills!I30/Skills!H30,1)</f>
        <v/>
      </c>
      <c r="H1687">
        <f>1-(1-Skills!J30/100)^Skills!K30</f>
        <v/>
      </c>
      <c r="I1687" t="inlineStr">
        <is>
          <t>1</t>
        </is>
      </c>
      <c r="J1687" t="inlineStr"/>
      <c r="K1687" t="inlineStr"/>
      <c r="L1687" t="inlineStr"/>
      <c r="M1687" t="inlineStr"/>
      <c r="N1687" t="inlineStr"/>
      <c r="O1687">
        <f>(1-Summary!$B$55)*T1687+Summary!$B$55*V1687</f>
        <v/>
      </c>
      <c r="P1687">
        <f>IF(B1700=0,0,O1687/B1700)</f>
        <v/>
      </c>
      <c r="Q1687" t="n">
        <v>0</v>
      </c>
      <c r="R1687" t="n">
        <v>0</v>
      </c>
      <c r="S1687">
        <f>IFERROR(O1687/N1687,0)</f>
        <v/>
      </c>
      <c r="T1687" t="n">
        <v>0</v>
      </c>
      <c r="V1687" t="n">
        <v>0</v>
      </c>
    </row>
    <row r="1689">
      <c r="A1689" t="inlineStr">
        <is>
          <t>Attack% Bucket Multiplier</t>
        </is>
      </c>
      <c r="B1689">
        <f>(1+(((C1670=TRUE)*F1670)+((C1671=TRUE)*IF(Inputs!$B$38="pvp",F1671,(1-Summary!$B$55)*(F1671)+Summary!$B$55*(0)))+((C1672=TRUE)*F1672*IF(AND(Inputs!$B$38&lt;&gt;"pvp",Inputs!$B$43&gt;0),(((R1672-1)*(Skills!T15*(1+Inputs!$B$34/100))+MIN((Skills!T15*(1+Inputs!$B$34/100)),MAX(0,Inputs!$B$43-((R1672-1)*Skills!D15))))/Inputs!$B$43),IF(Inputs!$B$38="pvp",MIN((Skills!T15*(1+Inputs!$B$34/100)),15)/15,(Skills!T15*(1+Inputs!$B$34/100))/Skills!D15)))+((C1687=TRUE)*(F1687-Calc!F30)))/100)</f>
        <v/>
      </c>
    </row>
    <row r="1690">
      <c r="A1690" t="inlineStr">
        <is>
          <t>Global Crit Rate Bonus %</t>
        </is>
      </c>
      <c r="B1690">
        <f>(C1673=TRUE)*20*IF(AND(Inputs!$B$38&lt;&gt;"pvp",Inputs!$B$43&gt;0),(((R1673-1)*(Skills!T16*(1+Inputs!$B$34/100))+MIN((Skills!T16*(1+Inputs!$B$34/100)),MAX(0,Inputs!$B$43-((R1673-1)*Skills!D16))))/Inputs!$B$43),IF(Inputs!$B$38="pvp",MIN((Skills!T16*(1+Inputs!$B$34/100)),15)/15,(Skills!T16*(1+Inputs!$B$34/100))/Skills!D16))</f>
        <v/>
      </c>
    </row>
    <row r="1691">
      <c r="A1691" t="inlineStr">
        <is>
          <t>Attack Speed Buff Bonus %</t>
        </is>
      </c>
      <c r="B1691">
        <f>((C1676=TRUE)*F1676*IF(AND(Inputs!$B$38&lt;&gt;"pvp",Inputs!$B$43&gt;0),(((R1676-1)*(Skills!T19*(1+Inputs!$B$34/100))+MIN((Skills!T19*(1+Inputs!$B$34/100)),MAX(0,Inputs!$B$43-((R1676-1)*Skills!D19))))/Inputs!$B$43),IF(Inputs!$B$38="pvp",MIN((Skills!T19*(1+Inputs!$B$34/100)),15)/15,(Skills!T19*(1+Inputs!$B$34/100))/Skills!D19)))</f>
        <v/>
      </c>
    </row>
    <row r="1692">
      <c r="A1692" t="inlineStr">
        <is>
          <t>Actions Per Second</t>
        </is>
      </c>
      <c r="B1692">
        <f>1+MIN(150,150*(1-(1-(Inputs!$B$11+((C1678=TRUE)*(F1678-Calc!F21))+((C1679=TRUE)*(F1679-Calc!F22)))/150)*(1-B1691/150)))/100</f>
        <v/>
      </c>
    </row>
    <row r="1693">
      <c r="A1693" t="inlineStr">
        <is>
          <t>Skill + Buff Cast Rate</t>
        </is>
      </c>
      <c r="B1693">
        <f>IF(AND(Inputs!$B$38&lt;&gt;"pvp",Inputs!$B$43&gt;0),SUMPRODUCT((Skills!E2:E30=TRUE)*(C1659:C1687=TRUE)*R1659:R1687*Skills!F2:F30)/Inputs!$B$43,SUMPRODUCT((Skills!E2:E30=TRUE)*(C1659:C1687=TRUE)*Q1659:Q1687*Skills!F2:F30))</f>
        <v/>
      </c>
    </row>
    <row r="1694">
      <c r="A1694" t="inlineStr">
        <is>
          <t>Arrow Stream Casts Per Second</t>
        </is>
      </c>
      <c r="B1694">
        <f>MAX(0,B1692-B1693)</f>
        <v/>
      </c>
    </row>
    <row r="1695">
      <c r="A1695" t="inlineStr">
        <is>
          <t>Global Critical Damage Bonus % (Sharp Eyes + Concentration)</t>
        </is>
      </c>
      <c r="B1695">
        <f>(C1673=TRUE)*F1673*IF(AND(Inputs!$B$38&lt;&gt;"pvp",Inputs!$B$43&gt;0),(((R1673-1)*(Skills!T16*(1+Inputs!$B$34/100))+MIN((Skills!T16*(1+Inputs!$B$34/100)),MAX(0,Inputs!$B$43-((R1673-1)*Skills!D16))))/Inputs!$B$43),IF(Inputs!$B$38="pvp",MIN((Skills!T16*(1+Inputs!$B$34/100)),15)/15,(Skills!T16*(1+Inputs!$B$34/100))/Skills!D16))+(C1674=TRUE)*30</f>
        <v/>
      </c>
    </row>
    <row r="1696">
      <c r="A1696" t="inlineStr">
        <is>
          <t>Global Final Damage Bonus % (Mortal Blow)</t>
        </is>
      </c>
      <c r="B1696">
        <f>(C1675=TRUE)*F1675</f>
        <v/>
      </c>
    </row>
    <row r="1697">
      <c r="A1697" t="inlineStr">
        <is>
          <t>Buff-Casting Startup Delay (s, fixed-duration only)</t>
        </is>
      </c>
      <c r="B1697">
        <f>IF(AND(Inputs!$B$38&lt;&gt;"pvp",Inputs!$B$43&gt;0),SUMPRODUCT((Skills!T2:T30&gt;0)*(Skills!E2:E30=TRUE)*(C1659:C1687=TRUE))/B1692,0)</f>
        <v/>
      </c>
    </row>
    <row r="1698">
      <c r="A1698" t="inlineStr">
        <is>
          <t>Boss-Only Total DPS (this block's swept value)</t>
        </is>
      </c>
      <c r="B1698">
        <f>SUM(T1659:T1687)</f>
        <v/>
      </c>
    </row>
    <row r="1699">
      <c r="A1699" t="inlineStr">
        <is>
          <t>Normal-Only Total DPS (this block's swept value)</t>
        </is>
      </c>
      <c r="B1699">
        <f>SUM(V1659:V1687)</f>
        <v/>
      </c>
    </row>
    <row r="1700">
      <c r="A1700" s="5" t="inlineStr">
        <is>
          <t>TOTAL DPS</t>
        </is>
      </c>
      <c r="B1700" s="5">
        <f>SUM(O1659:O1687)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2026-09-20T09:02:42Z</dcterms:created>
  <dcterms:modified xsi:type="dcterms:W3CDTF">2026-09-20T09:02:42Z</dcterms:modified>
</cp:coreProperties>
</file>